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_2023" sheetId="1" r:id="rId5"/>
    <sheet state="visible" name="EXSPEDISI" sheetId="2" r:id="rId6"/>
    <sheet state="visible" name="V_SALES" sheetId="3" r:id="rId7"/>
    <sheet state="visible" name="OPERASIONAL" sheetId="4" r:id="rId8"/>
    <sheet state="visible" name="NURUL_AINI" sheetId="5" r:id="rId9"/>
    <sheet state="visible" name="PRIBADI" sheetId="6" r:id="rId10"/>
    <sheet state="visible" name="PRODUKSI" sheetId="7" r:id="rId11"/>
    <sheet state="visible" name="KOSONG" sheetId="8" r:id="rId12"/>
  </sheets>
  <definedNames/>
  <calcPr/>
</workbook>
</file>

<file path=xl/sharedStrings.xml><?xml version="1.0" encoding="utf-8"?>
<sst xmlns="http://schemas.openxmlformats.org/spreadsheetml/2006/main" count="1261" uniqueCount="387">
  <si>
    <t>SALDO AWAL</t>
  </si>
  <si>
    <t>TRSF E-BANKING DB TANGGAL :31/03</t>
  </si>
  <si>
    <t>3103/FTSCY/WS95031 NURUL AINI NURUL AINI</t>
  </si>
  <si>
    <t>DB</t>
  </si>
  <si>
    <t>TRSF E-BANKING DB</t>
  </si>
  <si>
    <t>0104/FTSCY/WS95031 30000000.00 pelunasan BINTANG TAMA SANTO 30000000.00 pelunasan BINTANG TAMA SANTO</t>
  </si>
  <si>
    <t>EXSPEDISI</t>
  </si>
  <si>
    <t>0104/FTSCY/WS95271 51803500.00 kd subagik 1 kdr LAJU SATWA WISESA 51803500.00 kd subagik 1 kdr</t>
  </si>
  <si>
    <t>OPERASIONAL</t>
  </si>
  <si>
    <t>TRSF E-BANKING CR</t>
  </si>
  <si>
    <t>0104/FTSCY/WS95051 157414600.00 krmn 31/3 TERA MULIA KORPORI</t>
  </si>
  <si>
    <t>CR</t>
  </si>
  <si>
    <t>BANK</t>
  </si>
  <si>
    <t>0104/FTSCY/WS95271 47351100.00 Mon Mar 30 2026 14:00:00 GMT+0700 (Western Indonesia Time) LAJU SATWA WISESA</t>
  </si>
  <si>
    <t>V_SALES</t>
  </si>
  <si>
    <t>0104/FTSCY/WS95051 47774400.00 Pembelian ayam TRIJAYA LESTARI FO</t>
  </si>
  <si>
    <t>PRODUKSI</t>
  </si>
  <si>
    <t>0104/FTSCY/WS95051 57961800.00 AH 3715.5 15600 GEMILANG INTI SUKS</t>
  </si>
  <si>
    <t>0104/FTSCY/WS95051 100000000.00 krmn 1/4 temko HENDY BENEDICT LEO</t>
  </si>
  <si>
    <t>0104/FTSCY/WS95011 108524800.00 WAHYU MEGA ARSITA</t>
  </si>
  <si>
    <t>0104/FTSCY/WS95271 50483500.00 kd wahyu soma t.ga lek BINTANG TAMA SANTO</t>
  </si>
  <si>
    <t>0104/FTSCY/WS95271 49303800.00 kd mini kdr BINTANG TAMA SANTO</t>
  </si>
  <si>
    <t>0104/FTSCY/WS95051 148729800.00 SIDO RAYA UTAMA CV</t>
  </si>
  <si>
    <t>0104/FTSCY/WS95031 2219760.00 SUNARTO</t>
  </si>
  <si>
    <t>TRSF E-BANKING DB TANGGAL :01/04</t>
  </si>
  <si>
    <t>0104/FTSCY/WS95271 Mon Mar 30 2026 14:00:00 GMT+0700 (Western Indonesia Time) ANDALAN YASA MITRA</t>
  </si>
  <si>
    <t>0104/FTSCY/WS95271 Mon Mar 30 2026 14:00:00 GMT+0700 (Western Indonesia Time) BINTANG TAMA SANTO</t>
  </si>
  <si>
    <t>0104/FTSCY/WS95011 Mon Mar 30 2026 14:00:00 GMT+0700 (Western Indonesia Time) SUPER UNGGAS JAYA</t>
  </si>
  <si>
    <t>0104/FTSCY/WS95011 Tue Mar 31 2026 14:00:00 GMT+0700 (Western Indonesia Time) LAJU SATWA WISESA</t>
  </si>
  <si>
    <t>0104/FTSCY/WS95031 Mon Mar 30 2026 14:00:00 GMT+0700 (Western Indonesia Time) ANDALAN YASA MITRA</t>
  </si>
  <si>
    <t>0104/FTSCY/WS95011 Tue Mar 31 2026 14:00:00 GMT+0700 (Western Indonesia Time) ANUGERAH KARTIKA A</t>
  </si>
  <si>
    <t>0104/FTSCY/WS95011 31/03 krg 50 jt ANDALAN YASA MITRA</t>
  </si>
  <si>
    <t>0104/FTSCY/WS95031 NURHAYATI</t>
  </si>
  <si>
    <t>0204/FTSCY/WS95031 9000000.00 SANDI FAJAR PRASET</t>
  </si>
  <si>
    <t>0204/FTSCY/WS95031 9000000.00 NURUL AINI</t>
  </si>
  <si>
    <t>0204/FTSCY/WS95031 30000000.00 titip 30jt GATUT SETYO WIBOWO</t>
  </si>
  <si>
    <t>0204/FTFVA/WS95031 55569/PT PRIMA FAJ kd heni jbr 3 ton - 40190</t>
  </si>
  <si>
    <t>0204/FTSCY/WS95031 300000.00 tot. titip 9.3 SANDI FAJAR PRASET</t>
  </si>
  <si>
    <t>0204/FTSCY/WS95031 15000000.00 EKO SETIYAWAN</t>
  </si>
  <si>
    <t>0204/FTSCY/WS95031 1000000.00 SUNARTO</t>
  </si>
  <si>
    <t>BI-FAST DB</t>
  </si>
  <si>
    <t>BIF TRANSFER KE 9 NOUVAL HOLQI RISKU M-BCA</t>
  </si>
  <si>
    <t>BIF BIAYA TXN KE 9 NOUVAL HOLQI RISKU M-BCA</t>
  </si>
  <si>
    <t>PRIBADI</t>
  </si>
  <si>
    <t>0304/FTSCY/WS95031 100000.00 bukber ANTON IMRONI</t>
  </si>
  <si>
    <t>0304/FTSCY/WS95051 68127440.00 krmn 1/4 TERA MAKMURINDO CV</t>
  </si>
  <si>
    <t>0304/FTSCY/WS95031 4276400.00 HERMAWAN</t>
  </si>
  <si>
    <t>0304/FTSCY/WS95051 348658960.00 krmn 1/4 TERA MULIA KORPORI</t>
  </si>
  <si>
    <t>0304/FTSCY/WS95271 151288800.00 Tue Mar 31 2026 14:00:00 GMT+0700 (Western Indonesia Time) ANDALAN YASA MITRA</t>
  </si>
  <si>
    <t>0304/FTSCY/WS95031 63074750.00 Tue Mar 31 2026 14:00:00 GMT+0700 (Western Indonesia Time) ANUGERAH KARTIKA A</t>
  </si>
  <si>
    <t>0304/FTSCY/WS95271 43110630.00 Tue Mar 31 2026 14:00:00 GMT+0700 (Western Indonesia Time) ANDALAN YASA MITRA</t>
  </si>
  <si>
    <t>0304/FTSCY/WS95271 50000000.00 pelunasan ANDALAN YASA MITRA</t>
  </si>
  <si>
    <t>0304/FTSCY/WS95271 47137500.00 Tue Mar 31 2026 14:00:00 GMT+0700 (Western Indonesia Time) SUPER UNGGAS JAYA</t>
  </si>
  <si>
    <t>0304/FTSCY/WS95271 942750.00 NURHAYATI</t>
  </si>
  <si>
    <t>0304/FTSCY/WS95031 31990300.00 Tue Mar 31 2026 14:00:00 GMT+0700 (Western Indonesia Time) BINTANG TAMA SANTO</t>
  </si>
  <si>
    <t>0304/FTSCY/WS95031 20216400.00 lunas GATUT SETYO WIBOWO</t>
  </si>
  <si>
    <t>0304/FTSCY/WS95271 7159120.00 MUJIANTO</t>
  </si>
  <si>
    <t>0304/FTSCY/WS95051 261591840.00 ah hairul tgl 15/3 PHALOSARI UNGGUL J</t>
  </si>
  <si>
    <t>0304/FTSCY/WS95051 59280000.00 ah 3800x15600 GEMILANG INTI SUKS</t>
  </si>
  <si>
    <t>0304/FTSCY/WS95011 47100000.00 kd supriyanto 3ton UNGGAS MANDIRI BER</t>
  </si>
  <si>
    <t>0304/FTSCY/WS95011 283075960.00 31/03 lunas BROILER MAKMUR TAN</t>
  </si>
  <si>
    <t>0304/FTSCY/WS95011 2000000.00 SUNARTO</t>
  </si>
  <si>
    <t>0304/FTSCY/WS95011 17460100.00 krg 80 jt EKO SETIYAWAN</t>
  </si>
  <si>
    <t>0304/FTSCY/WS95051 191156100.00 SIDO RAYA UTAMA CV</t>
  </si>
  <si>
    <t>0304/FTSCY/WS95011 49877100.00 Thu Apr 02 2026 14:00:00 GMT+0700 (Western Indonesia Time) SUPER UNGGAS JAYA</t>
  </si>
  <si>
    <t>0404/FTSCY/WS95031 100000.00 SANDI FAJAR PRASET</t>
  </si>
  <si>
    <t>0404/FTSCY/WS95051 310565290.00 krmn 3/4 HENDY BENEDICT LEO</t>
  </si>
  <si>
    <t>0404/FTSCY/WS95271 208854750.00 Thu Apr 02 2026 14:00:00 GMT+0700 (Western Indonesia Time) ANDALAN YASA MITRA</t>
  </si>
  <si>
    <t>0404/FTSCY/WS95031 93238700.00 Fri Apr 03 2026 14:00:00 GMT+0700 (Western Indonesia Time) ANDALAN YASA MITRA</t>
  </si>
  <si>
    <t>0404/FTSCY/WS95051 105687400.00 ah hairul tgl 18/3 PHALOSARI UNGGUL J</t>
  </si>
  <si>
    <t>0404/FTSCY/WS95031 45530.00 pelunasan UNGGAS MANDIRI BER</t>
  </si>
  <si>
    <t>BIF TRANSFER KE 8 SEMBILAN BINTANG L MyBCA</t>
  </si>
  <si>
    <t>BIF BIAYA TXN KE 8 SEMBILAN BINTANG L MyBCA</t>
  </si>
  <si>
    <t>0404/FTSCY/WS95031 32419700.00 Byr Ayam 03.04 RPA SBU ALDINI MARIA GUMIL</t>
  </si>
  <si>
    <t>BYR VIA E-BANKING</t>
  </si>
  <si>
    <t>04/04  WSID9503100 0865 PLN PREPAID 32104859353 MUHAMMAD HAIRUL MA</t>
  </si>
  <si>
    <t>0404/FTSCY/WS95031 174000.00 SILA SETIAWAN MIHA</t>
  </si>
  <si>
    <t>0404/FTSCY/WS95031 3000000.00 ongkos bwi lunas SUNARTO</t>
  </si>
  <si>
    <t>TARIKAN ATM 04/04</t>
  </si>
  <si>
    <t>0404/FTSCY/WS95031 600000.00 SUNARTO</t>
  </si>
  <si>
    <t>0404/FTSCY/WS95031 2216620.00 HERMAWAN</t>
  </si>
  <si>
    <t>0404/FTSCY/WS95271 4291500.00 MUJIANTO</t>
  </si>
  <si>
    <t>0404/FTSCY/WS95051 323023260.00 SIDO RAYA UTAMA CV</t>
  </si>
  <si>
    <t>0404/FTSCY/WS95011 31100600.00 krg 80 jt EKO SETIYAWAN</t>
  </si>
  <si>
    <t>0404/FTSCY/WS95011 137358250.00 Thu Apr 02 2026 14:00:00 GMT+0700 (Western Indonesia Time) BROILER MAKMUR TAN</t>
  </si>
  <si>
    <t>0404/FTSCY/WS95011 104814100.00 Thu Apr 02 2026 14:00:00 GMT+0700 (Western Indonesia Time) ANDALAN YASA MITRA</t>
  </si>
  <si>
    <t>0404/FTSCY/WS95011 182677350.00 Fri Apr 03 2026 14:00:00 GMT+0700 (Western Indonesia Time) BINTANG TAMA SANTO</t>
  </si>
  <si>
    <t>0504/FTSCY/WS95031 45878540.00 Fri Apr 03 2026 14:00:00 GMT+0700 (Western Indonesia Time) PT BERLIAN INDOMIT</t>
  </si>
  <si>
    <t>0504/FTSCY/WS95051 337927910.00 krmn 4/4 TERA MULIA KORPORI</t>
  </si>
  <si>
    <t>0504/FTSCY/WS95031 48459200.00 farm alfarisi jbr LAWU ABADI NUSA PT</t>
  </si>
  <si>
    <t>0504/FTSCY/WS95031 150000.00 byr ongkos mobil DIDIK HARYADI</t>
  </si>
  <si>
    <t>0504/FTSCY/WS95271 186455600.00 Fri Apr 03 2026 14:00:00 GMT+0700 (Western Indonesia Time) ANUGERAH KARTIKA A</t>
  </si>
  <si>
    <t>0504/FTSCY/WS95031 1000000.00 SUPRIYADI</t>
  </si>
  <si>
    <t>0504/FTSCY/WS95051 271278280.00 ah fm hairul 20/3 PHALOSARI UNGGUL J</t>
  </si>
  <si>
    <t>0504/FTSCY/WS95051 136780390.00 SIDO RAYA UTAMA CV</t>
  </si>
  <si>
    <t>0504/FTSCY/WS95271 100000.00 SANDI FAJAR PRASET</t>
  </si>
  <si>
    <t>TRSF E-BANKING DB TANGGAL :05/04</t>
  </si>
  <si>
    <t>0504/FTSCY/WS95031 MUJIANTO</t>
  </si>
  <si>
    <t>0504/FTSCY/WS95011 Fri Apr 03 2026 14:00:00 GMT+0700 (Western Indonesia Time) BROILER MAKMUR TAN</t>
  </si>
  <si>
    <t>0504/FTSCY/WS95011 Fri Apr 03 2026 14:00:00 GMT+0700 (Western Indonesia Time) Kd. riki ponorogo SUPER UNGGAS JAYA</t>
  </si>
  <si>
    <t>0504/FTSCY/WS95011 kd. rois t.agung BINTANG TAMA SANTO</t>
  </si>
  <si>
    <t>0604/FTSCY/WS95031 6834320.00 HERMAWAN</t>
  </si>
  <si>
    <t>0604/FTSCY/WS95031 11469800.00 krg 80 jt EKO SETIYAWAN</t>
  </si>
  <si>
    <t>0604/FTSCY/WS95031 1020000.00 NURHAYATI</t>
  </si>
  <si>
    <t>0604/FTSCY/WS95271 98438600.00 Wed Mar 04 2026 15:00:00 GMT+0700 (Western Indonesia Time) SUPER UNGGAS JAYA</t>
  </si>
  <si>
    <t>0604/FTSCY/WS95051 323648080.00 krmn 5/4 TERA MULIA KORPORI</t>
  </si>
  <si>
    <t>0604/FTSCY/WS95051 52611880.00 krmn 5/4 TERA MAKMURINDO CV</t>
  </si>
  <si>
    <t>0604/FTSCY/WS95271 132503290.00 Sat Apr 04 2026 14:00:00 GMT+0700 (Western Indonesia Time) ANDALAN YASA MITRA</t>
  </si>
  <si>
    <t>0604/FTSCY/WS95011 103562680.00 Sat Apr 04 2026 14:00:00 GMT+0700 (Western Indonesia Time) GANESHA SATRIA NUS</t>
  </si>
  <si>
    <t>0604/FTSCY/WS95011 96703650.00 Sat Apr 04 2026 14:00:00 GMT+0700 (Western Indonesia Time) BROILER MAKMUR TAN</t>
  </si>
  <si>
    <t>0604/FTSCY/WS95051 95080710.00 ah hairul tg 21/3 PHALOSARI UNGGUL J</t>
  </si>
  <si>
    <t>0604/FTSCY/WS95031 58240960.00 kd ebit bwi SURYA INTI TERNAK</t>
  </si>
  <si>
    <t>0604/FTSCY/WS95011 62700000.00 Kd. supriyanto ngawi 3800kg UNGGAS MANDIRI BER</t>
  </si>
  <si>
    <t>0604/FTSCY/WS95051 60420000.00 ah 3800x15900 GEMILANG INTI SUKS</t>
  </si>
  <si>
    <t>0604/FTSCY/WS95051 144946260.00 SIDO RAYA UTAMA CV</t>
  </si>
  <si>
    <t>0604/FTSCY/WS95031 1769100.00 HERMAWAN</t>
  </si>
  <si>
    <t>0604/FTSCY/WS95031 1681320.00 MUJIANTO</t>
  </si>
  <si>
    <t>TRSF E-BANKING DB TANGGAL :06/04</t>
  </si>
  <si>
    <t>0604/FTSCY/WS95031 krg 80 jt EKO SETIYAWAN</t>
  </si>
  <si>
    <t>TRSF E-BANKING CR TANGGAL :06/04</t>
  </si>
  <si>
    <t>0604/FTSCY/WS95271 Titip Byr Ayam JT 07.04 RPA SBU ALDINI MARIA GUMIL</t>
  </si>
  <si>
    <t>0604/FTSCY/WS95031 Zainal ZAINAL ARIFIN</t>
  </si>
  <si>
    <t>0604/FTFVA/WS95031 kd hartatik nganju k 3 ton 200177</t>
  </si>
  <si>
    <t>0604/FTSCY/WS95271 Sun Apr 05 2026 14:00:00 GMT+0700 (Western Indonesia Time) GANESHA SATRIA NUS</t>
  </si>
  <si>
    <t>0704/FTSCY/WS95271 36738000.00 Sun Apr 05 2026 14:00:00 GMT+0700 (Western Indonesia Time) BINTANG TAMA SANTO</t>
  </si>
  <si>
    <t>0704/FTSCY/WS95271 42798200.00 Sun Apr 05 2026 14:00:00 GMT+0700 (Western Indonesia Time) BINTANG TAMA SANTO</t>
  </si>
  <si>
    <t>0704/FTSCY/WS95271 55684350.00 Sun Apr 05 2026 14:00:00 GMT+0700 (Western Indonesia Time) SUPER UNGGAS JAYA</t>
  </si>
  <si>
    <t>0704/FTSCY/WS95271 727900.00 NURHAYATI</t>
  </si>
  <si>
    <t>0704/FTSCY/WS95051 187097400.00 krmn 6/4 HENDY BENEDICT LEO</t>
  </si>
  <si>
    <t>0704/FTSCY/WS95271 101866310.00 Sun Apr 05 2026 14:00:00 GMT+0700 (Western Indonesia Time) ANDALAN YASA MITRA</t>
  </si>
  <si>
    <t>0704/FTSCY/WS95271 52000000.00 SANDI FAJAR PRASET</t>
  </si>
  <si>
    <t>0704/FTSCY/WS95271 1000000.00 MUHAMMAD HAIRUL MA</t>
  </si>
  <si>
    <t>0704/FTSCY/WS95271 500000.00 MUHAMMAD HAIRUL MA</t>
  </si>
  <si>
    <t>0704/FTSCY/WS95271 2400000.00 SANDI FAJAR PRASET</t>
  </si>
  <si>
    <t>0704/FTSCY/WS95051 179164450.00 SIDO RAYA UTAMA CV</t>
  </si>
  <si>
    <t>TRSF E-BANKING CR TANGGAL :07/04</t>
  </si>
  <si>
    <t>0704/FTSCY/WS95271 Pelunasan Ayam 07. 04 RPA SBU ALDINI MARIA GUMIL</t>
  </si>
  <si>
    <t>0704/FTSCY/WS95271 Titip Byr Ayam 07. 04 RPA SBU ALDINI MARIA GUMIL</t>
  </si>
  <si>
    <t>TRSF E-BANKING DB TANGGAL :07/04</t>
  </si>
  <si>
    <t>0704/FTSCY/WS95011 Sun Apr 05 2026 14:00:00 GMT+0700 (Western Indonesia Time) BROILER MAKMUR TAN</t>
  </si>
  <si>
    <t>0804/FTSCY/WS95031 51263520.00 Mon Apr 06 2026 14:00:00 GMT+0700 (Western Indonesia Time) ANUGERAH KARTIKA A</t>
  </si>
  <si>
    <t>0804/FTSCY/WS95031 44047920.00 Sat Jun 06 2026 14:00:00 GMT+0700 (Western Indonesia Time) ANDALAN YASA MITRA</t>
  </si>
  <si>
    <t>0804/FTSCY/WS95271 50452050.00 Tue Apr 07 2026 14:00:00 GMT+0700 (Western Indonesia Time) AGUNG MITRA SEJAHT</t>
  </si>
  <si>
    <t>0804/FTSCY/WS95051 163718700.00 SIDO RAYA UTAMA CV</t>
  </si>
  <si>
    <t>TRSF E-BANKING DB TANGGAL :08/04</t>
  </si>
  <si>
    <t>0804/FTSCY/WS95271 Mon Apr 06 2026 14:00:00 GMT+0700 (Western Indonesia Time) LAJU SATWA WISESA</t>
  </si>
  <si>
    <t>0804/FTSCY/WS95271 Tue Apr 07 2026 14:00:00 GMT+0700 (Western Indonesia Time) ANUGERAH KARTIKA A</t>
  </si>
  <si>
    <t>0804/FTSCY/WS95271 Tue Apr 07 2026 14:00:00 GMT+0700 (Western Indonesia Time) BINTANG TAMA SANTO</t>
  </si>
  <si>
    <t>0804/FTFVA/WS95031 pelunasan kd harta tik nganjuk 200177</t>
  </si>
  <si>
    <t>0904/FTSCY/WS95031 50887299.00 Tue Apr 07 2026 14:00:00 GMT+0700 (Western Indonesia Time) BINTANG TAMA SANTO</t>
  </si>
  <si>
    <t>0904/FTSCY/WS95031 2191910.00 nganjuk sidoraya MUJIANTO</t>
  </si>
  <si>
    <t>0904/FTSCY/WS95031 1141900.00 HERMAWAN</t>
  </si>
  <si>
    <t>0904/FTSCY/WS95031 16307000.00 krg 75 jt EKO SETIYAWAN</t>
  </si>
  <si>
    <t>0904/FTSCY/WS95031 1500000.00 NURUL AINI</t>
  </si>
  <si>
    <t>NURUL_AINI</t>
  </si>
  <si>
    <t>0904/FTSCY/WS95271 500000.00 MUHAMMAD HAIRUL MA</t>
  </si>
  <si>
    <t>0904/FTSCY/WS95031 1340000.00 bayar karpet MUHAMMAD NURUL AMI</t>
  </si>
  <si>
    <t>1004/FTSCY/WS95051 74351894.00 AYAM HAIRUL TGL 10/4/2023 SUCI RAHARJO PT</t>
  </si>
  <si>
    <t>1004/FTSCY/WS95031 50628480.00 Tue Apr 07 2026 14:00:00 GMT+0700 (Western Indonesia Time) ANDALAN YASA MITRA</t>
  </si>
  <si>
    <t>1004/FTSCY/WS95051 160670110.00 SIDO RAYA UTAMA CV</t>
  </si>
  <si>
    <t>1004/FTSCY/WS95031 43232000.00 Tue Apr 07 2026 14:00:00 GMT+0700 (Western Indonesia Time) BINTANG TAMA SANTO</t>
  </si>
  <si>
    <t>1004/FTSCY/WS95031 1353840.00 HERMAWAN</t>
  </si>
  <si>
    <t>1004/FTSCY/WS95031 2778720.00 MUJIANTO</t>
  </si>
  <si>
    <t>BI-FAST DB TANGGAL :10/04</t>
  </si>
  <si>
    <t>BIF TRANSFER KE ADIRA MUHAMMAD HAI M-BCA</t>
  </si>
  <si>
    <t>BIF BIAYA TXN KE ADIRA MUHAMMAD HAI M-BCA</t>
  </si>
  <si>
    <t>BIF TRANSFER KE TURYADI M-BCA</t>
  </si>
  <si>
    <t>BIF BIAYA TXN KE TURYADI M-BCA</t>
  </si>
  <si>
    <t>TRSF E-BANKING DB TANGGAL :10/04</t>
  </si>
  <si>
    <t>1004/FTSCY/WS95031 DESI NOURMA EKA WU</t>
  </si>
  <si>
    <t>1104/FTSCY/WS95271 71124480.00 Thu Apr 09 2026 14:00:00 GMT+0700 (Western Indonesia Time) ANDALAN YASA MITRA</t>
  </si>
  <si>
    <t>1104/FTSCY/WS95271 58813440.00 Thu Apr 09 2026 14:00:00 GMT+0700 (Western Indonesia Time) RUKUN MITRA BERSAM</t>
  </si>
  <si>
    <t>1104/FTSCY/WS95051 153925380.00 ah fm hairul 23/3 PHALOSARI UNGGUL J</t>
  </si>
  <si>
    <t>1104/FTSCY/WS95271 50400000.00 Thu Apr 09 2026 14:00:00 GMT+0700 (Western Indonesia Time) PT BERLIAN INDOMIT</t>
  </si>
  <si>
    <t>1104/FTSCY/WS95271 42596400.00 kd mufid blitar BINTANG TAMA SANTO</t>
  </si>
  <si>
    <t>1104/FTFVA/WS95031 55569/PT PRIMA FAJ kd sunardi mlg 320 0kg 40190</t>
  </si>
  <si>
    <t>1104/FTSCY/WS95031 10000000.00 EKO SETIYAWAN</t>
  </si>
  <si>
    <t>1104/FTSCY/WS95051 195329210.00 SIDO RAYA UTAMA CV</t>
  </si>
  <si>
    <t>TRSF E-BANKING DB TANGGAL :11/04</t>
  </si>
  <si>
    <t>1104/FTSCY/WS95031 blitat trijaya MUJIANTO</t>
  </si>
  <si>
    <t>1104/FTSCY/WS95031 HERMAWAN</t>
  </si>
  <si>
    <t>1104/FTSCY/WS95031 krg 65 jt EKO SETIYAWAN</t>
  </si>
  <si>
    <t>TRSF E-BANKING CR TANGGAL :11/04</t>
  </si>
  <si>
    <t>1104/FTSCY/WS95031 Zainal ZAINAL ARIFIN</t>
  </si>
  <si>
    <t>1204/FTSCY/WS95271 99101520.00 Thu Apr 09 2026 14:00:00 GMT+0700 (Western Indonesia Time) ANDALAN YASA MITRA</t>
  </si>
  <si>
    <t>1204/FTSCY/WS95271 61007610.00 Fri Apr 10 2026 14:00:00 GMT+0700 (Western Indonesia Time) BRANTAS ABADI SENT</t>
  </si>
  <si>
    <t>1204/FTSCY/WS95271 41679000.00 Thu Apr 09 2026 14:00:00 GMT+0700 (Western Indonesia Time) SUPER UNGGAS JAYA</t>
  </si>
  <si>
    <t>1204/FTSCY/WS95271 1350500.00 NURHAYATI</t>
  </si>
  <si>
    <t>1204/FTSCY/WS95051 87548750.00 Pembelian ayam TRIJAYA LESTARI FO</t>
  </si>
  <si>
    <t>1204/FTSCY/WS95051 91519340.00 ah hairul tg 24/3 PHALOSARI UNGGUL J</t>
  </si>
  <si>
    <t>1204/FTSCY/WS95271 53578800.00 Thu Apr 09 2026 14:00:00 GMT+0700 (Western Indonesia Time) BROILER MAKMUR TAN</t>
  </si>
  <si>
    <t>1204/FTSCY/WS95031 44866200.00 Fri Apr 10 2026 14:00:00 GMT+0700 (Western Indonesia Time) ANDALAN YASA MITRA</t>
  </si>
  <si>
    <t>1204/FTSCY/WS95051 239063280.00 SIDO RAYA UTAMA CV</t>
  </si>
  <si>
    <t>1204/FTSCY/WS95011 125440000.00 kd arsin pasuruan PITIK DIGITAL INDO</t>
  </si>
  <si>
    <t>1204/FTSCY/WS95011 50265280.00 Fri Apr 10 2026 14:00:00 GMT+0700 (Western Indonesia Time) ANDALAN YASA MITRA</t>
  </si>
  <si>
    <t>1204/FTSCY/WS95011 50379500.00 pemb. ayam hidup pt suja kediri CJ FEED AND CARE I</t>
  </si>
  <si>
    <t>1204/FTSCY/WS95031 2820000.00 HALIM IBRAHIM</t>
  </si>
  <si>
    <t>1304/FTSCY/WS95031 56960000.00 kd supiyan pasurua n TABASSAM AL HATTAK</t>
  </si>
  <si>
    <t>1304/FTSCY/WS95031 187000.00 NURUL AINI</t>
  </si>
  <si>
    <t>1304/FTSCY/WS95031 39351750.00 krg 10 jt LAWU ABADI NUSA PT</t>
  </si>
  <si>
    <t>1304/FTSCY/WS95271 10000000.00 SANDI FAJAR PRASET</t>
  </si>
  <si>
    <t>1304/FTSCY/WS95271 10000000.00 pelunasan LAWU ABADI NUSA PT</t>
  </si>
  <si>
    <t>1304/FTSCY/WS95011 49633760.00 WAHYU MEGA ARSITA</t>
  </si>
  <si>
    <t>1304/FTSCY/WS95051 169006660.00 SIDO RAYA UTAMA CV</t>
  </si>
  <si>
    <t>1304/FTSCY/WS95271 176134530.00 Sat Apr 11 2026 14:00:00 GMT+0700 (Western Indonesia Time) RUKUN MITRA BERSAM</t>
  </si>
  <si>
    <t>1304/FTSCY/WS95031 150000.00 ARUL BACHTIAR DWI</t>
  </si>
  <si>
    <t>1304/FTSCY/WS95031 30000000.00 dp GATUT SETYO WIBOWO</t>
  </si>
  <si>
    <t>1304/FTSCY/WS95271 55057200.00 Fri Apr 10 2026 14:00:00 GMT+0700 (Western Indonesia Time) PITIK DIGITAL INDO</t>
  </si>
  <si>
    <t>1304/FTSCY/WS95271 3006560.00 lunas HERMAWAN</t>
  </si>
  <si>
    <t>1304/FTSCY/WS95271 3955800.00 lunas MUJIANTO</t>
  </si>
  <si>
    <t>1404/FTSCY/WS95051 63552440.00 Pembelian ayam TRIJAYA LESTARI FO</t>
  </si>
  <si>
    <t>1404/FTSCY/WS95051 226729260.00 SIDO RAYA UTAMA CV</t>
  </si>
  <si>
    <t>1404/FTSCY/WS95031 600000.00 Total 2,4 ARUL BACHTIAR DWI</t>
  </si>
  <si>
    <t>1404/FTSCY/WS95271 11873800.00 Pelunasan Ayam 09. 04 RPA SBU ALDINI MARIA GUMIL</t>
  </si>
  <si>
    <t>1404/FTSCY/WS95271 9634460.00 Titip Byr Ayam JT 10.04 RPA SBU ALDINI MARIA GUMIL</t>
  </si>
  <si>
    <t>TRSF E-BANKING DB TANGGAL :14/04</t>
  </si>
  <si>
    <t>1404/FTFVA/WS95031 3.2 ton - 40190</t>
  </si>
  <si>
    <t>1404/FTSCY/WS95271 Sun Apr 12 2026 14:00:00 GMT+0700 (Western Indonesia Time) ANDALAN YASA MITRA</t>
  </si>
  <si>
    <t>1404/FTSCY/WS95271 Sun Apr 12 2026 14:00:00 GMT+0700 (Western Indonesia Time) LAJU SATWA WISESA</t>
  </si>
  <si>
    <t>1404/FTSCY/WS95271 Mon Apr 13 2026 14:00:00 GMT+0700 (Western Indonesia Time) RUKUN MITRA BERSAM</t>
  </si>
  <si>
    <t>1404/FTSCY/WS95031 HERMAWAN</t>
  </si>
  <si>
    <t>1404/FTSCY/WS95031 MUJIANTO</t>
  </si>
  <si>
    <t>1404/FTSCY/WS95031 tot. titip 14.02 1 8050000 SANDI FAJAR PRASET</t>
  </si>
  <si>
    <t>1504/FTSCY/WS95031 2000000.00 NURUL AINI</t>
  </si>
  <si>
    <t>1504/FTSCY/WS95051 119069010.00 SIDO RAYA UTAMA CV</t>
  </si>
  <si>
    <t>1504/FTSCY/WS95271 52530000.00 blitar ANUGERAH KARTIKA A</t>
  </si>
  <si>
    <t>1504/FTSCY/WS95271 52556280.00 lunas GANESHA SATRIA NUS</t>
  </si>
  <si>
    <t>1504/FTSCY/WS95031 19702600.00 lunas GATUT SETYO WIBOWO</t>
  </si>
  <si>
    <t>SETORAN VIA CDM</t>
  </si>
  <si>
    <t>16/04  WSID:ZQ4E1 MUHAMMAD HAIRUL MA</t>
  </si>
  <si>
    <t>BIF TRANSFER KE 8 MISWATI M-BCA</t>
  </si>
  <si>
    <t>BIF BIAYA TXN KE 8 MISWATI M-BCA</t>
  </si>
  <si>
    <t>1604/FTFVA/WS95031 55569/PT PRIMA FAJ 2.9 ton blitar - 40190</t>
  </si>
  <si>
    <t>1604/FTSCY/WS95031 500000.00 SUPRIYADI</t>
  </si>
  <si>
    <t>1604/FTSCY/WS95031 300000.00 byr beras 10 MOHAMMAD FUDAIL</t>
  </si>
  <si>
    <t>TRANSAKSI DEBIT</t>
  </si>
  <si>
    <t>TGL: 16/04 QR 014 00000.00RINDANG KH</t>
  </si>
  <si>
    <t>1604/FTSCY/WS95031 52395540.00 zainal ZAINAL ARIFIN</t>
  </si>
  <si>
    <t>1604/FTSCY/WS95031 61950000.00 Mon Apr 13 2026 14:00:00 GMT+0700 (Western Indonesia Time) PITIK DIGITAL INDO</t>
  </si>
  <si>
    <t>1604/FTSCY/WS95031 6700000.00 SANDI FAJAR PRASET</t>
  </si>
  <si>
    <t>1704/FTSCY/WS95051 97200000.00 ah hairul tgl 31/3 PHALOSARI UNGGUL J</t>
  </si>
  <si>
    <t>1704/FTSCY/WS95051 111852250.00 Pembelian ayam TRIJAYA LESTARI FO</t>
  </si>
  <si>
    <t>1704/FTSCY/WS95031 52440120.00 Mon Apr 13 2026 14:00:00 GMT+0700 (Western Indonesia Time) BROILER MAKMUR TAN</t>
  </si>
  <si>
    <t>1704/FTSCY/WS95271 52450140.00 Tue Apr 14 2026 14:00:00 GMT+0700 (Western Indonesia Time) BINTANG TAMA SANTO</t>
  </si>
  <si>
    <t>1704/FTSCY/WS95271 48861000.00 Mon Apr 13 2026 14:00:00 GMT+0700 (Western Indonesia Time) SUPER UNGGAS JAYA</t>
  </si>
  <si>
    <t>1704/FTSCY/WS95271 549000.00 NURHAYATI</t>
  </si>
  <si>
    <t>1704/FTSCY/WS95271 51803500.00 Wed Apr 15 2026 14:00:00 GMT+0700 (Western Indonesia Time) BRANTAS ABADI SENT</t>
  </si>
  <si>
    <t>1704/FTFVA/WS95031 55569/PT PRIMA FAJ pelunasan - 40190</t>
  </si>
  <si>
    <t>1704/FTSCY/WS95011 55605300.00 WAHYU MEGA ARSITA</t>
  </si>
  <si>
    <t>1704/FTSCY/WS95051 53165610.00 byr ayam po 15/4 PURI PANGAN SEJATI</t>
  </si>
  <si>
    <t>1704/FTSCY/WS95031 60025000.00 3500kg GATUT SETYO WIBOWO</t>
  </si>
  <si>
    <t>1704/FTFVA/WS95031 55569/PT PRIMA FAJ titip.9 ton lamong an 40190</t>
  </si>
  <si>
    <t>1704/FTSCY/WS95031 1716900.00 SUPRIYADI</t>
  </si>
  <si>
    <t>1704/FTSCY/WS95031 100000000.00 Pak Gatut SEFI HANA KRISNAWA</t>
  </si>
  <si>
    <t>1704/FTSCY/WS95051 212665550.00 SIDO RAYA UTAMA CV</t>
  </si>
  <si>
    <t>1704/FTSCY/WS95271 51900000.00 Tue Apr 14 2026 14:00:00 GMT+0700 (Western Indonesia Time) ANDALAN YASA MITRA</t>
  </si>
  <si>
    <t>1704/FTFVA/WS95031 55569/PT PRIMA FAJ 10 ton lamongan - 40190</t>
  </si>
  <si>
    <t>1704/FTFVA/WS95031 55569/PT PRIMA FAJ 2900kg mlg - 40190</t>
  </si>
  <si>
    <t>1704/FTSCY/WS95011 158724800.00 Thu Apr 16 2026 14:00:00 GMT+0700 (Western Indonesia Time) LAWU ABADI NUSA PT</t>
  </si>
  <si>
    <t>TRSF E-BANKING CR TANGGAL :17/04</t>
  </si>
  <si>
    <t>1704/FTSCY/WS95031 Zainal ZAINAL ARIFIN</t>
  </si>
  <si>
    <t>1704/FTSCY/WS95271 Byr ayam rpa sbu ALDINI MARIA GUMIL</t>
  </si>
  <si>
    <t>1804/FTSCY/WS95031 64417500.00 Tue Apr 14 2026 14:00:00 GMT+0700 (Western Indonesia Time) BINTANG TAMA SANTO</t>
  </si>
  <si>
    <t>1804/FTSCY/WS95271 49500000.00 Thu Apr 16 2026 14:00:00 GMT+0700 (Western Indonesia Time) ANDALAN YASA MITRA</t>
  </si>
  <si>
    <t>18/04  WSID9503101 1220 TELKOMSEL 82318368518 MUHAMMAD HAIRUL MA</t>
  </si>
  <si>
    <t>1804/FTSCY/WS95031 500000.00 SUPRIYADI</t>
  </si>
  <si>
    <t>1804/FTSCY/WS95031 1211790.00 HERMAWAN</t>
  </si>
  <si>
    <t>TARIKAN ATM 18/04</t>
  </si>
  <si>
    <t>1804/FTSCY/WS95051 93101400.00 ah fm hairul 1/4 PHALOSARI UNGGUL J</t>
  </si>
  <si>
    <t>1804/FTSCY/WS95031 1100000.00 bayar parcel lunas ACHMAD DJUPRI</t>
  </si>
  <si>
    <t>1804/FTSCY/WS95031 150000.00 bayar kaca film ANTON IMRONI</t>
  </si>
  <si>
    <t>1804/FTSCY/WS95051 77064655.00 AYAM HAIRUL TGL 18/4/2023 SUCI RAHARJO PT</t>
  </si>
  <si>
    <t>1804/FTFVA/WS95031 55574/GUNA MITRA S rembang 3.3 ton - 200177</t>
  </si>
  <si>
    <t>1804/FTSCY/WS95271 108460000.00 Thu Apr 16 2026 14:00:00 GMT+0700 (Western Indonesia Time) ANDALAN YASA MITRA</t>
  </si>
  <si>
    <t>1804/FTSCY/WS95031 700000.00 SUPRIYADI</t>
  </si>
  <si>
    <t>1804/FTSCY/WS95031 2000000.00 THR NURUL AINI</t>
  </si>
  <si>
    <t>1804/FTSCY/WS95051 149590640.00 SIDO RAYA UTAMA CV</t>
  </si>
  <si>
    <t>1804/FTSCY/WS95271 99193710.00 Fri Apr 17 2026 14:00:00 GMT+0700 (Western Indonesia Time) RUKUN MITRA BERSAM</t>
  </si>
  <si>
    <t>1804/FTSCY/WS95011 42884800.00 Fri Apr 17 2026 14:00:00 GMT+0700 (Western Indonesia Time) ANUGERAH KARTIKA A</t>
  </si>
  <si>
    <t>1804/FTSCY/WS95011 36740800.00 Fri Apr 17 2026 14:00:00 GMT+0700 (Western Indonesia Time) BRANTAS ABADI SENT</t>
  </si>
  <si>
    <t>TRSF E-BANKING DB TANGGAL :18/04</t>
  </si>
  <si>
    <t>1804/FTSCY/WS95031 HERMAWAN</t>
  </si>
  <si>
    <t>1804/FTSCY/WS95031 MUJIANTO</t>
  </si>
  <si>
    <t>1904/FTSCY/WS95031 7716150.00 Fri Apr 17 2026 14:00:00 GMT+0700 (Western Indonesia Time) LAWU ABADI NUSA PT</t>
  </si>
  <si>
    <t>1904/FTSCY/WS95051 46264230.00 ah hairul tg 3/4 PHALOSARI UNGGUL J</t>
  </si>
  <si>
    <t>1904/FTSCY/WS95031 9000000.00 pelunasan LAWU ABADI NUSA PT</t>
  </si>
  <si>
    <t>1904/FTSCY/WS95031 21260250.00 Sat Apr 18 2026 14:00:00 GMT+0700 (Western Indonesia Time) BINTANG TAMA SANTO</t>
  </si>
  <si>
    <t>SWITCHING CR</t>
  </si>
  <si>
    <t>TRANSFERDR 002 JUMARI /MALANG9879-</t>
  </si>
  <si>
    <t>1904/FTSCY/WS95051 83044300.00 Pembelian ayam TRIJAYA LESTARI FO</t>
  </si>
  <si>
    <t>1904/FTSCY/WS95051 57845623.00 AYAM HAIRUL TGL 19/4/2023 SUCI RAHARJO PT</t>
  </si>
  <si>
    <t>BIF TRANSFER KE 9 MUHAMMAD SODIK M-BCA</t>
  </si>
  <si>
    <t>BIF BIAYA TXN KE 9 MUHAMMAD SODIK M-BCA</t>
  </si>
  <si>
    <t>1904/FTSCY/WS95031 55353600.00 Sat Apr 18 2026 14:00:00 GMT+0700 (Western Indonesia Time) TUMBUH OPTIMAL PRI</t>
  </si>
  <si>
    <t>1904/FTSCY/WS95051 2000000.00 2023041955682501 TRFDN-WENTY PRATAM ESPAY DEBIT INDONE</t>
  </si>
  <si>
    <t>1904/FTSCY/WS95271 96308400.00 Sat Apr 18 2026 14:00:00 GMT+0700 (Western Indonesia Time) PITIK DIGITAL INDO</t>
  </si>
  <si>
    <t>1904/FTSCY/WS95031 1037700.00 SUPRIYADI</t>
  </si>
  <si>
    <t>TRSF E-BANKING CR TANGGAL :19/04</t>
  </si>
  <si>
    <t>1904/FTSCY/WS95271 MUHAMMAD HAIRUL MA</t>
  </si>
  <si>
    <t>TRSF E-BANKING DB TANGGAL :19/04</t>
  </si>
  <si>
    <t>1904/FTSCY/WS95271 THR EKO SETIYAWAN</t>
  </si>
  <si>
    <t>1904/FTSCY/WS95031 lunas GATUT SETYO WIBOWO</t>
  </si>
  <si>
    <t>2004/FTSCY/WS95031 2780880.00 thr 1 jt MUJIANTO</t>
  </si>
  <si>
    <t>2004/FTSCY/WS95031 2172040.00 thr 1 jt HERMAWAN</t>
  </si>
  <si>
    <t>2004/FTSCY/WS95031 54996500.00 krg 42 jt EKO SETIYAWAN</t>
  </si>
  <si>
    <t>2004/FTSCY/WS95051 263771040.00 Pembelian ayam TRIJAYA LESTARI FO</t>
  </si>
  <si>
    <t>2004/FTSCY/WS95031 100000.00 SANDI FAJAR PRASET</t>
  </si>
  <si>
    <t>2004/FTSCY/WS95271 57427200.00 Wed Mar 18 2026 14:00:00 GMT+0700 (Western Indonesia Time) ANDALAN YASA MITRA</t>
  </si>
  <si>
    <t>2004/FTSCY/WS95271 44401600.00 Sat Apr 18 2026 14:00:00 GMT+0700 (Western Indonesia Time) BINTANG TAMA SANTO</t>
  </si>
  <si>
    <t>2004/FTSCY/WS95271 98272000.00 Wed Feb 18 2026 15:00:00 GMT+0700 (Western Indonesia Time) ANUGERAH KARTIKA A</t>
  </si>
  <si>
    <t>2004/FTSCY/WS95271 42000000.00 lunas EKO SETIYAWAN</t>
  </si>
  <si>
    <t>2004/FTSCY/WS95031 2130000.00 ARUL BACHTIAR DWI</t>
  </si>
  <si>
    <t>20/04  WSID9503102 1220 TELKOMSEL 82318368518 MUHAMMAD HAIRUL MA</t>
  </si>
  <si>
    <t>TRSF E-BANKING CR TANGGAL :20/04</t>
  </si>
  <si>
    <t>2004/FTSCY/WS95031 Zainal ZAINAL ARIFIN</t>
  </si>
  <si>
    <t>SETORAN VIA CDM TANGGAL :20/04 TANGGAL :20/04</t>
  </si>
  <si>
    <t>20/04  WSID:ZQ4E1</t>
  </si>
  <si>
    <t>SETORAN VIA CDM TANGGAL :20/04</t>
  </si>
  <si>
    <t>TRSF E-BANKING DB TANGGAL :20/04</t>
  </si>
  <si>
    <t>2004/FTSCY/WS95031 Sun Apr 19 2026 14:00:00 GMT+0700 (Western Indonesia Time) ANDALAN YASA MITRA</t>
  </si>
  <si>
    <t>2104/FTSCY/WS95031 6817000.00 SITI MAISAROH</t>
  </si>
  <si>
    <t>BIAYA ADM</t>
  </si>
  <si>
    <t>2204/FTSCY/WS95031 357120.00 ANDE DOSO ANGGORO</t>
  </si>
  <si>
    <t>23/04  WSID9503102 0507 FIF 803001249921 MUHAMMAD HAIRUL MA</t>
  </si>
  <si>
    <t>TARIKAN ATM 23/04</t>
  </si>
  <si>
    <t>23/04  WSID9503102 1220 TELKOMSEL 81326518324 MUHAMMAD HAIRUL MA</t>
  </si>
  <si>
    <t>2304/FTSCY/WS95051 5000000.00 2023042387592001 TRFDN-WENTY PRATAM ESPAY DEBIT INDONE</t>
  </si>
  <si>
    <t>2404/FTSCY/WS95031 400000.00 ARUL BACHTIAR DWI</t>
  </si>
  <si>
    <t>TARIKAN ATM 24/04</t>
  </si>
  <si>
    <t>2404/FTSCY/WS95051 4000000.00 2023042489727401 TRFDN-WENTY PRATAM ESPAY DEBIT INDONE</t>
  </si>
  <si>
    <t>KARTU DEBIT</t>
  </si>
  <si>
    <t>IDM TROJ LANGSEP 6019009510239343</t>
  </si>
  <si>
    <t>TARIKAN ATM 25/04</t>
  </si>
  <si>
    <t>2604/FTFVA/WS95031 26689/TIKTOK SHOP - - 6310692008983</t>
  </si>
  <si>
    <t>2604/FTSCY/WS95051 138293790.00 ah hairul tg 4/4 PHALOSARI UNGGUL J</t>
  </si>
  <si>
    <t>2604/FTSCY/WS95031 500000.00 NURUL AINI</t>
  </si>
  <si>
    <t>2704/FTSCY/WS95051 50647680.00 AH FH jmber tg 5/4/23 PHALOSARI UNGGUL J</t>
  </si>
  <si>
    <t>2704/FTSCY/WS95051 343012370.00 SIDO RAYA UTAMA CV</t>
  </si>
  <si>
    <t>2704/FTSCY/WS95031 52800000.00 Sun Apr 26 2026 14:00:00 GMT+0700 (Western Indonesia Time) LAWU ABADI NUSA PT</t>
  </si>
  <si>
    <t>2704/FTSCY/WS95271 96330000.00 Sun Apr 26 2026 14:00:00 GMT+0700 (Western Indonesia Time) SUPER UNGGAS JAYA</t>
  </si>
  <si>
    <t>2704/FTSCY/WS95271 1140000.00 NURHAYATI</t>
  </si>
  <si>
    <t>2704/FTSCY/WS95271 134887350.00 Sun Apr 26 2026 14:00:00 GMT+0700 (Western Indonesia Time) ANUGERAH KARTIKA A</t>
  </si>
  <si>
    <t>2704/FTSCY/WS95031 500000.00 ongkos parcel adi EKO SETIYAWAN</t>
  </si>
  <si>
    <t>2804/FTSCY/WS95031 1058700.00 MUJIANTO</t>
  </si>
  <si>
    <t>2804/FTSCY/WS95031 700000.00 madiun sidoraya HERMAWAN</t>
  </si>
  <si>
    <t>2804/FTSCY/WS95051 40252140.00 AH F Hairul jmbr tgl 6/4/23 PHALOSARI UNGGUL J</t>
  </si>
  <si>
    <t>2804/FTSCY/WS95271 250000000.00 kd broto ponorogo UNGGAS MANDIRI BER</t>
  </si>
  <si>
    <t>2804/FTSCY/WS95051 151567620.00 SIDO RAYA UTAMA CV</t>
  </si>
  <si>
    <t>2804/FTSCY/WS95031 3000000.00 SUNARTO</t>
  </si>
  <si>
    <t>2804/FTSCY/WS95271 100000000.00 28 April titip 2 r et SUGENG MARIONO</t>
  </si>
  <si>
    <t>2804/FTSCY/WS95031 30895800.00 ponorogo 17 ton UNGGAS MANDIRI BER</t>
  </si>
  <si>
    <t>2804/FTSCY/WS95031 2268250.00 t.agung lunas SUNARTO</t>
  </si>
  <si>
    <t>2804/FTSCY/WS95031 42160000.00 Sun Apr 26 2026 14:00:00 GMT+0700 (Western Indonesia Time) RUKUN MITRA BERSAM</t>
  </si>
  <si>
    <t>2804/FTSCY/WS95011 146947920.00 Mon Apr 27 2026 14:00:00 GMT+0700 (Western Indonesia Time) SUPER UNGGAS JAYA</t>
  </si>
  <si>
    <t>2804/FTSCY/WS95011 44744440.00 Mon Apr 27 2026 14:00:00 GMT+0700 (Western Indonesia Time) GANESHA SATRIA NUS</t>
  </si>
  <si>
    <t>2904/FTSCY/WS95051 101574100.00 krmn 28/4 TERA MAKMURINDO CV</t>
  </si>
  <si>
    <t>2904/FTSCY/WS95051 240185020.00 krmn 28/4 TERA MULIA KORPORI</t>
  </si>
  <si>
    <t>2904/FTSCY/WS95031 45449500.00 Mon Apr 27 2026 14:00:00 GMT+0700 (Western Indonesia Time) BINTANG TAMA SANTO</t>
  </si>
  <si>
    <t>2904/FTSCY/WS95031 9899100.00 ponorogo lunas UNGGAS MANDIRI BER</t>
  </si>
  <si>
    <t>2904/FTSCY/WS95271 158100000.00 t.agung lunas BINTANG TAMA SANTO</t>
  </si>
  <si>
    <t>2904/FTSCY/WS95271 25512290.00 28 April Closing SUGENG MARIONO</t>
  </si>
  <si>
    <t>2904/FTSCY/WS95031 1144950.00 NURHAYATI</t>
  </si>
  <si>
    <t>2904/FTSCY/WS95011 193360750.00 Mon Apr 27 2026 14:00:00 GMT+0700 (Western Indonesia Time) krg 50 jt BROILER MAKMUR TAN</t>
  </si>
  <si>
    <t>29/04  WSID:ZQ4E1 MUHAMMAD HAIRUL MA</t>
  </si>
  <si>
    <t>2904/FTSCY/WS95051 51833920.00 ah hairul tg 8/4 PHALOSARI UNGGUL J</t>
  </si>
  <si>
    <t>2904/FTSCY/WS95031 1000000.00 SUPRIYADI</t>
  </si>
  <si>
    <t>2904/FTSCY/WS95031 9600000.00 SANDI FAJAR PRASET</t>
  </si>
  <si>
    <t>TARIKAN ATM 29/04</t>
  </si>
  <si>
    <t>2904/FTSCY/WS95031 1000000.00 MUJIANTO</t>
  </si>
  <si>
    <t>TRSF E-BANKING CR TANGGAL :29/04</t>
  </si>
  <si>
    <t>2904/FTSCY/WS95051 SIDO RAYA UTAMA CV</t>
  </si>
  <si>
    <t>3004/FTSCY/WS95031 50000000.00 pelunasan 27.04 BROILER MAKMUR TAN</t>
  </si>
  <si>
    <t>3004/FTSCY/WS95051 120652980.00 krmn 29/4 TERA MAKMURINDO CV</t>
  </si>
  <si>
    <t>3004/FTSCY/WS95051 255520698.00 krmn 29/4 TERA MULIA KORPORI</t>
  </si>
  <si>
    <t>3004/FTSCY/WS95031 1226170.00 RIRIN</t>
  </si>
  <si>
    <t>3004/FTSCY/WS95031 46667340.00 Tue Apr 28 2026 14:00:00 GMT+0700 (Western Indonesia Time) BINTANG TAMA SANTO</t>
  </si>
  <si>
    <t>3004/FTSCY/WS95271 71300700.00 Tue Apr 28 2026 14:00:00 GMT+0700 (Western Indonesia Time) GANESHA SATRIA NUS</t>
  </si>
  <si>
    <t>3004/FTSCY/WS95271 95961600.00 Tue Apr 28 2026 14:00:00 GMT+0700 (Western Indonesia Time) SUPER UNGGAS JAYA</t>
  </si>
  <si>
    <t>3004/FTSCY/WS95031 1799280.00 NURHAYATI</t>
  </si>
  <si>
    <t>3004/FTFVA/WS95031 55569/PT PRIMA FAJ mlg 3 ton - 40190</t>
  </si>
  <si>
    <t>3004/FTSCY/WS95271 5621600.00 lunas HERMAWAN</t>
  </si>
  <si>
    <t>3004/FTSCY/WS95271 117942480.00 Tue Apr 28 2026 14:00:00 GMT+0700 (Western Indonesia Time) RUKUN MITRA BERSAM</t>
  </si>
  <si>
    <t>3004/FTSCY/WS95271 4063000.00 SUNARTO</t>
  </si>
  <si>
    <t>DR KOREKSI BUNGA</t>
  </si>
  <si>
    <t>BUNGA</t>
  </si>
  <si>
    <t>PAJAK BUNGA</t>
  </si>
  <si>
    <t xml:space="preserve"> SALDO AWAL : MUTASI CR : MUTASI DB : SALDO AKHIR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</si>
</sst>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d&quot;/&quot;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2" numFmtId="2" xfId="0" applyAlignment="1" applyFont="1" applyNumberFormat="1">
      <alignment vertical="bottom"/>
    </xf>
    <xf borderId="0" fillId="0" fontId="2" numFmtId="2" xfId="0" applyAlignment="1" applyFont="1" applyNumberFormat="1">
      <alignment readingOrder="0" vertical="bottom"/>
    </xf>
    <xf borderId="0" fillId="2" fontId="1" numFmtId="0" xfId="0" applyAlignment="1" applyFill="1" applyFont="1">
      <alignment readingOrder="0"/>
    </xf>
    <xf borderId="0" fillId="0" fontId="1" numFmtId="165" xfId="0" applyFont="1" applyNumberFormat="1"/>
    <xf borderId="0" fillId="2" fontId="1" numFmtId="164" xfId="0" applyAlignment="1" applyFill="1" applyFont="1" applyNumberFormat="1">
      <alignment readingOrder="0"/>
    </xf>
    <xf borderId="0" fillId="2" fontId="1" numFmtId="4" xfId="0" applyAlignment="1" applyFill="1" applyFont="1" applyNumberFormat="1">
      <alignment readingOrder="0"/>
    </xf>
    <xf borderId="0" fillId="0" fontId="1" numFmtId="2" xfId="0" applyFont="1" applyNumberFormat="1"/>
    <xf borderId="0" fillId="2" fontId="1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63"/>
    <col customWidth="1" min="3" max="3" width="36.38"/>
    <col customWidth="1" min="6" max="6" width="6.38"/>
  </cols>
  <sheetData>
    <row r="1">
      <c r="A1" s="1"/>
      <c r="B1" s="2"/>
      <c r="D1" s="3"/>
      <c r="E1" s="3"/>
      <c r="F1" s="2"/>
      <c r="G1" s="4"/>
      <c r="H1" s="4"/>
      <c r="I1" s="6"/>
    </row>
    <row r="2">
      <c r="A2" s="1">
        <v>46113.0</v>
      </c>
      <c r="B2" s="2" t="s">
        <v>0</v>
      </c>
      <c r="C2" s="2" t="s">
        <v>0</v>
      </c>
      <c r="D2" s="3"/>
      <c r="E2" s="3">
        <f>SUM(E3:E370)</f>
        <v>9780783245</v>
      </c>
      <c r="F2" s="2"/>
      <c r="G2" s="4">
        <v>8.769681933E7</v>
      </c>
      <c r="H2" s="4">
        <v>8.769681933E7</v>
      </c>
      <c r="I2" s="6"/>
    </row>
    <row r="3">
      <c r="A3" s="1">
        <v>46113.0</v>
      </c>
      <c r="B3" s="2" t="s">
        <v>1</v>
      </c>
      <c r="C3" s="2" t="s">
        <v>2</v>
      </c>
      <c r="D3" s="4">
        <v>470000.0</v>
      </c>
      <c r="E3" s="3"/>
      <c r="F3" s="2" t="s">
        <v>3</v>
      </c>
      <c r="G3" s="4">
        <f>G2-D3+E3</f>
        <v>87226819.33</v>
      </c>
      <c r="H3" s="4">
        <v>8.722681933E7</v>
      </c>
      <c r="I3" s="6"/>
    </row>
    <row r="4">
      <c r="A4" s="1">
        <v>46113.0</v>
      </c>
      <c r="B4" s="2" t="s">
        <v>4</v>
      </c>
      <c r="C4" s="2" t="s">
        <v>5</v>
      </c>
      <c r="D4" s="4">
        <v>3.0E7</v>
      </c>
      <c r="E4" s="3"/>
      <c r="F4" s="2" t="s">
        <v>3</v>
      </c>
      <c r="G4" s="4">
        <f t="array" ref="G4:G370">SCAN(G3, MAP(D4:D370, E4:E370, LAMBDA(d, c, IF(AND(d="", c=""), "", N(c) - N(d)))), LAMBDA(saldo, mutasi, IF(mutasi="", "", saldo + mutasi)))</f>
        <v>57226819.33</v>
      </c>
      <c r="H4" s="4"/>
      <c r="I4" s="7" t="s">
        <v>6</v>
      </c>
    </row>
    <row r="5">
      <c r="A5" s="1">
        <v>46113.0</v>
      </c>
      <c r="B5" s="2" t="s">
        <v>4</v>
      </c>
      <c r="C5" s="2" t="s">
        <v>7</v>
      </c>
      <c r="D5" s="4">
        <v>5.18035E7</v>
      </c>
      <c r="E5" s="3"/>
      <c r="F5" s="2" t="s">
        <v>3</v>
      </c>
      <c r="G5" s="4">
        <v>5423319.329999998</v>
      </c>
      <c r="H5" s="4"/>
      <c r="I5" s="7" t="s">
        <v>8</v>
      </c>
    </row>
    <row r="6">
      <c r="A6" s="1">
        <v>46113.0</v>
      </c>
      <c r="B6" s="2" t="s">
        <v>9</v>
      </c>
      <c r="C6" s="2" t="s">
        <v>10</v>
      </c>
      <c r="D6" s="4"/>
      <c r="E6" s="4">
        <v>1.574146E8</v>
      </c>
      <c r="F6" s="2" t="s">
        <v>11</v>
      </c>
      <c r="G6" s="3">
        <v>1.6283791932999998E8</v>
      </c>
      <c r="H6" s="3"/>
      <c r="I6" s="6" t="s">
        <v>12</v>
      </c>
    </row>
    <row r="7">
      <c r="A7" s="1">
        <v>46113.0</v>
      </c>
      <c r="B7" s="2" t="s">
        <v>4</v>
      </c>
      <c r="C7" s="2" t="s">
        <v>13</v>
      </c>
      <c r="D7" s="4">
        <v>4.73511E7</v>
      </c>
      <c r="E7" s="3"/>
      <c r="F7" s="2" t="s">
        <v>3</v>
      </c>
      <c r="G7" s="4">
        <v>1.1548681932999998E8</v>
      </c>
      <c r="H7" s="4"/>
      <c r="I7" s="7" t="s">
        <v>14</v>
      </c>
    </row>
    <row r="8">
      <c r="A8" s="1">
        <v>46113.0</v>
      </c>
      <c r="B8" s="2" t="s">
        <v>9</v>
      </c>
      <c r="C8" s="2" t="s">
        <v>15</v>
      </c>
      <c r="D8" s="4"/>
      <c r="E8" s="4">
        <v>4.77744E7</v>
      </c>
      <c r="F8" s="2" t="s">
        <v>11</v>
      </c>
      <c r="G8" s="3">
        <v>1.6326121932999998E8</v>
      </c>
      <c r="H8" s="3"/>
      <c r="I8" s="6" t="s">
        <v>16</v>
      </c>
    </row>
    <row r="9">
      <c r="A9" s="1">
        <v>46113.0</v>
      </c>
      <c r="B9" s="2" t="s">
        <v>9</v>
      </c>
      <c r="C9" s="2" t="s">
        <v>17</v>
      </c>
      <c r="D9" s="4"/>
      <c r="E9" s="4">
        <v>5.79618E7</v>
      </c>
      <c r="F9" s="2" t="s">
        <v>11</v>
      </c>
      <c r="G9" s="3">
        <v>2.2122301932999998E8</v>
      </c>
      <c r="H9" s="3"/>
      <c r="I9" s="6" t="s">
        <v>16</v>
      </c>
    </row>
    <row r="10">
      <c r="A10" s="1">
        <v>46113.0</v>
      </c>
      <c r="B10" s="2" t="s">
        <v>9</v>
      </c>
      <c r="C10" s="2" t="s">
        <v>18</v>
      </c>
      <c r="D10" s="4"/>
      <c r="E10" s="4">
        <v>1.0E8</v>
      </c>
      <c r="F10" s="2" t="s">
        <v>11</v>
      </c>
      <c r="G10" s="3">
        <v>3.2122301933E8</v>
      </c>
      <c r="H10" s="3"/>
      <c r="I10" s="6" t="s">
        <v>16</v>
      </c>
    </row>
    <row r="11">
      <c r="A11" s="1">
        <v>46113.0</v>
      </c>
      <c r="B11" s="2" t="s">
        <v>9</v>
      </c>
      <c r="C11" s="2" t="s">
        <v>19</v>
      </c>
      <c r="D11" s="4"/>
      <c r="E11" s="4">
        <v>1.085248E8</v>
      </c>
      <c r="F11" s="2" t="s">
        <v>11</v>
      </c>
      <c r="G11" s="3">
        <v>4.2974781933E8</v>
      </c>
      <c r="H11" s="3"/>
      <c r="I11" s="6" t="s">
        <v>16</v>
      </c>
    </row>
    <row r="12">
      <c r="A12" s="1">
        <v>46113.0</v>
      </c>
      <c r="B12" s="2" t="s">
        <v>4</v>
      </c>
      <c r="C12" s="2" t="s">
        <v>20</v>
      </c>
      <c r="D12" s="4">
        <v>5.04835E7</v>
      </c>
      <c r="E12" s="3"/>
      <c r="F12" s="2" t="s">
        <v>3</v>
      </c>
      <c r="G12" s="4">
        <v>3.7926431933E8</v>
      </c>
      <c r="H12" s="4"/>
      <c r="I12" s="6" t="s">
        <v>16</v>
      </c>
    </row>
    <row r="13">
      <c r="A13" s="1">
        <v>46113.0</v>
      </c>
      <c r="B13" s="2" t="s">
        <v>4</v>
      </c>
      <c r="C13" s="2" t="s">
        <v>21</v>
      </c>
      <c r="D13" s="4">
        <v>4.93038E7</v>
      </c>
      <c r="E13" s="3"/>
      <c r="F13" s="2" t="s">
        <v>3</v>
      </c>
      <c r="G13" s="4">
        <v>3.2996051933E8</v>
      </c>
      <c r="H13" s="4"/>
      <c r="I13" s="6" t="s">
        <v>16</v>
      </c>
    </row>
    <row r="14">
      <c r="A14" s="1">
        <v>46113.0</v>
      </c>
      <c r="B14" s="2" t="s">
        <v>9</v>
      </c>
      <c r="C14" s="2" t="s">
        <v>22</v>
      </c>
      <c r="D14" s="4"/>
      <c r="E14" s="4">
        <v>1.487298E8</v>
      </c>
      <c r="F14" s="2" t="s">
        <v>11</v>
      </c>
      <c r="G14" s="4">
        <v>4.7869031933E8</v>
      </c>
      <c r="H14" s="4">
        <v>4.7869031933E8</v>
      </c>
      <c r="I14" s="6" t="s">
        <v>16</v>
      </c>
    </row>
    <row r="15">
      <c r="A15" s="1">
        <v>46113.0</v>
      </c>
      <c r="B15" s="2" t="s">
        <v>4</v>
      </c>
      <c r="C15" s="2" t="s">
        <v>23</v>
      </c>
      <c r="D15" s="4">
        <v>2219760.0</v>
      </c>
      <c r="E15" s="3"/>
      <c r="F15" s="2" t="s">
        <v>3</v>
      </c>
      <c r="G15" s="4">
        <v>4.7647055933E8</v>
      </c>
      <c r="H15" s="4">
        <v>4.7647055933E8</v>
      </c>
      <c r="I15" s="6" t="s">
        <v>16</v>
      </c>
    </row>
    <row r="16">
      <c r="A16" s="1">
        <v>46114.0</v>
      </c>
      <c r="B16" s="2" t="s">
        <v>24</v>
      </c>
      <c r="C16" s="2" t="s">
        <v>25</v>
      </c>
      <c r="D16" s="4">
        <v>4.8176E7</v>
      </c>
      <c r="E16" s="3"/>
      <c r="F16" s="2" t="s">
        <v>3</v>
      </c>
      <c r="G16" s="3">
        <v>4.2829455933E8</v>
      </c>
      <c r="H16" s="3"/>
      <c r="I16" s="6" t="s">
        <v>16</v>
      </c>
    </row>
    <row r="17">
      <c r="A17" s="1">
        <v>46114.0</v>
      </c>
      <c r="B17" s="2" t="s">
        <v>24</v>
      </c>
      <c r="C17" s="2" t="s">
        <v>26</v>
      </c>
      <c r="D17" s="4">
        <v>4.710942E7</v>
      </c>
      <c r="E17" s="3"/>
      <c r="F17" s="2" t="s">
        <v>3</v>
      </c>
      <c r="G17" s="3">
        <v>3.8118513933E8</v>
      </c>
      <c r="H17" s="3"/>
      <c r="I17" s="6" t="s">
        <v>16</v>
      </c>
    </row>
    <row r="18">
      <c r="A18" s="1">
        <v>46114.0</v>
      </c>
      <c r="B18" s="2" t="s">
        <v>24</v>
      </c>
      <c r="C18" s="2" t="s">
        <v>27</v>
      </c>
      <c r="D18" s="4">
        <v>1.333E8</v>
      </c>
      <c r="E18" s="3"/>
      <c r="F18" s="2" t="s">
        <v>3</v>
      </c>
      <c r="G18" s="3">
        <v>2.4788513932999998E8</v>
      </c>
      <c r="H18" s="3"/>
      <c r="I18" s="6" t="s">
        <v>16</v>
      </c>
    </row>
    <row r="19">
      <c r="A19" s="1">
        <v>46114.0</v>
      </c>
      <c r="B19" s="2" t="s">
        <v>24</v>
      </c>
      <c r="C19" s="2" t="s">
        <v>28</v>
      </c>
      <c r="D19" s="4">
        <v>1.085248E8</v>
      </c>
      <c r="E19" s="3"/>
      <c r="F19" s="2" t="s">
        <v>3</v>
      </c>
      <c r="G19" s="3">
        <v>1.3936033932999998E8</v>
      </c>
      <c r="H19" s="3"/>
      <c r="I19" s="6" t="s">
        <v>16</v>
      </c>
    </row>
    <row r="20">
      <c r="A20" s="1">
        <v>46114.0</v>
      </c>
      <c r="B20" s="2" t="s">
        <v>24</v>
      </c>
      <c r="C20" s="2" t="s">
        <v>29</v>
      </c>
      <c r="D20" s="4">
        <v>4.8176E7</v>
      </c>
      <c r="E20" s="3"/>
      <c r="F20" s="2" t="s">
        <v>3</v>
      </c>
      <c r="G20" s="3">
        <v>9.118433932999998E7</v>
      </c>
      <c r="H20" s="3"/>
      <c r="I20" s="6"/>
    </row>
    <row r="21">
      <c r="A21" s="1">
        <v>46114.0</v>
      </c>
      <c r="B21" s="2" t="s">
        <v>24</v>
      </c>
      <c r="C21" s="2" t="s">
        <v>30</v>
      </c>
      <c r="D21" s="4">
        <v>4.3524E7</v>
      </c>
      <c r="E21" s="3"/>
      <c r="F21" s="2" t="s">
        <v>3</v>
      </c>
      <c r="G21" s="3">
        <v>4.766033932999998E7</v>
      </c>
      <c r="H21" s="3"/>
      <c r="I21" s="6"/>
    </row>
    <row r="22">
      <c r="A22" s="1">
        <v>46114.0</v>
      </c>
      <c r="B22" s="2" t="s">
        <v>24</v>
      </c>
      <c r="C22" s="2" t="s">
        <v>31</v>
      </c>
      <c r="D22" s="4">
        <v>1.1724E7</v>
      </c>
      <c r="E22" s="3"/>
      <c r="F22" s="2" t="s">
        <v>3</v>
      </c>
      <c r="G22" s="3">
        <v>3.593633932999998E7</v>
      </c>
      <c r="H22" s="3"/>
      <c r="I22" s="6" t="s">
        <v>16</v>
      </c>
    </row>
    <row r="23">
      <c r="A23" s="1">
        <v>46114.0</v>
      </c>
      <c r="B23" s="2" t="s">
        <v>24</v>
      </c>
      <c r="C23" s="2" t="s">
        <v>32</v>
      </c>
      <c r="D23" s="4">
        <v>1500000.0</v>
      </c>
      <c r="E23" s="3"/>
      <c r="F23" s="2" t="s">
        <v>3</v>
      </c>
      <c r="G23" s="3">
        <v>3.443633932999998E7</v>
      </c>
      <c r="H23" s="3"/>
      <c r="I23" s="6"/>
    </row>
    <row r="24">
      <c r="A24" s="1">
        <v>46114.0</v>
      </c>
      <c r="B24" s="2" t="s">
        <v>4</v>
      </c>
      <c r="C24" s="2" t="s">
        <v>33</v>
      </c>
      <c r="D24" s="4">
        <v>9000000.0</v>
      </c>
      <c r="E24" s="3"/>
      <c r="F24" s="2" t="s">
        <v>3</v>
      </c>
      <c r="G24" s="3">
        <v>2.5436339329999983E7</v>
      </c>
      <c r="H24" s="3"/>
      <c r="I24" s="6"/>
    </row>
    <row r="25">
      <c r="A25" s="1">
        <v>46114.0</v>
      </c>
      <c r="B25" s="2" t="s">
        <v>9</v>
      </c>
      <c r="C25" s="2" t="s">
        <v>34</v>
      </c>
      <c r="D25" s="4"/>
      <c r="E25" s="4">
        <v>9000000.0</v>
      </c>
      <c r="F25" s="2" t="s">
        <v>11</v>
      </c>
      <c r="G25" s="3">
        <v>3.443633932999998E7</v>
      </c>
      <c r="H25" s="3"/>
      <c r="I25" s="6" t="s">
        <v>16</v>
      </c>
    </row>
    <row r="26">
      <c r="A26" s="1">
        <v>46114.0</v>
      </c>
      <c r="B26" s="2" t="s">
        <v>9</v>
      </c>
      <c r="C26" s="2" t="s">
        <v>35</v>
      </c>
      <c r="D26" s="4"/>
      <c r="E26" s="4">
        <v>3.0E7</v>
      </c>
      <c r="F26" s="2" t="s">
        <v>11</v>
      </c>
      <c r="G26" s="3">
        <v>6.443633932999998E7</v>
      </c>
      <c r="H26" s="3"/>
      <c r="I26" s="6" t="s">
        <v>16</v>
      </c>
    </row>
    <row r="27">
      <c r="A27" s="1">
        <v>46114.0</v>
      </c>
      <c r="B27" s="2" t="s">
        <v>4</v>
      </c>
      <c r="C27" s="2" t="s">
        <v>36</v>
      </c>
      <c r="D27" s="4">
        <v>4.213388E7</v>
      </c>
      <c r="E27" s="3"/>
      <c r="F27" s="2" t="s">
        <v>3</v>
      </c>
      <c r="G27" s="4">
        <v>2.2302459329999983E7</v>
      </c>
      <c r="H27" s="4">
        <v>2.230245933E7</v>
      </c>
      <c r="I27" s="6"/>
    </row>
    <row r="28">
      <c r="A28" s="1">
        <v>46114.0</v>
      </c>
      <c r="B28" s="2" t="s">
        <v>4</v>
      </c>
      <c r="C28" s="2" t="s">
        <v>37</v>
      </c>
      <c r="D28" s="4">
        <v>300000.0</v>
      </c>
      <c r="E28" s="3"/>
      <c r="F28" s="2" t="s">
        <v>3</v>
      </c>
      <c r="G28" s="4">
        <v>2.2002459329999983E7</v>
      </c>
      <c r="H28" s="4">
        <v>2.200245933E7</v>
      </c>
      <c r="I28" s="6" t="s">
        <v>16</v>
      </c>
    </row>
    <row r="29">
      <c r="A29" s="1">
        <v>46114.0</v>
      </c>
      <c r="B29" s="2" t="s">
        <v>4</v>
      </c>
      <c r="C29" s="2" t="s">
        <v>38</v>
      </c>
      <c r="D29" s="4">
        <v>1.5E7</v>
      </c>
      <c r="E29" s="3"/>
      <c r="F29" s="2" t="s">
        <v>3</v>
      </c>
      <c r="G29" s="3">
        <v>7002459.329999983</v>
      </c>
      <c r="H29" s="3"/>
      <c r="I29" s="6" t="s">
        <v>16</v>
      </c>
    </row>
    <row r="30">
      <c r="A30" s="1">
        <v>46114.0</v>
      </c>
      <c r="B30" s="2" t="s">
        <v>4</v>
      </c>
      <c r="C30" s="2" t="s">
        <v>39</v>
      </c>
      <c r="D30" s="4">
        <v>1000000.0</v>
      </c>
      <c r="E30" s="3"/>
      <c r="F30" s="2" t="s">
        <v>3</v>
      </c>
      <c r="G30" s="4">
        <v>6002459.329999983</v>
      </c>
      <c r="H30" s="4">
        <v>6002459.33</v>
      </c>
      <c r="I30" s="6"/>
    </row>
    <row r="31">
      <c r="A31" s="1">
        <v>46115.0</v>
      </c>
      <c r="B31" s="2" t="s">
        <v>40</v>
      </c>
      <c r="C31" s="2" t="s">
        <v>41</v>
      </c>
      <c r="D31" s="4">
        <v>95000.0</v>
      </c>
      <c r="E31" s="3"/>
      <c r="F31" s="2" t="s">
        <v>3</v>
      </c>
      <c r="G31" s="3">
        <v>5907459.329999983</v>
      </c>
      <c r="H31" s="3"/>
      <c r="I31" s="6"/>
    </row>
    <row r="32">
      <c r="A32" s="1">
        <v>46115.0</v>
      </c>
      <c r="B32" s="2" t="s">
        <v>40</v>
      </c>
      <c r="C32" s="2" t="s">
        <v>42</v>
      </c>
      <c r="D32" s="4">
        <v>2500.0</v>
      </c>
      <c r="E32" s="3"/>
      <c r="F32" s="2" t="s">
        <v>3</v>
      </c>
      <c r="G32" s="3">
        <v>5904959.329999983</v>
      </c>
      <c r="H32" s="3"/>
      <c r="I32" s="7" t="s">
        <v>43</v>
      </c>
    </row>
    <row r="33">
      <c r="A33" s="1">
        <v>46115.0</v>
      </c>
      <c r="B33" s="2" t="s">
        <v>4</v>
      </c>
      <c r="C33" s="2" t="s">
        <v>44</v>
      </c>
      <c r="D33" s="4">
        <v>100000.0</v>
      </c>
      <c r="E33" s="3"/>
      <c r="F33" s="2" t="s">
        <v>3</v>
      </c>
      <c r="G33" s="3">
        <v>5804959.329999983</v>
      </c>
      <c r="H33" s="3"/>
      <c r="I33" s="7" t="s">
        <v>43</v>
      </c>
    </row>
    <row r="34">
      <c r="A34" s="1">
        <v>46115.0</v>
      </c>
      <c r="B34" s="2" t="s">
        <v>9</v>
      </c>
      <c r="C34" s="2" t="s">
        <v>45</v>
      </c>
      <c r="D34" s="4"/>
      <c r="E34" s="4">
        <v>6.812744E7</v>
      </c>
      <c r="F34" s="2" t="s">
        <v>11</v>
      </c>
      <c r="G34" s="3">
        <v>7.393239932999998E7</v>
      </c>
      <c r="H34" s="3"/>
      <c r="I34" s="6" t="s">
        <v>16</v>
      </c>
    </row>
    <row r="35">
      <c r="A35" s="1">
        <v>46115.0</v>
      </c>
      <c r="B35" s="2" t="s">
        <v>4</v>
      </c>
      <c r="C35" s="2" t="s">
        <v>46</v>
      </c>
      <c r="D35" s="4">
        <v>4276400.0</v>
      </c>
      <c r="E35" s="3"/>
      <c r="F35" s="2" t="s">
        <v>3</v>
      </c>
      <c r="G35" s="3">
        <v>6.965599932999998E7</v>
      </c>
      <c r="H35" s="3"/>
      <c r="I35" s="6" t="s">
        <v>16</v>
      </c>
    </row>
    <row r="36">
      <c r="A36" s="1">
        <v>46115.0</v>
      </c>
      <c r="B36" s="2" t="s">
        <v>9</v>
      </c>
      <c r="C36" s="2" t="s">
        <v>47</v>
      </c>
      <c r="D36" s="4"/>
      <c r="E36" s="4">
        <v>3.4865896E8</v>
      </c>
      <c r="F36" s="2" t="s">
        <v>11</v>
      </c>
      <c r="G36" s="3">
        <v>4.1831495933E8</v>
      </c>
      <c r="H36" s="3"/>
      <c r="I36" s="6" t="s">
        <v>43</v>
      </c>
    </row>
    <row r="37">
      <c r="A37" s="1">
        <v>46115.0</v>
      </c>
      <c r="B37" s="2" t="s">
        <v>4</v>
      </c>
      <c r="C37" s="2" t="s">
        <v>48</v>
      </c>
      <c r="D37" s="4">
        <v>1.512888E8</v>
      </c>
      <c r="E37" s="3"/>
      <c r="F37" s="2" t="s">
        <v>3</v>
      </c>
      <c r="G37" s="3">
        <v>2.6702615932999998E8</v>
      </c>
      <c r="H37" s="3"/>
      <c r="I37" s="6" t="s">
        <v>16</v>
      </c>
    </row>
    <row r="38">
      <c r="A38" s="1">
        <v>46115.0</v>
      </c>
      <c r="B38" s="2" t="s">
        <v>4</v>
      </c>
      <c r="C38" s="2" t="s">
        <v>49</v>
      </c>
      <c r="D38" s="4">
        <v>6.307475E7</v>
      </c>
      <c r="E38" s="3"/>
      <c r="F38" s="2" t="s">
        <v>3</v>
      </c>
      <c r="G38" s="3">
        <v>2.0395140932999998E8</v>
      </c>
      <c r="H38" s="3"/>
      <c r="I38" s="6"/>
    </row>
    <row r="39">
      <c r="A39" s="1">
        <v>46115.0</v>
      </c>
      <c r="B39" s="2" t="s">
        <v>4</v>
      </c>
      <c r="C39" s="2" t="s">
        <v>50</v>
      </c>
      <c r="D39" s="4">
        <v>4.311063E7</v>
      </c>
      <c r="E39" s="3"/>
      <c r="F39" s="2" t="s">
        <v>3</v>
      </c>
      <c r="G39" s="3">
        <v>1.6084077932999998E8</v>
      </c>
      <c r="H39" s="3"/>
      <c r="I39" s="6"/>
    </row>
    <row r="40">
      <c r="A40" s="1">
        <v>46115.0</v>
      </c>
      <c r="B40" s="2" t="s">
        <v>4</v>
      </c>
      <c r="C40" s="2" t="s">
        <v>51</v>
      </c>
      <c r="D40" s="4">
        <v>5.0E7</v>
      </c>
      <c r="E40" s="3"/>
      <c r="F40" s="2" t="s">
        <v>3</v>
      </c>
      <c r="G40" s="4">
        <v>1.1084077932999998E8</v>
      </c>
      <c r="H40" s="4">
        <v>1.1084077933E8</v>
      </c>
      <c r="I40" s="6" t="s">
        <v>16</v>
      </c>
    </row>
    <row r="41">
      <c r="A41" s="1">
        <v>46115.0</v>
      </c>
      <c r="B41" s="2" t="s">
        <v>4</v>
      </c>
      <c r="C41" s="2" t="s">
        <v>52</v>
      </c>
      <c r="D41" s="4">
        <v>4.71375E7</v>
      </c>
      <c r="E41" s="3"/>
      <c r="F41" s="2" t="s">
        <v>3</v>
      </c>
      <c r="G41" s="4">
        <v>6.370327932999998E7</v>
      </c>
      <c r="H41" s="4">
        <v>6.370327933E7</v>
      </c>
      <c r="I41" s="6" t="s">
        <v>16</v>
      </c>
    </row>
    <row r="42">
      <c r="A42" s="1">
        <v>46115.0</v>
      </c>
      <c r="B42" s="2" t="s">
        <v>4</v>
      </c>
      <c r="C42" s="2" t="s">
        <v>53</v>
      </c>
      <c r="D42" s="4">
        <v>942750.0</v>
      </c>
      <c r="E42" s="3"/>
      <c r="F42" s="2" t="s">
        <v>3</v>
      </c>
      <c r="G42" s="3">
        <v>6.276052932999998E7</v>
      </c>
      <c r="H42" s="3"/>
      <c r="I42" s="6"/>
    </row>
    <row r="43">
      <c r="A43" s="1">
        <v>46115.0</v>
      </c>
      <c r="B43" s="2" t="s">
        <v>4</v>
      </c>
      <c r="C43" s="2" t="s">
        <v>54</v>
      </c>
      <c r="D43" s="4">
        <v>3.19903E7</v>
      </c>
      <c r="E43" s="3"/>
      <c r="F43" s="2" t="s">
        <v>3</v>
      </c>
      <c r="G43" s="3">
        <v>3.0770229329999983E7</v>
      </c>
      <c r="H43" s="3"/>
      <c r="I43" s="6" t="s">
        <v>16</v>
      </c>
    </row>
    <row r="44">
      <c r="A44" s="1">
        <v>46115.0</v>
      </c>
      <c r="B44" s="2" t="s">
        <v>9</v>
      </c>
      <c r="C44" s="2" t="s">
        <v>55</v>
      </c>
      <c r="D44" s="4"/>
      <c r="E44" s="4">
        <v>2.02164E7</v>
      </c>
      <c r="F44" s="2" t="s">
        <v>11</v>
      </c>
      <c r="G44" s="3">
        <v>5.098662932999998E7</v>
      </c>
      <c r="H44" s="3"/>
      <c r="I44" s="6" t="s">
        <v>16</v>
      </c>
    </row>
    <row r="45">
      <c r="A45" s="1">
        <v>46115.0</v>
      </c>
      <c r="B45" s="2" t="s">
        <v>4</v>
      </c>
      <c r="C45" s="2" t="s">
        <v>56</v>
      </c>
      <c r="D45" s="4">
        <v>7159120.0</v>
      </c>
      <c r="E45" s="3"/>
      <c r="F45" s="2" t="s">
        <v>3</v>
      </c>
      <c r="G45" s="3">
        <v>4.382750932999998E7</v>
      </c>
      <c r="H45" s="3"/>
      <c r="I45" s="6" t="s">
        <v>16</v>
      </c>
    </row>
    <row r="46">
      <c r="A46" s="1">
        <v>46115.0</v>
      </c>
      <c r="B46" s="2" t="s">
        <v>9</v>
      </c>
      <c r="C46" s="2" t="s">
        <v>57</v>
      </c>
      <c r="D46" s="4"/>
      <c r="E46" s="4">
        <v>2.6159184E8</v>
      </c>
      <c r="F46" s="2" t="s">
        <v>11</v>
      </c>
      <c r="G46" s="3">
        <v>3.0541934933E8</v>
      </c>
      <c r="H46" s="3"/>
      <c r="I46" s="6" t="s">
        <v>16</v>
      </c>
    </row>
    <row r="47">
      <c r="A47" s="1">
        <v>46115.0</v>
      </c>
      <c r="B47" s="2" t="s">
        <v>9</v>
      </c>
      <c r="C47" s="2" t="s">
        <v>58</v>
      </c>
      <c r="D47" s="4"/>
      <c r="E47" s="4">
        <v>5.928E7</v>
      </c>
      <c r="F47" s="2" t="s">
        <v>11</v>
      </c>
      <c r="G47" s="3">
        <v>3.6469934933E8</v>
      </c>
      <c r="H47" s="3"/>
      <c r="I47" s="6" t="s">
        <v>16</v>
      </c>
    </row>
    <row r="48">
      <c r="A48" s="1">
        <v>46115.0</v>
      </c>
      <c r="B48" s="2" t="s">
        <v>4</v>
      </c>
      <c r="C48" s="2" t="s">
        <v>59</v>
      </c>
      <c r="D48" s="4">
        <v>4.71E7</v>
      </c>
      <c r="E48" s="3"/>
      <c r="F48" s="2" t="s">
        <v>3</v>
      </c>
      <c r="G48" s="3">
        <v>3.1759934933E8</v>
      </c>
      <c r="H48" s="3"/>
      <c r="I48" s="6"/>
    </row>
    <row r="49">
      <c r="A49" s="1">
        <v>46115.0</v>
      </c>
      <c r="B49" s="2" t="s">
        <v>4</v>
      </c>
      <c r="C49" s="2" t="s">
        <v>60</v>
      </c>
      <c r="D49" s="4">
        <v>2.8307596E8</v>
      </c>
      <c r="E49" s="3"/>
      <c r="F49" s="2" t="s">
        <v>3</v>
      </c>
      <c r="G49" s="3">
        <v>3.452338932999998E7</v>
      </c>
      <c r="H49" s="3"/>
      <c r="I49" s="6" t="s">
        <v>16</v>
      </c>
    </row>
    <row r="50">
      <c r="A50" s="1">
        <v>46115.0</v>
      </c>
      <c r="B50" s="2" t="s">
        <v>4</v>
      </c>
      <c r="C50" s="2" t="s">
        <v>61</v>
      </c>
      <c r="D50" s="4">
        <v>2000000.0</v>
      </c>
      <c r="E50" s="3"/>
      <c r="F50" s="2" t="s">
        <v>3</v>
      </c>
      <c r="G50" s="3">
        <v>3.2523389329999983E7</v>
      </c>
      <c r="H50" s="3"/>
      <c r="I50" s="6"/>
    </row>
    <row r="51">
      <c r="A51" s="1">
        <v>46115.0</v>
      </c>
      <c r="B51" s="2" t="s">
        <v>4</v>
      </c>
      <c r="C51" s="2" t="s">
        <v>62</v>
      </c>
      <c r="D51" s="4">
        <v>1.74601E7</v>
      </c>
      <c r="E51" s="3"/>
      <c r="F51" s="2" t="s">
        <v>3</v>
      </c>
      <c r="G51" s="3">
        <v>1.5063289329999983E7</v>
      </c>
      <c r="H51" s="3"/>
      <c r="I51" s="6" t="s">
        <v>16</v>
      </c>
    </row>
    <row r="52">
      <c r="A52" s="1">
        <v>46115.0</v>
      </c>
      <c r="B52" s="2" t="s">
        <v>9</v>
      </c>
      <c r="C52" s="2" t="s">
        <v>63</v>
      </c>
      <c r="D52" s="4"/>
      <c r="E52" s="4">
        <v>1.911561E8</v>
      </c>
      <c r="F52" s="2" t="s">
        <v>11</v>
      </c>
      <c r="G52" s="3">
        <v>2.0621938932999998E8</v>
      </c>
      <c r="H52" s="3"/>
      <c r="I52" s="6" t="s">
        <v>16</v>
      </c>
    </row>
    <row r="53">
      <c r="A53" s="1">
        <v>46115.0</v>
      </c>
      <c r="B53" s="2" t="s">
        <v>4</v>
      </c>
      <c r="C53" s="2" t="s">
        <v>64</v>
      </c>
      <c r="D53" s="4">
        <v>4.98771E7</v>
      </c>
      <c r="E53" s="3"/>
      <c r="F53" s="2" t="s">
        <v>3</v>
      </c>
      <c r="G53" s="4">
        <v>1.5634228932999998E8</v>
      </c>
      <c r="H53" s="4">
        <v>1.5634228933E8</v>
      </c>
      <c r="I53" s="6" t="s">
        <v>16</v>
      </c>
    </row>
    <row r="54">
      <c r="A54" s="1">
        <v>46116.0</v>
      </c>
      <c r="B54" s="2" t="s">
        <v>4</v>
      </c>
      <c r="C54" s="2" t="s">
        <v>65</v>
      </c>
      <c r="D54" s="4">
        <v>100000.0</v>
      </c>
      <c r="E54" s="3"/>
      <c r="F54" s="2" t="s">
        <v>3</v>
      </c>
      <c r="G54" s="4">
        <v>1.5624228932999998E8</v>
      </c>
      <c r="H54" s="4">
        <v>1.5624228933E8</v>
      </c>
      <c r="I54" s="6"/>
    </row>
    <row r="55">
      <c r="A55" s="1">
        <v>46116.0</v>
      </c>
      <c r="B55" s="2" t="s">
        <v>9</v>
      </c>
      <c r="C55" s="2" t="s">
        <v>66</v>
      </c>
      <c r="D55" s="4"/>
      <c r="E55" s="4">
        <v>3.1056529E8</v>
      </c>
      <c r="F55" s="2" t="s">
        <v>11</v>
      </c>
      <c r="G55" s="3">
        <v>4.6680757933E8</v>
      </c>
      <c r="H55" s="3"/>
      <c r="I55" s="6" t="s">
        <v>16</v>
      </c>
    </row>
    <row r="56">
      <c r="A56" s="1">
        <v>46116.0</v>
      </c>
      <c r="B56" s="2" t="s">
        <v>4</v>
      </c>
      <c r="C56" s="2" t="s">
        <v>67</v>
      </c>
      <c r="D56" s="4">
        <v>2.0885475E8</v>
      </c>
      <c r="E56" s="3"/>
      <c r="F56" s="2" t="s">
        <v>3</v>
      </c>
      <c r="G56" s="3">
        <v>2.5795282932999998E8</v>
      </c>
      <c r="H56" s="3"/>
      <c r="I56" s="6" t="s">
        <v>16</v>
      </c>
    </row>
    <row r="57">
      <c r="A57" s="1">
        <v>46116.0</v>
      </c>
      <c r="B57" s="2" t="s">
        <v>4</v>
      </c>
      <c r="C57" s="2" t="s">
        <v>68</v>
      </c>
      <c r="D57" s="4">
        <v>9.32387E7</v>
      </c>
      <c r="E57" s="3"/>
      <c r="F57" s="2" t="s">
        <v>3</v>
      </c>
      <c r="G57" s="3">
        <v>1.6471412932999998E8</v>
      </c>
      <c r="H57" s="3"/>
      <c r="I57" s="6" t="s">
        <v>16</v>
      </c>
    </row>
    <row r="58">
      <c r="A58" s="1">
        <v>46116.0</v>
      </c>
      <c r="B58" s="2" t="s">
        <v>9</v>
      </c>
      <c r="C58" s="2" t="s">
        <v>69</v>
      </c>
      <c r="D58" s="4"/>
      <c r="E58" s="4">
        <v>1.056874E8</v>
      </c>
      <c r="F58" s="2" t="s">
        <v>11</v>
      </c>
      <c r="G58" s="3">
        <v>2.7040152933E8</v>
      </c>
      <c r="H58" s="3"/>
      <c r="I58" s="6" t="s">
        <v>16</v>
      </c>
    </row>
    <row r="59">
      <c r="A59" s="1">
        <v>46116.0</v>
      </c>
      <c r="B59" s="2" t="s">
        <v>4</v>
      </c>
      <c r="C59" s="2" t="s">
        <v>70</v>
      </c>
      <c r="D59" s="4">
        <v>45530.0</v>
      </c>
      <c r="E59" s="3"/>
      <c r="F59" s="2" t="s">
        <v>3</v>
      </c>
      <c r="G59" s="3">
        <v>2.7035599933E8</v>
      </c>
      <c r="H59" s="3"/>
      <c r="I59" s="6"/>
    </row>
    <row r="60">
      <c r="A60" s="1">
        <v>46116.0</v>
      </c>
      <c r="B60" s="2" t="s">
        <v>40</v>
      </c>
      <c r="C60" s="2" t="s">
        <v>71</v>
      </c>
      <c r="D60" s="4">
        <v>7.5E7</v>
      </c>
      <c r="E60" s="3"/>
      <c r="F60" s="2" t="s">
        <v>3</v>
      </c>
      <c r="G60" s="3">
        <v>1.9535599932999998E8</v>
      </c>
      <c r="H60" s="3"/>
      <c r="I60" s="6" t="s">
        <v>16</v>
      </c>
    </row>
    <row r="61">
      <c r="A61" s="1">
        <v>46116.0</v>
      </c>
      <c r="B61" s="2" t="s">
        <v>40</v>
      </c>
      <c r="C61" s="2" t="s">
        <v>72</v>
      </c>
      <c r="D61" s="4">
        <v>2500.0</v>
      </c>
      <c r="E61" s="3"/>
      <c r="F61" s="2" t="s">
        <v>3</v>
      </c>
      <c r="G61" s="3">
        <v>1.9535349932999998E8</v>
      </c>
      <c r="H61" s="3"/>
      <c r="I61" s="6" t="s">
        <v>16</v>
      </c>
    </row>
    <row r="62">
      <c r="A62" s="1">
        <v>46116.0</v>
      </c>
      <c r="B62" s="2" t="s">
        <v>9</v>
      </c>
      <c r="C62" s="2" t="s">
        <v>73</v>
      </c>
      <c r="D62" s="4"/>
      <c r="E62" s="4">
        <v>3.24197E7</v>
      </c>
      <c r="F62" s="2" t="s">
        <v>11</v>
      </c>
      <c r="G62" s="3">
        <v>2.2777319932999998E8</v>
      </c>
      <c r="H62" s="3"/>
      <c r="I62" s="6"/>
    </row>
    <row r="63">
      <c r="A63" s="1">
        <v>46116.0</v>
      </c>
      <c r="B63" s="2" t="s">
        <v>74</v>
      </c>
      <c r="C63" s="2" t="s">
        <v>75</v>
      </c>
      <c r="D63" s="4">
        <v>202500.0</v>
      </c>
      <c r="E63" s="3"/>
      <c r="G63" s="3">
        <v>2.2757069932999998E8</v>
      </c>
      <c r="H63" s="3"/>
      <c r="I63" s="6"/>
    </row>
    <row r="64">
      <c r="A64" s="1">
        <v>46116.0</v>
      </c>
      <c r="B64" s="2" t="s">
        <v>4</v>
      </c>
      <c r="C64" s="2" t="s">
        <v>76</v>
      </c>
      <c r="D64" s="4">
        <v>174000.0</v>
      </c>
      <c r="E64" s="3"/>
      <c r="F64" s="2" t="s">
        <v>3</v>
      </c>
      <c r="G64" s="3">
        <v>2.2739669932999998E8</v>
      </c>
      <c r="H64" s="3"/>
      <c r="I64" s="6"/>
    </row>
    <row r="65">
      <c r="A65" s="1">
        <v>46116.0</v>
      </c>
      <c r="B65" s="2" t="s">
        <v>4</v>
      </c>
      <c r="C65" s="2" t="s">
        <v>77</v>
      </c>
      <c r="D65" s="4">
        <v>3000000.0</v>
      </c>
      <c r="E65" s="3"/>
      <c r="F65" s="2" t="s">
        <v>3</v>
      </c>
      <c r="G65" s="3">
        <v>2.2439669932999998E8</v>
      </c>
      <c r="H65" s="3"/>
      <c r="I65" s="6"/>
    </row>
    <row r="66">
      <c r="A66" s="1">
        <v>46116.0</v>
      </c>
      <c r="B66" s="2" t="s">
        <v>78</v>
      </c>
      <c r="C66" s="2" t="s">
        <v>78</v>
      </c>
      <c r="D66" s="4">
        <v>100000.0</v>
      </c>
      <c r="E66" s="3"/>
      <c r="F66" s="2"/>
      <c r="G66" s="4">
        <v>2.2429669932999998E8</v>
      </c>
      <c r="H66" s="4">
        <v>2.2429669933E8</v>
      </c>
      <c r="I66" s="6"/>
    </row>
    <row r="67">
      <c r="A67" s="1">
        <v>46116.0</v>
      </c>
      <c r="B67" s="2" t="s">
        <v>4</v>
      </c>
      <c r="C67" s="2" t="s">
        <v>79</v>
      </c>
      <c r="D67" s="4">
        <v>600000.0</v>
      </c>
      <c r="E67" s="3"/>
      <c r="F67" s="2" t="s">
        <v>3</v>
      </c>
      <c r="G67" s="4">
        <v>2.2369669932999998E8</v>
      </c>
      <c r="H67" s="4">
        <v>2.2369669933E8</v>
      </c>
      <c r="I67" s="6"/>
    </row>
    <row r="68">
      <c r="A68" s="1">
        <v>46116.0</v>
      </c>
      <c r="B68" s="2" t="s">
        <v>4</v>
      </c>
      <c r="C68" s="2" t="s">
        <v>80</v>
      </c>
      <c r="D68" s="4">
        <v>2216620.0</v>
      </c>
      <c r="E68" s="3"/>
      <c r="F68" s="2" t="s">
        <v>3</v>
      </c>
      <c r="G68" s="3">
        <v>2.2148007932999998E8</v>
      </c>
      <c r="H68" s="3"/>
      <c r="I68" s="6"/>
    </row>
    <row r="69">
      <c r="A69" s="1">
        <v>46116.0</v>
      </c>
      <c r="B69" s="2" t="s">
        <v>4</v>
      </c>
      <c r="C69" s="2" t="s">
        <v>81</v>
      </c>
      <c r="D69" s="4">
        <v>4291500.0</v>
      </c>
      <c r="E69" s="3"/>
      <c r="F69" s="2" t="s">
        <v>3</v>
      </c>
      <c r="G69" s="3">
        <v>2.1718857932999998E8</v>
      </c>
      <c r="H69" s="3"/>
      <c r="I69" s="6"/>
    </row>
    <row r="70">
      <c r="A70" s="1">
        <v>46116.0</v>
      </c>
      <c r="B70" s="2" t="s">
        <v>9</v>
      </c>
      <c r="C70" s="2" t="s">
        <v>82</v>
      </c>
      <c r="D70" s="4"/>
      <c r="E70" s="4">
        <v>3.2302326E8</v>
      </c>
      <c r="F70" s="2" t="s">
        <v>11</v>
      </c>
      <c r="G70" s="3">
        <v>5.402118393299999E8</v>
      </c>
      <c r="H70" s="3"/>
      <c r="I70" s="6"/>
    </row>
    <row r="71">
      <c r="A71" s="1">
        <v>46116.0</v>
      </c>
      <c r="B71" s="2" t="s">
        <v>4</v>
      </c>
      <c r="C71" s="2" t="s">
        <v>83</v>
      </c>
      <c r="D71" s="4">
        <v>3.11006E7</v>
      </c>
      <c r="E71" s="3"/>
      <c r="F71" s="2" t="s">
        <v>3</v>
      </c>
      <c r="G71" s="3">
        <v>5.091112393299999E8</v>
      </c>
      <c r="H71" s="3"/>
      <c r="I71" s="6"/>
    </row>
    <row r="72">
      <c r="A72" s="1">
        <v>46116.0</v>
      </c>
      <c r="B72" s="2" t="s">
        <v>4</v>
      </c>
      <c r="C72" s="2" t="s">
        <v>84</v>
      </c>
      <c r="D72" s="4">
        <v>1.3735825E8</v>
      </c>
      <c r="E72" s="3"/>
      <c r="F72" s="2" t="s">
        <v>3</v>
      </c>
      <c r="G72" s="3">
        <v>3.717529893299999E8</v>
      </c>
      <c r="H72" s="3"/>
      <c r="I72" s="6"/>
    </row>
    <row r="73">
      <c r="A73" s="1">
        <v>46116.0</v>
      </c>
      <c r="B73" s="2" t="s">
        <v>4</v>
      </c>
      <c r="C73" s="2" t="s">
        <v>85</v>
      </c>
      <c r="D73" s="4">
        <v>1.048141E8</v>
      </c>
      <c r="E73" s="3"/>
      <c r="F73" s="2" t="s">
        <v>3</v>
      </c>
      <c r="G73" s="3">
        <v>2.6693888932999992E8</v>
      </c>
      <c r="H73" s="3"/>
      <c r="I73" s="6"/>
    </row>
    <row r="74">
      <c r="A74" s="1">
        <v>46116.0</v>
      </c>
      <c r="B74" s="2" t="s">
        <v>4</v>
      </c>
      <c r="C74" s="2" t="s">
        <v>86</v>
      </c>
      <c r="D74" s="4">
        <v>1.8267735E8</v>
      </c>
      <c r="E74" s="3"/>
      <c r="F74" s="2" t="s">
        <v>3</v>
      </c>
      <c r="G74" s="4">
        <v>8.426153932999992E7</v>
      </c>
      <c r="H74" s="4">
        <v>8.426153933E7</v>
      </c>
      <c r="I74" s="6"/>
    </row>
    <row r="75">
      <c r="A75" s="1">
        <v>46117.0</v>
      </c>
      <c r="B75" s="2" t="s">
        <v>4</v>
      </c>
      <c r="C75" s="2" t="s">
        <v>87</v>
      </c>
      <c r="D75" s="4">
        <v>4.587854E7</v>
      </c>
      <c r="E75" s="3"/>
      <c r="F75" s="2" t="s">
        <v>3</v>
      </c>
      <c r="G75" s="3">
        <v>3.838299932999992E7</v>
      </c>
      <c r="H75" s="3"/>
      <c r="I75" s="6"/>
    </row>
    <row r="76">
      <c r="A76" s="1">
        <v>46117.0</v>
      </c>
      <c r="B76" s="2" t="s">
        <v>9</v>
      </c>
      <c r="C76" s="2" t="s">
        <v>88</v>
      </c>
      <c r="D76" s="4"/>
      <c r="E76" s="4">
        <v>3.3792791E8</v>
      </c>
      <c r="F76" s="2" t="s">
        <v>11</v>
      </c>
      <c r="G76" s="3">
        <v>3.763109093299999E8</v>
      </c>
      <c r="H76" s="3"/>
      <c r="I76" s="6"/>
    </row>
    <row r="77">
      <c r="A77" s="1">
        <v>46117.0</v>
      </c>
      <c r="B77" s="2" t="s">
        <v>4</v>
      </c>
      <c r="C77" s="2" t="s">
        <v>89</v>
      </c>
      <c r="D77" s="4">
        <v>4.84592E7</v>
      </c>
      <c r="E77" s="3"/>
      <c r="F77" s="2" t="s">
        <v>3</v>
      </c>
      <c r="G77" s="3">
        <v>3.278517093299999E8</v>
      </c>
      <c r="H77" s="3"/>
      <c r="I77" s="6"/>
    </row>
    <row r="78">
      <c r="A78" s="1">
        <v>46117.0</v>
      </c>
      <c r="B78" s="2" t="s">
        <v>4</v>
      </c>
      <c r="C78" s="2" t="s">
        <v>90</v>
      </c>
      <c r="D78" s="4">
        <v>150000.0</v>
      </c>
      <c r="E78" s="3"/>
      <c r="F78" s="2" t="s">
        <v>3</v>
      </c>
      <c r="G78" s="3">
        <v>3.277017093299999E8</v>
      </c>
      <c r="H78" s="3"/>
      <c r="I78" s="6"/>
    </row>
    <row r="79">
      <c r="A79" s="1">
        <v>46117.0</v>
      </c>
      <c r="B79" s="2" t="s">
        <v>4</v>
      </c>
      <c r="C79" s="2" t="s">
        <v>91</v>
      </c>
      <c r="D79" s="4">
        <v>1.864556E8</v>
      </c>
      <c r="E79" s="3"/>
      <c r="F79" s="2" t="s">
        <v>3</v>
      </c>
      <c r="G79" s="4">
        <v>1.4124610932999992E8</v>
      </c>
      <c r="H79" s="4">
        <v>1.4124610933E8</v>
      </c>
      <c r="I79" s="6"/>
    </row>
    <row r="80">
      <c r="A80" s="1">
        <v>46117.0</v>
      </c>
      <c r="B80" s="2" t="s">
        <v>4</v>
      </c>
      <c r="C80" s="2" t="s">
        <v>92</v>
      </c>
      <c r="D80" s="4">
        <v>1000000.0</v>
      </c>
      <c r="E80" s="3"/>
      <c r="F80" s="2" t="s">
        <v>3</v>
      </c>
      <c r="G80" s="4">
        <v>1.4024610932999992E8</v>
      </c>
      <c r="H80" s="4">
        <v>1.4024610933E8</v>
      </c>
      <c r="I80" s="6"/>
    </row>
    <row r="81">
      <c r="A81" s="1">
        <v>46117.0</v>
      </c>
      <c r="B81" s="2" t="s">
        <v>9</v>
      </c>
      <c r="C81" s="2" t="s">
        <v>93</v>
      </c>
      <c r="D81" s="4"/>
      <c r="E81" s="4">
        <v>2.7127828E8</v>
      </c>
      <c r="F81" s="2" t="s">
        <v>11</v>
      </c>
      <c r="G81" s="3">
        <v>4.115243893299999E8</v>
      </c>
      <c r="H81" s="3"/>
      <c r="I81" s="6"/>
    </row>
    <row r="82">
      <c r="A82" s="1">
        <v>46117.0</v>
      </c>
      <c r="B82" s="2" t="s">
        <v>40</v>
      </c>
      <c r="C82" s="8" t="s">
        <v>41</v>
      </c>
      <c r="D82" s="4">
        <v>228000.0</v>
      </c>
      <c r="E82" s="3"/>
      <c r="F82" s="2" t="s">
        <v>3</v>
      </c>
      <c r="G82" s="3">
        <v>4.112963893299999E8</v>
      </c>
      <c r="H82" s="3"/>
      <c r="I82" s="6"/>
    </row>
    <row r="83">
      <c r="A83" s="1">
        <v>46117.0</v>
      </c>
      <c r="B83" s="2" t="s">
        <v>40</v>
      </c>
      <c r="C83" s="8" t="s">
        <v>42</v>
      </c>
      <c r="D83" s="4">
        <v>2500.0</v>
      </c>
      <c r="E83" s="3"/>
      <c r="F83" s="2" t="s">
        <v>3</v>
      </c>
      <c r="G83" s="3">
        <v>4.112938893299999E8</v>
      </c>
      <c r="H83" s="3"/>
      <c r="I83" s="6"/>
    </row>
    <row r="84">
      <c r="A84" s="1">
        <v>46117.0</v>
      </c>
      <c r="B84" s="2" t="s">
        <v>9</v>
      </c>
      <c r="C84" s="2" t="s">
        <v>94</v>
      </c>
      <c r="D84" s="4"/>
      <c r="E84" s="4">
        <v>1.3678039E8</v>
      </c>
      <c r="F84" s="2" t="s">
        <v>11</v>
      </c>
      <c r="G84" s="3">
        <v>5.480742793299999E8</v>
      </c>
      <c r="H84" s="3"/>
      <c r="I84" s="6"/>
    </row>
    <row r="85">
      <c r="A85" s="1">
        <v>46117.0</v>
      </c>
      <c r="B85" s="2" t="s">
        <v>9</v>
      </c>
      <c r="C85" s="2" t="s">
        <v>95</v>
      </c>
      <c r="D85" s="4"/>
      <c r="E85" s="4">
        <v>100000.0</v>
      </c>
      <c r="F85" s="2" t="s">
        <v>11</v>
      </c>
      <c r="G85" s="4">
        <v>5.481742793299999E8</v>
      </c>
      <c r="H85" s="4">
        <v>5.4817427933E8</v>
      </c>
      <c r="I85" s="6"/>
    </row>
    <row r="86">
      <c r="A86" s="1">
        <v>46118.0</v>
      </c>
      <c r="B86" s="2" t="s">
        <v>96</v>
      </c>
      <c r="C86" s="2" t="s">
        <v>97</v>
      </c>
      <c r="D86" s="4">
        <v>1644920.0</v>
      </c>
      <c r="E86" s="3"/>
      <c r="F86" s="2" t="s">
        <v>3</v>
      </c>
      <c r="G86" s="3">
        <v>5.465293593299999E8</v>
      </c>
      <c r="H86" s="3"/>
      <c r="I86" s="6"/>
    </row>
    <row r="87">
      <c r="A87" s="1">
        <v>46118.0</v>
      </c>
      <c r="B87" s="2" t="s">
        <v>96</v>
      </c>
      <c r="C87" s="2" t="s">
        <v>98</v>
      </c>
      <c r="D87" s="4">
        <v>2.1514598E8</v>
      </c>
      <c r="E87" s="3"/>
      <c r="F87" s="2" t="s">
        <v>3</v>
      </c>
      <c r="G87" s="3">
        <v>3.313833793299999E8</v>
      </c>
      <c r="H87" s="3"/>
      <c r="I87" s="6"/>
    </row>
    <row r="88">
      <c r="A88" s="1">
        <v>46118.0</v>
      </c>
      <c r="B88" s="2" t="s">
        <v>96</v>
      </c>
      <c r="C88" s="2" t="s">
        <v>99</v>
      </c>
      <c r="D88" s="4">
        <v>9.07122E7</v>
      </c>
      <c r="E88" s="3"/>
      <c r="F88" s="2" t="s">
        <v>3</v>
      </c>
      <c r="G88" s="3">
        <v>2.4067117932999992E8</v>
      </c>
      <c r="H88" s="3"/>
      <c r="I88" s="6"/>
    </row>
    <row r="89">
      <c r="A89" s="1">
        <v>46118.0</v>
      </c>
      <c r="B89" s="2" t="s">
        <v>96</v>
      </c>
      <c r="C89" s="2" t="s">
        <v>100</v>
      </c>
      <c r="D89" s="4">
        <v>1.092624E8</v>
      </c>
      <c r="E89" s="3"/>
      <c r="F89" s="2" t="s">
        <v>3</v>
      </c>
      <c r="G89" s="3">
        <v>1.3140877932999992E8</v>
      </c>
      <c r="H89" s="3"/>
      <c r="I89" s="6"/>
    </row>
    <row r="90">
      <c r="A90" s="1">
        <v>46118.0</v>
      </c>
      <c r="B90" s="2" t="s">
        <v>4</v>
      </c>
      <c r="C90" s="2" t="s">
        <v>101</v>
      </c>
      <c r="D90" s="4">
        <v>6834320.0</v>
      </c>
      <c r="E90" s="3"/>
      <c r="F90" s="2" t="s">
        <v>3</v>
      </c>
      <c r="G90" s="3">
        <v>1.2457445932999992E8</v>
      </c>
      <c r="H90" s="3"/>
      <c r="I90" s="6"/>
    </row>
    <row r="91">
      <c r="A91" s="1">
        <v>46118.0</v>
      </c>
      <c r="B91" s="2" t="s">
        <v>4</v>
      </c>
      <c r="C91" s="2" t="s">
        <v>102</v>
      </c>
      <c r="D91" s="4">
        <v>1.14698E7</v>
      </c>
      <c r="E91" s="3"/>
      <c r="F91" s="2" t="s">
        <v>3</v>
      </c>
      <c r="G91" s="3">
        <v>1.1310465932999992E8</v>
      </c>
      <c r="H91" s="3"/>
      <c r="I91" s="6"/>
    </row>
    <row r="92">
      <c r="A92" s="1">
        <v>46118.0</v>
      </c>
      <c r="B92" s="2" t="s">
        <v>4</v>
      </c>
      <c r="C92" s="2" t="s">
        <v>103</v>
      </c>
      <c r="D92" s="4">
        <v>1020000.0</v>
      </c>
      <c r="E92" s="3"/>
      <c r="F92" s="2" t="s">
        <v>3</v>
      </c>
      <c r="G92" s="3">
        <v>1.1208465932999992E8</v>
      </c>
      <c r="H92" s="3"/>
      <c r="I92" s="6"/>
    </row>
    <row r="93">
      <c r="A93" s="1">
        <v>46118.0</v>
      </c>
      <c r="B93" s="2" t="s">
        <v>4</v>
      </c>
      <c r="C93" s="2" t="s">
        <v>104</v>
      </c>
      <c r="D93" s="4">
        <v>9.84386E7</v>
      </c>
      <c r="E93" s="3"/>
      <c r="F93" s="2" t="s">
        <v>3</v>
      </c>
      <c r="G93" s="4">
        <v>1.3646059329999924E7</v>
      </c>
      <c r="H93" s="4">
        <v>1.364605933E7</v>
      </c>
      <c r="I93" s="6"/>
    </row>
    <row r="94">
      <c r="A94" s="1">
        <v>46118.0</v>
      </c>
      <c r="B94" s="2" t="s">
        <v>9</v>
      </c>
      <c r="C94" s="2" t="s">
        <v>105</v>
      </c>
      <c r="D94" s="4"/>
      <c r="E94" s="4">
        <v>3.2364808E8</v>
      </c>
      <c r="F94" s="2" t="s">
        <v>11</v>
      </c>
      <c r="G94" s="4">
        <v>3.372941393299999E8</v>
      </c>
      <c r="H94" s="4">
        <v>3.3729413933E8</v>
      </c>
      <c r="I94" s="6"/>
    </row>
    <row r="95">
      <c r="A95" s="1">
        <v>46118.0</v>
      </c>
      <c r="B95" s="2" t="s">
        <v>9</v>
      </c>
      <c r="C95" s="2" t="s">
        <v>106</v>
      </c>
      <c r="D95" s="4"/>
      <c r="E95" s="4">
        <v>5.261188E7</v>
      </c>
      <c r="F95" s="2" t="s">
        <v>11</v>
      </c>
      <c r="G95" s="3">
        <v>3.899060193299999E8</v>
      </c>
      <c r="H95" s="3"/>
      <c r="I95" s="6"/>
    </row>
    <row r="96">
      <c r="A96" s="1">
        <v>46118.0</v>
      </c>
      <c r="B96" s="2" t="s">
        <v>4</v>
      </c>
      <c r="C96" s="2" t="s">
        <v>107</v>
      </c>
      <c r="D96" s="4">
        <v>1.3250329E8</v>
      </c>
      <c r="E96" s="3"/>
      <c r="F96" s="2" t="s">
        <v>3</v>
      </c>
      <c r="G96" s="3">
        <v>2.5740272932999992E8</v>
      </c>
      <c r="H96" s="3"/>
      <c r="I96" s="6"/>
    </row>
    <row r="97">
      <c r="A97" s="1">
        <v>46118.0</v>
      </c>
      <c r="B97" s="2" t="s">
        <v>4</v>
      </c>
      <c r="C97" s="2" t="s">
        <v>108</v>
      </c>
      <c r="D97" s="4">
        <v>1.0356268E8</v>
      </c>
      <c r="E97" s="3"/>
      <c r="F97" s="2" t="s">
        <v>3</v>
      </c>
      <c r="G97" s="3">
        <v>1.5384004932999992E8</v>
      </c>
      <c r="H97" s="3"/>
      <c r="I97" s="6"/>
    </row>
    <row r="98">
      <c r="A98" s="1">
        <v>46118.0</v>
      </c>
      <c r="B98" s="2" t="s">
        <v>4</v>
      </c>
      <c r="C98" s="2" t="s">
        <v>109</v>
      </c>
      <c r="D98" s="4">
        <v>9.670365E7</v>
      </c>
      <c r="E98" s="3"/>
      <c r="F98" s="2" t="s">
        <v>3</v>
      </c>
      <c r="G98" s="3">
        <v>5.713639932999992E7</v>
      </c>
      <c r="H98" s="3"/>
      <c r="I98" s="6"/>
    </row>
    <row r="99">
      <c r="A99" s="1">
        <v>46118.0</v>
      </c>
      <c r="B99" s="2" t="s">
        <v>9</v>
      </c>
      <c r="C99" s="2" t="s">
        <v>110</v>
      </c>
      <c r="D99" s="4"/>
      <c r="E99" s="4">
        <v>9.508071E7</v>
      </c>
      <c r="F99" s="2" t="s">
        <v>11</v>
      </c>
      <c r="G99" s="3">
        <v>1.5221710932999992E8</v>
      </c>
      <c r="H99" s="3"/>
      <c r="I99" s="6"/>
    </row>
    <row r="100">
      <c r="A100" s="1">
        <v>46118.0</v>
      </c>
      <c r="B100" s="2" t="s">
        <v>4</v>
      </c>
      <c r="C100" s="2" t="s">
        <v>111</v>
      </c>
      <c r="D100" s="4">
        <v>5.824096E7</v>
      </c>
      <c r="E100" s="3"/>
      <c r="F100" s="2" t="s">
        <v>3</v>
      </c>
      <c r="G100" s="3">
        <v>9.397614932999992E7</v>
      </c>
      <c r="H100" s="3"/>
      <c r="I100" s="6"/>
    </row>
    <row r="101">
      <c r="A101" s="1">
        <v>46118.0</v>
      </c>
      <c r="B101" s="2" t="s">
        <v>4</v>
      </c>
      <c r="C101" s="2" t="s">
        <v>112</v>
      </c>
      <c r="D101" s="4">
        <v>6.27E7</v>
      </c>
      <c r="E101" s="3"/>
      <c r="F101" s="2" t="s">
        <v>3</v>
      </c>
      <c r="G101" s="3">
        <v>3.1276149329999924E7</v>
      </c>
      <c r="H101" s="3"/>
      <c r="I101" s="6"/>
    </row>
    <row r="102">
      <c r="A102" s="1">
        <v>46118.0</v>
      </c>
      <c r="B102" s="2" t="s">
        <v>9</v>
      </c>
      <c r="C102" s="2" t="s">
        <v>113</v>
      </c>
      <c r="D102" s="4"/>
      <c r="E102" s="4">
        <v>6.042E7</v>
      </c>
      <c r="F102" s="2" t="s">
        <v>11</v>
      </c>
      <c r="G102" s="3">
        <v>9.169614932999992E7</v>
      </c>
      <c r="H102" s="3"/>
      <c r="I102" s="6"/>
    </row>
    <row r="103">
      <c r="A103" s="1">
        <v>46118.0</v>
      </c>
      <c r="B103" s="2" t="s">
        <v>40</v>
      </c>
      <c r="C103" s="8" t="s">
        <v>41</v>
      </c>
      <c r="D103" s="4">
        <v>143000.0</v>
      </c>
      <c r="E103" s="3"/>
      <c r="F103" s="2" t="s">
        <v>3</v>
      </c>
      <c r="G103" s="3">
        <v>9.155314932999992E7</v>
      </c>
      <c r="H103" s="3"/>
      <c r="I103" s="6"/>
    </row>
    <row r="104">
      <c r="A104" s="1">
        <v>46118.0</v>
      </c>
      <c r="B104" s="2" t="s">
        <v>40</v>
      </c>
      <c r="C104" s="8" t="s">
        <v>42</v>
      </c>
      <c r="D104" s="4">
        <v>2500.0</v>
      </c>
      <c r="E104" s="3"/>
      <c r="F104" s="2" t="s">
        <v>3</v>
      </c>
      <c r="G104" s="3">
        <v>9.155064932999992E7</v>
      </c>
      <c r="H104" s="3"/>
      <c r="I104" s="6"/>
    </row>
    <row r="105">
      <c r="A105" s="1">
        <v>46118.0</v>
      </c>
      <c r="B105" s="2" t="s">
        <v>9</v>
      </c>
      <c r="C105" s="2" t="s">
        <v>114</v>
      </c>
      <c r="D105" s="4"/>
      <c r="E105" s="4">
        <v>1.4494626E8</v>
      </c>
      <c r="F105" s="2" t="s">
        <v>11</v>
      </c>
      <c r="G105" s="4">
        <v>2.3649690932999992E8</v>
      </c>
      <c r="H105" s="4">
        <v>2.3649690933E8</v>
      </c>
      <c r="I105" s="6"/>
    </row>
    <row r="106">
      <c r="A106" s="1">
        <v>46118.0</v>
      </c>
      <c r="B106" s="2" t="s">
        <v>4</v>
      </c>
      <c r="C106" s="2" t="s">
        <v>115</v>
      </c>
      <c r="D106" s="4">
        <v>1769100.0</v>
      </c>
      <c r="E106" s="3"/>
      <c r="F106" s="2" t="s">
        <v>3</v>
      </c>
      <c r="G106" s="4">
        <v>2.3472780932999992E8</v>
      </c>
      <c r="H106" s="4">
        <v>2.3472780933E8</v>
      </c>
      <c r="I106" s="6"/>
    </row>
    <row r="107">
      <c r="A107" s="1">
        <v>46118.0</v>
      </c>
      <c r="B107" s="2" t="s">
        <v>4</v>
      </c>
      <c r="C107" s="2" t="s">
        <v>116</v>
      </c>
      <c r="D107" s="4">
        <v>1681320.0</v>
      </c>
      <c r="E107" s="3"/>
      <c r="F107" s="2" t="s">
        <v>3</v>
      </c>
      <c r="G107" s="4">
        <v>2.3304648932999992E8</v>
      </c>
      <c r="H107" s="4">
        <v>2.3304648933E8</v>
      </c>
      <c r="I107" s="6"/>
    </row>
    <row r="108">
      <c r="A108" s="1">
        <v>46119.0</v>
      </c>
      <c r="B108" s="2" t="s">
        <v>117</v>
      </c>
      <c r="C108" s="2" t="s">
        <v>118</v>
      </c>
      <c r="D108" s="4">
        <v>1.18007E7</v>
      </c>
      <c r="E108" s="3"/>
      <c r="F108" s="2" t="s">
        <v>3</v>
      </c>
      <c r="G108" s="3">
        <v>2.2124578932999992E8</v>
      </c>
      <c r="H108" s="3"/>
      <c r="I108" s="6"/>
    </row>
    <row r="109">
      <c r="A109" s="1">
        <v>46119.0</v>
      </c>
      <c r="B109" s="2" t="s">
        <v>119</v>
      </c>
      <c r="C109" s="2" t="s">
        <v>120</v>
      </c>
      <c r="D109" s="4"/>
      <c r="E109" s="4">
        <v>4.0E7</v>
      </c>
      <c r="F109" s="2" t="s">
        <v>11</v>
      </c>
      <c r="G109" s="3">
        <v>2.6124578932999992E8</v>
      </c>
      <c r="H109" s="3"/>
      <c r="I109" s="6"/>
    </row>
    <row r="110">
      <c r="A110" s="1">
        <v>46119.0</v>
      </c>
      <c r="B110" s="2" t="s">
        <v>119</v>
      </c>
      <c r="C110" s="2" t="s">
        <v>121</v>
      </c>
      <c r="D110" s="4"/>
      <c r="E110" s="4">
        <v>3.391985E7</v>
      </c>
      <c r="F110" s="2" t="s">
        <v>11</v>
      </c>
      <c r="G110" s="3">
        <v>2.951656393299999E8</v>
      </c>
      <c r="H110" s="3"/>
      <c r="I110" s="6"/>
    </row>
    <row r="111">
      <c r="A111" s="1">
        <v>46119.0</v>
      </c>
      <c r="B111" s="2" t="s">
        <v>117</v>
      </c>
      <c r="C111" s="2" t="s">
        <v>122</v>
      </c>
      <c r="D111" s="4">
        <v>4.95E7</v>
      </c>
      <c r="E111" s="3"/>
      <c r="F111" s="2" t="s">
        <v>3</v>
      </c>
      <c r="G111" s="3">
        <v>2.4566563932999992E8</v>
      </c>
      <c r="H111" s="3"/>
      <c r="I111" s="6"/>
    </row>
    <row r="112">
      <c r="A112" s="1">
        <v>46119.0</v>
      </c>
      <c r="B112" s="2" t="s">
        <v>117</v>
      </c>
      <c r="C112" s="2" t="s">
        <v>123</v>
      </c>
      <c r="D112" s="4">
        <v>4.15422E7</v>
      </c>
      <c r="E112" s="3"/>
      <c r="F112" s="2" t="s">
        <v>3</v>
      </c>
      <c r="G112" s="3">
        <v>2.0412343932999992E8</v>
      </c>
      <c r="H112" s="3"/>
      <c r="I112" s="6"/>
    </row>
    <row r="113">
      <c r="A113" s="1">
        <v>46119.0</v>
      </c>
      <c r="B113" s="2" t="s">
        <v>4</v>
      </c>
      <c r="C113" s="2" t="s">
        <v>124</v>
      </c>
      <c r="D113" s="4">
        <v>3.6738E7</v>
      </c>
      <c r="E113" s="3"/>
      <c r="F113" s="2" t="s">
        <v>3</v>
      </c>
      <c r="G113" s="3">
        <v>1.6738543932999992E8</v>
      </c>
      <c r="H113" s="3"/>
      <c r="I113" s="6"/>
    </row>
    <row r="114">
      <c r="A114" s="1">
        <v>46119.0</v>
      </c>
      <c r="B114" s="2" t="s">
        <v>4</v>
      </c>
      <c r="C114" s="2" t="s">
        <v>125</v>
      </c>
      <c r="D114" s="4">
        <v>4.27982E7</v>
      </c>
      <c r="E114" s="3"/>
      <c r="F114" s="2" t="s">
        <v>3</v>
      </c>
      <c r="G114" s="3">
        <v>1.2458723932999992E8</v>
      </c>
      <c r="H114" s="3"/>
      <c r="I114" s="6"/>
    </row>
    <row r="115">
      <c r="A115" s="1">
        <v>46119.0</v>
      </c>
      <c r="B115" s="2" t="s">
        <v>4</v>
      </c>
      <c r="C115" s="2" t="s">
        <v>126</v>
      </c>
      <c r="D115" s="4">
        <v>5.568435E7</v>
      </c>
      <c r="E115" s="3"/>
      <c r="F115" s="2" t="s">
        <v>3</v>
      </c>
      <c r="G115" s="3">
        <v>6.890288932999992E7</v>
      </c>
      <c r="H115" s="3"/>
      <c r="I115" s="6"/>
    </row>
    <row r="116">
      <c r="A116" s="1">
        <v>46119.0</v>
      </c>
      <c r="B116" s="2" t="s">
        <v>4</v>
      </c>
      <c r="C116" s="2" t="s">
        <v>127</v>
      </c>
      <c r="D116" s="4">
        <v>727900.0</v>
      </c>
      <c r="E116" s="3"/>
      <c r="F116" s="2" t="s">
        <v>3</v>
      </c>
      <c r="G116" s="3">
        <v>6.817498932999992E7</v>
      </c>
      <c r="H116" s="3"/>
      <c r="I116" s="6"/>
    </row>
    <row r="117">
      <c r="A117" s="1">
        <v>46119.0</v>
      </c>
      <c r="B117" s="2" t="s">
        <v>9</v>
      </c>
      <c r="C117" s="2" t="s">
        <v>128</v>
      </c>
      <c r="D117" s="4"/>
      <c r="E117" s="4">
        <v>1.870974E8</v>
      </c>
      <c r="F117" s="2" t="s">
        <v>11</v>
      </c>
      <c r="G117" s="3">
        <v>2.5527238932999992E8</v>
      </c>
      <c r="H117" s="3"/>
      <c r="I117" s="6"/>
    </row>
    <row r="118">
      <c r="A118" s="1">
        <v>46119.0</v>
      </c>
      <c r="B118" s="2" t="s">
        <v>4</v>
      </c>
      <c r="C118" s="2" t="s">
        <v>129</v>
      </c>
      <c r="D118" s="4">
        <v>1.0186631E8</v>
      </c>
      <c r="E118" s="3"/>
      <c r="F118" s="2" t="s">
        <v>3</v>
      </c>
      <c r="G118" s="4">
        <v>1.5340607932999992E8</v>
      </c>
      <c r="H118" s="4">
        <v>1.5340607933E8</v>
      </c>
      <c r="I118" s="6"/>
    </row>
    <row r="119">
      <c r="A119" s="1">
        <v>46119.0</v>
      </c>
      <c r="B119" s="2" t="s">
        <v>9</v>
      </c>
      <c r="C119" s="2" t="s">
        <v>130</v>
      </c>
      <c r="D119" s="4"/>
      <c r="E119" s="4">
        <v>5.2E7</v>
      </c>
      <c r="F119" s="2" t="s">
        <v>11</v>
      </c>
      <c r="G119" s="4">
        <v>2.0540607932999992E8</v>
      </c>
      <c r="H119" s="4">
        <v>2.0540607933E8</v>
      </c>
      <c r="I119" s="6"/>
    </row>
    <row r="120">
      <c r="A120" s="1">
        <v>46119.0</v>
      </c>
      <c r="B120" s="2" t="s">
        <v>4</v>
      </c>
      <c r="C120" s="2" t="s">
        <v>131</v>
      </c>
      <c r="D120" s="4">
        <v>1000000.0</v>
      </c>
      <c r="E120" s="3"/>
      <c r="F120" s="2" t="s">
        <v>3</v>
      </c>
      <c r="G120" s="3">
        <v>2.0440607932999992E8</v>
      </c>
      <c r="H120" s="3"/>
      <c r="I120" s="6"/>
    </row>
    <row r="121">
      <c r="A121" s="1">
        <v>46119.0</v>
      </c>
      <c r="B121" s="2" t="s">
        <v>4</v>
      </c>
      <c r="C121" s="2" t="s">
        <v>132</v>
      </c>
      <c r="D121" s="4">
        <v>500000.0</v>
      </c>
      <c r="E121" s="3"/>
      <c r="F121" s="2" t="s">
        <v>3</v>
      </c>
      <c r="G121" s="3">
        <v>2.0390607932999992E8</v>
      </c>
      <c r="H121" s="3"/>
      <c r="I121" s="6"/>
    </row>
    <row r="122">
      <c r="A122" s="1">
        <v>46119.0</v>
      </c>
      <c r="B122" s="2" t="s">
        <v>9</v>
      </c>
      <c r="C122" s="2" t="s">
        <v>133</v>
      </c>
      <c r="D122" s="4"/>
      <c r="E122" s="4">
        <v>2400000.0</v>
      </c>
      <c r="F122" s="2" t="s">
        <v>11</v>
      </c>
      <c r="G122" s="3">
        <v>2.0630607932999992E8</v>
      </c>
      <c r="H122" s="3"/>
      <c r="I122" s="6"/>
    </row>
    <row r="123">
      <c r="A123" s="1">
        <v>46119.0</v>
      </c>
      <c r="B123" s="2" t="s">
        <v>9</v>
      </c>
      <c r="C123" s="2" t="s">
        <v>134</v>
      </c>
      <c r="D123" s="4"/>
      <c r="E123" s="4">
        <v>1.7916445E8</v>
      </c>
      <c r="F123" s="2" t="s">
        <v>11</v>
      </c>
      <c r="G123" s="4">
        <v>3.854705293299999E8</v>
      </c>
      <c r="H123" s="4">
        <v>3.8547052933E8</v>
      </c>
      <c r="I123" s="6"/>
    </row>
    <row r="124">
      <c r="A124" s="1">
        <v>46120.0</v>
      </c>
      <c r="B124" s="2" t="s">
        <v>135</v>
      </c>
      <c r="C124" s="2" t="s">
        <v>136</v>
      </c>
      <c r="D124" s="4"/>
      <c r="E124" s="4">
        <v>1.29363E7</v>
      </c>
      <c r="F124" s="2" t="s">
        <v>11</v>
      </c>
      <c r="G124" s="3">
        <v>3.984068293299999E8</v>
      </c>
      <c r="H124" s="3"/>
      <c r="I124" s="6"/>
    </row>
    <row r="125">
      <c r="A125" s="1">
        <v>46120.0</v>
      </c>
      <c r="B125" s="2" t="s">
        <v>135</v>
      </c>
      <c r="C125" s="2" t="s">
        <v>137</v>
      </c>
      <c r="D125" s="4"/>
      <c r="E125" s="4">
        <v>4.0E7</v>
      </c>
      <c r="F125" s="2" t="s">
        <v>11</v>
      </c>
      <c r="G125" s="3">
        <v>4.384068293299999E8</v>
      </c>
      <c r="H125" s="3"/>
      <c r="I125" s="6"/>
    </row>
    <row r="126">
      <c r="A126" s="1">
        <v>46120.0</v>
      </c>
      <c r="B126" s="2" t="s">
        <v>138</v>
      </c>
      <c r="C126" s="2" t="s">
        <v>139</v>
      </c>
      <c r="D126" s="4">
        <v>1.6669092E8</v>
      </c>
      <c r="E126" s="3"/>
      <c r="F126" s="2" t="s">
        <v>3</v>
      </c>
      <c r="G126" s="3">
        <v>2.717159093299999E8</v>
      </c>
      <c r="H126" s="3"/>
      <c r="I126" s="6"/>
    </row>
    <row r="127">
      <c r="A127" s="1">
        <v>46120.0</v>
      </c>
      <c r="B127" s="2" t="s">
        <v>4</v>
      </c>
      <c r="C127" s="2" t="s">
        <v>140</v>
      </c>
      <c r="D127" s="4">
        <v>5.126352E7</v>
      </c>
      <c r="E127" s="3"/>
      <c r="F127" s="2" t="s">
        <v>3</v>
      </c>
      <c r="G127" s="3">
        <v>2.2045238932999992E8</v>
      </c>
      <c r="H127" s="3"/>
      <c r="I127" s="6"/>
    </row>
    <row r="128">
      <c r="A128" s="1">
        <v>46120.0</v>
      </c>
      <c r="B128" s="2" t="s">
        <v>4</v>
      </c>
      <c r="C128" s="2" t="s">
        <v>141</v>
      </c>
      <c r="D128" s="4">
        <v>4.404792E7</v>
      </c>
      <c r="E128" s="3"/>
      <c r="F128" s="2" t="s">
        <v>3</v>
      </c>
      <c r="G128" s="3">
        <v>1.7640446932999992E8</v>
      </c>
      <c r="H128" s="3"/>
      <c r="I128" s="6"/>
    </row>
    <row r="129">
      <c r="A129" s="1">
        <v>46120.0</v>
      </c>
      <c r="B129" s="2" t="s">
        <v>4</v>
      </c>
      <c r="C129" s="2" t="s">
        <v>142</v>
      </c>
      <c r="D129" s="4">
        <v>5.045205E7</v>
      </c>
      <c r="E129" s="3"/>
      <c r="F129" s="2" t="s">
        <v>3</v>
      </c>
      <c r="G129" s="3">
        <v>1.2595241932999992E8</v>
      </c>
      <c r="H129" s="3"/>
      <c r="I129" s="6"/>
    </row>
    <row r="130">
      <c r="A130" s="1">
        <v>46120.0</v>
      </c>
      <c r="B130" s="2" t="s">
        <v>9</v>
      </c>
      <c r="C130" s="2" t="s">
        <v>143</v>
      </c>
      <c r="D130" s="4"/>
      <c r="E130" s="4">
        <v>1.637187E8</v>
      </c>
      <c r="F130" s="2" t="s">
        <v>11</v>
      </c>
      <c r="G130" s="4">
        <v>2.896711193299999E8</v>
      </c>
      <c r="H130" s="4">
        <v>2.8967111933E8</v>
      </c>
      <c r="I130" s="6"/>
    </row>
    <row r="131">
      <c r="A131" s="10">
        <v>46121.0</v>
      </c>
      <c r="B131" s="8" t="s">
        <v>144</v>
      </c>
      <c r="C131" s="8" t="s">
        <v>145</v>
      </c>
      <c r="D131" s="11">
        <v>5.1935E7</v>
      </c>
      <c r="E131" s="13"/>
      <c r="F131" s="8" t="s">
        <v>3</v>
      </c>
      <c r="G131" s="11">
        <v>2.3773611932999992E8</v>
      </c>
      <c r="H131" s="11">
        <v>2.3773611933E8</v>
      </c>
      <c r="I131" s="6"/>
    </row>
    <row r="132">
      <c r="A132" s="1">
        <v>46121.0</v>
      </c>
      <c r="B132" s="2" t="s">
        <v>144</v>
      </c>
      <c r="C132" s="8" t="s">
        <v>145</v>
      </c>
      <c r="D132" s="4">
        <v>4.93442E7</v>
      </c>
      <c r="E132" s="3"/>
      <c r="F132" s="2" t="s">
        <v>3</v>
      </c>
      <c r="G132" s="4">
        <v>1.8839191932999992E8</v>
      </c>
      <c r="H132" s="4">
        <v>1.8839191933E8</v>
      </c>
      <c r="I132" s="6"/>
    </row>
    <row r="133">
      <c r="A133" s="1">
        <v>46121.0</v>
      </c>
      <c r="B133" s="2" t="s">
        <v>144</v>
      </c>
      <c r="C133" s="8" t="s">
        <v>146</v>
      </c>
      <c r="D133" s="4">
        <v>5.008752E7</v>
      </c>
      <c r="E133" s="3"/>
      <c r="F133" s="2" t="s">
        <v>3</v>
      </c>
      <c r="G133" s="3">
        <v>1.3830439932999992E8</v>
      </c>
      <c r="H133" s="3"/>
      <c r="I133" s="6"/>
    </row>
    <row r="134">
      <c r="A134" s="1">
        <v>46121.0</v>
      </c>
      <c r="B134" s="2" t="s">
        <v>144</v>
      </c>
      <c r="C134" s="8" t="s">
        <v>147</v>
      </c>
      <c r="D134" s="4">
        <v>5.04756E7</v>
      </c>
      <c r="E134" s="3"/>
      <c r="F134" s="2" t="s">
        <v>3</v>
      </c>
      <c r="G134" s="3">
        <v>8.782879932999992E7</v>
      </c>
      <c r="H134" s="3"/>
      <c r="I134" s="6"/>
    </row>
    <row r="135">
      <c r="A135" s="1">
        <v>46121.0</v>
      </c>
      <c r="B135" s="2" t="s">
        <v>144</v>
      </c>
      <c r="C135" s="8" t="s">
        <v>148</v>
      </c>
      <c r="D135" s="4">
        <v>1.179585E7</v>
      </c>
      <c r="E135" s="3"/>
      <c r="F135" s="2" t="s">
        <v>3</v>
      </c>
      <c r="G135" s="3">
        <v>7.603294932999992E7</v>
      </c>
      <c r="H135" s="3"/>
      <c r="I135" s="6"/>
    </row>
    <row r="136">
      <c r="A136" s="1">
        <v>46121.0</v>
      </c>
      <c r="B136" s="2" t="s">
        <v>4</v>
      </c>
      <c r="C136" s="8" t="s">
        <v>149</v>
      </c>
      <c r="D136" s="4">
        <v>5.0887299E7</v>
      </c>
      <c r="E136" s="3"/>
      <c r="F136" s="2" t="s">
        <v>3</v>
      </c>
      <c r="G136" s="3">
        <v>2.5145650329999924E7</v>
      </c>
      <c r="H136" s="3"/>
      <c r="I136" s="6"/>
    </row>
    <row r="137">
      <c r="A137" s="1">
        <v>46121.0</v>
      </c>
      <c r="B137" s="2" t="s">
        <v>4</v>
      </c>
      <c r="C137" s="8" t="s">
        <v>150</v>
      </c>
      <c r="D137" s="4">
        <v>2191910.0</v>
      </c>
      <c r="E137" s="3"/>
      <c r="F137" s="2" t="s">
        <v>3</v>
      </c>
      <c r="G137" s="3">
        <v>2.2953740329999924E7</v>
      </c>
      <c r="H137" s="3"/>
      <c r="I137" s="6"/>
    </row>
    <row r="138">
      <c r="A138" s="1">
        <v>46121.0</v>
      </c>
      <c r="B138" s="2" t="s">
        <v>4</v>
      </c>
      <c r="C138" s="8" t="s">
        <v>151</v>
      </c>
      <c r="D138" s="4">
        <v>1141900.0</v>
      </c>
      <c r="E138" s="3"/>
      <c r="F138" s="2" t="s">
        <v>3</v>
      </c>
      <c r="G138" s="3">
        <v>2.1811840329999924E7</v>
      </c>
      <c r="H138" s="3"/>
      <c r="I138" s="6"/>
    </row>
    <row r="139">
      <c r="A139" s="1">
        <v>46121.0</v>
      </c>
      <c r="B139" s="2" t="s">
        <v>4</v>
      </c>
      <c r="C139" s="8" t="s">
        <v>152</v>
      </c>
      <c r="D139" s="4">
        <v>1.6307E7</v>
      </c>
      <c r="E139" s="3"/>
      <c r="F139" s="2" t="s">
        <v>3</v>
      </c>
      <c r="G139" s="3">
        <v>5504840.329999924</v>
      </c>
      <c r="H139" s="3"/>
      <c r="I139" s="6"/>
    </row>
    <row r="140">
      <c r="A140" s="1">
        <v>46121.0</v>
      </c>
      <c r="B140" s="2" t="s">
        <v>4</v>
      </c>
      <c r="C140" s="8" t="s">
        <v>153</v>
      </c>
      <c r="D140" s="4">
        <v>1500000.0</v>
      </c>
      <c r="E140" s="3"/>
      <c r="F140" s="2" t="s">
        <v>3</v>
      </c>
      <c r="G140" s="3">
        <v>4004840.3299999237</v>
      </c>
      <c r="H140" s="3"/>
      <c r="I140" s="7" t="s">
        <v>154</v>
      </c>
    </row>
    <row r="141">
      <c r="A141" s="1">
        <v>46121.0</v>
      </c>
      <c r="B141" s="2" t="s">
        <v>4</v>
      </c>
      <c r="C141" s="8" t="s">
        <v>155</v>
      </c>
      <c r="D141" s="4">
        <v>500000.0</v>
      </c>
      <c r="E141" s="3"/>
      <c r="F141" s="2" t="s">
        <v>3</v>
      </c>
      <c r="G141" s="3">
        <v>3504840.3299999237</v>
      </c>
      <c r="H141" s="3"/>
      <c r="I141" s="7" t="s">
        <v>43</v>
      </c>
    </row>
    <row r="142">
      <c r="A142" s="1">
        <v>46121.0</v>
      </c>
      <c r="B142" s="2" t="s">
        <v>4</v>
      </c>
      <c r="C142" s="8" t="s">
        <v>156</v>
      </c>
      <c r="D142" s="4">
        <v>1340000.0</v>
      </c>
      <c r="E142" s="3"/>
      <c r="F142" s="2" t="s">
        <v>3</v>
      </c>
      <c r="G142" s="4">
        <v>2164840.3299999237</v>
      </c>
      <c r="H142" s="4">
        <v>2164840.33</v>
      </c>
      <c r="I142" s="6"/>
    </row>
    <row r="143">
      <c r="A143" s="1">
        <v>46122.0</v>
      </c>
      <c r="B143" s="2" t="s">
        <v>9</v>
      </c>
      <c r="C143" s="8" t="s">
        <v>157</v>
      </c>
      <c r="D143" s="4"/>
      <c r="E143" s="4">
        <v>7.4351894E7</v>
      </c>
      <c r="F143" s="2" t="s">
        <v>11</v>
      </c>
      <c r="G143" s="3">
        <v>7.651673432999992E7</v>
      </c>
      <c r="H143" s="3"/>
      <c r="I143" s="6"/>
    </row>
    <row r="144">
      <c r="A144" s="1">
        <v>46122.0</v>
      </c>
      <c r="B144" s="2" t="s">
        <v>4</v>
      </c>
      <c r="C144" s="8" t="s">
        <v>158</v>
      </c>
      <c r="D144" s="4">
        <v>5.062848E7</v>
      </c>
      <c r="E144" s="3"/>
      <c r="F144" s="2" t="s">
        <v>3</v>
      </c>
      <c r="G144" s="4">
        <v>2.5888254329999924E7</v>
      </c>
      <c r="H144" s="4">
        <v>2.588825433E7</v>
      </c>
      <c r="I144" s="6"/>
    </row>
    <row r="145">
      <c r="A145" s="1">
        <v>46122.0</v>
      </c>
      <c r="B145" s="2" t="s">
        <v>9</v>
      </c>
      <c r="C145" s="2" t="s">
        <v>159</v>
      </c>
      <c r="D145" s="4"/>
      <c r="E145" s="4">
        <v>1.6067011E8</v>
      </c>
      <c r="F145" s="2" t="s">
        <v>11</v>
      </c>
      <c r="G145" s="4">
        <v>1.8655836432999992E8</v>
      </c>
      <c r="H145" s="4">
        <v>1.8655836433E8</v>
      </c>
      <c r="I145" s="6"/>
    </row>
    <row r="146">
      <c r="A146" s="1">
        <v>46122.0</v>
      </c>
      <c r="B146" s="2" t="s">
        <v>4</v>
      </c>
      <c r="C146" s="2" t="s">
        <v>160</v>
      </c>
      <c r="D146" s="4">
        <v>4.3232E7</v>
      </c>
      <c r="E146" s="3"/>
      <c r="F146" s="2" t="s">
        <v>3</v>
      </c>
      <c r="G146" s="3">
        <v>1.4332636432999992E8</v>
      </c>
      <c r="H146" s="3"/>
      <c r="I146" s="6"/>
    </row>
    <row r="147">
      <c r="A147" s="1">
        <v>46122.0</v>
      </c>
      <c r="B147" s="2" t="s">
        <v>4</v>
      </c>
      <c r="C147" s="2" t="s">
        <v>161</v>
      </c>
      <c r="D147" s="4">
        <v>1353840.0</v>
      </c>
      <c r="E147" s="3"/>
      <c r="F147" s="2" t="s">
        <v>3</v>
      </c>
      <c r="G147" s="3">
        <v>1.4197252432999992E8</v>
      </c>
      <c r="H147" s="3"/>
      <c r="I147" s="6"/>
    </row>
    <row r="148">
      <c r="A148" s="1">
        <v>46122.0</v>
      </c>
      <c r="B148" s="2" t="s">
        <v>4</v>
      </c>
      <c r="C148" s="2" t="s">
        <v>162</v>
      </c>
      <c r="D148" s="4">
        <v>2778720.0</v>
      </c>
      <c r="E148" s="3"/>
      <c r="F148" s="2" t="s">
        <v>3</v>
      </c>
      <c r="G148" s="4">
        <v>1.3919380432999992E8</v>
      </c>
      <c r="H148" s="4">
        <v>1.3919380433E8</v>
      </c>
      <c r="I148" s="6"/>
    </row>
    <row r="149">
      <c r="A149" s="1">
        <v>46123.0</v>
      </c>
      <c r="B149" s="2" t="s">
        <v>163</v>
      </c>
      <c r="C149" s="2" t="s">
        <v>164</v>
      </c>
      <c r="D149" s="4">
        <v>2641000.0</v>
      </c>
      <c r="E149" s="3"/>
      <c r="F149" s="2" t="s">
        <v>3</v>
      </c>
      <c r="G149" s="3">
        <v>1.3655280432999992E8</v>
      </c>
      <c r="H149" s="3"/>
      <c r="I149" s="6"/>
    </row>
    <row r="150">
      <c r="A150" s="1">
        <v>46123.0</v>
      </c>
      <c r="B150" s="2" t="s">
        <v>163</v>
      </c>
      <c r="C150" s="2" t="s">
        <v>165</v>
      </c>
      <c r="D150" s="4">
        <v>2500.0</v>
      </c>
      <c r="E150" s="3"/>
      <c r="F150" s="2" t="s">
        <v>3</v>
      </c>
      <c r="G150" s="3">
        <v>1.3655030432999992E8</v>
      </c>
      <c r="H150" s="3"/>
      <c r="I150" s="6"/>
    </row>
    <row r="151">
      <c r="A151" s="1">
        <v>46123.0</v>
      </c>
      <c r="B151" s="2" t="s">
        <v>163</v>
      </c>
      <c r="C151" s="2" t="s">
        <v>166</v>
      </c>
      <c r="D151" s="4">
        <v>1525000.0</v>
      </c>
      <c r="E151" s="3"/>
      <c r="F151" s="2" t="s">
        <v>3</v>
      </c>
      <c r="G151" s="3">
        <v>1.3502530432999992E8</v>
      </c>
      <c r="H151" s="3"/>
      <c r="I151" s="6"/>
    </row>
    <row r="152">
      <c r="A152" s="1">
        <v>46123.0</v>
      </c>
      <c r="B152" s="2" t="s">
        <v>163</v>
      </c>
      <c r="C152" s="2" t="s">
        <v>167</v>
      </c>
      <c r="D152" s="4">
        <v>2500.0</v>
      </c>
      <c r="E152" s="3"/>
      <c r="F152" s="2" t="s">
        <v>3</v>
      </c>
      <c r="G152" s="3">
        <v>1.3502280432999992E8</v>
      </c>
      <c r="H152" s="3"/>
      <c r="I152" s="6"/>
    </row>
    <row r="153">
      <c r="A153" s="1">
        <v>46123.0</v>
      </c>
      <c r="B153" s="2" t="s">
        <v>168</v>
      </c>
      <c r="C153" s="2" t="s">
        <v>169</v>
      </c>
      <c r="D153" s="4">
        <v>30000.0</v>
      </c>
      <c r="E153" s="3"/>
      <c r="F153" s="2" t="s">
        <v>3</v>
      </c>
      <c r="G153" s="3">
        <v>1.3499280432999992E8</v>
      </c>
      <c r="H153" s="3"/>
      <c r="I153" s="6"/>
    </row>
    <row r="154">
      <c r="A154" s="1">
        <v>46123.0</v>
      </c>
      <c r="B154" s="2" t="s">
        <v>4</v>
      </c>
      <c r="C154" s="2" t="s">
        <v>170</v>
      </c>
      <c r="D154" s="4">
        <v>7.112448E7</v>
      </c>
      <c r="E154" s="3"/>
      <c r="F154" s="2" t="s">
        <v>3</v>
      </c>
      <c r="G154" s="3">
        <v>6.386832432999992E7</v>
      </c>
      <c r="H154" s="3"/>
      <c r="I154" s="6"/>
    </row>
    <row r="155">
      <c r="A155" s="1">
        <v>46123.0</v>
      </c>
      <c r="B155" s="2" t="s">
        <v>4</v>
      </c>
      <c r="C155" s="2" t="s">
        <v>171</v>
      </c>
      <c r="D155" s="4">
        <v>5.881344E7</v>
      </c>
      <c r="E155" s="3"/>
      <c r="F155" s="2" t="s">
        <v>3</v>
      </c>
      <c r="G155" s="3">
        <v>5054884.329999924</v>
      </c>
      <c r="H155" s="3"/>
      <c r="I155" s="6"/>
    </row>
    <row r="156">
      <c r="A156" s="1">
        <v>46123.0</v>
      </c>
      <c r="B156" s="2" t="s">
        <v>9</v>
      </c>
      <c r="C156" s="2" t="s">
        <v>172</v>
      </c>
      <c r="D156" s="4"/>
      <c r="E156" s="4">
        <v>1.5392538E8</v>
      </c>
      <c r="F156" s="2" t="s">
        <v>11</v>
      </c>
      <c r="G156" s="3">
        <v>1.5898026432999992E8</v>
      </c>
      <c r="H156" s="3"/>
      <c r="I156" s="6"/>
    </row>
    <row r="157">
      <c r="A157" s="1">
        <v>46123.0</v>
      </c>
      <c r="B157" s="2" t="s">
        <v>4</v>
      </c>
      <c r="C157" s="2" t="s">
        <v>173</v>
      </c>
      <c r="D157" s="4">
        <v>5.04E7</v>
      </c>
      <c r="E157" s="3"/>
      <c r="F157" s="2" t="s">
        <v>3</v>
      </c>
      <c r="G157" s="4">
        <v>1.0858026432999992E8</v>
      </c>
      <c r="H157" s="4">
        <v>1.0858026433E8</v>
      </c>
      <c r="I157" s="6"/>
    </row>
    <row r="158">
      <c r="A158" s="1">
        <v>46123.0</v>
      </c>
      <c r="B158" s="2" t="s">
        <v>4</v>
      </c>
      <c r="C158" s="2" t="s">
        <v>174</v>
      </c>
      <c r="D158" s="4">
        <v>4.25964E7</v>
      </c>
      <c r="E158" s="3"/>
      <c r="F158" s="2" t="s">
        <v>3</v>
      </c>
      <c r="G158" s="4">
        <v>6.598386432999992E7</v>
      </c>
      <c r="H158" s="4">
        <v>6.598386433E7</v>
      </c>
      <c r="I158" s="6"/>
    </row>
    <row r="159">
      <c r="A159" s="1">
        <v>46123.0</v>
      </c>
      <c r="B159" s="2" t="s">
        <v>4</v>
      </c>
      <c r="C159" s="2" t="s">
        <v>175</v>
      </c>
      <c r="D159" s="4">
        <v>5.560625E7</v>
      </c>
      <c r="E159" s="3"/>
      <c r="F159" s="2" t="s">
        <v>3</v>
      </c>
      <c r="G159" s="3">
        <v>1.0377614329999924E7</v>
      </c>
      <c r="H159" s="3"/>
      <c r="I159" s="6"/>
    </row>
    <row r="160">
      <c r="A160" s="1">
        <v>46123.0</v>
      </c>
      <c r="B160" s="2" t="s">
        <v>4</v>
      </c>
      <c r="C160" s="2" t="s">
        <v>176</v>
      </c>
      <c r="D160" s="4">
        <v>1.0E7</v>
      </c>
      <c r="E160" s="3"/>
      <c r="F160" s="2" t="s">
        <v>3</v>
      </c>
      <c r="G160" s="3">
        <v>377614.3299999237</v>
      </c>
      <c r="H160" s="3"/>
      <c r="I160" s="6"/>
    </row>
    <row r="161">
      <c r="A161" s="1">
        <v>46123.0</v>
      </c>
      <c r="B161" s="2" t="s">
        <v>9</v>
      </c>
      <c r="C161" s="2" t="s">
        <v>177</v>
      </c>
      <c r="D161" s="4"/>
      <c r="E161" s="4">
        <v>1.9532921E8</v>
      </c>
      <c r="F161" s="2" t="s">
        <v>11</v>
      </c>
      <c r="G161" s="4">
        <v>1.9570682432999992E8</v>
      </c>
      <c r="H161" s="4">
        <v>1.9570682433E8</v>
      </c>
      <c r="I161" s="6"/>
    </row>
    <row r="162">
      <c r="A162" s="1">
        <v>46124.0</v>
      </c>
      <c r="B162" s="2" t="s">
        <v>178</v>
      </c>
      <c r="C162" s="2" t="s">
        <v>179</v>
      </c>
      <c r="D162" s="4">
        <v>2457250.0</v>
      </c>
      <c r="E162" s="3"/>
      <c r="F162" s="2" t="s">
        <v>3</v>
      </c>
      <c r="G162" s="3">
        <v>1.9324957432999992E8</v>
      </c>
      <c r="H162" s="3"/>
      <c r="I162" s="6"/>
    </row>
    <row r="163">
      <c r="A163" s="1">
        <v>46124.0</v>
      </c>
      <c r="B163" s="2" t="s">
        <v>178</v>
      </c>
      <c r="C163" s="2" t="s">
        <v>180</v>
      </c>
      <c r="D163" s="4">
        <v>500000.0</v>
      </c>
      <c r="E163" s="3"/>
      <c r="F163" s="2" t="s">
        <v>3</v>
      </c>
      <c r="G163" s="3">
        <v>1.9274957432999992E8</v>
      </c>
      <c r="H163" s="3"/>
      <c r="I163" s="6"/>
    </row>
    <row r="164">
      <c r="A164" s="1">
        <v>46124.0</v>
      </c>
      <c r="B164" s="2" t="s">
        <v>178</v>
      </c>
      <c r="C164" s="2" t="s">
        <v>181</v>
      </c>
      <c r="D164" s="4">
        <v>2463700.0</v>
      </c>
      <c r="E164" s="3"/>
      <c r="F164" s="2" t="s">
        <v>3</v>
      </c>
      <c r="G164" s="3">
        <v>1.9028587432999992E8</v>
      </c>
      <c r="H164" s="3"/>
      <c r="I164" s="6"/>
    </row>
    <row r="165">
      <c r="A165" s="1">
        <v>46124.0</v>
      </c>
      <c r="B165" s="2" t="s">
        <v>182</v>
      </c>
      <c r="C165" s="2" t="s">
        <v>183</v>
      </c>
      <c r="D165" s="4"/>
      <c r="E165" s="4">
        <v>1.89458E7</v>
      </c>
      <c r="F165" s="2" t="s">
        <v>11</v>
      </c>
      <c r="G165" s="3">
        <v>2.0923167432999992E8</v>
      </c>
      <c r="H165" s="3"/>
      <c r="I165" s="6"/>
    </row>
    <row r="166">
      <c r="A166" s="1">
        <v>46124.0</v>
      </c>
      <c r="B166" s="2" t="s">
        <v>4</v>
      </c>
      <c r="C166" s="2" t="s">
        <v>184</v>
      </c>
      <c r="D166" s="4">
        <v>9.910152E7</v>
      </c>
      <c r="E166" s="3"/>
      <c r="F166" s="2" t="s">
        <v>3</v>
      </c>
      <c r="G166" s="3">
        <v>1.1013015432999992E8</v>
      </c>
      <c r="H166" s="3"/>
      <c r="I166" s="6"/>
    </row>
    <row r="167">
      <c r="A167" s="1">
        <v>46124.0</v>
      </c>
      <c r="B167" s="2" t="s">
        <v>4</v>
      </c>
      <c r="C167" s="2" t="s">
        <v>185</v>
      </c>
      <c r="D167" s="4">
        <v>6.100761E7</v>
      </c>
      <c r="E167" s="3"/>
      <c r="F167" s="2" t="s">
        <v>3</v>
      </c>
      <c r="G167" s="3">
        <v>4.912254432999992E7</v>
      </c>
      <c r="H167" s="3"/>
      <c r="I167" s="6"/>
    </row>
    <row r="168">
      <c r="A168" s="1">
        <v>46124.0</v>
      </c>
      <c r="B168" s="2" t="s">
        <v>4</v>
      </c>
      <c r="C168" s="2" t="s">
        <v>186</v>
      </c>
      <c r="D168" s="4">
        <v>4.1679E7</v>
      </c>
      <c r="E168" s="3"/>
      <c r="F168" s="2" t="s">
        <v>3</v>
      </c>
      <c r="G168" s="3">
        <v>7443544.329999924</v>
      </c>
      <c r="H168" s="3"/>
      <c r="I168" s="6"/>
    </row>
    <row r="169">
      <c r="A169" s="1">
        <v>46124.0</v>
      </c>
      <c r="B169" s="2" t="s">
        <v>4</v>
      </c>
      <c r="C169" s="2" t="s">
        <v>187</v>
      </c>
      <c r="D169" s="4">
        <v>1350500.0</v>
      </c>
      <c r="E169" s="3"/>
      <c r="F169" s="2" t="s">
        <v>3</v>
      </c>
      <c r="G169" s="3">
        <v>6093044.329999924</v>
      </c>
      <c r="H169" s="3"/>
      <c r="I169" s="6"/>
    </row>
    <row r="170">
      <c r="A170" s="1">
        <v>46124.0</v>
      </c>
      <c r="B170" s="2" t="s">
        <v>9</v>
      </c>
      <c r="C170" s="2" t="s">
        <v>188</v>
      </c>
      <c r="D170" s="4"/>
      <c r="E170" s="4">
        <v>8.754875E7</v>
      </c>
      <c r="F170" s="2" t="s">
        <v>11</v>
      </c>
      <c r="G170" s="4">
        <v>9.364179432999992E7</v>
      </c>
      <c r="H170" s="4">
        <v>9.364179433E7</v>
      </c>
      <c r="I170" s="6"/>
    </row>
    <row r="171">
      <c r="A171" s="1">
        <v>46124.0</v>
      </c>
      <c r="B171" s="2" t="s">
        <v>9</v>
      </c>
      <c r="C171" s="2" t="s">
        <v>189</v>
      </c>
      <c r="D171" s="4"/>
      <c r="E171" s="4">
        <v>9.151934E7</v>
      </c>
      <c r="F171" s="2" t="s">
        <v>11</v>
      </c>
      <c r="G171" s="4">
        <v>1.8516113432999992E8</v>
      </c>
      <c r="H171" s="4">
        <v>1.8516113433E8</v>
      </c>
      <c r="I171" s="6"/>
    </row>
    <row r="172">
      <c r="A172" s="1">
        <v>46124.0</v>
      </c>
      <c r="B172" s="2" t="s">
        <v>4</v>
      </c>
      <c r="C172" s="2" t="s">
        <v>190</v>
      </c>
      <c r="D172" s="4">
        <v>5.35788E7</v>
      </c>
      <c r="E172" s="3"/>
      <c r="F172" s="2" t="s">
        <v>3</v>
      </c>
      <c r="G172" s="3">
        <v>1.3158233432999992E8</v>
      </c>
      <c r="H172" s="3"/>
      <c r="I172" s="6"/>
    </row>
    <row r="173">
      <c r="A173" s="1">
        <v>46124.0</v>
      </c>
      <c r="B173" s="2" t="s">
        <v>4</v>
      </c>
      <c r="C173" s="2" t="s">
        <v>191</v>
      </c>
      <c r="D173" s="4">
        <v>4.48662E7</v>
      </c>
      <c r="E173" s="3"/>
      <c r="F173" s="2" t="s">
        <v>3</v>
      </c>
      <c r="G173" s="3">
        <v>8.671613432999992E7</v>
      </c>
      <c r="H173" s="3"/>
      <c r="I173" s="6"/>
    </row>
    <row r="174">
      <c r="A174" s="1">
        <v>46124.0</v>
      </c>
      <c r="B174" s="2" t="s">
        <v>9</v>
      </c>
      <c r="C174" s="2" t="s">
        <v>192</v>
      </c>
      <c r="D174" s="4"/>
      <c r="E174" s="4">
        <v>2.3906328E8</v>
      </c>
      <c r="F174" s="2" t="s">
        <v>11</v>
      </c>
      <c r="G174" s="3">
        <v>3.257794143299999E8</v>
      </c>
      <c r="H174" s="3"/>
      <c r="I174" s="6"/>
    </row>
    <row r="175">
      <c r="A175" s="1">
        <v>46124.0</v>
      </c>
      <c r="B175" s="2" t="s">
        <v>4</v>
      </c>
      <c r="C175" s="2" t="s">
        <v>193</v>
      </c>
      <c r="D175" s="4">
        <v>1.2544E8</v>
      </c>
      <c r="E175" s="3"/>
      <c r="F175" s="2" t="s">
        <v>3</v>
      </c>
      <c r="G175" s="3">
        <v>2.0033941432999992E8</v>
      </c>
      <c r="H175" s="3"/>
      <c r="I175" s="6" t="s">
        <v>43</v>
      </c>
    </row>
    <row r="176">
      <c r="A176" s="1">
        <v>46124.0</v>
      </c>
      <c r="B176" s="2" t="s">
        <v>4</v>
      </c>
      <c r="C176" s="2" t="s">
        <v>194</v>
      </c>
      <c r="D176" s="4">
        <v>5.026528E7</v>
      </c>
      <c r="E176" s="3"/>
      <c r="F176" s="2" t="s">
        <v>3</v>
      </c>
      <c r="G176" s="3">
        <v>1.5007413432999992E8</v>
      </c>
      <c r="H176" s="3"/>
      <c r="I176" s="6"/>
    </row>
    <row r="177">
      <c r="A177" s="1">
        <v>46124.0</v>
      </c>
      <c r="B177" s="2" t="s">
        <v>4</v>
      </c>
      <c r="C177" s="2" t="s">
        <v>195</v>
      </c>
      <c r="D177" s="4">
        <v>5.03795E7</v>
      </c>
      <c r="E177" s="3"/>
      <c r="F177" s="2" t="s">
        <v>3</v>
      </c>
      <c r="G177" s="3">
        <v>9.969463432999992E7</v>
      </c>
      <c r="H177" s="3"/>
      <c r="I177" s="6"/>
    </row>
    <row r="178">
      <c r="A178" s="1">
        <v>46124.0</v>
      </c>
      <c r="B178" s="2" t="s">
        <v>4</v>
      </c>
      <c r="C178" s="2" t="s">
        <v>196</v>
      </c>
      <c r="D178" s="4">
        <v>2820000.0</v>
      </c>
      <c r="E178" s="3"/>
      <c r="F178" s="2" t="s">
        <v>3</v>
      </c>
      <c r="G178" s="4">
        <v>9.687463432999992E7</v>
      </c>
      <c r="H178" s="4">
        <v>9.687463433E7</v>
      </c>
      <c r="I178" s="6"/>
    </row>
    <row r="179">
      <c r="A179" s="1">
        <v>46125.0</v>
      </c>
      <c r="B179" s="2" t="s">
        <v>4</v>
      </c>
      <c r="C179" s="2" t="s">
        <v>197</v>
      </c>
      <c r="D179" s="4">
        <v>5.696E7</v>
      </c>
      <c r="E179" s="3"/>
      <c r="F179" s="2" t="s">
        <v>3</v>
      </c>
      <c r="G179" s="3">
        <v>3.991463432999992E7</v>
      </c>
      <c r="H179" s="3"/>
      <c r="I179" s="6"/>
    </row>
    <row r="180">
      <c r="A180" s="1">
        <v>46125.0</v>
      </c>
      <c r="B180" s="2" t="s">
        <v>9</v>
      </c>
      <c r="C180" s="2" t="s">
        <v>198</v>
      </c>
      <c r="D180" s="4"/>
      <c r="E180" s="4">
        <v>187000.0</v>
      </c>
      <c r="F180" s="2" t="s">
        <v>11</v>
      </c>
      <c r="G180" s="3">
        <v>4.010163432999992E7</v>
      </c>
      <c r="H180" s="3"/>
      <c r="I180" s="6"/>
    </row>
    <row r="181">
      <c r="A181" s="1">
        <v>46125.0</v>
      </c>
      <c r="B181" s="2" t="s">
        <v>4</v>
      </c>
      <c r="C181" s="2" t="s">
        <v>199</v>
      </c>
      <c r="D181" s="4">
        <v>3.935175E7</v>
      </c>
      <c r="E181" s="3"/>
      <c r="F181" s="2" t="s">
        <v>3</v>
      </c>
      <c r="G181" s="3">
        <v>749884.3299999237</v>
      </c>
      <c r="H181" s="3"/>
      <c r="I181" s="6"/>
    </row>
    <row r="182">
      <c r="A182" s="1">
        <v>46125.0</v>
      </c>
      <c r="B182" s="2" t="s">
        <v>9</v>
      </c>
      <c r="C182" s="2" t="s">
        <v>200</v>
      </c>
      <c r="D182" s="4"/>
      <c r="E182" s="4">
        <v>1.0E7</v>
      </c>
      <c r="F182" s="2" t="s">
        <v>11</v>
      </c>
      <c r="G182" s="3">
        <v>1.0749884329999924E7</v>
      </c>
      <c r="H182" s="3"/>
      <c r="I182" s="6"/>
    </row>
    <row r="183">
      <c r="A183" s="1">
        <v>46125.0</v>
      </c>
      <c r="B183" s="2" t="s">
        <v>4</v>
      </c>
      <c r="C183" s="2" t="s">
        <v>201</v>
      </c>
      <c r="D183" s="4">
        <v>1.0E7</v>
      </c>
      <c r="E183" s="3"/>
      <c r="F183" s="2" t="s">
        <v>3</v>
      </c>
      <c r="G183" s="4">
        <v>749884.3299999237</v>
      </c>
      <c r="H183" s="4">
        <v>749884.33</v>
      </c>
      <c r="I183" s="6"/>
    </row>
    <row r="184">
      <c r="A184" s="1">
        <v>46125.0</v>
      </c>
      <c r="B184" s="2" t="s">
        <v>9</v>
      </c>
      <c r="C184" s="2" t="s">
        <v>202</v>
      </c>
      <c r="D184" s="4"/>
      <c r="E184" s="4">
        <v>4.963376E7</v>
      </c>
      <c r="F184" s="2" t="s">
        <v>11</v>
      </c>
      <c r="G184" s="4">
        <v>5.038364432999992E7</v>
      </c>
      <c r="H184" s="4">
        <v>5.038364433E7</v>
      </c>
      <c r="I184" s="6"/>
    </row>
    <row r="185">
      <c r="A185" s="1">
        <v>46125.0</v>
      </c>
      <c r="B185" s="2" t="s">
        <v>9</v>
      </c>
      <c r="C185" s="2" t="s">
        <v>203</v>
      </c>
      <c r="D185" s="4"/>
      <c r="E185" s="4">
        <v>1.6900666E8</v>
      </c>
      <c r="F185" s="2" t="s">
        <v>11</v>
      </c>
      <c r="G185" s="3">
        <v>2.1939030432999992E8</v>
      </c>
      <c r="H185" s="3"/>
      <c r="I185" s="6"/>
    </row>
    <row r="186">
      <c r="A186" s="1">
        <v>46125.0</v>
      </c>
      <c r="B186" s="2" t="s">
        <v>4</v>
      </c>
      <c r="C186" s="8" t="s">
        <v>200</v>
      </c>
      <c r="D186" s="4">
        <v>1.0E7</v>
      </c>
      <c r="E186" s="3"/>
      <c r="F186" s="2" t="s">
        <v>3</v>
      </c>
      <c r="G186" s="3">
        <v>2.0939030432999992E8</v>
      </c>
      <c r="H186" s="3"/>
      <c r="I186" s="6"/>
    </row>
    <row r="187">
      <c r="A187" s="1">
        <v>46125.0</v>
      </c>
      <c r="B187" s="2" t="s">
        <v>4</v>
      </c>
      <c r="C187" s="2" t="s">
        <v>204</v>
      </c>
      <c r="D187" s="4">
        <v>1.7613453E8</v>
      </c>
      <c r="E187" s="3"/>
      <c r="F187" s="2" t="s">
        <v>3</v>
      </c>
      <c r="G187" s="3">
        <v>3.3255774329999924E7</v>
      </c>
      <c r="H187" s="3"/>
      <c r="I187" s="6"/>
    </row>
    <row r="188">
      <c r="A188" s="1">
        <v>46125.0</v>
      </c>
      <c r="B188" s="2" t="s">
        <v>9</v>
      </c>
      <c r="C188" s="2" t="s">
        <v>205</v>
      </c>
      <c r="D188" s="4"/>
      <c r="E188" s="4">
        <v>150000.0</v>
      </c>
      <c r="F188" s="2" t="s">
        <v>11</v>
      </c>
      <c r="G188" s="3">
        <v>3.3405774329999924E7</v>
      </c>
      <c r="H188" s="3"/>
      <c r="I188" s="6"/>
    </row>
    <row r="189">
      <c r="A189" s="1">
        <v>46125.0</v>
      </c>
      <c r="B189" s="2" t="s">
        <v>9</v>
      </c>
      <c r="C189" s="2" t="s">
        <v>206</v>
      </c>
      <c r="D189" s="4"/>
      <c r="E189" s="4">
        <v>3.0E7</v>
      </c>
      <c r="F189" s="2" t="s">
        <v>11</v>
      </c>
      <c r="G189" s="3">
        <v>6.340577432999992E7</v>
      </c>
      <c r="H189" s="3"/>
      <c r="I189" s="6"/>
    </row>
    <row r="190">
      <c r="A190" s="1">
        <v>46125.0</v>
      </c>
      <c r="B190" s="2" t="s">
        <v>4</v>
      </c>
      <c r="C190" s="2" t="s">
        <v>207</v>
      </c>
      <c r="D190" s="4">
        <v>5.50572E7</v>
      </c>
      <c r="E190" s="3"/>
      <c r="F190" s="2" t="s">
        <v>3</v>
      </c>
      <c r="G190" s="3">
        <v>8348574.329999924</v>
      </c>
      <c r="H190" s="3"/>
      <c r="I190" s="6"/>
    </row>
    <row r="191">
      <c r="A191" s="1">
        <v>46125.0</v>
      </c>
      <c r="B191" s="2" t="s">
        <v>4</v>
      </c>
      <c r="C191" s="2" t="s">
        <v>208</v>
      </c>
      <c r="D191" s="4">
        <v>3006560.0</v>
      </c>
      <c r="E191" s="3"/>
      <c r="F191" s="2" t="s">
        <v>3</v>
      </c>
      <c r="G191" s="3">
        <v>5342014.329999924</v>
      </c>
      <c r="H191" s="3"/>
      <c r="I191" s="6"/>
    </row>
    <row r="192">
      <c r="A192" s="1">
        <v>46125.0</v>
      </c>
      <c r="B192" s="2" t="s">
        <v>4</v>
      </c>
      <c r="C192" s="2" t="s">
        <v>209</v>
      </c>
      <c r="D192" s="4">
        <v>3955800.0</v>
      </c>
      <c r="E192" s="3"/>
      <c r="F192" s="2" t="s">
        <v>3</v>
      </c>
      <c r="G192" s="4">
        <v>1386214.3299999237</v>
      </c>
      <c r="H192" s="4">
        <v>1386214.33</v>
      </c>
      <c r="I192" s="6"/>
    </row>
    <row r="193">
      <c r="A193" s="1">
        <v>46126.0</v>
      </c>
      <c r="B193" s="2" t="s">
        <v>9</v>
      </c>
      <c r="C193" s="2" t="s">
        <v>210</v>
      </c>
      <c r="D193" s="4"/>
      <c r="E193" s="4">
        <v>6.355244E7</v>
      </c>
      <c r="F193" s="2" t="s">
        <v>11</v>
      </c>
      <c r="G193" s="3">
        <v>6.493865432999992E7</v>
      </c>
      <c r="H193" s="3"/>
      <c r="I193" s="6" t="s">
        <v>43</v>
      </c>
    </row>
    <row r="194">
      <c r="A194" s="1">
        <v>46126.0</v>
      </c>
      <c r="B194" s="2" t="s">
        <v>9</v>
      </c>
      <c r="C194" s="2" t="s">
        <v>211</v>
      </c>
      <c r="D194" s="4"/>
      <c r="E194" s="4">
        <v>2.2672926E8</v>
      </c>
      <c r="F194" s="2" t="s">
        <v>11</v>
      </c>
      <c r="G194" s="3">
        <v>2.916679143299999E8</v>
      </c>
      <c r="H194" s="3"/>
      <c r="I194" s="6" t="s">
        <v>43</v>
      </c>
    </row>
    <row r="195">
      <c r="A195" s="1">
        <v>46126.0</v>
      </c>
      <c r="B195" s="2" t="s">
        <v>9</v>
      </c>
      <c r="C195" s="2" t="s">
        <v>212</v>
      </c>
      <c r="D195" s="4"/>
      <c r="E195" s="4">
        <v>600000.0</v>
      </c>
      <c r="F195" s="2" t="s">
        <v>11</v>
      </c>
      <c r="G195" s="3">
        <v>2.922679143299999E8</v>
      </c>
      <c r="H195" s="3"/>
      <c r="I195" s="6" t="s">
        <v>43</v>
      </c>
    </row>
    <row r="196">
      <c r="A196" s="1">
        <v>46126.0</v>
      </c>
      <c r="B196" s="2" t="s">
        <v>9</v>
      </c>
      <c r="C196" s="2" t="s">
        <v>213</v>
      </c>
      <c r="D196" s="4"/>
      <c r="E196" s="4">
        <v>1.18738E7</v>
      </c>
      <c r="F196" s="2" t="s">
        <v>11</v>
      </c>
      <c r="G196" s="4">
        <v>3.041417143299999E8</v>
      </c>
      <c r="H196" s="4">
        <v>3.0414171433E8</v>
      </c>
      <c r="I196" s="6"/>
    </row>
    <row r="197">
      <c r="A197" s="1">
        <v>46126.0</v>
      </c>
      <c r="B197" s="2" t="s">
        <v>9</v>
      </c>
      <c r="C197" s="2" t="s">
        <v>214</v>
      </c>
      <c r="D197" s="4"/>
      <c r="E197" s="4">
        <v>9634460.0</v>
      </c>
      <c r="F197" s="2" t="s">
        <v>11</v>
      </c>
      <c r="G197" s="4">
        <v>3.137761743299999E8</v>
      </c>
      <c r="H197" s="4">
        <v>3.1377617433E8</v>
      </c>
      <c r="I197" s="6"/>
    </row>
    <row r="198">
      <c r="A198" s="1">
        <v>46127.0</v>
      </c>
      <c r="B198" s="2" t="s">
        <v>215</v>
      </c>
      <c r="C198" s="2" t="s">
        <v>216</v>
      </c>
      <c r="D198" s="4">
        <v>5.351E7</v>
      </c>
      <c r="E198" s="3"/>
      <c r="F198" s="2" t="s">
        <v>3</v>
      </c>
      <c r="G198" s="3">
        <v>2.6026617432999992E8</v>
      </c>
      <c r="H198" s="3"/>
      <c r="I198" s="6"/>
    </row>
    <row r="199">
      <c r="A199" s="1">
        <v>46127.0</v>
      </c>
      <c r="B199" s="2" t="s">
        <v>215</v>
      </c>
      <c r="C199" s="2" t="s">
        <v>217</v>
      </c>
      <c r="D199" s="4">
        <v>1.1581926E8</v>
      </c>
      <c r="E199" s="3"/>
      <c r="F199" s="2" t="s">
        <v>3</v>
      </c>
      <c r="G199" s="3">
        <v>1.4444691432999992E8</v>
      </c>
      <c r="H199" s="3"/>
      <c r="I199" s="6"/>
    </row>
    <row r="200">
      <c r="A200" s="1">
        <v>46127.0</v>
      </c>
      <c r="B200" s="2" t="s">
        <v>215</v>
      </c>
      <c r="C200" s="2" t="s">
        <v>218</v>
      </c>
      <c r="D200" s="4">
        <v>5.36136E7</v>
      </c>
      <c r="E200" s="3"/>
      <c r="F200" s="2" t="s">
        <v>3</v>
      </c>
      <c r="G200" s="3">
        <v>9.083331432999992E7</v>
      </c>
      <c r="H200" s="3"/>
      <c r="I200" s="6"/>
    </row>
    <row r="201">
      <c r="A201" s="1">
        <v>46127.0</v>
      </c>
      <c r="B201" s="2" t="s">
        <v>215</v>
      </c>
      <c r="C201" s="2" t="s">
        <v>219</v>
      </c>
      <c r="D201" s="4">
        <v>5.31E7</v>
      </c>
      <c r="E201" s="3"/>
      <c r="F201" s="2" t="s">
        <v>3</v>
      </c>
      <c r="G201" s="3">
        <v>3.773331432999992E7</v>
      </c>
      <c r="H201" s="3"/>
      <c r="I201" s="6"/>
    </row>
    <row r="202">
      <c r="A202" s="1">
        <v>46127.0</v>
      </c>
      <c r="B202" s="2" t="s">
        <v>215</v>
      </c>
      <c r="C202" s="2" t="s">
        <v>220</v>
      </c>
      <c r="D202" s="4">
        <v>2102680.0</v>
      </c>
      <c r="E202" s="3"/>
      <c r="F202" s="2" t="s">
        <v>3</v>
      </c>
      <c r="G202" s="3">
        <v>3.563063432999992E7</v>
      </c>
      <c r="H202" s="3"/>
      <c r="I202" s="6"/>
    </row>
    <row r="203">
      <c r="A203" s="1">
        <v>46127.0</v>
      </c>
      <c r="B203" s="2" t="s">
        <v>215</v>
      </c>
      <c r="C203" s="2" t="s">
        <v>221</v>
      </c>
      <c r="D203" s="4">
        <v>2392480.0</v>
      </c>
      <c r="E203" s="3"/>
      <c r="F203" s="2" t="s">
        <v>3</v>
      </c>
      <c r="G203" s="3">
        <v>3.3238154329999924E7</v>
      </c>
      <c r="H203" s="3"/>
      <c r="I203" s="6"/>
    </row>
    <row r="204">
      <c r="A204" s="1">
        <v>46127.0</v>
      </c>
      <c r="B204" s="2" t="s">
        <v>215</v>
      </c>
      <c r="C204" s="2" t="s">
        <v>222</v>
      </c>
      <c r="D204" s="4">
        <v>750000.0</v>
      </c>
      <c r="E204" s="3"/>
      <c r="F204" s="2" t="s">
        <v>3</v>
      </c>
      <c r="G204" s="3">
        <v>3.2488154329999924E7</v>
      </c>
      <c r="H204" s="3"/>
      <c r="I204" s="6"/>
    </row>
    <row r="205">
      <c r="A205" s="1">
        <v>46127.0</v>
      </c>
      <c r="B205" s="2" t="s">
        <v>4</v>
      </c>
      <c r="C205" s="2" t="s">
        <v>223</v>
      </c>
      <c r="D205" s="4">
        <v>2000000.0</v>
      </c>
      <c r="E205" s="3"/>
      <c r="F205" s="2" t="s">
        <v>3</v>
      </c>
      <c r="G205" s="3">
        <v>3.0488154329999924E7</v>
      </c>
      <c r="H205" s="3"/>
      <c r="I205" s="7" t="s">
        <v>154</v>
      </c>
    </row>
    <row r="206">
      <c r="A206" s="1">
        <v>46127.0</v>
      </c>
      <c r="B206" s="2" t="s">
        <v>9</v>
      </c>
      <c r="C206" s="2" t="s">
        <v>224</v>
      </c>
      <c r="D206" s="4"/>
      <c r="E206" s="4">
        <v>1.1906901E8</v>
      </c>
      <c r="F206" s="2" t="s">
        <v>11</v>
      </c>
      <c r="G206" s="3">
        <v>1.4955716432999992E8</v>
      </c>
      <c r="H206" s="3"/>
      <c r="I206" s="6" t="s">
        <v>43</v>
      </c>
    </row>
    <row r="207">
      <c r="A207" s="1">
        <v>46127.0</v>
      </c>
      <c r="B207" s="2" t="s">
        <v>4</v>
      </c>
      <c r="C207" s="2" t="s">
        <v>225</v>
      </c>
      <c r="D207" s="4">
        <v>5.253E7</v>
      </c>
      <c r="E207" s="3"/>
      <c r="F207" s="2" t="s">
        <v>3</v>
      </c>
      <c r="G207" s="3">
        <v>9.702716432999992E7</v>
      </c>
      <c r="H207" s="3"/>
      <c r="I207" s="6" t="s">
        <v>43</v>
      </c>
    </row>
    <row r="208">
      <c r="A208" s="1">
        <v>46127.0</v>
      </c>
      <c r="B208" s="2" t="s">
        <v>4</v>
      </c>
      <c r="C208" s="2" t="s">
        <v>226</v>
      </c>
      <c r="D208" s="4">
        <v>5.255628E7</v>
      </c>
      <c r="E208" s="3"/>
      <c r="F208" s="2" t="s">
        <v>3</v>
      </c>
      <c r="G208" s="3">
        <v>4.447088432999992E7</v>
      </c>
      <c r="H208" s="3"/>
      <c r="I208" s="6" t="s">
        <v>43</v>
      </c>
    </row>
    <row r="209">
      <c r="A209" s="10">
        <v>46127.0</v>
      </c>
      <c r="B209" s="8" t="s">
        <v>9</v>
      </c>
      <c r="C209" s="8" t="s">
        <v>227</v>
      </c>
      <c r="D209" s="11"/>
      <c r="E209" s="11">
        <v>1.97026E7</v>
      </c>
      <c r="F209" s="8" t="s">
        <v>11</v>
      </c>
      <c r="G209" s="11">
        <v>6.417348432999992E7</v>
      </c>
      <c r="H209" s="11">
        <v>6.417348433E7</v>
      </c>
      <c r="I209" s="6" t="s">
        <v>43</v>
      </c>
    </row>
    <row r="210">
      <c r="A210" s="1">
        <v>46128.0</v>
      </c>
      <c r="B210" s="2" t="s">
        <v>228</v>
      </c>
      <c r="C210" s="2" t="s">
        <v>229</v>
      </c>
      <c r="D210" s="4"/>
      <c r="E210" s="4">
        <v>6700000.0</v>
      </c>
      <c r="F210" s="2"/>
      <c r="G210" s="4">
        <v>7.087348432999992E7</v>
      </c>
      <c r="H210" s="4">
        <v>7.087348433E7</v>
      </c>
      <c r="I210" s="6" t="s">
        <v>43</v>
      </c>
    </row>
    <row r="211">
      <c r="A211" s="1">
        <v>46128.0</v>
      </c>
      <c r="B211" s="2" t="s">
        <v>40</v>
      </c>
      <c r="C211" s="2" t="s">
        <v>230</v>
      </c>
      <c r="D211" s="4">
        <v>500000.0</v>
      </c>
      <c r="E211" s="3"/>
      <c r="F211" s="2" t="s">
        <v>3</v>
      </c>
      <c r="G211" s="3">
        <v>7.037348432999992E7</v>
      </c>
      <c r="H211" s="3"/>
      <c r="I211" s="7" t="s">
        <v>43</v>
      </c>
    </row>
    <row r="212">
      <c r="A212" s="1">
        <v>46128.0</v>
      </c>
      <c r="B212" s="2" t="s">
        <v>40</v>
      </c>
      <c r="C212" s="2" t="s">
        <v>231</v>
      </c>
      <c r="D212" s="4">
        <v>2500.0</v>
      </c>
      <c r="E212" s="3"/>
      <c r="F212" s="2" t="s">
        <v>3</v>
      </c>
      <c r="G212" s="3">
        <v>7.037098432999992E7</v>
      </c>
      <c r="H212" s="3"/>
      <c r="I212" s="7" t="s">
        <v>43</v>
      </c>
    </row>
    <row r="213">
      <c r="A213" s="1">
        <v>46128.0</v>
      </c>
      <c r="B213" s="2" t="s">
        <v>4</v>
      </c>
      <c r="C213" s="2" t="s">
        <v>232</v>
      </c>
      <c r="D213" s="4">
        <v>4.785E7</v>
      </c>
      <c r="E213" s="3"/>
      <c r="F213" s="2" t="s">
        <v>3</v>
      </c>
      <c r="G213" s="3">
        <v>2.2520984329999924E7</v>
      </c>
      <c r="H213" s="3"/>
      <c r="I213" s="6"/>
    </row>
    <row r="214">
      <c r="A214" s="1">
        <v>46128.0</v>
      </c>
      <c r="B214" s="2" t="s">
        <v>4</v>
      </c>
      <c r="C214" s="2" t="s">
        <v>233</v>
      </c>
      <c r="D214" s="4">
        <v>500000.0</v>
      </c>
      <c r="E214" s="3"/>
      <c r="F214" s="2" t="s">
        <v>3</v>
      </c>
      <c r="G214" s="3">
        <v>2.2020984329999924E7</v>
      </c>
      <c r="H214" s="3"/>
      <c r="I214" s="6"/>
    </row>
    <row r="215">
      <c r="A215" s="1">
        <v>46128.0</v>
      </c>
      <c r="B215" s="2" t="s">
        <v>4</v>
      </c>
      <c r="C215" s="2" t="s">
        <v>234</v>
      </c>
      <c r="D215" s="4">
        <v>300000.0</v>
      </c>
      <c r="E215" s="3"/>
      <c r="F215" s="2" t="s">
        <v>3</v>
      </c>
      <c r="G215" s="3">
        <v>2.1720984329999924E7</v>
      </c>
      <c r="H215" s="3"/>
      <c r="I215" s="7" t="s">
        <v>43</v>
      </c>
    </row>
    <row r="216">
      <c r="A216" s="1">
        <v>46128.0</v>
      </c>
      <c r="B216" s="2" t="s">
        <v>235</v>
      </c>
      <c r="C216" s="2" t="s">
        <v>236</v>
      </c>
      <c r="D216" s="4">
        <v>141300.0</v>
      </c>
      <c r="E216" s="3"/>
      <c r="G216" s="3">
        <v>2.1579684329999924E7</v>
      </c>
      <c r="H216" s="3"/>
      <c r="I216" s="7" t="s">
        <v>43</v>
      </c>
    </row>
    <row r="217">
      <c r="A217" s="1">
        <v>46128.0</v>
      </c>
      <c r="B217" s="2" t="s">
        <v>9</v>
      </c>
      <c r="C217" s="2" t="s">
        <v>237</v>
      </c>
      <c r="D217" s="4"/>
      <c r="E217" s="4">
        <v>5.239554E7</v>
      </c>
      <c r="F217" s="2" t="s">
        <v>11</v>
      </c>
      <c r="G217" s="3">
        <v>7.397522432999992E7</v>
      </c>
      <c r="H217" s="3"/>
      <c r="I217" s="6"/>
    </row>
    <row r="218">
      <c r="A218" s="1">
        <v>46128.0</v>
      </c>
      <c r="B218" s="2" t="s">
        <v>4</v>
      </c>
      <c r="C218" s="2" t="s">
        <v>238</v>
      </c>
      <c r="D218" s="4">
        <v>6.195E7</v>
      </c>
      <c r="E218" s="3"/>
      <c r="F218" s="2" t="s">
        <v>3</v>
      </c>
      <c r="G218" s="3">
        <v>1.2025224329999924E7</v>
      </c>
      <c r="H218" s="3"/>
      <c r="I218" s="6" t="s">
        <v>43</v>
      </c>
    </row>
    <row r="219">
      <c r="A219" s="1">
        <v>46128.0</v>
      </c>
      <c r="B219" s="2" t="s">
        <v>4</v>
      </c>
      <c r="C219" s="2" t="s">
        <v>239</v>
      </c>
      <c r="D219" s="4">
        <v>6700000.0</v>
      </c>
      <c r="E219" s="3"/>
      <c r="F219" s="2" t="s">
        <v>3</v>
      </c>
      <c r="G219" s="4">
        <v>5325224.329999924</v>
      </c>
      <c r="H219" s="4">
        <v>5325224.33</v>
      </c>
      <c r="I219" s="6"/>
    </row>
    <row r="220">
      <c r="A220" s="1">
        <v>46129.0</v>
      </c>
      <c r="B220" s="2" t="s">
        <v>9</v>
      </c>
      <c r="C220" s="2" t="s">
        <v>240</v>
      </c>
      <c r="D220" s="4"/>
      <c r="E220" s="4">
        <v>9.72E7</v>
      </c>
      <c r="F220" s="2" t="s">
        <v>11</v>
      </c>
      <c r="G220" s="3">
        <v>1.0252522432999992E8</v>
      </c>
      <c r="H220" s="3"/>
      <c r="I220" s="6" t="s">
        <v>43</v>
      </c>
    </row>
    <row r="221">
      <c r="A221" s="1">
        <v>46129.0</v>
      </c>
      <c r="B221" s="2" t="s">
        <v>9</v>
      </c>
      <c r="C221" s="2" t="s">
        <v>241</v>
      </c>
      <c r="D221" s="4"/>
      <c r="E221" s="4">
        <v>1.1185225E8</v>
      </c>
      <c r="F221" s="2" t="s">
        <v>11</v>
      </c>
      <c r="G221" s="3">
        <v>2.1437747432999992E8</v>
      </c>
      <c r="H221" s="3"/>
      <c r="I221" s="6"/>
    </row>
    <row r="222">
      <c r="A222" s="1">
        <v>46129.0</v>
      </c>
      <c r="B222" s="2" t="s">
        <v>4</v>
      </c>
      <c r="C222" s="2" t="s">
        <v>242</v>
      </c>
      <c r="D222" s="4">
        <v>5.244012E7</v>
      </c>
      <c r="E222" s="3"/>
      <c r="F222" s="2" t="s">
        <v>3</v>
      </c>
      <c r="G222" s="4">
        <v>1.6193735432999992E8</v>
      </c>
      <c r="H222" s="4">
        <v>1.6193735433E8</v>
      </c>
      <c r="I222" s="6"/>
    </row>
    <row r="223">
      <c r="A223" s="1">
        <v>46129.0</v>
      </c>
      <c r="B223" s="2" t="s">
        <v>4</v>
      </c>
      <c r="C223" s="2" t="s">
        <v>243</v>
      </c>
      <c r="D223" s="4">
        <v>5.245014E7</v>
      </c>
      <c r="E223" s="3"/>
      <c r="F223" s="2" t="s">
        <v>3</v>
      </c>
      <c r="G223" s="4">
        <v>1.0948721432999992E8</v>
      </c>
      <c r="H223" s="4">
        <v>1.0948721433E8</v>
      </c>
      <c r="I223" s="6"/>
    </row>
    <row r="224">
      <c r="A224" s="1">
        <v>46129.0</v>
      </c>
      <c r="B224" s="2" t="s">
        <v>4</v>
      </c>
      <c r="C224" s="2" t="s">
        <v>244</v>
      </c>
      <c r="D224" s="4">
        <v>4.8861E7</v>
      </c>
      <c r="E224" s="3"/>
      <c r="F224" s="2" t="s">
        <v>3</v>
      </c>
      <c r="G224" s="3">
        <v>6.062621432999992E7</v>
      </c>
      <c r="H224" s="3"/>
      <c r="I224" s="6"/>
    </row>
    <row r="225">
      <c r="A225" s="1">
        <v>46129.0</v>
      </c>
      <c r="B225" s="2" t="s">
        <v>4</v>
      </c>
      <c r="C225" s="2" t="s">
        <v>245</v>
      </c>
      <c r="D225" s="4">
        <v>549000.0</v>
      </c>
      <c r="E225" s="3"/>
      <c r="F225" s="2" t="s">
        <v>3</v>
      </c>
      <c r="G225" s="3">
        <v>6.007721432999992E7</v>
      </c>
      <c r="H225" s="3"/>
      <c r="I225" s="6"/>
    </row>
    <row r="226">
      <c r="A226" s="1">
        <v>46129.0</v>
      </c>
      <c r="B226" s="2" t="s">
        <v>4</v>
      </c>
      <c r="C226" s="2" t="s">
        <v>246</v>
      </c>
      <c r="D226" s="4">
        <v>5.18035E7</v>
      </c>
      <c r="E226" s="3"/>
      <c r="F226" s="2" t="s">
        <v>3</v>
      </c>
      <c r="G226" s="3">
        <v>8273714.329999924</v>
      </c>
      <c r="H226" s="3"/>
      <c r="I226" s="6"/>
    </row>
    <row r="227">
      <c r="A227" s="1">
        <v>46129.0</v>
      </c>
      <c r="B227" s="2" t="s">
        <v>4</v>
      </c>
      <c r="C227" s="2" t="s">
        <v>247</v>
      </c>
      <c r="D227" s="4">
        <v>174900.0</v>
      </c>
      <c r="E227" s="3"/>
      <c r="F227" s="2" t="s">
        <v>3</v>
      </c>
      <c r="G227" s="3">
        <v>8098814.329999924</v>
      </c>
      <c r="H227" s="3"/>
      <c r="I227" s="6" t="s">
        <v>43</v>
      </c>
    </row>
    <row r="228">
      <c r="A228" s="1">
        <v>46129.0</v>
      </c>
      <c r="B228" s="2" t="s">
        <v>9</v>
      </c>
      <c r="C228" s="2" t="s">
        <v>248</v>
      </c>
      <c r="D228" s="4"/>
      <c r="E228" s="4">
        <v>5.56053E7</v>
      </c>
      <c r="F228" s="2" t="s">
        <v>11</v>
      </c>
      <c r="G228" s="3">
        <v>6.370411432999992E7</v>
      </c>
      <c r="H228" s="3"/>
      <c r="I228" s="6" t="s">
        <v>43</v>
      </c>
    </row>
    <row r="229">
      <c r="A229" s="1">
        <v>46129.0</v>
      </c>
      <c r="B229" s="2" t="s">
        <v>9</v>
      </c>
      <c r="C229" s="2" t="s">
        <v>249</v>
      </c>
      <c r="D229" s="4"/>
      <c r="E229" s="4">
        <v>5.316561E7</v>
      </c>
      <c r="F229" s="2" t="s">
        <v>11</v>
      </c>
      <c r="G229" s="3">
        <v>1.1686972432999992E8</v>
      </c>
      <c r="H229" s="3"/>
      <c r="I229" s="6" t="s">
        <v>43</v>
      </c>
    </row>
    <row r="230">
      <c r="A230" s="1">
        <v>46129.0</v>
      </c>
      <c r="B230" s="2" t="s">
        <v>9</v>
      </c>
      <c r="C230" s="2" t="s">
        <v>250</v>
      </c>
      <c r="D230" s="4"/>
      <c r="E230" s="4">
        <v>6.0025E7</v>
      </c>
      <c r="F230" s="2" t="s">
        <v>11</v>
      </c>
      <c r="G230" s="3">
        <v>1.7689472432999992E8</v>
      </c>
      <c r="H230" s="3"/>
      <c r="I230" s="6" t="s">
        <v>43</v>
      </c>
    </row>
    <row r="231">
      <c r="A231" s="1">
        <v>46129.0</v>
      </c>
      <c r="B231" s="2" t="s">
        <v>4</v>
      </c>
      <c r="C231" s="2" t="s">
        <v>251</v>
      </c>
      <c r="D231" s="4">
        <v>1.53E8</v>
      </c>
      <c r="E231" s="3"/>
      <c r="F231" s="2" t="s">
        <v>3</v>
      </c>
      <c r="G231" s="3">
        <v>2.3894724329999924E7</v>
      </c>
      <c r="H231" s="3"/>
      <c r="I231" s="6" t="s">
        <v>43</v>
      </c>
    </row>
    <row r="232">
      <c r="A232" s="1">
        <v>46129.0</v>
      </c>
      <c r="B232" s="2" t="s">
        <v>4</v>
      </c>
      <c r="C232" s="2" t="s">
        <v>252</v>
      </c>
      <c r="D232" s="4">
        <v>1716900.0</v>
      </c>
      <c r="E232" s="3"/>
      <c r="F232" s="2" t="s">
        <v>3</v>
      </c>
      <c r="G232" s="3">
        <v>2.2177824329999924E7</v>
      </c>
      <c r="H232" s="3"/>
      <c r="I232" s="6" t="s">
        <v>43</v>
      </c>
    </row>
    <row r="233">
      <c r="A233" s="1">
        <v>46129.0</v>
      </c>
      <c r="B233" s="2" t="s">
        <v>9</v>
      </c>
      <c r="C233" s="2" t="s">
        <v>253</v>
      </c>
      <c r="D233" s="4"/>
      <c r="E233" s="4">
        <v>1.0E8</v>
      </c>
      <c r="F233" s="2" t="s">
        <v>11</v>
      </c>
      <c r="G233" s="3">
        <v>1.2217782432999992E8</v>
      </c>
      <c r="H233" s="3"/>
      <c r="I233" s="6" t="s">
        <v>43</v>
      </c>
    </row>
    <row r="234">
      <c r="A234" s="1">
        <v>46129.0</v>
      </c>
      <c r="B234" s="2" t="s">
        <v>9</v>
      </c>
      <c r="C234" s="2" t="s">
        <v>254</v>
      </c>
      <c r="D234" s="4"/>
      <c r="E234" s="4">
        <v>2.1266555E8</v>
      </c>
      <c r="F234" s="2" t="s">
        <v>11</v>
      </c>
      <c r="G234" s="3">
        <v>3.348433743299999E8</v>
      </c>
      <c r="H234" s="3"/>
      <c r="I234" s="6"/>
    </row>
    <row r="235">
      <c r="A235" s="1">
        <v>46129.0</v>
      </c>
      <c r="B235" s="2" t="s">
        <v>4</v>
      </c>
      <c r="C235" s="2" t="s">
        <v>255</v>
      </c>
      <c r="D235" s="4">
        <v>5.19E7</v>
      </c>
      <c r="E235" s="3"/>
      <c r="F235" s="2" t="s">
        <v>3</v>
      </c>
      <c r="G235" s="4">
        <v>2.829433743299999E8</v>
      </c>
      <c r="H235" s="4">
        <v>2.8294337433E8</v>
      </c>
      <c r="I235" s="6"/>
    </row>
    <row r="236">
      <c r="A236" s="1">
        <v>46129.0</v>
      </c>
      <c r="B236" s="2" t="s">
        <v>4</v>
      </c>
      <c r="C236" s="2" t="s">
        <v>256</v>
      </c>
      <c r="D236" s="4">
        <v>1.7E7</v>
      </c>
      <c r="E236" s="3"/>
      <c r="F236" s="2" t="s">
        <v>3</v>
      </c>
      <c r="G236" s="4">
        <v>2.6594337432999992E8</v>
      </c>
      <c r="H236" s="4">
        <v>2.6594337433E8</v>
      </c>
      <c r="I236" s="6"/>
    </row>
    <row r="237">
      <c r="A237" s="1">
        <v>46129.0</v>
      </c>
      <c r="B237" s="2" t="s">
        <v>4</v>
      </c>
      <c r="C237" s="2" t="s">
        <v>257</v>
      </c>
      <c r="D237" s="4">
        <v>4.698E7</v>
      </c>
      <c r="E237" s="3"/>
      <c r="F237" s="2" t="s">
        <v>3</v>
      </c>
      <c r="G237" s="3">
        <v>2.1896337432999992E8</v>
      </c>
      <c r="H237" s="3"/>
      <c r="I237" s="6"/>
    </row>
    <row r="238">
      <c r="A238" s="1">
        <v>46129.0</v>
      </c>
      <c r="B238" s="2" t="s">
        <v>4</v>
      </c>
      <c r="C238" s="2" t="s">
        <v>258</v>
      </c>
      <c r="D238" s="4">
        <v>1.587248E8</v>
      </c>
      <c r="E238" s="3"/>
      <c r="F238" s="2" t="s">
        <v>3</v>
      </c>
      <c r="G238" s="4">
        <v>6.023857432999992E7</v>
      </c>
      <c r="H238" s="4">
        <v>6.023857433E7</v>
      </c>
      <c r="I238" s="6" t="s">
        <v>12</v>
      </c>
    </row>
    <row r="239">
      <c r="A239" s="1">
        <v>46130.0</v>
      </c>
      <c r="B239" s="2" t="s">
        <v>259</v>
      </c>
      <c r="C239" s="2" t="s">
        <v>260</v>
      </c>
      <c r="D239" s="4"/>
      <c r="E239" s="4">
        <v>5.24718E7</v>
      </c>
      <c r="F239" s="2" t="s">
        <v>11</v>
      </c>
      <c r="G239" s="3">
        <v>1.1271037432999992E8</v>
      </c>
      <c r="H239" s="3"/>
      <c r="I239" s="6"/>
    </row>
    <row r="240">
      <c r="A240" s="1">
        <v>46130.0</v>
      </c>
      <c r="B240" s="2" t="s">
        <v>259</v>
      </c>
      <c r="C240" s="2" t="s">
        <v>261</v>
      </c>
      <c r="D240" s="4"/>
      <c r="E240" s="4">
        <v>4.0E7</v>
      </c>
      <c r="F240" s="2" t="s">
        <v>11</v>
      </c>
      <c r="G240" s="3">
        <v>1.5271037432999992E8</v>
      </c>
      <c r="H240" s="3"/>
      <c r="I240" s="6"/>
    </row>
    <row r="241">
      <c r="A241" s="1">
        <v>46130.0</v>
      </c>
      <c r="B241" s="2" t="s">
        <v>4</v>
      </c>
      <c r="C241" s="2" t="s">
        <v>262</v>
      </c>
      <c r="D241" s="4">
        <v>6.44175E7</v>
      </c>
      <c r="E241" s="3"/>
      <c r="F241" s="2" t="s">
        <v>3</v>
      </c>
      <c r="G241" s="3">
        <v>8.829287432999992E7</v>
      </c>
      <c r="H241" s="3"/>
      <c r="I241" s="6"/>
    </row>
    <row r="242">
      <c r="A242" s="1">
        <v>46130.0</v>
      </c>
      <c r="B242" s="2" t="s">
        <v>4</v>
      </c>
      <c r="C242" s="2" t="s">
        <v>263</v>
      </c>
      <c r="D242" s="4">
        <v>4.95E7</v>
      </c>
      <c r="E242" s="3"/>
      <c r="F242" s="2" t="s">
        <v>3</v>
      </c>
      <c r="G242" s="3">
        <v>3.879287432999992E7</v>
      </c>
      <c r="H242" s="3"/>
      <c r="I242" s="6" t="s">
        <v>43</v>
      </c>
    </row>
    <row r="243">
      <c r="A243" s="1">
        <v>46130.0</v>
      </c>
      <c r="B243" s="2" t="s">
        <v>74</v>
      </c>
      <c r="C243" s="2" t="s">
        <v>264</v>
      </c>
      <c r="D243" s="4">
        <v>27000.0</v>
      </c>
      <c r="E243" s="3"/>
      <c r="G243" s="3">
        <v>3.876587432999992E7</v>
      </c>
      <c r="H243" s="3"/>
      <c r="I243" s="6"/>
    </row>
    <row r="244">
      <c r="A244" s="1">
        <v>46130.0</v>
      </c>
      <c r="B244" s="2" t="s">
        <v>74</v>
      </c>
      <c r="C244" s="8" t="s">
        <v>264</v>
      </c>
      <c r="D244" s="4">
        <v>52000.0</v>
      </c>
      <c r="E244" s="3"/>
      <c r="G244" s="3">
        <v>3.871387432999992E7</v>
      </c>
      <c r="H244" s="3"/>
      <c r="I244" s="6"/>
    </row>
    <row r="245">
      <c r="A245" s="1">
        <v>46130.0</v>
      </c>
      <c r="B245" s="2" t="s">
        <v>4</v>
      </c>
      <c r="C245" s="2" t="s">
        <v>265</v>
      </c>
      <c r="D245" s="4">
        <v>500000.0</v>
      </c>
      <c r="E245" s="3"/>
      <c r="F245" s="2" t="s">
        <v>3</v>
      </c>
      <c r="G245" s="3">
        <v>3.821387432999992E7</v>
      </c>
      <c r="H245" s="3"/>
      <c r="I245" s="6"/>
    </row>
    <row r="246">
      <c r="A246" s="1">
        <v>46130.0</v>
      </c>
      <c r="B246" s="2" t="s">
        <v>4</v>
      </c>
      <c r="C246" s="2" t="s">
        <v>266</v>
      </c>
      <c r="D246" s="4">
        <v>1211790.0</v>
      </c>
      <c r="E246" s="3"/>
      <c r="F246" s="2" t="s">
        <v>3</v>
      </c>
      <c r="G246" s="3">
        <v>3.700208432999992E7</v>
      </c>
      <c r="H246" s="3"/>
      <c r="I246" s="6"/>
    </row>
    <row r="247">
      <c r="A247" s="1">
        <v>46130.0</v>
      </c>
      <c r="B247" s="2" t="s">
        <v>267</v>
      </c>
      <c r="C247" s="2" t="s">
        <v>267</v>
      </c>
      <c r="D247" s="4">
        <v>800000.0</v>
      </c>
      <c r="E247" s="3"/>
      <c r="G247" s="3">
        <v>3.620208432999992E7</v>
      </c>
      <c r="H247" s="3"/>
      <c r="I247" s="6"/>
    </row>
    <row r="248">
      <c r="A248" s="1">
        <v>46130.0</v>
      </c>
      <c r="B248" s="2" t="s">
        <v>9</v>
      </c>
      <c r="C248" s="2" t="s">
        <v>268</v>
      </c>
      <c r="D248" s="4"/>
      <c r="E248" s="4">
        <v>9.31014E7</v>
      </c>
      <c r="F248" s="2" t="s">
        <v>11</v>
      </c>
      <c r="G248" s="4">
        <v>1.2930348432999992E8</v>
      </c>
      <c r="H248" s="4">
        <v>1.2930348433E8</v>
      </c>
      <c r="I248" s="6"/>
    </row>
    <row r="249">
      <c r="A249" s="1">
        <v>46130.0</v>
      </c>
      <c r="B249" s="2" t="s">
        <v>4</v>
      </c>
      <c r="C249" s="2" t="s">
        <v>269</v>
      </c>
      <c r="D249" s="4">
        <v>1100000.0</v>
      </c>
      <c r="E249" s="3"/>
      <c r="F249" s="2" t="s">
        <v>3</v>
      </c>
      <c r="G249" s="4">
        <v>1.2820348432999992E8</v>
      </c>
      <c r="H249" s="4">
        <v>1.2820348433E8</v>
      </c>
      <c r="I249" s="6"/>
    </row>
    <row r="250">
      <c r="A250" s="1">
        <v>46130.0</v>
      </c>
      <c r="B250" s="2" t="s">
        <v>4</v>
      </c>
      <c r="C250" s="2" t="s">
        <v>270</v>
      </c>
      <c r="D250" s="4">
        <v>150000.0</v>
      </c>
      <c r="E250" s="3"/>
      <c r="F250" s="2" t="s">
        <v>3</v>
      </c>
      <c r="G250" s="3">
        <v>1.2805348432999992E8</v>
      </c>
      <c r="H250" s="3"/>
      <c r="I250" s="6"/>
    </row>
    <row r="251">
      <c r="A251" s="1">
        <v>46130.0</v>
      </c>
      <c r="B251" s="2" t="s">
        <v>9</v>
      </c>
      <c r="C251" s="2" t="s">
        <v>271</v>
      </c>
      <c r="D251" s="4"/>
      <c r="E251" s="4">
        <v>7.7064655E7</v>
      </c>
      <c r="F251" s="2" t="s">
        <v>11</v>
      </c>
      <c r="G251" s="3">
        <v>2.0511813932999992E8</v>
      </c>
      <c r="H251" s="3"/>
      <c r="I251" s="6"/>
    </row>
    <row r="252">
      <c r="A252" s="1">
        <v>46130.0</v>
      </c>
      <c r="B252" s="2" t="s">
        <v>4</v>
      </c>
      <c r="C252" s="2" t="s">
        <v>272</v>
      </c>
      <c r="D252" s="4">
        <v>5.445E7</v>
      </c>
      <c r="E252" s="3"/>
      <c r="F252" s="2" t="s">
        <v>3</v>
      </c>
      <c r="G252" s="3">
        <v>1.5066813932999992E8</v>
      </c>
      <c r="H252" s="3"/>
      <c r="I252" s="6"/>
    </row>
    <row r="253">
      <c r="A253" s="1">
        <v>46130.0</v>
      </c>
      <c r="B253" s="2" t="s">
        <v>4</v>
      </c>
      <c r="C253" s="2" t="s">
        <v>273</v>
      </c>
      <c r="D253" s="4">
        <v>1.0846E8</v>
      </c>
      <c r="E253" s="3"/>
      <c r="F253" s="2" t="s">
        <v>3</v>
      </c>
      <c r="G253" s="3">
        <v>4.220813932999992E7</v>
      </c>
      <c r="H253" s="3"/>
      <c r="I253" s="6"/>
    </row>
    <row r="254">
      <c r="A254" s="1">
        <v>46130.0</v>
      </c>
      <c r="B254" s="2" t="s">
        <v>4</v>
      </c>
      <c r="C254" s="2" t="s">
        <v>274</v>
      </c>
      <c r="D254" s="4">
        <v>700000.0</v>
      </c>
      <c r="E254" s="3"/>
      <c r="F254" s="2" t="s">
        <v>3</v>
      </c>
      <c r="G254" s="3">
        <v>4.150813932999992E7</v>
      </c>
      <c r="H254" s="3"/>
      <c r="I254" s="6"/>
    </row>
    <row r="255">
      <c r="A255" s="1">
        <v>46130.0</v>
      </c>
      <c r="B255" s="2" t="s">
        <v>4</v>
      </c>
      <c r="C255" s="2" t="s">
        <v>275</v>
      </c>
      <c r="D255" s="4">
        <v>2000000.0</v>
      </c>
      <c r="E255" s="3"/>
      <c r="F255" s="2" t="s">
        <v>3</v>
      </c>
      <c r="G255" s="3">
        <v>3.950813932999992E7</v>
      </c>
      <c r="H255" s="3"/>
      <c r="I255" s="6"/>
    </row>
    <row r="256">
      <c r="A256" s="1">
        <v>46130.0</v>
      </c>
      <c r="B256" s="2" t="s">
        <v>9</v>
      </c>
      <c r="C256" s="2" t="s">
        <v>276</v>
      </c>
      <c r="D256" s="4"/>
      <c r="E256" s="4">
        <v>1.4959064E8</v>
      </c>
      <c r="F256" s="2" t="s">
        <v>11</v>
      </c>
      <c r="G256" s="3">
        <v>1.8909877932999992E8</v>
      </c>
      <c r="H256" s="3"/>
      <c r="I256" s="6"/>
    </row>
    <row r="257">
      <c r="A257" s="1">
        <v>46130.0</v>
      </c>
      <c r="B257" s="2" t="s">
        <v>4</v>
      </c>
      <c r="C257" s="2" t="s">
        <v>277</v>
      </c>
      <c r="D257" s="4">
        <v>9.919371E7</v>
      </c>
      <c r="E257" s="3"/>
      <c r="F257" s="2" t="s">
        <v>3</v>
      </c>
      <c r="G257" s="3">
        <v>8.990506932999992E7</v>
      </c>
      <c r="H257" s="3"/>
      <c r="I257" s="6"/>
    </row>
    <row r="258">
      <c r="A258" s="1">
        <v>46130.0</v>
      </c>
      <c r="B258" s="2" t="s">
        <v>4</v>
      </c>
      <c r="C258" s="2" t="s">
        <v>278</v>
      </c>
      <c r="D258" s="4">
        <v>4.28848E7</v>
      </c>
      <c r="E258" s="3"/>
      <c r="F258" s="2" t="s">
        <v>3</v>
      </c>
      <c r="G258" s="3">
        <v>4.702026932999992E7</v>
      </c>
      <c r="H258" s="3"/>
      <c r="I258" s="6"/>
    </row>
    <row r="259">
      <c r="A259" s="1">
        <v>46130.0</v>
      </c>
      <c r="B259" s="2" t="s">
        <v>4</v>
      </c>
      <c r="C259" s="2" t="s">
        <v>279</v>
      </c>
      <c r="D259" s="4">
        <v>3.67408E7</v>
      </c>
      <c r="E259" s="3"/>
      <c r="F259" s="2" t="s">
        <v>3</v>
      </c>
      <c r="G259" s="4">
        <v>1.0279469329999924E7</v>
      </c>
      <c r="H259" s="4">
        <v>1.027946933E7</v>
      </c>
      <c r="I259" s="6" t="s">
        <v>16</v>
      </c>
    </row>
    <row r="260">
      <c r="A260" s="1">
        <v>46131.0</v>
      </c>
      <c r="B260" s="2" t="s">
        <v>280</v>
      </c>
      <c r="C260" s="2" t="s">
        <v>281</v>
      </c>
      <c r="D260" s="4">
        <v>1100000.0</v>
      </c>
      <c r="E260" s="3"/>
      <c r="F260" s="2" t="s">
        <v>3</v>
      </c>
      <c r="G260" s="3">
        <v>9179469.329999924</v>
      </c>
      <c r="H260" s="3"/>
      <c r="I260" s="6" t="s">
        <v>16</v>
      </c>
    </row>
    <row r="261">
      <c r="A261" s="1">
        <v>46131.0</v>
      </c>
      <c r="B261" s="2" t="s">
        <v>280</v>
      </c>
      <c r="C261" s="2" t="s">
        <v>282</v>
      </c>
      <c r="D261" s="4">
        <v>1007220.0</v>
      </c>
      <c r="E261" s="3"/>
      <c r="F261" s="2" t="s">
        <v>3</v>
      </c>
      <c r="G261" s="4">
        <v>8172249.329999924</v>
      </c>
      <c r="H261" s="4">
        <v>8172249.33</v>
      </c>
      <c r="I261" s="6" t="s">
        <v>16</v>
      </c>
    </row>
    <row r="262">
      <c r="A262" s="1">
        <v>46131.0</v>
      </c>
      <c r="B262" s="2" t="s">
        <v>4</v>
      </c>
      <c r="C262" s="2" t="s">
        <v>283</v>
      </c>
      <c r="D262" s="4">
        <v>7716150.0</v>
      </c>
      <c r="E262" s="3"/>
      <c r="F262" s="2" t="s">
        <v>3</v>
      </c>
      <c r="G262" s="4">
        <v>456099.3299999237</v>
      </c>
      <c r="H262" s="4">
        <v>456099.33</v>
      </c>
      <c r="I262" s="6" t="s">
        <v>16</v>
      </c>
    </row>
    <row r="263">
      <c r="A263" s="1">
        <v>46131.0</v>
      </c>
      <c r="B263" s="2" t="s">
        <v>9</v>
      </c>
      <c r="C263" s="2" t="s">
        <v>284</v>
      </c>
      <c r="D263" s="4"/>
      <c r="E263" s="4">
        <v>4.626423E7</v>
      </c>
      <c r="F263" s="2" t="s">
        <v>11</v>
      </c>
      <c r="G263" s="3">
        <v>4.672032932999992E7</v>
      </c>
      <c r="H263" s="3"/>
      <c r="I263" s="6" t="s">
        <v>16</v>
      </c>
    </row>
    <row r="264">
      <c r="A264" s="1">
        <v>46131.0</v>
      </c>
      <c r="B264" s="2" t="s">
        <v>4</v>
      </c>
      <c r="C264" s="2" t="s">
        <v>285</v>
      </c>
      <c r="D264" s="4">
        <v>9000000.0</v>
      </c>
      <c r="E264" s="3"/>
      <c r="F264" s="2" t="s">
        <v>3</v>
      </c>
      <c r="G264" s="3">
        <v>3.772032932999992E7</v>
      </c>
      <c r="H264" s="3"/>
      <c r="I264" s="6" t="s">
        <v>16</v>
      </c>
    </row>
    <row r="265">
      <c r="A265" s="1">
        <v>46131.0</v>
      </c>
      <c r="B265" s="2" t="s">
        <v>4</v>
      </c>
      <c r="C265" s="2" t="s">
        <v>286</v>
      </c>
      <c r="D265" s="4">
        <v>2.126025E7</v>
      </c>
      <c r="E265" s="3"/>
      <c r="F265" s="2" t="s">
        <v>3</v>
      </c>
      <c r="G265" s="3">
        <v>1.6460079329999924E7</v>
      </c>
      <c r="H265" s="3"/>
      <c r="I265" s="6" t="s">
        <v>12</v>
      </c>
    </row>
    <row r="266">
      <c r="A266" s="1">
        <v>46131.0</v>
      </c>
      <c r="B266" s="2" t="s">
        <v>287</v>
      </c>
      <c r="C266" s="2" t="s">
        <v>288</v>
      </c>
      <c r="D266" s="4"/>
      <c r="E266" s="4">
        <v>1.0E7</v>
      </c>
      <c r="F266" s="2" t="s">
        <v>11</v>
      </c>
      <c r="G266" s="3">
        <v>2.6460079329999924E7</v>
      </c>
      <c r="H266" s="3"/>
      <c r="I266" s="6" t="s">
        <v>16</v>
      </c>
    </row>
    <row r="267">
      <c r="A267" s="1">
        <v>46131.0</v>
      </c>
      <c r="B267" s="2" t="s">
        <v>9</v>
      </c>
      <c r="C267" s="2" t="s">
        <v>289</v>
      </c>
      <c r="D267" s="4"/>
      <c r="E267" s="4">
        <v>8.30443E7</v>
      </c>
      <c r="F267" s="2" t="s">
        <v>11</v>
      </c>
      <c r="G267" s="3">
        <v>1.0950437932999992E8</v>
      </c>
      <c r="H267" s="3"/>
      <c r="I267" s="6" t="s">
        <v>16</v>
      </c>
    </row>
    <row r="268">
      <c r="A268" s="1">
        <v>46131.0</v>
      </c>
      <c r="B268" s="2" t="s">
        <v>9</v>
      </c>
      <c r="C268" s="2" t="s">
        <v>290</v>
      </c>
      <c r="D268" s="4"/>
      <c r="E268" s="4">
        <v>5.7845623E7</v>
      </c>
      <c r="F268" s="2" t="s">
        <v>11</v>
      </c>
      <c r="G268" s="3">
        <v>1.6735000232999992E8</v>
      </c>
      <c r="H268" s="3"/>
      <c r="I268" s="6" t="s">
        <v>16</v>
      </c>
    </row>
    <row r="269">
      <c r="A269" s="1">
        <v>46131.0</v>
      </c>
      <c r="B269" s="2" t="s">
        <v>40</v>
      </c>
      <c r="C269" s="2" t="s">
        <v>291</v>
      </c>
      <c r="D269" s="4">
        <v>1.0E7</v>
      </c>
      <c r="E269" s="3"/>
      <c r="F269" s="2" t="s">
        <v>3</v>
      </c>
      <c r="G269" s="3">
        <v>1.5735000232999992E8</v>
      </c>
      <c r="H269" s="3"/>
      <c r="I269" s="6" t="s">
        <v>16</v>
      </c>
    </row>
    <row r="270">
      <c r="A270" s="1">
        <v>46131.0</v>
      </c>
      <c r="B270" s="2" t="s">
        <v>40</v>
      </c>
      <c r="C270" s="2" t="s">
        <v>292</v>
      </c>
      <c r="D270" s="4">
        <v>2500.0</v>
      </c>
      <c r="E270" s="3"/>
      <c r="F270" s="2" t="s">
        <v>3</v>
      </c>
      <c r="G270" s="3">
        <v>1.5734750232999992E8</v>
      </c>
      <c r="H270" s="3"/>
      <c r="I270" s="6" t="s">
        <v>16</v>
      </c>
    </row>
    <row r="271">
      <c r="A271" s="1">
        <v>46131.0</v>
      </c>
      <c r="B271" s="2" t="s">
        <v>4</v>
      </c>
      <c r="C271" s="2" t="s">
        <v>293</v>
      </c>
      <c r="D271" s="4">
        <v>5.53536E7</v>
      </c>
      <c r="E271" s="3"/>
      <c r="F271" s="2" t="s">
        <v>3</v>
      </c>
      <c r="G271" s="3">
        <v>1.0199390232999992E8</v>
      </c>
      <c r="H271" s="3"/>
      <c r="I271" s="6" t="s">
        <v>16</v>
      </c>
    </row>
    <row r="272">
      <c r="A272" s="1">
        <v>46131.0</v>
      </c>
      <c r="B272" s="2" t="s">
        <v>9</v>
      </c>
      <c r="C272" s="2" t="s">
        <v>294</v>
      </c>
      <c r="D272" s="4"/>
      <c r="E272" s="4">
        <v>2000000.0</v>
      </c>
      <c r="F272" s="2" t="s">
        <v>11</v>
      </c>
      <c r="G272" s="3">
        <v>1.0399390232999992E8</v>
      </c>
      <c r="H272" s="3"/>
      <c r="I272" s="6" t="s">
        <v>16</v>
      </c>
    </row>
    <row r="273">
      <c r="A273" s="1">
        <v>46131.0</v>
      </c>
      <c r="B273" s="2" t="s">
        <v>4</v>
      </c>
      <c r="C273" s="2" t="s">
        <v>295</v>
      </c>
      <c r="D273" s="4">
        <v>9.63084E7</v>
      </c>
      <c r="E273" s="3"/>
      <c r="F273" s="2" t="s">
        <v>3</v>
      </c>
      <c r="G273" s="4">
        <v>7685502.329999924</v>
      </c>
      <c r="H273" s="4">
        <v>7685502.33</v>
      </c>
      <c r="I273" s="6" t="s">
        <v>16</v>
      </c>
    </row>
    <row r="274">
      <c r="A274" s="1">
        <v>46131.0</v>
      </c>
      <c r="B274" s="2" t="s">
        <v>4</v>
      </c>
      <c r="C274" s="2" t="s">
        <v>296</v>
      </c>
      <c r="D274" s="4">
        <v>1037700.0</v>
      </c>
      <c r="E274" s="3"/>
      <c r="F274" s="2" t="s">
        <v>3</v>
      </c>
      <c r="G274" s="4">
        <v>6647802.329999924</v>
      </c>
      <c r="H274" s="4">
        <v>6647802.33</v>
      </c>
      <c r="I274" s="6" t="s">
        <v>16</v>
      </c>
    </row>
    <row r="275">
      <c r="A275" s="1">
        <v>46132.0</v>
      </c>
      <c r="B275" s="2" t="s">
        <v>297</v>
      </c>
      <c r="C275" s="2" t="s">
        <v>298</v>
      </c>
      <c r="D275" s="4"/>
      <c r="E275" s="4">
        <v>10000.0</v>
      </c>
      <c r="F275" s="2" t="s">
        <v>11</v>
      </c>
      <c r="G275" s="3">
        <v>6657802.329999924</v>
      </c>
      <c r="H275" s="3"/>
      <c r="I275" s="6" t="s">
        <v>16</v>
      </c>
    </row>
    <row r="276">
      <c r="A276" s="1">
        <v>46132.0</v>
      </c>
      <c r="B276" s="2" t="s">
        <v>299</v>
      </c>
      <c r="C276" s="2" t="s">
        <v>300</v>
      </c>
      <c r="D276" s="4">
        <v>6600000.0</v>
      </c>
      <c r="E276" s="3"/>
      <c r="F276" s="2" t="s">
        <v>3</v>
      </c>
      <c r="G276" s="3">
        <v>57802.329999923706</v>
      </c>
      <c r="H276" s="3"/>
      <c r="I276" s="6" t="s">
        <v>16</v>
      </c>
    </row>
    <row r="277">
      <c r="A277" s="1">
        <v>46132.0</v>
      </c>
      <c r="B277" s="2" t="s">
        <v>297</v>
      </c>
      <c r="C277" s="2" t="s">
        <v>301</v>
      </c>
      <c r="D277" s="4"/>
      <c r="E277" s="4">
        <v>6.0862735E7</v>
      </c>
      <c r="F277" s="2" t="s">
        <v>11</v>
      </c>
      <c r="G277" s="3">
        <v>6.092053732999992E7</v>
      </c>
      <c r="H277" s="3"/>
      <c r="I277" s="6" t="s">
        <v>16</v>
      </c>
    </row>
    <row r="278">
      <c r="A278" s="1">
        <v>46132.0</v>
      </c>
      <c r="B278" s="2" t="s">
        <v>4</v>
      </c>
      <c r="C278" s="2" t="s">
        <v>302</v>
      </c>
      <c r="D278" s="4">
        <v>2780880.0</v>
      </c>
      <c r="E278" s="3"/>
      <c r="F278" s="2" t="s">
        <v>3</v>
      </c>
      <c r="G278" s="3">
        <v>5.813965732999992E7</v>
      </c>
      <c r="H278" s="3"/>
      <c r="I278" s="6" t="s">
        <v>16</v>
      </c>
    </row>
    <row r="279">
      <c r="A279" s="1">
        <v>46132.0</v>
      </c>
      <c r="B279" s="2" t="s">
        <v>4</v>
      </c>
      <c r="C279" s="2" t="s">
        <v>303</v>
      </c>
      <c r="D279" s="4">
        <v>2172040.0</v>
      </c>
      <c r="E279" s="3"/>
      <c r="F279" s="2" t="s">
        <v>3</v>
      </c>
      <c r="G279" s="3">
        <v>5.596761732999992E7</v>
      </c>
      <c r="H279" s="3"/>
      <c r="I279" s="6" t="s">
        <v>16</v>
      </c>
    </row>
    <row r="280">
      <c r="A280" s="1">
        <v>46132.0</v>
      </c>
      <c r="B280" s="2" t="s">
        <v>4</v>
      </c>
      <c r="C280" s="2" t="s">
        <v>304</v>
      </c>
      <c r="D280" s="4">
        <v>5.49965E7</v>
      </c>
      <c r="E280" s="3"/>
      <c r="F280" s="2" t="s">
        <v>3</v>
      </c>
      <c r="G280" s="3">
        <v>971117.3299999237</v>
      </c>
      <c r="H280" s="3"/>
      <c r="I280" s="6" t="s">
        <v>16</v>
      </c>
    </row>
    <row r="281">
      <c r="A281" s="1">
        <v>46132.0</v>
      </c>
      <c r="B281" s="2" t="s">
        <v>40</v>
      </c>
      <c r="C281" s="8" t="s">
        <v>41</v>
      </c>
      <c r="D281" s="4">
        <v>135000.0</v>
      </c>
      <c r="E281" s="3"/>
      <c r="F281" s="2" t="s">
        <v>3</v>
      </c>
      <c r="G281" s="3">
        <v>836117.3299999237</v>
      </c>
      <c r="H281" s="3"/>
      <c r="I281" s="6" t="s">
        <v>16</v>
      </c>
    </row>
    <row r="282">
      <c r="A282" s="1">
        <v>46132.0</v>
      </c>
      <c r="B282" s="2" t="s">
        <v>40</v>
      </c>
      <c r="C282" s="8" t="s">
        <v>42</v>
      </c>
      <c r="D282" s="4">
        <v>2500.0</v>
      </c>
      <c r="E282" s="3"/>
      <c r="F282" s="2" t="s">
        <v>3</v>
      </c>
      <c r="G282" s="3">
        <v>833617.3299999237</v>
      </c>
      <c r="H282" s="3"/>
      <c r="I282" s="6" t="s">
        <v>16</v>
      </c>
    </row>
    <row r="283">
      <c r="A283" s="1">
        <v>46132.0</v>
      </c>
      <c r="B283" s="2" t="s">
        <v>9</v>
      </c>
      <c r="C283" s="2" t="s">
        <v>305</v>
      </c>
      <c r="D283" s="4"/>
      <c r="E283" s="4">
        <v>2.6377104E8</v>
      </c>
      <c r="F283" s="2" t="s">
        <v>11</v>
      </c>
      <c r="G283" s="3">
        <v>2.6460465732999992E8</v>
      </c>
      <c r="H283" s="3"/>
      <c r="I283" s="6" t="s">
        <v>16</v>
      </c>
    </row>
    <row r="284">
      <c r="A284" s="1">
        <v>46132.0</v>
      </c>
      <c r="B284" s="2" t="s">
        <v>4</v>
      </c>
      <c r="C284" s="2" t="s">
        <v>306</v>
      </c>
      <c r="D284" s="4">
        <v>100000.0</v>
      </c>
      <c r="E284" s="3"/>
      <c r="F284" s="2" t="s">
        <v>3</v>
      </c>
      <c r="G284" s="3">
        <v>2.6450465732999992E8</v>
      </c>
      <c r="H284" s="3"/>
      <c r="I284" s="6" t="s">
        <v>16</v>
      </c>
    </row>
    <row r="285">
      <c r="A285" s="1">
        <v>46132.0</v>
      </c>
      <c r="B285" s="2" t="s">
        <v>4</v>
      </c>
      <c r="C285" s="2" t="s">
        <v>307</v>
      </c>
      <c r="D285" s="4">
        <v>5.74272E7</v>
      </c>
      <c r="E285" s="3"/>
      <c r="F285" s="2" t="s">
        <v>3</v>
      </c>
      <c r="G285" s="3">
        <v>2.0707745732999992E8</v>
      </c>
      <c r="H285" s="3"/>
      <c r="I285" s="6" t="s">
        <v>16</v>
      </c>
    </row>
    <row r="286">
      <c r="A286" s="1">
        <v>46132.0</v>
      </c>
      <c r="B286" s="2" t="s">
        <v>4</v>
      </c>
      <c r="C286" s="2" t="s">
        <v>308</v>
      </c>
      <c r="D286" s="4">
        <v>4.44016E7</v>
      </c>
      <c r="E286" s="3"/>
      <c r="F286" s="2" t="s">
        <v>3</v>
      </c>
      <c r="G286" s="4">
        <v>1.6267585732999992E8</v>
      </c>
      <c r="H286" s="4">
        <v>1.6267585733E8</v>
      </c>
      <c r="I286" s="6" t="s">
        <v>16</v>
      </c>
    </row>
    <row r="287">
      <c r="A287" s="1">
        <v>46132.0</v>
      </c>
      <c r="B287" s="2" t="s">
        <v>4</v>
      </c>
      <c r="C287" s="2" t="s">
        <v>309</v>
      </c>
      <c r="D287" s="4">
        <v>9.8272E7</v>
      </c>
      <c r="E287" s="3"/>
      <c r="F287" s="2" t="s">
        <v>3</v>
      </c>
      <c r="G287" s="4">
        <v>6.440385732999992E7</v>
      </c>
      <c r="H287" s="4">
        <v>6.440385733E7</v>
      </c>
      <c r="I287" s="6" t="s">
        <v>16</v>
      </c>
    </row>
    <row r="288">
      <c r="A288" s="1">
        <v>46132.0</v>
      </c>
      <c r="B288" s="2" t="s">
        <v>4</v>
      </c>
      <c r="C288" s="2" t="s">
        <v>310</v>
      </c>
      <c r="D288" s="4">
        <v>4.2E7</v>
      </c>
      <c r="E288" s="3"/>
      <c r="F288" s="2" t="s">
        <v>3</v>
      </c>
      <c r="G288" s="3">
        <v>2.2403857329999924E7</v>
      </c>
      <c r="H288" s="3"/>
      <c r="I288" s="6" t="s">
        <v>16</v>
      </c>
    </row>
    <row r="289">
      <c r="A289" s="1">
        <v>46132.0</v>
      </c>
      <c r="B289" s="2" t="s">
        <v>9</v>
      </c>
      <c r="C289" s="2" t="s">
        <v>311</v>
      </c>
      <c r="D289" s="4"/>
      <c r="E289" s="4">
        <v>2130000.0</v>
      </c>
      <c r="F289" s="2" t="s">
        <v>11</v>
      </c>
      <c r="G289" s="3">
        <v>2.4533857329999924E7</v>
      </c>
      <c r="H289" s="3"/>
      <c r="I289" s="6" t="s">
        <v>16</v>
      </c>
    </row>
    <row r="290">
      <c r="A290" s="1">
        <v>46132.0</v>
      </c>
      <c r="B290" s="2" t="s">
        <v>74</v>
      </c>
      <c r="C290" s="2" t="s">
        <v>312</v>
      </c>
      <c r="D290" s="4">
        <v>27000.0</v>
      </c>
      <c r="E290" s="3"/>
      <c r="G290" s="3">
        <v>2.4506857329999924E7</v>
      </c>
      <c r="H290" s="3"/>
      <c r="I290" s="6" t="s">
        <v>16</v>
      </c>
    </row>
    <row r="291">
      <c r="A291" s="1">
        <v>46132.0</v>
      </c>
      <c r="B291" s="2" t="s">
        <v>74</v>
      </c>
      <c r="C291" s="8" t="s">
        <v>312</v>
      </c>
      <c r="D291" s="4">
        <v>52000.0</v>
      </c>
      <c r="E291" s="3"/>
      <c r="G291" s="3">
        <v>2.4454857329999924E7</v>
      </c>
      <c r="H291" s="3"/>
      <c r="I291" s="6" t="s">
        <v>16</v>
      </c>
    </row>
    <row r="292">
      <c r="A292" s="10">
        <v>46132.0</v>
      </c>
      <c r="B292" s="8" t="s">
        <v>74</v>
      </c>
      <c r="C292" s="8" t="s">
        <v>312</v>
      </c>
      <c r="D292" s="11">
        <v>102000.0</v>
      </c>
      <c r="E292" s="13"/>
      <c r="F292" s="8"/>
      <c r="G292" s="11">
        <v>2.4352857329999924E7</v>
      </c>
      <c r="H292" s="11">
        <v>2.435285733E7</v>
      </c>
      <c r="I292" s="6" t="s">
        <v>16</v>
      </c>
    </row>
    <row r="293">
      <c r="A293" s="1">
        <v>46133.0</v>
      </c>
      <c r="B293" s="2" t="s">
        <v>313</v>
      </c>
      <c r="C293" s="2" t="s">
        <v>314</v>
      </c>
      <c r="D293" s="4"/>
      <c r="E293" s="4">
        <v>2.7E7</v>
      </c>
      <c r="F293" s="2" t="s">
        <v>11</v>
      </c>
      <c r="G293" s="3">
        <v>5.135285732999992E7</v>
      </c>
      <c r="H293" s="3"/>
      <c r="I293" s="6" t="s">
        <v>16</v>
      </c>
    </row>
    <row r="294">
      <c r="A294" s="1">
        <v>46133.0</v>
      </c>
      <c r="B294" s="2" t="s">
        <v>315</v>
      </c>
      <c r="C294" s="2" t="s">
        <v>316</v>
      </c>
      <c r="E294" s="4">
        <v>6100000.0</v>
      </c>
      <c r="G294" s="3">
        <v>5.745285732999992E7</v>
      </c>
      <c r="H294" s="3"/>
      <c r="I294" s="6" t="s">
        <v>16</v>
      </c>
    </row>
    <row r="295">
      <c r="A295" s="1">
        <v>46133.0</v>
      </c>
      <c r="B295" s="2" t="s">
        <v>317</v>
      </c>
      <c r="C295" s="8" t="s">
        <v>316</v>
      </c>
      <c r="E295" s="4">
        <v>300000.0</v>
      </c>
      <c r="G295" s="3">
        <v>5.775285732999992E7</v>
      </c>
      <c r="H295" s="3"/>
      <c r="I295" s="6" t="s">
        <v>16</v>
      </c>
    </row>
    <row r="296">
      <c r="A296" s="1">
        <v>46133.0</v>
      </c>
      <c r="B296" s="2" t="s">
        <v>318</v>
      </c>
      <c r="C296" s="2" t="s">
        <v>319</v>
      </c>
      <c r="D296" s="4">
        <v>2.64E7</v>
      </c>
      <c r="E296" s="3"/>
      <c r="F296" s="2" t="s">
        <v>3</v>
      </c>
      <c r="G296" s="3">
        <v>3.1352857329999924E7</v>
      </c>
      <c r="H296" s="3"/>
      <c r="I296" s="6" t="s">
        <v>16</v>
      </c>
    </row>
    <row r="297">
      <c r="A297" s="1">
        <v>46133.0</v>
      </c>
      <c r="B297" s="2" t="s">
        <v>9</v>
      </c>
      <c r="C297" s="2" t="s">
        <v>320</v>
      </c>
      <c r="D297" s="4"/>
      <c r="E297" s="4">
        <v>6817000.0</v>
      </c>
      <c r="F297" s="2" t="s">
        <v>11</v>
      </c>
      <c r="G297" s="3">
        <v>3.816985732999992E7</v>
      </c>
      <c r="H297" s="3"/>
      <c r="I297" s="6" t="s">
        <v>16</v>
      </c>
    </row>
    <row r="298">
      <c r="A298" s="1">
        <v>46133.0</v>
      </c>
      <c r="B298" s="2" t="s">
        <v>321</v>
      </c>
      <c r="C298" s="2" t="s">
        <v>321</v>
      </c>
      <c r="D298" s="4">
        <v>19000.0</v>
      </c>
      <c r="E298" s="3"/>
      <c r="F298" s="2"/>
      <c r="G298" s="4">
        <v>3.815085732999992E7</v>
      </c>
      <c r="H298" s="4">
        <v>3.815085733E7</v>
      </c>
      <c r="I298" s="6" t="s">
        <v>16</v>
      </c>
    </row>
    <row r="299">
      <c r="A299" s="1">
        <v>46134.0</v>
      </c>
      <c r="B299" s="2" t="s">
        <v>4</v>
      </c>
      <c r="C299" s="2" t="s">
        <v>322</v>
      </c>
      <c r="D299" s="4">
        <v>357120.0</v>
      </c>
      <c r="E299" s="3"/>
      <c r="F299" s="2" t="s">
        <v>3</v>
      </c>
      <c r="G299" s="4">
        <v>3.779373732999992E7</v>
      </c>
      <c r="H299" s="4">
        <v>3.779373733E7</v>
      </c>
      <c r="I299" s="6" t="s">
        <v>16</v>
      </c>
    </row>
    <row r="300">
      <c r="A300" s="1">
        <v>46135.0</v>
      </c>
      <c r="B300" s="2" t="s">
        <v>74</v>
      </c>
      <c r="C300" s="2" t="s">
        <v>323</v>
      </c>
      <c r="D300" s="4">
        <v>750000.0</v>
      </c>
      <c r="E300" s="3"/>
      <c r="G300" s="3">
        <v>3.704373732999992E7</v>
      </c>
      <c r="H300" s="3"/>
      <c r="I300" s="6" t="s">
        <v>16</v>
      </c>
    </row>
    <row r="301">
      <c r="A301" s="1">
        <v>46135.0</v>
      </c>
      <c r="B301" s="2" t="s">
        <v>324</v>
      </c>
      <c r="C301" s="2" t="s">
        <v>324</v>
      </c>
      <c r="D301" s="4">
        <v>200000.0</v>
      </c>
      <c r="E301" s="3"/>
      <c r="G301" s="3">
        <v>3.684373732999992E7</v>
      </c>
      <c r="H301" s="3"/>
      <c r="I301" s="6" t="s">
        <v>16</v>
      </c>
    </row>
    <row r="302">
      <c r="A302" s="1">
        <v>46135.0</v>
      </c>
      <c r="B302" s="2" t="s">
        <v>74</v>
      </c>
      <c r="C302" s="2" t="s">
        <v>325</v>
      </c>
      <c r="D302" s="4">
        <v>27000.0</v>
      </c>
      <c r="E302" s="3"/>
      <c r="F302" s="2"/>
      <c r="G302" s="4">
        <v>3.681673732999992E7</v>
      </c>
      <c r="H302" s="4">
        <v>3.681673733E7</v>
      </c>
      <c r="I302" s="6" t="s">
        <v>16</v>
      </c>
    </row>
    <row r="303">
      <c r="A303" s="1">
        <v>46135.0</v>
      </c>
      <c r="B303" s="2" t="s">
        <v>9</v>
      </c>
      <c r="C303" s="2" t="s">
        <v>326</v>
      </c>
      <c r="D303" s="4"/>
      <c r="E303" s="4">
        <v>5000000.0</v>
      </c>
      <c r="F303" s="2" t="s">
        <v>11</v>
      </c>
      <c r="G303" s="4">
        <v>4.181673732999992E7</v>
      </c>
      <c r="H303" s="4">
        <v>4.181673733E7</v>
      </c>
      <c r="I303" s="6" t="s">
        <v>16</v>
      </c>
    </row>
    <row r="304">
      <c r="A304" s="1">
        <v>46135.0</v>
      </c>
      <c r="B304" s="2" t="s">
        <v>40</v>
      </c>
      <c r="C304" s="8" t="s">
        <v>291</v>
      </c>
      <c r="D304" s="4">
        <v>5000000.0</v>
      </c>
      <c r="E304" s="3"/>
      <c r="F304" s="2" t="s">
        <v>3</v>
      </c>
      <c r="G304" s="3">
        <v>3.681673732999992E7</v>
      </c>
      <c r="H304" s="3"/>
      <c r="I304" s="6" t="s">
        <v>16</v>
      </c>
    </row>
    <row r="305">
      <c r="A305" s="1">
        <v>46135.0</v>
      </c>
      <c r="B305" s="2" t="s">
        <v>40</v>
      </c>
      <c r="C305" s="8" t="s">
        <v>292</v>
      </c>
      <c r="D305" s="4">
        <v>2500.0</v>
      </c>
      <c r="E305" s="3"/>
      <c r="F305" s="2" t="s">
        <v>3</v>
      </c>
      <c r="G305" s="3">
        <v>3.681423732999992E7</v>
      </c>
      <c r="H305" s="3"/>
      <c r="I305" s="6" t="s">
        <v>16</v>
      </c>
    </row>
    <row r="306">
      <c r="A306" s="1">
        <v>46135.0</v>
      </c>
      <c r="B306" s="2" t="s">
        <v>324</v>
      </c>
      <c r="C306" s="2" t="s">
        <v>324</v>
      </c>
      <c r="D306" s="4">
        <v>300000.0</v>
      </c>
      <c r="E306" s="3"/>
      <c r="G306" s="3">
        <v>3.651423732999992E7</v>
      </c>
      <c r="H306" s="3"/>
      <c r="I306" s="6" t="s">
        <v>16</v>
      </c>
    </row>
    <row r="307">
      <c r="A307" s="1">
        <v>46135.0</v>
      </c>
      <c r="B307" s="2" t="s">
        <v>324</v>
      </c>
      <c r="C307" s="2" t="s">
        <v>324</v>
      </c>
      <c r="D307" s="4">
        <v>150000.0</v>
      </c>
      <c r="E307" s="3"/>
      <c r="F307" s="2"/>
      <c r="G307" s="4">
        <v>3.636423732999992E7</v>
      </c>
      <c r="H307" s="4">
        <v>3.636423733E7</v>
      </c>
      <c r="I307" s="6" t="s">
        <v>16</v>
      </c>
    </row>
    <row r="308">
      <c r="A308" s="1">
        <v>46136.0</v>
      </c>
      <c r="B308" s="2" t="s">
        <v>9</v>
      </c>
      <c r="C308" s="2" t="s">
        <v>327</v>
      </c>
      <c r="D308" s="4"/>
      <c r="E308" s="4">
        <v>400000.0</v>
      </c>
      <c r="F308" s="2" t="s">
        <v>11</v>
      </c>
      <c r="G308" s="3">
        <v>3.676423732999992E7</v>
      </c>
      <c r="H308" s="3"/>
      <c r="I308" s="6" t="s">
        <v>16</v>
      </c>
    </row>
    <row r="309">
      <c r="A309" s="1">
        <v>46136.0</v>
      </c>
      <c r="B309" s="2" t="s">
        <v>328</v>
      </c>
      <c r="C309" s="2" t="s">
        <v>328</v>
      </c>
      <c r="D309" s="4">
        <v>200000.0</v>
      </c>
      <c r="E309" s="3"/>
      <c r="G309" s="3">
        <v>3.656423732999992E7</v>
      </c>
      <c r="H309" s="3"/>
      <c r="I309" s="6" t="s">
        <v>16</v>
      </c>
    </row>
    <row r="310">
      <c r="A310" s="1">
        <v>46136.0</v>
      </c>
      <c r="B310" s="2" t="s">
        <v>9</v>
      </c>
      <c r="C310" s="2" t="s">
        <v>329</v>
      </c>
      <c r="D310" s="4"/>
      <c r="E310" s="4">
        <v>4000000.0</v>
      </c>
      <c r="F310" s="2" t="s">
        <v>11</v>
      </c>
      <c r="G310" s="3">
        <v>4.056423732999992E7</v>
      </c>
      <c r="H310" s="3"/>
      <c r="I310" s="6" t="s">
        <v>16</v>
      </c>
    </row>
    <row r="311">
      <c r="A311" s="1">
        <v>46136.0</v>
      </c>
      <c r="B311" s="2" t="s">
        <v>330</v>
      </c>
      <c r="C311" s="2" t="s">
        <v>331</v>
      </c>
      <c r="D311" s="4">
        <v>207000.0</v>
      </c>
      <c r="E311" s="3"/>
      <c r="F311" s="2"/>
      <c r="G311" s="4">
        <v>4.035723732999992E7</v>
      </c>
      <c r="H311" s="4">
        <v>4.035723733E7</v>
      </c>
      <c r="I311" s="6" t="s">
        <v>16</v>
      </c>
    </row>
    <row r="312">
      <c r="A312" s="1">
        <v>46137.0</v>
      </c>
      <c r="B312" s="2" t="s">
        <v>332</v>
      </c>
      <c r="C312" s="2" t="s">
        <v>332</v>
      </c>
      <c r="D312" s="4">
        <v>1000000.0</v>
      </c>
      <c r="E312" s="3"/>
      <c r="F312" s="2"/>
      <c r="G312" s="4">
        <v>3.935723732999992E7</v>
      </c>
      <c r="H312" s="4">
        <v>3.935723733E7</v>
      </c>
      <c r="I312" s="6" t="s">
        <v>16</v>
      </c>
    </row>
    <row r="313">
      <c r="A313" s="1">
        <v>46138.0</v>
      </c>
      <c r="B313" s="2" t="s">
        <v>4</v>
      </c>
      <c r="C313" s="2" t="s">
        <v>333</v>
      </c>
      <c r="D313" s="4">
        <v>53770.0</v>
      </c>
      <c r="E313" s="3"/>
      <c r="F313" s="2" t="s">
        <v>3</v>
      </c>
      <c r="G313" s="3">
        <v>3.930346732999992E7</v>
      </c>
      <c r="H313" s="3"/>
      <c r="I313" s="6" t="s">
        <v>16</v>
      </c>
    </row>
    <row r="314">
      <c r="A314" s="1">
        <v>46138.0</v>
      </c>
      <c r="B314" s="2" t="s">
        <v>9</v>
      </c>
      <c r="C314" s="2" t="s">
        <v>334</v>
      </c>
      <c r="D314" s="4"/>
      <c r="E314" s="4">
        <v>1.3829379E8</v>
      </c>
      <c r="F314" s="2" t="s">
        <v>11</v>
      </c>
      <c r="G314" s="3">
        <v>1.7759725732999992E8</v>
      </c>
      <c r="H314" s="3"/>
      <c r="I314" s="6" t="s">
        <v>16</v>
      </c>
    </row>
    <row r="315">
      <c r="A315" s="1">
        <v>46138.0</v>
      </c>
      <c r="B315" s="2" t="s">
        <v>4</v>
      </c>
      <c r="C315" s="2" t="s">
        <v>335</v>
      </c>
      <c r="D315" s="4">
        <v>500000.0</v>
      </c>
      <c r="E315" s="3"/>
      <c r="F315" s="2" t="s">
        <v>3</v>
      </c>
      <c r="G315" s="3">
        <v>1.7709725732999992E8</v>
      </c>
      <c r="H315" s="3"/>
      <c r="I315" s="7" t="s">
        <v>154</v>
      </c>
    </row>
    <row r="316">
      <c r="A316" s="1">
        <v>46138.0</v>
      </c>
      <c r="B316" s="2" t="s">
        <v>40</v>
      </c>
      <c r="C316" s="8" t="s">
        <v>291</v>
      </c>
      <c r="D316" s="4">
        <v>1.380675E7</v>
      </c>
      <c r="E316" s="3"/>
      <c r="F316" s="2" t="s">
        <v>3</v>
      </c>
      <c r="G316" s="3">
        <v>1.6329050732999992E8</v>
      </c>
      <c r="H316" s="3"/>
      <c r="I316" s="6" t="s">
        <v>16</v>
      </c>
    </row>
    <row r="317">
      <c r="A317" s="1">
        <v>46138.0</v>
      </c>
      <c r="B317" s="2" t="s">
        <v>40</v>
      </c>
      <c r="C317" s="8" t="s">
        <v>292</v>
      </c>
      <c r="D317" s="4">
        <v>2500.0</v>
      </c>
      <c r="E317" s="3"/>
      <c r="F317" s="2" t="s">
        <v>3</v>
      </c>
      <c r="G317" s="4">
        <v>1.6328800732999992E8</v>
      </c>
      <c r="H317" s="4">
        <v>1.6328800733E8</v>
      </c>
      <c r="I317" s="6" t="s">
        <v>16</v>
      </c>
    </row>
    <row r="318">
      <c r="A318" s="1">
        <v>46139.0</v>
      </c>
      <c r="B318" s="2" t="s">
        <v>9</v>
      </c>
      <c r="C318" s="2" t="s">
        <v>336</v>
      </c>
      <c r="D318" s="4"/>
      <c r="E318" s="4">
        <v>5.064768E7</v>
      </c>
      <c r="F318" s="2" t="s">
        <v>11</v>
      </c>
      <c r="G318" s="4">
        <v>2.1393568732999992E8</v>
      </c>
      <c r="H318" s="4">
        <v>2.1393568733E8</v>
      </c>
      <c r="I318" s="6" t="s">
        <v>16</v>
      </c>
    </row>
    <row r="319">
      <c r="A319" s="1">
        <v>46139.0</v>
      </c>
      <c r="B319" s="2" t="s">
        <v>9</v>
      </c>
      <c r="C319" s="2" t="s">
        <v>337</v>
      </c>
      <c r="D319" s="4"/>
      <c r="E319" s="4">
        <v>3.4301237E8</v>
      </c>
      <c r="F319" s="2" t="s">
        <v>11</v>
      </c>
      <c r="G319" s="4">
        <v>5.569480573299999E8</v>
      </c>
      <c r="H319" s="4">
        <v>5.5694805733E8</v>
      </c>
      <c r="I319" s="6" t="s">
        <v>16</v>
      </c>
    </row>
    <row r="320">
      <c r="A320" s="1">
        <v>46139.0</v>
      </c>
      <c r="B320" s="2" t="s">
        <v>4</v>
      </c>
      <c r="C320" s="2" t="s">
        <v>338</v>
      </c>
      <c r="D320" s="4">
        <v>5.28E7</v>
      </c>
      <c r="E320" s="3"/>
      <c r="F320" s="2" t="s">
        <v>3</v>
      </c>
      <c r="G320" s="3">
        <v>5.041480573299999E8</v>
      </c>
      <c r="H320" s="3"/>
      <c r="I320" s="6" t="s">
        <v>16</v>
      </c>
    </row>
    <row r="321">
      <c r="A321" s="1">
        <v>46139.0</v>
      </c>
      <c r="B321" s="2" t="s">
        <v>4</v>
      </c>
      <c r="C321" s="2" t="s">
        <v>339</v>
      </c>
      <c r="D321" s="4">
        <v>9.633E7</v>
      </c>
      <c r="E321" s="3"/>
      <c r="F321" s="2" t="s">
        <v>3</v>
      </c>
      <c r="G321" s="3">
        <v>4.078180573299999E8</v>
      </c>
      <c r="H321" s="3"/>
      <c r="I321" s="6" t="s">
        <v>16</v>
      </c>
    </row>
    <row r="322">
      <c r="A322" s="1">
        <v>46139.0</v>
      </c>
      <c r="B322" s="2" t="s">
        <v>4</v>
      </c>
      <c r="C322" s="2" t="s">
        <v>340</v>
      </c>
      <c r="D322" s="4">
        <v>1140000.0</v>
      </c>
      <c r="E322" s="3"/>
      <c r="F322" s="2" t="s">
        <v>3</v>
      </c>
      <c r="G322" s="3">
        <v>4.066780573299999E8</v>
      </c>
      <c r="H322" s="3"/>
      <c r="I322" s="6" t="s">
        <v>16</v>
      </c>
    </row>
    <row r="323">
      <c r="A323" s="1">
        <v>46139.0</v>
      </c>
      <c r="B323" s="2" t="s">
        <v>4</v>
      </c>
      <c r="C323" s="2" t="s">
        <v>341</v>
      </c>
      <c r="D323" s="4">
        <v>1.3488735E8</v>
      </c>
      <c r="E323" s="3"/>
      <c r="F323" s="2" t="s">
        <v>3</v>
      </c>
      <c r="G323" s="3">
        <v>2.717907073299999E8</v>
      </c>
      <c r="H323" s="3"/>
      <c r="I323" s="6" t="s">
        <v>16</v>
      </c>
    </row>
    <row r="324">
      <c r="A324" s="1">
        <v>46139.0</v>
      </c>
      <c r="B324" s="2" t="s">
        <v>4</v>
      </c>
      <c r="C324" s="2" t="s">
        <v>342</v>
      </c>
      <c r="D324" s="4">
        <v>500000.0</v>
      </c>
      <c r="E324" s="3"/>
      <c r="F324" s="2" t="s">
        <v>3</v>
      </c>
      <c r="G324" s="4">
        <v>2.712907073299999E8</v>
      </c>
      <c r="H324" s="4">
        <v>2.7129070733E8</v>
      </c>
      <c r="I324" s="6" t="s">
        <v>16</v>
      </c>
    </row>
    <row r="325">
      <c r="A325" s="1">
        <v>46140.0</v>
      </c>
      <c r="B325" s="2" t="s">
        <v>4</v>
      </c>
      <c r="C325" s="2" t="s">
        <v>343</v>
      </c>
      <c r="D325" s="4">
        <v>1058700.0</v>
      </c>
      <c r="E325" s="3"/>
      <c r="F325" s="2" t="s">
        <v>3</v>
      </c>
      <c r="G325" s="3">
        <v>2.702320073299999E8</v>
      </c>
      <c r="H325" s="3"/>
      <c r="I325" s="6" t="s">
        <v>16</v>
      </c>
    </row>
    <row r="326">
      <c r="A326" s="1">
        <v>46140.0</v>
      </c>
      <c r="B326" s="2" t="s">
        <v>4</v>
      </c>
      <c r="C326" s="2" t="s">
        <v>344</v>
      </c>
      <c r="D326" s="4">
        <v>700000.0</v>
      </c>
      <c r="E326" s="3"/>
      <c r="F326" s="2" t="s">
        <v>3</v>
      </c>
      <c r="G326" s="3">
        <v>2.695320073299999E8</v>
      </c>
      <c r="H326" s="3"/>
      <c r="I326" s="6" t="s">
        <v>16</v>
      </c>
    </row>
    <row r="327">
      <c r="A327" s="1">
        <v>46140.0</v>
      </c>
      <c r="B327" s="2" t="s">
        <v>9</v>
      </c>
      <c r="C327" s="2" t="s">
        <v>345</v>
      </c>
      <c r="D327" s="4"/>
      <c r="E327" s="4">
        <v>4.025214E7</v>
      </c>
      <c r="F327" s="2" t="s">
        <v>11</v>
      </c>
      <c r="G327" s="3">
        <v>3.097841473299999E8</v>
      </c>
      <c r="H327" s="3"/>
      <c r="I327" s="6" t="s">
        <v>16</v>
      </c>
    </row>
    <row r="328">
      <c r="A328" s="1">
        <v>46140.0</v>
      </c>
      <c r="B328" s="2" t="s">
        <v>4</v>
      </c>
      <c r="C328" s="2" t="s">
        <v>346</v>
      </c>
      <c r="D328" s="4">
        <v>2.5E8</v>
      </c>
      <c r="E328" s="3"/>
      <c r="F328" s="2" t="s">
        <v>3</v>
      </c>
      <c r="G328" s="3">
        <v>5.978414732999992E7</v>
      </c>
      <c r="H328" s="3"/>
      <c r="I328" s="6" t="s">
        <v>16</v>
      </c>
    </row>
    <row r="329">
      <c r="A329" s="1">
        <v>46140.0</v>
      </c>
      <c r="B329" s="2" t="s">
        <v>9</v>
      </c>
      <c r="C329" s="2" t="s">
        <v>347</v>
      </c>
      <c r="D329" s="4"/>
      <c r="E329" s="4">
        <v>1.5156762E8</v>
      </c>
      <c r="F329" s="2" t="s">
        <v>11</v>
      </c>
      <c r="G329" s="3">
        <v>2.1135176732999992E8</v>
      </c>
      <c r="H329" s="3"/>
      <c r="I329" s="6" t="s">
        <v>16</v>
      </c>
    </row>
    <row r="330">
      <c r="A330" s="1">
        <v>46140.0</v>
      </c>
      <c r="B330" s="2" t="s">
        <v>4</v>
      </c>
      <c r="C330" s="2" t="s">
        <v>348</v>
      </c>
      <c r="D330" s="4">
        <v>3000000.0</v>
      </c>
      <c r="E330" s="3"/>
      <c r="F330" s="2" t="s">
        <v>3</v>
      </c>
      <c r="G330" s="3">
        <v>2.0835176732999992E8</v>
      </c>
      <c r="H330" s="3"/>
      <c r="I330" s="6" t="s">
        <v>16</v>
      </c>
    </row>
    <row r="331">
      <c r="A331" s="1">
        <v>46140.0</v>
      </c>
      <c r="B331" s="2" t="s">
        <v>9</v>
      </c>
      <c r="C331" s="2" t="s">
        <v>349</v>
      </c>
      <c r="D331" s="4"/>
      <c r="E331" s="4">
        <v>1.0E8</v>
      </c>
      <c r="F331" s="2" t="s">
        <v>11</v>
      </c>
      <c r="G331" s="4">
        <v>3.083517673299999E8</v>
      </c>
      <c r="H331" s="4">
        <v>3.0835176733E8</v>
      </c>
      <c r="I331" s="6" t="s">
        <v>16</v>
      </c>
    </row>
    <row r="332">
      <c r="A332" s="1">
        <v>46140.0</v>
      </c>
      <c r="B332" s="2" t="s">
        <v>4</v>
      </c>
      <c r="C332" s="2" t="s">
        <v>350</v>
      </c>
      <c r="D332" s="4">
        <v>3.08958E7</v>
      </c>
      <c r="E332" s="3"/>
      <c r="F332" s="2" t="s">
        <v>3</v>
      </c>
      <c r="G332" s="4">
        <v>2.774559673299999E8</v>
      </c>
      <c r="H332" s="4">
        <v>2.7745596733E8</v>
      </c>
      <c r="I332" s="6" t="s">
        <v>16</v>
      </c>
    </row>
    <row r="333">
      <c r="A333" s="1">
        <v>46140.0</v>
      </c>
      <c r="B333" s="2" t="s">
        <v>4</v>
      </c>
      <c r="C333" s="2" t="s">
        <v>351</v>
      </c>
      <c r="D333" s="4">
        <v>2268250.0</v>
      </c>
      <c r="E333" s="3"/>
      <c r="F333" s="2" t="s">
        <v>3</v>
      </c>
      <c r="G333" s="3">
        <v>2.751877173299999E8</v>
      </c>
      <c r="H333" s="3"/>
      <c r="I333" s="6" t="s">
        <v>16</v>
      </c>
    </row>
    <row r="334">
      <c r="A334" s="1">
        <v>46140.0</v>
      </c>
      <c r="B334" s="2" t="s">
        <v>4</v>
      </c>
      <c r="C334" s="2" t="s">
        <v>352</v>
      </c>
      <c r="D334" s="4">
        <v>4.216E7</v>
      </c>
      <c r="E334" s="3"/>
      <c r="F334" s="2" t="s">
        <v>3</v>
      </c>
      <c r="G334" s="3">
        <v>2.3302771732999992E8</v>
      </c>
      <c r="H334" s="3"/>
      <c r="I334" s="6" t="s">
        <v>16</v>
      </c>
    </row>
    <row r="335">
      <c r="A335" s="1">
        <v>46140.0</v>
      </c>
      <c r="B335" s="2" t="s">
        <v>4</v>
      </c>
      <c r="C335" s="2" t="s">
        <v>353</v>
      </c>
      <c r="D335" s="4">
        <v>1.4694792E8</v>
      </c>
      <c r="E335" s="3"/>
      <c r="F335" s="2" t="s">
        <v>3</v>
      </c>
      <c r="G335" s="3">
        <v>8.607979732999992E7</v>
      </c>
      <c r="H335" s="3"/>
      <c r="I335" s="6" t="s">
        <v>16</v>
      </c>
    </row>
    <row r="336">
      <c r="A336" s="1">
        <v>46140.0</v>
      </c>
      <c r="B336" s="2" t="s">
        <v>4</v>
      </c>
      <c r="C336" s="2" t="s">
        <v>354</v>
      </c>
      <c r="D336" s="4">
        <v>4.474444E7</v>
      </c>
      <c r="E336" s="3"/>
      <c r="F336" s="2" t="s">
        <v>3</v>
      </c>
      <c r="G336" s="4">
        <v>4.133535732999992E7</v>
      </c>
      <c r="H336" s="4">
        <v>4.133535733E7</v>
      </c>
      <c r="I336" s="6" t="s">
        <v>16</v>
      </c>
    </row>
    <row r="337">
      <c r="A337" s="1">
        <v>46141.0</v>
      </c>
      <c r="B337" s="2" t="s">
        <v>9</v>
      </c>
      <c r="C337" s="2" t="s">
        <v>355</v>
      </c>
      <c r="D337" s="4"/>
      <c r="E337" s="4">
        <v>1.015741E8</v>
      </c>
      <c r="F337" s="2" t="s">
        <v>11</v>
      </c>
      <c r="G337" s="3">
        <v>1.4290945732999992E8</v>
      </c>
      <c r="H337" s="3"/>
      <c r="I337" s="6" t="s">
        <v>16</v>
      </c>
    </row>
    <row r="338">
      <c r="A338" s="1">
        <v>46141.0</v>
      </c>
      <c r="B338" s="2" t="s">
        <v>9</v>
      </c>
      <c r="C338" s="2" t="s">
        <v>356</v>
      </c>
      <c r="D338" s="4"/>
      <c r="E338" s="4">
        <v>2.4018502E8</v>
      </c>
      <c r="F338" s="2" t="s">
        <v>11</v>
      </c>
      <c r="G338" s="3">
        <v>3.830944773299999E8</v>
      </c>
      <c r="H338" s="3"/>
      <c r="I338" s="6" t="s">
        <v>16</v>
      </c>
    </row>
    <row r="339">
      <c r="A339" s="1">
        <v>46141.0</v>
      </c>
      <c r="B339" s="2" t="s">
        <v>4</v>
      </c>
      <c r="C339" s="2" t="s">
        <v>357</v>
      </c>
      <c r="D339" s="4">
        <v>4.54495E7</v>
      </c>
      <c r="E339" s="3"/>
      <c r="F339" s="2" t="s">
        <v>3</v>
      </c>
      <c r="G339" s="3">
        <v>3.376449773299999E8</v>
      </c>
      <c r="H339" s="3"/>
      <c r="I339" s="6" t="s">
        <v>16</v>
      </c>
    </row>
    <row r="340">
      <c r="A340" s="1">
        <v>46141.0</v>
      </c>
      <c r="B340" s="2" t="s">
        <v>4</v>
      </c>
      <c r="C340" s="2" t="s">
        <v>358</v>
      </c>
      <c r="D340" s="4">
        <v>9899100.0</v>
      </c>
      <c r="E340" s="3"/>
      <c r="F340" s="2" t="s">
        <v>3</v>
      </c>
      <c r="G340" s="3">
        <v>3.277458773299999E8</v>
      </c>
      <c r="H340" s="3"/>
      <c r="I340" s="6" t="s">
        <v>16</v>
      </c>
    </row>
    <row r="341">
      <c r="A341" s="1">
        <v>46141.0</v>
      </c>
      <c r="B341" s="2" t="s">
        <v>4</v>
      </c>
      <c r="C341" s="2" t="s">
        <v>359</v>
      </c>
      <c r="D341" s="4">
        <v>1.581E8</v>
      </c>
      <c r="E341" s="3"/>
      <c r="F341" s="2" t="s">
        <v>3</v>
      </c>
      <c r="G341" s="3">
        <v>1.6964587732999992E8</v>
      </c>
      <c r="H341" s="3"/>
      <c r="I341" s="6" t="s">
        <v>16</v>
      </c>
    </row>
    <row r="342">
      <c r="A342" s="1">
        <v>46141.0</v>
      </c>
      <c r="B342" s="2" t="s">
        <v>9</v>
      </c>
      <c r="C342" s="2" t="s">
        <v>360</v>
      </c>
      <c r="D342" s="4"/>
      <c r="E342" s="4">
        <v>2.551229E7</v>
      </c>
      <c r="F342" s="2" t="s">
        <v>11</v>
      </c>
      <c r="G342" s="3">
        <v>1.9515816732999992E8</v>
      </c>
      <c r="H342" s="3"/>
      <c r="I342" s="6" t="s">
        <v>16</v>
      </c>
    </row>
    <row r="343">
      <c r="A343" s="1">
        <v>46141.0</v>
      </c>
      <c r="B343" s="2" t="s">
        <v>4</v>
      </c>
      <c r="C343" s="2" t="s">
        <v>361</v>
      </c>
      <c r="D343" s="4">
        <v>1144950.0</v>
      </c>
      <c r="E343" s="3"/>
      <c r="F343" s="2" t="s">
        <v>3</v>
      </c>
      <c r="G343" s="3">
        <v>1.9401321732999992E8</v>
      </c>
      <c r="H343" s="3"/>
      <c r="I343" s="6" t="s">
        <v>16</v>
      </c>
    </row>
    <row r="344">
      <c r="A344" s="1">
        <v>46141.0</v>
      </c>
      <c r="B344" s="2" t="s">
        <v>4</v>
      </c>
      <c r="C344" s="2" t="s">
        <v>362</v>
      </c>
      <c r="D344" s="4">
        <v>1.9336075E8</v>
      </c>
      <c r="E344" s="3"/>
      <c r="F344" s="2" t="s">
        <v>3</v>
      </c>
      <c r="G344" s="4">
        <v>652467.3299999237</v>
      </c>
      <c r="H344" s="4">
        <v>652467.33</v>
      </c>
      <c r="I344" s="6" t="s">
        <v>16</v>
      </c>
    </row>
    <row r="345">
      <c r="A345" s="1">
        <v>46141.0</v>
      </c>
      <c r="B345" s="2" t="s">
        <v>228</v>
      </c>
      <c r="C345" s="2" t="s">
        <v>363</v>
      </c>
      <c r="E345" s="4">
        <v>5500000.0</v>
      </c>
      <c r="F345" s="2"/>
      <c r="G345" s="4">
        <v>6152467.329999924</v>
      </c>
      <c r="H345" s="4">
        <v>6152467.33</v>
      </c>
      <c r="I345" s="6" t="s">
        <v>16</v>
      </c>
    </row>
    <row r="346">
      <c r="A346" s="1">
        <v>46141.0</v>
      </c>
      <c r="B346" s="2" t="s">
        <v>228</v>
      </c>
      <c r="C346" s="8" t="s">
        <v>363</v>
      </c>
      <c r="E346" s="4">
        <v>7700000.0</v>
      </c>
      <c r="G346" s="3">
        <v>1.3852467329999924E7</v>
      </c>
      <c r="H346" s="3"/>
      <c r="I346" s="6" t="s">
        <v>16</v>
      </c>
    </row>
    <row r="347">
      <c r="A347" s="1">
        <v>46141.0</v>
      </c>
      <c r="B347" s="2" t="s">
        <v>228</v>
      </c>
      <c r="C347" s="8" t="s">
        <v>363</v>
      </c>
      <c r="E347" s="4">
        <v>5000000.0</v>
      </c>
      <c r="G347" s="3">
        <v>1.8852467329999924E7</v>
      </c>
      <c r="H347" s="3"/>
      <c r="I347" s="6" t="s">
        <v>16</v>
      </c>
    </row>
    <row r="348">
      <c r="A348" s="1">
        <v>46141.0</v>
      </c>
      <c r="B348" s="2" t="s">
        <v>9</v>
      </c>
      <c r="C348" s="2" t="s">
        <v>364</v>
      </c>
      <c r="D348" s="4"/>
      <c r="E348" s="4">
        <v>5.183392E7</v>
      </c>
      <c r="F348" s="2" t="s">
        <v>11</v>
      </c>
      <c r="G348" s="3">
        <v>7.068638732999992E7</v>
      </c>
      <c r="H348" s="3"/>
      <c r="I348" s="6" t="s">
        <v>16</v>
      </c>
    </row>
    <row r="349">
      <c r="A349" s="1">
        <v>46141.0</v>
      </c>
      <c r="B349" s="2" t="s">
        <v>4</v>
      </c>
      <c r="C349" s="2" t="s">
        <v>365</v>
      </c>
      <c r="D349" s="4">
        <v>1000000.0</v>
      </c>
      <c r="E349" s="3"/>
      <c r="F349" s="2" t="s">
        <v>3</v>
      </c>
      <c r="G349" s="3">
        <v>6.968638732999992E7</v>
      </c>
      <c r="H349" s="3"/>
      <c r="I349" s="6" t="s">
        <v>16</v>
      </c>
    </row>
    <row r="350">
      <c r="A350" s="1">
        <v>46141.0</v>
      </c>
      <c r="B350" s="2" t="s">
        <v>4</v>
      </c>
      <c r="C350" s="2" t="s">
        <v>366</v>
      </c>
      <c r="D350" s="4">
        <v>9600000.0</v>
      </c>
      <c r="E350" s="3"/>
      <c r="F350" s="2" t="s">
        <v>3</v>
      </c>
      <c r="G350" s="3">
        <v>6.008638732999992E7</v>
      </c>
      <c r="H350" s="3"/>
      <c r="I350" s="6" t="s">
        <v>16</v>
      </c>
    </row>
    <row r="351">
      <c r="A351" s="1">
        <v>46141.0</v>
      </c>
      <c r="B351" s="2" t="s">
        <v>367</v>
      </c>
      <c r="C351" s="2" t="s">
        <v>367</v>
      </c>
      <c r="D351" s="4">
        <v>50000.0</v>
      </c>
      <c r="E351" s="3"/>
      <c r="G351" s="3">
        <v>6.003638732999992E7</v>
      </c>
      <c r="H351" s="3"/>
      <c r="I351" s="6" t="s">
        <v>16</v>
      </c>
    </row>
    <row r="352">
      <c r="A352" s="1">
        <v>46141.0</v>
      </c>
      <c r="B352" s="2" t="s">
        <v>4</v>
      </c>
      <c r="C352" s="2" t="s">
        <v>368</v>
      </c>
      <c r="D352" s="4">
        <v>1000000.0</v>
      </c>
      <c r="E352" s="3"/>
      <c r="F352" s="2" t="s">
        <v>3</v>
      </c>
      <c r="G352" s="4">
        <v>5.903638732999992E7</v>
      </c>
      <c r="H352" s="4">
        <v>5.903638733E7</v>
      </c>
      <c r="I352" s="6" t="s">
        <v>16</v>
      </c>
    </row>
    <row r="353">
      <c r="A353" s="1">
        <v>46142.0</v>
      </c>
      <c r="B353" s="2" t="s">
        <v>369</v>
      </c>
      <c r="C353" s="2" t="s">
        <v>370</v>
      </c>
      <c r="D353" s="4"/>
      <c r="E353" s="4">
        <v>1.6049321E8</v>
      </c>
      <c r="F353" s="2" t="s">
        <v>11</v>
      </c>
      <c r="G353" s="3">
        <v>2.1952959732999992E8</v>
      </c>
      <c r="H353" s="3"/>
      <c r="I353" s="6" t="s">
        <v>16</v>
      </c>
    </row>
    <row r="354">
      <c r="A354" s="1">
        <v>46142.0</v>
      </c>
      <c r="B354" s="2" t="s">
        <v>4</v>
      </c>
      <c r="C354" s="2" t="s">
        <v>371</v>
      </c>
      <c r="D354" s="4">
        <v>5.0E7</v>
      </c>
      <c r="E354" s="3"/>
      <c r="F354" s="2" t="s">
        <v>3</v>
      </c>
      <c r="G354" s="3">
        <v>1.6952959732999992E8</v>
      </c>
      <c r="H354" s="3"/>
      <c r="I354" s="6" t="s">
        <v>16</v>
      </c>
    </row>
    <row r="355">
      <c r="A355" s="1">
        <v>46142.0</v>
      </c>
      <c r="B355" s="2" t="s">
        <v>9</v>
      </c>
      <c r="C355" s="2" t="s">
        <v>372</v>
      </c>
      <c r="D355" s="4"/>
      <c r="E355" s="4">
        <v>1.2065298E8</v>
      </c>
      <c r="F355" s="2" t="s">
        <v>11</v>
      </c>
      <c r="G355" s="3">
        <v>2.901825773299999E8</v>
      </c>
      <c r="H355" s="3"/>
      <c r="I355" s="6" t="s">
        <v>43</v>
      </c>
    </row>
    <row r="356">
      <c r="A356" s="1">
        <v>46142.0</v>
      </c>
      <c r="B356" s="2" t="s">
        <v>9</v>
      </c>
      <c r="C356" s="2" t="s">
        <v>373</v>
      </c>
      <c r="D356" s="4"/>
      <c r="E356" s="4">
        <v>2.55520698E8</v>
      </c>
      <c r="F356" s="2" t="s">
        <v>11</v>
      </c>
      <c r="G356" s="3">
        <v>5.457032753299999E8</v>
      </c>
      <c r="H356" s="3"/>
      <c r="I356" s="6" t="s">
        <v>43</v>
      </c>
    </row>
    <row r="357">
      <c r="A357" s="1">
        <v>46142.0</v>
      </c>
      <c r="B357" s="2" t="s">
        <v>4</v>
      </c>
      <c r="C357" s="2" t="s">
        <v>374</v>
      </c>
      <c r="D357" s="4">
        <v>1226170.0</v>
      </c>
      <c r="E357" s="3"/>
      <c r="F357" s="2" t="s">
        <v>3</v>
      </c>
      <c r="G357" s="3">
        <v>5.444771053299999E8</v>
      </c>
      <c r="H357" s="3"/>
      <c r="I357" s="6" t="s">
        <v>43</v>
      </c>
    </row>
    <row r="358">
      <c r="A358" s="1">
        <v>46142.0</v>
      </c>
      <c r="B358" s="2" t="s">
        <v>4</v>
      </c>
      <c r="C358" s="2" t="s">
        <v>375</v>
      </c>
      <c r="D358" s="4">
        <v>4.666734E7</v>
      </c>
      <c r="E358" s="3"/>
      <c r="F358" s="2" t="s">
        <v>3</v>
      </c>
      <c r="G358" s="3">
        <v>4.978097653299999E8</v>
      </c>
      <c r="H358" s="3"/>
      <c r="I358" s="6" t="s">
        <v>43</v>
      </c>
    </row>
    <row r="359">
      <c r="A359" s="1">
        <v>46142.0</v>
      </c>
      <c r="B359" s="2" t="s">
        <v>4</v>
      </c>
      <c r="C359" s="2" t="s">
        <v>376</v>
      </c>
      <c r="D359" s="4">
        <v>7.13007E7</v>
      </c>
      <c r="E359" s="3"/>
      <c r="F359" s="2" t="s">
        <v>3</v>
      </c>
      <c r="G359" s="3">
        <v>4.265090653299999E8</v>
      </c>
      <c r="H359" s="3"/>
      <c r="I359" s="6" t="s">
        <v>43</v>
      </c>
    </row>
    <row r="360">
      <c r="A360" s="1">
        <v>46142.0</v>
      </c>
      <c r="B360" s="2" t="s">
        <v>4</v>
      </c>
      <c r="C360" s="2" t="s">
        <v>377</v>
      </c>
      <c r="D360" s="4">
        <v>9.59616E7</v>
      </c>
      <c r="E360" s="3"/>
      <c r="F360" s="2" t="s">
        <v>3</v>
      </c>
      <c r="G360" s="4">
        <v>3.305474653299999E8</v>
      </c>
      <c r="H360" s="4">
        <v>3.3054746533E8</v>
      </c>
      <c r="I360" s="6" t="s">
        <v>43</v>
      </c>
    </row>
    <row r="361">
      <c r="A361" s="1">
        <v>46142.0</v>
      </c>
      <c r="B361" s="2" t="s">
        <v>4</v>
      </c>
      <c r="C361" s="2" t="s">
        <v>378</v>
      </c>
      <c r="D361" s="4">
        <v>1799280.0</v>
      </c>
      <c r="E361" s="3"/>
      <c r="F361" s="2" t="s">
        <v>3</v>
      </c>
      <c r="G361" s="4">
        <v>3.287481853299999E8</v>
      </c>
      <c r="H361" s="4">
        <v>3.2874818533E8</v>
      </c>
      <c r="I361" s="7" t="s">
        <v>154</v>
      </c>
    </row>
    <row r="362">
      <c r="A362" s="1">
        <v>46142.0</v>
      </c>
      <c r="B362" s="2" t="s">
        <v>4</v>
      </c>
      <c r="C362" s="2" t="s">
        <v>379</v>
      </c>
      <c r="D362" s="4">
        <v>4.8E7</v>
      </c>
      <c r="E362" s="3"/>
      <c r="F362" s="2" t="s">
        <v>3</v>
      </c>
      <c r="G362" s="3">
        <v>2.807481853299999E8</v>
      </c>
      <c r="H362" s="3"/>
      <c r="I362" s="6" t="s">
        <v>43</v>
      </c>
    </row>
    <row r="363">
      <c r="A363" s="1">
        <v>46142.0</v>
      </c>
      <c r="B363" s="2" t="s">
        <v>4</v>
      </c>
      <c r="C363" s="2" t="s">
        <v>380</v>
      </c>
      <c r="D363" s="4">
        <v>5621600.0</v>
      </c>
      <c r="E363" s="3"/>
      <c r="F363" s="2" t="s">
        <v>3</v>
      </c>
      <c r="G363" s="3">
        <v>2.751265853299999E8</v>
      </c>
      <c r="H363" s="3"/>
      <c r="I363" s="7" t="s">
        <v>6</v>
      </c>
    </row>
    <row r="364">
      <c r="A364" s="1">
        <v>46142.0</v>
      </c>
      <c r="B364" s="2" t="s">
        <v>4</v>
      </c>
      <c r="C364" s="2" t="s">
        <v>381</v>
      </c>
      <c r="D364" s="4">
        <v>1.1794248E8</v>
      </c>
      <c r="E364" s="3"/>
      <c r="F364" s="2" t="s">
        <v>3</v>
      </c>
      <c r="G364" s="3">
        <v>1.5718410532999992E8</v>
      </c>
      <c r="H364" s="3"/>
      <c r="I364" s="6" t="s">
        <v>16</v>
      </c>
    </row>
    <row r="365">
      <c r="A365" s="1">
        <v>46142.0</v>
      </c>
      <c r="B365" s="2" t="s">
        <v>40</v>
      </c>
      <c r="C365" s="8" t="s">
        <v>230</v>
      </c>
      <c r="D365" s="4">
        <v>300000.0</v>
      </c>
      <c r="E365" s="3"/>
      <c r="F365" s="2" t="s">
        <v>3</v>
      </c>
      <c r="G365" s="3">
        <v>1.5688410532999992E8</v>
      </c>
      <c r="H365" s="3"/>
      <c r="I365" s="6" t="s">
        <v>16</v>
      </c>
    </row>
    <row r="366">
      <c r="A366" s="1">
        <v>46142.0</v>
      </c>
      <c r="B366" s="2" t="s">
        <v>40</v>
      </c>
      <c r="C366" s="8" t="s">
        <v>231</v>
      </c>
      <c r="D366" s="4">
        <v>2500.0</v>
      </c>
      <c r="E366" s="3"/>
      <c r="F366" s="2" t="s">
        <v>3</v>
      </c>
      <c r="G366" s="3">
        <v>1.5688160532999992E8</v>
      </c>
      <c r="H366" s="3"/>
      <c r="I366" s="7" t="s">
        <v>12</v>
      </c>
    </row>
    <row r="367">
      <c r="A367" s="1">
        <v>46142.0</v>
      </c>
      <c r="B367" s="2" t="s">
        <v>4</v>
      </c>
      <c r="C367" s="2" t="s">
        <v>382</v>
      </c>
      <c r="D367" s="4">
        <v>4063000.0</v>
      </c>
      <c r="E367" s="3"/>
      <c r="F367" s="2" t="s">
        <v>3</v>
      </c>
      <c r="G367" s="3">
        <v>1.5281860532999992E8</v>
      </c>
      <c r="H367" s="3"/>
      <c r="I367" s="6" t="s">
        <v>16</v>
      </c>
    </row>
    <row r="368">
      <c r="A368" s="1">
        <v>46142.0</v>
      </c>
      <c r="B368" s="2" t="s">
        <v>383</v>
      </c>
      <c r="C368" s="2" t="s">
        <v>383</v>
      </c>
      <c r="D368" s="4">
        <v>0.12</v>
      </c>
      <c r="E368" s="3"/>
      <c r="G368" s="3">
        <v>1.5281860520999992E8</v>
      </c>
      <c r="H368" s="3"/>
      <c r="I368" s="6" t="s">
        <v>43</v>
      </c>
    </row>
    <row r="369">
      <c r="A369" s="1">
        <v>46142.0</v>
      </c>
      <c r="B369" s="2" t="s">
        <v>384</v>
      </c>
      <c r="C369" s="2" t="s">
        <v>384</v>
      </c>
      <c r="D369" s="4">
        <v>768.4</v>
      </c>
      <c r="E369" s="3"/>
      <c r="G369" s="3">
        <v>1.528178368099999E8</v>
      </c>
      <c r="H369" s="3"/>
      <c r="I369" s="6" t="s">
        <v>43</v>
      </c>
    </row>
    <row r="370">
      <c r="A370" s="1">
        <v>46142.0</v>
      </c>
      <c r="B370" s="2" t="s">
        <v>385</v>
      </c>
      <c r="C370" s="2" t="s">
        <v>386</v>
      </c>
      <c r="D370" s="4">
        <v>153.66</v>
      </c>
      <c r="E370" s="3"/>
      <c r="F370" s="2"/>
      <c r="G370" s="4">
        <v>1.5281768314999992E8</v>
      </c>
      <c r="H370" s="4">
        <v>1.5281921995E8</v>
      </c>
      <c r="I370" s="6" t="s">
        <v>43</v>
      </c>
    </row>
  </sheetData>
  <dataValidations>
    <dataValidation type="list" allowBlank="1" showErrorMessage="1" sqref="I1:I2 I4:I370">
      <formula1>"PRIBADI,PRODUKSI,BANK,V_SALES,EXSPEDISI,OPERASIONAL,NURUL_AINI"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f>IFERROR(__xludf.DUMMYFUNCTION("IFERROR(QUERY(APR_2023!A:I, ""SELECT * WHERE D IS NOT NULL AND UPPER(I) = 'EXSPEDISI'"", 1), ""Data EXSPEDISI belum ditemukan"")"),46113.0)</f>
        <v>46113</v>
      </c>
      <c r="B1" s="5" t="str">
        <f>IFERROR(__xludf.DUMMYFUNCTION("""COMPUTED_VALUE"""),"TRSF E-BANKING DB")</f>
        <v>TRSF E-BANKING DB</v>
      </c>
      <c r="C1" s="5" t="str">
        <f>IFERROR(__xludf.DUMMYFUNCTION("""COMPUTED_VALUE"""),"0104/FTSCY/WS95031 30000000.00 pelunasan BINTANG TAMA SANTO 30000000.00 pelunasan BINTANG TAMA SANTO")</f>
        <v>0104/FTSCY/WS95031 30000000.00 pelunasan BINTANG TAMA SANTO 30000000.00 pelunasan BINTANG TAMA SANTO</v>
      </c>
      <c r="D1" s="5">
        <f>IFERROR(__xludf.DUMMYFUNCTION("""COMPUTED_VALUE"""),3.0E7)</f>
        <v>30000000</v>
      </c>
      <c r="E1" s="5"/>
      <c r="F1" s="5" t="str">
        <f>IFERROR(__xludf.DUMMYFUNCTION("""COMPUTED_VALUE"""),"DB")</f>
        <v>DB</v>
      </c>
      <c r="G1" s="5">
        <f>IFERROR(__xludf.DUMMYFUNCTION("""COMPUTED_VALUE"""),5.722681933E7)</f>
        <v>57226819.33</v>
      </c>
      <c r="H1" s="5"/>
      <c r="I1" s="5" t="str">
        <f>IFERROR(__xludf.DUMMYFUNCTION("""COMPUTED_VALUE"""),"EXSPEDISI")</f>
        <v>EXSPEDISI</v>
      </c>
      <c r="J1" s="5">
        <f>SUM(D1:D1000)</f>
        <v>35621600</v>
      </c>
    </row>
    <row r="2">
      <c r="A2" s="5">
        <f>IFERROR(__xludf.DUMMYFUNCTION("""COMPUTED_VALUE"""),46142.0)</f>
        <v>46142</v>
      </c>
      <c r="B2" s="5" t="str">
        <f>IFERROR(__xludf.DUMMYFUNCTION("""COMPUTED_VALUE"""),"TRSF E-BANKING DB")</f>
        <v>TRSF E-BANKING DB</v>
      </c>
      <c r="C2" s="5" t="str">
        <f>IFERROR(__xludf.DUMMYFUNCTION("""COMPUTED_VALUE"""),"3004/FTSCY/WS95271 5621600.00 lunas HERMAWAN")</f>
        <v>3004/FTSCY/WS95271 5621600.00 lunas HERMAWAN</v>
      </c>
      <c r="D2" s="5">
        <f>IFERROR(__xludf.DUMMYFUNCTION("""COMPUTED_VALUE"""),5621600.0)</f>
        <v>5621600</v>
      </c>
      <c r="E2" s="5"/>
      <c r="F2" s="5" t="str">
        <f>IFERROR(__xludf.DUMMYFUNCTION("""COMPUTED_VALUE"""),"DB")</f>
        <v>DB</v>
      </c>
      <c r="G2" s="5">
        <f>IFERROR(__xludf.DUMMYFUNCTION("""COMPUTED_VALUE"""),2.751265853299999E8)</f>
        <v>275126585.3</v>
      </c>
      <c r="H2" s="5"/>
      <c r="I2" s="5" t="str">
        <f>IFERROR(__xludf.DUMMYFUNCTION("""COMPUTED_VALUE"""),"EXSPEDISI")</f>
        <v>EXSPEDISI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f>IFERROR(__xludf.DUMMYFUNCTION("IFERROR(QUERY(APR_2023!A:I, ""SELECT * WHERE D IS NOT NULL AND UPPER(I) = 'V_SALES'"", 1), ""Data V_SALES belum ditemukan"")"),46113.0)</f>
        <v>46113</v>
      </c>
      <c r="B1" s="5" t="str">
        <f>IFERROR(__xludf.DUMMYFUNCTION("""COMPUTED_VALUE"""),"TRSF E-BANKING DB")</f>
        <v>TRSF E-BANKING DB</v>
      </c>
      <c r="C1" s="5" t="str">
        <f>IFERROR(__xludf.DUMMYFUNCTION("""COMPUTED_VALUE"""),"0104/FTSCY/WS95271 47351100.00 Mon Mar 30 2026 14:00:00 GMT+0700 (Western Indonesia Time) LAJU SATWA WISESA")</f>
        <v>0104/FTSCY/WS95271 47351100.00 Mon Mar 30 2026 14:00:00 GMT+0700 (Western Indonesia Time) LAJU SATWA WISESA</v>
      </c>
      <c r="D1" s="5">
        <f>IFERROR(__xludf.DUMMYFUNCTION("""COMPUTED_VALUE"""),4.73511E7)</f>
        <v>47351100</v>
      </c>
      <c r="E1" s="5"/>
      <c r="F1" s="5" t="str">
        <f>IFERROR(__xludf.DUMMYFUNCTION("""COMPUTED_VALUE"""),"DB")</f>
        <v>DB</v>
      </c>
      <c r="G1" s="5">
        <f>IFERROR(__xludf.DUMMYFUNCTION("""COMPUTED_VALUE"""),1.1548681932999998E8)</f>
        <v>115486819.3</v>
      </c>
      <c r="H1" s="5"/>
      <c r="I1" s="5" t="str">
        <f>IFERROR(__xludf.DUMMYFUNCTION("""COMPUTED_VALUE"""),"V_SALES")</f>
        <v>V_SALES</v>
      </c>
      <c r="J1" s="5">
        <f>SUM(D1:D1000)</f>
        <v>47351100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f>IFERROR(__xludf.DUMMYFUNCTION("IFERROR(QUERY(APR_2023!A:I, ""SELECT * WHERE D IS NOT NULL AND UPPER(I) = 'OPERASIONAL'"", 1), ""Data OPERASIONAL belum ditemukan"")"),46113.0)</f>
        <v>46113</v>
      </c>
      <c r="B1" s="5" t="str">
        <f>IFERROR(__xludf.DUMMYFUNCTION("""COMPUTED_VALUE"""),"TRSF E-BANKING DB")</f>
        <v>TRSF E-BANKING DB</v>
      </c>
      <c r="C1" s="5" t="str">
        <f>IFERROR(__xludf.DUMMYFUNCTION("""COMPUTED_VALUE"""),"0104/FTSCY/WS95271 51803500.00 kd subagik 1 kdr LAJU SATWA WISESA 51803500.00 kd subagik 1 kdr")</f>
        <v>0104/FTSCY/WS95271 51803500.00 kd subagik 1 kdr LAJU SATWA WISESA 51803500.00 kd subagik 1 kdr</v>
      </c>
      <c r="D1" s="5">
        <f>IFERROR(__xludf.DUMMYFUNCTION("""COMPUTED_VALUE"""),5.18035E7)</f>
        <v>51803500</v>
      </c>
      <c r="E1" s="5"/>
      <c r="F1" s="5" t="str">
        <f>IFERROR(__xludf.DUMMYFUNCTION("""COMPUTED_VALUE"""),"DB")</f>
        <v>DB</v>
      </c>
      <c r="G1" s="5">
        <f>IFERROR(__xludf.DUMMYFUNCTION("""COMPUTED_VALUE"""),5423319.329999998)</f>
        <v>5423319.33</v>
      </c>
      <c r="H1" s="5"/>
      <c r="I1" s="5" t="str">
        <f>IFERROR(__xludf.DUMMYFUNCTION("""COMPUTED_VALUE"""),"OPERASIONAL")</f>
        <v>OPERASIONAL</v>
      </c>
      <c r="J1" s="5">
        <f>SUM(D1:D1000)</f>
        <v>51803500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f>IFERROR(__xludf.DUMMYFUNCTION("IFERROR(QUERY(APR_2023!A:I, ""SELECT * WHERE D IS NOT NULL AND UPPER(I) = 'NURUL_AINI'"", 1), ""Data NURUL_AINI belum ditemukan"")"),46121.0)</f>
        <v>46121</v>
      </c>
      <c r="B1" s="5" t="str">
        <f>IFERROR(__xludf.DUMMYFUNCTION("""COMPUTED_VALUE"""),"TRSF E-BANKING DB")</f>
        <v>TRSF E-BANKING DB</v>
      </c>
      <c r="C1" s="5" t="str">
        <f>IFERROR(__xludf.DUMMYFUNCTION("""COMPUTED_VALUE"""),"0904/FTSCY/WS95031 1500000.00 NURUL AINI")</f>
        <v>0904/FTSCY/WS95031 1500000.00 NURUL AINI</v>
      </c>
      <c r="D1" s="5">
        <f>IFERROR(__xludf.DUMMYFUNCTION("""COMPUTED_VALUE"""),1500000.0)</f>
        <v>1500000</v>
      </c>
      <c r="E1" s="5"/>
      <c r="F1" s="5" t="str">
        <f>IFERROR(__xludf.DUMMYFUNCTION("""COMPUTED_VALUE"""),"DB")</f>
        <v>DB</v>
      </c>
      <c r="G1" s="5">
        <f>IFERROR(__xludf.DUMMYFUNCTION("""COMPUTED_VALUE"""),4004840.3299999237)</f>
        <v>4004840.33</v>
      </c>
      <c r="H1" s="5"/>
      <c r="I1" s="5" t="str">
        <f>IFERROR(__xludf.DUMMYFUNCTION("""COMPUTED_VALUE"""),"NURUL_AINI")</f>
        <v>NURUL_AINI</v>
      </c>
      <c r="J1" s="5">
        <f>SUM(D1:D1000)</f>
        <v>5799280</v>
      </c>
    </row>
    <row r="2">
      <c r="A2" s="5">
        <f>IFERROR(__xludf.DUMMYFUNCTION("""COMPUTED_VALUE"""),46127.0)</f>
        <v>46127</v>
      </c>
      <c r="B2" s="5" t="str">
        <f>IFERROR(__xludf.DUMMYFUNCTION("""COMPUTED_VALUE"""),"TRSF E-BANKING DB")</f>
        <v>TRSF E-BANKING DB</v>
      </c>
      <c r="C2" s="5" t="str">
        <f>IFERROR(__xludf.DUMMYFUNCTION("""COMPUTED_VALUE"""),"1504/FTSCY/WS95031 2000000.00 NURUL AINI")</f>
        <v>1504/FTSCY/WS95031 2000000.00 NURUL AINI</v>
      </c>
      <c r="D2" s="5">
        <f>IFERROR(__xludf.DUMMYFUNCTION("""COMPUTED_VALUE"""),2000000.0)</f>
        <v>2000000</v>
      </c>
      <c r="E2" s="5"/>
      <c r="F2" s="5" t="str">
        <f>IFERROR(__xludf.DUMMYFUNCTION("""COMPUTED_VALUE"""),"DB")</f>
        <v>DB</v>
      </c>
      <c r="G2" s="5">
        <f>IFERROR(__xludf.DUMMYFUNCTION("""COMPUTED_VALUE"""),3.0488154329999924E7)</f>
        <v>30488154.33</v>
      </c>
      <c r="H2" s="5"/>
      <c r="I2" s="5" t="str">
        <f>IFERROR(__xludf.DUMMYFUNCTION("""COMPUTED_VALUE"""),"NURUL_AINI")</f>
        <v>NURUL_AINI</v>
      </c>
    </row>
    <row r="3">
      <c r="A3" s="5">
        <f>IFERROR(__xludf.DUMMYFUNCTION("""COMPUTED_VALUE"""),46138.0)</f>
        <v>46138</v>
      </c>
      <c r="B3" s="5" t="str">
        <f>IFERROR(__xludf.DUMMYFUNCTION("""COMPUTED_VALUE"""),"TRSF E-BANKING DB")</f>
        <v>TRSF E-BANKING DB</v>
      </c>
      <c r="C3" s="5" t="str">
        <f>IFERROR(__xludf.DUMMYFUNCTION("""COMPUTED_VALUE"""),"2604/FTSCY/WS95031 500000.00 NURUL AINI")</f>
        <v>2604/FTSCY/WS95031 500000.00 NURUL AINI</v>
      </c>
      <c r="D3" s="5">
        <f>IFERROR(__xludf.DUMMYFUNCTION("""COMPUTED_VALUE"""),500000.0)</f>
        <v>500000</v>
      </c>
      <c r="E3" s="5"/>
      <c r="F3" s="5" t="str">
        <f>IFERROR(__xludf.DUMMYFUNCTION("""COMPUTED_VALUE"""),"DB")</f>
        <v>DB</v>
      </c>
      <c r="G3" s="5">
        <f>IFERROR(__xludf.DUMMYFUNCTION("""COMPUTED_VALUE"""),1.7709725732999992E8)</f>
        <v>177097257.3</v>
      </c>
      <c r="H3" s="5"/>
      <c r="I3" s="5" t="str">
        <f>IFERROR(__xludf.DUMMYFUNCTION("""COMPUTED_VALUE"""),"NURUL_AINI")</f>
        <v>NURUL_AINI</v>
      </c>
    </row>
    <row r="4">
      <c r="A4" s="5">
        <f>IFERROR(__xludf.DUMMYFUNCTION("""COMPUTED_VALUE"""),46142.0)</f>
        <v>46142</v>
      </c>
      <c r="B4" s="5" t="str">
        <f>IFERROR(__xludf.DUMMYFUNCTION("""COMPUTED_VALUE"""),"TRSF E-BANKING DB")</f>
        <v>TRSF E-BANKING DB</v>
      </c>
      <c r="C4" s="5" t="str">
        <f>IFERROR(__xludf.DUMMYFUNCTION("""COMPUTED_VALUE"""),"3004/FTSCY/WS95031 1799280.00 NURHAYATI")</f>
        <v>3004/FTSCY/WS95031 1799280.00 NURHAYATI</v>
      </c>
      <c r="D4" s="5">
        <f>IFERROR(__xludf.DUMMYFUNCTION("""COMPUTED_VALUE"""),1799280.0)</f>
        <v>1799280</v>
      </c>
      <c r="E4" s="5"/>
      <c r="F4" s="5" t="str">
        <f>IFERROR(__xludf.DUMMYFUNCTION("""COMPUTED_VALUE"""),"DB")</f>
        <v>DB</v>
      </c>
      <c r="G4" s="5">
        <f>IFERROR(__xludf.DUMMYFUNCTION("""COMPUTED_VALUE"""),3.287481853299999E8)</f>
        <v>328748185.3</v>
      </c>
      <c r="H4" s="5">
        <f>IFERROR(__xludf.DUMMYFUNCTION("""COMPUTED_VALUE"""),3.2874818533E8)</f>
        <v>328748185.3</v>
      </c>
      <c r="I4" s="5" t="str">
        <f>IFERROR(__xludf.DUMMYFUNCTION("""COMPUTED_VALUE"""),"NURUL_AINI")</f>
        <v>NURUL_AINI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4.63"/>
  </cols>
  <sheetData>
    <row r="1">
      <c r="A1" s="9">
        <f>IFERROR(__xludf.DUMMYFUNCTION("IFERROR(QUERY(APR_2023!A:I, ""SELECT * WHERE D IS NOT NULL AND UPPER(I) = 'PRIBADI'"", 1), ""Data PRIBADI belum ditemukan"")"),46115.0)</f>
        <v>46115</v>
      </c>
      <c r="B1" s="5" t="str">
        <f>IFERROR(__xludf.DUMMYFUNCTION("""COMPUTED_VALUE"""),"BI-FAST DB")</f>
        <v>BI-FAST DB</v>
      </c>
      <c r="C1" s="5" t="str">
        <f>IFERROR(__xludf.DUMMYFUNCTION("""COMPUTED_VALUE"""),"BIF BIAYA TXN KE 9 NOUVAL HOLQI RISKU M-BCA")</f>
        <v>BIF BIAYA TXN KE 9 NOUVAL HOLQI RISKU M-BCA</v>
      </c>
      <c r="D1" s="5">
        <f>IFERROR(__xludf.DUMMYFUNCTION("""COMPUTED_VALUE"""),2500.0)</f>
        <v>2500</v>
      </c>
      <c r="E1" s="5"/>
      <c r="F1" s="5" t="str">
        <f>IFERROR(__xludf.DUMMYFUNCTION("""COMPUTED_VALUE"""),"DB")</f>
        <v>DB</v>
      </c>
      <c r="G1" s="5">
        <f>IFERROR(__xludf.DUMMYFUNCTION("""COMPUTED_VALUE"""),5904959.329999983)</f>
        <v>5904959.33</v>
      </c>
      <c r="H1" s="5"/>
      <c r="I1" s="5" t="str">
        <f>IFERROR(__xludf.DUMMYFUNCTION("""COMPUTED_VALUE"""),"PRIBADI")</f>
        <v>PRIBADI</v>
      </c>
      <c r="J1" s="12">
        <f>SUM(D1:D1000)</f>
        <v>761571112.2</v>
      </c>
    </row>
    <row r="2">
      <c r="A2" s="9">
        <f>IFERROR(__xludf.DUMMYFUNCTION("""COMPUTED_VALUE"""),46115.0)</f>
        <v>46115</v>
      </c>
      <c r="B2" s="5" t="str">
        <f>IFERROR(__xludf.DUMMYFUNCTION("""COMPUTED_VALUE"""),"TRSF E-BANKING DB")</f>
        <v>TRSF E-BANKING DB</v>
      </c>
      <c r="C2" s="5" t="str">
        <f>IFERROR(__xludf.DUMMYFUNCTION("""COMPUTED_VALUE"""),"0304/FTSCY/WS95031 100000.00 bukber ANTON IMRONI")</f>
        <v>0304/FTSCY/WS95031 100000.00 bukber ANTON IMRONI</v>
      </c>
      <c r="D2" s="5">
        <f>IFERROR(__xludf.DUMMYFUNCTION("""COMPUTED_VALUE"""),100000.0)</f>
        <v>100000</v>
      </c>
      <c r="E2" s="5"/>
      <c r="F2" s="5" t="str">
        <f>IFERROR(__xludf.DUMMYFUNCTION("""COMPUTED_VALUE"""),"DB")</f>
        <v>DB</v>
      </c>
      <c r="G2" s="5">
        <f>IFERROR(__xludf.DUMMYFUNCTION("""COMPUTED_VALUE"""),5804959.329999983)</f>
        <v>5804959.33</v>
      </c>
      <c r="H2" s="5"/>
      <c r="I2" s="5" t="str">
        <f>IFERROR(__xludf.DUMMYFUNCTION("""COMPUTED_VALUE"""),"PRIBADI")</f>
        <v>PRIBADI</v>
      </c>
      <c r="J2" s="2"/>
    </row>
    <row r="3">
      <c r="A3" s="9">
        <f>IFERROR(__xludf.DUMMYFUNCTION("""COMPUTED_VALUE"""),46121.0)</f>
        <v>46121</v>
      </c>
      <c r="B3" s="5" t="str">
        <f>IFERROR(__xludf.DUMMYFUNCTION("""COMPUTED_VALUE"""),"TRSF E-BANKING DB")</f>
        <v>TRSF E-BANKING DB</v>
      </c>
      <c r="C3" s="5" t="str">
        <f>IFERROR(__xludf.DUMMYFUNCTION("""COMPUTED_VALUE"""),"0904/FTSCY/WS95271 500000.00 MUHAMMAD HAIRUL MA")</f>
        <v>0904/FTSCY/WS95271 500000.00 MUHAMMAD HAIRUL MA</v>
      </c>
      <c r="D3" s="5">
        <f>IFERROR(__xludf.DUMMYFUNCTION("""COMPUTED_VALUE"""),500000.0)</f>
        <v>500000</v>
      </c>
      <c r="E3" s="5"/>
      <c r="F3" s="5" t="str">
        <f>IFERROR(__xludf.DUMMYFUNCTION("""COMPUTED_VALUE"""),"DB")</f>
        <v>DB</v>
      </c>
      <c r="G3" s="5">
        <f>IFERROR(__xludf.DUMMYFUNCTION("""COMPUTED_VALUE"""),3504840.3299999237)</f>
        <v>3504840.33</v>
      </c>
      <c r="H3" s="5"/>
      <c r="I3" s="5" t="str">
        <f>IFERROR(__xludf.DUMMYFUNCTION("""COMPUTED_VALUE"""),"PRIBADI")</f>
        <v>PRIBADI</v>
      </c>
    </row>
    <row r="4">
      <c r="A4" s="9">
        <f>IFERROR(__xludf.DUMMYFUNCTION("""COMPUTED_VALUE"""),46124.0)</f>
        <v>46124</v>
      </c>
      <c r="B4" s="5" t="str">
        <f>IFERROR(__xludf.DUMMYFUNCTION("""COMPUTED_VALUE"""),"TRSF E-BANKING DB")</f>
        <v>TRSF E-BANKING DB</v>
      </c>
      <c r="C4" s="5" t="str">
        <f>IFERROR(__xludf.DUMMYFUNCTION("""COMPUTED_VALUE"""),"1204/FTSCY/WS95011 125440000.00 kd arsin pasuruan PITIK DIGITAL INDO")</f>
        <v>1204/FTSCY/WS95011 125440000.00 kd arsin pasuruan PITIK DIGITAL INDO</v>
      </c>
      <c r="D4" s="5">
        <f>IFERROR(__xludf.DUMMYFUNCTION("""COMPUTED_VALUE"""),1.2544E8)</f>
        <v>125440000</v>
      </c>
      <c r="E4" s="5"/>
      <c r="F4" s="5" t="str">
        <f>IFERROR(__xludf.DUMMYFUNCTION("""COMPUTED_VALUE"""),"DB")</f>
        <v>DB</v>
      </c>
      <c r="G4" s="5">
        <f>IFERROR(__xludf.DUMMYFUNCTION("""COMPUTED_VALUE"""),2.0033941432999992E8)</f>
        <v>200339414.3</v>
      </c>
      <c r="H4" s="5"/>
      <c r="I4" s="5" t="str">
        <f>IFERROR(__xludf.DUMMYFUNCTION("""COMPUTED_VALUE"""),"PRIBADI")</f>
        <v>PRIBADI</v>
      </c>
    </row>
    <row r="5">
      <c r="A5" s="9">
        <f>IFERROR(__xludf.DUMMYFUNCTION("""COMPUTED_VALUE"""),46127.0)</f>
        <v>46127</v>
      </c>
      <c r="B5" s="5" t="str">
        <f>IFERROR(__xludf.DUMMYFUNCTION("""COMPUTED_VALUE"""),"TRSF E-BANKING DB")</f>
        <v>TRSF E-BANKING DB</v>
      </c>
      <c r="C5" s="5" t="str">
        <f>IFERROR(__xludf.DUMMYFUNCTION("""COMPUTED_VALUE"""),"1504/FTSCY/WS95271 52530000.00 blitar ANUGERAH KARTIKA A")</f>
        <v>1504/FTSCY/WS95271 52530000.00 blitar ANUGERAH KARTIKA A</v>
      </c>
      <c r="D5" s="5">
        <f>IFERROR(__xludf.DUMMYFUNCTION("""COMPUTED_VALUE"""),5.253E7)</f>
        <v>52530000</v>
      </c>
      <c r="E5" s="5"/>
      <c r="F5" s="5" t="str">
        <f>IFERROR(__xludf.DUMMYFUNCTION("""COMPUTED_VALUE"""),"DB")</f>
        <v>DB</v>
      </c>
      <c r="G5" s="5">
        <f>IFERROR(__xludf.DUMMYFUNCTION("""COMPUTED_VALUE"""),9.702716432999992E7)</f>
        <v>97027164.33</v>
      </c>
      <c r="H5" s="5"/>
      <c r="I5" s="5" t="str">
        <f>IFERROR(__xludf.DUMMYFUNCTION("""COMPUTED_VALUE"""),"PRIBADI")</f>
        <v>PRIBADI</v>
      </c>
    </row>
    <row r="6">
      <c r="A6" s="9">
        <f>IFERROR(__xludf.DUMMYFUNCTION("""COMPUTED_VALUE"""),46127.0)</f>
        <v>46127</v>
      </c>
      <c r="B6" s="5" t="str">
        <f>IFERROR(__xludf.DUMMYFUNCTION("""COMPUTED_VALUE"""),"TRSF E-BANKING DB")</f>
        <v>TRSF E-BANKING DB</v>
      </c>
      <c r="C6" s="5" t="str">
        <f>IFERROR(__xludf.DUMMYFUNCTION("""COMPUTED_VALUE"""),"1504/FTSCY/WS95271 52556280.00 lunas GANESHA SATRIA NUS")</f>
        <v>1504/FTSCY/WS95271 52556280.00 lunas GANESHA SATRIA NUS</v>
      </c>
      <c r="D6" s="5">
        <f>IFERROR(__xludf.DUMMYFUNCTION("""COMPUTED_VALUE"""),5.255628E7)</f>
        <v>52556280</v>
      </c>
      <c r="E6" s="5"/>
      <c r="F6" s="5" t="str">
        <f>IFERROR(__xludf.DUMMYFUNCTION("""COMPUTED_VALUE"""),"DB")</f>
        <v>DB</v>
      </c>
      <c r="G6" s="5">
        <f>IFERROR(__xludf.DUMMYFUNCTION("""COMPUTED_VALUE"""),4.447088432999992E7)</f>
        <v>44470884.33</v>
      </c>
      <c r="H6" s="5"/>
      <c r="I6" s="5" t="str">
        <f>IFERROR(__xludf.DUMMYFUNCTION("""COMPUTED_VALUE"""),"PRIBADI")</f>
        <v>PRIBADI</v>
      </c>
    </row>
    <row r="7">
      <c r="A7" s="9">
        <f>IFERROR(__xludf.DUMMYFUNCTION("""COMPUTED_VALUE"""),46128.0)</f>
        <v>46128</v>
      </c>
      <c r="B7" s="5" t="str">
        <f>IFERROR(__xludf.DUMMYFUNCTION("""COMPUTED_VALUE"""),"BI-FAST DB")</f>
        <v>BI-FAST DB</v>
      </c>
      <c r="C7" s="5" t="str">
        <f>IFERROR(__xludf.DUMMYFUNCTION("""COMPUTED_VALUE"""),"BIF TRANSFER KE 8 MISWATI M-BCA")</f>
        <v>BIF TRANSFER KE 8 MISWATI M-BCA</v>
      </c>
      <c r="D7" s="5">
        <f>IFERROR(__xludf.DUMMYFUNCTION("""COMPUTED_VALUE"""),500000.0)</f>
        <v>500000</v>
      </c>
      <c r="E7" s="5"/>
      <c r="F7" s="5" t="str">
        <f>IFERROR(__xludf.DUMMYFUNCTION("""COMPUTED_VALUE"""),"DB")</f>
        <v>DB</v>
      </c>
      <c r="G7" s="5">
        <f>IFERROR(__xludf.DUMMYFUNCTION("""COMPUTED_VALUE"""),7.037348432999992E7)</f>
        <v>70373484.33</v>
      </c>
      <c r="H7" s="5"/>
      <c r="I7" s="5" t="str">
        <f>IFERROR(__xludf.DUMMYFUNCTION("""COMPUTED_VALUE"""),"PRIBADI")</f>
        <v>PRIBADI</v>
      </c>
    </row>
    <row r="8">
      <c r="A8" s="9">
        <f>IFERROR(__xludf.DUMMYFUNCTION("""COMPUTED_VALUE"""),46128.0)</f>
        <v>46128</v>
      </c>
      <c r="B8" s="5" t="str">
        <f>IFERROR(__xludf.DUMMYFUNCTION("""COMPUTED_VALUE"""),"BI-FAST DB")</f>
        <v>BI-FAST DB</v>
      </c>
      <c r="C8" s="5" t="str">
        <f>IFERROR(__xludf.DUMMYFUNCTION("""COMPUTED_VALUE"""),"BIF BIAYA TXN KE 8 MISWATI M-BCA")</f>
        <v>BIF BIAYA TXN KE 8 MISWATI M-BCA</v>
      </c>
      <c r="D8" s="5">
        <f>IFERROR(__xludf.DUMMYFUNCTION("""COMPUTED_VALUE"""),2500.0)</f>
        <v>2500</v>
      </c>
      <c r="E8" s="5"/>
      <c r="F8" s="5" t="str">
        <f>IFERROR(__xludf.DUMMYFUNCTION("""COMPUTED_VALUE"""),"DB")</f>
        <v>DB</v>
      </c>
      <c r="G8" s="5">
        <f>IFERROR(__xludf.DUMMYFUNCTION("""COMPUTED_VALUE"""),7.037098432999992E7)</f>
        <v>70370984.33</v>
      </c>
      <c r="H8" s="5"/>
      <c r="I8" s="5" t="str">
        <f>IFERROR(__xludf.DUMMYFUNCTION("""COMPUTED_VALUE"""),"PRIBADI")</f>
        <v>PRIBADI</v>
      </c>
    </row>
    <row r="9">
      <c r="A9" s="9">
        <f>IFERROR(__xludf.DUMMYFUNCTION("""COMPUTED_VALUE"""),46128.0)</f>
        <v>46128</v>
      </c>
      <c r="B9" s="5" t="str">
        <f>IFERROR(__xludf.DUMMYFUNCTION("""COMPUTED_VALUE"""),"TRSF E-BANKING DB")</f>
        <v>TRSF E-BANKING DB</v>
      </c>
      <c r="C9" s="5" t="str">
        <f>IFERROR(__xludf.DUMMYFUNCTION("""COMPUTED_VALUE"""),"1604/FTSCY/WS95031 300000.00 byr beras 10 MOHAMMAD FUDAIL")</f>
        <v>1604/FTSCY/WS95031 300000.00 byr beras 10 MOHAMMAD FUDAIL</v>
      </c>
      <c r="D9" s="5">
        <f>IFERROR(__xludf.DUMMYFUNCTION("""COMPUTED_VALUE"""),300000.0)</f>
        <v>300000</v>
      </c>
      <c r="E9" s="5"/>
      <c r="F9" s="5" t="str">
        <f>IFERROR(__xludf.DUMMYFUNCTION("""COMPUTED_VALUE"""),"DB")</f>
        <v>DB</v>
      </c>
      <c r="G9" s="5">
        <f>IFERROR(__xludf.DUMMYFUNCTION("""COMPUTED_VALUE"""),2.1720984329999924E7)</f>
        <v>21720984.33</v>
      </c>
      <c r="H9" s="5"/>
      <c r="I9" s="5" t="str">
        <f>IFERROR(__xludf.DUMMYFUNCTION("""COMPUTED_VALUE"""),"PRIBADI")</f>
        <v>PRIBADI</v>
      </c>
    </row>
    <row r="10">
      <c r="A10" s="9">
        <f>IFERROR(__xludf.DUMMYFUNCTION("""COMPUTED_VALUE"""),46128.0)</f>
        <v>46128</v>
      </c>
      <c r="B10" s="5" t="str">
        <f>IFERROR(__xludf.DUMMYFUNCTION("""COMPUTED_VALUE"""),"TRANSAKSI DEBIT")</f>
        <v>TRANSAKSI DEBIT</v>
      </c>
      <c r="C10" s="5" t="str">
        <f>IFERROR(__xludf.DUMMYFUNCTION("""COMPUTED_VALUE"""),"TGL: 16/04 QR 014 00000.00RINDANG KH")</f>
        <v>TGL: 16/04 QR 014 00000.00RINDANG KH</v>
      </c>
      <c r="D10" s="5">
        <f>IFERROR(__xludf.DUMMYFUNCTION("""COMPUTED_VALUE"""),141300.0)</f>
        <v>141300</v>
      </c>
      <c r="E10" s="5"/>
      <c r="F10" s="5"/>
      <c r="G10" s="5">
        <f>IFERROR(__xludf.DUMMYFUNCTION("""COMPUTED_VALUE"""),2.1579684329999924E7)</f>
        <v>21579684.33</v>
      </c>
      <c r="H10" s="5"/>
      <c r="I10" s="5" t="str">
        <f>IFERROR(__xludf.DUMMYFUNCTION("""COMPUTED_VALUE"""),"PRIBADI")</f>
        <v>PRIBADI</v>
      </c>
    </row>
    <row r="11">
      <c r="A11" s="9">
        <f>IFERROR(__xludf.DUMMYFUNCTION("""COMPUTED_VALUE"""),46128.0)</f>
        <v>46128</v>
      </c>
      <c r="B11" s="5" t="str">
        <f>IFERROR(__xludf.DUMMYFUNCTION("""COMPUTED_VALUE"""),"TRSF E-BANKING DB")</f>
        <v>TRSF E-BANKING DB</v>
      </c>
      <c r="C11" s="5" t="str">
        <f>IFERROR(__xludf.DUMMYFUNCTION("""COMPUTED_VALUE"""),"1604/FTSCY/WS95031 61950000.00 Mon Apr 13 2026 14:00:00 GMT+0700 (Western Indonesia Time) PITIK DIGITAL INDO")</f>
        <v>1604/FTSCY/WS95031 61950000.00 Mon Apr 13 2026 14:00:00 GMT+0700 (Western Indonesia Time) PITIK DIGITAL INDO</v>
      </c>
      <c r="D11" s="5">
        <f>IFERROR(__xludf.DUMMYFUNCTION("""COMPUTED_VALUE"""),6.195E7)</f>
        <v>61950000</v>
      </c>
      <c r="E11" s="5"/>
      <c r="F11" s="5" t="str">
        <f>IFERROR(__xludf.DUMMYFUNCTION("""COMPUTED_VALUE"""),"DB")</f>
        <v>DB</v>
      </c>
      <c r="G11" s="5">
        <f>IFERROR(__xludf.DUMMYFUNCTION("""COMPUTED_VALUE"""),1.2025224329999924E7)</f>
        <v>12025224.33</v>
      </c>
      <c r="H11" s="5"/>
      <c r="I11" s="5" t="str">
        <f>IFERROR(__xludf.DUMMYFUNCTION("""COMPUTED_VALUE"""),"PRIBADI")</f>
        <v>PRIBADI</v>
      </c>
    </row>
    <row r="12">
      <c r="A12" s="9">
        <f>IFERROR(__xludf.DUMMYFUNCTION("""COMPUTED_VALUE"""),46129.0)</f>
        <v>46129</v>
      </c>
      <c r="B12" s="5" t="str">
        <f>IFERROR(__xludf.DUMMYFUNCTION("""COMPUTED_VALUE"""),"TRSF E-BANKING DB")</f>
        <v>TRSF E-BANKING DB</v>
      </c>
      <c r="C12" s="5" t="str">
        <f>IFERROR(__xludf.DUMMYFUNCTION("""COMPUTED_VALUE"""),"1704/FTFVA/WS95031 55569/PT PRIMA FAJ pelunasan - 40190")</f>
        <v>1704/FTFVA/WS95031 55569/PT PRIMA FAJ pelunasan - 40190</v>
      </c>
      <c r="D12" s="5">
        <f>IFERROR(__xludf.DUMMYFUNCTION("""COMPUTED_VALUE"""),174900.0)</f>
        <v>174900</v>
      </c>
      <c r="E12" s="5"/>
      <c r="F12" s="5" t="str">
        <f>IFERROR(__xludf.DUMMYFUNCTION("""COMPUTED_VALUE"""),"DB")</f>
        <v>DB</v>
      </c>
      <c r="G12" s="5">
        <f>IFERROR(__xludf.DUMMYFUNCTION("""COMPUTED_VALUE"""),8098814.329999924)</f>
        <v>8098814.33</v>
      </c>
      <c r="H12" s="5"/>
      <c r="I12" s="5" t="str">
        <f>IFERROR(__xludf.DUMMYFUNCTION("""COMPUTED_VALUE"""),"PRIBADI")</f>
        <v>PRIBADI</v>
      </c>
    </row>
    <row r="13">
      <c r="A13" s="9">
        <f>IFERROR(__xludf.DUMMYFUNCTION("""COMPUTED_VALUE"""),46129.0)</f>
        <v>46129</v>
      </c>
      <c r="B13" s="5" t="str">
        <f>IFERROR(__xludf.DUMMYFUNCTION("""COMPUTED_VALUE"""),"TRSF E-BANKING DB")</f>
        <v>TRSF E-BANKING DB</v>
      </c>
      <c r="C13" s="5" t="str">
        <f>IFERROR(__xludf.DUMMYFUNCTION("""COMPUTED_VALUE"""),"1704/FTFVA/WS95031 55569/PT PRIMA FAJ titip.9 ton lamong an 40190")</f>
        <v>1704/FTFVA/WS95031 55569/PT PRIMA FAJ titip.9 ton lamong an 40190</v>
      </c>
      <c r="D13" s="5">
        <f>IFERROR(__xludf.DUMMYFUNCTION("""COMPUTED_VALUE"""),1.53E8)</f>
        <v>153000000</v>
      </c>
      <c r="E13" s="5"/>
      <c r="F13" s="5" t="str">
        <f>IFERROR(__xludf.DUMMYFUNCTION("""COMPUTED_VALUE"""),"DB")</f>
        <v>DB</v>
      </c>
      <c r="G13" s="5">
        <f>IFERROR(__xludf.DUMMYFUNCTION("""COMPUTED_VALUE"""),2.3894724329999924E7)</f>
        <v>23894724.33</v>
      </c>
      <c r="H13" s="5"/>
      <c r="I13" s="5" t="str">
        <f>IFERROR(__xludf.DUMMYFUNCTION("""COMPUTED_VALUE"""),"PRIBADI")</f>
        <v>PRIBADI</v>
      </c>
    </row>
    <row r="14">
      <c r="A14" s="9">
        <f>IFERROR(__xludf.DUMMYFUNCTION("""COMPUTED_VALUE"""),46129.0)</f>
        <v>46129</v>
      </c>
      <c r="B14" s="5" t="str">
        <f>IFERROR(__xludf.DUMMYFUNCTION("""COMPUTED_VALUE"""),"TRSF E-BANKING DB")</f>
        <v>TRSF E-BANKING DB</v>
      </c>
      <c r="C14" s="5" t="str">
        <f>IFERROR(__xludf.DUMMYFUNCTION("""COMPUTED_VALUE"""),"1704/FTSCY/WS95031 1716900.00 SUPRIYADI")</f>
        <v>1704/FTSCY/WS95031 1716900.00 SUPRIYADI</v>
      </c>
      <c r="D14" s="5">
        <f>IFERROR(__xludf.DUMMYFUNCTION("""COMPUTED_VALUE"""),1716900.0)</f>
        <v>1716900</v>
      </c>
      <c r="E14" s="5"/>
      <c r="F14" s="5" t="str">
        <f>IFERROR(__xludf.DUMMYFUNCTION("""COMPUTED_VALUE"""),"DB")</f>
        <v>DB</v>
      </c>
      <c r="G14" s="5">
        <f>IFERROR(__xludf.DUMMYFUNCTION("""COMPUTED_VALUE"""),2.2177824329999924E7)</f>
        <v>22177824.33</v>
      </c>
      <c r="H14" s="5"/>
      <c r="I14" s="5" t="str">
        <f>IFERROR(__xludf.DUMMYFUNCTION("""COMPUTED_VALUE"""),"PRIBADI")</f>
        <v>PRIBADI</v>
      </c>
    </row>
    <row r="15">
      <c r="A15" s="9">
        <f>IFERROR(__xludf.DUMMYFUNCTION("""COMPUTED_VALUE"""),46130.0)</f>
        <v>46130</v>
      </c>
      <c r="B15" s="5" t="str">
        <f>IFERROR(__xludf.DUMMYFUNCTION("""COMPUTED_VALUE"""),"TRSF E-BANKING DB")</f>
        <v>TRSF E-BANKING DB</v>
      </c>
      <c r="C15" s="5" t="str">
        <f>IFERROR(__xludf.DUMMYFUNCTION("""COMPUTED_VALUE"""),"1804/FTSCY/WS95271 49500000.00 Thu Apr 16 2026 14:00:00 GMT+0700 (Western Indonesia Time) ANDALAN YASA MITRA")</f>
        <v>1804/FTSCY/WS95271 49500000.00 Thu Apr 16 2026 14:00:00 GMT+0700 (Western Indonesia Time) ANDALAN YASA MITRA</v>
      </c>
      <c r="D15" s="5">
        <f>IFERROR(__xludf.DUMMYFUNCTION("""COMPUTED_VALUE"""),4.95E7)</f>
        <v>49500000</v>
      </c>
      <c r="E15" s="5"/>
      <c r="F15" s="5" t="str">
        <f>IFERROR(__xludf.DUMMYFUNCTION("""COMPUTED_VALUE"""),"DB")</f>
        <v>DB</v>
      </c>
      <c r="G15" s="5">
        <f>IFERROR(__xludf.DUMMYFUNCTION("""COMPUTED_VALUE"""),3.879287432999992E7)</f>
        <v>38792874.33</v>
      </c>
      <c r="H15" s="5"/>
      <c r="I15" s="5" t="str">
        <f>IFERROR(__xludf.DUMMYFUNCTION("""COMPUTED_VALUE"""),"PRIBADI")</f>
        <v>PRIBADI</v>
      </c>
    </row>
    <row r="16">
      <c r="A16" s="9">
        <f>IFERROR(__xludf.DUMMYFUNCTION("""COMPUTED_VALUE"""),46142.0)</f>
        <v>46142</v>
      </c>
      <c r="B16" s="5" t="str">
        <f>IFERROR(__xludf.DUMMYFUNCTION("""COMPUTED_VALUE"""),"TRSF E-BANKING DB")</f>
        <v>TRSF E-BANKING DB</v>
      </c>
      <c r="C16" s="5" t="str">
        <f>IFERROR(__xludf.DUMMYFUNCTION("""COMPUTED_VALUE"""),"3004/FTSCY/WS95031 1226170.00 RIRIN")</f>
        <v>3004/FTSCY/WS95031 1226170.00 RIRIN</v>
      </c>
      <c r="D16" s="5">
        <f>IFERROR(__xludf.DUMMYFUNCTION("""COMPUTED_VALUE"""),1226170.0)</f>
        <v>1226170</v>
      </c>
      <c r="E16" s="5"/>
      <c r="F16" s="5" t="str">
        <f>IFERROR(__xludf.DUMMYFUNCTION("""COMPUTED_VALUE"""),"DB")</f>
        <v>DB</v>
      </c>
      <c r="G16" s="5">
        <f>IFERROR(__xludf.DUMMYFUNCTION("""COMPUTED_VALUE"""),5.444771053299999E8)</f>
        <v>544477105.3</v>
      </c>
      <c r="H16" s="5"/>
      <c r="I16" s="5" t="str">
        <f>IFERROR(__xludf.DUMMYFUNCTION("""COMPUTED_VALUE"""),"PRIBADI")</f>
        <v>PRIBADI</v>
      </c>
    </row>
    <row r="17">
      <c r="A17" s="9">
        <f>IFERROR(__xludf.DUMMYFUNCTION("""COMPUTED_VALUE"""),46142.0)</f>
        <v>46142</v>
      </c>
      <c r="B17" s="5" t="str">
        <f>IFERROR(__xludf.DUMMYFUNCTION("""COMPUTED_VALUE"""),"TRSF E-BANKING DB")</f>
        <v>TRSF E-BANKING DB</v>
      </c>
      <c r="C17" s="5" t="str">
        <f>IFERROR(__xludf.DUMMYFUNCTION("""COMPUTED_VALUE"""),"3004/FTSCY/WS95031 46667340.00 Tue Apr 28 2026 14:00:00 GMT+0700 (Western Indonesia Time) BINTANG TAMA SANTO")</f>
        <v>3004/FTSCY/WS95031 46667340.00 Tue Apr 28 2026 14:00:00 GMT+0700 (Western Indonesia Time) BINTANG TAMA SANTO</v>
      </c>
      <c r="D17" s="5">
        <f>IFERROR(__xludf.DUMMYFUNCTION("""COMPUTED_VALUE"""),4.666734E7)</f>
        <v>46667340</v>
      </c>
      <c r="E17" s="5"/>
      <c r="F17" s="5" t="str">
        <f>IFERROR(__xludf.DUMMYFUNCTION("""COMPUTED_VALUE"""),"DB")</f>
        <v>DB</v>
      </c>
      <c r="G17" s="5">
        <f>IFERROR(__xludf.DUMMYFUNCTION("""COMPUTED_VALUE"""),4.978097653299999E8)</f>
        <v>497809765.3</v>
      </c>
      <c r="H17" s="5"/>
      <c r="I17" s="5" t="str">
        <f>IFERROR(__xludf.DUMMYFUNCTION("""COMPUTED_VALUE"""),"PRIBADI")</f>
        <v>PRIBADI</v>
      </c>
    </row>
    <row r="18">
      <c r="A18" s="9">
        <f>IFERROR(__xludf.DUMMYFUNCTION("""COMPUTED_VALUE"""),46142.0)</f>
        <v>46142</v>
      </c>
      <c r="B18" s="5" t="str">
        <f>IFERROR(__xludf.DUMMYFUNCTION("""COMPUTED_VALUE"""),"TRSF E-BANKING DB")</f>
        <v>TRSF E-BANKING DB</v>
      </c>
      <c r="C18" s="5" t="str">
        <f>IFERROR(__xludf.DUMMYFUNCTION("""COMPUTED_VALUE"""),"3004/FTSCY/WS95271 71300700.00 Tue Apr 28 2026 14:00:00 GMT+0700 (Western Indonesia Time) GANESHA SATRIA NUS")</f>
        <v>3004/FTSCY/WS95271 71300700.00 Tue Apr 28 2026 14:00:00 GMT+0700 (Western Indonesia Time) GANESHA SATRIA NUS</v>
      </c>
      <c r="D18" s="5">
        <f>IFERROR(__xludf.DUMMYFUNCTION("""COMPUTED_VALUE"""),7.13007E7)</f>
        <v>71300700</v>
      </c>
      <c r="E18" s="5"/>
      <c r="F18" s="5" t="str">
        <f>IFERROR(__xludf.DUMMYFUNCTION("""COMPUTED_VALUE"""),"DB")</f>
        <v>DB</v>
      </c>
      <c r="G18" s="5">
        <f>IFERROR(__xludf.DUMMYFUNCTION("""COMPUTED_VALUE"""),4.265090653299999E8)</f>
        <v>426509065.3</v>
      </c>
      <c r="H18" s="5"/>
      <c r="I18" s="5" t="str">
        <f>IFERROR(__xludf.DUMMYFUNCTION("""COMPUTED_VALUE"""),"PRIBADI")</f>
        <v>PRIBADI</v>
      </c>
    </row>
    <row r="19">
      <c r="A19" s="9">
        <f>IFERROR(__xludf.DUMMYFUNCTION("""COMPUTED_VALUE"""),46142.0)</f>
        <v>46142</v>
      </c>
      <c r="B19" s="5" t="str">
        <f>IFERROR(__xludf.DUMMYFUNCTION("""COMPUTED_VALUE"""),"TRSF E-BANKING DB")</f>
        <v>TRSF E-BANKING DB</v>
      </c>
      <c r="C19" s="5" t="str">
        <f>IFERROR(__xludf.DUMMYFUNCTION("""COMPUTED_VALUE"""),"3004/FTSCY/WS95271 95961600.00 Tue Apr 28 2026 14:00:00 GMT+0700 (Western Indonesia Time) SUPER UNGGAS JAYA")</f>
        <v>3004/FTSCY/WS95271 95961600.00 Tue Apr 28 2026 14:00:00 GMT+0700 (Western Indonesia Time) SUPER UNGGAS JAYA</v>
      </c>
      <c r="D19" s="5">
        <f>IFERROR(__xludf.DUMMYFUNCTION("""COMPUTED_VALUE"""),9.59616E7)</f>
        <v>95961600</v>
      </c>
      <c r="E19" s="5"/>
      <c r="F19" s="5" t="str">
        <f>IFERROR(__xludf.DUMMYFUNCTION("""COMPUTED_VALUE"""),"DB")</f>
        <v>DB</v>
      </c>
      <c r="G19" s="5">
        <f>IFERROR(__xludf.DUMMYFUNCTION("""COMPUTED_VALUE"""),3.305474653299999E8)</f>
        <v>330547465.3</v>
      </c>
      <c r="H19" s="5">
        <f>IFERROR(__xludf.DUMMYFUNCTION("""COMPUTED_VALUE"""),3.3054746533E8)</f>
        <v>330547465.3</v>
      </c>
      <c r="I19" s="5" t="str">
        <f>IFERROR(__xludf.DUMMYFUNCTION("""COMPUTED_VALUE"""),"PRIBADI")</f>
        <v>PRIBADI</v>
      </c>
    </row>
    <row r="20">
      <c r="A20" s="9">
        <f>IFERROR(__xludf.DUMMYFUNCTION("""COMPUTED_VALUE"""),46142.0)</f>
        <v>46142</v>
      </c>
      <c r="B20" s="5" t="str">
        <f>IFERROR(__xludf.DUMMYFUNCTION("""COMPUTED_VALUE"""),"TRSF E-BANKING DB")</f>
        <v>TRSF E-BANKING DB</v>
      </c>
      <c r="C20" s="5" t="str">
        <f>IFERROR(__xludf.DUMMYFUNCTION("""COMPUTED_VALUE"""),"3004/FTFVA/WS95031 55569/PT PRIMA FAJ mlg 3 ton - 40190")</f>
        <v>3004/FTFVA/WS95031 55569/PT PRIMA FAJ mlg 3 ton - 40190</v>
      </c>
      <c r="D20" s="5">
        <f>IFERROR(__xludf.DUMMYFUNCTION("""COMPUTED_VALUE"""),4.8E7)</f>
        <v>48000000</v>
      </c>
      <c r="E20" s="5"/>
      <c r="F20" s="5" t="str">
        <f>IFERROR(__xludf.DUMMYFUNCTION("""COMPUTED_VALUE"""),"DB")</f>
        <v>DB</v>
      </c>
      <c r="G20" s="5">
        <f>IFERROR(__xludf.DUMMYFUNCTION("""COMPUTED_VALUE"""),2.807481853299999E8)</f>
        <v>280748185.3</v>
      </c>
      <c r="H20" s="5"/>
      <c r="I20" s="5" t="str">
        <f>IFERROR(__xludf.DUMMYFUNCTION("""COMPUTED_VALUE"""),"PRIBADI")</f>
        <v>PRIBADI</v>
      </c>
    </row>
    <row r="21">
      <c r="A21" s="9">
        <f>IFERROR(__xludf.DUMMYFUNCTION("""COMPUTED_VALUE"""),46142.0)</f>
        <v>46142</v>
      </c>
      <c r="B21" s="5" t="str">
        <f>IFERROR(__xludf.DUMMYFUNCTION("""COMPUTED_VALUE"""),"DR KOREKSI BUNGA")</f>
        <v>DR KOREKSI BUNGA</v>
      </c>
      <c r="C21" s="5" t="str">
        <f>IFERROR(__xludf.DUMMYFUNCTION("""COMPUTED_VALUE"""),"DR KOREKSI BUNGA")</f>
        <v>DR KOREKSI BUNGA</v>
      </c>
      <c r="D21" s="5">
        <f>IFERROR(__xludf.DUMMYFUNCTION("""COMPUTED_VALUE"""),0.12)</f>
        <v>0.12</v>
      </c>
      <c r="E21" s="5"/>
      <c r="F21" s="5"/>
      <c r="G21" s="5">
        <f>IFERROR(__xludf.DUMMYFUNCTION("""COMPUTED_VALUE"""),1.5281860520999992E8)</f>
        <v>152818605.2</v>
      </c>
      <c r="H21" s="5"/>
      <c r="I21" s="5" t="str">
        <f>IFERROR(__xludf.DUMMYFUNCTION("""COMPUTED_VALUE"""),"PRIBADI")</f>
        <v>PRIBADI</v>
      </c>
    </row>
    <row r="22">
      <c r="A22" s="9">
        <f>IFERROR(__xludf.DUMMYFUNCTION("""COMPUTED_VALUE"""),46142.0)</f>
        <v>46142</v>
      </c>
      <c r="B22" s="5" t="str">
        <f>IFERROR(__xludf.DUMMYFUNCTION("""COMPUTED_VALUE"""),"BUNGA")</f>
        <v>BUNGA</v>
      </c>
      <c r="C22" s="5" t="str">
        <f>IFERROR(__xludf.DUMMYFUNCTION("""COMPUTED_VALUE"""),"BUNGA")</f>
        <v>BUNGA</v>
      </c>
      <c r="D22" s="5">
        <f>IFERROR(__xludf.DUMMYFUNCTION("""COMPUTED_VALUE"""),768.4)</f>
        <v>768.4</v>
      </c>
      <c r="E22" s="5"/>
      <c r="F22" s="5"/>
      <c r="G22" s="5">
        <f>IFERROR(__xludf.DUMMYFUNCTION("""COMPUTED_VALUE"""),1.528178368099999E8)</f>
        <v>152817836.8</v>
      </c>
      <c r="H22" s="5"/>
      <c r="I22" s="5" t="str">
        <f>IFERROR(__xludf.DUMMYFUNCTION("""COMPUTED_VALUE"""),"PRIBADI")</f>
        <v>PRIBADI</v>
      </c>
    </row>
    <row r="23">
      <c r="A23" s="9">
        <f>IFERROR(__xludf.DUMMYFUNCTION("""COMPUTED_VALUE"""),46142.0)</f>
        <v>46142</v>
      </c>
      <c r="B23" s="5" t="str">
        <f>IFERROR(__xludf.DUMMYFUNCTION("""COMPUTED_VALUE"""),"PAJAK BUNGA")</f>
        <v>PAJAK BUNGA</v>
      </c>
      <c r="C23" s="5" t="str">
        <f>IFERROR(__xludf.DUMMYFUNCTION("""COMPUTED_VALUE""")," SALDO AWAL : MUTASI CR : MUTASI DB : SALDO AKHIR :")</f>
        <v> SALDO AWAL : MUTASI CR : MUTASI DB : SALDO AKHIR :</v>
      </c>
      <c r="D23" s="5">
        <f>IFERROR(__xludf.DUMMYFUNCTION("""COMPUTED_VALUE"""),153.66)</f>
        <v>153.66</v>
      </c>
      <c r="E23" s="5"/>
      <c r="F23" s="5"/>
      <c r="G23" s="5">
        <f>IFERROR(__xludf.DUMMYFUNCTION("""COMPUTED_VALUE"""),1.5281768314999992E8)</f>
        <v>152817683.2</v>
      </c>
      <c r="H23" s="5">
        <f>IFERROR(__xludf.DUMMYFUNCTION("""COMPUTED_VALUE"""),1.5281921995E8)</f>
        <v>152819220</v>
      </c>
      <c r="I23" s="5" t="str">
        <f>IFERROR(__xludf.DUMMYFUNCTION("""COMPUTED_VALUE"""),"PRIBADI")</f>
        <v>PRIBADI</v>
      </c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>
        <f>IFERROR(__xludf.DUMMYFUNCTION("IFERROR(QUERY(APR_2023!A:I, ""SELECT * WHERE D IS NOT NULL AND UPPER(I) = 'PRODUKSI'"", 1), ""Data PRODUKSI belum ditemukan"")"),46113.0)</f>
        <v>46113</v>
      </c>
      <c r="B1" s="5" t="str">
        <f>IFERROR(__xludf.DUMMYFUNCTION("""COMPUTED_VALUE"""),"TRSF E-BANKING DB")</f>
        <v>TRSF E-BANKING DB</v>
      </c>
      <c r="C1" s="5" t="str">
        <f>IFERROR(__xludf.DUMMYFUNCTION("""COMPUTED_VALUE"""),"0104/FTSCY/WS95271 50483500.00 kd wahyu soma t.ga lek BINTANG TAMA SANTO")</f>
        <v>0104/FTSCY/WS95271 50483500.00 kd wahyu soma t.ga lek BINTANG TAMA SANTO</v>
      </c>
      <c r="D1" s="5">
        <f>IFERROR(__xludf.DUMMYFUNCTION("""COMPUTED_VALUE"""),5.04835E7)</f>
        <v>50483500</v>
      </c>
      <c r="E1" s="5"/>
      <c r="F1" s="5" t="str">
        <f>IFERROR(__xludf.DUMMYFUNCTION("""COMPUTED_VALUE"""),"DB")</f>
        <v>DB</v>
      </c>
      <c r="G1" s="5">
        <f>IFERROR(__xludf.DUMMYFUNCTION("""COMPUTED_VALUE"""),3.7926431933E8)</f>
        <v>379264319.3</v>
      </c>
      <c r="H1" s="5"/>
      <c r="I1" s="5" t="str">
        <f>IFERROR(__xludf.DUMMYFUNCTION("""COMPUTED_VALUE"""),"PRODUKSI")</f>
        <v>PRODUKSI</v>
      </c>
      <c r="J1" s="12">
        <f>SUM(D1:D1000)</f>
        <v>3460655480</v>
      </c>
    </row>
    <row r="2">
      <c r="A2" s="9">
        <f>IFERROR(__xludf.DUMMYFUNCTION("""COMPUTED_VALUE"""),46113.0)</f>
        <v>46113</v>
      </c>
      <c r="B2" s="5" t="str">
        <f>IFERROR(__xludf.DUMMYFUNCTION("""COMPUTED_VALUE"""),"TRSF E-BANKING DB")</f>
        <v>TRSF E-BANKING DB</v>
      </c>
      <c r="C2" s="5" t="str">
        <f>IFERROR(__xludf.DUMMYFUNCTION("""COMPUTED_VALUE"""),"0104/FTSCY/WS95271 49303800.00 kd mini kdr BINTANG TAMA SANTO")</f>
        <v>0104/FTSCY/WS95271 49303800.00 kd mini kdr BINTANG TAMA SANTO</v>
      </c>
      <c r="D2" s="5">
        <f>IFERROR(__xludf.DUMMYFUNCTION("""COMPUTED_VALUE"""),4.93038E7)</f>
        <v>49303800</v>
      </c>
      <c r="E2" s="5"/>
      <c r="F2" s="5" t="str">
        <f>IFERROR(__xludf.DUMMYFUNCTION("""COMPUTED_VALUE"""),"DB")</f>
        <v>DB</v>
      </c>
      <c r="G2" s="5">
        <f>IFERROR(__xludf.DUMMYFUNCTION("""COMPUTED_VALUE"""),3.2996051933E8)</f>
        <v>329960519.3</v>
      </c>
      <c r="H2" s="5"/>
      <c r="I2" s="5" t="str">
        <f>IFERROR(__xludf.DUMMYFUNCTION("""COMPUTED_VALUE"""),"PRODUKSI")</f>
        <v>PRODUKSI</v>
      </c>
    </row>
    <row r="3">
      <c r="A3" s="9">
        <f>IFERROR(__xludf.DUMMYFUNCTION("""COMPUTED_VALUE"""),46113.0)</f>
        <v>46113</v>
      </c>
      <c r="B3" s="5" t="str">
        <f>IFERROR(__xludf.DUMMYFUNCTION("""COMPUTED_VALUE"""),"TRSF E-BANKING DB")</f>
        <v>TRSF E-BANKING DB</v>
      </c>
      <c r="C3" s="5" t="str">
        <f>IFERROR(__xludf.DUMMYFUNCTION("""COMPUTED_VALUE"""),"0104/FTSCY/WS95031 2219760.00 SUNARTO")</f>
        <v>0104/FTSCY/WS95031 2219760.00 SUNARTO</v>
      </c>
      <c r="D3" s="5">
        <f>IFERROR(__xludf.DUMMYFUNCTION("""COMPUTED_VALUE"""),2219760.0)</f>
        <v>2219760</v>
      </c>
      <c r="E3" s="5"/>
      <c r="F3" s="5" t="str">
        <f>IFERROR(__xludf.DUMMYFUNCTION("""COMPUTED_VALUE"""),"DB")</f>
        <v>DB</v>
      </c>
      <c r="G3" s="5">
        <f>IFERROR(__xludf.DUMMYFUNCTION("""COMPUTED_VALUE"""),4.7647055933E8)</f>
        <v>476470559.3</v>
      </c>
      <c r="H3" s="5">
        <f>IFERROR(__xludf.DUMMYFUNCTION("""COMPUTED_VALUE"""),4.7647055933E8)</f>
        <v>476470559.3</v>
      </c>
      <c r="I3" s="5" t="str">
        <f>IFERROR(__xludf.DUMMYFUNCTION("""COMPUTED_VALUE"""),"PRODUKSI")</f>
        <v>PRODUKSI</v>
      </c>
    </row>
    <row r="4">
      <c r="A4" s="9">
        <f>IFERROR(__xludf.DUMMYFUNCTION("""COMPUTED_VALUE"""),46114.0)</f>
        <v>46114</v>
      </c>
      <c r="B4" s="5" t="str">
        <f>IFERROR(__xludf.DUMMYFUNCTION("""COMPUTED_VALUE"""),"TRSF E-BANKING DB TANGGAL :01/04")</f>
        <v>TRSF E-BANKING DB TANGGAL :01/04</v>
      </c>
      <c r="C4" s="5" t="str">
        <f>IFERROR(__xludf.DUMMYFUNCTION("""COMPUTED_VALUE"""),"0104/FTSCY/WS95271 Mon Mar 30 2026 14:00:00 GMT+0700 (Western Indonesia Time) ANDALAN YASA MITRA")</f>
        <v>0104/FTSCY/WS95271 Mon Mar 30 2026 14:00:00 GMT+0700 (Western Indonesia Time) ANDALAN YASA MITRA</v>
      </c>
      <c r="D4" s="5">
        <f>IFERROR(__xludf.DUMMYFUNCTION("""COMPUTED_VALUE"""),4.8176E7)</f>
        <v>48176000</v>
      </c>
      <c r="E4" s="5"/>
      <c r="F4" s="5" t="str">
        <f>IFERROR(__xludf.DUMMYFUNCTION("""COMPUTED_VALUE"""),"DB")</f>
        <v>DB</v>
      </c>
      <c r="G4" s="5">
        <f>IFERROR(__xludf.DUMMYFUNCTION("""COMPUTED_VALUE"""),4.2829455933E8)</f>
        <v>428294559.3</v>
      </c>
      <c r="H4" s="5"/>
      <c r="I4" s="5" t="str">
        <f>IFERROR(__xludf.DUMMYFUNCTION("""COMPUTED_VALUE"""),"PRODUKSI")</f>
        <v>PRODUKSI</v>
      </c>
    </row>
    <row r="5">
      <c r="A5" s="9">
        <f>IFERROR(__xludf.DUMMYFUNCTION("""COMPUTED_VALUE"""),46114.0)</f>
        <v>46114</v>
      </c>
      <c r="B5" s="5" t="str">
        <f>IFERROR(__xludf.DUMMYFUNCTION("""COMPUTED_VALUE"""),"TRSF E-BANKING DB TANGGAL :01/04")</f>
        <v>TRSF E-BANKING DB TANGGAL :01/04</v>
      </c>
      <c r="C5" s="5" t="str">
        <f>IFERROR(__xludf.DUMMYFUNCTION("""COMPUTED_VALUE"""),"0104/FTSCY/WS95271 Mon Mar 30 2026 14:00:00 GMT+0700 (Western Indonesia Time) BINTANG TAMA SANTO")</f>
        <v>0104/FTSCY/WS95271 Mon Mar 30 2026 14:00:00 GMT+0700 (Western Indonesia Time) BINTANG TAMA SANTO</v>
      </c>
      <c r="D5" s="5">
        <f>IFERROR(__xludf.DUMMYFUNCTION("""COMPUTED_VALUE"""),4.710942E7)</f>
        <v>47109420</v>
      </c>
      <c r="E5" s="5"/>
      <c r="F5" s="5" t="str">
        <f>IFERROR(__xludf.DUMMYFUNCTION("""COMPUTED_VALUE"""),"DB")</f>
        <v>DB</v>
      </c>
      <c r="G5" s="5">
        <f>IFERROR(__xludf.DUMMYFUNCTION("""COMPUTED_VALUE"""),3.8118513933E8)</f>
        <v>381185139.3</v>
      </c>
      <c r="H5" s="5"/>
      <c r="I5" s="5" t="str">
        <f>IFERROR(__xludf.DUMMYFUNCTION("""COMPUTED_VALUE"""),"PRODUKSI")</f>
        <v>PRODUKSI</v>
      </c>
    </row>
    <row r="6">
      <c r="A6" s="9">
        <f>IFERROR(__xludf.DUMMYFUNCTION("""COMPUTED_VALUE"""),46114.0)</f>
        <v>46114</v>
      </c>
      <c r="B6" s="5" t="str">
        <f>IFERROR(__xludf.DUMMYFUNCTION("""COMPUTED_VALUE"""),"TRSF E-BANKING DB TANGGAL :01/04")</f>
        <v>TRSF E-BANKING DB TANGGAL :01/04</v>
      </c>
      <c r="C6" s="5" t="str">
        <f>IFERROR(__xludf.DUMMYFUNCTION("""COMPUTED_VALUE"""),"0104/FTSCY/WS95011 Mon Mar 30 2026 14:00:00 GMT+0700 (Western Indonesia Time) SUPER UNGGAS JAYA")</f>
        <v>0104/FTSCY/WS95011 Mon Mar 30 2026 14:00:00 GMT+0700 (Western Indonesia Time) SUPER UNGGAS JAYA</v>
      </c>
      <c r="D6" s="5">
        <f>IFERROR(__xludf.DUMMYFUNCTION("""COMPUTED_VALUE"""),1.333E8)</f>
        <v>133300000</v>
      </c>
      <c r="E6" s="5"/>
      <c r="F6" s="5" t="str">
        <f>IFERROR(__xludf.DUMMYFUNCTION("""COMPUTED_VALUE"""),"DB")</f>
        <v>DB</v>
      </c>
      <c r="G6" s="5">
        <f>IFERROR(__xludf.DUMMYFUNCTION("""COMPUTED_VALUE"""),2.4788513932999998E8)</f>
        <v>247885139.3</v>
      </c>
      <c r="H6" s="5"/>
      <c r="I6" s="5" t="str">
        <f>IFERROR(__xludf.DUMMYFUNCTION("""COMPUTED_VALUE"""),"PRODUKSI")</f>
        <v>PRODUKSI</v>
      </c>
    </row>
    <row r="7">
      <c r="A7" s="9">
        <f>IFERROR(__xludf.DUMMYFUNCTION("""COMPUTED_VALUE"""),46114.0)</f>
        <v>46114</v>
      </c>
      <c r="B7" s="5" t="str">
        <f>IFERROR(__xludf.DUMMYFUNCTION("""COMPUTED_VALUE"""),"TRSF E-BANKING DB TANGGAL :01/04")</f>
        <v>TRSF E-BANKING DB TANGGAL :01/04</v>
      </c>
      <c r="C7" s="5" t="str">
        <f>IFERROR(__xludf.DUMMYFUNCTION("""COMPUTED_VALUE"""),"0104/FTSCY/WS95011 Tue Mar 31 2026 14:00:00 GMT+0700 (Western Indonesia Time) LAJU SATWA WISESA")</f>
        <v>0104/FTSCY/WS95011 Tue Mar 31 2026 14:00:00 GMT+0700 (Western Indonesia Time) LAJU SATWA WISESA</v>
      </c>
      <c r="D7" s="5">
        <f>IFERROR(__xludf.DUMMYFUNCTION("""COMPUTED_VALUE"""),1.085248E8)</f>
        <v>108524800</v>
      </c>
      <c r="E7" s="5"/>
      <c r="F7" s="5" t="str">
        <f>IFERROR(__xludf.DUMMYFUNCTION("""COMPUTED_VALUE"""),"DB")</f>
        <v>DB</v>
      </c>
      <c r="G7" s="5">
        <f>IFERROR(__xludf.DUMMYFUNCTION("""COMPUTED_VALUE"""),1.3936033932999998E8)</f>
        <v>139360339.3</v>
      </c>
      <c r="H7" s="5"/>
      <c r="I7" s="5" t="str">
        <f>IFERROR(__xludf.DUMMYFUNCTION("""COMPUTED_VALUE"""),"PRODUKSI")</f>
        <v>PRODUKSI</v>
      </c>
    </row>
    <row r="8">
      <c r="A8" s="9">
        <f>IFERROR(__xludf.DUMMYFUNCTION("""COMPUTED_VALUE"""),46114.0)</f>
        <v>46114</v>
      </c>
      <c r="B8" s="5" t="str">
        <f>IFERROR(__xludf.DUMMYFUNCTION("""COMPUTED_VALUE"""),"TRSF E-BANKING DB TANGGAL :01/04")</f>
        <v>TRSF E-BANKING DB TANGGAL :01/04</v>
      </c>
      <c r="C8" s="5" t="str">
        <f>IFERROR(__xludf.DUMMYFUNCTION("""COMPUTED_VALUE"""),"0104/FTSCY/WS95011 31/03 krg 50 jt ANDALAN YASA MITRA")</f>
        <v>0104/FTSCY/WS95011 31/03 krg 50 jt ANDALAN YASA MITRA</v>
      </c>
      <c r="D8" s="5">
        <f>IFERROR(__xludf.DUMMYFUNCTION("""COMPUTED_VALUE"""),1.1724E7)</f>
        <v>11724000</v>
      </c>
      <c r="E8" s="5"/>
      <c r="F8" s="5" t="str">
        <f>IFERROR(__xludf.DUMMYFUNCTION("""COMPUTED_VALUE"""),"DB")</f>
        <v>DB</v>
      </c>
      <c r="G8" s="5">
        <f>IFERROR(__xludf.DUMMYFUNCTION("""COMPUTED_VALUE"""),3.593633932999998E7)</f>
        <v>35936339.33</v>
      </c>
      <c r="H8" s="5"/>
      <c r="I8" s="5" t="str">
        <f>IFERROR(__xludf.DUMMYFUNCTION("""COMPUTED_VALUE"""),"PRODUKSI")</f>
        <v>PRODUKSI</v>
      </c>
    </row>
    <row r="9">
      <c r="A9" s="9">
        <f>IFERROR(__xludf.DUMMYFUNCTION("""COMPUTED_VALUE"""),46114.0)</f>
        <v>46114</v>
      </c>
      <c r="B9" s="5" t="str">
        <f>IFERROR(__xludf.DUMMYFUNCTION("""COMPUTED_VALUE"""),"TRSF E-BANKING DB")</f>
        <v>TRSF E-BANKING DB</v>
      </c>
      <c r="C9" s="5" t="str">
        <f>IFERROR(__xludf.DUMMYFUNCTION("""COMPUTED_VALUE"""),"0204/FTSCY/WS95031 300000.00 tot. titip 9.3 SANDI FAJAR PRASET")</f>
        <v>0204/FTSCY/WS95031 300000.00 tot. titip 9.3 SANDI FAJAR PRASET</v>
      </c>
      <c r="D9" s="5">
        <f>IFERROR(__xludf.DUMMYFUNCTION("""COMPUTED_VALUE"""),300000.0)</f>
        <v>300000</v>
      </c>
      <c r="E9" s="5"/>
      <c r="F9" s="5" t="str">
        <f>IFERROR(__xludf.DUMMYFUNCTION("""COMPUTED_VALUE"""),"DB")</f>
        <v>DB</v>
      </c>
      <c r="G9" s="5">
        <f>IFERROR(__xludf.DUMMYFUNCTION("""COMPUTED_VALUE"""),2.2002459329999983E7)</f>
        <v>22002459.33</v>
      </c>
      <c r="H9" s="5">
        <f>IFERROR(__xludf.DUMMYFUNCTION("""COMPUTED_VALUE"""),2.200245933E7)</f>
        <v>22002459.33</v>
      </c>
      <c r="I9" s="5" t="str">
        <f>IFERROR(__xludf.DUMMYFUNCTION("""COMPUTED_VALUE"""),"PRODUKSI")</f>
        <v>PRODUKSI</v>
      </c>
    </row>
    <row r="10">
      <c r="A10" s="9">
        <f>IFERROR(__xludf.DUMMYFUNCTION("""COMPUTED_VALUE"""),46114.0)</f>
        <v>46114</v>
      </c>
      <c r="B10" s="5" t="str">
        <f>IFERROR(__xludf.DUMMYFUNCTION("""COMPUTED_VALUE"""),"TRSF E-BANKING DB")</f>
        <v>TRSF E-BANKING DB</v>
      </c>
      <c r="C10" s="5" t="str">
        <f>IFERROR(__xludf.DUMMYFUNCTION("""COMPUTED_VALUE"""),"0204/FTSCY/WS95031 15000000.00 EKO SETIYAWAN")</f>
        <v>0204/FTSCY/WS95031 15000000.00 EKO SETIYAWAN</v>
      </c>
      <c r="D10" s="5">
        <f>IFERROR(__xludf.DUMMYFUNCTION("""COMPUTED_VALUE"""),1.5E7)</f>
        <v>15000000</v>
      </c>
      <c r="E10" s="5"/>
      <c r="F10" s="5" t="str">
        <f>IFERROR(__xludf.DUMMYFUNCTION("""COMPUTED_VALUE"""),"DB")</f>
        <v>DB</v>
      </c>
      <c r="G10" s="5">
        <f>IFERROR(__xludf.DUMMYFUNCTION("""COMPUTED_VALUE"""),7002459.329999983)</f>
        <v>7002459.33</v>
      </c>
      <c r="H10" s="5"/>
      <c r="I10" s="5" t="str">
        <f>IFERROR(__xludf.DUMMYFUNCTION("""COMPUTED_VALUE"""),"PRODUKSI")</f>
        <v>PRODUKSI</v>
      </c>
    </row>
    <row r="11">
      <c r="A11" s="9">
        <f>IFERROR(__xludf.DUMMYFUNCTION("""COMPUTED_VALUE"""),46115.0)</f>
        <v>46115</v>
      </c>
      <c r="B11" s="5" t="str">
        <f>IFERROR(__xludf.DUMMYFUNCTION("""COMPUTED_VALUE"""),"TRSF E-BANKING DB")</f>
        <v>TRSF E-BANKING DB</v>
      </c>
      <c r="C11" s="5" t="str">
        <f>IFERROR(__xludf.DUMMYFUNCTION("""COMPUTED_VALUE"""),"0304/FTSCY/WS95031 4276400.00 HERMAWAN")</f>
        <v>0304/FTSCY/WS95031 4276400.00 HERMAWAN</v>
      </c>
      <c r="D11" s="5">
        <f>IFERROR(__xludf.DUMMYFUNCTION("""COMPUTED_VALUE"""),4276400.0)</f>
        <v>4276400</v>
      </c>
      <c r="E11" s="5"/>
      <c r="F11" s="5" t="str">
        <f>IFERROR(__xludf.DUMMYFUNCTION("""COMPUTED_VALUE"""),"DB")</f>
        <v>DB</v>
      </c>
      <c r="G11" s="5">
        <f>IFERROR(__xludf.DUMMYFUNCTION("""COMPUTED_VALUE"""),6.965599932999998E7)</f>
        <v>69655999.33</v>
      </c>
      <c r="H11" s="5"/>
      <c r="I11" s="5" t="str">
        <f>IFERROR(__xludf.DUMMYFUNCTION("""COMPUTED_VALUE"""),"PRODUKSI")</f>
        <v>PRODUKSI</v>
      </c>
    </row>
    <row r="12">
      <c r="A12" s="9">
        <f>IFERROR(__xludf.DUMMYFUNCTION("""COMPUTED_VALUE"""),46115.0)</f>
        <v>46115</v>
      </c>
      <c r="B12" s="5" t="str">
        <f>IFERROR(__xludf.DUMMYFUNCTION("""COMPUTED_VALUE"""),"TRSF E-BANKING DB")</f>
        <v>TRSF E-BANKING DB</v>
      </c>
      <c r="C12" s="5" t="str">
        <f>IFERROR(__xludf.DUMMYFUNCTION("""COMPUTED_VALUE"""),"0304/FTSCY/WS95271 151288800.00 Tue Mar 31 2026 14:00:00 GMT+0700 (Western Indonesia Time) ANDALAN YASA MITRA")</f>
        <v>0304/FTSCY/WS95271 151288800.00 Tue Mar 31 2026 14:00:00 GMT+0700 (Western Indonesia Time) ANDALAN YASA MITRA</v>
      </c>
      <c r="D12" s="5">
        <f>IFERROR(__xludf.DUMMYFUNCTION("""COMPUTED_VALUE"""),1.512888E8)</f>
        <v>151288800</v>
      </c>
      <c r="E12" s="5"/>
      <c r="F12" s="5" t="str">
        <f>IFERROR(__xludf.DUMMYFUNCTION("""COMPUTED_VALUE"""),"DB")</f>
        <v>DB</v>
      </c>
      <c r="G12" s="5">
        <f>IFERROR(__xludf.DUMMYFUNCTION("""COMPUTED_VALUE"""),2.6702615932999998E8)</f>
        <v>267026159.3</v>
      </c>
      <c r="H12" s="5"/>
      <c r="I12" s="5" t="str">
        <f>IFERROR(__xludf.DUMMYFUNCTION("""COMPUTED_VALUE"""),"PRODUKSI")</f>
        <v>PRODUKSI</v>
      </c>
    </row>
    <row r="13">
      <c r="A13" s="9">
        <f>IFERROR(__xludf.DUMMYFUNCTION("""COMPUTED_VALUE"""),46115.0)</f>
        <v>46115</v>
      </c>
      <c r="B13" s="5" t="str">
        <f>IFERROR(__xludf.DUMMYFUNCTION("""COMPUTED_VALUE"""),"TRSF E-BANKING DB")</f>
        <v>TRSF E-BANKING DB</v>
      </c>
      <c r="C13" s="5" t="str">
        <f>IFERROR(__xludf.DUMMYFUNCTION("""COMPUTED_VALUE"""),"0304/FTSCY/WS95271 50000000.00 pelunasan ANDALAN YASA MITRA")</f>
        <v>0304/FTSCY/WS95271 50000000.00 pelunasan ANDALAN YASA MITRA</v>
      </c>
      <c r="D13" s="5">
        <f>IFERROR(__xludf.DUMMYFUNCTION("""COMPUTED_VALUE"""),5.0E7)</f>
        <v>50000000</v>
      </c>
      <c r="E13" s="5"/>
      <c r="F13" s="5" t="str">
        <f>IFERROR(__xludf.DUMMYFUNCTION("""COMPUTED_VALUE"""),"DB")</f>
        <v>DB</v>
      </c>
      <c r="G13" s="5">
        <f>IFERROR(__xludf.DUMMYFUNCTION("""COMPUTED_VALUE"""),1.1084077932999998E8)</f>
        <v>110840779.3</v>
      </c>
      <c r="H13" s="5">
        <f>IFERROR(__xludf.DUMMYFUNCTION("""COMPUTED_VALUE"""),1.1084077933E8)</f>
        <v>110840779.3</v>
      </c>
      <c r="I13" s="5" t="str">
        <f>IFERROR(__xludf.DUMMYFUNCTION("""COMPUTED_VALUE"""),"PRODUKSI")</f>
        <v>PRODUKSI</v>
      </c>
    </row>
    <row r="14">
      <c r="A14" s="9">
        <f>IFERROR(__xludf.DUMMYFUNCTION("""COMPUTED_VALUE"""),46115.0)</f>
        <v>46115</v>
      </c>
      <c r="B14" s="5" t="str">
        <f>IFERROR(__xludf.DUMMYFUNCTION("""COMPUTED_VALUE"""),"TRSF E-BANKING DB")</f>
        <v>TRSF E-BANKING DB</v>
      </c>
      <c r="C14" s="5" t="str">
        <f>IFERROR(__xludf.DUMMYFUNCTION("""COMPUTED_VALUE"""),"0304/FTSCY/WS95271 47137500.00 Tue Mar 31 2026 14:00:00 GMT+0700 (Western Indonesia Time) SUPER UNGGAS JAYA")</f>
        <v>0304/FTSCY/WS95271 47137500.00 Tue Mar 31 2026 14:00:00 GMT+0700 (Western Indonesia Time) SUPER UNGGAS JAYA</v>
      </c>
      <c r="D14" s="5">
        <f>IFERROR(__xludf.DUMMYFUNCTION("""COMPUTED_VALUE"""),4.71375E7)</f>
        <v>47137500</v>
      </c>
      <c r="E14" s="5"/>
      <c r="F14" s="5" t="str">
        <f>IFERROR(__xludf.DUMMYFUNCTION("""COMPUTED_VALUE"""),"DB")</f>
        <v>DB</v>
      </c>
      <c r="G14" s="5">
        <f>IFERROR(__xludf.DUMMYFUNCTION("""COMPUTED_VALUE"""),6.370327932999998E7)</f>
        <v>63703279.33</v>
      </c>
      <c r="H14" s="5">
        <f>IFERROR(__xludf.DUMMYFUNCTION("""COMPUTED_VALUE"""),6.370327933E7)</f>
        <v>63703279.33</v>
      </c>
      <c r="I14" s="5" t="str">
        <f>IFERROR(__xludf.DUMMYFUNCTION("""COMPUTED_VALUE"""),"PRODUKSI")</f>
        <v>PRODUKSI</v>
      </c>
    </row>
    <row r="15">
      <c r="A15" s="9">
        <f>IFERROR(__xludf.DUMMYFUNCTION("""COMPUTED_VALUE"""),46115.0)</f>
        <v>46115</v>
      </c>
      <c r="B15" s="5" t="str">
        <f>IFERROR(__xludf.DUMMYFUNCTION("""COMPUTED_VALUE"""),"TRSF E-BANKING DB")</f>
        <v>TRSF E-BANKING DB</v>
      </c>
      <c r="C15" s="5" t="str">
        <f>IFERROR(__xludf.DUMMYFUNCTION("""COMPUTED_VALUE"""),"0304/FTSCY/WS95031 31990300.00 Tue Mar 31 2026 14:00:00 GMT+0700 (Western Indonesia Time) BINTANG TAMA SANTO")</f>
        <v>0304/FTSCY/WS95031 31990300.00 Tue Mar 31 2026 14:00:00 GMT+0700 (Western Indonesia Time) BINTANG TAMA SANTO</v>
      </c>
      <c r="D15" s="5">
        <f>IFERROR(__xludf.DUMMYFUNCTION("""COMPUTED_VALUE"""),3.19903E7)</f>
        <v>31990300</v>
      </c>
      <c r="E15" s="5"/>
      <c r="F15" s="5" t="str">
        <f>IFERROR(__xludf.DUMMYFUNCTION("""COMPUTED_VALUE"""),"DB")</f>
        <v>DB</v>
      </c>
      <c r="G15" s="5">
        <f>IFERROR(__xludf.DUMMYFUNCTION("""COMPUTED_VALUE"""),3.0770229329999983E7)</f>
        <v>30770229.33</v>
      </c>
      <c r="H15" s="5"/>
      <c r="I15" s="5" t="str">
        <f>IFERROR(__xludf.DUMMYFUNCTION("""COMPUTED_VALUE"""),"PRODUKSI")</f>
        <v>PRODUKSI</v>
      </c>
    </row>
    <row r="16">
      <c r="A16" s="9">
        <f>IFERROR(__xludf.DUMMYFUNCTION("""COMPUTED_VALUE"""),46115.0)</f>
        <v>46115</v>
      </c>
      <c r="B16" s="5" t="str">
        <f>IFERROR(__xludf.DUMMYFUNCTION("""COMPUTED_VALUE"""),"TRSF E-BANKING DB")</f>
        <v>TRSF E-BANKING DB</v>
      </c>
      <c r="C16" s="5" t="str">
        <f>IFERROR(__xludf.DUMMYFUNCTION("""COMPUTED_VALUE"""),"0304/FTSCY/WS95271 7159120.00 MUJIANTO")</f>
        <v>0304/FTSCY/WS95271 7159120.00 MUJIANTO</v>
      </c>
      <c r="D16" s="5">
        <f>IFERROR(__xludf.DUMMYFUNCTION("""COMPUTED_VALUE"""),7159120.0)</f>
        <v>7159120</v>
      </c>
      <c r="E16" s="5"/>
      <c r="F16" s="5" t="str">
        <f>IFERROR(__xludf.DUMMYFUNCTION("""COMPUTED_VALUE"""),"DB")</f>
        <v>DB</v>
      </c>
      <c r="G16" s="5">
        <f>IFERROR(__xludf.DUMMYFUNCTION("""COMPUTED_VALUE"""),4.382750932999998E7)</f>
        <v>43827509.33</v>
      </c>
      <c r="H16" s="5"/>
      <c r="I16" s="5" t="str">
        <f>IFERROR(__xludf.DUMMYFUNCTION("""COMPUTED_VALUE"""),"PRODUKSI")</f>
        <v>PRODUKSI</v>
      </c>
    </row>
    <row r="17">
      <c r="A17" s="9">
        <f>IFERROR(__xludf.DUMMYFUNCTION("""COMPUTED_VALUE"""),46115.0)</f>
        <v>46115</v>
      </c>
      <c r="B17" s="5" t="str">
        <f>IFERROR(__xludf.DUMMYFUNCTION("""COMPUTED_VALUE"""),"TRSF E-BANKING DB")</f>
        <v>TRSF E-BANKING DB</v>
      </c>
      <c r="C17" s="5" t="str">
        <f>IFERROR(__xludf.DUMMYFUNCTION("""COMPUTED_VALUE"""),"0304/FTSCY/WS95011 283075960.00 31/03 lunas BROILER MAKMUR TAN")</f>
        <v>0304/FTSCY/WS95011 283075960.00 31/03 lunas BROILER MAKMUR TAN</v>
      </c>
      <c r="D17" s="5">
        <f>IFERROR(__xludf.DUMMYFUNCTION("""COMPUTED_VALUE"""),2.8307596E8)</f>
        <v>283075960</v>
      </c>
      <c r="E17" s="5"/>
      <c r="F17" s="5" t="str">
        <f>IFERROR(__xludf.DUMMYFUNCTION("""COMPUTED_VALUE"""),"DB")</f>
        <v>DB</v>
      </c>
      <c r="G17" s="5">
        <f>IFERROR(__xludf.DUMMYFUNCTION("""COMPUTED_VALUE"""),3.452338932999998E7)</f>
        <v>34523389.33</v>
      </c>
      <c r="H17" s="5"/>
      <c r="I17" s="5" t="str">
        <f>IFERROR(__xludf.DUMMYFUNCTION("""COMPUTED_VALUE"""),"PRODUKSI")</f>
        <v>PRODUKSI</v>
      </c>
    </row>
    <row r="18">
      <c r="A18" s="9">
        <f>IFERROR(__xludf.DUMMYFUNCTION("""COMPUTED_VALUE"""),46115.0)</f>
        <v>46115</v>
      </c>
      <c r="B18" s="5" t="str">
        <f>IFERROR(__xludf.DUMMYFUNCTION("""COMPUTED_VALUE"""),"TRSF E-BANKING DB")</f>
        <v>TRSF E-BANKING DB</v>
      </c>
      <c r="C18" s="5" t="str">
        <f>IFERROR(__xludf.DUMMYFUNCTION("""COMPUTED_VALUE"""),"0304/FTSCY/WS95011 17460100.00 krg 80 jt EKO SETIYAWAN")</f>
        <v>0304/FTSCY/WS95011 17460100.00 krg 80 jt EKO SETIYAWAN</v>
      </c>
      <c r="D18" s="5">
        <f>IFERROR(__xludf.DUMMYFUNCTION("""COMPUTED_VALUE"""),1.74601E7)</f>
        <v>17460100</v>
      </c>
      <c r="E18" s="5"/>
      <c r="F18" s="5" t="str">
        <f>IFERROR(__xludf.DUMMYFUNCTION("""COMPUTED_VALUE"""),"DB")</f>
        <v>DB</v>
      </c>
      <c r="G18" s="5">
        <f>IFERROR(__xludf.DUMMYFUNCTION("""COMPUTED_VALUE"""),1.5063289329999983E7)</f>
        <v>15063289.33</v>
      </c>
      <c r="H18" s="5"/>
      <c r="I18" s="5" t="str">
        <f>IFERROR(__xludf.DUMMYFUNCTION("""COMPUTED_VALUE"""),"PRODUKSI")</f>
        <v>PRODUKSI</v>
      </c>
    </row>
    <row r="19">
      <c r="A19" s="9">
        <f>IFERROR(__xludf.DUMMYFUNCTION("""COMPUTED_VALUE"""),46115.0)</f>
        <v>46115</v>
      </c>
      <c r="B19" s="5" t="str">
        <f>IFERROR(__xludf.DUMMYFUNCTION("""COMPUTED_VALUE"""),"TRSF E-BANKING DB")</f>
        <v>TRSF E-BANKING DB</v>
      </c>
      <c r="C19" s="5" t="str">
        <f>IFERROR(__xludf.DUMMYFUNCTION("""COMPUTED_VALUE"""),"0304/FTSCY/WS95011 49877100.00 Thu Apr 02 2026 14:00:00 GMT+0700 (Western Indonesia Time) SUPER UNGGAS JAYA")</f>
        <v>0304/FTSCY/WS95011 49877100.00 Thu Apr 02 2026 14:00:00 GMT+0700 (Western Indonesia Time) SUPER UNGGAS JAYA</v>
      </c>
      <c r="D19" s="5">
        <f>IFERROR(__xludf.DUMMYFUNCTION("""COMPUTED_VALUE"""),4.98771E7)</f>
        <v>49877100</v>
      </c>
      <c r="E19" s="5"/>
      <c r="F19" s="5" t="str">
        <f>IFERROR(__xludf.DUMMYFUNCTION("""COMPUTED_VALUE"""),"DB")</f>
        <v>DB</v>
      </c>
      <c r="G19" s="5">
        <f>IFERROR(__xludf.DUMMYFUNCTION("""COMPUTED_VALUE"""),1.5634228932999998E8)</f>
        <v>156342289.3</v>
      </c>
      <c r="H19" s="5">
        <f>IFERROR(__xludf.DUMMYFUNCTION("""COMPUTED_VALUE"""),1.5634228933E8)</f>
        <v>156342289.3</v>
      </c>
      <c r="I19" s="5" t="str">
        <f>IFERROR(__xludf.DUMMYFUNCTION("""COMPUTED_VALUE"""),"PRODUKSI")</f>
        <v>PRODUKSI</v>
      </c>
    </row>
    <row r="20">
      <c r="A20" s="9">
        <f>IFERROR(__xludf.DUMMYFUNCTION("""COMPUTED_VALUE"""),46116.0)</f>
        <v>46116</v>
      </c>
      <c r="B20" s="5" t="str">
        <f>IFERROR(__xludf.DUMMYFUNCTION("""COMPUTED_VALUE"""),"TRSF E-BANKING DB")</f>
        <v>TRSF E-BANKING DB</v>
      </c>
      <c r="C20" s="5" t="str">
        <f>IFERROR(__xludf.DUMMYFUNCTION("""COMPUTED_VALUE"""),"0404/FTSCY/WS95271 208854750.00 Thu Apr 02 2026 14:00:00 GMT+0700 (Western Indonesia Time) ANDALAN YASA MITRA")</f>
        <v>0404/FTSCY/WS95271 208854750.00 Thu Apr 02 2026 14:00:00 GMT+0700 (Western Indonesia Time) ANDALAN YASA MITRA</v>
      </c>
      <c r="D20" s="5">
        <f>IFERROR(__xludf.DUMMYFUNCTION("""COMPUTED_VALUE"""),2.0885475E8)</f>
        <v>208854750</v>
      </c>
      <c r="E20" s="5"/>
      <c r="F20" s="5" t="str">
        <f>IFERROR(__xludf.DUMMYFUNCTION("""COMPUTED_VALUE"""),"DB")</f>
        <v>DB</v>
      </c>
      <c r="G20" s="5">
        <f>IFERROR(__xludf.DUMMYFUNCTION("""COMPUTED_VALUE"""),2.5795282932999998E8)</f>
        <v>257952829.3</v>
      </c>
      <c r="H20" s="5"/>
      <c r="I20" s="5" t="str">
        <f>IFERROR(__xludf.DUMMYFUNCTION("""COMPUTED_VALUE"""),"PRODUKSI")</f>
        <v>PRODUKSI</v>
      </c>
    </row>
    <row r="21">
      <c r="A21" s="9">
        <f>IFERROR(__xludf.DUMMYFUNCTION("""COMPUTED_VALUE"""),46116.0)</f>
        <v>46116</v>
      </c>
      <c r="B21" s="5" t="str">
        <f>IFERROR(__xludf.DUMMYFUNCTION("""COMPUTED_VALUE"""),"TRSF E-BANKING DB")</f>
        <v>TRSF E-BANKING DB</v>
      </c>
      <c r="C21" s="5" t="str">
        <f>IFERROR(__xludf.DUMMYFUNCTION("""COMPUTED_VALUE"""),"0404/FTSCY/WS95031 93238700.00 Fri Apr 03 2026 14:00:00 GMT+0700 (Western Indonesia Time) ANDALAN YASA MITRA")</f>
        <v>0404/FTSCY/WS95031 93238700.00 Fri Apr 03 2026 14:00:00 GMT+0700 (Western Indonesia Time) ANDALAN YASA MITRA</v>
      </c>
      <c r="D21" s="5">
        <f>IFERROR(__xludf.DUMMYFUNCTION("""COMPUTED_VALUE"""),9.32387E7)</f>
        <v>93238700</v>
      </c>
      <c r="E21" s="5"/>
      <c r="F21" s="5" t="str">
        <f>IFERROR(__xludf.DUMMYFUNCTION("""COMPUTED_VALUE"""),"DB")</f>
        <v>DB</v>
      </c>
      <c r="G21" s="5">
        <f>IFERROR(__xludf.DUMMYFUNCTION("""COMPUTED_VALUE"""),1.6471412932999998E8)</f>
        <v>164714129.3</v>
      </c>
      <c r="H21" s="5"/>
      <c r="I21" s="5" t="str">
        <f>IFERROR(__xludf.DUMMYFUNCTION("""COMPUTED_VALUE"""),"PRODUKSI")</f>
        <v>PRODUKSI</v>
      </c>
    </row>
    <row r="22">
      <c r="A22" s="9">
        <f>IFERROR(__xludf.DUMMYFUNCTION("""COMPUTED_VALUE"""),46116.0)</f>
        <v>46116</v>
      </c>
      <c r="B22" s="5" t="str">
        <f>IFERROR(__xludf.DUMMYFUNCTION("""COMPUTED_VALUE"""),"BI-FAST DB")</f>
        <v>BI-FAST DB</v>
      </c>
      <c r="C22" s="5" t="str">
        <f>IFERROR(__xludf.DUMMYFUNCTION("""COMPUTED_VALUE"""),"BIF TRANSFER KE 8 SEMBILAN BINTANG L MyBCA")</f>
        <v>BIF TRANSFER KE 8 SEMBILAN BINTANG L MyBCA</v>
      </c>
      <c r="D22" s="5">
        <f>IFERROR(__xludf.DUMMYFUNCTION("""COMPUTED_VALUE"""),7.5E7)</f>
        <v>75000000</v>
      </c>
      <c r="E22" s="5"/>
      <c r="F22" s="5" t="str">
        <f>IFERROR(__xludf.DUMMYFUNCTION("""COMPUTED_VALUE"""),"DB")</f>
        <v>DB</v>
      </c>
      <c r="G22" s="5">
        <f>IFERROR(__xludf.DUMMYFUNCTION("""COMPUTED_VALUE"""),1.9535599932999998E8)</f>
        <v>195355999.3</v>
      </c>
      <c r="H22" s="5"/>
      <c r="I22" s="5" t="str">
        <f>IFERROR(__xludf.DUMMYFUNCTION("""COMPUTED_VALUE"""),"PRODUKSI")</f>
        <v>PRODUKSI</v>
      </c>
    </row>
    <row r="23">
      <c r="A23" s="9">
        <f>IFERROR(__xludf.DUMMYFUNCTION("""COMPUTED_VALUE"""),46116.0)</f>
        <v>46116</v>
      </c>
      <c r="B23" s="5" t="str">
        <f>IFERROR(__xludf.DUMMYFUNCTION("""COMPUTED_VALUE"""),"BI-FAST DB")</f>
        <v>BI-FAST DB</v>
      </c>
      <c r="C23" s="5" t="str">
        <f>IFERROR(__xludf.DUMMYFUNCTION("""COMPUTED_VALUE"""),"BIF BIAYA TXN KE 8 SEMBILAN BINTANG L MyBCA")</f>
        <v>BIF BIAYA TXN KE 8 SEMBILAN BINTANG L MyBCA</v>
      </c>
      <c r="D23" s="5">
        <f>IFERROR(__xludf.DUMMYFUNCTION("""COMPUTED_VALUE"""),2500.0)</f>
        <v>2500</v>
      </c>
      <c r="E23" s="5"/>
      <c r="F23" s="5" t="str">
        <f>IFERROR(__xludf.DUMMYFUNCTION("""COMPUTED_VALUE"""),"DB")</f>
        <v>DB</v>
      </c>
      <c r="G23" s="5">
        <f>IFERROR(__xludf.DUMMYFUNCTION("""COMPUTED_VALUE"""),1.9535349932999998E8)</f>
        <v>195353499.3</v>
      </c>
      <c r="H23" s="5"/>
      <c r="I23" s="5" t="str">
        <f>IFERROR(__xludf.DUMMYFUNCTION("""COMPUTED_VALUE"""),"PRODUKSI")</f>
        <v>PRODUKSI</v>
      </c>
    </row>
    <row r="24">
      <c r="A24" s="9">
        <f>IFERROR(__xludf.DUMMYFUNCTION("""COMPUTED_VALUE"""),46130.0)</f>
        <v>46130</v>
      </c>
      <c r="B24" s="5" t="str">
        <f>IFERROR(__xludf.DUMMYFUNCTION("""COMPUTED_VALUE"""),"TRSF E-BANKING DB")</f>
        <v>TRSF E-BANKING DB</v>
      </c>
      <c r="C24" s="5" t="str">
        <f>IFERROR(__xludf.DUMMYFUNCTION("""COMPUTED_VALUE"""),"1804/FTSCY/WS95011 36740800.00 Fri Apr 17 2026 14:00:00 GMT+0700 (Western Indonesia Time) BRANTAS ABADI SENT")</f>
        <v>1804/FTSCY/WS95011 36740800.00 Fri Apr 17 2026 14:00:00 GMT+0700 (Western Indonesia Time) BRANTAS ABADI SENT</v>
      </c>
      <c r="D24" s="5">
        <f>IFERROR(__xludf.DUMMYFUNCTION("""COMPUTED_VALUE"""),3.67408E7)</f>
        <v>36740800</v>
      </c>
      <c r="E24" s="5"/>
      <c r="F24" s="5" t="str">
        <f>IFERROR(__xludf.DUMMYFUNCTION("""COMPUTED_VALUE"""),"DB")</f>
        <v>DB</v>
      </c>
      <c r="G24" s="5">
        <f>IFERROR(__xludf.DUMMYFUNCTION("""COMPUTED_VALUE"""),1.0279469329999924E7)</f>
        <v>10279469.33</v>
      </c>
      <c r="H24" s="5">
        <f>IFERROR(__xludf.DUMMYFUNCTION("""COMPUTED_VALUE"""),1.027946933E7)</f>
        <v>10279469.33</v>
      </c>
      <c r="I24" s="5" t="str">
        <f>IFERROR(__xludf.DUMMYFUNCTION("""COMPUTED_VALUE"""),"PRODUKSI")</f>
        <v>PRODUKSI</v>
      </c>
    </row>
    <row r="25">
      <c r="A25" s="9">
        <f>IFERROR(__xludf.DUMMYFUNCTION("""COMPUTED_VALUE"""),46131.0)</f>
        <v>46131</v>
      </c>
      <c r="B25" s="5" t="str">
        <f>IFERROR(__xludf.DUMMYFUNCTION("""COMPUTED_VALUE"""),"TRSF E-BANKING DB TANGGAL :18/04")</f>
        <v>TRSF E-BANKING DB TANGGAL :18/04</v>
      </c>
      <c r="C25" s="5" t="str">
        <f>IFERROR(__xludf.DUMMYFUNCTION("""COMPUTED_VALUE"""),"1804/FTSCY/WS95031 HERMAWAN")</f>
        <v>1804/FTSCY/WS95031 HERMAWAN</v>
      </c>
      <c r="D25" s="5">
        <f>IFERROR(__xludf.DUMMYFUNCTION("""COMPUTED_VALUE"""),1100000.0)</f>
        <v>1100000</v>
      </c>
      <c r="E25" s="5"/>
      <c r="F25" s="5" t="str">
        <f>IFERROR(__xludf.DUMMYFUNCTION("""COMPUTED_VALUE"""),"DB")</f>
        <v>DB</v>
      </c>
      <c r="G25" s="5">
        <f>IFERROR(__xludf.DUMMYFUNCTION("""COMPUTED_VALUE"""),9179469.329999924)</f>
        <v>9179469.33</v>
      </c>
      <c r="H25" s="5"/>
      <c r="I25" s="5" t="str">
        <f>IFERROR(__xludf.DUMMYFUNCTION("""COMPUTED_VALUE"""),"PRODUKSI")</f>
        <v>PRODUKSI</v>
      </c>
    </row>
    <row r="26">
      <c r="A26" s="9">
        <f>IFERROR(__xludf.DUMMYFUNCTION("""COMPUTED_VALUE"""),46131.0)</f>
        <v>46131</v>
      </c>
      <c r="B26" s="5" t="str">
        <f>IFERROR(__xludf.DUMMYFUNCTION("""COMPUTED_VALUE"""),"TRSF E-BANKING DB TANGGAL :18/04")</f>
        <v>TRSF E-BANKING DB TANGGAL :18/04</v>
      </c>
      <c r="C26" s="5" t="str">
        <f>IFERROR(__xludf.DUMMYFUNCTION("""COMPUTED_VALUE"""),"1804/FTSCY/WS95031 MUJIANTO")</f>
        <v>1804/FTSCY/WS95031 MUJIANTO</v>
      </c>
      <c r="D26" s="5">
        <f>IFERROR(__xludf.DUMMYFUNCTION("""COMPUTED_VALUE"""),1007220.0)</f>
        <v>1007220</v>
      </c>
      <c r="E26" s="5"/>
      <c r="F26" s="5" t="str">
        <f>IFERROR(__xludf.DUMMYFUNCTION("""COMPUTED_VALUE"""),"DB")</f>
        <v>DB</v>
      </c>
      <c r="G26" s="5">
        <f>IFERROR(__xludf.DUMMYFUNCTION("""COMPUTED_VALUE"""),8172249.329999924)</f>
        <v>8172249.33</v>
      </c>
      <c r="H26" s="5">
        <f>IFERROR(__xludf.DUMMYFUNCTION("""COMPUTED_VALUE"""),8172249.33)</f>
        <v>8172249.33</v>
      </c>
      <c r="I26" s="5" t="str">
        <f>IFERROR(__xludf.DUMMYFUNCTION("""COMPUTED_VALUE"""),"PRODUKSI")</f>
        <v>PRODUKSI</v>
      </c>
    </row>
    <row r="27">
      <c r="A27" s="9">
        <f>IFERROR(__xludf.DUMMYFUNCTION("""COMPUTED_VALUE"""),46131.0)</f>
        <v>46131</v>
      </c>
      <c r="B27" s="5" t="str">
        <f>IFERROR(__xludf.DUMMYFUNCTION("""COMPUTED_VALUE"""),"TRSF E-BANKING DB")</f>
        <v>TRSF E-BANKING DB</v>
      </c>
      <c r="C27" s="5" t="str">
        <f>IFERROR(__xludf.DUMMYFUNCTION("""COMPUTED_VALUE"""),"1904/FTSCY/WS95031 7716150.00 Fri Apr 17 2026 14:00:00 GMT+0700 (Western Indonesia Time) LAWU ABADI NUSA PT")</f>
        <v>1904/FTSCY/WS95031 7716150.00 Fri Apr 17 2026 14:00:00 GMT+0700 (Western Indonesia Time) LAWU ABADI NUSA PT</v>
      </c>
      <c r="D27" s="5">
        <f>IFERROR(__xludf.DUMMYFUNCTION("""COMPUTED_VALUE"""),7716150.0)</f>
        <v>7716150</v>
      </c>
      <c r="E27" s="5"/>
      <c r="F27" s="5" t="str">
        <f>IFERROR(__xludf.DUMMYFUNCTION("""COMPUTED_VALUE"""),"DB")</f>
        <v>DB</v>
      </c>
      <c r="G27" s="5">
        <f>IFERROR(__xludf.DUMMYFUNCTION("""COMPUTED_VALUE"""),456099.3299999237)</f>
        <v>456099.33</v>
      </c>
      <c r="H27" s="5">
        <f>IFERROR(__xludf.DUMMYFUNCTION("""COMPUTED_VALUE"""),456099.33)</f>
        <v>456099.33</v>
      </c>
      <c r="I27" s="5" t="str">
        <f>IFERROR(__xludf.DUMMYFUNCTION("""COMPUTED_VALUE"""),"PRODUKSI")</f>
        <v>PRODUKSI</v>
      </c>
    </row>
    <row r="28">
      <c r="A28" s="9">
        <f>IFERROR(__xludf.DUMMYFUNCTION("""COMPUTED_VALUE"""),46131.0)</f>
        <v>46131</v>
      </c>
      <c r="B28" s="5" t="str">
        <f>IFERROR(__xludf.DUMMYFUNCTION("""COMPUTED_VALUE"""),"TRSF E-BANKING DB")</f>
        <v>TRSF E-BANKING DB</v>
      </c>
      <c r="C28" s="5" t="str">
        <f>IFERROR(__xludf.DUMMYFUNCTION("""COMPUTED_VALUE"""),"1904/FTSCY/WS95031 9000000.00 pelunasan LAWU ABADI NUSA PT")</f>
        <v>1904/FTSCY/WS95031 9000000.00 pelunasan LAWU ABADI NUSA PT</v>
      </c>
      <c r="D28" s="5">
        <f>IFERROR(__xludf.DUMMYFUNCTION("""COMPUTED_VALUE"""),9000000.0)</f>
        <v>9000000</v>
      </c>
      <c r="E28" s="5"/>
      <c r="F28" s="5" t="str">
        <f>IFERROR(__xludf.DUMMYFUNCTION("""COMPUTED_VALUE"""),"DB")</f>
        <v>DB</v>
      </c>
      <c r="G28" s="5">
        <f>IFERROR(__xludf.DUMMYFUNCTION("""COMPUTED_VALUE"""),3.772032932999992E7)</f>
        <v>37720329.33</v>
      </c>
      <c r="H28" s="5"/>
      <c r="I28" s="5" t="str">
        <f>IFERROR(__xludf.DUMMYFUNCTION("""COMPUTED_VALUE"""),"PRODUKSI")</f>
        <v>PRODUKSI</v>
      </c>
    </row>
    <row r="29">
      <c r="A29" s="9">
        <f>IFERROR(__xludf.DUMMYFUNCTION("""COMPUTED_VALUE"""),46131.0)</f>
        <v>46131</v>
      </c>
      <c r="B29" s="5" t="str">
        <f>IFERROR(__xludf.DUMMYFUNCTION("""COMPUTED_VALUE"""),"BI-FAST DB")</f>
        <v>BI-FAST DB</v>
      </c>
      <c r="C29" s="5" t="str">
        <f>IFERROR(__xludf.DUMMYFUNCTION("""COMPUTED_VALUE"""),"BIF TRANSFER KE 9 MUHAMMAD SODIK M-BCA")</f>
        <v>BIF TRANSFER KE 9 MUHAMMAD SODIK M-BCA</v>
      </c>
      <c r="D29" s="5">
        <f>IFERROR(__xludf.DUMMYFUNCTION("""COMPUTED_VALUE"""),1.0E7)</f>
        <v>10000000</v>
      </c>
      <c r="E29" s="5"/>
      <c r="F29" s="5" t="str">
        <f>IFERROR(__xludf.DUMMYFUNCTION("""COMPUTED_VALUE"""),"DB")</f>
        <v>DB</v>
      </c>
      <c r="G29" s="5">
        <f>IFERROR(__xludf.DUMMYFUNCTION("""COMPUTED_VALUE"""),1.5735000232999992E8)</f>
        <v>157350002.3</v>
      </c>
      <c r="H29" s="5"/>
      <c r="I29" s="5" t="str">
        <f>IFERROR(__xludf.DUMMYFUNCTION("""COMPUTED_VALUE"""),"PRODUKSI")</f>
        <v>PRODUKSI</v>
      </c>
    </row>
    <row r="30">
      <c r="A30" s="9">
        <f>IFERROR(__xludf.DUMMYFUNCTION("""COMPUTED_VALUE"""),46131.0)</f>
        <v>46131</v>
      </c>
      <c r="B30" s="5" t="str">
        <f>IFERROR(__xludf.DUMMYFUNCTION("""COMPUTED_VALUE"""),"BI-FAST DB")</f>
        <v>BI-FAST DB</v>
      </c>
      <c r="C30" s="5" t="str">
        <f>IFERROR(__xludf.DUMMYFUNCTION("""COMPUTED_VALUE"""),"BIF BIAYA TXN KE 9 MUHAMMAD SODIK M-BCA")</f>
        <v>BIF BIAYA TXN KE 9 MUHAMMAD SODIK M-BCA</v>
      </c>
      <c r="D30" s="5">
        <f>IFERROR(__xludf.DUMMYFUNCTION("""COMPUTED_VALUE"""),2500.0)</f>
        <v>2500</v>
      </c>
      <c r="E30" s="5"/>
      <c r="F30" s="5" t="str">
        <f>IFERROR(__xludf.DUMMYFUNCTION("""COMPUTED_VALUE"""),"DB")</f>
        <v>DB</v>
      </c>
      <c r="G30" s="5">
        <f>IFERROR(__xludf.DUMMYFUNCTION("""COMPUTED_VALUE"""),1.5734750232999992E8)</f>
        <v>157347502.3</v>
      </c>
      <c r="H30" s="5"/>
      <c r="I30" s="5" t="str">
        <f>IFERROR(__xludf.DUMMYFUNCTION("""COMPUTED_VALUE"""),"PRODUKSI")</f>
        <v>PRODUKSI</v>
      </c>
    </row>
    <row r="31">
      <c r="A31" s="9">
        <f>IFERROR(__xludf.DUMMYFUNCTION("""COMPUTED_VALUE"""),46131.0)</f>
        <v>46131</v>
      </c>
      <c r="B31" s="5" t="str">
        <f>IFERROR(__xludf.DUMMYFUNCTION("""COMPUTED_VALUE"""),"TRSF E-BANKING DB")</f>
        <v>TRSF E-BANKING DB</v>
      </c>
      <c r="C31" s="5" t="str">
        <f>IFERROR(__xludf.DUMMYFUNCTION("""COMPUTED_VALUE"""),"1904/FTSCY/WS95031 55353600.00 Sat Apr 18 2026 14:00:00 GMT+0700 (Western Indonesia Time) TUMBUH OPTIMAL PRI")</f>
        <v>1904/FTSCY/WS95031 55353600.00 Sat Apr 18 2026 14:00:00 GMT+0700 (Western Indonesia Time) TUMBUH OPTIMAL PRI</v>
      </c>
      <c r="D31" s="5">
        <f>IFERROR(__xludf.DUMMYFUNCTION("""COMPUTED_VALUE"""),5.53536E7)</f>
        <v>55353600</v>
      </c>
      <c r="E31" s="5"/>
      <c r="F31" s="5" t="str">
        <f>IFERROR(__xludf.DUMMYFUNCTION("""COMPUTED_VALUE"""),"DB")</f>
        <v>DB</v>
      </c>
      <c r="G31" s="5">
        <f>IFERROR(__xludf.DUMMYFUNCTION("""COMPUTED_VALUE"""),1.0199390232999992E8)</f>
        <v>101993902.3</v>
      </c>
      <c r="H31" s="5"/>
      <c r="I31" s="5" t="str">
        <f>IFERROR(__xludf.DUMMYFUNCTION("""COMPUTED_VALUE"""),"PRODUKSI")</f>
        <v>PRODUKSI</v>
      </c>
    </row>
    <row r="32">
      <c r="A32" s="9">
        <f>IFERROR(__xludf.DUMMYFUNCTION("""COMPUTED_VALUE"""),46131.0)</f>
        <v>46131</v>
      </c>
      <c r="B32" s="5" t="str">
        <f>IFERROR(__xludf.DUMMYFUNCTION("""COMPUTED_VALUE"""),"TRSF E-BANKING DB")</f>
        <v>TRSF E-BANKING DB</v>
      </c>
      <c r="C32" s="5" t="str">
        <f>IFERROR(__xludf.DUMMYFUNCTION("""COMPUTED_VALUE"""),"1904/FTSCY/WS95271 96308400.00 Sat Apr 18 2026 14:00:00 GMT+0700 (Western Indonesia Time) PITIK DIGITAL INDO")</f>
        <v>1904/FTSCY/WS95271 96308400.00 Sat Apr 18 2026 14:00:00 GMT+0700 (Western Indonesia Time) PITIK DIGITAL INDO</v>
      </c>
      <c r="D32" s="5">
        <f>IFERROR(__xludf.DUMMYFUNCTION("""COMPUTED_VALUE"""),9.63084E7)</f>
        <v>96308400</v>
      </c>
      <c r="E32" s="5"/>
      <c r="F32" s="5" t="str">
        <f>IFERROR(__xludf.DUMMYFUNCTION("""COMPUTED_VALUE"""),"DB")</f>
        <v>DB</v>
      </c>
      <c r="G32" s="5">
        <f>IFERROR(__xludf.DUMMYFUNCTION("""COMPUTED_VALUE"""),7685502.329999924)</f>
        <v>7685502.33</v>
      </c>
      <c r="H32" s="5">
        <f>IFERROR(__xludf.DUMMYFUNCTION("""COMPUTED_VALUE"""),7685502.33)</f>
        <v>7685502.33</v>
      </c>
      <c r="I32" s="5" t="str">
        <f>IFERROR(__xludf.DUMMYFUNCTION("""COMPUTED_VALUE"""),"PRODUKSI")</f>
        <v>PRODUKSI</v>
      </c>
    </row>
    <row r="33">
      <c r="A33" s="9">
        <f>IFERROR(__xludf.DUMMYFUNCTION("""COMPUTED_VALUE"""),46131.0)</f>
        <v>46131</v>
      </c>
      <c r="B33" s="5" t="str">
        <f>IFERROR(__xludf.DUMMYFUNCTION("""COMPUTED_VALUE"""),"TRSF E-BANKING DB")</f>
        <v>TRSF E-BANKING DB</v>
      </c>
      <c r="C33" s="5" t="str">
        <f>IFERROR(__xludf.DUMMYFUNCTION("""COMPUTED_VALUE"""),"1904/FTSCY/WS95031 1037700.00 SUPRIYADI")</f>
        <v>1904/FTSCY/WS95031 1037700.00 SUPRIYADI</v>
      </c>
      <c r="D33" s="5">
        <f>IFERROR(__xludf.DUMMYFUNCTION("""COMPUTED_VALUE"""),1037700.0)</f>
        <v>1037700</v>
      </c>
      <c r="E33" s="5"/>
      <c r="F33" s="5" t="str">
        <f>IFERROR(__xludf.DUMMYFUNCTION("""COMPUTED_VALUE"""),"DB")</f>
        <v>DB</v>
      </c>
      <c r="G33" s="5">
        <f>IFERROR(__xludf.DUMMYFUNCTION("""COMPUTED_VALUE"""),6647802.329999924)</f>
        <v>6647802.33</v>
      </c>
      <c r="H33" s="5">
        <f>IFERROR(__xludf.DUMMYFUNCTION("""COMPUTED_VALUE"""),6647802.33)</f>
        <v>6647802.33</v>
      </c>
      <c r="I33" s="5" t="str">
        <f>IFERROR(__xludf.DUMMYFUNCTION("""COMPUTED_VALUE"""),"PRODUKSI")</f>
        <v>PRODUKSI</v>
      </c>
    </row>
    <row r="34">
      <c r="A34" s="9">
        <f>IFERROR(__xludf.DUMMYFUNCTION("""COMPUTED_VALUE"""),46132.0)</f>
        <v>46132</v>
      </c>
      <c r="B34" s="5" t="str">
        <f>IFERROR(__xludf.DUMMYFUNCTION("""COMPUTED_VALUE"""),"TRSF E-BANKING DB TANGGAL :19/04")</f>
        <v>TRSF E-BANKING DB TANGGAL :19/04</v>
      </c>
      <c r="C34" s="5" t="str">
        <f>IFERROR(__xludf.DUMMYFUNCTION("""COMPUTED_VALUE"""),"1904/FTSCY/WS95271 THR EKO SETIYAWAN")</f>
        <v>1904/FTSCY/WS95271 THR EKO SETIYAWAN</v>
      </c>
      <c r="D34" s="5">
        <f>IFERROR(__xludf.DUMMYFUNCTION("""COMPUTED_VALUE"""),6600000.0)</f>
        <v>6600000</v>
      </c>
      <c r="E34" s="5"/>
      <c r="F34" s="5" t="str">
        <f>IFERROR(__xludf.DUMMYFUNCTION("""COMPUTED_VALUE"""),"DB")</f>
        <v>DB</v>
      </c>
      <c r="G34" s="5">
        <f>IFERROR(__xludf.DUMMYFUNCTION("""COMPUTED_VALUE"""),57802.329999923706)</f>
        <v>57802.33</v>
      </c>
      <c r="H34" s="5"/>
      <c r="I34" s="5" t="str">
        <f>IFERROR(__xludf.DUMMYFUNCTION("""COMPUTED_VALUE"""),"PRODUKSI")</f>
        <v>PRODUKSI</v>
      </c>
    </row>
    <row r="35">
      <c r="A35" s="9">
        <f>IFERROR(__xludf.DUMMYFUNCTION("""COMPUTED_VALUE"""),46132.0)</f>
        <v>46132</v>
      </c>
      <c r="B35" s="5" t="str">
        <f>IFERROR(__xludf.DUMMYFUNCTION("""COMPUTED_VALUE"""),"TRSF E-BANKING DB")</f>
        <v>TRSF E-BANKING DB</v>
      </c>
      <c r="C35" s="5" t="str">
        <f>IFERROR(__xludf.DUMMYFUNCTION("""COMPUTED_VALUE"""),"2004/FTSCY/WS95031 2780880.00 thr 1 jt MUJIANTO")</f>
        <v>2004/FTSCY/WS95031 2780880.00 thr 1 jt MUJIANTO</v>
      </c>
      <c r="D35" s="5">
        <f>IFERROR(__xludf.DUMMYFUNCTION("""COMPUTED_VALUE"""),2780880.0)</f>
        <v>2780880</v>
      </c>
      <c r="E35" s="5"/>
      <c r="F35" s="5" t="str">
        <f>IFERROR(__xludf.DUMMYFUNCTION("""COMPUTED_VALUE"""),"DB")</f>
        <v>DB</v>
      </c>
      <c r="G35" s="5">
        <f>IFERROR(__xludf.DUMMYFUNCTION("""COMPUTED_VALUE"""),5.813965732999992E7)</f>
        <v>58139657.33</v>
      </c>
      <c r="H35" s="5"/>
      <c r="I35" s="5" t="str">
        <f>IFERROR(__xludf.DUMMYFUNCTION("""COMPUTED_VALUE"""),"PRODUKSI")</f>
        <v>PRODUKSI</v>
      </c>
    </row>
    <row r="36">
      <c r="A36" s="9">
        <f>IFERROR(__xludf.DUMMYFUNCTION("""COMPUTED_VALUE"""),46132.0)</f>
        <v>46132</v>
      </c>
      <c r="B36" s="5" t="str">
        <f>IFERROR(__xludf.DUMMYFUNCTION("""COMPUTED_VALUE"""),"TRSF E-BANKING DB")</f>
        <v>TRSF E-BANKING DB</v>
      </c>
      <c r="C36" s="5" t="str">
        <f>IFERROR(__xludf.DUMMYFUNCTION("""COMPUTED_VALUE"""),"2004/FTSCY/WS95031 2172040.00 thr 1 jt HERMAWAN")</f>
        <v>2004/FTSCY/WS95031 2172040.00 thr 1 jt HERMAWAN</v>
      </c>
      <c r="D36" s="5">
        <f>IFERROR(__xludf.DUMMYFUNCTION("""COMPUTED_VALUE"""),2172040.0)</f>
        <v>2172040</v>
      </c>
      <c r="E36" s="5"/>
      <c r="F36" s="5" t="str">
        <f>IFERROR(__xludf.DUMMYFUNCTION("""COMPUTED_VALUE"""),"DB")</f>
        <v>DB</v>
      </c>
      <c r="G36" s="5">
        <f>IFERROR(__xludf.DUMMYFUNCTION("""COMPUTED_VALUE"""),5.596761732999992E7)</f>
        <v>55967617.33</v>
      </c>
      <c r="H36" s="5"/>
      <c r="I36" s="5" t="str">
        <f>IFERROR(__xludf.DUMMYFUNCTION("""COMPUTED_VALUE"""),"PRODUKSI")</f>
        <v>PRODUKSI</v>
      </c>
    </row>
    <row r="37">
      <c r="A37" s="9">
        <f>IFERROR(__xludf.DUMMYFUNCTION("""COMPUTED_VALUE"""),46132.0)</f>
        <v>46132</v>
      </c>
      <c r="B37" s="5" t="str">
        <f>IFERROR(__xludf.DUMMYFUNCTION("""COMPUTED_VALUE"""),"TRSF E-BANKING DB")</f>
        <v>TRSF E-BANKING DB</v>
      </c>
      <c r="C37" s="5" t="str">
        <f>IFERROR(__xludf.DUMMYFUNCTION("""COMPUTED_VALUE"""),"2004/FTSCY/WS95031 54996500.00 krg 42 jt EKO SETIYAWAN")</f>
        <v>2004/FTSCY/WS95031 54996500.00 krg 42 jt EKO SETIYAWAN</v>
      </c>
      <c r="D37" s="5">
        <f>IFERROR(__xludf.DUMMYFUNCTION("""COMPUTED_VALUE"""),5.49965E7)</f>
        <v>54996500</v>
      </c>
      <c r="E37" s="5"/>
      <c r="F37" s="5" t="str">
        <f>IFERROR(__xludf.DUMMYFUNCTION("""COMPUTED_VALUE"""),"DB")</f>
        <v>DB</v>
      </c>
      <c r="G37" s="5">
        <f>IFERROR(__xludf.DUMMYFUNCTION("""COMPUTED_VALUE"""),971117.3299999237)</f>
        <v>971117.33</v>
      </c>
      <c r="H37" s="5"/>
      <c r="I37" s="5" t="str">
        <f>IFERROR(__xludf.DUMMYFUNCTION("""COMPUTED_VALUE"""),"PRODUKSI")</f>
        <v>PRODUKSI</v>
      </c>
    </row>
    <row r="38">
      <c r="A38" s="9">
        <f>IFERROR(__xludf.DUMMYFUNCTION("""COMPUTED_VALUE"""),46132.0)</f>
        <v>46132</v>
      </c>
      <c r="B38" s="5" t="str">
        <f>IFERROR(__xludf.DUMMYFUNCTION("""COMPUTED_VALUE"""),"BI-FAST DB")</f>
        <v>BI-FAST DB</v>
      </c>
      <c r="C38" s="5" t="str">
        <f>IFERROR(__xludf.DUMMYFUNCTION("""COMPUTED_VALUE"""),"BIF TRANSFER KE 9 NOUVAL HOLQI RISKU M-BCA")</f>
        <v>BIF TRANSFER KE 9 NOUVAL HOLQI RISKU M-BCA</v>
      </c>
      <c r="D38" s="5">
        <f>IFERROR(__xludf.DUMMYFUNCTION("""COMPUTED_VALUE"""),135000.0)</f>
        <v>135000</v>
      </c>
      <c r="E38" s="5"/>
      <c r="F38" s="5" t="str">
        <f>IFERROR(__xludf.DUMMYFUNCTION("""COMPUTED_VALUE"""),"DB")</f>
        <v>DB</v>
      </c>
      <c r="G38" s="5">
        <f>IFERROR(__xludf.DUMMYFUNCTION("""COMPUTED_VALUE"""),836117.3299999237)</f>
        <v>836117.33</v>
      </c>
      <c r="H38" s="5"/>
      <c r="I38" s="5" t="str">
        <f>IFERROR(__xludf.DUMMYFUNCTION("""COMPUTED_VALUE"""),"PRODUKSI")</f>
        <v>PRODUKSI</v>
      </c>
    </row>
    <row r="39">
      <c r="A39" s="9">
        <f>IFERROR(__xludf.DUMMYFUNCTION("""COMPUTED_VALUE"""),46132.0)</f>
        <v>46132</v>
      </c>
      <c r="B39" s="5" t="str">
        <f>IFERROR(__xludf.DUMMYFUNCTION("""COMPUTED_VALUE"""),"BI-FAST DB")</f>
        <v>BI-FAST DB</v>
      </c>
      <c r="C39" s="5" t="str">
        <f>IFERROR(__xludf.DUMMYFUNCTION("""COMPUTED_VALUE"""),"BIF BIAYA TXN KE 9 NOUVAL HOLQI RISKU M-BCA")</f>
        <v>BIF BIAYA TXN KE 9 NOUVAL HOLQI RISKU M-BCA</v>
      </c>
      <c r="D39" s="5">
        <f>IFERROR(__xludf.DUMMYFUNCTION("""COMPUTED_VALUE"""),2500.0)</f>
        <v>2500</v>
      </c>
      <c r="E39" s="5"/>
      <c r="F39" s="5" t="str">
        <f>IFERROR(__xludf.DUMMYFUNCTION("""COMPUTED_VALUE"""),"DB")</f>
        <v>DB</v>
      </c>
      <c r="G39" s="5">
        <f>IFERROR(__xludf.DUMMYFUNCTION("""COMPUTED_VALUE"""),833617.3299999237)</f>
        <v>833617.33</v>
      </c>
      <c r="H39" s="5"/>
      <c r="I39" s="5" t="str">
        <f>IFERROR(__xludf.DUMMYFUNCTION("""COMPUTED_VALUE"""),"PRODUKSI")</f>
        <v>PRODUKSI</v>
      </c>
    </row>
    <row r="40">
      <c r="A40" s="9">
        <f>IFERROR(__xludf.DUMMYFUNCTION("""COMPUTED_VALUE"""),46132.0)</f>
        <v>46132</v>
      </c>
      <c r="B40" s="5" t="str">
        <f>IFERROR(__xludf.DUMMYFUNCTION("""COMPUTED_VALUE"""),"TRSF E-BANKING DB")</f>
        <v>TRSF E-BANKING DB</v>
      </c>
      <c r="C40" s="5" t="str">
        <f>IFERROR(__xludf.DUMMYFUNCTION("""COMPUTED_VALUE"""),"2004/FTSCY/WS95031 100000.00 SANDI FAJAR PRASET")</f>
        <v>2004/FTSCY/WS95031 100000.00 SANDI FAJAR PRASET</v>
      </c>
      <c r="D40" s="5">
        <f>IFERROR(__xludf.DUMMYFUNCTION("""COMPUTED_VALUE"""),100000.0)</f>
        <v>100000</v>
      </c>
      <c r="E40" s="5"/>
      <c r="F40" s="5" t="str">
        <f>IFERROR(__xludf.DUMMYFUNCTION("""COMPUTED_VALUE"""),"DB")</f>
        <v>DB</v>
      </c>
      <c r="G40" s="5">
        <f>IFERROR(__xludf.DUMMYFUNCTION("""COMPUTED_VALUE"""),2.6450465732999992E8)</f>
        <v>264504657.3</v>
      </c>
      <c r="H40" s="5"/>
      <c r="I40" s="5" t="str">
        <f>IFERROR(__xludf.DUMMYFUNCTION("""COMPUTED_VALUE"""),"PRODUKSI")</f>
        <v>PRODUKSI</v>
      </c>
    </row>
    <row r="41">
      <c r="A41" s="9">
        <f>IFERROR(__xludf.DUMMYFUNCTION("""COMPUTED_VALUE"""),46132.0)</f>
        <v>46132</v>
      </c>
      <c r="B41" s="5" t="str">
        <f>IFERROR(__xludf.DUMMYFUNCTION("""COMPUTED_VALUE"""),"TRSF E-BANKING DB")</f>
        <v>TRSF E-BANKING DB</v>
      </c>
      <c r="C41" s="5" t="str">
        <f>IFERROR(__xludf.DUMMYFUNCTION("""COMPUTED_VALUE"""),"2004/FTSCY/WS95271 57427200.00 Wed Mar 18 2026 14:00:00 GMT+0700 (Western Indonesia Time) ANDALAN YASA MITRA")</f>
        <v>2004/FTSCY/WS95271 57427200.00 Wed Mar 18 2026 14:00:00 GMT+0700 (Western Indonesia Time) ANDALAN YASA MITRA</v>
      </c>
      <c r="D41" s="5">
        <f>IFERROR(__xludf.DUMMYFUNCTION("""COMPUTED_VALUE"""),5.74272E7)</f>
        <v>57427200</v>
      </c>
      <c r="E41" s="5"/>
      <c r="F41" s="5" t="str">
        <f>IFERROR(__xludf.DUMMYFUNCTION("""COMPUTED_VALUE"""),"DB")</f>
        <v>DB</v>
      </c>
      <c r="G41" s="5">
        <f>IFERROR(__xludf.DUMMYFUNCTION("""COMPUTED_VALUE"""),2.0707745732999992E8)</f>
        <v>207077457.3</v>
      </c>
      <c r="H41" s="5"/>
      <c r="I41" s="5" t="str">
        <f>IFERROR(__xludf.DUMMYFUNCTION("""COMPUTED_VALUE"""),"PRODUKSI")</f>
        <v>PRODUKSI</v>
      </c>
    </row>
    <row r="42">
      <c r="A42" s="9">
        <f>IFERROR(__xludf.DUMMYFUNCTION("""COMPUTED_VALUE"""),46132.0)</f>
        <v>46132</v>
      </c>
      <c r="B42" s="5" t="str">
        <f>IFERROR(__xludf.DUMMYFUNCTION("""COMPUTED_VALUE"""),"TRSF E-BANKING DB")</f>
        <v>TRSF E-BANKING DB</v>
      </c>
      <c r="C42" s="5" t="str">
        <f>IFERROR(__xludf.DUMMYFUNCTION("""COMPUTED_VALUE"""),"2004/FTSCY/WS95271 44401600.00 Sat Apr 18 2026 14:00:00 GMT+0700 (Western Indonesia Time) BINTANG TAMA SANTO")</f>
        <v>2004/FTSCY/WS95271 44401600.00 Sat Apr 18 2026 14:00:00 GMT+0700 (Western Indonesia Time) BINTANG TAMA SANTO</v>
      </c>
      <c r="D42" s="5">
        <f>IFERROR(__xludf.DUMMYFUNCTION("""COMPUTED_VALUE"""),4.44016E7)</f>
        <v>44401600</v>
      </c>
      <c r="E42" s="5"/>
      <c r="F42" s="5" t="str">
        <f>IFERROR(__xludf.DUMMYFUNCTION("""COMPUTED_VALUE"""),"DB")</f>
        <v>DB</v>
      </c>
      <c r="G42" s="5">
        <f>IFERROR(__xludf.DUMMYFUNCTION("""COMPUTED_VALUE"""),1.6267585732999992E8)</f>
        <v>162675857.3</v>
      </c>
      <c r="H42" s="5">
        <f>IFERROR(__xludf.DUMMYFUNCTION("""COMPUTED_VALUE"""),1.6267585733E8)</f>
        <v>162675857.3</v>
      </c>
      <c r="I42" s="5" t="str">
        <f>IFERROR(__xludf.DUMMYFUNCTION("""COMPUTED_VALUE"""),"PRODUKSI")</f>
        <v>PRODUKSI</v>
      </c>
    </row>
    <row r="43">
      <c r="A43" s="9">
        <f>IFERROR(__xludf.DUMMYFUNCTION("""COMPUTED_VALUE"""),46132.0)</f>
        <v>46132</v>
      </c>
      <c r="B43" s="5" t="str">
        <f>IFERROR(__xludf.DUMMYFUNCTION("""COMPUTED_VALUE"""),"TRSF E-BANKING DB")</f>
        <v>TRSF E-BANKING DB</v>
      </c>
      <c r="C43" s="5" t="str">
        <f>IFERROR(__xludf.DUMMYFUNCTION("""COMPUTED_VALUE"""),"2004/FTSCY/WS95271 98272000.00 Wed Feb 18 2026 15:00:00 GMT+0700 (Western Indonesia Time) ANUGERAH KARTIKA A")</f>
        <v>2004/FTSCY/WS95271 98272000.00 Wed Feb 18 2026 15:00:00 GMT+0700 (Western Indonesia Time) ANUGERAH KARTIKA A</v>
      </c>
      <c r="D43" s="5">
        <f>IFERROR(__xludf.DUMMYFUNCTION("""COMPUTED_VALUE"""),9.8272E7)</f>
        <v>98272000</v>
      </c>
      <c r="E43" s="5"/>
      <c r="F43" s="5" t="str">
        <f>IFERROR(__xludf.DUMMYFUNCTION("""COMPUTED_VALUE"""),"DB")</f>
        <v>DB</v>
      </c>
      <c r="G43" s="5">
        <f>IFERROR(__xludf.DUMMYFUNCTION("""COMPUTED_VALUE"""),6.440385732999992E7)</f>
        <v>64403857.33</v>
      </c>
      <c r="H43" s="5">
        <f>IFERROR(__xludf.DUMMYFUNCTION("""COMPUTED_VALUE"""),6.440385733E7)</f>
        <v>64403857.33</v>
      </c>
      <c r="I43" s="5" t="str">
        <f>IFERROR(__xludf.DUMMYFUNCTION("""COMPUTED_VALUE"""),"PRODUKSI")</f>
        <v>PRODUKSI</v>
      </c>
    </row>
    <row r="44">
      <c r="A44" s="9">
        <f>IFERROR(__xludf.DUMMYFUNCTION("""COMPUTED_VALUE"""),46132.0)</f>
        <v>46132</v>
      </c>
      <c r="B44" s="5" t="str">
        <f>IFERROR(__xludf.DUMMYFUNCTION("""COMPUTED_VALUE"""),"TRSF E-BANKING DB")</f>
        <v>TRSF E-BANKING DB</v>
      </c>
      <c r="C44" s="5" t="str">
        <f>IFERROR(__xludf.DUMMYFUNCTION("""COMPUTED_VALUE"""),"2004/FTSCY/WS95271 42000000.00 lunas EKO SETIYAWAN")</f>
        <v>2004/FTSCY/WS95271 42000000.00 lunas EKO SETIYAWAN</v>
      </c>
      <c r="D44" s="5">
        <f>IFERROR(__xludf.DUMMYFUNCTION("""COMPUTED_VALUE"""),4.2E7)</f>
        <v>42000000</v>
      </c>
      <c r="E44" s="5"/>
      <c r="F44" s="5" t="str">
        <f>IFERROR(__xludf.DUMMYFUNCTION("""COMPUTED_VALUE"""),"DB")</f>
        <v>DB</v>
      </c>
      <c r="G44" s="5">
        <f>IFERROR(__xludf.DUMMYFUNCTION("""COMPUTED_VALUE"""),2.2403857329999924E7)</f>
        <v>22403857.33</v>
      </c>
      <c r="H44" s="5"/>
      <c r="I44" s="5" t="str">
        <f>IFERROR(__xludf.DUMMYFUNCTION("""COMPUTED_VALUE"""),"PRODUKSI")</f>
        <v>PRODUKSI</v>
      </c>
    </row>
    <row r="45">
      <c r="A45" s="9">
        <f>IFERROR(__xludf.DUMMYFUNCTION("""COMPUTED_VALUE"""),46132.0)</f>
        <v>46132</v>
      </c>
      <c r="B45" s="5" t="str">
        <f>IFERROR(__xludf.DUMMYFUNCTION("""COMPUTED_VALUE"""),"BYR VIA E-BANKING")</f>
        <v>BYR VIA E-BANKING</v>
      </c>
      <c r="C45" s="5" t="str">
        <f>IFERROR(__xludf.DUMMYFUNCTION("""COMPUTED_VALUE"""),"20/04  WSID9503102 1220 TELKOMSEL 82318368518 MUHAMMAD HAIRUL MA")</f>
        <v>20/04  WSID9503102 1220 TELKOMSEL 82318368518 MUHAMMAD HAIRUL MA</v>
      </c>
      <c r="D45" s="5">
        <f>IFERROR(__xludf.DUMMYFUNCTION("""COMPUTED_VALUE"""),27000.0)</f>
        <v>27000</v>
      </c>
      <c r="E45" s="5"/>
      <c r="F45" s="5"/>
      <c r="G45" s="5">
        <f>IFERROR(__xludf.DUMMYFUNCTION("""COMPUTED_VALUE"""),2.4506857329999924E7)</f>
        <v>24506857.33</v>
      </c>
      <c r="H45" s="5"/>
      <c r="I45" s="5" t="str">
        <f>IFERROR(__xludf.DUMMYFUNCTION("""COMPUTED_VALUE"""),"PRODUKSI")</f>
        <v>PRODUKSI</v>
      </c>
    </row>
    <row r="46">
      <c r="A46" s="9">
        <f>IFERROR(__xludf.DUMMYFUNCTION("""COMPUTED_VALUE"""),46132.0)</f>
        <v>46132</v>
      </c>
      <c r="B46" s="5" t="str">
        <f>IFERROR(__xludf.DUMMYFUNCTION("""COMPUTED_VALUE"""),"BYR VIA E-BANKING")</f>
        <v>BYR VIA E-BANKING</v>
      </c>
      <c r="C46" s="5" t="str">
        <f>IFERROR(__xludf.DUMMYFUNCTION("""COMPUTED_VALUE"""),"20/04  WSID9503102 1220 TELKOMSEL 82318368518 MUHAMMAD HAIRUL MA")</f>
        <v>20/04  WSID9503102 1220 TELKOMSEL 82318368518 MUHAMMAD HAIRUL MA</v>
      </c>
      <c r="D46" s="5">
        <f>IFERROR(__xludf.DUMMYFUNCTION("""COMPUTED_VALUE"""),52000.0)</f>
        <v>52000</v>
      </c>
      <c r="E46" s="5"/>
      <c r="F46" s="5"/>
      <c r="G46" s="5">
        <f>IFERROR(__xludf.DUMMYFUNCTION("""COMPUTED_VALUE"""),2.4454857329999924E7)</f>
        <v>24454857.33</v>
      </c>
      <c r="H46" s="5"/>
      <c r="I46" s="5" t="str">
        <f>IFERROR(__xludf.DUMMYFUNCTION("""COMPUTED_VALUE"""),"PRODUKSI")</f>
        <v>PRODUKSI</v>
      </c>
    </row>
    <row r="47">
      <c r="A47" s="9">
        <f>IFERROR(__xludf.DUMMYFUNCTION("""COMPUTED_VALUE"""),46132.0)</f>
        <v>46132</v>
      </c>
      <c r="B47" s="5" t="str">
        <f>IFERROR(__xludf.DUMMYFUNCTION("""COMPUTED_VALUE"""),"BYR VIA E-BANKING")</f>
        <v>BYR VIA E-BANKING</v>
      </c>
      <c r="C47" s="5" t="str">
        <f>IFERROR(__xludf.DUMMYFUNCTION("""COMPUTED_VALUE"""),"20/04  WSID9503102 1220 TELKOMSEL 82318368518 MUHAMMAD HAIRUL MA")</f>
        <v>20/04  WSID9503102 1220 TELKOMSEL 82318368518 MUHAMMAD HAIRUL MA</v>
      </c>
      <c r="D47" s="5">
        <f>IFERROR(__xludf.DUMMYFUNCTION("""COMPUTED_VALUE"""),102000.0)</f>
        <v>102000</v>
      </c>
      <c r="E47" s="5"/>
      <c r="F47" s="5"/>
      <c r="G47" s="5">
        <f>IFERROR(__xludf.DUMMYFUNCTION("""COMPUTED_VALUE"""),2.4352857329999924E7)</f>
        <v>24352857.33</v>
      </c>
      <c r="H47" s="5">
        <f>IFERROR(__xludf.DUMMYFUNCTION("""COMPUTED_VALUE"""),2.435285733E7)</f>
        <v>24352857.33</v>
      </c>
      <c r="I47" s="5" t="str">
        <f>IFERROR(__xludf.DUMMYFUNCTION("""COMPUTED_VALUE"""),"PRODUKSI")</f>
        <v>PRODUKSI</v>
      </c>
    </row>
    <row r="48">
      <c r="A48" s="9">
        <f>IFERROR(__xludf.DUMMYFUNCTION("""COMPUTED_VALUE"""),46133.0)</f>
        <v>46133</v>
      </c>
      <c r="B48" s="5" t="str">
        <f>IFERROR(__xludf.DUMMYFUNCTION("""COMPUTED_VALUE"""),"TRSF E-BANKING DB TANGGAL :20/04")</f>
        <v>TRSF E-BANKING DB TANGGAL :20/04</v>
      </c>
      <c r="C48" s="5" t="str">
        <f>IFERROR(__xludf.DUMMYFUNCTION("""COMPUTED_VALUE"""),"2004/FTSCY/WS95031 Sun Apr 19 2026 14:00:00 GMT+0700 (Western Indonesia Time) ANDALAN YASA MITRA")</f>
        <v>2004/FTSCY/WS95031 Sun Apr 19 2026 14:00:00 GMT+0700 (Western Indonesia Time) ANDALAN YASA MITRA</v>
      </c>
      <c r="D48" s="5">
        <f>IFERROR(__xludf.DUMMYFUNCTION("""COMPUTED_VALUE"""),2.64E7)</f>
        <v>26400000</v>
      </c>
      <c r="E48" s="5"/>
      <c r="F48" s="5" t="str">
        <f>IFERROR(__xludf.DUMMYFUNCTION("""COMPUTED_VALUE"""),"DB")</f>
        <v>DB</v>
      </c>
      <c r="G48" s="5">
        <f>IFERROR(__xludf.DUMMYFUNCTION("""COMPUTED_VALUE"""),3.1352857329999924E7)</f>
        <v>31352857.33</v>
      </c>
      <c r="H48" s="5"/>
      <c r="I48" s="5" t="str">
        <f>IFERROR(__xludf.DUMMYFUNCTION("""COMPUTED_VALUE"""),"PRODUKSI")</f>
        <v>PRODUKSI</v>
      </c>
    </row>
    <row r="49">
      <c r="A49" s="9">
        <f>IFERROR(__xludf.DUMMYFUNCTION("""COMPUTED_VALUE"""),46133.0)</f>
        <v>46133</v>
      </c>
      <c r="B49" s="5" t="str">
        <f>IFERROR(__xludf.DUMMYFUNCTION("""COMPUTED_VALUE"""),"BIAYA ADM")</f>
        <v>BIAYA ADM</v>
      </c>
      <c r="C49" s="5" t="str">
        <f>IFERROR(__xludf.DUMMYFUNCTION("""COMPUTED_VALUE"""),"BIAYA ADM")</f>
        <v>BIAYA ADM</v>
      </c>
      <c r="D49" s="5">
        <f>IFERROR(__xludf.DUMMYFUNCTION("""COMPUTED_VALUE"""),19000.0)</f>
        <v>19000</v>
      </c>
      <c r="E49" s="5"/>
      <c r="F49" s="5"/>
      <c r="G49" s="5">
        <f>IFERROR(__xludf.DUMMYFUNCTION("""COMPUTED_VALUE"""),3.815085732999992E7)</f>
        <v>38150857.33</v>
      </c>
      <c r="H49" s="5">
        <f>IFERROR(__xludf.DUMMYFUNCTION("""COMPUTED_VALUE"""),3.815085733E7)</f>
        <v>38150857.33</v>
      </c>
      <c r="I49" s="5" t="str">
        <f>IFERROR(__xludf.DUMMYFUNCTION("""COMPUTED_VALUE"""),"PRODUKSI")</f>
        <v>PRODUKSI</v>
      </c>
    </row>
    <row r="50">
      <c r="A50" s="9">
        <f>IFERROR(__xludf.DUMMYFUNCTION("""COMPUTED_VALUE"""),46134.0)</f>
        <v>46134</v>
      </c>
      <c r="B50" s="5" t="str">
        <f>IFERROR(__xludf.DUMMYFUNCTION("""COMPUTED_VALUE"""),"TRSF E-BANKING DB")</f>
        <v>TRSF E-BANKING DB</v>
      </c>
      <c r="C50" s="5" t="str">
        <f>IFERROR(__xludf.DUMMYFUNCTION("""COMPUTED_VALUE"""),"2204/FTSCY/WS95031 357120.00 ANDE DOSO ANGGORO")</f>
        <v>2204/FTSCY/WS95031 357120.00 ANDE DOSO ANGGORO</v>
      </c>
      <c r="D50" s="5">
        <f>IFERROR(__xludf.DUMMYFUNCTION("""COMPUTED_VALUE"""),357120.0)</f>
        <v>357120</v>
      </c>
      <c r="E50" s="5"/>
      <c r="F50" s="5" t="str">
        <f>IFERROR(__xludf.DUMMYFUNCTION("""COMPUTED_VALUE"""),"DB")</f>
        <v>DB</v>
      </c>
      <c r="G50" s="5">
        <f>IFERROR(__xludf.DUMMYFUNCTION("""COMPUTED_VALUE"""),3.779373732999992E7)</f>
        <v>37793737.33</v>
      </c>
      <c r="H50" s="5">
        <f>IFERROR(__xludf.DUMMYFUNCTION("""COMPUTED_VALUE"""),3.779373733E7)</f>
        <v>37793737.33</v>
      </c>
      <c r="I50" s="5" t="str">
        <f>IFERROR(__xludf.DUMMYFUNCTION("""COMPUTED_VALUE"""),"PRODUKSI")</f>
        <v>PRODUKSI</v>
      </c>
    </row>
    <row r="51">
      <c r="A51" s="9">
        <f>IFERROR(__xludf.DUMMYFUNCTION("""COMPUTED_VALUE"""),46135.0)</f>
        <v>46135</v>
      </c>
      <c r="B51" s="5" t="str">
        <f>IFERROR(__xludf.DUMMYFUNCTION("""COMPUTED_VALUE"""),"BYR VIA E-BANKING")</f>
        <v>BYR VIA E-BANKING</v>
      </c>
      <c r="C51" s="5" t="str">
        <f>IFERROR(__xludf.DUMMYFUNCTION("""COMPUTED_VALUE"""),"23/04  WSID9503102 0507 FIF 803001249921 MUHAMMAD HAIRUL MA")</f>
        <v>23/04  WSID9503102 0507 FIF 803001249921 MUHAMMAD HAIRUL MA</v>
      </c>
      <c r="D51" s="5">
        <f>IFERROR(__xludf.DUMMYFUNCTION("""COMPUTED_VALUE"""),750000.0)</f>
        <v>750000</v>
      </c>
      <c r="E51" s="5"/>
      <c r="F51" s="5"/>
      <c r="G51" s="5">
        <f>IFERROR(__xludf.DUMMYFUNCTION("""COMPUTED_VALUE"""),3.704373732999992E7)</f>
        <v>37043737.33</v>
      </c>
      <c r="H51" s="5"/>
      <c r="I51" s="5" t="str">
        <f>IFERROR(__xludf.DUMMYFUNCTION("""COMPUTED_VALUE"""),"PRODUKSI")</f>
        <v>PRODUKSI</v>
      </c>
    </row>
    <row r="52">
      <c r="A52" s="9">
        <f>IFERROR(__xludf.DUMMYFUNCTION("""COMPUTED_VALUE"""),46135.0)</f>
        <v>46135</v>
      </c>
      <c r="B52" s="5" t="str">
        <f>IFERROR(__xludf.DUMMYFUNCTION("""COMPUTED_VALUE"""),"TARIKAN ATM 23/04")</f>
        <v>TARIKAN ATM 23/04</v>
      </c>
      <c r="C52" s="5" t="str">
        <f>IFERROR(__xludf.DUMMYFUNCTION("""COMPUTED_VALUE"""),"TARIKAN ATM 23/04")</f>
        <v>TARIKAN ATM 23/04</v>
      </c>
      <c r="D52" s="5">
        <f>IFERROR(__xludf.DUMMYFUNCTION("""COMPUTED_VALUE"""),200000.0)</f>
        <v>200000</v>
      </c>
      <c r="E52" s="5"/>
      <c r="F52" s="5"/>
      <c r="G52" s="5">
        <f>IFERROR(__xludf.DUMMYFUNCTION("""COMPUTED_VALUE"""),3.684373732999992E7)</f>
        <v>36843737.33</v>
      </c>
      <c r="H52" s="5"/>
      <c r="I52" s="5" t="str">
        <f>IFERROR(__xludf.DUMMYFUNCTION("""COMPUTED_VALUE"""),"PRODUKSI")</f>
        <v>PRODUKSI</v>
      </c>
    </row>
    <row r="53">
      <c r="A53" s="9">
        <f>IFERROR(__xludf.DUMMYFUNCTION("""COMPUTED_VALUE"""),46135.0)</f>
        <v>46135</v>
      </c>
      <c r="B53" s="5" t="str">
        <f>IFERROR(__xludf.DUMMYFUNCTION("""COMPUTED_VALUE"""),"BYR VIA E-BANKING")</f>
        <v>BYR VIA E-BANKING</v>
      </c>
      <c r="C53" s="5" t="str">
        <f>IFERROR(__xludf.DUMMYFUNCTION("""COMPUTED_VALUE"""),"23/04  WSID9503102 1220 TELKOMSEL 81326518324 MUHAMMAD HAIRUL MA")</f>
        <v>23/04  WSID9503102 1220 TELKOMSEL 81326518324 MUHAMMAD HAIRUL MA</v>
      </c>
      <c r="D53" s="5">
        <f>IFERROR(__xludf.DUMMYFUNCTION("""COMPUTED_VALUE"""),27000.0)</f>
        <v>27000</v>
      </c>
      <c r="E53" s="5"/>
      <c r="F53" s="5"/>
      <c r="G53" s="5">
        <f>IFERROR(__xludf.DUMMYFUNCTION("""COMPUTED_VALUE"""),3.681673732999992E7)</f>
        <v>36816737.33</v>
      </c>
      <c r="H53" s="5">
        <f>IFERROR(__xludf.DUMMYFUNCTION("""COMPUTED_VALUE"""),3.681673733E7)</f>
        <v>36816737.33</v>
      </c>
      <c r="I53" s="5" t="str">
        <f>IFERROR(__xludf.DUMMYFUNCTION("""COMPUTED_VALUE"""),"PRODUKSI")</f>
        <v>PRODUKSI</v>
      </c>
    </row>
    <row r="54">
      <c r="A54" s="9">
        <f>IFERROR(__xludf.DUMMYFUNCTION("""COMPUTED_VALUE"""),46135.0)</f>
        <v>46135</v>
      </c>
      <c r="B54" s="5" t="str">
        <f>IFERROR(__xludf.DUMMYFUNCTION("""COMPUTED_VALUE"""),"BI-FAST DB")</f>
        <v>BI-FAST DB</v>
      </c>
      <c r="C54" s="5" t="str">
        <f>IFERROR(__xludf.DUMMYFUNCTION("""COMPUTED_VALUE"""),"BIF TRANSFER KE 9 MUHAMMAD SODIK M-BCA")</f>
        <v>BIF TRANSFER KE 9 MUHAMMAD SODIK M-BCA</v>
      </c>
      <c r="D54" s="5">
        <f>IFERROR(__xludf.DUMMYFUNCTION("""COMPUTED_VALUE"""),5000000.0)</f>
        <v>5000000</v>
      </c>
      <c r="E54" s="5"/>
      <c r="F54" s="5" t="str">
        <f>IFERROR(__xludf.DUMMYFUNCTION("""COMPUTED_VALUE"""),"DB")</f>
        <v>DB</v>
      </c>
      <c r="G54" s="5">
        <f>IFERROR(__xludf.DUMMYFUNCTION("""COMPUTED_VALUE"""),3.681673732999992E7)</f>
        <v>36816737.33</v>
      </c>
      <c r="H54" s="5"/>
      <c r="I54" s="5" t="str">
        <f>IFERROR(__xludf.DUMMYFUNCTION("""COMPUTED_VALUE"""),"PRODUKSI")</f>
        <v>PRODUKSI</v>
      </c>
    </row>
    <row r="55">
      <c r="A55" s="9">
        <f>IFERROR(__xludf.DUMMYFUNCTION("""COMPUTED_VALUE"""),46135.0)</f>
        <v>46135</v>
      </c>
      <c r="B55" s="5" t="str">
        <f>IFERROR(__xludf.DUMMYFUNCTION("""COMPUTED_VALUE"""),"BI-FAST DB")</f>
        <v>BI-FAST DB</v>
      </c>
      <c r="C55" s="5" t="str">
        <f>IFERROR(__xludf.DUMMYFUNCTION("""COMPUTED_VALUE"""),"BIF BIAYA TXN KE 9 MUHAMMAD SODIK M-BCA")</f>
        <v>BIF BIAYA TXN KE 9 MUHAMMAD SODIK M-BCA</v>
      </c>
      <c r="D55" s="5">
        <f>IFERROR(__xludf.DUMMYFUNCTION("""COMPUTED_VALUE"""),2500.0)</f>
        <v>2500</v>
      </c>
      <c r="E55" s="5"/>
      <c r="F55" s="5" t="str">
        <f>IFERROR(__xludf.DUMMYFUNCTION("""COMPUTED_VALUE"""),"DB")</f>
        <v>DB</v>
      </c>
      <c r="G55" s="5">
        <f>IFERROR(__xludf.DUMMYFUNCTION("""COMPUTED_VALUE"""),3.681423732999992E7)</f>
        <v>36814237.33</v>
      </c>
      <c r="H55" s="5"/>
      <c r="I55" s="5" t="str">
        <f>IFERROR(__xludf.DUMMYFUNCTION("""COMPUTED_VALUE"""),"PRODUKSI")</f>
        <v>PRODUKSI</v>
      </c>
    </row>
    <row r="56">
      <c r="A56" s="9">
        <f>IFERROR(__xludf.DUMMYFUNCTION("""COMPUTED_VALUE"""),46135.0)</f>
        <v>46135</v>
      </c>
      <c r="B56" s="5" t="str">
        <f>IFERROR(__xludf.DUMMYFUNCTION("""COMPUTED_VALUE"""),"TARIKAN ATM 23/04")</f>
        <v>TARIKAN ATM 23/04</v>
      </c>
      <c r="C56" s="5" t="str">
        <f>IFERROR(__xludf.DUMMYFUNCTION("""COMPUTED_VALUE"""),"TARIKAN ATM 23/04")</f>
        <v>TARIKAN ATM 23/04</v>
      </c>
      <c r="D56" s="5">
        <f>IFERROR(__xludf.DUMMYFUNCTION("""COMPUTED_VALUE"""),300000.0)</f>
        <v>300000</v>
      </c>
      <c r="E56" s="5"/>
      <c r="F56" s="5"/>
      <c r="G56" s="5">
        <f>IFERROR(__xludf.DUMMYFUNCTION("""COMPUTED_VALUE"""),3.651423732999992E7)</f>
        <v>36514237.33</v>
      </c>
      <c r="H56" s="5"/>
      <c r="I56" s="5" t="str">
        <f>IFERROR(__xludf.DUMMYFUNCTION("""COMPUTED_VALUE"""),"PRODUKSI")</f>
        <v>PRODUKSI</v>
      </c>
    </row>
    <row r="57">
      <c r="A57" s="9">
        <f>IFERROR(__xludf.DUMMYFUNCTION("""COMPUTED_VALUE"""),46135.0)</f>
        <v>46135</v>
      </c>
      <c r="B57" s="5" t="str">
        <f>IFERROR(__xludf.DUMMYFUNCTION("""COMPUTED_VALUE"""),"TARIKAN ATM 23/04")</f>
        <v>TARIKAN ATM 23/04</v>
      </c>
      <c r="C57" s="5" t="str">
        <f>IFERROR(__xludf.DUMMYFUNCTION("""COMPUTED_VALUE"""),"TARIKAN ATM 23/04")</f>
        <v>TARIKAN ATM 23/04</v>
      </c>
      <c r="D57" s="5">
        <f>IFERROR(__xludf.DUMMYFUNCTION("""COMPUTED_VALUE"""),150000.0)</f>
        <v>150000</v>
      </c>
      <c r="E57" s="5"/>
      <c r="F57" s="5"/>
      <c r="G57" s="5">
        <f>IFERROR(__xludf.DUMMYFUNCTION("""COMPUTED_VALUE"""),3.636423732999992E7)</f>
        <v>36364237.33</v>
      </c>
      <c r="H57" s="5">
        <f>IFERROR(__xludf.DUMMYFUNCTION("""COMPUTED_VALUE"""),3.636423733E7)</f>
        <v>36364237.33</v>
      </c>
      <c r="I57" s="5" t="str">
        <f>IFERROR(__xludf.DUMMYFUNCTION("""COMPUTED_VALUE"""),"PRODUKSI")</f>
        <v>PRODUKSI</v>
      </c>
    </row>
    <row r="58">
      <c r="A58" s="9">
        <f>IFERROR(__xludf.DUMMYFUNCTION("""COMPUTED_VALUE"""),46136.0)</f>
        <v>46136</v>
      </c>
      <c r="B58" s="5" t="str">
        <f>IFERROR(__xludf.DUMMYFUNCTION("""COMPUTED_VALUE"""),"TARIKAN ATM 24/04")</f>
        <v>TARIKAN ATM 24/04</v>
      </c>
      <c r="C58" s="5" t="str">
        <f>IFERROR(__xludf.DUMMYFUNCTION("""COMPUTED_VALUE"""),"TARIKAN ATM 24/04")</f>
        <v>TARIKAN ATM 24/04</v>
      </c>
      <c r="D58" s="5">
        <f>IFERROR(__xludf.DUMMYFUNCTION("""COMPUTED_VALUE"""),200000.0)</f>
        <v>200000</v>
      </c>
      <c r="E58" s="5"/>
      <c r="F58" s="5"/>
      <c r="G58" s="5">
        <f>IFERROR(__xludf.DUMMYFUNCTION("""COMPUTED_VALUE"""),3.656423732999992E7)</f>
        <v>36564237.33</v>
      </c>
      <c r="H58" s="5"/>
      <c r="I58" s="5" t="str">
        <f>IFERROR(__xludf.DUMMYFUNCTION("""COMPUTED_VALUE"""),"PRODUKSI")</f>
        <v>PRODUKSI</v>
      </c>
    </row>
    <row r="59">
      <c r="A59" s="9">
        <f>IFERROR(__xludf.DUMMYFUNCTION("""COMPUTED_VALUE"""),46136.0)</f>
        <v>46136</v>
      </c>
      <c r="B59" s="5" t="str">
        <f>IFERROR(__xludf.DUMMYFUNCTION("""COMPUTED_VALUE"""),"KARTU DEBIT")</f>
        <v>KARTU DEBIT</v>
      </c>
      <c r="C59" s="5" t="str">
        <f>IFERROR(__xludf.DUMMYFUNCTION("""COMPUTED_VALUE"""),"IDM TROJ LANGSEP 6019009510239343")</f>
        <v>IDM TROJ LANGSEP 6019009510239343</v>
      </c>
      <c r="D59" s="5">
        <f>IFERROR(__xludf.DUMMYFUNCTION("""COMPUTED_VALUE"""),207000.0)</f>
        <v>207000</v>
      </c>
      <c r="E59" s="5"/>
      <c r="F59" s="5"/>
      <c r="G59" s="5">
        <f>IFERROR(__xludf.DUMMYFUNCTION("""COMPUTED_VALUE"""),4.035723732999992E7)</f>
        <v>40357237.33</v>
      </c>
      <c r="H59" s="5">
        <f>IFERROR(__xludf.DUMMYFUNCTION("""COMPUTED_VALUE"""),4.035723733E7)</f>
        <v>40357237.33</v>
      </c>
      <c r="I59" s="5" t="str">
        <f>IFERROR(__xludf.DUMMYFUNCTION("""COMPUTED_VALUE"""),"PRODUKSI")</f>
        <v>PRODUKSI</v>
      </c>
    </row>
    <row r="60">
      <c r="A60" s="9">
        <f>IFERROR(__xludf.DUMMYFUNCTION("""COMPUTED_VALUE"""),46137.0)</f>
        <v>46137</v>
      </c>
      <c r="B60" s="5" t="str">
        <f>IFERROR(__xludf.DUMMYFUNCTION("""COMPUTED_VALUE"""),"TARIKAN ATM 25/04")</f>
        <v>TARIKAN ATM 25/04</v>
      </c>
      <c r="C60" s="5" t="str">
        <f>IFERROR(__xludf.DUMMYFUNCTION("""COMPUTED_VALUE"""),"TARIKAN ATM 25/04")</f>
        <v>TARIKAN ATM 25/04</v>
      </c>
      <c r="D60" s="5">
        <f>IFERROR(__xludf.DUMMYFUNCTION("""COMPUTED_VALUE"""),1000000.0)</f>
        <v>1000000</v>
      </c>
      <c r="E60" s="5"/>
      <c r="F60" s="5"/>
      <c r="G60" s="5">
        <f>IFERROR(__xludf.DUMMYFUNCTION("""COMPUTED_VALUE"""),3.935723732999992E7)</f>
        <v>39357237.33</v>
      </c>
      <c r="H60" s="5">
        <f>IFERROR(__xludf.DUMMYFUNCTION("""COMPUTED_VALUE"""),3.935723733E7)</f>
        <v>39357237.33</v>
      </c>
      <c r="I60" s="5" t="str">
        <f>IFERROR(__xludf.DUMMYFUNCTION("""COMPUTED_VALUE"""),"PRODUKSI")</f>
        <v>PRODUKSI</v>
      </c>
    </row>
    <row r="61">
      <c r="A61" s="9">
        <f>IFERROR(__xludf.DUMMYFUNCTION("""COMPUTED_VALUE"""),46138.0)</f>
        <v>46138</v>
      </c>
      <c r="B61" s="5" t="str">
        <f>IFERROR(__xludf.DUMMYFUNCTION("""COMPUTED_VALUE"""),"TRSF E-BANKING DB")</f>
        <v>TRSF E-BANKING DB</v>
      </c>
      <c r="C61" s="5" t="str">
        <f>IFERROR(__xludf.DUMMYFUNCTION("""COMPUTED_VALUE"""),"2604/FTFVA/WS95031 26689/TIKTOK SHOP - - 6310692008983")</f>
        <v>2604/FTFVA/WS95031 26689/TIKTOK SHOP - - 6310692008983</v>
      </c>
      <c r="D61" s="5">
        <f>IFERROR(__xludf.DUMMYFUNCTION("""COMPUTED_VALUE"""),53770.0)</f>
        <v>53770</v>
      </c>
      <c r="E61" s="5"/>
      <c r="F61" s="5" t="str">
        <f>IFERROR(__xludf.DUMMYFUNCTION("""COMPUTED_VALUE"""),"DB")</f>
        <v>DB</v>
      </c>
      <c r="G61" s="5">
        <f>IFERROR(__xludf.DUMMYFUNCTION("""COMPUTED_VALUE"""),3.930346732999992E7)</f>
        <v>39303467.33</v>
      </c>
      <c r="H61" s="5"/>
      <c r="I61" s="5" t="str">
        <f>IFERROR(__xludf.DUMMYFUNCTION("""COMPUTED_VALUE"""),"PRODUKSI")</f>
        <v>PRODUKSI</v>
      </c>
    </row>
    <row r="62">
      <c r="A62" s="9">
        <f>IFERROR(__xludf.DUMMYFUNCTION("""COMPUTED_VALUE"""),46138.0)</f>
        <v>46138</v>
      </c>
      <c r="B62" s="5" t="str">
        <f>IFERROR(__xludf.DUMMYFUNCTION("""COMPUTED_VALUE"""),"BI-FAST DB")</f>
        <v>BI-FAST DB</v>
      </c>
      <c r="C62" s="5" t="str">
        <f>IFERROR(__xludf.DUMMYFUNCTION("""COMPUTED_VALUE"""),"BIF TRANSFER KE 9 MUHAMMAD SODIK M-BCA")</f>
        <v>BIF TRANSFER KE 9 MUHAMMAD SODIK M-BCA</v>
      </c>
      <c r="D62" s="5">
        <f>IFERROR(__xludf.DUMMYFUNCTION("""COMPUTED_VALUE"""),1.380675E7)</f>
        <v>13806750</v>
      </c>
      <c r="E62" s="5"/>
      <c r="F62" s="5" t="str">
        <f>IFERROR(__xludf.DUMMYFUNCTION("""COMPUTED_VALUE"""),"DB")</f>
        <v>DB</v>
      </c>
      <c r="G62" s="5">
        <f>IFERROR(__xludf.DUMMYFUNCTION("""COMPUTED_VALUE"""),1.6329050732999992E8)</f>
        <v>163290507.3</v>
      </c>
      <c r="H62" s="5"/>
      <c r="I62" s="5" t="str">
        <f>IFERROR(__xludf.DUMMYFUNCTION("""COMPUTED_VALUE"""),"PRODUKSI")</f>
        <v>PRODUKSI</v>
      </c>
    </row>
    <row r="63">
      <c r="A63" s="9">
        <f>IFERROR(__xludf.DUMMYFUNCTION("""COMPUTED_VALUE"""),46138.0)</f>
        <v>46138</v>
      </c>
      <c r="B63" s="5" t="str">
        <f>IFERROR(__xludf.DUMMYFUNCTION("""COMPUTED_VALUE"""),"BI-FAST DB")</f>
        <v>BI-FAST DB</v>
      </c>
      <c r="C63" s="5" t="str">
        <f>IFERROR(__xludf.DUMMYFUNCTION("""COMPUTED_VALUE"""),"BIF BIAYA TXN KE 9 MUHAMMAD SODIK M-BCA")</f>
        <v>BIF BIAYA TXN KE 9 MUHAMMAD SODIK M-BCA</v>
      </c>
      <c r="D63" s="5">
        <f>IFERROR(__xludf.DUMMYFUNCTION("""COMPUTED_VALUE"""),2500.0)</f>
        <v>2500</v>
      </c>
      <c r="E63" s="5"/>
      <c r="F63" s="5" t="str">
        <f>IFERROR(__xludf.DUMMYFUNCTION("""COMPUTED_VALUE"""),"DB")</f>
        <v>DB</v>
      </c>
      <c r="G63" s="5">
        <f>IFERROR(__xludf.DUMMYFUNCTION("""COMPUTED_VALUE"""),1.6328800732999992E8)</f>
        <v>163288007.3</v>
      </c>
      <c r="H63" s="5">
        <f>IFERROR(__xludf.DUMMYFUNCTION("""COMPUTED_VALUE"""),1.6328800733E8)</f>
        <v>163288007.3</v>
      </c>
      <c r="I63" s="5" t="str">
        <f>IFERROR(__xludf.DUMMYFUNCTION("""COMPUTED_VALUE"""),"PRODUKSI")</f>
        <v>PRODUKSI</v>
      </c>
    </row>
    <row r="64">
      <c r="A64" s="9">
        <f>IFERROR(__xludf.DUMMYFUNCTION("""COMPUTED_VALUE"""),46139.0)</f>
        <v>46139</v>
      </c>
      <c r="B64" s="5" t="str">
        <f>IFERROR(__xludf.DUMMYFUNCTION("""COMPUTED_VALUE"""),"TRSF E-BANKING DB")</f>
        <v>TRSF E-BANKING DB</v>
      </c>
      <c r="C64" s="5" t="str">
        <f>IFERROR(__xludf.DUMMYFUNCTION("""COMPUTED_VALUE"""),"2704/FTSCY/WS95031 52800000.00 Sun Apr 26 2026 14:00:00 GMT+0700 (Western Indonesia Time) LAWU ABADI NUSA PT")</f>
        <v>2704/FTSCY/WS95031 52800000.00 Sun Apr 26 2026 14:00:00 GMT+0700 (Western Indonesia Time) LAWU ABADI NUSA PT</v>
      </c>
      <c r="D64" s="5">
        <f>IFERROR(__xludf.DUMMYFUNCTION("""COMPUTED_VALUE"""),5.28E7)</f>
        <v>52800000</v>
      </c>
      <c r="E64" s="5"/>
      <c r="F64" s="5" t="str">
        <f>IFERROR(__xludf.DUMMYFUNCTION("""COMPUTED_VALUE"""),"DB")</f>
        <v>DB</v>
      </c>
      <c r="G64" s="5">
        <f>IFERROR(__xludf.DUMMYFUNCTION("""COMPUTED_VALUE"""),5.041480573299999E8)</f>
        <v>504148057.3</v>
      </c>
      <c r="H64" s="5"/>
      <c r="I64" s="5" t="str">
        <f>IFERROR(__xludf.DUMMYFUNCTION("""COMPUTED_VALUE"""),"PRODUKSI")</f>
        <v>PRODUKSI</v>
      </c>
    </row>
    <row r="65">
      <c r="A65" s="9">
        <f>IFERROR(__xludf.DUMMYFUNCTION("""COMPUTED_VALUE"""),46139.0)</f>
        <v>46139</v>
      </c>
      <c r="B65" s="5" t="str">
        <f>IFERROR(__xludf.DUMMYFUNCTION("""COMPUTED_VALUE"""),"TRSF E-BANKING DB")</f>
        <v>TRSF E-BANKING DB</v>
      </c>
      <c r="C65" s="5" t="str">
        <f>IFERROR(__xludf.DUMMYFUNCTION("""COMPUTED_VALUE"""),"2704/FTSCY/WS95271 96330000.00 Sun Apr 26 2026 14:00:00 GMT+0700 (Western Indonesia Time) SUPER UNGGAS JAYA")</f>
        <v>2704/FTSCY/WS95271 96330000.00 Sun Apr 26 2026 14:00:00 GMT+0700 (Western Indonesia Time) SUPER UNGGAS JAYA</v>
      </c>
      <c r="D65" s="5">
        <f>IFERROR(__xludf.DUMMYFUNCTION("""COMPUTED_VALUE"""),9.633E7)</f>
        <v>96330000</v>
      </c>
      <c r="E65" s="5"/>
      <c r="F65" s="5" t="str">
        <f>IFERROR(__xludf.DUMMYFUNCTION("""COMPUTED_VALUE"""),"DB")</f>
        <v>DB</v>
      </c>
      <c r="G65" s="5">
        <f>IFERROR(__xludf.DUMMYFUNCTION("""COMPUTED_VALUE"""),4.078180573299999E8)</f>
        <v>407818057.3</v>
      </c>
      <c r="H65" s="5"/>
      <c r="I65" s="5" t="str">
        <f>IFERROR(__xludf.DUMMYFUNCTION("""COMPUTED_VALUE"""),"PRODUKSI")</f>
        <v>PRODUKSI</v>
      </c>
    </row>
    <row r="66">
      <c r="A66" s="9">
        <f>IFERROR(__xludf.DUMMYFUNCTION("""COMPUTED_VALUE"""),46139.0)</f>
        <v>46139</v>
      </c>
      <c r="B66" s="5" t="str">
        <f>IFERROR(__xludf.DUMMYFUNCTION("""COMPUTED_VALUE"""),"TRSF E-BANKING DB")</f>
        <v>TRSF E-BANKING DB</v>
      </c>
      <c r="C66" s="5" t="str">
        <f>IFERROR(__xludf.DUMMYFUNCTION("""COMPUTED_VALUE"""),"2704/FTSCY/WS95271 1140000.00 NURHAYATI")</f>
        <v>2704/FTSCY/WS95271 1140000.00 NURHAYATI</v>
      </c>
      <c r="D66" s="5">
        <f>IFERROR(__xludf.DUMMYFUNCTION("""COMPUTED_VALUE"""),1140000.0)</f>
        <v>1140000</v>
      </c>
      <c r="E66" s="5"/>
      <c r="F66" s="5" t="str">
        <f>IFERROR(__xludf.DUMMYFUNCTION("""COMPUTED_VALUE"""),"DB")</f>
        <v>DB</v>
      </c>
      <c r="G66" s="5">
        <f>IFERROR(__xludf.DUMMYFUNCTION("""COMPUTED_VALUE"""),4.066780573299999E8)</f>
        <v>406678057.3</v>
      </c>
      <c r="H66" s="5"/>
      <c r="I66" s="5" t="str">
        <f>IFERROR(__xludf.DUMMYFUNCTION("""COMPUTED_VALUE"""),"PRODUKSI")</f>
        <v>PRODUKSI</v>
      </c>
    </row>
    <row r="67">
      <c r="A67" s="9">
        <f>IFERROR(__xludf.DUMMYFUNCTION("""COMPUTED_VALUE"""),46139.0)</f>
        <v>46139</v>
      </c>
      <c r="B67" s="5" t="str">
        <f>IFERROR(__xludf.DUMMYFUNCTION("""COMPUTED_VALUE"""),"TRSF E-BANKING DB")</f>
        <v>TRSF E-BANKING DB</v>
      </c>
      <c r="C67" s="5" t="str">
        <f>IFERROR(__xludf.DUMMYFUNCTION("""COMPUTED_VALUE"""),"2704/FTSCY/WS95271 134887350.00 Sun Apr 26 2026 14:00:00 GMT+0700 (Western Indonesia Time) ANUGERAH KARTIKA A")</f>
        <v>2704/FTSCY/WS95271 134887350.00 Sun Apr 26 2026 14:00:00 GMT+0700 (Western Indonesia Time) ANUGERAH KARTIKA A</v>
      </c>
      <c r="D67" s="5">
        <f>IFERROR(__xludf.DUMMYFUNCTION("""COMPUTED_VALUE"""),1.3488735E8)</f>
        <v>134887350</v>
      </c>
      <c r="E67" s="5"/>
      <c r="F67" s="5" t="str">
        <f>IFERROR(__xludf.DUMMYFUNCTION("""COMPUTED_VALUE"""),"DB")</f>
        <v>DB</v>
      </c>
      <c r="G67" s="5">
        <f>IFERROR(__xludf.DUMMYFUNCTION("""COMPUTED_VALUE"""),2.717907073299999E8)</f>
        <v>271790707.3</v>
      </c>
      <c r="H67" s="5"/>
      <c r="I67" s="5" t="str">
        <f>IFERROR(__xludf.DUMMYFUNCTION("""COMPUTED_VALUE"""),"PRODUKSI")</f>
        <v>PRODUKSI</v>
      </c>
    </row>
    <row r="68">
      <c r="A68" s="9">
        <f>IFERROR(__xludf.DUMMYFUNCTION("""COMPUTED_VALUE"""),46139.0)</f>
        <v>46139</v>
      </c>
      <c r="B68" s="5" t="str">
        <f>IFERROR(__xludf.DUMMYFUNCTION("""COMPUTED_VALUE"""),"TRSF E-BANKING DB")</f>
        <v>TRSF E-BANKING DB</v>
      </c>
      <c r="C68" s="5" t="str">
        <f>IFERROR(__xludf.DUMMYFUNCTION("""COMPUTED_VALUE"""),"2704/FTSCY/WS95031 500000.00 ongkos parcel adi EKO SETIYAWAN")</f>
        <v>2704/FTSCY/WS95031 500000.00 ongkos parcel adi EKO SETIYAWAN</v>
      </c>
      <c r="D68" s="5">
        <f>IFERROR(__xludf.DUMMYFUNCTION("""COMPUTED_VALUE"""),500000.0)</f>
        <v>500000</v>
      </c>
      <c r="E68" s="5"/>
      <c r="F68" s="5" t="str">
        <f>IFERROR(__xludf.DUMMYFUNCTION("""COMPUTED_VALUE"""),"DB")</f>
        <v>DB</v>
      </c>
      <c r="G68" s="5">
        <f>IFERROR(__xludf.DUMMYFUNCTION("""COMPUTED_VALUE"""),2.712907073299999E8)</f>
        <v>271290707.3</v>
      </c>
      <c r="H68" s="5">
        <f>IFERROR(__xludf.DUMMYFUNCTION("""COMPUTED_VALUE"""),2.7129070733E8)</f>
        <v>271290707.3</v>
      </c>
      <c r="I68" s="5" t="str">
        <f>IFERROR(__xludf.DUMMYFUNCTION("""COMPUTED_VALUE"""),"PRODUKSI")</f>
        <v>PRODUKSI</v>
      </c>
    </row>
    <row r="69">
      <c r="A69" s="9">
        <f>IFERROR(__xludf.DUMMYFUNCTION("""COMPUTED_VALUE"""),46140.0)</f>
        <v>46140</v>
      </c>
      <c r="B69" s="5" t="str">
        <f>IFERROR(__xludf.DUMMYFUNCTION("""COMPUTED_VALUE"""),"TRSF E-BANKING DB")</f>
        <v>TRSF E-BANKING DB</v>
      </c>
      <c r="C69" s="5" t="str">
        <f>IFERROR(__xludf.DUMMYFUNCTION("""COMPUTED_VALUE"""),"2804/FTSCY/WS95031 1058700.00 MUJIANTO")</f>
        <v>2804/FTSCY/WS95031 1058700.00 MUJIANTO</v>
      </c>
      <c r="D69" s="5">
        <f>IFERROR(__xludf.DUMMYFUNCTION("""COMPUTED_VALUE"""),1058700.0)</f>
        <v>1058700</v>
      </c>
      <c r="E69" s="5"/>
      <c r="F69" s="5" t="str">
        <f>IFERROR(__xludf.DUMMYFUNCTION("""COMPUTED_VALUE"""),"DB")</f>
        <v>DB</v>
      </c>
      <c r="G69" s="5">
        <f>IFERROR(__xludf.DUMMYFUNCTION("""COMPUTED_VALUE"""),2.702320073299999E8)</f>
        <v>270232007.3</v>
      </c>
      <c r="H69" s="5"/>
      <c r="I69" s="5" t="str">
        <f>IFERROR(__xludf.DUMMYFUNCTION("""COMPUTED_VALUE"""),"PRODUKSI")</f>
        <v>PRODUKSI</v>
      </c>
    </row>
    <row r="70">
      <c r="A70" s="9">
        <f>IFERROR(__xludf.DUMMYFUNCTION("""COMPUTED_VALUE"""),46140.0)</f>
        <v>46140</v>
      </c>
      <c r="B70" s="5" t="str">
        <f>IFERROR(__xludf.DUMMYFUNCTION("""COMPUTED_VALUE"""),"TRSF E-BANKING DB")</f>
        <v>TRSF E-BANKING DB</v>
      </c>
      <c r="C70" s="5" t="str">
        <f>IFERROR(__xludf.DUMMYFUNCTION("""COMPUTED_VALUE"""),"2804/FTSCY/WS95031 700000.00 madiun sidoraya HERMAWAN")</f>
        <v>2804/FTSCY/WS95031 700000.00 madiun sidoraya HERMAWAN</v>
      </c>
      <c r="D70" s="5">
        <f>IFERROR(__xludf.DUMMYFUNCTION("""COMPUTED_VALUE"""),700000.0)</f>
        <v>700000</v>
      </c>
      <c r="E70" s="5"/>
      <c r="F70" s="5" t="str">
        <f>IFERROR(__xludf.DUMMYFUNCTION("""COMPUTED_VALUE"""),"DB")</f>
        <v>DB</v>
      </c>
      <c r="G70" s="5">
        <f>IFERROR(__xludf.DUMMYFUNCTION("""COMPUTED_VALUE"""),2.695320073299999E8)</f>
        <v>269532007.3</v>
      </c>
      <c r="H70" s="5"/>
      <c r="I70" s="5" t="str">
        <f>IFERROR(__xludf.DUMMYFUNCTION("""COMPUTED_VALUE"""),"PRODUKSI")</f>
        <v>PRODUKSI</v>
      </c>
    </row>
    <row r="71">
      <c r="A71" s="9">
        <f>IFERROR(__xludf.DUMMYFUNCTION("""COMPUTED_VALUE"""),46140.0)</f>
        <v>46140</v>
      </c>
      <c r="B71" s="5" t="str">
        <f>IFERROR(__xludf.DUMMYFUNCTION("""COMPUTED_VALUE"""),"TRSF E-BANKING DB")</f>
        <v>TRSF E-BANKING DB</v>
      </c>
      <c r="C71" s="5" t="str">
        <f>IFERROR(__xludf.DUMMYFUNCTION("""COMPUTED_VALUE"""),"2804/FTSCY/WS95271 250000000.00 kd broto ponorogo UNGGAS MANDIRI BER")</f>
        <v>2804/FTSCY/WS95271 250000000.00 kd broto ponorogo UNGGAS MANDIRI BER</v>
      </c>
      <c r="D71" s="5">
        <f>IFERROR(__xludf.DUMMYFUNCTION("""COMPUTED_VALUE"""),2.5E8)</f>
        <v>250000000</v>
      </c>
      <c r="E71" s="5"/>
      <c r="F71" s="5" t="str">
        <f>IFERROR(__xludf.DUMMYFUNCTION("""COMPUTED_VALUE"""),"DB")</f>
        <v>DB</v>
      </c>
      <c r="G71" s="5">
        <f>IFERROR(__xludf.DUMMYFUNCTION("""COMPUTED_VALUE"""),5.978414732999992E7)</f>
        <v>59784147.33</v>
      </c>
      <c r="H71" s="5"/>
      <c r="I71" s="5" t="str">
        <f>IFERROR(__xludf.DUMMYFUNCTION("""COMPUTED_VALUE"""),"PRODUKSI")</f>
        <v>PRODUKSI</v>
      </c>
    </row>
    <row r="72">
      <c r="A72" s="9">
        <f>IFERROR(__xludf.DUMMYFUNCTION("""COMPUTED_VALUE"""),46140.0)</f>
        <v>46140</v>
      </c>
      <c r="B72" s="5" t="str">
        <f>IFERROR(__xludf.DUMMYFUNCTION("""COMPUTED_VALUE"""),"TRSF E-BANKING DB")</f>
        <v>TRSF E-BANKING DB</v>
      </c>
      <c r="C72" s="5" t="str">
        <f>IFERROR(__xludf.DUMMYFUNCTION("""COMPUTED_VALUE"""),"2804/FTSCY/WS95031 3000000.00 SUNARTO")</f>
        <v>2804/FTSCY/WS95031 3000000.00 SUNARTO</v>
      </c>
      <c r="D72" s="5">
        <f>IFERROR(__xludf.DUMMYFUNCTION("""COMPUTED_VALUE"""),3000000.0)</f>
        <v>3000000</v>
      </c>
      <c r="E72" s="5"/>
      <c r="F72" s="5" t="str">
        <f>IFERROR(__xludf.DUMMYFUNCTION("""COMPUTED_VALUE"""),"DB")</f>
        <v>DB</v>
      </c>
      <c r="G72" s="5">
        <f>IFERROR(__xludf.DUMMYFUNCTION("""COMPUTED_VALUE"""),2.0835176732999992E8)</f>
        <v>208351767.3</v>
      </c>
      <c r="H72" s="5"/>
      <c r="I72" s="5" t="str">
        <f>IFERROR(__xludf.DUMMYFUNCTION("""COMPUTED_VALUE"""),"PRODUKSI")</f>
        <v>PRODUKSI</v>
      </c>
    </row>
    <row r="73">
      <c r="A73" s="9">
        <f>IFERROR(__xludf.DUMMYFUNCTION("""COMPUTED_VALUE"""),46140.0)</f>
        <v>46140</v>
      </c>
      <c r="B73" s="5" t="str">
        <f>IFERROR(__xludf.DUMMYFUNCTION("""COMPUTED_VALUE"""),"TRSF E-BANKING DB")</f>
        <v>TRSF E-BANKING DB</v>
      </c>
      <c r="C73" s="5" t="str">
        <f>IFERROR(__xludf.DUMMYFUNCTION("""COMPUTED_VALUE"""),"2804/FTSCY/WS95031 30895800.00 ponorogo 17 ton UNGGAS MANDIRI BER")</f>
        <v>2804/FTSCY/WS95031 30895800.00 ponorogo 17 ton UNGGAS MANDIRI BER</v>
      </c>
      <c r="D73" s="5">
        <f>IFERROR(__xludf.DUMMYFUNCTION("""COMPUTED_VALUE"""),3.08958E7)</f>
        <v>30895800</v>
      </c>
      <c r="E73" s="5"/>
      <c r="F73" s="5" t="str">
        <f>IFERROR(__xludf.DUMMYFUNCTION("""COMPUTED_VALUE"""),"DB")</f>
        <v>DB</v>
      </c>
      <c r="G73" s="5">
        <f>IFERROR(__xludf.DUMMYFUNCTION("""COMPUTED_VALUE"""),2.774559673299999E8)</f>
        <v>277455967.3</v>
      </c>
      <c r="H73" s="5">
        <f>IFERROR(__xludf.DUMMYFUNCTION("""COMPUTED_VALUE"""),2.7745596733E8)</f>
        <v>277455967.3</v>
      </c>
      <c r="I73" s="5" t="str">
        <f>IFERROR(__xludf.DUMMYFUNCTION("""COMPUTED_VALUE"""),"PRODUKSI")</f>
        <v>PRODUKSI</v>
      </c>
    </row>
    <row r="74">
      <c r="A74" s="9">
        <f>IFERROR(__xludf.DUMMYFUNCTION("""COMPUTED_VALUE"""),46140.0)</f>
        <v>46140</v>
      </c>
      <c r="B74" s="5" t="str">
        <f>IFERROR(__xludf.DUMMYFUNCTION("""COMPUTED_VALUE"""),"TRSF E-BANKING DB")</f>
        <v>TRSF E-BANKING DB</v>
      </c>
      <c r="C74" s="5" t="str">
        <f>IFERROR(__xludf.DUMMYFUNCTION("""COMPUTED_VALUE"""),"2804/FTSCY/WS95031 2268250.00 t.agung lunas SUNARTO")</f>
        <v>2804/FTSCY/WS95031 2268250.00 t.agung lunas SUNARTO</v>
      </c>
      <c r="D74" s="5">
        <f>IFERROR(__xludf.DUMMYFUNCTION("""COMPUTED_VALUE"""),2268250.0)</f>
        <v>2268250</v>
      </c>
      <c r="E74" s="5"/>
      <c r="F74" s="5" t="str">
        <f>IFERROR(__xludf.DUMMYFUNCTION("""COMPUTED_VALUE"""),"DB")</f>
        <v>DB</v>
      </c>
      <c r="G74" s="5">
        <f>IFERROR(__xludf.DUMMYFUNCTION("""COMPUTED_VALUE"""),2.751877173299999E8)</f>
        <v>275187717.3</v>
      </c>
      <c r="H74" s="5"/>
      <c r="I74" s="5" t="str">
        <f>IFERROR(__xludf.DUMMYFUNCTION("""COMPUTED_VALUE"""),"PRODUKSI")</f>
        <v>PRODUKSI</v>
      </c>
    </row>
    <row r="75">
      <c r="A75" s="9">
        <f>IFERROR(__xludf.DUMMYFUNCTION("""COMPUTED_VALUE"""),46140.0)</f>
        <v>46140</v>
      </c>
      <c r="B75" s="5" t="str">
        <f>IFERROR(__xludf.DUMMYFUNCTION("""COMPUTED_VALUE"""),"TRSF E-BANKING DB")</f>
        <v>TRSF E-BANKING DB</v>
      </c>
      <c r="C75" s="5" t="str">
        <f>IFERROR(__xludf.DUMMYFUNCTION("""COMPUTED_VALUE"""),"2804/FTSCY/WS95031 42160000.00 Sun Apr 26 2026 14:00:00 GMT+0700 (Western Indonesia Time) RUKUN MITRA BERSAM")</f>
        <v>2804/FTSCY/WS95031 42160000.00 Sun Apr 26 2026 14:00:00 GMT+0700 (Western Indonesia Time) RUKUN MITRA BERSAM</v>
      </c>
      <c r="D75" s="5">
        <f>IFERROR(__xludf.DUMMYFUNCTION("""COMPUTED_VALUE"""),4.216E7)</f>
        <v>42160000</v>
      </c>
      <c r="E75" s="5"/>
      <c r="F75" s="5" t="str">
        <f>IFERROR(__xludf.DUMMYFUNCTION("""COMPUTED_VALUE"""),"DB")</f>
        <v>DB</v>
      </c>
      <c r="G75" s="5">
        <f>IFERROR(__xludf.DUMMYFUNCTION("""COMPUTED_VALUE"""),2.3302771732999992E8)</f>
        <v>233027717.3</v>
      </c>
      <c r="H75" s="5"/>
      <c r="I75" s="5" t="str">
        <f>IFERROR(__xludf.DUMMYFUNCTION("""COMPUTED_VALUE"""),"PRODUKSI")</f>
        <v>PRODUKSI</v>
      </c>
    </row>
    <row r="76">
      <c r="A76" s="9">
        <f>IFERROR(__xludf.DUMMYFUNCTION("""COMPUTED_VALUE"""),46140.0)</f>
        <v>46140</v>
      </c>
      <c r="B76" s="5" t="str">
        <f>IFERROR(__xludf.DUMMYFUNCTION("""COMPUTED_VALUE"""),"TRSF E-BANKING DB")</f>
        <v>TRSF E-BANKING DB</v>
      </c>
      <c r="C76" s="5" t="str">
        <f>IFERROR(__xludf.DUMMYFUNCTION("""COMPUTED_VALUE"""),"2804/FTSCY/WS95011 146947920.00 Mon Apr 27 2026 14:00:00 GMT+0700 (Western Indonesia Time) SUPER UNGGAS JAYA")</f>
        <v>2804/FTSCY/WS95011 146947920.00 Mon Apr 27 2026 14:00:00 GMT+0700 (Western Indonesia Time) SUPER UNGGAS JAYA</v>
      </c>
      <c r="D76" s="5">
        <f>IFERROR(__xludf.DUMMYFUNCTION("""COMPUTED_VALUE"""),1.4694792E8)</f>
        <v>146947920</v>
      </c>
      <c r="E76" s="5"/>
      <c r="F76" s="5" t="str">
        <f>IFERROR(__xludf.DUMMYFUNCTION("""COMPUTED_VALUE"""),"DB")</f>
        <v>DB</v>
      </c>
      <c r="G76" s="5">
        <f>IFERROR(__xludf.DUMMYFUNCTION("""COMPUTED_VALUE"""),8.607979732999992E7)</f>
        <v>86079797.33</v>
      </c>
      <c r="H76" s="5"/>
      <c r="I76" s="5" t="str">
        <f>IFERROR(__xludf.DUMMYFUNCTION("""COMPUTED_VALUE"""),"PRODUKSI")</f>
        <v>PRODUKSI</v>
      </c>
    </row>
    <row r="77">
      <c r="A77" s="9">
        <f>IFERROR(__xludf.DUMMYFUNCTION("""COMPUTED_VALUE"""),46140.0)</f>
        <v>46140</v>
      </c>
      <c r="B77" s="5" t="str">
        <f>IFERROR(__xludf.DUMMYFUNCTION("""COMPUTED_VALUE"""),"TRSF E-BANKING DB")</f>
        <v>TRSF E-BANKING DB</v>
      </c>
      <c r="C77" s="5" t="str">
        <f>IFERROR(__xludf.DUMMYFUNCTION("""COMPUTED_VALUE"""),"2804/FTSCY/WS95011 44744440.00 Mon Apr 27 2026 14:00:00 GMT+0700 (Western Indonesia Time) GANESHA SATRIA NUS")</f>
        <v>2804/FTSCY/WS95011 44744440.00 Mon Apr 27 2026 14:00:00 GMT+0700 (Western Indonesia Time) GANESHA SATRIA NUS</v>
      </c>
      <c r="D77" s="5">
        <f>IFERROR(__xludf.DUMMYFUNCTION("""COMPUTED_VALUE"""),4.474444E7)</f>
        <v>44744440</v>
      </c>
      <c r="E77" s="5"/>
      <c r="F77" s="5" t="str">
        <f>IFERROR(__xludf.DUMMYFUNCTION("""COMPUTED_VALUE"""),"DB")</f>
        <v>DB</v>
      </c>
      <c r="G77" s="5">
        <f>IFERROR(__xludf.DUMMYFUNCTION("""COMPUTED_VALUE"""),4.133535732999992E7)</f>
        <v>41335357.33</v>
      </c>
      <c r="H77" s="5">
        <f>IFERROR(__xludf.DUMMYFUNCTION("""COMPUTED_VALUE"""),4.133535733E7)</f>
        <v>41335357.33</v>
      </c>
      <c r="I77" s="5" t="str">
        <f>IFERROR(__xludf.DUMMYFUNCTION("""COMPUTED_VALUE"""),"PRODUKSI")</f>
        <v>PRODUKSI</v>
      </c>
    </row>
    <row r="78">
      <c r="A78" s="9">
        <f>IFERROR(__xludf.DUMMYFUNCTION("""COMPUTED_VALUE"""),46141.0)</f>
        <v>46141</v>
      </c>
      <c r="B78" s="5" t="str">
        <f>IFERROR(__xludf.DUMMYFUNCTION("""COMPUTED_VALUE"""),"TRSF E-BANKING DB")</f>
        <v>TRSF E-BANKING DB</v>
      </c>
      <c r="C78" s="5" t="str">
        <f>IFERROR(__xludf.DUMMYFUNCTION("""COMPUTED_VALUE"""),"2904/FTSCY/WS95031 45449500.00 Mon Apr 27 2026 14:00:00 GMT+0700 (Western Indonesia Time) BINTANG TAMA SANTO")</f>
        <v>2904/FTSCY/WS95031 45449500.00 Mon Apr 27 2026 14:00:00 GMT+0700 (Western Indonesia Time) BINTANG TAMA SANTO</v>
      </c>
      <c r="D78" s="5">
        <f>IFERROR(__xludf.DUMMYFUNCTION("""COMPUTED_VALUE"""),4.54495E7)</f>
        <v>45449500</v>
      </c>
      <c r="E78" s="5"/>
      <c r="F78" s="5" t="str">
        <f>IFERROR(__xludf.DUMMYFUNCTION("""COMPUTED_VALUE"""),"DB")</f>
        <v>DB</v>
      </c>
      <c r="G78" s="5">
        <f>IFERROR(__xludf.DUMMYFUNCTION("""COMPUTED_VALUE"""),3.376449773299999E8)</f>
        <v>337644977.3</v>
      </c>
      <c r="H78" s="5"/>
      <c r="I78" s="5" t="str">
        <f>IFERROR(__xludf.DUMMYFUNCTION("""COMPUTED_VALUE"""),"PRODUKSI")</f>
        <v>PRODUKSI</v>
      </c>
    </row>
    <row r="79">
      <c r="A79" s="9">
        <f>IFERROR(__xludf.DUMMYFUNCTION("""COMPUTED_VALUE"""),46141.0)</f>
        <v>46141</v>
      </c>
      <c r="B79" s="5" t="str">
        <f>IFERROR(__xludf.DUMMYFUNCTION("""COMPUTED_VALUE"""),"TRSF E-BANKING DB")</f>
        <v>TRSF E-BANKING DB</v>
      </c>
      <c r="C79" s="5" t="str">
        <f>IFERROR(__xludf.DUMMYFUNCTION("""COMPUTED_VALUE"""),"2904/FTSCY/WS95031 9899100.00 ponorogo lunas UNGGAS MANDIRI BER")</f>
        <v>2904/FTSCY/WS95031 9899100.00 ponorogo lunas UNGGAS MANDIRI BER</v>
      </c>
      <c r="D79" s="5">
        <f>IFERROR(__xludf.DUMMYFUNCTION("""COMPUTED_VALUE"""),9899100.0)</f>
        <v>9899100</v>
      </c>
      <c r="E79" s="5"/>
      <c r="F79" s="5" t="str">
        <f>IFERROR(__xludf.DUMMYFUNCTION("""COMPUTED_VALUE"""),"DB")</f>
        <v>DB</v>
      </c>
      <c r="G79" s="5">
        <f>IFERROR(__xludf.DUMMYFUNCTION("""COMPUTED_VALUE"""),3.277458773299999E8)</f>
        <v>327745877.3</v>
      </c>
      <c r="H79" s="5"/>
      <c r="I79" s="5" t="str">
        <f>IFERROR(__xludf.DUMMYFUNCTION("""COMPUTED_VALUE"""),"PRODUKSI")</f>
        <v>PRODUKSI</v>
      </c>
    </row>
    <row r="80">
      <c r="A80" s="9">
        <f>IFERROR(__xludf.DUMMYFUNCTION("""COMPUTED_VALUE"""),46141.0)</f>
        <v>46141</v>
      </c>
      <c r="B80" s="5" t="str">
        <f>IFERROR(__xludf.DUMMYFUNCTION("""COMPUTED_VALUE"""),"TRSF E-BANKING DB")</f>
        <v>TRSF E-BANKING DB</v>
      </c>
      <c r="C80" s="5" t="str">
        <f>IFERROR(__xludf.DUMMYFUNCTION("""COMPUTED_VALUE"""),"2904/FTSCY/WS95271 158100000.00 t.agung lunas BINTANG TAMA SANTO")</f>
        <v>2904/FTSCY/WS95271 158100000.00 t.agung lunas BINTANG TAMA SANTO</v>
      </c>
      <c r="D80" s="5">
        <f>IFERROR(__xludf.DUMMYFUNCTION("""COMPUTED_VALUE"""),1.581E8)</f>
        <v>158100000</v>
      </c>
      <c r="E80" s="5"/>
      <c r="F80" s="5" t="str">
        <f>IFERROR(__xludf.DUMMYFUNCTION("""COMPUTED_VALUE"""),"DB")</f>
        <v>DB</v>
      </c>
      <c r="G80" s="5">
        <f>IFERROR(__xludf.DUMMYFUNCTION("""COMPUTED_VALUE"""),1.6964587732999992E8)</f>
        <v>169645877.3</v>
      </c>
      <c r="H80" s="5"/>
      <c r="I80" s="5" t="str">
        <f>IFERROR(__xludf.DUMMYFUNCTION("""COMPUTED_VALUE"""),"PRODUKSI")</f>
        <v>PRODUKSI</v>
      </c>
    </row>
    <row r="81">
      <c r="A81" s="9">
        <f>IFERROR(__xludf.DUMMYFUNCTION("""COMPUTED_VALUE"""),46141.0)</f>
        <v>46141</v>
      </c>
      <c r="B81" s="5" t="str">
        <f>IFERROR(__xludf.DUMMYFUNCTION("""COMPUTED_VALUE"""),"TRSF E-BANKING DB")</f>
        <v>TRSF E-BANKING DB</v>
      </c>
      <c r="C81" s="5" t="str">
        <f>IFERROR(__xludf.DUMMYFUNCTION("""COMPUTED_VALUE"""),"2904/FTSCY/WS95031 1144950.00 NURHAYATI")</f>
        <v>2904/FTSCY/WS95031 1144950.00 NURHAYATI</v>
      </c>
      <c r="D81" s="5">
        <f>IFERROR(__xludf.DUMMYFUNCTION("""COMPUTED_VALUE"""),1144950.0)</f>
        <v>1144950</v>
      </c>
      <c r="E81" s="5"/>
      <c r="F81" s="5" t="str">
        <f>IFERROR(__xludf.DUMMYFUNCTION("""COMPUTED_VALUE"""),"DB")</f>
        <v>DB</v>
      </c>
      <c r="G81" s="5">
        <f>IFERROR(__xludf.DUMMYFUNCTION("""COMPUTED_VALUE"""),1.9401321732999992E8)</f>
        <v>194013217.3</v>
      </c>
      <c r="H81" s="5"/>
      <c r="I81" s="5" t="str">
        <f>IFERROR(__xludf.DUMMYFUNCTION("""COMPUTED_VALUE"""),"PRODUKSI")</f>
        <v>PRODUKSI</v>
      </c>
    </row>
    <row r="82">
      <c r="A82" s="9">
        <f>IFERROR(__xludf.DUMMYFUNCTION("""COMPUTED_VALUE"""),46141.0)</f>
        <v>46141</v>
      </c>
      <c r="B82" s="5" t="str">
        <f>IFERROR(__xludf.DUMMYFUNCTION("""COMPUTED_VALUE"""),"TRSF E-BANKING DB")</f>
        <v>TRSF E-BANKING DB</v>
      </c>
      <c r="C82" s="5" t="str">
        <f>IFERROR(__xludf.DUMMYFUNCTION("""COMPUTED_VALUE"""),"2904/FTSCY/WS95011 193360750.00 Mon Apr 27 2026 14:00:00 GMT+0700 (Western Indonesia Time) krg 50 jt BROILER MAKMUR TAN")</f>
        <v>2904/FTSCY/WS95011 193360750.00 Mon Apr 27 2026 14:00:00 GMT+0700 (Western Indonesia Time) krg 50 jt BROILER MAKMUR TAN</v>
      </c>
      <c r="D82" s="5">
        <f>IFERROR(__xludf.DUMMYFUNCTION("""COMPUTED_VALUE"""),1.9336075E8)</f>
        <v>193360750</v>
      </c>
      <c r="E82" s="5"/>
      <c r="F82" s="5" t="str">
        <f>IFERROR(__xludf.DUMMYFUNCTION("""COMPUTED_VALUE"""),"DB")</f>
        <v>DB</v>
      </c>
      <c r="G82" s="5">
        <f>IFERROR(__xludf.DUMMYFUNCTION("""COMPUTED_VALUE"""),652467.3299999237)</f>
        <v>652467.33</v>
      </c>
      <c r="H82" s="5">
        <f>IFERROR(__xludf.DUMMYFUNCTION("""COMPUTED_VALUE"""),652467.33)</f>
        <v>652467.33</v>
      </c>
      <c r="I82" s="5" t="str">
        <f>IFERROR(__xludf.DUMMYFUNCTION("""COMPUTED_VALUE"""),"PRODUKSI")</f>
        <v>PRODUKSI</v>
      </c>
    </row>
    <row r="83">
      <c r="A83" s="9">
        <f>IFERROR(__xludf.DUMMYFUNCTION("""COMPUTED_VALUE"""),46141.0)</f>
        <v>46141</v>
      </c>
      <c r="B83" s="5" t="str">
        <f>IFERROR(__xludf.DUMMYFUNCTION("""COMPUTED_VALUE"""),"TRSF E-BANKING DB")</f>
        <v>TRSF E-BANKING DB</v>
      </c>
      <c r="C83" s="5" t="str">
        <f>IFERROR(__xludf.DUMMYFUNCTION("""COMPUTED_VALUE"""),"2904/FTSCY/WS95031 1000000.00 SUPRIYADI")</f>
        <v>2904/FTSCY/WS95031 1000000.00 SUPRIYADI</v>
      </c>
      <c r="D83" s="5">
        <f>IFERROR(__xludf.DUMMYFUNCTION("""COMPUTED_VALUE"""),1000000.0)</f>
        <v>1000000</v>
      </c>
      <c r="E83" s="5"/>
      <c r="F83" s="5" t="str">
        <f>IFERROR(__xludf.DUMMYFUNCTION("""COMPUTED_VALUE"""),"DB")</f>
        <v>DB</v>
      </c>
      <c r="G83" s="5">
        <f>IFERROR(__xludf.DUMMYFUNCTION("""COMPUTED_VALUE"""),6.968638732999992E7)</f>
        <v>69686387.33</v>
      </c>
      <c r="H83" s="5"/>
      <c r="I83" s="5" t="str">
        <f>IFERROR(__xludf.DUMMYFUNCTION("""COMPUTED_VALUE"""),"PRODUKSI")</f>
        <v>PRODUKSI</v>
      </c>
    </row>
    <row r="84">
      <c r="A84" s="9">
        <f>IFERROR(__xludf.DUMMYFUNCTION("""COMPUTED_VALUE"""),46141.0)</f>
        <v>46141</v>
      </c>
      <c r="B84" s="5" t="str">
        <f>IFERROR(__xludf.DUMMYFUNCTION("""COMPUTED_VALUE"""),"TRSF E-BANKING DB")</f>
        <v>TRSF E-BANKING DB</v>
      </c>
      <c r="C84" s="5" t="str">
        <f>IFERROR(__xludf.DUMMYFUNCTION("""COMPUTED_VALUE"""),"2904/FTSCY/WS95031 9600000.00 SANDI FAJAR PRASET")</f>
        <v>2904/FTSCY/WS95031 9600000.00 SANDI FAJAR PRASET</v>
      </c>
      <c r="D84" s="5">
        <f>IFERROR(__xludf.DUMMYFUNCTION("""COMPUTED_VALUE"""),9600000.0)</f>
        <v>9600000</v>
      </c>
      <c r="E84" s="5"/>
      <c r="F84" s="5" t="str">
        <f>IFERROR(__xludf.DUMMYFUNCTION("""COMPUTED_VALUE"""),"DB")</f>
        <v>DB</v>
      </c>
      <c r="G84" s="5">
        <f>IFERROR(__xludf.DUMMYFUNCTION("""COMPUTED_VALUE"""),6.008638732999992E7)</f>
        <v>60086387.33</v>
      </c>
      <c r="H84" s="5"/>
      <c r="I84" s="5" t="str">
        <f>IFERROR(__xludf.DUMMYFUNCTION("""COMPUTED_VALUE"""),"PRODUKSI")</f>
        <v>PRODUKSI</v>
      </c>
    </row>
    <row r="85">
      <c r="A85" s="9">
        <f>IFERROR(__xludf.DUMMYFUNCTION("""COMPUTED_VALUE"""),46141.0)</f>
        <v>46141</v>
      </c>
      <c r="B85" s="5" t="str">
        <f>IFERROR(__xludf.DUMMYFUNCTION("""COMPUTED_VALUE"""),"TARIKAN ATM 29/04")</f>
        <v>TARIKAN ATM 29/04</v>
      </c>
      <c r="C85" s="5" t="str">
        <f>IFERROR(__xludf.DUMMYFUNCTION("""COMPUTED_VALUE"""),"TARIKAN ATM 29/04")</f>
        <v>TARIKAN ATM 29/04</v>
      </c>
      <c r="D85" s="5">
        <f>IFERROR(__xludf.DUMMYFUNCTION("""COMPUTED_VALUE"""),50000.0)</f>
        <v>50000</v>
      </c>
      <c r="E85" s="5"/>
      <c r="F85" s="5"/>
      <c r="G85" s="5">
        <f>IFERROR(__xludf.DUMMYFUNCTION("""COMPUTED_VALUE"""),6.003638732999992E7)</f>
        <v>60036387.33</v>
      </c>
      <c r="H85" s="5"/>
      <c r="I85" s="5" t="str">
        <f>IFERROR(__xludf.DUMMYFUNCTION("""COMPUTED_VALUE"""),"PRODUKSI")</f>
        <v>PRODUKSI</v>
      </c>
    </row>
    <row r="86">
      <c r="A86" s="9">
        <f>IFERROR(__xludf.DUMMYFUNCTION("""COMPUTED_VALUE"""),46141.0)</f>
        <v>46141</v>
      </c>
      <c r="B86" s="5" t="str">
        <f>IFERROR(__xludf.DUMMYFUNCTION("""COMPUTED_VALUE"""),"TRSF E-BANKING DB")</f>
        <v>TRSF E-BANKING DB</v>
      </c>
      <c r="C86" s="5" t="str">
        <f>IFERROR(__xludf.DUMMYFUNCTION("""COMPUTED_VALUE"""),"2904/FTSCY/WS95031 1000000.00 MUJIANTO")</f>
        <v>2904/FTSCY/WS95031 1000000.00 MUJIANTO</v>
      </c>
      <c r="D86" s="5">
        <f>IFERROR(__xludf.DUMMYFUNCTION("""COMPUTED_VALUE"""),1000000.0)</f>
        <v>1000000</v>
      </c>
      <c r="E86" s="5"/>
      <c r="F86" s="5" t="str">
        <f>IFERROR(__xludf.DUMMYFUNCTION("""COMPUTED_VALUE"""),"DB")</f>
        <v>DB</v>
      </c>
      <c r="G86" s="5">
        <f>IFERROR(__xludf.DUMMYFUNCTION("""COMPUTED_VALUE"""),5.903638732999992E7)</f>
        <v>59036387.33</v>
      </c>
      <c r="H86" s="5">
        <f>IFERROR(__xludf.DUMMYFUNCTION("""COMPUTED_VALUE"""),5.903638733E7)</f>
        <v>59036387.33</v>
      </c>
      <c r="I86" s="5" t="str">
        <f>IFERROR(__xludf.DUMMYFUNCTION("""COMPUTED_VALUE"""),"PRODUKSI")</f>
        <v>PRODUKSI</v>
      </c>
    </row>
    <row r="87">
      <c r="A87" s="9">
        <f>IFERROR(__xludf.DUMMYFUNCTION("""COMPUTED_VALUE"""),46142.0)</f>
        <v>46142</v>
      </c>
      <c r="B87" s="5" t="str">
        <f>IFERROR(__xludf.DUMMYFUNCTION("""COMPUTED_VALUE"""),"TRSF E-BANKING DB")</f>
        <v>TRSF E-BANKING DB</v>
      </c>
      <c r="C87" s="5" t="str">
        <f>IFERROR(__xludf.DUMMYFUNCTION("""COMPUTED_VALUE"""),"3004/FTSCY/WS95031 50000000.00 pelunasan 27.04 BROILER MAKMUR TAN")</f>
        <v>3004/FTSCY/WS95031 50000000.00 pelunasan 27.04 BROILER MAKMUR TAN</v>
      </c>
      <c r="D87" s="5">
        <f>IFERROR(__xludf.DUMMYFUNCTION("""COMPUTED_VALUE"""),5.0E7)</f>
        <v>50000000</v>
      </c>
      <c r="E87" s="5"/>
      <c r="F87" s="5" t="str">
        <f>IFERROR(__xludf.DUMMYFUNCTION("""COMPUTED_VALUE"""),"DB")</f>
        <v>DB</v>
      </c>
      <c r="G87" s="5">
        <f>IFERROR(__xludf.DUMMYFUNCTION("""COMPUTED_VALUE"""),1.6952959732999992E8)</f>
        <v>169529597.3</v>
      </c>
      <c r="H87" s="5"/>
      <c r="I87" s="5" t="str">
        <f>IFERROR(__xludf.DUMMYFUNCTION("""COMPUTED_VALUE"""),"PRODUKSI")</f>
        <v>PRODUKSI</v>
      </c>
    </row>
    <row r="88">
      <c r="A88" s="9">
        <f>IFERROR(__xludf.DUMMYFUNCTION("""COMPUTED_VALUE"""),46142.0)</f>
        <v>46142</v>
      </c>
      <c r="B88" s="5" t="str">
        <f>IFERROR(__xludf.DUMMYFUNCTION("""COMPUTED_VALUE"""),"TRSF E-BANKING DB")</f>
        <v>TRSF E-BANKING DB</v>
      </c>
      <c r="C88" s="5" t="str">
        <f>IFERROR(__xludf.DUMMYFUNCTION("""COMPUTED_VALUE"""),"3004/FTSCY/WS95271 117942480.00 Tue Apr 28 2026 14:00:00 GMT+0700 (Western Indonesia Time) RUKUN MITRA BERSAM")</f>
        <v>3004/FTSCY/WS95271 117942480.00 Tue Apr 28 2026 14:00:00 GMT+0700 (Western Indonesia Time) RUKUN MITRA BERSAM</v>
      </c>
      <c r="D88" s="5">
        <f>IFERROR(__xludf.DUMMYFUNCTION("""COMPUTED_VALUE"""),1.1794248E8)</f>
        <v>117942480</v>
      </c>
      <c r="E88" s="5"/>
      <c r="F88" s="5" t="str">
        <f>IFERROR(__xludf.DUMMYFUNCTION("""COMPUTED_VALUE"""),"DB")</f>
        <v>DB</v>
      </c>
      <c r="G88" s="5">
        <f>IFERROR(__xludf.DUMMYFUNCTION("""COMPUTED_VALUE"""),1.5718410532999992E8)</f>
        <v>157184105.3</v>
      </c>
      <c r="H88" s="5"/>
      <c r="I88" s="5" t="str">
        <f>IFERROR(__xludf.DUMMYFUNCTION("""COMPUTED_VALUE"""),"PRODUKSI")</f>
        <v>PRODUKSI</v>
      </c>
    </row>
    <row r="89">
      <c r="A89" s="9">
        <f>IFERROR(__xludf.DUMMYFUNCTION("""COMPUTED_VALUE"""),46142.0)</f>
        <v>46142</v>
      </c>
      <c r="B89" s="5" t="str">
        <f>IFERROR(__xludf.DUMMYFUNCTION("""COMPUTED_VALUE"""),"BI-FAST DB")</f>
        <v>BI-FAST DB</v>
      </c>
      <c r="C89" s="5" t="str">
        <f>IFERROR(__xludf.DUMMYFUNCTION("""COMPUTED_VALUE"""),"BIF TRANSFER KE 8 MISWATI M-BCA")</f>
        <v>BIF TRANSFER KE 8 MISWATI M-BCA</v>
      </c>
      <c r="D89" s="5">
        <f>IFERROR(__xludf.DUMMYFUNCTION("""COMPUTED_VALUE"""),300000.0)</f>
        <v>300000</v>
      </c>
      <c r="E89" s="5"/>
      <c r="F89" s="5" t="str">
        <f>IFERROR(__xludf.DUMMYFUNCTION("""COMPUTED_VALUE"""),"DB")</f>
        <v>DB</v>
      </c>
      <c r="G89" s="5">
        <f>IFERROR(__xludf.DUMMYFUNCTION("""COMPUTED_VALUE"""),1.5688410532999992E8)</f>
        <v>156884105.3</v>
      </c>
      <c r="H89" s="5"/>
      <c r="I89" s="5" t="str">
        <f>IFERROR(__xludf.DUMMYFUNCTION("""COMPUTED_VALUE"""),"PRODUKSI")</f>
        <v>PRODUKSI</v>
      </c>
    </row>
    <row r="90">
      <c r="A90" s="9">
        <f>IFERROR(__xludf.DUMMYFUNCTION("""COMPUTED_VALUE"""),46142.0)</f>
        <v>46142</v>
      </c>
      <c r="B90" s="5" t="str">
        <f>IFERROR(__xludf.DUMMYFUNCTION("""COMPUTED_VALUE"""),"TRSF E-BANKING DB")</f>
        <v>TRSF E-BANKING DB</v>
      </c>
      <c r="C90" s="5" t="str">
        <f>IFERROR(__xludf.DUMMYFUNCTION("""COMPUTED_VALUE"""),"3004/FTSCY/WS95271 4063000.00 SUNARTO")</f>
        <v>3004/FTSCY/WS95271 4063000.00 SUNARTO</v>
      </c>
      <c r="D90" s="5">
        <f>IFERROR(__xludf.DUMMYFUNCTION("""COMPUTED_VALUE"""),4063000.0)</f>
        <v>4063000</v>
      </c>
      <c r="E90" s="5"/>
      <c r="F90" s="5" t="str">
        <f>IFERROR(__xludf.DUMMYFUNCTION("""COMPUTED_VALUE"""),"DB")</f>
        <v>DB</v>
      </c>
      <c r="G90" s="5">
        <f>IFERROR(__xludf.DUMMYFUNCTION("""COMPUTED_VALUE"""),1.5281860532999992E8)</f>
        <v>152818605.3</v>
      </c>
      <c r="H90" s="5"/>
      <c r="I90" s="5" t="str">
        <f>IFERROR(__xludf.DUMMYFUNCTION("""COMPUTED_VALUE"""),"PRODUKSI")</f>
        <v>PRODUKSI</v>
      </c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>
        <f>IFERROR(__xludf.DUMMYFUNCTION("IFERROR(QUERY(APR_2023!A:I, ""SELECT * WHERE D IS NOT NULL AND UPPER(I) = ''"", 1), ""Data KOSONG belum ditemukan"")"),46113.0)</f>
        <v>46113</v>
      </c>
      <c r="B1" s="5" t="str">
        <f>IFERROR(__xludf.DUMMYFUNCTION("""COMPUTED_VALUE"""),"TRSF E-BANKING DB TANGGAL :31/03")</f>
        <v>TRSF E-BANKING DB TANGGAL :31/03</v>
      </c>
      <c r="C1" s="5" t="str">
        <f>IFERROR(__xludf.DUMMYFUNCTION("""COMPUTED_VALUE"""),"3103/FTSCY/WS95031 NURUL AINI NURUL AINI")</f>
        <v>3103/FTSCY/WS95031 NURUL AINI NURUL AINI</v>
      </c>
      <c r="D1" s="12">
        <f>IFERROR(__xludf.DUMMYFUNCTION("""COMPUTED_VALUE"""),470000.0)</f>
        <v>470000</v>
      </c>
      <c r="E1" s="5"/>
      <c r="F1" s="5" t="str">
        <f>IFERROR(__xludf.DUMMYFUNCTION("""COMPUTED_VALUE"""),"DB")</f>
        <v>DB</v>
      </c>
      <c r="G1" s="5">
        <f>IFERROR(__xludf.DUMMYFUNCTION("""COMPUTED_VALUE"""),8.722681933E7)</f>
        <v>87226819.33</v>
      </c>
      <c r="H1" s="5">
        <f>IFERROR(__xludf.DUMMYFUNCTION("""COMPUTED_VALUE"""),8.722681933E7)</f>
        <v>87226819.33</v>
      </c>
      <c r="I1" s="5"/>
      <c r="J1" s="12">
        <f>SUM(D1:D1000)</f>
        <v>5172872759</v>
      </c>
    </row>
    <row r="2">
      <c r="A2" s="9">
        <f>IFERROR(__xludf.DUMMYFUNCTION("""COMPUTED_VALUE"""),46114.0)</f>
        <v>46114</v>
      </c>
      <c r="B2" s="5" t="str">
        <f>IFERROR(__xludf.DUMMYFUNCTION("""COMPUTED_VALUE"""),"TRSF E-BANKING DB TANGGAL :01/04")</f>
        <v>TRSF E-BANKING DB TANGGAL :01/04</v>
      </c>
      <c r="C2" s="5" t="str">
        <f>IFERROR(__xludf.DUMMYFUNCTION("""COMPUTED_VALUE"""),"0104/FTSCY/WS95031 Mon Mar 30 2026 14:00:00 GMT+0700 (Western Indonesia Time) ANDALAN YASA MITRA")</f>
        <v>0104/FTSCY/WS95031 Mon Mar 30 2026 14:00:00 GMT+0700 (Western Indonesia Time) ANDALAN YASA MITRA</v>
      </c>
      <c r="D2" s="12">
        <f>IFERROR(__xludf.DUMMYFUNCTION("""COMPUTED_VALUE"""),4.8176E7)</f>
        <v>48176000</v>
      </c>
      <c r="E2" s="5"/>
      <c r="F2" s="5" t="str">
        <f>IFERROR(__xludf.DUMMYFUNCTION("""COMPUTED_VALUE"""),"DB")</f>
        <v>DB</v>
      </c>
      <c r="G2" s="5">
        <f>IFERROR(__xludf.DUMMYFUNCTION("""COMPUTED_VALUE"""),9.118433932999998E7)</f>
        <v>91184339.33</v>
      </c>
      <c r="H2" s="5"/>
      <c r="I2" s="5"/>
    </row>
    <row r="3">
      <c r="A3" s="9">
        <f>IFERROR(__xludf.DUMMYFUNCTION("""COMPUTED_VALUE"""),46114.0)</f>
        <v>46114</v>
      </c>
      <c r="B3" s="5" t="str">
        <f>IFERROR(__xludf.DUMMYFUNCTION("""COMPUTED_VALUE"""),"TRSF E-BANKING DB TANGGAL :01/04")</f>
        <v>TRSF E-BANKING DB TANGGAL :01/04</v>
      </c>
      <c r="C3" s="5" t="str">
        <f>IFERROR(__xludf.DUMMYFUNCTION("""COMPUTED_VALUE"""),"0104/FTSCY/WS95011 Tue Mar 31 2026 14:00:00 GMT+0700 (Western Indonesia Time) ANUGERAH KARTIKA A")</f>
        <v>0104/FTSCY/WS95011 Tue Mar 31 2026 14:00:00 GMT+0700 (Western Indonesia Time) ANUGERAH KARTIKA A</v>
      </c>
      <c r="D3" s="12">
        <f>IFERROR(__xludf.DUMMYFUNCTION("""COMPUTED_VALUE"""),4.3524E7)</f>
        <v>43524000</v>
      </c>
      <c r="E3" s="5"/>
      <c r="F3" s="5" t="str">
        <f>IFERROR(__xludf.DUMMYFUNCTION("""COMPUTED_VALUE"""),"DB")</f>
        <v>DB</v>
      </c>
      <c r="G3" s="5">
        <f>IFERROR(__xludf.DUMMYFUNCTION("""COMPUTED_VALUE"""),4.766033932999998E7)</f>
        <v>47660339.33</v>
      </c>
      <c r="H3" s="5"/>
      <c r="I3" s="5"/>
    </row>
    <row r="4">
      <c r="A4" s="9">
        <f>IFERROR(__xludf.DUMMYFUNCTION("""COMPUTED_VALUE"""),46114.0)</f>
        <v>46114</v>
      </c>
      <c r="B4" s="5" t="str">
        <f>IFERROR(__xludf.DUMMYFUNCTION("""COMPUTED_VALUE"""),"TRSF E-BANKING DB TANGGAL :01/04")</f>
        <v>TRSF E-BANKING DB TANGGAL :01/04</v>
      </c>
      <c r="C4" s="5" t="str">
        <f>IFERROR(__xludf.DUMMYFUNCTION("""COMPUTED_VALUE"""),"0104/FTSCY/WS95031 NURHAYATI")</f>
        <v>0104/FTSCY/WS95031 NURHAYATI</v>
      </c>
      <c r="D4" s="12">
        <f>IFERROR(__xludf.DUMMYFUNCTION("""COMPUTED_VALUE"""),1500000.0)</f>
        <v>1500000</v>
      </c>
      <c r="E4" s="5"/>
      <c r="F4" s="5" t="str">
        <f>IFERROR(__xludf.DUMMYFUNCTION("""COMPUTED_VALUE"""),"DB")</f>
        <v>DB</v>
      </c>
      <c r="G4" s="5">
        <f>IFERROR(__xludf.DUMMYFUNCTION("""COMPUTED_VALUE"""),3.443633932999998E7)</f>
        <v>34436339.33</v>
      </c>
      <c r="H4" s="5"/>
      <c r="I4" s="5"/>
    </row>
    <row r="5">
      <c r="A5" s="9">
        <f>IFERROR(__xludf.DUMMYFUNCTION("""COMPUTED_VALUE"""),46114.0)</f>
        <v>46114</v>
      </c>
      <c r="B5" s="5" t="str">
        <f>IFERROR(__xludf.DUMMYFUNCTION("""COMPUTED_VALUE"""),"TRSF E-BANKING DB")</f>
        <v>TRSF E-BANKING DB</v>
      </c>
      <c r="C5" s="5" t="str">
        <f>IFERROR(__xludf.DUMMYFUNCTION("""COMPUTED_VALUE"""),"0204/FTSCY/WS95031 9000000.00 SANDI FAJAR PRASET")</f>
        <v>0204/FTSCY/WS95031 9000000.00 SANDI FAJAR PRASET</v>
      </c>
      <c r="D5" s="12">
        <f>IFERROR(__xludf.DUMMYFUNCTION("""COMPUTED_VALUE"""),9000000.0)</f>
        <v>9000000</v>
      </c>
      <c r="E5" s="5"/>
      <c r="F5" s="5" t="str">
        <f>IFERROR(__xludf.DUMMYFUNCTION("""COMPUTED_VALUE"""),"DB")</f>
        <v>DB</v>
      </c>
      <c r="G5" s="5">
        <f>IFERROR(__xludf.DUMMYFUNCTION("""COMPUTED_VALUE"""),2.5436339329999983E7)</f>
        <v>25436339.33</v>
      </c>
      <c r="H5" s="5"/>
      <c r="I5" s="5"/>
    </row>
    <row r="6">
      <c r="A6" s="9">
        <f>IFERROR(__xludf.DUMMYFUNCTION("""COMPUTED_VALUE"""),46114.0)</f>
        <v>46114</v>
      </c>
      <c r="B6" s="5" t="str">
        <f>IFERROR(__xludf.DUMMYFUNCTION("""COMPUTED_VALUE"""),"TRSF E-BANKING DB")</f>
        <v>TRSF E-BANKING DB</v>
      </c>
      <c r="C6" s="5" t="str">
        <f>IFERROR(__xludf.DUMMYFUNCTION("""COMPUTED_VALUE"""),"0204/FTFVA/WS95031 55569/PT PRIMA FAJ kd heni jbr 3 ton - 40190")</f>
        <v>0204/FTFVA/WS95031 55569/PT PRIMA FAJ kd heni jbr 3 ton - 40190</v>
      </c>
      <c r="D6" s="12">
        <f>IFERROR(__xludf.DUMMYFUNCTION("""COMPUTED_VALUE"""),4.213388E7)</f>
        <v>42133880</v>
      </c>
      <c r="E6" s="5"/>
      <c r="F6" s="5" t="str">
        <f>IFERROR(__xludf.DUMMYFUNCTION("""COMPUTED_VALUE"""),"DB")</f>
        <v>DB</v>
      </c>
      <c r="G6" s="5">
        <f>IFERROR(__xludf.DUMMYFUNCTION("""COMPUTED_VALUE"""),2.2302459329999983E7)</f>
        <v>22302459.33</v>
      </c>
      <c r="H6" s="5">
        <f>IFERROR(__xludf.DUMMYFUNCTION("""COMPUTED_VALUE"""),2.230245933E7)</f>
        <v>22302459.33</v>
      </c>
      <c r="I6" s="5"/>
    </row>
    <row r="7">
      <c r="A7" s="9">
        <f>IFERROR(__xludf.DUMMYFUNCTION("""COMPUTED_VALUE"""),46114.0)</f>
        <v>46114</v>
      </c>
      <c r="B7" s="5" t="str">
        <f>IFERROR(__xludf.DUMMYFUNCTION("""COMPUTED_VALUE"""),"TRSF E-BANKING DB")</f>
        <v>TRSF E-BANKING DB</v>
      </c>
      <c r="C7" s="5" t="str">
        <f>IFERROR(__xludf.DUMMYFUNCTION("""COMPUTED_VALUE"""),"0204/FTSCY/WS95031 1000000.00 SUNARTO")</f>
        <v>0204/FTSCY/WS95031 1000000.00 SUNARTO</v>
      </c>
      <c r="D7" s="12">
        <f>IFERROR(__xludf.DUMMYFUNCTION("""COMPUTED_VALUE"""),1000000.0)</f>
        <v>1000000</v>
      </c>
      <c r="E7" s="5"/>
      <c r="F7" s="5" t="str">
        <f>IFERROR(__xludf.DUMMYFUNCTION("""COMPUTED_VALUE"""),"DB")</f>
        <v>DB</v>
      </c>
      <c r="G7" s="5">
        <f>IFERROR(__xludf.DUMMYFUNCTION("""COMPUTED_VALUE"""),6002459.329999983)</f>
        <v>6002459.33</v>
      </c>
      <c r="H7" s="5">
        <f>IFERROR(__xludf.DUMMYFUNCTION("""COMPUTED_VALUE"""),6002459.33)</f>
        <v>6002459.33</v>
      </c>
      <c r="I7" s="5"/>
    </row>
    <row r="8">
      <c r="A8" s="9">
        <f>IFERROR(__xludf.DUMMYFUNCTION("""COMPUTED_VALUE"""),46115.0)</f>
        <v>46115</v>
      </c>
      <c r="B8" s="5" t="str">
        <f>IFERROR(__xludf.DUMMYFUNCTION("""COMPUTED_VALUE"""),"BI-FAST DB")</f>
        <v>BI-FAST DB</v>
      </c>
      <c r="C8" s="5" t="str">
        <f>IFERROR(__xludf.DUMMYFUNCTION("""COMPUTED_VALUE"""),"BIF TRANSFER KE 9 NOUVAL HOLQI RISKU M-BCA")</f>
        <v>BIF TRANSFER KE 9 NOUVAL HOLQI RISKU M-BCA</v>
      </c>
      <c r="D8" s="12">
        <f>IFERROR(__xludf.DUMMYFUNCTION("""COMPUTED_VALUE"""),95000.0)</f>
        <v>95000</v>
      </c>
      <c r="E8" s="5"/>
      <c r="F8" s="5" t="str">
        <f>IFERROR(__xludf.DUMMYFUNCTION("""COMPUTED_VALUE"""),"DB")</f>
        <v>DB</v>
      </c>
      <c r="G8" s="5">
        <f>IFERROR(__xludf.DUMMYFUNCTION("""COMPUTED_VALUE"""),5907459.329999983)</f>
        <v>5907459.33</v>
      </c>
      <c r="H8" s="5"/>
      <c r="I8" s="5"/>
    </row>
    <row r="9">
      <c r="A9" s="9">
        <f>IFERROR(__xludf.DUMMYFUNCTION("""COMPUTED_VALUE"""),46115.0)</f>
        <v>46115</v>
      </c>
      <c r="B9" s="5" t="str">
        <f>IFERROR(__xludf.DUMMYFUNCTION("""COMPUTED_VALUE"""),"TRSF E-BANKING DB")</f>
        <v>TRSF E-BANKING DB</v>
      </c>
      <c r="C9" s="5" t="str">
        <f>IFERROR(__xludf.DUMMYFUNCTION("""COMPUTED_VALUE"""),"0304/FTSCY/WS95031 63074750.00 Tue Mar 31 2026 14:00:00 GMT+0700 (Western Indonesia Time) ANUGERAH KARTIKA A")</f>
        <v>0304/FTSCY/WS95031 63074750.00 Tue Mar 31 2026 14:00:00 GMT+0700 (Western Indonesia Time) ANUGERAH KARTIKA A</v>
      </c>
      <c r="D9" s="12">
        <f>IFERROR(__xludf.DUMMYFUNCTION("""COMPUTED_VALUE"""),6.307475E7)</f>
        <v>63074750</v>
      </c>
      <c r="E9" s="5"/>
      <c r="F9" s="5" t="str">
        <f>IFERROR(__xludf.DUMMYFUNCTION("""COMPUTED_VALUE"""),"DB")</f>
        <v>DB</v>
      </c>
      <c r="G9" s="5">
        <f>IFERROR(__xludf.DUMMYFUNCTION("""COMPUTED_VALUE"""),2.0395140932999998E8)</f>
        <v>203951409.3</v>
      </c>
      <c r="H9" s="5"/>
      <c r="I9" s="5"/>
    </row>
    <row r="10">
      <c r="A10" s="9">
        <f>IFERROR(__xludf.DUMMYFUNCTION("""COMPUTED_VALUE"""),46115.0)</f>
        <v>46115</v>
      </c>
      <c r="B10" s="5" t="str">
        <f>IFERROR(__xludf.DUMMYFUNCTION("""COMPUTED_VALUE"""),"TRSF E-BANKING DB")</f>
        <v>TRSF E-BANKING DB</v>
      </c>
      <c r="C10" s="5" t="str">
        <f>IFERROR(__xludf.DUMMYFUNCTION("""COMPUTED_VALUE"""),"0304/FTSCY/WS95271 43110630.00 Tue Mar 31 2026 14:00:00 GMT+0700 (Western Indonesia Time) ANDALAN YASA MITRA")</f>
        <v>0304/FTSCY/WS95271 43110630.00 Tue Mar 31 2026 14:00:00 GMT+0700 (Western Indonesia Time) ANDALAN YASA MITRA</v>
      </c>
      <c r="D10" s="12">
        <f>IFERROR(__xludf.DUMMYFUNCTION("""COMPUTED_VALUE"""),4.311063E7)</f>
        <v>43110630</v>
      </c>
      <c r="E10" s="5"/>
      <c r="F10" s="5" t="str">
        <f>IFERROR(__xludf.DUMMYFUNCTION("""COMPUTED_VALUE"""),"DB")</f>
        <v>DB</v>
      </c>
      <c r="G10" s="5">
        <f>IFERROR(__xludf.DUMMYFUNCTION("""COMPUTED_VALUE"""),1.6084077932999998E8)</f>
        <v>160840779.3</v>
      </c>
      <c r="H10" s="5"/>
      <c r="I10" s="5"/>
    </row>
    <row r="11">
      <c r="A11" s="9">
        <f>IFERROR(__xludf.DUMMYFUNCTION("""COMPUTED_VALUE"""),46115.0)</f>
        <v>46115</v>
      </c>
      <c r="B11" s="5" t="str">
        <f>IFERROR(__xludf.DUMMYFUNCTION("""COMPUTED_VALUE"""),"TRSF E-BANKING DB")</f>
        <v>TRSF E-BANKING DB</v>
      </c>
      <c r="C11" s="5" t="str">
        <f>IFERROR(__xludf.DUMMYFUNCTION("""COMPUTED_VALUE"""),"0304/FTSCY/WS95271 942750.00 NURHAYATI")</f>
        <v>0304/FTSCY/WS95271 942750.00 NURHAYATI</v>
      </c>
      <c r="D11" s="12">
        <f>IFERROR(__xludf.DUMMYFUNCTION("""COMPUTED_VALUE"""),942750.0)</f>
        <v>942750</v>
      </c>
      <c r="E11" s="5"/>
      <c r="F11" s="5" t="str">
        <f>IFERROR(__xludf.DUMMYFUNCTION("""COMPUTED_VALUE"""),"DB")</f>
        <v>DB</v>
      </c>
      <c r="G11" s="5">
        <f>IFERROR(__xludf.DUMMYFUNCTION("""COMPUTED_VALUE"""),6.276052932999998E7)</f>
        <v>62760529.33</v>
      </c>
      <c r="H11" s="5"/>
      <c r="I11" s="5"/>
    </row>
    <row r="12">
      <c r="A12" s="9">
        <f>IFERROR(__xludf.DUMMYFUNCTION("""COMPUTED_VALUE"""),46115.0)</f>
        <v>46115</v>
      </c>
      <c r="B12" s="5" t="str">
        <f>IFERROR(__xludf.DUMMYFUNCTION("""COMPUTED_VALUE"""),"TRSF E-BANKING DB")</f>
        <v>TRSF E-BANKING DB</v>
      </c>
      <c r="C12" s="5" t="str">
        <f>IFERROR(__xludf.DUMMYFUNCTION("""COMPUTED_VALUE"""),"0304/FTSCY/WS95011 47100000.00 kd supriyanto 3ton UNGGAS MANDIRI BER")</f>
        <v>0304/FTSCY/WS95011 47100000.00 kd supriyanto 3ton UNGGAS MANDIRI BER</v>
      </c>
      <c r="D12" s="12">
        <f>IFERROR(__xludf.DUMMYFUNCTION("""COMPUTED_VALUE"""),4.71E7)</f>
        <v>47100000</v>
      </c>
      <c r="E12" s="5"/>
      <c r="F12" s="5" t="str">
        <f>IFERROR(__xludf.DUMMYFUNCTION("""COMPUTED_VALUE"""),"DB")</f>
        <v>DB</v>
      </c>
      <c r="G12" s="5">
        <f>IFERROR(__xludf.DUMMYFUNCTION("""COMPUTED_VALUE"""),3.1759934933E8)</f>
        <v>317599349.3</v>
      </c>
      <c r="H12" s="5"/>
      <c r="I12" s="5"/>
    </row>
    <row r="13">
      <c r="A13" s="9">
        <f>IFERROR(__xludf.DUMMYFUNCTION("""COMPUTED_VALUE"""),46115.0)</f>
        <v>46115</v>
      </c>
      <c r="B13" s="5" t="str">
        <f>IFERROR(__xludf.DUMMYFUNCTION("""COMPUTED_VALUE"""),"TRSF E-BANKING DB")</f>
        <v>TRSF E-BANKING DB</v>
      </c>
      <c r="C13" s="5" t="str">
        <f>IFERROR(__xludf.DUMMYFUNCTION("""COMPUTED_VALUE"""),"0304/FTSCY/WS95011 2000000.00 SUNARTO")</f>
        <v>0304/FTSCY/WS95011 2000000.00 SUNARTO</v>
      </c>
      <c r="D13" s="12">
        <f>IFERROR(__xludf.DUMMYFUNCTION("""COMPUTED_VALUE"""),2000000.0)</f>
        <v>2000000</v>
      </c>
      <c r="E13" s="5"/>
      <c r="F13" s="5" t="str">
        <f>IFERROR(__xludf.DUMMYFUNCTION("""COMPUTED_VALUE"""),"DB")</f>
        <v>DB</v>
      </c>
      <c r="G13" s="5">
        <f>IFERROR(__xludf.DUMMYFUNCTION("""COMPUTED_VALUE"""),3.2523389329999983E7)</f>
        <v>32523389.33</v>
      </c>
      <c r="H13" s="5"/>
      <c r="I13" s="5"/>
    </row>
    <row r="14">
      <c r="A14" s="9">
        <f>IFERROR(__xludf.DUMMYFUNCTION("""COMPUTED_VALUE"""),46116.0)</f>
        <v>46116</v>
      </c>
      <c r="B14" s="5" t="str">
        <f>IFERROR(__xludf.DUMMYFUNCTION("""COMPUTED_VALUE"""),"TRSF E-BANKING DB")</f>
        <v>TRSF E-BANKING DB</v>
      </c>
      <c r="C14" s="5" t="str">
        <f>IFERROR(__xludf.DUMMYFUNCTION("""COMPUTED_VALUE"""),"0404/FTSCY/WS95031 100000.00 SANDI FAJAR PRASET")</f>
        <v>0404/FTSCY/WS95031 100000.00 SANDI FAJAR PRASET</v>
      </c>
      <c r="D14" s="12">
        <f>IFERROR(__xludf.DUMMYFUNCTION("""COMPUTED_VALUE"""),100000.0)</f>
        <v>100000</v>
      </c>
      <c r="E14" s="5"/>
      <c r="F14" s="5" t="str">
        <f>IFERROR(__xludf.DUMMYFUNCTION("""COMPUTED_VALUE"""),"DB")</f>
        <v>DB</v>
      </c>
      <c r="G14" s="5">
        <f>IFERROR(__xludf.DUMMYFUNCTION("""COMPUTED_VALUE"""),1.5624228932999998E8)</f>
        <v>156242289.3</v>
      </c>
      <c r="H14" s="5">
        <f>IFERROR(__xludf.DUMMYFUNCTION("""COMPUTED_VALUE"""),1.5624228933E8)</f>
        <v>156242289.3</v>
      </c>
      <c r="I14" s="5"/>
    </row>
    <row r="15">
      <c r="A15" s="9">
        <f>IFERROR(__xludf.DUMMYFUNCTION("""COMPUTED_VALUE"""),46116.0)</f>
        <v>46116</v>
      </c>
      <c r="B15" s="5" t="str">
        <f>IFERROR(__xludf.DUMMYFUNCTION("""COMPUTED_VALUE"""),"TRSF E-BANKING DB")</f>
        <v>TRSF E-BANKING DB</v>
      </c>
      <c r="C15" s="5" t="str">
        <f>IFERROR(__xludf.DUMMYFUNCTION("""COMPUTED_VALUE"""),"0404/FTSCY/WS95031 45530.00 pelunasan UNGGAS MANDIRI BER")</f>
        <v>0404/FTSCY/WS95031 45530.00 pelunasan UNGGAS MANDIRI BER</v>
      </c>
      <c r="D15" s="12">
        <f>IFERROR(__xludf.DUMMYFUNCTION("""COMPUTED_VALUE"""),45530.0)</f>
        <v>45530</v>
      </c>
      <c r="E15" s="5"/>
      <c r="F15" s="5" t="str">
        <f>IFERROR(__xludf.DUMMYFUNCTION("""COMPUTED_VALUE"""),"DB")</f>
        <v>DB</v>
      </c>
      <c r="G15" s="5">
        <f>IFERROR(__xludf.DUMMYFUNCTION("""COMPUTED_VALUE"""),2.7035599933E8)</f>
        <v>270355999.3</v>
      </c>
      <c r="H15" s="5"/>
      <c r="I15" s="5"/>
    </row>
    <row r="16">
      <c r="A16" s="9">
        <f>IFERROR(__xludf.DUMMYFUNCTION("""COMPUTED_VALUE"""),46116.0)</f>
        <v>46116</v>
      </c>
      <c r="B16" s="5" t="str">
        <f>IFERROR(__xludf.DUMMYFUNCTION("""COMPUTED_VALUE"""),"BYR VIA E-BANKING")</f>
        <v>BYR VIA E-BANKING</v>
      </c>
      <c r="C16" s="5" t="str">
        <f>IFERROR(__xludf.DUMMYFUNCTION("""COMPUTED_VALUE"""),"04/04  WSID9503100 0865 PLN PREPAID 32104859353 MUHAMMAD HAIRUL MA")</f>
        <v>04/04  WSID9503100 0865 PLN PREPAID 32104859353 MUHAMMAD HAIRUL MA</v>
      </c>
      <c r="D16" s="12">
        <f>IFERROR(__xludf.DUMMYFUNCTION("""COMPUTED_VALUE"""),202500.0)</f>
        <v>202500</v>
      </c>
      <c r="E16" s="5"/>
      <c r="F16" s="5"/>
      <c r="G16" s="5">
        <f>IFERROR(__xludf.DUMMYFUNCTION("""COMPUTED_VALUE"""),2.2757069932999998E8)</f>
        <v>227570699.3</v>
      </c>
      <c r="H16" s="5"/>
      <c r="I16" s="5"/>
    </row>
    <row r="17">
      <c r="A17" s="9">
        <f>IFERROR(__xludf.DUMMYFUNCTION("""COMPUTED_VALUE"""),46116.0)</f>
        <v>46116</v>
      </c>
      <c r="B17" s="5" t="str">
        <f>IFERROR(__xludf.DUMMYFUNCTION("""COMPUTED_VALUE"""),"TRSF E-BANKING DB")</f>
        <v>TRSF E-BANKING DB</v>
      </c>
      <c r="C17" s="5" t="str">
        <f>IFERROR(__xludf.DUMMYFUNCTION("""COMPUTED_VALUE"""),"0404/FTSCY/WS95031 174000.00 SILA SETIAWAN MIHA")</f>
        <v>0404/FTSCY/WS95031 174000.00 SILA SETIAWAN MIHA</v>
      </c>
      <c r="D17" s="12">
        <f>IFERROR(__xludf.DUMMYFUNCTION("""COMPUTED_VALUE"""),174000.0)</f>
        <v>174000</v>
      </c>
      <c r="E17" s="5"/>
      <c r="F17" s="5" t="str">
        <f>IFERROR(__xludf.DUMMYFUNCTION("""COMPUTED_VALUE"""),"DB")</f>
        <v>DB</v>
      </c>
      <c r="G17" s="5">
        <f>IFERROR(__xludf.DUMMYFUNCTION("""COMPUTED_VALUE"""),2.2739669932999998E8)</f>
        <v>227396699.3</v>
      </c>
      <c r="H17" s="5"/>
      <c r="I17" s="5"/>
    </row>
    <row r="18">
      <c r="A18" s="9">
        <f>IFERROR(__xludf.DUMMYFUNCTION("""COMPUTED_VALUE"""),46116.0)</f>
        <v>46116</v>
      </c>
      <c r="B18" s="5" t="str">
        <f>IFERROR(__xludf.DUMMYFUNCTION("""COMPUTED_VALUE"""),"TRSF E-BANKING DB")</f>
        <v>TRSF E-BANKING DB</v>
      </c>
      <c r="C18" s="5" t="str">
        <f>IFERROR(__xludf.DUMMYFUNCTION("""COMPUTED_VALUE"""),"0404/FTSCY/WS95031 3000000.00 ongkos bwi lunas SUNARTO")</f>
        <v>0404/FTSCY/WS95031 3000000.00 ongkos bwi lunas SUNARTO</v>
      </c>
      <c r="D18" s="12">
        <f>IFERROR(__xludf.DUMMYFUNCTION("""COMPUTED_VALUE"""),3000000.0)</f>
        <v>3000000</v>
      </c>
      <c r="E18" s="5"/>
      <c r="F18" s="5" t="str">
        <f>IFERROR(__xludf.DUMMYFUNCTION("""COMPUTED_VALUE"""),"DB")</f>
        <v>DB</v>
      </c>
      <c r="G18" s="5">
        <f>IFERROR(__xludf.DUMMYFUNCTION("""COMPUTED_VALUE"""),2.2439669932999998E8)</f>
        <v>224396699.3</v>
      </c>
      <c r="H18" s="5"/>
      <c r="I18" s="5"/>
    </row>
    <row r="19">
      <c r="A19" s="9">
        <f>IFERROR(__xludf.DUMMYFUNCTION("""COMPUTED_VALUE"""),46116.0)</f>
        <v>46116</v>
      </c>
      <c r="B19" s="5" t="str">
        <f>IFERROR(__xludf.DUMMYFUNCTION("""COMPUTED_VALUE"""),"TARIKAN ATM 04/04")</f>
        <v>TARIKAN ATM 04/04</v>
      </c>
      <c r="C19" s="5" t="str">
        <f>IFERROR(__xludf.DUMMYFUNCTION("""COMPUTED_VALUE"""),"TARIKAN ATM 04/04")</f>
        <v>TARIKAN ATM 04/04</v>
      </c>
      <c r="D19" s="12">
        <f>IFERROR(__xludf.DUMMYFUNCTION("""COMPUTED_VALUE"""),100000.0)</f>
        <v>100000</v>
      </c>
      <c r="E19" s="5"/>
      <c r="F19" s="5"/>
      <c r="G19" s="5">
        <f>IFERROR(__xludf.DUMMYFUNCTION("""COMPUTED_VALUE"""),2.2429669932999998E8)</f>
        <v>224296699.3</v>
      </c>
      <c r="H19" s="5">
        <f>IFERROR(__xludf.DUMMYFUNCTION("""COMPUTED_VALUE"""),2.2429669933E8)</f>
        <v>224296699.3</v>
      </c>
      <c r="I19" s="5"/>
    </row>
    <row r="20">
      <c r="A20" s="9">
        <f>IFERROR(__xludf.DUMMYFUNCTION("""COMPUTED_VALUE"""),46116.0)</f>
        <v>46116</v>
      </c>
      <c r="B20" s="5" t="str">
        <f>IFERROR(__xludf.DUMMYFUNCTION("""COMPUTED_VALUE"""),"TRSF E-BANKING DB")</f>
        <v>TRSF E-BANKING DB</v>
      </c>
      <c r="C20" s="5" t="str">
        <f>IFERROR(__xludf.DUMMYFUNCTION("""COMPUTED_VALUE"""),"0404/FTSCY/WS95031 600000.00 SUNARTO")</f>
        <v>0404/FTSCY/WS95031 600000.00 SUNARTO</v>
      </c>
      <c r="D20" s="12">
        <f>IFERROR(__xludf.DUMMYFUNCTION("""COMPUTED_VALUE"""),600000.0)</f>
        <v>600000</v>
      </c>
      <c r="E20" s="5"/>
      <c r="F20" s="5" t="str">
        <f>IFERROR(__xludf.DUMMYFUNCTION("""COMPUTED_VALUE"""),"DB")</f>
        <v>DB</v>
      </c>
      <c r="G20" s="5">
        <f>IFERROR(__xludf.DUMMYFUNCTION("""COMPUTED_VALUE"""),2.2369669932999998E8)</f>
        <v>223696699.3</v>
      </c>
      <c r="H20" s="5">
        <f>IFERROR(__xludf.DUMMYFUNCTION("""COMPUTED_VALUE"""),2.2369669933E8)</f>
        <v>223696699.3</v>
      </c>
      <c r="I20" s="5"/>
    </row>
    <row r="21">
      <c r="A21" s="9">
        <f>IFERROR(__xludf.DUMMYFUNCTION("""COMPUTED_VALUE"""),46116.0)</f>
        <v>46116</v>
      </c>
      <c r="B21" s="5" t="str">
        <f>IFERROR(__xludf.DUMMYFUNCTION("""COMPUTED_VALUE"""),"TRSF E-BANKING DB")</f>
        <v>TRSF E-BANKING DB</v>
      </c>
      <c r="C21" s="5" t="str">
        <f>IFERROR(__xludf.DUMMYFUNCTION("""COMPUTED_VALUE"""),"0404/FTSCY/WS95031 2216620.00 HERMAWAN")</f>
        <v>0404/FTSCY/WS95031 2216620.00 HERMAWAN</v>
      </c>
      <c r="D21" s="12">
        <f>IFERROR(__xludf.DUMMYFUNCTION("""COMPUTED_VALUE"""),2216620.0)</f>
        <v>2216620</v>
      </c>
      <c r="E21" s="5"/>
      <c r="F21" s="5" t="str">
        <f>IFERROR(__xludf.DUMMYFUNCTION("""COMPUTED_VALUE"""),"DB")</f>
        <v>DB</v>
      </c>
      <c r="G21" s="5">
        <f>IFERROR(__xludf.DUMMYFUNCTION("""COMPUTED_VALUE"""),2.2148007932999998E8)</f>
        <v>221480079.3</v>
      </c>
      <c r="H21" s="5"/>
      <c r="I21" s="5"/>
    </row>
    <row r="22">
      <c r="A22" s="9">
        <f>IFERROR(__xludf.DUMMYFUNCTION("""COMPUTED_VALUE"""),46116.0)</f>
        <v>46116</v>
      </c>
      <c r="B22" s="5" t="str">
        <f>IFERROR(__xludf.DUMMYFUNCTION("""COMPUTED_VALUE"""),"TRSF E-BANKING DB")</f>
        <v>TRSF E-BANKING DB</v>
      </c>
      <c r="C22" s="5" t="str">
        <f>IFERROR(__xludf.DUMMYFUNCTION("""COMPUTED_VALUE"""),"0404/FTSCY/WS95271 4291500.00 MUJIANTO")</f>
        <v>0404/FTSCY/WS95271 4291500.00 MUJIANTO</v>
      </c>
      <c r="D22" s="12">
        <f>IFERROR(__xludf.DUMMYFUNCTION("""COMPUTED_VALUE"""),4291500.0)</f>
        <v>4291500</v>
      </c>
      <c r="E22" s="5"/>
      <c r="F22" s="5" t="str">
        <f>IFERROR(__xludf.DUMMYFUNCTION("""COMPUTED_VALUE"""),"DB")</f>
        <v>DB</v>
      </c>
      <c r="G22" s="5">
        <f>IFERROR(__xludf.DUMMYFUNCTION("""COMPUTED_VALUE"""),2.1718857932999998E8)</f>
        <v>217188579.3</v>
      </c>
      <c r="H22" s="5"/>
      <c r="I22" s="5"/>
    </row>
    <row r="23">
      <c r="A23" s="9">
        <f>IFERROR(__xludf.DUMMYFUNCTION("""COMPUTED_VALUE"""),46116.0)</f>
        <v>46116</v>
      </c>
      <c r="B23" s="5" t="str">
        <f>IFERROR(__xludf.DUMMYFUNCTION("""COMPUTED_VALUE"""),"TRSF E-BANKING DB")</f>
        <v>TRSF E-BANKING DB</v>
      </c>
      <c r="C23" s="5" t="str">
        <f>IFERROR(__xludf.DUMMYFUNCTION("""COMPUTED_VALUE"""),"0404/FTSCY/WS95011 31100600.00 krg 80 jt EKO SETIYAWAN")</f>
        <v>0404/FTSCY/WS95011 31100600.00 krg 80 jt EKO SETIYAWAN</v>
      </c>
      <c r="D23" s="12">
        <f>IFERROR(__xludf.DUMMYFUNCTION("""COMPUTED_VALUE"""),3.11006E7)</f>
        <v>31100600</v>
      </c>
      <c r="E23" s="5"/>
      <c r="F23" s="5" t="str">
        <f>IFERROR(__xludf.DUMMYFUNCTION("""COMPUTED_VALUE"""),"DB")</f>
        <v>DB</v>
      </c>
      <c r="G23" s="5">
        <f>IFERROR(__xludf.DUMMYFUNCTION("""COMPUTED_VALUE"""),5.091112393299999E8)</f>
        <v>509111239.3</v>
      </c>
      <c r="H23" s="5"/>
      <c r="I23" s="5"/>
    </row>
    <row r="24">
      <c r="A24" s="9">
        <f>IFERROR(__xludf.DUMMYFUNCTION("""COMPUTED_VALUE"""),46116.0)</f>
        <v>46116</v>
      </c>
      <c r="B24" s="5" t="str">
        <f>IFERROR(__xludf.DUMMYFUNCTION("""COMPUTED_VALUE"""),"TRSF E-BANKING DB")</f>
        <v>TRSF E-BANKING DB</v>
      </c>
      <c r="C24" s="5" t="str">
        <f>IFERROR(__xludf.DUMMYFUNCTION("""COMPUTED_VALUE"""),"0404/FTSCY/WS95011 137358250.00 Thu Apr 02 2026 14:00:00 GMT+0700 (Western Indonesia Time) BROILER MAKMUR TAN")</f>
        <v>0404/FTSCY/WS95011 137358250.00 Thu Apr 02 2026 14:00:00 GMT+0700 (Western Indonesia Time) BROILER MAKMUR TAN</v>
      </c>
      <c r="D24" s="12">
        <f>IFERROR(__xludf.DUMMYFUNCTION("""COMPUTED_VALUE"""),1.3735825E8)</f>
        <v>137358250</v>
      </c>
      <c r="E24" s="5"/>
      <c r="F24" s="5" t="str">
        <f>IFERROR(__xludf.DUMMYFUNCTION("""COMPUTED_VALUE"""),"DB")</f>
        <v>DB</v>
      </c>
      <c r="G24" s="5">
        <f>IFERROR(__xludf.DUMMYFUNCTION("""COMPUTED_VALUE"""),3.717529893299999E8)</f>
        <v>371752989.3</v>
      </c>
      <c r="H24" s="5"/>
      <c r="I24" s="5"/>
    </row>
    <row r="25">
      <c r="A25" s="9">
        <f>IFERROR(__xludf.DUMMYFUNCTION("""COMPUTED_VALUE"""),46116.0)</f>
        <v>46116</v>
      </c>
      <c r="B25" s="5" t="str">
        <f>IFERROR(__xludf.DUMMYFUNCTION("""COMPUTED_VALUE"""),"TRSF E-BANKING DB")</f>
        <v>TRSF E-BANKING DB</v>
      </c>
      <c r="C25" s="5" t="str">
        <f>IFERROR(__xludf.DUMMYFUNCTION("""COMPUTED_VALUE"""),"0404/FTSCY/WS95011 104814100.00 Thu Apr 02 2026 14:00:00 GMT+0700 (Western Indonesia Time) ANDALAN YASA MITRA")</f>
        <v>0404/FTSCY/WS95011 104814100.00 Thu Apr 02 2026 14:00:00 GMT+0700 (Western Indonesia Time) ANDALAN YASA MITRA</v>
      </c>
      <c r="D25" s="12">
        <f>IFERROR(__xludf.DUMMYFUNCTION("""COMPUTED_VALUE"""),1.048141E8)</f>
        <v>104814100</v>
      </c>
      <c r="E25" s="5"/>
      <c r="F25" s="5" t="str">
        <f>IFERROR(__xludf.DUMMYFUNCTION("""COMPUTED_VALUE"""),"DB")</f>
        <v>DB</v>
      </c>
      <c r="G25" s="5">
        <f>IFERROR(__xludf.DUMMYFUNCTION("""COMPUTED_VALUE"""),2.6693888932999992E8)</f>
        <v>266938889.3</v>
      </c>
      <c r="H25" s="5"/>
      <c r="I25" s="5"/>
    </row>
    <row r="26">
      <c r="A26" s="9">
        <f>IFERROR(__xludf.DUMMYFUNCTION("""COMPUTED_VALUE"""),46116.0)</f>
        <v>46116</v>
      </c>
      <c r="B26" s="5" t="str">
        <f>IFERROR(__xludf.DUMMYFUNCTION("""COMPUTED_VALUE"""),"TRSF E-BANKING DB")</f>
        <v>TRSF E-BANKING DB</v>
      </c>
      <c r="C26" s="5" t="str">
        <f>IFERROR(__xludf.DUMMYFUNCTION("""COMPUTED_VALUE"""),"0404/FTSCY/WS95011 182677350.00 Fri Apr 03 2026 14:00:00 GMT+0700 (Western Indonesia Time) BINTANG TAMA SANTO")</f>
        <v>0404/FTSCY/WS95011 182677350.00 Fri Apr 03 2026 14:00:00 GMT+0700 (Western Indonesia Time) BINTANG TAMA SANTO</v>
      </c>
      <c r="D26" s="12">
        <f>IFERROR(__xludf.DUMMYFUNCTION("""COMPUTED_VALUE"""),1.8267735E8)</f>
        <v>182677350</v>
      </c>
      <c r="E26" s="5"/>
      <c r="F26" s="5" t="str">
        <f>IFERROR(__xludf.DUMMYFUNCTION("""COMPUTED_VALUE"""),"DB")</f>
        <v>DB</v>
      </c>
      <c r="G26" s="5">
        <f>IFERROR(__xludf.DUMMYFUNCTION("""COMPUTED_VALUE"""),8.426153932999992E7)</f>
        <v>84261539.33</v>
      </c>
      <c r="H26" s="5">
        <f>IFERROR(__xludf.DUMMYFUNCTION("""COMPUTED_VALUE"""),8.426153933E7)</f>
        <v>84261539.33</v>
      </c>
      <c r="I26" s="5"/>
    </row>
    <row r="27">
      <c r="A27" s="9">
        <f>IFERROR(__xludf.DUMMYFUNCTION("""COMPUTED_VALUE"""),46117.0)</f>
        <v>46117</v>
      </c>
      <c r="B27" s="5" t="str">
        <f>IFERROR(__xludf.DUMMYFUNCTION("""COMPUTED_VALUE"""),"TRSF E-BANKING DB")</f>
        <v>TRSF E-BANKING DB</v>
      </c>
      <c r="C27" s="5" t="str">
        <f>IFERROR(__xludf.DUMMYFUNCTION("""COMPUTED_VALUE"""),"0504/FTSCY/WS95031 45878540.00 Fri Apr 03 2026 14:00:00 GMT+0700 (Western Indonesia Time) PT BERLIAN INDOMIT")</f>
        <v>0504/FTSCY/WS95031 45878540.00 Fri Apr 03 2026 14:00:00 GMT+0700 (Western Indonesia Time) PT BERLIAN INDOMIT</v>
      </c>
      <c r="D27" s="12">
        <f>IFERROR(__xludf.DUMMYFUNCTION("""COMPUTED_VALUE"""),4.587854E7)</f>
        <v>45878540</v>
      </c>
      <c r="E27" s="5"/>
      <c r="F27" s="5" t="str">
        <f>IFERROR(__xludf.DUMMYFUNCTION("""COMPUTED_VALUE"""),"DB")</f>
        <v>DB</v>
      </c>
      <c r="G27" s="5">
        <f>IFERROR(__xludf.DUMMYFUNCTION("""COMPUTED_VALUE"""),3.838299932999992E7)</f>
        <v>38382999.33</v>
      </c>
      <c r="H27" s="5"/>
      <c r="I27" s="5"/>
    </row>
    <row r="28">
      <c r="A28" s="9">
        <f>IFERROR(__xludf.DUMMYFUNCTION("""COMPUTED_VALUE"""),46117.0)</f>
        <v>46117</v>
      </c>
      <c r="B28" s="5" t="str">
        <f>IFERROR(__xludf.DUMMYFUNCTION("""COMPUTED_VALUE"""),"TRSF E-BANKING DB")</f>
        <v>TRSF E-BANKING DB</v>
      </c>
      <c r="C28" s="5" t="str">
        <f>IFERROR(__xludf.DUMMYFUNCTION("""COMPUTED_VALUE"""),"0504/FTSCY/WS95031 48459200.00 farm alfarisi jbr LAWU ABADI NUSA PT")</f>
        <v>0504/FTSCY/WS95031 48459200.00 farm alfarisi jbr LAWU ABADI NUSA PT</v>
      </c>
      <c r="D28" s="12">
        <f>IFERROR(__xludf.DUMMYFUNCTION("""COMPUTED_VALUE"""),4.84592E7)</f>
        <v>48459200</v>
      </c>
      <c r="E28" s="5"/>
      <c r="F28" s="5" t="str">
        <f>IFERROR(__xludf.DUMMYFUNCTION("""COMPUTED_VALUE"""),"DB")</f>
        <v>DB</v>
      </c>
      <c r="G28" s="5">
        <f>IFERROR(__xludf.DUMMYFUNCTION("""COMPUTED_VALUE"""),3.278517093299999E8)</f>
        <v>327851709.3</v>
      </c>
      <c r="H28" s="5"/>
      <c r="I28" s="5"/>
    </row>
    <row r="29">
      <c r="A29" s="9">
        <f>IFERROR(__xludf.DUMMYFUNCTION("""COMPUTED_VALUE"""),46117.0)</f>
        <v>46117</v>
      </c>
      <c r="B29" s="5" t="str">
        <f>IFERROR(__xludf.DUMMYFUNCTION("""COMPUTED_VALUE"""),"TRSF E-BANKING DB")</f>
        <v>TRSF E-BANKING DB</v>
      </c>
      <c r="C29" s="5" t="str">
        <f>IFERROR(__xludf.DUMMYFUNCTION("""COMPUTED_VALUE"""),"0504/FTSCY/WS95031 150000.00 byr ongkos mobil DIDIK HARYADI")</f>
        <v>0504/FTSCY/WS95031 150000.00 byr ongkos mobil DIDIK HARYADI</v>
      </c>
      <c r="D29" s="12">
        <f>IFERROR(__xludf.DUMMYFUNCTION("""COMPUTED_VALUE"""),150000.0)</f>
        <v>150000</v>
      </c>
      <c r="E29" s="5"/>
      <c r="F29" s="5" t="str">
        <f>IFERROR(__xludf.DUMMYFUNCTION("""COMPUTED_VALUE"""),"DB")</f>
        <v>DB</v>
      </c>
      <c r="G29" s="5">
        <f>IFERROR(__xludf.DUMMYFUNCTION("""COMPUTED_VALUE"""),3.277017093299999E8)</f>
        <v>327701709.3</v>
      </c>
      <c r="H29" s="5"/>
      <c r="I29" s="5"/>
    </row>
    <row r="30">
      <c r="A30" s="9">
        <f>IFERROR(__xludf.DUMMYFUNCTION("""COMPUTED_VALUE"""),46117.0)</f>
        <v>46117</v>
      </c>
      <c r="B30" s="5" t="str">
        <f>IFERROR(__xludf.DUMMYFUNCTION("""COMPUTED_VALUE"""),"TRSF E-BANKING DB")</f>
        <v>TRSF E-BANKING DB</v>
      </c>
      <c r="C30" s="5" t="str">
        <f>IFERROR(__xludf.DUMMYFUNCTION("""COMPUTED_VALUE"""),"0504/FTSCY/WS95271 186455600.00 Fri Apr 03 2026 14:00:00 GMT+0700 (Western Indonesia Time) ANUGERAH KARTIKA A")</f>
        <v>0504/FTSCY/WS95271 186455600.00 Fri Apr 03 2026 14:00:00 GMT+0700 (Western Indonesia Time) ANUGERAH KARTIKA A</v>
      </c>
      <c r="D30" s="12">
        <f>IFERROR(__xludf.DUMMYFUNCTION("""COMPUTED_VALUE"""),1.864556E8)</f>
        <v>186455600</v>
      </c>
      <c r="E30" s="5"/>
      <c r="F30" s="5" t="str">
        <f>IFERROR(__xludf.DUMMYFUNCTION("""COMPUTED_VALUE"""),"DB")</f>
        <v>DB</v>
      </c>
      <c r="G30" s="5">
        <f>IFERROR(__xludf.DUMMYFUNCTION("""COMPUTED_VALUE"""),1.4124610932999992E8)</f>
        <v>141246109.3</v>
      </c>
      <c r="H30" s="5">
        <f>IFERROR(__xludf.DUMMYFUNCTION("""COMPUTED_VALUE"""),1.4124610933E8)</f>
        <v>141246109.3</v>
      </c>
      <c r="I30" s="5"/>
    </row>
    <row r="31">
      <c r="A31" s="9">
        <f>IFERROR(__xludf.DUMMYFUNCTION("""COMPUTED_VALUE"""),46117.0)</f>
        <v>46117</v>
      </c>
      <c r="B31" s="5" t="str">
        <f>IFERROR(__xludf.DUMMYFUNCTION("""COMPUTED_VALUE"""),"TRSF E-BANKING DB")</f>
        <v>TRSF E-BANKING DB</v>
      </c>
      <c r="C31" s="5" t="str">
        <f>IFERROR(__xludf.DUMMYFUNCTION("""COMPUTED_VALUE"""),"0504/FTSCY/WS95031 1000000.00 SUPRIYADI")</f>
        <v>0504/FTSCY/WS95031 1000000.00 SUPRIYADI</v>
      </c>
      <c r="D31" s="12">
        <f>IFERROR(__xludf.DUMMYFUNCTION("""COMPUTED_VALUE"""),1000000.0)</f>
        <v>1000000</v>
      </c>
      <c r="E31" s="5"/>
      <c r="F31" s="5" t="str">
        <f>IFERROR(__xludf.DUMMYFUNCTION("""COMPUTED_VALUE"""),"DB")</f>
        <v>DB</v>
      </c>
      <c r="G31" s="5">
        <f>IFERROR(__xludf.DUMMYFUNCTION("""COMPUTED_VALUE"""),1.4024610932999992E8)</f>
        <v>140246109.3</v>
      </c>
      <c r="H31" s="5">
        <f>IFERROR(__xludf.DUMMYFUNCTION("""COMPUTED_VALUE"""),1.4024610933E8)</f>
        <v>140246109.3</v>
      </c>
      <c r="I31" s="5"/>
    </row>
    <row r="32">
      <c r="A32" s="9">
        <f>IFERROR(__xludf.DUMMYFUNCTION("""COMPUTED_VALUE"""),46117.0)</f>
        <v>46117</v>
      </c>
      <c r="B32" s="5" t="str">
        <f>IFERROR(__xludf.DUMMYFUNCTION("""COMPUTED_VALUE"""),"BI-FAST DB")</f>
        <v>BI-FAST DB</v>
      </c>
      <c r="C32" s="5" t="str">
        <f>IFERROR(__xludf.DUMMYFUNCTION("""COMPUTED_VALUE"""),"BIF TRANSFER KE 9 NOUVAL HOLQI RISKU M-BCA")</f>
        <v>BIF TRANSFER KE 9 NOUVAL HOLQI RISKU M-BCA</v>
      </c>
      <c r="D32" s="12">
        <f>IFERROR(__xludf.DUMMYFUNCTION("""COMPUTED_VALUE"""),228000.0)</f>
        <v>228000</v>
      </c>
      <c r="E32" s="5"/>
      <c r="F32" s="5" t="str">
        <f>IFERROR(__xludf.DUMMYFUNCTION("""COMPUTED_VALUE"""),"DB")</f>
        <v>DB</v>
      </c>
      <c r="G32" s="5">
        <f>IFERROR(__xludf.DUMMYFUNCTION("""COMPUTED_VALUE"""),4.112963893299999E8)</f>
        <v>411296389.3</v>
      </c>
      <c r="H32" s="5"/>
      <c r="I32" s="5"/>
    </row>
    <row r="33">
      <c r="A33" s="9">
        <f>IFERROR(__xludf.DUMMYFUNCTION("""COMPUTED_VALUE"""),46117.0)</f>
        <v>46117</v>
      </c>
      <c r="B33" s="5" t="str">
        <f>IFERROR(__xludf.DUMMYFUNCTION("""COMPUTED_VALUE"""),"BI-FAST DB")</f>
        <v>BI-FAST DB</v>
      </c>
      <c r="C33" s="5" t="str">
        <f>IFERROR(__xludf.DUMMYFUNCTION("""COMPUTED_VALUE"""),"BIF BIAYA TXN KE 9 NOUVAL HOLQI RISKU M-BCA")</f>
        <v>BIF BIAYA TXN KE 9 NOUVAL HOLQI RISKU M-BCA</v>
      </c>
      <c r="D33" s="12">
        <f>IFERROR(__xludf.DUMMYFUNCTION("""COMPUTED_VALUE"""),2500.0)</f>
        <v>2500</v>
      </c>
      <c r="E33" s="5"/>
      <c r="F33" s="5" t="str">
        <f>IFERROR(__xludf.DUMMYFUNCTION("""COMPUTED_VALUE"""),"DB")</f>
        <v>DB</v>
      </c>
      <c r="G33" s="5">
        <f>IFERROR(__xludf.DUMMYFUNCTION("""COMPUTED_VALUE"""),4.112938893299999E8)</f>
        <v>411293889.3</v>
      </c>
      <c r="H33" s="5"/>
      <c r="I33" s="5"/>
    </row>
    <row r="34">
      <c r="A34" s="9">
        <f>IFERROR(__xludf.DUMMYFUNCTION("""COMPUTED_VALUE"""),46118.0)</f>
        <v>46118</v>
      </c>
      <c r="B34" s="5" t="str">
        <f>IFERROR(__xludf.DUMMYFUNCTION("""COMPUTED_VALUE"""),"TRSF E-BANKING DB TANGGAL :05/04")</f>
        <v>TRSF E-BANKING DB TANGGAL :05/04</v>
      </c>
      <c r="C34" s="5" t="str">
        <f>IFERROR(__xludf.DUMMYFUNCTION("""COMPUTED_VALUE"""),"0504/FTSCY/WS95031 MUJIANTO")</f>
        <v>0504/FTSCY/WS95031 MUJIANTO</v>
      </c>
      <c r="D34" s="12">
        <f>IFERROR(__xludf.DUMMYFUNCTION("""COMPUTED_VALUE"""),1644920.0)</f>
        <v>1644920</v>
      </c>
      <c r="E34" s="5"/>
      <c r="F34" s="5" t="str">
        <f>IFERROR(__xludf.DUMMYFUNCTION("""COMPUTED_VALUE"""),"DB")</f>
        <v>DB</v>
      </c>
      <c r="G34" s="5">
        <f>IFERROR(__xludf.DUMMYFUNCTION("""COMPUTED_VALUE"""),5.465293593299999E8)</f>
        <v>546529359.3</v>
      </c>
      <c r="H34" s="5"/>
      <c r="I34" s="5"/>
    </row>
    <row r="35">
      <c r="A35" s="9">
        <f>IFERROR(__xludf.DUMMYFUNCTION("""COMPUTED_VALUE"""),46118.0)</f>
        <v>46118</v>
      </c>
      <c r="B35" s="5" t="str">
        <f>IFERROR(__xludf.DUMMYFUNCTION("""COMPUTED_VALUE"""),"TRSF E-BANKING DB TANGGAL :05/04")</f>
        <v>TRSF E-BANKING DB TANGGAL :05/04</v>
      </c>
      <c r="C35" s="5" t="str">
        <f>IFERROR(__xludf.DUMMYFUNCTION("""COMPUTED_VALUE"""),"0504/FTSCY/WS95011 Fri Apr 03 2026 14:00:00 GMT+0700 (Western Indonesia Time) BROILER MAKMUR TAN")</f>
        <v>0504/FTSCY/WS95011 Fri Apr 03 2026 14:00:00 GMT+0700 (Western Indonesia Time) BROILER MAKMUR TAN</v>
      </c>
      <c r="D35" s="12">
        <f>IFERROR(__xludf.DUMMYFUNCTION("""COMPUTED_VALUE"""),2.1514598E8)</f>
        <v>215145980</v>
      </c>
      <c r="E35" s="5"/>
      <c r="F35" s="5" t="str">
        <f>IFERROR(__xludf.DUMMYFUNCTION("""COMPUTED_VALUE"""),"DB")</f>
        <v>DB</v>
      </c>
      <c r="G35" s="5">
        <f>IFERROR(__xludf.DUMMYFUNCTION("""COMPUTED_VALUE"""),3.313833793299999E8)</f>
        <v>331383379.3</v>
      </c>
      <c r="H35" s="5"/>
      <c r="I35" s="5"/>
    </row>
    <row r="36">
      <c r="A36" s="9">
        <f>IFERROR(__xludf.DUMMYFUNCTION("""COMPUTED_VALUE"""),46118.0)</f>
        <v>46118</v>
      </c>
      <c r="B36" s="5" t="str">
        <f>IFERROR(__xludf.DUMMYFUNCTION("""COMPUTED_VALUE"""),"TRSF E-BANKING DB TANGGAL :05/04")</f>
        <v>TRSF E-BANKING DB TANGGAL :05/04</v>
      </c>
      <c r="C36" s="5" t="str">
        <f>IFERROR(__xludf.DUMMYFUNCTION("""COMPUTED_VALUE"""),"0504/FTSCY/WS95011 Fri Apr 03 2026 14:00:00 GMT+0700 (Western Indonesia Time) Kd. riki ponorogo SUPER UNGGAS JAYA")</f>
        <v>0504/FTSCY/WS95011 Fri Apr 03 2026 14:00:00 GMT+0700 (Western Indonesia Time) Kd. riki ponorogo SUPER UNGGAS JAYA</v>
      </c>
      <c r="D36" s="12">
        <f>IFERROR(__xludf.DUMMYFUNCTION("""COMPUTED_VALUE"""),9.07122E7)</f>
        <v>90712200</v>
      </c>
      <c r="E36" s="5"/>
      <c r="F36" s="5" t="str">
        <f>IFERROR(__xludf.DUMMYFUNCTION("""COMPUTED_VALUE"""),"DB")</f>
        <v>DB</v>
      </c>
      <c r="G36" s="5">
        <f>IFERROR(__xludf.DUMMYFUNCTION("""COMPUTED_VALUE"""),2.4067117932999992E8)</f>
        <v>240671179.3</v>
      </c>
      <c r="H36" s="5"/>
      <c r="I36" s="5"/>
    </row>
    <row r="37">
      <c r="A37" s="9">
        <f>IFERROR(__xludf.DUMMYFUNCTION("""COMPUTED_VALUE"""),46118.0)</f>
        <v>46118</v>
      </c>
      <c r="B37" s="5" t="str">
        <f>IFERROR(__xludf.DUMMYFUNCTION("""COMPUTED_VALUE"""),"TRSF E-BANKING DB TANGGAL :05/04")</f>
        <v>TRSF E-BANKING DB TANGGAL :05/04</v>
      </c>
      <c r="C37" s="5" t="str">
        <f>IFERROR(__xludf.DUMMYFUNCTION("""COMPUTED_VALUE"""),"0504/FTSCY/WS95011 kd. rois t.agung BINTANG TAMA SANTO")</f>
        <v>0504/FTSCY/WS95011 kd. rois t.agung BINTANG TAMA SANTO</v>
      </c>
      <c r="D37" s="12">
        <f>IFERROR(__xludf.DUMMYFUNCTION("""COMPUTED_VALUE"""),1.092624E8)</f>
        <v>109262400</v>
      </c>
      <c r="E37" s="5"/>
      <c r="F37" s="5" t="str">
        <f>IFERROR(__xludf.DUMMYFUNCTION("""COMPUTED_VALUE"""),"DB")</f>
        <v>DB</v>
      </c>
      <c r="G37" s="5">
        <f>IFERROR(__xludf.DUMMYFUNCTION("""COMPUTED_VALUE"""),1.3140877932999992E8)</f>
        <v>131408779.3</v>
      </c>
      <c r="H37" s="5"/>
      <c r="I37" s="5"/>
    </row>
    <row r="38">
      <c r="A38" s="9">
        <f>IFERROR(__xludf.DUMMYFUNCTION("""COMPUTED_VALUE"""),46118.0)</f>
        <v>46118</v>
      </c>
      <c r="B38" s="5" t="str">
        <f>IFERROR(__xludf.DUMMYFUNCTION("""COMPUTED_VALUE"""),"TRSF E-BANKING DB")</f>
        <v>TRSF E-BANKING DB</v>
      </c>
      <c r="C38" s="5" t="str">
        <f>IFERROR(__xludf.DUMMYFUNCTION("""COMPUTED_VALUE"""),"0604/FTSCY/WS95031 6834320.00 HERMAWAN")</f>
        <v>0604/FTSCY/WS95031 6834320.00 HERMAWAN</v>
      </c>
      <c r="D38" s="12">
        <f>IFERROR(__xludf.DUMMYFUNCTION("""COMPUTED_VALUE"""),6834320.0)</f>
        <v>6834320</v>
      </c>
      <c r="E38" s="5"/>
      <c r="F38" s="5" t="str">
        <f>IFERROR(__xludf.DUMMYFUNCTION("""COMPUTED_VALUE"""),"DB")</f>
        <v>DB</v>
      </c>
      <c r="G38" s="5">
        <f>IFERROR(__xludf.DUMMYFUNCTION("""COMPUTED_VALUE"""),1.2457445932999992E8)</f>
        <v>124574459.3</v>
      </c>
      <c r="H38" s="5"/>
      <c r="I38" s="5"/>
    </row>
    <row r="39">
      <c r="A39" s="9">
        <f>IFERROR(__xludf.DUMMYFUNCTION("""COMPUTED_VALUE"""),46118.0)</f>
        <v>46118</v>
      </c>
      <c r="B39" s="5" t="str">
        <f>IFERROR(__xludf.DUMMYFUNCTION("""COMPUTED_VALUE"""),"TRSF E-BANKING DB")</f>
        <v>TRSF E-BANKING DB</v>
      </c>
      <c r="C39" s="5" t="str">
        <f>IFERROR(__xludf.DUMMYFUNCTION("""COMPUTED_VALUE"""),"0604/FTSCY/WS95031 11469800.00 krg 80 jt EKO SETIYAWAN")</f>
        <v>0604/FTSCY/WS95031 11469800.00 krg 80 jt EKO SETIYAWAN</v>
      </c>
      <c r="D39" s="12">
        <f>IFERROR(__xludf.DUMMYFUNCTION("""COMPUTED_VALUE"""),1.14698E7)</f>
        <v>11469800</v>
      </c>
      <c r="E39" s="5"/>
      <c r="F39" s="5" t="str">
        <f>IFERROR(__xludf.DUMMYFUNCTION("""COMPUTED_VALUE"""),"DB")</f>
        <v>DB</v>
      </c>
      <c r="G39" s="5">
        <f>IFERROR(__xludf.DUMMYFUNCTION("""COMPUTED_VALUE"""),1.1310465932999992E8)</f>
        <v>113104659.3</v>
      </c>
      <c r="H39" s="5"/>
      <c r="I39" s="5"/>
    </row>
    <row r="40">
      <c r="A40" s="9">
        <f>IFERROR(__xludf.DUMMYFUNCTION("""COMPUTED_VALUE"""),46118.0)</f>
        <v>46118</v>
      </c>
      <c r="B40" s="5" t="str">
        <f>IFERROR(__xludf.DUMMYFUNCTION("""COMPUTED_VALUE"""),"TRSF E-BANKING DB")</f>
        <v>TRSF E-BANKING DB</v>
      </c>
      <c r="C40" s="5" t="str">
        <f>IFERROR(__xludf.DUMMYFUNCTION("""COMPUTED_VALUE"""),"0604/FTSCY/WS95031 1020000.00 NURHAYATI")</f>
        <v>0604/FTSCY/WS95031 1020000.00 NURHAYATI</v>
      </c>
      <c r="D40" s="12">
        <f>IFERROR(__xludf.DUMMYFUNCTION("""COMPUTED_VALUE"""),1020000.0)</f>
        <v>1020000</v>
      </c>
      <c r="E40" s="5"/>
      <c r="F40" s="5" t="str">
        <f>IFERROR(__xludf.DUMMYFUNCTION("""COMPUTED_VALUE"""),"DB")</f>
        <v>DB</v>
      </c>
      <c r="G40" s="5">
        <f>IFERROR(__xludf.DUMMYFUNCTION("""COMPUTED_VALUE"""),1.1208465932999992E8)</f>
        <v>112084659.3</v>
      </c>
      <c r="H40" s="5"/>
      <c r="I40" s="5"/>
    </row>
    <row r="41">
      <c r="A41" s="9">
        <f>IFERROR(__xludf.DUMMYFUNCTION("""COMPUTED_VALUE"""),46118.0)</f>
        <v>46118</v>
      </c>
      <c r="B41" s="5" t="str">
        <f>IFERROR(__xludf.DUMMYFUNCTION("""COMPUTED_VALUE"""),"TRSF E-BANKING DB")</f>
        <v>TRSF E-BANKING DB</v>
      </c>
      <c r="C41" s="5" t="str">
        <f>IFERROR(__xludf.DUMMYFUNCTION("""COMPUTED_VALUE"""),"0604/FTSCY/WS95271 98438600.00 Wed Mar 04 2026 15:00:00 GMT+0700 (Western Indonesia Time) SUPER UNGGAS JAYA")</f>
        <v>0604/FTSCY/WS95271 98438600.00 Wed Mar 04 2026 15:00:00 GMT+0700 (Western Indonesia Time) SUPER UNGGAS JAYA</v>
      </c>
      <c r="D41" s="12">
        <f>IFERROR(__xludf.DUMMYFUNCTION("""COMPUTED_VALUE"""),9.84386E7)</f>
        <v>98438600</v>
      </c>
      <c r="E41" s="5"/>
      <c r="F41" s="5" t="str">
        <f>IFERROR(__xludf.DUMMYFUNCTION("""COMPUTED_VALUE"""),"DB")</f>
        <v>DB</v>
      </c>
      <c r="G41" s="5">
        <f>IFERROR(__xludf.DUMMYFUNCTION("""COMPUTED_VALUE"""),1.3646059329999924E7)</f>
        <v>13646059.33</v>
      </c>
      <c r="H41" s="5">
        <f>IFERROR(__xludf.DUMMYFUNCTION("""COMPUTED_VALUE"""),1.364605933E7)</f>
        <v>13646059.33</v>
      </c>
      <c r="I41" s="5"/>
    </row>
    <row r="42">
      <c r="A42" s="9">
        <f>IFERROR(__xludf.DUMMYFUNCTION("""COMPUTED_VALUE"""),46118.0)</f>
        <v>46118</v>
      </c>
      <c r="B42" s="5" t="str">
        <f>IFERROR(__xludf.DUMMYFUNCTION("""COMPUTED_VALUE"""),"TRSF E-BANKING DB")</f>
        <v>TRSF E-BANKING DB</v>
      </c>
      <c r="C42" s="5" t="str">
        <f>IFERROR(__xludf.DUMMYFUNCTION("""COMPUTED_VALUE"""),"0604/FTSCY/WS95271 132503290.00 Sat Apr 04 2026 14:00:00 GMT+0700 (Western Indonesia Time) ANDALAN YASA MITRA")</f>
        <v>0604/FTSCY/WS95271 132503290.00 Sat Apr 04 2026 14:00:00 GMT+0700 (Western Indonesia Time) ANDALAN YASA MITRA</v>
      </c>
      <c r="D42" s="12">
        <f>IFERROR(__xludf.DUMMYFUNCTION("""COMPUTED_VALUE"""),1.3250329E8)</f>
        <v>132503290</v>
      </c>
      <c r="E42" s="5"/>
      <c r="F42" s="5" t="str">
        <f>IFERROR(__xludf.DUMMYFUNCTION("""COMPUTED_VALUE"""),"DB")</f>
        <v>DB</v>
      </c>
      <c r="G42" s="5">
        <f>IFERROR(__xludf.DUMMYFUNCTION("""COMPUTED_VALUE"""),2.5740272932999992E8)</f>
        <v>257402729.3</v>
      </c>
      <c r="H42" s="5"/>
      <c r="I42" s="5"/>
    </row>
    <row r="43">
      <c r="A43" s="9">
        <f>IFERROR(__xludf.DUMMYFUNCTION("""COMPUTED_VALUE"""),46118.0)</f>
        <v>46118</v>
      </c>
      <c r="B43" s="5" t="str">
        <f>IFERROR(__xludf.DUMMYFUNCTION("""COMPUTED_VALUE"""),"TRSF E-BANKING DB")</f>
        <v>TRSF E-BANKING DB</v>
      </c>
      <c r="C43" s="5" t="str">
        <f>IFERROR(__xludf.DUMMYFUNCTION("""COMPUTED_VALUE"""),"0604/FTSCY/WS95011 103562680.00 Sat Apr 04 2026 14:00:00 GMT+0700 (Western Indonesia Time) GANESHA SATRIA NUS")</f>
        <v>0604/FTSCY/WS95011 103562680.00 Sat Apr 04 2026 14:00:00 GMT+0700 (Western Indonesia Time) GANESHA SATRIA NUS</v>
      </c>
      <c r="D43" s="12">
        <f>IFERROR(__xludf.DUMMYFUNCTION("""COMPUTED_VALUE"""),1.0356268E8)</f>
        <v>103562680</v>
      </c>
      <c r="E43" s="5"/>
      <c r="F43" s="5" t="str">
        <f>IFERROR(__xludf.DUMMYFUNCTION("""COMPUTED_VALUE"""),"DB")</f>
        <v>DB</v>
      </c>
      <c r="G43" s="5">
        <f>IFERROR(__xludf.DUMMYFUNCTION("""COMPUTED_VALUE"""),1.5384004932999992E8)</f>
        <v>153840049.3</v>
      </c>
      <c r="H43" s="5"/>
      <c r="I43" s="5"/>
    </row>
    <row r="44">
      <c r="A44" s="9">
        <f>IFERROR(__xludf.DUMMYFUNCTION("""COMPUTED_VALUE"""),46118.0)</f>
        <v>46118</v>
      </c>
      <c r="B44" s="5" t="str">
        <f>IFERROR(__xludf.DUMMYFUNCTION("""COMPUTED_VALUE"""),"TRSF E-BANKING DB")</f>
        <v>TRSF E-BANKING DB</v>
      </c>
      <c r="C44" s="5" t="str">
        <f>IFERROR(__xludf.DUMMYFUNCTION("""COMPUTED_VALUE"""),"0604/FTSCY/WS95011 96703650.00 Sat Apr 04 2026 14:00:00 GMT+0700 (Western Indonesia Time) BROILER MAKMUR TAN")</f>
        <v>0604/FTSCY/WS95011 96703650.00 Sat Apr 04 2026 14:00:00 GMT+0700 (Western Indonesia Time) BROILER MAKMUR TAN</v>
      </c>
      <c r="D44" s="12">
        <f>IFERROR(__xludf.DUMMYFUNCTION("""COMPUTED_VALUE"""),9.670365E7)</f>
        <v>96703650</v>
      </c>
      <c r="E44" s="5"/>
      <c r="F44" s="5" t="str">
        <f>IFERROR(__xludf.DUMMYFUNCTION("""COMPUTED_VALUE"""),"DB")</f>
        <v>DB</v>
      </c>
      <c r="G44" s="5">
        <f>IFERROR(__xludf.DUMMYFUNCTION("""COMPUTED_VALUE"""),5.713639932999992E7)</f>
        <v>57136399.33</v>
      </c>
      <c r="H44" s="5"/>
      <c r="I44" s="5"/>
    </row>
    <row r="45">
      <c r="A45" s="9">
        <f>IFERROR(__xludf.DUMMYFUNCTION("""COMPUTED_VALUE"""),46118.0)</f>
        <v>46118</v>
      </c>
      <c r="B45" s="5" t="str">
        <f>IFERROR(__xludf.DUMMYFUNCTION("""COMPUTED_VALUE"""),"TRSF E-BANKING DB")</f>
        <v>TRSF E-BANKING DB</v>
      </c>
      <c r="C45" s="5" t="str">
        <f>IFERROR(__xludf.DUMMYFUNCTION("""COMPUTED_VALUE"""),"0604/FTSCY/WS95031 58240960.00 kd ebit bwi SURYA INTI TERNAK")</f>
        <v>0604/FTSCY/WS95031 58240960.00 kd ebit bwi SURYA INTI TERNAK</v>
      </c>
      <c r="D45" s="12">
        <f>IFERROR(__xludf.DUMMYFUNCTION("""COMPUTED_VALUE"""),5.824096E7)</f>
        <v>58240960</v>
      </c>
      <c r="E45" s="5"/>
      <c r="F45" s="5" t="str">
        <f>IFERROR(__xludf.DUMMYFUNCTION("""COMPUTED_VALUE"""),"DB")</f>
        <v>DB</v>
      </c>
      <c r="G45" s="5">
        <f>IFERROR(__xludf.DUMMYFUNCTION("""COMPUTED_VALUE"""),9.397614932999992E7)</f>
        <v>93976149.33</v>
      </c>
      <c r="H45" s="5"/>
      <c r="I45" s="5"/>
    </row>
    <row r="46">
      <c r="A46" s="9">
        <f>IFERROR(__xludf.DUMMYFUNCTION("""COMPUTED_VALUE"""),46118.0)</f>
        <v>46118</v>
      </c>
      <c r="B46" s="5" t="str">
        <f>IFERROR(__xludf.DUMMYFUNCTION("""COMPUTED_VALUE"""),"TRSF E-BANKING DB")</f>
        <v>TRSF E-BANKING DB</v>
      </c>
      <c r="C46" s="5" t="str">
        <f>IFERROR(__xludf.DUMMYFUNCTION("""COMPUTED_VALUE"""),"0604/FTSCY/WS95011 62700000.00 Kd. supriyanto ngawi 3800kg UNGGAS MANDIRI BER")</f>
        <v>0604/FTSCY/WS95011 62700000.00 Kd. supriyanto ngawi 3800kg UNGGAS MANDIRI BER</v>
      </c>
      <c r="D46" s="12">
        <f>IFERROR(__xludf.DUMMYFUNCTION("""COMPUTED_VALUE"""),6.27E7)</f>
        <v>62700000</v>
      </c>
      <c r="E46" s="5"/>
      <c r="F46" s="5" t="str">
        <f>IFERROR(__xludf.DUMMYFUNCTION("""COMPUTED_VALUE"""),"DB")</f>
        <v>DB</v>
      </c>
      <c r="G46" s="5">
        <f>IFERROR(__xludf.DUMMYFUNCTION("""COMPUTED_VALUE"""),3.1276149329999924E7)</f>
        <v>31276149.33</v>
      </c>
      <c r="H46" s="5"/>
      <c r="I46" s="5"/>
    </row>
    <row r="47">
      <c r="A47" s="9">
        <f>IFERROR(__xludf.DUMMYFUNCTION("""COMPUTED_VALUE"""),46118.0)</f>
        <v>46118</v>
      </c>
      <c r="B47" s="5" t="str">
        <f>IFERROR(__xludf.DUMMYFUNCTION("""COMPUTED_VALUE"""),"BI-FAST DB")</f>
        <v>BI-FAST DB</v>
      </c>
      <c r="C47" s="5" t="str">
        <f>IFERROR(__xludf.DUMMYFUNCTION("""COMPUTED_VALUE"""),"BIF TRANSFER KE 9 NOUVAL HOLQI RISKU M-BCA")</f>
        <v>BIF TRANSFER KE 9 NOUVAL HOLQI RISKU M-BCA</v>
      </c>
      <c r="D47" s="12">
        <f>IFERROR(__xludf.DUMMYFUNCTION("""COMPUTED_VALUE"""),143000.0)</f>
        <v>143000</v>
      </c>
      <c r="E47" s="5"/>
      <c r="F47" s="5" t="str">
        <f>IFERROR(__xludf.DUMMYFUNCTION("""COMPUTED_VALUE"""),"DB")</f>
        <v>DB</v>
      </c>
      <c r="G47" s="5">
        <f>IFERROR(__xludf.DUMMYFUNCTION("""COMPUTED_VALUE"""),9.155314932999992E7)</f>
        <v>91553149.33</v>
      </c>
      <c r="H47" s="5"/>
      <c r="I47" s="5"/>
    </row>
    <row r="48">
      <c r="A48" s="9">
        <f>IFERROR(__xludf.DUMMYFUNCTION("""COMPUTED_VALUE"""),46118.0)</f>
        <v>46118</v>
      </c>
      <c r="B48" s="5" t="str">
        <f>IFERROR(__xludf.DUMMYFUNCTION("""COMPUTED_VALUE"""),"BI-FAST DB")</f>
        <v>BI-FAST DB</v>
      </c>
      <c r="C48" s="5" t="str">
        <f>IFERROR(__xludf.DUMMYFUNCTION("""COMPUTED_VALUE"""),"BIF BIAYA TXN KE 9 NOUVAL HOLQI RISKU M-BCA")</f>
        <v>BIF BIAYA TXN KE 9 NOUVAL HOLQI RISKU M-BCA</v>
      </c>
      <c r="D48" s="12">
        <f>IFERROR(__xludf.DUMMYFUNCTION("""COMPUTED_VALUE"""),2500.0)</f>
        <v>2500</v>
      </c>
      <c r="E48" s="5"/>
      <c r="F48" s="5" t="str">
        <f>IFERROR(__xludf.DUMMYFUNCTION("""COMPUTED_VALUE"""),"DB")</f>
        <v>DB</v>
      </c>
      <c r="G48" s="5">
        <f>IFERROR(__xludf.DUMMYFUNCTION("""COMPUTED_VALUE"""),9.155064932999992E7)</f>
        <v>91550649.33</v>
      </c>
      <c r="H48" s="5"/>
      <c r="I48" s="5"/>
    </row>
    <row r="49">
      <c r="A49" s="9">
        <f>IFERROR(__xludf.DUMMYFUNCTION("""COMPUTED_VALUE"""),46118.0)</f>
        <v>46118</v>
      </c>
      <c r="B49" s="5" t="str">
        <f>IFERROR(__xludf.DUMMYFUNCTION("""COMPUTED_VALUE"""),"TRSF E-BANKING DB")</f>
        <v>TRSF E-BANKING DB</v>
      </c>
      <c r="C49" s="5" t="str">
        <f>IFERROR(__xludf.DUMMYFUNCTION("""COMPUTED_VALUE"""),"0604/FTSCY/WS95031 1769100.00 HERMAWAN")</f>
        <v>0604/FTSCY/WS95031 1769100.00 HERMAWAN</v>
      </c>
      <c r="D49" s="12">
        <f>IFERROR(__xludf.DUMMYFUNCTION("""COMPUTED_VALUE"""),1769100.0)</f>
        <v>1769100</v>
      </c>
      <c r="E49" s="5"/>
      <c r="F49" s="5" t="str">
        <f>IFERROR(__xludf.DUMMYFUNCTION("""COMPUTED_VALUE"""),"DB")</f>
        <v>DB</v>
      </c>
      <c r="G49" s="5">
        <f>IFERROR(__xludf.DUMMYFUNCTION("""COMPUTED_VALUE"""),2.3472780932999992E8)</f>
        <v>234727809.3</v>
      </c>
      <c r="H49" s="5">
        <f>IFERROR(__xludf.DUMMYFUNCTION("""COMPUTED_VALUE"""),2.3472780933E8)</f>
        <v>234727809.3</v>
      </c>
      <c r="I49" s="5"/>
    </row>
    <row r="50">
      <c r="A50" s="9">
        <f>IFERROR(__xludf.DUMMYFUNCTION("""COMPUTED_VALUE"""),46118.0)</f>
        <v>46118</v>
      </c>
      <c r="B50" s="5" t="str">
        <f>IFERROR(__xludf.DUMMYFUNCTION("""COMPUTED_VALUE"""),"TRSF E-BANKING DB")</f>
        <v>TRSF E-BANKING DB</v>
      </c>
      <c r="C50" s="5" t="str">
        <f>IFERROR(__xludf.DUMMYFUNCTION("""COMPUTED_VALUE"""),"0604/FTSCY/WS95031 1681320.00 MUJIANTO")</f>
        <v>0604/FTSCY/WS95031 1681320.00 MUJIANTO</v>
      </c>
      <c r="D50" s="12">
        <f>IFERROR(__xludf.DUMMYFUNCTION("""COMPUTED_VALUE"""),1681320.0)</f>
        <v>1681320</v>
      </c>
      <c r="E50" s="5"/>
      <c r="F50" s="5" t="str">
        <f>IFERROR(__xludf.DUMMYFUNCTION("""COMPUTED_VALUE"""),"DB")</f>
        <v>DB</v>
      </c>
      <c r="G50" s="5">
        <f>IFERROR(__xludf.DUMMYFUNCTION("""COMPUTED_VALUE"""),2.3304648932999992E8)</f>
        <v>233046489.3</v>
      </c>
      <c r="H50" s="5">
        <f>IFERROR(__xludf.DUMMYFUNCTION("""COMPUTED_VALUE"""),2.3304648933E8)</f>
        <v>233046489.3</v>
      </c>
      <c r="I50" s="5"/>
    </row>
    <row r="51">
      <c r="A51" s="9">
        <f>IFERROR(__xludf.DUMMYFUNCTION("""COMPUTED_VALUE"""),46119.0)</f>
        <v>46119</v>
      </c>
      <c r="B51" s="5" t="str">
        <f>IFERROR(__xludf.DUMMYFUNCTION("""COMPUTED_VALUE"""),"TRSF E-BANKING DB TANGGAL :06/04")</f>
        <v>TRSF E-BANKING DB TANGGAL :06/04</v>
      </c>
      <c r="C51" s="5" t="str">
        <f>IFERROR(__xludf.DUMMYFUNCTION("""COMPUTED_VALUE"""),"0604/FTSCY/WS95031 krg 80 jt EKO SETIYAWAN")</f>
        <v>0604/FTSCY/WS95031 krg 80 jt EKO SETIYAWAN</v>
      </c>
      <c r="D51" s="12">
        <f>IFERROR(__xludf.DUMMYFUNCTION("""COMPUTED_VALUE"""),1.18007E7)</f>
        <v>11800700</v>
      </c>
      <c r="E51" s="5"/>
      <c r="F51" s="5" t="str">
        <f>IFERROR(__xludf.DUMMYFUNCTION("""COMPUTED_VALUE"""),"DB")</f>
        <v>DB</v>
      </c>
      <c r="G51" s="5">
        <f>IFERROR(__xludf.DUMMYFUNCTION("""COMPUTED_VALUE"""),2.2124578932999992E8)</f>
        <v>221245789.3</v>
      </c>
      <c r="H51" s="5"/>
      <c r="I51" s="5"/>
    </row>
    <row r="52">
      <c r="A52" s="9">
        <f>IFERROR(__xludf.DUMMYFUNCTION("""COMPUTED_VALUE"""),46119.0)</f>
        <v>46119</v>
      </c>
      <c r="B52" s="5" t="str">
        <f>IFERROR(__xludf.DUMMYFUNCTION("""COMPUTED_VALUE"""),"TRSF E-BANKING DB TANGGAL :06/04")</f>
        <v>TRSF E-BANKING DB TANGGAL :06/04</v>
      </c>
      <c r="C52" s="5" t="str">
        <f>IFERROR(__xludf.DUMMYFUNCTION("""COMPUTED_VALUE"""),"0604/FTFVA/WS95031 kd hartatik nganju k 3 ton 200177")</f>
        <v>0604/FTFVA/WS95031 kd hartatik nganju k 3 ton 200177</v>
      </c>
      <c r="D52" s="12">
        <f>IFERROR(__xludf.DUMMYFUNCTION("""COMPUTED_VALUE"""),4.95E7)</f>
        <v>49500000</v>
      </c>
      <c r="E52" s="5"/>
      <c r="F52" s="5" t="str">
        <f>IFERROR(__xludf.DUMMYFUNCTION("""COMPUTED_VALUE"""),"DB")</f>
        <v>DB</v>
      </c>
      <c r="G52" s="5">
        <f>IFERROR(__xludf.DUMMYFUNCTION("""COMPUTED_VALUE"""),2.4566563932999992E8)</f>
        <v>245665639.3</v>
      </c>
      <c r="H52" s="5"/>
      <c r="I52" s="5"/>
    </row>
    <row r="53">
      <c r="A53" s="9">
        <f>IFERROR(__xludf.DUMMYFUNCTION("""COMPUTED_VALUE"""),46119.0)</f>
        <v>46119</v>
      </c>
      <c r="B53" s="5" t="str">
        <f>IFERROR(__xludf.DUMMYFUNCTION("""COMPUTED_VALUE"""),"TRSF E-BANKING DB TANGGAL :06/04")</f>
        <v>TRSF E-BANKING DB TANGGAL :06/04</v>
      </c>
      <c r="C53" s="5" t="str">
        <f>IFERROR(__xludf.DUMMYFUNCTION("""COMPUTED_VALUE"""),"0604/FTSCY/WS95271 Sun Apr 05 2026 14:00:00 GMT+0700 (Western Indonesia Time) GANESHA SATRIA NUS")</f>
        <v>0604/FTSCY/WS95271 Sun Apr 05 2026 14:00:00 GMT+0700 (Western Indonesia Time) GANESHA SATRIA NUS</v>
      </c>
      <c r="D53" s="12">
        <f>IFERROR(__xludf.DUMMYFUNCTION("""COMPUTED_VALUE"""),4.15422E7)</f>
        <v>41542200</v>
      </c>
      <c r="E53" s="5"/>
      <c r="F53" s="5" t="str">
        <f>IFERROR(__xludf.DUMMYFUNCTION("""COMPUTED_VALUE"""),"DB")</f>
        <v>DB</v>
      </c>
      <c r="G53" s="5">
        <f>IFERROR(__xludf.DUMMYFUNCTION("""COMPUTED_VALUE"""),2.0412343932999992E8)</f>
        <v>204123439.3</v>
      </c>
      <c r="H53" s="5"/>
      <c r="I53" s="5"/>
    </row>
    <row r="54">
      <c r="A54" s="9">
        <f>IFERROR(__xludf.DUMMYFUNCTION("""COMPUTED_VALUE"""),46119.0)</f>
        <v>46119</v>
      </c>
      <c r="B54" s="5" t="str">
        <f>IFERROR(__xludf.DUMMYFUNCTION("""COMPUTED_VALUE"""),"TRSF E-BANKING DB")</f>
        <v>TRSF E-BANKING DB</v>
      </c>
      <c r="C54" s="5" t="str">
        <f>IFERROR(__xludf.DUMMYFUNCTION("""COMPUTED_VALUE"""),"0704/FTSCY/WS95271 36738000.00 Sun Apr 05 2026 14:00:00 GMT+0700 (Western Indonesia Time) BINTANG TAMA SANTO")</f>
        <v>0704/FTSCY/WS95271 36738000.00 Sun Apr 05 2026 14:00:00 GMT+0700 (Western Indonesia Time) BINTANG TAMA SANTO</v>
      </c>
      <c r="D54" s="12">
        <f>IFERROR(__xludf.DUMMYFUNCTION("""COMPUTED_VALUE"""),3.6738E7)</f>
        <v>36738000</v>
      </c>
      <c r="E54" s="5"/>
      <c r="F54" s="5" t="str">
        <f>IFERROR(__xludf.DUMMYFUNCTION("""COMPUTED_VALUE"""),"DB")</f>
        <v>DB</v>
      </c>
      <c r="G54" s="5">
        <f>IFERROR(__xludf.DUMMYFUNCTION("""COMPUTED_VALUE"""),1.6738543932999992E8)</f>
        <v>167385439.3</v>
      </c>
      <c r="H54" s="5"/>
      <c r="I54" s="5"/>
    </row>
    <row r="55">
      <c r="A55" s="9">
        <f>IFERROR(__xludf.DUMMYFUNCTION("""COMPUTED_VALUE"""),46119.0)</f>
        <v>46119</v>
      </c>
      <c r="B55" s="5" t="str">
        <f>IFERROR(__xludf.DUMMYFUNCTION("""COMPUTED_VALUE"""),"TRSF E-BANKING DB")</f>
        <v>TRSF E-BANKING DB</v>
      </c>
      <c r="C55" s="5" t="str">
        <f>IFERROR(__xludf.DUMMYFUNCTION("""COMPUTED_VALUE"""),"0704/FTSCY/WS95271 42798200.00 Sun Apr 05 2026 14:00:00 GMT+0700 (Western Indonesia Time) BINTANG TAMA SANTO")</f>
        <v>0704/FTSCY/WS95271 42798200.00 Sun Apr 05 2026 14:00:00 GMT+0700 (Western Indonesia Time) BINTANG TAMA SANTO</v>
      </c>
      <c r="D55" s="12">
        <f>IFERROR(__xludf.DUMMYFUNCTION("""COMPUTED_VALUE"""),4.27982E7)</f>
        <v>42798200</v>
      </c>
      <c r="E55" s="5"/>
      <c r="F55" s="5" t="str">
        <f>IFERROR(__xludf.DUMMYFUNCTION("""COMPUTED_VALUE"""),"DB")</f>
        <v>DB</v>
      </c>
      <c r="G55" s="5">
        <f>IFERROR(__xludf.DUMMYFUNCTION("""COMPUTED_VALUE"""),1.2458723932999992E8)</f>
        <v>124587239.3</v>
      </c>
      <c r="H55" s="5"/>
      <c r="I55" s="5"/>
    </row>
    <row r="56">
      <c r="A56" s="9">
        <f>IFERROR(__xludf.DUMMYFUNCTION("""COMPUTED_VALUE"""),46119.0)</f>
        <v>46119</v>
      </c>
      <c r="B56" s="5" t="str">
        <f>IFERROR(__xludf.DUMMYFUNCTION("""COMPUTED_VALUE"""),"TRSF E-BANKING DB")</f>
        <v>TRSF E-BANKING DB</v>
      </c>
      <c r="C56" s="5" t="str">
        <f>IFERROR(__xludf.DUMMYFUNCTION("""COMPUTED_VALUE"""),"0704/FTSCY/WS95271 55684350.00 Sun Apr 05 2026 14:00:00 GMT+0700 (Western Indonesia Time) SUPER UNGGAS JAYA")</f>
        <v>0704/FTSCY/WS95271 55684350.00 Sun Apr 05 2026 14:00:00 GMT+0700 (Western Indonesia Time) SUPER UNGGAS JAYA</v>
      </c>
      <c r="D56" s="12">
        <f>IFERROR(__xludf.DUMMYFUNCTION("""COMPUTED_VALUE"""),5.568435E7)</f>
        <v>55684350</v>
      </c>
      <c r="E56" s="5"/>
      <c r="F56" s="5" t="str">
        <f>IFERROR(__xludf.DUMMYFUNCTION("""COMPUTED_VALUE"""),"DB")</f>
        <v>DB</v>
      </c>
      <c r="G56" s="5">
        <f>IFERROR(__xludf.DUMMYFUNCTION("""COMPUTED_VALUE"""),6.890288932999992E7)</f>
        <v>68902889.33</v>
      </c>
      <c r="H56" s="5"/>
      <c r="I56" s="5"/>
    </row>
    <row r="57">
      <c r="A57" s="9">
        <f>IFERROR(__xludf.DUMMYFUNCTION("""COMPUTED_VALUE"""),46119.0)</f>
        <v>46119</v>
      </c>
      <c r="B57" s="5" t="str">
        <f>IFERROR(__xludf.DUMMYFUNCTION("""COMPUTED_VALUE"""),"TRSF E-BANKING DB")</f>
        <v>TRSF E-BANKING DB</v>
      </c>
      <c r="C57" s="5" t="str">
        <f>IFERROR(__xludf.DUMMYFUNCTION("""COMPUTED_VALUE"""),"0704/FTSCY/WS95271 727900.00 NURHAYATI")</f>
        <v>0704/FTSCY/WS95271 727900.00 NURHAYATI</v>
      </c>
      <c r="D57" s="12">
        <f>IFERROR(__xludf.DUMMYFUNCTION("""COMPUTED_VALUE"""),727900.0)</f>
        <v>727900</v>
      </c>
      <c r="E57" s="5"/>
      <c r="F57" s="5" t="str">
        <f>IFERROR(__xludf.DUMMYFUNCTION("""COMPUTED_VALUE"""),"DB")</f>
        <v>DB</v>
      </c>
      <c r="G57" s="5">
        <f>IFERROR(__xludf.DUMMYFUNCTION("""COMPUTED_VALUE"""),6.817498932999992E7)</f>
        <v>68174989.33</v>
      </c>
      <c r="H57" s="5"/>
      <c r="I57" s="5"/>
    </row>
    <row r="58">
      <c r="A58" s="9">
        <f>IFERROR(__xludf.DUMMYFUNCTION("""COMPUTED_VALUE"""),46119.0)</f>
        <v>46119</v>
      </c>
      <c r="B58" s="5" t="str">
        <f>IFERROR(__xludf.DUMMYFUNCTION("""COMPUTED_VALUE"""),"TRSF E-BANKING DB")</f>
        <v>TRSF E-BANKING DB</v>
      </c>
      <c r="C58" s="5" t="str">
        <f>IFERROR(__xludf.DUMMYFUNCTION("""COMPUTED_VALUE"""),"0704/FTSCY/WS95271 101866310.00 Sun Apr 05 2026 14:00:00 GMT+0700 (Western Indonesia Time) ANDALAN YASA MITRA")</f>
        <v>0704/FTSCY/WS95271 101866310.00 Sun Apr 05 2026 14:00:00 GMT+0700 (Western Indonesia Time) ANDALAN YASA MITRA</v>
      </c>
      <c r="D58" s="12">
        <f>IFERROR(__xludf.DUMMYFUNCTION("""COMPUTED_VALUE"""),1.0186631E8)</f>
        <v>101866310</v>
      </c>
      <c r="E58" s="5"/>
      <c r="F58" s="5" t="str">
        <f>IFERROR(__xludf.DUMMYFUNCTION("""COMPUTED_VALUE"""),"DB")</f>
        <v>DB</v>
      </c>
      <c r="G58" s="5">
        <f>IFERROR(__xludf.DUMMYFUNCTION("""COMPUTED_VALUE"""),1.5340607932999992E8)</f>
        <v>153406079.3</v>
      </c>
      <c r="H58" s="5">
        <f>IFERROR(__xludf.DUMMYFUNCTION("""COMPUTED_VALUE"""),1.5340607933E8)</f>
        <v>153406079.3</v>
      </c>
      <c r="I58" s="5"/>
    </row>
    <row r="59">
      <c r="A59" s="9">
        <f>IFERROR(__xludf.DUMMYFUNCTION("""COMPUTED_VALUE"""),46119.0)</f>
        <v>46119</v>
      </c>
      <c r="B59" s="5" t="str">
        <f>IFERROR(__xludf.DUMMYFUNCTION("""COMPUTED_VALUE"""),"TRSF E-BANKING DB")</f>
        <v>TRSF E-BANKING DB</v>
      </c>
      <c r="C59" s="5" t="str">
        <f>IFERROR(__xludf.DUMMYFUNCTION("""COMPUTED_VALUE"""),"0704/FTSCY/WS95271 1000000.00 MUHAMMAD HAIRUL MA")</f>
        <v>0704/FTSCY/WS95271 1000000.00 MUHAMMAD HAIRUL MA</v>
      </c>
      <c r="D59" s="12">
        <f>IFERROR(__xludf.DUMMYFUNCTION("""COMPUTED_VALUE"""),1000000.0)</f>
        <v>1000000</v>
      </c>
      <c r="E59" s="5"/>
      <c r="F59" s="5" t="str">
        <f>IFERROR(__xludf.DUMMYFUNCTION("""COMPUTED_VALUE"""),"DB")</f>
        <v>DB</v>
      </c>
      <c r="G59" s="5">
        <f>IFERROR(__xludf.DUMMYFUNCTION("""COMPUTED_VALUE"""),2.0440607932999992E8)</f>
        <v>204406079.3</v>
      </c>
      <c r="H59" s="5"/>
      <c r="I59" s="5"/>
    </row>
    <row r="60">
      <c r="A60" s="9">
        <f>IFERROR(__xludf.DUMMYFUNCTION("""COMPUTED_VALUE"""),46119.0)</f>
        <v>46119</v>
      </c>
      <c r="B60" s="5" t="str">
        <f>IFERROR(__xludf.DUMMYFUNCTION("""COMPUTED_VALUE"""),"TRSF E-BANKING DB")</f>
        <v>TRSF E-BANKING DB</v>
      </c>
      <c r="C60" s="5" t="str">
        <f>IFERROR(__xludf.DUMMYFUNCTION("""COMPUTED_VALUE"""),"0704/FTSCY/WS95271 500000.00 MUHAMMAD HAIRUL MA")</f>
        <v>0704/FTSCY/WS95271 500000.00 MUHAMMAD HAIRUL MA</v>
      </c>
      <c r="D60" s="12">
        <f>IFERROR(__xludf.DUMMYFUNCTION("""COMPUTED_VALUE"""),500000.0)</f>
        <v>500000</v>
      </c>
      <c r="E60" s="5"/>
      <c r="F60" s="5" t="str">
        <f>IFERROR(__xludf.DUMMYFUNCTION("""COMPUTED_VALUE"""),"DB")</f>
        <v>DB</v>
      </c>
      <c r="G60" s="5">
        <f>IFERROR(__xludf.DUMMYFUNCTION("""COMPUTED_VALUE"""),2.0390607932999992E8)</f>
        <v>203906079.3</v>
      </c>
      <c r="H60" s="5"/>
      <c r="I60" s="5"/>
    </row>
    <row r="61">
      <c r="A61" s="9">
        <f>IFERROR(__xludf.DUMMYFUNCTION("""COMPUTED_VALUE"""),46120.0)</f>
        <v>46120</v>
      </c>
      <c r="B61" s="5" t="str">
        <f>IFERROR(__xludf.DUMMYFUNCTION("""COMPUTED_VALUE"""),"TRSF E-BANKING DB TANGGAL :07/04")</f>
        <v>TRSF E-BANKING DB TANGGAL :07/04</v>
      </c>
      <c r="C61" s="5" t="str">
        <f>IFERROR(__xludf.DUMMYFUNCTION("""COMPUTED_VALUE"""),"0704/FTSCY/WS95011 Sun Apr 05 2026 14:00:00 GMT+0700 (Western Indonesia Time) BROILER MAKMUR TAN")</f>
        <v>0704/FTSCY/WS95011 Sun Apr 05 2026 14:00:00 GMT+0700 (Western Indonesia Time) BROILER MAKMUR TAN</v>
      </c>
      <c r="D61" s="12">
        <f>IFERROR(__xludf.DUMMYFUNCTION("""COMPUTED_VALUE"""),1.6669092E8)</f>
        <v>166690920</v>
      </c>
      <c r="E61" s="5"/>
      <c r="F61" s="5" t="str">
        <f>IFERROR(__xludf.DUMMYFUNCTION("""COMPUTED_VALUE"""),"DB")</f>
        <v>DB</v>
      </c>
      <c r="G61" s="5">
        <f>IFERROR(__xludf.DUMMYFUNCTION("""COMPUTED_VALUE"""),2.717159093299999E8)</f>
        <v>271715909.3</v>
      </c>
      <c r="H61" s="5"/>
      <c r="I61" s="5"/>
    </row>
    <row r="62">
      <c r="A62" s="9">
        <f>IFERROR(__xludf.DUMMYFUNCTION("""COMPUTED_VALUE"""),46120.0)</f>
        <v>46120</v>
      </c>
      <c r="B62" s="5" t="str">
        <f>IFERROR(__xludf.DUMMYFUNCTION("""COMPUTED_VALUE"""),"TRSF E-BANKING DB")</f>
        <v>TRSF E-BANKING DB</v>
      </c>
      <c r="C62" s="5" t="str">
        <f>IFERROR(__xludf.DUMMYFUNCTION("""COMPUTED_VALUE"""),"0804/FTSCY/WS95031 51263520.00 Mon Apr 06 2026 14:00:00 GMT+0700 (Western Indonesia Time) ANUGERAH KARTIKA A")</f>
        <v>0804/FTSCY/WS95031 51263520.00 Mon Apr 06 2026 14:00:00 GMT+0700 (Western Indonesia Time) ANUGERAH KARTIKA A</v>
      </c>
      <c r="D62" s="12">
        <f>IFERROR(__xludf.DUMMYFUNCTION("""COMPUTED_VALUE"""),5.126352E7)</f>
        <v>51263520</v>
      </c>
      <c r="E62" s="5"/>
      <c r="F62" s="5" t="str">
        <f>IFERROR(__xludf.DUMMYFUNCTION("""COMPUTED_VALUE"""),"DB")</f>
        <v>DB</v>
      </c>
      <c r="G62" s="5">
        <f>IFERROR(__xludf.DUMMYFUNCTION("""COMPUTED_VALUE"""),2.2045238932999992E8)</f>
        <v>220452389.3</v>
      </c>
      <c r="H62" s="5"/>
      <c r="I62" s="5"/>
    </row>
    <row r="63">
      <c r="A63" s="9">
        <f>IFERROR(__xludf.DUMMYFUNCTION("""COMPUTED_VALUE"""),46120.0)</f>
        <v>46120</v>
      </c>
      <c r="B63" s="5" t="str">
        <f>IFERROR(__xludf.DUMMYFUNCTION("""COMPUTED_VALUE"""),"TRSF E-BANKING DB")</f>
        <v>TRSF E-BANKING DB</v>
      </c>
      <c r="C63" s="5" t="str">
        <f>IFERROR(__xludf.DUMMYFUNCTION("""COMPUTED_VALUE"""),"0804/FTSCY/WS95031 44047920.00 Sat Jun 06 2026 14:00:00 GMT+0700 (Western Indonesia Time) ANDALAN YASA MITRA")</f>
        <v>0804/FTSCY/WS95031 44047920.00 Sat Jun 06 2026 14:00:00 GMT+0700 (Western Indonesia Time) ANDALAN YASA MITRA</v>
      </c>
      <c r="D63" s="12">
        <f>IFERROR(__xludf.DUMMYFUNCTION("""COMPUTED_VALUE"""),4.404792E7)</f>
        <v>44047920</v>
      </c>
      <c r="E63" s="5"/>
      <c r="F63" s="5" t="str">
        <f>IFERROR(__xludf.DUMMYFUNCTION("""COMPUTED_VALUE"""),"DB")</f>
        <v>DB</v>
      </c>
      <c r="G63" s="5">
        <f>IFERROR(__xludf.DUMMYFUNCTION("""COMPUTED_VALUE"""),1.7640446932999992E8)</f>
        <v>176404469.3</v>
      </c>
      <c r="H63" s="5"/>
      <c r="I63" s="5"/>
    </row>
    <row r="64">
      <c r="A64" s="9">
        <f>IFERROR(__xludf.DUMMYFUNCTION("""COMPUTED_VALUE"""),46120.0)</f>
        <v>46120</v>
      </c>
      <c r="B64" s="5" t="str">
        <f>IFERROR(__xludf.DUMMYFUNCTION("""COMPUTED_VALUE"""),"TRSF E-BANKING DB")</f>
        <v>TRSF E-BANKING DB</v>
      </c>
      <c r="C64" s="5" t="str">
        <f>IFERROR(__xludf.DUMMYFUNCTION("""COMPUTED_VALUE"""),"0804/FTSCY/WS95271 50452050.00 Tue Apr 07 2026 14:00:00 GMT+0700 (Western Indonesia Time) AGUNG MITRA SEJAHT")</f>
        <v>0804/FTSCY/WS95271 50452050.00 Tue Apr 07 2026 14:00:00 GMT+0700 (Western Indonesia Time) AGUNG MITRA SEJAHT</v>
      </c>
      <c r="D64" s="12">
        <f>IFERROR(__xludf.DUMMYFUNCTION("""COMPUTED_VALUE"""),5.045205E7)</f>
        <v>50452050</v>
      </c>
      <c r="E64" s="5"/>
      <c r="F64" s="5" t="str">
        <f>IFERROR(__xludf.DUMMYFUNCTION("""COMPUTED_VALUE"""),"DB")</f>
        <v>DB</v>
      </c>
      <c r="G64" s="5">
        <f>IFERROR(__xludf.DUMMYFUNCTION("""COMPUTED_VALUE"""),1.2595241932999992E8)</f>
        <v>125952419.3</v>
      </c>
      <c r="H64" s="5"/>
      <c r="I64" s="5"/>
    </row>
    <row r="65">
      <c r="A65" s="9">
        <f>IFERROR(__xludf.DUMMYFUNCTION("""COMPUTED_VALUE"""),46121.0)</f>
        <v>46121</v>
      </c>
      <c r="B65" s="5" t="str">
        <f>IFERROR(__xludf.DUMMYFUNCTION("""COMPUTED_VALUE"""),"TRSF E-BANKING DB TANGGAL :08/04")</f>
        <v>TRSF E-BANKING DB TANGGAL :08/04</v>
      </c>
      <c r="C65" s="5" t="str">
        <f>IFERROR(__xludf.DUMMYFUNCTION("""COMPUTED_VALUE"""),"0804/FTSCY/WS95271 Mon Apr 06 2026 14:00:00 GMT+0700 (Western Indonesia Time) LAJU SATWA WISESA")</f>
        <v>0804/FTSCY/WS95271 Mon Apr 06 2026 14:00:00 GMT+0700 (Western Indonesia Time) LAJU SATWA WISESA</v>
      </c>
      <c r="D65" s="12">
        <f>IFERROR(__xludf.DUMMYFUNCTION("""COMPUTED_VALUE"""),5.1935E7)</f>
        <v>51935000</v>
      </c>
      <c r="E65" s="5"/>
      <c r="F65" s="5" t="str">
        <f>IFERROR(__xludf.DUMMYFUNCTION("""COMPUTED_VALUE"""),"DB")</f>
        <v>DB</v>
      </c>
      <c r="G65" s="5">
        <f>IFERROR(__xludf.DUMMYFUNCTION("""COMPUTED_VALUE"""),2.3773611932999992E8)</f>
        <v>237736119.3</v>
      </c>
      <c r="H65" s="5">
        <f>IFERROR(__xludf.DUMMYFUNCTION("""COMPUTED_VALUE"""),2.3773611933E8)</f>
        <v>237736119.3</v>
      </c>
      <c r="I65" s="5"/>
    </row>
    <row r="66">
      <c r="A66" s="9">
        <f>IFERROR(__xludf.DUMMYFUNCTION("""COMPUTED_VALUE"""),46121.0)</f>
        <v>46121</v>
      </c>
      <c r="B66" s="5" t="str">
        <f>IFERROR(__xludf.DUMMYFUNCTION("""COMPUTED_VALUE"""),"TRSF E-BANKING DB TANGGAL :08/04")</f>
        <v>TRSF E-BANKING DB TANGGAL :08/04</v>
      </c>
      <c r="C66" s="5" t="str">
        <f>IFERROR(__xludf.DUMMYFUNCTION("""COMPUTED_VALUE"""),"0804/FTSCY/WS95271 Mon Apr 06 2026 14:00:00 GMT+0700 (Western Indonesia Time) LAJU SATWA WISESA")</f>
        <v>0804/FTSCY/WS95271 Mon Apr 06 2026 14:00:00 GMT+0700 (Western Indonesia Time) LAJU SATWA WISESA</v>
      </c>
      <c r="D66" s="12">
        <f>IFERROR(__xludf.DUMMYFUNCTION("""COMPUTED_VALUE"""),4.93442E7)</f>
        <v>49344200</v>
      </c>
      <c r="E66" s="5"/>
      <c r="F66" s="5" t="str">
        <f>IFERROR(__xludf.DUMMYFUNCTION("""COMPUTED_VALUE"""),"DB")</f>
        <v>DB</v>
      </c>
      <c r="G66" s="5">
        <f>IFERROR(__xludf.DUMMYFUNCTION("""COMPUTED_VALUE"""),1.8839191932999992E8)</f>
        <v>188391919.3</v>
      </c>
      <c r="H66" s="5">
        <f>IFERROR(__xludf.DUMMYFUNCTION("""COMPUTED_VALUE"""),1.8839191933E8)</f>
        <v>188391919.3</v>
      </c>
      <c r="I66" s="5"/>
    </row>
    <row r="67">
      <c r="A67" s="9">
        <f>IFERROR(__xludf.DUMMYFUNCTION("""COMPUTED_VALUE"""),46121.0)</f>
        <v>46121</v>
      </c>
      <c r="B67" s="5" t="str">
        <f>IFERROR(__xludf.DUMMYFUNCTION("""COMPUTED_VALUE"""),"TRSF E-BANKING DB TANGGAL :08/04")</f>
        <v>TRSF E-BANKING DB TANGGAL :08/04</v>
      </c>
      <c r="C67" s="5" t="str">
        <f>IFERROR(__xludf.DUMMYFUNCTION("""COMPUTED_VALUE"""),"0804/FTSCY/WS95271 Tue Apr 07 2026 14:00:00 GMT+0700 (Western Indonesia Time) ANUGERAH KARTIKA A")</f>
        <v>0804/FTSCY/WS95271 Tue Apr 07 2026 14:00:00 GMT+0700 (Western Indonesia Time) ANUGERAH KARTIKA A</v>
      </c>
      <c r="D67" s="12">
        <f>IFERROR(__xludf.DUMMYFUNCTION("""COMPUTED_VALUE"""),5.008752E7)</f>
        <v>50087520</v>
      </c>
      <c r="E67" s="5"/>
      <c r="F67" s="5" t="str">
        <f>IFERROR(__xludf.DUMMYFUNCTION("""COMPUTED_VALUE"""),"DB")</f>
        <v>DB</v>
      </c>
      <c r="G67" s="5">
        <f>IFERROR(__xludf.DUMMYFUNCTION("""COMPUTED_VALUE"""),1.3830439932999992E8)</f>
        <v>138304399.3</v>
      </c>
      <c r="H67" s="5"/>
      <c r="I67" s="5"/>
    </row>
    <row r="68">
      <c r="A68" s="9">
        <f>IFERROR(__xludf.DUMMYFUNCTION("""COMPUTED_VALUE"""),46121.0)</f>
        <v>46121</v>
      </c>
      <c r="B68" s="5" t="str">
        <f>IFERROR(__xludf.DUMMYFUNCTION("""COMPUTED_VALUE"""),"TRSF E-BANKING DB TANGGAL :08/04")</f>
        <v>TRSF E-BANKING DB TANGGAL :08/04</v>
      </c>
      <c r="C68" s="5" t="str">
        <f>IFERROR(__xludf.DUMMYFUNCTION("""COMPUTED_VALUE"""),"0804/FTSCY/WS95271 Tue Apr 07 2026 14:00:00 GMT+0700 (Western Indonesia Time) BINTANG TAMA SANTO")</f>
        <v>0804/FTSCY/WS95271 Tue Apr 07 2026 14:00:00 GMT+0700 (Western Indonesia Time) BINTANG TAMA SANTO</v>
      </c>
      <c r="D68" s="12">
        <f>IFERROR(__xludf.DUMMYFUNCTION("""COMPUTED_VALUE"""),5.04756E7)</f>
        <v>50475600</v>
      </c>
      <c r="E68" s="5"/>
      <c r="F68" s="5" t="str">
        <f>IFERROR(__xludf.DUMMYFUNCTION("""COMPUTED_VALUE"""),"DB")</f>
        <v>DB</v>
      </c>
      <c r="G68" s="5">
        <f>IFERROR(__xludf.DUMMYFUNCTION("""COMPUTED_VALUE"""),8.782879932999992E7)</f>
        <v>87828799.33</v>
      </c>
      <c r="H68" s="5"/>
      <c r="I68" s="5"/>
    </row>
    <row r="69">
      <c r="A69" s="9">
        <f>IFERROR(__xludf.DUMMYFUNCTION("""COMPUTED_VALUE"""),46121.0)</f>
        <v>46121</v>
      </c>
      <c r="B69" s="5" t="str">
        <f>IFERROR(__xludf.DUMMYFUNCTION("""COMPUTED_VALUE"""),"TRSF E-BANKING DB TANGGAL :08/04")</f>
        <v>TRSF E-BANKING DB TANGGAL :08/04</v>
      </c>
      <c r="C69" s="5" t="str">
        <f>IFERROR(__xludf.DUMMYFUNCTION("""COMPUTED_VALUE"""),"0804/FTFVA/WS95031 pelunasan kd harta tik nganjuk 200177")</f>
        <v>0804/FTFVA/WS95031 pelunasan kd harta tik nganjuk 200177</v>
      </c>
      <c r="D69" s="12">
        <f>IFERROR(__xludf.DUMMYFUNCTION("""COMPUTED_VALUE"""),1.179585E7)</f>
        <v>11795850</v>
      </c>
      <c r="E69" s="5"/>
      <c r="F69" s="5" t="str">
        <f>IFERROR(__xludf.DUMMYFUNCTION("""COMPUTED_VALUE"""),"DB")</f>
        <v>DB</v>
      </c>
      <c r="G69" s="5">
        <f>IFERROR(__xludf.DUMMYFUNCTION("""COMPUTED_VALUE"""),7.603294932999992E7)</f>
        <v>76032949.33</v>
      </c>
      <c r="H69" s="5"/>
      <c r="I69" s="5"/>
    </row>
    <row r="70">
      <c r="A70" s="9">
        <f>IFERROR(__xludf.DUMMYFUNCTION("""COMPUTED_VALUE"""),46121.0)</f>
        <v>46121</v>
      </c>
      <c r="B70" s="5" t="str">
        <f>IFERROR(__xludf.DUMMYFUNCTION("""COMPUTED_VALUE"""),"TRSF E-BANKING DB")</f>
        <v>TRSF E-BANKING DB</v>
      </c>
      <c r="C70" s="5" t="str">
        <f>IFERROR(__xludf.DUMMYFUNCTION("""COMPUTED_VALUE"""),"0904/FTSCY/WS95031 50887299.00 Tue Apr 07 2026 14:00:00 GMT+0700 (Western Indonesia Time) BINTANG TAMA SANTO")</f>
        <v>0904/FTSCY/WS95031 50887299.00 Tue Apr 07 2026 14:00:00 GMT+0700 (Western Indonesia Time) BINTANG TAMA SANTO</v>
      </c>
      <c r="D70" s="12">
        <f>IFERROR(__xludf.DUMMYFUNCTION("""COMPUTED_VALUE"""),5.0887299E7)</f>
        <v>50887299</v>
      </c>
      <c r="E70" s="5"/>
      <c r="F70" s="5" t="str">
        <f>IFERROR(__xludf.DUMMYFUNCTION("""COMPUTED_VALUE"""),"DB")</f>
        <v>DB</v>
      </c>
      <c r="G70" s="5">
        <f>IFERROR(__xludf.DUMMYFUNCTION("""COMPUTED_VALUE"""),2.5145650329999924E7)</f>
        <v>25145650.33</v>
      </c>
      <c r="H70" s="5"/>
      <c r="I70" s="5"/>
    </row>
    <row r="71">
      <c r="A71" s="9">
        <f>IFERROR(__xludf.DUMMYFUNCTION("""COMPUTED_VALUE"""),46121.0)</f>
        <v>46121</v>
      </c>
      <c r="B71" s="5" t="str">
        <f>IFERROR(__xludf.DUMMYFUNCTION("""COMPUTED_VALUE"""),"TRSF E-BANKING DB")</f>
        <v>TRSF E-BANKING DB</v>
      </c>
      <c r="C71" s="5" t="str">
        <f>IFERROR(__xludf.DUMMYFUNCTION("""COMPUTED_VALUE"""),"0904/FTSCY/WS95031 2191910.00 nganjuk sidoraya MUJIANTO")</f>
        <v>0904/FTSCY/WS95031 2191910.00 nganjuk sidoraya MUJIANTO</v>
      </c>
      <c r="D71" s="12">
        <f>IFERROR(__xludf.DUMMYFUNCTION("""COMPUTED_VALUE"""),2191910.0)</f>
        <v>2191910</v>
      </c>
      <c r="E71" s="5"/>
      <c r="F71" s="5" t="str">
        <f>IFERROR(__xludf.DUMMYFUNCTION("""COMPUTED_VALUE"""),"DB")</f>
        <v>DB</v>
      </c>
      <c r="G71" s="5">
        <f>IFERROR(__xludf.DUMMYFUNCTION("""COMPUTED_VALUE"""),2.2953740329999924E7)</f>
        <v>22953740.33</v>
      </c>
      <c r="H71" s="5"/>
      <c r="I71" s="5"/>
    </row>
    <row r="72">
      <c r="A72" s="9">
        <f>IFERROR(__xludf.DUMMYFUNCTION("""COMPUTED_VALUE"""),46121.0)</f>
        <v>46121</v>
      </c>
      <c r="B72" s="5" t="str">
        <f>IFERROR(__xludf.DUMMYFUNCTION("""COMPUTED_VALUE"""),"TRSF E-BANKING DB")</f>
        <v>TRSF E-BANKING DB</v>
      </c>
      <c r="C72" s="5" t="str">
        <f>IFERROR(__xludf.DUMMYFUNCTION("""COMPUTED_VALUE"""),"0904/FTSCY/WS95031 1141900.00 HERMAWAN")</f>
        <v>0904/FTSCY/WS95031 1141900.00 HERMAWAN</v>
      </c>
      <c r="D72" s="12">
        <f>IFERROR(__xludf.DUMMYFUNCTION("""COMPUTED_VALUE"""),1141900.0)</f>
        <v>1141900</v>
      </c>
      <c r="E72" s="5"/>
      <c r="F72" s="5" t="str">
        <f>IFERROR(__xludf.DUMMYFUNCTION("""COMPUTED_VALUE"""),"DB")</f>
        <v>DB</v>
      </c>
      <c r="G72" s="5">
        <f>IFERROR(__xludf.DUMMYFUNCTION("""COMPUTED_VALUE"""),2.1811840329999924E7)</f>
        <v>21811840.33</v>
      </c>
      <c r="H72" s="5"/>
      <c r="I72" s="5"/>
    </row>
    <row r="73">
      <c r="A73" s="9">
        <f>IFERROR(__xludf.DUMMYFUNCTION("""COMPUTED_VALUE"""),46121.0)</f>
        <v>46121</v>
      </c>
      <c r="B73" s="5" t="str">
        <f>IFERROR(__xludf.DUMMYFUNCTION("""COMPUTED_VALUE"""),"TRSF E-BANKING DB")</f>
        <v>TRSF E-BANKING DB</v>
      </c>
      <c r="C73" s="5" t="str">
        <f>IFERROR(__xludf.DUMMYFUNCTION("""COMPUTED_VALUE"""),"0904/FTSCY/WS95031 16307000.00 krg 75 jt EKO SETIYAWAN")</f>
        <v>0904/FTSCY/WS95031 16307000.00 krg 75 jt EKO SETIYAWAN</v>
      </c>
      <c r="D73" s="12">
        <f>IFERROR(__xludf.DUMMYFUNCTION("""COMPUTED_VALUE"""),1.6307E7)</f>
        <v>16307000</v>
      </c>
      <c r="E73" s="5"/>
      <c r="F73" s="5" t="str">
        <f>IFERROR(__xludf.DUMMYFUNCTION("""COMPUTED_VALUE"""),"DB")</f>
        <v>DB</v>
      </c>
      <c r="G73" s="5">
        <f>IFERROR(__xludf.DUMMYFUNCTION("""COMPUTED_VALUE"""),5504840.329999924)</f>
        <v>5504840.33</v>
      </c>
      <c r="H73" s="5"/>
      <c r="I73" s="5"/>
    </row>
    <row r="74">
      <c r="A74" s="9">
        <f>IFERROR(__xludf.DUMMYFUNCTION("""COMPUTED_VALUE"""),46121.0)</f>
        <v>46121</v>
      </c>
      <c r="B74" s="5" t="str">
        <f>IFERROR(__xludf.DUMMYFUNCTION("""COMPUTED_VALUE"""),"TRSF E-BANKING DB")</f>
        <v>TRSF E-BANKING DB</v>
      </c>
      <c r="C74" s="5" t="str">
        <f>IFERROR(__xludf.DUMMYFUNCTION("""COMPUTED_VALUE"""),"0904/FTSCY/WS95031 1340000.00 bayar karpet MUHAMMAD NURUL AMI")</f>
        <v>0904/FTSCY/WS95031 1340000.00 bayar karpet MUHAMMAD NURUL AMI</v>
      </c>
      <c r="D74" s="12">
        <f>IFERROR(__xludf.DUMMYFUNCTION("""COMPUTED_VALUE"""),1340000.0)</f>
        <v>1340000</v>
      </c>
      <c r="E74" s="5"/>
      <c r="F74" s="5" t="str">
        <f>IFERROR(__xludf.DUMMYFUNCTION("""COMPUTED_VALUE"""),"DB")</f>
        <v>DB</v>
      </c>
      <c r="G74" s="5">
        <f>IFERROR(__xludf.DUMMYFUNCTION("""COMPUTED_VALUE"""),2164840.3299999237)</f>
        <v>2164840.33</v>
      </c>
      <c r="H74" s="5">
        <f>IFERROR(__xludf.DUMMYFUNCTION("""COMPUTED_VALUE"""),2164840.33)</f>
        <v>2164840.33</v>
      </c>
      <c r="I74" s="5"/>
    </row>
    <row r="75">
      <c r="A75" s="9">
        <f>IFERROR(__xludf.DUMMYFUNCTION("""COMPUTED_VALUE"""),46122.0)</f>
        <v>46122</v>
      </c>
      <c r="B75" s="5" t="str">
        <f>IFERROR(__xludf.DUMMYFUNCTION("""COMPUTED_VALUE"""),"TRSF E-BANKING DB")</f>
        <v>TRSF E-BANKING DB</v>
      </c>
      <c r="C75" s="5" t="str">
        <f>IFERROR(__xludf.DUMMYFUNCTION("""COMPUTED_VALUE"""),"1004/FTSCY/WS95031 50628480.00 Tue Apr 07 2026 14:00:00 GMT+0700 (Western Indonesia Time) ANDALAN YASA MITRA")</f>
        <v>1004/FTSCY/WS95031 50628480.00 Tue Apr 07 2026 14:00:00 GMT+0700 (Western Indonesia Time) ANDALAN YASA MITRA</v>
      </c>
      <c r="D75" s="12">
        <f>IFERROR(__xludf.DUMMYFUNCTION("""COMPUTED_VALUE"""),5.062848E7)</f>
        <v>50628480</v>
      </c>
      <c r="E75" s="5"/>
      <c r="F75" s="5" t="str">
        <f>IFERROR(__xludf.DUMMYFUNCTION("""COMPUTED_VALUE"""),"DB")</f>
        <v>DB</v>
      </c>
      <c r="G75" s="5">
        <f>IFERROR(__xludf.DUMMYFUNCTION("""COMPUTED_VALUE"""),2.5888254329999924E7)</f>
        <v>25888254.33</v>
      </c>
      <c r="H75" s="5">
        <f>IFERROR(__xludf.DUMMYFUNCTION("""COMPUTED_VALUE"""),2.588825433E7)</f>
        <v>25888254.33</v>
      </c>
      <c r="I75" s="5"/>
    </row>
    <row r="76">
      <c r="A76" s="9">
        <f>IFERROR(__xludf.DUMMYFUNCTION("""COMPUTED_VALUE"""),46122.0)</f>
        <v>46122</v>
      </c>
      <c r="B76" s="5" t="str">
        <f>IFERROR(__xludf.DUMMYFUNCTION("""COMPUTED_VALUE"""),"TRSF E-BANKING DB")</f>
        <v>TRSF E-BANKING DB</v>
      </c>
      <c r="C76" s="5" t="str">
        <f>IFERROR(__xludf.DUMMYFUNCTION("""COMPUTED_VALUE"""),"1004/FTSCY/WS95031 43232000.00 Tue Apr 07 2026 14:00:00 GMT+0700 (Western Indonesia Time) BINTANG TAMA SANTO")</f>
        <v>1004/FTSCY/WS95031 43232000.00 Tue Apr 07 2026 14:00:00 GMT+0700 (Western Indonesia Time) BINTANG TAMA SANTO</v>
      </c>
      <c r="D76" s="12">
        <f>IFERROR(__xludf.DUMMYFUNCTION("""COMPUTED_VALUE"""),4.3232E7)</f>
        <v>43232000</v>
      </c>
      <c r="E76" s="5"/>
      <c r="F76" s="5" t="str">
        <f>IFERROR(__xludf.DUMMYFUNCTION("""COMPUTED_VALUE"""),"DB")</f>
        <v>DB</v>
      </c>
      <c r="G76" s="5">
        <f>IFERROR(__xludf.DUMMYFUNCTION("""COMPUTED_VALUE"""),1.4332636432999992E8)</f>
        <v>143326364.3</v>
      </c>
      <c r="H76" s="5"/>
      <c r="I76" s="5"/>
    </row>
    <row r="77">
      <c r="A77" s="9">
        <f>IFERROR(__xludf.DUMMYFUNCTION("""COMPUTED_VALUE"""),46122.0)</f>
        <v>46122</v>
      </c>
      <c r="B77" s="5" t="str">
        <f>IFERROR(__xludf.DUMMYFUNCTION("""COMPUTED_VALUE"""),"TRSF E-BANKING DB")</f>
        <v>TRSF E-BANKING DB</v>
      </c>
      <c r="C77" s="5" t="str">
        <f>IFERROR(__xludf.DUMMYFUNCTION("""COMPUTED_VALUE"""),"1004/FTSCY/WS95031 1353840.00 HERMAWAN")</f>
        <v>1004/FTSCY/WS95031 1353840.00 HERMAWAN</v>
      </c>
      <c r="D77" s="12">
        <f>IFERROR(__xludf.DUMMYFUNCTION("""COMPUTED_VALUE"""),1353840.0)</f>
        <v>1353840</v>
      </c>
      <c r="E77" s="5"/>
      <c r="F77" s="5" t="str">
        <f>IFERROR(__xludf.DUMMYFUNCTION("""COMPUTED_VALUE"""),"DB")</f>
        <v>DB</v>
      </c>
      <c r="G77" s="5">
        <f>IFERROR(__xludf.DUMMYFUNCTION("""COMPUTED_VALUE"""),1.4197252432999992E8)</f>
        <v>141972524.3</v>
      </c>
      <c r="H77" s="5"/>
      <c r="I77" s="5"/>
    </row>
    <row r="78">
      <c r="A78" s="9">
        <f>IFERROR(__xludf.DUMMYFUNCTION("""COMPUTED_VALUE"""),46122.0)</f>
        <v>46122</v>
      </c>
      <c r="B78" s="5" t="str">
        <f>IFERROR(__xludf.DUMMYFUNCTION("""COMPUTED_VALUE"""),"TRSF E-BANKING DB")</f>
        <v>TRSF E-BANKING DB</v>
      </c>
      <c r="C78" s="5" t="str">
        <f>IFERROR(__xludf.DUMMYFUNCTION("""COMPUTED_VALUE"""),"1004/FTSCY/WS95031 2778720.00 MUJIANTO")</f>
        <v>1004/FTSCY/WS95031 2778720.00 MUJIANTO</v>
      </c>
      <c r="D78" s="12">
        <f>IFERROR(__xludf.DUMMYFUNCTION("""COMPUTED_VALUE"""),2778720.0)</f>
        <v>2778720</v>
      </c>
      <c r="E78" s="5"/>
      <c r="F78" s="5" t="str">
        <f>IFERROR(__xludf.DUMMYFUNCTION("""COMPUTED_VALUE"""),"DB")</f>
        <v>DB</v>
      </c>
      <c r="G78" s="5">
        <f>IFERROR(__xludf.DUMMYFUNCTION("""COMPUTED_VALUE"""),1.3919380432999992E8)</f>
        <v>139193804.3</v>
      </c>
      <c r="H78" s="5">
        <f>IFERROR(__xludf.DUMMYFUNCTION("""COMPUTED_VALUE"""),1.3919380433E8)</f>
        <v>139193804.3</v>
      </c>
      <c r="I78" s="5"/>
    </row>
    <row r="79">
      <c r="A79" s="9">
        <f>IFERROR(__xludf.DUMMYFUNCTION("""COMPUTED_VALUE"""),46123.0)</f>
        <v>46123</v>
      </c>
      <c r="B79" s="5" t="str">
        <f>IFERROR(__xludf.DUMMYFUNCTION("""COMPUTED_VALUE"""),"BI-FAST DB TANGGAL :10/04")</f>
        <v>BI-FAST DB TANGGAL :10/04</v>
      </c>
      <c r="C79" s="5" t="str">
        <f>IFERROR(__xludf.DUMMYFUNCTION("""COMPUTED_VALUE"""),"BIF TRANSFER KE ADIRA MUHAMMAD HAI M-BCA")</f>
        <v>BIF TRANSFER KE ADIRA MUHAMMAD HAI M-BCA</v>
      </c>
      <c r="D79" s="12">
        <f>IFERROR(__xludf.DUMMYFUNCTION("""COMPUTED_VALUE"""),2641000.0)</f>
        <v>2641000</v>
      </c>
      <c r="E79" s="5"/>
      <c r="F79" s="5" t="str">
        <f>IFERROR(__xludf.DUMMYFUNCTION("""COMPUTED_VALUE"""),"DB")</f>
        <v>DB</v>
      </c>
      <c r="G79" s="5">
        <f>IFERROR(__xludf.DUMMYFUNCTION("""COMPUTED_VALUE"""),1.3655280432999992E8)</f>
        <v>136552804.3</v>
      </c>
      <c r="H79" s="5"/>
      <c r="I79" s="5"/>
    </row>
    <row r="80">
      <c r="A80" s="9">
        <f>IFERROR(__xludf.DUMMYFUNCTION("""COMPUTED_VALUE"""),46123.0)</f>
        <v>46123</v>
      </c>
      <c r="B80" s="5" t="str">
        <f>IFERROR(__xludf.DUMMYFUNCTION("""COMPUTED_VALUE"""),"BI-FAST DB TANGGAL :10/04")</f>
        <v>BI-FAST DB TANGGAL :10/04</v>
      </c>
      <c r="C80" s="5" t="str">
        <f>IFERROR(__xludf.DUMMYFUNCTION("""COMPUTED_VALUE"""),"BIF BIAYA TXN KE ADIRA MUHAMMAD HAI M-BCA")</f>
        <v>BIF BIAYA TXN KE ADIRA MUHAMMAD HAI M-BCA</v>
      </c>
      <c r="D80" s="12">
        <f>IFERROR(__xludf.DUMMYFUNCTION("""COMPUTED_VALUE"""),2500.0)</f>
        <v>2500</v>
      </c>
      <c r="E80" s="5"/>
      <c r="F80" s="5" t="str">
        <f>IFERROR(__xludf.DUMMYFUNCTION("""COMPUTED_VALUE"""),"DB")</f>
        <v>DB</v>
      </c>
      <c r="G80" s="5">
        <f>IFERROR(__xludf.DUMMYFUNCTION("""COMPUTED_VALUE"""),1.3655030432999992E8)</f>
        <v>136550304.3</v>
      </c>
      <c r="H80" s="5"/>
      <c r="I80" s="5"/>
    </row>
    <row r="81">
      <c r="A81" s="9">
        <f>IFERROR(__xludf.DUMMYFUNCTION("""COMPUTED_VALUE"""),46123.0)</f>
        <v>46123</v>
      </c>
      <c r="B81" s="5" t="str">
        <f>IFERROR(__xludf.DUMMYFUNCTION("""COMPUTED_VALUE"""),"BI-FAST DB TANGGAL :10/04")</f>
        <v>BI-FAST DB TANGGAL :10/04</v>
      </c>
      <c r="C81" s="5" t="str">
        <f>IFERROR(__xludf.DUMMYFUNCTION("""COMPUTED_VALUE"""),"BIF TRANSFER KE TURYADI M-BCA")</f>
        <v>BIF TRANSFER KE TURYADI M-BCA</v>
      </c>
      <c r="D81" s="12">
        <f>IFERROR(__xludf.DUMMYFUNCTION("""COMPUTED_VALUE"""),1525000.0)</f>
        <v>1525000</v>
      </c>
      <c r="E81" s="5"/>
      <c r="F81" s="5" t="str">
        <f>IFERROR(__xludf.DUMMYFUNCTION("""COMPUTED_VALUE"""),"DB")</f>
        <v>DB</v>
      </c>
      <c r="G81" s="5">
        <f>IFERROR(__xludf.DUMMYFUNCTION("""COMPUTED_VALUE"""),1.3502530432999992E8)</f>
        <v>135025304.3</v>
      </c>
      <c r="H81" s="5"/>
      <c r="I81" s="5"/>
    </row>
    <row r="82">
      <c r="A82" s="9">
        <f>IFERROR(__xludf.DUMMYFUNCTION("""COMPUTED_VALUE"""),46123.0)</f>
        <v>46123</v>
      </c>
      <c r="B82" s="5" t="str">
        <f>IFERROR(__xludf.DUMMYFUNCTION("""COMPUTED_VALUE"""),"BI-FAST DB TANGGAL :10/04")</f>
        <v>BI-FAST DB TANGGAL :10/04</v>
      </c>
      <c r="C82" s="5" t="str">
        <f>IFERROR(__xludf.DUMMYFUNCTION("""COMPUTED_VALUE"""),"BIF BIAYA TXN KE TURYADI M-BCA")</f>
        <v>BIF BIAYA TXN KE TURYADI M-BCA</v>
      </c>
      <c r="D82" s="12">
        <f>IFERROR(__xludf.DUMMYFUNCTION("""COMPUTED_VALUE"""),2500.0)</f>
        <v>2500</v>
      </c>
      <c r="E82" s="5"/>
      <c r="F82" s="5" t="str">
        <f>IFERROR(__xludf.DUMMYFUNCTION("""COMPUTED_VALUE"""),"DB")</f>
        <v>DB</v>
      </c>
      <c r="G82" s="5">
        <f>IFERROR(__xludf.DUMMYFUNCTION("""COMPUTED_VALUE"""),1.3502280432999992E8)</f>
        <v>135022804.3</v>
      </c>
      <c r="H82" s="5"/>
      <c r="I82" s="5"/>
    </row>
    <row r="83">
      <c r="A83" s="9">
        <f>IFERROR(__xludf.DUMMYFUNCTION("""COMPUTED_VALUE"""),46123.0)</f>
        <v>46123</v>
      </c>
      <c r="B83" s="5" t="str">
        <f>IFERROR(__xludf.DUMMYFUNCTION("""COMPUTED_VALUE"""),"TRSF E-BANKING DB TANGGAL :10/04")</f>
        <v>TRSF E-BANKING DB TANGGAL :10/04</v>
      </c>
      <c r="C83" s="5" t="str">
        <f>IFERROR(__xludf.DUMMYFUNCTION("""COMPUTED_VALUE"""),"1004/FTSCY/WS95031 DESI NOURMA EKA WU")</f>
        <v>1004/FTSCY/WS95031 DESI NOURMA EKA WU</v>
      </c>
      <c r="D83" s="12">
        <f>IFERROR(__xludf.DUMMYFUNCTION("""COMPUTED_VALUE"""),30000.0)</f>
        <v>30000</v>
      </c>
      <c r="E83" s="5"/>
      <c r="F83" s="5" t="str">
        <f>IFERROR(__xludf.DUMMYFUNCTION("""COMPUTED_VALUE"""),"DB")</f>
        <v>DB</v>
      </c>
      <c r="G83" s="5">
        <f>IFERROR(__xludf.DUMMYFUNCTION("""COMPUTED_VALUE"""),1.3499280432999992E8)</f>
        <v>134992804.3</v>
      </c>
      <c r="H83" s="5"/>
      <c r="I83" s="5"/>
    </row>
    <row r="84">
      <c r="A84" s="9">
        <f>IFERROR(__xludf.DUMMYFUNCTION("""COMPUTED_VALUE"""),46123.0)</f>
        <v>46123</v>
      </c>
      <c r="B84" s="5" t="str">
        <f>IFERROR(__xludf.DUMMYFUNCTION("""COMPUTED_VALUE"""),"TRSF E-BANKING DB")</f>
        <v>TRSF E-BANKING DB</v>
      </c>
      <c r="C84" s="5" t="str">
        <f>IFERROR(__xludf.DUMMYFUNCTION("""COMPUTED_VALUE"""),"1104/FTSCY/WS95271 71124480.00 Thu Apr 09 2026 14:00:00 GMT+0700 (Western Indonesia Time) ANDALAN YASA MITRA")</f>
        <v>1104/FTSCY/WS95271 71124480.00 Thu Apr 09 2026 14:00:00 GMT+0700 (Western Indonesia Time) ANDALAN YASA MITRA</v>
      </c>
      <c r="D84" s="12">
        <f>IFERROR(__xludf.DUMMYFUNCTION("""COMPUTED_VALUE"""),7.112448E7)</f>
        <v>71124480</v>
      </c>
      <c r="E84" s="5"/>
      <c r="F84" s="5" t="str">
        <f>IFERROR(__xludf.DUMMYFUNCTION("""COMPUTED_VALUE"""),"DB")</f>
        <v>DB</v>
      </c>
      <c r="G84" s="5">
        <f>IFERROR(__xludf.DUMMYFUNCTION("""COMPUTED_VALUE"""),6.386832432999992E7)</f>
        <v>63868324.33</v>
      </c>
      <c r="H84" s="5"/>
      <c r="I84" s="5"/>
    </row>
    <row r="85">
      <c r="A85" s="9">
        <f>IFERROR(__xludf.DUMMYFUNCTION("""COMPUTED_VALUE"""),46123.0)</f>
        <v>46123</v>
      </c>
      <c r="B85" s="5" t="str">
        <f>IFERROR(__xludf.DUMMYFUNCTION("""COMPUTED_VALUE"""),"TRSF E-BANKING DB")</f>
        <v>TRSF E-BANKING DB</v>
      </c>
      <c r="C85" s="5" t="str">
        <f>IFERROR(__xludf.DUMMYFUNCTION("""COMPUTED_VALUE"""),"1104/FTSCY/WS95271 58813440.00 Thu Apr 09 2026 14:00:00 GMT+0700 (Western Indonesia Time) RUKUN MITRA BERSAM")</f>
        <v>1104/FTSCY/WS95271 58813440.00 Thu Apr 09 2026 14:00:00 GMT+0700 (Western Indonesia Time) RUKUN MITRA BERSAM</v>
      </c>
      <c r="D85" s="12">
        <f>IFERROR(__xludf.DUMMYFUNCTION("""COMPUTED_VALUE"""),5.881344E7)</f>
        <v>58813440</v>
      </c>
      <c r="E85" s="5"/>
      <c r="F85" s="5" t="str">
        <f>IFERROR(__xludf.DUMMYFUNCTION("""COMPUTED_VALUE"""),"DB")</f>
        <v>DB</v>
      </c>
      <c r="G85" s="5">
        <f>IFERROR(__xludf.DUMMYFUNCTION("""COMPUTED_VALUE"""),5054884.329999924)</f>
        <v>5054884.33</v>
      </c>
      <c r="H85" s="5"/>
      <c r="I85" s="5"/>
    </row>
    <row r="86">
      <c r="A86" s="9">
        <f>IFERROR(__xludf.DUMMYFUNCTION("""COMPUTED_VALUE"""),46123.0)</f>
        <v>46123</v>
      </c>
      <c r="B86" s="5" t="str">
        <f>IFERROR(__xludf.DUMMYFUNCTION("""COMPUTED_VALUE"""),"TRSF E-BANKING DB")</f>
        <v>TRSF E-BANKING DB</v>
      </c>
      <c r="C86" s="5" t="str">
        <f>IFERROR(__xludf.DUMMYFUNCTION("""COMPUTED_VALUE"""),"1104/FTSCY/WS95271 50400000.00 Thu Apr 09 2026 14:00:00 GMT+0700 (Western Indonesia Time) PT BERLIAN INDOMIT")</f>
        <v>1104/FTSCY/WS95271 50400000.00 Thu Apr 09 2026 14:00:00 GMT+0700 (Western Indonesia Time) PT BERLIAN INDOMIT</v>
      </c>
      <c r="D86" s="12">
        <f>IFERROR(__xludf.DUMMYFUNCTION("""COMPUTED_VALUE"""),5.04E7)</f>
        <v>50400000</v>
      </c>
      <c r="E86" s="5"/>
      <c r="F86" s="5" t="str">
        <f>IFERROR(__xludf.DUMMYFUNCTION("""COMPUTED_VALUE"""),"DB")</f>
        <v>DB</v>
      </c>
      <c r="G86" s="5">
        <f>IFERROR(__xludf.DUMMYFUNCTION("""COMPUTED_VALUE"""),1.0858026432999992E8)</f>
        <v>108580264.3</v>
      </c>
      <c r="H86" s="5">
        <f>IFERROR(__xludf.DUMMYFUNCTION("""COMPUTED_VALUE"""),1.0858026433E8)</f>
        <v>108580264.3</v>
      </c>
      <c r="I86" s="5"/>
    </row>
    <row r="87">
      <c r="A87" s="9">
        <f>IFERROR(__xludf.DUMMYFUNCTION("""COMPUTED_VALUE"""),46123.0)</f>
        <v>46123</v>
      </c>
      <c r="B87" s="5" t="str">
        <f>IFERROR(__xludf.DUMMYFUNCTION("""COMPUTED_VALUE"""),"TRSF E-BANKING DB")</f>
        <v>TRSF E-BANKING DB</v>
      </c>
      <c r="C87" s="5" t="str">
        <f>IFERROR(__xludf.DUMMYFUNCTION("""COMPUTED_VALUE"""),"1104/FTSCY/WS95271 42596400.00 kd mufid blitar BINTANG TAMA SANTO")</f>
        <v>1104/FTSCY/WS95271 42596400.00 kd mufid blitar BINTANG TAMA SANTO</v>
      </c>
      <c r="D87" s="12">
        <f>IFERROR(__xludf.DUMMYFUNCTION("""COMPUTED_VALUE"""),4.25964E7)</f>
        <v>42596400</v>
      </c>
      <c r="E87" s="5"/>
      <c r="F87" s="5" t="str">
        <f>IFERROR(__xludf.DUMMYFUNCTION("""COMPUTED_VALUE"""),"DB")</f>
        <v>DB</v>
      </c>
      <c r="G87" s="5">
        <f>IFERROR(__xludf.DUMMYFUNCTION("""COMPUTED_VALUE"""),6.598386432999992E7)</f>
        <v>65983864.33</v>
      </c>
      <c r="H87" s="5">
        <f>IFERROR(__xludf.DUMMYFUNCTION("""COMPUTED_VALUE"""),6.598386433E7)</f>
        <v>65983864.33</v>
      </c>
      <c r="I87" s="5"/>
    </row>
    <row r="88">
      <c r="A88" s="9">
        <f>IFERROR(__xludf.DUMMYFUNCTION("""COMPUTED_VALUE"""),46123.0)</f>
        <v>46123</v>
      </c>
      <c r="B88" s="5" t="str">
        <f>IFERROR(__xludf.DUMMYFUNCTION("""COMPUTED_VALUE"""),"TRSF E-BANKING DB")</f>
        <v>TRSF E-BANKING DB</v>
      </c>
      <c r="C88" s="5" t="str">
        <f>IFERROR(__xludf.DUMMYFUNCTION("""COMPUTED_VALUE"""),"1104/FTFVA/WS95031 55569/PT PRIMA FAJ kd sunardi mlg 320 0kg 40190")</f>
        <v>1104/FTFVA/WS95031 55569/PT PRIMA FAJ kd sunardi mlg 320 0kg 40190</v>
      </c>
      <c r="D88" s="12">
        <f>IFERROR(__xludf.DUMMYFUNCTION("""COMPUTED_VALUE"""),5.560625E7)</f>
        <v>55606250</v>
      </c>
      <c r="E88" s="5"/>
      <c r="F88" s="5" t="str">
        <f>IFERROR(__xludf.DUMMYFUNCTION("""COMPUTED_VALUE"""),"DB")</f>
        <v>DB</v>
      </c>
      <c r="G88" s="5">
        <f>IFERROR(__xludf.DUMMYFUNCTION("""COMPUTED_VALUE"""),1.0377614329999924E7)</f>
        <v>10377614.33</v>
      </c>
      <c r="H88" s="5"/>
      <c r="I88" s="5"/>
    </row>
    <row r="89">
      <c r="A89" s="9">
        <f>IFERROR(__xludf.DUMMYFUNCTION("""COMPUTED_VALUE"""),46123.0)</f>
        <v>46123</v>
      </c>
      <c r="B89" s="5" t="str">
        <f>IFERROR(__xludf.DUMMYFUNCTION("""COMPUTED_VALUE"""),"TRSF E-BANKING DB")</f>
        <v>TRSF E-BANKING DB</v>
      </c>
      <c r="C89" s="5" t="str">
        <f>IFERROR(__xludf.DUMMYFUNCTION("""COMPUTED_VALUE"""),"1104/FTSCY/WS95031 10000000.00 EKO SETIYAWAN")</f>
        <v>1104/FTSCY/WS95031 10000000.00 EKO SETIYAWAN</v>
      </c>
      <c r="D89" s="12">
        <f>IFERROR(__xludf.DUMMYFUNCTION("""COMPUTED_VALUE"""),1.0E7)</f>
        <v>10000000</v>
      </c>
      <c r="E89" s="5"/>
      <c r="F89" s="5" t="str">
        <f>IFERROR(__xludf.DUMMYFUNCTION("""COMPUTED_VALUE"""),"DB")</f>
        <v>DB</v>
      </c>
      <c r="G89" s="5">
        <f>IFERROR(__xludf.DUMMYFUNCTION("""COMPUTED_VALUE"""),377614.3299999237)</f>
        <v>377614.33</v>
      </c>
      <c r="H89" s="5"/>
      <c r="I89" s="5"/>
    </row>
    <row r="90">
      <c r="A90" s="9">
        <f>IFERROR(__xludf.DUMMYFUNCTION("""COMPUTED_VALUE"""),46124.0)</f>
        <v>46124</v>
      </c>
      <c r="B90" s="5" t="str">
        <f>IFERROR(__xludf.DUMMYFUNCTION("""COMPUTED_VALUE"""),"TRSF E-BANKING DB TANGGAL :11/04")</f>
        <v>TRSF E-BANKING DB TANGGAL :11/04</v>
      </c>
      <c r="C90" s="5" t="str">
        <f>IFERROR(__xludf.DUMMYFUNCTION("""COMPUTED_VALUE"""),"1104/FTSCY/WS95031 blitat trijaya MUJIANTO")</f>
        <v>1104/FTSCY/WS95031 blitat trijaya MUJIANTO</v>
      </c>
      <c r="D90" s="12">
        <f>IFERROR(__xludf.DUMMYFUNCTION("""COMPUTED_VALUE"""),2457250.0)</f>
        <v>2457250</v>
      </c>
      <c r="E90" s="5"/>
      <c r="F90" s="5" t="str">
        <f>IFERROR(__xludf.DUMMYFUNCTION("""COMPUTED_VALUE"""),"DB")</f>
        <v>DB</v>
      </c>
      <c r="G90" s="5">
        <f>IFERROR(__xludf.DUMMYFUNCTION("""COMPUTED_VALUE"""),1.9324957432999992E8)</f>
        <v>193249574.3</v>
      </c>
      <c r="H90" s="5"/>
      <c r="I90" s="5"/>
    </row>
    <row r="91">
      <c r="A91" s="9">
        <f>IFERROR(__xludf.DUMMYFUNCTION("""COMPUTED_VALUE"""),46124.0)</f>
        <v>46124</v>
      </c>
      <c r="B91" s="5" t="str">
        <f>IFERROR(__xludf.DUMMYFUNCTION("""COMPUTED_VALUE"""),"TRSF E-BANKING DB TANGGAL :11/04")</f>
        <v>TRSF E-BANKING DB TANGGAL :11/04</v>
      </c>
      <c r="C91" s="5" t="str">
        <f>IFERROR(__xludf.DUMMYFUNCTION("""COMPUTED_VALUE"""),"1104/FTSCY/WS95031 HERMAWAN")</f>
        <v>1104/FTSCY/WS95031 HERMAWAN</v>
      </c>
      <c r="D91" s="12">
        <f>IFERROR(__xludf.DUMMYFUNCTION("""COMPUTED_VALUE"""),500000.0)</f>
        <v>500000</v>
      </c>
      <c r="E91" s="5"/>
      <c r="F91" s="5" t="str">
        <f>IFERROR(__xludf.DUMMYFUNCTION("""COMPUTED_VALUE"""),"DB")</f>
        <v>DB</v>
      </c>
      <c r="G91" s="5">
        <f>IFERROR(__xludf.DUMMYFUNCTION("""COMPUTED_VALUE"""),1.9274957432999992E8)</f>
        <v>192749574.3</v>
      </c>
      <c r="H91" s="5"/>
      <c r="I91" s="5"/>
    </row>
    <row r="92">
      <c r="A92" s="9">
        <f>IFERROR(__xludf.DUMMYFUNCTION("""COMPUTED_VALUE"""),46124.0)</f>
        <v>46124</v>
      </c>
      <c r="B92" s="5" t="str">
        <f>IFERROR(__xludf.DUMMYFUNCTION("""COMPUTED_VALUE"""),"TRSF E-BANKING DB TANGGAL :11/04")</f>
        <v>TRSF E-BANKING DB TANGGAL :11/04</v>
      </c>
      <c r="C92" s="5" t="str">
        <f>IFERROR(__xludf.DUMMYFUNCTION("""COMPUTED_VALUE"""),"1104/FTSCY/WS95031 krg 65 jt EKO SETIYAWAN")</f>
        <v>1104/FTSCY/WS95031 krg 65 jt EKO SETIYAWAN</v>
      </c>
      <c r="D92" s="12">
        <f>IFERROR(__xludf.DUMMYFUNCTION("""COMPUTED_VALUE"""),2463700.0)</f>
        <v>2463700</v>
      </c>
      <c r="E92" s="5"/>
      <c r="F92" s="5" t="str">
        <f>IFERROR(__xludf.DUMMYFUNCTION("""COMPUTED_VALUE"""),"DB")</f>
        <v>DB</v>
      </c>
      <c r="G92" s="5">
        <f>IFERROR(__xludf.DUMMYFUNCTION("""COMPUTED_VALUE"""),1.9028587432999992E8)</f>
        <v>190285874.3</v>
      </c>
      <c r="H92" s="5"/>
      <c r="I92" s="5"/>
    </row>
    <row r="93">
      <c r="A93" s="9">
        <f>IFERROR(__xludf.DUMMYFUNCTION("""COMPUTED_VALUE"""),46124.0)</f>
        <v>46124</v>
      </c>
      <c r="B93" s="5" t="str">
        <f>IFERROR(__xludf.DUMMYFUNCTION("""COMPUTED_VALUE"""),"TRSF E-BANKING DB")</f>
        <v>TRSF E-BANKING DB</v>
      </c>
      <c r="C93" s="5" t="str">
        <f>IFERROR(__xludf.DUMMYFUNCTION("""COMPUTED_VALUE"""),"1204/FTSCY/WS95271 99101520.00 Thu Apr 09 2026 14:00:00 GMT+0700 (Western Indonesia Time) ANDALAN YASA MITRA")</f>
        <v>1204/FTSCY/WS95271 99101520.00 Thu Apr 09 2026 14:00:00 GMT+0700 (Western Indonesia Time) ANDALAN YASA MITRA</v>
      </c>
      <c r="D93" s="12">
        <f>IFERROR(__xludf.DUMMYFUNCTION("""COMPUTED_VALUE"""),9.910152E7)</f>
        <v>99101520</v>
      </c>
      <c r="E93" s="5"/>
      <c r="F93" s="5" t="str">
        <f>IFERROR(__xludf.DUMMYFUNCTION("""COMPUTED_VALUE"""),"DB")</f>
        <v>DB</v>
      </c>
      <c r="G93" s="5">
        <f>IFERROR(__xludf.DUMMYFUNCTION("""COMPUTED_VALUE"""),1.1013015432999992E8)</f>
        <v>110130154.3</v>
      </c>
      <c r="H93" s="5"/>
      <c r="I93" s="5"/>
    </row>
    <row r="94">
      <c r="A94" s="9">
        <f>IFERROR(__xludf.DUMMYFUNCTION("""COMPUTED_VALUE"""),46124.0)</f>
        <v>46124</v>
      </c>
      <c r="B94" s="5" t="str">
        <f>IFERROR(__xludf.DUMMYFUNCTION("""COMPUTED_VALUE"""),"TRSF E-BANKING DB")</f>
        <v>TRSF E-BANKING DB</v>
      </c>
      <c r="C94" s="5" t="str">
        <f>IFERROR(__xludf.DUMMYFUNCTION("""COMPUTED_VALUE"""),"1204/FTSCY/WS95271 61007610.00 Fri Apr 10 2026 14:00:00 GMT+0700 (Western Indonesia Time) BRANTAS ABADI SENT")</f>
        <v>1204/FTSCY/WS95271 61007610.00 Fri Apr 10 2026 14:00:00 GMT+0700 (Western Indonesia Time) BRANTAS ABADI SENT</v>
      </c>
      <c r="D94" s="12">
        <f>IFERROR(__xludf.DUMMYFUNCTION("""COMPUTED_VALUE"""),6.100761E7)</f>
        <v>61007610</v>
      </c>
      <c r="E94" s="5"/>
      <c r="F94" s="5" t="str">
        <f>IFERROR(__xludf.DUMMYFUNCTION("""COMPUTED_VALUE"""),"DB")</f>
        <v>DB</v>
      </c>
      <c r="G94" s="5">
        <f>IFERROR(__xludf.DUMMYFUNCTION("""COMPUTED_VALUE"""),4.912254432999992E7)</f>
        <v>49122544.33</v>
      </c>
      <c r="H94" s="5"/>
      <c r="I94" s="5"/>
    </row>
    <row r="95">
      <c r="A95" s="9">
        <f>IFERROR(__xludf.DUMMYFUNCTION("""COMPUTED_VALUE"""),46124.0)</f>
        <v>46124</v>
      </c>
      <c r="B95" s="5" t="str">
        <f>IFERROR(__xludf.DUMMYFUNCTION("""COMPUTED_VALUE"""),"TRSF E-BANKING DB")</f>
        <v>TRSF E-BANKING DB</v>
      </c>
      <c r="C95" s="5" t="str">
        <f>IFERROR(__xludf.DUMMYFUNCTION("""COMPUTED_VALUE"""),"1204/FTSCY/WS95271 41679000.00 Thu Apr 09 2026 14:00:00 GMT+0700 (Western Indonesia Time) SUPER UNGGAS JAYA")</f>
        <v>1204/FTSCY/WS95271 41679000.00 Thu Apr 09 2026 14:00:00 GMT+0700 (Western Indonesia Time) SUPER UNGGAS JAYA</v>
      </c>
      <c r="D95" s="12">
        <f>IFERROR(__xludf.DUMMYFUNCTION("""COMPUTED_VALUE"""),4.1679E7)</f>
        <v>41679000</v>
      </c>
      <c r="E95" s="5"/>
      <c r="F95" s="5" t="str">
        <f>IFERROR(__xludf.DUMMYFUNCTION("""COMPUTED_VALUE"""),"DB")</f>
        <v>DB</v>
      </c>
      <c r="G95" s="5">
        <f>IFERROR(__xludf.DUMMYFUNCTION("""COMPUTED_VALUE"""),7443544.329999924)</f>
        <v>7443544.33</v>
      </c>
      <c r="H95" s="5"/>
      <c r="I95" s="5"/>
    </row>
    <row r="96">
      <c r="A96" s="9">
        <f>IFERROR(__xludf.DUMMYFUNCTION("""COMPUTED_VALUE"""),46124.0)</f>
        <v>46124</v>
      </c>
      <c r="B96" s="5" t="str">
        <f>IFERROR(__xludf.DUMMYFUNCTION("""COMPUTED_VALUE"""),"TRSF E-BANKING DB")</f>
        <v>TRSF E-BANKING DB</v>
      </c>
      <c r="C96" s="5" t="str">
        <f>IFERROR(__xludf.DUMMYFUNCTION("""COMPUTED_VALUE"""),"1204/FTSCY/WS95271 1350500.00 NURHAYATI")</f>
        <v>1204/FTSCY/WS95271 1350500.00 NURHAYATI</v>
      </c>
      <c r="D96" s="12">
        <f>IFERROR(__xludf.DUMMYFUNCTION("""COMPUTED_VALUE"""),1350500.0)</f>
        <v>1350500</v>
      </c>
      <c r="E96" s="5"/>
      <c r="F96" s="5" t="str">
        <f>IFERROR(__xludf.DUMMYFUNCTION("""COMPUTED_VALUE"""),"DB")</f>
        <v>DB</v>
      </c>
      <c r="G96" s="5">
        <f>IFERROR(__xludf.DUMMYFUNCTION("""COMPUTED_VALUE"""),6093044.329999924)</f>
        <v>6093044.33</v>
      </c>
      <c r="H96" s="5"/>
      <c r="I96" s="5"/>
    </row>
    <row r="97">
      <c r="A97" s="9">
        <f>IFERROR(__xludf.DUMMYFUNCTION("""COMPUTED_VALUE"""),46124.0)</f>
        <v>46124</v>
      </c>
      <c r="B97" s="5" t="str">
        <f>IFERROR(__xludf.DUMMYFUNCTION("""COMPUTED_VALUE"""),"TRSF E-BANKING DB")</f>
        <v>TRSF E-BANKING DB</v>
      </c>
      <c r="C97" s="5" t="str">
        <f>IFERROR(__xludf.DUMMYFUNCTION("""COMPUTED_VALUE"""),"1204/FTSCY/WS95271 53578800.00 Thu Apr 09 2026 14:00:00 GMT+0700 (Western Indonesia Time) BROILER MAKMUR TAN")</f>
        <v>1204/FTSCY/WS95271 53578800.00 Thu Apr 09 2026 14:00:00 GMT+0700 (Western Indonesia Time) BROILER MAKMUR TAN</v>
      </c>
      <c r="D97" s="12">
        <f>IFERROR(__xludf.DUMMYFUNCTION("""COMPUTED_VALUE"""),5.35788E7)</f>
        <v>53578800</v>
      </c>
      <c r="E97" s="5"/>
      <c r="F97" s="5" t="str">
        <f>IFERROR(__xludf.DUMMYFUNCTION("""COMPUTED_VALUE"""),"DB")</f>
        <v>DB</v>
      </c>
      <c r="G97" s="5">
        <f>IFERROR(__xludf.DUMMYFUNCTION("""COMPUTED_VALUE"""),1.3158233432999992E8)</f>
        <v>131582334.3</v>
      </c>
      <c r="H97" s="5"/>
      <c r="I97" s="5"/>
    </row>
    <row r="98">
      <c r="A98" s="9">
        <f>IFERROR(__xludf.DUMMYFUNCTION("""COMPUTED_VALUE"""),46124.0)</f>
        <v>46124</v>
      </c>
      <c r="B98" s="5" t="str">
        <f>IFERROR(__xludf.DUMMYFUNCTION("""COMPUTED_VALUE"""),"TRSF E-BANKING DB")</f>
        <v>TRSF E-BANKING DB</v>
      </c>
      <c r="C98" s="5" t="str">
        <f>IFERROR(__xludf.DUMMYFUNCTION("""COMPUTED_VALUE"""),"1204/FTSCY/WS95031 44866200.00 Fri Apr 10 2026 14:00:00 GMT+0700 (Western Indonesia Time) ANDALAN YASA MITRA")</f>
        <v>1204/FTSCY/WS95031 44866200.00 Fri Apr 10 2026 14:00:00 GMT+0700 (Western Indonesia Time) ANDALAN YASA MITRA</v>
      </c>
      <c r="D98" s="12">
        <f>IFERROR(__xludf.DUMMYFUNCTION("""COMPUTED_VALUE"""),4.48662E7)</f>
        <v>44866200</v>
      </c>
      <c r="E98" s="5"/>
      <c r="F98" s="5" t="str">
        <f>IFERROR(__xludf.DUMMYFUNCTION("""COMPUTED_VALUE"""),"DB")</f>
        <v>DB</v>
      </c>
      <c r="G98" s="5">
        <f>IFERROR(__xludf.DUMMYFUNCTION("""COMPUTED_VALUE"""),8.671613432999992E7)</f>
        <v>86716134.33</v>
      </c>
      <c r="H98" s="5"/>
      <c r="I98" s="5"/>
    </row>
    <row r="99">
      <c r="A99" s="9">
        <f>IFERROR(__xludf.DUMMYFUNCTION("""COMPUTED_VALUE"""),46124.0)</f>
        <v>46124</v>
      </c>
      <c r="B99" s="5" t="str">
        <f>IFERROR(__xludf.DUMMYFUNCTION("""COMPUTED_VALUE"""),"TRSF E-BANKING DB")</f>
        <v>TRSF E-BANKING DB</v>
      </c>
      <c r="C99" s="5" t="str">
        <f>IFERROR(__xludf.DUMMYFUNCTION("""COMPUTED_VALUE"""),"1204/FTSCY/WS95011 50265280.00 Fri Apr 10 2026 14:00:00 GMT+0700 (Western Indonesia Time) ANDALAN YASA MITRA")</f>
        <v>1204/FTSCY/WS95011 50265280.00 Fri Apr 10 2026 14:00:00 GMT+0700 (Western Indonesia Time) ANDALAN YASA MITRA</v>
      </c>
      <c r="D99" s="12">
        <f>IFERROR(__xludf.DUMMYFUNCTION("""COMPUTED_VALUE"""),5.026528E7)</f>
        <v>50265280</v>
      </c>
      <c r="E99" s="5"/>
      <c r="F99" s="5" t="str">
        <f>IFERROR(__xludf.DUMMYFUNCTION("""COMPUTED_VALUE"""),"DB")</f>
        <v>DB</v>
      </c>
      <c r="G99" s="5">
        <f>IFERROR(__xludf.DUMMYFUNCTION("""COMPUTED_VALUE"""),1.5007413432999992E8)</f>
        <v>150074134.3</v>
      </c>
      <c r="H99" s="5"/>
      <c r="I99" s="5"/>
    </row>
    <row r="100">
      <c r="A100" s="9">
        <f>IFERROR(__xludf.DUMMYFUNCTION("""COMPUTED_VALUE"""),46124.0)</f>
        <v>46124</v>
      </c>
      <c r="B100" s="5" t="str">
        <f>IFERROR(__xludf.DUMMYFUNCTION("""COMPUTED_VALUE"""),"TRSF E-BANKING DB")</f>
        <v>TRSF E-BANKING DB</v>
      </c>
      <c r="C100" s="5" t="str">
        <f>IFERROR(__xludf.DUMMYFUNCTION("""COMPUTED_VALUE"""),"1204/FTSCY/WS95011 50379500.00 pemb. ayam hidup pt suja kediri CJ FEED AND CARE I")</f>
        <v>1204/FTSCY/WS95011 50379500.00 pemb. ayam hidup pt suja kediri CJ FEED AND CARE I</v>
      </c>
      <c r="D100" s="12">
        <f>IFERROR(__xludf.DUMMYFUNCTION("""COMPUTED_VALUE"""),5.03795E7)</f>
        <v>50379500</v>
      </c>
      <c r="E100" s="5"/>
      <c r="F100" s="5" t="str">
        <f>IFERROR(__xludf.DUMMYFUNCTION("""COMPUTED_VALUE"""),"DB")</f>
        <v>DB</v>
      </c>
      <c r="G100" s="5">
        <f>IFERROR(__xludf.DUMMYFUNCTION("""COMPUTED_VALUE"""),9.969463432999992E7)</f>
        <v>99694634.33</v>
      </c>
      <c r="H100" s="5"/>
      <c r="I100" s="5"/>
    </row>
    <row r="101">
      <c r="A101" s="9">
        <f>IFERROR(__xludf.DUMMYFUNCTION("""COMPUTED_VALUE"""),46124.0)</f>
        <v>46124</v>
      </c>
      <c r="B101" s="5" t="str">
        <f>IFERROR(__xludf.DUMMYFUNCTION("""COMPUTED_VALUE"""),"TRSF E-BANKING DB")</f>
        <v>TRSF E-BANKING DB</v>
      </c>
      <c r="C101" s="5" t="str">
        <f>IFERROR(__xludf.DUMMYFUNCTION("""COMPUTED_VALUE"""),"1204/FTSCY/WS95031 2820000.00 HALIM IBRAHIM")</f>
        <v>1204/FTSCY/WS95031 2820000.00 HALIM IBRAHIM</v>
      </c>
      <c r="D101" s="12">
        <f>IFERROR(__xludf.DUMMYFUNCTION("""COMPUTED_VALUE"""),2820000.0)</f>
        <v>2820000</v>
      </c>
      <c r="E101" s="5"/>
      <c r="F101" s="5" t="str">
        <f>IFERROR(__xludf.DUMMYFUNCTION("""COMPUTED_VALUE"""),"DB")</f>
        <v>DB</v>
      </c>
      <c r="G101" s="5">
        <f>IFERROR(__xludf.DUMMYFUNCTION("""COMPUTED_VALUE"""),9.687463432999992E7)</f>
        <v>96874634.33</v>
      </c>
      <c r="H101" s="5">
        <f>IFERROR(__xludf.DUMMYFUNCTION("""COMPUTED_VALUE"""),9.687463433E7)</f>
        <v>96874634.33</v>
      </c>
      <c r="I101" s="5"/>
    </row>
    <row r="102">
      <c r="A102" s="9">
        <f>IFERROR(__xludf.DUMMYFUNCTION("""COMPUTED_VALUE"""),46125.0)</f>
        <v>46125</v>
      </c>
      <c r="B102" s="5" t="str">
        <f>IFERROR(__xludf.DUMMYFUNCTION("""COMPUTED_VALUE"""),"TRSF E-BANKING DB")</f>
        <v>TRSF E-BANKING DB</v>
      </c>
      <c r="C102" s="5" t="str">
        <f>IFERROR(__xludf.DUMMYFUNCTION("""COMPUTED_VALUE"""),"1304/FTSCY/WS95031 56960000.00 kd supiyan pasurua n TABASSAM AL HATTAK")</f>
        <v>1304/FTSCY/WS95031 56960000.00 kd supiyan pasurua n TABASSAM AL HATTAK</v>
      </c>
      <c r="D102" s="12">
        <f>IFERROR(__xludf.DUMMYFUNCTION("""COMPUTED_VALUE"""),5.696E7)</f>
        <v>56960000</v>
      </c>
      <c r="E102" s="5"/>
      <c r="F102" s="5" t="str">
        <f>IFERROR(__xludf.DUMMYFUNCTION("""COMPUTED_VALUE"""),"DB")</f>
        <v>DB</v>
      </c>
      <c r="G102" s="5">
        <f>IFERROR(__xludf.DUMMYFUNCTION("""COMPUTED_VALUE"""),3.991463432999992E7)</f>
        <v>39914634.33</v>
      </c>
      <c r="H102" s="5"/>
      <c r="I102" s="5"/>
    </row>
    <row r="103">
      <c r="A103" s="9">
        <f>IFERROR(__xludf.DUMMYFUNCTION("""COMPUTED_VALUE"""),46125.0)</f>
        <v>46125</v>
      </c>
      <c r="B103" s="5" t="str">
        <f>IFERROR(__xludf.DUMMYFUNCTION("""COMPUTED_VALUE"""),"TRSF E-BANKING DB")</f>
        <v>TRSF E-BANKING DB</v>
      </c>
      <c r="C103" s="5" t="str">
        <f>IFERROR(__xludf.DUMMYFUNCTION("""COMPUTED_VALUE"""),"1304/FTSCY/WS95031 39351750.00 krg 10 jt LAWU ABADI NUSA PT")</f>
        <v>1304/FTSCY/WS95031 39351750.00 krg 10 jt LAWU ABADI NUSA PT</v>
      </c>
      <c r="D103" s="12">
        <f>IFERROR(__xludf.DUMMYFUNCTION("""COMPUTED_VALUE"""),3.935175E7)</f>
        <v>39351750</v>
      </c>
      <c r="E103" s="5"/>
      <c r="F103" s="5" t="str">
        <f>IFERROR(__xludf.DUMMYFUNCTION("""COMPUTED_VALUE"""),"DB")</f>
        <v>DB</v>
      </c>
      <c r="G103" s="5">
        <f>IFERROR(__xludf.DUMMYFUNCTION("""COMPUTED_VALUE"""),749884.3299999237)</f>
        <v>749884.33</v>
      </c>
      <c r="H103" s="5"/>
      <c r="I103" s="5"/>
    </row>
    <row r="104">
      <c r="A104" s="9">
        <f>IFERROR(__xludf.DUMMYFUNCTION("""COMPUTED_VALUE"""),46125.0)</f>
        <v>46125</v>
      </c>
      <c r="B104" s="5" t="str">
        <f>IFERROR(__xludf.DUMMYFUNCTION("""COMPUTED_VALUE"""),"TRSF E-BANKING DB")</f>
        <v>TRSF E-BANKING DB</v>
      </c>
      <c r="C104" s="5" t="str">
        <f>IFERROR(__xludf.DUMMYFUNCTION("""COMPUTED_VALUE"""),"1304/FTSCY/WS95271 10000000.00 pelunasan LAWU ABADI NUSA PT")</f>
        <v>1304/FTSCY/WS95271 10000000.00 pelunasan LAWU ABADI NUSA PT</v>
      </c>
      <c r="D104" s="12">
        <f>IFERROR(__xludf.DUMMYFUNCTION("""COMPUTED_VALUE"""),1.0E7)</f>
        <v>10000000</v>
      </c>
      <c r="E104" s="5"/>
      <c r="F104" s="5" t="str">
        <f>IFERROR(__xludf.DUMMYFUNCTION("""COMPUTED_VALUE"""),"DB")</f>
        <v>DB</v>
      </c>
      <c r="G104" s="5">
        <f>IFERROR(__xludf.DUMMYFUNCTION("""COMPUTED_VALUE"""),749884.3299999237)</f>
        <v>749884.33</v>
      </c>
      <c r="H104" s="5">
        <f>IFERROR(__xludf.DUMMYFUNCTION("""COMPUTED_VALUE"""),749884.33)</f>
        <v>749884.33</v>
      </c>
      <c r="I104" s="5"/>
    </row>
    <row r="105">
      <c r="A105" s="9">
        <f>IFERROR(__xludf.DUMMYFUNCTION("""COMPUTED_VALUE"""),46125.0)</f>
        <v>46125</v>
      </c>
      <c r="B105" s="5" t="str">
        <f>IFERROR(__xludf.DUMMYFUNCTION("""COMPUTED_VALUE"""),"TRSF E-BANKING DB")</f>
        <v>TRSF E-BANKING DB</v>
      </c>
      <c r="C105" s="5" t="str">
        <f>IFERROR(__xludf.DUMMYFUNCTION("""COMPUTED_VALUE"""),"1304/FTSCY/WS95271 10000000.00 SANDI FAJAR PRASET")</f>
        <v>1304/FTSCY/WS95271 10000000.00 SANDI FAJAR PRASET</v>
      </c>
      <c r="D105" s="12">
        <f>IFERROR(__xludf.DUMMYFUNCTION("""COMPUTED_VALUE"""),1.0E7)</f>
        <v>10000000</v>
      </c>
      <c r="E105" s="5"/>
      <c r="F105" s="5" t="str">
        <f>IFERROR(__xludf.DUMMYFUNCTION("""COMPUTED_VALUE"""),"DB")</f>
        <v>DB</v>
      </c>
      <c r="G105" s="5">
        <f>IFERROR(__xludf.DUMMYFUNCTION("""COMPUTED_VALUE"""),2.0939030432999992E8)</f>
        <v>209390304.3</v>
      </c>
      <c r="H105" s="5"/>
      <c r="I105" s="5"/>
    </row>
    <row r="106">
      <c r="A106" s="9">
        <f>IFERROR(__xludf.DUMMYFUNCTION("""COMPUTED_VALUE"""),46125.0)</f>
        <v>46125</v>
      </c>
      <c r="B106" s="5" t="str">
        <f>IFERROR(__xludf.DUMMYFUNCTION("""COMPUTED_VALUE"""),"TRSF E-BANKING DB")</f>
        <v>TRSF E-BANKING DB</v>
      </c>
      <c r="C106" s="5" t="str">
        <f>IFERROR(__xludf.DUMMYFUNCTION("""COMPUTED_VALUE"""),"1304/FTSCY/WS95271 176134530.00 Sat Apr 11 2026 14:00:00 GMT+0700 (Western Indonesia Time) RUKUN MITRA BERSAM")</f>
        <v>1304/FTSCY/WS95271 176134530.00 Sat Apr 11 2026 14:00:00 GMT+0700 (Western Indonesia Time) RUKUN MITRA BERSAM</v>
      </c>
      <c r="D106" s="12">
        <f>IFERROR(__xludf.DUMMYFUNCTION("""COMPUTED_VALUE"""),1.7613453E8)</f>
        <v>176134530</v>
      </c>
      <c r="E106" s="5"/>
      <c r="F106" s="5" t="str">
        <f>IFERROR(__xludf.DUMMYFUNCTION("""COMPUTED_VALUE"""),"DB")</f>
        <v>DB</v>
      </c>
      <c r="G106" s="5">
        <f>IFERROR(__xludf.DUMMYFUNCTION("""COMPUTED_VALUE"""),3.3255774329999924E7)</f>
        <v>33255774.33</v>
      </c>
      <c r="H106" s="5"/>
      <c r="I106" s="5"/>
    </row>
    <row r="107">
      <c r="A107" s="9">
        <f>IFERROR(__xludf.DUMMYFUNCTION("""COMPUTED_VALUE"""),46125.0)</f>
        <v>46125</v>
      </c>
      <c r="B107" s="5" t="str">
        <f>IFERROR(__xludf.DUMMYFUNCTION("""COMPUTED_VALUE"""),"TRSF E-BANKING DB")</f>
        <v>TRSF E-BANKING DB</v>
      </c>
      <c r="C107" s="5" t="str">
        <f>IFERROR(__xludf.DUMMYFUNCTION("""COMPUTED_VALUE"""),"1304/FTSCY/WS95271 55057200.00 Fri Apr 10 2026 14:00:00 GMT+0700 (Western Indonesia Time) PITIK DIGITAL INDO")</f>
        <v>1304/FTSCY/WS95271 55057200.00 Fri Apr 10 2026 14:00:00 GMT+0700 (Western Indonesia Time) PITIK DIGITAL INDO</v>
      </c>
      <c r="D107" s="12">
        <f>IFERROR(__xludf.DUMMYFUNCTION("""COMPUTED_VALUE"""),5.50572E7)</f>
        <v>55057200</v>
      </c>
      <c r="E107" s="5"/>
      <c r="F107" s="5" t="str">
        <f>IFERROR(__xludf.DUMMYFUNCTION("""COMPUTED_VALUE"""),"DB")</f>
        <v>DB</v>
      </c>
      <c r="G107" s="5">
        <f>IFERROR(__xludf.DUMMYFUNCTION("""COMPUTED_VALUE"""),8348574.329999924)</f>
        <v>8348574.33</v>
      </c>
      <c r="H107" s="5"/>
      <c r="I107" s="5"/>
    </row>
    <row r="108">
      <c r="A108" s="9">
        <f>IFERROR(__xludf.DUMMYFUNCTION("""COMPUTED_VALUE"""),46125.0)</f>
        <v>46125</v>
      </c>
      <c r="B108" s="5" t="str">
        <f>IFERROR(__xludf.DUMMYFUNCTION("""COMPUTED_VALUE"""),"TRSF E-BANKING DB")</f>
        <v>TRSF E-BANKING DB</v>
      </c>
      <c r="C108" s="5" t="str">
        <f>IFERROR(__xludf.DUMMYFUNCTION("""COMPUTED_VALUE"""),"1304/FTSCY/WS95271 3006560.00 lunas HERMAWAN")</f>
        <v>1304/FTSCY/WS95271 3006560.00 lunas HERMAWAN</v>
      </c>
      <c r="D108" s="12">
        <f>IFERROR(__xludf.DUMMYFUNCTION("""COMPUTED_VALUE"""),3006560.0)</f>
        <v>3006560</v>
      </c>
      <c r="E108" s="5"/>
      <c r="F108" s="5" t="str">
        <f>IFERROR(__xludf.DUMMYFUNCTION("""COMPUTED_VALUE"""),"DB")</f>
        <v>DB</v>
      </c>
      <c r="G108" s="5">
        <f>IFERROR(__xludf.DUMMYFUNCTION("""COMPUTED_VALUE"""),5342014.329999924)</f>
        <v>5342014.33</v>
      </c>
      <c r="H108" s="5"/>
      <c r="I108" s="5"/>
    </row>
    <row r="109">
      <c r="A109" s="9">
        <f>IFERROR(__xludf.DUMMYFUNCTION("""COMPUTED_VALUE"""),46125.0)</f>
        <v>46125</v>
      </c>
      <c r="B109" s="5" t="str">
        <f>IFERROR(__xludf.DUMMYFUNCTION("""COMPUTED_VALUE"""),"TRSF E-BANKING DB")</f>
        <v>TRSF E-BANKING DB</v>
      </c>
      <c r="C109" s="5" t="str">
        <f>IFERROR(__xludf.DUMMYFUNCTION("""COMPUTED_VALUE"""),"1304/FTSCY/WS95271 3955800.00 lunas MUJIANTO")</f>
        <v>1304/FTSCY/WS95271 3955800.00 lunas MUJIANTO</v>
      </c>
      <c r="D109" s="12">
        <f>IFERROR(__xludf.DUMMYFUNCTION("""COMPUTED_VALUE"""),3955800.0)</f>
        <v>3955800</v>
      </c>
      <c r="E109" s="5"/>
      <c r="F109" s="5" t="str">
        <f>IFERROR(__xludf.DUMMYFUNCTION("""COMPUTED_VALUE"""),"DB")</f>
        <v>DB</v>
      </c>
      <c r="G109" s="5">
        <f>IFERROR(__xludf.DUMMYFUNCTION("""COMPUTED_VALUE"""),1386214.3299999237)</f>
        <v>1386214.33</v>
      </c>
      <c r="H109" s="5">
        <f>IFERROR(__xludf.DUMMYFUNCTION("""COMPUTED_VALUE"""),1386214.33)</f>
        <v>1386214.33</v>
      </c>
      <c r="I109" s="5"/>
    </row>
    <row r="110">
      <c r="A110" s="9">
        <f>IFERROR(__xludf.DUMMYFUNCTION("""COMPUTED_VALUE"""),46127.0)</f>
        <v>46127</v>
      </c>
      <c r="B110" s="5" t="str">
        <f>IFERROR(__xludf.DUMMYFUNCTION("""COMPUTED_VALUE"""),"TRSF E-BANKING DB TANGGAL :14/04")</f>
        <v>TRSF E-BANKING DB TANGGAL :14/04</v>
      </c>
      <c r="C110" s="5" t="str">
        <f>IFERROR(__xludf.DUMMYFUNCTION("""COMPUTED_VALUE"""),"1404/FTFVA/WS95031 3.2 ton - 40190")</f>
        <v>1404/FTFVA/WS95031 3.2 ton - 40190</v>
      </c>
      <c r="D110" s="12">
        <f>IFERROR(__xludf.DUMMYFUNCTION("""COMPUTED_VALUE"""),5.351E7)</f>
        <v>53510000</v>
      </c>
      <c r="E110" s="5"/>
      <c r="F110" s="5" t="str">
        <f>IFERROR(__xludf.DUMMYFUNCTION("""COMPUTED_VALUE"""),"DB")</f>
        <v>DB</v>
      </c>
      <c r="G110" s="5">
        <f>IFERROR(__xludf.DUMMYFUNCTION("""COMPUTED_VALUE"""),2.6026617432999992E8)</f>
        <v>260266174.3</v>
      </c>
      <c r="H110" s="5"/>
      <c r="I110" s="5"/>
    </row>
    <row r="111">
      <c r="A111" s="9">
        <f>IFERROR(__xludf.DUMMYFUNCTION("""COMPUTED_VALUE"""),46127.0)</f>
        <v>46127</v>
      </c>
      <c r="B111" s="5" t="str">
        <f>IFERROR(__xludf.DUMMYFUNCTION("""COMPUTED_VALUE"""),"TRSF E-BANKING DB TANGGAL :14/04")</f>
        <v>TRSF E-BANKING DB TANGGAL :14/04</v>
      </c>
      <c r="C111" s="5" t="str">
        <f>IFERROR(__xludf.DUMMYFUNCTION("""COMPUTED_VALUE"""),"1404/FTSCY/WS95271 Sun Apr 12 2026 14:00:00 GMT+0700 (Western Indonesia Time) ANDALAN YASA MITRA")</f>
        <v>1404/FTSCY/WS95271 Sun Apr 12 2026 14:00:00 GMT+0700 (Western Indonesia Time) ANDALAN YASA MITRA</v>
      </c>
      <c r="D111" s="12">
        <f>IFERROR(__xludf.DUMMYFUNCTION("""COMPUTED_VALUE"""),1.1581926E8)</f>
        <v>115819260</v>
      </c>
      <c r="E111" s="5"/>
      <c r="F111" s="5" t="str">
        <f>IFERROR(__xludf.DUMMYFUNCTION("""COMPUTED_VALUE"""),"DB")</f>
        <v>DB</v>
      </c>
      <c r="G111" s="5">
        <f>IFERROR(__xludf.DUMMYFUNCTION("""COMPUTED_VALUE"""),1.4444691432999992E8)</f>
        <v>144446914.3</v>
      </c>
      <c r="H111" s="5"/>
      <c r="I111" s="5"/>
    </row>
    <row r="112">
      <c r="A112" s="9">
        <f>IFERROR(__xludf.DUMMYFUNCTION("""COMPUTED_VALUE"""),46127.0)</f>
        <v>46127</v>
      </c>
      <c r="B112" s="5" t="str">
        <f>IFERROR(__xludf.DUMMYFUNCTION("""COMPUTED_VALUE"""),"TRSF E-BANKING DB TANGGAL :14/04")</f>
        <v>TRSF E-BANKING DB TANGGAL :14/04</v>
      </c>
      <c r="C112" s="5" t="str">
        <f>IFERROR(__xludf.DUMMYFUNCTION("""COMPUTED_VALUE"""),"1404/FTSCY/WS95271 Sun Apr 12 2026 14:00:00 GMT+0700 (Western Indonesia Time) LAJU SATWA WISESA")</f>
        <v>1404/FTSCY/WS95271 Sun Apr 12 2026 14:00:00 GMT+0700 (Western Indonesia Time) LAJU SATWA WISESA</v>
      </c>
      <c r="D112" s="12">
        <f>IFERROR(__xludf.DUMMYFUNCTION("""COMPUTED_VALUE"""),5.36136E7)</f>
        <v>53613600</v>
      </c>
      <c r="E112" s="5"/>
      <c r="F112" s="5" t="str">
        <f>IFERROR(__xludf.DUMMYFUNCTION("""COMPUTED_VALUE"""),"DB")</f>
        <v>DB</v>
      </c>
      <c r="G112" s="5">
        <f>IFERROR(__xludf.DUMMYFUNCTION("""COMPUTED_VALUE"""),9.083331432999992E7)</f>
        <v>90833314.33</v>
      </c>
      <c r="H112" s="5"/>
      <c r="I112" s="5"/>
    </row>
    <row r="113">
      <c r="A113" s="9">
        <f>IFERROR(__xludf.DUMMYFUNCTION("""COMPUTED_VALUE"""),46127.0)</f>
        <v>46127</v>
      </c>
      <c r="B113" s="5" t="str">
        <f>IFERROR(__xludf.DUMMYFUNCTION("""COMPUTED_VALUE"""),"TRSF E-BANKING DB TANGGAL :14/04")</f>
        <v>TRSF E-BANKING DB TANGGAL :14/04</v>
      </c>
      <c r="C113" s="5" t="str">
        <f>IFERROR(__xludf.DUMMYFUNCTION("""COMPUTED_VALUE"""),"1404/FTSCY/WS95271 Mon Apr 13 2026 14:00:00 GMT+0700 (Western Indonesia Time) RUKUN MITRA BERSAM")</f>
        <v>1404/FTSCY/WS95271 Mon Apr 13 2026 14:00:00 GMT+0700 (Western Indonesia Time) RUKUN MITRA BERSAM</v>
      </c>
      <c r="D113" s="12">
        <f>IFERROR(__xludf.DUMMYFUNCTION("""COMPUTED_VALUE"""),5.31E7)</f>
        <v>53100000</v>
      </c>
      <c r="E113" s="5"/>
      <c r="F113" s="5" t="str">
        <f>IFERROR(__xludf.DUMMYFUNCTION("""COMPUTED_VALUE"""),"DB")</f>
        <v>DB</v>
      </c>
      <c r="G113" s="5">
        <f>IFERROR(__xludf.DUMMYFUNCTION("""COMPUTED_VALUE"""),3.773331432999992E7)</f>
        <v>37733314.33</v>
      </c>
      <c r="H113" s="5"/>
      <c r="I113" s="5"/>
    </row>
    <row r="114">
      <c r="A114" s="9">
        <f>IFERROR(__xludf.DUMMYFUNCTION("""COMPUTED_VALUE"""),46127.0)</f>
        <v>46127</v>
      </c>
      <c r="B114" s="5" t="str">
        <f>IFERROR(__xludf.DUMMYFUNCTION("""COMPUTED_VALUE"""),"TRSF E-BANKING DB TANGGAL :14/04")</f>
        <v>TRSF E-BANKING DB TANGGAL :14/04</v>
      </c>
      <c r="C114" s="5" t="str">
        <f>IFERROR(__xludf.DUMMYFUNCTION("""COMPUTED_VALUE"""),"1404/FTSCY/WS95031 HERMAWAN")</f>
        <v>1404/FTSCY/WS95031 HERMAWAN</v>
      </c>
      <c r="D114" s="12">
        <f>IFERROR(__xludf.DUMMYFUNCTION("""COMPUTED_VALUE"""),2102680.0)</f>
        <v>2102680</v>
      </c>
      <c r="E114" s="5"/>
      <c r="F114" s="5" t="str">
        <f>IFERROR(__xludf.DUMMYFUNCTION("""COMPUTED_VALUE"""),"DB")</f>
        <v>DB</v>
      </c>
      <c r="G114" s="5">
        <f>IFERROR(__xludf.DUMMYFUNCTION("""COMPUTED_VALUE"""),3.563063432999992E7)</f>
        <v>35630634.33</v>
      </c>
      <c r="H114" s="5"/>
      <c r="I114" s="5"/>
    </row>
    <row r="115">
      <c r="A115" s="9">
        <f>IFERROR(__xludf.DUMMYFUNCTION("""COMPUTED_VALUE"""),46127.0)</f>
        <v>46127</v>
      </c>
      <c r="B115" s="5" t="str">
        <f>IFERROR(__xludf.DUMMYFUNCTION("""COMPUTED_VALUE"""),"TRSF E-BANKING DB TANGGAL :14/04")</f>
        <v>TRSF E-BANKING DB TANGGAL :14/04</v>
      </c>
      <c r="C115" s="5" t="str">
        <f>IFERROR(__xludf.DUMMYFUNCTION("""COMPUTED_VALUE"""),"1404/FTSCY/WS95031 MUJIANTO")</f>
        <v>1404/FTSCY/WS95031 MUJIANTO</v>
      </c>
      <c r="D115" s="12">
        <f>IFERROR(__xludf.DUMMYFUNCTION("""COMPUTED_VALUE"""),2392480.0)</f>
        <v>2392480</v>
      </c>
      <c r="E115" s="5"/>
      <c r="F115" s="5" t="str">
        <f>IFERROR(__xludf.DUMMYFUNCTION("""COMPUTED_VALUE"""),"DB")</f>
        <v>DB</v>
      </c>
      <c r="G115" s="5">
        <f>IFERROR(__xludf.DUMMYFUNCTION("""COMPUTED_VALUE"""),3.3238154329999924E7)</f>
        <v>33238154.33</v>
      </c>
      <c r="H115" s="5"/>
      <c r="I115" s="5"/>
    </row>
    <row r="116">
      <c r="A116" s="9">
        <f>IFERROR(__xludf.DUMMYFUNCTION("""COMPUTED_VALUE"""),46127.0)</f>
        <v>46127</v>
      </c>
      <c r="B116" s="5" t="str">
        <f>IFERROR(__xludf.DUMMYFUNCTION("""COMPUTED_VALUE"""),"TRSF E-BANKING DB TANGGAL :14/04")</f>
        <v>TRSF E-BANKING DB TANGGAL :14/04</v>
      </c>
      <c r="C116" s="5" t="str">
        <f>IFERROR(__xludf.DUMMYFUNCTION("""COMPUTED_VALUE"""),"1404/FTSCY/WS95031 tot. titip 14.02 1 8050000 SANDI FAJAR PRASET")</f>
        <v>1404/FTSCY/WS95031 tot. titip 14.02 1 8050000 SANDI FAJAR PRASET</v>
      </c>
      <c r="D116" s="12">
        <f>IFERROR(__xludf.DUMMYFUNCTION("""COMPUTED_VALUE"""),750000.0)</f>
        <v>750000</v>
      </c>
      <c r="E116" s="5"/>
      <c r="F116" s="5" t="str">
        <f>IFERROR(__xludf.DUMMYFUNCTION("""COMPUTED_VALUE"""),"DB")</f>
        <v>DB</v>
      </c>
      <c r="G116" s="5">
        <f>IFERROR(__xludf.DUMMYFUNCTION("""COMPUTED_VALUE"""),3.2488154329999924E7)</f>
        <v>32488154.33</v>
      </c>
      <c r="H116" s="5"/>
      <c r="I116" s="5"/>
    </row>
    <row r="117">
      <c r="A117" s="9">
        <f>IFERROR(__xludf.DUMMYFUNCTION("""COMPUTED_VALUE"""),46128.0)</f>
        <v>46128</v>
      </c>
      <c r="B117" s="5" t="str">
        <f>IFERROR(__xludf.DUMMYFUNCTION("""COMPUTED_VALUE"""),"TRSF E-BANKING DB")</f>
        <v>TRSF E-BANKING DB</v>
      </c>
      <c r="C117" s="5" t="str">
        <f>IFERROR(__xludf.DUMMYFUNCTION("""COMPUTED_VALUE"""),"1604/FTFVA/WS95031 55569/PT PRIMA FAJ 2.9 ton blitar - 40190")</f>
        <v>1604/FTFVA/WS95031 55569/PT PRIMA FAJ 2.9 ton blitar - 40190</v>
      </c>
      <c r="D117" s="12">
        <f>IFERROR(__xludf.DUMMYFUNCTION("""COMPUTED_VALUE"""),4.785E7)</f>
        <v>47850000</v>
      </c>
      <c r="E117" s="5"/>
      <c r="F117" s="5" t="str">
        <f>IFERROR(__xludf.DUMMYFUNCTION("""COMPUTED_VALUE"""),"DB")</f>
        <v>DB</v>
      </c>
      <c r="G117" s="5">
        <f>IFERROR(__xludf.DUMMYFUNCTION("""COMPUTED_VALUE"""),2.2520984329999924E7)</f>
        <v>22520984.33</v>
      </c>
      <c r="H117" s="5"/>
      <c r="I117" s="5"/>
    </row>
    <row r="118">
      <c r="A118" s="9">
        <f>IFERROR(__xludf.DUMMYFUNCTION("""COMPUTED_VALUE"""),46128.0)</f>
        <v>46128</v>
      </c>
      <c r="B118" s="5" t="str">
        <f>IFERROR(__xludf.DUMMYFUNCTION("""COMPUTED_VALUE"""),"TRSF E-BANKING DB")</f>
        <v>TRSF E-BANKING DB</v>
      </c>
      <c r="C118" s="5" t="str">
        <f>IFERROR(__xludf.DUMMYFUNCTION("""COMPUTED_VALUE"""),"1604/FTSCY/WS95031 500000.00 SUPRIYADI")</f>
        <v>1604/FTSCY/WS95031 500000.00 SUPRIYADI</v>
      </c>
      <c r="D118" s="12">
        <f>IFERROR(__xludf.DUMMYFUNCTION("""COMPUTED_VALUE"""),500000.0)</f>
        <v>500000</v>
      </c>
      <c r="E118" s="5"/>
      <c r="F118" s="5" t="str">
        <f>IFERROR(__xludf.DUMMYFUNCTION("""COMPUTED_VALUE"""),"DB")</f>
        <v>DB</v>
      </c>
      <c r="G118" s="5">
        <f>IFERROR(__xludf.DUMMYFUNCTION("""COMPUTED_VALUE"""),2.2020984329999924E7)</f>
        <v>22020984.33</v>
      </c>
      <c r="H118" s="5"/>
      <c r="I118" s="5"/>
    </row>
    <row r="119">
      <c r="A119" s="9">
        <f>IFERROR(__xludf.DUMMYFUNCTION("""COMPUTED_VALUE"""),46128.0)</f>
        <v>46128</v>
      </c>
      <c r="B119" s="5" t="str">
        <f>IFERROR(__xludf.DUMMYFUNCTION("""COMPUTED_VALUE"""),"TRSF E-BANKING DB")</f>
        <v>TRSF E-BANKING DB</v>
      </c>
      <c r="C119" s="5" t="str">
        <f>IFERROR(__xludf.DUMMYFUNCTION("""COMPUTED_VALUE"""),"1604/FTSCY/WS95031 6700000.00 SANDI FAJAR PRASET")</f>
        <v>1604/FTSCY/WS95031 6700000.00 SANDI FAJAR PRASET</v>
      </c>
      <c r="D119" s="12">
        <f>IFERROR(__xludf.DUMMYFUNCTION("""COMPUTED_VALUE"""),6700000.0)</f>
        <v>6700000</v>
      </c>
      <c r="E119" s="5"/>
      <c r="F119" s="5" t="str">
        <f>IFERROR(__xludf.DUMMYFUNCTION("""COMPUTED_VALUE"""),"DB")</f>
        <v>DB</v>
      </c>
      <c r="G119" s="5">
        <f>IFERROR(__xludf.DUMMYFUNCTION("""COMPUTED_VALUE"""),5325224.329999924)</f>
        <v>5325224.33</v>
      </c>
      <c r="H119" s="5">
        <f>IFERROR(__xludf.DUMMYFUNCTION("""COMPUTED_VALUE"""),5325224.33)</f>
        <v>5325224.33</v>
      </c>
      <c r="I119" s="5"/>
    </row>
    <row r="120">
      <c r="A120" s="9">
        <f>IFERROR(__xludf.DUMMYFUNCTION("""COMPUTED_VALUE"""),46129.0)</f>
        <v>46129</v>
      </c>
      <c r="B120" s="5" t="str">
        <f>IFERROR(__xludf.DUMMYFUNCTION("""COMPUTED_VALUE"""),"TRSF E-BANKING DB")</f>
        <v>TRSF E-BANKING DB</v>
      </c>
      <c r="C120" s="5" t="str">
        <f>IFERROR(__xludf.DUMMYFUNCTION("""COMPUTED_VALUE"""),"1704/FTSCY/WS95031 52440120.00 Mon Apr 13 2026 14:00:00 GMT+0700 (Western Indonesia Time) BROILER MAKMUR TAN")</f>
        <v>1704/FTSCY/WS95031 52440120.00 Mon Apr 13 2026 14:00:00 GMT+0700 (Western Indonesia Time) BROILER MAKMUR TAN</v>
      </c>
      <c r="D120" s="12">
        <f>IFERROR(__xludf.DUMMYFUNCTION("""COMPUTED_VALUE"""),5.244012E7)</f>
        <v>52440120</v>
      </c>
      <c r="E120" s="5"/>
      <c r="F120" s="5" t="str">
        <f>IFERROR(__xludf.DUMMYFUNCTION("""COMPUTED_VALUE"""),"DB")</f>
        <v>DB</v>
      </c>
      <c r="G120" s="5">
        <f>IFERROR(__xludf.DUMMYFUNCTION("""COMPUTED_VALUE"""),1.6193735432999992E8)</f>
        <v>161937354.3</v>
      </c>
      <c r="H120" s="5">
        <f>IFERROR(__xludf.DUMMYFUNCTION("""COMPUTED_VALUE"""),1.6193735433E8)</f>
        <v>161937354.3</v>
      </c>
      <c r="I120" s="5"/>
    </row>
    <row r="121">
      <c r="A121" s="9">
        <f>IFERROR(__xludf.DUMMYFUNCTION("""COMPUTED_VALUE"""),46129.0)</f>
        <v>46129</v>
      </c>
      <c r="B121" s="5" t="str">
        <f>IFERROR(__xludf.DUMMYFUNCTION("""COMPUTED_VALUE"""),"TRSF E-BANKING DB")</f>
        <v>TRSF E-BANKING DB</v>
      </c>
      <c r="C121" s="5" t="str">
        <f>IFERROR(__xludf.DUMMYFUNCTION("""COMPUTED_VALUE"""),"1704/FTSCY/WS95271 52450140.00 Tue Apr 14 2026 14:00:00 GMT+0700 (Western Indonesia Time) BINTANG TAMA SANTO")</f>
        <v>1704/FTSCY/WS95271 52450140.00 Tue Apr 14 2026 14:00:00 GMT+0700 (Western Indonesia Time) BINTANG TAMA SANTO</v>
      </c>
      <c r="D121" s="12">
        <f>IFERROR(__xludf.DUMMYFUNCTION("""COMPUTED_VALUE"""),5.245014E7)</f>
        <v>52450140</v>
      </c>
      <c r="E121" s="5"/>
      <c r="F121" s="5" t="str">
        <f>IFERROR(__xludf.DUMMYFUNCTION("""COMPUTED_VALUE"""),"DB")</f>
        <v>DB</v>
      </c>
      <c r="G121" s="5">
        <f>IFERROR(__xludf.DUMMYFUNCTION("""COMPUTED_VALUE"""),1.0948721432999992E8)</f>
        <v>109487214.3</v>
      </c>
      <c r="H121" s="5">
        <f>IFERROR(__xludf.DUMMYFUNCTION("""COMPUTED_VALUE"""),1.0948721433E8)</f>
        <v>109487214.3</v>
      </c>
      <c r="I121" s="5"/>
    </row>
    <row r="122">
      <c r="A122" s="9">
        <f>IFERROR(__xludf.DUMMYFUNCTION("""COMPUTED_VALUE"""),46129.0)</f>
        <v>46129</v>
      </c>
      <c r="B122" s="5" t="str">
        <f>IFERROR(__xludf.DUMMYFUNCTION("""COMPUTED_VALUE"""),"TRSF E-BANKING DB")</f>
        <v>TRSF E-BANKING DB</v>
      </c>
      <c r="C122" s="5" t="str">
        <f>IFERROR(__xludf.DUMMYFUNCTION("""COMPUTED_VALUE"""),"1704/FTSCY/WS95271 48861000.00 Mon Apr 13 2026 14:00:00 GMT+0700 (Western Indonesia Time) SUPER UNGGAS JAYA")</f>
        <v>1704/FTSCY/WS95271 48861000.00 Mon Apr 13 2026 14:00:00 GMT+0700 (Western Indonesia Time) SUPER UNGGAS JAYA</v>
      </c>
      <c r="D122" s="12">
        <f>IFERROR(__xludf.DUMMYFUNCTION("""COMPUTED_VALUE"""),4.8861E7)</f>
        <v>48861000</v>
      </c>
      <c r="E122" s="5"/>
      <c r="F122" s="5" t="str">
        <f>IFERROR(__xludf.DUMMYFUNCTION("""COMPUTED_VALUE"""),"DB")</f>
        <v>DB</v>
      </c>
      <c r="G122" s="5">
        <f>IFERROR(__xludf.DUMMYFUNCTION("""COMPUTED_VALUE"""),6.062621432999992E7)</f>
        <v>60626214.33</v>
      </c>
      <c r="H122" s="5"/>
      <c r="I122" s="5"/>
    </row>
    <row r="123">
      <c r="A123" s="9">
        <f>IFERROR(__xludf.DUMMYFUNCTION("""COMPUTED_VALUE"""),46129.0)</f>
        <v>46129</v>
      </c>
      <c r="B123" s="5" t="str">
        <f>IFERROR(__xludf.DUMMYFUNCTION("""COMPUTED_VALUE"""),"TRSF E-BANKING DB")</f>
        <v>TRSF E-BANKING DB</v>
      </c>
      <c r="C123" s="5" t="str">
        <f>IFERROR(__xludf.DUMMYFUNCTION("""COMPUTED_VALUE"""),"1704/FTSCY/WS95271 549000.00 NURHAYATI")</f>
        <v>1704/FTSCY/WS95271 549000.00 NURHAYATI</v>
      </c>
      <c r="D123" s="12">
        <f>IFERROR(__xludf.DUMMYFUNCTION("""COMPUTED_VALUE"""),549000.0)</f>
        <v>549000</v>
      </c>
      <c r="E123" s="5"/>
      <c r="F123" s="5" t="str">
        <f>IFERROR(__xludf.DUMMYFUNCTION("""COMPUTED_VALUE"""),"DB")</f>
        <v>DB</v>
      </c>
      <c r="G123" s="5">
        <f>IFERROR(__xludf.DUMMYFUNCTION("""COMPUTED_VALUE"""),6.007721432999992E7)</f>
        <v>60077214.33</v>
      </c>
      <c r="H123" s="5"/>
      <c r="I123" s="5"/>
    </row>
    <row r="124">
      <c r="A124" s="9">
        <f>IFERROR(__xludf.DUMMYFUNCTION("""COMPUTED_VALUE"""),46129.0)</f>
        <v>46129</v>
      </c>
      <c r="B124" s="5" t="str">
        <f>IFERROR(__xludf.DUMMYFUNCTION("""COMPUTED_VALUE"""),"TRSF E-BANKING DB")</f>
        <v>TRSF E-BANKING DB</v>
      </c>
      <c r="C124" s="5" t="str">
        <f>IFERROR(__xludf.DUMMYFUNCTION("""COMPUTED_VALUE"""),"1704/FTSCY/WS95271 51803500.00 Wed Apr 15 2026 14:00:00 GMT+0700 (Western Indonesia Time) BRANTAS ABADI SENT")</f>
        <v>1704/FTSCY/WS95271 51803500.00 Wed Apr 15 2026 14:00:00 GMT+0700 (Western Indonesia Time) BRANTAS ABADI SENT</v>
      </c>
      <c r="D124" s="12">
        <f>IFERROR(__xludf.DUMMYFUNCTION("""COMPUTED_VALUE"""),5.18035E7)</f>
        <v>51803500</v>
      </c>
      <c r="E124" s="5"/>
      <c r="F124" s="5" t="str">
        <f>IFERROR(__xludf.DUMMYFUNCTION("""COMPUTED_VALUE"""),"DB")</f>
        <v>DB</v>
      </c>
      <c r="G124" s="5">
        <f>IFERROR(__xludf.DUMMYFUNCTION("""COMPUTED_VALUE"""),8273714.329999924)</f>
        <v>8273714.33</v>
      </c>
      <c r="H124" s="5"/>
      <c r="I124" s="5"/>
    </row>
    <row r="125">
      <c r="A125" s="9">
        <f>IFERROR(__xludf.DUMMYFUNCTION("""COMPUTED_VALUE"""),46129.0)</f>
        <v>46129</v>
      </c>
      <c r="B125" s="5" t="str">
        <f>IFERROR(__xludf.DUMMYFUNCTION("""COMPUTED_VALUE"""),"TRSF E-BANKING DB")</f>
        <v>TRSF E-BANKING DB</v>
      </c>
      <c r="C125" s="5" t="str">
        <f>IFERROR(__xludf.DUMMYFUNCTION("""COMPUTED_VALUE"""),"1704/FTSCY/WS95271 51900000.00 Tue Apr 14 2026 14:00:00 GMT+0700 (Western Indonesia Time) ANDALAN YASA MITRA")</f>
        <v>1704/FTSCY/WS95271 51900000.00 Tue Apr 14 2026 14:00:00 GMT+0700 (Western Indonesia Time) ANDALAN YASA MITRA</v>
      </c>
      <c r="D125" s="12">
        <f>IFERROR(__xludf.DUMMYFUNCTION("""COMPUTED_VALUE"""),5.19E7)</f>
        <v>51900000</v>
      </c>
      <c r="E125" s="5"/>
      <c r="F125" s="5" t="str">
        <f>IFERROR(__xludf.DUMMYFUNCTION("""COMPUTED_VALUE"""),"DB")</f>
        <v>DB</v>
      </c>
      <c r="G125" s="5">
        <f>IFERROR(__xludf.DUMMYFUNCTION("""COMPUTED_VALUE"""),2.829433743299999E8)</f>
        <v>282943374.3</v>
      </c>
      <c r="H125" s="5">
        <f>IFERROR(__xludf.DUMMYFUNCTION("""COMPUTED_VALUE"""),2.8294337433E8)</f>
        <v>282943374.3</v>
      </c>
      <c r="I125" s="5"/>
    </row>
    <row r="126">
      <c r="A126" s="9">
        <f>IFERROR(__xludf.DUMMYFUNCTION("""COMPUTED_VALUE"""),46129.0)</f>
        <v>46129</v>
      </c>
      <c r="B126" s="5" t="str">
        <f>IFERROR(__xludf.DUMMYFUNCTION("""COMPUTED_VALUE"""),"TRSF E-BANKING DB")</f>
        <v>TRSF E-BANKING DB</v>
      </c>
      <c r="C126" s="5" t="str">
        <f>IFERROR(__xludf.DUMMYFUNCTION("""COMPUTED_VALUE"""),"1704/FTFVA/WS95031 55569/PT PRIMA FAJ 10 ton lamongan - 40190")</f>
        <v>1704/FTFVA/WS95031 55569/PT PRIMA FAJ 10 ton lamongan - 40190</v>
      </c>
      <c r="D126" s="12">
        <f>IFERROR(__xludf.DUMMYFUNCTION("""COMPUTED_VALUE"""),1.7E7)</f>
        <v>17000000</v>
      </c>
      <c r="E126" s="5"/>
      <c r="F126" s="5" t="str">
        <f>IFERROR(__xludf.DUMMYFUNCTION("""COMPUTED_VALUE"""),"DB")</f>
        <v>DB</v>
      </c>
      <c r="G126" s="5">
        <f>IFERROR(__xludf.DUMMYFUNCTION("""COMPUTED_VALUE"""),2.6594337432999992E8)</f>
        <v>265943374.3</v>
      </c>
      <c r="H126" s="5">
        <f>IFERROR(__xludf.DUMMYFUNCTION("""COMPUTED_VALUE"""),2.6594337433E8)</f>
        <v>265943374.3</v>
      </c>
      <c r="I126" s="5"/>
    </row>
    <row r="127">
      <c r="A127" s="9">
        <f>IFERROR(__xludf.DUMMYFUNCTION("""COMPUTED_VALUE"""),46129.0)</f>
        <v>46129</v>
      </c>
      <c r="B127" s="5" t="str">
        <f>IFERROR(__xludf.DUMMYFUNCTION("""COMPUTED_VALUE"""),"TRSF E-BANKING DB")</f>
        <v>TRSF E-BANKING DB</v>
      </c>
      <c r="C127" s="5" t="str">
        <f>IFERROR(__xludf.DUMMYFUNCTION("""COMPUTED_VALUE"""),"1704/FTFVA/WS95031 55569/PT PRIMA FAJ 2900kg mlg - 40190")</f>
        <v>1704/FTFVA/WS95031 55569/PT PRIMA FAJ 2900kg mlg - 40190</v>
      </c>
      <c r="D127" s="12">
        <f>IFERROR(__xludf.DUMMYFUNCTION("""COMPUTED_VALUE"""),4.698E7)</f>
        <v>46980000</v>
      </c>
      <c r="E127" s="5"/>
      <c r="F127" s="5" t="str">
        <f>IFERROR(__xludf.DUMMYFUNCTION("""COMPUTED_VALUE"""),"DB")</f>
        <v>DB</v>
      </c>
      <c r="G127" s="5">
        <f>IFERROR(__xludf.DUMMYFUNCTION("""COMPUTED_VALUE"""),2.1896337432999992E8)</f>
        <v>218963374.3</v>
      </c>
      <c r="H127" s="5"/>
      <c r="I127" s="5"/>
    </row>
    <row r="128">
      <c r="A128" s="9">
        <f>IFERROR(__xludf.DUMMYFUNCTION("""COMPUTED_VALUE"""),46130.0)</f>
        <v>46130</v>
      </c>
      <c r="B128" s="5" t="str">
        <f>IFERROR(__xludf.DUMMYFUNCTION("""COMPUTED_VALUE"""),"TRSF E-BANKING DB")</f>
        <v>TRSF E-BANKING DB</v>
      </c>
      <c r="C128" s="5" t="str">
        <f>IFERROR(__xludf.DUMMYFUNCTION("""COMPUTED_VALUE"""),"1804/FTSCY/WS95031 64417500.00 Tue Apr 14 2026 14:00:00 GMT+0700 (Western Indonesia Time) BINTANG TAMA SANTO")</f>
        <v>1804/FTSCY/WS95031 64417500.00 Tue Apr 14 2026 14:00:00 GMT+0700 (Western Indonesia Time) BINTANG TAMA SANTO</v>
      </c>
      <c r="D128" s="12">
        <f>IFERROR(__xludf.DUMMYFUNCTION("""COMPUTED_VALUE"""),6.44175E7)</f>
        <v>64417500</v>
      </c>
      <c r="E128" s="5"/>
      <c r="F128" s="5" t="str">
        <f>IFERROR(__xludf.DUMMYFUNCTION("""COMPUTED_VALUE"""),"DB")</f>
        <v>DB</v>
      </c>
      <c r="G128" s="5">
        <f>IFERROR(__xludf.DUMMYFUNCTION("""COMPUTED_VALUE"""),8.829287432999992E7)</f>
        <v>88292874.33</v>
      </c>
      <c r="H128" s="5"/>
      <c r="I128" s="5"/>
    </row>
    <row r="129">
      <c r="A129" s="9">
        <f>IFERROR(__xludf.DUMMYFUNCTION("""COMPUTED_VALUE"""),46130.0)</f>
        <v>46130</v>
      </c>
      <c r="B129" s="5" t="str">
        <f>IFERROR(__xludf.DUMMYFUNCTION("""COMPUTED_VALUE"""),"BYR VIA E-BANKING")</f>
        <v>BYR VIA E-BANKING</v>
      </c>
      <c r="C129" s="5" t="str">
        <f>IFERROR(__xludf.DUMMYFUNCTION("""COMPUTED_VALUE"""),"18/04  WSID9503101 1220 TELKOMSEL 82318368518 MUHAMMAD HAIRUL MA")</f>
        <v>18/04  WSID9503101 1220 TELKOMSEL 82318368518 MUHAMMAD HAIRUL MA</v>
      </c>
      <c r="D129" s="12">
        <f>IFERROR(__xludf.DUMMYFUNCTION("""COMPUTED_VALUE"""),27000.0)</f>
        <v>27000</v>
      </c>
      <c r="E129" s="5"/>
      <c r="F129" s="5"/>
      <c r="G129" s="5">
        <f>IFERROR(__xludf.DUMMYFUNCTION("""COMPUTED_VALUE"""),3.876587432999992E7)</f>
        <v>38765874.33</v>
      </c>
      <c r="H129" s="5"/>
      <c r="I129" s="5"/>
    </row>
    <row r="130">
      <c r="A130" s="9">
        <f>IFERROR(__xludf.DUMMYFUNCTION("""COMPUTED_VALUE"""),46130.0)</f>
        <v>46130</v>
      </c>
      <c r="B130" s="5" t="str">
        <f>IFERROR(__xludf.DUMMYFUNCTION("""COMPUTED_VALUE"""),"BYR VIA E-BANKING")</f>
        <v>BYR VIA E-BANKING</v>
      </c>
      <c r="C130" s="5" t="str">
        <f>IFERROR(__xludf.DUMMYFUNCTION("""COMPUTED_VALUE"""),"18/04  WSID9503101 1220 TELKOMSEL 82318368518 MUHAMMAD HAIRUL MA")</f>
        <v>18/04  WSID9503101 1220 TELKOMSEL 82318368518 MUHAMMAD HAIRUL MA</v>
      </c>
      <c r="D130" s="12">
        <f>IFERROR(__xludf.DUMMYFUNCTION("""COMPUTED_VALUE"""),52000.0)</f>
        <v>52000</v>
      </c>
      <c r="E130" s="5"/>
      <c r="F130" s="5"/>
      <c r="G130" s="5">
        <f>IFERROR(__xludf.DUMMYFUNCTION("""COMPUTED_VALUE"""),3.871387432999992E7)</f>
        <v>38713874.33</v>
      </c>
      <c r="H130" s="5"/>
      <c r="I130" s="5"/>
    </row>
    <row r="131">
      <c r="A131" s="9">
        <f>IFERROR(__xludf.DUMMYFUNCTION("""COMPUTED_VALUE"""),46130.0)</f>
        <v>46130</v>
      </c>
      <c r="B131" s="5" t="str">
        <f>IFERROR(__xludf.DUMMYFUNCTION("""COMPUTED_VALUE"""),"TRSF E-BANKING DB")</f>
        <v>TRSF E-BANKING DB</v>
      </c>
      <c r="C131" s="5" t="str">
        <f>IFERROR(__xludf.DUMMYFUNCTION("""COMPUTED_VALUE"""),"1804/FTSCY/WS95031 500000.00 SUPRIYADI")</f>
        <v>1804/FTSCY/WS95031 500000.00 SUPRIYADI</v>
      </c>
      <c r="D131" s="12">
        <f>IFERROR(__xludf.DUMMYFUNCTION("""COMPUTED_VALUE"""),500000.0)</f>
        <v>500000</v>
      </c>
      <c r="E131" s="5"/>
      <c r="F131" s="5" t="str">
        <f>IFERROR(__xludf.DUMMYFUNCTION("""COMPUTED_VALUE"""),"DB")</f>
        <v>DB</v>
      </c>
      <c r="G131" s="5">
        <f>IFERROR(__xludf.DUMMYFUNCTION("""COMPUTED_VALUE"""),3.821387432999992E7)</f>
        <v>38213874.33</v>
      </c>
      <c r="H131" s="5"/>
      <c r="I131" s="5"/>
    </row>
    <row r="132">
      <c r="A132" s="9">
        <f>IFERROR(__xludf.DUMMYFUNCTION("""COMPUTED_VALUE"""),46130.0)</f>
        <v>46130</v>
      </c>
      <c r="B132" s="5" t="str">
        <f>IFERROR(__xludf.DUMMYFUNCTION("""COMPUTED_VALUE"""),"TRSF E-BANKING DB")</f>
        <v>TRSF E-BANKING DB</v>
      </c>
      <c r="C132" s="5" t="str">
        <f>IFERROR(__xludf.DUMMYFUNCTION("""COMPUTED_VALUE"""),"1804/FTSCY/WS95031 1211790.00 HERMAWAN")</f>
        <v>1804/FTSCY/WS95031 1211790.00 HERMAWAN</v>
      </c>
      <c r="D132" s="12">
        <f>IFERROR(__xludf.DUMMYFUNCTION("""COMPUTED_VALUE"""),1211790.0)</f>
        <v>1211790</v>
      </c>
      <c r="E132" s="5"/>
      <c r="F132" s="5" t="str">
        <f>IFERROR(__xludf.DUMMYFUNCTION("""COMPUTED_VALUE"""),"DB")</f>
        <v>DB</v>
      </c>
      <c r="G132" s="5">
        <f>IFERROR(__xludf.DUMMYFUNCTION("""COMPUTED_VALUE"""),3.700208432999992E7)</f>
        <v>37002084.33</v>
      </c>
      <c r="H132" s="5"/>
      <c r="I132" s="5"/>
    </row>
    <row r="133">
      <c r="A133" s="9">
        <f>IFERROR(__xludf.DUMMYFUNCTION("""COMPUTED_VALUE"""),46130.0)</f>
        <v>46130</v>
      </c>
      <c r="B133" s="5" t="str">
        <f>IFERROR(__xludf.DUMMYFUNCTION("""COMPUTED_VALUE"""),"TARIKAN ATM 18/04")</f>
        <v>TARIKAN ATM 18/04</v>
      </c>
      <c r="C133" s="5" t="str">
        <f>IFERROR(__xludf.DUMMYFUNCTION("""COMPUTED_VALUE"""),"TARIKAN ATM 18/04")</f>
        <v>TARIKAN ATM 18/04</v>
      </c>
      <c r="D133" s="12">
        <f>IFERROR(__xludf.DUMMYFUNCTION("""COMPUTED_VALUE"""),800000.0)</f>
        <v>800000</v>
      </c>
      <c r="E133" s="5"/>
      <c r="F133" s="5"/>
      <c r="G133" s="5">
        <f>IFERROR(__xludf.DUMMYFUNCTION("""COMPUTED_VALUE"""),3.620208432999992E7)</f>
        <v>36202084.33</v>
      </c>
      <c r="H133" s="5"/>
      <c r="I133" s="5"/>
    </row>
    <row r="134">
      <c r="A134" s="9">
        <f>IFERROR(__xludf.DUMMYFUNCTION("""COMPUTED_VALUE"""),46130.0)</f>
        <v>46130</v>
      </c>
      <c r="B134" s="5" t="str">
        <f>IFERROR(__xludf.DUMMYFUNCTION("""COMPUTED_VALUE"""),"TRSF E-BANKING DB")</f>
        <v>TRSF E-BANKING DB</v>
      </c>
      <c r="C134" s="5" t="str">
        <f>IFERROR(__xludf.DUMMYFUNCTION("""COMPUTED_VALUE"""),"1804/FTSCY/WS95031 1100000.00 bayar parcel lunas ACHMAD DJUPRI")</f>
        <v>1804/FTSCY/WS95031 1100000.00 bayar parcel lunas ACHMAD DJUPRI</v>
      </c>
      <c r="D134" s="12">
        <f>IFERROR(__xludf.DUMMYFUNCTION("""COMPUTED_VALUE"""),1100000.0)</f>
        <v>1100000</v>
      </c>
      <c r="E134" s="5"/>
      <c r="F134" s="5" t="str">
        <f>IFERROR(__xludf.DUMMYFUNCTION("""COMPUTED_VALUE"""),"DB")</f>
        <v>DB</v>
      </c>
      <c r="G134" s="5">
        <f>IFERROR(__xludf.DUMMYFUNCTION("""COMPUTED_VALUE"""),1.2820348432999992E8)</f>
        <v>128203484.3</v>
      </c>
      <c r="H134" s="5">
        <f>IFERROR(__xludf.DUMMYFUNCTION("""COMPUTED_VALUE"""),1.2820348433E8)</f>
        <v>128203484.3</v>
      </c>
      <c r="I134" s="5"/>
    </row>
    <row r="135">
      <c r="A135" s="9">
        <f>IFERROR(__xludf.DUMMYFUNCTION("""COMPUTED_VALUE"""),46130.0)</f>
        <v>46130</v>
      </c>
      <c r="B135" s="5" t="str">
        <f>IFERROR(__xludf.DUMMYFUNCTION("""COMPUTED_VALUE"""),"TRSF E-BANKING DB")</f>
        <v>TRSF E-BANKING DB</v>
      </c>
      <c r="C135" s="5" t="str">
        <f>IFERROR(__xludf.DUMMYFUNCTION("""COMPUTED_VALUE"""),"1804/FTSCY/WS95031 150000.00 bayar kaca film ANTON IMRONI")</f>
        <v>1804/FTSCY/WS95031 150000.00 bayar kaca film ANTON IMRONI</v>
      </c>
      <c r="D135" s="12">
        <f>IFERROR(__xludf.DUMMYFUNCTION("""COMPUTED_VALUE"""),150000.0)</f>
        <v>150000</v>
      </c>
      <c r="E135" s="5"/>
      <c r="F135" s="5" t="str">
        <f>IFERROR(__xludf.DUMMYFUNCTION("""COMPUTED_VALUE"""),"DB")</f>
        <v>DB</v>
      </c>
      <c r="G135" s="5">
        <f>IFERROR(__xludf.DUMMYFUNCTION("""COMPUTED_VALUE"""),1.2805348432999992E8)</f>
        <v>128053484.3</v>
      </c>
      <c r="H135" s="5"/>
      <c r="I135" s="5"/>
    </row>
    <row r="136">
      <c r="A136" s="9">
        <f>IFERROR(__xludf.DUMMYFUNCTION("""COMPUTED_VALUE"""),46130.0)</f>
        <v>46130</v>
      </c>
      <c r="B136" s="5" t="str">
        <f>IFERROR(__xludf.DUMMYFUNCTION("""COMPUTED_VALUE"""),"TRSF E-BANKING DB")</f>
        <v>TRSF E-BANKING DB</v>
      </c>
      <c r="C136" s="5" t="str">
        <f>IFERROR(__xludf.DUMMYFUNCTION("""COMPUTED_VALUE"""),"1804/FTFVA/WS95031 55574/GUNA MITRA S rembang 3.3 ton - 200177")</f>
        <v>1804/FTFVA/WS95031 55574/GUNA MITRA S rembang 3.3 ton - 200177</v>
      </c>
      <c r="D136" s="12">
        <f>IFERROR(__xludf.DUMMYFUNCTION("""COMPUTED_VALUE"""),5.445E7)</f>
        <v>54450000</v>
      </c>
      <c r="E136" s="5"/>
      <c r="F136" s="5" t="str">
        <f>IFERROR(__xludf.DUMMYFUNCTION("""COMPUTED_VALUE"""),"DB")</f>
        <v>DB</v>
      </c>
      <c r="G136" s="5">
        <f>IFERROR(__xludf.DUMMYFUNCTION("""COMPUTED_VALUE"""),1.5066813932999992E8)</f>
        <v>150668139.3</v>
      </c>
      <c r="H136" s="5"/>
      <c r="I136" s="5"/>
    </row>
    <row r="137">
      <c r="A137" s="9">
        <f>IFERROR(__xludf.DUMMYFUNCTION("""COMPUTED_VALUE"""),46130.0)</f>
        <v>46130</v>
      </c>
      <c r="B137" s="5" t="str">
        <f>IFERROR(__xludf.DUMMYFUNCTION("""COMPUTED_VALUE"""),"TRSF E-BANKING DB")</f>
        <v>TRSF E-BANKING DB</v>
      </c>
      <c r="C137" s="5" t="str">
        <f>IFERROR(__xludf.DUMMYFUNCTION("""COMPUTED_VALUE"""),"1804/FTSCY/WS95271 108460000.00 Thu Apr 16 2026 14:00:00 GMT+0700 (Western Indonesia Time) ANDALAN YASA MITRA")</f>
        <v>1804/FTSCY/WS95271 108460000.00 Thu Apr 16 2026 14:00:00 GMT+0700 (Western Indonesia Time) ANDALAN YASA MITRA</v>
      </c>
      <c r="D137" s="12">
        <f>IFERROR(__xludf.DUMMYFUNCTION("""COMPUTED_VALUE"""),1.0846E8)</f>
        <v>108460000</v>
      </c>
      <c r="E137" s="5"/>
      <c r="F137" s="5" t="str">
        <f>IFERROR(__xludf.DUMMYFUNCTION("""COMPUTED_VALUE"""),"DB")</f>
        <v>DB</v>
      </c>
      <c r="G137" s="5">
        <f>IFERROR(__xludf.DUMMYFUNCTION("""COMPUTED_VALUE"""),4.220813932999992E7)</f>
        <v>42208139.33</v>
      </c>
      <c r="H137" s="5"/>
      <c r="I137" s="5"/>
    </row>
    <row r="138">
      <c r="A138" s="9">
        <f>IFERROR(__xludf.DUMMYFUNCTION("""COMPUTED_VALUE"""),46130.0)</f>
        <v>46130</v>
      </c>
      <c r="B138" s="5" t="str">
        <f>IFERROR(__xludf.DUMMYFUNCTION("""COMPUTED_VALUE"""),"TRSF E-BANKING DB")</f>
        <v>TRSF E-BANKING DB</v>
      </c>
      <c r="C138" s="5" t="str">
        <f>IFERROR(__xludf.DUMMYFUNCTION("""COMPUTED_VALUE"""),"1804/FTSCY/WS95031 700000.00 SUPRIYADI")</f>
        <v>1804/FTSCY/WS95031 700000.00 SUPRIYADI</v>
      </c>
      <c r="D138" s="12">
        <f>IFERROR(__xludf.DUMMYFUNCTION("""COMPUTED_VALUE"""),700000.0)</f>
        <v>700000</v>
      </c>
      <c r="E138" s="5"/>
      <c r="F138" s="5" t="str">
        <f>IFERROR(__xludf.DUMMYFUNCTION("""COMPUTED_VALUE"""),"DB")</f>
        <v>DB</v>
      </c>
      <c r="G138" s="5">
        <f>IFERROR(__xludf.DUMMYFUNCTION("""COMPUTED_VALUE"""),4.150813932999992E7)</f>
        <v>41508139.33</v>
      </c>
      <c r="H138" s="5"/>
      <c r="I138" s="5"/>
    </row>
    <row r="139">
      <c r="A139" s="9">
        <f>IFERROR(__xludf.DUMMYFUNCTION("""COMPUTED_VALUE"""),46130.0)</f>
        <v>46130</v>
      </c>
      <c r="B139" s="5" t="str">
        <f>IFERROR(__xludf.DUMMYFUNCTION("""COMPUTED_VALUE"""),"TRSF E-BANKING DB")</f>
        <v>TRSF E-BANKING DB</v>
      </c>
      <c r="C139" s="5" t="str">
        <f>IFERROR(__xludf.DUMMYFUNCTION("""COMPUTED_VALUE"""),"1804/FTSCY/WS95031 2000000.00 THR NURUL AINI")</f>
        <v>1804/FTSCY/WS95031 2000000.00 THR NURUL AINI</v>
      </c>
      <c r="D139" s="12">
        <f>IFERROR(__xludf.DUMMYFUNCTION("""COMPUTED_VALUE"""),2000000.0)</f>
        <v>2000000</v>
      </c>
      <c r="E139" s="5"/>
      <c r="F139" s="5" t="str">
        <f>IFERROR(__xludf.DUMMYFUNCTION("""COMPUTED_VALUE"""),"DB")</f>
        <v>DB</v>
      </c>
      <c r="G139" s="5">
        <f>IFERROR(__xludf.DUMMYFUNCTION("""COMPUTED_VALUE"""),3.950813932999992E7)</f>
        <v>39508139.33</v>
      </c>
      <c r="H139" s="5"/>
      <c r="I139" s="5"/>
    </row>
    <row r="140">
      <c r="A140" s="9">
        <f>IFERROR(__xludf.DUMMYFUNCTION("""COMPUTED_VALUE"""),46130.0)</f>
        <v>46130</v>
      </c>
      <c r="B140" s="5" t="str">
        <f>IFERROR(__xludf.DUMMYFUNCTION("""COMPUTED_VALUE"""),"TRSF E-BANKING DB")</f>
        <v>TRSF E-BANKING DB</v>
      </c>
      <c r="C140" s="5" t="str">
        <f>IFERROR(__xludf.DUMMYFUNCTION("""COMPUTED_VALUE"""),"1804/FTSCY/WS95271 99193710.00 Fri Apr 17 2026 14:00:00 GMT+0700 (Western Indonesia Time) RUKUN MITRA BERSAM")</f>
        <v>1804/FTSCY/WS95271 99193710.00 Fri Apr 17 2026 14:00:00 GMT+0700 (Western Indonesia Time) RUKUN MITRA BERSAM</v>
      </c>
      <c r="D140" s="12">
        <f>IFERROR(__xludf.DUMMYFUNCTION("""COMPUTED_VALUE"""),9.919371E7)</f>
        <v>99193710</v>
      </c>
      <c r="E140" s="5"/>
      <c r="F140" s="5" t="str">
        <f>IFERROR(__xludf.DUMMYFUNCTION("""COMPUTED_VALUE"""),"DB")</f>
        <v>DB</v>
      </c>
      <c r="G140" s="5">
        <f>IFERROR(__xludf.DUMMYFUNCTION("""COMPUTED_VALUE"""),8.990506932999992E7)</f>
        <v>89905069.33</v>
      </c>
      <c r="H140" s="5"/>
      <c r="I140" s="5"/>
    </row>
    <row r="141">
      <c r="A141" s="9">
        <f>IFERROR(__xludf.DUMMYFUNCTION("""COMPUTED_VALUE"""),46130.0)</f>
        <v>46130</v>
      </c>
      <c r="B141" s="5" t="str">
        <f>IFERROR(__xludf.DUMMYFUNCTION("""COMPUTED_VALUE"""),"TRSF E-BANKING DB")</f>
        <v>TRSF E-BANKING DB</v>
      </c>
      <c r="C141" s="5" t="str">
        <f>IFERROR(__xludf.DUMMYFUNCTION("""COMPUTED_VALUE"""),"1804/FTSCY/WS95011 42884800.00 Fri Apr 17 2026 14:00:00 GMT+0700 (Western Indonesia Time) ANUGERAH KARTIKA A")</f>
        <v>1804/FTSCY/WS95011 42884800.00 Fri Apr 17 2026 14:00:00 GMT+0700 (Western Indonesia Time) ANUGERAH KARTIKA A</v>
      </c>
      <c r="D141" s="12">
        <f>IFERROR(__xludf.DUMMYFUNCTION("""COMPUTED_VALUE"""),4.28848E7)</f>
        <v>42884800</v>
      </c>
      <c r="E141" s="5"/>
      <c r="F141" s="5" t="str">
        <f>IFERROR(__xludf.DUMMYFUNCTION("""COMPUTED_VALUE"""),"DB")</f>
        <v>DB</v>
      </c>
      <c r="G141" s="5">
        <f>IFERROR(__xludf.DUMMYFUNCTION("""COMPUTED_VALUE"""),4.702026932999992E7)</f>
        <v>47020269.33</v>
      </c>
      <c r="H141" s="5"/>
      <c r="I141" s="5"/>
    </row>
    <row r="142">
      <c r="A142" s="9"/>
      <c r="D142" s="12"/>
    </row>
    <row r="143">
      <c r="A143" s="9"/>
      <c r="D143" s="12"/>
    </row>
    <row r="144">
      <c r="A144" s="9"/>
      <c r="D144" s="12"/>
    </row>
    <row r="145">
      <c r="A145" s="9"/>
      <c r="D145" s="12"/>
    </row>
    <row r="146">
      <c r="A146" s="9"/>
      <c r="D146" s="12"/>
    </row>
    <row r="147">
      <c r="A147" s="9"/>
      <c r="D147" s="12"/>
    </row>
    <row r="148">
      <c r="A148" s="9"/>
      <c r="D148" s="12"/>
    </row>
    <row r="149">
      <c r="A149" s="9"/>
      <c r="D149" s="12"/>
    </row>
    <row r="150">
      <c r="A150" s="9"/>
      <c r="D150" s="12"/>
    </row>
    <row r="151">
      <c r="A151" s="9"/>
      <c r="D151" s="12"/>
    </row>
    <row r="152">
      <c r="A152" s="9"/>
      <c r="D152" s="12"/>
    </row>
    <row r="153">
      <c r="A153" s="9"/>
      <c r="D153" s="12"/>
    </row>
    <row r="154">
      <c r="A154" s="9"/>
      <c r="D154" s="12"/>
    </row>
    <row r="155">
      <c r="A155" s="9"/>
      <c r="D155" s="12"/>
    </row>
    <row r="156">
      <c r="A156" s="9"/>
      <c r="D156" s="12"/>
    </row>
    <row r="157">
      <c r="A157" s="9"/>
      <c r="D157" s="12"/>
    </row>
    <row r="158">
      <c r="A158" s="9"/>
      <c r="D158" s="12"/>
    </row>
    <row r="159">
      <c r="A159" s="9"/>
      <c r="D159" s="12"/>
    </row>
    <row r="160">
      <c r="A160" s="9"/>
      <c r="D160" s="12"/>
    </row>
    <row r="161">
      <c r="A161" s="9"/>
      <c r="D161" s="12"/>
    </row>
    <row r="162">
      <c r="A162" s="9"/>
      <c r="D162" s="12"/>
    </row>
    <row r="163">
      <c r="A163" s="9"/>
      <c r="D163" s="12"/>
    </row>
    <row r="164">
      <c r="A164" s="9"/>
      <c r="D164" s="12"/>
    </row>
    <row r="165">
      <c r="A165" s="9"/>
      <c r="D165" s="12"/>
    </row>
    <row r="166">
      <c r="A166" s="9"/>
      <c r="D166" s="12"/>
    </row>
    <row r="167">
      <c r="A167" s="9"/>
      <c r="D167" s="12"/>
    </row>
    <row r="168">
      <c r="A168" s="9"/>
      <c r="D168" s="12"/>
    </row>
    <row r="169">
      <c r="A169" s="9"/>
      <c r="D169" s="12"/>
    </row>
    <row r="170">
      <c r="A170" s="9"/>
      <c r="D170" s="12"/>
    </row>
    <row r="171">
      <c r="A171" s="9"/>
      <c r="D171" s="12"/>
    </row>
    <row r="172">
      <c r="A172" s="9"/>
      <c r="D172" s="12"/>
    </row>
    <row r="173">
      <c r="A173" s="9"/>
      <c r="D173" s="12"/>
    </row>
    <row r="174">
      <c r="A174" s="9"/>
      <c r="D174" s="12"/>
    </row>
    <row r="175">
      <c r="A175" s="9"/>
      <c r="D175" s="12"/>
    </row>
    <row r="176">
      <c r="A176" s="9"/>
      <c r="D176" s="12"/>
    </row>
    <row r="177">
      <c r="A177" s="9"/>
      <c r="D177" s="12"/>
    </row>
    <row r="178">
      <c r="A178" s="9"/>
      <c r="D178" s="12"/>
    </row>
    <row r="179">
      <c r="A179" s="9"/>
      <c r="D179" s="12"/>
    </row>
    <row r="180">
      <c r="A180" s="9"/>
      <c r="D180" s="12"/>
    </row>
    <row r="181">
      <c r="A181" s="9"/>
      <c r="D181" s="12"/>
    </row>
    <row r="182">
      <c r="A182" s="9"/>
      <c r="D182" s="12"/>
    </row>
    <row r="183">
      <c r="A183" s="9"/>
      <c r="D183" s="12"/>
    </row>
    <row r="184">
      <c r="A184" s="9"/>
      <c r="D184" s="12"/>
    </row>
    <row r="185">
      <c r="A185" s="9"/>
      <c r="D185" s="12"/>
    </row>
    <row r="186">
      <c r="A186" s="9"/>
      <c r="D186" s="12"/>
    </row>
    <row r="187">
      <c r="A187" s="9"/>
      <c r="D187" s="12"/>
    </row>
    <row r="188">
      <c r="A188" s="9"/>
      <c r="D188" s="12"/>
    </row>
    <row r="189">
      <c r="A189" s="9"/>
      <c r="D189" s="12"/>
    </row>
    <row r="190">
      <c r="A190" s="9"/>
      <c r="D190" s="12"/>
    </row>
    <row r="191">
      <c r="A191" s="9"/>
      <c r="D191" s="12"/>
    </row>
    <row r="192">
      <c r="A192" s="9"/>
      <c r="D192" s="12"/>
    </row>
    <row r="193">
      <c r="A193" s="9"/>
      <c r="D193" s="12"/>
    </row>
    <row r="194">
      <c r="A194" s="9"/>
      <c r="D194" s="12"/>
    </row>
    <row r="195">
      <c r="A195" s="9"/>
      <c r="D195" s="12"/>
    </row>
    <row r="196">
      <c r="A196" s="9"/>
      <c r="D196" s="12"/>
    </row>
    <row r="197">
      <c r="A197" s="9"/>
      <c r="D197" s="12"/>
    </row>
    <row r="198">
      <c r="A198" s="9"/>
      <c r="D198" s="12"/>
    </row>
    <row r="199">
      <c r="A199" s="9"/>
      <c r="D199" s="12"/>
    </row>
    <row r="200">
      <c r="A200" s="9"/>
      <c r="D200" s="12"/>
    </row>
    <row r="201">
      <c r="A201" s="9"/>
      <c r="D201" s="12"/>
    </row>
    <row r="202">
      <c r="A202" s="9"/>
      <c r="D202" s="12"/>
    </row>
    <row r="203">
      <c r="A203" s="9"/>
      <c r="D203" s="12"/>
    </row>
    <row r="204">
      <c r="A204" s="9"/>
      <c r="D204" s="12"/>
    </row>
    <row r="205">
      <c r="A205" s="9"/>
      <c r="D205" s="12"/>
    </row>
    <row r="206">
      <c r="A206" s="9"/>
      <c r="D206" s="12"/>
    </row>
    <row r="207">
      <c r="A207" s="9"/>
      <c r="D207" s="12"/>
    </row>
    <row r="208">
      <c r="A208" s="9"/>
      <c r="D208" s="12"/>
    </row>
    <row r="209">
      <c r="A209" s="9"/>
      <c r="D209" s="12"/>
    </row>
    <row r="210">
      <c r="A210" s="9"/>
      <c r="D210" s="12"/>
    </row>
    <row r="211">
      <c r="A211" s="9"/>
      <c r="D211" s="12"/>
    </row>
    <row r="212">
      <c r="A212" s="9"/>
      <c r="D212" s="12"/>
    </row>
    <row r="213">
      <c r="A213" s="9"/>
      <c r="D213" s="12"/>
    </row>
    <row r="214">
      <c r="A214" s="9"/>
      <c r="D214" s="12"/>
    </row>
    <row r="215">
      <c r="A215" s="9"/>
      <c r="D215" s="12"/>
    </row>
    <row r="216">
      <c r="A216" s="9"/>
      <c r="D216" s="12"/>
    </row>
    <row r="217">
      <c r="A217" s="9"/>
      <c r="D217" s="12"/>
    </row>
    <row r="218">
      <c r="A218" s="9"/>
      <c r="D218" s="12"/>
    </row>
    <row r="219">
      <c r="A219" s="9"/>
      <c r="D219" s="12"/>
    </row>
    <row r="220">
      <c r="A220" s="9"/>
      <c r="D220" s="12"/>
    </row>
    <row r="221">
      <c r="A221" s="9"/>
      <c r="D221" s="12"/>
    </row>
    <row r="222">
      <c r="A222" s="9"/>
      <c r="D222" s="12"/>
    </row>
    <row r="223">
      <c r="A223" s="9"/>
      <c r="D223" s="12"/>
    </row>
    <row r="224">
      <c r="A224" s="9"/>
      <c r="D224" s="12"/>
    </row>
    <row r="225">
      <c r="A225" s="9"/>
      <c r="D225" s="12"/>
    </row>
    <row r="226">
      <c r="A226" s="9"/>
      <c r="D226" s="12"/>
    </row>
    <row r="227">
      <c r="A227" s="9"/>
      <c r="D227" s="12"/>
    </row>
    <row r="228">
      <c r="A228" s="9"/>
      <c r="D228" s="12"/>
    </row>
    <row r="229">
      <c r="A229" s="9"/>
      <c r="D229" s="12"/>
    </row>
    <row r="230">
      <c r="A230" s="9"/>
      <c r="D230" s="12"/>
    </row>
    <row r="231">
      <c r="A231" s="9"/>
      <c r="D231" s="12"/>
    </row>
    <row r="232">
      <c r="A232" s="9"/>
      <c r="D232" s="12"/>
    </row>
    <row r="233">
      <c r="A233" s="9"/>
      <c r="D233" s="12"/>
    </row>
    <row r="234">
      <c r="A234" s="9"/>
      <c r="D234" s="12"/>
    </row>
    <row r="235">
      <c r="A235" s="9"/>
      <c r="D235" s="12"/>
    </row>
    <row r="236">
      <c r="A236" s="9"/>
      <c r="D236" s="12"/>
    </row>
    <row r="237">
      <c r="A237" s="9"/>
      <c r="D237" s="12"/>
    </row>
    <row r="238">
      <c r="A238" s="9"/>
      <c r="D238" s="12"/>
    </row>
    <row r="239">
      <c r="A239" s="9"/>
      <c r="D239" s="12"/>
    </row>
    <row r="240">
      <c r="A240" s="9"/>
      <c r="D240" s="12"/>
    </row>
    <row r="241">
      <c r="A241" s="9"/>
      <c r="D241" s="12"/>
    </row>
    <row r="242">
      <c r="A242" s="9"/>
      <c r="D242" s="12"/>
    </row>
    <row r="243">
      <c r="A243" s="9"/>
      <c r="D243" s="12"/>
    </row>
    <row r="244">
      <c r="A244" s="9"/>
      <c r="D244" s="12"/>
    </row>
    <row r="245">
      <c r="A245" s="9"/>
      <c r="D245" s="12"/>
    </row>
    <row r="246">
      <c r="A246" s="9"/>
      <c r="D246" s="12"/>
    </row>
    <row r="247">
      <c r="A247" s="9"/>
      <c r="D247" s="12"/>
    </row>
    <row r="248">
      <c r="A248" s="9"/>
      <c r="D248" s="12"/>
    </row>
    <row r="249">
      <c r="A249" s="9"/>
      <c r="D249" s="12"/>
    </row>
    <row r="250">
      <c r="A250" s="9"/>
      <c r="D250" s="12"/>
    </row>
    <row r="251">
      <c r="A251" s="9"/>
      <c r="D251" s="12"/>
    </row>
    <row r="252">
      <c r="A252" s="9"/>
      <c r="D252" s="12"/>
    </row>
    <row r="253">
      <c r="A253" s="9"/>
      <c r="D253" s="12"/>
    </row>
    <row r="254">
      <c r="A254" s="9"/>
      <c r="D254" s="12"/>
    </row>
    <row r="255">
      <c r="A255" s="9"/>
      <c r="D255" s="12"/>
    </row>
    <row r="256">
      <c r="A256" s="9"/>
      <c r="D256" s="12"/>
    </row>
    <row r="257">
      <c r="A257" s="9"/>
      <c r="D257" s="12"/>
    </row>
    <row r="258">
      <c r="A258" s="9"/>
      <c r="D258" s="12"/>
    </row>
    <row r="259">
      <c r="A259" s="9"/>
      <c r="D259" s="12"/>
    </row>
    <row r="260">
      <c r="A260" s="9"/>
      <c r="D260" s="12"/>
    </row>
    <row r="261">
      <c r="A261" s="9"/>
      <c r="D261" s="12"/>
    </row>
    <row r="262">
      <c r="A262" s="9"/>
      <c r="D262" s="12"/>
    </row>
    <row r="263">
      <c r="A263" s="9"/>
      <c r="D263" s="12"/>
    </row>
    <row r="264">
      <c r="A264" s="9"/>
      <c r="D264" s="12"/>
    </row>
    <row r="265">
      <c r="A265" s="9"/>
      <c r="D265" s="12"/>
    </row>
    <row r="266">
      <c r="A266" s="9"/>
      <c r="D266" s="12"/>
    </row>
    <row r="267">
      <c r="A267" s="9"/>
      <c r="D267" s="12"/>
    </row>
    <row r="268">
      <c r="A268" s="9"/>
      <c r="D268" s="12"/>
    </row>
    <row r="269">
      <c r="A269" s="9"/>
      <c r="D269" s="12"/>
    </row>
    <row r="270">
      <c r="A270" s="9"/>
      <c r="D270" s="12"/>
    </row>
    <row r="271">
      <c r="A271" s="9"/>
      <c r="D271" s="12"/>
    </row>
    <row r="272">
      <c r="A272" s="9"/>
      <c r="D272" s="12"/>
    </row>
    <row r="273">
      <c r="A273" s="9"/>
      <c r="D273" s="12"/>
    </row>
    <row r="274">
      <c r="A274" s="9"/>
      <c r="D274" s="12"/>
    </row>
    <row r="275">
      <c r="A275" s="9"/>
      <c r="D275" s="12"/>
    </row>
    <row r="276">
      <c r="A276" s="9"/>
      <c r="D276" s="12"/>
    </row>
    <row r="277">
      <c r="A277" s="9"/>
      <c r="D277" s="12"/>
    </row>
    <row r="278">
      <c r="A278" s="9"/>
      <c r="D278" s="12"/>
    </row>
    <row r="279">
      <c r="A279" s="9"/>
      <c r="D279" s="12"/>
    </row>
    <row r="280">
      <c r="A280" s="9"/>
      <c r="D280" s="12"/>
    </row>
    <row r="281">
      <c r="A281" s="9"/>
      <c r="D281" s="12"/>
    </row>
    <row r="282">
      <c r="A282" s="9"/>
      <c r="D282" s="12"/>
    </row>
    <row r="283">
      <c r="A283" s="9"/>
      <c r="D283" s="12"/>
    </row>
    <row r="284">
      <c r="A284" s="9"/>
      <c r="D284" s="12"/>
    </row>
    <row r="285">
      <c r="A285" s="9"/>
      <c r="D285" s="12"/>
    </row>
    <row r="286">
      <c r="A286" s="9"/>
      <c r="D286" s="12"/>
    </row>
    <row r="287">
      <c r="A287" s="9"/>
      <c r="D287" s="12"/>
    </row>
    <row r="288">
      <c r="A288" s="9"/>
      <c r="D288" s="12"/>
    </row>
    <row r="289">
      <c r="A289" s="9"/>
      <c r="D289" s="12"/>
    </row>
    <row r="290">
      <c r="A290" s="9"/>
      <c r="D290" s="12"/>
    </row>
    <row r="291">
      <c r="A291" s="9"/>
      <c r="D291" s="12"/>
    </row>
    <row r="292">
      <c r="A292" s="9"/>
      <c r="D292" s="12"/>
    </row>
    <row r="293">
      <c r="A293" s="9"/>
      <c r="D293" s="12"/>
    </row>
    <row r="294">
      <c r="A294" s="9"/>
      <c r="D294" s="12"/>
    </row>
    <row r="295">
      <c r="A295" s="9"/>
      <c r="D295" s="12"/>
    </row>
    <row r="296">
      <c r="A296" s="9"/>
      <c r="D296" s="12"/>
    </row>
    <row r="297">
      <c r="A297" s="9"/>
      <c r="D297" s="12"/>
    </row>
    <row r="298">
      <c r="A298" s="9"/>
      <c r="D298" s="12"/>
    </row>
    <row r="299">
      <c r="A299" s="9"/>
      <c r="D299" s="12"/>
    </row>
    <row r="300">
      <c r="A300" s="9"/>
      <c r="D300" s="12"/>
    </row>
    <row r="301">
      <c r="A301" s="9"/>
      <c r="D301" s="12"/>
    </row>
    <row r="302">
      <c r="A302" s="9"/>
      <c r="D302" s="12"/>
    </row>
    <row r="303">
      <c r="A303" s="9"/>
      <c r="D303" s="12"/>
    </row>
    <row r="304">
      <c r="A304" s="9"/>
      <c r="D304" s="12"/>
    </row>
    <row r="305">
      <c r="A305" s="9"/>
      <c r="D305" s="12"/>
    </row>
    <row r="306">
      <c r="A306" s="9"/>
      <c r="D306" s="12"/>
    </row>
    <row r="307">
      <c r="A307" s="9"/>
      <c r="D307" s="12"/>
    </row>
    <row r="308">
      <c r="A308" s="9"/>
      <c r="D308" s="12"/>
    </row>
    <row r="309">
      <c r="A309" s="9"/>
      <c r="D309" s="12"/>
    </row>
    <row r="310">
      <c r="A310" s="9"/>
      <c r="D310" s="12"/>
    </row>
    <row r="311">
      <c r="A311" s="9"/>
      <c r="D311" s="12"/>
    </row>
    <row r="312">
      <c r="A312" s="9"/>
      <c r="D312" s="12"/>
    </row>
    <row r="313">
      <c r="A313" s="9"/>
      <c r="D313" s="12"/>
    </row>
    <row r="314">
      <c r="A314" s="9"/>
      <c r="D314" s="12"/>
    </row>
    <row r="315">
      <c r="A315" s="9"/>
      <c r="D315" s="12"/>
    </row>
    <row r="316">
      <c r="A316" s="9"/>
      <c r="D316" s="12"/>
    </row>
    <row r="317">
      <c r="A317" s="9"/>
      <c r="D317" s="12"/>
    </row>
    <row r="318">
      <c r="A318" s="9"/>
      <c r="D318" s="12"/>
    </row>
    <row r="319">
      <c r="A319" s="9"/>
      <c r="D319" s="12"/>
    </row>
    <row r="320">
      <c r="A320" s="9"/>
      <c r="D320" s="12"/>
    </row>
    <row r="321">
      <c r="A321" s="9"/>
      <c r="D321" s="12"/>
    </row>
    <row r="322">
      <c r="A322" s="9"/>
      <c r="D322" s="12"/>
    </row>
    <row r="323">
      <c r="A323" s="9"/>
      <c r="D323" s="12"/>
    </row>
    <row r="324">
      <c r="A324" s="9"/>
      <c r="D324" s="12"/>
    </row>
    <row r="325">
      <c r="A325" s="9"/>
      <c r="D325" s="12"/>
    </row>
    <row r="326">
      <c r="A326" s="9"/>
      <c r="D326" s="12"/>
    </row>
    <row r="327">
      <c r="A327" s="9"/>
      <c r="D327" s="12"/>
    </row>
    <row r="328">
      <c r="A328" s="9"/>
      <c r="D328" s="12"/>
    </row>
    <row r="329">
      <c r="A329" s="9"/>
      <c r="D329" s="12"/>
    </row>
    <row r="330">
      <c r="A330" s="9"/>
      <c r="D330" s="12"/>
    </row>
    <row r="331">
      <c r="A331" s="9"/>
      <c r="D331" s="12"/>
    </row>
    <row r="332">
      <c r="A332" s="9"/>
      <c r="D332" s="12"/>
    </row>
    <row r="333">
      <c r="A333" s="9"/>
      <c r="D333" s="12"/>
    </row>
    <row r="334">
      <c r="A334" s="9"/>
      <c r="D334" s="12"/>
    </row>
    <row r="335">
      <c r="A335" s="9"/>
      <c r="D335" s="12"/>
    </row>
    <row r="336">
      <c r="A336" s="9"/>
      <c r="D336" s="12"/>
    </row>
    <row r="337">
      <c r="A337" s="9"/>
      <c r="D337" s="12"/>
    </row>
    <row r="338">
      <c r="A338" s="9"/>
      <c r="D338" s="12"/>
    </row>
    <row r="339">
      <c r="A339" s="9"/>
      <c r="D339" s="12"/>
    </row>
    <row r="340">
      <c r="A340" s="9"/>
      <c r="D340" s="12"/>
    </row>
    <row r="341">
      <c r="A341" s="9"/>
      <c r="D341" s="12"/>
    </row>
    <row r="342">
      <c r="A342" s="9"/>
      <c r="D342" s="12"/>
    </row>
    <row r="343">
      <c r="A343" s="9"/>
      <c r="D343" s="12"/>
    </row>
    <row r="344">
      <c r="A344" s="9"/>
      <c r="D344" s="12"/>
    </row>
    <row r="345">
      <c r="A345" s="9"/>
      <c r="D345" s="12"/>
    </row>
    <row r="346">
      <c r="A346" s="9"/>
      <c r="D346" s="12"/>
    </row>
    <row r="347">
      <c r="A347" s="9"/>
      <c r="D347" s="12"/>
    </row>
    <row r="348">
      <c r="A348" s="9"/>
      <c r="D348" s="12"/>
    </row>
    <row r="349">
      <c r="A349" s="9"/>
      <c r="D349" s="12"/>
    </row>
    <row r="350">
      <c r="A350" s="9"/>
      <c r="D350" s="12"/>
    </row>
    <row r="351">
      <c r="A351" s="9"/>
      <c r="D351" s="12"/>
    </row>
    <row r="352">
      <c r="A352" s="9"/>
      <c r="D352" s="12"/>
    </row>
    <row r="353">
      <c r="A353" s="9"/>
      <c r="D353" s="12"/>
    </row>
    <row r="354">
      <c r="A354" s="9"/>
      <c r="D354" s="12"/>
    </row>
    <row r="355">
      <c r="A355" s="9"/>
      <c r="D355" s="12"/>
    </row>
    <row r="356">
      <c r="A356" s="9"/>
      <c r="D356" s="12"/>
    </row>
    <row r="357">
      <c r="A357" s="9"/>
      <c r="D357" s="12"/>
    </row>
    <row r="358">
      <c r="A358" s="9"/>
      <c r="D358" s="12"/>
    </row>
    <row r="359">
      <c r="A359" s="9"/>
      <c r="D359" s="12"/>
    </row>
    <row r="360">
      <c r="A360" s="9"/>
      <c r="D360" s="12"/>
    </row>
    <row r="361">
      <c r="A361" s="9"/>
      <c r="D361" s="12"/>
    </row>
    <row r="362">
      <c r="A362" s="9"/>
      <c r="D362" s="12"/>
    </row>
    <row r="363">
      <c r="A363" s="9"/>
      <c r="D363" s="12"/>
    </row>
    <row r="364">
      <c r="A364" s="9"/>
      <c r="D364" s="12"/>
    </row>
    <row r="365">
      <c r="A365" s="9"/>
      <c r="D365" s="12"/>
    </row>
    <row r="366">
      <c r="A366" s="9"/>
      <c r="D366" s="12"/>
    </row>
    <row r="367">
      <c r="A367" s="9"/>
      <c r="D367" s="12"/>
    </row>
    <row r="368">
      <c r="A368" s="9"/>
      <c r="D368" s="12"/>
    </row>
    <row r="369">
      <c r="A369" s="9"/>
      <c r="D369" s="12"/>
    </row>
    <row r="370">
      <c r="A370" s="9"/>
      <c r="D370" s="12"/>
    </row>
    <row r="371">
      <c r="A371" s="9"/>
      <c r="D371" s="12"/>
    </row>
    <row r="372">
      <c r="A372" s="9"/>
      <c r="D372" s="12"/>
    </row>
    <row r="373">
      <c r="A373" s="9"/>
      <c r="D373" s="12"/>
    </row>
    <row r="374">
      <c r="A374" s="9"/>
      <c r="D374" s="12"/>
    </row>
    <row r="375">
      <c r="A375" s="9"/>
      <c r="D375" s="12"/>
    </row>
    <row r="376">
      <c r="A376" s="9"/>
      <c r="D376" s="12"/>
    </row>
    <row r="377">
      <c r="A377" s="9"/>
      <c r="D377" s="12"/>
    </row>
    <row r="378">
      <c r="A378" s="9"/>
      <c r="D378" s="12"/>
    </row>
    <row r="379">
      <c r="A379" s="9"/>
      <c r="D379" s="12"/>
    </row>
    <row r="380">
      <c r="A380" s="9"/>
      <c r="D380" s="12"/>
    </row>
    <row r="381">
      <c r="A381" s="9"/>
      <c r="D381" s="12"/>
    </row>
    <row r="382">
      <c r="A382" s="9"/>
      <c r="D382" s="12"/>
    </row>
    <row r="383">
      <c r="A383" s="9"/>
      <c r="D383" s="12"/>
    </row>
    <row r="384">
      <c r="A384" s="9"/>
      <c r="D384" s="12"/>
    </row>
    <row r="385">
      <c r="A385" s="9"/>
      <c r="D385" s="12"/>
    </row>
    <row r="386">
      <c r="A386" s="9"/>
      <c r="D386" s="12"/>
    </row>
    <row r="387">
      <c r="A387" s="9"/>
      <c r="D387" s="12"/>
    </row>
    <row r="388">
      <c r="A388" s="9"/>
      <c r="D388" s="12"/>
    </row>
    <row r="389">
      <c r="A389" s="9"/>
      <c r="D389" s="12"/>
    </row>
    <row r="390">
      <c r="A390" s="9"/>
      <c r="D390" s="12"/>
    </row>
    <row r="391">
      <c r="A391" s="9"/>
      <c r="D391" s="12"/>
    </row>
    <row r="392">
      <c r="A392" s="9"/>
      <c r="D392" s="12"/>
    </row>
    <row r="393">
      <c r="A393" s="9"/>
      <c r="D393" s="12"/>
    </row>
    <row r="394">
      <c r="A394" s="9"/>
      <c r="D394" s="12"/>
    </row>
    <row r="395">
      <c r="A395" s="9"/>
      <c r="D395" s="12"/>
    </row>
    <row r="396">
      <c r="A396" s="9"/>
      <c r="D396" s="12"/>
    </row>
    <row r="397">
      <c r="A397" s="9"/>
      <c r="D397" s="12"/>
    </row>
    <row r="398">
      <c r="A398" s="9"/>
      <c r="D398" s="12"/>
    </row>
    <row r="399">
      <c r="A399" s="9"/>
      <c r="D399" s="12"/>
    </row>
    <row r="400">
      <c r="A400" s="9"/>
      <c r="D400" s="12"/>
    </row>
    <row r="401">
      <c r="A401" s="9"/>
      <c r="D401" s="12"/>
    </row>
    <row r="402">
      <c r="A402" s="9"/>
      <c r="D402" s="12"/>
    </row>
    <row r="403">
      <c r="A403" s="9"/>
      <c r="D403" s="12"/>
    </row>
    <row r="404">
      <c r="A404" s="9"/>
      <c r="D404" s="12"/>
    </row>
    <row r="405">
      <c r="A405" s="9"/>
      <c r="D405" s="12"/>
    </row>
    <row r="406">
      <c r="A406" s="9"/>
      <c r="D406" s="12"/>
    </row>
    <row r="407">
      <c r="A407" s="9"/>
      <c r="D407" s="12"/>
    </row>
    <row r="408">
      <c r="A408" s="9"/>
      <c r="D408" s="12"/>
    </row>
    <row r="409">
      <c r="A409" s="9"/>
      <c r="D409" s="12"/>
    </row>
    <row r="410">
      <c r="A410" s="9"/>
      <c r="D410" s="12"/>
    </row>
    <row r="411">
      <c r="A411" s="9"/>
      <c r="D411" s="12"/>
    </row>
    <row r="412">
      <c r="A412" s="9"/>
      <c r="D412" s="12"/>
    </row>
    <row r="413">
      <c r="A413" s="9"/>
      <c r="D413" s="12"/>
    </row>
    <row r="414">
      <c r="A414" s="9"/>
      <c r="D414" s="12"/>
    </row>
    <row r="415">
      <c r="A415" s="9"/>
      <c r="D415" s="12"/>
    </row>
    <row r="416">
      <c r="A416" s="9"/>
      <c r="D416" s="12"/>
    </row>
    <row r="417">
      <c r="A417" s="9"/>
      <c r="D417" s="12"/>
    </row>
    <row r="418">
      <c r="A418" s="9"/>
      <c r="D418" s="12"/>
    </row>
    <row r="419">
      <c r="A419" s="9"/>
      <c r="D419" s="12"/>
    </row>
    <row r="420">
      <c r="A420" s="9"/>
      <c r="D420" s="12"/>
    </row>
    <row r="421">
      <c r="A421" s="9"/>
      <c r="D421" s="12"/>
    </row>
    <row r="422">
      <c r="A422" s="9"/>
      <c r="D422" s="12"/>
    </row>
    <row r="423">
      <c r="A423" s="9"/>
      <c r="D423" s="12"/>
    </row>
    <row r="424">
      <c r="A424" s="9"/>
      <c r="D424" s="12"/>
    </row>
    <row r="425">
      <c r="A425" s="9"/>
      <c r="D425" s="12"/>
    </row>
    <row r="426">
      <c r="A426" s="9"/>
      <c r="D426" s="12"/>
    </row>
    <row r="427">
      <c r="A427" s="9"/>
      <c r="D427" s="12"/>
    </row>
    <row r="428">
      <c r="A428" s="9"/>
      <c r="D428" s="12"/>
    </row>
    <row r="429">
      <c r="A429" s="9"/>
      <c r="D429" s="12"/>
    </row>
    <row r="430">
      <c r="A430" s="9"/>
      <c r="D430" s="12"/>
    </row>
    <row r="431">
      <c r="A431" s="9"/>
      <c r="D431" s="12"/>
    </row>
    <row r="432">
      <c r="A432" s="9"/>
      <c r="D432" s="12"/>
    </row>
    <row r="433">
      <c r="A433" s="9"/>
      <c r="D433" s="12"/>
    </row>
    <row r="434">
      <c r="A434" s="9"/>
      <c r="D434" s="12"/>
    </row>
    <row r="435">
      <c r="A435" s="9"/>
      <c r="D435" s="12"/>
    </row>
    <row r="436">
      <c r="A436" s="9"/>
      <c r="D436" s="12"/>
    </row>
    <row r="437">
      <c r="A437" s="9"/>
      <c r="D437" s="12"/>
    </row>
    <row r="438">
      <c r="A438" s="9"/>
      <c r="D438" s="12"/>
    </row>
    <row r="439">
      <c r="A439" s="9"/>
      <c r="D439" s="12"/>
    </row>
    <row r="440">
      <c r="A440" s="9"/>
      <c r="D440" s="12"/>
    </row>
    <row r="441">
      <c r="A441" s="9"/>
      <c r="D441" s="12"/>
    </row>
    <row r="442">
      <c r="A442" s="9"/>
      <c r="D442" s="12"/>
    </row>
    <row r="443">
      <c r="A443" s="9"/>
      <c r="D443" s="12"/>
    </row>
    <row r="444">
      <c r="A444" s="9"/>
      <c r="D444" s="12"/>
    </row>
    <row r="445">
      <c r="A445" s="9"/>
      <c r="D445" s="12"/>
    </row>
    <row r="446">
      <c r="A446" s="9"/>
      <c r="D446" s="12"/>
    </row>
    <row r="447">
      <c r="A447" s="9"/>
      <c r="D447" s="12"/>
    </row>
    <row r="448">
      <c r="A448" s="9"/>
      <c r="D448" s="12"/>
    </row>
    <row r="449">
      <c r="A449" s="9"/>
      <c r="D449" s="12"/>
    </row>
    <row r="450">
      <c r="A450" s="9"/>
      <c r="D450" s="12"/>
    </row>
    <row r="451">
      <c r="A451" s="9"/>
      <c r="D451" s="12"/>
    </row>
    <row r="452">
      <c r="A452" s="9"/>
      <c r="D452" s="12"/>
    </row>
    <row r="453">
      <c r="A453" s="9"/>
      <c r="D453" s="12"/>
    </row>
    <row r="454">
      <c r="A454" s="9"/>
      <c r="D454" s="12"/>
    </row>
    <row r="455">
      <c r="A455" s="9"/>
      <c r="D455" s="12"/>
    </row>
    <row r="456">
      <c r="A456" s="9"/>
      <c r="D456" s="12"/>
    </row>
    <row r="457">
      <c r="A457" s="9"/>
      <c r="D457" s="12"/>
    </row>
    <row r="458">
      <c r="A458" s="9"/>
      <c r="D458" s="12"/>
    </row>
    <row r="459">
      <c r="A459" s="9"/>
      <c r="D459" s="12"/>
    </row>
    <row r="460">
      <c r="A460" s="9"/>
      <c r="D460" s="12"/>
    </row>
    <row r="461">
      <c r="A461" s="9"/>
      <c r="D461" s="12"/>
    </row>
    <row r="462">
      <c r="A462" s="9"/>
      <c r="D462" s="12"/>
    </row>
    <row r="463">
      <c r="A463" s="9"/>
      <c r="D463" s="12"/>
    </row>
    <row r="464">
      <c r="A464" s="9"/>
      <c r="D464" s="12"/>
    </row>
    <row r="465">
      <c r="A465" s="9"/>
      <c r="D465" s="12"/>
    </row>
    <row r="466">
      <c r="A466" s="9"/>
      <c r="D466" s="12"/>
    </row>
    <row r="467">
      <c r="A467" s="9"/>
      <c r="D467" s="12"/>
    </row>
    <row r="468">
      <c r="A468" s="9"/>
      <c r="D468" s="12"/>
    </row>
    <row r="469">
      <c r="A469" s="9"/>
      <c r="D469" s="12"/>
    </row>
    <row r="470">
      <c r="A470" s="9"/>
      <c r="D470" s="12"/>
    </row>
    <row r="471">
      <c r="A471" s="9"/>
      <c r="D471" s="12"/>
    </row>
    <row r="472">
      <c r="A472" s="9"/>
      <c r="D472" s="12"/>
    </row>
    <row r="473">
      <c r="A473" s="9"/>
      <c r="D473" s="12"/>
    </row>
    <row r="474">
      <c r="A474" s="9"/>
      <c r="D474" s="12"/>
    </row>
    <row r="475">
      <c r="A475" s="9"/>
      <c r="D475" s="12"/>
    </row>
    <row r="476">
      <c r="A476" s="9"/>
      <c r="D476" s="12"/>
    </row>
    <row r="477">
      <c r="A477" s="9"/>
      <c r="D477" s="12"/>
    </row>
    <row r="478">
      <c r="A478" s="9"/>
      <c r="D478" s="12"/>
    </row>
    <row r="479">
      <c r="A479" s="9"/>
      <c r="D479" s="12"/>
    </row>
    <row r="480">
      <c r="A480" s="9"/>
      <c r="D480" s="12"/>
    </row>
    <row r="481">
      <c r="A481" s="9"/>
      <c r="D481" s="12"/>
    </row>
    <row r="482">
      <c r="A482" s="9"/>
      <c r="D482" s="12"/>
    </row>
    <row r="483">
      <c r="A483" s="9"/>
      <c r="D483" s="12"/>
    </row>
    <row r="484">
      <c r="A484" s="9"/>
      <c r="D484" s="12"/>
    </row>
    <row r="485">
      <c r="A485" s="9"/>
      <c r="D485" s="12"/>
    </row>
    <row r="486">
      <c r="A486" s="9"/>
      <c r="D486" s="12"/>
    </row>
    <row r="487">
      <c r="A487" s="9"/>
      <c r="D487" s="12"/>
    </row>
    <row r="488">
      <c r="A488" s="9"/>
      <c r="D488" s="12"/>
    </row>
    <row r="489">
      <c r="A489" s="9"/>
      <c r="D489" s="12"/>
    </row>
    <row r="490">
      <c r="A490" s="9"/>
      <c r="D490" s="12"/>
    </row>
    <row r="491">
      <c r="A491" s="9"/>
      <c r="D491" s="12"/>
    </row>
    <row r="492">
      <c r="A492" s="9"/>
      <c r="D492" s="12"/>
    </row>
    <row r="493">
      <c r="A493" s="9"/>
      <c r="D493" s="12"/>
    </row>
    <row r="494">
      <c r="A494" s="9"/>
      <c r="D494" s="12"/>
    </row>
    <row r="495">
      <c r="A495" s="9"/>
      <c r="D495" s="12"/>
    </row>
    <row r="496">
      <c r="A496" s="9"/>
      <c r="D496" s="12"/>
    </row>
    <row r="497">
      <c r="A497" s="9"/>
      <c r="D497" s="12"/>
    </row>
    <row r="498">
      <c r="A498" s="9"/>
      <c r="D498" s="12"/>
    </row>
    <row r="499">
      <c r="A499" s="9"/>
      <c r="D499" s="12"/>
    </row>
    <row r="500">
      <c r="A500" s="9"/>
      <c r="D500" s="12"/>
    </row>
    <row r="501">
      <c r="A501" s="9"/>
      <c r="D501" s="12"/>
    </row>
    <row r="502">
      <c r="A502" s="9"/>
      <c r="D502" s="12"/>
    </row>
    <row r="503">
      <c r="A503" s="9"/>
      <c r="D503" s="12"/>
    </row>
    <row r="504">
      <c r="A504" s="9"/>
      <c r="D504" s="12"/>
    </row>
    <row r="505">
      <c r="A505" s="9"/>
      <c r="D505" s="12"/>
    </row>
    <row r="506">
      <c r="A506" s="9"/>
      <c r="D506" s="12"/>
    </row>
    <row r="507">
      <c r="A507" s="9"/>
      <c r="D507" s="12"/>
    </row>
    <row r="508">
      <c r="A508" s="9"/>
      <c r="D508" s="12"/>
    </row>
    <row r="509">
      <c r="A509" s="9"/>
      <c r="D509" s="12"/>
    </row>
    <row r="510">
      <c r="A510" s="9"/>
      <c r="D510" s="12"/>
    </row>
    <row r="511">
      <c r="A511" s="9"/>
      <c r="D511" s="12"/>
    </row>
    <row r="512">
      <c r="A512" s="9"/>
      <c r="D512" s="12"/>
    </row>
    <row r="513">
      <c r="A513" s="9"/>
      <c r="D513" s="12"/>
    </row>
    <row r="514">
      <c r="A514" s="9"/>
      <c r="D514" s="12"/>
    </row>
    <row r="515">
      <c r="A515" s="9"/>
      <c r="D515" s="12"/>
    </row>
    <row r="516">
      <c r="A516" s="9"/>
      <c r="D516" s="12"/>
    </row>
    <row r="517">
      <c r="A517" s="9"/>
      <c r="D517" s="12"/>
    </row>
    <row r="518">
      <c r="A518" s="9"/>
      <c r="D518" s="12"/>
    </row>
    <row r="519">
      <c r="A519" s="9"/>
      <c r="D519" s="12"/>
    </row>
    <row r="520">
      <c r="A520" s="9"/>
      <c r="D520" s="12"/>
    </row>
    <row r="521">
      <c r="A521" s="9"/>
      <c r="D521" s="12"/>
    </row>
    <row r="522">
      <c r="A522" s="9"/>
      <c r="D522" s="12"/>
    </row>
    <row r="523">
      <c r="A523" s="9"/>
      <c r="D523" s="12"/>
    </row>
    <row r="524">
      <c r="A524" s="9"/>
      <c r="D524" s="12"/>
    </row>
    <row r="525">
      <c r="A525" s="9"/>
      <c r="D525" s="12"/>
    </row>
    <row r="526">
      <c r="A526" s="9"/>
      <c r="D526" s="12"/>
    </row>
    <row r="527">
      <c r="A527" s="9"/>
      <c r="D527" s="12"/>
    </row>
    <row r="528">
      <c r="A528" s="9"/>
      <c r="D528" s="12"/>
    </row>
    <row r="529">
      <c r="A529" s="9"/>
      <c r="D529" s="12"/>
    </row>
    <row r="530">
      <c r="A530" s="9"/>
      <c r="D530" s="12"/>
    </row>
    <row r="531">
      <c r="A531" s="9"/>
      <c r="D531" s="12"/>
    </row>
    <row r="532">
      <c r="A532" s="9"/>
      <c r="D532" s="12"/>
    </row>
    <row r="533">
      <c r="A533" s="9"/>
      <c r="D533" s="12"/>
    </row>
    <row r="534">
      <c r="A534" s="9"/>
      <c r="D534" s="12"/>
    </row>
    <row r="535">
      <c r="A535" s="9"/>
      <c r="D535" s="12"/>
    </row>
    <row r="536">
      <c r="A536" s="9"/>
      <c r="D536" s="12"/>
    </row>
    <row r="537">
      <c r="A537" s="9"/>
      <c r="D537" s="12"/>
    </row>
    <row r="538">
      <c r="A538" s="9"/>
      <c r="D538" s="12"/>
    </row>
    <row r="539">
      <c r="A539" s="9"/>
      <c r="D539" s="12"/>
    </row>
    <row r="540">
      <c r="A540" s="9"/>
      <c r="D540" s="12"/>
    </row>
    <row r="541">
      <c r="A541" s="9"/>
      <c r="D541" s="12"/>
    </row>
    <row r="542">
      <c r="A542" s="9"/>
      <c r="D542" s="12"/>
    </row>
    <row r="543">
      <c r="A543" s="9"/>
      <c r="D543" s="12"/>
    </row>
    <row r="544">
      <c r="A544" s="9"/>
      <c r="D544" s="12"/>
    </row>
    <row r="545">
      <c r="A545" s="9"/>
      <c r="D545" s="12"/>
    </row>
    <row r="546">
      <c r="A546" s="9"/>
      <c r="D546" s="12"/>
    </row>
    <row r="547">
      <c r="A547" s="9"/>
      <c r="D547" s="12"/>
    </row>
    <row r="548">
      <c r="A548" s="9"/>
      <c r="D548" s="12"/>
    </row>
    <row r="549">
      <c r="A549" s="9"/>
      <c r="D549" s="12"/>
    </row>
    <row r="550">
      <c r="A550" s="9"/>
      <c r="D550" s="12"/>
    </row>
    <row r="551">
      <c r="A551" s="9"/>
      <c r="D551" s="12"/>
    </row>
    <row r="552">
      <c r="A552" s="9"/>
      <c r="D552" s="12"/>
    </row>
    <row r="553">
      <c r="A553" s="9"/>
      <c r="D553" s="12"/>
    </row>
    <row r="554">
      <c r="A554" s="9"/>
      <c r="D554" s="12"/>
    </row>
    <row r="555">
      <c r="A555" s="9"/>
      <c r="D555" s="12"/>
    </row>
    <row r="556">
      <c r="A556" s="9"/>
      <c r="D556" s="12"/>
    </row>
    <row r="557">
      <c r="A557" s="9"/>
      <c r="D557" s="12"/>
    </row>
    <row r="558">
      <c r="A558" s="9"/>
      <c r="D558" s="12"/>
    </row>
    <row r="559">
      <c r="A559" s="9"/>
      <c r="D559" s="12"/>
    </row>
    <row r="560">
      <c r="A560" s="9"/>
      <c r="D560" s="12"/>
    </row>
    <row r="561">
      <c r="A561" s="9"/>
      <c r="D561" s="12"/>
    </row>
    <row r="562">
      <c r="A562" s="9"/>
      <c r="D562" s="12"/>
    </row>
    <row r="563">
      <c r="A563" s="9"/>
      <c r="D563" s="12"/>
    </row>
    <row r="564">
      <c r="A564" s="9"/>
      <c r="D564" s="12"/>
    </row>
    <row r="565">
      <c r="A565" s="9"/>
      <c r="D565" s="12"/>
    </row>
    <row r="566">
      <c r="A566" s="9"/>
      <c r="D566" s="12"/>
    </row>
    <row r="567">
      <c r="A567" s="9"/>
      <c r="D567" s="12"/>
    </row>
    <row r="568">
      <c r="A568" s="9"/>
      <c r="D568" s="12"/>
    </row>
    <row r="569">
      <c r="A569" s="9"/>
      <c r="D569" s="12"/>
    </row>
    <row r="570">
      <c r="A570" s="9"/>
      <c r="D570" s="12"/>
    </row>
    <row r="571">
      <c r="A571" s="9"/>
      <c r="D571" s="12"/>
    </row>
    <row r="572">
      <c r="A572" s="9"/>
      <c r="D572" s="12"/>
    </row>
    <row r="573">
      <c r="A573" s="9"/>
      <c r="D573" s="12"/>
    </row>
    <row r="574">
      <c r="A574" s="9"/>
      <c r="D574" s="12"/>
    </row>
    <row r="575">
      <c r="A575" s="9"/>
      <c r="D575" s="12"/>
    </row>
    <row r="576">
      <c r="A576" s="9"/>
      <c r="D576" s="12"/>
    </row>
    <row r="577">
      <c r="A577" s="9"/>
      <c r="D577" s="12"/>
    </row>
    <row r="578">
      <c r="A578" s="9"/>
      <c r="D578" s="12"/>
    </row>
    <row r="579">
      <c r="A579" s="9"/>
      <c r="D579" s="12"/>
    </row>
    <row r="580">
      <c r="A580" s="9"/>
      <c r="D580" s="12"/>
    </row>
    <row r="581">
      <c r="A581" s="9"/>
      <c r="D581" s="12"/>
    </row>
    <row r="582">
      <c r="A582" s="9"/>
      <c r="D582" s="12"/>
    </row>
    <row r="583">
      <c r="A583" s="9"/>
      <c r="D583" s="12"/>
    </row>
    <row r="584">
      <c r="A584" s="9"/>
      <c r="D584" s="12"/>
    </row>
    <row r="585">
      <c r="A585" s="9"/>
      <c r="D585" s="12"/>
    </row>
    <row r="586">
      <c r="A586" s="9"/>
      <c r="D586" s="12"/>
    </row>
    <row r="587">
      <c r="A587" s="9"/>
      <c r="D587" s="12"/>
    </row>
    <row r="588">
      <c r="A588" s="9"/>
      <c r="D588" s="12"/>
    </row>
    <row r="589">
      <c r="A589" s="9"/>
      <c r="D589" s="12"/>
    </row>
    <row r="590">
      <c r="A590" s="9"/>
      <c r="D590" s="12"/>
    </row>
    <row r="591">
      <c r="A591" s="9"/>
      <c r="D591" s="12"/>
    </row>
    <row r="592">
      <c r="A592" s="9"/>
      <c r="D592" s="12"/>
    </row>
    <row r="593">
      <c r="A593" s="9"/>
      <c r="D593" s="12"/>
    </row>
    <row r="594">
      <c r="A594" s="9"/>
      <c r="D594" s="12"/>
    </row>
    <row r="595">
      <c r="A595" s="9"/>
      <c r="D595" s="12"/>
    </row>
    <row r="596">
      <c r="A596" s="9"/>
      <c r="D596" s="12"/>
    </row>
    <row r="597">
      <c r="A597" s="9"/>
      <c r="D597" s="12"/>
    </row>
    <row r="598">
      <c r="A598" s="9"/>
      <c r="D598" s="12"/>
    </row>
    <row r="599">
      <c r="A599" s="9"/>
      <c r="D599" s="12"/>
    </row>
    <row r="600">
      <c r="A600" s="9"/>
      <c r="D600" s="12"/>
    </row>
    <row r="601">
      <c r="A601" s="9"/>
      <c r="D601" s="12"/>
    </row>
    <row r="602">
      <c r="A602" s="9"/>
      <c r="D602" s="12"/>
    </row>
    <row r="603">
      <c r="A603" s="9"/>
      <c r="D603" s="12"/>
    </row>
    <row r="604">
      <c r="A604" s="9"/>
      <c r="D604" s="12"/>
    </row>
    <row r="605">
      <c r="A605" s="9"/>
      <c r="D605" s="12"/>
    </row>
    <row r="606">
      <c r="A606" s="9"/>
      <c r="D606" s="12"/>
    </row>
    <row r="607">
      <c r="A607" s="9"/>
      <c r="D607" s="12"/>
    </row>
    <row r="608">
      <c r="A608" s="9"/>
      <c r="D608" s="12"/>
    </row>
    <row r="609">
      <c r="A609" s="9"/>
      <c r="D609" s="12"/>
    </row>
    <row r="610">
      <c r="A610" s="9"/>
      <c r="D610" s="12"/>
    </row>
    <row r="611">
      <c r="A611" s="9"/>
      <c r="D611" s="12"/>
    </row>
    <row r="612">
      <c r="A612" s="9"/>
      <c r="D612" s="12"/>
    </row>
    <row r="613">
      <c r="A613" s="9"/>
      <c r="D613" s="12"/>
    </row>
    <row r="614">
      <c r="A614" s="9"/>
      <c r="D614" s="12"/>
    </row>
    <row r="615">
      <c r="A615" s="9"/>
      <c r="D615" s="12"/>
    </row>
    <row r="616">
      <c r="A616" s="9"/>
      <c r="D616" s="12"/>
    </row>
    <row r="617">
      <c r="A617" s="9"/>
      <c r="D617" s="12"/>
    </row>
    <row r="618">
      <c r="A618" s="9"/>
      <c r="D618" s="12"/>
    </row>
    <row r="619">
      <c r="A619" s="9"/>
      <c r="D619" s="12"/>
    </row>
    <row r="620">
      <c r="A620" s="9"/>
      <c r="D620" s="12"/>
    </row>
    <row r="621">
      <c r="A621" s="9"/>
      <c r="D621" s="12"/>
    </row>
    <row r="622">
      <c r="A622" s="9"/>
      <c r="D622" s="12"/>
    </row>
    <row r="623">
      <c r="A623" s="9"/>
      <c r="D623" s="12"/>
    </row>
    <row r="624">
      <c r="A624" s="9"/>
      <c r="D624" s="12"/>
    </row>
    <row r="625">
      <c r="A625" s="9"/>
      <c r="D625" s="12"/>
    </row>
    <row r="626">
      <c r="A626" s="9"/>
      <c r="D626" s="12"/>
    </row>
    <row r="627">
      <c r="A627" s="9"/>
      <c r="D627" s="12"/>
    </row>
    <row r="628">
      <c r="A628" s="9"/>
      <c r="D628" s="12"/>
    </row>
    <row r="629">
      <c r="A629" s="9"/>
      <c r="D629" s="12"/>
    </row>
    <row r="630">
      <c r="A630" s="9"/>
      <c r="D630" s="12"/>
    </row>
    <row r="631">
      <c r="A631" s="9"/>
      <c r="D631" s="12"/>
    </row>
    <row r="632">
      <c r="A632" s="9"/>
      <c r="D632" s="12"/>
    </row>
    <row r="633">
      <c r="A633" s="9"/>
      <c r="D633" s="12"/>
    </row>
    <row r="634">
      <c r="A634" s="9"/>
      <c r="D634" s="12"/>
    </row>
    <row r="635">
      <c r="A635" s="9"/>
      <c r="D635" s="12"/>
    </row>
    <row r="636">
      <c r="A636" s="9"/>
      <c r="D636" s="12"/>
    </row>
    <row r="637">
      <c r="A637" s="9"/>
      <c r="D637" s="12"/>
    </row>
    <row r="638">
      <c r="A638" s="9"/>
      <c r="D638" s="12"/>
    </row>
    <row r="639">
      <c r="A639" s="9"/>
      <c r="D639" s="12"/>
    </row>
    <row r="640">
      <c r="A640" s="9"/>
      <c r="D640" s="12"/>
    </row>
    <row r="641">
      <c r="A641" s="9"/>
      <c r="D641" s="12"/>
    </row>
    <row r="642">
      <c r="A642" s="9"/>
      <c r="D642" s="12"/>
    </row>
    <row r="643">
      <c r="A643" s="9"/>
      <c r="D643" s="12"/>
    </row>
    <row r="644">
      <c r="A644" s="9"/>
      <c r="D644" s="12"/>
    </row>
    <row r="645">
      <c r="A645" s="9"/>
      <c r="D645" s="12"/>
    </row>
    <row r="646">
      <c r="A646" s="9"/>
      <c r="D646" s="12"/>
    </row>
    <row r="647">
      <c r="A647" s="9"/>
      <c r="D647" s="12"/>
    </row>
    <row r="648">
      <c r="A648" s="9"/>
      <c r="D648" s="12"/>
    </row>
    <row r="649">
      <c r="A649" s="9"/>
      <c r="D649" s="12"/>
    </row>
    <row r="650">
      <c r="A650" s="9"/>
      <c r="D650" s="12"/>
    </row>
    <row r="651">
      <c r="A651" s="9"/>
      <c r="D651" s="12"/>
    </row>
    <row r="652">
      <c r="A652" s="9"/>
      <c r="D652" s="12"/>
    </row>
    <row r="653">
      <c r="A653" s="9"/>
      <c r="D653" s="12"/>
    </row>
    <row r="654">
      <c r="A654" s="9"/>
      <c r="D654" s="12"/>
    </row>
    <row r="655">
      <c r="A655" s="9"/>
      <c r="D655" s="12"/>
    </row>
    <row r="656">
      <c r="A656" s="9"/>
      <c r="D656" s="12"/>
    </row>
    <row r="657">
      <c r="A657" s="9"/>
      <c r="D657" s="12"/>
    </row>
    <row r="658">
      <c r="A658" s="9"/>
      <c r="D658" s="12"/>
    </row>
    <row r="659">
      <c r="A659" s="9"/>
      <c r="D659" s="12"/>
    </row>
    <row r="660">
      <c r="A660" s="9"/>
      <c r="D660" s="12"/>
    </row>
    <row r="661">
      <c r="A661" s="9"/>
      <c r="D661" s="12"/>
    </row>
    <row r="662">
      <c r="A662" s="9"/>
      <c r="D662" s="12"/>
    </row>
    <row r="663">
      <c r="A663" s="9"/>
      <c r="D663" s="12"/>
    </row>
    <row r="664">
      <c r="A664" s="9"/>
      <c r="D664" s="12"/>
    </row>
    <row r="665">
      <c r="A665" s="9"/>
      <c r="D665" s="12"/>
    </row>
    <row r="666">
      <c r="A666" s="9"/>
      <c r="D666" s="12"/>
    </row>
    <row r="667">
      <c r="A667" s="9"/>
      <c r="D667" s="12"/>
    </row>
    <row r="668">
      <c r="A668" s="9"/>
      <c r="D668" s="12"/>
    </row>
    <row r="669">
      <c r="A669" s="9"/>
      <c r="D669" s="12"/>
    </row>
    <row r="670">
      <c r="A670" s="9"/>
      <c r="D670" s="12"/>
    </row>
    <row r="671">
      <c r="A671" s="9"/>
      <c r="D671" s="12"/>
    </row>
    <row r="672">
      <c r="A672" s="9"/>
      <c r="D672" s="12"/>
    </row>
    <row r="673">
      <c r="A673" s="9"/>
      <c r="D673" s="12"/>
    </row>
    <row r="674">
      <c r="A674" s="9"/>
      <c r="D674" s="12"/>
    </row>
    <row r="675">
      <c r="A675" s="9"/>
      <c r="D675" s="12"/>
    </row>
    <row r="676">
      <c r="A676" s="9"/>
      <c r="D676" s="12"/>
    </row>
    <row r="677">
      <c r="A677" s="9"/>
      <c r="D677" s="12"/>
    </row>
    <row r="678">
      <c r="A678" s="9"/>
      <c r="D678" s="12"/>
    </row>
    <row r="679">
      <c r="A679" s="9"/>
      <c r="D679" s="12"/>
    </row>
    <row r="680">
      <c r="A680" s="9"/>
      <c r="D680" s="12"/>
    </row>
    <row r="681">
      <c r="A681" s="9"/>
      <c r="D681" s="12"/>
    </row>
    <row r="682">
      <c r="A682" s="9"/>
      <c r="D682" s="12"/>
    </row>
    <row r="683">
      <c r="A683" s="9"/>
      <c r="D683" s="12"/>
    </row>
    <row r="684">
      <c r="A684" s="9"/>
      <c r="D684" s="12"/>
    </row>
    <row r="685">
      <c r="A685" s="9"/>
      <c r="D685" s="12"/>
    </row>
    <row r="686">
      <c r="A686" s="9"/>
      <c r="D686" s="12"/>
    </row>
    <row r="687">
      <c r="A687" s="9"/>
      <c r="D687" s="12"/>
    </row>
    <row r="688">
      <c r="A688" s="9"/>
      <c r="D688" s="12"/>
    </row>
    <row r="689">
      <c r="A689" s="9"/>
      <c r="D689" s="12"/>
    </row>
    <row r="690">
      <c r="A690" s="9"/>
      <c r="D690" s="12"/>
    </row>
    <row r="691">
      <c r="A691" s="9"/>
      <c r="D691" s="12"/>
    </row>
    <row r="692">
      <c r="A692" s="9"/>
      <c r="D692" s="12"/>
    </row>
    <row r="693">
      <c r="A693" s="9"/>
      <c r="D693" s="12"/>
    </row>
    <row r="694">
      <c r="A694" s="9"/>
      <c r="D694" s="12"/>
    </row>
    <row r="695">
      <c r="A695" s="9"/>
      <c r="D695" s="12"/>
    </row>
    <row r="696">
      <c r="A696" s="9"/>
      <c r="D696" s="12"/>
    </row>
    <row r="697">
      <c r="A697" s="9"/>
      <c r="D697" s="12"/>
    </row>
    <row r="698">
      <c r="A698" s="9"/>
      <c r="D698" s="12"/>
    </row>
    <row r="699">
      <c r="A699" s="9"/>
      <c r="D699" s="12"/>
    </row>
    <row r="700">
      <c r="A700" s="9"/>
      <c r="D700" s="12"/>
    </row>
    <row r="701">
      <c r="A701" s="9"/>
      <c r="D701" s="12"/>
    </row>
    <row r="702">
      <c r="A702" s="9"/>
      <c r="D702" s="12"/>
    </row>
    <row r="703">
      <c r="A703" s="9"/>
      <c r="D703" s="12"/>
    </row>
    <row r="704">
      <c r="A704" s="9"/>
      <c r="D704" s="12"/>
    </row>
    <row r="705">
      <c r="A705" s="9"/>
      <c r="D705" s="12"/>
    </row>
    <row r="706">
      <c r="A706" s="9"/>
      <c r="D706" s="12"/>
    </row>
    <row r="707">
      <c r="A707" s="9"/>
      <c r="D707" s="12"/>
    </row>
    <row r="708">
      <c r="A708" s="9"/>
      <c r="D708" s="12"/>
    </row>
    <row r="709">
      <c r="A709" s="9"/>
      <c r="D709" s="12"/>
    </row>
    <row r="710">
      <c r="A710" s="9"/>
      <c r="D710" s="12"/>
    </row>
    <row r="711">
      <c r="A711" s="9"/>
      <c r="D711" s="12"/>
    </row>
    <row r="712">
      <c r="A712" s="9"/>
      <c r="D712" s="12"/>
    </row>
    <row r="713">
      <c r="A713" s="9"/>
      <c r="D713" s="12"/>
    </row>
    <row r="714">
      <c r="A714" s="9"/>
      <c r="D714" s="12"/>
    </row>
    <row r="715">
      <c r="A715" s="9"/>
      <c r="D715" s="12"/>
    </row>
    <row r="716">
      <c r="A716" s="9"/>
      <c r="D716" s="12"/>
    </row>
    <row r="717">
      <c r="A717" s="9"/>
      <c r="D717" s="12"/>
    </row>
    <row r="718">
      <c r="A718" s="9"/>
      <c r="D718" s="12"/>
    </row>
    <row r="719">
      <c r="A719" s="9"/>
      <c r="D719" s="12"/>
    </row>
    <row r="720">
      <c r="A720" s="9"/>
      <c r="D720" s="12"/>
    </row>
    <row r="721">
      <c r="A721" s="9"/>
      <c r="D721" s="12"/>
    </row>
    <row r="722">
      <c r="A722" s="9"/>
      <c r="D722" s="12"/>
    </row>
    <row r="723">
      <c r="A723" s="9"/>
      <c r="D723" s="12"/>
    </row>
    <row r="724">
      <c r="A724" s="9"/>
      <c r="D724" s="12"/>
    </row>
    <row r="725">
      <c r="A725" s="9"/>
      <c r="D725" s="12"/>
    </row>
    <row r="726">
      <c r="A726" s="9"/>
      <c r="D726" s="12"/>
    </row>
    <row r="727">
      <c r="A727" s="9"/>
      <c r="D727" s="12"/>
    </row>
    <row r="728">
      <c r="A728" s="9"/>
      <c r="D728" s="12"/>
    </row>
    <row r="729">
      <c r="A729" s="9"/>
      <c r="D729" s="12"/>
    </row>
    <row r="730">
      <c r="A730" s="9"/>
      <c r="D730" s="12"/>
    </row>
    <row r="731">
      <c r="A731" s="9"/>
      <c r="D731" s="12"/>
    </row>
    <row r="732">
      <c r="A732" s="9"/>
      <c r="D732" s="12"/>
    </row>
    <row r="733">
      <c r="A733" s="9"/>
      <c r="D733" s="12"/>
    </row>
    <row r="734">
      <c r="A734" s="9"/>
      <c r="D734" s="12"/>
    </row>
    <row r="735">
      <c r="A735" s="9"/>
      <c r="D735" s="12"/>
    </row>
    <row r="736">
      <c r="A736" s="9"/>
      <c r="D736" s="12"/>
    </row>
    <row r="737">
      <c r="A737" s="9"/>
      <c r="D737" s="12"/>
    </row>
    <row r="738">
      <c r="A738" s="9"/>
      <c r="D738" s="12"/>
    </row>
    <row r="739">
      <c r="A739" s="9"/>
      <c r="D739" s="12"/>
    </row>
    <row r="740">
      <c r="A740" s="9"/>
      <c r="D740" s="12"/>
    </row>
    <row r="741">
      <c r="A741" s="9"/>
      <c r="D741" s="12"/>
    </row>
    <row r="742">
      <c r="A742" s="9"/>
      <c r="D742" s="12"/>
    </row>
    <row r="743">
      <c r="A743" s="9"/>
      <c r="D743" s="12"/>
    </row>
    <row r="744">
      <c r="A744" s="9"/>
      <c r="D744" s="12"/>
    </row>
    <row r="745">
      <c r="A745" s="9"/>
      <c r="D745" s="12"/>
    </row>
    <row r="746">
      <c r="A746" s="9"/>
      <c r="D746" s="12"/>
    </row>
    <row r="747">
      <c r="A747" s="9"/>
      <c r="D747" s="12"/>
    </row>
    <row r="748">
      <c r="A748" s="9"/>
      <c r="D748" s="12"/>
    </row>
    <row r="749">
      <c r="A749" s="9"/>
      <c r="D749" s="12"/>
    </row>
    <row r="750">
      <c r="A750" s="9"/>
      <c r="D750" s="12"/>
    </row>
    <row r="751">
      <c r="A751" s="9"/>
      <c r="D751" s="12"/>
    </row>
    <row r="752">
      <c r="A752" s="9"/>
      <c r="D752" s="12"/>
    </row>
    <row r="753">
      <c r="A753" s="9"/>
      <c r="D753" s="12"/>
    </row>
    <row r="754">
      <c r="A754" s="9"/>
      <c r="D754" s="12"/>
    </row>
    <row r="755">
      <c r="A755" s="9"/>
      <c r="D755" s="12"/>
    </row>
    <row r="756">
      <c r="A756" s="9"/>
      <c r="D756" s="12"/>
    </row>
    <row r="757">
      <c r="A757" s="9"/>
      <c r="D757" s="12"/>
    </row>
    <row r="758">
      <c r="A758" s="9"/>
      <c r="D758" s="12"/>
    </row>
    <row r="759">
      <c r="A759" s="9"/>
      <c r="D759" s="12"/>
    </row>
    <row r="760">
      <c r="A760" s="9"/>
      <c r="D760" s="12"/>
    </row>
    <row r="761">
      <c r="A761" s="9"/>
      <c r="D761" s="12"/>
    </row>
    <row r="762">
      <c r="A762" s="9"/>
      <c r="D762" s="12"/>
    </row>
    <row r="763">
      <c r="A763" s="9"/>
      <c r="D763" s="12"/>
    </row>
    <row r="764">
      <c r="A764" s="9"/>
      <c r="D764" s="12"/>
    </row>
    <row r="765">
      <c r="A765" s="9"/>
      <c r="D765" s="12"/>
    </row>
    <row r="766">
      <c r="A766" s="9"/>
      <c r="D766" s="12"/>
    </row>
    <row r="767">
      <c r="A767" s="9"/>
      <c r="D767" s="12"/>
    </row>
    <row r="768">
      <c r="A768" s="9"/>
      <c r="D768" s="12"/>
    </row>
    <row r="769">
      <c r="A769" s="9"/>
      <c r="D769" s="12"/>
    </row>
    <row r="770">
      <c r="A770" s="9"/>
      <c r="D770" s="12"/>
    </row>
    <row r="771">
      <c r="A771" s="9"/>
      <c r="D771" s="12"/>
    </row>
    <row r="772">
      <c r="A772" s="9"/>
      <c r="D772" s="12"/>
    </row>
    <row r="773">
      <c r="A773" s="9"/>
      <c r="D773" s="12"/>
    </row>
    <row r="774">
      <c r="A774" s="9"/>
      <c r="D774" s="12"/>
    </row>
    <row r="775">
      <c r="A775" s="9"/>
      <c r="D775" s="12"/>
    </row>
    <row r="776">
      <c r="A776" s="9"/>
      <c r="D776" s="12"/>
    </row>
    <row r="777">
      <c r="A777" s="9"/>
      <c r="D777" s="12"/>
    </row>
    <row r="778">
      <c r="A778" s="9"/>
      <c r="D778" s="12"/>
    </row>
    <row r="779">
      <c r="A779" s="9"/>
      <c r="D779" s="12"/>
    </row>
    <row r="780">
      <c r="A780" s="9"/>
      <c r="D780" s="12"/>
    </row>
    <row r="781">
      <c r="A781" s="9"/>
      <c r="D781" s="12"/>
    </row>
    <row r="782">
      <c r="A782" s="9"/>
      <c r="D782" s="12"/>
    </row>
    <row r="783">
      <c r="A783" s="9"/>
      <c r="D783" s="12"/>
    </row>
    <row r="784">
      <c r="A784" s="9"/>
      <c r="D784" s="12"/>
    </row>
    <row r="785">
      <c r="A785" s="9"/>
      <c r="D785" s="12"/>
    </row>
    <row r="786">
      <c r="A786" s="9"/>
      <c r="D786" s="12"/>
    </row>
    <row r="787">
      <c r="A787" s="9"/>
      <c r="D787" s="12"/>
    </row>
    <row r="788">
      <c r="A788" s="9"/>
      <c r="D788" s="12"/>
    </row>
    <row r="789">
      <c r="A789" s="9"/>
      <c r="D789" s="12"/>
    </row>
    <row r="790">
      <c r="A790" s="9"/>
      <c r="D790" s="12"/>
    </row>
    <row r="791">
      <c r="A791" s="9"/>
      <c r="D791" s="12"/>
    </row>
    <row r="792">
      <c r="A792" s="9"/>
      <c r="D792" s="12"/>
    </row>
    <row r="793">
      <c r="A793" s="9"/>
      <c r="D793" s="12"/>
    </row>
    <row r="794">
      <c r="A794" s="9"/>
      <c r="D794" s="12"/>
    </row>
    <row r="795">
      <c r="A795" s="9"/>
      <c r="D795" s="12"/>
    </row>
    <row r="796">
      <c r="A796" s="9"/>
      <c r="D796" s="12"/>
    </row>
    <row r="797">
      <c r="A797" s="9"/>
      <c r="D797" s="12"/>
    </row>
    <row r="798">
      <c r="A798" s="9"/>
      <c r="D798" s="12"/>
    </row>
    <row r="799">
      <c r="A799" s="9"/>
      <c r="D799" s="12"/>
    </row>
    <row r="800">
      <c r="A800" s="9"/>
      <c r="D800" s="12"/>
    </row>
    <row r="801">
      <c r="A801" s="9"/>
      <c r="D801" s="12"/>
    </row>
    <row r="802">
      <c r="A802" s="9"/>
      <c r="D802" s="12"/>
    </row>
    <row r="803">
      <c r="A803" s="9"/>
      <c r="D803" s="12"/>
    </row>
    <row r="804">
      <c r="A804" s="9"/>
      <c r="D804" s="12"/>
    </row>
    <row r="805">
      <c r="A805" s="9"/>
      <c r="D805" s="12"/>
    </row>
    <row r="806">
      <c r="A806" s="9"/>
      <c r="D806" s="12"/>
    </row>
    <row r="807">
      <c r="A807" s="9"/>
      <c r="D807" s="12"/>
    </row>
    <row r="808">
      <c r="A808" s="9"/>
      <c r="D808" s="12"/>
    </row>
    <row r="809">
      <c r="A809" s="9"/>
      <c r="D809" s="12"/>
    </row>
    <row r="810">
      <c r="A810" s="9"/>
      <c r="D810" s="12"/>
    </row>
    <row r="811">
      <c r="A811" s="9"/>
      <c r="D811" s="12"/>
    </row>
    <row r="812">
      <c r="A812" s="9"/>
      <c r="D812" s="12"/>
    </row>
    <row r="813">
      <c r="A813" s="9"/>
      <c r="D813" s="12"/>
    </row>
    <row r="814">
      <c r="A814" s="9"/>
      <c r="D814" s="12"/>
    </row>
    <row r="815">
      <c r="A815" s="9"/>
      <c r="D815" s="12"/>
    </row>
    <row r="816">
      <c r="A816" s="9"/>
      <c r="D816" s="12"/>
    </row>
    <row r="817">
      <c r="A817" s="9"/>
      <c r="D817" s="12"/>
    </row>
    <row r="818">
      <c r="A818" s="9"/>
      <c r="D818" s="12"/>
    </row>
    <row r="819">
      <c r="A819" s="9"/>
      <c r="D819" s="12"/>
    </row>
    <row r="820">
      <c r="A820" s="9"/>
      <c r="D820" s="12"/>
    </row>
    <row r="821">
      <c r="A821" s="9"/>
      <c r="D821" s="12"/>
    </row>
    <row r="822">
      <c r="A822" s="9"/>
      <c r="D822" s="12"/>
    </row>
    <row r="823">
      <c r="A823" s="9"/>
      <c r="D823" s="12"/>
    </row>
    <row r="824">
      <c r="A824" s="9"/>
      <c r="D824" s="12"/>
    </row>
    <row r="825">
      <c r="A825" s="9"/>
      <c r="D825" s="12"/>
    </row>
    <row r="826">
      <c r="A826" s="9"/>
      <c r="D826" s="12"/>
    </row>
    <row r="827">
      <c r="A827" s="9"/>
      <c r="D827" s="12"/>
    </row>
    <row r="828">
      <c r="A828" s="9"/>
      <c r="D828" s="12"/>
    </row>
    <row r="829">
      <c r="A829" s="9"/>
      <c r="D829" s="12"/>
    </row>
    <row r="830">
      <c r="A830" s="9"/>
      <c r="D830" s="12"/>
    </row>
    <row r="831">
      <c r="A831" s="9"/>
      <c r="D831" s="12"/>
    </row>
    <row r="832">
      <c r="A832" s="9"/>
      <c r="D832" s="12"/>
    </row>
    <row r="833">
      <c r="A833" s="9"/>
      <c r="D833" s="12"/>
    </row>
    <row r="834">
      <c r="A834" s="9"/>
      <c r="D834" s="12"/>
    </row>
    <row r="835">
      <c r="A835" s="9"/>
      <c r="D835" s="12"/>
    </row>
    <row r="836">
      <c r="A836" s="9"/>
      <c r="D836" s="12"/>
    </row>
    <row r="837">
      <c r="A837" s="9"/>
      <c r="D837" s="12"/>
    </row>
    <row r="838">
      <c r="A838" s="9"/>
      <c r="D838" s="12"/>
    </row>
    <row r="839">
      <c r="A839" s="9"/>
      <c r="D839" s="12"/>
    </row>
    <row r="840">
      <c r="A840" s="9"/>
      <c r="D840" s="12"/>
    </row>
    <row r="841">
      <c r="A841" s="9"/>
      <c r="D841" s="12"/>
    </row>
    <row r="842">
      <c r="A842" s="9"/>
      <c r="D842" s="12"/>
    </row>
    <row r="843">
      <c r="A843" s="9"/>
      <c r="D843" s="12"/>
    </row>
    <row r="844">
      <c r="A844" s="9"/>
      <c r="D844" s="12"/>
    </row>
    <row r="845">
      <c r="A845" s="9"/>
      <c r="D845" s="12"/>
    </row>
    <row r="846">
      <c r="A846" s="9"/>
      <c r="D846" s="12"/>
    </row>
    <row r="847">
      <c r="A847" s="9"/>
      <c r="D847" s="12"/>
    </row>
    <row r="848">
      <c r="A848" s="9"/>
      <c r="D848" s="12"/>
    </row>
    <row r="849">
      <c r="A849" s="9"/>
      <c r="D849" s="12"/>
    </row>
    <row r="850">
      <c r="A850" s="9"/>
      <c r="D850" s="12"/>
    </row>
    <row r="851">
      <c r="A851" s="9"/>
      <c r="D851" s="12"/>
    </row>
    <row r="852">
      <c r="A852" s="9"/>
      <c r="D852" s="12"/>
    </row>
    <row r="853">
      <c r="A853" s="9"/>
      <c r="D853" s="12"/>
    </row>
    <row r="854">
      <c r="A854" s="9"/>
      <c r="D854" s="12"/>
    </row>
    <row r="855">
      <c r="A855" s="9"/>
      <c r="D855" s="12"/>
    </row>
    <row r="856">
      <c r="A856" s="9"/>
      <c r="D856" s="12"/>
    </row>
    <row r="857">
      <c r="A857" s="9"/>
      <c r="D857" s="12"/>
    </row>
    <row r="858">
      <c r="A858" s="9"/>
      <c r="D858" s="12"/>
    </row>
    <row r="859">
      <c r="A859" s="9"/>
      <c r="D859" s="12"/>
    </row>
    <row r="860">
      <c r="A860" s="9"/>
      <c r="D860" s="12"/>
    </row>
    <row r="861">
      <c r="A861" s="9"/>
      <c r="D861" s="12"/>
    </row>
    <row r="862">
      <c r="A862" s="9"/>
      <c r="D862" s="12"/>
    </row>
    <row r="863">
      <c r="A863" s="9"/>
      <c r="D863" s="12"/>
    </row>
    <row r="864">
      <c r="A864" s="9"/>
      <c r="D864" s="12"/>
    </row>
    <row r="865">
      <c r="A865" s="9"/>
      <c r="D865" s="12"/>
    </row>
    <row r="866">
      <c r="A866" s="9"/>
      <c r="D866" s="12"/>
    </row>
    <row r="867">
      <c r="A867" s="9"/>
      <c r="D867" s="12"/>
    </row>
    <row r="868">
      <c r="A868" s="9"/>
      <c r="D868" s="12"/>
    </row>
    <row r="869">
      <c r="A869" s="9"/>
      <c r="D869" s="12"/>
    </row>
    <row r="870">
      <c r="A870" s="9"/>
      <c r="D870" s="12"/>
    </row>
    <row r="871">
      <c r="A871" s="9"/>
      <c r="D871" s="12"/>
    </row>
    <row r="872">
      <c r="A872" s="9"/>
      <c r="D872" s="12"/>
    </row>
    <row r="873">
      <c r="A873" s="9"/>
      <c r="D873" s="12"/>
    </row>
    <row r="874">
      <c r="A874" s="9"/>
      <c r="D874" s="12"/>
    </row>
    <row r="875">
      <c r="A875" s="9"/>
      <c r="D875" s="12"/>
    </row>
    <row r="876">
      <c r="A876" s="9"/>
      <c r="D876" s="12"/>
    </row>
    <row r="877">
      <c r="A877" s="9"/>
      <c r="D877" s="12"/>
    </row>
    <row r="878">
      <c r="A878" s="9"/>
      <c r="D878" s="12"/>
    </row>
    <row r="879">
      <c r="A879" s="9"/>
      <c r="D879" s="12"/>
    </row>
    <row r="880">
      <c r="A880" s="9"/>
      <c r="D880" s="12"/>
    </row>
    <row r="881">
      <c r="A881" s="9"/>
      <c r="D881" s="12"/>
    </row>
    <row r="882">
      <c r="A882" s="9"/>
      <c r="D882" s="12"/>
    </row>
    <row r="883">
      <c r="A883" s="9"/>
      <c r="D883" s="12"/>
    </row>
    <row r="884">
      <c r="A884" s="9"/>
      <c r="D884" s="12"/>
    </row>
    <row r="885">
      <c r="A885" s="9"/>
      <c r="D885" s="12"/>
    </row>
    <row r="886">
      <c r="A886" s="9"/>
      <c r="D886" s="12"/>
    </row>
    <row r="887">
      <c r="A887" s="9"/>
      <c r="D887" s="12"/>
    </row>
    <row r="888">
      <c r="A888" s="9"/>
      <c r="D888" s="12"/>
    </row>
    <row r="889">
      <c r="A889" s="9"/>
      <c r="D889" s="12"/>
    </row>
    <row r="890">
      <c r="A890" s="9"/>
      <c r="D890" s="12"/>
    </row>
    <row r="891">
      <c r="A891" s="9"/>
      <c r="D891" s="12"/>
    </row>
    <row r="892">
      <c r="A892" s="9"/>
      <c r="D892" s="12"/>
    </row>
    <row r="893">
      <c r="A893" s="9"/>
      <c r="D893" s="12"/>
    </row>
    <row r="894">
      <c r="A894" s="9"/>
      <c r="D894" s="12"/>
    </row>
    <row r="895">
      <c r="A895" s="9"/>
      <c r="D895" s="12"/>
    </row>
    <row r="896">
      <c r="A896" s="9"/>
      <c r="D896" s="12"/>
    </row>
    <row r="897">
      <c r="A897" s="9"/>
      <c r="D897" s="12"/>
    </row>
    <row r="898">
      <c r="A898" s="9"/>
      <c r="D898" s="12"/>
    </row>
    <row r="899">
      <c r="A899" s="9"/>
      <c r="D899" s="12"/>
    </row>
    <row r="900">
      <c r="A900" s="9"/>
      <c r="D900" s="12"/>
    </row>
    <row r="901">
      <c r="A901" s="9"/>
      <c r="D901" s="12"/>
    </row>
    <row r="902">
      <c r="A902" s="9"/>
      <c r="D902" s="12"/>
    </row>
    <row r="903">
      <c r="A903" s="9"/>
      <c r="D903" s="12"/>
    </row>
    <row r="904">
      <c r="A904" s="9"/>
      <c r="D904" s="12"/>
    </row>
    <row r="905">
      <c r="A905" s="9"/>
      <c r="D905" s="12"/>
    </row>
    <row r="906">
      <c r="A906" s="9"/>
      <c r="D906" s="12"/>
    </row>
    <row r="907">
      <c r="A907" s="9"/>
      <c r="D907" s="12"/>
    </row>
    <row r="908">
      <c r="A908" s="9"/>
      <c r="D908" s="12"/>
    </row>
    <row r="909">
      <c r="A909" s="9"/>
      <c r="D909" s="12"/>
    </row>
    <row r="910">
      <c r="A910" s="9"/>
      <c r="D910" s="12"/>
    </row>
    <row r="911">
      <c r="A911" s="9"/>
      <c r="D911" s="12"/>
    </row>
    <row r="912">
      <c r="A912" s="9"/>
      <c r="D912" s="12"/>
    </row>
    <row r="913">
      <c r="A913" s="9"/>
      <c r="D913" s="12"/>
    </row>
    <row r="914">
      <c r="A914" s="9"/>
      <c r="D914" s="12"/>
    </row>
    <row r="915">
      <c r="A915" s="9"/>
      <c r="D915" s="12"/>
    </row>
    <row r="916">
      <c r="A916" s="9"/>
      <c r="D916" s="12"/>
    </row>
    <row r="917">
      <c r="A917" s="9"/>
      <c r="D917" s="12"/>
    </row>
    <row r="918">
      <c r="A918" s="9"/>
      <c r="D918" s="12"/>
    </row>
    <row r="919">
      <c r="A919" s="9"/>
      <c r="D919" s="12"/>
    </row>
    <row r="920">
      <c r="A920" s="9"/>
      <c r="D920" s="12"/>
    </row>
    <row r="921">
      <c r="A921" s="9"/>
      <c r="D921" s="12"/>
    </row>
    <row r="922">
      <c r="A922" s="9"/>
      <c r="D922" s="12"/>
    </row>
    <row r="923">
      <c r="A923" s="9"/>
      <c r="D923" s="12"/>
    </row>
    <row r="924">
      <c r="A924" s="9"/>
      <c r="D924" s="12"/>
    </row>
    <row r="925">
      <c r="A925" s="9"/>
      <c r="D925" s="12"/>
    </row>
    <row r="926">
      <c r="A926" s="9"/>
      <c r="D926" s="12"/>
    </row>
    <row r="927">
      <c r="A927" s="9"/>
      <c r="D927" s="12"/>
    </row>
    <row r="928">
      <c r="A928" s="9"/>
      <c r="D928" s="12"/>
    </row>
    <row r="929">
      <c r="A929" s="9"/>
      <c r="D929" s="12"/>
    </row>
    <row r="930">
      <c r="A930" s="9"/>
      <c r="D930" s="12"/>
    </row>
    <row r="931">
      <c r="A931" s="9"/>
      <c r="D931" s="12"/>
    </row>
    <row r="932">
      <c r="A932" s="9"/>
      <c r="D932" s="12"/>
    </row>
    <row r="933">
      <c r="A933" s="9"/>
      <c r="D933" s="12"/>
    </row>
    <row r="934">
      <c r="A934" s="9"/>
      <c r="D934" s="12"/>
    </row>
    <row r="935">
      <c r="A935" s="9"/>
      <c r="D935" s="12"/>
    </row>
    <row r="936">
      <c r="A936" s="9"/>
      <c r="D936" s="12"/>
    </row>
    <row r="937">
      <c r="A937" s="9"/>
      <c r="D937" s="12"/>
    </row>
    <row r="938">
      <c r="A938" s="9"/>
      <c r="D938" s="12"/>
    </row>
    <row r="939">
      <c r="A939" s="9"/>
      <c r="D939" s="12"/>
    </row>
    <row r="940">
      <c r="A940" s="9"/>
      <c r="D940" s="12"/>
    </row>
    <row r="941">
      <c r="A941" s="9"/>
      <c r="D941" s="12"/>
    </row>
    <row r="942">
      <c r="A942" s="9"/>
      <c r="D942" s="12"/>
    </row>
    <row r="943">
      <c r="A943" s="9"/>
      <c r="D943" s="12"/>
    </row>
    <row r="944">
      <c r="A944" s="9"/>
      <c r="D944" s="12"/>
    </row>
    <row r="945">
      <c r="A945" s="9"/>
      <c r="D945" s="12"/>
    </row>
    <row r="946">
      <c r="A946" s="9"/>
      <c r="D946" s="12"/>
    </row>
    <row r="947">
      <c r="A947" s="9"/>
      <c r="D947" s="12"/>
    </row>
    <row r="948">
      <c r="A948" s="9"/>
      <c r="D948" s="12"/>
    </row>
    <row r="949">
      <c r="A949" s="9"/>
      <c r="D949" s="12"/>
    </row>
    <row r="950">
      <c r="A950" s="9"/>
      <c r="D950" s="12"/>
    </row>
    <row r="951">
      <c r="A951" s="9"/>
      <c r="D951" s="12"/>
    </row>
    <row r="952">
      <c r="A952" s="9"/>
      <c r="D952" s="12"/>
    </row>
    <row r="953">
      <c r="A953" s="9"/>
      <c r="D953" s="12"/>
    </row>
    <row r="954">
      <c r="A954" s="9"/>
      <c r="D954" s="12"/>
    </row>
    <row r="955">
      <c r="A955" s="9"/>
      <c r="D955" s="12"/>
    </row>
    <row r="956">
      <c r="A956" s="9"/>
      <c r="D956" s="12"/>
    </row>
    <row r="957">
      <c r="A957" s="9"/>
      <c r="D957" s="12"/>
    </row>
    <row r="958">
      <c r="A958" s="9"/>
      <c r="D958" s="12"/>
    </row>
    <row r="959">
      <c r="A959" s="9"/>
      <c r="D959" s="12"/>
    </row>
    <row r="960">
      <c r="A960" s="9"/>
      <c r="D960" s="12"/>
    </row>
    <row r="961">
      <c r="A961" s="9"/>
      <c r="D961" s="12"/>
    </row>
    <row r="962">
      <c r="A962" s="9"/>
      <c r="D962" s="12"/>
    </row>
    <row r="963">
      <c r="A963" s="9"/>
      <c r="D963" s="12"/>
    </row>
    <row r="964">
      <c r="A964" s="9"/>
      <c r="D964" s="12"/>
    </row>
    <row r="965">
      <c r="A965" s="9"/>
      <c r="D965" s="12"/>
    </row>
    <row r="966">
      <c r="A966" s="9"/>
      <c r="D966" s="12"/>
    </row>
    <row r="967">
      <c r="A967" s="9"/>
      <c r="D967" s="12"/>
    </row>
    <row r="968">
      <c r="A968" s="9"/>
      <c r="D968" s="12"/>
    </row>
    <row r="969">
      <c r="A969" s="9"/>
      <c r="D969" s="12"/>
    </row>
    <row r="970">
      <c r="A970" s="9"/>
      <c r="D970" s="12"/>
    </row>
    <row r="971">
      <c r="A971" s="9"/>
      <c r="D971" s="12"/>
    </row>
    <row r="972">
      <c r="A972" s="9"/>
      <c r="D972" s="12"/>
    </row>
    <row r="973">
      <c r="A973" s="9"/>
      <c r="D973" s="12"/>
    </row>
    <row r="974">
      <c r="A974" s="9"/>
      <c r="D974" s="12"/>
    </row>
    <row r="975">
      <c r="A975" s="9"/>
      <c r="D975" s="12"/>
    </row>
    <row r="976">
      <c r="A976" s="9"/>
      <c r="D976" s="12"/>
    </row>
    <row r="977">
      <c r="A977" s="9"/>
      <c r="D977" s="12"/>
    </row>
    <row r="978">
      <c r="A978" s="9"/>
      <c r="D978" s="12"/>
    </row>
    <row r="979">
      <c r="A979" s="9"/>
      <c r="D979" s="12"/>
    </row>
    <row r="980">
      <c r="A980" s="9"/>
      <c r="D980" s="12"/>
    </row>
    <row r="981">
      <c r="A981" s="9"/>
      <c r="D981" s="12"/>
    </row>
    <row r="982">
      <c r="A982" s="9"/>
      <c r="D982" s="12"/>
    </row>
    <row r="983">
      <c r="A983" s="9"/>
      <c r="D983" s="12"/>
    </row>
    <row r="984">
      <c r="A984" s="9"/>
      <c r="D984" s="12"/>
    </row>
    <row r="985">
      <c r="A985" s="9"/>
      <c r="D985" s="12"/>
    </row>
    <row r="986">
      <c r="A986" s="9"/>
      <c r="D986" s="12"/>
    </row>
    <row r="987">
      <c r="A987" s="9"/>
      <c r="D987" s="12"/>
    </row>
    <row r="988">
      <c r="A988" s="9"/>
      <c r="D988" s="12"/>
    </row>
    <row r="989">
      <c r="A989" s="9"/>
      <c r="D989" s="12"/>
    </row>
    <row r="990">
      <c r="A990" s="9"/>
      <c r="D990" s="12"/>
    </row>
    <row r="991">
      <c r="A991" s="9"/>
      <c r="D991" s="12"/>
    </row>
    <row r="992">
      <c r="A992" s="9"/>
      <c r="D992" s="12"/>
    </row>
    <row r="993">
      <c r="A993" s="9"/>
      <c r="D993" s="12"/>
    </row>
    <row r="994">
      <c r="A994" s="9"/>
      <c r="D994" s="12"/>
    </row>
    <row r="995">
      <c r="A995" s="9"/>
      <c r="D995" s="12"/>
    </row>
    <row r="996">
      <c r="A996" s="9"/>
      <c r="D996" s="12"/>
    </row>
    <row r="997">
      <c r="A997" s="9"/>
      <c r="D997" s="12"/>
    </row>
    <row r="998">
      <c r="A998" s="9"/>
      <c r="D998" s="12"/>
    </row>
    <row r="999">
      <c r="A999" s="9"/>
      <c r="D999" s="12"/>
    </row>
    <row r="1000">
      <c r="A1000" s="9"/>
      <c r="D1000" s="12"/>
    </row>
  </sheetData>
  <drawing r:id="rId1"/>
</worksheet>
</file>