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_2023" sheetId="1" r:id="rId5"/>
    <sheet state="visible" name="EXSPEDISI" sheetId="2" r:id="rId6"/>
    <sheet state="visible" name="V_SALES" sheetId="3" r:id="rId7"/>
    <sheet state="visible" name="OPERASIONAL" sheetId="4" r:id="rId8"/>
    <sheet state="visible" name="NURUL_AINI" sheetId="5" r:id="rId9"/>
    <sheet state="visible" name="PRIBADI" sheetId="6" r:id="rId10"/>
    <sheet state="visible" name="PRODUKSI" sheetId="7" r:id="rId11"/>
    <sheet state="visible" name="KOSONG" sheetId="8" r:id="rId12"/>
  </sheets>
  <definedNames/>
  <calcPr/>
</workbook>
</file>

<file path=xl/sharedStrings.xml><?xml version="1.0" encoding="utf-8"?>
<sst xmlns="http://schemas.openxmlformats.org/spreadsheetml/2006/main" count="2423" uniqueCount="678">
  <si>
    <t>SALDO AWAL</t>
  </si>
  <si>
    <t>TRSF E-BANKING CR TANGGAL :31/08</t>
  </si>
  <si>
    <t>3108/FTSCY/WS95051 SIDO RAYA UTAMA CV</t>
  </si>
  <si>
    <t>CR</t>
  </si>
  <si>
    <t>TRSF E-BANKING DB</t>
  </si>
  <si>
    <t>0109/FTSCY/WS95031 2894800.00 SUNARTO</t>
  </si>
  <si>
    <t>DB</t>
  </si>
  <si>
    <t>0109/FTSCY/WS95011 184000000.00 Pelunasan SUPER UNGGAS JAYA</t>
  </si>
  <si>
    <t>0109/FTSCY/WS95011 62716500.00 Sat Aug 29 2026 14:00:00 GMT+0700 (Western Indonesia Time) ANUGERAH KARTIKA A</t>
  </si>
  <si>
    <t>0109/FTSCY/WS95011 90449600.00 Pelunasan ANUGERAH KARTIKA A</t>
  </si>
  <si>
    <t>PRODUKSI</t>
  </si>
  <si>
    <t>0109/FTSCY/WS95011 67648500.00 Sun Aug 30 2026 14:00:00 GMT+0700 (Western Indonesia Time) SURYA INTI TERNAK</t>
  </si>
  <si>
    <t>0109/FTSCY/WS95011 95184750.00 Mon Aug 31 2026 14:00:00 GMT+0700 (Western Indonesia Time) ANUGERAH KARTIKA A</t>
  </si>
  <si>
    <t>BANK</t>
  </si>
  <si>
    <t>0109/FTSCY/WS95271 43262000.00 pelunasan ANUGERAH KARTIKA A</t>
  </si>
  <si>
    <t>0109/FTSCY/WS95271 74435500.00 Mon Aug 31 2026 14:00:00 GMT+0700 (Western Indonesia Time) ANUGERAH KARTIKA A</t>
  </si>
  <si>
    <t>0109/FTSCY/WS95271 83220000.00 Mon Aug 31 2026 14:00:00 GMT+0700 (Western Indonesia Time) TABASSAM AZ ZUFAR</t>
  </si>
  <si>
    <t>0109/FTSCY/WS95271 71817500.00 Sun Aug 30 2026 14:00:00 GMT+0700 (Western Indonesia Time) TABASSAM AL HATTAK</t>
  </si>
  <si>
    <t>0109/FTSCY/WS95031 3280300.00 FAJAR ANDREANZAH</t>
  </si>
  <si>
    <t>0109/FTSCY/WS95031 2385850.00 DWI HERMANSYAH</t>
  </si>
  <si>
    <t>0109/FTSCY/WS95031 1500000.00 HERMAWAN</t>
  </si>
  <si>
    <t>BI-FAST DB</t>
  </si>
  <si>
    <t>BIF TRANSFER KE 8 MISWATI M-BCA</t>
  </si>
  <si>
    <t>BIF BIAYA TXN KE 8 MISWATI M-BCA</t>
  </si>
  <si>
    <t>TRSF E-BANKING CR</t>
  </si>
  <si>
    <t>0109/FTSCY/WS95051 72859423.00 krmn 31/8 ERICKO HERMAWAN</t>
  </si>
  <si>
    <t>0109/FTSCY/WS95051 405567239.00 krmn 31/8 ERICKO HERMAWAN</t>
  </si>
  <si>
    <t>0109/FTSCY/WS95031 35202240.00 pelunasan mjk SUPER UNGGAS JAYA</t>
  </si>
  <si>
    <t>KR OTOMATIS</t>
  </si>
  <si>
    <t>LLG-MANDIRI SUPER FAMOUS CHICK Pembelian ayam hid up</t>
  </si>
  <si>
    <t>0109/FTSCY/WS95031 20000000.00 RODHIATUS SOLEHA</t>
  </si>
  <si>
    <t>0109/FTSCY/WS95051 194667270.00 AH P HAIRUL 30/8 PHALOSARI UNGGUL J</t>
  </si>
  <si>
    <t>0109/FTSCY/WS95051 270392140.00 AH P HAIRUL 23/8 PHALOSARI UNGGUL J</t>
  </si>
  <si>
    <t>KARTU DEBIT</t>
  </si>
  <si>
    <t>ALFAMRT Y207 BRTN 6019009510239343</t>
  </si>
  <si>
    <t>02/09 /Z8KB1/00000 ZAINAL ARIFIN</t>
  </si>
  <si>
    <t>0209/FTSCY/WS95031 1000000.00 SUNARTO</t>
  </si>
  <si>
    <t>0209/FTSCY/WS95031 1000000.00 DWI HERMANSYAH</t>
  </si>
  <si>
    <t>0209/FTSCY/WS95031 1000000.00 FAJAR ANDREANZAH</t>
  </si>
  <si>
    <t>0209/FTSCY/WS95031 34522550.00 krg 25 jt EKO SETIYAWAN</t>
  </si>
  <si>
    <t>0209/FTSCY/WS95031 956000.00 EKO SETIYAWAN</t>
  </si>
  <si>
    <t>0209/FTSCY/WS95011 500000000.00 Sun Aug 30 2026 14:00:00 GMT+0700 (Western Indonesia Time) BROILER MAKMUR TAN</t>
  </si>
  <si>
    <t>0209/FTSCY/WS95271 78140340.00 pelunasan BROILER MAKMUR TAN</t>
  </si>
  <si>
    <t>0209/FTSCY/WS95271 79808950.00 Sun Aug 30 2026 14:00:00 GMT+0700 (Western Indonesia Time) FIDI TEGUH TRIWIBO</t>
  </si>
  <si>
    <t>PRIBADI</t>
  </si>
  <si>
    <t>0209/FTSCY/WS95271 60018000.00 Mon Aug 31 2026 14:00:00 GMT+0700 (Western Indonesia Time) SURYA INTI TERNAK</t>
  </si>
  <si>
    <t>0209/FTSCY/WS95271 26997500.00 Sun Aug 30 2026 14:00:00 GMT+0700 (Western Indonesia Time) SUPER UNGGAS JAYA</t>
  </si>
  <si>
    <t>0209/FTSCY/WS95031 1739690.00 NURHAYATI</t>
  </si>
  <si>
    <t>0209/FTSCY/WS95031 30917040.00 pelunasan RODHIATUS SOLEHA</t>
  </si>
  <si>
    <t>0209/FTSCY/WS95271 47541900.00 Mon Aug 31 2026 14:00:00 GMT+0700 (Western Indonesia Time) TUMBUH OPTIMAL PRI</t>
  </si>
  <si>
    <t>0209/FTSCY/WS95031 25000000.00 pelunasan TUMBUH OPTIMAL PRI</t>
  </si>
  <si>
    <t>0209/FTSCY/WS95271 1400000.00 ANDE DOSO ANGGORO</t>
  </si>
  <si>
    <t>0209/FTFVA/WS95031 55569/PT PRIMA FAJ bwi lunas - 40190</t>
  </si>
  <si>
    <t>0209/FTFVA/WS95031 67847/UNGGAS MANDI titip - 200043</t>
  </si>
  <si>
    <t>0209/FTSCY/WS95031 1800000.00 agustus ANTON</t>
  </si>
  <si>
    <t>0209/FTSCY/WS95031 500000.00 SUNARTO</t>
  </si>
  <si>
    <t>0309/FTSCY/WS95031 61696000.00 NURUL AINI</t>
  </si>
  <si>
    <t>0309/FTSCY/WS95031 500000.00 NURUL AINI</t>
  </si>
  <si>
    <t>SETORAN VIA CDM</t>
  </si>
  <si>
    <t>03/09  WSID:ZQ4E1 MUHAMMAD HAIRUL MA</t>
  </si>
  <si>
    <t>TARIKAN ATM 03/09</t>
  </si>
  <si>
    <t>0309/FTSCY/WS95031 40000000.00 WAHYUDI</t>
  </si>
  <si>
    <t>0309/FTSCY/WS95271 20054600.00 MELING GUSTIANI</t>
  </si>
  <si>
    <t>BIF TRANSFER KE 8 NURHAYATI MyBCA</t>
  </si>
  <si>
    <t>BIF BIAYA TXN KE 8 NURHAYATI MyBCA</t>
  </si>
  <si>
    <t>0309/FTSCY/WS95271 9000000.00 SANDI FAJAR PRASET</t>
  </si>
  <si>
    <t>0309/FTSCY/WS95271 1700000.00 BELA PRAMUDITA</t>
  </si>
  <si>
    <t>0309/FTSCY/WS95271 2411220.00 HERMAWAN</t>
  </si>
  <si>
    <t>IDM TROJ LANGSEP 6019009510239343</t>
  </si>
  <si>
    <t>BIF TRANSFER KE 2 MOH. IMAM ARIFIN M-BCA</t>
  </si>
  <si>
    <t>BIF BIAYA TXN KE 2 MOH. IMAM ARIFIN M-BCA</t>
  </si>
  <si>
    <t>0409/FTSCY/WS95031 75000000.00 PT BJP SRI ASIH ANGGRAENI</t>
  </si>
  <si>
    <t>0409/FTSCY/WS95031 141500.00 PT BJP DIENDA CATUR MUSTI</t>
  </si>
  <si>
    <t>0409/FTSCY/WS95271 69927960.00 lunas BEJO RAHAYU SLAMET</t>
  </si>
  <si>
    <t>0409/FTSCY/WS95271 79363600.00 Sun Aug 02 2026 14:00:00 GMT+0700 (Western Indonesia Time) LAJU SATWA WISESA</t>
  </si>
  <si>
    <t>0409/FTSCY/WS95051 151217083.00 krmn 2/9 ERICKO HERMAWAN</t>
  </si>
  <si>
    <t>0409/FTSCY/WS95271 121187000.00 Mon Aug 31 2026 14:00:00 GMT+0700 (Western Indonesia Time) BROILER MAKMUR TAN</t>
  </si>
  <si>
    <t>0409/FTSCY/WS95051 469169300.00 Pembelian ayam TRIJAYA LESTARI FO</t>
  </si>
  <si>
    <t>0409/FTSCY/WS95011 162239400.00 Krg 13 jt GANESHA SATRIA NUS</t>
  </si>
  <si>
    <t>0409/FTSCY/WS95271 13000000.00 GANESHA SATRIA NUS</t>
  </si>
  <si>
    <t>0409/FTSCY/WS95011 44000000.00 Tuban PITIK DIGITAL INDO</t>
  </si>
  <si>
    <t>0409/FTSCY/WS95011 82250000.00 Sat Aug 01 2026 14:00:00 GMT+0700 (Western Indonesia Time) LAJU SATWA WISESA</t>
  </si>
  <si>
    <t>0409/FTSCY/WS95011 47000000.00 Pelunasan LAJU SATWA WISESA</t>
  </si>
  <si>
    <t>0409/FTSCY/WS95011 164410840.00 Sat Aug 01 2026 14:00:00 GMT+0700 (Western Indonesia Time) TABASSAM AL HATTAK</t>
  </si>
  <si>
    <t>0409/FTSCY/WS95031 100000000.00 TABASSAM AL HATTAK</t>
  </si>
  <si>
    <t>0409/FTSCY/WS95271 1000000.00 FAJAR ANDREANZAH</t>
  </si>
  <si>
    <t>0409/FTSCY/WS95271 1500000.00 DWI HERMANSYAH</t>
  </si>
  <si>
    <t>0409/FTSCY/WS95051 90000000.00 WAHYUDI</t>
  </si>
  <si>
    <t>0409/FTSCY/WS95031 25540100.00 WAHYUDI</t>
  </si>
  <si>
    <t>0409/FTSCY/WS95051 146006220.00 AH P HAIRUL 28/8 PHALOSARI UNGGUL J</t>
  </si>
  <si>
    <t>0409/FTSCY/WS95051 137079060.00 AH P HAIRUL 29/8 PHALOSARI UNGGUL J</t>
  </si>
  <si>
    <t>0409/FTSCY/WS95271 1552830.00 NURUL AINI</t>
  </si>
  <si>
    <t>0409/FTSCY/WS95271 6248880.00 ENDAH NOVITA SARI</t>
  </si>
  <si>
    <t>0409/FTSCY/WS95271 600000.00 ANDE DOSO ANGGORO</t>
  </si>
  <si>
    <t>0509/FTSCY/WS95011 100000000.00 BAYAR AYAM RPA SBU ALDINI MARIA GUMIL</t>
  </si>
  <si>
    <t>0509/FTSCY/WS95031 92813920.00 Sat Aug 01 2026 14:00:00 GMT+0700 (Western Indonesia Time) PITIK DIGITAL INDO</t>
  </si>
  <si>
    <t>0509/FTSCY/WS95011 260951300.00 Tue Sep 01 2026 14:00:00 GMT+0700 (Western Indonesia Time) BROILER MAKMUR TAN</t>
  </si>
  <si>
    <t>0509/FTSCY/WS95031 6182670.00 lunas MUJIANTO</t>
  </si>
  <si>
    <t>0509/FTSCY/WS95271 69750000.00 Fri Sep 04 2026 14:00:00 GMT+0700 (Western Indonesia Time) TABASSAM AL HATTAK</t>
  </si>
  <si>
    <t>0509/FTSCY/WS95271 71226400.00 Thu Sep 03 2026 14:00:00 GMT+0700 (Western Indonesia Time) RUKUN MITRA BERSAM</t>
  </si>
  <si>
    <t>0509/FTSCY/WS95271 5898000.00 NURUL AINI</t>
  </si>
  <si>
    <t>0509/FTSCY/WS95051 150043135.00 krmn 4/9 TERA MAKMURINDO CV</t>
  </si>
  <si>
    <t>0509/FTSCY/WS95031 68737500.00 PT BJP SRI ASIH ANGGRAENI</t>
  </si>
  <si>
    <t>0509/FTSCY/WS95271 50000000.00 Bayar Ayam RPA SBU ALDINI MARIA GUMIL</t>
  </si>
  <si>
    <t>0509/FTSCY/WS95271 85100000.00 Thu Sep 03 2026 14:00:00 GMT+0700 (Western Indonesia Time) BINTANG TAMA SANTO</t>
  </si>
  <si>
    <t>0509/FTSCY/WS95271 59491000.00 Thu Sep 03 2026 14:00:00 GMT+0700 (Western Indonesia Time) RUKUN MITRA BERSAM</t>
  </si>
  <si>
    <t>0509/FTSCY/WS95051 260969130.00 AH P HAIRUL 26/8 PHALOSARI UNGGUL J</t>
  </si>
  <si>
    <t>0509/FTSCY/WS95051 63166050.00 AH P HAIRUL 30/8 PHALOSARI UNGGUL J</t>
  </si>
  <si>
    <t>0509/FTSCY/WS95271 5750000.00 pelunasan BINTANG TAMA SANTO</t>
  </si>
  <si>
    <t>0509/FTSCY/WS95051 168480000.00 ah 7800x21600 GEMILANG INTI SUKS</t>
  </si>
  <si>
    <t>0509/FTSCY/WS95031 53887900.00 WAHYUDI</t>
  </si>
  <si>
    <t>0509/FTSCY/WS95031 50000000.00 titip 50jt GATUT SETYO WIBOWO</t>
  </si>
  <si>
    <t>TRSF E-BANKING DB TANGGAL :05/09</t>
  </si>
  <si>
    <t>0509/FTSCY/WS95011 Mon Aug 03 2026 14:00:00 GMT+0700 (Western Indonesia Time) ANDALAN YASA MITRA</t>
  </si>
  <si>
    <t>0509/FTSCY/WS95011 Lumajang SURYA INTI TERNAK</t>
  </si>
  <si>
    <t>0509/FTSCY/WS95011 Thu Sep 03 2026 14:00:00 GMT+0700 (Western Indonesia Time) BINTANG TAMA SANTO</t>
  </si>
  <si>
    <t>0509/FTSCY/WS95011 Krg 42.6 jt PITIK DIGITAL INDO</t>
  </si>
  <si>
    <t>TRSF E-BANKING CR TANGGAL :05/09</t>
  </si>
  <si>
    <t>0509/FTSCY/WS95271 Bayar Ayam RPA SBU ALDINI MARIA GUMIL</t>
  </si>
  <si>
    <t>BYR VIA E-BANKING</t>
  </si>
  <si>
    <t>06/09  WSID9503100 1220 TELKOMSEL 82318368518 MUHAMMAD HAIRUL MA</t>
  </si>
  <si>
    <t>0609/FTSCY/WS95031 39932000.00 pelunasan SURYA INTI TERNAK</t>
  </si>
  <si>
    <t>0609/FTSCY/WS95011 78400000.00 Fri Sep 04 2026 14:00:00 GMT+0700 (Western Indonesia Time) TABASSAM AL HATTAK</t>
  </si>
  <si>
    <t>0609/FTSCY/WS95011 69054250.00 Fri Sep 04 2026 14:00:00 GMT+0700 (Western Indonesia Time) BINTANG TAMA SANTO</t>
  </si>
  <si>
    <t>0609/FTSCY/WS95011 66795200.00 Fri Sep 04 2026 14:00:00 GMT+0700 (Western Indonesia Time) ANUGERAH KARTIKA A</t>
  </si>
  <si>
    <t>0609/FTSCY/WS95011 66600000.00 Fri Sep 04 2026 14:00:00 GMT+0700 (Western Indonesia Time) BINTANG TAMA SANTO</t>
  </si>
  <si>
    <t>0609/FTSCY/WS95011 69724500.00 Thu Sep 03 2026 14:00:00 GMT+0700 (Western Indonesia Time) ANUGERAH KARTIKA A</t>
  </si>
  <si>
    <t>0609/FTSCY/WS95011 73600000.00 Fri Sep 04 2026 14:00:00 GMT+0700 (Western Indonesia Time) ANDALAN YASA MITRA</t>
  </si>
  <si>
    <t>0609/FTSCY/WS95271 34860000.00 krg 26 jt EKO SETIYAWAN</t>
  </si>
  <si>
    <t>TARIKAN ATM 06/09</t>
  </si>
  <si>
    <t>0609/FTSCY/WS95271 30000000.00 Bayar Ayam RPA SBU ALDINI MARIA GUMIL</t>
  </si>
  <si>
    <t>0609/FTFVA/WS95031 55569/PT PRIMA FAJ Sat Sep 05 2026 14:00:00 GMT+0700 (Western Indonesia Time) - 40190</t>
  </si>
  <si>
    <t>0609/FTSCY/WS95051 136229850.00 AH Hairul 28/8 PHALOSARI UNGGUL J</t>
  </si>
  <si>
    <t>0609/FTSCY/WS95051 145937490.00 AH Hairul 04/9 PHALOSARI UNGGUL J</t>
  </si>
  <si>
    <t>0609/FTSCY/WS95271 66295200.00 Fri Sep 04 2026 14:00:00 GMT+0700 (Western Indonesia Time) LAJU SATWA WISESA</t>
  </si>
  <si>
    <t>0609/FTSCY/WS95271 118543120.00 Sat Sep 05 2026 14:00:00 GMT+0700 (Western Indonesia Time) SURYA INTI TERNAK</t>
  </si>
  <si>
    <t>0609/FTSCY/WS95271 71219700.00 Fri Sep 04 2026 14:00:00 GMT+0700 (Western Indonesia Time) BROILER MAKMUR TAN</t>
  </si>
  <si>
    <t>0609/FTSCY/WS95031 40000000.00 BROILER MAKMUR TAN</t>
  </si>
  <si>
    <t>TRSF E-BANKING CR TANGGAL :06/09</t>
  </si>
  <si>
    <t>06/09 /Z8KB1/00000 ZAINAL ARIFIN</t>
  </si>
  <si>
    <t>0709/FTSCY/WS95031 2600000.00 SUNARTO</t>
  </si>
  <si>
    <t>0709/FTSCY/WS95031 27608000.00 NURUL AINI</t>
  </si>
  <si>
    <t>0709/FTSCY/WS95011 68200000.00 PT BJP FAHMI UMAR</t>
  </si>
  <si>
    <t>0709/FTSCY/WS95031 2500000.00 BELA PRAMUDITA</t>
  </si>
  <si>
    <t>0709/FTSCY/WS95031 5068980.00 lunas GATUT SETYO WIBOWO</t>
  </si>
  <si>
    <t>0709/FTSCY/WS95051 128236500.00 AH P HAIRUL 31/8 PHALOSARI UNGGUL J</t>
  </si>
  <si>
    <t>0709/FTSCY/WS95051 126921660.00 AH P HAIRUL 1/9 PHALOSARI UNGGUL J</t>
  </si>
  <si>
    <t>0709/FTSCY/WS95031 30093750.00 ANDALAN YASA MITRA</t>
  </si>
  <si>
    <t>0709/FTSCY/WS95051 154874620.00 ah 3506.2x20100+ 4000x21100 GEMILANG INTI SUKS</t>
  </si>
  <si>
    <t>0709/FTSCY/WS95271 69040400.00 Sat Sep 05 2026 14:00:00 GMT+0700 (Western Indonesia Time) ANDALAN YASA MITRA</t>
  </si>
  <si>
    <t>0709/FTSCY/WS95271 74030100.00 Sat Sep 05 2026 14:00:00 GMT+0700 (Western Indonesia Time) BINTANG TAMA SANTO</t>
  </si>
  <si>
    <t>0709/FTSCY/WS95011 69120000.00 WAHYU MEGA ARSITA</t>
  </si>
  <si>
    <t>0709/FTSCY/WS95271 62147400.00 Sat Sep 05 2026 14:00:00 GMT+0700 (Western Indonesia Time) TUMBUH OPTIMAL PRI</t>
  </si>
  <si>
    <t>0709/FTSCY/WS95031 600000.00 ANDE DOSO ANGGORO</t>
  </si>
  <si>
    <t>0709/FTSCY/WS95271 91100000.00 pelunasan LAJU SATWA WISESA</t>
  </si>
  <si>
    <t>0709/FTSCY/WS95011 62497600.00 Sat Sep 05 2026 14:00:00 GMT+0700 (Western Indonesia Time) RUKUN MITRA BERSAM</t>
  </si>
  <si>
    <t>0709/FTSCY/WS95011 49135900.00 Sat Sep 05 2026 14:00:00 GMT+0700 (Western Indonesia Time) GANESHA SATRIA NUS</t>
  </si>
  <si>
    <t>0709/FTSCY/WS95011 63374200.00 Sat Sep 05 2026 14:00:00 GMT+0700 (Western Indonesia Time) ANUGERAH KARTIKA A</t>
  </si>
  <si>
    <t>0709/FTSCY/WS95271 852240.00 SILVIA AGUSTINA</t>
  </si>
  <si>
    <t>0709/FTSCY/WS95031 3530550.00 DWI HERMANSYAH</t>
  </si>
  <si>
    <t>0709/FTSCY/WS95031 2531180.00 HERMAWAN</t>
  </si>
  <si>
    <t>0709/FTSCY/WS95031 500000.00 MUJIANTO</t>
  </si>
  <si>
    <t>0709/FTSCY/WS95031 9427100.00 EKO SETIYAWAN</t>
  </si>
  <si>
    <t>0709/FTSCY/WS95031 1600000.00 MUJIANTO</t>
  </si>
  <si>
    <t>0709/FTSCY/WS95031 1300000.00 BELA PRAMUDITA</t>
  </si>
  <si>
    <t>TRSF E-BANKING CR TANGGAL :07/09</t>
  </si>
  <si>
    <t>0709/FTSCY/WS95051 SIDO RAYA UTAMA CV</t>
  </si>
  <si>
    <t>0809/FTSCY/WS95271 61500000.00 Sun Sep 06 2026 14:00:00 GMT+0700 (Western Indonesia Time) SURYA INTI TERNAK</t>
  </si>
  <si>
    <t>0809/FTSCY/WS95271 100852010.00 05 dan 06 SUPER UNGGAS JAYA</t>
  </si>
  <si>
    <t>0809/FTSCY/WS95051 317527080.00 AH P HAIRUL 31/8 PHALOSARI UNGGUL J</t>
  </si>
  <si>
    <t>0809/FTFVA/WS95031 67847/UNGGAS MANDI ponorogo - 200043</t>
  </si>
  <si>
    <t>0809/FTFVA/WS95031 55569/PT PRIMA FAJ prob. - 40190</t>
  </si>
  <si>
    <t>0809/FTSCY/WS95271 100617250.00 lunas BRANTAS ABADI SENT</t>
  </si>
  <si>
    <t>0809/FTSCY/WS95031 50000000.00 BRANTAS ABADI SENT</t>
  </si>
  <si>
    <t>0809/FTSCY/WS95011 64400000.00 WAHYU MEGA ARSITA</t>
  </si>
  <si>
    <t>0809/FTSCY/WS95271 72264550.00 ADHITYA WIRATAMA</t>
  </si>
  <si>
    <t>0809/FTSCY/WS95271 37000000.00 BERLIAN UNGGUL JAY</t>
  </si>
  <si>
    <t>0809/FTSCY/WS95031 27000000.00 pelunasan BERLIAN UNGGUL JAY</t>
  </si>
  <si>
    <t>0809/FTSCY/WS95011 73926000.00 Sun Sep 06 2026 14:00:00 GMT+0700 (Western Indonesia Time) TERNAK SEJATI TABA</t>
  </si>
  <si>
    <t>0809/FTSCY/WS95031 2000000.00 BELA PRAMUDITA</t>
  </si>
  <si>
    <t>0809/FTSCY/WS95031 1677000.00 SUNARTO</t>
  </si>
  <si>
    <t>TRSF E-BANKING CR TANGGAL :08/09</t>
  </si>
  <si>
    <t>0809/FTSCY/WS95051 SIDO RAYA UTAMA CV</t>
  </si>
  <si>
    <t>0909/FTSCY/WS95011 70283200.00 Sun Sep 06 2026 14:00:00 GMT+0700 (Western Indonesia Time) BINTANG TAMA SANTO</t>
  </si>
  <si>
    <t>0909/FTSCY/WS95011 61113240.00 Sat Sep 05 2026 14:00:00 GMT+0700 (Western Indonesia Time) BROILER MAKMUR TAN</t>
  </si>
  <si>
    <t>0909/FTSCY/WS95011 115351640.00 Pelunasan SUPER UNGGAS JAYA</t>
  </si>
  <si>
    <t>0909/FTSCY/WS95011 67200000.00 Sun Sep 06 2026 14:00:00 GMT+0700 (Western Indonesia Time) BINTANG TAMA SANTO</t>
  </si>
  <si>
    <t>0909/FTSCY/WS95011 84000000.00 Sun Sep 06 2026 14:00:00 GMT+0700 (Western Indonesia Time) BINTANG TAMA SANTO</t>
  </si>
  <si>
    <t>0909/FTSCY/WS95011 102051700.00 Sun Sep 06 2026 14:00:00 GMT+0700 (Western Indonesia Time) BROILER MAKMUR TAN</t>
  </si>
  <si>
    <t>0909/FTSCY/WS95271 1120000.00 HALIM IBRAHIM</t>
  </si>
  <si>
    <t>0909/FTSCY/WS95271 1000000.00 SITI RAHMA IFTITAH</t>
  </si>
  <si>
    <t>0909/FTSCY/WS95031 2402400.00 NURHAYATI</t>
  </si>
  <si>
    <t>0909/FTSCY/WS95031 1300000.00 DWI HERMANSYAH</t>
  </si>
  <si>
    <t>0909/FTSCY/WS95031 1457450.00 HERMAWAN</t>
  </si>
  <si>
    <t>0909/FTSCY/WS95031 700000.00 MUJIANTO</t>
  </si>
  <si>
    <t>0909/FTSCY/WS95031 1922860.00 FAJAR ANDREANZAH</t>
  </si>
  <si>
    <t>0909/FTSCY/WS95051 211501600.00 Byr lb tgl 8/9 MANDALA MAJU MAPAN</t>
  </si>
  <si>
    <t>0909/FTSCY/WS95051 212756005.00 krmn 8/9 TERA MULIA KORPORI</t>
  </si>
  <si>
    <t>0909/FTFVA/WS95031 55574/GUNA MITRA S t.agung - 200177</t>
  </si>
  <si>
    <t>0909/FTSCY/WS95051 173099840.00 AH P HAIRUL 7 SEPT PHALOSARI UNGGUL J</t>
  </si>
  <si>
    <t>0909/FTSCY/WS95051 138264900.00 Pembelian ayam TRIJAYA LESTARI FO</t>
  </si>
  <si>
    <t>0909/FTSCY/WS95011 277048080.00 WAHYU MEGA ARSITA</t>
  </si>
  <si>
    <t>0909/FTSCY/WS95051 100000000.00 krmn 9/9 TERA MULIA KORPORI</t>
  </si>
  <si>
    <t>0909/FTSCY/WS95031 24275800.00 lmjg BERLIAN UNGGUL JAY</t>
  </si>
  <si>
    <t>0909/FTSCY/WS95271 2200000.00 HALIM IBRAHIM</t>
  </si>
  <si>
    <t>0909/FTSCY/WS95031 52345000.00 pelunasan BROILER MAKMUR TAN</t>
  </si>
  <si>
    <t>0909/FTSCY/WS95271 150765450.00 krg 125 jt BRANTAS ABADI SENT</t>
  </si>
  <si>
    <t>0909/FTFVA/WS95031 55569/PT PRIMA FAJ prob - 40190</t>
  </si>
  <si>
    <t>0909/FTFVA/WS95031 55569/PT PRIMA FAJ pelunasan - 40190</t>
  </si>
  <si>
    <t>0909/FTSCY/WS95271 68774200.00 Tue Sep 08 2026 14:00:00 GMT+0700 (Western Indonesia Time) BINTANG TAMA SANTO</t>
  </si>
  <si>
    <t>0909/FTSCY/WS95031 3522620.00 pot. 300 rb  sisa 1.7 jt SUNARTO</t>
  </si>
  <si>
    <t>TRSF E-BANKING CR TANGGAL :09/09</t>
  </si>
  <si>
    <t>09/09 /Z77A1/00000 ZAINAL ARIFIN</t>
  </si>
  <si>
    <t>TRSF E-BANKING DB TANGGAL :09/09</t>
  </si>
  <si>
    <t>0909/FTSCY/WS95271 Mon Sep 07 2026 14:00:00 GMT+0700 (Western Indonesia Time) SUPER UNGGAS JAYA</t>
  </si>
  <si>
    <t>1009/FTSCY/WS95271 68640000.00 madiun BEJO RAHAYU SLAMET</t>
  </si>
  <si>
    <t>1009/FTSCY/WS95011 62387500.00 Mon Sep 07 2026 14:00:00 GMT+0700 (Western Indonesia Time) ANUGERAH KARTIKA A</t>
  </si>
  <si>
    <t>1009/FTSCY/WS95011 69046000.00 Mon Sep 07 2026 14:00:00 GMT+0700 (Western Indonesia Time) ANUGERAH KARTIKA A</t>
  </si>
  <si>
    <t>1009/FTSCY/WS95011 61245670.00 Pelunasan BINTANG TAMA SANTO</t>
  </si>
  <si>
    <t>1009/FTSCY/WS95011 135036000.00 Mon Sep 07 2026 14:00:00 GMT+0700 (Western Indonesia Time) BROILER MAKMUR TAN</t>
  </si>
  <si>
    <t>1009/FTSCY/WS95031 1300000.00 DWI HERMANSYAH</t>
  </si>
  <si>
    <t>1009/FTSCY/WS95271 50000000.00 titip 10 Sept jemb er ngoro 3800kg SUGENG MARIONO</t>
  </si>
  <si>
    <t>1009/FTSCY/WS95031 3300000.00 MUJIANTO</t>
  </si>
  <si>
    <t>1009/FTSCY/WS95031 23809270.00 krg 40 jt EKO SETIYAWAN</t>
  </si>
  <si>
    <t>1009/FTSCY/WS95031 2300000.00 HERMAWAN</t>
  </si>
  <si>
    <t>SWITCHING DB</t>
  </si>
  <si>
    <t>KE 009 SDR AHMAD LUTHFI F /M-BCA</t>
  </si>
  <si>
    <t>TRANSFERKE 009 SDR AHMAD LUTHFI F /M-BCA</t>
  </si>
  <si>
    <t>10/09 /Z8KB1/00000 ZAINAL ARIFIN</t>
  </si>
  <si>
    <t>TRSF E-BANKING DB TANGGAL :10/09</t>
  </si>
  <si>
    <t>1009/FTSCY/WS95271 Mon Sep 07 2026 14:00:00 GMT+0700 (Western Indonesia Time) ANDALAN YASA MITRA</t>
  </si>
  <si>
    <t>1109/FTSCY/WS95051 295453950.00 Byr lb tgl 9/9 MANDALA MAJU MAPAN</t>
  </si>
  <si>
    <t>1109/FTSCY/WS95271 125000000.00 pelunasan BRANTAS ABADI SENT</t>
  </si>
  <si>
    <t>1109/FTSCY/WS95271 59757500.00 Tue Sep 08 2026 14:00:00 GMT+0700 (Western Indonesia Time) GANESHA SATRIA NUS</t>
  </si>
  <si>
    <t>1109/FTSCY/WS95271 67716600.00 Tue Sep 08 2026 14:00:00 GMT+0700 (Western Indonesia Time) ANDALAN YASA MITRA</t>
  </si>
  <si>
    <t>1109/FTSCY/WS95271 30000000.00 pelunasan ANDALAN YASA MITRA</t>
  </si>
  <si>
    <t>1109/FTSCY/WS95051 203847867.00 krmn 9/9 TERA MULIA KORPORI</t>
  </si>
  <si>
    <t>1109/FTSCY/WS95031 300000.00 SANDI FAJAR PRASET</t>
  </si>
  <si>
    <t>1109/FTSCY/WS95031 71649400.00 Tue Sep 08 2026 14:00:00 GMT+0700 (Western Indonesia Time) TABASSAM AL HATTAK</t>
  </si>
  <si>
    <t>1109/FTSCY/WS95011 119066400.00 Tue Sep 08 2026 14:00:00 GMT+0700 (Western Indonesia Time) DEWI MALATIKA</t>
  </si>
  <si>
    <t>1109/FTSCY/WS95271 10000.00 BEJO RAHAYU SLAMET</t>
  </si>
  <si>
    <t>1109/FTSCY/WS95011 75900000.00 Tue Sep 08 2026 14:00:00 GMT+0700 (Western Indonesia Time) INTEGRASI TEKNOLOG</t>
  </si>
  <si>
    <t>1109/FTSCY/WS95051 264178060.00 AH P HAIRUL 6 SEPT PHALOSARI UNGGUL J</t>
  </si>
  <si>
    <t>1109/FTSCY/WS95011 192114000.00 09_09 BINTANG TAMA SANTO</t>
  </si>
  <si>
    <t>1109/FTSCY/WS95011 112919490.00 Tue Sep 08 2026 14:00:00 GMT+0700 (Western Indonesia Time) SUPER UNGGAS JAYA</t>
  </si>
  <si>
    <t>1109/FTSCY/WS95031 28000000.00 SUPER UNGGAS JAYA</t>
  </si>
  <si>
    <t>1109/FTSCY/WS95271 17500000.00 SUPER UNGGAS JAYA</t>
  </si>
  <si>
    <t>1209/FTSCY/WS95031 37600000.00 NURUL AINI</t>
  </si>
  <si>
    <t>1209/FTSCY/WS95051 142804880.00 krmn 11/9 TERA MULIA KORPORI</t>
  </si>
  <si>
    <t>1209/FTSCY/WS95051 73143000.00 BYR AH HAIRUL BIJI JAGUNG PERKAS</t>
  </si>
  <si>
    <t>1209/FTSCY/WS95051 209570900.00 Byr lb tgl 11/9 MANDALA MAJU MAPAN</t>
  </si>
  <si>
    <t>1209/FTSCY/WS95271 69000000.00 Tue Sep 08 2026 14:00:00 GMT+0700 (Western Indonesia Time) ANDALAN YASA MITRA</t>
  </si>
  <si>
    <t>1209/FTSCY/WS95271 68206500.00 Tue Sep 08 2026 14:00:00 GMT+0700 (Western Indonesia Time) ANUGERAH KARTIKA A</t>
  </si>
  <si>
    <t>1209/FTSCY/WS95271 42889000.00 pelunasan SUPER UNGGAS JAYA</t>
  </si>
  <si>
    <t>1209/FTSCY/WS95271 58071500.00 Tue Sep 08 2026 14:00:00 GMT+0700 (Western Indonesia Time) ANUGERAH KARTIKA A</t>
  </si>
  <si>
    <t>1209/FTSCY/WS95031 53847150.00 Tue Sep 08 2026 14:00:00 GMT+0700 (Western Indonesia Time) ANDALAN YASA MITRA</t>
  </si>
  <si>
    <t>1209/FTSCY/WS95271 20000000.00 pelunasan ANDALAN YASA MITRA</t>
  </si>
  <si>
    <t>1209/FTSCY/WS95271 12500000.00 pelunasan TABASSAM AZ ZUFAR</t>
  </si>
  <si>
    <t>1209/FTSCY/WS95011 33300000.00 Wed Sep 09 2026 14:00:00 GMT+0700 (Western Indonesia Time) ANDALAN YASA MITRA</t>
  </si>
  <si>
    <t>1209/FTFVA/WS95031 67847/UNGGAS MANDI ponorogo - 200043</t>
  </si>
  <si>
    <t>1209/FTSCY/WS95051 152751120.00 AH P HAIRUL 4 SEPT PHALOSARI UNGGUL J</t>
  </si>
  <si>
    <t>1209/FTSCY/WS95051 100000000.00 krmn 12/9 ERICKO HERMAWAN</t>
  </si>
  <si>
    <t>1209/FTSCY/WS95011 63000000.00 WAHYU MEGA ARSITA</t>
  </si>
  <si>
    <t>1209/FTSCY/WS95031 75000000.00 WAHYUDI</t>
  </si>
  <si>
    <t>1209/FTSCY/WS95051 81764790.00 ah 4067.9x20100 GEMILANG INTI SUKS</t>
  </si>
  <si>
    <t>1209/FTSCY/WS95011 134022000.00 Thu Sep 10 2026 14:00:00 GMT+0700 (Western Indonesia Time) TUMBUH OPTIMAL PRI</t>
  </si>
  <si>
    <t>1209/FTSCY/WS95011 63645750.00 Sat Sep 12 2026 14:00:00 GMT+0700 (Western Indonesia Time) BRANTAS ABADI SENT</t>
  </si>
  <si>
    <t>1209/FTSCY/WS95011 126093750.00 Fri Sep 11 2026 14:00:00 GMT+0700 (Western Indonesia Time) ANUGERAH KARTIKA A</t>
  </si>
  <si>
    <t>1209/FTSCY/WS95011 134718920.00 Thu Sep 10 2026 14:00:00 GMT+0700 (Western Indonesia Time) TABASSAM JAYA FARM</t>
  </si>
  <si>
    <t>PIZZA HUT,JEMBER 6019009510239343</t>
  </si>
  <si>
    <t>1309/FTSCY/WS95031 5315900.00 SUNARTO</t>
  </si>
  <si>
    <t>1309/FTSCY/WS95031 36535000.00 NURUL AINI</t>
  </si>
  <si>
    <t>BIF TRANSFER KE 2 MISYATI MyBCA</t>
  </si>
  <si>
    <t>BIF BIAYA TXN KE 2 MISYATI MyBCA</t>
  </si>
  <si>
    <t>1309/FTSCY/WS95271 100000000.00 Bayar Ayam RPA SBU ALDINI MARIA GUMIL</t>
  </si>
  <si>
    <t>1309/FTSCY/WS95031 66246400.00 Thu Sep 10 2026 14:00:00 GMT+0700 (Western Indonesia Time) ANDALAN YASA MITRA</t>
  </si>
  <si>
    <t>1309/FTSCY/WS95031 10472350.00 MUJIANTO</t>
  </si>
  <si>
    <t>1309/FTSCY/WS95031 3714950.00 HERMAWAN</t>
  </si>
  <si>
    <t>1309/FTSCY/WS95031 2294600.00 DWI HERMANSYAH</t>
  </si>
  <si>
    <t>1309/FTSCY/WS95031 2174750.00 FAJAR ANDREANZAH</t>
  </si>
  <si>
    <t>1309/FTSCY/WS95271 10306710.00 krg 55 jt EKO SETIYAWAN</t>
  </si>
  <si>
    <t>1309/FTSCY/WS95031 600000.00 NURHAYATI</t>
  </si>
  <si>
    <t>1309/FTSCY/WS95051 283745850.00 krmn 12/9 ERICKO HERMAWAN</t>
  </si>
  <si>
    <t>1309/FTSCY/WS95051 296810750.00 Byr lb tgl 12/9 MANDALA MAJU MAPAN</t>
  </si>
  <si>
    <t>1309/FTFVA/WS95031 55569/PT PRIMA FAJ pelunasan prob. da n malang 40190</t>
  </si>
  <si>
    <t>1309/FTSCY/WS95011 188633500.00 Fri Sep 11 2026 14:00:00 GMT+0700 (Western Indonesia Time) GANESHA SATRIA NUS</t>
  </si>
  <si>
    <t>1309/FTSCY/WS95051 66371400.00 BYR AH HAIRUL BIJI JAGUNG PERKAS</t>
  </si>
  <si>
    <t>1309/FTSCY/WS95011 152710610.00 Fri Sep 11 2026 14:00:00 GMT+0700 (Western Indonesia Time) BINTANG TAMA SANTO</t>
  </si>
  <si>
    <t>1309/FTSCY/WS95011 57002000.00 Fri Sep 11 2026 14:00:00 GMT+0700 (Western Indonesia Time) SUPER UNGGAS JAYA</t>
  </si>
  <si>
    <t>LLG-MANDIRI SUPER FAMOUS CHICK Pembelian bebek hi du</t>
  </si>
  <si>
    <t>1309/FTSCY/WS95051 206159840.00 AH P HAIRUL 5 SEPT PHALOSARI UNGGUL J</t>
  </si>
  <si>
    <t>1309/FTSCY/WS95011 101653450.00 Fri Sep 11 2026 14:00:00 GMT+0700 (Western Indonesia Time) TABASSAM AL HATTAK</t>
  </si>
  <si>
    <t>1309/FTSCY/WS95271 30999560.00 pelunasan TABASSAM AL HATTAK</t>
  </si>
  <si>
    <t>1309/FTSCY/WS95011 100000000.00 krmn 13/9 ERICKO HERMAWAN</t>
  </si>
  <si>
    <t>1309/FTSCY/WS95271 193470350.00 Fri Sep 11 2026 14:00:00 GMT+0700 (Western Indonesia Time) ANDALAN YASA MITRA</t>
  </si>
  <si>
    <t>1309/FTSCY/WS95031 44200000.00 WAHYUDI</t>
  </si>
  <si>
    <t>1309/FTSCY/WS95271 9220480.00 Sun Sep 13 2026 14:00:00 GMT+0700 (Western Indonesia Time) EKO SETIYAWAN</t>
  </si>
  <si>
    <t>1409/FTSCY/WS95011 86327250.00 Pelunasan jombang PITIK DIGITAL INDO</t>
  </si>
  <si>
    <t>1409/FTSCY/WS95011 80026000.00 Fri Sep 11 2026 14:00:00 GMT+0700 (Western Indonesia Time) BINTANG TAMA SANTO</t>
  </si>
  <si>
    <t>1409/FTSCY/WS95011 71213100.00 T.agung 11/09 PITIK DIGITAL INDO</t>
  </si>
  <si>
    <t>1409/FTSCY/WS95011 72401250.00 Lmjg SURYA INTI TERNAK</t>
  </si>
  <si>
    <t>1409/FTSCY/WS95031 4863730.00 NURHAYATI</t>
  </si>
  <si>
    <t>1409/FTSCY/WS95031 1800000.00 MUJIANTO</t>
  </si>
  <si>
    <t>1409/FTSCY/WS95031 2875800.00 HERMAWAN</t>
  </si>
  <si>
    <t>1409/FTSCY/WS95031 1200000.00 DWI HERMANSYAH</t>
  </si>
  <si>
    <t>1409/FTSCY/WS95051 216580600.00 SIDO RAYA UTAMA CV</t>
  </si>
  <si>
    <t>1409/FTSCY/WS95271 134670000.00 BAYAR AYAM RPA SBU ALDINI MARIA GUMIL</t>
  </si>
  <si>
    <t>1409/FTSCY/WS95011 184800500.00 Fri Sep 11 2026 14:00:00 GMT+0700 (Western Indonesia Time) PITIK DIGITAL INDO</t>
  </si>
  <si>
    <t>1409/FTSCY/WS95271 63000000.00 mlg SURYA INTI TERNAK</t>
  </si>
  <si>
    <t>1409/FTSCY/WS95271 62822250.00 Fri Sep 11 2026 14:00:00 GMT+0700 (Western Indonesia Time) BROILER MAKMUR TAN</t>
  </si>
  <si>
    <t>1409/FTSCY/WS95271 64463400.00 Sat Sep 12 2026 14:00:00 GMT+0700 (Western Indonesia Time) BROILER MAKMUR TAN</t>
  </si>
  <si>
    <t>CONATO BAKERY NICO 6019009510239343</t>
  </si>
  <si>
    <t>14/09  WSID9503100 0865 PLN PREPAID 32104859353 MUHAMMAD HAIRUL MA</t>
  </si>
  <si>
    <t>1409/FTSCY/WS95051 196720950.00 AH Hairul 11/9 PHALOSARI UNGGUL J</t>
  </si>
  <si>
    <t>1409/FTFVA/WS95031 67847/UNGGAS MANDI ponorogo - 200043</t>
  </si>
  <si>
    <t>1409/FTSCY/WS95031 55188020.00 1209 TABASSAM AL HATTAK</t>
  </si>
  <si>
    <t>1409/FTSCY/WS95011 100000000.00 krmn 14/9 ERICKO HERMAWAN</t>
  </si>
  <si>
    <t>1409/FTSCY/WS95031 13601800.00 EKO SETIYAWAN</t>
  </si>
  <si>
    <t>1409/FTSCY/WS95031 1987420.00 SUNARTO</t>
  </si>
  <si>
    <t>1409/FTSCY/WS95271 67500000.00 Sat Sep 12 2026 14:00:00 GMT+0700 (Western Indonesia Time) ANDALAN YASA MITRA</t>
  </si>
  <si>
    <t>1409/FTSCY/WS95271 42105750.00 Sat Sep 12 2026 14:00:00 GMT+0700 (Western Indonesia Time) SURYA INTI TERNAK</t>
  </si>
  <si>
    <t>1409/FTSCY/WS95031 2500000.00 pelunasan SURYA INTI TERNAK</t>
  </si>
  <si>
    <t>1409/FTSCY/WS95031 15000000.00 SURYA INTI TERNAK</t>
  </si>
  <si>
    <t>TRSF E-BANKING CR TANGGAL :14/09</t>
  </si>
  <si>
    <t>1409/FTSCY/WS95011 BAYAR AYAM RPA SBU ALDINI MARIA GUMIL</t>
  </si>
  <si>
    <t>1509/FTSCY/WS95271 79413750.00 Sat Sep 12 2026 14:00:00 GMT+0700 (Western Indonesia Time) PITIK DIGITAL INDO</t>
  </si>
  <si>
    <t>1509/FTSCY/WS95271 12500000.00 pelunasan lmjg SURYA INTI TERNAK</t>
  </si>
  <si>
    <t>1509/FTSCY/WS95271 65627000.00 pelunasan 12/09 BROILER MAKMUR TAN</t>
  </si>
  <si>
    <t>1509/FTSCY/WS95031 1500000.00 HERMAWAN</t>
  </si>
  <si>
    <t>1509/FTSCY/WS95031 2788850.00 FAJAR ANDREANZAH</t>
  </si>
  <si>
    <t>1509/FTSCY/WS95031 3411540.00 MUJIANTO</t>
  </si>
  <si>
    <t>1509/FTSCY/WS95031 2114080.00 NURHAYATI</t>
  </si>
  <si>
    <t>1509/FTSCY/WS95051 200380000.00 Byr lb tgl14/9 MANDALA MAJU MAPAN</t>
  </si>
  <si>
    <t>1509/FTSCY/WS95271 60000000.00 SUGENG RIADI</t>
  </si>
  <si>
    <t>1509/FTFVA/WS95031 55569/PT PRIMA FAJ prob. - 40190</t>
  </si>
  <si>
    <t>1509/FTSCY/WS95031 55788600.00 Sun Sep 13 2026 14:00:00 GMT+0700 (Western Indonesia Time) TUMBUH OPTIMAL PRI</t>
  </si>
  <si>
    <t>1509/FTSCY/WS95031 452340.00 ANDE DOSO ANGGORO</t>
  </si>
  <si>
    <t>1509/FTSCY/WS95051 331173140.00 AH P HAIRUL 12 /9 PHALOSARI UNGGUL J</t>
  </si>
  <si>
    <t>1509/FTSCY/WS95271 67453800.00 Sun Sep 13 2026 14:00:00 GMT+0700 (Western Indonesia Time) TABASSAM AL HATTAK</t>
  </si>
  <si>
    <t>1509/FTSCY/WS95011 112695000.00 Sun Sep 13 2026 14:00:00 GMT+0700 (Western Indonesia Time) BINTANG TAMA SANTO</t>
  </si>
  <si>
    <t>1509/FTSCY/WS95011 133682250.00 Sun Sep 13 2026 14:00:00 GMT+0700 (Western Indonesia Time) ANUGERAH KARTIKA A</t>
  </si>
  <si>
    <t>1509/FTSCY/WS95031 9892530.00 EKO SETIYAWAN</t>
  </si>
  <si>
    <t>1509/FTSCY/WS95051 185641910.00 SIDO RAYA UTAMA CV</t>
  </si>
  <si>
    <t>1509/FTSCY/WS95011 114688840.00 Sun Sep 13 2026 14:00:00 GMT+0700 (Western Indonesia Time) SUPER UNGGAS JAYA</t>
  </si>
  <si>
    <t>1509/FTSCY/WS95011 63000000.00 Sun Sep 13 2026 14:00:00 GMT+0700 (Western Indonesia Time) ANUGERAH KARTIKA A</t>
  </si>
  <si>
    <t>1509/FTSCY/WS95031 30460000.00 NURUL AINI</t>
  </si>
  <si>
    <t>1509/FTSCY/WS95011 75918400.00 Krg 120.3 jt BROILER MAKMUR TAN</t>
  </si>
  <si>
    <t>BIAYA ADM</t>
  </si>
  <si>
    <t>1609/FTSCY/WS95031 1534280.00 SUNARTO</t>
  </si>
  <si>
    <t>1609/FTSCY/WS95031 1000000.00 DWI HERMANSYAH</t>
  </si>
  <si>
    <t>16/09  WSID9503101 1220 TELKOMSEL 82318368518 MUHAMMAD HAIRUL MA</t>
  </si>
  <si>
    <t>1609/FTFVA/WS95031 80777/TOKOPEDIA - - 82318368518</t>
  </si>
  <si>
    <t>1609/FTSCY/WS95271 60000000.00 BAYAR AYAM RPA SBU G ALDINI MARIA GUMIL</t>
  </si>
  <si>
    <t>1609/FTSCY/WS95031 24184740.00 pelunasan RUKUN MITRA BERSAM</t>
  </si>
  <si>
    <t>1609/FTSCY/WS95031 40000000.00 LAWU ABADI NUSA PT</t>
  </si>
  <si>
    <t>1609/FTSCY/WS95051 100000000.00 krmn 16/9 ERICKO HERMAWAN</t>
  </si>
  <si>
    <t>1609/FTSCY/WS95051 60472800.00 Byr lb tgl 15/9 MANDALA MAJU MAPAN</t>
  </si>
  <si>
    <t>1609/FTSCY/WS95031 19263450.00 pelunasan LAWU ABADI NUSA PT</t>
  </si>
  <si>
    <t>BIF TRANSFER KE 9 AHMAD LUTHFI FADHI M-BCA</t>
  </si>
  <si>
    <t>BIF BIAYA TXN KE 9 AHMAD LUTHFI FADHI M-BCA</t>
  </si>
  <si>
    <t>1609/FTFVA/WS95031 55569/PT PRIMA FAJ besuki - 40190</t>
  </si>
  <si>
    <t>1609/FTSCY/WS95031 2075830.00 SUNARTO</t>
  </si>
  <si>
    <t>TRSF E-BANKING CR TANGGAL :16/09</t>
  </si>
  <si>
    <t>1609/FTSCY/WS95051 SIDO RAYA UTAMA CV</t>
  </si>
  <si>
    <t>1609/FTSCY/WS95011 Byr aym rpa sbu ALDINI MARIA GUMIL</t>
  </si>
  <si>
    <t>1709/FTSCY/WS95271 135657900.00 prob BRANTAS ABADI SENT</t>
  </si>
  <si>
    <t>1709/FTFVA/WS95031 80777/TOKOPEDIA - - 82318368518</t>
  </si>
  <si>
    <t>1709/FTSCY/WS95271 120300000.00 pelunasan BROILER MAKMUR TAN</t>
  </si>
  <si>
    <t>1709/FTSCY/WS95271 32229850.00 krg 20 jt TABASSAM AL HATTAK</t>
  </si>
  <si>
    <t>TARIKAN ATM 17/09</t>
  </si>
  <si>
    <t>1709/FTSCY/WS95271 57480000.00 Byr aym rpa SBu ALDINI MARIA GUMIL</t>
  </si>
  <si>
    <t>TRSF E-BANKING DB TANGGAL :17/09</t>
  </si>
  <si>
    <t>1709/FTSCY/WS95031 ppelunasan TABASSAM AL HATTAK</t>
  </si>
  <si>
    <t>1709/FTSCY/WS95031 krg 20 jt ANDALAN YASA MITRA</t>
  </si>
  <si>
    <t>1809/FTSCY/WS95051 127978750.00 Byr lb tgl 16/9 MANDALA MAJU MAPAN</t>
  </si>
  <si>
    <t>1809/FTSCY/WS95271 123000000.00 GANESHA SATRIA NUS</t>
  </si>
  <si>
    <t>1809/FTSCY/WS95271 5000000.00 TABASSAM AL HATTAK</t>
  </si>
  <si>
    <t>1809/FTSCY/WS95011 68600000.00 BAYAR AYAM P MUNIB SBU ALDINI MARIA GUMIL</t>
  </si>
  <si>
    <t>1809/FTSCY/WS95031 20000000.00 pelunasan ANDALAN YASA MITRA</t>
  </si>
  <si>
    <t>1809/FTSCY/WS95031 2300000.00 pelunasan LAJU SATWA WISESA</t>
  </si>
  <si>
    <t>BIF TRANSFER KE 2 TURYADI M-BCA</t>
  </si>
  <si>
    <t>BIF BIAYA TXN KE 2 TURYADI M-BCA</t>
  </si>
  <si>
    <t>1809/FTSCY/WS95011 56613660.00 BAYAR AYAM RPA SBU ALDINI MARIA GUMIL</t>
  </si>
  <si>
    <t>1809/FTSCY/WS95031 1500000.00 NURUL AINI</t>
  </si>
  <si>
    <t>1809/FTSCY/WS95031 64940750.00 Mon Sep 14 2026 14:00:00 GMT+0700 (Western Indonesia Time) ANUGERAH KARTIKA A</t>
  </si>
  <si>
    <t>1809/FTSCY/WS95051 216141420.00 AH P HAIRUL 8/9 PHALOSARI UNGGUL J</t>
  </si>
  <si>
    <t>1809/FTSCY/WS95271 65790000.00 Mon Sep 14 2026 14:00:00 GMT+0700 (Western Indonesia Time) ANUGERAH KARTIKA A</t>
  </si>
  <si>
    <t>1809/FTSCY/WS95271 66143000.00 Mon Sep 14 2026 14:00:00 GMT+0700 (Western Indonesia Time) ANUGERAH KARTIKA A</t>
  </si>
  <si>
    <t>1809/FTSCY/WS95271 37967650.00 Tue Sep 15 2026 14:00:00 GMT+0700 (Western Indonesia Time) BINTANG TAMA SANTO</t>
  </si>
  <si>
    <t>1809/FTSCY/WS95011 20000000.00 Pelunasan BINTANG TAMA SANTO</t>
  </si>
  <si>
    <t>1809/FTSCY/WS95011 54151800.00 Tue Sep 15 2026 14:00:00 GMT+0700 (Western Indonesia Time) BINTANG TAMA SANTO</t>
  </si>
  <si>
    <t>1809/FTSCY/WS95031 1800000.00 BELA PRAMUDITA</t>
  </si>
  <si>
    <t>1809/FTSCY/WS95031 7664910.00 EKO SETIYAWAN</t>
  </si>
  <si>
    <t>1809/FTSCY/WS95051 100000000.00 krmn 18/9 ERICKO HERMAWAN</t>
  </si>
  <si>
    <t>1809/FTSCY/WS95011 17496280.00 EKO SETIYAWAN</t>
  </si>
  <si>
    <t>1809/FTSCY/WS95051 306976950.00 SIDO RAYA UTAMA CV</t>
  </si>
  <si>
    <t>1809/FTSCY/WS95271 300000.00 SANDI FAJAR PRASET</t>
  </si>
  <si>
    <t>1809/FTSCY/WS95011 194573750.00 Tue Sep 15 2026 14:00:00 GMT+0700 (Western Indonesia Time) BINTANG TAMA SANTO</t>
  </si>
  <si>
    <t>1809/FTSCY/WS95011 141450540.00 Tue Sep 15 2026 14:00:00 GMT+0700 (Western Indonesia Time) TABASSAM AL HATTAK</t>
  </si>
  <si>
    <t>1809/FTSCY/WS95011 6000000.00 EKO SETIYAWAN</t>
  </si>
  <si>
    <t>1809/FTSCY/WS95011 58511100.00 15/09 lmjg SURYA INTI TERNAK</t>
  </si>
  <si>
    <t>TRSF E-BANKING DB TANGGAL :18/09</t>
  </si>
  <si>
    <t>1809/FTSCY/WS95031 SUNARTO</t>
  </si>
  <si>
    <t>1909/FTSCY/WS95051 207543000.00 Byr lb tgl 18/9 MANDALA MAJU MAPAN</t>
  </si>
  <si>
    <t>1909/FTSCY/WS95031 66027830.00 jbr LAWU ABADI NUSA PT</t>
  </si>
  <si>
    <t>1909/FTSCY/WS95271 62070000.00 Tue Sep 15 2026 14:00:00 GMT+0700 (Western Indonesia Time) BROILER MAKMUR TAN</t>
  </si>
  <si>
    <t>1909/FTSCY/WS95051 124134800.00 pembelian ayam hidup TRIJAYA LESTARI FO</t>
  </si>
  <si>
    <t>1909/FTSCY/WS95031 7736000.00 GANESHA SATRIA NUS</t>
  </si>
  <si>
    <t>1909/FTSCY/WS95271 64060000.00 GANESHA SATRIA NUS</t>
  </si>
  <si>
    <t>1909/FTSCY/WS95271 62125250.00 Tue Sep 15 2026 14:00:00 GMT+0700 (Western Indonesia Time) ANUGERAH KARTIKA A</t>
  </si>
  <si>
    <t>1909/FTSCY/WS95271 44060000.00 Fri Sep 18 2026 14:00:00 GMT+0700 (Western Indonesia Time) LAJU SATWA WISESA</t>
  </si>
  <si>
    <t>1909/FTSCY/WS95051 138159360.00 AH P HAIRUL 11/9 PHALOSARI UNGGUL J</t>
  </si>
  <si>
    <t>TARIKAN ATM 19/09</t>
  </si>
  <si>
    <t>1909/FTSCY/WS95051 74480000.00 ah 3800x19600 GEMILANG INTI SUKS</t>
  </si>
  <si>
    <t>1909/FTSCY/WS95011 120000000.00 Byr Aym RPA SBU ALDINI MARIA GUMIL</t>
  </si>
  <si>
    <t>BIF TRANSFER KE 9 NOUVAL HOLQI RISKU M-BCA</t>
  </si>
  <si>
    <t>BIF BIAYA TXN KE 9 NOUVAL HOLQI RISKU M-BCA</t>
  </si>
  <si>
    <t>1909/FTSCY/WS95011 118921700.00 WAHYU MEGA ARSITA</t>
  </si>
  <si>
    <t>1909/FTSCY/WS95011 172478300.00 Mon Aug 17 2026 14:00:00 GMT+0700 (Western Indonesia Time) TABASSAM AL HATTAK</t>
  </si>
  <si>
    <t>1909/FTSCY/WS95011 60008000.00 Thu Sep 17 2026 14:00:00 GMT+0700 (Western Indonesia Time) ANUGERAH KARTIKA A</t>
  </si>
  <si>
    <t>1909/FTSCY/WS95031 6000000.00 EKO SETIYAWAN</t>
  </si>
  <si>
    <t>1909/FTSCY/WS95011 56192550.00 Thu Sep 17 2026 14:00:00 GMT+0700 (Western Indonesia Time) ANUGERAH KARTIKA A</t>
  </si>
  <si>
    <t>1909/FTSCY/WS95271 60000000.00 BAYAR AYAM RPA SBU ALDINI MARIA GUMIL</t>
  </si>
  <si>
    <t>1909/FTSCY/WS95011 185690700.00 Thu Sep 17 2026 14:00:00 GMT+0700 (Western Indonesia Time) RUKUN MITRA BERSAM</t>
  </si>
  <si>
    <t>1909/FTSCY/WS95031 8071505.00 MUJIANTO</t>
  </si>
  <si>
    <t>1909/FTSCY/WS95031 3731890.00 FAJAR ANDREANZAH</t>
  </si>
  <si>
    <t>1909/FTSCY/WS95031 5257340.00 HERMAWAN</t>
  </si>
  <si>
    <t>1909/FTSCY/WS95271 7336900.00 EKO SETIYAWAN</t>
  </si>
  <si>
    <t>1909/FTSCY/WS95031 1000000.00 NURHAYATI</t>
  </si>
  <si>
    <t>1909/FTSCY/WS95271 3000000.00 MUJIANTO</t>
  </si>
  <si>
    <t>1909/FTSCY/WS95271 2100000.00 SUNARTO</t>
  </si>
  <si>
    <t>TRSF E-BANKING CR TANGGAL :19/09</t>
  </si>
  <si>
    <t>1909/FTSCY/WS95051 SIDO RAYA UTAMA CV</t>
  </si>
  <si>
    <t>2009/FTFVA/WS95031 55569/PT PRIMA FAJ besuki - 40190</t>
  </si>
  <si>
    <t>2009/FTFVA/WS95031 55574/GUNA MITRA S t.agung - 200177</t>
  </si>
  <si>
    <t>2009/FTSCY/WS95031 37659420.00 Fri Sep 18 2026 14:00:00 GMT+0700 (Western Indonesia Time) BRANTAS ABADI SENT</t>
  </si>
  <si>
    <t>2009/FTSCY/WS95271 74100000.00 Fri Sep 18 2026 14:00:00 GMT+0700 (Western Indonesia Time) INTEGRASI TEKNOLOG</t>
  </si>
  <si>
    <t>2009/FTSCY/WS95031 1300000.00 HERMAWAN</t>
  </si>
  <si>
    <t>2009/FTSCY/WS95031 2960150.00 lunas FAJAR ANDREANZAH</t>
  </si>
  <si>
    <t>ALFAMRT Y070 MTP2 6019009510239343</t>
  </si>
  <si>
    <t>TARIKAN ATM 20/09</t>
  </si>
  <si>
    <t>2009/FTSCY/WS95051 182087800.00 Byr lb tgl 19/9 MANDALA MAJU MAPAN</t>
  </si>
  <si>
    <t>ALFAMRT Y073 SUDI 6019009510239343</t>
  </si>
  <si>
    <t>SETORAN TUNAI</t>
  </si>
  <si>
    <t>2009/FTSCY/WS95051 148980000.00 ah 7800x19100 GEMILANG INTI SUKS</t>
  </si>
  <si>
    <t>2009/FTSCY/WS95051 279766880.00 ANGSUR AH P HAIRUL 2 SEPT(KRG 300JT) PHALOSARI UNGGUL J</t>
  </si>
  <si>
    <t>2009/FTSCY/WS95031 40000000.00 pembayaran Vios Dk 1481 ABO ARIN ERNAWATI</t>
  </si>
  <si>
    <t>2009/FTSCY/WS95011 185142450.00 WAHYU MEGA ARSITA</t>
  </si>
  <si>
    <t>2009/FTSCY/WS95031 6843000.00 NURUL AINI</t>
  </si>
  <si>
    <t>2009/FTSCY/WS95031 11642730.00 krg 60 jt EKO SETIYAWAN</t>
  </si>
  <si>
    <t>2009/FTSCY/WS95271 48623250.00 Fri Sep 18 2026 14:00:00 GMT+0700 (Western Indonesia Time) TERNAK SEJATI TABA</t>
  </si>
  <si>
    <t>2009/FTSCY/WS95271 68000000.00 Fri Sep 18 2026 14:00:00 GMT+0700 (Western Indonesia Time) ANDALAN YASA MITRA</t>
  </si>
  <si>
    <t>2009/FTSCY/WS95271 96194000.00 Fri Sep 18 2026 14:00:00 GMT+0700 (Western Indonesia Time) SUPER UNGGAS JAYA</t>
  </si>
  <si>
    <t>2009/FTSCY/WS95031 39500000.00 Fri Sep 18 2026 14:00:00 GMT+0700 (Western Indonesia Time) ANDALAN YASA MITRA</t>
  </si>
  <si>
    <t>2009/FTSCY/WS95011 19700000.00 Pelunasan 18/09 ANDALAN YASA MITRA</t>
  </si>
  <si>
    <t>2009/FTSCY/WS95011 115696200.00 Fri Sep 18 2026 14:00:00 GMT+0700 (Western Indonesia Time) BINTANG TAMA SANTO</t>
  </si>
  <si>
    <t>2009/FTSCY/WS95011 68000000.00 Fri Sep 18 2026 14:00:00 GMT+0700 (Western Indonesia Time) PITIK DIGITAL INDO</t>
  </si>
  <si>
    <t>2009/FTSCY/WS95011 113724050.00 Fri Sep 18 2026 14:00:00 GMT+0700 (Western Indonesia Time) BROILER MAKMUR TAN</t>
  </si>
  <si>
    <t>2009/FTSCY/WS95011 180957300.00 18/09 krg 60 jt ANDALAN YASA MITRA</t>
  </si>
  <si>
    <t>2009/FTSCY/WS95271 1593800.00 SUNARTO</t>
  </si>
  <si>
    <t>2009/FTSCY/WS95271 2361600.00 HERMAWAN</t>
  </si>
  <si>
    <t>2009/FTSCY/WS95271 8716750.00 lunas MUJIANTO</t>
  </si>
  <si>
    <t>TRSF E-BANKING CR TANGGAL :20/09</t>
  </si>
  <si>
    <t>2009/FTSCY/WS95051 SIDO RAYA UTAMA CV</t>
  </si>
  <si>
    <t>2109/FTSCY/WS95031 200000.00 SAIFUL BAHRI</t>
  </si>
  <si>
    <t>2109/FTSCY/WS95051 143668800.00 Byr lb tgl 20/9 MANDALA MAJU MAPAN</t>
  </si>
  <si>
    <t>2109/FTSCY/WS95031 10156500.00 ENI NUR IRMAWATI</t>
  </si>
  <si>
    <t>2109/FTSCY/WS95031 58000000.00 Sun Sep 20 2026 14:00:00 GMT+0700 (Western Indonesia Time) ANUGERAH KARTIKA A</t>
  </si>
  <si>
    <t>2109/FTSCY/WS95271 153734000.00 Wed Sep 09 2026 14:00:00 GMT+0700 (Western Indonesia Time) GANESHA SATRIA NUS</t>
  </si>
  <si>
    <t>2109/FTSCY/WS95271 146138600.00 Sat Sep 19 2026 14:00:00 GMT+0700 (Western Indonesia Time) BINTANG TAMA SANTO</t>
  </si>
  <si>
    <t>2109/FTSCY/WS95031 34000000.00 pelunasan BINTANG TAMA SANTO</t>
  </si>
  <si>
    <t>2109/FTSCY/WS95031 160000.00 DEWA MAHARDHIKA</t>
  </si>
  <si>
    <t>2109/FTSCY/WS95051 200000000.00 ANGSUR-2 P HAIRUL BYR 1-TGL 21/9 PHALOSARI UNGGUL J</t>
  </si>
  <si>
    <t>2109/FTSCY/WS95051 145160000.00 ah 7600x19100 GEMILANG INTI SUKS</t>
  </si>
  <si>
    <t>2109/FTSCY/WS95051 100000000.00 krmn 21/9 ERICKO HERMAWAN</t>
  </si>
  <si>
    <t>2109/FTSCY/WS95051 56067660.00 SIDO RAYA UTAMA CV</t>
  </si>
  <si>
    <t>2109/FTSCY/WS95051 55503240.00 SIDO RAYA UTAMA CV</t>
  </si>
  <si>
    <t>2109/FTSCY/WS95011 60000000.00 Sun Sep 20 2026 14:00:00 GMT+0700 (Western Indonesia Time) BRANTAS ABADI SENT</t>
  </si>
  <si>
    <t>2109/FTSCY/WS95011 60000000.00 Pelunasan ANDALAN YASA MITRA</t>
  </si>
  <si>
    <t>2109/FTSCY/WS95011 129897960.00 Sat Sep 19 2026 14:00:00 GMT+0700 (Western Indonesia Time) ANUGERAH KARTIKA A</t>
  </si>
  <si>
    <t>2109/FTSCY/WS95011 80507750.00 Pelunasan 19/09 BINTANG TAMA SANTO</t>
  </si>
  <si>
    <t>2109/FTSCY/WS95011 121371750.00 Sat Sep 19 2026 14:00:00 GMT+0700 (Western Indonesia Time) BINTANG TAMA SANTO</t>
  </si>
  <si>
    <t>2109/FTSCY/WS95011 47979000.00 Krg 82 jt PITIK DIGITAL INDO</t>
  </si>
  <si>
    <t>2109/FTSCY/WS95031 2950690.00 lunas FAJAR ANDREANZAH</t>
  </si>
  <si>
    <t>2209/FTSCY/WS95031 1200000.00 HERMAWAN</t>
  </si>
  <si>
    <t>2209/FTSCY/WS95031 5257920.00 lunas MUJIANTO</t>
  </si>
  <si>
    <t>2209/FTSCY/WS95271 42234000.00 mlg AULIYA SHOFWAN</t>
  </si>
  <si>
    <t>2209/FTSCY/WS95031 422340.00 AULIYA SHOFWAN</t>
  </si>
  <si>
    <t>2209/FTSCY/WS95051 133478600.00 Byr lb tgl 21/9 MANDALA MAJU MAPAN</t>
  </si>
  <si>
    <t>2209/FTSCY/WS95051 123239840.00 AH P HAIRUL 15/9 PHALOSARI UNGGUL J</t>
  </si>
  <si>
    <t>2209/FTSCY/WS95031 30960500.00 LAWU ABADI NUSA PT</t>
  </si>
  <si>
    <t>2209/FTSCY/WS95051 100000000.00 LUNAS AH P HAIRUL BYR 20/9 &amp; 21/9 PHALOSARI UNGGUL J</t>
  </si>
  <si>
    <t>22/09  WSID9503102 1220 TELKOMSEL 6282131900513 MUHAMMAD HAIRUL MA</t>
  </si>
  <si>
    <t>2209/FTSCY/WS95051 100000000.00 krmn 22/9 ERICKO HERMAWAN</t>
  </si>
  <si>
    <t>2209/FTSCY/WS95271 144400000.00 Sun Sep 20 2026 14:00:00 GMT+0700 (Western Indonesia Time) ANDALAN YASA MITRA</t>
  </si>
  <si>
    <t>2209/FTSCY/WS95271 78000000.00 pelunasan PITIK DIGITAL INDO</t>
  </si>
  <si>
    <t>2209/FTSCY/WS95271 35198450.00 Sun Sep 20 2026 14:00:00 GMT+0700 (Western Indonesia Time) SURYA INTI TERNAK</t>
  </si>
  <si>
    <t>2209/FTSCY/WS95031 25000000.00 pelunasan SURYA INTI TERNAK</t>
  </si>
  <si>
    <t>22/09  WSID9503102 0507 FIF 803001249921 MUHAMMAD HAIRUL MA</t>
  </si>
  <si>
    <t>2209/FTSCY/WS95011 167370560.00 WAHYU MEGA ARSITA</t>
  </si>
  <si>
    <t>2209/FTSCY/WS95031 27827700.00 SYAIFUL EFENDI</t>
  </si>
  <si>
    <t>2209/FTSCY/WS95011 310696000.00 Sun Sep 20 2026 14:00:00 GMT+0700 (Western Indonesia Time) PITIK DIGITAL INDO</t>
  </si>
  <si>
    <t>2209/FTSCY/WS95051 168805230.00 SIDO RAYA UTAMA CV</t>
  </si>
  <si>
    <t>2209/FTSCY/WS95031 1900000.00 BONDAN PUTRA PRATA</t>
  </si>
  <si>
    <t>2209/FTSCY/WS95031 5800220.00 EKO SETIYAWAN</t>
  </si>
  <si>
    <t>2209/FTSCY/WS95011 119612880.00 Sun Sep 20 2026 14:00:00 GMT+0700 (Western Indonesia Time) PITIK DIGITAL INDO</t>
  </si>
  <si>
    <t>2309/FTSCY/WS95271 20000000.00 Byr ayam rpa sbu ALDINI MARIA GUMIL</t>
  </si>
  <si>
    <t>2309/FTFVA/WS95031 67847/UNGGAS MANDI ponorogo - 200043</t>
  </si>
  <si>
    <t>2309/FTSCY/WS95031 54000000.00 SUGENG RIADI</t>
  </si>
  <si>
    <t>2309/FTSCY/WS95031 50000000.00 Bayar Ayam RPA SBU ALDINI MARIA GUMIL</t>
  </si>
  <si>
    <t>2309/FTSCY/WS95271 11000000.00 Bayar Ayam RPA SBU ALDINI MARIA GUMIL</t>
  </si>
  <si>
    <t>2309/FTSCY/WS95271 50000000.00 SUGENG RIADI</t>
  </si>
  <si>
    <t>2309/FTSCY/WS95031 6000000.00 SUGENG RIADI</t>
  </si>
  <si>
    <t>2309/FTSCY/WS95051 166510650.00 Byr lb tgl 22/9 MANDALA MAJU MAPAN</t>
  </si>
  <si>
    <t>2309/FTSCY/WS95031 1750000.00 BELA PRAMUDITA</t>
  </si>
  <si>
    <t>2309/FTSCY/WS95051 100000000.00 krmn 23/9 ERICKO HERMAWAN</t>
  </si>
  <si>
    <t>2309/FTSCY/WS95051 220494590.00 SIDO RAYA UTAMA CV</t>
  </si>
  <si>
    <t>2309/FTSCY/WS95031 451260.00 SYAIFUL EFENDI</t>
  </si>
  <si>
    <t>2309/FTSCY/WS95031 17000000.00 EKO SETIYAWAN</t>
  </si>
  <si>
    <t>2309/FTSCY/WS95011 184721000.00 Mon Sep 21 2026 14:00:00 GMT+0700 (Western Indonesia Time) SUPER UNGGAS JAYA</t>
  </si>
  <si>
    <t>2309/FTSCY/WS95011 102662200.00 Mon Sep 21 2026 14:00:00 GMT+0700 (Western Indonesia Time) ANUGERAH KARTIKA A</t>
  </si>
  <si>
    <t>2309/FTFVA/WS95031 55569/PT PRIMA FAJ jember - 40190</t>
  </si>
  <si>
    <t>2309/FTSCY/WS95271 57616000.00 Mon Sep 21 2026 14:00:00 GMT+0700 (Western Indonesia Time) ANDALAN YASA MITRA</t>
  </si>
  <si>
    <t>2309/FTSCY/WS95031 3519250.00 SUNARTO</t>
  </si>
  <si>
    <t>2409/FTSCY/WS95031 48330000.00 NURUL AINI</t>
  </si>
  <si>
    <t>2409/FTSCY/WS95031 35000000.00 WAHYUDI</t>
  </si>
  <si>
    <t>2409/FTSCY/WS95031 58500000.00 Tue Sep 22 2026 14:00:00 GMT+0700 (Western Indonesia Time) RUKUN MITRA BERSAM</t>
  </si>
  <si>
    <t>2409/FTSCY/WS95271 90541950.00 Mon Sep 21 2026 14:00:00 GMT+0700 (Western Indonesia Time) BROILER MAKMUR TAN</t>
  </si>
  <si>
    <t>TRSF E-BANKING CR TANGGAL :24/09</t>
  </si>
  <si>
    <t>2409/FTSCY/WS95011 Byr ayam rpa sbu ALDINI MARIA GUMIL</t>
  </si>
  <si>
    <t>TRSF E-BANKING DB TANGGAL :24/09</t>
  </si>
  <si>
    <t>2409/FTSCY/WS95271 pelunasan BROILER MAKMUR TAN</t>
  </si>
  <si>
    <t>2409/FTSCY/WS95271 Mon Sep 21 2026 14:00:00 GMT+0700 (Western Indonesia Time) SUPER UNGGAS JAYA</t>
  </si>
  <si>
    <t>2409/FTSCY/WS95271 Mon Sep 21 2026 14:00:00 GMT+0700 (Western Indonesia Time) ANUGERAH KARTIKA A</t>
  </si>
  <si>
    <t>2509/FTSCY/WS95031 3715000.00 HERMAWAN</t>
  </si>
  <si>
    <t>2509/FTSCY/WS95031 2944560.00 DWI HERMANSYAH</t>
  </si>
  <si>
    <t>2509/FTSCY/WS95051 147376350.00 Byr lb tgl 23/9 MANDALA MAJU MAPAN</t>
  </si>
  <si>
    <t>2509/FTSCY/WS95031 90000000.00 SUGENG RIADI</t>
  </si>
  <si>
    <t>2509/FTSCY/WS95271 57693040.00 pelunasan SUGENG RIADI</t>
  </si>
  <si>
    <t>2509/FTSCY/WS95051 133016560.00 pembelian ayam hidup TRIJAYA LESTARI FO</t>
  </si>
  <si>
    <t>2509/FTSCY/WS95271 81500000.00 pelunasan PT AGRISATYA PRIMA</t>
  </si>
  <si>
    <t>2509/FTSCY/WS95271 3000000.00 pelunasan BINTANG TAMA SANTO</t>
  </si>
  <si>
    <t>2509/FTSCY/WS95051 169616400.00 WAHYUDI</t>
  </si>
  <si>
    <t>2509/FTSCY/WS95051 57899520.00 AH P HAIRUL 14/9 PHALOSARI UNGGUL J</t>
  </si>
  <si>
    <t>2509/FTSCY/WS95051 130644850.00 AH P HAIRUL 15/9 PHALOSARI UNGGUL J</t>
  </si>
  <si>
    <t>2509/FTSCY/WS95031 2100000.00 ANDE DOSO ANGGORO</t>
  </si>
  <si>
    <t>2509/FTSCY/WS95031 500000.00 SITI RAHMA IFTITAH</t>
  </si>
  <si>
    <t>2509/FTSCY/WS95051 80500500.00 ah jbg 4005x20100 GEMILANG INTI SUKS</t>
  </si>
  <si>
    <t>2509/FTSCY/WS95051 74854410.00 ah TA 3724.1x20100 GEMILANG INTI SUKS</t>
  </si>
  <si>
    <t>2509/FTSCY/WS95051 148960000.00 ah mgt 7600x19600 GEMILANG INTI SUKS</t>
  </si>
  <si>
    <t>2509/FTSCY/WS95011 150950950.00 Tue Sep 22 2026 14:00:00 GMT+0700 (Western Indonesia Time) PITIK DIGITAL INDO</t>
  </si>
  <si>
    <t>2509/FTSCY/WS95011 113623300.00 Tue Sep 22 2026 14:00:00 GMT+0700 (Western Indonesia Time) ANDALAN YASA MITRA</t>
  </si>
  <si>
    <t>2509/FTSCY/WS95011 195344750.00 Tue Sep 22 2026 14:00:00 GMT+0700 (Western Indonesia Time) TABASSAM AL HATTAK</t>
  </si>
  <si>
    <t>2509/FTSCY/WS95011 40000000.00 Wed Sep 23 2026 14:00:00 GMT+0700 (Western Indonesia Time) Krg 20 jt SUPER UNGGAS JAYA</t>
  </si>
  <si>
    <t>2509/FTSCY/WS95271 20000000.00 pelunasan SUPER UNGGAS JAYA</t>
  </si>
  <si>
    <t>2509/FTSCY/WS95271 60336900.00 Tue Sep 22 2026 14:00:00 GMT+0700 (Western Indonesia Time) ANDALAN YASA MITRA</t>
  </si>
  <si>
    <t>2509/FTSCY/WS95271 68537700.00 Tue Sep 22 2026 14:00:00 GMT+0700 (Western Indonesia Time) BROILER MAKMUR TAN</t>
  </si>
  <si>
    <t>2509/FTSCY/WS95051 52973880.00 SIDO RAYA UTAMA CV</t>
  </si>
  <si>
    <t>2509/FTSCY/WS95271 1350000.00 SUNARTO</t>
  </si>
  <si>
    <t>2509/FTSCY/WS95031 70560000.00 Pak Gatut SEFI HANA KRISNAWA</t>
  </si>
  <si>
    <t>2609/FTSCY/WS95271 70000000.00 Tue Sep 22 2026 14:00:00 GMT+0700 (Western Indonesia Time) PITIK DIGITAL INDO</t>
  </si>
  <si>
    <t>2609/FTSCY/WS95271 69942000.00 Thu Sep 24 2026 14:00:00 GMT+0700 (Western Indonesia Time) PITIK DIGITAL INDO</t>
  </si>
  <si>
    <t>2609/FTSCY/WS95271 43169000.00 krg 21.1 jt PITIK DIGITAL INDO</t>
  </si>
  <si>
    <t>2609/FTSCY/WS95051 178759200.00 Byr lb tgl 25/9 MANDALA MAJU MAPAN</t>
  </si>
  <si>
    <t>2609/FTSCY/WS95271 43986000.00 Thu Sep 24 2026 14:00:00 GMT+0700 (Western Indonesia Time) PT BERLIAN INDOMIT</t>
  </si>
  <si>
    <t>LLG-MANDIRI SUPER FAMOUS CHICK Pembelian ayam hid upPembelian ayam h idu -0391324</t>
  </si>
  <si>
    <t>2609/FTSCY/WS95271 60000000.00 Thu Sep 24 2026 14:00:00 GMT+0700 (Western Indonesia Time) RUKUN MITRA BERSAM</t>
  </si>
  <si>
    <t>2609/FTSCY/WS95031 49926000.00 Fri Sep 25 2026 14:00:00 GMT+0700 (Western Indonesia Time) BERLIAN UNGGUL JAY</t>
  </si>
  <si>
    <t>2609/FTSCY/WS95031 50000000.00 Wed Sep 23 2026 14:00:00 GMT+0700 (Western Indonesia Time) TUMBUH OPTIMAL PRI</t>
  </si>
  <si>
    <t>2609/FTFVA/WS95031 55569/PT PRIMA FAJ Sat Sep 26 2026 14:00:00 GMT+0700 (Western Indonesia Time) - 40190</t>
  </si>
  <si>
    <t>2609/FTSCY/WS95011 25529100.00 EKO SETIYAWAN</t>
  </si>
  <si>
    <t>2609/FTSCY/WS95051 72580000.00 ah 3800x19100 GEMILANG INTI SUKS</t>
  </si>
  <si>
    <t>2609/FTSCY/WS95051 245744960.00 DP 1 AH P HAIRUL 9 SEPT 23 PHALOSARI UNGGUL J</t>
  </si>
  <si>
    <t>2609/FTSCY/WS95011 21100000.00 Pelunasan PITIK DIGITAL INDO</t>
  </si>
  <si>
    <t>2609/FTSCY/WS95011 148200000.00 Thu Sep 24 2026 14:00:00 GMT+0700 (Western Indonesia Time) PITIK DIGITAL INDO</t>
  </si>
  <si>
    <t>2609/FTSCY/WS95011 148200000.00 Thu Sep 24 2026 14:00:00 GMT+0700 (Western Indonesia Time) BINTANG TAMA SANTO</t>
  </si>
  <si>
    <t>2609/FTSCY/WS95271 6850000.00 FAJAR ANDREANZAH</t>
  </si>
  <si>
    <t>2609/FTSCY/WS95271 2200000.00 BELA PRAMUDITA</t>
  </si>
  <si>
    <t>2609/FTSCY/WS95271 2866360.00 SUNARTO</t>
  </si>
  <si>
    <t>TRSF E-BANKING CR TANGGAL :26/09</t>
  </si>
  <si>
    <t>2609/FTSCY/WS95051 SIDO RAYA UTAMA CV</t>
  </si>
  <si>
    <t>2709/FTSCY/WS95271 52010960.00 Thu Sep 24 2026 14:00:00 GMT+0700 (Western Indonesia Time) TABASSAM AL HATTAK</t>
  </si>
  <si>
    <t>2709/FTSCY/WS95271 15605000.00 pelunasan TUMBUH OPTIMAL PRI</t>
  </si>
  <si>
    <t>2709/FTSCY/WS95271 79512600.00 Thu Sep 24 2026 14:00:00 GMT+0700 (Western Indonesia Time) ANDALAN YASA MITRA</t>
  </si>
  <si>
    <t>2709/FTSCY/WS95271 128836500.00 Thu Sep 24 2026 14:00:00 GMT+0700 (Western Indonesia Time) ANDALAN YASA MITRA</t>
  </si>
  <si>
    <t>2709/FTSCY/WS95271 18501750.00 BINTANG TAMA SANTO</t>
  </si>
  <si>
    <t>2709/FTSCY/WS95031 90000000.00 Thu Sep 24 2026 14:00:00 GMT+0700 (Western Indonesia Time) BINTANG TAMA SANTO</t>
  </si>
  <si>
    <t>2709/FTSCY/WS95031 1162800.00 NURHAYATI</t>
  </si>
  <si>
    <t>2709/FTSCY/WS95051 65262300.00 BYR AH HAIRUL BIJI JAGUNG PERKAS</t>
  </si>
  <si>
    <t>TARIKAN ATM 27/09</t>
  </si>
  <si>
    <t>2709/FTSCY/WS95271 1500000.00 MUHAMMAD HAIRUL MA</t>
  </si>
  <si>
    <t>2709/FTSCY/WS95011 118067900.00 Fri Sep 25 2026 14:00:00 GMT+0700 (Western Indonesia Time) BINTANG TAMA SANTO</t>
  </si>
  <si>
    <t>2709/FTSCY/WS95051 58024750.00 WAHYUDI</t>
  </si>
  <si>
    <t>2709/FTSCY/WS95051 163222500.00 ANGSUR AH P HAIRUL 13/9 (KRG 100 JT) PHALOSARI UNGGUL J</t>
  </si>
  <si>
    <t>2709/FTSCY/WS95011 74486000.00 Thu Sep 24 2026 14:00:00 GMT+0700 (Western Indonesia Time) BROILER MAKMUR TAN</t>
  </si>
  <si>
    <t>2709/FTSCY/WS95011 60300000.00 Thu Sep 24 2026 14:00:00 GMT+0700 (Western Indonesia Time) ANUGERAH KARTIKA A</t>
  </si>
  <si>
    <t>2709/FTSCY/WS95011 57902500.00 Thu Sep 24 2026 14:00:00 GMT+0700 (Western Indonesia Time) ANUGERAH KARTIKA A</t>
  </si>
  <si>
    <t>2709/FTSCY/WS95011 10000000.00 Pelunasan BINTANG TAMA SANTO</t>
  </si>
  <si>
    <t>2709/FTSCY/WS95011 10360700.00 Pelunasan 25/09 PITIK DIGITAL INDO</t>
  </si>
  <si>
    <t>2709/FTSCY/WS95051 100000000.00 LUNAS AH P HAIRUL 9 SEPT (DP 26/9) PHALOSARI UNGGUL J</t>
  </si>
  <si>
    <t>2709/FTFVA/WS95031 55574/GUNA MITRA S t.galek - 200177</t>
  </si>
  <si>
    <t>2709/FTSCY/WS95051 100000000.00 krmn 27/9 TERA MULIA KORPORI</t>
  </si>
  <si>
    <t>2709/FTSCY/WS95051 323565200.00 SIDO RAYA UTAMA CV</t>
  </si>
  <si>
    <t>TRSF E-BANKING DB TANGGAL :27/09</t>
  </si>
  <si>
    <t>2709/FTSCY/WS95011 Pelunasan RUKUN MITRA BERSAM</t>
  </si>
  <si>
    <t>2709/FTSCY/WS95011 Fri Sep 25 2026 14:00:00 GMT+0700 (Western Indonesia Time) LAJU SATWA WISESA</t>
  </si>
  <si>
    <t>2709/FTSCY/WS95011 Sat Sep 26 2026 14:00:00 GMT+0700 (Western Indonesia Time) TABASSAM AL HATTAK</t>
  </si>
  <si>
    <t>2809/FTSCY/WS95271 184892070.00 Fri Sep 25 2026 14:00:00 GMT+0700 (Western Indonesia Time) ANDALAN YASA MITRA</t>
  </si>
  <si>
    <t>2809/FTSCY/WS95271 19000000.00 pelunasan TABASSAM AL HATTAK</t>
  </si>
  <si>
    <t>2809/FTSCY/WS95271 24418000.00 lokal ANDALAN YASA MITRA</t>
  </si>
  <si>
    <t>2809/FTSCY/WS95031 1800000.00 SUNARTO</t>
  </si>
  <si>
    <t>2809/FTSCY/WS95031 6000000.00 MUJIANTO</t>
  </si>
  <si>
    <t>2809/FTSCY/WS95031 1500000.00 BELA PRAMUDITA</t>
  </si>
  <si>
    <t>2809/FTSCY/WS95031 4409880.00 DWI HERMANSYAH</t>
  </si>
  <si>
    <t>2809/FTSCY/WS95031 5208200.00 lunas HERMAWAN</t>
  </si>
  <si>
    <t>2809/FTSCY/WS95031 13592340.00 EKO SETIYAWAN</t>
  </si>
  <si>
    <t>2809/FTSCY/WS95051 279408600.00 Byr lb 26/9 MANDALA MAJU MAPAN</t>
  </si>
  <si>
    <t>2809/FTSCY/WS95011 114784000.00 Fri Sep 25 2026 14:00:00 GMT+0700 (Western Indonesia Time) BROILER MAKMUR TAN</t>
  </si>
  <si>
    <t>2809/FTSCY/WS95011 72481200.00 Fri Sep 25 2026 14:00:00 GMT+0700 (Western Indonesia Time) SUPER UNGGAS JAYA</t>
  </si>
  <si>
    <t>2809/FTSCY/WS95011 72481200.00 Sat Sep 26 2026 14:00:00 GMT+0700 (Western Indonesia Time) BINTANG TAMA SANTO</t>
  </si>
  <si>
    <t>2809/FTSCY/WS95011 55599000.00 Krg 96 jt BINTANG TAMA SANTO</t>
  </si>
  <si>
    <t>2809/FTSCY/WS95031 1500000.00 NURUL AINI</t>
  </si>
  <si>
    <t>TARIKAN ATM 28/09</t>
  </si>
  <si>
    <t>TRSF E-BANKING CR TANGGAL :28/09</t>
  </si>
  <si>
    <t>2809/FTSCY/WS95031 titip 30.8jt GATUT SETYO WIBOWO</t>
  </si>
  <si>
    <t>2809/FTSCY/WS95031 Pak Gatut SEFI HANA KRISNAWA</t>
  </si>
  <si>
    <t>TRSF E-BANKING DB TANGGAL :28/09</t>
  </si>
  <si>
    <t>2809/FTSCY/WS95031 NURUL AINI</t>
  </si>
  <si>
    <t>2909/FTSCY/WS95051 290256800.00 Byr lb tgl 27 MANDALA MAJU MAPAN</t>
  </si>
  <si>
    <t>2909/FTSCY/WS95271 80573110.00 Sat Sep 26 2026 14:00:00 GMT+0700 (Western Indonesia Time) BINTANG TAMA SANTO</t>
  </si>
  <si>
    <t>2909/FTSCY/WS95271 67412000.00 Sat Sep 26 2026 14:00:00 GMT+0700 (Western Indonesia Time) BINTANG TAMA SANTO</t>
  </si>
  <si>
    <t>2909/FTSCY/WS95051 100000000.00 LUNAS AH P HAIRUL 13/9 DP 27 SEPT PHALOSARI UNGGUL J</t>
  </si>
  <si>
    <t>2909/FTSCY/WS95051 176954270.00 ANGSUR AH P HAIRUL 16 SEPT KRG 200JT PHALOSARI UNGGUL J</t>
  </si>
  <si>
    <t>2909/FTSCY/WS95051 100000000.00 krmn 29/9 ERICKO HERMAWAN</t>
  </si>
  <si>
    <t>2909/FTSCY/WS95271 143300000.00 bayar honda brio r s L1236G lunas TEDDY WIJAYA PANGE</t>
  </si>
  <si>
    <t>2909/FTSCY/WS95271 500000.00 pelunasan TEDDY WIJAYA PANGE</t>
  </si>
  <si>
    <t>2909/FTSCY/WS95031 1800000.00 BELA PRAMUDITA</t>
  </si>
  <si>
    <t>2909/FTSCY/WS95031 11377200.00 EKO SETIYAWAN</t>
  </si>
  <si>
    <t>2909/FTSCY/WS95051 311044410.00 SIDO RAYA UTAMA CV</t>
  </si>
  <si>
    <t>2909/FTSCY/WS95031 21000000.00 pelunasan jombang Sat Sep 26 2026 14:00:00 GMT+0700 (Western Indonesia Time) PITIK DIGITAL INDO</t>
  </si>
  <si>
    <t>2909/FTSCY/WS95031 59858000.00 Sat Sep 26 2026 14:00:00 GMT+0700 (Western Indonesia Time) BROILER MAKMUR TAN</t>
  </si>
  <si>
    <t>2909/FTSCY/WS95011 53464860.00 26/09 lamongan TABASSAM AZ ZUFAR</t>
  </si>
  <si>
    <t>2909/FTSCY/WS95011 57876000.00 Sat Sep 26 2026 14:00:00 GMT+0700 (Western Indonesia Time) TABASSAM AL HATTAK</t>
  </si>
  <si>
    <t>2909/FTSCY/WS95011 388658340.00 Sat Sep 26 2026 14:00:00 GMT+0700 (Western Indonesia Time) ANDALAN YASA MITRA</t>
  </si>
  <si>
    <t>TRSF E-BANKING CR TANGGAL :29/09</t>
  </si>
  <si>
    <t>2909/FTSCY/WS95031 titip 30jt GATUT SETYO WIBOWO</t>
  </si>
  <si>
    <t>2909/FTSCY/WS95031 Dari Pak Gatut SEFI HANA KRISNAWA</t>
  </si>
  <si>
    <t>3009/FTSCY/WS95271 57000000.00 Sun Sep 27 2026 14:00:00 GMT+0700 (Western Indonesia Time) BINTANG TAMA SANTO</t>
  </si>
  <si>
    <t>3009/FTSCY/WS95271 69305000.00 pelunasan ANDALAN YASA MITRA</t>
  </si>
  <si>
    <t>3009/FTSCY/WS95271 16495320.00 Sun Sep 27 2026 14:00:00 GMT+0700 (Western Indonesia Time) ANDALAN YASA MITRA</t>
  </si>
  <si>
    <t>3009/FTSCY/WS95271 5874720.00 FAJAR ANDREANZAH</t>
  </si>
  <si>
    <t>3009/FTSCY/WS95271 30000000.00 PRIMA JAYA BERSATU</t>
  </si>
  <si>
    <t>3009/FTSCY/WS95051 234681300.00 Byr lb tgl 29/9 MANDALA MAJU MAPAN</t>
  </si>
  <si>
    <t>3009/FTSCY/WS95271 11308000.00 Tue Sep 29 2026 14:00:00 GMT+0700 (Western Indonesia Time) PRIMA JAYA BERSATU</t>
  </si>
  <si>
    <t>3009/FTSCY/WS95051 100000000.00 krmn 30/9 ERICKO HERMAWAN</t>
  </si>
  <si>
    <t>3009/FTSCY/WS95051 149632280.00 AH 7634,3 19600 GEMILANG INTI SUKS</t>
  </si>
  <si>
    <t>3009/FTSCY/WS95031 1800000.00 BELA PRAMUDITA</t>
  </si>
  <si>
    <t>3009/FTSCY/WS95031 55500000.00 Mon Sep 28 2026 14:00:00 GMT+0700 (Western Indonesia Time) TUMBUH OPTIMAL PRI</t>
  </si>
  <si>
    <t>3009/FTSCY/WS95031 600000.00 ANDE DOSO ANGGORO</t>
  </si>
  <si>
    <t>3009/FTSCY/WS95031 23975000.00 NURUL AINI</t>
  </si>
  <si>
    <t>3009/FTSCY/WS95011 146250000.00 Mon Sep 28 2026 14:00:00 GMT+0700 (Western Indonesia Time) PITIK DIGITAL INDO</t>
  </si>
  <si>
    <t>3009/FTSCY/WS95011 273818900.00 Mon Sep 28 2026 14:00:00 GMT+0700 (Western Indonesia Time) BROILER MAKMUR TAN</t>
  </si>
  <si>
    <t>3009/FTSCY/WS95051 269943550.00 SIDO RAYA UTAMA CV</t>
  </si>
  <si>
    <t>3009/FTSCY/WS95031 22550920.00 krg 60 jt EKO SETIYAWAN</t>
  </si>
  <si>
    <t>3009/FTFVA/WS95031 55569/PT PRIMA FAJ lumajang - 40190</t>
  </si>
  <si>
    <t>3009/FTSCY/WS95031 2089710.00 EKO SETIYAWAN</t>
  </si>
  <si>
    <t>3009/FTSCY/WS95271 66851500.00 Tue Sep 29 2026 14:00:00 GMT+0700 (Western Indonesia Time) BRANTAS ABADI SENT</t>
  </si>
  <si>
    <t>BIF TRANSFER KE 2 SITI JUWERIYYAH MyBCA</t>
  </si>
  <si>
    <t>BIF BIAYA TXN KE 2 SITI JUWERIYYAH MyBCA</t>
  </si>
  <si>
    <t>3009/FTSCY/WS95031 1100000.00 SUNARTO</t>
  </si>
  <si>
    <t>CR KOREKSI BUNGA</t>
  </si>
  <si>
    <t>BUNGA</t>
  </si>
  <si>
    <t>PAJAK BUNGA</t>
  </si>
  <si>
    <t>MUTASI CR</t>
  </si>
  <si>
    <t>:</t>
  </si>
  <si>
    <t>22,734,443,618.88</t>
  </si>
  <si>
    <t>MUTASI DB</t>
  </si>
  <si>
    <t>23,097,322,061.38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</si>
</sst>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d&quot;/&quot;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0" fillId="0" fontId="2" numFmtId="2" xfId="0" applyAlignment="1" applyFont="1" applyNumberFormat="1">
      <alignment vertical="bottom"/>
    </xf>
    <xf borderId="0" fillId="2" fontId="1" numFmtId="164" xfId="0" applyAlignment="1" applyFill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4" xfId="0" applyAlignment="1" applyFill="1" applyFont="1" applyNumberFormat="1">
      <alignment readingOrder="0"/>
    </xf>
    <xf borderId="0" fillId="0" fontId="1" numFmtId="165" xfId="0" applyFont="1" applyNumberFormat="1"/>
    <xf borderId="0" fillId="2" fontId="1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hidden="1" min="3" max="3" width="45.75"/>
    <col customWidth="1" min="6" max="6" width="4.75"/>
  </cols>
  <sheetData>
    <row r="1">
      <c r="A1" s="1"/>
      <c r="B1" s="3"/>
      <c r="D1" s="4"/>
      <c r="E1" s="4"/>
      <c r="F1" s="4"/>
      <c r="G1" s="5"/>
      <c r="H1" s="5"/>
      <c r="I1" s="6"/>
    </row>
    <row r="2">
      <c r="A2" s="1">
        <v>46266.0</v>
      </c>
      <c r="B2" s="3" t="s">
        <v>0</v>
      </c>
      <c r="D2" s="4"/>
      <c r="E2" s="4"/>
      <c r="F2" s="4"/>
      <c r="G2" s="5">
        <v>5.2367289159E8</v>
      </c>
      <c r="H2" s="5">
        <v>5.2367289159E8</v>
      </c>
      <c r="I2" s="6"/>
    </row>
    <row r="3">
      <c r="A3" s="1">
        <v>46266.0</v>
      </c>
      <c r="B3" s="3" t="s">
        <v>1</v>
      </c>
      <c r="C3" s="3" t="s">
        <v>2</v>
      </c>
      <c r="D3" s="5"/>
      <c r="E3" s="5">
        <v>2.613922E8</v>
      </c>
      <c r="F3" s="5" t="s">
        <v>3</v>
      </c>
      <c r="G3" s="4">
        <f>G2-D3+E3</f>
        <v>785065091.6</v>
      </c>
      <c r="H3" s="5">
        <v>7.8506509159E8</v>
      </c>
      <c r="I3" s="6"/>
    </row>
    <row r="4">
      <c r="A4" s="1">
        <v>46266.0</v>
      </c>
      <c r="B4" s="3" t="s">
        <v>4</v>
      </c>
      <c r="C4" s="3" t="s">
        <v>5</v>
      </c>
      <c r="D4" s="5">
        <v>2894800.0</v>
      </c>
      <c r="E4" s="4"/>
      <c r="F4" s="5" t="s">
        <v>6</v>
      </c>
      <c r="G4" s="4">
        <f t="array" ref="G4:G665">SCAN(G3, MAP(D4:D665, E4:E665, LAMBDA(d, c, IF(AND(d="", c=""), "", N(c) - N(d)))), LAMBDA(saldo, mutasi, IF(mutasi="", "", saldo + mutasi)))</f>
        <v>782170291.6</v>
      </c>
      <c r="H4" s="5"/>
      <c r="I4" s="6"/>
    </row>
    <row r="5">
      <c r="A5" s="1">
        <v>46266.0</v>
      </c>
      <c r="B5" s="3" t="s">
        <v>4</v>
      </c>
      <c r="C5" s="3" t="s">
        <v>7</v>
      </c>
      <c r="D5" s="5">
        <v>1.84E8</v>
      </c>
      <c r="E5" s="4"/>
      <c r="F5" s="5" t="s">
        <v>6</v>
      </c>
      <c r="G5" s="4">
        <v>5.981702915899999E8</v>
      </c>
      <c r="H5" s="5"/>
      <c r="I5" s="6"/>
    </row>
    <row r="6">
      <c r="A6" s="1">
        <v>46266.0</v>
      </c>
      <c r="B6" s="3" t="s">
        <v>4</v>
      </c>
      <c r="C6" s="3" t="s">
        <v>8</v>
      </c>
      <c r="D6" s="5">
        <v>6.27165E7</v>
      </c>
      <c r="E6" s="4"/>
      <c r="F6" s="5" t="s">
        <v>6</v>
      </c>
      <c r="G6" s="4">
        <v>5.354537915899999E8</v>
      </c>
      <c r="H6" s="5"/>
      <c r="I6" s="6"/>
    </row>
    <row r="7">
      <c r="A7" s="1">
        <v>46266.0</v>
      </c>
      <c r="B7" s="3" t="s">
        <v>4</v>
      </c>
      <c r="C7" s="3" t="s">
        <v>9</v>
      </c>
      <c r="D7" s="5">
        <v>9.04496E7</v>
      </c>
      <c r="E7" s="4"/>
      <c r="F7" s="5" t="s">
        <v>6</v>
      </c>
      <c r="G7" s="4">
        <v>4.450041915899999E8</v>
      </c>
      <c r="H7" s="5"/>
      <c r="I7" s="6" t="s">
        <v>10</v>
      </c>
    </row>
    <row r="8">
      <c r="A8" s="1">
        <v>46266.0</v>
      </c>
      <c r="B8" s="3" t="s">
        <v>4</v>
      </c>
      <c r="C8" s="3" t="s">
        <v>11</v>
      </c>
      <c r="D8" s="5">
        <v>6.76485E7</v>
      </c>
      <c r="E8" s="4"/>
      <c r="F8" s="5" t="s">
        <v>6</v>
      </c>
      <c r="G8" s="4">
        <v>3.773556915899999E8</v>
      </c>
      <c r="H8" s="5"/>
      <c r="I8" s="6" t="s">
        <v>10</v>
      </c>
    </row>
    <row r="9">
      <c r="A9" s="1">
        <v>46266.0</v>
      </c>
      <c r="B9" s="3" t="s">
        <v>4</v>
      </c>
      <c r="C9" s="3" t="s">
        <v>12</v>
      </c>
      <c r="D9" s="5">
        <v>9.518475E7</v>
      </c>
      <c r="E9" s="4"/>
      <c r="F9" s="5" t="s">
        <v>6</v>
      </c>
      <c r="G9" s="4">
        <v>2.821709415899999E8</v>
      </c>
      <c r="H9" s="5"/>
      <c r="I9" s="6" t="s">
        <v>13</v>
      </c>
    </row>
    <row r="10">
      <c r="A10" s="1">
        <v>46266.0</v>
      </c>
      <c r="B10" s="3" t="s">
        <v>4</v>
      </c>
      <c r="C10" s="3" t="s">
        <v>14</v>
      </c>
      <c r="D10" s="5">
        <v>4.3262E7</v>
      </c>
      <c r="E10" s="4"/>
      <c r="F10" s="5" t="s">
        <v>6</v>
      </c>
      <c r="G10" s="4">
        <v>2.389089415899999E8</v>
      </c>
      <c r="H10" s="5"/>
      <c r="I10" s="6" t="s">
        <v>10</v>
      </c>
    </row>
    <row r="11">
      <c r="A11" s="1">
        <v>46266.0</v>
      </c>
      <c r="B11" s="3" t="s">
        <v>4</v>
      </c>
      <c r="C11" s="3" t="s">
        <v>15</v>
      </c>
      <c r="D11" s="5">
        <v>7.44355E7</v>
      </c>
      <c r="E11" s="4"/>
      <c r="F11" s="5" t="s">
        <v>6</v>
      </c>
      <c r="G11" s="4">
        <v>1.644734415899999E8</v>
      </c>
      <c r="H11" s="5"/>
      <c r="I11" s="6" t="s">
        <v>10</v>
      </c>
    </row>
    <row r="12">
      <c r="A12" s="1">
        <v>46266.0</v>
      </c>
      <c r="B12" s="3" t="s">
        <v>4</v>
      </c>
      <c r="C12" s="3" t="s">
        <v>16</v>
      </c>
      <c r="D12" s="5">
        <v>8.322E7</v>
      </c>
      <c r="E12" s="4"/>
      <c r="F12" s="5" t="s">
        <v>6</v>
      </c>
      <c r="G12" s="4">
        <v>8.125344158999991E7</v>
      </c>
      <c r="H12" s="5"/>
      <c r="I12" s="6" t="s">
        <v>10</v>
      </c>
    </row>
    <row r="13">
      <c r="A13" s="1">
        <v>46266.0</v>
      </c>
      <c r="B13" s="3" t="s">
        <v>4</v>
      </c>
      <c r="C13" s="3" t="s">
        <v>17</v>
      </c>
      <c r="D13" s="5">
        <v>7.18175E7</v>
      </c>
      <c r="E13" s="4"/>
      <c r="F13" s="5" t="s">
        <v>6</v>
      </c>
      <c r="G13" s="4">
        <v>9435941.589999914</v>
      </c>
      <c r="H13" s="5"/>
      <c r="I13" s="6" t="s">
        <v>10</v>
      </c>
    </row>
    <row r="14">
      <c r="A14" s="1">
        <v>46266.0</v>
      </c>
      <c r="B14" s="3" t="s">
        <v>4</v>
      </c>
      <c r="C14" s="3" t="s">
        <v>18</v>
      </c>
      <c r="D14" s="5">
        <v>3280300.0</v>
      </c>
      <c r="E14" s="4"/>
      <c r="F14" s="5" t="s">
        <v>6</v>
      </c>
      <c r="G14" s="4">
        <v>6155641.589999914</v>
      </c>
      <c r="H14" s="5"/>
      <c r="I14" s="6" t="s">
        <v>10</v>
      </c>
    </row>
    <row r="15">
      <c r="A15" s="1">
        <v>46266.0</v>
      </c>
      <c r="B15" s="3" t="s">
        <v>4</v>
      </c>
      <c r="C15" s="3" t="s">
        <v>19</v>
      </c>
      <c r="D15" s="5">
        <v>2385850.0</v>
      </c>
      <c r="E15" s="4"/>
      <c r="F15" s="5" t="s">
        <v>6</v>
      </c>
      <c r="G15" s="4">
        <v>3769791.589999914</v>
      </c>
      <c r="H15" s="5">
        <v>3769791.59</v>
      </c>
      <c r="I15" s="6" t="s">
        <v>10</v>
      </c>
    </row>
    <row r="16">
      <c r="A16" s="1">
        <v>46266.0</v>
      </c>
      <c r="B16" s="3" t="s">
        <v>4</v>
      </c>
      <c r="C16" s="3" t="s">
        <v>20</v>
      </c>
      <c r="D16" s="5">
        <v>1500000.0</v>
      </c>
      <c r="E16" s="4"/>
      <c r="F16" s="5" t="s">
        <v>6</v>
      </c>
      <c r="G16" s="4">
        <v>2269791.589999914</v>
      </c>
      <c r="H16" s="5">
        <v>2269791.59</v>
      </c>
      <c r="I16" s="6" t="s">
        <v>10</v>
      </c>
    </row>
    <row r="17">
      <c r="A17" s="1">
        <v>46266.0</v>
      </c>
      <c r="B17" s="3" t="s">
        <v>21</v>
      </c>
      <c r="C17" s="3" t="s">
        <v>22</v>
      </c>
      <c r="D17" s="5">
        <v>750000.0</v>
      </c>
      <c r="E17" s="4"/>
      <c r="F17" s="5" t="s">
        <v>6</v>
      </c>
      <c r="G17" s="4">
        <v>1519791.5899999142</v>
      </c>
      <c r="H17" s="4"/>
      <c r="I17" s="6" t="s">
        <v>10</v>
      </c>
    </row>
    <row r="18">
      <c r="A18" s="1">
        <v>46266.0</v>
      </c>
      <c r="B18" s="3" t="s">
        <v>21</v>
      </c>
      <c r="C18" s="3" t="s">
        <v>23</v>
      </c>
      <c r="D18" s="5">
        <v>2500.0</v>
      </c>
      <c r="E18" s="4"/>
      <c r="F18" s="5" t="s">
        <v>6</v>
      </c>
      <c r="G18" s="4">
        <v>1517291.5899999142</v>
      </c>
      <c r="H18" s="4"/>
      <c r="I18" s="6" t="s">
        <v>10</v>
      </c>
    </row>
    <row r="19">
      <c r="A19" s="1">
        <v>46266.0</v>
      </c>
      <c r="B19" s="3" t="s">
        <v>24</v>
      </c>
      <c r="C19" s="3" t="s">
        <v>25</v>
      </c>
      <c r="D19" s="5"/>
      <c r="E19" s="5">
        <v>7.2859423E7</v>
      </c>
      <c r="F19" s="5" t="s">
        <v>3</v>
      </c>
      <c r="G19" s="4">
        <v>7.437671458999991E7</v>
      </c>
      <c r="H19" s="4"/>
      <c r="I19" s="6" t="s">
        <v>10</v>
      </c>
    </row>
    <row r="20">
      <c r="A20" s="1">
        <v>46266.0</v>
      </c>
      <c r="B20" s="3" t="s">
        <v>24</v>
      </c>
      <c r="C20" s="3" t="s">
        <v>26</v>
      </c>
      <c r="D20" s="5"/>
      <c r="E20" s="5">
        <v>4.05567239E8</v>
      </c>
      <c r="F20" s="5" t="s">
        <v>3</v>
      </c>
      <c r="G20" s="4">
        <v>4.799439535899999E8</v>
      </c>
      <c r="H20" s="4"/>
      <c r="I20" s="6" t="s">
        <v>10</v>
      </c>
    </row>
    <row r="21">
      <c r="A21" s="1">
        <v>46266.0</v>
      </c>
      <c r="B21" s="3" t="s">
        <v>4</v>
      </c>
      <c r="C21" s="3" t="s">
        <v>27</v>
      </c>
      <c r="D21" s="5">
        <v>3.520224E7</v>
      </c>
      <c r="E21" s="4"/>
      <c r="F21" s="5" t="s">
        <v>6</v>
      </c>
      <c r="G21" s="4">
        <v>4.447417135899999E8</v>
      </c>
      <c r="H21" s="4"/>
      <c r="I21" s="6" t="s">
        <v>10</v>
      </c>
    </row>
    <row r="22">
      <c r="A22" s="1">
        <v>46266.0</v>
      </c>
      <c r="B22" s="3" t="s">
        <v>28</v>
      </c>
      <c r="C22" s="3" t="s">
        <v>29</v>
      </c>
      <c r="E22" s="5">
        <v>1.457976E8</v>
      </c>
      <c r="F22" s="4"/>
      <c r="G22" s="4">
        <v>5.905393135899999E8</v>
      </c>
      <c r="H22" s="4"/>
      <c r="I22" s="6" t="s">
        <v>10</v>
      </c>
    </row>
    <row r="23">
      <c r="A23" s="1">
        <v>46266.0</v>
      </c>
      <c r="B23" s="3" t="s">
        <v>4</v>
      </c>
      <c r="C23" s="3" t="s">
        <v>30</v>
      </c>
      <c r="D23" s="5">
        <v>2.0E7</v>
      </c>
      <c r="E23" s="4"/>
      <c r="F23" s="5" t="s">
        <v>6</v>
      </c>
      <c r="G23" s="4">
        <v>5.705393135899999E8</v>
      </c>
      <c r="H23" s="4"/>
      <c r="I23" s="6"/>
    </row>
    <row r="24">
      <c r="A24" s="1">
        <v>46266.0</v>
      </c>
      <c r="B24" s="3" t="s">
        <v>24</v>
      </c>
      <c r="C24" s="3" t="s">
        <v>31</v>
      </c>
      <c r="D24" s="5"/>
      <c r="E24" s="5">
        <v>1.9466727E8</v>
      </c>
      <c r="F24" s="5" t="s">
        <v>3</v>
      </c>
      <c r="G24" s="4">
        <v>7.652065835899999E8</v>
      </c>
      <c r="H24" s="4"/>
      <c r="I24" s="6"/>
    </row>
    <row r="25">
      <c r="A25" s="1">
        <v>46266.0</v>
      </c>
      <c r="B25" s="3" t="s">
        <v>24</v>
      </c>
      <c r="C25" s="3" t="s">
        <v>32</v>
      </c>
      <c r="D25" s="5"/>
      <c r="E25" s="5">
        <v>2.7039214E8</v>
      </c>
      <c r="F25" s="5" t="s">
        <v>3</v>
      </c>
      <c r="G25" s="4">
        <v>1.0355987235899999E9</v>
      </c>
      <c r="H25" s="4"/>
      <c r="I25" s="6" t="s">
        <v>10</v>
      </c>
    </row>
    <row r="26">
      <c r="A26" s="1">
        <v>46266.0</v>
      </c>
      <c r="B26" s="3" t="s">
        <v>33</v>
      </c>
      <c r="C26" s="3" t="s">
        <v>34</v>
      </c>
      <c r="D26" s="5">
        <v>254200.0</v>
      </c>
      <c r="E26" s="4"/>
      <c r="F26" s="4"/>
      <c r="G26" s="4">
        <v>1.0353445235899999E9</v>
      </c>
      <c r="H26" s="5">
        <v>1.03534452359E9</v>
      </c>
      <c r="I26" s="6"/>
    </row>
    <row r="27">
      <c r="A27" s="1">
        <v>46267.0</v>
      </c>
      <c r="B27" s="3" t="s">
        <v>24</v>
      </c>
      <c r="C27" s="3" t="s">
        <v>35</v>
      </c>
      <c r="D27" s="5"/>
      <c r="E27" s="5">
        <v>4.44E7</v>
      </c>
      <c r="F27" s="5" t="s">
        <v>3</v>
      </c>
      <c r="G27" s="4">
        <v>1.07974452359E9</v>
      </c>
      <c r="H27" s="4"/>
      <c r="I27" s="6"/>
    </row>
    <row r="28">
      <c r="A28" s="1">
        <v>46267.0</v>
      </c>
      <c r="B28" s="3" t="s">
        <v>4</v>
      </c>
      <c r="C28" s="3" t="s">
        <v>36</v>
      </c>
      <c r="D28" s="5">
        <v>1000000.0</v>
      </c>
      <c r="E28" s="4"/>
      <c r="F28" s="5" t="s">
        <v>6</v>
      </c>
      <c r="G28" s="4">
        <v>1.07874452359E9</v>
      </c>
      <c r="H28" s="4"/>
      <c r="I28" s="6" t="s">
        <v>10</v>
      </c>
    </row>
    <row r="29">
      <c r="A29" s="1">
        <v>46267.0</v>
      </c>
      <c r="B29" s="3" t="s">
        <v>4</v>
      </c>
      <c r="C29" s="3" t="s">
        <v>37</v>
      </c>
      <c r="D29" s="5">
        <v>1000000.0</v>
      </c>
      <c r="E29" s="4"/>
      <c r="F29" s="5" t="s">
        <v>6</v>
      </c>
      <c r="G29" s="4">
        <v>1.07774452359E9</v>
      </c>
      <c r="H29" s="5">
        <v>1.07774452359E9</v>
      </c>
      <c r="I29" s="6" t="s">
        <v>10</v>
      </c>
    </row>
    <row r="30">
      <c r="A30" s="1">
        <v>46267.0</v>
      </c>
      <c r="B30" s="3" t="s">
        <v>4</v>
      </c>
      <c r="C30" s="3" t="s">
        <v>38</v>
      </c>
      <c r="D30" s="5">
        <v>1000000.0</v>
      </c>
      <c r="E30" s="4"/>
      <c r="F30" s="5" t="s">
        <v>6</v>
      </c>
      <c r="G30" s="4">
        <v>1.07674452359E9</v>
      </c>
      <c r="H30" s="5">
        <v>1.07674452359E9</v>
      </c>
      <c r="I30" s="6"/>
    </row>
    <row r="31">
      <c r="A31" s="1">
        <v>46267.0</v>
      </c>
      <c r="B31" s="3" t="s">
        <v>4</v>
      </c>
      <c r="C31" s="3" t="s">
        <v>39</v>
      </c>
      <c r="D31" s="5">
        <v>3.452255E7</v>
      </c>
      <c r="E31" s="4"/>
      <c r="F31" s="5" t="s">
        <v>6</v>
      </c>
      <c r="G31" s="4">
        <v>1.0422219735899999E9</v>
      </c>
      <c r="H31" s="4"/>
      <c r="I31" s="6" t="s">
        <v>10</v>
      </c>
    </row>
    <row r="32">
      <c r="A32" s="1">
        <v>46267.0</v>
      </c>
      <c r="B32" s="3" t="s">
        <v>4</v>
      </c>
      <c r="C32" s="3" t="s">
        <v>40</v>
      </c>
      <c r="D32" s="5">
        <v>956000.0</v>
      </c>
      <c r="E32" s="4"/>
      <c r="F32" s="5" t="s">
        <v>6</v>
      </c>
      <c r="G32" s="4">
        <v>1.0412659735899999E9</v>
      </c>
      <c r="H32" s="4"/>
      <c r="I32" s="6" t="s">
        <v>10</v>
      </c>
    </row>
    <row r="33">
      <c r="A33" s="1">
        <v>46267.0</v>
      </c>
      <c r="B33" s="3" t="s">
        <v>4</v>
      </c>
      <c r="C33" s="3" t="s">
        <v>41</v>
      </c>
      <c r="D33" s="5">
        <v>5.0E8</v>
      </c>
      <c r="E33" s="4"/>
      <c r="F33" s="5" t="s">
        <v>6</v>
      </c>
      <c r="G33" s="4">
        <v>5.412659735899999E8</v>
      </c>
      <c r="H33" s="4"/>
      <c r="I33" s="6"/>
    </row>
    <row r="34">
      <c r="A34" s="1">
        <v>46267.0</v>
      </c>
      <c r="B34" s="3" t="s">
        <v>4</v>
      </c>
      <c r="C34" s="3" t="s">
        <v>42</v>
      </c>
      <c r="D34" s="5">
        <v>7.814034E7</v>
      </c>
      <c r="E34" s="4"/>
      <c r="F34" s="5" t="s">
        <v>6</v>
      </c>
      <c r="G34" s="4">
        <v>4.631256335899999E8</v>
      </c>
      <c r="H34" s="4"/>
      <c r="I34" s="6"/>
    </row>
    <row r="35">
      <c r="A35" s="1">
        <v>46267.0</v>
      </c>
      <c r="B35" s="3" t="s">
        <v>4</v>
      </c>
      <c r="C35" s="3" t="s">
        <v>43</v>
      </c>
      <c r="D35" s="5">
        <v>7.980895E7</v>
      </c>
      <c r="E35" s="4"/>
      <c r="F35" s="5" t="s">
        <v>6</v>
      </c>
      <c r="G35" s="4">
        <v>3.833166835899999E8</v>
      </c>
      <c r="H35" s="4"/>
      <c r="I35" s="6" t="s">
        <v>44</v>
      </c>
    </row>
    <row r="36">
      <c r="A36" s="1">
        <v>46267.0</v>
      </c>
      <c r="B36" s="3" t="s">
        <v>4</v>
      </c>
      <c r="C36" s="3" t="s">
        <v>45</v>
      </c>
      <c r="D36" s="5">
        <v>6.0018E7</v>
      </c>
      <c r="E36" s="4"/>
      <c r="F36" s="5" t="s">
        <v>6</v>
      </c>
      <c r="G36" s="4">
        <v>3.232986835899999E8</v>
      </c>
      <c r="H36" s="4"/>
      <c r="I36" s="6" t="s">
        <v>44</v>
      </c>
    </row>
    <row r="37">
      <c r="A37" s="1">
        <v>46267.0</v>
      </c>
      <c r="B37" s="3" t="s">
        <v>4</v>
      </c>
      <c r="C37" s="3" t="s">
        <v>46</v>
      </c>
      <c r="D37" s="5">
        <v>2.69975E7</v>
      </c>
      <c r="E37" s="4"/>
      <c r="F37" s="5" t="s">
        <v>6</v>
      </c>
      <c r="G37" s="4">
        <v>2.963011835899999E8</v>
      </c>
      <c r="H37" s="4"/>
      <c r="I37" s="6" t="s">
        <v>10</v>
      </c>
    </row>
    <row r="38">
      <c r="A38" s="1">
        <v>46267.0</v>
      </c>
      <c r="B38" s="3" t="s">
        <v>4</v>
      </c>
      <c r="C38" s="3" t="s">
        <v>47</v>
      </c>
      <c r="D38" s="5">
        <v>1739690.0</v>
      </c>
      <c r="E38" s="4"/>
      <c r="F38" s="5" t="s">
        <v>6</v>
      </c>
      <c r="G38" s="4">
        <v>2.945614935899999E8</v>
      </c>
      <c r="H38" s="4"/>
      <c r="I38" s="6" t="s">
        <v>10</v>
      </c>
    </row>
    <row r="39">
      <c r="A39" s="1">
        <v>46267.0</v>
      </c>
      <c r="B39" s="3" t="s">
        <v>4</v>
      </c>
      <c r="C39" s="3" t="s">
        <v>48</v>
      </c>
      <c r="D39" s="5">
        <v>3.091704E7</v>
      </c>
      <c r="E39" s="4"/>
      <c r="F39" s="5" t="s">
        <v>6</v>
      </c>
      <c r="G39" s="4">
        <v>2.636444535899999E8</v>
      </c>
      <c r="H39" s="4"/>
      <c r="I39" s="6" t="s">
        <v>44</v>
      </c>
    </row>
    <row r="40">
      <c r="A40" s="1">
        <v>46267.0</v>
      </c>
      <c r="B40" s="3" t="s">
        <v>4</v>
      </c>
      <c r="C40" s="3" t="s">
        <v>49</v>
      </c>
      <c r="D40" s="5">
        <v>4.75419E7</v>
      </c>
      <c r="E40" s="4"/>
      <c r="F40" s="5" t="s">
        <v>6</v>
      </c>
      <c r="G40" s="4">
        <v>2.161025535899999E8</v>
      </c>
      <c r="H40" s="4"/>
      <c r="I40" s="6" t="s">
        <v>10</v>
      </c>
    </row>
    <row r="41">
      <c r="A41" s="1">
        <v>46267.0</v>
      </c>
      <c r="B41" s="3" t="s">
        <v>4</v>
      </c>
      <c r="C41" s="3" t="s">
        <v>50</v>
      </c>
      <c r="D41" s="5">
        <v>2.5E7</v>
      </c>
      <c r="E41" s="4"/>
      <c r="F41" s="5" t="s">
        <v>6</v>
      </c>
      <c r="G41" s="4">
        <v>1.911025535899999E8</v>
      </c>
      <c r="H41" s="4"/>
      <c r="I41" s="6"/>
    </row>
    <row r="42">
      <c r="A42" s="1">
        <v>46267.0</v>
      </c>
      <c r="B42" s="3" t="s">
        <v>4</v>
      </c>
      <c r="C42" s="3" t="s">
        <v>51</v>
      </c>
      <c r="D42" s="5">
        <v>1400000.0</v>
      </c>
      <c r="E42" s="4"/>
      <c r="F42" s="5" t="s">
        <v>6</v>
      </c>
      <c r="G42" s="4">
        <v>1.897025535899999E8</v>
      </c>
      <c r="H42" s="5">
        <v>1.8970255359E8</v>
      </c>
      <c r="I42" s="6"/>
    </row>
    <row r="43">
      <c r="A43" s="1">
        <v>46267.0</v>
      </c>
      <c r="B43" s="3" t="s">
        <v>4</v>
      </c>
      <c r="C43" s="3" t="s">
        <v>52</v>
      </c>
      <c r="D43" s="5">
        <v>1.3541345E8</v>
      </c>
      <c r="E43" s="4"/>
      <c r="F43" s="5" t="s">
        <v>6</v>
      </c>
      <c r="G43" s="4">
        <v>5.4289103589999914E7</v>
      </c>
      <c r="H43" s="5">
        <v>5.428910359E7</v>
      </c>
      <c r="I43" s="6" t="s">
        <v>10</v>
      </c>
    </row>
    <row r="44">
      <c r="A44" s="1">
        <v>46267.0</v>
      </c>
      <c r="B44" s="3" t="s">
        <v>4</v>
      </c>
      <c r="C44" s="3" t="s">
        <v>53</v>
      </c>
      <c r="D44" s="5">
        <v>5.0E7</v>
      </c>
      <c r="E44" s="4"/>
      <c r="F44" s="5" t="s">
        <v>6</v>
      </c>
      <c r="G44" s="4">
        <v>4289103.589999914</v>
      </c>
      <c r="H44" s="4"/>
      <c r="I44" s="6" t="s">
        <v>10</v>
      </c>
    </row>
    <row r="45">
      <c r="A45" s="1">
        <v>46267.0</v>
      </c>
      <c r="B45" s="3" t="s">
        <v>4</v>
      </c>
      <c r="C45" s="3" t="s">
        <v>54</v>
      </c>
      <c r="D45" s="5">
        <v>1800000.0</v>
      </c>
      <c r="E45" s="4"/>
      <c r="F45" s="5" t="s">
        <v>6</v>
      </c>
      <c r="G45" s="4">
        <v>2489103.589999914</v>
      </c>
      <c r="H45" s="4"/>
      <c r="I45" s="6"/>
    </row>
    <row r="46">
      <c r="A46" s="7">
        <v>46267.0</v>
      </c>
      <c r="B46" s="8" t="s">
        <v>4</v>
      </c>
      <c r="C46" s="8" t="s">
        <v>55</v>
      </c>
      <c r="D46" s="9">
        <v>500000.0</v>
      </c>
      <c r="E46" s="11"/>
      <c r="F46" s="9" t="s">
        <v>6</v>
      </c>
      <c r="G46" s="11">
        <v>1989103.5899999142</v>
      </c>
      <c r="H46" s="9">
        <v>1989103.59</v>
      </c>
      <c r="I46" s="6" t="s">
        <v>10</v>
      </c>
    </row>
    <row r="47">
      <c r="A47" s="1">
        <v>46268.0</v>
      </c>
      <c r="B47" s="3" t="s">
        <v>24</v>
      </c>
      <c r="C47" s="3" t="s">
        <v>56</v>
      </c>
      <c r="D47" s="5"/>
      <c r="E47" s="5">
        <v>6.1696E7</v>
      </c>
      <c r="F47" s="5" t="s">
        <v>3</v>
      </c>
      <c r="G47" s="4">
        <v>6.3685103589999914E7</v>
      </c>
      <c r="H47" s="4"/>
      <c r="I47" s="6" t="s">
        <v>10</v>
      </c>
    </row>
    <row r="48">
      <c r="A48" s="1">
        <v>46268.0</v>
      </c>
      <c r="B48" s="3" t="s">
        <v>24</v>
      </c>
      <c r="C48" s="3" t="s">
        <v>57</v>
      </c>
      <c r="D48" s="5"/>
      <c r="E48" s="5">
        <v>500000.0</v>
      </c>
      <c r="F48" s="5" t="s">
        <v>3</v>
      </c>
      <c r="G48" s="4">
        <v>6.4185103589999914E7</v>
      </c>
      <c r="H48" s="4"/>
      <c r="I48" s="6" t="s">
        <v>10</v>
      </c>
    </row>
    <row r="49">
      <c r="A49" s="1">
        <v>46268.0</v>
      </c>
      <c r="B49" s="3" t="s">
        <v>58</v>
      </c>
      <c r="C49" s="3" t="s">
        <v>59</v>
      </c>
      <c r="E49" s="5">
        <v>5200000.0</v>
      </c>
      <c r="F49" s="4"/>
      <c r="G49" s="4">
        <v>6.938510358999991E7</v>
      </c>
      <c r="H49" s="4"/>
      <c r="I49" s="6" t="s">
        <v>10</v>
      </c>
    </row>
    <row r="50">
      <c r="A50" s="1">
        <v>46268.0</v>
      </c>
      <c r="B50" s="3" t="s">
        <v>58</v>
      </c>
      <c r="C50" s="3" t="s">
        <v>59</v>
      </c>
      <c r="E50" s="5">
        <v>3200000.0</v>
      </c>
      <c r="F50" s="4"/>
      <c r="G50" s="4">
        <v>7.258510358999991E7</v>
      </c>
      <c r="H50" s="4"/>
      <c r="I50" s="6" t="s">
        <v>10</v>
      </c>
    </row>
    <row r="51">
      <c r="A51" s="1">
        <v>46268.0</v>
      </c>
      <c r="B51" s="3" t="s">
        <v>60</v>
      </c>
      <c r="C51" s="3" t="s">
        <v>60</v>
      </c>
      <c r="D51" s="5">
        <v>200000.0</v>
      </c>
      <c r="E51" s="4"/>
      <c r="F51" s="4"/>
      <c r="G51" s="4">
        <v>7.238510358999991E7</v>
      </c>
      <c r="H51" s="4"/>
      <c r="I51" s="6"/>
    </row>
    <row r="52">
      <c r="A52" s="1">
        <v>46268.0</v>
      </c>
      <c r="B52" s="3" t="s">
        <v>60</v>
      </c>
      <c r="C52" s="3" t="s">
        <v>60</v>
      </c>
      <c r="D52" s="5">
        <v>150000.0</v>
      </c>
      <c r="E52" s="4"/>
      <c r="F52" s="4"/>
      <c r="G52" s="4">
        <v>7.223510358999991E7</v>
      </c>
      <c r="H52" s="4"/>
      <c r="I52" s="6" t="s">
        <v>10</v>
      </c>
    </row>
    <row r="53">
      <c r="A53" s="1">
        <v>46268.0</v>
      </c>
      <c r="B53" s="3" t="s">
        <v>24</v>
      </c>
      <c r="C53" s="3" t="s">
        <v>61</v>
      </c>
      <c r="D53" s="5"/>
      <c r="E53" s="5">
        <v>4.0E7</v>
      </c>
      <c r="F53" s="5" t="s">
        <v>3</v>
      </c>
      <c r="G53" s="4">
        <v>1.1223510358999991E8</v>
      </c>
      <c r="H53" s="4"/>
      <c r="I53" s="6"/>
    </row>
    <row r="54">
      <c r="A54" s="1">
        <v>46268.0</v>
      </c>
      <c r="B54" s="3" t="s">
        <v>4</v>
      </c>
      <c r="C54" s="3" t="s">
        <v>62</v>
      </c>
      <c r="D54" s="5">
        <v>2.00546E7</v>
      </c>
      <c r="E54" s="4"/>
      <c r="F54" s="5" t="s">
        <v>6</v>
      </c>
      <c r="G54" s="4">
        <v>9.218050358999991E7</v>
      </c>
      <c r="H54" s="4"/>
      <c r="I54" s="6" t="s">
        <v>10</v>
      </c>
    </row>
    <row r="55">
      <c r="A55" s="1">
        <v>46268.0</v>
      </c>
      <c r="B55" s="3" t="s">
        <v>21</v>
      </c>
      <c r="C55" s="3" t="s">
        <v>63</v>
      </c>
      <c r="D55" s="5">
        <v>4040000.0</v>
      </c>
      <c r="E55" s="4"/>
      <c r="F55" s="5" t="s">
        <v>6</v>
      </c>
      <c r="G55" s="4">
        <v>8.814050358999991E7</v>
      </c>
      <c r="H55" s="4"/>
      <c r="I55" s="6" t="s">
        <v>10</v>
      </c>
    </row>
    <row r="56">
      <c r="A56" s="1">
        <v>46268.0</v>
      </c>
      <c r="B56" s="3" t="s">
        <v>21</v>
      </c>
      <c r="C56" s="3" t="s">
        <v>64</v>
      </c>
      <c r="D56" s="5">
        <v>2500.0</v>
      </c>
      <c r="E56" s="4"/>
      <c r="F56" s="5" t="s">
        <v>6</v>
      </c>
      <c r="G56" s="4">
        <v>8.813800358999991E7</v>
      </c>
      <c r="H56" s="4"/>
      <c r="I56" s="6" t="s">
        <v>10</v>
      </c>
    </row>
    <row r="57">
      <c r="A57" s="1">
        <v>46268.0</v>
      </c>
      <c r="B57" s="3" t="s">
        <v>4</v>
      </c>
      <c r="C57" s="3" t="s">
        <v>65</v>
      </c>
      <c r="D57" s="5">
        <v>9000000.0</v>
      </c>
      <c r="E57" s="4"/>
      <c r="F57" s="5" t="s">
        <v>6</v>
      </c>
      <c r="G57" s="4">
        <v>7.913800358999991E7</v>
      </c>
      <c r="H57" s="4"/>
      <c r="I57" s="6"/>
    </row>
    <row r="58">
      <c r="A58" s="1">
        <v>46268.0</v>
      </c>
      <c r="B58" s="3" t="s">
        <v>4</v>
      </c>
      <c r="C58" s="3" t="s">
        <v>66</v>
      </c>
      <c r="D58" s="5">
        <v>1700000.0</v>
      </c>
      <c r="E58" s="4"/>
      <c r="F58" s="5" t="s">
        <v>6</v>
      </c>
      <c r="G58" s="4">
        <v>7.743800358999991E7</v>
      </c>
      <c r="H58" s="5">
        <v>7.743800359E7</v>
      </c>
      <c r="I58" s="6" t="s">
        <v>10</v>
      </c>
    </row>
    <row r="59">
      <c r="A59" s="1">
        <v>46268.0</v>
      </c>
      <c r="B59" s="3" t="s">
        <v>4</v>
      </c>
      <c r="C59" s="3" t="s">
        <v>67</v>
      </c>
      <c r="D59" s="5">
        <v>2411220.0</v>
      </c>
      <c r="E59" s="4"/>
      <c r="F59" s="5" t="s">
        <v>6</v>
      </c>
      <c r="G59" s="4">
        <v>7.502678358999991E7</v>
      </c>
      <c r="H59" s="5">
        <v>7.502678359E7</v>
      </c>
      <c r="I59" s="6" t="s">
        <v>10</v>
      </c>
    </row>
    <row r="60">
      <c r="A60" s="1">
        <v>46268.0</v>
      </c>
      <c r="B60" s="3" t="s">
        <v>33</v>
      </c>
      <c r="C60" s="3" t="s">
        <v>68</v>
      </c>
      <c r="D60" s="5">
        <v>168200.0</v>
      </c>
      <c r="E60" s="4"/>
      <c r="F60" s="4"/>
      <c r="G60" s="4">
        <v>7.485858358999991E7</v>
      </c>
      <c r="H60" s="5">
        <v>7.485858359E7</v>
      </c>
      <c r="I60" s="6" t="s">
        <v>10</v>
      </c>
    </row>
    <row r="61">
      <c r="A61" s="1">
        <v>46269.0</v>
      </c>
      <c r="B61" s="3" t="s">
        <v>21</v>
      </c>
      <c r="C61" s="3" t="s">
        <v>69</v>
      </c>
      <c r="D61" s="5">
        <v>200000.0</v>
      </c>
      <c r="E61" s="4"/>
      <c r="F61" s="5" t="s">
        <v>6</v>
      </c>
      <c r="G61" s="4">
        <v>7.465858358999991E7</v>
      </c>
      <c r="H61" s="4"/>
      <c r="I61" s="6" t="s">
        <v>10</v>
      </c>
    </row>
    <row r="62">
      <c r="A62" s="1">
        <v>46269.0</v>
      </c>
      <c r="B62" s="3" t="s">
        <v>21</v>
      </c>
      <c r="C62" s="3" t="s">
        <v>70</v>
      </c>
      <c r="D62" s="5">
        <v>2500.0</v>
      </c>
      <c r="E62" s="4"/>
      <c r="F62" s="5" t="s">
        <v>6</v>
      </c>
      <c r="G62" s="4">
        <v>7.465608358999991E7</v>
      </c>
      <c r="H62" s="4"/>
      <c r="I62" s="6"/>
    </row>
    <row r="63">
      <c r="A63" s="1">
        <v>46269.0</v>
      </c>
      <c r="B63" s="3" t="s">
        <v>24</v>
      </c>
      <c r="C63" s="3" t="s">
        <v>71</v>
      </c>
      <c r="D63" s="5"/>
      <c r="E63" s="5">
        <v>7.5E7</v>
      </c>
      <c r="F63" s="5" t="s">
        <v>3</v>
      </c>
      <c r="G63" s="4">
        <v>1.496560835899999E8</v>
      </c>
      <c r="H63" s="4"/>
      <c r="I63" s="6" t="s">
        <v>10</v>
      </c>
    </row>
    <row r="64">
      <c r="A64" s="1">
        <v>46269.0</v>
      </c>
      <c r="B64" s="3" t="s">
        <v>24</v>
      </c>
      <c r="C64" s="3" t="s">
        <v>72</v>
      </c>
      <c r="D64" s="5"/>
      <c r="E64" s="5">
        <v>141500.0</v>
      </c>
      <c r="F64" s="5" t="s">
        <v>3</v>
      </c>
      <c r="G64" s="4">
        <v>1.497975835899999E8</v>
      </c>
      <c r="H64" s="4"/>
      <c r="I64" s="6" t="s">
        <v>10</v>
      </c>
    </row>
    <row r="65">
      <c r="A65" s="1">
        <v>46269.0</v>
      </c>
      <c r="B65" s="3" t="s">
        <v>4</v>
      </c>
      <c r="C65" s="3" t="s">
        <v>73</v>
      </c>
      <c r="D65" s="5">
        <v>6.992796E7</v>
      </c>
      <c r="E65" s="4"/>
      <c r="F65" s="5" t="s">
        <v>6</v>
      </c>
      <c r="G65" s="4">
        <v>7.986962358999991E7</v>
      </c>
      <c r="H65" s="4"/>
      <c r="I65" s="6"/>
    </row>
    <row r="66">
      <c r="A66" s="1">
        <v>46269.0</v>
      </c>
      <c r="B66" s="3" t="s">
        <v>4</v>
      </c>
      <c r="C66" s="3" t="s">
        <v>74</v>
      </c>
      <c r="D66" s="5">
        <v>7.93636E7</v>
      </c>
      <c r="E66" s="4"/>
      <c r="F66" s="5" t="s">
        <v>6</v>
      </c>
      <c r="G66" s="4">
        <v>506023.58999991417</v>
      </c>
      <c r="H66" s="4"/>
      <c r="I66" s="6"/>
    </row>
    <row r="67">
      <c r="A67" s="1">
        <v>46269.0</v>
      </c>
      <c r="B67" s="3" t="s">
        <v>24</v>
      </c>
      <c r="C67" s="3" t="s">
        <v>75</v>
      </c>
      <c r="D67" s="5"/>
      <c r="E67" s="5">
        <v>1.51217083E8</v>
      </c>
      <c r="F67" s="5" t="s">
        <v>3</v>
      </c>
      <c r="G67" s="4">
        <v>1.517231065899999E8</v>
      </c>
      <c r="H67" s="4"/>
      <c r="I67" s="6"/>
    </row>
    <row r="68">
      <c r="A68" s="1">
        <v>46269.0</v>
      </c>
      <c r="B68" s="3" t="s">
        <v>4</v>
      </c>
      <c r="C68" s="3" t="s">
        <v>76</v>
      </c>
      <c r="D68" s="5">
        <v>1.21187E8</v>
      </c>
      <c r="E68" s="4"/>
      <c r="F68" s="5" t="s">
        <v>6</v>
      </c>
      <c r="G68" s="4">
        <v>3.0536106589999914E7</v>
      </c>
      <c r="H68" s="4"/>
      <c r="I68" s="6"/>
    </row>
    <row r="69">
      <c r="A69" s="1">
        <v>46269.0</v>
      </c>
      <c r="B69" s="3" t="s">
        <v>28</v>
      </c>
      <c r="C69" s="3" t="s">
        <v>29</v>
      </c>
      <c r="E69" s="5">
        <v>1.323444E8</v>
      </c>
      <c r="F69" s="4"/>
      <c r="G69" s="4">
        <v>1.628805065899999E8</v>
      </c>
      <c r="H69" s="4"/>
      <c r="I69" s="6"/>
    </row>
    <row r="70">
      <c r="A70" s="1">
        <v>46269.0</v>
      </c>
      <c r="B70" s="3" t="s">
        <v>24</v>
      </c>
      <c r="C70" s="3" t="s">
        <v>77</v>
      </c>
      <c r="D70" s="5"/>
      <c r="E70" s="5">
        <v>4.691693E8</v>
      </c>
      <c r="F70" s="5" t="s">
        <v>3</v>
      </c>
      <c r="G70" s="4">
        <v>6.320498065899999E8</v>
      </c>
      <c r="H70" s="4"/>
      <c r="I70" s="6"/>
    </row>
    <row r="71">
      <c r="A71" s="1">
        <v>46269.0</v>
      </c>
      <c r="B71" s="3" t="s">
        <v>4</v>
      </c>
      <c r="C71" s="3" t="s">
        <v>78</v>
      </c>
      <c r="D71" s="5">
        <v>1.622394E8</v>
      </c>
      <c r="E71" s="4"/>
      <c r="F71" s="5" t="s">
        <v>6</v>
      </c>
      <c r="G71" s="4">
        <v>4.698104065899999E8</v>
      </c>
      <c r="H71" s="5">
        <v>4.6981040659E8</v>
      </c>
      <c r="I71" s="6"/>
    </row>
    <row r="72">
      <c r="A72" s="7">
        <v>46269.0</v>
      </c>
      <c r="B72" s="8" t="s">
        <v>4</v>
      </c>
      <c r="C72" s="8" t="s">
        <v>79</v>
      </c>
      <c r="D72" s="9">
        <v>1.3E7</v>
      </c>
      <c r="E72" s="11"/>
      <c r="F72" s="9" t="s">
        <v>6</v>
      </c>
      <c r="G72" s="11">
        <v>4.568104065899999E8</v>
      </c>
      <c r="H72" s="9">
        <v>4.5681040659E8</v>
      </c>
      <c r="I72" s="6"/>
    </row>
    <row r="73">
      <c r="A73" s="1">
        <v>46269.0</v>
      </c>
      <c r="B73" s="3" t="s">
        <v>4</v>
      </c>
      <c r="C73" s="3" t="s">
        <v>80</v>
      </c>
      <c r="D73" s="5">
        <v>4.4E7</v>
      </c>
      <c r="E73" s="4"/>
      <c r="F73" s="5" t="s">
        <v>6</v>
      </c>
      <c r="G73" s="4">
        <v>4.128104065899999E8</v>
      </c>
      <c r="H73" s="4"/>
      <c r="I73" s="6"/>
    </row>
    <row r="74">
      <c r="A74" s="1">
        <v>46269.0</v>
      </c>
      <c r="B74" s="3" t="s">
        <v>4</v>
      </c>
      <c r="C74" s="3" t="s">
        <v>81</v>
      </c>
      <c r="D74" s="5">
        <v>8.225E7</v>
      </c>
      <c r="E74" s="4"/>
      <c r="F74" s="5" t="s">
        <v>6</v>
      </c>
      <c r="G74" s="4">
        <v>3.305604065899999E8</v>
      </c>
      <c r="H74" s="4"/>
      <c r="I74" s="6"/>
    </row>
    <row r="75">
      <c r="A75" s="1">
        <v>46269.0</v>
      </c>
      <c r="B75" s="3" t="s">
        <v>4</v>
      </c>
      <c r="C75" s="3" t="s">
        <v>82</v>
      </c>
      <c r="D75" s="5">
        <v>4.7E7</v>
      </c>
      <c r="E75" s="4"/>
      <c r="F75" s="5" t="s">
        <v>6</v>
      </c>
      <c r="G75" s="4">
        <v>2.835604065899999E8</v>
      </c>
      <c r="H75" s="4"/>
      <c r="I75" s="6"/>
    </row>
    <row r="76">
      <c r="A76" s="1">
        <v>46269.0</v>
      </c>
      <c r="B76" s="3" t="s">
        <v>4</v>
      </c>
      <c r="C76" s="3" t="s">
        <v>83</v>
      </c>
      <c r="D76" s="5">
        <v>1.6441084E8</v>
      </c>
      <c r="E76" s="4"/>
      <c r="F76" s="5" t="s">
        <v>6</v>
      </c>
      <c r="G76" s="4">
        <v>1.1914956658999991E8</v>
      </c>
      <c r="H76" s="4"/>
      <c r="I76" s="6"/>
    </row>
    <row r="77">
      <c r="A77" s="1">
        <v>46269.0</v>
      </c>
      <c r="B77" s="3" t="s">
        <v>4</v>
      </c>
      <c r="C77" s="3" t="s">
        <v>84</v>
      </c>
      <c r="D77" s="5">
        <v>1.0E8</v>
      </c>
      <c r="E77" s="4"/>
      <c r="F77" s="5" t="s">
        <v>6</v>
      </c>
      <c r="G77" s="4">
        <v>1.9149566589999914E7</v>
      </c>
      <c r="H77" s="4"/>
      <c r="I77" s="6"/>
    </row>
    <row r="78">
      <c r="A78" s="1">
        <v>46269.0</v>
      </c>
      <c r="B78" s="3" t="s">
        <v>4</v>
      </c>
      <c r="C78" s="3" t="s">
        <v>85</v>
      </c>
      <c r="D78" s="5">
        <v>1000000.0</v>
      </c>
      <c r="E78" s="4"/>
      <c r="F78" s="5" t="s">
        <v>6</v>
      </c>
      <c r="G78" s="4">
        <v>1.8149566589999914E7</v>
      </c>
      <c r="H78" s="4"/>
      <c r="I78" s="6"/>
    </row>
    <row r="79">
      <c r="A79" s="1">
        <v>46269.0</v>
      </c>
      <c r="B79" s="3" t="s">
        <v>4</v>
      </c>
      <c r="C79" s="3" t="s">
        <v>86</v>
      </c>
      <c r="D79" s="5">
        <v>1500000.0</v>
      </c>
      <c r="E79" s="4"/>
      <c r="F79" s="5" t="s">
        <v>6</v>
      </c>
      <c r="G79" s="4">
        <v>1.6649566589999914E7</v>
      </c>
      <c r="H79" s="4"/>
      <c r="I79" s="6"/>
    </row>
    <row r="80">
      <c r="A80" s="1">
        <v>46269.0</v>
      </c>
      <c r="B80" s="3" t="s">
        <v>24</v>
      </c>
      <c r="C80" s="3" t="s">
        <v>87</v>
      </c>
      <c r="D80" s="5"/>
      <c r="E80" s="5">
        <v>9.0E7</v>
      </c>
      <c r="F80" s="5" t="s">
        <v>3</v>
      </c>
      <c r="G80" s="4">
        <v>1.0664956658999991E8</v>
      </c>
      <c r="H80" s="4"/>
      <c r="I80" s="6"/>
    </row>
    <row r="81">
      <c r="A81" s="1">
        <v>46269.0</v>
      </c>
      <c r="B81" s="3" t="s">
        <v>24</v>
      </c>
      <c r="C81" s="3" t="s">
        <v>88</v>
      </c>
      <c r="D81" s="5"/>
      <c r="E81" s="5">
        <v>2.55401E7</v>
      </c>
      <c r="F81" s="5" t="s">
        <v>3</v>
      </c>
      <c r="G81" s="4">
        <v>1.3218966658999991E8</v>
      </c>
      <c r="H81" s="4"/>
      <c r="I81" s="6"/>
    </row>
    <row r="82">
      <c r="A82" s="1">
        <v>46269.0</v>
      </c>
      <c r="B82" s="3" t="s">
        <v>24</v>
      </c>
      <c r="C82" s="3" t="s">
        <v>89</v>
      </c>
      <c r="D82" s="5"/>
      <c r="E82" s="5">
        <v>1.4600622E8</v>
      </c>
      <c r="F82" s="5" t="s">
        <v>3</v>
      </c>
      <c r="G82" s="4">
        <v>2.781958865899999E8</v>
      </c>
      <c r="H82" s="4"/>
      <c r="I82" s="6"/>
    </row>
    <row r="83">
      <c r="A83" s="1">
        <v>46269.0</v>
      </c>
      <c r="B83" s="3" t="s">
        <v>24</v>
      </c>
      <c r="C83" s="3" t="s">
        <v>90</v>
      </c>
      <c r="D83" s="5"/>
      <c r="E83" s="5">
        <v>1.3707906E8</v>
      </c>
      <c r="F83" s="5" t="s">
        <v>3</v>
      </c>
      <c r="G83" s="4">
        <v>4.152749465899999E8</v>
      </c>
      <c r="H83" s="4"/>
      <c r="I83" s="6"/>
    </row>
    <row r="84">
      <c r="A84" s="1">
        <v>46269.0</v>
      </c>
      <c r="B84" s="3" t="s">
        <v>4</v>
      </c>
      <c r="C84" s="3" t="s">
        <v>91</v>
      </c>
      <c r="D84" s="5">
        <v>1552830.0</v>
      </c>
      <c r="E84" s="4"/>
      <c r="F84" s="5" t="s">
        <v>6</v>
      </c>
      <c r="G84" s="4">
        <v>4.137221165899999E8</v>
      </c>
      <c r="H84" s="4"/>
      <c r="I84" s="6"/>
    </row>
    <row r="85">
      <c r="A85" s="1">
        <v>46269.0</v>
      </c>
      <c r="B85" s="3" t="s">
        <v>4</v>
      </c>
      <c r="C85" s="3" t="s">
        <v>92</v>
      </c>
      <c r="D85" s="5">
        <v>6248880.0</v>
      </c>
      <c r="E85" s="4"/>
      <c r="F85" s="5" t="s">
        <v>6</v>
      </c>
      <c r="G85" s="4">
        <v>4.074732365899999E8</v>
      </c>
      <c r="H85" s="5">
        <v>4.0747323659E8</v>
      </c>
      <c r="I85" s="6"/>
    </row>
    <row r="86">
      <c r="A86" s="1">
        <v>46269.0</v>
      </c>
      <c r="B86" s="3" t="s">
        <v>4</v>
      </c>
      <c r="C86" s="3" t="s">
        <v>93</v>
      </c>
      <c r="D86" s="5">
        <v>600000.0</v>
      </c>
      <c r="E86" s="4"/>
      <c r="F86" s="5" t="s">
        <v>6</v>
      </c>
      <c r="G86" s="4">
        <v>4.068732365899999E8</v>
      </c>
      <c r="H86" s="5">
        <v>4.0687323659E8</v>
      </c>
      <c r="I86" s="6"/>
    </row>
    <row r="87">
      <c r="A87" s="1">
        <v>46270.0</v>
      </c>
      <c r="B87" s="3" t="s">
        <v>24</v>
      </c>
      <c r="C87" s="3" t="s">
        <v>94</v>
      </c>
      <c r="D87" s="5"/>
      <c r="E87" s="5">
        <v>1.0E8</v>
      </c>
      <c r="F87" s="5" t="s">
        <v>3</v>
      </c>
      <c r="G87" s="4">
        <v>5.068732365899999E8</v>
      </c>
      <c r="H87" s="4"/>
      <c r="I87" s="6"/>
    </row>
    <row r="88">
      <c r="A88" s="1">
        <v>46270.0</v>
      </c>
      <c r="B88" s="3" t="s">
        <v>4</v>
      </c>
      <c r="C88" s="3" t="s">
        <v>95</v>
      </c>
      <c r="D88" s="5">
        <v>9.281392E7</v>
      </c>
      <c r="E88" s="4"/>
      <c r="F88" s="5" t="s">
        <v>6</v>
      </c>
      <c r="G88" s="4">
        <v>4.140593165899999E8</v>
      </c>
      <c r="H88" s="4"/>
      <c r="I88" s="6"/>
    </row>
    <row r="89">
      <c r="A89" s="1">
        <v>46270.0</v>
      </c>
      <c r="B89" s="3" t="s">
        <v>4</v>
      </c>
      <c r="C89" s="3" t="s">
        <v>96</v>
      </c>
      <c r="D89" s="5">
        <v>2.609513E8</v>
      </c>
      <c r="E89" s="4"/>
      <c r="F89" s="5" t="s">
        <v>6</v>
      </c>
      <c r="G89" s="4">
        <v>1.531080165899999E8</v>
      </c>
      <c r="H89" s="4"/>
      <c r="I89" s="6"/>
    </row>
    <row r="90">
      <c r="A90" s="1">
        <v>46270.0</v>
      </c>
      <c r="B90" s="3" t="s">
        <v>4</v>
      </c>
      <c r="C90" s="3" t="s">
        <v>97</v>
      </c>
      <c r="D90" s="5">
        <v>6182670.0</v>
      </c>
      <c r="E90" s="4"/>
      <c r="F90" s="5" t="s">
        <v>6</v>
      </c>
      <c r="G90" s="4">
        <v>1.469253465899999E8</v>
      </c>
      <c r="H90" s="4"/>
      <c r="I90" s="6"/>
    </row>
    <row r="91">
      <c r="A91" s="1">
        <v>46270.0</v>
      </c>
      <c r="B91" s="3" t="s">
        <v>4</v>
      </c>
      <c r="C91" s="3" t="s">
        <v>98</v>
      </c>
      <c r="D91" s="5">
        <v>6.975E7</v>
      </c>
      <c r="E91" s="4"/>
      <c r="F91" s="5" t="s">
        <v>6</v>
      </c>
      <c r="G91" s="4">
        <v>7.717534658999991E7</v>
      </c>
      <c r="H91" s="4"/>
      <c r="I91" s="6"/>
    </row>
    <row r="92">
      <c r="A92" s="1">
        <v>46270.0</v>
      </c>
      <c r="B92" s="3" t="s">
        <v>4</v>
      </c>
      <c r="C92" s="3" t="s">
        <v>99</v>
      </c>
      <c r="D92" s="5">
        <v>7.12264E7</v>
      </c>
      <c r="E92" s="4"/>
      <c r="F92" s="5" t="s">
        <v>6</v>
      </c>
      <c r="G92" s="4">
        <v>5948946.589999914</v>
      </c>
      <c r="H92" s="4"/>
      <c r="I92" s="6"/>
    </row>
    <row r="93">
      <c r="A93" s="1">
        <v>46270.0</v>
      </c>
      <c r="B93" s="3" t="s">
        <v>4</v>
      </c>
      <c r="C93" s="3" t="s">
        <v>100</v>
      </c>
      <c r="D93" s="5">
        <v>5898000.0</v>
      </c>
      <c r="E93" s="4"/>
      <c r="F93" s="5" t="s">
        <v>6</v>
      </c>
      <c r="G93" s="4">
        <v>50946.58999991417</v>
      </c>
      <c r="H93" s="4"/>
      <c r="I93" s="6"/>
    </row>
    <row r="94">
      <c r="A94" s="1">
        <v>46270.0</v>
      </c>
      <c r="B94" s="3" t="s">
        <v>24</v>
      </c>
      <c r="C94" s="3" t="s">
        <v>101</v>
      </c>
      <c r="D94" s="5"/>
      <c r="E94" s="5">
        <v>1.50043135E8</v>
      </c>
      <c r="F94" s="5" t="s">
        <v>3</v>
      </c>
      <c r="G94" s="4">
        <v>1.500940815899999E8</v>
      </c>
      <c r="H94" s="4"/>
      <c r="I94" s="6"/>
    </row>
    <row r="95">
      <c r="A95" s="1">
        <v>46270.0</v>
      </c>
      <c r="B95" s="3" t="s">
        <v>24</v>
      </c>
      <c r="C95" s="3" t="s">
        <v>102</v>
      </c>
      <c r="D95" s="5"/>
      <c r="E95" s="5">
        <v>6.87375E7</v>
      </c>
      <c r="F95" s="5" t="s">
        <v>3</v>
      </c>
      <c r="G95" s="4">
        <v>2.188315815899999E8</v>
      </c>
      <c r="H95" s="4"/>
      <c r="I95" s="6"/>
    </row>
    <row r="96">
      <c r="A96" s="1">
        <v>46270.0</v>
      </c>
      <c r="B96" s="3" t="s">
        <v>24</v>
      </c>
      <c r="C96" s="3" t="s">
        <v>103</v>
      </c>
      <c r="D96" s="5"/>
      <c r="E96" s="5">
        <v>5.0E7</v>
      </c>
      <c r="F96" s="5" t="s">
        <v>3</v>
      </c>
      <c r="G96" s="4">
        <v>2.688315815899999E8</v>
      </c>
      <c r="H96" s="4"/>
      <c r="I96" s="6"/>
    </row>
    <row r="97">
      <c r="A97" s="1">
        <v>46270.0</v>
      </c>
      <c r="B97" s="3" t="s">
        <v>4</v>
      </c>
      <c r="C97" s="3" t="s">
        <v>104</v>
      </c>
      <c r="D97" s="5">
        <v>8.51E7</v>
      </c>
      <c r="E97" s="4"/>
      <c r="F97" s="5" t="s">
        <v>6</v>
      </c>
      <c r="G97" s="4">
        <v>1.837315815899999E8</v>
      </c>
      <c r="H97" s="4"/>
      <c r="I97" s="6"/>
    </row>
    <row r="98">
      <c r="A98" s="1">
        <v>46270.0</v>
      </c>
      <c r="B98" s="3" t="s">
        <v>4</v>
      </c>
      <c r="C98" s="3" t="s">
        <v>105</v>
      </c>
      <c r="D98" s="5">
        <v>5.9491E7</v>
      </c>
      <c r="E98" s="4"/>
      <c r="F98" s="5" t="s">
        <v>6</v>
      </c>
      <c r="G98" s="4">
        <v>1.2424058158999991E8</v>
      </c>
      <c r="H98" s="5">
        <v>1.2424058159E8</v>
      </c>
      <c r="I98" s="6"/>
    </row>
    <row r="99">
      <c r="A99" s="1">
        <v>46270.0</v>
      </c>
      <c r="B99" s="3" t="s">
        <v>24</v>
      </c>
      <c r="C99" s="3" t="s">
        <v>106</v>
      </c>
      <c r="D99" s="5"/>
      <c r="E99" s="5">
        <v>2.6096913E8</v>
      </c>
      <c r="F99" s="5" t="s">
        <v>3</v>
      </c>
      <c r="G99" s="4">
        <v>3.852097115899999E8</v>
      </c>
      <c r="H99" s="5">
        <v>3.8520971159E8</v>
      </c>
      <c r="I99" s="6"/>
    </row>
    <row r="100">
      <c r="A100" s="1">
        <v>46270.0</v>
      </c>
      <c r="B100" s="3" t="s">
        <v>24</v>
      </c>
      <c r="C100" s="3" t="s">
        <v>107</v>
      </c>
      <c r="D100" s="5"/>
      <c r="E100" s="5">
        <v>6.316605E7</v>
      </c>
      <c r="F100" s="5" t="s">
        <v>3</v>
      </c>
      <c r="G100" s="4">
        <v>4.483757615899999E8</v>
      </c>
      <c r="H100" s="4"/>
      <c r="I100" s="6"/>
    </row>
    <row r="101">
      <c r="A101" s="1">
        <v>46270.0</v>
      </c>
      <c r="B101" s="3" t="s">
        <v>4</v>
      </c>
      <c r="C101" s="3" t="s">
        <v>108</v>
      </c>
      <c r="D101" s="5">
        <v>5750000.0</v>
      </c>
      <c r="E101" s="4"/>
      <c r="F101" s="5" t="s">
        <v>6</v>
      </c>
      <c r="G101" s="4">
        <v>4.426257615899999E8</v>
      </c>
      <c r="H101" s="4"/>
      <c r="I101" s="6"/>
    </row>
    <row r="102">
      <c r="A102" s="1">
        <v>46270.0</v>
      </c>
      <c r="B102" s="3" t="s">
        <v>24</v>
      </c>
      <c r="C102" s="3" t="s">
        <v>109</v>
      </c>
      <c r="D102" s="5"/>
      <c r="E102" s="5">
        <v>1.6848E8</v>
      </c>
      <c r="F102" s="5" t="s">
        <v>3</v>
      </c>
      <c r="G102" s="4">
        <v>6.111057615899999E8</v>
      </c>
      <c r="H102" s="4"/>
      <c r="I102" s="6"/>
    </row>
    <row r="103">
      <c r="A103" s="1">
        <v>46270.0</v>
      </c>
      <c r="B103" s="3" t="s">
        <v>24</v>
      </c>
      <c r="C103" s="3" t="s">
        <v>110</v>
      </c>
      <c r="D103" s="5"/>
      <c r="E103" s="5">
        <v>5.38879E7</v>
      </c>
      <c r="F103" s="5" t="s">
        <v>3</v>
      </c>
      <c r="G103" s="4">
        <v>6.649936615899999E8</v>
      </c>
      <c r="H103" s="4"/>
      <c r="I103" s="6"/>
    </row>
    <row r="104">
      <c r="A104" s="1">
        <v>46270.0</v>
      </c>
      <c r="B104" s="3" t="s">
        <v>24</v>
      </c>
      <c r="C104" s="3" t="s">
        <v>111</v>
      </c>
      <c r="D104" s="5"/>
      <c r="E104" s="5">
        <v>5.0E7</v>
      </c>
      <c r="F104" s="5" t="s">
        <v>3</v>
      </c>
      <c r="G104" s="4">
        <v>7.149936615899999E8</v>
      </c>
      <c r="H104" s="5">
        <v>7.1499366159E8</v>
      </c>
      <c r="I104" s="6"/>
    </row>
    <row r="105">
      <c r="A105" s="1">
        <v>46271.0</v>
      </c>
      <c r="B105" s="3" t="s">
        <v>112</v>
      </c>
      <c r="C105" s="3" t="s">
        <v>113</v>
      </c>
      <c r="D105" s="5">
        <v>6.65758E7</v>
      </c>
      <c r="E105" s="4"/>
      <c r="F105" s="5" t="s">
        <v>6</v>
      </c>
      <c r="G105" s="4">
        <v>6.484178615899999E8</v>
      </c>
      <c r="H105" s="4"/>
      <c r="I105" s="6"/>
    </row>
    <row r="106">
      <c r="A106" s="1">
        <v>46271.0</v>
      </c>
      <c r="B106" s="3" t="s">
        <v>112</v>
      </c>
      <c r="C106" s="3" t="s">
        <v>114</v>
      </c>
      <c r="D106" s="5">
        <v>6.200404E7</v>
      </c>
      <c r="E106" s="4"/>
      <c r="F106" s="5" t="s">
        <v>6</v>
      </c>
      <c r="G106" s="4">
        <v>5.864138215899999E8</v>
      </c>
      <c r="H106" s="4"/>
      <c r="I106" s="6"/>
    </row>
    <row r="107">
      <c r="A107" s="1">
        <v>46271.0</v>
      </c>
      <c r="B107" s="3" t="s">
        <v>112</v>
      </c>
      <c r="C107" s="3" t="s">
        <v>115</v>
      </c>
      <c r="D107" s="5">
        <v>6.5243E7</v>
      </c>
      <c r="E107" s="4"/>
      <c r="F107" s="5" t="s">
        <v>6</v>
      </c>
      <c r="G107" s="4">
        <v>5.211708215899999E8</v>
      </c>
      <c r="H107" s="4"/>
      <c r="I107" s="6"/>
    </row>
    <row r="108">
      <c r="A108" s="1">
        <v>46271.0</v>
      </c>
      <c r="B108" s="3" t="s">
        <v>112</v>
      </c>
      <c r="C108" s="3" t="s">
        <v>116</v>
      </c>
      <c r="D108" s="5">
        <v>4.51913E7</v>
      </c>
      <c r="E108" s="4"/>
      <c r="F108" s="5" t="s">
        <v>6</v>
      </c>
      <c r="G108" s="4">
        <v>4.759795215899999E8</v>
      </c>
      <c r="H108" s="4"/>
      <c r="I108" s="6"/>
    </row>
    <row r="109">
      <c r="A109" s="1">
        <v>46271.0</v>
      </c>
      <c r="B109" s="3" t="s">
        <v>117</v>
      </c>
      <c r="C109" s="3" t="s">
        <v>118</v>
      </c>
      <c r="D109" s="5"/>
      <c r="E109" s="5">
        <v>9.0E7</v>
      </c>
      <c r="F109" s="5" t="s">
        <v>3</v>
      </c>
      <c r="G109" s="4">
        <v>5.659795215899999E8</v>
      </c>
      <c r="H109" s="4"/>
      <c r="I109" s="6"/>
    </row>
    <row r="110">
      <c r="A110" s="1">
        <v>46271.0</v>
      </c>
      <c r="B110" s="3" t="s">
        <v>119</v>
      </c>
      <c r="C110" s="3" t="s">
        <v>120</v>
      </c>
      <c r="D110" s="5">
        <v>102000.0</v>
      </c>
      <c r="E110" s="4"/>
      <c r="F110" s="4"/>
      <c r="G110" s="4">
        <v>5.658775215899999E8</v>
      </c>
      <c r="H110" s="4"/>
      <c r="I110" s="6"/>
    </row>
    <row r="111">
      <c r="A111" s="1">
        <v>46271.0</v>
      </c>
      <c r="B111" s="3" t="s">
        <v>4</v>
      </c>
      <c r="C111" s="3" t="s">
        <v>121</v>
      </c>
      <c r="D111" s="5">
        <v>3.9932E7</v>
      </c>
      <c r="E111" s="4"/>
      <c r="F111" s="5" t="s">
        <v>6</v>
      </c>
      <c r="G111" s="4">
        <v>5.259455215899999E8</v>
      </c>
      <c r="H111" s="5">
        <v>5.2594552159E8</v>
      </c>
      <c r="I111" s="6"/>
    </row>
    <row r="112">
      <c r="A112" s="1">
        <v>46271.0</v>
      </c>
      <c r="B112" s="3" t="s">
        <v>4</v>
      </c>
      <c r="C112" s="3" t="s">
        <v>122</v>
      </c>
      <c r="D112" s="5">
        <v>7.84E7</v>
      </c>
      <c r="E112" s="4"/>
      <c r="F112" s="5" t="s">
        <v>6</v>
      </c>
      <c r="G112" s="4">
        <v>4.475455215899999E8</v>
      </c>
      <c r="H112" s="5">
        <v>4.4754552159E8</v>
      </c>
      <c r="I112" s="6"/>
    </row>
    <row r="113">
      <c r="A113" s="1">
        <v>46271.0</v>
      </c>
      <c r="B113" s="3" t="s">
        <v>4</v>
      </c>
      <c r="C113" s="3" t="s">
        <v>123</v>
      </c>
      <c r="D113" s="5">
        <v>6.905425E7</v>
      </c>
      <c r="E113" s="4"/>
      <c r="F113" s="5" t="s">
        <v>6</v>
      </c>
      <c r="G113" s="4">
        <v>3.784912715899999E8</v>
      </c>
      <c r="H113" s="4"/>
      <c r="I113" s="6"/>
    </row>
    <row r="114">
      <c r="A114" s="1">
        <v>46271.0</v>
      </c>
      <c r="B114" s="3" t="s">
        <v>4</v>
      </c>
      <c r="C114" s="3" t="s">
        <v>124</v>
      </c>
      <c r="D114" s="5">
        <v>6.67952E7</v>
      </c>
      <c r="E114" s="4"/>
      <c r="F114" s="5" t="s">
        <v>6</v>
      </c>
      <c r="G114" s="4">
        <v>3.116960715899999E8</v>
      </c>
      <c r="H114" s="4"/>
      <c r="I114" s="6"/>
    </row>
    <row r="115">
      <c r="A115" s="1">
        <v>46271.0</v>
      </c>
      <c r="B115" s="3" t="s">
        <v>4</v>
      </c>
      <c r="C115" s="3" t="s">
        <v>125</v>
      </c>
      <c r="D115" s="5">
        <v>6.66E7</v>
      </c>
      <c r="E115" s="4"/>
      <c r="F115" s="5" t="s">
        <v>6</v>
      </c>
      <c r="G115" s="4">
        <v>2.450960715899999E8</v>
      </c>
      <c r="H115" s="4"/>
      <c r="I115" s="6"/>
    </row>
    <row r="116">
      <c r="A116" s="1">
        <v>46271.0</v>
      </c>
      <c r="B116" s="3" t="s">
        <v>4</v>
      </c>
      <c r="C116" s="3" t="s">
        <v>126</v>
      </c>
      <c r="D116" s="5">
        <v>6.97245E7</v>
      </c>
      <c r="E116" s="4"/>
      <c r="F116" s="5" t="s">
        <v>6</v>
      </c>
      <c r="G116" s="4">
        <v>1.753715715899999E8</v>
      </c>
      <c r="H116" s="4"/>
      <c r="I116" s="6"/>
    </row>
    <row r="117">
      <c r="A117" s="1">
        <v>46271.0</v>
      </c>
      <c r="B117" s="3" t="s">
        <v>4</v>
      </c>
      <c r="C117" s="3" t="s">
        <v>127</v>
      </c>
      <c r="D117" s="5">
        <v>7.36E7</v>
      </c>
      <c r="E117" s="4"/>
      <c r="F117" s="5" t="s">
        <v>6</v>
      </c>
      <c r="G117" s="4">
        <v>1.0177157158999991E8</v>
      </c>
      <c r="H117" s="4"/>
      <c r="I117" s="6"/>
    </row>
    <row r="118">
      <c r="A118" s="1">
        <v>46271.0</v>
      </c>
      <c r="B118" s="3" t="s">
        <v>4</v>
      </c>
      <c r="C118" s="3" t="s">
        <v>128</v>
      </c>
      <c r="D118" s="5">
        <v>3.486E7</v>
      </c>
      <c r="E118" s="4"/>
      <c r="F118" s="5" t="s">
        <v>6</v>
      </c>
      <c r="G118" s="4">
        <v>6.6911571589999914E7</v>
      </c>
      <c r="H118" s="4"/>
      <c r="I118" s="6"/>
    </row>
    <row r="119">
      <c r="A119" s="1">
        <v>46271.0</v>
      </c>
      <c r="B119" s="3" t="s">
        <v>129</v>
      </c>
      <c r="C119" s="3" t="s">
        <v>129</v>
      </c>
      <c r="D119" s="5">
        <v>150000.0</v>
      </c>
      <c r="E119" s="4"/>
      <c r="F119" s="4"/>
      <c r="G119" s="4">
        <v>6.6761571589999914E7</v>
      </c>
      <c r="H119" s="4"/>
      <c r="I119" s="6"/>
    </row>
    <row r="120">
      <c r="A120" s="1">
        <v>46271.0</v>
      </c>
      <c r="B120" s="3" t="s">
        <v>24</v>
      </c>
      <c r="C120" s="3" t="s">
        <v>130</v>
      </c>
      <c r="D120" s="5"/>
      <c r="E120" s="5">
        <v>3.0E7</v>
      </c>
      <c r="F120" s="5" t="s">
        <v>3</v>
      </c>
      <c r="G120" s="4">
        <v>9.676157158999991E7</v>
      </c>
      <c r="H120" s="4"/>
      <c r="I120" s="6"/>
    </row>
    <row r="121">
      <c r="A121" s="1">
        <v>46271.0</v>
      </c>
      <c r="B121" s="3" t="s">
        <v>4</v>
      </c>
      <c r="C121" s="3" t="s">
        <v>131</v>
      </c>
      <c r="D121" s="5">
        <v>8.28207E7</v>
      </c>
      <c r="E121" s="4"/>
      <c r="F121" s="5" t="s">
        <v>6</v>
      </c>
      <c r="G121" s="4">
        <v>1.3940871589999914E7</v>
      </c>
      <c r="H121" s="4"/>
      <c r="I121" s="6"/>
    </row>
    <row r="122">
      <c r="A122" s="1">
        <v>46271.0</v>
      </c>
      <c r="B122" s="3" t="s">
        <v>24</v>
      </c>
      <c r="C122" s="3" t="s">
        <v>132</v>
      </c>
      <c r="D122" s="5"/>
      <c r="E122" s="5">
        <v>1.3622985E8</v>
      </c>
      <c r="F122" s="5" t="s">
        <v>3</v>
      </c>
      <c r="G122" s="4">
        <v>1.501707215899999E8</v>
      </c>
      <c r="H122" s="4"/>
      <c r="I122" s="6"/>
    </row>
    <row r="123">
      <c r="A123" s="1">
        <v>46271.0</v>
      </c>
      <c r="B123" s="3" t="s">
        <v>24</v>
      </c>
      <c r="C123" s="3" t="s">
        <v>133</v>
      </c>
      <c r="D123" s="5"/>
      <c r="E123" s="5">
        <v>1.4593749E8</v>
      </c>
      <c r="F123" s="5" t="s">
        <v>3</v>
      </c>
      <c r="G123" s="4">
        <v>2.961082115899999E8</v>
      </c>
      <c r="H123" s="4"/>
      <c r="I123" s="6"/>
    </row>
    <row r="124">
      <c r="A124" s="1">
        <v>46271.0</v>
      </c>
      <c r="B124" s="3" t="s">
        <v>4</v>
      </c>
      <c r="C124" s="3" t="s">
        <v>134</v>
      </c>
      <c r="D124" s="5">
        <v>6.62952E7</v>
      </c>
      <c r="E124" s="4"/>
      <c r="F124" s="5" t="s">
        <v>6</v>
      </c>
      <c r="G124" s="4">
        <v>2.298130115899999E8</v>
      </c>
      <c r="H124" s="5">
        <v>2.2981301159E8</v>
      </c>
      <c r="I124" s="6"/>
    </row>
    <row r="125">
      <c r="A125" s="1">
        <v>46271.0</v>
      </c>
      <c r="B125" s="3" t="s">
        <v>4</v>
      </c>
      <c r="C125" s="3" t="s">
        <v>135</v>
      </c>
      <c r="D125" s="5">
        <v>1.1854312E8</v>
      </c>
      <c r="E125" s="4"/>
      <c r="F125" s="5" t="s">
        <v>6</v>
      </c>
      <c r="G125" s="4">
        <v>1.1126989158999991E8</v>
      </c>
      <c r="H125" s="5">
        <v>1.1126989159E8</v>
      </c>
      <c r="I125" s="6"/>
    </row>
    <row r="126">
      <c r="A126" s="1">
        <v>46271.0</v>
      </c>
      <c r="B126" s="3" t="s">
        <v>4</v>
      </c>
      <c r="C126" s="3" t="s">
        <v>136</v>
      </c>
      <c r="D126" s="5">
        <v>7.12197E7</v>
      </c>
      <c r="E126" s="4"/>
      <c r="F126" s="5" t="s">
        <v>6</v>
      </c>
      <c r="G126" s="4">
        <v>4.0050191589999914E7</v>
      </c>
      <c r="H126" s="4"/>
      <c r="I126" s="6"/>
    </row>
    <row r="127">
      <c r="A127" s="1">
        <v>46271.0</v>
      </c>
      <c r="B127" s="3" t="s">
        <v>4</v>
      </c>
      <c r="C127" s="3" t="s">
        <v>137</v>
      </c>
      <c r="D127" s="5">
        <v>4.0E7</v>
      </c>
      <c r="E127" s="4"/>
      <c r="F127" s="5" t="s">
        <v>6</v>
      </c>
      <c r="G127" s="4">
        <v>50191.58999991417</v>
      </c>
      <c r="H127" s="5">
        <v>50191.59</v>
      </c>
      <c r="I127" s="6"/>
    </row>
    <row r="128">
      <c r="A128" s="1">
        <v>46272.0</v>
      </c>
      <c r="B128" s="3" t="s">
        <v>138</v>
      </c>
      <c r="C128" s="3" t="s">
        <v>139</v>
      </c>
      <c r="D128" s="5"/>
      <c r="E128" s="5">
        <v>3.02275E7</v>
      </c>
      <c r="F128" s="5" t="s">
        <v>3</v>
      </c>
      <c r="G128" s="4">
        <v>3.0277691589999914E7</v>
      </c>
      <c r="H128" s="4"/>
      <c r="I128" s="6"/>
    </row>
    <row r="129">
      <c r="A129" s="1">
        <v>46272.0</v>
      </c>
      <c r="B129" s="3" t="s">
        <v>4</v>
      </c>
      <c r="C129" s="3" t="s">
        <v>140</v>
      </c>
      <c r="D129" s="5">
        <v>2600000.0</v>
      </c>
      <c r="E129" s="4"/>
      <c r="F129" s="5" t="s">
        <v>6</v>
      </c>
      <c r="G129" s="4">
        <v>2.7677691589999914E7</v>
      </c>
      <c r="H129" s="4"/>
      <c r="I129" s="6"/>
    </row>
    <row r="130">
      <c r="A130" s="1">
        <v>46272.0</v>
      </c>
      <c r="B130" s="3" t="s">
        <v>4</v>
      </c>
      <c r="C130" s="3" t="s">
        <v>141</v>
      </c>
      <c r="D130" s="5">
        <v>2.7608E7</v>
      </c>
      <c r="E130" s="4"/>
      <c r="F130" s="5" t="s">
        <v>6</v>
      </c>
      <c r="G130" s="4">
        <v>69691.58999991417</v>
      </c>
      <c r="H130" s="4"/>
      <c r="I130" s="6"/>
    </row>
    <row r="131">
      <c r="A131" s="1">
        <v>46272.0</v>
      </c>
      <c r="B131" s="3" t="s">
        <v>24</v>
      </c>
      <c r="C131" s="3" t="s">
        <v>142</v>
      </c>
      <c r="D131" s="5"/>
      <c r="E131" s="5">
        <v>6.82E7</v>
      </c>
      <c r="F131" s="5" t="s">
        <v>3</v>
      </c>
      <c r="G131" s="4">
        <v>6.826969158999991E7</v>
      </c>
      <c r="H131" s="4"/>
      <c r="I131" s="6"/>
    </row>
    <row r="132">
      <c r="A132" s="1">
        <v>46272.0</v>
      </c>
      <c r="B132" s="3" t="s">
        <v>4</v>
      </c>
      <c r="C132" s="3" t="s">
        <v>143</v>
      </c>
      <c r="D132" s="5">
        <v>2500000.0</v>
      </c>
      <c r="E132" s="4"/>
      <c r="F132" s="5" t="s">
        <v>6</v>
      </c>
      <c r="G132" s="4">
        <v>6.5769691589999914E7</v>
      </c>
      <c r="H132" s="4"/>
      <c r="I132" s="6"/>
    </row>
    <row r="133">
      <c r="A133" s="1">
        <v>46272.0</v>
      </c>
      <c r="B133" s="3" t="s">
        <v>24</v>
      </c>
      <c r="C133" s="3" t="s">
        <v>144</v>
      </c>
      <c r="D133" s="5"/>
      <c r="E133" s="5">
        <v>5068980.0</v>
      </c>
      <c r="F133" s="5" t="s">
        <v>3</v>
      </c>
      <c r="G133" s="4">
        <v>7.083867158999991E7</v>
      </c>
      <c r="H133" s="4"/>
      <c r="I133" s="6"/>
    </row>
    <row r="134">
      <c r="A134" s="1">
        <v>46272.0</v>
      </c>
      <c r="B134" s="3" t="s">
        <v>24</v>
      </c>
      <c r="C134" s="3" t="s">
        <v>145</v>
      </c>
      <c r="D134" s="5"/>
      <c r="E134" s="5">
        <v>1.282365E8</v>
      </c>
      <c r="F134" s="5" t="s">
        <v>3</v>
      </c>
      <c r="G134" s="4">
        <v>1.990751715899999E8</v>
      </c>
      <c r="H134" s="4"/>
      <c r="I134" s="6"/>
    </row>
    <row r="135">
      <c r="A135" s="1">
        <v>46272.0</v>
      </c>
      <c r="B135" s="3" t="s">
        <v>24</v>
      </c>
      <c r="C135" s="3" t="s">
        <v>146</v>
      </c>
      <c r="D135" s="5"/>
      <c r="E135" s="5">
        <v>1.2692166E8</v>
      </c>
      <c r="F135" s="5" t="s">
        <v>3</v>
      </c>
      <c r="G135" s="4">
        <v>3.259968315899999E8</v>
      </c>
      <c r="H135" s="4"/>
      <c r="I135" s="6"/>
    </row>
    <row r="136">
      <c r="A136" s="1">
        <v>46272.0</v>
      </c>
      <c r="B136" s="3" t="s">
        <v>4</v>
      </c>
      <c r="C136" s="3" t="s">
        <v>147</v>
      </c>
      <c r="D136" s="5">
        <v>3.009375E7</v>
      </c>
      <c r="E136" s="4"/>
      <c r="F136" s="5" t="s">
        <v>6</v>
      </c>
      <c r="G136" s="4">
        <v>2.959030815899999E8</v>
      </c>
      <c r="H136" s="4"/>
      <c r="I136" s="6"/>
    </row>
    <row r="137">
      <c r="A137" s="1">
        <v>46272.0</v>
      </c>
      <c r="B137" s="3" t="s">
        <v>24</v>
      </c>
      <c r="C137" s="3" t="s">
        <v>148</v>
      </c>
      <c r="D137" s="5"/>
      <c r="E137" s="5">
        <v>1.5487462E8</v>
      </c>
      <c r="F137" s="5" t="s">
        <v>3</v>
      </c>
      <c r="G137" s="4">
        <v>4.507777015899999E8</v>
      </c>
      <c r="H137" s="4"/>
      <c r="I137" s="6"/>
    </row>
    <row r="138">
      <c r="A138" s="1">
        <v>46272.0</v>
      </c>
      <c r="B138" s="3" t="s">
        <v>4</v>
      </c>
      <c r="C138" s="3" t="s">
        <v>149</v>
      </c>
      <c r="D138" s="5">
        <v>6.90404E7</v>
      </c>
      <c r="E138" s="4"/>
      <c r="F138" s="5" t="s">
        <v>6</v>
      </c>
      <c r="G138" s="4">
        <v>3.817373015899999E8</v>
      </c>
      <c r="H138" s="5">
        <v>3.8173730159E8</v>
      </c>
      <c r="I138" s="6"/>
    </row>
    <row r="139">
      <c r="A139" s="1">
        <v>46272.0</v>
      </c>
      <c r="B139" s="3" t="s">
        <v>4</v>
      </c>
      <c r="C139" s="3" t="s">
        <v>150</v>
      </c>
      <c r="D139" s="5">
        <v>7.40301E7</v>
      </c>
      <c r="E139" s="4"/>
      <c r="F139" s="5" t="s">
        <v>6</v>
      </c>
      <c r="G139" s="4">
        <v>3.077072015899999E8</v>
      </c>
      <c r="H139" s="5">
        <v>3.0770720159E8</v>
      </c>
      <c r="I139" s="6"/>
    </row>
    <row r="140">
      <c r="A140" s="1">
        <v>46272.0</v>
      </c>
      <c r="B140" s="3" t="s">
        <v>24</v>
      </c>
      <c r="C140" s="3" t="s">
        <v>151</v>
      </c>
      <c r="D140" s="5"/>
      <c r="E140" s="5">
        <v>6.912E7</v>
      </c>
      <c r="F140" s="5" t="s">
        <v>3</v>
      </c>
      <c r="G140" s="4">
        <v>3.768272015899999E8</v>
      </c>
      <c r="H140" s="4"/>
      <c r="I140" s="6"/>
    </row>
    <row r="141">
      <c r="A141" s="1">
        <v>46272.0</v>
      </c>
      <c r="B141" s="3" t="s">
        <v>4</v>
      </c>
      <c r="C141" s="3" t="s">
        <v>152</v>
      </c>
      <c r="D141" s="5">
        <v>6.21474E7</v>
      </c>
      <c r="E141" s="4"/>
      <c r="F141" s="5" t="s">
        <v>6</v>
      </c>
      <c r="G141" s="4">
        <v>3.146798015899999E8</v>
      </c>
      <c r="H141" s="4"/>
      <c r="I141" s="6"/>
    </row>
    <row r="142">
      <c r="A142" s="1">
        <v>46272.0</v>
      </c>
      <c r="B142" s="3" t="s">
        <v>4</v>
      </c>
      <c r="C142" s="3" t="s">
        <v>153</v>
      </c>
      <c r="D142" s="5">
        <v>600000.0</v>
      </c>
      <c r="E142" s="4"/>
      <c r="F142" s="5" t="s">
        <v>6</v>
      </c>
      <c r="G142" s="4">
        <v>3.140798015899999E8</v>
      </c>
      <c r="H142" s="4"/>
      <c r="I142" s="6"/>
    </row>
    <row r="143">
      <c r="A143" s="1">
        <v>46272.0</v>
      </c>
      <c r="B143" s="3" t="s">
        <v>4</v>
      </c>
      <c r="C143" s="3" t="s">
        <v>154</v>
      </c>
      <c r="D143" s="5">
        <v>9.11E7</v>
      </c>
      <c r="E143" s="4"/>
      <c r="F143" s="5" t="s">
        <v>6</v>
      </c>
      <c r="G143" s="4">
        <v>2.229798015899999E8</v>
      </c>
      <c r="H143" s="4"/>
      <c r="I143" s="6" t="s">
        <v>44</v>
      </c>
    </row>
    <row r="144">
      <c r="A144" s="1">
        <v>46272.0</v>
      </c>
      <c r="B144" s="3" t="s">
        <v>4</v>
      </c>
      <c r="C144" s="3" t="s">
        <v>155</v>
      </c>
      <c r="D144" s="5">
        <v>6.24976E7</v>
      </c>
      <c r="E144" s="4"/>
      <c r="F144" s="5" t="s">
        <v>6</v>
      </c>
      <c r="G144" s="4">
        <v>1.604822015899999E8</v>
      </c>
      <c r="H144" s="4"/>
      <c r="I144" s="6" t="s">
        <v>44</v>
      </c>
    </row>
    <row r="145">
      <c r="A145" s="1">
        <v>46272.0</v>
      </c>
      <c r="B145" s="3" t="s">
        <v>4</v>
      </c>
      <c r="C145" s="3" t="s">
        <v>156</v>
      </c>
      <c r="D145" s="5">
        <v>4.91359E7</v>
      </c>
      <c r="E145" s="4"/>
      <c r="F145" s="5" t="s">
        <v>6</v>
      </c>
      <c r="G145" s="4">
        <v>1.1134630158999991E8</v>
      </c>
      <c r="H145" s="4"/>
      <c r="I145" s="6"/>
    </row>
    <row r="146">
      <c r="A146" s="1">
        <v>46272.0</v>
      </c>
      <c r="B146" s="3" t="s">
        <v>4</v>
      </c>
      <c r="C146" s="3" t="s">
        <v>157</v>
      </c>
      <c r="D146" s="5">
        <v>6.33742E7</v>
      </c>
      <c r="E146" s="4"/>
      <c r="F146" s="5" t="s">
        <v>6</v>
      </c>
      <c r="G146" s="4">
        <v>4.7972101589999914E7</v>
      </c>
      <c r="H146" s="4"/>
      <c r="I146" s="6"/>
    </row>
    <row r="147">
      <c r="A147" s="1">
        <v>46272.0</v>
      </c>
      <c r="B147" s="3" t="s">
        <v>4</v>
      </c>
      <c r="C147" s="3" t="s">
        <v>158</v>
      </c>
      <c r="D147" s="5">
        <v>852240.0</v>
      </c>
      <c r="E147" s="4"/>
      <c r="F147" s="5" t="s">
        <v>6</v>
      </c>
      <c r="G147" s="4">
        <v>4.7119861589999914E7</v>
      </c>
      <c r="H147" s="4"/>
      <c r="I147" s="6"/>
    </row>
    <row r="148">
      <c r="A148" s="1">
        <v>46272.0</v>
      </c>
      <c r="B148" s="3" t="s">
        <v>4</v>
      </c>
      <c r="C148" s="3" t="s">
        <v>159</v>
      </c>
      <c r="D148" s="5">
        <v>3530550.0</v>
      </c>
      <c r="E148" s="4"/>
      <c r="F148" s="5" t="s">
        <v>6</v>
      </c>
      <c r="G148" s="4">
        <v>4.3589311589999914E7</v>
      </c>
      <c r="H148" s="4"/>
      <c r="I148" s="6"/>
    </row>
    <row r="149">
      <c r="A149" s="1">
        <v>46272.0</v>
      </c>
      <c r="B149" s="3" t="s">
        <v>4</v>
      </c>
      <c r="C149" s="3" t="s">
        <v>160</v>
      </c>
      <c r="D149" s="5">
        <v>2531180.0</v>
      </c>
      <c r="E149" s="4"/>
      <c r="F149" s="5" t="s">
        <v>6</v>
      </c>
      <c r="G149" s="4">
        <v>4.1058131589999914E7</v>
      </c>
      <c r="H149" s="4"/>
      <c r="I149" s="6"/>
    </row>
    <row r="150">
      <c r="A150" s="1">
        <v>46272.0</v>
      </c>
      <c r="B150" s="3" t="s">
        <v>4</v>
      </c>
      <c r="C150" s="3" t="s">
        <v>161</v>
      </c>
      <c r="D150" s="5">
        <v>500000.0</v>
      </c>
      <c r="E150" s="4"/>
      <c r="F150" s="5" t="s">
        <v>6</v>
      </c>
      <c r="G150" s="4">
        <v>4.0558131589999914E7</v>
      </c>
      <c r="H150" s="4"/>
      <c r="I150" s="6"/>
    </row>
    <row r="151">
      <c r="A151" s="1">
        <v>46272.0</v>
      </c>
      <c r="B151" s="3" t="s">
        <v>4</v>
      </c>
      <c r="C151" s="3" t="s">
        <v>162</v>
      </c>
      <c r="D151" s="5">
        <v>9427100.0</v>
      </c>
      <c r="E151" s="4"/>
      <c r="F151" s="5" t="s">
        <v>6</v>
      </c>
      <c r="G151" s="4">
        <v>3.1131031589999914E7</v>
      </c>
      <c r="H151" s="4"/>
      <c r="I151" s="6"/>
    </row>
    <row r="152">
      <c r="A152" s="1">
        <v>46272.0</v>
      </c>
      <c r="B152" s="3" t="s">
        <v>4</v>
      </c>
      <c r="C152" s="3" t="s">
        <v>163</v>
      </c>
      <c r="D152" s="5">
        <v>1600000.0</v>
      </c>
      <c r="E152" s="4"/>
      <c r="F152" s="5" t="s">
        <v>6</v>
      </c>
      <c r="G152" s="4">
        <v>2.9531031589999914E7</v>
      </c>
      <c r="H152" s="5">
        <v>2.953103159E7</v>
      </c>
      <c r="I152" s="6"/>
    </row>
    <row r="153">
      <c r="A153" s="1">
        <v>46272.0</v>
      </c>
      <c r="B153" s="3" t="s">
        <v>4</v>
      </c>
      <c r="C153" s="3" t="s">
        <v>164</v>
      </c>
      <c r="D153" s="5">
        <v>1300000.0</v>
      </c>
      <c r="E153" s="4"/>
      <c r="F153" s="5" t="s">
        <v>6</v>
      </c>
      <c r="G153" s="4">
        <v>2.8231031589999914E7</v>
      </c>
      <c r="H153" s="5">
        <v>2.823103159E7</v>
      </c>
      <c r="I153" s="6"/>
    </row>
    <row r="154">
      <c r="A154" s="1">
        <v>46273.0</v>
      </c>
      <c r="B154" s="3" t="s">
        <v>165</v>
      </c>
      <c r="C154" s="3" t="s">
        <v>166</v>
      </c>
      <c r="D154" s="5"/>
      <c r="E154" s="5">
        <v>1.341735E8</v>
      </c>
      <c r="F154" s="5" t="s">
        <v>3</v>
      </c>
      <c r="G154" s="4">
        <v>1.624045315899999E8</v>
      </c>
      <c r="H154" s="4"/>
      <c r="I154" s="6"/>
    </row>
    <row r="155">
      <c r="A155" s="1">
        <v>46273.0</v>
      </c>
      <c r="B155" s="3" t="s">
        <v>4</v>
      </c>
      <c r="C155" s="3" t="s">
        <v>167</v>
      </c>
      <c r="D155" s="5">
        <v>6.15E7</v>
      </c>
      <c r="E155" s="4"/>
      <c r="F155" s="5" t="s">
        <v>6</v>
      </c>
      <c r="G155" s="4">
        <v>1.0090453158999991E8</v>
      </c>
      <c r="H155" s="4"/>
      <c r="I155" s="6"/>
    </row>
    <row r="156">
      <c r="A156" s="1">
        <v>46273.0</v>
      </c>
      <c r="B156" s="3" t="s">
        <v>4</v>
      </c>
      <c r="C156" s="3" t="s">
        <v>168</v>
      </c>
      <c r="D156" s="5">
        <v>1.0085201E8</v>
      </c>
      <c r="E156" s="4"/>
      <c r="F156" s="5" t="s">
        <v>6</v>
      </c>
      <c r="G156" s="4">
        <v>52521.58999991417</v>
      </c>
      <c r="H156" s="4"/>
      <c r="I156" s="6"/>
    </row>
    <row r="157">
      <c r="A157" s="1">
        <v>46273.0</v>
      </c>
      <c r="B157" s="3" t="s">
        <v>24</v>
      </c>
      <c r="C157" s="3" t="s">
        <v>169</v>
      </c>
      <c r="D157" s="5"/>
      <c r="E157" s="5">
        <v>3.1752708E8</v>
      </c>
      <c r="F157" s="5" t="s">
        <v>3</v>
      </c>
      <c r="G157" s="4">
        <v>3.175796015899999E8</v>
      </c>
      <c r="H157" s="4"/>
      <c r="I157" s="6"/>
    </row>
    <row r="158">
      <c r="A158" s="1">
        <v>46273.0</v>
      </c>
      <c r="B158" s="3" t="s">
        <v>4</v>
      </c>
      <c r="C158" s="3" t="s">
        <v>170</v>
      </c>
      <c r="D158" s="5">
        <v>7.88985E7</v>
      </c>
      <c r="E158" s="4"/>
      <c r="F158" s="5" t="s">
        <v>6</v>
      </c>
      <c r="G158" s="4">
        <v>2.386811015899999E8</v>
      </c>
      <c r="H158" s="4"/>
      <c r="I158" s="6"/>
    </row>
    <row r="159">
      <c r="A159" s="1">
        <v>46273.0</v>
      </c>
      <c r="B159" s="3" t="s">
        <v>4</v>
      </c>
      <c r="C159" s="3" t="s">
        <v>171</v>
      </c>
      <c r="D159" s="5">
        <v>7.16082E7</v>
      </c>
      <c r="E159" s="4"/>
      <c r="F159" s="5" t="s">
        <v>6</v>
      </c>
      <c r="G159" s="4">
        <v>1.670729015899999E8</v>
      </c>
      <c r="H159" s="4"/>
      <c r="I159" s="6"/>
    </row>
    <row r="160">
      <c r="A160" s="1">
        <v>46273.0</v>
      </c>
      <c r="B160" s="3" t="s">
        <v>4</v>
      </c>
      <c r="C160" s="3" t="s">
        <v>172</v>
      </c>
      <c r="D160" s="5">
        <v>1.0061725E8</v>
      </c>
      <c r="E160" s="4"/>
      <c r="F160" s="5" t="s">
        <v>6</v>
      </c>
      <c r="G160" s="4">
        <v>6.6455651589999914E7</v>
      </c>
      <c r="H160" s="4"/>
      <c r="I160" s="6"/>
    </row>
    <row r="161">
      <c r="A161" s="1">
        <v>46273.0</v>
      </c>
      <c r="B161" s="3" t="s">
        <v>4</v>
      </c>
      <c r="C161" s="3" t="s">
        <v>173</v>
      </c>
      <c r="D161" s="5">
        <v>5.0E7</v>
      </c>
      <c r="E161" s="4"/>
      <c r="F161" s="5" t="s">
        <v>6</v>
      </c>
      <c r="G161" s="4">
        <v>1.6455651589999914E7</v>
      </c>
      <c r="H161" s="4"/>
      <c r="I161" s="6"/>
    </row>
    <row r="162">
      <c r="A162" s="1">
        <v>46273.0</v>
      </c>
      <c r="B162" s="3" t="s">
        <v>24</v>
      </c>
      <c r="C162" s="3" t="s">
        <v>174</v>
      </c>
      <c r="D162" s="5"/>
      <c r="E162" s="5">
        <v>6.44E7</v>
      </c>
      <c r="F162" s="5" t="s">
        <v>3</v>
      </c>
      <c r="G162" s="4">
        <v>8.085565158999991E7</v>
      </c>
      <c r="H162" s="4"/>
      <c r="I162" s="6"/>
    </row>
    <row r="163">
      <c r="A163" s="1">
        <v>46273.0</v>
      </c>
      <c r="B163" s="3" t="s">
        <v>24</v>
      </c>
      <c r="C163" s="3" t="s">
        <v>175</v>
      </c>
      <c r="D163" s="5"/>
      <c r="E163" s="5">
        <v>7.226455E7</v>
      </c>
      <c r="F163" s="5" t="s">
        <v>3</v>
      </c>
      <c r="G163" s="4">
        <v>1.531202015899999E8</v>
      </c>
      <c r="H163" s="4"/>
      <c r="I163" s="6"/>
    </row>
    <row r="164">
      <c r="A164" s="1">
        <v>46273.0</v>
      </c>
      <c r="B164" s="3" t="s">
        <v>4</v>
      </c>
      <c r="C164" s="3" t="s">
        <v>176</v>
      </c>
      <c r="D164" s="5">
        <v>3.7E7</v>
      </c>
      <c r="E164" s="4"/>
      <c r="F164" s="5" t="s">
        <v>6</v>
      </c>
      <c r="G164" s="4">
        <v>1.1612020158999991E8</v>
      </c>
      <c r="H164" s="4"/>
      <c r="I164" s="6"/>
    </row>
    <row r="165">
      <c r="A165" s="1">
        <v>46273.0</v>
      </c>
      <c r="B165" s="3" t="s">
        <v>4</v>
      </c>
      <c r="C165" s="3" t="s">
        <v>177</v>
      </c>
      <c r="D165" s="5">
        <v>2.7E7</v>
      </c>
      <c r="E165" s="4"/>
      <c r="F165" s="5" t="s">
        <v>6</v>
      </c>
      <c r="G165" s="4">
        <v>8.912020158999991E7</v>
      </c>
      <c r="H165" s="5">
        <v>8.912020159E7</v>
      </c>
      <c r="I165" s="6"/>
    </row>
    <row r="166">
      <c r="A166" s="1">
        <v>46273.0</v>
      </c>
      <c r="B166" s="3" t="s">
        <v>4</v>
      </c>
      <c r="C166" s="3" t="s">
        <v>178</v>
      </c>
      <c r="D166" s="5">
        <v>7.3926E7</v>
      </c>
      <c r="E166" s="4"/>
      <c r="F166" s="5" t="s">
        <v>6</v>
      </c>
      <c r="G166" s="4">
        <v>1.5194201589999914E7</v>
      </c>
      <c r="H166" s="5">
        <v>1.519420159E7</v>
      </c>
      <c r="I166" s="6"/>
    </row>
    <row r="167">
      <c r="A167" s="1">
        <v>46273.0</v>
      </c>
      <c r="B167" s="3" t="s">
        <v>4</v>
      </c>
      <c r="C167" s="3" t="s">
        <v>179</v>
      </c>
      <c r="D167" s="5">
        <v>2000000.0</v>
      </c>
      <c r="E167" s="4"/>
      <c r="F167" s="5" t="s">
        <v>6</v>
      </c>
      <c r="G167" s="4">
        <v>1.3194201589999914E7</v>
      </c>
      <c r="H167" s="4"/>
      <c r="I167" s="6"/>
    </row>
    <row r="168">
      <c r="A168" s="1">
        <v>46273.0</v>
      </c>
      <c r="B168" s="3" t="s">
        <v>4</v>
      </c>
      <c r="C168" s="3" t="s">
        <v>180</v>
      </c>
      <c r="D168" s="5">
        <v>1677000.0</v>
      </c>
      <c r="E168" s="4"/>
      <c r="F168" s="5" t="s">
        <v>6</v>
      </c>
      <c r="G168" s="4">
        <v>1.1517201589999914E7</v>
      </c>
      <c r="H168" s="5">
        <v>1.151720159E7</v>
      </c>
      <c r="I168" s="6"/>
    </row>
    <row r="169">
      <c r="A169" s="1">
        <v>46274.0</v>
      </c>
      <c r="B169" s="3" t="s">
        <v>181</v>
      </c>
      <c r="C169" s="3" t="s">
        <v>182</v>
      </c>
      <c r="D169" s="5"/>
      <c r="E169" s="5">
        <v>5.2030494E8</v>
      </c>
      <c r="F169" s="5" t="s">
        <v>3</v>
      </c>
      <c r="G169" s="4">
        <v>5.318221415899999E8</v>
      </c>
      <c r="H169" s="4"/>
      <c r="I169" s="6"/>
    </row>
    <row r="170">
      <c r="A170" s="1">
        <v>46274.0</v>
      </c>
      <c r="B170" s="3" t="s">
        <v>4</v>
      </c>
      <c r="C170" s="3" t="s">
        <v>183</v>
      </c>
      <c r="D170" s="5">
        <v>7.02832E7</v>
      </c>
      <c r="E170" s="4"/>
      <c r="F170" s="5" t="s">
        <v>6</v>
      </c>
      <c r="G170" s="4">
        <v>4.615389415899999E8</v>
      </c>
      <c r="H170" s="4"/>
      <c r="I170" s="6"/>
    </row>
    <row r="171">
      <c r="A171" s="1">
        <v>46274.0</v>
      </c>
      <c r="B171" s="3" t="s">
        <v>4</v>
      </c>
      <c r="C171" s="3" t="s">
        <v>184</v>
      </c>
      <c r="D171" s="5">
        <v>6.111324E7</v>
      </c>
      <c r="E171" s="4"/>
      <c r="F171" s="5" t="s">
        <v>6</v>
      </c>
      <c r="G171" s="4">
        <v>4.004257015899999E8</v>
      </c>
      <c r="H171" s="4"/>
      <c r="I171" s="6"/>
    </row>
    <row r="172">
      <c r="A172" s="1">
        <v>46274.0</v>
      </c>
      <c r="B172" s="3" t="s">
        <v>4</v>
      </c>
      <c r="C172" s="3" t="s">
        <v>185</v>
      </c>
      <c r="D172" s="5">
        <v>1.1535164E8</v>
      </c>
      <c r="E172" s="4"/>
      <c r="F172" s="5" t="s">
        <v>6</v>
      </c>
      <c r="G172" s="4">
        <v>2.850740615899999E8</v>
      </c>
      <c r="H172" s="4"/>
      <c r="I172" s="6"/>
    </row>
    <row r="173">
      <c r="A173" s="1">
        <v>46274.0</v>
      </c>
      <c r="B173" s="3" t="s">
        <v>4</v>
      </c>
      <c r="C173" s="3" t="s">
        <v>186</v>
      </c>
      <c r="D173" s="5">
        <v>6.72E7</v>
      </c>
      <c r="E173" s="4"/>
      <c r="F173" s="5" t="s">
        <v>6</v>
      </c>
      <c r="G173" s="4">
        <v>2.178740615899999E8</v>
      </c>
      <c r="H173" s="4"/>
      <c r="I173" s="6"/>
    </row>
    <row r="174">
      <c r="A174" s="1">
        <v>46274.0</v>
      </c>
      <c r="B174" s="3" t="s">
        <v>4</v>
      </c>
      <c r="C174" s="3" t="s">
        <v>187</v>
      </c>
      <c r="D174" s="5">
        <v>8.4E7</v>
      </c>
      <c r="E174" s="4"/>
      <c r="F174" s="5" t="s">
        <v>6</v>
      </c>
      <c r="G174" s="4">
        <v>1.3387406158999991E8</v>
      </c>
      <c r="H174" s="4"/>
      <c r="I174" s="6"/>
    </row>
    <row r="175">
      <c r="A175" s="1">
        <v>46274.0</v>
      </c>
      <c r="B175" s="3" t="s">
        <v>4</v>
      </c>
      <c r="C175" s="3" t="s">
        <v>188</v>
      </c>
      <c r="D175" s="5">
        <v>1.020517E8</v>
      </c>
      <c r="E175" s="4"/>
      <c r="F175" s="5" t="s">
        <v>6</v>
      </c>
      <c r="G175" s="4">
        <v>3.1822361589999914E7</v>
      </c>
      <c r="H175" s="4"/>
      <c r="I175" s="6"/>
    </row>
    <row r="176">
      <c r="A176" s="1">
        <v>46274.0</v>
      </c>
      <c r="B176" s="3" t="s">
        <v>4</v>
      </c>
      <c r="C176" s="3" t="s">
        <v>189</v>
      </c>
      <c r="D176" s="5">
        <v>1120000.0</v>
      </c>
      <c r="E176" s="4"/>
      <c r="F176" s="5" t="s">
        <v>6</v>
      </c>
      <c r="G176" s="4">
        <v>3.0702361589999914E7</v>
      </c>
      <c r="H176" s="4"/>
      <c r="I176" s="6"/>
    </row>
    <row r="177">
      <c r="A177" s="1">
        <v>46274.0</v>
      </c>
      <c r="B177" s="3" t="s">
        <v>4</v>
      </c>
      <c r="C177" s="3" t="s">
        <v>190</v>
      </c>
      <c r="D177" s="5">
        <v>1000000.0</v>
      </c>
      <c r="E177" s="4"/>
      <c r="F177" s="5" t="s">
        <v>6</v>
      </c>
      <c r="G177" s="4">
        <v>2.9702361589999914E7</v>
      </c>
      <c r="H177" s="4"/>
      <c r="I177" s="6"/>
    </row>
    <row r="178">
      <c r="A178" s="1">
        <v>46274.0</v>
      </c>
      <c r="B178" s="3" t="s">
        <v>4</v>
      </c>
      <c r="C178" s="3" t="s">
        <v>191</v>
      </c>
      <c r="D178" s="5">
        <v>2402400.0</v>
      </c>
      <c r="E178" s="4"/>
      <c r="F178" s="5" t="s">
        <v>6</v>
      </c>
      <c r="G178" s="4">
        <v>2.7299961589999914E7</v>
      </c>
      <c r="H178" s="4"/>
      <c r="I178" s="6" t="s">
        <v>44</v>
      </c>
    </row>
    <row r="179">
      <c r="A179" s="1">
        <v>46274.0</v>
      </c>
      <c r="B179" s="3" t="s">
        <v>4</v>
      </c>
      <c r="C179" s="3" t="s">
        <v>192</v>
      </c>
      <c r="D179" s="5">
        <v>1300000.0</v>
      </c>
      <c r="E179" s="4"/>
      <c r="F179" s="5" t="s">
        <v>6</v>
      </c>
      <c r="G179" s="4">
        <v>2.5999961589999914E7</v>
      </c>
      <c r="H179" s="5">
        <v>2.599996159E7</v>
      </c>
      <c r="I179" s="6"/>
    </row>
    <row r="180">
      <c r="A180" s="1">
        <v>46274.0</v>
      </c>
      <c r="B180" s="3" t="s">
        <v>4</v>
      </c>
      <c r="C180" s="3" t="s">
        <v>193</v>
      </c>
      <c r="D180" s="5">
        <v>1457450.0</v>
      </c>
      <c r="E180" s="4"/>
      <c r="F180" s="5" t="s">
        <v>6</v>
      </c>
      <c r="G180" s="4">
        <v>2.4542511589999914E7</v>
      </c>
      <c r="H180" s="5">
        <v>2.454251159E7</v>
      </c>
      <c r="I180" s="6"/>
    </row>
    <row r="181">
      <c r="A181" s="1">
        <v>46274.0</v>
      </c>
      <c r="B181" s="3" t="s">
        <v>4</v>
      </c>
      <c r="C181" s="3" t="s">
        <v>194</v>
      </c>
      <c r="D181" s="5">
        <v>700000.0</v>
      </c>
      <c r="E181" s="4"/>
      <c r="F181" s="5" t="s">
        <v>6</v>
      </c>
      <c r="G181" s="4">
        <v>2.3842511589999914E7</v>
      </c>
      <c r="H181" s="4"/>
      <c r="I181" s="6"/>
    </row>
    <row r="182">
      <c r="A182" s="1">
        <v>46274.0</v>
      </c>
      <c r="B182" s="3" t="s">
        <v>4</v>
      </c>
      <c r="C182" s="3" t="s">
        <v>195</v>
      </c>
      <c r="D182" s="5">
        <v>1922860.0</v>
      </c>
      <c r="E182" s="4"/>
      <c r="F182" s="5" t="s">
        <v>6</v>
      </c>
      <c r="G182" s="4">
        <v>2.1919651589999914E7</v>
      </c>
      <c r="H182" s="4"/>
      <c r="I182" s="6"/>
    </row>
    <row r="183">
      <c r="A183" s="1">
        <v>46274.0</v>
      </c>
      <c r="B183" s="3" t="s">
        <v>24</v>
      </c>
      <c r="C183" s="3" t="s">
        <v>196</v>
      </c>
      <c r="D183" s="5"/>
      <c r="E183" s="5">
        <v>2.115016E8</v>
      </c>
      <c r="F183" s="5" t="s">
        <v>3</v>
      </c>
      <c r="G183" s="4">
        <v>2.334212515899999E8</v>
      </c>
      <c r="H183" s="4"/>
      <c r="I183" s="6"/>
    </row>
    <row r="184">
      <c r="A184" s="1">
        <v>46274.0</v>
      </c>
      <c r="B184" s="3" t="s">
        <v>24</v>
      </c>
      <c r="C184" s="3" t="s">
        <v>197</v>
      </c>
      <c r="D184" s="5"/>
      <c r="E184" s="5">
        <v>2.12756005E8</v>
      </c>
      <c r="F184" s="5" t="s">
        <v>3</v>
      </c>
      <c r="G184" s="4">
        <v>4.461772565899999E8</v>
      </c>
      <c r="H184" s="4"/>
      <c r="I184" s="6"/>
    </row>
    <row r="185">
      <c r="A185" s="1">
        <v>46274.0</v>
      </c>
      <c r="B185" s="3" t="s">
        <v>4</v>
      </c>
      <c r="C185" s="3" t="s">
        <v>198</v>
      </c>
      <c r="D185" s="5">
        <v>6.8715E7</v>
      </c>
      <c r="E185" s="4"/>
      <c r="F185" s="5" t="s">
        <v>6</v>
      </c>
      <c r="G185" s="4">
        <v>3.774622565899999E8</v>
      </c>
      <c r="H185" s="4"/>
      <c r="I185" s="6"/>
    </row>
    <row r="186">
      <c r="A186" s="1">
        <v>46274.0</v>
      </c>
      <c r="B186" s="3" t="s">
        <v>24</v>
      </c>
      <c r="C186" s="3" t="s">
        <v>199</v>
      </c>
      <c r="D186" s="5"/>
      <c r="E186" s="5">
        <v>1.7309984E8</v>
      </c>
      <c r="F186" s="5" t="s">
        <v>3</v>
      </c>
      <c r="G186" s="4">
        <v>5.505620965899999E8</v>
      </c>
      <c r="H186" s="4"/>
      <c r="I186" s="6"/>
    </row>
    <row r="187">
      <c r="A187" s="1">
        <v>46274.0</v>
      </c>
      <c r="B187" s="3" t="s">
        <v>24</v>
      </c>
      <c r="C187" s="3" t="s">
        <v>200</v>
      </c>
      <c r="D187" s="5"/>
      <c r="E187" s="5">
        <v>1.382649E8</v>
      </c>
      <c r="F187" s="5" t="s">
        <v>3</v>
      </c>
      <c r="G187" s="4">
        <v>6.888269965899999E8</v>
      </c>
      <c r="H187" s="4"/>
      <c r="I187" s="6"/>
    </row>
    <row r="188">
      <c r="A188" s="1">
        <v>46274.0</v>
      </c>
      <c r="B188" s="3" t="s">
        <v>24</v>
      </c>
      <c r="C188" s="3" t="s">
        <v>201</v>
      </c>
      <c r="D188" s="5"/>
      <c r="E188" s="5">
        <v>2.7704808E8</v>
      </c>
      <c r="F188" s="5" t="s">
        <v>3</v>
      </c>
      <c r="G188" s="4">
        <v>9.658750765899999E8</v>
      </c>
      <c r="H188" s="4"/>
      <c r="I188" s="6"/>
    </row>
    <row r="189">
      <c r="A189" s="1">
        <v>46274.0</v>
      </c>
      <c r="B189" s="3" t="s">
        <v>24</v>
      </c>
      <c r="C189" s="3" t="s">
        <v>202</v>
      </c>
      <c r="D189" s="5"/>
      <c r="E189" s="5">
        <v>1.0E8</v>
      </c>
      <c r="F189" s="5" t="s">
        <v>3</v>
      </c>
      <c r="G189" s="4">
        <v>1.0658750765899999E9</v>
      </c>
      <c r="H189" s="4"/>
      <c r="I189" s="6"/>
    </row>
    <row r="190">
      <c r="A190" s="1">
        <v>46274.0</v>
      </c>
      <c r="B190" s="3" t="s">
        <v>4</v>
      </c>
      <c r="C190" s="3" t="s">
        <v>203</v>
      </c>
      <c r="D190" s="5">
        <v>2.42758E7</v>
      </c>
      <c r="E190" s="4"/>
      <c r="F190" s="5" t="s">
        <v>6</v>
      </c>
      <c r="G190" s="4">
        <v>1.0415992765899999E9</v>
      </c>
      <c r="H190" s="4"/>
      <c r="I190" s="6"/>
    </row>
    <row r="191">
      <c r="A191" s="1">
        <v>46274.0</v>
      </c>
      <c r="B191" s="3" t="s">
        <v>4</v>
      </c>
      <c r="C191" s="3" t="s">
        <v>204</v>
      </c>
      <c r="D191" s="5">
        <v>2200000.0</v>
      </c>
      <c r="E191" s="4"/>
      <c r="F191" s="5" t="s">
        <v>6</v>
      </c>
      <c r="G191" s="4">
        <v>1.0393992765899999E9</v>
      </c>
      <c r="H191" s="4"/>
      <c r="I191" s="6"/>
    </row>
    <row r="192">
      <c r="A192" s="1">
        <v>46274.0</v>
      </c>
      <c r="B192" s="3" t="s">
        <v>4</v>
      </c>
      <c r="C192" s="3" t="s">
        <v>205</v>
      </c>
      <c r="D192" s="5">
        <v>5.2345E7</v>
      </c>
      <c r="E192" s="4"/>
      <c r="F192" s="5" t="s">
        <v>6</v>
      </c>
      <c r="G192" s="4">
        <v>9.870542765899999E8</v>
      </c>
      <c r="H192" s="5">
        <v>9.8705427659E8</v>
      </c>
      <c r="I192" s="6"/>
    </row>
    <row r="193">
      <c r="A193" s="1">
        <v>46274.0</v>
      </c>
      <c r="B193" s="3" t="s">
        <v>4</v>
      </c>
      <c r="C193" s="3" t="s">
        <v>206</v>
      </c>
      <c r="D193" s="5">
        <v>1.5076545E8</v>
      </c>
      <c r="E193" s="4"/>
      <c r="F193" s="5" t="s">
        <v>6</v>
      </c>
      <c r="G193" s="4">
        <v>8.362888265899999E8</v>
      </c>
      <c r="H193" s="5">
        <v>8.3628882659E8</v>
      </c>
      <c r="I193" s="6"/>
    </row>
    <row r="194">
      <c r="A194" s="1">
        <v>46274.0</v>
      </c>
      <c r="B194" s="3" t="s">
        <v>4</v>
      </c>
      <c r="C194" s="3" t="s">
        <v>207</v>
      </c>
      <c r="D194" s="5">
        <v>1.309825E8</v>
      </c>
      <c r="E194" s="4"/>
      <c r="F194" s="5" t="s">
        <v>6</v>
      </c>
      <c r="G194" s="4">
        <v>7.053063265899999E8</v>
      </c>
      <c r="H194" s="4"/>
      <c r="I194" s="6"/>
    </row>
    <row r="195">
      <c r="A195" s="1">
        <v>46274.0</v>
      </c>
      <c r="B195" s="3" t="s">
        <v>4</v>
      </c>
      <c r="C195" s="3" t="s">
        <v>208</v>
      </c>
      <c r="D195" s="5">
        <v>8000000.0</v>
      </c>
      <c r="E195" s="4"/>
      <c r="F195" s="5" t="s">
        <v>6</v>
      </c>
      <c r="G195" s="4">
        <v>6.973063265899999E8</v>
      </c>
      <c r="H195" s="4"/>
      <c r="I195" s="6"/>
    </row>
    <row r="196">
      <c r="A196" s="1">
        <v>46274.0</v>
      </c>
      <c r="B196" s="3" t="s">
        <v>4</v>
      </c>
      <c r="C196" s="3" t="s">
        <v>209</v>
      </c>
      <c r="D196" s="5">
        <v>6.87742E7</v>
      </c>
      <c r="E196" s="4"/>
      <c r="F196" s="5" t="s">
        <v>6</v>
      </c>
      <c r="G196" s="4">
        <v>6.285321265899999E8</v>
      </c>
      <c r="H196" s="4"/>
      <c r="I196" s="6" t="s">
        <v>44</v>
      </c>
    </row>
    <row r="197">
      <c r="A197" s="1">
        <v>46274.0</v>
      </c>
      <c r="B197" s="3" t="s">
        <v>4</v>
      </c>
      <c r="C197" s="3" t="s">
        <v>210</v>
      </c>
      <c r="D197" s="5">
        <v>3522620.0</v>
      </c>
      <c r="E197" s="4"/>
      <c r="F197" s="5" t="s">
        <v>6</v>
      </c>
      <c r="G197" s="4">
        <v>6.250095065899999E8</v>
      </c>
      <c r="H197" s="5">
        <v>6.2500950659E8</v>
      </c>
      <c r="I197" s="6" t="s">
        <v>44</v>
      </c>
    </row>
    <row r="198">
      <c r="A198" s="1">
        <v>46275.0</v>
      </c>
      <c r="B198" s="3" t="s">
        <v>211</v>
      </c>
      <c r="C198" s="3" t="s">
        <v>212</v>
      </c>
      <c r="D198" s="5"/>
      <c r="E198" s="5">
        <v>2.772558E7</v>
      </c>
      <c r="F198" s="5" t="s">
        <v>3</v>
      </c>
      <c r="G198" s="4">
        <v>6.527350865899999E8</v>
      </c>
      <c r="H198" s="4"/>
      <c r="I198" s="6" t="s">
        <v>44</v>
      </c>
    </row>
    <row r="199">
      <c r="A199" s="1">
        <v>46275.0</v>
      </c>
      <c r="B199" s="3" t="s">
        <v>213</v>
      </c>
      <c r="C199" s="3" t="s">
        <v>214</v>
      </c>
      <c r="D199" s="5">
        <v>6.15615E7</v>
      </c>
      <c r="E199" s="4"/>
      <c r="F199" s="5" t="s">
        <v>6</v>
      </c>
      <c r="G199" s="4">
        <v>5.911735865899999E8</v>
      </c>
      <c r="H199" s="4"/>
      <c r="I199" s="6"/>
    </row>
    <row r="200">
      <c r="A200" s="1">
        <v>46275.0</v>
      </c>
      <c r="B200" s="3" t="s">
        <v>4</v>
      </c>
      <c r="C200" s="3" t="s">
        <v>215</v>
      </c>
      <c r="D200" s="5">
        <v>6.864E7</v>
      </c>
      <c r="E200" s="4"/>
      <c r="F200" s="5" t="s">
        <v>6</v>
      </c>
      <c r="G200" s="4">
        <v>5.225335865899999E8</v>
      </c>
      <c r="H200" s="4"/>
      <c r="I200" s="6"/>
    </row>
    <row r="201">
      <c r="A201" s="1">
        <v>46275.0</v>
      </c>
      <c r="B201" s="3" t="s">
        <v>4</v>
      </c>
      <c r="C201" s="3" t="s">
        <v>216</v>
      </c>
      <c r="D201" s="5">
        <v>6.23875E7</v>
      </c>
      <c r="E201" s="4"/>
      <c r="F201" s="5" t="s">
        <v>6</v>
      </c>
      <c r="G201" s="4">
        <v>4.601460865899999E8</v>
      </c>
      <c r="H201" s="4"/>
      <c r="I201" s="6"/>
    </row>
    <row r="202">
      <c r="A202" s="1">
        <v>46275.0</v>
      </c>
      <c r="B202" s="3" t="s">
        <v>4</v>
      </c>
      <c r="C202" s="3" t="s">
        <v>217</v>
      </c>
      <c r="D202" s="5">
        <v>6.9046E7</v>
      </c>
      <c r="E202" s="4"/>
      <c r="F202" s="5" t="s">
        <v>6</v>
      </c>
      <c r="G202" s="4">
        <v>3.911000865899999E8</v>
      </c>
      <c r="H202" s="4"/>
      <c r="I202" s="6"/>
    </row>
    <row r="203">
      <c r="A203" s="1">
        <v>46275.0</v>
      </c>
      <c r="B203" s="3" t="s">
        <v>4</v>
      </c>
      <c r="C203" s="3" t="s">
        <v>218</v>
      </c>
      <c r="D203" s="5">
        <v>6.124567E7</v>
      </c>
      <c r="E203" s="4"/>
      <c r="F203" s="5" t="s">
        <v>6</v>
      </c>
      <c r="G203" s="4">
        <v>3.298544165899999E8</v>
      </c>
      <c r="H203" s="4"/>
      <c r="I203" s="6"/>
    </row>
    <row r="204">
      <c r="A204" s="1">
        <v>46275.0</v>
      </c>
      <c r="B204" s="3" t="s">
        <v>4</v>
      </c>
      <c r="C204" s="3" t="s">
        <v>219</v>
      </c>
      <c r="D204" s="5">
        <v>1.35036E8</v>
      </c>
      <c r="E204" s="4"/>
      <c r="F204" s="5" t="s">
        <v>6</v>
      </c>
      <c r="G204" s="4">
        <v>1.948184165899999E8</v>
      </c>
      <c r="H204" s="5">
        <v>1.9481841659E8</v>
      </c>
      <c r="I204" s="6"/>
    </row>
    <row r="205">
      <c r="A205" s="1">
        <v>46275.0</v>
      </c>
      <c r="B205" s="3" t="s">
        <v>4</v>
      </c>
      <c r="C205" s="3" t="s">
        <v>220</v>
      </c>
      <c r="D205" s="5">
        <v>1300000.0</v>
      </c>
      <c r="E205" s="4"/>
      <c r="F205" s="5" t="s">
        <v>6</v>
      </c>
      <c r="G205" s="4">
        <v>1.935184165899999E8</v>
      </c>
      <c r="H205" s="5">
        <v>1.9351841659E8</v>
      </c>
      <c r="I205" s="6"/>
    </row>
    <row r="206">
      <c r="A206" s="1">
        <v>46275.0</v>
      </c>
      <c r="B206" s="3" t="s">
        <v>24</v>
      </c>
      <c r="C206" s="3" t="s">
        <v>221</v>
      </c>
      <c r="D206" s="5"/>
      <c r="E206" s="5">
        <v>5.0E7</v>
      </c>
      <c r="F206" s="5" t="s">
        <v>3</v>
      </c>
      <c r="G206" s="4">
        <v>2.435184165899999E8</v>
      </c>
      <c r="H206" s="4"/>
      <c r="I206" s="6"/>
    </row>
    <row r="207">
      <c r="A207" s="1">
        <v>46275.0</v>
      </c>
      <c r="B207" s="3" t="s">
        <v>4</v>
      </c>
      <c r="C207" s="3" t="s">
        <v>222</v>
      </c>
      <c r="D207" s="5">
        <v>3300000.0</v>
      </c>
      <c r="E207" s="4"/>
      <c r="F207" s="5" t="s">
        <v>6</v>
      </c>
      <c r="G207" s="4">
        <v>2.402184165899999E8</v>
      </c>
      <c r="H207" s="4"/>
      <c r="I207" s="6"/>
    </row>
    <row r="208">
      <c r="A208" s="1">
        <v>46275.0</v>
      </c>
      <c r="B208" s="3" t="s">
        <v>4</v>
      </c>
      <c r="C208" s="3" t="s">
        <v>223</v>
      </c>
      <c r="D208" s="5">
        <v>2.380927E7</v>
      </c>
      <c r="E208" s="4"/>
      <c r="F208" s="5" t="s">
        <v>6</v>
      </c>
      <c r="G208" s="4">
        <v>2.164091465899999E8</v>
      </c>
      <c r="H208" s="4"/>
      <c r="I208" s="6" t="s">
        <v>44</v>
      </c>
    </row>
    <row r="209">
      <c r="A209" s="1">
        <v>46275.0</v>
      </c>
      <c r="B209" s="3" t="s">
        <v>4</v>
      </c>
      <c r="C209" s="3" t="s">
        <v>224</v>
      </c>
      <c r="D209" s="5">
        <v>2300000.0</v>
      </c>
      <c r="E209" s="4"/>
      <c r="F209" s="5" t="s">
        <v>6</v>
      </c>
      <c r="G209" s="4">
        <v>2.141091465899999E8</v>
      </c>
      <c r="H209" s="4"/>
      <c r="I209" s="6" t="s">
        <v>44</v>
      </c>
    </row>
    <row r="210">
      <c r="A210" s="1">
        <v>46275.0</v>
      </c>
      <c r="B210" s="3" t="s">
        <v>225</v>
      </c>
      <c r="C210" s="3" t="s">
        <v>226</v>
      </c>
      <c r="D210" s="5">
        <v>60000.0</v>
      </c>
      <c r="E210" s="4"/>
      <c r="F210" s="5" t="s">
        <v>6</v>
      </c>
      <c r="G210" s="4">
        <v>2.140491465899999E8</v>
      </c>
      <c r="H210" s="4"/>
      <c r="I210" s="6" t="s">
        <v>44</v>
      </c>
    </row>
    <row r="211">
      <c r="A211" s="1">
        <v>46275.0</v>
      </c>
      <c r="B211" s="3" t="s">
        <v>225</v>
      </c>
      <c r="C211" s="3" t="s">
        <v>227</v>
      </c>
      <c r="D211" s="5">
        <v>6500.0</v>
      </c>
      <c r="E211" s="4"/>
      <c r="F211" s="5" t="s">
        <v>6</v>
      </c>
      <c r="G211" s="4">
        <v>2.140426465899999E8</v>
      </c>
      <c r="H211" s="4"/>
      <c r="I211" s="6" t="s">
        <v>44</v>
      </c>
    </row>
    <row r="212">
      <c r="A212" s="1">
        <v>46275.0</v>
      </c>
      <c r="B212" s="3" t="s">
        <v>24</v>
      </c>
      <c r="C212" s="3" t="s">
        <v>228</v>
      </c>
      <c r="D212" s="5"/>
      <c r="E212" s="5">
        <v>3.36E7</v>
      </c>
      <c r="F212" s="5" t="s">
        <v>3</v>
      </c>
      <c r="G212" s="4">
        <v>2.476426465899999E8</v>
      </c>
      <c r="H212" s="5">
        <v>2.4764264659E8</v>
      </c>
      <c r="I212" s="6" t="s">
        <v>44</v>
      </c>
    </row>
    <row r="213">
      <c r="A213" s="1">
        <v>46276.0</v>
      </c>
      <c r="B213" s="3" t="s">
        <v>229</v>
      </c>
      <c r="C213" s="3" t="s">
        <v>230</v>
      </c>
      <c r="D213" s="5">
        <v>2.2687826E8</v>
      </c>
      <c r="E213" s="4"/>
      <c r="F213" s="5" t="s">
        <v>6</v>
      </c>
      <c r="G213" s="4">
        <v>2.0764386589999914E7</v>
      </c>
      <c r="H213" s="4"/>
      <c r="I213" s="6" t="s">
        <v>44</v>
      </c>
    </row>
    <row r="214">
      <c r="A214" s="1">
        <v>46276.0</v>
      </c>
      <c r="B214" s="3" t="s">
        <v>24</v>
      </c>
      <c r="C214" s="3" t="s">
        <v>231</v>
      </c>
      <c r="D214" s="5"/>
      <c r="E214" s="5">
        <v>2.9545395E8</v>
      </c>
      <c r="F214" s="5" t="s">
        <v>3</v>
      </c>
      <c r="G214" s="4">
        <v>3.162183365899999E8</v>
      </c>
      <c r="H214" s="4"/>
      <c r="I214" s="6" t="s">
        <v>44</v>
      </c>
    </row>
    <row r="215">
      <c r="A215" s="1">
        <v>46276.0</v>
      </c>
      <c r="B215" s="3" t="s">
        <v>4</v>
      </c>
      <c r="C215" s="3" t="s">
        <v>232</v>
      </c>
      <c r="D215" s="5">
        <v>1.25E8</v>
      </c>
      <c r="E215" s="4"/>
      <c r="F215" s="5" t="s">
        <v>6</v>
      </c>
      <c r="G215" s="4">
        <v>1.912183365899999E8</v>
      </c>
      <c r="H215" s="4"/>
      <c r="I215" s="6" t="s">
        <v>44</v>
      </c>
    </row>
    <row r="216">
      <c r="A216" s="1">
        <v>46276.0</v>
      </c>
      <c r="B216" s="3" t="s">
        <v>4</v>
      </c>
      <c r="C216" s="3" t="s">
        <v>233</v>
      </c>
      <c r="D216" s="5">
        <v>5.97575E7</v>
      </c>
      <c r="E216" s="4"/>
      <c r="F216" s="5" t="s">
        <v>6</v>
      </c>
      <c r="G216" s="4">
        <v>1.3146083658999991E8</v>
      </c>
      <c r="H216" s="4"/>
      <c r="I216" s="6"/>
    </row>
    <row r="217">
      <c r="A217" s="1">
        <v>46276.0</v>
      </c>
      <c r="B217" s="3" t="s">
        <v>4</v>
      </c>
      <c r="C217" s="3" t="s">
        <v>234</v>
      </c>
      <c r="D217" s="5">
        <v>6.77166E7</v>
      </c>
      <c r="E217" s="4"/>
      <c r="F217" s="5" t="s">
        <v>6</v>
      </c>
      <c r="G217" s="4">
        <v>6.3744236589999914E7</v>
      </c>
      <c r="H217" s="4"/>
      <c r="I217" s="6"/>
    </row>
    <row r="218">
      <c r="A218" s="1">
        <v>46276.0</v>
      </c>
      <c r="B218" s="3" t="s">
        <v>4</v>
      </c>
      <c r="C218" s="3" t="s">
        <v>235</v>
      </c>
      <c r="D218" s="5">
        <v>3.0E7</v>
      </c>
      <c r="E218" s="4"/>
      <c r="F218" s="5" t="s">
        <v>6</v>
      </c>
      <c r="G218" s="4">
        <v>3.3744236589999914E7</v>
      </c>
      <c r="H218" s="5">
        <v>3.374423659E7</v>
      </c>
      <c r="I218" s="6" t="s">
        <v>44</v>
      </c>
    </row>
    <row r="219">
      <c r="A219" s="7">
        <v>46276.0</v>
      </c>
      <c r="B219" s="8" t="s">
        <v>24</v>
      </c>
      <c r="C219" s="8" t="s">
        <v>236</v>
      </c>
      <c r="D219" s="9"/>
      <c r="E219" s="9">
        <v>2.03847867E8</v>
      </c>
      <c r="F219" s="9" t="s">
        <v>3</v>
      </c>
      <c r="G219" s="11">
        <v>2.375921035899999E8</v>
      </c>
      <c r="H219" s="9">
        <v>2.3759210359E8</v>
      </c>
      <c r="I219" s="6" t="s">
        <v>44</v>
      </c>
    </row>
    <row r="220">
      <c r="A220" s="1">
        <v>46276.0</v>
      </c>
      <c r="B220" s="3" t="s">
        <v>4</v>
      </c>
      <c r="C220" s="3" t="s">
        <v>237</v>
      </c>
      <c r="D220" s="5">
        <v>300000.0</v>
      </c>
      <c r="E220" s="4"/>
      <c r="F220" s="5" t="s">
        <v>6</v>
      </c>
      <c r="G220" s="4">
        <v>2.372921035899999E8</v>
      </c>
      <c r="H220" s="4"/>
      <c r="I220" s="6"/>
    </row>
    <row r="221">
      <c r="A221" s="1">
        <v>46276.0</v>
      </c>
      <c r="B221" s="3" t="s">
        <v>4</v>
      </c>
      <c r="C221" s="3" t="s">
        <v>238</v>
      </c>
      <c r="D221" s="5">
        <v>7.16494E7</v>
      </c>
      <c r="E221" s="4"/>
      <c r="F221" s="5" t="s">
        <v>6</v>
      </c>
      <c r="G221" s="4">
        <v>1.656427035899999E8</v>
      </c>
      <c r="H221" s="4"/>
      <c r="I221" s="6" t="s">
        <v>44</v>
      </c>
    </row>
    <row r="222">
      <c r="A222" s="1">
        <v>46276.0</v>
      </c>
      <c r="B222" s="3" t="s">
        <v>4</v>
      </c>
      <c r="C222" s="3" t="s">
        <v>239</v>
      </c>
      <c r="D222" s="5">
        <v>1.190664E8</v>
      </c>
      <c r="E222" s="4"/>
      <c r="F222" s="5" t="s">
        <v>6</v>
      </c>
      <c r="G222" s="4">
        <v>4.6576303589999914E7</v>
      </c>
      <c r="H222" s="4"/>
      <c r="I222" s="6"/>
    </row>
    <row r="223">
      <c r="A223" s="1">
        <v>46276.0</v>
      </c>
      <c r="B223" s="3" t="s">
        <v>4</v>
      </c>
      <c r="C223" s="3" t="s">
        <v>240</v>
      </c>
      <c r="D223" s="5">
        <v>10000.0</v>
      </c>
      <c r="E223" s="4"/>
      <c r="F223" s="5" t="s">
        <v>6</v>
      </c>
      <c r="G223" s="4">
        <v>4.6566303589999914E7</v>
      </c>
      <c r="H223" s="4"/>
      <c r="I223" s="6" t="s">
        <v>44</v>
      </c>
    </row>
    <row r="224">
      <c r="A224" s="1">
        <v>46276.0</v>
      </c>
      <c r="B224" s="3" t="s">
        <v>33</v>
      </c>
      <c r="C224" s="3" t="s">
        <v>34</v>
      </c>
      <c r="D224" s="5">
        <v>518600.0</v>
      </c>
      <c r="E224" s="4"/>
      <c r="F224" s="4"/>
      <c r="G224" s="4">
        <v>4.6047703589999914E7</v>
      </c>
      <c r="H224" s="4"/>
      <c r="I224" s="6"/>
    </row>
    <row r="225">
      <c r="A225" s="1">
        <v>46276.0</v>
      </c>
      <c r="B225" s="3" t="s">
        <v>28</v>
      </c>
      <c r="C225" s="3" t="s">
        <v>29</v>
      </c>
      <c r="E225" s="5">
        <v>1.538784E8</v>
      </c>
      <c r="F225" s="4"/>
      <c r="G225" s="4">
        <v>1.999261035899999E8</v>
      </c>
      <c r="H225" s="4"/>
      <c r="I225" s="6"/>
    </row>
    <row r="226">
      <c r="A226" s="1">
        <v>46276.0</v>
      </c>
      <c r="B226" s="3" t="s">
        <v>4</v>
      </c>
      <c r="C226" s="3" t="s">
        <v>241</v>
      </c>
      <c r="D226" s="5">
        <v>7.59E7</v>
      </c>
      <c r="E226" s="4"/>
      <c r="F226" s="5" t="s">
        <v>6</v>
      </c>
      <c r="G226" s="4">
        <v>1.2402610358999991E8</v>
      </c>
      <c r="H226" s="4"/>
      <c r="I226" s="6"/>
    </row>
    <row r="227">
      <c r="A227" s="1">
        <v>46276.0</v>
      </c>
      <c r="B227" s="3" t="s">
        <v>24</v>
      </c>
      <c r="C227" s="3" t="s">
        <v>242</v>
      </c>
      <c r="D227" s="5"/>
      <c r="E227" s="5">
        <v>2.6417806E8</v>
      </c>
      <c r="F227" s="5" t="s">
        <v>3</v>
      </c>
      <c r="G227" s="4">
        <v>3.882041635899999E8</v>
      </c>
      <c r="H227" s="4"/>
      <c r="I227" s="6"/>
    </row>
    <row r="228">
      <c r="A228" s="1">
        <v>46276.0</v>
      </c>
      <c r="B228" s="3" t="s">
        <v>4</v>
      </c>
      <c r="C228" s="3" t="s">
        <v>243</v>
      </c>
      <c r="D228" s="5">
        <v>1.92114E8</v>
      </c>
      <c r="E228" s="4"/>
      <c r="F228" s="5" t="s">
        <v>6</v>
      </c>
      <c r="G228" s="4">
        <v>1.960901635899999E8</v>
      </c>
      <c r="H228" s="4"/>
      <c r="I228" s="6"/>
    </row>
    <row r="229">
      <c r="A229" s="1">
        <v>46276.0</v>
      </c>
      <c r="B229" s="3" t="s">
        <v>4</v>
      </c>
      <c r="C229" s="3" t="s">
        <v>244</v>
      </c>
      <c r="D229" s="5">
        <v>1.1291949E8</v>
      </c>
      <c r="E229" s="4"/>
      <c r="F229" s="5" t="s">
        <v>6</v>
      </c>
      <c r="G229" s="4">
        <v>8.317067358999991E7</v>
      </c>
      <c r="H229" s="4"/>
      <c r="I229" s="6"/>
    </row>
    <row r="230">
      <c r="A230" s="1">
        <v>46276.0</v>
      </c>
      <c r="B230" s="3" t="s">
        <v>4</v>
      </c>
      <c r="C230" s="3" t="s">
        <v>245</v>
      </c>
      <c r="D230" s="5">
        <v>2.8E7</v>
      </c>
      <c r="E230" s="4"/>
      <c r="F230" s="5" t="s">
        <v>6</v>
      </c>
      <c r="G230" s="4">
        <v>5.5170673589999914E7</v>
      </c>
      <c r="H230" s="4"/>
      <c r="I230" s="6" t="s">
        <v>44</v>
      </c>
    </row>
    <row r="231">
      <c r="A231" s="1">
        <v>46276.0</v>
      </c>
      <c r="B231" s="3" t="s">
        <v>4</v>
      </c>
      <c r="C231" s="3" t="s">
        <v>246</v>
      </c>
      <c r="D231" s="5">
        <v>1.75E7</v>
      </c>
      <c r="E231" s="4"/>
      <c r="F231" s="5" t="s">
        <v>6</v>
      </c>
      <c r="G231" s="4">
        <v>3.7670673589999914E7</v>
      </c>
      <c r="H231" s="5">
        <v>3.767067359E7</v>
      </c>
      <c r="I231" s="6" t="s">
        <v>44</v>
      </c>
    </row>
    <row r="232">
      <c r="A232" s="1">
        <v>46277.0</v>
      </c>
      <c r="B232" s="3" t="s">
        <v>4</v>
      </c>
      <c r="C232" s="3" t="s">
        <v>247</v>
      </c>
      <c r="D232" s="5">
        <v>3.76E7</v>
      </c>
      <c r="E232" s="4"/>
      <c r="F232" s="5" t="s">
        <v>6</v>
      </c>
      <c r="G232" s="4">
        <v>70673.58999991417</v>
      </c>
      <c r="H232" s="5">
        <v>70673.59</v>
      </c>
      <c r="I232" s="6" t="s">
        <v>44</v>
      </c>
    </row>
    <row r="233">
      <c r="A233" s="1">
        <v>46277.0</v>
      </c>
      <c r="B233" s="3" t="s">
        <v>24</v>
      </c>
      <c r="C233" s="3" t="s">
        <v>248</v>
      </c>
      <c r="D233" s="5"/>
      <c r="E233" s="5">
        <v>1.4280488E8</v>
      </c>
      <c r="F233" s="5" t="s">
        <v>3</v>
      </c>
      <c r="G233" s="4">
        <v>1.428755535899999E8</v>
      </c>
      <c r="H233" s="5">
        <v>1.4287555359E8</v>
      </c>
      <c r="I233" s="6" t="s">
        <v>44</v>
      </c>
    </row>
    <row r="234">
      <c r="A234" s="1">
        <v>46277.0</v>
      </c>
      <c r="B234" s="3" t="s">
        <v>24</v>
      </c>
      <c r="C234" s="3" t="s">
        <v>249</v>
      </c>
      <c r="D234" s="5"/>
      <c r="E234" s="5">
        <v>7.3143E7</v>
      </c>
      <c r="F234" s="5" t="s">
        <v>3</v>
      </c>
      <c r="G234" s="4">
        <v>2.160185535899999E8</v>
      </c>
      <c r="H234" s="4"/>
      <c r="I234" s="6" t="s">
        <v>44</v>
      </c>
    </row>
    <row r="235">
      <c r="A235" s="1">
        <v>46277.0</v>
      </c>
      <c r="B235" s="3" t="s">
        <v>24</v>
      </c>
      <c r="C235" s="3" t="s">
        <v>250</v>
      </c>
      <c r="D235" s="5"/>
      <c r="E235" s="5">
        <v>2.095709E8</v>
      </c>
      <c r="F235" s="5" t="s">
        <v>3</v>
      </c>
      <c r="G235" s="4">
        <v>4.255894535899999E8</v>
      </c>
      <c r="H235" s="4"/>
      <c r="I235" s="6" t="s">
        <v>44</v>
      </c>
    </row>
    <row r="236">
      <c r="A236" s="1">
        <v>46277.0</v>
      </c>
      <c r="B236" s="3" t="s">
        <v>4</v>
      </c>
      <c r="C236" s="3" t="s">
        <v>251</v>
      </c>
      <c r="D236" s="5">
        <v>6.9E7</v>
      </c>
      <c r="E236" s="4"/>
      <c r="F236" s="5" t="s">
        <v>6</v>
      </c>
      <c r="G236" s="4">
        <v>3.565894535899999E8</v>
      </c>
      <c r="H236" s="4"/>
      <c r="I236" s="6" t="s">
        <v>44</v>
      </c>
    </row>
    <row r="237">
      <c r="A237" s="1">
        <v>46277.0</v>
      </c>
      <c r="B237" s="3" t="s">
        <v>4</v>
      </c>
      <c r="C237" s="3" t="s">
        <v>252</v>
      </c>
      <c r="D237" s="5">
        <v>6.82065E7</v>
      </c>
      <c r="E237" s="4"/>
      <c r="F237" s="5" t="s">
        <v>6</v>
      </c>
      <c r="G237" s="4">
        <v>2.883829535899999E8</v>
      </c>
      <c r="H237" s="4"/>
      <c r="I237" s="6"/>
    </row>
    <row r="238">
      <c r="A238" s="1">
        <v>46277.0</v>
      </c>
      <c r="B238" s="3" t="s">
        <v>4</v>
      </c>
      <c r="C238" s="3" t="s">
        <v>253</v>
      </c>
      <c r="D238" s="5">
        <v>4.2889E7</v>
      </c>
      <c r="E238" s="4"/>
      <c r="F238" s="5" t="s">
        <v>6</v>
      </c>
      <c r="G238" s="4">
        <v>2.454939535899999E8</v>
      </c>
      <c r="H238" s="4"/>
      <c r="I238" s="6"/>
    </row>
    <row r="239">
      <c r="A239" s="1">
        <v>46277.0</v>
      </c>
      <c r="B239" s="3" t="s">
        <v>4</v>
      </c>
      <c r="C239" s="3" t="s">
        <v>254</v>
      </c>
      <c r="D239" s="5">
        <v>5.80715E7</v>
      </c>
      <c r="E239" s="4"/>
      <c r="F239" s="5" t="s">
        <v>6</v>
      </c>
      <c r="G239" s="4">
        <v>1.874224535899999E8</v>
      </c>
      <c r="H239" s="4"/>
      <c r="I239" s="6"/>
    </row>
    <row r="240">
      <c r="A240" s="1">
        <v>46277.0</v>
      </c>
      <c r="B240" s="3" t="s">
        <v>4</v>
      </c>
      <c r="C240" s="3" t="s">
        <v>255</v>
      </c>
      <c r="D240" s="5">
        <v>5.384715E7</v>
      </c>
      <c r="E240" s="4"/>
      <c r="F240" s="5" t="s">
        <v>6</v>
      </c>
      <c r="G240" s="4">
        <v>1.3357530358999991E8</v>
      </c>
      <c r="H240" s="4"/>
      <c r="I240" s="6"/>
    </row>
    <row r="241">
      <c r="A241" s="1">
        <v>46277.0</v>
      </c>
      <c r="B241" s="3" t="s">
        <v>4</v>
      </c>
      <c r="C241" s="3" t="s">
        <v>256</v>
      </c>
      <c r="D241" s="5">
        <v>2.0E7</v>
      </c>
      <c r="E241" s="4"/>
      <c r="F241" s="5" t="s">
        <v>6</v>
      </c>
      <c r="G241" s="4">
        <v>1.1357530358999991E8</v>
      </c>
      <c r="H241" s="4"/>
      <c r="I241" s="6" t="s">
        <v>13</v>
      </c>
    </row>
    <row r="242">
      <c r="A242" s="1">
        <v>46277.0</v>
      </c>
      <c r="B242" s="3" t="s">
        <v>4</v>
      </c>
      <c r="C242" s="3" t="s">
        <v>257</v>
      </c>
      <c r="D242" s="5">
        <v>1.25E7</v>
      </c>
      <c r="E242" s="4"/>
      <c r="F242" s="5" t="s">
        <v>6</v>
      </c>
      <c r="G242" s="4">
        <v>1.0107530358999991E8</v>
      </c>
      <c r="H242" s="4"/>
      <c r="I242" s="6"/>
    </row>
    <row r="243">
      <c r="A243" s="1">
        <v>46277.0</v>
      </c>
      <c r="B243" s="3" t="s">
        <v>4</v>
      </c>
      <c r="C243" s="3" t="s">
        <v>258</v>
      </c>
      <c r="D243" s="5">
        <v>3.33E7</v>
      </c>
      <c r="E243" s="4"/>
      <c r="F243" s="5" t="s">
        <v>6</v>
      </c>
      <c r="G243" s="4">
        <v>6.777530358999991E7</v>
      </c>
      <c r="H243" s="4"/>
      <c r="I243" s="6"/>
    </row>
    <row r="244">
      <c r="A244" s="1">
        <v>46277.0</v>
      </c>
      <c r="B244" s="3" t="s">
        <v>4</v>
      </c>
      <c r="C244" s="3" t="s">
        <v>259</v>
      </c>
      <c r="D244" s="5">
        <v>6.31395E7</v>
      </c>
      <c r="E244" s="4"/>
      <c r="F244" s="5" t="s">
        <v>6</v>
      </c>
      <c r="G244" s="4">
        <v>4635803.589999914</v>
      </c>
      <c r="H244" s="5">
        <v>4635803.59</v>
      </c>
      <c r="I244" s="6"/>
    </row>
    <row r="245">
      <c r="A245" s="1">
        <v>46277.0</v>
      </c>
      <c r="B245" s="3" t="s">
        <v>24</v>
      </c>
      <c r="C245" s="3" t="s">
        <v>260</v>
      </c>
      <c r="D245" s="5"/>
      <c r="E245" s="5">
        <v>1.5275112E8</v>
      </c>
      <c r="F245" s="5" t="s">
        <v>3</v>
      </c>
      <c r="G245" s="4">
        <v>1.573869235899999E8</v>
      </c>
      <c r="H245" s="5">
        <v>1.5738692359E8</v>
      </c>
      <c r="I245" s="6" t="s">
        <v>44</v>
      </c>
    </row>
    <row r="246">
      <c r="A246" s="1">
        <v>46277.0</v>
      </c>
      <c r="B246" s="3" t="s">
        <v>24</v>
      </c>
      <c r="C246" s="3" t="s">
        <v>261</v>
      </c>
      <c r="D246" s="5"/>
      <c r="E246" s="5">
        <v>1.0E8</v>
      </c>
      <c r="F246" s="5" t="s">
        <v>3</v>
      </c>
      <c r="G246" s="4">
        <v>2.573869235899999E8</v>
      </c>
      <c r="H246" s="4"/>
      <c r="I246" s="6"/>
    </row>
    <row r="247">
      <c r="A247" s="1">
        <v>46277.0</v>
      </c>
      <c r="B247" s="3" t="s">
        <v>24</v>
      </c>
      <c r="C247" s="3" t="s">
        <v>262</v>
      </c>
      <c r="D247" s="5"/>
      <c r="E247" s="5">
        <v>6.3E7</v>
      </c>
      <c r="F247" s="5" t="s">
        <v>3</v>
      </c>
      <c r="G247" s="4">
        <v>3.203869235899999E8</v>
      </c>
      <c r="H247" s="4"/>
      <c r="I247" s="6"/>
    </row>
    <row r="248">
      <c r="A248" s="1">
        <v>46277.0</v>
      </c>
      <c r="B248" s="3" t="s">
        <v>24</v>
      </c>
      <c r="C248" s="3" t="s">
        <v>263</v>
      </c>
      <c r="D248" s="5"/>
      <c r="E248" s="5">
        <v>7.5E7</v>
      </c>
      <c r="F248" s="5" t="s">
        <v>3</v>
      </c>
      <c r="G248" s="4">
        <v>3.953869235899999E8</v>
      </c>
      <c r="H248" s="4"/>
      <c r="I248" s="6"/>
    </row>
    <row r="249">
      <c r="A249" s="1">
        <v>46277.0</v>
      </c>
      <c r="B249" s="3" t="s">
        <v>24</v>
      </c>
      <c r="C249" s="3" t="s">
        <v>264</v>
      </c>
      <c r="D249" s="5"/>
      <c r="E249" s="5">
        <v>8.176479E7</v>
      </c>
      <c r="F249" s="5" t="s">
        <v>3</v>
      </c>
      <c r="G249" s="4">
        <v>4.771517135899999E8</v>
      </c>
      <c r="H249" s="4"/>
      <c r="I249" s="6"/>
    </row>
    <row r="250">
      <c r="A250" s="1">
        <v>46277.0</v>
      </c>
      <c r="B250" s="3" t="s">
        <v>4</v>
      </c>
      <c r="C250" s="3" t="s">
        <v>265</v>
      </c>
      <c r="D250" s="5">
        <v>1.34022E8</v>
      </c>
      <c r="E250" s="4"/>
      <c r="F250" s="5" t="s">
        <v>6</v>
      </c>
      <c r="G250" s="4">
        <v>3.431297135899999E8</v>
      </c>
      <c r="H250" s="4"/>
      <c r="I250" s="6"/>
    </row>
    <row r="251">
      <c r="A251" s="1">
        <v>46277.0</v>
      </c>
      <c r="B251" s="3" t="s">
        <v>4</v>
      </c>
      <c r="C251" s="3" t="s">
        <v>266</v>
      </c>
      <c r="D251" s="5">
        <v>6.364575E7</v>
      </c>
      <c r="E251" s="4"/>
      <c r="F251" s="5" t="s">
        <v>6</v>
      </c>
      <c r="G251" s="4">
        <v>2.794839635899999E8</v>
      </c>
      <c r="H251" s="4"/>
      <c r="I251" s="6"/>
    </row>
    <row r="252">
      <c r="A252" s="1">
        <v>46277.0</v>
      </c>
      <c r="B252" s="3" t="s">
        <v>4</v>
      </c>
      <c r="C252" s="3" t="s">
        <v>267</v>
      </c>
      <c r="D252" s="5">
        <v>1.2609375E8</v>
      </c>
      <c r="E252" s="4"/>
      <c r="F252" s="5" t="s">
        <v>6</v>
      </c>
      <c r="G252" s="4">
        <v>1.533902135899999E8</v>
      </c>
      <c r="H252" s="4"/>
      <c r="I252" s="6"/>
    </row>
    <row r="253">
      <c r="A253" s="1">
        <v>46277.0</v>
      </c>
      <c r="B253" s="3" t="s">
        <v>4</v>
      </c>
      <c r="C253" s="3" t="s">
        <v>268</v>
      </c>
      <c r="D253" s="5">
        <v>1.3471892E8</v>
      </c>
      <c r="E253" s="4"/>
      <c r="F253" s="5" t="s">
        <v>6</v>
      </c>
      <c r="G253" s="4">
        <v>1.8671293589999914E7</v>
      </c>
      <c r="H253" s="4"/>
      <c r="I253" s="6"/>
    </row>
    <row r="254">
      <c r="A254" s="1">
        <v>46277.0</v>
      </c>
      <c r="B254" s="3" t="s">
        <v>33</v>
      </c>
      <c r="C254" s="3" t="s">
        <v>269</v>
      </c>
      <c r="D254" s="5">
        <v>216999.0</v>
      </c>
      <c r="E254" s="4"/>
      <c r="F254" s="4"/>
      <c r="G254" s="4">
        <v>1.8454294589999914E7</v>
      </c>
      <c r="H254" s="5">
        <v>1.845429459E7</v>
      </c>
      <c r="I254" s="6"/>
    </row>
    <row r="255">
      <c r="A255" s="1">
        <v>46278.0</v>
      </c>
      <c r="B255" s="3" t="s">
        <v>4</v>
      </c>
      <c r="C255" s="3" t="s">
        <v>270</v>
      </c>
      <c r="D255" s="5">
        <v>5315900.0</v>
      </c>
      <c r="E255" s="4"/>
      <c r="F255" s="5" t="s">
        <v>6</v>
      </c>
      <c r="G255" s="4">
        <v>1.3138394589999914E7</v>
      </c>
      <c r="H255" s="4"/>
      <c r="I255" s="6"/>
    </row>
    <row r="256">
      <c r="A256" s="1">
        <v>46278.0</v>
      </c>
      <c r="B256" s="3" t="s">
        <v>24</v>
      </c>
      <c r="C256" s="3" t="s">
        <v>271</v>
      </c>
      <c r="D256" s="5"/>
      <c r="E256" s="5">
        <v>3.6535E7</v>
      </c>
      <c r="F256" s="5" t="s">
        <v>3</v>
      </c>
      <c r="G256" s="4">
        <v>4.9673394589999914E7</v>
      </c>
      <c r="H256" s="4"/>
      <c r="I256" s="6"/>
    </row>
    <row r="257">
      <c r="A257" s="1">
        <v>46278.0</v>
      </c>
      <c r="B257" s="3" t="s">
        <v>21</v>
      </c>
      <c r="C257" s="3" t="s">
        <v>272</v>
      </c>
      <c r="D257" s="5">
        <v>4.961484E7</v>
      </c>
      <c r="E257" s="4"/>
      <c r="F257" s="5" t="s">
        <v>6</v>
      </c>
      <c r="G257" s="4">
        <v>58554.58999991417</v>
      </c>
      <c r="H257" s="4"/>
      <c r="I257" s="6"/>
    </row>
    <row r="258">
      <c r="A258" s="1">
        <v>46278.0</v>
      </c>
      <c r="B258" s="3" t="s">
        <v>21</v>
      </c>
      <c r="C258" s="3" t="s">
        <v>273</v>
      </c>
      <c r="D258" s="5">
        <v>2500.0</v>
      </c>
      <c r="E258" s="4"/>
      <c r="F258" s="5" t="s">
        <v>6</v>
      </c>
      <c r="G258" s="4">
        <v>56054.58999991417</v>
      </c>
      <c r="H258" s="5">
        <v>56054.59</v>
      </c>
      <c r="I258" s="6"/>
    </row>
    <row r="259">
      <c r="A259" s="1">
        <v>46278.0</v>
      </c>
      <c r="B259" s="3" t="s">
        <v>24</v>
      </c>
      <c r="C259" s="3" t="s">
        <v>274</v>
      </c>
      <c r="D259" s="5"/>
      <c r="E259" s="5">
        <v>1.0E8</v>
      </c>
      <c r="F259" s="5" t="s">
        <v>3</v>
      </c>
      <c r="G259" s="4">
        <v>1.0005605458999991E8</v>
      </c>
      <c r="H259" s="5">
        <v>1.0005605459E8</v>
      </c>
      <c r="I259" s="6"/>
    </row>
    <row r="260">
      <c r="A260" s="1">
        <v>46278.0</v>
      </c>
      <c r="B260" s="3" t="s">
        <v>4</v>
      </c>
      <c r="C260" s="3" t="s">
        <v>275</v>
      </c>
      <c r="D260" s="5">
        <v>6.62464E7</v>
      </c>
      <c r="E260" s="4"/>
      <c r="F260" s="5" t="s">
        <v>6</v>
      </c>
      <c r="G260" s="4">
        <v>3.3809654589999914E7</v>
      </c>
      <c r="H260" s="4"/>
      <c r="I260" s="6"/>
    </row>
    <row r="261">
      <c r="A261" s="1">
        <v>46278.0</v>
      </c>
      <c r="B261" s="3" t="s">
        <v>4</v>
      </c>
      <c r="C261" s="3" t="s">
        <v>276</v>
      </c>
      <c r="D261" s="5">
        <v>1.047235E7</v>
      </c>
      <c r="E261" s="4"/>
      <c r="F261" s="5" t="s">
        <v>6</v>
      </c>
      <c r="G261" s="4">
        <v>2.3337304589999914E7</v>
      </c>
      <c r="H261" s="4"/>
      <c r="I261" s="6"/>
    </row>
    <row r="262">
      <c r="A262" s="1">
        <v>46278.0</v>
      </c>
      <c r="B262" s="3" t="s">
        <v>4</v>
      </c>
      <c r="C262" s="3" t="s">
        <v>277</v>
      </c>
      <c r="D262" s="5">
        <v>3714950.0</v>
      </c>
      <c r="E262" s="4"/>
      <c r="F262" s="5" t="s">
        <v>6</v>
      </c>
      <c r="G262" s="4">
        <v>1.9622354589999914E7</v>
      </c>
      <c r="H262" s="4"/>
      <c r="I262" s="6" t="s">
        <v>10</v>
      </c>
    </row>
    <row r="263">
      <c r="A263" s="1">
        <v>46278.0</v>
      </c>
      <c r="B263" s="3" t="s">
        <v>4</v>
      </c>
      <c r="C263" s="3" t="s">
        <v>278</v>
      </c>
      <c r="D263" s="5">
        <v>2294600.0</v>
      </c>
      <c r="E263" s="4"/>
      <c r="F263" s="5" t="s">
        <v>6</v>
      </c>
      <c r="G263" s="4">
        <v>1.7327754589999914E7</v>
      </c>
      <c r="H263" s="4"/>
      <c r="I263" s="6" t="s">
        <v>10</v>
      </c>
    </row>
    <row r="264">
      <c r="A264" s="1">
        <v>46278.0</v>
      </c>
      <c r="B264" s="3" t="s">
        <v>4</v>
      </c>
      <c r="C264" s="3" t="s">
        <v>279</v>
      </c>
      <c r="D264" s="5">
        <v>2174750.0</v>
      </c>
      <c r="E264" s="4"/>
      <c r="F264" s="5" t="s">
        <v>6</v>
      </c>
      <c r="G264" s="4">
        <v>1.5153004589999914E7</v>
      </c>
      <c r="H264" s="4"/>
      <c r="I264" s="6" t="s">
        <v>10</v>
      </c>
    </row>
    <row r="265">
      <c r="A265" s="1">
        <v>46278.0</v>
      </c>
      <c r="B265" s="3" t="s">
        <v>4</v>
      </c>
      <c r="C265" s="3" t="s">
        <v>280</v>
      </c>
      <c r="D265" s="5">
        <v>1.030671E7</v>
      </c>
      <c r="E265" s="4"/>
      <c r="F265" s="5" t="s">
        <v>6</v>
      </c>
      <c r="G265" s="4">
        <v>4846294.589999914</v>
      </c>
      <c r="H265" s="4"/>
      <c r="I265" s="6" t="s">
        <v>10</v>
      </c>
    </row>
    <row r="266">
      <c r="A266" s="1">
        <v>46278.0</v>
      </c>
      <c r="B266" s="3" t="s">
        <v>4</v>
      </c>
      <c r="C266" s="3" t="s">
        <v>281</v>
      </c>
      <c r="D266" s="5">
        <v>600000.0</v>
      </c>
      <c r="E266" s="4"/>
      <c r="F266" s="5" t="s">
        <v>6</v>
      </c>
      <c r="G266" s="4">
        <v>4246294.589999914</v>
      </c>
      <c r="H266" s="4"/>
      <c r="I266" s="6" t="s">
        <v>10</v>
      </c>
    </row>
    <row r="267">
      <c r="A267" s="1">
        <v>46278.0</v>
      </c>
      <c r="B267" s="3" t="s">
        <v>24</v>
      </c>
      <c r="C267" s="3" t="s">
        <v>282</v>
      </c>
      <c r="D267" s="5"/>
      <c r="E267" s="5">
        <v>2.8374585E8</v>
      </c>
      <c r="F267" s="5" t="s">
        <v>3</v>
      </c>
      <c r="G267" s="4">
        <v>2.879921445899999E8</v>
      </c>
      <c r="H267" s="4"/>
      <c r="I267" s="6" t="s">
        <v>10</v>
      </c>
    </row>
    <row r="268">
      <c r="A268" s="1">
        <v>46278.0</v>
      </c>
      <c r="B268" s="3" t="s">
        <v>24</v>
      </c>
      <c r="C268" s="3" t="s">
        <v>283</v>
      </c>
      <c r="D268" s="5"/>
      <c r="E268" s="5">
        <v>2.9681075E8</v>
      </c>
      <c r="F268" s="5" t="s">
        <v>3</v>
      </c>
      <c r="G268" s="4">
        <v>5.848028945899999E8</v>
      </c>
      <c r="H268" s="4"/>
      <c r="I268" s="6" t="s">
        <v>13</v>
      </c>
    </row>
    <row r="269">
      <c r="A269" s="1">
        <v>46278.0</v>
      </c>
      <c r="B269" s="3" t="s">
        <v>4</v>
      </c>
      <c r="C269" s="3" t="s">
        <v>284</v>
      </c>
      <c r="D269" s="5">
        <v>1.4031355E8</v>
      </c>
      <c r="E269" s="4"/>
      <c r="F269" s="5" t="s">
        <v>6</v>
      </c>
      <c r="G269" s="4">
        <v>4.444893445899999E8</v>
      </c>
      <c r="H269" s="4"/>
      <c r="I269" s="6" t="s">
        <v>10</v>
      </c>
    </row>
    <row r="270">
      <c r="A270" s="1">
        <v>46278.0</v>
      </c>
      <c r="B270" s="3" t="s">
        <v>4</v>
      </c>
      <c r="C270" s="3" t="s">
        <v>285</v>
      </c>
      <c r="D270" s="5">
        <v>1.886335E8</v>
      </c>
      <c r="E270" s="4"/>
      <c r="F270" s="5" t="s">
        <v>6</v>
      </c>
      <c r="G270" s="4">
        <v>2.558558445899999E8</v>
      </c>
      <c r="H270" s="4"/>
      <c r="I270" s="6" t="s">
        <v>10</v>
      </c>
    </row>
    <row r="271">
      <c r="A271" s="1">
        <v>46278.0</v>
      </c>
      <c r="B271" s="3" t="s">
        <v>24</v>
      </c>
      <c r="C271" s="3" t="s">
        <v>286</v>
      </c>
      <c r="D271" s="5"/>
      <c r="E271" s="5">
        <v>6.63714E7</v>
      </c>
      <c r="F271" s="5" t="s">
        <v>3</v>
      </c>
      <c r="G271" s="4">
        <v>3.222272445899999E8</v>
      </c>
      <c r="H271" s="5">
        <v>3.2222724459E8</v>
      </c>
      <c r="I271" s="6" t="s">
        <v>10</v>
      </c>
    </row>
    <row r="272">
      <c r="A272" s="1">
        <v>46278.0</v>
      </c>
      <c r="B272" s="3" t="s">
        <v>4</v>
      </c>
      <c r="C272" s="3" t="s">
        <v>287</v>
      </c>
      <c r="D272" s="5">
        <v>1.5271061E8</v>
      </c>
      <c r="E272" s="4"/>
      <c r="F272" s="5" t="s">
        <v>6</v>
      </c>
      <c r="G272" s="4">
        <v>1.695166345899999E8</v>
      </c>
      <c r="H272" s="5">
        <v>1.6951663459E8</v>
      </c>
      <c r="I272" s="6" t="s">
        <v>10</v>
      </c>
    </row>
    <row r="273">
      <c r="A273" s="1">
        <v>46278.0</v>
      </c>
      <c r="B273" s="3" t="s">
        <v>4</v>
      </c>
      <c r="C273" s="3" t="s">
        <v>288</v>
      </c>
      <c r="D273" s="5">
        <v>5.7002E7</v>
      </c>
      <c r="E273" s="4"/>
      <c r="F273" s="5" t="s">
        <v>6</v>
      </c>
      <c r="G273" s="4">
        <v>1.1251463458999991E8</v>
      </c>
      <c r="H273" s="4"/>
      <c r="I273" s="6" t="s">
        <v>10</v>
      </c>
    </row>
    <row r="274">
      <c r="A274" s="1">
        <v>46278.0</v>
      </c>
      <c r="B274" s="3" t="s">
        <v>28</v>
      </c>
      <c r="C274" s="3" t="s">
        <v>289</v>
      </c>
      <c r="E274" s="5">
        <v>7.5938E7</v>
      </c>
      <c r="F274" s="4"/>
      <c r="G274" s="4">
        <v>1.884526345899999E8</v>
      </c>
      <c r="H274" s="4"/>
      <c r="I274" s="6" t="s">
        <v>10</v>
      </c>
    </row>
    <row r="275">
      <c r="A275" s="1">
        <v>46278.0</v>
      </c>
      <c r="B275" s="3" t="s">
        <v>28</v>
      </c>
      <c r="C275" s="3" t="s">
        <v>289</v>
      </c>
      <c r="E275" s="5">
        <v>1.423131E8</v>
      </c>
      <c r="F275" s="4"/>
      <c r="G275" s="4">
        <v>3.307657345899999E8</v>
      </c>
      <c r="H275" s="4"/>
      <c r="I275" s="6" t="s">
        <v>10</v>
      </c>
    </row>
    <row r="276">
      <c r="A276" s="1">
        <v>46278.0</v>
      </c>
      <c r="B276" s="3" t="s">
        <v>24</v>
      </c>
      <c r="C276" s="3" t="s">
        <v>290</v>
      </c>
      <c r="D276" s="5"/>
      <c r="E276" s="5">
        <v>2.0615984E8</v>
      </c>
      <c r="F276" s="5" t="s">
        <v>3</v>
      </c>
      <c r="G276" s="4">
        <v>5.369255745899999E8</v>
      </c>
      <c r="H276" s="4"/>
      <c r="I276" s="6" t="s">
        <v>10</v>
      </c>
    </row>
    <row r="277">
      <c r="A277" s="1">
        <v>46278.0</v>
      </c>
      <c r="B277" s="3" t="s">
        <v>4</v>
      </c>
      <c r="C277" s="3" t="s">
        <v>291</v>
      </c>
      <c r="D277" s="5">
        <v>1.0165345E8</v>
      </c>
      <c r="E277" s="4"/>
      <c r="F277" s="5" t="s">
        <v>6</v>
      </c>
      <c r="G277" s="4">
        <v>4.352721245899999E8</v>
      </c>
      <c r="H277" s="4"/>
      <c r="I277" s="6" t="s">
        <v>10</v>
      </c>
    </row>
    <row r="278">
      <c r="A278" s="1">
        <v>46278.0</v>
      </c>
      <c r="B278" s="3" t="s">
        <v>4</v>
      </c>
      <c r="C278" s="3" t="s">
        <v>292</v>
      </c>
      <c r="D278" s="5">
        <v>3.099956E7</v>
      </c>
      <c r="E278" s="4"/>
      <c r="F278" s="5" t="s">
        <v>6</v>
      </c>
      <c r="G278" s="4">
        <v>4.042725645899999E8</v>
      </c>
      <c r="H278" s="4"/>
      <c r="I278" s="6" t="s">
        <v>10</v>
      </c>
    </row>
    <row r="279">
      <c r="A279" s="1">
        <v>46278.0</v>
      </c>
      <c r="B279" s="3" t="s">
        <v>24</v>
      </c>
      <c r="C279" s="3" t="s">
        <v>293</v>
      </c>
      <c r="D279" s="5"/>
      <c r="E279" s="5">
        <v>1.0E8</v>
      </c>
      <c r="F279" s="5" t="s">
        <v>3</v>
      </c>
      <c r="G279" s="4">
        <v>5.042725645899999E8</v>
      </c>
      <c r="H279" s="4"/>
      <c r="I279" s="6" t="s">
        <v>10</v>
      </c>
    </row>
    <row r="280">
      <c r="A280" s="1">
        <v>46278.0</v>
      </c>
      <c r="B280" s="3" t="s">
        <v>4</v>
      </c>
      <c r="C280" s="3" t="s">
        <v>294</v>
      </c>
      <c r="D280" s="5">
        <v>1.9347035E8</v>
      </c>
      <c r="E280" s="4"/>
      <c r="F280" s="5" t="s">
        <v>6</v>
      </c>
      <c r="G280" s="4">
        <v>3.108022145899999E8</v>
      </c>
      <c r="H280" s="4"/>
      <c r="I280" s="6" t="s">
        <v>10</v>
      </c>
    </row>
    <row r="281">
      <c r="A281" s="1">
        <v>46278.0</v>
      </c>
      <c r="B281" s="3" t="s">
        <v>24</v>
      </c>
      <c r="C281" s="3" t="s">
        <v>295</v>
      </c>
      <c r="D281" s="5"/>
      <c r="E281" s="5">
        <v>4.42E7</v>
      </c>
      <c r="F281" s="5" t="s">
        <v>3</v>
      </c>
      <c r="G281" s="4">
        <v>3.550022145899999E8</v>
      </c>
      <c r="H281" s="4"/>
      <c r="I281" s="6" t="s">
        <v>10</v>
      </c>
    </row>
    <row r="282">
      <c r="A282" s="1">
        <v>46278.0</v>
      </c>
      <c r="B282" s="3" t="s">
        <v>4</v>
      </c>
      <c r="C282" s="3" t="s">
        <v>296</v>
      </c>
      <c r="D282" s="5">
        <v>9220480.0</v>
      </c>
      <c r="E282" s="4"/>
      <c r="F282" s="5" t="s">
        <v>6</v>
      </c>
      <c r="G282" s="4">
        <v>3.457817345899999E8</v>
      </c>
      <c r="H282" s="4"/>
      <c r="I282" s="6" t="s">
        <v>10</v>
      </c>
    </row>
    <row r="283">
      <c r="A283" s="1">
        <v>46278.0</v>
      </c>
      <c r="B283" s="3" t="s">
        <v>33</v>
      </c>
      <c r="C283" s="3" t="s">
        <v>68</v>
      </c>
      <c r="D283" s="5">
        <v>188400.0</v>
      </c>
      <c r="E283" s="4"/>
      <c r="F283" s="4"/>
      <c r="G283" s="4">
        <v>3.455933345899999E8</v>
      </c>
      <c r="H283" s="5">
        <v>3.4559333459E8</v>
      </c>
      <c r="I283" s="6" t="s">
        <v>10</v>
      </c>
    </row>
    <row r="284">
      <c r="A284" s="1">
        <v>46279.0</v>
      </c>
      <c r="B284" s="3" t="s">
        <v>4</v>
      </c>
      <c r="C284" s="3" t="s">
        <v>297</v>
      </c>
      <c r="D284" s="5">
        <v>8.632725E7</v>
      </c>
      <c r="E284" s="4"/>
      <c r="F284" s="5" t="s">
        <v>6</v>
      </c>
      <c r="G284" s="4">
        <v>2.592660845899999E8</v>
      </c>
      <c r="H284" s="5">
        <v>2.5926608459E8</v>
      </c>
      <c r="I284" s="6" t="s">
        <v>10</v>
      </c>
    </row>
    <row r="285">
      <c r="A285" s="1">
        <v>46279.0</v>
      </c>
      <c r="B285" s="3" t="s">
        <v>4</v>
      </c>
      <c r="C285" s="3" t="s">
        <v>298</v>
      </c>
      <c r="D285" s="5">
        <v>8.0026E7</v>
      </c>
      <c r="E285" s="4"/>
      <c r="F285" s="5" t="s">
        <v>6</v>
      </c>
      <c r="G285" s="4">
        <v>1.792400845899999E8</v>
      </c>
      <c r="H285" s="5">
        <v>1.7924008459E8</v>
      </c>
      <c r="I285" s="6" t="s">
        <v>10</v>
      </c>
    </row>
    <row r="286">
      <c r="A286" s="1">
        <v>46279.0</v>
      </c>
      <c r="B286" s="3" t="s">
        <v>4</v>
      </c>
      <c r="C286" s="3" t="s">
        <v>299</v>
      </c>
      <c r="D286" s="5">
        <v>7.12131E7</v>
      </c>
      <c r="E286" s="4"/>
      <c r="F286" s="5" t="s">
        <v>6</v>
      </c>
      <c r="G286" s="4">
        <v>1.0802698458999991E8</v>
      </c>
      <c r="H286" s="4"/>
      <c r="I286" s="6" t="s">
        <v>10</v>
      </c>
    </row>
    <row r="287">
      <c r="A287" s="1">
        <v>46279.0</v>
      </c>
      <c r="B287" s="3" t="s">
        <v>4</v>
      </c>
      <c r="C287" s="3" t="s">
        <v>300</v>
      </c>
      <c r="D287" s="5">
        <v>7.240125E7</v>
      </c>
      <c r="E287" s="4"/>
      <c r="F287" s="5" t="s">
        <v>6</v>
      </c>
      <c r="G287" s="4">
        <v>3.5625734589999914E7</v>
      </c>
      <c r="H287" s="4"/>
      <c r="I287" s="6" t="s">
        <v>10</v>
      </c>
    </row>
    <row r="288">
      <c r="A288" s="1">
        <v>46279.0</v>
      </c>
      <c r="B288" s="3" t="s">
        <v>4</v>
      </c>
      <c r="C288" s="3" t="s">
        <v>301</v>
      </c>
      <c r="D288" s="5">
        <v>4863730.0</v>
      </c>
      <c r="E288" s="4"/>
      <c r="F288" s="5" t="s">
        <v>6</v>
      </c>
      <c r="G288" s="4">
        <v>3.0762004589999914E7</v>
      </c>
      <c r="H288" s="4"/>
      <c r="I288" s="6" t="s">
        <v>10</v>
      </c>
    </row>
    <row r="289">
      <c r="A289" s="1">
        <v>46279.0</v>
      </c>
      <c r="B289" s="3" t="s">
        <v>4</v>
      </c>
      <c r="C289" s="3" t="s">
        <v>302</v>
      </c>
      <c r="D289" s="5">
        <v>1800000.0</v>
      </c>
      <c r="E289" s="4"/>
      <c r="F289" s="5" t="s">
        <v>6</v>
      </c>
      <c r="G289" s="4">
        <v>2.8962004589999914E7</v>
      </c>
      <c r="H289" s="4"/>
      <c r="I289" s="6" t="s">
        <v>10</v>
      </c>
    </row>
    <row r="290">
      <c r="A290" s="1">
        <v>46279.0</v>
      </c>
      <c r="B290" s="3" t="s">
        <v>4</v>
      </c>
      <c r="C290" s="3" t="s">
        <v>303</v>
      </c>
      <c r="D290" s="5">
        <v>2875800.0</v>
      </c>
      <c r="E290" s="4"/>
      <c r="F290" s="5" t="s">
        <v>6</v>
      </c>
      <c r="G290" s="4">
        <v>2.6086204589999914E7</v>
      </c>
      <c r="H290" s="4"/>
      <c r="I290" s="6" t="s">
        <v>10</v>
      </c>
    </row>
    <row r="291">
      <c r="A291" s="1">
        <v>46279.0</v>
      </c>
      <c r="B291" s="3" t="s">
        <v>4</v>
      </c>
      <c r="C291" s="3" t="s">
        <v>304</v>
      </c>
      <c r="D291" s="5">
        <v>1200000.0</v>
      </c>
      <c r="E291" s="4"/>
      <c r="F291" s="5" t="s">
        <v>6</v>
      </c>
      <c r="G291" s="4">
        <v>2.4886204589999914E7</v>
      </c>
      <c r="H291" s="4"/>
      <c r="I291" s="6" t="s">
        <v>10</v>
      </c>
    </row>
    <row r="292">
      <c r="A292" s="1">
        <v>46279.0</v>
      </c>
      <c r="B292" s="3" t="s">
        <v>24</v>
      </c>
      <c r="C292" s="3" t="s">
        <v>305</v>
      </c>
      <c r="D292" s="5"/>
      <c r="E292" s="5">
        <v>2.165806E8</v>
      </c>
      <c r="F292" s="5" t="s">
        <v>3</v>
      </c>
      <c r="G292" s="4">
        <v>2.414668045899999E8</v>
      </c>
      <c r="H292" s="4"/>
      <c r="I292" s="6" t="s">
        <v>10</v>
      </c>
    </row>
    <row r="293">
      <c r="A293" s="1">
        <v>46279.0</v>
      </c>
      <c r="B293" s="3" t="s">
        <v>24</v>
      </c>
      <c r="C293" s="3" t="s">
        <v>306</v>
      </c>
      <c r="D293" s="5"/>
      <c r="E293" s="5">
        <v>1.3467E8</v>
      </c>
      <c r="F293" s="5" t="s">
        <v>3</v>
      </c>
      <c r="G293" s="4">
        <v>3.761368045899999E8</v>
      </c>
      <c r="H293" s="4"/>
      <c r="I293" s="6" t="s">
        <v>10</v>
      </c>
    </row>
    <row r="294">
      <c r="A294" s="1">
        <v>46279.0</v>
      </c>
      <c r="B294" s="3" t="s">
        <v>4</v>
      </c>
      <c r="C294" s="3" t="s">
        <v>307</v>
      </c>
      <c r="D294" s="5">
        <v>1.848005E8</v>
      </c>
      <c r="E294" s="4"/>
      <c r="F294" s="5" t="s">
        <v>6</v>
      </c>
      <c r="G294" s="4">
        <v>1.913363045899999E8</v>
      </c>
      <c r="H294" s="4"/>
      <c r="I294" s="6" t="s">
        <v>10</v>
      </c>
    </row>
    <row r="295">
      <c r="A295" s="1">
        <v>46279.0</v>
      </c>
      <c r="B295" s="3" t="s">
        <v>4</v>
      </c>
      <c r="C295" s="3" t="s">
        <v>308</v>
      </c>
      <c r="D295" s="5">
        <v>6.3E7</v>
      </c>
      <c r="E295" s="4"/>
      <c r="F295" s="5" t="s">
        <v>6</v>
      </c>
      <c r="G295" s="4">
        <v>1.2833630458999991E8</v>
      </c>
      <c r="H295" s="4"/>
      <c r="I295" s="6" t="s">
        <v>10</v>
      </c>
    </row>
    <row r="296">
      <c r="A296" s="1">
        <v>46279.0</v>
      </c>
      <c r="B296" s="3" t="s">
        <v>4</v>
      </c>
      <c r="C296" s="3" t="s">
        <v>309</v>
      </c>
      <c r="D296" s="5">
        <v>6.282225E7</v>
      </c>
      <c r="E296" s="4"/>
      <c r="F296" s="5" t="s">
        <v>6</v>
      </c>
      <c r="G296" s="4">
        <v>6.5514054589999914E7</v>
      </c>
      <c r="H296" s="4"/>
      <c r="I296" s="6" t="s">
        <v>10</v>
      </c>
    </row>
    <row r="297">
      <c r="A297" s="1">
        <v>46279.0</v>
      </c>
      <c r="B297" s="3" t="s">
        <v>4</v>
      </c>
      <c r="C297" s="3" t="s">
        <v>310</v>
      </c>
      <c r="D297" s="5">
        <v>6.44634E7</v>
      </c>
      <c r="E297" s="4"/>
      <c r="F297" s="5" t="s">
        <v>6</v>
      </c>
      <c r="G297" s="4">
        <v>1050654.5899999142</v>
      </c>
      <c r="H297" s="4"/>
      <c r="I297" s="6" t="s">
        <v>10</v>
      </c>
    </row>
    <row r="298">
      <c r="A298" s="1">
        <v>46279.0</v>
      </c>
      <c r="B298" s="3" t="s">
        <v>33</v>
      </c>
      <c r="C298" s="3" t="s">
        <v>311</v>
      </c>
      <c r="D298" s="5">
        <v>76000.0</v>
      </c>
      <c r="E298" s="4"/>
      <c r="F298" s="4"/>
      <c r="G298" s="4">
        <v>974654.5899999142</v>
      </c>
      <c r="H298" s="5">
        <v>974654.59</v>
      </c>
      <c r="I298" s="6" t="s">
        <v>10</v>
      </c>
    </row>
    <row r="299">
      <c r="A299" s="1">
        <v>46279.0</v>
      </c>
      <c r="B299" s="3" t="s">
        <v>119</v>
      </c>
      <c r="C299" s="3" t="s">
        <v>312</v>
      </c>
      <c r="D299" s="5">
        <v>202500.0</v>
      </c>
      <c r="E299" s="4"/>
      <c r="F299" s="4"/>
      <c r="G299" s="4">
        <v>772154.5899999142</v>
      </c>
      <c r="H299" s="5">
        <v>772154.59</v>
      </c>
      <c r="I299" s="6" t="s">
        <v>10</v>
      </c>
    </row>
    <row r="300">
      <c r="A300" s="1">
        <v>46279.0</v>
      </c>
      <c r="B300" s="3" t="s">
        <v>24</v>
      </c>
      <c r="C300" s="3" t="s">
        <v>313</v>
      </c>
      <c r="D300" s="5"/>
      <c r="E300" s="5">
        <v>1.9672095E8</v>
      </c>
      <c r="F300" s="5" t="s">
        <v>3</v>
      </c>
      <c r="G300" s="4">
        <v>1.974931045899999E8</v>
      </c>
      <c r="H300" s="4"/>
      <c r="I300" s="6" t="s">
        <v>10</v>
      </c>
    </row>
    <row r="301">
      <c r="A301" s="1">
        <v>46279.0</v>
      </c>
      <c r="B301" s="3" t="s">
        <v>4</v>
      </c>
      <c r="C301" s="3" t="s">
        <v>314</v>
      </c>
      <c r="D301" s="5">
        <v>8.037991E7</v>
      </c>
      <c r="E301" s="4"/>
      <c r="F301" s="5" t="s">
        <v>6</v>
      </c>
      <c r="G301" s="4">
        <v>1.1711319458999991E8</v>
      </c>
      <c r="H301" s="4"/>
      <c r="I301" s="6" t="s">
        <v>10</v>
      </c>
    </row>
    <row r="302">
      <c r="A302" s="1">
        <v>46279.0</v>
      </c>
      <c r="B302" s="3" t="s">
        <v>4</v>
      </c>
      <c r="C302" s="3" t="s">
        <v>315</v>
      </c>
      <c r="D302" s="5">
        <v>5.518802E7</v>
      </c>
      <c r="E302" s="4"/>
      <c r="F302" s="5" t="s">
        <v>6</v>
      </c>
      <c r="G302" s="4">
        <v>6.1925174589999914E7</v>
      </c>
      <c r="H302" s="4"/>
      <c r="I302" s="6" t="s">
        <v>10</v>
      </c>
    </row>
    <row r="303">
      <c r="A303" s="1">
        <v>46279.0</v>
      </c>
      <c r="B303" s="3" t="s">
        <v>24</v>
      </c>
      <c r="C303" s="3" t="s">
        <v>316</v>
      </c>
      <c r="D303" s="5"/>
      <c r="E303" s="5">
        <v>1.0E8</v>
      </c>
      <c r="F303" s="5" t="s">
        <v>3</v>
      </c>
      <c r="G303" s="4">
        <v>1.619251745899999E8</v>
      </c>
      <c r="H303" s="4"/>
      <c r="I303" s="6" t="s">
        <v>10</v>
      </c>
    </row>
    <row r="304">
      <c r="A304" s="1">
        <v>46279.0</v>
      </c>
      <c r="B304" s="3" t="s">
        <v>4</v>
      </c>
      <c r="C304" s="3" t="s">
        <v>317</v>
      </c>
      <c r="D304" s="5">
        <v>1.36018E7</v>
      </c>
      <c r="E304" s="4"/>
      <c r="F304" s="5" t="s">
        <v>6</v>
      </c>
      <c r="G304" s="4">
        <v>1.483233745899999E8</v>
      </c>
      <c r="H304" s="4"/>
      <c r="I304" s="6" t="s">
        <v>10</v>
      </c>
    </row>
    <row r="305">
      <c r="A305" s="1">
        <v>46279.0</v>
      </c>
      <c r="B305" s="3" t="s">
        <v>4</v>
      </c>
      <c r="C305" s="3" t="s">
        <v>318</v>
      </c>
      <c r="D305" s="5">
        <v>1987420.0</v>
      </c>
      <c r="E305" s="4"/>
      <c r="F305" s="5" t="s">
        <v>6</v>
      </c>
      <c r="G305" s="4">
        <v>1.463359545899999E8</v>
      </c>
      <c r="H305" s="4"/>
      <c r="I305" s="6" t="s">
        <v>10</v>
      </c>
    </row>
    <row r="306">
      <c r="A306" s="1">
        <v>46279.0</v>
      </c>
      <c r="B306" s="3" t="s">
        <v>4</v>
      </c>
      <c r="C306" s="3" t="s">
        <v>319</v>
      </c>
      <c r="D306" s="5">
        <v>6.75E7</v>
      </c>
      <c r="E306" s="4"/>
      <c r="F306" s="5" t="s">
        <v>6</v>
      </c>
      <c r="G306" s="4">
        <v>7.883595458999991E7</v>
      </c>
      <c r="H306" s="4"/>
      <c r="I306" s="6" t="s">
        <v>10</v>
      </c>
    </row>
    <row r="307">
      <c r="A307" s="1">
        <v>46279.0</v>
      </c>
      <c r="B307" s="3" t="s">
        <v>4</v>
      </c>
      <c r="C307" s="3" t="s">
        <v>320</v>
      </c>
      <c r="D307" s="5">
        <v>4.210575E7</v>
      </c>
      <c r="E307" s="4"/>
      <c r="F307" s="5" t="s">
        <v>6</v>
      </c>
      <c r="G307" s="4">
        <v>3.6730204589999914E7</v>
      </c>
      <c r="H307" s="4"/>
      <c r="I307" s="6" t="s">
        <v>10</v>
      </c>
    </row>
    <row r="308">
      <c r="A308" s="1">
        <v>46279.0</v>
      </c>
      <c r="B308" s="3" t="s">
        <v>4</v>
      </c>
      <c r="C308" s="3" t="s">
        <v>321</v>
      </c>
      <c r="D308" s="5">
        <v>2500000.0</v>
      </c>
      <c r="E308" s="4"/>
      <c r="F308" s="5" t="s">
        <v>6</v>
      </c>
      <c r="G308" s="4">
        <v>3.4230204589999914E7</v>
      </c>
      <c r="H308" s="4"/>
      <c r="I308" s="6" t="s">
        <v>10</v>
      </c>
    </row>
    <row r="309">
      <c r="A309" s="1">
        <v>46279.0</v>
      </c>
      <c r="B309" s="3" t="s">
        <v>4</v>
      </c>
      <c r="C309" s="3" t="s">
        <v>322</v>
      </c>
      <c r="D309" s="5">
        <v>1.5E7</v>
      </c>
      <c r="E309" s="4"/>
      <c r="F309" s="5" t="s">
        <v>6</v>
      </c>
      <c r="G309" s="4">
        <v>1.9230204589999914E7</v>
      </c>
      <c r="H309" s="5">
        <v>1.923020459E7</v>
      </c>
      <c r="I309" s="6" t="s">
        <v>10</v>
      </c>
    </row>
    <row r="310">
      <c r="A310" s="1">
        <v>46280.0</v>
      </c>
      <c r="B310" s="3" t="s">
        <v>323</v>
      </c>
      <c r="C310" s="3" t="s">
        <v>324</v>
      </c>
      <c r="D310" s="5"/>
      <c r="E310" s="5">
        <v>1.65E8</v>
      </c>
      <c r="F310" s="5" t="s">
        <v>3</v>
      </c>
      <c r="G310" s="4">
        <v>1.842302045899999E8</v>
      </c>
      <c r="H310" s="4"/>
      <c r="I310" s="6" t="s">
        <v>10</v>
      </c>
    </row>
    <row r="311">
      <c r="A311" s="1">
        <v>46280.0</v>
      </c>
      <c r="B311" s="3" t="s">
        <v>4</v>
      </c>
      <c r="C311" s="3" t="s">
        <v>325</v>
      </c>
      <c r="D311" s="5">
        <v>7.941375E7</v>
      </c>
      <c r="E311" s="4"/>
      <c r="F311" s="5" t="s">
        <v>6</v>
      </c>
      <c r="G311" s="4">
        <v>1.0481645458999991E8</v>
      </c>
      <c r="H311" s="5">
        <v>1.0481645459E8</v>
      </c>
      <c r="I311" s="6" t="s">
        <v>10</v>
      </c>
    </row>
    <row r="312">
      <c r="A312" s="1">
        <v>46280.0</v>
      </c>
      <c r="B312" s="3" t="s">
        <v>4</v>
      </c>
      <c r="C312" s="3" t="s">
        <v>326</v>
      </c>
      <c r="D312" s="5">
        <v>1.25E7</v>
      </c>
      <c r="E312" s="4"/>
      <c r="F312" s="5" t="s">
        <v>6</v>
      </c>
      <c r="G312" s="4">
        <v>9.231645458999991E7</v>
      </c>
      <c r="H312" s="5">
        <v>9.231645459E7</v>
      </c>
      <c r="I312" s="6" t="s">
        <v>10</v>
      </c>
    </row>
    <row r="313">
      <c r="A313" s="1">
        <v>46280.0</v>
      </c>
      <c r="B313" s="3" t="s">
        <v>4</v>
      </c>
      <c r="C313" s="3" t="s">
        <v>327</v>
      </c>
      <c r="D313" s="5">
        <v>6.5627E7</v>
      </c>
      <c r="E313" s="4"/>
      <c r="F313" s="5" t="s">
        <v>6</v>
      </c>
      <c r="G313" s="4">
        <v>2.6689454589999914E7</v>
      </c>
      <c r="H313" s="4"/>
      <c r="I313" s="6" t="s">
        <v>10</v>
      </c>
    </row>
    <row r="314">
      <c r="A314" s="1">
        <v>46280.0</v>
      </c>
      <c r="B314" s="3" t="s">
        <v>4</v>
      </c>
      <c r="C314" s="3" t="s">
        <v>328</v>
      </c>
      <c r="D314" s="5">
        <v>1500000.0</v>
      </c>
      <c r="E314" s="4"/>
      <c r="F314" s="5" t="s">
        <v>6</v>
      </c>
      <c r="G314" s="4">
        <v>2.5189454589999914E7</v>
      </c>
      <c r="H314" s="4"/>
      <c r="I314" s="6" t="s">
        <v>10</v>
      </c>
    </row>
    <row r="315">
      <c r="A315" s="1">
        <v>46280.0</v>
      </c>
      <c r="B315" s="3" t="s">
        <v>4</v>
      </c>
      <c r="C315" s="3" t="s">
        <v>329</v>
      </c>
      <c r="D315" s="5">
        <v>2788850.0</v>
      </c>
      <c r="E315" s="4"/>
      <c r="F315" s="5" t="s">
        <v>6</v>
      </c>
      <c r="G315" s="4">
        <v>2.2400604589999914E7</v>
      </c>
      <c r="H315" s="4"/>
      <c r="I315" s="6" t="s">
        <v>10</v>
      </c>
    </row>
    <row r="316">
      <c r="A316" s="1">
        <v>46280.0</v>
      </c>
      <c r="B316" s="3" t="s">
        <v>4</v>
      </c>
      <c r="C316" s="3" t="s">
        <v>330</v>
      </c>
      <c r="D316" s="5">
        <v>3411540.0</v>
      </c>
      <c r="E316" s="4"/>
      <c r="F316" s="5" t="s">
        <v>6</v>
      </c>
      <c r="G316" s="4">
        <v>1.8989064589999914E7</v>
      </c>
      <c r="H316" s="4"/>
      <c r="I316" s="6" t="s">
        <v>10</v>
      </c>
    </row>
    <row r="317">
      <c r="A317" s="1">
        <v>46280.0</v>
      </c>
      <c r="B317" s="3" t="s">
        <v>4</v>
      </c>
      <c r="C317" s="3" t="s">
        <v>331</v>
      </c>
      <c r="D317" s="5">
        <v>2114080.0</v>
      </c>
      <c r="E317" s="4"/>
      <c r="F317" s="5" t="s">
        <v>6</v>
      </c>
      <c r="G317" s="4">
        <v>1.6874984589999914E7</v>
      </c>
      <c r="H317" s="4"/>
      <c r="I317" s="6" t="s">
        <v>10</v>
      </c>
    </row>
    <row r="318">
      <c r="A318" s="1">
        <v>46280.0</v>
      </c>
      <c r="B318" s="3" t="s">
        <v>24</v>
      </c>
      <c r="C318" s="3" t="s">
        <v>332</v>
      </c>
      <c r="D318" s="5"/>
      <c r="E318" s="5">
        <v>2.0038E8</v>
      </c>
      <c r="F318" s="5" t="s">
        <v>3</v>
      </c>
      <c r="G318" s="4">
        <v>2.172549845899999E8</v>
      </c>
      <c r="H318" s="4"/>
      <c r="I318" s="6" t="s">
        <v>10</v>
      </c>
    </row>
    <row r="319">
      <c r="A319" s="1">
        <v>46280.0</v>
      </c>
      <c r="B319" s="3" t="s">
        <v>4</v>
      </c>
      <c r="C319" s="3" t="s">
        <v>333</v>
      </c>
      <c r="D319" s="5">
        <v>6.0E7</v>
      </c>
      <c r="E319" s="4"/>
      <c r="F319" s="5" t="s">
        <v>6</v>
      </c>
      <c r="G319" s="4">
        <v>1.572549845899999E8</v>
      </c>
      <c r="H319" s="4"/>
      <c r="I319" s="6" t="s">
        <v>10</v>
      </c>
    </row>
    <row r="320">
      <c r="A320" s="1">
        <v>46280.0</v>
      </c>
      <c r="B320" s="3" t="s">
        <v>4</v>
      </c>
      <c r="C320" s="3" t="s">
        <v>334</v>
      </c>
      <c r="D320" s="5">
        <v>6.3E7</v>
      </c>
      <c r="E320" s="4"/>
      <c r="F320" s="5" t="s">
        <v>6</v>
      </c>
      <c r="G320" s="4">
        <v>9.425498458999991E7</v>
      </c>
      <c r="H320" s="4"/>
      <c r="I320" s="6" t="s">
        <v>10</v>
      </c>
    </row>
    <row r="321">
      <c r="A321" s="1">
        <v>46280.0</v>
      </c>
      <c r="B321" s="3" t="s">
        <v>4</v>
      </c>
      <c r="C321" s="3" t="s">
        <v>335</v>
      </c>
      <c r="D321" s="5">
        <v>5.57886E7</v>
      </c>
      <c r="E321" s="4"/>
      <c r="F321" s="5" t="s">
        <v>6</v>
      </c>
      <c r="G321" s="4">
        <v>3.8466384589999914E7</v>
      </c>
      <c r="H321" s="4"/>
      <c r="I321" s="6" t="s">
        <v>10</v>
      </c>
    </row>
    <row r="322">
      <c r="A322" s="1">
        <v>46280.0</v>
      </c>
      <c r="B322" s="3" t="s">
        <v>4</v>
      </c>
      <c r="C322" s="3" t="s">
        <v>336</v>
      </c>
      <c r="D322" s="5">
        <v>452340.0</v>
      </c>
      <c r="E322" s="4"/>
      <c r="F322" s="5" t="s">
        <v>6</v>
      </c>
      <c r="G322" s="4">
        <v>3.8014044589999914E7</v>
      </c>
      <c r="H322" s="4"/>
      <c r="I322" s="6" t="s">
        <v>10</v>
      </c>
    </row>
    <row r="323">
      <c r="A323" s="1">
        <v>46280.0</v>
      </c>
      <c r="B323" s="3" t="s">
        <v>24</v>
      </c>
      <c r="C323" s="3" t="s">
        <v>337</v>
      </c>
      <c r="D323" s="5"/>
      <c r="E323" s="5">
        <v>3.3117314E8</v>
      </c>
      <c r="F323" s="5" t="s">
        <v>3</v>
      </c>
      <c r="G323" s="4">
        <v>3.691871845899999E8</v>
      </c>
      <c r="H323" s="4"/>
      <c r="I323" s="6" t="s">
        <v>10</v>
      </c>
    </row>
    <row r="324">
      <c r="A324" s="1">
        <v>46280.0</v>
      </c>
      <c r="B324" s="3" t="s">
        <v>4</v>
      </c>
      <c r="C324" s="3" t="s">
        <v>338</v>
      </c>
      <c r="D324" s="5">
        <v>6.74538E7</v>
      </c>
      <c r="E324" s="4"/>
      <c r="F324" s="5" t="s">
        <v>6</v>
      </c>
      <c r="G324" s="4">
        <v>3.017333845899999E8</v>
      </c>
      <c r="H324" s="4"/>
      <c r="I324" s="6" t="s">
        <v>10</v>
      </c>
    </row>
    <row r="325">
      <c r="A325" s="1">
        <v>46280.0</v>
      </c>
      <c r="B325" s="3" t="s">
        <v>4</v>
      </c>
      <c r="C325" s="3" t="s">
        <v>339</v>
      </c>
      <c r="D325" s="5">
        <v>1.12695E8</v>
      </c>
      <c r="E325" s="4"/>
      <c r="F325" s="5" t="s">
        <v>6</v>
      </c>
      <c r="G325" s="4">
        <v>1.890383845899999E8</v>
      </c>
      <c r="H325" s="5">
        <v>1.8903838459E8</v>
      </c>
      <c r="I325" s="6" t="s">
        <v>10</v>
      </c>
    </row>
    <row r="326">
      <c r="A326" s="1">
        <v>46280.0</v>
      </c>
      <c r="B326" s="3" t="s">
        <v>4</v>
      </c>
      <c r="C326" s="3" t="s">
        <v>340</v>
      </c>
      <c r="D326" s="5">
        <v>1.3368225E8</v>
      </c>
      <c r="E326" s="4"/>
      <c r="F326" s="5" t="s">
        <v>6</v>
      </c>
      <c r="G326" s="4">
        <v>5.5356134589999914E7</v>
      </c>
      <c r="H326" s="5">
        <v>5.535613459E7</v>
      </c>
      <c r="I326" s="6" t="s">
        <v>10</v>
      </c>
    </row>
    <row r="327">
      <c r="A327" s="1">
        <v>46280.0</v>
      </c>
      <c r="B327" s="3" t="s">
        <v>4</v>
      </c>
      <c r="C327" s="3" t="s">
        <v>341</v>
      </c>
      <c r="D327" s="5">
        <v>9892530.0</v>
      </c>
      <c r="E327" s="4"/>
      <c r="F327" s="5" t="s">
        <v>6</v>
      </c>
      <c r="G327" s="4">
        <v>4.5463604589999914E7</v>
      </c>
      <c r="H327" s="4"/>
      <c r="I327" s="6" t="s">
        <v>10</v>
      </c>
    </row>
    <row r="328">
      <c r="A328" s="1">
        <v>46280.0</v>
      </c>
      <c r="B328" s="3" t="s">
        <v>33</v>
      </c>
      <c r="C328" s="3" t="s">
        <v>34</v>
      </c>
      <c r="D328" s="5">
        <v>176200.0</v>
      </c>
      <c r="E328" s="4"/>
      <c r="F328" s="4"/>
      <c r="G328" s="4">
        <v>4.5287404589999914E7</v>
      </c>
      <c r="H328" s="4"/>
      <c r="I328" s="6" t="s">
        <v>10</v>
      </c>
    </row>
    <row r="329">
      <c r="A329" s="1">
        <v>46280.0</v>
      </c>
      <c r="B329" s="3" t="s">
        <v>24</v>
      </c>
      <c r="C329" s="3" t="s">
        <v>342</v>
      </c>
      <c r="D329" s="5"/>
      <c r="E329" s="5">
        <v>1.8564191E8</v>
      </c>
      <c r="F329" s="5" t="s">
        <v>3</v>
      </c>
      <c r="G329" s="4">
        <v>2.309293145899999E8</v>
      </c>
      <c r="H329" s="4"/>
      <c r="I329" s="6" t="s">
        <v>10</v>
      </c>
    </row>
    <row r="330">
      <c r="A330" s="1">
        <v>46280.0</v>
      </c>
      <c r="B330" s="3" t="s">
        <v>4</v>
      </c>
      <c r="C330" s="3" t="s">
        <v>343</v>
      </c>
      <c r="D330" s="5">
        <v>1.1468884E8</v>
      </c>
      <c r="E330" s="4"/>
      <c r="F330" s="5" t="s">
        <v>6</v>
      </c>
      <c r="G330" s="4">
        <v>1.1624047458999991E8</v>
      </c>
      <c r="H330" s="4"/>
      <c r="I330" s="6" t="s">
        <v>10</v>
      </c>
    </row>
    <row r="331">
      <c r="A331" s="1">
        <v>46280.0</v>
      </c>
      <c r="B331" s="3" t="s">
        <v>4</v>
      </c>
      <c r="C331" s="3" t="s">
        <v>344</v>
      </c>
      <c r="D331" s="5">
        <v>6.3E7</v>
      </c>
      <c r="E331" s="4"/>
      <c r="F331" s="5" t="s">
        <v>6</v>
      </c>
      <c r="G331" s="4">
        <v>5.3240474589999914E7</v>
      </c>
      <c r="H331" s="4"/>
      <c r="I331" s="6" t="s">
        <v>10</v>
      </c>
    </row>
    <row r="332">
      <c r="A332" s="1">
        <v>46280.0</v>
      </c>
      <c r="B332" s="3" t="s">
        <v>24</v>
      </c>
      <c r="C332" s="3" t="s">
        <v>345</v>
      </c>
      <c r="D332" s="5"/>
      <c r="E332" s="5">
        <v>3.046E7</v>
      </c>
      <c r="F332" s="5" t="s">
        <v>3</v>
      </c>
      <c r="G332" s="4">
        <v>8.370047458999991E7</v>
      </c>
      <c r="H332" s="4"/>
      <c r="I332" s="6" t="s">
        <v>10</v>
      </c>
    </row>
    <row r="333">
      <c r="A333" s="1">
        <v>46280.0</v>
      </c>
      <c r="B333" s="3" t="s">
        <v>4</v>
      </c>
      <c r="C333" s="3" t="s">
        <v>346</v>
      </c>
      <c r="D333" s="5">
        <v>7.59184E7</v>
      </c>
      <c r="E333" s="4"/>
      <c r="F333" s="5" t="s">
        <v>6</v>
      </c>
      <c r="G333" s="4">
        <v>7782074.589999914</v>
      </c>
      <c r="H333" s="4"/>
      <c r="I333" s="6" t="s">
        <v>10</v>
      </c>
    </row>
    <row r="334">
      <c r="A334" s="1">
        <v>46280.0</v>
      </c>
      <c r="B334" s="3" t="s">
        <v>347</v>
      </c>
      <c r="C334" s="3" t="s">
        <v>347</v>
      </c>
      <c r="D334" s="5">
        <v>19000.0</v>
      </c>
      <c r="E334" s="4"/>
      <c r="F334" s="4"/>
      <c r="G334" s="4">
        <v>7763074.589999914</v>
      </c>
      <c r="H334" s="5">
        <v>7763074.59</v>
      </c>
      <c r="I334" s="6" t="s">
        <v>10</v>
      </c>
    </row>
    <row r="335">
      <c r="A335" s="1">
        <v>46281.0</v>
      </c>
      <c r="B335" s="3" t="s">
        <v>4</v>
      </c>
      <c r="C335" s="3" t="s">
        <v>348</v>
      </c>
      <c r="D335" s="5">
        <v>1534280.0</v>
      </c>
      <c r="E335" s="4"/>
      <c r="F335" s="5" t="s">
        <v>6</v>
      </c>
      <c r="G335" s="4">
        <v>6228794.589999914</v>
      </c>
      <c r="H335" s="4"/>
      <c r="I335" s="6" t="s">
        <v>10</v>
      </c>
    </row>
    <row r="336">
      <c r="A336" s="1">
        <v>46281.0</v>
      </c>
      <c r="B336" s="3" t="s">
        <v>4</v>
      </c>
      <c r="C336" s="3" t="s">
        <v>349</v>
      </c>
      <c r="D336" s="5">
        <v>1000000.0</v>
      </c>
      <c r="E336" s="4"/>
      <c r="F336" s="5" t="s">
        <v>6</v>
      </c>
      <c r="G336" s="4">
        <v>5228794.589999914</v>
      </c>
      <c r="H336" s="4"/>
      <c r="I336" s="6" t="s">
        <v>10</v>
      </c>
    </row>
    <row r="337">
      <c r="A337" s="1">
        <v>46281.0</v>
      </c>
      <c r="B337" s="3" t="s">
        <v>119</v>
      </c>
      <c r="C337" s="3" t="s">
        <v>350</v>
      </c>
      <c r="D337" s="5">
        <v>52000.0</v>
      </c>
      <c r="E337" s="4"/>
      <c r="F337" s="4"/>
      <c r="G337" s="4">
        <v>5176794.589999914</v>
      </c>
      <c r="H337" s="4"/>
      <c r="I337" s="6" t="s">
        <v>10</v>
      </c>
    </row>
    <row r="338">
      <c r="A338" s="1">
        <v>46281.0</v>
      </c>
      <c r="B338" s="3" t="s">
        <v>119</v>
      </c>
      <c r="C338" s="3" t="s">
        <v>350</v>
      </c>
      <c r="D338" s="5">
        <v>27000.0</v>
      </c>
      <c r="E338" s="4"/>
      <c r="F338" s="4"/>
      <c r="G338" s="4">
        <v>5149794.589999914</v>
      </c>
      <c r="H338" s="4"/>
      <c r="I338" s="6" t="s">
        <v>10</v>
      </c>
    </row>
    <row r="339">
      <c r="A339" s="1">
        <v>46281.0</v>
      </c>
      <c r="B339" s="3" t="s">
        <v>4</v>
      </c>
      <c r="C339" s="3" t="s">
        <v>351</v>
      </c>
      <c r="D339" s="5">
        <v>849200.0</v>
      </c>
      <c r="E339" s="4"/>
      <c r="F339" s="5" t="s">
        <v>6</v>
      </c>
      <c r="G339" s="4">
        <v>4300594.589999914</v>
      </c>
      <c r="H339" s="4"/>
      <c r="I339" s="6" t="s">
        <v>10</v>
      </c>
    </row>
    <row r="340">
      <c r="A340" s="1">
        <v>46281.0</v>
      </c>
      <c r="B340" s="3" t="s">
        <v>24</v>
      </c>
      <c r="C340" s="3" t="s">
        <v>352</v>
      </c>
      <c r="D340" s="5"/>
      <c r="E340" s="5">
        <v>6.0E7</v>
      </c>
      <c r="F340" s="5" t="s">
        <v>3</v>
      </c>
      <c r="G340" s="4">
        <v>6.4300594589999914E7</v>
      </c>
      <c r="H340" s="5">
        <v>6.430059459E7</v>
      </c>
      <c r="I340" s="6" t="s">
        <v>10</v>
      </c>
    </row>
    <row r="341">
      <c r="A341" s="1">
        <v>46281.0</v>
      </c>
      <c r="B341" s="3" t="s">
        <v>4</v>
      </c>
      <c r="C341" s="3" t="s">
        <v>353</v>
      </c>
      <c r="D341" s="5">
        <v>2.418474E7</v>
      </c>
      <c r="E341" s="4"/>
      <c r="F341" s="5" t="s">
        <v>6</v>
      </c>
      <c r="G341" s="4">
        <v>4.0115854589999914E7</v>
      </c>
      <c r="H341" s="5">
        <v>4.011585459E7</v>
      </c>
      <c r="I341" s="6" t="s">
        <v>10</v>
      </c>
    </row>
    <row r="342">
      <c r="A342" s="1">
        <v>46281.0</v>
      </c>
      <c r="B342" s="3" t="s">
        <v>4</v>
      </c>
      <c r="C342" s="3" t="s">
        <v>354</v>
      </c>
      <c r="D342" s="5">
        <v>4.0E7</v>
      </c>
      <c r="E342" s="4"/>
      <c r="F342" s="5" t="s">
        <v>6</v>
      </c>
      <c r="G342" s="4">
        <v>115854.58999991417</v>
      </c>
      <c r="H342" s="4"/>
      <c r="I342" s="6" t="s">
        <v>10</v>
      </c>
    </row>
    <row r="343">
      <c r="A343" s="1">
        <v>46281.0</v>
      </c>
      <c r="B343" s="3" t="s">
        <v>24</v>
      </c>
      <c r="C343" s="3" t="s">
        <v>355</v>
      </c>
      <c r="D343" s="5"/>
      <c r="E343" s="5">
        <v>1.0E8</v>
      </c>
      <c r="F343" s="5" t="s">
        <v>3</v>
      </c>
      <c r="G343" s="4">
        <v>1.0011585458999991E8</v>
      </c>
      <c r="H343" s="4"/>
      <c r="I343" s="6" t="s">
        <v>10</v>
      </c>
    </row>
    <row r="344">
      <c r="A344" s="1">
        <v>46281.0</v>
      </c>
      <c r="B344" s="3" t="s">
        <v>24</v>
      </c>
      <c r="C344" s="3" t="s">
        <v>356</v>
      </c>
      <c r="D344" s="5"/>
      <c r="E344" s="5">
        <v>6.04728E7</v>
      </c>
      <c r="F344" s="5" t="s">
        <v>3</v>
      </c>
      <c r="G344" s="4">
        <v>1.605886545899999E8</v>
      </c>
      <c r="H344" s="4"/>
      <c r="I344" s="6" t="s">
        <v>10</v>
      </c>
    </row>
    <row r="345">
      <c r="A345" s="1">
        <v>46281.0</v>
      </c>
      <c r="B345" s="3" t="s">
        <v>4</v>
      </c>
      <c r="C345" s="3" t="s">
        <v>357</v>
      </c>
      <c r="D345" s="5">
        <v>1.926345E7</v>
      </c>
      <c r="E345" s="4"/>
      <c r="F345" s="5" t="s">
        <v>6</v>
      </c>
      <c r="G345" s="4">
        <v>1.413252045899999E8</v>
      </c>
      <c r="H345" s="4"/>
      <c r="I345" s="6" t="s">
        <v>10</v>
      </c>
    </row>
    <row r="346">
      <c r="A346" s="1">
        <v>46281.0</v>
      </c>
      <c r="B346" s="3" t="s">
        <v>21</v>
      </c>
      <c r="C346" s="3" t="s">
        <v>358</v>
      </c>
      <c r="D346" s="5">
        <v>100000.0</v>
      </c>
      <c r="E346" s="4"/>
      <c r="F346" s="5" t="s">
        <v>6</v>
      </c>
      <c r="G346" s="4">
        <v>1.412252045899999E8</v>
      </c>
      <c r="H346" s="4"/>
      <c r="I346" s="6" t="s">
        <v>10</v>
      </c>
    </row>
    <row r="347">
      <c r="A347" s="1">
        <v>46281.0</v>
      </c>
      <c r="B347" s="3" t="s">
        <v>21</v>
      </c>
      <c r="C347" s="3" t="s">
        <v>359</v>
      </c>
      <c r="D347" s="5">
        <v>2500.0</v>
      </c>
      <c r="E347" s="4"/>
      <c r="F347" s="5" t="s">
        <v>6</v>
      </c>
      <c r="G347" s="4">
        <v>1.412227045899999E8</v>
      </c>
      <c r="H347" s="4"/>
      <c r="I347" s="6" t="s">
        <v>10</v>
      </c>
    </row>
    <row r="348">
      <c r="A348" s="1">
        <v>46281.0</v>
      </c>
      <c r="B348" s="3" t="s">
        <v>4</v>
      </c>
      <c r="C348" s="3" t="s">
        <v>360</v>
      </c>
      <c r="D348" s="5">
        <v>5.85E7</v>
      </c>
      <c r="E348" s="4"/>
      <c r="F348" s="5" t="s">
        <v>6</v>
      </c>
      <c r="G348" s="4">
        <v>8.272270458999991E7</v>
      </c>
      <c r="H348" s="4"/>
      <c r="I348" s="6" t="s">
        <v>10</v>
      </c>
    </row>
    <row r="349">
      <c r="A349" s="1">
        <v>46281.0</v>
      </c>
      <c r="B349" s="3" t="s">
        <v>4</v>
      </c>
      <c r="C349" s="3" t="s">
        <v>361</v>
      </c>
      <c r="D349" s="5">
        <v>2075830.0</v>
      </c>
      <c r="E349" s="4"/>
      <c r="F349" s="5" t="s">
        <v>6</v>
      </c>
      <c r="G349" s="4">
        <v>8.064687458999991E7</v>
      </c>
      <c r="H349" s="5">
        <v>8.064687459E7</v>
      </c>
      <c r="I349" s="6" t="s">
        <v>10</v>
      </c>
    </row>
    <row r="350">
      <c r="A350" s="1">
        <v>46282.0</v>
      </c>
      <c r="B350" s="3" t="s">
        <v>362</v>
      </c>
      <c r="C350" s="3" t="s">
        <v>363</v>
      </c>
      <c r="D350" s="5"/>
      <c r="E350" s="5">
        <v>1.4103163E8</v>
      </c>
      <c r="F350" s="5" t="s">
        <v>3</v>
      </c>
      <c r="G350" s="4">
        <v>2.216785045899999E8</v>
      </c>
      <c r="H350" s="4"/>
      <c r="I350" s="6" t="s">
        <v>10</v>
      </c>
    </row>
    <row r="351">
      <c r="A351" s="1">
        <v>46282.0</v>
      </c>
      <c r="B351" s="3" t="s">
        <v>362</v>
      </c>
      <c r="C351" s="3" t="s">
        <v>364</v>
      </c>
      <c r="D351" s="5"/>
      <c r="E351" s="5">
        <v>7.0E7</v>
      </c>
      <c r="F351" s="5" t="s">
        <v>3</v>
      </c>
      <c r="G351" s="4">
        <v>2.916785045899999E8</v>
      </c>
      <c r="H351" s="4"/>
      <c r="I351" s="6" t="s">
        <v>10</v>
      </c>
    </row>
    <row r="352">
      <c r="A352" s="1">
        <v>46282.0</v>
      </c>
      <c r="B352" s="3" t="s">
        <v>4</v>
      </c>
      <c r="C352" s="3" t="s">
        <v>365</v>
      </c>
      <c r="D352" s="5">
        <v>1.356579E8</v>
      </c>
      <c r="E352" s="4"/>
      <c r="F352" s="5" t="s">
        <v>6</v>
      </c>
      <c r="G352" s="4">
        <v>1.560206045899999E8</v>
      </c>
      <c r="H352" s="4"/>
      <c r="I352" s="6" t="s">
        <v>10</v>
      </c>
    </row>
    <row r="353">
      <c r="A353" s="1">
        <v>46282.0</v>
      </c>
      <c r="B353" s="3" t="s">
        <v>4</v>
      </c>
      <c r="C353" s="3" t="s">
        <v>366</v>
      </c>
      <c r="D353" s="5">
        <v>3181800.0</v>
      </c>
      <c r="E353" s="4"/>
      <c r="F353" s="5" t="s">
        <v>6</v>
      </c>
      <c r="G353" s="4">
        <v>1.528388045899999E8</v>
      </c>
      <c r="H353" s="5">
        <v>1.5283880459E8</v>
      </c>
      <c r="I353" s="6" t="s">
        <v>10</v>
      </c>
    </row>
    <row r="354">
      <c r="A354" s="1">
        <v>46282.0</v>
      </c>
      <c r="B354" s="3" t="s">
        <v>4</v>
      </c>
      <c r="C354" s="3" t="s">
        <v>367</v>
      </c>
      <c r="D354" s="5">
        <v>1.203E8</v>
      </c>
      <c r="E354" s="4"/>
      <c r="F354" s="5" t="s">
        <v>6</v>
      </c>
      <c r="G354" s="4">
        <v>3.2538804589999914E7</v>
      </c>
      <c r="H354" s="5">
        <v>3.253880459E7</v>
      </c>
      <c r="I354" s="6" t="s">
        <v>10</v>
      </c>
    </row>
    <row r="355">
      <c r="A355" s="1">
        <v>46282.0</v>
      </c>
      <c r="B355" s="3" t="s">
        <v>4</v>
      </c>
      <c r="C355" s="3" t="s">
        <v>368</v>
      </c>
      <c r="D355" s="5">
        <v>3.222985E7</v>
      </c>
      <c r="E355" s="4"/>
      <c r="F355" s="5" t="s">
        <v>6</v>
      </c>
      <c r="G355" s="4">
        <v>308954.58999991417</v>
      </c>
      <c r="H355" s="4"/>
      <c r="I355" s="6" t="s">
        <v>10</v>
      </c>
    </row>
    <row r="356">
      <c r="A356" s="1">
        <v>46282.0</v>
      </c>
      <c r="B356" s="3" t="s">
        <v>369</v>
      </c>
      <c r="C356" s="3" t="s">
        <v>369</v>
      </c>
      <c r="D356" s="5">
        <v>250000.0</v>
      </c>
      <c r="E356" s="4"/>
      <c r="F356" s="4"/>
      <c r="G356" s="4">
        <v>58954.58999991417</v>
      </c>
      <c r="H356" s="4"/>
      <c r="I356" s="6" t="s">
        <v>10</v>
      </c>
    </row>
    <row r="357">
      <c r="A357" s="1">
        <v>46282.0</v>
      </c>
      <c r="B357" s="3" t="s">
        <v>24</v>
      </c>
      <c r="C357" s="3" t="s">
        <v>370</v>
      </c>
      <c r="D357" s="5"/>
      <c r="E357" s="5">
        <v>5.748E7</v>
      </c>
      <c r="F357" s="5" t="s">
        <v>3</v>
      </c>
      <c r="G357" s="4">
        <v>5.7538954589999914E7</v>
      </c>
      <c r="H357" s="5">
        <v>5.753895459E7</v>
      </c>
      <c r="I357" s="6" t="s">
        <v>10</v>
      </c>
    </row>
    <row r="358">
      <c r="A358" s="1">
        <v>46283.0</v>
      </c>
      <c r="B358" s="3" t="s">
        <v>371</v>
      </c>
      <c r="C358" s="3" t="s">
        <v>372</v>
      </c>
      <c r="D358" s="5">
        <v>2.0E7</v>
      </c>
      <c r="E358" s="4"/>
      <c r="F358" s="5" t="s">
        <v>6</v>
      </c>
      <c r="G358" s="4">
        <v>3.7538954589999914E7</v>
      </c>
      <c r="H358" s="4"/>
      <c r="I358" s="6" t="s">
        <v>44</v>
      </c>
    </row>
    <row r="359">
      <c r="A359" s="1">
        <v>46283.0</v>
      </c>
      <c r="B359" s="3" t="s">
        <v>371</v>
      </c>
      <c r="C359" s="3" t="s">
        <v>373</v>
      </c>
      <c r="D359" s="5">
        <v>3.74244E7</v>
      </c>
      <c r="E359" s="4"/>
      <c r="F359" s="5" t="s">
        <v>6</v>
      </c>
      <c r="G359" s="4">
        <v>114554.58999991417</v>
      </c>
      <c r="H359" s="4"/>
      <c r="I359" s="6" t="s">
        <v>44</v>
      </c>
    </row>
    <row r="360">
      <c r="A360" s="1">
        <v>46283.0</v>
      </c>
      <c r="B360" s="3" t="s">
        <v>24</v>
      </c>
      <c r="C360" s="3" t="s">
        <v>374</v>
      </c>
      <c r="D360" s="5"/>
      <c r="E360" s="5">
        <v>1.2797875E8</v>
      </c>
      <c r="F360" s="5" t="s">
        <v>3</v>
      </c>
      <c r="G360" s="4">
        <v>1.2809330458999991E8</v>
      </c>
      <c r="H360" s="4"/>
      <c r="I360" s="6" t="s">
        <v>44</v>
      </c>
    </row>
    <row r="361">
      <c r="A361" s="1">
        <v>46283.0</v>
      </c>
      <c r="B361" s="3" t="s">
        <v>4</v>
      </c>
      <c r="C361" s="3" t="s">
        <v>375</v>
      </c>
      <c r="D361" s="5">
        <v>1.23E8</v>
      </c>
      <c r="E361" s="4"/>
      <c r="F361" s="5" t="s">
        <v>6</v>
      </c>
      <c r="G361" s="4">
        <v>5093304.589999914</v>
      </c>
      <c r="H361" s="4"/>
      <c r="I361" s="6" t="s">
        <v>44</v>
      </c>
    </row>
    <row r="362">
      <c r="A362" s="1">
        <v>46283.0</v>
      </c>
      <c r="B362" s="3" t="s">
        <v>4</v>
      </c>
      <c r="C362" s="3" t="s">
        <v>376</v>
      </c>
      <c r="D362" s="5">
        <v>5000000.0</v>
      </c>
      <c r="E362" s="4"/>
      <c r="F362" s="5" t="s">
        <v>6</v>
      </c>
      <c r="G362" s="4">
        <v>93304.58999991417</v>
      </c>
      <c r="H362" s="4"/>
      <c r="I362" s="6" t="s">
        <v>44</v>
      </c>
    </row>
    <row r="363">
      <c r="A363" s="1">
        <v>46283.0</v>
      </c>
      <c r="B363" s="3" t="s">
        <v>24</v>
      </c>
      <c r="C363" s="3" t="s">
        <v>377</v>
      </c>
      <c r="D363" s="5"/>
      <c r="E363" s="5">
        <v>6.86E7</v>
      </c>
      <c r="F363" s="5" t="s">
        <v>3</v>
      </c>
      <c r="G363" s="4">
        <v>6.869330458999991E7</v>
      </c>
      <c r="H363" s="4"/>
      <c r="I363" s="6" t="s">
        <v>44</v>
      </c>
    </row>
    <row r="364">
      <c r="A364" s="1">
        <v>46283.0</v>
      </c>
      <c r="B364" s="3" t="s">
        <v>4</v>
      </c>
      <c r="C364" s="3" t="s">
        <v>378</v>
      </c>
      <c r="D364" s="5">
        <v>2.0E7</v>
      </c>
      <c r="E364" s="4"/>
      <c r="F364" s="5" t="s">
        <v>6</v>
      </c>
      <c r="G364" s="4">
        <v>4.8693304589999914E7</v>
      </c>
      <c r="H364" s="4"/>
      <c r="I364" s="6" t="s">
        <v>44</v>
      </c>
    </row>
    <row r="365">
      <c r="A365" s="1">
        <v>46283.0</v>
      </c>
      <c r="B365" s="3" t="s">
        <v>4</v>
      </c>
      <c r="C365" s="3" t="s">
        <v>379</v>
      </c>
      <c r="D365" s="5">
        <v>2300000.0</v>
      </c>
      <c r="E365" s="4"/>
      <c r="F365" s="5" t="s">
        <v>6</v>
      </c>
      <c r="G365" s="4">
        <v>4.6393304589999914E7</v>
      </c>
      <c r="H365" s="4"/>
      <c r="I365" s="6" t="s">
        <v>44</v>
      </c>
    </row>
    <row r="366">
      <c r="A366" s="1">
        <v>46283.0</v>
      </c>
      <c r="B366" s="3" t="s">
        <v>21</v>
      </c>
      <c r="C366" s="3" t="s">
        <v>380</v>
      </c>
      <c r="D366" s="5">
        <v>1525000.0</v>
      </c>
      <c r="E366" s="4"/>
      <c r="F366" s="5" t="s">
        <v>6</v>
      </c>
      <c r="G366" s="4">
        <v>4.4868304589999914E7</v>
      </c>
      <c r="H366" s="5">
        <v>4.486830459E7</v>
      </c>
      <c r="I366" s="6" t="s">
        <v>44</v>
      </c>
    </row>
    <row r="367">
      <c r="A367" s="1">
        <v>46283.0</v>
      </c>
      <c r="B367" s="3" t="s">
        <v>21</v>
      </c>
      <c r="C367" s="3" t="s">
        <v>381</v>
      </c>
      <c r="D367" s="5">
        <v>2500.0</v>
      </c>
      <c r="E367" s="4"/>
      <c r="F367" s="5" t="s">
        <v>6</v>
      </c>
      <c r="G367" s="4">
        <v>4.4865804589999914E7</v>
      </c>
      <c r="H367" s="5">
        <v>4.486580459E7</v>
      </c>
      <c r="I367" s="6" t="s">
        <v>10</v>
      </c>
    </row>
    <row r="368">
      <c r="A368" s="1">
        <v>46283.0</v>
      </c>
      <c r="B368" s="3" t="s">
        <v>24</v>
      </c>
      <c r="C368" s="3" t="s">
        <v>382</v>
      </c>
      <c r="D368" s="5"/>
      <c r="E368" s="5">
        <v>5.661366E7</v>
      </c>
      <c r="F368" s="5" t="s">
        <v>3</v>
      </c>
      <c r="G368" s="4">
        <v>1.0147946458999991E8</v>
      </c>
      <c r="H368" s="4"/>
      <c r="I368" s="6" t="s">
        <v>10</v>
      </c>
    </row>
    <row r="369">
      <c r="A369" s="1">
        <v>46283.0</v>
      </c>
      <c r="B369" s="3" t="s">
        <v>24</v>
      </c>
      <c r="C369" s="3" t="s">
        <v>383</v>
      </c>
      <c r="D369" s="5"/>
      <c r="E369" s="5">
        <v>1500000.0</v>
      </c>
      <c r="F369" s="5" t="s">
        <v>3</v>
      </c>
      <c r="G369" s="4">
        <v>1.0297946458999991E8</v>
      </c>
      <c r="H369" s="4"/>
      <c r="I369" s="6" t="s">
        <v>44</v>
      </c>
    </row>
    <row r="370">
      <c r="A370" s="1">
        <v>46283.0</v>
      </c>
      <c r="B370" s="3" t="s">
        <v>4</v>
      </c>
      <c r="C370" s="3" t="s">
        <v>384</v>
      </c>
      <c r="D370" s="5">
        <v>6.494075E7</v>
      </c>
      <c r="E370" s="4"/>
      <c r="F370" s="5" t="s">
        <v>6</v>
      </c>
      <c r="G370" s="4">
        <v>3.8038714589999914E7</v>
      </c>
      <c r="H370" s="4"/>
      <c r="I370" s="6" t="s">
        <v>10</v>
      </c>
    </row>
    <row r="371">
      <c r="A371" s="1">
        <v>46283.0</v>
      </c>
      <c r="B371" s="3" t="s">
        <v>24</v>
      </c>
      <c r="C371" s="3" t="s">
        <v>385</v>
      </c>
      <c r="D371" s="5"/>
      <c r="E371" s="5">
        <v>2.1614142E8</v>
      </c>
      <c r="F371" s="5" t="s">
        <v>3</v>
      </c>
      <c r="G371" s="4">
        <v>2.541801345899999E8</v>
      </c>
      <c r="H371" s="4"/>
      <c r="I371" s="6" t="s">
        <v>44</v>
      </c>
    </row>
    <row r="372">
      <c r="A372" s="1">
        <v>46283.0</v>
      </c>
      <c r="B372" s="3" t="s">
        <v>4</v>
      </c>
      <c r="C372" s="3" t="s">
        <v>386</v>
      </c>
      <c r="D372" s="5">
        <v>6.579E7</v>
      </c>
      <c r="E372" s="4"/>
      <c r="F372" s="5" t="s">
        <v>6</v>
      </c>
      <c r="G372" s="4">
        <v>1.883901345899999E8</v>
      </c>
      <c r="H372" s="4"/>
      <c r="I372" s="6" t="s">
        <v>44</v>
      </c>
    </row>
    <row r="373">
      <c r="A373" s="1">
        <v>46283.0</v>
      </c>
      <c r="B373" s="3" t="s">
        <v>4</v>
      </c>
      <c r="C373" s="3" t="s">
        <v>387</v>
      </c>
      <c r="D373" s="5">
        <v>6.6143E7</v>
      </c>
      <c r="E373" s="4"/>
      <c r="F373" s="5" t="s">
        <v>6</v>
      </c>
      <c r="G373" s="4">
        <v>1.2224713458999991E8</v>
      </c>
      <c r="H373" s="4"/>
      <c r="I373" s="6" t="s">
        <v>44</v>
      </c>
    </row>
    <row r="374">
      <c r="A374" s="1">
        <v>46283.0</v>
      </c>
      <c r="B374" s="3" t="s">
        <v>4</v>
      </c>
      <c r="C374" s="3" t="s">
        <v>388</v>
      </c>
      <c r="D374" s="5">
        <v>3.796765E7</v>
      </c>
      <c r="E374" s="4"/>
      <c r="F374" s="5" t="s">
        <v>6</v>
      </c>
      <c r="G374" s="4">
        <v>8.427948458999991E7</v>
      </c>
      <c r="H374" s="4"/>
      <c r="I374" s="6" t="s">
        <v>44</v>
      </c>
    </row>
    <row r="375">
      <c r="A375" s="1">
        <v>46283.0</v>
      </c>
      <c r="B375" s="3" t="s">
        <v>4</v>
      </c>
      <c r="C375" s="3" t="s">
        <v>389</v>
      </c>
      <c r="D375" s="5">
        <v>2.0E7</v>
      </c>
      <c r="E375" s="4"/>
      <c r="F375" s="5" t="s">
        <v>6</v>
      </c>
      <c r="G375" s="4">
        <v>6.4279484589999914E7</v>
      </c>
      <c r="H375" s="4"/>
      <c r="I375" s="6" t="s">
        <v>44</v>
      </c>
    </row>
    <row r="376">
      <c r="A376" s="1">
        <v>46283.0</v>
      </c>
      <c r="B376" s="3" t="s">
        <v>4</v>
      </c>
      <c r="C376" s="3" t="s">
        <v>390</v>
      </c>
      <c r="D376" s="5">
        <v>5.41518E7</v>
      </c>
      <c r="E376" s="4"/>
      <c r="F376" s="5" t="s">
        <v>6</v>
      </c>
      <c r="G376" s="4">
        <v>1.0127684589999914E7</v>
      </c>
      <c r="H376" s="4"/>
      <c r="I376" s="6" t="s">
        <v>44</v>
      </c>
    </row>
    <row r="377">
      <c r="A377" s="1">
        <v>46283.0</v>
      </c>
      <c r="B377" s="3" t="s">
        <v>4</v>
      </c>
      <c r="C377" s="3" t="s">
        <v>391</v>
      </c>
      <c r="D377" s="5">
        <v>1800000.0</v>
      </c>
      <c r="E377" s="4"/>
      <c r="F377" s="5" t="s">
        <v>6</v>
      </c>
      <c r="G377" s="4">
        <v>8327684.589999914</v>
      </c>
      <c r="H377" s="4"/>
      <c r="I377" s="6" t="s">
        <v>44</v>
      </c>
    </row>
    <row r="378">
      <c r="A378" s="1">
        <v>46283.0</v>
      </c>
      <c r="B378" s="3" t="s">
        <v>4</v>
      </c>
      <c r="C378" s="3" t="s">
        <v>392</v>
      </c>
      <c r="D378" s="5">
        <v>7664910.0</v>
      </c>
      <c r="E378" s="4"/>
      <c r="F378" s="5" t="s">
        <v>6</v>
      </c>
      <c r="G378" s="4">
        <v>662774.5899999142</v>
      </c>
      <c r="H378" s="4"/>
      <c r="I378" s="6" t="s">
        <v>44</v>
      </c>
    </row>
    <row r="379">
      <c r="A379" s="1">
        <v>46283.0</v>
      </c>
      <c r="B379" s="3" t="s">
        <v>24</v>
      </c>
      <c r="C379" s="3" t="s">
        <v>393</v>
      </c>
      <c r="D379" s="5"/>
      <c r="E379" s="5">
        <v>1.0E8</v>
      </c>
      <c r="F379" s="5" t="s">
        <v>3</v>
      </c>
      <c r="G379" s="4">
        <v>1.0066277458999991E8</v>
      </c>
      <c r="H379" s="5">
        <v>1.0066277459E8</v>
      </c>
      <c r="I379" s="6" t="s">
        <v>44</v>
      </c>
    </row>
    <row r="380">
      <c r="A380" s="1">
        <v>46283.0</v>
      </c>
      <c r="B380" s="3" t="s">
        <v>4</v>
      </c>
      <c r="C380" s="3" t="s">
        <v>394</v>
      </c>
      <c r="D380" s="5">
        <v>1.749628E7</v>
      </c>
      <c r="E380" s="4"/>
      <c r="F380" s="5" t="s">
        <v>6</v>
      </c>
      <c r="G380" s="4">
        <v>8.316649458999991E7</v>
      </c>
      <c r="H380" s="5">
        <v>8.316649459E7</v>
      </c>
      <c r="I380" s="6" t="s">
        <v>44</v>
      </c>
    </row>
    <row r="381">
      <c r="A381" s="1">
        <v>46283.0</v>
      </c>
      <c r="B381" s="3" t="s">
        <v>24</v>
      </c>
      <c r="C381" s="3" t="s">
        <v>395</v>
      </c>
      <c r="D381" s="5"/>
      <c r="E381" s="5">
        <v>3.0697695E8</v>
      </c>
      <c r="F381" s="5" t="s">
        <v>3</v>
      </c>
      <c r="G381" s="4">
        <v>3.901434445899999E8</v>
      </c>
      <c r="H381" s="4"/>
      <c r="I381" s="6" t="s">
        <v>44</v>
      </c>
    </row>
    <row r="382">
      <c r="A382" s="1">
        <v>46283.0</v>
      </c>
      <c r="B382" s="3" t="s">
        <v>24</v>
      </c>
      <c r="C382" s="3" t="s">
        <v>396</v>
      </c>
      <c r="D382" s="5"/>
      <c r="E382" s="5">
        <v>300000.0</v>
      </c>
      <c r="F382" s="5" t="s">
        <v>3</v>
      </c>
      <c r="G382" s="4">
        <v>3.904434445899999E8</v>
      </c>
      <c r="H382" s="4"/>
      <c r="I382" s="6" t="s">
        <v>44</v>
      </c>
    </row>
    <row r="383">
      <c r="A383" s="1">
        <v>46283.0</v>
      </c>
      <c r="B383" s="3" t="s">
        <v>4</v>
      </c>
      <c r="C383" s="3" t="s">
        <v>397</v>
      </c>
      <c r="D383" s="5">
        <v>1.9457375E8</v>
      </c>
      <c r="E383" s="4"/>
      <c r="F383" s="5" t="s">
        <v>6</v>
      </c>
      <c r="G383" s="4">
        <v>1.958696945899999E8</v>
      </c>
      <c r="H383" s="4"/>
      <c r="I383" s="6" t="s">
        <v>44</v>
      </c>
    </row>
    <row r="384">
      <c r="A384" s="1">
        <v>46283.0</v>
      </c>
      <c r="B384" s="3" t="s">
        <v>4</v>
      </c>
      <c r="C384" s="3" t="s">
        <v>398</v>
      </c>
      <c r="D384" s="5">
        <v>1.4145054E8</v>
      </c>
      <c r="E384" s="4"/>
      <c r="F384" s="5" t="s">
        <v>6</v>
      </c>
      <c r="G384" s="4">
        <v>5.4419154589999914E7</v>
      </c>
      <c r="H384" s="4"/>
      <c r="I384" s="6" t="s">
        <v>44</v>
      </c>
    </row>
    <row r="385">
      <c r="A385" s="1">
        <v>46283.0</v>
      </c>
      <c r="B385" s="3" t="s">
        <v>24</v>
      </c>
      <c r="C385" s="3" t="s">
        <v>399</v>
      </c>
      <c r="D385" s="5"/>
      <c r="E385" s="5">
        <v>6000000.0</v>
      </c>
      <c r="F385" s="5" t="s">
        <v>3</v>
      </c>
      <c r="G385" s="4">
        <v>6.0419154589999914E7</v>
      </c>
      <c r="H385" s="4"/>
      <c r="I385" s="6" t="s">
        <v>44</v>
      </c>
    </row>
    <row r="386">
      <c r="A386" s="1">
        <v>46283.0</v>
      </c>
      <c r="B386" s="3" t="s">
        <v>4</v>
      </c>
      <c r="C386" s="3" t="s">
        <v>400</v>
      </c>
      <c r="D386" s="5">
        <v>5.85111E7</v>
      </c>
      <c r="E386" s="4"/>
      <c r="F386" s="5" t="s">
        <v>6</v>
      </c>
      <c r="G386" s="4">
        <v>1908054.5899999142</v>
      </c>
      <c r="H386" s="5">
        <v>1908054.59</v>
      </c>
      <c r="I386" s="6" t="s">
        <v>44</v>
      </c>
    </row>
    <row r="387">
      <c r="A387" s="1">
        <v>46284.0</v>
      </c>
      <c r="B387" s="3" t="s">
        <v>401</v>
      </c>
      <c r="C387" s="3" t="s">
        <v>402</v>
      </c>
      <c r="D387" s="5">
        <v>1854500.0</v>
      </c>
      <c r="E387" s="4"/>
      <c r="F387" s="5" t="s">
        <v>6</v>
      </c>
      <c r="G387" s="4">
        <v>53554.58999991417</v>
      </c>
      <c r="H387" s="4"/>
      <c r="I387" s="6" t="s">
        <v>44</v>
      </c>
    </row>
    <row r="388">
      <c r="A388" s="1">
        <v>46284.0</v>
      </c>
      <c r="B388" s="3" t="s">
        <v>24</v>
      </c>
      <c r="C388" s="3" t="s">
        <v>403</v>
      </c>
      <c r="D388" s="5"/>
      <c r="E388" s="5">
        <v>2.07543E8</v>
      </c>
      <c r="F388" s="5" t="s">
        <v>3</v>
      </c>
      <c r="G388" s="4">
        <v>2.075965545899999E8</v>
      </c>
      <c r="H388" s="4"/>
      <c r="I388" s="6" t="s">
        <v>44</v>
      </c>
    </row>
    <row r="389">
      <c r="A389" s="1">
        <v>46284.0</v>
      </c>
      <c r="B389" s="3" t="s">
        <v>4</v>
      </c>
      <c r="C389" s="3" t="s">
        <v>404</v>
      </c>
      <c r="D389" s="5">
        <v>6.602783E7</v>
      </c>
      <c r="E389" s="4"/>
      <c r="F389" s="5" t="s">
        <v>6</v>
      </c>
      <c r="G389" s="4">
        <v>1.415687245899999E8</v>
      </c>
      <c r="H389" s="4"/>
      <c r="I389" s="6" t="s">
        <v>44</v>
      </c>
    </row>
    <row r="390">
      <c r="A390" s="1">
        <v>46284.0</v>
      </c>
      <c r="B390" s="3" t="s">
        <v>4</v>
      </c>
      <c r="C390" s="3" t="s">
        <v>405</v>
      </c>
      <c r="D390" s="5">
        <v>6.207E7</v>
      </c>
      <c r="E390" s="4"/>
      <c r="F390" s="5" t="s">
        <v>6</v>
      </c>
      <c r="G390" s="4">
        <v>7.949872458999991E7</v>
      </c>
      <c r="H390" s="4"/>
      <c r="I390" s="6" t="s">
        <v>44</v>
      </c>
    </row>
    <row r="391">
      <c r="A391" s="1">
        <v>46284.0</v>
      </c>
      <c r="B391" s="3" t="s">
        <v>24</v>
      </c>
      <c r="C391" s="3" t="s">
        <v>406</v>
      </c>
      <c r="D391" s="5"/>
      <c r="E391" s="5">
        <v>1.241348E8</v>
      </c>
      <c r="F391" s="5" t="s">
        <v>3</v>
      </c>
      <c r="G391" s="4">
        <v>2.036335245899999E8</v>
      </c>
      <c r="H391" s="4"/>
      <c r="I391" s="6" t="s">
        <v>44</v>
      </c>
    </row>
    <row r="392">
      <c r="A392" s="1">
        <v>46284.0</v>
      </c>
      <c r="B392" s="3" t="s">
        <v>4</v>
      </c>
      <c r="C392" s="3" t="s">
        <v>407</v>
      </c>
      <c r="D392" s="5">
        <v>7736000.0</v>
      </c>
      <c r="E392" s="4"/>
      <c r="F392" s="5" t="s">
        <v>6</v>
      </c>
      <c r="G392" s="4">
        <v>1.958975245899999E8</v>
      </c>
      <c r="H392" s="4"/>
      <c r="I392" s="6" t="s">
        <v>44</v>
      </c>
    </row>
    <row r="393">
      <c r="A393" s="1">
        <v>46284.0</v>
      </c>
      <c r="B393" s="3" t="s">
        <v>4</v>
      </c>
      <c r="C393" s="3" t="s">
        <v>408</v>
      </c>
      <c r="D393" s="5">
        <v>6.406E7</v>
      </c>
      <c r="E393" s="4"/>
      <c r="F393" s="5" t="s">
        <v>6</v>
      </c>
      <c r="G393" s="4">
        <v>1.3183752458999991E8</v>
      </c>
      <c r="H393" s="5">
        <v>1.3183752459E8</v>
      </c>
      <c r="I393" s="6" t="s">
        <v>44</v>
      </c>
    </row>
    <row r="394">
      <c r="A394" s="1">
        <v>46284.0</v>
      </c>
      <c r="B394" s="3" t="s">
        <v>4</v>
      </c>
      <c r="C394" s="3" t="s">
        <v>409</v>
      </c>
      <c r="D394" s="5">
        <v>6.212525E7</v>
      </c>
      <c r="E394" s="4"/>
      <c r="F394" s="5" t="s">
        <v>6</v>
      </c>
      <c r="G394" s="4">
        <v>6.971227458999991E7</v>
      </c>
      <c r="H394" s="5">
        <v>6.971227459E7</v>
      </c>
      <c r="I394" s="6" t="s">
        <v>44</v>
      </c>
    </row>
    <row r="395">
      <c r="A395" s="1">
        <v>46284.0</v>
      </c>
      <c r="B395" s="3" t="s">
        <v>4</v>
      </c>
      <c r="C395" s="3" t="s">
        <v>410</v>
      </c>
      <c r="D395" s="5">
        <v>4.406E7</v>
      </c>
      <c r="E395" s="4"/>
      <c r="F395" s="5" t="s">
        <v>6</v>
      </c>
      <c r="G395" s="4">
        <v>2.5652274589999914E7</v>
      </c>
      <c r="H395" s="4"/>
      <c r="I395" s="6" t="s">
        <v>44</v>
      </c>
    </row>
    <row r="396">
      <c r="A396" s="1">
        <v>46284.0</v>
      </c>
      <c r="B396" s="3" t="s">
        <v>24</v>
      </c>
      <c r="C396" s="3" t="s">
        <v>411</v>
      </c>
      <c r="D396" s="5"/>
      <c r="E396" s="5">
        <v>1.3815936E8</v>
      </c>
      <c r="F396" s="5" t="s">
        <v>3</v>
      </c>
      <c r="G396" s="4">
        <v>1.638116345899999E8</v>
      </c>
      <c r="H396" s="4"/>
      <c r="I396" s="6" t="s">
        <v>44</v>
      </c>
    </row>
    <row r="397">
      <c r="A397" s="1">
        <v>46284.0</v>
      </c>
      <c r="B397" s="3" t="s">
        <v>412</v>
      </c>
      <c r="C397" s="3" t="s">
        <v>412</v>
      </c>
      <c r="D397" s="5">
        <v>200000.0</v>
      </c>
      <c r="E397" s="4"/>
      <c r="F397" s="4"/>
      <c r="G397" s="4">
        <v>1.636116345899999E8</v>
      </c>
      <c r="H397" s="4"/>
      <c r="I397" s="6" t="s">
        <v>44</v>
      </c>
    </row>
    <row r="398">
      <c r="A398" s="1">
        <v>46284.0</v>
      </c>
      <c r="B398" s="3" t="s">
        <v>24</v>
      </c>
      <c r="C398" s="3" t="s">
        <v>413</v>
      </c>
      <c r="D398" s="5"/>
      <c r="E398" s="5">
        <v>7.448E7</v>
      </c>
      <c r="F398" s="5" t="s">
        <v>3</v>
      </c>
      <c r="G398" s="4">
        <v>2.380916345899999E8</v>
      </c>
      <c r="H398" s="4"/>
      <c r="I398" s="6" t="s">
        <v>44</v>
      </c>
    </row>
    <row r="399">
      <c r="A399" s="1">
        <v>46284.0</v>
      </c>
      <c r="B399" s="3" t="s">
        <v>24</v>
      </c>
      <c r="C399" s="3" t="s">
        <v>414</v>
      </c>
      <c r="D399" s="5"/>
      <c r="E399" s="5">
        <v>1.2E8</v>
      </c>
      <c r="F399" s="5" t="s">
        <v>3</v>
      </c>
      <c r="G399" s="4">
        <v>3.580916345899999E8</v>
      </c>
      <c r="H399" s="4"/>
      <c r="I399" s="6" t="s">
        <v>44</v>
      </c>
    </row>
    <row r="400">
      <c r="A400" s="1">
        <v>46284.0</v>
      </c>
      <c r="B400" s="3" t="s">
        <v>21</v>
      </c>
      <c r="C400" s="3" t="s">
        <v>415</v>
      </c>
      <c r="D400" s="5">
        <v>70000.0</v>
      </c>
      <c r="E400" s="4"/>
      <c r="F400" s="5" t="s">
        <v>6</v>
      </c>
      <c r="G400" s="4">
        <v>3.580216345899999E8</v>
      </c>
      <c r="H400" s="4"/>
      <c r="I400" s="6" t="s">
        <v>44</v>
      </c>
    </row>
    <row r="401">
      <c r="A401" s="1">
        <v>46284.0</v>
      </c>
      <c r="B401" s="3" t="s">
        <v>21</v>
      </c>
      <c r="C401" s="3" t="s">
        <v>416</v>
      </c>
      <c r="D401" s="5">
        <v>2500.0</v>
      </c>
      <c r="E401" s="4"/>
      <c r="F401" s="5" t="s">
        <v>6</v>
      </c>
      <c r="G401" s="4">
        <v>3.580191345899999E8</v>
      </c>
      <c r="H401" s="4"/>
      <c r="I401" s="6" t="s">
        <v>44</v>
      </c>
    </row>
    <row r="402">
      <c r="A402" s="1">
        <v>46284.0</v>
      </c>
      <c r="B402" s="3" t="s">
        <v>24</v>
      </c>
      <c r="C402" s="3" t="s">
        <v>417</v>
      </c>
      <c r="D402" s="5"/>
      <c r="E402" s="5">
        <v>1.189217E8</v>
      </c>
      <c r="F402" s="5" t="s">
        <v>3</v>
      </c>
      <c r="G402" s="4">
        <v>4.769408345899999E8</v>
      </c>
      <c r="H402" s="4"/>
      <c r="I402" s="6" t="s">
        <v>44</v>
      </c>
    </row>
    <row r="403">
      <c r="A403" s="1">
        <v>46284.0</v>
      </c>
      <c r="B403" s="3" t="s">
        <v>4</v>
      </c>
      <c r="C403" s="3" t="s">
        <v>418</v>
      </c>
      <c r="D403" s="5">
        <v>1.724783E8</v>
      </c>
      <c r="E403" s="4"/>
      <c r="F403" s="5" t="s">
        <v>6</v>
      </c>
      <c r="G403" s="4">
        <v>3.044625345899999E8</v>
      </c>
      <c r="H403" s="4"/>
      <c r="I403" s="6" t="s">
        <v>44</v>
      </c>
    </row>
    <row r="404">
      <c r="A404" s="1">
        <v>46284.0</v>
      </c>
      <c r="B404" s="3" t="s">
        <v>4</v>
      </c>
      <c r="C404" s="3" t="s">
        <v>419</v>
      </c>
      <c r="D404" s="5">
        <v>6.0008E7</v>
      </c>
      <c r="E404" s="4"/>
      <c r="F404" s="5" t="s">
        <v>6</v>
      </c>
      <c r="G404" s="4">
        <v>2.444545345899999E8</v>
      </c>
      <c r="H404" s="4"/>
      <c r="I404" s="6" t="s">
        <v>44</v>
      </c>
    </row>
    <row r="405">
      <c r="A405" s="1">
        <v>46284.0</v>
      </c>
      <c r="B405" s="3" t="s">
        <v>4</v>
      </c>
      <c r="C405" s="3" t="s">
        <v>420</v>
      </c>
      <c r="D405" s="5">
        <v>6000000.0</v>
      </c>
      <c r="E405" s="4"/>
      <c r="F405" s="5" t="s">
        <v>6</v>
      </c>
      <c r="G405" s="4">
        <v>2.384545345899999E8</v>
      </c>
      <c r="H405" s="4"/>
      <c r="I405" s="6" t="s">
        <v>44</v>
      </c>
    </row>
    <row r="406">
      <c r="A406" s="1">
        <v>46284.0</v>
      </c>
      <c r="B406" s="3" t="s">
        <v>4</v>
      </c>
      <c r="C406" s="3" t="s">
        <v>421</v>
      </c>
      <c r="D406" s="5">
        <v>5.619255E7</v>
      </c>
      <c r="E406" s="4"/>
      <c r="F406" s="5" t="s">
        <v>6</v>
      </c>
      <c r="G406" s="4">
        <v>1.822619845899999E8</v>
      </c>
      <c r="H406" s="4"/>
      <c r="I406" s="6" t="s">
        <v>44</v>
      </c>
    </row>
    <row r="407">
      <c r="A407" s="1">
        <v>46284.0</v>
      </c>
      <c r="B407" s="3" t="s">
        <v>24</v>
      </c>
      <c r="C407" s="3" t="s">
        <v>422</v>
      </c>
      <c r="D407" s="5"/>
      <c r="E407" s="5">
        <v>6.0E7</v>
      </c>
      <c r="F407" s="5" t="s">
        <v>3</v>
      </c>
      <c r="G407" s="4">
        <v>2.422619845899999E8</v>
      </c>
      <c r="H407" s="5">
        <v>2.4226198459E8</v>
      </c>
      <c r="I407" s="6" t="s">
        <v>44</v>
      </c>
    </row>
    <row r="408">
      <c r="A408" s="1">
        <v>46284.0</v>
      </c>
      <c r="B408" s="3" t="s">
        <v>4</v>
      </c>
      <c r="C408" s="3" t="s">
        <v>423</v>
      </c>
      <c r="D408" s="5">
        <v>1.856907E8</v>
      </c>
      <c r="E408" s="4"/>
      <c r="F408" s="5" t="s">
        <v>6</v>
      </c>
      <c r="G408" s="4">
        <v>5.6571284589999914E7</v>
      </c>
      <c r="H408" s="5">
        <v>5.657128459E7</v>
      </c>
      <c r="I408" s="6" t="s">
        <v>44</v>
      </c>
    </row>
    <row r="409">
      <c r="A409" s="1">
        <v>46284.0</v>
      </c>
      <c r="B409" s="3" t="s">
        <v>4</v>
      </c>
      <c r="C409" s="3" t="s">
        <v>424</v>
      </c>
      <c r="D409" s="5">
        <v>8071505.0</v>
      </c>
      <c r="E409" s="4"/>
      <c r="F409" s="5" t="s">
        <v>6</v>
      </c>
      <c r="G409" s="4">
        <v>4.8499779589999914E7</v>
      </c>
      <c r="H409" s="4"/>
      <c r="I409" s="6" t="s">
        <v>44</v>
      </c>
    </row>
    <row r="410">
      <c r="A410" s="1">
        <v>46284.0</v>
      </c>
      <c r="B410" s="3" t="s">
        <v>4</v>
      </c>
      <c r="C410" s="3" t="s">
        <v>425</v>
      </c>
      <c r="D410" s="5">
        <v>3731890.0</v>
      </c>
      <c r="E410" s="4"/>
      <c r="F410" s="5" t="s">
        <v>6</v>
      </c>
      <c r="G410" s="4">
        <v>4.4767889589999914E7</v>
      </c>
      <c r="H410" s="4"/>
      <c r="I410" s="6" t="s">
        <v>44</v>
      </c>
    </row>
    <row r="411">
      <c r="A411" s="1">
        <v>46284.0</v>
      </c>
      <c r="B411" s="3" t="s">
        <v>4</v>
      </c>
      <c r="C411" s="3" t="s">
        <v>426</v>
      </c>
      <c r="D411" s="5">
        <v>5257340.0</v>
      </c>
      <c r="E411" s="4"/>
      <c r="F411" s="5" t="s">
        <v>6</v>
      </c>
      <c r="G411" s="4">
        <v>3.9510549589999914E7</v>
      </c>
      <c r="H411" s="4"/>
      <c r="I411" s="6" t="s">
        <v>44</v>
      </c>
    </row>
    <row r="412">
      <c r="A412" s="1">
        <v>46284.0</v>
      </c>
      <c r="B412" s="3" t="s">
        <v>4</v>
      </c>
      <c r="C412" s="3" t="s">
        <v>427</v>
      </c>
      <c r="D412" s="5">
        <v>7336900.0</v>
      </c>
      <c r="E412" s="4"/>
      <c r="F412" s="5" t="s">
        <v>6</v>
      </c>
      <c r="G412" s="4">
        <v>3.2173649589999914E7</v>
      </c>
      <c r="H412" s="4"/>
      <c r="I412" s="6" t="s">
        <v>44</v>
      </c>
    </row>
    <row r="413">
      <c r="A413" s="1">
        <v>46284.0</v>
      </c>
      <c r="B413" s="3" t="s">
        <v>4</v>
      </c>
      <c r="C413" s="3" t="s">
        <v>428</v>
      </c>
      <c r="D413" s="5">
        <v>1000000.0</v>
      </c>
      <c r="E413" s="4"/>
      <c r="F413" s="5" t="s">
        <v>6</v>
      </c>
      <c r="G413" s="4">
        <v>3.1173649589999914E7</v>
      </c>
      <c r="H413" s="4"/>
      <c r="I413" s="6" t="s">
        <v>44</v>
      </c>
    </row>
    <row r="414">
      <c r="A414" s="1">
        <v>46284.0</v>
      </c>
      <c r="B414" s="3" t="s">
        <v>4</v>
      </c>
      <c r="C414" s="3" t="s">
        <v>429</v>
      </c>
      <c r="D414" s="5">
        <v>3000000.0</v>
      </c>
      <c r="E414" s="4"/>
      <c r="F414" s="5" t="s">
        <v>6</v>
      </c>
      <c r="G414" s="4">
        <v>2.8173649589999914E7</v>
      </c>
      <c r="H414" s="4"/>
      <c r="I414" s="6" t="s">
        <v>44</v>
      </c>
    </row>
    <row r="415">
      <c r="A415" s="1">
        <v>46284.0</v>
      </c>
      <c r="B415" s="3" t="s">
        <v>4</v>
      </c>
      <c r="C415" s="3" t="s">
        <v>430</v>
      </c>
      <c r="D415" s="5">
        <v>2100000.0</v>
      </c>
      <c r="E415" s="4"/>
      <c r="F415" s="5" t="s">
        <v>6</v>
      </c>
      <c r="G415" s="4">
        <v>2.6073649589999914E7</v>
      </c>
      <c r="H415" s="5">
        <v>2.607364959E7</v>
      </c>
      <c r="I415" s="6" t="s">
        <v>44</v>
      </c>
    </row>
    <row r="416">
      <c r="A416" s="1">
        <v>46285.0</v>
      </c>
      <c r="B416" s="3" t="s">
        <v>431</v>
      </c>
      <c r="C416" s="3" t="s">
        <v>432</v>
      </c>
      <c r="D416" s="5"/>
      <c r="E416" s="5">
        <v>2.2003414E8</v>
      </c>
      <c r="F416" s="5" t="s">
        <v>3</v>
      </c>
      <c r="G416" s="4">
        <v>2.461077895899999E8</v>
      </c>
      <c r="H416" s="4"/>
      <c r="I416" s="6" t="s">
        <v>44</v>
      </c>
    </row>
    <row r="417">
      <c r="A417" s="1">
        <v>46285.0</v>
      </c>
      <c r="B417" s="3" t="s">
        <v>4</v>
      </c>
      <c r="C417" s="3" t="s">
        <v>433</v>
      </c>
      <c r="D417" s="5">
        <v>5.7E7</v>
      </c>
      <c r="E417" s="4"/>
      <c r="F417" s="5" t="s">
        <v>6</v>
      </c>
      <c r="G417" s="4">
        <v>1.891077895899999E8</v>
      </c>
      <c r="H417" s="4"/>
      <c r="I417" s="6" t="s">
        <v>44</v>
      </c>
    </row>
    <row r="418">
      <c r="A418" s="1">
        <v>46285.0</v>
      </c>
      <c r="B418" s="3" t="s">
        <v>4</v>
      </c>
      <c r="C418" s="3" t="s">
        <v>434</v>
      </c>
      <c r="D418" s="5">
        <v>6.0E7</v>
      </c>
      <c r="E418" s="4"/>
      <c r="F418" s="5" t="s">
        <v>6</v>
      </c>
      <c r="G418" s="4">
        <v>1.2910778958999991E8</v>
      </c>
      <c r="H418" s="4"/>
      <c r="I418" s="6" t="s">
        <v>44</v>
      </c>
    </row>
    <row r="419">
      <c r="A419" s="1">
        <v>46285.0</v>
      </c>
      <c r="B419" s="3" t="s">
        <v>4</v>
      </c>
      <c r="C419" s="3" t="s">
        <v>435</v>
      </c>
      <c r="D419" s="5">
        <v>3.765942E7</v>
      </c>
      <c r="E419" s="4"/>
      <c r="F419" s="5" t="s">
        <v>6</v>
      </c>
      <c r="G419" s="4">
        <v>9.144836958999991E7</v>
      </c>
      <c r="H419" s="4"/>
      <c r="I419" s="6" t="s">
        <v>44</v>
      </c>
    </row>
    <row r="420">
      <c r="A420" s="1">
        <v>46285.0</v>
      </c>
      <c r="B420" s="3" t="s">
        <v>4</v>
      </c>
      <c r="C420" s="3" t="s">
        <v>436</v>
      </c>
      <c r="D420" s="5">
        <v>7.41E7</v>
      </c>
      <c r="E420" s="4"/>
      <c r="F420" s="5" t="s">
        <v>6</v>
      </c>
      <c r="G420" s="4">
        <v>1.7348369589999914E7</v>
      </c>
      <c r="H420" s="4"/>
      <c r="I420" s="6" t="s">
        <v>44</v>
      </c>
    </row>
    <row r="421">
      <c r="A421" s="1">
        <v>46285.0</v>
      </c>
      <c r="B421" s="3" t="s">
        <v>4</v>
      </c>
      <c r="C421" s="3" t="s">
        <v>437</v>
      </c>
      <c r="D421" s="5">
        <v>1300000.0</v>
      </c>
      <c r="E421" s="4"/>
      <c r="F421" s="5" t="s">
        <v>6</v>
      </c>
      <c r="G421" s="4">
        <v>1.6048369589999914E7</v>
      </c>
      <c r="H421" s="5">
        <v>1.604836959E7</v>
      </c>
      <c r="I421" s="6" t="s">
        <v>44</v>
      </c>
    </row>
    <row r="422">
      <c r="A422" s="7">
        <v>46285.0</v>
      </c>
      <c r="B422" s="8" t="s">
        <v>4</v>
      </c>
      <c r="C422" s="8" t="s">
        <v>438</v>
      </c>
      <c r="D422" s="9">
        <v>2960150.0</v>
      </c>
      <c r="E422" s="11"/>
      <c r="F422" s="9" t="s">
        <v>6</v>
      </c>
      <c r="G422" s="11">
        <v>1.3088219589999914E7</v>
      </c>
      <c r="H422" s="9">
        <v>1.308821959E7</v>
      </c>
      <c r="I422" s="6" t="s">
        <v>44</v>
      </c>
    </row>
    <row r="423">
      <c r="A423" s="1">
        <v>46285.0</v>
      </c>
      <c r="B423" s="3" t="s">
        <v>33</v>
      </c>
      <c r="C423" s="3" t="s">
        <v>439</v>
      </c>
      <c r="D423" s="5">
        <v>80900.0</v>
      </c>
      <c r="E423" s="4"/>
      <c r="F423" s="4"/>
      <c r="G423" s="4">
        <v>1.3007319589999914E7</v>
      </c>
      <c r="H423" s="4"/>
      <c r="I423" s="6" t="s">
        <v>44</v>
      </c>
    </row>
    <row r="424">
      <c r="A424" s="1">
        <v>46285.0</v>
      </c>
      <c r="B424" s="3" t="s">
        <v>440</v>
      </c>
      <c r="C424" s="3" t="s">
        <v>440</v>
      </c>
      <c r="D424" s="5">
        <v>200000.0</v>
      </c>
      <c r="E424" s="4"/>
      <c r="F424" s="4"/>
      <c r="G424" s="4">
        <v>1.2807319589999914E7</v>
      </c>
      <c r="H424" s="4"/>
      <c r="I424" s="6" t="s">
        <v>44</v>
      </c>
    </row>
    <row r="425">
      <c r="A425" s="1">
        <v>46285.0</v>
      </c>
      <c r="B425" s="3" t="s">
        <v>24</v>
      </c>
      <c r="C425" s="3" t="s">
        <v>441</v>
      </c>
      <c r="D425" s="5"/>
      <c r="E425" s="5">
        <v>1.820878E8</v>
      </c>
      <c r="F425" s="5" t="s">
        <v>3</v>
      </c>
      <c r="G425" s="4">
        <v>1.948951195899999E8</v>
      </c>
      <c r="H425" s="4"/>
      <c r="I425" s="6" t="s">
        <v>44</v>
      </c>
    </row>
    <row r="426">
      <c r="A426" s="1">
        <v>46285.0</v>
      </c>
      <c r="B426" s="3" t="s">
        <v>28</v>
      </c>
      <c r="C426" s="3" t="s">
        <v>29</v>
      </c>
      <c r="E426" s="5">
        <v>6.301425E7</v>
      </c>
      <c r="F426" s="4"/>
      <c r="G426" s="4">
        <v>2.579093695899999E8</v>
      </c>
      <c r="H426" s="4"/>
      <c r="I426" s="6" t="s">
        <v>44</v>
      </c>
    </row>
    <row r="427">
      <c r="A427" s="1">
        <v>46285.0</v>
      </c>
      <c r="B427" s="3" t="s">
        <v>33</v>
      </c>
      <c r="C427" s="3" t="s">
        <v>442</v>
      </c>
      <c r="D427" s="5">
        <v>114000.0</v>
      </c>
      <c r="E427" s="4"/>
      <c r="F427" s="4"/>
      <c r="G427" s="4">
        <v>2.577953695899999E8</v>
      </c>
      <c r="H427" s="4"/>
      <c r="I427" s="6" t="s">
        <v>44</v>
      </c>
    </row>
    <row r="428">
      <c r="A428" s="1">
        <v>46285.0</v>
      </c>
      <c r="B428" s="3" t="s">
        <v>443</v>
      </c>
      <c r="C428" s="3" t="s">
        <v>443</v>
      </c>
      <c r="E428" s="5">
        <v>1.284711E8</v>
      </c>
      <c r="F428" s="4"/>
      <c r="G428" s="4">
        <v>3.862664695899999E8</v>
      </c>
      <c r="H428" s="4"/>
      <c r="I428" s="6" t="s">
        <v>44</v>
      </c>
    </row>
    <row r="429">
      <c r="A429" s="1">
        <v>46285.0</v>
      </c>
      <c r="B429" s="3" t="s">
        <v>24</v>
      </c>
      <c r="C429" s="3" t="s">
        <v>444</v>
      </c>
      <c r="D429" s="5"/>
      <c r="E429" s="5">
        <v>1.4898E8</v>
      </c>
      <c r="F429" s="5" t="s">
        <v>3</v>
      </c>
      <c r="G429" s="4">
        <v>5.352464695899999E8</v>
      </c>
      <c r="H429" s="4"/>
      <c r="I429" s="6" t="s">
        <v>44</v>
      </c>
    </row>
    <row r="430">
      <c r="A430" s="1">
        <v>46285.0</v>
      </c>
      <c r="B430" s="3" t="s">
        <v>24</v>
      </c>
      <c r="C430" s="3" t="s">
        <v>445</v>
      </c>
      <c r="D430" s="5"/>
      <c r="E430" s="5">
        <v>2.7976688E8</v>
      </c>
      <c r="F430" s="5" t="s">
        <v>3</v>
      </c>
      <c r="G430" s="4">
        <v>8.150133495899999E8</v>
      </c>
      <c r="H430" s="4"/>
      <c r="I430" s="6" t="s">
        <v>44</v>
      </c>
    </row>
    <row r="431">
      <c r="A431" s="1">
        <v>46285.0</v>
      </c>
      <c r="B431" s="3" t="s">
        <v>24</v>
      </c>
      <c r="C431" s="3" t="s">
        <v>446</v>
      </c>
      <c r="D431" s="5"/>
      <c r="E431" s="5">
        <v>4.0E7</v>
      </c>
      <c r="F431" s="5" t="s">
        <v>3</v>
      </c>
      <c r="G431" s="4">
        <v>8.550133495899999E8</v>
      </c>
      <c r="H431" s="4"/>
      <c r="I431" s="6" t="s">
        <v>44</v>
      </c>
    </row>
    <row r="432">
      <c r="A432" s="1">
        <v>46285.0</v>
      </c>
      <c r="B432" s="3" t="s">
        <v>24</v>
      </c>
      <c r="C432" s="3" t="s">
        <v>447</v>
      </c>
      <c r="D432" s="5"/>
      <c r="E432" s="5">
        <v>1.8514245E8</v>
      </c>
      <c r="F432" s="5" t="s">
        <v>3</v>
      </c>
      <c r="G432" s="4">
        <v>1.0401557995899999E9</v>
      </c>
      <c r="H432" s="4"/>
      <c r="I432" s="6" t="s">
        <v>44</v>
      </c>
    </row>
    <row r="433">
      <c r="A433" s="1">
        <v>46285.0</v>
      </c>
      <c r="B433" s="3" t="s">
        <v>4</v>
      </c>
      <c r="C433" s="3" t="s">
        <v>448</v>
      </c>
      <c r="D433" s="5">
        <v>6843000.0</v>
      </c>
      <c r="E433" s="4"/>
      <c r="F433" s="5" t="s">
        <v>6</v>
      </c>
      <c r="G433" s="4">
        <v>1.0333127995899999E9</v>
      </c>
      <c r="H433" s="4"/>
      <c r="I433" s="6" t="s">
        <v>44</v>
      </c>
    </row>
    <row r="434">
      <c r="A434" s="1">
        <v>46285.0</v>
      </c>
      <c r="B434" s="3" t="s">
        <v>4</v>
      </c>
      <c r="C434" s="3" t="s">
        <v>449</v>
      </c>
      <c r="D434" s="5">
        <v>1.164273E7</v>
      </c>
      <c r="E434" s="4"/>
      <c r="F434" s="5" t="s">
        <v>6</v>
      </c>
      <c r="G434" s="4">
        <v>1.0216700695899999E9</v>
      </c>
      <c r="H434" s="4"/>
      <c r="I434" s="6" t="s">
        <v>44</v>
      </c>
    </row>
    <row r="435">
      <c r="A435" s="1">
        <v>46285.0</v>
      </c>
      <c r="B435" s="3" t="s">
        <v>4</v>
      </c>
      <c r="C435" s="3" t="s">
        <v>450</v>
      </c>
      <c r="D435" s="5">
        <v>4.862325E7</v>
      </c>
      <c r="E435" s="4"/>
      <c r="F435" s="5" t="s">
        <v>6</v>
      </c>
      <c r="G435" s="4">
        <v>9.730468195899999E8</v>
      </c>
      <c r="H435" s="4"/>
      <c r="I435" s="6" t="s">
        <v>44</v>
      </c>
    </row>
    <row r="436">
      <c r="A436" s="1">
        <v>46285.0</v>
      </c>
      <c r="B436" s="3" t="s">
        <v>4</v>
      </c>
      <c r="C436" s="3" t="s">
        <v>451</v>
      </c>
      <c r="D436" s="5">
        <v>6.8E7</v>
      </c>
      <c r="E436" s="4"/>
      <c r="F436" s="5" t="s">
        <v>6</v>
      </c>
      <c r="G436" s="4">
        <v>9.050468195899999E8</v>
      </c>
      <c r="H436" s="5">
        <v>9.0504681959E8</v>
      </c>
      <c r="I436" s="6" t="s">
        <v>44</v>
      </c>
    </row>
    <row r="437">
      <c r="A437" s="1">
        <v>46285.0</v>
      </c>
      <c r="B437" s="3" t="s">
        <v>4</v>
      </c>
      <c r="C437" s="3" t="s">
        <v>452</v>
      </c>
      <c r="D437" s="5">
        <v>9.6194E7</v>
      </c>
      <c r="E437" s="4"/>
      <c r="F437" s="5" t="s">
        <v>6</v>
      </c>
      <c r="G437" s="4">
        <v>8.088528195899999E8</v>
      </c>
      <c r="H437" s="5">
        <v>8.0885281959E8</v>
      </c>
      <c r="I437" s="6" t="s">
        <v>44</v>
      </c>
    </row>
    <row r="438">
      <c r="A438" s="1">
        <v>46285.0</v>
      </c>
      <c r="B438" s="3" t="s">
        <v>4</v>
      </c>
      <c r="C438" s="3" t="s">
        <v>453</v>
      </c>
      <c r="D438" s="5">
        <v>3.95E7</v>
      </c>
      <c r="E438" s="4"/>
      <c r="F438" s="5" t="s">
        <v>6</v>
      </c>
      <c r="G438" s="4">
        <v>7.693528195899999E8</v>
      </c>
      <c r="H438" s="4"/>
      <c r="I438" s="6" t="s">
        <v>44</v>
      </c>
    </row>
    <row r="439">
      <c r="A439" s="1">
        <v>46285.0</v>
      </c>
      <c r="B439" s="3" t="s">
        <v>4</v>
      </c>
      <c r="C439" s="3" t="s">
        <v>454</v>
      </c>
      <c r="D439" s="5">
        <v>1.97E7</v>
      </c>
      <c r="E439" s="4"/>
      <c r="F439" s="5" t="s">
        <v>6</v>
      </c>
      <c r="G439" s="4">
        <v>7.496528195899999E8</v>
      </c>
      <c r="H439" s="4"/>
      <c r="I439" s="6" t="s">
        <v>44</v>
      </c>
    </row>
    <row r="440">
      <c r="A440" s="1">
        <v>46285.0</v>
      </c>
      <c r="B440" s="3" t="s">
        <v>4</v>
      </c>
      <c r="C440" s="3" t="s">
        <v>455</v>
      </c>
      <c r="D440" s="5">
        <v>1.156962E8</v>
      </c>
      <c r="E440" s="4"/>
      <c r="F440" s="5" t="s">
        <v>6</v>
      </c>
      <c r="G440" s="4">
        <v>6.339566195899999E8</v>
      </c>
      <c r="H440" s="4"/>
      <c r="I440" s="6" t="s">
        <v>44</v>
      </c>
    </row>
    <row r="441">
      <c r="A441" s="1">
        <v>46285.0</v>
      </c>
      <c r="B441" s="3" t="s">
        <v>4</v>
      </c>
      <c r="C441" s="3" t="s">
        <v>456</v>
      </c>
      <c r="D441" s="5">
        <v>6.8E7</v>
      </c>
      <c r="E441" s="4"/>
      <c r="F441" s="5" t="s">
        <v>6</v>
      </c>
      <c r="G441" s="4">
        <v>5.659566195899999E8</v>
      </c>
      <c r="H441" s="4"/>
      <c r="I441" s="6" t="s">
        <v>44</v>
      </c>
    </row>
    <row r="442">
      <c r="A442" s="1">
        <v>46285.0</v>
      </c>
      <c r="B442" s="3" t="s">
        <v>4</v>
      </c>
      <c r="C442" s="3" t="s">
        <v>457</v>
      </c>
      <c r="D442" s="5">
        <v>1.1372405E8</v>
      </c>
      <c r="E442" s="4"/>
      <c r="F442" s="5" t="s">
        <v>6</v>
      </c>
      <c r="G442" s="4">
        <v>4.522325695899999E8</v>
      </c>
      <c r="H442" s="4"/>
      <c r="I442" s="6" t="s">
        <v>44</v>
      </c>
    </row>
    <row r="443">
      <c r="A443" s="1">
        <v>46285.0</v>
      </c>
      <c r="B443" s="3" t="s">
        <v>4</v>
      </c>
      <c r="C443" s="3" t="s">
        <v>458</v>
      </c>
      <c r="D443" s="5">
        <v>1.809573E8</v>
      </c>
      <c r="E443" s="4"/>
      <c r="F443" s="5" t="s">
        <v>6</v>
      </c>
      <c r="G443" s="4">
        <v>2.712752695899999E8</v>
      </c>
      <c r="H443" s="4"/>
      <c r="I443" s="6" t="s">
        <v>44</v>
      </c>
    </row>
    <row r="444">
      <c r="A444" s="1">
        <v>46285.0</v>
      </c>
      <c r="B444" s="3" t="s">
        <v>21</v>
      </c>
      <c r="C444" s="3" t="s">
        <v>358</v>
      </c>
      <c r="D444" s="5">
        <v>165000.0</v>
      </c>
      <c r="E444" s="4"/>
      <c r="F444" s="5" t="s">
        <v>6</v>
      </c>
      <c r="G444" s="4">
        <v>2.711102695899999E8</v>
      </c>
      <c r="H444" s="4"/>
      <c r="I444" s="6" t="s">
        <v>44</v>
      </c>
    </row>
    <row r="445">
      <c r="A445" s="1">
        <v>46285.0</v>
      </c>
      <c r="B445" s="3" t="s">
        <v>21</v>
      </c>
      <c r="C445" s="3" t="s">
        <v>359</v>
      </c>
      <c r="D445" s="5">
        <v>2500.0</v>
      </c>
      <c r="E445" s="4"/>
      <c r="F445" s="5" t="s">
        <v>6</v>
      </c>
      <c r="G445" s="4">
        <v>2.711077695899999E8</v>
      </c>
      <c r="H445" s="4"/>
      <c r="I445" s="6" t="s">
        <v>44</v>
      </c>
    </row>
    <row r="446">
      <c r="A446" s="1">
        <v>46285.0</v>
      </c>
      <c r="B446" s="3" t="s">
        <v>4</v>
      </c>
      <c r="C446" s="3" t="s">
        <v>459</v>
      </c>
      <c r="D446" s="5">
        <v>1593800.0</v>
      </c>
      <c r="E446" s="4"/>
      <c r="F446" s="5" t="s">
        <v>6</v>
      </c>
      <c r="G446" s="4">
        <v>2.695139695899999E8</v>
      </c>
      <c r="H446" s="4"/>
      <c r="I446" s="6" t="s">
        <v>44</v>
      </c>
    </row>
    <row r="447">
      <c r="A447" s="1">
        <v>46285.0</v>
      </c>
      <c r="B447" s="3" t="s">
        <v>4</v>
      </c>
      <c r="C447" s="3" t="s">
        <v>460</v>
      </c>
      <c r="D447" s="5">
        <v>2361600.0</v>
      </c>
      <c r="E447" s="4"/>
      <c r="F447" s="5" t="s">
        <v>6</v>
      </c>
      <c r="G447" s="4">
        <v>2.671523695899999E8</v>
      </c>
      <c r="H447" s="4"/>
      <c r="I447" s="6" t="s">
        <v>44</v>
      </c>
    </row>
    <row r="448">
      <c r="A448" s="1">
        <v>46285.0</v>
      </c>
      <c r="B448" s="3" t="s">
        <v>4</v>
      </c>
      <c r="C448" s="3" t="s">
        <v>461</v>
      </c>
      <c r="D448" s="5">
        <v>8716750.0</v>
      </c>
      <c r="E448" s="4"/>
      <c r="F448" s="5" t="s">
        <v>6</v>
      </c>
      <c r="G448" s="4">
        <v>2.584356195899999E8</v>
      </c>
      <c r="H448" s="5">
        <v>2.5843561959E8</v>
      </c>
      <c r="I448" s="6" t="s">
        <v>44</v>
      </c>
    </row>
    <row r="449">
      <c r="A449" s="1">
        <v>46286.0</v>
      </c>
      <c r="B449" s="3" t="s">
        <v>462</v>
      </c>
      <c r="C449" s="3" t="s">
        <v>463</v>
      </c>
      <c r="D449" s="5"/>
      <c r="E449" s="5">
        <v>5.514695E7</v>
      </c>
      <c r="F449" s="5" t="s">
        <v>3</v>
      </c>
      <c r="G449" s="4">
        <v>3.135825695899999E8</v>
      </c>
      <c r="H449" s="5">
        <v>3.1358256959E8</v>
      </c>
      <c r="I449" s="6" t="s">
        <v>44</v>
      </c>
    </row>
    <row r="450">
      <c r="A450" s="1">
        <v>46286.0</v>
      </c>
      <c r="B450" s="3" t="s">
        <v>4</v>
      </c>
      <c r="C450" s="3" t="s">
        <v>464</v>
      </c>
      <c r="D450" s="5">
        <v>200000.0</v>
      </c>
      <c r="E450" s="4"/>
      <c r="F450" s="5" t="s">
        <v>6</v>
      </c>
      <c r="G450" s="4">
        <v>3.133825695899999E8</v>
      </c>
      <c r="H450" s="5">
        <v>3.1338256959E8</v>
      </c>
      <c r="I450" s="6" t="s">
        <v>44</v>
      </c>
    </row>
    <row r="451">
      <c r="A451" s="1">
        <v>46286.0</v>
      </c>
      <c r="B451" s="3" t="s">
        <v>21</v>
      </c>
      <c r="C451" s="3" t="s">
        <v>415</v>
      </c>
      <c r="D451" s="5">
        <v>53000.0</v>
      </c>
      <c r="E451" s="4"/>
      <c r="F451" s="5" t="s">
        <v>6</v>
      </c>
      <c r="G451" s="4">
        <v>3.133295695899999E8</v>
      </c>
      <c r="H451" s="4"/>
      <c r="I451" s="6" t="s">
        <v>44</v>
      </c>
    </row>
    <row r="452">
      <c r="A452" s="1">
        <v>46286.0</v>
      </c>
      <c r="B452" s="3" t="s">
        <v>21</v>
      </c>
      <c r="C452" s="3" t="s">
        <v>416</v>
      </c>
      <c r="D452" s="5">
        <v>2500.0</v>
      </c>
      <c r="E452" s="4"/>
      <c r="F452" s="5" t="s">
        <v>6</v>
      </c>
      <c r="G452" s="4">
        <v>3.133270695899999E8</v>
      </c>
      <c r="H452" s="4"/>
      <c r="I452" s="6" t="s">
        <v>44</v>
      </c>
    </row>
    <row r="453">
      <c r="A453" s="1">
        <v>46286.0</v>
      </c>
      <c r="B453" s="3" t="s">
        <v>24</v>
      </c>
      <c r="C453" s="3" t="s">
        <v>465</v>
      </c>
      <c r="D453" s="5"/>
      <c r="E453" s="5">
        <v>1.436688E8</v>
      </c>
      <c r="F453" s="5" t="s">
        <v>3</v>
      </c>
      <c r="G453" s="4">
        <v>4.569958695899999E8</v>
      </c>
      <c r="H453" s="4"/>
      <c r="I453" s="6" t="s">
        <v>44</v>
      </c>
    </row>
    <row r="454">
      <c r="A454" s="1">
        <v>46286.0</v>
      </c>
      <c r="B454" s="3" t="s">
        <v>24</v>
      </c>
      <c r="C454" s="3" t="s">
        <v>466</v>
      </c>
      <c r="D454" s="5"/>
      <c r="E454" s="5">
        <v>1.01565E7</v>
      </c>
      <c r="F454" s="5" t="s">
        <v>3</v>
      </c>
      <c r="G454" s="4">
        <v>4.671523695899999E8</v>
      </c>
      <c r="H454" s="4"/>
      <c r="I454" s="6" t="s">
        <v>44</v>
      </c>
    </row>
    <row r="455">
      <c r="A455" s="1">
        <v>46286.0</v>
      </c>
      <c r="B455" s="3" t="s">
        <v>4</v>
      </c>
      <c r="C455" s="3" t="s">
        <v>467</v>
      </c>
      <c r="D455" s="5">
        <v>5.8E7</v>
      </c>
      <c r="E455" s="4"/>
      <c r="F455" s="5" t="s">
        <v>6</v>
      </c>
      <c r="G455" s="4">
        <v>4.091523695899999E8</v>
      </c>
      <c r="H455" s="4"/>
      <c r="I455" s="6" t="s">
        <v>44</v>
      </c>
    </row>
    <row r="456">
      <c r="A456" s="1">
        <v>46286.0</v>
      </c>
      <c r="B456" s="3" t="s">
        <v>4</v>
      </c>
      <c r="C456" s="3" t="s">
        <v>468</v>
      </c>
      <c r="D456" s="5">
        <v>1.53734E8</v>
      </c>
      <c r="E456" s="4"/>
      <c r="F456" s="5" t="s">
        <v>6</v>
      </c>
      <c r="G456" s="4">
        <v>2.554183695899999E8</v>
      </c>
      <c r="H456" s="4"/>
      <c r="I456" s="6" t="s">
        <v>44</v>
      </c>
    </row>
    <row r="457">
      <c r="A457" s="1">
        <v>46286.0</v>
      </c>
      <c r="B457" s="3" t="s">
        <v>4</v>
      </c>
      <c r="C457" s="3" t="s">
        <v>469</v>
      </c>
      <c r="D457" s="5">
        <v>1.461386E8</v>
      </c>
      <c r="E457" s="4"/>
      <c r="F457" s="5" t="s">
        <v>6</v>
      </c>
      <c r="G457" s="4">
        <v>1.0927976958999991E8</v>
      </c>
      <c r="H457" s="4"/>
      <c r="I457" s="6" t="s">
        <v>44</v>
      </c>
    </row>
    <row r="458">
      <c r="A458" s="1">
        <v>46286.0</v>
      </c>
      <c r="B458" s="3" t="s">
        <v>4</v>
      </c>
      <c r="C458" s="3" t="s">
        <v>470</v>
      </c>
      <c r="D458" s="5">
        <v>3.4E7</v>
      </c>
      <c r="E458" s="4"/>
      <c r="F458" s="5" t="s">
        <v>6</v>
      </c>
      <c r="G458" s="4">
        <v>7.527976958999991E7</v>
      </c>
      <c r="H458" s="4"/>
      <c r="I458" s="6" t="s">
        <v>44</v>
      </c>
    </row>
    <row r="459">
      <c r="A459" s="1">
        <v>46286.0</v>
      </c>
      <c r="B459" s="3" t="s">
        <v>4</v>
      </c>
      <c r="C459" s="3" t="s">
        <v>471</v>
      </c>
      <c r="D459" s="5">
        <v>160000.0</v>
      </c>
      <c r="E459" s="4"/>
      <c r="F459" s="5" t="s">
        <v>6</v>
      </c>
      <c r="G459" s="4">
        <v>7.511976958999991E7</v>
      </c>
      <c r="H459" s="4"/>
      <c r="I459" s="6" t="s">
        <v>44</v>
      </c>
    </row>
    <row r="460">
      <c r="A460" s="1">
        <v>46286.0</v>
      </c>
      <c r="B460" s="3" t="s">
        <v>24</v>
      </c>
      <c r="C460" s="3" t="s">
        <v>472</v>
      </c>
      <c r="D460" s="5"/>
      <c r="E460" s="5">
        <v>2.0E8</v>
      </c>
      <c r="F460" s="5" t="s">
        <v>3</v>
      </c>
      <c r="G460" s="4">
        <v>2.751197695899999E8</v>
      </c>
      <c r="H460" s="4"/>
      <c r="I460" s="6" t="s">
        <v>44</v>
      </c>
    </row>
    <row r="461">
      <c r="A461" s="1">
        <v>46286.0</v>
      </c>
      <c r="B461" s="3" t="s">
        <v>24</v>
      </c>
      <c r="C461" s="3" t="s">
        <v>473</v>
      </c>
      <c r="D461" s="5"/>
      <c r="E461" s="5">
        <v>1.4516E8</v>
      </c>
      <c r="F461" s="5" t="s">
        <v>3</v>
      </c>
      <c r="G461" s="4">
        <v>4.202797695899999E8</v>
      </c>
      <c r="H461" s="4"/>
      <c r="I461" s="6" t="s">
        <v>44</v>
      </c>
    </row>
    <row r="462">
      <c r="A462" s="1">
        <v>46286.0</v>
      </c>
      <c r="B462" s="3" t="s">
        <v>24</v>
      </c>
      <c r="C462" s="3" t="s">
        <v>474</v>
      </c>
      <c r="D462" s="5"/>
      <c r="E462" s="5">
        <v>1.0E8</v>
      </c>
      <c r="F462" s="5" t="s">
        <v>3</v>
      </c>
      <c r="G462" s="4">
        <v>5.202797695899999E8</v>
      </c>
      <c r="H462" s="5">
        <v>5.2027976959E8</v>
      </c>
      <c r="I462" s="6" t="s">
        <v>44</v>
      </c>
    </row>
    <row r="463">
      <c r="A463" s="1">
        <v>46286.0</v>
      </c>
      <c r="B463" s="3" t="s">
        <v>24</v>
      </c>
      <c r="C463" s="3" t="s">
        <v>475</v>
      </c>
      <c r="D463" s="5"/>
      <c r="E463" s="5">
        <v>5.606766E7</v>
      </c>
      <c r="F463" s="5" t="s">
        <v>3</v>
      </c>
      <c r="G463" s="4">
        <v>5.763474295899999E8</v>
      </c>
      <c r="H463" s="5">
        <v>5.7634742959E8</v>
      </c>
      <c r="I463" s="6" t="s">
        <v>44</v>
      </c>
    </row>
    <row r="464">
      <c r="A464" s="1">
        <v>46286.0</v>
      </c>
      <c r="B464" s="3" t="s">
        <v>24</v>
      </c>
      <c r="C464" s="3" t="s">
        <v>476</v>
      </c>
      <c r="D464" s="5"/>
      <c r="E464" s="5">
        <v>5.550324E7</v>
      </c>
      <c r="F464" s="5" t="s">
        <v>3</v>
      </c>
      <c r="G464" s="4">
        <v>6.318506695899999E8</v>
      </c>
      <c r="H464" s="4"/>
      <c r="I464" s="6" t="s">
        <v>44</v>
      </c>
    </row>
    <row r="465">
      <c r="A465" s="1">
        <v>46286.0</v>
      </c>
      <c r="B465" s="3" t="s">
        <v>4</v>
      </c>
      <c r="C465" s="3" t="s">
        <v>477</v>
      </c>
      <c r="D465" s="5">
        <v>6.0E7</v>
      </c>
      <c r="E465" s="4"/>
      <c r="F465" s="5" t="s">
        <v>6</v>
      </c>
      <c r="G465" s="4">
        <v>5.718506695899999E8</v>
      </c>
      <c r="H465" s="4"/>
      <c r="I465" s="6" t="s">
        <v>44</v>
      </c>
    </row>
    <row r="466">
      <c r="A466" s="1">
        <v>46286.0</v>
      </c>
      <c r="B466" s="3" t="s">
        <v>4</v>
      </c>
      <c r="C466" s="3" t="s">
        <v>478</v>
      </c>
      <c r="D466" s="5">
        <v>6.0E7</v>
      </c>
      <c r="E466" s="4"/>
      <c r="F466" s="5" t="s">
        <v>6</v>
      </c>
      <c r="G466" s="4">
        <v>5.118506695899999E8</v>
      </c>
      <c r="H466" s="4"/>
      <c r="I466" s="6" t="s">
        <v>44</v>
      </c>
    </row>
    <row r="467">
      <c r="A467" s="1">
        <v>46286.0</v>
      </c>
      <c r="B467" s="3" t="s">
        <v>4</v>
      </c>
      <c r="C467" s="3" t="s">
        <v>479</v>
      </c>
      <c r="D467" s="5">
        <v>1.2989796E8</v>
      </c>
      <c r="E467" s="4"/>
      <c r="F467" s="5" t="s">
        <v>6</v>
      </c>
      <c r="G467" s="4">
        <v>3.819527095899999E8</v>
      </c>
      <c r="H467" s="4"/>
      <c r="I467" s="6" t="s">
        <v>44</v>
      </c>
    </row>
    <row r="468">
      <c r="A468" s="1">
        <v>46286.0</v>
      </c>
      <c r="B468" s="3" t="s">
        <v>4</v>
      </c>
      <c r="C468" s="3" t="s">
        <v>480</v>
      </c>
      <c r="D468" s="5">
        <v>8.050775E7</v>
      </c>
      <c r="E468" s="4"/>
      <c r="F468" s="5" t="s">
        <v>6</v>
      </c>
      <c r="G468" s="4">
        <v>3.014449595899999E8</v>
      </c>
      <c r="H468" s="4"/>
      <c r="I468" s="6" t="s">
        <v>44</v>
      </c>
    </row>
    <row r="469">
      <c r="A469" s="1">
        <v>46286.0</v>
      </c>
      <c r="B469" s="3" t="s">
        <v>4</v>
      </c>
      <c r="C469" s="3" t="s">
        <v>481</v>
      </c>
      <c r="D469" s="5">
        <v>1.2137175E8</v>
      </c>
      <c r="E469" s="4"/>
      <c r="F469" s="5" t="s">
        <v>6</v>
      </c>
      <c r="G469" s="4">
        <v>1.800732095899999E8</v>
      </c>
      <c r="H469" s="4"/>
      <c r="I469" s="6" t="s">
        <v>44</v>
      </c>
    </row>
    <row r="470">
      <c r="A470" s="1">
        <v>46286.0</v>
      </c>
      <c r="B470" s="3" t="s">
        <v>4</v>
      </c>
      <c r="C470" s="3" t="s">
        <v>482</v>
      </c>
      <c r="D470" s="5">
        <v>4.7979E7</v>
      </c>
      <c r="E470" s="4"/>
      <c r="F470" s="5" t="s">
        <v>6</v>
      </c>
      <c r="G470" s="4">
        <v>1.3209420958999991E8</v>
      </c>
      <c r="H470" s="4"/>
      <c r="I470" s="6" t="s">
        <v>44</v>
      </c>
    </row>
    <row r="471">
      <c r="A471" s="1">
        <v>46286.0</v>
      </c>
      <c r="B471" s="3" t="s">
        <v>4</v>
      </c>
      <c r="C471" s="3" t="s">
        <v>483</v>
      </c>
      <c r="D471" s="5">
        <v>2950690.0</v>
      </c>
      <c r="E471" s="4"/>
      <c r="F471" s="5" t="s">
        <v>6</v>
      </c>
      <c r="G471" s="4">
        <v>1.2914351958999991E8</v>
      </c>
      <c r="H471" s="5">
        <v>1.2914351959E8</v>
      </c>
      <c r="I471" s="6" t="s">
        <v>44</v>
      </c>
    </row>
    <row r="472">
      <c r="A472" s="1">
        <v>46287.0</v>
      </c>
      <c r="B472" s="3" t="s">
        <v>4</v>
      </c>
      <c r="C472" s="3" t="s">
        <v>484</v>
      </c>
      <c r="D472" s="5">
        <v>1200000.0</v>
      </c>
      <c r="E472" s="4"/>
      <c r="F472" s="5" t="s">
        <v>6</v>
      </c>
      <c r="G472" s="4">
        <v>1.2794351958999991E8</v>
      </c>
      <c r="H472" s="4"/>
      <c r="I472" s="6" t="s">
        <v>44</v>
      </c>
    </row>
    <row r="473">
      <c r="A473" s="1">
        <v>46287.0</v>
      </c>
      <c r="B473" s="3" t="s">
        <v>4</v>
      </c>
      <c r="C473" s="3" t="s">
        <v>485</v>
      </c>
      <c r="D473" s="5">
        <v>5257920.0</v>
      </c>
      <c r="E473" s="4"/>
      <c r="F473" s="5" t="s">
        <v>6</v>
      </c>
      <c r="G473" s="4">
        <v>1.2268559958999991E8</v>
      </c>
      <c r="H473" s="4"/>
      <c r="I473" s="6" t="s">
        <v>44</v>
      </c>
    </row>
    <row r="474">
      <c r="A474" s="1">
        <v>46287.0</v>
      </c>
      <c r="B474" s="3" t="s">
        <v>4</v>
      </c>
      <c r="C474" s="3" t="s">
        <v>486</v>
      </c>
      <c r="D474" s="5">
        <v>4.2234E7</v>
      </c>
      <c r="E474" s="4"/>
      <c r="F474" s="5" t="s">
        <v>6</v>
      </c>
      <c r="G474" s="4">
        <v>8.045159958999991E7</v>
      </c>
      <c r="H474" s="4"/>
      <c r="I474" s="6" t="s">
        <v>44</v>
      </c>
    </row>
    <row r="475">
      <c r="A475" s="1">
        <v>46287.0</v>
      </c>
      <c r="B475" s="3" t="s">
        <v>21</v>
      </c>
      <c r="C475" s="3" t="s">
        <v>415</v>
      </c>
      <c r="D475" s="5">
        <v>84000.0</v>
      </c>
      <c r="E475" s="4"/>
      <c r="F475" s="5" t="s">
        <v>6</v>
      </c>
      <c r="G475" s="4">
        <v>8.036759958999991E7</v>
      </c>
      <c r="H475" s="5">
        <v>8.036759959E7</v>
      </c>
      <c r="I475" s="6" t="s">
        <v>44</v>
      </c>
    </row>
    <row r="476">
      <c r="A476" s="1">
        <v>46287.0</v>
      </c>
      <c r="B476" s="3" t="s">
        <v>21</v>
      </c>
      <c r="C476" s="3" t="s">
        <v>416</v>
      </c>
      <c r="D476" s="5">
        <v>2500.0</v>
      </c>
      <c r="E476" s="4"/>
      <c r="F476" s="5" t="s">
        <v>6</v>
      </c>
      <c r="G476" s="4">
        <v>8.036509958999991E7</v>
      </c>
      <c r="H476" s="5">
        <v>8.036509959E7</v>
      </c>
      <c r="I476" s="6" t="s">
        <v>44</v>
      </c>
    </row>
    <row r="477">
      <c r="A477" s="1">
        <v>46287.0</v>
      </c>
      <c r="B477" s="3" t="s">
        <v>24</v>
      </c>
      <c r="C477" s="3" t="s">
        <v>487</v>
      </c>
      <c r="D477" s="5"/>
      <c r="E477" s="5">
        <v>422340.0</v>
      </c>
      <c r="F477" s="5" t="s">
        <v>3</v>
      </c>
      <c r="G477" s="4">
        <v>8.078743958999991E7</v>
      </c>
      <c r="H477" s="4"/>
      <c r="I477" s="6" t="s">
        <v>44</v>
      </c>
    </row>
    <row r="478">
      <c r="A478" s="1">
        <v>46287.0</v>
      </c>
      <c r="B478" s="3" t="s">
        <v>24</v>
      </c>
      <c r="C478" s="3" t="s">
        <v>488</v>
      </c>
      <c r="D478" s="5"/>
      <c r="E478" s="5">
        <v>1.334786E8</v>
      </c>
      <c r="F478" s="5" t="s">
        <v>3</v>
      </c>
      <c r="G478" s="4">
        <v>2.142660395899999E8</v>
      </c>
      <c r="H478" s="4"/>
      <c r="I478" s="6" t="s">
        <v>44</v>
      </c>
    </row>
    <row r="479">
      <c r="A479" s="1">
        <v>46287.0</v>
      </c>
      <c r="B479" s="3" t="s">
        <v>24</v>
      </c>
      <c r="C479" s="3" t="s">
        <v>489</v>
      </c>
      <c r="D479" s="5"/>
      <c r="E479" s="5">
        <v>1.2323984E8</v>
      </c>
      <c r="F479" s="5" t="s">
        <v>3</v>
      </c>
      <c r="G479" s="4">
        <v>3.375058795899999E8</v>
      </c>
      <c r="H479" s="4"/>
      <c r="I479" s="6" t="s">
        <v>44</v>
      </c>
    </row>
    <row r="480">
      <c r="A480" s="1">
        <v>46287.0</v>
      </c>
      <c r="B480" s="3" t="s">
        <v>4</v>
      </c>
      <c r="C480" s="3" t="s">
        <v>490</v>
      </c>
      <c r="D480" s="5">
        <v>3.09605E7</v>
      </c>
      <c r="E480" s="4"/>
      <c r="F480" s="5" t="s">
        <v>6</v>
      </c>
      <c r="G480" s="4">
        <v>3.065453795899999E8</v>
      </c>
      <c r="H480" s="4"/>
      <c r="I480" s="6" t="s">
        <v>44</v>
      </c>
    </row>
    <row r="481">
      <c r="A481" s="1">
        <v>46287.0</v>
      </c>
      <c r="B481" s="3" t="s">
        <v>24</v>
      </c>
      <c r="C481" s="3" t="s">
        <v>491</v>
      </c>
      <c r="D481" s="5"/>
      <c r="E481" s="5">
        <v>1.0E8</v>
      </c>
      <c r="F481" s="5" t="s">
        <v>3</v>
      </c>
      <c r="G481" s="4">
        <v>4.065453795899999E8</v>
      </c>
      <c r="H481" s="4"/>
      <c r="I481" s="6" t="s">
        <v>44</v>
      </c>
    </row>
    <row r="482">
      <c r="A482" s="1">
        <v>46287.0</v>
      </c>
      <c r="B482" s="3" t="s">
        <v>119</v>
      </c>
      <c r="C482" s="3" t="s">
        <v>492</v>
      </c>
      <c r="D482" s="5">
        <v>52000.0</v>
      </c>
      <c r="E482" s="4"/>
      <c r="F482" s="4"/>
      <c r="G482" s="4">
        <v>4.064933795899999E8</v>
      </c>
      <c r="H482" s="4"/>
      <c r="I482" s="6" t="s">
        <v>44</v>
      </c>
    </row>
    <row r="483">
      <c r="A483" s="1">
        <v>46287.0</v>
      </c>
      <c r="B483" s="3" t="s">
        <v>24</v>
      </c>
      <c r="C483" s="3" t="s">
        <v>493</v>
      </c>
      <c r="D483" s="5"/>
      <c r="E483" s="5">
        <v>1.0E8</v>
      </c>
      <c r="F483" s="5" t="s">
        <v>3</v>
      </c>
      <c r="G483" s="4">
        <v>5.064933795899999E8</v>
      </c>
      <c r="H483" s="4"/>
      <c r="I483" s="6" t="s">
        <v>44</v>
      </c>
    </row>
    <row r="484">
      <c r="A484" s="1">
        <v>46287.0</v>
      </c>
      <c r="B484" s="3" t="s">
        <v>4</v>
      </c>
      <c r="C484" s="3" t="s">
        <v>494</v>
      </c>
      <c r="D484" s="5">
        <v>1.444E8</v>
      </c>
      <c r="E484" s="4"/>
      <c r="F484" s="5" t="s">
        <v>6</v>
      </c>
      <c r="G484" s="4">
        <v>3.620933795899999E8</v>
      </c>
      <c r="H484" s="4"/>
      <c r="I484" s="6" t="s">
        <v>44</v>
      </c>
    </row>
    <row r="485">
      <c r="A485" s="1">
        <v>46287.0</v>
      </c>
      <c r="B485" s="3" t="s">
        <v>4</v>
      </c>
      <c r="C485" s="3" t="s">
        <v>495</v>
      </c>
      <c r="D485" s="5">
        <v>7.8E7</v>
      </c>
      <c r="E485" s="4"/>
      <c r="F485" s="5" t="s">
        <v>6</v>
      </c>
      <c r="G485" s="4">
        <v>2.840933795899999E8</v>
      </c>
      <c r="H485" s="4"/>
      <c r="I485" s="6" t="s">
        <v>44</v>
      </c>
    </row>
    <row r="486">
      <c r="A486" s="1">
        <v>46287.0</v>
      </c>
      <c r="B486" s="3" t="s">
        <v>4</v>
      </c>
      <c r="C486" s="3" t="s">
        <v>496</v>
      </c>
      <c r="D486" s="5">
        <v>3.519845E7</v>
      </c>
      <c r="E486" s="4"/>
      <c r="F486" s="5" t="s">
        <v>6</v>
      </c>
      <c r="G486" s="4">
        <v>2.488949295899999E8</v>
      </c>
      <c r="H486" s="4"/>
      <c r="I486" s="6" t="s">
        <v>44</v>
      </c>
    </row>
    <row r="487">
      <c r="A487" s="1">
        <v>46287.0</v>
      </c>
      <c r="B487" s="3" t="s">
        <v>4</v>
      </c>
      <c r="C487" s="3" t="s">
        <v>497</v>
      </c>
      <c r="D487" s="5">
        <v>2.5E7</v>
      </c>
      <c r="E487" s="4"/>
      <c r="F487" s="5" t="s">
        <v>6</v>
      </c>
      <c r="G487" s="4">
        <v>2.238949295899999E8</v>
      </c>
      <c r="H487" s="4"/>
      <c r="I487" s="6" t="s">
        <v>44</v>
      </c>
    </row>
    <row r="488">
      <c r="A488" s="1">
        <v>46287.0</v>
      </c>
      <c r="B488" s="3" t="s">
        <v>119</v>
      </c>
      <c r="C488" s="3" t="s">
        <v>498</v>
      </c>
      <c r="D488" s="5">
        <v>750000.0</v>
      </c>
      <c r="E488" s="4"/>
      <c r="F488" s="4"/>
      <c r="G488" s="4">
        <v>2.231449295899999E8</v>
      </c>
      <c r="H488" s="5">
        <v>2.2314492959E8</v>
      </c>
      <c r="I488" s="6" t="s">
        <v>44</v>
      </c>
    </row>
    <row r="489">
      <c r="A489" s="1">
        <v>46287.0</v>
      </c>
      <c r="B489" s="3" t="s">
        <v>24</v>
      </c>
      <c r="C489" s="3" t="s">
        <v>499</v>
      </c>
      <c r="D489" s="5"/>
      <c r="E489" s="5">
        <v>1.6737056E8</v>
      </c>
      <c r="F489" s="5" t="s">
        <v>3</v>
      </c>
      <c r="G489" s="4">
        <v>3.905154895899999E8</v>
      </c>
      <c r="H489" s="5">
        <v>3.9051548959E8</v>
      </c>
      <c r="I489" s="6" t="s">
        <v>44</v>
      </c>
    </row>
    <row r="490">
      <c r="A490" s="1">
        <v>46287.0</v>
      </c>
      <c r="B490" s="3" t="s">
        <v>4</v>
      </c>
      <c r="C490" s="3" t="s">
        <v>500</v>
      </c>
      <c r="D490" s="5">
        <v>2.78277E7</v>
      </c>
      <c r="E490" s="4"/>
      <c r="F490" s="5" t="s">
        <v>6</v>
      </c>
      <c r="G490" s="4">
        <v>3.626877895899999E8</v>
      </c>
      <c r="H490" s="4"/>
      <c r="I490" s="6" t="s">
        <v>44</v>
      </c>
    </row>
    <row r="491">
      <c r="A491" s="1">
        <v>46287.0</v>
      </c>
      <c r="B491" s="3" t="s">
        <v>4</v>
      </c>
      <c r="C491" s="3" t="s">
        <v>501</v>
      </c>
      <c r="D491" s="5">
        <v>3.10696E8</v>
      </c>
      <c r="E491" s="4"/>
      <c r="F491" s="5" t="s">
        <v>6</v>
      </c>
      <c r="G491" s="4">
        <v>5.1991789589999914E7</v>
      </c>
      <c r="H491" s="4"/>
      <c r="I491" s="6" t="s">
        <v>44</v>
      </c>
    </row>
    <row r="492">
      <c r="A492" s="1">
        <v>46287.0</v>
      </c>
      <c r="B492" s="3" t="s">
        <v>24</v>
      </c>
      <c r="C492" s="3" t="s">
        <v>502</v>
      </c>
      <c r="D492" s="5"/>
      <c r="E492" s="5">
        <v>1.6880523E8</v>
      </c>
      <c r="F492" s="5" t="s">
        <v>3</v>
      </c>
      <c r="G492" s="4">
        <v>2.207970195899999E8</v>
      </c>
      <c r="H492" s="4"/>
      <c r="I492" s="6" t="s">
        <v>44</v>
      </c>
    </row>
    <row r="493">
      <c r="A493" s="1">
        <v>46287.0</v>
      </c>
      <c r="B493" s="3" t="s">
        <v>4</v>
      </c>
      <c r="C493" s="3" t="s">
        <v>503</v>
      </c>
      <c r="D493" s="5">
        <v>1900000.0</v>
      </c>
      <c r="E493" s="4"/>
      <c r="F493" s="5" t="s">
        <v>6</v>
      </c>
      <c r="G493" s="4">
        <v>2.188970195899999E8</v>
      </c>
      <c r="H493" s="4"/>
      <c r="I493" s="6" t="s">
        <v>44</v>
      </c>
    </row>
    <row r="494">
      <c r="A494" s="1">
        <v>46287.0</v>
      </c>
      <c r="B494" s="3" t="s">
        <v>4</v>
      </c>
      <c r="C494" s="3" t="s">
        <v>504</v>
      </c>
      <c r="D494" s="5">
        <v>5800220.0</v>
      </c>
      <c r="E494" s="4"/>
      <c r="F494" s="5" t="s">
        <v>6</v>
      </c>
      <c r="G494" s="4">
        <v>2.130967995899999E8</v>
      </c>
      <c r="H494" s="4"/>
      <c r="I494" s="6" t="s">
        <v>44</v>
      </c>
    </row>
    <row r="495">
      <c r="A495" s="1">
        <v>46287.0</v>
      </c>
      <c r="B495" s="3" t="s">
        <v>33</v>
      </c>
      <c r="C495" s="3" t="s">
        <v>68</v>
      </c>
      <c r="D495" s="5">
        <v>168700.0</v>
      </c>
      <c r="E495" s="4"/>
      <c r="F495" s="4"/>
      <c r="G495" s="4">
        <v>2.129280995899999E8</v>
      </c>
      <c r="H495" s="4"/>
      <c r="I495" s="6" t="s">
        <v>44</v>
      </c>
    </row>
    <row r="496">
      <c r="A496" s="1">
        <v>46287.0</v>
      </c>
      <c r="B496" s="3" t="s">
        <v>4</v>
      </c>
      <c r="C496" s="3" t="s">
        <v>505</v>
      </c>
      <c r="D496" s="5">
        <v>1.1961288E8</v>
      </c>
      <c r="E496" s="4"/>
      <c r="F496" s="5" t="s">
        <v>6</v>
      </c>
      <c r="G496" s="4">
        <v>9.331521958999991E7</v>
      </c>
      <c r="H496" s="5">
        <v>9.331521959E7</v>
      </c>
      <c r="I496" s="6" t="s">
        <v>44</v>
      </c>
    </row>
    <row r="497">
      <c r="A497" s="1">
        <v>46288.0</v>
      </c>
      <c r="B497" s="3" t="s">
        <v>24</v>
      </c>
      <c r="C497" s="3" t="s">
        <v>506</v>
      </c>
      <c r="D497" s="5"/>
      <c r="E497" s="5">
        <v>2.0E7</v>
      </c>
      <c r="F497" s="5" t="s">
        <v>3</v>
      </c>
      <c r="G497" s="4">
        <v>1.1331521958999991E8</v>
      </c>
      <c r="H497" s="4"/>
      <c r="I497" s="6" t="s">
        <v>44</v>
      </c>
    </row>
    <row r="498">
      <c r="A498" s="1">
        <v>46288.0</v>
      </c>
      <c r="B498" s="3" t="s">
        <v>4</v>
      </c>
      <c r="C498" s="3" t="s">
        <v>507</v>
      </c>
      <c r="D498" s="5">
        <v>5.85E7</v>
      </c>
      <c r="E498" s="4"/>
      <c r="F498" s="5" t="s">
        <v>6</v>
      </c>
      <c r="G498" s="4">
        <v>5.4815219589999914E7</v>
      </c>
      <c r="H498" s="4"/>
      <c r="I498" s="6" t="s">
        <v>44</v>
      </c>
    </row>
    <row r="499">
      <c r="A499" s="1">
        <v>46288.0</v>
      </c>
      <c r="B499" s="3" t="s">
        <v>4</v>
      </c>
      <c r="C499" s="3" t="s">
        <v>508</v>
      </c>
      <c r="D499" s="5">
        <v>5.4E7</v>
      </c>
      <c r="E499" s="4"/>
      <c r="F499" s="5" t="s">
        <v>6</v>
      </c>
      <c r="G499" s="4">
        <v>815219.5899999142</v>
      </c>
      <c r="H499" s="4"/>
      <c r="I499" s="6" t="s">
        <v>44</v>
      </c>
    </row>
    <row r="500">
      <c r="A500" s="1">
        <v>46288.0</v>
      </c>
      <c r="B500" s="3" t="s">
        <v>24</v>
      </c>
      <c r="C500" s="3" t="s">
        <v>509</v>
      </c>
      <c r="D500" s="5"/>
      <c r="E500" s="5">
        <v>5.0E7</v>
      </c>
      <c r="F500" s="5" t="s">
        <v>3</v>
      </c>
      <c r="G500" s="4">
        <v>5.0815219589999914E7</v>
      </c>
      <c r="H500" s="4"/>
      <c r="I500" s="6" t="s">
        <v>44</v>
      </c>
    </row>
    <row r="501">
      <c r="A501" s="1">
        <v>46288.0</v>
      </c>
      <c r="B501" s="3" t="s">
        <v>24</v>
      </c>
      <c r="C501" s="3" t="s">
        <v>510</v>
      </c>
      <c r="D501" s="5"/>
      <c r="E501" s="5">
        <v>1.1E7</v>
      </c>
      <c r="F501" s="5" t="s">
        <v>3</v>
      </c>
      <c r="G501" s="4">
        <v>6.1815219589999914E7</v>
      </c>
      <c r="H501" s="4"/>
      <c r="I501" s="6" t="s">
        <v>44</v>
      </c>
    </row>
    <row r="502">
      <c r="A502" s="1">
        <v>46288.0</v>
      </c>
      <c r="B502" s="3" t="s">
        <v>4</v>
      </c>
      <c r="C502" s="3" t="s">
        <v>511</v>
      </c>
      <c r="D502" s="5">
        <v>5.0E7</v>
      </c>
      <c r="E502" s="4"/>
      <c r="F502" s="5" t="s">
        <v>6</v>
      </c>
      <c r="G502" s="4">
        <v>1.1815219589999914E7</v>
      </c>
      <c r="H502" s="5">
        <v>1.181521959E7</v>
      </c>
      <c r="I502" s="6" t="s">
        <v>44</v>
      </c>
    </row>
    <row r="503">
      <c r="A503" s="1">
        <v>46288.0</v>
      </c>
      <c r="B503" s="3" t="s">
        <v>4</v>
      </c>
      <c r="C503" s="3" t="s">
        <v>512</v>
      </c>
      <c r="D503" s="5">
        <v>6000000.0</v>
      </c>
      <c r="E503" s="4"/>
      <c r="F503" s="5" t="s">
        <v>6</v>
      </c>
      <c r="G503" s="4">
        <v>5815219.589999914</v>
      </c>
      <c r="H503" s="5">
        <v>5815219.59</v>
      </c>
      <c r="I503" s="6" t="s">
        <v>44</v>
      </c>
    </row>
    <row r="504">
      <c r="A504" s="1">
        <v>46288.0</v>
      </c>
      <c r="B504" s="3" t="s">
        <v>24</v>
      </c>
      <c r="C504" s="3" t="s">
        <v>513</v>
      </c>
      <c r="D504" s="5"/>
      <c r="E504" s="5">
        <v>1.6651065E8</v>
      </c>
      <c r="F504" s="5" t="s">
        <v>3</v>
      </c>
      <c r="G504" s="4">
        <v>1.723258695899999E8</v>
      </c>
      <c r="H504" s="4"/>
      <c r="I504" s="6" t="s">
        <v>44</v>
      </c>
    </row>
    <row r="505">
      <c r="A505" s="1">
        <v>46288.0</v>
      </c>
      <c r="B505" s="3" t="s">
        <v>4</v>
      </c>
      <c r="C505" s="3" t="s">
        <v>514</v>
      </c>
      <c r="D505" s="5">
        <v>1750000.0</v>
      </c>
      <c r="E505" s="4"/>
      <c r="F505" s="5" t="s">
        <v>6</v>
      </c>
      <c r="G505" s="4">
        <v>1.705758695899999E8</v>
      </c>
      <c r="H505" s="4"/>
      <c r="I505" s="6" t="s">
        <v>44</v>
      </c>
    </row>
    <row r="506">
      <c r="A506" s="1">
        <v>46288.0</v>
      </c>
      <c r="B506" s="3" t="s">
        <v>24</v>
      </c>
      <c r="C506" s="3" t="s">
        <v>515</v>
      </c>
      <c r="D506" s="5"/>
      <c r="E506" s="5">
        <v>1.0E8</v>
      </c>
      <c r="F506" s="5" t="s">
        <v>3</v>
      </c>
      <c r="G506" s="4">
        <v>2.705758695899999E8</v>
      </c>
      <c r="H506" s="4"/>
      <c r="I506" s="6" t="s">
        <v>44</v>
      </c>
    </row>
    <row r="507">
      <c r="A507" s="1">
        <v>46288.0</v>
      </c>
      <c r="B507" s="3" t="s">
        <v>24</v>
      </c>
      <c r="C507" s="3" t="s">
        <v>516</v>
      </c>
      <c r="D507" s="5"/>
      <c r="E507" s="5">
        <v>2.2049459E8</v>
      </c>
      <c r="F507" s="5" t="s">
        <v>3</v>
      </c>
      <c r="G507" s="4">
        <v>4.910704595899999E8</v>
      </c>
      <c r="H507" s="4"/>
      <c r="I507" s="6" t="s">
        <v>44</v>
      </c>
    </row>
    <row r="508">
      <c r="A508" s="1">
        <v>46288.0</v>
      </c>
      <c r="B508" s="3" t="s">
        <v>24</v>
      </c>
      <c r="C508" s="3" t="s">
        <v>517</v>
      </c>
      <c r="D508" s="5"/>
      <c r="E508" s="5">
        <v>451260.0</v>
      </c>
      <c r="F508" s="5" t="s">
        <v>3</v>
      </c>
      <c r="G508" s="4">
        <v>4.915217195899999E8</v>
      </c>
      <c r="H508" s="4"/>
      <c r="I508" s="6" t="s">
        <v>44</v>
      </c>
    </row>
    <row r="509">
      <c r="A509" s="1">
        <v>46288.0</v>
      </c>
      <c r="B509" s="3" t="s">
        <v>4</v>
      </c>
      <c r="C509" s="3" t="s">
        <v>518</v>
      </c>
      <c r="D509" s="5">
        <v>1.7E7</v>
      </c>
      <c r="E509" s="4"/>
      <c r="F509" s="5" t="s">
        <v>6</v>
      </c>
      <c r="G509" s="4">
        <v>4.745217195899999E8</v>
      </c>
      <c r="H509" s="4"/>
      <c r="I509" s="6" t="s">
        <v>44</v>
      </c>
    </row>
    <row r="510">
      <c r="A510" s="1">
        <v>46288.0</v>
      </c>
      <c r="B510" s="3" t="s">
        <v>4</v>
      </c>
      <c r="C510" s="3" t="s">
        <v>519</v>
      </c>
      <c r="D510" s="5">
        <v>1.84721E8</v>
      </c>
      <c r="E510" s="4"/>
      <c r="F510" s="5" t="s">
        <v>6</v>
      </c>
      <c r="G510" s="4">
        <v>2.898007195899999E8</v>
      </c>
      <c r="H510" s="4"/>
      <c r="I510" s="6" t="s">
        <v>44</v>
      </c>
    </row>
    <row r="511">
      <c r="A511" s="1">
        <v>46288.0</v>
      </c>
      <c r="B511" s="3" t="s">
        <v>4</v>
      </c>
      <c r="C511" s="3" t="s">
        <v>520</v>
      </c>
      <c r="D511" s="5">
        <v>1.026622E8</v>
      </c>
      <c r="E511" s="4"/>
      <c r="F511" s="5" t="s">
        <v>6</v>
      </c>
      <c r="G511" s="4">
        <v>1.871385195899999E8</v>
      </c>
      <c r="H511" s="4"/>
      <c r="I511" s="6" t="s">
        <v>44</v>
      </c>
    </row>
    <row r="512">
      <c r="A512" s="1">
        <v>46288.0</v>
      </c>
      <c r="B512" s="3" t="s">
        <v>4</v>
      </c>
      <c r="C512" s="3" t="s">
        <v>521</v>
      </c>
      <c r="D512" s="5">
        <v>6.0E7</v>
      </c>
      <c r="E512" s="4"/>
      <c r="F512" s="5" t="s">
        <v>6</v>
      </c>
      <c r="G512" s="4">
        <v>1.2713851958999991E8</v>
      </c>
      <c r="H512" s="4"/>
      <c r="I512" s="6" t="s">
        <v>44</v>
      </c>
    </row>
    <row r="513">
      <c r="A513" s="1">
        <v>46288.0</v>
      </c>
      <c r="B513" s="3" t="s">
        <v>4</v>
      </c>
      <c r="C513" s="3" t="s">
        <v>522</v>
      </c>
      <c r="D513" s="5">
        <v>5.7616E7</v>
      </c>
      <c r="E513" s="4"/>
      <c r="F513" s="5" t="s">
        <v>6</v>
      </c>
      <c r="G513" s="4">
        <v>6.952251958999991E7</v>
      </c>
      <c r="H513" s="4"/>
      <c r="I513" s="6" t="s">
        <v>44</v>
      </c>
    </row>
    <row r="514">
      <c r="A514" s="1">
        <v>46288.0</v>
      </c>
      <c r="B514" s="3" t="s">
        <v>4</v>
      </c>
      <c r="C514" s="3" t="s">
        <v>523</v>
      </c>
      <c r="D514" s="5">
        <v>3519250.0</v>
      </c>
      <c r="E514" s="4"/>
      <c r="F514" s="5" t="s">
        <v>6</v>
      </c>
      <c r="G514" s="4">
        <v>6.6003269589999914E7</v>
      </c>
      <c r="H514" s="5">
        <v>6.600326959E7</v>
      </c>
      <c r="I514" s="6" t="s">
        <v>44</v>
      </c>
    </row>
    <row r="515">
      <c r="A515" s="1">
        <v>46289.0</v>
      </c>
      <c r="B515" s="3" t="s">
        <v>24</v>
      </c>
      <c r="C515" s="3" t="s">
        <v>524</v>
      </c>
      <c r="D515" s="5"/>
      <c r="E515" s="5">
        <v>4.833E7</v>
      </c>
      <c r="F515" s="5" t="s">
        <v>3</v>
      </c>
      <c r="G515" s="4">
        <v>1.1433326958999991E8</v>
      </c>
      <c r="H515" s="4"/>
      <c r="I515" s="6" t="s">
        <v>44</v>
      </c>
    </row>
    <row r="516">
      <c r="A516" s="1">
        <v>46289.0</v>
      </c>
      <c r="B516" s="3" t="s">
        <v>24</v>
      </c>
      <c r="C516" s="3" t="s">
        <v>525</v>
      </c>
      <c r="D516" s="5"/>
      <c r="E516" s="5">
        <v>3.5E7</v>
      </c>
      <c r="F516" s="5" t="s">
        <v>3</v>
      </c>
      <c r="G516" s="4">
        <v>1.493332695899999E8</v>
      </c>
      <c r="H516" s="5">
        <v>1.4933326959E8</v>
      </c>
      <c r="I516" s="6" t="s">
        <v>44</v>
      </c>
    </row>
    <row r="517">
      <c r="A517" s="1">
        <v>46289.0</v>
      </c>
      <c r="B517" s="3" t="s">
        <v>4</v>
      </c>
      <c r="C517" s="3" t="s">
        <v>526</v>
      </c>
      <c r="D517" s="5">
        <v>5.85E7</v>
      </c>
      <c r="E517" s="4"/>
      <c r="F517" s="5" t="s">
        <v>6</v>
      </c>
      <c r="G517" s="4">
        <v>9.083326958999991E7</v>
      </c>
      <c r="H517" s="5">
        <v>9.083326959E7</v>
      </c>
      <c r="I517" s="6" t="s">
        <v>44</v>
      </c>
    </row>
    <row r="518">
      <c r="A518" s="1">
        <v>46289.0</v>
      </c>
      <c r="B518" s="3" t="s">
        <v>4</v>
      </c>
      <c r="C518" s="3" t="s">
        <v>527</v>
      </c>
      <c r="D518" s="5">
        <v>9.054195E7</v>
      </c>
      <c r="E518" s="4"/>
      <c r="F518" s="5" t="s">
        <v>6</v>
      </c>
      <c r="G518" s="4">
        <v>291319.58999991417</v>
      </c>
      <c r="H518" s="5">
        <v>291319.59</v>
      </c>
      <c r="I518" s="6" t="s">
        <v>44</v>
      </c>
    </row>
    <row r="519">
      <c r="A519" s="1">
        <v>46290.0</v>
      </c>
      <c r="B519" s="3" t="s">
        <v>528</v>
      </c>
      <c r="C519" s="3" t="s">
        <v>529</v>
      </c>
      <c r="D519" s="5"/>
      <c r="E519" s="5">
        <v>1.3266E8</v>
      </c>
      <c r="F519" s="5" t="s">
        <v>3</v>
      </c>
      <c r="G519" s="4">
        <v>1.3295131958999991E8</v>
      </c>
      <c r="H519" s="4"/>
      <c r="I519" s="6" t="s">
        <v>44</v>
      </c>
    </row>
    <row r="520">
      <c r="A520" s="1">
        <v>46290.0</v>
      </c>
      <c r="B520" s="3" t="s">
        <v>530</v>
      </c>
      <c r="C520" s="3" t="s">
        <v>531</v>
      </c>
      <c r="D520" s="5">
        <v>1.0E7</v>
      </c>
      <c r="E520" s="4"/>
      <c r="F520" s="5" t="s">
        <v>6</v>
      </c>
      <c r="G520" s="4">
        <v>1.2295131958999991E8</v>
      </c>
      <c r="H520" s="4"/>
      <c r="I520" s="6" t="s">
        <v>44</v>
      </c>
    </row>
    <row r="521">
      <c r="A521" s="1">
        <v>46290.0</v>
      </c>
      <c r="B521" s="3" t="s">
        <v>530</v>
      </c>
      <c r="C521" s="3" t="s">
        <v>532</v>
      </c>
      <c r="D521" s="5">
        <v>5.85E7</v>
      </c>
      <c r="E521" s="4"/>
      <c r="F521" s="5" t="s">
        <v>6</v>
      </c>
      <c r="G521" s="4">
        <v>6.4451319589999914E7</v>
      </c>
      <c r="H521" s="4"/>
      <c r="I521" s="6" t="s">
        <v>44</v>
      </c>
    </row>
    <row r="522">
      <c r="A522" s="1">
        <v>46290.0</v>
      </c>
      <c r="B522" s="3" t="s">
        <v>530</v>
      </c>
      <c r="C522" s="3" t="s">
        <v>533</v>
      </c>
      <c r="D522" s="5">
        <v>5.602E7</v>
      </c>
      <c r="E522" s="4"/>
      <c r="F522" s="5" t="s">
        <v>6</v>
      </c>
      <c r="G522" s="4">
        <v>8431319.589999914</v>
      </c>
      <c r="H522" s="4"/>
      <c r="I522" s="6" t="s">
        <v>44</v>
      </c>
    </row>
    <row r="523">
      <c r="A523" s="1">
        <v>46290.0</v>
      </c>
      <c r="B523" s="3" t="s">
        <v>4</v>
      </c>
      <c r="C523" s="3" t="s">
        <v>534</v>
      </c>
      <c r="D523" s="5">
        <v>3715000.0</v>
      </c>
      <c r="E523" s="4"/>
      <c r="F523" s="5" t="s">
        <v>6</v>
      </c>
      <c r="G523" s="4">
        <v>4716319.589999914</v>
      </c>
      <c r="H523" s="4"/>
      <c r="I523" s="6" t="s">
        <v>44</v>
      </c>
    </row>
    <row r="524">
      <c r="A524" s="1">
        <v>46290.0</v>
      </c>
      <c r="B524" s="3" t="s">
        <v>4</v>
      </c>
      <c r="C524" s="3" t="s">
        <v>535</v>
      </c>
      <c r="D524" s="5">
        <v>2944560.0</v>
      </c>
      <c r="E524" s="4"/>
      <c r="F524" s="5" t="s">
        <v>6</v>
      </c>
      <c r="G524" s="4">
        <v>1771759.5899999142</v>
      </c>
      <c r="H524" s="4"/>
      <c r="I524" s="6" t="s">
        <v>44</v>
      </c>
    </row>
    <row r="525">
      <c r="A525" s="1">
        <v>46290.0</v>
      </c>
      <c r="B525" s="3" t="s">
        <v>24</v>
      </c>
      <c r="C525" s="3" t="s">
        <v>536</v>
      </c>
      <c r="D525" s="5"/>
      <c r="E525" s="5">
        <v>1.4737635E8</v>
      </c>
      <c r="F525" s="5" t="s">
        <v>3</v>
      </c>
      <c r="G525" s="4">
        <v>1.491481095899999E8</v>
      </c>
      <c r="H525" s="4"/>
      <c r="I525" s="6" t="s">
        <v>44</v>
      </c>
    </row>
    <row r="526">
      <c r="A526" s="1">
        <v>46290.0</v>
      </c>
      <c r="B526" s="3" t="s">
        <v>4</v>
      </c>
      <c r="C526" s="3" t="s">
        <v>537</v>
      </c>
      <c r="D526" s="5">
        <v>9.0E7</v>
      </c>
      <c r="E526" s="4"/>
      <c r="F526" s="5" t="s">
        <v>6</v>
      </c>
      <c r="G526" s="4">
        <v>5.9148109589999914E7</v>
      </c>
      <c r="H526" s="4"/>
      <c r="I526" s="6" t="s">
        <v>44</v>
      </c>
    </row>
    <row r="527">
      <c r="A527" s="1">
        <v>46290.0</v>
      </c>
      <c r="B527" s="3" t="s">
        <v>4</v>
      </c>
      <c r="C527" s="3" t="s">
        <v>538</v>
      </c>
      <c r="D527" s="5">
        <v>5.769304E7</v>
      </c>
      <c r="E527" s="4"/>
      <c r="F527" s="5" t="s">
        <v>6</v>
      </c>
      <c r="G527" s="4">
        <v>1455069.5899999142</v>
      </c>
      <c r="H527" s="4"/>
      <c r="I527" s="6" t="s">
        <v>44</v>
      </c>
    </row>
    <row r="528">
      <c r="A528" s="1">
        <v>46290.0</v>
      </c>
      <c r="B528" s="3" t="s">
        <v>24</v>
      </c>
      <c r="C528" s="3" t="s">
        <v>539</v>
      </c>
      <c r="D528" s="5"/>
      <c r="E528" s="5">
        <v>1.3301656E8</v>
      </c>
      <c r="F528" s="5" t="s">
        <v>3</v>
      </c>
      <c r="G528" s="4">
        <v>1.344716295899999E8</v>
      </c>
      <c r="H528" s="4"/>
      <c r="I528" s="6" t="s">
        <v>44</v>
      </c>
    </row>
    <row r="529">
      <c r="A529" s="1">
        <v>46290.0</v>
      </c>
      <c r="B529" s="3" t="s">
        <v>4</v>
      </c>
      <c r="C529" s="3" t="s">
        <v>540</v>
      </c>
      <c r="D529" s="5">
        <v>8.15E7</v>
      </c>
      <c r="E529" s="4"/>
      <c r="F529" s="5" t="s">
        <v>6</v>
      </c>
      <c r="G529" s="4">
        <v>5.2971629589999914E7</v>
      </c>
      <c r="H529" s="5">
        <v>5.297162959E7</v>
      </c>
      <c r="I529" s="6" t="s">
        <v>44</v>
      </c>
    </row>
    <row r="530">
      <c r="A530" s="1">
        <v>46290.0</v>
      </c>
      <c r="B530" s="3" t="s">
        <v>4</v>
      </c>
      <c r="C530" s="3" t="s">
        <v>541</v>
      </c>
      <c r="D530" s="5">
        <v>3000000.0</v>
      </c>
      <c r="E530" s="4"/>
      <c r="F530" s="5" t="s">
        <v>6</v>
      </c>
      <c r="G530" s="4">
        <v>4.9971629589999914E7</v>
      </c>
      <c r="H530" s="5">
        <v>4.997162959E7</v>
      </c>
      <c r="I530" s="6" t="s">
        <v>44</v>
      </c>
    </row>
    <row r="531">
      <c r="A531" s="1">
        <v>46290.0</v>
      </c>
      <c r="B531" s="3" t="s">
        <v>24</v>
      </c>
      <c r="C531" s="3" t="s">
        <v>542</v>
      </c>
      <c r="D531" s="5"/>
      <c r="E531" s="5">
        <v>1.696164E8</v>
      </c>
      <c r="F531" s="5" t="s">
        <v>3</v>
      </c>
      <c r="G531" s="4">
        <v>2.195880295899999E8</v>
      </c>
      <c r="H531" s="4"/>
      <c r="I531" s="6" t="s">
        <v>44</v>
      </c>
    </row>
    <row r="532">
      <c r="A532" s="1">
        <v>46290.0</v>
      </c>
      <c r="B532" s="3" t="s">
        <v>24</v>
      </c>
      <c r="C532" s="3" t="s">
        <v>543</v>
      </c>
      <c r="D532" s="5"/>
      <c r="E532" s="5">
        <v>5.789952E7</v>
      </c>
      <c r="F532" s="5" t="s">
        <v>3</v>
      </c>
      <c r="G532" s="4">
        <v>2.774875495899999E8</v>
      </c>
      <c r="H532" s="4"/>
      <c r="I532" s="6" t="s">
        <v>44</v>
      </c>
    </row>
    <row r="533">
      <c r="A533" s="1">
        <v>46290.0</v>
      </c>
      <c r="B533" s="3" t="s">
        <v>24</v>
      </c>
      <c r="C533" s="3" t="s">
        <v>544</v>
      </c>
      <c r="D533" s="5"/>
      <c r="E533" s="5">
        <v>1.3064485E8</v>
      </c>
      <c r="F533" s="5" t="s">
        <v>3</v>
      </c>
      <c r="G533" s="4">
        <v>4.081323995899999E8</v>
      </c>
      <c r="H533" s="4"/>
      <c r="I533" s="6" t="s">
        <v>44</v>
      </c>
    </row>
    <row r="534">
      <c r="A534" s="1">
        <v>46290.0</v>
      </c>
      <c r="B534" s="3" t="s">
        <v>4</v>
      </c>
      <c r="C534" s="3" t="s">
        <v>545</v>
      </c>
      <c r="D534" s="5">
        <v>2100000.0</v>
      </c>
      <c r="E534" s="4"/>
      <c r="F534" s="5" t="s">
        <v>6</v>
      </c>
      <c r="G534" s="4">
        <v>4.060323995899999E8</v>
      </c>
      <c r="H534" s="4"/>
      <c r="I534" s="6" t="s">
        <v>44</v>
      </c>
    </row>
    <row r="535">
      <c r="A535" s="1">
        <v>46290.0</v>
      </c>
      <c r="B535" s="3" t="s">
        <v>4</v>
      </c>
      <c r="C535" s="3" t="s">
        <v>546</v>
      </c>
      <c r="D535" s="5">
        <v>500000.0</v>
      </c>
      <c r="E535" s="4"/>
      <c r="F535" s="5" t="s">
        <v>6</v>
      </c>
      <c r="G535" s="4">
        <v>4.055323995899999E8</v>
      </c>
      <c r="H535" s="4"/>
      <c r="I535" s="6" t="s">
        <v>44</v>
      </c>
    </row>
    <row r="536">
      <c r="A536" s="1">
        <v>46290.0</v>
      </c>
      <c r="B536" s="3" t="s">
        <v>24</v>
      </c>
      <c r="C536" s="3" t="s">
        <v>547</v>
      </c>
      <c r="D536" s="5"/>
      <c r="E536" s="5">
        <v>8.05005E7</v>
      </c>
      <c r="F536" s="5" t="s">
        <v>3</v>
      </c>
      <c r="G536" s="4">
        <v>4.860328995899999E8</v>
      </c>
      <c r="H536" s="4"/>
      <c r="I536" s="6" t="s">
        <v>44</v>
      </c>
    </row>
    <row r="537">
      <c r="A537" s="1">
        <v>46290.0</v>
      </c>
      <c r="B537" s="3" t="s">
        <v>24</v>
      </c>
      <c r="C537" s="3" t="s">
        <v>548</v>
      </c>
      <c r="D537" s="5"/>
      <c r="E537" s="5">
        <v>7.485441E7</v>
      </c>
      <c r="F537" s="5" t="s">
        <v>3</v>
      </c>
      <c r="G537" s="4">
        <v>5.608873095899999E8</v>
      </c>
      <c r="H537" s="4"/>
      <c r="I537" s="6" t="s">
        <v>44</v>
      </c>
    </row>
    <row r="538">
      <c r="A538" s="1">
        <v>46290.0</v>
      </c>
      <c r="B538" s="3" t="s">
        <v>24</v>
      </c>
      <c r="C538" s="3" t="s">
        <v>549</v>
      </c>
      <c r="D538" s="5"/>
      <c r="E538" s="5">
        <v>1.4896E8</v>
      </c>
      <c r="F538" s="5" t="s">
        <v>3</v>
      </c>
      <c r="G538" s="4">
        <v>7.098473095899999E8</v>
      </c>
      <c r="H538" s="4"/>
      <c r="I538" s="6" t="s">
        <v>44</v>
      </c>
    </row>
    <row r="539">
      <c r="A539" s="1">
        <v>46290.0</v>
      </c>
      <c r="B539" s="3" t="s">
        <v>4</v>
      </c>
      <c r="C539" s="3" t="s">
        <v>550</v>
      </c>
      <c r="D539" s="5">
        <v>1.5095095E8</v>
      </c>
      <c r="E539" s="4"/>
      <c r="F539" s="5" t="s">
        <v>6</v>
      </c>
      <c r="G539" s="4">
        <v>5.588963595899999E8</v>
      </c>
      <c r="H539" s="4"/>
      <c r="I539" s="6" t="s">
        <v>44</v>
      </c>
    </row>
    <row r="540">
      <c r="A540" s="1">
        <v>46290.0</v>
      </c>
      <c r="B540" s="3" t="s">
        <v>4</v>
      </c>
      <c r="C540" s="3" t="s">
        <v>551</v>
      </c>
      <c r="D540" s="5">
        <v>1.136233E8</v>
      </c>
      <c r="E540" s="4"/>
      <c r="F540" s="5" t="s">
        <v>6</v>
      </c>
      <c r="G540" s="4">
        <v>4.452730595899999E8</v>
      </c>
      <c r="H540" s="4"/>
      <c r="I540" s="6" t="s">
        <v>44</v>
      </c>
    </row>
    <row r="541">
      <c r="A541" s="1">
        <v>46290.0</v>
      </c>
      <c r="B541" s="3" t="s">
        <v>4</v>
      </c>
      <c r="C541" s="3" t="s">
        <v>552</v>
      </c>
      <c r="D541" s="5">
        <v>1.9534475E8</v>
      </c>
      <c r="E541" s="4"/>
      <c r="F541" s="5" t="s">
        <v>6</v>
      </c>
      <c r="G541" s="4">
        <v>2.499283095899999E8</v>
      </c>
      <c r="H541" s="4"/>
      <c r="I541" s="6" t="s">
        <v>44</v>
      </c>
    </row>
    <row r="542">
      <c r="A542" s="1">
        <v>46290.0</v>
      </c>
      <c r="B542" s="3" t="s">
        <v>4</v>
      </c>
      <c r="C542" s="3" t="s">
        <v>553</v>
      </c>
      <c r="D542" s="5">
        <v>4.0E7</v>
      </c>
      <c r="E542" s="4"/>
      <c r="F542" s="5" t="s">
        <v>6</v>
      </c>
      <c r="G542" s="4">
        <v>2.099283095899999E8</v>
      </c>
      <c r="H542" s="5">
        <v>2.0992830959E8</v>
      </c>
      <c r="I542" s="6" t="s">
        <v>44</v>
      </c>
    </row>
    <row r="543">
      <c r="A543" s="1">
        <v>46290.0</v>
      </c>
      <c r="B543" s="3" t="s">
        <v>4</v>
      </c>
      <c r="C543" s="3" t="s">
        <v>554</v>
      </c>
      <c r="D543" s="5">
        <v>2.0E7</v>
      </c>
      <c r="E543" s="4"/>
      <c r="F543" s="5" t="s">
        <v>6</v>
      </c>
      <c r="G543" s="4">
        <v>1.899283095899999E8</v>
      </c>
      <c r="H543" s="5">
        <v>1.8992830959E8</v>
      </c>
      <c r="I543" s="6" t="s">
        <v>44</v>
      </c>
    </row>
    <row r="544">
      <c r="A544" s="1">
        <v>46290.0</v>
      </c>
      <c r="B544" s="3" t="s">
        <v>4</v>
      </c>
      <c r="C544" s="3" t="s">
        <v>555</v>
      </c>
      <c r="D544" s="5">
        <v>6.03369E7</v>
      </c>
      <c r="E544" s="4"/>
      <c r="F544" s="5" t="s">
        <v>6</v>
      </c>
      <c r="G544" s="4">
        <v>1.2959140958999991E8</v>
      </c>
      <c r="H544" s="4"/>
      <c r="I544" s="6" t="s">
        <v>44</v>
      </c>
    </row>
    <row r="545">
      <c r="A545" s="1">
        <v>46290.0</v>
      </c>
      <c r="B545" s="3" t="s">
        <v>4</v>
      </c>
      <c r="C545" s="3" t="s">
        <v>556</v>
      </c>
      <c r="D545" s="5">
        <v>6.85377E7</v>
      </c>
      <c r="E545" s="4"/>
      <c r="F545" s="5" t="s">
        <v>6</v>
      </c>
      <c r="G545" s="4">
        <v>6.1053709589999914E7</v>
      </c>
      <c r="H545" s="4"/>
      <c r="I545" s="6" t="s">
        <v>44</v>
      </c>
    </row>
    <row r="546">
      <c r="A546" s="1">
        <v>46290.0</v>
      </c>
      <c r="B546" s="3" t="s">
        <v>24</v>
      </c>
      <c r="C546" s="3" t="s">
        <v>557</v>
      </c>
      <c r="D546" s="5"/>
      <c r="E546" s="5">
        <v>5.297388E7</v>
      </c>
      <c r="F546" s="5" t="s">
        <v>3</v>
      </c>
      <c r="G546" s="4">
        <v>1.1402758958999991E8</v>
      </c>
      <c r="H546" s="4"/>
      <c r="I546" s="6" t="s">
        <v>44</v>
      </c>
    </row>
    <row r="547">
      <c r="A547" s="1">
        <v>46290.0</v>
      </c>
      <c r="B547" s="3" t="s">
        <v>4</v>
      </c>
      <c r="C547" s="3" t="s">
        <v>558</v>
      </c>
      <c r="D547" s="5">
        <v>1350000.0</v>
      </c>
      <c r="E547" s="4"/>
      <c r="F547" s="5" t="s">
        <v>6</v>
      </c>
      <c r="G547" s="4">
        <v>1.1267758958999991E8</v>
      </c>
      <c r="H547" s="4"/>
      <c r="I547" s="6" t="s">
        <v>44</v>
      </c>
    </row>
    <row r="548">
      <c r="A548" s="1">
        <v>46290.0</v>
      </c>
      <c r="B548" s="3" t="s">
        <v>24</v>
      </c>
      <c r="C548" s="3" t="s">
        <v>559</v>
      </c>
      <c r="D548" s="5"/>
      <c r="E548" s="5">
        <v>7.056E7</v>
      </c>
      <c r="F548" s="5" t="s">
        <v>3</v>
      </c>
      <c r="G548" s="4">
        <v>1.832375895899999E8</v>
      </c>
      <c r="H548" s="5">
        <v>1.8323758959E8</v>
      </c>
      <c r="I548" s="6" t="s">
        <v>44</v>
      </c>
    </row>
    <row r="549">
      <c r="A549" s="1">
        <v>46291.0</v>
      </c>
      <c r="B549" s="3" t="s">
        <v>4</v>
      </c>
      <c r="C549" s="3" t="s">
        <v>560</v>
      </c>
      <c r="D549" s="5">
        <v>7.0E7</v>
      </c>
      <c r="E549" s="4"/>
      <c r="F549" s="5" t="s">
        <v>6</v>
      </c>
      <c r="G549" s="4">
        <v>1.1323758958999991E8</v>
      </c>
      <c r="H549" s="4"/>
      <c r="I549" s="6" t="s">
        <v>44</v>
      </c>
    </row>
    <row r="550">
      <c r="A550" s="1">
        <v>46291.0</v>
      </c>
      <c r="B550" s="3" t="s">
        <v>4</v>
      </c>
      <c r="C550" s="3" t="s">
        <v>561</v>
      </c>
      <c r="D550" s="5">
        <v>6.9942E7</v>
      </c>
      <c r="E550" s="4"/>
      <c r="F550" s="5" t="s">
        <v>6</v>
      </c>
      <c r="G550" s="4">
        <v>4.3295589589999914E7</v>
      </c>
      <c r="H550" s="4"/>
      <c r="I550" s="6" t="s">
        <v>44</v>
      </c>
    </row>
    <row r="551">
      <c r="A551" s="1">
        <v>46291.0</v>
      </c>
      <c r="B551" s="3" t="s">
        <v>4</v>
      </c>
      <c r="C551" s="3" t="s">
        <v>562</v>
      </c>
      <c r="D551" s="5">
        <v>4.3169E7</v>
      </c>
      <c r="E551" s="4"/>
      <c r="F551" s="5" t="s">
        <v>6</v>
      </c>
      <c r="G551" s="4">
        <v>126589.58999991417</v>
      </c>
      <c r="H551" s="4"/>
      <c r="I551" s="6" t="s">
        <v>44</v>
      </c>
    </row>
    <row r="552">
      <c r="A552" s="1">
        <v>46291.0</v>
      </c>
      <c r="B552" s="3" t="s">
        <v>24</v>
      </c>
      <c r="C552" s="3" t="s">
        <v>563</v>
      </c>
      <c r="D552" s="5"/>
      <c r="E552" s="5">
        <v>1.787592E8</v>
      </c>
      <c r="F552" s="5" t="s">
        <v>3</v>
      </c>
      <c r="G552" s="4">
        <v>1.788857895899999E8</v>
      </c>
      <c r="H552" s="4"/>
      <c r="I552" s="6" t="s">
        <v>44</v>
      </c>
    </row>
    <row r="553">
      <c r="A553" s="1">
        <v>46291.0</v>
      </c>
      <c r="B553" s="3" t="s">
        <v>4</v>
      </c>
      <c r="C553" s="3" t="s">
        <v>564</v>
      </c>
      <c r="D553" s="5">
        <v>4.3986E7</v>
      </c>
      <c r="E553" s="4"/>
      <c r="F553" s="5" t="s">
        <v>6</v>
      </c>
      <c r="G553" s="4">
        <v>1.348997895899999E8</v>
      </c>
      <c r="H553" s="4"/>
      <c r="I553" s="6" t="s">
        <v>44</v>
      </c>
    </row>
    <row r="554">
      <c r="A554" s="1">
        <v>46291.0</v>
      </c>
      <c r="B554" s="3" t="s">
        <v>28</v>
      </c>
      <c r="C554" s="3" t="s">
        <v>565</v>
      </c>
      <c r="E554" s="5">
        <v>1.3231725E8</v>
      </c>
      <c r="F554" s="4"/>
      <c r="G554" s="4">
        <v>2.672170395899999E8</v>
      </c>
      <c r="H554" s="4"/>
      <c r="I554" s="6" t="s">
        <v>44</v>
      </c>
    </row>
    <row r="555">
      <c r="A555" s="1">
        <v>46291.0</v>
      </c>
      <c r="B555" s="3" t="s">
        <v>4</v>
      </c>
      <c r="C555" s="3" t="s">
        <v>566</v>
      </c>
      <c r="D555" s="5">
        <v>6.0E7</v>
      </c>
      <c r="E555" s="4"/>
      <c r="F555" s="5" t="s">
        <v>6</v>
      </c>
      <c r="G555" s="4">
        <v>2.072170395899999E8</v>
      </c>
      <c r="H555" s="5">
        <v>2.0721703959E8</v>
      </c>
      <c r="I555" s="6" t="s">
        <v>44</v>
      </c>
    </row>
    <row r="556">
      <c r="A556" s="1">
        <v>46291.0</v>
      </c>
      <c r="B556" s="3" t="s">
        <v>4</v>
      </c>
      <c r="C556" s="3" t="s">
        <v>567</v>
      </c>
      <c r="D556" s="5">
        <v>4.9926E7</v>
      </c>
      <c r="E556" s="4"/>
      <c r="F556" s="5" t="s">
        <v>6</v>
      </c>
      <c r="G556" s="4">
        <v>1.572910395899999E8</v>
      </c>
      <c r="H556" s="5">
        <v>1.5729103959E8</v>
      </c>
      <c r="I556" s="6" t="s">
        <v>44</v>
      </c>
    </row>
    <row r="557">
      <c r="A557" s="1">
        <v>46291.0</v>
      </c>
      <c r="B557" s="3" t="s">
        <v>4</v>
      </c>
      <c r="C557" s="3" t="s">
        <v>568</v>
      </c>
      <c r="D557" s="5">
        <v>5.0E7</v>
      </c>
      <c r="E557" s="4"/>
      <c r="F557" s="5" t="s">
        <v>6</v>
      </c>
      <c r="G557" s="4">
        <v>1.0729103958999991E8</v>
      </c>
      <c r="H557" s="4"/>
      <c r="I557" s="6" t="s">
        <v>44</v>
      </c>
    </row>
    <row r="558">
      <c r="A558" s="1">
        <v>46291.0</v>
      </c>
      <c r="B558" s="3" t="s">
        <v>4</v>
      </c>
      <c r="C558" s="3" t="s">
        <v>569</v>
      </c>
      <c r="D558" s="5">
        <v>7.02E7</v>
      </c>
      <c r="E558" s="4"/>
      <c r="F558" s="5" t="s">
        <v>6</v>
      </c>
      <c r="G558" s="4">
        <v>3.7091039589999914E7</v>
      </c>
      <c r="H558" s="4"/>
      <c r="I558" s="6" t="s">
        <v>44</v>
      </c>
    </row>
    <row r="559">
      <c r="A559" s="1">
        <v>46291.0</v>
      </c>
      <c r="B559" s="3" t="s">
        <v>4</v>
      </c>
      <c r="C559" s="3" t="s">
        <v>570</v>
      </c>
      <c r="D559" s="5">
        <v>2.55291E7</v>
      </c>
      <c r="E559" s="4"/>
      <c r="F559" s="5" t="s">
        <v>6</v>
      </c>
      <c r="G559" s="4">
        <v>1.1561939589999914E7</v>
      </c>
      <c r="H559" s="4"/>
      <c r="I559" s="6" t="s">
        <v>44</v>
      </c>
    </row>
    <row r="560">
      <c r="A560" s="1">
        <v>46291.0</v>
      </c>
      <c r="B560" s="3" t="s">
        <v>24</v>
      </c>
      <c r="C560" s="3" t="s">
        <v>571</v>
      </c>
      <c r="D560" s="5"/>
      <c r="E560" s="5">
        <v>7.258E7</v>
      </c>
      <c r="F560" s="5" t="s">
        <v>3</v>
      </c>
      <c r="G560" s="4">
        <v>8.414193958999991E7</v>
      </c>
      <c r="H560" s="4"/>
      <c r="I560" s="6" t="s">
        <v>44</v>
      </c>
    </row>
    <row r="561">
      <c r="A561" s="1">
        <v>46291.0</v>
      </c>
      <c r="B561" s="3" t="s">
        <v>24</v>
      </c>
      <c r="C561" s="3" t="s">
        <v>572</v>
      </c>
      <c r="D561" s="5"/>
      <c r="E561" s="5">
        <v>2.4574496E8</v>
      </c>
      <c r="F561" s="5" t="s">
        <v>3</v>
      </c>
      <c r="G561" s="4">
        <v>3.298868995899999E8</v>
      </c>
      <c r="H561" s="4"/>
      <c r="I561" s="6" t="s">
        <v>44</v>
      </c>
    </row>
    <row r="562">
      <c r="A562" s="1">
        <v>46291.0</v>
      </c>
      <c r="B562" s="3" t="s">
        <v>4</v>
      </c>
      <c r="C562" s="3" t="s">
        <v>573</v>
      </c>
      <c r="D562" s="5">
        <v>2.11E7</v>
      </c>
      <c r="E562" s="4"/>
      <c r="F562" s="5" t="s">
        <v>6</v>
      </c>
      <c r="G562" s="4">
        <v>3.087868995899999E8</v>
      </c>
      <c r="H562" s="4"/>
      <c r="I562" s="6" t="s">
        <v>44</v>
      </c>
    </row>
    <row r="563">
      <c r="A563" s="1">
        <v>46291.0</v>
      </c>
      <c r="B563" s="3" t="s">
        <v>4</v>
      </c>
      <c r="C563" s="3" t="s">
        <v>574</v>
      </c>
      <c r="D563" s="5">
        <v>1.482E8</v>
      </c>
      <c r="E563" s="4"/>
      <c r="F563" s="5" t="s">
        <v>6</v>
      </c>
      <c r="G563" s="4">
        <v>1.605868995899999E8</v>
      </c>
      <c r="H563" s="4"/>
      <c r="I563" s="6" t="s">
        <v>44</v>
      </c>
    </row>
    <row r="564">
      <c r="A564" s="1">
        <v>46291.0</v>
      </c>
      <c r="B564" s="3" t="s">
        <v>4</v>
      </c>
      <c r="C564" s="3" t="s">
        <v>575</v>
      </c>
      <c r="D564" s="5">
        <v>1.482E8</v>
      </c>
      <c r="E564" s="4"/>
      <c r="F564" s="5" t="s">
        <v>6</v>
      </c>
      <c r="G564" s="4">
        <v>1.2386899589999914E7</v>
      </c>
      <c r="H564" s="4"/>
      <c r="I564" s="6" t="s">
        <v>44</v>
      </c>
    </row>
    <row r="565">
      <c r="A565" s="1">
        <v>46291.0</v>
      </c>
      <c r="B565" s="3" t="s">
        <v>4</v>
      </c>
      <c r="C565" s="3" t="s">
        <v>576</v>
      </c>
      <c r="D565" s="5">
        <v>6850000.0</v>
      </c>
      <c r="E565" s="4"/>
      <c r="F565" s="5" t="s">
        <v>6</v>
      </c>
      <c r="G565" s="4">
        <v>5536899.589999914</v>
      </c>
      <c r="H565" s="4"/>
      <c r="I565" s="6" t="s">
        <v>44</v>
      </c>
    </row>
    <row r="566">
      <c r="A566" s="1">
        <v>46291.0</v>
      </c>
      <c r="B566" s="3" t="s">
        <v>4</v>
      </c>
      <c r="C566" s="3" t="s">
        <v>577</v>
      </c>
      <c r="D566" s="5">
        <v>2200000.0</v>
      </c>
      <c r="E566" s="4"/>
      <c r="F566" s="5" t="s">
        <v>6</v>
      </c>
      <c r="G566" s="4">
        <v>3336899.589999914</v>
      </c>
      <c r="H566" s="4"/>
      <c r="I566" s="6" t="s">
        <v>44</v>
      </c>
    </row>
    <row r="567">
      <c r="A567" s="1">
        <v>46291.0</v>
      </c>
      <c r="B567" s="3" t="s">
        <v>4</v>
      </c>
      <c r="C567" s="3" t="s">
        <v>578</v>
      </c>
      <c r="D567" s="5">
        <v>2866360.0</v>
      </c>
      <c r="E567" s="4"/>
      <c r="F567" s="5" t="s">
        <v>6</v>
      </c>
      <c r="G567" s="4">
        <v>470539.58999991417</v>
      </c>
      <c r="H567" s="5">
        <v>470539.59</v>
      </c>
      <c r="I567" s="6" t="s">
        <v>44</v>
      </c>
    </row>
    <row r="568">
      <c r="A568" s="1">
        <v>46292.0</v>
      </c>
      <c r="B568" s="3" t="s">
        <v>579</v>
      </c>
      <c r="C568" s="3" t="s">
        <v>580</v>
      </c>
      <c r="D568" s="5"/>
      <c r="E568" s="5">
        <v>3.902456E8</v>
      </c>
      <c r="F568" s="5" t="s">
        <v>3</v>
      </c>
      <c r="G568" s="4">
        <v>3.907161395899999E8</v>
      </c>
      <c r="H568" s="5">
        <v>3.9071613959E8</v>
      </c>
      <c r="I568" s="6" t="s">
        <v>44</v>
      </c>
    </row>
    <row r="569">
      <c r="A569" s="1">
        <v>46292.0</v>
      </c>
      <c r="B569" s="3" t="s">
        <v>4</v>
      </c>
      <c r="C569" s="3" t="s">
        <v>581</v>
      </c>
      <c r="D569" s="5">
        <v>5.201096E7</v>
      </c>
      <c r="E569" s="4"/>
      <c r="F569" s="5" t="s">
        <v>6</v>
      </c>
      <c r="G569" s="4">
        <v>3.387051795899999E8</v>
      </c>
      <c r="H569" s="5">
        <v>3.3870517959E8</v>
      </c>
      <c r="I569" s="6" t="s">
        <v>44</v>
      </c>
    </row>
    <row r="570">
      <c r="A570" s="1">
        <v>46292.0</v>
      </c>
      <c r="B570" s="3" t="s">
        <v>4</v>
      </c>
      <c r="C570" s="3" t="s">
        <v>582</v>
      </c>
      <c r="D570" s="5">
        <v>1.5605E7</v>
      </c>
      <c r="E570" s="4"/>
      <c r="F570" s="5" t="s">
        <v>6</v>
      </c>
      <c r="G570" s="4">
        <v>3.231001795899999E8</v>
      </c>
      <c r="H570" s="4"/>
      <c r="I570" s="6" t="s">
        <v>44</v>
      </c>
    </row>
    <row r="571">
      <c r="A571" s="1">
        <v>46292.0</v>
      </c>
      <c r="B571" s="3" t="s">
        <v>4</v>
      </c>
      <c r="C571" s="3" t="s">
        <v>583</v>
      </c>
      <c r="D571" s="5">
        <v>7.95126E7</v>
      </c>
      <c r="E571" s="4"/>
      <c r="F571" s="5" t="s">
        <v>6</v>
      </c>
      <c r="G571" s="4">
        <v>2.435875795899999E8</v>
      </c>
      <c r="H571" s="4"/>
      <c r="I571" s="6" t="s">
        <v>44</v>
      </c>
    </row>
    <row r="572">
      <c r="A572" s="1">
        <v>46292.0</v>
      </c>
      <c r="B572" s="3" t="s">
        <v>4</v>
      </c>
      <c r="C572" s="3" t="s">
        <v>584</v>
      </c>
      <c r="D572" s="5">
        <v>1.288365E8</v>
      </c>
      <c r="E572" s="4"/>
      <c r="F572" s="5" t="s">
        <v>6</v>
      </c>
      <c r="G572" s="4">
        <v>1.1475107958999991E8</v>
      </c>
      <c r="H572" s="4"/>
      <c r="I572" s="6" t="s">
        <v>44</v>
      </c>
    </row>
    <row r="573">
      <c r="A573" s="1">
        <v>46292.0</v>
      </c>
      <c r="B573" s="3" t="s">
        <v>4</v>
      </c>
      <c r="C573" s="3" t="s">
        <v>585</v>
      </c>
      <c r="D573" s="5">
        <v>1.850175E7</v>
      </c>
      <c r="E573" s="4"/>
      <c r="F573" s="5" t="s">
        <v>6</v>
      </c>
      <c r="G573" s="4">
        <v>9.624932958999991E7</v>
      </c>
      <c r="H573" s="4"/>
      <c r="I573" s="6" t="s">
        <v>44</v>
      </c>
    </row>
    <row r="574">
      <c r="A574" s="1">
        <v>46292.0</v>
      </c>
      <c r="B574" s="3" t="s">
        <v>4</v>
      </c>
      <c r="C574" s="3" t="s">
        <v>586</v>
      </c>
      <c r="D574" s="5">
        <v>9.0E7</v>
      </c>
      <c r="E574" s="4"/>
      <c r="F574" s="5" t="s">
        <v>6</v>
      </c>
      <c r="G574" s="4">
        <v>6249329.589999914</v>
      </c>
      <c r="H574" s="4"/>
      <c r="I574" s="6" t="s">
        <v>44</v>
      </c>
    </row>
    <row r="575">
      <c r="A575" s="1">
        <v>46292.0</v>
      </c>
      <c r="B575" s="3" t="s">
        <v>4</v>
      </c>
      <c r="C575" s="3" t="s">
        <v>587</v>
      </c>
      <c r="D575" s="5">
        <v>1162800.0</v>
      </c>
      <c r="E575" s="4"/>
      <c r="F575" s="5" t="s">
        <v>6</v>
      </c>
      <c r="G575" s="4">
        <v>5086529.589999914</v>
      </c>
      <c r="H575" s="4"/>
      <c r="I575" s="6" t="s">
        <v>44</v>
      </c>
    </row>
    <row r="576">
      <c r="A576" s="1">
        <v>46292.0</v>
      </c>
      <c r="B576" s="3" t="s">
        <v>28</v>
      </c>
      <c r="C576" s="3" t="s">
        <v>29</v>
      </c>
      <c r="E576" s="5">
        <v>7.15655E7</v>
      </c>
      <c r="F576" s="4"/>
      <c r="G576" s="4">
        <v>7.665202958999991E7</v>
      </c>
      <c r="H576" s="4"/>
      <c r="I576" s="6" t="s">
        <v>44</v>
      </c>
    </row>
    <row r="577">
      <c r="A577" s="1">
        <v>46292.0</v>
      </c>
      <c r="B577" s="3" t="s">
        <v>24</v>
      </c>
      <c r="C577" s="3" t="s">
        <v>588</v>
      </c>
      <c r="D577" s="5"/>
      <c r="E577" s="5">
        <v>6.52623E7</v>
      </c>
      <c r="F577" s="5" t="s">
        <v>3</v>
      </c>
      <c r="G577" s="4">
        <v>1.419143295899999E8</v>
      </c>
      <c r="H577" s="4"/>
      <c r="I577" s="6" t="s">
        <v>44</v>
      </c>
    </row>
    <row r="578">
      <c r="A578" s="1">
        <v>46292.0</v>
      </c>
      <c r="B578" s="3" t="s">
        <v>589</v>
      </c>
      <c r="C578" s="3" t="s">
        <v>589</v>
      </c>
      <c r="D578" s="5">
        <v>2500000.0</v>
      </c>
      <c r="E578" s="4"/>
      <c r="F578" s="4"/>
      <c r="G578" s="4">
        <v>1.394143295899999E8</v>
      </c>
      <c r="H578" s="4"/>
      <c r="I578" s="6" t="s">
        <v>44</v>
      </c>
    </row>
    <row r="579">
      <c r="A579" s="1">
        <v>46292.0</v>
      </c>
      <c r="B579" s="3" t="s">
        <v>589</v>
      </c>
      <c r="C579" s="3" t="s">
        <v>589</v>
      </c>
      <c r="D579" s="5">
        <v>2500000.0</v>
      </c>
      <c r="E579" s="4"/>
      <c r="F579" s="4"/>
      <c r="G579" s="4">
        <v>1.369143295899999E8</v>
      </c>
      <c r="H579" s="4"/>
      <c r="I579" s="6" t="s">
        <v>44</v>
      </c>
    </row>
    <row r="580">
      <c r="A580" s="1">
        <v>46292.0</v>
      </c>
      <c r="B580" s="3" t="s">
        <v>4</v>
      </c>
      <c r="C580" s="3" t="s">
        <v>590</v>
      </c>
      <c r="D580" s="5">
        <v>1500000.0</v>
      </c>
      <c r="E580" s="4"/>
      <c r="F580" s="5" t="s">
        <v>6</v>
      </c>
      <c r="G580" s="4">
        <v>1.354143295899999E8</v>
      </c>
      <c r="H580" s="4"/>
      <c r="I580" s="6" t="s">
        <v>44</v>
      </c>
    </row>
    <row r="581">
      <c r="A581" s="1">
        <v>46292.0</v>
      </c>
      <c r="B581" s="3" t="s">
        <v>589</v>
      </c>
      <c r="C581" s="3" t="s">
        <v>589</v>
      </c>
      <c r="D581" s="5">
        <v>2500000.0</v>
      </c>
      <c r="E581" s="4"/>
      <c r="F581" s="4"/>
      <c r="G581" s="4">
        <v>1.3291432958999991E8</v>
      </c>
      <c r="H581" s="4"/>
      <c r="I581" s="6" t="s">
        <v>44</v>
      </c>
    </row>
    <row r="582">
      <c r="A582" s="1">
        <v>46292.0</v>
      </c>
      <c r="B582" s="3" t="s">
        <v>589</v>
      </c>
      <c r="C582" s="3" t="s">
        <v>589</v>
      </c>
      <c r="D582" s="5">
        <v>2500000.0</v>
      </c>
      <c r="E582" s="4"/>
      <c r="F582" s="4"/>
      <c r="G582" s="4">
        <v>1.3041432958999991E8</v>
      </c>
      <c r="H582" s="4"/>
      <c r="I582" s="6" t="s">
        <v>44</v>
      </c>
    </row>
    <row r="583">
      <c r="A583" s="1">
        <v>46292.0</v>
      </c>
      <c r="B583" s="3" t="s">
        <v>4</v>
      </c>
      <c r="C583" s="3" t="s">
        <v>591</v>
      </c>
      <c r="D583" s="5">
        <v>1.180679E8</v>
      </c>
      <c r="E583" s="4"/>
      <c r="F583" s="5" t="s">
        <v>6</v>
      </c>
      <c r="G583" s="4">
        <v>1.2346429589999914E7</v>
      </c>
      <c r="H583" s="4"/>
      <c r="I583" s="6" t="s">
        <v>44</v>
      </c>
    </row>
    <row r="584">
      <c r="A584" s="1">
        <v>46292.0</v>
      </c>
      <c r="B584" s="3" t="s">
        <v>24</v>
      </c>
      <c r="C584" s="3" t="s">
        <v>592</v>
      </c>
      <c r="D584" s="5"/>
      <c r="E584" s="5">
        <v>5.802475E7</v>
      </c>
      <c r="F584" s="5" t="s">
        <v>3</v>
      </c>
      <c r="G584" s="4">
        <v>7.037117958999991E7</v>
      </c>
      <c r="H584" s="5">
        <v>7.037117959E7</v>
      </c>
      <c r="I584" s="6" t="s">
        <v>44</v>
      </c>
    </row>
    <row r="585">
      <c r="A585" s="1">
        <v>46292.0</v>
      </c>
      <c r="B585" s="3" t="s">
        <v>24</v>
      </c>
      <c r="C585" s="3" t="s">
        <v>593</v>
      </c>
      <c r="D585" s="5"/>
      <c r="E585" s="5">
        <v>1.632225E8</v>
      </c>
      <c r="F585" s="5" t="s">
        <v>3</v>
      </c>
      <c r="G585" s="4">
        <v>2.335936795899999E8</v>
      </c>
      <c r="H585" s="5">
        <v>2.3359367959E8</v>
      </c>
      <c r="I585" s="6" t="s">
        <v>44</v>
      </c>
    </row>
    <row r="586">
      <c r="A586" s="1">
        <v>46292.0</v>
      </c>
      <c r="B586" s="3" t="s">
        <v>4</v>
      </c>
      <c r="C586" s="3" t="s">
        <v>594</v>
      </c>
      <c r="D586" s="5">
        <v>7.4486E7</v>
      </c>
      <c r="E586" s="4"/>
      <c r="F586" s="5" t="s">
        <v>6</v>
      </c>
      <c r="G586" s="4">
        <v>1.591076795899999E8</v>
      </c>
      <c r="H586" s="4"/>
      <c r="I586" s="6" t="s">
        <v>44</v>
      </c>
    </row>
    <row r="587">
      <c r="A587" s="1">
        <v>46292.0</v>
      </c>
      <c r="B587" s="3" t="s">
        <v>4</v>
      </c>
      <c r="C587" s="3" t="s">
        <v>595</v>
      </c>
      <c r="D587" s="5">
        <v>6.03E7</v>
      </c>
      <c r="E587" s="4"/>
      <c r="F587" s="5" t="s">
        <v>6</v>
      </c>
      <c r="G587" s="4">
        <v>9.880767958999991E7</v>
      </c>
      <c r="H587" s="4"/>
      <c r="I587" s="6" t="s">
        <v>44</v>
      </c>
    </row>
    <row r="588">
      <c r="A588" s="1">
        <v>46292.0</v>
      </c>
      <c r="B588" s="3" t="s">
        <v>4</v>
      </c>
      <c r="C588" s="3" t="s">
        <v>596</v>
      </c>
      <c r="D588" s="5">
        <v>5.79025E7</v>
      </c>
      <c r="E588" s="4"/>
      <c r="F588" s="5" t="s">
        <v>6</v>
      </c>
      <c r="G588" s="4">
        <v>4.0905179589999914E7</v>
      </c>
      <c r="H588" s="4"/>
      <c r="I588" s="6" t="s">
        <v>44</v>
      </c>
    </row>
    <row r="589">
      <c r="A589" s="1">
        <v>46292.0</v>
      </c>
      <c r="B589" s="3" t="s">
        <v>4</v>
      </c>
      <c r="C589" s="3" t="s">
        <v>597</v>
      </c>
      <c r="D589" s="5">
        <v>1.0E7</v>
      </c>
      <c r="E589" s="4"/>
      <c r="F589" s="5" t="s">
        <v>6</v>
      </c>
      <c r="G589" s="4">
        <v>3.0905179589999914E7</v>
      </c>
      <c r="H589" s="4"/>
      <c r="I589" s="6" t="s">
        <v>44</v>
      </c>
    </row>
    <row r="590">
      <c r="A590" s="1">
        <v>46292.0</v>
      </c>
      <c r="B590" s="3" t="s">
        <v>4</v>
      </c>
      <c r="C590" s="3" t="s">
        <v>598</v>
      </c>
      <c r="D590" s="5">
        <v>1.03607E7</v>
      </c>
      <c r="E590" s="4"/>
      <c r="F590" s="5" t="s">
        <v>6</v>
      </c>
      <c r="G590" s="4">
        <v>2.0544479589999914E7</v>
      </c>
      <c r="H590" s="4"/>
      <c r="I590" s="6" t="s">
        <v>44</v>
      </c>
    </row>
    <row r="591">
      <c r="A591" s="1">
        <v>46292.0</v>
      </c>
      <c r="B591" s="3" t="s">
        <v>24</v>
      </c>
      <c r="C591" s="3" t="s">
        <v>599</v>
      </c>
      <c r="D591" s="5"/>
      <c r="E591" s="5">
        <v>1.0E8</v>
      </c>
      <c r="F591" s="5" t="s">
        <v>3</v>
      </c>
      <c r="G591" s="4">
        <v>1.2054447958999991E8</v>
      </c>
      <c r="H591" s="4"/>
      <c r="I591" s="6" t="s">
        <v>44</v>
      </c>
    </row>
    <row r="592">
      <c r="A592" s="1">
        <v>46292.0</v>
      </c>
      <c r="B592" s="3" t="s">
        <v>4</v>
      </c>
      <c r="C592" s="3" t="s">
        <v>600</v>
      </c>
      <c r="D592" s="5">
        <v>6.831E7</v>
      </c>
      <c r="E592" s="4"/>
      <c r="F592" s="5" t="s">
        <v>6</v>
      </c>
      <c r="G592" s="4">
        <v>5.2234479589999914E7</v>
      </c>
      <c r="H592" s="4"/>
      <c r="I592" s="6" t="s">
        <v>44</v>
      </c>
    </row>
    <row r="593">
      <c r="A593" s="1">
        <v>46292.0</v>
      </c>
      <c r="B593" s="3" t="s">
        <v>24</v>
      </c>
      <c r="C593" s="3" t="s">
        <v>601</v>
      </c>
      <c r="D593" s="5"/>
      <c r="E593" s="5">
        <v>1.0E8</v>
      </c>
      <c r="F593" s="5" t="s">
        <v>3</v>
      </c>
      <c r="G593" s="4">
        <v>1.522344795899999E8</v>
      </c>
      <c r="H593" s="4"/>
      <c r="I593" s="6" t="s">
        <v>44</v>
      </c>
    </row>
    <row r="594">
      <c r="A594" s="1">
        <v>46292.0</v>
      </c>
      <c r="B594" s="3" t="s">
        <v>24</v>
      </c>
      <c r="C594" s="3" t="s">
        <v>602</v>
      </c>
      <c r="D594" s="5"/>
      <c r="E594" s="5">
        <v>3.235652E8</v>
      </c>
      <c r="F594" s="5" t="s">
        <v>3</v>
      </c>
      <c r="G594" s="4">
        <v>4.757996795899999E8</v>
      </c>
      <c r="H594" s="5">
        <v>4.7579967959E8</v>
      </c>
      <c r="I594" s="6" t="s">
        <v>44</v>
      </c>
    </row>
    <row r="595">
      <c r="A595" s="1">
        <v>46293.0</v>
      </c>
      <c r="B595" s="3" t="s">
        <v>603</v>
      </c>
      <c r="C595" s="3" t="s">
        <v>604</v>
      </c>
      <c r="D595" s="5">
        <v>7.3E7</v>
      </c>
      <c r="E595" s="4"/>
      <c r="F595" s="5" t="s">
        <v>6</v>
      </c>
      <c r="G595" s="4">
        <v>4.027996795899999E8</v>
      </c>
      <c r="H595" s="4"/>
      <c r="I595" s="6" t="s">
        <v>44</v>
      </c>
    </row>
    <row r="596">
      <c r="A596" s="1">
        <v>46293.0</v>
      </c>
      <c r="B596" s="3" t="s">
        <v>603</v>
      </c>
      <c r="C596" s="3" t="s">
        <v>605</v>
      </c>
      <c r="D596" s="5">
        <v>5.6E7</v>
      </c>
      <c r="E596" s="4"/>
      <c r="F596" s="5" t="s">
        <v>6</v>
      </c>
      <c r="G596" s="4">
        <v>3.467996795899999E8</v>
      </c>
      <c r="H596" s="5">
        <v>3.4679967959E8</v>
      </c>
      <c r="I596" s="6" t="s">
        <v>44</v>
      </c>
    </row>
    <row r="597">
      <c r="A597" s="1">
        <v>46293.0</v>
      </c>
      <c r="B597" s="3" t="s">
        <v>603</v>
      </c>
      <c r="C597" s="3" t="s">
        <v>606</v>
      </c>
      <c r="D597" s="5">
        <v>3.963455E7</v>
      </c>
      <c r="E597" s="4"/>
      <c r="F597" s="5" t="s">
        <v>6</v>
      </c>
      <c r="G597" s="4">
        <v>3.071651295899999E8</v>
      </c>
      <c r="H597" s="5">
        <v>3.0716512959E8</v>
      </c>
      <c r="I597" s="6" t="s">
        <v>44</v>
      </c>
    </row>
    <row r="598">
      <c r="A598" s="1">
        <v>46293.0</v>
      </c>
      <c r="B598" s="3" t="s">
        <v>4</v>
      </c>
      <c r="C598" s="3" t="s">
        <v>607</v>
      </c>
      <c r="D598" s="5">
        <v>1.8489207E8</v>
      </c>
      <c r="E598" s="4"/>
      <c r="F598" s="5" t="s">
        <v>6</v>
      </c>
      <c r="G598" s="4">
        <v>1.2227305958999991E8</v>
      </c>
      <c r="H598" s="4"/>
      <c r="I598" s="6" t="s">
        <v>44</v>
      </c>
    </row>
    <row r="599">
      <c r="A599" s="1">
        <v>46293.0</v>
      </c>
      <c r="B599" s="3" t="s">
        <v>4</v>
      </c>
      <c r="C599" s="3" t="s">
        <v>608</v>
      </c>
      <c r="D599" s="5">
        <v>1.9E7</v>
      </c>
      <c r="E599" s="4"/>
      <c r="F599" s="5" t="s">
        <v>6</v>
      </c>
      <c r="G599" s="4">
        <v>1.0327305958999991E8</v>
      </c>
      <c r="H599" s="4"/>
      <c r="I599" s="6" t="s">
        <v>44</v>
      </c>
    </row>
    <row r="600">
      <c r="A600" s="1">
        <v>46293.0</v>
      </c>
      <c r="B600" s="3" t="s">
        <v>4</v>
      </c>
      <c r="C600" s="3" t="s">
        <v>609</v>
      </c>
      <c r="D600" s="5">
        <v>2.4418E7</v>
      </c>
      <c r="E600" s="4"/>
      <c r="F600" s="5" t="s">
        <v>6</v>
      </c>
      <c r="G600" s="4">
        <v>7.885505958999991E7</v>
      </c>
      <c r="H600" s="4"/>
      <c r="I600" s="6" t="s">
        <v>44</v>
      </c>
    </row>
    <row r="601">
      <c r="A601" s="1">
        <v>46293.0</v>
      </c>
      <c r="B601" s="3" t="s">
        <v>4</v>
      </c>
      <c r="C601" s="3" t="s">
        <v>610</v>
      </c>
      <c r="D601" s="5">
        <v>1800000.0</v>
      </c>
      <c r="E601" s="4"/>
      <c r="F601" s="5" t="s">
        <v>6</v>
      </c>
      <c r="G601" s="4">
        <v>7.705505958999991E7</v>
      </c>
      <c r="H601" s="4"/>
      <c r="I601" s="6" t="s">
        <v>44</v>
      </c>
    </row>
    <row r="602">
      <c r="A602" s="1">
        <v>46293.0</v>
      </c>
      <c r="B602" s="3" t="s">
        <v>4</v>
      </c>
      <c r="C602" s="3" t="s">
        <v>611</v>
      </c>
      <c r="D602" s="5">
        <v>6000000.0</v>
      </c>
      <c r="E602" s="4"/>
      <c r="F602" s="5" t="s">
        <v>6</v>
      </c>
      <c r="G602" s="4">
        <v>7.105505958999991E7</v>
      </c>
      <c r="H602" s="4"/>
      <c r="I602" s="6" t="s">
        <v>44</v>
      </c>
    </row>
    <row r="603">
      <c r="A603" s="1">
        <v>46293.0</v>
      </c>
      <c r="B603" s="3" t="s">
        <v>4</v>
      </c>
      <c r="C603" s="3" t="s">
        <v>612</v>
      </c>
      <c r="D603" s="5">
        <v>1500000.0</v>
      </c>
      <c r="E603" s="4"/>
      <c r="F603" s="5" t="s">
        <v>6</v>
      </c>
      <c r="G603" s="4">
        <v>6.955505958999991E7</v>
      </c>
      <c r="H603" s="4"/>
      <c r="I603" s="6" t="s">
        <v>44</v>
      </c>
    </row>
    <row r="604">
      <c r="A604" s="1">
        <v>46293.0</v>
      </c>
      <c r="B604" s="3" t="s">
        <v>4</v>
      </c>
      <c r="C604" s="3" t="s">
        <v>613</v>
      </c>
      <c r="D604" s="5">
        <v>4409880.0</v>
      </c>
      <c r="E604" s="4"/>
      <c r="F604" s="5" t="s">
        <v>6</v>
      </c>
      <c r="G604" s="4">
        <v>6.5145179589999914E7</v>
      </c>
      <c r="H604" s="4"/>
      <c r="I604" s="6" t="s">
        <v>44</v>
      </c>
    </row>
    <row r="605">
      <c r="A605" s="1">
        <v>46293.0</v>
      </c>
      <c r="B605" s="3" t="s">
        <v>4</v>
      </c>
      <c r="C605" s="3" t="s">
        <v>614</v>
      </c>
      <c r="D605" s="5">
        <v>5208200.0</v>
      </c>
      <c r="E605" s="4"/>
      <c r="F605" s="5" t="s">
        <v>6</v>
      </c>
      <c r="G605" s="4">
        <v>5.9936979589999914E7</v>
      </c>
      <c r="H605" s="4"/>
      <c r="I605" s="6" t="s">
        <v>44</v>
      </c>
    </row>
    <row r="606">
      <c r="A606" s="1">
        <v>46293.0</v>
      </c>
      <c r="B606" s="3" t="s">
        <v>4</v>
      </c>
      <c r="C606" s="3" t="s">
        <v>615</v>
      </c>
      <c r="D606" s="5">
        <v>1.359234E7</v>
      </c>
      <c r="E606" s="4"/>
      <c r="F606" s="5" t="s">
        <v>6</v>
      </c>
      <c r="G606" s="4">
        <v>4.6344639589999914E7</v>
      </c>
      <c r="H606" s="4"/>
      <c r="I606" s="6" t="s">
        <v>44</v>
      </c>
    </row>
    <row r="607">
      <c r="A607" s="1">
        <v>46293.0</v>
      </c>
      <c r="B607" s="3" t="s">
        <v>24</v>
      </c>
      <c r="C607" s="3" t="s">
        <v>616</v>
      </c>
      <c r="D607" s="5"/>
      <c r="E607" s="5">
        <v>2.794086E8</v>
      </c>
      <c r="F607" s="5" t="s">
        <v>3</v>
      </c>
      <c r="G607" s="4">
        <v>3.257532395899999E8</v>
      </c>
      <c r="H607" s="4"/>
      <c r="I607" s="6" t="s">
        <v>44</v>
      </c>
    </row>
    <row r="608">
      <c r="A608" s="1">
        <v>46293.0</v>
      </c>
      <c r="B608" s="3" t="s">
        <v>4</v>
      </c>
      <c r="C608" s="3" t="s">
        <v>617</v>
      </c>
      <c r="D608" s="5">
        <v>1.14784E8</v>
      </c>
      <c r="E608" s="4"/>
      <c r="F608" s="5" t="s">
        <v>6</v>
      </c>
      <c r="G608" s="4">
        <v>2.109692395899999E8</v>
      </c>
      <c r="H608" s="4"/>
      <c r="I608" s="6" t="s">
        <v>44</v>
      </c>
    </row>
    <row r="609">
      <c r="A609" s="1">
        <v>46293.0</v>
      </c>
      <c r="B609" s="3" t="s">
        <v>4</v>
      </c>
      <c r="C609" s="3" t="s">
        <v>618</v>
      </c>
      <c r="D609" s="5">
        <v>7.24812E7</v>
      </c>
      <c r="E609" s="4"/>
      <c r="F609" s="5" t="s">
        <v>6</v>
      </c>
      <c r="G609" s="4">
        <v>1.384880395899999E8</v>
      </c>
      <c r="H609" s="4"/>
      <c r="I609" s="6" t="s">
        <v>44</v>
      </c>
    </row>
    <row r="610">
      <c r="A610" s="1">
        <v>46293.0</v>
      </c>
      <c r="B610" s="3" t="s">
        <v>4</v>
      </c>
      <c r="C610" s="3" t="s">
        <v>619</v>
      </c>
      <c r="D610" s="5">
        <v>7.24812E7</v>
      </c>
      <c r="E610" s="4"/>
      <c r="F610" s="5" t="s">
        <v>6</v>
      </c>
      <c r="G610" s="4">
        <v>6.6006839589999914E7</v>
      </c>
      <c r="H610" s="5">
        <v>6.600683959E7</v>
      </c>
      <c r="I610" s="6" t="s">
        <v>44</v>
      </c>
    </row>
    <row r="611">
      <c r="A611" s="1">
        <v>46293.0</v>
      </c>
      <c r="B611" s="3" t="s">
        <v>4</v>
      </c>
      <c r="C611" s="3" t="s">
        <v>620</v>
      </c>
      <c r="D611" s="5">
        <v>5.5599E7</v>
      </c>
      <c r="E611" s="4"/>
      <c r="F611" s="5" t="s">
        <v>6</v>
      </c>
      <c r="G611" s="4">
        <v>1.0407839589999914E7</v>
      </c>
      <c r="H611" s="5">
        <v>1.040783959E7</v>
      </c>
      <c r="I611" s="6" t="s">
        <v>44</v>
      </c>
    </row>
    <row r="612">
      <c r="A612" s="1">
        <v>46293.0</v>
      </c>
      <c r="B612" s="3" t="s">
        <v>4</v>
      </c>
      <c r="C612" s="3" t="s">
        <v>621</v>
      </c>
      <c r="D612" s="5">
        <v>1500000.0</v>
      </c>
      <c r="E612" s="4"/>
      <c r="F612" s="5" t="s">
        <v>6</v>
      </c>
      <c r="G612" s="4">
        <v>8907839.589999914</v>
      </c>
      <c r="H612" s="4"/>
      <c r="I612" s="6" t="s">
        <v>44</v>
      </c>
    </row>
    <row r="613">
      <c r="A613" s="7">
        <v>46293.0</v>
      </c>
      <c r="B613" s="8" t="s">
        <v>622</v>
      </c>
      <c r="C613" s="8" t="s">
        <v>622</v>
      </c>
      <c r="D613" s="9">
        <v>1000000.0</v>
      </c>
      <c r="E613" s="11"/>
      <c r="F613" s="11"/>
      <c r="G613" s="11">
        <v>7907839.589999914</v>
      </c>
      <c r="H613" s="9">
        <v>7907839.59</v>
      </c>
      <c r="I613" s="6" t="s">
        <v>44</v>
      </c>
    </row>
    <row r="614">
      <c r="A614" s="1">
        <v>46294.0</v>
      </c>
      <c r="B614" s="3" t="s">
        <v>623</v>
      </c>
      <c r="C614" s="3" t="s">
        <v>624</v>
      </c>
      <c r="D614" s="5"/>
      <c r="E614" s="5">
        <v>3.08E7</v>
      </c>
      <c r="F614" s="5" t="s">
        <v>3</v>
      </c>
      <c r="G614" s="4">
        <v>3.8707839589999914E7</v>
      </c>
      <c r="H614" s="4"/>
      <c r="I614" s="6" t="s">
        <v>44</v>
      </c>
    </row>
    <row r="615">
      <c r="A615" s="1">
        <v>46294.0</v>
      </c>
      <c r="B615" s="3" t="s">
        <v>623</v>
      </c>
      <c r="C615" s="3" t="s">
        <v>625</v>
      </c>
      <c r="D615" s="5"/>
      <c r="E615" s="5">
        <v>2.8E7</v>
      </c>
      <c r="F615" s="5" t="s">
        <v>3</v>
      </c>
      <c r="G615" s="4">
        <v>6.6707839589999914E7</v>
      </c>
      <c r="H615" s="4"/>
      <c r="I615" s="6" t="s">
        <v>44</v>
      </c>
    </row>
    <row r="616">
      <c r="A616" s="1">
        <v>46294.0</v>
      </c>
      <c r="B616" s="3" t="s">
        <v>626</v>
      </c>
      <c r="C616" s="3" t="s">
        <v>627</v>
      </c>
      <c r="D616" s="5">
        <v>5.5309E7</v>
      </c>
      <c r="E616" s="4"/>
      <c r="F616" s="5" t="s">
        <v>6</v>
      </c>
      <c r="G616" s="4">
        <v>1.1398839589999914E7</v>
      </c>
      <c r="H616" s="4"/>
      <c r="I616" s="6" t="s">
        <v>44</v>
      </c>
    </row>
    <row r="617">
      <c r="A617" s="1">
        <v>46294.0</v>
      </c>
      <c r="B617" s="3" t="s">
        <v>28</v>
      </c>
      <c r="C617" s="3" t="s">
        <v>565</v>
      </c>
      <c r="E617" s="5">
        <v>7.17295E7</v>
      </c>
      <c r="F617" s="4"/>
      <c r="G617" s="4">
        <v>8.312833958999991E7</v>
      </c>
      <c r="H617" s="4"/>
      <c r="I617" s="6" t="s">
        <v>44</v>
      </c>
    </row>
    <row r="618">
      <c r="A618" s="1">
        <v>46294.0</v>
      </c>
      <c r="B618" s="3" t="s">
        <v>24</v>
      </c>
      <c r="C618" s="3" t="s">
        <v>628</v>
      </c>
      <c r="D618" s="5"/>
      <c r="E618" s="5">
        <v>2.902568E8</v>
      </c>
      <c r="F618" s="5" t="s">
        <v>3</v>
      </c>
      <c r="G618" s="4">
        <v>3.733851395899999E8</v>
      </c>
      <c r="H618" s="4"/>
      <c r="I618" s="6" t="s">
        <v>44</v>
      </c>
    </row>
    <row r="619">
      <c r="A619" s="1">
        <v>46294.0</v>
      </c>
      <c r="B619" s="3" t="s">
        <v>4</v>
      </c>
      <c r="C619" s="3" t="s">
        <v>629</v>
      </c>
      <c r="D619" s="5">
        <v>8.057311E7</v>
      </c>
      <c r="E619" s="4"/>
      <c r="F619" s="5" t="s">
        <v>6</v>
      </c>
      <c r="G619" s="4">
        <v>2.928120295899999E8</v>
      </c>
      <c r="H619" s="4"/>
      <c r="I619" s="6" t="s">
        <v>44</v>
      </c>
    </row>
    <row r="620">
      <c r="A620" s="1">
        <v>46294.0</v>
      </c>
      <c r="B620" s="3" t="s">
        <v>4</v>
      </c>
      <c r="C620" s="3" t="s">
        <v>630</v>
      </c>
      <c r="D620" s="5">
        <v>6.7412E7</v>
      </c>
      <c r="E620" s="4"/>
      <c r="F620" s="5" t="s">
        <v>6</v>
      </c>
      <c r="G620" s="4">
        <v>2.254000295899999E8</v>
      </c>
      <c r="H620" s="4"/>
      <c r="I620" s="6" t="s">
        <v>44</v>
      </c>
    </row>
    <row r="621">
      <c r="A621" s="1">
        <v>46294.0</v>
      </c>
      <c r="B621" s="3" t="s">
        <v>24</v>
      </c>
      <c r="C621" s="3" t="s">
        <v>631</v>
      </c>
      <c r="D621" s="5"/>
      <c r="E621" s="5">
        <v>1.0E8</v>
      </c>
      <c r="F621" s="5" t="s">
        <v>3</v>
      </c>
      <c r="G621" s="4">
        <v>3.254000295899999E8</v>
      </c>
      <c r="H621" s="4"/>
      <c r="I621" s="6" t="s">
        <v>44</v>
      </c>
    </row>
    <row r="622">
      <c r="A622" s="1">
        <v>46294.0</v>
      </c>
      <c r="B622" s="3" t="s">
        <v>24</v>
      </c>
      <c r="C622" s="3" t="s">
        <v>632</v>
      </c>
      <c r="D622" s="5"/>
      <c r="E622" s="5">
        <v>1.7695427E8</v>
      </c>
      <c r="F622" s="5" t="s">
        <v>3</v>
      </c>
      <c r="G622" s="4">
        <v>5.023542995899999E8</v>
      </c>
      <c r="H622" s="4"/>
      <c r="I622" s="6" t="s">
        <v>44</v>
      </c>
    </row>
    <row r="623">
      <c r="A623" s="1">
        <v>46294.0</v>
      </c>
      <c r="B623" s="3" t="s">
        <v>24</v>
      </c>
      <c r="C623" s="3" t="s">
        <v>633</v>
      </c>
      <c r="D623" s="5"/>
      <c r="E623" s="5">
        <v>1.0E8</v>
      </c>
      <c r="F623" s="5" t="s">
        <v>3</v>
      </c>
      <c r="G623" s="4">
        <v>6.023542995899999E8</v>
      </c>
      <c r="H623" s="5">
        <v>6.0235429959E8</v>
      </c>
      <c r="I623" s="6" t="s">
        <v>44</v>
      </c>
    </row>
    <row r="624">
      <c r="A624" s="1">
        <v>46294.0</v>
      </c>
      <c r="B624" s="3" t="s">
        <v>4</v>
      </c>
      <c r="C624" s="3" t="s">
        <v>634</v>
      </c>
      <c r="D624" s="5">
        <v>1.433E8</v>
      </c>
      <c r="E624" s="4"/>
      <c r="F624" s="5" t="s">
        <v>6</v>
      </c>
      <c r="G624" s="4">
        <v>4.590542995899999E8</v>
      </c>
      <c r="H624" s="5">
        <v>4.5905429959E8</v>
      </c>
      <c r="I624" s="6" t="s">
        <v>44</v>
      </c>
    </row>
    <row r="625">
      <c r="A625" s="1">
        <v>46294.0</v>
      </c>
      <c r="B625" s="3" t="s">
        <v>4</v>
      </c>
      <c r="C625" s="3" t="s">
        <v>635</v>
      </c>
      <c r="D625" s="5">
        <v>500000.0</v>
      </c>
      <c r="E625" s="4"/>
      <c r="F625" s="5" t="s">
        <v>6</v>
      </c>
      <c r="G625" s="4">
        <v>4.585542995899999E8</v>
      </c>
      <c r="H625" s="4"/>
      <c r="I625" s="6" t="s">
        <v>44</v>
      </c>
    </row>
    <row r="626">
      <c r="A626" s="1">
        <v>46294.0</v>
      </c>
      <c r="B626" s="3" t="s">
        <v>4</v>
      </c>
      <c r="C626" s="3" t="s">
        <v>636</v>
      </c>
      <c r="D626" s="5">
        <v>1800000.0</v>
      </c>
      <c r="E626" s="4"/>
      <c r="F626" s="5" t="s">
        <v>6</v>
      </c>
      <c r="G626" s="4">
        <v>4.567542995899999E8</v>
      </c>
      <c r="H626" s="4"/>
      <c r="I626" s="6" t="s">
        <v>44</v>
      </c>
    </row>
    <row r="627">
      <c r="A627" s="1">
        <v>46294.0</v>
      </c>
      <c r="B627" s="3" t="s">
        <v>4</v>
      </c>
      <c r="C627" s="3" t="s">
        <v>637</v>
      </c>
      <c r="D627" s="5">
        <v>1.13772E7</v>
      </c>
      <c r="E627" s="4"/>
      <c r="F627" s="5" t="s">
        <v>6</v>
      </c>
      <c r="G627" s="4">
        <v>4.453770995899999E8</v>
      </c>
      <c r="H627" s="4"/>
      <c r="I627" s="6" t="s">
        <v>44</v>
      </c>
    </row>
    <row r="628">
      <c r="A628" s="1">
        <v>46294.0</v>
      </c>
      <c r="B628" s="3" t="s">
        <v>24</v>
      </c>
      <c r="C628" s="3" t="s">
        <v>638</v>
      </c>
      <c r="D628" s="5"/>
      <c r="E628" s="5">
        <v>3.1104441E8</v>
      </c>
      <c r="F628" s="5" t="s">
        <v>3</v>
      </c>
      <c r="G628" s="4">
        <v>7.564215095899999E8</v>
      </c>
      <c r="H628" s="4"/>
      <c r="I628" s="6" t="s">
        <v>44</v>
      </c>
    </row>
    <row r="629">
      <c r="A629" s="1">
        <v>46294.0</v>
      </c>
      <c r="B629" s="3" t="s">
        <v>4</v>
      </c>
      <c r="C629" s="3" t="s">
        <v>639</v>
      </c>
      <c r="D629" s="5">
        <v>2.1E7</v>
      </c>
      <c r="E629" s="4"/>
      <c r="F629" s="5" t="s">
        <v>6</v>
      </c>
      <c r="G629" s="4">
        <v>7.354215095899999E8</v>
      </c>
      <c r="H629" s="4"/>
      <c r="I629" s="6" t="s">
        <v>44</v>
      </c>
    </row>
    <row r="630">
      <c r="A630" s="1">
        <v>46294.0</v>
      </c>
      <c r="B630" s="3" t="s">
        <v>4</v>
      </c>
      <c r="C630" s="3" t="s">
        <v>640</v>
      </c>
      <c r="D630" s="5">
        <v>5.9858E7</v>
      </c>
      <c r="E630" s="4"/>
      <c r="F630" s="5" t="s">
        <v>6</v>
      </c>
      <c r="G630" s="4">
        <v>6.755635095899999E8</v>
      </c>
      <c r="H630" s="4"/>
      <c r="I630" s="6" t="s">
        <v>44</v>
      </c>
    </row>
    <row r="631">
      <c r="A631" s="1">
        <v>46294.0</v>
      </c>
      <c r="B631" s="3" t="s">
        <v>4</v>
      </c>
      <c r="C631" s="3" t="s">
        <v>641</v>
      </c>
      <c r="D631" s="5">
        <v>5.346486E7</v>
      </c>
      <c r="E631" s="4"/>
      <c r="F631" s="5" t="s">
        <v>6</v>
      </c>
      <c r="G631" s="4">
        <v>6.220986495899999E8</v>
      </c>
      <c r="H631" s="4"/>
      <c r="I631" s="6" t="s">
        <v>44</v>
      </c>
    </row>
    <row r="632">
      <c r="A632" s="1">
        <v>46294.0</v>
      </c>
      <c r="B632" s="3" t="s">
        <v>4</v>
      </c>
      <c r="C632" s="3" t="s">
        <v>642</v>
      </c>
      <c r="D632" s="5">
        <v>5.7876E7</v>
      </c>
      <c r="E632" s="4"/>
      <c r="F632" s="5" t="s">
        <v>6</v>
      </c>
      <c r="G632" s="4">
        <v>5.642226495899999E8</v>
      </c>
      <c r="H632" s="4"/>
      <c r="I632" s="6" t="s">
        <v>44</v>
      </c>
    </row>
    <row r="633">
      <c r="A633" s="1">
        <v>46294.0</v>
      </c>
      <c r="B633" s="3" t="s">
        <v>4</v>
      </c>
      <c r="C633" s="3" t="s">
        <v>643</v>
      </c>
      <c r="D633" s="5">
        <v>3.8865834E8</v>
      </c>
      <c r="E633" s="4"/>
      <c r="F633" s="5" t="s">
        <v>6</v>
      </c>
      <c r="G633" s="4">
        <v>1.755643095899999E8</v>
      </c>
      <c r="H633" s="5">
        <v>1.7556430959E8</v>
      </c>
      <c r="I633" s="6" t="s">
        <v>44</v>
      </c>
    </row>
    <row r="634">
      <c r="A634" s="1">
        <v>46295.0</v>
      </c>
      <c r="B634" s="3" t="s">
        <v>644</v>
      </c>
      <c r="C634" s="3" t="s">
        <v>645</v>
      </c>
      <c r="D634" s="5"/>
      <c r="E634" s="5">
        <v>3.0E7</v>
      </c>
      <c r="F634" s="5" t="s">
        <v>3</v>
      </c>
      <c r="G634" s="4">
        <v>2.055643095899999E8</v>
      </c>
      <c r="H634" s="4"/>
      <c r="I634" s="6" t="s">
        <v>44</v>
      </c>
    </row>
    <row r="635">
      <c r="A635" s="1">
        <v>46295.0</v>
      </c>
      <c r="B635" s="3" t="s">
        <v>644</v>
      </c>
      <c r="C635" s="3" t="s">
        <v>646</v>
      </c>
      <c r="D635" s="5"/>
      <c r="E635" s="5">
        <v>2.0E7</v>
      </c>
      <c r="F635" s="5" t="s">
        <v>3</v>
      </c>
      <c r="G635" s="4">
        <v>2.255643095899999E8</v>
      </c>
      <c r="H635" s="4"/>
      <c r="I635" s="6" t="s">
        <v>44</v>
      </c>
    </row>
    <row r="636">
      <c r="A636" s="1">
        <v>46295.0</v>
      </c>
      <c r="B636" s="3" t="s">
        <v>4</v>
      </c>
      <c r="C636" s="3" t="s">
        <v>647</v>
      </c>
      <c r="D636" s="5">
        <v>5.7E7</v>
      </c>
      <c r="E636" s="4"/>
      <c r="F636" s="5" t="s">
        <v>6</v>
      </c>
      <c r="G636" s="4">
        <v>1.685643095899999E8</v>
      </c>
      <c r="H636" s="5">
        <v>1.6856430959E8</v>
      </c>
      <c r="I636" s="6" t="s">
        <v>44</v>
      </c>
    </row>
    <row r="637">
      <c r="A637" s="1">
        <v>46295.0</v>
      </c>
      <c r="B637" s="3" t="s">
        <v>4</v>
      </c>
      <c r="C637" s="3" t="s">
        <v>648</v>
      </c>
      <c r="D637" s="5">
        <v>6.9305E7</v>
      </c>
      <c r="E637" s="4"/>
      <c r="F637" s="5" t="s">
        <v>6</v>
      </c>
      <c r="G637" s="4">
        <v>9.925930958999991E7</v>
      </c>
      <c r="H637" s="5">
        <v>9.925930959E7</v>
      </c>
      <c r="I637" s="6" t="s">
        <v>44</v>
      </c>
    </row>
    <row r="638">
      <c r="A638" s="1">
        <v>46295.0</v>
      </c>
      <c r="B638" s="3" t="s">
        <v>4</v>
      </c>
      <c r="C638" s="3" t="s">
        <v>649</v>
      </c>
      <c r="D638" s="5">
        <v>1.649532E7</v>
      </c>
      <c r="E638" s="4"/>
      <c r="F638" s="5" t="s">
        <v>6</v>
      </c>
      <c r="G638" s="4">
        <v>8.276398958999991E7</v>
      </c>
      <c r="H638" s="4"/>
      <c r="I638" s="6" t="s">
        <v>44</v>
      </c>
    </row>
    <row r="639">
      <c r="A639" s="1">
        <v>46295.0</v>
      </c>
      <c r="B639" s="3" t="s">
        <v>4</v>
      </c>
      <c r="C639" s="3" t="s">
        <v>650</v>
      </c>
      <c r="D639" s="5">
        <v>5874720.0</v>
      </c>
      <c r="E639" s="4"/>
      <c r="F639" s="5" t="s">
        <v>6</v>
      </c>
      <c r="G639" s="4">
        <v>7.688926958999991E7</v>
      </c>
      <c r="H639" s="4"/>
      <c r="I639" s="6" t="s">
        <v>44</v>
      </c>
    </row>
    <row r="640">
      <c r="A640" s="1">
        <v>46295.0</v>
      </c>
      <c r="B640" s="3" t="s">
        <v>4</v>
      </c>
      <c r="C640" s="3" t="s">
        <v>651</v>
      </c>
      <c r="D640" s="5">
        <v>3.0E7</v>
      </c>
      <c r="E640" s="4"/>
      <c r="F640" s="5" t="s">
        <v>6</v>
      </c>
      <c r="G640" s="4">
        <v>4.6889269589999914E7</v>
      </c>
      <c r="H640" s="4"/>
      <c r="I640" s="6" t="s">
        <v>44</v>
      </c>
    </row>
    <row r="641">
      <c r="A641" s="1">
        <v>46295.0</v>
      </c>
      <c r="B641" s="3" t="s">
        <v>24</v>
      </c>
      <c r="C641" s="3" t="s">
        <v>652</v>
      </c>
      <c r="D641" s="5"/>
      <c r="E641" s="5">
        <v>2.346813E8</v>
      </c>
      <c r="F641" s="5" t="s">
        <v>3</v>
      </c>
      <c r="G641" s="4">
        <v>2.815705695899999E8</v>
      </c>
      <c r="H641" s="4"/>
      <c r="I641" s="6" t="s">
        <v>44</v>
      </c>
    </row>
    <row r="642">
      <c r="A642" s="1">
        <v>46295.0</v>
      </c>
      <c r="B642" s="3" t="s">
        <v>4</v>
      </c>
      <c r="C642" s="3" t="s">
        <v>653</v>
      </c>
      <c r="D642" s="5">
        <v>1.1308E7</v>
      </c>
      <c r="E642" s="4"/>
      <c r="F642" s="5" t="s">
        <v>6</v>
      </c>
      <c r="G642" s="4">
        <v>2.702625695899999E8</v>
      </c>
      <c r="H642" s="4"/>
      <c r="I642" s="6" t="s">
        <v>44</v>
      </c>
    </row>
    <row r="643">
      <c r="A643" s="1">
        <v>46295.0</v>
      </c>
      <c r="B643" s="3" t="s">
        <v>24</v>
      </c>
      <c r="C643" s="3" t="s">
        <v>654</v>
      </c>
      <c r="D643" s="5"/>
      <c r="E643" s="5">
        <v>1.0E8</v>
      </c>
      <c r="F643" s="5" t="s">
        <v>3</v>
      </c>
      <c r="G643" s="4">
        <v>3.702625695899999E8</v>
      </c>
      <c r="H643" s="4"/>
      <c r="I643" s="6" t="s">
        <v>44</v>
      </c>
    </row>
    <row r="644">
      <c r="A644" s="1">
        <v>46295.0</v>
      </c>
      <c r="B644" s="3" t="s">
        <v>21</v>
      </c>
      <c r="C644" s="3" t="s">
        <v>415</v>
      </c>
      <c r="D644" s="5">
        <v>146000.0</v>
      </c>
      <c r="E644" s="4"/>
      <c r="F644" s="5" t="s">
        <v>6</v>
      </c>
      <c r="G644" s="4">
        <v>3.701165695899999E8</v>
      </c>
      <c r="H644" s="4"/>
      <c r="I644" s="6" t="s">
        <v>44</v>
      </c>
    </row>
    <row r="645">
      <c r="A645" s="1">
        <v>46295.0</v>
      </c>
      <c r="B645" s="3" t="s">
        <v>21</v>
      </c>
      <c r="C645" s="3" t="s">
        <v>416</v>
      </c>
      <c r="D645" s="5">
        <v>2500.0</v>
      </c>
      <c r="E645" s="4"/>
      <c r="F645" s="5" t="s">
        <v>6</v>
      </c>
      <c r="G645" s="4">
        <v>3.701140695899999E8</v>
      </c>
      <c r="H645" s="4"/>
      <c r="I645" s="6" t="s">
        <v>44</v>
      </c>
    </row>
    <row r="646">
      <c r="A646" s="1">
        <v>46295.0</v>
      </c>
      <c r="B646" s="3" t="s">
        <v>24</v>
      </c>
      <c r="C646" s="3" t="s">
        <v>655</v>
      </c>
      <c r="D646" s="5"/>
      <c r="E646" s="5">
        <v>1.4963228E8</v>
      </c>
      <c r="F646" s="5" t="s">
        <v>3</v>
      </c>
      <c r="G646" s="4">
        <v>5.197463495899999E8</v>
      </c>
      <c r="H646" s="4"/>
      <c r="I646" s="6" t="s">
        <v>44</v>
      </c>
    </row>
    <row r="647">
      <c r="A647" s="1">
        <v>46295.0</v>
      </c>
      <c r="B647" s="3" t="s">
        <v>4</v>
      </c>
      <c r="C647" s="3" t="s">
        <v>656</v>
      </c>
      <c r="D647" s="5">
        <v>1800000.0</v>
      </c>
      <c r="E647" s="4"/>
      <c r="F647" s="5" t="s">
        <v>6</v>
      </c>
      <c r="G647" s="4">
        <v>5.179463495899999E8</v>
      </c>
      <c r="H647" s="4"/>
      <c r="I647" s="6" t="s">
        <v>44</v>
      </c>
    </row>
    <row r="648">
      <c r="A648" s="1">
        <v>46295.0</v>
      </c>
      <c r="B648" s="3" t="s">
        <v>4</v>
      </c>
      <c r="C648" s="3" t="s">
        <v>657</v>
      </c>
      <c r="D648" s="5">
        <v>5.55E7</v>
      </c>
      <c r="E648" s="4"/>
      <c r="F648" s="5" t="s">
        <v>6</v>
      </c>
      <c r="G648" s="4">
        <v>4.624463495899999E8</v>
      </c>
      <c r="H648" s="4"/>
      <c r="I648" s="6" t="s">
        <v>44</v>
      </c>
    </row>
    <row r="649">
      <c r="A649" s="1">
        <v>46295.0</v>
      </c>
      <c r="B649" s="3" t="s">
        <v>4</v>
      </c>
      <c r="C649" s="3" t="s">
        <v>658</v>
      </c>
      <c r="D649" s="5">
        <v>600000.0</v>
      </c>
      <c r="E649" s="4"/>
      <c r="F649" s="5" t="s">
        <v>6</v>
      </c>
      <c r="G649" s="4">
        <v>4.618463495899999E8</v>
      </c>
      <c r="H649" s="5">
        <v>4.6184634959E8</v>
      </c>
      <c r="I649" s="6" t="s">
        <v>44</v>
      </c>
    </row>
    <row r="650">
      <c r="A650" s="7">
        <v>46295.0</v>
      </c>
      <c r="B650" s="8" t="s">
        <v>24</v>
      </c>
      <c r="C650" s="8" t="s">
        <v>659</v>
      </c>
      <c r="D650" s="9"/>
      <c r="E650" s="9">
        <v>2.3975E7</v>
      </c>
      <c r="F650" s="9" t="s">
        <v>3</v>
      </c>
      <c r="G650" s="11">
        <v>4.858213495899999E8</v>
      </c>
      <c r="H650" s="9">
        <v>4.8582134959E8</v>
      </c>
      <c r="I650" s="6" t="s">
        <v>44</v>
      </c>
    </row>
    <row r="651">
      <c r="A651" s="1">
        <v>46295.0</v>
      </c>
      <c r="B651" s="3" t="s">
        <v>4</v>
      </c>
      <c r="C651" s="3" t="s">
        <v>660</v>
      </c>
      <c r="D651" s="5">
        <v>1.4625E8</v>
      </c>
      <c r="E651" s="4"/>
      <c r="F651" s="5" t="s">
        <v>6</v>
      </c>
      <c r="G651" s="4">
        <v>3.395713495899999E8</v>
      </c>
      <c r="H651" s="5"/>
      <c r="I651" s="6" t="s">
        <v>44</v>
      </c>
    </row>
    <row r="652">
      <c r="A652" s="1">
        <v>46295.0</v>
      </c>
      <c r="B652" s="3" t="s">
        <v>4</v>
      </c>
      <c r="C652" s="3" t="s">
        <v>661</v>
      </c>
      <c r="D652" s="5">
        <v>2.738189E8</v>
      </c>
      <c r="E652" s="4"/>
      <c r="F652" s="5" t="s">
        <v>6</v>
      </c>
      <c r="G652" s="4">
        <v>6.5752449589999914E7</v>
      </c>
      <c r="H652" s="5"/>
      <c r="I652" s="6" t="s">
        <v>44</v>
      </c>
    </row>
    <row r="653">
      <c r="A653" s="1">
        <v>46295.0</v>
      </c>
      <c r="B653" s="3" t="s">
        <v>24</v>
      </c>
      <c r="C653" s="3" t="s">
        <v>662</v>
      </c>
      <c r="D653" s="5"/>
      <c r="E653" s="5">
        <v>2.6994355E8</v>
      </c>
      <c r="F653" s="5" t="s">
        <v>3</v>
      </c>
      <c r="G653" s="4">
        <v>3.356959995899999E8</v>
      </c>
      <c r="H653" s="4"/>
      <c r="I653" s="6" t="s">
        <v>44</v>
      </c>
    </row>
    <row r="654">
      <c r="A654" s="1">
        <v>46295.0</v>
      </c>
      <c r="B654" s="3" t="s">
        <v>4</v>
      </c>
      <c r="C654" s="3" t="s">
        <v>663</v>
      </c>
      <c r="D654" s="5">
        <v>2.255092E7</v>
      </c>
      <c r="E654" s="4"/>
      <c r="F654" s="5" t="s">
        <v>6</v>
      </c>
      <c r="G654" s="4">
        <v>3.131450795899999E8</v>
      </c>
      <c r="H654" s="5"/>
      <c r="I654" s="6" t="s">
        <v>44</v>
      </c>
    </row>
    <row r="655">
      <c r="A655" s="1">
        <v>46295.0</v>
      </c>
      <c r="B655" s="3" t="s">
        <v>4</v>
      </c>
      <c r="C655" s="3" t="s">
        <v>664</v>
      </c>
      <c r="D655" s="5">
        <v>7.05471E7</v>
      </c>
      <c r="E655" s="4"/>
      <c r="F655" s="5" t="s">
        <v>6</v>
      </c>
      <c r="G655" s="4">
        <v>2.425979795899999E8</v>
      </c>
      <c r="H655" s="5"/>
      <c r="I655" s="6" t="s">
        <v>44</v>
      </c>
    </row>
    <row r="656">
      <c r="A656" s="1">
        <v>46295.0</v>
      </c>
      <c r="B656" s="3" t="s">
        <v>4</v>
      </c>
      <c r="C656" s="3" t="s">
        <v>665</v>
      </c>
      <c r="D656" s="5">
        <v>2089710.0</v>
      </c>
      <c r="E656" s="4"/>
      <c r="F656" s="5" t="s">
        <v>6</v>
      </c>
      <c r="G656" s="4">
        <v>2.405082695899999E8</v>
      </c>
      <c r="H656" s="5"/>
      <c r="I656" s="6" t="s">
        <v>44</v>
      </c>
    </row>
    <row r="657">
      <c r="A657" s="1">
        <v>46295.0</v>
      </c>
      <c r="B657" s="3" t="s">
        <v>4</v>
      </c>
      <c r="C657" s="3" t="s">
        <v>666</v>
      </c>
      <c r="D657" s="5">
        <v>6.68515E7</v>
      </c>
      <c r="E657" s="4"/>
      <c r="F657" s="5" t="s">
        <v>6</v>
      </c>
      <c r="G657" s="4">
        <v>1.736567695899999E8</v>
      </c>
      <c r="H657" s="5"/>
      <c r="I657" s="6" t="s">
        <v>44</v>
      </c>
    </row>
    <row r="658">
      <c r="A658" s="1">
        <v>46295.0</v>
      </c>
      <c r="B658" s="3" t="s">
        <v>21</v>
      </c>
      <c r="C658" s="3" t="s">
        <v>667</v>
      </c>
      <c r="D658" s="5">
        <v>1.176129E7</v>
      </c>
      <c r="E658" s="4"/>
      <c r="F658" s="5" t="s">
        <v>6</v>
      </c>
      <c r="G658" s="4">
        <v>1.618954795899999E8</v>
      </c>
      <c r="H658" s="5"/>
      <c r="I658" s="6" t="s">
        <v>44</v>
      </c>
    </row>
    <row r="659">
      <c r="A659" s="1">
        <v>46295.0</v>
      </c>
      <c r="B659" s="3" t="s">
        <v>21</v>
      </c>
      <c r="C659" s="3" t="s">
        <v>668</v>
      </c>
      <c r="D659" s="5">
        <v>2500.0</v>
      </c>
      <c r="E659" s="4"/>
      <c r="F659" s="5" t="s">
        <v>6</v>
      </c>
      <c r="G659" s="4">
        <v>1.618929795899999E8</v>
      </c>
      <c r="H659" s="5"/>
      <c r="I659" s="6" t="s">
        <v>44</v>
      </c>
    </row>
    <row r="660">
      <c r="A660" s="1">
        <v>46295.0</v>
      </c>
      <c r="B660" s="3" t="s">
        <v>4</v>
      </c>
      <c r="C660" s="3" t="s">
        <v>669</v>
      </c>
      <c r="D660" s="5">
        <v>1100000.0</v>
      </c>
      <c r="E660" s="4"/>
      <c r="F660" s="5" t="s">
        <v>6</v>
      </c>
      <c r="G660" s="4">
        <v>1.607929795899999E8</v>
      </c>
      <c r="H660" s="5"/>
      <c r="I660" s="6" t="s">
        <v>44</v>
      </c>
    </row>
    <row r="661">
      <c r="A661" s="1">
        <v>46295.0</v>
      </c>
      <c r="B661" s="3" t="s">
        <v>670</v>
      </c>
      <c r="C661" s="3" t="s">
        <v>670</v>
      </c>
      <c r="D661" s="5"/>
      <c r="E661" s="5">
        <v>71.62</v>
      </c>
      <c r="F661" s="5" t="s">
        <v>3</v>
      </c>
      <c r="G661" s="4">
        <v>1.6079305120999992E8</v>
      </c>
      <c r="H661" s="4"/>
      <c r="I661" s="6" t="s">
        <v>44</v>
      </c>
    </row>
    <row r="662">
      <c r="A662" s="1">
        <v>46295.0</v>
      </c>
      <c r="B662" s="3" t="s">
        <v>671</v>
      </c>
      <c r="C662" s="3" t="s">
        <v>671</v>
      </c>
      <c r="E662" s="5">
        <v>1765.26</v>
      </c>
      <c r="F662" s="4"/>
      <c r="G662" s="4">
        <v>1.607948164699999E8</v>
      </c>
      <c r="H662" s="4"/>
      <c r="I662" s="6" t="s">
        <v>44</v>
      </c>
    </row>
    <row r="663">
      <c r="A663" s="1">
        <v>46295.0</v>
      </c>
      <c r="B663" s="3" t="s">
        <v>672</v>
      </c>
      <c r="C663" s="3" t="s">
        <v>672</v>
      </c>
      <c r="D663" s="5">
        <v>367.38</v>
      </c>
      <c r="E663" s="4"/>
      <c r="F663" s="4"/>
      <c r="G663" s="4">
        <v>1.607944490899999E8</v>
      </c>
      <c r="H663" s="5">
        <v>1.6079444909E8</v>
      </c>
      <c r="I663" s="6" t="s">
        <v>44</v>
      </c>
    </row>
    <row r="664">
      <c r="B664" s="3" t="s">
        <v>673</v>
      </c>
      <c r="C664" s="3" t="s">
        <v>674</v>
      </c>
      <c r="D664" s="3" t="s">
        <v>675</v>
      </c>
      <c r="E664" s="5">
        <v>181.0</v>
      </c>
      <c r="F664" s="4"/>
      <c r="G664" s="4">
        <v>1.607946300899999E8</v>
      </c>
      <c r="H664" s="4"/>
      <c r="I664" s="6" t="s">
        <v>44</v>
      </c>
    </row>
    <row r="665">
      <c r="B665" s="3" t="s">
        <v>676</v>
      </c>
      <c r="C665" s="3" t="s">
        <v>674</v>
      </c>
      <c r="D665" s="3" t="s">
        <v>677</v>
      </c>
      <c r="E665" s="5">
        <v>480.0</v>
      </c>
      <c r="F665" s="4"/>
      <c r="G665" s="4">
        <v>1.607951100899999E8</v>
      </c>
      <c r="H665" s="4"/>
      <c r="I665" s="6" t="s">
        <v>44</v>
      </c>
    </row>
  </sheetData>
  <dataValidations>
    <dataValidation type="list" allowBlank="1" showErrorMessage="1" sqref="I1:I665">
      <formula1>"PRIBADI,PRODUKSI,BANK"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IFERROR(__xludf.DUMMYFUNCTION("IFERROR(QUERY(SEP_2023!A:I, ""SELECT * WHERE D IS NOT NULL AND UPPER(I) = 'EXSPEDISI'"", 1), ""Data EXSPEDISI belum ditemukan"")"),"Data EXSPEDISI belum ditemukan")</f>
        <v>Data EXSPEDISI belum ditemukan</v>
      </c>
      <c r="J1" s="2">
        <f>SUM(D1:D1000)</f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IFERROR(__xludf.DUMMYFUNCTION("IFERROR(QUERY(SEP_2023!A:I, ""SELECT * WHERE D IS NOT NULL AND UPPER(I) = 'V_SALES'"", 1), ""Data V_SALES belum ditemukan"")"),"Data V_SALES belum ditemukan")</f>
        <v>Data V_SALES belum ditemukan</v>
      </c>
      <c r="J1" s="2">
        <f>SUM(D1:D1000)</f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IFERROR(__xludf.DUMMYFUNCTION("IFERROR(QUERY(SEP_2023!A:I, ""SELECT * WHERE D IS NOT NULL AND UPPER(I) = 'OPERASIONAL'"", 1), ""Data OPERASIONAL belum ditemukan"")"),"Data OPERASIONAL belum ditemukan")</f>
        <v>Data OPERASIONAL belum ditemukan</v>
      </c>
      <c r="J1" s="2">
        <f>SUM(D1:D1000)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IFERROR(__xludf.DUMMYFUNCTION("IFERROR(QUERY(SEP_2023!A:I, ""SELECT * WHERE D IS NOT NULL AND UPPER(I) = 'NURUL_AINI'"", 1), ""Data NURUL_AINI belum ditemukan"")"),"Data NURUL_AINI belum ditemukan")</f>
        <v>Data NURUL_AINI belum ditemukan</v>
      </c>
      <c r="J1" s="2">
        <f>SUM(D1:D1000)</f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>
        <f>IFERROR(__xludf.DUMMYFUNCTION("IFERROR(QUERY(SEP_2023!A:I, ""SELECT * WHERE D IS NOT NULL AND UPPER(I) = 'PRIBADI'"", 1), ""Data PRIBADI belum ditemukan"")"),46267.0)</f>
        <v>46267</v>
      </c>
      <c r="B1" s="2" t="str">
        <f>IFERROR(__xludf.DUMMYFUNCTION("""COMPUTED_VALUE"""),"TRSF E-BANKING DB")</f>
        <v>TRSF E-BANKING DB</v>
      </c>
      <c r="C1" s="2" t="str">
        <f>IFERROR(__xludf.DUMMYFUNCTION("""COMPUTED_VALUE"""),"0209/FTSCY/WS95271 79808950.00 Sun Aug 30 2026 14:00:00 GMT+0700 (Western Indonesia Time) FIDI TEGUH TRIWIBO")</f>
        <v>0209/FTSCY/WS95271 79808950.00 Sun Aug 30 2026 14:00:00 GMT+0700 (Western Indonesia Time) FIDI TEGUH TRIWIBO</v>
      </c>
      <c r="D1" s="2">
        <f>IFERROR(__xludf.DUMMYFUNCTION("""COMPUTED_VALUE"""),7.980895E7)</f>
        <v>79808950</v>
      </c>
      <c r="E1" s="2"/>
      <c r="F1" s="2" t="str">
        <f>IFERROR(__xludf.DUMMYFUNCTION("""COMPUTED_VALUE"""),"DB")</f>
        <v>DB</v>
      </c>
      <c r="G1" s="2">
        <f>IFERROR(__xludf.DUMMYFUNCTION("""COMPUTED_VALUE"""),3.833166835899999E8)</f>
        <v>383316683.6</v>
      </c>
      <c r="H1" s="2"/>
      <c r="I1" s="2" t="str">
        <f>IFERROR(__xludf.DUMMYFUNCTION("""COMPUTED_VALUE"""),"PRIBADI")</f>
        <v>PRIBADI</v>
      </c>
      <c r="J1" s="2">
        <f>SUM(D1:D1000) </f>
        <v>11365085252</v>
      </c>
    </row>
    <row r="2">
      <c r="A2" s="10">
        <f>IFERROR(__xludf.DUMMYFUNCTION("""COMPUTED_VALUE"""),46267.0)</f>
        <v>46267</v>
      </c>
      <c r="B2" s="2" t="str">
        <f>IFERROR(__xludf.DUMMYFUNCTION("""COMPUTED_VALUE"""),"TRSF E-BANKING DB")</f>
        <v>TRSF E-BANKING DB</v>
      </c>
      <c r="C2" s="2" t="str">
        <f>IFERROR(__xludf.DUMMYFUNCTION("""COMPUTED_VALUE"""),"0209/FTSCY/WS95271 60018000.00 Mon Aug 31 2026 14:00:00 GMT+0700 (Western Indonesia Time) SURYA INTI TERNAK")</f>
        <v>0209/FTSCY/WS95271 60018000.00 Mon Aug 31 2026 14:00:00 GMT+0700 (Western Indonesia Time) SURYA INTI TERNAK</v>
      </c>
      <c r="D2" s="2">
        <f>IFERROR(__xludf.DUMMYFUNCTION("""COMPUTED_VALUE"""),6.0018E7)</f>
        <v>60018000</v>
      </c>
      <c r="E2" s="2"/>
      <c r="F2" s="2" t="str">
        <f>IFERROR(__xludf.DUMMYFUNCTION("""COMPUTED_VALUE"""),"DB")</f>
        <v>DB</v>
      </c>
      <c r="G2" s="2">
        <f>IFERROR(__xludf.DUMMYFUNCTION("""COMPUTED_VALUE"""),3.232986835899999E8)</f>
        <v>323298683.6</v>
      </c>
      <c r="H2" s="2"/>
      <c r="I2" s="2" t="str">
        <f>IFERROR(__xludf.DUMMYFUNCTION("""COMPUTED_VALUE"""),"PRIBADI")</f>
        <v>PRIBADI</v>
      </c>
    </row>
    <row r="3">
      <c r="A3" s="10">
        <f>IFERROR(__xludf.DUMMYFUNCTION("""COMPUTED_VALUE"""),46267.0)</f>
        <v>46267</v>
      </c>
      <c r="B3" s="2" t="str">
        <f>IFERROR(__xludf.DUMMYFUNCTION("""COMPUTED_VALUE"""),"TRSF E-BANKING DB")</f>
        <v>TRSF E-BANKING DB</v>
      </c>
      <c r="C3" s="2" t="str">
        <f>IFERROR(__xludf.DUMMYFUNCTION("""COMPUTED_VALUE"""),"0209/FTSCY/WS95031 30917040.00 pelunasan RODHIATUS SOLEHA")</f>
        <v>0209/FTSCY/WS95031 30917040.00 pelunasan RODHIATUS SOLEHA</v>
      </c>
      <c r="D3" s="2">
        <f>IFERROR(__xludf.DUMMYFUNCTION("""COMPUTED_VALUE"""),3.091704E7)</f>
        <v>30917040</v>
      </c>
      <c r="E3" s="2"/>
      <c r="F3" s="2" t="str">
        <f>IFERROR(__xludf.DUMMYFUNCTION("""COMPUTED_VALUE"""),"DB")</f>
        <v>DB</v>
      </c>
      <c r="G3" s="2">
        <f>IFERROR(__xludf.DUMMYFUNCTION("""COMPUTED_VALUE"""),2.636444535899999E8)</f>
        <v>263644453.6</v>
      </c>
      <c r="H3" s="2"/>
      <c r="I3" s="2" t="str">
        <f>IFERROR(__xludf.DUMMYFUNCTION("""COMPUTED_VALUE"""),"PRIBADI")</f>
        <v>PRIBADI</v>
      </c>
    </row>
    <row r="4">
      <c r="A4" s="10">
        <f>IFERROR(__xludf.DUMMYFUNCTION("""COMPUTED_VALUE"""),46272.0)</f>
        <v>46272</v>
      </c>
      <c r="B4" s="2" t="str">
        <f>IFERROR(__xludf.DUMMYFUNCTION("""COMPUTED_VALUE"""),"TRSF E-BANKING DB")</f>
        <v>TRSF E-BANKING DB</v>
      </c>
      <c r="C4" s="2" t="str">
        <f>IFERROR(__xludf.DUMMYFUNCTION("""COMPUTED_VALUE"""),"0709/FTSCY/WS95271 91100000.00 pelunasan LAJU SATWA WISESA")</f>
        <v>0709/FTSCY/WS95271 91100000.00 pelunasan LAJU SATWA WISESA</v>
      </c>
      <c r="D4" s="2">
        <f>IFERROR(__xludf.DUMMYFUNCTION("""COMPUTED_VALUE"""),9.11E7)</f>
        <v>91100000</v>
      </c>
      <c r="E4" s="2"/>
      <c r="F4" s="2" t="str">
        <f>IFERROR(__xludf.DUMMYFUNCTION("""COMPUTED_VALUE"""),"DB")</f>
        <v>DB</v>
      </c>
      <c r="G4" s="2">
        <f>IFERROR(__xludf.DUMMYFUNCTION("""COMPUTED_VALUE"""),2.229798015899999E8)</f>
        <v>222979801.6</v>
      </c>
      <c r="H4" s="2"/>
      <c r="I4" s="2" t="str">
        <f>IFERROR(__xludf.DUMMYFUNCTION("""COMPUTED_VALUE"""),"PRIBADI")</f>
        <v>PRIBADI</v>
      </c>
    </row>
    <row r="5">
      <c r="A5" s="10">
        <f>IFERROR(__xludf.DUMMYFUNCTION("""COMPUTED_VALUE"""),46272.0)</f>
        <v>46272</v>
      </c>
      <c r="B5" s="2" t="str">
        <f>IFERROR(__xludf.DUMMYFUNCTION("""COMPUTED_VALUE"""),"TRSF E-BANKING DB")</f>
        <v>TRSF E-BANKING DB</v>
      </c>
      <c r="C5" s="2" t="str">
        <f>IFERROR(__xludf.DUMMYFUNCTION("""COMPUTED_VALUE"""),"0709/FTSCY/WS95011 62497600.00 Sat Sep 05 2026 14:00:00 GMT+0700 (Western Indonesia Time) RUKUN MITRA BERSAM")</f>
        <v>0709/FTSCY/WS95011 62497600.00 Sat Sep 05 2026 14:00:00 GMT+0700 (Western Indonesia Time) RUKUN MITRA BERSAM</v>
      </c>
      <c r="D5" s="2">
        <f>IFERROR(__xludf.DUMMYFUNCTION("""COMPUTED_VALUE"""),6.24976E7)</f>
        <v>62497600</v>
      </c>
      <c r="E5" s="2"/>
      <c r="F5" s="2" t="str">
        <f>IFERROR(__xludf.DUMMYFUNCTION("""COMPUTED_VALUE"""),"DB")</f>
        <v>DB</v>
      </c>
      <c r="G5" s="2">
        <f>IFERROR(__xludf.DUMMYFUNCTION("""COMPUTED_VALUE"""),1.604822015899999E8)</f>
        <v>160482201.6</v>
      </c>
      <c r="H5" s="2"/>
      <c r="I5" s="2" t="str">
        <f>IFERROR(__xludf.DUMMYFUNCTION("""COMPUTED_VALUE"""),"PRIBADI")</f>
        <v>PRIBADI</v>
      </c>
    </row>
    <row r="6">
      <c r="A6" s="10">
        <f>IFERROR(__xludf.DUMMYFUNCTION("""COMPUTED_VALUE"""),46274.0)</f>
        <v>46274</v>
      </c>
      <c r="B6" s="2" t="str">
        <f>IFERROR(__xludf.DUMMYFUNCTION("""COMPUTED_VALUE"""),"TRSF E-BANKING DB")</f>
        <v>TRSF E-BANKING DB</v>
      </c>
      <c r="C6" s="2" t="str">
        <f>IFERROR(__xludf.DUMMYFUNCTION("""COMPUTED_VALUE"""),"0909/FTSCY/WS95031 2402400.00 NURHAYATI")</f>
        <v>0909/FTSCY/WS95031 2402400.00 NURHAYATI</v>
      </c>
      <c r="D6" s="2">
        <f>IFERROR(__xludf.DUMMYFUNCTION("""COMPUTED_VALUE"""),2402400.0)</f>
        <v>2402400</v>
      </c>
      <c r="E6" s="2"/>
      <c r="F6" s="2" t="str">
        <f>IFERROR(__xludf.DUMMYFUNCTION("""COMPUTED_VALUE"""),"DB")</f>
        <v>DB</v>
      </c>
      <c r="G6" s="2">
        <f>IFERROR(__xludf.DUMMYFUNCTION("""COMPUTED_VALUE"""),2.7299961589999914E7)</f>
        <v>27299961.59</v>
      </c>
      <c r="H6" s="2"/>
      <c r="I6" s="2" t="str">
        <f>IFERROR(__xludf.DUMMYFUNCTION("""COMPUTED_VALUE"""),"PRIBADI")</f>
        <v>PRIBADI</v>
      </c>
    </row>
    <row r="7">
      <c r="A7" s="10">
        <f>IFERROR(__xludf.DUMMYFUNCTION("""COMPUTED_VALUE"""),46274.0)</f>
        <v>46274</v>
      </c>
      <c r="B7" s="2" t="str">
        <f>IFERROR(__xludf.DUMMYFUNCTION("""COMPUTED_VALUE"""),"TRSF E-BANKING DB")</f>
        <v>TRSF E-BANKING DB</v>
      </c>
      <c r="C7" s="2" t="str">
        <f>IFERROR(__xludf.DUMMYFUNCTION("""COMPUTED_VALUE"""),"0909/FTSCY/WS95271 68774200.00 Tue Sep 08 2026 14:00:00 GMT+0700 (Western Indonesia Time) BINTANG TAMA SANTO")</f>
        <v>0909/FTSCY/WS95271 68774200.00 Tue Sep 08 2026 14:00:00 GMT+0700 (Western Indonesia Time) BINTANG TAMA SANTO</v>
      </c>
      <c r="D7" s="2">
        <f>IFERROR(__xludf.DUMMYFUNCTION("""COMPUTED_VALUE"""),6.87742E7)</f>
        <v>68774200</v>
      </c>
      <c r="E7" s="2"/>
      <c r="F7" s="2" t="str">
        <f>IFERROR(__xludf.DUMMYFUNCTION("""COMPUTED_VALUE"""),"DB")</f>
        <v>DB</v>
      </c>
      <c r="G7" s="2">
        <f>IFERROR(__xludf.DUMMYFUNCTION("""COMPUTED_VALUE"""),6.285321265899999E8)</f>
        <v>628532126.6</v>
      </c>
      <c r="H7" s="2"/>
      <c r="I7" s="2" t="str">
        <f>IFERROR(__xludf.DUMMYFUNCTION("""COMPUTED_VALUE"""),"PRIBADI")</f>
        <v>PRIBADI</v>
      </c>
    </row>
    <row r="8">
      <c r="A8" s="10">
        <f>IFERROR(__xludf.DUMMYFUNCTION("""COMPUTED_VALUE"""),46274.0)</f>
        <v>46274</v>
      </c>
      <c r="B8" s="2" t="str">
        <f>IFERROR(__xludf.DUMMYFUNCTION("""COMPUTED_VALUE"""),"TRSF E-BANKING DB")</f>
        <v>TRSF E-BANKING DB</v>
      </c>
      <c r="C8" s="2" t="str">
        <f>IFERROR(__xludf.DUMMYFUNCTION("""COMPUTED_VALUE"""),"0909/FTSCY/WS95031 3522620.00 pot. 300 rb  sisa 1.7 jt SUNARTO")</f>
        <v>0909/FTSCY/WS95031 3522620.00 pot. 300 rb  sisa 1.7 jt SUNARTO</v>
      </c>
      <c r="D8" s="2">
        <f>IFERROR(__xludf.DUMMYFUNCTION("""COMPUTED_VALUE"""),3522620.0)</f>
        <v>3522620</v>
      </c>
      <c r="E8" s="2"/>
      <c r="F8" s="2" t="str">
        <f>IFERROR(__xludf.DUMMYFUNCTION("""COMPUTED_VALUE"""),"DB")</f>
        <v>DB</v>
      </c>
      <c r="G8" s="2">
        <f>IFERROR(__xludf.DUMMYFUNCTION("""COMPUTED_VALUE"""),6.250095065899999E8)</f>
        <v>625009506.6</v>
      </c>
      <c r="H8" s="2">
        <f>IFERROR(__xludf.DUMMYFUNCTION("""COMPUTED_VALUE"""),6.2500950659E8)</f>
        <v>625009506.6</v>
      </c>
      <c r="I8" s="2" t="str">
        <f>IFERROR(__xludf.DUMMYFUNCTION("""COMPUTED_VALUE"""),"PRIBADI")</f>
        <v>PRIBADI</v>
      </c>
    </row>
    <row r="9">
      <c r="A9" s="10">
        <f>IFERROR(__xludf.DUMMYFUNCTION("""COMPUTED_VALUE"""),46275.0)</f>
        <v>46275</v>
      </c>
      <c r="B9" s="2" t="str">
        <f>IFERROR(__xludf.DUMMYFUNCTION("""COMPUTED_VALUE"""),"TRSF E-BANKING DB")</f>
        <v>TRSF E-BANKING DB</v>
      </c>
      <c r="C9" s="2" t="str">
        <f>IFERROR(__xludf.DUMMYFUNCTION("""COMPUTED_VALUE"""),"1009/FTSCY/WS95031 23809270.00 krg 40 jt EKO SETIYAWAN")</f>
        <v>1009/FTSCY/WS95031 23809270.00 krg 40 jt EKO SETIYAWAN</v>
      </c>
      <c r="D9" s="2">
        <f>IFERROR(__xludf.DUMMYFUNCTION("""COMPUTED_VALUE"""),2.380927E7)</f>
        <v>23809270</v>
      </c>
      <c r="E9" s="2"/>
      <c r="F9" s="2" t="str">
        <f>IFERROR(__xludf.DUMMYFUNCTION("""COMPUTED_VALUE"""),"DB")</f>
        <v>DB</v>
      </c>
      <c r="G9" s="2">
        <f>IFERROR(__xludf.DUMMYFUNCTION("""COMPUTED_VALUE"""),2.164091465899999E8)</f>
        <v>216409146.6</v>
      </c>
      <c r="H9" s="2"/>
      <c r="I9" s="2" t="str">
        <f>IFERROR(__xludf.DUMMYFUNCTION("""COMPUTED_VALUE"""),"PRIBADI")</f>
        <v>PRIBADI</v>
      </c>
    </row>
    <row r="10">
      <c r="A10" s="10">
        <f>IFERROR(__xludf.DUMMYFUNCTION("""COMPUTED_VALUE"""),46275.0)</f>
        <v>46275</v>
      </c>
      <c r="B10" s="2" t="str">
        <f>IFERROR(__xludf.DUMMYFUNCTION("""COMPUTED_VALUE"""),"TRSF E-BANKING DB")</f>
        <v>TRSF E-BANKING DB</v>
      </c>
      <c r="C10" s="2" t="str">
        <f>IFERROR(__xludf.DUMMYFUNCTION("""COMPUTED_VALUE"""),"1009/FTSCY/WS95031 2300000.00 HERMAWAN")</f>
        <v>1009/FTSCY/WS95031 2300000.00 HERMAWAN</v>
      </c>
      <c r="D10" s="2">
        <f>IFERROR(__xludf.DUMMYFUNCTION("""COMPUTED_VALUE"""),2300000.0)</f>
        <v>2300000</v>
      </c>
      <c r="E10" s="2"/>
      <c r="F10" s="2" t="str">
        <f>IFERROR(__xludf.DUMMYFUNCTION("""COMPUTED_VALUE"""),"DB")</f>
        <v>DB</v>
      </c>
      <c r="G10" s="2">
        <f>IFERROR(__xludf.DUMMYFUNCTION("""COMPUTED_VALUE"""),2.141091465899999E8)</f>
        <v>214109146.6</v>
      </c>
      <c r="H10" s="2"/>
      <c r="I10" s="2" t="str">
        <f>IFERROR(__xludf.DUMMYFUNCTION("""COMPUTED_VALUE"""),"PRIBADI")</f>
        <v>PRIBADI</v>
      </c>
    </row>
    <row r="11">
      <c r="A11" s="10">
        <f>IFERROR(__xludf.DUMMYFUNCTION("""COMPUTED_VALUE"""),46275.0)</f>
        <v>46275</v>
      </c>
      <c r="B11" s="2" t="str">
        <f>IFERROR(__xludf.DUMMYFUNCTION("""COMPUTED_VALUE"""),"SWITCHING DB")</f>
        <v>SWITCHING DB</v>
      </c>
      <c r="C11" s="2" t="str">
        <f>IFERROR(__xludf.DUMMYFUNCTION("""COMPUTED_VALUE"""),"KE 009 SDR AHMAD LUTHFI F /M-BCA")</f>
        <v>KE 009 SDR AHMAD LUTHFI F /M-BCA</v>
      </c>
      <c r="D11" s="2">
        <f>IFERROR(__xludf.DUMMYFUNCTION("""COMPUTED_VALUE"""),60000.0)</f>
        <v>60000</v>
      </c>
      <c r="E11" s="2"/>
      <c r="F11" s="2" t="str">
        <f>IFERROR(__xludf.DUMMYFUNCTION("""COMPUTED_VALUE"""),"DB")</f>
        <v>DB</v>
      </c>
      <c r="G11" s="2">
        <f>IFERROR(__xludf.DUMMYFUNCTION("""COMPUTED_VALUE"""),2.140491465899999E8)</f>
        <v>214049146.6</v>
      </c>
      <c r="H11" s="2"/>
      <c r="I11" s="2" t="str">
        <f>IFERROR(__xludf.DUMMYFUNCTION("""COMPUTED_VALUE"""),"PRIBADI")</f>
        <v>PRIBADI</v>
      </c>
    </row>
    <row r="12">
      <c r="A12" s="10">
        <f>IFERROR(__xludf.DUMMYFUNCTION("""COMPUTED_VALUE"""),46275.0)</f>
        <v>46275</v>
      </c>
      <c r="B12" s="2" t="str">
        <f>IFERROR(__xludf.DUMMYFUNCTION("""COMPUTED_VALUE"""),"SWITCHING DB")</f>
        <v>SWITCHING DB</v>
      </c>
      <c r="C12" s="2" t="str">
        <f>IFERROR(__xludf.DUMMYFUNCTION("""COMPUTED_VALUE"""),"TRANSFERKE 009 SDR AHMAD LUTHFI F /M-BCA")</f>
        <v>TRANSFERKE 009 SDR AHMAD LUTHFI F /M-BCA</v>
      </c>
      <c r="D12" s="2">
        <f>IFERROR(__xludf.DUMMYFUNCTION("""COMPUTED_VALUE"""),6500.0)</f>
        <v>6500</v>
      </c>
      <c r="E12" s="2"/>
      <c r="F12" s="2" t="str">
        <f>IFERROR(__xludf.DUMMYFUNCTION("""COMPUTED_VALUE"""),"DB")</f>
        <v>DB</v>
      </c>
      <c r="G12" s="2">
        <f>IFERROR(__xludf.DUMMYFUNCTION("""COMPUTED_VALUE"""),2.140426465899999E8)</f>
        <v>214042646.6</v>
      </c>
      <c r="H12" s="2"/>
      <c r="I12" s="2" t="str">
        <f>IFERROR(__xludf.DUMMYFUNCTION("""COMPUTED_VALUE"""),"PRIBADI")</f>
        <v>PRIBADI</v>
      </c>
    </row>
    <row r="13">
      <c r="A13" s="10">
        <f>IFERROR(__xludf.DUMMYFUNCTION("""COMPUTED_VALUE"""),46276.0)</f>
        <v>46276</v>
      </c>
      <c r="B13" s="2" t="str">
        <f>IFERROR(__xludf.DUMMYFUNCTION("""COMPUTED_VALUE"""),"TRSF E-BANKING DB TANGGAL :10/09")</f>
        <v>TRSF E-BANKING DB TANGGAL :10/09</v>
      </c>
      <c r="C13" s="2" t="str">
        <f>IFERROR(__xludf.DUMMYFUNCTION("""COMPUTED_VALUE"""),"1009/FTSCY/WS95271 Mon Sep 07 2026 14:00:00 GMT+0700 (Western Indonesia Time) ANDALAN YASA MITRA")</f>
        <v>1009/FTSCY/WS95271 Mon Sep 07 2026 14:00:00 GMT+0700 (Western Indonesia Time) ANDALAN YASA MITRA</v>
      </c>
      <c r="D13" s="2">
        <f>IFERROR(__xludf.DUMMYFUNCTION("""COMPUTED_VALUE"""),2.2687826E8)</f>
        <v>226878260</v>
      </c>
      <c r="E13" s="2"/>
      <c r="F13" s="2" t="str">
        <f>IFERROR(__xludf.DUMMYFUNCTION("""COMPUTED_VALUE"""),"DB")</f>
        <v>DB</v>
      </c>
      <c r="G13" s="2">
        <f>IFERROR(__xludf.DUMMYFUNCTION("""COMPUTED_VALUE"""),2.0764386589999914E7)</f>
        <v>20764386.59</v>
      </c>
      <c r="H13" s="2"/>
      <c r="I13" s="2" t="str">
        <f>IFERROR(__xludf.DUMMYFUNCTION("""COMPUTED_VALUE"""),"PRIBADI")</f>
        <v>PRIBADI</v>
      </c>
    </row>
    <row r="14">
      <c r="A14" s="10">
        <f>IFERROR(__xludf.DUMMYFUNCTION("""COMPUTED_VALUE"""),46276.0)</f>
        <v>46276</v>
      </c>
      <c r="B14" s="2" t="str">
        <f>IFERROR(__xludf.DUMMYFUNCTION("""COMPUTED_VALUE"""),"TRSF E-BANKING DB")</f>
        <v>TRSF E-BANKING DB</v>
      </c>
      <c r="C14" s="2" t="str">
        <f>IFERROR(__xludf.DUMMYFUNCTION("""COMPUTED_VALUE"""),"1109/FTSCY/WS95271 125000000.00 pelunasan BRANTAS ABADI SENT")</f>
        <v>1109/FTSCY/WS95271 125000000.00 pelunasan BRANTAS ABADI SENT</v>
      </c>
      <c r="D14" s="2">
        <f>IFERROR(__xludf.DUMMYFUNCTION("""COMPUTED_VALUE"""),1.25E8)</f>
        <v>125000000</v>
      </c>
      <c r="E14" s="2"/>
      <c r="F14" s="2" t="str">
        <f>IFERROR(__xludf.DUMMYFUNCTION("""COMPUTED_VALUE"""),"DB")</f>
        <v>DB</v>
      </c>
      <c r="G14" s="2">
        <f>IFERROR(__xludf.DUMMYFUNCTION("""COMPUTED_VALUE"""),1.912183365899999E8)</f>
        <v>191218336.6</v>
      </c>
      <c r="H14" s="2"/>
      <c r="I14" s="2" t="str">
        <f>IFERROR(__xludf.DUMMYFUNCTION("""COMPUTED_VALUE"""),"PRIBADI")</f>
        <v>PRIBADI</v>
      </c>
    </row>
    <row r="15">
      <c r="A15" s="10">
        <f>IFERROR(__xludf.DUMMYFUNCTION("""COMPUTED_VALUE"""),46276.0)</f>
        <v>46276</v>
      </c>
      <c r="B15" s="2" t="str">
        <f>IFERROR(__xludf.DUMMYFUNCTION("""COMPUTED_VALUE"""),"TRSF E-BANKING DB")</f>
        <v>TRSF E-BANKING DB</v>
      </c>
      <c r="C15" s="2" t="str">
        <f>IFERROR(__xludf.DUMMYFUNCTION("""COMPUTED_VALUE"""),"1109/FTSCY/WS95271 30000000.00 pelunasan ANDALAN YASA MITRA")</f>
        <v>1109/FTSCY/WS95271 30000000.00 pelunasan ANDALAN YASA MITRA</v>
      </c>
      <c r="D15" s="2">
        <f>IFERROR(__xludf.DUMMYFUNCTION("""COMPUTED_VALUE"""),3.0E7)</f>
        <v>30000000</v>
      </c>
      <c r="E15" s="2"/>
      <c r="F15" s="2" t="str">
        <f>IFERROR(__xludf.DUMMYFUNCTION("""COMPUTED_VALUE"""),"DB")</f>
        <v>DB</v>
      </c>
      <c r="G15" s="2">
        <f>IFERROR(__xludf.DUMMYFUNCTION("""COMPUTED_VALUE"""),3.3744236589999914E7)</f>
        <v>33744236.59</v>
      </c>
      <c r="H15" s="2">
        <f>IFERROR(__xludf.DUMMYFUNCTION("""COMPUTED_VALUE"""),3.374423659E7)</f>
        <v>33744236.59</v>
      </c>
      <c r="I15" s="2" t="str">
        <f>IFERROR(__xludf.DUMMYFUNCTION("""COMPUTED_VALUE"""),"PRIBADI")</f>
        <v>PRIBADI</v>
      </c>
    </row>
    <row r="16">
      <c r="A16" s="10">
        <f>IFERROR(__xludf.DUMMYFUNCTION("""COMPUTED_VALUE"""),46276.0)</f>
        <v>46276</v>
      </c>
      <c r="B16" s="2" t="str">
        <f>IFERROR(__xludf.DUMMYFUNCTION("""COMPUTED_VALUE"""),"TRSF E-BANKING DB")</f>
        <v>TRSF E-BANKING DB</v>
      </c>
      <c r="C16" s="2" t="str">
        <f>IFERROR(__xludf.DUMMYFUNCTION("""COMPUTED_VALUE"""),"1109/FTSCY/WS95031 71649400.00 Tue Sep 08 2026 14:00:00 GMT+0700 (Western Indonesia Time) TABASSAM AL HATTAK")</f>
        <v>1109/FTSCY/WS95031 71649400.00 Tue Sep 08 2026 14:00:00 GMT+0700 (Western Indonesia Time) TABASSAM AL HATTAK</v>
      </c>
      <c r="D16" s="2">
        <f>IFERROR(__xludf.DUMMYFUNCTION("""COMPUTED_VALUE"""),7.16494E7)</f>
        <v>71649400</v>
      </c>
      <c r="E16" s="2"/>
      <c r="F16" s="2" t="str">
        <f>IFERROR(__xludf.DUMMYFUNCTION("""COMPUTED_VALUE"""),"DB")</f>
        <v>DB</v>
      </c>
      <c r="G16" s="2">
        <f>IFERROR(__xludf.DUMMYFUNCTION("""COMPUTED_VALUE"""),1.656427035899999E8)</f>
        <v>165642703.6</v>
      </c>
      <c r="H16" s="2"/>
      <c r="I16" s="2" t="str">
        <f>IFERROR(__xludf.DUMMYFUNCTION("""COMPUTED_VALUE"""),"PRIBADI")</f>
        <v>PRIBADI</v>
      </c>
    </row>
    <row r="17">
      <c r="A17" s="10">
        <f>IFERROR(__xludf.DUMMYFUNCTION("""COMPUTED_VALUE"""),46276.0)</f>
        <v>46276</v>
      </c>
      <c r="B17" s="2" t="str">
        <f>IFERROR(__xludf.DUMMYFUNCTION("""COMPUTED_VALUE"""),"TRSF E-BANKING DB")</f>
        <v>TRSF E-BANKING DB</v>
      </c>
      <c r="C17" s="2" t="str">
        <f>IFERROR(__xludf.DUMMYFUNCTION("""COMPUTED_VALUE"""),"1109/FTSCY/WS95271 10000.00 BEJO RAHAYU SLAMET")</f>
        <v>1109/FTSCY/WS95271 10000.00 BEJO RAHAYU SLAMET</v>
      </c>
      <c r="D17" s="2">
        <f>IFERROR(__xludf.DUMMYFUNCTION("""COMPUTED_VALUE"""),10000.0)</f>
        <v>10000</v>
      </c>
      <c r="E17" s="2"/>
      <c r="F17" s="2" t="str">
        <f>IFERROR(__xludf.DUMMYFUNCTION("""COMPUTED_VALUE"""),"DB")</f>
        <v>DB</v>
      </c>
      <c r="G17" s="2">
        <f>IFERROR(__xludf.DUMMYFUNCTION("""COMPUTED_VALUE"""),4.6566303589999914E7)</f>
        <v>46566303.59</v>
      </c>
      <c r="H17" s="2"/>
      <c r="I17" s="2" t="str">
        <f>IFERROR(__xludf.DUMMYFUNCTION("""COMPUTED_VALUE"""),"PRIBADI")</f>
        <v>PRIBADI</v>
      </c>
    </row>
    <row r="18">
      <c r="A18" s="10">
        <f>IFERROR(__xludf.DUMMYFUNCTION("""COMPUTED_VALUE"""),46276.0)</f>
        <v>46276</v>
      </c>
      <c r="B18" s="2" t="str">
        <f>IFERROR(__xludf.DUMMYFUNCTION("""COMPUTED_VALUE"""),"TRSF E-BANKING DB")</f>
        <v>TRSF E-BANKING DB</v>
      </c>
      <c r="C18" s="2" t="str">
        <f>IFERROR(__xludf.DUMMYFUNCTION("""COMPUTED_VALUE"""),"1109/FTSCY/WS95031 28000000.00 SUPER UNGGAS JAYA")</f>
        <v>1109/FTSCY/WS95031 28000000.00 SUPER UNGGAS JAYA</v>
      </c>
      <c r="D18" s="2">
        <f>IFERROR(__xludf.DUMMYFUNCTION("""COMPUTED_VALUE"""),2.8E7)</f>
        <v>28000000</v>
      </c>
      <c r="E18" s="2"/>
      <c r="F18" s="2" t="str">
        <f>IFERROR(__xludf.DUMMYFUNCTION("""COMPUTED_VALUE"""),"DB")</f>
        <v>DB</v>
      </c>
      <c r="G18" s="2">
        <f>IFERROR(__xludf.DUMMYFUNCTION("""COMPUTED_VALUE"""),5.5170673589999914E7)</f>
        <v>55170673.59</v>
      </c>
      <c r="H18" s="2"/>
      <c r="I18" s="2" t="str">
        <f>IFERROR(__xludf.DUMMYFUNCTION("""COMPUTED_VALUE"""),"PRIBADI")</f>
        <v>PRIBADI</v>
      </c>
    </row>
    <row r="19">
      <c r="A19" s="10">
        <f>IFERROR(__xludf.DUMMYFUNCTION("""COMPUTED_VALUE"""),46276.0)</f>
        <v>46276</v>
      </c>
      <c r="B19" s="2" t="str">
        <f>IFERROR(__xludf.DUMMYFUNCTION("""COMPUTED_VALUE"""),"TRSF E-BANKING DB")</f>
        <v>TRSF E-BANKING DB</v>
      </c>
      <c r="C19" s="2" t="str">
        <f>IFERROR(__xludf.DUMMYFUNCTION("""COMPUTED_VALUE"""),"1109/FTSCY/WS95271 17500000.00 SUPER UNGGAS JAYA")</f>
        <v>1109/FTSCY/WS95271 17500000.00 SUPER UNGGAS JAYA</v>
      </c>
      <c r="D19" s="2">
        <f>IFERROR(__xludf.DUMMYFUNCTION("""COMPUTED_VALUE"""),1.75E7)</f>
        <v>17500000</v>
      </c>
      <c r="E19" s="2"/>
      <c r="F19" s="2" t="str">
        <f>IFERROR(__xludf.DUMMYFUNCTION("""COMPUTED_VALUE"""),"DB")</f>
        <v>DB</v>
      </c>
      <c r="G19" s="2">
        <f>IFERROR(__xludf.DUMMYFUNCTION("""COMPUTED_VALUE"""),3.7670673589999914E7)</f>
        <v>37670673.59</v>
      </c>
      <c r="H19" s="2">
        <f>IFERROR(__xludf.DUMMYFUNCTION("""COMPUTED_VALUE"""),3.767067359E7)</f>
        <v>37670673.59</v>
      </c>
      <c r="I19" s="2" t="str">
        <f>IFERROR(__xludf.DUMMYFUNCTION("""COMPUTED_VALUE"""),"PRIBADI")</f>
        <v>PRIBADI</v>
      </c>
    </row>
    <row r="20">
      <c r="A20" s="10">
        <f>IFERROR(__xludf.DUMMYFUNCTION("""COMPUTED_VALUE"""),46277.0)</f>
        <v>46277</v>
      </c>
      <c r="B20" s="2" t="str">
        <f>IFERROR(__xludf.DUMMYFUNCTION("""COMPUTED_VALUE"""),"TRSF E-BANKING DB")</f>
        <v>TRSF E-BANKING DB</v>
      </c>
      <c r="C20" s="2" t="str">
        <f>IFERROR(__xludf.DUMMYFUNCTION("""COMPUTED_VALUE"""),"1209/FTSCY/WS95031 37600000.00 NURUL AINI")</f>
        <v>1209/FTSCY/WS95031 37600000.00 NURUL AINI</v>
      </c>
      <c r="D20" s="2">
        <f>IFERROR(__xludf.DUMMYFUNCTION("""COMPUTED_VALUE"""),3.76E7)</f>
        <v>37600000</v>
      </c>
      <c r="E20" s="2"/>
      <c r="F20" s="2" t="str">
        <f>IFERROR(__xludf.DUMMYFUNCTION("""COMPUTED_VALUE"""),"DB")</f>
        <v>DB</v>
      </c>
      <c r="G20" s="2">
        <f>IFERROR(__xludf.DUMMYFUNCTION("""COMPUTED_VALUE"""),70673.58999991417)</f>
        <v>70673.59</v>
      </c>
      <c r="H20" s="2">
        <f>IFERROR(__xludf.DUMMYFUNCTION("""COMPUTED_VALUE"""),70673.59)</f>
        <v>70673.59</v>
      </c>
      <c r="I20" s="2" t="str">
        <f>IFERROR(__xludf.DUMMYFUNCTION("""COMPUTED_VALUE"""),"PRIBADI")</f>
        <v>PRIBADI</v>
      </c>
    </row>
    <row r="21">
      <c r="A21" s="10">
        <f>IFERROR(__xludf.DUMMYFUNCTION("""COMPUTED_VALUE"""),46277.0)</f>
        <v>46277</v>
      </c>
      <c r="B21" s="2" t="str">
        <f>IFERROR(__xludf.DUMMYFUNCTION("""COMPUTED_VALUE"""),"TRSF E-BANKING DB")</f>
        <v>TRSF E-BANKING DB</v>
      </c>
      <c r="C21" s="2" t="str">
        <f>IFERROR(__xludf.DUMMYFUNCTION("""COMPUTED_VALUE"""),"1209/FTSCY/WS95271 69000000.00 Tue Sep 08 2026 14:00:00 GMT+0700 (Western Indonesia Time) ANDALAN YASA MITRA")</f>
        <v>1209/FTSCY/WS95271 69000000.00 Tue Sep 08 2026 14:00:00 GMT+0700 (Western Indonesia Time) ANDALAN YASA MITRA</v>
      </c>
      <c r="D21" s="2">
        <f>IFERROR(__xludf.DUMMYFUNCTION("""COMPUTED_VALUE"""),6.9E7)</f>
        <v>69000000</v>
      </c>
      <c r="E21" s="2"/>
      <c r="F21" s="2" t="str">
        <f>IFERROR(__xludf.DUMMYFUNCTION("""COMPUTED_VALUE"""),"DB")</f>
        <v>DB</v>
      </c>
      <c r="G21" s="2">
        <f>IFERROR(__xludf.DUMMYFUNCTION("""COMPUTED_VALUE"""),3.565894535899999E8)</f>
        <v>356589453.6</v>
      </c>
      <c r="H21" s="2"/>
      <c r="I21" s="2" t="str">
        <f>IFERROR(__xludf.DUMMYFUNCTION("""COMPUTED_VALUE"""),"PRIBADI")</f>
        <v>PRIBADI</v>
      </c>
    </row>
    <row r="22">
      <c r="A22" s="10">
        <f>IFERROR(__xludf.DUMMYFUNCTION("""COMPUTED_VALUE"""),46283.0)</f>
        <v>46283</v>
      </c>
      <c r="B22" s="2" t="str">
        <f>IFERROR(__xludf.DUMMYFUNCTION("""COMPUTED_VALUE"""),"TRSF E-BANKING DB TANGGAL :17/09")</f>
        <v>TRSF E-BANKING DB TANGGAL :17/09</v>
      </c>
      <c r="C22" s="2" t="str">
        <f>IFERROR(__xludf.DUMMYFUNCTION("""COMPUTED_VALUE"""),"1709/FTSCY/WS95031 ppelunasan TABASSAM AL HATTAK")</f>
        <v>1709/FTSCY/WS95031 ppelunasan TABASSAM AL HATTAK</v>
      </c>
      <c r="D22" s="2">
        <f>IFERROR(__xludf.DUMMYFUNCTION("""COMPUTED_VALUE"""),2.0E7)</f>
        <v>20000000</v>
      </c>
      <c r="E22" s="2"/>
      <c r="F22" s="2" t="str">
        <f>IFERROR(__xludf.DUMMYFUNCTION("""COMPUTED_VALUE"""),"DB")</f>
        <v>DB</v>
      </c>
      <c r="G22" s="2">
        <f>IFERROR(__xludf.DUMMYFUNCTION("""COMPUTED_VALUE"""),3.7538954589999914E7)</f>
        <v>37538954.59</v>
      </c>
      <c r="H22" s="2"/>
      <c r="I22" s="2" t="str">
        <f>IFERROR(__xludf.DUMMYFUNCTION("""COMPUTED_VALUE"""),"PRIBADI")</f>
        <v>PRIBADI</v>
      </c>
    </row>
    <row r="23">
      <c r="A23" s="10">
        <f>IFERROR(__xludf.DUMMYFUNCTION("""COMPUTED_VALUE"""),46283.0)</f>
        <v>46283</v>
      </c>
      <c r="B23" s="2" t="str">
        <f>IFERROR(__xludf.DUMMYFUNCTION("""COMPUTED_VALUE"""),"TRSF E-BANKING DB TANGGAL :17/09")</f>
        <v>TRSF E-BANKING DB TANGGAL :17/09</v>
      </c>
      <c r="C23" s="2" t="str">
        <f>IFERROR(__xludf.DUMMYFUNCTION("""COMPUTED_VALUE"""),"1709/FTSCY/WS95031 krg 20 jt ANDALAN YASA MITRA")</f>
        <v>1709/FTSCY/WS95031 krg 20 jt ANDALAN YASA MITRA</v>
      </c>
      <c r="D23" s="2">
        <f>IFERROR(__xludf.DUMMYFUNCTION("""COMPUTED_VALUE"""),3.74244E7)</f>
        <v>37424400</v>
      </c>
      <c r="E23" s="2"/>
      <c r="F23" s="2" t="str">
        <f>IFERROR(__xludf.DUMMYFUNCTION("""COMPUTED_VALUE"""),"DB")</f>
        <v>DB</v>
      </c>
      <c r="G23" s="2">
        <f>IFERROR(__xludf.DUMMYFUNCTION("""COMPUTED_VALUE"""),114554.58999991417)</f>
        <v>114554.59</v>
      </c>
      <c r="H23" s="2"/>
      <c r="I23" s="2" t="str">
        <f>IFERROR(__xludf.DUMMYFUNCTION("""COMPUTED_VALUE"""),"PRIBADI")</f>
        <v>PRIBADI</v>
      </c>
    </row>
    <row r="24">
      <c r="A24" s="10">
        <f>IFERROR(__xludf.DUMMYFUNCTION("""COMPUTED_VALUE"""),46283.0)</f>
        <v>46283</v>
      </c>
      <c r="B24" s="2" t="str">
        <f>IFERROR(__xludf.DUMMYFUNCTION("""COMPUTED_VALUE"""),"TRSF E-BANKING DB")</f>
        <v>TRSF E-BANKING DB</v>
      </c>
      <c r="C24" s="2" t="str">
        <f>IFERROR(__xludf.DUMMYFUNCTION("""COMPUTED_VALUE"""),"1809/FTSCY/WS95271 123000000.00 GANESHA SATRIA NUS")</f>
        <v>1809/FTSCY/WS95271 123000000.00 GANESHA SATRIA NUS</v>
      </c>
      <c r="D24" s="2">
        <f>IFERROR(__xludf.DUMMYFUNCTION("""COMPUTED_VALUE"""),1.23E8)</f>
        <v>123000000</v>
      </c>
      <c r="E24" s="2"/>
      <c r="F24" s="2" t="str">
        <f>IFERROR(__xludf.DUMMYFUNCTION("""COMPUTED_VALUE"""),"DB")</f>
        <v>DB</v>
      </c>
      <c r="G24" s="2">
        <f>IFERROR(__xludf.DUMMYFUNCTION("""COMPUTED_VALUE"""),5093304.589999914)</f>
        <v>5093304.59</v>
      </c>
      <c r="H24" s="2"/>
      <c r="I24" s="2" t="str">
        <f>IFERROR(__xludf.DUMMYFUNCTION("""COMPUTED_VALUE"""),"PRIBADI")</f>
        <v>PRIBADI</v>
      </c>
    </row>
    <row r="25">
      <c r="A25" s="10">
        <f>IFERROR(__xludf.DUMMYFUNCTION("""COMPUTED_VALUE"""),46283.0)</f>
        <v>46283</v>
      </c>
      <c r="B25" s="2" t="str">
        <f>IFERROR(__xludf.DUMMYFUNCTION("""COMPUTED_VALUE"""),"TRSF E-BANKING DB")</f>
        <v>TRSF E-BANKING DB</v>
      </c>
      <c r="C25" s="2" t="str">
        <f>IFERROR(__xludf.DUMMYFUNCTION("""COMPUTED_VALUE"""),"1809/FTSCY/WS95271 5000000.00 TABASSAM AL HATTAK")</f>
        <v>1809/FTSCY/WS95271 5000000.00 TABASSAM AL HATTAK</v>
      </c>
      <c r="D25" s="2">
        <f>IFERROR(__xludf.DUMMYFUNCTION("""COMPUTED_VALUE"""),5000000.0)</f>
        <v>5000000</v>
      </c>
      <c r="E25" s="2"/>
      <c r="F25" s="2" t="str">
        <f>IFERROR(__xludf.DUMMYFUNCTION("""COMPUTED_VALUE"""),"DB")</f>
        <v>DB</v>
      </c>
      <c r="G25" s="2">
        <f>IFERROR(__xludf.DUMMYFUNCTION("""COMPUTED_VALUE"""),93304.58999991417)</f>
        <v>93304.59</v>
      </c>
      <c r="H25" s="2"/>
      <c r="I25" s="2" t="str">
        <f>IFERROR(__xludf.DUMMYFUNCTION("""COMPUTED_VALUE"""),"PRIBADI")</f>
        <v>PRIBADI</v>
      </c>
    </row>
    <row r="26">
      <c r="A26" s="10">
        <f>IFERROR(__xludf.DUMMYFUNCTION("""COMPUTED_VALUE"""),46283.0)</f>
        <v>46283</v>
      </c>
      <c r="B26" s="2" t="str">
        <f>IFERROR(__xludf.DUMMYFUNCTION("""COMPUTED_VALUE"""),"TRSF E-BANKING DB")</f>
        <v>TRSF E-BANKING DB</v>
      </c>
      <c r="C26" s="2" t="str">
        <f>IFERROR(__xludf.DUMMYFUNCTION("""COMPUTED_VALUE"""),"1809/FTSCY/WS95031 20000000.00 pelunasan ANDALAN YASA MITRA")</f>
        <v>1809/FTSCY/WS95031 20000000.00 pelunasan ANDALAN YASA MITRA</v>
      </c>
      <c r="D26" s="2">
        <f>IFERROR(__xludf.DUMMYFUNCTION("""COMPUTED_VALUE"""),2.0E7)</f>
        <v>20000000</v>
      </c>
      <c r="E26" s="2"/>
      <c r="F26" s="2" t="str">
        <f>IFERROR(__xludf.DUMMYFUNCTION("""COMPUTED_VALUE"""),"DB")</f>
        <v>DB</v>
      </c>
      <c r="G26" s="2">
        <f>IFERROR(__xludf.DUMMYFUNCTION("""COMPUTED_VALUE"""),4.8693304589999914E7)</f>
        <v>48693304.59</v>
      </c>
      <c r="H26" s="2"/>
      <c r="I26" s="2" t="str">
        <f>IFERROR(__xludf.DUMMYFUNCTION("""COMPUTED_VALUE"""),"PRIBADI")</f>
        <v>PRIBADI</v>
      </c>
    </row>
    <row r="27">
      <c r="A27" s="10">
        <f>IFERROR(__xludf.DUMMYFUNCTION("""COMPUTED_VALUE"""),46283.0)</f>
        <v>46283</v>
      </c>
      <c r="B27" s="2" t="str">
        <f>IFERROR(__xludf.DUMMYFUNCTION("""COMPUTED_VALUE"""),"TRSF E-BANKING DB")</f>
        <v>TRSF E-BANKING DB</v>
      </c>
      <c r="C27" s="2" t="str">
        <f>IFERROR(__xludf.DUMMYFUNCTION("""COMPUTED_VALUE"""),"1809/FTSCY/WS95031 2300000.00 pelunasan LAJU SATWA WISESA")</f>
        <v>1809/FTSCY/WS95031 2300000.00 pelunasan LAJU SATWA WISESA</v>
      </c>
      <c r="D27" s="2">
        <f>IFERROR(__xludf.DUMMYFUNCTION("""COMPUTED_VALUE"""),2300000.0)</f>
        <v>2300000</v>
      </c>
      <c r="E27" s="2"/>
      <c r="F27" s="2" t="str">
        <f>IFERROR(__xludf.DUMMYFUNCTION("""COMPUTED_VALUE"""),"DB")</f>
        <v>DB</v>
      </c>
      <c r="G27" s="2">
        <f>IFERROR(__xludf.DUMMYFUNCTION("""COMPUTED_VALUE"""),4.6393304589999914E7)</f>
        <v>46393304.59</v>
      </c>
      <c r="H27" s="2"/>
      <c r="I27" s="2" t="str">
        <f>IFERROR(__xludf.DUMMYFUNCTION("""COMPUTED_VALUE"""),"PRIBADI")</f>
        <v>PRIBADI</v>
      </c>
    </row>
    <row r="28">
      <c r="A28" s="10">
        <f>IFERROR(__xludf.DUMMYFUNCTION("""COMPUTED_VALUE"""),46283.0)</f>
        <v>46283</v>
      </c>
      <c r="B28" s="2" t="str">
        <f>IFERROR(__xludf.DUMMYFUNCTION("""COMPUTED_VALUE"""),"BI-FAST DB")</f>
        <v>BI-FAST DB</v>
      </c>
      <c r="C28" s="2" t="str">
        <f>IFERROR(__xludf.DUMMYFUNCTION("""COMPUTED_VALUE"""),"BIF TRANSFER KE 2 TURYADI M-BCA")</f>
        <v>BIF TRANSFER KE 2 TURYADI M-BCA</v>
      </c>
      <c r="D28" s="2">
        <f>IFERROR(__xludf.DUMMYFUNCTION("""COMPUTED_VALUE"""),1525000.0)</f>
        <v>1525000</v>
      </c>
      <c r="E28" s="2"/>
      <c r="F28" s="2" t="str">
        <f>IFERROR(__xludf.DUMMYFUNCTION("""COMPUTED_VALUE"""),"DB")</f>
        <v>DB</v>
      </c>
      <c r="G28" s="2">
        <f>IFERROR(__xludf.DUMMYFUNCTION("""COMPUTED_VALUE"""),4.4868304589999914E7)</f>
        <v>44868304.59</v>
      </c>
      <c r="H28" s="2">
        <f>IFERROR(__xludf.DUMMYFUNCTION("""COMPUTED_VALUE"""),4.486830459E7)</f>
        <v>44868304.59</v>
      </c>
      <c r="I28" s="2" t="str">
        <f>IFERROR(__xludf.DUMMYFUNCTION("""COMPUTED_VALUE"""),"PRIBADI")</f>
        <v>PRIBADI</v>
      </c>
    </row>
    <row r="29">
      <c r="A29" s="10">
        <f>IFERROR(__xludf.DUMMYFUNCTION("""COMPUTED_VALUE"""),46283.0)</f>
        <v>46283</v>
      </c>
      <c r="B29" s="2" t="str">
        <f>IFERROR(__xludf.DUMMYFUNCTION("""COMPUTED_VALUE"""),"TRSF E-BANKING DB")</f>
        <v>TRSF E-BANKING DB</v>
      </c>
      <c r="C29" s="2" t="str">
        <f>IFERROR(__xludf.DUMMYFUNCTION("""COMPUTED_VALUE"""),"1809/FTSCY/WS95271 65790000.00 Mon Sep 14 2026 14:00:00 GMT+0700 (Western Indonesia Time) ANUGERAH KARTIKA A")</f>
        <v>1809/FTSCY/WS95271 65790000.00 Mon Sep 14 2026 14:00:00 GMT+0700 (Western Indonesia Time) ANUGERAH KARTIKA A</v>
      </c>
      <c r="D29" s="2">
        <f>IFERROR(__xludf.DUMMYFUNCTION("""COMPUTED_VALUE"""),6.579E7)</f>
        <v>65790000</v>
      </c>
      <c r="E29" s="2"/>
      <c r="F29" s="2" t="str">
        <f>IFERROR(__xludf.DUMMYFUNCTION("""COMPUTED_VALUE"""),"DB")</f>
        <v>DB</v>
      </c>
      <c r="G29" s="2">
        <f>IFERROR(__xludf.DUMMYFUNCTION("""COMPUTED_VALUE"""),1.883901345899999E8)</f>
        <v>188390134.6</v>
      </c>
      <c r="H29" s="2"/>
      <c r="I29" s="2" t="str">
        <f>IFERROR(__xludf.DUMMYFUNCTION("""COMPUTED_VALUE"""),"PRIBADI")</f>
        <v>PRIBADI</v>
      </c>
    </row>
    <row r="30">
      <c r="A30" s="10">
        <f>IFERROR(__xludf.DUMMYFUNCTION("""COMPUTED_VALUE"""),46283.0)</f>
        <v>46283</v>
      </c>
      <c r="B30" s="2" t="str">
        <f>IFERROR(__xludf.DUMMYFUNCTION("""COMPUTED_VALUE"""),"TRSF E-BANKING DB")</f>
        <v>TRSF E-BANKING DB</v>
      </c>
      <c r="C30" s="2" t="str">
        <f>IFERROR(__xludf.DUMMYFUNCTION("""COMPUTED_VALUE"""),"1809/FTSCY/WS95271 66143000.00 Mon Sep 14 2026 14:00:00 GMT+0700 (Western Indonesia Time) ANUGERAH KARTIKA A")</f>
        <v>1809/FTSCY/WS95271 66143000.00 Mon Sep 14 2026 14:00:00 GMT+0700 (Western Indonesia Time) ANUGERAH KARTIKA A</v>
      </c>
      <c r="D30" s="2">
        <f>IFERROR(__xludf.DUMMYFUNCTION("""COMPUTED_VALUE"""),6.6143E7)</f>
        <v>66143000</v>
      </c>
      <c r="E30" s="2"/>
      <c r="F30" s="2" t="str">
        <f>IFERROR(__xludf.DUMMYFUNCTION("""COMPUTED_VALUE"""),"DB")</f>
        <v>DB</v>
      </c>
      <c r="G30" s="2">
        <f>IFERROR(__xludf.DUMMYFUNCTION("""COMPUTED_VALUE"""),1.2224713458999991E8)</f>
        <v>122247134.6</v>
      </c>
      <c r="H30" s="2"/>
      <c r="I30" s="2" t="str">
        <f>IFERROR(__xludf.DUMMYFUNCTION("""COMPUTED_VALUE"""),"PRIBADI")</f>
        <v>PRIBADI</v>
      </c>
    </row>
    <row r="31">
      <c r="A31" s="10">
        <f>IFERROR(__xludf.DUMMYFUNCTION("""COMPUTED_VALUE"""),46283.0)</f>
        <v>46283</v>
      </c>
      <c r="B31" s="2" t="str">
        <f>IFERROR(__xludf.DUMMYFUNCTION("""COMPUTED_VALUE"""),"TRSF E-BANKING DB")</f>
        <v>TRSF E-BANKING DB</v>
      </c>
      <c r="C31" s="2" t="str">
        <f>IFERROR(__xludf.DUMMYFUNCTION("""COMPUTED_VALUE"""),"1809/FTSCY/WS95271 37967650.00 Tue Sep 15 2026 14:00:00 GMT+0700 (Western Indonesia Time) BINTANG TAMA SANTO")</f>
        <v>1809/FTSCY/WS95271 37967650.00 Tue Sep 15 2026 14:00:00 GMT+0700 (Western Indonesia Time) BINTANG TAMA SANTO</v>
      </c>
      <c r="D31" s="2">
        <f>IFERROR(__xludf.DUMMYFUNCTION("""COMPUTED_VALUE"""),3.796765E7)</f>
        <v>37967650</v>
      </c>
      <c r="E31" s="2"/>
      <c r="F31" s="2" t="str">
        <f>IFERROR(__xludf.DUMMYFUNCTION("""COMPUTED_VALUE"""),"DB")</f>
        <v>DB</v>
      </c>
      <c r="G31" s="2">
        <f>IFERROR(__xludf.DUMMYFUNCTION("""COMPUTED_VALUE"""),8.427948458999991E7)</f>
        <v>84279484.59</v>
      </c>
      <c r="H31" s="2"/>
      <c r="I31" s="2" t="str">
        <f>IFERROR(__xludf.DUMMYFUNCTION("""COMPUTED_VALUE"""),"PRIBADI")</f>
        <v>PRIBADI</v>
      </c>
    </row>
    <row r="32">
      <c r="A32" s="10">
        <f>IFERROR(__xludf.DUMMYFUNCTION("""COMPUTED_VALUE"""),46283.0)</f>
        <v>46283</v>
      </c>
      <c r="B32" s="2" t="str">
        <f>IFERROR(__xludf.DUMMYFUNCTION("""COMPUTED_VALUE"""),"TRSF E-BANKING DB")</f>
        <v>TRSF E-BANKING DB</v>
      </c>
      <c r="C32" s="2" t="str">
        <f>IFERROR(__xludf.DUMMYFUNCTION("""COMPUTED_VALUE"""),"1809/FTSCY/WS95011 20000000.00 Pelunasan BINTANG TAMA SANTO")</f>
        <v>1809/FTSCY/WS95011 20000000.00 Pelunasan BINTANG TAMA SANTO</v>
      </c>
      <c r="D32" s="2">
        <f>IFERROR(__xludf.DUMMYFUNCTION("""COMPUTED_VALUE"""),2.0E7)</f>
        <v>20000000</v>
      </c>
      <c r="E32" s="2"/>
      <c r="F32" s="2" t="str">
        <f>IFERROR(__xludf.DUMMYFUNCTION("""COMPUTED_VALUE"""),"DB")</f>
        <v>DB</v>
      </c>
      <c r="G32" s="2">
        <f>IFERROR(__xludf.DUMMYFUNCTION("""COMPUTED_VALUE"""),6.4279484589999914E7)</f>
        <v>64279484.59</v>
      </c>
      <c r="H32" s="2"/>
      <c r="I32" s="2" t="str">
        <f>IFERROR(__xludf.DUMMYFUNCTION("""COMPUTED_VALUE"""),"PRIBADI")</f>
        <v>PRIBADI</v>
      </c>
    </row>
    <row r="33">
      <c r="A33" s="10">
        <f>IFERROR(__xludf.DUMMYFUNCTION("""COMPUTED_VALUE"""),46283.0)</f>
        <v>46283</v>
      </c>
      <c r="B33" s="2" t="str">
        <f>IFERROR(__xludf.DUMMYFUNCTION("""COMPUTED_VALUE"""),"TRSF E-BANKING DB")</f>
        <v>TRSF E-BANKING DB</v>
      </c>
      <c r="C33" s="2" t="str">
        <f>IFERROR(__xludf.DUMMYFUNCTION("""COMPUTED_VALUE"""),"1809/FTSCY/WS95011 54151800.00 Tue Sep 15 2026 14:00:00 GMT+0700 (Western Indonesia Time) BINTANG TAMA SANTO")</f>
        <v>1809/FTSCY/WS95011 54151800.00 Tue Sep 15 2026 14:00:00 GMT+0700 (Western Indonesia Time) BINTANG TAMA SANTO</v>
      </c>
      <c r="D33" s="2">
        <f>IFERROR(__xludf.DUMMYFUNCTION("""COMPUTED_VALUE"""),5.41518E7)</f>
        <v>54151800</v>
      </c>
      <c r="E33" s="2"/>
      <c r="F33" s="2" t="str">
        <f>IFERROR(__xludf.DUMMYFUNCTION("""COMPUTED_VALUE"""),"DB")</f>
        <v>DB</v>
      </c>
      <c r="G33" s="2">
        <f>IFERROR(__xludf.DUMMYFUNCTION("""COMPUTED_VALUE"""),1.0127684589999914E7)</f>
        <v>10127684.59</v>
      </c>
      <c r="H33" s="2"/>
      <c r="I33" s="2" t="str">
        <f>IFERROR(__xludf.DUMMYFUNCTION("""COMPUTED_VALUE"""),"PRIBADI")</f>
        <v>PRIBADI</v>
      </c>
    </row>
    <row r="34">
      <c r="A34" s="10">
        <f>IFERROR(__xludf.DUMMYFUNCTION("""COMPUTED_VALUE"""),46283.0)</f>
        <v>46283</v>
      </c>
      <c r="B34" s="2" t="str">
        <f>IFERROR(__xludf.DUMMYFUNCTION("""COMPUTED_VALUE"""),"TRSF E-BANKING DB")</f>
        <v>TRSF E-BANKING DB</v>
      </c>
      <c r="C34" s="2" t="str">
        <f>IFERROR(__xludf.DUMMYFUNCTION("""COMPUTED_VALUE"""),"1809/FTSCY/WS95031 1800000.00 BELA PRAMUDITA")</f>
        <v>1809/FTSCY/WS95031 1800000.00 BELA PRAMUDITA</v>
      </c>
      <c r="D34" s="2">
        <f>IFERROR(__xludf.DUMMYFUNCTION("""COMPUTED_VALUE"""),1800000.0)</f>
        <v>1800000</v>
      </c>
      <c r="E34" s="2"/>
      <c r="F34" s="2" t="str">
        <f>IFERROR(__xludf.DUMMYFUNCTION("""COMPUTED_VALUE"""),"DB")</f>
        <v>DB</v>
      </c>
      <c r="G34" s="2">
        <f>IFERROR(__xludf.DUMMYFUNCTION("""COMPUTED_VALUE"""),8327684.589999914)</f>
        <v>8327684.59</v>
      </c>
      <c r="H34" s="2"/>
      <c r="I34" s="2" t="str">
        <f>IFERROR(__xludf.DUMMYFUNCTION("""COMPUTED_VALUE"""),"PRIBADI")</f>
        <v>PRIBADI</v>
      </c>
    </row>
    <row r="35">
      <c r="A35" s="10">
        <f>IFERROR(__xludf.DUMMYFUNCTION("""COMPUTED_VALUE"""),46283.0)</f>
        <v>46283</v>
      </c>
      <c r="B35" s="2" t="str">
        <f>IFERROR(__xludf.DUMMYFUNCTION("""COMPUTED_VALUE"""),"TRSF E-BANKING DB")</f>
        <v>TRSF E-BANKING DB</v>
      </c>
      <c r="C35" s="2" t="str">
        <f>IFERROR(__xludf.DUMMYFUNCTION("""COMPUTED_VALUE"""),"1809/FTSCY/WS95031 7664910.00 EKO SETIYAWAN")</f>
        <v>1809/FTSCY/WS95031 7664910.00 EKO SETIYAWAN</v>
      </c>
      <c r="D35" s="2">
        <f>IFERROR(__xludf.DUMMYFUNCTION("""COMPUTED_VALUE"""),7664910.0)</f>
        <v>7664910</v>
      </c>
      <c r="E35" s="2"/>
      <c r="F35" s="2" t="str">
        <f>IFERROR(__xludf.DUMMYFUNCTION("""COMPUTED_VALUE"""),"DB")</f>
        <v>DB</v>
      </c>
      <c r="G35" s="2">
        <f>IFERROR(__xludf.DUMMYFUNCTION("""COMPUTED_VALUE"""),662774.5899999142)</f>
        <v>662774.59</v>
      </c>
      <c r="H35" s="2"/>
      <c r="I35" s="2" t="str">
        <f>IFERROR(__xludf.DUMMYFUNCTION("""COMPUTED_VALUE"""),"PRIBADI")</f>
        <v>PRIBADI</v>
      </c>
    </row>
    <row r="36">
      <c r="A36" s="10">
        <f>IFERROR(__xludf.DUMMYFUNCTION("""COMPUTED_VALUE"""),46283.0)</f>
        <v>46283</v>
      </c>
      <c r="B36" s="2" t="str">
        <f>IFERROR(__xludf.DUMMYFUNCTION("""COMPUTED_VALUE"""),"TRSF E-BANKING DB")</f>
        <v>TRSF E-BANKING DB</v>
      </c>
      <c r="C36" s="2" t="str">
        <f>IFERROR(__xludf.DUMMYFUNCTION("""COMPUTED_VALUE"""),"1809/FTSCY/WS95011 17496280.00 EKO SETIYAWAN")</f>
        <v>1809/FTSCY/WS95011 17496280.00 EKO SETIYAWAN</v>
      </c>
      <c r="D36" s="2">
        <f>IFERROR(__xludf.DUMMYFUNCTION("""COMPUTED_VALUE"""),1.749628E7)</f>
        <v>17496280</v>
      </c>
      <c r="E36" s="2"/>
      <c r="F36" s="2" t="str">
        <f>IFERROR(__xludf.DUMMYFUNCTION("""COMPUTED_VALUE"""),"DB")</f>
        <v>DB</v>
      </c>
      <c r="G36" s="2">
        <f>IFERROR(__xludf.DUMMYFUNCTION("""COMPUTED_VALUE"""),8.316649458999991E7)</f>
        <v>83166494.59</v>
      </c>
      <c r="H36" s="2">
        <f>IFERROR(__xludf.DUMMYFUNCTION("""COMPUTED_VALUE"""),8.316649459E7)</f>
        <v>83166494.59</v>
      </c>
      <c r="I36" s="2" t="str">
        <f>IFERROR(__xludf.DUMMYFUNCTION("""COMPUTED_VALUE"""),"PRIBADI")</f>
        <v>PRIBADI</v>
      </c>
    </row>
    <row r="37">
      <c r="A37" s="10">
        <f>IFERROR(__xludf.DUMMYFUNCTION("""COMPUTED_VALUE"""),46283.0)</f>
        <v>46283</v>
      </c>
      <c r="B37" s="2" t="str">
        <f>IFERROR(__xludf.DUMMYFUNCTION("""COMPUTED_VALUE"""),"TRSF E-BANKING DB")</f>
        <v>TRSF E-BANKING DB</v>
      </c>
      <c r="C37" s="2" t="str">
        <f>IFERROR(__xludf.DUMMYFUNCTION("""COMPUTED_VALUE"""),"1809/FTSCY/WS95011 194573750.00 Tue Sep 15 2026 14:00:00 GMT+0700 (Western Indonesia Time) BINTANG TAMA SANTO")</f>
        <v>1809/FTSCY/WS95011 194573750.00 Tue Sep 15 2026 14:00:00 GMT+0700 (Western Indonesia Time) BINTANG TAMA SANTO</v>
      </c>
      <c r="D37" s="2">
        <f>IFERROR(__xludf.DUMMYFUNCTION("""COMPUTED_VALUE"""),1.9457375E8)</f>
        <v>194573750</v>
      </c>
      <c r="E37" s="2"/>
      <c r="F37" s="2" t="str">
        <f>IFERROR(__xludf.DUMMYFUNCTION("""COMPUTED_VALUE"""),"DB")</f>
        <v>DB</v>
      </c>
      <c r="G37" s="2">
        <f>IFERROR(__xludf.DUMMYFUNCTION("""COMPUTED_VALUE"""),1.958696945899999E8)</f>
        <v>195869694.6</v>
      </c>
      <c r="H37" s="2"/>
      <c r="I37" s="2" t="str">
        <f>IFERROR(__xludf.DUMMYFUNCTION("""COMPUTED_VALUE"""),"PRIBADI")</f>
        <v>PRIBADI</v>
      </c>
    </row>
    <row r="38">
      <c r="A38" s="10">
        <f>IFERROR(__xludf.DUMMYFUNCTION("""COMPUTED_VALUE"""),46283.0)</f>
        <v>46283</v>
      </c>
      <c r="B38" s="2" t="str">
        <f>IFERROR(__xludf.DUMMYFUNCTION("""COMPUTED_VALUE"""),"TRSF E-BANKING DB")</f>
        <v>TRSF E-BANKING DB</v>
      </c>
      <c r="C38" s="2" t="str">
        <f>IFERROR(__xludf.DUMMYFUNCTION("""COMPUTED_VALUE"""),"1809/FTSCY/WS95011 141450540.00 Tue Sep 15 2026 14:00:00 GMT+0700 (Western Indonesia Time) TABASSAM AL HATTAK")</f>
        <v>1809/FTSCY/WS95011 141450540.00 Tue Sep 15 2026 14:00:00 GMT+0700 (Western Indonesia Time) TABASSAM AL HATTAK</v>
      </c>
      <c r="D38" s="2">
        <f>IFERROR(__xludf.DUMMYFUNCTION("""COMPUTED_VALUE"""),1.4145054E8)</f>
        <v>141450540</v>
      </c>
      <c r="E38" s="2"/>
      <c r="F38" s="2" t="str">
        <f>IFERROR(__xludf.DUMMYFUNCTION("""COMPUTED_VALUE"""),"DB")</f>
        <v>DB</v>
      </c>
      <c r="G38" s="2">
        <f>IFERROR(__xludf.DUMMYFUNCTION("""COMPUTED_VALUE"""),5.4419154589999914E7)</f>
        <v>54419154.59</v>
      </c>
      <c r="H38" s="2"/>
      <c r="I38" s="2" t="str">
        <f>IFERROR(__xludf.DUMMYFUNCTION("""COMPUTED_VALUE"""),"PRIBADI")</f>
        <v>PRIBADI</v>
      </c>
    </row>
    <row r="39">
      <c r="A39" s="10">
        <f>IFERROR(__xludf.DUMMYFUNCTION("""COMPUTED_VALUE"""),46283.0)</f>
        <v>46283</v>
      </c>
      <c r="B39" s="2" t="str">
        <f>IFERROR(__xludf.DUMMYFUNCTION("""COMPUTED_VALUE"""),"TRSF E-BANKING DB")</f>
        <v>TRSF E-BANKING DB</v>
      </c>
      <c r="C39" s="2" t="str">
        <f>IFERROR(__xludf.DUMMYFUNCTION("""COMPUTED_VALUE"""),"1809/FTSCY/WS95011 58511100.00 15/09 lmjg SURYA INTI TERNAK")</f>
        <v>1809/FTSCY/WS95011 58511100.00 15/09 lmjg SURYA INTI TERNAK</v>
      </c>
      <c r="D39" s="2">
        <f>IFERROR(__xludf.DUMMYFUNCTION("""COMPUTED_VALUE"""),5.85111E7)</f>
        <v>58511100</v>
      </c>
      <c r="E39" s="2"/>
      <c r="F39" s="2" t="str">
        <f>IFERROR(__xludf.DUMMYFUNCTION("""COMPUTED_VALUE"""),"DB")</f>
        <v>DB</v>
      </c>
      <c r="G39" s="2">
        <f>IFERROR(__xludf.DUMMYFUNCTION("""COMPUTED_VALUE"""),1908054.5899999142)</f>
        <v>1908054.59</v>
      </c>
      <c r="H39" s="2">
        <f>IFERROR(__xludf.DUMMYFUNCTION("""COMPUTED_VALUE"""),1908054.59)</f>
        <v>1908054.59</v>
      </c>
      <c r="I39" s="2" t="str">
        <f>IFERROR(__xludf.DUMMYFUNCTION("""COMPUTED_VALUE"""),"PRIBADI")</f>
        <v>PRIBADI</v>
      </c>
    </row>
    <row r="40">
      <c r="A40" s="10">
        <f>IFERROR(__xludf.DUMMYFUNCTION("""COMPUTED_VALUE"""),46284.0)</f>
        <v>46284</v>
      </c>
      <c r="B40" s="2" t="str">
        <f>IFERROR(__xludf.DUMMYFUNCTION("""COMPUTED_VALUE"""),"TRSF E-BANKING DB TANGGAL :18/09")</f>
        <v>TRSF E-BANKING DB TANGGAL :18/09</v>
      </c>
      <c r="C40" s="2" t="str">
        <f>IFERROR(__xludf.DUMMYFUNCTION("""COMPUTED_VALUE"""),"1809/FTSCY/WS95031 SUNARTO")</f>
        <v>1809/FTSCY/WS95031 SUNARTO</v>
      </c>
      <c r="D40" s="2">
        <f>IFERROR(__xludf.DUMMYFUNCTION("""COMPUTED_VALUE"""),1854500.0)</f>
        <v>1854500</v>
      </c>
      <c r="E40" s="2"/>
      <c r="F40" s="2" t="str">
        <f>IFERROR(__xludf.DUMMYFUNCTION("""COMPUTED_VALUE"""),"DB")</f>
        <v>DB</v>
      </c>
      <c r="G40" s="2">
        <f>IFERROR(__xludf.DUMMYFUNCTION("""COMPUTED_VALUE"""),53554.58999991417)</f>
        <v>53554.59</v>
      </c>
      <c r="H40" s="2"/>
      <c r="I40" s="2" t="str">
        <f>IFERROR(__xludf.DUMMYFUNCTION("""COMPUTED_VALUE"""),"PRIBADI")</f>
        <v>PRIBADI</v>
      </c>
    </row>
    <row r="41">
      <c r="A41" s="10">
        <f>IFERROR(__xludf.DUMMYFUNCTION("""COMPUTED_VALUE"""),46284.0)</f>
        <v>46284</v>
      </c>
      <c r="B41" s="2" t="str">
        <f>IFERROR(__xludf.DUMMYFUNCTION("""COMPUTED_VALUE"""),"TRSF E-BANKING DB")</f>
        <v>TRSF E-BANKING DB</v>
      </c>
      <c r="C41" s="2" t="str">
        <f>IFERROR(__xludf.DUMMYFUNCTION("""COMPUTED_VALUE"""),"1909/FTSCY/WS95031 66027830.00 jbr LAWU ABADI NUSA PT")</f>
        <v>1909/FTSCY/WS95031 66027830.00 jbr LAWU ABADI NUSA PT</v>
      </c>
      <c r="D41" s="2">
        <f>IFERROR(__xludf.DUMMYFUNCTION("""COMPUTED_VALUE"""),6.602783E7)</f>
        <v>66027830</v>
      </c>
      <c r="E41" s="2"/>
      <c r="F41" s="2" t="str">
        <f>IFERROR(__xludf.DUMMYFUNCTION("""COMPUTED_VALUE"""),"DB")</f>
        <v>DB</v>
      </c>
      <c r="G41" s="2">
        <f>IFERROR(__xludf.DUMMYFUNCTION("""COMPUTED_VALUE"""),1.415687245899999E8)</f>
        <v>141568724.6</v>
      </c>
      <c r="H41" s="2"/>
      <c r="I41" s="2" t="str">
        <f>IFERROR(__xludf.DUMMYFUNCTION("""COMPUTED_VALUE"""),"PRIBADI")</f>
        <v>PRIBADI</v>
      </c>
    </row>
    <row r="42">
      <c r="A42" s="10">
        <f>IFERROR(__xludf.DUMMYFUNCTION("""COMPUTED_VALUE"""),46284.0)</f>
        <v>46284</v>
      </c>
      <c r="B42" s="2" t="str">
        <f>IFERROR(__xludf.DUMMYFUNCTION("""COMPUTED_VALUE"""),"TRSF E-BANKING DB")</f>
        <v>TRSF E-BANKING DB</v>
      </c>
      <c r="C42" s="2" t="str">
        <f>IFERROR(__xludf.DUMMYFUNCTION("""COMPUTED_VALUE"""),"1909/FTSCY/WS95271 62070000.00 Tue Sep 15 2026 14:00:00 GMT+0700 (Western Indonesia Time) BROILER MAKMUR TAN")</f>
        <v>1909/FTSCY/WS95271 62070000.00 Tue Sep 15 2026 14:00:00 GMT+0700 (Western Indonesia Time) BROILER MAKMUR TAN</v>
      </c>
      <c r="D42" s="2">
        <f>IFERROR(__xludf.DUMMYFUNCTION("""COMPUTED_VALUE"""),6.207E7)</f>
        <v>62070000</v>
      </c>
      <c r="E42" s="2"/>
      <c r="F42" s="2" t="str">
        <f>IFERROR(__xludf.DUMMYFUNCTION("""COMPUTED_VALUE"""),"DB")</f>
        <v>DB</v>
      </c>
      <c r="G42" s="2">
        <f>IFERROR(__xludf.DUMMYFUNCTION("""COMPUTED_VALUE"""),7.949872458999991E7)</f>
        <v>79498724.59</v>
      </c>
      <c r="H42" s="2"/>
      <c r="I42" s="2" t="str">
        <f>IFERROR(__xludf.DUMMYFUNCTION("""COMPUTED_VALUE"""),"PRIBADI")</f>
        <v>PRIBADI</v>
      </c>
    </row>
    <row r="43">
      <c r="A43" s="10">
        <f>IFERROR(__xludf.DUMMYFUNCTION("""COMPUTED_VALUE"""),46284.0)</f>
        <v>46284</v>
      </c>
      <c r="B43" s="2" t="str">
        <f>IFERROR(__xludf.DUMMYFUNCTION("""COMPUTED_VALUE"""),"TRSF E-BANKING DB")</f>
        <v>TRSF E-BANKING DB</v>
      </c>
      <c r="C43" s="2" t="str">
        <f>IFERROR(__xludf.DUMMYFUNCTION("""COMPUTED_VALUE"""),"1909/FTSCY/WS95031 7736000.00 GANESHA SATRIA NUS")</f>
        <v>1909/FTSCY/WS95031 7736000.00 GANESHA SATRIA NUS</v>
      </c>
      <c r="D43" s="2">
        <f>IFERROR(__xludf.DUMMYFUNCTION("""COMPUTED_VALUE"""),7736000.0)</f>
        <v>7736000</v>
      </c>
      <c r="E43" s="2"/>
      <c r="F43" s="2" t="str">
        <f>IFERROR(__xludf.DUMMYFUNCTION("""COMPUTED_VALUE"""),"DB")</f>
        <v>DB</v>
      </c>
      <c r="G43" s="2">
        <f>IFERROR(__xludf.DUMMYFUNCTION("""COMPUTED_VALUE"""),1.958975245899999E8)</f>
        <v>195897524.6</v>
      </c>
      <c r="H43" s="2"/>
      <c r="I43" s="2" t="str">
        <f>IFERROR(__xludf.DUMMYFUNCTION("""COMPUTED_VALUE"""),"PRIBADI")</f>
        <v>PRIBADI</v>
      </c>
    </row>
    <row r="44">
      <c r="A44" s="10">
        <f>IFERROR(__xludf.DUMMYFUNCTION("""COMPUTED_VALUE"""),46284.0)</f>
        <v>46284</v>
      </c>
      <c r="B44" s="2" t="str">
        <f>IFERROR(__xludf.DUMMYFUNCTION("""COMPUTED_VALUE"""),"TRSF E-BANKING DB")</f>
        <v>TRSF E-BANKING DB</v>
      </c>
      <c r="C44" s="2" t="str">
        <f>IFERROR(__xludf.DUMMYFUNCTION("""COMPUTED_VALUE"""),"1909/FTSCY/WS95271 64060000.00 GANESHA SATRIA NUS")</f>
        <v>1909/FTSCY/WS95271 64060000.00 GANESHA SATRIA NUS</v>
      </c>
      <c r="D44" s="2">
        <f>IFERROR(__xludf.DUMMYFUNCTION("""COMPUTED_VALUE"""),6.406E7)</f>
        <v>64060000</v>
      </c>
      <c r="E44" s="2"/>
      <c r="F44" s="2" t="str">
        <f>IFERROR(__xludf.DUMMYFUNCTION("""COMPUTED_VALUE"""),"DB")</f>
        <v>DB</v>
      </c>
      <c r="G44" s="2">
        <f>IFERROR(__xludf.DUMMYFUNCTION("""COMPUTED_VALUE"""),1.3183752458999991E8)</f>
        <v>131837524.6</v>
      </c>
      <c r="H44" s="2">
        <f>IFERROR(__xludf.DUMMYFUNCTION("""COMPUTED_VALUE"""),1.3183752459E8)</f>
        <v>131837524.6</v>
      </c>
      <c r="I44" s="2" t="str">
        <f>IFERROR(__xludf.DUMMYFUNCTION("""COMPUTED_VALUE"""),"PRIBADI")</f>
        <v>PRIBADI</v>
      </c>
    </row>
    <row r="45">
      <c r="A45" s="10">
        <f>IFERROR(__xludf.DUMMYFUNCTION("""COMPUTED_VALUE"""),46284.0)</f>
        <v>46284</v>
      </c>
      <c r="B45" s="2" t="str">
        <f>IFERROR(__xludf.DUMMYFUNCTION("""COMPUTED_VALUE"""),"TRSF E-BANKING DB")</f>
        <v>TRSF E-BANKING DB</v>
      </c>
      <c r="C45" s="2" t="str">
        <f>IFERROR(__xludf.DUMMYFUNCTION("""COMPUTED_VALUE"""),"1909/FTSCY/WS95271 62125250.00 Tue Sep 15 2026 14:00:00 GMT+0700 (Western Indonesia Time) ANUGERAH KARTIKA A")</f>
        <v>1909/FTSCY/WS95271 62125250.00 Tue Sep 15 2026 14:00:00 GMT+0700 (Western Indonesia Time) ANUGERAH KARTIKA A</v>
      </c>
      <c r="D45" s="2">
        <f>IFERROR(__xludf.DUMMYFUNCTION("""COMPUTED_VALUE"""),6.212525E7)</f>
        <v>62125250</v>
      </c>
      <c r="E45" s="2"/>
      <c r="F45" s="2" t="str">
        <f>IFERROR(__xludf.DUMMYFUNCTION("""COMPUTED_VALUE"""),"DB")</f>
        <v>DB</v>
      </c>
      <c r="G45" s="2">
        <f>IFERROR(__xludf.DUMMYFUNCTION("""COMPUTED_VALUE"""),6.971227458999991E7)</f>
        <v>69712274.59</v>
      </c>
      <c r="H45" s="2">
        <f>IFERROR(__xludf.DUMMYFUNCTION("""COMPUTED_VALUE"""),6.971227459E7)</f>
        <v>69712274.59</v>
      </c>
      <c r="I45" s="2" t="str">
        <f>IFERROR(__xludf.DUMMYFUNCTION("""COMPUTED_VALUE"""),"PRIBADI")</f>
        <v>PRIBADI</v>
      </c>
    </row>
    <row r="46">
      <c r="A46" s="10">
        <f>IFERROR(__xludf.DUMMYFUNCTION("""COMPUTED_VALUE"""),46284.0)</f>
        <v>46284</v>
      </c>
      <c r="B46" s="2" t="str">
        <f>IFERROR(__xludf.DUMMYFUNCTION("""COMPUTED_VALUE"""),"TRSF E-BANKING DB")</f>
        <v>TRSF E-BANKING DB</v>
      </c>
      <c r="C46" s="2" t="str">
        <f>IFERROR(__xludf.DUMMYFUNCTION("""COMPUTED_VALUE"""),"1909/FTSCY/WS95271 44060000.00 Fri Sep 18 2026 14:00:00 GMT+0700 (Western Indonesia Time) LAJU SATWA WISESA")</f>
        <v>1909/FTSCY/WS95271 44060000.00 Fri Sep 18 2026 14:00:00 GMT+0700 (Western Indonesia Time) LAJU SATWA WISESA</v>
      </c>
      <c r="D46" s="2">
        <f>IFERROR(__xludf.DUMMYFUNCTION("""COMPUTED_VALUE"""),4.406E7)</f>
        <v>44060000</v>
      </c>
      <c r="E46" s="2"/>
      <c r="F46" s="2" t="str">
        <f>IFERROR(__xludf.DUMMYFUNCTION("""COMPUTED_VALUE"""),"DB")</f>
        <v>DB</v>
      </c>
      <c r="G46" s="2">
        <f>IFERROR(__xludf.DUMMYFUNCTION("""COMPUTED_VALUE"""),2.5652274589999914E7)</f>
        <v>25652274.59</v>
      </c>
      <c r="H46" s="2"/>
      <c r="I46" s="2" t="str">
        <f>IFERROR(__xludf.DUMMYFUNCTION("""COMPUTED_VALUE"""),"PRIBADI")</f>
        <v>PRIBADI</v>
      </c>
    </row>
    <row r="47">
      <c r="A47" s="10">
        <f>IFERROR(__xludf.DUMMYFUNCTION("""COMPUTED_VALUE"""),46284.0)</f>
        <v>46284</v>
      </c>
      <c r="B47" s="2" t="str">
        <f>IFERROR(__xludf.DUMMYFUNCTION("""COMPUTED_VALUE"""),"TARIKAN ATM 19/09")</f>
        <v>TARIKAN ATM 19/09</v>
      </c>
      <c r="C47" s="2" t="str">
        <f>IFERROR(__xludf.DUMMYFUNCTION("""COMPUTED_VALUE"""),"TARIKAN ATM 19/09")</f>
        <v>TARIKAN ATM 19/09</v>
      </c>
      <c r="D47" s="2">
        <f>IFERROR(__xludf.DUMMYFUNCTION("""COMPUTED_VALUE"""),200000.0)</f>
        <v>200000</v>
      </c>
      <c r="E47" s="2"/>
      <c r="F47" s="2"/>
      <c r="G47" s="2">
        <f>IFERROR(__xludf.DUMMYFUNCTION("""COMPUTED_VALUE"""),1.636116345899999E8)</f>
        <v>163611634.6</v>
      </c>
      <c r="H47" s="2"/>
      <c r="I47" s="2" t="str">
        <f>IFERROR(__xludf.DUMMYFUNCTION("""COMPUTED_VALUE"""),"PRIBADI")</f>
        <v>PRIBADI</v>
      </c>
    </row>
    <row r="48">
      <c r="A48" s="10">
        <f>IFERROR(__xludf.DUMMYFUNCTION("""COMPUTED_VALUE"""),46284.0)</f>
        <v>46284</v>
      </c>
      <c r="B48" s="2" t="str">
        <f>IFERROR(__xludf.DUMMYFUNCTION("""COMPUTED_VALUE"""),"BI-FAST DB")</f>
        <v>BI-FAST DB</v>
      </c>
      <c r="C48" s="2" t="str">
        <f>IFERROR(__xludf.DUMMYFUNCTION("""COMPUTED_VALUE"""),"BIF TRANSFER KE 9 NOUVAL HOLQI RISKU M-BCA")</f>
        <v>BIF TRANSFER KE 9 NOUVAL HOLQI RISKU M-BCA</v>
      </c>
      <c r="D48" s="2">
        <f>IFERROR(__xludf.DUMMYFUNCTION("""COMPUTED_VALUE"""),70000.0)</f>
        <v>70000</v>
      </c>
      <c r="E48" s="2"/>
      <c r="F48" s="2" t="str">
        <f>IFERROR(__xludf.DUMMYFUNCTION("""COMPUTED_VALUE"""),"DB")</f>
        <v>DB</v>
      </c>
      <c r="G48" s="2">
        <f>IFERROR(__xludf.DUMMYFUNCTION("""COMPUTED_VALUE"""),3.580216345899999E8)</f>
        <v>358021634.6</v>
      </c>
      <c r="H48" s="2"/>
      <c r="I48" s="2" t="str">
        <f>IFERROR(__xludf.DUMMYFUNCTION("""COMPUTED_VALUE"""),"PRIBADI")</f>
        <v>PRIBADI</v>
      </c>
    </row>
    <row r="49">
      <c r="A49" s="10">
        <f>IFERROR(__xludf.DUMMYFUNCTION("""COMPUTED_VALUE"""),46284.0)</f>
        <v>46284</v>
      </c>
      <c r="B49" s="2" t="str">
        <f>IFERROR(__xludf.DUMMYFUNCTION("""COMPUTED_VALUE"""),"BI-FAST DB")</f>
        <v>BI-FAST DB</v>
      </c>
      <c r="C49" s="2" t="str">
        <f>IFERROR(__xludf.DUMMYFUNCTION("""COMPUTED_VALUE"""),"BIF BIAYA TXN KE 9 NOUVAL HOLQI RISKU M-BCA")</f>
        <v>BIF BIAYA TXN KE 9 NOUVAL HOLQI RISKU M-BCA</v>
      </c>
      <c r="D49" s="2">
        <f>IFERROR(__xludf.DUMMYFUNCTION("""COMPUTED_VALUE"""),2500.0)</f>
        <v>2500</v>
      </c>
      <c r="E49" s="2"/>
      <c r="F49" s="2" t="str">
        <f>IFERROR(__xludf.DUMMYFUNCTION("""COMPUTED_VALUE"""),"DB")</f>
        <v>DB</v>
      </c>
      <c r="G49" s="2">
        <f>IFERROR(__xludf.DUMMYFUNCTION("""COMPUTED_VALUE"""),3.580191345899999E8)</f>
        <v>358019134.6</v>
      </c>
      <c r="H49" s="2"/>
      <c r="I49" s="2" t="str">
        <f>IFERROR(__xludf.DUMMYFUNCTION("""COMPUTED_VALUE"""),"PRIBADI")</f>
        <v>PRIBADI</v>
      </c>
    </row>
    <row r="50">
      <c r="A50" s="10">
        <f>IFERROR(__xludf.DUMMYFUNCTION("""COMPUTED_VALUE"""),46284.0)</f>
        <v>46284</v>
      </c>
      <c r="B50" s="2" t="str">
        <f>IFERROR(__xludf.DUMMYFUNCTION("""COMPUTED_VALUE"""),"TRSF E-BANKING DB")</f>
        <v>TRSF E-BANKING DB</v>
      </c>
      <c r="C50" s="2" t="str">
        <f>IFERROR(__xludf.DUMMYFUNCTION("""COMPUTED_VALUE"""),"1909/FTSCY/WS95011 172478300.00 Mon Aug 17 2026 14:00:00 GMT+0700 (Western Indonesia Time) TABASSAM AL HATTAK")</f>
        <v>1909/FTSCY/WS95011 172478300.00 Mon Aug 17 2026 14:00:00 GMT+0700 (Western Indonesia Time) TABASSAM AL HATTAK</v>
      </c>
      <c r="D50" s="2">
        <f>IFERROR(__xludf.DUMMYFUNCTION("""COMPUTED_VALUE"""),1.724783E8)</f>
        <v>172478300</v>
      </c>
      <c r="E50" s="2"/>
      <c r="F50" s="2" t="str">
        <f>IFERROR(__xludf.DUMMYFUNCTION("""COMPUTED_VALUE"""),"DB")</f>
        <v>DB</v>
      </c>
      <c r="G50" s="2">
        <f>IFERROR(__xludf.DUMMYFUNCTION("""COMPUTED_VALUE"""),3.044625345899999E8)</f>
        <v>304462534.6</v>
      </c>
      <c r="H50" s="2"/>
      <c r="I50" s="2" t="str">
        <f>IFERROR(__xludf.DUMMYFUNCTION("""COMPUTED_VALUE"""),"PRIBADI")</f>
        <v>PRIBADI</v>
      </c>
    </row>
    <row r="51">
      <c r="A51" s="10">
        <f>IFERROR(__xludf.DUMMYFUNCTION("""COMPUTED_VALUE"""),46284.0)</f>
        <v>46284</v>
      </c>
      <c r="B51" s="2" t="str">
        <f>IFERROR(__xludf.DUMMYFUNCTION("""COMPUTED_VALUE"""),"TRSF E-BANKING DB")</f>
        <v>TRSF E-BANKING DB</v>
      </c>
      <c r="C51" s="2" t="str">
        <f>IFERROR(__xludf.DUMMYFUNCTION("""COMPUTED_VALUE"""),"1909/FTSCY/WS95011 60008000.00 Thu Sep 17 2026 14:00:00 GMT+0700 (Western Indonesia Time) ANUGERAH KARTIKA A")</f>
        <v>1909/FTSCY/WS95011 60008000.00 Thu Sep 17 2026 14:00:00 GMT+0700 (Western Indonesia Time) ANUGERAH KARTIKA A</v>
      </c>
      <c r="D51" s="2">
        <f>IFERROR(__xludf.DUMMYFUNCTION("""COMPUTED_VALUE"""),6.0008E7)</f>
        <v>60008000</v>
      </c>
      <c r="E51" s="2"/>
      <c r="F51" s="2" t="str">
        <f>IFERROR(__xludf.DUMMYFUNCTION("""COMPUTED_VALUE"""),"DB")</f>
        <v>DB</v>
      </c>
      <c r="G51" s="2">
        <f>IFERROR(__xludf.DUMMYFUNCTION("""COMPUTED_VALUE"""),2.444545345899999E8)</f>
        <v>244454534.6</v>
      </c>
      <c r="H51" s="2"/>
      <c r="I51" s="2" t="str">
        <f>IFERROR(__xludf.DUMMYFUNCTION("""COMPUTED_VALUE"""),"PRIBADI")</f>
        <v>PRIBADI</v>
      </c>
    </row>
    <row r="52">
      <c r="A52" s="10">
        <f>IFERROR(__xludf.DUMMYFUNCTION("""COMPUTED_VALUE"""),46284.0)</f>
        <v>46284</v>
      </c>
      <c r="B52" s="2" t="str">
        <f>IFERROR(__xludf.DUMMYFUNCTION("""COMPUTED_VALUE"""),"TRSF E-BANKING DB")</f>
        <v>TRSF E-BANKING DB</v>
      </c>
      <c r="C52" s="2" t="str">
        <f>IFERROR(__xludf.DUMMYFUNCTION("""COMPUTED_VALUE"""),"1909/FTSCY/WS95031 6000000.00 EKO SETIYAWAN")</f>
        <v>1909/FTSCY/WS95031 6000000.00 EKO SETIYAWAN</v>
      </c>
      <c r="D52" s="2">
        <f>IFERROR(__xludf.DUMMYFUNCTION("""COMPUTED_VALUE"""),6000000.0)</f>
        <v>6000000</v>
      </c>
      <c r="E52" s="2"/>
      <c r="F52" s="2" t="str">
        <f>IFERROR(__xludf.DUMMYFUNCTION("""COMPUTED_VALUE"""),"DB")</f>
        <v>DB</v>
      </c>
      <c r="G52" s="2">
        <f>IFERROR(__xludf.DUMMYFUNCTION("""COMPUTED_VALUE"""),2.384545345899999E8)</f>
        <v>238454534.6</v>
      </c>
      <c r="H52" s="2"/>
      <c r="I52" s="2" t="str">
        <f>IFERROR(__xludf.DUMMYFUNCTION("""COMPUTED_VALUE"""),"PRIBADI")</f>
        <v>PRIBADI</v>
      </c>
    </row>
    <row r="53">
      <c r="A53" s="10">
        <f>IFERROR(__xludf.DUMMYFUNCTION("""COMPUTED_VALUE"""),46284.0)</f>
        <v>46284</v>
      </c>
      <c r="B53" s="2" t="str">
        <f>IFERROR(__xludf.DUMMYFUNCTION("""COMPUTED_VALUE"""),"TRSF E-BANKING DB")</f>
        <v>TRSF E-BANKING DB</v>
      </c>
      <c r="C53" s="2" t="str">
        <f>IFERROR(__xludf.DUMMYFUNCTION("""COMPUTED_VALUE"""),"1909/FTSCY/WS95011 56192550.00 Thu Sep 17 2026 14:00:00 GMT+0700 (Western Indonesia Time) ANUGERAH KARTIKA A")</f>
        <v>1909/FTSCY/WS95011 56192550.00 Thu Sep 17 2026 14:00:00 GMT+0700 (Western Indonesia Time) ANUGERAH KARTIKA A</v>
      </c>
      <c r="D53" s="2">
        <f>IFERROR(__xludf.DUMMYFUNCTION("""COMPUTED_VALUE"""),5.619255E7)</f>
        <v>56192550</v>
      </c>
      <c r="E53" s="2"/>
      <c r="F53" s="2" t="str">
        <f>IFERROR(__xludf.DUMMYFUNCTION("""COMPUTED_VALUE"""),"DB")</f>
        <v>DB</v>
      </c>
      <c r="G53" s="2">
        <f>IFERROR(__xludf.DUMMYFUNCTION("""COMPUTED_VALUE"""),1.822619845899999E8)</f>
        <v>182261984.6</v>
      </c>
      <c r="H53" s="2"/>
      <c r="I53" s="2" t="str">
        <f>IFERROR(__xludf.DUMMYFUNCTION("""COMPUTED_VALUE"""),"PRIBADI")</f>
        <v>PRIBADI</v>
      </c>
    </row>
    <row r="54">
      <c r="A54" s="10">
        <f>IFERROR(__xludf.DUMMYFUNCTION("""COMPUTED_VALUE"""),46284.0)</f>
        <v>46284</v>
      </c>
      <c r="B54" s="2" t="str">
        <f>IFERROR(__xludf.DUMMYFUNCTION("""COMPUTED_VALUE"""),"TRSF E-BANKING DB")</f>
        <v>TRSF E-BANKING DB</v>
      </c>
      <c r="C54" s="2" t="str">
        <f>IFERROR(__xludf.DUMMYFUNCTION("""COMPUTED_VALUE"""),"1909/FTSCY/WS95011 185690700.00 Thu Sep 17 2026 14:00:00 GMT+0700 (Western Indonesia Time) RUKUN MITRA BERSAM")</f>
        <v>1909/FTSCY/WS95011 185690700.00 Thu Sep 17 2026 14:00:00 GMT+0700 (Western Indonesia Time) RUKUN MITRA BERSAM</v>
      </c>
      <c r="D54" s="2">
        <f>IFERROR(__xludf.DUMMYFUNCTION("""COMPUTED_VALUE"""),1.856907E8)</f>
        <v>185690700</v>
      </c>
      <c r="E54" s="2"/>
      <c r="F54" s="2" t="str">
        <f>IFERROR(__xludf.DUMMYFUNCTION("""COMPUTED_VALUE"""),"DB")</f>
        <v>DB</v>
      </c>
      <c r="G54" s="2">
        <f>IFERROR(__xludf.DUMMYFUNCTION("""COMPUTED_VALUE"""),5.6571284589999914E7)</f>
        <v>56571284.59</v>
      </c>
      <c r="H54" s="2">
        <f>IFERROR(__xludf.DUMMYFUNCTION("""COMPUTED_VALUE"""),5.657128459E7)</f>
        <v>56571284.59</v>
      </c>
      <c r="I54" s="2" t="str">
        <f>IFERROR(__xludf.DUMMYFUNCTION("""COMPUTED_VALUE"""),"PRIBADI")</f>
        <v>PRIBADI</v>
      </c>
    </row>
    <row r="55">
      <c r="A55" s="10">
        <f>IFERROR(__xludf.DUMMYFUNCTION("""COMPUTED_VALUE"""),46284.0)</f>
        <v>46284</v>
      </c>
      <c r="B55" s="2" t="str">
        <f>IFERROR(__xludf.DUMMYFUNCTION("""COMPUTED_VALUE"""),"TRSF E-BANKING DB")</f>
        <v>TRSF E-BANKING DB</v>
      </c>
      <c r="C55" s="2" t="str">
        <f>IFERROR(__xludf.DUMMYFUNCTION("""COMPUTED_VALUE"""),"1909/FTSCY/WS95031 8071505.00 MUJIANTO")</f>
        <v>1909/FTSCY/WS95031 8071505.00 MUJIANTO</v>
      </c>
      <c r="D55" s="2">
        <f>IFERROR(__xludf.DUMMYFUNCTION("""COMPUTED_VALUE"""),8071505.0)</f>
        <v>8071505</v>
      </c>
      <c r="E55" s="2"/>
      <c r="F55" s="2" t="str">
        <f>IFERROR(__xludf.DUMMYFUNCTION("""COMPUTED_VALUE"""),"DB")</f>
        <v>DB</v>
      </c>
      <c r="G55" s="2">
        <f>IFERROR(__xludf.DUMMYFUNCTION("""COMPUTED_VALUE"""),4.8499779589999914E7)</f>
        <v>48499779.59</v>
      </c>
      <c r="H55" s="2"/>
      <c r="I55" s="2" t="str">
        <f>IFERROR(__xludf.DUMMYFUNCTION("""COMPUTED_VALUE"""),"PRIBADI")</f>
        <v>PRIBADI</v>
      </c>
    </row>
    <row r="56">
      <c r="A56" s="10">
        <f>IFERROR(__xludf.DUMMYFUNCTION("""COMPUTED_VALUE"""),46284.0)</f>
        <v>46284</v>
      </c>
      <c r="B56" s="2" t="str">
        <f>IFERROR(__xludf.DUMMYFUNCTION("""COMPUTED_VALUE"""),"TRSF E-BANKING DB")</f>
        <v>TRSF E-BANKING DB</v>
      </c>
      <c r="C56" s="2" t="str">
        <f>IFERROR(__xludf.DUMMYFUNCTION("""COMPUTED_VALUE"""),"1909/FTSCY/WS95031 3731890.00 FAJAR ANDREANZAH")</f>
        <v>1909/FTSCY/WS95031 3731890.00 FAJAR ANDREANZAH</v>
      </c>
      <c r="D56" s="2">
        <f>IFERROR(__xludf.DUMMYFUNCTION("""COMPUTED_VALUE"""),3731890.0)</f>
        <v>3731890</v>
      </c>
      <c r="E56" s="2"/>
      <c r="F56" s="2" t="str">
        <f>IFERROR(__xludf.DUMMYFUNCTION("""COMPUTED_VALUE"""),"DB")</f>
        <v>DB</v>
      </c>
      <c r="G56" s="2">
        <f>IFERROR(__xludf.DUMMYFUNCTION("""COMPUTED_VALUE"""),4.4767889589999914E7)</f>
        <v>44767889.59</v>
      </c>
      <c r="H56" s="2"/>
      <c r="I56" s="2" t="str">
        <f>IFERROR(__xludf.DUMMYFUNCTION("""COMPUTED_VALUE"""),"PRIBADI")</f>
        <v>PRIBADI</v>
      </c>
    </row>
    <row r="57">
      <c r="A57" s="10">
        <f>IFERROR(__xludf.DUMMYFUNCTION("""COMPUTED_VALUE"""),46284.0)</f>
        <v>46284</v>
      </c>
      <c r="B57" s="2" t="str">
        <f>IFERROR(__xludf.DUMMYFUNCTION("""COMPUTED_VALUE"""),"TRSF E-BANKING DB")</f>
        <v>TRSF E-BANKING DB</v>
      </c>
      <c r="C57" s="2" t="str">
        <f>IFERROR(__xludf.DUMMYFUNCTION("""COMPUTED_VALUE"""),"1909/FTSCY/WS95031 5257340.00 HERMAWAN")</f>
        <v>1909/FTSCY/WS95031 5257340.00 HERMAWAN</v>
      </c>
      <c r="D57" s="2">
        <f>IFERROR(__xludf.DUMMYFUNCTION("""COMPUTED_VALUE"""),5257340.0)</f>
        <v>5257340</v>
      </c>
      <c r="E57" s="2"/>
      <c r="F57" s="2" t="str">
        <f>IFERROR(__xludf.DUMMYFUNCTION("""COMPUTED_VALUE"""),"DB")</f>
        <v>DB</v>
      </c>
      <c r="G57" s="2">
        <f>IFERROR(__xludf.DUMMYFUNCTION("""COMPUTED_VALUE"""),3.9510549589999914E7)</f>
        <v>39510549.59</v>
      </c>
      <c r="H57" s="2"/>
      <c r="I57" s="2" t="str">
        <f>IFERROR(__xludf.DUMMYFUNCTION("""COMPUTED_VALUE"""),"PRIBADI")</f>
        <v>PRIBADI</v>
      </c>
    </row>
    <row r="58">
      <c r="A58" s="10">
        <f>IFERROR(__xludf.DUMMYFUNCTION("""COMPUTED_VALUE"""),46284.0)</f>
        <v>46284</v>
      </c>
      <c r="B58" s="2" t="str">
        <f>IFERROR(__xludf.DUMMYFUNCTION("""COMPUTED_VALUE"""),"TRSF E-BANKING DB")</f>
        <v>TRSF E-BANKING DB</v>
      </c>
      <c r="C58" s="2" t="str">
        <f>IFERROR(__xludf.DUMMYFUNCTION("""COMPUTED_VALUE"""),"1909/FTSCY/WS95271 7336900.00 EKO SETIYAWAN")</f>
        <v>1909/FTSCY/WS95271 7336900.00 EKO SETIYAWAN</v>
      </c>
      <c r="D58" s="2">
        <f>IFERROR(__xludf.DUMMYFUNCTION("""COMPUTED_VALUE"""),7336900.0)</f>
        <v>7336900</v>
      </c>
      <c r="E58" s="2"/>
      <c r="F58" s="2" t="str">
        <f>IFERROR(__xludf.DUMMYFUNCTION("""COMPUTED_VALUE"""),"DB")</f>
        <v>DB</v>
      </c>
      <c r="G58" s="2">
        <f>IFERROR(__xludf.DUMMYFUNCTION("""COMPUTED_VALUE"""),3.2173649589999914E7)</f>
        <v>32173649.59</v>
      </c>
      <c r="H58" s="2"/>
      <c r="I58" s="2" t="str">
        <f>IFERROR(__xludf.DUMMYFUNCTION("""COMPUTED_VALUE"""),"PRIBADI")</f>
        <v>PRIBADI</v>
      </c>
    </row>
    <row r="59">
      <c r="A59" s="10">
        <f>IFERROR(__xludf.DUMMYFUNCTION("""COMPUTED_VALUE"""),46284.0)</f>
        <v>46284</v>
      </c>
      <c r="B59" s="2" t="str">
        <f>IFERROR(__xludf.DUMMYFUNCTION("""COMPUTED_VALUE"""),"TRSF E-BANKING DB")</f>
        <v>TRSF E-BANKING DB</v>
      </c>
      <c r="C59" s="2" t="str">
        <f>IFERROR(__xludf.DUMMYFUNCTION("""COMPUTED_VALUE"""),"1909/FTSCY/WS95031 1000000.00 NURHAYATI")</f>
        <v>1909/FTSCY/WS95031 1000000.00 NURHAYATI</v>
      </c>
      <c r="D59" s="2">
        <f>IFERROR(__xludf.DUMMYFUNCTION("""COMPUTED_VALUE"""),1000000.0)</f>
        <v>1000000</v>
      </c>
      <c r="E59" s="2"/>
      <c r="F59" s="2" t="str">
        <f>IFERROR(__xludf.DUMMYFUNCTION("""COMPUTED_VALUE"""),"DB")</f>
        <v>DB</v>
      </c>
      <c r="G59" s="2">
        <f>IFERROR(__xludf.DUMMYFUNCTION("""COMPUTED_VALUE"""),3.1173649589999914E7)</f>
        <v>31173649.59</v>
      </c>
      <c r="H59" s="2"/>
      <c r="I59" s="2" t="str">
        <f>IFERROR(__xludf.DUMMYFUNCTION("""COMPUTED_VALUE"""),"PRIBADI")</f>
        <v>PRIBADI</v>
      </c>
    </row>
    <row r="60">
      <c r="A60" s="10">
        <f>IFERROR(__xludf.DUMMYFUNCTION("""COMPUTED_VALUE"""),46284.0)</f>
        <v>46284</v>
      </c>
      <c r="B60" s="2" t="str">
        <f>IFERROR(__xludf.DUMMYFUNCTION("""COMPUTED_VALUE"""),"TRSF E-BANKING DB")</f>
        <v>TRSF E-BANKING DB</v>
      </c>
      <c r="C60" s="2" t="str">
        <f>IFERROR(__xludf.DUMMYFUNCTION("""COMPUTED_VALUE"""),"1909/FTSCY/WS95271 3000000.00 MUJIANTO")</f>
        <v>1909/FTSCY/WS95271 3000000.00 MUJIANTO</v>
      </c>
      <c r="D60" s="2">
        <f>IFERROR(__xludf.DUMMYFUNCTION("""COMPUTED_VALUE"""),3000000.0)</f>
        <v>3000000</v>
      </c>
      <c r="E60" s="2"/>
      <c r="F60" s="2" t="str">
        <f>IFERROR(__xludf.DUMMYFUNCTION("""COMPUTED_VALUE"""),"DB")</f>
        <v>DB</v>
      </c>
      <c r="G60" s="2">
        <f>IFERROR(__xludf.DUMMYFUNCTION("""COMPUTED_VALUE"""),2.8173649589999914E7)</f>
        <v>28173649.59</v>
      </c>
      <c r="H60" s="2"/>
      <c r="I60" s="2" t="str">
        <f>IFERROR(__xludf.DUMMYFUNCTION("""COMPUTED_VALUE"""),"PRIBADI")</f>
        <v>PRIBADI</v>
      </c>
    </row>
    <row r="61">
      <c r="A61" s="10">
        <f>IFERROR(__xludf.DUMMYFUNCTION("""COMPUTED_VALUE"""),46284.0)</f>
        <v>46284</v>
      </c>
      <c r="B61" s="2" t="str">
        <f>IFERROR(__xludf.DUMMYFUNCTION("""COMPUTED_VALUE"""),"TRSF E-BANKING DB")</f>
        <v>TRSF E-BANKING DB</v>
      </c>
      <c r="C61" s="2" t="str">
        <f>IFERROR(__xludf.DUMMYFUNCTION("""COMPUTED_VALUE"""),"1909/FTSCY/WS95271 2100000.00 SUNARTO")</f>
        <v>1909/FTSCY/WS95271 2100000.00 SUNARTO</v>
      </c>
      <c r="D61" s="2">
        <f>IFERROR(__xludf.DUMMYFUNCTION("""COMPUTED_VALUE"""),2100000.0)</f>
        <v>2100000</v>
      </c>
      <c r="E61" s="2"/>
      <c r="F61" s="2" t="str">
        <f>IFERROR(__xludf.DUMMYFUNCTION("""COMPUTED_VALUE"""),"DB")</f>
        <v>DB</v>
      </c>
      <c r="G61" s="2">
        <f>IFERROR(__xludf.DUMMYFUNCTION("""COMPUTED_VALUE"""),2.6073649589999914E7)</f>
        <v>26073649.59</v>
      </c>
      <c r="H61" s="2">
        <f>IFERROR(__xludf.DUMMYFUNCTION("""COMPUTED_VALUE"""),2.607364959E7)</f>
        <v>26073649.59</v>
      </c>
      <c r="I61" s="2" t="str">
        <f>IFERROR(__xludf.DUMMYFUNCTION("""COMPUTED_VALUE"""),"PRIBADI")</f>
        <v>PRIBADI</v>
      </c>
    </row>
    <row r="62">
      <c r="A62" s="10">
        <f>IFERROR(__xludf.DUMMYFUNCTION("""COMPUTED_VALUE"""),46285.0)</f>
        <v>46285</v>
      </c>
      <c r="B62" s="2" t="str">
        <f>IFERROR(__xludf.DUMMYFUNCTION("""COMPUTED_VALUE"""),"TRSF E-BANKING DB")</f>
        <v>TRSF E-BANKING DB</v>
      </c>
      <c r="C62" s="2" t="str">
        <f>IFERROR(__xludf.DUMMYFUNCTION("""COMPUTED_VALUE"""),"2009/FTFVA/WS95031 55569/PT PRIMA FAJ besuki - 40190")</f>
        <v>2009/FTFVA/WS95031 55569/PT PRIMA FAJ besuki - 40190</v>
      </c>
      <c r="D62" s="2">
        <f>IFERROR(__xludf.DUMMYFUNCTION("""COMPUTED_VALUE"""),5.7E7)</f>
        <v>57000000</v>
      </c>
      <c r="E62" s="2"/>
      <c r="F62" s="2" t="str">
        <f>IFERROR(__xludf.DUMMYFUNCTION("""COMPUTED_VALUE"""),"DB")</f>
        <v>DB</v>
      </c>
      <c r="G62" s="2">
        <f>IFERROR(__xludf.DUMMYFUNCTION("""COMPUTED_VALUE"""),1.891077895899999E8)</f>
        <v>189107789.6</v>
      </c>
      <c r="H62" s="2"/>
      <c r="I62" s="2" t="str">
        <f>IFERROR(__xludf.DUMMYFUNCTION("""COMPUTED_VALUE"""),"PRIBADI")</f>
        <v>PRIBADI</v>
      </c>
    </row>
    <row r="63">
      <c r="A63" s="10">
        <f>IFERROR(__xludf.DUMMYFUNCTION("""COMPUTED_VALUE"""),46285.0)</f>
        <v>46285</v>
      </c>
      <c r="B63" s="2" t="str">
        <f>IFERROR(__xludf.DUMMYFUNCTION("""COMPUTED_VALUE"""),"TRSF E-BANKING DB")</f>
        <v>TRSF E-BANKING DB</v>
      </c>
      <c r="C63" s="2" t="str">
        <f>IFERROR(__xludf.DUMMYFUNCTION("""COMPUTED_VALUE"""),"2009/FTFVA/WS95031 55574/GUNA MITRA S t.agung - 200177")</f>
        <v>2009/FTFVA/WS95031 55574/GUNA MITRA S t.agung - 200177</v>
      </c>
      <c r="D63" s="2">
        <f>IFERROR(__xludf.DUMMYFUNCTION("""COMPUTED_VALUE"""),6.0E7)</f>
        <v>60000000</v>
      </c>
      <c r="E63" s="2"/>
      <c r="F63" s="2" t="str">
        <f>IFERROR(__xludf.DUMMYFUNCTION("""COMPUTED_VALUE"""),"DB")</f>
        <v>DB</v>
      </c>
      <c r="G63" s="2">
        <f>IFERROR(__xludf.DUMMYFUNCTION("""COMPUTED_VALUE"""),1.2910778958999991E8)</f>
        <v>129107789.6</v>
      </c>
      <c r="H63" s="2"/>
      <c r="I63" s="2" t="str">
        <f>IFERROR(__xludf.DUMMYFUNCTION("""COMPUTED_VALUE"""),"PRIBADI")</f>
        <v>PRIBADI</v>
      </c>
    </row>
    <row r="64">
      <c r="A64" s="10">
        <f>IFERROR(__xludf.DUMMYFUNCTION("""COMPUTED_VALUE"""),46285.0)</f>
        <v>46285</v>
      </c>
      <c r="B64" s="2" t="str">
        <f>IFERROR(__xludf.DUMMYFUNCTION("""COMPUTED_VALUE"""),"TRSF E-BANKING DB")</f>
        <v>TRSF E-BANKING DB</v>
      </c>
      <c r="C64" s="2" t="str">
        <f>IFERROR(__xludf.DUMMYFUNCTION("""COMPUTED_VALUE"""),"2009/FTSCY/WS95031 37659420.00 Fri Sep 18 2026 14:00:00 GMT+0700 (Western Indonesia Time) BRANTAS ABADI SENT")</f>
        <v>2009/FTSCY/WS95031 37659420.00 Fri Sep 18 2026 14:00:00 GMT+0700 (Western Indonesia Time) BRANTAS ABADI SENT</v>
      </c>
      <c r="D64" s="2">
        <f>IFERROR(__xludf.DUMMYFUNCTION("""COMPUTED_VALUE"""),3.765942E7)</f>
        <v>37659420</v>
      </c>
      <c r="E64" s="2"/>
      <c r="F64" s="2" t="str">
        <f>IFERROR(__xludf.DUMMYFUNCTION("""COMPUTED_VALUE"""),"DB")</f>
        <v>DB</v>
      </c>
      <c r="G64" s="2">
        <f>IFERROR(__xludf.DUMMYFUNCTION("""COMPUTED_VALUE"""),9.144836958999991E7)</f>
        <v>91448369.59</v>
      </c>
      <c r="H64" s="2"/>
      <c r="I64" s="2" t="str">
        <f>IFERROR(__xludf.DUMMYFUNCTION("""COMPUTED_VALUE"""),"PRIBADI")</f>
        <v>PRIBADI</v>
      </c>
    </row>
    <row r="65">
      <c r="A65" s="10">
        <f>IFERROR(__xludf.DUMMYFUNCTION("""COMPUTED_VALUE"""),46285.0)</f>
        <v>46285</v>
      </c>
      <c r="B65" s="2" t="str">
        <f>IFERROR(__xludf.DUMMYFUNCTION("""COMPUTED_VALUE"""),"TRSF E-BANKING DB")</f>
        <v>TRSF E-BANKING DB</v>
      </c>
      <c r="C65" s="2" t="str">
        <f>IFERROR(__xludf.DUMMYFUNCTION("""COMPUTED_VALUE"""),"2009/FTSCY/WS95271 74100000.00 Fri Sep 18 2026 14:00:00 GMT+0700 (Western Indonesia Time) INTEGRASI TEKNOLOG")</f>
        <v>2009/FTSCY/WS95271 74100000.00 Fri Sep 18 2026 14:00:00 GMT+0700 (Western Indonesia Time) INTEGRASI TEKNOLOG</v>
      </c>
      <c r="D65" s="2">
        <f>IFERROR(__xludf.DUMMYFUNCTION("""COMPUTED_VALUE"""),7.41E7)</f>
        <v>74100000</v>
      </c>
      <c r="E65" s="2"/>
      <c r="F65" s="2" t="str">
        <f>IFERROR(__xludf.DUMMYFUNCTION("""COMPUTED_VALUE"""),"DB")</f>
        <v>DB</v>
      </c>
      <c r="G65" s="2">
        <f>IFERROR(__xludf.DUMMYFUNCTION("""COMPUTED_VALUE"""),1.7348369589999914E7)</f>
        <v>17348369.59</v>
      </c>
      <c r="H65" s="2"/>
      <c r="I65" s="2" t="str">
        <f>IFERROR(__xludf.DUMMYFUNCTION("""COMPUTED_VALUE"""),"PRIBADI")</f>
        <v>PRIBADI</v>
      </c>
    </row>
    <row r="66">
      <c r="A66" s="10">
        <f>IFERROR(__xludf.DUMMYFUNCTION("""COMPUTED_VALUE"""),46285.0)</f>
        <v>46285</v>
      </c>
      <c r="B66" s="2" t="str">
        <f>IFERROR(__xludf.DUMMYFUNCTION("""COMPUTED_VALUE"""),"TRSF E-BANKING DB")</f>
        <v>TRSF E-BANKING DB</v>
      </c>
      <c r="C66" s="2" t="str">
        <f>IFERROR(__xludf.DUMMYFUNCTION("""COMPUTED_VALUE"""),"2009/FTSCY/WS95031 1300000.00 HERMAWAN")</f>
        <v>2009/FTSCY/WS95031 1300000.00 HERMAWAN</v>
      </c>
      <c r="D66" s="2">
        <f>IFERROR(__xludf.DUMMYFUNCTION("""COMPUTED_VALUE"""),1300000.0)</f>
        <v>1300000</v>
      </c>
      <c r="E66" s="2"/>
      <c r="F66" s="2" t="str">
        <f>IFERROR(__xludf.DUMMYFUNCTION("""COMPUTED_VALUE"""),"DB")</f>
        <v>DB</v>
      </c>
      <c r="G66" s="2">
        <f>IFERROR(__xludf.DUMMYFUNCTION("""COMPUTED_VALUE"""),1.6048369589999914E7)</f>
        <v>16048369.59</v>
      </c>
      <c r="H66" s="2">
        <f>IFERROR(__xludf.DUMMYFUNCTION("""COMPUTED_VALUE"""),1.604836959E7)</f>
        <v>16048369.59</v>
      </c>
      <c r="I66" s="2" t="str">
        <f>IFERROR(__xludf.DUMMYFUNCTION("""COMPUTED_VALUE"""),"PRIBADI")</f>
        <v>PRIBADI</v>
      </c>
    </row>
    <row r="67">
      <c r="A67" s="10">
        <f>IFERROR(__xludf.DUMMYFUNCTION("""COMPUTED_VALUE"""),46285.0)</f>
        <v>46285</v>
      </c>
      <c r="B67" s="2" t="str">
        <f>IFERROR(__xludf.DUMMYFUNCTION("""COMPUTED_VALUE"""),"TRSF E-BANKING DB")</f>
        <v>TRSF E-BANKING DB</v>
      </c>
      <c r="C67" s="2" t="str">
        <f>IFERROR(__xludf.DUMMYFUNCTION("""COMPUTED_VALUE"""),"2009/FTSCY/WS95031 2960150.00 lunas FAJAR ANDREANZAH")</f>
        <v>2009/FTSCY/WS95031 2960150.00 lunas FAJAR ANDREANZAH</v>
      </c>
      <c r="D67" s="2">
        <f>IFERROR(__xludf.DUMMYFUNCTION("""COMPUTED_VALUE"""),2960150.0)</f>
        <v>2960150</v>
      </c>
      <c r="E67" s="2"/>
      <c r="F67" s="2" t="str">
        <f>IFERROR(__xludf.DUMMYFUNCTION("""COMPUTED_VALUE"""),"DB")</f>
        <v>DB</v>
      </c>
      <c r="G67" s="2">
        <f>IFERROR(__xludf.DUMMYFUNCTION("""COMPUTED_VALUE"""),1.3088219589999914E7)</f>
        <v>13088219.59</v>
      </c>
      <c r="H67" s="2">
        <f>IFERROR(__xludf.DUMMYFUNCTION("""COMPUTED_VALUE"""),1.308821959E7)</f>
        <v>13088219.59</v>
      </c>
      <c r="I67" s="2" t="str">
        <f>IFERROR(__xludf.DUMMYFUNCTION("""COMPUTED_VALUE"""),"PRIBADI")</f>
        <v>PRIBADI</v>
      </c>
    </row>
    <row r="68">
      <c r="A68" s="10">
        <f>IFERROR(__xludf.DUMMYFUNCTION("""COMPUTED_VALUE"""),46285.0)</f>
        <v>46285</v>
      </c>
      <c r="B68" s="2" t="str">
        <f>IFERROR(__xludf.DUMMYFUNCTION("""COMPUTED_VALUE"""),"KARTU DEBIT")</f>
        <v>KARTU DEBIT</v>
      </c>
      <c r="C68" s="2" t="str">
        <f>IFERROR(__xludf.DUMMYFUNCTION("""COMPUTED_VALUE"""),"ALFAMRT Y070 MTP2 6019009510239343")</f>
        <v>ALFAMRT Y070 MTP2 6019009510239343</v>
      </c>
      <c r="D68" s="2">
        <f>IFERROR(__xludf.DUMMYFUNCTION("""COMPUTED_VALUE"""),80900.0)</f>
        <v>80900</v>
      </c>
      <c r="E68" s="2"/>
      <c r="F68" s="2"/>
      <c r="G68" s="2">
        <f>IFERROR(__xludf.DUMMYFUNCTION("""COMPUTED_VALUE"""),1.3007319589999914E7)</f>
        <v>13007319.59</v>
      </c>
      <c r="H68" s="2"/>
      <c r="I68" s="2" t="str">
        <f>IFERROR(__xludf.DUMMYFUNCTION("""COMPUTED_VALUE"""),"PRIBADI")</f>
        <v>PRIBADI</v>
      </c>
    </row>
    <row r="69">
      <c r="A69" s="10">
        <f>IFERROR(__xludf.DUMMYFUNCTION("""COMPUTED_VALUE"""),46285.0)</f>
        <v>46285</v>
      </c>
      <c r="B69" s="2" t="str">
        <f>IFERROR(__xludf.DUMMYFUNCTION("""COMPUTED_VALUE"""),"TARIKAN ATM 20/09")</f>
        <v>TARIKAN ATM 20/09</v>
      </c>
      <c r="C69" s="2" t="str">
        <f>IFERROR(__xludf.DUMMYFUNCTION("""COMPUTED_VALUE"""),"TARIKAN ATM 20/09")</f>
        <v>TARIKAN ATM 20/09</v>
      </c>
      <c r="D69" s="2">
        <f>IFERROR(__xludf.DUMMYFUNCTION("""COMPUTED_VALUE"""),200000.0)</f>
        <v>200000</v>
      </c>
      <c r="E69" s="2"/>
      <c r="F69" s="2"/>
      <c r="G69" s="2">
        <f>IFERROR(__xludf.DUMMYFUNCTION("""COMPUTED_VALUE"""),1.2807319589999914E7)</f>
        <v>12807319.59</v>
      </c>
      <c r="H69" s="2"/>
      <c r="I69" s="2" t="str">
        <f>IFERROR(__xludf.DUMMYFUNCTION("""COMPUTED_VALUE"""),"PRIBADI")</f>
        <v>PRIBADI</v>
      </c>
    </row>
    <row r="70">
      <c r="A70" s="10">
        <f>IFERROR(__xludf.DUMMYFUNCTION("""COMPUTED_VALUE"""),46285.0)</f>
        <v>46285</v>
      </c>
      <c r="B70" s="2" t="str">
        <f>IFERROR(__xludf.DUMMYFUNCTION("""COMPUTED_VALUE"""),"KARTU DEBIT")</f>
        <v>KARTU DEBIT</v>
      </c>
      <c r="C70" s="2" t="str">
        <f>IFERROR(__xludf.DUMMYFUNCTION("""COMPUTED_VALUE"""),"ALFAMRT Y073 SUDI 6019009510239343")</f>
        <v>ALFAMRT Y073 SUDI 6019009510239343</v>
      </c>
      <c r="D70" s="2">
        <f>IFERROR(__xludf.DUMMYFUNCTION("""COMPUTED_VALUE"""),114000.0)</f>
        <v>114000</v>
      </c>
      <c r="E70" s="2"/>
      <c r="F70" s="2"/>
      <c r="G70" s="2">
        <f>IFERROR(__xludf.DUMMYFUNCTION("""COMPUTED_VALUE"""),2.577953695899999E8)</f>
        <v>257795369.6</v>
      </c>
      <c r="H70" s="2"/>
      <c r="I70" s="2" t="str">
        <f>IFERROR(__xludf.DUMMYFUNCTION("""COMPUTED_VALUE"""),"PRIBADI")</f>
        <v>PRIBADI</v>
      </c>
    </row>
    <row r="71">
      <c r="A71" s="10">
        <f>IFERROR(__xludf.DUMMYFUNCTION("""COMPUTED_VALUE"""),46285.0)</f>
        <v>46285</v>
      </c>
      <c r="B71" s="2" t="str">
        <f>IFERROR(__xludf.DUMMYFUNCTION("""COMPUTED_VALUE"""),"TRSF E-BANKING DB")</f>
        <v>TRSF E-BANKING DB</v>
      </c>
      <c r="C71" s="2" t="str">
        <f>IFERROR(__xludf.DUMMYFUNCTION("""COMPUTED_VALUE"""),"2009/FTSCY/WS95031 6843000.00 NURUL AINI")</f>
        <v>2009/FTSCY/WS95031 6843000.00 NURUL AINI</v>
      </c>
      <c r="D71" s="2">
        <f>IFERROR(__xludf.DUMMYFUNCTION("""COMPUTED_VALUE"""),6843000.0)</f>
        <v>6843000</v>
      </c>
      <c r="E71" s="2"/>
      <c r="F71" s="2" t="str">
        <f>IFERROR(__xludf.DUMMYFUNCTION("""COMPUTED_VALUE"""),"DB")</f>
        <v>DB</v>
      </c>
      <c r="G71" s="2">
        <f>IFERROR(__xludf.DUMMYFUNCTION("""COMPUTED_VALUE"""),1.0333127995899999E9)</f>
        <v>1033312800</v>
      </c>
      <c r="H71" s="2"/>
      <c r="I71" s="2" t="str">
        <f>IFERROR(__xludf.DUMMYFUNCTION("""COMPUTED_VALUE"""),"PRIBADI")</f>
        <v>PRIBADI</v>
      </c>
    </row>
    <row r="72">
      <c r="A72" s="10">
        <f>IFERROR(__xludf.DUMMYFUNCTION("""COMPUTED_VALUE"""),46285.0)</f>
        <v>46285</v>
      </c>
      <c r="B72" s="2" t="str">
        <f>IFERROR(__xludf.DUMMYFUNCTION("""COMPUTED_VALUE"""),"TRSF E-BANKING DB")</f>
        <v>TRSF E-BANKING DB</v>
      </c>
      <c r="C72" s="2" t="str">
        <f>IFERROR(__xludf.DUMMYFUNCTION("""COMPUTED_VALUE"""),"2009/FTSCY/WS95031 11642730.00 krg 60 jt EKO SETIYAWAN")</f>
        <v>2009/FTSCY/WS95031 11642730.00 krg 60 jt EKO SETIYAWAN</v>
      </c>
      <c r="D72" s="2">
        <f>IFERROR(__xludf.DUMMYFUNCTION("""COMPUTED_VALUE"""),1.164273E7)</f>
        <v>11642730</v>
      </c>
      <c r="E72" s="2"/>
      <c r="F72" s="2" t="str">
        <f>IFERROR(__xludf.DUMMYFUNCTION("""COMPUTED_VALUE"""),"DB")</f>
        <v>DB</v>
      </c>
      <c r="G72" s="2">
        <f>IFERROR(__xludf.DUMMYFUNCTION("""COMPUTED_VALUE"""),1.0216700695899999E9)</f>
        <v>1021670070</v>
      </c>
      <c r="H72" s="2"/>
      <c r="I72" s="2" t="str">
        <f>IFERROR(__xludf.DUMMYFUNCTION("""COMPUTED_VALUE"""),"PRIBADI")</f>
        <v>PRIBADI</v>
      </c>
    </row>
    <row r="73">
      <c r="A73" s="10">
        <f>IFERROR(__xludf.DUMMYFUNCTION("""COMPUTED_VALUE"""),46285.0)</f>
        <v>46285</v>
      </c>
      <c r="B73" s="2" t="str">
        <f>IFERROR(__xludf.DUMMYFUNCTION("""COMPUTED_VALUE"""),"TRSF E-BANKING DB")</f>
        <v>TRSF E-BANKING DB</v>
      </c>
      <c r="C73" s="2" t="str">
        <f>IFERROR(__xludf.DUMMYFUNCTION("""COMPUTED_VALUE"""),"2009/FTSCY/WS95271 48623250.00 Fri Sep 18 2026 14:00:00 GMT+0700 (Western Indonesia Time) TERNAK SEJATI TABA")</f>
        <v>2009/FTSCY/WS95271 48623250.00 Fri Sep 18 2026 14:00:00 GMT+0700 (Western Indonesia Time) TERNAK SEJATI TABA</v>
      </c>
      <c r="D73" s="2">
        <f>IFERROR(__xludf.DUMMYFUNCTION("""COMPUTED_VALUE"""),4.862325E7)</f>
        <v>48623250</v>
      </c>
      <c r="E73" s="2"/>
      <c r="F73" s="2" t="str">
        <f>IFERROR(__xludf.DUMMYFUNCTION("""COMPUTED_VALUE"""),"DB")</f>
        <v>DB</v>
      </c>
      <c r="G73" s="2">
        <f>IFERROR(__xludf.DUMMYFUNCTION("""COMPUTED_VALUE"""),9.730468195899999E8)</f>
        <v>973046819.6</v>
      </c>
      <c r="H73" s="2"/>
      <c r="I73" s="2" t="str">
        <f>IFERROR(__xludf.DUMMYFUNCTION("""COMPUTED_VALUE"""),"PRIBADI")</f>
        <v>PRIBADI</v>
      </c>
    </row>
    <row r="74">
      <c r="A74" s="10">
        <f>IFERROR(__xludf.DUMMYFUNCTION("""COMPUTED_VALUE"""),46285.0)</f>
        <v>46285</v>
      </c>
      <c r="B74" s="2" t="str">
        <f>IFERROR(__xludf.DUMMYFUNCTION("""COMPUTED_VALUE"""),"TRSF E-BANKING DB")</f>
        <v>TRSF E-BANKING DB</v>
      </c>
      <c r="C74" s="2" t="str">
        <f>IFERROR(__xludf.DUMMYFUNCTION("""COMPUTED_VALUE"""),"2009/FTSCY/WS95271 68000000.00 Fri Sep 18 2026 14:00:00 GMT+0700 (Western Indonesia Time) ANDALAN YASA MITRA")</f>
        <v>2009/FTSCY/WS95271 68000000.00 Fri Sep 18 2026 14:00:00 GMT+0700 (Western Indonesia Time) ANDALAN YASA MITRA</v>
      </c>
      <c r="D74" s="2">
        <f>IFERROR(__xludf.DUMMYFUNCTION("""COMPUTED_VALUE"""),6.8E7)</f>
        <v>68000000</v>
      </c>
      <c r="E74" s="2"/>
      <c r="F74" s="2" t="str">
        <f>IFERROR(__xludf.DUMMYFUNCTION("""COMPUTED_VALUE"""),"DB")</f>
        <v>DB</v>
      </c>
      <c r="G74" s="2">
        <f>IFERROR(__xludf.DUMMYFUNCTION("""COMPUTED_VALUE"""),9.050468195899999E8)</f>
        <v>905046819.6</v>
      </c>
      <c r="H74" s="2">
        <f>IFERROR(__xludf.DUMMYFUNCTION("""COMPUTED_VALUE"""),9.0504681959E8)</f>
        <v>905046819.6</v>
      </c>
      <c r="I74" s="2" t="str">
        <f>IFERROR(__xludf.DUMMYFUNCTION("""COMPUTED_VALUE"""),"PRIBADI")</f>
        <v>PRIBADI</v>
      </c>
    </row>
    <row r="75">
      <c r="A75" s="10">
        <f>IFERROR(__xludf.DUMMYFUNCTION("""COMPUTED_VALUE"""),46285.0)</f>
        <v>46285</v>
      </c>
      <c r="B75" s="2" t="str">
        <f>IFERROR(__xludf.DUMMYFUNCTION("""COMPUTED_VALUE"""),"TRSF E-BANKING DB")</f>
        <v>TRSF E-BANKING DB</v>
      </c>
      <c r="C75" s="2" t="str">
        <f>IFERROR(__xludf.DUMMYFUNCTION("""COMPUTED_VALUE"""),"2009/FTSCY/WS95271 96194000.00 Fri Sep 18 2026 14:00:00 GMT+0700 (Western Indonesia Time) SUPER UNGGAS JAYA")</f>
        <v>2009/FTSCY/WS95271 96194000.00 Fri Sep 18 2026 14:00:00 GMT+0700 (Western Indonesia Time) SUPER UNGGAS JAYA</v>
      </c>
      <c r="D75" s="2">
        <f>IFERROR(__xludf.DUMMYFUNCTION("""COMPUTED_VALUE"""),9.6194E7)</f>
        <v>96194000</v>
      </c>
      <c r="E75" s="2"/>
      <c r="F75" s="2" t="str">
        <f>IFERROR(__xludf.DUMMYFUNCTION("""COMPUTED_VALUE"""),"DB")</f>
        <v>DB</v>
      </c>
      <c r="G75" s="2">
        <f>IFERROR(__xludf.DUMMYFUNCTION("""COMPUTED_VALUE"""),8.088528195899999E8)</f>
        <v>808852819.6</v>
      </c>
      <c r="H75" s="2">
        <f>IFERROR(__xludf.DUMMYFUNCTION("""COMPUTED_VALUE"""),8.0885281959E8)</f>
        <v>808852819.6</v>
      </c>
      <c r="I75" s="2" t="str">
        <f>IFERROR(__xludf.DUMMYFUNCTION("""COMPUTED_VALUE"""),"PRIBADI")</f>
        <v>PRIBADI</v>
      </c>
    </row>
    <row r="76">
      <c r="A76" s="10">
        <f>IFERROR(__xludf.DUMMYFUNCTION("""COMPUTED_VALUE"""),46285.0)</f>
        <v>46285</v>
      </c>
      <c r="B76" s="2" t="str">
        <f>IFERROR(__xludf.DUMMYFUNCTION("""COMPUTED_VALUE"""),"TRSF E-BANKING DB")</f>
        <v>TRSF E-BANKING DB</v>
      </c>
      <c r="C76" s="2" t="str">
        <f>IFERROR(__xludf.DUMMYFUNCTION("""COMPUTED_VALUE"""),"2009/FTSCY/WS95031 39500000.00 Fri Sep 18 2026 14:00:00 GMT+0700 (Western Indonesia Time) ANDALAN YASA MITRA")</f>
        <v>2009/FTSCY/WS95031 39500000.00 Fri Sep 18 2026 14:00:00 GMT+0700 (Western Indonesia Time) ANDALAN YASA MITRA</v>
      </c>
      <c r="D76" s="2">
        <f>IFERROR(__xludf.DUMMYFUNCTION("""COMPUTED_VALUE"""),3.95E7)</f>
        <v>39500000</v>
      </c>
      <c r="E76" s="2"/>
      <c r="F76" s="2" t="str">
        <f>IFERROR(__xludf.DUMMYFUNCTION("""COMPUTED_VALUE"""),"DB")</f>
        <v>DB</v>
      </c>
      <c r="G76" s="2">
        <f>IFERROR(__xludf.DUMMYFUNCTION("""COMPUTED_VALUE"""),7.693528195899999E8)</f>
        <v>769352819.6</v>
      </c>
      <c r="H76" s="2"/>
      <c r="I76" s="2" t="str">
        <f>IFERROR(__xludf.DUMMYFUNCTION("""COMPUTED_VALUE"""),"PRIBADI")</f>
        <v>PRIBADI</v>
      </c>
    </row>
    <row r="77">
      <c r="A77" s="10">
        <f>IFERROR(__xludf.DUMMYFUNCTION("""COMPUTED_VALUE"""),46285.0)</f>
        <v>46285</v>
      </c>
      <c r="B77" s="2" t="str">
        <f>IFERROR(__xludf.DUMMYFUNCTION("""COMPUTED_VALUE"""),"TRSF E-BANKING DB")</f>
        <v>TRSF E-BANKING DB</v>
      </c>
      <c r="C77" s="2" t="str">
        <f>IFERROR(__xludf.DUMMYFUNCTION("""COMPUTED_VALUE"""),"2009/FTSCY/WS95011 19700000.00 Pelunasan 18/09 ANDALAN YASA MITRA")</f>
        <v>2009/FTSCY/WS95011 19700000.00 Pelunasan 18/09 ANDALAN YASA MITRA</v>
      </c>
      <c r="D77" s="2">
        <f>IFERROR(__xludf.DUMMYFUNCTION("""COMPUTED_VALUE"""),1.97E7)</f>
        <v>19700000</v>
      </c>
      <c r="E77" s="2"/>
      <c r="F77" s="2" t="str">
        <f>IFERROR(__xludf.DUMMYFUNCTION("""COMPUTED_VALUE"""),"DB")</f>
        <v>DB</v>
      </c>
      <c r="G77" s="2">
        <f>IFERROR(__xludf.DUMMYFUNCTION("""COMPUTED_VALUE"""),7.496528195899999E8)</f>
        <v>749652819.6</v>
      </c>
      <c r="H77" s="2"/>
      <c r="I77" s="2" t="str">
        <f>IFERROR(__xludf.DUMMYFUNCTION("""COMPUTED_VALUE"""),"PRIBADI")</f>
        <v>PRIBADI</v>
      </c>
    </row>
    <row r="78">
      <c r="A78" s="10">
        <f>IFERROR(__xludf.DUMMYFUNCTION("""COMPUTED_VALUE"""),46285.0)</f>
        <v>46285</v>
      </c>
      <c r="B78" s="2" t="str">
        <f>IFERROR(__xludf.DUMMYFUNCTION("""COMPUTED_VALUE"""),"TRSF E-BANKING DB")</f>
        <v>TRSF E-BANKING DB</v>
      </c>
      <c r="C78" s="2" t="str">
        <f>IFERROR(__xludf.DUMMYFUNCTION("""COMPUTED_VALUE"""),"2009/FTSCY/WS95011 115696200.00 Fri Sep 18 2026 14:00:00 GMT+0700 (Western Indonesia Time) BINTANG TAMA SANTO")</f>
        <v>2009/FTSCY/WS95011 115696200.00 Fri Sep 18 2026 14:00:00 GMT+0700 (Western Indonesia Time) BINTANG TAMA SANTO</v>
      </c>
      <c r="D78" s="2">
        <f>IFERROR(__xludf.DUMMYFUNCTION("""COMPUTED_VALUE"""),1.156962E8)</f>
        <v>115696200</v>
      </c>
      <c r="E78" s="2"/>
      <c r="F78" s="2" t="str">
        <f>IFERROR(__xludf.DUMMYFUNCTION("""COMPUTED_VALUE"""),"DB")</f>
        <v>DB</v>
      </c>
      <c r="G78" s="2">
        <f>IFERROR(__xludf.DUMMYFUNCTION("""COMPUTED_VALUE"""),6.339566195899999E8)</f>
        <v>633956619.6</v>
      </c>
      <c r="H78" s="2"/>
      <c r="I78" s="2" t="str">
        <f>IFERROR(__xludf.DUMMYFUNCTION("""COMPUTED_VALUE"""),"PRIBADI")</f>
        <v>PRIBADI</v>
      </c>
    </row>
    <row r="79">
      <c r="A79" s="10">
        <f>IFERROR(__xludf.DUMMYFUNCTION("""COMPUTED_VALUE"""),46285.0)</f>
        <v>46285</v>
      </c>
      <c r="B79" s="2" t="str">
        <f>IFERROR(__xludf.DUMMYFUNCTION("""COMPUTED_VALUE"""),"TRSF E-BANKING DB")</f>
        <v>TRSF E-BANKING DB</v>
      </c>
      <c r="C79" s="2" t="str">
        <f>IFERROR(__xludf.DUMMYFUNCTION("""COMPUTED_VALUE"""),"2009/FTSCY/WS95011 68000000.00 Fri Sep 18 2026 14:00:00 GMT+0700 (Western Indonesia Time) PITIK DIGITAL INDO")</f>
        <v>2009/FTSCY/WS95011 68000000.00 Fri Sep 18 2026 14:00:00 GMT+0700 (Western Indonesia Time) PITIK DIGITAL INDO</v>
      </c>
      <c r="D79" s="2">
        <f>IFERROR(__xludf.DUMMYFUNCTION("""COMPUTED_VALUE"""),6.8E7)</f>
        <v>68000000</v>
      </c>
      <c r="E79" s="2"/>
      <c r="F79" s="2" t="str">
        <f>IFERROR(__xludf.DUMMYFUNCTION("""COMPUTED_VALUE"""),"DB")</f>
        <v>DB</v>
      </c>
      <c r="G79" s="2">
        <f>IFERROR(__xludf.DUMMYFUNCTION("""COMPUTED_VALUE"""),5.659566195899999E8)</f>
        <v>565956619.6</v>
      </c>
      <c r="H79" s="2"/>
      <c r="I79" s="2" t="str">
        <f>IFERROR(__xludf.DUMMYFUNCTION("""COMPUTED_VALUE"""),"PRIBADI")</f>
        <v>PRIBADI</v>
      </c>
    </row>
    <row r="80">
      <c r="A80" s="10">
        <f>IFERROR(__xludf.DUMMYFUNCTION("""COMPUTED_VALUE"""),46285.0)</f>
        <v>46285</v>
      </c>
      <c r="B80" s="2" t="str">
        <f>IFERROR(__xludf.DUMMYFUNCTION("""COMPUTED_VALUE"""),"TRSF E-BANKING DB")</f>
        <v>TRSF E-BANKING DB</v>
      </c>
      <c r="C80" s="2" t="str">
        <f>IFERROR(__xludf.DUMMYFUNCTION("""COMPUTED_VALUE"""),"2009/FTSCY/WS95011 113724050.00 Fri Sep 18 2026 14:00:00 GMT+0700 (Western Indonesia Time) BROILER MAKMUR TAN")</f>
        <v>2009/FTSCY/WS95011 113724050.00 Fri Sep 18 2026 14:00:00 GMT+0700 (Western Indonesia Time) BROILER MAKMUR TAN</v>
      </c>
      <c r="D80" s="2">
        <f>IFERROR(__xludf.DUMMYFUNCTION("""COMPUTED_VALUE"""),1.1372405E8)</f>
        <v>113724050</v>
      </c>
      <c r="E80" s="2"/>
      <c r="F80" s="2" t="str">
        <f>IFERROR(__xludf.DUMMYFUNCTION("""COMPUTED_VALUE"""),"DB")</f>
        <v>DB</v>
      </c>
      <c r="G80" s="2">
        <f>IFERROR(__xludf.DUMMYFUNCTION("""COMPUTED_VALUE"""),4.522325695899999E8)</f>
        <v>452232569.6</v>
      </c>
      <c r="H80" s="2"/>
      <c r="I80" s="2" t="str">
        <f>IFERROR(__xludf.DUMMYFUNCTION("""COMPUTED_VALUE"""),"PRIBADI")</f>
        <v>PRIBADI</v>
      </c>
    </row>
    <row r="81">
      <c r="A81" s="10">
        <f>IFERROR(__xludf.DUMMYFUNCTION("""COMPUTED_VALUE"""),46285.0)</f>
        <v>46285</v>
      </c>
      <c r="B81" s="2" t="str">
        <f>IFERROR(__xludf.DUMMYFUNCTION("""COMPUTED_VALUE"""),"TRSF E-BANKING DB")</f>
        <v>TRSF E-BANKING DB</v>
      </c>
      <c r="C81" s="2" t="str">
        <f>IFERROR(__xludf.DUMMYFUNCTION("""COMPUTED_VALUE"""),"2009/FTSCY/WS95011 180957300.00 18/09 krg 60 jt ANDALAN YASA MITRA")</f>
        <v>2009/FTSCY/WS95011 180957300.00 18/09 krg 60 jt ANDALAN YASA MITRA</v>
      </c>
      <c r="D81" s="2">
        <f>IFERROR(__xludf.DUMMYFUNCTION("""COMPUTED_VALUE"""),1.809573E8)</f>
        <v>180957300</v>
      </c>
      <c r="E81" s="2"/>
      <c r="F81" s="2" t="str">
        <f>IFERROR(__xludf.DUMMYFUNCTION("""COMPUTED_VALUE"""),"DB")</f>
        <v>DB</v>
      </c>
      <c r="G81" s="2">
        <f>IFERROR(__xludf.DUMMYFUNCTION("""COMPUTED_VALUE"""),2.712752695899999E8)</f>
        <v>271275269.6</v>
      </c>
      <c r="H81" s="2"/>
      <c r="I81" s="2" t="str">
        <f>IFERROR(__xludf.DUMMYFUNCTION("""COMPUTED_VALUE"""),"PRIBADI")</f>
        <v>PRIBADI</v>
      </c>
    </row>
    <row r="82">
      <c r="A82" s="10">
        <f>IFERROR(__xludf.DUMMYFUNCTION("""COMPUTED_VALUE"""),46285.0)</f>
        <v>46285</v>
      </c>
      <c r="B82" s="2" t="str">
        <f>IFERROR(__xludf.DUMMYFUNCTION("""COMPUTED_VALUE"""),"BI-FAST DB")</f>
        <v>BI-FAST DB</v>
      </c>
      <c r="C82" s="2" t="str">
        <f>IFERROR(__xludf.DUMMYFUNCTION("""COMPUTED_VALUE"""),"BIF TRANSFER KE 9 AHMAD LUTHFI FADHI M-BCA")</f>
        <v>BIF TRANSFER KE 9 AHMAD LUTHFI FADHI M-BCA</v>
      </c>
      <c r="D82" s="2">
        <f>IFERROR(__xludf.DUMMYFUNCTION("""COMPUTED_VALUE"""),165000.0)</f>
        <v>165000</v>
      </c>
      <c r="E82" s="2"/>
      <c r="F82" s="2" t="str">
        <f>IFERROR(__xludf.DUMMYFUNCTION("""COMPUTED_VALUE"""),"DB")</f>
        <v>DB</v>
      </c>
      <c r="G82" s="2">
        <f>IFERROR(__xludf.DUMMYFUNCTION("""COMPUTED_VALUE"""),2.711102695899999E8)</f>
        <v>271110269.6</v>
      </c>
      <c r="H82" s="2"/>
      <c r="I82" s="2" t="str">
        <f>IFERROR(__xludf.DUMMYFUNCTION("""COMPUTED_VALUE"""),"PRIBADI")</f>
        <v>PRIBADI</v>
      </c>
    </row>
    <row r="83">
      <c r="A83" s="10">
        <f>IFERROR(__xludf.DUMMYFUNCTION("""COMPUTED_VALUE"""),46285.0)</f>
        <v>46285</v>
      </c>
      <c r="B83" s="2" t="str">
        <f>IFERROR(__xludf.DUMMYFUNCTION("""COMPUTED_VALUE"""),"BI-FAST DB")</f>
        <v>BI-FAST DB</v>
      </c>
      <c r="C83" s="2" t="str">
        <f>IFERROR(__xludf.DUMMYFUNCTION("""COMPUTED_VALUE"""),"BIF BIAYA TXN KE 9 AHMAD LUTHFI FADHI M-BCA")</f>
        <v>BIF BIAYA TXN KE 9 AHMAD LUTHFI FADHI M-BCA</v>
      </c>
      <c r="D83" s="2">
        <f>IFERROR(__xludf.DUMMYFUNCTION("""COMPUTED_VALUE"""),2500.0)</f>
        <v>2500</v>
      </c>
      <c r="E83" s="2"/>
      <c r="F83" s="2" t="str">
        <f>IFERROR(__xludf.DUMMYFUNCTION("""COMPUTED_VALUE"""),"DB")</f>
        <v>DB</v>
      </c>
      <c r="G83" s="2">
        <f>IFERROR(__xludf.DUMMYFUNCTION("""COMPUTED_VALUE"""),2.711077695899999E8)</f>
        <v>271107769.6</v>
      </c>
      <c r="H83" s="2"/>
      <c r="I83" s="2" t="str">
        <f>IFERROR(__xludf.DUMMYFUNCTION("""COMPUTED_VALUE"""),"PRIBADI")</f>
        <v>PRIBADI</v>
      </c>
    </row>
    <row r="84">
      <c r="A84" s="10">
        <f>IFERROR(__xludf.DUMMYFUNCTION("""COMPUTED_VALUE"""),46285.0)</f>
        <v>46285</v>
      </c>
      <c r="B84" s="2" t="str">
        <f>IFERROR(__xludf.DUMMYFUNCTION("""COMPUTED_VALUE"""),"TRSF E-BANKING DB")</f>
        <v>TRSF E-BANKING DB</v>
      </c>
      <c r="C84" s="2" t="str">
        <f>IFERROR(__xludf.DUMMYFUNCTION("""COMPUTED_VALUE"""),"2009/FTSCY/WS95271 1593800.00 SUNARTO")</f>
        <v>2009/FTSCY/WS95271 1593800.00 SUNARTO</v>
      </c>
      <c r="D84" s="2">
        <f>IFERROR(__xludf.DUMMYFUNCTION("""COMPUTED_VALUE"""),1593800.0)</f>
        <v>1593800</v>
      </c>
      <c r="E84" s="2"/>
      <c r="F84" s="2" t="str">
        <f>IFERROR(__xludf.DUMMYFUNCTION("""COMPUTED_VALUE"""),"DB")</f>
        <v>DB</v>
      </c>
      <c r="G84" s="2">
        <f>IFERROR(__xludf.DUMMYFUNCTION("""COMPUTED_VALUE"""),2.695139695899999E8)</f>
        <v>269513969.6</v>
      </c>
      <c r="H84" s="2"/>
      <c r="I84" s="2" t="str">
        <f>IFERROR(__xludf.DUMMYFUNCTION("""COMPUTED_VALUE"""),"PRIBADI")</f>
        <v>PRIBADI</v>
      </c>
    </row>
    <row r="85">
      <c r="A85" s="10">
        <f>IFERROR(__xludf.DUMMYFUNCTION("""COMPUTED_VALUE"""),46285.0)</f>
        <v>46285</v>
      </c>
      <c r="B85" s="2" t="str">
        <f>IFERROR(__xludf.DUMMYFUNCTION("""COMPUTED_VALUE"""),"TRSF E-BANKING DB")</f>
        <v>TRSF E-BANKING DB</v>
      </c>
      <c r="C85" s="2" t="str">
        <f>IFERROR(__xludf.DUMMYFUNCTION("""COMPUTED_VALUE"""),"2009/FTSCY/WS95271 2361600.00 HERMAWAN")</f>
        <v>2009/FTSCY/WS95271 2361600.00 HERMAWAN</v>
      </c>
      <c r="D85" s="2">
        <f>IFERROR(__xludf.DUMMYFUNCTION("""COMPUTED_VALUE"""),2361600.0)</f>
        <v>2361600</v>
      </c>
      <c r="E85" s="2"/>
      <c r="F85" s="2" t="str">
        <f>IFERROR(__xludf.DUMMYFUNCTION("""COMPUTED_VALUE"""),"DB")</f>
        <v>DB</v>
      </c>
      <c r="G85" s="2">
        <f>IFERROR(__xludf.DUMMYFUNCTION("""COMPUTED_VALUE"""),2.671523695899999E8)</f>
        <v>267152369.6</v>
      </c>
      <c r="H85" s="2"/>
      <c r="I85" s="2" t="str">
        <f>IFERROR(__xludf.DUMMYFUNCTION("""COMPUTED_VALUE"""),"PRIBADI")</f>
        <v>PRIBADI</v>
      </c>
    </row>
    <row r="86">
      <c r="A86" s="10">
        <f>IFERROR(__xludf.DUMMYFUNCTION("""COMPUTED_VALUE"""),46285.0)</f>
        <v>46285</v>
      </c>
      <c r="B86" s="2" t="str">
        <f>IFERROR(__xludf.DUMMYFUNCTION("""COMPUTED_VALUE"""),"TRSF E-BANKING DB")</f>
        <v>TRSF E-BANKING DB</v>
      </c>
      <c r="C86" s="2" t="str">
        <f>IFERROR(__xludf.DUMMYFUNCTION("""COMPUTED_VALUE"""),"2009/FTSCY/WS95271 8716750.00 lunas MUJIANTO")</f>
        <v>2009/FTSCY/WS95271 8716750.00 lunas MUJIANTO</v>
      </c>
      <c r="D86" s="2">
        <f>IFERROR(__xludf.DUMMYFUNCTION("""COMPUTED_VALUE"""),8716750.0)</f>
        <v>8716750</v>
      </c>
      <c r="E86" s="2"/>
      <c r="F86" s="2" t="str">
        <f>IFERROR(__xludf.DUMMYFUNCTION("""COMPUTED_VALUE"""),"DB")</f>
        <v>DB</v>
      </c>
      <c r="G86" s="2">
        <f>IFERROR(__xludf.DUMMYFUNCTION("""COMPUTED_VALUE"""),2.584356195899999E8)</f>
        <v>258435619.6</v>
      </c>
      <c r="H86" s="2">
        <f>IFERROR(__xludf.DUMMYFUNCTION("""COMPUTED_VALUE"""),2.5843561959E8)</f>
        <v>258435619.6</v>
      </c>
      <c r="I86" s="2" t="str">
        <f>IFERROR(__xludf.DUMMYFUNCTION("""COMPUTED_VALUE"""),"PRIBADI")</f>
        <v>PRIBADI</v>
      </c>
    </row>
    <row r="87">
      <c r="A87" s="10">
        <f>IFERROR(__xludf.DUMMYFUNCTION("""COMPUTED_VALUE"""),46286.0)</f>
        <v>46286</v>
      </c>
      <c r="B87" s="2" t="str">
        <f>IFERROR(__xludf.DUMMYFUNCTION("""COMPUTED_VALUE"""),"TRSF E-BANKING DB")</f>
        <v>TRSF E-BANKING DB</v>
      </c>
      <c r="C87" s="2" t="str">
        <f>IFERROR(__xludf.DUMMYFUNCTION("""COMPUTED_VALUE"""),"2109/FTSCY/WS95031 200000.00 SAIFUL BAHRI")</f>
        <v>2109/FTSCY/WS95031 200000.00 SAIFUL BAHRI</v>
      </c>
      <c r="D87" s="2">
        <f>IFERROR(__xludf.DUMMYFUNCTION("""COMPUTED_VALUE"""),200000.0)</f>
        <v>200000</v>
      </c>
      <c r="E87" s="2"/>
      <c r="F87" s="2" t="str">
        <f>IFERROR(__xludf.DUMMYFUNCTION("""COMPUTED_VALUE"""),"DB")</f>
        <v>DB</v>
      </c>
      <c r="G87" s="2">
        <f>IFERROR(__xludf.DUMMYFUNCTION("""COMPUTED_VALUE"""),3.133825695899999E8)</f>
        <v>313382569.6</v>
      </c>
      <c r="H87" s="2">
        <f>IFERROR(__xludf.DUMMYFUNCTION("""COMPUTED_VALUE"""),3.1338256959E8)</f>
        <v>313382569.6</v>
      </c>
      <c r="I87" s="2" t="str">
        <f>IFERROR(__xludf.DUMMYFUNCTION("""COMPUTED_VALUE"""),"PRIBADI")</f>
        <v>PRIBADI</v>
      </c>
    </row>
    <row r="88">
      <c r="A88" s="10">
        <f>IFERROR(__xludf.DUMMYFUNCTION("""COMPUTED_VALUE"""),46286.0)</f>
        <v>46286</v>
      </c>
      <c r="B88" s="2" t="str">
        <f>IFERROR(__xludf.DUMMYFUNCTION("""COMPUTED_VALUE"""),"BI-FAST DB")</f>
        <v>BI-FAST DB</v>
      </c>
      <c r="C88" s="2" t="str">
        <f>IFERROR(__xludf.DUMMYFUNCTION("""COMPUTED_VALUE"""),"BIF TRANSFER KE 9 NOUVAL HOLQI RISKU M-BCA")</f>
        <v>BIF TRANSFER KE 9 NOUVAL HOLQI RISKU M-BCA</v>
      </c>
      <c r="D88" s="2">
        <f>IFERROR(__xludf.DUMMYFUNCTION("""COMPUTED_VALUE"""),53000.0)</f>
        <v>53000</v>
      </c>
      <c r="E88" s="2"/>
      <c r="F88" s="2" t="str">
        <f>IFERROR(__xludf.DUMMYFUNCTION("""COMPUTED_VALUE"""),"DB")</f>
        <v>DB</v>
      </c>
      <c r="G88" s="2">
        <f>IFERROR(__xludf.DUMMYFUNCTION("""COMPUTED_VALUE"""),3.133295695899999E8)</f>
        <v>313329569.6</v>
      </c>
      <c r="H88" s="2"/>
      <c r="I88" s="2" t="str">
        <f>IFERROR(__xludf.DUMMYFUNCTION("""COMPUTED_VALUE"""),"PRIBADI")</f>
        <v>PRIBADI</v>
      </c>
    </row>
    <row r="89">
      <c r="A89" s="10">
        <f>IFERROR(__xludf.DUMMYFUNCTION("""COMPUTED_VALUE"""),46286.0)</f>
        <v>46286</v>
      </c>
      <c r="B89" s="2" t="str">
        <f>IFERROR(__xludf.DUMMYFUNCTION("""COMPUTED_VALUE"""),"BI-FAST DB")</f>
        <v>BI-FAST DB</v>
      </c>
      <c r="C89" s="2" t="str">
        <f>IFERROR(__xludf.DUMMYFUNCTION("""COMPUTED_VALUE"""),"BIF BIAYA TXN KE 9 NOUVAL HOLQI RISKU M-BCA")</f>
        <v>BIF BIAYA TXN KE 9 NOUVAL HOLQI RISKU M-BCA</v>
      </c>
      <c r="D89" s="2">
        <f>IFERROR(__xludf.DUMMYFUNCTION("""COMPUTED_VALUE"""),2500.0)</f>
        <v>2500</v>
      </c>
      <c r="E89" s="2"/>
      <c r="F89" s="2" t="str">
        <f>IFERROR(__xludf.DUMMYFUNCTION("""COMPUTED_VALUE"""),"DB")</f>
        <v>DB</v>
      </c>
      <c r="G89" s="2">
        <f>IFERROR(__xludf.DUMMYFUNCTION("""COMPUTED_VALUE"""),3.133270695899999E8)</f>
        <v>313327069.6</v>
      </c>
      <c r="H89" s="2"/>
      <c r="I89" s="2" t="str">
        <f>IFERROR(__xludf.DUMMYFUNCTION("""COMPUTED_VALUE"""),"PRIBADI")</f>
        <v>PRIBADI</v>
      </c>
    </row>
    <row r="90">
      <c r="A90" s="10">
        <f>IFERROR(__xludf.DUMMYFUNCTION("""COMPUTED_VALUE"""),46286.0)</f>
        <v>46286</v>
      </c>
      <c r="B90" s="2" t="str">
        <f>IFERROR(__xludf.DUMMYFUNCTION("""COMPUTED_VALUE"""),"TRSF E-BANKING DB")</f>
        <v>TRSF E-BANKING DB</v>
      </c>
      <c r="C90" s="2" t="str">
        <f>IFERROR(__xludf.DUMMYFUNCTION("""COMPUTED_VALUE"""),"2109/FTSCY/WS95031 58000000.00 Sun Sep 20 2026 14:00:00 GMT+0700 (Western Indonesia Time) ANUGERAH KARTIKA A")</f>
        <v>2109/FTSCY/WS95031 58000000.00 Sun Sep 20 2026 14:00:00 GMT+0700 (Western Indonesia Time) ANUGERAH KARTIKA A</v>
      </c>
      <c r="D90" s="2">
        <f>IFERROR(__xludf.DUMMYFUNCTION("""COMPUTED_VALUE"""),5.8E7)</f>
        <v>58000000</v>
      </c>
      <c r="E90" s="2"/>
      <c r="F90" s="2" t="str">
        <f>IFERROR(__xludf.DUMMYFUNCTION("""COMPUTED_VALUE"""),"DB")</f>
        <v>DB</v>
      </c>
      <c r="G90" s="2">
        <f>IFERROR(__xludf.DUMMYFUNCTION("""COMPUTED_VALUE"""),4.091523695899999E8)</f>
        <v>409152369.6</v>
      </c>
      <c r="H90" s="2"/>
      <c r="I90" s="2" t="str">
        <f>IFERROR(__xludf.DUMMYFUNCTION("""COMPUTED_VALUE"""),"PRIBADI")</f>
        <v>PRIBADI</v>
      </c>
    </row>
    <row r="91">
      <c r="A91" s="10">
        <f>IFERROR(__xludf.DUMMYFUNCTION("""COMPUTED_VALUE"""),46286.0)</f>
        <v>46286</v>
      </c>
      <c r="B91" s="2" t="str">
        <f>IFERROR(__xludf.DUMMYFUNCTION("""COMPUTED_VALUE"""),"TRSF E-BANKING DB")</f>
        <v>TRSF E-BANKING DB</v>
      </c>
      <c r="C91" s="2" t="str">
        <f>IFERROR(__xludf.DUMMYFUNCTION("""COMPUTED_VALUE"""),"2109/FTSCY/WS95271 153734000.00 Wed Sep 09 2026 14:00:00 GMT+0700 (Western Indonesia Time) GANESHA SATRIA NUS")</f>
        <v>2109/FTSCY/WS95271 153734000.00 Wed Sep 09 2026 14:00:00 GMT+0700 (Western Indonesia Time) GANESHA SATRIA NUS</v>
      </c>
      <c r="D91" s="2">
        <f>IFERROR(__xludf.DUMMYFUNCTION("""COMPUTED_VALUE"""),1.53734E8)</f>
        <v>153734000</v>
      </c>
      <c r="E91" s="2"/>
      <c r="F91" s="2" t="str">
        <f>IFERROR(__xludf.DUMMYFUNCTION("""COMPUTED_VALUE"""),"DB")</f>
        <v>DB</v>
      </c>
      <c r="G91" s="2">
        <f>IFERROR(__xludf.DUMMYFUNCTION("""COMPUTED_VALUE"""),2.554183695899999E8)</f>
        <v>255418369.6</v>
      </c>
      <c r="H91" s="2"/>
      <c r="I91" s="2" t="str">
        <f>IFERROR(__xludf.DUMMYFUNCTION("""COMPUTED_VALUE"""),"PRIBADI")</f>
        <v>PRIBADI</v>
      </c>
    </row>
    <row r="92">
      <c r="A92" s="10">
        <f>IFERROR(__xludf.DUMMYFUNCTION("""COMPUTED_VALUE"""),46286.0)</f>
        <v>46286</v>
      </c>
      <c r="B92" s="2" t="str">
        <f>IFERROR(__xludf.DUMMYFUNCTION("""COMPUTED_VALUE"""),"TRSF E-BANKING DB")</f>
        <v>TRSF E-BANKING DB</v>
      </c>
      <c r="C92" s="2" t="str">
        <f>IFERROR(__xludf.DUMMYFUNCTION("""COMPUTED_VALUE"""),"2109/FTSCY/WS95271 146138600.00 Sat Sep 19 2026 14:00:00 GMT+0700 (Western Indonesia Time) BINTANG TAMA SANTO")</f>
        <v>2109/FTSCY/WS95271 146138600.00 Sat Sep 19 2026 14:00:00 GMT+0700 (Western Indonesia Time) BINTANG TAMA SANTO</v>
      </c>
      <c r="D92" s="2">
        <f>IFERROR(__xludf.DUMMYFUNCTION("""COMPUTED_VALUE"""),1.461386E8)</f>
        <v>146138600</v>
      </c>
      <c r="E92" s="2"/>
      <c r="F92" s="2" t="str">
        <f>IFERROR(__xludf.DUMMYFUNCTION("""COMPUTED_VALUE"""),"DB")</f>
        <v>DB</v>
      </c>
      <c r="G92" s="2">
        <f>IFERROR(__xludf.DUMMYFUNCTION("""COMPUTED_VALUE"""),1.0927976958999991E8)</f>
        <v>109279769.6</v>
      </c>
      <c r="H92" s="2"/>
      <c r="I92" s="2" t="str">
        <f>IFERROR(__xludf.DUMMYFUNCTION("""COMPUTED_VALUE"""),"PRIBADI")</f>
        <v>PRIBADI</v>
      </c>
    </row>
    <row r="93">
      <c r="A93" s="10">
        <f>IFERROR(__xludf.DUMMYFUNCTION("""COMPUTED_VALUE"""),46286.0)</f>
        <v>46286</v>
      </c>
      <c r="B93" s="2" t="str">
        <f>IFERROR(__xludf.DUMMYFUNCTION("""COMPUTED_VALUE"""),"TRSF E-BANKING DB")</f>
        <v>TRSF E-BANKING DB</v>
      </c>
      <c r="C93" s="2" t="str">
        <f>IFERROR(__xludf.DUMMYFUNCTION("""COMPUTED_VALUE"""),"2109/FTSCY/WS95031 34000000.00 pelunasan BINTANG TAMA SANTO")</f>
        <v>2109/FTSCY/WS95031 34000000.00 pelunasan BINTANG TAMA SANTO</v>
      </c>
      <c r="D93" s="2">
        <f>IFERROR(__xludf.DUMMYFUNCTION("""COMPUTED_VALUE"""),3.4E7)</f>
        <v>34000000</v>
      </c>
      <c r="E93" s="2"/>
      <c r="F93" s="2" t="str">
        <f>IFERROR(__xludf.DUMMYFUNCTION("""COMPUTED_VALUE"""),"DB")</f>
        <v>DB</v>
      </c>
      <c r="G93" s="2">
        <f>IFERROR(__xludf.DUMMYFUNCTION("""COMPUTED_VALUE"""),7.527976958999991E7)</f>
        <v>75279769.59</v>
      </c>
      <c r="H93" s="2"/>
      <c r="I93" s="2" t="str">
        <f>IFERROR(__xludf.DUMMYFUNCTION("""COMPUTED_VALUE"""),"PRIBADI")</f>
        <v>PRIBADI</v>
      </c>
    </row>
    <row r="94">
      <c r="A94" s="10">
        <f>IFERROR(__xludf.DUMMYFUNCTION("""COMPUTED_VALUE"""),46286.0)</f>
        <v>46286</v>
      </c>
      <c r="B94" s="2" t="str">
        <f>IFERROR(__xludf.DUMMYFUNCTION("""COMPUTED_VALUE"""),"TRSF E-BANKING DB")</f>
        <v>TRSF E-BANKING DB</v>
      </c>
      <c r="C94" s="2" t="str">
        <f>IFERROR(__xludf.DUMMYFUNCTION("""COMPUTED_VALUE"""),"2109/FTSCY/WS95031 160000.00 DEWA MAHARDHIKA")</f>
        <v>2109/FTSCY/WS95031 160000.00 DEWA MAHARDHIKA</v>
      </c>
      <c r="D94" s="2">
        <f>IFERROR(__xludf.DUMMYFUNCTION("""COMPUTED_VALUE"""),160000.0)</f>
        <v>160000</v>
      </c>
      <c r="E94" s="2"/>
      <c r="F94" s="2" t="str">
        <f>IFERROR(__xludf.DUMMYFUNCTION("""COMPUTED_VALUE"""),"DB")</f>
        <v>DB</v>
      </c>
      <c r="G94" s="2">
        <f>IFERROR(__xludf.DUMMYFUNCTION("""COMPUTED_VALUE"""),7.511976958999991E7)</f>
        <v>75119769.59</v>
      </c>
      <c r="H94" s="2"/>
      <c r="I94" s="2" t="str">
        <f>IFERROR(__xludf.DUMMYFUNCTION("""COMPUTED_VALUE"""),"PRIBADI")</f>
        <v>PRIBADI</v>
      </c>
    </row>
    <row r="95">
      <c r="A95" s="10">
        <f>IFERROR(__xludf.DUMMYFUNCTION("""COMPUTED_VALUE"""),46286.0)</f>
        <v>46286</v>
      </c>
      <c r="B95" s="2" t="str">
        <f>IFERROR(__xludf.DUMMYFUNCTION("""COMPUTED_VALUE"""),"TRSF E-BANKING DB")</f>
        <v>TRSF E-BANKING DB</v>
      </c>
      <c r="C95" s="2" t="str">
        <f>IFERROR(__xludf.DUMMYFUNCTION("""COMPUTED_VALUE"""),"2109/FTSCY/WS95011 60000000.00 Sun Sep 20 2026 14:00:00 GMT+0700 (Western Indonesia Time) BRANTAS ABADI SENT")</f>
        <v>2109/FTSCY/WS95011 60000000.00 Sun Sep 20 2026 14:00:00 GMT+0700 (Western Indonesia Time) BRANTAS ABADI SENT</v>
      </c>
      <c r="D95" s="2">
        <f>IFERROR(__xludf.DUMMYFUNCTION("""COMPUTED_VALUE"""),6.0E7)</f>
        <v>60000000</v>
      </c>
      <c r="E95" s="2"/>
      <c r="F95" s="2" t="str">
        <f>IFERROR(__xludf.DUMMYFUNCTION("""COMPUTED_VALUE"""),"DB")</f>
        <v>DB</v>
      </c>
      <c r="G95" s="2">
        <f>IFERROR(__xludf.DUMMYFUNCTION("""COMPUTED_VALUE"""),5.718506695899999E8)</f>
        <v>571850669.6</v>
      </c>
      <c r="H95" s="2"/>
      <c r="I95" s="2" t="str">
        <f>IFERROR(__xludf.DUMMYFUNCTION("""COMPUTED_VALUE"""),"PRIBADI")</f>
        <v>PRIBADI</v>
      </c>
    </row>
    <row r="96">
      <c r="A96" s="10">
        <f>IFERROR(__xludf.DUMMYFUNCTION("""COMPUTED_VALUE"""),46286.0)</f>
        <v>46286</v>
      </c>
      <c r="B96" s="2" t="str">
        <f>IFERROR(__xludf.DUMMYFUNCTION("""COMPUTED_VALUE"""),"TRSF E-BANKING DB")</f>
        <v>TRSF E-BANKING DB</v>
      </c>
      <c r="C96" s="2" t="str">
        <f>IFERROR(__xludf.DUMMYFUNCTION("""COMPUTED_VALUE"""),"2109/FTSCY/WS95011 60000000.00 Pelunasan ANDALAN YASA MITRA")</f>
        <v>2109/FTSCY/WS95011 60000000.00 Pelunasan ANDALAN YASA MITRA</v>
      </c>
      <c r="D96" s="2">
        <f>IFERROR(__xludf.DUMMYFUNCTION("""COMPUTED_VALUE"""),6.0E7)</f>
        <v>60000000</v>
      </c>
      <c r="E96" s="2"/>
      <c r="F96" s="2" t="str">
        <f>IFERROR(__xludf.DUMMYFUNCTION("""COMPUTED_VALUE"""),"DB")</f>
        <v>DB</v>
      </c>
      <c r="G96" s="2">
        <f>IFERROR(__xludf.DUMMYFUNCTION("""COMPUTED_VALUE"""),5.118506695899999E8)</f>
        <v>511850669.6</v>
      </c>
      <c r="H96" s="2"/>
      <c r="I96" s="2" t="str">
        <f>IFERROR(__xludf.DUMMYFUNCTION("""COMPUTED_VALUE"""),"PRIBADI")</f>
        <v>PRIBADI</v>
      </c>
    </row>
    <row r="97">
      <c r="A97" s="10">
        <f>IFERROR(__xludf.DUMMYFUNCTION("""COMPUTED_VALUE"""),46286.0)</f>
        <v>46286</v>
      </c>
      <c r="B97" s="2" t="str">
        <f>IFERROR(__xludf.DUMMYFUNCTION("""COMPUTED_VALUE"""),"TRSF E-BANKING DB")</f>
        <v>TRSF E-BANKING DB</v>
      </c>
      <c r="C97" s="2" t="str">
        <f>IFERROR(__xludf.DUMMYFUNCTION("""COMPUTED_VALUE"""),"2109/FTSCY/WS95011 129897960.00 Sat Sep 19 2026 14:00:00 GMT+0700 (Western Indonesia Time) ANUGERAH KARTIKA A")</f>
        <v>2109/FTSCY/WS95011 129897960.00 Sat Sep 19 2026 14:00:00 GMT+0700 (Western Indonesia Time) ANUGERAH KARTIKA A</v>
      </c>
      <c r="D97" s="2">
        <f>IFERROR(__xludf.DUMMYFUNCTION("""COMPUTED_VALUE"""),1.2989796E8)</f>
        <v>129897960</v>
      </c>
      <c r="E97" s="2"/>
      <c r="F97" s="2" t="str">
        <f>IFERROR(__xludf.DUMMYFUNCTION("""COMPUTED_VALUE"""),"DB")</f>
        <v>DB</v>
      </c>
      <c r="G97" s="2">
        <f>IFERROR(__xludf.DUMMYFUNCTION("""COMPUTED_VALUE"""),3.819527095899999E8)</f>
        <v>381952709.6</v>
      </c>
      <c r="H97" s="2"/>
      <c r="I97" s="2" t="str">
        <f>IFERROR(__xludf.DUMMYFUNCTION("""COMPUTED_VALUE"""),"PRIBADI")</f>
        <v>PRIBADI</v>
      </c>
    </row>
    <row r="98">
      <c r="A98" s="10">
        <f>IFERROR(__xludf.DUMMYFUNCTION("""COMPUTED_VALUE"""),46286.0)</f>
        <v>46286</v>
      </c>
      <c r="B98" s="2" t="str">
        <f>IFERROR(__xludf.DUMMYFUNCTION("""COMPUTED_VALUE"""),"TRSF E-BANKING DB")</f>
        <v>TRSF E-BANKING DB</v>
      </c>
      <c r="C98" s="2" t="str">
        <f>IFERROR(__xludf.DUMMYFUNCTION("""COMPUTED_VALUE"""),"2109/FTSCY/WS95011 80507750.00 Pelunasan 19/09 BINTANG TAMA SANTO")</f>
        <v>2109/FTSCY/WS95011 80507750.00 Pelunasan 19/09 BINTANG TAMA SANTO</v>
      </c>
      <c r="D98" s="2">
        <f>IFERROR(__xludf.DUMMYFUNCTION("""COMPUTED_VALUE"""),8.050775E7)</f>
        <v>80507750</v>
      </c>
      <c r="E98" s="2"/>
      <c r="F98" s="2" t="str">
        <f>IFERROR(__xludf.DUMMYFUNCTION("""COMPUTED_VALUE"""),"DB")</f>
        <v>DB</v>
      </c>
      <c r="G98" s="2">
        <f>IFERROR(__xludf.DUMMYFUNCTION("""COMPUTED_VALUE"""),3.014449595899999E8)</f>
        <v>301444959.6</v>
      </c>
      <c r="H98" s="2"/>
      <c r="I98" s="2" t="str">
        <f>IFERROR(__xludf.DUMMYFUNCTION("""COMPUTED_VALUE"""),"PRIBADI")</f>
        <v>PRIBADI</v>
      </c>
    </row>
    <row r="99">
      <c r="A99" s="10">
        <f>IFERROR(__xludf.DUMMYFUNCTION("""COMPUTED_VALUE"""),46286.0)</f>
        <v>46286</v>
      </c>
      <c r="B99" s="2" t="str">
        <f>IFERROR(__xludf.DUMMYFUNCTION("""COMPUTED_VALUE"""),"TRSF E-BANKING DB")</f>
        <v>TRSF E-BANKING DB</v>
      </c>
      <c r="C99" s="2" t="str">
        <f>IFERROR(__xludf.DUMMYFUNCTION("""COMPUTED_VALUE"""),"2109/FTSCY/WS95011 121371750.00 Sat Sep 19 2026 14:00:00 GMT+0700 (Western Indonesia Time) BINTANG TAMA SANTO")</f>
        <v>2109/FTSCY/WS95011 121371750.00 Sat Sep 19 2026 14:00:00 GMT+0700 (Western Indonesia Time) BINTANG TAMA SANTO</v>
      </c>
      <c r="D99" s="2">
        <f>IFERROR(__xludf.DUMMYFUNCTION("""COMPUTED_VALUE"""),1.2137175E8)</f>
        <v>121371750</v>
      </c>
      <c r="E99" s="2"/>
      <c r="F99" s="2" t="str">
        <f>IFERROR(__xludf.DUMMYFUNCTION("""COMPUTED_VALUE"""),"DB")</f>
        <v>DB</v>
      </c>
      <c r="G99" s="2">
        <f>IFERROR(__xludf.DUMMYFUNCTION("""COMPUTED_VALUE"""),1.800732095899999E8)</f>
        <v>180073209.6</v>
      </c>
      <c r="H99" s="2"/>
      <c r="I99" s="2" t="str">
        <f>IFERROR(__xludf.DUMMYFUNCTION("""COMPUTED_VALUE"""),"PRIBADI")</f>
        <v>PRIBADI</v>
      </c>
    </row>
    <row r="100">
      <c r="A100" s="10">
        <f>IFERROR(__xludf.DUMMYFUNCTION("""COMPUTED_VALUE"""),46286.0)</f>
        <v>46286</v>
      </c>
      <c r="B100" s="2" t="str">
        <f>IFERROR(__xludf.DUMMYFUNCTION("""COMPUTED_VALUE"""),"TRSF E-BANKING DB")</f>
        <v>TRSF E-BANKING DB</v>
      </c>
      <c r="C100" s="2" t="str">
        <f>IFERROR(__xludf.DUMMYFUNCTION("""COMPUTED_VALUE"""),"2109/FTSCY/WS95011 47979000.00 Krg 82 jt PITIK DIGITAL INDO")</f>
        <v>2109/FTSCY/WS95011 47979000.00 Krg 82 jt PITIK DIGITAL INDO</v>
      </c>
      <c r="D100" s="2">
        <f>IFERROR(__xludf.DUMMYFUNCTION("""COMPUTED_VALUE"""),4.7979E7)</f>
        <v>47979000</v>
      </c>
      <c r="E100" s="2"/>
      <c r="F100" s="2" t="str">
        <f>IFERROR(__xludf.DUMMYFUNCTION("""COMPUTED_VALUE"""),"DB")</f>
        <v>DB</v>
      </c>
      <c r="G100" s="2">
        <f>IFERROR(__xludf.DUMMYFUNCTION("""COMPUTED_VALUE"""),1.3209420958999991E8)</f>
        <v>132094209.6</v>
      </c>
      <c r="H100" s="2"/>
      <c r="I100" s="2" t="str">
        <f>IFERROR(__xludf.DUMMYFUNCTION("""COMPUTED_VALUE"""),"PRIBADI")</f>
        <v>PRIBADI</v>
      </c>
    </row>
    <row r="101">
      <c r="A101" s="10">
        <f>IFERROR(__xludf.DUMMYFUNCTION("""COMPUTED_VALUE"""),46286.0)</f>
        <v>46286</v>
      </c>
      <c r="B101" s="2" t="str">
        <f>IFERROR(__xludf.DUMMYFUNCTION("""COMPUTED_VALUE"""),"TRSF E-BANKING DB")</f>
        <v>TRSF E-BANKING DB</v>
      </c>
      <c r="C101" s="2" t="str">
        <f>IFERROR(__xludf.DUMMYFUNCTION("""COMPUTED_VALUE"""),"2109/FTSCY/WS95031 2950690.00 lunas FAJAR ANDREANZAH")</f>
        <v>2109/FTSCY/WS95031 2950690.00 lunas FAJAR ANDREANZAH</v>
      </c>
      <c r="D101" s="2">
        <f>IFERROR(__xludf.DUMMYFUNCTION("""COMPUTED_VALUE"""),2950690.0)</f>
        <v>2950690</v>
      </c>
      <c r="E101" s="2"/>
      <c r="F101" s="2" t="str">
        <f>IFERROR(__xludf.DUMMYFUNCTION("""COMPUTED_VALUE"""),"DB")</f>
        <v>DB</v>
      </c>
      <c r="G101" s="2">
        <f>IFERROR(__xludf.DUMMYFUNCTION("""COMPUTED_VALUE"""),1.2914351958999991E8)</f>
        <v>129143519.6</v>
      </c>
      <c r="H101" s="2">
        <f>IFERROR(__xludf.DUMMYFUNCTION("""COMPUTED_VALUE"""),1.2914351959E8)</f>
        <v>129143519.6</v>
      </c>
      <c r="I101" s="2" t="str">
        <f>IFERROR(__xludf.DUMMYFUNCTION("""COMPUTED_VALUE"""),"PRIBADI")</f>
        <v>PRIBADI</v>
      </c>
    </row>
    <row r="102">
      <c r="A102" s="10">
        <f>IFERROR(__xludf.DUMMYFUNCTION("""COMPUTED_VALUE"""),46287.0)</f>
        <v>46287</v>
      </c>
      <c r="B102" s="2" t="str">
        <f>IFERROR(__xludf.DUMMYFUNCTION("""COMPUTED_VALUE"""),"TRSF E-BANKING DB")</f>
        <v>TRSF E-BANKING DB</v>
      </c>
      <c r="C102" s="2" t="str">
        <f>IFERROR(__xludf.DUMMYFUNCTION("""COMPUTED_VALUE"""),"2209/FTSCY/WS95031 1200000.00 HERMAWAN")</f>
        <v>2209/FTSCY/WS95031 1200000.00 HERMAWAN</v>
      </c>
      <c r="D102" s="2">
        <f>IFERROR(__xludf.DUMMYFUNCTION("""COMPUTED_VALUE"""),1200000.0)</f>
        <v>1200000</v>
      </c>
      <c r="E102" s="2"/>
      <c r="F102" s="2" t="str">
        <f>IFERROR(__xludf.DUMMYFUNCTION("""COMPUTED_VALUE"""),"DB")</f>
        <v>DB</v>
      </c>
      <c r="G102" s="2">
        <f>IFERROR(__xludf.DUMMYFUNCTION("""COMPUTED_VALUE"""),1.2794351958999991E8)</f>
        <v>127943519.6</v>
      </c>
      <c r="H102" s="2"/>
      <c r="I102" s="2" t="str">
        <f>IFERROR(__xludf.DUMMYFUNCTION("""COMPUTED_VALUE"""),"PRIBADI")</f>
        <v>PRIBADI</v>
      </c>
    </row>
    <row r="103">
      <c r="A103" s="10">
        <f>IFERROR(__xludf.DUMMYFUNCTION("""COMPUTED_VALUE"""),46287.0)</f>
        <v>46287</v>
      </c>
      <c r="B103" s="2" t="str">
        <f>IFERROR(__xludf.DUMMYFUNCTION("""COMPUTED_VALUE"""),"TRSF E-BANKING DB")</f>
        <v>TRSF E-BANKING DB</v>
      </c>
      <c r="C103" s="2" t="str">
        <f>IFERROR(__xludf.DUMMYFUNCTION("""COMPUTED_VALUE"""),"2209/FTSCY/WS95031 5257920.00 lunas MUJIANTO")</f>
        <v>2209/FTSCY/WS95031 5257920.00 lunas MUJIANTO</v>
      </c>
      <c r="D103" s="2">
        <f>IFERROR(__xludf.DUMMYFUNCTION("""COMPUTED_VALUE"""),5257920.0)</f>
        <v>5257920</v>
      </c>
      <c r="E103" s="2"/>
      <c r="F103" s="2" t="str">
        <f>IFERROR(__xludf.DUMMYFUNCTION("""COMPUTED_VALUE"""),"DB")</f>
        <v>DB</v>
      </c>
      <c r="G103" s="2">
        <f>IFERROR(__xludf.DUMMYFUNCTION("""COMPUTED_VALUE"""),1.2268559958999991E8)</f>
        <v>122685599.6</v>
      </c>
      <c r="H103" s="2"/>
      <c r="I103" s="2" t="str">
        <f>IFERROR(__xludf.DUMMYFUNCTION("""COMPUTED_VALUE"""),"PRIBADI")</f>
        <v>PRIBADI</v>
      </c>
    </row>
    <row r="104">
      <c r="A104" s="10">
        <f>IFERROR(__xludf.DUMMYFUNCTION("""COMPUTED_VALUE"""),46287.0)</f>
        <v>46287</v>
      </c>
      <c r="B104" s="2" t="str">
        <f>IFERROR(__xludf.DUMMYFUNCTION("""COMPUTED_VALUE"""),"TRSF E-BANKING DB")</f>
        <v>TRSF E-BANKING DB</v>
      </c>
      <c r="C104" s="2" t="str">
        <f>IFERROR(__xludf.DUMMYFUNCTION("""COMPUTED_VALUE"""),"2209/FTSCY/WS95271 42234000.00 mlg AULIYA SHOFWAN")</f>
        <v>2209/FTSCY/WS95271 42234000.00 mlg AULIYA SHOFWAN</v>
      </c>
      <c r="D104" s="2">
        <f>IFERROR(__xludf.DUMMYFUNCTION("""COMPUTED_VALUE"""),4.2234E7)</f>
        <v>42234000</v>
      </c>
      <c r="E104" s="2"/>
      <c r="F104" s="2" t="str">
        <f>IFERROR(__xludf.DUMMYFUNCTION("""COMPUTED_VALUE"""),"DB")</f>
        <v>DB</v>
      </c>
      <c r="G104" s="2">
        <f>IFERROR(__xludf.DUMMYFUNCTION("""COMPUTED_VALUE"""),8.045159958999991E7)</f>
        <v>80451599.59</v>
      </c>
      <c r="H104" s="2"/>
      <c r="I104" s="2" t="str">
        <f>IFERROR(__xludf.DUMMYFUNCTION("""COMPUTED_VALUE"""),"PRIBADI")</f>
        <v>PRIBADI</v>
      </c>
    </row>
    <row r="105">
      <c r="A105" s="10">
        <f>IFERROR(__xludf.DUMMYFUNCTION("""COMPUTED_VALUE"""),46287.0)</f>
        <v>46287</v>
      </c>
      <c r="B105" s="2" t="str">
        <f>IFERROR(__xludf.DUMMYFUNCTION("""COMPUTED_VALUE"""),"BI-FAST DB")</f>
        <v>BI-FAST DB</v>
      </c>
      <c r="C105" s="2" t="str">
        <f>IFERROR(__xludf.DUMMYFUNCTION("""COMPUTED_VALUE"""),"BIF TRANSFER KE 9 NOUVAL HOLQI RISKU M-BCA")</f>
        <v>BIF TRANSFER KE 9 NOUVAL HOLQI RISKU M-BCA</v>
      </c>
      <c r="D105" s="2">
        <f>IFERROR(__xludf.DUMMYFUNCTION("""COMPUTED_VALUE"""),84000.0)</f>
        <v>84000</v>
      </c>
      <c r="E105" s="2"/>
      <c r="F105" s="2" t="str">
        <f>IFERROR(__xludf.DUMMYFUNCTION("""COMPUTED_VALUE"""),"DB")</f>
        <v>DB</v>
      </c>
      <c r="G105" s="2">
        <f>IFERROR(__xludf.DUMMYFUNCTION("""COMPUTED_VALUE"""),8.036759958999991E7)</f>
        <v>80367599.59</v>
      </c>
      <c r="H105" s="2">
        <f>IFERROR(__xludf.DUMMYFUNCTION("""COMPUTED_VALUE"""),8.036759959E7)</f>
        <v>80367599.59</v>
      </c>
      <c r="I105" s="2" t="str">
        <f>IFERROR(__xludf.DUMMYFUNCTION("""COMPUTED_VALUE"""),"PRIBADI")</f>
        <v>PRIBADI</v>
      </c>
    </row>
    <row r="106">
      <c r="A106" s="10">
        <f>IFERROR(__xludf.DUMMYFUNCTION("""COMPUTED_VALUE"""),46287.0)</f>
        <v>46287</v>
      </c>
      <c r="B106" s="2" t="str">
        <f>IFERROR(__xludf.DUMMYFUNCTION("""COMPUTED_VALUE"""),"BI-FAST DB")</f>
        <v>BI-FAST DB</v>
      </c>
      <c r="C106" s="2" t="str">
        <f>IFERROR(__xludf.DUMMYFUNCTION("""COMPUTED_VALUE"""),"BIF BIAYA TXN KE 9 NOUVAL HOLQI RISKU M-BCA")</f>
        <v>BIF BIAYA TXN KE 9 NOUVAL HOLQI RISKU M-BCA</v>
      </c>
      <c r="D106" s="2">
        <f>IFERROR(__xludf.DUMMYFUNCTION("""COMPUTED_VALUE"""),2500.0)</f>
        <v>2500</v>
      </c>
      <c r="E106" s="2"/>
      <c r="F106" s="2" t="str">
        <f>IFERROR(__xludf.DUMMYFUNCTION("""COMPUTED_VALUE"""),"DB")</f>
        <v>DB</v>
      </c>
      <c r="G106" s="2">
        <f>IFERROR(__xludf.DUMMYFUNCTION("""COMPUTED_VALUE"""),8.036509958999991E7)</f>
        <v>80365099.59</v>
      </c>
      <c r="H106" s="2">
        <f>IFERROR(__xludf.DUMMYFUNCTION("""COMPUTED_VALUE"""),8.036509959E7)</f>
        <v>80365099.59</v>
      </c>
      <c r="I106" s="2" t="str">
        <f>IFERROR(__xludf.DUMMYFUNCTION("""COMPUTED_VALUE"""),"PRIBADI")</f>
        <v>PRIBADI</v>
      </c>
    </row>
    <row r="107">
      <c r="A107" s="10">
        <f>IFERROR(__xludf.DUMMYFUNCTION("""COMPUTED_VALUE"""),46287.0)</f>
        <v>46287</v>
      </c>
      <c r="B107" s="2" t="str">
        <f>IFERROR(__xludf.DUMMYFUNCTION("""COMPUTED_VALUE"""),"TRSF E-BANKING DB")</f>
        <v>TRSF E-BANKING DB</v>
      </c>
      <c r="C107" s="2" t="str">
        <f>IFERROR(__xludf.DUMMYFUNCTION("""COMPUTED_VALUE"""),"2209/FTSCY/WS95031 30960500.00 LAWU ABADI NUSA PT")</f>
        <v>2209/FTSCY/WS95031 30960500.00 LAWU ABADI NUSA PT</v>
      </c>
      <c r="D107" s="2">
        <f>IFERROR(__xludf.DUMMYFUNCTION("""COMPUTED_VALUE"""),3.09605E7)</f>
        <v>30960500</v>
      </c>
      <c r="E107" s="2"/>
      <c r="F107" s="2" t="str">
        <f>IFERROR(__xludf.DUMMYFUNCTION("""COMPUTED_VALUE"""),"DB")</f>
        <v>DB</v>
      </c>
      <c r="G107" s="2">
        <f>IFERROR(__xludf.DUMMYFUNCTION("""COMPUTED_VALUE"""),3.065453795899999E8)</f>
        <v>306545379.6</v>
      </c>
      <c r="H107" s="2"/>
      <c r="I107" s="2" t="str">
        <f>IFERROR(__xludf.DUMMYFUNCTION("""COMPUTED_VALUE"""),"PRIBADI")</f>
        <v>PRIBADI</v>
      </c>
    </row>
    <row r="108">
      <c r="A108" s="10">
        <f>IFERROR(__xludf.DUMMYFUNCTION("""COMPUTED_VALUE"""),46287.0)</f>
        <v>46287</v>
      </c>
      <c r="B108" s="2" t="str">
        <f>IFERROR(__xludf.DUMMYFUNCTION("""COMPUTED_VALUE"""),"BYR VIA E-BANKING")</f>
        <v>BYR VIA E-BANKING</v>
      </c>
      <c r="C108" s="2" t="str">
        <f>IFERROR(__xludf.DUMMYFUNCTION("""COMPUTED_VALUE"""),"22/09  WSID9503102 1220 TELKOMSEL 6282131900513 MUHAMMAD HAIRUL MA")</f>
        <v>22/09  WSID9503102 1220 TELKOMSEL 6282131900513 MUHAMMAD HAIRUL MA</v>
      </c>
      <c r="D108" s="2">
        <f>IFERROR(__xludf.DUMMYFUNCTION("""COMPUTED_VALUE"""),52000.0)</f>
        <v>52000</v>
      </c>
      <c r="E108" s="2"/>
      <c r="F108" s="2"/>
      <c r="G108" s="2">
        <f>IFERROR(__xludf.DUMMYFUNCTION("""COMPUTED_VALUE"""),4.064933795899999E8)</f>
        <v>406493379.6</v>
      </c>
      <c r="H108" s="2"/>
      <c r="I108" s="2" t="str">
        <f>IFERROR(__xludf.DUMMYFUNCTION("""COMPUTED_VALUE"""),"PRIBADI")</f>
        <v>PRIBADI</v>
      </c>
    </row>
    <row r="109">
      <c r="A109" s="10">
        <f>IFERROR(__xludf.DUMMYFUNCTION("""COMPUTED_VALUE"""),46287.0)</f>
        <v>46287</v>
      </c>
      <c r="B109" s="2" t="str">
        <f>IFERROR(__xludf.DUMMYFUNCTION("""COMPUTED_VALUE"""),"TRSF E-BANKING DB")</f>
        <v>TRSF E-BANKING DB</v>
      </c>
      <c r="C109" s="2" t="str">
        <f>IFERROR(__xludf.DUMMYFUNCTION("""COMPUTED_VALUE"""),"2209/FTSCY/WS95271 144400000.00 Sun Sep 20 2026 14:00:00 GMT+0700 (Western Indonesia Time) ANDALAN YASA MITRA")</f>
        <v>2209/FTSCY/WS95271 144400000.00 Sun Sep 20 2026 14:00:00 GMT+0700 (Western Indonesia Time) ANDALAN YASA MITRA</v>
      </c>
      <c r="D109" s="2">
        <f>IFERROR(__xludf.DUMMYFUNCTION("""COMPUTED_VALUE"""),1.444E8)</f>
        <v>144400000</v>
      </c>
      <c r="E109" s="2"/>
      <c r="F109" s="2" t="str">
        <f>IFERROR(__xludf.DUMMYFUNCTION("""COMPUTED_VALUE"""),"DB")</f>
        <v>DB</v>
      </c>
      <c r="G109" s="2">
        <f>IFERROR(__xludf.DUMMYFUNCTION("""COMPUTED_VALUE"""),3.620933795899999E8)</f>
        <v>362093379.6</v>
      </c>
      <c r="H109" s="2"/>
      <c r="I109" s="2" t="str">
        <f>IFERROR(__xludf.DUMMYFUNCTION("""COMPUTED_VALUE"""),"PRIBADI")</f>
        <v>PRIBADI</v>
      </c>
    </row>
    <row r="110">
      <c r="A110" s="10">
        <f>IFERROR(__xludf.DUMMYFUNCTION("""COMPUTED_VALUE"""),46287.0)</f>
        <v>46287</v>
      </c>
      <c r="B110" s="2" t="str">
        <f>IFERROR(__xludf.DUMMYFUNCTION("""COMPUTED_VALUE"""),"TRSF E-BANKING DB")</f>
        <v>TRSF E-BANKING DB</v>
      </c>
      <c r="C110" s="2" t="str">
        <f>IFERROR(__xludf.DUMMYFUNCTION("""COMPUTED_VALUE"""),"2209/FTSCY/WS95271 78000000.00 pelunasan PITIK DIGITAL INDO")</f>
        <v>2209/FTSCY/WS95271 78000000.00 pelunasan PITIK DIGITAL INDO</v>
      </c>
      <c r="D110" s="2">
        <f>IFERROR(__xludf.DUMMYFUNCTION("""COMPUTED_VALUE"""),7.8E7)</f>
        <v>78000000</v>
      </c>
      <c r="E110" s="2"/>
      <c r="F110" s="2" t="str">
        <f>IFERROR(__xludf.DUMMYFUNCTION("""COMPUTED_VALUE"""),"DB")</f>
        <v>DB</v>
      </c>
      <c r="G110" s="2">
        <f>IFERROR(__xludf.DUMMYFUNCTION("""COMPUTED_VALUE"""),2.840933795899999E8)</f>
        <v>284093379.6</v>
      </c>
      <c r="H110" s="2"/>
      <c r="I110" s="2" t="str">
        <f>IFERROR(__xludf.DUMMYFUNCTION("""COMPUTED_VALUE"""),"PRIBADI")</f>
        <v>PRIBADI</v>
      </c>
    </row>
    <row r="111">
      <c r="A111" s="10">
        <f>IFERROR(__xludf.DUMMYFUNCTION("""COMPUTED_VALUE"""),46287.0)</f>
        <v>46287</v>
      </c>
      <c r="B111" s="2" t="str">
        <f>IFERROR(__xludf.DUMMYFUNCTION("""COMPUTED_VALUE"""),"TRSF E-BANKING DB")</f>
        <v>TRSF E-BANKING DB</v>
      </c>
      <c r="C111" s="2" t="str">
        <f>IFERROR(__xludf.DUMMYFUNCTION("""COMPUTED_VALUE"""),"2209/FTSCY/WS95271 35198450.00 Sun Sep 20 2026 14:00:00 GMT+0700 (Western Indonesia Time) SURYA INTI TERNAK")</f>
        <v>2209/FTSCY/WS95271 35198450.00 Sun Sep 20 2026 14:00:00 GMT+0700 (Western Indonesia Time) SURYA INTI TERNAK</v>
      </c>
      <c r="D111" s="2">
        <f>IFERROR(__xludf.DUMMYFUNCTION("""COMPUTED_VALUE"""),3.519845E7)</f>
        <v>35198450</v>
      </c>
      <c r="E111" s="2"/>
      <c r="F111" s="2" t="str">
        <f>IFERROR(__xludf.DUMMYFUNCTION("""COMPUTED_VALUE"""),"DB")</f>
        <v>DB</v>
      </c>
      <c r="G111" s="2">
        <f>IFERROR(__xludf.DUMMYFUNCTION("""COMPUTED_VALUE"""),2.488949295899999E8)</f>
        <v>248894929.6</v>
      </c>
      <c r="H111" s="2"/>
      <c r="I111" s="2" t="str">
        <f>IFERROR(__xludf.DUMMYFUNCTION("""COMPUTED_VALUE"""),"PRIBADI")</f>
        <v>PRIBADI</v>
      </c>
    </row>
    <row r="112">
      <c r="A112" s="10">
        <f>IFERROR(__xludf.DUMMYFUNCTION("""COMPUTED_VALUE"""),46287.0)</f>
        <v>46287</v>
      </c>
      <c r="B112" s="2" t="str">
        <f>IFERROR(__xludf.DUMMYFUNCTION("""COMPUTED_VALUE"""),"TRSF E-BANKING DB")</f>
        <v>TRSF E-BANKING DB</v>
      </c>
      <c r="C112" s="2" t="str">
        <f>IFERROR(__xludf.DUMMYFUNCTION("""COMPUTED_VALUE"""),"2209/FTSCY/WS95031 25000000.00 pelunasan SURYA INTI TERNAK")</f>
        <v>2209/FTSCY/WS95031 25000000.00 pelunasan SURYA INTI TERNAK</v>
      </c>
      <c r="D112" s="2">
        <f>IFERROR(__xludf.DUMMYFUNCTION("""COMPUTED_VALUE"""),2.5E7)</f>
        <v>25000000</v>
      </c>
      <c r="E112" s="2"/>
      <c r="F112" s="2" t="str">
        <f>IFERROR(__xludf.DUMMYFUNCTION("""COMPUTED_VALUE"""),"DB")</f>
        <v>DB</v>
      </c>
      <c r="G112" s="2">
        <f>IFERROR(__xludf.DUMMYFUNCTION("""COMPUTED_VALUE"""),2.238949295899999E8)</f>
        <v>223894929.6</v>
      </c>
      <c r="H112" s="2"/>
      <c r="I112" s="2" t="str">
        <f>IFERROR(__xludf.DUMMYFUNCTION("""COMPUTED_VALUE"""),"PRIBADI")</f>
        <v>PRIBADI</v>
      </c>
    </row>
    <row r="113">
      <c r="A113" s="10">
        <f>IFERROR(__xludf.DUMMYFUNCTION("""COMPUTED_VALUE"""),46287.0)</f>
        <v>46287</v>
      </c>
      <c r="B113" s="2" t="str">
        <f>IFERROR(__xludf.DUMMYFUNCTION("""COMPUTED_VALUE"""),"BYR VIA E-BANKING")</f>
        <v>BYR VIA E-BANKING</v>
      </c>
      <c r="C113" s="2" t="str">
        <f>IFERROR(__xludf.DUMMYFUNCTION("""COMPUTED_VALUE"""),"22/09  WSID9503102 0507 FIF 803001249921 MUHAMMAD HAIRUL MA")</f>
        <v>22/09  WSID9503102 0507 FIF 803001249921 MUHAMMAD HAIRUL MA</v>
      </c>
      <c r="D113" s="2">
        <f>IFERROR(__xludf.DUMMYFUNCTION("""COMPUTED_VALUE"""),750000.0)</f>
        <v>750000</v>
      </c>
      <c r="E113" s="2"/>
      <c r="F113" s="2"/>
      <c r="G113" s="2">
        <f>IFERROR(__xludf.DUMMYFUNCTION("""COMPUTED_VALUE"""),2.231449295899999E8)</f>
        <v>223144929.6</v>
      </c>
      <c r="H113" s="2">
        <f>IFERROR(__xludf.DUMMYFUNCTION("""COMPUTED_VALUE"""),2.2314492959E8)</f>
        <v>223144929.6</v>
      </c>
      <c r="I113" s="2" t="str">
        <f>IFERROR(__xludf.DUMMYFUNCTION("""COMPUTED_VALUE"""),"PRIBADI")</f>
        <v>PRIBADI</v>
      </c>
    </row>
    <row r="114">
      <c r="A114" s="10">
        <f>IFERROR(__xludf.DUMMYFUNCTION("""COMPUTED_VALUE"""),46287.0)</f>
        <v>46287</v>
      </c>
      <c r="B114" s="2" t="str">
        <f>IFERROR(__xludf.DUMMYFUNCTION("""COMPUTED_VALUE"""),"TRSF E-BANKING DB")</f>
        <v>TRSF E-BANKING DB</v>
      </c>
      <c r="C114" s="2" t="str">
        <f>IFERROR(__xludf.DUMMYFUNCTION("""COMPUTED_VALUE"""),"2209/FTSCY/WS95031 27827700.00 SYAIFUL EFENDI")</f>
        <v>2209/FTSCY/WS95031 27827700.00 SYAIFUL EFENDI</v>
      </c>
      <c r="D114" s="2">
        <f>IFERROR(__xludf.DUMMYFUNCTION("""COMPUTED_VALUE"""),2.78277E7)</f>
        <v>27827700</v>
      </c>
      <c r="E114" s="2"/>
      <c r="F114" s="2" t="str">
        <f>IFERROR(__xludf.DUMMYFUNCTION("""COMPUTED_VALUE"""),"DB")</f>
        <v>DB</v>
      </c>
      <c r="G114" s="2">
        <f>IFERROR(__xludf.DUMMYFUNCTION("""COMPUTED_VALUE"""),3.626877895899999E8)</f>
        <v>362687789.6</v>
      </c>
      <c r="H114" s="2"/>
      <c r="I114" s="2" t="str">
        <f>IFERROR(__xludf.DUMMYFUNCTION("""COMPUTED_VALUE"""),"PRIBADI")</f>
        <v>PRIBADI</v>
      </c>
    </row>
    <row r="115">
      <c r="A115" s="10">
        <f>IFERROR(__xludf.DUMMYFUNCTION("""COMPUTED_VALUE"""),46287.0)</f>
        <v>46287</v>
      </c>
      <c r="B115" s="2" t="str">
        <f>IFERROR(__xludf.DUMMYFUNCTION("""COMPUTED_VALUE"""),"TRSF E-BANKING DB")</f>
        <v>TRSF E-BANKING DB</v>
      </c>
      <c r="C115" s="2" t="str">
        <f>IFERROR(__xludf.DUMMYFUNCTION("""COMPUTED_VALUE"""),"2209/FTSCY/WS95011 310696000.00 Sun Sep 20 2026 14:00:00 GMT+0700 (Western Indonesia Time) PITIK DIGITAL INDO")</f>
        <v>2209/FTSCY/WS95011 310696000.00 Sun Sep 20 2026 14:00:00 GMT+0700 (Western Indonesia Time) PITIK DIGITAL INDO</v>
      </c>
      <c r="D115" s="2">
        <f>IFERROR(__xludf.DUMMYFUNCTION("""COMPUTED_VALUE"""),3.10696E8)</f>
        <v>310696000</v>
      </c>
      <c r="E115" s="2"/>
      <c r="F115" s="2" t="str">
        <f>IFERROR(__xludf.DUMMYFUNCTION("""COMPUTED_VALUE"""),"DB")</f>
        <v>DB</v>
      </c>
      <c r="G115" s="2">
        <f>IFERROR(__xludf.DUMMYFUNCTION("""COMPUTED_VALUE"""),5.1991789589999914E7)</f>
        <v>51991789.59</v>
      </c>
      <c r="H115" s="2"/>
      <c r="I115" s="2" t="str">
        <f>IFERROR(__xludf.DUMMYFUNCTION("""COMPUTED_VALUE"""),"PRIBADI")</f>
        <v>PRIBADI</v>
      </c>
    </row>
    <row r="116">
      <c r="A116" s="10">
        <f>IFERROR(__xludf.DUMMYFUNCTION("""COMPUTED_VALUE"""),46287.0)</f>
        <v>46287</v>
      </c>
      <c r="B116" s="2" t="str">
        <f>IFERROR(__xludf.DUMMYFUNCTION("""COMPUTED_VALUE"""),"TRSF E-BANKING DB")</f>
        <v>TRSF E-BANKING DB</v>
      </c>
      <c r="C116" s="2" t="str">
        <f>IFERROR(__xludf.DUMMYFUNCTION("""COMPUTED_VALUE"""),"2209/FTSCY/WS95031 1900000.00 BONDAN PUTRA PRATA")</f>
        <v>2209/FTSCY/WS95031 1900000.00 BONDAN PUTRA PRATA</v>
      </c>
      <c r="D116" s="2">
        <f>IFERROR(__xludf.DUMMYFUNCTION("""COMPUTED_VALUE"""),1900000.0)</f>
        <v>1900000</v>
      </c>
      <c r="E116" s="2"/>
      <c r="F116" s="2" t="str">
        <f>IFERROR(__xludf.DUMMYFUNCTION("""COMPUTED_VALUE"""),"DB")</f>
        <v>DB</v>
      </c>
      <c r="G116" s="2">
        <f>IFERROR(__xludf.DUMMYFUNCTION("""COMPUTED_VALUE"""),2.188970195899999E8)</f>
        <v>218897019.6</v>
      </c>
      <c r="H116" s="2"/>
      <c r="I116" s="2" t="str">
        <f>IFERROR(__xludf.DUMMYFUNCTION("""COMPUTED_VALUE"""),"PRIBADI")</f>
        <v>PRIBADI</v>
      </c>
    </row>
    <row r="117">
      <c r="A117" s="10">
        <f>IFERROR(__xludf.DUMMYFUNCTION("""COMPUTED_VALUE"""),46287.0)</f>
        <v>46287</v>
      </c>
      <c r="B117" s="2" t="str">
        <f>IFERROR(__xludf.DUMMYFUNCTION("""COMPUTED_VALUE"""),"TRSF E-BANKING DB")</f>
        <v>TRSF E-BANKING DB</v>
      </c>
      <c r="C117" s="2" t="str">
        <f>IFERROR(__xludf.DUMMYFUNCTION("""COMPUTED_VALUE"""),"2209/FTSCY/WS95031 5800220.00 EKO SETIYAWAN")</f>
        <v>2209/FTSCY/WS95031 5800220.00 EKO SETIYAWAN</v>
      </c>
      <c r="D117" s="2">
        <f>IFERROR(__xludf.DUMMYFUNCTION("""COMPUTED_VALUE"""),5800220.0)</f>
        <v>5800220</v>
      </c>
      <c r="E117" s="2"/>
      <c r="F117" s="2" t="str">
        <f>IFERROR(__xludf.DUMMYFUNCTION("""COMPUTED_VALUE"""),"DB")</f>
        <v>DB</v>
      </c>
      <c r="G117" s="2">
        <f>IFERROR(__xludf.DUMMYFUNCTION("""COMPUTED_VALUE"""),2.130967995899999E8)</f>
        <v>213096799.6</v>
      </c>
      <c r="H117" s="2"/>
      <c r="I117" s="2" t="str">
        <f>IFERROR(__xludf.DUMMYFUNCTION("""COMPUTED_VALUE"""),"PRIBADI")</f>
        <v>PRIBADI</v>
      </c>
    </row>
    <row r="118">
      <c r="A118" s="10">
        <f>IFERROR(__xludf.DUMMYFUNCTION("""COMPUTED_VALUE"""),46287.0)</f>
        <v>46287</v>
      </c>
      <c r="B118" s="2" t="str">
        <f>IFERROR(__xludf.DUMMYFUNCTION("""COMPUTED_VALUE"""),"KARTU DEBIT")</f>
        <v>KARTU DEBIT</v>
      </c>
      <c r="C118" s="2" t="str">
        <f>IFERROR(__xludf.DUMMYFUNCTION("""COMPUTED_VALUE"""),"IDM TROJ LANGSEP 6019009510239343")</f>
        <v>IDM TROJ LANGSEP 6019009510239343</v>
      </c>
      <c r="D118" s="2">
        <f>IFERROR(__xludf.DUMMYFUNCTION("""COMPUTED_VALUE"""),168700.0)</f>
        <v>168700</v>
      </c>
      <c r="E118" s="2"/>
      <c r="F118" s="2"/>
      <c r="G118" s="2">
        <f>IFERROR(__xludf.DUMMYFUNCTION("""COMPUTED_VALUE"""),2.129280995899999E8)</f>
        <v>212928099.6</v>
      </c>
      <c r="H118" s="2"/>
      <c r="I118" s="2" t="str">
        <f>IFERROR(__xludf.DUMMYFUNCTION("""COMPUTED_VALUE"""),"PRIBADI")</f>
        <v>PRIBADI</v>
      </c>
    </row>
    <row r="119">
      <c r="A119" s="10">
        <f>IFERROR(__xludf.DUMMYFUNCTION("""COMPUTED_VALUE"""),46287.0)</f>
        <v>46287</v>
      </c>
      <c r="B119" s="2" t="str">
        <f>IFERROR(__xludf.DUMMYFUNCTION("""COMPUTED_VALUE"""),"TRSF E-BANKING DB")</f>
        <v>TRSF E-BANKING DB</v>
      </c>
      <c r="C119" s="2" t="str">
        <f>IFERROR(__xludf.DUMMYFUNCTION("""COMPUTED_VALUE"""),"2209/FTSCY/WS95011 119612880.00 Sun Sep 20 2026 14:00:00 GMT+0700 (Western Indonesia Time) PITIK DIGITAL INDO")</f>
        <v>2209/FTSCY/WS95011 119612880.00 Sun Sep 20 2026 14:00:00 GMT+0700 (Western Indonesia Time) PITIK DIGITAL INDO</v>
      </c>
      <c r="D119" s="2">
        <f>IFERROR(__xludf.DUMMYFUNCTION("""COMPUTED_VALUE"""),1.1961288E8)</f>
        <v>119612880</v>
      </c>
      <c r="E119" s="2"/>
      <c r="F119" s="2" t="str">
        <f>IFERROR(__xludf.DUMMYFUNCTION("""COMPUTED_VALUE"""),"DB")</f>
        <v>DB</v>
      </c>
      <c r="G119" s="2">
        <f>IFERROR(__xludf.DUMMYFUNCTION("""COMPUTED_VALUE"""),9.331521958999991E7)</f>
        <v>93315219.59</v>
      </c>
      <c r="H119" s="2">
        <f>IFERROR(__xludf.DUMMYFUNCTION("""COMPUTED_VALUE"""),9.331521959E7)</f>
        <v>93315219.59</v>
      </c>
      <c r="I119" s="2" t="str">
        <f>IFERROR(__xludf.DUMMYFUNCTION("""COMPUTED_VALUE"""),"PRIBADI")</f>
        <v>PRIBADI</v>
      </c>
    </row>
    <row r="120">
      <c r="A120" s="10">
        <f>IFERROR(__xludf.DUMMYFUNCTION("""COMPUTED_VALUE"""),46288.0)</f>
        <v>46288</v>
      </c>
      <c r="B120" s="2" t="str">
        <f>IFERROR(__xludf.DUMMYFUNCTION("""COMPUTED_VALUE"""),"TRSF E-BANKING DB")</f>
        <v>TRSF E-BANKING DB</v>
      </c>
      <c r="C120" s="2" t="str">
        <f>IFERROR(__xludf.DUMMYFUNCTION("""COMPUTED_VALUE"""),"2309/FTFVA/WS95031 67847/UNGGAS MANDI ponorogo - 200043")</f>
        <v>2309/FTFVA/WS95031 67847/UNGGAS MANDI ponorogo - 200043</v>
      </c>
      <c r="D120" s="2">
        <f>IFERROR(__xludf.DUMMYFUNCTION("""COMPUTED_VALUE"""),5.85E7)</f>
        <v>58500000</v>
      </c>
      <c r="E120" s="2"/>
      <c r="F120" s="2" t="str">
        <f>IFERROR(__xludf.DUMMYFUNCTION("""COMPUTED_VALUE"""),"DB")</f>
        <v>DB</v>
      </c>
      <c r="G120" s="2">
        <f>IFERROR(__xludf.DUMMYFUNCTION("""COMPUTED_VALUE"""),5.4815219589999914E7)</f>
        <v>54815219.59</v>
      </c>
      <c r="H120" s="2"/>
      <c r="I120" s="2" t="str">
        <f>IFERROR(__xludf.DUMMYFUNCTION("""COMPUTED_VALUE"""),"PRIBADI")</f>
        <v>PRIBADI</v>
      </c>
    </row>
    <row r="121">
      <c r="A121" s="10">
        <f>IFERROR(__xludf.DUMMYFUNCTION("""COMPUTED_VALUE"""),46288.0)</f>
        <v>46288</v>
      </c>
      <c r="B121" s="2" t="str">
        <f>IFERROR(__xludf.DUMMYFUNCTION("""COMPUTED_VALUE"""),"TRSF E-BANKING DB")</f>
        <v>TRSF E-BANKING DB</v>
      </c>
      <c r="C121" s="2" t="str">
        <f>IFERROR(__xludf.DUMMYFUNCTION("""COMPUTED_VALUE"""),"2309/FTSCY/WS95031 54000000.00 SUGENG RIADI")</f>
        <v>2309/FTSCY/WS95031 54000000.00 SUGENG RIADI</v>
      </c>
      <c r="D121" s="2">
        <f>IFERROR(__xludf.DUMMYFUNCTION("""COMPUTED_VALUE"""),5.4E7)</f>
        <v>54000000</v>
      </c>
      <c r="E121" s="2"/>
      <c r="F121" s="2" t="str">
        <f>IFERROR(__xludf.DUMMYFUNCTION("""COMPUTED_VALUE"""),"DB")</f>
        <v>DB</v>
      </c>
      <c r="G121" s="2">
        <f>IFERROR(__xludf.DUMMYFUNCTION("""COMPUTED_VALUE"""),815219.5899999142)</f>
        <v>815219.59</v>
      </c>
      <c r="H121" s="2"/>
      <c r="I121" s="2" t="str">
        <f>IFERROR(__xludf.DUMMYFUNCTION("""COMPUTED_VALUE"""),"PRIBADI")</f>
        <v>PRIBADI</v>
      </c>
    </row>
    <row r="122">
      <c r="A122" s="10">
        <f>IFERROR(__xludf.DUMMYFUNCTION("""COMPUTED_VALUE"""),46288.0)</f>
        <v>46288</v>
      </c>
      <c r="B122" s="2" t="str">
        <f>IFERROR(__xludf.DUMMYFUNCTION("""COMPUTED_VALUE"""),"TRSF E-BANKING DB")</f>
        <v>TRSF E-BANKING DB</v>
      </c>
      <c r="C122" s="2" t="str">
        <f>IFERROR(__xludf.DUMMYFUNCTION("""COMPUTED_VALUE"""),"2309/FTSCY/WS95271 50000000.00 SUGENG RIADI")</f>
        <v>2309/FTSCY/WS95271 50000000.00 SUGENG RIADI</v>
      </c>
      <c r="D122" s="2">
        <f>IFERROR(__xludf.DUMMYFUNCTION("""COMPUTED_VALUE"""),5.0E7)</f>
        <v>50000000</v>
      </c>
      <c r="E122" s="2"/>
      <c r="F122" s="2" t="str">
        <f>IFERROR(__xludf.DUMMYFUNCTION("""COMPUTED_VALUE"""),"DB")</f>
        <v>DB</v>
      </c>
      <c r="G122" s="2">
        <f>IFERROR(__xludf.DUMMYFUNCTION("""COMPUTED_VALUE"""),1.1815219589999914E7)</f>
        <v>11815219.59</v>
      </c>
      <c r="H122" s="2">
        <f>IFERROR(__xludf.DUMMYFUNCTION("""COMPUTED_VALUE"""),1.181521959E7)</f>
        <v>11815219.59</v>
      </c>
      <c r="I122" s="2" t="str">
        <f>IFERROR(__xludf.DUMMYFUNCTION("""COMPUTED_VALUE"""),"PRIBADI")</f>
        <v>PRIBADI</v>
      </c>
    </row>
    <row r="123">
      <c r="A123" s="10">
        <f>IFERROR(__xludf.DUMMYFUNCTION("""COMPUTED_VALUE"""),46288.0)</f>
        <v>46288</v>
      </c>
      <c r="B123" s="2" t="str">
        <f>IFERROR(__xludf.DUMMYFUNCTION("""COMPUTED_VALUE"""),"TRSF E-BANKING DB")</f>
        <v>TRSF E-BANKING DB</v>
      </c>
      <c r="C123" s="2" t="str">
        <f>IFERROR(__xludf.DUMMYFUNCTION("""COMPUTED_VALUE"""),"2309/FTSCY/WS95031 6000000.00 SUGENG RIADI")</f>
        <v>2309/FTSCY/WS95031 6000000.00 SUGENG RIADI</v>
      </c>
      <c r="D123" s="2">
        <f>IFERROR(__xludf.DUMMYFUNCTION("""COMPUTED_VALUE"""),6000000.0)</f>
        <v>6000000</v>
      </c>
      <c r="E123" s="2"/>
      <c r="F123" s="2" t="str">
        <f>IFERROR(__xludf.DUMMYFUNCTION("""COMPUTED_VALUE"""),"DB")</f>
        <v>DB</v>
      </c>
      <c r="G123" s="2">
        <f>IFERROR(__xludf.DUMMYFUNCTION("""COMPUTED_VALUE"""),5815219.589999914)</f>
        <v>5815219.59</v>
      </c>
      <c r="H123" s="2">
        <f>IFERROR(__xludf.DUMMYFUNCTION("""COMPUTED_VALUE"""),5815219.59)</f>
        <v>5815219.59</v>
      </c>
      <c r="I123" s="2" t="str">
        <f>IFERROR(__xludf.DUMMYFUNCTION("""COMPUTED_VALUE"""),"PRIBADI")</f>
        <v>PRIBADI</v>
      </c>
    </row>
    <row r="124">
      <c r="A124" s="10">
        <f>IFERROR(__xludf.DUMMYFUNCTION("""COMPUTED_VALUE"""),46288.0)</f>
        <v>46288</v>
      </c>
      <c r="B124" s="2" t="str">
        <f>IFERROR(__xludf.DUMMYFUNCTION("""COMPUTED_VALUE"""),"TRSF E-BANKING DB")</f>
        <v>TRSF E-BANKING DB</v>
      </c>
      <c r="C124" s="2" t="str">
        <f>IFERROR(__xludf.DUMMYFUNCTION("""COMPUTED_VALUE"""),"2309/FTSCY/WS95031 1750000.00 BELA PRAMUDITA")</f>
        <v>2309/FTSCY/WS95031 1750000.00 BELA PRAMUDITA</v>
      </c>
      <c r="D124" s="2">
        <f>IFERROR(__xludf.DUMMYFUNCTION("""COMPUTED_VALUE"""),1750000.0)</f>
        <v>1750000</v>
      </c>
      <c r="E124" s="2"/>
      <c r="F124" s="2" t="str">
        <f>IFERROR(__xludf.DUMMYFUNCTION("""COMPUTED_VALUE"""),"DB")</f>
        <v>DB</v>
      </c>
      <c r="G124" s="2">
        <f>IFERROR(__xludf.DUMMYFUNCTION("""COMPUTED_VALUE"""),1.705758695899999E8)</f>
        <v>170575869.6</v>
      </c>
      <c r="H124" s="2"/>
      <c r="I124" s="2" t="str">
        <f>IFERROR(__xludf.DUMMYFUNCTION("""COMPUTED_VALUE"""),"PRIBADI")</f>
        <v>PRIBADI</v>
      </c>
    </row>
    <row r="125">
      <c r="A125" s="10">
        <f>IFERROR(__xludf.DUMMYFUNCTION("""COMPUTED_VALUE"""),46288.0)</f>
        <v>46288</v>
      </c>
      <c r="B125" s="2" t="str">
        <f>IFERROR(__xludf.DUMMYFUNCTION("""COMPUTED_VALUE"""),"TRSF E-BANKING DB")</f>
        <v>TRSF E-BANKING DB</v>
      </c>
      <c r="C125" s="2" t="str">
        <f>IFERROR(__xludf.DUMMYFUNCTION("""COMPUTED_VALUE"""),"2309/FTSCY/WS95031 17000000.00 EKO SETIYAWAN")</f>
        <v>2309/FTSCY/WS95031 17000000.00 EKO SETIYAWAN</v>
      </c>
      <c r="D125" s="2">
        <f>IFERROR(__xludf.DUMMYFUNCTION("""COMPUTED_VALUE"""),1.7E7)</f>
        <v>17000000</v>
      </c>
      <c r="E125" s="2"/>
      <c r="F125" s="2" t="str">
        <f>IFERROR(__xludf.DUMMYFUNCTION("""COMPUTED_VALUE"""),"DB")</f>
        <v>DB</v>
      </c>
      <c r="G125" s="2">
        <f>IFERROR(__xludf.DUMMYFUNCTION("""COMPUTED_VALUE"""),4.745217195899999E8)</f>
        <v>474521719.6</v>
      </c>
      <c r="H125" s="2"/>
      <c r="I125" s="2" t="str">
        <f>IFERROR(__xludf.DUMMYFUNCTION("""COMPUTED_VALUE"""),"PRIBADI")</f>
        <v>PRIBADI</v>
      </c>
    </row>
    <row r="126">
      <c r="A126" s="10">
        <f>IFERROR(__xludf.DUMMYFUNCTION("""COMPUTED_VALUE"""),46288.0)</f>
        <v>46288</v>
      </c>
      <c r="B126" s="2" t="str">
        <f>IFERROR(__xludf.DUMMYFUNCTION("""COMPUTED_VALUE"""),"TRSF E-BANKING DB")</f>
        <v>TRSF E-BANKING DB</v>
      </c>
      <c r="C126" s="2" t="str">
        <f>IFERROR(__xludf.DUMMYFUNCTION("""COMPUTED_VALUE"""),"2309/FTSCY/WS95011 184721000.00 Mon Sep 21 2026 14:00:00 GMT+0700 (Western Indonesia Time) SUPER UNGGAS JAYA")</f>
        <v>2309/FTSCY/WS95011 184721000.00 Mon Sep 21 2026 14:00:00 GMT+0700 (Western Indonesia Time) SUPER UNGGAS JAYA</v>
      </c>
      <c r="D126" s="2">
        <f>IFERROR(__xludf.DUMMYFUNCTION("""COMPUTED_VALUE"""),1.84721E8)</f>
        <v>184721000</v>
      </c>
      <c r="E126" s="2"/>
      <c r="F126" s="2" t="str">
        <f>IFERROR(__xludf.DUMMYFUNCTION("""COMPUTED_VALUE"""),"DB")</f>
        <v>DB</v>
      </c>
      <c r="G126" s="2">
        <f>IFERROR(__xludf.DUMMYFUNCTION("""COMPUTED_VALUE"""),2.898007195899999E8)</f>
        <v>289800719.6</v>
      </c>
      <c r="H126" s="2"/>
      <c r="I126" s="2" t="str">
        <f>IFERROR(__xludf.DUMMYFUNCTION("""COMPUTED_VALUE"""),"PRIBADI")</f>
        <v>PRIBADI</v>
      </c>
    </row>
    <row r="127">
      <c r="A127" s="10">
        <f>IFERROR(__xludf.DUMMYFUNCTION("""COMPUTED_VALUE"""),46288.0)</f>
        <v>46288</v>
      </c>
      <c r="B127" s="2" t="str">
        <f>IFERROR(__xludf.DUMMYFUNCTION("""COMPUTED_VALUE"""),"TRSF E-BANKING DB")</f>
        <v>TRSF E-BANKING DB</v>
      </c>
      <c r="C127" s="2" t="str">
        <f>IFERROR(__xludf.DUMMYFUNCTION("""COMPUTED_VALUE"""),"2309/FTSCY/WS95011 102662200.00 Mon Sep 21 2026 14:00:00 GMT+0700 (Western Indonesia Time) ANUGERAH KARTIKA A")</f>
        <v>2309/FTSCY/WS95011 102662200.00 Mon Sep 21 2026 14:00:00 GMT+0700 (Western Indonesia Time) ANUGERAH KARTIKA A</v>
      </c>
      <c r="D127" s="2">
        <f>IFERROR(__xludf.DUMMYFUNCTION("""COMPUTED_VALUE"""),1.026622E8)</f>
        <v>102662200</v>
      </c>
      <c r="E127" s="2"/>
      <c r="F127" s="2" t="str">
        <f>IFERROR(__xludf.DUMMYFUNCTION("""COMPUTED_VALUE"""),"DB")</f>
        <v>DB</v>
      </c>
      <c r="G127" s="2">
        <f>IFERROR(__xludf.DUMMYFUNCTION("""COMPUTED_VALUE"""),1.871385195899999E8)</f>
        <v>187138519.6</v>
      </c>
      <c r="H127" s="2"/>
      <c r="I127" s="2" t="str">
        <f>IFERROR(__xludf.DUMMYFUNCTION("""COMPUTED_VALUE"""),"PRIBADI")</f>
        <v>PRIBADI</v>
      </c>
    </row>
    <row r="128">
      <c r="A128" s="10">
        <f>IFERROR(__xludf.DUMMYFUNCTION("""COMPUTED_VALUE"""),46288.0)</f>
        <v>46288</v>
      </c>
      <c r="B128" s="2" t="str">
        <f>IFERROR(__xludf.DUMMYFUNCTION("""COMPUTED_VALUE"""),"TRSF E-BANKING DB")</f>
        <v>TRSF E-BANKING DB</v>
      </c>
      <c r="C128" s="2" t="str">
        <f>IFERROR(__xludf.DUMMYFUNCTION("""COMPUTED_VALUE"""),"2309/FTFVA/WS95031 55569/PT PRIMA FAJ jember - 40190")</f>
        <v>2309/FTFVA/WS95031 55569/PT PRIMA FAJ jember - 40190</v>
      </c>
      <c r="D128" s="2">
        <f>IFERROR(__xludf.DUMMYFUNCTION("""COMPUTED_VALUE"""),6.0E7)</f>
        <v>60000000</v>
      </c>
      <c r="E128" s="2"/>
      <c r="F128" s="2" t="str">
        <f>IFERROR(__xludf.DUMMYFUNCTION("""COMPUTED_VALUE"""),"DB")</f>
        <v>DB</v>
      </c>
      <c r="G128" s="2">
        <f>IFERROR(__xludf.DUMMYFUNCTION("""COMPUTED_VALUE"""),1.2713851958999991E8)</f>
        <v>127138519.6</v>
      </c>
      <c r="H128" s="2"/>
      <c r="I128" s="2" t="str">
        <f>IFERROR(__xludf.DUMMYFUNCTION("""COMPUTED_VALUE"""),"PRIBADI")</f>
        <v>PRIBADI</v>
      </c>
    </row>
    <row r="129">
      <c r="A129" s="10">
        <f>IFERROR(__xludf.DUMMYFUNCTION("""COMPUTED_VALUE"""),46288.0)</f>
        <v>46288</v>
      </c>
      <c r="B129" s="2" t="str">
        <f>IFERROR(__xludf.DUMMYFUNCTION("""COMPUTED_VALUE"""),"TRSF E-BANKING DB")</f>
        <v>TRSF E-BANKING DB</v>
      </c>
      <c r="C129" s="2" t="str">
        <f>IFERROR(__xludf.DUMMYFUNCTION("""COMPUTED_VALUE"""),"2309/FTSCY/WS95271 57616000.00 Mon Sep 21 2026 14:00:00 GMT+0700 (Western Indonesia Time) ANDALAN YASA MITRA")</f>
        <v>2309/FTSCY/WS95271 57616000.00 Mon Sep 21 2026 14:00:00 GMT+0700 (Western Indonesia Time) ANDALAN YASA MITRA</v>
      </c>
      <c r="D129" s="2">
        <f>IFERROR(__xludf.DUMMYFUNCTION("""COMPUTED_VALUE"""),5.7616E7)</f>
        <v>57616000</v>
      </c>
      <c r="E129" s="2"/>
      <c r="F129" s="2" t="str">
        <f>IFERROR(__xludf.DUMMYFUNCTION("""COMPUTED_VALUE"""),"DB")</f>
        <v>DB</v>
      </c>
      <c r="G129" s="2">
        <f>IFERROR(__xludf.DUMMYFUNCTION("""COMPUTED_VALUE"""),6.952251958999991E7)</f>
        <v>69522519.59</v>
      </c>
      <c r="H129" s="2"/>
      <c r="I129" s="2" t="str">
        <f>IFERROR(__xludf.DUMMYFUNCTION("""COMPUTED_VALUE"""),"PRIBADI")</f>
        <v>PRIBADI</v>
      </c>
    </row>
    <row r="130">
      <c r="A130" s="10">
        <f>IFERROR(__xludf.DUMMYFUNCTION("""COMPUTED_VALUE"""),46288.0)</f>
        <v>46288</v>
      </c>
      <c r="B130" s="2" t="str">
        <f>IFERROR(__xludf.DUMMYFUNCTION("""COMPUTED_VALUE"""),"TRSF E-BANKING DB")</f>
        <v>TRSF E-BANKING DB</v>
      </c>
      <c r="C130" s="2" t="str">
        <f>IFERROR(__xludf.DUMMYFUNCTION("""COMPUTED_VALUE"""),"2309/FTSCY/WS95031 3519250.00 SUNARTO")</f>
        <v>2309/FTSCY/WS95031 3519250.00 SUNARTO</v>
      </c>
      <c r="D130" s="2">
        <f>IFERROR(__xludf.DUMMYFUNCTION("""COMPUTED_VALUE"""),3519250.0)</f>
        <v>3519250</v>
      </c>
      <c r="E130" s="2"/>
      <c r="F130" s="2" t="str">
        <f>IFERROR(__xludf.DUMMYFUNCTION("""COMPUTED_VALUE"""),"DB")</f>
        <v>DB</v>
      </c>
      <c r="G130" s="2">
        <f>IFERROR(__xludf.DUMMYFUNCTION("""COMPUTED_VALUE"""),6.6003269589999914E7)</f>
        <v>66003269.59</v>
      </c>
      <c r="H130" s="2">
        <f>IFERROR(__xludf.DUMMYFUNCTION("""COMPUTED_VALUE"""),6.600326959E7)</f>
        <v>66003269.59</v>
      </c>
      <c r="I130" s="2" t="str">
        <f>IFERROR(__xludf.DUMMYFUNCTION("""COMPUTED_VALUE"""),"PRIBADI")</f>
        <v>PRIBADI</v>
      </c>
    </row>
    <row r="131">
      <c r="A131" s="10">
        <f>IFERROR(__xludf.DUMMYFUNCTION("""COMPUTED_VALUE"""),46289.0)</f>
        <v>46289</v>
      </c>
      <c r="B131" s="2" t="str">
        <f>IFERROR(__xludf.DUMMYFUNCTION("""COMPUTED_VALUE"""),"TRSF E-BANKING DB")</f>
        <v>TRSF E-BANKING DB</v>
      </c>
      <c r="C131" s="2" t="str">
        <f>IFERROR(__xludf.DUMMYFUNCTION("""COMPUTED_VALUE"""),"2409/FTSCY/WS95031 58500000.00 Tue Sep 22 2026 14:00:00 GMT+0700 (Western Indonesia Time) RUKUN MITRA BERSAM")</f>
        <v>2409/FTSCY/WS95031 58500000.00 Tue Sep 22 2026 14:00:00 GMT+0700 (Western Indonesia Time) RUKUN MITRA BERSAM</v>
      </c>
      <c r="D131" s="2">
        <f>IFERROR(__xludf.DUMMYFUNCTION("""COMPUTED_VALUE"""),5.85E7)</f>
        <v>58500000</v>
      </c>
      <c r="E131" s="2"/>
      <c r="F131" s="2" t="str">
        <f>IFERROR(__xludf.DUMMYFUNCTION("""COMPUTED_VALUE"""),"DB")</f>
        <v>DB</v>
      </c>
      <c r="G131" s="2">
        <f>IFERROR(__xludf.DUMMYFUNCTION("""COMPUTED_VALUE"""),9.083326958999991E7)</f>
        <v>90833269.59</v>
      </c>
      <c r="H131" s="2">
        <f>IFERROR(__xludf.DUMMYFUNCTION("""COMPUTED_VALUE"""),9.083326959E7)</f>
        <v>90833269.59</v>
      </c>
      <c r="I131" s="2" t="str">
        <f>IFERROR(__xludf.DUMMYFUNCTION("""COMPUTED_VALUE"""),"PRIBADI")</f>
        <v>PRIBADI</v>
      </c>
    </row>
    <row r="132">
      <c r="A132" s="10">
        <f>IFERROR(__xludf.DUMMYFUNCTION("""COMPUTED_VALUE"""),46289.0)</f>
        <v>46289</v>
      </c>
      <c r="B132" s="2" t="str">
        <f>IFERROR(__xludf.DUMMYFUNCTION("""COMPUTED_VALUE"""),"TRSF E-BANKING DB")</f>
        <v>TRSF E-BANKING DB</v>
      </c>
      <c r="C132" s="2" t="str">
        <f>IFERROR(__xludf.DUMMYFUNCTION("""COMPUTED_VALUE"""),"2409/FTSCY/WS95271 90541950.00 Mon Sep 21 2026 14:00:00 GMT+0700 (Western Indonesia Time) BROILER MAKMUR TAN")</f>
        <v>2409/FTSCY/WS95271 90541950.00 Mon Sep 21 2026 14:00:00 GMT+0700 (Western Indonesia Time) BROILER MAKMUR TAN</v>
      </c>
      <c r="D132" s="2">
        <f>IFERROR(__xludf.DUMMYFUNCTION("""COMPUTED_VALUE"""),9.054195E7)</f>
        <v>90541950</v>
      </c>
      <c r="E132" s="2"/>
      <c r="F132" s="2" t="str">
        <f>IFERROR(__xludf.DUMMYFUNCTION("""COMPUTED_VALUE"""),"DB")</f>
        <v>DB</v>
      </c>
      <c r="G132" s="2">
        <f>IFERROR(__xludf.DUMMYFUNCTION("""COMPUTED_VALUE"""),291319.58999991417)</f>
        <v>291319.59</v>
      </c>
      <c r="H132" s="2">
        <f>IFERROR(__xludf.DUMMYFUNCTION("""COMPUTED_VALUE"""),291319.59)</f>
        <v>291319.59</v>
      </c>
      <c r="I132" s="2" t="str">
        <f>IFERROR(__xludf.DUMMYFUNCTION("""COMPUTED_VALUE"""),"PRIBADI")</f>
        <v>PRIBADI</v>
      </c>
    </row>
    <row r="133">
      <c r="A133" s="10">
        <f>IFERROR(__xludf.DUMMYFUNCTION("""COMPUTED_VALUE"""),46290.0)</f>
        <v>46290</v>
      </c>
      <c r="B133" s="2" t="str">
        <f>IFERROR(__xludf.DUMMYFUNCTION("""COMPUTED_VALUE"""),"TRSF E-BANKING DB TANGGAL :24/09")</f>
        <v>TRSF E-BANKING DB TANGGAL :24/09</v>
      </c>
      <c r="C133" s="2" t="str">
        <f>IFERROR(__xludf.DUMMYFUNCTION("""COMPUTED_VALUE"""),"2409/FTSCY/WS95271 pelunasan BROILER MAKMUR TAN")</f>
        <v>2409/FTSCY/WS95271 pelunasan BROILER MAKMUR TAN</v>
      </c>
      <c r="D133" s="2">
        <f>IFERROR(__xludf.DUMMYFUNCTION("""COMPUTED_VALUE"""),1.0E7)</f>
        <v>10000000</v>
      </c>
      <c r="E133" s="2"/>
      <c r="F133" s="2" t="str">
        <f>IFERROR(__xludf.DUMMYFUNCTION("""COMPUTED_VALUE"""),"DB")</f>
        <v>DB</v>
      </c>
      <c r="G133" s="2">
        <f>IFERROR(__xludf.DUMMYFUNCTION("""COMPUTED_VALUE"""),1.2295131958999991E8)</f>
        <v>122951319.6</v>
      </c>
      <c r="H133" s="2"/>
      <c r="I133" s="2" t="str">
        <f>IFERROR(__xludf.DUMMYFUNCTION("""COMPUTED_VALUE"""),"PRIBADI")</f>
        <v>PRIBADI</v>
      </c>
    </row>
    <row r="134">
      <c r="A134" s="10">
        <f>IFERROR(__xludf.DUMMYFUNCTION("""COMPUTED_VALUE"""),46290.0)</f>
        <v>46290</v>
      </c>
      <c r="B134" s="2" t="str">
        <f>IFERROR(__xludf.DUMMYFUNCTION("""COMPUTED_VALUE"""),"TRSF E-BANKING DB TANGGAL :24/09")</f>
        <v>TRSF E-BANKING DB TANGGAL :24/09</v>
      </c>
      <c r="C134" s="2" t="str">
        <f>IFERROR(__xludf.DUMMYFUNCTION("""COMPUTED_VALUE"""),"2409/FTSCY/WS95271 Mon Sep 21 2026 14:00:00 GMT+0700 (Western Indonesia Time) SUPER UNGGAS JAYA")</f>
        <v>2409/FTSCY/WS95271 Mon Sep 21 2026 14:00:00 GMT+0700 (Western Indonesia Time) SUPER UNGGAS JAYA</v>
      </c>
      <c r="D134" s="2">
        <f>IFERROR(__xludf.DUMMYFUNCTION("""COMPUTED_VALUE"""),5.85E7)</f>
        <v>58500000</v>
      </c>
      <c r="E134" s="2"/>
      <c r="F134" s="2" t="str">
        <f>IFERROR(__xludf.DUMMYFUNCTION("""COMPUTED_VALUE"""),"DB")</f>
        <v>DB</v>
      </c>
      <c r="G134" s="2">
        <f>IFERROR(__xludf.DUMMYFUNCTION("""COMPUTED_VALUE"""),6.4451319589999914E7)</f>
        <v>64451319.59</v>
      </c>
      <c r="H134" s="2"/>
      <c r="I134" s="2" t="str">
        <f>IFERROR(__xludf.DUMMYFUNCTION("""COMPUTED_VALUE"""),"PRIBADI")</f>
        <v>PRIBADI</v>
      </c>
    </row>
    <row r="135">
      <c r="A135" s="10">
        <f>IFERROR(__xludf.DUMMYFUNCTION("""COMPUTED_VALUE"""),46290.0)</f>
        <v>46290</v>
      </c>
      <c r="B135" s="2" t="str">
        <f>IFERROR(__xludf.DUMMYFUNCTION("""COMPUTED_VALUE"""),"TRSF E-BANKING DB TANGGAL :24/09")</f>
        <v>TRSF E-BANKING DB TANGGAL :24/09</v>
      </c>
      <c r="C135" s="2" t="str">
        <f>IFERROR(__xludf.DUMMYFUNCTION("""COMPUTED_VALUE"""),"2409/FTSCY/WS95271 Mon Sep 21 2026 14:00:00 GMT+0700 (Western Indonesia Time) ANUGERAH KARTIKA A")</f>
        <v>2409/FTSCY/WS95271 Mon Sep 21 2026 14:00:00 GMT+0700 (Western Indonesia Time) ANUGERAH KARTIKA A</v>
      </c>
      <c r="D135" s="2">
        <f>IFERROR(__xludf.DUMMYFUNCTION("""COMPUTED_VALUE"""),5.602E7)</f>
        <v>56020000</v>
      </c>
      <c r="E135" s="2"/>
      <c r="F135" s="2" t="str">
        <f>IFERROR(__xludf.DUMMYFUNCTION("""COMPUTED_VALUE"""),"DB")</f>
        <v>DB</v>
      </c>
      <c r="G135" s="2">
        <f>IFERROR(__xludf.DUMMYFUNCTION("""COMPUTED_VALUE"""),8431319.589999914)</f>
        <v>8431319.59</v>
      </c>
      <c r="H135" s="2"/>
      <c r="I135" s="2" t="str">
        <f>IFERROR(__xludf.DUMMYFUNCTION("""COMPUTED_VALUE"""),"PRIBADI")</f>
        <v>PRIBADI</v>
      </c>
    </row>
    <row r="136">
      <c r="A136" s="10">
        <f>IFERROR(__xludf.DUMMYFUNCTION("""COMPUTED_VALUE"""),46290.0)</f>
        <v>46290</v>
      </c>
      <c r="B136" s="2" t="str">
        <f>IFERROR(__xludf.DUMMYFUNCTION("""COMPUTED_VALUE"""),"TRSF E-BANKING DB")</f>
        <v>TRSF E-BANKING DB</v>
      </c>
      <c r="C136" s="2" t="str">
        <f>IFERROR(__xludf.DUMMYFUNCTION("""COMPUTED_VALUE"""),"2509/FTSCY/WS95031 3715000.00 HERMAWAN")</f>
        <v>2509/FTSCY/WS95031 3715000.00 HERMAWAN</v>
      </c>
      <c r="D136" s="2">
        <f>IFERROR(__xludf.DUMMYFUNCTION("""COMPUTED_VALUE"""),3715000.0)</f>
        <v>3715000</v>
      </c>
      <c r="E136" s="2"/>
      <c r="F136" s="2" t="str">
        <f>IFERROR(__xludf.DUMMYFUNCTION("""COMPUTED_VALUE"""),"DB")</f>
        <v>DB</v>
      </c>
      <c r="G136" s="2">
        <f>IFERROR(__xludf.DUMMYFUNCTION("""COMPUTED_VALUE"""),4716319.589999914)</f>
        <v>4716319.59</v>
      </c>
      <c r="H136" s="2"/>
      <c r="I136" s="2" t="str">
        <f>IFERROR(__xludf.DUMMYFUNCTION("""COMPUTED_VALUE"""),"PRIBADI")</f>
        <v>PRIBADI</v>
      </c>
    </row>
    <row r="137">
      <c r="A137" s="10">
        <f>IFERROR(__xludf.DUMMYFUNCTION("""COMPUTED_VALUE"""),46290.0)</f>
        <v>46290</v>
      </c>
      <c r="B137" s="2" t="str">
        <f>IFERROR(__xludf.DUMMYFUNCTION("""COMPUTED_VALUE"""),"TRSF E-BANKING DB")</f>
        <v>TRSF E-BANKING DB</v>
      </c>
      <c r="C137" s="2" t="str">
        <f>IFERROR(__xludf.DUMMYFUNCTION("""COMPUTED_VALUE"""),"2509/FTSCY/WS95031 2944560.00 DWI HERMANSYAH")</f>
        <v>2509/FTSCY/WS95031 2944560.00 DWI HERMANSYAH</v>
      </c>
      <c r="D137" s="2">
        <f>IFERROR(__xludf.DUMMYFUNCTION("""COMPUTED_VALUE"""),2944560.0)</f>
        <v>2944560</v>
      </c>
      <c r="E137" s="2"/>
      <c r="F137" s="2" t="str">
        <f>IFERROR(__xludf.DUMMYFUNCTION("""COMPUTED_VALUE"""),"DB")</f>
        <v>DB</v>
      </c>
      <c r="G137" s="2">
        <f>IFERROR(__xludf.DUMMYFUNCTION("""COMPUTED_VALUE"""),1771759.5899999142)</f>
        <v>1771759.59</v>
      </c>
      <c r="H137" s="2"/>
      <c r="I137" s="2" t="str">
        <f>IFERROR(__xludf.DUMMYFUNCTION("""COMPUTED_VALUE"""),"PRIBADI")</f>
        <v>PRIBADI</v>
      </c>
    </row>
    <row r="138">
      <c r="A138" s="10">
        <f>IFERROR(__xludf.DUMMYFUNCTION("""COMPUTED_VALUE"""),46290.0)</f>
        <v>46290</v>
      </c>
      <c r="B138" s="2" t="str">
        <f>IFERROR(__xludf.DUMMYFUNCTION("""COMPUTED_VALUE"""),"TRSF E-BANKING DB")</f>
        <v>TRSF E-BANKING DB</v>
      </c>
      <c r="C138" s="2" t="str">
        <f>IFERROR(__xludf.DUMMYFUNCTION("""COMPUTED_VALUE"""),"2509/FTSCY/WS95031 90000000.00 SUGENG RIADI")</f>
        <v>2509/FTSCY/WS95031 90000000.00 SUGENG RIADI</v>
      </c>
      <c r="D138" s="2">
        <f>IFERROR(__xludf.DUMMYFUNCTION("""COMPUTED_VALUE"""),9.0E7)</f>
        <v>90000000</v>
      </c>
      <c r="E138" s="2"/>
      <c r="F138" s="2" t="str">
        <f>IFERROR(__xludf.DUMMYFUNCTION("""COMPUTED_VALUE"""),"DB")</f>
        <v>DB</v>
      </c>
      <c r="G138" s="2">
        <f>IFERROR(__xludf.DUMMYFUNCTION("""COMPUTED_VALUE"""),5.9148109589999914E7)</f>
        <v>59148109.59</v>
      </c>
      <c r="H138" s="2"/>
      <c r="I138" s="2" t="str">
        <f>IFERROR(__xludf.DUMMYFUNCTION("""COMPUTED_VALUE"""),"PRIBADI")</f>
        <v>PRIBADI</v>
      </c>
    </row>
    <row r="139">
      <c r="A139" s="10">
        <f>IFERROR(__xludf.DUMMYFUNCTION("""COMPUTED_VALUE"""),46290.0)</f>
        <v>46290</v>
      </c>
      <c r="B139" s="2" t="str">
        <f>IFERROR(__xludf.DUMMYFUNCTION("""COMPUTED_VALUE"""),"TRSF E-BANKING DB")</f>
        <v>TRSF E-BANKING DB</v>
      </c>
      <c r="C139" s="2" t="str">
        <f>IFERROR(__xludf.DUMMYFUNCTION("""COMPUTED_VALUE"""),"2509/FTSCY/WS95271 57693040.00 pelunasan SUGENG RIADI")</f>
        <v>2509/FTSCY/WS95271 57693040.00 pelunasan SUGENG RIADI</v>
      </c>
      <c r="D139" s="2">
        <f>IFERROR(__xludf.DUMMYFUNCTION("""COMPUTED_VALUE"""),5.769304E7)</f>
        <v>57693040</v>
      </c>
      <c r="E139" s="2"/>
      <c r="F139" s="2" t="str">
        <f>IFERROR(__xludf.DUMMYFUNCTION("""COMPUTED_VALUE"""),"DB")</f>
        <v>DB</v>
      </c>
      <c r="G139" s="2">
        <f>IFERROR(__xludf.DUMMYFUNCTION("""COMPUTED_VALUE"""),1455069.5899999142)</f>
        <v>1455069.59</v>
      </c>
      <c r="H139" s="2"/>
      <c r="I139" s="2" t="str">
        <f>IFERROR(__xludf.DUMMYFUNCTION("""COMPUTED_VALUE"""),"PRIBADI")</f>
        <v>PRIBADI</v>
      </c>
    </row>
    <row r="140">
      <c r="A140" s="10">
        <f>IFERROR(__xludf.DUMMYFUNCTION("""COMPUTED_VALUE"""),46290.0)</f>
        <v>46290</v>
      </c>
      <c r="B140" s="2" t="str">
        <f>IFERROR(__xludf.DUMMYFUNCTION("""COMPUTED_VALUE"""),"TRSF E-BANKING DB")</f>
        <v>TRSF E-BANKING DB</v>
      </c>
      <c r="C140" s="2" t="str">
        <f>IFERROR(__xludf.DUMMYFUNCTION("""COMPUTED_VALUE"""),"2509/FTSCY/WS95271 81500000.00 pelunasan PT AGRISATYA PRIMA")</f>
        <v>2509/FTSCY/WS95271 81500000.00 pelunasan PT AGRISATYA PRIMA</v>
      </c>
      <c r="D140" s="2">
        <f>IFERROR(__xludf.DUMMYFUNCTION("""COMPUTED_VALUE"""),8.15E7)</f>
        <v>81500000</v>
      </c>
      <c r="E140" s="2"/>
      <c r="F140" s="2" t="str">
        <f>IFERROR(__xludf.DUMMYFUNCTION("""COMPUTED_VALUE"""),"DB")</f>
        <v>DB</v>
      </c>
      <c r="G140" s="2">
        <f>IFERROR(__xludf.DUMMYFUNCTION("""COMPUTED_VALUE"""),5.2971629589999914E7)</f>
        <v>52971629.59</v>
      </c>
      <c r="H140" s="2">
        <f>IFERROR(__xludf.DUMMYFUNCTION("""COMPUTED_VALUE"""),5.297162959E7)</f>
        <v>52971629.59</v>
      </c>
      <c r="I140" s="2" t="str">
        <f>IFERROR(__xludf.DUMMYFUNCTION("""COMPUTED_VALUE"""),"PRIBADI")</f>
        <v>PRIBADI</v>
      </c>
    </row>
    <row r="141">
      <c r="A141" s="10">
        <f>IFERROR(__xludf.DUMMYFUNCTION("""COMPUTED_VALUE"""),46290.0)</f>
        <v>46290</v>
      </c>
      <c r="B141" s="2" t="str">
        <f>IFERROR(__xludf.DUMMYFUNCTION("""COMPUTED_VALUE"""),"TRSF E-BANKING DB")</f>
        <v>TRSF E-BANKING DB</v>
      </c>
      <c r="C141" s="2" t="str">
        <f>IFERROR(__xludf.DUMMYFUNCTION("""COMPUTED_VALUE"""),"2509/FTSCY/WS95271 3000000.00 pelunasan BINTANG TAMA SANTO")</f>
        <v>2509/FTSCY/WS95271 3000000.00 pelunasan BINTANG TAMA SANTO</v>
      </c>
      <c r="D141" s="2">
        <f>IFERROR(__xludf.DUMMYFUNCTION("""COMPUTED_VALUE"""),3000000.0)</f>
        <v>3000000</v>
      </c>
      <c r="E141" s="2"/>
      <c r="F141" s="2" t="str">
        <f>IFERROR(__xludf.DUMMYFUNCTION("""COMPUTED_VALUE"""),"DB")</f>
        <v>DB</v>
      </c>
      <c r="G141" s="2">
        <f>IFERROR(__xludf.DUMMYFUNCTION("""COMPUTED_VALUE"""),4.9971629589999914E7)</f>
        <v>49971629.59</v>
      </c>
      <c r="H141" s="2">
        <f>IFERROR(__xludf.DUMMYFUNCTION("""COMPUTED_VALUE"""),4.997162959E7)</f>
        <v>49971629.59</v>
      </c>
      <c r="I141" s="2" t="str">
        <f>IFERROR(__xludf.DUMMYFUNCTION("""COMPUTED_VALUE"""),"PRIBADI")</f>
        <v>PRIBADI</v>
      </c>
    </row>
    <row r="142">
      <c r="A142" s="10">
        <f>IFERROR(__xludf.DUMMYFUNCTION("""COMPUTED_VALUE"""),46290.0)</f>
        <v>46290</v>
      </c>
      <c r="B142" s="2" t="str">
        <f>IFERROR(__xludf.DUMMYFUNCTION("""COMPUTED_VALUE"""),"TRSF E-BANKING DB")</f>
        <v>TRSF E-BANKING DB</v>
      </c>
      <c r="C142" s="2" t="str">
        <f>IFERROR(__xludf.DUMMYFUNCTION("""COMPUTED_VALUE"""),"2509/FTSCY/WS95031 2100000.00 ANDE DOSO ANGGORO")</f>
        <v>2509/FTSCY/WS95031 2100000.00 ANDE DOSO ANGGORO</v>
      </c>
      <c r="D142" s="2">
        <f>IFERROR(__xludf.DUMMYFUNCTION("""COMPUTED_VALUE"""),2100000.0)</f>
        <v>2100000</v>
      </c>
      <c r="E142" s="2"/>
      <c r="F142" s="2" t="str">
        <f>IFERROR(__xludf.DUMMYFUNCTION("""COMPUTED_VALUE"""),"DB")</f>
        <v>DB</v>
      </c>
      <c r="G142" s="2">
        <f>IFERROR(__xludf.DUMMYFUNCTION("""COMPUTED_VALUE"""),4.060323995899999E8)</f>
        <v>406032399.6</v>
      </c>
      <c r="H142" s="2"/>
      <c r="I142" s="2" t="str">
        <f>IFERROR(__xludf.DUMMYFUNCTION("""COMPUTED_VALUE"""),"PRIBADI")</f>
        <v>PRIBADI</v>
      </c>
    </row>
    <row r="143">
      <c r="A143" s="10">
        <f>IFERROR(__xludf.DUMMYFUNCTION("""COMPUTED_VALUE"""),46290.0)</f>
        <v>46290</v>
      </c>
      <c r="B143" s="2" t="str">
        <f>IFERROR(__xludf.DUMMYFUNCTION("""COMPUTED_VALUE"""),"TRSF E-BANKING DB")</f>
        <v>TRSF E-BANKING DB</v>
      </c>
      <c r="C143" s="2" t="str">
        <f>IFERROR(__xludf.DUMMYFUNCTION("""COMPUTED_VALUE"""),"2509/FTSCY/WS95031 500000.00 SITI RAHMA IFTITAH")</f>
        <v>2509/FTSCY/WS95031 500000.00 SITI RAHMA IFTITAH</v>
      </c>
      <c r="D143" s="2">
        <f>IFERROR(__xludf.DUMMYFUNCTION("""COMPUTED_VALUE"""),500000.0)</f>
        <v>500000</v>
      </c>
      <c r="E143" s="2"/>
      <c r="F143" s="2" t="str">
        <f>IFERROR(__xludf.DUMMYFUNCTION("""COMPUTED_VALUE"""),"DB")</f>
        <v>DB</v>
      </c>
      <c r="G143" s="2">
        <f>IFERROR(__xludf.DUMMYFUNCTION("""COMPUTED_VALUE"""),4.055323995899999E8)</f>
        <v>405532399.6</v>
      </c>
      <c r="H143" s="2"/>
      <c r="I143" s="2" t="str">
        <f>IFERROR(__xludf.DUMMYFUNCTION("""COMPUTED_VALUE"""),"PRIBADI")</f>
        <v>PRIBADI</v>
      </c>
    </row>
    <row r="144">
      <c r="A144" s="10">
        <f>IFERROR(__xludf.DUMMYFUNCTION("""COMPUTED_VALUE"""),46290.0)</f>
        <v>46290</v>
      </c>
      <c r="B144" s="2" t="str">
        <f>IFERROR(__xludf.DUMMYFUNCTION("""COMPUTED_VALUE"""),"TRSF E-BANKING DB")</f>
        <v>TRSF E-BANKING DB</v>
      </c>
      <c r="C144" s="2" t="str">
        <f>IFERROR(__xludf.DUMMYFUNCTION("""COMPUTED_VALUE"""),"2509/FTSCY/WS95011 150950950.00 Tue Sep 22 2026 14:00:00 GMT+0700 (Western Indonesia Time) PITIK DIGITAL INDO")</f>
        <v>2509/FTSCY/WS95011 150950950.00 Tue Sep 22 2026 14:00:00 GMT+0700 (Western Indonesia Time) PITIK DIGITAL INDO</v>
      </c>
      <c r="D144" s="2">
        <f>IFERROR(__xludf.DUMMYFUNCTION("""COMPUTED_VALUE"""),1.5095095E8)</f>
        <v>150950950</v>
      </c>
      <c r="E144" s="2"/>
      <c r="F144" s="2" t="str">
        <f>IFERROR(__xludf.DUMMYFUNCTION("""COMPUTED_VALUE"""),"DB")</f>
        <v>DB</v>
      </c>
      <c r="G144" s="2">
        <f>IFERROR(__xludf.DUMMYFUNCTION("""COMPUTED_VALUE"""),5.588963595899999E8)</f>
        <v>558896359.6</v>
      </c>
      <c r="H144" s="2"/>
      <c r="I144" s="2" t="str">
        <f>IFERROR(__xludf.DUMMYFUNCTION("""COMPUTED_VALUE"""),"PRIBADI")</f>
        <v>PRIBADI</v>
      </c>
    </row>
    <row r="145">
      <c r="A145" s="10">
        <f>IFERROR(__xludf.DUMMYFUNCTION("""COMPUTED_VALUE"""),46290.0)</f>
        <v>46290</v>
      </c>
      <c r="B145" s="2" t="str">
        <f>IFERROR(__xludf.DUMMYFUNCTION("""COMPUTED_VALUE"""),"TRSF E-BANKING DB")</f>
        <v>TRSF E-BANKING DB</v>
      </c>
      <c r="C145" s="2" t="str">
        <f>IFERROR(__xludf.DUMMYFUNCTION("""COMPUTED_VALUE"""),"2509/FTSCY/WS95011 113623300.00 Tue Sep 22 2026 14:00:00 GMT+0700 (Western Indonesia Time) ANDALAN YASA MITRA")</f>
        <v>2509/FTSCY/WS95011 113623300.00 Tue Sep 22 2026 14:00:00 GMT+0700 (Western Indonesia Time) ANDALAN YASA MITRA</v>
      </c>
      <c r="D145" s="2">
        <f>IFERROR(__xludf.DUMMYFUNCTION("""COMPUTED_VALUE"""),1.136233E8)</f>
        <v>113623300</v>
      </c>
      <c r="E145" s="2"/>
      <c r="F145" s="2" t="str">
        <f>IFERROR(__xludf.DUMMYFUNCTION("""COMPUTED_VALUE"""),"DB")</f>
        <v>DB</v>
      </c>
      <c r="G145" s="2">
        <f>IFERROR(__xludf.DUMMYFUNCTION("""COMPUTED_VALUE"""),4.452730595899999E8)</f>
        <v>445273059.6</v>
      </c>
      <c r="H145" s="2"/>
      <c r="I145" s="2" t="str">
        <f>IFERROR(__xludf.DUMMYFUNCTION("""COMPUTED_VALUE"""),"PRIBADI")</f>
        <v>PRIBADI</v>
      </c>
    </row>
    <row r="146">
      <c r="A146" s="10">
        <f>IFERROR(__xludf.DUMMYFUNCTION("""COMPUTED_VALUE"""),46290.0)</f>
        <v>46290</v>
      </c>
      <c r="B146" s="2" t="str">
        <f>IFERROR(__xludf.DUMMYFUNCTION("""COMPUTED_VALUE"""),"TRSF E-BANKING DB")</f>
        <v>TRSF E-BANKING DB</v>
      </c>
      <c r="C146" s="2" t="str">
        <f>IFERROR(__xludf.DUMMYFUNCTION("""COMPUTED_VALUE"""),"2509/FTSCY/WS95011 195344750.00 Tue Sep 22 2026 14:00:00 GMT+0700 (Western Indonesia Time) TABASSAM AL HATTAK")</f>
        <v>2509/FTSCY/WS95011 195344750.00 Tue Sep 22 2026 14:00:00 GMT+0700 (Western Indonesia Time) TABASSAM AL HATTAK</v>
      </c>
      <c r="D146" s="2">
        <f>IFERROR(__xludf.DUMMYFUNCTION("""COMPUTED_VALUE"""),1.9534475E8)</f>
        <v>195344750</v>
      </c>
      <c r="E146" s="2"/>
      <c r="F146" s="2" t="str">
        <f>IFERROR(__xludf.DUMMYFUNCTION("""COMPUTED_VALUE"""),"DB")</f>
        <v>DB</v>
      </c>
      <c r="G146" s="2">
        <f>IFERROR(__xludf.DUMMYFUNCTION("""COMPUTED_VALUE"""),2.499283095899999E8)</f>
        <v>249928309.6</v>
      </c>
      <c r="H146" s="2"/>
      <c r="I146" s="2" t="str">
        <f>IFERROR(__xludf.DUMMYFUNCTION("""COMPUTED_VALUE"""),"PRIBADI")</f>
        <v>PRIBADI</v>
      </c>
    </row>
    <row r="147">
      <c r="A147" s="10">
        <f>IFERROR(__xludf.DUMMYFUNCTION("""COMPUTED_VALUE"""),46290.0)</f>
        <v>46290</v>
      </c>
      <c r="B147" s="2" t="str">
        <f>IFERROR(__xludf.DUMMYFUNCTION("""COMPUTED_VALUE"""),"TRSF E-BANKING DB")</f>
        <v>TRSF E-BANKING DB</v>
      </c>
      <c r="C147" s="2" t="str">
        <f>IFERROR(__xludf.DUMMYFUNCTION("""COMPUTED_VALUE"""),"2509/FTSCY/WS95011 40000000.00 Wed Sep 23 2026 14:00:00 GMT+0700 (Western Indonesia Time) Krg 20 jt SUPER UNGGAS JAYA")</f>
        <v>2509/FTSCY/WS95011 40000000.00 Wed Sep 23 2026 14:00:00 GMT+0700 (Western Indonesia Time) Krg 20 jt SUPER UNGGAS JAYA</v>
      </c>
      <c r="D147" s="2">
        <f>IFERROR(__xludf.DUMMYFUNCTION("""COMPUTED_VALUE"""),4.0E7)</f>
        <v>40000000</v>
      </c>
      <c r="E147" s="2"/>
      <c r="F147" s="2" t="str">
        <f>IFERROR(__xludf.DUMMYFUNCTION("""COMPUTED_VALUE"""),"DB")</f>
        <v>DB</v>
      </c>
      <c r="G147" s="2">
        <f>IFERROR(__xludf.DUMMYFUNCTION("""COMPUTED_VALUE"""),2.099283095899999E8)</f>
        <v>209928309.6</v>
      </c>
      <c r="H147" s="2">
        <f>IFERROR(__xludf.DUMMYFUNCTION("""COMPUTED_VALUE"""),2.0992830959E8)</f>
        <v>209928309.6</v>
      </c>
      <c r="I147" s="2" t="str">
        <f>IFERROR(__xludf.DUMMYFUNCTION("""COMPUTED_VALUE"""),"PRIBADI")</f>
        <v>PRIBADI</v>
      </c>
    </row>
    <row r="148">
      <c r="A148" s="10">
        <f>IFERROR(__xludf.DUMMYFUNCTION("""COMPUTED_VALUE"""),46290.0)</f>
        <v>46290</v>
      </c>
      <c r="B148" s="2" t="str">
        <f>IFERROR(__xludf.DUMMYFUNCTION("""COMPUTED_VALUE"""),"TRSF E-BANKING DB")</f>
        <v>TRSF E-BANKING DB</v>
      </c>
      <c r="C148" s="2" t="str">
        <f>IFERROR(__xludf.DUMMYFUNCTION("""COMPUTED_VALUE"""),"2509/FTSCY/WS95271 20000000.00 pelunasan SUPER UNGGAS JAYA")</f>
        <v>2509/FTSCY/WS95271 20000000.00 pelunasan SUPER UNGGAS JAYA</v>
      </c>
      <c r="D148" s="2">
        <f>IFERROR(__xludf.DUMMYFUNCTION("""COMPUTED_VALUE"""),2.0E7)</f>
        <v>20000000</v>
      </c>
      <c r="E148" s="2"/>
      <c r="F148" s="2" t="str">
        <f>IFERROR(__xludf.DUMMYFUNCTION("""COMPUTED_VALUE"""),"DB")</f>
        <v>DB</v>
      </c>
      <c r="G148" s="2">
        <f>IFERROR(__xludf.DUMMYFUNCTION("""COMPUTED_VALUE"""),1.899283095899999E8)</f>
        <v>189928309.6</v>
      </c>
      <c r="H148" s="2">
        <f>IFERROR(__xludf.DUMMYFUNCTION("""COMPUTED_VALUE"""),1.8992830959E8)</f>
        <v>189928309.6</v>
      </c>
      <c r="I148" s="2" t="str">
        <f>IFERROR(__xludf.DUMMYFUNCTION("""COMPUTED_VALUE"""),"PRIBADI")</f>
        <v>PRIBADI</v>
      </c>
    </row>
    <row r="149">
      <c r="A149" s="10">
        <f>IFERROR(__xludf.DUMMYFUNCTION("""COMPUTED_VALUE"""),46290.0)</f>
        <v>46290</v>
      </c>
      <c r="B149" s="2" t="str">
        <f>IFERROR(__xludf.DUMMYFUNCTION("""COMPUTED_VALUE"""),"TRSF E-BANKING DB")</f>
        <v>TRSF E-BANKING DB</v>
      </c>
      <c r="C149" s="2" t="str">
        <f>IFERROR(__xludf.DUMMYFUNCTION("""COMPUTED_VALUE"""),"2509/FTSCY/WS95271 60336900.00 Tue Sep 22 2026 14:00:00 GMT+0700 (Western Indonesia Time) ANDALAN YASA MITRA")</f>
        <v>2509/FTSCY/WS95271 60336900.00 Tue Sep 22 2026 14:00:00 GMT+0700 (Western Indonesia Time) ANDALAN YASA MITRA</v>
      </c>
      <c r="D149" s="2">
        <f>IFERROR(__xludf.DUMMYFUNCTION("""COMPUTED_VALUE"""),6.03369E7)</f>
        <v>60336900</v>
      </c>
      <c r="E149" s="2"/>
      <c r="F149" s="2" t="str">
        <f>IFERROR(__xludf.DUMMYFUNCTION("""COMPUTED_VALUE"""),"DB")</f>
        <v>DB</v>
      </c>
      <c r="G149" s="2">
        <f>IFERROR(__xludf.DUMMYFUNCTION("""COMPUTED_VALUE"""),1.2959140958999991E8)</f>
        <v>129591409.6</v>
      </c>
      <c r="H149" s="2"/>
      <c r="I149" s="2" t="str">
        <f>IFERROR(__xludf.DUMMYFUNCTION("""COMPUTED_VALUE"""),"PRIBADI")</f>
        <v>PRIBADI</v>
      </c>
    </row>
    <row r="150">
      <c r="A150" s="10">
        <f>IFERROR(__xludf.DUMMYFUNCTION("""COMPUTED_VALUE"""),46290.0)</f>
        <v>46290</v>
      </c>
      <c r="B150" s="2" t="str">
        <f>IFERROR(__xludf.DUMMYFUNCTION("""COMPUTED_VALUE"""),"TRSF E-BANKING DB")</f>
        <v>TRSF E-BANKING DB</v>
      </c>
      <c r="C150" s="2" t="str">
        <f>IFERROR(__xludf.DUMMYFUNCTION("""COMPUTED_VALUE"""),"2509/FTSCY/WS95271 68537700.00 Tue Sep 22 2026 14:00:00 GMT+0700 (Western Indonesia Time) BROILER MAKMUR TAN")</f>
        <v>2509/FTSCY/WS95271 68537700.00 Tue Sep 22 2026 14:00:00 GMT+0700 (Western Indonesia Time) BROILER MAKMUR TAN</v>
      </c>
      <c r="D150" s="2">
        <f>IFERROR(__xludf.DUMMYFUNCTION("""COMPUTED_VALUE"""),6.85377E7)</f>
        <v>68537700</v>
      </c>
      <c r="E150" s="2"/>
      <c r="F150" s="2" t="str">
        <f>IFERROR(__xludf.DUMMYFUNCTION("""COMPUTED_VALUE"""),"DB")</f>
        <v>DB</v>
      </c>
      <c r="G150" s="2">
        <f>IFERROR(__xludf.DUMMYFUNCTION("""COMPUTED_VALUE"""),6.1053709589999914E7)</f>
        <v>61053709.59</v>
      </c>
      <c r="H150" s="2"/>
      <c r="I150" s="2" t="str">
        <f>IFERROR(__xludf.DUMMYFUNCTION("""COMPUTED_VALUE"""),"PRIBADI")</f>
        <v>PRIBADI</v>
      </c>
    </row>
    <row r="151">
      <c r="A151" s="10">
        <f>IFERROR(__xludf.DUMMYFUNCTION("""COMPUTED_VALUE"""),46290.0)</f>
        <v>46290</v>
      </c>
      <c r="B151" s="2" t="str">
        <f>IFERROR(__xludf.DUMMYFUNCTION("""COMPUTED_VALUE"""),"TRSF E-BANKING DB")</f>
        <v>TRSF E-BANKING DB</v>
      </c>
      <c r="C151" s="2" t="str">
        <f>IFERROR(__xludf.DUMMYFUNCTION("""COMPUTED_VALUE"""),"2509/FTSCY/WS95271 1350000.00 SUNARTO")</f>
        <v>2509/FTSCY/WS95271 1350000.00 SUNARTO</v>
      </c>
      <c r="D151" s="2">
        <f>IFERROR(__xludf.DUMMYFUNCTION("""COMPUTED_VALUE"""),1350000.0)</f>
        <v>1350000</v>
      </c>
      <c r="E151" s="2"/>
      <c r="F151" s="2" t="str">
        <f>IFERROR(__xludf.DUMMYFUNCTION("""COMPUTED_VALUE"""),"DB")</f>
        <v>DB</v>
      </c>
      <c r="G151" s="2">
        <f>IFERROR(__xludf.DUMMYFUNCTION("""COMPUTED_VALUE"""),1.1267758958999991E8)</f>
        <v>112677589.6</v>
      </c>
      <c r="H151" s="2"/>
      <c r="I151" s="2" t="str">
        <f>IFERROR(__xludf.DUMMYFUNCTION("""COMPUTED_VALUE"""),"PRIBADI")</f>
        <v>PRIBADI</v>
      </c>
    </row>
    <row r="152">
      <c r="A152" s="10">
        <f>IFERROR(__xludf.DUMMYFUNCTION("""COMPUTED_VALUE"""),46291.0)</f>
        <v>46291</v>
      </c>
      <c r="B152" s="2" t="str">
        <f>IFERROR(__xludf.DUMMYFUNCTION("""COMPUTED_VALUE"""),"TRSF E-BANKING DB")</f>
        <v>TRSF E-BANKING DB</v>
      </c>
      <c r="C152" s="2" t="str">
        <f>IFERROR(__xludf.DUMMYFUNCTION("""COMPUTED_VALUE"""),"2609/FTSCY/WS95271 70000000.00 Tue Sep 22 2026 14:00:00 GMT+0700 (Western Indonesia Time) PITIK DIGITAL INDO")</f>
        <v>2609/FTSCY/WS95271 70000000.00 Tue Sep 22 2026 14:00:00 GMT+0700 (Western Indonesia Time) PITIK DIGITAL INDO</v>
      </c>
      <c r="D152" s="2">
        <f>IFERROR(__xludf.DUMMYFUNCTION("""COMPUTED_VALUE"""),7.0E7)</f>
        <v>70000000</v>
      </c>
      <c r="E152" s="2"/>
      <c r="F152" s="2" t="str">
        <f>IFERROR(__xludf.DUMMYFUNCTION("""COMPUTED_VALUE"""),"DB")</f>
        <v>DB</v>
      </c>
      <c r="G152" s="2">
        <f>IFERROR(__xludf.DUMMYFUNCTION("""COMPUTED_VALUE"""),1.1323758958999991E8)</f>
        <v>113237589.6</v>
      </c>
      <c r="H152" s="2"/>
      <c r="I152" s="2" t="str">
        <f>IFERROR(__xludf.DUMMYFUNCTION("""COMPUTED_VALUE"""),"PRIBADI")</f>
        <v>PRIBADI</v>
      </c>
    </row>
    <row r="153">
      <c r="A153" s="10">
        <f>IFERROR(__xludf.DUMMYFUNCTION("""COMPUTED_VALUE"""),46291.0)</f>
        <v>46291</v>
      </c>
      <c r="B153" s="2" t="str">
        <f>IFERROR(__xludf.DUMMYFUNCTION("""COMPUTED_VALUE"""),"TRSF E-BANKING DB")</f>
        <v>TRSF E-BANKING DB</v>
      </c>
      <c r="C153" s="2" t="str">
        <f>IFERROR(__xludf.DUMMYFUNCTION("""COMPUTED_VALUE"""),"2609/FTSCY/WS95271 69942000.00 Thu Sep 24 2026 14:00:00 GMT+0700 (Western Indonesia Time) PITIK DIGITAL INDO")</f>
        <v>2609/FTSCY/WS95271 69942000.00 Thu Sep 24 2026 14:00:00 GMT+0700 (Western Indonesia Time) PITIK DIGITAL INDO</v>
      </c>
      <c r="D153" s="2">
        <f>IFERROR(__xludf.DUMMYFUNCTION("""COMPUTED_VALUE"""),6.9942E7)</f>
        <v>69942000</v>
      </c>
      <c r="E153" s="2"/>
      <c r="F153" s="2" t="str">
        <f>IFERROR(__xludf.DUMMYFUNCTION("""COMPUTED_VALUE"""),"DB")</f>
        <v>DB</v>
      </c>
      <c r="G153" s="2">
        <f>IFERROR(__xludf.DUMMYFUNCTION("""COMPUTED_VALUE"""),4.3295589589999914E7)</f>
        <v>43295589.59</v>
      </c>
      <c r="H153" s="2"/>
      <c r="I153" s="2" t="str">
        <f>IFERROR(__xludf.DUMMYFUNCTION("""COMPUTED_VALUE"""),"PRIBADI")</f>
        <v>PRIBADI</v>
      </c>
    </row>
    <row r="154">
      <c r="A154" s="10">
        <f>IFERROR(__xludf.DUMMYFUNCTION("""COMPUTED_VALUE"""),46291.0)</f>
        <v>46291</v>
      </c>
      <c r="B154" s="2" t="str">
        <f>IFERROR(__xludf.DUMMYFUNCTION("""COMPUTED_VALUE"""),"TRSF E-BANKING DB")</f>
        <v>TRSF E-BANKING DB</v>
      </c>
      <c r="C154" s="2" t="str">
        <f>IFERROR(__xludf.DUMMYFUNCTION("""COMPUTED_VALUE"""),"2609/FTSCY/WS95271 43169000.00 krg 21.1 jt PITIK DIGITAL INDO")</f>
        <v>2609/FTSCY/WS95271 43169000.00 krg 21.1 jt PITIK DIGITAL INDO</v>
      </c>
      <c r="D154" s="2">
        <f>IFERROR(__xludf.DUMMYFUNCTION("""COMPUTED_VALUE"""),4.3169E7)</f>
        <v>43169000</v>
      </c>
      <c r="E154" s="2"/>
      <c r="F154" s="2" t="str">
        <f>IFERROR(__xludf.DUMMYFUNCTION("""COMPUTED_VALUE"""),"DB")</f>
        <v>DB</v>
      </c>
      <c r="G154" s="2">
        <f>IFERROR(__xludf.DUMMYFUNCTION("""COMPUTED_VALUE"""),126589.58999991417)</f>
        <v>126589.59</v>
      </c>
      <c r="H154" s="2"/>
      <c r="I154" s="2" t="str">
        <f>IFERROR(__xludf.DUMMYFUNCTION("""COMPUTED_VALUE"""),"PRIBADI")</f>
        <v>PRIBADI</v>
      </c>
    </row>
    <row r="155">
      <c r="A155" s="10">
        <f>IFERROR(__xludf.DUMMYFUNCTION("""COMPUTED_VALUE"""),46291.0)</f>
        <v>46291</v>
      </c>
      <c r="B155" s="2" t="str">
        <f>IFERROR(__xludf.DUMMYFUNCTION("""COMPUTED_VALUE"""),"TRSF E-BANKING DB")</f>
        <v>TRSF E-BANKING DB</v>
      </c>
      <c r="C155" s="2" t="str">
        <f>IFERROR(__xludf.DUMMYFUNCTION("""COMPUTED_VALUE"""),"2609/FTSCY/WS95271 43986000.00 Thu Sep 24 2026 14:00:00 GMT+0700 (Western Indonesia Time) PT BERLIAN INDOMIT")</f>
        <v>2609/FTSCY/WS95271 43986000.00 Thu Sep 24 2026 14:00:00 GMT+0700 (Western Indonesia Time) PT BERLIAN INDOMIT</v>
      </c>
      <c r="D155" s="2">
        <f>IFERROR(__xludf.DUMMYFUNCTION("""COMPUTED_VALUE"""),4.3986E7)</f>
        <v>43986000</v>
      </c>
      <c r="E155" s="2"/>
      <c r="F155" s="2" t="str">
        <f>IFERROR(__xludf.DUMMYFUNCTION("""COMPUTED_VALUE"""),"DB")</f>
        <v>DB</v>
      </c>
      <c r="G155" s="2">
        <f>IFERROR(__xludf.DUMMYFUNCTION("""COMPUTED_VALUE"""),1.348997895899999E8)</f>
        <v>134899789.6</v>
      </c>
      <c r="H155" s="2"/>
      <c r="I155" s="2" t="str">
        <f>IFERROR(__xludf.DUMMYFUNCTION("""COMPUTED_VALUE"""),"PRIBADI")</f>
        <v>PRIBADI</v>
      </c>
    </row>
    <row r="156">
      <c r="A156" s="10">
        <f>IFERROR(__xludf.DUMMYFUNCTION("""COMPUTED_VALUE"""),46291.0)</f>
        <v>46291</v>
      </c>
      <c r="B156" s="2" t="str">
        <f>IFERROR(__xludf.DUMMYFUNCTION("""COMPUTED_VALUE"""),"TRSF E-BANKING DB")</f>
        <v>TRSF E-BANKING DB</v>
      </c>
      <c r="C156" s="2" t="str">
        <f>IFERROR(__xludf.DUMMYFUNCTION("""COMPUTED_VALUE"""),"2609/FTSCY/WS95271 60000000.00 Thu Sep 24 2026 14:00:00 GMT+0700 (Western Indonesia Time) RUKUN MITRA BERSAM")</f>
        <v>2609/FTSCY/WS95271 60000000.00 Thu Sep 24 2026 14:00:00 GMT+0700 (Western Indonesia Time) RUKUN MITRA BERSAM</v>
      </c>
      <c r="D156" s="2">
        <f>IFERROR(__xludf.DUMMYFUNCTION("""COMPUTED_VALUE"""),6.0E7)</f>
        <v>60000000</v>
      </c>
      <c r="E156" s="2"/>
      <c r="F156" s="2" t="str">
        <f>IFERROR(__xludf.DUMMYFUNCTION("""COMPUTED_VALUE"""),"DB")</f>
        <v>DB</v>
      </c>
      <c r="G156" s="2">
        <f>IFERROR(__xludf.DUMMYFUNCTION("""COMPUTED_VALUE"""),2.072170395899999E8)</f>
        <v>207217039.6</v>
      </c>
      <c r="H156" s="2">
        <f>IFERROR(__xludf.DUMMYFUNCTION("""COMPUTED_VALUE"""),2.0721703959E8)</f>
        <v>207217039.6</v>
      </c>
      <c r="I156" s="2" t="str">
        <f>IFERROR(__xludf.DUMMYFUNCTION("""COMPUTED_VALUE"""),"PRIBADI")</f>
        <v>PRIBADI</v>
      </c>
    </row>
    <row r="157">
      <c r="A157" s="10">
        <f>IFERROR(__xludf.DUMMYFUNCTION("""COMPUTED_VALUE"""),46291.0)</f>
        <v>46291</v>
      </c>
      <c r="B157" s="2" t="str">
        <f>IFERROR(__xludf.DUMMYFUNCTION("""COMPUTED_VALUE"""),"TRSF E-BANKING DB")</f>
        <v>TRSF E-BANKING DB</v>
      </c>
      <c r="C157" s="2" t="str">
        <f>IFERROR(__xludf.DUMMYFUNCTION("""COMPUTED_VALUE"""),"2609/FTSCY/WS95031 49926000.00 Fri Sep 25 2026 14:00:00 GMT+0700 (Western Indonesia Time) BERLIAN UNGGUL JAY")</f>
        <v>2609/FTSCY/WS95031 49926000.00 Fri Sep 25 2026 14:00:00 GMT+0700 (Western Indonesia Time) BERLIAN UNGGUL JAY</v>
      </c>
      <c r="D157" s="2">
        <f>IFERROR(__xludf.DUMMYFUNCTION("""COMPUTED_VALUE"""),4.9926E7)</f>
        <v>49926000</v>
      </c>
      <c r="E157" s="2"/>
      <c r="F157" s="2" t="str">
        <f>IFERROR(__xludf.DUMMYFUNCTION("""COMPUTED_VALUE"""),"DB")</f>
        <v>DB</v>
      </c>
      <c r="G157" s="2">
        <f>IFERROR(__xludf.DUMMYFUNCTION("""COMPUTED_VALUE"""),1.572910395899999E8)</f>
        <v>157291039.6</v>
      </c>
      <c r="H157" s="2">
        <f>IFERROR(__xludf.DUMMYFUNCTION("""COMPUTED_VALUE"""),1.5729103959E8)</f>
        <v>157291039.6</v>
      </c>
      <c r="I157" s="2" t="str">
        <f>IFERROR(__xludf.DUMMYFUNCTION("""COMPUTED_VALUE"""),"PRIBADI")</f>
        <v>PRIBADI</v>
      </c>
    </row>
    <row r="158">
      <c r="A158" s="10">
        <f>IFERROR(__xludf.DUMMYFUNCTION("""COMPUTED_VALUE"""),46291.0)</f>
        <v>46291</v>
      </c>
      <c r="B158" s="2" t="str">
        <f>IFERROR(__xludf.DUMMYFUNCTION("""COMPUTED_VALUE"""),"TRSF E-BANKING DB")</f>
        <v>TRSF E-BANKING DB</v>
      </c>
      <c r="C158" s="2" t="str">
        <f>IFERROR(__xludf.DUMMYFUNCTION("""COMPUTED_VALUE"""),"2609/FTSCY/WS95031 50000000.00 Wed Sep 23 2026 14:00:00 GMT+0700 (Western Indonesia Time) TUMBUH OPTIMAL PRI")</f>
        <v>2609/FTSCY/WS95031 50000000.00 Wed Sep 23 2026 14:00:00 GMT+0700 (Western Indonesia Time) TUMBUH OPTIMAL PRI</v>
      </c>
      <c r="D158" s="2">
        <f>IFERROR(__xludf.DUMMYFUNCTION("""COMPUTED_VALUE"""),5.0E7)</f>
        <v>50000000</v>
      </c>
      <c r="E158" s="2"/>
      <c r="F158" s="2" t="str">
        <f>IFERROR(__xludf.DUMMYFUNCTION("""COMPUTED_VALUE"""),"DB")</f>
        <v>DB</v>
      </c>
      <c r="G158" s="2">
        <f>IFERROR(__xludf.DUMMYFUNCTION("""COMPUTED_VALUE"""),1.0729103958999991E8)</f>
        <v>107291039.6</v>
      </c>
      <c r="H158" s="2"/>
      <c r="I158" s="2" t="str">
        <f>IFERROR(__xludf.DUMMYFUNCTION("""COMPUTED_VALUE"""),"PRIBADI")</f>
        <v>PRIBADI</v>
      </c>
    </row>
    <row r="159">
      <c r="A159" s="10">
        <f>IFERROR(__xludf.DUMMYFUNCTION("""COMPUTED_VALUE"""),46291.0)</f>
        <v>46291</v>
      </c>
      <c r="B159" s="2" t="str">
        <f>IFERROR(__xludf.DUMMYFUNCTION("""COMPUTED_VALUE"""),"TRSF E-BANKING DB")</f>
        <v>TRSF E-BANKING DB</v>
      </c>
      <c r="C159" s="2" t="str">
        <f>IFERROR(__xludf.DUMMYFUNCTION("""COMPUTED_VALUE"""),"2609/FTFVA/WS95031 55569/PT PRIMA FAJ Sat Sep 26 2026 14:00:00 GMT+0700 (Western Indonesia Time) - 40190")</f>
        <v>2609/FTFVA/WS95031 55569/PT PRIMA FAJ Sat Sep 26 2026 14:00:00 GMT+0700 (Western Indonesia Time) - 40190</v>
      </c>
      <c r="D159" s="2">
        <f>IFERROR(__xludf.DUMMYFUNCTION("""COMPUTED_VALUE"""),7.02E7)</f>
        <v>70200000</v>
      </c>
      <c r="E159" s="2"/>
      <c r="F159" s="2" t="str">
        <f>IFERROR(__xludf.DUMMYFUNCTION("""COMPUTED_VALUE"""),"DB")</f>
        <v>DB</v>
      </c>
      <c r="G159" s="2">
        <f>IFERROR(__xludf.DUMMYFUNCTION("""COMPUTED_VALUE"""),3.7091039589999914E7)</f>
        <v>37091039.59</v>
      </c>
      <c r="H159" s="2"/>
      <c r="I159" s="2" t="str">
        <f>IFERROR(__xludf.DUMMYFUNCTION("""COMPUTED_VALUE"""),"PRIBADI")</f>
        <v>PRIBADI</v>
      </c>
    </row>
    <row r="160">
      <c r="A160" s="10">
        <f>IFERROR(__xludf.DUMMYFUNCTION("""COMPUTED_VALUE"""),46291.0)</f>
        <v>46291</v>
      </c>
      <c r="B160" s="2" t="str">
        <f>IFERROR(__xludf.DUMMYFUNCTION("""COMPUTED_VALUE"""),"TRSF E-BANKING DB")</f>
        <v>TRSF E-BANKING DB</v>
      </c>
      <c r="C160" s="2" t="str">
        <f>IFERROR(__xludf.DUMMYFUNCTION("""COMPUTED_VALUE"""),"2609/FTSCY/WS95011 25529100.00 EKO SETIYAWAN")</f>
        <v>2609/FTSCY/WS95011 25529100.00 EKO SETIYAWAN</v>
      </c>
      <c r="D160" s="2">
        <f>IFERROR(__xludf.DUMMYFUNCTION("""COMPUTED_VALUE"""),2.55291E7)</f>
        <v>25529100</v>
      </c>
      <c r="E160" s="2"/>
      <c r="F160" s="2" t="str">
        <f>IFERROR(__xludf.DUMMYFUNCTION("""COMPUTED_VALUE"""),"DB")</f>
        <v>DB</v>
      </c>
      <c r="G160" s="2">
        <f>IFERROR(__xludf.DUMMYFUNCTION("""COMPUTED_VALUE"""),1.1561939589999914E7)</f>
        <v>11561939.59</v>
      </c>
      <c r="H160" s="2"/>
      <c r="I160" s="2" t="str">
        <f>IFERROR(__xludf.DUMMYFUNCTION("""COMPUTED_VALUE"""),"PRIBADI")</f>
        <v>PRIBADI</v>
      </c>
    </row>
    <row r="161">
      <c r="A161" s="10">
        <f>IFERROR(__xludf.DUMMYFUNCTION("""COMPUTED_VALUE"""),46291.0)</f>
        <v>46291</v>
      </c>
      <c r="B161" s="2" t="str">
        <f>IFERROR(__xludf.DUMMYFUNCTION("""COMPUTED_VALUE"""),"TRSF E-BANKING DB")</f>
        <v>TRSF E-BANKING DB</v>
      </c>
      <c r="C161" s="2" t="str">
        <f>IFERROR(__xludf.DUMMYFUNCTION("""COMPUTED_VALUE"""),"2609/FTSCY/WS95011 21100000.00 Pelunasan PITIK DIGITAL INDO")</f>
        <v>2609/FTSCY/WS95011 21100000.00 Pelunasan PITIK DIGITAL INDO</v>
      </c>
      <c r="D161" s="2">
        <f>IFERROR(__xludf.DUMMYFUNCTION("""COMPUTED_VALUE"""),2.11E7)</f>
        <v>21100000</v>
      </c>
      <c r="E161" s="2"/>
      <c r="F161" s="2" t="str">
        <f>IFERROR(__xludf.DUMMYFUNCTION("""COMPUTED_VALUE"""),"DB")</f>
        <v>DB</v>
      </c>
      <c r="G161" s="2">
        <f>IFERROR(__xludf.DUMMYFUNCTION("""COMPUTED_VALUE"""),3.087868995899999E8)</f>
        <v>308786899.6</v>
      </c>
      <c r="H161" s="2"/>
      <c r="I161" s="2" t="str">
        <f>IFERROR(__xludf.DUMMYFUNCTION("""COMPUTED_VALUE"""),"PRIBADI")</f>
        <v>PRIBADI</v>
      </c>
    </row>
    <row r="162">
      <c r="A162" s="10">
        <f>IFERROR(__xludf.DUMMYFUNCTION("""COMPUTED_VALUE"""),46291.0)</f>
        <v>46291</v>
      </c>
      <c r="B162" s="2" t="str">
        <f>IFERROR(__xludf.DUMMYFUNCTION("""COMPUTED_VALUE"""),"TRSF E-BANKING DB")</f>
        <v>TRSF E-BANKING DB</v>
      </c>
      <c r="C162" s="2" t="str">
        <f>IFERROR(__xludf.DUMMYFUNCTION("""COMPUTED_VALUE"""),"2609/FTSCY/WS95011 148200000.00 Thu Sep 24 2026 14:00:00 GMT+0700 (Western Indonesia Time) PITIK DIGITAL INDO")</f>
        <v>2609/FTSCY/WS95011 148200000.00 Thu Sep 24 2026 14:00:00 GMT+0700 (Western Indonesia Time) PITIK DIGITAL INDO</v>
      </c>
      <c r="D162" s="2">
        <f>IFERROR(__xludf.DUMMYFUNCTION("""COMPUTED_VALUE"""),1.482E8)</f>
        <v>148200000</v>
      </c>
      <c r="E162" s="2"/>
      <c r="F162" s="2" t="str">
        <f>IFERROR(__xludf.DUMMYFUNCTION("""COMPUTED_VALUE"""),"DB")</f>
        <v>DB</v>
      </c>
      <c r="G162" s="2">
        <f>IFERROR(__xludf.DUMMYFUNCTION("""COMPUTED_VALUE"""),1.605868995899999E8)</f>
        <v>160586899.6</v>
      </c>
      <c r="H162" s="2"/>
      <c r="I162" s="2" t="str">
        <f>IFERROR(__xludf.DUMMYFUNCTION("""COMPUTED_VALUE"""),"PRIBADI")</f>
        <v>PRIBADI</v>
      </c>
    </row>
    <row r="163">
      <c r="A163" s="10">
        <f>IFERROR(__xludf.DUMMYFUNCTION("""COMPUTED_VALUE"""),46291.0)</f>
        <v>46291</v>
      </c>
      <c r="B163" s="2" t="str">
        <f>IFERROR(__xludf.DUMMYFUNCTION("""COMPUTED_VALUE"""),"TRSF E-BANKING DB")</f>
        <v>TRSF E-BANKING DB</v>
      </c>
      <c r="C163" s="2" t="str">
        <f>IFERROR(__xludf.DUMMYFUNCTION("""COMPUTED_VALUE"""),"2609/FTSCY/WS95011 148200000.00 Thu Sep 24 2026 14:00:00 GMT+0700 (Western Indonesia Time) BINTANG TAMA SANTO")</f>
        <v>2609/FTSCY/WS95011 148200000.00 Thu Sep 24 2026 14:00:00 GMT+0700 (Western Indonesia Time) BINTANG TAMA SANTO</v>
      </c>
      <c r="D163" s="2">
        <f>IFERROR(__xludf.DUMMYFUNCTION("""COMPUTED_VALUE"""),1.482E8)</f>
        <v>148200000</v>
      </c>
      <c r="E163" s="2"/>
      <c r="F163" s="2" t="str">
        <f>IFERROR(__xludf.DUMMYFUNCTION("""COMPUTED_VALUE"""),"DB")</f>
        <v>DB</v>
      </c>
      <c r="G163" s="2">
        <f>IFERROR(__xludf.DUMMYFUNCTION("""COMPUTED_VALUE"""),1.2386899589999914E7)</f>
        <v>12386899.59</v>
      </c>
      <c r="H163" s="2"/>
      <c r="I163" s="2" t="str">
        <f>IFERROR(__xludf.DUMMYFUNCTION("""COMPUTED_VALUE"""),"PRIBADI")</f>
        <v>PRIBADI</v>
      </c>
    </row>
    <row r="164">
      <c r="A164" s="10">
        <f>IFERROR(__xludf.DUMMYFUNCTION("""COMPUTED_VALUE"""),46291.0)</f>
        <v>46291</v>
      </c>
      <c r="B164" s="2" t="str">
        <f>IFERROR(__xludf.DUMMYFUNCTION("""COMPUTED_VALUE"""),"TRSF E-BANKING DB")</f>
        <v>TRSF E-BANKING DB</v>
      </c>
      <c r="C164" s="2" t="str">
        <f>IFERROR(__xludf.DUMMYFUNCTION("""COMPUTED_VALUE"""),"2609/FTSCY/WS95271 6850000.00 FAJAR ANDREANZAH")</f>
        <v>2609/FTSCY/WS95271 6850000.00 FAJAR ANDREANZAH</v>
      </c>
      <c r="D164" s="2">
        <f>IFERROR(__xludf.DUMMYFUNCTION("""COMPUTED_VALUE"""),6850000.0)</f>
        <v>6850000</v>
      </c>
      <c r="E164" s="2"/>
      <c r="F164" s="2" t="str">
        <f>IFERROR(__xludf.DUMMYFUNCTION("""COMPUTED_VALUE"""),"DB")</f>
        <v>DB</v>
      </c>
      <c r="G164" s="2">
        <f>IFERROR(__xludf.DUMMYFUNCTION("""COMPUTED_VALUE"""),5536899.589999914)</f>
        <v>5536899.59</v>
      </c>
      <c r="H164" s="2"/>
      <c r="I164" s="2" t="str">
        <f>IFERROR(__xludf.DUMMYFUNCTION("""COMPUTED_VALUE"""),"PRIBADI")</f>
        <v>PRIBADI</v>
      </c>
    </row>
    <row r="165">
      <c r="A165" s="10">
        <f>IFERROR(__xludf.DUMMYFUNCTION("""COMPUTED_VALUE"""),46291.0)</f>
        <v>46291</v>
      </c>
      <c r="B165" s="2" t="str">
        <f>IFERROR(__xludf.DUMMYFUNCTION("""COMPUTED_VALUE"""),"TRSF E-BANKING DB")</f>
        <v>TRSF E-BANKING DB</v>
      </c>
      <c r="C165" s="2" t="str">
        <f>IFERROR(__xludf.DUMMYFUNCTION("""COMPUTED_VALUE"""),"2609/FTSCY/WS95271 2200000.00 BELA PRAMUDITA")</f>
        <v>2609/FTSCY/WS95271 2200000.00 BELA PRAMUDITA</v>
      </c>
      <c r="D165" s="2">
        <f>IFERROR(__xludf.DUMMYFUNCTION("""COMPUTED_VALUE"""),2200000.0)</f>
        <v>2200000</v>
      </c>
      <c r="E165" s="2"/>
      <c r="F165" s="2" t="str">
        <f>IFERROR(__xludf.DUMMYFUNCTION("""COMPUTED_VALUE"""),"DB")</f>
        <v>DB</v>
      </c>
      <c r="G165" s="2">
        <f>IFERROR(__xludf.DUMMYFUNCTION("""COMPUTED_VALUE"""),3336899.589999914)</f>
        <v>3336899.59</v>
      </c>
      <c r="H165" s="2"/>
      <c r="I165" s="2" t="str">
        <f>IFERROR(__xludf.DUMMYFUNCTION("""COMPUTED_VALUE"""),"PRIBADI")</f>
        <v>PRIBADI</v>
      </c>
    </row>
    <row r="166">
      <c r="A166" s="10">
        <f>IFERROR(__xludf.DUMMYFUNCTION("""COMPUTED_VALUE"""),46291.0)</f>
        <v>46291</v>
      </c>
      <c r="B166" s="2" t="str">
        <f>IFERROR(__xludf.DUMMYFUNCTION("""COMPUTED_VALUE"""),"TRSF E-BANKING DB")</f>
        <v>TRSF E-BANKING DB</v>
      </c>
      <c r="C166" s="2" t="str">
        <f>IFERROR(__xludf.DUMMYFUNCTION("""COMPUTED_VALUE"""),"2609/FTSCY/WS95271 2866360.00 SUNARTO")</f>
        <v>2609/FTSCY/WS95271 2866360.00 SUNARTO</v>
      </c>
      <c r="D166" s="2">
        <f>IFERROR(__xludf.DUMMYFUNCTION("""COMPUTED_VALUE"""),2866360.0)</f>
        <v>2866360</v>
      </c>
      <c r="E166" s="2"/>
      <c r="F166" s="2" t="str">
        <f>IFERROR(__xludf.DUMMYFUNCTION("""COMPUTED_VALUE"""),"DB")</f>
        <v>DB</v>
      </c>
      <c r="G166" s="2">
        <f>IFERROR(__xludf.DUMMYFUNCTION("""COMPUTED_VALUE"""),470539.58999991417)</f>
        <v>470539.59</v>
      </c>
      <c r="H166" s="2">
        <f>IFERROR(__xludf.DUMMYFUNCTION("""COMPUTED_VALUE"""),470539.59)</f>
        <v>470539.59</v>
      </c>
      <c r="I166" s="2" t="str">
        <f>IFERROR(__xludf.DUMMYFUNCTION("""COMPUTED_VALUE"""),"PRIBADI")</f>
        <v>PRIBADI</v>
      </c>
    </row>
    <row r="167">
      <c r="A167" s="10">
        <f>IFERROR(__xludf.DUMMYFUNCTION("""COMPUTED_VALUE"""),46292.0)</f>
        <v>46292</v>
      </c>
      <c r="B167" s="2" t="str">
        <f>IFERROR(__xludf.DUMMYFUNCTION("""COMPUTED_VALUE"""),"TRSF E-BANKING DB")</f>
        <v>TRSF E-BANKING DB</v>
      </c>
      <c r="C167" s="2" t="str">
        <f>IFERROR(__xludf.DUMMYFUNCTION("""COMPUTED_VALUE"""),"2709/FTSCY/WS95271 52010960.00 Thu Sep 24 2026 14:00:00 GMT+0700 (Western Indonesia Time) TABASSAM AL HATTAK")</f>
        <v>2709/FTSCY/WS95271 52010960.00 Thu Sep 24 2026 14:00:00 GMT+0700 (Western Indonesia Time) TABASSAM AL HATTAK</v>
      </c>
      <c r="D167" s="2">
        <f>IFERROR(__xludf.DUMMYFUNCTION("""COMPUTED_VALUE"""),5.201096E7)</f>
        <v>52010960</v>
      </c>
      <c r="E167" s="2"/>
      <c r="F167" s="2" t="str">
        <f>IFERROR(__xludf.DUMMYFUNCTION("""COMPUTED_VALUE"""),"DB")</f>
        <v>DB</v>
      </c>
      <c r="G167" s="2">
        <f>IFERROR(__xludf.DUMMYFUNCTION("""COMPUTED_VALUE"""),3.387051795899999E8)</f>
        <v>338705179.6</v>
      </c>
      <c r="H167" s="2">
        <f>IFERROR(__xludf.DUMMYFUNCTION("""COMPUTED_VALUE"""),3.3870517959E8)</f>
        <v>338705179.6</v>
      </c>
      <c r="I167" s="2" t="str">
        <f>IFERROR(__xludf.DUMMYFUNCTION("""COMPUTED_VALUE"""),"PRIBADI")</f>
        <v>PRIBADI</v>
      </c>
    </row>
    <row r="168">
      <c r="A168" s="10">
        <f>IFERROR(__xludf.DUMMYFUNCTION("""COMPUTED_VALUE"""),46292.0)</f>
        <v>46292</v>
      </c>
      <c r="B168" s="2" t="str">
        <f>IFERROR(__xludf.DUMMYFUNCTION("""COMPUTED_VALUE"""),"TRSF E-BANKING DB")</f>
        <v>TRSF E-BANKING DB</v>
      </c>
      <c r="C168" s="2" t="str">
        <f>IFERROR(__xludf.DUMMYFUNCTION("""COMPUTED_VALUE"""),"2709/FTSCY/WS95271 15605000.00 pelunasan TUMBUH OPTIMAL PRI")</f>
        <v>2709/FTSCY/WS95271 15605000.00 pelunasan TUMBUH OPTIMAL PRI</v>
      </c>
      <c r="D168" s="2">
        <f>IFERROR(__xludf.DUMMYFUNCTION("""COMPUTED_VALUE"""),1.5605E7)</f>
        <v>15605000</v>
      </c>
      <c r="E168" s="2"/>
      <c r="F168" s="2" t="str">
        <f>IFERROR(__xludf.DUMMYFUNCTION("""COMPUTED_VALUE"""),"DB")</f>
        <v>DB</v>
      </c>
      <c r="G168" s="2">
        <f>IFERROR(__xludf.DUMMYFUNCTION("""COMPUTED_VALUE"""),3.231001795899999E8)</f>
        <v>323100179.6</v>
      </c>
      <c r="H168" s="2"/>
      <c r="I168" s="2" t="str">
        <f>IFERROR(__xludf.DUMMYFUNCTION("""COMPUTED_VALUE"""),"PRIBADI")</f>
        <v>PRIBADI</v>
      </c>
    </row>
    <row r="169">
      <c r="A169" s="10">
        <f>IFERROR(__xludf.DUMMYFUNCTION("""COMPUTED_VALUE"""),46292.0)</f>
        <v>46292</v>
      </c>
      <c r="B169" s="2" t="str">
        <f>IFERROR(__xludf.DUMMYFUNCTION("""COMPUTED_VALUE"""),"TRSF E-BANKING DB")</f>
        <v>TRSF E-BANKING DB</v>
      </c>
      <c r="C169" s="2" t="str">
        <f>IFERROR(__xludf.DUMMYFUNCTION("""COMPUTED_VALUE"""),"2709/FTSCY/WS95271 79512600.00 Thu Sep 24 2026 14:00:00 GMT+0700 (Western Indonesia Time) ANDALAN YASA MITRA")</f>
        <v>2709/FTSCY/WS95271 79512600.00 Thu Sep 24 2026 14:00:00 GMT+0700 (Western Indonesia Time) ANDALAN YASA MITRA</v>
      </c>
      <c r="D169" s="2">
        <f>IFERROR(__xludf.DUMMYFUNCTION("""COMPUTED_VALUE"""),7.95126E7)</f>
        <v>79512600</v>
      </c>
      <c r="E169" s="2"/>
      <c r="F169" s="2" t="str">
        <f>IFERROR(__xludf.DUMMYFUNCTION("""COMPUTED_VALUE"""),"DB")</f>
        <v>DB</v>
      </c>
      <c r="G169" s="2">
        <f>IFERROR(__xludf.DUMMYFUNCTION("""COMPUTED_VALUE"""),2.435875795899999E8)</f>
        <v>243587579.6</v>
      </c>
      <c r="H169" s="2"/>
      <c r="I169" s="2" t="str">
        <f>IFERROR(__xludf.DUMMYFUNCTION("""COMPUTED_VALUE"""),"PRIBADI")</f>
        <v>PRIBADI</v>
      </c>
    </row>
    <row r="170">
      <c r="A170" s="10">
        <f>IFERROR(__xludf.DUMMYFUNCTION("""COMPUTED_VALUE"""),46292.0)</f>
        <v>46292</v>
      </c>
      <c r="B170" s="2" t="str">
        <f>IFERROR(__xludf.DUMMYFUNCTION("""COMPUTED_VALUE"""),"TRSF E-BANKING DB")</f>
        <v>TRSF E-BANKING DB</v>
      </c>
      <c r="C170" s="2" t="str">
        <f>IFERROR(__xludf.DUMMYFUNCTION("""COMPUTED_VALUE"""),"2709/FTSCY/WS95271 128836500.00 Thu Sep 24 2026 14:00:00 GMT+0700 (Western Indonesia Time) ANDALAN YASA MITRA")</f>
        <v>2709/FTSCY/WS95271 128836500.00 Thu Sep 24 2026 14:00:00 GMT+0700 (Western Indonesia Time) ANDALAN YASA MITRA</v>
      </c>
      <c r="D170" s="2">
        <f>IFERROR(__xludf.DUMMYFUNCTION("""COMPUTED_VALUE"""),1.288365E8)</f>
        <v>128836500</v>
      </c>
      <c r="E170" s="2"/>
      <c r="F170" s="2" t="str">
        <f>IFERROR(__xludf.DUMMYFUNCTION("""COMPUTED_VALUE"""),"DB")</f>
        <v>DB</v>
      </c>
      <c r="G170" s="2">
        <f>IFERROR(__xludf.DUMMYFUNCTION("""COMPUTED_VALUE"""),1.1475107958999991E8)</f>
        <v>114751079.6</v>
      </c>
      <c r="H170" s="2"/>
      <c r="I170" s="2" t="str">
        <f>IFERROR(__xludf.DUMMYFUNCTION("""COMPUTED_VALUE"""),"PRIBADI")</f>
        <v>PRIBADI</v>
      </c>
    </row>
    <row r="171">
      <c r="A171" s="10">
        <f>IFERROR(__xludf.DUMMYFUNCTION("""COMPUTED_VALUE"""),46292.0)</f>
        <v>46292</v>
      </c>
      <c r="B171" s="2" t="str">
        <f>IFERROR(__xludf.DUMMYFUNCTION("""COMPUTED_VALUE"""),"TRSF E-BANKING DB")</f>
        <v>TRSF E-BANKING DB</v>
      </c>
      <c r="C171" s="2" t="str">
        <f>IFERROR(__xludf.DUMMYFUNCTION("""COMPUTED_VALUE"""),"2709/FTSCY/WS95271 18501750.00 BINTANG TAMA SANTO")</f>
        <v>2709/FTSCY/WS95271 18501750.00 BINTANG TAMA SANTO</v>
      </c>
      <c r="D171" s="2">
        <f>IFERROR(__xludf.DUMMYFUNCTION("""COMPUTED_VALUE"""),1.850175E7)</f>
        <v>18501750</v>
      </c>
      <c r="E171" s="2"/>
      <c r="F171" s="2" t="str">
        <f>IFERROR(__xludf.DUMMYFUNCTION("""COMPUTED_VALUE"""),"DB")</f>
        <v>DB</v>
      </c>
      <c r="G171" s="2">
        <f>IFERROR(__xludf.DUMMYFUNCTION("""COMPUTED_VALUE"""),9.624932958999991E7)</f>
        <v>96249329.59</v>
      </c>
      <c r="H171" s="2"/>
      <c r="I171" s="2" t="str">
        <f>IFERROR(__xludf.DUMMYFUNCTION("""COMPUTED_VALUE"""),"PRIBADI")</f>
        <v>PRIBADI</v>
      </c>
    </row>
    <row r="172">
      <c r="A172" s="10">
        <f>IFERROR(__xludf.DUMMYFUNCTION("""COMPUTED_VALUE"""),46292.0)</f>
        <v>46292</v>
      </c>
      <c r="B172" s="2" t="str">
        <f>IFERROR(__xludf.DUMMYFUNCTION("""COMPUTED_VALUE"""),"TRSF E-BANKING DB")</f>
        <v>TRSF E-BANKING DB</v>
      </c>
      <c r="C172" s="2" t="str">
        <f>IFERROR(__xludf.DUMMYFUNCTION("""COMPUTED_VALUE"""),"2709/FTSCY/WS95031 90000000.00 Thu Sep 24 2026 14:00:00 GMT+0700 (Western Indonesia Time) BINTANG TAMA SANTO")</f>
        <v>2709/FTSCY/WS95031 90000000.00 Thu Sep 24 2026 14:00:00 GMT+0700 (Western Indonesia Time) BINTANG TAMA SANTO</v>
      </c>
      <c r="D172" s="2">
        <f>IFERROR(__xludf.DUMMYFUNCTION("""COMPUTED_VALUE"""),9.0E7)</f>
        <v>90000000</v>
      </c>
      <c r="E172" s="2"/>
      <c r="F172" s="2" t="str">
        <f>IFERROR(__xludf.DUMMYFUNCTION("""COMPUTED_VALUE"""),"DB")</f>
        <v>DB</v>
      </c>
      <c r="G172" s="2">
        <f>IFERROR(__xludf.DUMMYFUNCTION("""COMPUTED_VALUE"""),6249329.589999914)</f>
        <v>6249329.59</v>
      </c>
      <c r="H172" s="2"/>
      <c r="I172" s="2" t="str">
        <f>IFERROR(__xludf.DUMMYFUNCTION("""COMPUTED_VALUE"""),"PRIBADI")</f>
        <v>PRIBADI</v>
      </c>
    </row>
    <row r="173">
      <c r="A173" s="10">
        <f>IFERROR(__xludf.DUMMYFUNCTION("""COMPUTED_VALUE"""),46292.0)</f>
        <v>46292</v>
      </c>
      <c r="B173" s="2" t="str">
        <f>IFERROR(__xludf.DUMMYFUNCTION("""COMPUTED_VALUE"""),"TRSF E-BANKING DB")</f>
        <v>TRSF E-BANKING DB</v>
      </c>
      <c r="C173" s="2" t="str">
        <f>IFERROR(__xludf.DUMMYFUNCTION("""COMPUTED_VALUE"""),"2709/FTSCY/WS95031 1162800.00 NURHAYATI")</f>
        <v>2709/FTSCY/WS95031 1162800.00 NURHAYATI</v>
      </c>
      <c r="D173" s="2">
        <f>IFERROR(__xludf.DUMMYFUNCTION("""COMPUTED_VALUE"""),1162800.0)</f>
        <v>1162800</v>
      </c>
      <c r="E173" s="2"/>
      <c r="F173" s="2" t="str">
        <f>IFERROR(__xludf.DUMMYFUNCTION("""COMPUTED_VALUE"""),"DB")</f>
        <v>DB</v>
      </c>
      <c r="G173" s="2">
        <f>IFERROR(__xludf.DUMMYFUNCTION("""COMPUTED_VALUE"""),5086529.589999914)</f>
        <v>5086529.59</v>
      </c>
      <c r="H173" s="2"/>
      <c r="I173" s="2" t="str">
        <f>IFERROR(__xludf.DUMMYFUNCTION("""COMPUTED_VALUE"""),"PRIBADI")</f>
        <v>PRIBADI</v>
      </c>
    </row>
    <row r="174">
      <c r="A174" s="10">
        <f>IFERROR(__xludf.DUMMYFUNCTION("""COMPUTED_VALUE"""),46292.0)</f>
        <v>46292</v>
      </c>
      <c r="B174" s="2" t="str">
        <f>IFERROR(__xludf.DUMMYFUNCTION("""COMPUTED_VALUE"""),"TARIKAN ATM 27/09")</f>
        <v>TARIKAN ATM 27/09</v>
      </c>
      <c r="C174" s="2" t="str">
        <f>IFERROR(__xludf.DUMMYFUNCTION("""COMPUTED_VALUE"""),"TARIKAN ATM 27/09")</f>
        <v>TARIKAN ATM 27/09</v>
      </c>
      <c r="D174" s="2">
        <f>IFERROR(__xludf.DUMMYFUNCTION("""COMPUTED_VALUE"""),2500000.0)</f>
        <v>2500000</v>
      </c>
      <c r="E174" s="2"/>
      <c r="F174" s="2"/>
      <c r="G174" s="2">
        <f>IFERROR(__xludf.DUMMYFUNCTION("""COMPUTED_VALUE"""),1.394143295899999E8)</f>
        <v>139414329.6</v>
      </c>
      <c r="H174" s="2"/>
      <c r="I174" s="2" t="str">
        <f>IFERROR(__xludf.DUMMYFUNCTION("""COMPUTED_VALUE"""),"PRIBADI")</f>
        <v>PRIBADI</v>
      </c>
    </row>
    <row r="175">
      <c r="A175" s="10">
        <f>IFERROR(__xludf.DUMMYFUNCTION("""COMPUTED_VALUE"""),46292.0)</f>
        <v>46292</v>
      </c>
      <c r="B175" s="2" t="str">
        <f>IFERROR(__xludf.DUMMYFUNCTION("""COMPUTED_VALUE"""),"TARIKAN ATM 27/09")</f>
        <v>TARIKAN ATM 27/09</v>
      </c>
      <c r="C175" s="2" t="str">
        <f>IFERROR(__xludf.DUMMYFUNCTION("""COMPUTED_VALUE"""),"TARIKAN ATM 27/09")</f>
        <v>TARIKAN ATM 27/09</v>
      </c>
      <c r="D175" s="2">
        <f>IFERROR(__xludf.DUMMYFUNCTION("""COMPUTED_VALUE"""),2500000.0)</f>
        <v>2500000</v>
      </c>
      <c r="E175" s="2"/>
      <c r="F175" s="2"/>
      <c r="G175" s="2">
        <f>IFERROR(__xludf.DUMMYFUNCTION("""COMPUTED_VALUE"""),1.369143295899999E8)</f>
        <v>136914329.6</v>
      </c>
      <c r="H175" s="2"/>
      <c r="I175" s="2" t="str">
        <f>IFERROR(__xludf.DUMMYFUNCTION("""COMPUTED_VALUE"""),"PRIBADI")</f>
        <v>PRIBADI</v>
      </c>
    </row>
    <row r="176">
      <c r="A176" s="10">
        <f>IFERROR(__xludf.DUMMYFUNCTION("""COMPUTED_VALUE"""),46292.0)</f>
        <v>46292</v>
      </c>
      <c r="B176" s="2" t="str">
        <f>IFERROR(__xludf.DUMMYFUNCTION("""COMPUTED_VALUE"""),"TRSF E-BANKING DB")</f>
        <v>TRSF E-BANKING DB</v>
      </c>
      <c r="C176" s="2" t="str">
        <f>IFERROR(__xludf.DUMMYFUNCTION("""COMPUTED_VALUE"""),"2709/FTSCY/WS95271 1500000.00 MUHAMMAD HAIRUL MA")</f>
        <v>2709/FTSCY/WS95271 1500000.00 MUHAMMAD HAIRUL MA</v>
      </c>
      <c r="D176" s="2">
        <f>IFERROR(__xludf.DUMMYFUNCTION("""COMPUTED_VALUE"""),1500000.0)</f>
        <v>1500000</v>
      </c>
      <c r="E176" s="2"/>
      <c r="F176" s="2" t="str">
        <f>IFERROR(__xludf.DUMMYFUNCTION("""COMPUTED_VALUE"""),"DB")</f>
        <v>DB</v>
      </c>
      <c r="G176" s="2">
        <f>IFERROR(__xludf.DUMMYFUNCTION("""COMPUTED_VALUE"""),1.354143295899999E8)</f>
        <v>135414329.6</v>
      </c>
      <c r="H176" s="2"/>
      <c r="I176" s="2" t="str">
        <f>IFERROR(__xludf.DUMMYFUNCTION("""COMPUTED_VALUE"""),"PRIBADI")</f>
        <v>PRIBADI</v>
      </c>
    </row>
    <row r="177">
      <c r="A177" s="10">
        <f>IFERROR(__xludf.DUMMYFUNCTION("""COMPUTED_VALUE"""),46292.0)</f>
        <v>46292</v>
      </c>
      <c r="B177" s="2" t="str">
        <f>IFERROR(__xludf.DUMMYFUNCTION("""COMPUTED_VALUE"""),"TARIKAN ATM 27/09")</f>
        <v>TARIKAN ATM 27/09</v>
      </c>
      <c r="C177" s="2" t="str">
        <f>IFERROR(__xludf.DUMMYFUNCTION("""COMPUTED_VALUE"""),"TARIKAN ATM 27/09")</f>
        <v>TARIKAN ATM 27/09</v>
      </c>
      <c r="D177" s="2">
        <f>IFERROR(__xludf.DUMMYFUNCTION("""COMPUTED_VALUE"""),2500000.0)</f>
        <v>2500000</v>
      </c>
      <c r="E177" s="2"/>
      <c r="F177" s="2"/>
      <c r="G177" s="2">
        <f>IFERROR(__xludf.DUMMYFUNCTION("""COMPUTED_VALUE"""),1.3291432958999991E8)</f>
        <v>132914329.6</v>
      </c>
      <c r="H177" s="2"/>
      <c r="I177" s="2" t="str">
        <f>IFERROR(__xludf.DUMMYFUNCTION("""COMPUTED_VALUE"""),"PRIBADI")</f>
        <v>PRIBADI</v>
      </c>
    </row>
    <row r="178">
      <c r="A178" s="10">
        <f>IFERROR(__xludf.DUMMYFUNCTION("""COMPUTED_VALUE"""),46292.0)</f>
        <v>46292</v>
      </c>
      <c r="B178" s="2" t="str">
        <f>IFERROR(__xludf.DUMMYFUNCTION("""COMPUTED_VALUE"""),"TARIKAN ATM 27/09")</f>
        <v>TARIKAN ATM 27/09</v>
      </c>
      <c r="C178" s="2" t="str">
        <f>IFERROR(__xludf.DUMMYFUNCTION("""COMPUTED_VALUE"""),"TARIKAN ATM 27/09")</f>
        <v>TARIKAN ATM 27/09</v>
      </c>
      <c r="D178" s="2">
        <f>IFERROR(__xludf.DUMMYFUNCTION("""COMPUTED_VALUE"""),2500000.0)</f>
        <v>2500000</v>
      </c>
      <c r="E178" s="2"/>
      <c r="F178" s="2"/>
      <c r="G178" s="2">
        <f>IFERROR(__xludf.DUMMYFUNCTION("""COMPUTED_VALUE"""),1.3041432958999991E8)</f>
        <v>130414329.6</v>
      </c>
      <c r="H178" s="2"/>
      <c r="I178" s="2" t="str">
        <f>IFERROR(__xludf.DUMMYFUNCTION("""COMPUTED_VALUE"""),"PRIBADI")</f>
        <v>PRIBADI</v>
      </c>
    </row>
    <row r="179">
      <c r="A179" s="10">
        <f>IFERROR(__xludf.DUMMYFUNCTION("""COMPUTED_VALUE"""),46292.0)</f>
        <v>46292</v>
      </c>
      <c r="B179" s="2" t="str">
        <f>IFERROR(__xludf.DUMMYFUNCTION("""COMPUTED_VALUE"""),"TRSF E-BANKING DB")</f>
        <v>TRSF E-BANKING DB</v>
      </c>
      <c r="C179" s="2" t="str">
        <f>IFERROR(__xludf.DUMMYFUNCTION("""COMPUTED_VALUE"""),"2709/FTSCY/WS95011 118067900.00 Fri Sep 25 2026 14:00:00 GMT+0700 (Western Indonesia Time) BINTANG TAMA SANTO")</f>
        <v>2709/FTSCY/WS95011 118067900.00 Fri Sep 25 2026 14:00:00 GMT+0700 (Western Indonesia Time) BINTANG TAMA SANTO</v>
      </c>
      <c r="D179" s="2">
        <f>IFERROR(__xludf.DUMMYFUNCTION("""COMPUTED_VALUE"""),1.180679E8)</f>
        <v>118067900</v>
      </c>
      <c r="E179" s="2"/>
      <c r="F179" s="2" t="str">
        <f>IFERROR(__xludf.DUMMYFUNCTION("""COMPUTED_VALUE"""),"DB")</f>
        <v>DB</v>
      </c>
      <c r="G179" s="2">
        <f>IFERROR(__xludf.DUMMYFUNCTION("""COMPUTED_VALUE"""),1.2346429589999914E7)</f>
        <v>12346429.59</v>
      </c>
      <c r="H179" s="2"/>
      <c r="I179" s="2" t="str">
        <f>IFERROR(__xludf.DUMMYFUNCTION("""COMPUTED_VALUE"""),"PRIBADI")</f>
        <v>PRIBADI</v>
      </c>
    </row>
    <row r="180">
      <c r="A180" s="10">
        <f>IFERROR(__xludf.DUMMYFUNCTION("""COMPUTED_VALUE"""),46292.0)</f>
        <v>46292</v>
      </c>
      <c r="B180" s="2" t="str">
        <f>IFERROR(__xludf.DUMMYFUNCTION("""COMPUTED_VALUE"""),"TRSF E-BANKING DB")</f>
        <v>TRSF E-BANKING DB</v>
      </c>
      <c r="C180" s="2" t="str">
        <f>IFERROR(__xludf.DUMMYFUNCTION("""COMPUTED_VALUE"""),"2709/FTSCY/WS95011 74486000.00 Thu Sep 24 2026 14:00:00 GMT+0700 (Western Indonesia Time) BROILER MAKMUR TAN")</f>
        <v>2709/FTSCY/WS95011 74486000.00 Thu Sep 24 2026 14:00:00 GMT+0700 (Western Indonesia Time) BROILER MAKMUR TAN</v>
      </c>
      <c r="D180" s="2">
        <f>IFERROR(__xludf.DUMMYFUNCTION("""COMPUTED_VALUE"""),7.4486E7)</f>
        <v>74486000</v>
      </c>
      <c r="E180" s="2"/>
      <c r="F180" s="2" t="str">
        <f>IFERROR(__xludf.DUMMYFUNCTION("""COMPUTED_VALUE"""),"DB")</f>
        <v>DB</v>
      </c>
      <c r="G180" s="2">
        <f>IFERROR(__xludf.DUMMYFUNCTION("""COMPUTED_VALUE"""),1.591076795899999E8)</f>
        <v>159107679.6</v>
      </c>
      <c r="H180" s="2"/>
      <c r="I180" s="2" t="str">
        <f>IFERROR(__xludf.DUMMYFUNCTION("""COMPUTED_VALUE"""),"PRIBADI")</f>
        <v>PRIBADI</v>
      </c>
    </row>
    <row r="181">
      <c r="A181" s="10">
        <f>IFERROR(__xludf.DUMMYFUNCTION("""COMPUTED_VALUE"""),46292.0)</f>
        <v>46292</v>
      </c>
      <c r="B181" s="2" t="str">
        <f>IFERROR(__xludf.DUMMYFUNCTION("""COMPUTED_VALUE"""),"TRSF E-BANKING DB")</f>
        <v>TRSF E-BANKING DB</v>
      </c>
      <c r="C181" s="2" t="str">
        <f>IFERROR(__xludf.DUMMYFUNCTION("""COMPUTED_VALUE"""),"2709/FTSCY/WS95011 60300000.00 Thu Sep 24 2026 14:00:00 GMT+0700 (Western Indonesia Time) ANUGERAH KARTIKA A")</f>
        <v>2709/FTSCY/WS95011 60300000.00 Thu Sep 24 2026 14:00:00 GMT+0700 (Western Indonesia Time) ANUGERAH KARTIKA A</v>
      </c>
      <c r="D181" s="2">
        <f>IFERROR(__xludf.DUMMYFUNCTION("""COMPUTED_VALUE"""),6.03E7)</f>
        <v>60300000</v>
      </c>
      <c r="E181" s="2"/>
      <c r="F181" s="2" t="str">
        <f>IFERROR(__xludf.DUMMYFUNCTION("""COMPUTED_VALUE"""),"DB")</f>
        <v>DB</v>
      </c>
      <c r="G181" s="2">
        <f>IFERROR(__xludf.DUMMYFUNCTION("""COMPUTED_VALUE"""),9.880767958999991E7)</f>
        <v>98807679.59</v>
      </c>
      <c r="H181" s="2"/>
      <c r="I181" s="2" t="str">
        <f>IFERROR(__xludf.DUMMYFUNCTION("""COMPUTED_VALUE"""),"PRIBADI")</f>
        <v>PRIBADI</v>
      </c>
    </row>
    <row r="182">
      <c r="A182" s="10">
        <f>IFERROR(__xludf.DUMMYFUNCTION("""COMPUTED_VALUE"""),46292.0)</f>
        <v>46292</v>
      </c>
      <c r="B182" s="2" t="str">
        <f>IFERROR(__xludf.DUMMYFUNCTION("""COMPUTED_VALUE"""),"TRSF E-BANKING DB")</f>
        <v>TRSF E-BANKING DB</v>
      </c>
      <c r="C182" s="2" t="str">
        <f>IFERROR(__xludf.DUMMYFUNCTION("""COMPUTED_VALUE"""),"2709/FTSCY/WS95011 57902500.00 Thu Sep 24 2026 14:00:00 GMT+0700 (Western Indonesia Time) ANUGERAH KARTIKA A")</f>
        <v>2709/FTSCY/WS95011 57902500.00 Thu Sep 24 2026 14:00:00 GMT+0700 (Western Indonesia Time) ANUGERAH KARTIKA A</v>
      </c>
      <c r="D182" s="2">
        <f>IFERROR(__xludf.DUMMYFUNCTION("""COMPUTED_VALUE"""),5.79025E7)</f>
        <v>57902500</v>
      </c>
      <c r="E182" s="2"/>
      <c r="F182" s="2" t="str">
        <f>IFERROR(__xludf.DUMMYFUNCTION("""COMPUTED_VALUE"""),"DB")</f>
        <v>DB</v>
      </c>
      <c r="G182" s="2">
        <f>IFERROR(__xludf.DUMMYFUNCTION("""COMPUTED_VALUE"""),4.0905179589999914E7)</f>
        <v>40905179.59</v>
      </c>
      <c r="H182" s="2"/>
      <c r="I182" s="2" t="str">
        <f>IFERROR(__xludf.DUMMYFUNCTION("""COMPUTED_VALUE"""),"PRIBADI")</f>
        <v>PRIBADI</v>
      </c>
    </row>
    <row r="183">
      <c r="A183" s="10">
        <f>IFERROR(__xludf.DUMMYFUNCTION("""COMPUTED_VALUE"""),46292.0)</f>
        <v>46292</v>
      </c>
      <c r="B183" s="2" t="str">
        <f>IFERROR(__xludf.DUMMYFUNCTION("""COMPUTED_VALUE"""),"TRSF E-BANKING DB")</f>
        <v>TRSF E-BANKING DB</v>
      </c>
      <c r="C183" s="2" t="str">
        <f>IFERROR(__xludf.DUMMYFUNCTION("""COMPUTED_VALUE"""),"2709/FTSCY/WS95011 10000000.00 Pelunasan BINTANG TAMA SANTO")</f>
        <v>2709/FTSCY/WS95011 10000000.00 Pelunasan BINTANG TAMA SANTO</v>
      </c>
      <c r="D183" s="2">
        <f>IFERROR(__xludf.DUMMYFUNCTION("""COMPUTED_VALUE"""),1.0E7)</f>
        <v>10000000</v>
      </c>
      <c r="E183" s="2"/>
      <c r="F183" s="2" t="str">
        <f>IFERROR(__xludf.DUMMYFUNCTION("""COMPUTED_VALUE"""),"DB")</f>
        <v>DB</v>
      </c>
      <c r="G183" s="2">
        <f>IFERROR(__xludf.DUMMYFUNCTION("""COMPUTED_VALUE"""),3.0905179589999914E7)</f>
        <v>30905179.59</v>
      </c>
      <c r="H183" s="2"/>
      <c r="I183" s="2" t="str">
        <f>IFERROR(__xludf.DUMMYFUNCTION("""COMPUTED_VALUE"""),"PRIBADI")</f>
        <v>PRIBADI</v>
      </c>
    </row>
    <row r="184">
      <c r="A184" s="10">
        <f>IFERROR(__xludf.DUMMYFUNCTION("""COMPUTED_VALUE"""),46292.0)</f>
        <v>46292</v>
      </c>
      <c r="B184" s="2" t="str">
        <f>IFERROR(__xludf.DUMMYFUNCTION("""COMPUTED_VALUE"""),"TRSF E-BANKING DB")</f>
        <v>TRSF E-BANKING DB</v>
      </c>
      <c r="C184" s="2" t="str">
        <f>IFERROR(__xludf.DUMMYFUNCTION("""COMPUTED_VALUE"""),"2709/FTSCY/WS95011 10360700.00 Pelunasan 25/09 PITIK DIGITAL INDO")</f>
        <v>2709/FTSCY/WS95011 10360700.00 Pelunasan 25/09 PITIK DIGITAL INDO</v>
      </c>
      <c r="D184" s="2">
        <f>IFERROR(__xludf.DUMMYFUNCTION("""COMPUTED_VALUE"""),1.03607E7)</f>
        <v>10360700</v>
      </c>
      <c r="E184" s="2"/>
      <c r="F184" s="2" t="str">
        <f>IFERROR(__xludf.DUMMYFUNCTION("""COMPUTED_VALUE"""),"DB")</f>
        <v>DB</v>
      </c>
      <c r="G184" s="2">
        <f>IFERROR(__xludf.DUMMYFUNCTION("""COMPUTED_VALUE"""),2.0544479589999914E7)</f>
        <v>20544479.59</v>
      </c>
      <c r="H184" s="2"/>
      <c r="I184" s="2" t="str">
        <f>IFERROR(__xludf.DUMMYFUNCTION("""COMPUTED_VALUE"""),"PRIBADI")</f>
        <v>PRIBADI</v>
      </c>
    </row>
    <row r="185">
      <c r="A185" s="10">
        <f>IFERROR(__xludf.DUMMYFUNCTION("""COMPUTED_VALUE"""),46292.0)</f>
        <v>46292</v>
      </c>
      <c r="B185" s="2" t="str">
        <f>IFERROR(__xludf.DUMMYFUNCTION("""COMPUTED_VALUE"""),"TRSF E-BANKING DB")</f>
        <v>TRSF E-BANKING DB</v>
      </c>
      <c r="C185" s="2" t="str">
        <f>IFERROR(__xludf.DUMMYFUNCTION("""COMPUTED_VALUE"""),"2709/FTFVA/WS95031 55574/GUNA MITRA S t.galek - 200177")</f>
        <v>2709/FTFVA/WS95031 55574/GUNA MITRA S t.galek - 200177</v>
      </c>
      <c r="D185" s="2">
        <f>IFERROR(__xludf.DUMMYFUNCTION("""COMPUTED_VALUE"""),6.831E7)</f>
        <v>68310000</v>
      </c>
      <c r="E185" s="2"/>
      <c r="F185" s="2" t="str">
        <f>IFERROR(__xludf.DUMMYFUNCTION("""COMPUTED_VALUE"""),"DB")</f>
        <v>DB</v>
      </c>
      <c r="G185" s="2">
        <f>IFERROR(__xludf.DUMMYFUNCTION("""COMPUTED_VALUE"""),5.2234479589999914E7)</f>
        <v>52234479.59</v>
      </c>
      <c r="H185" s="2"/>
      <c r="I185" s="2" t="str">
        <f>IFERROR(__xludf.DUMMYFUNCTION("""COMPUTED_VALUE"""),"PRIBADI")</f>
        <v>PRIBADI</v>
      </c>
    </row>
    <row r="186">
      <c r="A186" s="10">
        <f>IFERROR(__xludf.DUMMYFUNCTION("""COMPUTED_VALUE"""),46293.0)</f>
        <v>46293</v>
      </c>
      <c r="B186" s="2" t="str">
        <f>IFERROR(__xludf.DUMMYFUNCTION("""COMPUTED_VALUE"""),"TRSF E-BANKING DB TANGGAL :27/09")</f>
        <v>TRSF E-BANKING DB TANGGAL :27/09</v>
      </c>
      <c r="C186" s="2" t="str">
        <f>IFERROR(__xludf.DUMMYFUNCTION("""COMPUTED_VALUE"""),"2709/FTSCY/WS95011 Pelunasan RUKUN MITRA BERSAM")</f>
        <v>2709/FTSCY/WS95011 Pelunasan RUKUN MITRA BERSAM</v>
      </c>
      <c r="D186" s="2">
        <f>IFERROR(__xludf.DUMMYFUNCTION("""COMPUTED_VALUE"""),7.3E7)</f>
        <v>73000000</v>
      </c>
      <c r="E186" s="2"/>
      <c r="F186" s="2" t="str">
        <f>IFERROR(__xludf.DUMMYFUNCTION("""COMPUTED_VALUE"""),"DB")</f>
        <v>DB</v>
      </c>
      <c r="G186" s="2">
        <f>IFERROR(__xludf.DUMMYFUNCTION("""COMPUTED_VALUE"""),4.027996795899999E8)</f>
        <v>402799679.6</v>
      </c>
      <c r="H186" s="2"/>
      <c r="I186" s="2" t="str">
        <f>IFERROR(__xludf.DUMMYFUNCTION("""COMPUTED_VALUE"""),"PRIBADI")</f>
        <v>PRIBADI</v>
      </c>
    </row>
    <row r="187">
      <c r="A187" s="10">
        <f>IFERROR(__xludf.DUMMYFUNCTION("""COMPUTED_VALUE"""),46293.0)</f>
        <v>46293</v>
      </c>
      <c r="B187" s="2" t="str">
        <f>IFERROR(__xludf.DUMMYFUNCTION("""COMPUTED_VALUE"""),"TRSF E-BANKING DB TANGGAL :27/09")</f>
        <v>TRSF E-BANKING DB TANGGAL :27/09</v>
      </c>
      <c r="C187" s="2" t="str">
        <f>IFERROR(__xludf.DUMMYFUNCTION("""COMPUTED_VALUE"""),"2709/FTSCY/WS95011 Fri Sep 25 2026 14:00:00 GMT+0700 (Western Indonesia Time) LAJU SATWA WISESA")</f>
        <v>2709/FTSCY/WS95011 Fri Sep 25 2026 14:00:00 GMT+0700 (Western Indonesia Time) LAJU SATWA WISESA</v>
      </c>
      <c r="D187" s="2">
        <f>IFERROR(__xludf.DUMMYFUNCTION("""COMPUTED_VALUE"""),5.6E7)</f>
        <v>56000000</v>
      </c>
      <c r="E187" s="2"/>
      <c r="F187" s="2" t="str">
        <f>IFERROR(__xludf.DUMMYFUNCTION("""COMPUTED_VALUE"""),"DB")</f>
        <v>DB</v>
      </c>
      <c r="G187" s="2">
        <f>IFERROR(__xludf.DUMMYFUNCTION("""COMPUTED_VALUE"""),3.467996795899999E8)</f>
        <v>346799679.6</v>
      </c>
      <c r="H187" s="2">
        <f>IFERROR(__xludf.DUMMYFUNCTION("""COMPUTED_VALUE"""),3.4679967959E8)</f>
        <v>346799679.6</v>
      </c>
      <c r="I187" s="2" t="str">
        <f>IFERROR(__xludf.DUMMYFUNCTION("""COMPUTED_VALUE"""),"PRIBADI")</f>
        <v>PRIBADI</v>
      </c>
    </row>
    <row r="188">
      <c r="A188" s="10">
        <f>IFERROR(__xludf.DUMMYFUNCTION("""COMPUTED_VALUE"""),46293.0)</f>
        <v>46293</v>
      </c>
      <c r="B188" s="2" t="str">
        <f>IFERROR(__xludf.DUMMYFUNCTION("""COMPUTED_VALUE"""),"TRSF E-BANKING DB TANGGAL :27/09")</f>
        <v>TRSF E-BANKING DB TANGGAL :27/09</v>
      </c>
      <c r="C188" s="2" t="str">
        <f>IFERROR(__xludf.DUMMYFUNCTION("""COMPUTED_VALUE"""),"2709/FTSCY/WS95011 Sat Sep 26 2026 14:00:00 GMT+0700 (Western Indonesia Time) TABASSAM AL HATTAK")</f>
        <v>2709/FTSCY/WS95011 Sat Sep 26 2026 14:00:00 GMT+0700 (Western Indonesia Time) TABASSAM AL HATTAK</v>
      </c>
      <c r="D188" s="2">
        <f>IFERROR(__xludf.DUMMYFUNCTION("""COMPUTED_VALUE"""),3.963455E7)</f>
        <v>39634550</v>
      </c>
      <c r="E188" s="2"/>
      <c r="F188" s="2" t="str">
        <f>IFERROR(__xludf.DUMMYFUNCTION("""COMPUTED_VALUE"""),"DB")</f>
        <v>DB</v>
      </c>
      <c r="G188" s="2">
        <f>IFERROR(__xludf.DUMMYFUNCTION("""COMPUTED_VALUE"""),3.071651295899999E8)</f>
        <v>307165129.6</v>
      </c>
      <c r="H188" s="2">
        <f>IFERROR(__xludf.DUMMYFUNCTION("""COMPUTED_VALUE"""),3.0716512959E8)</f>
        <v>307165129.6</v>
      </c>
      <c r="I188" s="2" t="str">
        <f>IFERROR(__xludf.DUMMYFUNCTION("""COMPUTED_VALUE"""),"PRIBADI")</f>
        <v>PRIBADI</v>
      </c>
    </row>
    <row r="189">
      <c r="A189" s="10">
        <f>IFERROR(__xludf.DUMMYFUNCTION("""COMPUTED_VALUE"""),46293.0)</f>
        <v>46293</v>
      </c>
      <c r="B189" s="2" t="str">
        <f>IFERROR(__xludf.DUMMYFUNCTION("""COMPUTED_VALUE"""),"TRSF E-BANKING DB")</f>
        <v>TRSF E-BANKING DB</v>
      </c>
      <c r="C189" s="2" t="str">
        <f>IFERROR(__xludf.DUMMYFUNCTION("""COMPUTED_VALUE"""),"2809/FTSCY/WS95271 184892070.00 Fri Sep 25 2026 14:00:00 GMT+0700 (Western Indonesia Time) ANDALAN YASA MITRA")</f>
        <v>2809/FTSCY/WS95271 184892070.00 Fri Sep 25 2026 14:00:00 GMT+0700 (Western Indonesia Time) ANDALAN YASA MITRA</v>
      </c>
      <c r="D189" s="2">
        <f>IFERROR(__xludf.DUMMYFUNCTION("""COMPUTED_VALUE"""),1.8489207E8)</f>
        <v>184892070</v>
      </c>
      <c r="E189" s="2"/>
      <c r="F189" s="2" t="str">
        <f>IFERROR(__xludf.DUMMYFUNCTION("""COMPUTED_VALUE"""),"DB")</f>
        <v>DB</v>
      </c>
      <c r="G189" s="2">
        <f>IFERROR(__xludf.DUMMYFUNCTION("""COMPUTED_VALUE"""),1.2227305958999991E8)</f>
        <v>122273059.6</v>
      </c>
      <c r="H189" s="2"/>
      <c r="I189" s="2" t="str">
        <f>IFERROR(__xludf.DUMMYFUNCTION("""COMPUTED_VALUE"""),"PRIBADI")</f>
        <v>PRIBADI</v>
      </c>
    </row>
    <row r="190">
      <c r="A190" s="10">
        <f>IFERROR(__xludf.DUMMYFUNCTION("""COMPUTED_VALUE"""),46293.0)</f>
        <v>46293</v>
      </c>
      <c r="B190" s="2" t="str">
        <f>IFERROR(__xludf.DUMMYFUNCTION("""COMPUTED_VALUE"""),"TRSF E-BANKING DB")</f>
        <v>TRSF E-BANKING DB</v>
      </c>
      <c r="C190" s="2" t="str">
        <f>IFERROR(__xludf.DUMMYFUNCTION("""COMPUTED_VALUE"""),"2809/FTSCY/WS95271 19000000.00 pelunasan TABASSAM AL HATTAK")</f>
        <v>2809/FTSCY/WS95271 19000000.00 pelunasan TABASSAM AL HATTAK</v>
      </c>
      <c r="D190" s="2">
        <f>IFERROR(__xludf.DUMMYFUNCTION("""COMPUTED_VALUE"""),1.9E7)</f>
        <v>19000000</v>
      </c>
      <c r="E190" s="2"/>
      <c r="F190" s="2" t="str">
        <f>IFERROR(__xludf.DUMMYFUNCTION("""COMPUTED_VALUE"""),"DB")</f>
        <v>DB</v>
      </c>
      <c r="G190" s="2">
        <f>IFERROR(__xludf.DUMMYFUNCTION("""COMPUTED_VALUE"""),1.0327305958999991E8)</f>
        <v>103273059.6</v>
      </c>
      <c r="H190" s="2"/>
      <c r="I190" s="2" t="str">
        <f>IFERROR(__xludf.DUMMYFUNCTION("""COMPUTED_VALUE"""),"PRIBADI")</f>
        <v>PRIBADI</v>
      </c>
    </row>
    <row r="191">
      <c r="A191" s="10">
        <f>IFERROR(__xludf.DUMMYFUNCTION("""COMPUTED_VALUE"""),46293.0)</f>
        <v>46293</v>
      </c>
      <c r="B191" s="2" t="str">
        <f>IFERROR(__xludf.DUMMYFUNCTION("""COMPUTED_VALUE"""),"TRSF E-BANKING DB")</f>
        <v>TRSF E-BANKING DB</v>
      </c>
      <c r="C191" s="2" t="str">
        <f>IFERROR(__xludf.DUMMYFUNCTION("""COMPUTED_VALUE"""),"2809/FTSCY/WS95271 24418000.00 lokal ANDALAN YASA MITRA")</f>
        <v>2809/FTSCY/WS95271 24418000.00 lokal ANDALAN YASA MITRA</v>
      </c>
      <c r="D191" s="2">
        <f>IFERROR(__xludf.DUMMYFUNCTION("""COMPUTED_VALUE"""),2.4418E7)</f>
        <v>24418000</v>
      </c>
      <c r="E191" s="2"/>
      <c r="F191" s="2" t="str">
        <f>IFERROR(__xludf.DUMMYFUNCTION("""COMPUTED_VALUE"""),"DB")</f>
        <v>DB</v>
      </c>
      <c r="G191" s="2">
        <f>IFERROR(__xludf.DUMMYFUNCTION("""COMPUTED_VALUE"""),7.885505958999991E7)</f>
        <v>78855059.59</v>
      </c>
      <c r="H191" s="2"/>
      <c r="I191" s="2" t="str">
        <f>IFERROR(__xludf.DUMMYFUNCTION("""COMPUTED_VALUE"""),"PRIBADI")</f>
        <v>PRIBADI</v>
      </c>
    </row>
    <row r="192">
      <c r="A192" s="10">
        <f>IFERROR(__xludf.DUMMYFUNCTION("""COMPUTED_VALUE"""),46293.0)</f>
        <v>46293</v>
      </c>
      <c r="B192" s="2" t="str">
        <f>IFERROR(__xludf.DUMMYFUNCTION("""COMPUTED_VALUE"""),"TRSF E-BANKING DB")</f>
        <v>TRSF E-BANKING DB</v>
      </c>
      <c r="C192" s="2" t="str">
        <f>IFERROR(__xludf.DUMMYFUNCTION("""COMPUTED_VALUE"""),"2809/FTSCY/WS95031 1800000.00 SUNARTO")</f>
        <v>2809/FTSCY/WS95031 1800000.00 SUNARTO</v>
      </c>
      <c r="D192" s="2">
        <f>IFERROR(__xludf.DUMMYFUNCTION("""COMPUTED_VALUE"""),1800000.0)</f>
        <v>1800000</v>
      </c>
      <c r="E192" s="2"/>
      <c r="F192" s="2" t="str">
        <f>IFERROR(__xludf.DUMMYFUNCTION("""COMPUTED_VALUE"""),"DB")</f>
        <v>DB</v>
      </c>
      <c r="G192" s="2">
        <f>IFERROR(__xludf.DUMMYFUNCTION("""COMPUTED_VALUE"""),7.705505958999991E7)</f>
        <v>77055059.59</v>
      </c>
      <c r="H192" s="2"/>
      <c r="I192" s="2" t="str">
        <f>IFERROR(__xludf.DUMMYFUNCTION("""COMPUTED_VALUE"""),"PRIBADI")</f>
        <v>PRIBADI</v>
      </c>
    </row>
    <row r="193">
      <c r="A193" s="10">
        <f>IFERROR(__xludf.DUMMYFUNCTION("""COMPUTED_VALUE"""),46293.0)</f>
        <v>46293</v>
      </c>
      <c r="B193" s="2" t="str">
        <f>IFERROR(__xludf.DUMMYFUNCTION("""COMPUTED_VALUE"""),"TRSF E-BANKING DB")</f>
        <v>TRSF E-BANKING DB</v>
      </c>
      <c r="C193" s="2" t="str">
        <f>IFERROR(__xludf.DUMMYFUNCTION("""COMPUTED_VALUE"""),"2809/FTSCY/WS95031 6000000.00 MUJIANTO")</f>
        <v>2809/FTSCY/WS95031 6000000.00 MUJIANTO</v>
      </c>
      <c r="D193" s="2">
        <f>IFERROR(__xludf.DUMMYFUNCTION("""COMPUTED_VALUE"""),6000000.0)</f>
        <v>6000000</v>
      </c>
      <c r="E193" s="2"/>
      <c r="F193" s="2" t="str">
        <f>IFERROR(__xludf.DUMMYFUNCTION("""COMPUTED_VALUE"""),"DB")</f>
        <v>DB</v>
      </c>
      <c r="G193" s="2">
        <f>IFERROR(__xludf.DUMMYFUNCTION("""COMPUTED_VALUE"""),7.105505958999991E7)</f>
        <v>71055059.59</v>
      </c>
      <c r="H193" s="2"/>
      <c r="I193" s="2" t="str">
        <f>IFERROR(__xludf.DUMMYFUNCTION("""COMPUTED_VALUE"""),"PRIBADI")</f>
        <v>PRIBADI</v>
      </c>
    </row>
    <row r="194">
      <c r="A194" s="10">
        <f>IFERROR(__xludf.DUMMYFUNCTION("""COMPUTED_VALUE"""),46293.0)</f>
        <v>46293</v>
      </c>
      <c r="B194" s="2" t="str">
        <f>IFERROR(__xludf.DUMMYFUNCTION("""COMPUTED_VALUE"""),"TRSF E-BANKING DB")</f>
        <v>TRSF E-BANKING DB</v>
      </c>
      <c r="C194" s="2" t="str">
        <f>IFERROR(__xludf.DUMMYFUNCTION("""COMPUTED_VALUE"""),"2809/FTSCY/WS95031 1500000.00 BELA PRAMUDITA")</f>
        <v>2809/FTSCY/WS95031 1500000.00 BELA PRAMUDITA</v>
      </c>
      <c r="D194" s="2">
        <f>IFERROR(__xludf.DUMMYFUNCTION("""COMPUTED_VALUE"""),1500000.0)</f>
        <v>1500000</v>
      </c>
      <c r="E194" s="2"/>
      <c r="F194" s="2" t="str">
        <f>IFERROR(__xludf.DUMMYFUNCTION("""COMPUTED_VALUE"""),"DB")</f>
        <v>DB</v>
      </c>
      <c r="G194" s="2">
        <f>IFERROR(__xludf.DUMMYFUNCTION("""COMPUTED_VALUE"""),6.955505958999991E7)</f>
        <v>69555059.59</v>
      </c>
      <c r="H194" s="2"/>
      <c r="I194" s="2" t="str">
        <f>IFERROR(__xludf.DUMMYFUNCTION("""COMPUTED_VALUE"""),"PRIBADI")</f>
        <v>PRIBADI</v>
      </c>
    </row>
    <row r="195">
      <c r="A195" s="10">
        <f>IFERROR(__xludf.DUMMYFUNCTION("""COMPUTED_VALUE"""),46293.0)</f>
        <v>46293</v>
      </c>
      <c r="B195" s="2" t="str">
        <f>IFERROR(__xludf.DUMMYFUNCTION("""COMPUTED_VALUE"""),"TRSF E-BANKING DB")</f>
        <v>TRSF E-BANKING DB</v>
      </c>
      <c r="C195" s="2" t="str">
        <f>IFERROR(__xludf.DUMMYFUNCTION("""COMPUTED_VALUE"""),"2809/FTSCY/WS95031 4409880.00 DWI HERMANSYAH")</f>
        <v>2809/FTSCY/WS95031 4409880.00 DWI HERMANSYAH</v>
      </c>
      <c r="D195" s="2">
        <f>IFERROR(__xludf.DUMMYFUNCTION("""COMPUTED_VALUE"""),4409880.0)</f>
        <v>4409880</v>
      </c>
      <c r="E195" s="2"/>
      <c r="F195" s="2" t="str">
        <f>IFERROR(__xludf.DUMMYFUNCTION("""COMPUTED_VALUE"""),"DB")</f>
        <v>DB</v>
      </c>
      <c r="G195" s="2">
        <f>IFERROR(__xludf.DUMMYFUNCTION("""COMPUTED_VALUE"""),6.5145179589999914E7)</f>
        <v>65145179.59</v>
      </c>
      <c r="H195" s="2"/>
      <c r="I195" s="2" t="str">
        <f>IFERROR(__xludf.DUMMYFUNCTION("""COMPUTED_VALUE"""),"PRIBADI")</f>
        <v>PRIBADI</v>
      </c>
    </row>
    <row r="196">
      <c r="A196" s="10">
        <f>IFERROR(__xludf.DUMMYFUNCTION("""COMPUTED_VALUE"""),46293.0)</f>
        <v>46293</v>
      </c>
      <c r="B196" s="2" t="str">
        <f>IFERROR(__xludf.DUMMYFUNCTION("""COMPUTED_VALUE"""),"TRSF E-BANKING DB")</f>
        <v>TRSF E-BANKING DB</v>
      </c>
      <c r="C196" s="2" t="str">
        <f>IFERROR(__xludf.DUMMYFUNCTION("""COMPUTED_VALUE"""),"2809/FTSCY/WS95031 5208200.00 lunas HERMAWAN")</f>
        <v>2809/FTSCY/WS95031 5208200.00 lunas HERMAWAN</v>
      </c>
      <c r="D196" s="2">
        <f>IFERROR(__xludf.DUMMYFUNCTION("""COMPUTED_VALUE"""),5208200.0)</f>
        <v>5208200</v>
      </c>
      <c r="E196" s="2"/>
      <c r="F196" s="2" t="str">
        <f>IFERROR(__xludf.DUMMYFUNCTION("""COMPUTED_VALUE"""),"DB")</f>
        <v>DB</v>
      </c>
      <c r="G196" s="2">
        <f>IFERROR(__xludf.DUMMYFUNCTION("""COMPUTED_VALUE"""),5.9936979589999914E7)</f>
        <v>59936979.59</v>
      </c>
      <c r="H196" s="2"/>
      <c r="I196" s="2" t="str">
        <f>IFERROR(__xludf.DUMMYFUNCTION("""COMPUTED_VALUE"""),"PRIBADI")</f>
        <v>PRIBADI</v>
      </c>
    </row>
    <row r="197">
      <c r="A197" s="10">
        <f>IFERROR(__xludf.DUMMYFUNCTION("""COMPUTED_VALUE"""),46293.0)</f>
        <v>46293</v>
      </c>
      <c r="B197" s="2" t="str">
        <f>IFERROR(__xludf.DUMMYFUNCTION("""COMPUTED_VALUE"""),"TRSF E-BANKING DB")</f>
        <v>TRSF E-BANKING DB</v>
      </c>
      <c r="C197" s="2" t="str">
        <f>IFERROR(__xludf.DUMMYFUNCTION("""COMPUTED_VALUE"""),"2809/FTSCY/WS95031 13592340.00 EKO SETIYAWAN")</f>
        <v>2809/FTSCY/WS95031 13592340.00 EKO SETIYAWAN</v>
      </c>
      <c r="D197" s="2">
        <f>IFERROR(__xludf.DUMMYFUNCTION("""COMPUTED_VALUE"""),1.359234E7)</f>
        <v>13592340</v>
      </c>
      <c r="E197" s="2"/>
      <c r="F197" s="2" t="str">
        <f>IFERROR(__xludf.DUMMYFUNCTION("""COMPUTED_VALUE"""),"DB")</f>
        <v>DB</v>
      </c>
      <c r="G197" s="2">
        <f>IFERROR(__xludf.DUMMYFUNCTION("""COMPUTED_VALUE"""),4.6344639589999914E7)</f>
        <v>46344639.59</v>
      </c>
      <c r="H197" s="2"/>
      <c r="I197" s="2" t="str">
        <f>IFERROR(__xludf.DUMMYFUNCTION("""COMPUTED_VALUE"""),"PRIBADI")</f>
        <v>PRIBADI</v>
      </c>
    </row>
    <row r="198">
      <c r="A198" s="10">
        <f>IFERROR(__xludf.DUMMYFUNCTION("""COMPUTED_VALUE"""),46293.0)</f>
        <v>46293</v>
      </c>
      <c r="B198" s="2" t="str">
        <f>IFERROR(__xludf.DUMMYFUNCTION("""COMPUTED_VALUE"""),"TRSF E-BANKING DB")</f>
        <v>TRSF E-BANKING DB</v>
      </c>
      <c r="C198" s="2" t="str">
        <f>IFERROR(__xludf.DUMMYFUNCTION("""COMPUTED_VALUE"""),"2809/FTSCY/WS95011 114784000.00 Fri Sep 25 2026 14:00:00 GMT+0700 (Western Indonesia Time) BROILER MAKMUR TAN")</f>
        <v>2809/FTSCY/WS95011 114784000.00 Fri Sep 25 2026 14:00:00 GMT+0700 (Western Indonesia Time) BROILER MAKMUR TAN</v>
      </c>
      <c r="D198" s="2">
        <f>IFERROR(__xludf.DUMMYFUNCTION("""COMPUTED_VALUE"""),1.14784E8)</f>
        <v>114784000</v>
      </c>
      <c r="E198" s="2"/>
      <c r="F198" s="2" t="str">
        <f>IFERROR(__xludf.DUMMYFUNCTION("""COMPUTED_VALUE"""),"DB")</f>
        <v>DB</v>
      </c>
      <c r="G198" s="2">
        <f>IFERROR(__xludf.DUMMYFUNCTION("""COMPUTED_VALUE"""),2.109692395899999E8)</f>
        <v>210969239.6</v>
      </c>
      <c r="H198" s="2"/>
      <c r="I198" s="2" t="str">
        <f>IFERROR(__xludf.DUMMYFUNCTION("""COMPUTED_VALUE"""),"PRIBADI")</f>
        <v>PRIBADI</v>
      </c>
    </row>
    <row r="199">
      <c r="A199" s="10">
        <f>IFERROR(__xludf.DUMMYFUNCTION("""COMPUTED_VALUE"""),46293.0)</f>
        <v>46293</v>
      </c>
      <c r="B199" s="2" t="str">
        <f>IFERROR(__xludf.DUMMYFUNCTION("""COMPUTED_VALUE"""),"TRSF E-BANKING DB")</f>
        <v>TRSF E-BANKING DB</v>
      </c>
      <c r="C199" s="2" t="str">
        <f>IFERROR(__xludf.DUMMYFUNCTION("""COMPUTED_VALUE"""),"2809/FTSCY/WS95011 72481200.00 Fri Sep 25 2026 14:00:00 GMT+0700 (Western Indonesia Time) SUPER UNGGAS JAYA")</f>
        <v>2809/FTSCY/WS95011 72481200.00 Fri Sep 25 2026 14:00:00 GMT+0700 (Western Indonesia Time) SUPER UNGGAS JAYA</v>
      </c>
      <c r="D199" s="2">
        <f>IFERROR(__xludf.DUMMYFUNCTION("""COMPUTED_VALUE"""),7.24812E7)</f>
        <v>72481200</v>
      </c>
      <c r="E199" s="2"/>
      <c r="F199" s="2" t="str">
        <f>IFERROR(__xludf.DUMMYFUNCTION("""COMPUTED_VALUE"""),"DB")</f>
        <v>DB</v>
      </c>
      <c r="G199" s="2">
        <f>IFERROR(__xludf.DUMMYFUNCTION("""COMPUTED_VALUE"""),1.384880395899999E8)</f>
        <v>138488039.6</v>
      </c>
      <c r="H199" s="2"/>
      <c r="I199" s="2" t="str">
        <f>IFERROR(__xludf.DUMMYFUNCTION("""COMPUTED_VALUE"""),"PRIBADI")</f>
        <v>PRIBADI</v>
      </c>
    </row>
    <row r="200">
      <c r="A200" s="10">
        <f>IFERROR(__xludf.DUMMYFUNCTION("""COMPUTED_VALUE"""),46293.0)</f>
        <v>46293</v>
      </c>
      <c r="B200" s="2" t="str">
        <f>IFERROR(__xludf.DUMMYFUNCTION("""COMPUTED_VALUE"""),"TRSF E-BANKING DB")</f>
        <v>TRSF E-BANKING DB</v>
      </c>
      <c r="C200" s="2" t="str">
        <f>IFERROR(__xludf.DUMMYFUNCTION("""COMPUTED_VALUE"""),"2809/FTSCY/WS95011 72481200.00 Sat Sep 26 2026 14:00:00 GMT+0700 (Western Indonesia Time) BINTANG TAMA SANTO")</f>
        <v>2809/FTSCY/WS95011 72481200.00 Sat Sep 26 2026 14:00:00 GMT+0700 (Western Indonesia Time) BINTANG TAMA SANTO</v>
      </c>
      <c r="D200" s="2">
        <f>IFERROR(__xludf.DUMMYFUNCTION("""COMPUTED_VALUE"""),7.24812E7)</f>
        <v>72481200</v>
      </c>
      <c r="E200" s="2"/>
      <c r="F200" s="2" t="str">
        <f>IFERROR(__xludf.DUMMYFUNCTION("""COMPUTED_VALUE"""),"DB")</f>
        <v>DB</v>
      </c>
      <c r="G200" s="2">
        <f>IFERROR(__xludf.DUMMYFUNCTION("""COMPUTED_VALUE"""),6.6006839589999914E7)</f>
        <v>66006839.59</v>
      </c>
      <c r="H200" s="2">
        <f>IFERROR(__xludf.DUMMYFUNCTION("""COMPUTED_VALUE"""),6.600683959E7)</f>
        <v>66006839.59</v>
      </c>
      <c r="I200" s="2" t="str">
        <f>IFERROR(__xludf.DUMMYFUNCTION("""COMPUTED_VALUE"""),"PRIBADI")</f>
        <v>PRIBADI</v>
      </c>
    </row>
    <row r="201">
      <c r="A201" s="10">
        <f>IFERROR(__xludf.DUMMYFUNCTION("""COMPUTED_VALUE"""),46293.0)</f>
        <v>46293</v>
      </c>
      <c r="B201" s="2" t="str">
        <f>IFERROR(__xludf.DUMMYFUNCTION("""COMPUTED_VALUE"""),"TRSF E-BANKING DB")</f>
        <v>TRSF E-BANKING DB</v>
      </c>
      <c r="C201" s="2" t="str">
        <f>IFERROR(__xludf.DUMMYFUNCTION("""COMPUTED_VALUE"""),"2809/FTSCY/WS95011 55599000.00 Krg 96 jt BINTANG TAMA SANTO")</f>
        <v>2809/FTSCY/WS95011 55599000.00 Krg 96 jt BINTANG TAMA SANTO</v>
      </c>
      <c r="D201" s="2">
        <f>IFERROR(__xludf.DUMMYFUNCTION("""COMPUTED_VALUE"""),5.5599E7)</f>
        <v>55599000</v>
      </c>
      <c r="E201" s="2"/>
      <c r="F201" s="2" t="str">
        <f>IFERROR(__xludf.DUMMYFUNCTION("""COMPUTED_VALUE"""),"DB")</f>
        <v>DB</v>
      </c>
      <c r="G201" s="2">
        <f>IFERROR(__xludf.DUMMYFUNCTION("""COMPUTED_VALUE"""),1.0407839589999914E7)</f>
        <v>10407839.59</v>
      </c>
      <c r="H201" s="2">
        <f>IFERROR(__xludf.DUMMYFUNCTION("""COMPUTED_VALUE"""),1.040783959E7)</f>
        <v>10407839.59</v>
      </c>
      <c r="I201" s="2" t="str">
        <f>IFERROR(__xludf.DUMMYFUNCTION("""COMPUTED_VALUE"""),"PRIBADI")</f>
        <v>PRIBADI</v>
      </c>
    </row>
    <row r="202">
      <c r="A202" s="10">
        <f>IFERROR(__xludf.DUMMYFUNCTION("""COMPUTED_VALUE"""),46293.0)</f>
        <v>46293</v>
      </c>
      <c r="B202" s="2" t="str">
        <f>IFERROR(__xludf.DUMMYFUNCTION("""COMPUTED_VALUE"""),"TRSF E-BANKING DB")</f>
        <v>TRSF E-BANKING DB</v>
      </c>
      <c r="C202" s="2" t="str">
        <f>IFERROR(__xludf.DUMMYFUNCTION("""COMPUTED_VALUE"""),"2809/FTSCY/WS95031 1500000.00 NURUL AINI")</f>
        <v>2809/FTSCY/WS95031 1500000.00 NURUL AINI</v>
      </c>
      <c r="D202" s="2">
        <f>IFERROR(__xludf.DUMMYFUNCTION("""COMPUTED_VALUE"""),1500000.0)</f>
        <v>1500000</v>
      </c>
      <c r="E202" s="2"/>
      <c r="F202" s="2" t="str">
        <f>IFERROR(__xludf.DUMMYFUNCTION("""COMPUTED_VALUE"""),"DB")</f>
        <v>DB</v>
      </c>
      <c r="G202" s="2">
        <f>IFERROR(__xludf.DUMMYFUNCTION("""COMPUTED_VALUE"""),8907839.589999914)</f>
        <v>8907839.59</v>
      </c>
      <c r="H202" s="2"/>
      <c r="I202" s="2" t="str">
        <f>IFERROR(__xludf.DUMMYFUNCTION("""COMPUTED_VALUE"""),"PRIBADI")</f>
        <v>PRIBADI</v>
      </c>
    </row>
    <row r="203">
      <c r="A203" s="10">
        <f>IFERROR(__xludf.DUMMYFUNCTION("""COMPUTED_VALUE"""),46293.0)</f>
        <v>46293</v>
      </c>
      <c r="B203" s="2" t="str">
        <f>IFERROR(__xludf.DUMMYFUNCTION("""COMPUTED_VALUE"""),"TARIKAN ATM 28/09")</f>
        <v>TARIKAN ATM 28/09</v>
      </c>
      <c r="C203" s="2" t="str">
        <f>IFERROR(__xludf.DUMMYFUNCTION("""COMPUTED_VALUE"""),"TARIKAN ATM 28/09")</f>
        <v>TARIKAN ATM 28/09</v>
      </c>
      <c r="D203" s="2">
        <f>IFERROR(__xludf.DUMMYFUNCTION("""COMPUTED_VALUE"""),1000000.0)</f>
        <v>1000000</v>
      </c>
      <c r="E203" s="2"/>
      <c r="F203" s="2"/>
      <c r="G203" s="2">
        <f>IFERROR(__xludf.DUMMYFUNCTION("""COMPUTED_VALUE"""),7907839.589999914)</f>
        <v>7907839.59</v>
      </c>
      <c r="H203" s="2">
        <f>IFERROR(__xludf.DUMMYFUNCTION("""COMPUTED_VALUE"""),7907839.59)</f>
        <v>7907839.59</v>
      </c>
      <c r="I203" s="2" t="str">
        <f>IFERROR(__xludf.DUMMYFUNCTION("""COMPUTED_VALUE"""),"PRIBADI")</f>
        <v>PRIBADI</v>
      </c>
    </row>
    <row r="204">
      <c r="A204" s="10">
        <f>IFERROR(__xludf.DUMMYFUNCTION("""COMPUTED_VALUE"""),46294.0)</f>
        <v>46294</v>
      </c>
      <c r="B204" s="2" t="str">
        <f>IFERROR(__xludf.DUMMYFUNCTION("""COMPUTED_VALUE"""),"TRSF E-BANKING DB TANGGAL :28/09")</f>
        <v>TRSF E-BANKING DB TANGGAL :28/09</v>
      </c>
      <c r="C204" s="2" t="str">
        <f>IFERROR(__xludf.DUMMYFUNCTION("""COMPUTED_VALUE"""),"2809/FTSCY/WS95031 NURUL AINI")</f>
        <v>2809/FTSCY/WS95031 NURUL AINI</v>
      </c>
      <c r="D204" s="2">
        <f>IFERROR(__xludf.DUMMYFUNCTION("""COMPUTED_VALUE"""),5.5309E7)</f>
        <v>55309000</v>
      </c>
      <c r="E204" s="2"/>
      <c r="F204" s="2" t="str">
        <f>IFERROR(__xludf.DUMMYFUNCTION("""COMPUTED_VALUE"""),"DB")</f>
        <v>DB</v>
      </c>
      <c r="G204" s="2">
        <f>IFERROR(__xludf.DUMMYFUNCTION("""COMPUTED_VALUE"""),1.1398839589999914E7)</f>
        <v>11398839.59</v>
      </c>
      <c r="H204" s="2"/>
      <c r="I204" s="2" t="str">
        <f>IFERROR(__xludf.DUMMYFUNCTION("""COMPUTED_VALUE"""),"PRIBADI")</f>
        <v>PRIBADI</v>
      </c>
    </row>
    <row r="205">
      <c r="A205" s="10">
        <f>IFERROR(__xludf.DUMMYFUNCTION("""COMPUTED_VALUE"""),46294.0)</f>
        <v>46294</v>
      </c>
      <c r="B205" s="2" t="str">
        <f>IFERROR(__xludf.DUMMYFUNCTION("""COMPUTED_VALUE"""),"TRSF E-BANKING DB")</f>
        <v>TRSF E-BANKING DB</v>
      </c>
      <c r="C205" s="2" t="str">
        <f>IFERROR(__xludf.DUMMYFUNCTION("""COMPUTED_VALUE"""),"2909/FTSCY/WS95271 80573110.00 Sat Sep 26 2026 14:00:00 GMT+0700 (Western Indonesia Time) BINTANG TAMA SANTO")</f>
        <v>2909/FTSCY/WS95271 80573110.00 Sat Sep 26 2026 14:00:00 GMT+0700 (Western Indonesia Time) BINTANG TAMA SANTO</v>
      </c>
      <c r="D205" s="2">
        <f>IFERROR(__xludf.DUMMYFUNCTION("""COMPUTED_VALUE"""),8.057311E7)</f>
        <v>80573110</v>
      </c>
      <c r="E205" s="2"/>
      <c r="F205" s="2" t="str">
        <f>IFERROR(__xludf.DUMMYFUNCTION("""COMPUTED_VALUE"""),"DB")</f>
        <v>DB</v>
      </c>
      <c r="G205" s="2">
        <f>IFERROR(__xludf.DUMMYFUNCTION("""COMPUTED_VALUE"""),2.928120295899999E8)</f>
        <v>292812029.6</v>
      </c>
      <c r="H205" s="2"/>
      <c r="I205" s="2" t="str">
        <f>IFERROR(__xludf.DUMMYFUNCTION("""COMPUTED_VALUE"""),"PRIBADI")</f>
        <v>PRIBADI</v>
      </c>
    </row>
    <row r="206">
      <c r="A206" s="10">
        <f>IFERROR(__xludf.DUMMYFUNCTION("""COMPUTED_VALUE"""),46294.0)</f>
        <v>46294</v>
      </c>
      <c r="B206" s="2" t="str">
        <f>IFERROR(__xludf.DUMMYFUNCTION("""COMPUTED_VALUE"""),"TRSF E-BANKING DB")</f>
        <v>TRSF E-BANKING DB</v>
      </c>
      <c r="C206" s="2" t="str">
        <f>IFERROR(__xludf.DUMMYFUNCTION("""COMPUTED_VALUE"""),"2909/FTSCY/WS95271 67412000.00 Sat Sep 26 2026 14:00:00 GMT+0700 (Western Indonesia Time) BINTANG TAMA SANTO")</f>
        <v>2909/FTSCY/WS95271 67412000.00 Sat Sep 26 2026 14:00:00 GMT+0700 (Western Indonesia Time) BINTANG TAMA SANTO</v>
      </c>
      <c r="D206" s="2">
        <f>IFERROR(__xludf.DUMMYFUNCTION("""COMPUTED_VALUE"""),6.7412E7)</f>
        <v>67412000</v>
      </c>
      <c r="E206" s="2"/>
      <c r="F206" s="2" t="str">
        <f>IFERROR(__xludf.DUMMYFUNCTION("""COMPUTED_VALUE"""),"DB")</f>
        <v>DB</v>
      </c>
      <c r="G206" s="2">
        <f>IFERROR(__xludf.DUMMYFUNCTION("""COMPUTED_VALUE"""),2.254000295899999E8)</f>
        <v>225400029.6</v>
      </c>
      <c r="H206" s="2"/>
      <c r="I206" s="2" t="str">
        <f>IFERROR(__xludf.DUMMYFUNCTION("""COMPUTED_VALUE"""),"PRIBADI")</f>
        <v>PRIBADI</v>
      </c>
    </row>
    <row r="207">
      <c r="A207" s="10">
        <f>IFERROR(__xludf.DUMMYFUNCTION("""COMPUTED_VALUE"""),46294.0)</f>
        <v>46294</v>
      </c>
      <c r="B207" s="2" t="str">
        <f>IFERROR(__xludf.DUMMYFUNCTION("""COMPUTED_VALUE"""),"TRSF E-BANKING DB")</f>
        <v>TRSF E-BANKING DB</v>
      </c>
      <c r="C207" s="2" t="str">
        <f>IFERROR(__xludf.DUMMYFUNCTION("""COMPUTED_VALUE"""),"2909/FTSCY/WS95271 143300000.00 bayar honda brio r s L1236G lunas TEDDY WIJAYA PANGE")</f>
        <v>2909/FTSCY/WS95271 143300000.00 bayar honda brio r s L1236G lunas TEDDY WIJAYA PANGE</v>
      </c>
      <c r="D207" s="2">
        <f>IFERROR(__xludf.DUMMYFUNCTION("""COMPUTED_VALUE"""),1.433E8)</f>
        <v>143300000</v>
      </c>
      <c r="E207" s="2"/>
      <c r="F207" s="2" t="str">
        <f>IFERROR(__xludf.DUMMYFUNCTION("""COMPUTED_VALUE"""),"DB")</f>
        <v>DB</v>
      </c>
      <c r="G207" s="2">
        <f>IFERROR(__xludf.DUMMYFUNCTION("""COMPUTED_VALUE"""),4.590542995899999E8)</f>
        <v>459054299.6</v>
      </c>
      <c r="H207" s="2">
        <f>IFERROR(__xludf.DUMMYFUNCTION("""COMPUTED_VALUE"""),4.5905429959E8)</f>
        <v>459054299.6</v>
      </c>
      <c r="I207" s="2" t="str">
        <f>IFERROR(__xludf.DUMMYFUNCTION("""COMPUTED_VALUE"""),"PRIBADI")</f>
        <v>PRIBADI</v>
      </c>
    </row>
    <row r="208">
      <c r="A208" s="10">
        <f>IFERROR(__xludf.DUMMYFUNCTION("""COMPUTED_VALUE"""),46294.0)</f>
        <v>46294</v>
      </c>
      <c r="B208" s="2" t="str">
        <f>IFERROR(__xludf.DUMMYFUNCTION("""COMPUTED_VALUE"""),"TRSF E-BANKING DB")</f>
        <v>TRSF E-BANKING DB</v>
      </c>
      <c r="C208" s="2" t="str">
        <f>IFERROR(__xludf.DUMMYFUNCTION("""COMPUTED_VALUE"""),"2909/FTSCY/WS95271 500000.00 pelunasan TEDDY WIJAYA PANGE")</f>
        <v>2909/FTSCY/WS95271 500000.00 pelunasan TEDDY WIJAYA PANGE</v>
      </c>
      <c r="D208" s="2">
        <f>IFERROR(__xludf.DUMMYFUNCTION("""COMPUTED_VALUE"""),500000.0)</f>
        <v>500000</v>
      </c>
      <c r="E208" s="2"/>
      <c r="F208" s="2" t="str">
        <f>IFERROR(__xludf.DUMMYFUNCTION("""COMPUTED_VALUE"""),"DB")</f>
        <v>DB</v>
      </c>
      <c r="G208" s="2">
        <f>IFERROR(__xludf.DUMMYFUNCTION("""COMPUTED_VALUE"""),4.585542995899999E8)</f>
        <v>458554299.6</v>
      </c>
      <c r="H208" s="2"/>
      <c r="I208" s="2" t="str">
        <f>IFERROR(__xludf.DUMMYFUNCTION("""COMPUTED_VALUE"""),"PRIBADI")</f>
        <v>PRIBADI</v>
      </c>
    </row>
    <row r="209">
      <c r="A209" s="10">
        <f>IFERROR(__xludf.DUMMYFUNCTION("""COMPUTED_VALUE"""),46294.0)</f>
        <v>46294</v>
      </c>
      <c r="B209" s="2" t="str">
        <f>IFERROR(__xludf.DUMMYFUNCTION("""COMPUTED_VALUE"""),"TRSF E-BANKING DB")</f>
        <v>TRSF E-BANKING DB</v>
      </c>
      <c r="C209" s="2" t="str">
        <f>IFERROR(__xludf.DUMMYFUNCTION("""COMPUTED_VALUE"""),"2909/FTSCY/WS95031 1800000.00 BELA PRAMUDITA")</f>
        <v>2909/FTSCY/WS95031 1800000.00 BELA PRAMUDITA</v>
      </c>
      <c r="D209" s="2">
        <f>IFERROR(__xludf.DUMMYFUNCTION("""COMPUTED_VALUE"""),1800000.0)</f>
        <v>1800000</v>
      </c>
      <c r="E209" s="2"/>
      <c r="F209" s="2" t="str">
        <f>IFERROR(__xludf.DUMMYFUNCTION("""COMPUTED_VALUE"""),"DB")</f>
        <v>DB</v>
      </c>
      <c r="G209" s="2">
        <f>IFERROR(__xludf.DUMMYFUNCTION("""COMPUTED_VALUE"""),4.567542995899999E8)</f>
        <v>456754299.6</v>
      </c>
      <c r="H209" s="2"/>
      <c r="I209" s="2" t="str">
        <f>IFERROR(__xludf.DUMMYFUNCTION("""COMPUTED_VALUE"""),"PRIBADI")</f>
        <v>PRIBADI</v>
      </c>
    </row>
    <row r="210">
      <c r="A210" s="10">
        <f>IFERROR(__xludf.DUMMYFUNCTION("""COMPUTED_VALUE"""),46294.0)</f>
        <v>46294</v>
      </c>
      <c r="B210" s="2" t="str">
        <f>IFERROR(__xludf.DUMMYFUNCTION("""COMPUTED_VALUE"""),"TRSF E-BANKING DB")</f>
        <v>TRSF E-BANKING DB</v>
      </c>
      <c r="C210" s="2" t="str">
        <f>IFERROR(__xludf.DUMMYFUNCTION("""COMPUTED_VALUE"""),"2909/FTSCY/WS95031 11377200.00 EKO SETIYAWAN")</f>
        <v>2909/FTSCY/WS95031 11377200.00 EKO SETIYAWAN</v>
      </c>
      <c r="D210" s="2">
        <f>IFERROR(__xludf.DUMMYFUNCTION("""COMPUTED_VALUE"""),1.13772E7)</f>
        <v>11377200</v>
      </c>
      <c r="E210" s="2"/>
      <c r="F210" s="2" t="str">
        <f>IFERROR(__xludf.DUMMYFUNCTION("""COMPUTED_VALUE"""),"DB")</f>
        <v>DB</v>
      </c>
      <c r="G210" s="2">
        <f>IFERROR(__xludf.DUMMYFUNCTION("""COMPUTED_VALUE"""),4.453770995899999E8)</f>
        <v>445377099.6</v>
      </c>
      <c r="H210" s="2"/>
      <c r="I210" s="2" t="str">
        <f>IFERROR(__xludf.DUMMYFUNCTION("""COMPUTED_VALUE"""),"PRIBADI")</f>
        <v>PRIBADI</v>
      </c>
    </row>
    <row r="211">
      <c r="A211" s="10">
        <f>IFERROR(__xludf.DUMMYFUNCTION("""COMPUTED_VALUE"""),46294.0)</f>
        <v>46294</v>
      </c>
      <c r="B211" s="2" t="str">
        <f>IFERROR(__xludf.DUMMYFUNCTION("""COMPUTED_VALUE"""),"TRSF E-BANKING DB")</f>
        <v>TRSF E-BANKING DB</v>
      </c>
      <c r="C211" s="2" t="str">
        <f>IFERROR(__xludf.DUMMYFUNCTION("""COMPUTED_VALUE"""),"2909/FTSCY/WS95031 21000000.00 pelunasan jombang Sat Sep 26 2026 14:00:00 GMT+0700 (Western Indonesia Time) PITIK DIGITAL INDO")</f>
        <v>2909/FTSCY/WS95031 21000000.00 pelunasan jombang Sat Sep 26 2026 14:00:00 GMT+0700 (Western Indonesia Time) PITIK DIGITAL INDO</v>
      </c>
      <c r="D211" s="2">
        <f>IFERROR(__xludf.DUMMYFUNCTION("""COMPUTED_VALUE"""),2.1E7)</f>
        <v>21000000</v>
      </c>
      <c r="E211" s="2"/>
      <c r="F211" s="2" t="str">
        <f>IFERROR(__xludf.DUMMYFUNCTION("""COMPUTED_VALUE"""),"DB")</f>
        <v>DB</v>
      </c>
      <c r="G211" s="2">
        <f>IFERROR(__xludf.DUMMYFUNCTION("""COMPUTED_VALUE"""),7.354215095899999E8)</f>
        <v>735421509.6</v>
      </c>
      <c r="H211" s="2"/>
      <c r="I211" s="2" t="str">
        <f>IFERROR(__xludf.DUMMYFUNCTION("""COMPUTED_VALUE"""),"PRIBADI")</f>
        <v>PRIBADI</v>
      </c>
    </row>
    <row r="212">
      <c r="A212" s="10">
        <f>IFERROR(__xludf.DUMMYFUNCTION("""COMPUTED_VALUE"""),46294.0)</f>
        <v>46294</v>
      </c>
      <c r="B212" s="2" t="str">
        <f>IFERROR(__xludf.DUMMYFUNCTION("""COMPUTED_VALUE"""),"TRSF E-BANKING DB")</f>
        <v>TRSF E-BANKING DB</v>
      </c>
      <c r="C212" s="2" t="str">
        <f>IFERROR(__xludf.DUMMYFUNCTION("""COMPUTED_VALUE"""),"2909/FTSCY/WS95031 59858000.00 Sat Sep 26 2026 14:00:00 GMT+0700 (Western Indonesia Time) BROILER MAKMUR TAN")</f>
        <v>2909/FTSCY/WS95031 59858000.00 Sat Sep 26 2026 14:00:00 GMT+0700 (Western Indonesia Time) BROILER MAKMUR TAN</v>
      </c>
      <c r="D212" s="2">
        <f>IFERROR(__xludf.DUMMYFUNCTION("""COMPUTED_VALUE"""),5.9858E7)</f>
        <v>59858000</v>
      </c>
      <c r="E212" s="2"/>
      <c r="F212" s="2" t="str">
        <f>IFERROR(__xludf.DUMMYFUNCTION("""COMPUTED_VALUE"""),"DB")</f>
        <v>DB</v>
      </c>
      <c r="G212" s="2">
        <f>IFERROR(__xludf.DUMMYFUNCTION("""COMPUTED_VALUE"""),6.755635095899999E8)</f>
        <v>675563509.6</v>
      </c>
      <c r="H212" s="2"/>
      <c r="I212" s="2" t="str">
        <f>IFERROR(__xludf.DUMMYFUNCTION("""COMPUTED_VALUE"""),"PRIBADI")</f>
        <v>PRIBADI</v>
      </c>
    </row>
    <row r="213">
      <c r="A213" s="10">
        <f>IFERROR(__xludf.DUMMYFUNCTION("""COMPUTED_VALUE"""),46294.0)</f>
        <v>46294</v>
      </c>
      <c r="B213" s="2" t="str">
        <f>IFERROR(__xludf.DUMMYFUNCTION("""COMPUTED_VALUE"""),"TRSF E-BANKING DB")</f>
        <v>TRSF E-BANKING DB</v>
      </c>
      <c r="C213" s="2" t="str">
        <f>IFERROR(__xludf.DUMMYFUNCTION("""COMPUTED_VALUE"""),"2909/FTSCY/WS95011 53464860.00 26/09 lamongan TABASSAM AZ ZUFAR")</f>
        <v>2909/FTSCY/WS95011 53464860.00 26/09 lamongan TABASSAM AZ ZUFAR</v>
      </c>
      <c r="D213" s="2">
        <f>IFERROR(__xludf.DUMMYFUNCTION("""COMPUTED_VALUE"""),5.346486E7)</f>
        <v>53464860</v>
      </c>
      <c r="E213" s="2"/>
      <c r="F213" s="2" t="str">
        <f>IFERROR(__xludf.DUMMYFUNCTION("""COMPUTED_VALUE"""),"DB")</f>
        <v>DB</v>
      </c>
      <c r="G213" s="2">
        <f>IFERROR(__xludf.DUMMYFUNCTION("""COMPUTED_VALUE"""),6.220986495899999E8)</f>
        <v>622098649.6</v>
      </c>
      <c r="H213" s="2"/>
      <c r="I213" s="2" t="str">
        <f>IFERROR(__xludf.DUMMYFUNCTION("""COMPUTED_VALUE"""),"PRIBADI")</f>
        <v>PRIBADI</v>
      </c>
    </row>
    <row r="214">
      <c r="A214" s="10">
        <f>IFERROR(__xludf.DUMMYFUNCTION("""COMPUTED_VALUE"""),46294.0)</f>
        <v>46294</v>
      </c>
      <c r="B214" s="2" t="str">
        <f>IFERROR(__xludf.DUMMYFUNCTION("""COMPUTED_VALUE"""),"TRSF E-BANKING DB")</f>
        <v>TRSF E-BANKING DB</v>
      </c>
      <c r="C214" s="2" t="str">
        <f>IFERROR(__xludf.DUMMYFUNCTION("""COMPUTED_VALUE"""),"2909/FTSCY/WS95011 57876000.00 Sat Sep 26 2026 14:00:00 GMT+0700 (Western Indonesia Time) TABASSAM AL HATTAK")</f>
        <v>2909/FTSCY/WS95011 57876000.00 Sat Sep 26 2026 14:00:00 GMT+0700 (Western Indonesia Time) TABASSAM AL HATTAK</v>
      </c>
      <c r="D214" s="2">
        <f>IFERROR(__xludf.DUMMYFUNCTION("""COMPUTED_VALUE"""),5.7876E7)</f>
        <v>57876000</v>
      </c>
      <c r="E214" s="2"/>
      <c r="F214" s="2" t="str">
        <f>IFERROR(__xludf.DUMMYFUNCTION("""COMPUTED_VALUE"""),"DB")</f>
        <v>DB</v>
      </c>
      <c r="G214" s="2">
        <f>IFERROR(__xludf.DUMMYFUNCTION("""COMPUTED_VALUE"""),5.642226495899999E8)</f>
        <v>564222649.6</v>
      </c>
      <c r="H214" s="2"/>
      <c r="I214" s="2" t="str">
        <f>IFERROR(__xludf.DUMMYFUNCTION("""COMPUTED_VALUE"""),"PRIBADI")</f>
        <v>PRIBADI</v>
      </c>
    </row>
    <row r="215">
      <c r="A215" s="10">
        <f>IFERROR(__xludf.DUMMYFUNCTION("""COMPUTED_VALUE"""),46294.0)</f>
        <v>46294</v>
      </c>
      <c r="B215" s="2" t="str">
        <f>IFERROR(__xludf.DUMMYFUNCTION("""COMPUTED_VALUE"""),"TRSF E-BANKING DB")</f>
        <v>TRSF E-BANKING DB</v>
      </c>
      <c r="C215" s="2" t="str">
        <f>IFERROR(__xludf.DUMMYFUNCTION("""COMPUTED_VALUE"""),"2909/FTSCY/WS95011 388658340.00 Sat Sep 26 2026 14:00:00 GMT+0700 (Western Indonesia Time) ANDALAN YASA MITRA")</f>
        <v>2909/FTSCY/WS95011 388658340.00 Sat Sep 26 2026 14:00:00 GMT+0700 (Western Indonesia Time) ANDALAN YASA MITRA</v>
      </c>
      <c r="D215" s="2">
        <f>IFERROR(__xludf.DUMMYFUNCTION("""COMPUTED_VALUE"""),3.8865834E8)</f>
        <v>388658340</v>
      </c>
      <c r="E215" s="2"/>
      <c r="F215" s="2" t="str">
        <f>IFERROR(__xludf.DUMMYFUNCTION("""COMPUTED_VALUE"""),"DB")</f>
        <v>DB</v>
      </c>
      <c r="G215" s="2">
        <f>IFERROR(__xludf.DUMMYFUNCTION("""COMPUTED_VALUE"""),1.755643095899999E8)</f>
        <v>175564309.6</v>
      </c>
      <c r="H215" s="2">
        <f>IFERROR(__xludf.DUMMYFUNCTION("""COMPUTED_VALUE"""),1.7556430959E8)</f>
        <v>175564309.6</v>
      </c>
      <c r="I215" s="2" t="str">
        <f>IFERROR(__xludf.DUMMYFUNCTION("""COMPUTED_VALUE"""),"PRIBADI")</f>
        <v>PRIBADI</v>
      </c>
    </row>
    <row r="216">
      <c r="A216" s="10">
        <f>IFERROR(__xludf.DUMMYFUNCTION("""COMPUTED_VALUE"""),46295.0)</f>
        <v>46295</v>
      </c>
      <c r="B216" s="2" t="str">
        <f>IFERROR(__xludf.DUMMYFUNCTION("""COMPUTED_VALUE"""),"TRSF E-BANKING DB")</f>
        <v>TRSF E-BANKING DB</v>
      </c>
      <c r="C216" s="2" t="str">
        <f>IFERROR(__xludf.DUMMYFUNCTION("""COMPUTED_VALUE"""),"3009/FTSCY/WS95271 57000000.00 Sun Sep 27 2026 14:00:00 GMT+0700 (Western Indonesia Time) BINTANG TAMA SANTO")</f>
        <v>3009/FTSCY/WS95271 57000000.00 Sun Sep 27 2026 14:00:00 GMT+0700 (Western Indonesia Time) BINTANG TAMA SANTO</v>
      </c>
      <c r="D216" s="2">
        <f>IFERROR(__xludf.DUMMYFUNCTION("""COMPUTED_VALUE"""),5.7E7)</f>
        <v>57000000</v>
      </c>
      <c r="E216" s="2"/>
      <c r="F216" s="2" t="str">
        <f>IFERROR(__xludf.DUMMYFUNCTION("""COMPUTED_VALUE"""),"DB")</f>
        <v>DB</v>
      </c>
      <c r="G216" s="2">
        <f>IFERROR(__xludf.DUMMYFUNCTION("""COMPUTED_VALUE"""),1.685643095899999E8)</f>
        <v>168564309.6</v>
      </c>
      <c r="H216" s="2">
        <f>IFERROR(__xludf.DUMMYFUNCTION("""COMPUTED_VALUE"""),1.6856430959E8)</f>
        <v>168564309.6</v>
      </c>
      <c r="I216" s="2" t="str">
        <f>IFERROR(__xludf.DUMMYFUNCTION("""COMPUTED_VALUE"""),"PRIBADI")</f>
        <v>PRIBADI</v>
      </c>
    </row>
    <row r="217">
      <c r="A217" s="10">
        <f>IFERROR(__xludf.DUMMYFUNCTION("""COMPUTED_VALUE"""),46295.0)</f>
        <v>46295</v>
      </c>
      <c r="B217" s="2" t="str">
        <f>IFERROR(__xludf.DUMMYFUNCTION("""COMPUTED_VALUE"""),"TRSF E-BANKING DB")</f>
        <v>TRSF E-BANKING DB</v>
      </c>
      <c r="C217" s="2" t="str">
        <f>IFERROR(__xludf.DUMMYFUNCTION("""COMPUTED_VALUE"""),"3009/FTSCY/WS95271 69305000.00 pelunasan ANDALAN YASA MITRA")</f>
        <v>3009/FTSCY/WS95271 69305000.00 pelunasan ANDALAN YASA MITRA</v>
      </c>
      <c r="D217" s="2">
        <f>IFERROR(__xludf.DUMMYFUNCTION("""COMPUTED_VALUE"""),6.9305E7)</f>
        <v>69305000</v>
      </c>
      <c r="E217" s="2"/>
      <c r="F217" s="2" t="str">
        <f>IFERROR(__xludf.DUMMYFUNCTION("""COMPUTED_VALUE"""),"DB")</f>
        <v>DB</v>
      </c>
      <c r="G217" s="2">
        <f>IFERROR(__xludf.DUMMYFUNCTION("""COMPUTED_VALUE"""),9.925930958999991E7)</f>
        <v>99259309.59</v>
      </c>
      <c r="H217" s="2">
        <f>IFERROR(__xludf.DUMMYFUNCTION("""COMPUTED_VALUE"""),9.925930959E7)</f>
        <v>99259309.59</v>
      </c>
      <c r="I217" s="2" t="str">
        <f>IFERROR(__xludf.DUMMYFUNCTION("""COMPUTED_VALUE"""),"PRIBADI")</f>
        <v>PRIBADI</v>
      </c>
    </row>
    <row r="218">
      <c r="A218" s="10">
        <f>IFERROR(__xludf.DUMMYFUNCTION("""COMPUTED_VALUE"""),46295.0)</f>
        <v>46295</v>
      </c>
      <c r="B218" s="2" t="str">
        <f>IFERROR(__xludf.DUMMYFUNCTION("""COMPUTED_VALUE"""),"TRSF E-BANKING DB")</f>
        <v>TRSF E-BANKING DB</v>
      </c>
      <c r="C218" s="2" t="str">
        <f>IFERROR(__xludf.DUMMYFUNCTION("""COMPUTED_VALUE"""),"3009/FTSCY/WS95271 16495320.00 Sun Sep 27 2026 14:00:00 GMT+0700 (Western Indonesia Time) ANDALAN YASA MITRA")</f>
        <v>3009/FTSCY/WS95271 16495320.00 Sun Sep 27 2026 14:00:00 GMT+0700 (Western Indonesia Time) ANDALAN YASA MITRA</v>
      </c>
      <c r="D218" s="2">
        <f>IFERROR(__xludf.DUMMYFUNCTION("""COMPUTED_VALUE"""),1.649532E7)</f>
        <v>16495320</v>
      </c>
      <c r="E218" s="2"/>
      <c r="F218" s="2" t="str">
        <f>IFERROR(__xludf.DUMMYFUNCTION("""COMPUTED_VALUE"""),"DB")</f>
        <v>DB</v>
      </c>
      <c r="G218" s="2">
        <f>IFERROR(__xludf.DUMMYFUNCTION("""COMPUTED_VALUE"""),8.276398958999991E7)</f>
        <v>82763989.59</v>
      </c>
      <c r="H218" s="2"/>
      <c r="I218" s="2" t="str">
        <f>IFERROR(__xludf.DUMMYFUNCTION("""COMPUTED_VALUE"""),"PRIBADI")</f>
        <v>PRIBADI</v>
      </c>
    </row>
    <row r="219">
      <c r="A219" s="10">
        <f>IFERROR(__xludf.DUMMYFUNCTION("""COMPUTED_VALUE"""),46295.0)</f>
        <v>46295</v>
      </c>
      <c r="B219" s="2" t="str">
        <f>IFERROR(__xludf.DUMMYFUNCTION("""COMPUTED_VALUE"""),"TRSF E-BANKING DB")</f>
        <v>TRSF E-BANKING DB</v>
      </c>
      <c r="C219" s="2" t="str">
        <f>IFERROR(__xludf.DUMMYFUNCTION("""COMPUTED_VALUE"""),"3009/FTSCY/WS95271 5874720.00 FAJAR ANDREANZAH")</f>
        <v>3009/FTSCY/WS95271 5874720.00 FAJAR ANDREANZAH</v>
      </c>
      <c r="D219" s="2">
        <f>IFERROR(__xludf.DUMMYFUNCTION("""COMPUTED_VALUE"""),5874720.0)</f>
        <v>5874720</v>
      </c>
      <c r="E219" s="2"/>
      <c r="F219" s="2" t="str">
        <f>IFERROR(__xludf.DUMMYFUNCTION("""COMPUTED_VALUE"""),"DB")</f>
        <v>DB</v>
      </c>
      <c r="G219" s="2">
        <f>IFERROR(__xludf.DUMMYFUNCTION("""COMPUTED_VALUE"""),7.688926958999991E7)</f>
        <v>76889269.59</v>
      </c>
      <c r="H219" s="2"/>
      <c r="I219" s="2" t="str">
        <f>IFERROR(__xludf.DUMMYFUNCTION("""COMPUTED_VALUE"""),"PRIBADI")</f>
        <v>PRIBADI</v>
      </c>
    </row>
    <row r="220">
      <c r="A220" s="10">
        <f>IFERROR(__xludf.DUMMYFUNCTION("""COMPUTED_VALUE"""),46295.0)</f>
        <v>46295</v>
      </c>
      <c r="B220" s="2" t="str">
        <f>IFERROR(__xludf.DUMMYFUNCTION("""COMPUTED_VALUE"""),"TRSF E-BANKING DB")</f>
        <v>TRSF E-BANKING DB</v>
      </c>
      <c r="C220" s="2" t="str">
        <f>IFERROR(__xludf.DUMMYFUNCTION("""COMPUTED_VALUE"""),"3009/FTSCY/WS95271 30000000.00 PRIMA JAYA BERSATU")</f>
        <v>3009/FTSCY/WS95271 30000000.00 PRIMA JAYA BERSATU</v>
      </c>
      <c r="D220" s="2">
        <f>IFERROR(__xludf.DUMMYFUNCTION("""COMPUTED_VALUE"""),3.0E7)</f>
        <v>30000000</v>
      </c>
      <c r="E220" s="2"/>
      <c r="F220" s="2" t="str">
        <f>IFERROR(__xludf.DUMMYFUNCTION("""COMPUTED_VALUE"""),"DB")</f>
        <v>DB</v>
      </c>
      <c r="G220" s="2">
        <f>IFERROR(__xludf.DUMMYFUNCTION("""COMPUTED_VALUE"""),4.6889269589999914E7)</f>
        <v>46889269.59</v>
      </c>
      <c r="H220" s="2"/>
      <c r="I220" s="2" t="str">
        <f>IFERROR(__xludf.DUMMYFUNCTION("""COMPUTED_VALUE"""),"PRIBADI")</f>
        <v>PRIBADI</v>
      </c>
    </row>
    <row r="221">
      <c r="A221" s="10">
        <f>IFERROR(__xludf.DUMMYFUNCTION("""COMPUTED_VALUE"""),46295.0)</f>
        <v>46295</v>
      </c>
      <c r="B221" s="2" t="str">
        <f>IFERROR(__xludf.DUMMYFUNCTION("""COMPUTED_VALUE"""),"TRSF E-BANKING DB")</f>
        <v>TRSF E-BANKING DB</v>
      </c>
      <c r="C221" s="2" t="str">
        <f>IFERROR(__xludf.DUMMYFUNCTION("""COMPUTED_VALUE"""),"3009/FTSCY/WS95271 11308000.00 Tue Sep 29 2026 14:00:00 GMT+0700 (Western Indonesia Time) PRIMA JAYA BERSATU")</f>
        <v>3009/FTSCY/WS95271 11308000.00 Tue Sep 29 2026 14:00:00 GMT+0700 (Western Indonesia Time) PRIMA JAYA BERSATU</v>
      </c>
      <c r="D221" s="2">
        <f>IFERROR(__xludf.DUMMYFUNCTION("""COMPUTED_VALUE"""),1.1308E7)</f>
        <v>11308000</v>
      </c>
      <c r="E221" s="2"/>
      <c r="F221" s="2" t="str">
        <f>IFERROR(__xludf.DUMMYFUNCTION("""COMPUTED_VALUE"""),"DB")</f>
        <v>DB</v>
      </c>
      <c r="G221" s="2">
        <f>IFERROR(__xludf.DUMMYFUNCTION("""COMPUTED_VALUE"""),2.702625695899999E8)</f>
        <v>270262569.6</v>
      </c>
      <c r="H221" s="2"/>
      <c r="I221" s="2" t="str">
        <f>IFERROR(__xludf.DUMMYFUNCTION("""COMPUTED_VALUE"""),"PRIBADI")</f>
        <v>PRIBADI</v>
      </c>
    </row>
    <row r="222">
      <c r="A222" s="10">
        <f>IFERROR(__xludf.DUMMYFUNCTION("""COMPUTED_VALUE"""),46295.0)</f>
        <v>46295</v>
      </c>
      <c r="B222" s="2" t="str">
        <f>IFERROR(__xludf.DUMMYFUNCTION("""COMPUTED_VALUE"""),"BI-FAST DB")</f>
        <v>BI-FAST DB</v>
      </c>
      <c r="C222" s="2" t="str">
        <f>IFERROR(__xludf.DUMMYFUNCTION("""COMPUTED_VALUE"""),"BIF TRANSFER KE 9 NOUVAL HOLQI RISKU M-BCA")</f>
        <v>BIF TRANSFER KE 9 NOUVAL HOLQI RISKU M-BCA</v>
      </c>
      <c r="D222" s="2">
        <f>IFERROR(__xludf.DUMMYFUNCTION("""COMPUTED_VALUE"""),146000.0)</f>
        <v>146000</v>
      </c>
      <c r="E222" s="2"/>
      <c r="F222" s="2" t="str">
        <f>IFERROR(__xludf.DUMMYFUNCTION("""COMPUTED_VALUE"""),"DB")</f>
        <v>DB</v>
      </c>
      <c r="G222" s="2">
        <f>IFERROR(__xludf.DUMMYFUNCTION("""COMPUTED_VALUE"""),3.701165695899999E8)</f>
        <v>370116569.6</v>
      </c>
      <c r="H222" s="2"/>
      <c r="I222" s="2" t="str">
        <f>IFERROR(__xludf.DUMMYFUNCTION("""COMPUTED_VALUE"""),"PRIBADI")</f>
        <v>PRIBADI</v>
      </c>
    </row>
    <row r="223">
      <c r="A223" s="10">
        <f>IFERROR(__xludf.DUMMYFUNCTION("""COMPUTED_VALUE"""),46295.0)</f>
        <v>46295</v>
      </c>
      <c r="B223" s="2" t="str">
        <f>IFERROR(__xludf.DUMMYFUNCTION("""COMPUTED_VALUE"""),"BI-FAST DB")</f>
        <v>BI-FAST DB</v>
      </c>
      <c r="C223" s="2" t="str">
        <f>IFERROR(__xludf.DUMMYFUNCTION("""COMPUTED_VALUE"""),"BIF BIAYA TXN KE 9 NOUVAL HOLQI RISKU M-BCA")</f>
        <v>BIF BIAYA TXN KE 9 NOUVAL HOLQI RISKU M-BCA</v>
      </c>
      <c r="D223" s="2">
        <f>IFERROR(__xludf.DUMMYFUNCTION("""COMPUTED_VALUE"""),2500.0)</f>
        <v>2500</v>
      </c>
      <c r="E223" s="2"/>
      <c r="F223" s="2" t="str">
        <f>IFERROR(__xludf.DUMMYFUNCTION("""COMPUTED_VALUE"""),"DB")</f>
        <v>DB</v>
      </c>
      <c r="G223" s="2">
        <f>IFERROR(__xludf.DUMMYFUNCTION("""COMPUTED_VALUE"""),3.701140695899999E8)</f>
        <v>370114069.6</v>
      </c>
      <c r="H223" s="2"/>
      <c r="I223" s="2" t="str">
        <f>IFERROR(__xludf.DUMMYFUNCTION("""COMPUTED_VALUE"""),"PRIBADI")</f>
        <v>PRIBADI</v>
      </c>
    </row>
    <row r="224">
      <c r="A224" s="10">
        <f>IFERROR(__xludf.DUMMYFUNCTION("""COMPUTED_VALUE"""),46295.0)</f>
        <v>46295</v>
      </c>
      <c r="B224" s="2" t="str">
        <f>IFERROR(__xludf.DUMMYFUNCTION("""COMPUTED_VALUE"""),"TRSF E-BANKING DB")</f>
        <v>TRSF E-BANKING DB</v>
      </c>
      <c r="C224" s="2" t="str">
        <f>IFERROR(__xludf.DUMMYFUNCTION("""COMPUTED_VALUE"""),"3009/FTSCY/WS95031 1800000.00 BELA PRAMUDITA")</f>
        <v>3009/FTSCY/WS95031 1800000.00 BELA PRAMUDITA</v>
      </c>
      <c r="D224" s="2">
        <f>IFERROR(__xludf.DUMMYFUNCTION("""COMPUTED_VALUE"""),1800000.0)</f>
        <v>1800000</v>
      </c>
      <c r="E224" s="2"/>
      <c r="F224" s="2" t="str">
        <f>IFERROR(__xludf.DUMMYFUNCTION("""COMPUTED_VALUE"""),"DB")</f>
        <v>DB</v>
      </c>
      <c r="G224" s="2">
        <f>IFERROR(__xludf.DUMMYFUNCTION("""COMPUTED_VALUE"""),5.179463495899999E8)</f>
        <v>517946349.6</v>
      </c>
      <c r="H224" s="2"/>
      <c r="I224" s="2" t="str">
        <f>IFERROR(__xludf.DUMMYFUNCTION("""COMPUTED_VALUE"""),"PRIBADI")</f>
        <v>PRIBADI</v>
      </c>
    </row>
    <row r="225">
      <c r="A225" s="10">
        <f>IFERROR(__xludf.DUMMYFUNCTION("""COMPUTED_VALUE"""),46295.0)</f>
        <v>46295</v>
      </c>
      <c r="B225" s="2" t="str">
        <f>IFERROR(__xludf.DUMMYFUNCTION("""COMPUTED_VALUE"""),"TRSF E-BANKING DB")</f>
        <v>TRSF E-BANKING DB</v>
      </c>
      <c r="C225" s="2" t="str">
        <f>IFERROR(__xludf.DUMMYFUNCTION("""COMPUTED_VALUE"""),"3009/FTSCY/WS95031 55500000.00 Mon Sep 28 2026 14:00:00 GMT+0700 (Western Indonesia Time) TUMBUH OPTIMAL PRI")</f>
        <v>3009/FTSCY/WS95031 55500000.00 Mon Sep 28 2026 14:00:00 GMT+0700 (Western Indonesia Time) TUMBUH OPTIMAL PRI</v>
      </c>
      <c r="D225" s="2">
        <f>IFERROR(__xludf.DUMMYFUNCTION("""COMPUTED_VALUE"""),5.55E7)</f>
        <v>55500000</v>
      </c>
      <c r="E225" s="2"/>
      <c r="F225" s="2" t="str">
        <f>IFERROR(__xludf.DUMMYFUNCTION("""COMPUTED_VALUE"""),"DB")</f>
        <v>DB</v>
      </c>
      <c r="G225" s="2">
        <f>IFERROR(__xludf.DUMMYFUNCTION("""COMPUTED_VALUE"""),4.624463495899999E8)</f>
        <v>462446349.6</v>
      </c>
      <c r="H225" s="2"/>
      <c r="I225" s="2" t="str">
        <f>IFERROR(__xludf.DUMMYFUNCTION("""COMPUTED_VALUE"""),"PRIBADI")</f>
        <v>PRIBADI</v>
      </c>
    </row>
    <row r="226">
      <c r="A226" s="10">
        <f>IFERROR(__xludf.DUMMYFUNCTION("""COMPUTED_VALUE"""),46295.0)</f>
        <v>46295</v>
      </c>
      <c r="B226" s="2" t="str">
        <f>IFERROR(__xludf.DUMMYFUNCTION("""COMPUTED_VALUE"""),"TRSF E-BANKING DB")</f>
        <v>TRSF E-BANKING DB</v>
      </c>
      <c r="C226" s="2" t="str">
        <f>IFERROR(__xludf.DUMMYFUNCTION("""COMPUTED_VALUE"""),"3009/FTSCY/WS95031 600000.00 ANDE DOSO ANGGORO")</f>
        <v>3009/FTSCY/WS95031 600000.00 ANDE DOSO ANGGORO</v>
      </c>
      <c r="D226" s="2">
        <f>IFERROR(__xludf.DUMMYFUNCTION("""COMPUTED_VALUE"""),600000.0)</f>
        <v>600000</v>
      </c>
      <c r="E226" s="2"/>
      <c r="F226" s="2" t="str">
        <f>IFERROR(__xludf.DUMMYFUNCTION("""COMPUTED_VALUE"""),"DB")</f>
        <v>DB</v>
      </c>
      <c r="G226" s="2">
        <f>IFERROR(__xludf.DUMMYFUNCTION("""COMPUTED_VALUE"""),4.618463495899999E8)</f>
        <v>461846349.6</v>
      </c>
      <c r="H226" s="2">
        <f>IFERROR(__xludf.DUMMYFUNCTION("""COMPUTED_VALUE"""),4.6184634959E8)</f>
        <v>461846349.6</v>
      </c>
      <c r="I226" s="2" t="str">
        <f>IFERROR(__xludf.DUMMYFUNCTION("""COMPUTED_VALUE"""),"PRIBADI")</f>
        <v>PRIBADI</v>
      </c>
    </row>
    <row r="227">
      <c r="A227" s="10">
        <f>IFERROR(__xludf.DUMMYFUNCTION("""COMPUTED_VALUE"""),46295.0)</f>
        <v>46295</v>
      </c>
      <c r="B227" s="2" t="str">
        <f>IFERROR(__xludf.DUMMYFUNCTION("""COMPUTED_VALUE"""),"TRSF E-BANKING DB")</f>
        <v>TRSF E-BANKING DB</v>
      </c>
      <c r="C227" s="2" t="str">
        <f>IFERROR(__xludf.DUMMYFUNCTION("""COMPUTED_VALUE"""),"3009/FTSCY/WS95011 146250000.00 Mon Sep 28 2026 14:00:00 GMT+0700 (Western Indonesia Time) PITIK DIGITAL INDO")</f>
        <v>3009/FTSCY/WS95011 146250000.00 Mon Sep 28 2026 14:00:00 GMT+0700 (Western Indonesia Time) PITIK DIGITAL INDO</v>
      </c>
      <c r="D227" s="2">
        <f>IFERROR(__xludf.DUMMYFUNCTION("""COMPUTED_VALUE"""),1.4625E8)</f>
        <v>146250000</v>
      </c>
      <c r="E227" s="2"/>
      <c r="F227" s="2" t="str">
        <f>IFERROR(__xludf.DUMMYFUNCTION("""COMPUTED_VALUE"""),"DB")</f>
        <v>DB</v>
      </c>
      <c r="G227" s="2">
        <f>IFERROR(__xludf.DUMMYFUNCTION("""COMPUTED_VALUE"""),3.395713495899999E8)</f>
        <v>339571349.6</v>
      </c>
      <c r="H227" s="2"/>
      <c r="I227" s="2" t="str">
        <f>IFERROR(__xludf.DUMMYFUNCTION("""COMPUTED_VALUE"""),"PRIBADI")</f>
        <v>PRIBADI</v>
      </c>
    </row>
    <row r="228">
      <c r="A228" s="10">
        <f>IFERROR(__xludf.DUMMYFUNCTION("""COMPUTED_VALUE"""),46295.0)</f>
        <v>46295</v>
      </c>
      <c r="B228" s="2" t="str">
        <f>IFERROR(__xludf.DUMMYFUNCTION("""COMPUTED_VALUE"""),"TRSF E-BANKING DB")</f>
        <v>TRSF E-BANKING DB</v>
      </c>
      <c r="C228" s="2" t="str">
        <f>IFERROR(__xludf.DUMMYFUNCTION("""COMPUTED_VALUE"""),"3009/FTSCY/WS95011 273818900.00 Mon Sep 28 2026 14:00:00 GMT+0700 (Western Indonesia Time) BROILER MAKMUR TAN")</f>
        <v>3009/FTSCY/WS95011 273818900.00 Mon Sep 28 2026 14:00:00 GMT+0700 (Western Indonesia Time) BROILER MAKMUR TAN</v>
      </c>
      <c r="D228" s="2">
        <f>IFERROR(__xludf.DUMMYFUNCTION("""COMPUTED_VALUE"""),2.738189E8)</f>
        <v>273818900</v>
      </c>
      <c r="E228" s="2"/>
      <c r="F228" s="2" t="str">
        <f>IFERROR(__xludf.DUMMYFUNCTION("""COMPUTED_VALUE"""),"DB")</f>
        <v>DB</v>
      </c>
      <c r="G228" s="2">
        <f>IFERROR(__xludf.DUMMYFUNCTION("""COMPUTED_VALUE"""),6.5752449589999914E7)</f>
        <v>65752449.59</v>
      </c>
      <c r="H228" s="2"/>
      <c r="I228" s="2" t="str">
        <f>IFERROR(__xludf.DUMMYFUNCTION("""COMPUTED_VALUE"""),"PRIBADI")</f>
        <v>PRIBADI</v>
      </c>
    </row>
    <row r="229">
      <c r="A229" s="10">
        <f>IFERROR(__xludf.DUMMYFUNCTION("""COMPUTED_VALUE"""),46295.0)</f>
        <v>46295</v>
      </c>
      <c r="B229" s="2" t="str">
        <f>IFERROR(__xludf.DUMMYFUNCTION("""COMPUTED_VALUE"""),"TRSF E-BANKING DB")</f>
        <v>TRSF E-BANKING DB</v>
      </c>
      <c r="C229" s="2" t="str">
        <f>IFERROR(__xludf.DUMMYFUNCTION("""COMPUTED_VALUE"""),"3009/FTSCY/WS95031 22550920.00 krg 60 jt EKO SETIYAWAN")</f>
        <v>3009/FTSCY/WS95031 22550920.00 krg 60 jt EKO SETIYAWAN</v>
      </c>
      <c r="D229" s="2">
        <f>IFERROR(__xludf.DUMMYFUNCTION("""COMPUTED_VALUE"""),2.255092E7)</f>
        <v>22550920</v>
      </c>
      <c r="E229" s="2"/>
      <c r="F229" s="2" t="str">
        <f>IFERROR(__xludf.DUMMYFUNCTION("""COMPUTED_VALUE"""),"DB")</f>
        <v>DB</v>
      </c>
      <c r="G229" s="2">
        <f>IFERROR(__xludf.DUMMYFUNCTION("""COMPUTED_VALUE"""),3.131450795899999E8)</f>
        <v>313145079.6</v>
      </c>
      <c r="H229" s="2"/>
      <c r="I229" s="2" t="str">
        <f>IFERROR(__xludf.DUMMYFUNCTION("""COMPUTED_VALUE"""),"PRIBADI")</f>
        <v>PRIBADI</v>
      </c>
    </row>
    <row r="230">
      <c r="A230" s="10">
        <f>IFERROR(__xludf.DUMMYFUNCTION("""COMPUTED_VALUE"""),46295.0)</f>
        <v>46295</v>
      </c>
      <c r="B230" s="2" t="str">
        <f>IFERROR(__xludf.DUMMYFUNCTION("""COMPUTED_VALUE"""),"TRSF E-BANKING DB")</f>
        <v>TRSF E-BANKING DB</v>
      </c>
      <c r="C230" s="2" t="str">
        <f>IFERROR(__xludf.DUMMYFUNCTION("""COMPUTED_VALUE"""),"3009/FTFVA/WS95031 55569/PT PRIMA FAJ lumajang - 40190")</f>
        <v>3009/FTFVA/WS95031 55569/PT PRIMA FAJ lumajang - 40190</v>
      </c>
      <c r="D230" s="2">
        <f>IFERROR(__xludf.DUMMYFUNCTION("""COMPUTED_VALUE"""),7.05471E7)</f>
        <v>70547100</v>
      </c>
      <c r="E230" s="2"/>
      <c r="F230" s="2" t="str">
        <f>IFERROR(__xludf.DUMMYFUNCTION("""COMPUTED_VALUE"""),"DB")</f>
        <v>DB</v>
      </c>
      <c r="G230" s="2">
        <f>IFERROR(__xludf.DUMMYFUNCTION("""COMPUTED_VALUE"""),2.425979795899999E8)</f>
        <v>242597979.6</v>
      </c>
      <c r="H230" s="2"/>
      <c r="I230" s="2" t="str">
        <f>IFERROR(__xludf.DUMMYFUNCTION("""COMPUTED_VALUE"""),"PRIBADI")</f>
        <v>PRIBADI</v>
      </c>
    </row>
    <row r="231">
      <c r="A231" s="10">
        <f>IFERROR(__xludf.DUMMYFUNCTION("""COMPUTED_VALUE"""),46295.0)</f>
        <v>46295</v>
      </c>
      <c r="B231" s="2" t="str">
        <f>IFERROR(__xludf.DUMMYFUNCTION("""COMPUTED_VALUE"""),"TRSF E-BANKING DB")</f>
        <v>TRSF E-BANKING DB</v>
      </c>
      <c r="C231" s="2" t="str">
        <f>IFERROR(__xludf.DUMMYFUNCTION("""COMPUTED_VALUE"""),"3009/FTSCY/WS95031 2089710.00 EKO SETIYAWAN")</f>
        <v>3009/FTSCY/WS95031 2089710.00 EKO SETIYAWAN</v>
      </c>
      <c r="D231" s="2">
        <f>IFERROR(__xludf.DUMMYFUNCTION("""COMPUTED_VALUE"""),2089710.0)</f>
        <v>2089710</v>
      </c>
      <c r="E231" s="2"/>
      <c r="F231" s="2" t="str">
        <f>IFERROR(__xludf.DUMMYFUNCTION("""COMPUTED_VALUE"""),"DB")</f>
        <v>DB</v>
      </c>
      <c r="G231" s="2">
        <f>IFERROR(__xludf.DUMMYFUNCTION("""COMPUTED_VALUE"""),2.405082695899999E8)</f>
        <v>240508269.6</v>
      </c>
      <c r="H231" s="2"/>
      <c r="I231" s="2" t="str">
        <f>IFERROR(__xludf.DUMMYFUNCTION("""COMPUTED_VALUE"""),"PRIBADI")</f>
        <v>PRIBADI</v>
      </c>
    </row>
    <row r="232">
      <c r="A232" s="10">
        <f>IFERROR(__xludf.DUMMYFUNCTION("""COMPUTED_VALUE"""),46295.0)</f>
        <v>46295</v>
      </c>
      <c r="B232" s="2" t="str">
        <f>IFERROR(__xludf.DUMMYFUNCTION("""COMPUTED_VALUE"""),"TRSF E-BANKING DB")</f>
        <v>TRSF E-BANKING DB</v>
      </c>
      <c r="C232" s="2" t="str">
        <f>IFERROR(__xludf.DUMMYFUNCTION("""COMPUTED_VALUE"""),"3009/FTSCY/WS95271 66851500.00 Tue Sep 29 2026 14:00:00 GMT+0700 (Western Indonesia Time) BRANTAS ABADI SENT")</f>
        <v>3009/FTSCY/WS95271 66851500.00 Tue Sep 29 2026 14:00:00 GMT+0700 (Western Indonesia Time) BRANTAS ABADI SENT</v>
      </c>
      <c r="D232" s="2">
        <f>IFERROR(__xludf.DUMMYFUNCTION("""COMPUTED_VALUE"""),6.68515E7)</f>
        <v>66851500</v>
      </c>
      <c r="E232" s="2"/>
      <c r="F232" s="2" t="str">
        <f>IFERROR(__xludf.DUMMYFUNCTION("""COMPUTED_VALUE"""),"DB")</f>
        <v>DB</v>
      </c>
      <c r="G232" s="2">
        <f>IFERROR(__xludf.DUMMYFUNCTION("""COMPUTED_VALUE"""),1.736567695899999E8)</f>
        <v>173656769.6</v>
      </c>
      <c r="H232" s="2"/>
      <c r="I232" s="2" t="str">
        <f>IFERROR(__xludf.DUMMYFUNCTION("""COMPUTED_VALUE"""),"PRIBADI")</f>
        <v>PRIBADI</v>
      </c>
    </row>
    <row r="233">
      <c r="A233" s="10">
        <f>IFERROR(__xludf.DUMMYFUNCTION("""COMPUTED_VALUE"""),46295.0)</f>
        <v>46295</v>
      </c>
      <c r="B233" s="2" t="str">
        <f>IFERROR(__xludf.DUMMYFUNCTION("""COMPUTED_VALUE"""),"BI-FAST DB")</f>
        <v>BI-FAST DB</v>
      </c>
      <c r="C233" s="2" t="str">
        <f>IFERROR(__xludf.DUMMYFUNCTION("""COMPUTED_VALUE"""),"BIF TRANSFER KE 2 SITI JUWERIYYAH MyBCA")</f>
        <v>BIF TRANSFER KE 2 SITI JUWERIYYAH MyBCA</v>
      </c>
      <c r="D233" s="2">
        <f>IFERROR(__xludf.DUMMYFUNCTION("""COMPUTED_VALUE"""),1.176129E7)</f>
        <v>11761290</v>
      </c>
      <c r="E233" s="2"/>
      <c r="F233" s="2" t="str">
        <f>IFERROR(__xludf.DUMMYFUNCTION("""COMPUTED_VALUE"""),"DB")</f>
        <v>DB</v>
      </c>
      <c r="G233" s="2">
        <f>IFERROR(__xludf.DUMMYFUNCTION("""COMPUTED_VALUE"""),1.618954795899999E8)</f>
        <v>161895479.6</v>
      </c>
      <c r="H233" s="2"/>
      <c r="I233" s="2" t="str">
        <f>IFERROR(__xludf.DUMMYFUNCTION("""COMPUTED_VALUE"""),"PRIBADI")</f>
        <v>PRIBADI</v>
      </c>
    </row>
    <row r="234">
      <c r="A234" s="10">
        <f>IFERROR(__xludf.DUMMYFUNCTION("""COMPUTED_VALUE"""),46295.0)</f>
        <v>46295</v>
      </c>
      <c r="B234" s="2" t="str">
        <f>IFERROR(__xludf.DUMMYFUNCTION("""COMPUTED_VALUE"""),"BI-FAST DB")</f>
        <v>BI-FAST DB</v>
      </c>
      <c r="C234" s="2" t="str">
        <f>IFERROR(__xludf.DUMMYFUNCTION("""COMPUTED_VALUE"""),"BIF BIAYA TXN KE 2 SITI JUWERIYYAH MyBCA")</f>
        <v>BIF BIAYA TXN KE 2 SITI JUWERIYYAH MyBCA</v>
      </c>
      <c r="D234" s="2">
        <f>IFERROR(__xludf.DUMMYFUNCTION("""COMPUTED_VALUE"""),2500.0)</f>
        <v>2500</v>
      </c>
      <c r="E234" s="2"/>
      <c r="F234" s="2" t="str">
        <f>IFERROR(__xludf.DUMMYFUNCTION("""COMPUTED_VALUE"""),"DB")</f>
        <v>DB</v>
      </c>
      <c r="G234" s="2">
        <f>IFERROR(__xludf.DUMMYFUNCTION("""COMPUTED_VALUE"""),1.618929795899999E8)</f>
        <v>161892979.6</v>
      </c>
      <c r="H234" s="2"/>
      <c r="I234" s="2" t="str">
        <f>IFERROR(__xludf.DUMMYFUNCTION("""COMPUTED_VALUE"""),"PRIBADI")</f>
        <v>PRIBADI</v>
      </c>
    </row>
    <row r="235">
      <c r="A235" s="10">
        <f>IFERROR(__xludf.DUMMYFUNCTION("""COMPUTED_VALUE"""),46295.0)</f>
        <v>46295</v>
      </c>
      <c r="B235" s="2" t="str">
        <f>IFERROR(__xludf.DUMMYFUNCTION("""COMPUTED_VALUE"""),"TRSF E-BANKING DB")</f>
        <v>TRSF E-BANKING DB</v>
      </c>
      <c r="C235" s="2" t="str">
        <f>IFERROR(__xludf.DUMMYFUNCTION("""COMPUTED_VALUE"""),"3009/FTSCY/WS95031 1100000.00 SUNARTO")</f>
        <v>3009/FTSCY/WS95031 1100000.00 SUNARTO</v>
      </c>
      <c r="D235" s="2">
        <f>IFERROR(__xludf.DUMMYFUNCTION("""COMPUTED_VALUE"""),1100000.0)</f>
        <v>1100000</v>
      </c>
      <c r="E235" s="2"/>
      <c r="F235" s="2" t="str">
        <f>IFERROR(__xludf.DUMMYFUNCTION("""COMPUTED_VALUE"""),"DB")</f>
        <v>DB</v>
      </c>
      <c r="G235" s="2">
        <f>IFERROR(__xludf.DUMMYFUNCTION("""COMPUTED_VALUE"""),1.607929795899999E8)</f>
        <v>160792979.6</v>
      </c>
      <c r="H235" s="2"/>
      <c r="I235" s="2" t="str">
        <f>IFERROR(__xludf.DUMMYFUNCTION("""COMPUTED_VALUE"""),"PRIBADI")</f>
        <v>PRIBADI</v>
      </c>
    </row>
    <row r="236">
      <c r="A236" s="10">
        <f>IFERROR(__xludf.DUMMYFUNCTION("""COMPUTED_VALUE"""),46295.0)</f>
        <v>46295</v>
      </c>
      <c r="B236" s="2" t="str">
        <f>IFERROR(__xludf.DUMMYFUNCTION("""COMPUTED_VALUE"""),"PAJAK BUNGA")</f>
        <v>PAJAK BUNGA</v>
      </c>
      <c r="C236" s="2" t="str">
        <f>IFERROR(__xludf.DUMMYFUNCTION("""COMPUTED_VALUE"""),"PAJAK BUNGA")</f>
        <v>PAJAK BUNGA</v>
      </c>
      <c r="D236" s="2">
        <f>IFERROR(__xludf.DUMMYFUNCTION("""COMPUTED_VALUE"""),367.38)</f>
        <v>367.38</v>
      </c>
      <c r="E236" s="2"/>
      <c r="F236" s="2"/>
      <c r="G236" s="2">
        <f>IFERROR(__xludf.DUMMYFUNCTION("""COMPUTED_VALUE"""),1.607944490899999E8)</f>
        <v>160794449.1</v>
      </c>
      <c r="H236" s="2">
        <f>IFERROR(__xludf.DUMMYFUNCTION("""COMPUTED_VALUE"""),1.6079444909E8)</f>
        <v>160794449.1</v>
      </c>
      <c r="I236" s="2" t="str">
        <f>IFERROR(__xludf.DUMMYFUNCTION("""COMPUTED_VALUE"""),"PRIBADI")</f>
        <v>PRIBADI</v>
      </c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>
        <f>IFERROR(__xludf.DUMMYFUNCTION("IFERROR(QUERY(SEP_2023!A:I, ""SELECT * WHERE D IS NOT NULL AND UPPER(I) = 'PRODUKSI'"", 1), ""Data PRODUKSI belum ditemukan"")"),46266.0)</f>
        <v>46266</v>
      </c>
      <c r="B1" s="2" t="str">
        <f>IFERROR(__xludf.DUMMYFUNCTION("""COMPUTED_VALUE"""),"TRSF E-BANKING DB")</f>
        <v>TRSF E-BANKING DB</v>
      </c>
      <c r="C1" s="2" t="str">
        <f>IFERROR(__xludf.DUMMYFUNCTION("""COMPUTED_VALUE"""),"0109/FTSCY/WS95011 90449600.00 Pelunasan ANUGERAH KARTIKA A")</f>
        <v>0109/FTSCY/WS95011 90449600.00 Pelunasan ANUGERAH KARTIKA A</v>
      </c>
      <c r="D1" s="2">
        <f>IFERROR(__xludf.DUMMYFUNCTION("""COMPUTED_VALUE"""),9.04496E7)</f>
        <v>90449600</v>
      </c>
      <c r="E1" s="2"/>
      <c r="F1" s="2" t="str">
        <f>IFERROR(__xludf.DUMMYFUNCTION("""COMPUTED_VALUE"""),"DB")</f>
        <v>DB</v>
      </c>
      <c r="G1" s="2">
        <f>IFERROR(__xludf.DUMMYFUNCTION("""COMPUTED_VALUE"""),4.450041915899999E8)</f>
        <v>445004191.6</v>
      </c>
      <c r="H1" s="2"/>
      <c r="I1" s="2" t="str">
        <f>IFERROR(__xludf.DUMMYFUNCTION("""COMPUTED_VALUE"""),"PRODUKSI")</f>
        <v>PRODUKSI</v>
      </c>
      <c r="J1" s="2">
        <f>SUM(D1:D1000) </f>
        <v>4098243170</v>
      </c>
    </row>
    <row r="2">
      <c r="A2" s="10">
        <f>IFERROR(__xludf.DUMMYFUNCTION("""COMPUTED_VALUE"""),46266.0)</f>
        <v>46266</v>
      </c>
      <c r="B2" s="2" t="str">
        <f>IFERROR(__xludf.DUMMYFUNCTION("""COMPUTED_VALUE"""),"TRSF E-BANKING DB")</f>
        <v>TRSF E-BANKING DB</v>
      </c>
      <c r="C2" s="2" t="str">
        <f>IFERROR(__xludf.DUMMYFUNCTION("""COMPUTED_VALUE"""),"0109/FTSCY/WS95011 67648500.00 Sun Aug 30 2026 14:00:00 GMT+0700 (Western Indonesia Time) SURYA INTI TERNAK")</f>
        <v>0109/FTSCY/WS95011 67648500.00 Sun Aug 30 2026 14:00:00 GMT+0700 (Western Indonesia Time) SURYA INTI TERNAK</v>
      </c>
      <c r="D2" s="2">
        <f>IFERROR(__xludf.DUMMYFUNCTION("""COMPUTED_VALUE"""),6.76485E7)</f>
        <v>67648500</v>
      </c>
      <c r="E2" s="2"/>
      <c r="F2" s="2" t="str">
        <f>IFERROR(__xludf.DUMMYFUNCTION("""COMPUTED_VALUE"""),"DB")</f>
        <v>DB</v>
      </c>
      <c r="G2" s="2">
        <f>IFERROR(__xludf.DUMMYFUNCTION("""COMPUTED_VALUE"""),3.773556915899999E8)</f>
        <v>377355691.6</v>
      </c>
      <c r="H2" s="2"/>
      <c r="I2" s="2" t="str">
        <f>IFERROR(__xludf.DUMMYFUNCTION("""COMPUTED_VALUE"""),"PRODUKSI")</f>
        <v>PRODUKSI</v>
      </c>
    </row>
    <row r="3">
      <c r="A3" s="10">
        <f>IFERROR(__xludf.DUMMYFUNCTION("""COMPUTED_VALUE"""),46266.0)</f>
        <v>46266</v>
      </c>
      <c r="B3" s="2" t="str">
        <f>IFERROR(__xludf.DUMMYFUNCTION("""COMPUTED_VALUE"""),"TRSF E-BANKING DB")</f>
        <v>TRSF E-BANKING DB</v>
      </c>
      <c r="C3" s="2" t="str">
        <f>IFERROR(__xludf.DUMMYFUNCTION("""COMPUTED_VALUE"""),"0109/FTSCY/WS95271 43262000.00 pelunasan ANUGERAH KARTIKA A")</f>
        <v>0109/FTSCY/WS95271 43262000.00 pelunasan ANUGERAH KARTIKA A</v>
      </c>
      <c r="D3" s="2">
        <f>IFERROR(__xludf.DUMMYFUNCTION("""COMPUTED_VALUE"""),4.3262E7)</f>
        <v>43262000</v>
      </c>
      <c r="E3" s="2"/>
      <c r="F3" s="2" t="str">
        <f>IFERROR(__xludf.DUMMYFUNCTION("""COMPUTED_VALUE"""),"DB")</f>
        <v>DB</v>
      </c>
      <c r="G3" s="2">
        <f>IFERROR(__xludf.DUMMYFUNCTION("""COMPUTED_VALUE"""),2.389089415899999E8)</f>
        <v>238908941.6</v>
      </c>
      <c r="H3" s="2"/>
      <c r="I3" s="2" t="str">
        <f>IFERROR(__xludf.DUMMYFUNCTION("""COMPUTED_VALUE"""),"PRODUKSI")</f>
        <v>PRODUKSI</v>
      </c>
    </row>
    <row r="4">
      <c r="A4" s="10">
        <f>IFERROR(__xludf.DUMMYFUNCTION("""COMPUTED_VALUE"""),46266.0)</f>
        <v>46266</v>
      </c>
      <c r="B4" s="2" t="str">
        <f>IFERROR(__xludf.DUMMYFUNCTION("""COMPUTED_VALUE"""),"TRSF E-BANKING DB")</f>
        <v>TRSF E-BANKING DB</v>
      </c>
      <c r="C4" s="2" t="str">
        <f>IFERROR(__xludf.DUMMYFUNCTION("""COMPUTED_VALUE"""),"0109/FTSCY/WS95271 74435500.00 Mon Aug 31 2026 14:00:00 GMT+0700 (Western Indonesia Time) ANUGERAH KARTIKA A")</f>
        <v>0109/FTSCY/WS95271 74435500.00 Mon Aug 31 2026 14:00:00 GMT+0700 (Western Indonesia Time) ANUGERAH KARTIKA A</v>
      </c>
      <c r="D4" s="2">
        <f>IFERROR(__xludf.DUMMYFUNCTION("""COMPUTED_VALUE"""),7.44355E7)</f>
        <v>74435500</v>
      </c>
      <c r="E4" s="2"/>
      <c r="F4" s="2" t="str">
        <f>IFERROR(__xludf.DUMMYFUNCTION("""COMPUTED_VALUE"""),"DB")</f>
        <v>DB</v>
      </c>
      <c r="G4" s="2">
        <f>IFERROR(__xludf.DUMMYFUNCTION("""COMPUTED_VALUE"""),1.644734415899999E8)</f>
        <v>164473441.6</v>
      </c>
      <c r="H4" s="2"/>
      <c r="I4" s="2" t="str">
        <f>IFERROR(__xludf.DUMMYFUNCTION("""COMPUTED_VALUE"""),"PRODUKSI")</f>
        <v>PRODUKSI</v>
      </c>
    </row>
    <row r="5">
      <c r="A5" s="10">
        <f>IFERROR(__xludf.DUMMYFUNCTION("""COMPUTED_VALUE"""),46266.0)</f>
        <v>46266</v>
      </c>
      <c r="B5" s="2" t="str">
        <f>IFERROR(__xludf.DUMMYFUNCTION("""COMPUTED_VALUE"""),"TRSF E-BANKING DB")</f>
        <v>TRSF E-BANKING DB</v>
      </c>
      <c r="C5" s="2" t="str">
        <f>IFERROR(__xludf.DUMMYFUNCTION("""COMPUTED_VALUE"""),"0109/FTSCY/WS95271 83220000.00 Mon Aug 31 2026 14:00:00 GMT+0700 (Western Indonesia Time) TABASSAM AZ ZUFAR")</f>
        <v>0109/FTSCY/WS95271 83220000.00 Mon Aug 31 2026 14:00:00 GMT+0700 (Western Indonesia Time) TABASSAM AZ ZUFAR</v>
      </c>
      <c r="D5" s="2">
        <f>IFERROR(__xludf.DUMMYFUNCTION("""COMPUTED_VALUE"""),8.322E7)</f>
        <v>83220000</v>
      </c>
      <c r="E5" s="2"/>
      <c r="F5" s="2" t="str">
        <f>IFERROR(__xludf.DUMMYFUNCTION("""COMPUTED_VALUE"""),"DB")</f>
        <v>DB</v>
      </c>
      <c r="G5" s="2">
        <f>IFERROR(__xludf.DUMMYFUNCTION("""COMPUTED_VALUE"""),8.125344158999991E7)</f>
        <v>81253441.59</v>
      </c>
      <c r="H5" s="2"/>
      <c r="I5" s="2" t="str">
        <f>IFERROR(__xludf.DUMMYFUNCTION("""COMPUTED_VALUE"""),"PRODUKSI")</f>
        <v>PRODUKSI</v>
      </c>
    </row>
    <row r="6">
      <c r="A6" s="10">
        <f>IFERROR(__xludf.DUMMYFUNCTION("""COMPUTED_VALUE"""),46266.0)</f>
        <v>46266</v>
      </c>
      <c r="B6" s="2" t="str">
        <f>IFERROR(__xludf.DUMMYFUNCTION("""COMPUTED_VALUE"""),"TRSF E-BANKING DB")</f>
        <v>TRSF E-BANKING DB</v>
      </c>
      <c r="C6" s="2" t="str">
        <f>IFERROR(__xludf.DUMMYFUNCTION("""COMPUTED_VALUE"""),"0109/FTSCY/WS95271 71817500.00 Sun Aug 30 2026 14:00:00 GMT+0700 (Western Indonesia Time) TABASSAM AL HATTAK")</f>
        <v>0109/FTSCY/WS95271 71817500.00 Sun Aug 30 2026 14:00:00 GMT+0700 (Western Indonesia Time) TABASSAM AL HATTAK</v>
      </c>
      <c r="D6" s="2">
        <f>IFERROR(__xludf.DUMMYFUNCTION("""COMPUTED_VALUE"""),7.18175E7)</f>
        <v>71817500</v>
      </c>
      <c r="E6" s="2"/>
      <c r="F6" s="2" t="str">
        <f>IFERROR(__xludf.DUMMYFUNCTION("""COMPUTED_VALUE"""),"DB")</f>
        <v>DB</v>
      </c>
      <c r="G6" s="2">
        <f>IFERROR(__xludf.DUMMYFUNCTION("""COMPUTED_VALUE"""),9435941.589999914)</f>
        <v>9435941.59</v>
      </c>
      <c r="H6" s="2"/>
      <c r="I6" s="2" t="str">
        <f>IFERROR(__xludf.DUMMYFUNCTION("""COMPUTED_VALUE"""),"PRODUKSI")</f>
        <v>PRODUKSI</v>
      </c>
    </row>
    <row r="7">
      <c r="A7" s="10">
        <f>IFERROR(__xludf.DUMMYFUNCTION("""COMPUTED_VALUE"""),46266.0)</f>
        <v>46266</v>
      </c>
      <c r="B7" s="2" t="str">
        <f>IFERROR(__xludf.DUMMYFUNCTION("""COMPUTED_VALUE"""),"TRSF E-BANKING DB")</f>
        <v>TRSF E-BANKING DB</v>
      </c>
      <c r="C7" s="2" t="str">
        <f>IFERROR(__xludf.DUMMYFUNCTION("""COMPUTED_VALUE"""),"0109/FTSCY/WS95031 3280300.00 FAJAR ANDREANZAH")</f>
        <v>0109/FTSCY/WS95031 3280300.00 FAJAR ANDREANZAH</v>
      </c>
      <c r="D7" s="2">
        <f>IFERROR(__xludf.DUMMYFUNCTION("""COMPUTED_VALUE"""),3280300.0)</f>
        <v>3280300</v>
      </c>
      <c r="E7" s="2"/>
      <c r="F7" s="2" t="str">
        <f>IFERROR(__xludf.DUMMYFUNCTION("""COMPUTED_VALUE"""),"DB")</f>
        <v>DB</v>
      </c>
      <c r="G7" s="2">
        <f>IFERROR(__xludf.DUMMYFUNCTION("""COMPUTED_VALUE"""),6155641.589999914)</f>
        <v>6155641.59</v>
      </c>
      <c r="H7" s="2"/>
      <c r="I7" s="2" t="str">
        <f>IFERROR(__xludf.DUMMYFUNCTION("""COMPUTED_VALUE"""),"PRODUKSI")</f>
        <v>PRODUKSI</v>
      </c>
    </row>
    <row r="8">
      <c r="A8" s="10">
        <f>IFERROR(__xludf.DUMMYFUNCTION("""COMPUTED_VALUE"""),46266.0)</f>
        <v>46266</v>
      </c>
      <c r="B8" s="2" t="str">
        <f>IFERROR(__xludf.DUMMYFUNCTION("""COMPUTED_VALUE"""),"TRSF E-BANKING DB")</f>
        <v>TRSF E-BANKING DB</v>
      </c>
      <c r="C8" s="2" t="str">
        <f>IFERROR(__xludf.DUMMYFUNCTION("""COMPUTED_VALUE"""),"0109/FTSCY/WS95031 2385850.00 DWI HERMANSYAH")</f>
        <v>0109/FTSCY/WS95031 2385850.00 DWI HERMANSYAH</v>
      </c>
      <c r="D8" s="2">
        <f>IFERROR(__xludf.DUMMYFUNCTION("""COMPUTED_VALUE"""),2385850.0)</f>
        <v>2385850</v>
      </c>
      <c r="E8" s="2"/>
      <c r="F8" s="2" t="str">
        <f>IFERROR(__xludf.DUMMYFUNCTION("""COMPUTED_VALUE"""),"DB")</f>
        <v>DB</v>
      </c>
      <c r="G8" s="2">
        <f>IFERROR(__xludf.DUMMYFUNCTION("""COMPUTED_VALUE"""),3769791.589999914)</f>
        <v>3769791.59</v>
      </c>
      <c r="H8" s="2">
        <f>IFERROR(__xludf.DUMMYFUNCTION("""COMPUTED_VALUE"""),3769791.59)</f>
        <v>3769791.59</v>
      </c>
      <c r="I8" s="2" t="str">
        <f>IFERROR(__xludf.DUMMYFUNCTION("""COMPUTED_VALUE"""),"PRODUKSI")</f>
        <v>PRODUKSI</v>
      </c>
    </row>
    <row r="9">
      <c r="A9" s="10">
        <f>IFERROR(__xludf.DUMMYFUNCTION("""COMPUTED_VALUE"""),46266.0)</f>
        <v>46266</v>
      </c>
      <c r="B9" s="2" t="str">
        <f>IFERROR(__xludf.DUMMYFUNCTION("""COMPUTED_VALUE"""),"TRSF E-BANKING DB")</f>
        <v>TRSF E-BANKING DB</v>
      </c>
      <c r="C9" s="2" t="str">
        <f>IFERROR(__xludf.DUMMYFUNCTION("""COMPUTED_VALUE"""),"0109/FTSCY/WS95031 1500000.00 HERMAWAN")</f>
        <v>0109/FTSCY/WS95031 1500000.00 HERMAWAN</v>
      </c>
      <c r="D9" s="2">
        <f>IFERROR(__xludf.DUMMYFUNCTION("""COMPUTED_VALUE"""),1500000.0)</f>
        <v>1500000</v>
      </c>
      <c r="E9" s="2"/>
      <c r="F9" s="2" t="str">
        <f>IFERROR(__xludf.DUMMYFUNCTION("""COMPUTED_VALUE"""),"DB")</f>
        <v>DB</v>
      </c>
      <c r="G9" s="2">
        <f>IFERROR(__xludf.DUMMYFUNCTION("""COMPUTED_VALUE"""),2269791.589999914)</f>
        <v>2269791.59</v>
      </c>
      <c r="H9" s="2">
        <f>IFERROR(__xludf.DUMMYFUNCTION("""COMPUTED_VALUE"""),2269791.59)</f>
        <v>2269791.59</v>
      </c>
      <c r="I9" s="2" t="str">
        <f>IFERROR(__xludf.DUMMYFUNCTION("""COMPUTED_VALUE"""),"PRODUKSI")</f>
        <v>PRODUKSI</v>
      </c>
    </row>
    <row r="10">
      <c r="A10" s="10">
        <f>IFERROR(__xludf.DUMMYFUNCTION("""COMPUTED_VALUE"""),46266.0)</f>
        <v>46266</v>
      </c>
      <c r="B10" s="2" t="str">
        <f>IFERROR(__xludf.DUMMYFUNCTION("""COMPUTED_VALUE"""),"BI-FAST DB")</f>
        <v>BI-FAST DB</v>
      </c>
      <c r="C10" s="2" t="str">
        <f>IFERROR(__xludf.DUMMYFUNCTION("""COMPUTED_VALUE"""),"BIF TRANSFER KE 8 MISWATI M-BCA")</f>
        <v>BIF TRANSFER KE 8 MISWATI M-BCA</v>
      </c>
      <c r="D10" s="2">
        <f>IFERROR(__xludf.DUMMYFUNCTION("""COMPUTED_VALUE"""),750000.0)</f>
        <v>750000</v>
      </c>
      <c r="E10" s="2"/>
      <c r="F10" s="2" t="str">
        <f>IFERROR(__xludf.DUMMYFUNCTION("""COMPUTED_VALUE"""),"DB")</f>
        <v>DB</v>
      </c>
      <c r="G10" s="2">
        <f>IFERROR(__xludf.DUMMYFUNCTION("""COMPUTED_VALUE"""),1519791.5899999142)</f>
        <v>1519791.59</v>
      </c>
      <c r="H10" s="2"/>
      <c r="I10" s="2" t="str">
        <f>IFERROR(__xludf.DUMMYFUNCTION("""COMPUTED_VALUE"""),"PRODUKSI")</f>
        <v>PRODUKSI</v>
      </c>
    </row>
    <row r="11">
      <c r="A11" s="10">
        <f>IFERROR(__xludf.DUMMYFUNCTION("""COMPUTED_VALUE"""),46266.0)</f>
        <v>46266</v>
      </c>
      <c r="B11" s="2" t="str">
        <f>IFERROR(__xludf.DUMMYFUNCTION("""COMPUTED_VALUE"""),"BI-FAST DB")</f>
        <v>BI-FAST DB</v>
      </c>
      <c r="C11" s="2" t="str">
        <f>IFERROR(__xludf.DUMMYFUNCTION("""COMPUTED_VALUE"""),"BIF BIAYA TXN KE 8 MISWATI M-BCA")</f>
        <v>BIF BIAYA TXN KE 8 MISWATI M-BCA</v>
      </c>
      <c r="D11" s="2">
        <f>IFERROR(__xludf.DUMMYFUNCTION("""COMPUTED_VALUE"""),2500.0)</f>
        <v>2500</v>
      </c>
      <c r="E11" s="2"/>
      <c r="F11" s="2" t="str">
        <f>IFERROR(__xludf.DUMMYFUNCTION("""COMPUTED_VALUE"""),"DB")</f>
        <v>DB</v>
      </c>
      <c r="G11" s="2">
        <f>IFERROR(__xludf.DUMMYFUNCTION("""COMPUTED_VALUE"""),1517291.5899999142)</f>
        <v>1517291.59</v>
      </c>
      <c r="H11" s="2"/>
      <c r="I11" s="2" t="str">
        <f>IFERROR(__xludf.DUMMYFUNCTION("""COMPUTED_VALUE"""),"PRODUKSI")</f>
        <v>PRODUKSI</v>
      </c>
    </row>
    <row r="12">
      <c r="A12" s="10">
        <f>IFERROR(__xludf.DUMMYFUNCTION("""COMPUTED_VALUE"""),46266.0)</f>
        <v>46266</v>
      </c>
      <c r="B12" s="2" t="str">
        <f>IFERROR(__xludf.DUMMYFUNCTION("""COMPUTED_VALUE"""),"TRSF E-BANKING DB")</f>
        <v>TRSF E-BANKING DB</v>
      </c>
      <c r="C12" s="2" t="str">
        <f>IFERROR(__xludf.DUMMYFUNCTION("""COMPUTED_VALUE"""),"0109/FTSCY/WS95031 35202240.00 pelunasan mjk SUPER UNGGAS JAYA")</f>
        <v>0109/FTSCY/WS95031 35202240.00 pelunasan mjk SUPER UNGGAS JAYA</v>
      </c>
      <c r="D12" s="2">
        <f>IFERROR(__xludf.DUMMYFUNCTION("""COMPUTED_VALUE"""),3.520224E7)</f>
        <v>35202240</v>
      </c>
      <c r="E12" s="2"/>
      <c r="F12" s="2" t="str">
        <f>IFERROR(__xludf.DUMMYFUNCTION("""COMPUTED_VALUE"""),"DB")</f>
        <v>DB</v>
      </c>
      <c r="G12" s="2">
        <f>IFERROR(__xludf.DUMMYFUNCTION("""COMPUTED_VALUE"""),4.447417135899999E8)</f>
        <v>444741713.6</v>
      </c>
      <c r="H12" s="2"/>
      <c r="I12" s="2" t="str">
        <f>IFERROR(__xludf.DUMMYFUNCTION("""COMPUTED_VALUE"""),"PRODUKSI")</f>
        <v>PRODUKSI</v>
      </c>
    </row>
    <row r="13">
      <c r="A13" s="10">
        <f>IFERROR(__xludf.DUMMYFUNCTION("""COMPUTED_VALUE"""),46267.0)</f>
        <v>46267</v>
      </c>
      <c r="B13" s="2" t="str">
        <f>IFERROR(__xludf.DUMMYFUNCTION("""COMPUTED_VALUE"""),"TRSF E-BANKING DB")</f>
        <v>TRSF E-BANKING DB</v>
      </c>
      <c r="C13" s="2" t="str">
        <f>IFERROR(__xludf.DUMMYFUNCTION("""COMPUTED_VALUE"""),"0209/FTSCY/WS95031 1000000.00 SUNARTO")</f>
        <v>0209/FTSCY/WS95031 1000000.00 SUNARTO</v>
      </c>
      <c r="D13" s="2">
        <f>IFERROR(__xludf.DUMMYFUNCTION("""COMPUTED_VALUE"""),1000000.0)</f>
        <v>1000000</v>
      </c>
      <c r="E13" s="2"/>
      <c r="F13" s="2" t="str">
        <f>IFERROR(__xludf.DUMMYFUNCTION("""COMPUTED_VALUE"""),"DB")</f>
        <v>DB</v>
      </c>
      <c r="G13" s="2">
        <f>IFERROR(__xludf.DUMMYFUNCTION("""COMPUTED_VALUE"""),1.07874452359E9)</f>
        <v>1078744524</v>
      </c>
      <c r="H13" s="2"/>
      <c r="I13" s="2" t="str">
        <f>IFERROR(__xludf.DUMMYFUNCTION("""COMPUTED_VALUE"""),"PRODUKSI")</f>
        <v>PRODUKSI</v>
      </c>
    </row>
    <row r="14">
      <c r="A14" s="10">
        <f>IFERROR(__xludf.DUMMYFUNCTION("""COMPUTED_VALUE"""),46267.0)</f>
        <v>46267</v>
      </c>
      <c r="B14" s="2" t="str">
        <f>IFERROR(__xludf.DUMMYFUNCTION("""COMPUTED_VALUE"""),"TRSF E-BANKING DB")</f>
        <v>TRSF E-BANKING DB</v>
      </c>
      <c r="C14" s="2" t="str">
        <f>IFERROR(__xludf.DUMMYFUNCTION("""COMPUTED_VALUE"""),"0209/FTSCY/WS95031 1000000.00 DWI HERMANSYAH")</f>
        <v>0209/FTSCY/WS95031 1000000.00 DWI HERMANSYAH</v>
      </c>
      <c r="D14" s="2">
        <f>IFERROR(__xludf.DUMMYFUNCTION("""COMPUTED_VALUE"""),1000000.0)</f>
        <v>1000000</v>
      </c>
      <c r="E14" s="2"/>
      <c r="F14" s="2" t="str">
        <f>IFERROR(__xludf.DUMMYFUNCTION("""COMPUTED_VALUE"""),"DB")</f>
        <v>DB</v>
      </c>
      <c r="G14" s="2">
        <f>IFERROR(__xludf.DUMMYFUNCTION("""COMPUTED_VALUE"""),1.07774452359E9)</f>
        <v>1077744524</v>
      </c>
      <c r="H14" s="2">
        <f>IFERROR(__xludf.DUMMYFUNCTION("""COMPUTED_VALUE"""),1.07774452359E9)</f>
        <v>1077744524</v>
      </c>
      <c r="I14" s="2" t="str">
        <f>IFERROR(__xludf.DUMMYFUNCTION("""COMPUTED_VALUE"""),"PRODUKSI")</f>
        <v>PRODUKSI</v>
      </c>
    </row>
    <row r="15">
      <c r="A15" s="10">
        <f>IFERROR(__xludf.DUMMYFUNCTION("""COMPUTED_VALUE"""),46267.0)</f>
        <v>46267</v>
      </c>
      <c r="B15" s="2" t="str">
        <f>IFERROR(__xludf.DUMMYFUNCTION("""COMPUTED_VALUE"""),"TRSF E-BANKING DB")</f>
        <v>TRSF E-BANKING DB</v>
      </c>
      <c r="C15" s="2" t="str">
        <f>IFERROR(__xludf.DUMMYFUNCTION("""COMPUTED_VALUE"""),"0209/FTSCY/WS95031 34522550.00 krg 25 jt EKO SETIYAWAN")</f>
        <v>0209/FTSCY/WS95031 34522550.00 krg 25 jt EKO SETIYAWAN</v>
      </c>
      <c r="D15" s="2">
        <f>IFERROR(__xludf.DUMMYFUNCTION("""COMPUTED_VALUE"""),3.452255E7)</f>
        <v>34522550</v>
      </c>
      <c r="E15" s="2"/>
      <c r="F15" s="2" t="str">
        <f>IFERROR(__xludf.DUMMYFUNCTION("""COMPUTED_VALUE"""),"DB")</f>
        <v>DB</v>
      </c>
      <c r="G15" s="2">
        <f>IFERROR(__xludf.DUMMYFUNCTION("""COMPUTED_VALUE"""),1.0422219735899999E9)</f>
        <v>1042221974</v>
      </c>
      <c r="H15" s="2"/>
      <c r="I15" s="2" t="str">
        <f>IFERROR(__xludf.DUMMYFUNCTION("""COMPUTED_VALUE"""),"PRODUKSI")</f>
        <v>PRODUKSI</v>
      </c>
    </row>
    <row r="16">
      <c r="A16" s="10">
        <f>IFERROR(__xludf.DUMMYFUNCTION("""COMPUTED_VALUE"""),46267.0)</f>
        <v>46267</v>
      </c>
      <c r="B16" s="2" t="str">
        <f>IFERROR(__xludf.DUMMYFUNCTION("""COMPUTED_VALUE"""),"TRSF E-BANKING DB")</f>
        <v>TRSF E-BANKING DB</v>
      </c>
      <c r="C16" s="2" t="str">
        <f>IFERROR(__xludf.DUMMYFUNCTION("""COMPUTED_VALUE"""),"0209/FTSCY/WS95031 956000.00 EKO SETIYAWAN")</f>
        <v>0209/FTSCY/WS95031 956000.00 EKO SETIYAWAN</v>
      </c>
      <c r="D16" s="2">
        <f>IFERROR(__xludf.DUMMYFUNCTION("""COMPUTED_VALUE"""),956000.0)</f>
        <v>956000</v>
      </c>
      <c r="E16" s="2"/>
      <c r="F16" s="2" t="str">
        <f>IFERROR(__xludf.DUMMYFUNCTION("""COMPUTED_VALUE"""),"DB")</f>
        <v>DB</v>
      </c>
      <c r="G16" s="2">
        <f>IFERROR(__xludf.DUMMYFUNCTION("""COMPUTED_VALUE"""),1.0412659735899999E9)</f>
        <v>1041265974</v>
      </c>
      <c r="H16" s="2"/>
      <c r="I16" s="2" t="str">
        <f>IFERROR(__xludf.DUMMYFUNCTION("""COMPUTED_VALUE"""),"PRODUKSI")</f>
        <v>PRODUKSI</v>
      </c>
    </row>
    <row r="17">
      <c r="A17" s="10">
        <f>IFERROR(__xludf.DUMMYFUNCTION("""COMPUTED_VALUE"""),46267.0)</f>
        <v>46267</v>
      </c>
      <c r="B17" s="2" t="str">
        <f>IFERROR(__xludf.DUMMYFUNCTION("""COMPUTED_VALUE"""),"TRSF E-BANKING DB")</f>
        <v>TRSF E-BANKING DB</v>
      </c>
      <c r="C17" s="2" t="str">
        <f>IFERROR(__xludf.DUMMYFUNCTION("""COMPUTED_VALUE"""),"0209/FTSCY/WS95271 26997500.00 Sun Aug 30 2026 14:00:00 GMT+0700 (Western Indonesia Time) SUPER UNGGAS JAYA")</f>
        <v>0209/FTSCY/WS95271 26997500.00 Sun Aug 30 2026 14:00:00 GMT+0700 (Western Indonesia Time) SUPER UNGGAS JAYA</v>
      </c>
      <c r="D17" s="2">
        <f>IFERROR(__xludf.DUMMYFUNCTION("""COMPUTED_VALUE"""),2.69975E7)</f>
        <v>26997500</v>
      </c>
      <c r="E17" s="2"/>
      <c r="F17" s="2" t="str">
        <f>IFERROR(__xludf.DUMMYFUNCTION("""COMPUTED_VALUE"""),"DB")</f>
        <v>DB</v>
      </c>
      <c r="G17" s="2">
        <f>IFERROR(__xludf.DUMMYFUNCTION("""COMPUTED_VALUE"""),2.963011835899999E8)</f>
        <v>296301183.6</v>
      </c>
      <c r="H17" s="2"/>
      <c r="I17" s="2" t="str">
        <f>IFERROR(__xludf.DUMMYFUNCTION("""COMPUTED_VALUE"""),"PRODUKSI")</f>
        <v>PRODUKSI</v>
      </c>
    </row>
    <row r="18">
      <c r="A18" s="10">
        <f>IFERROR(__xludf.DUMMYFUNCTION("""COMPUTED_VALUE"""),46267.0)</f>
        <v>46267</v>
      </c>
      <c r="B18" s="2" t="str">
        <f>IFERROR(__xludf.DUMMYFUNCTION("""COMPUTED_VALUE"""),"TRSF E-BANKING DB")</f>
        <v>TRSF E-BANKING DB</v>
      </c>
      <c r="C18" s="2" t="str">
        <f>IFERROR(__xludf.DUMMYFUNCTION("""COMPUTED_VALUE"""),"0209/FTSCY/WS95031 1739690.00 NURHAYATI")</f>
        <v>0209/FTSCY/WS95031 1739690.00 NURHAYATI</v>
      </c>
      <c r="D18" s="2">
        <f>IFERROR(__xludf.DUMMYFUNCTION("""COMPUTED_VALUE"""),1739690.0)</f>
        <v>1739690</v>
      </c>
      <c r="E18" s="2"/>
      <c r="F18" s="2" t="str">
        <f>IFERROR(__xludf.DUMMYFUNCTION("""COMPUTED_VALUE"""),"DB")</f>
        <v>DB</v>
      </c>
      <c r="G18" s="2">
        <f>IFERROR(__xludf.DUMMYFUNCTION("""COMPUTED_VALUE"""),2.945614935899999E8)</f>
        <v>294561493.6</v>
      </c>
      <c r="H18" s="2"/>
      <c r="I18" s="2" t="str">
        <f>IFERROR(__xludf.DUMMYFUNCTION("""COMPUTED_VALUE"""),"PRODUKSI")</f>
        <v>PRODUKSI</v>
      </c>
    </row>
    <row r="19">
      <c r="A19" s="10">
        <f>IFERROR(__xludf.DUMMYFUNCTION("""COMPUTED_VALUE"""),46267.0)</f>
        <v>46267</v>
      </c>
      <c r="B19" s="2" t="str">
        <f>IFERROR(__xludf.DUMMYFUNCTION("""COMPUTED_VALUE"""),"TRSF E-BANKING DB")</f>
        <v>TRSF E-BANKING DB</v>
      </c>
      <c r="C19" s="2" t="str">
        <f>IFERROR(__xludf.DUMMYFUNCTION("""COMPUTED_VALUE"""),"0209/FTSCY/WS95271 47541900.00 Mon Aug 31 2026 14:00:00 GMT+0700 (Western Indonesia Time) TUMBUH OPTIMAL PRI")</f>
        <v>0209/FTSCY/WS95271 47541900.00 Mon Aug 31 2026 14:00:00 GMT+0700 (Western Indonesia Time) TUMBUH OPTIMAL PRI</v>
      </c>
      <c r="D19" s="2">
        <f>IFERROR(__xludf.DUMMYFUNCTION("""COMPUTED_VALUE"""),4.75419E7)</f>
        <v>47541900</v>
      </c>
      <c r="E19" s="2"/>
      <c r="F19" s="2" t="str">
        <f>IFERROR(__xludf.DUMMYFUNCTION("""COMPUTED_VALUE"""),"DB")</f>
        <v>DB</v>
      </c>
      <c r="G19" s="2">
        <f>IFERROR(__xludf.DUMMYFUNCTION("""COMPUTED_VALUE"""),2.161025535899999E8)</f>
        <v>216102553.6</v>
      </c>
      <c r="H19" s="2"/>
      <c r="I19" s="2" t="str">
        <f>IFERROR(__xludf.DUMMYFUNCTION("""COMPUTED_VALUE"""),"PRODUKSI")</f>
        <v>PRODUKSI</v>
      </c>
    </row>
    <row r="20">
      <c r="A20" s="10">
        <f>IFERROR(__xludf.DUMMYFUNCTION("""COMPUTED_VALUE"""),46267.0)</f>
        <v>46267</v>
      </c>
      <c r="B20" s="2" t="str">
        <f>IFERROR(__xludf.DUMMYFUNCTION("""COMPUTED_VALUE"""),"TRSF E-BANKING DB")</f>
        <v>TRSF E-BANKING DB</v>
      </c>
      <c r="C20" s="2" t="str">
        <f>IFERROR(__xludf.DUMMYFUNCTION("""COMPUTED_VALUE"""),"0209/FTFVA/WS95031 55569/PT PRIMA FAJ bwi lunas - 40190")</f>
        <v>0209/FTFVA/WS95031 55569/PT PRIMA FAJ bwi lunas - 40190</v>
      </c>
      <c r="D20" s="2">
        <f>IFERROR(__xludf.DUMMYFUNCTION("""COMPUTED_VALUE"""),1.3541345E8)</f>
        <v>135413450</v>
      </c>
      <c r="E20" s="2"/>
      <c r="F20" s="2" t="str">
        <f>IFERROR(__xludf.DUMMYFUNCTION("""COMPUTED_VALUE"""),"DB")</f>
        <v>DB</v>
      </c>
      <c r="G20" s="2">
        <f>IFERROR(__xludf.DUMMYFUNCTION("""COMPUTED_VALUE"""),5.4289103589999914E7)</f>
        <v>54289103.59</v>
      </c>
      <c r="H20" s="2">
        <f>IFERROR(__xludf.DUMMYFUNCTION("""COMPUTED_VALUE"""),5.428910359E7)</f>
        <v>54289103.59</v>
      </c>
      <c r="I20" s="2" t="str">
        <f>IFERROR(__xludf.DUMMYFUNCTION("""COMPUTED_VALUE"""),"PRODUKSI")</f>
        <v>PRODUKSI</v>
      </c>
    </row>
    <row r="21">
      <c r="A21" s="10">
        <f>IFERROR(__xludf.DUMMYFUNCTION("""COMPUTED_VALUE"""),46267.0)</f>
        <v>46267</v>
      </c>
      <c r="B21" s="2" t="str">
        <f>IFERROR(__xludf.DUMMYFUNCTION("""COMPUTED_VALUE"""),"TRSF E-BANKING DB")</f>
        <v>TRSF E-BANKING DB</v>
      </c>
      <c r="C21" s="2" t="str">
        <f>IFERROR(__xludf.DUMMYFUNCTION("""COMPUTED_VALUE"""),"0209/FTFVA/WS95031 67847/UNGGAS MANDI titip - 200043")</f>
        <v>0209/FTFVA/WS95031 67847/UNGGAS MANDI titip - 200043</v>
      </c>
      <c r="D21" s="2">
        <f>IFERROR(__xludf.DUMMYFUNCTION("""COMPUTED_VALUE"""),5.0E7)</f>
        <v>50000000</v>
      </c>
      <c r="E21" s="2"/>
      <c r="F21" s="2" t="str">
        <f>IFERROR(__xludf.DUMMYFUNCTION("""COMPUTED_VALUE"""),"DB")</f>
        <v>DB</v>
      </c>
      <c r="G21" s="2">
        <f>IFERROR(__xludf.DUMMYFUNCTION("""COMPUTED_VALUE"""),4289103.589999914)</f>
        <v>4289103.59</v>
      </c>
      <c r="H21" s="2"/>
      <c r="I21" s="2" t="str">
        <f>IFERROR(__xludf.DUMMYFUNCTION("""COMPUTED_VALUE"""),"PRODUKSI")</f>
        <v>PRODUKSI</v>
      </c>
    </row>
    <row r="22">
      <c r="A22" s="10">
        <f>IFERROR(__xludf.DUMMYFUNCTION("""COMPUTED_VALUE"""),46267.0)</f>
        <v>46267</v>
      </c>
      <c r="B22" s="2" t="str">
        <f>IFERROR(__xludf.DUMMYFUNCTION("""COMPUTED_VALUE"""),"TRSF E-BANKING DB")</f>
        <v>TRSF E-BANKING DB</v>
      </c>
      <c r="C22" s="2" t="str">
        <f>IFERROR(__xludf.DUMMYFUNCTION("""COMPUTED_VALUE"""),"0209/FTSCY/WS95031 500000.00 SUNARTO")</f>
        <v>0209/FTSCY/WS95031 500000.00 SUNARTO</v>
      </c>
      <c r="D22" s="2">
        <f>IFERROR(__xludf.DUMMYFUNCTION("""COMPUTED_VALUE"""),500000.0)</f>
        <v>500000</v>
      </c>
      <c r="E22" s="2"/>
      <c r="F22" s="2" t="str">
        <f>IFERROR(__xludf.DUMMYFUNCTION("""COMPUTED_VALUE"""),"DB")</f>
        <v>DB</v>
      </c>
      <c r="G22" s="2">
        <f>IFERROR(__xludf.DUMMYFUNCTION("""COMPUTED_VALUE"""),1989103.5899999142)</f>
        <v>1989103.59</v>
      </c>
      <c r="H22" s="2">
        <f>IFERROR(__xludf.DUMMYFUNCTION("""COMPUTED_VALUE"""),1989103.59)</f>
        <v>1989103.59</v>
      </c>
      <c r="I22" s="2" t="str">
        <f>IFERROR(__xludf.DUMMYFUNCTION("""COMPUTED_VALUE"""),"PRODUKSI")</f>
        <v>PRODUKSI</v>
      </c>
    </row>
    <row r="23">
      <c r="A23" s="10">
        <f>IFERROR(__xludf.DUMMYFUNCTION("""COMPUTED_VALUE"""),46268.0)</f>
        <v>46268</v>
      </c>
      <c r="B23" s="2" t="str">
        <f>IFERROR(__xludf.DUMMYFUNCTION("""COMPUTED_VALUE"""),"TARIKAN ATM 03/09")</f>
        <v>TARIKAN ATM 03/09</v>
      </c>
      <c r="C23" s="2" t="str">
        <f>IFERROR(__xludf.DUMMYFUNCTION("""COMPUTED_VALUE"""),"TARIKAN ATM 03/09")</f>
        <v>TARIKAN ATM 03/09</v>
      </c>
      <c r="D23" s="2">
        <f>IFERROR(__xludf.DUMMYFUNCTION("""COMPUTED_VALUE"""),150000.0)</f>
        <v>150000</v>
      </c>
      <c r="E23" s="2"/>
      <c r="F23" s="2"/>
      <c r="G23" s="2">
        <f>IFERROR(__xludf.DUMMYFUNCTION("""COMPUTED_VALUE"""),7.223510358999991E7)</f>
        <v>72235103.59</v>
      </c>
      <c r="H23" s="2"/>
      <c r="I23" s="2" t="str">
        <f>IFERROR(__xludf.DUMMYFUNCTION("""COMPUTED_VALUE"""),"PRODUKSI")</f>
        <v>PRODUKSI</v>
      </c>
    </row>
    <row r="24">
      <c r="A24" s="10">
        <f>IFERROR(__xludf.DUMMYFUNCTION("""COMPUTED_VALUE"""),46268.0)</f>
        <v>46268</v>
      </c>
      <c r="B24" s="2" t="str">
        <f>IFERROR(__xludf.DUMMYFUNCTION("""COMPUTED_VALUE"""),"TRSF E-BANKING DB")</f>
        <v>TRSF E-BANKING DB</v>
      </c>
      <c r="C24" s="2" t="str">
        <f>IFERROR(__xludf.DUMMYFUNCTION("""COMPUTED_VALUE"""),"0309/FTSCY/WS95271 20054600.00 MELING GUSTIANI")</f>
        <v>0309/FTSCY/WS95271 20054600.00 MELING GUSTIANI</v>
      </c>
      <c r="D24" s="2">
        <f>IFERROR(__xludf.DUMMYFUNCTION("""COMPUTED_VALUE"""),2.00546E7)</f>
        <v>20054600</v>
      </c>
      <c r="E24" s="2"/>
      <c r="F24" s="2" t="str">
        <f>IFERROR(__xludf.DUMMYFUNCTION("""COMPUTED_VALUE"""),"DB")</f>
        <v>DB</v>
      </c>
      <c r="G24" s="2">
        <f>IFERROR(__xludf.DUMMYFUNCTION("""COMPUTED_VALUE"""),9.218050358999991E7)</f>
        <v>92180503.59</v>
      </c>
      <c r="H24" s="2"/>
      <c r="I24" s="2" t="str">
        <f>IFERROR(__xludf.DUMMYFUNCTION("""COMPUTED_VALUE"""),"PRODUKSI")</f>
        <v>PRODUKSI</v>
      </c>
    </row>
    <row r="25">
      <c r="A25" s="10">
        <f>IFERROR(__xludf.DUMMYFUNCTION("""COMPUTED_VALUE"""),46268.0)</f>
        <v>46268</v>
      </c>
      <c r="B25" s="2" t="str">
        <f>IFERROR(__xludf.DUMMYFUNCTION("""COMPUTED_VALUE"""),"BI-FAST DB")</f>
        <v>BI-FAST DB</v>
      </c>
      <c r="C25" s="2" t="str">
        <f>IFERROR(__xludf.DUMMYFUNCTION("""COMPUTED_VALUE"""),"BIF TRANSFER KE 8 NURHAYATI MyBCA")</f>
        <v>BIF TRANSFER KE 8 NURHAYATI MyBCA</v>
      </c>
      <c r="D25" s="2">
        <f>IFERROR(__xludf.DUMMYFUNCTION("""COMPUTED_VALUE"""),4040000.0)</f>
        <v>4040000</v>
      </c>
      <c r="E25" s="2"/>
      <c r="F25" s="2" t="str">
        <f>IFERROR(__xludf.DUMMYFUNCTION("""COMPUTED_VALUE"""),"DB")</f>
        <v>DB</v>
      </c>
      <c r="G25" s="2">
        <f>IFERROR(__xludf.DUMMYFUNCTION("""COMPUTED_VALUE"""),8.814050358999991E7)</f>
        <v>88140503.59</v>
      </c>
      <c r="H25" s="2"/>
      <c r="I25" s="2" t="str">
        <f>IFERROR(__xludf.DUMMYFUNCTION("""COMPUTED_VALUE"""),"PRODUKSI")</f>
        <v>PRODUKSI</v>
      </c>
    </row>
    <row r="26">
      <c r="A26" s="10">
        <f>IFERROR(__xludf.DUMMYFUNCTION("""COMPUTED_VALUE"""),46268.0)</f>
        <v>46268</v>
      </c>
      <c r="B26" s="2" t="str">
        <f>IFERROR(__xludf.DUMMYFUNCTION("""COMPUTED_VALUE"""),"BI-FAST DB")</f>
        <v>BI-FAST DB</v>
      </c>
      <c r="C26" s="2" t="str">
        <f>IFERROR(__xludf.DUMMYFUNCTION("""COMPUTED_VALUE"""),"BIF BIAYA TXN KE 8 NURHAYATI MyBCA")</f>
        <v>BIF BIAYA TXN KE 8 NURHAYATI MyBCA</v>
      </c>
      <c r="D26" s="2">
        <f>IFERROR(__xludf.DUMMYFUNCTION("""COMPUTED_VALUE"""),2500.0)</f>
        <v>2500</v>
      </c>
      <c r="E26" s="2"/>
      <c r="F26" s="2" t="str">
        <f>IFERROR(__xludf.DUMMYFUNCTION("""COMPUTED_VALUE"""),"DB")</f>
        <v>DB</v>
      </c>
      <c r="G26" s="2">
        <f>IFERROR(__xludf.DUMMYFUNCTION("""COMPUTED_VALUE"""),8.813800358999991E7)</f>
        <v>88138003.59</v>
      </c>
      <c r="H26" s="2"/>
      <c r="I26" s="2" t="str">
        <f>IFERROR(__xludf.DUMMYFUNCTION("""COMPUTED_VALUE"""),"PRODUKSI")</f>
        <v>PRODUKSI</v>
      </c>
    </row>
    <row r="27">
      <c r="A27" s="10">
        <f>IFERROR(__xludf.DUMMYFUNCTION("""COMPUTED_VALUE"""),46268.0)</f>
        <v>46268</v>
      </c>
      <c r="B27" s="2" t="str">
        <f>IFERROR(__xludf.DUMMYFUNCTION("""COMPUTED_VALUE"""),"TRSF E-BANKING DB")</f>
        <v>TRSF E-BANKING DB</v>
      </c>
      <c r="C27" s="2" t="str">
        <f>IFERROR(__xludf.DUMMYFUNCTION("""COMPUTED_VALUE"""),"0309/FTSCY/WS95271 1700000.00 BELA PRAMUDITA")</f>
        <v>0309/FTSCY/WS95271 1700000.00 BELA PRAMUDITA</v>
      </c>
      <c r="D27" s="2">
        <f>IFERROR(__xludf.DUMMYFUNCTION("""COMPUTED_VALUE"""),1700000.0)</f>
        <v>1700000</v>
      </c>
      <c r="E27" s="2"/>
      <c r="F27" s="2" t="str">
        <f>IFERROR(__xludf.DUMMYFUNCTION("""COMPUTED_VALUE"""),"DB")</f>
        <v>DB</v>
      </c>
      <c r="G27" s="2">
        <f>IFERROR(__xludf.DUMMYFUNCTION("""COMPUTED_VALUE"""),7.743800358999991E7)</f>
        <v>77438003.59</v>
      </c>
      <c r="H27" s="2">
        <f>IFERROR(__xludf.DUMMYFUNCTION("""COMPUTED_VALUE"""),7.743800359E7)</f>
        <v>77438003.59</v>
      </c>
      <c r="I27" s="2" t="str">
        <f>IFERROR(__xludf.DUMMYFUNCTION("""COMPUTED_VALUE"""),"PRODUKSI")</f>
        <v>PRODUKSI</v>
      </c>
    </row>
    <row r="28">
      <c r="A28" s="10">
        <f>IFERROR(__xludf.DUMMYFUNCTION("""COMPUTED_VALUE"""),46268.0)</f>
        <v>46268</v>
      </c>
      <c r="B28" s="2" t="str">
        <f>IFERROR(__xludf.DUMMYFUNCTION("""COMPUTED_VALUE"""),"TRSF E-BANKING DB")</f>
        <v>TRSF E-BANKING DB</v>
      </c>
      <c r="C28" s="2" t="str">
        <f>IFERROR(__xludf.DUMMYFUNCTION("""COMPUTED_VALUE"""),"0309/FTSCY/WS95271 2411220.00 HERMAWAN")</f>
        <v>0309/FTSCY/WS95271 2411220.00 HERMAWAN</v>
      </c>
      <c r="D28" s="2">
        <f>IFERROR(__xludf.DUMMYFUNCTION("""COMPUTED_VALUE"""),2411220.0)</f>
        <v>2411220</v>
      </c>
      <c r="E28" s="2"/>
      <c r="F28" s="2" t="str">
        <f>IFERROR(__xludf.DUMMYFUNCTION("""COMPUTED_VALUE"""),"DB")</f>
        <v>DB</v>
      </c>
      <c r="G28" s="2">
        <f>IFERROR(__xludf.DUMMYFUNCTION("""COMPUTED_VALUE"""),7.502678358999991E7)</f>
        <v>75026783.59</v>
      </c>
      <c r="H28" s="2">
        <f>IFERROR(__xludf.DUMMYFUNCTION("""COMPUTED_VALUE"""),7.502678359E7)</f>
        <v>75026783.59</v>
      </c>
      <c r="I28" s="2" t="str">
        <f>IFERROR(__xludf.DUMMYFUNCTION("""COMPUTED_VALUE"""),"PRODUKSI")</f>
        <v>PRODUKSI</v>
      </c>
    </row>
    <row r="29">
      <c r="A29" s="10">
        <f>IFERROR(__xludf.DUMMYFUNCTION("""COMPUTED_VALUE"""),46268.0)</f>
        <v>46268</v>
      </c>
      <c r="B29" s="2" t="str">
        <f>IFERROR(__xludf.DUMMYFUNCTION("""COMPUTED_VALUE"""),"KARTU DEBIT")</f>
        <v>KARTU DEBIT</v>
      </c>
      <c r="C29" s="2" t="str">
        <f>IFERROR(__xludf.DUMMYFUNCTION("""COMPUTED_VALUE"""),"IDM TROJ LANGSEP 6019009510239343")</f>
        <v>IDM TROJ LANGSEP 6019009510239343</v>
      </c>
      <c r="D29" s="2">
        <f>IFERROR(__xludf.DUMMYFUNCTION("""COMPUTED_VALUE"""),168200.0)</f>
        <v>168200</v>
      </c>
      <c r="E29" s="2"/>
      <c r="F29" s="2"/>
      <c r="G29" s="2">
        <f>IFERROR(__xludf.DUMMYFUNCTION("""COMPUTED_VALUE"""),7.485858358999991E7)</f>
        <v>74858583.59</v>
      </c>
      <c r="H29" s="2">
        <f>IFERROR(__xludf.DUMMYFUNCTION("""COMPUTED_VALUE"""),7.485858359E7)</f>
        <v>74858583.59</v>
      </c>
      <c r="I29" s="2" t="str">
        <f>IFERROR(__xludf.DUMMYFUNCTION("""COMPUTED_VALUE"""),"PRODUKSI")</f>
        <v>PRODUKSI</v>
      </c>
    </row>
    <row r="30">
      <c r="A30" s="10">
        <f>IFERROR(__xludf.DUMMYFUNCTION("""COMPUTED_VALUE"""),46269.0)</f>
        <v>46269</v>
      </c>
      <c r="B30" s="2" t="str">
        <f>IFERROR(__xludf.DUMMYFUNCTION("""COMPUTED_VALUE"""),"BI-FAST DB")</f>
        <v>BI-FAST DB</v>
      </c>
      <c r="C30" s="2" t="str">
        <f>IFERROR(__xludf.DUMMYFUNCTION("""COMPUTED_VALUE"""),"BIF TRANSFER KE 2 MOH. IMAM ARIFIN M-BCA")</f>
        <v>BIF TRANSFER KE 2 MOH. IMAM ARIFIN M-BCA</v>
      </c>
      <c r="D30" s="2">
        <f>IFERROR(__xludf.DUMMYFUNCTION("""COMPUTED_VALUE"""),200000.0)</f>
        <v>200000</v>
      </c>
      <c r="E30" s="2"/>
      <c r="F30" s="2" t="str">
        <f>IFERROR(__xludf.DUMMYFUNCTION("""COMPUTED_VALUE"""),"DB")</f>
        <v>DB</v>
      </c>
      <c r="G30" s="2">
        <f>IFERROR(__xludf.DUMMYFUNCTION("""COMPUTED_VALUE"""),7.465858358999991E7)</f>
        <v>74658583.59</v>
      </c>
      <c r="H30" s="2"/>
      <c r="I30" s="2" t="str">
        <f>IFERROR(__xludf.DUMMYFUNCTION("""COMPUTED_VALUE"""),"PRODUKSI")</f>
        <v>PRODUKSI</v>
      </c>
    </row>
    <row r="31">
      <c r="A31" s="10">
        <f>IFERROR(__xludf.DUMMYFUNCTION("""COMPUTED_VALUE"""),46278.0)</f>
        <v>46278</v>
      </c>
      <c r="B31" s="2" t="str">
        <f>IFERROR(__xludf.DUMMYFUNCTION("""COMPUTED_VALUE"""),"TRSF E-BANKING DB")</f>
        <v>TRSF E-BANKING DB</v>
      </c>
      <c r="C31" s="2" t="str">
        <f>IFERROR(__xludf.DUMMYFUNCTION("""COMPUTED_VALUE"""),"1309/FTSCY/WS95031 3714950.00 HERMAWAN")</f>
        <v>1309/FTSCY/WS95031 3714950.00 HERMAWAN</v>
      </c>
      <c r="D31" s="2">
        <f>IFERROR(__xludf.DUMMYFUNCTION("""COMPUTED_VALUE"""),3714950.0)</f>
        <v>3714950</v>
      </c>
      <c r="E31" s="2"/>
      <c r="F31" s="2" t="str">
        <f>IFERROR(__xludf.DUMMYFUNCTION("""COMPUTED_VALUE"""),"DB")</f>
        <v>DB</v>
      </c>
      <c r="G31" s="2">
        <f>IFERROR(__xludf.DUMMYFUNCTION("""COMPUTED_VALUE"""),1.9622354589999914E7)</f>
        <v>19622354.59</v>
      </c>
      <c r="H31" s="2"/>
      <c r="I31" s="2" t="str">
        <f>IFERROR(__xludf.DUMMYFUNCTION("""COMPUTED_VALUE"""),"PRODUKSI")</f>
        <v>PRODUKSI</v>
      </c>
    </row>
    <row r="32">
      <c r="A32" s="10">
        <f>IFERROR(__xludf.DUMMYFUNCTION("""COMPUTED_VALUE"""),46278.0)</f>
        <v>46278</v>
      </c>
      <c r="B32" s="2" t="str">
        <f>IFERROR(__xludf.DUMMYFUNCTION("""COMPUTED_VALUE"""),"TRSF E-BANKING DB")</f>
        <v>TRSF E-BANKING DB</v>
      </c>
      <c r="C32" s="2" t="str">
        <f>IFERROR(__xludf.DUMMYFUNCTION("""COMPUTED_VALUE"""),"1309/FTSCY/WS95031 2294600.00 DWI HERMANSYAH")</f>
        <v>1309/FTSCY/WS95031 2294600.00 DWI HERMANSYAH</v>
      </c>
      <c r="D32" s="2">
        <f>IFERROR(__xludf.DUMMYFUNCTION("""COMPUTED_VALUE"""),2294600.0)</f>
        <v>2294600</v>
      </c>
      <c r="E32" s="2"/>
      <c r="F32" s="2" t="str">
        <f>IFERROR(__xludf.DUMMYFUNCTION("""COMPUTED_VALUE"""),"DB")</f>
        <v>DB</v>
      </c>
      <c r="G32" s="2">
        <f>IFERROR(__xludf.DUMMYFUNCTION("""COMPUTED_VALUE"""),1.7327754589999914E7)</f>
        <v>17327754.59</v>
      </c>
      <c r="H32" s="2"/>
      <c r="I32" s="2" t="str">
        <f>IFERROR(__xludf.DUMMYFUNCTION("""COMPUTED_VALUE"""),"PRODUKSI")</f>
        <v>PRODUKSI</v>
      </c>
    </row>
    <row r="33">
      <c r="A33" s="10">
        <f>IFERROR(__xludf.DUMMYFUNCTION("""COMPUTED_VALUE"""),46278.0)</f>
        <v>46278</v>
      </c>
      <c r="B33" s="2" t="str">
        <f>IFERROR(__xludf.DUMMYFUNCTION("""COMPUTED_VALUE"""),"TRSF E-BANKING DB")</f>
        <v>TRSF E-BANKING DB</v>
      </c>
      <c r="C33" s="2" t="str">
        <f>IFERROR(__xludf.DUMMYFUNCTION("""COMPUTED_VALUE"""),"1309/FTSCY/WS95031 2174750.00 FAJAR ANDREANZAH")</f>
        <v>1309/FTSCY/WS95031 2174750.00 FAJAR ANDREANZAH</v>
      </c>
      <c r="D33" s="2">
        <f>IFERROR(__xludf.DUMMYFUNCTION("""COMPUTED_VALUE"""),2174750.0)</f>
        <v>2174750</v>
      </c>
      <c r="E33" s="2"/>
      <c r="F33" s="2" t="str">
        <f>IFERROR(__xludf.DUMMYFUNCTION("""COMPUTED_VALUE"""),"DB")</f>
        <v>DB</v>
      </c>
      <c r="G33" s="2">
        <f>IFERROR(__xludf.DUMMYFUNCTION("""COMPUTED_VALUE"""),1.5153004589999914E7)</f>
        <v>15153004.59</v>
      </c>
      <c r="H33" s="2"/>
      <c r="I33" s="2" t="str">
        <f>IFERROR(__xludf.DUMMYFUNCTION("""COMPUTED_VALUE"""),"PRODUKSI")</f>
        <v>PRODUKSI</v>
      </c>
    </row>
    <row r="34">
      <c r="A34" s="10">
        <f>IFERROR(__xludf.DUMMYFUNCTION("""COMPUTED_VALUE"""),46278.0)</f>
        <v>46278</v>
      </c>
      <c r="B34" s="2" t="str">
        <f>IFERROR(__xludf.DUMMYFUNCTION("""COMPUTED_VALUE"""),"TRSF E-BANKING DB")</f>
        <v>TRSF E-BANKING DB</v>
      </c>
      <c r="C34" s="2" t="str">
        <f>IFERROR(__xludf.DUMMYFUNCTION("""COMPUTED_VALUE"""),"1309/FTSCY/WS95271 10306710.00 krg 55 jt EKO SETIYAWAN")</f>
        <v>1309/FTSCY/WS95271 10306710.00 krg 55 jt EKO SETIYAWAN</v>
      </c>
      <c r="D34" s="2">
        <f>IFERROR(__xludf.DUMMYFUNCTION("""COMPUTED_VALUE"""),1.030671E7)</f>
        <v>10306710</v>
      </c>
      <c r="E34" s="2"/>
      <c r="F34" s="2" t="str">
        <f>IFERROR(__xludf.DUMMYFUNCTION("""COMPUTED_VALUE"""),"DB")</f>
        <v>DB</v>
      </c>
      <c r="G34" s="2">
        <f>IFERROR(__xludf.DUMMYFUNCTION("""COMPUTED_VALUE"""),4846294.589999914)</f>
        <v>4846294.59</v>
      </c>
      <c r="H34" s="2"/>
      <c r="I34" s="2" t="str">
        <f>IFERROR(__xludf.DUMMYFUNCTION("""COMPUTED_VALUE"""),"PRODUKSI")</f>
        <v>PRODUKSI</v>
      </c>
    </row>
    <row r="35">
      <c r="A35" s="10">
        <f>IFERROR(__xludf.DUMMYFUNCTION("""COMPUTED_VALUE"""),46278.0)</f>
        <v>46278</v>
      </c>
      <c r="B35" s="2" t="str">
        <f>IFERROR(__xludf.DUMMYFUNCTION("""COMPUTED_VALUE"""),"TRSF E-BANKING DB")</f>
        <v>TRSF E-BANKING DB</v>
      </c>
      <c r="C35" s="2" t="str">
        <f>IFERROR(__xludf.DUMMYFUNCTION("""COMPUTED_VALUE"""),"1309/FTSCY/WS95031 600000.00 NURHAYATI")</f>
        <v>1309/FTSCY/WS95031 600000.00 NURHAYATI</v>
      </c>
      <c r="D35" s="2">
        <f>IFERROR(__xludf.DUMMYFUNCTION("""COMPUTED_VALUE"""),600000.0)</f>
        <v>600000</v>
      </c>
      <c r="E35" s="2"/>
      <c r="F35" s="2" t="str">
        <f>IFERROR(__xludf.DUMMYFUNCTION("""COMPUTED_VALUE"""),"DB")</f>
        <v>DB</v>
      </c>
      <c r="G35" s="2">
        <f>IFERROR(__xludf.DUMMYFUNCTION("""COMPUTED_VALUE"""),4246294.589999914)</f>
        <v>4246294.59</v>
      </c>
      <c r="H35" s="2"/>
      <c r="I35" s="2" t="str">
        <f>IFERROR(__xludf.DUMMYFUNCTION("""COMPUTED_VALUE"""),"PRODUKSI")</f>
        <v>PRODUKSI</v>
      </c>
    </row>
    <row r="36">
      <c r="A36" s="10">
        <f>IFERROR(__xludf.DUMMYFUNCTION("""COMPUTED_VALUE"""),46278.0)</f>
        <v>46278</v>
      </c>
      <c r="B36" s="2" t="str">
        <f>IFERROR(__xludf.DUMMYFUNCTION("""COMPUTED_VALUE"""),"TRSF E-BANKING DB")</f>
        <v>TRSF E-BANKING DB</v>
      </c>
      <c r="C36" s="2" t="str">
        <f>IFERROR(__xludf.DUMMYFUNCTION("""COMPUTED_VALUE"""),"1309/FTFVA/WS95031 55569/PT PRIMA FAJ pelunasan prob. da n malang 40190")</f>
        <v>1309/FTFVA/WS95031 55569/PT PRIMA FAJ pelunasan prob. da n malang 40190</v>
      </c>
      <c r="D36" s="2">
        <f>IFERROR(__xludf.DUMMYFUNCTION("""COMPUTED_VALUE"""),1.4031355E8)</f>
        <v>140313550</v>
      </c>
      <c r="E36" s="2"/>
      <c r="F36" s="2" t="str">
        <f>IFERROR(__xludf.DUMMYFUNCTION("""COMPUTED_VALUE"""),"DB")</f>
        <v>DB</v>
      </c>
      <c r="G36" s="2">
        <f>IFERROR(__xludf.DUMMYFUNCTION("""COMPUTED_VALUE"""),4.444893445899999E8)</f>
        <v>444489344.6</v>
      </c>
      <c r="H36" s="2"/>
      <c r="I36" s="2" t="str">
        <f>IFERROR(__xludf.DUMMYFUNCTION("""COMPUTED_VALUE"""),"PRODUKSI")</f>
        <v>PRODUKSI</v>
      </c>
    </row>
    <row r="37">
      <c r="A37" s="10">
        <f>IFERROR(__xludf.DUMMYFUNCTION("""COMPUTED_VALUE"""),46278.0)</f>
        <v>46278</v>
      </c>
      <c r="B37" s="2" t="str">
        <f>IFERROR(__xludf.DUMMYFUNCTION("""COMPUTED_VALUE"""),"TRSF E-BANKING DB")</f>
        <v>TRSF E-BANKING DB</v>
      </c>
      <c r="C37" s="2" t="str">
        <f>IFERROR(__xludf.DUMMYFUNCTION("""COMPUTED_VALUE"""),"1309/FTSCY/WS95011 188633500.00 Fri Sep 11 2026 14:00:00 GMT+0700 (Western Indonesia Time) GANESHA SATRIA NUS")</f>
        <v>1309/FTSCY/WS95011 188633500.00 Fri Sep 11 2026 14:00:00 GMT+0700 (Western Indonesia Time) GANESHA SATRIA NUS</v>
      </c>
      <c r="D37" s="2">
        <f>IFERROR(__xludf.DUMMYFUNCTION("""COMPUTED_VALUE"""),1.886335E8)</f>
        <v>188633500</v>
      </c>
      <c r="E37" s="2"/>
      <c r="F37" s="2" t="str">
        <f>IFERROR(__xludf.DUMMYFUNCTION("""COMPUTED_VALUE"""),"DB")</f>
        <v>DB</v>
      </c>
      <c r="G37" s="2">
        <f>IFERROR(__xludf.DUMMYFUNCTION("""COMPUTED_VALUE"""),2.558558445899999E8)</f>
        <v>255855844.6</v>
      </c>
      <c r="H37" s="2"/>
      <c r="I37" s="2" t="str">
        <f>IFERROR(__xludf.DUMMYFUNCTION("""COMPUTED_VALUE"""),"PRODUKSI")</f>
        <v>PRODUKSI</v>
      </c>
    </row>
    <row r="38">
      <c r="A38" s="10">
        <f>IFERROR(__xludf.DUMMYFUNCTION("""COMPUTED_VALUE"""),46278.0)</f>
        <v>46278</v>
      </c>
      <c r="B38" s="2" t="str">
        <f>IFERROR(__xludf.DUMMYFUNCTION("""COMPUTED_VALUE"""),"TRSF E-BANKING DB")</f>
        <v>TRSF E-BANKING DB</v>
      </c>
      <c r="C38" s="2" t="str">
        <f>IFERROR(__xludf.DUMMYFUNCTION("""COMPUTED_VALUE"""),"1309/FTSCY/WS95011 152710610.00 Fri Sep 11 2026 14:00:00 GMT+0700 (Western Indonesia Time) BINTANG TAMA SANTO")</f>
        <v>1309/FTSCY/WS95011 152710610.00 Fri Sep 11 2026 14:00:00 GMT+0700 (Western Indonesia Time) BINTANG TAMA SANTO</v>
      </c>
      <c r="D38" s="2">
        <f>IFERROR(__xludf.DUMMYFUNCTION("""COMPUTED_VALUE"""),1.5271061E8)</f>
        <v>152710610</v>
      </c>
      <c r="E38" s="2"/>
      <c r="F38" s="2" t="str">
        <f>IFERROR(__xludf.DUMMYFUNCTION("""COMPUTED_VALUE"""),"DB")</f>
        <v>DB</v>
      </c>
      <c r="G38" s="2">
        <f>IFERROR(__xludf.DUMMYFUNCTION("""COMPUTED_VALUE"""),1.695166345899999E8)</f>
        <v>169516634.6</v>
      </c>
      <c r="H38" s="2">
        <f>IFERROR(__xludf.DUMMYFUNCTION("""COMPUTED_VALUE"""),1.6951663459E8)</f>
        <v>169516634.6</v>
      </c>
      <c r="I38" s="2" t="str">
        <f>IFERROR(__xludf.DUMMYFUNCTION("""COMPUTED_VALUE"""),"PRODUKSI")</f>
        <v>PRODUKSI</v>
      </c>
    </row>
    <row r="39">
      <c r="A39" s="10">
        <f>IFERROR(__xludf.DUMMYFUNCTION("""COMPUTED_VALUE"""),46278.0)</f>
        <v>46278</v>
      </c>
      <c r="B39" s="2" t="str">
        <f>IFERROR(__xludf.DUMMYFUNCTION("""COMPUTED_VALUE"""),"TRSF E-BANKING DB")</f>
        <v>TRSF E-BANKING DB</v>
      </c>
      <c r="C39" s="2" t="str">
        <f>IFERROR(__xludf.DUMMYFUNCTION("""COMPUTED_VALUE"""),"1309/FTSCY/WS95011 57002000.00 Fri Sep 11 2026 14:00:00 GMT+0700 (Western Indonesia Time) SUPER UNGGAS JAYA")</f>
        <v>1309/FTSCY/WS95011 57002000.00 Fri Sep 11 2026 14:00:00 GMT+0700 (Western Indonesia Time) SUPER UNGGAS JAYA</v>
      </c>
      <c r="D39" s="2">
        <f>IFERROR(__xludf.DUMMYFUNCTION("""COMPUTED_VALUE"""),5.7002E7)</f>
        <v>57002000</v>
      </c>
      <c r="E39" s="2"/>
      <c r="F39" s="2" t="str">
        <f>IFERROR(__xludf.DUMMYFUNCTION("""COMPUTED_VALUE"""),"DB")</f>
        <v>DB</v>
      </c>
      <c r="G39" s="2">
        <f>IFERROR(__xludf.DUMMYFUNCTION("""COMPUTED_VALUE"""),1.1251463458999991E8)</f>
        <v>112514634.6</v>
      </c>
      <c r="H39" s="2"/>
      <c r="I39" s="2" t="str">
        <f>IFERROR(__xludf.DUMMYFUNCTION("""COMPUTED_VALUE"""),"PRODUKSI")</f>
        <v>PRODUKSI</v>
      </c>
    </row>
    <row r="40">
      <c r="A40" s="10">
        <f>IFERROR(__xludf.DUMMYFUNCTION("""COMPUTED_VALUE"""),46278.0)</f>
        <v>46278</v>
      </c>
      <c r="B40" s="2" t="str">
        <f>IFERROR(__xludf.DUMMYFUNCTION("""COMPUTED_VALUE"""),"TRSF E-BANKING DB")</f>
        <v>TRSF E-BANKING DB</v>
      </c>
      <c r="C40" s="2" t="str">
        <f>IFERROR(__xludf.DUMMYFUNCTION("""COMPUTED_VALUE"""),"1309/FTSCY/WS95011 101653450.00 Fri Sep 11 2026 14:00:00 GMT+0700 (Western Indonesia Time) TABASSAM AL HATTAK")</f>
        <v>1309/FTSCY/WS95011 101653450.00 Fri Sep 11 2026 14:00:00 GMT+0700 (Western Indonesia Time) TABASSAM AL HATTAK</v>
      </c>
      <c r="D40" s="2">
        <f>IFERROR(__xludf.DUMMYFUNCTION("""COMPUTED_VALUE"""),1.0165345E8)</f>
        <v>101653450</v>
      </c>
      <c r="E40" s="2"/>
      <c r="F40" s="2" t="str">
        <f>IFERROR(__xludf.DUMMYFUNCTION("""COMPUTED_VALUE"""),"DB")</f>
        <v>DB</v>
      </c>
      <c r="G40" s="2">
        <f>IFERROR(__xludf.DUMMYFUNCTION("""COMPUTED_VALUE"""),4.352721245899999E8)</f>
        <v>435272124.6</v>
      </c>
      <c r="H40" s="2"/>
      <c r="I40" s="2" t="str">
        <f>IFERROR(__xludf.DUMMYFUNCTION("""COMPUTED_VALUE"""),"PRODUKSI")</f>
        <v>PRODUKSI</v>
      </c>
    </row>
    <row r="41">
      <c r="A41" s="10">
        <f>IFERROR(__xludf.DUMMYFUNCTION("""COMPUTED_VALUE"""),46278.0)</f>
        <v>46278</v>
      </c>
      <c r="B41" s="2" t="str">
        <f>IFERROR(__xludf.DUMMYFUNCTION("""COMPUTED_VALUE"""),"TRSF E-BANKING DB")</f>
        <v>TRSF E-BANKING DB</v>
      </c>
      <c r="C41" s="2" t="str">
        <f>IFERROR(__xludf.DUMMYFUNCTION("""COMPUTED_VALUE"""),"1309/FTSCY/WS95271 30999560.00 pelunasan TABASSAM AL HATTAK")</f>
        <v>1309/FTSCY/WS95271 30999560.00 pelunasan TABASSAM AL HATTAK</v>
      </c>
      <c r="D41" s="2">
        <f>IFERROR(__xludf.DUMMYFUNCTION("""COMPUTED_VALUE"""),3.099956E7)</f>
        <v>30999560</v>
      </c>
      <c r="E41" s="2"/>
      <c r="F41" s="2" t="str">
        <f>IFERROR(__xludf.DUMMYFUNCTION("""COMPUTED_VALUE"""),"DB")</f>
        <v>DB</v>
      </c>
      <c r="G41" s="2">
        <f>IFERROR(__xludf.DUMMYFUNCTION("""COMPUTED_VALUE"""),4.042725645899999E8)</f>
        <v>404272564.6</v>
      </c>
      <c r="H41" s="2"/>
      <c r="I41" s="2" t="str">
        <f>IFERROR(__xludf.DUMMYFUNCTION("""COMPUTED_VALUE"""),"PRODUKSI")</f>
        <v>PRODUKSI</v>
      </c>
    </row>
    <row r="42">
      <c r="A42" s="10">
        <f>IFERROR(__xludf.DUMMYFUNCTION("""COMPUTED_VALUE"""),46278.0)</f>
        <v>46278</v>
      </c>
      <c r="B42" s="2" t="str">
        <f>IFERROR(__xludf.DUMMYFUNCTION("""COMPUTED_VALUE"""),"TRSF E-BANKING DB")</f>
        <v>TRSF E-BANKING DB</v>
      </c>
      <c r="C42" s="2" t="str">
        <f>IFERROR(__xludf.DUMMYFUNCTION("""COMPUTED_VALUE"""),"1309/FTSCY/WS95271 193470350.00 Fri Sep 11 2026 14:00:00 GMT+0700 (Western Indonesia Time) ANDALAN YASA MITRA")</f>
        <v>1309/FTSCY/WS95271 193470350.00 Fri Sep 11 2026 14:00:00 GMT+0700 (Western Indonesia Time) ANDALAN YASA MITRA</v>
      </c>
      <c r="D42" s="2">
        <f>IFERROR(__xludf.DUMMYFUNCTION("""COMPUTED_VALUE"""),1.9347035E8)</f>
        <v>193470350</v>
      </c>
      <c r="E42" s="2"/>
      <c r="F42" s="2" t="str">
        <f>IFERROR(__xludf.DUMMYFUNCTION("""COMPUTED_VALUE"""),"DB")</f>
        <v>DB</v>
      </c>
      <c r="G42" s="2">
        <f>IFERROR(__xludf.DUMMYFUNCTION("""COMPUTED_VALUE"""),3.108022145899999E8)</f>
        <v>310802214.6</v>
      </c>
      <c r="H42" s="2"/>
      <c r="I42" s="2" t="str">
        <f>IFERROR(__xludf.DUMMYFUNCTION("""COMPUTED_VALUE"""),"PRODUKSI")</f>
        <v>PRODUKSI</v>
      </c>
    </row>
    <row r="43">
      <c r="A43" s="10">
        <f>IFERROR(__xludf.DUMMYFUNCTION("""COMPUTED_VALUE"""),46278.0)</f>
        <v>46278</v>
      </c>
      <c r="B43" s="2" t="str">
        <f>IFERROR(__xludf.DUMMYFUNCTION("""COMPUTED_VALUE"""),"TRSF E-BANKING DB")</f>
        <v>TRSF E-BANKING DB</v>
      </c>
      <c r="C43" s="2" t="str">
        <f>IFERROR(__xludf.DUMMYFUNCTION("""COMPUTED_VALUE"""),"1309/FTSCY/WS95271 9220480.00 Sun Sep 13 2026 14:00:00 GMT+0700 (Western Indonesia Time) EKO SETIYAWAN")</f>
        <v>1309/FTSCY/WS95271 9220480.00 Sun Sep 13 2026 14:00:00 GMT+0700 (Western Indonesia Time) EKO SETIYAWAN</v>
      </c>
      <c r="D43" s="2">
        <f>IFERROR(__xludf.DUMMYFUNCTION("""COMPUTED_VALUE"""),9220480.0)</f>
        <v>9220480</v>
      </c>
      <c r="E43" s="2"/>
      <c r="F43" s="2" t="str">
        <f>IFERROR(__xludf.DUMMYFUNCTION("""COMPUTED_VALUE"""),"DB")</f>
        <v>DB</v>
      </c>
      <c r="G43" s="2">
        <f>IFERROR(__xludf.DUMMYFUNCTION("""COMPUTED_VALUE"""),3.457817345899999E8)</f>
        <v>345781734.6</v>
      </c>
      <c r="H43" s="2"/>
      <c r="I43" s="2" t="str">
        <f>IFERROR(__xludf.DUMMYFUNCTION("""COMPUTED_VALUE"""),"PRODUKSI")</f>
        <v>PRODUKSI</v>
      </c>
    </row>
    <row r="44">
      <c r="A44" s="10">
        <f>IFERROR(__xludf.DUMMYFUNCTION("""COMPUTED_VALUE"""),46278.0)</f>
        <v>46278</v>
      </c>
      <c r="B44" s="2" t="str">
        <f>IFERROR(__xludf.DUMMYFUNCTION("""COMPUTED_VALUE"""),"KARTU DEBIT")</f>
        <v>KARTU DEBIT</v>
      </c>
      <c r="C44" s="2" t="str">
        <f>IFERROR(__xludf.DUMMYFUNCTION("""COMPUTED_VALUE"""),"IDM TROJ LANGSEP 6019009510239343")</f>
        <v>IDM TROJ LANGSEP 6019009510239343</v>
      </c>
      <c r="D44" s="2">
        <f>IFERROR(__xludf.DUMMYFUNCTION("""COMPUTED_VALUE"""),188400.0)</f>
        <v>188400</v>
      </c>
      <c r="E44" s="2"/>
      <c r="F44" s="2"/>
      <c r="G44" s="2">
        <f>IFERROR(__xludf.DUMMYFUNCTION("""COMPUTED_VALUE"""),3.455933345899999E8)</f>
        <v>345593334.6</v>
      </c>
      <c r="H44" s="2">
        <f>IFERROR(__xludf.DUMMYFUNCTION("""COMPUTED_VALUE"""),3.4559333459E8)</f>
        <v>345593334.6</v>
      </c>
      <c r="I44" s="2" t="str">
        <f>IFERROR(__xludf.DUMMYFUNCTION("""COMPUTED_VALUE"""),"PRODUKSI")</f>
        <v>PRODUKSI</v>
      </c>
    </row>
    <row r="45">
      <c r="A45" s="10">
        <f>IFERROR(__xludf.DUMMYFUNCTION("""COMPUTED_VALUE"""),46279.0)</f>
        <v>46279</v>
      </c>
      <c r="B45" s="2" t="str">
        <f>IFERROR(__xludf.DUMMYFUNCTION("""COMPUTED_VALUE"""),"TRSF E-BANKING DB")</f>
        <v>TRSF E-BANKING DB</v>
      </c>
      <c r="C45" s="2" t="str">
        <f>IFERROR(__xludf.DUMMYFUNCTION("""COMPUTED_VALUE"""),"1409/FTSCY/WS95011 86327250.00 Pelunasan jombang PITIK DIGITAL INDO")</f>
        <v>1409/FTSCY/WS95011 86327250.00 Pelunasan jombang PITIK DIGITAL INDO</v>
      </c>
      <c r="D45" s="2">
        <f>IFERROR(__xludf.DUMMYFUNCTION("""COMPUTED_VALUE"""),8.632725E7)</f>
        <v>86327250</v>
      </c>
      <c r="E45" s="2"/>
      <c r="F45" s="2" t="str">
        <f>IFERROR(__xludf.DUMMYFUNCTION("""COMPUTED_VALUE"""),"DB")</f>
        <v>DB</v>
      </c>
      <c r="G45" s="2">
        <f>IFERROR(__xludf.DUMMYFUNCTION("""COMPUTED_VALUE"""),2.592660845899999E8)</f>
        <v>259266084.6</v>
      </c>
      <c r="H45" s="2">
        <f>IFERROR(__xludf.DUMMYFUNCTION("""COMPUTED_VALUE"""),2.5926608459E8)</f>
        <v>259266084.6</v>
      </c>
      <c r="I45" s="2" t="str">
        <f>IFERROR(__xludf.DUMMYFUNCTION("""COMPUTED_VALUE"""),"PRODUKSI")</f>
        <v>PRODUKSI</v>
      </c>
    </row>
    <row r="46">
      <c r="A46" s="10">
        <f>IFERROR(__xludf.DUMMYFUNCTION("""COMPUTED_VALUE"""),46279.0)</f>
        <v>46279</v>
      </c>
      <c r="B46" s="2" t="str">
        <f>IFERROR(__xludf.DUMMYFUNCTION("""COMPUTED_VALUE"""),"TRSF E-BANKING DB")</f>
        <v>TRSF E-BANKING DB</v>
      </c>
      <c r="C46" s="2" t="str">
        <f>IFERROR(__xludf.DUMMYFUNCTION("""COMPUTED_VALUE"""),"1409/FTSCY/WS95011 80026000.00 Fri Sep 11 2026 14:00:00 GMT+0700 (Western Indonesia Time) BINTANG TAMA SANTO")</f>
        <v>1409/FTSCY/WS95011 80026000.00 Fri Sep 11 2026 14:00:00 GMT+0700 (Western Indonesia Time) BINTANG TAMA SANTO</v>
      </c>
      <c r="D46" s="2">
        <f>IFERROR(__xludf.DUMMYFUNCTION("""COMPUTED_VALUE"""),8.0026E7)</f>
        <v>80026000</v>
      </c>
      <c r="E46" s="2"/>
      <c r="F46" s="2" t="str">
        <f>IFERROR(__xludf.DUMMYFUNCTION("""COMPUTED_VALUE"""),"DB")</f>
        <v>DB</v>
      </c>
      <c r="G46" s="2">
        <f>IFERROR(__xludf.DUMMYFUNCTION("""COMPUTED_VALUE"""),1.792400845899999E8)</f>
        <v>179240084.6</v>
      </c>
      <c r="H46" s="2">
        <f>IFERROR(__xludf.DUMMYFUNCTION("""COMPUTED_VALUE"""),1.7924008459E8)</f>
        <v>179240084.6</v>
      </c>
      <c r="I46" s="2" t="str">
        <f>IFERROR(__xludf.DUMMYFUNCTION("""COMPUTED_VALUE"""),"PRODUKSI")</f>
        <v>PRODUKSI</v>
      </c>
    </row>
    <row r="47">
      <c r="A47" s="10">
        <f>IFERROR(__xludf.DUMMYFUNCTION("""COMPUTED_VALUE"""),46279.0)</f>
        <v>46279</v>
      </c>
      <c r="B47" s="2" t="str">
        <f>IFERROR(__xludf.DUMMYFUNCTION("""COMPUTED_VALUE"""),"TRSF E-BANKING DB")</f>
        <v>TRSF E-BANKING DB</v>
      </c>
      <c r="C47" s="2" t="str">
        <f>IFERROR(__xludf.DUMMYFUNCTION("""COMPUTED_VALUE"""),"1409/FTSCY/WS95011 71213100.00 T.agung 11/09 PITIK DIGITAL INDO")</f>
        <v>1409/FTSCY/WS95011 71213100.00 T.agung 11/09 PITIK DIGITAL INDO</v>
      </c>
      <c r="D47" s="2">
        <f>IFERROR(__xludf.DUMMYFUNCTION("""COMPUTED_VALUE"""),7.12131E7)</f>
        <v>71213100</v>
      </c>
      <c r="E47" s="2"/>
      <c r="F47" s="2" t="str">
        <f>IFERROR(__xludf.DUMMYFUNCTION("""COMPUTED_VALUE"""),"DB")</f>
        <v>DB</v>
      </c>
      <c r="G47" s="2">
        <f>IFERROR(__xludf.DUMMYFUNCTION("""COMPUTED_VALUE"""),1.0802698458999991E8)</f>
        <v>108026984.6</v>
      </c>
      <c r="H47" s="2"/>
      <c r="I47" s="2" t="str">
        <f>IFERROR(__xludf.DUMMYFUNCTION("""COMPUTED_VALUE"""),"PRODUKSI")</f>
        <v>PRODUKSI</v>
      </c>
    </row>
    <row r="48">
      <c r="A48" s="10">
        <f>IFERROR(__xludf.DUMMYFUNCTION("""COMPUTED_VALUE"""),46279.0)</f>
        <v>46279</v>
      </c>
      <c r="B48" s="2" t="str">
        <f>IFERROR(__xludf.DUMMYFUNCTION("""COMPUTED_VALUE"""),"TRSF E-BANKING DB")</f>
        <v>TRSF E-BANKING DB</v>
      </c>
      <c r="C48" s="2" t="str">
        <f>IFERROR(__xludf.DUMMYFUNCTION("""COMPUTED_VALUE"""),"1409/FTSCY/WS95011 72401250.00 Lmjg SURYA INTI TERNAK")</f>
        <v>1409/FTSCY/WS95011 72401250.00 Lmjg SURYA INTI TERNAK</v>
      </c>
      <c r="D48" s="2">
        <f>IFERROR(__xludf.DUMMYFUNCTION("""COMPUTED_VALUE"""),7.240125E7)</f>
        <v>72401250</v>
      </c>
      <c r="E48" s="2"/>
      <c r="F48" s="2" t="str">
        <f>IFERROR(__xludf.DUMMYFUNCTION("""COMPUTED_VALUE"""),"DB")</f>
        <v>DB</v>
      </c>
      <c r="G48" s="2">
        <f>IFERROR(__xludf.DUMMYFUNCTION("""COMPUTED_VALUE"""),3.5625734589999914E7)</f>
        <v>35625734.59</v>
      </c>
      <c r="H48" s="2"/>
      <c r="I48" s="2" t="str">
        <f>IFERROR(__xludf.DUMMYFUNCTION("""COMPUTED_VALUE"""),"PRODUKSI")</f>
        <v>PRODUKSI</v>
      </c>
    </row>
    <row r="49">
      <c r="A49" s="10">
        <f>IFERROR(__xludf.DUMMYFUNCTION("""COMPUTED_VALUE"""),46279.0)</f>
        <v>46279</v>
      </c>
      <c r="B49" s="2" t="str">
        <f>IFERROR(__xludf.DUMMYFUNCTION("""COMPUTED_VALUE"""),"TRSF E-BANKING DB")</f>
        <v>TRSF E-BANKING DB</v>
      </c>
      <c r="C49" s="2" t="str">
        <f>IFERROR(__xludf.DUMMYFUNCTION("""COMPUTED_VALUE"""),"1409/FTSCY/WS95031 4863730.00 NURHAYATI")</f>
        <v>1409/FTSCY/WS95031 4863730.00 NURHAYATI</v>
      </c>
      <c r="D49" s="2">
        <f>IFERROR(__xludf.DUMMYFUNCTION("""COMPUTED_VALUE"""),4863730.0)</f>
        <v>4863730</v>
      </c>
      <c r="E49" s="2"/>
      <c r="F49" s="2" t="str">
        <f>IFERROR(__xludf.DUMMYFUNCTION("""COMPUTED_VALUE"""),"DB")</f>
        <v>DB</v>
      </c>
      <c r="G49" s="2">
        <f>IFERROR(__xludf.DUMMYFUNCTION("""COMPUTED_VALUE"""),3.0762004589999914E7)</f>
        <v>30762004.59</v>
      </c>
      <c r="H49" s="2"/>
      <c r="I49" s="2" t="str">
        <f>IFERROR(__xludf.DUMMYFUNCTION("""COMPUTED_VALUE"""),"PRODUKSI")</f>
        <v>PRODUKSI</v>
      </c>
    </row>
    <row r="50">
      <c r="A50" s="10">
        <f>IFERROR(__xludf.DUMMYFUNCTION("""COMPUTED_VALUE"""),46279.0)</f>
        <v>46279</v>
      </c>
      <c r="B50" s="2" t="str">
        <f>IFERROR(__xludf.DUMMYFUNCTION("""COMPUTED_VALUE"""),"TRSF E-BANKING DB")</f>
        <v>TRSF E-BANKING DB</v>
      </c>
      <c r="C50" s="2" t="str">
        <f>IFERROR(__xludf.DUMMYFUNCTION("""COMPUTED_VALUE"""),"1409/FTSCY/WS95031 1800000.00 MUJIANTO")</f>
        <v>1409/FTSCY/WS95031 1800000.00 MUJIANTO</v>
      </c>
      <c r="D50" s="2">
        <f>IFERROR(__xludf.DUMMYFUNCTION("""COMPUTED_VALUE"""),1800000.0)</f>
        <v>1800000</v>
      </c>
      <c r="E50" s="2"/>
      <c r="F50" s="2" t="str">
        <f>IFERROR(__xludf.DUMMYFUNCTION("""COMPUTED_VALUE"""),"DB")</f>
        <v>DB</v>
      </c>
      <c r="G50" s="2">
        <f>IFERROR(__xludf.DUMMYFUNCTION("""COMPUTED_VALUE"""),2.8962004589999914E7)</f>
        <v>28962004.59</v>
      </c>
      <c r="H50" s="2"/>
      <c r="I50" s="2" t="str">
        <f>IFERROR(__xludf.DUMMYFUNCTION("""COMPUTED_VALUE"""),"PRODUKSI")</f>
        <v>PRODUKSI</v>
      </c>
    </row>
    <row r="51">
      <c r="A51" s="10">
        <f>IFERROR(__xludf.DUMMYFUNCTION("""COMPUTED_VALUE"""),46279.0)</f>
        <v>46279</v>
      </c>
      <c r="B51" s="2" t="str">
        <f>IFERROR(__xludf.DUMMYFUNCTION("""COMPUTED_VALUE"""),"TRSF E-BANKING DB")</f>
        <v>TRSF E-BANKING DB</v>
      </c>
      <c r="C51" s="2" t="str">
        <f>IFERROR(__xludf.DUMMYFUNCTION("""COMPUTED_VALUE"""),"1409/FTSCY/WS95031 2875800.00 HERMAWAN")</f>
        <v>1409/FTSCY/WS95031 2875800.00 HERMAWAN</v>
      </c>
      <c r="D51" s="2">
        <f>IFERROR(__xludf.DUMMYFUNCTION("""COMPUTED_VALUE"""),2875800.0)</f>
        <v>2875800</v>
      </c>
      <c r="E51" s="2"/>
      <c r="F51" s="2" t="str">
        <f>IFERROR(__xludf.DUMMYFUNCTION("""COMPUTED_VALUE"""),"DB")</f>
        <v>DB</v>
      </c>
      <c r="G51" s="2">
        <f>IFERROR(__xludf.DUMMYFUNCTION("""COMPUTED_VALUE"""),2.6086204589999914E7)</f>
        <v>26086204.59</v>
      </c>
      <c r="H51" s="2"/>
      <c r="I51" s="2" t="str">
        <f>IFERROR(__xludf.DUMMYFUNCTION("""COMPUTED_VALUE"""),"PRODUKSI")</f>
        <v>PRODUKSI</v>
      </c>
    </row>
    <row r="52">
      <c r="A52" s="10">
        <f>IFERROR(__xludf.DUMMYFUNCTION("""COMPUTED_VALUE"""),46279.0)</f>
        <v>46279</v>
      </c>
      <c r="B52" s="2" t="str">
        <f>IFERROR(__xludf.DUMMYFUNCTION("""COMPUTED_VALUE"""),"TRSF E-BANKING DB")</f>
        <v>TRSF E-BANKING DB</v>
      </c>
      <c r="C52" s="2" t="str">
        <f>IFERROR(__xludf.DUMMYFUNCTION("""COMPUTED_VALUE"""),"1409/FTSCY/WS95031 1200000.00 DWI HERMANSYAH")</f>
        <v>1409/FTSCY/WS95031 1200000.00 DWI HERMANSYAH</v>
      </c>
      <c r="D52" s="2">
        <f>IFERROR(__xludf.DUMMYFUNCTION("""COMPUTED_VALUE"""),1200000.0)</f>
        <v>1200000</v>
      </c>
      <c r="E52" s="2"/>
      <c r="F52" s="2" t="str">
        <f>IFERROR(__xludf.DUMMYFUNCTION("""COMPUTED_VALUE"""),"DB")</f>
        <v>DB</v>
      </c>
      <c r="G52" s="2">
        <f>IFERROR(__xludf.DUMMYFUNCTION("""COMPUTED_VALUE"""),2.4886204589999914E7)</f>
        <v>24886204.59</v>
      </c>
      <c r="H52" s="2"/>
      <c r="I52" s="2" t="str">
        <f>IFERROR(__xludf.DUMMYFUNCTION("""COMPUTED_VALUE"""),"PRODUKSI")</f>
        <v>PRODUKSI</v>
      </c>
    </row>
    <row r="53">
      <c r="A53" s="10">
        <f>IFERROR(__xludf.DUMMYFUNCTION("""COMPUTED_VALUE"""),46279.0)</f>
        <v>46279</v>
      </c>
      <c r="B53" s="2" t="str">
        <f>IFERROR(__xludf.DUMMYFUNCTION("""COMPUTED_VALUE"""),"TRSF E-BANKING DB")</f>
        <v>TRSF E-BANKING DB</v>
      </c>
      <c r="C53" s="2" t="str">
        <f>IFERROR(__xludf.DUMMYFUNCTION("""COMPUTED_VALUE"""),"1409/FTSCY/WS95011 184800500.00 Fri Sep 11 2026 14:00:00 GMT+0700 (Western Indonesia Time) PITIK DIGITAL INDO")</f>
        <v>1409/FTSCY/WS95011 184800500.00 Fri Sep 11 2026 14:00:00 GMT+0700 (Western Indonesia Time) PITIK DIGITAL INDO</v>
      </c>
      <c r="D53" s="2">
        <f>IFERROR(__xludf.DUMMYFUNCTION("""COMPUTED_VALUE"""),1.848005E8)</f>
        <v>184800500</v>
      </c>
      <c r="E53" s="2"/>
      <c r="F53" s="2" t="str">
        <f>IFERROR(__xludf.DUMMYFUNCTION("""COMPUTED_VALUE"""),"DB")</f>
        <v>DB</v>
      </c>
      <c r="G53" s="2">
        <f>IFERROR(__xludf.DUMMYFUNCTION("""COMPUTED_VALUE"""),1.913363045899999E8)</f>
        <v>191336304.6</v>
      </c>
      <c r="H53" s="2"/>
      <c r="I53" s="2" t="str">
        <f>IFERROR(__xludf.DUMMYFUNCTION("""COMPUTED_VALUE"""),"PRODUKSI")</f>
        <v>PRODUKSI</v>
      </c>
    </row>
    <row r="54">
      <c r="A54" s="10">
        <f>IFERROR(__xludf.DUMMYFUNCTION("""COMPUTED_VALUE"""),46279.0)</f>
        <v>46279</v>
      </c>
      <c r="B54" s="2" t="str">
        <f>IFERROR(__xludf.DUMMYFUNCTION("""COMPUTED_VALUE"""),"TRSF E-BANKING DB")</f>
        <v>TRSF E-BANKING DB</v>
      </c>
      <c r="C54" s="2" t="str">
        <f>IFERROR(__xludf.DUMMYFUNCTION("""COMPUTED_VALUE"""),"1409/FTSCY/WS95271 63000000.00 mlg SURYA INTI TERNAK")</f>
        <v>1409/FTSCY/WS95271 63000000.00 mlg SURYA INTI TERNAK</v>
      </c>
      <c r="D54" s="2">
        <f>IFERROR(__xludf.DUMMYFUNCTION("""COMPUTED_VALUE"""),6.3E7)</f>
        <v>63000000</v>
      </c>
      <c r="E54" s="2"/>
      <c r="F54" s="2" t="str">
        <f>IFERROR(__xludf.DUMMYFUNCTION("""COMPUTED_VALUE"""),"DB")</f>
        <v>DB</v>
      </c>
      <c r="G54" s="2">
        <f>IFERROR(__xludf.DUMMYFUNCTION("""COMPUTED_VALUE"""),1.2833630458999991E8)</f>
        <v>128336304.6</v>
      </c>
      <c r="H54" s="2"/>
      <c r="I54" s="2" t="str">
        <f>IFERROR(__xludf.DUMMYFUNCTION("""COMPUTED_VALUE"""),"PRODUKSI")</f>
        <v>PRODUKSI</v>
      </c>
    </row>
    <row r="55">
      <c r="A55" s="10">
        <f>IFERROR(__xludf.DUMMYFUNCTION("""COMPUTED_VALUE"""),46279.0)</f>
        <v>46279</v>
      </c>
      <c r="B55" s="2" t="str">
        <f>IFERROR(__xludf.DUMMYFUNCTION("""COMPUTED_VALUE"""),"TRSF E-BANKING DB")</f>
        <v>TRSF E-BANKING DB</v>
      </c>
      <c r="C55" s="2" t="str">
        <f>IFERROR(__xludf.DUMMYFUNCTION("""COMPUTED_VALUE"""),"1409/FTSCY/WS95271 62822250.00 Fri Sep 11 2026 14:00:00 GMT+0700 (Western Indonesia Time) BROILER MAKMUR TAN")</f>
        <v>1409/FTSCY/WS95271 62822250.00 Fri Sep 11 2026 14:00:00 GMT+0700 (Western Indonesia Time) BROILER MAKMUR TAN</v>
      </c>
      <c r="D55" s="2">
        <f>IFERROR(__xludf.DUMMYFUNCTION("""COMPUTED_VALUE"""),6.282225E7)</f>
        <v>62822250</v>
      </c>
      <c r="E55" s="2"/>
      <c r="F55" s="2" t="str">
        <f>IFERROR(__xludf.DUMMYFUNCTION("""COMPUTED_VALUE"""),"DB")</f>
        <v>DB</v>
      </c>
      <c r="G55" s="2">
        <f>IFERROR(__xludf.DUMMYFUNCTION("""COMPUTED_VALUE"""),6.5514054589999914E7)</f>
        <v>65514054.59</v>
      </c>
      <c r="H55" s="2"/>
      <c r="I55" s="2" t="str">
        <f>IFERROR(__xludf.DUMMYFUNCTION("""COMPUTED_VALUE"""),"PRODUKSI")</f>
        <v>PRODUKSI</v>
      </c>
    </row>
    <row r="56">
      <c r="A56" s="10">
        <f>IFERROR(__xludf.DUMMYFUNCTION("""COMPUTED_VALUE"""),46279.0)</f>
        <v>46279</v>
      </c>
      <c r="B56" s="2" t="str">
        <f>IFERROR(__xludf.DUMMYFUNCTION("""COMPUTED_VALUE"""),"TRSF E-BANKING DB")</f>
        <v>TRSF E-BANKING DB</v>
      </c>
      <c r="C56" s="2" t="str">
        <f>IFERROR(__xludf.DUMMYFUNCTION("""COMPUTED_VALUE"""),"1409/FTSCY/WS95271 64463400.00 Sat Sep 12 2026 14:00:00 GMT+0700 (Western Indonesia Time) BROILER MAKMUR TAN")</f>
        <v>1409/FTSCY/WS95271 64463400.00 Sat Sep 12 2026 14:00:00 GMT+0700 (Western Indonesia Time) BROILER MAKMUR TAN</v>
      </c>
      <c r="D56" s="2">
        <f>IFERROR(__xludf.DUMMYFUNCTION("""COMPUTED_VALUE"""),6.44634E7)</f>
        <v>64463400</v>
      </c>
      <c r="E56" s="2"/>
      <c r="F56" s="2" t="str">
        <f>IFERROR(__xludf.DUMMYFUNCTION("""COMPUTED_VALUE"""),"DB")</f>
        <v>DB</v>
      </c>
      <c r="G56" s="2">
        <f>IFERROR(__xludf.DUMMYFUNCTION("""COMPUTED_VALUE"""),1050654.5899999142)</f>
        <v>1050654.59</v>
      </c>
      <c r="H56" s="2"/>
      <c r="I56" s="2" t="str">
        <f>IFERROR(__xludf.DUMMYFUNCTION("""COMPUTED_VALUE"""),"PRODUKSI")</f>
        <v>PRODUKSI</v>
      </c>
    </row>
    <row r="57">
      <c r="A57" s="10">
        <f>IFERROR(__xludf.DUMMYFUNCTION("""COMPUTED_VALUE"""),46279.0)</f>
        <v>46279</v>
      </c>
      <c r="B57" s="2" t="str">
        <f>IFERROR(__xludf.DUMMYFUNCTION("""COMPUTED_VALUE"""),"KARTU DEBIT")</f>
        <v>KARTU DEBIT</v>
      </c>
      <c r="C57" s="2" t="str">
        <f>IFERROR(__xludf.DUMMYFUNCTION("""COMPUTED_VALUE"""),"CONATO BAKERY NICO 6019009510239343")</f>
        <v>CONATO BAKERY NICO 6019009510239343</v>
      </c>
      <c r="D57" s="2">
        <f>IFERROR(__xludf.DUMMYFUNCTION("""COMPUTED_VALUE"""),76000.0)</f>
        <v>76000</v>
      </c>
      <c r="E57" s="2"/>
      <c r="F57" s="2"/>
      <c r="G57" s="2">
        <f>IFERROR(__xludf.DUMMYFUNCTION("""COMPUTED_VALUE"""),974654.5899999142)</f>
        <v>974654.59</v>
      </c>
      <c r="H57" s="2">
        <f>IFERROR(__xludf.DUMMYFUNCTION("""COMPUTED_VALUE"""),974654.59)</f>
        <v>974654.59</v>
      </c>
      <c r="I57" s="2" t="str">
        <f>IFERROR(__xludf.DUMMYFUNCTION("""COMPUTED_VALUE"""),"PRODUKSI")</f>
        <v>PRODUKSI</v>
      </c>
    </row>
    <row r="58">
      <c r="A58" s="10">
        <f>IFERROR(__xludf.DUMMYFUNCTION("""COMPUTED_VALUE"""),46279.0)</f>
        <v>46279</v>
      </c>
      <c r="B58" s="2" t="str">
        <f>IFERROR(__xludf.DUMMYFUNCTION("""COMPUTED_VALUE"""),"BYR VIA E-BANKING")</f>
        <v>BYR VIA E-BANKING</v>
      </c>
      <c r="C58" s="2" t="str">
        <f>IFERROR(__xludf.DUMMYFUNCTION("""COMPUTED_VALUE"""),"14/09  WSID9503100 0865 PLN PREPAID 32104859353 MUHAMMAD HAIRUL MA")</f>
        <v>14/09  WSID9503100 0865 PLN PREPAID 32104859353 MUHAMMAD HAIRUL MA</v>
      </c>
      <c r="D58" s="2">
        <f>IFERROR(__xludf.DUMMYFUNCTION("""COMPUTED_VALUE"""),202500.0)</f>
        <v>202500</v>
      </c>
      <c r="E58" s="2"/>
      <c r="F58" s="2"/>
      <c r="G58" s="2">
        <f>IFERROR(__xludf.DUMMYFUNCTION("""COMPUTED_VALUE"""),772154.5899999142)</f>
        <v>772154.59</v>
      </c>
      <c r="H58" s="2">
        <f>IFERROR(__xludf.DUMMYFUNCTION("""COMPUTED_VALUE"""),772154.59)</f>
        <v>772154.59</v>
      </c>
      <c r="I58" s="2" t="str">
        <f>IFERROR(__xludf.DUMMYFUNCTION("""COMPUTED_VALUE"""),"PRODUKSI")</f>
        <v>PRODUKSI</v>
      </c>
    </row>
    <row r="59">
      <c r="A59" s="10">
        <f>IFERROR(__xludf.DUMMYFUNCTION("""COMPUTED_VALUE"""),46279.0)</f>
        <v>46279</v>
      </c>
      <c r="B59" s="2" t="str">
        <f>IFERROR(__xludf.DUMMYFUNCTION("""COMPUTED_VALUE"""),"TRSF E-BANKING DB")</f>
        <v>TRSF E-BANKING DB</v>
      </c>
      <c r="C59" s="2" t="str">
        <f>IFERROR(__xludf.DUMMYFUNCTION("""COMPUTED_VALUE"""),"1409/FTFVA/WS95031 67847/UNGGAS MANDI ponorogo - 200043")</f>
        <v>1409/FTFVA/WS95031 67847/UNGGAS MANDI ponorogo - 200043</v>
      </c>
      <c r="D59" s="2">
        <f>IFERROR(__xludf.DUMMYFUNCTION("""COMPUTED_VALUE"""),8.037991E7)</f>
        <v>80379910</v>
      </c>
      <c r="E59" s="2"/>
      <c r="F59" s="2" t="str">
        <f>IFERROR(__xludf.DUMMYFUNCTION("""COMPUTED_VALUE"""),"DB")</f>
        <v>DB</v>
      </c>
      <c r="G59" s="2">
        <f>IFERROR(__xludf.DUMMYFUNCTION("""COMPUTED_VALUE"""),1.1711319458999991E8)</f>
        <v>117113194.6</v>
      </c>
      <c r="H59" s="2"/>
      <c r="I59" s="2" t="str">
        <f>IFERROR(__xludf.DUMMYFUNCTION("""COMPUTED_VALUE"""),"PRODUKSI")</f>
        <v>PRODUKSI</v>
      </c>
    </row>
    <row r="60">
      <c r="A60" s="10">
        <f>IFERROR(__xludf.DUMMYFUNCTION("""COMPUTED_VALUE"""),46279.0)</f>
        <v>46279</v>
      </c>
      <c r="B60" s="2" t="str">
        <f>IFERROR(__xludf.DUMMYFUNCTION("""COMPUTED_VALUE"""),"TRSF E-BANKING DB")</f>
        <v>TRSF E-BANKING DB</v>
      </c>
      <c r="C60" s="2" t="str">
        <f>IFERROR(__xludf.DUMMYFUNCTION("""COMPUTED_VALUE"""),"1409/FTSCY/WS95031 55188020.00 1209 TABASSAM AL HATTAK")</f>
        <v>1409/FTSCY/WS95031 55188020.00 1209 TABASSAM AL HATTAK</v>
      </c>
      <c r="D60" s="2">
        <f>IFERROR(__xludf.DUMMYFUNCTION("""COMPUTED_VALUE"""),5.518802E7)</f>
        <v>55188020</v>
      </c>
      <c r="E60" s="2"/>
      <c r="F60" s="2" t="str">
        <f>IFERROR(__xludf.DUMMYFUNCTION("""COMPUTED_VALUE"""),"DB")</f>
        <v>DB</v>
      </c>
      <c r="G60" s="2">
        <f>IFERROR(__xludf.DUMMYFUNCTION("""COMPUTED_VALUE"""),6.1925174589999914E7)</f>
        <v>61925174.59</v>
      </c>
      <c r="H60" s="2"/>
      <c r="I60" s="2" t="str">
        <f>IFERROR(__xludf.DUMMYFUNCTION("""COMPUTED_VALUE"""),"PRODUKSI")</f>
        <v>PRODUKSI</v>
      </c>
    </row>
    <row r="61">
      <c r="A61" s="10">
        <f>IFERROR(__xludf.DUMMYFUNCTION("""COMPUTED_VALUE"""),46279.0)</f>
        <v>46279</v>
      </c>
      <c r="B61" s="2" t="str">
        <f>IFERROR(__xludf.DUMMYFUNCTION("""COMPUTED_VALUE"""),"TRSF E-BANKING DB")</f>
        <v>TRSF E-BANKING DB</v>
      </c>
      <c r="C61" s="2" t="str">
        <f>IFERROR(__xludf.DUMMYFUNCTION("""COMPUTED_VALUE"""),"1409/FTSCY/WS95031 13601800.00 EKO SETIYAWAN")</f>
        <v>1409/FTSCY/WS95031 13601800.00 EKO SETIYAWAN</v>
      </c>
      <c r="D61" s="2">
        <f>IFERROR(__xludf.DUMMYFUNCTION("""COMPUTED_VALUE"""),1.36018E7)</f>
        <v>13601800</v>
      </c>
      <c r="E61" s="2"/>
      <c r="F61" s="2" t="str">
        <f>IFERROR(__xludf.DUMMYFUNCTION("""COMPUTED_VALUE"""),"DB")</f>
        <v>DB</v>
      </c>
      <c r="G61" s="2">
        <f>IFERROR(__xludf.DUMMYFUNCTION("""COMPUTED_VALUE"""),1.483233745899999E8)</f>
        <v>148323374.6</v>
      </c>
      <c r="H61" s="2"/>
      <c r="I61" s="2" t="str">
        <f>IFERROR(__xludf.DUMMYFUNCTION("""COMPUTED_VALUE"""),"PRODUKSI")</f>
        <v>PRODUKSI</v>
      </c>
    </row>
    <row r="62">
      <c r="A62" s="10">
        <f>IFERROR(__xludf.DUMMYFUNCTION("""COMPUTED_VALUE"""),46279.0)</f>
        <v>46279</v>
      </c>
      <c r="B62" s="2" t="str">
        <f>IFERROR(__xludf.DUMMYFUNCTION("""COMPUTED_VALUE"""),"TRSF E-BANKING DB")</f>
        <v>TRSF E-BANKING DB</v>
      </c>
      <c r="C62" s="2" t="str">
        <f>IFERROR(__xludf.DUMMYFUNCTION("""COMPUTED_VALUE"""),"1409/FTSCY/WS95031 1987420.00 SUNARTO")</f>
        <v>1409/FTSCY/WS95031 1987420.00 SUNARTO</v>
      </c>
      <c r="D62" s="2">
        <f>IFERROR(__xludf.DUMMYFUNCTION("""COMPUTED_VALUE"""),1987420.0)</f>
        <v>1987420</v>
      </c>
      <c r="E62" s="2"/>
      <c r="F62" s="2" t="str">
        <f>IFERROR(__xludf.DUMMYFUNCTION("""COMPUTED_VALUE"""),"DB")</f>
        <v>DB</v>
      </c>
      <c r="G62" s="2">
        <f>IFERROR(__xludf.DUMMYFUNCTION("""COMPUTED_VALUE"""),1.463359545899999E8)</f>
        <v>146335954.6</v>
      </c>
      <c r="H62" s="2"/>
      <c r="I62" s="2" t="str">
        <f>IFERROR(__xludf.DUMMYFUNCTION("""COMPUTED_VALUE"""),"PRODUKSI")</f>
        <v>PRODUKSI</v>
      </c>
    </row>
    <row r="63">
      <c r="A63" s="10">
        <f>IFERROR(__xludf.DUMMYFUNCTION("""COMPUTED_VALUE"""),46279.0)</f>
        <v>46279</v>
      </c>
      <c r="B63" s="2" t="str">
        <f>IFERROR(__xludf.DUMMYFUNCTION("""COMPUTED_VALUE"""),"TRSF E-BANKING DB")</f>
        <v>TRSF E-BANKING DB</v>
      </c>
      <c r="C63" s="2" t="str">
        <f>IFERROR(__xludf.DUMMYFUNCTION("""COMPUTED_VALUE"""),"1409/FTSCY/WS95271 67500000.00 Sat Sep 12 2026 14:00:00 GMT+0700 (Western Indonesia Time) ANDALAN YASA MITRA")</f>
        <v>1409/FTSCY/WS95271 67500000.00 Sat Sep 12 2026 14:00:00 GMT+0700 (Western Indonesia Time) ANDALAN YASA MITRA</v>
      </c>
      <c r="D63" s="2">
        <f>IFERROR(__xludf.DUMMYFUNCTION("""COMPUTED_VALUE"""),6.75E7)</f>
        <v>67500000</v>
      </c>
      <c r="E63" s="2"/>
      <c r="F63" s="2" t="str">
        <f>IFERROR(__xludf.DUMMYFUNCTION("""COMPUTED_VALUE"""),"DB")</f>
        <v>DB</v>
      </c>
      <c r="G63" s="2">
        <f>IFERROR(__xludf.DUMMYFUNCTION("""COMPUTED_VALUE"""),7.883595458999991E7)</f>
        <v>78835954.59</v>
      </c>
      <c r="H63" s="2"/>
      <c r="I63" s="2" t="str">
        <f>IFERROR(__xludf.DUMMYFUNCTION("""COMPUTED_VALUE"""),"PRODUKSI")</f>
        <v>PRODUKSI</v>
      </c>
    </row>
    <row r="64">
      <c r="A64" s="10">
        <f>IFERROR(__xludf.DUMMYFUNCTION("""COMPUTED_VALUE"""),46279.0)</f>
        <v>46279</v>
      </c>
      <c r="B64" s="2" t="str">
        <f>IFERROR(__xludf.DUMMYFUNCTION("""COMPUTED_VALUE"""),"TRSF E-BANKING DB")</f>
        <v>TRSF E-BANKING DB</v>
      </c>
      <c r="C64" s="2" t="str">
        <f>IFERROR(__xludf.DUMMYFUNCTION("""COMPUTED_VALUE"""),"1409/FTSCY/WS95271 42105750.00 Sat Sep 12 2026 14:00:00 GMT+0700 (Western Indonesia Time) SURYA INTI TERNAK")</f>
        <v>1409/FTSCY/WS95271 42105750.00 Sat Sep 12 2026 14:00:00 GMT+0700 (Western Indonesia Time) SURYA INTI TERNAK</v>
      </c>
      <c r="D64" s="2">
        <f>IFERROR(__xludf.DUMMYFUNCTION("""COMPUTED_VALUE"""),4.210575E7)</f>
        <v>42105750</v>
      </c>
      <c r="E64" s="2"/>
      <c r="F64" s="2" t="str">
        <f>IFERROR(__xludf.DUMMYFUNCTION("""COMPUTED_VALUE"""),"DB")</f>
        <v>DB</v>
      </c>
      <c r="G64" s="2">
        <f>IFERROR(__xludf.DUMMYFUNCTION("""COMPUTED_VALUE"""),3.6730204589999914E7)</f>
        <v>36730204.59</v>
      </c>
      <c r="H64" s="2"/>
      <c r="I64" s="2" t="str">
        <f>IFERROR(__xludf.DUMMYFUNCTION("""COMPUTED_VALUE"""),"PRODUKSI")</f>
        <v>PRODUKSI</v>
      </c>
    </row>
    <row r="65">
      <c r="A65" s="10">
        <f>IFERROR(__xludf.DUMMYFUNCTION("""COMPUTED_VALUE"""),46279.0)</f>
        <v>46279</v>
      </c>
      <c r="B65" s="2" t="str">
        <f>IFERROR(__xludf.DUMMYFUNCTION("""COMPUTED_VALUE"""),"TRSF E-BANKING DB")</f>
        <v>TRSF E-BANKING DB</v>
      </c>
      <c r="C65" s="2" t="str">
        <f>IFERROR(__xludf.DUMMYFUNCTION("""COMPUTED_VALUE"""),"1409/FTSCY/WS95031 2500000.00 pelunasan SURYA INTI TERNAK")</f>
        <v>1409/FTSCY/WS95031 2500000.00 pelunasan SURYA INTI TERNAK</v>
      </c>
      <c r="D65" s="2">
        <f>IFERROR(__xludf.DUMMYFUNCTION("""COMPUTED_VALUE"""),2500000.0)</f>
        <v>2500000</v>
      </c>
      <c r="E65" s="2"/>
      <c r="F65" s="2" t="str">
        <f>IFERROR(__xludf.DUMMYFUNCTION("""COMPUTED_VALUE"""),"DB")</f>
        <v>DB</v>
      </c>
      <c r="G65" s="2">
        <f>IFERROR(__xludf.DUMMYFUNCTION("""COMPUTED_VALUE"""),3.4230204589999914E7)</f>
        <v>34230204.59</v>
      </c>
      <c r="H65" s="2"/>
      <c r="I65" s="2" t="str">
        <f>IFERROR(__xludf.DUMMYFUNCTION("""COMPUTED_VALUE"""),"PRODUKSI")</f>
        <v>PRODUKSI</v>
      </c>
    </row>
    <row r="66">
      <c r="A66" s="10">
        <f>IFERROR(__xludf.DUMMYFUNCTION("""COMPUTED_VALUE"""),46279.0)</f>
        <v>46279</v>
      </c>
      <c r="B66" s="2" t="str">
        <f>IFERROR(__xludf.DUMMYFUNCTION("""COMPUTED_VALUE"""),"TRSF E-BANKING DB")</f>
        <v>TRSF E-BANKING DB</v>
      </c>
      <c r="C66" s="2" t="str">
        <f>IFERROR(__xludf.DUMMYFUNCTION("""COMPUTED_VALUE"""),"1409/FTSCY/WS95031 15000000.00 SURYA INTI TERNAK")</f>
        <v>1409/FTSCY/WS95031 15000000.00 SURYA INTI TERNAK</v>
      </c>
      <c r="D66" s="2">
        <f>IFERROR(__xludf.DUMMYFUNCTION("""COMPUTED_VALUE"""),1.5E7)</f>
        <v>15000000</v>
      </c>
      <c r="E66" s="2"/>
      <c r="F66" s="2" t="str">
        <f>IFERROR(__xludf.DUMMYFUNCTION("""COMPUTED_VALUE"""),"DB")</f>
        <v>DB</v>
      </c>
      <c r="G66" s="2">
        <f>IFERROR(__xludf.DUMMYFUNCTION("""COMPUTED_VALUE"""),1.9230204589999914E7)</f>
        <v>19230204.59</v>
      </c>
      <c r="H66" s="2">
        <f>IFERROR(__xludf.DUMMYFUNCTION("""COMPUTED_VALUE"""),1.923020459E7)</f>
        <v>19230204.59</v>
      </c>
      <c r="I66" s="2" t="str">
        <f>IFERROR(__xludf.DUMMYFUNCTION("""COMPUTED_VALUE"""),"PRODUKSI")</f>
        <v>PRODUKSI</v>
      </c>
    </row>
    <row r="67">
      <c r="A67" s="10">
        <f>IFERROR(__xludf.DUMMYFUNCTION("""COMPUTED_VALUE"""),46280.0)</f>
        <v>46280</v>
      </c>
      <c r="B67" s="2" t="str">
        <f>IFERROR(__xludf.DUMMYFUNCTION("""COMPUTED_VALUE"""),"TRSF E-BANKING DB")</f>
        <v>TRSF E-BANKING DB</v>
      </c>
      <c r="C67" s="2" t="str">
        <f>IFERROR(__xludf.DUMMYFUNCTION("""COMPUTED_VALUE"""),"1509/FTSCY/WS95271 79413750.00 Sat Sep 12 2026 14:00:00 GMT+0700 (Western Indonesia Time) PITIK DIGITAL INDO")</f>
        <v>1509/FTSCY/WS95271 79413750.00 Sat Sep 12 2026 14:00:00 GMT+0700 (Western Indonesia Time) PITIK DIGITAL INDO</v>
      </c>
      <c r="D67" s="2">
        <f>IFERROR(__xludf.DUMMYFUNCTION("""COMPUTED_VALUE"""),7.941375E7)</f>
        <v>79413750</v>
      </c>
      <c r="E67" s="2"/>
      <c r="F67" s="2" t="str">
        <f>IFERROR(__xludf.DUMMYFUNCTION("""COMPUTED_VALUE"""),"DB")</f>
        <v>DB</v>
      </c>
      <c r="G67" s="2">
        <f>IFERROR(__xludf.DUMMYFUNCTION("""COMPUTED_VALUE"""),1.0481645458999991E8)</f>
        <v>104816454.6</v>
      </c>
      <c r="H67" s="2">
        <f>IFERROR(__xludf.DUMMYFUNCTION("""COMPUTED_VALUE"""),1.0481645459E8)</f>
        <v>104816454.6</v>
      </c>
      <c r="I67" s="2" t="str">
        <f>IFERROR(__xludf.DUMMYFUNCTION("""COMPUTED_VALUE"""),"PRODUKSI")</f>
        <v>PRODUKSI</v>
      </c>
    </row>
    <row r="68">
      <c r="A68" s="10">
        <f>IFERROR(__xludf.DUMMYFUNCTION("""COMPUTED_VALUE"""),46280.0)</f>
        <v>46280</v>
      </c>
      <c r="B68" s="2" t="str">
        <f>IFERROR(__xludf.DUMMYFUNCTION("""COMPUTED_VALUE"""),"TRSF E-BANKING DB")</f>
        <v>TRSF E-BANKING DB</v>
      </c>
      <c r="C68" s="2" t="str">
        <f>IFERROR(__xludf.DUMMYFUNCTION("""COMPUTED_VALUE"""),"1509/FTSCY/WS95271 12500000.00 pelunasan lmjg SURYA INTI TERNAK")</f>
        <v>1509/FTSCY/WS95271 12500000.00 pelunasan lmjg SURYA INTI TERNAK</v>
      </c>
      <c r="D68" s="2">
        <f>IFERROR(__xludf.DUMMYFUNCTION("""COMPUTED_VALUE"""),1.25E7)</f>
        <v>12500000</v>
      </c>
      <c r="E68" s="2"/>
      <c r="F68" s="2" t="str">
        <f>IFERROR(__xludf.DUMMYFUNCTION("""COMPUTED_VALUE"""),"DB")</f>
        <v>DB</v>
      </c>
      <c r="G68" s="2">
        <f>IFERROR(__xludf.DUMMYFUNCTION("""COMPUTED_VALUE"""),9.231645458999991E7)</f>
        <v>92316454.59</v>
      </c>
      <c r="H68" s="2">
        <f>IFERROR(__xludf.DUMMYFUNCTION("""COMPUTED_VALUE"""),9.231645459E7)</f>
        <v>92316454.59</v>
      </c>
      <c r="I68" s="2" t="str">
        <f>IFERROR(__xludf.DUMMYFUNCTION("""COMPUTED_VALUE"""),"PRODUKSI")</f>
        <v>PRODUKSI</v>
      </c>
    </row>
    <row r="69">
      <c r="A69" s="10">
        <f>IFERROR(__xludf.DUMMYFUNCTION("""COMPUTED_VALUE"""),46280.0)</f>
        <v>46280</v>
      </c>
      <c r="B69" s="2" t="str">
        <f>IFERROR(__xludf.DUMMYFUNCTION("""COMPUTED_VALUE"""),"TRSF E-BANKING DB")</f>
        <v>TRSF E-BANKING DB</v>
      </c>
      <c r="C69" s="2" t="str">
        <f>IFERROR(__xludf.DUMMYFUNCTION("""COMPUTED_VALUE"""),"1509/FTSCY/WS95271 65627000.00 pelunasan 12/09 BROILER MAKMUR TAN")</f>
        <v>1509/FTSCY/WS95271 65627000.00 pelunasan 12/09 BROILER MAKMUR TAN</v>
      </c>
      <c r="D69" s="2">
        <f>IFERROR(__xludf.DUMMYFUNCTION("""COMPUTED_VALUE"""),6.5627E7)</f>
        <v>65627000</v>
      </c>
      <c r="E69" s="2"/>
      <c r="F69" s="2" t="str">
        <f>IFERROR(__xludf.DUMMYFUNCTION("""COMPUTED_VALUE"""),"DB")</f>
        <v>DB</v>
      </c>
      <c r="G69" s="2">
        <f>IFERROR(__xludf.DUMMYFUNCTION("""COMPUTED_VALUE"""),2.6689454589999914E7)</f>
        <v>26689454.59</v>
      </c>
      <c r="H69" s="2"/>
      <c r="I69" s="2" t="str">
        <f>IFERROR(__xludf.DUMMYFUNCTION("""COMPUTED_VALUE"""),"PRODUKSI")</f>
        <v>PRODUKSI</v>
      </c>
    </row>
    <row r="70">
      <c r="A70" s="10">
        <f>IFERROR(__xludf.DUMMYFUNCTION("""COMPUTED_VALUE"""),46280.0)</f>
        <v>46280</v>
      </c>
      <c r="B70" s="2" t="str">
        <f>IFERROR(__xludf.DUMMYFUNCTION("""COMPUTED_VALUE"""),"TRSF E-BANKING DB")</f>
        <v>TRSF E-BANKING DB</v>
      </c>
      <c r="C70" s="2" t="str">
        <f>IFERROR(__xludf.DUMMYFUNCTION("""COMPUTED_VALUE"""),"1509/FTSCY/WS95031 1500000.00 HERMAWAN")</f>
        <v>1509/FTSCY/WS95031 1500000.00 HERMAWAN</v>
      </c>
      <c r="D70" s="2">
        <f>IFERROR(__xludf.DUMMYFUNCTION("""COMPUTED_VALUE"""),1500000.0)</f>
        <v>1500000</v>
      </c>
      <c r="E70" s="2"/>
      <c r="F70" s="2" t="str">
        <f>IFERROR(__xludf.DUMMYFUNCTION("""COMPUTED_VALUE"""),"DB")</f>
        <v>DB</v>
      </c>
      <c r="G70" s="2">
        <f>IFERROR(__xludf.DUMMYFUNCTION("""COMPUTED_VALUE"""),2.5189454589999914E7)</f>
        <v>25189454.59</v>
      </c>
      <c r="H70" s="2"/>
      <c r="I70" s="2" t="str">
        <f>IFERROR(__xludf.DUMMYFUNCTION("""COMPUTED_VALUE"""),"PRODUKSI")</f>
        <v>PRODUKSI</v>
      </c>
    </row>
    <row r="71">
      <c r="A71" s="10">
        <f>IFERROR(__xludf.DUMMYFUNCTION("""COMPUTED_VALUE"""),46280.0)</f>
        <v>46280</v>
      </c>
      <c r="B71" s="2" t="str">
        <f>IFERROR(__xludf.DUMMYFUNCTION("""COMPUTED_VALUE"""),"TRSF E-BANKING DB")</f>
        <v>TRSF E-BANKING DB</v>
      </c>
      <c r="C71" s="2" t="str">
        <f>IFERROR(__xludf.DUMMYFUNCTION("""COMPUTED_VALUE"""),"1509/FTSCY/WS95031 2788850.00 FAJAR ANDREANZAH")</f>
        <v>1509/FTSCY/WS95031 2788850.00 FAJAR ANDREANZAH</v>
      </c>
      <c r="D71" s="2">
        <f>IFERROR(__xludf.DUMMYFUNCTION("""COMPUTED_VALUE"""),2788850.0)</f>
        <v>2788850</v>
      </c>
      <c r="E71" s="2"/>
      <c r="F71" s="2" t="str">
        <f>IFERROR(__xludf.DUMMYFUNCTION("""COMPUTED_VALUE"""),"DB")</f>
        <v>DB</v>
      </c>
      <c r="G71" s="2">
        <f>IFERROR(__xludf.DUMMYFUNCTION("""COMPUTED_VALUE"""),2.2400604589999914E7)</f>
        <v>22400604.59</v>
      </c>
      <c r="H71" s="2"/>
      <c r="I71" s="2" t="str">
        <f>IFERROR(__xludf.DUMMYFUNCTION("""COMPUTED_VALUE"""),"PRODUKSI")</f>
        <v>PRODUKSI</v>
      </c>
    </row>
    <row r="72">
      <c r="A72" s="10">
        <f>IFERROR(__xludf.DUMMYFUNCTION("""COMPUTED_VALUE"""),46280.0)</f>
        <v>46280</v>
      </c>
      <c r="B72" s="2" t="str">
        <f>IFERROR(__xludf.DUMMYFUNCTION("""COMPUTED_VALUE"""),"TRSF E-BANKING DB")</f>
        <v>TRSF E-BANKING DB</v>
      </c>
      <c r="C72" s="2" t="str">
        <f>IFERROR(__xludf.DUMMYFUNCTION("""COMPUTED_VALUE"""),"1509/FTSCY/WS95031 3411540.00 MUJIANTO")</f>
        <v>1509/FTSCY/WS95031 3411540.00 MUJIANTO</v>
      </c>
      <c r="D72" s="2">
        <f>IFERROR(__xludf.DUMMYFUNCTION("""COMPUTED_VALUE"""),3411540.0)</f>
        <v>3411540</v>
      </c>
      <c r="E72" s="2"/>
      <c r="F72" s="2" t="str">
        <f>IFERROR(__xludf.DUMMYFUNCTION("""COMPUTED_VALUE"""),"DB")</f>
        <v>DB</v>
      </c>
      <c r="G72" s="2">
        <f>IFERROR(__xludf.DUMMYFUNCTION("""COMPUTED_VALUE"""),1.8989064589999914E7)</f>
        <v>18989064.59</v>
      </c>
      <c r="H72" s="2"/>
      <c r="I72" s="2" t="str">
        <f>IFERROR(__xludf.DUMMYFUNCTION("""COMPUTED_VALUE"""),"PRODUKSI")</f>
        <v>PRODUKSI</v>
      </c>
    </row>
    <row r="73">
      <c r="A73" s="10">
        <f>IFERROR(__xludf.DUMMYFUNCTION("""COMPUTED_VALUE"""),46280.0)</f>
        <v>46280</v>
      </c>
      <c r="B73" s="2" t="str">
        <f>IFERROR(__xludf.DUMMYFUNCTION("""COMPUTED_VALUE"""),"TRSF E-BANKING DB")</f>
        <v>TRSF E-BANKING DB</v>
      </c>
      <c r="C73" s="2" t="str">
        <f>IFERROR(__xludf.DUMMYFUNCTION("""COMPUTED_VALUE"""),"1509/FTSCY/WS95031 2114080.00 NURHAYATI")</f>
        <v>1509/FTSCY/WS95031 2114080.00 NURHAYATI</v>
      </c>
      <c r="D73" s="2">
        <f>IFERROR(__xludf.DUMMYFUNCTION("""COMPUTED_VALUE"""),2114080.0)</f>
        <v>2114080</v>
      </c>
      <c r="E73" s="2"/>
      <c r="F73" s="2" t="str">
        <f>IFERROR(__xludf.DUMMYFUNCTION("""COMPUTED_VALUE"""),"DB")</f>
        <v>DB</v>
      </c>
      <c r="G73" s="2">
        <f>IFERROR(__xludf.DUMMYFUNCTION("""COMPUTED_VALUE"""),1.6874984589999914E7)</f>
        <v>16874984.59</v>
      </c>
      <c r="H73" s="2"/>
      <c r="I73" s="2" t="str">
        <f>IFERROR(__xludf.DUMMYFUNCTION("""COMPUTED_VALUE"""),"PRODUKSI")</f>
        <v>PRODUKSI</v>
      </c>
    </row>
    <row r="74">
      <c r="A74" s="10">
        <f>IFERROR(__xludf.DUMMYFUNCTION("""COMPUTED_VALUE"""),46280.0)</f>
        <v>46280</v>
      </c>
      <c r="B74" s="2" t="str">
        <f>IFERROR(__xludf.DUMMYFUNCTION("""COMPUTED_VALUE"""),"TRSF E-BANKING DB")</f>
        <v>TRSF E-BANKING DB</v>
      </c>
      <c r="C74" s="2" t="str">
        <f>IFERROR(__xludf.DUMMYFUNCTION("""COMPUTED_VALUE"""),"1509/FTSCY/WS95271 60000000.00 SUGENG RIADI")</f>
        <v>1509/FTSCY/WS95271 60000000.00 SUGENG RIADI</v>
      </c>
      <c r="D74" s="2">
        <f>IFERROR(__xludf.DUMMYFUNCTION("""COMPUTED_VALUE"""),6.0E7)</f>
        <v>60000000</v>
      </c>
      <c r="E74" s="2"/>
      <c r="F74" s="2" t="str">
        <f>IFERROR(__xludf.DUMMYFUNCTION("""COMPUTED_VALUE"""),"DB")</f>
        <v>DB</v>
      </c>
      <c r="G74" s="2">
        <f>IFERROR(__xludf.DUMMYFUNCTION("""COMPUTED_VALUE"""),1.572549845899999E8)</f>
        <v>157254984.6</v>
      </c>
      <c r="H74" s="2"/>
      <c r="I74" s="2" t="str">
        <f>IFERROR(__xludf.DUMMYFUNCTION("""COMPUTED_VALUE"""),"PRODUKSI")</f>
        <v>PRODUKSI</v>
      </c>
    </row>
    <row r="75">
      <c r="A75" s="10">
        <f>IFERROR(__xludf.DUMMYFUNCTION("""COMPUTED_VALUE"""),46280.0)</f>
        <v>46280</v>
      </c>
      <c r="B75" s="2" t="str">
        <f>IFERROR(__xludf.DUMMYFUNCTION("""COMPUTED_VALUE"""),"TRSF E-BANKING DB")</f>
        <v>TRSF E-BANKING DB</v>
      </c>
      <c r="C75" s="2" t="str">
        <f>IFERROR(__xludf.DUMMYFUNCTION("""COMPUTED_VALUE"""),"1509/FTFVA/WS95031 55569/PT PRIMA FAJ prob. - 40190")</f>
        <v>1509/FTFVA/WS95031 55569/PT PRIMA FAJ prob. - 40190</v>
      </c>
      <c r="D75" s="2">
        <f>IFERROR(__xludf.DUMMYFUNCTION("""COMPUTED_VALUE"""),6.3E7)</f>
        <v>63000000</v>
      </c>
      <c r="E75" s="2"/>
      <c r="F75" s="2" t="str">
        <f>IFERROR(__xludf.DUMMYFUNCTION("""COMPUTED_VALUE"""),"DB")</f>
        <v>DB</v>
      </c>
      <c r="G75" s="2">
        <f>IFERROR(__xludf.DUMMYFUNCTION("""COMPUTED_VALUE"""),9.425498458999991E7)</f>
        <v>94254984.59</v>
      </c>
      <c r="H75" s="2"/>
      <c r="I75" s="2" t="str">
        <f>IFERROR(__xludf.DUMMYFUNCTION("""COMPUTED_VALUE"""),"PRODUKSI")</f>
        <v>PRODUKSI</v>
      </c>
    </row>
    <row r="76">
      <c r="A76" s="10">
        <f>IFERROR(__xludf.DUMMYFUNCTION("""COMPUTED_VALUE"""),46280.0)</f>
        <v>46280</v>
      </c>
      <c r="B76" s="2" t="str">
        <f>IFERROR(__xludf.DUMMYFUNCTION("""COMPUTED_VALUE"""),"TRSF E-BANKING DB")</f>
        <v>TRSF E-BANKING DB</v>
      </c>
      <c r="C76" s="2" t="str">
        <f>IFERROR(__xludf.DUMMYFUNCTION("""COMPUTED_VALUE"""),"1509/FTSCY/WS95031 55788600.00 Sun Sep 13 2026 14:00:00 GMT+0700 (Western Indonesia Time) TUMBUH OPTIMAL PRI")</f>
        <v>1509/FTSCY/WS95031 55788600.00 Sun Sep 13 2026 14:00:00 GMT+0700 (Western Indonesia Time) TUMBUH OPTIMAL PRI</v>
      </c>
      <c r="D76" s="2">
        <f>IFERROR(__xludf.DUMMYFUNCTION("""COMPUTED_VALUE"""),5.57886E7)</f>
        <v>55788600</v>
      </c>
      <c r="E76" s="2"/>
      <c r="F76" s="2" t="str">
        <f>IFERROR(__xludf.DUMMYFUNCTION("""COMPUTED_VALUE"""),"DB")</f>
        <v>DB</v>
      </c>
      <c r="G76" s="2">
        <f>IFERROR(__xludf.DUMMYFUNCTION("""COMPUTED_VALUE"""),3.8466384589999914E7)</f>
        <v>38466384.59</v>
      </c>
      <c r="H76" s="2"/>
      <c r="I76" s="2" t="str">
        <f>IFERROR(__xludf.DUMMYFUNCTION("""COMPUTED_VALUE"""),"PRODUKSI")</f>
        <v>PRODUKSI</v>
      </c>
    </row>
    <row r="77">
      <c r="A77" s="10">
        <f>IFERROR(__xludf.DUMMYFUNCTION("""COMPUTED_VALUE"""),46280.0)</f>
        <v>46280</v>
      </c>
      <c r="B77" s="2" t="str">
        <f>IFERROR(__xludf.DUMMYFUNCTION("""COMPUTED_VALUE"""),"TRSF E-BANKING DB")</f>
        <v>TRSF E-BANKING DB</v>
      </c>
      <c r="C77" s="2" t="str">
        <f>IFERROR(__xludf.DUMMYFUNCTION("""COMPUTED_VALUE"""),"1509/FTSCY/WS95031 452340.00 ANDE DOSO ANGGORO")</f>
        <v>1509/FTSCY/WS95031 452340.00 ANDE DOSO ANGGORO</v>
      </c>
      <c r="D77" s="2">
        <f>IFERROR(__xludf.DUMMYFUNCTION("""COMPUTED_VALUE"""),452340.0)</f>
        <v>452340</v>
      </c>
      <c r="E77" s="2"/>
      <c r="F77" s="2" t="str">
        <f>IFERROR(__xludf.DUMMYFUNCTION("""COMPUTED_VALUE"""),"DB")</f>
        <v>DB</v>
      </c>
      <c r="G77" s="2">
        <f>IFERROR(__xludf.DUMMYFUNCTION("""COMPUTED_VALUE"""),3.8014044589999914E7)</f>
        <v>38014044.59</v>
      </c>
      <c r="H77" s="2"/>
      <c r="I77" s="2" t="str">
        <f>IFERROR(__xludf.DUMMYFUNCTION("""COMPUTED_VALUE"""),"PRODUKSI")</f>
        <v>PRODUKSI</v>
      </c>
    </row>
    <row r="78">
      <c r="A78" s="10">
        <f>IFERROR(__xludf.DUMMYFUNCTION("""COMPUTED_VALUE"""),46280.0)</f>
        <v>46280</v>
      </c>
      <c r="B78" s="2" t="str">
        <f>IFERROR(__xludf.DUMMYFUNCTION("""COMPUTED_VALUE"""),"TRSF E-BANKING DB")</f>
        <v>TRSF E-BANKING DB</v>
      </c>
      <c r="C78" s="2" t="str">
        <f>IFERROR(__xludf.DUMMYFUNCTION("""COMPUTED_VALUE"""),"1509/FTSCY/WS95271 67453800.00 Sun Sep 13 2026 14:00:00 GMT+0700 (Western Indonesia Time) TABASSAM AL HATTAK")</f>
        <v>1509/FTSCY/WS95271 67453800.00 Sun Sep 13 2026 14:00:00 GMT+0700 (Western Indonesia Time) TABASSAM AL HATTAK</v>
      </c>
      <c r="D78" s="2">
        <f>IFERROR(__xludf.DUMMYFUNCTION("""COMPUTED_VALUE"""),6.74538E7)</f>
        <v>67453800</v>
      </c>
      <c r="E78" s="2"/>
      <c r="F78" s="2" t="str">
        <f>IFERROR(__xludf.DUMMYFUNCTION("""COMPUTED_VALUE"""),"DB")</f>
        <v>DB</v>
      </c>
      <c r="G78" s="2">
        <f>IFERROR(__xludf.DUMMYFUNCTION("""COMPUTED_VALUE"""),3.017333845899999E8)</f>
        <v>301733384.6</v>
      </c>
      <c r="H78" s="2"/>
      <c r="I78" s="2" t="str">
        <f>IFERROR(__xludf.DUMMYFUNCTION("""COMPUTED_VALUE"""),"PRODUKSI")</f>
        <v>PRODUKSI</v>
      </c>
    </row>
    <row r="79">
      <c r="A79" s="10">
        <f>IFERROR(__xludf.DUMMYFUNCTION("""COMPUTED_VALUE"""),46280.0)</f>
        <v>46280</v>
      </c>
      <c r="B79" s="2" t="str">
        <f>IFERROR(__xludf.DUMMYFUNCTION("""COMPUTED_VALUE"""),"TRSF E-BANKING DB")</f>
        <v>TRSF E-BANKING DB</v>
      </c>
      <c r="C79" s="2" t="str">
        <f>IFERROR(__xludf.DUMMYFUNCTION("""COMPUTED_VALUE"""),"1509/FTSCY/WS95011 112695000.00 Sun Sep 13 2026 14:00:00 GMT+0700 (Western Indonesia Time) BINTANG TAMA SANTO")</f>
        <v>1509/FTSCY/WS95011 112695000.00 Sun Sep 13 2026 14:00:00 GMT+0700 (Western Indonesia Time) BINTANG TAMA SANTO</v>
      </c>
      <c r="D79" s="2">
        <f>IFERROR(__xludf.DUMMYFUNCTION("""COMPUTED_VALUE"""),1.12695E8)</f>
        <v>112695000</v>
      </c>
      <c r="E79" s="2"/>
      <c r="F79" s="2" t="str">
        <f>IFERROR(__xludf.DUMMYFUNCTION("""COMPUTED_VALUE"""),"DB")</f>
        <v>DB</v>
      </c>
      <c r="G79" s="2">
        <f>IFERROR(__xludf.DUMMYFUNCTION("""COMPUTED_VALUE"""),1.890383845899999E8)</f>
        <v>189038384.6</v>
      </c>
      <c r="H79" s="2">
        <f>IFERROR(__xludf.DUMMYFUNCTION("""COMPUTED_VALUE"""),1.8903838459E8)</f>
        <v>189038384.6</v>
      </c>
      <c r="I79" s="2" t="str">
        <f>IFERROR(__xludf.DUMMYFUNCTION("""COMPUTED_VALUE"""),"PRODUKSI")</f>
        <v>PRODUKSI</v>
      </c>
    </row>
    <row r="80">
      <c r="A80" s="10">
        <f>IFERROR(__xludf.DUMMYFUNCTION("""COMPUTED_VALUE"""),46280.0)</f>
        <v>46280</v>
      </c>
      <c r="B80" s="2" t="str">
        <f>IFERROR(__xludf.DUMMYFUNCTION("""COMPUTED_VALUE"""),"TRSF E-BANKING DB")</f>
        <v>TRSF E-BANKING DB</v>
      </c>
      <c r="C80" s="2" t="str">
        <f>IFERROR(__xludf.DUMMYFUNCTION("""COMPUTED_VALUE"""),"1509/FTSCY/WS95011 133682250.00 Sun Sep 13 2026 14:00:00 GMT+0700 (Western Indonesia Time) ANUGERAH KARTIKA A")</f>
        <v>1509/FTSCY/WS95011 133682250.00 Sun Sep 13 2026 14:00:00 GMT+0700 (Western Indonesia Time) ANUGERAH KARTIKA A</v>
      </c>
      <c r="D80" s="2">
        <f>IFERROR(__xludf.DUMMYFUNCTION("""COMPUTED_VALUE"""),1.3368225E8)</f>
        <v>133682250</v>
      </c>
      <c r="E80" s="2"/>
      <c r="F80" s="2" t="str">
        <f>IFERROR(__xludf.DUMMYFUNCTION("""COMPUTED_VALUE"""),"DB")</f>
        <v>DB</v>
      </c>
      <c r="G80" s="2">
        <f>IFERROR(__xludf.DUMMYFUNCTION("""COMPUTED_VALUE"""),5.5356134589999914E7)</f>
        <v>55356134.59</v>
      </c>
      <c r="H80" s="2">
        <f>IFERROR(__xludf.DUMMYFUNCTION("""COMPUTED_VALUE"""),5.535613459E7)</f>
        <v>55356134.59</v>
      </c>
      <c r="I80" s="2" t="str">
        <f>IFERROR(__xludf.DUMMYFUNCTION("""COMPUTED_VALUE"""),"PRODUKSI")</f>
        <v>PRODUKSI</v>
      </c>
    </row>
    <row r="81">
      <c r="A81" s="10">
        <f>IFERROR(__xludf.DUMMYFUNCTION("""COMPUTED_VALUE"""),46280.0)</f>
        <v>46280</v>
      </c>
      <c r="B81" s="2" t="str">
        <f>IFERROR(__xludf.DUMMYFUNCTION("""COMPUTED_VALUE"""),"TRSF E-BANKING DB")</f>
        <v>TRSF E-BANKING DB</v>
      </c>
      <c r="C81" s="2" t="str">
        <f>IFERROR(__xludf.DUMMYFUNCTION("""COMPUTED_VALUE"""),"1509/FTSCY/WS95031 9892530.00 EKO SETIYAWAN")</f>
        <v>1509/FTSCY/WS95031 9892530.00 EKO SETIYAWAN</v>
      </c>
      <c r="D81" s="2">
        <f>IFERROR(__xludf.DUMMYFUNCTION("""COMPUTED_VALUE"""),9892530.0)</f>
        <v>9892530</v>
      </c>
      <c r="E81" s="2"/>
      <c r="F81" s="2" t="str">
        <f>IFERROR(__xludf.DUMMYFUNCTION("""COMPUTED_VALUE"""),"DB")</f>
        <v>DB</v>
      </c>
      <c r="G81" s="2">
        <f>IFERROR(__xludf.DUMMYFUNCTION("""COMPUTED_VALUE"""),4.5463604589999914E7)</f>
        <v>45463604.59</v>
      </c>
      <c r="H81" s="2"/>
      <c r="I81" s="2" t="str">
        <f>IFERROR(__xludf.DUMMYFUNCTION("""COMPUTED_VALUE"""),"PRODUKSI")</f>
        <v>PRODUKSI</v>
      </c>
    </row>
    <row r="82">
      <c r="A82" s="10">
        <f>IFERROR(__xludf.DUMMYFUNCTION("""COMPUTED_VALUE"""),46280.0)</f>
        <v>46280</v>
      </c>
      <c r="B82" s="2" t="str">
        <f>IFERROR(__xludf.DUMMYFUNCTION("""COMPUTED_VALUE"""),"KARTU DEBIT")</f>
        <v>KARTU DEBIT</v>
      </c>
      <c r="C82" s="2" t="str">
        <f>IFERROR(__xludf.DUMMYFUNCTION("""COMPUTED_VALUE"""),"ALFAMRT Y207 BRTN 6019009510239343")</f>
        <v>ALFAMRT Y207 BRTN 6019009510239343</v>
      </c>
      <c r="D82" s="2">
        <f>IFERROR(__xludf.DUMMYFUNCTION("""COMPUTED_VALUE"""),176200.0)</f>
        <v>176200</v>
      </c>
      <c r="E82" s="2"/>
      <c r="F82" s="2"/>
      <c r="G82" s="2">
        <f>IFERROR(__xludf.DUMMYFUNCTION("""COMPUTED_VALUE"""),4.5287404589999914E7)</f>
        <v>45287404.59</v>
      </c>
      <c r="H82" s="2"/>
      <c r="I82" s="2" t="str">
        <f>IFERROR(__xludf.DUMMYFUNCTION("""COMPUTED_VALUE"""),"PRODUKSI")</f>
        <v>PRODUKSI</v>
      </c>
    </row>
    <row r="83">
      <c r="A83" s="10">
        <f>IFERROR(__xludf.DUMMYFUNCTION("""COMPUTED_VALUE"""),46280.0)</f>
        <v>46280</v>
      </c>
      <c r="B83" s="2" t="str">
        <f>IFERROR(__xludf.DUMMYFUNCTION("""COMPUTED_VALUE"""),"TRSF E-BANKING DB")</f>
        <v>TRSF E-BANKING DB</v>
      </c>
      <c r="C83" s="2" t="str">
        <f>IFERROR(__xludf.DUMMYFUNCTION("""COMPUTED_VALUE"""),"1509/FTSCY/WS95011 114688840.00 Sun Sep 13 2026 14:00:00 GMT+0700 (Western Indonesia Time) SUPER UNGGAS JAYA")</f>
        <v>1509/FTSCY/WS95011 114688840.00 Sun Sep 13 2026 14:00:00 GMT+0700 (Western Indonesia Time) SUPER UNGGAS JAYA</v>
      </c>
      <c r="D83" s="2">
        <f>IFERROR(__xludf.DUMMYFUNCTION("""COMPUTED_VALUE"""),1.1468884E8)</f>
        <v>114688840</v>
      </c>
      <c r="E83" s="2"/>
      <c r="F83" s="2" t="str">
        <f>IFERROR(__xludf.DUMMYFUNCTION("""COMPUTED_VALUE"""),"DB")</f>
        <v>DB</v>
      </c>
      <c r="G83" s="2">
        <f>IFERROR(__xludf.DUMMYFUNCTION("""COMPUTED_VALUE"""),1.1624047458999991E8)</f>
        <v>116240474.6</v>
      </c>
      <c r="H83" s="2"/>
      <c r="I83" s="2" t="str">
        <f>IFERROR(__xludf.DUMMYFUNCTION("""COMPUTED_VALUE"""),"PRODUKSI")</f>
        <v>PRODUKSI</v>
      </c>
    </row>
    <row r="84">
      <c r="A84" s="10">
        <f>IFERROR(__xludf.DUMMYFUNCTION("""COMPUTED_VALUE"""),46280.0)</f>
        <v>46280</v>
      </c>
      <c r="B84" s="2" t="str">
        <f>IFERROR(__xludf.DUMMYFUNCTION("""COMPUTED_VALUE"""),"TRSF E-BANKING DB")</f>
        <v>TRSF E-BANKING DB</v>
      </c>
      <c r="C84" s="2" t="str">
        <f>IFERROR(__xludf.DUMMYFUNCTION("""COMPUTED_VALUE"""),"1509/FTSCY/WS95011 63000000.00 Sun Sep 13 2026 14:00:00 GMT+0700 (Western Indonesia Time) ANUGERAH KARTIKA A")</f>
        <v>1509/FTSCY/WS95011 63000000.00 Sun Sep 13 2026 14:00:00 GMT+0700 (Western Indonesia Time) ANUGERAH KARTIKA A</v>
      </c>
      <c r="D84" s="2">
        <f>IFERROR(__xludf.DUMMYFUNCTION("""COMPUTED_VALUE"""),6.3E7)</f>
        <v>63000000</v>
      </c>
      <c r="E84" s="2"/>
      <c r="F84" s="2" t="str">
        <f>IFERROR(__xludf.DUMMYFUNCTION("""COMPUTED_VALUE"""),"DB")</f>
        <v>DB</v>
      </c>
      <c r="G84" s="2">
        <f>IFERROR(__xludf.DUMMYFUNCTION("""COMPUTED_VALUE"""),5.3240474589999914E7)</f>
        <v>53240474.59</v>
      </c>
      <c r="H84" s="2"/>
      <c r="I84" s="2" t="str">
        <f>IFERROR(__xludf.DUMMYFUNCTION("""COMPUTED_VALUE"""),"PRODUKSI")</f>
        <v>PRODUKSI</v>
      </c>
    </row>
    <row r="85">
      <c r="A85" s="10">
        <f>IFERROR(__xludf.DUMMYFUNCTION("""COMPUTED_VALUE"""),46280.0)</f>
        <v>46280</v>
      </c>
      <c r="B85" s="2" t="str">
        <f>IFERROR(__xludf.DUMMYFUNCTION("""COMPUTED_VALUE"""),"TRSF E-BANKING DB")</f>
        <v>TRSF E-BANKING DB</v>
      </c>
      <c r="C85" s="2" t="str">
        <f>IFERROR(__xludf.DUMMYFUNCTION("""COMPUTED_VALUE"""),"1509/FTSCY/WS95011 75918400.00 Krg 120.3 jt BROILER MAKMUR TAN")</f>
        <v>1509/FTSCY/WS95011 75918400.00 Krg 120.3 jt BROILER MAKMUR TAN</v>
      </c>
      <c r="D85" s="2">
        <f>IFERROR(__xludf.DUMMYFUNCTION("""COMPUTED_VALUE"""),7.59184E7)</f>
        <v>75918400</v>
      </c>
      <c r="E85" s="2"/>
      <c r="F85" s="2" t="str">
        <f>IFERROR(__xludf.DUMMYFUNCTION("""COMPUTED_VALUE"""),"DB")</f>
        <v>DB</v>
      </c>
      <c r="G85" s="2">
        <f>IFERROR(__xludf.DUMMYFUNCTION("""COMPUTED_VALUE"""),7782074.589999914)</f>
        <v>7782074.59</v>
      </c>
      <c r="H85" s="2"/>
      <c r="I85" s="2" t="str">
        <f>IFERROR(__xludf.DUMMYFUNCTION("""COMPUTED_VALUE"""),"PRODUKSI")</f>
        <v>PRODUKSI</v>
      </c>
    </row>
    <row r="86">
      <c r="A86" s="10">
        <f>IFERROR(__xludf.DUMMYFUNCTION("""COMPUTED_VALUE"""),46280.0)</f>
        <v>46280</v>
      </c>
      <c r="B86" s="2" t="str">
        <f>IFERROR(__xludf.DUMMYFUNCTION("""COMPUTED_VALUE"""),"BIAYA ADM")</f>
        <v>BIAYA ADM</v>
      </c>
      <c r="C86" s="2" t="str">
        <f>IFERROR(__xludf.DUMMYFUNCTION("""COMPUTED_VALUE"""),"BIAYA ADM")</f>
        <v>BIAYA ADM</v>
      </c>
      <c r="D86" s="2">
        <f>IFERROR(__xludf.DUMMYFUNCTION("""COMPUTED_VALUE"""),19000.0)</f>
        <v>19000</v>
      </c>
      <c r="E86" s="2"/>
      <c r="F86" s="2"/>
      <c r="G86" s="2">
        <f>IFERROR(__xludf.DUMMYFUNCTION("""COMPUTED_VALUE"""),7763074.589999914)</f>
        <v>7763074.59</v>
      </c>
      <c r="H86" s="2">
        <f>IFERROR(__xludf.DUMMYFUNCTION("""COMPUTED_VALUE"""),7763074.59)</f>
        <v>7763074.59</v>
      </c>
      <c r="I86" s="2" t="str">
        <f>IFERROR(__xludf.DUMMYFUNCTION("""COMPUTED_VALUE"""),"PRODUKSI")</f>
        <v>PRODUKSI</v>
      </c>
    </row>
    <row r="87">
      <c r="A87" s="10">
        <f>IFERROR(__xludf.DUMMYFUNCTION("""COMPUTED_VALUE"""),46281.0)</f>
        <v>46281</v>
      </c>
      <c r="B87" s="2" t="str">
        <f>IFERROR(__xludf.DUMMYFUNCTION("""COMPUTED_VALUE"""),"TRSF E-BANKING DB")</f>
        <v>TRSF E-BANKING DB</v>
      </c>
      <c r="C87" s="2" t="str">
        <f>IFERROR(__xludf.DUMMYFUNCTION("""COMPUTED_VALUE"""),"1609/FTSCY/WS95031 1534280.00 SUNARTO")</f>
        <v>1609/FTSCY/WS95031 1534280.00 SUNARTO</v>
      </c>
      <c r="D87" s="2">
        <f>IFERROR(__xludf.DUMMYFUNCTION("""COMPUTED_VALUE"""),1534280.0)</f>
        <v>1534280</v>
      </c>
      <c r="E87" s="2"/>
      <c r="F87" s="2" t="str">
        <f>IFERROR(__xludf.DUMMYFUNCTION("""COMPUTED_VALUE"""),"DB")</f>
        <v>DB</v>
      </c>
      <c r="G87" s="2">
        <f>IFERROR(__xludf.DUMMYFUNCTION("""COMPUTED_VALUE"""),6228794.589999914)</f>
        <v>6228794.59</v>
      </c>
      <c r="H87" s="2"/>
      <c r="I87" s="2" t="str">
        <f>IFERROR(__xludf.DUMMYFUNCTION("""COMPUTED_VALUE"""),"PRODUKSI")</f>
        <v>PRODUKSI</v>
      </c>
    </row>
    <row r="88">
      <c r="A88" s="10">
        <f>IFERROR(__xludf.DUMMYFUNCTION("""COMPUTED_VALUE"""),46281.0)</f>
        <v>46281</v>
      </c>
      <c r="B88" s="2" t="str">
        <f>IFERROR(__xludf.DUMMYFUNCTION("""COMPUTED_VALUE"""),"TRSF E-BANKING DB")</f>
        <v>TRSF E-BANKING DB</v>
      </c>
      <c r="C88" s="2" t="str">
        <f>IFERROR(__xludf.DUMMYFUNCTION("""COMPUTED_VALUE"""),"1609/FTSCY/WS95031 1000000.00 DWI HERMANSYAH")</f>
        <v>1609/FTSCY/WS95031 1000000.00 DWI HERMANSYAH</v>
      </c>
      <c r="D88" s="2">
        <f>IFERROR(__xludf.DUMMYFUNCTION("""COMPUTED_VALUE"""),1000000.0)</f>
        <v>1000000</v>
      </c>
      <c r="E88" s="2"/>
      <c r="F88" s="2" t="str">
        <f>IFERROR(__xludf.DUMMYFUNCTION("""COMPUTED_VALUE"""),"DB")</f>
        <v>DB</v>
      </c>
      <c r="G88" s="2">
        <f>IFERROR(__xludf.DUMMYFUNCTION("""COMPUTED_VALUE"""),5228794.589999914)</f>
        <v>5228794.59</v>
      </c>
      <c r="H88" s="2"/>
      <c r="I88" s="2" t="str">
        <f>IFERROR(__xludf.DUMMYFUNCTION("""COMPUTED_VALUE"""),"PRODUKSI")</f>
        <v>PRODUKSI</v>
      </c>
    </row>
    <row r="89">
      <c r="A89" s="10">
        <f>IFERROR(__xludf.DUMMYFUNCTION("""COMPUTED_VALUE"""),46281.0)</f>
        <v>46281</v>
      </c>
      <c r="B89" s="2" t="str">
        <f>IFERROR(__xludf.DUMMYFUNCTION("""COMPUTED_VALUE"""),"BYR VIA E-BANKING")</f>
        <v>BYR VIA E-BANKING</v>
      </c>
      <c r="C89" s="2" t="str">
        <f>IFERROR(__xludf.DUMMYFUNCTION("""COMPUTED_VALUE"""),"16/09  WSID9503101 1220 TELKOMSEL 82318368518 MUHAMMAD HAIRUL MA")</f>
        <v>16/09  WSID9503101 1220 TELKOMSEL 82318368518 MUHAMMAD HAIRUL MA</v>
      </c>
      <c r="D89" s="2">
        <f>IFERROR(__xludf.DUMMYFUNCTION("""COMPUTED_VALUE"""),52000.0)</f>
        <v>52000</v>
      </c>
      <c r="E89" s="2"/>
      <c r="F89" s="2"/>
      <c r="G89" s="2">
        <f>IFERROR(__xludf.DUMMYFUNCTION("""COMPUTED_VALUE"""),5176794.589999914)</f>
        <v>5176794.59</v>
      </c>
      <c r="H89" s="2"/>
      <c r="I89" s="2" t="str">
        <f>IFERROR(__xludf.DUMMYFUNCTION("""COMPUTED_VALUE"""),"PRODUKSI")</f>
        <v>PRODUKSI</v>
      </c>
    </row>
    <row r="90">
      <c r="A90" s="10">
        <f>IFERROR(__xludf.DUMMYFUNCTION("""COMPUTED_VALUE"""),46281.0)</f>
        <v>46281</v>
      </c>
      <c r="B90" s="2" t="str">
        <f>IFERROR(__xludf.DUMMYFUNCTION("""COMPUTED_VALUE"""),"BYR VIA E-BANKING")</f>
        <v>BYR VIA E-BANKING</v>
      </c>
      <c r="C90" s="2" t="str">
        <f>IFERROR(__xludf.DUMMYFUNCTION("""COMPUTED_VALUE"""),"16/09  WSID9503101 1220 TELKOMSEL 82318368518 MUHAMMAD HAIRUL MA")</f>
        <v>16/09  WSID9503101 1220 TELKOMSEL 82318368518 MUHAMMAD HAIRUL MA</v>
      </c>
      <c r="D90" s="2">
        <f>IFERROR(__xludf.DUMMYFUNCTION("""COMPUTED_VALUE"""),27000.0)</f>
        <v>27000</v>
      </c>
      <c r="E90" s="2"/>
      <c r="F90" s="2"/>
      <c r="G90" s="2">
        <f>IFERROR(__xludf.DUMMYFUNCTION("""COMPUTED_VALUE"""),5149794.589999914)</f>
        <v>5149794.59</v>
      </c>
      <c r="H90" s="2"/>
      <c r="I90" s="2" t="str">
        <f>IFERROR(__xludf.DUMMYFUNCTION("""COMPUTED_VALUE"""),"PRODUKSI")</f>
        <v>PRODUKSI</v>
      </c>
    </row>
    <row r="91">
      <c r="A91" s="10">
        <f>IFERROR(__xludf.DUMMYFUNCTION("""COMPUTED_VALUE"""),46281.0)</f>
        <v>46281</v>
      </c>
      <c r="B91" s="2" t="str">
        <f>IFERROR(__xludf.DUMMYFUNCTION("""COMPUTED_VALUE"""),"TRSF E-BANKING DB")</f>
        <v>TRSF E-BANKING DB</v>
      </c>
      <c r="C91" s="2" t="str">
        <f>IFERROR(__xludf.DUMMYFUNCTION("""COMPUTED_VALUE"""),"1609/FTFVA/WS95031 80777/TOKOPEDIA - - 82318368518")</f>
        <v>1609/FTFVA/WS95031 80777/TOKOPEDIA - - 82318368518</v>
      </c>
      <c r="D91" s="2">
        <f>IFERROR(__xludf.DUMMYFUNCTION("""COMPUTED_VALUE"""),849200.0)</f>
        <v>849200</v>
      </c>
      <c r="E91" s="2"/>
      <c r="F91" s="2" t="str">
        <f>IFERROR(__xludf.DUMMYFUNCTION("""COMPUTED_VALUE"""),"DB")</f>
        <v>DB</v>
      </c>
      <c r="G91" s="2">
        <f>IFERROR(__xludf.DUMMYFUNCTION("""COMPUTED_VALUE"""),4300594.589999914)</f>
        <v>4300594.59</v>
      </c>
      <c r="H91" s="2"/>
      <c r="I91" s="2" t="str">
        <f>IFERROR(__xludf.DUMMYFUNCTION("""COMPUTED_VALUE"""),"PRODUKSI")</f>
        <v>PRODUKSI</v>
      </c>
    </row>
    <row r="92">
      <c r="A92" s="10">
        <f>IFERROR(__xludf.DUMMYFUNCTION("""COMPUTED_VALUE"""),46281.0)</f>
        <v>46281</v>
      </c>
      <c r="B92" s="2" t="str">
        <f>IFERROR(__xludf.DUMMYFUNCTION("""COMPUTED_VALUE"""),"TRSF E-BANKING DB")</f>
        <v>TRSF E-BANKING DB</v>
      </c>
      <c r="C92" s="2" t="str">
        <f>IFERROR(__xludf.DUMMYFUNCTION("""COMPUTED_VALUE"""),"1609/FTSCY/WS95031 24184740.00 pelunasan RUKUN MITRA BERSAM")</f>
        <v>1609/FTSCY/WS95031 24184740.00 pelunasan RUKUN MITRA BERSAM</v>
      </c>
      <c r="D92" s="2">
        <f>IFERROR(__xludf.DUMMYFUNCTION("""COMPUTED_VALUE"""),2.418474E7)</f>
        <v>24184740</v>
      </c>
      <c r="E92" s="2"/>
      <c r="F92" s="2" t="str">
        <f>IFERROR(__xludf.DUMMYFUNCTION("""COMPUTED_VALUE"""),"DB")</f>
        <v>DB</v>
      </c>
      <c r="G92" s="2">
        <f>IFERROR(__xludf.DUMMYFUNCTION("""COMPUTED_VALUE"""),4.0115854589999914E7)</f>
        <v>40115854.59</v>
      </c>
      <c r="H92" s="2">
        <f>IFERROR(__xludf.DUMMYFUNCTION("""COMPUTED_VALUE"""),4.011585459E7)</f>
        <v>40115854.59</v>
      </c>
      <c r="I92" s="2" t="str">
        <f>IFERROR(__xludf.DUMMYFUNCTION("""COMPUTED_VALUE"""),"PRODUKSI")</f>
        <v>PRODUKSI</v>
      </c>
    </row>
    <row r="93">
      <c r="A93" s="10">
        <f>IFERROR(__xludf.DUMMYFUNCTION("""COMPUTED_VALUE"""),46281.0)</f>
        <v>46281</v>
      </c>
      <c r="B93" s="2" t="str">
        <f>IFERROR(__xludf.DUMMYFUNCTION("""COMPUTED_VALUE"""),"TRSF E-BANKING DB")</f>
        <v>TRSF E-BANKING DB</v>
      </c>
      <c r="C93" s="2" t="str">
        <f>IFERROR(__xludf.DUMMYFUNCTION("""COMPUTED_VALUE"""),"1609/FTSCY/WS95031 40000000.00 LAWU ABADI NUSA PT")</f>
        <v>1609/FTSCY/WS95031 40000000.00 LAWU ABADI NUSA PT</v>
      </c>
      <c r="D93" s="2">
        <f>IFERROR(__xludf.DUMMYFUNCTION("""COMPUTED_VALUE"""),4.0E7)</f>
        <v>40000000</v>
      </c>
      <c r="E93" s="2"/>
      <c r="F93" s="2" t="str">
        <f>IFERROR(__xludf.DUMMYFUNCTION("""COMPUTED_VALUE"""),"DB")</f>
        <v>DB</v>
      </c>
      <c r="G93" s="2">
        <f>IFERROR(__xludf.DUMMYFUNCTION("""COMPUTED_VALUE"""),115854.58999991417)</f>
        <v>115854.59</v>
      </c>
      <c r="H93" s="2"/>
      <c r="I93" s="2" t="str">
        <f>IFERROR(__xludf.DUMMYFUNCTION("""COMPUTED_VALUE"""),"PRODUKSI")</f>
        <v>PRODUKSI</v>
      </c>
    </row>
    <row r="94">
      <c r="A94" s="10">
        <f>IFERROR(__xludf.DUMMYFUNCTION("""COMPUTED_VALUE"""),46281.0)</f>
        <v>46281</v>
      </c>
      <c r="B94" s="2" t="str">
        <f>IFERROR(__xludf.DUMMYFUNCTION("""COMPUTED_VALUE"""),"TRSF E-BANKING DB")</f>
        <v>TRSF E-BANKING DB</v>
      </c>
      <c r="C94" s="2" t="str">
        <f>IFERROR(__xludf.DUMMYFUNCTION("""COMPUTED_VALUE"""),"1609/FTSCY/WS95031 19263450.00 pelunasan LAWU ABADI NUSA PT")</f>
        <v>1609/FTSCY/WS95031 19263450.00 pelunasan LAWU ABADI NUSA PT</v>
      </c>
      <c r="D94" s="2">
        <f>IFERROR(__xludf.DUMMYFUNCTION("""COMPUTED_VALUE"""),1.926345E7)</f>
        <v>19263450</v>
      </c>
      <c r="E94" s="2"/>
      <c r="F94" s="2" t="str">
        <f>IFERROR(__xludf.DUMMYFUNCTION("""COMPUTED_VALUE"""),"DB")</f>
        <v>DB</v>
      </c>
      <c r="G94" s="2">
        <f>IFERROR(__xludf.DUMMYFUNCTION("""COMPUTED_VALUE"""),1.413252045899999E8)</f>
        <v>141325204.6</v>
      </c>
      <c r="H94" s="2"/>
      <c r="I94" s="2" t="str">
        <f>IFERROR(__xludf.DUMMYFUNCTION("""COMPUTED_VALUE"""),"PRODUKSI")</f>
        <v>PRODUKSI</v>
      </c>
    </row>
    <row r="95">
      <c r="A95" s="10">
        <f>IFERROR(__xludf.DUMMYFUNCTION("""COMPUTED_VALUE"""),46281.0)</f>
        <v>46281</v>
      </c>
      <c r="B95" s="2" t="str">
        <f>IFERROR(__xludf.DUMMYFUNCTION("""COMPUTED_VALUE"""),"BI-FAST DB")</f>
        <v>BI-FAST DB</v>
      </c>
      <c r="C95" s="2" t="str">
        <f>IFERROR(__xludf.DUMMYFUNCTION("""COMPUTED_VALUE"""),"BIF TRANSFER KE 9 AHMAD LUTHFI FADHI M-BCA")</f>
        <v>BIF TRANSFER KE 9 AHMAD LUTHFI FADHI M-BCA</v>
      </c>
      <c r="D95" s="2">
        <f>IFERROR(__xludf.DUMMYFUNCTION("""COMPUTED_VALUE"""),100000.0)</f>
        <v>100000</v>
      </c>
      <c r="E95" s="2"/>
      <c r="F95" s="2" t="str">
        <f>IFERROR(__xludf.DUMMYFUNCTION("""COMPUTED_VALUE"""),"DB")</f>
        <v>DB</v>
      </c>
      <c r="G95" s="2">
        <f>IFERROR(__xludf.DUMMYFUNCTION("""COMPUTED_VALUE"""),1.412252045899999E8)</f>
        <v>141225204.6</v>
      </c>
      <c r="H95" s="2"/>
      <c r="I95" s="2" t="str">
        <f>IFERROR(__xludf.DUMMYFUNCTION("""COMPUTED_VALUE"""),"PRODUKSI")</f>
        <v>PRODUKSI</v>
      </c>
    </row>
    <row r="96">
      <c r="A96" s="10">
        <f>IFERROR(__xludf.DUMMYFUNCTION("""COMPUTED_VALUE"""),46281.0)</f>
        <v>46281</v>
      </c>
      <c r="B96" s="2" t="str">
        <f>IFERROR(__xludf.DUMMYFUNCTION("""COMPUTED_VALUE"""),"BI-FAST DB")</f>
        <v>BI-FAST DB</v>
      </c>
      <c r="C96" s="2" t="str">
        <f>IFERROR(__xludf.DUMMYFUNCTION("""COMPUTED_VALUE"""),"BIF BIAYA TXN KE 9 AHMAD LUTHFI FADHI M-BCA")</f>
        <v>BIF BIAYA TXN KE 9 AHMAD LUTHFI FADHI M-BCA</v>
      </c>
      <c r="D96" s="2">
        <f>IFERROR(__xludf.DUMMYFUNCTION("""COMPUTED_VALUE"""),2500.0)</f>
        <v>2500</v>
      </c>
      <c r="E96" s="2"/>
      <c r="F96" s="2" t="str">
        <f>IFERROR(__xludf.DUMMYFUNCTION("""COMPUTED_VALUE"""),"DB")</f>
        <v>DB</v>
      </c>
      <c r="G96" s="2">
        <f>IFERROR(__xludf.DUMMYFUNCTION("""COMPUTED_VALUE"""),1.412227045899999E8)</f>
        <v>141222704.6</v>
      </c>
      <c r="H96" s="2"/>
      <c r="I96" s="2" t="str">
        <f>IFERROR(__xludf.DUMMYFUNCTION("""COMPUTED_VALUE"""),"PRODUKSI")</f>
        <v>PRODUKSI</v>
      </c>
    </row>
    <row r="97">
      <c r="A97" s="10">
        <f>IFERROR(__xludf.DUMMYFUNCTION("""COMPUTED_VALUE"""),46281.0)</f>
        <v>46281</v>
      </c>
      <c r="B97" s="2" t="str">
        <f>IFERROR(__xludf.DUMMYFUNCTION("""COMPUTED_VALUE"""),"TRSF E-BANKING DB")</f>
        <v>TRSF E-BANKING DB</v>
      </c>
      <c r="C97" s="2" t="str">
        <f>IFERROR(__xludf.DUMMYFUNCTION("""COMPUTED_VALUE"""),"1609/FTFVA/WS95031 55569/PT PRIMA FAJ besuki - 40190")</f>
        <v>1609/FTFVA/WS95031 55569/PT PRIMA FAJ besuki - 40190</v>
      </c>
      <c r="D97" s="2">
        <f>IFERROR(__xludf.DUMMYFUNCTION("""COMPUTED_VALUE"""),5.85E7)</f>
        <v>58500000</v>
      </c>
      <c r="E97" s="2"/>
      <c r="F97" s="2" t="str">
        <f>IFERROR(__xludf.DUMMYFUNCTION("""COMPUTED_VALUE"""),"DB")</f>
        <v>DB</v>
      </c>
      <c r="G97" s="2">
        <f>IFERROR(__xludf.DUMMYFUNCTION("""COMPUTED_VALUE"""),8.272270458999991E7)</f>
        <v>82722704.59</v>
      </c>
      <c r="H97" s="2"/>
      <c r="I97" s="2" t="str">
        <f>IFERROR(__xludf.DUMMYFUNCTION("""COMPUTED_VALUE"""),"PRODUKSI")</f>
        <v>PRODUKSI</v>
      </c>
    </row>
    <row r="98">
      <c r="A98" s="10">
        <f>IFERROR(__xludf.DUMMYFUNCTION("""COMPUTED_VALUE"""),46281.0)</f>
        <v>46281</v>
      </c>
      <c r="B98" s="2" t="str">
        <f>IFERROR(__xludf.DUMMYFUNCTION("""COMPUTED_VALUE"""),"TRSF E-BANKING DB")</f>
        <v>TRSF E-BANKING DB</v>
      </c>
      <c r="C98" s="2" t="str">
        <f>IFERROR(__xludf.DUMMYFUNCTION("""COMPUTED_VALUE"""),"1609/FTSCY/WS95031 2075830.00 SUNARTO")</f>
        <v>1609/FTSCY/WS95031 2075830.00 SUNARTO</v>
      </c>
      <c r="D98" s="2">
        <f>IFERROR(__xludf.DUMMYFUNCTION("""COMPUTED_VALUE"""),2075830.0)</f>
        <v>2075830</v>
      </c>
      <c r="E98" s="2"/>
      <c r="F98" s="2" t="str">
        <f>IFERROR(__xludf.DUMMYFUNCTION("""COMPUTED_VALUE"""),"DB")</f>
        <v>DB</v>
      </c>
      <c r="G98" s="2">
        <f>IFERROR(__xludf.DUMMYFUNCTION("""COMPUTED_VALUE"""),8.064687458999991E7)</f>
        <v>80646874.59</v>
      </c>
      <c r="H98" s="2">
        <f>IFERROR(__xludf.DUMMYFUNCTION("""COMPUTED_VALUE"""),8.064687459E7)</f>
        <v>80646874.59</v>
      </c>
      <c r="I98" s="2" t="str">
        <f>IFERROR(__xludf.DUMMYFUNCTION("""COMPUTED_VALUE"""),"PRODUKSI")</f>
        <v>PRODUKSI</v>
      </c>
    </row>
    <row r="99">
      <c r="A99" s="10">
        <f>IFERROR(__xludf.DUMMYFUNCTION("""COMPUTED_VALUE"""),46282.0)</f>
        <v>46282</v>
      </c>
      <c r="B99" s="2" t="str">
        <f>IFERROR(__xludf.DUMMYFUNCTION("""COMPUTED_VALUE"""),"TRSF E-BANKING DB")</f>
        <v>TRSF E-BANKING DB</v>
      </c>
      <c r="C99" s="2" t="str">
        <f>IFERROR(__xludf.DUMMYFUNCTION("""COMPUTED_VALUE"""),"1709/FTSCY/WS95271 135657900.00 prob BRANTAS ABADI SENT")</f>
        <v>1709/FTSCY/WS95271 135657900.00 prob BRANTAS ABADI SENT</v>
      </c>
      <c r="D99" s="2">
        <f>IFERROR(__xludf.DUMMYFUNCTION("""COMPUTED_VALUE"""),1.356579E8)</f>
        <v>135657900</v>
      </c>
      <c r="E99" s="2"/>
      <c r="F99" s="2" t="str">
        <f>IFERROR(__xludf.DUMMYFUNCTION("""COMPUTED_VALUE"""),"DB")</f>
        <v>DB</v>
      </c>
      <c r="G99" s="2">
        <f>IFERROR(__xludf.DUMMYFUNCTION("""COMPUTED_VALUE"""),1.560206045899999E8)</f>
        <v>156020604.6</v>
      </c>
      <c r="H99" s="2"/>
      <c r="I99" s="2" t="str">
        <f>IFERROR(__xludf.DUMMYFUNCTION("""COMPUTED_VALUE"""),"PRODUKSI")</f>
        <v>PRODUKSI</v>
      </c>
    </row>
    <row r="100">
      <c r="A100" s="10">
        <f>IFERROR(__xludf.DUMMYFUNCTION("""COMPUTED_VALUE"""),46282.0)</f>
        <v>46282</v>
      </c>
      <c r="B100" s="2" t="str">
        <f>IFERROR(__xludf.DUMMYFUNCTION("""COMPUTED_VALUE"""),"TRSF E-BANKING DB")</f>
        <v>TRSF E-BANKING DB</v>
      </c>
      <c r="C100" s="2" t="str">
        <f>IFERROR(__xludf.DUMMYFUNCTION("""COMPUTED_VALUE"""),"1709/FTFVA/WS95031 80777/TOKOPEDIA - - 82318368518")</f>
        <v>1709/FTFVA/WS95031 80777/TOKOPEDIA - - 82318368518</v>
      </c>
      <c r="D100" s="2">
        <f>IFERROR(__xludf.DUMMYFUNCTION("""COMPUTED_VALUE"""),3181800.0)</f>
        <v>3181800</v>
      </c>
      <c r="E100" s="2"/>
      <c r="F100" s="2" t="str">
        <f>IFERROR(__xludf.DUMMYFUNCTION("""COMPUTED_VALUE"""),"DB")</f>
        <v>DB</v>
      </c>
      <c r="G100" s="2">
        <f>IFERROR(__xludf.DUMMYFUNCTION("""COMPUTED_VALUE"""),1.528388045899999E8)</f>
        <v>152838804.6</v>
      </c>
      <c r="H100" s="2">
        <f>IFERROR(__xludf.DUMMYFUNCTION("""COMPUTED_VALUE"""),1.5283880459E8)</f>
        <v>152838804.6</v>
      </c>
      <c r="I100" s="2" t="str">
        <f>IFERROR(__xludf.DUMMYFUNCTION("""COMPUTED_VALUE"""),"PRODUKSI")</f>
        <v>PRODUKSI</v>
      </c>
    </row>
    <row r="101">
      <c r="A101" s="10">
        <f>IFERROR(__xludf.DUMMYFUNCTION("""COMPUTED_VALUE"""),46282.0)</f>
        <v>46282</v>
      </c>
      <c r="B101" s="2" t="str">
        <f>IFERROR(__xludf.DUMMYFUNCTION("""COMPUTED_VALUE"""),"TRSF E-BANKING DB")</f>
        <v>TRSF E-BANKING DB</v>
      </c>
      <c r="C101" s="2" t="str">
        <f>IFERROR(__xludf.DUMMYFUNCTION("""COMPUTED_VALUE"""),"1709/FTSCY/WS95271 120300000.00 pelunasan BROILER MAKMUR TAN")</f>
        <v>1709/FTSCY/WS95271 120300000.00 pelunasan BROILER MAKMUR TAN</v>
      </c>
      <c r="D101" s="2">
        <f>IFERROR(__xludf.DUMMYFUNCTION("""COMPUTED_VALUE"""),1.203E8)</f>
        <v>120300000</v>
      </c>
      <c r="E101" s="2"/>
      <c r="F101" s="2" t="str">
        <f>IFERROR(__xludf.DUMMYFUNCTION("""COMPUTED_VALUE"""),"DB")</f>
        <v>DB</v>
      </c>
      <c r="G101" s="2">
        <f>IFERROR(__xludf.DUMMYFUNCTION("""COMPUTED_VALUE"""),3.2538804589999914E7)</f>
        <v>32538804.59</v>
      </c>
      <c r="H101" s="2">
        <f>IFERROR(__xludf.DUMMYFUNCTION("""COMPUTED_VALUE"""),3.253880459E7)</f>
        <v>32538804.59</v>
      </c>
      <c r="I101" s="2" t="str">
        <f>IFERROR(__xludf.DUMMYFUNCTION("""COMPUTED_VALUE"""),"PRODUKSI")</f>
        <v>PRODUKSI</v>
      </c>
    </row>
    <row r="102">
      <c r="A102" s="10">
        <f>IFERROR(__xludf.DUMMYFUNCTION("""COMPUTED_VALUE"""),46282.0)</f>
        <v>46282</v>
      </c>
      <c r="B102" s="2" t="str">
        <f>IFERROR(__xludf.DUMMYFUNCTION("""COMPUTED_VALUE"""),"TRSF E-BANKING DB")</f>
        <v>TRSF E-BANKING DB</v>
      </c>
      <c r="C102" s="2" t="str">
        <f>IFERROR(__xludf.DUMMYFUNCTION("""COMPUTED_VALUE"""),"1709/FTSCY/WS95271 32229850.00 krg 20 jt TABASSAM AL HATTAK")</f>
        <v>1709/FTSCY/WS95271 32229850.00 krg 20 jt TABASSAM AL HATTAK</v>
      </c>
      <c r="D102" s="2">
        <f>IFERROR(__xludf.DUMMYFUNCTION("""COMPUTED_VALUE"""),3.222985E7)</f>
        <v>32229850</v>
      </c>
      <c r="E102" s="2"/>
      <c r="F102" s="2" t="str">
        <f>IFERROR(__xludf.DUMMYFUNCTION("""COMPUTED_VALUE"""),"DB")</f>
        <v>DB</v>
      </c>
      <c r="G102" s="2">
        <f>IFERROR(__xludf.DUMMYFUNCTION("""COMPUTED_VALUE"""),308954.58999991417)</f>
        <v>308954.59</v>
      </c>
      <c r="H102" s="2"/>
      <c r="I102" s="2" t="str">
        <f>IFERROR(__xludf.DUMMYFUNCTION("""COMPUTED_VALUE"""),"PRODUKSI")</f>
        <v>PRODUKSI</v>
      </c>
    </row>
    <row r="103">
      <c r="A103" s="10">
        <f>IFERROR(__xludf.DUMMYFUNCTION("""COMPUTED_VALUE"""),46282.0)</f>
        <v>46282</v>
      </c>
      <c r="B103" s="2" t="str">
        <f>IFERROR(__xludf.DUMMYFUNCTION("""COMPUTED_VALUE"""),"TARIKAN ATM 17/09")</f>
        <v>TARIKAN ATM 17/09</v>
      </c>
      <c r="C103" s="2" t="str">
        <f>IFERROR(__xludf.DUMMYFUNCTION("""COMPUTED_VALUE"""),"TARIKAN ATM 17/09")</f>
        <v>TARIKAN ATM 17/09</v>
      </c>
      <c r="D103" s="2">
        <f>IFERROR(__xludf.DUMMYFUNCTION("""COMPUTED_VALUE"""),250000.0)</f>
        <v>250000</v>
      </c>
      <c r="E103" s="2"/>
      <c r="F103" s="2"/>
      <c r="G103" s="2">
        <f>IFERROR(__xludf.DUMMYFUNCTION("""COMPUTED_VALUE"""),58954.58999991417)</f>
        <v>58954.59</v>
      </c>
      <c r="H103" s="2"/>
      <c r="I103" s="2" t="str">
        <f>IFERROR(__xludf.DUMMYFUNCTION("""COMPUTED_VALUE"""),"PRODUKSI")</f>
        <v>PRODUKSI</v>
      </c>
    </row>
    <row r="104">
      <c r="A104" s="10">
        <f>IFERROR(__xludf.DUMMYFUNCTION("""COMPUTED_VALUE"""),46283.0)</f>
        <v>46283</v>
      </c>
      <c r="B104" s="2" t="str">
        <f>IFERROR(__xludf.DUMMYFUNCTION("""COMPUTED_VALUE"""),"BI-FAST DB")</f>
        <v>BI-FAST DB</v>
      </c>
      <c r="C104" s="2" t="str">
        <f>IFERROR(__xludf.DUMMYFUNCTION("""COMPUTED_VALUE"""),"BIF BIAYA TXN KE 2 TURYADI M-BCA")</f>
        <v>BIF BIAYA TXN KE 2 TURYADI M-BCA</v>
      </c>
      <c r="D104" s="2">
        <f>IFERROR(__xludf.DUMMYFUNCTION("""COMPUTED_VALUE"""),2500.0)</f>
        <v>2500</v>
      </c>
      <c r="E104" s="2"/>
      <c r="F104" s="2" t="str">
        <f>IFERROR(__xludf.DUMMYFUNCTION("""COMPUTED_VALUE"""),"DB")</f>
        <v>DB</v>
      </c>
      <c r="G104" s="2">
        <f>IFERROR(__xludf.DUMMYFUNCTION("""COMPUTED_VALUE"""),4.4865804589999914E7)</f>
        <v>44865804.59</v>
      </c>
      <c r="H104" s="2">
        <f>IFERROR(__xludf.DUMMYFUNCTION("""COMPUTED_VALUE"""),4.486580459E7)</f>
        <v>44865804.59</v>
      </c>
      <c r="I104" s="2" t="str">
        <f>IFERROR(__xludf.DUMMYFUNCTION("""COMPUTED_VALUE"""),"PRODUKSI")</f>
        <v>PRODUKSI</v>
      </c>
    </row>
    <row r="105">
      <c r="A105" s="10">
        <f>IFERROR(__xludf.DUMMYFUNCTION("""COMPUTED_VALUE"""),46283.0)</f>
        <v>46283</v>
      </c>
      <c r="B105" s="2" t="str">
        <f>IFERROR(__xludf.DUMMYFUNCTION("""COMPUTED_VALUE"""),"TRSF E-BANKING DB")</f>
        <v>TRSF E-BANKING DB</v>
      </c>
      <c r="C105" s="2" t="str">
        <f>IFERROR(__xludf.DUMMYFUNCTION("""COMPUTED_VALUE"""),"1809/FTSCY/WS95031 64940750.00 Mon Sep 14 2026 14:00:00 GMT+0700 (Western Indonesia Time) ANUGERAH KARTIKA A")</f>
        <v>1809/FTSCY/WS95031 64940750.00 Mon Sep 14 2026 14:00:00 GMT+0700 (Western Indonesia Time) ANUGERAH KARTIKA A</v>
      </c>
      <c r="D105" s="2">
        <f>IFERROR(__xludf.DUMMYFUNCTION("""COMPUTED_VALUE"""),6.494075E7)</f>
        <v>64940750</v>
      </c>
      <c r="E105" s="2"/>
      <c r="F105" s="2" t="str">
        <f>IFERROR(__xludf.DUMMYFUNCTION("""COMPUTED_VALUE"""),"DB")</f>
        <v>DB</v>
      </c>
      <c r="G105" s="2">
        <f>IFERROR(__xludf.DUMMYFUNCTION("""COMPUTED_VALUE"""),3.8038714589999914E7)</f>
        <v>38038714.59</v>
      </c>
      <c r="H105" s="2"/>
      <c r="I105" s="2" t="str">
        <f>IFERROR(__xludf.DUMMYFUNCTION("""COMPUTED_VALUE"""),"PRODUKSI")</f>
        <v>PRODUKSI</v>
      </c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>
        <f>IFERROR(__xludf.DUMMYFUNCTION("IFERROR(QUERY(SEP_2023!A:I, ""SELECT * WHERE D IS NOT NULL AND UPPER(I) = ''"", 1), ""Data KOSONG belum ditemukan"")"),46266.0)</f>
        <v>46266</v>
      </c>
      <c r="B1" s="2" t="str">
        <f>IFERROR(__xludf.DUMMYFUNCTION("""COMPUTED_VALUE"""),"TRSF E-BANKING DB")</f>
        <v>TRSF E-BANKING DB</v>
      </c>
      <c r="C1" s="2" t="str">
        <f>IFERROR(__xludf.DUMMYFUNCTION("""COMPUTED_VALUE"""),"0109/FTSCY/WS95031 2894800.00 SUNARTO")</f>
        <v>0109/FTSCY/WS95031 2894800.00 SUNARTO</v>
      </c>
      <c r="D1" s="2">
        <f>IFERROR(__xludf.DUMMYFUNCTION("""COMPUTED_VALUE"""),2894800.0)</f>
        <v>2894800</v>
      </c>
      <c r="E1" s="2"/>
      <c r="F1" s="2" t="str">
        <f>IFERROR(__xludf.DUMMYFUNCTION("""COMPUTED_VALUE"""),"DB")</f>
        <v>DB</v>
      </c>
      <c r="G1" s="2">
        <f>IFERROR(__xludf.DUMMYFUNCTION("""COMPUTED_VALUE"""),7.821702915899999E8)</f>
        <v>782170291.6</v>
      </c>
      <c r="H1" s="2"/>
      <c r="I1" s="2"/>
      <c r="J1" s="2">
        <f>SUM(D1:D1000)</f>
        <v>7518808889</v>
      </c>
    </row>
    <row r="2">
      <c r="A2" s="10">
        <f>IFERROR(__xludf.DUMMYFUNCTION("""COMPUTED_VALUE"""),46266.0)</f>
        <v>46266</v>
      </c>
      <c r="B2" s="2" t="str">
        <f>IFERROR(__xludf.DUMMYFUNCTION("""COMPUTED_VALUE"""),"TRSF E-BANKING DB")</f>
        <v>TRSF E-BANKING DB</v>
      </c>
      <c r="C2" s="2" t="str">
        <f>IFERROR(__xludf.DUMMYFUNCTION("""COMPUTED_VALUE"""),"0109/FTSCY/WS95011 184000000.00 Pelunasan SUPER UNGGAS JAYA")</f>
        <v>0109/FTSCY/WS95011 184000000.00 Pelunasan SUPER UNGGAS JAYA</v>
      </c>
      <c r="D2" s="2">
        <f>IFERROR(__xludf.DUMMYFUNCTION("""COMPUTED_VALUE"""),1.84E8)</f>
        <v>184000000</v>
      </c>
      <c r="E2" s="2"/>
      <c r="F2" s="2" t="str">
        <f>IFERROR(__xludf.DUMMYFUNCTION("""COMPUTED_VALUE"""),"DB")</f>
        <v>DB</v>
      </c>
      <c r="G2" s="2">
        <f>IFERROR(__xludf.DUMMYFUNCTION("""COMPUTED_VALUE"""),5.981702915899999E8)</f>
        <v>598170291.6</v>
      </c>
      <c r="H2" s="2"/>
      <c r="I2" s="2"/>
    </row>
    <row r="3">
      <c r="A3" s="10">
        <f>IFERROR(__xludf.DUMMYFUNCTION("""COMPUTED_VALUE"""),46266.0)</f>
        <v>46266</v>
      </c>
      <c r="B3" s="2" t="str">
        <f>IFERROR(__xludf.DUMMYFUNCTION("""COMPUTED_VALUE"""),"TRSF E-BANKING DB")</f>
        <v>TRSF E-BANKING DB</v>
      </c>
      <c r="C3" s="2" t="str">
        <f>IFERROR(__xludf.DUMMYFUNCTION("""COMPUTED_VALUE"""),"0109/FTSCY/WS95011 62716500.00 Sat Aug 29 2026 14:00:00 GMT+0700 (Western Indonesia Time) ANUGERAH KARTIKA A")</f>
        <v>0109/FTSCY/WS95011 62716500.00 Sat Aug 29 2026 14:00:00 GMT+0700 (Western Indonesia Time) ANUGERAH KARTIKA A</v>
      </c>
      <c r="D3" s="2">
        <f>IFERROR(__xludf.DUMMYFUNCTION("""COMPUTED_VALUE"""),6.27165E7)</f>
        <v>62716500</v>
      </c>
      <c r="E3" s="2"/>
      <c r="F3" s="2" t="str">
        <f>IFERROR(__xludf.DUMMYFUNCTION("""COMPUTED_VALUE"""),"DB")</f>
        <v>DB</v>
      </c>
      <c r="G3" s="2">
        <f>IFERROR(__xludf.DUMMYFUNCTION("""COMPUTED_VALUE"""),5.354537915899999E8)</f>
        <v>535453791.6</v>
      </c>
      <c r="H3" s="2"/>
      <c r="I3" s="2"/>
    </row>
    <row r="4">
      <c r="A4" s="10">
        <f>IFERROR(__xludf.DUMMYFUNCTION("""COMPUTED_VALUE"""),46266.0)</f>
        <v>46266</v>
      </c>
      <c r="B4" s="2" t="str">
        <f>IFERROR(__xludf.DUMMYFUNCTION("""COMPUTED_VALUE"""),"TRSF E-BANKING DB")</f>
        <v>TRSF E-BANKING DB</v>
      </c>
      <c r="C4" s="2" t="str">
        <f>IFERROR(__xludf.DUMMYFUNCTION("""COMPUTED_VALUE"""),"0109/FTSCY/WS95031 20000000.00 RODHIATUS SOLEHA")</f>
        <v>0109/FTSCY/WS95031 20000000.00 RODHIATUS SOLEHA</v>
      </c>
      <c r="D4" s="2">
        <f>IFERROR(__xludf.DUMMYFUNCTION("""COMPUTED_VALUE"""),2.0E7)</f>
        <v>20000000</v>
      </c>
      <c r="E4" s="2"/>
      <c r="F4" s="2" t="str">
        <f>IFERROR(__xludf.DUMMYFUNCTION("""COMPUTED_VALUE"""),"DB")</f>
        <v>DB</v>
      </c>
      <c r="G4" s="2">
        <f>IFERROR(__xludf.DUMMYFUNCTION("""COMPUTED_VALUE"""),5.705393135899999E8)</f>
        <v>570539313.6</v>
      </c>
      <c r="H4" s="2"/>
      <c r="I4" s="2"/>
    </row>
    <row r="5">
      <c r="A5" s="10">
        <f>IFERROR(__xludf.DUMMYFUNCTION("""COMPUTED_VALUE"""),46266.0)</f>
        <v>46266</v>
      </c>
      <c r="B5" s="2" t="str">
        <f>IFERROR(__xludf.DUMMYFUNCTION("""COMPUTED_VALUE"""),"KARTU DEBIT")</f>
        <v>KARTU DEBIT</v>
      </c>
      <c r="C5" s="2" t="str">
        <f>IFERROR(__xludf.DUMMYFUNCTION("""COMPUTED_VALUE"""),"ALFAMRT Y207 BRTN 6019009510239343")</f>
        <v>ALFAMRT Y207 BRTN 6019009510239343</v>
      </c>
      <c r="D5" s="2">
        <f>IFERROR(__xludf.DUMMYFUNCTION("""COMPUTED_VALUE"""),254200.0)</f>
        <v>254200</v>
      </c>
      <c r="E5" s="2"/>
      <c r="F5" s="2"/>
      <c r="G5" s="2">
        <f>IFERROR(__xludf.DUMMYFUNCTION("""COMPUTED_VALUE"""),1.0353445235899999E9)</f>
        <v>1035344524</v>
      </c>
      <c r="H5" s="2">
        <f>IFERROR(__xludf.DUMMYFUNCTION("""COMPUTED_VALUE"""),1.03534452359E9)</f>
        <v>1035344524</v>
      </c>
      <c r="I5" s="2"/>
    </row>
    <row r="6">
      <c r="A6" s="10">
        <f>IFERROR(__xludf.DUMMYFUNCTION("""COMPUTED_VALUE"""),46267.0)</f>
        <v>46267</v>
      </c>
      <c r="B6" s="2" t="str">
        <f>IFERROR(__xludf.DUMMYFUNCTION("""COMPUTED_VALUE"""),"TRSF E-BANKING DB")</f>
        <v>TRSF E-BANKING DB</v>
      </c>
      <c r="C6" s="2" t="str">
        <f>IFERROR(__xludf.DUMMYFUNCTION("""COMPUTED_VALUE"""),"0209/FTSCY/WS95031 1000000.00 FAJAR ANDREANZAH")</f>
        <v>0209/FTSCY/WS95031 1000000.00 FAJAR ANDREANZAH</v>
      </c>
      <c r="D6" s="2">
        <f>IFERROR(__xludf.DUMMYFUNCTION("""COMPUTED_VALUE"""),1000000.0)</f>
        <v>1000000</v>
      </c>
      <c r="E6" s="2"/>
      <c r="F6" s="2" t="str">
        <f>IFERROR(__xludf.DUMMYFUNCTION("""COMPUTED_VALUE"""),"DB")</f>
        <v>DB</v>
      </c>
      <c r="G6" s="2">
        <f>IFERROR(__xludf.DUMMYFUNCTION("""COMPUTED_VALUE"""),1.07674452359E9)</f>
        <v>1076744524</v>
      </c>
      <c r="H6" s="2">
        <f>IFERROR(__xludf.DUMMYFUNCTION("""COMPUTED_VALUE"""),1.07674452359E9)</f>
        <v>1076744524</v>
      </c>
      <c r="I6" s="2"/>
    </row>
    <row r="7">
      <c r="A7" s="10">
        <f>IFERROR(__xludf.DUMMYFUNCTION("""COMPUTED_VALUE"""),46267.0)</f>
        <v>46267</v>
      </c>
      <c r="B7" s="2" t="str">
        <f>IFERROR(__xludf.DUMMYFUNCTION("""COMPUTED_VALUE"""),"TRSF E-BANKING DB")</f>
        <v>TRSF E-BANKING DB</v>
      </c>
      <c r="C7" s="2" t="str">
        <f>IFERROR(__xludf.DUMMYFUNCTION("""COMPUTED_VALUE"""),"0209/FTSCY/WS95011 500000000.00 Sun Aug 30 2026 14:00:00 GMT+0700 (Western Indonesia Time) BROILER MAKMUR TAN")</f>
        <v>0209/FTSCY/WS95011 500000000.00 Sun Aug 30 2026 14:00:00 GMT+0700 (Western Indonesia Time) BROILER MAKMUR TAN</v>
      </c>
      <c r="D7" s="2">
        <f>IFERROR(__xludf.DUMMYFUNCTION("""COMPUTED_VALUE"""),5.0E8)</f>
        <v>500000000</v>
      </c>
      <c r="E7" s="2"/>
      <c r="F7" s="2" t="str">
        <f>IFERROR(__xludf.DUMMYFUNCTION("""COMPUTED_VALUE"""),"DB")</f>
        <v>DB</v>
      </c>
      <c r="G7" s="2">
        <f>IFERROR(__xludf.DUMMYFUNCTION("""COMPUTED_VALUE"""),5.412659735899999E8)</f>
        <v>541265973.6</v>
      </c>
      <c r="H7" s="2"/>
      <c r="I7" s="2"/>
    </row>
    <row r="8">
      <c r="A8" s="10">
        <f>IFERROR(__xludf.DUMMYFUNCTION("""COMPUTED_VALUE"""),46267.0)</f>
        <v>46267</v>
      </c>
      <c r="B8" s="2" t="str">
        <f>IFERROR(__xludf.DUMMYFUNCTION("""COMPUTED_VALUE"""),"TRSF E-BANKING DB")</f>
        <v>TRSF E-BANKING DB</v>
      </c>
      <c r="C8" s="2" t="str">
        <f>IFERROR(__xludf.DUMMYFUNCTION("""COMPUTED_VALUE"""),"0209/FTSCY/WS95271 78140340.00 pelunasan BROILER MAKMUR TAN")</f>
        <v>0209/FTSCY/WS95271 78140340.00 pelunasan BROILER MAKMUR TAN</v>
      </c>
      <c r="D8" s="2">
        <f>IFERROR(__xludf.DUMMYFUNCTION("""COMPUTED_VALUE"""),7.814034E7)</f>
        <v>78140340</v>
      </c>
      <c r="E8" s="2"/>
      <c r="F8" s="2" t="str">
        <f>IFERROR(__xludf.DUMMYFUNCTION("""COMPUTED_VALUE"""),"DB")</f>
        <v>DB</v>
      </c>
      <c r="G8" s="2">
        <f>IFERROR(__xludf.DUMMYFUNCTION("""COMPUTED_VALUE"""),4.631256335899999E8)</f>
        <v>463125633.6</v>
      </c>
      <c r="H8" s="2"/>
      <c r="I8" s="2"/>
    </row>
    <row r="9">
      <c r="A9" s="10">
        <f>IFERROR(__xludf.DUMMYFUNCTION("""COMPUTED_VALUE"""),46267.0)</f>
        <v>46267</v>
      </c>
      <c r="B9" s="2" t="str">
        <f>IFERROR(__xludf.DUMMYFUNCTION("""COMPUTED_VALUE"""),"TRSF E-BANKING DB")</f>
        <v>TRSF E-BANKING DB</v>
      </c>
      <c r="C9" s="2" t="str">
        <f>IFERROR(__xludf.DUMMYFUNCTION("""COMPUTED_VALUE"""),"0209/FTSCY/WS95031 25000000.00 pelunasan TUMBUH OPTIMAL PRI")</f>
        <v>0209/FTSCY/WS95031 25000000.00 pelunasan TUMBUH OPTIMAL PRI</v>
      </c>
      <c r="D9" s="2">
        <f>IFERROR(__xludf.DUMMYFUNCTION("""COMPUTED_VALUE"""),2.5E7)</f>
        <v>25000000</v>
      </c>
      <c r="E9" s="2"/>
      <c r="F9" s="2" t="str">
        <f>IFERROR(__xludf.DUMMYFUNCTION("""COMPUTED_VALUE"""),"DB")</f>
        <v>DB</v>
      </c>
      <c r="G9" s="2">
        <f>IFERROR(__xludf.DUMMYFUNCTION("""COMPUTED_VALUE"""),1.911025535899999E8)</f>
        <v>191102553.6</v>
      </c>
      <c r="H9" s="2"/>
      <c r="I9" s="2"/>
    </row>
    <row r="10">
      <c r="A10" s="10">
        <f>IFERROR(__xludf.DUMMYFUNCTION("""COMPUTED_VALUE"""),46267.0)</f>
        <v>46267</v>
      </c>
      <c r="B10" s="2" t="str">
        <f>IFERROR(__xludf.DUMMYFUNCTION("""COMPUTED_VALUE"""),"TRSF E-BANKING DB")</f>
        <v>TRSF E-BANKING DB</v>
      </c>
      <c r="C10" s="2" t="str">
        <f>IFERROR(__xludf.DUMMYFUNCTION("""COMPUTED_VALUE"""),"0209/FTSCY/WS95271 1400000.00 ANDE DOSO ANGGORO")</f>
        <v>0209/FTSCY/WS95271 1400000.00 ANDE DOSO ANGGORO</v>
      </c>
      <c r="D10" s="2">
        <f>IFERROR(__xludf.DUMMYFUNCTION("""COMPUTED_VALUE"""),1400000.0)</f>
        <v>1400000</v>
      </c>
      <c r="E10" s="2"/>
      <c r="F10" s="2" t="str">
        <f>IFERROR(__xludf.DUMMYFUNCTION("""COMPUTED_VALUE"""),"DB")</f>
        <v>DB</v>
      </c>
      <c r="G10" s="2">
        <f>IFERROR(__xludf.DUMMYFUNCTION("""COMPUTED_VALUE"""),1.897025535899999E8)</f>
        <v>189702553.6</v>
      </c>
      <c r="H10" s="2">
        <f>IFERROR(__xludf.DUMMYFUNCTION("""COMPUTED_VALUE"""),1.8970255359E8)</f>
        <v>189702553.6</v>
      </c>
      <c r="I10" s="2"/>
    </row>
    <row r="11">
      <c r="A11" s="10">
        <f>IFERROR(__xludf.DUMMYFUNCTION("""COMPUTED_VALUE"""),46267.0)</f>
        <v>46267</v>
      </c>
      <c r="B11" s="2" t="str">
        <f>IFERROR(__xludf.DUMMYFUNCTION("""COMPUTED_VALUE"""),"TRSF E-BANKING DB")</f>
        <v>TRSF E-BANKING DB</v>
      </c>
      <c r="C11" s="2" t="str">
        <f>IFERROR(__xludf.DUMMYFUNCTION("""COMPUTED_VALUE"""),"0209/FTSCY/WS95031 1800000.00 agustus ANTON")</f>
        <v>0209/FTSCY/WS95031 1800000.00 agustus ANTON</v>
      </c>
      <c r="D11" s="2">
        <f>IFERROR(__xludf.DUMMYFUNCTION("""COMPUTED_VALUE"""),1800000.0)</f>
        <v>1800000</v>
      </c>
      <c r="E11" s="2"/>
      <c r="F11" s="2" t="str">
        <f>IFERROR(__xludf.DUMMYFUNCTION("""COMPUTED_VALUE"""),"DB")</f>
        <v>DB</v>
      </c>
      <c r="G11" s="2">
        <f>IFERROR(__xludf.DUMMYFUNCTION("""COMPUTED_VALUE"""),2489103.589999914)</f>
        <v>2489103.59</v>
      </c>
      <c r="H11" s="2"/>
      <c r="I11" s="2"/>
    </row>
    <row r="12">
      <c r="A12" s="10">
        <f>IFERROR(__xludf.DUMMYFUNCTION("""COMPUTED_VALUE"""),46268.0)</f>
        <v>46268</v>
      </c>
      <c r="B12" s="2" t="str">
        <f>IFERROR(__xludf.DUMMYFUNCTION("""COMPUTED_VALUE"""),"TARIKAN ATM 03/09")</f>
        <v>TARIKAN ATM 03/09</v>
      </c>
      <c r="C12" s="2" t="str">
        <f>IFERROR(__xludf.DUMMYFUNCTION("""COMPUTED_VALUE"""),"TARIKAN ATM 03/09")</f>
        <v>TARIKAN ATM 03/09</v>
      </c>
      <c r="D12" s="2">
        <f>IFERROR(__xludf.DUMMYFUNCTION("""COMPUTED_VALUE"""),200000.0)</f>
        <v>200000</v>
      </c>
      <c r="E12" s="2"/>
      <c r="F12" s="2"/>
      <c r="G12" s="2">
        <f>IFERROR(__xludf.DUMMYFUNCTION("""COMPUTED_VALUE"""),7.238510358999991E7)</f>
        <v>72385103.59</v>
      </c>
      <c r="H12" s="2"/>
      <c r="I12" s="2"/>
    </row>
    <row r="13">
      <c r="A13" s="10">
        <f>IFERROR(__xludf.DUMMYFUNCTION("""COMPUTED_VALUE"""),46268.0)</f>
        <v>46268</v>
      </c>
      <c r="B13" s="2" t="str">
        <f>IFERROR(__xludf.DUMMYFUNCTION("""COMPUTED_VALUE"""),"TRSF E-BANKING DB")</f>
        <v>TRSF E-BANKING DB</v>
      </c>
      <c r="C13" s="2" t="str">
        <f>IFERROR(__xludf.DUMMYFUNCTION("""COMPUTED_VALUE"""),"0309/FTSCY/WS95271 9000000.00 SANDI FAJAR PRASET")</f>
        <v>0309/FTSCY/WS95271 9000000.00 SANDI FAJAR PRASET</v>
      </c>
      <c r="D13" s="2">
        <f>IFERROR(__xludf.DUMMYFUNCTION("""COMPUTED_VALUE"""),9000000.0)</f>
        <v>9000000</v>
      </c>
      <c r="E13" s="2"/>
      <c r="F13" s="2" t="str">
        <f>IFERROR(__xludf.DUMMYFUNCTION("""COMPUTED_VALUE"""),"DB")</f>
        <v>DB</v>
      </c>
      <c r="G13" s="2">
        <f>IFERROR(__xludf.DUMMYFUNCTION("""COMPUTED_VALUE"""),7.913800358999991E7)</f>
        <v>79138003.59</v>
      </c>
      <c r="H13" s="2"/>
      <c r="I13" s="2"/>
    </row>
    <row r="14">
      <c r="A14" s="10">
        <f>IFERROR(__xludf.DUMMYFUNCTION("""COMPUTED_VALUE"""),46269.0)</f>
        <v>46269</v>
      </c>
      <c r="B14" s="2" t="str">
        <f>IFERROR(__xludf.DUMMYFUNCTION("""COMPUTED_VALUE"""),"BI-FAST DB")</f>
        <v>BI-FAST DB</v>
      </c>
      <c r="C14" s="2" t="str">
        <f>IFERROR(__xludf.DUMMYFUNCTION("""COMPUTED_VALUE"""),"BIF BIAYA TXN KE 2 MOH. IMAM ARIFIN M-BCA")</f>
        <v>BIF BIAYA TXN KE 2 MOH. IMAM ARIFIN M-BCA</v>
      </c>
      <c r="D14" s="2">
        <f>IFERROR(__xludf.DUMMYFUNCTION("""COMPUTED_VALUE"""),2500.0)</f>
        <v>2500</v>
      </c>
      <c r="E14" s="2"/>
      <c r="F14" s="2" t="str">
        <f>IFERROR(__xludf.DUMMYFUNCTION("""COMPUTED_VALUE"""),"DB")</f>
        <v>DB</v>
      </c>
      <c r="G14" s="2">
        <f>IFERROR(__xludf.DUMMYFUNCTION("""COMPUTED_VALUE"""),7.465608358999991E7)</f>
        <v>74656083.59</v>
      </c>
      <c r="H14" s="2"/>
      <c r="I14" s="2"/>
    </row>
    <row r="15">
      <c r="A15" s="10">
        <f>IFERROR(__xludf.DUMMYFUNCTION("""COMPUTED_VALUE"""),46269.0)</f>
        <v>46269</v>
      </c>
      <c r="B15" s="2" t="str">
        <f>IFERROR(__xludf.DUMMYFUNCTION("""COMPUTED_VALUE"""),"TRSF E-BANKING DB")</f>
        <v>TRSF E-BANKING DB</v>
      </c>
      <c r="C15" s="2" t="str">
        <f>IFERROR(__xludf.DUMMYFUNCTION("""COMPUTED_VALUE"""),"0409/FTSCY/WS95271 69927960.00 lunas BEJO RAHAYU SLAMET")</f>
        <v>0409/FTSCY/WS95271 69927960.00 lunas BEJO RAHAYU SLAMET</v>
      </c>
      <c r="D15" s="2">
        <f>IFERROR(__xludf.DUMMYFUNCTION("""COMPUTED_VALUE"""),6.992796E7)</f>
        <v>69927960</v>
      </c>
      <c r="E15" s="2"/>
      <c r="F15" s="2" t="str">
        <f>IFERROR(__xludf.DUMMYFUNCTION("""COMPUTED_VALUE"""),"DB")</f>
        <v>DB</v>
      </c>
      <c r="G15" s="2">
        <f>IFERROR(__xludf.DUMMYFUNCTION("""COMPUTED_VALUE"""),7.986962358999991E7)</f>
        <v>79869623.59</v>
      </c>
      <c r="H15" s="2"/>
      <c r="I15" s="2"/>
    </row>
    <row r="16">
      <c r="A16" s="10">
        <f>IFERROR(__xludf.DUMMYFUNCTION("""COMPUTED_VALUE"""),46269.0)</f>
        <v>46269</v>
      </c>
      <c r="B16" s="2" t="str">
        <f>IFERROR(__xludf.DUMMYFUNCTION("""COMPUTED_VALUE"""),"TRSF E-BANKING DB")</f>
        <v>TRSF E-BANKING DB</v>
      </c>
      <c r="C16" s="2" t="str">
        <f>IFERROR(__xludf.DUMMYFUNCTION("""COMPUTED_VALUE"""),"0409/FTSCY/WS95271 79363600.00 Sun Aug 02 2026 14:00:00 GMT+0700 (Western Indonesia Time) LAJU SATWA WISESA")</f>
        <v>0409/FTSCY/WS95271 79363600.00 Sun Aug 02 2026 14:00:00 GMT+0700 (Western Indonesia Time) LAJU SATWA WISESA</v>
      </c>
      <c r="D16" s="2">
        <f>IFERROR(__xludf.DUMMYFUNCTION("""COMPUTED_VALUE"""),7.93636E7)</f>
        <v>79363600</v>
      </c>
      <c r="E16" s="2"/>
      <c r="F16" s="2" t="str">
        <f>IFERROR(__xludf.DUMMYFUNCTION("""COMPUTED_VALUE"""),"DB")</f>
        <v>DB</v>
      </c>
      <c r="G16" s="2">
        <f>IFERROR(__xludf.DUMMYFUNCTION("""COMPUTED_VALUE"""),506023.58999991417)</f>
        <v>506023.59</v>
      </c>
      <c r="H16" s="2"/>
      <c r="I16" s="2"/>
    </row>
    <row r="17">
      <c r="A17" s="10">
        <f>IFERROR(__xludf.DUMMYFUNCTION("""COMPUTED_VALUE"""),46269.0)</f>
        <v>46269</v>
      </c>
      <c r="B17" s="2" t="str">
        <f>IFERROR(__xludf.DUMMYFUNCTION("""COMPUTED_VALUE"""),"TRSF E-BANKING DB")</f>
        <v>TRSF E-BANKING DB</v>
      </c>
      <c r="C17" s="2" t="str">
        <f>IFERROR(__xludf.DUMMYFUNCTION("""COMPUTED_VALUE"""),"0409/FTSCY/WS95271 121187000.00 Mon Aug 31 2026 14:00:00 GMT+0700 (Western Indonesia Time) BROILER MAKMUR TAN")</f>
        <v>0409/FTSCY/WS95271 121187000.00 Mon Aug 31 2026 14:00:00 GMT+0700 (Western Indonesia Time) BROILER MAKMUR TAN</v>
      </c>
      <c r="D17" s="2">
        <f>IFERROR(__xludf.DUMMYFUNCTION("""COMPUTED_VALUE"""),1.21187E8)</f>
        <v>121187000</v>
      </c>
      <c r="E17" s="2"/>
      <c r="F17" s="2" t="str">
        <f>IFERROR(__xludf.DUMMYFUNCTION("""COMPUTED_VALUE"""),"DB")</f>
        <v>DB</v>
      </c>
      <c r="G17" s="2">
        <f>IFERROR(__xludf.DUMMYFUNCTION("""COMPUTED_VALUE"""),3.0536106589999914E7)</f>
        <v>30536106.59</v>
      </c>
      <c r="H17" s="2"/>
      <c r="I17" s="2"/>
    </row>
    <row r="18">
      <c r="A18" s="10">
        <f>IFERROR(__xludf.DUMMYFUNCTION("""COMPUTED_VALUE"""),46269.0)</f>
        <v>46269</v>
      </c>
      <c r="B18" s="2" t="str">
        <f>IFERROR(__xludf.DUMMYFUNCTION("""COMPUTED_VALUE"""),"TRSF E-BANKING DB")</f>
        <v>TRSF E-BANKING DB</v>
      </c>
      <c r="C18" s="2" t="str">
        <f>IFERROR(__xludf.DUMMYFUNCTION("""COMPUTED_VALUE"""),"0409/FTSCY/WS95011 162239400.00 Krg 13 jt GANESHA SATRIA NUS")</f>
        <v>0409/FTSCY/WS95011 162239400.00 Krg 13 jt GANESHA SATRIA NUS</v>
      </c>
      <c r="D18" s="2">
        <f>IFERROR(__xludf.DUMMYFUNCTION("""COMPUTED_VALUE"""),1.622394E8)</f>
        <v>162239400</v>
      </c>
      <c r="E18" s="2"/>
      <c r="F18" s="2" t="str">
        <f>IFERROR(__xludf.DUMMYFUNCTION("""COMPUTED_VALUE"""),"DB")</f>
        <v>DB</v>
      </c>
      <c r="G18" s="2">
        <f>IFERROR(__xludf.DUMMYFUNCTION("""COMPUTED_VALUE"""),4.698104065899999E8)</f>
        <v>469810406.6</v>
      </c>
      <c r="H18" s="2">
        <f>IFERROR(__xludf.DUMMYFUNCTION("""COMPUTED_VALUE"""),4.6981040659E8)</f>
        <v>469810406.6</v>
      </c>
      <c r="I18" s="2"/>
    </row>
    <row r="19">
      <c r="A19" s="10">
        <f>IFERROR(__xludf.DUMMYFUNCTION("""COMPUTED_VALUE"""),46269.0)</f>
        <v>46269</v>
      </c>
      <c r="B19" s="2" t="str">
        <f>IFERROR(__xludf.DUMMYFUNCTION("""COMPUTED_VALUE"""),"TRSF E-BANKING DB")</f>
        <v>TRSF E-BANKING DB</v>
      </c>
      <c r="C19" s="2" t="str">
        <f>IFERROR(__xludf.DUMMYFUNCTION("""COMPUTED_VALUE"""),"0409/FTSCY/WS95271 13000000.00 GANESHA SATRIA NUS")</f>
        <v>0409/FTSCY/WS95271 13000000.00 GANESHA SATRIA NUS</v>
      </c>
      <c r="D19" s="2">
        <f>IFERROR(__xludf.DUMMYFUNCTION("""COMPUTED_VALUE"""),1.3E7)</f>
        <v>13000000</v>
      </c>
      <c r="E19" s="2"/>
      <c r="F19" s="2" t="str">
        <f>IFERROR(__xludf.DUMMYFUNCTION("""COMPUTED_VALUE"""),"DB")</f>
        <v>DB</v>
      </c>
      <c r="G19" s="2">
        <f>IFERROR(__xludf.DUMMYFUNCTION("""COMPUTED_VALUE"""),4.568104065899999E8)</f>
        <v>456810406.6</v>
      </c>
      <c r="H19" s="2">
        <f>IFERROR(__xludf.DUMMYFUNCTION("""COMPUTED_VALUE"""),4.5681040659E8)</f>
        <v>456810406.6</v>
      </c>
      <c r="I19" s="2"/>
    </row>
    <row r="20">
      <c r="A20" s="10">
        <f>IFERROR(__xludf.DUMMYFUNCTION("""COMPUTED_VALUE"""),46269.0)</f>
        <v>46269</v>
      </c>
      <c r="B20" s="2" t="str">
        <f>IFERROR(__xludf.DUMMYFUNCTION("""COMPUTED_VALUE"""),"TRSF E-BANKING DB")</f>
        <v>TRSF E-BANKING DB</v>
      </c>
      <c r="C20" s="2" t="str">
        <f>IFERROR(__xludf.DUMMYFUNCTION("""COMPUTED_VALUE"""),"0409/FTSCY/WS95011 44000000.00 Tuban PITIK DIGITAL INDO")</f>
        <v>0409/FTSCY/WS95011 44000000.00 Tuban PITIK DIGITAL INDO</v>
      </c>
      <c r="D20" s="2">
        <f>IFERROR(__xludf.DUMMYFUNCTION("""COMPUTED_VALUE"""),4.4E7)</f>
        <v>44000000</v>
      </c>
      <c r="E20" s="2"/>
      <c r="F20" s="2" t="str">
        <f>IFERROR(__xludf.DUMMYFUNCTION("""COMPUTED_VALUE"""),"DB")</f>
        <v>DB</v>
      </c>
      <c r="G20" s="2">
        <f>IFERROR(__xludf.DUMMYFUNCTION("""COMPUTED_VALUE"""),4.128104065899999E8)</f>
        <v>412810406.6</v>
      </c>
      <c r="H20" s="2"/>
      <c r="I20" s="2"/>
    </row>
    <row r="21">
      <c r="A21" s="10">
        <f>IFERROR(__xludf.DUMMYFUNCTION("""COMPUTED_VALUE"""),46269.0)</f>
        <v>46269</v>
      </c>
      <c r="B21" s="2" t="str">
        <f>IFERROR(__xludf.DUMMYFUNCTION("""COMPUTED_VALUE"""),"TRSF E-BANKING DB")</f>
        <v>TRSF E-BANKING DB</v>
      </c>
      <c r="C21" s="2" t="str">
        <f>IFERROR(__xludf.DUMMYFUNCTION("""COMPUTED_VALUE"""),"0409/FTSCY/WS95011 82250000.00 Sat Aug 01 2026 14:00:00 GMT+0700 (Western Indonesia Time) LAJU SATWA WISESA")</f>
        <v>0409/FTSCY/WS95011 82250000.00 Sat Aug 01 2026 14:00:00 GMT+0700 (Western Indonesia Time) LAJU SATWA WISESA</v>
      </c>
      <c r="D21" s="2">
        <f>IFERROR(__xludf.DUMMYFUNCTION("""COMPUTED_VALUE"""),8.225E7)</f>
        <v>82250000</v>
      </c>
      <c r="E21" s="2"/>
      <c r="F21" s="2" t="str">
        <f>IFERROR(__xludf.DUMMYFUNCTION("""COMPUTED_VALUE"""),"DB")</f>
        <v>DB</v>
      </c>
      <c r="G21" s="2">
        <f>IFERROR(__xludf.DUMMYFUNCTION("""COMPUTED_VALUE"""),3.305604065899999E8)</f>
        <v>330560406.6</v>
      </c>
      <c r="H21" s="2"/>
      <c r="I21" s="2"/>
    </row>
    <row r="22">
      <c r="A22" s="10">
        <f>IFERROR(__xludf.DUMMYFUNCTION("""COMPUTED_VALUE"""),46269.0)</f>
        <v>46269</v>
      </c>
      <c r="B22" s="2" t="str">
        <f>IFERROR(__xludf.DUMMYFUNCTION("""COMPUTED_VALUE"""),"TRSF E-BANKING DB")</f>
        <v>TRSF E-BANKING DB</v>
      </c>
      <c r="C22" s="2" t="str">
        <f>IFERROR(__xludf.DUMMYFUNCTION("""COMPUTED_VALUE"""),"0409/FTSCY/WS95011 47000000.00 Pelunasan LAJU SATWA WISESA")</f>
        <v>0409/FTSCY/WS95011 47000000.00 Pelunasan LAJU SATWA WISESA</v>
      </c>
      <c r="D22" s="2">
        <f>IFERROR(__xludf.DUMMYFUNCTION("""COMPUTED_VALUE"""),4.7E7)</f>
        <v>47000000</v>
      </c>
      <c r="E22" s="2"/>
      <c r="F22" s="2" t="str">
        <f>IFERROR(__xludf.DUMMYFUNCTION("""COMPUTED_VALUE"""),"DB")</f>
        <v>DB</v>
      </c>
      <c r="G22" s="2">
        <f>IFERROR(__xludf.DUMMYFUNCTION("""COMPUTED_VALUE"""),2.835604065899999E8)</f>
        <v>283560406.6</v>
      </c>
      <c r="H22" s="2"/>
      <c r="I22" s="2"/>
    </row>
    <row r="23">
      <c r="A23" s="10">
        <f>IFERROR(__xludf.DUMMYFUNCTION("""COMPUTED_VALUE"""),46269.0)</f>
        <v>46269</v>
      </c>
      <c r="B23" s="2" t="str">
        <f>IFERROR(__xludf.DUMMYFUNCTION("""COMPUTED_VALUE"""),"TRSF E-BANKING DB")</f>
        <v>TRSF E-BANKING DB</v>
      </c>
      <c r="C23" s="2" t="str">
        <f>IFERROR(__xludf.DUMMYFUNCTION("""COMPUTED_VALUE"""),"0409/FTSCY/WS95011 164410840.00 Sat Aug 01 2026 14:00:00 GMT+0700 (Western Indonesia Time) TABASSAM AL HATTAK")</f>
        <v>0409/FTSCY/WS95011 164410840.00 Sat Aug 01 2026 14:00:00 GMT+0700 (Western Indonesia Time) TABASSAM AL HATTAK</v>
      </c>
      <c r="D23" s="2">
        <f>IFERROR(__xludf.DUMMYFUNCTION("""COMPUTED_VALUE"""),1.6441084E8)</f>
        <v>164410840</v>
      </c>
      <c r="E23" s="2"/>
      <c r="F23" s="2" t="str">
        <f>IFERROR(__xludf.DUMMYFUNCTION("""COMPUTED_VALUE"""),"DB")</f>
        <v>DB</v>
      </c>
      <c r="G23" s="2">
        <f>IFERROR(__xludf.DUMMYFUNCTION("""COMPUTED_VALUE"""),1.1914956658999991E8)</f>
        <v>119149566.6</v>
      </c>
      <c r="H23" s="2"/>
      <c r="I23" s="2"/>
    </row>
    <row r="24">
      <c r="A24" s="10">
        <f>IFERROR(__xludf.DUMMYFUNCTION("""COMPUTED_VALUE"""),46269.0)</f>
        <v>46269</v>
      </c>
      <c r="B24" s="2" t="str">
        <f>IFERROR(__xludf.DUMMYFUNCTION("""COMPUTED_VALUE"""),"TRSF E-BANKING DB")</f>
        <v>TRSF E-BANKING DB</v>
      </c>
      <c r="C24" s="2" t="str">
        <f>IFERROR(__xludf.DUMMYFUNCTION("""COMPUTED_VALUE"""),"0409/FTSCY/WS95031 100000000.00 TABASSAM AL HATTAK")</f>
        <v>0409/FTSCY/WS95031 100000000.00 TABASSAM AL HATTAK</v>
      </c>
      <c r="D24" s="2">
        <f>IFERROR(__xludf.DUMMYFUNCTION("""COMPUTED_VALUE"""),1.0E8)</f>
        <v>100000000</v>
      </c>
      <c r="E24" s="2"/>
      <c r="F24" s="2" t="str">
        <f>IFERROR(__xludf.DUMMYFUNCTION("""COMPUTED_VALUE"""),"DB")</f>
        <v>DB</v>
      </c>
      <c r="G24" s="2">
        <f>IFERROR(__xludf.DUMMYFUNCTION("""COMPUTED_VALUE"""),1.9149566589999914E7)</f>
        <v>19149566.59</v>
      </c>
      <c r="H24" s="2"/>
      <c r="I24" s="2"/>
    </row>
    <row r="25">
      <c r="A25" s="10">
        <f>IFERROR(__xludf.DUMMYFUNCTION("""COMPUTED_VALUE"""),46269.0)</f>
        <v>46269</v>
      </c>
      <c r="B25" s="2" t="str">
        <f>IFERROR(__xludf.DUMMYFUNCTION("""COMPUTED_VALUE"""),"TRSF E-BANKING DB")</f>
        <v>TRSF E-BANKING DB</v>
      </c>
      <c r="C25" s="2" t="str">
        <f>IFERROR(__xludf.DUMMYFUNCTION("""COMPUTED_VALUE"""),"0409/FTSCY/WS95271 1000000.00 FAJAR ANDREANZAH")</f>
        <v>0409/FTSCY/WS95271 1000000.00 FAJAR ANDREANZAH</v>
      </c>
      <c r="D25" s="2">
        <f>IFERROR(__xludf.DUMMYFUNCTION("""COMPUTED_VALUE"""),1000000.0)</f>
        <v>1000000</v>
      </c>
      <c r="E25" s="2"/>
      <c r="F25" s="2" t="str">
        <f>IFERROR(__xludf.DUMMYFUNCTION("""COMPUTED_VALUE"""),"DB")</f>
        <v>DB</v>
      </c>
      <c r="G25" s="2">
        <f>IFERROR(__xludf.DUMMYFUNCTION("""COMPUTED_VALUE"""),1.8149566589999914E7)</f>
        <v>18149566.59</v>
      </c>
      <c r="H25" s="2"/>
      <c r="I25" s="2"/>
    </row>
    <row r="26">
      <c r="A26" s="10">
        <f>IFERROR(__xludf.DUMMYFUNCTION("""COMPUTED_VALUE"""),46269.0)</f>
        <v>46269</v>
      </c>
      <c r="B26" s="2" t="str">
        <f>IFERROR(__xludf.DUMMYFUNCTION("""COMPUTED_VALUE"""),"TRSF E-BANKING DB")</f>
        <v>TRSF E-BANKING DB</v>
      </c>
      <c r="C26" s="2" t="str">
        <f>IFERROR(__xludf.DUMMYFUNCTION("""COMPUTED_VALUE"""),"0409/FTSCY/WS95271 1500000.00 DWI HERMANSYAH")</f>
        <v>0409/FTSCY/WS95271 1500000.00 DWI HERMANSYAH</v>
      </c>
      <c r="D26" s="2">
        <f>IFERROR(__xludf.DUMMYFUNCTION("""COMPUTED_VALUE"""),1500000.0)</f>
        <v>1500000</v>
      </c>
      <c r="E26" s="2"/>
      <c r="F26" s="2" t="str">
        <f>IFERROR(__xludf.DUMMYFUNCTION("""COMPUTED_VALUE"""),"DB")</f>
        <v>DB</v>
      </c>
      <c r="G26" s="2">
        <f>IFERROR(__xludf.DUMMYFUNCTION("""COMPUTED_VALUE"""),1.6649566589999914E7)</f>
        <v>16649566.59</v>
      </c>
      <c r="H26" s="2"/>
      <c r="I26" s="2"/>
    </row>
    <row r="27">
      <c r="A27" s="10">
        <f>IFERROR(__xludf.DUMMYFUNCTION("""COMPUTED_VALUE"""),46269.0)</f>
        <v>46269</v>
      </c>
      <c r="B27" s="2" t="str">
        <f>IFERROR(__xludf.DUMMYFUNCTION("""COMPUTED_VALUE"""),"TRSF E-BANKING DB")</f>
        <v>TRSF E-BANKING DB</v>
      </c>
      <c r="C27" s="2" t="str">
        <f>IFERROR(__xludf.DUMMYFUNCTION("""COMPUTED_VALUE"""),"0409/FTSCY/WS95271 1552830.00 NURUL AINI")</f>
        <v>0409/FTSCY/WS95271 1552830.00 NURUL AINI</v>
      </c>
      <c r="D27" s="2">
        <f>IFERROR(__xludf.DUMMYFUNCTION("""COMPUTED_VALUE"""),1552830.0)</f>
        <v>1552830</v>
      </c>
      <c r="E27" s="2"/>
      <c r="F27" s="2" t="str">
        <f>IFERROR(__xludf.DUMMYFUNCTION("""COMPUTED_VALUE"""),"DB")</f>
        <v>DB</v>
      </c>
      <c r="G27" s="2">
        <f>IFERROR(__xludf.DUMMYFUNCTION("""COMPUTED_VALUE"""),4.137221165899999E8)</f>
        <v>413722116.6</v>
      </c>
      <c r="H27" s="2"/>
      <c r="I27" s="2"/>
    </row>
    <row r="28">
      <c r="A28" s="10">
        <f>IFERROR(__xludf.DUMMYFUNCTION("""COMPUTED_VALUE"""),46269.0)</f>
        <v>46269</v>
      </c>
      <c r="B28" s="2" t="str">
        <f>IFERROR(__xludf.DUMMYFUNCTION("""COMPUTED_VALUE"""),"TRSF E-BANKING DB")</f>
        <v>TRSF E-BANKING DB</v>
      </c>
      <c r="C28" s="2" t="str">
        <f>IFERROR(__xludf.DUMMYFUNCTION("""COMPUTED_VALUE"""),"0409/FTSCY/WS95271 6248880.00 ENDAH NOVITA SARI")</f>
        <v>0409/FTSCY/WS95271 6248880.00 ENDAH NOVITA SARI</v>
      </c>
      <c r="D28" s="2">
        <f>IFERROR(__xludf.DUMMYFUNCTION("""COMPUTED_VALUE"""),6248880.0)</f>
        <v>6248880</v>
      </c>
      <c r="E28" s="2"/>
      <c r="F28" s="2" t="str">
        <f>IFERROR(__xludf.DUMMYFUNCTION("""COMPUTED_VALUE"""),"DB")</f>
        <v>DB</v>
      </c>
      <c r="G28" s="2">
        <f>IFERROR(__xludf.DUMMYFUNCTION("""COMPUTED_VALUE"""),4.074732365899999E8)</f>
        <v>407473236.6</v>
      </c>
      <c r="H28" s="2">
        <f>IFERROR(__xludf.DUMMYFUNCTION("""COMPUTED_VALUE"""),4.0747323659E8)</f>
        <v>407473236.6</v>
      </c>
      <c r="I28" s="2"/>
    </row>
    <row r="29">
      <c r="A29" s="10">
        <f>IFERROR(__xludf.DUMMYFUNCTION("""COMPUTED_VALUE"""),46269.0)</f>
        <v>46269</v>
      </c>
      <c r="B29" s="2" t="str">
        <f>IFERROR(__xludf.DUMMYFUNCTION("""COMPUTED_VALUE"""),"TRSF E-BANKING DB")</f>
        <v>TRSF E-BANKING DB</v>
      </c>
      <c r="C29" s="2" t="str">
        <f>IFERROR(__xludf.DUMMYFUNCTION("""COMPUTED_VALUE"""),"0409/FTSCY/WS95271 600000.00 ANDE DOSO ANGGORO")</f>
        <v>0409/FTSCY/WS95271 600000.00 ANDE DOSO ANGGORO</v>
      </c>
      <c r="D29" s="2">
        <f>IFERROR(__xludf.DUMMYFUNCTION("""COMPUTED_VALUE"""),600000.0)</f>
        <v>600000</v>
      </c>
      <c r="E29" s="2"/>
      <c r="F29" s="2" t="str">
        <f>IFERROR(__xludf.DUMMYFUNCTION("""COMPUTED_VALUE"""),"DB")</f>
        <v>DB</v>
      </c>
      <c r="G29" s="2">
        <f>IFERROR(__xludf.DUMMYFUNCTION("""COMPUTED_VALUE"""),4.068732365899999E8)</f>
        <v>406873236.6</v>
      </c>
      <c r="H29" s="2">
        <f>IFERROR(__xludf.DUMMYFUNCTION("""COMPUTED_VALUE"""),4.0687323659E8)</f>
        <v>406873236.6</v>
      </c>
      <c r="I29" s="2"/>
    </row>
    <row r="30">
      <c r="A30" s="10">
        <f>IFERROR(__xludf.DUMMYFUNCTION("""COMPUTED_VALUE"""),46270.0)</f>
        <v>46270</v>
      </c>
      <c r="B30" s="2" t="str">
        <f>IFERROR(__xludf.DUMMYFUNCTION("""COMPUTED_VALUE"""),"TRSF E-BANKING DB")</f>
        <v>TRSF E-BANKING DB</v>
      </c>
      <c r="C30" s="2" t="str">
        <f>IFERROR(__xludf.DUMMYFUNCTION("""COMPUTED_VALUE"""),"0509/FTSCY/WS95031 92813920.00 Sat Aug 01 2026 14:00:00 GMT+0700 (Western Indonesia Time) PITIK DIGITAL INDO")</f>
        <v>0509/FTSCY/WS95031 92813920.00 Sat Aug 01 2026 14:00:00 GMT+0700 (Western Indonesia Time) PITIK DIGITAL INDO</v>
      </c>
      <c r="D30" s="2">
        <f>IFERROR(__xludf.DUMMYFUNCTION("""COMPUTED_VALUE"""),9.281392E7)</f>
        <v>92813920</v>
      </c>
      <c r="E30" s="2"/>
      <c r="F30" s="2" t="str">
        <f>IFERROR(__xludf.DUMMYFUNCTION("""COMPUTED_VALUE"""),"DB")</f>
        <v>DB</v>
      </c>
      <c r="G30" s="2">
        <f>IFERROR(__xludf.DUMMYFUNCTION("""COMPUTED_VALUE"""),4.140593165899999E8)</f>
        <v>414059316.6</v>
      </c>
      <c r="H30" s="2"/>
      <c r="I30" s="2"/>
    </row>
    <row r="31">
      <c r="A31" s="10">
        <f>IFERROR(__xludf.DUMMYFUNCTION("""COMPUTED_VALUE"""),46270.0)</f>
        <v>46270</v>
      </c>
      <c r="B31" s="2" t="str">
        <f>IFERROR(__xludf.DUMMYFUNCTION("""COMPUTED_VALUE"""),"TRSF E-BANKING DB")</f>
        <v>TRSF E-BANKING DB</v>
      </c>
      <c r="C31" s="2" t="str">
        <f>IFERROR(__xludf.DUMMYFUNCTION("""COMPUTED_VALUE"""),"0509/FTSCY/WS95011 260951300.00 Tue Sep 01 2026 14:00:00 GMT+0700 (Western Indonesia Time) BROILER MAKMUR TAN")</f>
        <v>0509/FTSCY/WS95011 260951300.00 Tue Sep 01 2026 14:00:00 GMT+0700 (Western Indonesia Time) BROILER MAKMUR TAN</v>
      </c>
      <c r="D31" s="2">
        <f>IFERROR(__xludf.DUMMYFUNCTION("""COMPUTED_VALUE"""),2.609513E8)</f>
        <v>260951300</v>
      </c>
      <c r="E31" s="2"/>
      <c r="F31" s="2" t="str">
        <f>IFERROR(__xludf.DUMMYFUNCTION("""COMPUTED_VALUE"""),"DB")</f>
        <v>DB</v>
      </c>
      <c r="G31" s="2">
        <f>IFERROR(__xludf.DUMMYFUNCTION("""COMPUTED_VALUE"""),1.531080165899999E8)</f>
        <v>153108016.6</v>
      </c>
      <c r="H31" s="2"/>
      <c r="I31" s="2"/>
    </row>
    <row r="32">
      <c r="A32" s="10">
        <f>IFERROR(__xludf.DUMMYFUNCTION("""COMPUTED_VALUE"""),46270.0)</f>
        <v>46270</v>
      </c>
      <c r="B32" s="2" t="str">
        <f>IFERROR(__xludf.DUMMYFUNCTION("""COMPUTED_VALUE"""),"TRSF E-BANKING DB")</f>
        <v>TRSF E-BANKING DB</v>
      </c>
      <c r="C32" s="2" t="str">
        <f>IFERROR(__xludf.DUMMYFUNCTION("""COMPUTED_VALUE"""),"0509/FTSCY/WS95031 6182670.00 lunas MUJIANTO")</f>
        <v>0509/FTSCY/WS95031 6182670.00 lunas MUJIANTO</v>
      </c>
      <c r="D32" s="2">
        <f>IFERROR(__xludf.DUMMYFUNCTION("""COMPUTED_VALUE"""),6182670.0)</f>
        <v>6182670</v>
      </c>
      <c r="E32" s="2"/>
      <c r="F32" s="2" t="str">
        <f>IFERROR(__xludf.DUMMYFUNCTION("""COMPUTED_VALUE"""),"DB")</f>
        <v>DB</v>
      </c>
      <c r="G32" s="2">
        <f>IFERROR(__xludf.DUMMYFUNCTION("""COMPUTED_VALUE"""),1.469253465899999E8)</f>
        <v>146925346.6</v>
      </c>
      <c r="H32" s="2"/>
      <c r="I32" s="2"/>
    </row>
    <row r="33">
      <c r="A33" s="10">
        <f>IFERROR(__xludf.DUMMYFUNCTION("""COMPUTED_VALUE"""),46270.0)</f>
        <v>46270</v>
      </c>
      <c r="B33" s="2" t="str">
        <f>IFERROR(__xludf.DUMMYFUNCTION("""COMPUTED_VALUE"""),"TRSF E-BANKING DB")</f>
        <v>TRSF E-BANKING DB</v>
      </c>
      <c r="C33" s="2" t="str">
        <f>IFERROR(__xludf.DUMMYFUNCTION("""COMPUTED_VALUE"""),"0509/FTSCY/WS95271 69750000.00 Fri Sep 04 2026 14:00:00 GMT+0700 (Western Indonesia Time) TABASSAM AL HATTAK")</f>
        <v>0509/FTSCY/WS95271 69750000.00 Fri Sep 04 2026 14:00:00 GMT+0700 (Western Indonesia Time) TABASSAM AL HATTAK</v>
      </c>
      <c r="D33" s="2">
        <f>IFERROR(__xludf.DUMMYFUNCTION("""COMPUTED_VALUE"""),6.975E7)</f>
        <v>69750000</v>
      </c>
      <c r="E33" s="2"/>
      <c r="F33" s="2" t="str">
        <f>IFERROR(__xludf.DUMMYFUNCTION("""COMPUTED_VALUE"""),"DB")</f>
        <v>DB</v>
      </c>
      <c r="G33" s="2">
        <f>IFERROR(__xludf.DUMMYFUNCTION("""COMPUTED_VALUE"""),7.717534658999991E7)</f>
        <v>77175346.59</v>
      </c>
      <c r="H33" s="2"/>
      <c r="I33" s="2"/>
    </row>
    <row r="34">
      <c r="A34" s="10">
        <f>IFERROR(__xludf.DUMMYFUNCTION("""COMPUTED_VALUE"""),46270.0)</f>
        <v>46270</v>
      </c>
      <c r="B34" s="2" t="str">
        <f>IFERROR(__xludf.DUMMYFUNCTION("""COMPUTED_VALUE"""),"TRSF E-BANKING DB")</f>
        <v>TRSF E-BANKING DB</v>
      </c>
      <c r="C34" s="2" t="str">
        <f>IFERROR(__xludf.DUMMYFUNCTION("""COMPUTED_VALUE"""),"0509/FTSCY/WS95271 71226400.00 Thu Sep 03 2026 14:00:00 GMT+0700 (Western Indonesia Time) RUKUN MITRA BERSAM")</f>
        <v>0509/FTSCY/WS95271 71226400.00 Thu Sep 03 2026 14:00:00 GMT+0700 (Western Indonesia Time) RUKUN MITRA BERSAM</v>
      </c>
      <c r="D34" s="2">
        <f>IFERROR(__xludf.DUMMYFUNCTION("""COMPUTED_VALUE"""),7.12264E7)</f>
        <v>71226400</v>
      </c>
      <c r="E34" s="2"/>
      <c r="F34" s="2" t="str">
        <f>IFERROR(__xludf.DUMMYFUNCTION("""COMPUTED_VALUE"""),"DB")</f>
        <v>DB</v>
      </c>
      <c r="G34" s="2">
        <f>IFERROR(__xludf.DUMMYFUNCTION("""COMPUTED_VALUE"""),5948946.589999914)</f>
        <v>5948946.59</v>
      </c>
      <c r="H34" s="2"/>
      <c r="I34" s="2"/>
    </row>
    <row r="35">
      <c r="A35" s="10">
        <f>IFERROR(__xludf.DUMMYFUNCTION("""COMPUTED_VALUE"""),46270.0)</f>
        <v>46270</v>
      </c>
      <c r="B35" s="2" t="str">
        <f>IFERROR(__xludf.DUMMYFUNCTION("""COMPUTED_VALUE"""),"TRSF E-BANKING DB")</f>
        <v>TRSF E-BANKING DB</v>
      </c>
      <c r="C35" s="2" t="str">
        <f>IFERROR(__xludf.DUMMYFUNCTION("""COMPUTED_VALUE"""),"0509/FTSCY/WS95271 5898000.00 NURUL AINI")</f>
        <v>0509/FTSCY/WS95271 5898000.00 NURUL AINI</v>
      </c>
      <c r="D35" s="2">
        <f>IFERROR(__xludf.DUMMYFUNCTION("""COMPUTED_VALUE"""),5898000.0)</f>
        <v>5898000</v>
      </c>
      <c r="E35" s="2"/>
      <c r="F35" s="2" t="str">
        <f>IFERROR(__xludf.DUMMYFUNCTION("""COMPUTED_VALUE"""),"DB")</f>
        <v>DB</v>
      </c>
      <c r="G35" s="2">
        <f>IFERROR(__xludf.DUMMYFUNCTION("""COMPUTED_VALUE"""),50946.58999991417)</f>
        <v>50946.59</v>
      </c>
      <c r="H35" s="2"/>
      <c r="I35" s="2"/>
    </row>
    <row r="36">
      <c r="A36" s="10">
        <f>IFERROR(__xludf.DUMMYFUNCTION("""COMPUTED_VALUE"""),46270.0)</f>
        <v>46270</v>
      </c>
      <c r="B36" s="2" t="str">
        <f>IFERROR(__xludf.DUMMYFUNCTION("""COMPUTED_VALUE"""),"TRSF E-BANKING DB")</f>
        <v>TRSF E-BANKING DB</v>
      </c>
      <c r="C36" s="2" t="str">
        <f>IFERROR(__xludf.DUMMYFUNCTION("""COMPUTED_VALUE"""),"0509/FTSCY/WS95271 85100000.00 Thu Sep 03 2026 14:00:00 GMT+0700 (Western Indonesia Time) BINTANG TAMA SANTO")</f>
        <v>0509/FTSCY/WS95271 85100000.00 Thu Sep 03 2026 14:00:00 GMT+0700 (Western Indonesia Time) BINTANG TAMA SANTO</v>
      </c>
      <c r="D36" s="2">
        <f>IFERROR(__xludf.DUMMYFUNCTION("""COMPUTED_VALUE"""),8.51E7)</f>
        <v>85100000</v>
      </c>
      <c r="E36" s="2"/>
      <c r="F36" s="2" t="str">
        <f>IFERROR(__xludf.DUMMYFUNCTION("""COMPUTED_VALUE"""),"DB")</f>
        <v>DB</v>
      </c>
      <c r="G36" s="2">
        <f>IFERROR(__xludf.DUMMYFUNCTION("""COMPUTED_VALUE"""),1.837315815899999E8)</f>
        <v>183731581.6</v>
      </c>
      <c r="H36" s="2"/>
      <c r="I36" s="2"/>
    </row>
    <row r="37">
      <c r="A37" s="10">
        <f>IFERROR(__xludf.DUMMYFUNCTION("""COMPUTED_VALUE"""),46270.0)</f>
        <v>46270</v>
      </c>
      <c r="B37" s="2" t="str">
        <f>IFERROR(__xludf.DUMMYFUNCTION("""COMPUTED_VALUE"""),"TRSF E-BANKING DB")</f>
        <v>TRSF E-BANKING DB</v>
      </c>
      <c r="C37" s="2" t="str">
        <f>IFERROR(__xludf.DUMMYFUNCTION("""COMPUTED_VALUE"""),"0509/FTSCY/WS95271 59491000.00 Thu Sep 03 2026 14:00:00 GMT+0700 (Western Indonesia Time) RUKUN MITRA BERSAM")</f>
        <v>0509/FTSCY/WS95271 59491000.00 Thu Sep 03 2026 14:00:00 GMT+0700 (Western Indonesia Time) RUKUN MITRA BERSAM</v>
      </c>
      <c r="D37" s="2">
        <f>IFERROR(__xludf.DUMMYFUNCTION("""COMPUTED_VALUE"""),5.9491E7)</f>
        <v>59491000</v>
      </c>
      <c r="E37" s="2"/>
      <c r="F37" s="2" t="str">
        <f>IFERROR(__xludf.DUMMYFUNCTION("""COMPUTED_VALUE"""),"DB")</f>
        <v>DB</v>
      </c>
      <c r="G37" s="2">
        <f>IFERROR(__xludf.DUMMYFUNCTION("""COMPUTED_VALUE"""),1.2424058158999991E8)</f>
        <v>124240581.6</v>
      </c>
      <c r="H37" s="2">
        <f>IFERROR(__xludf.DUMMYFUNCTION("""COMPUTED_VALUE"""),1.2424058159E8)</f>
        <v>124240581.6</v>
      </c>
      <c r="I37" s="2"/>
    </row>
    <row r="38">
      <c r="A38" s="10">
        <f>IFERROR(__xludf.DUMMYFUNCTION("""COMPUTED_VALUE"""),46270.0)</f>
        <v>46270</v>
      </c>
      <c r="B38" s="2" t="str">
        <f>IFERROR(__xludf.DUMMYFUNCTION("""COMPUTED_VALUE"""),"TRSF E-BANKING DB")</f>
        <v>TRSF E-BANKING DB</v>
      </c>
      <c r="C38" s="2" t="str">
        <f>IFERROR(__xludf.DUMMYFUNCTION("""COMPUTED_VALUE"""),"0509/FTSCY/WS95271 5750000.00 pelunasan BINTANG TAMA SANTO")</f>
        <v>0509/FTSCY/WS95271 5750000.00 pelunasan BINTANG TAMA SANTO</v>
      </c>
      <c r="D38" s="2">
        <f>IFERROR(__xludf.DUMMYFUNCTION("""COMPUTED_VALUE"""),5750000.0)</f>
        <v>5750000</v>
      </c>
      <c r="E38" s="2"/>
      <c r="F38" s="2" t="str">
        <f>IFERROR(__xludf.DUMMYFUNCTION("""COMPUTED_VALUE"""),"DB")</f>
        <v>DB</v>
      </c>
      <c r="G38" s="2">
        <f>IFERROR(__xludf.DUMMYFUNCTION("""COMPUTED_VALUE"""),4.426257615899999E8)</f>
        <v>442625761.6</v>
      </c>
      <c r="H38" s="2"/>
      <c r="I38" s="2"/>
    </row>
    <row r="39">
      <c r="A39" s="10">
        <f>IFERROR(__xludf.DUMMYFUNCTION("""COMPUTED_VALUE"""),46271.0)</f>
        <v>46271</v>
      </c>
      <c r="B39" s="2" t="str">
        <f>IFERROR(__xludf.DUMMYFUNCTION("""COMPUTED_VALUE"""),"TRSF E-BANKING DB TANGGAL :05/09")</f>
        <v>TRSF E-BANKING DB TANGGAL :05/09</v>
      </c>
      <c r="C39" s="2" t="str">
        <f>IFERROR(__xludf.DUMMYFUNCTION("""COMPUTED_VALUE"""),"0509/FTSCY/WS95011 Mon Aug 03 2026 14:00:00 GMT+0700 (Western Indonesia Time) ANDALAN YASA MITRA")</f>
        <v>0509/FTSCY/WS95011 Mon Aug 03 2026 14:00:00 GMT+0700 (Western Indonesia Time) ANDALAN YASA MITRA</v>
      </c>
      <c r="D39" s="2">
        <f>IFERROR(__xludf.DUMMYFUNCTION("""COMPUTED_VALUE"""),6.65758E7)</f>
        <v>66575800</v>
      </c>
      <c r="E39" s="2"/>
      <c r="F39" s="2" t="str">
        <f>IFERROR(__xludf.DUMMYFUNCTION("""COMPUTED_VALUE"""),"DB")</f>
        <v>DB</v>
      </c>
      <c r="G39" s="2">
        <f>IFERROR(__xludf.DUMMYFUNCTION("""COMPUTED_VALUE"""),6.484178615899999E8)</f>
        <v>648417861.6</v>
      </c>
      <c r="H39" s="2"/>
      <c r="I39" s="2"/>
    </row>
    <row r="40">
      <c r="A40" s="10">
        <f>IFERROR(__xludf.DUMMYFUNCTION("""COMPUTED_VALUE"""),46271.0)</f>
        <v>46271</v>
      </c>
      <c r="B40" s="2" t="str">
        <f>IFERROR(__xludf.DUMMYFUNCTION("""COMPUTED_VALUE"""),"TRSF E-BANKING DB TANGGAL :05/09")</f>
        <v>TRSF E-BANKING DB TANGGAL :05/09</v>
      </c>
      <c r="C40" s="2" t="str">
        <f>IFERROR(__xludf.DUMMYFUNCTION("""COMPUTED_VALUE"""),"0509/FTSCY/WS95011 Lumajang SURYA INTI TERNAK")</f>
        <v>0509/FTSCY/WS95011 Lumajang SURYA INTI TERNAK</v>
      </c>
      <c r="D40" s="2">
        <f>IFERROR(__xludf.DUMMYFUNCTION("""COMPUTED_VALUE"""),6.200404E7)</f>
        <v>62004040</v>
      </c>
      <c r="E40" s="2"/>
      <c r="F40" s="2" t="str">
        <f>IFERROR(__xludf.DUMMYFUNCTION("""COMPUTED_VALUE"""),"DB")</f>
        <v>DB</v>
      </c>
      <c r="G40" s="2">
        <f>IFERROR(__xludf.DUMMYFUNCTION("""COMPUTED_VALUE"""),5.864138215899999E8)</f>
        <v>586413821.6</v>
      </c>
      <c r="H40" s="2"/>
      <c r="I40" s="2"/>
    </row>
    <row r="41">
      <c r="A41" s="10">
        <f>IFERROR(__xludf.DUMMYFUNCTION("""COMPUTED_VALUE"""),46271.0)</f>
        <v>46271</v>
      </c>
      <c r="B41" s="2" t="str">
        <f>IFERROR(__xludf.DUMMYFUNCTION("""COMPUTED_VALUE"""),"TRSF E-BANKING DB TANGGAL :05/09")</f>
        <v>TRSF E-BANKING DB TANGGAL :05/09</v>
      </c>
      <c r="C41" s="2" t="str">
        <f>IFERROR(__xludf.DUMMYFUNCTION("""COMPUTED_VALUE"""),"0509/FTSCY/WS95011 Thu Sep 03 2026 14:00:00 GMT+0700 (Western Indonesia Time) BINTANG TAMA SANTO")</f>
        <v>0509/FTSCY/WS95011 Thu Sep 03 2026 14:00:00 GMT+0700 (Western Indonesia Time) BINTANG TAMA SANTO</v>
      </c>
      <c r="D41" s="2">
        <f>IFERROR(__xludf.DUMMYFUNCTION("""COMPUTED_VALUE"""),6.5243E7)</f>
        <v>65243000</v>
      </c>
      <c r="E41" s="2"/>
      <c r="F41" s="2" t="str">
        <f>IFERROR(__xludf.DUMMYFUNCTION("""COMPUTED_VALUE"""),"DB")</f>
        <v>DB</v>
      </c>
      <c r="G41" s="2">
        <f>IFERROR(__xludf.DUMMYFUNCTION("""COMPUTED_VALUE"""),5.211708215899999E8)</f>
        <v>521170821.6</v>
      </c>
      <c r="H41" s="2"/>
      <c r="I41" s="2"/>
    </row>
    <row r="42">
      <c r="A42" s="10">
        <f>IFERROR(__xludf.DUMMYFUNCTION("""COMPUTED_VALUE"""),46271.0)</f>
        <v>46271</v>
      </c>
      <c r="B42" s="2" t="str">
        <f>IFERROR(__xludf.DUMMYFUNCTION("""COMPUTED_VALUE"""),"TRSF E-BANKING DB TANGGAL :05/09")</f>
        <v>TRSF E-BANKING DB TANGGAL :05/09</v>
      </c>
      <c r="C42" s="2" t="str">
        <f>IFERROR(__xludf.DUMMYFUNCTION("""COMPUTED_VALUE"""),"0509/FTSCY/WS95011 Krg 42.6 jt PITIK DIGITAL INDO")</f>
        <v>0509/FTSCY/WS95011 Krg 42.6 jt PITIK DIGITAL INDO</v>
      </c>
      <c r="D42" s="2">
        <f>IFERROR(__xludf.DUMMYFUNCTION("""COMPUTED_VALUE"""),4.51913E7)</f>
        <v>45191300</v>
      </c>
      <c r="E42" s="2"/>
      <c r="F42" s="2" t="str">
        <f>IFERROR(__xludf.DUMMYFUNCTION("""COMPUTED_VALUE"""),"DB")</f>
        <v>DB</v>
      </c>
      <c r="G42" s="2">
        <f>IFERROR(__xludf.DUMMYFUNCTION("""COMPUTED_VALUE"""),4.759795215899999E8)</f>
        <v>475979521.6</v>
      </c>
      <c r="H42" s="2"/>
      <c r="I42" s="2"/>
    </row>
    <row r="43">
      <c r="A43" s="10">
        <f>IFERROR(__xludf.DUMMYFUNCTION("""COMPUTED_VALUE"""),46271.0)</f>
        <v>46271</v>
      </c>
      <c r="B43" s="2" t="str">
        <f>IFERROR(__xludf.DUMMYFUNCTION("""COMPUTED_VALUE"""),"BYR VIA E-BANKING")</f>
        <v>BYR VIA E-BANKING</v>
      </c>
      <c r="C43" s="2" t="str">
        <f>IFERROR(__xludf.DUMMYFUNCTION("""COMPUTED_VALUE"""),"06/09  WSID9503100 1220 TELKOMSEL 82318368518 MUHAMMAD HAIRUL MA")</f>
        <v>06/09  WSID9503100 1220 TELKOMSEL 82318368518 MUHAMMAD HAIRUL MA</v>
      </c>
      <c r="D43" s="2">
        <f>IFERROR(__xludf.DUMMYFUNCTION("""COMPUTED_VALUE"""),102000.0)</f>
        <v>102000</v>
      </c>
      <c r="E43" s="2"/>
      <c r="F43" s="2"/>
      <c r="G43" s="2">
        <f>IFERROR(__xludf.DUMMYFUNCTION("""COMPUTED_VALUE"""),5.658775215899999E8)</f>
        <v>565877521.6</v>
      </c>
      <c r="H43" s="2"/>
      <c r="I43" s="2"/>
    </row>
    <row r="44">
      <c r="A44" s="10">
        <f>IFERROR(__xludf.DUMMYFUNCTION("""COMPUTED_VALUE"""),46271.0)</f>
        <v>46271</v>
      </c>
      <c r="B44" s="2" t="str">
        <f>IFERROR(__xludf.DUMMYFUNCTION("""COMPUTED_VALUE"""),"TRSF E-BANKING DB")</f>
        <v>TRSF E-BANKING DB</v>
      </c>
      <c r="C44" s="2" t="str">
        <f>IFERROR(__xludf.DUMMYFUNCTION("""COMPUTED_VALUE"""),"0609/FTSCY/WS95031 39932000.00 pelunasan SURYA INTI TERNAK")</f>
        <v>0609/FTSCY/WS95031 39932000.00 pelunasan SURYA INTI TERNAK</v>
      </c>
      <c r="D44" s="2">
        <f>IFERROR(__xludf.DUMMYFUNCTION("""COMPUTED_VALUE"""),3.9932E7)</f>
        <v>39932000</v>
      </c>
      <c r="E44" s="2"/>
      <c r="F44" s="2" t="str">
        <f>IFERROR(__xludf.DUMMYFUNCTION("""COMPUTED_VALUE"""),"DB")</f>
        <v>DB</v>
      </c>
      <c r="G44" s="2">
        <f>IFERROR(__xludf.DUMMYFUNCTION("""COMPUTED_VALUE"""),5.259455215899999E8)</f>
        <v>525945521.6</v>
      </c>
      <c r="H44" s="2">
        <f>IFERROR(__xludf.DUMMYFUNCTION("""COMPUTED_VALUE"""),5.2594552159E8)</f>
        <v>525945521.6</v>
      </c>
      <c r="I44" s="2"/>
    </row>
    <row r="45">
      <c r="A45" s="10">
        <f>IFERROR(__xludf.DUMMYFUNCTION("""COMPUTED_VALUE"""),46271.0)</f>
        <v>46271</v>
      </c>
      <c r="B45" s="2" t="str">
        <f>IFERROR(__xludf.DUMMYFUNCTION("""COMPUTED_VALUE"""),"TRSF E-BANKING DB")</f>
        <v>TRSF E-BANKING DB</v>
      </c>
      <c r="C45" s="2" t="str">
        <f>IFERROR(__xludf.DUMMYFUNCTION("""COMPUTED_VALUE"""),"0609/FTSCY/WS95011 78400000.00 Fri Sep 04 2026 14:00:00 GMT+0700 (Western Indonesia Time) TABASSAM AL HATTAK")</f>
        <v>0609/FTSCY/WS95011 78400000.00 Fri Sep 04 2026 14:00:00 GMT+0700 (Western Indonesia Time) TABASSAM AL HATTAK</v>
      </c>
      <c r="D45" s="2">
        <f>IFERROR(__xludf.DUMMYFUNCTION("""COMPUTED_VALUE"""),7.84E7)</f>
        <v>78400000</v>
      </c>
      <c r="E45" s="2"/>
      <c r="F45" s="2" t="str">
        <f>IFERROR(__xludf.DUMMYFUNCTION("""COMPUTED_VALUE"""),"DB")</f>
        <v>DB</v>
      </c>
      <c r="G45" s="2">
        <f>IFERROR(__xludf.DUMMYFUNCTION("""COMPUTED_VALUE"""),4.475455215899999E8)</f>
        <v>447545521.6</v>
      </c>
      <c r="H45" s="2">
        <f>IFERROR(__xludf.DUMMYFUNCTION("""COMPUTED_VALUE"""),4.4754552159E8)</f>
        <v>447545521.6</v>
      </c>
      <c r="I45" s="2"/>
    </row>
    <row r="46">
      <c r="A46" s="10">
        <f>IFERROR(__xludf.DUMMYFUNCTION("""COMPUTED_VALUE"""),46271.0)</f>
        <v>46271</v>
      </c>
      <c r="B46" s="2" t="str">
        <f>IFERROR(__xludf.DUMMYFUNCTION("""COMPUTED_VALUE"""),"TRSF E-BANKING DB")</f>
        <v>TRSF E-BANKING DB</v>
      </c>
      <c r="C46" s="2" t="str">
        <f>IFERROR(__xludf.DUMMYFUNCTION("""COMPUTED_VALUE"""),"0609/FTSCY/WS95011 69054250.00 Fri Sep 04 2026 14:00:00 GMT+0700 (Western Indonesia Time) BINTANG TAMA SANTO")</f>
        <v>0609/FTSCY/WS95011 69054250.00 Fri Sep 04 2026 14:00:00 GMT+0700 (Western Indonesia Time) BINTANG TAMA SANTO</v>
      </c>
      <c r="D46" s="2">
        <f>IFERROR(__xludf.DUMMYFUNCTION("""COMPUTED_VALUE"""),6.905425E7)</f>
        <v>69054250</v>
      </c>
      <c r="E46" s="2"/>
      <c r="F46" s="2" t="str">
        <f>IFERROR(__xludf.DUMMYFUNCTION("""COMPUTED_VALUE"""),"DB")</f>
        <v>DB</v>
      </c>
      <c r="G46" s="2">
        <f>IFERROR(__xludf.DUMMYFUNCTION("""COMPUTED_VALUE"""),3.784912715899999E8)</f>
        <v>378491271.6</v>
      </c>
      <c r="H46" s="2"/>
      <c r="I46" s="2"/>
    </row>
    <row r="47">
      <c r="A47" s="10">
        <f>IFERROR(__xludf.DUMMYFUNCTION("""COMPUTED_VALUE"""),46271.0)</f>
        <v>46271</v>
      </c>
      <c r="B47" s="2" t="str">
        <f>IFERROR(__xludf.DUMMYFUNCTION("""COMPUTED_VALUE"""),"TRSF E-BANKING DB")</f>
        <v>TRSF E-BANKING DB</v>
      </c>
      <c r="C47" s="2" t="str">
        <f>IFERROR(__xludf.DUMMYFUNCTION("""COMPUTED_VALUE"""),"0609/FTSCY/WS95011 66795200.00 Fri Sep 04 2026 14:00:00 GMT+0700 (Western Indonesia Time) ANUGERAH KARTIKA A")</f>
        <v>0609/FTSCY/WS95011 66795200.00 Fri Sep 04 2026 14:00:00 GMT+0700 (Western Indonesia Time) ANUGERAH KARTIKA A</v>
      </c>
      <c r="D47" s="2">
        <f>IFERROR(__xludf.DUMMYFUNCTION("""COMPUTED_VALUE"""),6.67952E7)</f>
        <v>66795200</v>
      </c>
      <c r="E47" s="2"/>
      <c r="F47" s="2" t="str">
        <f>IFERROR(__xludf.DUMMYFUNCTION("""COMPUTED_VALUE"""),"DB")</f>
        <v>DB</v>
      </c>
      <c r="G47" s="2">
        <f>IFERROR(__xludf.DUMMYFUNCTION("""COMPUTED_VALUE"""),3.116960715899999E8)</f>
        <v>311696071.6</v>
      </c>
      <c r="H47" s="2"/>
      <c r="I47" s="2"/>
    </row>
    <row r="48">
      <c r="A48" s="10">
        <f>IFERROR(__xludf.DUMMYFUNCTION("""COMPUTED_VALUE"""),46271.0)</f>
        <v>46271</v>
      </c>
      <c r="B48" s="2" t="str">
        <f>IFERROR(__xludf.DUMMYFUNCTION("""COMPUTED_VALUE"""),"TRSF E-BANKING DB")</f>
        <v>TRSF E-BANKING DB</v>
      </c>
      <c r="C48" s="2" t="str">
        <f>IFERROR(__xludf.DUMMYFUNCTION("""COMPUTED_VALUE"""),"0609/FTSCY/WS95011 66600000.00 Fri Sep 04 2026 14:00:00 GMT+0700 (Western Indonesia Time) BINTANG TAMA SANTO")</f>
        <v>0609/FTSCY/WS95011 66600000.00 Fri Sep 04 2026 14:00:00 GMT+0700 (Western Indonesia Time) BINTANG TAMA SANTO</v>
      </c>
      <c r="D48" s="2">
        <f>IFERROR(__xludf.DUMMYFUNCTION("""COMPUTED_VALUE"""),6.66E7)</f>
        <v>66600000</v>
      </c>
      <c r="E48" s="2"/>
      <c r="F48" s="2" t="str">
        <f>IFERROR(__xludf.DUMMYFUNCTION("""COMPUTED_VALUE"""),"DB")</f>
        <v>DB</v>
      </c>
      <c r="G48" s="2">
        <f>IFERROR(__xludf.DUMMYFUNCTION("""COMPUTED_VALUE"""),2.450960715899999E8)</f>
        <v>245096071.6</v>
      </c>
      <c r="H48" s="2"/>
      <c r="I48" s="2"/>
    </row>
    <row r="49">
      <c r="A49" s="10">
        <f>IFERROR(__xludf.DUMMYFUNCTION("""COMPUTED_VALUE"""),46271.0)</f>
        <v>46271</v>
      </c>
      <c r="B49" s="2" t="str">
        <f>IFERROR(__xludf.DUMMYFUNCTION("""COMPUTED_VALUE"""),"TRSF E-BANKING DB")</f>
        <v>TRSF E-BANKING DB</v>
      </c>
      <c r="C49" s="2" t="str">
        <f>IFERROR(__xludf.DUMMYFUNCTION("""COMPUTED_VALUE"""),"0609/FTSCY/WS95011 69724500.00 Thu Sep 03 2026 14:00:00 GMT+0700 (Western Indonesia Time) ANUGERAH KARTIKA A")</f>
        <v>0609/FTSCY/WS95011 69724500.00 Thu Sep 03 2026 14:00:00 GMT+0700 (Western Indonesia Time) ANUGERAH KARTIKA A</v>
      </c>
      <c r="D49" s="2">
        <f>IFERROR(__xludf.DUMMYFUNCTION("""COMPUTED_VALUE"""),6.97245E7)</f>
        <v>69724500</v>
      </c>
      <c r="E49" s="2"/>
      <c r="F49" s="2" t="str">
        <f>IFERROR(__xludf.DUMMYFUNCTION("""COMPUTED_VALUE"""),"DB")</f>
        <v>DB</v>
      </c>
      <c r="G49" s="2">
        <f>IFERROR(__xludf.DUMMYFUNCTION("""COMPUTED_VALUE"""),1.753715715899999E8)</f>
        <v>175371571.6</v>
      </c>
      <c r="H49" s="2"/>
      <c r="I49" s="2"/>
    </row>
    <row r="50">
      <c r="A50" s="10">
        <f>IFERROR(__xludf.DUMMYFUNCTION("""COMPUTED_VALUE"""),46271.0)</f>
        <v>46271</v>
      </c>
      <c r="B50" s="2" t="str">
        <f>IFERROR(__xludf.DUMMYFUNCTION("""COMPUTED_VALUE"""),"TRSF E-BANKING DB")</f>
        <v>TRSF E-BANKING DB</v>
      </c>
      <c r="C50" s="2" t="str">
        <f>IFERROR(__xludf.DUMMYFUNCTION("""COMPUTED_VALUE"""),"0609/FTSCY/WS95011 73600000.00 Fri Sep 04 2026 14:00:00 GMT+0700 (Western Indonesia Time) ANDALAN YASA MITRA")</f>
        <v>0609/FTSCY/WS95011 73600000.00 Fri Sep 04 2026 14:00:00 GMT+0700 (Western Indonesia Time) ANDALAN YASA MITRA</v>
      </c>
      <c r="D50" s="2">
        <f>IFERROR(__xludf.DUMMYFUNCTION("""COMPUTED_VALUE"""),7.36E7)</f>
        <v>73600000</v>
      </c>
      <c r="E50" s="2"/>
      <c r="F50" s="2" t="str">
        <f>IFERROR(__xludf.DUMMYFUNCTION("""COMPUTED_VALUE"""),"DB")</f>
        <v>DB</v>
      </c>
      <c r="G50" s="2">
        <f>IFERROR(__xludf.DUMMYFUNCTION("""COMPUTED_VALUE"""),1.0177157158999991E8)</f>
        <v>101771571.6</v>
      </c>
      <c r="H50" s="2"/>
      <c r="I50" s="2"/>
    </row>
    <row r="51">
      <c r="A51" s="10">
        <f>IFERROR(__xludf.DUMMYFUNCTION("""COMPUTED_VALUE"""),46271.0)</f>
        <v>46271</v>
      </c>
      <c r="B51" s="2" t="str">
        <f>IFERROR(__xludf.DUMMYFUNCTION("""COMPUTED_VALUE"""),"TRSF E-BANKING DB")</f>
        <v>TRSF E-BANKING DB</v>
      </c>
      <c r="C51" s="2" t="str">
        <f>IFERROR(__xludf.DUMMYFUNCTION("""COMPUTED_VALUE"""),"0609/FTSCY/WS95271 34860000.00 krg 26 jt EKO SETIYAWAN")</f>
        <v>0609/FTSCY/WS95271 34860000.00 krg 26 jt EKO SETIYAWAN</v>
      </c>
      <c r="D51" s="2">
        <f>IFERROR(__xludf.DUMMYFUNCTION("""COMPUTED_VALUE"""),3.486E7)</f>
        <v>34860000</v>
      </c>
      <c r="E51" s="2"/>
      <c r="F51" s="2" t="str">
        <f>IFERROR(__xludf.DUMMYFUNCTION("""COMPUTED_VALUE"""),"DB")</f>
        <v>DB</v>
      </c>
      <c r="G51" s="2">
        <f>IFERROR(__xludf.DUMMYFUNCTION("""COMPUTED_VALUE"""),6.6911571589999914E7)</f>
        <v>66911571.59</v>
      </c>
      <c r="H51" s="2"/>
      <c r="I51" s="2"/>
    </row>
    <row r="52">
      <c r="A52" s="10">
        <f>IFERROR(__xludf.DUMMYFUNCTION("""COMPUTED_VALUE"""),46271.0)</f>
        <v>46271</v>
      </c>
      <c r="B52" s="2" t="str">
        <f>IFERROR(__xludf.DUMMYFUNCTION("""COMPUTED_VALUE"""),"TARIKAN ATM 06/09")</f>
        <v>TARIKAN ATM 06/09</v>
      </c>
      <c r="C52" s="2" t="str">
        <f>IFERROR(__xludf.DUMMYFUNCTION("""COMPUTED_VALUE"""),"TARIKAN ATM 06/09")</f>
        <v>TARIKAN ATM 06/09</v>
      </c>
      <c r="D52" s="2">
        <f>IFERROR(__xludf.DUMMYFUNCTION("""COMPUTED_VALUE"""),150000.0)</f>
        <v>150000</v>
      </c>
      <c r="E52" s="2"/>
      <c r="F52" s="2"/>
      <c r="G52" s="2">
        <f>IFERROR(__xludf.DUMMYFUNCTION("""COMPUTED_VALUE"""),6.6761571589999914E7)</f>
        <v>66761571.59</v>
      </c>
      <c r="H52" s="2"/>
      <c r="I52" s="2"/>
    </row>
    <row r="53">
      <c r="A53" s="10">
        <f>IFERROR(__xludf.DUMMYFUNCTION("""COMPUTED_VALUE"""),46271.0)</f>
        <v>46271</v>
      </c>
      <c r="B53" s="2" t="str">
        <f>IFERROR(__xludf.DUMMYFUNCTION("""COMPUTED_VALUE"""),"TRSF E-BANKING DB")</f>
        <v>TRSF E-BANKING DB</v>
      </c>
      <c r="C53" s="2" t="str">
        <f>IFERROR(__xludf.DUMMYFUNCTION("""COMPUTED_VALUE"""),"0609/FTFVA/WS95031 55569/PT PRIMA FAJ Sat Sep 05 2026 14:00:00 GMT+0700 (Western Indonesia Time) - 40190")</f>
        <v>0609/FTFVA/WS95031 55569/PT PRIMA FAJ Sat Sep 05 2026 14:00:00 GMT+0700 (Western Indonesia Time) - 40190</v>
      </c>
      <c r="D53" s="2">
        <f>IFERROR(__xludf.DUMMYFUNCTION("""COMPUTED_VALUE"""),8.28207E7)</f>
        <v>82820700</v>
      </c>
      <c r="E53" s="2"/>
      <c r="F53" s="2" t="str">
        <f>IFERROR(__xludf.DUMMYFUNCTION("""COMPUTED_VALUE"""),"DB")</f>
        <v>DB</v>
      </c>
      <c r="G53" s="2">
        <f>IFERROR(__xludf.DUMMYFUNCTION("""COMPUTED_VALUE"""),1.3940871589999914E7)</f>
        <v>13940871.59</v>
      </c>
      <c r="H53" s="2"/>
      <c r="I53" s="2"/>
    </row>
    <row r="54">
      <c r="A54" s="10">
        <f>IFERROR(__xludf.DUMMYFUNCTION("""COMPUTED_VALUE"""),46271.0)</f>
        <v>46271</v>
      </c>
      <c r="B54" s="2" t="str">
        <f>IFERROR(__xludf.DUMMYFUNCTION("""COMPUTED_VALUE"""),"TRSF E-BANKING DB")</f>
        <v>TRSF E-BANKING DB</v>
      </c>
      <c r="C54" s="2" t="str">
        <f>IFERROR(__xludf.DUMMYFUNCTION("""COMPUTED_VALUE"""),"0609/FTSCY/WS95271 66295200.00 Fri Sep 04 2026 14:00:00 GMT+0700 (Western Indonesia Time) LAJU SATWA WISESA")</f>
        <v>0609/FTSCY/WS95271 66295200.00 Fri Sep 04 2026 14:00:00 GMT+0700 (Western Indonesia Time) LAJU SATWA WISESA</v>
      </c>
      <c r="D54" s="2">
        <f>IFERROR(__xludf.DUMMYFUNCTION("""COMPUTED_VALUE"""),6.62952E7)</f>
        <v>66295200</v>
      </c>
      <c r="E54" s="2"/>
      <c r="F54" s="2" t="str">
        <f>IFERROR(__xludf.DUMMYFUNCTION("""COMPUTED_VALUE"""),"DB")</f>
        <v>DB</v>
      </c>
      <c r="G54" s="2">
        <f>IFERROR(__xludf.DUMMYFUNCTION("""COMPUTED_VALUE"""),2.298130115899999E8)</f>
        <v>229813011.6</v>
      </c>
      <c r="H54" s="2">
        <f>IFERROR(__xludf.DUMMYFUNCTION("""COMPUTED_VALUE"""),2.2981301159E8)</f>
        <v>229813011.6</v>
      </c>
      <c r="I54" s="2"/>
    </row>
    <row r="55">
      <c r="A55" s="10">
        <f>IFERROR(__xludf.DUMMYFUNCTION("""COMPUTED_VALUE"""),46271.0)</f>
        <v>46271</v>
      </c>
      <c r="B55" s="2" t="str">
        <f>IFERROR(__xludf.DUMMYFUNCTION("""COMPUTED_VALUE"""),"TRSF E-BANKING DB")</f>
        <v>TRSF E-BANKING DB</v>
      </c>
      <c r="C55" s="2" t="str">
        <f>IFERROR(__xludf.DUMMYFUNCTION("""COMPUTED_VALUE"""),"0609/FTSCY/WS95271 118543120.00 Sat Sep 05 2026 14:00:00 GMT+0700 (Western Indonesia Time) SURYA INTI TERNAK")</f>
        <v>0609/FTSCY/WS95271 118543120.00 Sat Sep 05 2026 14:00:00 GMT+0700 (Western Indonesia Time) SURYA INTI TERNAK</v>
      </c>
      <c r="D55" s="2">
        <f>IFERROR(__xludf.DUMMYFUNCTION("""COMPUTED_VALUE"""),1.1854312E8)</f>
        <v>118543120</v>
      </c>
      <c r="E55" s="2"/>
      <c r="F55" s="2" t="str">
        <f>IFERROR(__xludf.DUMMYFUNCTION("""COMPUTED_VALUE"""),"DB")</f>
        <v>DB</v>
      </c>
      <c r="G55" s="2">
        <f>IFERROR(__xludf.DUMMYFUNCTION("""COMPUTED_VALUE"""),1.1126989158999991E8)</f>
        <v>111269891.6</v>
      </c>
      <c r="H55" s="2">
        <f>IFERROR(__xludf.DUMMYFUNCTION("""COMPUTED_VALUE"""),1.1126989159E8)</f>
        <v>111269891.6</v>
      </c>
      <c r="I55" s="2"/>
    </row>
    <row r="56">
      <c r="A56" s="10">
        <f>IFERROR(__xludf.DUMMYFUNCTION("""COMPUTED_VALUE"""),46271.0)</f>
        <v>46271</v>
      </c>
      <c r="B56" s="2" t="str">
        <f>IFERROR(__xludf.DUMMYFUNCTION("""COMPUTED_VALUE"""),"TRSF E-BANKING DB")</f>
        <v>TRSF E-BANKING DB</v>
      </c>
      <c r="C56" s="2" t="str">
        <f>IFERROR(__xludf.DUMMYFUNCTION("""COMPUTED_VALUE"""),"0609/FTSCY/WS95271 71219700.00 Fri Sep 04 2026 14:00:00 GMT+0700 (Western Indonesia Time) BROILER MAKMUR TAN")</f>
        <v>0609/FTSCY/WS95271 71219700.00 Fri Sep 04 2026 14:00:00 GMT+0700 (Western Indonesia Time) BROILER MAKMUR TAN</v>
      </c>
      <c r="D56" s="2">
        <f>IFERROR(__xludf.DUMMYFUNCTION("""COMPUTED_VALUE"""),7.12197E7)</f>
        <v>71219700</v>
      </c>
      <c r="E56" s="2"/>
      <c r="F56" s="2" t="str">
        <f>IFERROR(__xludf.DUMMYFUNCTION("""COMPUTED_VALUE"""),"DB")</f>
        <v>DB</v>
      </c>
      <c r="G56" s="2">
        <f>IFERROR(__xludf.DUMMYFUNCTION("""COMPUTED_VALUE"""),4.0050191589999914E7)</f>
        <v>40050191.59</v>
      </c>
      <c r="H56" s="2"/>
      <c r="I56" s="2"/>
    </row>
    <row r="57">
      <c r="A57" s="10">
        <f>IFERROR(__xludf.DUMMYFUNCTION("""COMPUTED_VALUE"""),46271.0)</f>
        <v>46271</v>
      </c>
      <c r="B57" s="2" t="str">
        <f>IFERROR(__xludf.DUMMYFUNCTION("""COMPUTED_VALUE"""),"TRSF E-BANKING DB")</f>
        <v>TRSF E-BANKING DB</v>
      </c>
      <c r="C57" s="2" t="str">
        <f>IFERROR(__xludf.DUMMYFUNCTION("""COMPUTED_VALUE"""),"0609/FTSCY/WS95031 40000000.00 BROILER MAKMUR TAN")</f>
        <v>0609/FTSCY/WS95031 40000000.00 BROILER MAKMUR TAN</v>
      </c>
      <c r="D57" s="2">
        <f>IFERROR(__xludf.DUMMYFUNCTION("""COMPUTED_VALUE"""),4.0E7)</f>
        <v>40000000</v>
      </c>
      <c r="E57" s="2"/>
      <c r="F57" s="2" t="str">
        <f>IFERROR(__xludf.DUMMYFUNCTION("""COMPUTED_VALUE"""),"DB")</f>
        <v>DB</v>
      </c>
      <c r="G57" s="2">
        <f>IFERROR(__xludf.DUMMYFUNCTION("""COMPUTED_VALUE"""),50191.58999991417)</f>
        <v>50191.59</v>
      </c>
      <c r="H57" s="2">
        <f>IFERROR(__xludf.DUMMYFUNCTION("""COMPUTED_VALUE"""),50191.59)</f>
        <v>50191.59</v>
      </c>
      <c r="I57" s="2"/>
    </row>
    <row r="58">
      <c r="A58" s="10">
        <f>IFERROR(__xludf.DUMMYFUNCTION("""COMPUTED_VALUE"""),46272.0)</f>
        <v>46272</v>
      </c>
      <c r="B58" s="2" t="str">
        <f>IFERROR(__xludf.DUMMYFUNCTION("""COMPUTED_VALUE"""),"TRSF E-BANKING DB")</f>
        <v>TRSF E-BANKING DB</v>
      </c>
      <c r="C58" s="2" t="str">
        <f>IFERROR(__xludf.DUMMYFUNCTION("""COMPUTED_VALUE"""),"0709/FTSCY/WS95031 2600000.00 SUNARTO")</f>
        <v>0709/FTSCY/WS95031 2600000.00 SUNARTO</v>
      </c>
      <c r="D58" s="2">
        <f>IFERROR(__xludf.DUMMYFUNCTION("""COMPUTED_VALUE"""),2600000.0)</f>
        <v>2600000</v>
      </c>
      <c r="E58" s="2"/>
      <c r="F58" s="2" t="str">
        <f>IFERROR(__xludf.DUMMYFUNCTION("""COMPUTED_VALUE"""),"DB")</f>
        <v>DB</v>
      </c>
      <c r="G58" s="2">
        <f>IFERROR(__xludf.DUMMYFUNCTION("""COMPUTED_VALUE"""),2.7677691589999914E7)</f>
        <v>27677691.59</v>
      </c>
      <c r="H58" s="2"/>
      <c r="I58" s="2"/>
    </row>
    <row r="59">
      <c r="A59" s="10">
        <f>IFERROR(__xludf.DUMMYFUNCTION("""COMPUTED_VALUE"""),46272.0)</f>
        <v>46272</v>
      </c>
      <c r="B59" s="2" t="str">
        <f>IFERROR(__xludf.DUMMYFUNCTION("""COMPUTED_VALUE"""),"TRSF E-BANKING DB")</f>
        <v>TRSF E-BANKING DB</v>
      </c>
      <c r="C59" s="2" t="str">
        <f>IFERROR(__xludf.DUMMYFUNCTION("""COMPUTED_VALUE"""),"0709/FTSCY/WS95031 27608000.00 NURUL AINI")</f>
        <v>0709/FTSCY/WS95031 27608000.00 NURUL AINI</v>
      </c>
      <c r="D59" s="2">
        <f>IFERROR(__xludf.DUMMYFUNCTION("""COMPUTED_VALUE"""),2.7608E7)</f>
        <v>27608000</v>
      </c>
      <c r="E59" s="2"/>
      <c r="F59" s="2" t="str">
        <f>IFERROR(__xludf.DUMMYFUNCTION("""COMPUTED_VALUE"""),"DB")</f>
        <v>DB</v>
      </c>
      <c r="G59" s="2">
        <f>IFERROR(__xludf.DUMMYFUNCTION("""COMPUTED_VALUE"""),69691.58999991417)</f>
        <v>69691.59</v>
      </c>
      <c r="H59" s="2"/>
      <c r="I59" s="2"/>
    </row>
    <row r="60">
      <c r="A60" s="10">
        <f>IFERROR(__xludf.DUMMYFUNCTION("""COMPUTED_VALUE"""),46272.0)</f>
        <v>46272</v>
      </c>
      <c r="B60" s="2" t="str">
        <f>IFERROR(__xludf.DUMMYFUNCTION("""COMPUTED_VALUE"""),"TRSF E-BANKING DB")</f>
        <v>TRSF E-BANKING DB</v>
      </c>
      <c r="C60" s="2" t="str">
        <f>IFERROR(__xludf.DUMMYFUNCTION("""COMPUTED_VALUE"""),"0709/FTSCY/WS95031 2500000.00 BELA PRAMUDITA")</f>
        <v>0709/FTSCY/WS95031 2500000.00 BELA PRAMUDITA</v>
      </c>
      <c r="D60" s="2">
        <f>IFERROR(__xludf.DUMMYFUNCTION("""COMPUTED_VALUE"""),2500000.0)</f>
        <v>2500000</v>
      </c>
      <c r="E60" s="2"/>
      <c r="F60" s="2" t="str">
        <f>IFERROR(__xludf.DUMMYFUNCTION("""COMPUTED_VALUE"""),"DB")</f>
        <v>DB</v>
      </c>
      <c r="G60" s="2">
        <f>IFERROR(__xludf.DUMMYFUNCTION("""COMPUTED_VALUE"""),6.5769691589999914E7)</f>
        <v>65769691.59</v>
      </c>
      <c r="H60" s="2"/>
      <c r="I60" s="2"/>
    </row>
    <row r="61">
      <c r="A61" s="10">
        <f>IFERROR(__xludf.DUMMYFUNCTION("""COMPUTED_VALUE"""),46272.0)</f>
        <v>46272</v>
      </c>
      <c r="B61" s="2" t="str">
        <f>IFERROR(__xludf.DUMMYFUNCTION("""COMPUTED_VALUE"""),"TRSF E-BANKING DB")</f>
        <v>TRSF E-BANKING DB</v>
      </c>
      <c r="C61" s="2" t="str">
        <f>IFERROR(__xludf.DUMMYFUNCTION("""COMPUTED_VALUE"""),"0709/FTSCY/WS95031 30093750.00 ANDALAN YASA MITRA")</f>
        <v>0709/FTSCY/WS95031 30093750.00 ANDALAN YASA MITRA</v>
      </c>
      <c r="D61" s="2">
        <f>IFERROR(__xludf.DUMMYFUNCTION("""COMPUTED_VALUE"""),3.009375E7)</f>
        <v>30093750</v>
      </c>
      <c r="E61" s="2"/>
      <c r="F61" s="2" t="str">
        <f>IFERROR(__xludf.DUMMYFUNCTION("""COMPUTED_VALUE"""),"DB")</f>
        <v>DB</v>
      </c>
      <c r="G61" s="2">
        <f>IFERROR(__xludf.DUMMYFUNCTION("""COMPUTED_VALUE"""),2.959030815899999E8)</f>
        <v>295903081.6</v>
      </c>
      <c r="H61" s="2"/>
      <c r="I61" s="2"/>
    </row>
    <row r="62">
      <c r="A62" s="10">
        <f>IFERROR(__xludf.DUMMYFUNCTION("""COMPUTED_VALUE"""),46272.0)</f>
        <v>46272</v>
      </c>
      <c r="B62" s="2" t="str">
        <f>IFERROR(__xludf.DUMMYFUNCTION("""COMPUTED_VALUE"""),"TRSF E-BANKING DB")</f>
        <v>TRSF E-BANKING DB</v>
      </c>
      <c r="C62" s="2" t="str">
        <f>IFERROR(__xludf.DUMMYFUNCTION("""COMPUTED_VALUE"""),"0709/FTSCY/WS95271 69040400.00 Sat Sep 05 2026 14:00:00 GMT+0700 (Western Indonesia Time) ANDALAN YASA MITRA")</f>
        <v>0709/FTSCY/WS95271 69040400.00 Sat Sep 05 2026 14:00:00 GMT+0700 (Western Indonesia Time) ANDALAN YASA MITRA</v>
      </c>
      <c r="D62" s="2">
        <f>IFERROR(__xludf.DUMMYFUNCTION("""COMPUTED_VALUE"""),6.90404E7)</f>
        <v>69040400</v>
      </c>
      <c r="E62" s="2"/>
      <c r="F62" s="2" t="str">
        <f>IFERROR(__xludf.DUMMYFUNCTION("""COMPUTED_VALUE"""),"DB")</f>
        <v>DB</v>
      </c>
      <c r="G62" s="2">
        <f>IFERROR(__xludf.DUMMYFUNCTION("""COMPUTED_VALUE"""),3.817373015899999E8)</f>
        <v>381737301.6</v>
      </c>
      <c r="H62" s="2">
        <f>IFERROR(__xludf.DUMMYFUNCTION("""COMPUTED_VALUE"""),3.8173730159E8)</f>
        <v>381737301.6</v>
      </c>
      <c r="I62" s="2"/>
    </row>
    <row r="63">
      <c r="A63" s="10">
        <f>IFERROR(__xludf.DUMMYFUNCTION("""COMPUTED_VALUE"""),46272.0)</f>
        <v>46272</v>
      </c>
      <c r="B63" s="2" t="str">
        <f>IFERROR(__xludf.DUMMYFUNCTION("""COMPUTED_VALUE"""),"TRSF E-BANKING DB")</f>
        <v>TRSF E-BANKING DB</v>
      </c>
      <c r="C63" s="2" t="str">
        <f>IFERROR(__xludf.DUMMYFUNCTION("""COMPUTED_VALUE"""),"0709/FTSCY/WS95271 74030100.00 Sat Sep 05 2026 14:00:00 GMT+0700 (Western Indonesia Time) BINTANG TAMA SANTO")</f>
        <v>0709/FTSCY/WS95271 74030100.00 Sat Sep 05 2026 14:00:00 GMT+0700 (Western Indonesia Time) BINTANG TAMA SANTO</v>
      </c>
      <c r="D63" s="2">
        <f>IFERROR(__xludf.DUMMYFUNCTION("""COMPUTED_VALUE"""),7.40301E7)</f>
        <v>74030100</v>
      </c>
      <c r="E63" s="2"/>
      <c r="F63" s="2" t="str">
        <f>IFERROR(__xludf.DUMMYFUNCTION("""COMPUTED_VALUE"""),"DB")</f>
        <v>DB</v>
      </c>
      <c r="G63" s="2">
        <f>IFERROR(__xludf.DUMMYFUNCTION("""COMPUTED_VALUE"""),3.077072015899999E8)</f>
        <v>307707201.6</v>
      </c>
      <c r="H63" s="2">
        <f>IFERROR(__xludf.DUMMYFUNCTION("""COMPUTED_VALUE"""),3.0770720159E8)</f>
        <v>307707201.6</v>
      </c>
      <c r="I63" s="2"/>
    </row>
    <row r="64">
      <c r="A64" s="10">
        <f>IFERROR(__xludf.DUMMYFUNCTION("""COMPUTED_VALUE"""),46272.0)</f>
        <v>46272</v>
      </c>
      <c r="B64" s="2" t="str">
        <f>IFERROR(__xludf.DUMMYFUNCTION("""COMPUTED_VALUE"""),"TRSF E-BANKING DB")</f>
        <v>TRSF E-BANKING DB</v>
      </c>
      <c r="C64" s="2" t="str">
        <f>IFERROR(__xludf.DUMMYFUNCTION("""COMPUTED_VALUE"""),"0709/FTSCY/WS95271 62147400.00 Sat Sep 05 2026 14:00:00 GMT+0700 (Western Indonesia Time) TUMBUH OPTIMAL PRI")</f>
        <v>0709/FTSCY/WS95271 62147400.00 Sat Sep 05 2026 14:00:00 GMT+0700 (Western Indonesia Time) TUMBUH OPTIMAL PRI</v>
      </c>
      <c r="D64" s="2">
        <f>IFERROR(__xludf.DUMMYFUNCTION("""COMPUTED_VALUE"""),6.21474E7)</f>
        <v>62147400</v>
      </c>
      <c r="E64" s="2"/>
      <c r="F64" s="2" t="str">
        <f>IFERROR(__xludf.DUMMYFUNCTION("""COMPUTED_VALUE"""),"DB")</f>
        <v>DB</v>
      </c>
      <c r="G64" s="2">
        <f>IFERROR(__xludf.DUMMYFUNCTION("""COMPUTED_VALUE"""),3.146798015899999E8)</f>
        <v>314679801.6</v>
      </c>
      <c r="H64" s="2"/>
      <c r="I64" s="2"/>
    </row>
    <row r="65">
      <c r="A65" s="10">
        <f>IFERROR(__xludf.DUMMYFUNCTION("""COMPUTED_VALUE"""),46272.0)</f>
        <v>46272</v>
      </c>
      <c r="B65" s="2" t="str">
        <f>IFERROR(__xludf.DUMMYFUNCTION("""COMPUTED_VALUE"""),"TRSF E-BANKING DB")</f>
        <v>TRSF E-BANKING DB</v>
      </c>
      <c r="C65" s="2" t="str">
        <f>IFERROR(__xludf.DUMMYFUNCTION("""COMPUTED_VALUE"""),"0709/FTSCY/WS95031 600000.00 ANDE DOSO ANGGORO")</f>
        <v>0709/FTSCY/WS95031 600000.00 ANDE DOSO ANGGORO</v>
      </c>
      <c r="D65" s="2">
        <f>IFERROR(__xludf.DUMMYFUNCTION("""COMPUTED_VALUE"""),600000.0)</f>
        <v>600000</v>
      </c>
      <c r="E65" s="2"/>
      <c r="F65" s="2" t="str">
        <f>IFERROR(__xludf.DUMMYFUNCTION("""COMPUTED_VALUE"""),"DB")</f>
        <v>DB</v>
      </c>
      <c r="G65" s="2">
        <f>IFERROR(__xludf.DUMMYFUNCTION("""COMPUTED_VALUE"""),3.140798015899999E8)</f>
        <v>314079801.6</v>
      </c>
      <c r="H65" s="2"/>
      <c r="I65" s="2"/>
    </row>
    <row r="66">
      <c r="A66" s="10">
        <f>IFERROR(__xludf.DUMMYFUNCTION("""COMPUTED_VALUE"""),46272.0)</f>
        <v>46272</v>
      </c>
      <c r="B66" s="2" t="str">
        <f>IFERROR(__xludf.DUMMYFUNCTION("""COMPUTED_VALUE"""),"TRSF E-BANKING DB")</f>
        <v>TRSF E-BANKING DB</v>
      </c>
      <c r="C66" s="2" t="str">
        <f>IFERROR(__xludf.DUMMYFUNCTION("""COMPUTED_VALUE"""),"0709/FTSCY/WS95011 49135900.00 Sat Sep 05 2026 14:00:00 GMT+0700 (Western Indonesia Time) GANESHA SATRIA NUS")</f>
        <v>0709/FTSCY/WS95011 49135900.00 Sat Sep 05 2026 14:00:00 GMT+0700 (Western Indonesia Time) GANESHA SATRIA NUS</v>
      </c>
      <c r="D66" s="2">
        <f>IFERROR(__xludf.DUMMYFUNCTION("""COMPUTED_VALUE"""),4.91359E7)</f>
        <v>49135900</v>
      </c>
      <c r="E66" s="2"/>
      <c r="F66" s="2" t="str">
        <f>IFERROR(__xludf.DUMMYFUNCTION("""COMPUTED_VALUE"""),"DB")</f>
        <v>DB</v>
      </c>
      <c r="G66" s="2">
        <f>IFERROR(__xludf.DUMMYFUNCTION("""COMPUTED_VALUE"""),1.1134630158999991E8)</f>
        <v>111346301.6</v>
      </c>
      <c r="H66" s="2"/>
      <c r="I66" s="2"/>
    </row>
    <row r="67">
      <c r="A67" s="10">
        <f>IFERROR(__xludf.DUMMYFUNCTION("""COMPUTED_VALUE"""),46272.0)</f>
        <v>46272</v>
      </c>
      <c r="B67" s="2" t="str">
        <f>IFERROR(__xludf.DUMMYFUNCTION("""COMPUTED_VALUE"""),"TRSF E-BANKING DB")</f>
        <v>TRSF E-BANKING DB</v>
      </c>
      <c r="C67" s="2" t="str">
        <f>IFERROR(__xludf.DUMMYFUNCTION("""COMPUTED_VALUE"""),"0709/FTSCY/WS95011 63374200.00 Sat Sep 05 2026 14:00:00 GMT+0700 (Western Indonesia Time) ANUGERAH KARTIKA A")</f>
        <v>0709/FTSCY/WS95011 63374200.00 Sat Sep 05 2026 14:00:00 GMT+0700 (Western Indonesia Time) ANUGERAH KARTIKA A</v>
      </c>
      <c r="D67" s="2">
        <f>IFERROR(__xludf.DUMMYFUNCTION("""COMPUTED_VALUE"""),6.33742E7)</f>
        <v>63374200</v>
      </c>
      <c r="E67" s="2"/>
      <c r="F67" s="2" t="str">
        <f>IFERROR(__xludf.DUMMYFUNCTION("""COMPUTED_VALUE"""),"DB")</f>
        <v>DB</v>
      </c>
      <c r="G67" s="2">
        <f>IFERROR(__xludf.DUMMYFUNCTION("""COMPUTED_VALUE"""),4.7972101589999914E7)</f>
        <v>47972101.59</v>
      </c>
      <c r="H67" s="2"/>
      <c r="I67" s="2"/>
    </row>
    <row r="68">
      <c r="A68" s="10">
        <f>IFERROR(__xludf.DUMMYFUNCTION("""COMPUTED_VALUE"""),46272.0)</f>
        <v>46272</v>
      </c>
      <c r="B68" s="2" t="str">
        <f>IFERROR(__xludf.DUMMYFUNCTION("""COMPUTED_VALUE"""),"TRSF E-BANKING DB")</f>
        <v>TRSF E-BANKING DB</v>
      </c>
      <c r="C68" s="2" t="str">
        <f>IFERROR(__xludf.DUMMYFUNCTION("""COMPUTED_VALUE"""),"0709/FTSCY/WS95271 852240.00 SILVIA AGUSTINA")</f>
        <v>0709/FTSCY/WS95271 852240.00 SILVIA AGUSTINA</v>
      </c>
      <c r="D68" s="2">
        <f>IFERROR(__xludf.DUMMYFUNCTION("""COMPUTED_VALUE"""),852240.0)</f>
        <v>852240</v>
      </c>
      <c r="E68" s="2"/>
      <c r="F68" s="2" t="str">
        <f>IFERROR(__xludf.DUMMYFUNCTION("""COMPUTED_VALUE"""),"DB")</f>
        <v>DB</v>
      </c>
      <c r="G68" s="2">
        <f>IFERROR(__xludf.DUMMYFUNCTION("""COMPUTED_VALUE"""),4.7119861589999914E7)</f>
        <v>47119861.59</v>
      </c>
      <c r="H68" s="2"/>
      <c r="I68" s="2"/>
    </row>
    <row r="69">
      <c r="A69" s="10">
        <f>IFERROR(__xludf.DUMMYFUNCTION("""COMPUTED_VALUE"""),46272.0)</f>
        <v>46272</v>
      </c>
      <c r="B69" s="2" t="str">
        <f>IFERROR(__xludf.DUMMYFUNCTION("""COMPUTED_VALUE"""),"TRSF E-BANKING DB")</f>
        <v>TRSF E-BANKING DB</v>
      </c>
      <c r="C69" s="2" t="str">
        <f>IFERROR(__xludf.DUMMYFUNCTION("""COMPUTED_VALUE"""),"0709/FTSCY/WS95031 3530550.00 DWI HERMANSYAH")</f>
        <v>0709/FTSCY/WS95031 3530550.00 DWI HERMANSYAH</v>
      </c>
      <c r="D69" s="2">
        <f>IFERROR(__xludf.DUMMYFUNCTION("""COMPUTED_VALUE"""),3530550.0)</f>
        <v>3530550</v>
      </c>
      <c r="E69" s="2"/>
      <c r="F69" s="2" t="str">
        <f>IFERROR(__xludf.DUMMYFUNCTION("""COMPUTED_VALUE"""),"DB")</f>
        <v>DB</v>
      </c>
      <c r="G69" s="2">
        <f>IFERROR(__xludf.DUMMYFUNCTION("""COMPUTED_VALUE"""),4.3589311589999914E7)</f>
        <v>43589311.59</v>
      </c>
      <c r="H69" s="2"/>
      <c r="I69" s="2"/>
    </row>
    <row r="70">
      <c r="A70" s="10">
        <f>IFERROR(__xludf.DUMMYFUNCTION("""COMPUTED_VALUE"""),46272.0)</f>
        <v>46272</v>
      </c>
      <c r="B70" s="2" t="str">
        <f>IFERROR(__xludf.DUMMYFUNCTION("""COMPUTED_VALUE"""),"TRSF E-BANKING DB")</f>
        <v>TRSF E-BANKING DB</v>
      </c>
      <c r="C70" s="2" t="str">
        <f>IFERROR(__xludf.DUMMYFUNCTION("""COMPUTED_VALUE"""),"0709/FTSCY/WS95031 2531180.00 HERMAWAN")</f>
        <v>0709/FTSCY/WS95031 2531180.00 HERMAWAN</v>
      </c>
      <c r="D70" s="2">
        <f>IFERROR(__xludf.DUMMYFUNCTION("""COMPUTED_VALUE"""),2531180.0)</f>
        <v>2531180</v>
      </c>
      <c r="E70" s="2"/>
      <c r="F70" s="2" t="str">
        <f>IFERROR(__xludf.DUMMYFUNCTION("""COMPUTED_VALUE"""),"DB")</f>
        <v>DB</v>
      </c>
      <c r="G70" s="2">
        <f>IFERROR(__xludf.DUMMYFUNCTION("""COMPUTED_VALUE"""),4.1058131589999914E7)</f>
        <v>41058131.59</v>
      </c>
      <c r="H70" s="2"/>
      <c r="I70" s="2"/>
    </row>
    <row r="71">
      <c r="A71" s="10">
        <f>IFERROR(__xludf.DUMMYFUNCTION("""COMPUTED_VALUE"""),46272.0)</f>
        <v>46272</v>
      </c>
      <c r="B71" s="2" t="str">
        <f>IFERROR(__xludf.DUMMYFUNCTION("""COMPUTED_VALUE"""),"TRSF E-BANKING DB")</f>
        <v>TRSF E-BANKING DB</v>
      </c>
      <c r="C71" s="2" t="str">
        <f>IFERROR(__xludf.DUMMYFUNCTION("""COMPUTED_VALUE"""),"0709/FTSCY/WS95031 500000.00 MUJIANTO")</f>
        <v>0709/FTSCY/WS95031 500000.00 MUJIANTO</v>
      </c>
      <c r="D71" s="2">
        <f>IFERROR(__xludf.DUMMYFUNCTION("""COMPUTED_VALUE"""),500000.0)</f>
        <v>500000</v>
      </c>
      <c r="E71" s="2"/>
      <c r="F71" s="2" t="str">
        <f>IFERROR(__xludf.DUMMYFUNCTION("""COMPUTED_VALUE"""),"DB")</f>
        <v>DB</v>
      </c>
      <c r="G71" s="2">
        <f>IFERROR(__xludf.DUMMYFUNCTION("""COMPUTED_VALUE"""),4.0558131589999914E7)</f>
        <v>40558131.59</v>
      </c>
      <c r="H71" s="2"/>
      <c r="I71" s="2"/>
    </row>
    <row r="72">
      <c r="A72" s="10">
        <f>IFERROR(__xludf.DUMMYFUNCTION("""COMPUTED_VALUE"""),46272.0)</f>
        <v>46272</v>
      </c>
      <c r="B72" s="2" t="str">
        <f>IFERROR(__xludf.DUMMYFUNCTION("""COMPUTED_VALUE"""),"TRSF E-BANKING DB")</f>
        <v>TRSF E-BANKING DB</v>
      </c>
      <c r="C72" s="2" t="str">
        <f>IFERROR(__xludf.DUMMYFUNCTION("""COMPUTED_VALUE"""),"0709/FTSCY/WS95031 9427100.00 EKO SETIYAWAN")</f>
        <v>0709/FTSCY/WS95031 9427100.00 EKO SETIYAWAN</v>
      </c>
      <c r="D72" s="2">
        <f>IFERROR(__xludf.DUMMYFUNCTION("""COMPUTED_VALUE"""),9427100.0)</f>
        <v>9427100</v>
      </c>
      <c r="E72" s="2"/>
      <c r="F72" s="2" t="str">
        <f>IFERROR(__xludf.DUMMYFUNCTION("""COMPUTED_VALUE"""),"DB")</f>
        <v>DB</v>
      </c>
      <c r="G72" s="2">
        <f>IFERROR(__xludf.DUMMYFUNCTION("""COMPUTED_VALUE"""),3.1131031589999914E7)</f>
        <v>31131031.59</v>
      </c>
      <c r="H72" s="2"/>
      <c r="I72" s="2"/>
    </row>
    <row r="73">
      <c r="A73" s="10">
        <f>IFERROR(__xludf.DUMMYFUNCTION("""COMPUTED_VALUE"""),46272.0)</f>
        <v>46272</v>
      </c>
      <c r="B73" s="2" t="str">
        <f>IFERROR(__xludf.DUMMYFUNCTION("""COMPUTED_VALUE"""),"TRSF E-BANKING DB")</f>
        <v>TRSF E-BANKING DB</v>
      </c>
      <c r="C73" s="2" t="str">
        <f>IFERROR(__xludf.DUMMYFUNCTION("""COMPUTED_VALUE"""),"0709/FTSCY/WS95031 1600000.00 MUJIANTO")</f>
        <v>0709/FTSCY/WS95031 1600000.00 MUJIANTO</v>
      </c>
      <c r="D73" s="2">
        <f>IFERROR(__xludf.DUMMYFUNCTION("""COMPUTED_VALUE"""),1600000.0)</f>
        <v>1600000</v>
      </c>
      <c r="E73" s="2"/>
      <c r="F73" s="2" t="str">
        <f>IFERROR(__xludf.DUMMYFUNCTION("""COMPUTED_VALUE"""),"DB")</f>
        <v>DB</v>
      </c>
      <c r="G73" s="2">
        <f>IFERROR(__xludf.DUMMYFUNCTION("""COMPUTED_VALUE"""),2.9531031589999914E7)</f>
        <v>29531031.59</v>
      </c>
      <c r="H73" s="2">
        <f>IFERROR(__xludf.DUMMYFUNCTION("""COMPUTED_VALUE"""),2.953103159E7)</f>
        <v>29531031.59</v>
      </c>
      <c r="I73" s="2"/>
    </row>
    <row r="74">
      <c r="A74" s="10">
        <f>IFERROR(__xludf.DUMMYFUNCTION("""COMPUTED_VALUE"""),46272.0)</f>
        <v>46272</v>
      </c>
      <c r="B74" s="2" t="str">
        <f>IFERROR(__xludf.DUMMYFUNCTION("""COMPUTED_VALUE"""),"TRSF E-BANKING DB")</f>
        <v>TRSF E-BANKING DB</v>
      </c>
      <c r="C74" s="2" t="str">
        <f>IFERROR(__xludf.DUMMYFUNCTION("""COMPUTED_VALUE"""),"0709/FTSCY/WS95031 1300000.00 BELA PRAMUDITA")</f>
        <v>0709/FTSCY/WS95031 1300000.00 BELA PRAMUDITA</v>
      </c>
      <c r="D74" s="2">
        <f>IFERROR(__xludf.DUMMYFUNCTION("""COMPUTED_VALUE"""),1300000.0)</f>
        <v>1300000</v>
      </c>
      <c r="E74" s="2"/>
      <c r="F74" s="2" t="str">
        <f>IFERROR(__xludf.DUMMYFUNCTION("""COMPUTED_VALUE"""),"DB")</f>
        <v>DB</v>
      </c>
      <c r="G74" s="2">
        <f>IFERROR(__xludf.DUMMYFUNCTION("""COMPUTED_VALUE"""),2.8231031589999914E7)</f>
        <v>28231031.59</v>
      </c>
      <c r="H74" s="2">
        <f>IFERROR(__xludf.DUMMYFUNCTION("""COMPUTED_VALUE"""),2.823103159E7)</f>
        <v>28231031.59</v>
      </c>
      <c r="I74" s="2"/>
    </row>
    <row r="75">
      <c r="A75" s="10">
        <f>IFERROR(__xludf.DUMMYFUNCTION("""COMPUTED_VALUE"""),46273.0)</f>
        <v>46273</v>
      </c>
      <c r="B75" s="2" t="str">
        <f>IFERROR(__xludf.DUMMYFUNCTION("""COMPUTED_VALUE"""),"TRSF E-BANKING DB")</f>
        <v>TRSF E-BANKING DB</v>
      </c>
      <c r="C75" s="2" t="str">
        <f>IFERROR(__xludf.DUMMYFUNCTION("""COMPUTED_VALUE"""),"0809/FTSCY/WS95271 61500000.00 Sun Sep 06 2026 14:00:00 GMT+0700 (Western Indonesia Time) SURYA INTI TERNAK")</f>
        <v>0809/FTSCY/WS95271 61500000.00 Sun Sep 06 2026 14:00:00 GMT+0700 (Western Indonesia Time) SURYA INTI TERNAK</v>
      </c>
      <c r="D75" s="2">
        <f>IFERROR(__xludf.DUMMYFUNCTION("""COMPUTED_VALUE"""),6.15E7)</f>
        <v>61500000</v>
      </c>
      <c r="E75" s="2"/>
      <c r="F75" s="2" t="str">
        <f>IFERROR(__xludf.DUMMYFUNCTION("""COMPUTED_VALUE"""),"DB")</f>
        <v>DB</v>
      </c>
      <c r="G75" s="2">
        <f>IFERROR(__xludf.DUMMYFUNCTION("""COMPUTED_VALUE"""),1.0090453158999991E8)</f>
        <v>100904531.6</v>
      </c>
      <c r="H75" s="2"/>
      <c r="I75" s="2"/>
    </row>
    <row r="76">
      <c r="A76" s="10">
        <f>IFERROR(__xludf.DUMMYFUNCTION("""COMPUTED_VALUE"""),46273.0)</f>
        <v>46273</v>
      </c>
      <c r="B76" s="2" t="str">
        <f>IFERROR(__xludf.DUMMYFUNCTION("""COMPUTED_VALUE"""),"TRSF E-BANKING DB")</f>
        <v>TRSF E-BANKING DB</v>
      </c>
      <c r="C76" s="2" t="str">
        <f>IFERROR(__xludf.DUMMYFUNCTION("""COMPUTED_VALUE"""),"0809/FTSCY/WS95271 100852010.00 05 dan 06 SUPER UNGGAS JAYA")</f>
        <v>0809/FTSCY/WS95271 100852010.00 05 dan 06 SUPER UNGGAS JAYA</v>
      </c>
      <c r="D76" s="2">
        <f>IFERROR(__xludf.DUMMYFUNCTION("""COMPUTED_VALUE"""),1.0085201E8)</f>
        <v>100852010</v>
      </c>
      <c r="E76" s="2"/>
      <c r="F76" s="2" t="str">
        <f>IFERROR(__xludf.DUMMYFUNCTION("""COMPUTED_VALUE"""),"DB")</f>
        <v>DB</v>
      </c>
      <c r="G76" s="2">
        <f>IFERROR(__xludf.DUMMYFUNCTION("""COMPUTED_VALUE"""),52521.58999991417)</f>
        <v>52521.59</v>
      </c>
      <c r="H76" s="2"/>
      <c r="I76" s="2"/>
    </row>
    <row r="77">
      <c r="A77" s="10">
        <f>IFERROR(__xludf.DUMMYFUNCTION("""COMPUTED_VALUE"""),46273.0)</f>
        <v>46273</v>
      </c>
      <c r="B77" s="2" t="str">
        <f>IFERROR(__xludf.DUMMYFUNCTION("""COMPUTED_VALUE"""),"TRSF E-BANKING DB")</f>
        <v>TRSF E-BANKING DB</v>
      </c>
      <c r="C77" s="2" t="str">
        <f>IFERROR(__xludf.DUMMYFUNCTION("""COMPUTED_VALUE"""),"0809/FTFVA/WS95031 67847/UNGGAS MANDI ponorogo - 200043")</f>
        <v>0809/FTFVA/WS95031 67847/UNGGAS MANDI ponorogo - 200043</v>
      </c>
      <c r="D77" s="2">
        <f>IFERROR(__xludf.DUMMYFUNCTION("""COMPUTED_VALUE"""),7.88985E7)</f>
        <v>78898500</v>
      </c>
      <c r="E77" s="2"/>
      <c r="F77" s="2" t="str">
        <f>IFERROR(__xludf.DUMMYFUNCTION("""COMPUTED_VALUE"""),"DB")</f>
        <v>DB</v>
      </c>
      <c r="G77" s="2">
        <f>IFERROR(__xludf.DUMMYFUNCTION("""COMPUTED_VALUE"""),2.386811015899999E8)</f>
        <v>238681101.6</v>
      </c>
      <c r="H77" s="2"/>
      <c r="I77" s="2"/>
    </row>
    <row r="78">
      <c r="A78" s="10">
        <f>IFERROR(__xludf.DUMMYFUNCTION("""COMPUTED_VALUE"""),46273.0)</f>
        <v>46273</v>
      </c>
      <c r="B78" s="2" t="str">
        <f>IFERROR(__xludf.DUMMYFUNCTION("""COMPUTED_VALUE"""),"TRSF E-BANKING DB")</f>
        <v>TRSF E-BANKING DB</v>
      </c>
      <c r="C78" s="2" t="str">
        <f>IFERROR(__xludf.DUMMYFUNCTION("""COMPUTED_VALUE"""),"0809/FTFVA/WS95031 55569/PT PRIMA FAJ prob. - 40190")</f>
        <v>0809/FTFVA/WS95031 55569/PT PRIMA FAJ prob. - 40190</v>
      </c>
      <c r="D78" s="2">
        <f>IFERROR(__xludf.DUMMYFUNCTION("""COMPUTED_VALUE"""),7.16082E7)</f>
        <v>71608200</v>
      </c>
      <c r="E78" s="2"/>
      <c r="F78" s="2" t="str">
        <f>IFERROR(__xludf.DUMMYFUNCTION("""COMPUTED_VALUE"""),"DB")</f>
        <v>DB</v>
      </c>
      <c r="G78" s="2">
        <f>IFERROR(__xludf.DUMMYFUNCTION("""COMPUTED_VALUE"""),1.670729015899999E8)</f>
        <v>167072901.6</v>
      </c>
      <c r="H78" s="2"/>
      <c r="I78" s="2"/>
    </row>
    <row r="79">
      <c r="A79" s="10">
        <f>IFERROR(__xludf.DUMMYFUNCTION("""COMPUTED_VALUE"""),46273.0)</f>
        <v>46273</v>
      </c>
      <c r="B79" s="2" t="str">
        <f>IFERROR(__xludf.DUMMYFUNCTION("""COMPUTED_VALUE"""),"TRSF E-BANKING DB")</f>
        <v>TRSF E-BANKING DB</v>
      </c>
      <c r="C79" s="2" t="str">
        <f>IFERROR(__xludf.DUMMYFUNCTION("""COMPUTED_VALUE"""),"0809/FTSCY/WS95271 100617250.00 lunas BRANTAS ABADI SENT")</f>
        <v>0809/FTSCY/WS95271 100617250.00 lunas BRANTAS ABADI SENT</v>
      </c>
      <c r="D79" s="2">
        <f>IFERROR(__xludf.DUMMYFUNCTION("""COMPUTED_VALUE"""),1.0061725E8)</f>
        <v>100617250</v>
      </c>
      <c r="E79" s="2"/>
      <c r="F79" s="2" t="str">
        <f>IFERROR(__xludf.DUMMYFUNCTION("""COMPUTED_VALUE"""),"DB")</f>
        <v>DB</v>
      </c>
      <c r="G79" s="2">
        <f>IFERROR(__xludf.DUMMYFUNCTION("""COMPUTED_VALUE"""),6.6455651589999914E7)</f>
        <v>66455651.59</v>
      </c>
      <c r="H79" s="2"/>
      <c r="I79" s="2"/>
    </row>
    <row r="80">
      <c r="A80" s="10">
        <f>IFERROR(__xludf.DUMMYFUNCTION("""COMPUTED_VALUE"""),46273.0)</f>
        <v>46273</v>
      </c>
      <c r="B80" s="2" t="str">
        <f>IFERROR(__xludf.DUMMYFUNCTION("""COMPUTED_VALUE"""),"TRSF E-BANKING DB")</f>
        <v>TRSF E-BANKING DB</v>
      </c>
      <c r="C80" s="2" t="str">
        <f>IFERROR(__xludf.DUMMYFUNCTION("""COMPUTED_VALUE"""),"0809/FTSCY/WS95031 50000000.00 BRANTAS ABADI SENT")</f>
        <v>0809/FTSCY/WS95031 50000000.00 BRANTAS ABADI SENT</v>
      </c>
      <c r="D80" s="2">
        <f>IFERROR(__xludf.DUMMYFUNCTION("""COMPUTED_VALUE"""),5.0E7)</f>
        <v>50000000</v>
      </c>
      <c r="E80" s="2"/>
      <c r="F80" s="2" t="str">
        <f>IFERROR(__xludf.DUMMYFUNCTION("""COMPUTED_VALUE"""),"DB")</f>
        <v>DB</v>
      </c>
      <c r="G80" s="2">
        <f>IFERROR(__xludf.DUMMYFUNCTION("""COMPUTED_VALUE"""),1.6455651589999914E7)</f>
        <v>16455651.59</v>
      </c>
      <c r="H80" s="2"/>
      <c r="I80" s="2"/>
    </row>
    <row r="81">
      <c r="A81" s="10">
        <f>IFERROR(__xludf.DUMMYFUNCTION("""COMPUTED_VALUE"""),46273.0)</f>
        <v>46273</v>
      </c>
      <c r="B81" s="2" t="str">
        <f>IFERROR(__xludf.DUMMYFUNCTION("""COMPUTED_VALUE"""),"TRSF E-BANKING DB")</f>
        <v>TRSF E-BANKING DB</v>
      </c>
      <c r="C81" s="2" t="str">
        <f>IFERROR(__xludf.DUMMYFUNCTION("""COMPUTED_VALUE"""),"0809/FTSCY/WS95271 37000000.00 BERLIAN UNGGUL JAY")</f>
        <v>0809/FTSCY/WS95271 37000000.00 BERLIAN UNGGUL JAY</v>
      </c>
      <c r="D81" s="2">
        <f>IFERROR(__xludf.DUMMYFUNCTION("""COMPUTED_VALUE"""),3.7E7)</f>
        <v>37000000</v>
      </c>
      <c r="E81" s="2"/>
      <c r="F81" s="2" t="str">
        <f>IFERROR(__xludf.DUMMYFUNCTION("""COMPUTED_VALUE"""),"DB")</f>
        <v>DB</v>
      </c>
      <c r="G81" s="2">
        <f>IFERROR(__xludf.DUMMYFUNCTION("""COMPUTED_VALUE"""),1.1612020158999991E8)</f>
        <v>116120201.6</v>
      </c>
      <c r="H81" s="2"/>
      <c r="I81" s="2"/>
    </row>
    <row r="82">
      <c r="A82" s="10">
        <f>IFERROR(__xludf.DUMMYFUNCTION("""COMPUTED_VALUE"""),46273.0)</f>
        <v>46273</v>
      </c>
      <c r="B82" s="2" t="str">
        <f>IFERROR(__xludf.DUMMYFUNCTION("""COMPUTED_VALUE"""),"TRSF E-BANKING DB")</f>
        <v>TRSF E-BANKING DB</v>
      </c>
      <c r="C82" s="2" t="str">
        <f>IFERROR(__xludf.DUMMYFUNCTION("""COMPUTED_VALUE"""),"0809/FTSCY/WS95031 27000000.00 pelunasan BERLIAN UNGGUL JAY")</f>
        <v>0809/FTSCY/WS95031 27000000.00 pelunasan BERLIAN UNGGUL JAY</v>
      </c>
      <c r="D82" s="2">
        <f>IFERROR(__xludf.DUMMYFUNCTION("""COMPUTED_VALUE"""),2.7E7)</f>
        <v>27000000</v>
      </c>
      <c r="E82" s="2"/>
      <c r="F82" s="2" t="str">
        <f>IFERROR(__xludf.DUMMYFUNCTION("""COMPUTED_VALUE"""),"DB")</f>
        <v>DB</v>
      </c>
      <c r="G82" s="2">
        <f>IFERROR(__xludf.DUMMYFUNCTION("""COMPUTED_VALUE"""),8.912020158999991E7)</f>
        <v>89120201.59</v>
      </c>
      <c r="H82" s="2">
        <f>IFERROR(__xludf.DUMMYFUNCTION("""COMPUTED_VALUE"""),8.912020159E7)</f>
        <v>89120201.59</v>
      </c>
      <c r="I82" s="2"/>
    </row>
    <row r="83">
      <c r="A83" s="10">
        <f>IFERROR(__xludf.DUMMYFUNCTION("""COMPUTED_VALUE"""),46273.0)</f>
        <v>46273</v>
      </c>
      <c r="B83" s="2" t="str">
        <f>IFERROR(__xludf.DUMMYFUNCTION("""COMPUTED_VALUE"""),"TRSF E-BANKING DB")</f>
        <v>TRSF E-BANKING DB</v>
      </c>
      <c r="C83" s="2" t="str">
        <f>IFERROR(__xludf.DUMMYFUNCTION("""COMPUTED_VALUE"""),"0809/FTSCY/WS95011 73926000.00 Sun Sep 06 2026 14:00:00 GMT+0700 (Western Indonesia Time) TERNAK SEJATI TABA")</f>
        <v>0809/FTSCY/WS95011 73926000.00 Sun Sep 06 2026 14:00:00 GMT+0700 (Western Indonesia Time) TERNAK SEJATI TABA</v>
      </c>
      <c r="D83" s="2">
        <f>IFERROR(__xludf.DUMMYFUNCTION("""COMPUTED_VALUE"""),7.3926E7)</f>
        <v>73926000</v>
      </c>
      <c r="E83" s="2"/>
      <c r="F83" s="2" t="str">
        <f>IFERROR(__xludf.DUMMYFUNCTION("""COMPUTED_VALUE"""),"DB")</f>
        <v>DB</v>
      </c>
      <c r="G83" s="2">
        <f>IFERROR(__xludf.DUMMYFUNCTION("""COMPUTED_VALUE"""),1.5194201589999914E7)</f>
        <v>15194201.59</v>
      </c>
      <c r="H83" s="2">
        <f>IFERROR(__xludf.DUMMYFUNCTION("""COMPUTED_VALUE"""),1.519420159E7)</f>
        <v>15194201.59</v>
      </c>
      <c r="I83" s="2"/>
    </row>
    <row r="84">
      <c r="A84" s="10">
        <f>IFERROR(__xludf.DUMMYFUNCTION("""COMPUTED_VALUE"""),46273.0)</f>
        <v>46273</v>
      </c>
      <c r="B84" s="2" t="str">
        <f>IFERROR(__xludf.DUMMYFUNCTION("""COMPUTED_VALUE"""),"TRSF E-BANKING DB")</f>
        <v>TRSF E-BANKING DB</v>
      </c>
      <c r="C84" s="2" t="str">
        <f>IFERROR(__xludf.DUMMYFUNCTION("""COMPUTED_VALUE"""),"0809/FTSCY/WS95031 2000000.00 BELA PRAMUDITA")</f>
        <v>0809/FTSCY/WS95031 2000000.00 BELA PRAMUDITA</v>
      </c>
      <c r="D84" s="2">
        <f>IFERROR(__xludf.DUMMYFUNCTION("""COMPUTED_VALUE"""),2000000.0)</f>
        <v>2000000</v>
      </c>
      <c r="E84" s="2"/>
      <c r="F84" s="2" t="str">
        <f>IFERROR(__xludf.DUMMYFUNCTION("""COMPUTED_VALUE"""),"DB")</f>
        <v>DB</v>
      </c>
      <c r="G84" s="2">
        <f>IFERROR(__xludf.DUMMYFUNCTION("""COMPUTED_VALUE"""),1.3194201589999914E7)</f>
        <v>13194201.59</v>
      </c>
      <c r="H84" s="2"/>
      <c r="I84" s="2"/>
    </row>
    <row r="85">
      <c r="A85" s="10">
        <f>IFERROR(__xludf.DUMMYFUNCTION("""COMPUTED_VALUE"""),46273.0)</f>
        <v>46273</v>
      </c>
      <c r="B85" s="2" t="str">
        <f>IFERROR(__xludf.DUMMYFUNCTION("""COMPUTED_VALUE"""),"TRSF E-BANKING DB")</f>
        <v>TRSF E-BANKING DB</v>
      </c>
      <c r="C85" s="2" t="str">
        <f>IFERROR(__xludf.DUMMYFUNCTION("""COMPUTED_VALUE"""),"0809/FTSCY/WS95031 1677000.00 SUNARTO")</f>
        <v>0809/FTSCY/WS95031 1677000.00 SUNARTO</v>
      </c>
      <c r="D85" s="2">
        <f>IFERROR(__xludf.DUMMYFUNCTION("""COMPUTED_VALUE"""),1677000.0)</f>
        <v>1677000</v>
      </c>
      <c r="E85" s="2"/>
      <c r="F85" s="2" t="str">
        <f>IFERROR(__xludf.DUMMYFUNCTION("""COMPUTED_VALUE"""),"DB")</f>
        <v>DB</v>
      </c>
      <c r="G85" s="2">
        <f>IFERROR(__xludf.DUMMYFUNCTION("""COMPUTED_VALUE"""),1.1517201589999914E7)</f>
        <v>11517201.59</v>
      </c>
      <c r="H85" s="2">
        <f>IFERROR(__xludf.DUMMYFUNCTION("""COMPUTED_VALUE"""),1.151720159E7)</f>
        <v>11517201.59</v>
      </c>
      <c r="I85" s="2"/>
    </row>
    <row r="86">
      <c r="A86" s="10">
        <f>IFERROR(__xludf.DUMMYFUNCTION("""COMPUTED_VALUE"""),46274.0)</f>
        <v>46274</v>
      </c>
      <c r="B86" s="2" t="str">
        <f>IFERROR(__xludf.DUMMYFUNCTION("""COMPUTED_VALUE"""),"TRSF E-BANKING DB")</f>
        <v>TRSF E-BANKING DB</v>
      </c>
      <c r="C86" s="2" t="str">
        <f>IFERROR(__xludf.DUMMYFUNCTION("""COMPUTED_VALUE"""),"0909/FTSCY/WS95011 70283200.00 Sun Sep 06 2026 14:00:00 GMT+0700 (Western Indonesia Time) BINTANG TAMA SANTO")</f>
        <v>0909/FTSCY/WS95011 70283200.00 Sun Sep 06 2026 14:00:00 GMT+0700 (Western Indonesia Time) BINTANG TAMA SANTO</v>
      </c>
      <c r="D86" s="2">
        <f>IFERROR(__xludf.DUMMYFUNCTION("""COMPUTED_VALUE"""),7.02832E7)</f>
        <v>70283200</v>
      </c>
      <c r="E86" s="2"/>
      <c r="F86" s="2" t="str">
        <f>IFERROR(__xludf.DUMMYFUNCTION("""COMPUTED_VALUE"""),"DB")</f>
        <v>DB</v>
      </c>
      <c r="G86" s="2">
        <f>IFERROR(__xludf.DUMMYFUNCTION("""COMPUTED_VALUE"""),4.615389415899999E8)</f>
        <v>461538941.6</v>
      </c>
      <c r="H86" s="2"/>
      <c r="I86" s="2"/>
    </row>
    <row r="87">
      <c r="A87" s="10">
        <f>IFERROR(__xludf.DUMMYFUNCTION("""COMPUTED_VALUE"""),46274.0)</f>
        <v>46274</v>
      </c>
      <c r="B87" s="2" t="str">
        <f>IFERROR(__xludf.DUMMYFUNCTION("""COMPUTED_VALUE"""),"TRSF E-BANKING DB")</f>
        <v>TRSF E-BANKING DB</v>
      </c>
      <c r="C87" s="2" t="str">
        <f>IFERROR(__xludf.DUMMYFUNCTION("""COMPUTED_VALUE"""),"0909/FTSCY/WS95011 61113240.00 Sat Sep 05 2026 14:00:00 GMT+0700 (Western Indonesia Time) BROILER MAKMUR TAN")</f>
        <v>0909/FTSCY/WS95011 61113240.00 Sat Sep 05 2026 14:00:00 GMT+0700 (Western Indonesia Time) BROILER MAKMUR TAN</v>
      </c>
      <c r="D87" s="2">
        <f>IFERROR(__xludf.DUMMYFUNCTION("""COMPUTED_VALUE"""),6.111324E7)</f>
        <v>61113240</v>
      </c>
      <c r="E87" s="2"/>
      <c r="F87" s="2" t="str">
        <f>IFERROR(__xludf.DUMMYFUNCTION("""COMPUTED_VALUE"""),"DB")</f>
        <v>DB</v>
      </c>
      <c r="G87" s="2">
        <f>IFERROR(__xludf.DUMMYFUNCTION("""COMPUTED_VALUE"""),4.004257015899999E8)</f>
        <v>400425701.6</v>
      </c>
      <c r="H87" s="2"/>
      <c r="I87" s="2"/>
    </row>
    <row r="88">
      <c r="A88" s="10">
        <f>IFERROR(__xludf.DUMMYFUNCTION("""COMPUTED_VALUE"""),46274.0)</f>
        <v>46274</v>
      </c>
      <c r="B88" s="2" t="str">
        <f>IFERROR(__xludf.DUMMYFUNCTION("""COMPUTED_VALUE"""),"TRSF E-BANKING DB")</f>
        <v>TRSF E-BANKING DB</v>
      </c>
      <c r="C88" s="2" t="str">
        <f>IFERROR(__xludf.DUMMYFUNCTION("""COMPUTED_VALUE"""),"0909/FTSCY/WS95011 115351640.00 Pelunasan SUPER UNGGAS JAYA")</f>
        <v>0909/FTSCY/WS95011 115351640.00 Pelunasan SUPER UNGGAS JAYA</v>
      </c>
      <c r="D88" s="2">
        <f>IFERROR(__xludf.DUMMYFUNCTION("""COMPUTED_VALUE"""),1.1535164E8)</f>
        <v>115351640</v>
      </c>
      <c r="E88" s="2"/>
      <c r="F88" s="2" t="str">
        <f>IFERROR(__xludf.DUMMYFUNCTION("""COMPUTED_VALUE"""),"DB")</f>
        <v>DB</v>
      </c>
      <c r="G88" s="2">
        <f>IFERROR(__xludf.DUMMYFUNCTION("""COMPUTED_VALUE"""),2.850740615899999E8)</f>
        <v>285074061.6</v>
      </c>
      <c r="H88" s="2"/>
      <c r="I88" s="2"/>
    </row>
    <row r="89">
      <c r="A89" s="10">
        <f>IFERROR(__xludf.DUMMYFUNCTION("""COMPUTED_VALUE"""),46274.0)</f>
        <v>46274</v>
      </c>
      <c r="B89" s="2" t="str">
        <f>IFERROR(__xludf.DUMMYFUNCTION("""COMPUTED_VALUE"""),"TRSF E-BANKING DB")</f>
        <v>TRSF E-BANKING DB</v>
      </c>
      <c r="C89" s="2" t="str">
        <f>IFERROR(__xludf.DUMMYFUNCTION("""COMPUTED_VALUE"""),"0909/FTSCY/WS95011 67200000.00 Sun Sep 06 2026 14:00:00 GMT+0700 (Western Indonesia Time) BINTANG TAMA SANTO")</f>
        <v>0909/FTSCY/WS95011 67200000.00 Sun Sep 06 2026 14:00:00 GMT+0700 (Western Indonesia Time) BINTANG TAMA SANTO</v>
      </c>
      <c r="D89" s="2">
        <f>IFERROR(__xludf.DUMMYFUNCTION("""COMPUTED_VALUE"""),6.72E7)</f>
        <v>67200000</v>
      </c>
      <c r="E89" s="2"/>
      <c r="F89" s="2" t="str">
        <f>IFERROR(__xludf.DUMMYFUNCTION("""COMPUTED_VALUE"""),"DB")</f>
        <v>DB</v>
      </c>
      <c r="G89" s="2">
        <f>IFERROR(__xludf.DUMMYFUNCTION("""COMPUTED_VALUE"""),2.178740615899999E8)</f>
        <v>217874061.6</v>
      </c>
      <c r="H89" s="2"/>
      <c r="I89" s="2"/>
    </row>
    <row r="90">
      <c r="A90" s="10">
        <f>IFERROR(__xludf.DUMMYFUNCTION("""COMPUTED_VALUE"""),46274.0)</f>
        <v>46274</v>
      </c>
      <c r="B90" s="2" t="str">
        <f>IFERROR(__xludf.DUMMYFUNCTION("""COMPUTED_VALUE"""),"TRSF E-BANKING DB")</f>
        <v>TRSF E-BANKING DB</v>
      </c>
      <c r="C90" s="2" t="str">
        <f>IFERROR(__xludf.DUMMYFUNCTION("""COMPUTED_VALUE"""),"0909/FTSCY/WS95011 84000000.00 Sun Sep 06 2026 14:00:00 GMT+0700 (Western Indonesia Time) BINTANG TAMA SANTO")</f>
        <v>0909/FTSCY/WS95011 84000000.00 Sun Sep 06 2026 14:00:00 GMT+0700 (Western Indonesia Time) BINTANG TAMA SANTO</v>
      </c>
      <c r="D90" s="2">
        <f>IFERROR(__xludf.DUMMYFUNCTION("""COMPUTED_VALUE"""),8.4E7)</f>
        <v>84000000</v>
      </c>
      <c r="E90" s="2"/>
      <c r="F90" s="2" t="str">
        <f>IFERROR(__xludf.DUMMYFUNCTION("""COMPUTED_VALUE"""),"DB")</f>
        <v>DB</v>
      </c>
      <c r="G90" s="2">
        <f>IFERROR(__xludf.DUMMYFUNCTION("""COMPUTED_VALUE"""),1.3387406158999991E8)</f>
        <v>133874061.6</v>
      </c>
      <c r="H90" s="2"/>
      <c r="I90" s="2"/>
    </row>
    <row r="91">
      <c r="A91" s="10">
        <f>IFERROR(__xludf.DUMMYFUNCTION("""COMPUTED_VALUE"""),46274.0)</f>
        <v>46274</v>
      </c>
      <c r="B91" s="2" t="str">
        <f>IFERROR(__xludf.DUMMYFUNCTION("""COMPUTED_VALUE"""),"TRSF E-BANKING DB")</f>
        <v>TRSF E-BANKING DB</v>
      </c>
      <c r="C91" s="2" t="str">
        <f>IFERROR(__xludf.DUMMYFUNCTION("""COMPUTED_VALUE"""),"0909/FTSCY/WS95011 102051700.00 Sun Sep 06 2026 14:00:00 GMT+0700 (Western Indonesia Time) BROILER MAKMUR TAN")</f>
        <v>0909/FTSCY/WS95011 102051700.00 Sun Sep 06 2026 14:00:00 GMT+0700 (Western Indonesia Time) BROILER MAKMUR TAN</v>
      </c>
      <c r="D91" s="2">
        <f>IFERROR(__xludf.DUMMYFUNCTION("""COMPUTED_VALUE"""),1.020517E8)</f>
        <v>102051700</v>
      </c>
      <c r="E91" s="2"/>
      <c r="F91" s="2" t="str">
        <f>IFERROR(__xludf.DUMMYFUNCTION("""COMPUTED_VALUE"""),"DB")</f>
        <v>DB</v>
      </c>
      <c r="G91" s="2">
        <f>IFERROR(__xludf.DUMMYFUNCTION("""COMPUTED_VALUE"""),3.1822361589999914E7)</f>
        <v>31822361.59</v>
      </c>
      <c r="H91" s="2"/>
      <c r="I91" s="2"/>
    </row>
    <row r="92">
      <c r="A92" s="10">
        <f>IFERROR(__xludf.DUMMYFUNCTION("""COMPUTED_VALUE"""),46274.0)</f>
        <v>46274</v>
      </c>
      <c r="B92" s="2" t="str">
        <f>IFERROR(__xludf.DUMMYFUNCTION("""COMPUTED_VALUE"""),"TRSF E-BANKING DB")</f>
        <v>TRSF E-BANKING DB</v>
      </c>
      <c r="C92" s="2" t="str">
        <f>IFERROR(__xludf.DUMMYFUNCTION("""COMPUTED_VALUE"""),"0909/FTSCY/WS95271 1120000.00 HALIM IBRAHIM")</f>
        <v>0909/FTSCY/WS95271 1120000.00 HALIM IBRAHIM</v>
      </c>
      <c r="D92" s="2">
        <f>IFERROR(__xludf.DUMMYFUNCTION("""COMPUTED_VALUE"""),1120000.0)</f>
        <v>1120000</v>
      </c>
      <c r="E92" s="2"/>
      <c r="F92" s="2" t="str">
        <f>IFERROR(__xludf.DUMMYFUNCTION("""COMPUTED_VALUE"""),"DB")</f>
        <v>DB</v>
      </c>
      <c r="G92" s="2">
        <f>IFERROR(__xludf.DUMMYFUNCTION("""COMPUTED_VALUE"""),3.0702361589999914E7)</f>
        <v>30702361.59</v>
      </c>
      <c r="H92" s="2"/>
      <c r="I92" s="2"/>
    </row>
    <row r="93">
      <c r="A93" s="10">
        <f>IFERROR(__xludf.DUMMYFUNCTION("""COMPUTED_VALUE"""),46274.0)</f>
        <v>46274</v>
      </c>
      <c r="B93" s="2" t="str">
        <f>IFERROR(__xludf.DUMMYFUNCTION("""COMPUTED_VALUE"""),"TRSF E-BANKING DB")</f>
        <v>TRSF E-BANKING DB</v>
      </c>
      <c r="C93" s="2" t="str">
        <f>IFERROR(__xludf.DUMMYFUNCTION("""COMPUTED_VALUE"""),"0909/FTSCY/WS95271 1000000.00 SITI RAHMA IFTITAH")</f>
        <v>0909/FTSCY/WS95271 1000000.00 SITI RAHMA IFTITAH</v>
      </c>
      <c r="D93" s="2">
        <f>IFERROR(__xludf.DUMMYFUNCTION("""COMPUTED_VALUE"""),1000000.0)</f>
        <v>1000000</v>
      </c>
      <c r="E93" s="2"/>
      <c r="F93" s="2" t="str">
        <f>IFERROR(__xludf.DUMMYFUNCTION("""COMPUTED_VALUE"""),"DB")</f>
        <v>DB</v>
      </c>
      <c r="G93" s="2">
        <f>IFERROR(__xludf.DUMMYFUNCTION("""COMPUTED_VALUE"""),2.9702361589999914E7)</f>
        <v>29702361.59</v>
      </c>
      <c r="H93" s="2"/>
      <c r="I93" s="2"/>
    </row>
    <row r="94">
      <c r="A94" s="10">
        <f>IFERROR(__xludf.DUMMYFUNCTION("""COMPUTED_VALUE"""),46274.0)</f>
        <v>46274</v>
      </c>
      <c r="B94" s="2" t="str">
        <f>IFERROR(__xludf.DUMMYFUNCTION("""COMPUTED_VALUE"""),"TRSF E-BANKING DB")</f>
        <v>TRSF E-BANKING DB</v>
      </c>
      <c r="C94" s="2" t="str">
        <f>IFERROR(__xludf.DUMMYFUNCTION("""COMPUTED_VALUE"""),"0909/FTSCY/WS95031 1300000.00 DWI HERMANSYAH")</f>
        <v>0909/FTSCY/WS95031 1300000.00 DWI HERMANSYAH</v>
      </c>
      <c r="D94" s="2">
        <f>IFERROR(__xludf.DUMMYFUNCTION("""COMPUTED_VALUE"""),1300000.0)</f>
        <v>1300000</v>
      </c>
      <c r="E94" s="2"/>
      <c r="F94" s="2" t="str">
        <f>IFERROR(__xludf.DUMMYFUNCTION("""COMPUTED_VALUE"""),"DB")</f>
        <v>DB</v>
      </c>
      <c r="G94" s="2">
        <f>IFERROR(__xludf.DUMMYFUNCTION("""COMPUTED_VALUE"""),2.5999961589999914E7)</f>
        <v>25999961.59</v>
      </c>
      <c r="H94" s="2">
        <f>IFERROR(__xludf.DUMMYFUNCTION("""COMPUTED_VALUE"""),2.599996159E7)</f>
        <v>25999961.59</v>
      </c>
      <c r="I94" s="2"/>
    </row>
    <row r="95">
      <c r="A95" s="10">
        <f>IFERROR(__xludf.DUMMYFUNCTION("""COMPUTED_VALUE"""),46274.0)</f>
        <v>46274</v>
      </c>
      <c r="B95" s="2" t="str">
        <f>IFERROR(__xludf.DUMMYFUNCTION("""COMPUTED_VALUE"""),"TRSF E-BANKING DB")</f>
        <v>TRSF E-BANKING DB</v>
      </c>
      <c r="C95" s="2" t="str">
        <f>IFERROR(__xludf.DUMMYFUNCTION("""COMPUTED_VALUE"""),"0909/FTSCY/WS95031 1457450.00 HERMAWAN")</f>
        <v>0909/FTSCY/WS95031 1457450.00 HERMAWAN</v>
      </c>
      <c r="D95" s="2">
        <f>IFERROR(__xludf.DUMMYFUNCTION("""COMPUTED_VALUE"""),1457450.0)</f>
        <v>1457450</v>
      </c>
      <c r="E95" s="2"/>
      <c r="F95" s="2" t="str">
        <f>IFERROR(__xludf.DUMMYFUNCTION("""COMPUTED_VALUE"""),"DB")</f>
        <v>DB</v>
      </c>
      <c r="G95" s="2">
        <f>IFERROR(__xludf.DUMMYFUNCTION("""COMPUTED_VALUE"""),2.4542511589999914E7)</f>
        <v>24542511.59</v>
      </c>
      <c r="H95" s="2">
        <f>IFERROR(__xludf.DUMMYFUNCTION("""COMPUTED_VALUE"""),2.454251159E7)</f>
        <v>24542511.59</v>
      </c>
      <c r="I95" s="2"/>
    </row>
    <row r="96">
      <c r="A96" s="10">
        <f>IFERROR(__xludf.DUMMYFUNCTION("""COMPUTED_VALUE"""),46274.0)</f>
        <v>46274</v>
      </c>
      <c r="B96" s="2" t="str">
        <f>IFERROR(__xludf.DUMMYFUNCTION("""COMPUTED_VALUE"""),"TRSF E-BANKING DB")</f>
        <v>TRSF E-BANKING DB</v>
      </c>
      <c r="C96" s="2" t="str">
        <f>IFERROR(__xludf.DUMMYFUNCTION("""COMPUTED_VALUE"""),"0909/FTSCY/WS95031 700000.00 MUJIANTO")</f>
        <v>0909/FTSCY/WS95031 700000.00 MUJIANTO</v>
      </c>
      <c r="D96" s="2">
        <f>IFERROR(__xludf.DUMMYFUNCTION("""COMPUTED_VALUE"""),700000.0)</f>
        <v>700000</v>
      </c>
      <c r="E96" s="2"/>
      <c r="F96" s="2" t="str">
        <f>IFERROR(__xludf.DUMMYFUNCTION("""COMPUTED_VALUE"""),"DB")</f>
        <v>DB</v>
      </c>
      <c r="G96" s="2">
        <f>IFERROR(__xludf.DUMMYFUNCTION("""COMPUTED_VALUE"""),2.3842511589999914E7)</f>
        <v>23842511.59</v>
      </c>
      <c r="H96" s="2"/>
      <c r="I96" s="2"/>
    </row>
    <row r="97">
      <c r="A97" s="10">
        <f>IFERROR(__xludf.DUMMYFUNCTION("""COMPUTED_VALUE"""),46274.0)</f>
        <v>46274</v>
      </c>
      <c r="B97" s="2" t="str">
        <f>IFERROR(__xludf.DUMMYFUNCTION("""COMPUTED_VALUE"""),"TRSF E-BANKING DB")</f>
        <v>TRSF E-BANKING DB</v>
      </c>
      <c r="C97" s="2" t="str">
        <f>IFERROR(__xludf.DUMMYFUNCTION("""COMPUTED_VALUE"""),"0909/FTSCY/WS95031 1922860.00 FAJAR ANDREANZAH")</f>
        <v>0909/FTSCY/WS95031 1922860.00 FAJAR ANDREANZAH</v>
      </c>
      <c r="D97" s="2">
        <f>IFERROR(__xludf.DUMMYFUNCTION("""COMPUTED_VALUE"""),1922860.0)</f>
        <v>1922860</v>
      </c>
      <c r="E97" s="2"/>
      <c r="F97" s="2" t="str">
        <f>IFERROR(__xludf.DUMMYFUNCTION("""COMPUTED_VALUE"""),"DB")</f>
        <v>DB</v>
      </c>
      <c r="G97" s="2">
        <f>IFERROR(__xludf.DUMMYFUNCTION("""COMPUTED_VALUE"""),2.1919651589999914E7)</f>
        <v>21919651.59</v>
      </c>
      <c r="H97" s="2"/>
      <c r="I97" s="2"/>
    </row>
    <row r="98">
      <c r="A98" s="10">
        <f>IFERROR(__xludf.DUMMYFUNCTION("""COMPUTED_VALUE"""),46274.0)</f>
        <v>46274</v>
      </c>
      <c r="B98" s="2" t="str">
        <f>IFERROR(__xludf.DUMMYFUNCTION("""COMPUTED_VALUE"""),"TRSF E-BANKING DB")</f>
        <v>TRSF E-BANKING DB</v>
      </c>
      <c r="C98" s="2" t="str">
        <f>IFERROR(__xludf.DUMMYFUNCTION("""COMPUTED_VALUE"""),"0909/FTFVA/WS95031 55574/GUNA MITRA S t.agung - 200177")</f>
        <v>0909/FTFVA/WS95031 55574/GUNA MITRA S t.agung - 200177</v>
      </c>
      <c r="D98" s="2">
        <f>IFERROR(__xludf.DUMMYFUNCTION("""COMPUTED_VALUE"""),6.8715E7)</f>
        <v>68715000</v>
      </c>
      <c r="E98" s="2"/>
      <c r="F98" s="2" t="str">
        <f>IFERROR(__xludf.DUMMYFUNCTION("""COMPUTED_VALUE"""),"DB")</f>
        <v>DB</v>
      </c>
      <c r="G98" s="2">
        <f>IFERROR(__xludf.DUMMYFUNCTION("""COMPUTED_VALUE"""),3.774622565899999E8)</f>
        <v>377462256.6</v>
      </c>
      <c r="H98" s="2"/>
      <c r="I98" s="2"/>
    </row>
    <row r="99">
      <c r="A99" s="10">
        <f>IFERROR(__xludf.DUMMYFUNCTION("""COMPUTED_VALUE"""),46274.0)</f>
        <v>46274</v>
      </c>
      <c r="B99" s="2" t="str">
        <f>IFERROR(__xludf.DUMMYFUNCTION("""COMPUTED_VALUE"""),"TRSF E-BANKING DB")</f>
        <v>TRSF E-BANKING DB</v>
      </c>
      <c r="C99" s="2" t="str">
        <f>IFERROR(__xludf.DUMMYFUNCTION("""COMPUTED_VALUE"""),"0909/FTSCY/WS95031 24275800.00 lmjg BERLIAN UNGGUL JAY")</f>
        <v>0909/FTSCY/WS95031 24275800.00 lmjg BERLIAN UNGGUL JAY</v>
      </c>
      <c r="D99" s="2">
        <f>IFERROR(__xludf.DUMMYFUNCTION("""COMPUTED_VALUE"""),2.42758E7)</f>
        <v>24275800</v>
      </c>
      <c r="E99" s="2"/>
      <c r="F99" s="2" t="str">
        <f>IFERROR(__xludf.DUMMYFUNCTION("""COMPUTED_VALUE"""),"DB")</f>
        <v>DB</v>
      </c>
      <c r="G99" s="2">
        <f>IFERROR(__xludf.DUMMYFUNCTION("""COMPUTED_VALUE"""),1.0415992765899999E9)</f>
        <v>1041599277</v>
      </c>
      <c r="H99" s="2"/>
      <c r="I99" s="2"/>
    </row>
    <row r="100">
      <c r="A100" s="10">
        <f>IFERROR(__xludf.DUMMYFUNCTION("""COMPUTED_VALUE"""),46274.0)</f>
        <v>46274</v>
      </c>
      <c r="B100" s="2" t="str">
        <f>IFERROR(__xludf.DUMMYFUNCTION("""COMPUTED_VALUE"""),"TRSF E-BANKING DB")</f>
        <v>TRSF E-BANKING DB</v>
      </c>
      <c r="C100" s="2" t="str">
        <f>IFERROR(__xludf.DUMMYFUNCTION("""COMPUTED_VALUE"""),"0909/FTSCY/WS95271 2200000.00 HALIM IBRAHIM")</f>
        <v>0909/FTSCY/WS95271 2200000.00 HALIM IBRAHIM</v>
      </c>
      <c r="D100" s="2">
        <f>IFERROR(__xludf.DUMMYFUNCTION("""COMPUTED_VALUE"""),2200000.0)</f>
        <v>2200000</v>
      </c>
      <c r="E100" s="2"/>
      <c r="F100" s="2" t="str">
        <f>IFERROR(__xludf.DUMMYFUNCTION("""COMPUTED_VALUE"""),"DB")</f>
        <v>DB</v>
      </c>
      <c r="G100" s="2">
        <f>IFERROR(__xludf.DUMMYFUNCTION("""COMPUTED_VALUE"""),1.0393992765899999E9)</f>
        <v>1039399277</v>
      </c>
      <c r="H100" s="2"/>
      <c r="I100" s="2"/>
    </row>
    <row r="101">
      <c r="A101" s="10">
        <f>IFERROR(__xludf.DUMMYFUNCTION("""COMPUTED_VALUE"""),46274.0)</f>
        <v>46274</v>
      </c>
      <c r="B101" s="2" t="str">
        <f>IFERROR(__xludf.DUMMYFUNCTION("""COMPUTED_VALUE"""),"TRSF E-BANKING DB")</f>
        <v>TRSF E-BANKING DB</v>
      </c>
      <c r="C101" s="2" t="str">
        <f>IFERROR(__xludf.DUMMYFUNCTION("""COMPUTED_VALUE"""),"0909/FTSCY/WS95031 52345000.00 pelunasan BROILER MAKMUR TAN")</f>
        <v>0909/FTSCY/WS95031 52345000.00 pelunasan BROILER MAKMUR TAN</v>
      </c>
      <c r="D101" s="2">
        <f>IFERROR(__xludf.DUMMYFUNCTION("""COMPUTED_VALUE"""),5.2345E7)</f>
        <v>52345000</v>
      </c>
      <c r="E101" s="2"/>
      <c r="F101" s="2" t="str">
        <f>IFERROR(__xludf.DUMMYFUNCTION("""COMPUTED_VALUE"""),"DB")</f>
        <v>DB</v>
      </c>
      <c r="G101" s="2">
        <f>IFERROR(__xludf.DUMMYFUNCTION("""COMPUTED_VALUE"""),9.870542765899999E8)</f>
        <v>987054276.6</v>
      </c>
      <c r="H101" s="2">
        <f>IFERROR(__xludf.DUMMYFUNCTION("""COMPUTED_VALUE"""),9.8705427659E8)</f>
        <v>987054276.6</v>
      </c>
      <c r="I101" s="2"/>
    </row>
    <row r="102">
      <c r="A102" s="10">
        <f>IFERROR(__xludf.DUMMYFUNCTION("""COMPUTED_VALUE"""),46274.0)</f>
        <v>46274</v>
      </c>
      <c r="B102" s="2" t="str">
        <f>IFERROR(__xludf.DUMMYFUNCTION("""COMPUTED_VALUE"""),"TRSF E-BANKING DB")</f>
        <v>TRSF E-BANKING DB</v>
      </c>
      <c r="C102" s="2" t="str">
        <f>IFERROR(__xludf.DUMMYFUNCTION("""COMPUTED_VALUE"""),"0909/FTSCY/WS95271 150765450.00 krg 125 jt BRANTAS ABADI SENT")</f>
        <v>0909/FTSCY/WS95271 150765450.00 krg 125 jt BRANTAS ABADI SENT</v>
      </c>
      <c r="D102" s="2">
        <f>IFERROR(__xludf.DUMMYFUNCTION("""COMPUTED_VALUE"""),1.5076545E8)</f>
        <v>150765450</v>
      </c>
      <c r="E102" s="2"/>
      <c r="F102" s="2" t="str">
        <f>IFERROR(__xludf.DUMMYFUNCTION("""COMPUTED_VALUE"""),"DB")</f>
        <v>DB</v>
      </c>
      <c r="G102" s="2">
        <f>IFERROR(__xludf.DUMMYFUNCTION("""COMPUTED_VALUE"""),8.362888265899999E8)</f>
        <v>836288826.6</v>
      </c>
      <c r="H102" s="2">
        <f>IFERROR(__xludf.DUMMYFUNCTION("""COMPUTED_VALUE"""),8.3628882659E8)</f>
        <v>836288826.6</v>
      </c>
      <c r="I102" s="2"/>
    </row>
    <row r="103">
      <c r="A103" s="10">
        <f>IFERROR(__xludf.DUMMYFUNCTION("""COMPUTED_VALUE"""),46274.0)</f>
        <v>46274</v>
      </c>
      <c r="B103" s="2" t="str">
        <f>IFERROR(__xludf.DUMMYFUNCTION("""COMPUTED_VALUE"""),"TRSF E-BANKING DB")</f>
        <v>TRSF E-BANKING DB</v>
      </c>
      <c r="C103" s="2" t="str">
        <f>IFERROR(__xludf.DUMMYFUNCTION("""COMPUTED_VALUE"""),"0909/FTFVA/WS95031 55569/PT PRIMA FAJ prob - 40190")</f>
        <v>0909/FTFVA/WS95031 55569/PT PRIMA FAJ prob - 40190</v>
      </c>
      <c r="D103" s="2">
        <f>IFERROR(__xludf.DUMMYFUNCTION("""COMPUTED_VALUE"""),1.309825E8)</f>
        <v>130982500</v>
      </c>
      <c r="E103" s="2"/>
      <c r="F103" s="2" t="str">
        <f>IFERROR(__xludf.DUMMYFUNCTION("""COMPUTED_VALUE"""),"DB")</f>
        <v>DB</v>
      </c>
      <c r="G103" s="2">
        <f>IFERROR(__xludf.DUMMYFUNCTION("""COMPUTED_VALUE"""),7.053063265899999E8)</f>
        <v>705306326.6</v>
      </c>
      <c r="H103" s="2"/>
      <c r="I103" s="2"/>
    </row>
    <row r="104">
      <c r="A104" s="10">
        <f>IFERROR(__xludf.DUMMYFUNCTION("""COMPUTED_VALUE"""),46274.0)</f>
        <v>46274</v>
      </c>
      <c r="B104" s="2" t="str">
        <f>IFERROR(__xludf.DUMMYFUNCTION("""COMPUTED_VALUE"""),"TRSF E-BANKING DB")</f>
        <v>TRSF E-BANKING DB</v>
      </c>
      <c r="C104" s="2" t="str">
        <f>IFERROR(__xludf.DUMMYFUNCTION("""COMPUTED_VALUE"""),"0909/FTFVA/WS95031 55569/PT PRIMA FAJ pelunasan - 40190")</f>
        <v>0909/FTFVA/WS95031 55569/PT PRIMA FAJ pelunasan - 40190</v>
      </c>
      <c r="D104" s="2">
        <f>IFERROR(__xludf.DUMMYFUNCTION("""COMPUTED_VALUE"""),8000000.0)</f>
        <v>8000000</v>
      </c>
      <c r="E104" s="2"/>
      <c r="F104" s="2" t="str">
        <f>IFERROR(__xludf.DUMMYFUNCTION("""COMPUTED_VALUE"""),"DB")</f>
        <v>DB</v>
      </c>
      <c r="G104" s="2">
        <f>IFERROR(__xludf.DUMMYFUNCTION("""COMPUTED_VALUE"""),6.973063265899999E8)</f>
        <v>697306326.6</v>
      </c>
      <c r="H104" s="2"/>
      <c r="I104" s="2"/>
    </row>
    <row r="105">
      <c r="A105" s="10">
        <f>IFERROR(__xludf.DUMMYFUNCTION("""COMPUTED_VALUE"""),46275.0)</f>
        <v>46275</v>
      </c>
      <c r="B105" s="2" t="str">
        <f>IFERROR(__xludf.DUMMYFUNCTION("""COMPUTED_VALUE"""),"TRSF E-BANKING DB TANGGAL :09/09")</f>
        <v>TRSF E-BANKING DB TANGGAL :09/09</v>
      </c>
      <c r="C105" s="2" t="str">
        <f>IFERROR(__xludf.DUMMYFUNCTION("""COMPUTED_VALUE"""),"0909/FTSCY/WS95271 Mon Sep 07 2026 14:00:00 GMT+0700 (Western Indonesia Time) SUPER UNGGAS JAYA")</f>
        <v>0909/FTSCY/WS95271 Mon Sep 07 2026 14:00:00 GMT+0700 (Western Indonesia Time) SUPER UNGGAS JAYA</v>
      </c>
      <c r="D105" s="2">
        <f>IFERROR(__xludf.DUMMYFUNCTION("""COMPUTED_VALUE"""),6.15615E7)</f>
        <v>61561500</v>
      </c>
      <c r="E105" s="2"/>
      <c r="F105" s="2" t="str">
        <f>IFERROR(__xludf.DUMMYFUNCTION("""COMPUTED_VALUE"""),"DB")</f>
        <v>DB</v>
      </c>
      <c r="G105" s="2">
        <f>IFERROR(__xludf.DUMMYFUNCTION("""COMPUTED_VALUE"""),5.911735865899999E8)</f>
        <v>591173586.6</v>
      </c>
      <c r="H105" s="2"/>
      <c r="I105" s="2"/>
    </row>
    <row r="106">
      <c r="A106" s="10">
        <f>IFERROR(__xludf.DUMMYFUNCTION("""COMPUTED_VALUE"""),46275.0)</f>
        <v>46275</v>
      </c>
      <c r="B106" s="2" t="str">
        <f>IFERROR(__xludf.DUMMYFUNCTION("""COMPUTED_VALUE"""),"TRSF E-BANKING DB")</f>
        <v>TRSF E-BANKING DB</v>
      </c>
      <c r="C106" s="2" t="str">
        <f>IFERROR(__xludf.DUMMYFUNCTION("""COMPUTED_VALUE"""),"1009/FTSCY/WS95271 68640000.00 madiun BEJO RAHAYU SLAMET")</f>
        <v>1009/FTSCY/WS95271 68640000.00 madiun BEJO RAHAYU SLAMET</v>
      </c>
      <c r="D106" s="2">
        <f>IFERROR(__xludf.DUMMYFUNCTION("""COMPUTED_VALUE"""),6.864E7)</f>
        <v>68640000</v>
      </c>
      <c r="E106" s="2"/>
      <c r="F106" s="2" t="str">
        <f>IFERROR(__xludf.DUMMYFUNCTION("""COMPUTED_VALUE"""),"DB")</f>
        <v>DB</v>
      </c>
      <c r="G106" s="2">
        <f>IFERROR(__xludf.DUMMYFUNCTION("""COMPUTED_VALUE"""),5.225335865899999E8)</f>
        <v>522533586.6</v>
      </c>
      <c r="H106" s="2"/>
      <c r="I106" s="2"/>
    </row>
    <row r="107">
      <c r="A107" s="10">
        <f>IFERROR(__xludf.DUMMYFUNCTION("""COMPUTED_VALUE"""),46275.0)</f>
        <v>46275</v>
      </c>
      <c r="B107" s="2" t="str">
        <f>IFERROR(__xludf.DUMMYFUNCTION("""COMPUTED_VALUE"""),"TRSF E-BANKING DB")</f>
        <v>TRSF E-BANKING DB</v>
      </c>
      <c r="C107" s="2" t="str">
        <f>IFERROR(__xludf.DUMMYFUNCTION("""COMPUTED_VALUE"""),"1009/FTSCY/WS95011 62387500.00 Mon Sep 07 2026 14:00:00 GMT+0700 (Western Indonesia Time) ANUGERAH KARTIKA A")</f>
        <v>1009/FTSCY/WS95011 62387500.00 Mon Sep 07 2026 14:00:00 GMT+0700 (Western Indonesia Time) ANUGERAH KARTIKA A</v>
      </c>
      <c r="D107" s="2">
        <f>IFERROR(__xludf.DUMMYFUNCTION("""COMPUTED_VALUE"""),6.23875E7)</f>
        <v>62387500</v>
      </c>
      <c r="E107" s="2"/>
      <c r="F107" s="2" t="str">
        <f>IFERROR(__xludf.DUMMYFUNCTION("""COMPUTED_VALUE"""),"DB")</f>
        <v>DB</v>
      </c>
      <c r="G107" s="2">
        <f>IFERROR(__xludf.DUMMYFUNCTION("""COMPUTED_VALUE"""),4.601460865899999E8)</f>
        <v>460146086.6</v>
      </c>
      <c r="H107" s="2"/>
      <c r="I107" s="2"/>
    </row>
    <row r="108">
      <c r="A108" s="10">
        <f>IFERROR(__xludf.DUMMYFUNCTION("""COMPUTED_VALUE"""),46275.0)</f>
        <v>46275</v>
      </c>
      <c r="B108" s="2" t="str">
        <f>IFERROR(__xludf.DUMMYFUNCTION("""COMPUTED_VALUE"""),"TRSF E-BANKING DB")</f>
        <v>TRSF E-BANKING DB</v>
      </c>
      <c r="C108" s="2" t="str">
        <f>IFERROR(__xludf.DUMMYFUNCTION("""COMPUTED_VALUE"""),"1009/FTSCY/WS95011 69046000.00 Mon Sep 07 2026 14:00:00 GMT+0700 (Western Indonesia Time) ANUGERAH KARTIKA A")</f>
        <v>1009/FTSCY/WS95011 69046000.00 Mon Sep 07 2026 14:00:00 GMT+0700 (Western Indonesia Time) ANUGERAH KARTIKA A</v>
      </c>
      <c r="D108" s="2">
        <f>IFERROR(__xludf.DUMMYFUNCTION("""COMPUTED_VALUE"""),6.9046E7)</f>
        <v>69046000</v>
      </c>
      <c r="E108" s="2"/>
      <c r="F108" s="2" t="str">
        <f>IFERROR(__xludf.DUMMYFUNCTION("""COMPUTED_VALUE"""),"DB")</f>
        <v>DB</v>
      </c>
      <c r="G108" s="2">
        <f>IFERROR(__xludf.DUMMYFUNCTION("""COMPUTED_VALUE"""),3.911000865899999E8)</f>
        <v>391100086.6</v>
      </c>
      <c r="H108" s="2"/>
      <c r="I108" s="2"/>
    </row>
    <row r="109">
      <c r="A109" s="10">
        <f>IFERROR(__xludf.DUMMYFUNCTION("""COMPUTED_VALUE"""),46275.0)</f>
        <v>46275</v>
      </c>
      <c r="B109" s="2" t="str">
        <f>IFERROR(__xludf.DUMMYFUNCTION("""COMPUTED_VALUE"""),"TRSF E-BANKING DB")</f>
        <v>TRSF E-BANKING DB</v>
      </c>
      <c r="C109" s="2" t="str">
        <f>IFERROR(__xludf.DUMMYFUNCTION("""COMPUTED_VALUE"""),"1009/FTSCY/WS95011 61245670.00 Pelunasan BINTANG TAMA SANTO")</f>
        <v>1009/FTSCY/WS95011 61245670.00 Pelunasan BINTANG TAMA SANTO</v>
      </c>
      <c r="D109" s="2">
        <f>IFERROR(__xludf.DUMMYFUNCTION("""COMPUTED_VALUE"""),6.124567E7)</f>
        <v>61245670</v>
      </c>
      <c r="E109" s="2"/>
      <c r="F109" s="2" t="str">
        <f>IFERROR(__xludf.DUMMYFUNCTION("""COMPUTED_VALUE"""),"DB")</f>
        <v>DB</v>
      </c>
      <c r="G109" s="2">
        <f>IFERROR(__xludf.DUMMYFUNCTION("""COMPUTED_VALUE"""),3.298544165899999E8)</f>
        <v>329854416.6</v>
      </c>
      <c r="H109" s="2"/>
      <c r="I109" s="2"/>
    </row>
    <row r="110">
      <c r="A110" s="10">
        <f>IFERROR(__xludf.DUMMYFUNCTION("""COMPUTED_VALUE"""),46275.0)</f>
        <v>46275</v>
      </c>
      <c r="B110" s="2" t="str">
        <f>IFERROR(__xludf.DUMMYFUNCTION("""COMPUTED_VALUE"""),"TRSF E-BANKING DB")</f>
        <v>TRSF E-BANKING DB</v>
      </c>
      <c r="C110" s="2" t="str">
        <f>IFERROR(__xludf.DUMMYFUNCTION("""COMPUTED_VALUE"""),"1009/FTSCY/WS95011 135036000.00 Mon Sep 07 2026 14:00:00 GMT+0700 (Western Indonesia Time) BROILER MAKMUR TAN")</f>
        <v>1009/FTSCY/WS95011 135036000.00 Mon Sep 07 2026 14:00:00 GMT+0700 (Western Indonesia Time) BROILER MAKMUR TAN</v>
      </c>
      <c r="D110" s="2">
        <f>IFERROR(__xludf.DUMMYFUNCTION("""COMPUTED_VALUE"""),1.35036E8)</f>
        <v>135036000</v>
      </c>
      <c r="E110" s="2"/>
      <c r="F110" s="2" t="str">
        <f>IFERROR(__xludf.DUMMYFUNCTION("""COMPUTED_VALUE"""),"DB")</f>
        <v>DB</v>
      </c>
      <c r="G110" s="2">
        <f>IFERROR(__xludf.DUMMYFUNCTION("""COMPUTED_VALUE"""),1.948184165899999E8)</f>
        <v>194818416.6</v>
      </c>
      <c r="H110" s="2">
        <f>IFERROR(__xludf.DUMMYFUNCTION("""COMPUTED_VALUE"""),1.9481841659E8)</f>
        <v>194818416.6</v>
      </c>
      <c r="I110" s="2"/>
    </row>
    <row r="111">
      <c r="A111" s="10">
        <f>IFERROR(__xludf.DUMMYFUNCTION("""COMPUTED_VALUE"""),46275.0)</f>
        <v>46275</v>
      </c>
      <c r="B111" s="2" t="str">
        <f>IFERROR(__xludf.DUMMYFUNCTION("""COMPUTED_VALUE"""),"TRSF E-BANKING DB")</f>
        <v>TRSF E-BANKING DB</v>
      </c>
      <c r="C111" s="2" t="str">
        <f>IFERROR(__xludf.DUMMYFUNCTION("""COMPUTED_VALUE"""),"1009/FTSCY/WS95031 1300000.00 DWI HERMANSYAH")</f>
        <v>1009/FTSCY/WS95031 1300000.00 DWI HERMANSYAH</v>
      </c>
      <c r="D111" s="2">
        <f>IFERROR(__xludf.DUMMYFUNCTION("""COMPUTED_VALUE"""),1300000.0)</f>
        <v>1300000</v>
      </c>
      <c r="E111" s="2"/>
      <c r="F111" s="2" t="str">
        <f>IFERROR(__xludf.DUMMYFUNCTION("""COMPUTED_VALUE"""),"DB")</f>
        <v>DB</v>
      </c>
      <c r="G111" s="2">
        <f>IFERROR(__xludf.DUMMYFUNCTION("""COMPUTED_VALUE"""),1.935184165899999E8)</f>
        <v>193518416.6</v>
      </c>
      <c r="H111" s="2">
        <f>IFERROR(__xludf.DUMMYFUNCTION("""COMPUTED_VALUE"""),1.9351841659E8)</f>
        <v>193518416.6</v>
      </c>
      <c r="I111" s="2"/>
    </row>
    <row r="112">
      <c r="A112" s="10">
        <f>IFERROR(__xludf.DUMMYFUNCTION("""COMPUTED_VALUE"""),46275.0)</f>
        <v>46275</v>
      </c>
      <c r="B112" s="2" t="str">
        <f>IFERROR(__xludf.DUMMYFUNCTION("""COMPUTED_VALUE"""),"TRSF E-BANKING DB")</f>
        <v>TRSF E-BANKING DB</v>
      </c>
      <c r="C112" s="2" t="str">
        <f>IFERROR(__xludf.DUMMYFUNCTION("""COMPUTED_VALUE"""),"1009/FTSCY/WS95031 3300000.00 MUJIANTO")</f>
        <v>1009/FTSCY/WS95031 3300000.00 MUJIANTO</v>
      </c>
      <c r="D112" s="2">
        <f>IFERROR(__xludf.DUMMYFUNCTION("""COMPUTED_VALUE"""),3300000.0)</f>
        <v>3300000</v>
      </c>
      <c r="E112" s="2"/>
      <c r="F112" s="2" t="str">
        <f>IFERROR(__xludf.DUMMYFUNCTION("""COMPUTED_VALUE"""),"DB")</f>
        <v>DB</v>
      </c>
      <c r="G112" s="2">
        <f>IFERROR(__xludf.DUMMYFUNCTION("""COMPUTED_VALUE"""),2.402184165899999E8)</f>
        <v>240218416.6</v>
      </c>
      <c r="H112" s="2"/>
      <c r="I112" s="2"/>
    </row>
    <row r="113">
      <c r="A113" s="10">
        <f>IFERROR(__xludf.DUMMYFUNCTION("""COMPUTED_VALUE"""),46276.0)</f>
        <v>46276</v>
      </c>
      <c r="B113" s="2" t="str">
        <f>IFERROR(__xludf.DUMMYFUNCTION("""COMPUTED_VALUE"""),"TRSF E-BANKING DB")</f>
        <v>TRSF E-BANKING DB</v>
      </c>
      <c r="C113" s="2" t="str">
        <f>IFERROR(__xludf.DUMMYFUNCTION("""COMPUTED_VALUE"""),"1109/FTSCY/WS95271 59757500.00 Tue Sep 08 2026 14:00:00 GMT+0700 (Western Indonesia Time) GANESHA SATRIA NUS")</f>
        <v>1109/FTSCY/WS95271 59757500.00 Tue Sep 08 2026 14:00:00 GMT+0700 (Western Indonesia Time) GANESHA SATRIA NUS</v>
      </c>
      <c r="D113" s="2">
        <f>IFERROR(__xludf.DUMMYFUNCTION("""COMPUTED_VALUE"""),5.97575E7)</f>
        <v>59757500</v>
      </c>
      <c r="E113" s="2"/>
      <c r="F113" s="2" t="str">
        <f>IFERROR(__xludf.DUMMYFUNCTION("""COMPUTED_VALUE"""),"DB")</f>
        <v>DB</v>
      </c>
      <c r="G113" s="2">
        <f>IFERROR(__xludf.DUMMYFUNCTION("""COMPUTED_VALUE"""),1.3146083658999991E8)</f>
        <v>131460836.6</v>
      </c>
      <c r="H113" s="2"/>
      <c r="I113" s="2"/>
    </row>
    <row r="114">
      <c r="A114" s="10">
        <f>IFERROR(__xludf.DUMMYFUNCTION("""COMPUTED_VALUE"""),46276.0)</f>
        <v>46276</v>
      </c>
      <c r="B114" s="2" t="str">
        <f>IFERROR(__xludf.DUMMYFUNCTION("""COMPUTED_VALUE"""),"TRSF E-BANKING DB")</f>
        <v>TRSF E-BANKING DB</v>
      </c>
      <c r="C114" s="2" t="str">
        <f>IFERROR(__xludf.DUMMYFUNCTION("""COMPUTED_VALUE"""),"1109/FTSCY/WS95271 67716600.00 Tue Sep 08 2026 14:00:00 GMT+0700 (Western Indonesia Time) ANDALAN YASA MITRA")</f>
        <v>1109/FTSCY/WS95271 67716600.00 Tue Sep 08 2026 14:00:00 GMT+0700 (Western Indonesia Time) ANDALAN YASA MITRA</v>
      </c>
      <c r="D114" s="2">
        <f>IFERROR(__xludf.DUMMYFUNCTION("""COMPUTED_VALUE"""),6.77166E7)</f>
        <v>67716600</v>
      </c>
      <c r="E114" s="2"/>
      <c r="F114" s="2" t="str">
        <f>IFERROR(__xludf.DUMMYFUNCTION("""COMPUTED_VALUE"""),"DB")</f>
        <v>DB</v>
      </c>
      <c r="G114" s="2">
        <f>IFERROR(__xludf.DUMMYFUNCTION("""COMPUTED_VALUE"""),6.3744236589999914E7)</f>
        <v>63744236.59</v>
      </c>
      <c r="H114" s="2"/>
      <c r="I114" s="2"/>
    </row>
    <row r="115">
      <c r="A115" s="10">
        <f>IFERROR(__xludf.DUMMYFUNCTION("""COMPUTED_VALUE"""),46276.0)</f>
        <v>46276</v>
      </c>
      <c r="B115" s="2" t="str">
        <f>IFERROR(__xludf.DUMMYFUNCTION("""COMPUTED_VALUE"""),"TRSF E-BANKING DB")</f>
        <v>TRSF E-BANKING DB</v>
      </c>
      <c r="C115" s="2" t="str">
        <f>IFERROR(__xludf.DUMMYFUNCTION("""COMPUTED_VALUE"""),"1109/FTSCY/WS95031 300000.00 SANDI FAJAR PRASET")</f>
        <v>1109/FTSCY/WS95031 300000.00 SANDI FAJAR PRASET</v>
      </c>
      <c r="D115" s="2">
        <f>IFERROR(__xludf.DUMMYFUNCTION("""COMPUTED_VALUE"""),300000.0)</f>
        <v>300000</v>
      </c>
      <c r="E115" s="2"/>
      <c r="F115" s="2" t="str">
        <f>IFERROR(__xludf.DUMMYFUNCTION("""COMPUTED_VALUE"""),"DB")</f>
        <v>DB</v>
      </c>
      <c r="G115" s="2">
        <f>IFERROR(__xludf.DUMMYFUNCTION("""COMPUTED_VALUE"""),2.372921035899999E8)</f>
        <v>237292103.6</v>
      </c>
      <c r="H115" s="2"/>
      <c r="I115" s="2"/>
    </row>
    <row r="116">
      <c r="A116" s="10">
        <f>IFERROR(__xludf.DUMMYFUNCTION("""COMPUTED_VALUE"""),46276.0)</f>
        <v>46276</v>
      </c>
      <c r="B116" s="2" t="str">
        <f>IFERROR(__xludf.DUMMYFUNCTION("""COMPUTED_VALUE"""),"TRSF E-BANKING DB")</f>
        <v>TRSF E-BANKING DB</v>
      </c>
      <c r="C116" s="2" t="str">
        <f>IFERROR(__xludf.DUMMYFUNCTION("""COMPUTED_VALUE"""),"1109/FTSCY/WS95011 119066400.00 Tue Sep 08 2026 14:00:00 GMT+0700 (Western Indonesia Time) DEWI MALATIKA")</f>
        <v>1109/FTSCY/WS95011 119066400.00 Tue Sep 08 2026 14:00:00 GMT+0700 (Western Indonesia Time) DEWI MALATIKA</v>
      </c>
      <c r="D116" s="2">
        <f>IFERROR(__xludf.DUMMYFUNCTION("""COMPUTED_VALUE"""),1.190664E8)</f>
        <v>119066400</v>
      </c>
      <c r="E116" s="2"/>
      <c r="F116" s="2" t="str">
        <f>IFERROR(__xludf.DUMMYFUNCTION("""COMPUTED_VALUE"""),"DB")</f>
        <v>DB</v>
      </c>
      <c r="G116" s="2">
        <f>IFERROR(__xludf.DUMMYFUNCTION("""COMPUTED_VALUE"""),4.6576303589999914E7)</f>
        <v>46576303.59</v>
      </c>
      <c r="H116" s="2"/>
      <c r="I116" s="2"/>
    </row>
    <row r="117">
      <c r="A117" s="10">
        <f>IFERROR(__xludf.DUMMYFUNCTION("""COMPUTED_VALUE"""),46276.0)</f>
        <v>46276</v>
      </c>
      <c r="B117" s="2" t="str">
        <f>IFERROR(__xludf.DUMMYFUNCTION("""COMPUTED_VALUE"""),"KARTU DEBIT")</f>
        <v>KARTU DEBIT</v>
      </c>
      <c r="C117" s="2" t="str">
        <f>IFERROR(__xludf.DUMMYFUNCTION("""COMPUTED_VALUE"""),"ALFAMRT Y207 BRTN 6019009510239343")</f>
        <v>ALFAMRT Y207 BRTN 6019009510239343</v>
      </c>
      <c r="D117" s="2">
        <f>IFERROR(__xludf.DUMMYFUNCTION("""COMPUTED_VALUE"""),518600.0)</f>
        <v>518600</v>
      </c>
      <c r="E117" s="2"/>
      <c r="F117" s="2"/>
      <c r="G117" s="2">
        <f>IFERROR(__xludf.DUMMYFUNCTION("""COMPUTED_VALUE"""),4.6047703589999914E7)</f>
        <v>46047703.59</v>
      </c>
      <c r="H117" s="2"/>
      <c r="I117" s="2"/>
    </row>
    <row r="118">
      <c r="A118" s="10">
        <f>IFERROR(__xludf.DUMMYFUNCTION("""COMPUTED_VALUE"""),46276.0)</f>
        <v>46276</v>
      </c>
      <c r="B118" s="2" t="str">
        <f>IFERROR(__xludf.DUMMYFUNCTION("""COMPUTED_VALUE"""),"TRSF E-BANKING DB")</f>
        <v>TRSF E-BANKING DB</v>
      </c>
      <c r="C118" s="2" t="str">
        <f>IFERROR(__xludf.DUMMYFUNCTION("""COMPUTED_VALUE"""),"1109/FTSCY/WS95011 75900000.00 Tue Sep 08 2026 14:00:00 GMT+0700 (Western Indonesia Time) INTEGRASI TEKNOLOG")</f>
        <v>1109/FTSCY/WS95011 75900000.00 Tue Sep 08 2026 14:00:00 GMT+0700 (Western Indonesia Time) INTEGRASI TEKNOLOG</v>
      </c>
      <c r="D118" s="2">
        <f>IFERROR(__xludf.DUMMYFUNCTION("""COMPUTED_VALUE"""),7.59E7)</f>
        <v>75900000</v>
      </c>
      <c r="E118" s="2"/>
      <c r="F118" s="2" t="str">
        <f>IFERROR(__xludf.DUMMYFUNCTION("""COMPUTED_VALUE"""),"DB")</f>
        <v>DB</v>
      </c>
      <c r="G118" s="2">
        <f>IFERROR(__xludf.DUMMYFUNCTION("""COMPUTED_VALUE"""),1.2402610358999991E8)</f>
        <v>124026103.6</v>
      </c>
      <c r="H118" s="2"/>
      <c r="I118" s="2"/>
    </row>
    <row r="119">
      <c r="A119" s="10">
        <f>IFERROR(__xludf.DUMMYFUNCTION("""COMPUTED_VALUE"""),46276.0)</f>
        <v>46276</v>
      </c>
      <c r="B119" s="2" t="str">
        <f>IFERROR(__xludf.DUMMYFUNCTION("""COMPUTED_VALUE"""),"TRSF E-BANKING DB")</f>
        <v>TRSF E-BANKING DB</v>
      </c>
      <c r="C119" s="2" t="str">
        <f>IFERROR(__xludf.DUMMYFUNCTION("""COMPUTED_VALUE"""),"1109/FTSCY/WS95011 192114000.00 09_09 BINTANG TAMA SANTO")</f>
        <v>1109/FTSCY/WS95011 192114000.00 09_09 BINTANG TAMA SANTO</v>
      </c>
      <c r="D119" s="2">
        <f>IFERROR(__xludf.DUMMYFUNCTION("""COMPUTED_VALUE"""),1.92114E8)</f>
        <v>192114000</v>
      </c>
      <c r="E119" s="2"/>
      <c r="F119" s="2" t="str">
        <f>IFERROR(__xludf.DUMMYFUNCTION("""COMPUTED_VALUE"""),"DB")</f>
        <v>DB</v>
      </c>
      <c r="G119" s="2">
        <f>IFERROR(__xludf.DUMMYFUNCTION("""COMPUTED_VALUE"""),1.960901635899999E8)</f>
        <v>196090163.6</v>
      </c>
      <c r="H119" s="2"/>
      <c r="I119" s="2"/>
    </row>
    <row r="120">
      <c r="A120" s="10">
        <f>IFERROR(__xludf.DUMMYFUNCTION("""COMPUTED_VALUE"""),46276.0)</f>
        <v>46276</v>
      </c>
      <c r="B120" s="2" t="str">
        <f>IFERROR(__xludf.DUMMYFUNCTION("""COMPUTED_VALUE"""),"TRSF E-BANKING DB")</f>
        <v>TRSF E-BANKING DB</v>
      </c>
      <c r="C120" s="2" t="str">
        <f>IFERROR(__xludf.DUMMYFUNCTION("""COMPUTED_VALUE"""),"1109/FTSCY/WS95011 112919490.00 Tue Sep 08 2026 14:00:00 GMT+0700 (Western Indonesia Time) SUPER UNGGAS JAYA")</f>
        <v>1109/FTSCY/WS95011 112919490.00 Tue Sep 08 2026 14:00:00 GMT+0700 (Western Indonesia Time) SUPER UNGGAS JAYA</v>
      </c>
      <c r="D120" s="2">
        <f>IFERROR(__xludf.DUMMYFUNCTION("""COMPUTED_VALUE"""),1.1291949E8)</f>
        <v>112919490</v>
      </c>
      <c r="E120" s="2"/>
      <c r="F120" s="2" t="str">
        <f>IFERROR(__xludf.DUMMYFUNCTION("""COMPUTED_VALUE"""),"DB")</f>
        <v>DB</v>
      </c>
      <c r="G120" s="2">
        <f>IFERROR(__xludf.DUMMYFUNCTION("""COMPUTED_VALUE"""),8.317067358999991E7)</f>
        <v>83170673.59</v>
      </c>
      <c r="H120" s="2"/>
      <c r="I120" s="2"/>
    </row>
    <row r="121">
      <c r="A121" s="10">
        <f>IFERROR(__xludf.DUMMYFUNCTION("""COMPUTED_VALUE"""),46277.0)</f>
        <v>46277</v>
      </c>
      <c r="B121" s="2" t="str">
        <f>IFERROR(__xludf.DUMMYFUNCTION("""COMPUTED_VALUE"""),"TRSF E-BANKING DB")</f>
        <v>TRSF E-BANKING DB</v>
      </c>
      <c r="C121" s="2" t="str">
        <f>IFERROR(__xludf.DUMMYFUNCTION("""COMPUTED_VALUE"""),"1209/FTSCY/WS95271 68206500.00 Tue Sep 08 2026 14:00:00 GMT+0700 (Western Indonesia Time) ANUGERAH KARTIKA A")</f>
        <v>1209/FTSCY/WS95271 68206500.00 Tue Sep 08 2026 14:00:00 GMT+0700 (Western Indonesia Time) ANUGERAH KARTIKA A</v>
      </c>
      <c r="D121" s="2">
        <f>IFERROR(__xludf.DUMMYFUNCTION("""COMPUTED_VALUE"""),6.82065E7)</f>
        <v>68206500</v>
      </c>
      <c r="E121" s="2"/>
      <c r="F121" s="2" t="str">
        <f>IFERROR(__xludf.DUMMYFUNCTION("""COMPUTED_VALUE"""),"DB")</f>
        <v>DB</v>
      </c>
      <c r="G121" s="2">
        <f>IFERROR(__xludf.DUMMYFUNCTION("""COMPUTED_VALUE"""),2.883829535899999E8)</f>
        <v>288382953.6</v>
      </c>
      <c r="H121" s="2"/>
      <c r="I121" s="2"/>
    </row>
    <row r="122">
      <c r="A122" s="10">
        <f>IFERROR(__xludf.DUMMYFUNCTION("""COMPUTED_VALUE"""),46277.0)</f>
        <v>46277</v>
      </c>
      <c r="B122" s="2" t="str">
        <f>IFERROR(__xludf.DUMMYFUNCTION("""COMPUTED_VALUE"""),"TRSF E-BANKING DB")</f>
        <v>TRSF E-BANKING DB</v>
      </c>
      <c r="C122" s="2" t="str">
        <f>IFERROR(__xludf.DUMMYFUNCTION("""COMPUTED_VALUE"""),"1209/FTSCY/WS95271 42889000.00 pelunasan SUPER UNGGAS JAYA")</f>
        <v>1209/FTSCY/WS95271 42889000.00 pelunasan SUPER UNGGAS JAYA</v>
      </c>
      <c r="D122" s="2">
        <f>IFERROR(__xludf.DUMMYFUNCTION("""COMPUTED_VALUE"""),4.2889E7)</f>
        <v>42889000</v>
      </c>
      <c r="E122" s="2"/>
      <c r="F122" s="2" t="str">
        <f>IFERROR(__xludf.DUMMYFUNCTION("""COMPUTED_VALUE"""),"DB")</f>
        <v>DB</v>
      </c>
      <c r="G122" s="2">
        <f>IFERROR(__xludf.DUMMYFUNCTION("""COMPUTED_VALUE"""),2.454939535899999E8)</f>
        <v>245493953.6</v>
      </c>
      <c r="H122" s="2"/>
      <c r="I122" s="2"/>
    </row>
    <row r="123">
      <c r="A123" s="10">
        <f>IFERROR(__xludf.DUMMYFUNCTION("""COMPUTED_VALUE"""),46277.0)</f>
        <v>46277</v>
      </c>
      <c r="B123" s="2" t="str">
        <f>IFERROR(__xludf.DUMMYFUNCTION("""COMPUTED_VALUE"""),"TRSF E-BANKING DB")</f>
        <v>TRSF E-BANKING DB</v>
      </c>
      <c r="C123" s="2" t="str">
        <f>IFERROR(__xludf.DUMMYFUNCTION("""COMPUTED_VALUE"""),"1209/FTSCY/WS95271 58071500.00 Tue Sep 08 2026 14:00:00 GMT+0700 (Western Indonesia Time) ANUGERAH KARTIKA A")</f>
        <v>1209/FTSCY/WS95271 58071500.00 Tue Sep 08 2026 14:00:00 GMT+0700 (Western Indonesia Time) ANUGERAH KARTIKA A</v>
      </c>
      <c r="D123" s="2">
        <f>IFERROR(__xludf.DUMMYFUNCTION("""COMPUTED_VALUE"""),5.80715E7)</f>
        <v>58071500</v>
      </c>
      <c r="E123" s="2"/>
      <c r="F123" s="2" t="str">
        <f>IFERROR(__xludf.DUMMYFUNCTION("""COMPUTED_VALUE"""),"DB")</f>
        <v>DB</v>
      </c>
      <c r="G123" s="2">
        <f>IFERROR(__xludf.DUMMYFUNCTION("""COMPUTED_VALUE"""),1.874224535899999E8)</f>
        <v>187422453.6</v>
      </c>
      <c r="H123" s="2"/>
      <c r="I123" s="2"/>
    </row>
    <row r="124">
      <c r="A124" s="10">
        <f>IFERROR(__xludf.DUMMYFUNCTION("""COMPUTED_VALUE"""),46277.0)</f>
        <v>46277</v>
      </c>
      <c r="B124" s="2" t="str">
        <f>IFERROR(__xludf.DUMMYFUNCTION("""COMPUTED_VALUE"""),"TRSF E-BANKING DB")</f>
        <v>TRSF E-BANKING DB</v>
      </c>
      <c r="C124" s="2" t="str">
        <f>IFERROR(__xludf.DUMMYFUNCTION("""COMPUTED_VALUE"""),"1209/FTSCY/WS95031 53847150.00 Tue Sep 08 2026 14:00:00 GMT+0700 (Western Indonesia Time) ANDALAN YASA MITRA")</f>
        <v>1209/FTSCY/WS95031 53847150.00 Tue Sep 08 2026 14:00:00 GMT+0700 (Western Indonesia Time) ANDALAN YASA MITRA</v>
      </c>
      <c r="D124" s="2">
        <f>IFERROR(__xludf.DUMMYFUNCTION("""COMPUTED_VALUE"""),5.384715E7)</f>
        <v>53847150</v>
      </c>
      <c r="E124" s="2"/>
      <c r="F124" s="2" t="str">
        <f>IFERROR(__xludf.DUMMYFUNCTION("""COMPUTED_VALUE"""),"DB")</f>
        <v>DB</v>
      </c>
      <c r="G124" s="2">
        <f>IFERROR(__xludf.DUMMYFUNCTION("""COMPUTED_VALUE"""),1.3357530358999991E8)</f>
        <v>133575303.6</v>
      </c>
      <c r="H124" s="2"/>
      <c r="I124" s="2"/>
    </row>
    <row r="125">
      <c r="A125" s="10">
        <f>IFERROR(__xludf.DUMMYFUNCTION("""COMPUTED_VALUE"""),46277.0)</f>
        <v>46277</v>
      </c>
      <c r="B125" s="2" t="str">
        <f>IFERROR(__xludf.DUMMYFUNCTION("""COMPUTED_VALUE"""),"TRSF E-BANKING DB")</f>
        <v>TRSF E-BANKING DB</v>
      </c>
      <c r="C125" s="2" t="str">
        <f>IFERROR(__xludf.DUMMYFUNCTION("""COMPUTED_VALUE"""),"1209/FTSCY/WS95271 12500000.00 pelunasan TABASSAM AZ ZUFAR")</f>
        <v>1209/FTSCY/WS95271 12500000.00 pelunasan TABASSAM AZ ZUFAR</v>
      </c>
      <c r="D125" s="2">
        <f>IFERROR(__xludf.DUMMYFUNCTION("""COMPUTED_VALUE"""),1.25E7)</f>
        <v>12500000</v>
      </c>
      <c r="E125" s="2"/>
      <c r="F125" s="2" t="str">
        <f>IFERROR(__xludf.DUMMYFUNCTION("""COMPUTED_VALUE"""),"DB")</f>
        <v>DB</v>
      </c>
      <c r="G125" s="2">
        <f>IFERROR(__xludf.DUMMYFUNCTION("""COMPUTED_VALUE"""),1.0107530358999991E8)</f>
        <v>101075303.6</v>
      </c>
      <c r="H125" s="2"/>
      <c r="I125" s="2"/>
    </row>
    <row r="126">
      <c r="A126" s="10">
        <f>IFERROR(__xludf.DUMMYFUNCTION("""COMPUTED_VALUE"""),46277.0)</f>
        <v>46277</v>
      </c>
      <c r="B126" s="2" t="str">
        <f>IFERROR(__xludf.DUMMYFUNCTION("""COMPUTED_VALUE"""),"TRSF E-BANKING DB")</f>
        <v>TRSF E-BANKING DB</v>
      </c>
      <c r="C126" s="2" t="str">
        <f>IFERROR(__xludf.DUMMYFUNCTION("""COMPUTED_VALUE"""),"1209/FTSCY/WS95011 33300000.00 Wed Sep 09 2026 14:00:00 GMT+0700 (Western Indonesia Time) ANDALAN YASA MITRA")</f>
        <v>1209/FTSCY/WS95011 33300000.00 Wed Sep 09 2026 14:00:00 GMT+0700 (Western Indonesia Time) ANDALAN YASA MITRA</v>
      </c>
      <c r="D126" s="2">
        <f>IFERROR(__xludf.DUMMYFUNCTION("""COMPUTED_VALUE"""),3.33E7)</f>
        <v>33300000</v>
      </c>
      <c r="E126" s="2"/>
      <c r="F126" s="2" t="str">
        <f>IFERROR(__xludf.DUMMYFUNCTION("""COMPUTED_VALUE"""),"DB")</f>
        <v>DB</v>
      </c>
      <c r="G126" s="2">
        <f>IFERROR(__xludf.DUMMYFUNCTION("""COMPUTED_VALUE"""),6.777530358999991E7)</f>
        <v>67775303.59</v>
      </c>
      <c r="H126" s="2"/>
      <c r="I126" s="2"/>
    </row>
    <row r="127">
      <c r="A127" s="10">
        <f>IFERROR(__xludf.DUMMYFUNCTION("""COMPUTED_VALUE"""),46277.0)</f>
        <v>46277</v>
      </c>
      <c r="B127" s="2" t="str">
        <f>IFERROR(__xludf.DUMMYFUNCTION("""COMPUTED_VALUE"""),"TRSF E-BANKING DB")</f>
        <v>TRSF E-BANKING DB</v>
      </c>
      <c r="C127" s="2" t="str">
        <f>IFERROR(__xludf.DUMMYFUNCTION("""COMPUTED_VALUE"""),"1209/FTFVA/WS95031 67847/UNGGAS MANDI ponorogo - 200043")</f>
        <v>1209/FTFVA/WS95031 67847/UNGGAS MANDI ponorogo - 200043</v>
      </c>
      <c r="D127" s="2">
        <f>IFERROR(__xludf.DUMMYFUNCTION("""COMPUTED_VALUE"""),6.31395E7)</f>
        <v>63139500</v>
      </c>
      <c r="E127" s="2"/>
      <c r="F127" s="2" t="str">
        <f>IFERROR(__xludf.DUMMYFUNCTION("""COMPUTED_VALUE"""),"DB")</f>
        <v>DB</v>
      </c>
      <c r="G127" s="2">
        <f>IFERROR(__xludf.DUMMYFUNCTION("""COMPUTED_VALUE"""),4635803.589999914)</f>
        <v>4635803.59</v>
      </c>
      <c r="H127" s="2">
        <f>IFERROR(__xludf.DUMMYFUNCTION("""COMPUTED_VALUE"""),4635803.59)</f>
        <v>4635803.59</v>
      </c>
      <c r="I127" s="2"/>
    </row>
    <row r="128">
      <c r="A128" s="10">
        <f>IFERROR(__xludf.DUMMYFUNCTION("""COMPUTED_VALUE"""),46277.0)</f>
        <v>46277</v>
      </c>
      <c r="B128" s="2" t="str">
        <f>IFERROR(__xludf.DUMMYFUNCTION("""COMPUTED_VALUE"""),"TRSF E-BANKING DB")</f>
        <v>TRSF E-BANKING DB</v>
      </c>
      <c r="C128" s="2" t="str">
        <f>IFERROR(__xludf.DUMMYFUNCTION("""COMPUTED_VALUE"""),"1209/FTSCY/WS95011 134022000.00 Thu Sep 10 2026 14:00:00 GMT+0700 (Western Indonesia Time) TUMBUH OPTIMAL PRI")</f>
        <v>1209/FTSCY/WS95011 134022000.00 Thu Sep 10 2026 14:00:00 GMT+0700 (Western Indonesia Time) TUMBUH OPTIMAL PRI</v>
      </c>
      <c r="D128" s="2">
        <f>IFERROR(__xludf.DUMMYFUNCTION("""COMPUTED_VALUE"""),1.34022E8)</f>
        <v>134022000</v>
      </c>
      <c r="E128" s="2"/>
      <c r="F128" s="2" t="str">
        <f>IFERROR(__xludf.DUMMYFUNCTION("""COMPUTED_VALUE"""),"DB")</f>
        <v>DB</v>
      </c>
      <c r="G128" s="2">
        <f>IFERROR(__xludf.DUMMYFUNCTION("""COMPUTED_VALUE"""),3.431297135899999E8)</f>
        <v>343129713.6</v>
      </c>
      <c r="H128" s="2"/>
      <c r="I128" s="2"/>
    </row>
    <row r="129">
      <c r="A129" s="10">
        <f>IFERROR(__xludf.DUMMYFUNCTION("""COMPUTED_VALUE"""),46277.0)</f>
        <v>46277</v>
      </c>
      <c r="B129" s="2" t="str">
        <f>IFERROR(__xludf.DUMMYFUNCTION("""COMPUTED_VALUE"""),"TRSF E-BANKING DB")</f>
        <v>TRSF E-BANKING DB</v>
      </c>
      <c r="C129" s="2" t="str">
        <f>IFERROR(__xludf.DUMMYFUNCTION("""COMPUTED_VALUE"""),"1209/FTSCY/WS95011 63645750.00 Sat Sep 12 2026 14:00:00 GMT+0700 (Western Indonesia Time) BRANTAS ABADI SENT")</f>
        <v>1209/FTSCY/WS95011 63645750.00 Sat Sep 12 2026 14:00:00 GMT+0700 (Western Indonesia Time) BRANTAS ABADI SENT</v>
      </c>
      <c r="D129" s="2">
        <f>IFERROR(__xludf.DUMMYFUNCTION("""COMPUTED_VALUE"""),6.364575E7)</f>
        <v>63645750</v>
      </c>
      <c r="E129" s="2"/>
      <c r="F129" s="2" t="str">
        <f>IFERROR(__xludf.DUMMYFUNCTION("""COMPUTED_VALUE"""),"DB")</f>
        <v>DB</v>
      </c>
      <c r="G129" s="2">
        <f>IFERROR(__xludf.DUMMYFUNCTION("""COMPUTED_VALUE"""),2.794839635899999E8)</f>
        <v>279483963.6</v>
      </c>
      <c r="H129" s="2"/>
      <c r="I129" s="2"/>
    </row>
    <row r="130">
      <c r="A130" s="10">
        <f>IFERROR(__xludf.DUMMYFUNCTION("""COMPUTED_VALUE"""),46277.0)</f>
        <v>46277</v>
      </c>
      <c r="B130" s="2" t="str">
        <f>IFERROR(__xludf.DUMMYFUNCTION("""COMPUTED_VALUE"""),"TRSF E-BANKING DB")</f>
        <v>TRSF E-BANKING DB</v>
      </c>
      <c r="C130" s="2" t="str">
        <f>IFERROR(__xludf.DUMMYFUNCTION("""COMPUTED_VALUE"""),"1209/FTSCY/WS95011 126093750.00 Fri Sep 11 2026 14:00:00 GMT+0700 (Western Indonesia Time) ANUGERAH KARTIKA A")</f>
        <v>1209/FTSCY/WS95011 126093750.00 Fri Sep 11 2026 14:00:00 GMT+0700 (Western Indonesia Time) ANUGERAH KARTIKA A</v>
      </c>
      <c r="D130" s="2">
        <f>IFERROR(__xludf.DUMMYFUNCTION("""COMPUTED_VALUE"""),1.2609375E8)</f>
        <v>126093750</v>
      </c>
      <c r="E130" s="2"/>
      <c r="F130" s="2" t="str">
        <f>IFERROR(__xludf.DUMMYFUNCTION("""COMPUTED_VALUE"""),"DB")</f>
        <v>DB</v>
      </c>
      <c r="G130" s="2">
        <f>IFERROR(__xludf.DUMMYFUNCTION("""COMPUTED_VALUE"""),1.533902135899999E8)</f>
        <v>153390213.6</v>
      </c>
      <c r="H130" s="2"/>
      <c r="I130" s="2"/>
    </row>
    <row r="131">
      <c r="A131" s="10">
        <f>IFERROR(__xludf.DUMMYFUNCTION("""COMPUTED_VALUE"""),46277.0)</f>
        <v>46277</v>
      </c>
      <c r="B131" s="2" t="str">
        <f>IFERROR(__xludf.DUMMYFUNCTION("""COMPUTED_VALUE"""),"TRSF E-BANKING DB")</f>
        <v>TRSF E-BANKING DB</v>
      </c>
      <c r="C131" s="2" t="str">
        <f>IFERROR(__xludf.DUMMYFUNCTION("""COMPUTED_VALUE"""),"1209/FTSCY/WS95011 134718920.00 Thu Sep 10 2026 14:00:00 GMT+0700 (Western Indonesia Time) TABASSAM JAYA FARM")</f>
        <v>1209/FTSCY/WS95011 134718920.00 Thu Sep 10 2026 14:00:00 GMT+0700 (Western Indonesia Time) TABASSAM JAYA FARM</v>
      </c>
      <c r="D131" s="2">
        <f>IFERROR(__xludf.DUMMYFUNCTION("""COMPUTED_VALUE"""),1.3471892E8)</f>
        <v>134718920</v>
      </c>
      <c r="E131" s="2"/>
      <c r="F131" s="2" t="str">
        <f>IFERROR(__xludf.DUMMYFUNCTION("""COMPUTED_VALUE"""),"DB")</f>
        <v>DB</v>
      </c>
      <c r="G131" s="2">
        <f>IFERROR(__xludf.DUMMYFUNCTION("""COMPUTED_VALUE"""),1.8671293589999914E7)</f>
        <v>18671293.59</v>
      </c>
      <c r="H131" s="2"/>
      <c r="I131" s="2"/>
    </row>
    <row r="132">
      <c r="A132" s="10">
        <f>IFERROR(__xludf.DUMMYFUNCTION("""COMPUTED_VALUE"""),46277.0)</f>
        <v>46277</v>
      </c>
      <c r="B132" s="2" t="str">
        <f>IFERROR(__xludf.DUMMYFUNCTION("""COMPUTED_VALUE"""),"KARTU DEBIT")</f>
        <v>KARTU DEBIT</v>
      </c>
      <c r="C132" s="2" t="str">
        <f>IFERROR(__xludf.DUMMYFUNCTION("""COMPUTED_VALUE"""),"PIZZA HUT,JEMBER 6019009510239343")</f>
        <v>PIZZA HUT,JEMBER 6019009510239343</v>
      </c>
      <c r="D132" s="2">
        <f>IFERROR(__xludf.DUMMYFUNCTION("""COMPUTED_VALUE"""),216999.0)</f>
        <v>216999</v>
      </c>
      <c r="E132" s="2"/>
      <c r="F132" s="2"/>
      <c r="G132" s="2">
        <f>IFERROR(__xludf.DUMMYFUNCTION("""COMPUTED_VALUE"""),1.8454294589999914E7)</f>
        <v>18454294.59</v>
      </c>
      <c r="H132" s="2">
        <f>IFERROR(__xludf.DUMMYFUNCTION("""COMPUTED_VALUE"""),1.845429459E7)</f>
        <v>18454294.59</v>
      </c>
      <c r="I132" s="2"/>
    </row>
    <row r="133">
      <c r="A133" s="10">
        <f>IFERROR(__xludf.DUMMYFUNCTION("""COMPUTED_VALUE"""),46278.0)</f>
        <v>46278</v>
      </c>
      <c r="B133" s="2" t="str">
        <f>IFERROR(__xludf.DUMMYFUNCTION("""COMPUTED_VALUE"""),"TRSF E-BANKING DB")</f>
        <v>TRSF E-BANKING DB</v>
      </c>
      <c r="C133" s="2" t="str">
        <f>IFERROR(__xludf.DUMMYFUNCTION("""COMPUTED_VALUE"""),"1309/FTSCY/WS95031 5315900.00 SUNARTO")</f>
        <v>1309/FTSCY/WS95031 5315900.00 SUNARTO</v>
      </c>
      <c r="D133" s="2">
        <f>IFERROR(__xludf.DUMMYFUNCTION("""COMPUTED_VALUE"""),5315900.0)</f>
        <v>5315900</v>
      </c>
      <c r="E133" s="2"/>
      <c r="F133" s="2" t="str">
        <f>IFERROR(__xludf.DUMMYFUNCTION("""COMPUTED_VALUE"""),"DB")</f>
        <v>DB</v>
      </c>
      <c r="G133" s="2">
        <f>IFERROR(__xludf.DUMMYFUNCTION("""COMPUTED_VALUE"""),1.3138394589999914E7)</f>
        <v>13138394.59</v>
      </c>
      <c r="H133" s="2"/>
      <c r="I133" s="2"/>
    </row>
    <row r="134">
      <c r="A134" s="10">
        <f>IFERROR(__xludf.DUMMYFUNCTION("""COMPUTED_VALUE"""),46278.0)</f>
        <v>46278</v>
      </c>
      <c r="B134" s="2" t="str">
        <f>IFERROR(__xludf.DUMMYFUNCTION("""COMPUTED_VALUE"""),"BI-FAST DB")</f>
        <v>BI-FAST DB</v>
      </c>
      <c r="C134" s="2" t="str">
        <f>IFERROR(__xludf.DUMMYFUNCTION("""COMPUTED_VALUE"""),"BIF TRANSFER KE 2 MISYATI MyBCA")</f>
        <v>BIF TRANSFER KE 2 MISYATI MyBCA</v>
      </c>
      <c r="D134" s="2">
        <f>IFERROR(__xludf.DUMMYFUNCTION("""COMPUTED_VALUE"""),4.961484E7)</f>
        <v>49614840</v>
      </c>
      <c r="E134" s="2"/>
      <c r="F134" s="2" t="str">
        <f>IFERROR(__xludf.DUMMYFUNCTION("""COMPUTED_VALUE"""),"DB")</f>
        <v>DB</v>
      </c>
      <c r="G134" s="2">
        <f>IFERROR(__xludf.DUMMYFUNCTION("""COMPUTED_VALUE"""),58554.58999991417)</f>
        <v>58554.59</v>
      </c>
      <c r="H134" s="2"/>
      <c r="I134" s="2"/>
    </row>
    <row r="135">
      <c r="A135" s="10">
        <f>IFERROR(__xludf.DUMMYFUNCTION("""COMPUTED_VALUE"""),46278.0)</f>
        <v>46278</v>
      </c>
      <c r="B135" s="2" t="str">
        <f>IFERROR(__xludf.DUMMYFUNCTION("""COMPUTED_VALUE"""),"BI-FAST DB")</f>
        <v>BI-FAST DB</v>
      </c>
      <c r="C135" s="2" t="str">
        <f>IFERROR(__xludf.DUMMYFUNCTION("""COMPUTED_VALUE"""),"BIF BIAYA TXN KE 2 MISYATI MyBCA")</f>
        <v>BIF BIAYA TXN KE 2 MISYATI MyBCA</v>
      </c>
      <c r="D135" s="2">
        <f>IFERROR(__xludf.DUMMYFUNCTION("""COMPUTED_VALUE"""),2500.0)</f>
        <v>2500</v>
      </c>
      <c r="E135" s="2"/>
      <c r="F135" s="2" t="str">
        <f>IFERROR(__xludf.DUMMYFUNCTION("""COMPUTED_VALUE"""),"DB")</f>
        <v>DB</v>
      </c>
      <c r="G135" s="2">
        <f>IFERROR(__xludf.DUMMYFUNCTION("""COMPUTED_VALUE"""),56054.58999991417)</f>
        <v>56054.59</v>
      </c>
      <c r="H135" s="2">
        <f>IFERROR(__xludf.DUMMYFUNCTION("""COMPUTED_VALUE"""),56054.59)</f>
        <v>56054.59</v>
      </c>
      <c r="I135" s="2"/>
    </row>
    <row r="136">
      <c r="A136" s="10">
        <f>IFERROR(__xludf.DUMMYFUNCTION("""COMPUTED_VALUE"""),46278.0)</f>
        <v>46278</v>
      </c>
      <c r="B136" s="2" t="str">
        <f>IFERROR(__xludf.DUMMYFUNCTION("""COMPUTED_VALUE"""),"TRSF E-BANKING DB")</f>
        <v>TRSF E-BANKING DB</v>
      </c>
      <c r="C136" s="2" t="str">
        <f>IFERROR(__xludf.DUMMYFUNCTION("""COMPUTED_VALUE"""),"1309/FTSCY/WS95031 66246400.00 Thu Sep 10 2026 14:00:00 GMT+0700 (Western Indonesia Time) ANDALAN YASA MITRA")</f>
        <v>1309/FTSCY/WS95031 66246400.00 Thu Sep 10 2026 14:00:00 GMT+0700 (Western Indonesia Time) ANDALAN YASA MITRA</v>
      </c>
      <c r="D136" s="2">
        <f>IFERROR(__xludf.DUMMYFUNCTION("""COMPUTED_VALUE"""),6.62464E7)</f>
        <v>66246400</v>
      </c>
      <c r="E136" s="2"/>
      <c r="F136" s="2" t="str">
        <f>IFERROR(__xludf.DUMMYFUNCTION("""COMPUTED_VALUE"""),"DB")</f>
        <v>DB</v>
      </c>
      <c r="G136" s="2">
        <f>IFERROR(__xludf.DUMMYFUNCTION("""COMPUTED_VALUE"""),3.3809654589999914E7)</f>
        <v>33809654.59</v>
      </c>
      <c r="H136" s="2"/>
      <c r="I136" s="2"/>
    </row>
    <row r="137">
      <c r="A137" s="10">
        <f>IFERROR(__xludf.DUMMYFUNCTION("""COMPUTED_VALUE"""),46278.0)</f>
        <v>46278</v>
      </c>
      <c r="B137" s="2" t="str">
        <f>IFERROR(__xludf.DUMMYFUNCTION("""COMPUTED_VALUE"""),"TRSF E-BANKING DB")</f>
        <v>TRSF E-BANKING DB</v>
      </c>
      <c r="C137" s="2" t="str">
        <f>IFERROR(__xludf.DUMMYFUNCTION("""COMPUTED_VALUE"""),"1309/FTSCY/WS95031 10472350.00 MUJIANTO")</f>
        <v>1309/FTSCY/WS95031 10472350.00 MUJIANTO</v>
      </c>
      <c r="D137" s="2">
        <f>IFERROR(__xludf.DUMMYFUNCTION("""COMPUTED_VALUE"""),1.047235E7)</f>
        <v>10472350</v>
      </c>
      <c r="E137" s="2"/>
      <c r="F137" s="2" t="str">
        <f>IFERROR(__xludf.DUMMYFUNCTION("""COMPUTED_VALUE"""),"DB")</f>
        <v>DB</v>
      </c>
      <c r="G137" s="2">
        <f>IFERROR(__xludf.DUMMYFUNCTION("""COMPUTED_VALUE"""),2.3337304589999914E7)</f>
        <v>23337304.59</v>
      </c>
      <c r="H137" s="2"/>
      <c r="I137" s="2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rawing r:id="rId1"/>
</worksheet>
</file>