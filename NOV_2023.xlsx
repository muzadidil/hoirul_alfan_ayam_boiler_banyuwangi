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_2023" sheetId="1" r:id="rId5"/>
    <sheet state="visible" name="EXSPEDISI" sheetId="2" r:id="rId6"/>
    <sheet state="visible" name="V_SALES" sheetId="3" r:id="rId7"/>
    <sheet state="visible" name="OPERASIONAL" sheetId="4" r:id="rId8"/>
    <sheet state="visible" name="NURUL_AINI" sheetId="5" r:id="rId9"/>
    <sheet state="visible" name="KOSONG" sheetId="6" r:id="rId10"/>
    <sheet state="visible" name="PRIBADI" sheetId="7" r:id="rId11"/>
    <sheet state="visible" name="PRODUKSI" sheetId="8" r:id="rId12"/>
  </sheets>
  <definedNames/>
  <calcPr/>
</workbook>
</file>

<file path=xl/sharedStrings.xml><?xml version="1.0" encoding="utf-8"?>
<sst xmlns="http://schemas.openxmlformats.org/spreadsheetml/2006/main" count="2459" uniqueCount="709">
  <si>
    <t>SALDO AWAL</t>
  </si>
  <si>
    <t>TRSF E-BANKING DB TANGGAL :31/10</t>
  </si>
  <si>
    <t>3110/FTSCY/WS95011 Fri Oct 30 2026 14:00:00 GMT+0700 (Western Indonesia Time) ANUGERAH KARTIKA A Fri Oct 30 2026 14:00:00 GMT+0700 (Western Indonesia Time) ANUGERAH KARTIKA A</t>
  </si>
  <si>
    <t>DB</t>
  </si>
  <si>
    <t>3110/FTSCY/WS95011 Fri Oct 30 2026 14:00:00 GMT+0700 (Western Indonesia Time) ANDALAN YASA MITRA Fri Oct 30 2026 14:00:00 GMT+0700 (Western Indonesia Time) ANDALAN YASA MITRA</t>
  </si>
  <si>
    <t>TRSF E-BANKING CR TANGGAL :31/10</t>
  </si>
  <si>
    <t>3110/FTSCY/WS95271 NURUL AINI NURUL AINI</t>
  </si>
  <si>
    <t>CR</t>
  </si>
  <si>
    <t>3110/FTSCY/WS95051 SIDO RAYA UTAMA CV SIDO RAYA UTAMA CV</t>
  </si>
  <si>
    <t>PRODUKSI</t>
  </si>
  <si>
    <t>TRSF E-BANKING DB</t>
  </si>
  <si>
    <t>0111/FTSCY/WS95271 112022750.00 Fri Oct 30 2026 14:00:00 GMT+0700 (Western Indonesia Time) SURYA INTI TERNAK 112022750.00 Fri Oct 30 2026 14:00:00 GMT+0700 (Western Indonesia Time) SURYA INTI TERNAK</t>
  </si>
  <si>
    <t>0111/FTSCY/WS95271 100004510.00 Fri Oct 30 2026 14:00:00 GMT+0700 (Western Indonesia Time) SUPER UNGGAS JAYA 100004510.00 Fri Oct 30 2026 14:00:00 GMT+0700 (Western Indonesia Time) SUPER UNGGAS JAYA</t>
  </si>
  <si>
    <t>BANK</t>
  </si>
  <si>
    <t>TRSF E-BANKING CR</t>
  </si>
  <si>
    <t>0111/FTSCY/WS95051 71782000.00 Byr lb tgl 31/10 MANDALA MAJU MAPAN 71782000.00 Byr lb tgl 31/10 MANDALA MAJU MAPAN</t>
  </si>
  <si>
    <t>0111/FTSCY/WS95051 60449400.00 BYR AH HAIRUL BIJI JAGUNG PERKAS 60449400.00 BYR AH HAIRUL BIJI JAGUNG PERKAS</t>
  </si>
  <si>
    <t>0111/FTSCY/WS95271 52471900.00 Thu Oct 29 2026 14:00:00 GMT+0700 (Western Indonesia Time) ANDALAN YASA MITRA 52471900.00 Thu Oct 29 2026 14:00:00 GMT+0700 (Western Indonesia Time) ANDALAN YASA MITRA</t>
  </si>
  <si>
    <t>0111/FTSCY/WS95031 757840.00 NURHAYATI 757840.00 NURHAYATI</t>
  </si>
  <si>
    <t>0111/FTFVA/WS95031 55569/PT PRIMA FAJ bwi - 40190 55569/PT PRIMA FAJ bwi - 40190</t>
  </si>
  <si>
    <t>0111/FTSCY/WS95051 56158600.00 AH FM P HAIRUL Sun Oct 18 2026 14:00:00 GMT+0700 (Western Indonesia Time) PHALOSARI UNGGUL J 56158600.00 AH FM P HAIRUL Sun Oct 18 2026 14:00:00 GMT+0700 (Western Indonesia Time) PHALOSARI UNGGUL J</t>
  </si>
  <si>
    <t>0111/FTSCY/WS95051 56621730.00 AH FM P HAIRUL Mon Oct 19 2026 14:00:00 GMT+0700 (Western Indonesia Time) PHALOSARI UNGGUL J 56621730.00 AH FM P HAIRUL Mon Oct 19 2026 14:00:00 GMT+0700 (Western Indonesia Time) PHALOSARI UNGGUL J</t>
  </si>
  <si>
    <t>0111/FTSCY/WS95051 105179900.00 AH P HAIRUL 18 OKT PHALOSARI UNGGUL J 105179900.00 AH P HAIRUL 18 OKT PHALOSARI UNGGUL J</t>
  </si>
  <si>
    <t>0111/FTSCY/WS95051 135750000.00 ah 7500x18100 GEMILANG INTI SUKS 135750000.00 ah 7500x18100 GEMILANG INTI SUKS</t>
  </si>
  <si>
    <t>0111/FTSCY/WS95031 32000000.00 WAHYUDI 32000000.00 WAHYUDI</t>
  </si>
  <si>
    <t>0111/FTSCY/WS95051 116496008.00 AYAM HAIRUL TGL 1/11/2023 SUCI RAHARJO PT 116496008.00 AYAM HAIRUL TGL 1/11/2023 SUCI RAHARJO PT</t>
  </si>
  <si>
    <t>0111/FTSCY/WS95051 195032900.00 SIDO RAYA UTAMA CV 195032900.00 SIDO RAYA UTAMA CV</t>
  </si>
  <si>
    <t>KARTU DEBIT</t>
  </si>
  <si>
    <t>GOLDEN MARKET-HO 6019009510239343 6019009510239343</t>
  </si>
  <si>
    <t>0111/FTSCY/WS95031 66395000.00 pelunasan SUGENG RIADI 66395000.00 pelunasan SUGENG RIADI</t>
  </si>
  <si>
    <t>0111/FTSCY/WS95011 167592750.00 Fri Oct 30 2026 14:00:00 GMT+0700 (Western Indonesia Time) BROILER MAKMUR TAN 167592750.00 Fri Oct 30 2026 14:00:00 GMT+0700 (Western Indonesia Time) BROILER MAKMUR TAN</t>
  </si>
  <si>
    <t>0111/FTSCY/WS95011 115431730.00 31/10 malang SURYA INTI TERNAK 115431730.00 31/10 malang SURYA INTI TERNAK</t>
  </si>
  <si>
    <t>0111/FTSCY/WS95011 103730800.00 Sat Oct 31 2026 14:00:00 GMT+0700 (Western Indonesia Time) BINTANG TAMA SANTO 103730800.00 Sat Oct 31 2026 14:00:00 GMT+0700 (Western Indonesia Time) BINTANG TAMA SANTO</t>
  </si>
  <si>
    <t>0111/FTSCY/WS95011 100217250.00 Sat Oct 31 2026 14:00:00 GMT+0700 (Western Indonesia Time) BINTANG TAMA SANTO 100217250.00 Sat Oct 31 2026 14:00:00 GMT+0700 (Western Indonesia Time) BINTANG TAMA SANTO</t>
  </si>
  <si>
    <t>0111/FTSCY/WS95011 13000000.00 Sat Oct 31 2026 14:00:00 GMT+0700 (Western Indonesia Time) LAJU SATWA WISESA 13000000.00 Sat Oct 31 2026 14:00:00 GMT+0700 (Western Indonesia Time) LAJU SATWA WISESA</t>
  </si>
  <si>
    <t>0111/FTSCY/WS95031 32600000.00 LAJU SATWA WISESA 32600000.00 LAJU SATWA WISESA</t>
  </si>
  <si>
    <t>0111/FTSCY/WS95271 21000000.00 pelunasan LAJU SATWA WISESA 21000000.00 pelunasan LAJU SATWA WISESA</t>
  </si>
  <si>
    <t>0211/FTSCY/WS95271 100000000.00 PRIMA JAYA BERSATU 100000000.00 PRIMA JAYA BERSATU</t>
  </si>
  <si>
    <t>0211/FTSCY/WS95031 850000.00 SUNARTO 850000.00 SUNARTO</t>
  </si>
  <si>
    <t>0211/FTSCY/WS95051 170625975.00 krmn 1/11 TERA MAKMURINDO CV 170625975.00 krmn 1/11 TERA MAKMURINDO CV</t>
  </si>
  <si>
    <t>0211/FTSCY/WS95271 29132000.00 pelunasan PRIMA JAYA BERSATU 29132000.00 pelunasan PRIMA JAYA BERSATU</t>
  </si>
  <si>
    <t>ALFAMRT Y073 SUDI 6019009510239343 6019009510239343</t>
  </si>
  <si>
    <t>PRIBADI</t>
  </si>
  <si>
    <t>0211/FTSCY/WS95031 61250000.00 Sun Nov 01 2026 14:00:00 GMT+0700 (Western Indonesia Time) LAWU ABADI NUSA PT 61250000.00 Sun Nov 01 2026 14:00:00 GMT+0700 (Western Indonesia Time) LAWU ABADI NUSA PT</t>
  </si>
  <si>
    <t>0211/FTSCY/WS95051 139584800.00 ah 3800x18100+ 4023x17600 GEMILANG INTI SUKS 139584800.00 ah 3800x18100+ 4023x17600 GEMILANG INTI SUKS</t>
  </si>
  <si>
    <t>0211/FTSCY/WS95051 38446200.00 AH P HAIRUL 26 OKT PHALOSARI UNGGUL J 38446200.00 AH P HAIRUL 26 OKT PHALOSARI UNGGUL J</t>
  </si>
  <si>
    <t>0211/FTSCY/WS95051 212052560.00 AH P HAIRUL 24/10 PHALOSARI UNGGUL J 212052560.00 AH P HAIRUL 24/10 PHALOSARI UNGGUL J</t>
  </si>
  <si>
    <t>0211/FTSCY/WS95051 348311520.00 SIDO RAYA UTAMA CV 348311520.00 SIDO RAYA UTAMA CV</t>
  </si>
  <si>
    <t>0211/FTSCY/WS95031 1000000.00 SUNARTO 1000000.00 SUNARTO</t>
  </si>
  <si>
    <t>0211/FTSCY/WS95031 3105260.00 DWI HERMANSYAH 3105260.00 DWI HERMANSYAH</t>
  </si>
  <si>
    <t>0211/FTSCY/WS95031 19285410.00 EKO SETIYAWAN 19285410.00 EKO SETIYAWAN</t>
  </si>
  <si>
    <t>0211/FTSCY/WS95271 58593500.00 Sat Oct 31 2026 14:00:00 GMT+0700 (Western Indonesia Time) ADNAN 58593500.00 Sat Oct 31 2026 14:00:00 GMT+0700 (Western Indonesia Time) ADNAN</t>
  </si>
  <si>
    <t>0211/FTSCY/WS95271 51747110.00 Sun Nov 01 2026 14:00:00 GMT+0700 (Western Indonesia Time) SURYA INTI TERNAK 51747110.00 Sun Nov 01 2026 14:00:00 GMT+0700 (Western Indonesia Time) SURYA INTI TERNAK</t>
  </si>
  <si>
    <t>0211/FTSCY/WS95011 65572500.00 Sat Oct 31 2026 14:00:00 GMT+0700 (Western Indonesia Time) PITIK DIGITAL INDO 65572500.00 Sat Oct 31 2026 14:00:00 GMT+0700 (Western Indonesia Time) PITIK DIGITAL INDO</t>
  </si>
  <si>
    <t>0211/FTSCY/WS95011 178401500.00 31/11 ANDALAN YASA MITRA 178401500.00 31/11 ANDALAN YASA MITRA</t>
  </si>
  <si>
    <t>0211/FTSCY/WS95011 163200000.00 Thu Oct 01 2026 14:00:00 GMT+0700 (Western Indonesia Time) TUMBUH OPTIMAL PRI 163200000.00 Thu Oct 01 2026 14:00:00 GMT+0700 (Western Indonesia Time) TUMBUH OPTIMAL PRI</t>
  </si>
  <si>
    <t>0211/FTSCY/WS95011 92500000.00 Sun Nov 01 2026 14:00:00 GMT+0700 (Western Indonesia Time) RUKUN MITRA BERSAM 92500000.00 Sun Nov 01 2026 14:00:00 GMT+0700 (Western Indonesia Time) RUKUN MITRA BERSAM</t>
  </si>
  <si>
    <t>0211/FTSCY/WS95271 14000000.00 pelunasan 31/11 ANDALAN YASA MITRA 14000000.00 pelunasan 31/11 ANDALAN YASA MITRA</t>
  </si>
  <si>
    <t>0211/FTSCY/WS95271 46500000.00 Sun Nov 01 2026 14:00:00 GMT+0700 (Western Indonesia Time) LAJU SATWA WISESA 46500000.00 Sun Nov 01 2026 14:00:00 GMT+0700 (Western Indonesia Time) LAJU SATWA WISESA</t>
  </si>
  <si>
    <t>0211/FTSCY/WS95031 9640000.00 pelunasan LAJU SATWA WISESA 9640000.00 pelunasan LAJU SATWA WISESA</t>
  </si>
  <si>
    <t>TRSF E-BANKING CR TANGGAL :02/11</t>
  </si>
  <si>
    <t>0211/FTSCY/WS95031 titip 65jt GATUT SETYO WIBOWO titip 65jt GATUT SETYO WIBOWO</t>
  </si>
  <si>
    <t>0311/FTSCY/WS95271 72000000.00 pelunasan RUKUN MITRA BERSAM 72000000.00 pelunasan RUKUN MITRA BERSAM</t>
  </si>
  <si>
    <t>0311/FTSCY/WS95271 50939520.00 Sun Nov 01 2026 14:00:00 GMT+0700 (Western Indonesia Time) TABASSAM JAYA FARM 50939520.00 Sun Nov 01 2026 14:00:00 GMT+0700 (Western Indonesia Time) TABASSAM JAYA FARM</t>
  </si>
  <si>
    <t>0311/FTSCY/WS95031 7186830.00 krg 1 jt FAJAR ANDREANZAH</t>
  </si>
  <si>
    <t>0311/FTSCY/WS95031 7331320.00 lunas HERMAWAN</t>
  </si>
  <si>
    <t>0311/FTSCY/WS95031 6820500.00 krg 10 jt MUJIANTO</t>
  </si>
  <si>
    <t>0311/FTSCY/WS95051 66439350.00 Byr lb tgl 2/11 MANDALA MAJU MAPAN</t>
  </si>
  <si>
    <t>0311/FTSCY/WS95031 6981000.00 WAHYUDI</t>
  </si>
  <si>
    <t>0311/FTSCY/WS95271 66526200.00 Sun Nov 01 2026 14:00:00 GMT+0700 (Western Indonesia Time) SUPER UNGGAS JAYA</t>
  </si>
  <si>
    <t>TARIKAN ATM 03/11</t>
  </si>
  <si>
    <t>0311/FTSCY/WS95051 421475100.00 SIDO RAYA UTAMA CV</t>
  </si>
  <si>
    <t>0311/FTSCY/WS95031 2140120.00 SUNARTO</t>
  </si>
  <si>
    <t>0311/FTSCY/WS95271 52191000.00 Sun Nov 01 2026 14:00:00 GMT+0700 (Western Indonesia Time) ANUGERAH KARTIKA A</t>
  </si>
  <si>
    <t>TRSF E-BANKING DB TANGGAL :03/11</t>
  </si>
  <si>
    <t>0311/FTSCY/WS95031 pelunasan ANUGERAH KARTIKA A</t>
  </si>
  <si>
    <t>0311/FTSCY/WS95011 Mon Nov 02 2026 15:00:00 GMT+0700 (Western Indonesia Time) LAJU SATWA WISESA</t>
  </si>
  <si>
    <t>0311/FTSCY/WS95011 Mon Nov 02 2026 15:00:00 GMT+0700 (Western Indonesia Time) BINTANG TAMA SANTO</t>
  </si>
  <si>
    <t>0311/FTSCY/WS95011 Mon Nov 02 2026 15:00:00 GMT+0700 (Western Indonesia Time) ANUGERAH KARTIKA A</t>
  </si>
  <si>
    <t>0311/FTSCY/WS95011 Mon Nov 02 2026 15:00:00 GMT+0700 (Western Indonesia Time) SUPER UNGGAS JAYA</t>
  </si>
  <si>
    <t>0311/FTSCY/WS95011 02/10 krg 52.1 jt BUDI SURYANTO</t>
  </si>
  <si>
    <t>TRSF E-BANKING CR TANGGAL :03/11</t>
  </si>
  <si>
    <t>0311/FTSCY/WS95031 lunas GATUT SETYO WIBOWO</t>
  </si>
  <si>
    <t>0411/FTSCY/WS95031 582390.00 NURHAYATI</t>
  </si>
  <si>
    <t>0411/FTSCY/WS95031 1214210.00 DWI HERMANSYAH</t>
  </si>
  <si>
    <t>0411/FTSCY/WS95031 1200000.00 HERMAWAN</t>
  </si>
  <si>
    <t>0411/FTSCY/WS95031 1705840.00 MUJIANTO</t>
  </si>
  <si>
    <t>0411/FTSCY/WS95031 4138260.00 FAJAR ANDREANZAH</t>
  </si>
  <si>
    <t>0411/FTSCY/WS95031 10173990.00 EKO SETIYAWAN</t>
  </si>
  <si>
    <t>0411/FTSCY/WS95051 137783000.00 Byr lb tgl 3/11 MANDALA MAJU MAPAN</t>
  </si>
  <si>
    <t>0411/FTSCY/WS95051 128427200.00 Tue Nov 03 2026 15:00:00 GMT+0700 (Western Indonesia Time) 7297/Clossing SUGENG MARIONO</t>
  </si>
  <si>
    <t>0411/FTSCY/WS95051 349000390.00 SIDO RAYA UTAMA CV</t>
  </si>
  <si>
    <t>TARIKAN ATM 04/11</t>
  </si>
  <si>
    <t>0411/FTSCY/WS95031 1800000.00 ANTON</t>
  </si>
  <si>
    <t>0511/FTFVA/WS95031 67847/UNGGAS MANDI Tue Nov 03 2026 15:00:00 GMT+0700 (Western Indonesia Time) - 200043</t>
  </si>
  <si>
    <t>0511/FTSCY/WS95011 119512250.00 Pelunasan 03/11 BROILER MAKMUR TAN</t>
  </si>
  <si>
    <t>0511/FTSCY/WS95011 60970390.00 Sat Oct 03 2026 14:00:00 GMT+0700 (Western Indonesia Time) BINTANG TAMA SANTO</t>
  </si>
  <si>
    <t>0511/FTSCY/WS95011 54165400.00 Tue Nov 03 2026 15:00:00 GMT+0700 (Western Indonesia Time) TABASSAM AL HATTAK</t>
  </si>
  <si>
    <t>0511/FTSCY/WS95011 53919400.00 Tue Nov 03 2026 15:00:00 GMT+0700 (Western Indonesia Time) LAJU SATWA WISESA</t>
  </si>
  <si>
    <t>0511/FTSCY/WS95011 211259500.00 03/11 krg 11 jt ADNAN</t>
  </si>
  <si>
    <t>0511/FTSCY/WS95271 17000000.00 pelunasan ADNAN</t>
  </si>
  <si>
    <t>0511/FTSCY/WS95271 55800000.00 Tue Nov 03 2026 15:00:00 GMT+0700 (Western Indonesia Time) TUMBUH OPTIMAL PRI</t>
  </si>
  <si>
    <t>0511/FTSCY/WS95031 1455350.00 SUNARTO</t>
  </si>
  <si>
    <t>0511/FTSCY/WS95031 1620050.00 DWI HERMANSYAH</t>
  </si>
  <si>
    <t>0511/FTSCY/WS95031 1200000.00 HERMAWAN</t>
  </si>
  <si>
    <t>0511/FTSCY/WS95031 18127665.00 krg 90 jt EKO SETIYAWAN</t>
  </si>
  <si>
    <t>0511/FTSCY/WS95031 3867040.00 MUJIANTO</t>
  </si>
  <si>
    <t>0511/FTSCY/WS95031 1736190.00 FAJAR ANDREANZAH</t>
  </si>
  <si>
    <t>0511/FTSCY/WS95031 600000.00 SUNARTO</t>
  </si>
  <si>
    <t>BLINK BLINK ACC-HO 6019009510239343</t>
  </si>
  <si>
    <t>TARIKAN ATM 05/11</t>
  </si>
  <si>
    <t>TRSF E-BANKING CR TANGGAL :05/11</t>
  </si>
  <si>
    <t>0511/FTSCY/WS95031 lunas GATUT SETYO WIBOWO</t>
  </si>
  <si>
    <t>BYR VIA E-BANKING</t>
  </si>
  <si>
    <t>06/11  WSID9503100 1220 TELKOMSEL 82318368518 MUHAMMAD HAIRUL MA</t>
  </si>
  <si>
    <t>0611/FTSCY/WS95271 56420000.00 Sat Oct 03 2026 14:00:00 GMT+0700 (Western Indonesia Time) ANDALAN YASA MITRA</t>
  </si>
  <si>
    <t>06/11  WSID9503100 0865 PLN PREPAID 50000745898 MUHAMMAD HAIRUL MA</t>
  </si>
  <si>
    <t>0611/FTSCY/WS95051 166120050.00 AH P HAIRUL 20 OKT PHALOSARI UNGGUL J</t>
  </si>
  <si>
    <t>0611/FTSCY/WS95051 111027510.00 AH P HAIRUL 23 OKT PHALOSARI UNGGUL J</t>
  </si>
  <si>
    <t>0611/FTSCY/WS95051 255280631.00 AYAM HAIRUL TGL 4/11/2023 SUCI RAHARJO PT</t>
  </si>
  <si>
    <t>0611/FTSCY/WS95051 61332185.00 AYAM HAIRUL TGL 6/11/2023 SUCI RAHARJO PT</t>
  </si>
  <si>
    <t>0611/FTSCY/WS95271 173261560.00 Tue Nov 03 2026 15:00:00 GMT+0700 (Western Indonesia Time) PITIK DIGITAL INDO</t>
  </si>
  <si>
    <t>0611/FTSCY/WS95271 52100000.00 pelunasan BUDI SURYANTO</t>
  </si>
  <si>
    <t>0611/FTSCY/WS95011 57920000.00 WAHYU MEGA ARSITA</t>
  </si>
  <si>
    <t>0611/FTSCY/WS95031 51523200.00 211 TABASSAM AL HATTAK</t>
  </si>
  <si>
    <t>0611/FTSCY/WS95051 100000000.00 krmn 6/11 ERICKO HERMAWAN</t>
  </si>
  <si>
    <t>TARIKAN ATM 06/11</t>
  </si>
  <si>
    <t>0611/FTSCY/WS95011 163319150.00 Thu Nov 05 2026 15:00:00 GMT+0700 (Western Indonesia Time) SUGENG RIADI</t>
  </si>
  <si>
    <t>0611/FTSCY/WS95011 61950000.00 Tue Nov 03 2026 15:00:00 GMT+0700 (Western Indonesia Time) RUKUN MITRA BERSAM</t>
  </si>
  <si>
    <t>0611/FTSCY/WS95011 50110060.00 Tue Nov 03 2026 15:00:00 GMT+0700 (Western Indonesia Time) PITIK DIGITAL INDO</t>
  </si>
  <si>
    <t>0611/FTSCY/WS95011 64800000.00 Tue Nov 03 2026 15:00:00 GMT+0700 (Western Indonesia Time) ANDALAN YASA MITRA</t>
  </si>
  <si>
    <t>0611/FTSCY/WS95011 139117440.00 Tue Nov 03 2026 15:00:00 GMT+0700 (Western Indonesia Time) SUPER UNGGAS JAYA</t>
  </si>
  <si>
    <t>0611/FTSCY/WS95031 36000.00 paket ALDI RAHMANSYAH</t>
  </si>
  <si>
    <t>TRSF E-BANKING CR TANGGAL :06/11</t>
  </si>
  <si>
    <t>0611/FTSCY/WS95031 titip 50jt GATUT SETYO WIBOWO</t>
  </si>
  <si>
    <t>0611/FTSCY/WS95051 SIDO RAYA UTAMA CV</t>
  </si>
  <si>
    <t>0711/FTSCY/WS95031 1916910.00 SUNARTO</t>
  </si>
  <si>
    <t>0711/FTSCY/WS95031 49407540.00 Tue Nov 03 2026 15:00:00 GMT+0700 (Western Indonesia Time) ANDALAN YASA MITRA</t>
  </si>
  <si>
    <t>0711/FTSCY/WS95271 142000000.00 pelunasan SUPER UNGGAS JAYA</t>
  </si>
  <si>
    <t>0711/FTSCY/WS95271 1010830.00 NURHAYATI</t>
  </si>
  <si>
    <t>0711/FTSCY/WS95271 1000000.00 ABDUR ROHMAN</t>
  </si>
  <si>
    <t>0711/FTSCY/WS95031 1289960.00 DWI HERMANSYAH</t>
  </si>
  <si>
    <t>0711/FTSCY/WS95031 1285590.00 HERMAWAN</t>
  </si>
  <si>
    <t>0711/FTSCY/WS95271 1520000.00 MUHAMMAD HAIRUL MA</t>
  </si>
  <si>
    <t>0711/FTSCY/WS95271 57107670.00 nganjuk PRIMA JAYA BERSATU</t>
  </si>
  <si>
    <t>0711/FTSCY/WS95271 4200000.00 NURUL AINI</t>
  </si>
  <si>
    <t>0711/FTSCY/WS95011 59520000.00 WAHYU MEGA ARSITA</t>
  </si>
  <si>
    <t>0711/FTSCY/WS95051 95018600.00 AH P HAIRUL 25 OKT PHALOSARI UNGGUL J</t>
  </si>
  <si>
    <t>0711/FTSCY/WS95051 111607210.00 AH P HAIRUL 31 OKT PHALOSARI UNGGUL J</t>
  </si>
  <si>
    <t>0711/FTSCY/WS95271 49414820.00 Fri Nov 06 2026 15:00:00 GMT+0700 (Western Indonesia Time) LAWU ABADI NUSA PT</t>
  </si>
  <si>
    <t>0711/FTSCY/WS95271 44765700.00 Wed Nov 04 2026 15:00:00 GMT+0700 (Western Indonesia Time) LAJU SATWA WISESA</t>
  </si>
  <si>
    <t>0711/FTSCY/WS95031 500000.00 NURUL AINI</t>
  </si>
  <si>
    <t>0711/FTSCY/WS95051 122274750.00 Byr lb 6/11 MANDALA MAJU MAPAN</t>
  </si>
  <si>
    <t>0711/FTSCY/WS95031 9937050.00 krg 10 jt EKO SETIYAWAN</t>
  </si>
  <si>
    <t>0711/FTSCY/WS95031 1200000.00 SUNARTO</t>
  </si>
  <si>
    <t>0711/FTSCY/WS95031 2887520.00 HERMAWAN</t>
  </si>
  <si>
    <t>0711/FTSCY/WS95011 121754300.00 Thu Nov 05 2026 15:00:00 GMT+0700 (Western Indonesia Time) PITIK DIGITAL INDO</t>
  </si>
  <si>
    <t>0711/FTSCY/WS95011 108777600.00 Thu Nov 05 2026 15:00:00 GMT+0700 (Western Indonesia Time) ANDALAN YASA MITRA</t>
  </si>
  <si>
    <t>0711/FTSCY/WS95011 62592720.00 Thu Nov 05 2026 15:00:00 GMT+0700 (Western Indonesia Time) TABASSAM AL HATTAK</t>
  </si>
  <si>
    <t>0711/FTSCY/WS95031 60000000.00 Dari Pak Gatut Set yo Wibowo SEFI HANA KRISNAWA</t>
  </si>
  <si>
    <t>0711/FTSCY/WS95051 219815290.00 SIDO RAYA UTAMA CV</t>
  </si>
  <si>
    <t>0711/FTSCY/WS95011 46529120.00 Fri Nov 06 2026 15:00:00 GMT+0700 (Western Indonesia Time) SURYA INTI TERNAK</t>
  </si>
  <si>
    <t>0711/FTSCY/WS95011 54600000.00 Thu Nov 05 2026 15:00:00 GMT+0700 (Western Indonesia Time) ANUGERAH KARTIKA A</t>
  </si>
  <si>
    <t>TRSF E-BANKING DB TANGGAL :07/11</t>
  </si>
  <si>
    <t>0711/FTSCY/WS95011 Thu Nov 05 2026 15:00:00 GMT+0700 (Western Indonesia Time) ANUGERAH KARTIKA A</t>
  </si>
  <si>
    <t>0811/FTSCY/WS95051 66032400.00 Pembayaran LB Tgl 07/11 MANDALA MAJU MAPAN</t>
  </si>
  <si>
    <t>0811/FTSCY/WS95031 950000.00 ANDE DOSO ANGGORO</t>
  </si>
  <si>
    <t>0811/FTSCY/WS95271 59996300.00 Sun Nov 08 2026 15:00:00 GMT+0700 (Western Indonesia Time) PRIMA JAYA BERSATU</t>
  </si>
  <si>
    <t>0811/FTSCY/WS95031 26700000.00 pelunasan BINTANG TAMA SANTO</t>
  </si>
  <si>
    <t>0811/FTSCY/WS95271 46346200.00 Fri Nov 06 2026 15:00:00 GMT+0700 (Western Indonesia Time) BINTANG TAMA SANTO</t>
  </si>
  <si>
    <t>ALFAMRT Y207 BRTN 6019009510239343</t>
  </si>
  <si>
    <t>0811/FTSCY/WS95051 157158820.00 AH P HAIRUL 27 OKT PHALOSARI UNGGUL J</t>
  </si>
  <si>
    <t>0811/FTSCY/WS95051 142506600.00 AH P HAIRUL 26 OKT PHALOSARI UNGGUL J</t>
  </si>
  <si>
    <t>0811/FTSCY/WS95051 426926250.00 SIDO RAYA UTAMA CV</t>
  </si>
  <si>
    <t>0811/FTSCY/WS95031 2500000.00 BELA PRAMUDITA</t>
  </si>
  <si>
    <t>0811/FTSCY/WS95271 10000000.00 EKO SETIYAWAN</t>
  </si>
  <si>
    <t>TRSF E-BANKING DB TANGGAL :08/11</t>
  </si>
  <si>
    <t>0811/FTSCY/WS95011 Sat Nov 07 2026 15:00:00 GMT+0700 (Western Indonesia Time) ANUGERAH KARTIKA A</t>
  </si>
  <si>
    <t>0811/FTSCY/WS95011 Sat Nov 07 2026 15:00:00 GMT+0700 (Western Indonesia Time) PITIK DIGITAL INDO</t>
  </si>
  <si>
    <t>0811/FTSCY/WS95011 Fri Nov 06 2026 15:00:00 GMT+0700 (Western Indonesia Time) ANUGERAH KARTIKA A</t>
  </si>
  <si>
    <t>0811/FTSCY/WS95011 Fri Nov 06 2026 15:00:00 GMT+0700 (Western Indonesia Time) ANDALAN YASA MITRA</t>
  </si>
  <si>
    <t>0811/FTSCY/WS95011 Fri Nov 06 2026 15:00:00 GMT+0700 (Western Indonesia Time) BROILER MAKMUR TAN</t>
  </si>
  <si>
    <t>0811/FTFVA/WS95031 bwi - 40190</t>
  </si>
  <si>
    <t>0811/FTSCY/WS95031 BROILER MAKMUR TAN</t>
  </si>
  <si>
    <t>0811/FTSCY/WS95271 Sat Nov 07 2026 15:00:00 GMT+0700 (Western Indonesia Time) BRANTAS ABADI SENT</t>
  </si>
  <si>
    <t>0811/FTSCY/WS95271 Sat Nov 07 2026 15:00:00 GMT+0700 (Western Indonesia Time) LAJU SATWA WISESA</t>
  </si>
  <si>
    <t>0811/FTSCY/WS95271 SUNARTO</t>
  </si>
  <si>
    <t>0811/FTSCY/WS95271 EKO SETIYAWAN</t>
  </si>
  <si>
    <t>0811/FTSCY/WS95271 FAJAR ANDREANZAH</t>
  </si>
  <si>
    <t>0811/FTSCY/WS95271 HERMAWAN</t>
  </si>
  <si>
    <t>0811/FTSCY/WS95271 kediri 07/11 DWI HERMANSYAH</t>
  </si>
  <si>
    <t>0811/FTSCY/WS95271 10+1.5 jt MUJIANTO</t>
  </si>
  <si>
    <t>0911/FTSCY/WS95051 59480000.00 Byr LB 8/11 MANDALA MAJU MAPAN</t>
  </si>
  <si>
    <t>0911/FTSCY/WS95271 3700000.00 SITI RAHMA IFTITAH</t>
  </si>
  <si>
    <t>0911/FTSCY/WS95051 165130890.00 AH P HAIRUL 30 OKT PHALOSARI UNGGUL J</t>
  </si>
  <si>
    <t>SWITCHING</t>
  </si>
  <si>
    <t>WITHDRAWAL DI ALTO AFMT BARATAN JEMBE</t>
  </si>
  <si>
    <t>BIAYA TXN  DI ALTO AFMT BARATAN JEMBE</t>
  </si>
  <si>
    <t>0911/FTSCY/WS95051 143641550.00 ah 7520.5x19100 GEMILANG INTI SUKS</t>
  </si>
  <si>
    <t>0911/FTSCY/WS95011 126789080.00 WAHYU MEGA ARSITA</t>
  </si>
  <si>
    <t>0911/FTSCY/WS95051 337080970.00 SIDO RAYA UTAMA CV</t>
  </si>
  <si>
    <t>0911/FTSCY/WS95271 56040390.00 Sun Nov 08 2026 15:00:00 GMT+0700 (Western Indonesia Time) DINA LUKMIANINGRUM</t>
  </si>
  <si>
    <t>0911/FTSCY/WS95031 2000000.00 november RISKY ARISHANDY PR</t>
  </si>
  <si>
    <t>0911/FTSCY/WS95031 35000000.00 WAHYUDI</t>
  </si>
  <si>
    <t>TARIKAN ATM 09/11</t>
  </si>
  <si>
    <t>0911/FTSCY/WS95031 18258320.00 EKO SETIYAWAN</t>
  </si>
  <si>
    <t>0911/FTSCY/WS95011 168564880.00 Sat Nov 07 2026 15:00:00 GMT+0700 (Western Indonesia Time) ANDALAN YASA MITRA</t>
  </si>
  <si>
    <t>0911/FTSCY/WS95011 152528110.00 Fri Nov 06 2026 15:00:00 GMT+0700 (Western Indonesia Time) BROILER MAKMUR TAN</t>
  </si>
  <si>
    <t>0911/FTSCY/WS95011 117800000.00 Sun Nov 08 2026 15:00:00 GMT+0700 (Western Indonesia Time) RUKUN MITRA BERSAM</t>
  </si>
  <si>
    <t>0911/FTSCY/WS95011 55426000.00 Sun Nov 08 2026 15:00:00 GMT+0700 (Western Indonesia Time) ANUGERAH KARTIKA A</t>
  </si>
  <si>
    <t>TRSF E-BANKING DB TANGGAL :09/11</t>
  </si>
  <si>
    <t>0911/FTSCY/WS95271 Sun Nov 08 2026 15:00:00 GMT+0700 (Western Indonesia Time) BINTANG TAMA SANTO</t>
  </si>
  <si>
    <t>0911/FTSCY/WS95271 Sun Nov 08 2026 15:00:00 GMT+0700 (Western Indonesia Time) BRANTAS ABADI SENT</t>
  </si>
  <si>
    <t>0911/FTSCY/WS95031 pelunasan BRANTAS ABADI SENT</t>
  </si>
  <si>
    <t>TRSF E-BANKING CR TANGGAL :09/11</t>
  </si>
  <si>
    <t>0911/FTSCY/WS95271 NURUL AINI</t>
  </si>
  <si>
    <t>1011/FTSCY/WS95031 49450500.00 Sun Nov 08 2026 15:00:00 GMT+0700 (Western Indonesia Time) BINTANG TAMA SANTO</t>
  </si>
  <si>
    <t>1011/FTSCY/WS95031 872940.00 NURHAYATI</t>
  </si>
  <si>
    <t>1011/FTSCY/WS95031 1000000.00 SUNARTO</t>
  </si>
  <si>
    <t>1011/FTSCY/WS95031 58695000.00 PT BJP SRI ASIH ANGGRAENI</t>
  </si>
  <si>
    <t>1011/FTSCY/WS95051 70832400.00 Pembayaran LB Tgl 09/11 MANDALA MAJU MAPAN</t>
  </si>
  <si>
    <t>1011/FTSCY/WS95271 63106600.00 Sun Nov 08 2026 15:00:00 GMT+0700 (Western Indonesia Time) LAJU SATWA WISESA</t>
  </si>
  <si>
    <t>1011/FTSCY/WS95271 65634300.00 Sun Nov 08 2026 15:00:00 GMT+0700 (Western Indonesia Time) SURYA INTI TERNAK</t>
  </si>
  <si>
    <t>1011/FTSCY/WS95051 69410000.00 ah 3800x18600 dipot 1270000 GEMILANG INTI SUKS</t>
  </si>
  <si>
    <t>10/11  WSID9503101 1220 TELKOMSEL 82131900513 MUHAMMAD HAIRUL MA</t>
  </si>
  <si>
    <t>1011/FTSCY/WS95271 700000.00 ANDE DOSO ANGGORO</t>
  </si>
  <si>
    <t>BI-FAST DB</t>
  </si>
  <si>
    <t>BIF TRANSFER KE 9 KIKI MARGARETA SAP MyBCA</t>
  </si>
  <si>
    <t>BIF BIAYA TXN KE 9 KIKI MARGARETA SAP MyBCA</t>
  </si>
  <si>
    <t>1011/FTSCY/WS95051 138103875.00 AYAM HAIRUL TGL 10/11/2023 SUCI RAHARJO PT</t>
  </si>
  <si>
    <t>1011/FTSCY/WS95271 7700000.00 NURUL AINI</t>
  </si>
  <si>
    <t>1011/FTSCY/WS95011 59520000.00 WAHYU MEGA ARSITA</t>
  </si>
  <si>
    <t>1011/FTSCY/WS95271 15000000.00 EKO SETIYAWAN</t>
  </si>
  <si>
    <t>1011/FTSCY/WS95271 2600000.00 BELA PRAMUDITA</t>
  </si>
  <si>
    <t>TARIKAN ATM 10/11</t>
  </si>
  <si>
    <t>TRSF E-BANKING CR TANGGAL :10/11</t>
  </si>
  <si>
    <t>1011/FTSCY/WS95031 titip 65jt GATUT SETYO WIBOWO</t>
  </si>
  <si>
    <t>TRSF E-BANKING DB TANGGAL :10/11</t>
  </si>
  <si>
    <t>1011/FTSCY/WS95011 Pelunasan BROILER MAKMUR TAN</t>
  </si>
  <si>
    <t>1011/FTSCY/WS95011 Mon Nov 09 2026 15:00:00 GMT+0700 (Western Indonesia Time) BINTANG TAMA SANTO</t>
  </si>
  <si>
    <t>1011/FTSCY/WS95051 SIDO RAYA UTAMA CV</t>
  </si>
  <si>
    <t>1011/FTSCY/WS95031 MUJIANTO</t>
  </si>
  <si>
    <t>1011/FTSCY/WS95031 lunas HERMAWAN</t>
  </si>
  <si>
    <t>1011/FTSCY/WS95031 piutang sisa 1 jt FAJAR ANDREANZAH</t>
  </si>
  <si>
    <t>1011/FTSCY/WS95031 krg 90 jt EKO SETIYAWAN</t>
  </si>
  <si>
    <t>1011/FTSCY/WS95271 Mon Nov 09 2026 15:00:00 GMT+0700 (Western Indonesia Time) BINTANG TAMA SANTO</t>
  </si>
  <si>
    <t>1011/FTSCY/WS95271 Mon Nov 09 2026 15:00:00 GMT+0700 (Western Indonesia Time) TUMBUH OPTIMAL PRI</t>
  </si>
  <si>
    <t>1111/FTSCY/WS95051 126951000.00 Byr LB 10/11 MANDALA MAJU MAPAN</t>
  </si>
  <si>
    <t>1111/FTSCY/WS95271 55029240.00 Mon Nov 09 2026 15:00:00 GMT+0700 (Western Indonesia Time) ANDALAN YASA MITRA</t>
  </si>
  <si>
    <t>1111/FTSCY/WS95271 64581000.00 Mon Nov 09 2026 15:00:00 GMT+0700 (Western Indonesia Time) ANUGERAH KARTIKA A</t>
  </si>
  <si>
    <t>1111/FTSCY/WS95271 55879980.00 Mon Nov 09 2026 15:00:00 GMT+0700 (Western Indonesia Time) ANDALAN YASA MITRA</t>
  </si>
  <si>
    <t>1111/FTSCY/WS95051 163190770.00 AH P HAIRUL 1 NOV PHALOSARI UNGGUL J</t>
  </si>
  <si>
    <t>1111/FTSCY/WS95031 5479600.00 pelunasan ANDALAN YASA MITRA</t>
  </si>
  <si>
    <t>1111/FTFVA/WS95031 67847/UNGGAS MANDI Tue Nov 10 2026 15:00:00 GMT+0700 (Western Indonesia Time) - 200043</t>
  </si>
  <si>
    <t>1111/FTFVA/WS95031 55574/GUNA MITRA S t.agung - 200177</t>
  </si>
  <si>
    <t>1111/FTSCY/WS95031 28235800.00 WAHYUDI</t>
  </si>
  <si>
    <t>TRANSAKSI DEBIT</t>
  </si>
  <si>
    <t>TGL: 11/11 QR 914 00000.00Amanda Bro</t>
  </si>
  <si>
    <t>ALFAMRT Y037 DASA 6019009510239343</t>
  </si>
  <si>
    <t>TRSF E-BANKING CR TANGGAL :11/11</t>
  </si>
  <si>
    <t>1111/FTSCY/WS95031 titip 66jt GATUT SETYO WIBOWO</t>
  </si>
  <si>
    <t>1211/FTSCY/WS95051 311736650.00 SIDO RAYA UTAMA CV</t>
  </si>
  <si>
    <t>1211/FTSCY/WS95271 19151660.00 pelunasan TERNAK SEJATI TABA</t>
  </si>
  <si>
    <t>1211/FTSCY/WS95271 64751850.00 Tue Nov 10 2026 15:00:00 GMT+0700 (Western Indonesia Time) TABASSAM AZ ZUFAR</t>
  </si>
  <si>
    <t>1211/FTSCY/WS95271 111463200.00 08,09 / 11 PITIK DIGITAL INDO</t>
  </si>
  <si>
    <t>1211/FTSCY/WS95271 97753150.00 Wed Dec 09 2026 15:00:00 GMT+0700 (Western Indonesia Time) SUPER UNGGAS JAYA</t>
  </si>
  <si>
    <t>1211/FTSCY/WS95031 90000000.00 pelunasan SUPER UNGGAS JAYA</t>
  </si>
  <si>
    <t>1211/FTSCY/WS95031 1000000.00 DWI HERMANSYAH</t>
  </si>
  <si>
    <t>1211/FTSCY/WS95031 2600000.00 BELA PRAMUDITA</t>
  </si>
  <si>
    <t>1211/FTSCY/WS95031 1400000.00 SUNARTO</t>
  </si>
  <si>
    <t>1211/FTSCY/WS95271 6000000.00 EKO SETIYAWAN</t>
  </si>
  <si>
    <t>1211/FTSCY/WS95031 5000000.00 EKO SETIYAWAN</t>
  </si>
  <si>
    <t>1311/FTSCY/WS95271 110000000.00 Byr ayam rpa sbu ALDINI MARIA GUMIL</t>
  </si>
  <si>
    <t>1311/FTSCY/WS95051 108801300.00 Byr LB 11/11 MANDALA MAJU MAPAN</t>
  </si>
  <si>
    <t>BI-FAST CR</t>
  </si>
  <si>
    <t>BIF TRANSFER DR 19 BIJIJAGU0001</t>
  </si>
  <si>
    <t>1311/FTSCY/WS95271 64172500.00 Mon Nov 09 2026 15:00:00 GMT+0700 (Western Indonesia Time) TABASSAM AL HATTAK</t>
  </si>
  <si>
    <t>1311/FTSCY/WS95271 69816960.00 Tue Nov 10 2026 15:00:00 GMT+0700 (Western Indonesia Time) BRANTAS ABADI SENT</t>
  </si>
  <si>
    <t>1311/FTSCY/WS95271 63131250.00 Tue Nov 10 2026 15:00:00 GMT+0700 (Western Indonesia Time) BINTANG TAMA SANTO</t>
  </si>
  <si>
    <t>1311/FTSCY/WS95271 2538590.00 DWI HERMANSYAH</t>
  </si>
  <si>
    <t>1311/FTSCY/WS95031 65467690.00 lunas GATUT SETYO WIBOWO</t>
  </si>
  <si>
    <t>1311/FTSCY/WS95271 63741750.00 Fri Nov 13 2026 15:00:00 GMT+0700 (Western Indonesia Time) BRANTAS ABADI SENT</t>
  </si>
  <si>
    <t>1311/FTFVA/WS95031 55569/PT PRIMA FAJ besuki - 40190</t>
  </si>
  <si>
    <t>1311/FTSCY/WS95051 173568870.00 AH Hairul 10 Nov'23 PHALOSARI UNGGUL J</t>
  </si>
  <si>
    <t>1311/FTSCY/WS95051 69909887.00 AYAM HAIRUL TGL 13/11/2023 SUCI RAHARJO PT</t>
  </si>
  <si>
    <t>1311/FTSCY/WS95051 100000000.00 krmn 13/11 ERICKO HERMAWAN</t>
  </si>
  <si>
    <t>1311/FTSCY/WS95031 300000.00 SAIFUL BAHRI</t>
  </si>
  <si>
    <t>1311/FTSCY/WS95031 10000000.00 EKO SETIYAWAN</t>
  </si>
  <si>
    <t>TRSF E-BANKING DB TANGGAL :13/11</t>
  </si>
  <si>
    <t>1311/FTSCY/WS95031 BELA PRAMUDITA</t>
  </si>
  <si>
    <t>1311/FTSCY/WS95031 FAJAR ANDREANZAH</t>
  </si>
  <si>
    <t>1311/FTSCY/WS95031 MUJIANTO</t>
  </si>
  <si>
    <t>1311/FTSCY/WS95031 EKO SETIYAWAN</t>
  </si>
  <si>
    <t>1311/FTSCY/WS95011 Pelunasan BROILER MAKMUR TAN</t>
  </si>
  <si>
    <t>1311/FTSCY/WS95011 Thu Nov 12 2026 15:00:00 GMT+0700 (Western Indonesia Time) INTEGRASI TEKNOLOG</t>
  </si>
  <si>
    <t>1311/FTSCY/WS95011 Thu Nov 12 2026 15:00:00 GMT+0700 (Western Indonesia Time) RUKUN MITRA BERSAM</t>
  </si>
  <si>
    <t>TRSF E-BANKING CR TANGGAL :13/11</t>
  </si>
  <si>
    <t>1311/FTSCY/WS95051 SIDO RAYA UTAMA CV</t>
  </si>
  <si>
    <t>1411/FTSCY/WS95051 5610196.00 sw 13/11 ERICKO HERMAWAN</t>
  </si>
  <si>
    <t>1411/FTSCY/WS95031 60645000.00 PT BJP RISSA SABILA</t>
  </si>
  <si>
    <t>TARIKAN ATM 14/11</t>
  </si>
  <si>
    <t>1411/FTSCY/WS95051 69849000.00 Byr lb13/11 MANDALA MAJU MAPAN</t>
  </si>
  <si>
    <t>1411/FTSCY/WS95051 165998750.00 AH P HAIRUL 31 OKT PHALOSARI UNGGUL J</t>
  </si>
  <si>
    <t>1411/FTSCY/WS95031 2200000.00 Byr Kurangan Ayam 12.11 RPA SBU ALDINI MARIA GUMIL</t>
  </si>
  <si>
    <t>1411/FTSCY/WS95051 119133800.00 SIDO RAYA UTAMA CV</t>
  </si>
  <si>
    <t>1411/FTSCY/WS95031 10000000.00 EKO SETIYAWAN</t>
  </si>
  <si>
    <t>1411/FTSCY/WS95031 5795500.00 EKO SETIYAWAN</t>
  </si>
  <si>
    <t>1411/FTSCY/WS95271 52063800.00 Thu Nov 12 2026 15:00:00 GMT+0700 (Western Indonesia Time) LAJU SATWA WISESA</t>
  </si>
  <si>
    <t>1411/FTSCY/WS95271 54131400.00 Fri Nov 13 2026 15:00:00 GMT+0700 (Western Indonesia Time) BINTANG TAMA SANTO</t>
  </si>
  <si>
    <t>1411/FTSCY/WS95271 26000000.00 NURUL AINI</t>
  </si>
  <si>
    <t>1411/FTSCY/WS95271 52844400.00 Thu Nov 12 2026 15:00:00 GMT+0700 (Western Indonesia Time) TABASSAM AZ ZUFAR</t>
  </si>
  <si>
    <t>1411/FTSCY/WS95271 59699500.00 Thu Nov 12 2026 15:00:00 GMT+0700 (Western Indonesia Time) ANUGERAH KARTIKA A</t>
  </si>
  <si>
    <t>1411/FTSCY/WS95271 63369000.00 Sat Nov 14 2026 15:00:00 GMT+0700 (Western Indonesia Time) LAWU ABADI NUSA PT</t>
  </si>
  <si>
    <t>1411/FTSCY/WS95031 41822950.00 Thu Nov 12 2026 15:00:00 GMT+0700 (Western Indonesia Time) ANUGERAH KARTIKA A</t>
  </si>
  <si>
    <t>TRSF E-BANKING DB TANGGAL :14/11</t>
  </si>
  <si>
    <t>1411/FTSCY/WS95011 Thu Nov 12 2026 15:00:00 GMT+0700 (Western Indonesia Time) BROILER MAKMUR TAN</t>
  </si>
  <si>
    <t>1411/FTSCY/WS95011 Thu Nov 12 2026 15:00:00 GMT+0700 (Western Indonesia Time) SUPER UNGGAS JAYA</t>
  </si>
  <si>
    <t>1511/FTSCY/WS95271 75000000.00 Bayar Ayam RPA SBU G ALDINI MARIA GUMIL</t>
  </si>
  <si>
    <t>1511/FTSCY/WS95031 3000000.00 pelunasan SUPER UNGGAS JAYA</t>
  </si>
  <si>
    <t>1511/FTSCY/WS95031 10000000.00 pelunasan SUPER UNGGAS JAYA</t>
  </si>
  <si>
    <t>1511/FTSCY/WS95051 68782550.00 Pembayaran LB Tgl 14/11 MANDALA MAJU MAPAN</t>
  </si>
  <si>
    <t>1511/FTSCY/WS95051 1342900.00 sewa 14/11 TERA MULIA KORPORI</t>
  </si>
  <si>
    <t>1511/FTSCY/WS95271 56270760.00 Fri Nov 13 2026 15:00:00 GMT+0700 (Western Indonesia Time) INTEGRASI TEKNOLOG</t>
  </si>
  <si>
    <t>1511/FTSCY/WS95031 3065300.00 SUNARTO</t>
  </si>
  <si>
    <t>BIF TRANSFER KE 2 DINA LUKMIANINGRUM MyBCA</t>
  </si>
  <si>
    <t>BIF BIAYA TXN KE 2 DINA LUKMIANINGRUM MyBCA</t>
  </si>
  <si>
    <t>1511/FTSCY/WS95031 45760000.00 NURUL AINI</t>
  </si>
  <si>
    <t>1511/FTSCY/WS95051 169503040.00 AH P HAIRUL 9 NOV PHALOSARI UNGGUL J</t>
  </si>
  <si>
    <t>1511/FTSCY/WS95031 20000000.00 Pelunasan Ayam 14. 11 RPA SBUG ALDINI MARIA GUMIL</t>
  </si>
  <si>
    <t>1511/FTSCY/WS95271 54817200.00 Fri Nov 13 2026 15:00:00 GMT+0700 (Western Indonesia Time) BINTANG TAMA SANTO</t>
  </si>
  <si>
    <t>1511/FTSCY/WS95031 10000000.00 pelunasan Ayam 14. 11 Rpa SBU ALDINI MARIA GUMIL</t>
  </si>
  <si>
    <t>1511/FTSCY/WS95011 115376400.00 WAHYU MEGA ARSITA</t>
  </si>
  <si>
    <t>1511/FTSCY/WS95271 64429440.00 Sat Nov 14 2026 15:00:00 GMT+0700 (Western Indonesia Time) PITIK DIGITAL INDO</t>
  </si>
  <si>
    <t>1511/FTSCY/WS95051 359558680.00 SIDO RAYA UTAMA CV</t>
  </si>
  <si>
    <t>1511/FTSCY/WS95031 1500000.00 BELA PRAMUDITA</t>
  </si>
  <si>
    <t>1511/FTSCY/WS95031 62415000.00 lunas GATUT SETYO WIBOWO</t>
  </si>
  <si>
    <t>1511/FTSCY/WS95011 144297000.00 Fri Nov 13 2026 15:00:00 GMT+0700 (Western Indonesia Time) SUPER UNGGAS JAYA</t>
  </si>
  <si>
    <t>1511/FTSCY/WS95011 53446500.00 Fri Nov 13 2026 15:00:00 GMT+0700 (Western Indonesia Time) ANUGERAH KARTIKA A</t>
  </si>
  <si>
    <t>1511/FTSCY/WS95011 158653100.00 Sat Nov 14 2026 15:00:00 GMT+0700 (Western Indonesia Time) BINTANG TAMA SANTO</t>
  </si>
  <si>
    <t>1511/FTSCY/WS95011 112283900.00 Sat Nov 14 2026 15:00:00 GMT+0700 (Western Indonesia Time) LAJU SATWA WISESA</t>
  </si>
  <si>
    <t>1511/FTSCY/WS95011 19792520.00 Krg 80 jt EKO SETIYAWAN</t>
  </si>
  <si>
    <t>1511/FTSCY/WS95271 52533250.00 Sat Nov 14 2026 15:00:00 GMT+0700 (Western Indonesia Time) INTEGRASI TEKNOLOG</t>
  </si>
  <si>
    <t>1511/FTSCY/WS95031 50000000.00 SUGENG RIADI</t>
  </si>
  <si>
    <t>1511/FTSCY/WS95031 800000.00 NURHAYATI</t>
  </si>
  <si>
    <t>1511/FTSCY/WS95031 1342900.00 EKO SETIYAWAN</t>
  </si>
  <si>
    <t>1511/FTSCY/WS95031 4412330.00 lunas HERMAWAN</t>
  </si>
  <si>
    <t>1511/FTSCY/WS95031 7945320.00 krg 10 jt MUJIANTO</t>
  </si>
  <si>
    <t>1511/FTSCY/WS95031 1559020.00 Sun Nov 15 2026 15:00:00 GMT+0700 (Western Indonesia Time) DWI HERMANSYAH</t>
  </si>
  <si>
    <t>1511/FTSCY/WS95031 1800000.00 HERMAWAN</t>
  </si>
  <si>
    <t>TRSF E-BANKING CR TANGGAL :15/11</t>
  </si>
  <si>
    <t>1511/FTSCY/WS95051 Bayar Ayam 15.11 RPA SBUG ALDINI MARIA GUMIL</t>
  </si>
  <si>
    <t>1611/FTSCY/WS95271 53100000.00 Mon Nov 16 2026 15:00:00 GMT+0700 (Western Indonesia Time) PRIMA JAYA BERSATU</t>
  </si>
  <si>
    <t>1611/FTSCY/WS95271 86250000.00 GANESHA SATRIA NUS</t>
  </si>
  <si>
    <t>1611/FTSCY/WS95051 49832250.00 Pembayaran LB Tgl 15/11 MANDALA MAJU MAPAN</t>
  </si>
  <si>
    <t>1611/FTFVA/WS95031 55569/PT PRIMA FAJ mlg - 40190</t>
  </si>
  <si>
    <t>1611/FTSCY/WS95051 163697290.00 AH P HAIRUL 2 NOV PHALOSARI UNGGUL J</t>
  </si>
  <si>
    <t>1611/FTSCY/WS95051 52863720.00 AH P HAIRUL 6 NOV PHALOSARI UNGGUL J</t>
  </si>
  <si>
    <t>1611/FTSCY/WS95271 1225000.00 RUKHAILAH</t>
  </si>
  <si>
    <t>1611/FTSCY/WS95051 133763520.00 ah 7600.2x17600 GEMILANG INTI SUKS</t>
  </si>
  <si>
    <t>1611/FTSCY/WS95011 112640000.00 WAHYU MEGA ARSITA</t>
  </si>
  <si>
    <t>1611/FTSCY/WS95271 49133000.00 Mon Nov 16 2026 15:00:00 GMT+0700 (Western Indonesia Time) PITIK DIGITAL INDO</t>
  </si>
  <si>
    <t>1611/FTSCY/WS95011 161768970.00 Sun Nov 15 2026 15:00:00 GMT+0700 (Western Indonesia Time) LAWU ABADI NUSA PT</t>
  </si>
  <si>
    <t>1611/FTSCY/WS95011 57867800.00 Sat Nov 14 2026 15:00:00 GMT+0700 (Western Indonesia Time) TERNAK SEJATI TABA</t>
  </si>
  <si>
    <t>1611/FTSCY/WS95011 125324460.00 Sat Nov 14 2026 15:00:00 GMT+0700 (Western Indonesia Time) RUKUN MITRA BERSAM</t>
  </si>
  <si>
    <t>1611/FTSCY/WS95011 100836000.00 Sat Nov 14 2026 15:00:00 GMT+0700 (Western Indonesia Time) DINA WIRANTI</t>
  </si>
  <si>
    <t>1611/FTSCY/WS95031 15000000.00 EKO SETIYAWAN</t>
  </si>
  <si>
    <t>1611/FTSCY/WS95051 355639180.00 SIDO RAYA UTAMA CV</t>
  </si>
  <si>
    <t>1611/FTSCY/WS95271 52700020.00 pelunasan SUGENG RIADI</t>
  </si>
  <si>
    <t>TRSF E-BANKING CR TANGGAL :16/11</t>
  </si>
  <si>
    <t>1611/FTSCY/WS95031 kurang 100jt GATUT SETYO WIBOWO</t>
  </si>
  <si>
    <t>1611/FTSCY/WS95031 Dari Pak Gatut Set yo Wibowo SEFI HANA KRISNAWA</t>
  </si>
  <si>
    <t>1711/FTSCY/WS95271 34058750.00 Pelunasan Ayam 16. 11 RPA SBUG ALDINI MARIA GUMIL</t>
  </si>
  <si>
    <t>1711/FTSCY/WS95011 102449600.00 Sat Nov 14 2026 15:00:00 GMT+0700 (Western Indonesia Time) BROILER MAKMUR TAN</t>
  </si>
  <si>
    <t>1711/FTSCY/WS95011 63755400.00 Sat Nov 14 2026 15:00:00 GMT+0700 (Western Indonesia Time) SUPER UNGGAS JAYA</t>
  </si>
  <si>
    <t>1711/FTSCY/WS95011 44738750.00 Sat Nov 14 2026 15:00:00 GMT+0700 (Western Indonesia Time) ANUGERAH KARTIKA A</t>
  </si>
  <si>
    <t>1711/FTSCY/WS95011 121243500.00 Sun Nov 15 2026 15:00:00 GMT+0700 (Western Indonesia Time) BRANTAS ABADI SENT</t>
  </si>
  <si>
    <t>1711/FTSCY/WS95011 126377480.00 Sat Nov 14 2026 15:00:00 GMT+0700 (Western Indonesia Time) GANESHA SATRIA NUS</t>
  </si>
  <si>
    <t>1711/FTSCY/WS95051 122806500.00 Byr LB 16/11 MANDALA MAJU MAPAN</t>
  </si>
  <si>
    <t>TGL: 17/11 QR 014 00000.00SEVEN</t>
  </si>
  <si>
    <t>1711/FTSCY/WS95031 2800000.00 BELA PRAMUDITA</t>
  </si>
  <si>
    <t>1711/FTSCY/WS95051 160604080.00 AH P HAIRUL 3 NOV PHALOSARI UNGGUL J</t>
  </si>
  <si>
    <t>1711/FTSCY/WS95051 65120000.00 ah 3700x17600 GEMILANG INTI SUKS</t>
  </si>
  <si>
    <t>1711/FTSCY/WS95271 69308750.00 Mon Nov 16 2026 15:00:00 GMT+0700 (Western Indonesia Time) BRANTAS ABADI SENT</t>
  </si>
  <si>
    <t>1711/FTSCY/WS95271 2000000.00 RUKHAILAH</t>
  </si>
  <si>
    <t>1711/FTSCY/WS95051 367757500.00 SIDO RAYA UTAMA CV</t>
  </si>
  <si>
    <t>1711/FTFVA/WS95031 55569/PT PRIMA FAJ besuki - 40190</t>
  </si>
  <si>
    <t>1711/FTSCY/WS95031 21500000.00 pelunasan GANESHA SATRIA NUS</t>
  </si>
  <si>
    <t>1711/FTSCY/WS95031 75000000.00 RUKUN MITRA BERSAM</t>
  </si>
  <si>
    <t>1711/FTSCY/WS95271 106309090.00 pelunasan RUKUN MITRA BERSAM</t>
  </si>
  <si>
    <t>1711/FTSCY/WS95271 24441400.00 pelunasan TUMBUH OPTIMAL PRI</t>
  </si>
  <si>
    <t>1711/FTSCY/WS95271 60913800.00 Sun Nov 15 2026 15:00:00 GMT+0700 (Western Indonesia Time) BINTANG TAMA SANTO</t>
  </si>
  <si>
    <t>1711/FTSCY/WS95271 32464440.00 Sun Nov 15 2026 15:00:00 GMT+0700 (Western Indonesia Time) TERNAK SEJATI TABA</t>
  </si>
  <si>
    <t>1711/FTSCY/WS95011 21447160.00 Krg 80 jt EKO SETIYAWAN</t>
  </si>
  <si>
    <t>1711/FTSCY/WS95011 19500000.00 Krg 50.5 jt TERNAK SEJATI TABA</t>
  </si>
  <si>
    <t>1711/FTSCY/WS95271 2250000.00 MAQNUL DAHLIAANA F</t>
  </si>
  <si>
    <t>1711/FTSCY/WS95271 1655000.00 lunas DWI HERMANSYAH</t>
  </si>
  <si>
    <t>1711/FTSCY/WS95031 500000.00 DWI HERMANSYAH</t>
  </si>
  <si>
    <t>BIAYA ADM</t>
  </si>
  <si>
    <t>1811/FTSCY/WS95031 3054260.00 SUNARTO</t>
  </si>
  <si>
    <t>1811/FTSCY/WS95031 8382790.00 krg 5 jt FAJAR ANDREANZAH</t>
  </si>
  <si>
    <t>1811/FTSCY/WS95271 52487750.00 Mon Nov 16 2026 15:00:00 GMT+0700 (Western Indonesia Time) PITIK DIGITAL INDO</t>
  </si>
  <si>
    <t>1811/FTSCY/WS95271 50500000.00 pelunasan TERNAK SEJATI TABA</t>
  </si>
  <si>
    <t>1811/FTSCY/WS95271 53119440.00 Sun Nov 15 2026 15:00:00 GMT+0700 (Western Indonesia Time) SUPER UNGGAS JAYA</t>
  </si>
  <si>
    <t>1811/FTSCY/WS95271 48128900.00 Sun Nov 15 2026 15:00:00 GMT+0700 (Western Indonesia Time) BROILER MAKMUR TAN</t>
  </si>
  <si>
    <t>1811/FTSCY/WS95051 63695500.00 Byr LB 17/11 MANDALA MAJU MAPAN</t>
  </si>
  <si>
    <t>18/11  WSID9503100 0865 PLN PREPAID 32104859353 MUHAMMAD HAIRUL MA</t>
  </si>
  <si>
    <t>1811/FTSCY/WS95051 315780000.00 AH 7400x17100 AH 11400x16600 GEMILANG INTI SUKS</t>
  </si>
  <si>
    <t>1811/FTSCY/WS95031 18972240.00 EKO SETIYAWAN</t>
  </si>
  <si>
    <t>1811/FTSCY/WS95031 5900000.00 DWI HERMANSYAH</t>
  </si>
  <si>
    <t>1811/FTSCY/WS95271 100000.00 kaos ANTON IMRONI</t>
  </si>
  <si>
    <t>1811/FTSCY/WS95271 3800000.00 boyolali lunas RUKHAILAH</t>
  </si>
  <si>
    <t>1811/FTSCY/WS95031 7541550.00 krg 10 jt MUJIANTO</t>
  </si>
  <si>
    <t>1811/FTSCY/WS95031 1900000.00 SUNARTO</t>
  </si>
  <si>
    <t>1811/FTSCY/WS95031 6069720.00 lunas HERMAWAN</t>
  </si>
  <si>
    <t>1811/FTSCY/WS95031 3660600.00 FAJAR ANDREANZAH</t>
  </si>
  <si>
    <t>1811/FTSCY/WS95031 600000.00 MUJIANTO</t>
  </si>
  <si>
    <t>TRSF E-BANKING DB TANGGAL :18/11</t>
  </si>
  <si>
    <t>1811/FTSCY/WS95031 pelunasan BROILER MAKMUR TAN</t>
  </si>
  <si>
    <t>1811/FTSCY/WS95031 Mon Nov 16 2026 15:00:00 GMT+0700 (Western Indonesia Time) SUPER UNGGAS JAYA</t>
  </si>
  <si>
    <t>1811/FTSCY/WS95271 pelunasan SUPER UNGGAS JAYA</t>
  </si>
  <si>
    <t>TRSF E-BANKING CR TANGGAL :18/11</t>
  </si>
  <si>
    <t>1811/FTSCY/WS95051 SIDO RAYA UTAMA CV</t>
  </si>
  <si>
    <t>1811/FTSCY/WS95011 Mon Nov 16 2026 15:00:00 GMT+0700 (Western Indonesia Time) BROILER MAKMUR TAN</t>
  </si>
  <si>
    <t>1911/FTSCY/WS95271 112018250.00 Tue Nov 17 2026 15:00:00 GMT+0700 (Western Indonesia Time) BRANTAS ABADI SENT</t>
  </si>
  <si>
    <t>1911/FTFVA/WS95031 80777/TOKOPEDIA - - 82318368518</t>
  </si>
  <si>
    <t>TARIKAN ATM 19/11</t>
  </si>
  <si>
    <t>WITHDRAWAL DI 009 ALFAMART KENANGA</t>
  </si>
  <si>
    <t>BIAYA TXN  DI 009 ALFAMART KENANGA</t>
  </si>
  <si>
    <t>1911/FTSCY/WS95031 3125250.00 DINA WIRANTI</t>
  </si>
  <si>
    <t>1911/FTSCY/WS95271 3125250.00 pelunasan BRANTAS ABADI SENT</t>
  </si>
  <si>
    <t>1911/FTSCY/WS95271 20000000.00 SANDI FAJAR PRASET</t>
  </si>
  <si>
    <t>1911/FTSCY/WS95271 12580000.00 NURUL AINI</t>
  </si>
  <si>
    <t>1911/FTSCY/WS95031 50000000.00 Dari Pak Gatut Set yo Wibowo SEFI HANA KRISNAWA</t>
  </si>
  <si>
    <t>TARIKAN ATM 20/11</t>
  </si>
  <si>
    <t>2011/FTSCY/WS95051 792000.00 cn 45kg ERICKO HERMAWAN</t>
  </si>
  <si>
    <t>SWITCHING DB</t>
  </si>
  <si>
    <t>KE 008 SLAMET PRASETYO /M-BCA</t>
  </si>
  <si>
    <t>TRANSFERKE 008 SLAMET PRASETYO /M-BCA</t>
  </si>
  <si>
    <t>2011/FTSCY/WS95051 65465400.00 Byr LB 18/11 MANDALA MAJU MAPAN</t>
  </si>
  <si>
    <t>2011/FTSCY/WS95051 161224700.00 AH P HAIRUL 4 NOV PHALOSARI UNGGUL J</t>
  </si>
  <si>
    <t>2011/FTSCY/WS95271 53501250.00 Tue Nov 17 2026 15:00:00 GMT+0700 (Western Indonesia Time) BINTANG TAMA SANTO</t>
  </si>
  <si>
    <t>2011/FTSCY/WS95271 113813120.00 Tue Nov 17 2026 15:00:00 GMT+0700 (Western Indonesia Time) RUKUN MITRA BERSAM</t>
  </si>
  <si>
    <t>2011/FTSCY/WS95031 252500.00 DINA WIRANTI</t>
  </si>
  <si>
    <t>2011/FTSCY/WS95271 120000000.00 TUMBUH OPTIMAL PRI</t>
  </si>
  <si>
    <t>2011/FTSCY/WS95271 5000000.00 EKO SETIYAWAN</t>
  </si>
  <si>
    <t>2011/FTSCY/WS95271 23458000.00 NURUL AINI</t>
  </si>
  <si>
    <t>2011/FTSCY/WS95051 100000000.00 krmn 20/11 ERICKO HERMAWAN</t>
  </si>
  <si>
    <t>2011/FTSCY/WS95271 20000000.00 SANDI FAJAR PRASET</t>
  </si>
  <si>
    <t>2011/FTSCY/WS95031 1300000.00 sewa lunas EKO SETIYAWAN</t>
  </si>
  <si>
    <t>2011/FTSCY/WS95031 10000000.00 EKO SETIYAWAN</t>
  </si>
  <si>
    <t>TRSF E-BANKING DB TANGGAL :20/11</t>
  </si>
  <si>
    <t>2011/FTSCY/WS95031 pelunasan TUMBUH OPTIMAL PRI</t>
  </si>
  <si>
    <t>KARTU DEBIT TANGGAL :20/11</t>
  </si>
  <si>
    <t>IDM TROJ LANGSEP</t>
  </si>
  <si>
    <t>TRSF E-BANKING CR TANGGAL :20/11</t>
  </si>
  <si>
    <t>2011/FTSCY/WS95051 SIDO RAYA UTAMA CV</t>
  </si>
  <si>
    <t>2111/FTSCY/WS95031 53952500.00 Byr Ayam 18.11 RPA SBUG ALDINI MARIA GUMIL</t>
  </si>
  <si>
    <t>2111/FTSCY/WS95271 53494210.00 Tue Nov 17 2026 15:00:00 GMT+0700 (Western Indonesia Time) ANUGERAH KARTIKA A</t>
  </si>
  <si>
    <t>2111/FTSCY/WS95271 45132450.00 Wed Nov 18 2026 15:00:00 GMT+0700 (Western Indonesia Time) SURYA INTI TERNAK</t>
  </si>
  <si>
    <t>2111/FTSCY/WS95271 107875050.00 Fri Nov 20 2026 15:00:00 GMT+0700 (Western Indonesia Time) LAWU ABADI NUSA PT</t>
  </si>
  <si>
    <t>2111/FTFVA/WS95031 55574/GUNA MITRA S t.agung - 200177</t>
  </si>
  <si>
    <t>2111/FTSCY/WS95031 3112000.00 lunas HERMAWAN</t>
  </si>
  <si>
    <t>2111/FTFVA/WS95031 80777/TOKOPEDIA - - 82318368518</t>
  </si>
  <si>
    <t>2111/FTSCY/WS95051 108572800.00 Lb tgl 20/11 MANDALA MAJU MAPAN</t>
  </si>
  <si>
    <t>2111/FTSCY/WS95031 252500.00 pelunasan BRANTAS ABADI SENT</t>
  </si>
  <si>
    <t>2111/FTSCY/WS95031 4854700.00 lunas GATUT SETYO WIBOWO</t>
  </si>
  <si>
    <t>2111/FTSCY/WS95051 112789050.00 AH P HAIRUL 3 NOV PHALOSARI UNGGUL J</t>
  </si>
  <si>
    <t>2111/FTSCY/WS95271 40000000.00 titip RUKUN MITRA BERSAM</t>
  </si>
  <si>
    <t>2111/FTSCY/WS95051 64058645.00 ah 3801.7x17100 dipot 950425 GEMILANG INTI SUKS</t>
  </si>
  <si>
    <t>2111/FTSCY/WS95031 1300000.00 SUNARTO</t>
  </si>
  <si>
    <t>2111/FTSCY/WS95051 158233500.00 SIDO RAYA UTAMA CV</t>
  </si>
  <si>
    <t>2111/FTSCY/WS95031 10530820.00 EKO SETIYAWAN</t>
  </si>
  <si>
    <t>2111/FTSCY/WS95031 1428000.00 EKO SETIYAWAN</t>
  </si>
  <si>
    <t>2111/FTSCY/WS95031 11623280.00 EKO SETIYAWAN</t>
  </si>
  <si>
    <t>2111/FTSCY/WS95271 131150000.00 NURUL AINI</t>
  </si>
  <si>
    <t>2111/FTSCY/WS95011 95098860.00 Fri Nov 20 2026 15:00:00 GMT+0700 (Western Indonesia Time) BRANTAS ABADI SENT</t>
  </si>
  <si>
    <t>2111/FTSCY/WS95011 150862400.00 Thu Nov 19 2026 15:00:00 GMT+0700 (Western Indonesia Time) TERNAK SEJATI TABA</t>
  </si>
  <si>
    <t>2111/FTSCY/WS95011 122145000.00 Thu Nov 19 2026 15:00:00 GMT+0700 (Western Indonesia Time) BINTANG TAMA SANTO</t>
  </si>
  <si>
    <t>2111/FTSCY/WS95011 43572700.00 Thu Nov 19 2026 15:00:00 GMT+0700 (Western Indonesia Time) BINTANG TAMA SANTO</t>
  </si>
  <si>
    <t>2111/FTSCY/WS95011 85193740.00 Thu Nov 19 2026 15:00:00 GMT+0700 (Western Indonesia Time) ANUGERAH KARTIKA A</t>
  </si>
  <si>
    <t>2111/FTSCY/WS95271 48856300.00 Thu Nov 19 2026 15:00:00 GMT+0700 (Western Indonesia Time) ANDALAN YASA MITRA</t>
  </si>
  <si>
    <t>2111/FTSCY/WS95031 5500000.00 lunas DWI HERMANSYAH</t>
  </si>
  <si>
    <t>2111/FTSCY/WS95031 5419620.00 tgl 20 dan 21 luna s IMAM KUSAENI</t>
  </si>
  <si>
    <t>2111/FTSCY/WS95031 9052820.00 krg 10 jt MUJIANTO</t>
  </si>
  <si>
    <t>2111/FTSCY/WS95271 800000.00 DINA LUKMIANINGRUM</t>
  </si>
  <si>
    <t>TRSF E-BANKING CR TANGGAL :21/11</t>
  </si>
  <si>
    <t>2111/FTSCY/WS95031 titip 50jt GATUT SETYO WIBOWO</t>
  </si>
  <si>
    <t>2211/FTSCY/WS95271 47280000.00 Sat Nov 21 2026 15:00:00 GMT+0700 (Western Indonesia Time) PRIMA JAYA BERSATU</t>
  </si>
  <si>
    <t>2211/FTSCY/WS95271 1600000.00 HERMAWAN</t>
  </si>
  <si>
    <t>2211/FTSCY/WS95051 114329250.00 Byr LB 21/11 MANDALA MAJU MAPAN</t>
  </si>
  <si>
    <t>2211/FTSCY/WS95271 50000000.00 SUGENG RIADI</t>
  </si>
  <si>
    <t>2211/FTSCY/WS95271 98494380.00 Fri Nov 20 2026 15:00:00 GMT+0700 (Western Indonesia Time) INTEGRASI TEKNOLOG</t>
  </si>
  <si>
    <t>2211/FTSCY/WS95031 4762000.00 ANDE DOSO ANGGORO</t>
  </si>
  <si>
    <t>2211/FTSCY/WS95051 117231300.00 AH P HAIRUL 1 NOV PHALOSARI UNGGUL J</t>
  </si>
  <si>
    <t>2211/FTSCY/WS95051 55357120.00 AH P HAIRUL 2 NOV PHALOSARI UNGGUL J</t>
  </si>
  <si>
    <t>KE 009 BPK MUHAMMAD NANDA /M-BCA</t>
  </si>
  <si>
    <t>TRANSFERKE 009 BPK MUHAMMAD NANDA /M-BCA</t>
  </si>
  <si>
    <t>2211/FTSCY/WS95051 123880000.00 ah 7600x16300 GEMILANG INTI SUKS</t>
  </si>
  <si>
    <t>2211/FTSCY/WS95031 350000.00 NURHAYATI</t>
  </si>
  <si>
    <t>2211/FTSCY/WS95031 5981900.00 FAJAR ANDREANZAH</t>
  </si>
  <si>
    <t>2211/FTSCY/WS95051 474406680.00 SIDO RAYA UTAMA CV</t>
  </si>
  <si>
    <t>2211/FTSCY/WS95031 10000000.00 EKO SETIYAWAN</t>
  </si>
  <si>
    <t>TRSF E-BANKING DB TANGGAL :22/11</t>
  </si>
  <si>
    <t>2211/FTSCY/WS95011 Thu Nov 19 2026 15:00:00 GMT+0700 (Western Indonesia Time) BROILER MAKMUR TAN</t>
  </si>
  <si>
    <t>2211/FTSCY/WS95011 Pelunasan 20/11 TUMBUH OPTIMAL PRI</t>
  </si>
  <si>
    <t>2211/FTSCY/WS95011 Fri Nov 20 2026 15:00:00 GMT+0700 (Western Indonesia Time) TERNAK SEJATI TABA</t>
  </si>
  <si>
    <t>2211/FTSCY/WS95271 Sat Nov 21 2026 15:00:00 GMT+0700 (Western Indonesia Time) ANUGERAH KARTIKA A</t>
  </si>
  <si>
    <t>2211/FTSCY/WS95271 Fri Nov 20 2026 15:00:00 GMT+0700 (Western Indonesia Time) RUKUN MITRA BERSAM</t>
  </si>
  <si>
    <t>2211/FTSCY/WS95031 pelunasan SUGENG RIADI</t>
  </si>
  <si>
    <t>2211/FTSCY/WS95271 SUNARTO</t>
  </si>
  <si>
    <t>2311/FTSCY/WS95271 74000000.00 Byr ayam rpa sbu ALDINI MARIA GUMIL</t>
  </si>
  <si>
    <t>2311/FTSCY/WS95271 46310400.00 Sat Nov 21 2026 15:00:00 GMT+0700 (Western Indonesia Time) BRANTAS ABADI SENT</t>
  </si>
  <si>
    <t>2311/FTSCY/WS95271 57630030.00 Sat Nov 21 2026 15:00:00 GMT+0700 (Western Indonesia Time) BRANTAS ABADI SENT</t>
  </si>
  <si>
    <t>2311/FTSCY/WS95271 105241730.00 Sat Nov 21 2026 15:00:00 GMT+0700 (Western Indonesia Time) BRANTAS ABADI SENT</t>
  </si>
  <si>
    <t>2311/FTSCY/WS95271 34430100.00 pelunasan GANESHA SATRIA NUS</t>
  </si>
  <si>
    <t>2311/FTSCY/WS95031 3715160.00 krg 90 jt EKO SETIYAWAN</t>
  </si>
  <si>
    <t>2311/FTSCY/WS95031 413140.00 krg 5 jt FAJAR ANDREANZAH</t>
  </si>
  <si>
    <t>2311/FTSCY/WS95031 1000000.00 IMAM KUSAENI</t>
  </si>
  <si>
    <t>2311/FTSCY/WS95051 58956800.00 BYR AH HAIRUL BIJI JAGUNG PERKAS</t>
  </si>
  <si>
    <t>2311/FTSCY/WS95051 79049800.00 Pembayaran LB Tgl 22/11 MANDALA MAJU MAPAN</t>
  </si>
  <si>
    <t>CONATO BAKERY NICO 6019009510239343</t>
  </si>
  <si>
    <t>TARIKAN ATM 23/11</t>
  </si>
  <si>
    <t>2311/FTSCY/WS95051 56929920.00 AH P. HAIRUL 9 NOV PHALOSARI UNGGUL J</t>
  </si>
  <si>
    <t>2311/FTSCY/WS95051 116229120.00 AH P HAIRUL 8 NOV PHALOSARI UNGGUL J</t>
  </si>
  <si>
    <t>2311/FTSCY/WS95271 14193000.00 NURUL AINI</t>
  </si>
  <si>
    <t>2311/FTSCY/WS95031 21697930.00 EKO SETIYAWAN</t>
  </si>
  <si>
    <t>2311/FTSCY/WS95031 1769410.00 SUNARTO</t>
  </si>
  <si>
    <t>2311/FTSCY/WS95271 3200000.00 pelunasan SITI RAHMA IFTITAH</t>
  </si>
  <si>
    <t>2311/FTSCY/WS95271 13000000.00 Sat Nov 21 2026 15:00:00 GMT+0700 (Western Indonesia Time) RUKUN MITRA BERSAM</t>
  </si>
  <si>
    <t>2311/FTSCY/WS95011 93705560.00 Pelunasan 21/11 RUKUN MITRA BERSAM</t>
  </si>
  <si>
    <t>2311/FTSCY/WS95011 54366250.00 Sat Nov 21 2026 15:00:00 GMT+0700 (Western Indonesia Time) RUKUN MITRA BERSAM</t>
  </si>
  <si>
    <t>2311/FTSCY/WS95011 48704000.00 Sat Nov 21 2026 15:00:00 GMT+0700 (Western Indonesia Time) SUPER UNGGAS JAYA</t>
  </si>
  <si>
    <t>TRSF E-BANKING CR TANGGAL :23/11</t>
  </si>
  <si>
    <t>2311/FTSCY/WS95051 SIDO RAYA UTAMA CV</t>
  </si>
  <si>
    <t>2411/FTSCY/WS95031 66000000.00 Dari Pak Gatut Set yo Wibowo SEFI HANA KRISNAWA</t>
  </si>
  <si>
    <t>2411/FTSCY/WS95011 213046000.00 Sat Nov 21 2026 15:00:00 GMT+0700 (Western Indonesia Time) BROILER MAKMUR TAN</t>
  </si>
  <si>
    <t>2411/FTSCY/WS95011 129870400.00 Sun Nov 22 2026 15:00:00 GMT+0700 (Western Indonesia Time) GANESHA SATRIA NUS</t>
  </si>
  <si>
    <t>2411/FTSCY/WS95011 28239590.00 Sun Nov 22 2026 15:00:00 GMT+0700 (Western Indonesia Time) PT BERLIAN INDOMIT</t>
  </si>
  <si>
    <t>2411/FTSCY/WS95051 544819530.00 krmn 23/11 TERA MULIA KORPORI</t>
  </si>
  <si>
    <t>2411/FTSCY/WS95051 120671250.00 Byr Lb 23/11 MANDALA MAJU MAPAN</t>
  </si>
  <si>
    <t>2411/FTSCY/WS95051 59280000.00 ah 3800x15600 GEMILANG INTI SUKS</t>
  </si>
  <si>
    <t>2411/FTSCY/WS95051 101198968.00 AH BUA 17 NOV 23 PHALOSARI UNGGUL J</t>
  </si>
  <si>
    <t>2411/FTSCY/WS95051 100278745.00 AH BUA 15 NOV 23 PHALOSARI UNGGUL J</t>
  </si>
  <si>
    <t>2411/FTSCY/WS95271 51232000.00 Sun Nov 22 2026 15:00:00 GMT+0700 (Western Indonesia Time) BINTANG TAMA SANTO</t>
  </si>
  <si>
    <t>2411/FTSCY/WS95271 89019030.00 Sun Nov 22 2026 15:00:00 GMT+0700 (Western Indonesia Time) ANUGERAH KARTIKA A</t>
  </si>
  <si>
    <t>2411/FTSCY/WS95271 1019250.00 DINA LUKMIANINGRUM</t>
  </si>
  <si>
    <t>2411/FTSCY/WS95271 44917700.00 Sun Nov 22 2026 15:00:00 GMT+0700 (Western Indonesia Time) BINTANG TAMA SANTO</t>
  </si>
  <si>
    <t>2411/FTSCY/WS95271 88028200.00 Sun Nov 22 2026 15:00:00 GMT+0700 (Western Indonesia Time) LAJU SATWA WISESA</t>
  </si>
  <si>
    <t>2411/FTSCY/WS95271 23980410.00 Sun Nov 22 2026 15:00:00 GMT+0700 (Western Indonesia Time) BINTANG TAMA SANTO</t>
  </si>
  <si>
    <t>2411/FTSCY/WS95031 20000000.00 pelunasan BINTANG TAMA SANTO</t>
  </si>
  <si>
    <t>2411/FTSCY/WS95271 150000.00 ANTON IMRONI</t>
  </si>
  <si>
    <t>2411/FTFVA/WS95031 55574/GUNA MITRA S t.agung - 200177</t>
  </si>
  <si>
    <t>2411/FTFVA/WS95031 67847/UNGGAS MANDI ponrogo - 200043</t>
  </si>
  <si>
    <t>2411/FTSCY/WS95031 13408180.00 EKO SETIYAWAN</t>
  </si>
  <si>
    <t>2411/FTSCY/WS95031 6500000.00 DWI HERMANSYAH</t>
  </si>
  <si>
    <t>2411/FTSCY/WS95031 12000000.00 NURUL AINI</t>
  </si>
  <si>
    <t>2411/FTSCY/WS95031 675000.00 NURUL AINI</t>
  </si>
  <si>
    <t>2411/FTSCY/WS95011 128458670.00 Sun Nov 22 2026 15:00:00 GMT+0700 (Western Indonesia Time) RUKUN MITRA BERSAM</t>
  </si>
  <si>
    <t>2411/FTSCY/WS95031 31000000.00 pelunasan RUKUN MITRA BERSAM</t>
  </si>
  <si>
    <t>2411/FTSCY/WS95031 4045720.00 HERMAWAN</t>
  </si>
  <si>
    <t>2411/FTSCY/WS95031 12265480.00 krg 10 jt MUJIANTO</t>
  </si>
  <si>
    <t>2411/FTSCY/WS95031 4172100.00 lmjg IMAM KUSAENI</t>
  </si>
  <si>
    <t>2411/FTSCY/WS95031 4115920.00 SUNARTO</t>
  </si>
  <si>
    <t>2411/FTSCY/WS95031 3354400.00 FAJAR ANDREANZAH</t>
  </si>
  <si>
    <t>TRSF E-BANKING CR TANGGAL :24/11</t>
  </si>
  <si>
    <t>2411/FTSCY/WS95031 titip 45jt GATUT SETYO WIBOWO</t>
  </si>
  <si>
    <t>2511/FTSCY/WS95031 2771160.00 IMAM KUSAENI</t>
  </si>
  <si>
    <t>2511/FTSCY/WS95031 2896400.00 FAJAR ANDREANZAH</t>
  </si>
  <si>
    <t>2511/FTSCY/WS95051 305031480.00 AH BUA 21 NOV 23 PHALOSARI UNGGUL J</t>
  </si>
  <si>
    <t>2511/FTSCY/WS95011 158883030.00 Sun Nov 22 2026 15:00:00 GMT+0700 (Western Indonesia Time) BROILER MAKMUR TAN</t>
  </si>
  <si>
    <t>2511/FTSCY/WS95011 43652250.00 Mon Nov 23 2026 15:00:00 GMT+0700 (Western Indonesia Time) BINTANG TAMA SANTO</t>
  </si>
  <si>
    <t>2511/FTSCY/WS95011 86618484.00 Mon Nov 23 2026 15:00:00 GMT+0700 (Western Indonesia Time) BINTANG TAMA SANTO</t>
  </si>
  <si>
    <t>2511/FTSCY/WS95011 81693250.00 Mon Nov 23 2026 15:00:00 GMT+0700 (Western Indonesia Time) BINTANG TAMA SANTO</t>
  </si>
  <si>
    <t>2511/FTSCY/WS95011 48364650.00 Mon Nov 23 2026 15:00:00 GMT+0700 (Western Indonesia Time) RUKUN MITRA BERSAM</t>
  </si>
  <si>
    <t>2511/FTSCY/WS95011 80787000.00 Mon Nov 23 2026 15:00:00 GMT+0700 (Western Indonesia Time) SUPER UNGGAS JAYA</t>
  </si>
  <si>
    <t>2511/FTSCY/WS95271 58000000.00 pelunasan SUPER UNGGAS JAYA</t>
  </si>
  <si>
    <t>2511/FTSCY/WS95271 100261750.00 Mon Nov 23 2026 15:00:00 GMT+0700 (Western Indonesia Time) BUDI SURYANTO</t>
  </si>
  <si>
    <t>2511/FTSCY/WS95031 11077050.00 pelunasan 23.11 TERNAK SEJATI TABA</t>
  </si>
  <si>
    <t>2511/FTFVA/WS95031 80777/TOKOPEDIA - - 82318368518</t>
  </si>
  <si>
    <t>2611/FTSCY/WS95271 87610000.00 NURUL AINI</t>
  </si>
  <si>
    <t>2611/FTSCY/WS95031 750000.00 SUNARTO</t>
  </si>
  <si>
    <t>2611/FTSCY/WS95031 2249200.00 ngawi HERMAWAN</t>
  </si>
  <si>
    <t>2611/FTSCY/WS95031 4000000.00 DWI HERMANSYAH</t>
  </si>
  <si>
    <t>2611/FTSCY/WS95031 7037600.00 MUJIANTO</t>
  </si>
  <si>
    <t>2611/FTSCY/WS95031 7786670.00 lunas FAJAR ANDREANZAH</t>
  </si>
  <si>
    <t>2611/FTSCY/WS95031 876660.00 lunas GATUT SETYO WIBOWO</t>
  </si>
  <si>
    <t>2611/FTSCY/WS95051 56805200.00 Byr Lb24/11 MANDALA MAJU MAPAN</t>
  </si>
  <si>
    <t>26/11  WSID9503102 0507 FIF 803001249921 MUHAMMAD HAIRUL MA</t>
  </si>
  <si>
    <t>2611/FTSCY/WS95271 15398316.00 SUNARI</t>
  </si>
  <si>
    <t>IDM TUTI BASUKI RH 6019009510239343</t>
  </si>
  <si>
    <t>BIF TRANSFER KE 2 SUPRIYANTO MyBCA</t>
  </si>
  <si>
    <t>BIF BIAYA TXN KE 2 SUPRIYANTO MyBCA</t>
  </si>
  <si>
    <t>2611/FTSCY/WS95031 45000000.00 titip 45jt GATUT SETYO WIBOWO</t>
  </si>
  <si>
    <t>2611/FTSCY/WS95271 100000000.00 titip GANESHA SATRIA NUS</t>
  </si>
  <si>
    <t>2711/FTSCY/WS95271 40581000.00 pacitan PRIMA JAYA BERSATU</t>
  </si>
  <si>
    <t>KR OTOMATIS</t>
  </si>
  <si>
    <t>LLG-MANDIRI SUPER FAMOUS CHICK Pembelian ayam hid up</t>
  </si>
  <si>
    <t>2711/FTSCY/WS95051 94104500.00 Byr LB25/11 MANDALA MAJU MAPAN</t>
  </si>
  <si>
    <t>2711/FTSCY/WS95051 160471000.00 pembelian ayam hidup TRIJAYA LESTARI FO</t>
  </si>
  <si>
    <t>2711/FTSCY/WS95271 44185540.00 Tue Nov 24 2026 15:00:00 GMT+0700 (Western Indonesia Time) ANDALAN YASA MITRA</t>
  </si>
  <si>
    <t>2711/FTSCY/WS95271 56109750.00 pelunasan 24/11 ANUGERAH KARTIKA A</t>
  </si>
  <si>
    <t>2711/FTSCY/WS95051 54528000.00 AH P HAIRUL 7 NOV PHALOSARI UNGGUL J</t>
  </si>
  <si>
    <t>2711/FTSCY/WS95051 221783870.00 AH P HAIRUL 4 NOV PHALOSARI UNGGUL J</t>
  </si>
  <si>
    <t>2711/FTFVA/WS95031 67847/UNGGAS MANDI malang - 200043</t>
  </si>
  <si>
    <t>2711/FTSCY/WS95011 46400000.00 ASFA RAFFANO MIFTA</t>
  </si>
  <si>
    <t>2711/FTSCY/WS95031 8891630.00 EKO SETIYAWAN</t>
  </si>
  <si>
    <t>2711/FTSCY/WS95011 249024340.00 Tue Nov 24 2026 15:00:00 GMT+0700 (Western Indonesia Time) SUPER UNGGAS JAYA</t>
  </si>
  <si>
    <t>2711/FTSCY/WS95011 85688860.00 Tue Nov 24 2026 15:00:00 GMT+0700 (Western Indonesia Time) BROILER MAKMUR TAN</t>
  </si>
  <si>
    <t>2711/FTSCY/WS95011 46219500.00 Tue Nov 24 2026 15:00:00 GMT+0700 (Western Indonesia Time) ANUGERAH KARTIKA A</t>
  </si>
  <si>
    <t>2711/FTSCY/WS95011 57775500.00 Thu Nov 26 2026 15:00:00 GMT+0700 (Western Indonesia Time) INTEGRASI TEKNOLOG</t>
  </si>
  <si>
    <t>2711/FTSCY/WS95011 57301500.00 Thu Nov 26 2026 15:00:00 GMT+0700 (Western Indonesia Time) LAJU SATWA WISESA</t>
  </si>
  <si>
    <t>2711/FTSCY/WS95271 50000000.00 dp BRANTAS ABADI SENT</t>
  </si>
  <si>
    <t>2711/FTSCY/WS95051 85860800.00 SIDO RAYA UTAMA CV</t>
  </si>
  <si>
    <t>2711/FTSCY/WS95031 6048070.00 krg 8 jt MUJIANTO</t>
  </si>
  <si>
    <t>2711/FTSCY/WS95031 1818430.00 SUNARTO</t>
  </si>
  <si>
    <t>2711/FTSCY/WS95031 3470740.00 jember lunas FAJAR ANDREANZAH</t>
  </si>
  <si>
    <t>2711/FTSCY/WS95031 1800000.00 DWI HERMANSYAH</t>
  </si>
  <si>
    <t>2711/FTSCY/WS95271 20000000.00 BRANTAS ABADI SENT</t>
  </si>
  <si>
    <t>2811/FTSCY/WS95271 500000.00 menua bersama amin DEBRILIA IFTIKHARR</t>
  </si>
  <si>
    <t>2811/FTFVA/WS95031 55569/PT PRIMA FAJ malang - 40190</t>
  </si>
  <si>
    <t>2811/FTFVA/WS95031 67847/UNGGAS MANDI pelunasan - 200043</t>
  </si>
  <si>
    <t>2811/FTSCY/WS95051 115654350.00 Byr LB 28/11 MANDALA MAJU MAPAN</t>
  </si>
  <si>
    <t>2811/FTSCY/WS95271 100155000.00 Thu Nov 26 2026 15:00:00 GMT+0700 (Western Indonesia Time) RUKUN MITRA BERSAM</t>
  </si>
  <si>
    <t>TARIKAN ATM 28/11</t>
  </si>
  <si>
    <t>2811/FTSCY/WS95051 211220485.00 AH BUA 16 NOV 23 PHALOSARI UNGGUL J</t>
  </si>
  <si>
    <t>2811/FTSCY/WS95051 59280000.00 ah 3800x15600 GEMILANG INTI SUKS</t>
  </si>
  <si>
    <t>2811/FTSCY/WS95271 2250000.00 SITI RAHMA IFTITAH</t>
  </si>
  <si>
    <t>2811/FTSCY/WS95031 23662000.00 lunas BRANTAS ABADI SENT</t>
  </si>
  <si>
    <t>2811/FTSCY/WS95271 105242980.00 pelunasan BRANTAS ABADI SENT</t>
  </si>
  <si>
    <t>2811/FTSCY/WS95011 187342400.00 ASFA RAFFANO MIFTA</t>
  </si>
  <si>
    <t>2811/FTSCY/WS95271 44263500.00 Thu Nov 26 2026 15:00:00 GMT+0700 (Western Indonesia Time) SUPER UNGGAS JAYA</t>
  </si>
  <si>
    <t>2811/FTSCY/WS95271 46107000.00 Thu Nov 26 2026 15:00:00 GMT+0700 (Western Indonesia Time) ANUGERAH KARTIKA A</t>
  </si>
  <si>
    <t>2811/FTSCY/WS95031 51588100.00 Thu Nov 26 2026 15:00:00 GMT+0700 (Western Indonesia Time) BROILER MAKMUR TAN</t>
  </si>
  <si>
    <t>2811/FTSCY/WS95011 46500000.00 NIFA MEI ARDILA</t>
  </si>
  <si>
    <t>2811/FTSCY/WS95031 80000000.00 Dari Pak Gatut Set yo Wibowo SEFI HANA KRISNAWA</t>
  </si>
  <si>
    <t>2811/FTSCY/WS95031 7286870.00 lunas HERMAWAN</t>
  </si>
  <si>
    <t>2811/FTSCY/WS95011 140880000.00 Fri Nov 27 2026 15:00:00 GMT+0700 (Western Indonesia Time) RUKUN MITRA BERSAM</t>
  </si>
  <si>
    <t>2811/FTSCY/WS95011 181487950.00 Fri Nov 27 2026 15:00:00 GMT+0700 (Western Indonesia Time) BRANTAS ABADI SENT</t>
  </si>
  <si>
    <t>2811/FTSCY/WS95051 280159600.00 SIDO RAYA UTAMA CV</t>
  </si>
  <si>
    <t>2811/FTSCY/WS95031 3100000.00 FAJAR ANDREANZAH</t>
  </si>
  <si>
    <t>2811/FTSCY/WS95031 10775590.00 krg 90 jt EKO SETIYAWAN</t>
  </si>
  <si>
    <t>2811/FTSCY/WS95031 3000000.00 EKO SETIYAWAN</t>
  </si>
  <si>
    <t>TRSF E-BANKING DB TANGGAL :28/11</t>
  </si>
  <si>
    <t>2811/FTSCY/WS95011 Thu Nov 26 2026 15:00:00 GMT+0700 (Western Indonesia Time) TABASSAM JAYA FARM</t>
  </si>
  <si>
    <t>2811/FTSCY/WS95011 Fri Nov 27 2026 15:00:00 GMT+0700 (Western Indonesia Time) BRANTAS ABADI SENT</t>
  </si>
  <si>
    <t>2811/FTSCY/WS95011 27/11 krg 65 jt GANESHA SATRIA NUS</t>
  </si>
  <si>
    <t>TRSF E-BANKING CR TANGGAL :28/11</t>
  </si>
  <si>
    <t>2811/FTSCY/WS95271 Byr Ayam JT 19.11 RPA SBUG ALDINI MARIA GUMIL</t>
  </si>
  <si>
    <t>2911/FTSCY/WS95271 45000000.00 Fri Nov 27 2026 15:00:00 GMT+0700 (Western Indonesia Time) TUMBUH OPTIMAL PRI</t>
  </si>
  <si>
    <t>2911/FTSCY/WS95271 600000.00 ANDE DOSO ANGGORO</t>
  </si>
  <si>
    <t>2911/FTSCY/WS95271 26055900.00 Sat Nov 28 2026 15:00:00 GMT+0700 (Western Indonesia Time) ANUGERAH KARTIKA A</t>
  </si>
  <si>
    <t>BIF TRANSFER KE 8 DWI RIZQIKA DZULKA MyBCA</t>
  </si>
  <si>
    <t>BIF BIAYA TXN KE 8 DWI RIZQIKA DZULKA MyBCA</t>
  </si>
  <si>
    <t>2911/FTSCY/WS95271 46333500.00 Fri Nov 27 2026 15:00:00 GMT+0700 (Western Indonesia Time) ADNAN</t>
  </si>
  <si>
    <t>BIF TRANSFER KE 2 IIN INDAWASIH MyBCA</t>
  </si>
  <si>
    <t>BIF BIAYA TXN KE 2 IIN INDAWASIH MyBCA</t>
  </si>
  <si>
    <t>2911/FTSCY/WS95271 150000.00 GINANJAR AYUB SIRE</t>
  </si>
  <si>
    <t>2911/FTSCY/WS95271 1000000.00 NURUL AINI</t>
  </si>
  <si>
    <t>TARIKAN ATM 29/11</t>
  </si>
  <si>
    <t>2911/FTSCY/WS95051 62491400.00 Byr lb 28/11 MANDALA MAJU MAPAN</t>
  </si>
  <si>
    <t>2911/FTFVA/WS95031 55569/PT PRIMA FAJ mlg - 40190</t>
  </si>
  <si>
    <t>2911/FTSCY/WS95051 113284600.00 AH P HAIRUL 6 NOV PHALOSARI UNGGUL J</t>
  </si>
  <si>
    <t>2911/FTSCY/WS95051 226559850.00 AH P HAIRUL 14 NOV PHALOSARI UNGGUL J</t>
  </si>
  <si>
    <t>2911/FTSCY/WS95051 49986411.00 AH BUA 20 NOV 23 PHALOSARI UNGGUL J</t>
  </si>
  <si>
    <t>2911/FTSCY/WS95051 93502508.00 AH BUA 27 NOV 23 PHALOSARI UNGGUL J</t>
  </si>
  <si>
    <t>2911/FTFVA/WS95031 67847/UNGGAS MANDI - - 200043</t>
  </si>
  <si>
    <t>2911/FTSCY/WS95051 47063480.00 SIDO RAYA UTAMA CV</t>
  </si>
  <si>
    <t>2911/FTSCY/WS95011 114748600.00 Fri Nov 27 2026 15:00:00 GMT+0700 (Western Indonesia Time) SUPER UNGGAS JAYA</t>
  </si>
  <si>
    <t>2911/FTSCY/WS95271 54355200.00 Fri Nov 27 2026 15:00:00 GMT+0700 (Western Indonesia Time) AHMAD SAHRO WARDI</t>
  </si>
  <si>
    <t>2911/FTSCY/WS95271 45411900.00 Sat Nov 28 2026 15:00:00 GMT+0700 (Western Indonesia Time) RIZKY ANANDA PUTRI</t>
  </si>
  <si>
    <t>2911/FTSCY/WS95011 47361600.00 Sat Nov 28 2026 15:00:00 GMT+0700 (Western Indonesia Time) INTEGRASI TEKNOLOG</t>
  </si>
  <si>
    <t>2911/FTSCY/WS95011 40657500.00 Sat Nov 28 2026 15:00:00 GMT+0700 (Western Indonesia Time) BINTANG TAMA SANTO</t>
  </si>
  <si>
    <t>2911/FTSCY/WS95011 46779000.00 Sat Nov 28 2026 15:00:00 GMT+0700 (Western Indonesia Time) TUMBUH OPTIMAL PRI</t>
  </si>
  <si>
    <t>2911/FTSCY/WS95031 13908050.00 krg 90 jt EKO SETIYAWAN</t>
  </si>
  <si>
    <t>2911/FTSCY/WS95031 12843250.00 krg 5 jt MUJIANTO</t>
  </si>
  <si>
    <t>2911/FTSCY/WS95031 3389730.00 lunas FAJAR ANDREANZAH</t>
  </si>
  <si>
    <t>2911/FTSCY/WS95271 29500000.00 NURUL AINI</t>
  </si>
  <si>
    <t>2911/FTSCY/WS95031 3200000.00 lunas SUNARTO</t>
  </si>
  <si>
    <t>2911/FTSCY/WS95031 1300000.00 IMAM KUSAENI</t>
  </si>
  <si>
    <t>2911/FTSCY/WS95031 1798280.00 HERMAWAN</t>
  </si>
  <si>
    <t>2911/FTSCY/WS95271 29361650.00 Sat Nov 28 2026 15:00:00 GMT+0700 (Western Indonesia Time) ANUGERAH KARTIKA A</t>
  </si>
  <si>
    <t>2911/FTSCY/WS95031 6340020.00 lunas GATUT SETYO WIBOWO</t>
  </si>
  <si>
    <t>2911/FTSCY/WS95031 750000.00 NURHAYATI</t>
  </si>
  <si>
    <t>TRSF E-BANKING CR TANGGAL :29/11</t>
  </si>
  <si>
    <t>2911/FTSCY/WS95031 Zainal ZAINAL ARIFIN</t>
  </si>
  <si>
    <t>3011/FTSCY/WS95271 46500000.00 29/11 lunas PRIMA JAYA BERSATU</t>
  </si>
  <si>
    <t>3011/FTSCY/WS95271 49724400.00 Sun Nov 29 2026 15:00:00 GMT+0700 (Western Indonesia Time) PRIMA JAYA BERSATU</t>
  </si>
  <si>
    <t>3011/FTSCY/WS95271 14766000.00 lokal 28/11 ANDALAN YASA MITRA</t>
  </si>
  <si>
    <t>TARIKAN ATM 30/11</t>
  </si>
  <si>
    <t>3011/FTSCY/WS95051 55421100.00 Byr lb29/11 MANDALA MAJU MAPAN</t>
  </si>
  <si>
    <t>3011/FTSCY/WS95271 500000.00 MUHAMMAD HAIRUL MA</t>
  </si>
  <si>
    <t>3011/FTSCY/WS95051 55903152.00 AH BUA 17 NOV 23 PHALOSARI UNGGUL J</t>
  </si>
  <si>
    <t>3011/FTSCY/WS95051 277395840.00 AH P HAIRUL 13 NOV PHALOSARI UNGGUL J</t>
  </si>
  <si>
    <t>3011/FTSCY/WS95051 55937645.00 AH BUA 17 NOV 23 PHALOSARI UNGGUL J</t>
  </si>
  <si>
    <t>3011/FTSCY/WS95051 49949763.00 AH BUA 20 NOV 23 PHALOSARI UNGGUL J</t>
  </si>
  <si>
    <t>3011/FTSCY/WS95271 1000000.00 BERKAH UNGGAS AGUN</t>
  </si>
  <si>
    <t>3011/FTSCY/WS95031 1474000.00 NURUL AINI</t>
  </si>
  <si>
    <t>3011/FTSCY/WS95011 145180750.00 Sat Nov 28 2026 15:00:00 GMT+0700 (Western Indonesia Time) BROILER MAKMUR TAN</t>
  </si>
  <si>
    <t>3011/FTSCY/WS95011 45088000.00 Sun Nov 29 2026 15:00:00 GMT+0700 (Western Indonesia Time) RUKUN MITRA BERSAM</t>
  </si>
  <si>
    <t>3011/FTSCY/WS95011 93939200.00 Sun Nov 29 2026 15:00:00 GMT+0700 (Western Indonesia Time) TUMBUH OPTIMAL PRI</t>
  </si>
  <si>
    <t>3011/FTSCY/WS95011 46069650.00 Sun Nov 29 2026 15:00:00 GMT+0700 (Western Indonesia Time) ANDALAN YASA MITRA</t>
  </si>
  <si>
    <t>3011/FTSCY/WS95011 49500000.00 Sun Nov 29 2026 15:00:00 GMT+0700 (Western Indonesia Time) PT BERLIAN INDOMIT</t>
  </si>
  <si>
    <t>3011/FTSCY/WS95011 65670000.00 Sun Nov 29 2026 15:00:00 GMT+0700 (Western Indonesia Time) ANUGERAH KARTIKA A</t>
  </si>
  <si>
    <t>3011/FTSCY/WS95271 36322020.00 Sun Nov 29 2026 15:00:00 GMT+0700 (Western Indonesia Time) SITI RAHMA IFTITAH</t>
  </si>
  <si>
    <t>3011/FTSCY/WS95051 202703250.00 SIDO RAYA UTAMA CV</t>
  </si>
  <si>
    <t>DR KOREKSI BUNGA</t>
  </si>
  <si>
    <t>BUNGA</t>
  </si>
  <si>
    <t>PAJAK BUNGA</t>
  </si>
  <si>
    <t xml:space="preserve"> SALDO AWAL : MUTASI CR : MUTASI DB : SALDO AKHIR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</si>
</sst>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dd&quot;/&quot;mm"/>
    <numFmt numFmtId="166" formatCode="d/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2" numFmtId="2" xfId="0" applyAlignment="1" applyFont="1" applyNumberFormat="1">
      <alignment vertical="bottom"/>
    </xf>
    <xf borderId="0" fillId="0" fontId="1" numFmtId="165" xfId="0" applyFont="1" applyNumberFormat="1"/>
    <xf borderId="0" fillId="0" fontId="1" numFmtId="166" xfId="0" applyAlignment="1" applyFont="1" applyNumberFormat="1">
      <alignment readingOrder="0"/>
    </xf>
    <xf borderId="0" fillId="2" fontId="1" numFmtId="166" xfId="0" applyAlignment="1" applyFill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4" xfId="0" applyAlignment="1" applyFill="1" applyFont="1" applyNumberFormat="1">
      <alignment readingOrder="0"/>
    </xf>
    <xf borderId="0" fillId="2" fontId="1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5.25"/>
  </cols>
  <sheetData>
    <row r="1">
      <c r="A1" s="1"/>
      <c r="B1" s="2"/>
      <c r="D1" s="3"/>
      <c r="E1" s="3"/>
      <c r="F1" s="3"/>
      <c r="G1" s="4"/>
      <c r="H1" s="4"/>
      <c r="I1" s="6"/>
    </row>
    <row r="2">
      <c r="A2" s="1">
        <v>46327.0</v>
      </c>
      <c r="B2" s="2" t="s">
        <v>0</v>
      </c>
      <c r="C2" s="2" t="s">
        <v>0</v>
      </c>
      <c r="D2" s="3"/>
      <c r="E2" s="3">
        <f>SUM(E3:E674) </f>
        <v>20465628333</v>
      </c>
      <c r="F2" s="3"/>
      <c r="G2" s="4">
        <v>2.4169048919E8</v>
      </c>
      <c r="H2" s="4">
        <v>2.4169048919E8</v>
      </c>
      <c r="I2" s="6"/>
    </row>
    <row r="3">
      <c r="A3" s="1">
        <v>46327.0</v>
      </c>
      <c r="B3" s="2" t="s">
        <v>1</v>
      </c>
      <c r="C3" s="2" t="s">
        <v>2</v>
      </c>
      <c r="D3" s="4">
        <v>1.1456E8</v>
      </c>
      <c r="E3" s="3"/>
      <c r="F3" s="4" t="s">
        <v>3</v>
      </c>
      <c r="G3" s="3">
        <f>G2-D3+E3</f>
        <v>127130489.2</v>
      </c>
      <c r="H3" s="4">
        <v>1.2713048919E8</v>
      </c>
      <c r="I3" s="6"/>
    </row>
    <row r="4">
      <c r="A4" s="1">
        <v>46327.0</v>
      </c>
      <c r="B4" s="2" t="s">
        <v>1</v>
      </c>
      <c r="C4" s="2" t="s">
        <v>4</v>
      </c>
      <c r="D4" s="4">
        <v>5.4639E7</v>
      </c>
      <c r="E4" s="3"/>
      <c r="F4" s="4" t="s">
        <v>3</v>
      </c>
      <c r="G4" s="3">
        <f t="array" ref="G4:G674">SCAN(G3, MAP(D4:D674, E4:E674, LAMBDA(d, c, IF(AND(d="", c=""), "", N(c) - N(d)))), LAMBDA(saldo, mutasi, IF(mutasi="", "", saldo + mutasi)))</f>
        <v>72491489.19</v>
      </c>
      <c r="H4" s="4"/>
      <c r="I4" s="6"/>
    </row>
    <row r="5">
      <c r="A5" s="1">
        <v>46327.0</v>
      </c>
      <c r="B5" s="2" t="s">
        <v>5</v>
      </c>
      <c r="C5" s="2" t="s">
        <v>6</v>
      </c>
      <c r="D5" s="4"/>
      <c r="E5" s="4">
        <v>1.69E7</v>
      </c>
      <c r="F5" s="4" t="s">
        <v>7</v>
      </c>
      <c r="G5" s="3">
        <v>8.939148919E7</v>
      </c>
      <c r="H5" s="3"/>
      <c r="I5" s="6"/>
    </row>
    <row r="6">
      <c r="A6" s="1">
        <v>46327.0</v>
      </c>
      <c r="B6" s="2" t="s">
        <v>1</v>
      </c>
      <c r="C6" s="2" t="s">
        <v>4</v>
      </c>
      <c r="D6" s="4">
        <v>5.30075E7</v>
      </c>
      <c r="E6" s="3"/>
      <c r="F6" s="4" t="s">
        <v>3</v>
      </c>
      <c r="G6" s="3">
        <v>3.638398919E7</v>
      </c>
      <c r="H6" s="4"/>
      <c r="I6" s="6"/>
    </row>
    <row r="7">
      <c r="A7" s="1">
        <v>46327.0</v>
      </c>
      <c r="B7" s="2" t="s">
        <v>5</v>
      </c>
      <c r="C7" s="2" t="s">
        <v>8</v>
      </c>
      <c r="D7" s="4"/>
      <c r="E7" s="4">
        <v>1.76415E8</v>
      </c>
      <c r="F7" s="4" t="s">
        <v>7</v>
      </c>
      <c r="G7" s="3">
        <v>2.1279898919E8</v>
      </c>
      <c r="H7" s="3"/>
      <c r="I7" s="6" t="s">
        <v>9</v>
      </c>
    </row>
    <row r="8">
      <c r="A8" s="1">
        <v>46327.0</v>
      </c>
      <c r="B8" s="2" t="s">
        <v>10</v>
      </c>
      <c r="C8" s="2" t="s">
        <v>11</v>
      </c>
      <c r="D8" s="4">
        <v>1.1202275E8</v>
      </c>
      <c r="E8" s="3"/>
      <c r="F8" s="4" t="s">
        <v>3</v>
      </c>
      <c r="G8" s="3">
        <v>1.0077623919E8</v>
      </c>
      <c r="H8" s="4"/>
      <c r="I8" s="6" t="s">
        <v>9</v>
      </c>
    </row>
    <row r="9">
      <c r="A9" s="1">
        <v>46327.0</v>
      </c>
      <c r="B9" s="2" t="s">
        <v>10</v>
      </c>
      <c r="C9" s="2" t="s">
        <v>12</v>
      </c>
      <c r="D9" s="4">
        <v>1.0000451E8</v>
      </c>
      <c r="E9" s="3"/>
      <c r="F9" s="4" t="s">
        <v>3</v>
      </c>
      <c r="G9" s="3">
        <v>771729.1899999976</v>
      </c>
      <c r="H9" s="4"/>
      <c r="I9" s="6" t="s">
        <v>13</v>
      </c>
    </row>
    <row r="10">
      <c r="A10" s="1">
        <v>46327.0</v>
      </c>
      <c r="B10" s="2" t="s">
        <v>14</v>
      </c>
      <c r="C10" s="2" t="s">
        <v>15</v>
      </c>
      <c r="D10" s="4"/>
      <c r="E10" s="4">
        <v>7.1782E7</v>
      </c>
      <c r="F10" s="4" t="s">
        <v>7</v>
      </c>
      <c r="G10" s="3">
        <v>7.255372919E7</v>
      </c>
      <c r="H10" s="3"/>
      <c r="I10" s="6" t="s">
        <v>9</v>
      </c>
    </row>
    <row r="11">
      <c r="A11" s="1">
        <v>46327.0</v>
      </c>
      <c r="B11" s="2" t="s">
        <v>14</v>
      </c>
      <c r="C11" s="2" t="s">
        <v>16</v>
      </c>
      <c r="D11" s="4"/>
      <c r="E11" s="4">
        <v>6.04494E7</v>
      </c>
      <c r="F11" s="4" t="s">
        <v>7</v>
      </c>
      <c r="G11" s="3">
        <v>1.3300312919E8</v>
      </c>
      <c r="H11" s="3"/>
      <c r="I11" s="6" t="s">
        <v>9</v>
      </c>
    </row>
    <row r="12">
      <c r="A12" s="1">
        <v>46327.0</v>
      </c>
      <c r="B12" s="2" t="s">
        <v>10</v>
      </c>
      <c r="C12" s="2" t="s">
        <v>17</v>
      </c>
      <c r="D12" s="4">
        <v>5.24719E7</v>
      </c>
      <c r="E12" s="3"/>
      <c r="F12" s="4" t="s">
        <v>3</v>
      </c>
      <c r="G12" s="3">
        <v>8.053122919E7</v>
      </c>
      <c r="H12" s="4"/>
      <c r="I12" s="6" t="s">
        <v>9</v>
      </c>
    </row>
    <row r="13">
      <c r="A13" s="1">
        <v>46327.0</v>
      </c>
      <c r="B13" s="2" t="s">
        <v>10</v>
      </c>
      <c r="C13" s="2" t="s">
        <v>18</v>
      </c>
      <c r="D13" s="4">
        <v>757840.0</v>
      </c>
      <c r="E13" s="3"/>
      <c r="F13" s="4" t="s">
        <v>3</v>
      </c>
      <c r="G13" s="3">
        <v>7.977338919E7</v>
      </c>
      <c r="H13" s="4"/>
      <c r="I13" s="6" t="s">
        <v>9</v>
      </c>
    </row>
    <row r="14">
      <c r="A14" s="1">
        <v>46327.0</v>
      </c>
      <c r="B14" s="2" t="s">
        <v>10</v>
      </c>
      <c r="C14" s="2" t="s">
        <v>19</v>
      </c>
      <c r="D14" s="4">
        <v>5.572215E7</v>
      </c>
      <c r="E14" s="3"/>
      <c r="F14" s="4" t="s">
        <v>3</v>
      </c>
      <c r="G14" s="3">
        <v>2.4051239189999998E7</v>
      </c>
      <c r="H14" s="4"/>
      <c r="I14" s="6" t="s">
        <v>9</v>
      </c>
    </row>
    <row r="15">
      <c r="A15" s="1">
        <v>46327.0</v>
      </c>
      <c r="B15" s="2" t="s">
        <v>14</v>
      </c>
      <c r="C15" s="2" t="s">
        <v>20</v>
      </c>
      <c r="D15" s="4"/>
      <c r="E15" s="4">
        <v>5.61586E7</v>
      </c>
      <c r="F15" s="4" t="s">
        <v>7</v>
      </c>
      <c r="G15" s="3">
        <v>8.020983919E7</v>
      </c>
      <c r="H15" s="4">
        <v>8.020983919E7</v>
      </c>
      <c r="I15" s="6" t="s">
        <v>9</v>
      </c>
    </row>
    <row r="16">
      <c r="A16" s="1">
        <v>46327.0</v>
      </c>
      <c r="B16" s="2" t="s">
        <v>14</v>
      </c>
      <c r="C16" s="2" t="s">
        <v>21</v>
      </c>
      <c r="D16" s="4"/>
      <c r="E16" s="4">
        <v>5.662173E7</v>
      </c>
      <c r="F16" s="4" t="s">
        <v>7</v>
      </c>
      <c r="G16" s="3">
        <v>1.3683156919E8</v>
      </c>
      <c r="H16" s="4">
        <v>1.3683156919E8</v>
      </c>
      <c r="I16" s="6" t="s">
        <v>9</v>
      </c>
    </row>
    <row r="17">
      <c r="A17" s="1">
        <v>46327.0</v>
      </c>
      <c r="B17" s="2" t="s">
        <v>14</v>
      </c>
      <c r="C17" s="2" t="s">
        <v>22</v>
      </c>
      <c r="D17" s="4"/>
      <c r="E17" s="4">
        <v>1.051799E8</v>
      </c>
      <c r="F17" s="4" t="s">
        <v>7</v>
      </c>
      <c r="G17" s="3">
        <v>2.4201146919E8</v>
      </c>
      <c r="H17" s="3"/>
      <c r="I17" s="6" t="s">
        <v>9</v>
      </c>
    </row>
    <row r="18">
      <c r="A18" s="1">
        <v>46327.0</v>
      </c>
      <c r="B18" s="2" t="s">
        <v>14</v>
      </c>
      <c r="C18" s="2" t="s">
        <v>23</v>
      </c>
      <c r="D18" s="4"/>
      <c r="E18" s="4">
        <v>1.3575E8</v>
      </c>
      <c r="F18" s="4" t="s">
        <v>7</v>
      </c>
      <c r="G18" s="3">
        <v>3.7776146919E8</v>
      </c>
      <c r="H18" s="3"/>
      <c r="I18" s="6" t="s">
        <v>9</v>
      </c>
    </row>
    <row r="19">
      <c r="A19" s="1">
        <v>46327.0</v>
      </c>
      <c r="B19" s="2" t="s">
        <v>14</v>
      </c>
      <c r="C19" s="2" t="s">
        <v>24</v>
      </c>
      <c r="D19" s="4"/>
      <c r="E19" s="4">
        <v>3.2E7</v>
      </c>
      <c r="F19" s="4" t="s">
        <v>7</v>
      </c>
      <c r="G19" s="3">
        <v>4.0976146919E8</v>
      </c>
      <c r="H19" s="3"/>
      <c r="I19" s="6" t="s">
        <v>9</v>
      </c>
    </row>
    <row r="20">
      <c r="A20" s="1">
        <v>46327.0</v>
      </c>
      <c r="B20" s="2" t="s">
        <v>14</v>
      </c>
      <c r="C20" s="2" t="s">
        <v>25</v>
      </c>
      <c r="D20" s="4"/>
      <c r="E20" s="4">
        <v>1.16496008E8</v>
      </c>
      <c r="F20" s="4" t="s">
        <v>7</v>
      </c>
      <c r="G20" s="3">
        <v>5.2625747719E8</v>
      </c>
      <c r="H20" s="3"/>
      <c r="I20" s="6" t="s">
        <v>9</v>
      </c>
    </row>
    <row r="21">
      <c r="A21" s="1">
        <v>46327.0</v>
      </c>
      <c r="B21" s="2" t="s">
        <v>14</v>
      </c>
      <c r="C21" s="2" t="s">
        <v>26</v>
      </c>
      <c r="D21" s="4"/>
      <c r="E21" s="4">
        <v>1.950329E8</v>
      </c>
      <c r="F21" s="4" t="s">
        <v>7</v>
      </c>
      <c r="G21" s="3">
        <v>7.2129037719E8</v>
      </c>
      <c r="H21" s="3"/>
      <c r="I21" s="6" t="s">
        <v>9</v>
      </c>
    </row>
    <row r="22">
      <c r="A22" s="1">
        <v>46327.0</v>
      </c>
      <c r="B22" s="2" t="s">
        <v>27</v>
      </c>
      <c r="C22" s="2" t="s">
        <v>28</v>
      </c>
      <c r="D22" s="4">
        <v>393740.0</v>
      </c>
      <c r="E22" s="3"/>
      <c r="F22" s="3"/>
      <c r="G22" s="3">
        <v>7.2089663719E8</v>
      </c>
      <c r="H22" s="3"/>
      <c r="I22" s="6" t="s">
        <v>9</v>
      </c>
    </row>
    <row r="23">
      <c r="A23" s="1">
        <v>46327.0</v>
      </c>
      <c r="B23" s="2" t="s">
        <v>10</v>
      </c>
      <c r="C23" s="2" t="s">
        <v>29</v>
      </c>
      <c r="D23" s="4">
        <v>6.6395E7</v>
      </c>
      <c r="E23" s="3"/>
      <c r="F23" s="4" t="s">
        <v>3</v>
      </c>
      <c r="G23" s="3">
        <v>6.5450163719E8</v>
      </c>
      <c r="H23" s="3"/>
      <c r="I23" s="6"/>
    </row>
    <row r="24">
      <c r="A24" s="1">
        <v>46327.0</v>
      </c>
      <c r="B24" s="2" t="s">
        <v>10</v>
      </c>
      <c r="C24" s="2" t="s">
        <v>30</v>
      </c>
      <c r="D24" s="4">
        <v>1.6759275E8</v>
      </c>
      <c r="E24" s="3"/>
      <c r="F24" s="4" t="s">
        <v>3</v>
      </c>
      <c r="G24" s="3">
        <v>4.8690888719000006E8</v>
      </c>
      <c r="H24" s="3"/>
      <c r="I24" s="6"/>
    </row>
    <row r="25">
      <c r="A25" s="1">
        <v>46327.0</v>
      </c>
      <c r="B25" s="2" t="s">
        <v>10</v>
      </c>
      <c r="C25" s="2" t="s">
        <v>31</v>
      </c>
      <c r="D25" s="4">
        <v>1.1543173E8</v>
      </c>
      <c r="E25" s="3"/>
      <c r="F25" s="4" t="s">
        <v>3</v>
      </c>
      <c r="G25" s="3">
        <v>3.7147715719000006E8</v>
      </c>
      <c r="H25" s="3"/>
      <c r="I25" s="6" t="s">
        <v>9</v>
      </c>
    </row>
    <row r="26">
      <c r="A26" s="1">
        <v>46327.0</v>
      </c>
      <c r="B26" s="2" t="s">
        <v>10</v>
      </c>
      <c r="C26" s="2" t="s">
        <v>32</v>
      </c>
      <c r="D26" s="4">
        <v>1.037308E8</v>
      </c>
      <c r="E26" s="3"/>
      <c r="F26" s="4" t="s">
        <v>3</v>
      </c>
      <c r="G26" s="3">
        <v>2.6774635719000006E8</v>
      </c>
      <c r="H26" s="3"/>
      <c r="I26" s="6"/>
    </row>
    <row r="27">
      <c r="A27" s="1">
        <v>46327.0</v>
      </c>
      <c r="B27" s="2" t="s">
        <v>10</v>
      </c>
      <c r="C27" s="2" t="s">
        <v>33</v>
      </c>
      <c r="D27" s="4">
        <v>1.0021725E8</v>
      </c>
      <c r="E27" s="3"/>
      <c r="F27" s="4" t="s">
        <v>3</v>
      </c>
      <c r="G27" s="3">
        <v>1.6752910719000006E8</v>
      </c>
      <c r="H27" s="3"/>
      <c r="I27" s="6"/>
    </row>
    <row r="28">
      <c r="A28" s="1">
        <v>46327.0</v>
      </c>
      <c r="B28" s="2" t="s">
        <v>10</v>
      </c>
      <c r="C28" s="2" t="s">
        <v>34</v>
      </c>
      <c r="D28" s="4">
        <v>1.3E7</v>
      </c>
      <c r="E28" s="3"/>
      <c r="F28" s="4" t="s">
        <v>3</v>
      </c>
      <c r="G28" s="3">
        <v>1.5452910719000006E8</v>
      </c>
      <c r="H28" s="4">
        <v>1.5452910719E8</v>
      </c>
      <c r="I28" s="6" t="s">
        <v>9</v>
      </c>
    </row>
    <row r="29">
      <c r="A29" s="1">
        <v>46327.0</v>
      </c>
      <c r="B29" s="2" t="s">
        <v>10</v>
      </c>
      <c r="C29" s="2" t="s">
        <v>35</v>
      </c>
      <c r="D29" s="4">
        <v>3.26E7</v>
      </c>
      <c r="E29" s="3"/>
      <c r="F29" s="4" t="s">
        <v>3</v>
      </c>
      <c r="G29" s="3">
        <v>1.2192910719000006E8</v>
      </c>
      <c r="H29" s="4">
        <v>1.2192910719E8</v>
      </c>
      <c r="I29" s="6" t="s">
        <v>9</v>
      </c>
    </row>
    <row r="30">
      <c r="A30" s="1">
        <v>46327.0</v>
      </c>
      <c r="B30" s="2" t="s">
        <v>10</v>
      </c>
      <c r="C30" s="2" t="s">
        <v>36</v>
      </c>
      <c r="D30" s="4">
        <v>2.1E7</v>
      </c>
      <c r="E30" s="3"/>
      <c r="F30" s="4" t="s">
        <v>3</v>
      </c>
      <c r="G30" s="3">
        <v>1.0092910719000006E8</v>
      </c>
      <c r="H30" s="4">
        <v>1.0092910719E8</v>
      </c>
      <c r="I30" s="6"/>
    </row>
    <row r="31">
      <c r="A31" s="1">
        <v>46328.0</v>
      </c>
      <c r="B31" s="2" t="s">
        <v>10</v>
      </c>
      <c r="C31" s="2" t="s">
        <v>37</v>
      </c>
      <c r="D31" s="4">
        <v>1.0E8</v>
      </c>
      <c r="E31" s="3"/>
      <c r="F31" s="4" t="s">
        <v>3</v>
      </c>
      <c r="G31" s="3">
        <v>929107.1900000572</v>
      </c>
      <c r="H31" s="3"/>
      <c r="I31" s="6" t="s">
        <v>9</v>
      </c>
    </row>
    <row r="32">
      <c r="A32" s="1">
        <v>46328.0</v>
      </c>
      <c r="B32" s="2" t="s">
        <v>10</v>
      </c>
      <c r="C32" s="2" t="s">
        <v>38</v>
      </c>
      <c r="D32" s="4">
        <v>850000.0</v>
      </c>
      <c r="E32" s="3"/>
      <c r="F32" s="4" t="s">
        <v>3</v>
      </c>
      <c r="G32" s="3">
        <v>79107.19000005722</v>
      </c>
      <c r="H32" s="3"/>
      <c r="I32" s="6" t="s">
        <v>9</v>
      </c>
    </row>
    <row r="33">
      <c r="A33" s="1">
        <v>46328.0</v>
      </c>
      <c r="B33" s="2" t="s">
        <v>14</v>
      </c>
      <c r="C33" s="2" t="s">
        <v>39</v>
      </c>
      <c r="D33" s="4"/>
      <c r="E33" s="4">
        <v>1.70625975E8</v>
      </c>
      <c r="F33" s="4" t="s">
        <v>7</v>
      </c>
      <c r="G33" s="3">
        <v>1.7070508219000006E8</v>
      </c>
      <c r="H33" s="3"/>
      <c r="I33" s="6"/>
    </row>
    <row r="34">
      <c r="A34" s="1">
        <v>46328.0</v>
      </c>
      <c r="B34" s="2" t="s">
        <v>10</v>
      </c>
      <c r="C34" s="2" t="s">
        <v>40</v>
      </c>
      <c r="D34" s="4">
        <v>2.9132E7</v>
      </c>
      <c r="E34" s="3"/>
      <c r="F34" s="4" t="s">
        <v>3</v>
      </c>
      <c r="G34" s="3">
        <v>1.4157308219000006E8</v>
      </c>
      <c r="H34" s="3"/>
      <c r="I34" s="6"/>
    </row>
    <row r="35">
      <c r="A35" s="1">
        <v>46328.0</v>
      </c>
      <c r="B35" s="2" t="s">
        <v>27</v>
      </c>
      <c r="C35" s="2" t="s">
        <v>41</v>
      </c>
      <c r="D35" s="4">
        <v>281000.0</v>
      </c>
      <c r="E35" s="3"/>
      <c r="F35" s="3"/>
      <c r="G35" s="3">
        <v>1.4129208219000006E8</v>
      </c>
      <c r="H35" s="3"/>
      <c r="I35" s="6" t="s">
        <v>42</v>
      </c>
    </row>
    <row r="36">
      <c r="A36" s="1">
        <v>46328.0</v>
      </c>
      <c r="B36" s="2" t="s">
        <v>10</v>
      </c>
      <c r="C36" s="2" t="s">
        <v>43</v>
      </c>
      <c r="D36" s="4">
        <v>6.125E7</v>
      </c>
      <c r="E36" s="3"/>
      <c r="F36" s="4" t="s">
        <v>3</v>
      </c>
      <c r="G36" s="3">
        <v>8.004208219000006E7</v>
      </c>
      <c r="H36" s="3"/>
      <c r="I36" s="6" t="s">
        <v>42</v>
      </c>
    </row>
    <row r="37">
      <c r="A37" s="1">
        <v>46328.0</v>
      </c>
      <c r="B37" s="2" t="s">
        <v>14</v>
      </c>
      <c r="C37" s="2" t="s">
        <v>44</v>
      </c>
      <c r="D37" s="4"/>
      <c r="E37" s="4">
        <v>1.395848E8</v>
      </c>
      <c r="F37" s="4" t="s">
        <v>7</v>
      </c>
      <c r="G37" s="3">
        <v>2.1962688219000006E8</v>
      </c>
      <c r="H37" s="3"/>
      <c r="I37" s="6" t="s">
        <v>9</v>
      </c>
    </row>
    <row r="38">
      <c r="A38" s="1">
        <v>46328.0</v>
      </c>
      <c r="B38" s="2" t="s">
        <v>14</v>
      </c>
      <c r="C38" s="2" t="s">
        <v>45</v>
      </c>
      <c r="D38" s="4"/>
      <c r="E38" s="4">
        <v>3.84462E7</v>
      </c>
      <c r="F38" s="4" t="s">
        <v>7</v>
      </c>
      <c r="G38" s="3">
        <v>2.5807308219000006E8</v>
      </c>
      <c r="H38" s="3"/>
      <c r="I38" s="6" t="s">
        <v>9</v>
      </c>
    </row>
    <row r="39">
      <c r="A39" s="1">
        <v>46328.0</v>
      </c>
      <c r="B39" s="2" t="s">
        <v>14</v>
      </c>
      <c r="C39" s="2" t="s">
        <v>46</v>
      </c>
      <c r="D39" s="4"/>
      <c r="E39" s="4">
        <v>2.1205256E8</v>
      </c>
      <c r="F39" s="4" t="s">
        <v>7</v>
      </c>
      <c r="G39" s="3">
        <v>4.7012564219000006E8</v>
      </c>
      <c r="H39" s="3"/>
      <c r="I39" s="6" t="s">
        <v>42</v>
      </c>
    </row>
    <row r="40">
      <c r="A40" s="1">
        <v>46328.0</v>
      </c>
      <c r="B40" s="2" t="s">
        <v>14</v>
      </c>
      <c r="C40" s="2" t="s">
        <v>47</v>
      </c>
      <c r="D40" s="4"/>
      <c r="E40" s="4">
        <v>3.4831152E8</v>
      </c>
      <c r="F40" s="4" t="s">
        <v>7</v>
      </c>
      <c r="G40" s="3">
        <v>8.1843716219E8</v>
      </c>
      <c r="H40" s="3"/>
      <c r="I40" s="6" t="s">
        <v>9</v>
      </c>
    </row>
    <row r="41">
      <c r="A41" s="1">
        <v>46328.0</v>
      </c>
      <c r="B41" s="2" t="s">
        <v>10</v>
      </c>
      <c r="C41" s="2" t="s">
        <v>48</v>
      </c>
      <c r="D41" s="4">
        <v>1000000.0</v>
      </c>
      <c r="E41" s="3"/>
      <c r="F41" s="4" t="s">
        <v>3</v>
      </c>
      <c r="G41" s="3">
        <v>8.1743716219E8</v>
      </c>
      <c r="H41" s="3"/>
      <c r="I41" s="6"/>
    </row>
    <row r="42">
      <c r="A42" s="1">
        <v>46328.0</v>
      </c>
      <c r="B42" s="2" t="s">
        <v>10</v>
      </c>
      <c r="C42" s="2" t="s">
        <v>49</v>
      </c>
      <c r="D42" s="4">
        <v>3105260.0</v>
      </c>
      <c r="E42" s="3"/>
      <c r="F42" s="4" t="s">
        <v>3</v>
      </c>
      <c r="G42" s="3">
        <v>8.1433190219E8</v>
      </c>
      <c r="H42" s="4">
        <v>8.1433190219E8</v>
      </c>
      <c r="I42" s="6"/>
    </row>
    <row r="43">
      <c r="A43" s="1">
        <v>46328.0</v>
      </c>
      <c r="B43" s="2" t="s">
        <v>10</v>
      </c>
      <c r="C43" s="2" t="s">
        <v>50</v>
      </c>
      <c r="D43" s="4">
        <v>1.928541E7</v>
      </c>
      <c r="E43" s="3"/>
      <c r="F43" s="4" t="s">
        <v>3</v>
      </c>
      <c r="G43" s="3">
        <v>7.9504649219E8</v>
      </c>
      <c r="H43" s="4">
        <v>7.9504649219E8</v>
      </c>
      <c r="I43" s="6" t="s">
        <v>9</v>
      </c>
    </row>
    <row r="44">
      <c r="A44" s="1">
        <v>46328.0</v>
      </c>
      <c r="B44" s="2" t="s">
        <v>10</v>
      </c>
      <c r="C44" s="2" t="s">
        <v>51</v>
      </c>
      <c r="D44" s="4">
        <v>5.85935E7</v>
      </c>
      <c r="E44" s="3"/>
      <c r="F44" s="4" t="s">
        <v>3</v>
      </c>
      <c r="G44" s="3">
        <v>7.3645299219E8</v>
      </c>
      <c r="H44" s="3"/>
      <c r="I44" s="6" t="s">
        <v>9</v>
      </c>
    </row>
    <row r="45">
      <c r="A45" s="1">
        <v>46328.0</v>
      </c>
      <c r="B45" s="2" t="s">
        <v>10</v>
      </c>
      <c r="C45" s="2" t="s">
        <v>52</v>
      </c>
      <c r="D45" s="4">
        <v>5.174711E7</v>
      </c>
      <c r="E45" s="3"/>
      <c r="F45" s="4" t="s">
        <v>3</v>
      </c>
      <c r="G45" s="3">
        <v>6.8470588219E8</v>
      </c>
      <c r="H45" s="3"/>
      <c r="I45" s="6"/>
    </row>
    <row r="46">
      <c r="A46" s="1">
        <v>46328.0</v>
      </c>
      <c r="B46" s="2" t="s">
        <v>10</v>
      </c>
      <c r="C46" s="2" t="s">
        <v>53</v>
      </c>
      <c r="D46" s="4">
        <v>6.55725E7</v>
      </c>
      <c r="E46" s="3"/>
      <c r="F46" s="4" t="s">
        <v>3</v>
      </c>
      <c r="G46" s="3">
        <v>6.1913338219E8</v>
      </c>
      <c r="H46" s="3"/>
      <c r="I46" s="6" t="s">
        <v>9</v>
      </c>
    </row>
    <row r="47">
      <c r="A47" s="1">
        <v>46328.0</v>
      </c>
      <c r="B47" s="2" t="s">
        <v>10</v>
      </c>
      <c r="C47" s="2" t="s">
        <v>54</v>
      </c>
      <c r="D47" s="4">
        <v>1.784015E8</v>
      </c>
      <c r="E47" s="3"/>
      <c r="F47" s="4" t="s">
        <v>3</v>
      </c>
      <c r="G47" s="3">
        <v>4.4073188219000006E8</v>
      </c>
      <c r="H47" s="3"/>
      <c r="I47" s="6" t="s">
        <v>9</v>
      </c>
    </row>
    <row r="48">
      <c r="A48" s="1">
        <v>46328.0</v>
      </c>
      <c r="B48" s="2" t="s">
        <v>10</v>
      </c>
      <c r="C48" s="2" t="s">
        <v>55</v>
      </c>
      <c r="D48" s="4">
        <v>1.632E8</v>
      </c>
      <c r="E48" s="3"/>
      <c r="F48" s="4" t="s">
        <v>3</v>
      </c>
      <c r="G48" s="3">
        <v>2.7753188219000006E8</v>
      </c>
      <c r="H48" s="3"/>
      <c r="I48" s="6" t="s">
        <v>9</v>
      </c>
    </row>
    <row r="49">
      <c r="A49" s="1">
        <v>46328.0</v>
      </c>
      <c r="B49" s="2" t="s">
        <v>10</v>
      </c>
      <c r="C49" s="2" t="s">
        <v>56</v>
      </c>
      <c r="D49" s="4">
        <v>9.25E7</v>
      </c>
      <c r="E49" s="3"/>
      <c r="F49" s="4" t="s">
        <v>3</v>
      </c>
      <c r="G49" s="3">
        <v>1.8503188219000006E8</v>
      </c>
      <c r="H49" s="3"/>
      <c r="I49" s="6" t="s">
        <v>9</v>
      </c>
    </row>
    <row r="50">
      <c r="A50" s="1">
        <v>46328.0</v>
      </c>
      <c r="B50" s="2" t="s">
        <v>10</v>
      </c>
      <c r="C50" s="2" t="s">
        <v>57</v>
      </c>
      <c r="D50" s="4">
        <v>1.4E7</v>
      </c>
      <c r="E50" s="3"/>
      <c r="F50" s="4" t="s">
        <v>3</v>
      </c>
      <c r="G50" s="3">
        <v>1.7103188219000006E8</v>
      </c>
      <c r="H50" s="3"/>
      <c r="I50" s="6" t="s">
        <v>9</v>
      </c>
    </row>
    <row r="51">
      <c r="A51" s="1">
        <v>46328.0</v>
      </c>
      <c r="B51" s="2" t="s">
        <v>10</v>
      </c>
      <c r="C51" s="2" t="s">
        <v>58</v>
      </c>
      <c r="D51" s="4">
        <v>4.65E7</v>
      </c>
      <c r="E51" s="3"/>
      <c r="F51" s="4" t="s">
        <v>3</v>
      </c>
      <c r="G51" s="3">
        <v>1.2453188219000006E8</v>
      </c>
      <c r="H51" s="3"/>
      <c r="I51" s="6"/>
    </row>
    <row r="52">
      <c r="A52" s="1">
        <v>46328.0</v>
      </c>
      <c r="B52" s="2" t="s">
        <v>10</v>
      </c>
      <c r="C52" s="2" t="s">
        <v>59</v>
      </c>
      <c r="D52" s="4">
        <v>9640000.0</v>
      </c>
      <c r="E52" s="3"/>
      <c r="F52" s="4" t="s">
        <v>3</v>
      </c>
      <c r="G52" s="3">
        <v>1.1489188219000006E8</v>
      </c>
      <c r="H52" s="4">
        <v>1.1489188219E8</v>
      </c>
      <c r="I52" s="6" t="s">
        <v>9</v>
      </c>
    </row>
    <row r="53">
      <c r="A53" s="1">
        <v>46329.0</v>
      </c>
      <c r="B53" s="2" t="s">
        <v>60</v>
      </c>
      <c r="C53" s="2" t="s">
        <v>61</v>
      </c>
      <c r="D53" s="4"/>
      <c r="E53" s="4">
        <v>6.5E7</v>
      </c>
      <c r="F53" s="4" t="s">
        <v>7</v>
      </c>
      <c r="G53" s="3">
        <v>1.7989188219000006E8</v>
      </c>
      <c r="H53" s="3"/>
      <c r="I53" s="6"/>
    </row>
    <row r="54">
      <c r="A54" s="1">
        <v>46329.0</v>
      </c>
      <c r="B54" s="2" t="s">
        <v>10</v>
      </c>
      <c r="C54" s="2" t="s">
        <v>62</v>
      </c>
      <c r="D54" s="4">
        <v>7.2E7</v>
      </c>
      <c r="E54" s="3"/>
      <c r="F54" s="4" t="s">
        <v>3</v>
      </c>
      <c r="G54" s="3">
        <v>1.0789188219000006E8</v>
      </c>
      <c r="H54" s="3"/>
      <c r="I54" s="6" t="s">
        <v>9</v>
      </c>
    </row>
    <row r="55">
      <c r="A55" s="1">
        <v>46329.0</v>
      </c>
      <c r="B55" s="2" t="s">
        <v>10</v>
      </c>
      <c r="C55" s="2" t="s">
        <v>63</v>
      </c>
      <c r="D55" s="4">
        <v>5.093952E7</v>
      </c>
      <c r="E55" s="3"/>
      <c r="F55" s="4" t="s">
        <v>3</v>
      </c>
      <c r="G55" s="3">
        <v>5.695236219000006E7</v>
      </c>
      <c r="H55" s="4">
        <v>5.695236219E7</v>
      </c>
      <c r="I55" s="6" t="s">
        <v>9</v>
      </c>
    </row>
    <row r="56">
      <c r="A56" s="1">
        <v>46329.0</v>
      </c>
      <c r="B56" s="2" t="s">
        <v>10</v>
      </c>
      <c r="C56" s="2" t="s">
        <v>64</v>
      </c>
      <c r="D56" s="4">
        <v>7186830.0</v>
      </c>
      <c r="E56" s="3"/>
      <c r="F56" s="4" t="s">
        <v>3</v>
      </c>
      <c r="G56" s="3">
        <v>4.976553219000006E7</v>
      </c>
      <c r="H56" s="4">
        <v>4.976553219E7</v>
      </c>
      <c r="I56" s="6" t="s">
        <v>9</v>
      </c>
    </row>
    <row r="57">
      <c r="A57" s="1">
        <v>46329.0</v>
      </c>
      <c r="B57" s="2" t="s">
        <v>10</v>
      </c>
      <c r="C57" s="2" t="s">
        <v>65</v>
      </c>
      <c r="D57" s="4">
        <v>7331320.0</v>
      </c>
      <c r="E57" s="3"/>
      <c r="F57" s="4" t="s">
        <v>3</v>
      </c>
      <c r="G57" s="3">
        <v>4.243421219000006E7</v>
      </c>
      <c r="H57" s="3"/>
      <c r="I57" s="6"/>
    </row>
    <row r="58">
      <c r="A58" s="1">
        <v>46329.0</v>
      </c>
      <c r="B58" s="2" t="s">
        <v>10</v>
      </c>
      <c r="C58" s="2" t="s">
        <v>66</v>
      </c>
      <c r="D58" s="4">
        <v>6820500.0</v>
      </c>
      <c r="E58" s="3"/>
      <c r="F58" s="4" t="s">
        <v>3</v>
      </c>
      <c r="G58" s="3">
        <v>3.561371219000006E7</v>
      </c>
      <c r="H58" s="3"/>
      <c r="I58" s="6" t="s">
        <v>9</v>
      </c>
    </row>
    <row r="59">
      <c r="A59" s="1">
        <v>46329.0</v>
      </c>
      <c r="B59" s="2" t="s">
        <v>14</v>
      </c>
      <c r="C59" s="2" t="s">
        <v>67</v>
      </c>
      <c r="D59" s="4"/>
      <c r="E59" s="4">
        <v>6.643935E7</v>
      </c>
      <c r="F59" s="4" t="s">
        <v>7</v>
      </c>
      <c r="G59" s="3">
        <v>1.0205306219000006E8</v>
      </c>
      <c r="H59" s="3"/>
      <c r="I59" s="6" t="s">
        <v>9</v>
      </c>
    </row>
    <row r="60">
      <c r="A60" s="1">
        <v>46329.0</v>
      </c>
      <c r="B60" s="2" t="s">
        <v>14</v>
      </c>
      <c r="C60" s="2" t="s">
        <v>68</v>
      </c>
      <c r="D60" s="4"/>
      <c r="E60" s="4">
        <v>6981000.0</v>
      </c>
      <c r="F60" s="4" t="s">
        <v>7</v>
      </c>
      <c r="G60" s="3">
        <v>1.0903406219000006E8</v>
      </c>
      <c r="H60" s="3"/>
      <c r="I60" s="6" t="s">
        <v>9</v>
      </c>
    </row>
    <row r="61">
      <c r="A61" s="1">
        <v>46329.0</v>
      </c>
      <c r="B61" s="2" t="s">
        <v>10</v>
      </c>
      <c r="C61" s="2" t="s">
        <v>69</v>
      </c>
      <c r="D61" s="4">
        <v>6.65262E7</v>
      </c>
      <c r="E61" s="3"/>
      <c r="F61" s="4" t="s">
        <v>3</v>
      </c>
      <c r="G61" s="3">
        <v>4.250786219000006E7</v>
      </c>
      <c r="H61" s="3"/>
      <c r="I61" s="6" t="s">
        <v>9</v>
      </c>
    </row>
    <row r="62">
      <c r="A62" s="1">
        <v>46329.0</v>
      </c>
      <c r="B62" s="2" t="s">
        <v>70</v>
      </c>
      <c r="C62" s="2" t="s">
        <v>70</v>
      </c>
      <c r="D62" s="4">
        <v>300000.0</v>
      </c>
      <c r="E62" s="3"/>
      <c r="F62" s="3"/>
      <c r="G62" s="3">
        <v>4.220786219000006E7</v>
      </c>
      <c r="H62" s="3"/>
      <c r="I62" s="6"/>
    </row>
    <row r="63">
      <c r="A63" s="1">
        <v>46329.0</v>
      </c>
      <c r="B63" s="2" t="s">
        <v>14</v>
      </c>
      <c r="C63" s="2" t="s">
        <v>71</v>
      </c>
      <c r="D63" s="4"/>
      <c r="E63" s="4">
        <v>4.214751E8</v>
      </c>
      <c r="F63" s="4" t="s">
        <v>7</v>
      </c>
      <c r="G63" s="3">
        <v>4.6368296219000006E8</v>
      </c>
      <c r="H63" s="3"/>
      <c r="I63" s="6" t="s">
        <v>9</v>
      </c>
    </row>
    <row r="64">
      <c r="A64" s="1">
        <v>46329.0</v>
      </c>
      <c r="B64" s="2" t="s">
        <v>10</v>
      </c>
      <c r="C64" s="2" t="s">
        <v>72</v>
      </c>
      <c r="D64" s="4">
        <v>2140120.0</v>
      </c>
      <c r="E64" s="3"/>
      <c r="F64" s="4" t="s">
        <v>3</v>
      </c>
      <c r="G64" s="3">
        <v>4.6154284219000006E8</v>
      </c>
      <c r="H64" s="3"/>
      <c r="I64" s="6" t="s">
        <v>9</v>
      </c>
    </row>
    <row r="65">
      <c r="A65" s="1">
        <v>46329.0</v>
      </c>
      <c r="B65" s="2" t="s">
        <v>10</v>
      </c>
      <c r="C65" s="2" t="s">
        <v>73</v>
      </c>
      <c r="D65" s="4">
        <v>5.2191E7</v>
      </c>
      <c r="E65" s="3"/>
      <c r="F65" s="4" t="s">
        <v>3</v>
      </c>
      <c r="G65" s="3">
        <v>4.0935184219000006E8</v>
      </c>
      <c r="H65" s="4">
        <v>4.0935184219E8</v>
      </c>
      <c r="I65" s="6"/>
    </row>
    <row r="66">
      <c r="A66" s="1">
        <v>46330.0</v>
      </c>
      <c r="B66" s="2" t="s">
        <v>74</v>
      </c>
      <c r="C66" s="2" t="s">
        <v>75</v>
      </c>
      <c r="D66" s="4">
        <v>3053000.0</v>
      </c>
      <c r="E66" s="3"/>
      <c r="F66" s="4" t="s">
        <v>3</v>
      </c>
      <c r="G66" s="3">
        <v>4.0629884219000006E8</v>
      </c>
      <c r="H66" s="3"/>
      <c r="I66" s="6"/>
    </row>
    <row r="67">
      <c r="A67" s="1">
        <v>46330.0</v>
      </c>
      <c r="B67" s="2" t="s">
        <v>74</v>
      </c>
      <c r="C67" s="2" t="s">
        <v>76</v>
      </c>
      <c r="D67" s="4">
        <v>1.036907E8</v>
      </c>
      <c r="E67" s="3"/>
      <c r="F67" s="4" t="s">
        <v>3</v>
      </c>
      <c r="G67" s="3">
        <v>3.0260814219000006E8</v>
      </c>
      <c r="H67" s="3"/>
      <c r="I67" s="6"/>
    </row>
    <row r="68">
      <c r="A68" s="1">
        <v>46330.0</v>
      </c>
      <c r="B68" s="2" t="s">
        <v>74</v>
      </c>
      <c r="C68" s="2" t="s">
        <v>77</v>
      </c>
      <c r="D68" s="4">
        <v>5.514054E7</v>
      </c>
      <c r="E68" s="3"/>
      <c r="F68" s="4" t="s">
        <v>3</v>
      </c>
      <c r="G68" s="3">
        <v>2.4746760219000006E8</v>
      </c>
      <c r="H68" s="3"/>
      <c r="I68" s="6"/>
    </row>
    <row r="69">
      <c r="A69" s="1">
        <v>46330.0</v>
      </c>
      <c r="B69" s="2" t="s">
        <v>74</v>
      </c>
      <c r="C69" s="2" t="s">
        <v>78</v>
      </c>
      <c r="D69" s="4">
        <v>5.250875E7</v>
      </c>
      <c r="E69" s="3"/>
      <c r="F69" s="4" t="s">
        <v>3</v>
      </c>
      <c r="G69" s="3">
        <v>1.9495885219000006E8</v>
      </c>
      <c r="H69" s="4">
        <v>1.9495885219E8</v>
      </c>
      <c r="I69" s="6"/>
    </row>
    <row r="70">
      <c r="A70" s="1">
        <v>46330.0</v>
      </c>
      <c r="B70" s="2" t="s">
        <v>74</v>
      </c>
      <c r="C70" s="2" t="s">
        <v>79</v>
      </c>
      <c r="D70" s="4">
        <v>1.0366542E8</v>
      </c>
      <c r="E70" s="3"/>
      <c r="F70" s="4" t="s">
        <v>3</v>
      </c>
      <c r="G70" s="3">
        <v>9.129343219000006E7</v>
      </c>
      <c r="H70" s="4">
        <v>9.129343219E7</v>
      </c>
      <c r="I70" s="6"/>
    </row>
    <row r="71">
      <c r="A71" s="1">
        <v>46330.0</v>
      </c>
      <c r="B71" s="2" t="s">
        <v>74</v>
      </c>
      <c r="C71" s="2" t="s">
        <v>80</v>
      </c>
      <c r="D71" s="4">
        <v>9.1225E7</v>
      </c>
      <c r="E71" s="3"/>
      <c r="F71" s="4" t="s">
        <v>3</v>
      </c>
      <c r="G71" s="3">
        <v>68432.19000005722</v>
      </c>
      <c r="H71" s="3"/>
      <c r="I71" s="6"/>
    </row>
    <row r="72">
      <c r="A72" s="1">
        <v>46330.0</v>
      </c>
      <c r="B72" s="2" t="s">
        <v>81</v>
      </c>
      <c r="C72" s="2" t="s">
        <v>82</v>
      </c>
      <c r="D72" s="4"/>
      <c r="E72" s="4">
        <v>6.28144E7</v>
      </c>
      <c r="F72" s="4" t="s">
        <v>7</v>
      </c>
      <c r="G72" s="3">
        <v>6.288283219000006E7</v>
      </c>
      <c r="H72" s="3"/>
      <c r="I72" s="6"/>
    </row>
    <row r="73">
      <c r="A73" s="1">
        <v>46330.0</v>
      </c>
      <c r="B73" s="2" t="s">
        <v>10</v>
      </c>
      <c r="C73" s="2" t="s">
        <v>83</v>
      </c>
      <c r="D73" s="4">
        <v>582390.0</v>
      </c>
      <c r="E73" s="3"/>
      <c r="F73" s="4" t="s">
        <v>3</v>
      </c>
      <c r="G73" s="3">
        <v>6.230044219000006E7</v>
      </c>
      <c r="H73" s="3"/>
      <c r="I73" s="6"/>
    </row>
    <row r="74">
      <c r="A74" s="1">
        <v>46330.0</v>
      </c>
      <c r="B74" s="2" t="s">
        <v>10</v>
      </c>
      <c r="C74" s="2" t="s">
        <v>84</v>
      </c>
      <c r="D74" s="4">
        <v>1214210.0</v>
      </c>
      <c r="E74" s="3"/>
      <c r="F74" s="4" t="s">
        <v>3</v>
      </c>
      <c r="G74" s="3">
        <v>6.108623219000006E7</v>
      </c>
      <c r="H74" s="3"/>
      <c r="I74" s="6"/>
    </row>
    <row r="75">
      <c r="A75" s="1">
        <v>46330.0</v>
      </c>
      <c r="B75" s="2" t="s">
        <v>10</v>
      </c>
      <c r="C75" s="2" t="s">
        <v>85</v>
      </c>
      <c r="D75" s="4">
        <v>1200000.0</v>
      </c>
      <c r="E75" s="3"/>
      <c r="F75" s="4" t="s">
        <v>3</v>
      </c>
      <c r="G75" s="3">
        <v>5.988623219000006E7</v>
      </c>
      <c r="H75" s="3"/>
      <c r="I75" s="6"/>
    </row>
    <row r="76">
      <c r="A76" s="1">
        <v>46330.0</v>
      </c>
      <c r="B76" s="2" t="s">
        <v>10</v>
      </c>
      <c r="C76" s="2" t="s">
        <v>86</v>
      </c>
      <c r="D76" s="4">
        <v>1705840.0</v>
      </c>
      <c r="E76" s="3"/>
      <c r="F76" s="4" t="s">
        <v>3</v>
      </c>
      <c r="G76" s="3">
        <v>5.818039219000006E7</v>
      </c>
      <c r="H76" s="3"/>
      <c r="I76" s="6"/>
    </row>
    <row r="77">
      <c r="A77" s="1">
        <v>46330.0</v>
      </c>
      <c r="B77" s="2" t="s">
        <v>10</v>
      </c>
      <c r="C77" s="2" t="s">
        <v>87</v>
      </c>
      <c r="D77" s="4">
        <v>4138260.0</v>
      </c>
      <c r="E77" s="3"/>
      <c r="F77" s="4" t="s">
        <v>3</v>
      </c>
      <c r="G77" s="3">
        <v>5.404213219000006E7</v>
      </c>
      <c r="H77" s="3"/>
      <c r="I77" s="6"/>
    </row>
    <row r="78">
      <c r="A78" s="1">
        <v>46330.0</v>
      </c>
      <c r="B78" s="2" t="s">
        <v>10</v>
      </c>
      <c r="C78" s="2" t="s">
        <v>88</v>
      </c>
      <c r="D78" s="4">
        <v>1.017399E7</v>
      </c>
      <c r="E78" s="3"/>
      <c r="F78" s="4" t="s">
        <v>3</v>
      </c>
      <c r="G78" s="3">
        <v>4.386814219000006E7</v>
      </c>
      <c r="H78" s="3"/>
      <c r="I78" s="6"/>
    </row>
    <row r="79">
      <c r="A79" s="1">
        <v>46330.0</v>
      </c>
      <c r="B79" s="2" t="s">
        <v>14</v>
      </c>
      <c r="C79" s="2" t="s">
        <v>89</v>
      </c>
      <c r="D79" s="4"/>
      <c r="E79" s="4">
        <v>1.37783E8</v>
      </c>
      <c r="F79" s="4" t="s">
        <v>7</v>
      </c>
      <c r="G79" s="3">
        <v>1.8165114219000006E8</v>
      </c>
      <c r="H79" s="3"/>
      <c r="I79" s="6"/>
    </row>
    <row r="80">
      <c r="A80" s="1">
        <v>46330.0</v>
      </c>
      <c r="B80" s="2" t="s">
        <v>14</v>
      </c>
      <c r="C80" s="2" t="s">
        <v>90</v>
      </c>
      <c r="D80" s="4"/>
      <c r="E80" s="4">
        <v>1.284272E8</v>
      </c>
      <c r="F80" s="4" t="s">
        <v>7</v>
      </c>
      <c r="G80" s="3">
        <v>3.1007834219000006E8</v>
      </c>
      <c r="H80" s="3"/>
      <c r="I80" s="6"/>
    </row>
    <row r="81">
      <c r="A81" s="1">
        <v>46330.0</v>
      </c>
      <c r="B81" s="2" t="s">
        <v>14</v>
      </c>
      <c r="C81" s="2" t="s">
        <v>91</v>
      </c>
      <c r="D81" s="4"/>
      <c r="E81" s="4">
        <v>3.4900039E8</v>
      </c>
      <c r="F81" s="4" t="s">
        <v>7</v>
      </c>
      <c r="G81" s="3">
        <v>6.5907873219E8</v>
      </c>
      <c r="H81" s="3"/>
      <c r="I81" s="6"/>
    </row>
    <row r="82">
      <c r="A82" s="1">
        <v>46330.0</v>
      </c>
      <c r="B82" s="2" t="s">
        <v>92</v>
      </c>
      <c r="C82" s="2" t="s">
        <v>92</v>
      </c>
      <c r="D82" s="4">
        <v>400000.0</v>
      </c>
      <c r="E82" s="3"/>
      <c r="F82" s="3"/>
      <c r="G82" s="3">
        <v>6.5867873219E8</v>
      </c>
      <c r="H82" s="3"/>
      <c r="I82" s="6"/>
    </row>
    <row r="83">
      <c r="A83" s="1">
        <v>46330.0</v>
      </c>
      <c r="B83" s="2" t="s">
        <v>10</v>
      </c>
      <c r="C83" s="2" t="s">
        <v>93</v>
      </c>
      <c r="D83" s="4">
        <v>1800000.0</v>
      </c>
      <c r="E83" s="3"/>
      <c r="F83" s="4" t="s">
        <v>3</v>
      </c>
      <c r="G83" s="3">
        <v>6.5687873219E8</v>
      </c>
      <c r="H83" s="4">
        <v>6.5687873219E8</v>
      </c>
      <c r="I83" s="6"/>
    </row>
    <row r="84">
      <c r="A84" s="1">
        <v>46331.0</v>
      </c>
      <c r="B84" s="2" t="s">
        <v>10</v>
      </c>
      <c r="C84" s="2" t="s">
        <v>94</v>
      </c>
      <c r="D84" s="4">
        <v>5.464368E7</v>
      </c>
      <c r="E84" s="3"/>
      <c r="F84" s="4" t="s">
        <v>3</v>
      </c>
      <c r="G84" s="3">
        <v>6.0223505219E8</v>
      </c>
      <c r="H84" s="4">
        <v>6.0223505219E8</v>
      </c>
      <c r="I84" s="6"/>
    </row>
    <row r="85">
      <c r="A85" s="1">
        <v>46331.0</v>
      </c>
      <c r="B85" s="2" t="s">
        <v>10</v>
      </c>
      <c r="C85" s="2" t="s">
        <v>95</v>
      </c>
      <c r="D85" s="4">
        <v>1.1951225E8</v>
      </c>
      <c r="E85" s="3"/>
      <c r="F85" s="4" t="s">
        <v>3</v>
      </c>
      <c r="G85" s="3">
        <v>4.8272280219000006E8</v>
      </c>
      <c r="H85" s="4">
        <v>4.8272280219E8</v>
      </c>
      <c r="I85" s="6"/>
    </row>
    <row r="86">
      <c r="A86" s="1">
        <v>46331.0</v>
      </c>
      <c r="B86" s="2" t="s">
        <v>10</v>
      </c>
      <c r="C86" s="2" t="s">
        <v>96</v>
      </c>
      <c r="D86" s="4">
        <v>6.097039E7</v>
      </c>
      <c r="E86" s="3"/>
      <c r="F86" s="4" t="s">
        <v>3</v>
      </c>
      <c r="G86" s="3">
        <v>4.2175241219000006E8</v>
      </c>
      <c r="H86" s="3"/>
      <c r="I86" s="6"/>
    </row>
    <row r="87">
      <c r="A87" s="1">
        <v>46331.0</v>
      </c>
      <c r="B87" s="2" t="s">
        <v>10</v>
      </c>
      <c r="C87" s="2" t="s">
        <v>97</v>
      </c>
      <c r="D87" s="4">
        <v>5.41654E7</v>
      </c>
      <c r="E87" s="3"/>
      <c r="F87" s="4" t="s">
        <v>3</v>
      </c>
      <c r="G87" s="3">
        <v>3.6758701219000006E8</v>
      </c>
      <c r="H87" s="3"/>
      <c r="I87" s="6"/>
    </row>
    <row r="88">
      <c r="A88" s="1">
        <v>46331.0</v>
      </c>
      <c r="B88" s="2" t="s">
        <v>10</v>
      </c>
      <c r="C88" s="2" t="s">
        <v>98</v>
      </c>
      <c r="D88" s="4">
        <v>5.39194E7</v>
      </c>
      <c r="E88" s="3"/>
      <c r="F88" s="4" t="s">
        <v>3</v>
      </c>
      <c r="G88" s="3">
        <v>3.1366761219000006E8</v>
      </c>
      <c r="H88" s="3"/>
      <c r="I88" s="6"/>
    </row>
    <row r="89">
      <c r="A89" s="1">
        <v>46331.0</v>
      </c>
      <c r="B89" s="2" t="s">
        <v>10</v>
      </c>
      <c r="C89" s="2" t="s">
        <v>99</v>
      </c>
      <c r="D89" s="4">
        <v>2.112595E8</v>
      </c>
      <c r="E89" s="3"/>
      <c r="F89" s="4" t="s">
        <v>3</v>
      </c>
      <c r="G89" s="3">
        <v>1.0240811219000006E8</v>
      </c>
      <c r="H89" s="3"/>
      <c r="I89" s="6"/>
    </row>
    <row r="90">
      <c r="A90" s="1">
        <v>46331.0</v>
      </c>
      <c r="B90" s="2" t="s">
        <v>10</v>
      </c>
      <c r="C90" s="2" t="s">
        <v>100</v>
      </c>
      <c r="D90" s="4">
        <v>1.7E7</v>
      </c>
      <c r="E90" s="3"/>
      <c r="F90" s="4" t="s">
        <v>3</v>
      </c>
      <c r="G90" s="3">
        <v>8.540811219000006E7</v>
      </c>
      <c r="H90" s="3"/>
      <c r="I90" s="6"/>
    </row>
    <row r="91">
      <c r="A91" s="1">
        <v>46331.0</v>
      </c>
      <c r="B91" s="2" t="s">
        <v>10</v>
      </c>
      <c r="C91" s="2" t="s">
        <v>101</v>
      </c>
      <c r="D91" s="4">
        <v>5.58E7</v>
      </c>
      <c r="E91" s="3"/>
      <c r="F91" s="4" t="s">
        <v>3</v>
      </c>
      <c r="G91" s="3">
        <v>2.9608112190000057E7</v>
      </c>
      <c r="H91" s="3"/>
      <c r="I91" s="6"/>
    </row>
    <row r="92">
      <c r="A92" s="1">
        <v>46331.0</v>
      </c>
      <c r="B92" s="2" t="s">
        <v>10</v>
      </c>
      <c r="C92" s="2" t="s">
        <v>102</v>
      </c>
      <c r="D92" s="4">
        <v>1455350.0</v>
      </c>
      <c r="E92" s="3"/>
      <c r="F92" s="4" t="s">
        <v>3</v>
      </c>
      <c r="G92" s="3">
        <v>2.8152762190000057E7</v>
      </c>
      <c r="H92" s="3"/>
      <c r="I92" s="6"/>
    </row>
    <row r="93">
      <c r="A93" s="1">
        <v>46331.0</v>
      </c>
      <c r="B93" s="2" t="s">
        <v>10</v>
      </c>
      <c r="C93" s="2" t="s">
        <v>103</v>
      </c>
      <c r="D93" s="4">
        <v>1620050.0</v>
      </c>
      <c r="E93" s="3"/>
      <c r="F93" s="4" t="s">
        <v>3</v>
      </c>
      <c r="G93" s="3">
        <v>2.6532712190000057E7</v>
      </c>
      <c r="H93" s="3"/>
      <c r="I93" s="6"/>
    </row>
    <row r="94">
      <c r="A94" s="1">
        <v>46331.0</v>
      </c>
      <c r="B94" s="2" t="s">
        <v>10</v>
      </c>
      <c r="C94" s="2" t="s">
        <v>104</v>
      </c>
      <c r="D94" s="4">
        <v>1200000.0</v>
      </c>
      <c r="E94" s="3"/>
      <c r="F94" s="4" t="s">
        <v>3</v>
      </c>
      <c r="G94" s="3">
        <v>2.5332712190000057E7</v>
      </c>
      <c r="H94" s="3"/>
      <c r="I94" s="6"/>
    </row>
    <row r="95">
      <c r="A95" s="1">
        <v>46331.0</v>
      </c>
      <c r="B95" s="2" t="s">
        <v>10</v>
      </c>
      <c r="C95" s="2" t="s">
        <v>105</v>
      </c>
      <c r="D95" s="4">
        <v>1.8127665E7</v>
      </c>
      <c r="E95" s="3"/>
      <c r="F95" s="4" t="s">
        <v>3</v>
      </c>
      <c r="G95" s="3">
        <v>7205047.190000057</v>
      </c>
      <c r="H95" s="3"/>
      <c r="I95" s="6"/>
    </row>
    <row r="96">
      <c r="A96" s="1">
        <v>46331.0</v>
      </c>
      <c r="B96" s="2" t="s">
        <v>10</v>
      </c>
      <c r="C96" s="2" t="s">
        <v>106</v>
      </c>
      <c r="D96" s="4">
        <v>3867040.0</v>
      </c>
      <c r="E96" s="3"/>
      <c r="F96" s="4" t="s">
        <v>3</v>
      </c>
      <c r="G96" s="3">
        <v>3338007.190000057</v>
      </c>
      <c r="H96" s="3"/>
      <c r="I96" s="6"/>
    </row>
    <row r="97">
      <c r="A97" s="1">
        <v>46331.0</v>
      </c>
      <c r="B97" s="2" t="s">
        <v>10</v>
      </c>
      <c r="C97" s="2" t="s">
        <v>107</v>
      </c>
      <c r="D97" s="4">
        <v>1736190.0</v>
      </c>
      <c r="E97" s="3"/>
      <c r="F97" s="4" t="s">
        <v>3</v>
      </c>
      <c r="G97" s="3">
        <v>1601817.1900000572</v>
      </c>
      <c r="H97" s="3"/>
      <c r="I97" s="6"/>
    </row>
    <row r="98">
      <c r="A98" s="1">
        <v>46331.0</v>
      </c>
      <c r="B98" s="2" t="s">
        <v>10</v>
      </c>
      <c r="C98" s="2" t="s">
        <v>108</v>
      </c>
      <c r="D98" s="4">
        <v>600000.0</v>
      </c>
      <c r="E98" s="3"/>
      <c r="F98" s="4" t="s">
        <v>3</v>
      </c>
      <c r="G98" s="3">
        <v>1001817.1900000572</v>
      </c>
      <c r="H98" s="4">
        <v>1001817.19</v>
      </c>
      <c r="I98" s="6"/>
    </row>
    <row r="99">
      <c r="A99" s="1">
        <v>46331.0</v>
      </c>
      <c r="B99" s="2" t="s">
        <v>27</v>
      </c>
      <c r="C99" s="2" t="s">
        <v>109</v>
      </c>
      <c r="D99" s="4">
        <v>52400.0</v>
      </c>
      <c r="E99" s="3"/>
      <c r="F99" s="4"/>
      <c r="G99" s="3">
        <v>949417.1900000572</v>
      </c>
      <c r="H99" s="3"/>
      <c r="I99" s="6"/>
    </row>
    <row r="100">
      <c r="A100" s="1">
        <v>46331.0</v>
      </c>
      <c r="B100" s="2" t="s">
        <v>110</v>
      </c>
      <c r="C100" s="2" t="s">
        <v>110</v>
      </c>
      <c r="D100" s="4">
        <v>200000.0</v>
      </c>
      <c r="E100" s="3"/>
      <c r="F100" s="4"/>
      <c r="G100" s="3">
        <v>749417.1900000572</v>
      </c>
      <c r="H100" s="3"/>
      <c r="I100" s="6"/>
    </row>
    <row r="101">
      <c r="A101" s="1">
        <v>46332.0</v>
      </c>
      <c r="B101" s="2" t="s">
        <v>111</v>
      </c>
      <c r="C101" s="2" t="s">
        <v>112</v>
      </c>
      <c r="D101" s="4"/>
      <c r="E101" s="4">
        <v>6.13098E7</v>
      </c>
      <c r="F101" s="4" t="s">
        <v>7</v>
      </c>
      <c r="G101" s="3">
        <v>6.205921719000006E7</v>
      </c>
      <c r="H101" s="3"/>
      <c r="I101" s="6"/>
    </row>
    <row r="102">
      <c r="A102" s="1">
        <v>46332.0</v>
      </c>
      <c r="B102" s="2" t="s">
        <v>113</v>
      </c>
      <c r="C102" s="2" t="s">
        <v>114</v>
      </c>
      <c r="D102" s="4">
        <v>102000.0</v>
      </c>
      <c r="E102" s="3"/>
      <c r="F102" s="3"/>
      <c r="G102" s="3">
        <v>6.195721719000006E7</v>
      </c>
      <c r="H102" s="3"/>
      <c r="I102" s="6"/>
    </row>
    <row r="103">
      <c r="A103" s="1">
        <v>46332.0</v>
      </c>
      <c r="B103" s="2" t="s">
        <v>10</v>
      </c>
      <c r="C103" s="2" t="s">
        <v>115</v>
      </c>
      <c r="D103" s="4">
        <v>5.642E7</v>
      </c>
      <c r="E103" s="3"/>
      <c r="F103" s="4" t="s">
        <v>3</v>
      </c>
      <c r="G103" s="3">
        <v>5537217.190000057</v>
      </c>
      <c r="H103" s="3"/>
      <c r="I103" s="6"/>
    </row>
    <row r="104">
      <c r="A104" s="1">
        <v>46332.0</v>
      </c>
      <c r="B104" s="2" t="s">
        <v>113</v>
      </c>
      <c r="C104" s="2" t="s">
        <v>116</v>
      </c>
      <c r="D104" s="4">
        <v>102500.0</v>
      </c>
      <c r="E104" s="3"/>
      <c r="F104" s="3"/>
      <c r="G104" s="3">
        <v>5434717.190000057</v>
      </c>
      <c r="H104" s="3"/>
      <c r="I104" s="6"/>
    </row>
    <row r="105">
      <c r="A105" s="1">
        <v>46332.0</v>
      </c>
      <c r="B105" s="2" t="s">
        <v>14</v>
      </c>
      <c r="C105" s="2" t="s">
        <v>117</v>
      </c>
      <c r="D105" s="4"/>
      <c r="E105" s="4">
        <v>1.6612005E8</v>
      </c>
      <c r="F105" s="4" t="s">
        <v>7</v>
      </c>
      <c r="G105" s="3">
        <v>1.7155476719000006E8</v>
      </c>
      <c r="H105" s="3"/>
      <c r="I105" s="6"/>
    </row>
    <row r="106">
      <c r="A106" s="1">
        <v>46332.0</v>
      </c>
      <c r="B106" s="2" t="s">
        <v>14</v>
      </c>
      <c r="C106" s="2" t="s">
        <v>118</v>
      </c>
      <c r="D106" s="4"/>
      <c r="E106" s="4">
        <v>1.1102751E8</v>
      </c>
      <c r="F106" s="4" t="s">
        <v>7</v>
      </c>
      <c r="G106" s="3">
        <v>2.8258227719000006E8</v>
      </c>
      <c r="H106" s="3"/>
      <c r="I106" s="6"/>
    </row>
    <row r="107">
      <c r="A107" s="1">
        <v>46332.0</v>
      </c>
      <c r="B107" s="2" t="s">
        <v>14</v>
      </c>
      <c r="C107" s="2" t="s">
        <v>119</v>
      </c>
      <c r="D107" s="4"/>
      <c r="E107" s="4">
        <v>2.55280631E8</v>
      </c>
      <c r="F107" s="4" t="s">
        <v>7</v>
      </c>
      <c r="G107" s="3">
        <v>5.3786290819E8</v>
      </c>
      <c r="H107" s="3"/>
      <c r="I107" s="6"/>
    </row>
    <row r="108">
      <c r="A108" s="1">
        <v>46332.0</v>
      </c>
      <c r="B108" s="2" t="s">
        <v>14</v>
      </c>
      <c r="C108" s="2" t="s">
        <v>120</v>
      </c>
      <c r="D108" s="4"/>
      <c r="E108" s="4">
        <v>6.1332185E7</v>
      </c>
      <c r="F108" s="4" t="s">
        <v>7</v>
      </c>
      <c r="G108" s="3">
        <v>5.9919509319E8</v>
      </c>
      <c r="H108" s="3"/>
      <c r="I108" s="6"/>
    </row>
    <row r="109">
      <c r="A109" s="1">
        <v>46332.0</v>
      </c>
      <c r="B109" s="2" t="s">
        <v>10</v>
      </c>
      <c r="C109" s="2" t="s">
        <v>121</v>
      </c>
      <c r="D109" s="4">
        <v>1.7326156E8</v>
      </c>
      <c r="E109" s="3"/>
      <c r="F109" s="4" t="s">
        <v>3</v>
      </c>
      <c r="G109" s="3">
        <v>4.2593353319000006E8</v>
      </c>
      <c r="H109" s="3"/>
      <c r="I109" s="6"/>
    </row>
    <row r="110">
      <c r="A110" s="1">
        <v>46332.0</v>
      </c>
      <c r="B110" s="2" t="s">
        <v>10</v>
      </c>
      <c r="C110" s="2" t="s">
        <v>122</v>
      </c>
      <c r="D110" s="4">
        <v>5.21E7</v>
      </c>
      <c r="E110" s="3"/>
      <c r="F110" s="4" t="s">
        <v>3</v>
      </c>
      <c r="G110" s="3">
        <v>3.7383353319000006E8</v>
      </c>
      <c r="H110" s="3"/>
      <c r="I110" s="6"/>
    </row>
    <row r="111">
      <c r="A111" s="1">
        <v>46332.0</v>
      </c>
      <c r="B111" s="2" t="s">
        <v>14</v>
      </c>
      <c r="C111" s="2" t="s">
        <v>123</v>
      </c>
      <c r="D111" s="4"/>
      <c r="E111" s="4">
        <v>5.792E7</v>
      </c>
      <c r="F111" s="4" t="s">
        <v>7</v>
      </c>
      <c r="G111" s="3">
        <v>4.3175353319000006E8</v>
      </c>
      <c r="H111" s="4">
        <v>4.3175353319E8</v>
      </c>
      <c r="I111" s="6"/>
    </row>
    <row r="112">
      <c r="A112" s="1">
        <v>46332.0</v>
      </c>
      <c r="B112" s="2" t="s">
        <v>10</v>
      </c>
      <c r="C112" s="2" t="s">
        <v>124</v>
      </c>
      <c r="D112" s="4">
        <v>5.15232E7</v>
      </c>
      <c r="E112" s="3"/>
      <c r="F112" s="4" t="s">
        <v>3</v>
      </c>
      <c r="G112" s="3">
        <v>3.8023033319000006E8</v>
      </c>
      <c r="H112" s="4">
        <v>3.8023033319E8</v>
      </c>
      <c r="I112" s="6"/>
    </row>
    <row r="113">
      <c r="A113" s="1">
        <v>46332.0</v>
      </c>
      <c r="B113" s="2" t="s">
        <v>14</v>
      </c>
      <c r="C113" s="2" t="s">
        <v>125</v>
      </c>
      <c r="D113" s="4"/>
      <c r="E113" s="4">
        <v>1.0E8</v>
      </c>
      <c r="F113" s="4" t="s">
        <v>7</v>
      </c>
      <c r="G113" s="3">
        <v>4.8023033319000006E8</v>
      </c>
      <c r="H113" s="3"/>
      <c r="I113" s="6"/>
    </row>
    <row r="114">
      <c r="A114" s="1">
        <v>46332.0</v>
      </c>
      <c r="B114" s="2" t="s">
        <v>126</v>
      </c>
      <c r="C114" s="2" t="s">
        <v>126</v>
      </c>
      <c r="D114" s="4">
        <v>150000.0</v>
      </c>
      <c r="E114" s="3"/>
      <c r="F114" s="3"/>
      <c r="G114" s="3">
        <v>4.8008033319000006E8</v>
      </c>
      <c r="H114" s="3"/>
      <c r="I114" s="6"/>
    </row>
    <row r="115">
      <c r="A115" s="1">
        <v>46332.0</v>
      </c>
      <c r="B115" s="2" t="s">
        <v>10</v>
      </c>
      <c r="C115" s="2" t="s">
        <v>127</v>
      </c>
      <c r="D115" s="4">
        <v>1.6331915E8</v>
      </c>
      <c r="E115" s="3"/>
      <c r="F115" s="4" t="s">
        <v>3</v>
      </c>
      <c r="G115" s="3">
        <v>3.1676118319000006E8</v>
      </c>
      <c r="H115" s="3"/>
      <c r="I115" s="6"/>
    </row>
    <row r="116">
      <c r="A116" s="1">
        <v>46332.0</v>
      </c>
      <c r="B116" s="2" t="s">
        <v>10</v>
      </c>
      <c r="C116" s="2" t="s">
        <v>128</v>
      </c>
      <c r="D116" s="4">
        <v>6.195E7</v>
      </c>
      <c r="E116" s="3"/>
      <c r="F116" s="4" t="s">
        <v>3</v>
      </c>
      <c r="G116" s="3">
        <v>2.5481118319000006E8</v>
      </c>
      <c r="H116" s="3"/>
      <c r="I116" s="6"/>
    </row>
    <row r="117">
      <c r="A117" s="1">
        <v>46332.0</v>
      </c>
      <c r="B117" s="2" t="s">
        <v>10</v>
      </c>
      <c r="C117" s="2" t="s">
        <v>129</v>
      </c>
      <c r="D117" s="4">
        <v>5.011006E7</v>
      </c>
      <c r="E117" s="3"/>
      <c r="F117" s="4" t="s">
        <v>3</v>
      </c>
      <c r="G117" s="3">
        <v>2.0470112319000006E8</v>
      </c>
      <c r="H117" s="3"/>
      <c r="I117" s="6"/>
    </row>
    <row r="118">
      <c r="A118" s="1">
        <v>46332.0</v>
      </c>
      <c r="B118" s="2" t="s">
        <v>10</v>
      </c>
      <c r="C118" s="2" t="s">
        <v>130</v>
      </c>
      <c r="D118" s="4">
        <v>6.48E7</v>
      </c>
      <c r="E118" s="3"/>
      <c r="F118" s="4" t="s">
        <v>3</v>
      </c>
      <c r="G118" s="3">
        <v>1.3990112319000006E8</v>
      </c>
      <c r="H118" s="3"/>
      <c r="I118" s="6"/>
    </row>
    <row r="119">
      <c r="A119" s="1">
        <v>46332.0</v>
      </c>
      <c r="B119" s="2" t="s">
        <v>10</v>
      </c>
      <c r="C119" s="2" t="s">
        <v>131</v>
      </c>
      <c r="D119" s="4">
        <v>1.3911744E8</v>
      </c>
      <c r="E119" s="3"/>
      <c r="F119" s="4" t="s">
        <v>3</v>
      </c>
      <c r="G119" s="3">
        <v>783683.1900000572</v>
      </c>
      <c r="H119" s="3"/>
      <c r="I119" s="6"/>
    </row>
    <row r="120">
      <c r="A120" s="1">
        <v>46332.0</v>
      </c>
      <c r="B120" s="2" t="s">
        <v>10</v>
      </c>
      <c r="C120" s="2" t="s">
        <v>132</v>
      </c>
      <c r="D120" s="4">
        <v>36000.0</v>
      </c>
      <c r="E120" s="3"/>
      <c r="F120" s="4" t="s">
        <v>3</v>
      </c>
      <c r="G120" s="3">
        <v>747683.1900000572</v>
      </c>
      <c r="H120" s="3"/>
      <c r="I120" s="6"/>
    </row>
    <row r="121">
      <c r="A121" s="1">
        <v>46333.0</v>
      </c>
      <c r="B121" s="2" t="s">
        <v>133</v>
      </c>
      <c r="C121" s="2" t="s">
        <v>134</v>
      </c>
      <c r="D121" s="4"/>
      <c r="E121" s="4">
        <v>5.0E7</v>
      </c>
      <c r="F121" s="4" t="s">
        <v>7</v>
      </c>
      <c r="G121" s="3">
        <v>5.074768319000006E7</v>
      </c>
      <c r="H121" s="3"/>
      <c r="I121" s="6"/>
    </row>
    <row r="122">
      <c r="A122" s="1">
        <v>46333.0</v>
      </c>
      <c r="B122" s="2" t="s">
        <v>133</v>
      </c>
      <c r="C122" s="2" t="s">
        <v>135</v>
      </c>
      <c r="D122" s="4"/>
      <c r="E122" s="4">
        <v>2.2766488E8</v>
      </c>
      <c r="F122" s="4" t="s">
        <v>7</v>
      </c>
      <c r="G122" s="3">
        <v>2.7841256319000006E8</v>
      </c>
      <c r="H122" s="3"/>
      <c r="I122" s="6"/>
    </row>
    <row r="123">
      <c r="A123" s="1">
        <v>46333.0</v>
      </c>
      <c r="B123" s="2" t="s">
        <v>10</v>
      </c>
      <c r="C123" s="2" t="s">
        <v>136</v>
      </c>
      <c r="D123" s="4">
        <v>1916910.0</v>
      </c>
      <c r="E123" s="3"/>
      <c r="F123" s="4" t="s">
        <v>3</v>
      </c>
      <c r="G123" s="3">
        <v>2.7649565319000006E8</v>
      </c>
      <c r="H123" s="3"/>
      <c r="I123" s="6"/>
    </row>
    <row r="124">
      <c r="A124" s="1">
        <v>46333.0</v>
      </c>
      <c r="B124" s="2" t="s">
        <v>10</v>
      </c>
      <c r="C124" s="2" t="s">
        <v>137</v>
      </c>
      <c r="D124" s="4">
        <v>4.940754E7</v>
      </c>
      <c r="E124" s="3"/>
      <c r="F124" s="4" t="s">
        <v>3</v>
      </c>
      <c r="G124" s="3">
        <v>2.2708811319000006E8</v>
      </c>
      <c r="H124" s="3"/>
      <c r="I124" s="6"/>
    </row>
    <row r="125">
      <c r="A125" s="1">
        <v>46333.0</v>
      </c>
      <c r="B125" s="2" t="s">
        <v>10</v>
      </c>
      <c r="C125" s="2" t="s">
        <v>138</v>
      </c>
      <c r="D125" s="4">
        <v>1.42E8</v>
      </c>
      <c r="E125" s="3"/>
      <c r="F125" s="4" t="s">
        <v>3</v>
      </c>
      <c r="G125" s="3">
        <v>8.508811319000006E7</v>
      </c>
      <c r="H125" s="4">
        <v>8.508811319E7</v>
      </c>
      <c r="I125" s="6"/>
    </row>
    <row r="126">
      <c r="A126" s="1">
        <v>46333.0</v>
      </c>
      <c r="B126" s="2" t="s">
        <v>10</v>
      </c>
      <c r="C126" s="2" t="s">
        <v>139</v>
      </c>
      <c r="D126" s="4">
        <v>1010830.0</v>
      </c>
      <c r="E126" s="3"/>
      <c r="F126" s="4" t="s">
        <v>3</v>
      </c>
      <c r="G126" s="3">
        <v>8.407728319000006E7</v>
      </c>
      <c r="H126" s="4">
        <v>8.407728319E7</v>
      </c>
      <c r="I126" s="6"/>
    </row>
    <row r="127">
      <c r="A127" s="1">
        <v>46333.0</v>
      </c>
      <c r="B127" s="2" t="s">
        <v>10</v>
      </c>
      <c r="C127" s="2" t="s">
        <v>140</v>
      </c>
      <c r="D127" s="4">
        <v>1000000.0</v>
      </c>
      <c r="E127" s="3"/>
      <c r="F127" s="4" t="s">
        <v>3</v>
      </c>
      <c r="G127" s="3">
        <v>8.307728319000006E7</v>
      </c>
      <c r="H127" s="3"/>
      <c r="I127" s="6"/>
    </row>
    <row r="128">
      <c r="A128" s="1">
        <v>46333.0</v>
      </c>
      <c r="B128" s="2" t="s">
        <v>10</v>
      </c>
      <c r="C128" s="2" t="s">
        <v>141</v>
      </c>
      <c r="D128" s="4">
        <v>1289960.0</v>
      </c>
      <c r="E128" s="3"/>
      <c r="F128" s="4" t="s">
        <v>3</v>
      </c>
      <c r="G128" s="3">
        <v>8.178732319000006E7</v>
      </c>
      <c r="H128" s="3"/>
      <c r="I128" s="6"/>
    </row>
    <row r="129">
      <c r="A129" s="1">
        <v>46333.0</v>
      </c>
      <c r="B129" s="2" t="s">
        <v>10</v>
      </c>
      <c r="C129" s="2" t="s">
        <v>142</v>
      </c>
      <c r="D129" s="4">
        <v>1285590.0</v>
      </c>
      <c r="E129" s="3"/>
      <c r="F129" s="4" t="s">
        <v>3</v>
      </c>
      <c r="G129" s="3">
        <v>8.050173319000006E7</v>
      </c>
      <c r="H129" s="3"/>
      <c r="I129" s="6"/>
    </row>
    <row r="130">
      <c r="A130" s="1">
        <v>46333.0</v>
      </c>
      <c r="B130" s="2" t="s">
        <v>10</v>
      </c>
      <c r="C130" s="2" t="s">
        <v>143</v>
      </c>
      <c r="D130" s="4">
        <v>1520000.0</v>
      </c>
      <c r="E130" s="3"/>
      <c r="F130" s="4" t="s">
        <v>3</v>
      </c>
      <c r="G130" s="3">
        <v>7.898173319000006E7</v>
      </c>
      <c r="H130" s="3"/>
      <c r="I130" s="6"/>
    </row>
    <row r="131">
      <c r="A131" s="1">
        <v>46333.0</v>
      </c>
      <c r="B131" s="2" t="s">
        <v>10</v>
      </c>
      <c r="C131" s="2" t="s">
        <v>144</v>
      </c>
      <c r="D131" s="4">
        <v>5.710767E7</v>
      </c>
      <c r="E131" s="3"/>
      <c r="F131" s="4" t="s">
        <v>3</v>
      </c>
      <c r="G131" s="3">
        <v>2.1874063190000057E7</v>
      </c>
      <c r="H131" s="3"/>
      <c r="I131" s="6"/>
    </row>
    <row r="132">
      <c r="A132" s="1">
        <v>46333.0</v>
      </c>
      <c r="B132" s="2" t="s">
        <v>14</v>
      </c>
      <c r="C132" s="2" t="s">
        <v>145</v>
      </c>
      <c r="D132" s="4"/>
      <c r="E132" s="4">
        <v>4200000.0</v>
      </c>
      <c r="F132" s="4" t="s">
        <v>7</v>
      </c>
      <c r="G132" s="3">
        <v>2.6074063190000057E7</v>
      </c>
      <c r="H132" s="3"/>
      <c r="I132" s="6"/>
    </row>
    <row r="133">
      <c r="A133" s="1">
        <v>46333.0</v>
      </c>
      <c r="B133" s="2" t="s">
        <v>14</v>
      </c>
      <c r="C133" s="2" t="s">
        <v>146</v>
      </c>
      <c r="D133" s="4"/>
      <c r="E133" s="4">
        <v>5.952E7</v>
      </c>
      <c r="F133" s="4" t="s">
        <v>7</v>
      </c>
      <c r="G133" s="3">
        <v>8.559406319000006E7</v>
      </c>
      <c r="H133" s="3"/>
      <c r="I133" s="6"/>
    </row>
    <row r="134">
      <c r="A134" s="1">
        <v>46333.0</v>
      </c>
      <c r="B134" s="2" t="s">
        <v>14</v>
      </c>
      <c r="C134" s="2" t="s">
        <v>147</v>
      </c>
      <c r="D134" s="4"/>
      <c r="E134" s="4">
        <v>9.50186E7</v>
      </c>
      <c r="F134" s="4" t="s">
        <v>7</v>
      </c>
      <c r="G134" s="3">
        <v>1.8061266319000006E8</v>
      </c>
      <c r="H134" s="3"/>
      <c r="I134" s="6"/>
    </row>
    <row r="135">
      <c r="A135" s="1">
        <v>46333.0</v>
      </c>
      <c r="B135" s="2" t="s">
        <v>14</v>
      </c>
      <c r="C135" s="2" t="s">
        <v>148</v>
      </c>
      <c r="D135" s="4"/>
      <c r="E135" s="4">
        <v>1.1160721E8</v>
      </c>
      <c r="F135" s="4" t="s">
        <v>7</v>
      </c>
      <c r="G135" s="3">
        <v>2.9221987319000006E8</v>
      </c>
      <c r="H135" s="3"/>
      <c r="I135" s="6"/>
    </row>
    <row r="136">
      <c r="A136" s="1">
        <v>46333.0</v>
      </c>
      <c r="B136" s="2" t="s">
        <v>10</v>
      </c>
      <c r="C136" s="2" t="s">
        <v>149</v>
      </c>
      <c r="D136" s="4">
        <v>4.941482E7</v>
      </c>
      <c r="E136" s="3"/>
      <c r="F136" s="4" t="s">
        <v>3</v>
      </c>
      <c r="G136" s="3">
        <v>2.4280505319000006E8</v>
      </c>
      <c r="H136" s="3"/>
      <c r="I136" s="6"/>
    </row>
    <row r="137">
      <c r="A137" s="1">
        <v>46333.0</v>
      </c>
      <c r="B137" s="2" t="s">
        <v>10</v>
      </c>
      <c r="C137" s="2" t="s">
        <v>150</v>
      </c>
      <c r="D137" s="4">
        <v>4.47657E7</v>
      </c>
      <c r="E137" s="3"/>
      <c r="F137" s="4" t="s">
        <v>3</v>
      </c>
      <c r="G137" s="3">
        <v>1.9803935319000006E8</v>
      </c>
      <c r="H137" s="3"/>
      <c r="I137" s="6"/>
    </row>
    <row r="138">
      <c r="A138" s="1">
        <v>46333.0</v>
      </c>
      <c r="B138" s="2" t="s">
        <v>10</v>
      </c>
      <c r="C138" s="2" t="s">
        <v>151</v>
      </c>
      <c r="D138" s="4">
        <v>500000.0</v>
      </c>
      <c r="E138" s="3"/>
      <c r="F138" s="4" t="s">
        <v>3</v>
      </c>
      <c r="G138" s="3">
        <v>1.9753935319000006E8</v>
      </c>
      <c r="H138" s="3"/>
      <c r="I138" s="6"/>
    </row>
    <row r="139">
      <c r="A139" s="1">
        <v>46333.0</v>
      </c>
      <c r="B139" s="2" t="s">
        <v>14</v>
      </c>
      <c r="C139" s="2" t="s">
        <v>152</v>
      </c>
      <c r="D139" s="4"/>
      <c r="E139" s="4">
        <v>1.2227475E8</v>
      </c>
      <c r="F139" s="4" t="s">
        <v>7</v>
      </c>
      <c r="G139" s="3">
        <v>3.1981410319000006E8</v>
      </c>
      <c r="H139" s="4">
        <v>3.1981410319E8</v>
      </c>
      <c r="I139" s="6"/>
    </row>
    <row r="140">
      <c r="A140" s="1">
        <v>46333.0</v>
      </c>
      <c r="B140" s="2" t="s">
        <v>10</v>
      </c>
      <c r="C140" s="2" t="s">
        <v>153</v>
      </c>
      <c r="D140" s="4">
        <v>9937050.0</v>
      </c>
      <c r="E140" s="3"/>
      <c r="F140" s="4" t="s">
        <v>3</v>
      </c>
      <c r="G140" s="3">
        <v>3.0987705319000006E8</v>
      </c>
      <c r="H140" s="4">
        <v>3.0987705319E8</v>
      </c>
      <c r="I140" s="6"/>
    </row>
    <row r="141">
      <c r="A141" s="1">
        <v>46333.0</v>
      </c>
      <c r="B141" s="2" t="s">
        <v>10</v>
      </c>
      <c r="C141" s="2" t="s">
        <v>154</v>
      </c>
      <c r="D141" s="4">
        <v>1200000.0</v>
      </c>
      <c r="E141" s="3"/>
      <c r="F141" s="4" t="s">
        <v>3</v>
      </c>
      <c r="G141" s="3">
        <v>3.0867705319000006E8</v>
      </c>
      <c r="H141" s="3"/>
      <c r="I141" s="6"/>
    </row>
    <row r="142">
      <c r="A142" s="1">
        <v>46333.0</v>
      </c>
      <c r="B142" s="2" t="s">
        <v>10</v>
      </c>
      <c r="C142" s="2" t="s">
        <v>155</v>
      </c>
      <c r="D142" s="4">
        <v>2887520.0</v>
      </c>
      <c r="E142" s="3"/>
      <c r="F142" s="4" t="s">
        <v>3</v>
      </c>
      <c r="G142" s="3">
        <v>3.0578953319000006E8</v>
      </c>
      <c r="H142" s="3"/>
      <c r="I142" s="6"/>
    </row>
    <row r="143">
      <c r="A143" s="1">
        <v>46333.0</v>
      </c>
      <c r="B143" s="2" t="s">
        <v>10</v>
      </c>
      <c r="C143" s="2" t="s">
        <v>156</v>
      </c>
      <c r="D143" s="4">
        <v>1.217543E8</v>
      </c>
      <c r="E143" s="3"/>
      <c r="F143" s="4" t="s">
        <v>3</v>
      </c>
      <c r="G143" s="3">
        <v>1.8403523319000006E8</v>
      </c>
      <c r="H143" s="3"/>
      <c r="I143" s="6" t="s">
        <v>42</v>
      </c>
    </row>
    <row r="144">
      <c r="A144" s="1">
        <v>46333.0</v>
      </c>
      <c r="B144" s="2" t="s">
        <v>10</v>
      </c>
      <c r="C144" s="2" t="s">
        <v>157</v>
      </c>
      <c r="D144" s="4">
        <v>1.087776E8</v>
      </c>
      <c r="E144" s="3"/>
      <c r="F144" s="4" t="s">
        <v>3</v>
      </c>
      <c r="G144" s="3">
        <v>7.525763319000006E7</v>
      </c>
      <c r="H144" s="3"/>
      <c r="I144" s="6" t="s">
        <v>42</v>
      </c>
    </row>
    <row r="145">
      <c r="A145" s="1">
        <v>46333.0</v>
      </c>
      <c r="B145" s="2" t="s">
        <v>10</v>
      </c>
      <c r="C145" s="2" t="s">
        <v>158</v>
      </c>
      <c r="D145" s="4">
        <v>6.259272E7</v>
      </c>
      <c r="E145" s="3"/>
      <c r="F145" s="4" t="s">
        <v>3</v>
      </c>
      <c r="G145" s="3">
        <v>1.2664913190000057E7</v>
      </c>
      <c r="H145" s="3"/>
      <c r="I145" s="6"/>
    </row>
    <row r="146">
      <c r="A146" s="1">
        <v>46333.0</v>
      </c>
      <c r="B146" s="2" t="s">
        <v>14</v>
      </c>
      <c r="C146" s="2" t="s">
        <v>159</v>
      </c>
      <c r="D146" s="4"/>
      <c r="E146" s="4">
        <v>6.0E7</v>
      </c>
      <c r="F146" s="4" t="s">
        <v>7</v>
      </c>
      <c r="G146" s="3">
        <v>7.266491319000006E7</v>
      </c>
      <c r="H146" s="3"/>
      <c r="I146" s="6"/>
    </row>
    <row r="147">
      <c r="A147" s="1">
        <v>46333.0</v>
      </c>
      <c r="B147" s="2" t="s">
        <v>14</v>
      </c>
      <c r="C147" s="2" t="s">
        <v>160</v>
      </c>
      <c r="D147" s="4"/>
      <c r="E147" s="4">
        <v>2.1981529E8</v>
      </c>
      <c r="F147" s="4" t="s">
        <v>7</v>
      </c>
      <c r="G147" s="3">
        <v>2.9248020319000006E8</v>
      </c>
      <c r="H147" s="3"/>
      <c r="I147" s="6"/>
    </row>
    <row r="148">
      <c r="A148" s="1">
        <v>46333.0</v>
      </c>
      <c r="B148" s="2" t="s">
        <v>10</v>
      </c>
      <c r="C148" s="2" t="s">
        <v>161</v>
      </c>
      <c r="D148" s="4">
        <v>4.652912E7</v>
      </c>
      <c r="E148" s="3"/>
      <c r="F148" s="4" t="s">
        <v>3</v>
      </c>
      <c r="G148" s="3">
        <v>2.4595108319000006E8</v>
      </c>
      <c r="H148" s="3"/>
      <c r="I148" s="6"/>
    </row>
    <row r="149">
      <c r="A149" s="1">
        <v>46333.0</v>
      </c>
      <c r="B149" s="2" t="s">
        <v>10</v>
      </c>
      <c r="C149" s="2" t="s">
        <v>162</v>
      </c>
      <c r="D149" s="4">
        <v>5.46E7</v>
      </c>
      <c r="E149" s="3"/>
      <c r="F149" s="4" t="s">
        <v>3</v>
      </c>
      <c r="G149" s="3">
        <v>1.9135108319000006E8</v>
      </c>
      <c r="H149" s="4">
        <v>1.9135108319E8</v>
      </c>
      <c r="I149" s="6"/>
    </row>
    <row r="150">
      <c r="A150" s="1">
        <v>46334.0</v>
      </c>
      <c r="B150" s="2" t="s">
        <v>163</v>
      </c>
      <c r="C150" s="2" t="s">
        <v>164</v>
      </c>
      <c r="D150" s="4">
        <v>6.46564E7</v>
      </c>
      <c r="E150" s="3"/>
      <c r="F150" s="4" t="s">
        <v>3</v>
      </c>
      <c r="G150" s="3">
        <v>1.2669468319000006E8</v>
      </c>
      <c r="H150" s="3"/>
      <c r="I150" s="6"/>
    </row>
    <row r="151">
      <c r="A151" s="1">
        <v>46334.0</v>
      </c>
      <c r="B151" s="2" t="s">
        <v>14</v>
      </c>
      <c r="C151" s="2" t="s">
        <v>165</v>
      </c>
      <c r="D151" s="4"/>
      <c r="E151" s="4">
        <v>6.60324E7</v>
      </c>
      <c r="F151" s="4" t="s">
        <v>7</v>
      </c>
      <c r="G151" s="3">
        <v>1.9272708319000006E8</v>
      </c>
      <c r="H151" s="3"/>
      <c r="I151" s="6"/>
    </row>
    <row r="152">
      <c r="A152" s="1">
        <v>46334.0</v>
      </c>
      <c r="B152" s="2" t="s">
        <v>10</v>
      </c>
      <c r="C152" s="2" t="s">
        <v>166</v>
      </c>
      <c r="D152" s="4">
        <v>950000.0</v>
      </c>
      <c r="E152" s="3"/>
      <c r="F152" s="4" t="s">
        <v>3</v>
      </c>
      <c r="G152" s="3">
        <v>1.9177708319000006E8</v>
      </c>
      <c r="H152" s="4">
        <v>1.9177708319E8</v>
      </c>
      <c r="I152" s="6"/>
    </row>
    <row r="153">
      <c r="A153" s="1">
        <v>46334.0</v>
      </c>
      <c r="B153" s="2" t="s">
        <v>10</v>
      </c>
      <c r="C153" s="2" t="s">
        <v>167</v>
      </c>
      <c r="D153" s="4">
        <v>5.99963E7</v>
      </c>
      <c r="E153" s="3"/>
      <c r="F153" s="4" t="s">
        <v>3</v>
      </c>
      <c r="G153" s="3">
        <v>1.3178078319000006E8</v>
      </c>
      <c r="H153" s="4">
        <v>1.3178078319E8</v>
      </c>
      <c r="I153" s="6"/>
    </row>
    <row r="154">
      <c r="A154" s="1">
        <v>46334.0</v>
      </c>
      <c r="B154" s="2" t="s">
        <v>10</v>
      </c>
      <c r="C154" s="2" t="s">
        <v>168</v>
      </c>
      <c r="D154" s="4">
        <v>2.67E7</v>
      </c>
      <c r="E154" s="3"/>
      <c r="F154" s="4" t="s">
        <v>3</v>
      </c>
      <c r="G154" s="3">
        <v>1.0508078319000006E8</v>
      </c>
      <c r="H154" s="3"/>
      <c r="I154" s="6"/>
    </row>
    <row r="155">
      <c r="A155" s="1">
        <v>46334.0</v>
      </c>
      <c r="B155" s="2" t="s">
        <v>10</v>
      </c>
      <c r="C155" s="2" t="s">
        <v>169</v>
      </c>
      <c r="D155" s="4">
        <v>4.63462E7</v>
      </c>
      <c r="E155" s="3"/>
      <c r="F155" s="4" t="s">
        <v>3</v>
      </c>
      <c r="G155" s="3">
        <v>5.873458319000006E7</v>
      </c>
      <c r="H155" s="3"/>
      <c r="I155" s="6"/>
    </row>
    <row r="156">
      <c r="A156" s="1">
        <v>46334.0</v>
      </c>
      <c r="B156" s="2" t="s">
        <v>27</v>
      </c>
      <c r="C156" s="2" t="s">
        <v>170</v>
      </c>
      <c r="D156" s="4">
        <v>220700.0</v>
      </c>
      <c r="E156" s="3"/>
      <c r="F156" s="3"/>
      <c r="G156" s="3">
        <v>5.851388319000006E7</v>
      </c>
      <c r="H156" s="3"/>
      <c r="I156" s="6"/>
    </row>
    <row r="157">
      <c r="A157" s="1">
        <v>46334.0</v>
      </c>
      <c r="B157" s="2" t="s">
        <v>14</v>
      </c>
      <c r="C157" s="2" t="s">
        <v>171</v>
      </c>
      <c r="D157" s="4"/>
      <c r="E157" s="4">
        <v>1.5715882E8</v>
      </c>
      <c r="F157" s="4" t="s">
        <v>7</v>
      </c>
      <c r="G157" s="3">
        <v>2.1567270319000006E8</v>
      </c>
      <c r="H157" s="3"/>
      <c r="I157" s="6"/>
    </row>
    <row r="158">
      <c r="A158" s="1">
        <v>46334.0</v>
      </c>
      <c r="B158" s="2" t="s">
        <v>14</v>
      </c>
      <c r="C158" s="2" t="s">
        <v>172</v>
      </c>
      <c r="D158" s="4"/>
      <c r="E158" s="4">
        <v>1.425066E8</v>
      </c>
      <c r="F158" s="4" t="s">
        <v>7</v>
      </c>
      <c r="G158" s="3">
        <v>3.5817930319000006E8</v>
      </c>
      <c r="H158" s="3"/>
      <c r="I158" s="6"/>
    </row>
    <row r="159">
      <c r="A159" s="1">
        <v>46334.0</v>
      </c>
      <c r="B159" s="2" t="s">
        <v>14</v>
      </c>
      <c r="C159" s="2" t="s">
        <v>173</v>
      </c>
      <c r="D159" s="4"/>
      <c r="E159" s="4">
        <v>4.2692625E8</v>
      </c>
      <c r="F159" s="4" t="s">
        <v>7</v>
      </c>
      <c r="G159" s="3">
        <v>7.8510555319E8</v>
      </c>
      <c r="H159" s="3"/>
      <c r="I159" s="6"/>
    </row>
    <row r="160">
      <c r="A160" s="1">
        <v>46334.0</v>
      </c>
      <c r="B160" s="2" t="s">
        <v>10</v>
      </c>
      <c r="C160" s="2" t="s">
        <v>174</v>
      </c>
      <c r="D160" s="4">
        <v>2500000.0</v>
      </c>
      <c r="E160" s="3"/>
      <c r="F160" s="4" t="s">
        <v>3</v>
      </c>
      <c r="G160" s="3">
        <v>7.8260555319E8</v>
      </c>
      <c r="H160" s="3"/>
      <c r="I160" s="6"/>
    </row>
    <row r="161">
      <c r="A161" s="1">
        <v>46334.0</v>
      </c>
      <c r="B161" s="2" t="s">
        <v>10</v>
      </c>
      <c r="C161" s="2" t="s">
        <v>175</v>
      </c>
      <c r="D161" s="4">
        <v>1.0E7</v>
      </c>
      <c r="E161" s="3"/>
      <c r="F161" s="4" t="s">
        <v>3</v>
      </c>
      <c r="G161" s="3">
        <v>7.7260555319E8</v>
      </c>
      <c r="H161" s="4">
        <v>7.7260555319E8</v>
      </c>
      <c r="I161" s="6"/>
    </row>
    <row r="162">
      <c r="A162" s="1">
        <v>46335.0</v>
      </c>
      <c r="B162" s="2" t="s">
        <v>176</v>
      </c>
      <c r="C162" s="2" t="s">
        <v>177</v>
      </c>
      <c r="D162" s="4">
        <v>5.92E7</v>
      </c>
      <c r="E162" s="3"/>
      <c r="F162" s="4" t="s">
        <v>3</v>
      </c>
      <c r="G162" s="3">
        <v>7.1340555319E8</v>
      </c>
      <c r="H162" s="3"/>
      <c r="I162" s="6"/>
    </row>
    <row r="163">
      <c r="A163" s="1">
        <v>46335.0</v>
      </c>
      <c r="B163" s="2" t="s">
        <v>176</v>
      </c>
      <c r="C163" s="2" t="s">
        <v>178</v>
      </c>
      <c r="D163" s="4">
        <v>5.463579E7</v>
      </c>
      <c r="E163" s="3"/>
      <c r="F163" s="4" t="s">
        <v>3</v>
      </c>
      <c r="G163" s="3">
        <v>6.5876976319E8</v>
      </c>
      <c r="H163" s="3"/>
      <c r="I163" s="6"/>
    </row>
    <row r="164">
      <c r="A164" s="1">
        <v>46335.0</v>
      </c>
      <c r="B164" s="2" t="s">
        <v>176</v>
      </c>
      <c r="C164" s="2" t="s">
        <v>179</v>
      </c>
      <c r="D164" s="4">
        <v>6.2974E7</v>
      </c>
      <c r="E164" s="3"/>
      <c r="F164" s="4" t="s">
        <v>3</v>
      </c>
      <c r="G164" s="3">
        <v>5.9579576319E8</v>
      </c>
      <c r="H164" s="3"/>
      <c r="I164" s="6"/>
    </row>
    <row r="165">
      <c r="A165" s="1">
        <v>46335.0</v>
      </c>
      <c r="B165" s="2" t="s">
        <v>176</v>
      </c>
      <c r="C165" s="2" t="s">
        <v>179</v>
      </c>
      <c r="D165" s="4">
        <v>6.8751E7</v>
      </c>
      <c r="E165" s="3"/>
      <c r="F165" s="4" t="s">
        <v>3</v>
      </c>
      <c r="G165" s="3">
        <v>5.2704476319000006E8</v>
      </c>
      <c r="H165" s="3"/>
      <c r="I165" s="6"/>
    </row>
    <row r="166">
      <c r="A166" s="1">
        <v>46335.0</v>
      </c>
      <c r="B166" s="2" t="s">
        <v>176</v>
      </c>
      <c r="C166" s="2" t="s">
        <v>180</v>
      </c>
      <c r="D166" s="4">
        <v>6.076325E7</v>
      </c>
      <c r="E166" s="3"/>
      <c r="F166" s="4" t="s">
        <v>3</v>
      </c>
      <c r="G166" s="3">
        <v>4.6628151319000006E8</v>
      </c>
      <c r="H166" s="4">
        <v>4.6628151319E8</v>
      </c>
      <c r="I166" s="6"/>
    </row>
    <row r="167">
      <c r="A167" s="1">
        <v>46335.0</v>
      </c>
      <c r="B167" s="2" t="s">
        <v>176</v>
      </c>
      <c r="C167" s="2" t="s">
        <v>181</v>
      </c>
      <c r="D167" s="4">
        <v>1.935E8</v>
      </c>
      <c r="E167" s="3"/>
      <c r="F167" s="4" t="s">
        <v>3</v>
      </c>
      <c r="G167" s="3">
        <v>2.7278151319000006E8</v>
      </c>
      <c r="H167" s="4">
        <v>2.7278151319E8</v>
      </c>
      <c r="I167" s="6"/>
    </row>
    <row r="168">
      <c r="A168" s="1">
        <v>46335.0</v>
      </c>
      <c r="B168" s="2" t="s">
        <v>176</v>
      </c>
      <c r="C168" s="2" t="s">
        <v>182</v>
      </c>
      <c r="D168" s="4">
        <v>5.52655E7</v>
      </c>
      <c r="E168" s="3"/>
      <c r="F168" s="4" t="s">
        <v>3</v>
      </c>
      <c r="G168" s="3">
        <v>2.1751601319000006E8</v>
      </c>
      <c r="H168" s="3"/>
      <c r="I168" s="6"/>
    </row>
    <row r="169">
      <c r="A169" s="1">
        <v>46335.0</v>
      </c>
      <c r="B169" s="2" t="s">
        <v>176</v>
      </c>
      <c r="C169" s="2" t="s">
        <v>183</v>
      </c>
      <c r="D169" s="4">
        <v>6.0E7</v>
      </c>
      <c r="E169" s="3"/>
      <c r="F169" s="4" t="s">
        <v>3</v>
      </c>
      <c r="G169" s="3">
        <v>1.5751601319000006E8</v>
      </c>
      <c r="H169" s="3"/>
      <c r="I169" s="6"/>
    </row>
    <row r="170">
      <c r="A170" s="1">
        <v>46335.0</v>
      </c>
      <c r="B170" s="2" t="s">
        <v>176</v>
      </c>
      <c r="C170" s="2" t="s">
        <v>184</v>
      </c>
      <c r="D170" s="4">
        <v>6.507745E7</v>
      </c>
      <c r="E170" s="3"/>
      <c r="F170" s="4" t="s">
        <v>3</v>
      </c>
      <c r="G170" s="3">
        <v>9.243856319000006E7</v>
      </c>
      <c r="H170" s="3"/>
      <c r="I170" s="6"/>
    </row>
    <row r="171">
      <c r="A171" s="1">
        <v>46335.0</v>
      </c>
      <c r="B171" s="2" t="s">
        <v>176</v>
      </c>
      <c r="C171" s="2" t="s">
        <v>185</v>
      </c>
      <c r="D171" s="4">
        <v>6.65E7</v>
      </c>
      <c r="E171" s="3"/>
      <c r="F171" s="4" t="s">
        <v>3</v>
      </c>
      <c r="G171" s="3">
        <v>2.5938563190000057E7</v>
      </c>
      <c r="H171" s="3"/>
      <c r="I171" s="6"/>
    </row>
    <row r="172">
      <c r="A172" s="1">
        <v>46335.0</v>
      </c>
      <c r="B172" s="2" t="s">
        <v>176</v>
      </c>
      <c r="C172" s="2" t="s">
        <v>186</v>
      </c>
      <c r="D172" s="4">
        <v>1350000.0</v>
      </c>
      <c r="E172" s="3"/>
      <c r="F172" s="4" t="s">
        <v>3</v>
      </c>
      <c r="G172" s="3">
        <v>2.4588563190000057E7</v>
      </c>
      <c r="H172" s="3"/>
      <c r="I172" s="6"/>
    </row>
    <row r="173">
      <c r="A173" s="1">
        <v>46335.0</v>
      </c>
      <c r="B173" s="2" t="s">
        <v>176</v>
      </c>
      <c r="C173" s="2" t="s">
        <v>187</v>
      </c>
      <c r="D173" s="4">
        <v>6160620.0</v>
      </c>
      <c r="E173" s="3"/>
      <c r="F173" s="4" t="s">
        <v>3</v>
      </c>
      <c r="G173" s="3">
        <v>1.8427943190000057E7</v>
      </c>
      <c r="H173" s="3"/>
      <c r="I173" s="6"/>
    </row>
    <row r="174">
      <c r="A174" s="1">
        <v>46335.0</v>
      </c>
      <c r="B174" s="2" t="s">
        <v>176</v>
      </c>
      <c r="C174" s="2" t="s">
        <v>188</v>
      </c>
      <c r="D174" s="4">
        <v>7941250.0</v>
      </c>
      <c r="E174" s="3"/>
      <c r="F174" s="4" t="s">
        <v>3</v>
      </c>
      <c r="G174" s="3">
        <v>1.0486693190000057E7</v>
      </c>
      <c r="H174" s="3"/>
      <c r="I174" s="6"/>
    </row>
    <row r="175">
      <c r="A175" s="1">
        <v>46335.0</v>
      </c>
      <c r="B175" s="2" t="s">
        <v>176</v>
      </c>
      <c r="C175" s="2" t="s">
        <v>189</v>
      </c>
      <c r="D175" s="4">
        <v>1500000.0</v>
      </c>
      <c r="E175" s="3"/>
      <c r="F175" s="4" t="s">
        <v>3</v>
      </c>
      <c r="G175" s="3">
        <v>8986693.190000057</v>
      </c>
      <c r="H175" s="3"/>
      <c r="I175" s="6"/>
    </row>
    <row r="176">
      <c r="A176" s="1">
        <v>46335.0</v>
      </c>
      <c r="B176" s="2" t="s">
        <v>176</v>
      </c>
      <c r="C176" s="2" t="s">
        <v>190</v>
      </c>
      <c r="D176" s="4">
        <v>1480000.0</v>
      </c>
      <c r="E176" s="3"/>
      <c r="F176" s="4" t="s">
        <v>3</v>
      </c>
      <c r="G176" s="3">
        <v>7506693.190000057</v>
      </c>
      <c r="H176" s="3"/>
      <c r="I176" s="6"/>
    </row>
    <row r="177">
      <c r="A177" s="1">
        <v>46335.0</v>
      </c>
      <c r="B177" s="2" t="s">
        <v>176</v>
      </c>
      <c r="C177" s="2" t="s">
        <v>191</v>
      </c>
      <c r="D177" s="4">
        <v>7426100.0</v>
      </c>
      <c r="E177" s="3"/>
      <c r="F177" s="4" t="s">
        <v>3</v>
      </c>
      <c r="G177" s="3">
        <v>80593.19000005722</v>
      </c>
      <c r="H177" s="3"/>
      <c r="I177" s="6"/>
    </row>
    <row r="178">
      <c r="A178" s="1">
        <v>46335.0</v>
      </c>
      <c r="B178" s="2" t="s">
        <v>14</v>
      </c>
      <c r="C178" s="2" t="s">
        <v>192</v>
      </c>
      <c r="D178" s="4"/>
      <c r="E178" s="4">
        <v>5.948E7</v>
      </c>
      <c r="F178" s="4" t="s">
        <v>7</v>
      </c>
      <c r="G178" s="3">
        <v>5.956059319000006E7</v>
      </c>
      <c r="H178" s="3"/>
      <c r="I178" s="6" t="s">
        <v>42</v>
      </c>
    </row>
    <row r="179">
      <c r="A179" s="1">
        <v>46335.0</v>
      </c>
      <c r="B179" s="2" t="s">
        <v>10</v>
      </c>
      <c r="C179" s="2" t="s">
        <v>193</v>
      </c>
      <c r="D179" s="4">
        <v>3700000.0</v>
      </c>
      <c r="E179" s="3"/>
      <c r="F179" s="4" t="s">
        <v>3</v>
      </c>
      <c r="G179" s="3">
        <v>5.586059319000006E7</v>
      </c>
      <c r="H179" s="3"/>
      <c r="I179" s="6"/>
    </row>
    <row r="180">
      <c r="A180" s="1">
        <v>46335.0</v>
      </c>
      <c r="B180" s="2" t="s">
        <v>14</v>
      </c>
      <c r="C180" s="2" t="s">
        <v>194</v>
      </c>
      <c r="D180" s="4"/>
      <c r="E180" s="4">
        <v>1.6513089E8</v>
      </c>
      <c r="F180" s="4" t="s">
        <v>7</v>
      </c>
      <c r="G180" s="3">
        <v>2.2099148319000006E8</v>
      </c>
      <c r="H180" s="4">
        <v>2.2099148319E8</v>
      </c>
      <c r="I180" s="6"/>
    </row>
    <row r="181">
      <c r="A181" s="1">
        <v>46335.0</v>
      </c>
      <c r="B181" s="2" t="s">
        <v>195</v>
      </c>
      <c r="C181" s="2" t="s">
        <v>196</v>
      </c>
      <c r="D181" s="4">
        <v>200000.0</v>
      </c>
      <c r="E181" s="3"/>
      <c r="F181" s="3"/>
      <c r="G181" s="3">
        <v>2.2079148319000006E8</v>
      </c>
      <c r="H181" s="4">
        <v>2.2079148319E8</v>
      </c>
      <c r="I181" s="6"/>
    </row>
    <row r="182">
      <c r="A182" s="1">
        <v>46335.0</v>
      </c>
      <c r="B182" s="2" t="s">
        <v>195</v>
      </c>
      <c r="C182" s="2" t="s">
        <v>197</v>
      </c>
      <c r="D182" s="4">
        <v>7500.0</v>
      </c>
      <c r="E182" s="3"/>
      <c r="F182" s="3"/>
      <c r="G182" s="3">
        <v>2.2078398319000006E8</v>
      </c>
      <c r="H182" s="3"/>
      <c r="I182" s="6"/>
    </row>
    <row r="183">
      <c r="A183" s="1">
        <v>46335.0</v>
      </c>
      <c r="B183" s="2" t="s">
        <v>14</v>
      </c>
      <c r="C183" s="2" t="s">
        <v>198</v>
      </c>
      <c r="D183" s="4"/>
      <c r="E183" s="4">
        <v>1.4364155E8</v>
      </c>
      <c r="F183" s="4" t="s">
        <v>7</v>
      </c>
      <c r="G183" s="3">
        <v>3.6442553319000006E8</v>
      </c>
      <c r="H183" s="3"/>
      <c r="I183" s="6"/>
    </row>
    <row r="184">
      <c r="A184" s="1">
        <v>46335.0</v>
      </c>
      <c r="B184" s="2" t="s">
        <v>14</v>
      </c>
      <c r="C184" s="2" t="s">
        <v>199</v>
      </c>
      <c r="D184" s="4"/>
      <c r="E184" s="4">
        <v>1.2678908E8</v>
      </c>
      <c r="F184" s="4" t="s">
        <v>7</v>
      </c>
      <c r="G184" s="3">
        <v>4.9121461319000006E8</v>
      </c>
      <c r="H184" s="3"/>
      <c r="I184" s="6"/>
    </row>
    <row r="185">
      <c r="A185" s="1">
        <v>46335.0</v>
      </c>
      <c r="B185" s="2" t="s">
        <v>14</v>
      </c>
      <c r="C185" s="2" t="s">
        <v>200</v>
      </c>
      <c r="D185" s="4"/>
      <c r="E185" s="4">
        <v>3.3708097E8</v>
      </c>
      <c r="F185" s="4" t="s">
        <v>7</v>
      </c>
      <c r="G185" s="3">
        <v>8.2829558319E8</v>
      </c>
      <c r="H185" s="3"/>
      <c r="I185" s="6"/>
    </row>
    <row r="186">
      <c r="A186" s="1">
        <v>46335.0</v>
      </c>
      <c r="B186" s="2" t="s">
        <v>10</v>
      </c>
      <c r="C186" s="2" t="s">
        <v>201</v>
      </c>
      <c r="D186" s="4">
        <v>5.604039E7</v>
      </c>
      <c r="E186" s="3"/>
      <c r="F186" s="4" t="s">
        <v>3</v>
      </c>
      <c r="G186" s="3">
        <v>7.7225519319E8</v>
      </c>
      <c r="H186" s="3"/>
      <c r="I186" s="6"/>
    </row>
    <row r="187">
      <c r="A187" s="1">
        <v>46335.0</v>
      </c>
      <c r="B187" s="2" t="s">
        <v>10</v>
      </c>
      <c r="C187" s="2" t="s">
        <v>202</v>
      </c>
      <c r="D187" s="4">
        <v>2000000.0</v>
      </c>
      <c r="E187" s="3"/>
      <c r="F187" s="4" t="s">
        <v>3</v>
      </c>
      <c r="G187" s="3">
        <v>7.7025519319E8</v>
      </c>
      <c r="H187" s="3"/>
      <c r="I187" s="6"/>
    </row>
    <row r="188">
      <c r="A188" s="1">
        <v>46335.0</v>
      </c>
      <c r="B188" s="2" t="s">
        <v>14</v>
      </c>
      <c r="C188" s="2" t="s">
        <v>203</v>
      </c>
      <c r="D188" s="4"/>
      <c r="E188" s="4">
        <v>3.5E7</v>
      </c>
      <c r="F188" s="4" t="s">
        <v>7</v>
      </c>
      <c r="G188" s="3">
        <v>8.0525519319E8</v>
      </c>
      <c r="H188" s="3"/>
      <c r="I188" s="6"/>
    </row>
    <row r="189">
      <c r="A189" s="1">
        <v>46335.0</v>
      </c>
      <c r="B189" s="2" t="s">
        <v>204</v>
      </c>
      <c r="C189" s="2" t="s">
        <v>204</v>
      </c>
      <c r="D189" s="4">
        <v>200000.0</v>
      </c>
      <c r="E189" s="3"/>
      <c r="F189" s="3"/>
      <c r="G189" s="3">
        <v>8.0505519319E8</v>
      </c>
      <c r="H189" s="3"/>
      <c r="I189" s="6"/>
    </row>
    <row r="190">
      <c r="A190" s="1">
        <v>46335.0</v>
      </c>
      <c r="B190" s="2" t="s">
        <v>10</v>
      </c>
      <c r="C190" s="2" t="s">
        <v>205</v>
      </c>
      <c r="D190" s="4">
        <v>1.825832E7</v>
      </c>
      <c r="E190" s="3"/>
      <c r="F190" s="4" t="s">
        <v>3</v>
      </c>
      <c r="G190" s="3">
        <v>7.8679687319E8</v>
      </c>
      <c r="H190" s="3"/>
      <c r="I190" s="6"/>
    </row>
    <row r="191">
      <c r="A191" s="1">
        <v>46335.0</v>
      </c>
      <c r="B191" s="2" t="s">
        <v>10</v>
      </c>
      <c r="C191" s="2" t="s">
        <v>206</v>
      </c>
      <c r="D191" s="4">
        <v>1.6856488E8</v>
      </c>
      <c r="E191" s="3"/>
      <c r="F191" s="4" t="s">
        <v>3</v>
      </c>
      <c r="G191" s="3">
        <v>6.1823199319E8</v>
      </c>
      <c r="H191" s="3"/>
      <c r="I191" s="6"/>
    </row>
    <row r="192">
      <c r="A192" s="1">
        <v>46335.0</v>
      </c>
      <c r="B192" s="2" t="s">
        <v>10</v>
      </c>
      <c r="C192" s="2" t="s">
        <v>207</v>
      </c>
      <c r="D192" s="4">
        <v>1.5252811E8</v>
      </c>
      <c r="E192" s="3"/>
      <c r="F192" s="4" t="s">
        <v>3</v>
      </c>
      <c r="G192" s="3">
        <v>4.6570388319000006E8</v>
      </c>
      <c r="H192" s="3"/>
      <c r="I192" s="6"/>
    </row>
    <row r="193">
      <c r="A193" s="1">
        <v>46335.0</v>
      </c>
      <c r="B193" s="2" t="s">
        <v>10</v>
      </c>
      <c r="C193" s="2" t="s">
        <v>208</v>
      </c>
      <c r="D193" s="4">
        <v>1.178E8</v>
      </c>
      <c r="E193" s="3"/>
      <c r="F193" s="4" t="s">
        <v>3</v>
      </c>
      <c r="G193" s="3">
        <v>3.4790388319000006E8</v>
      </c>
      <c r="H193" s="3"/>
      <c r="I193" s="6"/>
    </row>
    <row r="194">
      <c r="A194" s="1">
        <v>46335.0</v>
      </c>
      <c r="B194" s="2" t="s">
        <v>10</v>
      </c>
      <c r="C194" s="2" t="s">
        <v>209</v>
      </c>
      <c r="D194" s="4">
        <v>5.5426E7</v>
      </c>
      <c r="E194" s="3"/>
      <c r="F194" s="4" t="s">
        <v>3</v>
      </c>
      <c r="G194" s="3">
        <v>2.9247788319000006E8</v>
      </c>
      <c r="H194" s="4">
        <v>2.9247788319E8</v>
      </c>
      <c r="I194" s="6"/>
    </row>
    <row r="195">
      <c r="A195" s="8">
        <v>46336.0</v>
      </c>
      <c r="B195" s="2" t="s">
        <v>210</v>
      </c>
      <c r="C195" s="2" t="s">
        <v>211</v>
      </c>
      <c r="D195" s="4">
        <v>1.806525E8</v>
      </c>
      <c r="E195" s="3"/>
      <c r="F195" s="4" t="s">
        <v>3</v>
      </c>
      <c r="G195" s="3">
        <v>1.1182538319000006E8</v>
      </c>
      <c r="H195" s="4">
        <v>1.1182538319E8</v>
      </c>
      <c r="I195" s="6"/>
    </row>
    <row r="196">
      <c r="A196" s="8">
        <v>46336.0</v>
      </c>
      <c r="B196" s="2" t="s">
        <v>210</v>
      </c>
      <c r="C196" s="2" t="s">
        <v>212</v>
      </c>
      <c r="D196" s="4">
        <v>5.22E7</v>
      </c>
      <c r="E196" s="3"/>
      <c r="F196" s="4" t="s">
        <v>3</v>
      </c>
      <c r="G196" s="3">
        <v>5.962538319000006E7</v>
      </c>
      <c r="H196" s="4">
        <v>5.962538319E7</v>
      </c>
      <c r="I196" s="6" t="s">
        <v>42</v>
      </c>
    </row>
    <row r="197">
      <c r="A197" s="8">
        <v>46336.0</v>
      </c>
      <c r="B197" s="2" t="s">
        <v>210</v>
      </c>
      <c r="C197" s="2" t="s">
        <v>213</v>
      </c>
      <c r="D197" s="4">
        <v>2.0E7</v>
      </c>
      <c r="E197" s="3"/>
      <c r="F197" s="4" t="s">
        <v>3</v>
      </c>
      <c r="G197" s="3">
        <v>3.962538319000006E7</v>
      </c>
      <c r="H197" s="3"/>
      <c r="I197" s="6" t="s">
        <v>42</v>
      </c>
    </row>
    <row r="198">
      <c r="A198" s="8">
        <v>46336.0</v>
      </c>
      <c r="B198" s="2" t="s">
        <v>214</v>
      </c>
      <c r="C198" s="2" t="s">
        <v>215</v>
      </c>
      <c r="D198" s="4"/>
      <c r="E198" s="4">
        <v>2.4149E7</v>
      </c>
      <c r="F198" s="4" t="s">
        <v>7</v>
      </c>
      <c r="G198" s="3">
        <v>6.377438319000006E7</v>
      </c>
      <c r="H198" s="3"/>
      <c r="I198" s="6" t="s">
        <v>42</v>
      </c>
    </row>
    <row r="199">
      <c r="A199" s="8">
        <v>46336.0</v>
      </c>
      <c r="B199" s="2" t="s">
        <v>10</v>
      </c>
      <c r="C199" s="2" t="s">
        <v>216</v>
      </c>
      <c r="D199" s="4">
        <v>4.94505E7</v>
      </c>
      <c r="E199" s="3"/>
      <c r="F199" s="4" t="s">
        <v>3</v>
      </c>
      <c r="G199" s="3">
        <v>1.4323883190000057E7</v>
      </c>
      <c r="H199" s="3"/>
      <c r="I199" s="6"/>
    </row>
    <row r="200">
      <c r="A200" s="8">
        <v>46336.0</v>
      </c>
      <c r="B200" s="2" t="s">
        <v>10</v>
      </c>
      <c r="C200" s="2" t="s">
        <v>217</v>
      </c>
      <c r="D200" s="4">
        <v>872940.0</v>
      </c>
      <c r="E200" s="3"/>
      <c r="F200" s="4" t="s">
        <v>3</v>
      </c>
      <c r="G200" s="3">
        <v>1.3450943190000057E7</v>
      </c>
      <c r="H200" s="3"/>
      <c r="I200" s="6"/>
    </row>
    <row r="201">
      <c r="A201" s="8">
        <v>46336.0</v>
      </c>
      <c r="B201" s="2" t="s">
        <v>10</v>
      </c>
      <c r="C201" s="2" t="s">
        <v>218</v>
      </c>
      <c r="D201" s="4">
        <v>1000000.0</v>
      </c>
      <c r="E201" s="3"/>
      <c r="F201" s="4" t="s">
        <v>3</v>
      </c>
      <c r="G201" s="3">
        <v>1.2450943190000057E7</v>
      </c>
      <c r="H201" s="3"/>
      <c r="I201" s="6"/>
    </row>
    <row r="202">
      <c r="A202" s="8">
        <v>46336.0</v>
      </c>
      <c r="B202" s="2" t="s">
        <v>14</v>
      </c>
      <c r="C202" s="2" t="s">
        <v>219</v>
      </c>
      <c r="D202" s="4"/>
      <c r="E202" s="4">
        <v>5.8695E7</v>
      </c>
      <c r="F202" s="4" t="s">
        <v>7</v>
      </c>
      <c r="G202" s="3">
        <v>7.114594319000006E7</v>
      </c>
      <c r="H202" s="3"/>
      <c r="I202" s="6"/>
    </row>
    <row r="203">
      <c r="A203" s="8">
        <v>46336.0</v>
      </c>
      <c r="B203" s="2" t="s">
        <v>14</v>
      </c>
      <c r="C203" s="2" t="s">
        <v>220</v>
      </c>
      <c r="D203" s="4"/>
      <c r="E203" s="4">
        <v>7.08324E7</v>
      </c>
      <c r="F203" s="4" t="s">
        <v>7</v>
      </c>
      <c r="G203" s="3">
        <v>1.4197834319000006E8</v>
      </c>
      <c r="H203" s="3"/>
      <c r="I203" s="6"/>
    </row>
    <row r="204">
      <c r="A204" s="8">
        <v>46336.0</v>
      </c>
      <c r="B204" s="2" t="s">
        <v>10</v>
      </c>
      <c r="C204" s="2" t="s">
        <v>221</v>
      </c>
      <c r="D204" s="4">
        <v>6.31066E7</v>
      </c>
      <c r="E204" s="3"/>
      <c r="F204" s="4" t="s">
        <v>3</v>
      </c>
      <c r="G204" s="3">
        <v>7.887174319000006E7</v>
      </c>
      <c r="H204" s="3"/>
      <c r="I204" s="6"/>
    </row>
    <row r="205">
      <c r="A205" s="8">
        <v>46336.0</v>
      </c>
      <c r="B205" s="2" t="s">
        <v>10</v>
      </c>
      <c r="C205" s="2" t="s">
        <v>222</v>
      </c>
      <c r="D205" s="4">
        <v>6.56343E7</v>
      </c>
      <c r="E205" s="3"/>
      <c r="F205" s="4" t="s">
        <v>3</v>
      </c>
      <c r="G205" s="3">
        <v>1.3237443190000057E7</v>
      </c>
      <c r="H205" s="3"/>
      <c r="I205" s="6"/>
    </row>
    <row r="206">
      <c r="A206" s="8">
        <v>46336.0</v>
      </c>
      <c r="B206" s="2" t="s">
        <v>14</v>
      </c>
      <c r="C206" s="2" t="s">
        <v>223</v>
      </c>
      <c r="D206" s="4"/>
      <c r="E206" s="4">
        <v>6.941E7</v>
      </c>
      <c r="F206" s="4" t="s">
        <v>7</v>
      </c>
      <c r="G206" s="3">
        <v>8.264744319000006E7</v>
      </c>
      <c r="H206" s="3"/>
      <c r="I206" s="6"/>
    </row>
    <row r="207">
      <c r="A207" s="8">
        <v>46336.0</v>
      </c>
      <c r="B207" s="2" t="s">
        <v>113</v>
      </c>
      <c r="C207" s="2" t="s">
        <v>224</v>
      </c>
      <c r="D207" s="4">
        <v>102000.0</v>
      </c>
      <c r="E207" s="3"/>
      <c r="F207" s="3"/>
      <c r="G207" s="3">
        <v>8.254544319000006E7</v>
      </c>
      <c r="H207" s="3"/>
      <c r="I207" s="6"/>
    </row>
    <row r="208">
      <c r="A208" s="8">
        <v>46336.0</v>
      </c>
      <c r="B208" s="2" t="s">
        <v>10</v>
      </c>
      <c r="C208" s="2" t="s">
        <v>225</v>
      </c>
      <c r="D208" s="4">
        <v>700000.0</v>
      </c>
      <c r="E208" s="3"/>
      <c r="F208" s="4" t="s">
        <v>3</v>
      </c>
      <c r="G208" s="3">
        <v>8.184544319000006E7</v>
      </c>
      <c r="H208" s="4">
        <v>8.184544319E7</v>
      </c>
      <c r="I208" s="6" t="s">
        <v>42</v>
      </c>
    </row>
    <row r="209">
      <c r="A209" s="8">
        <v>46336.0</v>
      </c>
      <c r="B209" s="2" t="s">
        <v>226</v>
      </c>
      <c r="C209" s="2" t="s">
        <v>227</v>
      </c>
      <c r="D209" s="4">
        <v>187000.0</v>
      </c>
      <c r="E209" s="3"/>
      <c r="F209" s="4" t="s">
        <v>3</v>
      </c>
      <c r="G209" s="3">
        <v>8.165844319000006E7</v>
      </c>
      <c r="H209" s="4">
        <v>8.165844319E7</v>
      </c>
      <c r="I209" s="6" t="s">
        <v>42</v>
      </c>
    </row>
    <row r="210">
      <c r="A210" s="8">
        <v>46336.0</v>
      </c>
      <c r="B210" s="2" t="s">
        <v>226</v>
      </c>
      <c r="C210" s="2" t="s">
        <v>228</v>
      </c>
      <c r="D210" s="4">
        <v>2500.0</v>
      </c>
      <c r="E210" s="3"/>
      <c r="F210" s="4" t="s">
        <v>3</v>
      </c>
      <c r="G210" s="3">
        <v>8.165594319000006E7</v>
      </c>
      <c r="H210" s="3"/>
      <c r="I210" s="6" t="s">
        <v>42</v>
      </c>
    </row>
    <row r="211">
      <c r="A211" s="8">
        <v>46336.0</v>
      </c>
      <c r="B211" s="2" t="s">
        <v>14</v>
      </c>
      <c r="C211" s="2" t="s">
        <v>229</v>
      </c>
      <c r="D211" s="4"/>
      <c r="E211" s="4">
        <v>1.38103875E8</v>
      </c>
      <c r="F211" s="4" t="s">
        <v>7</v>
      </c>
      <c r="G211" s="3">
        <v>2.1975981819000006E8</v>
      </c>
      <c r="H211" s="3"/>
      <c r="I211" s="6" t="s">
        <v>42</v>
      </c>
    </row>
    <row r="212">
      <c r="A212" s="8">
        <v>46336.0</v>
      </c>
      <c r="B212" s="2" t="s">
        <v>14</v>
      </c>
      <c r="C212" s="2" t="s">
        <v>230</v>
      </c>
      <c r="D212" s="4"/>
      <c r="E212" s="4">
        <v>7700000.0</v>
      </c>
      <c r="F212" s="4" t="s">
        <v>7</v>
      </c>
      <c r="G212" s="3">
        <v>2.2745981819000006E8</v>
      </c>
      <c r="H212" s="3"/>
      <c r="I212" s="6" t="s">
        <v>42</v>
      </c>
    </row>
    <row r="213">
      <c r="A213" s="8">
        <v>46336.0</v>
      </c>
      <c r="B213" s="2" t="s">
        <v>14</v>
      </c>
      <c r="C213" s="2" t="s">
        <v>231</v>
      </c>
      <c r="D213" s="4"/>
      <c r="E213" s="4">
        <v>5.952E7</v>
      </c>
      <c r="F213" s="4" t="s">
        <v>7</v>
      </c>
      <c r="G213" s="3">
        <v>2.8697981819000006E8</v>
      </c>
      <c r="H213" s="3"/>
      <c r="I213" s="6" t="s">
        <v>42</v>
      </c>
    </row>
    <row r="214">
      <c r="A214" s="8">
        <v>46336.0</v>
      </c>
      <c r="B214" s="2" t="s">
        <v>10</v>
      </c>
      <c r="C214" s="2" t="s">
        <v>232</v>
      </c>
      <c r="D214" s="4">
        <v>1.5E7</v>
      </c>
      <c r="E214" s="3"/>
      <c r="F214" s="4" t="s">
        <v>3</v>
      </c>
      <c r="G214" s="3">
        <v>2.7197981819000006E8</v>
      </c>
      <c r="H214" s="3"/>
      <c r="I214" s="6" t="s">
        <v>42</v>
      </c>
    </row>
    <row r="215">
      <c r="A215" s="8">
        <v>46336.0</v>
      </c>
      <c r="B215" s="2" t="s">
        <v>10</v>
      </c>
      <c r="C215" s="2" t="s">
        <v>233</v>
      </c>
      <c r="D215" s="4">
        <v>2600000.0</v>
      </c>
      <c r="E215" s="3"/>
      <c r="F215" s="4" t="s">
        <v>3</v>
      </c>
      <c r="G215" s="3">
        <v>2.6937981819000006E8</v>
      </c>
      <c r="H215" s="3"/>
      <c r="I215" s="6" t="s">
        <v>42</v>
      </c>
    </row>
    <row r="216">
      <c r="A216" s="8">
        <v>46336.0</v>
      </c>
      <c r="B216" s="2" t="s">
        <v>234</v>
      </c>
      <c r="C216" s="2" t="s">
        <v>234</v>
      </c>
      <c r="D216" s="4">
        <v>200000.0</v>
      </c>
      <c r="E216" s="3"/>
      <c r="F216" s="3"/>
      <c r="G216" s="3">
        <v>2.6917981819000006E8</v>
      </c>
      <c r="H216" s="4">
        <v>2.6917981819E8</v>
      </c>
      <c r="I216" s="6"/>
    </row>
    <row r="217">
      <c r="A217" s="8">
        <v>46337.0</v>
      </c>
      <c r="B217" s="2" t="s">
        <v>235</v>
      </c>
      <c r="C217" s="2" t="s">
        <v>236</v>
      </c>
      <c r="D217" s="4"/>
      <c r="E217" s="4">
        <v>6.5E7</v>
      </c>
      <c r="F217" s="4" t="s">
        <v>7</v>
      </c>
      <c r="G217" s="3">
        <v>3.3417981819000006E8</v>
      </c>
      <c r="H217" s="3"/>
      <c r="I217" s="6"/>
    </row>
    <row r="218">
      <c r="A218" s="8">
        <v>46337.0</v>
      </c>
      <c r="B218" s="2" t="s">
        <v>237</v>
      </c>
      <c r="C218" s="2" t="s">
        <v>238</v>
      </c>
      <c r="D218" s="4">
        <v>2.654321E8</v>
      </c>
      <c r="E218" s="3"/>
      <c r="F218" s="4" t="s">
        <v>3</v>
      </c>
      <c r="G218" s="3">
        <v>6.874771819000006E7</v>
      </c>
      <c r="H218" s="3"/>
      <c r="I218" s="6" t="s">
        <v>42</v>
      </c>
    </row>
    <row r="219">
      <c r="A219" s="8">
        <v>46337.0</v>
      </c>
      <c r="B219" s="2" t="s">
        <v>237</v>
      </c>
      <c r="C219" s="2" t="s">
        <v>239</v>
      </c>
      <c r="D219" s="4">
        <v>6.0301E7</v>
      </c>
      <c r="E219" s="3"/>
      <c r="F219" s="4" t="s">
        <v>3</v>
      </c>
      <c r="G219" s="3">
        <v>8446718.190000057</v>
      </c>
      <c r="H219" s="3"/>
      <c r="I219" s="6" t="s">
        <v>42</v>
      </c>
    </row>
    <row r="220">
      <c r="A220" s="8">
        <v>46337.0</v>
      </c>
      <c r="B220" s="2" t="s">
        <v>235</v>
      </c>
      <c r="C220" s="2" t="s">
        <v>240</v>
      </c>
      <c r="D220" s="4"/>
      <c r="E220" s="4">
        <v>3.1987492E8</v>
      </c>
      <c r="F220" s="4" t="s">
        <v>7</v>
      </c>
      <c r="G220" s="3">
        <v>3.2832163819000006E8</v>
      </c>
      <c r="H220" s="3"/>
      <c r="I220" s="6"/>
    </row>
    <row r="221">
      <c r="A221" s="8">
        <v>46337.0</v>
      </c>
      <c r="B221" s="2" t="s">
        <v>237</v>
      </c>
      <c r="C221" s="2" t="s">
        <v>241</v>
      </c>
      <c r="D221" s="4">
        <v>1.082322E7</v>
      </c>
      <c r="E221" s="3"/>
      <c r="F221" s="4" t="s">
        <v>3</v>
      </c>
      <c r="G221" s="3">
        <v>3.1749841819000006E8</v>
      </c>
      <c r="H221" s="3"/>
      <c r="I221" s="6" t="s">
        <v>42</v>
      </c>
    </row>
    <row r="222">
      <c r="A222" s="8">
        <v>46337.0</v>
      </c>
      <c r="B222" s="2" t="s">
        <v>237</v>
      </c>
      <c r="C222" s="2" t="s">
        <v>242</v>
      </c>
      <c r="D222" s="4">
        <v>5359650.0</v>
      </c>
      <c r="E222" s="3"/>
      <c r="F222" s="4" t="s">
        <v>3</v>
      </c>
      <c r="G222" s="3">
        <v>3.1213876819000006E8</v>
      </c>
      <c r="H222" s="4">
        <v>3.1213876819E8</v>
      </c>
      <c r="I222" s="6"/>
    </row>
    <row r="223">
      <c r="A223" s="8">
        <v>46337.0</v>
      </c>
      <c r="B223" s="2" t="s">
        <v>237</v>
      </c>
      <c r="C223" s="2" t="s">
        <v>243</v>
      </c>
      <c r="D223" s="4">
        <v>4862450.0</v>
      </c>
      <c r="E223" s="3"/>
      <c r="F223" s="4" t="s">
        <v>3</v>
      </c>
      <c r="G223" s="3">
        <v>3.0727631819000006E8</v>
      </c>
      <c r="H223" s="4">
        <v>3.0727631819E8</v>
      </c>
      <c r="I223" s="6" t="s">
        <v>42</v>
      </c>
    </row>
    <row r="224">
      <c r="A224" s="8">
        <v>46337.0</v>
      </c>
      <c r="B224" s="2" t="s">
        <v>237</v>
      </c>
      <c r="C224" s="2" t="s">
        <v>244</v>
      </c>
      <c r="D224" s="4">
        <v>8835040.0</v>
      </c>
      <c r="E224" s="3"/>
      <c r="F224" s="4" t="s">
        <v>3</v>
      </c>
      <c r="G224" s="3">
        <v>2.9844127819000006E8</v>
      </c>
      <c r="H224" s="3"/>
      <c r="I224" s="6"/>
    </row>
    <row r="225">
      <c r="A225" s="8">
        <v>46337.0</v>
      </c>
      <c r="B225" s="2" t="s">
        <v>237</v>
      </c>
      <c r="C225" s="2" t="s">
        <v>239</v>
      </c>
      <c r="D225" s="4">
        <v>1.212485E8</v>
      </c>
      <c r="E225" s="3"/>
      <c r="F225" s="4" t="s">
        <v>3</v>
      </c>
      <c r="G225" s="3">
        <v>1.7719277819000006E8</v>
      </c>
      <c r="H225" s="3"/>
      <c r="I225" s="6"/>
    </row>
    <row r="226">
      <c r="A226" s="8">
        <v>46337.0</v>
      </c>
      <c r="B226" s="2" t="s">
        <v>237</v>
      </c>
      <c r="C226" s="2" t="s">
        <v>245</v>
      </c>
      <c r="D226" s="4">
        <v>5.63559E7</v>
      </c>
      <c r="E226" s="3"/>
      <c r="F226" s="4" t="s">
        <v>3</v>
      </c>
      <c r="G226" s="3">
        <v>1.2083687819000006E8</v>
      </c>
      <c r="H226" s="3"/>
      <c r="I226" s="6"/>
    </row>
    <row r="227">
      <c r="A227" s="8">
        <v>46337.0</v>
      </c>
      <c r="B227" s="2" t="s">
        <v>237</v>
      </c>
      <c r="C227" s="2" t="s">
        <v>246</v>
      </c>
      <c r="D227" s="4">
        <v>5.69E7</v>
      </c>
      <c r="E227" s="3"/>
      <c r="F227" s="4" t="s">
        <v>3</v>
      </c>
      <c r="G227" s="3">
        <v>6.393687819000006E7</v>
      </c>
      <c r="H227" s="3"/>
      <c r="I227" s="6"/>
    </row>
    <row r="228">
      <c r="A228" s="8">
        <v>46337.0</v>
      </c>
      <c r="B228" s="2" t="s">
        <v>14</v>
      </c>
      <c r="C228" s="2" t="s">
        <v>247</v>
      </c>
      <c r="D228" s="4"/>
      <c r="E228" s="4">
        <v>1.26951E8</v>
      </c>
      <c r="F228" s="4" t="s">
        <v>7</v>
      </c>
      <c r="G228" s="3">
        <v>1.9088787819000006E8</v>
      </c>
      <c r="H228" s="3"/>
      <c r="I228" s="6"/>
    </row>
    <row r="229">
      <c r="A229" s="8">
        <v>46337.0</v>
      </c>
      <c r="B229" s="2" t="s">
        <v>10</v>
      </c>
      <c r="C229" s="2" t="s">
        <v>248</v>
      </c>
      <c r="D229" s="4">
        <v>5.502924E7</v>
      </c>
      <c r="E229" s="3"/>
      <c r="F229" s="4" t="s">
        <v>3</v>
      </c>
      <c r="G229" s="3">
        <v>1.3585863819000006E8</v>
      </c>
      <c r="H229" s="3"/>
      <c r="I229" s="6"/>
    </row>
    <row r="230">
      <c r="A230" s="8">
        <v>46337.0</v>
      </c>
      <c r="B230" s="2" t="s">
        <v>10</v>
      </c>
      <c r="C230" s="2" t="s">
        <v>249</v>
      </c>
      <c r="D230" s="4">
        <v>6.4581E7</v>
      </c>
      <c r="E230" s="3"/>
      <c r="F230" s="4" t="s">
        <v>3</v>
      </c>
      <c r="G230" s="3">
        <v>7.127763819000006E7</v>
      </c>
      <c r="H230" s="3"/>
      <c r="I230" s="6" t="s">
        <v>42</v>
      </c>
    </row>
    <row r="231">
      <c r="A231" s="8">
        <v>46337.0</v>
      </c>
      <c r="B231" s="2" t="s">
        <v>10</v>
      </c>
      <c r="C231" s="2" t="s">
        <v>250</v>
      </c>
      <c r="D231" s="4">
        <v>5.587998E7</v>
      </c>
      <c r="E231" s="3"/>
      <c r="F231" s="4" t="s">
        <v>3</v>
      </c>
      <c r="G231" s="3">
        <v>1.5397658190000057E7</v>
      </c>
      <c r="H231" s="3"/>
      <c r="I231" s="6" t="s">
        <v>42</v>
      </c>
    </row>
    <row r="232">
      <c r="A232" s="8">
        <v>46337.0</v>
      </c>
      <c r="B232" s="2" t="s">
        <v>14</v>
      </c>
      <c r="C232" s="2" t="s">
        <v>251</v>
      </c>
      <c r="D232" s="4"/>
      <c r="E232" s="4">
        <v>1.6319077E8</v>
      </c>
      <c r="F232" s="4" t="s">
        <v>7</v>
      </c>
      <c r="G232" s="3">
        <v>1.7858842819000006E8</v>
      </c>
      <c r="H232" s="3"/>
      <c r="I232" s="6" t="s">
        <v>42</v>
      </c>
    </row>
    <row r="233">
      <c r="A233" s="8">
        <v>46337.0</v>
      </c>
      <c r="B233" s="2" t="s">
        <v>10</v>
      </c>
      <c r="C233" s="2" t="s">
        <v>252</v>
      </c>
      <c r="D233" s="4">
        <v>5479600.0</v>
      </c>
      <c r="E233" s="3"/>
      <c r="F233" s="4" t="s">
        <v>3</v>
      </c>
      <c r="G233" s="3">
        <v>1.7310882819000006E8</v>
      </c>
      <c r="H233" s="3"/>
      <c r="I233" s="6" t="s">
        <v>42</v>
      </c>
    </row>
    <row r="234">
      <c r="A234" s="8">
        <v>46337.0</v>
      </c>
      <c r="B234" s="2" t="s">
        <v>10</v>
      </c>
      <c r="C234" s="2" t="s">
        <v>253</v>
      </c>
      <c r="D234" s="4">
        <v>6.65E7</v>
      </c>
      <c r="E234" s="3"/>
      <c r="F234" s="4" t="s">
        <v>3</v>
      </c>
      <c r="G234" s="3">
        <v>1.0660882819000006E8</v>
      </c>
      <c r="H234" s="4">
        <v>1.0660882819E8</v>
      </c>
      <c r="I234" s="6" t="s">
        <v>42</v>
      </c>
    </row>
    <row r="235">
      <c r="A235" s="8">
        <v>46337.0</v>
      </c>
      <c r="B235" s="2" t="s">
        <v>10</v>
      </c>
      <c r="C235" s="2" t="s">
        <v>254</v>
      </c>
      <c r="D235" s="4">
        <v>5.55684E7</v>
      </c>
      <c r="E235" s="3"/>
      <c r="F235" s="4" t="s">
        <v>3</v>
      </c>
      <c r="G235" s="3">
        <v>5.104042819000006E7</v>
      </c>
      <c r="H235" s="4">
        <v>5.104042819E7</v>
      </c>
      <c r="I235" s="6" t="s">
        <v>42</v>
      </c>
    </row>
    <row r="236">
      <c r="A236" s="8">
        <v>46337.0</v>
      </c>
      <c r="B236" s="2" t="s">
        <v>14</v>
      </c>
      <c r="C236" s="2" t="s">
        <v>255</v>
      </c>
      <c r="D236" s="4"/>
      <c r="E236" s="4">
        <v>2.82358E7</v>
      </c>
      <c r="F236" s="4" t="s">
        <v>7</v>
      </c>
      <c r="G236" s="3">
        <v>7.927622819000006E7</v>
      </c>
      <c r="H236" s="3"/>
      <c r="I236" s="6" t="s">
        <v>42</v>
      </c>
    </row>
    <row r="237">
      <c r="A237" s="8">
        <v>46337.0</v>
      </c>
      <c r="B237" s="2" t="s">
        <v>256</v>
      </c>
      <c r="C237" s="2" t="s">
        <v>257</v>
      </c>
      <c r="D237" s="4">
        <v>89000.0</v>
      </c>
      <c r="E237" s="3"/>
      <c r="F237" s="3"/>
      <c r="G237" s="3">
        <v>7.918722819000006E7</v>
      </c>
      <c r="H237" s="3"/>
      <c r="I237" s="6"/>
    </row>
    <row r="238">
      <c r="A238" s="8">
        <v>46337.0</v>
      </c>
      <c r="B238" s="2" t="s">
        <v>27</v>
      </c>
      <c r="C238" s="2" t="s">
        <v>258</v>
      </c>
      <c r="D238" s="4">
        <v>564100.0</v>
      </c>
      <c r="E238" s="3"/>
      <c r="F238" s="3"/>
      <c r="G238" s="3">
        <v>7.862312819000006E7</v>
      </c>
      <c r="H238" s="4">
        <v>7.862312819E7</v>
      </c>
      <c r="I238" s="6"/>
    </row>
    <row r="239">
      <c r="A239" s="8">
        <v>46338.0</v>
      </c>
      <c r="B239" s="2" t="s">
        <v>259</v>
      </c>
      <c r="C239" s="2" t="s">
        <v>260</v>
      </c>
      <c r="D239" s="4"/>
      <c r="E239" s="4">
        <v>6.6E7</v>
      </c>
      <c r="F239" s="4" t="s">
        <v>7</v>
      </c>
      <c r="G239" s="3">
        <v>1.4462312819000006E8</v>
      </c>
      <c r="H239" s="3"/>
      <c r="I239" s="6"/>
    </row>
    <row r="240">
      <c r="A240" s="8">
        <v>46338.0</v>
      </c>
      <c r="B240" s="2" t="s">
        <v>14</v>
      </c>
      <c r="C240" s="2" t="s">
        <v>261</v>
      </c>
      <c r="D240" s="4"/>
      <c r="E240" s="4">
        <v>3.1173665E8</v>
      </c>
      <c r="F240" s="4" t="s">
        <v>7</v>
      </c>
      <c r="G240" s="3">
        <v>4.5635977819000006E8</v>
      </c>
      <c r="H240" s="3"/>
      <c r="I240" s="6"/>
    </row>
    <row r="241">
      <c r="A241" s="8">
        <v>46338.0</v>
      </c>
      <c r="B241" s="2" t="s">
        <v>10</v>
      </c>
      <c r="C241" s="2" t="s">
        <v>262</v>
      </c>
      <c r="D241" s="4">
        <v>1.915166E7</v>
      </c>
      <c r="E241" s="3"/>
      <c r="F241" s="4" t="s">
        <v>3</v>
      </c>
      <c r="G241" s="3">
        <v>4.3720811819000006E8</v>
      </c>
      <c r="H241" s="3"/>
      <c r="I241" s="6" t="s">
        <v>13</v>
      </c>
    </row>
    <row r="242">
      <c r="A242" s="8">
        <v>46338.0</v>
      </c>
      <c r="B242" s="2" t="s">
        <v>10</v>
      </c>
      <c r="C242" s="2" t="s">
        <v>263</v>
      </c>
      <c r="D242" s="4">
        <v>6.475185E7</v>
      </c>
      <c r="E242" s="3"/>
      <c r="F242" s="4" t="s">
        <v>3</v>
      </c>
      <c r="G242" s="3">
        <v>3.7245626819000006E8</v>
      </c>
      <c r="H242" s="3"/>
      <c r="I242" s="6"/>
    </row>
    <row r="243">
      <c r="A243" s="8">
        <v>46338.0</v>
      </c>
      <c r="B243" s="2" t="s">
        <v>10</v>
      </c>
      <c r="C243" s="2" t="s">
        <v>264</v>
      </c>
      <c r="D243" s="4">
        <v>1.114632E8</v>
      </c>
      <c r="E243" s="3"/>
      <c r="F243" s="4" t="s">
        <v>3</v>
      </c>
      <c r="G243" s="3">
        <v>2.6099306819000006E8</v>
      </c>
      <c r="H243" s="3"/>
      <c r="I243" s="6"/>
    </row>
    <row r="244">
      <c r="A244" s="8">
        <v>46338.0</v>
      </c>
      <c r="B244" s="2" t="s">
        <v>10</v>
      </c>
      <c r="C244" s="2" t="s">
        <v>265</v>
      </c>
      <c r="D244" s="4">
        <v>9.775315E7</v>
      </c>
      <c r="E244" s="3"/>
      <c r="F244" s="4" t="s">
        <v>3</v>
      </c>
      <c r="G244" s="3">
        <v>1.6323991819000006E8</v>
      </c>
      <c r="H244" s="3"/>
      <c r="I244" s="6"/>
    </row>
    <row r="245">
      <c r="A245" s="8">
        <v>46338.0</v>
      </c>
      <c r="B245" s="2" t="s">
        <v>10</v>
      </c>
      <c r="C245" s="2" t="s">
        <v>266</v>
      </c>
      <c r="D245" s="4">
        <v>9.0E7</v>
      </c>
      <c r="E245" s="3"/>
      <c r="F245" s="4" t="s">
        <v>3</v>
      </c>
      <c r="G245" s="3">
        <v>7.323991819000006E7</v>
      </c>
      <c r="H245" s="3"/>
      <c r="I245" s="6" t="s">
        <v>42</v>
      </c>
    </row>
    <row r="246">
      <c r="A246" s="8">
        <v>46338.0</v>
      </c>
      <c r="B246" s="2" t="s">
        <v>10</v>
      </c>
      <c r="C246" s="2" t="s">
        <v>267</v>
      </c>
      <c r="D246" s="4">
        <v>1000000.0</v>
      </c>
      <c r="E246" s="3"/>
      <c r="F246" s="4" t="s">
        <v>3</v>
      </c>
      <c r="G246" s="3">
        <v>7.223991819000006E7</v>
      </c>
      <c r="H246" s="3"/>
      <c r="I246" s="6"/>
    </row>
    <row r="247">
      <c r="A247" s="8">
        <v>46338.0</v>
      </c>
      <c r="B247" s="2" t="s">
        <v>10</v>
      </c>
      <c r="C247" s="2" t="s">
        <v>268</v>
      </c>
      <c r="D247" s="4">
        <v>2600000.0</v>
      </c>
      <c r="E247" s="3"/>
      <c r="F247" s="4" t="s">
        <v>3</v>
      </c>
      <c r="G247" s="3">
        <v>6.963991819000006E7</v>
      </c>
      <c r="H247" s="3"/>
      <c r="I247" s="6"/>
    </row>
    <row r="248">
      <c r="A248" s="8">
        <v>46338.0</v>
      </c>
      <c r="B248" s="2" t="s">
        <v>10</v>
      </c>
      <c r="C248" s="2" t="s">
        <v>269</v>
      </c>
      <c r="D248" s="4">
        <v>1400000.0</v>
      </c>
      <c r="E248" s="3"/>
      <c r="F248" s="4" t="s">
        <v>3</v>
      </c>
      <c r="G248" s="3">
        <v>6.823991819000006E7</v>
      </c>
      <c r="H248" s="4">
        <v>6.823991819E7</v>
      </c>
      <c r="I248" s="6"/>
    </row>
    <row r="249">
      <c r="A249" s="8">
        <v>46338.0</v>
      </c>
      <c r="B249" s="2" t="s">
        <v>10</v>
      </c>
      <c r="C249" s="2" t="s">
        <v>270</v>
      </c>
      <c r="D249" s="4">
        <v>6000000.0</v>
      </c>
      <c r="E249" s="3"/>
      <c r="F249" s="4" t="s">
        <v>3</v>
      </c>
      <c r="G249" s="3">
        <v>6.223991819000006E7</v>
      </c>
      <c r="H249" s="4">
        <v>6.223991819E7</v>
      </c>
      <c r="I249" s="6"/>
    </row>
    <row r="250">
      <c r="A250" s="8">
        <v>46338.0</v>
      </c>
      <c r="B250" s="2" t="s">
        <v>10</v>
      </c>
      <c r="C250" s="2" t="s">
        <v>271</v>
      </c>
      <c r="D250" s="4">
        <v>5000000.0</v>
      </c>
      <c r="E250" s="3"/>
      <c r="F250" s="4" t="s">
        <v>3</v>
      </c>
      <c r="G250" s="3">
        <v>5.723991819000006E7</v>
      </c>
      <c r="H250" s="4">
        <v>5.723991819E7</v>
      </c>
      <c r="I250" s="6"/>
    </row>
    <row r="251">
      <c r="A251" s="8">
        <v>46339.0</v>
      </c>
      <c r="B251" s="2" t="s">
        <v>14</v>
      </c>
      <c r="C251" s="2" t="s">
        <v>272</v>
      </c>
      <c r="D251" s="4"/>
      <c r="E251" s="4">
        <v>1.1E8</v>
      </c>
      <c r="F251" s="4" t="s">
        <v>7</v>
      </c>
      <c r="G251" s="3">
        <v>1.6723991819000006E8</v>
      </c>
      <c r="H251" s="3"/>
      <c r="I251" s="6"/>
    </row>
    <row r="252">
      <c r="A252" s="8">
        <v>46339.0</v>
      </c>
      <c r="B252" s="2" t="s">
        <v>14</v>
      </c>
      <c r="C252" s="2" t="s">
        <v>273</v>
      </c>
      <c r="D252" s="4"/>
      <c r="E252" s="4">
        <v>1.088013E8</v>
      </c>
      <c r="F252" s="4" t="s">
        <v>7</v>
      </c>
      <c r="G252" s="3">
        <v>2.7604121819000006E8</v>
      </c>
      <c r="H252" s="3"/>
      <c r="I252" s="6"/>
    </row>
    <row r="253">
      <c r="A253" s="8">
        <v>46339.0</v>
      </c>
      <c r="B253" s="2" t="s">
        <v>274</v>
      </c>
      <c r="C253" s="2" t="s">
        <v>275</v>
      </c>
      <c r="D253" s="4"/>
      <c r="E253" s="4">
        <v>5.97285E7</v>
      </c>
      <c r="F253" s="4" t="s">
        <v>7</v>
      </c>
      <c r="G253" s="3">
        <v>3.3576971819000006E8</v>
      </c>
      <c r="H253" s="3"/>
      <c r="I253" s="6"/>
    </row>
    <row r="254">
      <c r="A254" s="8">
        <v>46339.0</v>
      </c>
      <c r="B254" s="2" t="s">
        <v>10</v>
      </c>
      <c r="C254" s="2" t="s">
        <v>276</v>
      </c>
      <c r="D254" s="4">
        <v>6.41725E7</v>
      </c>
      <c r="E254" s="3"/>
      <c r="F254" s="4" t="s">
        <v>3</v>
      </c>
      <c r="G254" s="3">
        <v>2.7159721819000006E8</v>
      </c>
      <c r="H254" s="3"/>
      <c r="I254" s="6"/>
    </row>
    <row r="255">
      <c r="A255" s="8">
        <v>46339.0</v>
      </c>
      <c r="B255" s="2" t="s">
        <v>10</v>
      </c>
      <c r="C255" s="2" t="s">
        <v>277</v>
      </c>
      <c r="D255" s="4">
        <v>6.981696E7</v>
      </c>
      <c r="E255" s="3"/>
      <c r="F255" s="4" t="s">
        <v>3</v>
      </c>
      <c r="G255" s="3">
        <v>2.0178025819000006E8</v>
      </c>
      <c r="H255" s="3"/>
      <c r="I255" s="6"/>
    </row>
    <row r="256">
      <c r="A256" s="8">
        <v>46339.0</v>
      </c>
      <c r="B256" s="2" t="s">
        <v>10</v>
      </c>
      <c r="C256" s="2" t="s">
        <v>278</v>
      </c>
      <c r="D256" s="4">
        <v>6.313125E7</v>
      </c>
      <c r="E256" s="3"/>
      <c r="F256" s="4" t="s">
        <v>3</v>
      </c>
      <c r="G256" s="3">
        <v>1.3864900819000006E8</v>
      </c>
      <c r="H256" s="3"/>
      <c r="I256" s="6"/>
    </row>
    <row r="257">
      <c r="A257" s="8">
        <v>46339.0</v>
      </c>
      <c r="B257" s="2" t="s">
        <v>10</v>
      </c>
      <c r="C257" s="2" t="s">
        <v>279</v>
      </c>
      <c r="D257" s="4">
        <v>2538590.0</v>
      </c>
      <c r="E257" s="3"/>
      <c r="F257" s="4" t="s">
        <v>3</v>
      </c>
      <c r="G257" s="3">
        <v>1.3611041819000006E8</v>
      </c>
      <c r="H257" s="3"/>
      <c r="I257" s="6"/>
    </row>
    <row r="258">
      <c r="A258" s="8">
        <v>46339.0</v>
      </c>
      <c r="B258" s="2" t="s">
        <v>14</v>
      </c>
      <c r="C258" s="2" t="s">
        <v>280</v>
      </c>
      <c r="D258" s="4"/>
      <c r="E258" s="4">
        <v>6.546769E7</v>
      </c>
      <c r="F258" s="4" t="s">
        <v>7</v>
      </c>
      <c r="G258" s="3">
        <v>2.0157810819000006E8</v>
      </c>
      <c r="H258" s="3"/>
      <c r="I258" s="6"/>
    </row>
    <row r="259">
      <c r="A259" s="8">
        <v>46339.0</v>
      </c>
      <c r="B259" s="2" t="s">
        <v>10</v>
      </c>
      <c r="C259" s="2" t="s">
        <v>281</v>
      </c>
      <c r="D259" s="4">
        <v>6.374175E7</v>
      </c>
      <c r="E259" s="3"/>
      <c r="F259" s="4" t="s">
        <v>3</v>
      </c>
      <c r="G259" s="3">
        <v>1.3783635819000006E8</v>
      </c>
      <c r="H259" s="3"/>
      <c r="I259" s="6"/>
    </row>
    <row r="260">
      <c r="A260" s="8">
        <v>46339.0</v>
      </c>
      <c r="B260" s="2" t="s">
        <v>10</v>
      </c>
      <c r="C260" s="2" t="s">
        <v>282</v>
      </c>
      <c r="D260" s="4">
        <v>1.3135E8</v>
      </c>
      <c r="E260" s="3"/>
      <c r="F260" s="4" t="s">
        <v>3</v>
      </c>
      <c r="G260" s="3">
        <v>6486358.190000057</v>
      </c>
      <c r="H260" s="3"/>
      <c r="I260" s="6"/>
    </row>
    <row r="261">
      <c r="A261" s="8">
        <v>46339.0</v>
      </c>
      <c r="B261" s="2" t="s">
        <v>14</v>
      </c>
      <c r="C261" s="2" t="s">
        <v>283</v>
      </c>
      <c r="D261" s="4"/>
      <c r="E261" s="4">
        <v>1.7356887E8</v>
      </c>
      <c r="F261" s="4" t="s">
        <v>7</v>
      </c>
      <c r="G261" s="3">
        <v>1.8005522819000006E8</v>
      </c>
      <c r="H261" s="4">
        <v>1.8005522819E8</v>
      </c>
      <c r="I261" s="6"/>
    </row>
    <row r="262">
      <c r="A262" s="8">
        <v>46339.0</v>
      </c>
      <c r="B262" s="2" t="s">
        <v>14</v>
      </c>
      <c r="C262" s="2" t="s">
        <v>284</v>
      </c>
      <c r="D262" s="4"/>
      <c r="E262" s="4">
        <v>6.9909887E7</v>
      </c>
      <c r="F262" s="4" t="s">
        <v>7</v>
      </c>
      <c r="G262" s="3">
        <v>2.4996511519000006E8</v>
      </c>
      <c r="H262" s="4">
        <v>2.4996511519E8</v>
      </c>
      <c r="I262" s="6" t="s">
        <v>9</v>
      </c>
    </row>
    <row r="263">
      <c r="A263" s="8">
        <v>46339.0</v>
      </c>
      <c r="B263" s="2" t="s">
        <v>14</v>
      </c>
      <c r="C263" s="2" t="s">
        <v>285</v>
      </c>
      <c r="D263" s="4"/>
      <c r="E263" s="4">
        <v>1.0E8</v>
      </c>
      <c r="F263" s="4" t="s">
        <v>7</v>
      </c>
      <c r="G263" s="3">
        <v>3.4996511519000006E8</v>
      </c>
      <c r="H263" s="3"/>
      <c r="I263" s="6" t="s">
        <v>9</v>
      </c>
    </row>
    <row r="264">
      <c r="A264" s="8">
        <v>46339.0</v>
      </c>
      <c r="B264" s="2" t="s">
        <v>10</v>
      </c>
      <c r="C264" s="2" t="s">
        <v>286</v>
      </c>
      <c r="D264" s="4">
        <v>300000.0</v>
      </c>
      <c r="E264" s="3"/>
      <c r="F264" s="4" t="s">
        <v>3</v>
      </c>
      <c r="G264" s="3">
        <v>3.4966511519000006E8</v>
      </c>
      <c r="H264" s="3"/>
      <c r="I264" s="6" t="s">
        <v>9</v>
      </c>
    </row>
    <row r="265">
      <c r="A265" s="8">
        <v>46339.0</v>
      </c>
      <c r="B265" s="2" t="s">
        <v>10</v>
      </c>
      <c r="C265" s="2" t="s">
        <v>287</v>
      </c>
      <c r="D265" s="4">
        <v>1.0E7</v>
      </c>
      <c r="E265" s="3"/>
      <c r="F265" s="4" t="s">
        <v>3</v>
      </c>
      <c r="G265" s="3">
        <v>3.3966511519000006E8</v>
      </c>
      <c r="H265" s="3"/>
      <c r="I265" s="6" t="s">
        <v>9</v>
      </c>
    </row>
    <row r="266">
      <c r="A266" s="8">
        <v>46339.0</v>
      </c>
      <c r="B266" s="2" t="s">
        <v>195</v>
      </c>
      <c r="C266" s="2" t="s">
        <v>196</v>
      </c>
      <c r="D266" s="4">
        <v>100000.0</v>
      </c>
      <c r="E266" s="3"/>
      <c r="F266" s="3"/>
      <c r="G266" s="3">
        <v>3.3956511519000006E8</v>
      </c>
      <c r="H266" s="3"/>
      <c r="I266" s="6" t="s">
        <v>9</v>
      </c>
    </row>
    <row r="267">
      <c r="A267" s="8">
        <v>46339.0</v>
      </c>
      <c r="B267" s="2" t="s">
        <v>195</v>
      </c>
      <c r="C267" s="2" t="s">
        <v>197</v>
      </c>
      <c r="D267" s="4">
        <v>7500.0</v>
      </c>
      <c r="E267" s="3"/>
      <c r="F267" s="3"/>
      <c r="G267" s="3">
        <v>3.3955761519000006E8</v>
      </c>
      <c r="H267" s="4">
        <v>3.3955761519E8</v>
      </c>
      <c r="I267" s="6" t="s">
        <v>9</v>
      </c>
    </row>
    <row r="268">
      <c r="A268" s="8">
        <v>46340.0</v>
      </c>
      <c r="B268" s="2" t="s">
        <v>288</v>
      </c>
      <c r="C268" s="2" t="s">
        <v>289</v>
      </c>
      <c r="D268" s="4">
        <v>1400000.0</v>
      </c>
      <c r="E268" s="3"/>
      <c r="F268" s="4" t="s">
        <v>3</v>
      </c>
      <c r="G268" s="3">
        <v>3.3815761519000006E8</v>
      </c>
      <c r="H268" s="3"/>
      <c r="I268" s="6" t="s">
        <v>13</v>
      </c>
    </row>
    <row r="269">
      <c r="A269" s="8">
        <v>46340.0</v>
      </c>
      <c r="B269" s="2" t="s">
        <v>288</v>
      </c>
      <c r="C269" s="2" t="s">
        <v>290</v>
      </c>
      <c r="D269" s="4">
        <v>5518750.0</v>
      </c>
      <c r="E269" s="3"/>
      <c r="F269" s="4" t="s">
        <v>3</v>
      </c>
      <c r="G269" s="3">
        <v>3.3263886519000006E8</v>
      </c>
      <c r="H269" s="3"/>
      <c r="I269" s="6" t="s">
        <v>9</v>
      </c>
    </row>
    <row r="270">
      <c r="A270" s="8">
        <v>46340.0</v>
      </c>
      <c r="B270" s="2" t="s">
        <v>288</v>
      </c>
      <c r="C270" s="2" t="s">
        <v>291</v>
      </c>
      <c r="D270" s="4">
        <v>6385710.0</v>
      </c>
      <c r="E270" s="3"/>
      <c r="F270" s="4" t="s">
        <v>3</v>
      </c>
      <c r="G270" s="3">
        <v>3.2625315519000006E8</v>
      </c>
      <c r="H270" s="3"/>
      <c r="I270" s="6" t="s">
        <v>9</v>
      </c>
    </row>
    <row r="271">
      <c r="A271" s="8">
        <v>46340.0</v>
      </c>
      <c r="B271" s="2" t="s">
        <v>288</v>
      </c>
      <c r="C271" s="2" t="s">
        <v>292</v>
      </c>
      <c r="D271" s="4">
        <v>6406706.0</v>
      </c>
      <c r="E271" s="3"/>
      <c r="F271" s="4" t="s">
        <v>3</v>
      </c>
      <c r="G271" s="3">
        <v>3.1984644919000006E8</v>
      </c>
      <c r="H271" s="3"/>
      <c r="I271" s="6" t="s">
        <v>9</v>
      </c>
    </row>
    <row r="272">
      <c r="A272" s="8">
        <v>46340.0</v>
      </c>
      <c r="B272" s="2" t="s">
        <v>288</v>
      </c>
      <c r="C272" s="2" t="s">
        <v>293</v>
      </c>
      <c r="D272" s="4">
        <v>1.33672E8</v>
      </c>
      <c r="E272" s="3"/>
      <c r="F272" s="4" t="s">
        <v>3</v>
      </c>
      <c r="G272" s="3">
        <v>1.8617444919000006E8</v>
      </c>
      <c r="H272" s="3"/>
      <c r="I272" s="6" t="s">
        <v>9</v>
      </c>
    </row>
    <row r="273">
      <c r="A273" s="8">
        <v>46340.0</v>
      </c>
      <c r="B273" s="2" t="s">
        <v>288</v>
      </c>
      <c r="C273" s="2" t="s">
        <v>294</v>
      </c>
      <c r="D273" s="4">
        <v>7.15321E7</v>
      </c>
      <c r="E273" s="3"/>
      <c r="F273" s="4" t="s">
        <v>3</v>
      </c>
      <c r="G273" s="3">
        <v>1.1464234919000006E8</v>
      </c>
      <c r="H273" s="3"/>
      <c r="I273" s="6" t="s">
        <v>9</v>
      </c>
    </row>
    <row r="274">
      <c r="A274" s="8">
        <v>46340.0</v>
      </c>
      <c r="B274" s="2" t="s">
        <v>288</v>
      </c>
      <c r="C274" s="2" t="s">
        <v>295</v>
      </c>
      <c r="D274" s="4">
        <v>1.11E8</v>
      </c>
      <c r="E274" s="3"/>
      <c r="F274" s="4" t="s">
        <v>3</v>
      </c>
      <c r="G274" s="3">
        <v>3642349.190000057</v>
      </c>
      <c r="H274" s="3"/>
      <c r="I274" s="6" t="s">
        <v>9</v>
      </c>
    </row>
    <row r="275">
      <c r="A275" s="8">
        <v>46340.0</v>
      </c>
      <c r="B275" s="2" t="s">
        <v>296</v>
      </c>
      <c r="C275" s="2" t="s">
        <v>297</v>
      </c>
      <c r="D275" s="4"/>
      <c r="E275" s="4">
        <v>5.13709E7</v>
      </c>
      <c r="F275" s="4" t="s">
        <v>7</v>
      </c>
      <c r="G275" s="3">
        <v>5.501324919000006E7</v>
      </c>
      <c r="H275" s="3"/>
      <c r="I275" s="6" t="s">
        <v>9</v>
      </c>
    </row>
    <row r="276">
      <c r="A276" s="8">
        <v>46340.0</v>
      </c>
      <c r="B276" s="2" t="s">
        <v>14</v>
      </c>
      <c r="C276" s="2" t="s">
        <v>298</v>
      </c>
      <c r="D276" s="4"/>
      <c r="E276" s="4">
        <v>5610196.0</v>
      </c>
      <c r="F276" s="4" t="s">
        <v>7</v>
      </c>
      <c r="G276" s="3">
        <v>6.062344519000006E7</v>
      </c>
      <c r="H276" s="4">
        <v>6.062344519E7</v>
      </c>
      <c r="I276" s="6" t="s">
        <v>9</v>
      </c>
    </row>
    <row r="277">
      <c r="A277" s="8">
        <v>46340.0</v>
      </c>
      <c r="B277" s="2" t="s">
        <v>14</v>
      </c>
      <c r="C277" s="2" t="s">
        <v>299</v>
      </c>
      <c r="D277" s="4"/>
      <c r="E277" s="4">
        <v>6.0645E7</v>
      </c>
      <c r="F277" s="4" t="s">
        <v>7</v>
      </c>
      <c r="G277" s="3">
        <v>1.2126844519000006E8</v>
      </c>
      <c r="H277" s="4">
        <v>1.2126844519E8</v>
      </c>
      <c r="I277" s="6" t="s">
        <v>9</v>
      </c>
    </row>
    <row r="278">
      <c r="A278" s="8">
        <v>46340.0</v>
      </c>
      <c r="B278" s="2" t="s">
        <v>300</v>
      </c>
      <c r="C278" s="2" t="s">
        <v>300</v>
      </c>
      <c r="D278" s="4">
        <v>500000.0</v>
      </c>
      <c r="E278" s="3"/>
      <c r="F278" s="3"/>
      <c r="G278" s="3">
        <v>1.2076844519000006E8</v>
      </c>
      <c r="H278" s="3"/>
      <c r="I278" s="6" t="s">
        <v>9</v>
      </c>
    </row>
    <row r="279">
      <c r="A279" s="8">
        <v>46340.0</v>
      </c>
      <c r="B279" s="2" t="s">
        <v>14</v>
      </c>
      <c r="C279" s="2" t="s">
        <v>301</v>
      </c>
      <c r="D279" s="4"/>
      <c r="E279" s="4">
        <v>6.9849E7</v>
      </c>
      <c r="F279" s="4" t="s">
        <v>7</v>
      </c>
      <c r="G279" s="3">
        <v>1.9061744519000006E8</v>
      </c>
      <c r="H279" s="3"/>
      <c r="I279" s="6" t="s">
        <v>9</v>
      </c>
    </row>
    <row r="280">
      <c r="A280" s="8">
        <v>46340.0</v>
      </c>
      <c r="B280" s="2" t="s">
        <v>14</v>
      </c>
      <c r="C280" s="2" t="s">
        <v>302</v>
      </c>
      <c r="D280" s="4"/>
      <c r="E280" s="4">
        <v>1.6599875E8</v>
      </c>
      <c r="F280" s="4" t="s">
        <v>7</v>
      </c>
      <c r="G280" s="3">
        <v>3.5661619519000006E8</v>
      </c>
      <c r="H280" s="3"/>
      <c r="I280" s="6" t="s">
        <v>9</v>
      </c>
    </row>
    <row r="281">
      <c r="A281" s="8">
        <v>46340.0</v>
      </c>
      <c r="B281" s="2" t="s">
        <v>14</v>
      </c>
      <c r="C281" s="2" t="s">
        <v>303</v>
      </c>
      <c r="D281" s="4"/>
      <c r="E281" s="4">
        <v>2200000.0</v>
      </c>
      <c r="F281" s="4" t="s">
        <v>7</v>
      </c>
      <c r="G281" s="3">
        <v>3.5881619519000006E8</v>
      </c>
      <c r="H281" s="3"/>
      <c r="I281" s="6" t="s">
        <v>9</v>
      </c>
    </row>
    <row r="282">
      <c r="A282" s="8">
        <v>46340.0</v>
      </c>
      <c r="B282" s="2" t="s">
        <v>14</v>
      </c>
      <c r="C282" s="2" t="s">
        <v>304</v>
      </c>
      <c r="D282" s="4"/>
      <c r="E282" s="4">
        <v>1.191338E8</v>
      </c>
      <c r="F282" s="4" t="s">
        <v>7</v>
      </c>
      <c r="G282" s="3">
        <v>4.7794999519000006E8</v>
      </c>
      <c r="H282" s="3"/>
      <c r="I282" s="6" t="s">
        <v>9</v>
      </c>
    </row>
    <row r="283">
      <c r="A283" s="8">
        <v>46340.0</v>
      </c>
      <c r="B283" s="2" t="s">
        <v>10</v>
      </c>
      <c r="C283" s="2" t="s">
        <v>305</v>
      </c>
      <c r="D283" s="4">
        <v>1.0E7</v>
      </c>
      <c r="E283" s="3"/>
      <c r="F283" s="4" t="s">
        <v>3</v>
      </c>
      <c r="G283" s="3">
        <v>4.6794999519000006E8</v>
      </c>
      <c r="H283" s="3"/>
      <c r="I283" s="6" t="s">
        <v>9</v>
      </c>
    </row>
    <row r="284">
      <c r="A284" s="8">
        <v>46340.0</v>
      </c>
      <c r="B284" s="2" t="s">
        <v>300</v>
      </c>
      <c r="C284" s="2" t="s">
        <v>300</v>
      </c>
      <c r="D284" s="4">
        <v>100000.0</v>
      </c>
      <c r="E284" s="3"/>
      <c r="F284" s="3"/>
      <c r="G284" s="3">
        <v>4.6784999519000006E8</v>
      </c>
      <c r="H284" s="3"/>
      <c r="I284" s="6" t="s">
        <v>9</v>
      </c>
    </row>
    <row r="285">
      <c r="A285" s="8">
        <v>46340.0</v>
      </c>
      <c r="B285" s="2" t="s">
        <v>10</v>
      </c>
      <c r="C285" s="2" t="s">
        <v>306</v>
      </c>
      <c r="D285" s="4">
        <v>5795500.0</v>
      </c>
      <c r="E285" s="3"/>
      <c r="F285" s="4" t="s">
        <v>3</v>
      </c>
      <c r="G285" s="3">
        <v>4.6205449519000006E8</v>
      </c>
      <c r="H285" s="3"/>
      <c r="I285" s="6" t="s">
        <v>9</v>
      </c>
    </row>
    <row r="286">
      <c r="A286" s="8">
        <v>46340.0</v>
      </c>
      <c r="B286" s="2" t="s">
        <v>10</v>
      </c>
      <c r="C286" s="2" t="s">
        <v>307</v>
      </c>
      <c r="D286" s="4">
        <v>5.20638E7</v>
      </c>
      <c r="E286" s="3"/>
      <c r="F286" s="4" t="s">
        <v>3</v>
      </c>
      <c r="G286" s="3">
        <v>4.0999069519000006E8</v>
      </c>
      <c r="H286" s="3"/>
      <c r="I286" s="6" t="s">
        <v>9</v>
      </c>
    </row>
    <row r="287">
      <c r="A287" s="8">
        <v>46340.0</v>
      </c>
      <c r="B287" s="2" t="s">
        <v>10</v>
      </c>
      <c r="C287" s="2" t="s">
        <v>308</v>
      </c>
      <c r="D287" s="4">
        <v>5.41314E7</v>
      </c>
      <c r="E287" s="3"/>
      <c r="F287" s="4" t="s">
        <v>3</v>
      </c>
      <c r="G287" s="3">
        <v>3.5585929519000006E8</v>
      </c>
      <c r="H287" s="3"/>
      <c r="I287" s="6" t="s">
        <v>9</v>
      </c>
    </row>
    <row r="288">
      <c r="A288" s="8">
        <v>46340.0</v>
      </c>
      <c r="B288" s="2" t="s">
        <v>14</v>
      </c>
      <c r="C288" s="2" t="s">
        <v>309</v>
      </c>
      <c r="D288" s="4"/>
      <c r="E288" s="4">
        <v>2.6E7</v>
      </c>
      <c r="F288" s="4" t="s">
        <v>7</v>
      </c>
      <c r="G288" s="3">
        <v>3.8185929519000006E8</v>
      </c>
      <c r="H288" s="3"/>
      <c r="I288" s="6" t="s">
        <v>9</v>
      </c>
    </row>
    <row r="289">
      <c r="A289" s="8">
        <v>46340.0</v>
      </c>
      <c r="B289" s="2" t="s">
        <v>10</v>
      </c>
      <c r="C289" s="2" t="s">
        <v>310</v>
      </c>
      <c r="D289" s="4">
        <v>5.28444E7</v>
      </c>
      <c r="E289" s="3"/>
      <c r="F289" s="4" t="s">
        <v>3</v>
      </c>
      <c r="G289" s="3">
        <v>3.2901489519000006E8</v>
      </c>
      <c r="H289" s="3"/>
      <c r="I289" s="6" t="s">
        <v>9</v>
      </c>
    </row>
    <row r="290">
      <c r="A290" s="8">
        <v>46340.0</v>
      </c>
      <c r="B290" s="2" t="s">
        <v>10</v>
      </c>
      <c r="C290" s="2" t="s">
        <v>311</v>
      </c>
      <c r="D290" s="4">
        <v>5.96995E7</v>
      </c>
      <c r="E290" s="3"/>
      <c r="F290" s="4" t="s">
        <v>3</v>
      </c>
      <c r="G290" s="3">
        <v>2.6931539519000006E8</v>
      </c>
      <c r="H290" s="3"/>
      <c r="I290" s="6" t="s">
        <v>9</v>
      </c>
    </row>
    <row r="291">
      <c r="A291" s="8">
        <v>46340.0</v>
      </c>
      <c r="B291" s="2" t="s">
        <v>10</v>
      </c>
      <c r="C291" s="2" t="s">
        <v>312</v>
      </c>
      <c r="D291" s="4">
        <v>6.3369E7</v>
      </c>
      <c r="E291" s="3"/>
      <c r="F291" s="4" t="s">
        <v>3</v>
      </c>
      <c r="G291" s="3">
        <v>2.0594639519000006E8</v>
      </c>
      <c r="H291" s="4">
        <v>2.0594639519E8</v>
      </c>
      <c r="I291" s="6" t="s">
        <v>9</v>
      </c>
    </row>
    <row r="292">
      <c r="A292" s="8">
        <v>46340.0</v>
      </c>
      <c r="B292" s="2" t="s">
        <v>10</v>
      </c>
      <c r="C292" s="2" t="s">
        <v>313</v>
      </c>
      <c r="D292" s="4">
        <v>4.182295E7</v>
      </c>
      <c r="E292" s="3"/>
      <c r="F292" s="4" t="s">
        <v>3</v>
      </c>
      <c r="G292" s="3">
        <v>1.6412344519000006E8</v>
      </c>
      <c r="H292" s="4">
        <v>1.6412344519E8</v>
      </c>
      <c r="I292" s="6" t="s">
        <v>9</v>
      </c>
    </row>
    <row r="293">
      <c r="A293" s="8">
        <v>46341.0</v>
      </c>
      <c r="B293" s="2" t="s">
        <v>314</v>
      </c>
      <c r="C293" s="2" t="s">
        <v>315</v>
      </c>
      <c r="D293" s="4">
        <v>5.71347E7</v>
      </c>
      <c r="E293" s="3"/>
      <c r="F293" s="4" t="s">
        <v>3</v>
      </c>
      <c r="G293" s="3">
        <v>1.0698874519000006E8</v>
      </c>
      <c r="H293" s="3"/>
      <c r="I293" s="6" t="s">
        <v>9</v>
      </c>
    </row>
    <row r="294">
      <c r="A294" s="8">
        <v>46341.0</v>
      </c>
      <c r="B294" s="2" t="s">
        <v>314</v>
      </c>
      <c r="C294" s="2" t="s">
        <v>316</v>
      </c>
      <c r="D294" s="4">
        <v>1.068869E8</v>
      </c>
      <c r="E294" s="3"/>
      <c r="F294" s="4" t="s">
        <v>3</v>
      </c>
      <c r="G294" s="3">
        <v>101845.19000005722</v>
      </c>
      <c r="H294" s="3"/>
      <c r="I294" s="6" t="s">
        <v>9</v>
      </c>
    </row>
    <row r="295">
      <c r="A295" s="8">
        <v>46341.0</v>
      </c>
      <c r="B295" s="2" t="s">
        <v>14</v>
      </c>
      <c r="C295" s="2" t="s">
        <v>317</v>
      </c>
      <c r="D295" s="4"/>
      <c r="E295" s="4">
        <v>7.5E7</v>
      </c>
      <c r="F295" s="4" t="s">
        <v>7</v>
      </c>
      <c r="G295" s="3">
        <v>7.510184519000006E7</v>
      </c>
      <c r="H295" s="3"/>
      <c r="I295" s="6" t="s">
        <v>9</v>
      </c>
    </row>
    <row r="296">
      <c r="A296" s="8">
        <v>46341.0</v>
      </c>
      <c r="B296" s="2" t="s">
        <v>10</v>
      </c>
      <c r="C296" s="2" t="s">
        <v>318</v>
      </c>
      <c r="D296" s="4">
        <v>3000000.0</v>
      </c>
      <c r="E296" s="3"/>
      <c r="F296" s="4" t="s">
        <v>3</v>
      </c>
      <c r="G296" s="3">
        <v>7.210184519000006E7</v>
      </c>
      <c r="H296" s="3"/>
      <c r="I296" s="6" t="s">
        <v>9</v>
      </c>
    </row>
    <row r="297">
      <c r="A297" s="8">
        <v>46341.0</v>
      </c>
      <c r="B297" s="2" t="s">
        <v>10</v>
      </c>
      <c r="C297" s="2" t="s">
        <v>319</v>
      </c>
      <c r="D297" s="4">
        <v>1.0E7</v>
      </c>
      <c r="E297" s="3"/>
      <c r="F297" s="4" t="s">
        <v>3</v>
      </c>
      <c r="G297" s="3">
        <v>6.210184519000006E7</v>
      </c>
      <c r="H297" s="3"/>
      <c r="I297" s="6" t="s">
        <v>9</v>
      </c>
    </row>
    <row r="298">
      <c r="A298" s="8">
        <v>46341.0</v>
      </c>
      <c r="B298" s="2" t="s">
        <v>14</v>
      </c>
      <c r="C298" s="2" t="s">
        <v>320</v>
      </c>
      <c r="D298" s="4"/>
      <c r="E298" s="4">
        <v>6.878255E7</v>
      </c>
      <c r="F298" s="4" t="s">
        <v>7</v>
      </c>
      <c r="G298" s="3">
        <v>1.3088439519000006E8</v>
      </c>
      <c r="H298" s="3"/>
      <c r="I298" s="6" t="s">
        <v>9</v>
      </c>
    </row>
    <row r="299">
      <c r="A299" s="8">
        <v>46341.0</v>
      </c>
      <c r="B299" s="2" t="s">
        <v>14</v>
      </c>
      <c r="C299" s="2" t="s">
        <v>321</v>
      </c>
      <c r="D299" s="4"/>
      <c r="E299" s="4">
        <v>1342900.0</v>
      </c>
      <c r="F299" s="4" t="s">
        <v>7</v>
      </c>
      <c r="G299" s="3">
        <v>1.3222729519000006E8</v>
      </c>
      <c r="H299" s="3"/>
      <c r="I299" s="6" t="s">
        <v>9</v>
      </c>
    </row>
    <row r="300">
      <c r="A300" s="8">
        <v>46341.0</v>
      </c>
      <c r="B300" s="2" t="s">
        <v>10</v>
      </c>
      <c r="C300" s="2" t="s">
        <v>322</v>
      </c>
      <c r="D300" s="4">
        <v>5.627076E7</v>
      </c>
      <c r="E300" s="3"/>
      <c r="F300" s="4" t="s">
        <v>3</v>
      </c>
      <c r="G300" s="3">
        <v>7.595653519000006E7</v>
      </c>
      <c r="H300" s="3"/>
      <c r="I300" s="6" t="s">
        <v>9</v>
      </c>
    </row>
    <row r="301">
      <c r="A301" s="8">
        <v>46341.0</v>
      </c>
      <c r="B301" s="2" t="s">
        <v>10</v>
      </c>
      <c r="C301" s="2" t="s">
        <v>323</v>
      </c>
      <c r="D301" s="4">
        <v>3065300.0</v>
      </c>
      <c r="E301" s="3"/>
      <c r="F301" s="4" t="s">
        <v>3</v>
      </c>
      <c r="G301" s="3">
        <v>7.289123519000006E7</v>
      </c>
      <c r="H301" s="3"/>
      <c r="I301" s="6" t="s">
        <v>9</v>
      </c>
    </row>
    <row r="302">
      <c r="A302" s="8">
        <v>46341.0</v>
      </c>
      <c r="B302" s="2" t="s">
        <v>226</v>
      </c>
      <c r="C302" s="2" t="s">
        <v>324</v>
      </c>
      <c r="D302" s="4">
        <v>6.648828E7</v>
      </c>
      <c r="E302" s="3"/>
      <c r="F302" s="4" t="s">
        <v>3</v>
      </c>
      <c r="G302" s="3">
        <v>6402955.190000057</v>
      </c>
      <c r="H302" s="3"/>
      <c r="I302" s="6" t="s">
        <v>9</v>
      </c>
    </row>
    <row r="303">
      <c r="A303" s="8">
        <v>46341.0</v>
      </c>
      <c r="B303" s="2" t="s">
        <v>226</v>
      </c>
      <c r="C303" s="2" t="s">
        <v>325</v>
      </c>
      <c r="D303" s="4">
        <v>2500.0</v>
      </c>
      <c r="E303" s="3"/>
      <c r="F303" s="4" t="s">
        <v>3</v>
      </c>
      <c r="G303" s="3">
        <v>6400455.190000057</v>
      </c>
      <c r="H303" s="4">
        <v>6400455.19</v>
      </c>
      <c r="I303" s="6" t="s">
        <v>9</v>
      </c>
    </row>
    <row r="304">
      <c r="A304" s="8">
        <v>46341.0</v>
      </c>
      <c r="B304" s="2" t="s">
        <v>14</v>
      </c>
      <c r="C304" s="2" t="s">
        <v>326</v>
      </c>
      <c r="D304" s="4"/>
      <c r="E304" s="4">
        <v>4.576E7</v>
      </c>
      <c r="F304" s="4" t="s">
        <v>7</v>
      </c>
      <c r="G304" s="3">
        <v>5.216045519000006E7</v>
      </c>
      <c r="H304" s="4">
        <v>5.216045519E7</v>
      </c>
      <c r="I304" s="6" t="s">
        <v>9</v>
      </c>
    </row>
    <row r="305">
      <c r="A305" s="8">
        <v>46341.0</v>
      </c>
      <c r="B305" s="2" t="s">
        <v>14</v>
      </c>
      <c r="C305" s="2" t="s">
        <v>327</v>
      </c>
      <c r="D305" s="4"/>
      <c r="E305" s="4">
        <v>1.6950304E8</v>
      </c>
      <c r="F305" s="4" t="s">
        <v>7</v>
      </c>
      <c r="G305" s="3">
        <v>2.2166349519000006E8</v>
      </c>
      <c r="H305" s="3"/>
      <c r="I305" s="6" t="s">
        <v>9</v>
      </c>
    </row>
    <row r="306">
      <c r="A306" s="8">
        <v>46341.0</v>
      </c>
      <c r="B306" s="2" t="s">
        <v>14</v>
      </c>
      <c r="C306" s="2" t="s">
        <v>328</v>
      </c>
      <c r="D306" s="4"/>
      <c r="E306" s="4">
        <v>2.0E7</v>
      </c>
      <c r="F306" s="4" t="s">
        <v>7</v>
      </c>
      <c r="G306" s="3">
        <v>2.4166349519000006E8</v>
      </c>
      <c r="H306" s="3"/>
      <c r="I306" s="6" t="s">
        <v>9</v>
      </c>
    </row>
    <row r="307">
      <c r="A307" s="8">
        <v>46341.0</v>
      </c>
      <c r="B307" s="2" t="s">
        <v>10</v>
      </c>
      <c r="C307" s="2" t="s">
        <v>329</v>
      </c>
      <c r="D307" s="4">
        <v>5.48172E7</v>
      </c>
      <c r="E307" s="3"/>
      <c r="F307" s="4" t="s">
        <v>3</v>
      </c>
      <c r="G307" s="3">
        <v>1.8684629519000006E8</v>
      </c>
      <c r="H307" s="3"/>
      <c r="I307" s="6" t="s">
        <v>9</v>
      </c>
    </row>
    <row r="308">
      <c r="A308" s="8">
        <v>46341.0</v>
      </c>
      <c r="B308" s="2" t="s">
        <v>14</v>
      </c>
      <c r="C308" s="2" t="s">
        <v>330</v>
      </c>
      <c r="D308" s="4"/>
      <c r="E308" s="4">
        <v>1.0E7</v>
      </c>
      <c r="F308" s="4" t="s">
        <v>7</v>
      </c>
      <c r="G308" s="3">
        <v>1.9684629519000006E8</v>
      </c>
      <c r="H308" s="3"/>
      <c r="I308" s="6" t="s">
        <v>9</v>
      </c>
    </row>
    <row r="309">
      <c r="A309" s="8">
        <v>46341.0</v>
      </c>
      <c r="B309" s="2" t="s">
        <v>14</v>
      </c>
      <c r="C309" s="2" t="s">
        <v>331</v>
      </c>
      <c r="D309" s="4"/>
      <c r="E309" s="4">
        <v>1.153764E8</v>
      </c>
      <c r="F309" s="4" t="s">
        <v>7</v>
      </c>
      <c r="G309" s="3">
        <v>3.1222269519000006E8</v>
      </c>
      <c r="H309" s="3"/>
      <c r="I309" s="6" t="s">
        <v>9</v>
      </c>
    </row>
    <row r="310">
      <c r="A310" s="8">
        <v>46341.0</v>
      </c>
      <c r="B310" s="2" t="s">
        <v>10</v>
      </c>
      <c r="C310" s="2" t="s">
        <v>332</v>
      </c>
      <c r="D310" s="4">
        <v>6.442944E7</v>
      </c>
      <c r="E310" s="3"/>
      <c r="F310" s="4" t="s">
        <v>3</v>
      </c>
      <c r="G310" s="3">
        <v>2.4779325519000006E8</v>
      </c>
      <c r="H310" s="3"/>
      <c r="I310" s="6" t="s">
        <v>9</v>
      </c>
    </row>
    <row r="311">
      <c r="A311" s="8">
        <v>46341.0</v>
      </c>
      <c r="B311" s="2" t="s">
        <v>14</v>
      </c>
      <c r="C311" s="2" t="s">
        <v>333</v>
      </c>
      <c r="D311" s="4"/>
      <c r="E311" s="4">
        <v>3.5955868E8</v>
      </c>
      <c r="F311" s="4" t="s">
        <v>7</v>
      </c>
      <c r="G311" s="3">
        <v>6.0735193519E8</v>
      </c>
      <c r="H311" s="3"/>
      <c r="I311" s="6" t="s">
        <v>9</v>
      </c>
    </row>
    <row r="312">
      <c r="A312" s="8">
        <v>46341.0</v>
      </c>
      <c r="B312" s="2" t="s">
        <v>10</v>
      </c>
      <c r="C312" s="2" t="s">
        <v>334</v>
      </c>
      <c r="D312" s="4">
        <v>1500000.0</v>
      </c>
      <c r="E312" s="3"/>
      <c r="F312" s="4" t="s">
        <v>3</v>
      </c>
      <c r="G312" s="3">
        <v>6.0585193519E8</v>
      </c>
      <c r="H312" s="3"/>
      <c r="I312" s="6" t="s">
        <v>9</v>
      </c>
    </row>
    <row r="313">
      <c r="A313" s="8">
        <v>46341.0</v>
      </c>
      <c r="B313" s="2" t="s">
        <v>14</v>
      </c>
      <c r="C313" s="2" t="s">
        <v>335</v>
      </c>
      <c r="D313" s="4"/>
      <c r="E313" s="4">
        <v>6.2415E7</v>
      </c>
      <c r="F313" s="4" t="s">
        <v>7</v>
      </c>
      <c r="G313" s="3">
        <v>6.6826693519E8</v>
      </c>
      <c r="H313" s="3"/>
      <c r="I313" s="6" t="s">
        <v>9</v>
      </c>
    </row>
    <row r="314">
      <c r="A314" s="8">
        <v>46341.0</v>
      </c>
      <c r="B314" s="2" t="s">
        <v>10</v>
      </c>
      <c r="C314" s="2" t="s">
        <v>336</v>
      </c>
      <c r="D314" s="4">
        <v>1.44297E8</v>
      </c>
      <c r="E314" s="3"/>
      <c r="F314" s="4" t="s">
        <v>3</v>
      </c>
      <c r="G314" s="3">
        <v>5.2396993519000006E8</v>
      </c>
      <c r="H314" s="3"/>
      <c r="I314" s="6" t="s">
        <v>9</v>
      </c>
    </row>
    <row r="315">
      <c r="A315" s="8">
        <v>46341.0</v>
      </c>
      <c r="B315" s="2" t="s">
        <v>10</v>
      </c>
      <c r="C315" s="2" t="s">
        <v>337</v>
      </c>
      <c r="D315" s="4">
        <v>5.34465E7</v>
      </c>
      <c r="E315" s="3"/>
      <c r="F315" s="4" t="s">
        <v>3</v>
      </c>
      <c r="G315" s="3">
        <v>4.7052343519000006E8</v>
      </c>
      <c r="H315" s="3"/>
      <c r="I315" s="6" t="s">
        <v>9</v>
      </c>
    </row>
    <row r="316">
      <c r="A316" s="8">
        <v>46341.0</v>
      </c>
      <c r="B316" s="2" t="s">
        <v>10</v>
      </c>
      <c r="C316" s="2" t="s">
        <v>338</v>
      </c>
      <c r="D316" s="4">
        <v>1.586531E8</v>
      </c>
      <c r="E316" s="3"/>
      <c r="F316" s="4" t="s">
        <v>3</v>
      </c>
      <c r="G316" s="3">
        <v>3.1187033519000006E8</v>
      </c>
      <c r="H316" s="4">
        <v>3.1187033519E8</v>
      </c>
      <c r="I316" s="6" t="s">
        <v>9</v>
      </c>
    </row>
    <row r="317">
      <c r="A317" s="8">
        <v>46341.0</v>
      </c>
      <c r="B317" s="2" t="s">
        <v>10</v>
      </c>
      <c r="C317" s="2" t="s">
        <v>339</v>
      </c>
      <c r="D317" s="4">
        <v>1.122839E8</v>
      </c>
      <c r="E317" s="3"/>
      <c r="F317" s="4" t="s">
        <v>3</v>
      </c>
      <c r="G317" s="3">
        <v>1.9958643519000006E8</v>
      </c>
      <c r="H317" s="4">
        <v>1.9958643519E8</v>
      </c>
      <c r="I317" s="6" t="s">
        <v>9</v>
      </c>
    </row>
    <row r="318">
      <c r="A318" s="8">
        <v>46341.0</v>
      </c>
      <c r="B318" s="2" t="s">
        <v>10</v>
      </c>
      <c r="C318" s="2" t="s">
        <v>340</v>
      </c>
      <c r="D318" s="4">
        <v>1.979252E7</v>
      </c>
      <c r="E318" s="3"/>
      <c r="F318" s="4" t="s">
        <v>3</v>
      </c>
      <c r="G318" s="3">
        <v>1.7979391519000006E8</v>
      </c>
      <c r="H318" s="3"/>
      <c r="I318" s="6" t="s">
        <v>9</v>
      </c>
    </row>
    <row r="319">
      <c r="A319" s="8">
        <v>46341.0</v>
      </c>
      <c r="B319" s="2" t="s">
        <v>10</v>
      </c>
      <c r="C319" s="2" t="s">
        <v>341</v>
      </c>
      <c r="D319" s="4">
        <v>5.253325E7</v>
      </c>
      <c r="E319" s="3"/>
      <c r="F319" s="4" t="s">
        <v>3</v>
      </c>
      <c r="G319" s="3">
        <v>1.2726066519000006E8</v>
      </c>
      <c r="H319" s="3"/>
      <c r="I319" s="6" t="s">
        <v>9</v>
      </c>
    </row>
    <row r="320">
      <c r="A320" s="8">
        <v>46341.0</v>
      </c>
      <c r="B320" s="2" t="s">
        <v>10</v>
      </c>
      <c r="C320" s="2" t="s">
        <v>342</v>
      </c>
      <c r="D320" s="4">
        <v>5.0E7</v>
      </c>
      <c r="E320" s="3"/>
      <c r="F320" s="4" t="s">
        <v>3</v>
      </c>
      <c r="G320" s="3">
        <v>7.726066519000006E7</v>
      </c>
      <c r="H320" s="3"/>
      <c r="I320" s="6" t="s">
        <v>9</v>
      </c>
    </row>
    <row r="321">
      <c r="A321" s="8">
        <v>46341.0</v>
      </c>
      <c r="B321" s="2" t="s">
        <v>10</v>
      </c>
      <c r="C321" s="2" t="s">
        <v>343</v>
      </c>
      <c r="D321" s="4">
        <v>800000.0</v>
      </c>
      <c r="E321" s="3"/>
      <c r="F321" s="4" t="s">
        <v>3</v>
      </c>
      <c r="G321" s="3">
        <v>7.646066519000006E7</v>
      </c>
      <c r="H321" s="3"/>
      <c r="I321" s="6" t="s">
        <v>9</v>
      </c>
    </row>
    <row r="322">
      <c r="A322" s="8">
        <v>46341.0</v>
      </c>
      <c r="B322" s="2" t="s">
        <v>10</v>
      </c>
      <c r="C322" s="2" t="s">
        <v>344</v>
      </c>
      <c r="D322" s="4">
        <v>1342900.0</v>
      </c>
      <c r="E322" s="3"/>
      <c r="F322" s="4" t="s">
        <v>3</v>
      </c>
      <c r="G322" s="3">
        <v>7.511776519000006E7</v>
      </c>
      <c r="H322" s="3"/>
      <c r="I322" s="6" t="s">
        <v>9</v>
      </c>
    </row>
    <row r="323">
      <c r="A323" s="8">
        <v>46341.0</v>
      </c>
      <c r="B323" s="2" t="s">
        <v>10</v>
      </c>
      <c r="C323" s="2" t="s">
        <v>345</v>
      </c>
      <c r="D323" s="4">
        <v>4412330.0</v>
      </c>
      <c r="E323" s="3"/>
      <c r="F323" s="4" t="s">
        <v>3</v>
      </c>
      <c r="G323" s="3">
        <v>7.070543519000006E7</v>
      </c>
      <c r="H323" s="3"/>
      <c r="I323" s="6" t="s">
        <v>9</v>
      </c>
    </row>
    <row r="324">
      <c r="A324" s="8">
        <v>46341.0</v>
      </c>
      <c r="B324" s="2" t="s">
        <v>10</v>
      </c>
      <c r="C324" s="2" t="s">
        <v>346</v>
      </c>
      <c r="D324" s="4">
        <v>7945320.0</v>
      </c>
      <c r="E324" s="3"/>
      <c r="F324" s="4" t="s">
        <v>3</v>
      </c>
      <c r="G324" s="3">
        <v>6.276011519000006E7</v>
      </c>
      <c r="H324" s="3"/>
      <c r="I324" s="6" t="s">
        <v>9</v>
      </c>
    </row>
    <row r="325">
      <c r="A325" s="8">
        <v>46341.0</v>
      </c>
      <c r="B325" s="2" t="s">
        <v>10</v>
      </c>
      <c r="C325" s="2" t="s">
        <v>347</v>
      </c>
      <c r="D325" s="4">
        <v>1559020.0</v>
      </c>
      <c r="E325" s="3"/>
      <c r="F325" s="4" t="s">
        <v>3</v>
      </c>
      <c r="G325" s="3">
        <v>6.120109519000006E7</v>
      </c>
      <c r="H325" s="3"/>
      <c r="I325" s="6" t="s">
        <v>9</v>
      </c>
    </row>
    <row r="326">
      <c r="A326" s="8">
        <v>46341.0</v>
      </c>
      <c r="B326" s="2" t="s">
        <v>10</v>
      </c>
      <c r="C326" s="2" t="s">
        <v>348</v>
      </c>
      <c r="D326" s="4">
        <v>1800000.0</v>
      </c>
      <c r="E326" s="3"/>
      <c r="F326" s="4" t="s">
        <v>3</v>
      </c>
      <c r="G326" s="3">
        <v>5.940109519000006E7</v>
      </c>
      <c r="H326" s="4">
        <v>5.940109519E7</v>
      </c>
      <c r="I326" s="6" t="s">
        <v>9</v>
      </c>
    </row>
    <row r="327">
      <c r="A327" s="8">
        <v>46342.0</v>
      </c>
      <c r="B327" s="2" t="s">
        <v>349</v>
      </c>
      <c r="C327" s="2" t="s">
        <v>350</v>
      </c>
      <c r="D327" s="4"/>
      <c r="E327" s="4">
        <v>8.0E7</v>
      </c>
      <c r="F327" s="4" t="s">
        <v>7</v>
      </c>
      <c r="G327" s="3">
        <v>1.3940109519000006E8</v>
      </c>
      <c r="H327" s="3"/>
      <c r="I327" s="6" t="s">
        <v>9</v>
      </c>
    </row>
    <row r="328">
      <c r="A328" s="8">
        <v>46342.0</v>
      </c>
      <c r="B328" s="2" t="s">
        <v>10</v>
      </c>
      <c r="C328" s="2" t="s">
        <v>351</v>
      </c>
      <c r="D328" s="4">
        <v>5.31E7</v>
      </c>
      <c r="E328" s="3"/>
      <c r="F328" s="4" t="s">
        <v>3</v>
      </c>
      <c r="G328" s="3">
        <v>8.630109519000006E7</v>
      </c>
      <c r="H328" s="3"/>
      <c r="I328" s="6" t="s">
        <v>9</v>
      </c>
    </row>
    <row r="329">
      <c r="A329" s="8">
        <v>46342.0</v>
      </c>
      <c r="B329" s="2" t="s">
        <v>10</v>
      </c>
      <c r="C329" s="2" t="s">
        <v>352</v>
      </c>
      <c r="D329" s="4">
        <v>8.625E7</v>
      </c>
      <c r="E329" s="3"/>
      <c r="F329" s="4" t="s">
        <v>3</v>
      </c>
      <c r="G329" s="3">
        <v>51095.19000005722</v>
      </c>
      <c r="H329" s="3"/>
      <c r="I329" s="6" t="s">
        <v>9</v>
      </c>
    </row>
    <row r="330">
      <c r="A330" s="8">
        <v>46342.0</v>
      </c>
      <c r="B330" s="2" t="s">
        <v>14</v>
      </c>
      <c r="C330" s="2" t="s">
        <v>353</v>
      </c>
      <c r="D330" s="4"/>
      <c r="E330" s="4">
        <v>4.983225E7</v>
      </c>
      <c r="F330" s="4" t="s">
        <v>7</v>
      </c>
      <c r="G330" s="3">
        <v>4.988334519000006E7</v>
      </c>
      <c r="H330" s="4">
        <v>4.988334519E7</v>
      </c>
      <c r="I330" s="6" t="s">
        <v>9</v>
      </c>
    </row>
    <row r="331">
      <c r="A331" s="8">
        <v>46342.0</v>
      </c>
      <c r="B331" s="2" t="s">
        <v>274</v>
      </c>
      <c r="C331" s="2" t="s">
        <v>275</v>
      </c>
      <c r="D331" s="4"/>
      <c r="E331" s="4">
        <v>5.30985E7</v>
      </c>
      <c r="F331" s="4" t="s">
        <v>7</v>
      </c>
      <c r="G331" s="3">
        <v>1.0298184519000006E8</v>
      </c>
      <c r="H331" s="3"/>
      <c r="I331" s="6" t="s">
        <v>9</v>
      </c>
    </row>
    <row r="332">
      <c r="A332" s="8">
        <v>46342.0</v>
      </c>
      <c r="B332" s="2" t="s">
        <v>10</v>
      </c>
      <c r="C332" s="2" t="s">
        <v>354</v>
      </c>
      <c r="D332" s="4">
        <v>5.4E7</v>
      </c>
      <c r="E332" s="3"/>
      <c r="F332" s="4" t="s">
        <v>3</v>
      </c>
      <c r="G332" s="3">
        <v>4.898184519000006E7</v>
      </c>
      <c r="H332" s="3"/>
      <c r="I332" s="6" t="s">
        <v>9</v>
      </c>
    </row>
    <row r="333">
      <c r="A333" s="8">
        <v>46342.0</v>
      </c>
      <c r="B333" s="2" t="s">
        <v>14</v>
      </c>
      <c r="C333" s="2" t="s">
        <v>355</v>
      </c>
      <c r="D333" s="4"/>
      <c r="E333" s="4">
        <v>1.6369729E8</v>
      </c>
      <c r="F333" s="4" t="s">
        <v>7</v>
      </c>
      <c r="G333" s="3">
        <v>2.1267913519000006E8</v>
      </c>
      <c r="H333" s="3"/>
      <c r="I333" s="6" t="s">
        <v>9</v>
      </c>
    </row>
    <row r="334">
      <c r="A334" s="8">
        <v>46342.0</v>
      </c>
      <c r="B334" s="2" t="s">
        <v>14</v>
      </c>
      <c r="C334" s="2" t="s">
        <v>356</v>
      </c>
      <c r="D334" s="4"/>
      <c r="E334" s="4">
        <v>5.286372E7</v>
      </c>
      <c r="F334" s="4" t="s">
        <v>7</v>
      </c>
      <c r="G334" s="3">
        <v>2.6554285519000006E8</v>
      </c>
      <c r="H334" s="3"/>
      <c r="I334" s="6" t="s">
        <v>9</v>
      </c>
    </row>
    <row r="335">
      <c r="A335" s="8">
        <v>46342.0</v>
      </c>
      <c r="B335" s="2" t="s">
        <v>10</v>
      </c>
      <c r="C335" s="2" t="s">
        <v>357</v>
      </c>
      <c r="D335" s="4">
        <v>1225000.0</v>
      </c>
      <c r="E335" s="3"/>
      <c r="F335" s="4" t="s">
        <v>3</v>
      </c>
      <c r="G335" s="3">
        <v>2.6431785519000006E8</v>
      </c>
      <c r="H335" s="3"/>
      <c r="I335" s="6" t="s">
        <v>9</v>
      </c>
    </row>
    <row r="336">
      <c r="A336" s="8">
        <v>46342.0</v>
      </c>
      <c r="B336" s="2" t="s">
        <v>14</v>
      </c>
      <c r="C336" s="2" t="s">
        <v>358</v>
      </c>
      <c r="D336" s="4"/>
      <c r="E336" s="4">
        <v>1.3376352E8</v>
      </c>
      <c r="F336" s="4" t="s">
        <v>7</v>
      </c>
      <c r="G336" s="3">
        <v>3.9808137519000006E8</v>
      </c>
      <c r="H336" s="3"/>
      <c r="I336" s="6" t="s">
        <v>9</v>
      </c>
    </row>
    <row r="337">
      <c r="A337" s="8">
        <v>46342.0</v>
      </c>
      <c r="B337" s="2" t="s">
        <v>14</v>
      </c>
      <c r="C337" s="2" t="s">
        <v>359</v>
      </c>
      <c r="D337" s="4"/>
      <c r="E337" s="4">
        <v>1.1264E8</v>
      </c>
      <c r="F337" s="4" t="s">
        <v>7</v>
      </c>
      <c r="G337" s="3">
        <v>5.1072137519000006E8</v>
      </c>
      <c r="H337" s="3"/>
      <c r="I337" s="6" t="s">
        <v>9</v>
      </c>
    </row>
    <row r="338">
      <c r="A338" s="8">
        <v>46342.0</v>
      </c>
      <c r="B338" s="2" t="s">
        <v>10</v>
      </c>
      <c r="C338" s="2" t="s">
        <v>360</v>
      </c>
      <c r="D338" s="4">
        <v>4.9133E7</v>
      </c>
      <c r="E338" s="3"/>
      <c r="F338" s="4" t="s">
        <v>3</v>
      </c>
      <c r="G338" s="3">
        <v>4.6158837519000006E8</v>
      </c>
      <c r="H338" s="3"/>
      <c r="I338" s="6" t="s">
        <v>9</v>
      </c>
    </row>
    <row r="339">
      <c r="A339" s="8">
        <v>46342.0</v>
      </c>
      <c r="B339" s="2" t="s">
        <v>10</v>
      </c>
      <c r="C339" s="2" t="s">
        <v>361</v>
      </c>
      <c r="D339" s="4">
        <v>1.6176897E8</v>
      </c>
      <c r="E339" s="3"/>
      <c r="F339" s="4" t="s">
        <v>3</v>
      </c>
      <c r="G339" s="3">
        <v>2.9981940519000006E8</v>
      </c>
      <c r="H339" s="3"/>
      <c r="I339" s="6" t="s">
        <v>9</v>
      </c>
    </row>
    <row r="340">
      <c r="A340" s="8">
        <v>46342.0</v>
      </c>
      <c r="B340" s="2" t="s">
        <v>10</v>
      </c>
      <c r="C340" s="2" t="s">
        <v>362</v>
      </c>
      <c r="D340" s="4">
        <v>5.78678E7</v>
      </c>
      <c r="E340" s="3"/>
      <c r="F340" s="4" t="s">
        <v>3</v>
      </c>
      <c r="G340" s="3">
        <v>2.4195160519000006E8</v>
      </c>
      <c r="H340" s="3"/>
      <c r="I340" s="6" t="s">
        <v>9</v>
      </c>
    </row>
    <row r="341">
      <c r="A341" s="8">
        <v>46342.0</v>
      </c>
      <c r="B341" s="2" t="s">
        <v>10</v>
      </c>
      <c r="C341" s="2" t="s">
        <v>363</v>
      </c>
      <c r="D341" s="4">
        <v>1.2532446E8</v>
      </c>
      <c r="E341" s="3"/>
      <c r="F341" s="4" t="s">
        <v>3</v>
      </c>
      <c r="G341" s="3">
        <v>1.1662714519000006E8</v>
      </c>
      <c r="H341" s="3"/>
      <c r="I341" s="6" t="s">
        <v>9</v>
      </c>
    </row>
    <row r="342">
      <c r="A342" s="8">
        <v>46342.0</v>
      </c>
      <c r="B342" s="2" t="s">
        <v>10</v>
      </c>
      <c r="C342" s="2" t="s">
        <v>364</v>
      </c>
      <c r="D342" s="4">
        <v>1.00836E8</v>
      </c>
      <c r="E342" s="3"/>
      <c r="F342" s="4" t="s">
        <v>3</v>
      </c>
      <c r="G342" s="3">
        <v>1.5791145190000057E7</v>
      </c>
      <c r="H342" s="4">
        <v>1.579114519E7</v>
      </c>
      <c r="I342" s="6" t="s">
        <v>9</v>
      </c>
    </row>
    <row r="343">
      <c r="A343" s="8">
        <v>46342.0</v>
      </c>
      <c r="B343" s="2" t="s">
        <v>10</v>
      </c>
      <c r="C343" s="2" t="s">
        <v>365</v>
      </c>
      <c r="D343" s="4">
        <v>1.5E7</v>
      </c>
      <c r="E343" s="3"/>
      <c r="F343" s="4" t="s">
        <v>3</v>
      </c>
      <c r="G343" s="3">
        <v>791145.1900000572</v>
      </c>
      <c r="H343" s="3"/>
      <c r="I343" s="6" t="s">
        <v>9</v>
      </c>
    </row>
    <row r="344">
      <c r="A344" s="8">
        <v>46342.0</v>
      </c>
      <c r="B344" s="2" t="s">
        <v>14</v>
      </c>
      <c r="C344" s="2" t="s">
        <v>366</v>
      </c>
      <c r="D344" s="4"/>
      <c r="E344" s="4">
        <v>3.5563918E8</v>
      </c>
      <c r="F344" s="4" t="s">
        <v>7</v>
      </c>
      <c r="G344" s="3">
        <v>3.5643032519000006E8</v>
      </c>
      <c r="H344" s="3"/>
      <c r="I344" s="6" t="s">
        <v>9</v>
      </c>
    </row>
    <row r="345">
      <c r="A345" s="8">
        <v>46342.0</v>
      </c>
      <c r="B345" s="2" t="s">
        <v>10</v>
      </c>
      <c r="C345" s="2" t="s">
        <v>367</v>
      </c>
      <c r="D345" s="4">
        <v>5.270002E7</v>
      </c>
      <c r="E345" s="3"/>
      <c r="F345" s="4" t="s">
        <v>3</v>
      </c>
      <c r="G345" s="3">
        <v>3.0373030519000006E8</v>
      </c>
      <c r="H345" s="4">
        <v>3.0373030519E8</v>
      </c>
      <c r="I345" s="6" t="s">
        <v>9</v>
      </c>
    </row>
    <row r="346">
      <c r="A346" s="8">
        <v>46343.0</v>
      </c>
      <c r="B346" s="2" t="s">
        <v>368</v>
      </c>
      <c r="C346" s="2" t="s">
        <v>369</v>
      </c>
      <c r="D346" s="4"/>
      <c r="E346" s="4">
        <v>2.091752E7</v>
      </c>
      <c r="F346" s="4" t="s">
        <v>7</v>
      </c>
      <c r="G346" s="3">
        <v>3.2464782519000006E8</v>
      </c>
      <c r="H346" s="3"/>
      <c r="I346" s="6" t="s">
        <v>9</v>
      </c>
    </row>
    <row r="347">
      <c r="A347" s="8">
        <v>46343.0</v>
      </c>
      <c r="B347" s="2" t="s">
        <v>368</v>
      </c>
      <c r="C347" s="2" t="s">
        <v>370</v>
      </c>
      <c r="D347" s="4"/>
      <c r="E347" s="4">
        <v>1.0E8</v>
      </c>
      <c r="F347" s="4" t="s">
        <v>7</v>
      </c>
      <c r="G347" s="3">
        <v>4.2464782519000006E8</v>
      </c>
      <c r="H347" s="3"/>
      <c r="I347" s="6" t="s">
        <v>9</v>
      </c>
    </row>
    <row r="348">
      <c r="A348" s="8">
        <v>46343.0</v>
      </c>
      <c r="B348" s="2" t="s">
        <v>14</v>
      </c>
      <c r="C348" s="2" t="s">
        <v>371</v>
      </c>
      <c r="D348" s="4"/>
      <c r="E348" s="4">
        <v>3.405875E7</v>
      </c>
      <c r="F348" s="4" t="s">
        <v>7</v>
      </c>
      <c r="G348" s="3">
        <v>4.5870657519000006E8</v>
      </c>
      <c r="H348" s="3"/>
      <c r="I348" s="6" t="s">
        <v>9</v>
      </c>
    </row>
    <row r="349">
      <c r="A349" s="8">
        <v>46343.0</v>
      </c>
      <c r="B349" s="2" t="s">
        <v>10</v>
      </c>
      <c r="C349" s="2" t="s">
        <v>372</v>
      </c>
      <c r="D349" s="4">
        <v>1.024496E8</v>
      </c>
      <c r="E349" s="3"/>
      <c r="F349" s="4" t="s">
        <v>3</v>
      </c>
      <c r="G349" s="3">
        <v>3.5625697519000006E8</v>
      </c>
      <c r="H349" s="3"/>
      <c r="I349" s="6" t="s">
        <v>9</v>
      </c>
    </row>
    <row r="350">
      <c r="A350" s="8">
        <v>46343.0</v>
      </c>
      <c r="B350" s="2" t="s">
        <v>10</v>
      </c>
      <c r="C350" s="2" t="s">
        <v>373</v>
      </c>
      <c r="D350" s="4">
        <v>6.37554E7</v>
      </c>
      <c r="E350" s="3"/>
      <c r="F350" s="4" t="s">
        <v>3</v>
      </c>
      <c r="G350" s="3">
        <v>2.9250157519000006E8</v>
      </c>
      <c r="H350" s="3"/>
      <c r="I350" s="6" t="s">
        <v>9</v>
      </c>
    </row>
    <row r="351">
      <c r="A351" s="8">
        <v>46343.0</v>
      </c>
      <c r="B351" s="2" t="s">
        <v>10</v>
      </c>
      <c r="C351" s="2" t="s">
        <v>374</v>
      </c>
      <c r="D351" s="4">
        <v>4.473875E7</v>
      </c>
      <c r="E351" s="3"/>
      <c r="F351" s="4" t="s">
        <v>3</v>
      </c>
      <c r="G351" s="3">
        <v>2.4776282519000006E8</v>
      </c>
      <c r="H351" s="3"/>
      <c r="I351" s="6" t="s">
        <v>9</v>
      </c>
    </row>
    <row r="352">
      <c r="A352" s="8">
        <v>46343.0</v>
      </c>
      <c r="B352" s="2" t="s">
        <v>10</v>
      </c>
      <c r="C352" s="2" t="s">
        <v>375</v>
      </c>
      <c r="D352" s="4">
        <v>1.212435E8</v>
      </c>
      <c r="E352" s="3"/>
      <c r="F352" s="4" t="s">
        <v>3</v>
      </c>
      <c r="G352" s="3">
        <v>1.2651932519000006E8</v>
      </c>
      <c r="H352" s="3"/>
      <c r="I352" s="6" t="s">
        <v>9</v>
      </c>
    </row>
    <row r="353">
      <c r="A353" s="8">
        <v>46343.0</v>
      </c>
      <c r="B353" s="2" t="s">
        <v>10</v>
      </c>
      <c r="C353" s="2" t="s">
        <v>376</v>
      </c>
      <c r="D353" s="4">
        <v>1.2637748E8</v>
      </c>
      <c r="E353" s="3"/>
      <c r="F353" s="4" t="s">
        <v>3</v>
      </c>
      <c r="G353" s="3">
        <v>141845.19000005722</v>
      </c>
      <c r="H353" s="3"/>
      <c r="I353" s="6" t="s">
        <v>9</v>
      </c>
    </row>
    <row r="354">
      <c r="A354" s="8">
        <v>46343.0</v>
      </c>
      <c r="B354" s="2" t="s">
        <v>14</v>
      </c>
      <c r="C354" s="2" t="s">
        <v>377</v>
      </c>
      <c r="D354" s="4"/>
      <c r="E354" s="4">
        <v>1.228065E8</v>
      </c>
      <c r="F354" s="4" t="s">
        <v>7</v>
      </c>
      <c r="G354" s="3">
        <v>1.2294834519000006E8</v>
      </c>
      <c r="H354" s="4">
        <v>1.2294834519E8</v>
      </c>
      <c r="I354" s="6" t="s">
        <v>9</v>
      </c>
    </row>
    <row r="355">
      <c r="A355" s="8">
        <v>46343.0</v>
      </c>
      <c r="B355" s="2" t="s">
        <v>256</v>
      </c>
      <c r="C355" s="2" t="s">
        <v>378</v>
      </c>
      <c r="D355" s="4">
        <v>670000.0</v>
      </c>
      <c r="E355" s="3"/>
      <c r="F355" s="3"/>
      <c r="G355" s="3">
        <v>1.2227834519000006E8</v>
      </c>
      <c r="H355" s="4">
        <v>1.2227834519E8</v>
      </c>
      <c r="I355" s="6" t="s">
        <v>9</v>
      </c>
    </row>
    <row r="356">
      <c r="A356" s="8">
        <v>46343.0</v>
      </c>
      <c r="B356" s="2" t="s">
        <v>10</v>
      </c>
      <c r="C356" s="2" t="s">
        <v>379</v>
      </c>
      <c r="D356" s="4">
        <v>2800000.0</v>
      </c>
      <c r="E356" s="3"/>
      <c r="F356" s="4" t="s">
        <v>3</v>
      </c>
      <c r="G356" s="3">
        <v>1.1947834519000006E8</v>
      </c>
      <c r="H356" s="3"/>
      <c r="I356" s="6" t="s">
        <v>9</v>
      </c>
    </row>
    <row r="357">
      <c r="A357" s="8">
        <v>46343.0</v>
      </c>
      <c r="B357" s="2" t="s">
        <v>14</v>
      </c>
      <c r="C357" s="2" t="s">
        <v>380</v>
      </c>
      <c r="D357" s="4"/>
      <c r="E357" s="4">
        <v>1.6060408E8</v>
      </c>
      <c r="F357" s="4" t="s">
        <v>7</v>
      </c>
      <c r="G357" s="3">
        <v>2.8008242519000006E8</v>
      </c>
      <c r="H357" s="3"/>
      <c r="I357" s="6" t="s">
        <v>9</v>
      </c>
    </row>
    <row r="358">
      <c r="A358" s="8">
        <v>46343.0</v>
      </c>
      <c r="B358" s="2" t="s">
        <v>14</v>
      </c>
      <c r="C358" s="2" t="s">
        <v>381</v>
      </c>
      <c r="D358" s="4"/>
      <c r="E358" s="4">
        <v>6.512E7</v>
      </c>
      <c r="F358" s="4" t="s">
        <v>7</v>
      </c>
      <c r="G358" s="3">
        <v>3.4520242519000006E8</v>
      </c>
      <c r="H358" s="3"/>
      <c r="I358" s="6" t="s">
        <v>42</v>
      </c>
    </row>
    <row r="359">
      <c r="A359" s="8">
        <v>46343.0</v>
      </c>
      <c r="B359" s="2" t="s">
        <v>10</v>
      </c>
      <c r="C359" s="2" t="s">
        <v>382</v>
      </c>
      <c r="D359" s="4">
        <v>6.930875E7</v>
      </c>
      <c r="E359" s="3"/>
      <c r="F359" s="4" t="s">
        <v>3</v>
      </c>
      <c r="G359" s="3">
        <v>2.7589367519000006E8</v>
      </c>
      <c r="H359" s="3"/>
      <c r="I359" s="6" t="s">
        <v>42</v>
      </c>
    </row>
    <row r="360">
      <c r="A360" s="8">
        <v>46343.0</v>
      </c>
      <c r="B360" s="2" t="s">
        <v>10</v>
      </c>
      <c r="C360" s="2" t="s">
        <v>383</v>
      </c>
      <c r="D360" s="4">
        <v>2000000.0</v>
      </c>
      <c r="E360" s="3"/>
      <c r="F360" s="4" t="s">
        <v>3</v>
      </c>
      <c r="G360" s="3">
        <v>2.7389367519000006E8</v>
      </c>
      <c r="H360" s="3"/>
      <c r="I360" s="6" t="s">
        <v>42</v>
      </c>
    </row>
    <row r="361">
      <c r="A361" s="8">
        <v>46343.0</v>
      </c>
      <c r="B361" s="2" t="s">
        <v>14</v>
      </c>
      <c r="C361" s="2" t="s">
        <v>384</v>
      </c>
      <c r="D361" s="4"/>
      <c r="E361" s="4">
        <v>3.677575E8</v>
      </c>
      <c r="F361" s="4" t="s">
        <v>7</v>
      </c>
      <c r="G361" s="3">
        <v>6.4165117519E8</v>
      </c>
      <c r="H361" s="3"/>
      <c r="I361" s="6" t="s">
        <v>42</v>
      </c>
    </row>
    <row r="362">
      <c r="A362" s="8">
        <v>46343.0</v>
      </c>
      <c r="B362" s="2" t="s">
        <v>10</v>
      </c>
      <c r="C362" s="2" t="s">
        <v>385</v>
      </c>
      <c r="D362" s="4">
        <v>5.95E7</v>
      </c>
      <c r="E362" s="3"/>
      <c r="F362" s="4" t="s">
        <v>3</v>
      </c>
      <c r="G362" s="3">
        <v>5.8215117519E8</v>
      </c>
      <c r="H362" s="3"/>
      <c r="I362" s="6" t="s">
        <v>42</v>
      </c>
    </row>
    <row r="363">
      <c r="A363" s="8">
        <v>46343.0</v>
      </c>
      <c r="B363" s="2" t="s">
        <v>10</v>
      </c>
      <c r="C363" s="2" t="s">
        <v>386</v>
      </c>
      <c r="D363" s="4">
        <v>2.15E7</v>
      </c>
      <c r="E363" s="3"/>
      <c r="F363" s="4" t="s">
        <v>3</v>
      </c>
      <c r="G363" s="3">
        <v>5.6065117519E8</v>
      </c>
      <c r="H363" s="3"/>
      <c r="I363" s="6" t="s">
        <v>42</v>
      </c>
    </row>
    <row r="364">
      <c r="A364" s="8">
        <v>46343.0</v>
      </c>
      <c r="B364" s="2" t="s">
        <v>10</v>
      </c>
      <c r="C364" s="2" t="s">
        <v>387</v>
      </c>
      <c r="D364" s="4">
        <v>7.5E7</v>
      </c>
      <c r="E364" s="3"/>
      <c r="F364" s="4" t="s">
        <v>3</v>
      </c>
      <c r="G364" s="3">
        <v>4.8565117519000006E8</v>
      </c>
      <c r="H364" s="3"/>
      <c r="I364" s="6" t="s">
        <v>42</v>
      </c>
    </row>
    <row r="365">
      <c r="A365" s="8">
        <v>46343.0</v>
      </c>
      <c r="B365" s="2" t="s">
        <v>10</v>
      </c>
      <c r="C365" s="2" t="s">
        <v>388</v>
      </c>
      <c r="D365" s="4">
        <v>1.0630909E8</v>
      </c>
      <c r="E365" s="3"/>
      <c r="F365" s="4" t="s">
        <v>3</v>
      </c>
      <c r="G365" s="3">
        <v>3.7934208519000006E8</v>
      </c>
      <c r="H365" s="3"/>
      <c r="I365" s="6" t="s">
        <v>42</v>
      </c>
    </row>
    <row r="366">
      <c r="A366" s="8">
        <v>46343.0</v>
      </c>
      <c r="B366" s="2" t="s">
        <v>10</v>
      </c>
      <c r="C366" s="2" t="s">
        <v>389</v>
      </c>
      <c r="D366" s="4">
        <v>2.44414E7</v>
      </c>
      <c r="E366" s="3"/>
      <c r="F366" s="4" t="s">
        <v>3</v>
      </c>
      <c r="G366" s="3">
        <v>3.5490068519000006E8</v>
      </c>
      <c r="H366" s="3"/>
      <c r="I366" s="6" t="s">
        <v>42</v>
      </c>
    </row>
    <row r="367">
      <c r="A367" s="8">
        <v>46343.0</v>
      </c>
      <c r="B367" s="2" t="s">
        <v>10</v>
      </c>
      <c r="C367" s="2" t="s">
        <v>390</v>
      </c>
      <c r="D367" s="4">
        <v>6.09138E7</v>
      </c>
      <c r="E367" s="3"/>
      <c r="F367" s="4" t="s">
        <v>3</v>
      </c>
      <c r="G367" s="3">
        <v>2.9398688519000006E8</v>
      </c>
      <c r="H367" s="4">
        <v>2.9398688519E8</v>
      </c>
      <c r="I367" s="6" t="s">
        <v>9</v>
      </c>
    </row>
    <row r="368">
      <c r="A368" s="8">
        <v>46343.0</v>
      </c>
      <c r="B368" s="2" t="s">
        <v>10</v>
      </c>
      <c r="C368" s="2" t="s">
        <v>391</v>
      </c>
      <c r="D368" s="4">
        <v>3.246444E7</v>
      </c>
      <c r="E368" s="3"/>
      <c r="F368" s="4" t="s">
        <v>3</v>
      </c>
      <c r="G368" s="3">
        <v>2.6152244519000006E8</v>
      </c>
      <c r="H368" s="4">
        <v>2.6152244519E8</v>
      </c>
      <c r="I368" s="6" t="s">
        <v>9</v>
      </c>
    </row>
    <row r="369">
      <c r="A369" s="8">
        <v>46343.0</v>
      </c>
      <c r="B369" s="2" t="s">
        <v>10</v>
      </c>
      <c r="C369" s="2" t="s">
        <v>392</v>
      </c>
      <c r="D369" s="4">
        <v>2.144716E7</v>
      </c>
      <c r="E369" s="3"/>
      <c r="F369" s="4" t="s">
        <v>3</v>
      </c>
      <c r="G369" s="3">
        <v>2.4007528519000006E8</v>
      </c>
      <c r="H369" s="3"/>
      <c r="I369" s="6" t="s">
        <v>42</v>
      </c>
    </row>
    <row r="370">
      <c r="A370" s="8">
        <v>46343.0</v>
      </c>
      <c r="B370" s="2" t="s">
        <v>10</v>
      </c>
      <c r="C370" s="2" t="s">
        <v>393</v>
      </c>
      <c r="D370" s="4">
        <v>1.95E7</v>
      </c>
      <c r="E370" s="3"/>
      <c r="F370" s="4" t="s">
        <v>3</v>
      </c>
      <c r="G370" s="3">
        <v>2.2057528519000006E8</v>
      </c>
      <c r="H370" s="3"/>
      <c r="I370" s="6" t="s">
        <v>9</v>
      </c>
    </row>
    <row r="371">
      <c r="A371" s="8">
        <v>46343.0</v>
      </c>
      <c r="B371" s="2" t="s">
        <v>10</v>
      </c>
      <c r="C371" s="2" t="s">
        <v>394</v>
      </c>
      <c r="D371" s="4">
        <v>2250000.0</v>
      </c>
      <c r="E371" s="3"/>
      <c r="F371" s="4" t="s">
        <v>3</v>
      </c>
      <c r="G371" s="3">
        <v>2.1832528519000006E8</v>
      </c>
      <c r="H371" s="3"/>
      <c r="I371" s="6" t="s">
        <v>42</v>
      </c>
    </row>
    <row r="372">
      <c r="A372" s="8">
        <v>46343.0</v>
      </c>
      <c r="B372" s="2" t="s">
        <v>10</v>
      </c>
      <c r="C372" s="2" t="s">
        <v>395</v>
      </c>
      <c r="D372" s="4">
        <v>1655000.0</v>
      </c>
      <c r="E372" s="3"/>
      <c r="F372" s="4" t="s">
        <v>3</v>
      </c>
      <c r="G372" s="3">
        <v>2.1667028519000006E8</v>
      </c>
      <c r="H372" s="3"/>
      <c r="I372" s="6" t="s">
        <v>42</v>
      </c>
    </row>
    <row r="373">
      <c r="A373" s="8">
        <v>46343.0</v>
      </c>
      <c r="B373" s="2" t="s">
        <v>10</v>
      </c>
      <c r="C373" s="2" t="s">
        <v>396</v>
      </c>
      <c r="D373" s="4">
        <v>500000.0</v>
      </c>
      <c r="E373" s="3"/>
      <c r="F373" s="4" t="s">
        <v>3</v>
      </c>
      <c r="G373" s="3">
        <v>2.1617028519000006E8</v>
      </c>
      <c r="H373" s="3"/>
      <c r="I373" s="6" t="s">
        <v>42</v>
      </c>
    </row>
    <row r="374">
      <c r="A374" s="8">
        <v>46343.0</v>
      </c>
      <c r="B374" s="2" t="s">
        <v>27</v>
      </c>
      <c r="C374" s="2" t="s">
        <v>170</v>
      </c>
      <c r="D374" s="4">
        <v>421100.0</v>
      </c>
      <c r="E374" s="3"/>
      <c r="F374" s="3"/>
      <c r="G374" s="3">
        <v>2.1574918519000006E8</v>
      </c>
      <c r="H374" s="3"/>
      <c r="I374" s="6" t="s">
        <v>42</v>
      </c>
    </row>
    <row r="375">
      <c r="A375" s="8">
        <v>46343.0</v>
      </c>
      <c r="B375" s="2" t="s">
        <v>397</v>
      </c>
      <c r="C375" s="2" t="s">
        <v>397</v>
      </c>
      <c r="D375" s="4">
        <v>19000.0</v>
      </c>
      <c r="E375" s="3"/>
      <c r="F375" s="3"/>
      <c r="G375" s="3">
        <v>2.1573018519000006E8</v>
      </c>
      <c r="H375" s="4">
        <v>2.1573018519E8</v>
      </c>
      <c r="I375" s="6" t="s">
        <v>42</v>
      </c>
    </row>
    <row r="376">
      <c r="A376" s="8">
        <v>46344.0</v>
      </c>
      <c r="B376" s="2" t="s">
        <v>10</v>
      </c>
      <c r="C376" s="2" t="s">
        <v>398</v>
      </c>
      <c r="D376" s="4">
        <v>3054260.0</v>
      </c>
      <c r="E376" s="3"/>
      <c r="F376" s="4" t="s">
        <v>3</v>
      </c>
      <c r="G376" s="3">
        <v>2.1267592519000006E8</v>
      </c>
      <c r="H376" s="3"/>
      <c r="I376" s="6" t="s">
        <v>42</v>
      </c>
    </row>
    <row r="377">
      <c r="A377" s="8">
        <v>46344.0</v>
      </c>
      <c r="B377" s="2" t="s">
        <v>10</v>
      </c>
      <c r="C377" s="2" t="s">
        <v>399</v>
      </c>
      <c r="D377" s="4">
        <v>8382790.0</v>
      </c>
      <c r="E377" s="3"/>
      <c r="F377" s="4" t="s">
        <v>3</v>
      </c>
      <c r="G377" s="3">
        <v>2.0429313519000006E8</v>
      </c>
      <c r="H377" s="3"/>
      <c r="I377" s="6" t="s">
        <v>42</v>
      </c>
    </row>
    <row r="378">
      <c r="A378" s="8">
        <v>46344.0</v>
      </c>
      <c r="B378" s="2" t="s">
        <v>10</v>
      </c>
      <c r="C378" s="2" t="s">
        <v>400</v>
      </c>
      <c r="D378" s="4">
        <v>5.248775E7</v>
      </c>
      <c r="E378" s="3"/>
      <c r="F378" s="4" t="s">
        <v>3</v>
      </c>
      <c r="G378" s="3">
        <v>1.5180538519000006E8</v>
      </c>
      <c r="H378" s="3"/>
      <c r="I378" s="6" t="s">
        <v>42</v>
      </c>
    </row>
    <row r="379">
      <c r="A379" s="8">
        <v>46344.0</v>
      </c>
      <c r="B379" s="2" t="s">
        <v>10</v>
      </c>
      <c r="C379" s="2" t="s">
        <v>401</v>
      </c>
      <c r="D379" s="4">
        <v>5.05E7</v>
      </c>
      <c r="E379" s="3"/>
      <c r="F379" s="4" t="s">
        <v>3</v>
      </c>
      <c r="G379" s="3">
        <v>1.0130538519000006E8</v>
      </c>
      <c r="H379" s="3"/>
      <c r="I379" s="6" t="s">
        <v>42</v>
      </c>
    </row>
    <row r="380">
      <c r="A380" s="8">
        <v>46344.0</v>
      </c>
      <c r="B380" s="2" t="s">
        <v>10</v>
      </c>
      <c r="C380" s="2" t="s">
        <v>402</v>
      </c>
      <c r="D380" s="4">
        <v>5.311944E7</v>
      </c>
      <c r="E380" s="3"/>
      <c r="F380" s="4" t="s">
        <v>3</v>
      </c>
      <c r="G380" s="3">
        <v>4.818594519000006E7</v>
      </c>
      <c r="H380" s="3"/>
      <c r="I380" s="6" t="s">
        <v>42</v>
      </c>
    </row>
    <row r="381">
      <c r="A381" s="8">
        <v>46344.0</v>
      </c>
      <c r="B381" s="2" t="s">
        <v>10</v>
      </c>
      <c r="C381" s="2" t="s">
        <v>403</v>
      </c>
      <c r="D381" s="4">
        <v>4.81289E7</v>
      </c>
      <c r="E381" s="3"/>
      <c r="F381" s="4" t="s">
        <v>3</v>
      </c>
      <c r="G381" s="3">
        <v>57045.19000005722</v>
      </c>
      <c r="H381" s="3"/>
      <c r="I381" s="6" t="s">
        <v>42</v>
      </c>
    </row>
    <row r="382">
      <c r="A382" s="8">
        <v>46344.0</v>
      </c>
      <c r="B382" s="2" t="s">
        <v>14</v>
      </c>
      <c r="C382" s="2" t="s">
        <v>404</v>
      </c>
      <c r="D382" s="4"/>
      <c r="E382" s="4">
        <v>6.36955E7</v>
      </c>
      <c r="F382" s="4" t="s">
        <v>7</v>
      </c>
      <c r="G382" s="3">
        <v>6.375254519000006E7</v>
      </c>
      <c r="H382" s="4">
        <v>6.375254519E7</v>
      </c>
      <c r="I382" s="6" t="s">
        <v>42</v>
      </c>
    </row>
    <row r="383">
      <c r="A383" s="8">
        <v>46344.0</v>
      </c>
      <c r="B383" s="2" t="s">
        <v>113</v>
      </c>
      <c r="C383" s="2" t="s">
        <v>405</v>
      </c>
      <c r="D383" s="4">
        <v>202500.0</v>
      </c>
      <c r="E383" s="3"/>
      <c r="F383" s="3"/>
      <c r="G383" s="3">
        <v>6.355004519000006E7</v>
      </c>
      <c r="H383" s="3"/>
      <c r="I383" s="6" t="s">
        <v>42</v>
      </c>
    </row>
    <row r="384">
      <c r="A384" s="8">
        <v>46344.0</v>
      </c>
      <c r="B384" s="2" t="s">
        <v>14</v>
      </c>
      <c r="C384" s="2" t="s">
        <v>406</v>
      </c>
      <c r="D384" s="4"/>
      <c r="E384" s="4">
        <v>3.1578E8</v>
      </c>
      <c r="F384" s="4" t="s">
        <v>7</v>
      </c>
      <c r="G384" s="3">
        <v>3.7933004519000006E8</v>
      </c>
      <c r="H384" s="3"/>
      <c r="I384" s="6" t="s">
        <v>42</v>
      </c>
    </row>
    <row r="385">
      <c r="A385" s="8">
        <v>46344.0</v>
      </c>
      <c r="B385" s="2" t="s">
        <v>10</v>
      </c>
      <c r="C385" s="2" t="s">
        <v>407</v>
      </c>
      <c r="D385" s="4">
        <v>1.897224E7</v>
      </c>
      <c r="E385" s="3"/>
      <c r="F385" s="4" t="s">
        <v>3</v>
      </c>
      <c r="G385" s="3">
        <v>3.6035780519000006E8</v>
      </c>
      <c r="H385" s="3"/>
      <c r="I385" s="6" t="s">
        <v>42</v>
      </c>
    </row>
    <row r="386">
      <c r="A386" s="8">
        <v>46344.0</v>
      </c>
      <c r="B386" s="2" t="s">
        <v>10</v>
      </c>
      <c r="C386" s="2" t="s">
        <v>408</v>
      </c>
      <c r="D386" s="4">
        <v>5900000.0</v>
      </c>
      <c r="E386" s="3"/>
      <c r="F386" s="4" t="s">
        <v>3</v>
      </c>
      <c r="G386" s="3">
        <v>3.5445780519000006E8</v>
      </c>
      <c r="H386" s="3"/>
      <c r="I386" s="6" t="s">
        <v>42</v>
      </c>
    </row>
    <row r="387">
      <c r="A387" s="8">
        <v>46344.0</v>
      </c>
      <c r="B387" s="2" t="s">
        <v>10</v>
      </c>
      <c r="C387" s="2" t="s">
        <v>409</v>
      </c>
      <c r="D387" s="4">
        <v>100000.0</v>
      </c>
      <c r="E387" s="3"/>
      <c r="F387" s="4" t="s">
        <v>3</v>
      </c>
      <c r="G387" s="3">
        <v>3.5435780519000006E8</v>
      </c>
      <c r="H387" s="3"/>
      <c r="I387" s="6" t="s">
        <v>42</v>
      </c>
    </row>
    <row r="388">
      <c r="A388" s="8">
        <v>46344.0</v>
      </c>
      <c r="B388" s="2" t="s">
        <v>10</v>
      </c>
      <c r="C388" s="2" t="s">
        <v>410</v>
      </c>
      <c r="D388" s="4">
        <v>3800000.0</v>
      </c>
      <c r="E388" s="3"/>
      <c r="F388" s="4" t="s">
        <v>3</v>
      </c>
      <c r="G388" s="3">
        <v>3.5055780519000006E8</v>
      </c>
      <c r="H388" s="3"/>
      <c r="I388" s="6" t="s">
        <v>42</v>
      </c>
    </row>
    <row r="389">
      <c r="A389" s="8">
        <v>46344.0</v>
      </c>
      <c r="B389" s="2" t="s">
        <v>10</v>
      </c>
      <c r="C389" s="2" t="s">
        <v>411</v>
      </c>
      <c r="D389" s="4">
        <v>7541550.0</v>
      </c>
      <c r="E389" s="3"/>
      <c r="F389" s="4" t="s">
        <v>3</v>
      </c>
      <c r="G389" s="3">
        <v>3.4301625519000006E8</v>
      </c>
      <c r="H389" s="3"/>
      <c r="I389" s="6" t="s">
        <v>42</v>
      </c>
    </row>
    <row r="390">
      <c r="A390" s="8">
        <v>46344.0</v>
      </c>
      <c r="B390" s="2" t="s">
        <v>10</v>
      </c>
      <c r="C390" s="2" t="s">
        <v>412</v>
      </c>
      <c r="D390" s="4">
        <v>1900000.0</v>
      </c>
      <c r="E390" s="3"/>
      <c r="F390" s="4" t="s">
        <v>3</v>
      </c>
      <c r="G390" s="3">
        <v>3.4111625519000006E8</v>
      </c>
      <c r="H390" s="3"/>
      <c r="I390" s="6" t="s">
        <v>42</v>
      </c>
    </row>
    <row r="391">
      <c r="A391" s="8">
        <v>46344.0</v>
      </c>
      <c r="B391" s="2" t="s">
        <v>10</v>
      </c>
      <c r="C391" s="2" t="s">
        <v>413</v>
      </c>
      <c r="D391" s="4">
        <v>6069720.0</v>
      </c>
      <c r="E391" s="3"/>
      <c r="F391" s="4" t="s">
        <v>3</v>
      </c>
      <c r="G391" s="3">
        <v>3.3504653519000006E8</v>
      </c>
      <c r="H391" s="3"/>
      <c r="I391" s="6" t="s">
        <v>42</v>
      </c>
    </row>
    <row r="392">
      <c r="A392" s="8">
        <v>46344.0</v>
      </c>
      <c r="B392" s="2" t="s">
        <v>10</v>
      </c>
      <c r="C392" s="2" t="s">
        <v>414</v>
      </c>
      <c r="D392" s="4">
        <v>3660600.0</v>
      </c>
      <c r="E392" s="3"/>
      <c r="F392" s="4" t="s">
        <v>3</v>
      </c>
      <c r="G392" s="3">
        <v>3.3138593519000006E8</v>
      </c>
      <c r="H392" s="3"/>
      <c r="I392" s="6" t="s">
        <v>42</v>
      </c>
    </row>
    <row r="393">
      <c r="A393" s="8">
        <v>46344.0</v>
      </c>
      <c r="B393" s="2" t="s">
        <v>10</v>
      </c>
      <c r="C393" s="2" t="s">
        <v>415</v>
      </c>
      <c r="D393" s="4">
        <v>600000.0</v>
      </c>
      <c r="E393" s="3"/>
      <c r="F393" s="4" t="s">
        <v>3</v>
      </c>
      <c r="G393" s="3">
        <v>3.3078593519000006E8</v>
      </c>
      <c r="H393" s="4">
        <v>3.3078593519E8</v>
      </c>
      <c r="I393" s="6" t="s">
        <v>42</v>
      </c>
    </row>
    <row r="394">
      <c r="A394" s="8">
        <v>46345.0</v>
      </c>
      <c r="B394" s="2" t="s">
        <v>416</v>
      </c>
      <c r="C394" s="2" t="s">
        <v>417</v>
      </c>
      <c r="D394" s="4">
        <v>1.507E7</v>
      </c>
      <c r="E394" s="3"/>
      <c r="F394" s="4" t="s">
        <v>3</v>
      </c>
      <c r="G394" s="3">
        <v>3.1571593519000006E8</v>
      </c>
      <c r="H394" s="4">
        <v>3.1571593519E8</v>
      </c>
      <c r="I394" s="6" t="s">
        <v>42</v>
      </c>
    </row>
    <row r="395">
      <c r="A395" s="8">
        <v>46345.0</v>
      </c>
      <c r="B395" s="2" t="s">
        <v>416</v>
      </c>
      <c r="C395" s="2" t="s">
        <v>418</v>
      </c>
      <c r="D395" s="4">
        <v>2.362144E7</v>
      </c>
      <c r="E395" s="3"/>
      <c r="F395" s="4" t="s">
        <v>3</v>
      </c>
      <c r="G395" s="3">
        <v>2.9209449519000006E8</v>
      </c>
      <c r="H395" s="4">
        <v>2.9209449519E8</v>
      </c>
      <c r="I395" s="6" t="s">
        <v>42</v>
      </c>
    </row>
    <row r="396">
      <c r="A396" s="8">
        <v>46345.0</v>
      </c>
      <c r="B396" s="2" t="s">
        <v>416</v>
      </c>
      <c r="C396" s="2" t="s">
        <v>419</v>
      </c>
      <c r="D396" s="4">
        <v>8.0E7</v>
      </c>
      <c r="E396" s="3"/>
      <c r="F396" s="4" t="s">
        <v>3</v>
      </c>
      <c r="G396" s="3">
        <v>2.1209449519000006E8</v>
      </c>
      <c r="H396" s="3"/>
      <c r="I396" s="6" t="s">
        <v>42</v>
      </c>
    </row>
    <row r="397">
      <c r="A397" s="8">
        <v>46345.0</v>
      </c>
      <c r="B397" s="2" t="s">
        <v>420</v>
      </c>
      <c r="C397" s="2" t="s">
        <v>421</v>
      </c>
      <c r="D397" s="4"/>
      <c r="E397" s="4">
        <v>3.7236955E8</v>
      </c>
      <c r="F397" s="4" t="s">
        <v>7</v>
      </c>
      <c r="G397" s="3">
        <v>5.8446404519E8</v>
      </c>
      <c r="H397" s="3"/>
      <c r="I397" s="6" t="s">
        <v>42</v>
      </c>
    </row>
    <row r="398">
      <c r="A398" s="8">
        <v>46345.0</v>
      </c>
      <c r="B398" s="2" t="s">
        <v>416</v>
      </c>
      <c r="C398" s="2" t="s">
        <v>422</v>
      </c>
      <c r="D398" s="4">
        <v>4.477403E8</v>
      </c>
      <c r="E398" s="3"/>
      <c r="F398" s="4" t="s">
        <v>3</v>
      </c>
      <c r="G398" s="3">
        <v>1.3672374519000006E8</v>
      </c>
      <c r="H398" s="3"/>
      <c r="I398" s="6" t="s">
        <v>42</v>
      </c>
    </row>
    <row r="399">
      <c r="A399" s="8">
        <v>46345.0</v>
      </c>
      <c r="B399" s="2" t="s">
        <v>10</v>
      </c>
      <c r="C399" s="2" t="s">
        <v>423</v>
      </c>
      <c r="D399" s="4">
        <v>1.1201825E8</v>
      </c>
      <c r="E399" s="3"/>
      <c r="F399" s="4" t="s">
        <v>3</v>
      </c>
      <c r="G399" s="3">
        <v>2.4705495190000057E7</v>
      </c>
      <c r="H399" s="3"/>
      <c r="I399" s="6" t="s">
        <v>42</v>
      </c>
    </row>
    <row r="400">
      <c r="A400" s="8">
        <v>46345.0</v>
      </c>
      <c r="B400" s="2" t="s">
        <v>10</v>
      </c>
      <c r="C400" s="2" t="s">
        <v>424</v>
      </c>
      <c r="D400" s="4">
        <v>160001.0</v>
      </c>
      <c r="E400" s="3"/>
      <c r="F400" s="4" t="s">
        <v>3</v>
      </c>
      <c r="G400" s="3">
        <v>2.4545494190000057E7</v>
      </c>
      <c r="H400" s="3"/>
      <c r="I400" s="6" t="s">
        <v>42</v>
      </c>
    </row>
    <row r="401">
      <c r="A401" s="8">
        <v>46345.0</v>
      </c>
      <c r="B401" s="2" t="s">
        <v>10</v>
      </c>
      <c r="C401" s="2" t="s">
        <v>424</v>
      </c>
      <c r="D401" s="4">
        <v>1130800.0</v>
      </c>
      <c r="E401" s="3"/>
      <c r="F401" s="4" t="s">
        <v>3</v>
      </c>
      <c r="G401" s="3">
        <v>2.3414694190000057E7</v>
      </c>
      <c r="H401" s="3"/>
      <c r="I401" s="6" t="s">
        <v>42</v>
      </c>
    </row>
    <row r="402">
      <c r="A402" s="8">
        <v>46345.0</v>
      </c>
      <c r="B402" s="2" t="s">
        <v>425</v>
      </c>
      <c r="C402" s="2" t="s">
        <v>425</v>
      </c>
      <c r="D402" s="4">
        <v>200000.0</v>
      </c>
      <c r="E402" s="3"/>
      <c r="F402" s="3"/>
      <c r="G402" s="3">
        <v>2.3214694190000057E7</v>
      </c>
      <c r="H402" s="3"/>
      <c r="I402" s="6" t="s">
        <v>42</v>
      </c>
    </row>
    <row r="403">
      <c r="A403" s="8">
        <v>46345.0</v>
      </c>
      <c r="B403" s="2" t="s">
        <v>195</v>
      </c>
      <c r="C403" s="2" t="s">
        <v>426</v>
      </c>
      <c r="D403" s="4">
        <v>250000.0</v>
      </c>
      <c r="E403" s="3"/>
      <c r="F403" s="3"/>
      <c r="G403" s="3">
        <v>2.2964694190000057E7</v>
      </c>
      <c r="H403" s="3"/>
      <c r="I403" s="6" t="s">
        <v>42</v>
      </c>
    </row>
    <row r="404">
      <c r="A404" s="8">
        <v>46345.0</v>
      </c>
      <c r="B404" s="2" t="s">
        <v>195</v>
      </c>
      <c r="C404" s="2" t="s">
        <v>427</v>
      </c>
      <c r="D404" s="4">
        <v>7500.0</v>
      </c>
      <c r="E404" s="3"/>
      <c r="F404" s="3"/>
      <c r="G404" s="3">
        <v>2.2957194190000057E7</v>
      </c>
      <c r="H404" s="3"/>
      <c r="I404" s="6" t="s">
        <v>42</v>
      </c>
    </row>
    <row r="405">
      <c r="A405" s="8">
        <v>46345.0</v>
      </c>
      <c r="B405" s="2" t="s">
        <v>14</v>
      </c>
      <c r="C405" s="2" t="s">
        <v>428</v>
      </c>
      <c r="D405" s="4"/>
      <c r="E405" s="4">
        <v>3125250.0</v>
      </c>
      <c r="F405" s="4" t="s">
        <v>7</v>
      </c>
      <c r="G405" s="3">
        <v>2.6082444190000057E7</v>
      </c>
      <c r="H405" s="3"/>
      <c r="I405" s="6" t="s">
        <v>42</v>
      </c>
    </row>
    <row r="406">
      <c r="A406" s="8">
        <v>46345.0</v>
      </c>
      <c r="B406" s="2" t="s">
        <v>10</v>
      </c>
      <c r="C406" s="2" t="s">
        <v>429</v>
      </c>
      <c r="D406" s="4">
        <v>3125250.0</v>
      </c>
      <c r="E406" s="3"/>
      <c r="F406" s="4" t="s">
        <v>3</v>
      </c>
      <c r="G406" s="3">
        <v>2.2957194190000057E7</v>
      </c>
      <c r="H406" s="3"/>
      <c r="I406" s="6" t="s">
        <v>42</v>
      </c>
    </row>
    <row r="407">
      <c r="A407" s="8">
        <v>46345.0</v>
      </c>
      <c r="B407" s="2" t="s">
        <v>10</v>
      </c>
      <c r="C407" s="2" t="s">
        <v>430</v>
      </c>
      <c r="D407" s="4">
        <v>2.0E7</v>
      </c>
      <c r="E407" s="3"/>
      <c r="F407" s="4" t="s">
        <v>3</v>
      </c>
      <c r="G407" s="3">
        <v>2957194.190000057</v>
      </c>
      <c r="H407" s="3"/>
      <c r="I407" s="6" t="s">
        <v>42</v>
      </c>
    </row>
    <row r="408">
      <c r="A408" s="8">
        <v>46345.0</v>
      </c>
      <c r="B408" s="2" t="s">
        <v>14</v>
      </c>
      <c r="C408" s="2" t="s">
        <v>431</v>
      </c>
      <c r="D408" s="4"/>
      <c r="E408" s="4">
        <v>1.258E7</v>
      </c>
      <c r="F408" s="4" t="s">
        <v>7</v>
      </c>
      <c r="G408" s="3">
        <v>1.5537194190000057E7</v>
      </c>
      <c r="H408" s="3"/>
      <c r="I408" s="6" t="s">
        <v>42</v>
      </c>
    </row>
    <row r="409">
      <c r="A409" s="8">
        <v>46345.0</v>
      </c>
      <c r="B409" s="2" t="s">
        <v>14</v>
      </c>
      <c r="C409" s="2" t="s">
        <v>432</v>
      </c>
      <c r="D409" s="4"/>
      <c r="E409" s="4">
        <v>5.0E7</v>
      </c>
      <c r="F409" s="4" t="s">
        <v>7</v>
      </c>
      <c r="G409" s="3">
        <v>6.553719419000006E7</v>
      </c>
      <c r="H409" s="4">
        <v>6.553719419E7</v>
      </c>
      <c r="I409" s="6" t="s">
        <v>42</v>
      </c>
    </row>
    <row r="410">
      <c r="A410" s="8">
        <v>46346.0</v>
      </c>
      <c r="B410" s="2" t="s">
        <v>433</v>
      </c>
      <c r="C410" s="2" t="s">
        <v>433</v>
      </c>
      <c r="D410" s="4">
        <v>200000.0</v>
      </c>
      <c r="E410" s="3"/>
      <c r="F410" s="3"/>
      <c r="G410" s="3">
        <v>6.533719419000006E7</v>
      </c>
      <c r="H410" s="4">
        <v>6.533719419E7</v>
      </c>
      <c r="I410" s="6" t="s">
        <v>42</v>
      </c>
    </row>
    <row r="411">
      <c r="A411" s="8">
        <v>46346.0</v>
      </c>
      <c r="B411" s="2" t="s">
        <v>14</v>
      </c>
      <c r="C411" s="2" t="s">
        <v>434</v>
      </c>
      <c r="D411" s="4"/>
      <c r="E411" s="4">
        <v>792000.0</v>
      </c>
      <c r="F411" s="4" t="s">
        <v>7</v>
      </c>
      <c r="G411" s="3">
        <v>6.612919419000006E7</v>
      </c>
      <c r="H411" s="3"/>
      <c r="I411" s="6" t="s">
        <v>42</v>
      </c>
    </row>
    <row r="412">
      <c r="A412" s="8">
        <v>46346.0</v>
      </c>
      <c r="B412" s="2" t="s">
        <v>435</v>
      </c>
      <c r="C412" s="2" t="s">
        <v>436</v>
      </c>
      <c r="D412" s="4">
        <v>200000.0</v>
      </c>
      <c r="E412" s="3"/>
      <c r="F412" s="4" t="s">
        <v>3</v>
      </c>
      <c r="G412" s="3">
        <v>6.592919419000006E7</v>
      </c>
      <c r="H412" s="3"/>
      <c r="I412" s="6" t="s">
        <v>42</v>
      </c>
    </row>
    <row r="413">
      <c r="A413" s="8">
        <v>46346.0</v>
      </c>
      <c r="B413" s="2" t="s">
        <v>435</v>
      </c>
      <c r="C413" s="2" t="s">
        <v>437</v>
      </c>
      <c r="D413" s="4">
        <v>6500.0</v>
      </c>
      <c r="E413" s="3"/>
      <c r="F413" s="4" t="s">
        <v>3</v>
      </c>
      <c r="G413" s="3">
        <v>6.592269419000006E7</v>
      </c>
      <c r="H413" s="3"/>
      <c r="I413" s="6" t="s">
        <v>42</v>
      </c>
    </row>
    <row r="414">
      <c r="A414" s="8">
        <v>46346.0</v>
      </c>
      <c r="B414" s="2" t="s">
        <v>14</v>
      </c>
      <c r="C414" s="2" t="s">
        <v>438</v>
      </c>
      <c r="D414" s="4"/>
      <c r="E414" s="4">
        <v>6.54654E7</v>
      </c>
      <c r="F414" s="4" t="s">
        <v>7</v>
      </c>
      <c r="G414" s="3">
        <v>1.3138809419000006E8</v>
      </c>
      <c r="H414" s="3"/>
      <c r="I414" s="6" t="s">
        <v>42</v>
      </c>
    </row>
    <row r="415">
      <c r="A415" s="8">
        <v>46346.0</v>
      </c>
      <c r="B415" s="2" t="s">
        <v>14</v>
      </c>
      <c r="C415" s="2" t="s">
        <v>439</v>
      </c>
      <c r="D415" s="4"/>
      <c r="E415" s="4">
        <v>1.612247E8</v>
      </c>
      <c r="F415" s="4" t="s">
        <v>7</v>
      </c>
      <c r="G415" s="3">
        <v>2.9261279419000006E8</v>
      </c>
      <c r="H415" s="3"/>
      <c r="I415" s="6" t="s">
        <v>42</v>
      </c>
    </row>
    <row r="416">
      <c r="A416" s="8">
        <v>46346.0</v>
      </c>
      <c r="B416" s="2" t="s">
        <v>10</v>
      </c>
      <c r="C416" s="2" t="s">
        <v>440</v>
      </c>
      <c r="D416" s="4">
        <v>5.350125E7</v>
      </c>
      <c r="E416" s="3"/>
      <c r="F416" s="4" t="s">
        <v>3</v>
      </c>
      <c r="G416" s="3">
        <v>2.3911154419000006E8</v>
      </c>
      <c r="H416" s="3"/>
      <c r="I416" s="6" t="s">
        <v>42</v>
      </c>
    </row>
    <row r="417">
      <c r="A417" s="8">
        <v>46346.0</v>
      </c>
      <c r="B417" s="2" t="s">
        <v>10</v>
      </c>
      <c r="C417" s="2" t="s">
        <v>441</v>
      </c>
      <c r="D417" s="4">
        <v>1.1381312E8</v>
      </c>
      <c r="E417" s="3"/>
      <c r="F417" s="4" t="s">
        <v>3</v>
      </c>
      <c r="G417" s="3">
        <v>1.2529842419000006E8</v>
      </c>
      <c r="H417" s="3"/>
      <c r="I417" s="6" t="s">
        <v>42</v>
      </c>
    </row>
    <row r="418">
      <c r="A418" s="8">
        <v>46346.0</v>
      </c>
      <c r="B418" s="2" t="s">
        <v>14</v>
      </c>
      <c r="C418" s="2" t="s">
        <v>442</v>
      </c>
      <c r="D418" s="4"/>
      <c r="E418" s="4">
        <v>252500.0</v>
      </c>
      <c r="F418" s="4" t="s">
        <v>7</v>
      </c>
      <c r="G418" s="3">
        <v>1.2555092419000006E8</v>
      </c>
      <c r="H418" s="3"/>
      <c r="I418" s="6" t="s">
        <v>42</v>
      </c>
    </row>
    <row r="419">
      <c r="A419" s="8">
        <v>46346.0</v>
      </c>
      <c r="B419" s="2" t="s">
        <v>10</v>
      </c>
      <c r="C419" s="2" t="s">
        <v>443</v>
      </c>
      <c r="D419" s="4">
        <v>1.2E8</v>
      </c>
      <c r="E419" s="3"/>
      <c r="F419" s="4" t="s">
        <v>3</v>
      </c>
      <c r="G419" s="3">
        <v>5550924.190000057</v>
      </c>
      <c r="H419" s="3"/>
      <c r="I419" s="6" t="s">
        <v>42</v>
      </c>
    </row>
    <row r="420">
      <c r="A420" s="8">
        <v>46346.0</v>
      </c>
      <c r="B420" s="2" t="s">
        <v>10</v>
      </c>
      <c r="C420" s="2" t="s">
        <v>444</v>
      </c>
      <c r="D420" s="4">
        <v>5000000.0</v>
      </c>
      <c r="E420" s="3"/>
      <c r="F420" s="4" t="s">
        <v>3</v>
      </c>
      <c r="G420" s="3">
        <v>550924.1900000572</v>
      </c>
      <c r="H420" s="3"/>
      <c r="I420" s="6" t="s">
        <v>42</v>
      </c>
    </row>
    <row r="421">
      <c r="A421" s="8">
        <v>46346.0</v>
      </c>
      <c r="B421" s="2" t="s">
        <v>14</v>
      </c>
      <c r="C421" s="2" t="s">
        <v>445</v>
      </c>
      <c r="D421" s="4"/>
      <c r="E421" s="4">
        <v>2.3458E7</v>
      </c>
      <c r="F421" s="4" t="s">
        <v>7</v>
      </c>
      <c r="G421" s="3">
        <v>2.4008924190000057E7</v>
      </c>
      <c r="H421" s="3"/>
      <c r="I421" s="6" t="s">
        <v>42</v>
      </c>
    </row>
    <row r="422">
      <c r="A422" s="8">
        <v>46346.0</v>
      </c>
      <c r="B422" s="2" t="s">
        <v>14</v>
      </c>
      <c r="C422" s="2" t="s">
        <v>446</v>
      </c>
      <c r="D422" s="4"/>
      <c r="E422" s="4">
        <v>1.0E8</v>
      </c>
      <c r="F422" s="4" t="s">
        <v>7</v>
      </c>
      <c r="G422" s="3">
        <v>1.2400892419000006E8</v>
      </c>
      <c r="H422" s="3"/>
      <c r="I422" s="6" t="s">
        <v>42</v>
      </c>
    </row>
    <row r="423">
      <c r="A423" s="8">
        <v>46346.0</v>
      </c>
      <c r="B423" s="2" t="s">
        <v>14</v>
      </c>
      <c r="C423" s="2" t="s">
        <v>447</v>
      </c>
      <c r="D423" s="4"/>
      <c r="E423" s="4">
        <v>2.0E7</v>
      </c>
      <c r="F423" s="4" t="s">
        <v>7</v>
      </c>
      <c r="G423" s="3">
        <v>1.4400892419000006E8</v>
      </c>
      <c r="H423" s="3"/>
      <c r="I423" s="6" t="s">
        <v>42</v>
      </c>
    </row>
    <row r="424">
      <c r="A424" s="8">
        <v>46346.0</v>
      </c>
      <c r="B424" s="2" t="s">
        <v>10</v>
      </c>
      <c r="C424" s="2" t="s">
        <v>448</v>
      </c>
      <c r="D424" s="4">
        <v>1300000.0</v>
      </c>
      <c r="E424" s="3"/>
      <c r="F424" s="4" t="s">
        <v>3</v>
      </c>
      <c r="G424" s="3">
        <v>1.4270892419000006E8</v>
      </c>
      <c r="H424" s="4">
        <v>1.4270892419E8</v>
      </c>
      <c r="I424" s="6" t="s">
        <v>42</v>
      </c>
    </row>
    <row r="425">
      <c r="A425" s="8">
        <v>46346.0</v>
      </c>
      <c r="B425" s="2" t="s">
        <v>10</v>
      </c>
      <c r="C425" s="2" t="s">
        <v>449</v>
      </c>
      <c r="D425" s="4">
        <v>1.0E7</v>
      </c>
      <c r="E425" s="3"/>
      <c r="F425" s="4" t="s">
        <v>3</v>
      </c>
      <c r="G425" s="3">
        <v>1.3270892419000006E8</v>
      </c>
      <c r="H425" s="4">
        <v>1.3270892419E8</v>
      </c>
      <c r="I425" s="6" t="s">
        <v>42</v>
      </c>
    </row>
    <row r="426">
      <c r="A426" s="8">
        <v>46347.0</v>
      </c>
      <c r="B426" s="2" t="s">
        <v>450</v>
      </c>
      <c r="C426" s="2" t="s">
        <v>451</v>
      </c>
      <c r="D426" s="4">
        <v>6.81E7</v>
      </c>
      <c r="E426" s="3"/>
      <c r="F426" s="4" t="s">
        <v>3</v>
      </c>
      <c r="G426" s="3">
        <v>6.460892419000006E7</v>
      </c>
      <c r="H426" s="3"/>
      <c r="I426" s="6" t="s">
        <v>42</v>
      </c>
    </row>
    <row r="427">
      <c r="A427" s="8">
        <v>46347.0</v>
      </c>
      <c r="B427" s="2" t="s">
        <v>452</v>
      </c>
      <c r="C427" s="2" t="s">
        <v>453</v>
      </c>
      <c r="D427" s="4">
        <v>149800.0</v>
      </c>
      <c r="E427" s="3"/>
      <c r="F427" s="3"/>
      <c r="G427" s="3">
        <v>6.445912419000006E7</v>
      </c>
      <c r="H427" s="3"/>
      <c r="I427" s="6" t="s">
        <v>42</v>
      </c>
    </row>
    <row r="428">
      <c r="A428" s="8">
        <v>46347.0</v>
      </c>
      <c r="B428" s="2" t="s">
        <v>454</v>
      </c>
      <c r="C428" s="2" t="s">
        <v>455</v>
      </c>
      <c r="D428" s="4"/>
      <c r="E428" s="4">
        <v>3.0895719E8</v>
      </c>
      <c r="F428" s="4" t="s">
        <v>7</v>
      </c>
      <c r="G428" s="3">
        <v>3.7341631419000006E8</v>
      </c>
      <c r="H428" s="3"/>
      <c r="I428" s="6" t="s">
        <v>42</v>
      </c>
    </row>
    <row r="429">
      <c r="A429" s="8">
        <v>46347.0</v>
      </c>
      <c r="B429" s="2" t="s">
        <v>14</v>
      </c>
      <c r="C429" s="2" t="s">
        <v>456</v>
      </c>
      <c r="D429" s="4"/>
      <c r="E429" s="4">
        <v>5.39525E7</v>
      </c>
      <c r="F429" s="4" t="s">
        <v>7</v>
      </c>
      <c r="G429" s="3">
        <v>4.2736881419000006E8</v>
      </c>
      <c r="H429" s="3"/>
      <c r="I429" s="6" t="s">
        <v>42</v>
      </c>
    </row>
    <row r="430">
      <c r="A430" s="8">
        <v>46347.0</v>
      </c>
      <c r="B430" s="2" t="s">
        <v>10</v>
      </c>
      <c r="C430" s="2" t="s">
        <v>457</v>
      </c>
      <c r="D430" s="4">
        <v>5.349421E7</v>
      </c>
      <c r="E430" s="3"/>
      <c r="F430" s="4" t="s">
        <v>3</v>
      </c>
      <c r="G430" s="3">
        <v>3.7387460419000006E8</v>
      </c>
      <c r="H430" s="3"/>
      <c r="I430" s="6" t="s">
        <v>42</v>
      </c>
    </row>
    <row r="431">
      <c r="A431" s="8">
        <v>46347.0</v>
      </c>
      <c r="B431" s="2" t="s">
        <v>10</v>
      </c>
      <c r="C431" s="2" t="s">
        <v>458</v>
      </c>
      <c r="D431" s="4">
        <v>4.513245E7</v>
      </c>
      <c r="E431" s="3"/>
      <c r="F431" s="4" t="s">
        <v>3</v>
      </c>
      <c r="G431" s="3">
        <v>3.2874215419000006E8</v>
      </c>
      <c r="H431" s="3"/>
      <c r="I431" s="6" t="s">
        <v>42</v>
      </c>
    </row>
    <row r="432">
      <c r="A432" s="8">
        <v>46347.0</v>
      </c>
      <c r="B432" s="2" t="s">
        <v>10</v>
      </c>
      <c r="C432" s="2" t="s">
        <v>459</v>
      </c>
      <c r="D432" s="4">
        <v>1.0787505E8</v>
      </c>
      <c r="E432" s="3"/>
      <c r="F432" s="4" t="s">
        <v>3</v>
      </c>
      <c r="G432" s="3">
        <v>2.2086710419000006E8</v>
      </c>
      <c r="H432" s="3"/>
      <c r="I432" s="6" t="s">
        <v>42</v>
      </c>
    </row>
    <row r="433">
      <c r="A433" s="8">
        <v>46347.0</v>
      </c>
      <c r="B433" s="2" t="s">
        <v>10</v>
      </c>
      <c r="C433" s="2" t="s">
        <v>460</v>
      </c>
      <c r="D433" s="4">
        <v>1.188657E8</v>
      </c>
      <c r="E433" s="3"/>
      <c r="F433" s="4" t="s">
        <v>3</v>
      </c>
      <c r="G433" s="3">
        <v>1.0200140419000006E8</v>
      </c>
      <c r="H433" s="3"/>
      <c r="I433" s="6" t="s">
        <v>42</v>
      </c>
    </row>
    <row r="434">
      <c r="A434" s="8">
        <v>46347.0</v>
      </c>
      <c r="B434" s="2" t="s">
        <v>10</v>
      </c>
      <c r="C434" s="2" t="s">
        <v>461</v>
      </c>
      <c r="D434" s="4">
        <v>3112000.0</v>
      </c>
      <c r="E434" s="3"/>
      <c r="F434" s="4" t="s">
        <v>3</v>
      </c>
      <c r="G434" s="3">
        <v>9.888940419000006E7</v>
      </c>
      <c r="H434" s="3"/>
      <c r="I434" s="6" t="s">
        <v>42</v>
      </c>
    </row>
    <row r="435">
      <c r="A435" s="8">
        <v>46347.0</v>
      </c>
      <c r="B435" s="2" t="s">
        <v>10</v>
      </c>
      <c r="C435" s="2" t="s">
        <v>462</v>
      </c>
      <c r="D435" s="4">
        <v>56400.0</v>
      </c>
      <c r="E435" s="3"/>
      <c r="F435" s="4" t="s">
        <v>3</v>
      </c>
      <c r="G435" s="3">
        <v>9.883300419000006E7</v>
      </c>
      <c r="H435" s="3"/>
      <c r="I435" s="6" t="s">
        <v>42</v>
      </c>
    </row>
    <row r="436">
      <c r="A436" s="8">
        <v>46347.0</v>
      </c>
      <c r="B436" s="2" t="s">
        <v>14</v>
      </c>
      <c r="C436" s="2" t="s">
        <v>463</v>
      </c>
      <c r="D436" s="4"/>
      <c r="E436" s="4">
        <v>1.085728E8</v>
      </c>
      <c r="F436" s="4" t="s">
        <v>7</v>
      </c>
      <c r="G436" s="3">
        <v>2.0740580419000006E8</v>
      </c>
      <c r="H436" s="3"/>
      <c r="I436" s="6" t="s">
        <v>42</v>
      </c>
    </row>
    <row r="437">
      <c r="A437" s="8">
        <v>46347.0</v>
      </c>
      <c r="B437" s="2" t="s">
        <v>10</v>
      </c>
      <c r="C437" s="2" t="s">
        <v>464</v>
      </c>
      <c r="D437" s="4">
        <v>252500.0</v>
      </c>
      <c r="E437" s="3"/>
      <c r="F437" s="4" t="s">
        <v>3</v>
      </c>
      <c r="G437" s="3">
        <v>2.0715330419000006E8</v>
      </c>
      <c r="H437" s="4">
        <v>2.0715330419E8</v>
      </c>
      <c r="I437" s="6" t="s">
        <v>42</v>
      </c>
    </row>
    <row r="438">
      <c r="A438" s="8">
        <v>46347.0</v>
      </c>
      <c r="B438" s="2" t="s">
        <v>14</v>
      </c>
      <c r="C438" s="2" t="s">
        <v>465</v>
      </c>
      <c r="D438" s="4"/>
      <c r="E438" s="4">
        <v>4854700.0</v>
      </c>
      <c r="F438" s="4" t="s">
        <v>7</v>
      </c>
      <c r="G438" s="3">
        <v>2.1200800419000006E8</v>
      </c>
      <c r="H438" s="4">
        <v>2.1200800419E8</v>
      </c>
      <c r="I438" s="6" t="s">
        <v>42</v>
      </c>
    </row>
    <row r="439">
      <c r="A439" s="8">
        <v>46347.0</v>
      </c>
      <c r="B439" s="2" t="s">
        <v>14</v>
      </c>
      <c r="C439" s="2" t="s">
        <v>466</v>
      </c>
      <c r="D439" s="4"/>
      <c r="E439" s="4">
        <v>1.1278905E8</v>
      </c>
      <c r="F439" s="4" t="s">
        <v>7</v>
      </c>
      <c r="G439" s="3">
        <v>3.2479705419000006E8</v>
      </c>
      <c r="H439" s="3"/>
      <c r="I439" s="6" t="s">
        <v>42</v>
      </c>
    </row>
    <row r="440">
      <c r="A440" s="8">
        <v>46347.0</v>
      </c>
      <c r="B440" s="2" t="s">
        <v>10</v>
      </c>
      <c r="C440" s="2" t="s">
        <v>467</v>
      </c>
      <c r="D440" s="4">
        <v>4.0E7</v>
      </c>
      <c r="E440" s="3"/>
      <c r="F440" s="4" t="s">
        <v>3</v>
      </c>
      <c r="G440" s="3">
        <v>2.8479705419000006E8</v>
      </c>
      <c r="H440" s="3"/>
      <c r="I440" s="6" t="s">
        <v>42</v>
      </c>
    </row>
    <row r="441">
      <c r="A441" s="8">
        <v>46347.0</v>
      </c>
      <c r="B441" s="2" t="s">
        <v>14</v>
      </c>
      <c r="C441" s="2" t="s">
        <v>468</v>
      </c>
      <c r="D441" s="4"/>
      <c r="E441" s="4">
        <v>6.4058645E7</v>
      </c>
      <c r="F441" s="4" t="s">
        <v>7</v>
      </c>
      <c r="G441" s="3">
        <v>3.4885569919000006E8</v>
      </c>
      <c r="H441" s="3"/>
      <c r="I441" s="6" t="s">
        <v>42</v>
      </c>
    </row>
    <row r="442">
      <c r="A442" s="8">
        <v>46347.0</v>
      </c>
      <c r="B442" s="2" t="s">
        <v>10</v>
      </c>
      <c r="C442" s="2" t="s">
        <v>469</v>
      </c>
      <c r="D442" s="4">
        <v>1300000.0</v>
      </c>
      <c r="E442" s="3"/>
      <c r="F442" s="4" t="s">
        <v>3</v>
      </c>
      <c r="G442" s="3">
        <v>3.4755569919000006E8</v>
      </c>
      <c r="H442" s="3"/>
      <c r="I442" s="6" t="s">
        <v>42</v>
      </c>
    </row>
    <row r="443">
      <c r="A443" s="8">
        <v>46347.0</v>
      </c>
      <c r="B443" s="2" t="s">
        <v>14</v>
      </c>
      <c r="C443" s="2" t="s">
        <v>470</v>
      </c>
      <c r="D443" s="4"/>
      <c r="E443" s="4">
        <v>1.582335E8</v>
      </c>
      <c r="F443" s="4" t="s">
        <v>7</v>
      </c>
      <c r="G443" s="3">
        <v>5.0578919919000006E8</v>
      </c>
      <c r="H443" s="3"/>
      <c r="I443" s="6" t="s">
        <v>42</v>
      </c>
    </row>
    <row r="444">
      <c r="A444" s="8">
        <v>46347.0</v>
      </c>
      <c r="B444" s="2" t="s">
        <v>10</v>
      </c>
      <c r="C444" s="2" t="s">
        <v>471</v>
      </c>
      <c r="D444" s="4">
        <v>1.053082E7</v>
      </c>
      <c r="E444" s="3"/>
      <c r="F444" s="4" t="s">
        <v>3</v>
      </c>
      <c r="G444" s="3">
        <v>4.9525837919000006E8</v>
      </c>
      <c r="H444" s="3"/>
      <c r="I444" s="6" t="s">
        <v>42</v>
      </c>
    </row>
    <row r="445">
      <c r="A445" s="8">
        <v>46347.0</v>
      </c>
      <c r="B445" s="2" t="s">
        <v>10</v>
      </c>
      <c r="C445" s="2" t="s">
        <v>472</v>
      </c>
      <c r="D445" s="4">
        <v>1428000.0</v>
      </c>
      <c r="E445" s="3"/>
      <c r="F445" s="4" t="s">
        <v>3</v>
      </c>
      <c r="G445" s="3">
        <v>4.9383037919000006E8</v>
      </c>
      <c r="H445" s="3"/>
      <c r="I445" s="6" t="s">
        <v>42</v>
      </c>
    </row>
    <row r="446">
      <c r="A446" s="8">
        <v>46347.0</v>
      </c>
      <c r="B446" s="2" t="s">
        <v>10</v>
      </c>
      <c r="C446" s="2" t="s">
        <v>473</v>
      </c>
      <c r="D446" s="4">
        <v>1.162328E7</v>
      </c>
      <c r="E446" s="3"/>
      <c r="F446" s="4" t="s">
        <v>3</v>
      </c>
      <c r="G446" s="3">
        <v>4.8220709919000006E8</v>
      </c>
      <c r="H446" s="3"/>
      <c r="I446" s="6" t="s">
        <v>42</v>
      </c>
    </row>
    <row r="447">
      <c r="A447" s="8">
        <v>46347.0</v>
      </c>
      <c r="B447" s="2" t="s">
        <v>14</v>
      </c>
      <c r="C447" s="2" t="s">
        <v>474</v>
      </c>
      <c r="D447" s="4"/>
      <c r="E447" s="4">
        <v>1.3115E8</v>
      </c>
      <c r="F447" s="4" t="s">
        <v>7</v>
      </c>
      <c r="G447" s="3">
        <v>6.1335709919E8</v>
      </c>
      <c r="H447" s="3"/>
      <c r="I447" s="6" t="s">
        <v>42</v>
      </c>
    </row>
    <row r="448">
      <c r="A448" s="8">
        <v>46347.0</v>
      </c>
      <c r="B448" s="2" t="s">
        <v>10</v>
      </c>
      <c r="C448" s="2" t="s">
        <v>475</v>
      </c>
      <c r="D448" s="4">
        <v>9.509886E7</v>
      </c>
      <c r="E448" s="3"/>
      <c r="F448" s="4" t="s">
        <v>3</v>
      </c>
      <c r="G448" s="3">
        <v>5.1825823919000006E8</v>
      </c>
      <c r="H448" s="3"/>
      <c r="I448" s="6" t="s">
        <v>42</v>
      </c>
    </row>
    <row r="449">
      <c r="A449" s="8">
        <v>46347.0</v>
      </c>
      <c r="B449" s="2" t="s">
        <v>10</v>
      </c>
      <c r="C449" s="2" t="s">
        <v>476</v>
      </c>
      <c r="D449" s="4">
        <v>1.508624E8</v>
      </c>
      <c r="E449" s="3"/>
      <c r="F449" s="4" t="s">
        <v>3</v>
      </c>
      <c r="G449" s="3">
        <v>3.6739583919000006E8</v>
      </c>
      <c r="H449" s="3"/>
      <c r="I449" s="6" t="s">
        <v>42</v>
      </c>
    </row>
    <row r="450">
      <c r="A450" s="8">
        <v>46347.0</v>
      </c>
      <c r="B450" s="2" t="s">
        <v>10</v>
      </c>
      <c r="C450" s="2" t="s">
        <v>477</v>
      </c>
      <c r="D450" s="4">
        <v>1.22145E8</v>
      </c>
      <c r="E450" s="3"/>
      <c r="F450" s="4" t="s">
        <v>3</v>
      </c>
      <c r="G450" s="3">
        <v>2.4525083919000006E8</v>
      </c>
      <c r="H450" s="3"/>
      <c r="I450" s="6" t="s">
        <v>42</v>
      </c>
    </row>
    <row r="451">
      <c r="A451" s="8">
        <v>46347.0</v>
      </c>
      <c r="B451" s="2" t="s">
        <v>10</v>
      </c>
      <c r="C451" s="2" t="s">
        <v>478</v>
      </c>
      <c r="D451" s="4">
        <v>4.35727E7</v>
      </c>
      <c r="E451" s="3"/>
      <c r="F451" s="4" t="s">
        <v>3</v>
      </c>
      <c r="G451" s="3">
        <v>2.0167813919000006E8</v>
      </c>
      <c r="H451" s="4">
        <v>2.0167813919E8</v>
      </c>
      <c r="I451" s="6" t="s">
        <v>42</v>
      </c>
    </row>
    <row r="452">
      <c r="A452" s="8">
        <v>46347.0</v>
      </c>
      <c r="B452" s="2" t="s">
        <v>10</v>
      </c>
      <c r="C452" s="2" t="s">
        <v>479</v>
      </c>
      <c r="D452" s="4">
        <v>8.519374E7</v>
      </c>
      <c r="E452" s="3"/>
      <c r="F452" s="4" t="s">
        <v>3</v>
      </c>
      <c r="G452" s="3">
        <v>1.1648439919000006E8</v>
      </c>
      <c r="H452" s="4">
        <v>1.1648439919E8</v>
      </c>
      <c r="I452" s="6" t="s">
        <v>42</v>
      </c>
    </row>
    <row r="453">
      <c r="A453" s="8">
        <v>46347.0</v>
      </c>
      <c r="B453" s="2" t="s">
        <v>10</v>
      </c>
      <c r="C453" s="2" t="s">
        <v>480</v>
      </c>
      <c r="D453" s="4">
        <v>4.88563E7</v>
      </c>
      <c r="E453" s="3"/>
      <c r="F453" s="4" t="s">
        <v>3</v>
      </c>
      <c r="G453" s="3">
        <v>6.762809919000006E7</v>
      </c>
      <c r="H453" s="3"/>
      <c r="I453" s="6" t="s">
        <v>42</v>
      </c>
    </row>
    <row r="454">
      <c r="A454" s="8">
        <v>46347.0</v>
      </c>
      <c r="B454" s="2" t="s">
        <v>10</v>
      </c>
      <c r="C454" s="2" t="s">
        <v>481</v>
      </c>
      <c r="D454" s="4">
        <v>5500000.0</v>
      </c>
      <c r="E454" s="3"/>
      <c r="F454" s="4" t="s">
        <v>3</v>
      </c>
      <c r="G454" s="3">
        <v>6.212809919000006E7</v>
      </c>
      <c r="H454" s="3"/>
      <c r="I454" s="6" t="s">
        <v>42</v>
      </c>
    </row>
    <row r="455">
      <c r="A455" s="8">
        <v>46347.0</v>
      </c>
      <c r="B455" s="2" t="s">
        <v>10</v>
      </c>
      <c r="C455" s="2" t="s">
        <v>482</v>
      </c>
      <c r="D455" s="4">
        <v>5419620.0</v>
      </c>
      <c r="E455" s="3"/>
      <c r="F455" s="4" t="s">
        <v>3</v>
      </c>
      <c r="G455" s="3">
        <v>5.670847919000006E7</v>
      </c>
      <c r="H455" s="3"/>
      <c r="I455" s="6" t="s">
        <v>42</v>
      </c>
    </row>
    <row r="456">
      <c r="A456" s="8">
        <v>46347.0</v>
      </c>
      <c r="B456" s="2" t="s">
        <v>10</v>
      </c>
      <c r="C456" s="2" t="s">
        <v>483</v>
      </c>
      <c r="D456" s="4">
        <v>9052820.0</v>
      </c>
      <c r="E456" s="3"/>
      <c r="F456" s="4" t="s">
        <v>3</v>
      </c>
      <c r="G456" s="3">
        <v>4.765565919000006E7</v>
      </c>
      <c r="H456" s="3"/>
      <c r="I456" s="6" t="s">
        <v>42</v>
      </c>
    </row>
    <row r="457">
      <c r="A457" s="8">
        <v>46347.0</v>
      </c>
      <c r="B457" s="2" t="s">
        <v>10</v>
      </c>
      <c r="C457" s="2" t="s">
        <v>484</v>
      </c>
      <c r="D457" s="4">
        <v>800000.0</v>
      </c>
      <c r="E457" s="3"/>
      <c r="F457" s="4" t="s">
        <v>3</v>
      </c>
      <c r="G457" s="3">
        <v>4.685565919000006E7</v>
      </c>
      <c r="H457" s="4">
        <v>4.685565919E7</v>
      </c>
      <c r="I457" s="6" t="s">
        <v>42</v>
      </c>
    </row>
    <row r="458">
      <c r="A458" s="8">
        <v>46348.0</v>
      </c>
      <c r="B458" s="2" t="s">
        <v>485</v>
      </c>
      <c r="C458" s="2" t="s">
        <v>486</v>
      </c>
      <c r="D458" s="4"/>
      <c r="E458" s="4">
        <v>5.0E7</v>
      </c>
      <c r="F458" s="4" t="s">
        <v>7</v>
      </c>
      <c r="G458" s="3">
        <v>9.685565919000006E7</v>
      </c>
      <c r="H458" s="3"/>
      <c r="I458" s="6" t="s">
        <v>42</v>
      </c>
    </row>
    <row r="459">
      <c r="A459" s="8">
        <v>46348.0</v>
      </c>
      <c r="B459" s="2" t="s">
        <v>10</v>
      </c>
      <c r="C459" s="2" t="s">
        <v>487</v>
      </c>
      <c r="D459" s="4">
        <v>4.728E7</v>
      </c>
      <c r="E459" s="3"/>
      <c r="F459" s="4" t="s">
        <v>3</v>
      </c>
      <c r="G459" s="3">
        <v>4.957565919000006E7</v>
      </c>
      <c r="H459" s="3"/>
      <c r="I459" s="6" t="s">
        <v>42</v>
      </c>
    </row>
    <row r="460">
      <c r="A460" s="8">
        <v>46348.0</v>
      </c>
      <c r="B460" s="2" t="s">
        <v>10</v>
      </c>
      <c r="C460" s="2" t="s">
        <v>488</v>
      </c>
      <c r="D460" s="4">
        <v>1600000.0</v>
      </c>
      <c r="E460" s="3"/>
      <c r="F460" s="4" t="s">
        <v>3</v>
      </c>
      <c r="G460" s="3">
        <v>4.797565919000006E7</v>
      </c>
      <c r="H460" s="3"/>
      <c r="I460" s="6" t="s">
        <v>42</v>
      </c>
    </row>
    <row r="461">
      <c r="A461" s="8">
        <v>46348.0</v>
      </c>
      <c r="B461" s="2" t="s">
        <v>14</v>
      </c>
      <c r="C461" s="2" t="s">
        <v>489</v>
      </c>
      <c r="D461" s="4"/>
      <c r="E461" s="4">
        <v>1.1432925E8</v>
      </c>
      <c r="F461" s="4" t="s">
        <v>7</v>
      </c>
      <c r="G461" s="3">
        <v>1.6230490919000006E8</v>
      </c>
      <c r="H461" s="3"/>
      <c r="I461" s="6" t="s">
        <v>42</v>
      </c>
    </row>
    <row r="462">
      <c r="A462" s="8">
        <v>46348.0</v>
      </c>
      <c r="B462" s="2" t="s">
        <v>10</v>
      </c>
      <c r="C462" s="2" t="s">
        <v>490</v>
      </c>
      <c r="D462" s="4">
        <v>5.0E7</v>
      </c>
      <c r="E462" s="3"/>
      <c r="F462" s="4" t="s">
        <v>3</v>
      </c>
      <c r="G462" s="3">
        <v>1.1230490919000006E8</v>
      </c>
      <c r="H462" s="3"/>
      <c r="I462" s="6" t="s">
        <v>42</v>
      </c>
    </row>
    <row r="463">
      <c r="A463" s="8">
        <v>46348.0</v>
      </c>
      <c r="B463" s="2" t="s">
        <v>10</v>
      </c>
      <c r="C463" s="2" t="s">
        <v>491</v>
      </c>
      <c r="D463" s="4">
        <v>9.849438E7</v>
      </c>
      <c r="E463" s="3"/>
      <c r="F463" s="4" t="s">
        <v>3</v>
      </c>
      <c r="G463" s="3">
        <v>1.3810529190000057E7</v>
      </c>
      <c r="H463" s="3"/>
      <c r="I463" s="6" t="s">
        <v>42</v>
      </c>
    </row>
    <row r="464">
      <c r="A464" s="8">
        <v>46348.0</v>
      </c>
      <c r="B464" s="2" t="s">
        <v>10</v>
      </c>
      <c r="C464" s="2" t="s">
        <v>492</v>
      </c>
      <c r="D464" s="4">
        <v>4762000.0</v>
      </c>
      <c r="E464" s="3"/>
      <c r="F464" s="4" t="s">
        <v>3</v>
      </c>
      <c r="G464" s="3">
        <v>9048529.190000057</v>
      </c>
      <c r="H464" s="4">
        <v>9048529.19</v>
      </c>
      <c r="I464" s="6" t="s">
        <v>42</v>
      </c>
    </row>
    <row r="465">
      <c r="A465" s="8">
        <v>46348.0</v>
      </c>
      <c r="B465" s="2" t="s">
        <v>14</v>
      </c>
      <c r="C465" s="2" t="s">
        <v>493</v>
      </c>
      <c r="D465" s="4"/>
      <c r="E465" s="4">
        <v>1.172313E8</v>
      </c>
      <c r="F465" s="4" t="s">
        <v>7</v>
      </c>
      <c r="G465" s="3">
        <v>1.2627982919000006E8</v>
      </c>
      <c r="H465" s="4">
        <v>1.2627982919E8</v>
      </c>
      <c r="I465" s="6" t="s">
        <v>42</v>
      </c>
    </row>
    <row r="466">
      <c r="A466" s="8">
        <v>46348.0</v>
      </c>
      <c r="B466" s="2" t="s">
        <v>14</v>
      </c>
      <c r="C466" s="2" t="s">
        <v>494</v>
      </c>
      <c r="D466" s="4"/>
      <c r="E466" s="4">
        <v>5.535712E7</v>
      </c>
      <c r="F466" s="4" t="s">
        <v>7</v>
      </c>
      <c r="G466" s="3">
        <v>1.8163694919000006E8</v>
      </c>
      <c r="H466" s="3"/>
      <c r="I466" s="6" t="s">
        <v>42</v>
      </c>
    </row>
    <row r="467">
      <c r="A467" s="8">
        <v>46348.0</v>
      </c>
      <c r="B467" s="2" t="s">
        <v>435</v>
      </c>
      <c r="C467" s="2" t="s">
        <v>495</v>
      </c>
      <c r="D467" s="4">
        <v>175000.0</v>
      </c>
      <c r="E467" s="3"/>
      <c r="F467" s="4" t="s">
        <v>3</v>
      </c>
      <c r="G467" s="3">
        <v>1.8146194919000006E8</v>
      </c>
      <c r="H467" s="3"/>
      <c r="I467" s="6" t="s">
        <v>42</v>
      </c>
    </row>
    <row r="468">
      <c r="A468" s="8">
        <v>46348.0</v>
      </c>
      <c r="B468" s="2" t="s">
        <v>435</v>
      </c>
      <c r="C468" s="2" t="s">
        <v>496</v>
      </c>
      <c r="D468" s="4">
        <v>6500.0</v>
      </c>
      <c r="E468" s="3"/>
      <c r="F468" s="4" t="s">
        <v>3</v>
      </c>
      <c r="G468" s="3">
        <v>1.8145544919000006E8</v>
      </c>
      <c r="H468" s="3"/>
      <c r="I468" s="6" t="s">
        <v>42</v>
      </c>
    </row>
    <row r="469">
      <c r="A469" s="8">
        <v>46348.0</v>
      </c>
      <c r="B469" s="2" t="s">
        <v>14</v>
      </c>
      <c r="C469" s="2" t="s">
        <v>497</v>
      </c>
      <c r="D469" s="4"/>
      <c r="E469" s="4">
        <v>1.2388E8</v>
      </c>
      <c r="F469" s="4" t="s">
        <v>7</v>
      </c>
      <c r="G469" s="3">
        <v>3.0533544919000006E8</v>
      </c>
      <c r="H469" s="3"/>
      <c r="I469" s="6" t="s">
        <v>42</v>
      </c>
    </row>
    <row r="470">
      <c r="A470" s="8">
        <v>46348.0</v>
      </c>
      <c r="B470" s="2" t="s">
        <v>10</v>
      </c>
      <c r="C470" s="2" t="s">
        <v>498</v>
      </c>
      <c r="D470" s="4">
        <v>350000.0</v>
      </c>
      <c r="E470" s="3"/>
      <c r="F470" s="4" t="s">
        <v>3</v>
      </c>
      <c r="G470" s="3">
        <v>3.0498544919000006E8</v>
      </c>
      <c r="H470" s="3"/>
      <c r="I470" s="6" t="s">
        <v>42</v>
      </c>
    </row>
    <row r="471">
      <c r="A471" s="8">
        <v>46348.0</v>
      </c>
      <c r="B471" s="2" t="s">
        <v>10</v>
      </c>
      <c r="C471" s="2" t="s">
        <v>499</v>
      </c>
      <c r="D471" s="4">
        <v>5981900.0</v>
      </c>
      <c r="E471" s="3"/>
      <c r="F471" s="4" t="s">
        <v>3</v>
      </c>
      <c r="G471" s="3">
        <v>2.9900354919000006E8</v>
      </c>
      <c r="H471" s="3"/>
      <c r="I471" s="6" t="s">
        <v>42</v>
      </c>
    </row>
    <row r="472">
      <c r="A472" s="8">
        <v>46348.0</v>
      </c>
      <c r="B472" s="2" t="s">
        <v>14</v>
      </c>
      <c r="C472" s="2" t="s">
        <v>500</v>
      </c>
      <c r="D472" s="4"/>
      <c r="E472" s="4">
        <v>4.7440668E8</v>
      </c>
      <c r="F472" s="4" t="s">
        <v>7</v>
      </c>
      <c r="G472" s="3">
        <v>7.7341022919E8</v>
      </c>
      <c r="H472" s="3"/>
      <c r="I472" s="6" t="s">
        <v>42</v>
      </c>
    </row>
    <row r="473">
      <c r="A473" s="8">
        <v>46348.0</v>
      </c>
      <c r="B473" s="2" t="s">
        <v>10</v>
      </c>
      <c r="C473" s="2" t="s">
        <v>501</v>
      </c>
      <c r="D473" s="4">
        <v>1.0E7</v>
      </c>
      <c r="E473" s="3"/>
      <c r="F473" s="4" t="s">
        <v>3</v>
      </c>
      <c r="G473" s="3">
        <v>7.6341022919E8</v>
      </c>
      <c r="H473" s="4">
        <v>7.6341022919E8</v>
      </c>
      <c r="I473" s="6" t="s">
        <v>42</v>
      </c>
    </row>
    <row r="474">
      <c r="A474" s="8">
        <v>46349.0</v>
      </c>
      <c r="B474" s="2" t="s">
        <v>502</v>
      </c>
      <c r="C474" s="2" t="s">
        <v>503</v>
      </c>
      <c r="D474" s="4">
        <v>1.9976045E8</v>
      </c>
      <c r="E474" s="3"/>
      <c r="F474" s="4" t="s">
        <v>3</v>
      </c>
      <c r="G474" s="3">
        <v>5.6364977919E8</v>
      </c>
      <c r="H474" s="3"/>
      <c r="I474" s="6" t="s">
        <v>42</v>
      </c>
    </row>
    <row r="475">
      <c r="A475" s="8">
        <v>46349.0</v>
      </c>
      <c r="B475" s="2" t="s">
        <v>502</v>
      </c>
      <c r="C475" s="2" t="s">
        <v>504</v>
      </c>
      <c r="D475" s="4">
        <v>6.625E7</v>
      </c>
      <c r="E475" s="3"/>
      <c r="F475" s="4" t="s">
        <v>3</v>
      </c>
      <c r="G475" s="3">
        <v>4.9739977919000006E8</v>
      </c>
      <c r="H475" s="3"/>
      <c r="I475" s="6" t="s">
        <v>42</v>
      </c>
    </row>
    <row r="476">
      <c r="A476" s="8">
        <v>46349.0</v>
      </c>
      <c r="B476" s="2" t="s">
        <v>502</v>
      </c>
      <c r="C476" s="2" t="s">
        <v>505</v>
      </c>
      <c r="D476" s="4">
        <v>1.978041E8</v>
      </c>
      <c r="E476" s="3"/>
      <c r="F476" s="4" t="s">
        <v>3</v>
      </c>
      <c r="G476" s="3">
        <v>2.9959567919000006E8</v>
      </c>
      <c r="H476" s="3"/>
      <c r="I476" s="6" t="s">
        <v>42</v>
      </c>
    </row>
    <row r="477">
      <c r="A477" s="8">
        <v>46349.0</v>
      </c>
      <c r="B477" s="2" t="s">
        <v>502</v>
      </c>
      <c r="C477" s="2" t="s">
        <v>506</v>
      </c>
      <c r="D477" s="4">
        <v>4.697055E7</v>
      </c>
      <c r="E477" s="3"/>
      <c r="F477" s="4" t="s">
        <v>3</v>
      </c>
      <c r="G477" s="3">
        <v>2.5262512919000006E8</v>
      </c>
      <c r="H477" s="3"/>
      <c r="I477" s="6" t="s">
        <v>42</v>
      </c>
    </row>
    <row r="478">
      <c r="A478" s="8">
        <v>46349.0</v>
      </c>
      <c r="B478" s="2" t="s">
        <v>502</v>
      </c>
      <c r="C478" s="2" t="s">
        <v>507</v>
      </c>
      <c r="D478" s="4">
        <v>4.891985E7</v>
      </c>
      <c r="E478" s="3"/>
      <c r="F478" s="4" t="s">
        <v>3</v>
      </c>
      <c r="G478" s="3">
        <v>2.0370527919000006E8</v>
      </c>
      <c r="H478" s="4">
        <v>2.0370527919E8</v>
      </c>
      <c r="I478" s="6" t="s">
        <v>42</v>
      </c>
    </row>
    <row r="479">
      <c r="A479" s="8">
        <v>46349.0</v>
      </c>
      <c r="B479" s="2" t="s">
        <v>502</v>
      </c>
      <c r="C479" s="2" t="s">
        <v>508</v>
      </c>
      <c r="D479" s="4">
        <v>2.335104E7</v>
      </c>
      <c r="E479" s="3"/>
      <c r="F479" s="4" t="s">
        <v>3</v>
      </c>
      <c r="G479" s="3">
        <v>1.8035423919000006E8</v>
      </c>
      <c r="H479" s="4">
        <v>1.8035423919E8</v>
      </c>
      <c r="I479" s="6" t="s">
        <v>42</v>
      </c>
    </row>
    <row r="480">
      <c r="A480" s="8">
        <v>46349.0</v>
      </c>
      <c r="B480" s="2" t="s">
        <v>502</v>
      </c>
      <c r="C480" s="2" t="s">
        <v>509</v>
      </c>
      <c r="D480" s="4">
        <v>3512490.0</v>
      </c>
      <c r="E480" s="3"/>
      <c r="F480" s="4" t="s">
        <v>3</v>
      </c>
      <c r="G480" s="3">
        <v>1.7684174919000006E8</v>
      </c>
      <c r="H480" s="3"/>
      <c r="I480" s="6" t="s">
        <v>42</v>
      </c>
    </row>
    <row r="481">
      <c r="A481" s="8">
        <v>46349.0</v>
      </c>
      <c r="B481" s="2" t="s">
        <v>14</v>
      </c>
      <c r="C481" s="2" t="s">
        <v>510</v>
      </c>
      <c r="D481" s="4"/>
      <c r="E481" s="4">
        <v>7.4E7</v>
      </c>
      <c r="F481" s="4" t="s">
        <v>7</v>
      </c>
      <c r="G481" s="3">
        <v>2.5084174919000006E8</v>
      </c>
      <c r="H481" s="3"/>
      <c r="I481" s="6" t="s">
        <v>42</v>
      </c>
    </row>
    <row r="482">
      <c r="A482" s="8">
        <v>46349.0</v>
      </c>
      <c r="B482" s="2" t="s">
        <v>10</v>
      </c>
      <c r="C482" s="2" t="s">
        <v>511</v>
      </c>
      <c r="D482" s="4">
        <v>4.63104E7</v>
      </c>
      <c r="E482" s="3"/>
      <c r="F482" s="4" t="s">
        <v>3</v>
      </c>
      <c r="G482" s="3">
        <v>2.0453134919000006E8</v>
      </c>
      <c r="H482" s="3"/>
      <c r="I482" s="6" t="s">
        <v>42</v>
      </c>
    </row>
    <row r="483">
      <c r="A483" s="8">
        <v>46349.0</v>
      </c>
      <c r="B483" s="2" t="s">
        <v>10</v>
      </c>
      <c r="C483" s="2" t="s">
        <v>512</v>
      </c>
      <c r="D483" s="4">
        <v>5.763003E7</v>
      </c>
      <c r="E483" s="3"/>
      <c r="F483" s="4" t="s">
        <v>3</v>
      </c>
      <c r="G483" s="3">
        <v>1.4690131919000006E8</v>
      </c>
      <c r="H483" s="3"/>
      <c r="I483" s="6" t="s">
        <v>42</v>
      </c>
    </row>
    <row r="484">
      <c r="A484" s="8">
        <v>46349.0</v>
      </c>
      <c r="B484" s="2" t="s">
        <v>10</v>
      </c>
      <c r="C484" s="2" t="s">
        <v>513</v>
      </c>
      <c r="D484" s="4">
        <v>1.0524173E8</v>
      </c>
      <c r="E484" s="3"/>
      <c r="F484" s="4" t="s">
        <v>3</v>
      </c>
      <c r="G484" s="3">
        <v>4.165958919000006E7</v>
      </c>
      <c r="H484" s="3"/>
      <c r="I484" s="6" t="s">
        <v>42</v>
      </c>
    </row>
    <row r="485">
      <c r="A485" s="8">
        <v>46349.0</v>
      </c>
      <c r="B485" s="2" t="s">
        <v>10</v>
      </c>
      <c r="C485" s="2" t="s">
        <v>514</v>
      </c>
      <c r="D485" s="4">
        <v>3.44301E7</v>
      </c>
      <c r="E485" s="3"/>
      <c r="F485" s="4" t="s">
        <v>3</v>
      </c>
      <c r="G485" s="3">
        <v>7229489.190000057</v>
      </c>
      <c r="H485" s="3"/>
      <c r="I485" s="6" t="s">
        <v>42</v>
      </c>
    </row>
    <row r="486">
      <c r="A486" s="8">
        <v>46349.0</v>
      </c>
      <c r="B486" s="2" t="s">
        <v>10</v>
      </c>
      <c r="C486" s="2" t="s">
        <v>515</v>
      </c>
      <c r="D486" s="4">
        <v>3715160.0</v>
      </c>
      <c r="E486" s="3"/>
      <c r="F486" s="4" t="s">
        <v>3</v>
      </c>
      <c r="G486" s="3">
        <v>3514329.190000057</v>
      </c>
      <c r="H486" s="3"/>
      <c r="I486" s="6" t="s">
        <v>42</v>
      </c>
    </row>
    <row r="487">
      <c r="A487" s="8">
        <v>46349.0</v>
      </c>
      <c r="B487" s="2" t="s">
        <v>10</v>
      </c>
      <c r="C487" s="2" t="s">
        <v>516</v>
      </c>
      <c r="D487" s="4">
        <v>413140.0</v>
      </c>
      <c r="E487" s="3"/>
      <c r="F487" s="4" t="s">
        <v>3</v>
      </c>
      <c r="G487" s="3">
        <v>3101189.190000057</v>
      </c>
      <c r="H487" s="3"/>
      <c r="I487" s="6" t="s">
        <v>42</v>
      </c>
    </row>
    <row r="488">
      <c r="A488" s="8">
        <v>46349.0</v>
      </c>
      <c r="B488" s="2" t="s">
        <v>10</v>
      </c>
      <c r="C488" s="2" t="s">
        <v>517</v>
      </c>
      <c r="D488" s="4">
        <v>1000000.0</v>
      </c>
      <c r="E488" s="3"/>
      <c r="F488" s="4" t="s">
        <v>3</v>
      </c>
      <c r="G488" s="3">
        <v>2101189.190000057</v>
      </c>
      <c r="H488" s="3"/>
      <c r="I488" s="6" t="s">
        <v>42</v>
      </c>
    </row>
    <row r="489">
      <c r="A489" s="8">
        <v>46349.0</v>
      </c>
      <c r="B489" s="2" t="s">
        <v>14</v>
      </c>
      <c r="C489" s="2" t="s">
        <v>518</v>
      </c>
      <c r="D489" s="4"/>
      <c r="E489" s="4">
        <v>5.89568E7</v>
      </c>
      <c r="F489" s="4" t="s">
        <v>7</v>
      </c>
      <c r="G489" s="3">
        <v>6.105798919000006E7</v>
      </c>
      <c r="H489" s="3"/>
      <c r="I489" s="6" t="s">
        <v>42</v>
      </c>
    </row>
    <row r="490">
      <c r="A490" s="8">
        <v>46349.0</v>
      </c>
      <c r="B490" s="2" t="s">
        <v>14</v>
      </c>
      <c r="C490" s="2" t="s">
        <v>519</v>
      </c>
      <c r="D490" s="4"/>
      <c r="E490" s="4">
        <v>7.90498E7</v>
      </c>
      <c r="F490" s="4" t="s">
        <v>7</v>
      </c>
      <c r="G490" s="3">
        <v>1.4010778919000006E8</v>
      </c>
      <c r="H490" s="3"/>
      <c r="I490" s="6" t="s">
        <v>42</v>
      </c>
    </row>
    <row r="491">
      <c r="A491" s="8">
        <v>46349.0</v>
      </c>
      <c r="B491" s="2" t="s">
        <v>27</v>
      </c>
      <c r="C491" s="2" t="s">
        <v>520</v>
      </c>
      <c r="D491" s="4">
        <v>120000.0</v>
      </c>
      <c r="E491" s="3"/>
      <c r="F491" s="3"/>
      <c r="G491" s="3">
        <v>1.3998778919000006E8</v>
      </c>
      <c r="H491" s="4">
        <v>1.3998778919E8</v>
      </c>
      <c r="I491" s="6" t="s">
        <v>42</v>
      </c>
    </row>
    <row r="492">
      <c r="A492" s="8">
        <v>46349.0</v>
      </c>
      <c r="B492" s="2" t="s">
        <v>521</v>
      </c>
      <c r="C492" s="2" t="s">
        <v>521</v>
      </c>
      <c r="D492" s="4">
        <v>500000.0</v>
      </c>
      <c r="E492" s="3"/>
      <c r="F492" s="3"/>
      <c r="G492" s="3">
        <v>1.3948778919000006E8</v>
      </c>
      <c r="H492" s="4">
        <v>1.3948778919E8</v>
      </c>
      <c r="I492" s="6" t="s">
        <v>42</v>
      </c>
    </row>
    <row r="493">
      <c r="A493" s="8">
        <v>46349.0</v>
      </c>
      <c r="B493" s="2" t="s">
        <v>14</v>
      </c>
      <c r="C493" s="2" t="s">
        <v>522</v>
      </c>
      <c r="D493" s="4"/>
      <c r="E493" s="4">
        <v>5.692992E7</v>
      </c>
      <c r="F493" s="4" t="s">
        <v>7</v>
      </c>
      <c r="G493" s="3">
        <v>1.9641770919000006E8</v>
      </c>
      <c r="H493" s="3"/>
      <c r="I493" s="6" t="s">
        <v>42</v>
      </c>
    </row>
    <row r="494">
      <c r="A494" s="8">
        <v>46349.0</v>
      </c>
      <c r="B494" s="2" t="s">
        <v>14</v>
      </c>
      <c r="C494" s="2" t="s">
        <v>523</v>
      </c>
      <c r="D494" s="4"/>
      <c r="E494" s="4">
        <v>1.1622912E8</v>
      </c>
      <c r="F494" s="4" t="s">
        <v>7</v>
      </c>
      <c r="G494" s="3">
        <v>3.1264682919000006E8</v>
      </c>
      <c r="H494" s="3"/>
      <c r="I494" s="6" t="s">
        <v>42</v>
      </c>
    </row>
    <row r="495">
      <c r="A495" s="8">
        <v>46349.0</v>
      </c>
      <c r="B495" s="2" t="s">
        <v>14</v>
      </c>
      <c r="C495" s="2" t="s">
        <v>524</v>
      </c>
      <c r="D495" s="4"/>
      <c r="E495" s="4">
        <v>1.4193E7</v>
      </c>
      <c r="F495" s="4" t="s">
        <v>7</v>
      </c>
      <c r="G495" s="3">
        <v>3.2683982919000006E8</v>
      </c>
      <c r="H495" s="3"/>
      <c r="I495" s="6" t="s">
        <v>42</v>
      </c>
    </row>
    <row r="496">
      <c r="A496" s="8">
        <v>46349.0</v>
      </c>
      <c r="B496" s="2" t="s">
        <v>10</v>
      </c>
      <c r="C496" s="2" t="s">
        <v>525</v>
      </c>
      <c r="D496" s="4">
        <v>2.169793E7</v>
      </c>
      <c r="E496" s="3"/>
      <c r="F496" s="4" t="s">
        <v>3</v>
      </c>
      <c r="G496" s="3">
        <v>3.0514189919000006E8</v>
      </c>
      <c r="H496" s="3"/>
      <c r="I496" s="6" t="s">
        <v>42</v>
      </c>
    </row>
    <row r="497">
      <c r="A497" s="8">
        <v>46349.0</v>
      </c>
      <c r="B497" s="2" t="s">
        <v>10</v>
      </c>
      <c r="C497" s="2" t="s">
        <v>526</v>
      </c>
      <c r="D497" s="4">
        <v>1769410.0</v>
      </c>
      <c r="E497" s="3"/>
      <c r="F497" s="4" t="s">
        <v>3</v>
      </c>
      <c r="G497" s="3">
        <v>3.0337248919000006E8</v>
      </c>
      <c r="H497" s="3"/>
      <c r="I497" s="6" t="s">
        <v>42</v>
      </c>
    </row>
    <row r="498">
      <c r="A498" s="8">
        <v>46349.0</v>
      </c>
      <c r="B498" s="2" t="s">
        <v>10</v>
      </c>
      <c r="C498" s="2" t="s">
        <v>527</v>
      </c>
      <c r="D498" s="4">
        <v>3200000.0</v>
      </c>
      <c r="E498" s="3"/>
      <c r="F498" s="4" t="s">
        <v>3</v>
      </c>
      <c r="G498" s="3">
        <v>3.0017248919000006E8</v>
      </c>
      <c r="H498" s="3"/>
      <c r="I498" s="6" t="s">
        <v>42</v>
      </c>
    </row>
    <row r="499">
      <c r="A499" s="8">
        <v>46349.0</v>
      </c>
      <c r="B499" s="2" t="s">
        <v>10</v>
      </c>
      <c r="C499" s="2" t="s">
        <v>528</v>
      </c>
      <c r="D499" s="4">
        <v>1.3E7</v>
      </c>
      <c r="E499" s="3"/>
      <c r="F499" s="4" t="s">
        <v>3</v>
      </c>
      <c r="G499" s="3">
        <v>2.8717248919000006E8</v>
      </c>
      <c r="H499" s="3"/>
      <c r="I499" s="6" t="s">
        <v>42</v>
      </c>
    </row>
    <row r="500">
      <c r="A500" s="8">
        <v>46349.0</v>
      </c>
      <c r="B500" s="2" t="s">
        <v>10</v>
      </c>
      <c r="C500" s="2" t="s">
        <v>529</v>
      </c>
      <c r="D500" s="4">
        <v>9.370556E7</v>
      </c>
      <c r="E500" s="3"/>
      <c r="F500" s="4" t="s">
        <v>3</v>
      </c>
      <c r="G500" s="3">
        <v>1.9346692919000006E8</v>
      </c>
      <c r="H500" s="3"/>
      <c r="I500" s="6" t="s">
        <v>42</v>
      </c>
    </row>
    <row r="501">
      <c r="A501" s="8">
        <v>46349.0</v>
      </c>
      <c r="B501" s="2" t="s">
        <v>10</v>
      </c>
      <c r="C501" s="2" t="s">
        <v>530</v>
      </c>
      <c r="D501" s="4">
        <v>5.436625E7</v>
      </c>
      <c r="E501" s="3"/>
      <c r="F501" s="4" t="s">
        <v>3</v>
      </c>
      <c r="G501" s="3">
        <v>1.3910067919000006E8</v>
      </c>
      <c r="H501" s="3"/>
      <c r="I501" s="6" t="s">
        <v>42</v>
      </c>
    </row>
    <row r="502">
      <c r="A502" s="8">
        <v>46349.0</v>
      </c>
      <c r="B502" s="2" t="s">
        <v>10</v>
      </c>
      <c r="C502" s="2" t="s">
        <v>531</v>
      </c>
      <c r="D502" s="4">
        <v>4.8704E7</v>
      </c>
      <c r="E502" s="3"/>
      <c r="F502" s="4" t="s">
        <v>3</v>
      </c>
      <c r="G502" s="3">
        <v>9.039667919000006E7</v>
      </c>
      <c r="H502" s="4">
        <v>9.039667919E7</v>
      </c>
      <c r="I502" s="6" t="s">
        <v>42</v>
      </c>
    </row>
    <row r="503">
      <c r="A503" s="8">
        <v>46350.0</v>
      </c>
      <c r="B503" s="2" t="s">
        <v>532</v>
      </c>
      <c r="C503" s="2" t="s">
        <v>533</v>
      </c>
      <c r="D503" s="4"/>
      <c r="E503" s="4">
        <v>2.3329939E8</v>
      </c>
      <c r="F503" s="4" t="s">
        <v>7</v>
      </c>
      <c r="G503" s="3">
        <v>3.2369606919000006E8</v>
      </c>
      <c r="H503" s="3"/>
      <c r="I503" s="6" t="s">
        <v>42</v>
      </c>
    </row>
    <row r="504">
      <c r="A504" s="8">
        <v>46350.0</v>
      </c>
      <c r="B504" s="2" t="s">
        <v>14</v>
      </c>
      <c r="C504" s="2" t="s">
        <v>534</v>
      </c>
      <c r="D504" s="4"/>
      <c r="E504" s="4">
        <v>6.6E7</v>
      </c>
      <c r="F504" s="4" t="s">
        <v>7</v>
      </c>
      <c r="G504" s="3">
        <v>3.8969606919000006E8</v>
      </c>
      <c r="H504" s="3"/>
      <c r="I504" s="6" t="s">
        <v>42</v>
      </c>
    </row>
    <row r="505">
      <c r="A505" s="8">
        <v>46350.0</v>
      </c>
      <c r="B505" s="2" t="s">
        <v>10</v>
      </c>
      <c r="C505" s="2" t="s">
        <v>535</v>
      </c>
      <c r="D505" s="4">
        <v>2.13046E8</v>
      </c>
      <c r="E505" s="3"/>
      <c r="F505" s="4" t="s">
        <v>3</v>
      </c>
      <c r="G505" s="3">
        <v>1.7665006919000006E8</v>
      </c>
      <c r="H505" s="4">
        <v>1.7665006919E8</v>
      </c>
      <c r="I505" s="6" t="s">
        <v>42</v>
      </c>
    </row>
    <row r="506">
      <c r="A506" s="8">
        <v>46350.0</v>
      </c>
      <c r="B506" s="2" t="s">
        <v>10</v>
      </c>
      <c r="C506" s="2" t="s">
        <v>536</v>
      </c>
      <c r="D506" s="4">
        <v>1.298704E8</v>
      </c>
      <c r="E506" s="3"/>
      <c r="F506" s="4" t="s">
        <v>3</v>
      </c>
      <c r="G506" s="3">
        <v>4.677966919000006E7</v>
      </c>
      <c r="H506" s="4">
        <v>4.677966919E7</v>
      </c>
      <c r="I506" s="6" t="s">
        <v>42</v>
      </c>
    </row>
    <row r="507">
      <c r="A507" s="8">
        <v>46350.0</v>
      </c>
      <c r="B507" s="2" t="s">
        <v>10</v>
      </c>
      <c r="C507" s="2" t="s">
        <v>537</v>
      </c>
      <c r="D507" s="4">
        <v>2.823959E7</v>
      </c>
      <c r="E507" s="3"/>
      <c r="F507" s="4" t="s">
        <v>3</v>
      </c>
      <c r="G507" s="3">
        <v>1.8540079190000057E7</v>
      </c>
      <c r="H507" s="3"/>
      <c r="I507" s="6" t="s">
        <v>42</v>
      </c>
    </row>
    <row r="508">
      <c r="A508" s="8">
        <v>46350.0</v>
      </c>
      <c r="B508" s="2" t="s">
        <v>14</v>
      </c>
      <c r="C508" s="2" t="s">
        <v>538</v>
      </c>
      <c r="D508" s="4"/>
      <c r="E508" s="4">
        <v>5.4481953E8</v>
      </c>
      <c r="F508" s="4" t="s">
        <v>7</v>
      </c>
      <c r="G508" s="3">
        <v>5.6335960919E8</v>
      </c>
      <c r="H508" s="3"/>
      <c r="I508" s="6" t="s">
        <v>42</v>
      </c>
    </row>
    <row r="509">
      <c r="A509" s="8">
        <v>46350.0</v>
      </c>
      <c r="B509" s="2" t="s">
        <v>14</v>
      </c>
      <c r="C509" s="2" t="s">
        <v>539</v>
      </c>
      <c r="D509" s="4"/>
      <c r="E509" s="4">
        <v>1.2067125E8</v>
      </c>
      <c r="F509" s="4" t="s">
        <v>7</v>
      </c>
      <c r="G509" s="3">
        <v>6.8403085919E8</v>
      </c>
      <c r="H509" s="3"/>
      <c r="I509" s="6" t="s">
        <v>42</v>
      </c>
    </row>
    <row r="510">
      <c r="A510" s="8">
        <v>46350.0</v>
      </c>
      <c r="B510" s="2" t="s">
        <v>14</v>
      </c>
      <c r="C510" s="2" t="s">
        <v>540</v>
      </c>
      <c r="D510" s="4"/>
      <c r="E510" s="4">
        <v>5.928E7</v>
      </c>
      <c r="F510" s="4" t="s">
        <v>7</v>
      </c>
      <c r="G510" s="3">
        <v>7.4331085919E8</v>
      </c>
      <c r="H510" s="3"/>
      <c r="I510" s="6" t="s">
        <v>42</v>
      </c>
    </row>
    <row r="511">
      <c r="A511" s="8">
        <v>46350.0</v>
      </c>
      <c r="B511" s="2" t="s">
        <v>14</v>
      </c>
      <c r="C511" s="2" t="s">
        <v>541</v>
      </c>
      <c r="D511" s="4"/>
      <c r="E511" s="4">
        <v>1.01198968E8</v>
      </c>
      <c r="F511" s="4" t="s">
        <v>7</v>
      </c>
      <c r="G511" s="3">
        <v>8.4450982719E8</v>
      </c>
      <c r="H511" s="3"/>
      <c r="I511" s="6" t="s">
        <v>42</v>
      </c>
    </row>
    <row r="512">
      <c r="A512" s="8">
        <v>46350.0</v>
      </c>
      <c r="B512" s="2" t="s">
        <v>14</v>
      </c>
      <c r="C512" s="2" t="s">
        <v>542</v>
      </c>
      <c r="D512" s="4"/>
      <c r="E512" s="4">
        <v>1.00278745E8</v>
      </c>
      <c r="F512" s="4" t="s">
        <v>7</v>
      </c>
      <c r="G512" s="3">
        <v>9.4478857219E8</v>
      </c>
      <c r="H512" s="3"/>
      <c r="I512" s="6" t="s">
        <v>42</v>
      </c>
    </row>
    <row r="513">
      <c r="A513" s="8">
        <v>46350.0</v>
      </c>
      <c r="B513" s="2" t="s">
        <v>10</v>
      </c>
      <c r="C513" s="2" t="s">
        <v>543</v>
      </c>
      <c r="D513" s="4">
        <v>5.1232E7</v>
      </c>
      <c r="E513" s="3"/>
      <c r="F513" s="4" t="s">
        <v>3</v>
      </c>
      <c r="G513" s="3">
        <v>8.9355657219E8</v>
      </c>
      <c r="H513" s="3"/>
      <c r="I513" s="6" t="s">
        <v>42</v>
      </c>
    </row>
    <row r="514">
      <c r="A514" s="8">
        <v>46350.0</v>
      </c>
      <c r="B514" s="2" t="s">
        <v>10</v>
      </c>
      <c r="C514" s="2" t="s">
        <v>544</v>
      </c>
      <c r="D514" s="4">
        <v>8.901903E7</v>
      </c>
      <c r="E514" s="3"/>
      <c r="F514" s="4" t="s">
        <v>3</v>
      </c>
      <c r="G514" s="3">
        <v>8.0453754219E8</v>
      </c>
      <c r="H514" s="3"/>
      <c r="I514" s="6" t="s">
        <v>42</v>
      </c>
    </row>
    <row r="515">
      <c r="A515" s="8">
        <v>46350.0</v>
      </c>
      <c r="B515" s="2" t="s">
        <v>10</v>
      </c>
      <c r="C515" s="2" t="s">
        <v>545</v>
      </c>
      <c r="D515" s="4">
        <v>1019250.0</v>
      </c>
      <c r="E515" s="3"/>
      <c r="F515" s="4" t="s">
        <v>3</v>
      </c>
      <c r="G515" s="3">
        <v>8.0351829219E8</v>
      </c>
      <c r="H515" s="3"/>
      <c r="I515" s="6" t="s">
        <v>42</v>
      </c>
    </row>
    <row r="516">
      <c r="A516" s="8">
        <v>46350.0</v>
      </c>
      <c r="B516" s="2" t="s">
        <v>10</v>
      </c>
      <c r="C516" s="2" t="s">
        <v>546</v>
      </c>
      <c r="D516" s="4">
        <v>4.49177E7</v>
      </c>
      <c r="E516" s="3"/>
      <c r="F516" s="4" t="s">
        <v>3</v>
      </c>
      <c r="G516" s="3">
        <v>7.5860059219E8</v>
      </c>
      <c r="H516" s="3"/>
      <c r="I516" s="6" t="s">
        <v>42</v>
      </c>
    </row>
    <row r="517">
      <c r="A517" s="8">
        <v>46350.0</v>
      </c>
      <c r="B517" s="2" t="s">
        <v>10</v>
      </c>
      <c r="C517" s="2" t="s">
        <v>547</v>
      </c>
      <c r="D517" s="4">
        <v>8.80282E7</v>
      </c>
      <c r="E517" s="3"/>
      <c r="F517" s="4" t="s">
        <v>3</v>
      </c>
      <c r="G517" s="3">
        <v>6.7057239219E8</v>
      </c>
      <c r="H517" s="3"/>
      <c r="I517" s="6" t="s">
        <v>42</v>
      </c>
    </row>
    <row r="518">
      <c r="A518" s="8">
        <v>46350.0</v>
      </c>
      <c r="B518" s="2" t="s">
        <v>10</v>
      </c>
      <c r="C518" s="2" t="s">
        <v>548</v>
      </c>
      <c r="D518" s="4">
        <v>2.398041E7</v>
      </c>
      <c r="E518" s="3"/>
      <c r="F518" s="4" t="s">
        <v>3</v>
      </c>
      <c r="G518" s="3">
        <v>6.4659198219E8</v>
      </c>
      <c r="H518" s="4">
        <v>6.4659198219E8</v>
      </c>
      <c r="I518" s="6" t="s">
        <v>42</v>
      </c>
    </row>
    <row r="519">
      <c r="A519" s="8">
        <v>46350.0</v>
      </c>
      <c r="B519" s="2" t="s">
        <v>10</v>
      </c>
      <c r="C519" s="2" t="s">
        <v>549</v>
      </c>
      <c r="D519" s="4">
        <v>2.0E7</v>
      </c>
      <c r="E519" s="3"/>
      <c r="F519" s="4" t="s">
        <v>3</v>
      </c>
      <c r="G519" s="3">
        <v>6.2659198219E8</v>
      </c>
      <c r="H519" s="4">
        <v>6.2659198219E8</v>
      </c>
      <c r="I519" s="6" t="s">
        <v>42</v>
      </c>
    </row>
    <row r="520">
      <c r="A520" s="8">
        <v>46350.0</v>
      </c>
      <c r="B520" s="2" t="s">
        <v>10</v>
      </c>
      <c r="C520" s="2" t="s">
        <v>550</v>
      </c>
      <c r="D520" s="4">
        <v>150000.0</v>
      </c>
      <c r="E520" s="3"/>
      <c r="F520" s="4" t="s">
        <v>3</v>
      </c>
      <c r="G520" s="3">
        <v>6.2644198219E8</v>
      </c>
      <c r="H520" s="3"/>
      <c r="I520" s="6" t="s">
        <v>42</v>
      </c>
    </row>
    <row r="521">
      <c r="A521" s="8">
        <v>46350.0</v>
      </c>
      <c r="B521" s="2" t="s">
        <v>10</v>
      </c>
      <c r="C521" s="2" t="s">
        <v>551</v>
      </c>
      <c r="D521" s="4">
        <v>4.336313E7</v>
      </c>
      <c r="E521" s="3"/>
      <c r="F521" s="4" t="s">
        <v>3</v>
      </c>
      <c r="G521" s="3">
        <v>5.8307885219E8</v>
      </c>
      <c r="H521" s="3"/>
      <c r="I521" s="6" t="s">
        <v>42</v>
      </c>
    </row>
    <row r="522">
      <c r="A522" s="8">
        <v>46350.0</v>
      </c>
      <c r="B522" s="2" t="s">
        <v>10</v>
      </c>
      <c r="C522" s="2" t="s">
        <v>552</v>
      </c>
      <c r="D522" s="4">
        <v>5.89E7</v>
      </c>
      <c r="E522" s="3"/>
      <c r="F522" s="4" t="s">
        <v>3</v>
      </c>
      <c r="G522" s="3">
        <v>5.2417885219000006E8</v>
      </c>
      <c r="H522" s="3"/>
      <c r="I522" s="6" t="s">
        <v>42</v>
      </c>
    </row>
    <row r="523">
      <c r="A523" s="8">
        <v>46350.0</v>
      </c>
      <c r="B523" s="2" t="s">
        <v>10</v>
      </c>
      <c r="C523" s="2" t="s">
        <v>553</v>
      </c>
      <c r="D523" s="4">
        <v>1.340818E7</v>
      </c>
      <c r="E523" s="3"/>
      <c r="F523" s="4" t="s">
        <v>3</v>
      </c>
      <c r="G523" s="3">
        <v>5.1077067219000006E8</v>
      </c>
      <c r="H523" s="3"/>
      <c r="I523" s="6" t="s">
        <v>42</v>
      </c>
    </row>
    <row r="524">
      <c r="A524" s="8">
        <v>46350.0</v>
      </c>
      <c r="B524" s="2" t="s">
        <v>27</v>
      </c>
      <c r="C524" s="2" t="s">
        <v>170</v>
      </c>
      <c r="D524" s="4">
        <v>223700.0</v>
      </c>
      <c r="E524" s="3"/>
      <c r="F524" s="3"/>
      <c r="G524" s="3">
        <v>5.1054697219000006E8</v>
      </c>
      <c r="H524" s="3"/>
      <c r="I524" s="6" t="s">
        <v>42</v>
      </c>
    </row>
    <row r="525">
      <c r="A525" s="8">
        <v>46350.0</v>
      </c>
      <c r="B525" s="2" t="s">
        <v>10</v>
      </c>
      <c r="C525" s="2" t="s">
        <v>554</v>
      </c>
      <c r="D525" s="4">
        <v>6500000.0</v>
      </c>
      <c r="E525" s="3"/>
      <c r="F525" s="4" t="s">
        <v>3</v>
      </c>
      <c r="G525" s="3">
        <v>5.0404697219000006E8</v>
      </c>
      <c r="H525" s="3"/>
      <c r="I525" s="6" t="s">
        <v>42</v>
      </c>
    </row>
    <row r="526">
      <c r="A526" s="8">
        <v>46350.0</v>
      </c>
      <c r="B526" s="2" t="s">
        <v>14</v>
      </c>
      <c r="C526" s="2" t="s">
        <v>555</v>
      </c>
      <c r="D526" s="4"/>
      <c r="E526" s="4">
        <v>1.2E7</v>
      </c>
      <c r="F526" s="4" t="s">
        <v>7</v>
      </c>
      <c r="G526" s="3">
        <v>5.1604697219000006E8</v>
      </c>
      <c r="H526" s="3"/>
      <c r="I526" s="6" t="s">
        <v>42</v>
      </c>
    </row>
    <row r="527">
      <c r="A527" s="8">
        <v>46350.0</v>
      </c>
      <c r="B527" s="2" t="s">
        <v>14</v>
      </c>
      <c r="C527" s="2" t="s">
        <v>556</v>
      </c>
      <c r="D527" s="4"/>
      <c r="E527" s="4">
        <v>675000.0</v>
      </c>
      <c r="F527" s="4" t="s">
        <v>7</v>
      </c>
      <c r="G527" s="3">
        <v>5.1672197219000006E8</v>
      </c>
      <c r="H527" s="3"/>
      <c r="I527" s="6" t="s">
        <v>42</v>
      </c>
    </row>
    <row r="528">
      <c r="A528" s="8">
        <v>46350.0</v>
      </c>
      <c r="B528" s="2" t="s">
        <v>10</v>
      </c>
      <c r="C528" s="2" t="s">
        <v>557</v>
      </c>
      <c r="D528" s="4">
        <v>1.2845867E8</v>
      </c>
      <c r="E528" s="3"/>
      <c r="F528" s="4" t="s">
        <v>3</v>
      </c>
      <c r="G528" s="3">
        <v>3.8826330219000006E8</v>
      </c>
      <c r="H528" s="3"/>
      <c r="I528" s="6" t="s">
        <v>42</v>
      </c>
    </row>
    <row r="529">
      <c r="A529" s="8">
        <v>46350.0</v>
      </c>
      <c r="B529" s="2" t="s">
        <v>10</v>
      </c>
      <c r="C529" s="2" t="s">
        <v>558</v>
      </c>
      <c r="D529" s="4">
        <v>3.1E7</v>
      </c>
      <c r="E529" s="3"/>
      <c r="F529" s="4" t="s">
        <v>3</v>
      </c>
      <c r="G529" s="3">
        <v>3.5726330219000006E8</v>
      </c>
      <c r="H529" s="3"/>
      <c r="I529" s="6" t="s">
        <v>42</v>
      </c>
    </row>
    <row r="530">
      <c r="A530" s="8">
        <v>46350.0</v>
      </c>
      <c r="B530" s="2" t="s">
        <v>10</v>
      </c>
      <c r="C530" s="2" t="s">
        <v>559</v>
      </c>
      <c r="D530" s="4">
        <v>4045720.0</v>
      </c>
      <c r="E530" s="3"/>
      <c r="F530" s="4" t="s">
        <v>3</v>
      </c>
      <c r="G530" s="3">
        <v>3.5321758219000006E8</v>
      </c>
      <c r="H530" s="3"/>
      <c r="I530" s="6" t="s">
        <v>42</v>
      </c>
    </row>
    <row r="531">
      <c r="A531" s="8">
        <v>46350.0</v>
      </c>
      <c r="B531" s="2" t="s">
        <v>10</v>
      </c>
      <c r="C531" s="2" t="s">
        <v>560</v>
      </c>
      <c r="D531" s="4">
        <v>1.226548E7</v>
      </c>
      <c r="E531" s="3"/>
      <c r="F531" s="4" t="s">
        <v>3</v>
      </c>
      <c r="G531" s="3">
        <v>3.4095210219000006E8</v>
      </c>
      <c r="H531" s="3"/>
      <c r="I531" s="6" t="s">
        <v>42</v>
      </c>
    </row>
    <row r="532">
      <c r="A532" s="8">
        <v>46350.0</v>
      </c>
      <c r="B532" s="2" t="s">
        <v>10</v>
      </c>
      <c r="C532" s="2" t="s">
        <v>561</v>
      </c>
      <c r="D532" s="4">
        <v>4172100.0</v>
      </c>
      <c r="E532" s="3"/>
      <c r="F532" s="4" t="s">
        <v>3</v>
      </c>
      <c r="G532" s="3">
        <v>3.3678000219000006E8</v>
      </c>
      <c r="H532" s="4">
        <v>3.3678000219E8</v>
      </c>
      <c r="I532" s="6" t="s">
        <v>42</v>
      </c>
    </row>
    <row r="533">
      <c r="A533" s="8">
        <v>46350.0</v>
      </c>
      <c r="B533" s="2" t="s">
        <v>10</v>
      </c>
      <c r="C533" s="2" t="s">
        <v>562</v>
      </c>
      <c r="D533" s="4">
        <v>4115920.0</v>
      </c>
      <c r="E533" s="3"/>
      <c r="F533" s="4" t="s">
        <v>3</v>
      </c>
      <c r="G533" s="3">
        <v>3.3266408219000006E8</v>
      </c>
      <c r="H533" s="4">
        <v>3.3266408219E8</v>
      </c>
      <c r="I533" s="6" t="s">
        <v>42</v>
      </c>
    </row>
    <row r="534">
      <c r="A534" s="8">
        <v>46350.0</v>
      </c>
      <c r="B534" s="2" t="s">
        <v>10</v>
      </c>
      <c r="C534" s="2" t="s">
        <v>563</v>
      </c>
      <c r="D534" s="4">
        <v>3354400.0</v>
      </c>
      <c r="E534" s="3"/>
      <c r="F534" s="4" t="s">
        <v>3</v>
      </c>
      <c r="G534" s="3">
        <v>3.2930968219000006E8</v>
      </c>
      <c r="H534" s="4">
        <v>3.2930968219E8</v>
      </c>
      <c r="I534" s="6" t="s">
        <v>42</v>
      </c>
    </row>
    <row r="535">
      <c r="A535" s="8">
        <v>46351.0</v>
      </c>
      <c r="B535" s="2" t="s">
        <v>564</v>
      </c>
      <c r="C535" s="2" t="s">
        <v>565</v>
      </c>
      <c r="D535" s="4"/>
      <c r="E535" s="4">
        <v>4.5E7</v>
      </c>
      <c r="F535" s="4" t="s">
        <v>7</v>
      </c>
      <c r="G535" s="3">
        <v>3.7430968219000006E8</v>
      </c>
      <c r="H535" s="3"/>
      <c r="I535" s="6" t="s">
        <v>42</v>
      </c>
    </row>
    <row r="536">
      <c r="A536" s="8">
        <v>46351.0</v>
      </c>
      <c r="B536" s="2" t="s">
        <v>10</v>
      </c>
      <c r="C536" s="2" t="s">
        <v>566</v>
      </c>
      <c r="D536" s="4">
        <v>2771160.0</v>
      </c>
      <c r="E536" s="3"/>
      <c r="F536" s="4" t="s">
        <v>3</v>
      </c>
      <c r="G536" s="3">
        <v>3.7153852219000006E8</v>
      </c>
      <c r="H536" s="3"/>
      <c r="I536" s="6" t="s">
        <v>42</v>
      </c>
    </row>
    <row r="537">
      <c r="A537" s="8">
        <v>46351.0</v>
      </c>
      <c r="B537" s="2" t="s">
        <v>10</v>
      </c>
      <c r="C537" s="2" t="s">
        <v>567</v>
      </c>
      <c r="D537" s="4">
        <v>2896400.0</v>
      </c>
      <c r="E537" s="3"/>
      <c r="F537" s="4" t="s">
        <v>3</v>
      </c>
      <c r="G537" s="3">
        <v>3.6864212219000006E8</v>
      </c>
      <c r="H537" s="3"/>
      <c r="I537" s="6" t="s">
        <v>42</v>
      </c>
    </row>
    <row r="538">
      <c r="A538" s="8">
        <v>46351.0</v>
      </c>
      <c r="B538" s="2" t="s">
        <v>14</v>
      </c>
      <c r="C538" s="2" t="s">
        <v>568</v>
      </c>
      <c r="D538" s="4"/>
      <c r="E538" s="4">
        <v>3.0503148E8</v>
      </c>
      <c r="F538" s="4" t="s">
        <v>7</v>
      </c>
      <c r="G538" s="3">
        <v>6.7367360219E8</v>
      </c>
      <c r="H538" s="3"/>
      <c r="I538" s="6" t="s">
        <v>42</v>
      </c>
    </row>
    <row r="539">
      <c r="A539" s="8">
        <v>46351.0</v>
      </c>
      <c r="B539" s="2" t="s">
        <v>10</v>
      </c>
      <c r="C539" s="2" t="s">
        <v>569</v>
      </c>
      <c r="D539" s="4">
        <v>1.5888303E8</v>
      </c>
      <c r="E539" s="3"/>
      <c r="F539" s="4" t="s">
        <v>3</v>
      </c>
      <c r="G539" s="3">
        <v>5.1479057219000006E8</v>
      </c>
      <c r="H539" s="3"/>
      <c r="I539" s="6" t="s">
        <v>42</v>
      </c>
    </row>
    <row r="540">
      <c r="A540" s="8">
        <v>46351.0</v>
      </c>
      <c r="B540" s="2" t="s">
        <v>10</v>
      </c>
      <c r="C540" s="2" t="s">
        <v>570</v>
      </c>
      <c r="D540" s="4">
        <v>4.365225E7</v>
      </c>
      <c r="E540" s="3"/>
      <c r="F540" s="4" t="s">
        <v>3</v>
      </c>
      <c r="G540" s="3">
        <v>4.7113832219000006E8</v>
      </c>
      <c r="H540" s="3"/>
      <c r="I540" s="6" t="s">
        <v>42</v>
      </c>
    </row>
    <row r="541">
      <c r="A541" s="8">
        <v>46351.0</v>
      </c>
      <c r="B541" s="2" t="s">
        <v>10</v>
      </c>
      <c r="C541" s="2" t="s">
        <v>571</v>
      </c>
      <c r="D541" s="4">
        <v>8.6618484E7</v>
      </c>
      <c r="E541" s="3"/>
      <c r="F541" s="4" t="s">
        <v>3</v>
      </c>
      <c r="G541" s="3">
        <v>3.8451983819000006E8</v>
      </c>
      <c r="H541" s="3"/>
      <c r="I541" s="6" t="s">
        <v>42</v>
      </c>
    </row>
    <row r="542">
      <c r="A542" s="8">
        <v>46351.0</v>
      </c>
      <c r="B542" s="2" t="s">
        <v>10</v>
      </c>
      <c r="C542" s="2" t="s">
        <v>572</v>
      </c>
      <c r="D542" s="4">
        <v>8.169325E7</v>
      </c>
      <c r="E542" s="3"/>
      <c r="F542" s="4" t="s">
        <v>3</v>
      </c>
      <c r="G542" s="3">
        <v>3.0282658819000006E8</v>
      </c>
      <c r="H542" s="3"/>
      <c r="I542" s="6" t="s">
        <v>42</v>
      </c>
    </row>
    <row r="543">
      <c r="A543" s="8">
        <v>46351.0</v>
      </c>
      <c r="B543" s="2" t="s">
        <v>10</v>
      </c>
      <c r="C543" s="2" t="s">
        <v>573</v>
      </c>
      <c r="D543" s="4">
        <v>4.836465E7</v>
      </c>
      <c r="E543" s="3"/>
      <c r="F543" s="4" t="s">
        <v>3</v>
      </c>
      <c r="G543" s="3">
        <v>2.5446193819000006E8</v>
      </c>
      <c r="H543" s="3"/>
      <c r="I543" s="6" t="s">
        <v>42</v>
      </c>
    </row>
    <row r="544">
      <c r="A544" s="8">
        <v>46351.0</v>
      </c>
      <c r="B544" s="2" t="s">
        <v>10</v>
      </c>
      <c r="C544" s="2" t="s">
        <v>574</v>
      </c>
      <c r="D544" s="4">
        <v>8.0787E7</v>
      </c>
      <c r="E544" s="3"/>
      <c r="F544" s="4" t="s">
        <v>3</v>
      </c>
      <c r="G544" s="3">
        <v>1.7367493819000006E8</v>
      </c>
      <c r="H544" s="3"/>
      <c r="I544" s="6" t="s">
        <v>42</v>
      </c>
    </row>
    <row r="545">
      <c r="A545" s="8">
        <v>46351.0</v>
      </c>
      <c r="B545" s="2" t="s">
        <v>10</v>
      </c>
      <c r="C545" s="2" t="s">
        <v>575</v>
      </c>
      <c r="D545" s="4">
        <v>5.8E7</v>
      </c>
      <c r="E545" s="3"/>
      <c r="F545" s="4" t="s">
        <v>3</v>
      </c>
      <c r="G545" s="3">
        <v>1.1567493819000006E8</v>
      </c>
      <c r="H545" s="4">
        <v>1.1567493819E8</v>
      </c>
      <c r="I545" s="6" t="s">
        <v>42</v>
      </c>
    </row>
    <row r="546">
      <c r="A546" s="8">
        <v>46351.0</v>
      </c>
      <c r="B546" s="2" t="s">
        <v>10</v>
      </c>
      <c r="C546" s="2" t="s">
        <v>576</v>
      </c>
      <c r="D546" s="4">
        <v>1.0026175E8</v>
      </c>
      <c r="E546" s="3"/>
      <c r="F546" s="4" t="s">
        <v>3</v>
      </c>
      <c r="G546" s="3">
        <v>1.5413188190000057E7</v>
      </c>
      <c r="H546" s="4">
        <v>1.541318819E7</v>
      </c>
      <c r="I546" s="6" t="s">
        <v>42</v>
      </c>
    </row>
    <row r="547">
      <c r="A547" s="8">
        <v>46351.0</v>
      </c>
      <c r="B547" s="2" t="s">
        <v>10</v>
      </c>
      <c r="C547" s="2" t="s">
        <v>577</v>
      </c>
      <c r="D547" s="4">
        <v>1.107705E7</v>
      </c>
      <c r="E547" s="3"/>
      <c r="F547" s="4" t="s">
        <v>3</v>
      </c>
      <c r="G547" s="3">
        <v>4336138.190000057</v>
      </c>
      <c r="H547" s="3"/>
      <c r="I547" s="6" t="s">
        <v>42</v>
      </c>
    </row>
    <row r="548">
      <c r="A548" s="8">
        <v>46351.0</v>
      </c>
      <c r="B548" s="2" t="s">
        <v>10</v>
      </c>
      <c r="C548" s="2" t="s">
        <v>578</v>
      </c>
      <c r="D548" s="4">
        <v>223400.0</v>
      </c>
      <c r="E548" s="3"/>
      <c r="F548" s="4" t="s">
        <v>3</v>
      </c>
      <c r="G548" s="3">
        <v>4112738.190000057</v>
      </c>
      <c r="H548" s="4">
        <v>4112738.19</v>
      </c>
      <c r="I548" s="6" t="s">
        <v>42</v>
      </c>
    </row>
    <row r="549">
      <c r="A549" s="8">
        <v>46352.0</v>
      </c>
      <c r="B549" s="2" t="s">
        <v>14</v>
      </c>
      <c r="C549" s="2" t="s">
        <v>579</v>
      </c>
      <c r="D549" s="4"/>
      <c r="E549" s="4">
        <v>8.761E7</v>
      </c>
      <c r="F549" s="4" t="s">
        <v>7</v>
      </c>
      <c r="G549" s="3">
        <v>9.172273819000006E7</v>
      </c>
      <c r="H549" s="3"/>
      <c r="I549" s="6" t="s">
        <v>42</v>
      </c>
    </row>
    <row r="550">
      <c r="A550" s="8">
        <v>46352.0</v>
      </c>
      <c r="B550" s="2" t="s">
        <v>10</v>
      </c>
      <c r="C550" s="2" t="s">
        <v>580</v>
      </c>
      <c r="D550" s="4">
        <v>750000.0</v>
      </c>
      <c r="E550" s="3"/>
      <c r="F550" s="4" t="s">
        <v>3</v>
      </c>
      <c r="G550" s="3">
        <v>9.097273819000006E7</v>
      </c>
      <c r="H550" s="3"/>
      <c r="I550" s="6" t="s">
        <v>42</v>
      </c>
    </row>
    <row r="551">
      <c r="A551" s="8">
        <v>46352.0</v>
      </c>
      <c r="B551" s="2" t="s">
        <v>10</v>
      </c>
      <c r="C551" s="2" t="s">
        <v>581</v>
      </c>
      <c r="D551" s="4">
        <v>2249200.0</v>
      </c>
      <c r="E551" s="3"/>
      <c r="F551" s="4" t="s">
        <v>3</v>
      </c>
      <c r="G551" s="3">
        <v>8.872353819000006E7</v>
      </c>
      <c r="H551" s="3"/>
      <c r="I551" s="6" t="s">
        <v>42</v>
      </c>
    </row>
    <row r="552">
      <c r="A552" s="8">
        <v>46352.0</v>
      </c>
      <c r="B552" s="2" t="s">
        <v>10</v>
      </c>
      <c r="C552" s="2" t="s">
        <v>582</v>
      </c>
      <c r="D552" s="4">
        <v>4000000.0</v>
      </c>
      <c r="E552" s="3"/>
      <c r="F552" s="4" t="s">
        <v>3</v>
      </c>
      <c r="G552" s="3">
        <v>8.472353819000006E7</v>
      </c>
      <c r="H552" s="3"/>
      <c r="I552" s="6" t="s">
        <v>42</v>
      </c>
    </row>
    <row r="553">
      <c r="A553" s="8">
        <v>46352.0</v>
      </c>
      <c r="B553" s="2" t="s">
        <v>10</v>
      </c>
      <c r="C553" s="2" t="s">
        <v>583</v>
      </c>
      <c r="D553" s="4">
        <v>7037600.0</v>
      </c>
      <c r="E553" s="3"/>
      <c r="F553" s="4" t="s">
        <v>3</v>
      </c>
      <c r="G553" s="3">
        <v>7.768593819000006E7</v>
      </c>
      <c r="H553" s="3"/>
      <c r="I553" s="6" t="s">
        <v>42</v>
      </c>
    </row>
    <row r="554">
      <c r="A554" s="8">
        <v>46352.0</v>
      </c>
      <c r="B554" s="2" t="s">
        <v>10</v>
      </c>
      <c r="C554" s="2" t="s">
        <v>584</v>
      </c>
      <c r="D554" s="4">
        <v>7786670.0</v>
      </c>
      <c r="E554" s="3"/>
      <c r="F554" s="4" t="s">
        <v>3</v>
      </c>
      <c r="G554" s="3">
        <v>6.989926819000006E7</v>
      </c>
      <c r="H554" s="3"/>
      <c r="I554" s="6" t="s">
        <v>42</v>
      </c>
    </row>
    <row r="555">
      <c r="A555" s="8">
        <v>46352.0</v>
      </c>
      <c r="B555" s="2" t="s">
        <v>14</v>
      </c>
      <c r="C555" s="2" t="s">
        <v>585</v>
      </c>
      <c r="D555" s="4"/>
      <c r="E555" s="4">
        <v>876660.0</v>
      </c>
      <c r="F555" s="4" t="s">
        <v>7</v>
      </c>
      <c r="G555" s="3">
        <v>7.077592819000006E7</v>
      </c>
      <c r="H555" s="3"/>
      <c r="I555" s="6" t="s">
        <v>42</v>
      </c>
    </row>
    <row r="556">
      <c r="A556" s="8">
        <v>46352.0</v>
      </c>
      <c r="B556" s="2" t="s">
        <v>14</v>
      </c>
      <c r="C556" s="2" t="s">
        <v>586</v>
      </c>
      <c r="D556" s="4"/>
      <c r="E556" s="4">
        <v>5.68052E7</v>
      </c>
      <c r="F556" s="4" t="s">
        <v>7</v>
      </c>
      <c r="G556" s="3">
        <v>1.2758112819000006E8</v>
      </c>
      <c r="H556" s="3"/>
      <c r="I556" s="6" t="s">
        <v>42</v>
      </c>
    </row>
    <row r="557">
      <c r="A557" s="8">
        <v>46352.0</v>
      </c>
      <c r="B557" s="2" t="s">
        <v>113</v>
      </c>
      <c r="C557" s="2" t="s">
        <v>587</v>
      </c>
      <c r="D557" s="4">
        <v>761100.0</v>
      </c>
      <c r="E557" s="3"/>
      <c r="F557" s="3"/>
      <c r="G557" s="3">
        <v>1.2682002819000006E8</v>
      </c>
      <c r="H557" s="3"/>
      <c r="I557" s="6" t="s">
        <v>42</v>
      </c>
    </row>
    <row r="558">
      <c r="A558" s="8">
        <v>46352.0</v>
      </c>
      <c r="B558" s="2" t="s">
        <v>10</v>
      </c>
      <c r="C558" s="2" t="s">
        <v>588</v>
      </c>
      <c r="D558" s="4">
        <v>1.5398316E7</v>
      </c>
      <c r="E558" s="3"/>
      <c r="F558" s="4" t="s">
        <v>3</v>
      </c>
      <c r="G558" s="3">
        <v>1.1142171219000006E8</v>
      </c>
      <c r="H558" s="4">
        <v>1.1142171219E8</v>
      </c>
      <c r="I558" s="6" t="s">
        <v>42</v>
      </c>
    </row>
    <row r="559">
      <c r="A559" s="8">
        <v>46352.0</v>
      </c>
      <c r="B559" s="2" t="s">
        <v>27</v>
      </c>
      <c r="C559" s="2" t="s">
        <v>589</v>
      </c>
      <c r="D559" s="4">
        <v>207500.0</v>
      </c>
      <c r="E559" s="3"/>
      <c r="F559" s="3"/>
      <c r="G559" s="3">
        <v>1.1121421219000006E8</v>
      </c>
      <c r="H559" s="4">
        <v>1.1121421219E8</v>
      </c>
      <c r="I559" s="6" t="s">
        <v>42</v>
      </c>
    </row>
    <row r="560">
      <c r="A560" s="8">
        <v>46352.0</v>
      </c>
      <c r="B560" s="2" t="s">
        <v>226</v>
      </c>
      <c r="C560" s="2" t="s">
        <v>590</v>
      </c>
      <c r="D560" s="4">
        <v>300000.0</v>
      </c>
      <c r="E560" s="3"/>
      <c r="F560" s="4" t="s">
        <v>3</v>
      </c>
      <c r="G560" s="3">
        <v>1.1091421219000006E8</v>
      </c>
      <c r="H560" s="3"/>
      <c r="I560" s="6" t="s">
        <v>42</v>
      </c>
    </row>
    <row r="561">
      <c r="A561" s="8">
        <v>46352.0</v>
      </c>
      <c r="B561" s="2" t="s">
        <v>226</v>
      </c>
      <c r="C561" s="2" t="s">
        <v>591</v>
      </c>
      <c r="D561" s="4">
        <v>2500.0</v>
      </c>
      <c r="E561" s="3"/>
      <c r="F561" s="4" t="s">
        <v>3</v>
      </c>
      <c r="G561" s="3">
        <v>1.1091171219000006E8</v>
      </c>
      <c r="H561" s="3"/>
      <c r="I561" s="6" t="s">
        <v>42</v>
      </c>
    </row>
    <row r="562">
      <c r="A562" s="8">
        <v>46352.0</v>
      </c>
      <c r="B562" s="2" t="s">
        <v>14</v>
      </c>
      <c r="C562" s="2" t="s">
        <v>592</v>
      </c>
      <c r="D562" s="4"/>
      <c r="E562" s="4">
        <v>4.5E7</v>
      </c>
      <c r="F562" s="4" t="s">
        <v>7</v>
      </c>
      <c r="G562" s="3">
        <v>1.5591171219000006E8</v>
      </c>
      <c r="H562" s="3"/>
      <c r="I562" s="6" t="s">
        <v>42</v>
      </c>
    </row>
    <row r="563">
      <c r="A563" s="9">
        <v>46352.0</v>
      </c>
      <c r="B563" s="10" t="s">
        <v>10</v>
      </c>
      <c r="C563" s="10" t="s">
        <v>593</v>
      </c>
      <c r="D563" s="11">
        <v>1.0E8</v>
      </c>
      <c r="E563" s="12"/>
      <c r="F563" s="11" t="s">
        <v>3</v>
      </c>
      <c r="G563" s="12">
        <v>5.591171219000006E7</v>
      </c>
      <c r="H563" s="11">
        <v>5.591171219E7</v>
      </c>
      <c r="I563" s="6" t="s">
        <v>42</v>
      </c>
    </row>
    <row r="564">
      <c r="A564" s="8">
        <v>46353.0</v>
      </c>
      <c r="B564" s="2" t="s">
        <v>10</v>
      </c>
      <c r="C564" s="2" t="s">
        <v>594</v>
      </c>
      <c r="D564" s="4">
        <v>4.0581E7</v>
      </c>
      <c r="E564" s="3"/>
      <c r="F564" s="4" t="s">
        <v>3</v>
      </c>
      <c r="G564" s="3">
        <v>1.5330712190000057E7</v>
      </c>
      <c r="H564" s="3"/>
      <c r="I564" s="6" t="s">
        <v>42</v>
      </c>
    </row>
    <row r="565">
      <c r="A565" s="8">
        <v>46353.0</v>
      </c>
      <c r="B565" s="2" t="s">
        <v>595</v>
      </c>
      <c r="C565" s="2" t="s">
        <v>596</v>
      </c>
      <c r="E565" s="4">
        <v>1.08376E8</v>
      </c>
      <c r="F565" s="3"/>
      <c r="G565" s="3">
        <v>1.2370671219000006E8</v>
      </c>
      <c r="H565" s="3"/>
      <c r="I565" s="6" t="s">
        <v>42</v>
      </c>
    </row>
    <row r="566">
      <c r="A566" s="8">
        <v>46353.0</v>
      </c>
      <c r="B566" s="2" t="s">
        <v>14</v>
      </c>
      <c r="C566" s="2" t="s">
        <v>597</v>
      </c>
      <c r="D566" s="4"/>
      <c r="E566" s="4">
        <v>9.41045E7</v>
      </c>
      <c r="F566" s="4" t="s">
        <v>7</v>
      </c>
      <c r="G566" s="3">
        <v>2.1781121219000006E8</v>
      </c>
      <c r="H566" s="3"/>
      <c r="I566" s="6" t="s">
        <v>42</v>
      </c>
    </row>
    <row r="567">
      <c r="A567" s="8">
        <v>46353.0</v>
      </c>
      <c r="B567" s="2" t="s">
        <v>14</v>
      </c>
      <c r="C567" s="2" t="s">
        <v>598</v>
      </c>
      <c r="D567" s="4"/>
      <c r="E567" s="4">
        <v>1.60471E8</v>
      </c>
      <c r="F567" s="4" t="s">
        <v>7</v>
      </c>
      <c r="G567" s="3">
        <v>3.7828221219000006E8</v>
      </c>
      <c r="H567" s="3"/>
      <c r="I567" s="6" t="s">
        <v>42</v>
      </c>
    </row>
    <row r="568">
      <c r="A568" s="8">
        <v>46353.0</v>
      </c>
      <c r="B568" s="2" t="s">
        <v>10</v>
      </c>
      <c r="C568" s="2" t="s">
        <v>599</v>
      </c>
      <c r="D568" s="4">
        <v>4.418554E7</v>
      </c>
      <c r="E568" s="3"/>
      <c r="F568" s="4" t="s">
        <v>3</v>
      </c>
      <c r="G568" s="3">
        <v>3.3409667219000006E8</v>
      </c>
      <c r="H568" s="3"/>
      <c r="I568" s="6" t="s">
        <v>42</v>
      </c>
    </row>
    <row r="569">
      <c r="A569" s="8">
        <v>46353.0</v>
      </c>
      <c r="B569" s="2" t="s">
        <v>10</v>
      </c>
      <c r="C569" s="2" t="s">
        <v>600</v>
      </c>
      <c r="D569" s="4">
        <v>5.610975E7</v>
      </c>
      <c r="E569" s="3"/>
      <c r="F569" s="4" t="s">
        <v>3</v>
      </c>
      <c r="G569" s="3">
        <v>2.7798692219000006E8</v>
      </c>
      <c r="H569" s="3"/>
      <c r="I569" s="6" t="s">
        <v>42</v>
      </c>
    </row>
    <row r="570">
      <c r="A570" s="8">
        <v>46353.0</v>
      </c>
      <c r="B570" s="2" t="s">
        <v>14</v>
      </c>
      <c r="C570" s="2" t="s">
        <v>601</v>
      </c>
      <c r="D570" s="4"/>
      <c r="E570" s="4">
        <v>5.4528E7</v>
      </c>
      <c r="F570" s="4" t="s">
        <v>7</v>
      </c>
      <c r="G570" s="3">
        <v>3.3251492219000006E8</v>
      </c>
      <c r="H570" s="3"/>
      <c r="I570" s="6" t="s">
        <v>42</v>
      </c>
    </row>
    <row r="571">
      <c r="A571" s="8">
        <v>46353.0</v>
      </c>
      <c r="B571" s="2" t="s">
        <v>14</v>
      </c>
      <c r="C571" s="2" t="s">
        <v>602</v>
      </c>
      <c r="D571" s="4"/>
      <c r="E571" s="4">
        <v>2.2178387E8</v>
      </c>
      <c r="F571" s="4" t="s">
        <v>7</v>
      </c>
      <c r="G571" s="3">
        <v>5.5429879219E8</v>
      </c>
      <c r="H571" s="4">
        <v>5.5429879219E8</v>
      </c>
      <c r="I571" s="6" t="s">
        <v>42</v>
      </c>
    </row>
    <row r="572">
      <c r="A572" s="8">
        <v>46353.0</v>
      </c>
      <c r="B572" s="2" t="s">
        <v>10</v>
      </c>
      <c r="C572" s="2" t="s">
        <v>603</v>
      </c>
      <c r="D572" s="4">
        <v>4.34505E7</v>
      </c>
      <c r="E572" s="3"/>
      <c r="F572" s="4" t="s">
        <v>3</v>
      </c>
      <c r="G572" s="3">
        <v>5.1084829219000006E8</v>
      </c>
      <c r="H572" s="4">
        <v>5.1084829219E8</v>
      </c>
      <c r="I572" s="6" t="s">
        <v>42</v>
      </c>
    </row>
    <row r="573">
      <c r="A573" s="8">
        <v>46353.0</v>
      </c>
      <c r="B573" s="2" t="s">
        <v>14</v>
      </c>
      <c r="C573" s="2" t="s">
        <v>604</v>
      </c>
      <c r="D573" s="4"/>
      <c r="E573" s="4">
        <v>4.64E7</v>
      </c>
      <c r="F573" s="4" t="s">
        <v>7</v>
      </c>
      <c r="G573" s="3">
        <v>5.5724829219E8</v>
      </c>
      <c r="H573" s="3"/>
      <c r="I573" s="6" t="s">
        <v>42</v>
      </c>
    </row>
    <row r="574">
      <c r="A574" s="8">
        <v>46353.0</v>
      </c>
      <c r="B574" s="2" t="s">
        <v>10</v>
      </c>
      <c r="C574" s="2" t="s">
        <v>605</v>
      </c>
      <c r="D574" s="4">
        <v>8891630.0</v>
      </c>
      <c r="E574" s="3"/>
      <c r="F574" s="4" t="s">
        <v>3</v>
      </c>
      <c r="G574" s="3">
        <v>5.4835666219E8</v>
      </c>
      <c r="H574" s="3"/>
      <c r="I574" s="6" t="s">
        <v>42</v>
      </c>
    </row>
    <row r="575">
      <c r="A575" s="8">
        <v>46353.0</v>
      </c>
      <c r="B575" s="2" t="s">
        <v>10</v>
      </c>
      <c r="C575" s="2" t="s">
        <v>606</v>
      </c>
      <c r="D575" s="4">
        <v>2.4902434E8</v>
      </c>
      <c r="E575" s="3"/>
      <c r="F575" s="4" t="s">
        <v>3</v>
      </c>
      <c r="G575" s="3">
        <v>2.9933232219000006E8</v>
      </c>
      <c r="H575" s="3"/>
      <c r="I575" s="6" t="s">
        <v>42</v>
      </c>
    </row>
    <row r="576">
      <c r="A576" s="8">
        <v>46353.0</v>
      </c>
      <c r="B576" s="2" t="s">
        <v>10</v>
      </c>
      <c r="C576" s="2" t="s">
        <v>607</v>
      </c>
      <c r="D576" s="4">
        <v>8.568886E7</v>
      </c>
      <c r="E576" s="3"/>
      <c r="F576" s="4" t="s">
        <v>3</v>
      </c>
      <c r="G576" s="3">
        <v>2.1364346219000006E8</v>
      </c>
      <c r="H576" s="3"/>
      <c r="I576" s="6" t="s">
        <v>42</v>
      </c>
    </row>
    <row r="577">
      <c r="A577" s="8">
        <v>46353.0</v>
      </c>
      <c r="B577" s="2" t="s">
        <v>10</v>
      </c>
      <c r="C577" s="2" t="s">
        <v>608</v>
      </c>
      <c r="D577" s="4">
        <v>4.62195E7</v>
      </c>
      <c r="E577" s="3"/>
      <c r="F577" s="4" t="s">
        <v>3</v>
      </c>
      <c r="G577" s="3">
        <v>1.6742396219000006E8</v>
      </c>
      <c r="H577" s="3"/>
      <c r="I577" s="6" t="s">
        <v>42</v>
      </c>
    </row>
    <row r="578">
      <c r="A578" s="8">
        <v>46353.0</v>
      </c>
      <c r="B578" s="2" t="s">
        <v>10</v>
      </c>
      <c r="C578" s="2" t="s">
        <v>609</v>
      </c>
      <c r="D578" s="4">
        <v>5.77755E7</v>
      </c>
      <c r="E578" s="3"/>
      <c r="F578" s="4" t="s">
        <v>3</v>
      </c>
      <c r="G578" s="3">
        <v>1.0964846219000006E8</v>
      </c>
      <c r="H578" s="3"/>
      <c r="I578" s="6" t="s">
        <v>42</v>
      </c>
    </row>
    <row r="579">
      <c r="A579" s="8">
        <v>46353.0</v>
      </c>
      <c r="B579" s="2" t="s">
        <v>10</v>
      </c>
      <c r="C579" s="2" t="s">
        <v>610</v>
      </c>
      <c r="D579" s="4">
        <v>5.73015E7</v>
      </c>
      <c r="E579" s="3"/>
      <c r="F579" s="4" t="s">
        <v>3</v>
      </c>
      <c r="G579" s="3">
        <v>5.234696219000006E7</v>
      </c>
      <c r="H579" s="3"/>
      <c r="I579" s="6" t="s">
        <v>42</v>
      </c>
    </row>
    <row r="580">
      <c r="A580" s="8">
        <v>46353.0</v>
      </c>
      <c r="B580" s="2" t="s">
        <v>10</v>
      </c>
      <c r="C580" s="2" t="s">
        <v>611</v>
      </c>
      <c r="D580" s="4">
        <v>5.0E7</v>
      </c>
      <c r="E580" s="3"/>
      <c r="F580" s="4" t="s">
        <v>3</v>
      </c>
      <c r="G580" s="3">
        <v>2346962.190000057</v>
      </c>
      <c r="H580" s="3"/>
      <c r="I580" s="6" t="s">
        <v>42</v>
      </c>
    </row>
    <row r="581">
      <c r="A581" s="8">
        <v>46353.0</v>
      </c>
      <c r="B581" s="2" t="s">
        <v>14</v>
      </c>
      <c r="C581" s="2" t="s">
        <v>612</v>
      </c>
      <c r="D581" s="4"/>
      <c r="E581" s="4">
        <v>8.58608E7</v>
      </c>
      <c r="F581" s="4" t="s">
        <v>7</v>
      </c>
      <c r="G581" s="3">
        <v>8.820776219000006E7</v>
      </c>
      <c r="H581" s="3"/>
      <c r="I581" s="6" t="s">
        <v>42</v>
      </c>
    </row>
    <row r="582">
      <c r="A582" s="8">
        <v>46353.0</v>
      </c>
      <c r="B582" s="2" t="s">
        <v>10</v>
      </c>
      <c r="C582" s="2" t="s">
        <v>613</v>
      </c>
      <c r="D582" s="4">
        <v>6048070.0</v>
      </c>
      <c r="E582" s="3"/>
      <c r="F582" s="4" t="s">
        <v>3</v>
      </c>
      <c r="G582" s="3">
        <v>8.215969219000006E7</v>
      </c>
      <c r="H582" s="3"/>
      <c r="I582" s="6" t="s">
        <v>42</v>
      </c>
    </row>
    <row r="583">
      <c r="A583" s="8">
        <v>46353.0</v>
      </c>
      <c r="B583" s="2" t="s">
        <v>10</v>
      </c>
      <c r="C583" s="2" t="s">
        <v>614</v>
      </c>
      <c r="D583" s="4">
        <v>1818430.0</v>
      </c>
      <c r="E583" s="3"/>
      <c r="F583" s="4" t="s">
        <v>3</v>
      </c>
      <c r="G583" s="3">
        <v>8.034126219000006E7</v>
      </c>
      <c r="H583" s="3"/>
      <c r="I583" s="6" t="s">
        <v>42</v>
      </c>
    </row>
    <row r="584">
      <c r="A584" s="8">
        <v>46353.0</v>
      </c>
      <c r="B584" s="2" t="s">
        <v>10</v>
      </c>
      <c r="C584" s="2" t="s">
        <v>615</v>
      </c>
      <c r="D584" s="4">
        <v>3470740.0</v>
      </c>
      <c r="E584" s="3"/>
      <c r="F584" s="4" t="s">
        <v>3</v>
      </c>
      <c r="G584" s="3">
        <v>7.687052219000006E7</v>
      </c>
      <c r="H584" s="4">
        <v>7.687052219E7</v>
      </c>
      <c r="I584" s="6" t="s">
        <v>42</v>
      </c>
    </row>
    <row r="585">
      <c r="A585" s="8">
        <v>46353.0</v>
      </c>
      <c r="B585" s="2" t="s">
        <v>10</v>
      </c>
      <c r="C585" s="2" t="s">
        <v>616</v>
      </c>
      <c r="D585" s="4">
        <v>1800000.0</v>
      </c>
      <c r="E585" s="3"/>
      <c r="F585" s="4" t="s">
        <v>3</v>
      </c>
      <c r="G585" s="3">
        <v>7.507052219000006E7</v>
      </c>
      <c r="H585" s="4">
        <v>7.507052219E7</v>
      </c>
      <c r="I585" s="6" t="s">
        <v>42</v>
      </c>
    </row>
    <row r="586">
      <c r="A586" s="8">
        <v>46353.0</v>
      </c>
      <c r="B586" s="2" t="s">
        <v>10</v>
      </c>
      <c r="C586" s="2" t="s">
        <v>617</v>
      </c>
      <c r="D586" s="4">
        <v>2.0E7</v>
      </c>
      <c r="E586" s="3"/>
      <c r="F586" s="4" t="s">
        <v>3</v>
      </c>
      <c r="G586" s="3">
        <v>5.507052219000006E7</v>
      </c>
      <c r="H586" s="4">
        <v>5.507052219E7</v>
      </c>
      <c r="I586" s="6" t="s">
        <v>42</v>
      </c>
    </row>
    <row r="587">
      <c r="A587" s="8">
        <v>46354.0</v>
      </c>
      <c r="B587" s="2" t="s">
        <v>10</v>
      </c>
      <c r="C587" s="2" t="s">
        <v>618</v>
      </c>
      <c r="D587" s="4">
        <v>500000.0</v>
      </c>
      <c r="E587" s="3"/>
      <c r="F587" s="4" t="s">
        <v>3</v>
      </c>
      <c r="G587" s="3">
        <v>5.457052219000006E7</v>
      </c>
      <c r="H587" s="3"/>
      <c r="I587" s="6" t="s">
        <v>42</v>
      </c>
    </row>
    <row r="588">
      <c r="A588" s="8">
        <v>46354.0</v>
      </c>
      <c r="B588" s="2" t="s">
        <v>10</v>
      </c>
      <c r="C588" s="2" t="s">
        <v>619</v>
      </c>
      <c r="D588" s="4">
        <v>4.34505E7</v>
      </c>
      <c r="E588" s="3"/>
      <c r="F588" s="4" t="s">
        <v>3</v>
      </c>
      <c r="G588" s="3">
        <v>1.1120022190000057E7</v>
      </c>
      <c r="H588" s="3"/>
      <c r="I588" s="6" t="s">
        <v>42</v>
      </c>
    </row>
    <row r="589">
      <c r="A589" s="8">
        <v>46354.0</v>
      </c>
      <c r="B589" s="2" t="s">
        <v>10</v>
      </c>
      <c r="C589" s="2" t="s">
        <v>620</v>
      </c>
      <c r="D589" s="4">
        <v>2875900.0</v>
      </c>
      <c r="E589" s="3"/>
      <c r="F589" s="4" t="s">
        <v>3</v>
      </c>
      <c r="G589" s="3">
        <v>8244122.190000057</v>
      </c>
      <c r="H589" s="3"/>
      <c r="I589" s="6" t="s">
        <v>42</v>
      </c>
    </row>
    <row r="590">
      <c r="A590" s="8">
        <v>46354.0</v>
      </c>
      <c r="B590" s="2" t="s">
        <v>14</v>
      </c>
      <c r="C590" s="2" t="s">
        <v>621</v>
      </c>
      <c r="D590" s="4"/>
      <c r="E590" s="4">
        <v>1.1565435E8</v>
      </c>
      <c r="F590" s="4" t="s">
        <v>7</v>
      </c>
      <c r="G590" s="3">
        <v>1.2389847219000006E8</v>
      </c>
      <c r="H590" s="3"/>
      <c r="I590" s="6" t="s">
        <v>42</v>
      </c>
    </row>
    <row r="591">
      <c r="A591" s="8">
        <v>46354.0</v>
      </c>
      <c r="B591" s="2" t="s">
        <v>10</v>
      </c>
      <c r="C591" s="2" t="s">
        <v>622</v>
      </c>
      <c r="D591" s="4">
        <v>1.00155E8</v>
      </c>
      <c r="E591" s="3"/>
      <c r="F591" s="4" t="s">
        <v>3</v>
      </c>
      <c r="G591" s="3">
        <v>2.3743472190000057E7</v>
      </c>
      <c r="H591" s="3"/>
      <c r="I591" s="6" t="s">
        <v>42</v>
      </c>
    </row>
    <row r="592">
      <c r="A592" s="8">
        <v>46354.0</v>
      </c>
      <c r="B592" s="2" t="s">
        <v>623</v>
      </c>
      <c r="C592" s="2" t="s">
        <v>623</v>
      </c>
      <c r="D592" s="4">
        <v>200000.0</v>
      </c>
      <c r="E592" s="3"/>
      <c r="F592" s="3"/>
      <c r="G592" s="3">
        <v>2.3543472190000057E7</v>
      </c>
      <c r="H592" s="3"/>
      <c r="I592" s="6" t="s">
        <v>42</v>
      </c>
    </row>
    <row r="593">
      <c r="A593" s="8">
        <v>46354.0</v>
      </c>
      <c r="B593" s="2" t="s">
        <v>14</v>
      </c>
      <c r="C593" s="2" t="s">
        <v>624</v>
      </c>
      <c r="D593" s="4"/>
      <c r="E593" s="4">
        <v>2.11220485E8</v>
      </c>
      <c r="F593" s="4" t="s">
        <v>7</v>
      </c>
      <c r="G593" s="3">
        <v>2.3476395719000006E8</v>
      </c>
      <c r="H593" s="3"/>
      <c r="I593" s="6" t="s">
        <v>42</v>
      </c>
    </row>
    <row r="594">
      <c r="A594" s="8">
        <v>46354.0</v>
      </c>
      <c r="B594" s="2" t="s">
        <v>14</v>
      </c>
      <c r="C594" s="2" t="s">
        <v>625</v>
      </c>
      <c r="D594" s="4"/>
      <c r="E594" s="4">
        <v>5.928E7</v>
      </c>
      <c r="F594" s="4" t="s">
        <v>7</v>
      </c>
      <c r="G594" s="3">
        <v>2.9404395719000006E8</v>
      </c>
      <c r="H594" s="3"/>
      <c r="I594" s="6" t="s">
        <v>42</v>
      </c>
    </row>
    <row r="595">
      <c r="A595" s="8">
        <v>46354.0</v>
      </c>
      <c r="B595" s="2" t="s">
        <v>10</v>
      </c>
      <c r="C595" s="2" t="s">
        <v>626</v>
      </c>
      <c r="D595" s="4">
        <v>2250000.0</v>
      </c>
      <c r="E595" s="3"/>
      <c r="F595" s="4" t="s">
        <v>3</v>
      </c>
      <c r="G595" s="3">
        <v>2.9179395719000006E8</v>
      </c>
      <c r="H595" s="3"/>
      <c r="I595" s="6" t="s">
        <v>42</v>
      </c>
    </row>
    <row r="596">
      <c r="A596" s="8">
        <v>46354.0</v>
      </c>
      <c r="B596" s="2" t="s">
        <v>10</v>
      </c>
      <c r="C596" s="2" t="s">
        <v>627</v>
      </c>
      <c r="D596" s="4">
        <v>2.3662E7</v>
      </c>
      <c r="E596" s="3"/>
      <c r="F596" s="4" t="s">
        <v>3</v>
      </c>
      <c r="G596" s="3">
        <v>2.6813195719000006E8</v>
      </c>
      <c r="H596" s="3"/>
      <c r="I596" s="6" t="s">
        <v>42</v>
      </c>
    </row>
    <row r="597">
      <c r="A597" s="8">
        <v>46354.0</v>
      </c>
      <c r="B597" s="2" t="s">
        <v>10</v>
      </c>
      <c r="C597" s="2" t="s">
        <v>628</v>
      </c>
      <c r="D597" s="4">
        <v>1.0524298E8</v>
      </c>
      <c r="E597" s="3"/>
      <c r="F597" s="4" t="s">
        <v>3</v>
      </c>
      <c r="G597" s="3">
        <v>1.6288897719000006E8</v>
      </c>
      <c r="H597" s="4">
        <v>1.6288897719E8</v>
      </c>
      <c r="I597" s="6" t="s">
        <v>42</v>
      </c>
    </row>
    <row r="598">
      <c r="A598" s="8">
        <v>46354.0</v>
      </c>
      <c r="B598" s="2" t="s">
        <v>14</v>
      </c>
      <c r="C598" s="2" t="s">
        <v>629</v>
      </c>
      <c r="D598" s="4"/>
      <c r="E598" s="4">
        <v>1.873424E8</v>
      </c>
      <c r="F598" s="4" t="s">
        <v>7</v>
      </c>
      <c r="G598" s="3">
        <v>3.5023137719000006E8</v>
      </c>
      <c r="H598" s="4">
        <v>3.5023137719E8</v>
      </c>
      <c r="I598" s="6" t="s">
        <v>42</v>
      </c>
    </row>
    <row r="599">
      <c r="A599" s="8">
        <v>46354.0</v>
      </c>
      <c r="B599" s="2" t="s">
        <v>10</v>
      </c>
      <c r="C599" s="2" t="s">
        <v>630</v>
      </c>
      <c r="D599" s="4">
        <v>4.42635E7</v>
      </c>
      <c r="E599" s="3"/>
      <c r="F599" s="4" t="s">
        <v>3</v>
      </c>
      <c r="G599" s="3">
        <v>3.0596787719000006E8</v>
      </c>
      <c r="H599" s="3"/>
      <c r="I599" s="6" t="s">
        <v>42</v>
      </c>
    </row>
    <row r="600">
      <c r="A600" s="8">
        <v>46354.0</v>
      </c>
      <c r="B600" s="2" t="s">
        <v>10</v>
      </c>
      <c r="C600" s="2" t="s">
        <v>631</v>
      </c>
      <c r="D600" s="4">
        <v>4.6107E7</v>
      </c>
      <c r="E600" s="3"/>
      <c r="F600" s="4" t="s">
        <v>3</v>
      </c>
      <c r="G600" s="3">
        <v>2.5986087719000006E8</v>
      </c>
      <c r="H600" s="3"/>
      <c r="I600" s="6" t="s">
        <v>42</v>
      </c>
    </row>
    <row r="601">
      <c r="A601" s="8">
        <v>46354.0</v>
      </c>
      <c r="B601" s="2" t="s">
        <v>10</v>
      </c>
      <c r="C601" s="2" t="s">
        <v>632</v>
      </c>
      <c r="D601" s="4">
        <v>5.15881E7</v>
      </c>
      <c r="E601" s="3"/>
      <c r="F601" s="4" t="s">
        <v>3</v>
      </c>
      <c r="G601" s="3">
        <v>2.0827277719000006E8</v>
      </c>
      <c r="H601" s="3"/>
      <c r="I601" s="6" t="s">
        <v>42</v>
      </c>
    </row>
    <row r="602">
      <c r="A602" s="8">
        <v>46354.0</v>
      </c>
      <c r="B602" s="2" t="s">
        <v>14</v>
      </c>
      <c r="C602" s="2" t="s">
        <v>633</v>
      </c>
      <c r="D602" s="4"/>
      <c r="E602" s="4">
        <v>4.65E7</v>
      </c>
      <c r="F602" s="4" t="s">
        <v>7</v>
      </c>
      <c r="G602" s="3">
        <v>2.5477277719000006E8</v>
      </c>
      <c r="H602" s="3"/>
      <c r="I602" s="6" t="s">
        <v>42</v>
      </c>
    </row>
    <row r="603">
      <c r="A603" s="8">
        <v>46354.0</v>
      </c>
      <c r="B603" s="2" t="s">
        <v>14</v>
      </c>
      <c r="C603" s="2" t="s">
        <v>634</v>
      </c>
      <c r="D603" s="4"/>
      <c r="E603" s="4">
        <v>8.0E7</v>
      </c>
      <c r="F603" s="4" t="s">
        <v>7</v>
      </c>
      <c r="G603" s="3">
        <v>3.3477277719000006E8</v>
      </c>
      <c r="H603" s="3"/>
      <c r="I603" s="6" t="s">
        <v>42</v>
      </c>
    </row>
    <row r="604">
      <c r="A604" s="8">
        <v>46354.0</v>
      </c>
      <c r="B604" s="2" t="s">
        <v>10</v>
      </c>
      <c r="C604" s="2" t="s">
        <v>635</v>
      </c>
      <c r="D604" s="4">
        <v>7286870.0</v>
      </c>
      <c r="E604" s="3"/>
      <c r="F604" s="4" t="s">
        <v>3</v>
      </c>
      <c r="G604" s="3">
        <v>3.2748590719000006E8</v>
      </c>
      <c r="H604" s="3"/>
      <c r="I604" s="6" t="s">
        <v>42</v>
      </c>
    </row>
    <row r="605">
      <c r="A605" s="8">
        <v>46354.0</v>
      </c>
      <c r="B605" s="2" t="s">
        <v>10</v>
      </c>
      <c r="C605" s="2" t="s">
        <v>636</v>
      </c>
      <c r="D605" s="4">
        <v>1.4088E8</v>
      </c>
      <c r="E605" s="3"/>
      <c r="F605" s="4" t="s">
        <v>3</v>
      </c>
      <c r="G605" s="3">
        <v>1.8660590719000006E8</v>
      </c>
      <c r="H605" s="3"/>
      <c r="I605" s="6" t="s">
        <v>42</v>
      </c>
    </row>
    <row r="606">
      <c r="A606" s="8">
        <v>46354.0</v>
      </c>
      <c r="B606" s="2" t="s">
        <v>10</v>
      </c>
      <c r="C606" s="2" t="s">
        <v>637</v>
      </c>
      <c r="D606" s="4">
        <v>1.8148795E8</v>
      </c>
      <c r="E606" s="3"/>
      <c r="F606" s="4" t="s">
        <v>3</v>
      </c>
      <c r="G606" s="3">
        <v>5117957.190000057</v>
      </c>
      <c r="H606" s="3"/>
      <c r="I606" s="6" t="s">
        <v>42</v>
      </c>
    </row>
    <row r="607">
      <c r="A607" s="8">
        <v>46354.0</v>
      </c>
      <c r="B607" s="2" t="s">
        <v>14</v>
      </c>
      <c r="C607" s="2" t="s">
        <v>638</v>
      </c>
      <c r="D607" s="4"/>
      <c r="E607" s="4">
        <v>2.801596E8</v>
      </c>
      <c r="F607" s="4" t="s">
        <v>7</v>
      </c>
      <c r="G607" s="3">
        <v>2.8527755719000006E8</v>
      </c>
      <c r="H607" s="3"/>
      <c r="I607" s="6" t="s">
        <v>42</v>
      </c>
    </row>
    <row r="608">
      <c r="A608" s="8">
        <v>46354.0</v>
      </c>
      <c r="B608" s="2" t="s">
        <v>10</v>
      </c>
      <c r="C608" s="2" t="s">
        <v>639</v>
      </c>
      <c r="D608" s="4">
        <v>3100000.0</v>
      </c>
      <c r="E608" s="3"/>
      <c r="F608" s="4" t="s">
        <v>3</v>
      </c>
      <c r="G608" s="3">
        <v>2.8217755719000006E8</v>
      </c>
      <c r="H608" s="3"/>
      <c r="I608" s="6" t="s">
        <v>42</v>
      </c>
    </row>
    <row r="609">
      <c r="A609" s="8">
        <v>46354.0</v>
      </c>
      <c r="B609" s="2" t="s">
        <v>10</v>
      </c>
      <c r="C609" s="2" t="s">
        <v>640</v>
      </c>
      <c r="D609" s="4">
        <v>1.077559E7</v>
      </c>
      <c r="E609" s="3"/>
      <c r="F609" s="4" t="s">
        <v>3</v>
      </c>
      <c r="G609" s="3">
        <v>2.7140196719000006E8</v>
      </c>
      <c r="H609" s="3"/>
      <c r="I609" s="6" t="s">
        <v>42</v>
      </c>
    </row>
    <row r="610">
      <c r="A610" s="8">
        <v>46354.0</v>
      </c>
      <c r="B610" s="2" t="s">
        <v>10</v>
      </c>
      <c r="C610" s="2" t="s">
        <v>641</v>
      </c>
      <c r="D610" s="4">
        <v>3000000.0</v>
      </c>
      <c r="E610" s="3"/>
      <c r="F610" s="4" t="s">
        <v>3</v>
      </c>
      <c r="G610" s="3">
        <v>2.6840196719000006E8</v>
      </c>
      <c r="H610" s="4">
        <v>2.6840196719E8</v>
      </c>
      <c r="I610" s="6" t="s">
        <v>42</v>
      </c>
    </row>
    <row r="611">
      <c r="A611" s="8">
        <v>46355.0</v>
      </c>
      <c r="B611" s="2" t="s">
        <v>642</v>
      </c>
      <c r="C611" s="2" t="s">
        <v>643</v>
      </c>
      <c r="D611" s="4">
        <v>8.5767E7</v>
      </c>
      <c r="E611" s="3"/>
      <c r="F611" s="4" t="s">
        <v>3</v>
      </c>
      <c r="G611" s="3">
        <v>1.8263496719000006E8</v>
      </c>
      <c r="H611" s="4">
        <v>1.8263496719E8</v>
      </c>
      <c r="I611" s="6" t="s">
        <v>42</v>
      </c>
    </row>
    <row r="612">
      <c r="A612" s="8">
        <v>46355.0</v>
      </c>
      <c r="B612" s="2" t="s">
        <v>642</v>
      </c>
      <c r="C612" s="2" t="s">
        <v>644</v>
      </c>
      <c r="D612" s="4">
        <v>5.41415E7</v>
      </c>
      <c r="E612" s="3"/>
      <c r="F612" s="4" t="s">
        <v>3</v>
      </c>
      <c r="G612" s="3">
        <v>1.2849346719000006E8</v>
      </c>
      <c r="H612" s="3"/>
      <c r="I612" s="6" t="s">
        <v>42</v>
      </c>
    </row>
    <row r="613">
      <c r="A613" s="8">
        <v>46355.0</v>
      </c>
      <c r="B613" s="2" t="s">
        <v>642</v>
      </c>
      <c r="C613" s="2" t="s">
        <v>645</v>
      </c>
      <c r="D613" s="4">
        <v>3.75685E7</v>
      </c>
      <c r="E613" s="3"/>
      <c r="F613" s="4" t="s">
        <v>3</v>
      </c>
      <c r="G613" s="3">
        <v>9.092496719000006E7</v>
      </c>
      <c r="H613" s="3"/>
      <c r="I613" s="6" t="s">
        <v>42</v>
      </c>
    </row>
    <row r="614">
      <c r="A614" s="8">
        <v>46355.0</v>
      </c>
      <c r="B614" s="2" t="s">
        <v>646</v>
      </c>
      <c r="C614" s="2" t="s">
        <v>647</v>
      </c>
      <c r="D614" s="4"/>
      <c r="E614" s="4">
        <v>3.526443E7</v>
      </c>
      <c r="F614" s="4" t="s">
        <v>7</v>
      </c>
      <c r="G614" s="3">
        <v>1.2618939719000006E8</v>
      </c>
      <c r="H614" s="3"/>
      <c r="I614" s="6" t="s">
        <v>42</v>
      </c>
    </row>
    <row r="615">
      <c r="A615" s="8">
        <v>46355.0</v>
      </c>
      <c r="B615" s="2" t="s">
        <v>10</v>
      </c>
      <c r="C615" s="2" t="s">
        <v>648</v>
      </c>
      <c r="D615" s="4">
        <v>4.5E7</v>
      </c>
      <c r="E615" s="3"/>
      <c r="F615" s="4" t="s">
        <v>3</v>
      </c>
      <c r="G615" s="3">
        <v>8.118939719000006E7</v>
      </c>
      <c r="H615" s="3"/>
      <c r="I615" s="6" t="s">
        <v>42</v>
      </c>
    </row>
    <row r="616">
      <c r="A616" s="8">
        <v>46355.0</v>
      </c>
      <c r="B616" s="2" t="s">
        <v>10</v>
      </c>
      <c r="C616" s="2" t="s">
        <v>649</v>
      </c>
      <c r="D616" s="4">
        <v>600000.0</v>
      </c>
      <c r="E616" s="3"/>
      <c r="F616" s="4" t="s">
        <v>3</v>
      </c>
      <c r="G616" s="3">
        <v>8.058939719000006E7</v>
      </c>
      <c r="H616" s="3"/>
      <c r="I616" s="6" t="s">
        <v>42</v>
      </c>
    </row>
    <row r="617">
      <c r="A617" s="8">
        <v>46355.0</v>
      </c>
      <c r="B617" s="2" t="s">
        <v>10</v>
      </c>
      <c r="C617" s="2" t="s">
        <v>650</v>
      </c>
      <c r="D617" s="4">
        <v>2.60559E7</v>
      </c>
      <c r="E617" s="3"/>
      <c r="F617" s="4" t="s">
        <v>3</v>
      </c>
      <c r="G617" s="3">
        <v>5.453349719000006E7</v>
      </c>
      <c r="H617" s="3"/>
      <c r="I617" s="6" t="s">
        <v>42</v>
      </c>
    </row>
    <row r="618">
      <c r="A618" s="8">
        <v>46355.0</v>
      </c>
      <c r="B618" s="2" t="s">
        <v>226</v>
      </c>
      <c r="C618" s="2" t="s">
        <v>651</v>
      </c>
      <c r="D618" s="4">
        <v>100000.0</v>
      </c>
      <c r="E618" s="3"/>
      <c r="F618" s="4" t="s">
        <v>3</v>
      </c>
      <c r="G618" s="3">
        <v>5.443349719000006E7</v>
      </c>
      <c r="H618" s="3"/>
      <c r="I618" s="6" t="s">
        <v>42</v>
      </c>
    </row>
    <row r="619">
      <c r="A619" s="8">
        <v>46355.0</v>
      </c>
      <c r="B619" s="2" t="s">
        <v>226</v>
      </c>
      <c r="C619" s="2" t="s">
        <v>652</v>
      </c>
      <c r="D619" s="4">
        <v>2500.0</v>
      </c>
      <c r="E619" s="3"/>
      <c r="F619" s="4" t="s">
        <v>3</v>
      </c>
      <c r="G619" s="3">
        <v>5.443099719000006E7</v>
      </c>
      <c r="H619" s="3"/>
      <c r="I619" s="6" t="s">
        <v>42</v>
      </c>
    </row>
    <row r="620">
      <c r="A620" s="8">
        <v>46355.0</v>
      </c>
      <c r="B620" s="2" t="s">
        <v>10</v>
      </c>
      <c r="C620" s="2" t="s">
        <v>653</v>
      </c>
      <c r="D620" s="4">
        <v>4.63335E7</v>
      </c>
      <c r="E620" s="3"/>
      <c r="F620" s="4" t="s">
        <v>3</v>
      </c>
      <c r="G620" s="3">
        <v>8097497.190000057</v>
      </c>
      <c r="H620" s="3"/>
      <c r="I620" s="6" t="s">
        <v>42</v>
      </c>
    </row>
    <row r="621">
      <c r="A621" s="8">
        <v>46355.0</v>
      </c>
      <c r="B621" s="2" t="s">
        <v>226</v>
      </c>
      <c r="C621" s="2" t="s">
        <v>654</v>
      </c>
      <c r="D621" s="4">
        <v>6956000.0</v>
      </c>
      <c r="E621" s="3"/>
      <c r="F621" s="4" t="s">
        <v>3</v>
      </c>
      <c r="G621" s="3">
        <v>1141497.1900000572</v>
      </c>
      <c r="H621" s="3"/>
      <c r="I621" s="6" t="s">
        <v>42</v>
      </c>
    </row>
    <row r="622">
      <c r="A622" s="8">
        <v>46355.0</v>
      </c>
      <c r="B622" s="2" t="s">
        <v>226</v>
      </c>
      <c r="C622" s="2" t="s">
        <v>655</v>
      </c>
      <c r="D622" s="4">
        <v>2500.0</v>
      </c>
      <c r="E622" s="3"/>
      <c r="F622" s="4" t="s">
        <v>3</v>
      </c>
      <c r="G622" s="3">
        <v>1138997.1900000572</v>
      </c>
      <c r="H622" s="4">
        <v>1138997.19</v>
      </c>
      <c r="I622" s="6" t="s">
        <v>42</v>
      </c>
    </row>
    <row r="623">
      <c r="A623" s="8">
        <v>46355.0</v>
      </c>
      <c r="B623" s="2" t="s">
        <v>10</v>
      </c>
      <c r="C623" s="2" t="s">
        <v>656</v>
      </c>
      <c r="D623" s="4">
        <v>150000.0</v>
      </c>
      <c r="E623" s="3"/>
      <c r="F623" s="4" t="s">
        <v>3</v>
      </c>
      <c r="G623" s="3">
        <v>988997.1900000572</v>
      </c>
      <c r="H623" s="3"/>
      <c r="I623" s="6" t="s">
        <v>42</v>
      </c>
    </row>
    <row r="624">
      <c r="A624" s="8">
        <v>46355.0</v>
      </c>
      <c r="B624" s="2" t="s">
        <v>14</v>
      </c>
      <c r="C624" s="2" t="s">
        <v>657</v>
      </c>
      <c r="D624" s="4"/>
      <c r="E624" s="4">
        <v>1000000.0</v>
      </c>
      <c r="F624" s="4" t="s">
        <v>7</v>
      </c>
      <c r="G624" s="3">
        <v>1988997.1900000572</v>
      </c>
      <c r="H624" s="3"/>
      <c r="I624" s="6" t="s">
        <v>42</v>
      </c>
    </row>
    <row r="625">
      <c r="A625" s="8">
        <v>46355.0</v>
      </c>
      <c r="B625" s="2" t="s">
        <v>658</v>
      </c>
      <c r="C625" s="2" t="s">
        <v>658</v>
      </c>
      <c r="D625" s="4">
        <v>50000.0</v>
      </c>
      <c r="E625" s="3"/>
      <c r="F625" s="3"/>
      <c r="G625" s="3">
        <v>1938997.1900000572</v>
      </c>
      <c r="H625" s="3"/>
      <c r="I625" s="6" t="s">
        <v>42</v>
      </c>
    </row>
    <row r="626">
      <c r="A626" s="8">
        <v>46355.0</v>
      </c>
      <c r="B626" s="2" t="s">
        <v>14</v>
      </c>
      <c r="C626" s="2" t="s">
        <v>659</v>
      </c>
      <c r="D626" s="4"/>
      <c r="E626" s="4">
        <v>6.24914E7</v>
      </c>
      <c r="F626" s="4" t="s">
        <v>7</v>
      </c>
      <c r="G626" s="3">
        <v>6.443039719000006E7</v>
      </c>
      <c r="H626" s="3"/>
      <c r="I626" s="6" t="s">
        <v>42</v>
      </c>
    </row>
    <row r="627">
      <c r="A627" s="8">
        <v>46355.0</v>
      </c>
      <c r="B627" s="2" t="s">
        <v>658</v>
      </c>
      <c r="C627" s="2" t="s">
        <v>658</v>
      </c>
      <c r="D627" s="4">
        <v>200000.0</v>
      </c>
      <c r="E627" s="3"/>
      <c r="F627" s="3"/>
      <c r="G627" s="3">
        <v>6.423039719000006E7</v>
      </c>
      <c r="H627" s="3"/>
      <c r="I627" s="6" t="s">
        <v>42</v>
      </c>
    </row>
    <row r="628">
      <c r="A628" s="8">
        <v>46355.0</v>
      </c>
      <c r="B628" s="2" t="s">
        <v>10</v>
      </c>
      <c r="C628" s="2" t="s">
        <v>660</v>
      </c>
      <c r="D628" s="4">
        <v>4.79616E7</v>
      </c>
      <c r="E628" s="3"/>
      <c r="F628" s="4" t="s">
        <v>3</v>
      </c>
      <c r="G628" s="3">
        <v>1.6268797190000057E7</v>
      </c>
      <c r="H628" s="3"/>
      <c r="I628" s="6" t="s">
        <v>42</v>
      </c>
    </row>
    <row r="629">
      <c r="A629" s="8">
        <v>46355.0</v>
      </c>
      <c r="B629" s="2" t="s">
        <v>14</v>
      </c>
      <c r="C629" s="2" t="s">
        <v>661</v>
      </c>
      <c r="D629" s="4"/>
      <c r="E629" s="4">
        <v>1.132846E8</v>
      </c>
      <c r="F629" s="4" t="s">
        <v>7</v>
      </c>
      <c r="G629" s="3">
        <v>1.2955339719000006E8</v>
      </c>
      <c r="H629" s="3"/>
      <c r="I629" s="6" t="s">
        <v>42</v>
      </c>
    </row>
    <row r="630">
      <c r="A630" s="8">
        <v>46355.0</v>
      </c>
      <c r="B630" s="2" t="s">
        <v>14</v>
      </c>
      <c r="C630" s="2" t="s">
        <v>662</v>
      </c>
      <c r="D630" s="4"/>
      <c r="E630" s="4">
        <v>2.2655985E8</v>
      </c>
      <c r="F630" s="4" t="s">
        <v>7</v>
      </c>
      <c r="G630" s="3">
        <v>3.5611324719000006E8</v>
      </c>
      <c r="H630" s="3"/>
      <c r="I630" s="6" t="s">
        <v>42</v>
      </c>
    </row>
    <row r="631">
      <c r="A631" s="8">
        <v>46355.0</v>
      </c>
      <c r="B631" s="2" t="s">
        <v>14</v>
      </c>
      <c r="C631" s="2" t="s">
        <v>663</v>
      </c>
      <c r="D631" s="4"/>
      <c r="E631" s="4">
        <v>4.9986411E7</v>
      </c>
      <c r="F631" s="4" t="s">
        <v>7</v>
      </c>
      <c r="G631" s="3">
        <v>4.0609965819000006E8</v>
      </c>
      <c r="H631" s="3"/>
      <c r="I631" s="6" t="s">
        <v>42</v>
      </c>
    </row>
    <row r="632">
      <c r="A632" s="8">
        <v>46355.0</v>
      </c>
      <c r="B632" s="2" t="s">
        <v>14</v>
      </c>
      <c r="C632" s="2" t="s">
        <v>664</v>
      </c>
      <c r="D632" s="4"/>
      <c r="E632" s="4">
        <v>9.3502508E7</v>
      </c>
      <c r="F632" s="4" t="s">
        <v>7</v>
      </c>
      <c r="G632" s="3">
        <v>4.9960216619000006E8</v>
      </c>
      <c r="H632" s="3"/>
      <c r="I632" s="6" t="s">
        <v>42</v>
      </c>
    </row>
    <row r="633">
      <c r="A633" s="8">
        <v>46355.0</v>
      </c>
      <c r="B633" s="2" t="s">
        <v>10</v>
      </c>
      <c r="C633" s="2" t="s">
        <v>665</v>
      </c>
      <c r="D633" s="4">
        <v>4.66976E7</v>
      </c>
      <c r="E633" s="3"/>
      <c r="F633" s="4" t="s">
        <v>3</v>
      </c>
      <c r="G633" s="3">
        <v>4.5290456619000006E8</v>
      </c>
      <c r="H633" s="3"/>
      <c r="I633" s="6" t="s">
        <v>42</v>
      </c>
    </row>
    <row r="634">
      <c r="A634" s="8">
        <v>46355.0</v>
      </c>
      <c r="B634" s="2" t="s">
        <v>14</v>
      </c>
      <c r="C634" s="2" t="s">
        <v>666</v>
      </c>
      <c r="D634" s="4"/>
      <c r="E634" s="4">
        <v>4.706348E7</v>
      </c>
      <c r="F634" s="4" t="s">
        <v>7</v>
      </c>
      <c r="G634" s="3">
        <v>4.9996804619000006E8</v>
      </c>
      <c r="H634" s="3"/>
      <c r="I634" s="6" t="s">
        <v>42</v>
      </c>
    </row>
    <row r="635">
      <c r="A635" s="8">
        <v>46355.0</v>
      </c>
      <c r="B635" s="2" t="s">
        <v>10</v>
      </c>
      <c r="C635" s="2" t="s">
        <v>667</v>
      </c>
      <c r="D635" s="4">
        <v>1.147486E8</v>
      </c>
      <c r="E635" s="3"/>
      <c r="F635" s="4" t="s">
        <v>3</v>
      </c>
      <c r="G635" s="3">
        <v>3.8521944619000006E8</v>
      </c>
      <c r="H635" s="3"/>
      <c r="I635" s="6" t="s">
        <v>42</v>
      </c>
    </row>
    <row r="636">
      <c r="A636" s="8">
        <v>46355.0</v>
      </c>
      <c r="B636" s="2" t="s">
        <v>10</v>
      </c>
      <c r="C636" s="2" t="s">
        <v>668</v>
      </c>
      <c r="D636" s="4">
        <v>5.43552E7</v>
      </c>
      <c r="E636" s="3"/>
      <c r="F636" s="4" t="s">
        <v>3</v>
      </c>
      <c r="G636" s="3">
        <v>3.3086424619000006E8</v>
      </c>
      <c r="H636" s="4">
        <v>3.3086424619E8</v>
      </c>
      <c r="I636" s="6" t="s">
        <v>42</v>
      </c>
    </row>
    <row r="637">
      <c r="A637" s="8">
        <v>46355.0</v>
      </c>
      <c r="B637" s="2" t="s">
        <v>10</v>
      </c>
      <c r="C637" s="2" t="s">
        <v>669</v>
      </c>
      <c r="D637" s="4">
        <v>4.54119E7</v>
      </c>
      <c r="E637" s="3"/>
      <c r="F637" s="4" t="s">
        <v>3</v>
      </c>
      <c r="G637" s="3">
        <v>2.8545234619000006E8</v>
      </c>
      <c r="H637" s="4">
        <v>2.8545234619E8</v>
      </c>
      <c r="I637" s="6" t="s">
        <v>42</v>
      </c>
    </row>
    <row r="638">
      <c r="A638" s="8">
        <v>46355.0</v>
      </c>
      <c r="B638" s="2" t="s">
        <v>10</v>
      </c>
      <c r="C638" s="2" t="s">
        <v>670</v>
      </c>
      <c r="D638" s="4">
        <v>4.73616E7</v>
      </c>
      <c r="E638" s="3"/>
      <c r="F638" s="4" t="s">
        <v>3</v>
      </c>
      <c r="G638" s="3">
        <v>2.3809074619000006E8</v>
      </c>
      <c r="H638" s="3"/>
      <c r="I638" s="6" t="s">
        <v>42</v>
      </c>
    </row>
    <row r="639">
      <c r="A639" s="8">
        <v>46355.0</v>
      </c>
      <c r="B639" s="2" t="s">
        <v>10</v>
      </c>
      <c r="C639" s="2" t="s">
        <v>671</v>
      </c>
      <c r="D639" s="4">
        <v>4.06575E7</v>
      </c>
      <c r="E639" s="3"/>
      <c r="F639" s="4" t="s">
        <v>3</v>
      </c>
      <c r="G639" s="3">
        <v>1.9743324619000006E8</v>
      </c>
      <c r="H639" s="3"/>
      <c r="I639" s="6" t="s">
        <v>42</v>
      </c>
    </row>
    <row r="640">
      <c r="A640" s="8">
        <v>46355.0</v>
      </c>
      <c r="B640" s="2" t="s">
        <v>10</v>
      </c>
      <c r="C640" s="2" t="s">
        <v>672</v>
      </c>
      <c r="D640" s="4">
        <v>4.6779E7</v>
      </c>
      <c r="E640" s="3"/>
      <c r="F640" s="4" t="s">
        <v>3</v>
      </c>
      <c r="G640" s="3">
        <v>1.5065424619000006E8</v>
      </c>
      <c r="H640" s="3"/>
      <c r="I640" s="6" t="s">
        <v>42</v>
      </c>
    </row>
    <row r="641">
      <c r="A641" s="8">
        <v>46355.0</v>
      </c>
      <c r="B641" s="2" t="s">
        <v>10</v>
      </c>
      <c r="C641" s="2" t="s">
        <v>673</v>
      </c>
      <c r="D641" s="4">
        <v>1.390805E7</v>
      </c>
      <c r="E641" s="3"/>
      <c r="F641" s="4" t="s">
        <v>3</v>
      </c>
      <c r="G641" s="3">
        <v>1.3674619619000006E8</v>
      </c>
      <c r="H641" s="3"/>
      <c r="I641" s="6" t="s">
        <v>42</v>
      </c>
    </row>
    <row r="642">
      <c r="A642" s="8">
        <v>46355.0</v>
      </c>
      <c r="B642" s="2" t="s">
        <v>10</v>
      </c>
      <c r="C642" s="2" t="s">
        <v>674</v>
      </c>
      <c r="D642" s="4">
        <v>1.284325E7</v>
      </c>
      <c r="E642" s="3"/>
      <c r="F642" s="4" t="s">
        <v>3</v>
      </c>
      <c r="G642" s="3">
        <v>1.2390294619000006E8</v>
      </c>
      <c r="H642" s="3"/>
      <c r="I642" s="6" t="s">
        <v>42</v>
      </c>
    </row>
    <row r="643">
      <c r="A643" s="8">
        <v>46355.0</v>
      </c>
      <c r="B643" s="2" t="s">
        <v>10</v>
      </c>
      <c r="C643" s="2" t="s">
        <v>675</v>
      </c>
      <c r="D643" s="4">
        <v>3389730.0</v>
      </c>
      <c r="E643" s="3"/>
      <c r="F643" s="4" t="s">
        <v>3</v>
      </c>
      <c r="G643" s="3">
        <v>1.2051321619000006E8</v>
      </c>
      <c r="H643" s="3"/>
      <c r="I643" s="6" t="s">
        <v>42</v>
      </c>
    </row>
    <row r="644">
      <c r="A644" s="8">
        <v>46355.0</v>
      </c>
      <c r="B644" s="2" t="s">
        <v>14</v>
      </c>
      <c r="C644" s="2" t="s">
        <v>676</v>
      </c>
      <c r="D644" s="4"/>
      <c r="E644" s="4">
        <v>2.95E7</v>
      </c>
      <c r="F644" s="4" t="s">
        <v>7</v>
      </c>
      <c r="G644" s="3">
        <v>1.5001321619000006E8</v>
      </c>
      <c r="H644" s="3"/>
      <c r="I644" s="6" t="s">
        <v>42</v>
      </c>
    </row>
    <row r="645">
      <c r="A645" s="8">
        <v>46355.0</v>
      </c>
      <c r="B645" s="2" t="s">
        <v>10</v>
      </c>
      <c r="C645" s="2" t="s">
        <v>677</v>
      </c>
      <c r="D645" s="4">
        <v>3200000.0</v>
      </c>
      <c r="E645" s="3"/>
      <c r="F645" s="4" t="s">
        <v>3</v>
      </c>
      <c r="G645" s="3">
        <v>1.4681321619000006E8</v>
      </c>
      <c r="H645" s="3"/>
      <c r="I645" s="6" t="s">
        <v>42</v>
      </c>
    </row>
    <row r="646">
      <c r="A646" s="8">
        <v>46355.0</v>
      </c>
      <c r="B646" s="2" t="s">
        <v>10</v>
      </c>
      <c r="C646" s="2" t="s">
        <v>678</v>
      </c>
      <c r="D646" s="4">
        <v>1300000.0</v>
      </c>
      <c r="E646" s="3"/>
      <c r="F646" s="4" t="s">
        <v>3</v>
      </c>
      <c r="G646" s="3">
        <v>1.4551321619000006E8</v>
      </c>
      <c r="H646" s="3"/>
      <c r="I646" s="6" t="s">
        <v>42</v>
      </c>
    </row>
    <row r="647">
      <c r="A647" s="8">
        <v>46355.0</v>
      </c>
      <c r="B647" s="2" t="s">
        <v>10</v>
      </c>
      <c r="C647" s="2" t="s">
        <v>679</v>
      </c>
      <c r="D647" s="4">
        <v>1798280.0</v>
      </c>
      <c r="E647" s="3"/>
      <c r="F647" s="4" t="s">
        <v>3</v>
      </c>
      <c r="G647" s="3">
        <v>1.4371493619000006E8</v>
      </c>
      <c r="H647" s="3"/>
      <c r="I647" s="6" t="s">
        <v>42</v>
      </c>
    </row>
    <row r="648">
      <c r="A648" s="8">
        <v>46355.0</v>
      </c>
      <c r="B648" s="2" t="s">
        <v>10</v>
      </c>
      <c r="C648" s="2" t="s">
        <v>680</v>
      </c>
      <c r="D648" s="4">
        <v>2.936165E7</v>
      </c>
      <c r="E648" s="3"/>
      <c r="F648" s="4" t="s">
        <v>3</v>
      </c>
      <c r="G648" s="3">
        <v>1.1435328619000006E8</v>
      </c>
      <c r="H648" s="3"/>
      <c r="I648" s="6" t="s">
        <v>42</v>
      </c>
    </row>
    <row r="649">
      <c r="A649" s="8">
        <v>46355.0</v>
      </c>
      <c r="B649" s="2" t="s">
        <v>14</v>
      </c>
      <c r="C649" s="2" t="s">
        <v>681</v>
      </c>
      <c r="D649" s="4"/>
      <c r="E649" s="4">
        <v>6340020.0</v>
      </c>
      <c r="F649" s="4" t="s">
        <v>7</v>
      </c>
      <c r="G649" s="3">
        <v>1.2069330619000006E8</v>
      </c>
      <c r="H649" s="4">
        <v>1.2069330619E8</v>
      </c>
      <c r="I649" s="6" t="s">
        <v>42</v>
      </c>
    </row>
    <row r="650">
      <c r="A650" s="8">
        <v>46355.0</v>
      </c>
      <c r="B650" s="2" t="s">
        <v>10</v>
      </c>
      <c r="C650" s="2" t="s">
        <v>682</v>
      </c>
      <c r="D650" s="4">
        <v>750000.0</v>
      </c>
      <c r="E650" s="3"/>
      <c r="F650" s="4" t="s">
        <v>3</v>
      </c>
      <c r="G650" s="3">
        <v>1.1994330619000006E8</v>
      </c>
      <c r="H650" s="4">
        <v>1.1994330619E8</v>
      </c>
      <c r="I650" s="6" t="s">
        <v>42</v>
      </c>
    </row>
    <row r="651">
      <c r="A651" s="8">
        <v>46356.0</v>
      </c>
      <c r="B651" s="2" t="s">
        <v>683</v>
      </c>
      <c r="C651" s="2" t="s">
        <v>684</v>
      </c>
      <c r="D651" s="4"/>
      <c r="E651" s="4">
        <v>1.496288E7</v>
      </c>
      <c r="F651" s="4" t="s">
        <v>7</v>
      </c>
      <c r="G651" s="3">
        <v>1.3490618619000006E8</v>
      </c>
      <c r="H651" s="3"/>
      <c r="I651" s="6" t="s">
        <v>42</v>
      </c>
    </row>
    <row r="652">
      <c r="A652" s="8">
        <v>46356.0</v>
      </c>
      <c r="B652" s="2" t="s">
        <v>10</v>
      </c>
      <c r="C652" s="2" t="s">
        <v>685</v>
      </c>
      <c r="D652" s="4">
        <v>4.65E7</v>
      </c>
      <c r="E652" s="3"/>
      <c r="F652" s="4" t="s">
        <v>3</v>
      </c>
      <c r="G652" s="3">
        <v>8.840618619000006E7</v>
      </c>
      <c r="H652" s="3"/>
      <c r="I652" s="6" t="s">
        <v>42</v>
      </c>
    </row>
    <row r="653">
      <c r="A653" s="8">
        <v>46356.0</v>
      </c>
      <c r="B653" s="2" t="s">
        <v>10</v>
      </c>
      <c r="C653" s="2" t="s">
        <v>686</v>
      </c>
      <c r="D653" s="4">
        <v>4.97244E7</v>
      </c>
      <c r="E653" s="3"/>
      <c r="F653" s="4" t="s">
        <v>3</v>
      </c>
      <c r="G653" s="3">
        <v>3.868178619000006E7</v>
      </c>
      <c r="H653" s="3"/>
      <c r="I653" s="6" t="s">
        <v>42</v>
      </c>
    </row>
    <row r="654">
      <c r="A654" s="8">
        <v>46356.0</v>
      </c>
      <c r="B654" s="2" t="s">
        <v>10</v>
      </c>
      <c r="C654" s="2" t="s">
        <v>687</v>
      </c>
      <c r="D654" s="4">
        <v>1.4766E7</v>
      </c>
      <c r="E654" s="3"/>
      <c r="F654" s="4" t="s">
        <v>3</v>
      </c>
      <c r="G654" s="3">
        <v>2.3915786190000057E7</v>
      </c>
      <c r="H654" s="3"/>
      <c r="I654" s="6" t="s">
        <v>42</v>
      </c>
    </row>
    <row r="655">
      <c r="A655" s="8">
        <v>46356.0</v>
      </c>
      <c r="B655" s="2" t="s">
        <v>688</v>
      </c>
      <c r="C655" s="2" t="s">
        <v>688</v>
      </c>
      <c r="D655" s="4">
        <v>200000.0</v>
      </c>
      <c r="E655" s="3"/>
      <c r="F655" s="3"/>
      <c r="G655" s="3">
        <v>2.3715786190000057E7</v>
      </c>
      <c r="H655" s="3"/>
      <c r="I655" s="6" t="s">
        <v>42</v>
      </c>
    </row>
    <row r="656">
      <c r="A656" s="8">
        <v>46356.0</v>
      </c>
      <c r="B656" s="2" t="s">
        <v>14</v>
      </c>
      <c r="C656" s="2" t="s">
        <v>689</v>
      </c>
      <c r="D656" s="4"/>
      <c r="E656" s="4">
        <v>5.54211E7</v>
      </c>
      <c r="F656" s="4" t="s">
        <v>7</v>
      </c>
      <c r="G656" s="3">
        <v>7.913688619000006E7</v>
      </c>
      <c r="H656" s="3"/>
      <c r="I656" s="6" t="s">
        <v>42</v>
      </c>
    </row>
    <row r="657">
      <c r="A657" s="8">
        <v>46356.0</v>
      </c>
      <c r="B657" s="2" t="s">
        <v>10</v>
      </c>
      <c r="C657" s="2" t="s">
        <v>690</v>
      </c>
      <c r="D657" s="4">
        <v>500000.0</v>
      </c>
      <c r="E657" s="3"/>
      <c r="F657" s="4" t="s">
        <v>3</v>
      </c>
      <c r="G657" s="3">
        <v>7.863688619000006E7</v>
      </c>
      <c r="H657" s="3"/>
      <c r="I657" s="6" t="s">
        <v>42</v>
      </c>
    </row>
    <row r="658">
      <c r="A658" s="8">
        <v>46356.0</v>
      </c>
      <c r="B658" s="2" t="s">
        <v>14</v>
      </c>
      <c r="C658" s="2" t="s">
        <v>691</v>
      </c>
      <c r="D658" s="4"/>
      <c r="E658" s="4">
        <v>5.5903152E7</v>
      </c>
      <c r="F658" s="4" t="s">
        <v>7</v>
      </c>
      <c r="G658" s="3">
        <v>1.3454003819000006E8</v>
      </c>
      <c r="H658" s="3"/>
      <c r="I658" s="6" t="s">
        <v>42</v>
      </c>
    </row>
    <row r="659">
      <c r="A659" s="8">
        <v>46356.0</v>
      </c>
      <c r="B659" s="2" t="s">
        <v>14</v>
      </c>
      <c r="C659" s="2" t="s">
        <v>692</v>
      </c>
      <c r="D659" s="4"/>
      <c r="E659" s="4">
        <v>2.7739584E8</v>
      </c>
      <c r="F659" s="4" t="s">
        <v>7</v>
      </c>
      <c r="G659" s="3">
        <v>4.1193587819000006E8</v>
      </c>
      <c r="H659" s="3"/>
      <c r="I659" s="6" t="s">
        <v>42</v>
      </c>
    </row>
    <row r="660">
      <c r="A660" s="8">
        <v>46356.0</v>
      </c>
      <c r="B660" s="2" t="s">
        <v>14</v>
      </c>
      <c r="C660" s="2" t="s">
        <v>693</v>
      </c>
      <c r="D660" s="4"/>
      <c r="E660" s="4">
        <v>5.5937645E7</v>
      </c>
      <c r="F660" s="4" t="s">
        <v>7</v>
      </c>
      <c r="G660" s="3">
        <v>4.6787352319000006E8</v>
      </c>
      <c r="H660" s="3"/>
      <c r="I660" s="6" t="s">
        <v>42</v>
      </c>
    </row>
    <row r="661">
      <c r="A661" s="8">
        <v>46356.0</v>
      </c>
      <c r="B661" s="2" t="s">
        <v>14</v>
      </c>
      <c r="C661" s="2" t="s">
        <v>694</v>
      </c>
      <c r="D661" s="4"/>
      <c r="E661" s="4">
        <v>4.9949763E7</v>
      </c>
      <c r="F661" s="4" t="s">
        <v>7</v>
      </c>
      <c r="G661" s="3">
        <v>5.1782328619000006E8</v>
      </c>
      <c r="H661" s="3"/>
      <c r="I661" s="6" t="s">
        <v>42</v>
      </c>
    </row>
    <row r="662">
      <c r="A662" s="8">
        <v>46356.0</v>
      </c>
      <c r="B662" s="2" t="s">
        <v>10</v>
      </c>
      <c r="C662" s="2" t="s">
        <v>695</v>
      </c>
      <c r="D662" s="4">
        <v>1000000.0</v>
      </c>
      <c r="E662" s="3"/>
      <c r="F662" s="4" t="s">
        <v>3</v>
      </c>
      <c r="G662" s="3">
        <v>5.1682328619000006E8</v>
      </c>
      <c r="H662" s="3"/>
      <c r="I662" s="6" t="s">
        <v>42</v>
      </c>
    </row>
    <row r="663">
      <c r="A663" s="8">
        <v>46356.0</v>
      </c>
      <c r="B663" s="2" t="s">
        <v>14</v>
      </c>
      <c r="C663" s="2" t="s">
        <v>696</v>
      </c>
      <c r="D663" s="4"/>
      <c r="E663" s="4">
        <v>1474000.0</v>
      </c>
      <c r="F663" s="4" t="s">
        <v>7</v>
      </c>
      <c r="G663" s="3">
        <v>5.1829728619000006E8</v>
      </c>
      <c r="H663" s="4">
        <v>5.1829728619E8</v>
      </c>
      <c r="I663" s="6" t="s">
        <v>42</v>
      </c>
    </row>
    <row r="664">
      <c r="A664" s="8">
        <v>46356.0</v>
      </c>
      <c r="B664" s="2" t="s">
        <v>10</v>
      </c>
      <c r="C664" s="2" t="s">
        <v>697</v>
      </c>
      <c r="D664" s="4">
        <v>1.4518075E8</v>
      </c>
      <c r="E664" s="3"/>
      <c r="F664" s="4" t="s">
        <v>3</v>
      </c>
      <c r="G664" s="3">
        <v>3.7311653619000006E8</v>
      </c>
      <c r="H664" s="4">
        <v>3.7311653619E8</v>
      </c>
      <c r="I664" s="6" t="s">
        <v>42</v>
      </c>
    </row>
    <row r="665">
      <c r="A665" s="8">
        <v>46356.0</v>
      </c>
      <c r="B665" s="2" t="s">
        <v>10</v>
      </c>
      <c r="C665" s="2" t="s">
        <v>698</v>
      </c>
      <c r="D665" s="4">
        <v>4.5088E7</v>
      </c>
      <c r="E665" s="3"/>
      <c r="F665" s="4" t="s">
        <v>3</v>
      </c>
      <c r="G665" s="3">
        <v>3.2802853619000006E8</v>
      </c>
      <c r="H665" s="4"/>
      <c r="I665" s="6" t="s">
        <v>42</v>
      </c>
    </row>
    <row r="666">
      <c r="A666" s="8">
        <v>46356.0</v>
      </c>
      <c r="B666" s="2" t="s">
        <v>10</v>
      </c>
      <c r="C666" s="2" t="s">
        <v>699</v>
      </c>
      <c r="D666" s="4">
        <v>9.39392E7</v>
      </c>
      <c r="E666" s="3"/>
      <c r="F666" s="4" t="s">
        <v>3</v>
      </c>
      <c r="G666" s="3">
        <v>2.3408933619000006E8</v>
      </c>
      <c r="H666" s="4"/>
      <c r="I666" s="6" t="s">
        <v>42</v>
      </c>
    </row>
    <row r="667">
      <c r="A667" s="8">
        <v>46356.0</v>
      </c>
      <c r="B667" s="2" t="s">
        <v>10</v>
      </c>
      <c r="C667" s="2" t="s">
        <v>700</v>
      </c>
      <c r="D667" s="4">
        <v>4.606965E7</v>
      </c>
      <c r="E667" s="3"/>
      <c r="F667" s="4" t="s">
        <v>3</v>
      </c>
      <c r="G667" s="3">
        <v>1.8801968619000006E8</v>
      </c>
      <c r="H667" s="4"/>
      <c r="I667" s="6" t="s">
        <v>42</v>
      </c>
    </row>
    <row r="668">
      <c r="A668" s="8">
        <v>46356.0</v>
      </c>
      <c r="B668" s="2" t="s">
        <v>10</v>
      </c>
      <c r="C668" s="2" t="s">
        <v>701</v>
      </c>
      <c r="D668" s="4">
        <v>4.95E7</v>
      </c>
      <c r="E668" s="3"/>
      <c r="F668" s="4" t="s">
        <v>3</v>
      </c>
      <c r="G668" s="3">
        <v>1.3851968619000006E8</v>
      </c>
      <c r="H668" s="4"/>
      <c r="I668" s="6" t="s">
        <v>42</v>
      </c>
    </row>
    <row r="669">
      <c r="A669" s="8">
        <v>46356.0</v>
      </c>
      <c r="B669" s="2" t="s">
        <v>10</v>
      </c>
      <c r="C669" s="2" t="s">
        <v>702</v>
      </c>
      <c r="D669" s="4">
        <v>6.567E7</v>
      </c>
      <c r="E669" s="3"/>
      <c r="F669" s="4" t="s">
        <v>3</v>
      </c>
      <c r="G669" s="3">
        <v>7.284968619000006E7</v>
      </c>
      <c r="H669" s="4"/>
      <c r="I669" s="6" t="s">
        <v>42</v>
      </c>
    </row>
    <row r="670">
      <c r="A670" s="8">
        <v>46356.0</v>
      </c>
      <c r="B670" s="2" t="s">
        <v>10</v>
      </c>
      <c r="C670" s="2" t="s">
        <v>703</v>
      </c>
      <c r="D670" s="4">
        <v>3.632202E7</v>
      </c>
      <c r="E670" s="3"/>
      <c r="F670" s="4" t="s">
        <v>3</v>
      </c>
      <c r="G670" s="3">
        <v>3.652766619000006E7</v>
      </c>
      <c r="H670" s="4"/>
      <c r="I670" s="6" t="s">
        <v>42</v>
      </c>
    </row>
    <row r="671">
      <c r="A671" s="8">
        <v>46356.0</v>
      </c>
      <c r="B671" s="2" t="s">
        <v>14</v>
      </c>
      <c r="C671" s="2" t="s">
        <v>704</v>
      </c>
      <c r="D671" s="4"/>
      <c r="E671" s="4">
        <v>2.0270325E8</v>
      </c>
      <c r="F671" s="4" t="s">
        <v>7</v>
      </c>
      <c r="G671" s="3">
        <v>2.3923091619000006E8</v>
      </c>
      <c r="H671" s="3"/>
      <c r="I671" s="6" t="s">
        <v>42</v>
      </c>
    </row>
    <row r="672">
      <c r="A672" s="8">
        <v>46356.0</v>
      </c>
      <c r="B672" s="2" t="s">
        <v>705</v>
      </c>
      <c r="C672" s="2" t="s">
        <v>705</v>
      </c>
      <c r="D672" s="4">
        <v>7.91</v>
      </c>
      <c r="E672" s="3"/>
      <c r="F672" s="3"/>
      <c r="G672" s="3">
        <v>2.3923090828000006E8</v>
      </c>
      <c r="H672" s="4"/>
      <c r="I672" s="6" t="s">
        <v>42</v>
      </c>
    </row>
    <row r="673">
      <c r="A673" s="8">
        <v>46356.0</v>
      </c>
      <c r="B673" s="2" t="s">
        <v>706</v>
      </c>
      <c r="C673" s="2" t="s">
        <v>706</v>
      </c>
      <c r="E673" s="4">
        <v>1313.86</v>
      </c>
      <c r="F673" s="3"/>
      <c r="G673" s="3">
        <v>2.3923222214000008E8</v>
      </c>
      <c r="H673" s="3"/>
      <c r="I673" s="6" t="s">
        <v>42</v>
      </c>
    </row>
    <row r="674">
      <c r="A674" s="8">
        <v>46356.0</v>
      </c>
      <c r="B674" s="2" t="s">
        <v>707</v>
      </c>
      <c r="C674" s="2" t="s">
        <v>708</v>
      </c>
      <c r="D674" s="4">
        <v>261.19</v>
      </c>
      <c r="E674" s="3"/>
      <c r="F674" s="3"/>
      <c r="G674" s="3">
        <v>2.3923196095000008E8</v>
      </c>
      <c r="H674" s="4">
        <v>2.3923196095E8</v>
      </c>
      <c r="I674" s="6" t="s">
        <v>42</v>
      </c>
    </row>
  </sheetData>
  <dataValidations>
    <dataValidation type="list" allowBlank="1" showErrorMessage="1" sqref="I1:I674">
      <formula1>"PRIBADI,PRODUKSI,BANK,EXSPEDISI,V_SALES,OPERASIONAL,NURUL_AINI"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tr">
        <f>IFERROR(__xludf.DUMMYFUNCTION("IFERROR(QUERY(NOV_2023!A:I, ""SELECT * WHERE D IS NOT NULL AND UPPER(I) = 'EXSPEDISI'"", 1), ""Data EXSPEDISI belum ditemukan"")"),"Data EXSPEDISI belum ditemukan")</f>
        <v>Data EXSPEDISI belum ditemukan</v>
      </c>
      <c r="J1" s="5">
        <f>SUM(D1:D1000)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tr">
        <f>IFERROR(__xludf.DUMMYFUNCTION("IFERROR(QUERY(NOV_2023!A:I, ""SELECT * WHERE D IS NOT NULL AND UPPER(I) = 'V_SALES'"", 1), ""Data V_SALES belum ditemukan"")"),"Data V_SALES belum ditemukan")</f>
        <v>Data V_SALES belum ditemukan</v>
      </c>
      <c r="J1" s="5">
        <f>SUM(D1:D1000)</f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tr">
        <f>IFERROR(__xludf.DUMMYFUNCTION("IFERROR(QUERY(NOV_2023!A:I, ""SELECT * WHERE D IS NOT NULL AND UPPER(I) = 'OPERASIONAL'"", 1), ""Data OPERASIONAL belum ditemukan"")"),"Data OPERASIONAL belum ditemukan")</f>
        <v>Data OPERASIONAL belum ditemukan</v>
      </c>
      <c r="J1" s="5">
        <f>SUM(D1:D1000)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tr">
        <f>IFERROR(__xludf.DUMMYFUNCTION("IFERROR(QUERY(NOV_2023!A:I, ""SELECT * WHERE D IS NOT NULL AND UPPER(I) = 'NURUL_AINI'"", 1), ""Data NURUL_AINI belum ditemukan"")"),"Data NURUL_AINI belum ditemukan")</f>
        <v>Data NURUL_AINI belum ditemukan</v>
      </c>
      <c r="J1" s="5">
        <f>SUM(D1:D1000)</f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f>IFERROR(__xludf.DUMMYFUNCTION("IFERROR(QUERY(NOV_2023!A:I, ""SELECT * WHERE D IS NOT NULL AND UPPER(I) = ''"", 1), ""Data KOSONG belum ditemukan"")"),46327.0)</f>
        <v>46327</v>
      </c>
      <c r="B1" s="5" t="str">
        <f>IFERROR(__xludf.DUMMYFUNCTION("""COMPUTED_VALUE"""),"TRSF E-BANKING DB TANGGAL :31/10")</f>
        <v>TRSF E-BANKING DB TANGGAL :31/10</v>
      </c>
      <c r="C1" s="5" t="str">
        <f>IFERROR(__xludf.DUMMYFUNCTION("""COMPUTED_VALUE"""),"3110/FTSCY/WS95011 Fri Oct 30 2026 14:00:00 GMT+0700 (Western Indonesia Time) ANUGERAH KARTIKA A Fri Oct 30 2026 14:00:00 GMT+0700 (Western Indonesia Time) ANUGERAH KARTIKA A")</f>
        <v>3110/FTSCY/WS95011 Fri Oct 30 2026 14:00:00 GMT+0700 (Western Indonesia Time) ANUGERAH KARTIKA A Fri Oct 30 2026 14:00:00 GMT+0700 (Western Indonesia Time) ANUGERAH KARTIKA A</v>
      </c>
      <c r="D1" s="5">
        <f>IFERROR(__xludf.DUMMYFUNCTION("""COMPUTED_VALUE"""),1.1456E8)</f>
        <v>114560000</v>
      </c>
      <c r="E1" s="5"/>
      <c r="F1" s="5" t="str">
        <f>IFERROR(__xludf.DUMMYFUNCTION("""COMPUTED_VALUE"""),"DB")</f>
        <v>DB</v>
      </c>
      <c r="G1" s="5">
        <f>IFERROR(__xludf.DUMMYFUNCTION("""COMPUTED_VALUE"""),1.2713048919E8)</f>
        <v>127130489.2</v>
      </c>
      <c r="H1" s="5">
        <f>IFERROR(__xludf.DUMMYFUNCTION("""COMPUTED_VALUE"""),1.2713048919E8)</f>
        <v>127130489.2</v>
      </c>
      <c r="I1" s="5"/>
      <c r="J1" s="5">
        <f>SUM(D1:D1000) </f>
        <v>6209773025</v>
      </c>
    </row>
    <row r="2">
      <c r="A2" s="7">
        <f>IFERROR(__xludf.DUMMYFUNCTION("""COMPUTED_VALUE"""),46327.0)</f>
        <v>46327</v>
      </c>
      <c r="B2" s="5" t="str">
        <f>IFERROR(__xludf.DUMMYFUNCTION("""COMPUTED_VALUE"""),"TRSF E-BANKING DB TANGGAL :31/10")</f>
        <v>TRSF E-BANKING DB TANGGAL :31/10</v>
      </c>
      <c r="C2" s="5" t="str">
        <f>IFERROR(__xludf.DUMMYFUNCTION("""COMPUTED_VALUE"""),"3110/FTSCY/WS95011 Fri Oct 30 2026 14:00:00 GMT+0700 (Western Indonesia Time) ANDALAN YASA MITRA Fri Oct 30 2026 14:00:00 GMT+0700 (Western Indonesia Time) ANDALAN YASA MITRA")</f>
        <v>3110/FTSCY/WS95011 Fri Oct 30 2026 14:00:00 GMT+0700 (Western Indonesia Time) ANDALAN YASA MITRA Fri Oct 30 2026 14:00:00 GMT+0700 (Western Indonesia Time) ANDALAN YASA MITRA</v>
      </c>
      <c r="D2" s="5">
        <f>IFERROR(__xludf.DUMMYFUNCTION("""COMPUTED_VALUE"""),5.4639E7)</f>
        <v>54639000</v>
      </c>
      <c r="E2" s="5"/>
      <c r="F2" s="5" t="str">
        <f>IFERROR(__xludf.DUMMYFUNCTION("""COMPUTED_VALUE"""),"DB")</f>
        <v>DB</v>
      </c>
      <c r="G2" s="5">
        <f>IFERROR(__xludf.DUMMYFUNCTION("""COMPUTED_VALUE"""),7.249148919E7)</f>
        <v>72491489.19</v>
      </c>
      <c r="H2" s="5"/>
      <c r="I2" s="5"/>
    </row>
    <row r="3">
      <c r="A3" s="7">
        <f>IFERROR(__xludf.DUMMYFUNCTION("""COMPUTED_VALUE"""),46327.0)</f>
        <v>46327</v>
      </c>
      <c r="B3" s="5" t="str">
        <f>IFERROR(__xludf.DUMMYFUNCTION("""COMPUTED_VALUE"""),"TRSF E-BANKING DB TANGGAL :31/10")</f>
        <v>TRSF E-BANKING DB TANGGAL :31/10</v>
      </c>
      <c r="C3" s="5" t="str">
        <f>IFERROR(__xludf.DUMMYFUNCTION("""COMPUTED_VALUE"""),"3110/FTSCY/WS95011 Fri Oct 30 2026 14:00:00 GMT+0700 (Western Indonesia Time) ANDALAN YASA MITRA Fri Oct 30 2026 14:00:00 GMT+0700 (Western Indonesia Time) ANDALAN YASA MITRA")</f>
        <v>3110/FTSCY/WS95011 Fri Oct 30 2026 14:00:00 GMT+0700 (Western Indonesia Time) ANDALAN YASA MITRA Fri Oct 30 2026 14:00:00 GMT+0700 (Western Indonesia Time) ANDALAN YASA MITRA</v>
      </c>
      <c r="D3" s="5">
        <f>IFERROR(__xludf.DUMMYFUNCTION("""COMPUTED_VALUE"""),5.30075E7)</f>
        <v>53007500</v>
      </c>
      <c r="E3" s="5"/>
      <c r="F3" s="5" t="str">
        <f>IFERROR(__xludf.DUMMYFUNCTION("""COMPUTED_VALUE"""),"DB")</f>
        <v>DB</v>
      </c>
      <c r="G3" s="5">
        <f>IFERROR(__xludf.DUMMYFUNCTION("""COMPUTED_VALUE"""),3.638398919E7)</f>
        <v>36383989.19</v>
      </c>
      <c r="H3" s="5"/>
      <c r="I3" s="5"/>
    </row>
    <row r="4">
      <c r="A4" s="7">
        <f>IFERROR(__xludf.DUMMYFUNCTION("""COMPUTED_VALUE"""),46327.0)</f>
        <v>46327</v>
      </c>
      <c r="B4" s="5" t="str">
        <f>IFERROR(__xludf.DUMMYFUNCTION("""COMPUTED_VALUE"""),"TRSF E-BANKING DB")</f>
        <v>TRSF E-BANKING DB</v>
      </c>
      <c r="C4" s="5" t="str">
        <f>IFERROR(__xludf.DUMMYFUNCTION("""COMPUTED_VALUE"""),"0111/FTSCY/WS95031 66395000.00 pelunasan SUGENG RIADI 66395000.00 pelunasan SUGENG RIADI")</f>
        <v>0111/FTSCY/WS95031 66395000.00 pelunasan SUGENG RIADI 66395000.00 pelunasan SUGENG RIADI</v>
      </c>
      <c r="D4" s="5">
        <f>IFERROR(__xludf.DUMMYFUNCTION("""COMPUTED_VALUE"""),6.6395E7)</f>
        <v>66395000</v>
      </c>
      <c r="E4" s="5"/>
      <c r="F4" s="5" t="str">
        <f>IFERROR(__xludf.DUMMYFUNCTION("""COMPUTED_VALUE"""),"DB")</f>
        <v>DB</v>
      </c>
      <c r="G4" s="5">
        <f>IFERROR(__xludf.DUMMYFUNCTION("""COMPUTED_VALUE"""),6.5450163719E8)</f>
        <v>654501637.2</v>
      </c>
      <c r="H4" s="5"/>
      <c r="I4" s="5"/>
    </row>
    <row r="5">
      <c r="A5" s="7">
        <f>IFERROR(__xludf.DUMMYFUNCTION("""COMPUTED_VALUE"""),46327.0)</f>
        <v>46327</v>
      </c>
      <c r="B5" s="5" t="str">
        <f>IFERROR(__xludf.DUMMYFUNCTION("""COMPUTED_VALUE"""),"TRSF E-BANKING DB")</f>
        <v>TRSF E-BANKING DB</v>
      </c>
      <c r="C5" s="5" t="str">
        <f>IFERROR(__xludf.DUMMYFUNCTION("""COMPUTED_VALUE"""),"0111/FTSCY/WS95011 167592750.00 Fri Oct 30 2026 14:00:00 GMT+0700 (Western Indonesia Time) BROILER MAKMUR TAN 167592750.00 Fri Oct 30 2026 14:00:00 GMT+0700 (Western Indonesia Time) BROILER MAKMUR TAN")</f>
        <v>0111/FTSCY/WS95011 167592750.00 Fri Oct 30 2026 14:00:00 GMT+0700 (Western Indonesia Time) BROILER MAKMUR TAN 167592750.00 Fri Oct 30 2026 14:00:00 GMT+0700 (Western Indonesia Time) BROILER MAKMUR TAN</v>
      </c>
      <c r="D5" s="5">
        <f>IFERROR(__xludf.DUMMYFUNCTION("""COMPUTED_VALUE"""),1.6759275E8)</f>
        <v>167592750</v>
      </c>
      <c r="E5" s="5"/>
      <c r="F5" s="5" t="str">
        <f>IFERROR(__xludf.DUMMYFUNCTION("""COMPUTED_VALUE"""),"DB")</f>
        <v>DB</v>
      </c>
      <c r="G5" s="5">
        <f>IFERROR(__xludf.DUMMYFUNCTION("""COMPUTED_VALUE"""),4.8690888719000006E8)</f>
        <v>486908887.2</v>
      </c>
      <c r="H5" s="5"/>
      <c r="I5" s="5"/>
    </row>
    <row r="6">
      <c r="A6" s="7">
        <f>IFERROR(__xludf.DUMMYFUNCTION("""COMPUTED_VALUE"""),46327.0)</f>
        <v>46327</v>
      </c>
      <c r="B6" s="5" t="str">
        <f>IFERROR(__xludf.DUMMYFUNCTION("""COMPUTED_VALUE"""),"TRSF E-BANKING DB")</f>
        <v>TRSF E-BANKING DB</v>
      </c>
      <c r="C6" s="5" t="str">
        <f>IFERROR(__xludf.DUMMYFUNCTION("""COMPUTED_VALUE"""),"0111/FTSCY/WS95011 103730800.00 Sat Oct 31 2026 14:00:00 GMT+0700 (Western Indonesia Time) BINTANG TAMA SANTO 103730800.00 Sat Oct 31 2026 14:00:00 GMT+0700 (Western Indonesia Time) BINTANG TAMA SANTO")</f>
        <v>0111/FTSCY/WS95011 103730800.00 Sat Oct 31 2026 14:00:00 GMT+0700 (Western Indonesia Time) BINTANG TAMA SANTO 103730800.00 Sat Oct 31 2026 14:00:00 GMT+0700 (Western Indonesia Time) BINTANG TAMA SANTO</v>
      </c>
      <c r="D6" s="5">
        <f>IFERROR(__xludf.DUMMYFUNCTION("""COMPUTED_VALUE"""),1.037308E8)</f>
        <v>103730800</v>
      </c>
      <c r="E6" s="5"/>
      <c r="F6" s="5" t="str">
        <f>IFERROR(__xludf.DUMMYFUNCTION("""COMPUTED_VALUE"""),"DB")</f>
        <v>DB</v>
      </c>
      <c r="G6" s="5">
        <f>IFERROR(__xludf.DUMMYFUNCTION("""COMPUTED_VALUE"""),2.6774635719000006E8)</f>
        <v>267746357.2</v>
      </c>
      <c r="H6" s="5"/>
      <c r="I6" s="5"/>
    </row>
    <row r="7">
      <c r="A7" s="7">
        <f>IFERROR(__xludf.DUMMYFUNCTION("""COMPUTED_VALUE"""),46327.0)</f>
        <v>46327</v>
      </c>
      <c r="B7" s="5" t="str">
        <f>IFERROR(__xludf.DUMMYFUNCTION("""COMPUTED_VALUE"""),"TRSF E-BANKING DB")</f>
        <v>TRSF E-BANKING DB</v>
      </c>
      <c r="C7" s="5" t="str">
        <f>IFERROR(__xludf.DUMMYFUNCTION("""COMPUTED_VALUE"""),"0111/FTSCY/WS95011 100217250.00 Sat Oct 31 2026 14:00:00 GMT+0700 (Western Indonesia Time) BINTANG TAMA SANTO 100217250.00 Sat Oct 31 2026 14:00:00 GMT+0700 (Western Indonesia Time) BINTANG TAMA SANTO")</f>
        <v>0111/FTSCY/WS95011 100217250.00 Sat Oct 31 2026 14:00:00 GMT+0700 (Western Indonesia Time) BINTANG TAMA SANTO 100217250.00 Sat Oct 31 2026 14:00:00 GMT+0700 (Western Indonesia Time) BINTANG TAMA SANTO</v>
      </c>
      <c r="D7" s="5">
        <f>IFERROR(__xludf.DUMMYFUNCTION("""COMPUTED_VALUE"""),1.0021725E8)</f>
        <v>100217250</v>
      </c>
      <c r="E7" s="5"/>
      <c r="F7" s="5" t="str">
        <f>IFERROR(__xludf.DUMMYFUNCTION("""COMPUTED_VALUE"""),"DB")</f>
        <v>DB</v>
      </c>
      <c r="G7" s="5">
        <f>IFERROR(__xludf.DUMMYFUNCTION("""COMPUTED_VALUE"""),1.6752910719000006E8)</f>
        <v>167529107.2</v>
      </c>
      <c r="H7" s="5"/>
      <c r="I7" s="5"/>
    </row>
    <row r="8">
      <c r="A8" s="7">
        <f>IFERROR(__xludf.DUMMYFUNCTION("""COMPUTED_VALUE"""),46327.0)</f>
        <v>46327</v>
      </c>
      <c r="B8" s="5" t="str">
        <f>IFERROR(__xludf.DUMMYFUNCTION("""COMPUTED_VALUE"""),"TRSF E-BANKING DB")</f>
        <v>TRSF E-BANKING DB</v>
      </c>
      <c r="C8" s="5" t="str">
        <f>IFERROR(__xludf.DUMMYFUNCTION("""COMPUTED_VALUE"""),"0111/FTSCY/WS95271 21000000.00 pelunasan LAJU SATWA WISESA 21000000.00 pelunasan LAJU SATWA WISESA")</f>
        <v>0111/FTSCY/WS95271 21000000.00 pelunasan LAJU SATWA WISESA 21000000.00 pelunasan LAJU SATWA WISESA</v>
      </c>
      <c r="D8" s="5">
        <f>IFERROR(__xludf.DUMMYFUNCTION("""COMPUTED_VALUE"""),2.1E7)</f>
        <v>21000000</v>
      </c>
      <c r="E8" s="5"/>
      <c r="F8" s="5" t="str">
        <f>IFERROR(__xludf.DUMMYFUNCTION("""COMPUTED_VALUE"""),"DB")</f>
        <v>DB</v>
      </c>
      <c r="G8" s="5">
        <f>IFERROR(__xludf.DUMMYFUNCTION("""COMPUTED_VALUE"""),1.0092910719000006E8)</f>
        <v>100929107.2</v>
      </c>
      <c r="H8" s="5">
        <f>IFERROR(__xludf.DUMMYFUNCTION("""COMPUTED_VALUE"""),1.0092910719E8)</f>
        <v>100929107.2</v>
      </c>
      <c r="I8" s="5"/>
    </row>
    <row r="9">
      <c r="A9" s="7">
        <f>IFERROR(__xludf.DUMMYFUNCTION("""COMPUTED_VALUE"""),46328.0)</f>
        <v>46328</v>
      </c>
      <c r="B9" s="5" t="str">
        <f>IFERROR(__xludf.DUMMYFUNCTION("""COMPUTED_VALUE"""),"TRSF E-BANKING DB")</f>
        <v>TRSF E-BANKING DB</v>
      </c>
      <c r="C9" s="5" t="str">
        <f>IFERROR(__xludf.DUMMYFUNCTION("""COMPUTED_VALUE"""),"0211/FTSCY/WS95271 29132000.00 pelunasan PRIMA JAYA BERSATU 29132000.00 pelunasan PRIMA JAYA BERSATU")</f>
        <v>0211/FTSCY/WS95271 29132000.00 pelunasan PRIMA JAYA BERSATU 29132000.00 pelunasan PRIMA JAYA BERSATU</v>
      </c>
      <c r="D9" s="5">
        <f>IFERROR(__xludf.DUMMYFUNCTION("""COMPUTED_VALUE"""),2.9132E7)</f>
        <v>29132000</v>
      </c>
      <c r="E9" s="5"/>
      <c r="F9" s="5" t="str">
        <f>IFERROR(__xludf.DUMMYFUNCTION("""COMPUTED_VALUE"""),"DB")</f>
        <v>DB</v>
      </c>
      <c r="G9" s="5">
        <f>IFERROR(__xludf.DUMMYFUNCTION("""COMPUTED_VALUE"""),1.4157308219000006E8)</f>
        <v>141573082.2</v>
      </c>
      <c r="H9" s="5"/>
      <c r="I9" s="5"/>
    </row>
    <row r="10">
      <c r="A10" s="7">
        <f>IFERROR(__xludf.DUMMYFUNCTION("""COMPUTED_VALUE"""),46328.0)</f>
        <v>46328</v>
      </c>
      <c r="B10" s="5" t="str">
        <f>IFERROR(__xludf.DUMMYFUNCTION("""COMPUTED_VALUE"""),"TRSF E-BANKING DB")</f>
        <v>TRSF E-BANKING DB</v>
      </c>
      <c r="C10" s="5" t="str">
        <f>IFERROR(__xludf.DUMMYFUNCTION("""COMPUTED_VALUE"""),"0211/FTSCY/WS95031 1000000.00 SUNARTO 1000000.00 SUNARTO")</f>
        <v>0211/FTSCY/WS95031 1000000.00 SUNARTO 1000000.00 SUNARTO</v>
      </c>
      <c r="D10" s="5">
        <f>IFERROR(__xludf.DUMMYFUNCTION("""COMPUTED_VALUE"""),1000000.0)</f>
        <v>1000000</v>
      </c>
      <c r="E10" s="5"/>
      <c r="F10" s="5" t="str">
        <f>IFERROR(__xludf.DUMMYFUNCTION("""COMPUTED_VALUE"""),"DB")</f>
        <v>DB</v>
      </c>
      <c r="G10" s="5">
        <f>IFERROR(__xludf.DUMMYFUNCTION("""COMPUTED_VALUE"""),8.1743716219E8)</f>
        <v>817437162.2</v>
      </c>
      <c r="H10" s="5"/>
      <c r="I10" s="5"/>
    </row>
    <row r="11">
      <c r="A11" s="7">
        <f>IFERROR(__xludf.DUMMYFUNCTION("""COMPUTED_VALUE"""),46328.0)</f>
        <v>46328</v>
      </c>
      <c r="B11" s="5" t="str">
        <f>IFERROR(__xludf.DUMMYFUNCTION("""COMPUTED_VALUE"""),"TRSF E-BANKING DB")</f>
        <v>TRSF E-BANKING DB</v>
      </c>
      <c r="C11" s="5" t="str">
        <f>IFERROR(__xludf.DUMMYFUNCTION("""COMPUTED_VALUE"""),"0211/FTSCY/WS95031 3105260.00 DWI HERMANSYAH 3105260.00 DWI HERMANSYAH")</f>
        <v>0211/FTSCY/WS95031 3105260.00 DWI HERMANSYAH 3105260.00 DWI HERMANSYAH</v>
      </c>
      <c r="D11" s="5">
        <f>IFERROR(__xludf.DUMMYFUNCTION("""COMPUTED_VALUE"""),3105260.0)</f>
        <v>3105260</v>
      </c>
      <c r="E11" s="5"/>
      <c r="F11" s="5" t="str">
        <f>IFERROR(__xludf.DUMMYFUNCTION("""COMPUTED_VALUE"""),"DB")</f>
        <v>DB</v>
      </c>
      <c r="G11" s="5">
        <f>IFERROR(__xludf.DUMMYFUNCTION("""COMPUTED_VALUE"""),8.1433190219E8)</f>
        <v>814331902.2</v>
      </c>
      <c r="H11" s="5">
        <f>IFERROR(__xludf.DUMMYFUNCTION("""COMPUTED_VALUE"""),8.1433190219E8)</f>
        <v>814331902.2</v>
      </c>
      <c r="I11" s="5"/>
    </row>
    <row r="12">
      <c r="A12" s="7">
        <f>IFERROR(__xludf.DUMMYFUNCTION("""COMPUTED_VALUE"""),46328.0)</f>
        <v>46328</v>
      </c>
      <c r="B12" s="5" t="str">
        <f>IFERROR(__xludf.DUMMYFUNCTION("""COMPUTED_VALUE"""),"TRSF E-BANKING DB")</f>
        <v>TRSF E-BANKING DB</v>
      </c>
      <c r="C12" s="5" t="str">
        <f>IFERROR(__xludf.DUMMYFUNCTION("""COMPUTED_VALUE"""),"0211/FTSCY/WS95271 51747110.00 Sun Nov 01 2026 14:00:00 GMT+0700 (Western Indonesia Time) SURYA INTI TERNAK 51747110.00 Sun Nov 01 2026 14:00:00 GMT+0700 (Western Indonesia Time) SURYA INTI TERNAK")</f>
        <v>0211/FTSCY/WS95271 51747110.00 Sun Nov 01 2026 14:00:00 GMT+0700 (Western Indonesia Time) SURYA INTI TERNAK 51747110.00 Sun Nov 01 2026 14:00:00 GMT+0700 (Western Indonesia Time) SURYA INTI TERNAK</v>
      </c>
      <c r="D12" s="5">
        <f>IFERROR(__xludf.DUMMYFUNCTION("""COMPUTED_VALUE"""),5.174711E7)</f>
        <v>51747110</v>
      </c>
      <c r="E12" s="5"/>
      <c r="F12" s="5" t="str">
        <f>IFERROR(__xludf.DUMMYFUNCTION("""COMPUTED_VALUE"""),"DB")</f>
        <v>DB</v>
      </c>
      <c r="G12" s="5">
        <f>IFERROR(__xludf.DUMMYFUNCTION("""COMPUTED_VALUE"""),6.8470588219E8)</f>
        <v>684705882.2</v>
      </c>
      <c r="H12" s="5"/>
      <c r="I12" s="5"/>
    </row>
    <row r="13">
      <c r="A13" s="7">
        <f>IFERROR(__xludf.DUMMYFUNCTION("""COMPUTED_VALUE"""),46328.0)</f>
        <v>46328</v>
      </c>
      <c r="B13" s="5" t="str">
        <f>IFERROR(__xludf.DUMMYFUNCTION("""COMPUTED_VALUE"""),"TRSF E-BANKING DB")</f>
        <v>TRSF E-BANKING DB</v>
      </c>
      <c r="C13" s="5" t="str">
        <f>IFERROR(__xludf.DUMMYFUNCTION("""COMPUTED_VALUE"""),"0211/FTSCY/WS95271 46500000.00 Sun Nov 01 2026 14:00:00 GMT+0700 (Western Indonesia Time) LAJU SATWA WISESA 46500000.00 Sun Nov 01 2026 14:00:00 GMT+0700 (Western Indonesia Time) LAJU SATWA WISESA")</f>
        <v>0211/FTSCY/WS95271 46500000.00 Sun Nov 01 2026 14:00:00 GMT+0700 (Western Indonesia Time) LAJU SATWA WISESA 46500000.00 Sun Nov 01 2026 14:00:00 GMT+0700 (Western Indonesia Time) LAJU SATWA WISESA</v>
      </c>
      <c r="D13" s="5">
        <f>IFERROR(__xludf.DUMMYFUNCTION("""COMPUTED_VALUE"""),4.65E7)</f>
        <v>46500000</v>
      </c>
      <c r="E13" s="5"/>
      <c r="F13" s="5" t="str">
        <f>IFERROR(__xludf.DUMMYFUNCTION("""COMPUTED_VALUE"""),"DB")</f>
        <v>DB</v>
      </c>
      <c r="G13" s="5">
        <f>IFERROR(__xludf.DUMMYFUNCTION("""COMPUTED_VALUE"""),1.2453188219000006E8)</f>
        <v>124531882.2</v>
      </c>
      <c r="H13" s="5"/>
      <c r="I13" s="5"/>
    </row>
    <row r="14">
      <c r="A14" s="7">
        <f>IFERROR(__xludf.DUMMYFUNCTION("""COMPUTED_VALUE"""),46329.0)</f>
        <v>46329</v>
      </c>
      <c r="B14" s="5" t="str">
        <f>IFERROR(__xludf.DUMMYFUNCTION("""COMPUTED_VALUE"""),"TRSF E-BANKING DB")</f>
        <v>TRSF E-BANKING DB</v>
      </c>
      <c r="C14" s="5" t="str">
        <f>IFERROR(__xludf.DUMMYFUNCTION("""COMPUTED_VALUE"""),"0311/FTSCY/WS95031 7331320.00 lunas HERMAWAN")</f>
        <v>0311/FTSCY/WS95031 7331320.00 lunas HERMAWAN</v>
      </c>
      <c r="D14" s="5">
        <f>IFERROR(__xludf.DUMMYFUNCTION("""COMPUTED_VALUE"""),7331320.0)</f>
        <v>7331320</v>
      </c>
      <c r="E14" s="5"/>
      <c r="F14" s="5" t="str">
        <f>IFERROR(__xludf.DUMMYFUNCTION("""COMPUTED_VALUE"""),"DB")</f>
        <v>DB</v>
      </c>
      <c r="G14" s="5">
        <f>IFERROR(__xludf.DUMMYFUNCTION("""COMPUTED_VALUE"""),4.243421219000006E7)</f>
        <v>42434212.19</v>
      </c>
      <c r="H14" s="5"/>
      <c r="I14" s="5"/>
    </row>
    <row r="15">
      <c r="A15" s="7">
        <f>IFERROR(__xludf.DUMMYFUNCTION("""COMPUTED_VALUE"""),46329.0)</f>
        <v>46329</v>
      </c>
      <c r="B15" s="5" t="str">
        <f>IFERROR(__xludf.DUMMYFUNCTION("""COMPUTED_VALUE"""),"TARIKAN ATM 03/11")</f>
        <v>TARIKAN ATM 03/11</v>
      </c>
      <c r="C15" s="5" t="str">
        <f>IFERROR(__xludf.DUMMYFUNCTION("""COMPUTED_VALUE"""),"TARIKAN ATM 03/11")</f>
        <v>TARIKAN ATM 03/11</v>
      </c>
      <c r="D15" s="5">
        <f>IFERROR(__xludf.DUMMYFUNCTION("""COMPUTED_VALUE"""),300000.0)</f>
        <v>300000</v>
      </c>
      <c r="E15" s="5"/>
      <c r="F15" s="5"/>
      <c r="G15" s="5">
        <f>IFERROR(__xludf.DUMMYFUNCTION("""COMPUTED_VALUE"""),4.220786219000006E7)</f>
        <v>42207862.19</v>
      </c>
      <c r="H15" s="5"/>
      <c r="I15" s="5"/>
    </row>
    <row r="16">
      <c r="A16" s="7">
        <f>IFERROR(__xludf.DUMMYFUNCTION("""COMPUTED_VALUE"""),46329.0)</f>
        <v>46329</v>
      </c>
      <c r="B16" s="5" t="str">
        <f>IFERROR(__xludf.DUMMYFUNCTION("""COMPUTED_VALUE"""),"TRSF E-BANKING DB")</f>
        <v>TRSF E-BANKING DB</v>
      </c>
      <c r="C16" s="5" t="str">
        <f>IFERROR(__xludf.DUMMYFUNCTION("""COMPUTED_VALUE"""),"0311/FTSCY/WS95271 52191000.00 Sun Nov 01 2026 14:00:00 GMT+0700 (Western Indonesia Time) ANUGERAH KARTIKA A")</f>
        <v>0311/FTSCY/WS95271 52191000.00 Sun Nov 01 2026 14:00:00 GMT+0700 (Western Indonesia Time) ANUGERAH KARTIKA A</v>
      </c>
      <c r="D16" s="5">
        <f>IFERROR(__xludf.DUMMYFUNCTION("""COMPUTED_VALUE"""),5.2191E7)</f>
        <v>52191000</v>
      </c>
      <c r="E16" s="5"/>
      <c r="F16" s="5" t="str">
        <f>IFERROR(__xludf.DUMMYFUNCTION("""COMPUTED_VALUE"""),"DB")</f>
        <v>DB</v>
      </c>
      <c r="G16" s="5">
        <f>IFERROR(__xludf.DUMMYFUNCTION("""COMPUTED_VALUE"""),4.0935184219000006E8)</f>
        <v>409351842.2</v>
      </c>
      <c r="H16" s="5">
        <f>IFERROR(__xludf.DUMMYFUNCTION("""COMPUTED_VALUE"""),4.0935184219E8)</f>
        <v>409351842.2</v>
      </c>
      <c r="I16" s="5"/>
    </row>
    <row r="17">
      <c r="A17" s="7">
        <f>IFERROR(__xludf.DUMMYFUNCTION("""COMPUTED_VALUE"""),46330.0)</f>
        <v>46330</v>
      </c>
      <c r="B17" s="5" t="str">
        <f>IFERROR(__xludf.DUMMYFUNCTION("""COMPUTED_VALUE"""),"TRSF E-BANKING DB TANGGAL :03/11")</f>
        <v>TRSF E-BANKING DB TANGGAL :03/11</v>
      </c>
      <c r="C17" s="5" t="str">
        <f>IFERROR(__xludf.DUMMYFUNCTION("""COMPUTED_VALUE"""),"0311/FTSCY/WS95031 pelunasan ANUGERAH KARTIKA A")</f>
        <v>0311/FTSCY/WS95031 pelunasan ANUGERAH KARTIKA A</v>
      </c>
      <c r="D17" s="5">
        <f>IFERROR(__xludf.DUMMYFUNCTION("""COMPUTED_VALUE"""),3053000.0)</f>
        <v>3053000</v>
      </c>
      <c r="E17" s="5"/>
      <c r="F17" s="5" t="str">
        <f>IFERROR(__xludf.DUMMYFUNCTION("""COMPUTED_VALUE"""),"DB")</f>
        <v>DB</v>
      </c>
      <c r="G17" s="5">
        <f>IFERROR(__xludf.DUMMYFUNCTION("""COMPUTED_VALUE"""),4.0629884219000006E8)</f>
        <v>406298842.2</v>
      </c>
      <c r="H17" s="5"/>
      <c r="I17" s="5"/>
    </row>
    <row r="18">
      <c r="A18" s="7">
        <f>IFERROR(__xludf.DUMMYFUNCTION("""COMPUTED_VALUE"""),46330.0)</f>
        <v>46330</v>
      </c>
      <c r="B18" s="5" t="str">
        <f>IFERROR(__xludf.DUMMYFUNCTION("""COMPUTED_VALUE"""),"TRSF E-BANKING DB TANGGAL :03/11")</f>
        <v>TRSF E-BANKING DB TANGGAL :03/11</v>
      </c>
      <c r="C18" s="5" t="str">
        <f>IFERROR(__xludf.DUMMYFUNCTION("""COMPUTED_VALUE"""),"0311/FTSCY/WS95011 Mon Nov 02 2026 15:00:00 GMT+0700 (Western Indonesia Time) LAJU SATWA WISESA")</f>
        <v>0311/FTSCY/WS95011 Mon Nov 02 2026 15:00:00 GMT+0700 (Western Indonesia Time) LAJU SATWA WISESA</v>
      </c>
      <c r="D18" s="5">
        <f>IFERROR(__xludf.DUMMYFUNCTION("""COMPUTED_VALUE"""),1.036907E8)</f>
        <v>103690700</v>
      </c>
      <c r="E18" s="5"/>
      <c r="F18" s="5" t="str">
        <f>IFERROR(__xludf.DUMMYFUNCTION("""COMPUTED_VALUE"""),"DB")</f>
        <v>DB</v>
      </c>
      <c r="G18" s="5">
        <f>IFERROR(__xludf.DUMMYFUNCTION("""COMPUTED_VALUE"""),3.0260814219000006E8)</f>
        <v>302608142.2</v>
      </c>
      <c r="H18" s="5"/>
      <c r="I18" s="5"/>
    </row>
    <row r="19">
      <c r="A19" s="7">
        <f>IFERROR(__xludf.DUMMYFUNCTION("""COMPUTED_VALUE"""),46330.0)</f>
        <v>46330</v>
      </c>
      <c r="B19" s="5" t="str">
        <f>IFERROR(__xludf.DUMMYFUNCTION("""COMPUTED_VALUE"""),"TRSF E-BANKING DB TANGGAL :03/11")</f>
        <v>TRSF E-BANKING DB TANGGAL :03/11</v>
      </c>
      <c r="C19" s="5" t="str">
        <f>IFERROR(__xludf.DUMMYFUNCTION("""COMPUTED_VALUE"""),"0311/FTSCY/WS95011 Mon Nov 02 2026 15:00:00 GMT+0700 (Western Indonesia Time) BINTANG TAMA SANTO")</f>
        <v>0311/FTSCY/WS95011 Mon Nov 02 2026 15:00:00 GMT+0700 (Western Indonesia Time) BINTANG TAMA SANTO</v>
      </c>
      <c r="D19" s="5">
        <f>IFERROR(__xludf.DUMMYFUNCTION("""COMPUTED_VALUE"""),5.514054E7)</f>
        <v>55140540</v>
      </c>
      <c r="E19" s="5"/>
      <c r="F19" s="5" t="str">
        <f>IFERROR(__xludf.DUMMYFUNCTION("""COMPUTED_VALUE"""),"DB")</f>
        <v>DB</v>
      </c>
      <c r="G19" s="5">
        <f>IFERROR(__xludf.DUMMYFUNCTION("""COMPUTED_VALUE"""),2.4746760219000006E8)</f>
        <v>247467602.2</v>
      </c>
      <c r="H19" s="5"/>
      <c r="I19" s="5"/>
    </row>
    <row r="20">
      <c r="A20" s="7">
        <f>IFERROR(__xludf.DUMMYFUNCTION("""COMPUTED_VALUE"""),46330.0)</f>
        <v>46330</v>
      </c>
      <c r="B20" s="5" t="str">
        <f>IFERROR(__xludf.DUMMYFUNCTION("""COMPUTED_VALUE"""),"TRSF E-BANKING DB TANGGAL :03/11")</f>
        <v>TRSF E-BANKING DB TANGGAL :03/11</v>
      </c>
      <c r="C20" s="5" t="str">
        <f>IFERROR(__xludf.DUMMYFUNCTION("""COMPUTED_VALUE"""),"0311/FTSCY/WS95011 Mon Nov 02 2026 15:00:00 GMT+0700 (Western Indonesia Time) ANUGERAH KARTIKA A")</f>
        <v>0311/FTSCY/WS95011 Mon Nov 02 2026 15:00:00 GMT+0700 (Western Indonesia Time) ANUGERAH KARTIKA A</v>
      </c>
      <c r="D20" s="5">
        <f>IFERROR(__xludf.DUMMYFUNCTION("""COMPUTED_VALUE"""),5.250875E7)</f>
        <v>52508750</v>
      </c>
      <c r="E20" s="5"/>
      <c r="F20" s="5" t="str">
        <f>IFERROR(__xludf.DUMMYFUNCTION("""COMPUTED_VALUE"""),"DB")</f>
        <v>DB</v>
      </c>
      <c r="G20" s="5">
        <f>IFERROR(__xludf.DUMMYFUNCTION("""COMPUTED_VALUE"""),1.9495885219000006E8)</f>
        <v>194958852.2</v>
      </c>
      <c r="H20" s="5">
        <f>IFERROR(__xludf.DUMMYFUNCTION("""COMPUTED_VALUE"""),1.9495885219E8)</f>
        <v>194958852.2</v>
      </c>
      <c r="I20" s="5"/>
    </row>
    <row r="21">
      <c r="A21" s="7">
        <f>IFERROR(__xludf.DUMMYFUNCTION("""COMPUTED_VALUE"""),46330.0)</f>
        <v>46330</v>
      </c>
      <c r="B21" s="5" t="str">
        <f>IFERROR(__xludf.DUMMYFUNCTION("""COMPUTED_VALUE"""),"TRSF E-BANKING DB TANGGAL :03/11")</f>
        <v>TRSF E-BANKING DB TANGGAL :03/11</v>
      </c>
      <c r="C21" s="5" t="str">
        <f>IFERROR(__xludf.DUMMYFUNCTION("""COMPUTED_VALUE"""),"0311/FTSCY/WS95011 Mon Nov 02 2026 15:00:00 GMT+0700 (Western Indonesia Time) SUPER UNGGAS JAYA")</f>
        <v>0311/FTSCY/WS95011 Mon Nov 02 2026 15:00:00 GMT+0700 (Western Indonesia Time) SUPER UNGGAS JAYA</v>
      </c>
      <c r="D21" s="5">
        <f>IFERROR(__xludf.DUMMYFUNCTION("""COMPUTED_VALUE"""),1.0366542E8)</f>
        <v>103665420</v>
      </c>
      <c r="E21" s="5"/>
      <c r="F21" s="5" t="str">
        <f>IFERROR(__xludf.DUMMYFUNCTION("""COMPUTED_VALUE"""),"DB")</f>
        <v>DB</v>
      </c>
      <c r="G21" s="5">
        <f>IFERROR(__xludf.DUMMYFUNCTION("""COMPUTED_VALUE"""),9.129343219000006E7)</f>
        <v>91293432.19</v>
      </c>
      <c r="H21" s="5">
        <f>IFERROR(__xludf.DUMMYFUNCTION("""COMPUTED_VALUE"""),9.129343219E7)</f>
        <v>91293432.19</v>
      </c>
      <c r="I21" s="5"/>
    </row>
    <row r="22">
      <c r="A22" s="7">
        <f>IFERROR(__xludf.DUMMYFUNCTION("""COMPUTED_VALUE"""),46330.0)</f>
        <v>46330</v>
      </c>
      <c r="B22" s="5" t="str">
        <f>IFERROR(__xludf.DUMMYFUNCTION("""COMPUTED_VALUE"""),"TRSF E-BANKING DB TANGGAL :03/11")</f>
        <v>TRSF E-BANKING DB TANGGAL :03/11</v>
      </c>
      <c r="C22" s="5" t="str">
        <f>IFERROR(__xludf.DUMMYFUNCTION("""COMPUTED_VALUE"""),"0311/FTSCY/WS95011 02/10 krg 52.1 jt BUDI SURYANTO")</f>
        <v>0311/FTSCY/WS95011 02/10 krg 52.1 jt BUDI SURYANTO</v>
      </c>
      <c r="D22" s="5">
        <f>IFERROR(__xludf.DUMMYFUNCTION("""COMPUTED_VALUE"""),9.1225E7)</f>
        <v>91225000</v>
      </c>
      <c r="E22" s="5"/>
      <c r="F22" s="5" t="str">
        <f>IFERROR(__xludf.DUMMYFUNCTION("""COMPUTED_VALUE"""),"DB")</f>
        <v>DB</v>
      </c>
      <c r="G22" s="5">
        <f>IFERROR(__xludf.DUMMYFUNCTION("""COMPUTED_VALUE"""),68432.19000005722)</f>
        <v>68432.19</v>
      </c>
      <c r="H22" s="5"/>
      <c r="I22" s="5"/>
    </row>
    <row r="23">
      <c r="A23" s="7">
        <f>IFERROR(__xludf.DUMMYFUNCTION("""COMPUTED_VALUE"""),46330.0)</f>
        <v>46330</v>
      </c>
      <c r="B23" s="5" t="str">
        <f>IFERROR(__xludf.DUMMYFUNCTION("""COMPUTED_VALUE"""),"TRSF E-BANKING DB")</f>
        <v>TRSF E-BANKING DB</v>
      </c>
      <c r="C23" s="5" t="str">
        <f>IFERROR(__xludf.DUMMYFUNCTION("""COMPUTED_VALUE"""),"0411/FTSCY/WS95031 582390.00 NURHAYATI")</f>
        <v>0411/FTSCY/WS95031 582390.00 NURHAYATI</v>
      </c>
      <c r="D23" s="5">
        <f>IFERROR(__xludf.DUMMYFUNCTION("""COMPUTED_VALUE"""),582390.0)</f>
        <v>582390</v>
      </c>
      <c r="E23" s="5"/>
      <c r="F23" s="5" t="str">
        <f>IFERROR(__xludf.DUMMYFUNCTION("""COMPUTED_VALUE"""),"DB")</f>
        <v>DB</v>
      </c>
      <c r="G23" s="5">
        <f>IFERROR(__xludf.DUMMYFUNCTION("""COMPUTED_VALUE"""),6.230044219000006E7)</f>
        <v>62300442.19</v>
      </c>
      <c r="H23" s="5"/>
      <c r="I23" s="5"/>
    </row>
    <row r="24">
      <c r="A24" s="7">
        <f>IFERROR(__xludf.DUMMYFUNCTION("""COMPUTED_VALUE"""),46330.0)</f>
        <v>46330</v>
      </c>
      <c r="B24" s="5" t="str">
        <f>IFERROR(__xludf.DUMMYFUNCTION("""COMPUTED_VALUE"""),"TRSF E-BANKING DB")</f>
        <v>TRSF E-BANKING DB</v>
      </c>
      <c r="C24" s="5" t="str">
        <f>IFERROR(__xludf.DUMMYFUNCTION("""COMPUTED_VALUE"""),"0411/FTSCY/WS95031 1214210.00 DWI HERMANSYAH")</f>
        <v>0411/FTSCY/WS95031 1214210.00 DWI HERMANSYAH</v>
      </c>
      <c r="D24" s="5">
        <f>IFERROR(__xludf.DUMMYFUNCTION("""COMPUTED_VALUE"""),1214210.0)</f>
        <v>1214210</v>
      </c>
      <c r="E24" s="5"/>
      <c r="F24" s="5" t="str">
        <f>IFERROR(__xludf.DUMMYFUNCTION("""COMPUTED_VALUE"""),"DB")</f>
        <v>DB</v>
      </c>
      <c r="G24" s="5">
        <f>IFERROR(__xludf.DUMMYFUNCTION("""COMPUTED_VALUE"""),6.108623219000006E7)</f>
        <v>61086232.19</v>
      </c>
      <c r="H24" s="5"/>
      <c r="I24" s="5"/>
    </row>
    <row r="25">
      <c r="A25" s="7">
        <f>IFERROR(__xludf.DUMMYFUNCTION("""COMPUTED_VALUE"""),46330.0)</f>
        <v>46330</v>
      </c>
      <c r="B25" s="5" t="str">
        <f>IFERROR(__xludf.DUMMYFUNCTION("""COMPUTED_VALUE"""),"TRSF E-BANKING DB")</f>
        <v>TRSF E-BANKING DB</v>
      </c>
      <c r="C25" s="5" t="str">
        <f>IFERROR(__xludf.DUMMYFUNCTION("""COMPUTED_VALUE"""),"0411/FTSCY/WS95031 1200000.00 HERMAWAN")</f>
        <v>0411/FTSCY/WS95031 1200000.00 HERMAWAN</v>
      </c>
      <c r="D25" s="5">
        <f>IFERROR(__xludf.DUMMYFUNCTION("""COMPUTED_VALUE"""),1200000.0)</f>
        <v>1200000</v>
      </c>
      <c r="E25" s="5"/>
      <c r="F25" s="5" t="str">
        <f>IFERROR(__xludf.DUMMYFUNCTION("""COMPUTED_VALUE"""),"DB")</f>
        <v>DB</v>
      </c>
      <c r="G25" s="5">
        <f>IFERROR(__xludf.DUMMYFUNCTION("""COMPUTED_VALUE"""),5.988623219000006E7)</f>
        <v>59886232.19</v>
      </c>
      <c r="H25" s="5"/>
      <c r="I25" s="5"/>
    </row>
    <row r="26">
      <c r="A26" s="7">
        <f>IFERROR(__xludf.DUMMYFUNCTION("""COMPUTED_VALUE"""),46330.0)</f>
        <v>46330</v>
      </c>
      <c r="B26" s="5" t="str">
        <f>IFERROR(__xludf.DUMMYFUNCTION("""COMPUTED_VALUE"""),"TRSF E-BANKING DB")</f>
        <v>TRSF E-BANKING DB</v>
      </c>
      <c r="C26" s="5" t="str">
        <f>IFERROR(__xludf.DUMMYFUNCTION("""COMPUTED_VALUE"""),"0411/FTSCY/WS95031 1705840.00 MUJIANTO")</f>
        <v>0411/FTSCY/WS95031 1705840.00 MUJIANTO</v>
      </c>
      <c r="D26" s="5">
        <f>IFERROR(__xludf.DUMMYFUNCTION("""COMPUTED_VALUE"""),1705840.0)</f>
        <v>1705840</v>
      </c>
      <c r="E26" s="5"/>
      <c r="F26" s="5" t="str">
        <f>IFERROR(__xludf.DUMMYFUNCTION("""COMPUTED_VALUE"""),"DB")</f>
        <v>DB</v>
      </c>
      <c r="G26" s="5">
        <f>IFERROR(__xludf.DUMMYFUNCTION("""COMPUTED_VALUE"""),5.818039219000006E7)</f>
        <v>58180392.19</v>
      </c>
      <c r="H26" s="5"/>
      <c r="I26" s="5"/>
    </row>
    <row r="27">
      <c r="A27" s="7">
        <f>IFERROR(__xludf.DUMMYFUNCTION("""COMPUTED_VALUE"""),46330.0)</f>
        <v>46330</v>
      </c>
      <c r="B27" s="5" t="str">
        <f>IFERROR(__xludf.DUMMYFUNCTION("""COMPUTED_VALUE"""),"TRSF E-BANKING DB")</f>
        <v>TRSF E-BANKING DB</v>
      </c>
      <c r="C27" s="5" t="str">
        <f>IFERROR(__xludf.DUMMYFUNCTION("""COMPUTED_VALUE"""),"0411/FTSCY/WS95031 4138260.00 FAJAR ANDREANZAH")</f>
        <v>0411/FTSCY/WS95031 4138260.00 FAJAR ANDREANZAH</v>
      </c>
      <c r="D27" s="5">
        <f>IFERROR(__xludf.DUMMYFUNCTION("""COMPUTED_VALUE"""),4138260.0)</f>
        <v>4138260</v>
      </c>
      <c r="E27" s="5"/>
      <c r="F27" s="5" t="str">
        <f>IFERROR(__xludf.DUMMYFUNCTION("""COMPUTED_VALUE"""),"DB")</f>
        <v>DB</v>
      </c>
      <c r="G27" s="5">
        <f>IFERROR(__xludf.DUMMYFUNCTION("""COMPUTED_VALUE"""),5.404213219000006E7)</f>
        <v>54042132.19</v>
      </c>
      <c r="H27" s="5"/>
      <c r="I27" s="5"/>
    </row>
    <row r="28">
      <c r="A28" s="7">
        <f>IFERROR(__xludf.DUMMYFUNCTION("""COMPUTED_VALUE"""),46330.0)</f>
        <v>46330</v>
      </c>
      <c r="B28" s="5" t="str">
        <f>IFERROR(__xludf.DUMMYFUNCTION("""COMPUTED_VALUE"""),"TRSF E-BANKING DB")</f>
        <v>TRSF E-BANKING DB</v>
      </c>
      <c r="C28" s="5" t="str">
        <f>IFERROR(__xludf.DUMMYFUNCTION("""COMPUTED_VALUE"""),"0411/FTSCY/WS95031 10173990.00 EKO SETIYAWAN")</f>
        <v>0411/FTSCY/WS95031 10173990.00 EKO SETIYAWAN</v>
      </c>
      <c r="D28" s="5">
        <f>IFERROR(__xludf.DUMMYFUNCTION("""COMPUTED_VALUE"""),1.017399E7)</f>
        <v>10173990</v>
      </c>
      <c r="E28" s="5"/>
      <c r="F28" s="5" t="str">
        <f>IFERROR(__xludf.DUMMYFUNCTION("""COMPUTED_VALUE"""),"DB")</f>
        <v>DB</v>
      </c>
      <c r="G28" s="5">
        <f>IFERROR(__xludf.DUMMYFUNCTION("""COMPUTED_VALUE"""),4.386814219000006E7)</f>
        <v>43868142.19</v>
      </c>
      <c r="H28" s="5"/>
      <c r="I28" s="5"/>
    </row>
    <row r="29">
      <c r="A29" s="7">
        <f>IFERROR(__xludf.DUMMYFUNCTION("""COMPUTED_VALUE"""),46330.0)</f>
        <v>46330</v>
      </c>
      <c r="B29" s="5" t="str">
        <f>IFERROR(__xludf.DUMMYFUNCTION("""COMPUTED_VALUE"""),"TARIKAN ATM 04/11")</f>
        <v>TARIKAN ATM 04/11</v>
      </c>
      <c r="C29" s="5" t="str">
        <f>IFERROR(__xludf.DUMMYFUNCTION("""COMPUTED_VALUE"""),"TARIKAN ATM 04/11")</f>
        <v>TARIKAN ATM 04/11</v>
      </c>
      <c r="D29" s="5">
        <f>IFERROR(__xludf.DUMMYFUNCTION("""COMPUTED_VALUE"""),400000.0)</f>
        <v>400000</v>
      </c>
      <c r="E29" s="5"/>
      <c r="F29" s="5"/>
      <c r="G29" s="5">
        <f>IFERROR(__xludf.DUMMYFUNCTION("""COMPUTED_VALUE"""),6.5867873219E8)</f>
        <v>658678732.2</v>
      </c>
      <c r="H29" s="5"/>
      <c r="I29" s="5"/>
    </row>
    <row r="30">
      <c r="A30" s="7">
        <f>IFERROR(__xludf.DUMMYFUNCTION("""COMPUTED_VALUE"""),46330.0)</f>
        <v>46330</v>
      </c>
      <c r="B30" s="5" t="str">
        <f>IFERROR(__xludf.DUMMYFUNCTION("""COMPUTED_VALUE"""),"TRSF E-BANKING DB")</f>
        <v>TRSF E-BANKING DB</v>
      </c>
      <c r="C30" s="5" t="str">
        <f>IFERROR(__xludf.DUMMYFUNCTION("""COMPUTED_VALUE"""),"0411/FTSCY/WS95031 1800000.00 ANTON")</f>
        <v>0411/FTSCY/WS95031 1800000.00 ANTON</v>
      </c>
      <c r="D30" s="5">
        <f>IFERROR(__xludf.DUMMYFUNCTION("""COMPUTED_VALUE"""),1800000.0)</f>
        <v>1800000</v>
      </c>
      <c r="E30" s="5"/>
      <c r="F30" s="5" t="str">
        <f>IFERROR(__xludf.DUMMYFUNCTION("""COMPUTED_VALUE"""),"DB")</f>
        <v>DB</v>
      </c>
      <c r="G30" s="5">
        <f>IFERROR(__xludf.DUMMYFUNCTION("""COMPUTED_VALUE"""),6.5687873219E8)</f>
        <v>656878732.2</v>
      </c>
      <c r="H30" s="5">
        <f>IFERROR(__xludf.DUMMYFUNCTION("""COMPUTED_VALUE"""),6.5687873219E8)</f>
        <v>656878732.2</v>
      </c>
      <c r="I30" s="5"/>
    </row>
    <row r="31">
      <c r="A31" s="7">
        <f>IFERROR(__xludf.DUMMYFUNCTION("""COMPUTED_VALUE"""),46331.0)</f>
        <v>46331</v>
      </c>
      <c r="B31" s="5" t="str">
        <f>IFERROR(__xludf.DUMMYFUNCTION("""COMPUTED_VALUE"""),"TRSF E-BANKING DB")</f>
        <v>TRSF E-BANKING DB</v>
      </c>
      <c r="C31" s="5" t="str">
        <f>IFERROR(__xludf.DUMMYFUNCTION("""COMPUTED_VALUE"""),"0511/FTFVA/WS95031 67847/UNGGAS MANDI Tue Nov 03 2026 15:00:00 GMT+0700 (Western Indonesia Time) - 200043")</f>
        <v>0511/FTFVA/WS95031 67847/UNGGAS MANDI Tue Nov 03 2026 15:00:00 GMT+0700 (Western Indonesia Time) - 200043</v>
      </c>
      <c r="D31" s="5">
        <f>IFERROR(__xludf.DUMMYFUNCTION("""COMPUTED_VALUE"""),5.464368E7)</f>
        <v>54643680</v>
      </c>
      <c r="E31" s="5"/>
      <c r="F31" s="5" t="str">
        <f>IFERROR(__xludf.DUMMYFUNCTION("""COMPUTED_VALUE"""),"DB")</f>
        <v>DB</v>
      </c>
      <c r="G31" s="5">
        <f>IFERROR(__xludf.DUMMYFUNCTION("""COMPUTED_VALUE"""),6.0223505219E8)</f>
        <v>602235052.2</v>
      </c>
      <c r="H31" s="5">
        <f>IFERROR(__xludf.DUMMYFUNCTION("""COMPUTED_VALUE"""),6.0223505219E8)</f>
        <v>602235052.2</v>
      </c>
      <c r="I31" s="5"/>
    </row>
    <row r="32">
      <c r="A32" s="7">
        <f>IFERROR(__xludf.DUMMYFUNCTION("""COMPUTED_VALUE"""),46331.0)</f>
        <v>46331</v>
      </c>
      <c r="B32" s="5" t="str">
        <f>IFERROR(__xludf.DUMMYFUNCTION("""COMPUTED_VALUE"""),"TRSF E-BANKING DB")</f>
        <v>TRSF E-BANKING DB</v>
      </c>
      <c r="C32" s="5" t="str">
        <f>IFERROR(__xludf.DUMMYFUNCTION("""COMPUTED_VALUE"""),"0511/FTSCY/WS95011 119512250.00 Pelunasan 03/11 BROILER MAKMUR TAN")</f>
        <v>0511/FTSCY/WS95011 119512250.00 Pelunasan 03/11 BROILER MAKMUR TAN</v>
      </c>
      <c r="D32" s="5">
        <f>IFERROR(__xludf.DUMMYFUNCTION("""COMPUTED_VALUE"""),1.1951225E8)</f>
        <v>119512250</v>
      </c>
      <c r="E32" s="5"/>
      <c r="F32" s="5" t="str">
        <f>IFERROR(__xludf.DUMMYFUNCTION("""COMPUTED_VALUE"""),"DB")</f>
        <v>DB</v>
      </c>
      <c r="G32" s="5">
        <f>IFERROR(__xludf.DUMMYFUNCTION("""COMPUTED_VALUE"""),4.8272280219000006E8)</f>
        <v>482722802.2</v>
      </c>
      <c r="H32" s="5">
        <f>IFERROR(__xludf.DUMMYFUNCTION("""COMPUTED_VALUE"""),4.8272280219E8)</f>
        <v>482722802.2</v>
      </c>
      <c r="I32" s="5"/>
    </row>
    <row r="33">
      <c r="A33" s="7">
        <f>IFERROR(__xludf.DUMMYFUNCTION("""COMPUTED_VALUE"""),46331.0)</f>
        <v>46331</v>
      </c>
      <c r="B33" s="5" t="str">
        <f>IFERROR(__xludf.DUMMYFUNCTION("""COMPUTED_VALUE"""),"TRSF E-BANKING DB")</f>
        <v>TRSF E-BANKING DB</v>
      </c>
      <c r="C33" s="5" t="str">
        <f>IFERROR(__xludf.DUMMYFUNCTION("""COMPUTED_VALUE"""),"0511/FTSCY/WS95011 60970390.00 Sat Oct 03 2026 14:00:00 GMT+0700 (Western Indonesia Time) BINTANG TAMA SANTO")</f>
        <v>0511/FTSCY/WS95011 60970390.00 Sat Oct 03 2026 14:00:00 GMT+0700 (Western Indonesia Time) BINTANG TAMA SANTO</v>
      </c>
      <c r="D33" s="5">
        <f>IFERROR(__xludf.DUMMYFUNCTION("""COMPUTED_VALUE"""),6.097039E7)</f>
        <v>60970390</v>
      </c>
      <c r="E33" s="5"/>
      <c r="F33" s="5" t="str">
        <f>IFERROR(__xludf.DUMMYFUNCTION("""COMPUTED_VALUE"""),"DB")</f>
        <v>DB</v>
      </c>
      <c r="G33" s="5">
        <f>IFERROR(__xludf.DUMMYFUNCTION("""COMPUTED_VALUE"""),4.2175241219000006E8)</f>
        <v>421752412.2</v>
      </c>
      <c r="H33" s="5"/>
      <c r="I33" s="5"/>
    </row>
    <row r="34">
      <c r="A34" s="7">
        <f>IFERROR(__xludf.DUMMYFUNCTION("""COMPUTED_VALUE"""),46331.0)</f>
        <v>46331</v>
      </c>
      <c r="B34" s="5" t="str">
        <f>IFERROR(__xludf.DUMMYFUNCTION("""COMPUTED_VALUE"""),"TRSF E-BANKING DB")</f>
        <v>TRSF E-BANKING DB</v>
      </c>
      <c r="C34" s="5" t="str">
        <f>IFERROR(__xludf.DUMMYFUNCTION("""COMPUTED_VALUE"""),"0511/FTSCY/WS95011 54165400.00 Tue Nov 03 2026 15:00:00 GMT+0700 (Western Indonesia Time) TABASSAM AL HATTAK")</f>
        <v>0511/FTSCY/WS95011 54165400.00 Tue Nov 03 2026 15:00:00 GMT+0700 (Western Indonesia Time) TABASSAM AL HATTAK</v>
      </c>
      <c r="D34" s="5">
        <f>IFERROR(__xludf.DUMMYFUNCTION("""COMPUTED_VALUE"""),5.41654E7)</f>
        <v>54165400</v>
      </c>
      <c r="E34" s="5"/>
      <c r="F34" s="5" t="str">
        <f>IFERROR(__xludf.DUMMYFUNCTION("""COMPUTED_VALUE"""),"DB")</f>
        <v>DB</v>
      </c>
      <c r="G34" s="5">
        <f>IFERROR(__xludf.DUMMYFUNCTION("""COMPUTED_VALUE"""),3.6758701219000006E8)</f>
        <v>367587012.2</v>
      </c>
      <c r="H34" s="5"/>
      <c r="I34" s="5"/>
    </row>
    <row r="35">
      <c r="A35" s="7">
        <f>IFERROR(__xludf.DUMMYFUNCTION("""COMPUTED_VALUE"""),46331.0)</f>
        <v>46331</v>
      </c>
      <c r="B35" s="5" t="str">
        <f>IFERROR(__xludf.DUMMYFUNCTION("""COMPUTED_VALUE"""),"TRSF E-BANKING DB")</f>
        <v>TRSF E-BANKING DB</v>
      </c>
      <c r="C35" s="5" t="str">
        <f>IFERROR(__xludf.DUMMYFUNCTION("""COMPUTED_VALUE"""),"0511/FTSCY/WS95011 53919400.00 Tue Nov 03 2026 15:00:00 GMT+0700 (Western Indonesia Time) LAJU SATWA WISESA")</f>
        <v>0511/FTSCY/WS95011 53919400.00 Tue Nov 03 2026 15:00:00 GMT+0700 (Western Indonesia Time) LAJU SATWA WISESA</v>
      </c>
      <c r="D35" s="5">
        <f>IFERROR(__xludf.DUMMYFUNCTION("""COMPUTED_VALUE"""),5.39194E7)</f>
        <v>53919400</v>
      </c>
      <c r="E35" s="5"/>
      <c r="F35" s="5" t="str">
        <f>IFERROR(__xludf.DUMMYFUNCTION("""COMPUTED_VALUE"""),"DB")</f>
        <v>DB</v>
      </c>
      <c r="G35" s="5">
        <f>IFERROR(__xludf.DUMMYFUNCTION("""COMPUTED_VALUE"""),3.1366761219000006E8)</f>
        <v>313667612.2</v>
      </c>
      <c r="H35" s="5"/>
      <c r="I35" s="5"/>
    </row>
    <row r="36">
      <c r="A36" s="7">
        <f>IFERROR(__xludf.DUMMYFUNCTION("""COMPUTED_VALUE"""),46331.0)</f>
        <v>46331</v>
      </c>
      <c r="B36" s="5" t="str">
        <f>IFERROR(__xludf.DUMMYFUNCTION("""COMPUTED_VALUE"""),"TRSF E-BANKING DB")</f>
        <v>TRSF E-BANKING DB</v>
      </c>
      <c r="C36" s="5" t="str">
        <f>IFERROR(__xludf.DUMMYFUNCTION("""COMPUTED_VALUE"""),"0511/FTSCY/WS95011 211259500.00 03/11 krg 11 jt ADNAN")</f>
        <v>0511/FTSCY/WS95011 211259500.00 03/11 krg 11 jt ADNAN</v>
      </c>
      <c r="D36" s="5">
        <f>IFERROR(__xludf.DUMMYFUNCTION("""COMPUTED_VALUE"""),2.112595E8)</f>
        <v>211259500</v>
      </c>
      <c r="E36" s="5"/>
      <c r="F36" s="5" t="str">
        <f>IFERROR(__xludf.DUMMYFUNCTION("""COMPUTED_VALUE"""),"DB")</f>
        <v>DB</v>
      </c>
      <c r="G36" s="5">
        <f>IFERROR(__xludf.DUMMYFUNCTION("""COMPUTED_VALUE"""),1.0240811219000006E8)</f>
        <v>102408112.2</v>
      </c>
      <c r="H36" s="5"/>
      <c r="I36" s="5"/>
    </row>
    <row r="37">
      <c r="A37" s="7">
        <f>IFERROR(__xludf.DUMMYFUNCTION("""COMPUTED_VALUE"""),46331.0)</f>
        <v>46331</v>
      </c>
      <c r="B37" s="5" t="str">
        <f>IFERROR(__xludf.DUMMYFUNCTION("""COMPUTED_VALUE"""),"TRSF E-BANKING DB")</f>
        <v>TRSF E-BANKING DB</v>
      </c>
      <c r="C37" s="5" t="str">
        <f>IFERROR(__xludf.DUMMYFUNCTION("""COMPUTED_VALUE"""),"0511/FTSCY/WS95271 17000000.00 pelunasan ADNAN")</f>
        <v>0511/FTSCY/WS95271 17000000.00 pelunasan ADNAN</v>
      </c>
      <c r="D37" s="5">
        <f>IFERROR(__xludf.DUMMYFUNCTION("""COMPUTED_VALUE"""),1.7E7)</f>
        <v>17000000</v>
      </c>
      <c r="E37" s="5"/>
      <c r="F37" s="5" t="str">
        <f>IFERROR(__xludf.DUMMYFUNCTION("""COMPUTED_VALUE"""),"DB")</f>
        <v>DB</v>
      </c>
      <c r="G37" s="5">
        <f>IFERROR(__xludf.DUMMYFUNCTION("""COMPUTED_VALUE"""),8.540811219000006E7)</f>
        <v>85408112.19</v>
      </c>
      <c r="H37" s="5"/>
      <c r="I37" s="5"/>
    </row>
    <row r="38">
      <c r="A38" s="7">
        <f>IFERROR(__xludf.DUMMYFUNCTION("""COMPUTED_VALUE"""),46331.0)</f>
        <v>46331</v>
      </c>
      <c r="B38" s="5" t="str">
        <f>IFERROR(__xludf.DUMMYFUNCTION("""COMPUTED_VALUE"""),"TRSF E-BANKING DB")</f>
        <v>TRSF E-BANKING DB</v>
      </c>
      <c r="C38" s="5" t="str">
        <f>IFERROR(__xludf.DUMMYFUNCTION("""COMPUTED_VALUE"""),"0511/FTSCY/WS95271 55800000.00 Tue Nov 03 2026 15:00:00 GMT+0700 (Western Indonesia Time) TUMBUH OPTIMAL PRI")</f>
        <v>0511/FTSCY/WS95271 55800000.00 Tue Nov 03 2026 15:00:00 GMT+0700 (Western Indonesia Time) TUMBUH OPTIMAL PRI</v>
      </c>
      <c r="D38" s="5">
        <f>IFERROR(__xludf.DUMMYFUNCTION("""COMPUTED_VALUE"""),5.58E7)</f>
        <v>55800000</v>
      </c>
      <c r="E38" s="5"/>
      <c r="F38" s="5" t="str">
        <f>IFERROR(__xludf.DUMMYFUNCTION("""COMPUTED_VALUE"""),"DB")</f>
        <v>DB</v>
      </c>
      <c r="G38" s="5">
        <f>IFERROR(__xludf.DUMMYFUNCTION("""COMPUTED_VALUE"""),2.9608112190000057E7)</f>
        <v>29608112.19</v>
      </c>
      <c r="H38" s="5"/>
      <c r="I38" s="5"/>
    </row>
    <row r="39">
      <c r="A39" s="7">
        <f>IFERROR(__xludf.DUMMYFUNCTION("""COMPUTED_VALUE"""),46331.0)</f>
        <v>46331</v>
      </c>
      <c r="B39" s="5" t="str">
        <f>IFERROR(__xludf.DUMMYFUNCTION("""COMPUTED_VALUE"""),"TRSF E-BANKING DB")</f>
        <v>TRSF E-BANKING DB</v>
      </c>
      <c r="C39" s="5" t="str">
        <f>IFERROR(__xludf.DUMMYFUNCTION("""COMPUTED_VALUE"""),"0511/FTSCY/WS95031 1455350.00 SUNARTO")</f>
        <v>0511/FTSCY/WS95031 1455350.00 SUNARTO</v>
      </c>
      <c r="D39" s="5">
        <f>IFERROR(__xludf.DUMMYFUNCTION("""COMPUTED_VALUE"""),1455350.0)</f>
        <v>1455350</v>
      </c>
      <c r="E39" s="5"/>
      <c r="F39" s="5" t="str">
        <f>IFERROR(__xludf.DUMMYFUNCTION("""COMPUTED_VALUE"""),"DB")</f>
        <v>DB</v>
      </c>
      <c r="G39" s="5">
        <f>IFERROR(__xludf.DUMMYFUNCTION("""COMPUTED_VALUE"""),2.8152762190000057E7)</f>
        <v>28152762.19</v>
      </c>
      <c r="H39" s="5"/>
      <c r="I39" s="5"/>
    </row>
    <row r="40">
      <c r="A40" s="7">
        <f>IFERROR(__xludf.DUMMYFUNCTION("""COMPUTED_VALUE"""),46331.0)</f>
        <v>46331</v>
      </c>
      <c r="B40" s="5" t="str">
        <f>IFERROR(__xludf.DUMMYFUNCTION("""COMPUTED_VALUE"""),"TRSF E-BANKING DB")</f>
        <v>TRSF E-BANKING DB</v>
      </c>
      <c r="C40" s="5" t="str">
        <f>IFERROR(__xludf.DUMMYFUNCTION("""COMPUTED_VALUE"""),"0511/FTSCY/WS95031 1620050.00 DWI HERMANSYAH")</f>
        <v>0511/FTSCY/WS95031 1620050.00 DWI HERMANSYAH</v>
      </c>
      <c r="D40" s="5">
        <f>IFERROR(__xludf.DUMMYFUNCTION("""COMPUTED_VALUE"""),1620050.0)</f>
        <v>1620050</v>
      </c>
      <c r="E40" s="5"/>
      <c r="F40" s="5" t="str">
        <f>IFERROR(__xludf.DUMMYFUNCTION("""COMPUTED_VALUE"""),"DB")</f>
        <v>DB</v>
      </c>
      <c r="G40" s="5">
        <f>IFERROR(__xludf.DUMMYFUNCTION("""COMPUTED_VALUE"""),2.6532712190000057E7)</f>
        <v>26532712.19</v>
      </c>
      <c r="H40" s="5"/>
      <c r="I40" s="5"/>
    </row>
    <row r="41">
      <c r="A41" s="7">
        <f>IFERROR(__xludf.DUMMYFUNCTION("""COMPUTED_VALUE"""),46331.0)</f>
        <v>46331</v>
      </c>
      <c r="B41" s="5" t="str">
        <f>IFERROR(__xludf.DUMMYFUNCTION("""COMPUTED_VALUE"""),"TRSF E-BANKING DB")</f>
        <v>TRSF E-BANKING DB</v>
      </c>
      <c r="C41" s="5" t="str">
        <f>IFERROR(__xludf.DUMMYFUNCTION("""COMPUTED_VALUE"""),"0511/FTSCY/WS95031 1200000.00 HERMAWAN")</f>
        <v>0511/FTSCY/WS95031 1200000.00 HERMAWAN</v>
      </c>
      <c r="D41" s="5">
        <f>IFERROR(__xludf.DUMMYFUNCTION("""COMPUTED_VALUE"""),1200000.0)</f>
        <v>1200000</v>
      </c>
      <c r="E41" s="5"/>
      <c r="F41" s="5" t="str">
        <f>IFERROR(__xludf.DUMMYFUNCTION("""COMPUTED_VALUE"""),"DB")</f>
        <v>DB</v>
      </c>
      <c r="G41" s="5">
        <f>IFERROR(__xludf.DUMMYFUNCTION("""COMPUTED_VALUE"""),2.5332712190000057E7)</f>
        <v>25332712.19</v>
      </c>
      <c r="H41" s="5"/>
      <c r="I41" s="5"/>
    </row>
    <row r="42">
      <c r="A42" s="7">
        <f>IFERROR(__xludf.DUMMYFUNCTION("""COMPUTED_VALUE"""),46331.0)</f>
        <v>46331</v>
      </c>
      <c r="B42" s="5" t="str">
        <f>IFERROR(__xludf.DUMMYFUNCTION("""COMPUTED_VALUE"""),"TRSF E-BANKING DB")</f>
        <v>TRSF E-BANKING DB</v>
      </c>
      <c r="C42" s="5" t="str">
        <f>IFERROR(__xludf.DUMMYFUNCTION("""COMPUTED_VALUE"""),"0511/FTSCY/WS95031 18127665.00 krg 90 jt EKO SETIYAWAN")</f>
        <v>0511/FTSCY/WS95031 18127665.00 krg 90 jt EKO SETIYAWAN</v>
      </c>
      <c r="D42" s="5">
        <f>IFERROR(__xludf.DUMMYFUNCTION("""COMPUTED_VALUE"""),1.8127665E7)</f>
        <v>18127665</v>
      </c>
      <c r="E42" s="5"/>
      <c r="F42" s="5" t="str">
        <f>IFERROR(__xludf.DUMMYFUNCTION("""COMPUTED_VALUE"""),"DB")</f>
        <v>DB</v>
      </c>
      <c r="G42" s="5">
        <f>IFERROR(__xludf.DUMMYFUNCTION("""COMPUTED_VALUE"""),7205047.190000057)</f>
        <v>7205047.19</v>
      </c>
      <c r="H42" s="5"/>
      <c r="I42" s="5"/>
    </row>
    <row r="43">
      <c r="A43" s="7">
        <f>IFERROR(__xludf.DUMMYFUNCTION("""COMPUTED_VALUE"""),46331.0)</f>
        <v>46331</v>
      </c>
      <c r="B43" s="5" t="str">
        <f>IFERROR(__xludf.DUMMYFUNCTION("""COMPUTED_VALUE"""),"TRSF E-BANKING DB")</f>
        <v>TRSF E-BANKING DB</v>
      </c>
      <c r="C43" s="5" t="str">
        <f>IFERROR(__xludf.DUMMYFUNCTION("""COMPUTED_VALUE"""),"0511/FTSCY/WS95031 3867040.00 MUJIANTO")</f>
        <v>0511/FTSCY/WS95031 3867040.00 MUJIANTO</v>
      </c>
      <c r="D43" s="5">
        <f>IFERROR(__xludf.DUMMYFUNCTION("""COMPUTED_VALUE"""),3867040.0)</f>
        <v>3867040</v>
      </c>
      <c r="E43" s="5"/>
      <c r="F43" s="5" t="str">
        <f>IFERROR(__xludf.DUMMYFUNCTION("""COMPUTED_VALUE"""),"DB")</f>
        <v>DB</v>
      </c>
      <c r="G43" s="5">
        <f>IFERROR(__xludf.DUMMYFUNCTION("""COMPUTED_VALUE"""),3338007.190000057)</f>
        <v>3338007.19</v>
      </c>
      <c r="H43" s="5"/>
      <c r="I43" s="5"/>
    </row>
    <row r="44">
      <c r="A44" s="7">
        <f>IFERROR(__xludf.DUMMYFUNCTION("""COMPUTED_VALUE"""),46331.0)</f>
        <v>46331</v>
      </c>
      <c r="B44" s="5" t="str">
        <f>IFERROR(__xludf.DUMMYFUNCTION("""COMPUTED_VALUE"""),"TRSF E-BANKING DB")</f>
        <v>TRSF E-BANKING DB</v>
      </c>
      <c r="C44" s="5" t="str">
        <f>IFERROR(__xludf.DUMMYFUNCTION("""COMPUTED_VALUE"""),"0511/FTSCY/WS95031 1736190.00 FAJAR ANDREANZAH")</f>
        <v>0511/FTSCY/WS95031 1736190.00 FAJAR ANDREANZAH</v>
      </c>
      <c r="D44" s="5">
        <f>IFERROR(__xludf.DUMMYFUNCTION("""COMPUTED_VALUE"""),1736190.0)</f>
        <v>1736190</v>
      </c>
      <c r="E44" s="5"/>
      <c r="F44" s="5" t="str">
        <f>IFERROR(__xludf.DUMMYFUNCTION("""COMPUTED_VALUE"""),"DB")</f>
        <v>DB</v>
      </c>
      <c r="G44" s="5">
        <f>IFERROR(__xludf.DUMMYFUNCTION("""COMPUTED_VALUE"""),1601817.1900000572)</f>
        <v>1601817.19</v>
      </c>
      <c r="H44" s="5"/>
      <c r="I44" s="5"/>
    </row>
    <row r="45">
      <c r="A45" s="7">
        <f>IFERROR(__xludf.DUMMYFUNCTION("""COMPUTED_VALUE"""),46331.0)</f>
        <v>46331</v>
      </c>
      <c r="B45" s="5" t="str">
        <f>IFERROR(__xludf.DUMMYFUNCTION("""COMPUTED_VALUE"""),"TRSF E-BANKING DB")</f>
        <v>TRSF E-BANKING DB</v>
      </c>
      <c r="C45" s="5" t="str">
        <f>IFERROR(__xludf.DUMMYFUNCTION("""COMPUTED_VALUE"""),"0511/FTSCY/WS95031 600000.00 SUNARTO")</f>
        <v>0511/FTSCY/WS95031 600000.00 SUNARTO</v>
      </c>
      <c r="D45" s="5">
        <f>IFERROR(__xludf.DUMMYFUNCTION("""COMPUTED_VALUE"""),600000.0)</f>
        <v>600000</v>
      </c>
      <c r="E45" s="5"/>
      <c r="F45" s="5" t="str">
        <f>IFERROR(__xludf.DUMMYFUNCTION("""COMPUTED_VALUE"""),"DB")</f>
        <v>DB</v>
      </c>
      <c r="G45" s="5">
        <f>IFERROR(__xludf.DUMMYFUNCTION("""COMPUTED_VALUE"""),1001817.1900000572)</f>
        <v>1001817.19</v>
      </c>
      <c r="H45" s="5">
        <f>IFERROR(__xludf.DUMMYFUNCTION("""COMPUTED_VALUE"""),1001817.19)</f>
        <v>1001817.19</v>
      </c>
      <c r="I45" s="5"/>
    </row>
    <row r="46">
      <c r="A46" s="7">
        <f>IFERROR(__xludf.DUMMYFUNCTION("""COMPUTED_VALUE"""),46331.0)</f>
        <v>46331</v>
      </c>
      <c r="B46" s="5" t="str">
        <f>IFERROR(__xludf.DUMMYFUNCTION("""COMPUTED_VALUE"""),"KARTU DEBIT")</f>
        <v>KARTU DEBIT</v>
      </c>
      <c r="C46" s="5" t="str">
        <f>IFERROR(__xludf.DUMMYFUNCTION("""COMPUTED_VALUE"""),"BLINK BLINK ACC-HO 6019009510239343")</f>
        <v>BLINK BLINK ACC-HO 6019009510239343</v>
      </c>
      <c r="D46" s="5">
        <f>IFERROR(__xludf.DUMMYFUNCTION("""COMPUTED_VALUE"""),52400.0)</f>
        <v>52400</v>
      </c>
      <c r="E46" s="5"/>
      <c r="F46" s="5"/>
      <c r="G46" s="5">
        <f>IFERROR(__xludf.DUMMYFUNCTION("""COMPUTED_VALUE"""),949417.1900000572)</f>
        <v>949417.19</v>
      </c>
      <c r="H46" s="5"/>
      <c r="I46" s="5"/>
    </row>
    <row r="47">
      <c r="A47" s="7">
        <f>IFERROR(__xludf.DUMMYFUNCTION("""COMPUTED_VALUE"""),46331.0)</f>
        <v>46331</v>
      </c>
      <c r="B47" s="5" t="str">
        <f>IFERROR(__xludf.DUMMYFUNCTION("""COMPUTED_VALUE"""),"TARIKAN ATM 05/11")</f>
        <v>TARIKAN ATM 05/11</v>
      </c>
      <c r="C47" s="5" t="str">
        <f>IFERROR(__xludf.DUMMYFUNCTION("""COMPUTED_VALUE"""),"TARIKAN ATM 05/11")</f>
        <v>TARIKAN ATM 05/11</v>
      </c>
      <c r="D47" s="5">
        <f>IFERROR(__xludf.DUMMYFUNCTION("""COMPUTED_VALUE"""),200000.0)</f>
        <v>200000</v>
      </c>
      <c r="E47" s="5"/>
      <c r="F47" s="5"/>
      <c r="G47" s="5">
        <f>IFERROR(__xludf.DUMMYFUNCTION("""COMPUTED_VALUE"""),749417.1900000572)</f>
        <v>749417.19</v>
      </c>
      <c r="H47" s="5"/>
      <c r="I47" s="5"/>
    </row>
    <row r="48">
      <c r="A48" s="7">
        <f>IFERROR(__xludf.DUMMYFUNCTION("""COMPUTED_VALUE"""),46332.0)</f>
        <v>46332</v>
      </c>
      <c r="B48" s="5" t="str">
        <f>IFERROR(__xludf.DUMMYFUNCTION("""COMPUTED_VALUE"""),"BYR VIA E-BANKING")</f>
        <v>BYR VIA E-BANKING</v>
      </c>
      <c r="C48" s="5" t="str">
        <f>IFERROR(__xludf.DUMMYFUNCTION("""COMPUTED_VALUE"""),"06/11  WSID9503100 1220 TELKOMSEL 82318368518 MUHAMMAD HAIRUL MA")</f>
        <v>06/11  WSID9503100 1220 TELKOMSEL 82318368518 MUHAMMAD HAIRUL MA</v>
      </c>
      <c r="D48" s="5">
        <f>IFERROR(__xludf.DUMMYFUNCTION("""COMPUTED_VALUE"""),102000.0)</f>
        <v>102000</v>
      </c>
      <c r="E48" s="5"/>
      <c r="F48" s="5"/>
      <c r="G48" s="5">
        <f>IFERROR(__xludf.DUMMYFUNCTION("""COMPUTED_VALUE"""),6.195721719000006E7)</f>
        <v>61957217.19</v>
      </c>
      <c r="H48" s="5"/>
      <c r="I48" s="5"/>
    </row>
    <row r="49">
      <c r="A49" s="7">
        <f>IFERROR(__xludf.DUMMYFUNCTION("""COMPUTED_VALUE"""),46332.0)</f>
        <v>46332</v>
      </c>
      <c r="B49" s="5" t="str">
        <f>IFERROR(__xludf.DUMMYFUNCTION("""COMPUTED_VALUE"""),"TRSF E-BANKING DB")</f>
        <v>TRSF E-BANKING DB</v>
      </c>
      <c r="C49" s="5" t="str">
        <f>IFERROR(__xludf.DUMMYFUNCTION("""COMPUTED_VALUE"""),"0611/FTSCY/WS95271 56420000.00 Sat Oct 03 2026 14:00:00 GMT+0700 (Western Indonesia Time) ANDALAN YASA MITRA")</f>
        <v>0611/FTSCY/WS95271 56420000.00 Sat Oct 03 2026 14:00:00 GMT+0700 (Western Indonesia Time) ANDALAN YASA MITRA</v>
      </c>
      <c r="D49" s="5">
        <f>IFERROR(__xludf.DUMMYFUNCTION("""COMPUTED_VALUE"""),5.642E7)</f>
        <v>56420000</v>
      </c>
      <c r="E49" s="5"/>
      <c r="F49" s="5" t="str">
        <f>IFERROR(__xludf.DUMMYFUNCTION("""COMPUTED_VALUE"""),"DB")</f>
        <v>DB</v>
      </c>
      <c r="G49" s="5">
        <f>IFERROR(__xludf.DUMMYFUNCTION("""COMPUTED_VALUE"""),5537217.190000057)</f>
        <v>5537217.19</v>
      </c>
      <c r="H49" s="5"/>
      <c r="I49" s="5"/>
    </row>
    <row r="50">
      <c r="A50" s="7">
        <f>IFERROR(__xludf.DUMMYFUNCTION("""COMPUTED_VALUE"""),46332.0)</f>
        <v>46332</v>
      </c>
      <c r="B50" s="5" t="str">
        <f>IFERROR(__xludf.DUMMYFUNCTION("""COMPUTED_VALUE"""),"BYR VIA E-BANKING")</f>
        <v>BYR VIA E-BANKING</v>
      </c>
      <c r="C50" s="5" t="str">
        <f>IFERROR(__xludf.DUMMYFUNCTION("""COMPUTED_VALUE"""),"06/11  WSID9503100 0865 PLN PREPAID 50000745898 MUHAMMAD HAIRUL MA")</f>
        <v>06/11  WSID9503100 0865 PLN PREPAID 50000745898 MUHAMMAD HAIRUL MA</v>
      </c>
      <c r="D50" s="5">
        <f>IFERROR(__xludf.DUMMYFUNCTION("""COMPUTED_VALUE"""),102500.0)</f>
        <v>102500</v>
      </c>
      <c r="E50" s="5"/>
      <c r="F50" s="5"/>
      <c r="G50" s="5">
        <f>IFERROR(__xludf.DUMMYFUNCTION("""COMPUTED_VALUE"""),5434717.190000057)</f>
        <v>5434717.19</v>
      </c>
      <c r="H50" s="5"/>
      <c r="I50" s="5"/>
    </row>
    <row r="51">
      <c r="A51" s="7">
        <f>IFERROR(__xludf.DUMMYFUNCTION("""COMPUTED_VALUE"""),46332.0)</f>
        <v>46332</v>
      </c>
      <c r="B51" s="5" t="str">
        <f>IFERROR(__xludf.DUMMYFUNCTION("""COMPUTED_VALUE"""),"TRSF E-BANKING DB")</f>
        <v>TRSF E-BANKING DB</v>
      </c>
      <c r="C51" s="5" t="str">
        <f>IFERROR(__xludf.DUMMYFUNCTION("""COMPUTED_VALUE"""),"0611/FTSCY/WS95271 173261560.00 Tue Nov 03 2026 15:00:00 GMT+0700 (Western Indonesia Time) PITIK DIGITAL INDO")</f>
        <v>0611/FTSCY/WS95271 173261560.00 Tue Nov 03 2026 15:00:00 GMT+0700 (Western Indonesia Time) PITIK DIGITAL INDO</v>
      </c>
      <c r="D51" s="5">
        <f>IFERROR(__xludf.DUMMYFUNCTION("""COMPUTED_VALUE"""),1.7326156E8)</f>
        <v>173261560</v>
      </c>
      <c r="E51" s="5"/>
      <c r="F51" s="5" t="str">
        <f>IFERROR(__xludf.DUMMYFUNCTION("""COMPUTED_VALUE"""),"DB")</f>
        <v>DB</v>
      </c>
      <c r="G51" s="5">
        <f>IFERROR(__xludf.DUMMYFUNCTION("""COMPUTED_VALUE"""),4.2593353319000006E8)</f>
        <v>425933533.2</v>
      </c>
      <c r="H51" s="5"/>
      <c r="I51" s="5"/>
    </row>
    <row r="52">
      <c r="A52" s="7">
        <f>IFERROR(__xludf.DUMMYFUNCTION("""COMPUTED_VALUE"""),46332.0)</f>
        <v>46332</v>
      </c>
      <c r="B52" s="5" t="str">
        <f>IFERROR(__xludf.DUMMYFUNCTION("""COMPUTED_VALUE"""),"TRSF E-BANKING DB")</f>
        <v>TRSF E-BANKING DB</v>
      </c>
      <c r="C52" s="5" t="str">
        <f>IFERROR(__xludf.DUMMYFUNCTION("""COMPUTED_VALUE"""),"0611/FTSCY/WS95271 52100000.00 pelunasan BUDI SURYANTO")</f>
        <v>0611/FTSCY/WS95271 52100000.00 pelunasan BUDI SURYANTO</v>
      </c>
      <c r="D52" s="5">
        <f>IFERROR(__xludf.DUMMYFUNCTION("""COMPUTED_VALUE"""),5.21E7)</f>
        <v>52100000</v>
      </c>
      <c r="E52" s="5"/>
      <c r="F52" s="5" t="str">
        <f>IFERROR(__xludf.DUMMYFUNCTION("""COMPUTED_VALUE"""),"DB")</f>
        <v>DB</v>
      </c>
      <c r="G52" s="5">
        <f>IFERROR(__xludf.DUMMYFUNCTION("""COMPUTED_VALUE"""),3.7383353319000006E8)</f>
        <v>373833533.2</v>
      </c>
      <c r="H52" s="5"/>
      <c r="I52" s="5"/>
    </row>
    <row r="53">
      <c r="A53" s="7">
        <f>IFERROR(__xludf.DUMMYFUNCTION("""COMPUTED_VALUE"""),46332.0)</f>
        <v>46332</v>
      </c>
      <c r="B53" s="5" t="str">
        <f>IFERROR(__xludf.DUMMYFUNCTION("""COMPUTED_VALUE"""),"TRSF E-BANKING DB")</f>
        <v>TRSF E-BANKING DB</v>
      </c>
      <c r="C53" s="5" t="str">
        <f>IFERROR(__xludf.DUMMYFUNCTION("""COMPUTED_VALUE"""),"0611/FTSCY/WS95031 51523200.00 211 TABASSAM AL HATTAK")</f>
        <v>0611/FTSCY/WS95031 51523200.00 211 TABASSAM AL HATTAK</v>
      </c>
      <c r="D53" s="5">
        <f>IFERROR(__xludf.DUMMYFUNCTION("""COMPUTED_VALUE"""),5.15232E7)</f>
        <v>51523200</v>
      </c>
      <c r="E53" s="5"/>
      <c r="F53" s="5" t="str">
        <f>IFERROR(__xludf.DUMMYFUNCTION("""COMPUTED_VALUE"""),"DB")</f>
        <v>DB</v>
      </c>
      <c r="G53" s="5">
        <f>IFERROR(__xludf.DUMMYFUNCTION("""COMPUTED_VALUE"""),3.8023033319000006E8)</f>
        <v>380230333.2</v>
      </c>
      <c r="H53" s="5">
        <f>IFERROR(__xludf.DUMMYFUNCTION("""COMPUTED_VALUE"""),3.8023033319E8)</f>
        <v>380230333.2</v>
      </c>
      <c r="I53" s="5"/>
    </row>
    <row r="54">
      <c r="A54" s="7">
        <f>IFERROR(__xludf.DUMMYFUNCTION("""COMPUTED_VALUE"""),46332.0)</f>
        <v>46332</v>
      </c>
      <c r="B54" s="5" t="str">
        <f>IFERROR(__xludf.DUMMYFUNCTION("""COMPUTED_VALUE"""),"TARIKAN ATM 06/11")</f>
        <v>TARIKAN ATM 06/11</v>
      </c>
      <c r="C54" s="5" t="str">
        <f>IFERROR(__xludf.DUMMYFUNCTION("""COMPUTED_VALUE"""),"TARIKAN ATM 06/11")</f>
        <v>TARIKAN ATM 06/11</v>
      </c>
      <c r="D54" s="5">
        <f>IFERROR(__xludf.DUMMYFUNCTION("""COMPUTED_VALUE"""),150000.0)</f>
        <v>150000</v>
      </c>
      <c r="E54" s="5"/>
      <c r="F54" s="5"/>
      <c r="G54" s="5">
        <f>IFERROR(__xludf.DUMMYFUNCTION("""COMPUTED_VALUE"""),4.8008033319000006E8)</f>
        <v>480080333.2</v>
      </c>
      <c r="H54" s="5"/>
      <c r="I54" s="5"/>
    </row>
    <row r="55">
      <c r="A55" s="7">
        <f>IFERROR(__xludf.DUMMYFUNCTION("""COMPUTED_VALUE"""),46332.0)</f>
        <v>46332</v>
      </c>
      <c r="B55" s="5" t="str">
        <f>IFERROR(__xludf.DUMMYFUNCTION("""COMPUTED_VALUE"""),"TRSF E-BANKING DB")</f>
        <v>TRSF E-BANKING DB</v>
      </c>
      <c r="C55" s="5" t="str">
        <f>IFERROR(__xludf.DUMMYFUNCTION("""COMPUTED_VALUE"""),"0611/FTSCY/WS95011 163319150.00 Thu Nov 05 2026 15:00:00 GMT+0700 (Western Indonesia Time) SUGENG RIADI")</f>
        <v>0611/FTSCY/WS95011 163319150.00 Thu Nov 05 2026 15:00:00 GMT+0700 (Western Indonesia Time) SUGENG RIADI</v>
      </c>
      <c r="D55" s="5">
        <f>IFERROR(__xludf.DUMMYFUNCTION("""COMPUTED_VALUE"""),1.6331915E8)</f>
        <v>163319150</v>
      </c>
      <c r="E55" s="5"/>
      <c r="F55" s="5" t="str">
        <f>IFERROR(__xludf.DUMMYFUNCTION("""COMPUTED_VALUE"""),"DB")</f>
        <v>DB</v>
      </c>
      <c r="G55" s="5">
        <f>IFERROR(__xludf.DUMMYFUNCTION("""COMPUTED_VALUE"""),3.1676118319000006E8)</f>
        <v>316761183.2</v>
      </c>
      <c r="H55" s="5"/>
      <c r="I55" s="5"/>
    </row>
    <row r="56">
      <c r="A56" s="7">
        <f>IFERROR(__xludf.DUMMYFUNCTION("""COMPUTED_VALUE"""),46332.0)</f>
        <v>46332</v>
      </c>
      <c r="B56" s="5" t="str">
        <f>IFERROR(__xludf.DUMMYFUNCTION("""COMPUTED_VALUE"""),"TRSF E-BANKING DB")</f>
        <v>TRSF E-BANKING DB</v>
      </c>
      <c r="C56" s="5" t="str">
        <f>IFERROR(__xludf.DUMMYFUNCTION("""COMPUTED_VALUE"""),"0611/FTSCY/WS95011 61950000.00 Tue Nov 03 2026 15:00:00 GMT+0700 (Western Indonesia Time) RUKUN MITRA BERSAM")</f>
        <v>0611/FTSCY/WS95011 61950000.00 Tue Nov 03 2026 15:00:00 GMT+0700 (Western Indonesia Time) RUKUN MITRA BERSAM</v>
      </c>
      <c r="D56" s="5">
        <f>IFERROR(__xludf.DUMMYFUNCTION("""COMPUTED_VALUE"""),6.195E7)</f>
        <v>61950000</v>
      </c>
      <c r="E56" s="5"/>
      <c r="F56" s="5" t="str">
        <f>IFERROR(__xludf.DUMMYFUNCTION("""COMPUTED_VALUE"""),"DB")</f>
        <v>DB</v>
      </c>
      <c r="G56" s="5">
        <f>IFERROR(__xludf.DUMMYFUNCTION("""COMPUTED_VALUE"""),2.5481118319000006E8)</f>
        <v>254811183.2</v>
      </c>
      <c r="H56" s="5"/>
      <c r="I56" s="5"/>
    </row>
    <row r="57">
      <c r="A57" s="7">
        <f>IFERROR(__xludf.DUMMYFUNCTION("""COMPUTED_VALUE"""),46332.0)</f>
        <v>46332</v>
      </c>
      <c r="B57" s="5" t="str">
        <f>IFERROR(__xludf.DUMMYFUNCTION("""COMPUTED_VALUE"""),"TRSF E-BANKING DB")</f>
        <v>TRSF E-BANKING DB</v>
      </c>
      <c r="C57" s="5" t="str">
        <f>IFERROR(__xludf.DUMMYFUNCTION("""COMPUTED_VALUE"""),"0611/FTSCY/WS95011 50110060.00 Tue Nov 03 2026 15:00:00 GMT+0700 (Western Indonesia Time) PITIK DIGITAL INDO")</f>
        <v>0611/FTSCY/WS95011 50110060.00 Tue Nov 03 2026 15:00:00 GMT+0700 (Western Indonesia Time) PITIK DIGITAL INDO</v>
      </c>
      <c r="D57" s="5">
        <f>IFERROR(__xludf.DUMMYFUNCTION("""COMPUTED_VALUE"""),5.011006E7)</f>
        <v>50110060</v>
      </c>
      <c r="E57" s="5"/>
      <c r="F57" s="5" t="str">
        <f>IFERROR(__xludf.DUMMYFUNCTION("""COMPUTED_VALUE"""),"DB")</f>
        <v>DB</v>
      </c>
      <c r="G57" s="5">
        <f>IFERROR(__xludf.DUMMYFUNCTION("""COMPUTED_VALUE"""),2.0470112319000006E8)</f>
        <v>204701123.2</v>
      </c>
      <c r="H57" s="5"/>
      <c r="I57" s="5"/>
    </row>
    <row r="58">
      <c r="A58" s="7">
        <f>IFERROR(__xludf.DUMMYFUNCTION("""COMPUTED_VALUE"""),46332.0)</f>
        <v>46332</v>
      </c>
      <c r="B58" s="5" t="str">
        <f>IFERROR(__xludf.DUMMYFUNCTION("""COMPUTED_VALUE"""),"TRSF E-BANKING DB")</f>
        <v>TRSF E-BANKING DB</v>
      </c>
      <c r="C58" s="5" t="str">
        <f>IFERROR(__xludf.DUMMYFUNCTION("""COMPUTED_VALUE"""),"0611/FTSCY/WS95011 64800000.00 Tue Nov 03 2026 15:00:00 GMT+0700 (Western Indonesia Time) ANDALAN YASA MITRA")</f>
        <v>0611/FTSCY/WS95011 64800000.00 Tue Nov 03 2026 15:00:00 GMT+0700 (Western Indonesia Time) ANDALAN YASA MITRA</v>
      </c>
      <c r="D58" s="5">
        <f>IFERROR(__xludf.DUMMYFUNCTION("""COMPUTED_VALUE"""),6.48E7)</f>
        <v>64800000</v>
      </c>
      <c r="E58" s="5"/>
      <c r="F58" s="5" t="str">
        <f>IFERROR(__xludf.DUMMYFUNCTION("""COMPUTED_VALUE"""),"DB")</f>
        <v>DB</v>
      </c>
      <c r="G58" s="5">
        <f>IFERROR(__xludf.DUMMYFUNCTION("""COMPUTED_VALUE"""),1.3990112319000006E8)</f>
        <v>139901123.2</v>
      </c>
      <c r="H58" s="5"/>
      <c r="I58" s="5"/>
    </row>
    <row r="59">
      <c r="A59" s="7">
        <f>IFERROR(__xludf.DUMMYFUNCTION("""COMPUTED_VALUE"""),46332.0)</f>
        <v>46332</v>
      </c>
      <c r="B59" s="5" t="str">
        <f>IFERROR(__xludf.DUMMYFUNCTION("""COMPUTED_VALUE"""),"TRSF E-BANKING DB")</f>
        <v>TRSF E-BANKING DB</v>
      </c>
      <c r="C59" s="5" t="str">
        <f>IFERROR(__xludf.DUMMYFUNCTION("""COMPUTED_VALUE"""),"0611/FTSCY/WS95011 139117440.00 Tue Nov 03 2026 15:00:00 GMT+0700 (Western Indonesia Time) SUPER UNGGAS JAYA")</f>
        <v>0611/FTSCY/WS95011 139117440.00 Tue Nov 03 2026 15:00:00 GMT+0700 (Western Indonesia Time) SUPER UNGGAS JAYA</v>
      </c>
      <c r="D59" s="5">
        <f>IFERROR(__xludf.DUMMYFUNCTION("""COMPUTED_VALUE"""),1.3911744E8)</f>
        <v>139117440</v>
      </c>
      <c r="E59" s="5"/>
      <c r="F59" s="5" t="str">
        <f>IFERROR(__xludf.DUMMYFUNCTION("""COMPUTED_VALUE"""),"DB")</f>
        <v>DB</v>
      </c>
      <c r="G59" s="5">
        <f>IFERROR(__xludf.DUMMYFUNCTION("""COMPUTED_VALUE"""),783683.1900000572)</f>
        <v>783683.19</v>
      </c>
      <c r="H59" s="5"/>
      <c r="I59" s="5"/>
    </row>
    <row r="60">
      <c r="A60" s="7">
        <f>IFERROR(__xludf.DUMMYFUNCTION("""COMPUTED_VALUE"""),46332.0)</f>
        <v>46332</v>
      </c>
      <c r="B60" s="5" t="str">
        <f>IFERROR(__xludf.DUMMYFUNCTION("""COMPUTED_VALUE"""),"TRSF E-BANKING DB")</f>
        <v>TRSF E-BANKING DB</v>
      </c>
      <c r="C60" s="5" t="str">
        <f>IFERROR(__xludf.DUMMYFUNCTION("""COMPUTED_VALUE"""),"0611/FTSCY/WS95031 36000.00 paket ALDI RAHMANSYAH")</f>
        <v>0611/FTSCY/WS95031 36000.00 paket ALDI RAHMANSYAH</v>
      </c>
      <c r="D60" s="5">
        <f>IFERROR(__xludf.DUMMYFUNCTION("""COMPUTED_VALUE"""),36000.0)</f>
        <v>36000</v>
      </c>
      <c r="E60" s="5"/>
      <c r="F60" s="5" t="str">
        <f>IFERROR(__xludf.DUMMYFUNCTION("""COMPUTED_VALUE"""),"DB")</f>
        <v>DB</v>
      </c>
      <c r="G60" s="5">
        <f>IFERROR(__xludf.DUMMYFUNCTION("""COMPUTED_VALUE"""),747683.1900000572)</f>
        <v>747683.19</v>
      </c>
      <c r="H60" s="5"/>
      <c r="I60" s="5"/>
    </row>
    <row r="61">
      <c r="A61" s="7">
        <f>IFERROR(__xludf.DUMMYFUNCTION("""COMPUTED_VALUE"""),46333.0)</f>
        <v>46333</v>
      </c>
      <c r="B61" s="5" t="str">
        <f>IFERROR(__xludf.DUMMYFUNCTION("""COMPUTED_VALUE"""),"TRSF E-BANKING DB")</f>
        <v>TRSF E-BANKING DB</v>
      </c>
      <c r="C61" s="5" t="str">
        <f>IFERROR(__xludf.DUMMYFUNCTION("""COMPUTED_VALUE"""),"0711/FTSCY/WS95031 1916910.00 SUNARTO")</f>
        <v>0711/FTSCY/WS95031 1916910.00 SUNARTO</v>
      </c>
      <c r="D61" s="5">
        <f>IFERROR(__xludf.DUMMYFUNCTION("""COMPUTED_VALUE"""),1916910.0)</f>
        <v>1916910</v>
      </c>
      <c r="E61" s="5"/>
      <c r="F61" s="5" t="str">
        <f>IFERROR(__xludf.DUMMYFUNCTION("""COMPUTED_VALUE"""),"DB")</f>
        <v>DB</v>
      </c>
      <c r="G61" s="5">
        <f>IFERROR(__xludf.DUMMYFUNCTION("""COMPUTED_VALUE"""),2.7649565319000006E8)</f>
        <v>276495653.2</v>
      </c>
      <c r="H61" s="5"/>
      <c r="I61" s="5"/>
    </row>
    <row r="62">
      <c r="A62" s="7">
        <f>IFERROR(__xludf.DUMMYFUNCTION("""COMPUTED_VALUE"""),46333.0)</f>
        <v>46333</v>
      </c>
      <c r="B62" s="5" t="str">
        <f>IFERROR(__xludf.DUMMYFUNCTION("""COMPUTED_VALUE"""),"TRSF E-BANKING DB")</f>
        <v>TRSF E-BANKING DB</v>
      </c>
      <c r="C62" s="5" t="str">
        <f>IFERROR(__xludf.DUMMYFUNCTION("""COMPUTED_VALUE"""),"0711/FTSCY/WS95031 49407540.00 Tue Nov 03 2026 15:00:00 GMT+0700 (Western Indonesia Time) ANDALAN YASA MITRA")</f>
        <v>0711/FTSCY/WS95031 49407540.00 Tue Nov 03 2026 15:00:00 GMT+0700 (Western Indonesia Time) ANDALAN YASA MITRA</v>
      </c>
      <c r="D62" s="5">
        <f>IFERROR(__xludf.DUMMYFUNCTION("""COMPUTED_VALUE"""),4.940754E7)</f>
        <v>49407540</v>
      </c>
      <c r="E62" s="5"/>
      <c r="F62" s="5" t="str">
        <f>IFERROR(__xludf.DUMMYFUNCTION("""COMPUTED_VALUE"""),"DB")</f>
        <v>DB</v>
      </c>
      <c r="G62" s="5">
        <f>IFERROR(__xludf.DUMMYFUNCTION("""COMPUTED_VALUE"""),2.2708811319000006E8)</f>
        <v>227088113.2</v>
      </c>
      <c r="H62" s="5"/>
      <c r="I62" s="5"/>
    </row>
    <row r="63">
      <c r="A63" s="7">
        <f>IFERROR(__xludf.DUMMYFUNCTION("""COMPUTED_VALUE"""),46333.0)</f>
        <v>46333</v>
      </c>
      <c r="B63" s="5" t="str">
        <f>IFERROR(__xludf.DUMMYFUNCTION("""COMPUTED_VALUE"""),"TRSF E-BANKING DB")</f>
        <v>TRSF E-BANKING DB</v>
      </c>
      <c r="C63" s="5" t="str">
        <f>IFERROR(__xludf.DUMMYFUNCTION("""COMPUTED_VALUE"""),"0711/FTSCY/WS95271 142000000.00 pelunasan SUPER UNGGAS JAYA")</f>
        <v>0711/FTSCY/WS95271 142000000.00 pelunasan SUPER UNGGAS JAYA</v>
      </c>
      <c r="D63" s="5">
        <f>IFERROR(__xludf.DUMMYFUNCTION("""COMPUTED_VALUE"""),1.42E8)</f>
        <v>142000000</v>
      </c>
      <c r="E63" s="5"/>
      <c r="F63" s="5" t="str">
        <f>IFERROR(__xludf.DUMMYFUNCTION("""COMPUTED_VALUE"""),"DB")</f>
        <v>DB</v>
      </c>
      <c r="G63" s="5">
        <f>IFERROR(__xludf.DUMMYFUNCTION("""COMPUTED_VALUE"""),8.508811319000006E7)</f>
        <v>85088113.19</v>
      </c>
      <c r="H63" s="5">
        <f>IFERROR(__xludf.DUMMYFUNCTION("""COMPUTED_VALUE"""),8.508811319E7)</f>
        <v>85088113.19</v>
      </c>
      <c r="I63" s="5"/>
    </row>
    <row r="64">
      <c r="A64" s="7">
        <f>IFERROR(__xludf.DUMMYFUNCTION("""COMPUTED_VALUE"""),46333.0)</f>
        <v>46333</v>
      </c>
      <c r="B64" s="5" t="str">
        <f>IFERROR(__xludf.DUMMYFUNCTION("""COMPUTED_VALUE"""),"TRSF E-BANKING DB")</f>
        <v>TRSF E-BANKING DB</v>
      </c>
      <c r="C64" s="5" t="str">
        <f>IFERROR(__xludf.DUMMYFUNCTION("""COMPUTED_VALUE"""),"0711/FTSCY/WS95271 1010830.00 NURHAYATI")</f>
        <v>0711/FTSCY/WS95271 1010830.00 NURHAYATI</v>
      </c>
      <c r="D64" s="5">
        <f>IFERROR(__xludf.DUMMYFUNCTION("""COMPUTED_VALUE"""),1010830.0)</f>
        <v>1010830</v>
      </c>
      <c r="E64" s="5"/>
      <c r="F64" s="5" t="str">
        <f>IFERROR(__xludf.DUMMYFUNCTION("""COMPUTED_VALUE"""),"DB")</f>
        <v>DB</v>
      </c>
      <c r="G64" s="5">
        <f>IFERROR(__xludf.DUMMYFUNCTION("""COMPUTED_VALUE"""),8.407728319000006E7)</f>
        <v>84077283.19</v>
      </c>
      <c r="H64" s="5">
        <f>IFERROR(__xludf.DUMMYFUNCTION("""COMPUTED_VALUE"""),8.407728319E7)</f>
        <v>84077283.19</v>
      </c>
      <c r="I64" s="5"/>
    </row>
    <row r="65">
      <c r="A65" s="7">
        <f>IFERROR(__xludf.DUMMYFUNCTION("""COMPUTED_VALUE"""),46333.0)</f>
        <v>46333</v>
      </c>
      <c r="B65" s="5" t="str">
        <f>IFERROR(__xludf.DUMMYFUNCTION("""COMPUTED_VALUE"""),"TRSF E-BANKING DB")</f>
        <v>TRSF E-BANKING DB</v>
      </c>
      <c r="C65" s="5" t="str">
        <f>IFERROR(__xludf.DUMMYFUNCTION("""COMPUTED_VALUE"""),"0711/FTSCY/WS95271 1000000.00 ABDUR ROHMAN")</f>
        <v>0711/FTSCY/WS95271 1000000.00 ABDUR ROHMAN</v>
      </c>
      <c r="D65" s="5">
        <f>IFERROR(__xludf.DUMMYFUNCTION("""COMPUTED_VALUE"""),1000000.0)</f>
        <v>1000000</v>
      </c>
      <c r="E65" s="5"/>
      <c r="F65" s="5" t="str">
        <f>IFERROR(__xludf.DUMMYFUNCTION("""COMPUTED_VALUE"""),"DB")</f>
        <v>DB</v>
      </c>
      <c r="G65" s="5">
        <f>IFERROR(__xludf.DUMMYFUNCTION("""COMPUTED_VALUE"""),8.307728319000006E7)</f>
        <v>83077283.19</v>
      </c>
      <c r="H65" s="5"/>
      <c r="I65" s="5"/>
    </row>
    <row r="66">
      <c r="A66" s="7">
        <f>IFERROR(__xludf.DUMMYFUNCTION("""COMPUTED_VALUE"""),46333.0)</f>
        <v>46333</v>
      </c>
      <c r="B66" s="5" t="str">
        <f>IFERROR(__xludf.DUMMYFUNCTION("""COMPUTED_VALUE"""),"TRSF E-BANKING DB")</f>
        <v>TRSF E-BANKING DB</v>
      </c>
      <c r="C66" s="5" t="str">
        <f>IFERROR(__xludf.DUMMYFUNCTION("""COMPUTED_VALUE"""),"0711/FTSCY/WS95031 1289960.00 DWI HERMANSYAH")</f>
        <v>0711/FTSCY/WS95031 1289960.00 DWI HERMANSYAH</v>
      </c>
      <c r="D66" s="5">
        <f>IFERROR(__xludf.DUMMYFUNCTION("""COMPUTED_VALUE"""),1289960.0)</f>
        <v>1289960</v>
      </c>
      <c r="E66" s="5"/>
      <c r="F66" s="5" t="str">
        <f>IFERROR(__xludf.DUMMYFUNCTION("""COMPUTED_VALUE"""),"DB")</f>
        <v>DB</v>
      </c>
      <c r="G66" s="5">
        <f>IFERROR(__xludf.DUMMYFUNCTION("""COMPUTED_VALUE"""),8.178732319000006E7)</f>
        <v>81787323.19</v>
      </c>
      <c r="H66" s="5"/>
      <c r="I66" s="5"/>
    </row>
    <row r="67">
      <c r="A67" s="7">
        <f>IFERROR(__xludf.DUMMYFUNCTION("""COMPUTED_VALUE"""),46333.0)</f>
        <v>46333</v>
      </c>
      <c r="B67" s="5" t="str">
        <f>IFERROR(__xludf.DUMMYFUNCTION("""COMPUTED_VALUE"""),"TRSF E-BANKING DB")</f>
        <v>TRSF E-BANKING DB</v>
      </c>
      <c r="C67" s="5" t="str">
        <f>IFERROR(__xludf.DUMMYFUNCTION("""COMPUTED_VALUE"""),"0711/FTSCY/WS95031 1285590.00 HERMAWAN")</f>
        <v>0711/FTSCY/WS95031 1285590.00 HERMAWAN</v>
      </c>
      <c r="D67" s="5">
        <f>IFERROR(__xludf.DUMMYFUNCTION("""COMPUTED_VALUE"""),1285590.0)</f>
        <v>1285590</v>
      </c>
      <c r="E67" s="5"/>
      <c r="F67" s="5" t="str">
        <f>IFERROR(__xludf.DUMMYFUNCTION("""COMPUTED_VALUE"""),"DB")</f>
        <v>DB</v>
      </c>
      <c r="G67" s="5">
        <f>IFERROR(__xludf.DUMMYFUNCTION("""COMPUTED_VALUE"""),8.050173319000006E7)</f>
        <v>80501733.19</v>
      </c>
      <c r="H67" s="5"/>
      <c r="I67" s="5"/>
    </row>
    <row r="68">
      <c r="A68" s="7">
        <f>IFERROR(__xludf.DUMMYFUNCTION("""COMPUTED_VALUE"""),46333.0)</f>
        <v>46333</v>
      </c>
      <c r="B68" s="5" t="str">
        <f>IFERROR(__xludf.DUMMYFUNCTION("""COMPUTED_VALUE"""),"TRSF E-BANKING DB")</f>
        <v>TRSF E-BANKING DB</v>
      </c>
      <c r="C68" s="5" t="str">
        <f>IFERROR(__xludf.DUMMYFUNCTION("""COMPUTED_VALUE"""),"0711/FTSCY/WS95271 1520000.00 MUHAMMAD HAIRUL MA")</f>
        <v>0711/FTSCY/WS95271 1520000.00 MUHAMMAD HAIRUL MA</v>
      </c>
      <c r="D68" s="5">
        <f>IFERROR(__xludf.DUMMYFUNCTION("""COMPUTED_VALUE"""),1520000.0)</f>
        <v>1520000</v>
      </c>
      <c r="E68" s="5"/>
      <c r="F68" s="5" t="str">
        <f>IFERROR(__xludf.DUMMYFUNCTION("""COMPUTED_VALUE"""),"DB")</f>
        <v>DB</v>
      </c>
      <c r="G68" s="5">
        <f>IFERROR(__xludf.DUMMYFUNCTION("""COMPUTED_VALUE"""),7.898173319000006E7)</f>
        <v>78981733.19</v>
      </c>
      <c r="H68" s="5"/>
      <c r="I68" s="5"/>
    </row>
    <row r="69">
      <c r="A69" s="7">
        <f>IFERROR(__xludf.DUMMYFUNCTION("""COMPUTED_VALUE"""),46333.0)</f>
        <v>46333</v>
      </c>
      <c r="B69" s="5" t="str">
        <f>IFERROR(__xludf.DUMMYFUNCTION("""COMPUTED_VALUE"""),"TRSF E-BANKING DB")</f>
        <v>TRSF E-BANKING DB</v>
      </c>
      <c r="C69" s="5" t="str">
        <f>IFERROR(__xludf.DUMMYFUNCTION("""COMPUTED_VALUE"""),"0711/FTSCY/WS95271 57107670.00 nganjuk PRIMA JAYA BERSATU")</f>
        <v>0711/FTSCY/WS95271 57107670.00 nganjuk PRIMA JAYA BERSATU</v>
      </c>
      <c r="D69" s="5">
        <f>IFERROR(__xludf.DUMMYFUNCTION("""COMPUTED_VALUE"""),5.710767E7)</f>
        <v>57107670</v>
      </c>
      <c r="E69" s="5"/>
      <c r="F69" s="5" t="str">
        <f>IFERROR(__xludf.DUMMYFUNCTION("""COMPUTED_VALUE"""),"DB")</f>
        <v>DB</v>
      </c>
      <c r="G69" s="5">
        <f>IFERROR(__xludf.DUMMYFUNCTION("""COMPUTED_VALUE"""),2.1874063190000057E7)</f>
        <v>21874063.19</v>
      </c>
      <c r="H69" s="5"/>
      <c r="I69" s="5"/>
    </row>
    <row r="70">
      <c r="A70" s="7">
        <f>IFERROR(__xludf.DUMMYFUNCTION("""COMPUTED_VALUE"""),46333.0)</f>
        <v>46333</v>
      </c>
      <c r="B70" s="5" t="str">
        <f>IFERROR(__xludf.DUMMYFUNCTION("""COMPUTED_VALUE"""),"TRSF E-BANKING DB")</f>
        <v>TRSF E-BANKING DB</v>
      </c>
      <c r="C70" s="5" t="str">
        <f>IFERROR(__xludf.DUMMYFUNCTION("""COMPUTED_VALUE"""),"0711/FTSCY/WS95271 49414820.00 Fri Nov 06 2026 15:00:00 GMT+0700 (Western Indonesia Time) LAWU ABADI NUSA PT")</f>
        <v>0711/FTSCY/WS95271 49414820.00 Fri Nov 06 2026 15:00:00 GMT+0700 (Western Indonesia Time) LAWU ABADI NUSA PT</v>
      </c>
      <c r="D70" s="5">
        <f>IFERROR(__xludf.DUMMYFUNCTION("""COMPUTED_VALUE"""),4.941482E7)</f>
        <v>49414820</v>
      </c>
      <c r="E70" s="5"/>
      <c r="F70" s="5" t="str">
        <f>IFERROR(__xludf.DUMMYFUNCTION("""COMPUTED_VALUE"""),"DB")</f>
        <v>DB</v>
      </c>
      <c r="G70" s="5">
        <f>IFERROR(__xludf.DUMMYFUNCTION("""COMPUTED_VALUE"""),2.4280505319000006E8)</f>
        <v>242805053.2</v>
      </c>
      <c r="H70" s="5"/>
      <c r="I70" s="5"/>
    </row>
    <row r="71">
      <c r="A71" s="7">
        <f>IFERROR(__xludf.DUMMYFUNCTION("""COMPUTED_VALUE"""),46333.0)</f>
        <v>46333</v>
      </c>
      <c r="B71" s="5" t="str">
        <f>IFERROR(__xludf.DUMMYFUNCTION("""COMPUTED_VALUE"""),"TRSF E-BANKING DB")</f>
        <v>TRSF E-BANKING DB</v>
      </c>
      <c r="C71" s="5" t="str">
        <f>IFERROR(__xludf.DUMMYFUNCTION("""COMPUTED_VALUE"""),"0711/FTSCY/WS95271 44765700.00 Wed Nov 04 2026 15:00:00 GMT+0700 (Western Indonesia Time) LAJU SATWA WISESA")</f>
        <v>0711/FTSCY/WS95271 44765700.00 Wed Nov 04 2026 15:00:00 GMT+0700 (Western Indonesia Time) LAJU SATWA WISESA</v>
      </c>
      <c r="D71" s="5">
        <f>IFERROR(__xludf.DUMMYFUNCTION("""COMPUTED_VALUE"""),4.47657E7)</f>
        <v>44765700</v>
      </c>
      <c r="E71" s="5"/>
      <c r="F71" s="5" t="str">
        <f>IFERROR(__xludf.DUMMYFUNCTION("""COMPUTED_VALUE"""),"DB")</f>
        <v>DB</v>
      </c>
      <c r="G71" s="5">
        <f>IFERROR(__xludf.DUMMYFUNCTION("""COMPUTED_VALUE"""),1.9803935319000006E8)</f>
        <v>198039353.2</v>
      </c>
      <c r="H71" s="5"/>
      <c r="I71" s="5"/>
    </row>
    <row r="72">
      <c r="A72" s="7">
        <f>IFERROR(__xludf.DUMMYFUNCTION("""COMPUTED_VALUE"""),46333.0)</f>
        <v>46333</v>
      </c>
      <c r="B72" s="5" t="str">
        <f>IFERROR(__xludf.DUMMYFUNCTION("""COMPUTED_VALUE"""),"TRSF E-BANKING DB")</f>
        <v>TRSF E-BANKING DB</v>
      </c>
      <c r="C72" s="5" t="str">
        <f>IFERROR(__xludf.DUMMYFUNCTION("""COMPUTED_VALUE"""),"0711/FTSCY/WS95031 500000.00 NURUL AINI")</f>
        <v>0711/FTSCY/WS95031 500000.00 NURUL AINI</v>
      </c>
      <c r="D72" s="5">
        <f>IFERROR(__xludf.DUMMYFUNCTION("""COMPUTED_VALUE"""),500000.0)</f>
        <v>500000</v>
      </c>
      <c r="E72" s="5"/>
      <c r="F72" s="5" t="str">
        <f>IFERROR(__xludf.DUMMYFUNCTION("""COMPUTED_VALUE"""),"DB")</f>
        <v>DB</v>
      </c>
      <c r="G72" s="5">
        <f>IFERROR(__xludf.DUMMYFUNCTION("""COMPUTED_VALUE"""),1.9753935319000006E8)</f>
        <v>197539353.2</v>
      </c>
      <c r="H72" s="5"/>
      <c r="I72" s="5"/>
    </row>
    <row r="73">
      <c r="A73" s="7">
        <f>IFERROR(__xludf.DUMMYFUNCTION("""COMPUTED_VALUE"""),46333.0)</f>
        <v>46333</v>
      </c>
      <c r="B73" s="5" t="str">
        <f>IFERROR(__xludf.DUMMYFUNCTION("""COMPUTED_VALUE"""),"TRSF E-BANKING DB")</f>
        <v>TRSF E-BANKING DB</v>
      </c>
      <c r="C73" s="5" t="str">
        <f>IFERROR(__xludf.DUMMYFUNCTION("""COMPUTED_VALUE"""),"0711/FTSCY/WS95031 9937050.00 krg 10 jt EKO SETIYAWAN")</f>
        <v>0711/FTSCY/WS95031 9937050.00 krg 10 jt EKO SETIYAWAN</v>
      </c>
      <c r="D73" s="5">
        <f>IFERROR(__xludf.DUMMYFUNCTION("""COMPUTED_VALUE"""),9937050.0)</f>
        <v>9937050</v>
      </c>
      <c r="E73" s="5"/>
      <c r="F73" s="5" t="str">
        <f>IFERROR(__xludf.DUMMYFUNCTION("""COMPUTED_VALUE"""),"DB")</f>
        <v>DB</v>
      </c>
      <c r="G73" s="5">
        <f>IFERROR(__xludf.DUMMYFUNCTION("""COMPUTED_VALUE"""),3.0987705319000006E8)</f>
        <v>309877053.2</v>
      </c>
      <c r="H73" s="5">
        <f>IFERROR(__xludf.DUMMYFUNCTION("""COMPUTED_VALUE"""),3.0987705319E8)</f>
        <v>309877053.2</v>
      </c>
      <c r="I73" s="5"/>
    </row>
    <row r="74">
      <c r="A74" s="7">
        <f>IFERROR(__xludf.DUMMYFUNCTION("""COMPUTED_VALUE"""),46333.0)</f>
        <v>46333</v>
      </c>
      <c r="B74" s="5" t="str">
        <f>IFERROR(__xludf.DUMMYFUNCTION("""COMPUTED_VALUE"""),"TRSF E-BANKING DB")</f>
        <v>TRSF E-BANKING DB</v>
      </c>
      <c r="C74" s="5" t="str">
        <f>IFERROR(__xludf.DUMMYFUNCTION("""COMPUTED_VALUE"""),"0711/FTSCY/WS95031 1200000.00 SUNARTO")</f>
        <v>0711/FTSCY/WS95031 1200000.00 SUNARTO</v>
      </c>
      <c r="D74" s="5">
        <f>IFERROR(__xludf.DUMMYFUNCTION("""COMPUTED_VALUE"""),1200000.0)</f>
        <v>1200000</v>
      </c>
      <c r="E74" s="5"/>
      <c r="F74" s="5" t="str">
        <f>IFERROR(__xludf.DUMMYFUNCTION("""COMPUTED_VALUE"""),"DB")</f>
        <v>DB</v>
      </c>
      <c r="G74" s="5">
        <f>IFERROR(__xludf.DUMMYFUNCTION("""COMPUTED_VALUE"""),3.0867705319000006E8)</f>
        <v>308677053.2</v>
      </c>
      <c r="H74" s="5"/>
      <c r="I74" s="5"/>
    </row>
    <row r="75">
      <c r="A75" s="7">
        <f>IFERROR(__xludf.DUMMYFUNCTION("""COMPUTED_VALUE"""),46333.0)</f>
        <v>46333</v>
      </c>
      <c r="B75" s="5" t="str">
        <f>IFERROR(__xludf.DUMMYFUNCTION("""COMPUTED_VALUE"""),"TRSF E-BANKING DB")</f>
        <v>TRSF E-BANKING DB</v>
      </c>
      <c r="C75" s="5" t="str">
        <f>IFERROR(__xludf.DUMMYFUNCTION("""COMPUTED_VALUE"""),"0711/FTSCY/WS95031 2887520.00 HERMAWAN")</f>
        <v>0711/FTSCY/WS95031 2887520.00 HERMAWAN</v>
      </c>
      <c r="D75" s="5">
        <f>IFERROR(__xludf.DUMMYFUNCTION("""COMPUTED_VALUE"""),2887520.0)</f>
        <v>2887520</v>
      </c>
      <c r="E75" s="5"/>
      <c r="F75" s="5" t="str">
        <f>IFERROR(__xludf.DUMMYFUNCTION("""COMPUTED_VALUE"""),"DB")</f>
        <v>DB</v>
      </c>
      <c r="G75" s="5">
        <f>IFERROR(__xludf.DUMMYFUNCTION("""COMPUTED_VALUE"""),3.0578953319000006E8)</f>
        <v>305789533.2</v>
      </c>
      <c r="H75" s="5"/>
      <c r="I75" s="5"/>
    </row>
    <row r="76">
      <c r="A76" s="7">
        <f>IFERROR(__xludf.DUMMYFUNCTION("""COMPUTED_VALUE"""),46333.0)</f>
        <v>46333</v>
      </c>
      <c r="B76" s="5" t="str">
        <f>IFERROR(__xludf.DUMMYFUNCTION("""COMPUTED_VALUE"""),"TRSF E-BANKING DB")</f>
        <v>TRSF E-BANKING DB</v>
      </c>
      <c r="C76" s="5" t="str">
        <f>IFERROR(__xludf.DUMMYFUNCTION("""COMPUTED_VALUE"""),"0711/FTSCY/WS95011 62592720.00 Thu Nov 05 2026 15:00:00 GMT+0700 (Western Indonesia Time) TABASSAM AL HATTAK")</f>
        <v>0711/FTSCY/WS95011 62592720.00 Thu Nov 05 2026 15:00:00 GMT+0700 (Western Indonesia Time) TABASSAM AL HATTAK</v>
      </c>
      <c r="D76" s="5">
        <f>IFERROR(__xludf.DUMMYFUNCTION("""COMPUTED_VALUE"""),6.259272E7)</f>
        <v>62592720</v>
      </c>
      <c r="E76" s="5"/>
      <c r="F76" s="5" t="str">
        <f>IFERROR(__xludf.DUMMYFUNCTION("""COMPUTED_VALUE"""),"DB")</f>
        <v>DB</v>
      </c>
      <c r="G76" s="5">
        <f>IFERROR(__xludf.DUMMYFUNCTION("""COMPUTED_VALUE"""),1.2664913190000057E7)</f>
        <v>12664913.19</v>
      </c>
      <c r="H76" s="5"/>
      <c r="I76" s="5"/>
    </row>
    <row r="77">
      <c r="A77" s="7">
        <f>IFERROR(__xludf.DUMMYFUNCTION("""COMPUTED_VALUE"""),46333.0)</f>
        <v>46333</v>
      </c>
      <c r="B77" s="5" t="str">
        <f>IFERROR(__xludf.DUMMYFUNCTION("""COMPUTED_VALUE"""),"TRSF E-BANKING DB")</f>
        <v>TRSF E-BANKING DB</v>
      </c>
      <c r="C77" s="5" t="str">
        <f>IFERROR(__xludf.DUMMYFUNCTION("""COMPUTED_VALUE"""),"0711/FTSCY/WS95011 46529120.00 Fri Nov 06 2026 15:00:00 GMT+0700 (Western Indonesia Time) SURYA INTI TERNAK")</f>
        <v>0711/FTSCY/WS95011 46529120.00 Fri Nov 06 2026 15:00:00 GMT+0700 (Western Indonesia Time) SURYA INTI TERNAK</v>
      </c>
      <c r="D77" s="5">
        <f>IFERROR(__xludf.DUMMYFUNCTION("""COMPUTED_VALUE"""),4.652912E7)</f>
        <v>46529120</v>
      </c>
      <c r="E77" s="5"/>
      <c r="F77" s="5" t="str">
        <f>IFERROR(__xludf.DUMMYFUNCTION("""COMPUTED_VALUE"""),"DB")</f>
        <v>DB</v>
      </c>
      <c r="G77" s="5">
        <f>IFERROR(__xludf.DUMMYFUNCTION("""COMPUTED_VALUE"""),2.4595108319000006E8)</f>
        <v>245951083.2</v>
      </c>
      <c r="H77" s="5"/>
      <c r="I77" s="5"/>
    </row>
    <row r="78">
      <c r="A78" s="7">
        <f>IFERROR(__xludf.DUMMYFUNCTION("""COMPUTED_VALUE"""),46333.0)</f>
        <v>46333</v>
      </c>
      <c r="B78" s="5" t="str">
        <f>IFERROR(__xludf.DUMMYFUNCTION("""COMPUTED_VALUE"""),"TRSF E-BANKING DB")</f>
        <v>TRSF E-BANKING DB</v>
      </c>
      <c r="C78" s="5" t="str">
        <f>IFERROR(__xludf.DUMMYFUNCTION("""COMPUTED_VALUE"""),"0711/FTSCY/WS95011 54600000.00 Thu Nov 05 2026 15:00:00 GMT+0700 (Western Indonesia Time) ANUGERAH KARTIKA A")</f>
        <v>0711/FTSCY/WS95011 54600000.00 Thu Nov 05 2026 15:00:00 GMT+0700 (Western Indonesia Time) ANUGERAH KARTIKA A</v>
      </c>
      <c r="D78" s="5">
        <f>IFERROR(__xludf.DUMMYFUNCTION("""COMPUTED_VALUE"""),5.46E7)</f>
        <v>54600000</v>
      </c>
      <c r="E78" s="5"/>
      <c r="F78" s="5" t="str">
        <f>IFERROR(__xludf.DUMMYFUNCTION("""COMPUTED_VALUE"""),"DB")</f>
        <v>DB</v>
      </c>
      <c r="G78" s="5">
        <f>IFERROR(__xludf.DUMMYFUNCTION("""COMPUTED_VALUE"""),1.9135108319000006E8)</f>
        <v>191351083.2</v>
      </c>
      <c r="H78" s="5">
        <f>IFERROR(__xludf.DUMMYFUNCTION("""COMPUTED_VALUE"""),1.9135108319E8)</f>
        <v>191351083.2</v>
      </c>
      <c r="I78" s="5"/>
    </row>
    <row r="79">
      <c r="A79" s="7">
        <f>IFERROR(__xludf.DUMMYFUNCTION("""COMPUTED_VALUE"""),46334.0)</f>
        <v>46334</v>
      </c>
      <c r="B79" s="5" t="str">
        <f>IFERROR(__xludf.DUMMYFUNCTION("""COMPUTED_VALUE"""),"TRSF E-BANKING DB TANGGAL :07/11")</f>
        <v>TRSF E-BANKING DB TANGGAL :07/11</v>
      </c>
      <c r="C79" s="5" t="str">
        <f>IFERROR(__xludf.DUMMYFUNCTION("""COMPUTED_VALUE"""),"0711/FTSCY/WS95011 Thu Nov 05 2026 15:00:00 GMT+0700 (Western Indonesia Time) ANUGERAH KARTIKA A")</f>
        <v>0711/FTSCY/WS95011 Thu Nov 05 2026 15:00:00 GMT+0700 (Western Indonesia Time) ANUGERAH KARTIKA A</v>
      </c>
      <c r="D79" s="5">
        <f>IFERROR(__xludf.DUMMYFUNCTION("""COMPUTED_VALUE"""),6.46564E7)</f>
        <v>64656400</v>
      </c>
      <c r="E79" s="5"/>
      <c r="F79" s="5" t="str">
        <f>IFERROR(__xludf.DUMMYFUNCTION("""COMPUTED_VALUE"""),"DB")</f>
        <v>DB</v>
      </c>
      <c r="G79" s="5">
        <f>IFERROR(__xludf.DUMMYFUNCTION("""COMPUTED_VALUE"""),1.2669468319000006E8)</f>
        <v>126694683.2</v>
      </c>
      <c r="H79" s="5"/>
      <c r="I79" s="5"/>
    </row>
    <row r="80">
      <c r="A80" s="7">
        <f>IFERROR(__xludf.DUMMYFUNCTION("""COMPUTED_VALUE"""),46334.0)</f>
        <v>46334</v>
      </c>
      <c r="B80" s="5" t="str">
        <f>IFERROR(__xludf.DUMMYFUNCTION("""COMPUTED_VALUE"""),"TRSF E-BANKING DB")</f>
        <v>TRSF E-BANKING DB</v>
      </c>
      <c r="C80" s="5" t="str">
        <f>IFERROR(__xludf.DUMMYFUNCTION("""COMPUTED_VALUE"""),"0811/FTSCY/WS95031 950000.00 ANDE DOSO ANGGORO")</f>
        <v>0811/FTSCY/WS95031 950000.00 ANDE DOSO ANGGORO</v>
      </c>
      <c r="D80" s="5">
        <f>IFERROR(__xludf.DUMMYFUNCTION("""COMPUTED_VALUE"""),950000.0)</f>
        <v>950000</v>
      </c>
      <c r="E80" s="5"/>
      <c r="F80" s="5" t="str">
        <f>IFERROR(__xludf.DUMMYFUNCTION("""COMPUTED_VALUE"""),"DB")</f>
        <v>DB</v>
      </c>
      <c r="G80" s="5">
        <f>IFERROR(__xludf.DUMMYFUNCTION("""COMPUTED_VALUE"""),1.9177708319000006E8)</f>
        <v>191777083.2</v>
      </c>
      <c r="H80" s="5">
        <f>IFERROR(__xludf.DUMMYFUNCTION("""COMPUTED_VALUE"""),1.9177708319E8)</f>
        <v>191777083.2</v>
      </c>
      <c r="I80" s="5"/>
    </row>
    <row r="81">
      <c r="A81" s="7">
        <f>IFERROR(__xludf.DUMMYFUNCTION("""COMPUTED_VALUE"""),46334.0)</f>
        <v>46334</v>
      </c>
      <c r="B81" s="5" t="str">
        <f>IFERROR(__xludf.DUMMYFUNCTION("""COMPUTED_VALUE"""),"TRSF E-BANKING DB")</f>
        <v>TRSF E-BANKING DB</v>
      </c>
      <c r="C81" s="5" t="str">
        <f>IFERROR(__xludf.DUMMYFUNCTION("""COMPUTED_VALUE"""),"0811/FTSCY/WS95271 59996300.00 Sun Nov 08 2026 15:00:00 GMT+0700 (Western Indonesia Time) PRIMA JAYA BERSATU")</f>
        <v>0811/FTSCY/WS95271 59996300.00 Sun Nov 08 2026 15:00:00 GMT+0700 (Western Indonesia Time) PRIMA JAYA BERSATU</v>
      </c>
      <c r="D81" s="5">
        <f>IFERROR(__xludf.DUMMYFUNCTION("""COMPUTED_VALUE"""),5.99963E7)</f>
        <v>59996300</v>
      </c>
      <c r="E81" s="5"/>
      <c r="F81" s="5" t="str">
        <f>IFERROR(__xludf.DUMMYFUNCTION("""COMPUTED_VALUE"""),"DB")</f>
        <v>DB</v>
      </c>
      <c r="G81" s="5">
        <f>IFERROR(__xludf.DUMMYFUNCTION("""COMPUTED_VALUE"""),1.3178078319000006E8)</f>
        <v>131780783.2</v>
      </c>
      <c r="H81" s="5">
        <f>IFERROR(__xludf.DUMMYFUNCTION("""COMPUTED_VALUE"""),1.3178078319E8)</f>
        <v>131780783.2</v>
      </c>
      <c r="I81" s="5"/>
    </row>
    <row r="82">
      <c r="A82" s="7">
        <f>IFERROR(__xludf.DUMMYFUNCTION("""COMPUTED_VALUE"""),46334.0)</f>
        <v>46334</v>
      </c>
      <c r="B82" s="5" t="str">
        <f>IFERROR(__xludf.DUMMYFUNCTION("""COMPUTED_VALUE"""),"TRSF E-BANKING DB")</f>
        <v>TRSF E-BANKING DB</v>
      </c>
      <c r="C82" s="5" t="str">
        <f>IFERROR(__xludf.DUMMYFUNCTION("""COMPUTED_VALUE"""),"0811/FTSCY/WS95031 26700000.00 pelunasan BINTANG TAMA SANTO")</f>
        <v>0811/FTSCY/WS95031 26700000.00 pelunasan BINTANG TAMA SANTO</v>
      </c>
      <c r="D82" s="5">
        <f>IFERROR(__xludf.DUMMYFUNCTION("""COMPUTED_VALUE"""),2.67E7)</f>
        <v>26700000</v>
      </c>
      <c r="E82" s="5"/>
      <c r="F82" s="5" t="str">
        <f>IFERROR(__xludf.DUMMYFUNCTION("""COMPUTED_VALUE"""),"DB")</f>
        <v>DB</v>
      </c>
      <c r="G82" s="5">
        <f>IFERROR(__xludf.DUMMYFUNCTION("""COMPUTED_VALUE"""),1.0508078319000006E8)</f>
        <v>105080783.2</v>
      </c>
      <c r="H82" s="5"/>
      <c r="I82" s="5"/>
    </row>
    <row r="83">
      <c r="A83" s="7">
        <f>IFERROR(__xludf.DUMMYFUNCTION("""COMPUTED_VALUE"""),46334.0)</f>
        <v>46334</v>
      </c>
      <c r="B83" s="5" t="str">
        <f>IFERROR(__xludf.DUMMYFUNCTION("""COMPUTED_VALUE"""),"TRSF E-BANKING DB")</f>
        <v>TRSF E-BANKING DB</v>
      </c>
      <c r="C83" s="5" t="str">
        <f>IFERROR(__xludf.DUMMYFUNCTION("""COMPUTED_VALUE"""),"0811/FTSCY/WS95271 46346200.00 Fri Nov 06 2026 15:00:00 GMT+0700 (Western Indonesia Time) BINTANG TAMA SANTO")</f>
        <v>0811/FTSCY/WS95271 46346200.00 Fri Nov 06 2026 15:00:00 GMT+0700 (Western Indonesia Time) BINTANG TAMA SANTO</v>
      </c>
      <c r="D83" s="5">
        <f>IFERROR(__xludf.DUMMYFUNCTION("""COMPUTED_VALUE"""),4.63462E7)</f>
        <v>46346200</v>
      </c>
      <c r="E83" s="5"/>
      <c r="F83" s="5" t="str">
        <f>IFERROR(__xludf.DUMMYFUNCTION("""COMPUTED_VALUE"""),"DB")</f>
        <v>DB</v>
      </c>
      <c r="G83" s="5">
        <f>IFERROR(__xludf.DUMMYFUNCTION("""COMPUTED_VALUE"""),5.873458319000006E7)</f>
        <v>58734583.19</v>
      </c>
      <c r="H83" s="5"/>
      <c r="I83" s="5"/>
    </row>
    <row r="84">
      <c r="A84" s="7">
        <f>IFERROR(__xludf.DUMMYFUNCTION("""COMPUTED_VALUE"""),46334.0)</f>
        <v>46334</v>
      </c>
      <c r="B84" s="5" t="str">
        <f>IFERROR(__xludf.DUMMYFUNCTION("""COMPUTED_VALUE"""),"KARTU DEBIT")</f>
        <v>KARTU DEBIT</v>
      </c>
      <c r="C84" s="5" t="str">
        <f>IFERROR(__xludf.DUMMYFUNCTION("""COMPUTED_VALUE"""),"ALFAMRT Y207 BRTN 6019009510239343")</f>
        <v>ALFAMRT Y207 BRTN 6019009510239343</v>
      </c>
      <c r="D84" s="5">
        <f>IFERROR(__xludf.DUMMYFUNCTION("""COMPUTED_VALUE"""),220700.0)</f>
        <v>220700</v>
      </c>
      <c r="E84" s="5"/>
      <c r="F84" s="5"/>
      <c r="G84" s="5">
        <f>IFERROR(__xludf.DUMMYFUNCTION("""COMPUTED_VALUE"""),5.851388319000006E7)</f>
        <v>58513883.19</v>
      </c>
      <c r="H84" s="5"/>
      <c r="I84" s="5"/>
    </row>
    <row r="85">
      <c r="A85" s="7">
        <f>IFERROR(__xludf.DUMMYFUNCTION("""COMPUTED_VALUE"""),46334.0)</f>
        <v>46334</v>
      </c>
      <c r="B85" s="5" t="str">
        <f>IFERROR(__xludf.DUMMYFUNCTION("""COMPUTED_VALUE"""),"TRSF E-BANKING DB")</f>
        <v>TRSF E-BANKING DB</v>
      </c>
      <c r="C85" s="5" t="str">
        <f>IFERROR(__xludf.DUMMYFUNCTION("""COMPUTED_VALUE"""),"0811/FTSCY/WS95031 2500000.00 BELA PRAMUDITA")</f>
        <v>0811/FTSCY/WS95031 2500000.00 BELA PRAMUDITA</v>
      </c>
      <c r="D85" s="5">
        <f>IFERROR(__xludf.DUMMYFUNCTION("""COMPUTED_VALUE"""),2500000.0)</f>
        <v>2500000</v>
      </c>
      <c r="E85" s="5"/>
      <c r="F85" s="5" t="str">
        <f>IFERROR(__xludf.DUMMYFUNCTION("""COMPUTED_VALUE"""),"DB")</f>
        <v>DB</v>
      </c>
      <c r="G85" s="5">
        <f>IFERROR(__xludf.DUMMYFUNCTION("""COMPUTED_VALUE"""),7.8260555319E8)</f>
        <v>782605553.2</v>
      </c>
      <c r="H85" s="5"/>
      <c r="I85" s="5"/>
    </row>
    <row r="86">
      <c r="A86" s="7">
        <f>IFERROR(__xludf.DUMMYFUNCTION("""COMPUTED_VALUE"""),46334.0)</f>
        <v>46334</v>
      </c>
      <c r="B86" s="5" t="str">
        <f>IFERROR(__xludf.DUMMYFUNCTION("""COMPUTED_VALUE"""),"TRSF E-BANKING DB")</f>
        <v>TRSF E-BANKING DB</v>
      </c>
      <c r="C86" s="5" t="str">
        <f>IFERROR(__xludf.DUMMYFUNCTION("""COMPUTED_VALUE"""),"0811/FTSCY/WS95271 10000000.00 EKO SETIYAWAN")</f>
        <v>0811/FTSCY/WS95271 10000000.00 EKO SETIYAWAN</v>
      </c>
      <c r="D86" s="5">
        <f>IFERROR(__xludf.DUMMYFUNCTION("""COMPUTED_VALUE"""),1.0E7)</f>
        <v>10000000</v>
      </c>
      <c r="E86" s="5"/>
      <c r="F86" s="5" t="str">
        <f>IFERROR(__xludf.DUMMYFUNCTION("""COMPUTED_VALUE"""),"DB")</f>
        <v>DB</v>
      </c>
      <c r="G86" s="5">
        <f>IFERROR(__xludf.DUMMYFUNCTION("""COMPUTED_VALUE"""),7.7260555319E8)</f>
        <v>772605553.2</v>
      </c>
      <c r="H86" s="5">
        <f>IFERROR(__xludf.DUMMYFUNCTION("""COMPUTED_VALUE"""),7.7260555319E8)</f>
        <v>772605553.2</v>
      </c>
      <c r="I86" s="5"/>
    </row>
    <row r="87">
      <c r="A87" s="7">
        <f>IFERROR(__xludf.DUMMYFUNCTION("""COMPUTED_VALUE"""),46335.0)</f>
        <v>46335</v>
      </c>
      <c r="B87" s="5" t="str">
        <f>IFERROR(__xludf.DUMMYFUNCTION("""COMPUTED_VALUE"""),"TRSF E-BANKING DB TANGGAL :08/11")</f>
        <v>TRSF E-BANKING DB TANGGAL :08/11</v>
      </c>
      <c r="C87" s="5" t="str">
        <f>IFERROR(__xludf.DUMMYFUNCTION("""COMPUTED_VALUE"""),"0811/FTSCY/WS95011 Sat Nov 07 2026 15:00:00 GMT+0700 (Western Indonesia Time) ANUGERAH KARTIKA A")</f>
        <v>0811/FTSCY/WS95011 Sat Nov 07 2026 15:00:00 GMT+0700 (Western Indonesia Time) ANUGERAH KARTIKA A</v>
      </c>
      <c r="D87" s="5">
        <f>IFERROR(__xludf.DUMMYFUNCTION("""COMPUTED_VALUE"""),5.92E7)</f>
        <v>59200000</v>
      </c>
      <c r="E87" s="5"/>
      <c r="F87" s="5" t="str">
        <f>IFERROR(__xludf.DUMMYFUNCTION("""COMPUTED_VALUE"""),"DB")</f>
        <v>DB</v>
      </c>
      <c r="G87" s="5">
        <f>IFERROR(__xludf.DUMMYFUNCTION("""COMPUTED_VALUE"""),7.1340555319E8)</f>
        <v>713405553.2</v>
      </c>
      <c r="H87" s="5"/>
      <c r="I87" s="5"/>
    </row>
    <row r="88">
      <c r="A88" s="7">
        <f>IFERROR(__xludf.DUMMYFUNCTION("""COMPUTED_VALUE"""),46335.0)</f>
        <v>46335</v>
      </c>
      <c r="B88" s="5" t="str">
        <f>IFERROR(__xludf.DUMMYFUNCTION("""COMPUTED_VALUE"""),"TRSF E-BANKING DB TANGGAL :08/11")</f>
        <v>TRSF E-BANKING DB TANGGAL :08/11</v>
      </c>
      <c r="C88" s="5" t="str">
        <f>IFERROR(__xludf.DUMMYFUNCTION("""COMPUTED_VALUE"""),"0811/FTSCY/WS95011 Sat Nov 07 2026 15:00:00 GMT+0700 (Western Indonesia Time) PITIK DIGITAL INDO")</f>
        <v>0811/FTSCY/WS95011 Sat Nov 07 2026 15:00:00 GMT+0700 (Western Indonesia Time) PITIK DIGITAL INDO</v>
      </c>
      <c r="D88" s="5">
        <f>IFERROR(__xludf.DUMMYFUNCTION("""COMPUTED_VALUE"""),5.463579E7)</f>
        <v>54635790</v>
      </c>
      <c r="E88" s="5"/>
      <c r="F88" s="5" t="str">
        <f>IFERROR(__xludf.DUMMYFUNCTION("""COMPUTED_VALUE"""),"DB")</f>
        <v>DB</v>
      </c>
      <c r="G88" s="5">
        <f>IFERROR(__xludf.DUMMYFUNCTION("""COMPUTED_VALUE"""),6.5876976319E8)</f>
        <v>658769763.2</v>
      </c>
      <c r="H88" s="5"/>
      <c r="I88" s="5"/>
    </row>
    <row r="89">
      <c r="A89" s="7">
        <f>IFERROR(__xludf.DUMMYFUNCTION("""COMPUTED_VALUE"""),46335.0)</f>
        <v>46335</v>
      </c>
      <c r="B89" s="5" t="str">
        <f>IFERROR(__xludf.DUMMYFUNCTION("""COMPUTED_VALUE"""),"TRSF E-BANKING DB TANGGAL :08/11")</f>
        <v>TRSF E-BANKING DB TANGGAL :08/11</v>
      </c>
      <c r="C89" s="5" t="str">
        <f>IFERROR(__xludf.DUMMYFUNCTION("""COMPUTED_VALUE"""),"0811/FTSCY/WS95011 Fri Nov 06 2026 15:00:00 GMT+0700 (Western Indonesia Time) ANUGERAH KARTIKA A")</f>
        <v>0811/FTSCY/WS95011 Fri Nov 06 2026 15:00:00 GMT+0700 (Western Indonesia Time) ANUGERAH KARTIKA A</v>
      </c>
      <c r="D89" s="5">
        <f>IFERROR(__xludf.DUMMYFUNCTION("""COMPUTED_VALUE"""),6.2974E7)</f>
        <v>62974000</v>
      </c>
      <c r="E89" s="5"/>
      <c r="F89" s="5" t="str">
        <f>IFERROR(__xludf.DUMMYFUNCTION("""COMPUTED_VALUE"""),"DB")</f>
        <v>DB</v>
      </c>
      <c r="G89" s="5">
        <f>IFERROR(__xludf.DUMMYFUNCTION("""COMPUTED_VALUE"""),5.9579576319E8)</f>
        <v>595795763.2</v>
      </c>
      <c r="H89" s="5"/>
      <c r="I89" s="5"/>
    </row>
    <row r="90">
      <c r="A90" s="7">
        <f>IFERROR(__xludf.DUMMYFUNCTION("""COMPUTED_VALUE"""),46335.0)</f>
        <v>46335</v>
      </c>
      <c r="B90" s="5" t="str">
        <f>IFERROR(__xludf.DUMMYFUNCTION("""COMPUTED_VALUE"""),"TRSF E-BANKING DB TANGGAL :08/11")</f>
        <v>TRSF E-BANKING DB TANGGAL :08/11</v>
      </c>
      <c r="C90" s="5" t="str">
        <f>IFERROR(__xludf.DUMMYFUNCTION("""COMPUTED_VALUE"""),"0811/FTSCY/WS95011 Fri Nov 06 2026 15:00:00 GMT+0700 (Western Indonesia Time) ANUGERAH KARTIKA A")</f>
        <v>0811/FTSCY/WS95011 Fri Nov 06 2026 15:00:00 GMT+0700 (Western Indonesia Time) ANUGERAH KARTIKA A</v>
      </c>
      <c r="D90" s="5">
        <f>IFERROR(__xludf.DUMMYFUNCTION("""COMPUTED_VALUE"""),6.8751E7)</f>
        <v>68751000</v>
      </c>
      <c r="E90" s="5"/>
      <c r="F90" s="5" t="str">
        <f>IFERROR(__xludf.DUMMYFUNCTION("""COMPUTED_VALUE"""),"DB")</f>
        <v>DB</v>
      </c>
      <c r="G90" s="5">
        <f>IFERROR(__xludf.DUMMYFUNCTION("""COMPUTED_VALUE"""),5.2704476319000006E8)</f>
        <v>527044763.2</v>
      </c>
      <c r="H90" s="5"/>
      <c r="I90" s="5"/>
    </row>
    <row r="91">
      <c r="A91" s="7">
        <f>IFERROR(__xludf.DUMMYFUNCTION("""COMPUTED_VALUE"""),46335.0)</f>
        <v>46335</v>
      </c>
      <c r="B91" s="5" t="str">
        <f>IFERROR(__xludf.DUMMYFUNCTION("""COMPUTED_VALUE"""),"TRSF E-BANKING DB TANGGAL :08/11")</f>
        <v>TRSF E-BANKING DB TANGGAL :08/11</v>
      </c>
      <c r="C91" s="5" t="str">
        <f>IFERROR(__xludf.DUMMYFUNCTION("""COMPUTED_VALUE"""),"0811/FTSCY/WS95011 Fri Nov 06 2026 15:00:00 GMT+0700 (Western Indonesia Time) ANDALAN YASA MITRA")</f>
        <v>0811/FTSCY/WS95011 Fri Nov 06 2026 15:00:00 GMT+0700 (Western Indonesia Time) ANDALAN YASA MITRA</v>
      </c>
      <c r="D91" s="5">
        <f>IFERROR(__xludf.DUMMYFUNCTION("""COMPUTED_VALUE"""),6.076325E7)</f>
        <v>60763250</v>
      </c>
      <c r="E91" s="5"/>
      <c r="F91" s="5" t="str">
        <f>IFERROR(__xludf.DUMMYFUNCTION("""COMPUTED_VALUE"""),"DB")</f>
        <v>DB</v>
      </c>
      <c r="G91" s="5">
        <f>IFERROR(__xludf.DUMMYFUNCTION("""COMPUTED_VALUE"""),4.6628151319000006E8)</f>
        <v>466281513.2</v>
      </c>
      <c r="H91" s="5">
        <f>IFERROR(__xludf.DUMMYFUNCTION("""COMPUTED_VALUE"""),4.6628151319E8)</f>
        <v>466281513.2</v>
      </c>
      <c r="I91" s="5"/>
    </row>
    <row r="92">
      <c r="A92" s="7">
        <f>IFERROR(__xludf.DUMMYFUNCTION("""COMPUTED_VALUE"""),46335.0)</f>
        <v>46335</v>
      </c>
      <c r="B92" s="5" t="str">
        <f>IFERROR(__xludf.DUMMYFUNCTION("""COMPUTED_VALUE"""),"TRSF E-BANKING DB TANGGAL :08/11")</f>
        <v>TRSF E-BANKING DB TANGGAL :08/11</v>
      </c>
      <c r="C92" s="5" t="str">
        <f>IFERROR(__xludf.DUMMYFUNCTION("""COMPUTED_VALUE"""),"0811/FTSCY/WS95011 Fri Nov 06 2026 15:00:00 GMT+0700 (Western Indonesia Time) BROILER MAKMUR TAN")</f>
        <v>0811/FTSCY/WS95011 Fri Nov 06 2026 15:00:00 GMT+0700 (Western Indonesia Time) BROILER MAKMUR TAN</v>
      </c>
      <c r="D92" s="5">
        <f>IFERROR(__xludf.DUMMYFUNCTION("""COMPUTED_VALUE"""),1.935E8)</f>
        <v>193500000</v>
      </c>
      <c r="E92" s="5"/>
      <c r="F92" s="5" t="str">
        <f>IFERROR(__xludf.DUMMYFUNCTION("""COMPUTED_VALUE"""),"DB")</f>
        <v>DB</v>
      </c>
      <c r="G92" s="5">
        <f>IFERROR(__xludf.DUMMYFUNCTION("""COMPUTED_VALUE"""),2.7278151319000006E8)</f>
        <v>272781513.2</v>
      </c>
      <c r="H92" s="5">
        <f>IFERROR(__xludf.DUMMYFUNCTION("""COMPUTED_VALUE"""),2.7278151319E8)</f>
        <v>272781513.2</v>
      </c>
      <c r="I92" s="5"/>
    </row>
    <row r="93">
      <c r="A93" s="7">
        <f>IFERROR(__xludf.DUMMYFUNCTION("""COMPUTED_VALUE"""),46335.0)</f>
        <v>46335</v>
      </c>
      <c r="B93" s="5" t="str">
        <f>IFERROR(__xludf.DUMMYFUNCTION("""COMPUTED_VALUE"""),"TRSF E-BANKING DB TANGGAL :08/11")</f>
        <v>TRSF E-BANKING DB TANGGAL :08/11</v>
      </c>
      <c r="C93" s="5" t="str">
        <f>IFERROR(__xludf.DUMMYFUNCTION("""COMPUTED_VALUE"""),"0811/FTFVA/WS95031 bwi - 40190")</f>
        <v>0811/FTFVA/WS95031 bwi - 40190</v>
      </c>
      <c r="D93" s="5">
        <f>IFERROR(__xludf.DUMMYFUNCTION("""COMPUTED_VALUE"""),5.52655E7)</f>
        <v>55265500</v>
      </c>
      <c r="E93" s="5"/>
      <c r="F93" s="5" t="str">
        <f>IFERROR(__xludf.DUMMYFUNCTION("""COMPUTED_VALUE"""),"DB")</f>
        <v>DB</v>
      </c>
      <c r="G93" s="5">
        <f>IFERROR(__xludf.DUMMYFUNCTION("""COMPUTED_VALUE"""),2.1751601319000006E8)</f>
        <v>217516013.2</v>
      </c>
      <c r="H93" s="5"/>
      <c r="I93" s="5"/>
    </row>
    <row r="94">
      <c r="A94" s="7">
        <f>IFERROR(__xludf.DUMMYFUNCTION("""COMPUTED_VALUE"""),46335.0)</f>
        <v>46335</v>
      </c>
      <c r="B94" s="5" t="str">
        <f>IFERROR(__xludf.DUMMYFUNCTION("""COMPUTED_VALUE"""),"TRSF E-BANKING DB TANGGAL :08/11")</f>
        <v>TRSF E-BANKING DB TANGGAL :08/11</v>
      </c>
      <c r="C94" s="5" t="str">
        <f>IFERROR(__xludf.DUMMYFUNCTION("""COMPUTED_VALUE"""),"0811/FTSCY/WS95031 BROILER MAKMUR TAN")</f>
        <v>0811/FTSCY/WS95031 BROILER MAKMUR TAN</v>
      </c>
      <c r="D94" s="5">
        <f>IFERROR(__xludf.DUMMYFUNCTION("""COMPUTED_VALUE"""),6.0E7)</f>
        <v>60000000</v>
      </c>
      <c r="E94" s="5"/>
      <c r="F94" s="5" t="str">
        <f>IFERROR(__xludf.DUMMYFUNCTION("""COMPUTED_VALUE"""),"DB")</f>
        <v>DB</v>
      </c>
      <c r="G94" s="5">
        <f>IFERROR(__xludf.DUMMYFUNCTION("""COMPUTED_VALUE"""),1.5751601319000006E8)</f>
        <v>157516013.2</v>
      </c>
      <c r="H94" s="5"/>
      <c r="I94" s="5"/>
    </row>
    <row r="95">
      <c r="A95" s="7">
        <f>IFERROR(__xludf.DUMMYFUNCTION("""COMPUTED_VALUE"""),46335.0)</f>
        <v>46335</v>
      </c>
      <c r="B95" s="5" t="str">
        <f>IFERROR(__xludf.DUMMYFUNCTION("""COMPUTED_VALUE"""),"TRSF E-BANKING DB TANGGAL :08/11")</f>
        <v>TRSF E-BANKING DB TANGGAL :08/11</v>
      </c>
      <c r="C95" s="5" t="str">
        <f>IFERROR(__xludf.DUMMYFUNCTION("""COMPUTED_VALUE"""),"0811/FTSCY/WS95271 Sat Nov 07 2026 15:00:00 GMT+0700 (Western Indonesia Time) BRANTAS ABADI SENT")</f>
        <v>0811/FTSCY/WS95271 Sat Nov 07 2026 15:00:00 GMT+0700 (Western Indonesia Time) BRANTAS ABADI SENT</v>
      </c>
      <c r="D95" s="5">
        <f>IFERROR(__xludf.DUMMYFUNCTION("""COMPUTED_VALUE"""),6.507745E7)</f>
        <v>65077450</v>
      </c>
      <c r="E95" s="5"/>
      <c r="F95" s="5" t="str">
        <f>IFERROR(__xludf.DUMMYFUNCTION("""COMPUTED_VALUE"""),"DB")</f>
        <v>DB</v>
      </c>
      <c r="G95" s="5">
        <f>IFERROR(__xludf.DUMMYFUNCTION("""COMPUTED_VALUE"""),9.243856319000006E7)</f>
        <v>92438563.19</v>
      </c>
      <c r="H95" s="5"/>
      <c r="I95" s="5"/>
    </row>
    <row r="96">
      <c r="A96" s="7">
        <f>IFERROR(__xludf.DUMMYFUNCTION("""COMPUTED_VALUE"""),46335.0)</f>
        <v>46335</v>
      </c>
      <c r="B96" s="5" t="str">
        <f>IFERROR(__xludf.DUMMYFUNCTION("""COMPUTED_VALUE"""),"TRSF E-BANKING DB TANGGAL :08/11")</f>
        <v>TRSF E-BANKING DB TANGGAL :08/11</v>
      </c>
      <c r="C96" s="5" t="str">
        <f>IFERROR(__xludf.DUMMYFUNCTION("""COMPUTED_VALUE"""),"0811/FTSCY/WS95271 Sat Nov 07 2026 15:00:00 GMT+0700 (Western Indonesia Time) LAJU SATWA WISESA")</f>
        <v>0811/FTSCY/WS95271 Sat Nov 07 2026 15:00:00 GMT+0700 (Western Indonesia Time) LAJU SATWA WISESA</v>
      </c>
      <c r="D96" s="5">
        <f>IFERROR(__xludf.DUMMYFUNCTION("""COMPUTED_VALUE"""),6.65E7)</f>
        <v>66500000</v>
      </c>
      <c r="E96" s="5"/>
      <c r="F96" s="5" t="str">
        <f>IFERROR(__xludf.DUMMYFUNCTION("""COMPUTED_VALUE"""),"DB")</f>
        <v>DB</v>
      </c>
      <c r="G96" s="5">
        <f>IFERROR(__xludf.DUMMYFUNCTION("""COMPUTED_VALUE"""),2.5938563190000057E7)</f>
        <v>25938563.19</v>
      </c>
      <c r="H96" s="5"/>
      <c r="I96" s="5"/>
    </row>
    <row r="97">
      <c r="A97" s="7">
        <f>IFERROR(__xludf.DUMMYFUNCTION("""COMPUTED_VALUE"""),46335.0)</f>
        <v>46335</v>
      </c>
      <c r="B97" s="5" t="str">
        <f>IFERROR(__xludf.DUMMYFUNCTION("""COMPUTED_VALUE"""),"TRSF E-BANKING DB TANGGAL :08/11")</f>
        <v>TRSF E-BANKING DB TANGGAL :08/11</v>
      </c>
      <c r="C97" s="5" t="str">
        <f>IFERROR(__xludf.DUMMYFUNCTION("""COMPUTED_VALUE"""),"0811/FTSCY/WS95271 SUNARTO")</f>
        <v>0811/FTSCY/WS95271 SUNARTO</v>
      </c>
      <c r="D97" s="5">
        <f>IFERROR(__xludf.DUMMYFUNCTION("""COMPUTED_VALUE"""),1350000.0)</f>
        <v>1350000</v>
      </c>
      <c r="E97" s="5"/>
      <c r="F97" s="5" t="str">
        <f>IFERROR(__xludf.DUMMYFUNCTION("""COMPUTED_VALUE"""),"DB")</f>
        <v>DB</v>
      </c>
      <c r="G97" s="5">
        <f>IFERROR(__xludf.DUMMYFUNCTION("""COMPUTED_VALUE"""),2.4588563190000057E7)</f>
        <v>24588563.19</v>
      </c>
      <c r="H97" s="5"/>
      <c r="I97" s="5"/>
    </row>
    <row r="98">
      <c r="A98" s="7">
        <f>IFERROR(__xludf.DUMMYFUNCTION("""COMPUTED_VALUE"""),46335.0)</f>
        <v>46335</v>
      </c>
      <c r="B98" s="5" t="str">
        <f>IFERROR(__xludf.DUMMYFUNCTION("""COMPUTED_VALUE"""),"TRSF E-BANKING DB TANGGAL :08/11")</f>
        <v>TRSF E-BANKING DB TANGGAL :08/11</v>
      </c>
      <c r="C98" s="5" t="str">
        <f>IFERROR(__xludf.DUMMYFUNCTION("""COMPUTED_VALUE"""),"0811/FTSCY/WS95271 EKO SETIYAWAN")</f>
        <v>0811/FTSCY/WS95271 EKO SETIYAWAN</v>
      </c>
      <c r="D98" s="5">
        <f>IFERROR(__xludf.DUMMYFUNCTION("""COMPUTED_VALUE"""),6160620.0)</f>
        <v>6160620</v>
      </c>
      <c r="E98" s="5"/>
      <c r="F98" s="5" t="str">
        <f>IFERROR(__xludf.DUMMYFUNCTION("""COMPUTED_VALUE"""),"DB")</f>
        <v>DB</v>
      </c>
      <c r="G98" s="5">
        <f>IFERROR(__xludf.DUMMYFUNCTION("""COMPUTED_VALUE"""),1.8427943190000057E7)</f>
        <v>18427943.19</v>
      </c>
      <c r="H98" s="5"/>
      <c r="I98" s="5"/>
    </row>
    <row r="99">
      <c r="A99" s="7">
        <f>IFERROR(__xludf.DUMMYFUNCTION("""COMPUTED_VALUE"""),46335.0)</f>
        <v>46335</v>
      </c>
      <c r="B99" s="5" t="str">
        <f>IFERROR(__xludf.DUMMYFUNCTION("""COMPUTED_VALUE"""),"TRSF E-BANKING DB TANGGAL :08/11")</f>
        <v>TRSF E-BANKING DB TANGGAL :08/11</v>
      </c>
      <c r="C99" s="5" t="str">
        <f>IFERROR(__xludf.DUMMYFUNCTION("""COMPUTED_VALUE"""),"0811/FTSCY/WS95271 FAJAR ANDREANZAH")</f>
        <v>0811/FTSCY/WS95271 FAJAR ANDREANZAH</v>
      </c>
      <c r="D99" s="5">
        <f>IFERROR(__xludf.DUMMYFUNCTION("""COMPUTED_VALUE"""),7941250.0)</f>
        <v>7941250</v>
      </c>
      <c r="E99" s="5"/>
      <c r="F99" s="5" t="str">
        <f>IFERROR(__xludf.DUMMYFUNCTION("""COMPUTED_VALUE"""),"DB")</f>
        <v>DB</v>
      </c>
      <c r="G99" s="5">
        <f>IFERROR(__xludf.DUMMYFUNCTION("""COMPUTED_VALUE"""),1.0486693190000057E7)</f>
        <v>10486693.19</v>
      </c>
      <c r="H99" s="5"/>
      <c r="I99" s="5"/>
    </row>
    <row r="100">
      <c r="A100" s="7">
        <f>IFERROR(__xludf.DUMMYFUNCTION("""COMPUTED_VALUE"""),46335.0)</f>
        <v>46335</v>
      </c>
      <c r="B100" s="5" t="str">
        <f>IFERROR(__xludf.DUMMYFUNCTION("""COMPUTED_VALUE"""),"TRSF E-BANKING DB TANGGAL :08/11")</f>
        <v>TRSF E-BANKING DB TANGGAL :08/11</v>
      </c>
      <c r="C100" s="5" t="str">
        <f>IFERROR(__xludf.DUMMYFUNCTION("""COMPUTED_VALUE"""),"0811/FTSCY/WS95271 HERMAWAN")</f>
        <v>0811/FTSCY/WS95271 HERMAWAN</v>
      </c>
      <c r="D100" s="5">
        <f>IFERROR(__xludf.DUMMYFUNCTION("""COMPUTED_VALUE"""),1500000.0)</f>
        <v>1500000</v>
      </c>
      <c r="E100" s="5"/>
      <c r="F100" s="5" t="str">
        <f>IFERROR(__xludf.DUMMYFUNCTION("""COMPUTED_VALUE"""),"DB")</f>
        <v>DB</v>
      </c>
      <c r="G100" s="5">
        <f>IFERROR(__xludf.DUMMYFUNCTION("""COMPUTED_VALUE"""),8986693.190000057)</f>
        <v>8986693.19</v>
      </c>
      <c r="H100" s="5"/>
      <c r="I100" s="5"/>
    </row>
    <row r="101">
      <c r="A101" s="7">
        <f>IFERROR(__xludf.DUMMYFUNCTION("""COMPUTED_VALUE"""),46335.0)</f>
        <v>46335</v>
      </c>
      <c r="B101" s="5" t="str">
        <f>IFERROR(__xludf.DUMMYFUNCTION("""COMPUTED_VALUE"""),"TRSF E-BANKING DB TANGGAL :08/11")</f>
        <v>TRSF E-BANKING DB TANGGAL :08/11</v>
      </c>
      <c r="C101" s="5" t="str">
        <f>IFERROR(__xludf.DUMMYFUNCTION("""COMPUTED_VALUE"""),"0811/FTSCY/WS95271 kediri 07/11 DWI HERMANSYAH")</f>
        <v>0811/FTSCY/WS95271 kediri 07/11 DWI HERMANSYAH</v>
      </c>
      <c r="D101" s="5">
        <f>IFERROR(__xludf.DUMMYFUNCTION("""COMPUTED_VALUE"""),1480000.0)</f>
        <v>1480000</v>
      </c>
      <c r="E101" s="5"/>
      <c r="F101" s="5" t="str">
        <f>IFERROR(__xludf.DUMMYFUNCTION("""COMPUTED_VALUE"""),"DB")</f>
        <v>DB</v>
      </c>
      <c r="G101" s="5">
        <f>IFERROR(__xludf.DUMMYFUNCTION("""COMPUTED_VALUE"""),7506693.190000057)</f>
        <v>7506693.19</v>
      </c>
      <c r="H101" s="5"/>
      <c r="I101" s="5"/>
    </row>
    <row r="102">
      <c r="A102" s="7">
        <f>IFERROR(__xludf.DUMMYFUNCTION("""COMPUTED_VALUE"""),46335.0)</f>
        <v>46335</v>
      </c>
      <c r="B102" s="5" t="str">
        <f>IFERROR(__xludf.DUMMYFUNCTION("""COMPUTED_VALUE"""),"TRSF E-BANKING DB TANGGAL :08/11")</f>
        <v>TRSF E-BANKING DB TANGGAL :08/11</v>
      </c>
      <c r="C102" s="5" t="str">
        <f>IFERROR(__xludf.DUMMYFUNCTION("""COMPUTED_VALUE"""),"0811/FTSCY/WS95271 10+1.5 jt MUJIANTO")</f>
        <v>0811/FTSCY/WS95271 10+1.5 jt MUJIANTO</v>
      </c>
      <c r="D102" s="5">
        <f>IFERROR(__xludf.DUMMYFUNCTION("""COMPUTED_VALUE"""),7426100.0)</f>
        <v>7426100</v>
      </c>
      <c r="E102" s="5"/>
      <c r="F102" s="5" t="str">
        <f>IFERROR(__xludf.DUMMYFUNCTION("""COMPUTED_VALUE"""),"DB")</f>
        <v>DB</v>
      </c>
      <c r="G102" s="5">
        <f>IFERROR(__xludf.DUMMYFUNCTION("""COMPUTED_VALUE"""),80593.19000005722)</f>
        <v>80593.19</v>
      </c>
      <c r="H102" s="5"/>
      <c r="I102" s="5"/>
    </row>
    <row r="103">
      <c r="A103" s="7">
        <f>IFERROR(__xludf.DUMMYFUNCTION("""COMPUTED_VALUE"""),46335.0)</f>
        <v>46335</v>
      </c>
      <c r="B103" s="5" t="str">
        <f>IFERROR(__xludf.DUMMYFUNCTION("""COMPUTED_VALUE"""),"TRSF E-BANKING DB")</f>
        <v>TRSF E-BANKING DB</v>
      </c>
      <c r="C103" s="5" t="str">
        <f>IFERROR(__xludf.DUMMYFUNCTION("""COMPUTED_VALUE"""),"0911/FTSCY/WS95271 3700000.00 SITI RAHMA IFTITAH")</f>
        <v>0911/FTSCY/WS95271 3700000.00 SITI RAHMA IFTITAH</v>
      </c>
      <c r="D103" s="5">
        <f>IFERROR(__xludf.DUMMYFUNCTION("""COMPUTED_VALUE"""),3700000.0)</f>
        <v>3700000</v>
      </c>
      <c r="E103" s="5"/>
      <c r="F103" s="5" t="str">
        <f>IFERROR(__xludf.DUMMYFUNCTION("""COMPUTED_VALUE"""),"DB")</f>
        <v>DB</v>
      </c>
      <c r="G103" s="5">
        <f>IFERROR(__xludf.DUMMYFUNCTION("""COMPUTED_VALUE"""),5.586059319000006E7)</f>
        <v>55860593.19</v>
      </c>
      <c r="H103" s="5"/>
      <c r="I103" s="5"/>
    </row>
    <row r="104">
      <c r="A104" s="7">
        <f>IFERROR(__xludf.DUMMYFUNCTION("""COMPUTED_VALUE"""),46335.0)</f>
        <v>46335</v>
      </c>
      <c r="B104" s="5" t="str">
        <f>IFERROR(__xludf.DUMMYFUNCTION("""COMPUTED_VALUE"""),"SWITCHING")</f>
        <v>SWITCHING</v>
      </c>
      <c r="C104" s="5" t="str">
        <f>IFERROR(__xludf.DUMMYFUNCTION("""COMPUTED_VALUE"""),"WITHDRAWAL DI ALTO AFMT BARATAN JEMBE")</f>
        <v>WITHDRAWAL DI ALTO AFMT BARATAN JEMBE</v>
      </c>
      <c r="D104" s="5">
        <f>IFERROR(__xludf.DUMMYFUNCTION("""COMPUTED_VALUE"""),200000.0)</f>
        <v>200000</v>
      </c>
      <c r="E104" s="5"/>
      <c r="F104" s="5"/>
      <c r="G104" s="5">
        <f>IFERROR(__xludf.DUMMYFUNCTION("""COMPUTED_VALUE"""),2.2079148319000006E8)</f>
        <v>220791483.2</v>
      </c>
      <c r="H104" s="5">
        <f>IFERROR(__xludf.DUMMYFUNCTION("""COMPUTED_VALUE"""),2.2079148319E8)</f>
        <v>220791483.2</v>
      </c>
      <c r="I104" s="5"/>
    </row>
    <row r="105">
      <c r="A105" s="7">
        <f>IFERROR(__xludf.DUMMYFUNCTION("""COMPUTED_VALUE"""),46335.0)</f>
        <v>46335</v>
      </c>
      <c r="B105" s="5" t="str">
        <f>IFERROR(__xludf.DUMMYFUNCTION("""COMPUTED_VALUE"""),"SWITCHING")</f>
        <v>SWITCHING</v>
      </c>
      <c r="C105" s="5" t="str">
        <f>IFERROR(__xludf.DUMMYFUNCTION("""COMPUTED_VALUE"""),"BIAYA TXN  DI ALTO AFMT BARATAN JEMBE")</f>
        <v>BIAYA TXN  DI ALTO AFMT BARATAN JEMBE</v>
      </c>
      <c r="D105" s="5">
        <f>IFERROR(__xludf.DUMMYFUNCTION("""COMPUTED_VALUE"""),7500.0)</f>
        <v>7500</v>
      </c>
      <c r="E105" s="5"/>
      <c r="F105" s="5"/>
      <c r="G105" s="5">
        <f>IFERROR(__xludf.DUMMYFUNCTION("""COMPUTED_VALUE"""),2.2078398319000006E8)</f>
        <v>220783983.2</v>
      </c>
      <c r="H105" s="5"/>
      <c r="I105" s="5"/>
    </row>
    <row r="106">
      <c r="A106" s="7">
        <f>IFERROR(__xludf.DUMMYFUNCTION("""COMPUTED_VALUE"""),46335.0)</f>
        <v>46335</v>
      </c>
      <c r="B106" s="5" t="str">
        <f>IFERROR(__xludf.DUMMYFUNCTION("""COMPUTED_VALUE"""),"TRSF E-BANKING DB")</f>
        <v>TRSF E-BANKING DB</v>
      </c>
      <c r="C106" s="5" t="str">
        <f>IFERROR(__xludf.DUMMYFUNCTION("""COMPUTED_VALUE"""),"0911/FTSCY/WS95271 56040390.00 Sun Nov 08 2026 15:00:00 GMT+0700 (Western Indonesia Time) DINA LUKMIANINGRUM")</f>
        <v>0911/FTSCY/WS95271 56040390.00 Sun Nov 08 2026 15:00:00 GMT+0700 (Western Indonesia Time) DINA LUKMIANINGRUM</v>
      </c>
      <c r="D106" s="5">
        <f>IFERROR(__xludf.DUMMYFUNCTION("""COMPUTED_VALUE"""),5.604039E7)</f>
        <v>56040390</v>
      </c>
      <c r="E106" s="5"/>
      <c r="F106" s="5" t="str">
        <f>IFERROR(__xludf.DUMMYFUNCTION("""COMPUTED_VALUE"""),"DB")</f>
        <v>DB</v>
      </c>
      <c r="G106" s="5">
        <f>IFERROR(__xludf.DUMMYFUNCTION("""COMPUTED_VALUE"""),7.7225519319E8)</f>
        <v>772255193.2</v>
      </c>
      <c r="H106" s="5"/>
      <c r="I106" s="5"/>
    </row>
    <row r="107">
      <c r="A107" s="7">
        <f>IFERROR(__xludf.DUMMYFUNCTION("""COMPUTED_VALUE"""),46335.0)</f>
        <v>46335</v>
      </c>
      <c r="B107" s="5" t="str">
        <f>IFERROR(__xludf.DUMMYFUNCTION("""COMPUTED_VALUE"""),"TRSF E-BANKING DB")</f>
        <v>TRSF E-BANKING DB</v>
      </c>
      <c r="C107" s="5" t="str">
        <f>IFERROR(__xludf.DUMMYFUNCTION("""COMPUTED_VALUE"""),"0911/FTSCY/WS95031 2000000.00 november RISKY ARISHANDY PR")</f>
        <v>0911/FTSCY/WS95031 2000000.00 november RISKY ARISHANDY PR</v>
      </c>
      <c r="D107" s="5">
        <f>IFERROR(__xludf.DUMMYFUNCTION("""COMPUTED_VALUE"""),2000000.0)</f>
        <v>2000000</v>
      </c>
      <c r="E107" s="5"/>
      <c r="F107" s="5" t="str">
        <f>IFERROR(__xludf.DUMMYFUNCTION("""COMPUTED_VALUE"""),"DB")</f>
        <v>DB</v>
      </c>
      <c r="G107" s="5">
        <f>IFERROR(__xludf.DUMMYFUNCTION("""COMPUTED_VALUE"""),7.7025519319E8)</f>
        <v>770255193.2</v>
      </c>
      <c r="H107" s="5"/>
      <c r="I107" s="5"/>
    </row>
    <row r="108">
      <c r="A108" s="7">
        <f>IFERROR(__xludf.DUMMYFUNCTION("""COMPUTED_VALUE"""),46335.0)</f>
        <v>46335</v>
      </c>
      <c r="B108" s="5" t="str">
        <f>IFERROR(__xludf.DUMMYFUNCTION("""COMPUTED_VALUE"""),"TARIKAN ATM 09/11")</f>
        <v>TARIKAN ATM 09/11</v>
      </c>
      <c r="C108" s="5" t="str">
        <f>IFERROR(__xludf.DUMMYFUNCTION("""COMPUTED_VALUE"""),"TARIKAN ATM 09/11")</f>
        <v>TARIKAN ATM 09/11</v>
      </c>
      <c r="D108" s="5">
        <f>IFERROR(__xludf.DUMMYFUNCTION("""COMPUTED_VALUE"""),200000.0)</f>
        <v>200000</v>
      </c>
      <c r="E108" s="5"/>
      <c r="F108" s="5"/>
      <c r="G108" s="5">
        <f>IFERROR(__xludf.DUMMYFUNCTION("""COMPUTED_VALUE"""),8.0505519319E8)</f>
        <v>805055193.2</v>
      </c>
      <c r="H108" s="5"/>
      <c r="I108" s="5"/>
    </row>
    <row r="109">
      <c r="A109" s="7">
        <f>IFERROR(__xludf.DUMMYFUNCTION("""COMPUTED_VALUE"""),46335.0)</f>
        <v>46335</v>
      </c>
      <c r="B109" s="5" t="str">
        <f>IFERROR(__xludf.DUMMYFUNCTION("""COMPUTED_VALUE"""),"TRSF E-BANKING DB")</f>
        <v>TRSF E-BANKING DB</v>
      </c>
      <c r="C109" s="5" t="str">
        <f>IFERROR(__xludf.DUMMYFUNCTION("""COMPUTED_VALUE"""),"0911/FTSCY/WS95031 18258320.00 EKO SETIYAWAN")</f>
        <v>0911/FTSCY/WS95031 18258320.00 EKO SETIYAWAN</v>
      </c>
      <c r="D109" s="5">
        <f>IFERROR(__xludf.DUMMYFUNCTION("""COMPUTED_VALUE"""),1.825832E7)</f>
        <v>18258320</v>
      </c>
      <c r="E109" s="5"/>
      <c r="F109" s="5" t="str">
        <f>IFERROR(__xludf.DUMMYFUNCTION("""COMPUTED_VALUE"""),"DB")</f>
        <v>DB</v>
      </c>
      <c r="G109" s="5">
        <f>IFERROR(__xludf.DUMMYFUNCTION("""COMPUTED_VALUE"""),7.8679687319E8)</f>
        <v>786796873.2</v>
      </c>
      <c r="H109" s="5"/>
      <c r="I109" s="5"/>
    </row>
    <row r="110">
      <c r="A110" s="7">
        <f>IFERROR(__xludf.DUMMYFUNCTION("""COMPUTED_VALUE"""),46335.0)</f>
        <v>46335</v>
      </c>
      <c r="B110" s="5" t="str">
        <f>IFERROR(__xludf.DUMMYFUNCTION("""COMPUTED_VALUE"""),"TRSF E-BANKING DB")</f>
        <v>TRSF E-BANKING DB</v>
      </c>
      <c r="C110" s="5" t="str">
        <f>IFERROR(__xludf.DUMMYFUNCTION("""COMPUTED_VALUE"""),"0911/FTSCY/WS95011 168564880.00 Sat Nov 07 2026 15:00:00 GMT+0700 (Western Indonesia Time) ANDALAN YASA MITRA")</f>
        <v>0911/FTSCY/WS95011 168564880.00 Sat Nov 07 2026 15:00:00 GMT+0700 (Western Indonesia Time) ANDALAN YASA MITRA</v>
      </c>
      <c r="D110" s="5">
        <f>IFERROR(__xludf.DUMMYFUNCTION("""COMPUTED_VALUE"""),1.6856488E8)</f>
        <v>168564880</v>
      </c>
      <c r="E110" s="5"/>
      <c r="F110" s="5" t="str">
        <f>IFERROR(__xludf.DUMMYFUNCTION("""COMPUTED_VALUE"""),"DB")</f>
        <v>DB</v>
      </c>
      <c r="G110" s="5">
        <f>IFERROR(__xludf.DUMMYFUNCTION("""COMPUTED_VALUE"""),6.1823199319E8)</f>
        <v>618231993.2</v>
      </c>
      <c r="H110" s="5"/>
      <c r="I110" s="5"/>
    </row>
    <row r="111">
      <c r="A111" s="7">
        <f>IFERROR(__xludf.DUMMYFUNCTION("""COMPUTED_VALUE"""),46335.0)</f>
        <v>46335</v>
      </c>
      <c r="B111" s="5" t="str">
        <f>IFERROR(__xludf.DUMMYFUNCTION("""COMPUTED_VALUE"""),"TRSF E-BANKING DB")</f>
        <v>TRSF E-BANKING DB</v>
      </c>
      <c r="C111" s="5" t="str">
        <f>IFERROR(__xludf.DUMMYFUNCTION("""COMPUTED_VALUE"""),"0911/FTSCY/WS95011 152528110.00 Fri Nov 06 2026 15:00:00 GMT+0700 (Western Indonesia Time) BROILER MAKMUR TAN")</f>
        <v>0911/FTSCY/WS95011 152528110.00 Fri Nov 06 2026 15:00:00 GMT+0700 (Western Indonesia Time) BROILER MAKMUR TAN</v>
      </c>
      <c r="D111" s="5">
        <f>IFERROR(__xludf.DUMMYFUNCTION("""COMPUTED_VALUE"""),1.5252811E8)</f>
        <v>152528110</v>
      </c>
      <c r="E111" s="5"/>
      <c r="F111" s="5" t="str">
        <f>IFERROR(__xludf.DUMMYFUNCTION("""COMPUTED_VALUE"""),"DB")</f>
        <v>DB</v>
      </c>
      <c r="G111" s="5">
        <f>IFERROR(__xludf.DUMMYFUNCTION("""COMPUTED_VALUE"""),4.6570388319000006E8)</f>
        <v>465703883.2</v>
      </c>
      <c r="H111" s="5"/>
      <c r="I111" s="5"/>
    </row>
    <row r="112">
      <c r="A112" s="7">
        <f>IFERROR(__xludf.DUMMYFUNCTION("""COMPUTED_VALUE"""),46335.0)</f>
        <v>46335</v>
      </c>
      <c r="B112" s="5" t="str">
        <f>IFERROR(__xludf.DUMMYFUNCTION("""COMPUTED_VALUE"""),"TRSF E-BANKING DB")</f>
        <v>TRSF E-BANKING DB</v>
      </c>
      <c r="C112" s="5" t="str">
        <f>IFERROR(__xludf.DUMMYFUNCTION("""COMPUTED_VALUE"""),"0911/FTSCY/WS95011 117800000.00 Sun Nov 08 2026 15:00:00 GMT+0700 (Western Indonesia Time) RUKUN MITRA BERSAM")</f>
        <v>0911/FTSCY/WS95011 117800000.00 Sun Nov 08 2026 15:00:00 GMT+0700 (Western Indonesia Time) RUKUN MITRA BERSAM</v>
      </c>
      <c r="D112" s="5">
        <f>IFERROR(__xludf.DUMMYFUNCTION("""COMPUTED_VALUE"""),1.178E8)</f>
        <v>117800000</v>
      </c>
      <c r="E112" s="5"/>
      <c r="F112" s="5" t="str">
        <f>IFERROR(__xludf.DUMMYFUNCTION("""COMPUTED_VALUE"""),"DB")</f>
        <v>DB</v>
      </c>
      <c r="G112" s="5">
        <f>IFERROR(__xludf.DUMMYFUNCTION("""COMPUTED_VALUE"""),3.4790388319000006E8)</f>
        <v>347903883.2</v>
      </c>
      <c r="H112" s="5"/>
      <c r="I112" s="5"/>
    </row>
    <row r="113">
      <c r="A113" s="7">
        <f>IFERROR(__xludf.DUMMYFUNCTION("""COMPUTED_VALUE"""),46335.0)</f>
        <v>46335</v>
      </c>
      <c r="B113" s="5" t="str">
        <f>IFERROR(__xludf.DUMMYFUNCTION("""COMPUTED_VALUE"""),"TRSF E-BANKING DB")</f>
        <v>TRSF E-BANKING DB</v>
      </c>
      <c r="C113" s="5" t="str">
        <f>IFERROR(__xludf.DUMMYFUNCTION("""COMPUTED_VALUE"""),"0911/FTSCY/WS95011 55426000.00 Sun Nov 08 2026 15:00:00 GMT+0700 (Western Indonesia Time) ANUGERAH KARTIKA A")</f>
        <v>0911/FTSCY/WS95011 55426000.00 Sun Nov 08 2026 15:00:00 GMT+0700 (Western Indonesia Time) ANUGERAH KARTIKA A</v>
      </c>
      <c r="D113" s="5">
        <f>IFERROR(__xludf.DUMMYFUNCTION("""COMPUTED_VALUE"""),5.5426E7)</f>
        <v>55426000</v>
      </c>
      <c r="E113" s="5"/>
      <c r="F113" s="5" t="str">
        <f>IFERROR(__xludf.DUMMYFUNCTION("""COMPUTED_VALUE"""),"DB")</f>
        <v>DB</v>
      </c>
      <c r="G113" s="5">
        <f>IFERROR(__xludf.DUMMYFUNCTION("""COMPUTED_VALUE"""),2.9247788319000006E8)</f>
        <v>292477883.2</v>
      </c>
      <c r="H113" s="5">
        <f>IFERROR(__xludf.DUMMYFUNCTION("""COMPUTED_VALUE"""),2.9247788319E8)</f>
        <v>292477883.2</v>
      </c>
      <c r="I113" s="5"/>
    </row>
    <row r="114">
      <c r="A114" s="7">
        <f>IFERROR(__xludf.DUMMYFUNCTION("""COMPUTED_VALUE"""),46336.0)</f>
        <v>46336</v>
      </c>
      <c r="B114" s="5" t="str">
        <f>IFERROR(__xludf.DUMMYFUNCTION("""COMPUTED_VALUE"""),"TRSF E-BANKING DB TANGGAL :09/11")</f>
        <v>TRSF E-BANKING DB TANGGAL :09/11</v>
      </c>
      <c r="C114" s="5" t="str">
        <f>IFERROR(__xludf.DUMMYFUNCTION("""COMPUTED_VALUE"""),"0911/FTSCY/WS95271 Sun Nov 08 2026 15:00:00 GMT+0700 (Western Indonesia Time) BINTANG TAMA SANTO")</f>
        <v>0911/FTSCY/WS95271 Sun Nov 08 2026 15:00:00 GMT+0700 (Western Indonesia Time) BINTANG TAMA SANTO</v>
      </c>
      <c r="D114" s="5">
        <f>IFERROR(__xludf.DUMMYFUNCTION("""COMPUTED_VALUE"""),1.806525E8)</f>
        <v>180652500</v>
      </c>
      <c r="E114" s="5"/>
      <c r="F114" s="5" t="str">
        <f>IFERROR(__xludf.DUMMYFUNCTION("""COMPUTED_VALUE"""),"DB")</f>
        <v>DB</v>
      </c>
      <c r="G114" s="5">
        <f>IFERROR(__xludf.DUMMYFUNCTION("""COMPUTED_VALUE"""),1.1182538319000006E8)</f>
        <v>111825383.2</v>
      </c>
      <c r="H114" s="5">
        <f>IFERROR(__xludf.DUMMYFUNCTION("""COMPUTED_VALUE"""),1.1182538319E8)</f>
        <v>111825383.2</v>
      </c>
      <c r="I114" s="5"/>
    </row>
    <row r="115">
      <c r="A115" s="7">
        <f>IFERROR(__xludf.DUMMYFUNCTION("""COMPUTED_VALUE"""),46336.0)</f>
        <v>46336</v>
      </c>
      <c r="B115" s="5" t="str">
        <f>IFERROR(__xludf.DUMMYFUNCTION("""COMPUTED_VALUE"""),"TRSF E-BANKING DB")</f>
        <v>TRSF E-BANKING DB</v>
      </c>
      <c r="C115" s="5" t="str">
        <f>IFERROR(__xludf.DUMMYFUNCTION("""COMPUTED_VALUE"""),"1011/FTSCY/WS95031 49450500.00 Sun Nov 08 2026 15:00:00 GMT+0700 (Western Indonesia Time) BINTANG TAMA SANTO")</f>
        <v>1011/FTSCY/WS95031 49450500.00 Sun Nov 08 2026 15:00:00 GMT+0700 (Western Indonesia Time) BINTANG TAMA SANTO</v>
      </c>
      <c r="D115" s="5">
        <f>IFERROR(__xludf.DUMMYFUNCTION("""COMPUTED_VALUE"""),4.94505E7)</f>
        <v>49450500</v>
      </c>
      <c r="E115" s="5"/>
      <c r="F115" s="5" t="str">
        <f>IFERROR(__xludf.DUMMYFUNCTION("""COMPUTED_VALUE"""),"DB")</f>
        <v>DB</v>
      </c>
      <c r="G115" s="5">
        <f>IFERROR(__xludf.DUMMYFUNCTION("""COMPUTED_VALUE"""),1.4323883190000057E7)</f>
        <v>14323883.19</v>
      </c>
      <c r="H115" s="5"/>
      <c r="I115" s="5"/>
    </row>
    <row r="116">
      <c r="A116" s="7">
        <f>IFERROR(__xludf.DUMMYFUNCTION("""COMPUTED_VALUE"""),46336.0)</f>
        <v>46336</v>
      </c>
      <c r="B116" s="5" t="str">
        <f>IFERROR(__xludf.DUMMYFUNCTION("""COMPUTED_VALUE"""),"TRSF E-BANKING DB")</f>
        <v>TRSF E-BANKING DB</v>
      </c>
      <c r="C116" s="5" t="str">
        <f>IFERROR(__xludf.DUMMYFUNCTION("""COMPUTED_VALUE"""),"1011/FTSCY/WS95031 872940.00 NURHAYATI")</f>
        <v>1011/FTSCY/WS95031 872940.00 NURHAYATI</v>
      </c>
      <c r="D116" s="5">
        <f>IFERROR(__xludf.DUMMYFUNCTION("""COMPUTED_VALUE"""),872940.0)</f>
        <v>872940</v>
      </c>
      <c r="E116" s="5"/>
      <c r="F116" s="5" t="str">
        <f>IFERROR(__xludf.DUMMYFUNCTION("""COMPUTED_VALUE"""),"DB")</f>
        <v>DB</v>
      </c>
      <c r="G116" s="5">
        <f>IFERROR(__xludf.DUMMYFUNCTION("""COMPUTED_VALUE"""),1.3450943190000057E7)</f>
        <v>13450943.19</v>
      </c>
      <c r="H116" s="5"/>
      <c r="I116" s="5"/>
    </row>
    <row r="117">
      <c r="A117" s="7">
        <f>IFERROR(__xludf.DUMMYFUNCTION("""COMPUTED_VALUE"""),46336.0)</f>
        <v>46336</v>
      </c>
      <c r="B117" s="5" t="str">
        <f>IFERROR(__xludf.DUMMYFUNCTION("""COMPUTED_VALUE"""),"TRSF E-BANKING DB")</f>
        <v>TRSF E-BANKING DB</v>
      </c>
      <c r="C117" s="5" t="str">
        <f>IFERROR(__xludf.DUMMYFUNCTION("""COMPUTED_VALUE"""),"1011/FTSCY/WS95031 1000000.00 SUNARTO")</f>
        <v>1011/FTSCY/WS95031 1000000.00 SUNARTO</v>
      </c>
      <c r="D117" s="5">
        <f>IFERROR(__xludf.DUMMYFUNCTION("""COMPUTED_VALUE"""),1000000.0)</f>
        <v>1000000</v>
      </c>
      <c r="E117" s="5"/>
      <c r="F117" s="5" t="str">
        <f>IFERROR(__xludf.DUMMYFUNCTION("""COMPUTED_VALUE"""),"DB")</f>
        <v>DB</v>
      </c>
      <c r="G117" s="5">
        <f>IFERROR(__xludf.DUMMYFUNCTION("""COMPUTED_VALUE"""),1.2450943190000057E7)</f>
        <v>12450943.19</v>
      </c>
      <c r="H117" s="5"/>
      <c r="I117" s="5"/>
    </row>
    <row r="118">
      <c r="A118" s="7">
        <f>IFERROR(__xludf.DUMMYFUNCTION("""COMPUTED_VALUE"""),46336.0)</f>
        <v>46336</v>
      </c>
      <c r="B118" s="5" t="str">
        <f>IFERROR(__xludf.DUMMYFUNCTION("""COMPUTED_VALUE"""),"TRSF E-BANKING DB")</f>
        <v>TRSF E-BANKING DB</v>
      </c>
      <c r="C118" s="5" t="str">
        <f>IFERROR(__xludf.DUMMYFUNCTION("""COMPUTED_VALUE"""),"1011/FTSCY/WS95271 63106600.00 Sun Nov 08 2026 15:00:00 GMT+0700 (Western Indonesia Time) LAJU SATWA WISESA")</f>
        <v>1011/FTSCY/WS95271 63106600.00 Sun Nov 08 2026 15:00:00 GMT+0700 (Western Indonesia Time) LAJU SATWA WISESA</v>
      </c>
      <c r="D118" s="5">
        <f>IFERROR(__xludf.DUMMYFUNCTION("""COMPUTED_VALUE"""),6.31066E7)</f>
        <v>63106600</v>
      </c>
      <c r="E118" s="5"/>
      <c r="F118" s="5" t="str">
        <f>IFERROR(__xludf.DUMMYFUNCTION("""COMPUTED_VALUE"""),"DB")</f>
        <v>DB</v>
      </c>
      <c r="G118" s="5">
        <f>IFERROR(__xludf.DUMMYFUNCTION("""COMPUTED_VALUE"""),7.887174319000006E7)</f>
        <v>78871743.19</v>
      </c>
      <c r="H118" s="5"/>
      <c r="I118" s="5"/>
    </row>
    <row r="119">
      <c r="A119" s="7">
        <f>IFERROR(__xludf.DUMMYFUNCTION("""COMPUTED_VALUE"""),46336.0)</f>
        <v>46336</v>
      </c>
      <c r="B119" s="5" t="str">
        <f>IFERROR(__xludf.DUMMYFUNCTION("""COMPUTED_VALUE"""),"TRSF E-BANKING DB")</f>
        <v>TRSF E-BANKING DB</v>
      </c>
      <c r="C119" s="5" t="str">
        <f>IFERROR(__xludf.DUMMYFUNCTION("""COMPUTED_VALUE"""),"1011/FTSCY/WS95271 65634300.00 Sun Nov 08 2026 15:00:00 GMT+0700 (Western Indonesia Time) SURYA INTI TERNAK")</f>
        <v>1011/FTSCY/WS95271 65634300.00 Sun Nov 08 2026 15:00:00 GMT+0700 (Western Indonesia Time) SURYA INTI TERNAK</v>
      </c>
      <c r="D119" s="5">
        <f>IFERROR(__xludf.DUMMYFUNCTION("""COMPUTED_VALUE"""),6.56343E7)</f>
        <v>65634300</v>
      </c>
      <c r="E119" s="5"/>
      <c r="F119" s="5" t="str">
        <f>IFERROR(__xludf.DUMMYFUNCTION("""COMPUTED_VALUE"""),"DB")</f>
        <v>DB</v>
      </c>
      <c r="G119" s="5">
        <f>IFERROR(__xludf.DUMMYFUNCTION("""COMPUTED_VALUE"""),1.3237443190000057E7)</f>
        <v>13237443.19</v>
      </c>
      <c r="H119" s="5"/>
      <c r="I119" s="5"/>
    </row>
    <row r="120">
      <c r="A120" s="7">
        <f>IFERROR(__xludf.DUMMYFUNCTION("""COMPUTED_VALUE"""),46336.0)</f>
        <v>46336</v>
      </c>
      <c r="B120" s="5" t="str">
        <f>IFERROR(__xludf.DUMMYFUNCTION("""COMPUTED_VALUE"""),"BYR VIA E-BANKING")</f>
        <v>BYR VIA E-BANKING</v>
      </c>
      <c r="C120" s="5" t="str">
        <f>IFERROR(__xludf.DUMMYFUNCTION("""COMPUTED_VALUE"""),"10/11  WSID9503101 1220 TELKOMSEL 82131900513 MUHAMMAD HAIRUL MA")</f>
        <v>10/11  WSID9503101 1220 TELKOMSEL 82131900513 MUHAMMAD HAIRUL MA</v>
      </c>
      <c r="D120" s="5">
        <f>IFERROR(__xludf.DUMMYFUNCTION("""COMPUTED_VALUE"""),102000.0)</f>
        <v>102000</v>
      </c>
      <c r="E120" s="5"/>
      <c r="F120" s="5"/>
      <c r="G120" s="5">
        <f>IFERROR(__xludf.DUMMYFUNCTION("""COMPUTED_VALUE"""),8.254544319000006E7)</f>
        <v>82545443.19</v>
      </c>
      <c r="H120" s="5"/>
      <c r="I120" s="5"/>
    </row>
    <row r="121">
      <c r="A121" s="7">
        <f>IFERROR(__xludf.DUMMYFUNCTION("""COMPUTED_VALUE"""),46336.0)</f>
        <v>46336</v>
      </c>
      <c r="B121" s="5" t="str">
        <f>IFERROR(__xludf.DUMMYFUNCTION("""COMPUTED_VALUE"""),"TARIKAN ATM 10/11")</f>
        <v>TARIKAN ATM 10/11</v>
      </c>
      <c r="C121" s="5" t="str">
        <f>IFERROR(__xludf.DUMMYFUNCTION("""COMPUTED_VALUE"""),"TARIKAN ATM 10/11")</f>
        <v>TARIKAN ATM 10/11</v>
      </c>
      <c r="D121" s="5">
        <f>IFERROR(__xludf.DUMMYFUNCTION("""COMPUTED_VALUE"""),200000.0)</f>
        <v>200000</v>
      </c>
      <c r="E121" s="5"/>
      <c r="F121" s="5"/>
      <c r="G121" s="5">
        <f>IFERROR(__xludf.DUMMYFUNCTION("""COMPUTED_VALUE"""),2.6917981819000006E8)</f>
        <v>269179818.2</v>
      </c>
      <c r="H121" s="5">
        <f>IFERROR(__xludf.DUMMYFUNCTION("""COMPUTED_VALUE"""),2.6917981819E8)</f>
        <v>269179818.2</v>
      </c>
      <c r="I121" s="5"/>
    </row>
    <row r="122">
      <c r="A122" s="7">
        <f>IFERROR(__xludf.DUMMYFUNCTION("""COMPUTED_VALUE"""),46337.0)</f>
        <v>46337</v>
      </c>
      <c r="B122" s="5" t="str">
        <f>IFERROR(__xludf.DUMMYFUNCTION("""COMPUTED_VALUE"""),"TRSF E-BANKING DB TANGGAL :10/11")</f>
        <v>TRSF E-BANKING DB TANGGAL :10/11</v>
      </c>
      <c r="C122" s="5" t="str">
        <f>IFERROR(__xludf.DUMMYFUNCTION("""COMPUTED_VALUE"""),"1011/FTSCY/WS95031 lunas HERMAWAN")</f>
        <v>1011/FTSCY/WS95031 lunas HERMAWAN</v>
      </c>
      <c r="D122" s="5">
        <f>IFERROR(__xludf.DUMMYFUNCTION("""COMPUTED_VALUE"""),5359650.0)</f>
        <v>5359650</v>
      </c>
      <c r="E122" s="5"/>
      <c r="F122" s="5" t="str">
        <f>IFERROR(__xludf.DUMMYFUNCTION("""COMPUTED_VALUE"""),"DB")</f>
        <v>DB</v>
      </c>
      <c r="G122" s="5">
        <f>IFERROR(__xludf.DUMMYFUNCTION("""COMPUTED_VALUE"""),3.1213876819000006E8)</f>
        <v>312138768.2</v>
      </c>
      <c r="H122" s="5">
        <f>IFERROR(__xludf.DUMMYFUNCTION("""COMPUTED_VALUE"""),3.1213876819E8)</f>
        <v>312138768.2</v>
      </c>
      <c r="I122" s="5"/>
    </row>
    <row r="123">
      <c r="A123" s="7">
        <f>IFERROR(__xludf.DUMMYFUNCTION("""COMPUTED_VALUE"""),46337.0)</f>
        <v>46337</v>
      </c>
      <c r="B123" s="5" t="str">
        <f>IFERROR(__xludf.DUMMYFUNCTION("""COMPUTED_VALUE"""),"TRSF E-BANKING DB TANGGAL :10/11")</f>
        <v>TRSF E-BANKING DB TANGGAL :10/11</v>
      </c>
      <c r="C123" s="5" t="str">
        <f>IFERROR(__xludf.DUMMYFUNCTION("""COMPUTED_VALUE"""),"1011/FTSCY/WS95031 krg 90 jt EKO SETIYAWAN")</f>
        <v>1011/FTSCY/WS95031 krg 90 jt EKO SETIYAWAN</v>
      </c>
      <c r="D123" s="5">
        <f>IFERROR(__xludf.DUMMYFUNCTION("""COMPUTED_VALUE"""),8835040.0)</f>
        <v>8835040</v>
      </c>
      <c r="E123" s="5"/>
      <c r="F123" s="5" t="str">
        <f>IFERROR(__xludf.DUMMYFUNCTION("""COMPUTED_VALUE"""),"DB")</f>
        <v>DB</v>
      </c>
      <c r="G123" s="5">
        <f>IFERROR(__xludf.DUMMYFUNCTION("""COMPUTED_VALUE"""),2.9844127819000006E8)</f>
        <v>298441278.2</v>
      </c>
      <c r="H123" s="5"/>
      <c r="I123" s="5"/>
    </row>
    <row r="124">
      <c r="A124" s="7">
        <f>IFERROR(__xludf.DUMMYFUNCTION("""COMPUTED_VALUE"""),46337.0)</f>
        <v>46337</v>
      </c>
      <c r="B124" s="5" t="str">
        <f>IFERROR(__xludf.DUMMYFUNCTION("""COMPUTED_VALUE"""),"TRSF E-BANKING DB TANGGAL :10/11")</f>
        <v>TRSF E-BANKING DB TANGGAL :10/11</v>
      </c>
      <c r="C124" s="5" t="str">
        <f>IFERROR(__xludf.DUMMYFUNCTION("""COMPUTED_VALUE"""),"1011/FTSCY/WS95011 Mon Nov 09 2026 15:00:00 GMT+0700 (Western Indonesia Time) BINTANG TAMA SANTO")</f>
        <v>1011/FTSCY/WS95011 Mon Nov 09 2026 15:00:00 GMT+0700 (Western Indonesia Time) BINTANG TAMA SANTO</v>
      </c>
      <c r="D124" s="5">
        <f>IFERROR(__xludf.DUMMYFUNCTION("""COMPUTED_VALUE"""),1.212485E8)</f>
        <v>121248500</v>
      </c>
      <c r="E124" s="5"/>
      <c r="F124" s="5" t="str">
        <f>IFERROR(__xludf.DUMMYFUNCTION("""COMPUTED_VALUE"""),"DB")</f>
        <v>DB</v>
      </c>
      <c r="G124" s="5">
        <f>IFERROR(__xludf.DUMMYFUNCTION("""COMPUTED_VALUE"""),1.7719277819000006E8)</f>
        <v>177192778.2</v>
      </c>
      <c r="H124" s="5"/>
      <c r="I124" s="5"/>
    </row>
    <row r="125">
      <c r="A125" s="7">
        <f>IFERROR(__xludf.DUMMYFUNCTION("""COMPUTED_VALUE"""),46337.0)</f>
        <v>46337</v>
      </c>
      <c r="B125" s="5" t="str">
        <f>IFERROR(__xludf.DUMMYFUNCTION("""COMPUTED_VALUE"""),"TRSF E-BANKING DB TANGGAL :10/11")</f>
        <v>TRSF E-BANKING DB TANGGAL :10/11</v>
      </c>
      <c r="C125" s="5" t="str">
        <f>IFERROR(__xludf.DUMMYFUNCTION("""COMPUTED_VALUE"""),"1011/FTSCY/WS95271 Mon Nov 09 2026 15:00:00 GMT+0700 (Western Indonesia Time) BINTANG TAMA SANTO")</f>
        <v>1011/FTSCY/WS95271 Mon Nov 09 2026 15:00:00 GMT+0700 (Western Indonesia Time) BINTANG TAMA SANTO</v>
      </c>
      <c r="D125" s="5">
        <f>IFERROR(__xludf.DUMMYFUNCTION("""COMPUTED_VALUE"""),5.63559E7)</f>
        <v>56355900</v>
      </c>
      <c r="E125" s="5"/>
      <c r="F125" s="5" t="str">
        <f>IFERROR(__xludf.DUMMYFUNCTION("""COMPUTED_VALUE"""),"DB")</f>
        <v>DB</v>
      </c>
      <c r="G125" s="5">
        <f>IFERROR(__xludf.DUMMYFUNCTION("""COMPUTED_VALUE"""),1.2083687819000006E8)</f>
        <v>120836878.2</v>
      </c>
      <c r="H125" s="5"/>
      <c r="I125" s="5"/>
    </row>
    <row r="126">
      <c r="A126" s="7">
        <f>IFERROR(__xludf.DUMMYFUNCTION("""COMPUTED_VALUE"""),46337.0)</f>
        <v>46337</v>
      </c>
      <c r="B126" s="5" t="str">
        <f>IFERROR(__xludf.DUMMYFUNCTION("""COMPUTED_VALUE"""),"TRSF E-BANKING DB TANGGAL :10/11")</f>
        <v>TRSF E-BANKING DB TANGGAL :10/11</v>
      </c>
      <c r="C126" s="5" t="str">
        <f>IFERROR(__xludf.DUMMYFUNCTION("""COMPUTED_VALUE"""),"1011/FTSCY/WS95271 Mon Nov 09 2026 15:00:00 GMT+0700 (Western Indonesia Time) TUMBUH OPTIMAL PRI")</f>
        <v>1011/FTSCY/WS95271 Mon Nov 09 2026 15:00:00 GMT+0700 (Western Indonesia Time) TUMBUH OPTIMAL PRI</v>
      </c>
      <c r="D126" s="5">
        <f>IFERROR(__xludf.DUMMYFUNCTION("""COMPUTED_VALUE"""),5.69E7)</f>
        <v>56900000</v>
      </c>
      <c r="E126" s="5"/>
      <c r="F126" s="5" t="str">
        <f>IFERROR(__xludf.DUMMYFUNCTION("""COMPUTED_VALUE"""),"DB")</f>
        <v>DB</v>
      </c>
      <c r="G126" s="5">
        <f>IFERROR(__xludf.DUMMYFUNCTION("""COMPUTED_VALUE"""),6.393687819000006E7)</f>
        <v>63936878.19</v>
      </c>
      <c r="H126" s="5"/>
      <c r="I126" s="5"/>
    </row>
    <row r="127">
      <c r="A127" s="7">
        <f>IFERROR(__xludf.DUMMYFUNCTION("""COMPUTED_VALUE"""),46337.0)</f>
        <v>46337</v>
      </c>
      <c r="B127" s="5" t="str">
        <f>IFERROR(__xludf.DUMMYFUNCTION("""COMPUTED_VALUE"""),"TRSF E-BANKING DB")</f>
        <v>TRSF E-BANKING DB</v>
      </c>
      <c r="C127" s="5" t="str">
        <f>IFERROR(__xludf.DUMMYFUNCTION("""COMPUTED_VALUE"""),"1111/FTSCY/WS95271 55029240.00 Mon Nov 09 2026 15:00:00 GMT+0700 (Western Indonesia Time) ANDALAN YASA MITRA")</f>
        <v>1111/FTSCY/WS95271 55029240.00 Mon Nov 09 2026 15:00:00 GMT+0700 (Western Indonesia Time) ANDALAN YASA MITRA</v>
      </c>
      <c r="D127" s="5">
        <f>IFERROR(__xludf.DUMMYFUNCTION("""COMPUTED_VALUE"""),5.502924E7)</f>
        <v>55029240</v>
      </c>
      <c r="E127" s="5"/>
      <c r="F127" s="5" t="str">
        <f>IFERROR(__xludf.DUMMYFUNCTION("""COMPUTED_VALUE"""),"DB")</f>
        <v>DB</v>
      </c>
      <c r="G127" s="5">
        <f>IFERROR(__xludf.DUMMYFUNCTION("""COMPUTED_VALUE"""),1.3585863819000006E8)</f>
        <v>135858638.2</v>
      </c>
      <c r="H127" s="5"/>
      <c r="I127" s="5"/>
    </row>
    <row r="128">
      <c r="A128" s="7">
        <f>IFERROR(__xludf.DUMMYFUNCTION("""COMPUTED_VALUE"""),46337.0)</f>
        <v>46337</v>
      </c>
      <c r="B128" s="5" t="str">
        <f>IFERROR(__xludf.DUMMYFUNCTION("""COMPUTED_VALUE"""),"TRANSAKSI DEBIT")</f>
        <v>TRANSAKSI DEBIT</v>
      </c>
      <c r="C128" s="5" t="str">
        <f>IFERROR(__xludf.DUMMYFUNCTION("""COMPUTED_VALUE"""),"TGL: 11/11 QR 914 00000.00Amanda Bro")</f>
        <v>TGL: 11/11 QR 914 00000.00Amanda Bro</v>
      </c>
      <c r="D128" s="5">
        <f>IFERROR(__xludf.DUMMYFUNCTION("""COMPUTED_VALUE"""),89000.0)</f>
        <v>89000</v>
      </c>
      <c r="E128" s="5"/>
      <c r="F128" s="5"/>
      <c r="G128" s="5">
        <f>IFERROR(__xludf.DUMMYFUNCTION("""COMPUTED_VALUE"""),7.918722819000006E7)</f>
        <v>79187228.19</v>
      </c>
      <c r="H128" s="5"/>
      <c r="I128" s="5"/>
    </row>
    <row r="129">
      <c r="A129" s="7">
        <f>IFERROR(__xludf.DUMMYFUNCTION("""COMPUTED_VALUE"""),46337.0)</f>
        <v>46337</v>
      </c>
      <c r="B129" s="5" t="str">
        <f>IFERROR(__xludf.DUMMYFUNCTION("""COMPUTED_VALUE"""),"KARTU DEBIT")</f>
        <v>KARTU DEBIT</v>
      </c>
      <c r="C129" s="5" t="str">
        <f>IFERROR(__xludf.DUMMYFUNCTION("""COMPUTED_VALUE"""),"ALFAMRT Y037 DASA 6019009510239343")</f>
        <v>ALFAMRT Y037 DASA 6019009510239343</v>
      </c>
      <c r="D129" s="5">
        <f>IFERROR(__xludf.DUMMYFUNCTION("""COMPUTED_VALUE"""),564100.0)</f>
        <v>564100</v>
      </c>
      <c r="E129" s="5"/>
      <c r="F129" s="5"/>
      <c r="G129" s="5">
        <f>IFERROR(__xludf.DUMMYFUNCTION("""COMPUTED_VALUE"""),7.862312819000006E7)</f>
        <v>78623128.19</v>
      </c>
      <c r="H129" s="5">
        <f>IFERROR(__xludf.DUMMYFUNCTION("""COMPUTED_VALUE"""),7.862312819E7)</f>
        <v>78623128.19</v>
      </c>
      <c r="I129" s="5"/>
    </row>
    <row r="130">
      <c r="A130" s="7">
        <f>IFERROR(__xludf.DUMMYFUNCTION("""COMPUTED_VALUE"""),46338.0)</f>
        <v>46338</v>
      </c>
      <c r="B130" s="5" t="str">
        <f>IFERROR(__xludf.DUMMYFUNCTION("""COMPUTED_VALUE"""),"TRSF E-BANKING DB")</f>
        <v>TRSF E-BANKING DB</v>
      </c>
      <c r="C130" s="5" t="str">
        <f>IFERROR(__xludf.DUMMYFUNCTION("""COMPUTED_VALUE"""),"1211/FTSCY/WS95271 64751850.00 Tue Nov 10 2026 15:00:00 GMT+0700 (Western Indonesia Time) TABASSAM AZ ZUFAR")</f>
        <v>1211/FTSCY/WS95271 64751850.00 Tue Nov 10 2026 15:00:00 GMT+0700 (Western Indonesia Time) TABASSAM AZ ZUFAR</v>
      </c>
      <c r="D130" s="5">
        <f>IFERROR(__xludf.DUMMYFUNCTION("""COMPUTED_VALUE"""),6.475185E7)</f>
        <v>64751850</v>
      </c>
      <c r="E130" s="5"/>
      <c r="F130" s="5" t="str">
        <f>IFERROR(__xludf.DUMMYFUNCTION("""COMPUTED_VALUE"""),"DB")</f>
        <v>DB</v>
      </c>
      <c r="G130" s="5">
        <f>IFERROR(__xludf.DUMMYFUNCTION("""COMPUTED_VALUE"""),3.7245626819000006E8)</f>
        <v>372456268.2</v>
      </c>
      <c r="H130" s="5"/>
      <c r="I130" s="5"/>
    </row>
    <row r="131">
      <c r="A131" s="7">
        <f>IFERROR(__xludf.DUMMYFUNCTION("""COMPUTED_VALUE"""),46338.0)</f>
        <v>46338</v>
      </c>
      <c r="B131" s="5" t="str">
        <f>IFERROR(__xludf.DUMMYFUNCTION("""COMPUTED_VALUE"""),"TRSF E-BANKING DB")</f>
        <v>TRSF E-BANKING DB</v>
      </c>
      <c r="C131" s="5" t="str">
        <f>IFERROR(__xludf.DUMMYFUNCTION("""COMPUTED_VALUE"""),"1211/FTSCY/WS95271 111463200.00 08,09 / 11 PITIK DIGITAL INDO")</f>
        <v>1211/FTSCY/WS95271 111463200.00 08,09 / 11 PITIK DIGITAL INDO</v>
      </c>
      <c r="D131" s="5">
        <f>IFERROR(__xludf.DUMMYFUNCTION("""COMPUTED_VALUE"""),1.114632E8)</f>
        <v>111463200</v>
      </c>
      <c r="E131" s="5"/>
      <c r="F131" s="5" t="str">
        <f>IFERROR(__xludf.DUMMYFUNCTION("""COMPUTED_VALUE"""),"DB")</f>
        <v>DB</v>
      </c>
      <c r="G131" s="5">
        <f>IFERROR(__xludf.DUMMYFUNCTION("""COMPUTED_VALUE"""),2.6099306819000006E8)</f>
        <v>260993068.2</v>
      </c>
      <c r="H131" s="5"/>
      <c r="I131" s="5"/>
    </row>
    <row r="132">
      <c r="A132" s="7">
        <f>IFERROR(__xludf.DUMMYFUNCTION("""COMPUTED_VALUE"""),46338.0)</f>
        <v>46338</v>
      </c>
      <c r="B132" s="5" t="str">
        <f>IFERROR(__xludf.DUMMYFUNCTION("""COMPUTED_VALUE"""),"TRSF E-BANKING DB")</f>
        <v>TRSF E-BANKING DB</v>
      </c>
      <c r="C132" s="5" t="str">
        <f>IFERROR(__xludf.DUMMYFUNCTION("""COMPUTED_VALUE"""),"1211/FTSCY/WS95271 97753150.00 Wed Dec 09 2026 15:00:00 GMT+0700 (Western Indonesia Time) SUPER UNGGAS JAYA")</f>
        <v>1211/FTSCY/WS95271 97753150.00 Wed Dec 09 2026 15:00:00 GMT+0700 (Western Indonesia Time) SUPER UNGGAS JAYA</v>
      </c>
      <c r="D132" s="5">
        <f>IFERROR(__xludf.DUMMYFUNCTION("""COMPUTED_VALUE"""),9.775315E7)</f>
        <v>97753150</v>
      </c>
      <c r="E132" s="5"/>
      <c r="F132" s="5" t="str">
        <f>IFERROR(__xludf.DUMMYFUNCTION("""COMPUTED_VALUE"""),"DB")</f>
        <v>DB</v>
      </c>
      <c r="G132" s="5">
        <f>IFERROR(__xludf.DUMMYFUNCTION("""COMPUTED_VALUE"""),1.6323991819000006E8)</f>
        <v>163239918.2</v>
      </c>
      <c r="H132" s="5"/>
      <c r="I132" s="5"/>
    </row>
    <row r="133">
      <c r="A133" s="7">
        <f>IFERROR(__xludf.DUMMYFUNCTION("""COMPUTED_VALUE"""),46338.0)</f>
        <v>46338</v>
      </c>
      <c r="B133" s="5" t="str">
        <f>IFERROR(__xludf.DUMMYFUNCTION("""COMPUTED_VALUE"""),"TRSF E-BANKING DB")</f>
        <v>TRSF E-BANKING DB</v>
      </c>
      <c r="C133" s="5" t="str">
        <f>IFERROR(__xludf.DUMMYFUNCTION("""COMPUTED_VALUE"""),"1211/FTSCY/WS95031 1000000.00 DWI HERMANSYAH")</f>
        <v>1211/FTSCY/WS95031 1000000.00 DWI HERMANSYAH</v>
      </c>
      <c r="D133" s="5">
        <f>IFERROR(__xludf.DUMMYFUNCTION("""COMPUTED_VALUE"""),1000000.0)</f>
        <v>1000000</v>
      </c>
      <c r="E133" s="5"/>
      <c r="F133" s="5" t="str">
        <f>IFERROR(__xludf.DUMMYFUNCTION("""COMPUTED_VALUE"""),"DB")</f>
        <v>DB</v>
      </c>
      <c r="G133" s="5">
        <f>IFERROR(__xludf.DUMMYFUNCTION("""COMPUTED_VALUE"""),7.223991819000006E7)</f>
        <v>72239918.19</v>
      </c>
      <c r="H133" s="5"/>
      <c r="I133" s="5"/>
    </row>
    <row r="134">
      <c r="A134" s="7">
        <f>IFERROR(__xludf.DUMMYFUNCTION("""COMPUTED_VALUE"""),46338.0)</f>
        <v>46338</v>
      </c>
      <c r="B134" s="5" t="str">
        <f>IFERROR(__xludf.DUMMYFUNCTION("""COMPUTED_VALUE"""),"TRSF E-BANKING DB")</f>
        <v>TRSF E-BANKING DB</v>
      </c>
      <c r="C134" s="5" t="str">
        <f>IFERROR(__xludf.DUMMYFUNCTION("""COMPUTED_VALUE"""),"1211/FTSCY/WS95031 2600000.00 BELA PRAMUDITA")</f>
        <v>1211/FTSCY/WS95031 2600000.00 BELA PRAMUDITA</v>
      </c>
      <c r="D134" s="5">
        <f>IFERROR(__xludf.DUMMYFUNCTION("""COMPUTED_VALUE"""),2600000.0)</f>
        <v>2600000</v>
      </c>
      <c r="E134" s="5"/>
      <c r="F134" s="5" t="str">
        <f>IFERROR(__xludf.DUMMYFUNCTION("""COMPUTED_VALUE"""),"DB")</f>
        <v>DB</v>
      </c>
      <c r="G134" s="5">
        <f>IFERROR(__xludf.DUMMYFUNCTION("""COMPUTED_VALUE"""),6.963991819000006E7)</f>
        <v>69639918.19</v>
      </c>
      <c r="H134" s="5"/>
      <c r="I134" s="5"/>
    </row>
    <row r="135">
      <c r="A135" s="7">
        <f>IFERROR(__xludf.DUMMYFUNCTION("""COMPUTED_VALUE"""),46338.0)</f>
        <v>46338</v>
      </c>
      <c r="B135" s="5" t="str">
        <f>IFERROR(__xludf.DUMMYFUNCTION("""COMPUTED_VALUE"""),"TRSF E-BANKING DB")</f>
        <v>TRSF E-BANKING DB</v>
      </c>
      <c r="C135" s="5" t="str">
        <f>IFERROR(__xludf.DUMMYFUNCTION("""COMPUTED_VALUE"""),"1211/FTSCY/WS95031 1400000.00 SUNARTO")</f>
        <v>1211/FTSCY/WS95031 1400000.00 SUNARTO</v>
      </c>
      <c r="D135" s="5">
        <f>IFERROR(__xludf.DUMMYFUNCTION("""COMPUTED_VALUE"""),1400000.0)</f>
        <v>1400000</v>
      </c>
      <c r="E135" s="5"/>
      <c r="F135" s="5" t="str">
        <f>IFERROR(__xludf.DUMMYFUNCTION("""COMPUTED_VALUE"""),"DB")</f>
        <v>DB</v>
      </c>
      <c r="G135" s="5">
        <f>IFERROR(__xludf.DUMMYFUNCTION("""COMPUTED_VALUE"""),6.823991819000006E7)</f>
        <v>68239918.19</v>
      </c>
      <c r="H135" s="5">
        <f>IFERROR(__xludf.DUMMYFUNCTION("""COMPUTED_VALUE"""),6.823991819E7)</f>
        <v>68239918.19</v>
      </c>
      <c r="I135" s="5"/>
    </row>
    <row r="136">
      <c r="A136" s="7">
        <f>IFERROR(__xludf.DUMMYFUNCTION("""COMPUTED_VALUE"""),46338.0)</f>
        <v>46338</v>
      </c>
      <c r="B136" s="5" t="str">
        <f>IFERROR(__xludf.DUMMYFUNCTION("""COMPUTED_VALUE"""),"TRSF E-BANKING DB")</f>
        <v>TRSF E-BANKING DB</v>
      </c>
      <c r="C136" s="5" t="str">
        <f>IFERROR(__xludf.DUMMYFUNCTION("""COMPUTED_VALUE"""),"1211/FTSCY/WS95271 6000000.00 EKO SETIYAWAN")</f>
        <v>1211/FTSCY/WS95271 6000000.00 EKO SETIYAWAN</v>
      </c>
      <c r="D136" s="5">
        <f>IFERROR(__xludf.DUMMYFUNCTION("""COMPUTED_VALUE"""),6000000.0)</f>
        <v>6000000</v>
      </c>
      <c r="E136" s="5"/>
      <c r="F136" s="5" t="str">
        <f>IFERROR(__xludf.DUMMYFUNCTION("""COMPUTED_VALUE"""),"DB")</f>
        <v>DB</v>
      </c>
      <c r="G136" s="5">
        <f>IFERROR(__xludf.DUMMYFUNCTION("""COMPUTED_VALUE"""),6.223991819000006E7)</f>
        <v>62239918.19</v>
      </c>
      <c r="H136" s="5">
        <f>IFERROR(__xludf.DUMMYFUNCTION("""COMPUTED_VALUE"""),6.223991819E7)</f>
        <v>62239918.19</v>
      </c>
      <c r="I136" s="5"/>
    </row>
    <row r="137">
      <c r="A137" s="7">
        <f>IFERROR(__xludf.DUMMYFUNCTION("""COMPUTED_VALUE"""),46338.0)</f>
        <v>46338</v>
      </c>
      <c r="B137" s="5" t="str">
        <f>IFERROR(__xludf.DUMMYFUNCTION("""COMPUTED_VALUE"""),"TRSF E-BANKING DB")</f>
        <v>TRSF E-BANKING DB</v>
      </c>
      <c r="C137" s="5" t="str">
        <f>IFERROR(__xludf.DUMMYFUNCTION("""COMPUTED_VALUE"""),"1211/FTSCY/WS95031 5000000.00 EKO SETIYAWAN")</f>
        <v>1211/FTSCY/WS95031 5000000.00 EKO SETIYAWAN</v>
      </c>
      <c r="D137" s="5">
        <f>IFERROR(__xludf.DUMMYFUNCTION("""COMPUTED_VALUE"""),5000000.0)</f>
        <v>5000000</v>
      </c>
      <c r="E137" s="5"/>
      <c r="F137" s="5" t="str">
        <f>IFERROR(__xludf.DUMMYFUNCTION("""COMPUTED_VALUE"""),"DB")</f>
        <v>DB</v>
      </c>
      <c r="G137" s="5">
        <f>IFERROR(__xludf.DUMMYFUNCTION("""COMPUTED_VALUE"""),5.723991819000006E7)</f>
        <v>57239918.19</v>
      </c>
      <c r="H137" s="5">
        <f>IFERROR(__xludf.DUMMYFUNCTION("""COMPUTED_VALUE"""),5.723991819E7)</f>
        <v>57239918.19</v>
      </c>
      <c r="I137" s="5"/>
    </row>
    <row r="138">
      <c r="A138" s="7">
        <f>IFERROR(__xludf.DUMMYFUNCTION("""COMPUTED_VALUE"""),46339.0)</f>
        <v>46339</v>
      </c>
      <c r="B138" s="5" t="str">
        <f>IFERROR(__xludf.DUMMYFUNCTION("""COMPUTED_VALUE"""),"TRSF E-BANKING DB")</f>
        <v>TRSF E-BANKING DB</v>
      </c>
      <c r="C138" s="5" t="str">
        <f>IFERROR(__xludf.DUMMYFUNCTION("""COMPUTED_VALUE"""),"1311/FTSCY/WS95271 64172500.00 Mon Nov 09 2026 15:00:00 GMT+0700 (Western Indonesia Time) TABASSAM AL HATTAK")</f>
        <v>1311/FTSCY/WS95271 64172500.00 Mon Nov 09 2026 15:00:00 GMT+0700 (Western Indonesia Time) TABASSAM AL HATTAK</v>
      </c>
      <c r="D138" s="5">
        <f>IFERROR(__xludf.DUMMYFUNCTION("""COMPUTED_VALUE"""),6.41725E7)</f>
        <v>64172500</v>
      </c>
      <c r="E138" s="5"/>
      <c r="F138" s="5" t="str">
        <f>IFERROR(__xludf.DUMMYFUNCTION("""COMPUTED_VALUE"""),"DB")</f>
        <v>DB</v>
      </c>
      <c r="G138" s="5">
        <f>IFERROR(__xludf.DUMMYFUNCTION("""COMPUTED_VALUE"""),2.7159721819000006E8)</f>
        <v>271597218.2</v>
      </c>
      <c r="H138" s="5"/>
      <c r="I138" s="5"/>
    </row>
    <row r="139">
      <c r="A139" s="7">
        <f>IFERROR(__xludf.DUMMYFUNCTION("""COMPUTED_VALUE"""),46339.0)</f>
        <v>46339</v>
      </c>
      <c r="B139" s="5" t="str">
        <f>IFERROR(__xludf.DUMMYFUNCTION("""COMPUTED_VALUE"""),"TRSF E-BANKING DB")</f>
        <v>TRSF E-BANKING DB</v>
      </c>
      <c r="C139" s="5" t="str">
        <f>IFERROR(__xludf.DUMMYFUNCTION("""COMPUTED_VALUE"""),"1311/FTSCY/WS95271 69816960.00 Tue Nov 10 2026 15:00:00 GMT+0700 (Western Indonesia Time) BRANTAS ABADI SENT")</f>
        <v>1311/FTSCY/WS95271 69816960.00 Tue Nov 10 2026 15:00:00 GMT+0700 (Western Indonesia Time) BRANTAS ABADI SENT</v>
      </c>
      <c r="D139" s="5">
        <f>IFERROR(__xludf.DUMMYFUNCTION("""COMPUTED_VALUE"""),6.981696E7)</f>
        <v>69816960</v>
      </c>
      <c r="E139" s="5"/>
      <c r="F139" s="5" t="str">
        <f>IFERROR(__xludf.DUMMYFUNCTION("""COMPUTED_VALUE"""),"DB")</f>
        <v>DB</v>
      </c>
      <c r="G139" s="5">
        <f>IFERROR(__xludf.DUMMYFUNCTION("""COMPUTED_VALUE"""),2.0178025819000006E8)</f>
        <v>201780258.2</v>
      </c>
      <c r="H139" s="5"/>
      <c r="I139" s="5"/>
    </row>
    <row r="140">
      <c r="A140" s="7">
        <f>IFERROR(__xludf.DUMMYFUNCTION("""COMPUTED_VALUE"""),46339.0)</f>
        <v>46339</v>
      </c>
      <c r="B140" s="5" t="str">
        <f>IFERROR(__xludf.DUMMYFUNCTION("""COMPUTED_VALUE"""),"TRSF E-BANKING DB")</f>
        <v>TRSF E-BANKING DB</v>
      </c>
      <c r="C140" s="5" t="str">
        <f>IFERROR(__xludf.DUMMYFUNCTION("""COMPUTED_VALUE"""),"1311/FTSCY/WS95271 63131250.00 Tue Nov 10 2026 15:00:00 GMT+0700 (Western Indonesia Time) BINTANG TAMA SANTO")</f>
        <v>1311/FTSCY/WS95271 63131250.00 Tue Nov 10 2026 15:00:00 GMT+0700 (Western Indonesia Time) BINTANG TAMA SANTO</v>
      </c>
      <c r="D140" s="5">
        <f>IFERROR(__xludf.DUMMYFUNCTION("""COMPUTED_VALUE"""),6.313125E7)</f>
        <v>63131250</v>
      </c>
      <c r="E140" s="5"/>
      <c r="F140" s="5" t="str">
        <f>IFERROR(__xludf.DUMMYFUNCTION("""COMPUTED_VALUE"""),"DB")</f>
        <v>DB</v>
      </c>
      <c r="G140" s="5">
        <f>IFERROR(__xludf.DUMMYFUNCTION("""COMPUTED_VALUE"""),1.3864900819000006E8)</f>
        <v>138649008.2</v>
      </c>
      <c r="H140" s="5"/>
      <c r="I140" s="5"/>
    </row>
    <row r="141">
      <c r="A141" s="7">
        <f>IFERROR(__xludf.DUMMYFUNCTION("""COMPUTED_VALUE"""),46339.0)</f>
        <v>46339</v>
      </c>
      <c r="B141" s="5" t="str">
        <f>IFERROR(__xludf.DUMMYFUNCTION("""COMPUTED_VALUE"""),"TRSF E-BANKING DB")</f>
        <v>TRSF E-BANKING DB</v>
      </c>
      <c r="C141" s="5" t="str">
        <f>IFERROR(__xludf.DUMMYFUNCTION("""COMPUTED_VALUE"""),"1311/FTSCY/WS95271 2538590.00 DWI HERMANSYAH")</f>
        <v>1311/FTSCY/WS95271 2538590.00 DWI HERMANSYAH</v>
      </c>
      <c r="D141" s="5">
        <f>IFERROR(__xludf.DUMMYFUNCTION("""COMPUTED_VALUE"""),2538590.0)</f>
        <v>2538590</v>
      </c>
      <c r="E141" s="5"/>
      <c r="F141" s="5" t="str">
        <f>IFERROR(__xludf.DUMMYFUNCTION("""COMPUTED_VALUE"""),"DB")</f>
        <v>DB</v>
      </c>
      <c r="G141" s="5">
        <f>IFERROR(__xludf.DUMMYFUNCTION("""COMPUTED_VALUE"""),1.3611041819000006E8)</f>
        <v>136110418.2</v>
      </c>
      <c r="H141" s="5"/>
      <c r="I141" s="5"/>
    </row>
    <row r="142">
      <c r="A142" s="7">
        <f>IFERROR(__xludf.DUMMYFUNCTION("""COMPUTED_VALUE"""),46339.0)</f>
        <v>46339</v>
      </c>
      <c r="B142" s="5" t="str">
        <f>IFERROR(__xludf.DUMMYFUNCTION("""COMPUTED_VALUE"""),"TRSF E-BANKING DB")</f>
        <v>TRSF E-BANKING DB</v>
      </c>
      <c r="C142" s="5" t="str">
        <f>IFERROR(__xludf.DUMMYFUNCTION("""COMPUTED_VALUE"""),"1311/FTSCY/WS95271 63741750.00 Fri Nov 13 2026 15:00:00 GMT+0700 (Western Indonesia Time) BRANTAS ABADI SENT")</f>
        <v>1311/FTSCY/WS95271 63741750.00 Fri Nov 13 2026 15:00:00 GMT+0700 (Western Indonesia Time) BRANTAS ABADI SENT</v>
      </c>
      <c r="D142" s="5">
        <f>IFERROR(__xludf.DUMMYFUNCTION("""COMPUTED_VALUE"""),6.374175E7)</f>
        <v>63741750</v>
      </c>
      <c r="E142" s="5"/>
      <c r="F142" s="5" t="str">
        <f>IFERROR(__xludf.DUMMYFUNCTION("""COMPUTED_VALUE"""),"DB")</f>
        <v>DB</v>
      </c>
      <c r="G142" s="5">
        <f>IFERROR(__xludf.DUMMYFUNCTION("""COMPUTED_VALUE"""),1.3783635819000006E8)</f>
        <v>137836358.2</v>
      </c>
      <c r="H142" s="5"/>
      <c r="I142" s="5"/>
    </row>
    <row r="143">
      <c r="A143" s="7">
        <f>IFERROR(__xludf.DUMMYFUNCTION("""COMPUTED_VALUE"""),46339.0)</f>
        <v>46339</v>
      </c>
      <c r="B143" s="5" t="str">
        <f>IFERROR(__xludf.DUMMYFUNCTION("""COMPUTED_VALUE"""),"TRSF E-BANKING DB")</f>
        <v>TRSF E-BANKING DB</v>
      </c>
      <c r="C143" s="5" t="str">
        <f>IFERROR(__xludf.DUMMYFUNCTION("""COMPUTED_VALUE"""),"1311/FTFVA/WS95031 55569/PT PRIMA FAJ besuki - 40190")</f>
        <v>1311/FTFVA/WS95031 55569/PT PRIMA FAJ besuki - 40190</v>
      </c>
      <c r="D143" s="5">
        <f>IFERROR(__xludf.DUMMYFUNCTION("""COMPUTED_VALUE"""),1.3135E8)</f>
        <v>131350000</v>
      </c>
      <c r="E143" s="5"/>
      <c r="F143" s="5" t="str">
        <f>IFERROR(__xludf.DUMMYFUNCTION("""COMPUTED_VALUE"""),"DB")</f>
        <v>DB</v>
      </c>
      <c r="G143" s="5">
        <f>IFERROR(__xludf.DUMMYFUNCTION("""COMPUTED_VALUE"""),6486358.190000057)</f>
        <v>6486358.19</v>
      </c>
      <c r="H143" s="5"/>
      <c r="I143" s="5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f>IFERROR(__xludf.DUMMYFUNCTION("IFERROR(QUERY(NOV_2023!A:I, ""SELECT * WHERE D IS NOT NULL AND UPPER(I) = 'PRIBADI'"", 1), ""Data PRIBADI belum ditemukan"") "),46328.0)</f>
        <v>46328</v>
      </c>
      <c r="B1" s="5" t="str">
        <f>IFERROR(__xludf.DUMMYFUNCTION("""COMPUTED_VALUE"""),"KARTU DEBIT")</f>
        <v>KARTU DEBIT</v>
      </c>
      <c r="C1" s="5" t="str">
        <f>IFERROR(__xludf.DUMMYFUNCTION("""COMPUTED_VALUE"""),"ALFAMRT Y073 SUDI 6019009510239343 6019009510239343")</f>
        <v>ALFAMRT Y073 SUDI 6019009510239343 6019009510239343</v>
      </c>
      <c r="D1" s="5">
        <f>IFERROR(__xludf.DUMMYFUNCTION("""COMPUTED_VALUE"""),281000.0)</f>
        <v>281000</v>
      </c>
      <c r="E1" s="5"/>
      <c r="F1" s="5"/>
      <c r="G1" s="5">
        <f>IFERROR(__xludf.DUMMYFUNCTION("""COMPUTED_VALUE"""),1.4129208219000006E8)</f>
        <v>141292082.2</v>
      </c>
      <c r="H1" s="5"/>
      <c r="I1" s="5" t="str">
        <f>IFERROR(__xludf.DUMMYFUNCTION("""COMPUTED_VALUE"""),"PRIBADI")</f>
        <v>PRIBADI</v>
      </c>
      <c r="J1" s="5">
        <f>SUM(D1:D1000) </f>
        <v>9797873020</v>
      </c>
    </row>
    <row r="2">
      <c r="A2" s="7">
        <f>IFERROR(__xludf.DUMMYFUNCTION("""COMPUTED_VALUE"""),46328.0)</f>
        <v>46328</v>
      </c>
      <c r="B2" s="5" t="str">
        <f>IFERROR(__xludf.DUMMYFUNCTION("""COMPUTED_VALUE"""),"TRSF E-BANKING DB")</f>
        <v>TRSF E-BANKING DB</v>
      </c>
      <c r="C2" s="5" t="str">
        <f>IFERROR(__xludf.DUMMYFUNCTION("""COMPUTED_VALUE"""),"0211/FTSCY/WS95031 61250000.00 Sun Nov 01 2026 14:00:00 GMT+0700 (Western Indonesia Time) LAWU ABADI NUSA PT 61250000.00 Sun Nov 01 2026 14:00:00 GMT+0700 (Western Indonesia Time) LAWU ABADI NUSA PT")</f>
        <v>0211/FTSCY/WS95031 61250000.00 Sun Nov 01 2026 14:00:00 GMT+0700 (Western Indonesia Time) LAWU ABADI NUSA PT 61250000.00 Sun Nov 01 2026 14:00:00 GMT+0700 (Western Indonesia Time) LAWU ABADI NUSA PT</v>
      </c>
      <c r="D2" s="5">
        <f>IFERROR(__xludf.DUMMYFUNCTION("""COMPUTED_VALUE"""),6.125E7)</f>
        <v>61250000</v>
      </c>
      <c r="E2" s="5"/>
      <c r="F2" s="5" t="str">
        <f>IFERROR(__xludf.DUMMYFUNCTION("""COMPUTED_VALUE"""),"DB")</f>
        <v>DB</v>
      </c>
      <c r="G2" s="5">
        <f>IFERROR(__xludf.DUMMYFUNCTION("""COMPUTED_VALUE"""),8.004208219000006E7)</f>
        <v>80042082.19</v>
      </c>
      <c r="H2" s="5"/>
      <c r="I2" s="5" t="str">
        <f>IFERROR(__xludf.DUMMYFUNCTION("""COMPUTED_VALUE"""),"PRIBADI")</f>
        <v>PRIBADI</v>
      </c>
    </row>
    <row r="3">
      <c r="A3" s="7">
        <f>IFERROR(__xludf.DUMMYFUNCTION("""COMPUTED_VALUE"""),46333.0)</f>
        <v>46333</v>
      </c>
      <c r="B3" s="5" t="str">
        <f>IFERROR(__xludf.DUMMYFUNCTION("""COMPUTED_VALUE"""),"TRSF E-BANKING DB")</f>
        <v>TRSF E-BANKING DB</v>
      </c>
      <c r="C3" s="5" t="str">
        <f>IFERROR(__xludf.DUMMYFUNCTION("""COMPUTED_VALUE"""),"0711/FTSCY/WS95011 121754300.00 Thu Nov 05 2026 15:00:00 GMT+0700 (Western Indonesia Time) PITIK DIGITAL INDO")</f>
        <v>0711/FTSCY/WS95011 121754300.00 Thu Nov 05 2026 15:00:00 GMT+0700 (Western Indonesia Time) PITIK DIGITAL INDO</v>
      </c>
      <c r="D3" s="5">
        <f>IFERROR(__xludf.DUMMYFUNCTION("""COMPUTED_VALUE"""),1.217543E8)</f>
        <v>121754300</v>
      </c>
      <c r="E3" s="5"/>
      <c r="F3" s="5" t="str">
        <f>IFERROR(__xludf.DUMMYFUNCTION("""COMPUTED_VALUE"""),"DB")</f>
        <v>DB</v>
      </c>
      <c r="G3" s="5">
        <f>IFERROR(__xludf.DUMMYFUNCTION("""COMPUTED_VALUE"""),1.8403523319000006E8)</f>
        <v>184035233.2</v>
      </c>
      <c r="H3" s="5"/>
      <c r="I3" s="5" t="str">
        <f>IFERROR(__xludf.DUMMYFUNCTION("""COMPUTED_VALUE"""),"PRIBADI")</f>
        <v>PRIBADI</v>
      </c>
    </row>
    <row r="4">
      <c r="A4" s="7">
        <f>IFERROR(__xludf.DUMMYFUNCTION("""COMPUTED_VALUE"""),46333.0)</f>
        <v>46333</v>
      </c>
      <c r="B4" s="5" t="str">
        <f>IFERROR(__xludf.DUMMYFUNCTION("""COMPUTED_VALUE"""),"TRSF E-BANKING DB")</f>
        <v>TRSF E-BANKING DB</v>
      </c>
      <c r="C4" s="5" t="str">
        <f>IFERROR(__xludf.DUMMYFUNCTION("""COMPUTED_VALUE"""),"0711/FTSCY/WS95011 108777600.00 Thu Nov 05 2026 15:00:00 GMT+0700 (Western Indonesia Time) ANDALAN YASA MITRA")</f>
        <v>0711/FTSCY/WS95011 108777600.00 Thu Nov 05 2026 15:00:00 GMT+0700 (Western Indonesia Time) ANDALAN YASA MITRA</v>
      </c>
      <c r="D4" s="5">
        <f>IFERROR(__xludf.DUMMYFUNCTION("""COMPUTED_VALUE"""),1.087776E8)</f>
        <v>108777600</v>
      </c>
      <c r="E4" s="5"/>
      <c r="F4" s="5" t="str">
        <f>IFERROR(__xludf.DUMMYFUNCTION("""COMPUTED_VALUE"""),"DB")</f>
        <v>DB</v>
      </c>
      <c r="G4" s="5">
        <f>IFERROR(__xludf.DUMMYFUNCTION("""COMPUTED_VALUE"""),7.525763319000006E7)</f>
        <v>75257633.19</v>
      </c>
      <c r="H4" s="5"/>
      <c r="I4" s="5" t="str">
        <f>IFERROR(__xludf.DUMMYFUNCTION("""COMPUTED_VALUE"""),"PRIBADI")</f>
        <v>PRIBADI</v>
      </c>
    </row>
    <row r="5">
      <c r="A5" s="7">
        <f>IFERROR(__xludf.DUMMYFUNCTION("""COMPUTED_VALUE"""),46336.0)</f>
        <v>46336</v>
      </c>
      <c r="B5" s="5" t="str">
        <f>IFERROR(__xludf.DUMMYFUNCTION("""COMPUTED_VALUE"""),"TRSF E-BANKING DB TANGGAL :09/11")</f>
        <v>TRSF E-BANKING DB TANGGAL :09/11</v>
      </c>
      <c r="C5" s="5" t="str">
        <f>IFERROR(__xludf.DUMMYFUNCTION("""COMPUTED_VALUE"""),"0911/FTSCY/WS95271 Sun Nov 08 2026 15:00:00 GMT+0700 (Western Indonesia Time) BRANTAS ABADI SENT")</f>
        <v>0911/FTSCY/WS95271 Sun Nov 08 2026 15:00:00 GMT+0700 (Western Indonesia Time) BRANTAS ABADI SENT</v>
      </c>
      <c r="D5" s="5">
        <f>IFERROR(__xludf.DUMMYFUNCTION("""COMPUTED_VALUE"""),5.22E7)</f>
        <v>52200000</v>
      </c>
      <c r="E5" s="5"/>
      <c r="F5" s="5" t="str">
        <f>IFERROR(__xludf.DUMMYFUNCTION("""COMPUTED_VALUE"""),"DB")</f>
        <v>DB</v>
      </c>
      <c r="G5" s="5">
        <f>IFERROR(__xludf.DUMMYFUNCTION("""COMPUTED_VALUE"""),5.962538319000006E7)</f>
        <v>59625383.19</v>
      </c>
      <c r="H5" s="5">
        <f>IFERROR(__xludf.DUMMYFUNCTION("""COMPUTED_VALUE"""),5.962538319E7)</f>
        <v>59625383.19</v>
      </c>
      <c r="I5" s="5" t="str">
        <f>IFERROR(__xludf.DUMMYFUNCTION("""COMPUTED_VALUE"""),"PRIBADI")</f>
        <v>PRIBADI</v>
      </c>
    </row>
    <row r="6">
      <c r="A6" s="7">
        <f>IFERROR(__xludf.DUMMYFUNCTION("""COMPUTED_VALUE"""),46336.0)</f>
        <v>46336</v>
      </c>
      <c r="B6" s="5" t="str">
        <f>IFERROR(__xludf.DUMMYFUNCTION("""COMPUTED_VALUE"""),"TRSF E-BANKING DB TANGGAL :09/11")</f>
        <v>TRSF E-BANKING DB TANGGAL :09/11</v>
      </c>
      <c r="C6" s="5" t="str">
        <f>IFERROR(__xludf.DUMMYFUNCTION("""COMPUTED_VALUE"""),"0911/FTSCY/WS95031 pelunasan BRANTAS ABADI SENT")</f>
        <v>0911/FTSCY/WS95031 pelunasan BRANTAS ABADI SENT</v>
      </c>
      <c r="D6" s="5">
        <f>IFERROR(__xludf.DUMMYFUNCTION("""COMPUTED_VALUE"""),2.0E7)</f>
        <v>20000000</v>
      </c>
      <c r="E6" s="5"/>
      <c r="F6" s="5" t="str">
        <f>IFERROR(__xludf.DUMMYFUNCTION("""COMPUTED_VALUE"""),"DB")</f>
        <v>DB</v>
      </c>
      <c r="G6" s="5">
        <f>IFERROR(__xludf.DUMMYFUNCTION("""COMPUTED_VALUE"""),3.962538319000006E7)</f>
        <v>39625383.19</v>
      </c>
      <c r="H6" s="5"/>
      <c r="I6" s="5" t="str">
        <f>IFERROR(__xludf.DUMMYFUNCTION("""COMPUTED_VALUE"""),"PRIBADI")</f>
        <v>PRIBADI</v>
      </c>
    </row>
    <row r="7">
      <c r="A7" s="7">
        <f>IFERROR(__xludf.DUMMYFUNCTION("""COMPUTED_VALUE"""),46336.0)</f>
        <v>46336</v>
      </c>
      <c r="B7" s="5" t="str">
        <f>IFERROR(__xludf.DUMMYFUNCTION("""COMPUTED_VALUE"""),"TRSF E-BANKING DB")</f>
        <v>TRSF E-BANKING DB</v>
      </c>
      <c r="C7" s="5" t="str">
        <f>IFERROR(__xludf.DUMMYFUNCTION("""COMPUTED_VALUE"""),"1011/FTSCY/WS95271 700000.00 ANDE DOSO ANGGORO")</f>
        <v>1011/FTSCY/WS95271 700000.00 ANDE DOSO ANGGORO</v>
      </c>
      <c r="D7" s="5">
        <f>IFERROR(__xludf.DUMMYFUNCTION("""COMPUTED_VALUE"""),700000.0)</f>
        <v>700000</v>
      </c>
      <c r="E7" s="5"/>
      <c r="F7" s="5" t="str">
        <f>IFERROR(__xludf.DUMMYFUNCTION("""COMPUTED_VALUE"""),"DB")</f>
        <v>DB</v>
      </c>
      <c r="G7" s="5">
        <f>IFERROR(__xludf.DUMMYFUNCTION("""COMPUTED_VALUE"""),8.184544319000006E7)</f>
        <v>81845443.19</v>
      </c>
      <c r="H7" s="5">
        <f>IFERROR(__xludf.DUMMYFUNCTION("""COMPUTED_VALUE"""),8.184544319E7)</f>
        <v>81845443.19</v>
      </c>
      <c r="I7" s="5" t="str">
        <f>IFERROR(__xludf.DUMMYFUNCTION("""COMPUTED_VALUE"""),"PRIBADI")</f>
        <v>PRIBADI</v>
      </c>
    </row>
    <row r="8">
      <c r="A8" s="7">
        <f>IFERROR(__xludf.DUMMYFUNCTION("""COMPUTED_VALUE"""),46336.0)</f>
        <v>46336</v>
      </c>
      <c r="B8" s="5" t="str">
        <f>IFERROR(__xludf.DUMMYFUNCTION("""COMPUTED_VALUE"""),"BI-FAST DB")</f>
        <v>BI-FAST DB</v>
      </c>
      <c r="C8" s="5" t="str">
        <f>IFERROR(__xludf.DUMMYFUNCTION("""COMPUTED_VALUE"""),"BIF TRANSFER KE 9 KIKI MARGARETA SAP MyBCA")</f>
        <v>BIF TRANSFER KE 9 KIKI MARGARETA SAP MyBCA</v>
      </c>
      <c r="D8" s="5">
        <f>IFERROR(__xludf.DUMMYFUNCTION("""COMPUTED_VALUE"""),187000.0)</f>
        <v>187000</v>
      </c>
      <c r="E8" s="5"/>
      <c r="F8" s="5" t="str">
        <f>IFERROR(__xludf.DUMMYFUNCTION("""COMPUTED_VALUE"""),"DB")</f>
        <v>DB</v>
      </c>
      <c r="G8" s="5">
        <f>IFERROR(__xludf.DUMMYFUNCTION("""COMPUTED_VALUE"""),8.165844319000006E7)</f>
        <v>81658443.19</v>
      </c>
      <c r="H8" s="5">
        <f>IFERROR(__xludf.DUMMYFUNCTION("""COMPUTED_VALUE"""),8.165844319E7)</f>
        <v>81658443.19</v>
      </c>
      <c r="I8" s="5" t="str">
        <f>IFERROR(__xludf.DUMMYFUNCTION("""COMPUTED_VALUE"""),"PRIBADI")</f>
        <v>PRIBADI</v>
      </c>
    </row>
    <row r="9">
      <c r="A9" s="7">
        <f>IFERROR(__xludf.DUMMYFUNCTION("""COMPUTED_VALUE"""),46336.0)</f>
        <v>46336</v>
      </c>
      <c r="B9" s="5" t="str">
        <f>IFERROR(__xludf.DUMMYFUNCTION("""COMPUTED_VALUE"""),"BI-FAST DB")</f>
        <v>BI-FAST DB</v>
      </c>
      <c r="C9" s="5" t="str">
        <f>IFERROR(__xludf.DUMMYFUNCTION("""COMPUTED_VALUE"""),"BIF BIAYA TXN KE 9 KIKI MARGARETA SAP MyBCA")</f>
        <v>BIF BIAYA TXN KE 9 KIKI MARGARETA SAP MyBCA</v>
      </c>
      <c r="D9" s="5">
        <f>IFERROR(__xludf.DUMMYFUNCTION("""COMPUTED_VALUE"""),2500.0)</f>
        <v>2500</v>
      </c>
      <c r="E9" s="5"/>
      <c r="F9" s="5" t="str">
        <f>IFERROR(__xludf.DUMMYFUNCTION("""COMPUTED_VALUE"""),"DB")</f>
        <v>DB</v>
      </c>
      <c r="G9" s="5">
        <f>IFERROR(__xludf.DUMMYFUNCTION("""COMPUTED_VALUE"""),8.165594319000006E7)</f>
        <v>81655943.19</v>
      </c>
      <c r="H9" s="5"/>
      <c r="I9" s="5" t="str">
        <f>IFERROR(__xludf.DUMMYFUNCTION("""COMPUTED_VALUE"""),"PRIBADI")</f>
        <v>PRIBADI</v>
      </c>
    </row>
    <row r="10">
      <c r="A10" s="7">
        <f>IFERROR(__xludf.DUMMYFUNCTION("""COMPUTED_VALUE"""),46336.0)</f>
        <v>46336</v>
      </c>
      <c r="B10" s="5" t="str">
        <f>IFERROR(__xludf.DUMMYFUNCTION("""COMPUTED_VALUE"""),"TRSF E-BANKING DB")</f>
        <v>TRSF E-BANKING DB</v>
      </c>
      <c r="C10" s="5" t="str">
        <f>IFERROR(__xludf.DUMMYFUNCTION("""COMPUTED_VALUE"""),"1011/FTSCY/WS95271 15000000.00 EKO SETIYAWAN")</f>
        <v>1011/FTSCY/WS95271 15000000.00 EKO SETIYAWAN</v>
      </c>
      <c r="D10" s="5">
        <f>IFERROR(__xludf.DUMMYFUNCTION("""COMPUTED_VALUE"""),1.5E7)</f>
        <v>15000000</v>
      </c>
      <c r="E10" s="5"/>
      <c r="F10" s="5" t="str">
        <f>IFERROR(__xludf.DUMMYFUNCTION("""COMPUTED_VALUE"""),"DB")</f>
        <v>DB</v>
      </c>
      <c r="G10" s="5">
        <f>IFERROR(__xludf.DUMMYFUNCTION("""COMPUTED_VALUE"""),2.7197981819000006E8)</f>
        <v>271979818.2</v>
      </c>
      <c r="H10" s="5"/>
      <c r="I10" s="5" t="str">
        <f>IFERROR(__xludf.DUMMYFUNCTION("""COMPUTED_VALUE"""),"PRIBADI")</f>
        <v>PRIBADI</v>
      </c>
    </row>
    <row r="11">
      <c r="A11" s="7">
        <f>IFERROR(__xludf.DUMMYFUNCTION("""COMPUTED_VALUE"""),46336.0)</f>
        <v>46336</v>
      </c>
      <c r="B11" s="5" t="str">
        <f>IFERROR(__xludf.DUMMYFUNCTION("""COMPUTED_VALUE"""),"TRSF E-BANKING DB")</f>
        <v>TRSF E-BANKING DB</v>
      </c>
      <c r="C11" s="5" t="str">
        <f>IFERROR(__xludf.DUMMYFUNCTION("""COMPUTED_VALUE"""),"1011/FTSCY/WS95271 2600000.00 BELA PRAMUDITA")</f>
        <v>1011/FTSCY/WS95271 2600000.00 BELA PRAMUDITA</v>
      </c>
      <c r="D11" s="5">
        <f>IFERROR(__xludf.DUMMYFUNCTION("""COMPUTED_VALUE"""),2600000.0)</f>
        <v>2600000</v>
      </c>
      <c r="E11" s="5"/>
      <c r="F11" s="5" t="str">
        <f>IFERROR(__xludf.DUMMYFUNCTION("""COMPUTED_VALUE"""),"DB")</f>
        <v>DB</v>
      </c>
      <c r="G11" s="5">
        <f>IFERROR(__xludf.DUMMYFUNCTION("""COMPUTED_VALUE"""),2.6937981819000006E8)</f>
        <v>269379818.2</v>
      </c>
      <c r="H11" s="5"/>
      <c r="I11" s="5" t="str">
        <f>IFERROR(__xludf.DUMMYFUNCTION("""COMPUTED_VALUE"""),"PRIBADI")</f>
        <v>PRIBADI</v>
      </c>
    </row>
    <row r="12">
      <c r="A12" s="7">
        <f>IFERROR(__xludf.DUMMYFUNCTION("""COMPUTED_VALUE"""),46337.0)</f>
        <v>46337</v>
      </c>
      <c r="B12" s="5" t="str">
        <f>IFERROR(__xludf.DUMMYFUNCTION("""COMPUTED_VALUE"""),"TRSF E-BANKING DB TANGGAL :10/11")</f>
        <v>TRSF E-BANKING DB TANGGAL :10/11</v>
      </c>
      <c r="C12" s="5" t="str">
        <f>IFERROR(__xludf.DUMMYFUNCTION("""COMPUTED_VALUE"""),"1011/FTSCY/WS95011 Pelunasan BROILER MAKMUR TAN")</f>
        <v>1011/FTSCY/WS95011 Pelunasan BROILER MAKMUR TAN</v>
      </c>
      <c r="D12" s="5">
        <f>IFERROR(__xludf.DUMMYFUNCTION("""COMPUTED_VALUE"""),2.654321E8)</f>
        <v>265432100</v>
      </c>
      <c r="E12" s="5"/>
      <c r="F12" s="5" t="str">
        <f>IFERROR(__xludf.DUMMYFUNCTION("""COMPUTED_VALUE"""),"DB")</f>
        <v>DB</v>
      </c>
      <c r="G12" s="5">
        <f>IFERROR(__xludf.DUMMYFUNCTION("""COMPUTED_VALUE"""),6.874771819000006E7)</f>
        <v>68747718.19</v>
      </c>
      <c r="H12" s="5"/>
      <c r="I12" s="5" t="str">
        <f>IFERROR(__xludf.DUMMYFUNCTION("""COMPUTED_VALUE"""),"PRIBADI")</f>
        <v>PRIBADI</v>
      </c>
    </row>
    <row r="13">
      <c r="A13" s="7">
        <f>IFERROR(__xludf.DUMMYFUNCTION("""COMPUTED_VALUE"""),46337.0)</f>
        <v>46337</v>
      </c>
      <c r="B13" s="5" t="str">
        <f>IFERROR(__xludf.DUMMYFUNCTION("""COMPUTED_VALUE"""),"TRSF E-BANKING DB TANGGAL :10/11")</f>
        <v>TRSF E-BANKING DB TANGGAL :10/11</v>
      </c>
      <c r="C13" s="5" t="str">
        <f>IFERROR(__xludf.DUMMYFUNCTION("""COMPUTED_VALUE"""),"1011/FTSCY/WS95011 Mon Nov 09 2026 15:00:00 GMT+0700 (Western Indonesia Time) BINTANG TAMA SANTO")</f>
        <v>1011/FTSCY/WS95011 Mon Nov 09 2026 15:00:00 GMT+0700 (Western Indonesia Time) BINTANG TAMA SANTO</v>
      </c>
      <c r="D13" s="5">
        <f>IFERROR(__xludf.DUMMYFUNCTION("""COMPUTED_VALUE"""),6.0301E7)</f>
        <v>60301000</v>
      </c>
      <c r="E13" s="5"/>
      <c r="F13" s="5" t="str">
        <f>IFERROR(__xludf.DUMMYFUNCTION("""COMPUTED_VALUE"""),"DB")</f>
        <v>DB</v>
      </c>
      <c r="G13" s="5">
        <f>IFERROR(__xludf.DUMMYFUNCTION("""COMPUTED_VALUE"""),8446718.190000057)</f>
        <v>8446718.19</v>
      </c>
      <c r="H13" s="5"/>
      <c r="I13" s="5" t="str">
        <f>IFERROR(__xludf.DUMMYFUNCTION("""COMPUTED_VALUE"""),"PRIBADI")</f>
        <v>PRIBADI</v>
      </c>
    </row>
    <row r="14">
      <c r="A14" s="7">
        <f>IFERROR(__xludf.DUMMYFUNCTION("""COMPUTED_VALUE"""),46337.0)</f>
        <v>46337</v>
      </c>
      <c r="B14" s="5" t="str">
        <f>IFERROR(__xludf.DUMMYFUNCTION("""COMPUTED_VALUE"""),"TRSF E-BANKING DB TANGGAL :10/11")</f>
        <v>TRSF E-BANKING DB TANGGAL :10/11</v>
      </c>
      <c r="C14" s="5" t="str">
        <f>IFERROR(__xludf.DUMMYFUNCTION("""COMPUTED_VALUE"""),"1011/FTSCY/WS95031 MUJIANTO")</f>
        <v>1011/FTSCY/WS95031 MUJIANTO</v>
      </c>
      <c r="D14" s="5">
        <f>IFERROR(__xludf.DUMMYFUNCTION("""COMPUTED_VALUE"""),1.082322E7)</f>
        <v>10823220</v>
      </c>
      <c r="E14" s="5"/>
      <c r="F14" s="5" t="str">
        <f>IFERROR(__xludf.DUMMYFUNCTION("""COMPUTED_VALUE"""),"DB")</f>
        <v>DB</v>
      </c>
      <c r="G14" s="5">
        <f>IFERROR(__xludf.DUMMYFUNCTION("""COMPUTED_VALUE"""),3.1749841819000006E8)</f>
        <v>317498418.2</v>
      </c>
      <c r="H14" s="5"/>
      <c r="I14" s="5" t="str">
        <f>IFERROR(__xludf.DUMMYFUNCTION("""COMPUTED_VALUE"""),"PRIBADI")</f>
        <v>PRIBADI</v>
      </c>
    </row>
    <row r="15">
      <c r="A15" s="7">
        <f>IFERROR(__xludf.DUMMYFUNCTION("""COMPUTED_VALUE"""),46337.0)</f>
        <v>46337</v>
      </c>
      <c r="B15" s="5" t="str">
        <f>IFERROR(__xludf.DUMMYFUNCTION("""COMPUTED_VALUE"""),"TRSF E-BANKING DB TANGGAL :10/11")</f>
        <v>TRSF E-BANKING DB TANGGAL :10/11</v>
      </c>
      <c r="C15" s="5" t="str">
        <f>IFERROR(__xludf.DUMMYFUNCTION("""COMPUTED_VALUE"""),"1011/FTSCY/WS95031 piutang sisa 1 jt FAJAR ANDREANZAH")</f>
        <v>1011/FTSCY/WS95031 piutang sisa 1 jt FAJAR ANDREANZAH</v>
      </c>
      <c r="D15" s="5">
        <f>IFERROR(__xludf.DUMMYFUNCTION("""COMPUTED_VALUE"""),4862450.0)</f>
        <v>4862450</v>
      </c>
      <c r="E15" s="5"/>
      <c r="F15" s="5" t="str">
        <f>IFERROR(__xludf.DUMMYFUNCTION("""COMPUTED_VALUE"""),"DB")</f>
        <v>DB</v>
      </c>
      <c r="G15" s="5">
        <f>IFERROR(__xludf.DUMMYFUNCTION("""COMPUTED_VALUE"""),3.0727631819000006E8)</f>
        <v>307276318.2</v>
      </c>
      <c r="H15" s="5">
        <f>IFERROR(__xludf.DUMMYFUNCTION("""COMPUTED_VALUE"""),3.0727631819E8)</f>
        <v>307276318.2</v>
      </c>
      <c r="I15" s="5" t="str">
        <f>IFERROR(__xludf.DUMMYFUNCTION("""COMPUTED_VALUE"""),"PRIBADI")</f>
        <v>PRIBADI</v>
      </c>
    </row>
    <row r="16">
      <c r="A16" s="7">
        <f>IFERROR(__xludf.DUMMYFUNCTION("""COMPUTED_VALUE"""),46337.0)</f>
        <v>46337</v>
      </c>
      <c r="B16" s="5" t="str">
        <f>IFERROR(__xludf.DUMMYFUNCTION("""COMPUTED_VALUE"""),"TRSF E-BANKING DB")</f>
        <v>TRSF E-BANKING DB</v>
      </c>
      <c r="C16" s="5" t="str">
        <f>IFERROR(__xludf.DUMMYFUNCTION("""COMPUTED_VALUE"""),"1111/FTSCY/WS95271 64581000.00 Mon Nov 09 2026 15:00:00 GMT+0700 (Western Indonesia Time) ANUGERAH KARTIKA A")</f>
        <v>1111/FTSCY/WS95271 64581000.00 Mon Nov 09 2026 15:00:00 GMT+0700 (Western Indonesia Time) ANUGERAH KARTIKA A</v>
      </c>
      <c r="D16" s="5">
        <f>IFERROR(__xludf.DUMMYFUNCTION("""COMPUTED_VALUE"""),6.4581E7)</f>
        <v>64581000</v>
      </c>
      <c r="E16" s="5"/>
      <c r="F16" s="5" t="str">
        <f>IFERROR(__xludf.DUMMYFUNCTION("""COMPUTED_VALUE"""),"DB")</f>
        <v>DB</v>
      </c>
      <c r="G16" s="5">
        <f>IFERROR(__xludf.DUMMYFUNCTION("""COMPUTED_VALUE"""),7.127763819000006E7)</f>
        <v>71277638.19</v>
      </c>
      <c r="H16" s="5"/>
      <c r="I16" s="5" t="str">
        <f>IFERROR(__xludf.DUMMYFUNCTION("""COMPUTED_VALUE"""),"PRIBADI")</f>
        <v>PRIBADI</v>
      </c>
    </row>
    <row r="17">
      <c r="A17" s="7">
        <f>IFERROR(__xludf.DUMMYFUNCTION("""COMPUTED_VALUE"""),46337.0)</f>
        <v>46337</v>
      </c>
      <c r="B17" s="5" t="str">
        <f>IFERROR(__xludf.DUMMYFUNCTION("""COMPUTED_VALUE"""),"TRSF E-BANKING DB")</f>
        <v>TRSF E-BANKING DB</v>
      </c>
      <c r="C17" s="5" t="str">
        <f>IFERROR(__xludf.DUMMYFUNCTION("""COMPUTED_VALUE"""),"1111/FTSCY/WS95271 55879980.00 Mon Nov 09 2026 15:00:00 GMT+0700 (Western Indonesia Time) ANDALAN YASA MITRA")</f>
        <v>1111/FTSCY/WS95271 55879980.00 Mon Nov 09 2026 15:00:00 GMT+0700 (Western Indonesia Time) ANDALAN YASA MITRA</v>
      </c>
      <c r="D17" s="5">
        <f>IFERROR(__xludf.DUMMYFUNCTION("""COMPUTED_VALUE"""),5.587998E7)</f>
        <v>55879980</v>
      </c>
      <c r="E17" s="5"/>
      <c r="F17" s="5" t="str">
        <f>IFERROR(__xludf.DUMMYFUNCTION("""COMPUTED_VALUE"""),"DB")</f>
        <v>DB</v>
      </c>
      <c r="G17" s="5">
        <f>IFERROR(__xludf.DUMMYFUNCTION("""COMPUTED_VALUE"""),1.5397658190000057E7)</f>
        <v>15397658.19</v>
      </c>
      <c r="H17" s="5"/>
      <c r="I17" s="5" t="str">
        <f>IFERROR(__xludf.DUMMYFUNCTION("""COMPUTED_VALUE"""),"PRIBADI")</f>
        <v>PRIBADI</v>
      </c>
    </row>
    <row r="18">
      <c r="A18" s="7">
        <f>IFERROR(__xludf.DUMMYFUNCTION("""COMPUTED_VALUE"""),46337.0)</f>
        <v>46337</v>
      </c>
      <c r="B18" s="5" t="str">
        <f>IFERROR(__xludf.DUMMYFUNCTION("""COMPUTED_VALUE"""),"TRSF E-BANKING DB")</f>
        <v>TRSF E-BANKING DB</v>
      </c>
      <c r="C18" s="5" t="str">
        <f>IFERROR(__xludf.DUMMYFUNCTION("""COMPUTED_VALUE"""),"1111/FTSCY/WS95031 5479600.00 pelunasan ANDALAN YASA MITRA")</f>
        <v>1111/FTSCY/WS95031 5479600.00 pelunasan ANDALAN YASA MITRA</v>
      </c>
      <c r="D18" s="5">
        <f>IFERROR(__xludf.DUMMYFUNCTION("""COMPUTED_VALUE"""),5479600.0)</f>
        <v>5479600</v>
      </c>
      <c r="E18" s="5"/>
      <c r="F18" s="5" t="str">
        <f>IFERROR(__xludf.DUMMYFUNCTION("""COMPUTED_VALUE"""),"DB")</f>
        <v>DB</v>
      </c>
      <c r="G18" s="5">
        <f>IFERROR(__xludf.DUMMYFUNCTION("""COMPUTED_VALUE"""),1.7310882819000006E8)</f>
        <v>173108828.2</v>
      </c>
      <c r="H18" s="5"/>
      <c r="I18" s="5" t="str">
        <f>IFERROR(__xludf.DUMMYFUNCTION("""COMPUTED_VALUE"""),"PRIBADI")</f>
        <v>PRIBADI</v>
      </c>
    </row>
    <row r="19">
      <c r="A19" s="7">
        <f>IFERROR(__xludf.DUMMYFUNCTION("""COMPUTED_VALUE"""),46337.0)</f>
        <v>46337</v>
      </c>
      <c r="B19" s="5" t="str">
        <f>IFERROR(__xludf.DUMMYFUNCTION("""COMPUTED_VALUE"""),"TRSF E-BANKING DB")</f>
        <v>TRSF E-BANKING DB</v>
      </c>
      <c r="C19" s="5" t="str">
        <f>IFERROR(__xludf.DUMMYFUNCTION("""COMPUTED_VALUE"""),"1111/FTFVA/WS95031 67847/UNGGAS MANDI Tue Nov 10 2026 15:00:00 GMT+0700 (Western Indonesia Time) - 200043")</f>
        <v>1111/FTFVA/WS95031 67847/UNGGAS MANDI Tue Nov 10 2026 15:00:00 GMT+0700 (Western Indonesia Time) - 200043</v>
      </c>
      <c r="D19" s="5">
        <f>IFERROR(__xludf.DUMMYFUNCTION("""COMPUTED_VALUE"""),6.65E7)</f>
        <v>66500000</v>
      </c>
      <c r="E19" s="5"/>
      <c r="F19" s="5" t="str">
        <f>IFERROR(__xludf.DUMMYFUNCTION("""COMPUTED_VALUE"""),"DB")</f>
        <v>DB</v>
      </c>
      <c r="G19" s="5">
        <f>IFERROR(__xludf.DUMMYFUNCTION("""COMPUTED_VALUE"""),1.0660882819000006E8)</f>
        <v>106608828.2</v>
      </c>
      <c r="H19" s="5">
        <f>IFERROR(__xludf.DUMMYFUNCTION("""COMPUTED_VALUE"""),1.0660882819E8)</f>
        <v>106608828.2</v>
      </c>
      <c r="I19" s="5" t="str">
        <f>IFERROR(__xludf.DUMMYFUNCTION("""COMPUTED_VALUE"""),"PRIBADI")</f>
        <v>PRIBADI</v>
      </c>
    </row>
    <row r="20">
      <c r="A20" s="7">
        <f>IFERROR(__xludf.DUMMYFUNCTION("""COMPUTED_VALUE"""),46337.0)</f>
        <v>46337</v>
      </c>
      <c r="B20" s="5" t="str">
        <f>IFERROR(__xludf.DUMMYFUNCTION("""COMPUTED_VALUE"""),"TRSF E-BANKING DB")</f>
        <v>TRSF E-BANKING DB</v>
      </c>
      <c r="C20" s="5" t="str">
        <f>IFERROR(__xludf.DUMMYFUNCTION("""COMPUTED_VALUE"""),"1111/FTFVA/WS95031 55574/GUNA MITRA S t.agung - 200177")</f>
        <v>1111/FTFVA/WS95031 55574/GUNA MITRA S t.agung - 200177</v>
      </c>
      <c r="D20" s="5">
        <f>IFERROR(__xludf.DUMMYFUNCTION("""COMPUTED_VALUE"""),5.55684E7)</f>
        <v>55568400</v>
      </c>
      <c r="E20" s="5"/>
      <c r="F20" s="5" t="str">
        <f>IFERROR(__xludf.DUMMYFUNCTION("""COMPUTED_VALUE"""),"DB")</f>
        <v>DB</v>
      </c>
      <c r="G20" s="5">
        <f>IFERROR(__xludf.DUMMYFUNCTION("""COMPUTED_VALUE"""),5.104042819000006E7)</f>
        <v>51040428.19</v>
      </c>
      <c r="H20" s="5">
        <f>IFERROR(__xludf.DUMMYFUNCTION("""COMPUTED_VALUE"""),5.104042819E7)</f>
        <v>51040428.19</v>
      </c>
      <c r="I20" s="5" t="str">
        <f>IFERROR(__xludf.DUMMYFUNCTION("""COMPUTED_VALUE"""),"PRIBADI")</f>
        <v>PRIBADI</v>
      </c>
    </row>
    <row r="21">
      <c r="A21" s="7">
        <f>IFERROR(__xludf.DUMMYFUNCTION("""COMPUTED_VALUE"""),46338.0)</f>
        <v>46338</v>
      </c>
      <c r="B21" s="5" t="str">
        <f>IFERROR(__xludf.DUMMYFUNCTION("""COMPUTED_VALUE"""),"TRSF E-BANKING DB")</f>
        <v>TRSF E-BANKING DB</v>
      </c>
      <c r="C21" s="5" t="str">
        <f>IFERROR(__xludf.DUMMYFUNCTION("""COMPUTED_VALUE"""),"1211/FTSCY/WS95031 90000000.00 pelunasan SUPER UNGGAS JAYA")</f>
        <v>1211/FTSCY/WS95031 90000000.00 pelunasan SUPER UNGGAS JAYA</v>
      </c>
      <c r="D21" s="5">
        <f>IFERROR(__xludf.DUMMYFUNCTION("""COMPUTED_VALUE"""),9.0E7)</f>
        <v>90000000</v>
      </c>
      <c r="E21" s="5"/>
      <c r="F21" s="5" t="str">
        <f>IFERROR(__xludf.DUMMYFUNCTION("""COMPUTED_VALUE"""),"DB")</f>
        <v>DB</v>
      </c>
      <c r="G21" s="5">
        <f>IFERROR(__xludf.DUMMYFUNCTION("""COMPUTED_VALUE"""),7.323991819000006E7)</f>
        <v>73239918.19</v>
      </c>
      <c r="H21" s="5"/>
      <c r="I21" s="5" t="str">
        <f>IFERROR(__xludf.DUMMYFUNCTION("""COMPUTED_VALUE"""),"PRIBADI")</f>
        <v>PRIBADI</v>
      </c>
    </row>
    <row r="22">
      <c r="A22" s="7">
        <f>IFERROR(__xludf.DUMMYFUNCTION("""COMPUTED_VALUE"""),46343.0)</f>
        <v>46343</v>
      </c>
      <c r="B22" s="5" t="str">
        <f>IFERROR(__xludf.DUMMYFUNCTION("""COMPUTED_VALUE"""),"TRSF E-BANKING DB")</f>
        <v>TRSF E-BANKING DB</v>
      </c>
      <c r="C22" s="5" t="str">
        <f>IFERROR(__xludf.DUMMYFUNCTION("""COMPUTED_VALUE"""),"1711/FTSCY/WS95271 69308750.00 Mon Nov 16 2026 15:00:00 GMT+0700 (Western Indonesia Time) BRANTAS ABADI SENT")</f>
        <v>1711/FTSCY/WS95271 69308750.00 Mon Nov 16 2026 15:00:00 GMT+0700 (Western Indonesia Time) BRANTAS ABADI SENT</v>
      </c>
      <c r="D22" s="5">
        <f>IFERROR(__xludf.DUMMYFUNCTION("""COMPUTED_VALUE"""),6.930875E7)</f>
        <v>69308750</v>
      </c>
      <c r="E22" s="5"/>
      <c r="F22" s="5" t="str">
        <f>IFERROR(__xludf.DUMMYFUNCTION("""COMPUTED_VALUE"""),"DB")</f>
        <v>DB</v>
      </c>
      <c r="G22" s="5">
        <f>IFERROR(__xludf.DUMMYFUNCTION("""COMPUTED_VALUE"""),2.7589367519000006E8)</f>
        <v>275893675.2</v>
      </c>
      <c r="H22" s="5"/>
      <c r="I22" s="5" t="str">
        <f>IFERROR(__xludf.DUMMYFUNCTION("""COMPUTED_VALUE"""),"PRIBADI")</f>
        <v>PRIBADI</v>
      </c>
    </row>
    <row r="23">
      <c r="A23" s="7">
        <f>IFERROR(__xludf.DUMMYFUNCTION("""COMPUTED_VALUE"""),46343.0)</f>
        <v>46343</v>
      </c>
      <c r="B23" s="5" t="str">
        <f>IFERROR(__xludf.DUMMYFUNCTION("""COMPUTED_VALUE"""),"TRSF E-BANKING DB")</f>
        <v>TRSF E-BANKING DB</v>
      </c>
      <c r="C23" s="5" t="str">
        <f>IFERROR(__xludf.DUMMYFUNCTION("""COMPUTED_VALUE"""),"1711/FTSCY/WS95271 2000000.00 RUKHAILAH")</f>
        <v>1711/FTSCY/WS95271 2000000.00 RUKHAILAH</v>
      </c>
      <c r="D23" s="5">
        <f>IFERROR(__xludf.DUMMYFUNCTION("""COMPUTED_VALUE"""),2000000.0)</f>
        <v>2000000</v>
      </c>
      <c r="E23" s="5"/>
      <c r="F23" s="5" t="str">
        <f>IFERROR(__xludf.DUMMYFUNCTION("""COMPUTED_VALUE"""),"DB")</f>
        <v>DB</v>
      </c>
      <c r="G23" s="5">
        <f>IFERROR(__xludf.DUMMYFUNCTION("""COMPUTED_VALUE"""),2.7389367519000006E8)</f>
        <v>273893675.2</v>
      </c>
      <c r="H23" s="5"/>
      <c r="I23" s="5" t="str">
        <f>IFERROR(__xludf.DUMMYFUNCTION("""COMPUTED_VALUE"""),"PRIBADI")</f>
        <v>PRIBADI</v>
      </c>
    </row>
    <row r="24">
      <c r="A24" s="7">
        <f>IFERROR(__xludf.DUMMYFUNCTION("""COMPUTED_VALUE"""),46343.0)</f>
        <v>46343</v>
      </c>
      <c r="B24" s="5" t="str">
        <f>IFERROR(__xludf.DUMMYFUNCTION("""COMPUTED_VALUE"""),"TRSF E-BANKING DB")</f>
        <v>TRSF E-BANKING DB</v>
      </c>
      <c r="C24" s="5" t="str">
        <f>IFERROR(__xludf.DUMMYFUNCTION("""COMPUTED_VALUE"""),"1711/FTFVA/WS95031 55569/PT PRIMA FAJ besuki - 40190")</f>
        <v>1711/FTFVA/WS95031 55569/PT PRIMA FAJ besuki - 40190</v>
      </c>
      <c r="D24" s="5">
        <f>IFERROR(__xludf.DUMMYFUNCTION("""COMPUTED_VALUE"""),5.95E7)</f>
        <v>59500000</v>
      </c>
      <c r="E24" s="5"/>
      <c r="F24" s="5" t="str">
        <f>IFERROR(__xludf.DUMMYFUNCTION("""COMPUTED_VALUE"""),"DB")</f>
        <v>DB</v>
      </c>
      <c r="G24" s="5">
        <f>IFERROR(__xludf.DUMMYFUNCTION("""COMPUTED_VALUE"""),5.8215117519E8)</f>
        <v>582151175.2</v>
      </c>
      <c r="H24" s="5"/>
      <c r="I24" s="5" t="str">
        <f>IFERROR(__xludf.DUMMYFUNCTION("""COMPUTED_VALUE"""),"PRIBADI")</f>
        <v>PRIBADI</v>
      </c>
    </row>
    <row r="25">
      <c r="A25" s="7">
        <f>IFERROR(__xludf.DUMMYFUNCTION("""COMPUTED_VALUE"""),46343.0)</f>
        <v>46343</v>
      </c>
      <c r="B25" s="5" t="str">
        <f>IFERROR(__xludf.DUMMYFUNCTION("""COMPUTED_VALUE"""),"TRSF E-BANKING DB")</f>
        <v>TRSF E-BANKING DB</v>
      </c>
      <c r="C25" s="5" t="str">
        <f>IFERROR(__xludf.DUMMYFUNCTION("""COMPUTED_VALUE"""),"1711/FTSCY/WS95031 21500000.00 pelunasan GANESHA SATRIA NUS")</f>
        <v>1711/FTSCY/WS95031 21500000.00 pelunasan GANESHA SATRIA NUS</v>
      </c>
      <c r="D25" s="5">
        <f>IFERROR(__xludf.DUMMYFUNCTION("""COMPUTED_VALUE"""),2.15E7)</f>
        <v>21500000</v>
      </c>
      <c r="E25" s="5"/>
      <c r="F25" s="5" t="str">
        <f>IFERROR(__xludf.DUMMYFUNCTION("""COMPUTED_VALUE"""),"DB")</f>
        <v>DB</v>
      </c>
      <c r="G25" s="5">
        <f>IFERROR(__xludf.DUMMYFUNCTION("""COMPUTED_VALUE"""),5.6065117519E8)</f>
        <v>560651175.2</v>
      </c>
      <c r="H25" s="5"/>
      <c r="I25" s="5" t="str">
        <f>IFERROR(__xludf.DUMMYFUNCTION("""COMPUTED_VALUE"""),"PRIBADI")</f>
        <v>PRIBADI</v>
      </c>
    </row>
    <row r="26">
      <c r="A26" s="7">
        <f>IFERROR(__xludf.DUMMYFUNCTION("""COMPUTED_VALUE"""),46343.0)</f>
        <v>46343</v>
      </c>
      <c r="B26" s="5" t="str">
        <f>IFERROR(__xludf.DUMMYFUNCTION("""COMPUTED_VALUE"""),"TRSF E-BANKING DB")</f>
        <v>TRSF E-BANKING DB</v>
      </c>
      <c r="C26" s="5" t="str">
        <f>IFERROR(__xludf.DUMMYFUNCTION("""COMPUTED_VALUE"""),"1711/FTSCY/WS95031 75000000.00 RUKUN MITRA BERSAM")</f>
        <v>1711/FTSCY/WS95031 75000000.00 RUKUN MITRA BERSAM</v>
      </c>
      <c r="D26" s="5">
        <f>IFERROR(__xludf.DUMMYFUNCTION("""COMPUTED_VALUE"""),7.5E7)</f>
        <v>75000000</v>
      </c>
      <c r="E26" s="5"/>
      <c r="F26" s="5" t="str">
        <f>IFERROR(__xludf.DUMMYFUNCTION("""COMPUTED_VALUE"""),"DB")</f>
        <v>DB</v>
      </c>
      <c r="G26" s="5">
        <f>IFERROR(__xludf.DUMMYFUNCTION("""COMPUTED_VALUE"""),4.8565117519000006E8)</f>
        <v>485651175.2</v>
      </c>
      <c r="H26" s="5"/>
      <c r="I26" s="5" t="str">
        <f>IFERROR(__xludf.DUMMYFUNCTION("""COMPUTED_VALUE"""),"PRIBADI")</f>
        <v>PRIBADI</v>
      </c>
    </row>
    <row r="27">
      <c r="A27" s="7">
        <f>IFERROR(__xludf.DUMMYFUNCTION("""COMPUTED_VALUE"""),46343.0)</f>
        <v>46343</v>
      </c>
      <c r="B27" s="5" t="str">
        <f>IFERROR(__xludf.DUMMYFUNCTION("""COMPUTED_VALUE"""),"TRSF E-BANKING DB")</f>
        <v>TRSF E-BANKING DB</v>
      </c>
      <c r="C27" s="5" t="str">
        <f>IFERROR(__xludf.DUMMYFUNCTION("""COMPUTED_VALUE"""),"1711/FTSCY/WS95271 106309090.00 pelunasan RUKUN MITRA BERSAM")</f>
        <v>1711/FTSCY/WS95271 106309090.00 pelunasan RUKUN MITRA BERSAM</v>
      </c>
      <c r="D27" s="5">
        <f>IFERROR(__xludf.DUMMYFUNCTION("""COMPUTED_VALUE"""),1.0630909E8)</f>
        <v>106309090</v>
      </c>
      <c r="E27" s="5"/>
      <c r="F27" s="5" t="str">
        <f>IFERROR(__xludf.DUMMYFUNCTION("""COMPUTED_VALUE"""),"DB")</f>
        <v>DB</v>
      </c>
      <c r="G27" s="5">
        <f>IFERROR(__xludf.DUMMYFUNCTION("""COMPUTED_VALUE"""),3.7934208519000006E8)</f>
        <v>379342085.2</v>
      </c>
      <c r="H27" s="5"/>
      <c r="I27" s="5" t="str">
        <f>IFERROR(__xludf.DUMMYFUNCTION("""COMPUTED_VALUE"""),"PRIBADI")</f>
        <v>PRIBADI</v>
      </c>
    </row>
    <row r="28">
      <c r="A28" s="7">
        <f>IFERROR(__xludf.DUMMYFUNCTION("""COMPUTED_VALUE"""),46343.0)</f>
        <v>46343</v>
      </c>
      <c r="B28" s="5" t="str">
        <f>IFERROR(__xludf.DUMMYFUNCTION("""COMPUTED_VALUE"""),"TRSF E-BANKING DB")</f>
        <v>TRSF E-BANKING DB</v>
      </c>
      <c r="C28" s="5" t="str">
        <f>IFERROR(__xludf.DUMMYFUNCTION("""COMPUTED_VALUE"""),"1711/FTSCY/WS95271 24441400.00 pelunasan TUMBUH OPTIMAL PRI")</f>
        <v>1711/FTSCY/WS95271 24441400.00 pelunasan TUMBUH OPTIMAL PRI</v>
      </c>
      <c r="D28" s="5">
        <f>IFERROR(__xludf.DUMMYFUNCTION("""COMPUTED_VALUE"""),2.44414E7)</f>
        <v>24441400</v>
      </c>
      <c r="E28" s="5"/>
      <c r="F28" s="5" t="str">
        <f>IFERROR(__xludf.DUMMYFUNCTION("""COMPUTED_VALUE"""),"DB")</f>
        <v>DB</v>
      </c>
      <c r="G28" s="5">
        <f>IFERROR(__xludf.DUMMYFUNCTION("""COMPUTED_VALUE"""),3.5490068519000006E8)</f>
        <v>354900685.2</v>
      </c>
      <c r="H28" s="5"/>
      <c r="I28" s="5" t="str">
        <f>IFERROR(__xludf.DUMMYFUNCTION("""COMPUTED_VALUE"""),"PRIBADI")</f>
        <v>PRIBADI</v>
      </c>
    </row>
    <row r="29">
      <c r="A29" s="7">
        <f>IFERROR(__xludf.DUMMYFUNCTION("""COMPUTED_VALUE"""),46343.0)</f>
        <v>46343</v>
      </c>
      <c r="B29" s="5" t="str">
        <f>IFERROR(__xludf.DUMMYFUNCTION("""COMPUTED_VALUE"""),"TRSF E-BANKING DB")</f>
        <v>TRSF E-BANKING DB</v>
      </c>
      <c r="C29" s="5" t="str">
        <f>IFERROR(__xludf.DUMMYFUNCTION("""COMPUTED_VALUE"""),"1711/FTSCY/WS95011 21447160.00 Krg 80 jt EKO SETIYAWAN")</f>
        <v>1711/FTSCY/WS95011 21447160.00 Krg 80 jt EKO SETIYAWAN</v>
      </c>
      <c r="D29" s="5">
        <f>IFERROR(__xludf.DUMMYFUNCTION("""COMPUTED_VALUE"""),2.144716E7)</f>
        <v>21447160</v>
      </c>
      <c r="E29" s="5"/>
      <c r="F29" s="5" t="str">
        <f>IFERROR(__xludf.DUMMYFUNCTION("""COMPUTED_VALUE"""),"DB")</f>
        <v>DB</v>
      </c>
      <c r="G29" s="5">
        <f>IFERROR(__xludf.DUMMYFUNCTION("""COMPUTED_VALUE"""),2.4007528519000006E8)</f>
        <v>240075285.2</v>
      </c>
      <c r="H29" s="5"/>
      <c r="I29" s="5" t="str">
        <f>IFERROR(__xludf.DUMMYFUNCTION("""COMPUTED_VALUE"""),"PRIBADI")</f>
        <v>PRIBADI</v>
      </c>
    </row>
    <row r="30">
      <c r="A30" s="7">
        <f>IFERROR(__xludf.DUMMYFUNCTION("""COMPUTED_VALUE"""),46343.0)</f>
        <v>46343</v>
      </c>
      <c r="B30" s="5" t="str">
        <f>IFERROR(__xludf.DUMMYFUNCTION("""COMPUTED_VALUE"""),"TRSF E-BANKING DB")</f>
        <v>TRSF E-BANKING DB</v>
      </c>
      <c r="C30" s="5" t="str">
        <f>IFERROR(__xludf.DUMMYFUNCTION("""COMPUTED_VALUE"""),"1711/FTSCY/WS95271 2250000.00 MAQNUL DAHLIAANA F")</f>
        <v>1711/FTSCY/WS95271 2250000.00 MAQNUL DAHLIAANA F</v>
      </c>
      <c r="D30" s="5">
        <f>IFERROR(__xludf.DUMMYFUNCTION("""COMPUTED_VALUE"""),2250000.0)</f>
        <v>2250000</v>
      </c>
      <c r="E30" s="5"/>
      <c r="F30" s="5" t="str">
        <f>IFERROR(__xludf.DUMMYFUNCTION("""COMPUTED_VALUE"""),"DB")</f>
        <v>DB</v>
      </c>
      <c r="G30" s="5">
        <f>IFERROR(__xludf.DUMMYFUNCTION("""COMPUTED_VALUE"""),2.1832528519000006E8)</f>
        <v>218325285.2</v>
      </c>
      <c r="H30" s="5"/>
      <c r="I30" s="5" t="str">
        <f>IFERROR(__xludf.DUMMYFUNCTION("""COMPUTED_VALUE"""),"PRIBADI")</f>
        <v>PRIBADI</v>
      </c>
    </row>
    <row r="31">
      <c r="A31" s="7">
        <f>IFERROR(__xludf.DUMMYFUNCTION("""COMPUTED_VALUE"""),46343.0)</f>
        <v>46343</v>
      </c>
      <c r="B31" s="5" t="str">
        <f>IFERROR(__xludf.DUMMYFUNCTION("""COMPUTED_VALUE"""),"TRSF E-BANKING DB")</f>
        <v>TRSF E-BANKING DB</v>
      </c>
      <c r="C31" s="5" t="str">
        <f>IFERROR(__xludf.DUMMYFUNCTION("""COMPUTED_VALUE"""),"1711/FTSCY/WS95271 1655000.00 lunas DWI HERMANSYAH")</f>
        <v>1711/FTSCY/WS95271 1655000.00 lunas DWI HERMANSYAH</v>
      </c>
      <c r="D31" s="5">
        <f>IFERROR(__xludf.DUMMYFUNCTION("""COMPUTED_VALUE"""),1655000.0)</f>
        <v>1655000</v>
      </c>
      <c r="E31" s="5"/>
      <c r="F31" s="5" t="str">
        <f>IFERROR(__xludf.DUMMYFUNCTION("""COMPUTED_VALUE"""),"DB")</f>
        <v>DB</v>
      </c>
      <c r="G31" s="5">
        <f>IFERROR(__xludf.DUMMYFUNCTION("""COMPUTED_VALUE"""),2.1667028519000006E8)</f>
        <v>216670285.2</v>
      </c>
      <c r="H31" s="5"/>
      <c r="I31" s="5" t="str">
        <f>IFERROR(__xludf.DUMMYFUNCTION("""COMPUTED_VALUE"""),"PRIBADI")</f>
        <v>PRIBADI</v>
      </c>
    </row>
    <row r="32">
      <c r="A32" s="7">
        <f>IFERROR(__xludf.DUMMYFUNCTION("""COMPUTED_VALUE"""),46343.0)</f>
        <v>46343</v>
      </c>
      <c r="B32" s="5" t="str">
        <f>IFERROR(__xludf.DUMMYFUNCTION("""COMPUTED_VALUE"""),"TRSF E-BANKING DB")</f>
        <v>TRSF E-BANKING DB</v>
      </c>
      <c r="C32" s="5" t="str">
        <f>IFERROR(__xludf.DUMMYFUNCTION("""COMPUTED_VALUE"""),"1711/FTSCY/WS95031 500000.00 DWI HERMANSYAH")</f>
        <v>1711/FTSCY/WS95031 500000.00 DWI HERMANSYAH</v>
      </c>
      <c r="D32" s="5">
        <f>IFERROR(__xludf.DUMMYFUNCTION("""COMPUTED_VALUE"""),500000.0)</f>
        <v>500000</v>
      </c>
      <c r="E32" s="5"/>
      <c r="F32" s="5" t="str">
        <f>IFERROR(__xludf.DUMMYFUNCTION("""COMPUTED_VALUE"""),"DB")</f>
        <v>DB</v>
      </c>
      <c r="G32" s="5">
        <f>IFERROR(__xludf.DUMMYFUNCTION("""COMPUTED_VALUE"""),2.1617028519000006E8)</f>
        <v>216170285.2</v>
      </c>
      <c r="H32" s="5"/>
      <c r="I32" s="5" t="str">
        <f>IFERROR(__xludf.DUMMYFUNCTION("""COMPUTED_VALUE"""),"PRIBADI")</f>
        <v>PRIBADI</v>
      </c>
    </row>
    <row r="33">
      <c r="A33" s="7">
        <f>IFERROR(__xludf.DUMMYFUNCTION("""COMPUTED_VALUE"""),46343.0)</f>
        <v>46343</v>
      </c>
      <c r="B33" s="5" t="str">
        <f>IFERROR(__xludf.DUMMYFUNCTION("""COMPUTED_VALUE"""),"KARTU DEBIT")</f>
        <v>KARTU DEBIT</v>
      </c>
      <c r="C33" s="5" t="str">
        <f>IFERROR(__xludf.DUMMYFUNCTION("""COMPUTED_VALUE"""),"ALFAMRT Y207 BRTN 6019009510239343")</f>
        <v>ALFAMRT Y207 BRTN 6019009510239343</v>
      </c>
      <c r="D33" s="5">
        <f>IFERROR(__xludf.DUMMYFUNCTION("""COMPUTED_VALUE"""),421100.0)</f>
        <v>421100</v>
      </c>
      <c r="E33" s="5"/>
      <c r="F33" s="5"/>
      <c r="G33" s="5">
        <f>IFERROR(__xludf.DUMMYFUNCTION("""COMPUTED_VALUE"""),2.1574918519000006E8)</f>
        <v>215749185.2</v>
      </c>
      <c r="H33" s="5"/>
      <c r="I33" s="5" t="str">
        <f>IFERROR(__xludf.DUMMYFUNCTION("""COMPUTED_VALUE"""),"PRIBADI")</f>
        <v>PRIBADI</v>
      </c>
    </row>
    <row r="34">
      <c r="A34" s="7">
        <f>IFERROR(__xludf.DUMMYFUNCTION("""COMPUTED_VALUE"""),46343.0)</f>
        <v>46343</v>
      </c>
      <c r="B34" s="5" t="str">
        <f>IFERROR(__xludf.DUMMYFUNCTION("""COMPUTED_VALUE"""),"BIAYA ADM")</f>
        <v>BIAYA ADM</v>
      </c>
      <c r="C34" s="5" t="str">
        <f>IFERROR(__xludf.DUMMYFUNCTION("""COMPUTED_VALUE"""),"BIAYA ADM")</f>
        <v>BIAYA ADM</v>
      </c>
      <c r="D34" s="5">
        <f>IFERROR(__xludf.DUMMYFUNCTION("""COMPUTED_VALUE"""),19000.0)</f>
        <v>19000</v>
      </c>
      <c r="E34" s="5"/>
      <c r="F34" s="5"/>
      <c r="G34" s="5">
        <f>IFERROR(__xludf.DUMMYFUNCTION("""COMPUTED_VALUE"""),2.1573018519000006E8)</f>
        <v>215730185.2</v>
      </c>
      <c r="H34" s="5">
        <f>IFERROR(__xludf.DUMMYFUNCTION("""COMPUTED_VALUE"""),2.1573018519E8)</f>
        <v>215730185.2</v>
      </c>
      <c r="I34" s="5" t="str">
        <f>IFERROR(__xludf.DUMMYFUNCTION("""COMPUTED_VALUE"""),"PRIBADI")</f>
        <v>PRIBADI</v>
      </c>
    </row>
    <row r="35">
      <c r="A35" s="7">
        <f>IFERROR(__xludf.DUMMYFUNCTION("""COMPUTED_VALUE"""),46344.0)</f>
        <v>46344</v>
      </c>
      <c r="B35" s="5" t="str">
        <f>IFERROR(__xludf.DUMMYFUNCTION("""COMPUTED_VALUE"""),"TRSF E-BANKING DB")</f>
        <v>TRSF E-BANKING DB</v>
      </c>
      <c r="C35" s="5" t="str">
        <f>IFERROR(__xludf.DUMMYFUNCTION("""COMPUTED_VALUE"""),"1811/FTSCY/WS95031 3054260.00 SUNARTO")</f>
        <v>1811/FTSCY/WS95031 3054260.00 SUNARTO</v>
      </c>
      <c r="D35" s="5">
        <f>IFERROR(__xludf.DUMMYFUNCTION("""COMPUTED_VALUE"""),3054260.0)</f>
        <v>3054260</v>
      </c>
      <c r="E35" s="5"/>
      <c r="F35" s="5" t="str">
        <f>IFERROR(__xludf.DUMMYFUNCTION("""COMPUTED_VALUE"""),"DB")</f>
        <v>DB</v>
      </c>
      <c r="G35" s="5">
        <f>IFERROR(__xludf.DUMMYFUNCTION("""COMPUTED_VALUE"""),2.1267592519000006E8)</f>
        <v>212675925.2</v>
      </c>
      <c r="H35" s="5"/>
      <c r="I35" s="5" t="str">
        <f>IFERROR(__xludf.DUMMYFUNCTION("""COMPUTED_VALUE"""),"PRIBADI")</f>
        <v>PRIBADI</v>
      </c>
    </row>
    <row r="36">
      <c r="A36" s="7">
        <f>IFERROR(__xludf.DUMMYFUNCTION("""COMPUTED_VALUE"""),46344.0)</f>
        <v>46344</v>
      </c>
      <c r="B36" s="5" t="str">
        <f>IFERROR(__xludf.DUMMYFUNCTION("""COMPUTED_VALUE"""),"TRSF E-BANKING DB")</f>
        <v>TRSF E-BANKING DB</v>
      </c>
      <c r="C36" s="5" t="str">
        <f>IFERROR(__xludf.DUMMYFUNCTION("""COMPUTED_VALUE"""),"1811/FTSCY/WS95031 8382790.00 krg 5 jt FAJAR ANDREANZAH")</f>
        <v>1811/FTSCY/WS95031 8382790.00 krg 5 jt FAJAR ANDREANZAH</v>
      </c>
      <c r="D36" s="5">
        <f>IFERROR(__xludf.DUMMYFUNCTION("""COMPUTED_VALUE"""),8382790.0)</f>
        <v>8382790</v>
      </c>
      <c r="E36" s="5"/>
      <c r="F36" s="5" t="str">
        <f>IFERROR(__xludf.DUMMYFUNCTION("""COMPUTED_VALUE"""),"DB")</f>
        <v>DB</v>
      </c>
      <c r="G36" s="5">
        <f>IFERROR(__xludf.DUMMYFUNCTION("""COMPUTED_VALUE"""),2.0429313519000006E8)</f>
        <v>204293135.2</v>
      </c>
      <c r="H36" s="5"/>
      <c r="I36" s="5" t="str">
        <f>IFERROR(__xludf.DUMMYFUNCTION("""COMPUTED_VALUE"""),"PRIBADI")</f>
        <v>PRIBADI</v>
      </c>
    </row>
    <row r="37">
      <c r="A37" s="7">
        <f>IFERROR(__xludf.DUMMYFUNCTION("""COMPUTED_VALUE"""),46344.0)</f>
        <v>46344</v>
      </c>
      <c r="B37" s="5" t="str">
        <f>IFERROR(__xludf.DUMMYFUNCTION("""COMPUTED_VALUE"""),"TRSF E-BANKING DB")</f>
        <v>TRSF E-BANKING DB</v>
      </c>
      <c r="C37" s="5" t="str">
        <f>IFERROR(__xludf.DUMMYFUNCTION("""COMPUTED_VALUE"""),"1811/FTSCY/WS95271 52487750.00 Mon Nov 16 2026 15:00:00 GMT+0700 (Western Indonesia Time) PITIK DIGITAL INDO")</f>
        <v>1811/FTSCY/WS95271 52487750.00 Mon Nov 16 2026 15:00:00 GMT+0700 (Western Indonesia Time) PITIK DIGITAL INDO</v>
      </c>
      <c r="D37" s="5">
        <f>IFERROR(__xludf.DUMMYFUNCTION("""COMPUTED_VALUE"""),5.248775E7)</f>
        <v>52487750</v>
      </c>
      <c r="E37" s="5"/>
      <c r="F37" s="5" t="str">
        <f>IFERROR(__xludf.DUMMYFUNCTION("""COMPUTED_VALUE"""),"DB")</f>
        <v>DB</v>
      </c>
      <c r="G37" s="5">
        <f>IFERROR(__xludf.DUMMYFUNCTION("""COMPUTED_VALUE"""),1.5180538519000006E8)</f>
        <v>151805385.2</v>
      </c>
      <c r="H37" s="5"/>
      <c r="I37" s="5" t="str">
        <f>IFERROR(__xludf.DUMMYFUNCTION("""COMPUTED_VALUE"""),"PRIBADI")</f>
        <v>PRIBADI</v>
      </c>
    </row>
    <row r="38">
      <c r="A38" s="7">
        <f>IFERROR(__xludf.DUMMYFUNCTION("""COMPUTED_VALUE"""),46344.0)</f>
        <v>46344</v>
      </c>
      <c r="B38" s="5" t="str">
        <f>IFERROR(__xludf.DUMMYFUNCTION("""COMPUTED_VALUE"""),"TRSF E-BANKING DB")</f>
        <v>TRSF E-BANKING DB</v>
      </c>
      <c r="C38" s="5" t="str">
        <f>IFERROR(__xludf.DUMMYFUNCTION("""COMPUTED_VALUE"""),"1811/FTSCY/WS95271 50500000.00 pelunasan TERNAK SEJATI TABA")</f>
        <v>1811/FTSCY/WS95271 50500000.00 pelunasan TERNAK SEJATI TABA</v>
      </c>
      <c r="D38" s="5">
        <f>IFERROR(__xludf.DUMMYFUNCTION("""COMPUTED_VALUE"""),5.05E7)</f>
        <v>50500000</v>
      </c>
      <c r="E38" s="5"/>
      <c r="F38" s="5" t="str">
        <f>IFERROR(__xludf.DUMMYFUNCTION("""COMPUTED_VALUE"""),"DB")</f>
        <v>DB</v>
      </c>
      <c r="G38" s="5">
        <f>IFERROR(__xludf.DUMMYFUNCTION("""COMPUTED_VALUE"""),1.0130538519000006E8)</f>
        <v>101305385.2</v>
      </c>
      <c r="H38" s="5"/>
      <c r="I38" s="5" t="str">
        <f>IFERROR(__xludf.DUMMYFUNCTION("""COMPUTED_VALUE"""),"PRIBADI")</f>
        <v>PRIBADI</v>
      </c>
    </row>
    <row r="39">
      <c r="A39" s="7">
        <f>IFERROR(__xludf.DUMMYFUNCTION("""COMPUTED_VALUE"""),46344.0)</f>
        <v>46344</v>
      </c>
      <c r="B39" s="5" t="str">
        <f>IFERROR(__xludf.DUMMYFUNCTION("""COMPUTED_VALUE"""),"TRSF E-BANKING DB")</f>
        <v>TRSF E-BANKING DB</v>
      </c>
      <c r="C39" s="5" t="str">
        <f>IFERROR(__xludf.DUMMYFUNCTION("""COMPUTED_VALUE"""),"1811/FTSCY/WS95271 53119440.00 Sun Nov 15 2026 15:00:00 GMT+0700 (Western Indonesia Time) SUPER UNGGAS JAYA")</f>
        <v>1811/FTSCY/WS95271 53119440.00 Sun Nov 15 2026 15:00:00 GMT+0700 (Western Indonesia Time) SUPER UNGGAS JAYA</v>
      </c>
      <c r="D39" s="5">
        <f>IFERROR(__xludf.DUMMYFUNCTION("""COMPUTED_VALUE"""),5.311944E7)</f>
        <v>53119440</v>
      </c>
      <c r="E39" s="5"/>
      <c r="F39" s="5" t="str">
        <f>IFERROR(__xludf.DUMMYFUNCTION("""COMPUTED_VALUE"""),"DB")</f>
        <v>DB</v>
      </c>
      <c r="G39" s="5">
        <f>IFERROR(__xludf.DUMMYFUNCTION("""COMPUTED_VALUE"""),4.818594519000006E7)</f>
        <v>48185945.19</v>
      </c>
      <c r="H39" s="5"/>
      <c r="I39" s="5" t="str">
        <f>IFERROR(__xludf.DUMMYFUNCTION("""COMPUTED_VALUE"""),"PRIBADI")</f>
        <v>PRIBADI</v>
      </c>
    </row>
    <row r="40">
      <c r="A40" s="7">
        <f>IFERROR(__xludf.DUMMYFUNCTION("""COMPUTED_VALUE"""),46344.0)</f>
        <v>46344</v>
      </c>
      <c r="B40" s="5" t="str">
        <f>IFERROR(__xludf.DUMMYFUNCTION("""COMPUTED_VALUE"""),"TRSF E-BANKING DB")</f>
        <v>TRSF E-BANKING DB</v>
      </c>
      <c r="C40" s="5" t="str">
        <f>IFERROR(__xludf.DUMMYFUNCTION("""COMPUTED_VALUE"""),"1811/FTSCY/WS95271 48128900.00 Sun Nov 15 2026 15:00:00 GMT+0700 (Western Indonesia Time) BROILER MAKMUR TAN")</f>
        <v>1811/FTSCY/WS95271 48128900.00 Sun Nov 15 2026 15:00:00 GMT+0700 (Western Indonesia Time) BROILER MAKMUR TAN</v>
      </c>
      <c r="D40" s="5">
        <f>IFERROR(__xludf.DUMMYFUNCTION("""COMPUTED_VALUE"""),4.81289E7)</f>
        <v>48128900</v>
      </c>
      <c r="E40" s="5"/>
      <c r="F40" s="5" t="str">
        <f>IFERROR(__xludf.DUMMYFUNCTION("""COMPUTED_VALUE"""),"DB")</f>
        <v>DB</v>
      </c>
      <c r="G40" s="5">
        <f>IFERROR(__xludf.DUMMYFUNCTION("""COMPUTED_VALUE"""),57045.19000005722)</f>
        <v>57045.19</v>
      </c>
      <c r="H40" s="5"/>
      <c r="I40" s="5" t="str">
        <f>IFERROR(__xludf.DUMMYFUNCTION("""COMPUTED_VALUE"""),"PRIBADI")</f>
        <v>PRIBADI</v>
      </c>
    </row>
    <row r="41">
      <c r="A41" s="7">
        <f>IFERROR(__xludf.DUMMYFUNCTION("""COMPUTED_VALUE"""),46344.0)</f>
        <v>46344</v>
      </c>
      <c r="B41" s="5" t="str">
        <f>IFERROR(__xludf.DUMMYFUNCTION("""COMPUTED_VALUE"""),"BYR VIA E-BANKING")</f>
        <v>BYR VIA E-BANKING</v>
      </c>
      <c r="C41" s="5" t="str">
        <f>IFERROR(__xludf.DUMMYFUNCTION("""COMPUTED_VALUE"""),"18/11  WSID9503100 0865 PLN PREPAID 32104859353 MUHAMMAD HAIRUL MA")</f>
        <v>18/11  WSID9503100 0865 PLN PREPAID 32104859353 MUHAMMAD HAIRUL MA</v>
      </c>
      <c r="D41" s="5">
        <f>IFERROR(__xludf.DUMMYFUNCTION("""COMPUTED_VALUE"""),202500.0)</f>
        <v>202500</v>
      </c>
      <c r="E41" s="5"/>
      <c r="F41" s="5"/>
      <c r="G41" s="5">
        <f>IFERROR(__xludf.DUMMYFUNCTION("""COMPUTED_VALUE"""),6.355004519000006E7)</f>
        <v>63550045.19</v>
      </c>
      <c r="H41" s="5"/>
      <c r="I41" s="5" t="str">
        <f>IFERROR(__xludf.DUMMYFUNCTION("""COMPUTED_VALUE"""),"PRIBADI")</f>
        <v>PRIBADI</v>
      </c>
    </row>
    <row r="42">
      <c r="A42" s="7">
        <f>IFERROR(__xludf.DUMMYFUNCTION("""COMPUTED_VALUE"""),46344.0)</f>
        <v>46344</v>
      </c>
      <c r="B42" s="5" t="str">
        <f>IFERROR(__xludf.DUMMYFUNCTION("""COMPUTED_VALUE"""),"TRSF E-BANKING DB")</f>
        <v>TRSF E-BANKING DB</v>
      </c>
      <c r="C42" s="5" t="str">
        <f>IFERROR(__xludf.DUMMYFUNCTION("""COMPUTED_VALUE"""),"1811/FTSCY/WS95031 18972240.00 EKO SETIYAWAN")</f>
        <v>1811/FTSCY/WS95031 18972240.00 EKO SETIYAWAN</v>
      </c>
      <c r="D42" s="5">
        <f>IFERROR(__xludf.DUMMYFUNCTION("""COMPUTED_VALUE"""),1.897224E7)</f>
        <v>18972240</v>
      </c>
      <c r="E42" s="5"/>
      <c r="F42" s="5" t="str">
        <f>IFERROR(__xludf.DUMMYFUNCTION("""COMPUTED_VALUE"""),"DB")</f>
        <v>DB</v>
      </c>
      <c r="G42" s="5">
        <f>IFERROR(__xludf.DUMMYFUNCTION("""COMPUTED_VALUE"""),3.6035780519000006E8)</f>
        <v>360357805.2</v>
      </c>
      <c r="H42" s="5"/>
      <c r="I42" s="5" t="str">
        <f>IFERROR(__xludf.DUMMYFUNCTION("""COMPUTED_VALUE"""),"PRIBADI")</f>
        <v>PRIBADI</v>
      </c>
    </row>
    <row r="43">
      <c r="A43" s="7">
        <f>IFERROR(__xludf.DUMMYFUNCTION("""COMPUTED_VALUE"""),46344.0)</f>
        <v>46344</v>
      </c>
      <c r="B43" s="5" t="str">
        <f>IFERROR(__xludf.DUMMYFUNCTION("""COMPUTED_VALUE"""),"TRSF E-BANKING DB")</f>
        <v>TRSF E-BANKING DB</v>
      </c>
      <c r="C43" s="5" t="str">
        <f>IFERROR(__xludf.DUMMYFUNCTION("""COMPUTED_VALUE"""),"1811/FTSCY/WS95031 5900000.00 DWI HERMANSYAH")</f>
        <v>1811/FTSCY/WS95031 5900000.00 DWI HERMANSYAH</v>
      </c>
      <c r="D43" s="5">
        <f>IFERROR(__xludf.DUMMYFUNCTION("""COMPUTED_VALUE"""),5900000.0)</f>
        <v>5900000</v>
      </c>
      <c r="E43" s="5"/>
      <c r="F43" s="5" t="str">
        <f>IFERROR(__xludf.DUMMYFUNCTION("""COMPUTED_VALUE"""),"DB")</f>
        <v>DB</v>
      </c>
      <c r="G43" s="5">
        <f>IFERROR(__xludf.DUMMYFUNCTION("""COMPUTED_VALUE"""),3.5445780519000006E8)</f>
        <v>354457805.2</v>
      </c>
      <c r="H43" s="5"/>
      <c r="I43" s="5" t="str">
        <f>IFERROR(__xludf.DUMMYFUNCTION("""COMPUTED_VALUE"""),"PRIBADI")</f>
        <v>PRIBADI</v>
      </c>
    </row>
    <row r="44">
      <c r="A44" s="7">
        <f>IFERROR(__xludf.DUMMYFUNCTION("""COMPUTED_VALUE"""),46344.0)</f>
        <v>46344</v>
      </c>
      <c r="B44" s="5" t="str">
        <f>IFERROR(__xludf.DUMMYFUNCTION("""COMPUTED_VALUE"""),"TRSF E-BANKING DB")</f>
        <v>TRSF E-BANKING DB</v>
      </c>
      <c r="C44" s="5" t="str">
        <f>IFERROR(__xludf.DUMMYFUNCTION("""COMPUTED_VALUE"""),"1811/FTSCY/WS95271 100000.00 kaos ANTON IMRONI")</f>
        <v>1811/FTSCY/WS95271 100000.00 kaos ANTON IMRONI</v>
      </c>
      <c r="D44" s="5">
        <f>IFERROR(__xludf.DUMMYFUNCTION("""COMPUTED_VALUE"""),100000.0)</f>
        <v>100000</v>
      </c>
      <c r="E44" s="5"/>
      <c r="F44" s="5" t="str">
        <f>IFERROR(__xludf.DUMMYFUNCTION("""COMPUTED_VALUE"""),"DB")</f>
        <v>DB</v>
      </c>
      <c r="G44" s="5">
        <f>IFERROR(__xludf.DUMMYFUNCTION("""COMPUTED_VALUE"""),3.5435780519000006E8)</f>
        <v>354357805.2</v>
      </c>
      <c r="H44" s="5"/>
      <c r="I44" s="5" t="str">
        <f>IFERROR(__xludf.DUMMYFUNCTION("""COMPUTED_VALUE"""),"PRIBADI")</f>
        <v>PRIBADI</v>
      </c>
    </row>
    <row r="45">
      <c r="A45" s="7">
        <f>IFERROR(__xludf.DUMMYFUNCTION("""COMPUTED_VALUE"""),46344.0)</f>
        <v>46344</v>
      </c>
      <c r="B45" s="5" t="str">
        <f>IFERROR(__xludf.DUMMYFUNCTION("""COMPUTED_VALUE"""),"TRSF E-BANKING DB")</f>
        <v>TRSF E-BANKING DB</v>
      </c>
      <c r="C45" s="5" t="str">
        <f>IFERROR(__xludf.DUMMYFUNCTION("""COMPUTED_VALUE"""),"1811/FTSCY/WS95271 3800000.00 boyolali lunas RUKHAILAH")</f>
        <v>1811/FTSCY/WS95271 3800000.00 boyolali lunas RUKHAILAH</v>
      </c>
      <c r="D45" s="5">
        <f>IFERROR(__xludf.DUMMYFUNCTION("""COMPUTED_VALUE"""),3800000.0)</f>
        <v>3800000</v>
      </c>
      <c r="E45" s="5"/>
      <c r="F45" s="5" t="str">
        <f>IFERROR(__xludf.DUMMYFUNCTION("""COMPUTED_VALUE"""),"DB")</f>
        <v>DB</v>
      </c>
      <c r="G45" s="5">
        <f>IFERROR(__xludf.DUMMYFUNCTION("""COMPUTED_VALUE"""),3.5055780519000006E8)</f>
        <v>350557805.2</v>
      </c>
      <c r="H45" s="5"/>
      <c r="I45" s="5" t="str">
        <f>IFERROR(__xludf.DUMMYFUNCTION("""COMPUTED_VALUE"""),"PRIBADI")</f>
        <v>PRIBADI</v>
      </c>
    </row>
    <row r="46">
      <c r="A46" s="7">
        <f>IFERROR(__xludf.DUMMYFUNCTION("""COMPUTED_VALUE"""),46344.0)</f>
        <v>46344</v>
      </c>
      <c r="B46" s="5" t="str">
        <f>IFERROR(__xludf.DUMMYFUNCTION("""COMPUTED_VALUE"""),"TRSF E-BANKING DB")</f>
        <v>TRSF E-BANKING DB</v>
      </c>
      <c r="C46" s="5" t="str">
        <f>IFERROR(__xludf.DUMMYFUNCTION("""COMPUTED_VALUE"""),"1811/FTSCY/WS95031 7541550.00 krg 10 jt MUJIANTO")</f>
        <v>1811/FTSCY/WS95031 7541550.00 krg 10 jt MUJIANTO</v>
      </c>
      <c r="D46" s="5">
        <f>IFERROR(__xludf.DUMMYFUNCTION("""COMPUTED_VALUE"""),7541550.0)</f>
        <v>7541550</v>
      </c>
      <c r="E46" s="5"/>
      <c r="F46" s="5" t="str">
        <f>IFERROR(__xludf.DUMMYFUNCTION("""COMPUTED_VALUE"""),"DB")</f>
        <v>DB</v>
      </c>
      <c r="G46" s="5">
        <f>IFERROR(__xludf.DUMMYFUNCTION("""COMPUTED_VALUE"""),3.4301625519000006E8)</f>
        <v>343016255.2</v>
      </c>
      <c r="H46" s="5"/>
      <c r="I46" s="5" t="str">
        <f>IFERROR(__xludf.DUMMYFUNCTION("""COMPUTED_VALUE"""),"PRIBADI")</f>
        <v>PRIBADI</v>
      </c>
    </row>
    <row r="47">
      <c r="A47" s="7">
        <f>IFERROR(__xludf.DUMMYFUNCTION("""COMPUTED_VALUE"""),46344.0)</f>
        <v>46344</v>
      </c>
      <c r="B47" s="5" t="str">
        <f>IFERROR(__xludf.DUMMYFUNCTION("""COMPUTED_VALUE"""),"TRSF E-BANKING DB")</f>
        <v>TRSF E-BANKING DB</v>
      </c>
      <c r="C47" s="5" t="str">
        <f>IFERROR(__xludf.DUMMYFUNCTION("""COMPUTED_VALUE"""),"1811/FTSCY/WS95031 1900000.00 SUNARTO")</f>
        <v>1811/FTSCY/WS95031 1900000.00 SUNARTO</v>
      </c>
      <c r="D47" s="5">
        <f>IFERROR(__xludf.DUMMYFUNCTION("""COMPUTED_VALUE"""),1900000.0)</f>
        <v>1900000</v>
      </c>
      <c r="E47" s="5"/>
      <c r="F47" s="5" t="str">
        <f>IFERROR(__xludf.DUMMYFUNCTION("""COMPUTED_VALUE"""),"DB")</f>
        <v>DB</v>
      </c>
      <c r="G47" s="5">
        <f>IFERROR(__xludf.DUMMYFUNCTION("""COMPUTED_VALUE"""),3.4111625519000006E8)</f>
        <v>341116255.2</v>
      </c>
      <c r="H47" s="5"/>
      <c r="I47" s="5" t="str">
        <f>IFERROR(__xludf.DUMMYFUNCTION("""COMPUTED_VALUE"""),"PRIBADI")</f>
        <v>PRIBADI</v>
      </c>
    </row>
    <row r="48">
      <c r="A48" s="7">
        <f>IFERROR(__xludf.DUMMYFUNCTION("""COMPUTED_VALUE"""),46344.0)</f>
        <v>46344</v>
      </c>
      <c r="B48" s="5" t="str">
        <f>IFERROR(__xludf.DUMMYFUNCTION("""COMPUTED_VALUE"""),"TRSF E-BANKING DB")</f>
        <v>TRSF E-BANKING DB</v>
      </c>
      <c r="C48" s="5" t="str">
        <f>IFERROR(__xludf.DUMMYFUNCTION("""COMPUTED_VALUE"""),"1811/FTSCY/WS95031 6069720.00 lunas HERMAWAN")</f>
        <v>1811/FTSCY/WS95031 6069720.00 lunas HERMAWAN</v>
      </c>
      <c r="D48" s="5">
        <f>IFERROR(__xludf.DUMMYFUNCTION("""COMPUTED_VALUE"""),6069720.0)</f>
        <v>6069720</v>
      </c>
      <c r="E48" s="5"/>
      <c r="F48" s="5" t="str">
        <f>IFERROR(__xludf.DUMMYFUNCTION("""COMPUTED_VALUE"""),"DB")</f>
        <v>DB</v>
      </c>
      <c r="G48" s="5">
        <f>IFERROR(__xludf.DUMMYFUNCTION("""COMPUTED_VALUE"""),3.3504653519000006E8)</f>
        <v>335046535.2</v>
      </c>
      <c r="H48" s="5"/>
      <c r="I48" s="5" t="str">
        <f>IFERROR(__xludf.DUMMYFUNCTION("""COMPUTED_VALUE"""),"PRIBADI")</f>
        <v>PRIBADI</v>
      </c>
    </row>
    <row r="49">
      <c r="A49" s="7">
        <f>IFERROR(__xludf.DUMMYFUNCTION("""COMPUTED_VALUE"""),46344.0)</f>
        <v>46344</v>
      </c>
      <c r="B49" s="5" t="str">
        <f>IFERROR(__xludf.DUMMYFUNCTION("""COMPUTED_VALUE"""),"TRSF E-BANKING DB")</f>
        <v>TRSF E-BANKING DB</v>
      </c>
      <c r="C49" s="5" t="str">
        <f>IFERROR(__xludf.DUMMYFUNCTION("""COMPUTED_VALUE"""),"1811/FTSCY/WS95031 3660600.00 FAJAR ANDREANZAH")</f>
        <v>1811/FTSCY/WS95031 3660600.00 FAJAR ANDREANZAH</v>
      </c>
      <c r="D49" s="5">
        <f>IFERROR(__xludf.DUMMYFUNCTION("""COMPUTED_VALUE"""),3660600.0)</f>
        <v>3660600</v>
      </c>
      <c r="E49" s="5"/>
      <c r="F49" s="5" t="str">
        <f>IFERROR(__xludf.DUMMYFUNCTION("""COMPUTED_VALUE"""),"DB")</f>
        <v>DB</v>
      </c>
      <c r="G49" s="5">
        <f>IFERROR(__xludf.DUMMYFUNCTION("""COMPUTED_VALUE"""),3.3138593519000006E8)</f>
        <v>331385935.2</v>
      </c>
      <c r="H49" s="5"/>
      <c r="I49" s="5" t="str">
        <f>IFERROR(__xludf.DUMMYFUNCTION("""COMPUTED_VALUE"""),"PRIBADI")</f>
        <v>PRIBADI</v>
      </c>
    </row>
    <row r="50">
      <c r="A50" s="7">
        <f>IFERROR(__xludf.DUMMYFUNCTION("""COMPUTED_VALUE"""),46344.0)</f>
        <v>46344</v>
      </c>
      <c r="B50" s="5" t="str">
        <f>IFERROR(__xludf.DUMMYFUNCTION("""COMPUTED_VALUE"""),"TRSF E-BANKING DB")</f>
        <v>TRSF E-BANKING DB</v>
      </c>
      <c r="C50" s="5" t="str">
        <f>IFERROR(__xludf.DUMMYFUNCTION("""COMPUTED_VALUE"""),"1811/FTSCY/WS95031 600000.00 MUJIANTO")</f>
        <v>1811/FTSCY/WS95031 600000.00 MUJIANTO</v>
      </c>
      <c r="D50" s="5">
        <f>IFERROR(__xludf.DUMMYFUNCTION("""COMPUTED_VALUE"""),600000.0)</f>
        <v>600000</v>
      </c>
      <c r="E50" s="5"/>
      <c r="F50" s="5" t="str">
        <f>IFERROR(__xludf.DUMMYFUNCTION("""COMPUTED_VALUE"""),"DB")</f>
        <v>DB</v>
      </c>
      <c r="G50" s="5">
        <f>IFERROR(__xludf.DUMMYFUNCTION("""COMPUTED_VALUE"""),3.3078593519000006E8)</f>
        <v>330785935.2</v>
      </c>
      <c r="H50" s="5">
        <f>IFERROR(__xludf.DUMMYFUNCTION("""COMPUTED_VALUE"""),3.3078593519E8)</f>
        <v>330785935.2</v>
      </c>
      <c r="I50" s="5" t="str">
        <f>IFERROR(__xludf.DUMMYFUNCTION("""COMPUTED_VALUE"""),"PRIBADI")</f>
        <v>PRIBADI</v>
      </c>
    </row>
    <row r="51">
      <c r="A51" s="7">
        <f>IFERROR(__xludf.DUMMYFUNCTION("""COMPUTED_VALUE"""),46345.0)</f>
        <v>46345</v>
      </c>
      <c r="B51" s="5" t="str">
        <f>IFERROR(__xludf.DUMMYFUNCTION("""COMPUTED_VALUE"""),"TRSF E-BANKING DB TANGGAL :18/11")</f>
        <v>TRSF E-BANKING DB TANGGAL :18/11</v>
      </c>
      <c r="C51" s="5" t="str">
        <f>IFERROR(__xludf.DUMMYFUNCTION("""COMPUTED_VALUE"""),"1811/FTSCY/WS95031 pelunasan BROILER MAKMUR TAN")</f>
        <v>1811/FTSCY/WS95031 pelunasan BROILER MAKMUR TAN</v>
      </c>
      <c r="D51" s="5">
        <f>IFERROR(__xludf.DUMMYFUNCTION("""COMPUTED_VALUE"""),1.507E7)</f>
        <v>15070000</v>
      </c>
      <c r="E51" s="5"/>
      <c r="F51" s="5" t="str">
        <f>IFERROR(__xludf.DUMMYFUNCTION("""COMPUTED_VALUE"""),"DB")</f>
        <v>DB</v>
      </c>
      <c r="G51" s="5">
        <f>IFERROR(__xludf.DUMMYFUNCTION("""COMPUTED_VALUE"""),3.1571593519000006E8)</f>
        <v>315715935.2</v>
      </c>
      <c r="H51" s="5">
        <f>IFERROR(__xludf.DUMMYFUNCTION("""COMPUTED_VALUE"""),3.1571593519E8)</f>
        <v>315715935.2</v>
      </c>
      <c r="I51" s="5" t="str">
        <f>IFERROR(__xludf.DUMMYFUNCTION("""COMPUTED_VALUE"""),"PRIBADI")</f>
        <v>PRIBADI</v>
      </c>
    </row>
    <row r="52">
      <c r="A52" s="7">
        <f>IFERROR(__xludf.DUMMYFUNCTION("""COMPUTED_VALUE"""),46345.0)</f>
        <v>46345</v>
      </c>
      <c r="B52" s="5" t="str">
        <f>IFERROR(__xludf.DUMMYFUNCTION("""COMPUTED_VALUE"""),"TRSF E-BANKING DB TANGGAL :18/11")</f>
        <v>TRSF E-BANKING DB TANGGAL :18/11</v>
      </c>
      <c r="C52" s="5" t="str">
        <f>IFERROR(__xludf.DUMMYFUNCTION("""COMPUTED_VALUE"""),"1811/FTSCY/WS95031 Mon Nov 16 2026 15:00:00 GMT+0700 (Western Indonesia Time) SUPER UNGGAS JAYA")</f>
        <v>1811/FTSCY/WS95031 Mon Nov 16 2026 15:00:00 GMT+0700 (Western Indonesia Time) SUPER UNGGAS JAYA</v>
      </c>
      <c r="D52" s="5">
        <f>IFERROR(__xludf.DUMMYFUNCTION("""COMPUTED_VALUE"""),2.362144E7)</f>
        <v>23621440</v>
      </c>
      <c r="E52" s="5"/>
      <c r="F52" s="5" t="str">
        <f>IFERROR(__xludf.DUMMYFUNCTION("""COMPUTED_VALUE"""),"DB")</f>
        <v>DB</v>
      </c>
      <c r="G52" s="5">
        <f>IFERROR(__xludf.DUMMYFUNCTION("""COMPUTED_VALUE"""),2.9209449519000006E8)</f>
        <v>292094495.2</v>
      </c>
      <c r="H52" s="5">
        <f>IFERROR(__xludf.DUMMYFUNCTION("""COMPUTED_VALUE"""),2.9209449519E8)</f>
        <v>292094495.2</v>
      </c>
      <c r="I52" s="5" t="str">
        <f>IFERROR(__xludf.DUMMYFUNCTION("""COMPUTED_VALUE"""),"PRIBADI")</f>
        <v>PRIBADI</v>
      </c>
    </row>
    <row r="53">
      <c r="A53" s="7">
        <f>IFERROR(__xludf.DUMMYFUNCTION("""COMPUTED_VALUE"""),46345.0)</f>
        <v>46345</v>
      </c>
      <c r="B53" s="5" t="str">
        <f>IFERROR(__xludf.DUMMYFUNCTION("""COMPUTED_VALUE"""),"TRSF E-BANKING DB TANGGAL :18/11")</f>
        <v>TRSF E-BANKING DB TANGGAL :18/11</v>
      </c>
      <c r="C53" s="5" t="str">
        <f>IFERROR(__xludf.DUMMYFUNCTION("""COMPUTED_VALUE"""),"1811/FTSCY/WS95271 pelunasan SUPER UNGGAS JAYA")</f>
        <v>1811/FTSCY/WS95271 pelunasan SUPER UNGGAS JAYA</v>
      </c>
      <c r="D53" s="5">
        <f>IFERROR(__xludf.DUMMYFUNCTION("""COMPUTED_VALUE"""),8.0E7)</f>
        <v>80000000</v>
      </c>
      <c r="E53" s="5"/>
      <c r="F53" s="5" t="str">
        <f>IFERROR(__xludf.DUMMYFUNCTION("""COMPUTED_VALUE"""),"DB")</f>
        <v>DB</v>
      </c>
      <c r="G53" s="5">
        <f>IFERROR(__xludf.DUMMYFUNCTION("""COMPUTED_VALUE"""),2.1209449519000006E8)</f>
        <v>212094495.2</v>
      </c>
      <c r="H53" s="5"/>
      <c r="I53" s="5" t="str">
        <f>IFERROR(__xludf.DUMMYFUNCTION("""COMPUTED_VALUE"""),"PRIBADI")</f>
        <v>PRIBADI</v>
      </c>
    </row>
    <row r="54">
      <c r="A54" s="7">
        <f>IFERROR(__xludf.DUMMYFUNCTION("""COMPUTED_VALUE"""),46345.0)</f>
        <v>46345</v>
      </c>
      <c r="B54" s="5" t="str">
        <f>IFERROR(__xludf.DUMMYFUNCTION("""COMPUTED_VALUE"""),"TRSF E-BANKING DB TANGGAL :18/11")</f>
        <v>TRSF E-BANKING DB TANGGAL :18/11</v>
      </c>
      <c r="C54" s="5" t="str">
        <f>IFERROR(__xludf.DUMMYFUNCTION("""COMPUTED_VALUE"""),"1811/FTSCY/WS95011 Mon Nov 16 2026 15:00:00 GMT+0700 (Western Indonesia Time) BROILER MAKMUR TAN")</f>
        <v>1811/FTSCY/WS95011 Mon Nov 16 2026 15:00:00 GMT+0700 (Western Indonesia Time) BROILER MAKMUR TAN</v>
      </c>
      <c r="D54" s="5">
        <f>IFERROR(__xludf.DUMMYFUNCTION("""COMPUTED_VALUE"""),4.477403E8)</f>
        <v>447740300</v>
      </c>
      <c r="E54" s="5"/>
      <c r="F54" s="5" t="str">
        <f>IFERROR(__xludf.DUMMYFUNCTION("""COMPUTED_VALUE"""),"DB")</f>
        <v>DB</v>
      </c>
      <c r="G54" s="5">
        <f>IFERROR(__xludf.DUMMYFUNCTION("""COMPUTED_VALUE"""),1.3672374519000006E8)</f>
        <v>136723745.2</v>
      </c>
      <c r="H54" s="5"/>
      <c r="I54" s="5" t="str">
        <f>IFERROR(__xludf.DUMMYFUNCTION("""COMPUTED_VALUE"""),"PRIBADI")</f>
        <v>PRIBADI</v>
      </c>
    </row>
    <row r="55">
      <c r="A55" s="7">
        <f>IFERROR(__xludf.DUMMYFUNCTION("""COMPUTED_VALUE"""),46345.0)</f>
        <v>46345</v>
      </c>
      <c r="B55" s="5" t="str">
        <f>IFERROR(__xludf.DUMMYFUNCTION("""COMPUTED_VALUE"""),"TRSF E-BANKING DB")</f>
        <v>TRSF E-BANKING DB</v>
      </c>
      <c r="C55" s="5" t="str">
        <f>IFERROR(__xludf.DUMMYFUNCTION("""COMPUTED_VALUE"""),"1911/FTSCY/WS95271 112018250.00 Tue Nov 17 2026 15:00:00 GMT+0700 (Western Indonesia Time) BRANTAS ABADI SENT")</f>
        <v>1911/FTSCY/WS95271 112018250.00 Tue Nov 17 2026 15:00:00 GMT+0700 (Western Indonesia Time) BRANTAS ABADI SENT</v>
      </c>
      <c r="D55" s="5">
        <f>IFERROR(__xludf.DUMMYFUNCTION("""COMPUTED_VALUE"""),1.1201825E8)</f>
        <v>112018250</v>
      </c>
      <c r="E55" s="5"/>
      <c r="F55" s="5" t="str">
        <f>IFERROR(__xludf.DUMMYFUNCTION("""COMPUTED_VALUE"""),"DB")</f>
        <v>DB</v>
      </c>
      <c r="G55" s="5">
        <f>IFERROR(__xludf.DUMMYFUNCTION("""COMPUTED_VALUE"""),2.4705495190000057E7)</f>
        <v>24705495.19</v>
      </c>
      <c r="H55" s="5"/>
      <c r="I55" s="5" t="str">
        <f>IFERROR(__xludf.DUMMYFUNCTION("""COMPUTED_VALUE"""),"PRIBADI")</f>
        <v>PRIBADI</v>
      </c>
    </row>
    <row r="56">
      <c r="A56" s="7">
        <f>IFERROR(__xludf.DUMMYFUNCTION("""COMPUTED_VALUE"""),46345.0)</f>
        <v>46345</v>
      </c>
      <c r="B56" s="5" t="str">
        <f>IFERROR(__xludf.DUMMYFUNCTION("""COMPUTED_VALUE"""),"TRSF E-BANKING DB")</f>
        <v>TRSF E-BANKING DB</v>
      </c>
      <c r="C56" s="5" t="str">
        <f>IFERROR(__xludf.DUMMYFUNCTION("""COMPUTED_VALUE"""),"1911/FTFVA/WS95031 80777/TOKOPEDIA - - 82318368518")</f>
        <v>1911/FTFVA/WS95031 80777/TOKOPEDIA - - 82318368518</v>
      </c>
      <c r="D56" s="5">
        <f>IFERROR(__xludf.DUMMYFUNCTION("""COMPUTED_VALUE"""),160001.0)</f>
        <v>160001</v>
      </c>
      <c r="E56" s="5"/>
      <c r="F56" s="5" t="str">
        <f>IFERROR(__xludf.DUMMYFUNCTION("""COMPUTED_VALUE"""),"DB")</f>
        <v>DB</v>
      </c>
      <c r="G56" s="5">
        <f>IFERROR(__xludf.DUMMYFUNCTION("""COMPUTED_VALUE"""),2.4545494190000057E7)</f>
        <v>24545494.19</v>
      </c>
      <c r="H56" s="5"/>
      <c r="I56" s="5" t="str">
        <f>IFERROR(__xludf.DUMMYFUNCTION("""COMPUTED_VALUE"""),"PRIBADI")</f>
        <v>PRIBADI</v>
      </c>
    </row>
    <row r="57">
      <c r="A57" s="7">
        <f>IFERROR(__xludf.DUMMYFUNCTION("""COMPUTED_VALUE"""),46345.0)</f>
        <v>46345</v>
      </c>
      <c r="B57" s="5" t="str">
        <f>IFERROR(__xludf.DUMMYFUNCTION("""COMPUTED_VALUE"""),"TRSF E-BANKING DB")</f>
        <v>TRSF E-BANKING DB</v>
      </c>
      <c r="C57" s="5" t="str">
        <f>IFERROR(__xludf.DUMMYFUNCTION("""COMPUTED_VALUE"""),"1911/FTFVA/WS95031 80777/TOKOPEDIA - - 82318368518")</f>
        <v>1911/FTFVA/WS95031 80777/TOKOPEDIA - - 82318368518</v>
      </c>
      <c r="D57" s="5">
        <f>IFERROR(__xludf.DUMMYFUNCTION("""COMPUTED_VALUE"""),1130800.0)</f>
        <v>1130800</v>
      </c>
      <c r="E57" s="5"/>
      <c r="F57" s="5" t="str">
        <f>IFERROR(__xludf.DUMMYFUNCTION("""COMPUTED_VALUE"""),"DB")</f>
        <v>DB</v>
      </c>
      <c r="G57" s="5">
        <f>IFERROR(__xludf.DUMMYFUNCTION("""COMPUTED_VALUE"""),2.3414694190000057E7)</f>
        <v>23414694.19</v>
      </c>
      <c r="H57" s="5"/>
      <c r="I57" s="5" t="str">
        <f>IFERROR(__xludf.DUMMYFUNCTION("""COMPUTED_VALUE"""),"PRIBADI")</f>
        <v>PRIBADI</v>
      </c>
    </row>
    <row r="58">
      <c r="A58" s="7">
        <f>IFERROR(__xludf.DUMMYFUNCTION("""COMPUTED_VALUE"""),46345.0)</f>
        <v>46345</v>
      </c>
      <c r="B58" s="5" t="str">
        <f>IFERROR(__xludf.DUMMYFUNCTION("""COMPUTED_VALUE"""),"TARIKAN ATM 19/11")</f>
        <v>TARIKAN ATM 19/11</v>
      </c>
      <c r="C58" s="5" t="str">
        <f>IFERROR(__xludf.DUMMYFUNCTION("""COMPUTED_VALUE"""),"TARIKAN ATM 19/11")</f>
        <v>TARIKAN ATM 19/11</v>
      </c>
      <c r="D58" s="5">
        <f>IFERROR(__xludf.DUMMYFUNCTION("""COMPUTED_VALUE"""),200000.0)</f>
        <v>200000</v>
      </c>
      <c r="E58" s="5"/>
      <c r="F58" s="5"/>
      <c r="G58" s="5">
        <f>IFERROR(__xludf.DUMMYFUNCTION("""COMPUTED_VALUE"""),2.3214694190000057E7)</f>
        <v>23214694.19</v>
      </c>
      <c r="H58" s="5"/>
      <c r="I58" s="5" t="str">
        <f>IFERROR(__xludf.DUMMYFUNCTION("""COMPUTED_VALUE"""),"PRIBADI")</f>
        <v>PRIBADI</v>
      </c>
    </row>
    <row r="59">
      <c r="A59" s="7">
        <f>IFERROR(__xludf.DUMMYFUNCTION("""COMPUTED_VALUE"""),46345.0)</f>
        <v>46345</v>
      </c>
      <c r="B59" s="5" t="str">
        <f>IFERROR(__xludf.DUMMYFUNCTION("""COMPUTED_VALUE"""),"SWITCHING")</f>
        <v>SWITCHING</v>
      </c>
      <c r="C59" s="5" t="str">
        <f>IFERROR(__xludf.DUMMYFUNCTION("""COMPUTED_VALUE"""),"WITHDRAWAL DI 009 ALFAMART KENANGA")</f>
        <v>WITHDRAWAL DI 009 ALFAMART KENANGA</v>
      </c>
      <c r="D59" s="5">
        <f>IFERROR(__xludf.DUMMYFUNCTION("""COMPUTED_VALUE"""),250000.0)</f>
        <v>250000</v>
      </c>
      <c r="E59" s="5"/>
      <c r="F59" s="5"/>
      <c r="G59" s="5">
        <f>IFERROR(__xludf.DUMMYFUNCTION("""COMPUTED_VALUE"""),2.2964694190000057E7)</f>
        <v>22964694.19</v>
      </c>
      <c r="H59" s="5"/>
      <c r="I59" s="5" t="str">
        <f>IFERROR(__xludf.DUMMYFUNCTION("""COMPUTED_VALUE"""),"PRIBADI")</f>
        <v>PRIBADI</v>
      </c>
    </row>
    <row r="60">
      <c r="A60" s="7">
        <f>IFERROR(__xludf.DUMMYFUNCTION("""COMPUTED_VALUE"""),46345.0)</f>
        <v>46345</v>
      </c>
      <c r="B60" s="5" t="str">
        <f>IFERROR(__xludf.DUMMYFUNCTION("""COMPUTED_VALUE"""),"SWITCHING")</f>
        <v>SWITCHING</v>
      </c>
      <c r="C60" s="5" t="str">
        <f>IFERROR(__xludf.DUMMYFUNCTION("""COMPUTED_VALUE"""),"BIAYA TXN  DI 009 ALFAMART KENANGA")</f>
        <v>BIAYA TXN  DI 009 ALFAMART KENANGA</v>
      </c>
      <c r="D60" s="5">
        <f>IFERROR(__xludf.DUMMYFUNCTION("""COMPUTED_VALUE"""),7500.0)</f>
        <v>7500</v>
      </c>
      <c r="E60" s="5"/>
      <c r="F60" s="5"/>
      <c r="G60" s="5">
        <f>IFERROR(__xludf.DUMMYFUNCTION("""COMPUTED_VALUE"""),2.2957194190000057E7)</f>
        <v>22957194.19</v>
      </c>
      <c r="H60" s="5"/>
      <c r="I60" s="5" t="str">
        <f>IFERROR(__xludf.DUMMYFUNCTION("""COMPUTED_VALUE"""),"PRIBADI")</f>
        <v>PRIBADI</v>
      </c>
    </row>
    <row r="61">
      <c r="A61" s="7">
        <f>IFERROR(__xludf.DUMMYFUNCTION("""COMPUTED_VALUE"""),46345.0)</f>
        <v>46345</v>
      </c>
      <c r="B61" s="5" t="str">
        <f>IFERROR(__xludf.DUMMYFUNCTION("""COMPUTED_VALUE"""),"TRSF E-BANKING DB")</f>
        <v>TRSF E-BANKING DB</v>
      </c>
      <c r="C61" s="5" t="str">
        <f>IFERROR(__xludf.DUMMYFUNCTION("""COMPUTED_VALUE"""),"1911/FTSCY/WS95271 3125250.00 pelunasan BRANTAS ABADI SENT")</f>
        <v>1911/FTSCY/WS95271 3125250.00 pelunasan BRANTAS ABADI SENT</v>
      </c>
      <c r="D61" s="5">
        <f>IFERROR(__xludf.DUMMYFUNCTION("""COMPUTED_VALUE"""),3125250.0)</f>
        <v>3125250</v>
      </c>
      <c r="E61" s="5"/>
      <c r="F61" s="5" t="str">
        <f>IFERROR(__xludf.DUMMYFUNCTION("""COMPUTED_VALUE"""),"DB")</f>
        <v>DB</v>
      </c>
      <c r="G61" s="5">
        <f>IFERROR(__xludf.DUMMYFUNCTION("""COMPUTED_VALUE"""),2.2957194190000057E7)</f>
        <v>22957194.19</v>
      </c>
      <c r="H61" s="5"/>
      <c r="I61" s="5" t="str">
        <f>IFERROR(__xludf.DUMMYFUNCTION("""COMPUTED_VALUE"""),"PRIBADI")</f>
        <v>PRIBADI</v>
      </c>
    </row>
    <row r="62">
      <c r="A62" s="7">
        <f>IFERROR(__xludf.DUMMYFUNCTION("""COMPUTED_VALUE"""),46345.0)</f>
        <v>46345</v>
      </c>
      <c r="B62" s="5" t="str">
        <f>IFERROR(__xludf.DUMMYFUNCTION("""COMPUTED_VALUE"""),"TRSF E-BANKING DB")</f>
        <v>TRSF E-BANKING DB</v>
      </c>
      <c r="C62" s="5" t="str">
        <f>IFERROR(__xludf.DUMMYFUNCTION("""COMPUTED_VALUE"""),"1911/FTSCY/WS95271 20000000.00 SANDI FAJAR PRASET")</f>
        <v>1911/FTSCY/WS95271 20000000.00 SANDI FAJAR PRASET</v>
      </c>
      <c r="D62" s="5">
        <f>IFERROR(__xludf.DUMMYFUNCTION("""COMPUTED_VALUE"""),2.0E7)</f>
        <v>20000000</v>
      </c>
      <c r="E62" s="5"/>
      <c r="F62" s="5" t="str">
        <f>IFERROR(__xludf.DUMMYFUNCTION("""COMPUTED_VALUE"""),"DB")</f>
        <v>DB</v>
      </c>
      <c r="G62" s="5">
        <f>IFERROR(__xludf.DUMMYFUNCTION("""COMPUTED_VALUE"""),2957194.190000057)</f>
        <v>2957194.19</v>
      </c>
      <c r="H62" s="5"/>
      <c r="I62" s="5" t="str">
        <f>IFERROR(__xludf.DUMMYFUNCTION("""COMPUTED_VALUE"""),"PRIBADI")</f>
        <v>PRIBADI</v>
      </c>
    </row>
    <row r="63">
      <c r="A63" s="7">
        <f>IFERROR(__xludf.DUMMYFUNCTION("""COMPUTED_VALUE"""),46346.0)</f>
        <v>46346</v>
      </c>
      <c r="B63" s="5" t="str">
        <f>IFERROR(__xludf.DUMMYFUNCTION("""COMPUTED_VALUE"""),"TARIKAN ATM 20/11")</f>
        <v>TARIKAN ATM 20/11</v>
      </c>
      <c r="C63" s="5" t="str">
        <f>IFERROR(__xludf.DUMMYFUNCTION("""COMPUTED_VALUE"""),"TARIKAN ATM 20/11")</f>
        <v>TARIKAN ATM 20/11</v>
      </c>
      <c r="D63" s="5">
        <f>IFERROR(__xludf.DUMMYFUNCTION("""COMPUTED_VALUE"""),200000.0)</f>
        <v>200000</v>
      </c>
      <c r="E63" s="5"/>
      <c r="F63" s="5"/>
      <c r="G63" s="5">
        <f>IFERROR(__xludf.DUMMYFUNCTION("""COMPUTED_VALUE"""),6.533719419000006E7)</f>
        <v>65337194.19</v>
      </c>
      <c r="H63" s="5">
        <f>IFERROR(__xludf.DUMMYFUNCTION("""COMPUTED_VALUE"""),6.533719419E7)</f>
        <v>65337194.19</v>
      </c>
      <c r="I63" s="5" t="str">
        <f>IFERROR(__xludf.DUMMYFUNCTION("""COMPUTED_VALUE"""),"PRIBADI")</f>
        <v>PRIBADI</v>
      </c>
    </row>
    <row r="64">
      <c r="A64" s="7">
        <f>IFERROR(__xludf.DUMMYFUNCTION("""COMPUTED_VALUE"""),46346.0)</f>
        <v>46346</v>
      </c>
      <c r="B64" s="5" t="str">
        <f>IFERROR(__xludf.DUMMYFUNCTION("""COMPUTED_VALUE"""),"SWITCHING DB")</f>
        <v>SWITCHING DB</v>
      </c>
      <c r="C64" s="5" t="str">
        <f>IFERROR(__xludf.DUMMYFUNCTION("""COMPUTED_VALUE"""),"KE 008 SLAMET PRASETYO /M-BCA")</f>
        <v>KE 008 SLAMET PRASETYO /M-BCA</v>
      </c>
      <c r="D64" s="5">
        <f>IFERROR(__xludf.DUMMYFUNCTION("""COMPUTED_VALUE"""),200000.0)</f>
        <v>200000</v>
      </c>
      <c r="E64" s="5"/>
      <c r="F64" s="5" t="str">
        <f>IFERROR(__xludf.DUMMYFUNCTION("""COMPUTED_VALUE"""),"DB")</f>
        <v>DB</v>
      </c>
      <c r="G64" s="5">
        <f>IFERROR(__xludf.DUMMYFUNCTION("""COMPUTED_VALUE"""),6.592919419000006E7)</f>
        <v>65929194.19</v>
      </c>
      <c r="H64" s="5"/>
      <c r="I64" s="5" t="str">
        <f>IFERROR(__xludf.DUMMYFUNCTION("""COMPUTED_VALUE"""),"PRIBADI")</f>
        <v>PRIBADI</v>
      </c>
    </row>
    <row r="65">
      <c r="A65" s="7">
        <f>IFERROR(__xludf.DUMMYFUNCTION("""COMPUTED_VALUE"""),46346.0)</f>
        <v>46346</v>
      </c>
      <c r="B65" s="5" t="str">
        <f>IFERROR(__xludf.DUMMYFUNCTION("""COMPUTED_VALUE"""),"SWITCHING DB")</f>
        <v>SWITCHING DB</v>
      </c>
      <c r="C65" s="5" t="str">
        <f>IFERROR(__xludf.DUMMYFUNCTION("""COMPUTED_VALUE"""),"TRANSFERKE 008 SLAMET PRASETYO /M-BCA")</f>
        <v>TRANSFERKE 008 SLAMET PRASETYO /M-BCA</v>
      </c>
      <c r="D65" s="5">
        <f>IFERROR(__xludf.DUMMYFUNCTION("""COMPUTED_VALUE"""),6500.0)</f>
        <v>6500</v>
      </c>
      <c r="E65" s="5"/>
      <c r="F65" s="5" t="str">
        <f>IFERROR(__xludf.DUMMYFUNCTION("""COMPUTED_VALUE"""),"DB")</f>
        <v>DB</v>
      </c>
      <c r="G65" s="5">
        <f>IFERROR(__xludf.DUMMYFUNCTION("""COMPUTED_VALUE"""),6.592269419000006E7)</f>
        <v>65922694.19</v>
      </c>
      <c r="H65" s="5"/>
      <c r="I65" s="5" t="str">
        <f>IFERROR(__xludf.DUMMYFUNCTION("""COMPUTED_VALUE"""),"PRIBADI")</f>
        <v>PRIBADI</v>
      </c>
    </row>
    <row r="66">
      <c r="A66" s="7">
        <f>IFERROR(__xludf.DUMMYFUNCTION("""COMPUTED_VALUE"""),46346.0)</f>
        <v>46346</v>
      </c>
      <c r="B66" s="5" t="str">
        <f>IFERROR(__xludf.DUMMYFUNCTION("""COMPUTED_VALUE"""),"TRSF E-BANKING DB")</f>
        <v>TRSF E-BANKING DB</v>
      </c>
      <c r="C66" s="5" t="str">
        <f>IFERROR(__xludf.DUMMYFUNCTION("""COMPUTED_VALUE"""),"2011/FTSCY/WS95271 53501250.00 Tue Nov 17 2026 15:00:00 GMT+0700 (Western Indonesia Time) BINTANG TAMA SANTO")</f>
        <v>2011/FTSCY/WS95271 53501250.00 Tue Nov 17 2026 15:00:00 GMT+0700 (Western Indonesia Time) BINTANG TAMA SANTO</v>
      </c>
      <c r="D66" s="5">
        <f>IFERROR(__xludf.DUMMYFUNCTION("""COMPUTED_VALUE"""),5.350125E7)</f>
        <v>53501250</v>
      </c>
      <c r="E66" s="5"/>
      <c r="F66" s="5" t="str">
        <f>IFERROR(__xludf.DUMMYFUNCTION("""COMPUTED_VALUE"""),"DB")</f>
        <v>DB</v>
      </c>
      <c r="G66" s="5">
        <f>IFERROR(__xludf.DUMMYFUNCTION("""COMPUTED_VALUE"""),2.3911154419000006E8)</f>
        <v>239111544.2</v>
      </c>
      <c r="H66" s="5"/>
      <c r="I66" s="5" t="str">
        <f>IFERROR(__xludf.DUMMYFUNCTION("""COMPUTED_VALUE"""),"PRIBADI")</f>
        <v>PRIBADI</v>
      </c>
    </row>
    <row r="67">
      <c r="A67" s="7">
        <f>IFERROR(__xludf.DUMMYFUNCTION("""COMPUTED_VALUE"""),46346.0)</f>
        <v>46346</v>
      </c>
      <c r="B67" s="5" t="str">
        <f>IFERROR(__xludf.DUMMYFUNCTION("""COMPUTED_VALUE"""),"TRSF E-BANKING DB")</f>
        <v>TRSF E-BANKING DB</v>
      </c>
      <c r="C67" s="5" t="str">
        <f>IFERROR(__xludf.DUMMYFUNCTION("""COMPUTED_VALUE"""),"2011/FTSCY/WS95271 113813120.00 Tue Nov 17 2026 15:00:00 GMT+0700 (Western Indonesia Time) RUKUN MITRA BERSAM")</f>
        <v>2011/FTSCY/WS95271 113813120.00 Tue Nov 17 2026 15:00:00 GMT+0700 (Western Indonesia Time) RUKUN MITRA BERSAM</v>
      </c>
      <c r="D67" s="5">
        <f>IFERROR(__xludf.DUMMYFUNCTION("""COMPUTED_VALUE"""),1.1381312E8)</f>
        <v>113813120</v>
      </c>
      <c r="E67" s="5"/>
      <c r="F67" s="5" t="str">
        <f>IFERROR(__xludf.DUMMYFUNCTION("""COMPUTED_VALUE"""),"DB")</f>
        <v>DB</v>
      </c>
      <c r="G67" s="5">
        <f>IFERROR(__xludf.DUMMYFUNCTION("""COMPUTED_VALUE"""),1.2529842419000006E8)</f>
        <v>125298424.2</v>
      </c>
      <c r="H67" s="5"/>
      <c r="I67" s="5" t="str">
        <f>IFERROR(__xludf.DUMMYFUNCTION("""COMPUTED_VALUE"""),"PRIBADI")</f>
        <v>PRIBADI</v>
      </c>
    </row>
    <row r="68">
      <c r="A68" s="7">
        <f>IFERROR(__xludf.DUMMYFUNCTION("""COMPUTED_VALUE"""),46346.0)</f>
        <v>46346</v>
      </c>
      <c r="B68" s="5" t="str">
        <f>IFERROR(__xludf.DUMMYFUNCTION("""COMPUTED_VALUE"""),"TRSF E-BANKING DB")</f>
        <v>TRSF E-BANKING DB</v>
      </c>
      <c r="C68" s="5" t="str">
        <f>IFERROR(__xludf.DUMMYFUNCTION("""COMPUTED_VALUE"""),"2011/FTSCY/WS95271 120000000.00 TUMBUH OPTIMAL PRI")</f>
        <v>2011/FTSCY/WS95271 120000000.00 TUMBUH OPTIMAL PRI</v>
      </c>
      <c r="D68" s="5">
        <f>IFERROR(__xludf.DUMMYFUNCTION("""COMPUTED_VALUE"""),1.2E8)</f>
        <v>120000000</v>
      </c>
      <c r="E68" s="5"/>
      <c r="F68" s="5" t="str">
        <f>IFERROR(__xludf.DUMMYFUNCTION("""COMPUTED_VALUE"""),"DB")</f>
        <v>DB</v>
      </c>
      <c r="G68" s="5">
        <f>IFERROR(__xludf.DUMMYFUNCTION("""COMPUTED_VALUE"""),5550924.190000057)</f>
        <v>5550924.19</v>
      </c>
      <c r="H68" s="5"/>
      <c r="I68" s="5" t="str">
        <f>IFERROR(__xludf.DUMMYFUNCTION("""COMPUTED_VALUE"""),"PRIBADI")</f>
        <v>PRIBADI</v>
      </c>
    </row>
    <row r="69">
      <c r="A69" s="7">
        <f>IFERROR(__xludf.DUMMYFUNCTION("""COMPUTED_VALUE"""),46346.0)</f>
        <v>46346</v>
      </c>
      <c r="B69" s="5" t="str">
        <f>IFERROR(__xludf.DUMMYFUNCTION("""COMPUTED_VALUE"""),"TRSF E-BANKING DB")</f>
        <v>TRSF E-BANKING DB</v>
      </c>
      <c r="C69" s="5" t="str">
        <f>IFERROR(__xludf.DUMMYFUNCTION("""COMPUTED_VALUE"""),"2011/FTSCY/WS95271 5000000.00 EKO SETIYAWAN")</f>
        <v>2011/FTSCY/WS95271 5000000.00 EKO SETIYAWAN</v>
      </c>
      <c r="D69" s="5">
        <f>IFERROR(__xludf.DUMMYFUNCTION("""COMPUTED_VALUE"""),5000000.0)</f>
        <v>5000000</v>
      </c>
      <c r="E69" s="5"/>
      <c r="F69" s="5" t="str">
        <f>IFERROR(__xludf.DUMMYFUNCTION("""COMPUTED_VALUE"""),"DB")</f>
        <v>DB</v>
      </c>
      <c r="G69" s="5">
        <f>IFERROR(__xludf.DUMMYFUNCTION("""COMPUTED_VALUE"""),550924.1900000572)</f>
        <v>550924.19</v>
      </c>
      <c r="H69" s="5"/>
      <c r="I69" s="5" t="str">
        <f>IFERROR(__xludf.DUMMYFUNCTION("""COMPUTED_VALUE"""),"PRIBADI")</f>
        <v>PRIBADI</v>
      </c>
    </row>
    <row r="70">
      <c r="A70" s="7">
        <f>IFERROR(__xludf.DUMMYFUNCTION("""COMPUTED_VALUE"""),46346.0)</f>
        <v>46346</v>
      </c>
      <c r="B70" s="5" t="str">
        <f>IFERROR(__xludf.DUMMYFUNCTION("""COMPUTED_VALUE"""),"TRSF E-BANKING DB")</f>
        <v>TRSF E-BANKING DB</v>
      </c>
      <c r="C70" s="5" t="str">
        <f>IFERROR(__xludf.DUMMYFUNCTION("""COMPUTED_VALUE"""),"2011/FTSCY/WS95031 1300000.00 sewa lunas EKO SETIYAWAN")</f>
        <v>2011/FTSCY/WS95031 1300000.00 sewa lunas EKO SETIYAWAN</v>
      </c>
      <c r="D70" s="5">
        <f>IFERROR(__xludf.DUMMYFUNCTION("""COMPUTED_VALUE"""),1300000.0)</f>
        <v>1300000</v>
      </c>
      <c r="E70" s="5"/>
      <c r="F70" s="5" t="str">
        <f>IFERROR(__xludf.DUMMYFUNCTION("""COMPUTED_VALUE"""),"DB")</f>
        <v>DB</v>
      </c>
      <c r="G70" s="5">
        <f>IFERROR(__xludf.DUMMYFUNCTION("""COMPUTED_VALUE"""),1.4270892419000006E8)</f>
        <v>142708924.2</v>
      </c>
      <c r="H70" s="5">
        <f>IFERROR(__xludf.DUMMYFUNCTION("""COMPUTED_VALUE"""),1.4270892419E8)</f>
        <v>142708924.2</v>
      </c>
      <c r="I70" s="5" t="str">
        <f>IFERROR(__xludf.DUMMYFUNCTION("""COMPUTED_VALUE"""),"PRIBADI")</f>
        <v>PRIBADI</v>
      </c>
    </row>
    <row r="71">
      <c r="A71" s="7">
        <f>IFERROR(__xludf.DUMMYFUNCTION("""COMPUTED_VALUE"""),46346.0)</f>
        <v>46346</v>
      </c>
      <c r="B71" s="5" t="str">
        <f>IFERROR(__xludf.DUMMYFUNCTION("""COMPUTED_VALUE"""),"TRSF E-BANKING DB")</f>
        <v>TRSF E-BANKING DB</v>
      </c>
      <c r="C71" s="5" t="str">
        <f>IFERROR(__xludf.DUMMYFUNCTION("""COMPUTED_VALUE"""),"2011/FTSCY/WS95031 10000000.00 EKO SETIYAWAN")</f>
        <v>2011/FTSCY/WS95031 10000000.00 EKO SETIYAWAN</v>
      </c>
      <c r="D71" s="5">
        <f>IFERROR(__xludf.DUMMYFUNCTION("""COMPUTED_VALUE"""),1.0E7)</f>
        <v>10000000</v>
      </c>
      <c r="E71" s="5"/>
      <c r="F71" s="5" t="str">
        <f>IFERROR(__xludf.DUMMYFUNCTION("""COMPUTED_VALUE"""),"DB")</f>
        <v>DB</v>
      </c>
      <c r="G71" s="5">
        <f>IFERROR(__xludf.DUMMYFUNCTION("""COMPUTED_VALUE"""),1.3270892419000006E8)</f>
        <v>132708924.2</v>
      </c>
      <c r="H71" s="5">
        <f>IFERROR(__xludf.DUMMYFUNCTION("""COMPUTED_VALUE"""),1.3270892419E8)</f>
        <v>132708924.2</v>
      </c>
      <c r="I71" s="5" t="str">
        <f>IFERROR(__xludf.DUMMYFUNCTION("""COMPUTED_VALUE"""),"PRIBADI")</f>
        <v>PRIBADI</v>
      </c>
    </row>
    <row r="72">
      <c r="A72" s="7">
        <f>IFERROR(__xludf.DUMMYFUNCTION("""COMPUTED_VALUE"""),46347.0)</f>
        <v>46347</v>
      </c>
      <c r="B72" s="5" t="str">
        <f>IFERROR(__xludf.DUMMYFUNCTION("""COMPUTED_VALUE"""),"TRSF E-BANKING DB TANGGAL :20/11")</f>
        <v>TRSF E-BANKING DB TANGGAL :20/11</v>
      </c>
      <c r="C72" s="5" t="str">
        <f>IFERROR(__xludf.DUMMYFUNCTION("""COMPUTED_VALUE"""),"2011/FTSCY/WS95031 pelunasan TUMBUH OPTIMAL PRI")</f>
        <v>2011/FTSCY/WS95031 pelunasan TUMBUH OPTIMAL PRI</v>
      </c>
      <c r="D72" s="5">
        <f>IFERROR(__xludf.DUMMYFUNCTION("""COMPUTED_VALUE"""),6.81E7)</f>
        <v>68100000</v>
      </c>
      <c r="E72" s="5"/>
      <c r="F72" s="5" t="str">
        <f>IFERROR(__xludf.DUMMYFUNCTION("""COMPUTED_VALUE"""),"DB")</f>
        <v>DB</v>
      </c>
      <c r="G72" s="5">
        <f>IFERROR(__xludf.DUMMYFUNCTION("""COMPUTED_VALUE"""),6.460892419000006E7)</f>
        <v>64608924.19</v>
      </c>
      <c r="H72" s="5"/>
      <c r="I72" s="5" t="str">
        <f>IFERROR(__xludf.DUMMYFUNCTION("""COMPUTED_VALUE"""),"PRIBADI")</f>
        <v>PRIBADI</v>
      </c>
    </row>
    <row r="73">
      <c r="A73" s="7">
        <f>IFERROR(__xludf.DUMMYFUNCTION("""COMPUTED_VALUE"""),46347.0)</f>
        <v>46347</v>
      </c>
      <c r="B73" s="5" t="str">
        <f>IFERROR(__xludf.DUMMYFUNCTION("""COMPUTED_VALUE"""),"KARTU DEBIT TANGGAL :20/11")</f>
        <v>KARTU DEBIT TANGGAL :20/11</v>
      </c>
      <c r="C73" s="5" t="str">
        <f>IFERROR(__xludf.DUMMYFUNCTION("""COMPUTED_VALUE"""),"IDM TROJ LANGSEP")</f>
        <v>IDM TROJ LANGSEP</v>
      </c>
      <c r="D73" s="5">
        <f>IFERROR(__xludf.DUMMYFUNCTION("""COMPUTED_VALUE"""),149800.0)</f>
        <v>149800</v>
      </c>
      <c r="E73" s="5"/>
      <c r="F73" s="5"/>
      <c r="G73" s="5">
        <f>IFERROR(__xludf.DUMMYFUNCTION("""COMPUTED_VALUE"""),6.445912419000006E7)</f>
        <v>64459124.19</v>
      </c>
      <c r="H73" s="5"/>
      <c r="I73" s="5" t="str">
        <f>IFERROR(__xludf.DUMMYFUNCTION("""COMPUTED_VALUE"""),"PRIBADI")</f>
        <v>PRIBADI</v>
      </c>
    </row>
    <row r="74">
      <c r="A74" s="7">
        <f>IFERROR(__xludf.DUMMYFUNCTION("""COMPUTED_VALUE"""),46347.0)</f>
        <v>46347</v>
      </c>
      <c r="B74" s="5" t="str">
        <f>IFERROR(__xludf.DUMMYFUNCTION("""COMPUTED_VALUE"""),"TRSF E-BANKING DB")</f>
        <v>TRSF E-BANKING DB</v>
      </c>
      <c r="C74" s="5" t="str">
        <f>IFERROR(__xludf.DUMMYFUNCTION("""COMPUTED_VALUE"""),"2111/FTSCY/WS95271 53494210.00 Tue Nov 17 2026 15:00:00 GMT+0700 (Western Indonesia Time) ANUGERAH KARTIKA A")</f>
        <v>2111/FTSCY/WS95271 53494210.00 Tue Nov 17 2026 15:00:00 GMT+0700 (Western Indonesia Time) ANUGERAH KARTIKA A</v>
      </c>
      <c r="D74" s="5">
        <f>IFERROR(__xludf.DUMMYFUNCTION("""COMPUTED_VALUE"""),5.349421E7)</f>
        <v>53494210</v>
      </c>
      <c r="E74" s="5"/>
      <c r="F74" s="5" t="str">
        <f>IFERROR(__xludf.DUMMYFUNCTION("""COMPUTED_VALUE"""),"DB")</f>
        <v>DB</v>
      </c>
      <c r="G74" s="5">
        <f>IFERROR(__xludf.DUMMYFUNCTION("""COMPUTED_VALUE"""),3.7387460419000006E8)</f>
        <v>373874604.2</v>
      </c>
      <c r="H74" s="5"/>
      <c r="I74" s="5" t="str">
        <f>IFERROR(__xludf.DUMMYFUNCTION("""COMPUTED_VALUE"""),"PRIBADI")</f>
        <v>PRIBADI</v>
      </c>
    </row>
    <row r="75">
      <c r="A75" s="7">
        <f>IFERROR(__xludf.DUMMYFUNCTION("""COMPUTED_VALUE"""),46347.0)</f>
        <v>46347</v>
      </c>
      <c r="B75" s="5" t="str">
        <f>IFERROR(__xludf.DUMMYFUNCTION("""COMPUTED_VALUE"""),"TRSF E-BANKING DB")</f>
        <v>TRSF E-BANKING DB</v>
      </c>
      <c r="C75" s="5" t="str">
        <f>IFERROR(__xludf.DUMMYFUNCTION("""COMPUTED_VALUE"""),"2111/FTSCY/WS95271 45132450.00 Wed Nov 18 2026 15:00:00 GMT+0700 (Western Indonesia Time) SURYA INTI TERNAK")</f>
        <v>2111/FTSCY/WS95271 45132450.00 Wed Nov 18 2026 15:00:00 GMT+0700 (Western Indonesia Time) SURYA INTI TERNAK</v>
      </c>
      <c r="D75" s="5">
        <f>IFERROR(__xludf.DUMMYFUNCTION("""COMPUTED_VALUE"""),4.513245E7)</f>
        <v>45132450</v>
      </c>
      <c r="E75" s="5"/>
      <c r="F75" s="5" t="str">
        <f>IFERROR(__xludf.DUMMYFUNCTION("""COMPUTED_VALUE"""),"DB")</f>
        <v>DB</v>
      </c>
      <c r="G75" s="5">
        <f>IFERROR(__xludf.DUMMYFUNCTION("""COMPUTED_VALUE"""),3.2874215419000006E8)</f>
        <v>328742154.2</v>
      </c>
      <c r="H75" s="5"/>
      <c r="I75" s="5" t="str">
        <f>IFERROR(__xludf.DUMMYFUNCTION("""COMPUTED_VALUE"""),"PRIBADI")</f>
        <v>PRIBADI</v>
      </c>
    </row>
    <row r="76">
      <c r="A76" s="7">
        <f>IFERROR(__xludf.DUMMYFUNCTION("""COMPUTED_VALUE"""),46347.0)</f>
        <v>46347</v>
      </c>
      <c r="B76" s="5" t="str">
        <f>IFERROR(__xludf.DUMMYFUNCTION("""COMPUTED_VALUE"""),"TRSF E-BANKING DB")</f>
        <v>TRSF E-BANKING DB</v>
      </c>
      <c r="C76" s="5" t="str">
        <f>IFERROR(__xludf.DUMMYFUNCTION("""COMPUTED_VALUE"""),"2111/FTSCY/WS95271 107875050.00 Fri Nov 20 2026 15:00:00 GMT+0700 (Western Indonesia Time) LAWU ABADI NUSA PT")</f>
        <v>2111/FTSCY/WS95271 107875050.00 Fri Nov 20 2026 15:00:00 GMT+0700 (Western Indonesia Time) LAWU ABADI NUSA PT</v>
      </c>
      <c r="D76" s="5">
        <f>IFERROR(__xludf.DUMMYFUNCTION("""COMPUTED_VALUE"""),1.0787505E8)</f>
        <v>107875050</v>
      </c>
      <c r="E76" s="5"/>
      <c r="F76" s="5" t="str">
        <f>IFERROR(__xludf.DUMMYFUNCTION("""COMPUTED_VALUE"""),"DB")</f>
        <v>DB</v>
      </c>
      <c r="G76" s="5">
        <f>IFERROR(__xludf.DUMMYFUNCTION("""COMPUTED_VALUE"""),2.2086710419000006E8)</f>
        <v>220867104.2</v>
      </c>
      <c r="H76" s="5"/>
      <c r="I76" s="5" t="str">
        <f>IFERROR(__xludf.DUMMYFUNCTION("""COMPUTED_VALUE"""),"PRIBADI")</f>
        <v>PRIBADI</v>
      </c>
    </row>
    <row r="77">
      <c r="A77" s="7">
        <f>IFERROR(__xludf.DUMMYFUNCTION("""COMPUTED_VALUE"""),46347.0)</f>
        <v>46347</v>
      </c>
      <c r="B77" s="5" t="str">
        <f>IFERROR(__xludf.DUMMYFUNCTION("""COMPUTED_VALUE"""),"TRSF E-BANKING DB")</f>
        <v>TRSF E-BANKING DB</v>
      </c>
      <c r="C77" s="5" t="str">
        <f>IFERROR(__xludf.DUMMYFUNCTION("""COMPUTED_VALUE"""),"2111/FTFVA/WS95031 55574/GUNA MITRA S t.agung - 200177")</f>
        <v>2111/FTFVA/WS95031 55574/GUNA MITRA S t.agung - 200177</v>
      </c>
      <c r="D77" s="5">
        <f>IFERROR(__xludf.DUMMYFUNCTION("""COMPUTED_VALUE"""),1.188657E8)</f>
        <v>118865700</v>
      </c>
      <c r="E77" s="5"/>
      <c r="F77" s="5" t="str">
        <f>IFERROR(__xludf.DUMMYFUNCTION("""COMPUTED_VALUE"""),"DB")</f>
        <v>DB</v>
      </c>
      <c r="G77" s="5">
        <f>IFERROR(__xludf.DUMMYFUNCTION("""COMPUTED_VALUE"""),1.0200140419000006E8)</f>
        <v>102001404.2</v>
      </c>
      <c r="H77" s="5"/>
      <c r="I77" s="5" t="str">
        <f>IFERROR(__xludf.DUMMYFUNCTION("""COMPUTED_VALUE"""),"PRIBADI")</f>
        <v>PRIBADI</v>
      </c>
    </row>
    <row r="78">
      <c r="A78" s="7">
        <f>IFERROR(__xludf.DUMMYFUNCTION("""COMPUTED_VALUE"""),46347.0)</f>
        <v>46347</v>
      </c>
      <c r="B78" s="5" t="str">
        <f>IFERROR(__xludf.DUMMYFUNCTION("""COMPUTED_VALUE"""),"TRSF E-BANKING DB")</f>
        <v>TRSF E-BANKING DB</v>
      </c>
      <c r="C78" s="5" t="str">
        <f>IFERROR(__xludf.DUMMYFUNCTION("""COMPUTED_VALUE"""),"2111/FTSCY/WS95031 3112000.00 lunas HERMAWAN")</f>
        <v>2111/FTSCY/WS95031 3112000.00 lunas HERMAWAN</v>
      </c>
      <c r="D78" s="5">
        <f>IFERROR(__xludf.DUMMYFUNCTION("""COMPUTED_VALUE"""),3112000.0)</f>
        <v>3112000</v>
      </c>
      <c r="E78" s="5"/>
      <c r="F78" s="5" t="str">
        <f>IFERROR(__xludf.DUMMYFUNCTION("""COMPUTED_VALUE"""),"DB")</f>
        <v>DB</v>
      </c>
      <c r="G78" s="5">
        <f>IFERROR(__xludf.DUMMYFUNCTION("""COMPUTED_VALUE"""),9.888940419000006E7)</f>
        <v>98889404.19</v>
      </c>
      <c r="H78" s="5"/>
      <c r="I78" s="5" t="str">
        <f>IFERROR(__xludf.DUMMYFUNCTION("""COMPUTED_VALUE"""),"PRIBADI")</f>
        <v>PRIBADI</v>
      </c>
    </row>
    <row r="79">
      <c r="A79" s="7">
        <f>IFERROR(__xludf.DUMMYFUNCTION("""COMPUTED_VALUE"""),46347.0)</f>
        <v>46347</v>
      </c>
      <c r="B79" s="5" t="str">
        <f>IFERROR(__xludf.DUMMYFUNCTION("""COMPUTED_VALUE"""),"TRSF E-BANKING DB")</f>
        <v>TRSF E-BANKING DB</v>
      </c>
      <c r="C79" s="5" t="str">
        <f>IFERROR(__xludf.DUMMYFUNCTION("""COMPUTED_VALUE"""),"2111/FTFVA/WS95031 80777/TOKOPEDIA - - 82318368518")</f>
        <v>2111/FTFVA/WS95031 80777/TOKOPEDIA - - 82318368518</v>
      </c>
      <c r="D79" s="5">
        <f>IFERROR(__xludf.DUMMYFUNCTION("""COMPUTED_VALUE"""),56400.0)</f>
        <v>56400</v>
      </c>
      <c r="E79" s="5"/>
      <c r="F79" s="5" t="str">
        <f>IFERROR(__xludf.DUMMYFUNCTION("""COMPUTED_VALUE"""),"DB")</f>
        <v>DB</v>
      </c>
      <c r="G79" s="5">
        <f>IFERROR(__xludf.DUMMYFUNCTION("""COMPUTED_VALUE"""),9.883300419000006E7)</f>
        <v>98833004.19</v>
      </c>
      <c r="H79" s="5"/>
      <c r="I79" s="5" t="str">
        <f>IFERROR(__xludf.DUMMYFUNCTION("""COMPUTED_VALUE"""),"PRIBADI")</f>
        <v>PRIBADI</v>
      </c>
    </row>
    <row r="80">
      <c r="A80" s="7">
        <f>IFERROR(__xludf.DUMMYFUNCTION("""COMPUTED_VALUE"""),46347.0)</f>
        <v>46347</v>
      </c>
      <c r="B80" s="5" t="str">
        <f>IFERROR(__xludf.DUMMYFUNCTION("""COMPUTED_VALUE"""),"TRSF E-BANKING DB")</f>
        <v>TRSF E-BANKING DB</v>
      </c>
      <c r="C80" s="5" t="str">
        <f>IFERROR(__xludf.DUMMYFUNCTION("""COMPUTED_VALUE"""),"2111/FTSCY/WS95031 252500.00 pelunasan BRANTAS ABADI SENT")</f>
        <v>2111/FTSCY/WS95031 252500.00 pelunasan BRANTAS ABADI SENT</v>
      </c>
      <c r="D80" s="5">
        <f>IFERROR(__xludf.DUMMYFUNCTION("""COMPUTED_VALUE"""),252500.0)</f>
        <v>252500</v>
      </c>
      <c r="E80" s="5"/>
      <c r="F80" s="5" t="str">
        <f>IFERROR(__xludf.DUMMYFUNCTION("""COMPUTED_VALUE"""),"DB")</f>
        <v>DB</v>
      </c>
      <c r="G80" s="5">
        <f>IFERROR(__xludf.DUMMYFUNCTION("""COMPUTED_VALUE"""),2.0715330419000006E8)</f>
        <v>207153304.2</v>
      </c>
      <c r="H80" s="5">
        <f>IFERROR(__xludf.DUMMYFUNCTION("""COMPUTED_VALUE"""),2.0715330419E8)</f>
        <v>207153304.2</v>
      </c>
      <c r="I80" s="5" t="str">
        <f>IFERROR(__xludf.DUMMYFUNCTION("""COMPUTED_VALUE"""),"PRIBADI")</f>
        <v>PRIBADI</v>
      </c>
    </row>
    <row r="81">
      <c r="A81" s="7">
        <f>IFERROR(__xludf.DUMMYFUNCTION("""COMPUTED_VALUE"""),46347.0)</f>
        <v>46347</v>
      </c>
      <c r="B81" s="5" t="str">
        <f>IFERROR(__xludf.DUMMYFUNCTION("""COMPUTED_VALUE"""),"TRSF E-BANKING DB")</f>
        <v>TRSF E-BANKING DB</v>
      </c>
      <c r="C81" s="5" t="str">
        <f>IFERROR(__xludf.DUMMYFUNCTION("""COMPUTED_VALUE"""),"2111/FTSCY/WS95271 40000000.00 titip RUKUN MITRA BERSAM")</f>
        <v>2111/FTSCY/WS95271 40000000.00 titip RUKUN MITRA BERSAM</v>
      </c>
      <c r="D81" s="5">
        <f>IFERROR(__xludf.DUMMYFUNCTION("""COMPUTED_VALUE"""),4.0E7)</f>
        <v>40000000</v>
      </c>
      <c r="E81" s="5"/>
      <c r="F81" s="5" t="str">
        <f>IFERROR(__xludf.DUMMYFUNCTION("""COMPUTED_VALUE"""),"DB")</f>
        <v>DB</v>
      </c>
      <c r="G81" s="5">
        <f>IFERROR(__xludf.DUMMYFUNCTION("""COMPUTED_VALUE"""),2.8479705419000006E8)</f>
        <v>284797054.2</v>
      </c>
      <c r="H81" s="5"/>
      <c r="I81" s="5" t="str">
        <f>IFERROR(__xludf.DUMMYFUNCTION("""COMPUTED_VALUE"""),"PRIBADI")</f>
        <v>PRIBADI</v>
      </c>
    </row>
    <row r="82">
      <c r="A82" s="7">
        <f>IFERROR(__xludf.DUMMYFUNCTION("""COMPUTED_VALUE"""),46347.0)</f>
        <v>46347</v>
      </c>
      <c r="B82" s="5" t="str">
        <f>IFERROR(__xludf.DUMMYFUNCTION("""COMPUTED_VALUE"""),"TRSF E-BANKING DB")</f>
        <v>TRSF E-BANKING DB</v>
      </c>
      <c r="C82" s="5" t="str">
        <f>IFERROR(__xludf.DUMMYFUNCTION("""COMPUTED_VALUE"""),"2111/FTSCY/WS95031 1300000.00 SUNARTO")</f>
        <v>2111/FTSCY/WS95031 1300000.00 SUNARTO</v>
      </c>
      <c r="D82" s="5">
        <f>IFERROR(__xludf.DUMMYFUNCTION("""COMPUTED_VALUE"""),1300000.0)</f>
        <v>1300000</v>
      </c>
      <c r="E82" s="5"/>
      <c r="F82" s="5" t="str">
        <f>IFERROR(__xludf.DUMMYFUNCTION("""COMPUTED_VALUE"""),"DB")</f>
        <v>DB</v>
      </c>
      <c r="G82" s="5">
        <f>IFERROR(__xludf.DUMMYFUNCTION("""COMPUTED_VALUE"""),3.4755569919000006E8)</f>
        <v>347555699.2</v>
      </c>
      <c r="H82" s="5"/>
      <c r="I82" s="5" t="str">
        <f>IFERROR(__xludf.DUMMYFUNCTION("""COMPUTED_VALUE"""),"PRIBADI")</f>
        <v>PRIBADI</v>
      </c>
    </row>
    <row r="83">
      <c r="A83" s="7">
        <f>IFERROR(__xludf.DUMMYFUNCTION("""COMPUTED_VALUE"""),46347.0)</f>
        <v>46347</v>
      </c>
      <c r="B83" s="5" t="str">
        <f>IFERROR(__xludf.DUMMYFUNCTION("""COMPUTED_VALUE"""),"TRSF E-BANKING DB")</f>
        <v>TRSF E-BANKING DB</v>
      </c>
      <c r="C83" s="5" t="str">
        <f>IFERROR(__xludf.DUMMYFUNCTION("""COMPUTED_VALUE"""),"2111/FTSCY/WS95031 10530820.00 EKO SETIYAWAN")</f>
        <v>2111/FTSCY/WS95031 10530820.00 EKO SETIYAWAN</v>
      </c>
      <c r="D83" s="5">
        <f>IFERROR(__xludf.DUMMYFUNCTION("""COMPUTED_VALUE"""),1.053082E7)</f>
        <v>10530820</v>
      </c>
      <c r="E83" s="5"/>
      <c r="F83" s="5" t="str">
        <f>IFERROR(__xludf.DUMMYFUNCTION("""COMPUTED_VALUE"""),"DB")</f>
        <v>DB</v>
      </c>
      <c r="G83" s="5">
        <f>IFERROR(__xludf.DUMMYFUNCTION("""COMPUTED_VALUE"""),4.9525837919000006E8)</f>
        <v>495258379.2</v>
      </c>
      <c r="H83" s="5"/>
      <c r="I83" s="5" t="str">
        <f>IFERROR(__xludf.DUMMYFUNCTION("""COMPUTED_VALUE"""),"PRIBADI")</f>
        <v>PRIBADI</v>
      </c>
    </row>
    <row r="84">
      <c r="A84" s="7">
        <f>IFERROR(__xludf.DUMMYFUNCTION("""COMPUTED_VALUE"""),46347.0)</f>
        <v>46347</v>
      </c>
      <c r="B84" s="5" t="str">
        <f>IFERROR(__xludf.DUMMYFUNCTION("""COMPUTED_VALUE"""),"TRSF E-BANKING DB")</f>
        <v>TRSF E-BANKING DB</v>
      </c>
      <c r="C84" s="5" t="str">
        <f>IFERROR(__xludf.DUMMYFUNCTION("""COMPUTED_VALUE"""),"2111/FTSCY/WS95031 1428000.00 EKO SETIYAWAN")</f>
        <v>2111/FTSCY/WS95031 1428000.00 EKO SETIYAWAN</v>
      </c>
      <c r="D84" s="5">
        <f>IFERROR(__xludf.DUMMYFUNCTION("""COMPUTED_VALUE"""),1428000.0)</f>
        <v>1428000</v>
      </c>
      <c r="E84" s="5"/>
      <c r="F84" s="5" t="str">
        <f>IFERROR(__xludf.DUMMYFUNCTION("""COMPUTED_VALUE"""),"DB")</f>
        <v>DB</v>
      </c>
      <c r="G84" s="5">
        <f>IFERROR(__xludf.DUMMYFUNCTION("""COMPUTED_VALUE"""),4.9383037919000006E8)</f>
        <v>493830379.2</v>
      </c>
      <c r="H84" s="5"/>
      <c r="I84" s="5" t="str">
        <f>IFERROR(__xludf.DUMMYFUNCTION("""COMPUTED_VALUE"""),"PRIBADI")</f>
        <v>PRIBADI</v>
      </c>
    </row>
    <row r="85">
      <c r="A85" s="7">
        <f>IFERROR(__xludf.DUMMYFUNCTION("""COMPUTED_VALUE"""),46347.0)</f>
        <v>46347</v>
      </c>
      <c r="B85" s="5" t="str">
        <f>IFERROR(__xludf.DUMMYFUNCTION("""COMPUTED_VALUE"""),"TRSF E-BANKING DB")</f>
        <v>TRSF E-BANKING DB</v>
      </c>
      <c r="C85" s="5" t="str">
        <f>IFERROR(__xludf.DUMMYFUNCTION("""COMPUTED_VALUE"""),"2111/FTSCY/WS95031 11623280.00 EKO SETIYAWAN")</f>
        <v>2111/FTSCY/WS95031 11623280.00 EKO SETIYAWAN</v>
      </c>
      <c r="D85" s="5">
        <f>IFERROR(__xludf.DUMMYFUNCTION("""COMPUTED_VALUE"""),1.162328E7)</f>
        <v>11623280</v>
      </c>
      <c r="E85" s="5"/>
      <c r="F85" s="5" t="str">
        <f>IFERROR(__xludf.DUMMYFUNCTION("""COMPUTED_VALUE"""),"DB")</f>
        <v>DB</v>
      </c>
      <c r="G85" s="5">
        <f>IFERROR(__xludf.DUMMYFUNCTION("""COMPUTED_VALUE"""),4.8220709919000006E8)</f>
        <v>482207099.2</v>
      </c>
      <c r="H85" s="5"/>
      <c r="I85" s="5" t="str">
        <f>IFERROR(__xludf.DUMMYFUNCTION("""COMPUTED_VALUE"""),"PRIBADI")</f>
        <v>PRIBADI</v>
      </c>
    </row>
    <row r="86">
      <c r="A86" s="7">
        <f>IFERROR(__xludf.DUMMYFUNCTION("""COMPUTED_VALUE"""),46347.0)</f>
        <v>46347</v>
      </c>
      <c r="B86" s="5" t="str">
        <f>IFERROR(__xludf.DUMMYFUNCTION("""COMPUTED_VALUE"""),"TRSF E-BANKING DB")</f>
        <v>TRSF E-BANKING DB</v>
      </c>
      <c r="C86" s="5" t="str">
        <f>IFERROR(__xludf.DUMMYFUNCTION("""COMPUTED_VALUE"""),"2111/FTSCY/WS95011 95098860.00 Fri Nov 20 2026 15:00:00 GMT+0700 (Western Indonesia Time) BRANTAS ABADI SENT")</f>
        <v>2111/FTSCY/WS95011 95098860.00 Fri Nov 20 2026 15:00:00 GMT+0700 (Western Indonesia Time) BRANTAS ABADI SENT</v>
      </c>
      <c r="D86" s="5">
        <f>IFERROR(__xludf.DUMMYFUNCTION("""COMPUTED_VALUE"""),9.509886E7)</f>
        <v>95098860</v>
      </c>
      <c r="E86" s="5"/>
      <c r="F86" s="5" t="str">
        <f>IFERROR(__xludf.DUMMYFUNCTION("""COMPUTED_VALUE"""),"DB")</f>
        <v>DB</v>
      </c>
      <c r="G86" s="5">
        <f>IFERROR(__xludf.DUMMYFUNCTION("""COMPUTED_VALUE"""),5.1825823919000006E8)</f>
        <v>518258239.2</v>
      </c>
      <c r="H86" s="5"/>
      <c r="I86" s="5" t="str">
        <f>IFERROR(__xludf.DUMMYFUNCTION("""COMPUTED_VALUE"""),"PRIBADI")</f>
        <v>PRIBADI</v>
      </c>
    </row>
    <row r="87">
      <c r="A87" s="7">
        <f>IFERROR(__xludf.DUMMYFUNCTION("""COMPUTED_VALUE"""),46347.0)</f>
        <v>46347</v>
      </c>
      <c r="B87" s="5" t="str">
        <f>IFERROR(__xludf.DUMMYFUNCTION("""COMPUTED_VALUE"""),"TRSF E-BANKING DB")</f>
        <v>TRSF E-BANKING DB</v>
      </c>
      <c r="C87" s="5" t="str">
        <f>IFERROR(__xludf.DUMMYFUNCTION("""COMPUTED_VALUE"""),"2111/FTSCY/WS95011 150862400.00 Thu Nov 19 2026 15:00:00 GMT+0700 (Western Indonesia Time) TERNAK SEJATI TABA")</f>
        <v>2111/FTSCY/WS95011 150862400.00 Thu Nov 19 2026 15:00:00 GMT+0700 (Western Indonesia Time) TERNAK SEJATI TABA</v>
      </c>
      <c r="D87" s="5">
        <f>IFERROR(__xludf.DUMMYFUNCTION("""COMPUTED_VALUE"""),1.508624E8)</f>
        <v>150862400</v>
      </c>
      <c r="E87" s="5"/>
      <c r="F87" s="5" t="str">
        <f>IFERROR(__xludf.DUMMYFUNCTION("""COMPUTED_VALUE"""),"DB")</f>
        <v>DB</v>
      </c>
      <c r="G87" s="5">
        <f>IFERROR(__xludf.DUMMYFUNCTION("""COMPUTED_VALUE"""),3.6739583919000006E8)</f>
        <v>367395839.2</v>
      </c>
      <c r="H87" s="5"/>
      <c r="I87" s="5" t="str">
        <f>IFERROR(__xludf.DUMMYFUNCTION("""COMPUTED_VALUE"""),"PRIBADI")</f>
        <v>PRIBADI</v>
      </c>
    </row>
    <row r="88">
      <c r="A88" s="7">
        <f>IFERROR(__xludf.DUMMYFUNCTION("""COMPUTED_VALUE"""),46347.0)</f>
        <v>46347</v>
      </c>
      <c r="B88" s="5" t="str">
        <f>IFERROR(__xludf.DUMMYFUNCTION("""COMPUTED_VALUE"""),"TRSF E-BANKING DB")</f>
        <v>TRSF E-BANKING DB</v>
      </c>
      <c r="C88" s="5" t="str">
        <f>IFERROR(__xludf.DUMMYFUNCTION("""COMPUTED_VALUE"""),"2111/FTSCY/WS95011 122145000.00 Thu Nov 19 2026 15:00:00 GMT+0700 (Western Indonesia Time) BINTANG TAMA SANTO")</f>
        <v>2111/FTSCY/WS95011 122145000.00 Thu Nov 19 2026 15:00:00 GMT+0700 (Western Indonesia Time) BINTANG TAMA SANTO</v>
      </c>
      <c r="D88" s="5">
        <f>IFERROR(__xludf.DUMMYFUNCTION("""COMPUTED_VALUE"""),1.22145E8)</f>
        <v>122145000</v>
      </c>
      <c r="E88" s="5"/>
      <c r="F88" s="5" t="str">
        <f>IFERROR(__xludf.DUMMYFUNCTION("""COMPUTED_VALUE"""),"DB")</f>
        <v>DB</v>
      </c>
      <c r="G88" s="5">
        <f>IFERROR(__xludf.DUMMYFUNCTION("""COMPUTED_VALUE"""),2.4525083919000006E8)</f>
        <v>245250839.2</v>
      </c>
      <c r="H88" s="5"/>
      <c r="I88" s="5" t="str">
        <f>IFERROR(__xludf.DUMMYFUNCTION("""COMPUTED_VALUE"""),"PRIBADI")</f>
        <v>PRIBADI</v>
      </c>
    </row>
    <row r="89">
      <c r="A89" s="7">
        <f>IFERROR(__xludf.DUMMYFUNCTION("""COMPUTED_VALUE"""),46347.0)</f>
        <v>46347</v>
      </c>
      <c r="B89" s="5" t="str">
        <f>IFERROR(__xludf.DUMMYFUNCTION("""COMPUTED_VALUE"""),"TRSF E-BANKING DB")</f>
        <v>TRSF E-BANKING DB</v>
      </c>
      <c r="C89" s="5" t="str">
        <f>IFERROR(__xludf.DUMMYFUNCTION("""COMPUTED_VALUE"""),"2111/FTSCY/WS95011 43572700.00 Thu Nov 19 2026 15:00:00 GMT+0700 (Western Indonesia Time) BINTANG TAMA SANTO")</f>
        <v>2111/FTSCY/WS95011 43572700.00 Thu Nov 19 2026 15:00:00 GMT+0700 (Western Indonesia Time) BINTANG TAMA SANTO</v>
      </c>
      <c r="D89" s="5">
        <f>IFERROR(__xludf.DUMMYFUNCTION("""COMPUTED_VALUE"""),4.35727E7)</f>
        <v>43572700</v>
      </c>
      <c r="E89" s="5"/>
      <c r="F89" s="5" t="str">
        <f>IFERROR(__xludf.DUMMYFUNCTION("""COMPUTED_VALUE"""),"DB")</f>
        <v>DB</v>
      </c>
      <c r="G89" s="5">
        <f>IFERROR(__xludf.DUMMYFUNCTION("""COMPUTED_VALUE"""),2.0167813919000006E8)</f>
        <v>201678139.2</v>
      </c>
      <c r="H89" s="5">
        <f>IFERROR(__xludf.DUMMYFUNCTION("""COMPUTED_VALUE"""),2.0167813919E8)</f>
        <v>201678139.2</v>
      </c>
      <c r="I89" s="5" t="str">
        <f>IFERROR(__xludf.DUMMYFUNCTION("""COMPUTED_VALUE"""),"PRIBADI")</f>
        <v>PRIBADI</v>
      </c>
    </row>
    <row r="90">
      <c r="A90" s="7">
        <f>IFERROR(__xludf.DUMMYFUNCTION("""COMPUTED_VALUE"""),46347.0)</f>
        <v>46347</v>
      </c>
      <c r="B90" s="5" t="str">
        <f>IFERROR(__xludf.DUMMYFUNCTION("""COMPUTED_VALUE"""),"TRSF E-BANKING DB")</f>
        <v>TRSF E-BANKING DB</v>
      </c>
      <c r="C90" s="5" t="str">
        <f>IFERROR(__xludf.DUMMYFUNCTION("""COMPUTED_VALUE"""),"2111/FTSCY/WS95011 85193740.00 Thu Nov 19 2026 15:00:00 GMT+0700 (Western Indonesia Time) ANUGERAH KARTIKA A")</f>
        <v>2111/FTSCY/WS95011 85193740.00 Thu Nov 19 2026 15:00:00 GMT+0700 (Western Indonesia Time) ANUGERAH KARTIKA A</v>
      </c>
      <c r="D90" s="5">
        <f>IFERROR(__xludf.DUMMYFUNCTION("""COMPUTED_VALUE"""),8.519374E7)</f>
        <v>85193740</v>
      </c>
      <c r="E90" s="5"/>
      <c r="F90" s="5" t="str">
        <f>IFERROR(__xludf.DUMMYFUNCTION("""COMPUTED_VALUE"""),"DB")</f>
        <v>DB</v>
      </c>
      <c r="G90" s="5">
        <f>IFERROR(__xludf.DUMMYFUNCTION("""COMPUTED_VALUE"""),1.1648439919000006E8)</f>
        <v>116484399.2</v>
      </c>
      <c r="H90" s="5">
        <f>IFERROR(__xludf.DUMMYFUNCTION("""COMPUTED_VALUE"""),1.1648439919E8)</f>
        <v>116484399.2</v>
      </c>
      <c r="I90" s="5" t="str">
        <f>IFERROR(__xludf.DUMMYFUNCTION("""COMPUTED_VALUE"""),"PRIBADI")</f>
        <v>PRIBADI</v>
      </c>
    </row>
    <row r="91">
      <c r="A91" s="7">
        <f>IFERROR(__xludf.DUMMYFUNCTION("""COMPUTED_VALUE"""),46347.0)</f>
        <v>46347</v>
      </c>
      <c r="B91" s="5" t="str">
        <f>IFERROR(__xludf.DUMMYFUNCTION("""COMPUTED_VALUE"""),"TRSF E-BANKING DB")</f>
        <v>TRSF E-BANKING DB</v>
      </c>
      <c r="C91" s="5" t="str">
        <f>IFERROR(__xludf.DUMMYFUNCTION("""COMPUTED_VALUE"""),"2111/FTSCY/WS95271 48856300.00 Thu Nov 19 2026 15:00:00 GMT+0700 (Western Indonesia Time) ANDALAN YASA MITRA")</f>
        <v>2111/FTSCY/WS95271 48856300.00 Thu Nov 19 2026 15:00:00 GMT+0700 (Western Indonesia Time) ANDALAN YASA MITRA</v>
      </c>
      <c r="D91" s="5">
        <f>IFERROR(__xludf.DUMMYFUNCTION("""COMPUTED_VALUE"""),4.88563E7)</f>
        <v>48856300</v>
      </c>
      <c r="E91" s="5"/>
      <c r="F91" s="5" t="str">
        <f>IFERROR(__xludf.DUMMYFUNCTION("""COMPUTED_VALUE"""),"DB")</f>
        <v>DB</v>
      </c>
      <c r="G91" s="5">
        <f>IFERROR(__xludf.DUMMYFUNCTION("""COMPUTED_VALUE"""),6.762809919000006E7)</f>
        <v>67628099.19</v>
      </c>
      <c r="H91" s="5"/>
      <c r="I91" s="5" t="str">
        <f>IFERROR(__xludf.DUMMYFUNCTION("""COMPUTED_VALUE"""),"PRIBADI")</f>
        <v>PRIBADI</v>
      </c>
    </row>
    <row r="92">
      <c r="A92" s="7">
        <f>IFERROR(__xludf.DUMMYFUNCTION("""COMPUTED_VALUE"""),46347.0)</f>
        <v>46347</v>
      </c>
      <c r="B92" s="5" t="str">
        <f>IFERROR(__xludf.DUMMYFUNCTION("""COMPUTED_VALUE"""),"TRSF E-BANKING DB")</f>
        <v>TRSF E-BANKING DB</v>
      </c>
      <c r="C92" s="5" t="str">
        <f>IFERROR(__xludf.DUMMYFUNCTION("""COMPUTED_VALUE"""),"2111/FTSCY/WS95031 5500000.00 lunas DWI HERMANSYAH")</f>
        <v>2111/FTSCY/WS95031 5500000.00 lunas DWI HERMANSYAH</v>
      </c>
      <c r="D92" s="5">
        <f>IFERROR(__xludf.DUMMYFUNCTION("""COMPUTED_VALUE"""),5500000.0)</f>
        <v>5500000</v>
      </c>
      <c r="E92" s="5"/>
      <c r="F92" s="5" t="str">
        <f>IFERROR(__xludf.DUMMYFUNCTION("""COMPUTED_VALUE"""),"DB")</f>
        <v>DB</v>
      </c>
      <c r="G92" s="5">
        <f>IFERROR(__xludf.DUMMYFUNCTION("""COMPUTED_VALUE"""),6.212809919000006E7)</f>
        <v>62128099.19</v>
      </c>
      <c r="H92" s="5"/>
      <c r="I92" s="5" t="str">
        <f>IFERROR(__xludf.DUMMYFUNCTION("""COMPUTED_VALUE"""),"PRIBADI")</f>
        <v>PRIBADI</v>
      </c>
    </row>
    <row r="93">
      <c r="A93" s="7">
        <f>IFERROR(__xludf.DUMMYFUNCTION("""COMPUTED_VALUE"""),46347.0)</f>
        <v>46347</v>
      </c>
      <c r="B93" s="5" t="str">
        <f>IFERROR(__xludf.DUMMYFUNCTION("""COMPUTED_VALUE"""),"TRSF E-BANKING DB")</f>
        <v>TRSF E-BANKING DB</v>
      </c>
      <c r="C93" s="5" t="str">
        <f>IFERROR(__xludf.DUMMYFUNCTION("""COMPUTED_VALUE"""),"2111/FTSCY/WS95031 5419620.00 tgl 20 dan 21 luna s IMAM KUSAENI")</f>
        <v>2111/FTSCY/WS95031 5419620.00 tgl 20 dan 21 luna s IMAM KUSAENI</v>
      </c>
      <c r="D93" s="5">
        <f>IFERROR(__xludf.DUMMYFUNCTION("""COMPUTED_VALUE"""),5419620.0)</f>
        <v>5419620</v>
      </c>
      <c r="E93" s="5"/>
      <c r="F93" s="5" t="str">
        <f>IFERROR(__xludf.DUMMYFUNCTION("""COMPUTED_VALUE"""),"DB")</f>
        <v>DB</v>
      </c>
      <c r="G93" s="5">
        <f>IFERROR(__xludf.DUMMYFUNCTION("""COMPUTED_VALUE"""),5.670847919000006E7)</f>
        <v>56708479.19</v>
      </c>
      <c r="H93" s="5"/>
      <c r="I93" s="5" t="str">
        <f>IFERROR(__xludf.DUMMYFUNCTION("""COMPUTED_VALUE"""),"PRIBADI")</f>
        <v>PRIBADI</v>
      </c>
    </row>
    <row r="94">
      <c r="A94" s="7">
        <f>IFERROR(__xludf.DUMMYFUNCTION("""COMPUTED_VALUE"""),46347.0)</f>
        <v>46347</v>
      </c>
      <c r="B94" s="5" t="str">
        <f>IFERROR(__xludf.DUMMYFUNCTION("""COMPUTED_VALUE"""),"TRSF E-BANKING DB")</f>
        <v>TRSF E-BANKING DB</v>
      </c>
      <c r="C94" s="5" t="str">
        <f>IFERROR(__xludf.DUMMYFUNCTION("""COMPUTED_VALUE"""),"2111/FTSCY/WS95031 9052820.00 krg 10 jt MUJIANTO")</f>
        <v>2111/FTSCY/WS95031 9052820.00 krg 10 jt MUJIANTO</v>
      </c>
      <c r="D94" s="5">
        <f>IFERROR(__xludf.DUMMYFUNCTION("""COMPUTED_VALUE"""),9052820.0)</f>
        <v>9052820</v>
      </c>
      <c r="E94" s="5"/>
      <c r="F94" s="5" t="str">
        <f>IFERROR(__xludf.DUMMYFUNCTION("""COMPUTED_VALUE"""),"DB")</f>
        <v>DB</v>
      </c>
      <c r="G94" s="5">
        <f>IFERROR(__xludf.DUMMYFUNCTION("""COMPUTED_VALUE"""),4.765565919000006E7)</f>
        <v>47655659.19</v>
      </c>
      <c r="H94" s="5"/>
      <c r="I94" s="5" t="str">
        <f>IFERROR(__xludf.DUMMYFUNCTION("""COMPUTED_VALUE"""),"PRIBADI")</f>
        <v>PRIBADI</v>
      </c>
    </row>
    <row r="95">
      <c r="A95" s="7">
        <f>IFERROR(__xludf.DUMMYFUNCTION("""COMPUTED_VALUE"""),46347.0)</f>
        <v>46347</v>
      </c>
      <c r="B95" s="5" t="str">
        <f>IFERROR(__xludf.DUMMYFUNCTION("""COMPUTED_VALUE"""),"TRSF E-BANKING DB")</f>
        <v>TRSF E-BANKING DB</v>
      </c>
      <c r="C95" s="5" t="str">
        <f>IFERROR(__xludf.DUMMYFUNCTION("""COMPUTED_VALUE"""),"2111/FTSCY/WS95271 800000.00 DINA LUKMIANINGRUM")</f>
        <v>2111/FTSCY/WS95271 800000.00 DINA LUKMIANINGRUM</v>
      </c>
      <c r="D95" s="5">
        <f>IFERROR(__xludf.DUMMYFUNCTION("""COMPUTED_VALUE"""),800000.0)</f>
        <v>800000</v>
      </c>
      <c r="E95" s="5"/>
      <c r="F95" s="5" t="str">
        <f>IFERROR(__xludf.DUMMYFUNCTION("""COMPUTED_VALUE"""),"DB")</f>
        <v>DB</v>
      </c>
      <c r="G95" s="5">
        <f>IFERROR(__xludf.DUMMYFUNCTION("""COMPUTED_VALUE"""),4.685565919000006E7)</f>
        <v>46855659.19</v>
      </c>
      <c r="H95" s="5">
        <f>IFERROR(__xludf.DUMMYFUNCTION("""COMPUTED_VALUE"""),4.685565919E7)</f>
        <v>46855659.19</v>
      </c>
      <c r="I95" s="5" t="str">
        <f>IFERROR(__xludf.DUMMYFUNCTION("""COMPUTED_VALUE"""),"PRIBADI")</f>
        <v>PRIBADI</v>
      </c>
    </row>
    <row r="96">
      <c r="A96" s="7">
        <f>IFERROR(__xludf.DUMMYFUNCTION("""COMPUTED_VALUE"""),46348.0)</f>
        <v>46348</v>
      </c>
      <c r="B96" s="5" t="str">
        <f>IFERROR(__xludf.DUMMYFUNCTION("""COMPUTED_VALUE"""),"TRSF E-BANKING DB")</f>
        <v>TRSF E-BANKING DB</v>
      </c>
      <c r="C96" s="5" t="str">
        <f>IFERROR(__xludf.DUMMYFUNCTION("""COMPUTED_VALUE"""),"2211/FTSCY/WS95271 47280000.00 Sat Nov 21 2026 15:00:00 GMT+0700 (Western Indonesia Time) PRIMA JAYA BERSATU")</f>
        <v>2211/FTSCY/WS95271 47280000.00 Sat Nov 21 2026 15:00:00 GMT+0700 (Western Indonesia Time) PRIMA JAYA BERSATU</v>
      </c>
      <c r="D96" s="5">
        <f>IFERROR(__xludf.DUMMYFUNCTION("""COMPUTED_VALUE"""),4.728E7)</f>
        <v>47280000</v>
      </c>
      <c r="E96" s="5"/>
      <c r="F96" s="5" t="str">
        <f>IFERROR(__xludf.DUMMYFUNCTION("""COMPUTED_VALUE"""),"DB")</f>
        <v>DB</v>
      </c>
      <c r="G96" s="5">
        <f>IFERROR(__xludf.DUMMYFUNCTION("""COMPUTED_VALUE"""),4.957565919000006E7)</f>
        <v>49575659.19</v>
      </c>
      <c r="H96" s="5"/>
      <c r="I96" s="5" t="str">
        <f>IFERROR(__xludf.DUMMYFUNCTION("""COMPUTED_VALUE"""),"PRIBADI")</f>
        <v>PRIBADI</v>
      </c>
    </row>
    <row r="97">
      <c r="A97" s="7">
        <f>IFERROR(__xludf.DUMMYFUNCTION("""COMPUTED_VALUE"""),46348.0)</f>
        <v>46348</v>
      </c>
      <c r="B97" s="5" t="str">
        <f>IFERROR(__xludf.DUMMYFUNCTION("""COMPUTED_VALUE"""),"TRSF E-BANKING DB")</f>
        <v>TRSF E-BANKING DB</v>
      </c>
      <c r="C97" s="5" t="str">
        <f>IFERROR(__xludf.DUMMYFUNCTION("""COMPUTED_VALUE"""),"2211/FTSCY/WS95271 1600000.00 HERMAWAN")</f>
        <v>2211/FTSCY/WS95271 1600000.00 HERMAWAN</v>
      </c>
      <c r="D97" s="5">
        <f>IFERROR(__xludf.DUMMYFUNCTION("""COMPUTED_VALUE"""),1600000.0)</f>
        <v>1600000</v>
      </c>
      <c r="E97" s="5"/>
      <c r="F97" s="5" t="str">
        <f>IFERROR(__xludf.DUMMYFUNCTION("""COMPUTED_VALUE"""),"DB")</f>
        <v>DB</v>
      </c>
      <c r="G97" s="5">
        <f>IFERROR(__xludf.DUMMYFUNCTION("""COMPUTED_VALUE"""),4.797565919000006E7)</f>
        <v>47975659.19</v>
      </c>
      <c r="H97" s="5"/>
      <c r="I97" s="5" t="str">
        <f>IFERROR(__xludf.DUMMYFUNCTION("""COMPUTED_VALUE"""),"PRIBADI")</f>
        <v>PRIBADI</v>
      </c>
    </row>
    <row r="98">
      <c r="A98" s="7">
        <f>IFERROR(__xludf.DUMMYFUNCTION("""COMPUTED_VALUE"""),46348.0)</f>
        <v>46348</v>
      </c>
      <c r="B98" s="5" t="str">
        <f>IFERROR(__xludf.DUMMYFUNCTION("""COMPUTED_VALUE"""),"TRSF E-BANKING DB")</f>
        <v>TRSF E-BANKING DB</v>
      </c>
      <c r="C98" s="5" t="str">
        <f>IFERROR(__xludf.DUMMYFUNCTION("""COMPUTED_VALUE"""),"2211/FTSCY/WS95271 50000000.00 SUGENG RIADI")</f>
        <v>2211/FTSCY/WS95271 50000000.00 SUGENG RIADI</v>
      </c>
      <c r="D98" s="5">
        <f>IFERROR(__xludf.DUMMYFUNCTION("""COMPUTED_VALUE"""),5.0E7)</f>
        <v>50000000</v>
      </c>
      <c r="E98" s="5"/>
      <c r="F98" s="5" t="str">
        <f>IFERROR(__xludf.DUMMYFUNCTION("""COMPUTED_VALUE"""),"DB")</f>
        <v>DB</v>
      </c>
      <c r="G98" s="5">
        <f>IFERROR(__xludf.DUMMYFUNCTION("""COMPUTED_VALUE"""),1.1230490919000006E8)</f>
        <v>112304909.2</v>
      </c>
      <c r="H98" s="5"/>
      <c r="I98" s="5" t="str">
        <f>IFERROR(__xludf.DUMMYFUNCTION("""COMPUTED_VALUE"""),"PRIBADI")</f>
        <v>PRIBADI</v>
      </c>
    </row>
    <row r="99">
      <c r="A99" s="7">
        <f>IFERROR(__xludf.DUMMYFUNCTION("""COMPUTED_VALUE"""),46348.0)</f>
        <v>46348</v>
      </c>
      <c r="B99" s="5" t="str">
        <f>IFERROR(__xludf.DUMMYFUNCTION("""COMPUTED_VALUE"""),"TRSF E-BANKING DB")</f>
        <v>TRSF E-BANKING DB</v>
      </c>
      <c r="C99" s="5" t="str">
        <f>IFERROR(__xludf.DUMMYFUNCTION("""COMPUTED_VALUE"""),"2211/FTSCY/WS95271 98494380.00 Fri Nov 20 2026 15:00:00 GMT+0700 (Western Indonesia Time) INTEGRASI TEKNOLOG")</f>
        <v>2211/FTSCY/WS95271 98494380.00 Fri Nov 20 2026 15:00:00 GMT+0700 (Western Indonesia Time) INTEGRASI TEKNOLOG</v>
      </c>
      <c r="D99" s="5">
        <f>IFERROR(__xludf.DUMMYFUNCTION("""COMPUTED_VALUE"""),9.849438E7)</f>
        <v>98494380</v>
      </c>
      <c r="E99" s="5"/>
      <c r="F99" s="5" t="str">
        <f>IFERROR(__xludf.DUMMYFUNCTION("""COMPUTED_VALUE"""),"DB")</f>
        <v>DB</v>
      </c>
      <c r="G99" s="5">
        <f>IFERROR(__xludf.DUMMYFUNCTION("""COMPUTED_VALUE"""),1.3810529190000057E7)</f>
        <v>13810529.19</v>
      </c>
      <c r="H99" s="5"/>
      <c r="I99" s="5" t="str">
        <f>IFERROR(__xludf.DUMMYFUNCTION("""COMPUTED_VALUE"""),"PRIBADI")</f>
        <v>PRIBADI</v>
      </c>
    </row>
    <row r="100">
      <c r="A100" s="7">
        <f>IFERROR(__xludf.DUMMYFUNCTION("""COMPUTED_VALUE"""),46348.0)</f>
        <v>46348</v>
      </c>
      <c r="B100" s="5" t="str">
        <f>IFERROR(__xludf.DUMMYFUNCTION("""COMPUTED_VALUE"""),"TRSF E-BANKING DB")</f>
        <v>TRSF E-BANKING DB</v>
      </c>
      <c r="C100" s="5" t="str">
        <f>IFERROR(__xludf.DUMMYFUNCTION("""COMPUTED_VALUE"""),"2211/FTSCY/WS95031 4762000.00 ANDE DOSO ANGGORO")</f>
        <v>2211/FTSCY/WS95031 4762000.00 ANDE DOSO ANGGORO</v>
      </c>
      <c r="D100" s="5">
        <f>IFERROR(__xludf.DUMMYFUNCTION("""COMPUTED_VALUE"""),4762000.0)</f>
        <v>4762000</v>
      </c>
      <c r="E100" s="5"/>
      <c r="F100" s="5" t="str">
        <f>IFERROR(__xludf.DUMMYFUNCTION("""COMPUTED_VALUE"""),"DB")</f>
        <v>DB</v>
      </c>
      <c r="G100" s="5">
        <f>IFERROR(__xludf.DUMMYFUNCTION("""COMPUTED_VALUE"""),9048529.190000057)</f>
        <v>9048529.19</v>
      </c>
      <c r="H100" s="5">
        <f>IFERROR(__xludf.DUMMYFUNCTION("""COMPUTED_VALUE"""),9048529.19)</f>
        <v>9048529.19</v>
      </c>
      <c r="I100" s="5" t="str">
        <f>IFERROR(__xludf.DUMMYFUNCTION("""COMPUTED_VALUE"""),"PRIBADI")</f>
        <v>PRIBADI</v>
      </c>
    </row>
    <row r="101">
      <c r="A101" s="7">
        <f>IFERROR(__xludf.DUMMYFUNCTION("""COMPUTED_VALUE"""),46348.0)</f>
        <v>46348</v>
      </c>
      <c r="B101" s="5" t="str">
        <f>IFERROR(__xludf.DUMMYFUNCTION("""COMPUTED_VALUE"""),"SWITCHING DB")</f>
        <v>SWITCHING DB</v>
      </c>
      <c r="C101" s="5" t="str">
        <f>IFERROR(__xludf.DUMMYFUNCTION("""COMPUTED_VALUE"""),"KE 009 BPK MUHAMMAD NANDA /M-BCA")</f>
        <v>KE 009 BPK MUHAMMAD NANDA /M-BCA</v>
      </c>
      <c r="D101" s="5">
        <f>IFERROR(__xludf.DUMMYFUNCTION("""COMPUTED_VALUE"""),175000.0)</f>
        <v>175000</v>
      </c>
      <c r="E101" s="5"/>
      <c r="F101" s="5" t="str">
        <f>IFERROR(__xludf.DUMMYFUNCTION("""COMPUTED_VALUE"""),"DB")</f>
        <v>DB</v>
      </c>
      <c r="G101" s="5">
        <f>IFERROR(__xludf.DUMMYFUNCTION("""COMPUTED_VALUE"""),1.8146194919000006E8)</f>
        <v>181461949.2</v>
      </c>
      <c r="H101" s="5"/>
      <c r="I101" s="5" t="str">
        <f>IFERROR(__xludf.DUMMYFUNCTION("""COMPUTED_VALUE"""),"PRIBADI")</f>
        <v>PRIBADI</v>
      </c>
    </row>
    <row r="102">
      <c r="A102" s="7">
        <f>IFERROR(__xludf.DUMMYFUNCTION("""COMPUTED_VALUE"""),46348.0)</f>
        <v>46348</v>
      </c>
      <c r="B102" s="5" t="str">
        <f>IFERROR(__xludf.DUMMYFUNCTION("""COMPUTED_VALUE"""),"SWITCHING DB")</f>
        <v>SWITCHING DB</v>
      </c>
      <c r="C102" s="5" t="str">
        <f>IFERROR(__xludf.DUMMYFUNCTION("""COMPUTED_VALUE"""),"TRANSFERKE 009 BPK MUHAMMAD NANDA /M-BCA")</f>
        <v>TRANSFERKE 009 BPK MUHAMMAD NANDA /M-BCA</v>
      </c>
      <c r="D102" s="5">
        <f>IFERROR(__xludf.DUMMYFUNCTION("""COMPUTED_VALUE"""),6500.0)</f>
        <v>6500</v>
      </c>
      <c r="E102" s="5"/>
      <c r="F102" s="5" t="str">
        <f>IFERROR(__xludf.DUMMYFUNCTION("""COMPUTED_VALUE"""),"DB")</f>
        <v>DB</v>
      </c>
      <c r="G102" s="5">
        <f>IFERROR(__xludf.DUMMYFUNCTION("""COMPUTED_VALUE"""),1.8145544919000006E8)</f>
        <v>181455449.2</v>
      </c>
      <c r="H102" s="5"/>
      <c r="I102" s="5" t="str">
        <f>IFERROR(__xludf.DUMMYFUNCTION("""COMPUTED_VALUE"""),"PRIBADI")</f>
        <v>PRIBADI</v>
      </c>
    </row>
    <row r="103">
      <c r="A103" s="7">
        <f>IFERROR(__xludf.DUMMYFUNCTION("""COMPUTED_VALUE"""),46348.0)</f>
        <v>46348</v>
      </c>
      <c r="B103" s="5" t="str">
        <f>IFERROR(__xludf.DUMMYFUNCTION("""COMPUTED_VALUE"""),"TRSF E-BANKING DB")</f>
        <v>TRSF E-BANKING DB</v>
      </c>
      <c r="C103" s="5" t="str">
        <f>IFERROR(__xludf.DUMMYFUNCTION("""COMPUTED_VALUE"""),"2211/FTSCY/WS95031 350000.00 NURHAYATI")</f>
        <v>2211/FTSCY/WS95031 350000.00 NURHAYATI</v>
      </c>
      <c r="D103" s="5">
        <f>IFERROR(__xludf.DUMMYFUNCTION("""COMPUTED_VALUE"""),350000.0)</f>
        <v>350000</v>
      </c>
      <c r="E103" s="5"/>
      <c r="F103" s="5" t="str">
        <f>IFERROR(__xludf.DUMMYFUNCTION("""COMPUTED_VALUE"""),"DB")</f>
        <v>DB</v>
      </c>
      <c r="G103" s="5">
        <f>IFERROR(__xludf.DUMMYFUNCTION("""COMPUTED_VALUE"""),3.0498544919000006E8)</f>
        <v>304985449.2</v>
      </c>
      <c r="H103" s="5"/>
      <c r="I103" s="5" t="str">
        <f>IFERROR(__xludf.DUMMYFUNCTION("""COMPUTED_VALUE"""),"PRIBADI")</f>
        <v>PRIBADI</v>
      </c>
    </row>
    <row r="104">
      <c r="A104" s="7">
        <f>IFERROR(__xludf.DUMMYFUNCTION("""COMPUTED_VALUE"""),46348.0)</f>
        <v>46348</v>
      </c>
      <c r="B104" s="5" t="str">
        <f>IFERROR(__xludf.DUMMYFUNCTION("""COMPUTED_VALUE"""),"TRSF E-BANKING DB")</f>
        <v>TRSF E-BANKING DB</v>
      </c>
      <c r="C104" s="5" t="str">
        <f>IFERROR(__xludf.DUMMYFUNCTION("""COMPUTED_VALUE"""),"2211/FTSCY/WS95031 5981900.00 FAJAR ANDREANZAH")</f>
        <v>2211/FTSCY/WS95031 5981900.00 FAJAR ANDREANZAH</v>
      </c>
      <c r="D104" s="5">
        <f>IFERROR(__xludf.DUMMYFUNCTION("""COMPUTED_VALUE"""),5981900.0)</f>
        <v>5981900</v>
      </c>
      <c r="E104" s="5"/>
      <c r="F104" s="5" t="str">
        <f>IFERROR(__xludf.DUMMYFUNCTION("""COMPUTED_VALUE"""),"DB")</f>
        <v>DB</v>
      </c>
      <c r="G104" s="5">
        <f>IFERROR(__xludf.DUMMYFUNCTION("""COMPUTED_VALUE"""),2.9900354919000006E8)</f>
        <v>299003549.2</v>
      </c>
      <c r="H104" s="5"/>
      <c r="I104" s="5" t="str">
        <f>IFERROR(__xludf.DUMMYFUNCTION("""COMPUTED_VALUE"""),"PRIBADI")</f>
        <v>PRIBADI</v>
      </c>
    </row>
    <row r="105">
      <c r="A105" s="7">
        <f>IFERROR(__xludf.DUMMYFUNCTION("""COMPUTED_VALUE"""),46348.0)</f>
        <v>46348</v>
      </c>
      <c r="B105" s="5" t="str">
        <f>IFERROR(__xludf.DUMMYFUNCTION("""COMPUTED_VALUE"""),"TRSF E-BANKING DB")</f>
        <v>TRSF E-BANKING DB</v>
      </c>
      <c r="C105" s="5" t="str">
        <f>IFERROR(__xludf.DUMMYFUNCTION("""COMPUTED_VALUE"""),"2211/FTSCY/WS95031 10000000.00 EKO SETIYAWAN")</f>
        <v>2211/FTSCY/WS95031 10000000.00 EKO SETIYAWAN</v>
      </c>
      <c r="D105" s="5">
        <f>IFERROR(__xludf.DUMMYFUNCTION("""COMPUTED_VALUE"""),1.0E7)</f>
        <v>10000000</v>
      </c>
      <c r="E105" s="5"/>
      <c r="F105" s="5" t="str">
        <f>IFERROR(__xludf.DUMMYFUNCTION("""COMPUTED_VALUE"""),"DB")</f>
        <v>DB</v>
      </c>
      <c r="G105" s="5">
        <f>IFERROR(__xludf.DUMMYFUNCTION("""COMPUTED_VALUE"""),7.6341022919E8)</f>
        <v>763410229.2</v>
      </c>
      <c r="H105" s="5">
        <f>IFERROR(__xludf.DUMMYFUNCTION("""COMPUTED_VALUE"""),7.6341022919E8)</f>
        <v>763410229.2</v>
      </c>
      <c r="I105" s="5" t="str">
        <f>IFERROR(__xludf.DUMMYFUNCTION("""COMPUTED_VALUE"""),"PRIBADI")</f>
        <v>PRIBADI</v>
      </c>
    </row>
    <row r="106">
      <c r="A106" s="7">
        <f>IFERROR(__xludf.DUMMYFUNCTION("""COMPUTED_VALUE"""),46349.0)</f>
        <v>46349</v>
      </c>
      <c r="B106" s="5" t="str">
        <f>IFERROR(__xludf.DUMMYFUNCTION("""COMPUTED_VALUE"""),"TRSF E-BANKING DB TANGGAL :22/11")</f>
        <v>TRSF E-BANKING DB TANGGAL :22/11</v>
      </c>
      <c r="C106" s="5" t="str">
        <f>IFERROR(__xludf.DUMMYFUNCTION("""COMPUTED_VALUE"""),"2211/FTSCY/WS95011 Thu Nov 19 2026 15:00:00 GMT+0700 (Western Indonesia Time) BROILER MAKMUR TAN")</f>
        <v>2211/FTSCY/WS95011 Thu Nov 19 2026 15:00:00 GMT+0700 (Western Indonesia Time) BROILER MAKMUR TAN</v>
      </c>
      <c r="D106" s="5">
        <f>IFERROR(__xludf.DUMMYFUNCTION("""COMPUTED_VALUE"""),1.9976045E8)</f>
        <v>199760450</v>
      </c>
      <c r="E106" s="5"/>
      <c r="F106" s="5" t="str">
        <f>IFERROR(__xludf.DUMMYFUNCTION("""COMPUTED_VALUE"""),"DB")</f>
        <v>DB</v>
      </c>
      <c r="G106" s="5">
        <f>IFERROR(__xludf.DUMMYFUNCTION("""COMPUTED_VALUE"""),5.6364977919E8)</f>
        <v>563649779.2</v>
      </c>
      <c r="H106" s="5"/>
      <c r="I106" s="5" t="str">
        <f>IFERROR(__xludf.DUMMYFUNCTION("""COMPUTED_VALUE"""),"PRIBADI")</f>
        <v>PRIBADI</v>
      </c>
    </row>
    <row r="107">
      <c r="A107" s="7">
        <f>IFERROR(__xludf.DUMMYFUNCTION("""COMPUTED_VALUE"""),46349.0)</f>
        <v>46349</v>
      </c>
      <c r="B107" s="5" t="str">
        <f>IFERROR(__xludf.DUMMYFUNCTION("""COMPUTED_VALUE"""),"TRSF E-BANKING DB TANGGAL :22/11")</f>
        <v>TRSF E-BANKING DB TANGGAL :22/11</v>
      </c>
      <c r="C107" s="5" t="str">
        <f>IFERROR(__xludf.DUMMYFUNCTION("""COMPUTED_VALUE"""),"2211/FTSCY/WS95011 Pelunasan 20/11 TUMBUH OPTIMAL PRI")</f>
        <v>2211/FTSCY/WS95011 Pelunasan 20/11 TUMBUH OPTIMAL PRI</v>
      </c>
      <c r="D107" s="5">
        <f>IFERROR(__xludf.DUMMYFUNCTION("""COMPUTED_VALUE"""),6.625E7)</f>
        <v>66250000</v>
      </c>
      <c r="E107" s="5"/>
      <c r="F107" s="5" t="str">
        <f>IFERROR(__xludf.DUMMYFUNCTION("""COMPUTED_VALUE"""),"DB")</f>
        <v>DB</v>
      </c>
      <c r="G107" s="5">
        <f>IFERROR(__xludf.DUMMYFUNCTION("""COMPUTED_VALUE"""),4.9739977919000006E8)</f>
        <v>497399779.2</v>
      </c>
      <c r="H107" s="5"/>
      <c r="I107" s="5" t="str">
        <f>IFERROR(__xludf.DUMMYFUNCTION("""COMPUTED_VALUE"""),"PRIBADI")</f>
        <v>PRIBADI</v>
      </c>
    </row>
    <row r="108">
      <c r="A108" s="7">
        <f>IFERROR(__xludf.DUMMYFUNCTION("""COMPUTED_VALUE"""),46349.0)</f>
        <v>46349</v>
      </c>
      <c r="B108" s="5" t="str">
        <f>IFERROR(__xludf.DUMMYFUNCTION("""COMPUTED_VALUE"""),"TRSF E-BANKING DB TANGGAL :22/11")</f>
        <v>TRSF E-BANKING DB TANGGAL :22/11</v>
      </c>
      <c r="C108" s="5" t="str">
        <f>IFERROR(__xludf.DUMMYFUNCTION("""COMPUTED_VALUE"""),"2211/FTSCY/WS95011 Fri Nov 20 2026 15:00:00 GMT+0700 (Western Indonesia Time) TERNAK SEJATI TABA")</f>
        <v>2211/FTSCY/WS95011 Fri Nov 20 2026 15:00:00 GMT+0700 (Western Indonesia Time) TERNAK SEJATI TABA</v>
      </c>
      <c r="D108" s="5">
        <f>IFERROR(__xludf.DUMMYFUNCTION("""COMPUTED_VALUE"""),1.978041E8)</f>
        <v>197804100</v>
      </c>
      <c r="E108" s="5"/>
      <c r="F108" s="5" t="str">
        <f>IFERROR(__xludf.DUMMYFUNCTION("""COMPUTED_VALUE"""),"DB")</f>
        <v>DB</v>
      </c>
      <c r="G108" s="5">
        <f>IFERROR(__xludf.DUMMYFUNCTION("""COMPUTED_VALUE"""),2.9959567919000006E8)</f>
        <v>299595679.2</v>
      </c>
      <c r="H108" s="5"/>
      <c r="I108" s="5" t="str">
        <f>IFERROR(__xludf.DUMMYFUNCTION("""COMPUTED_VALUE"""),"PRIBADI")</f>
        <v>PRIBADI</v>
      </c>
    </row>
    <row r="109">
      <c r="A109" s="7">
        <f>IFERROR(__xludf.DUMMYFUNCTION("""COMPUTED_VALUE"""),46349.0)</f>
        <v>46349</v>
      </c>
      <c r="B109" s="5" t="str">
        <f>IFERROR(__xludf.DUMMYFUNCTION("""COMPUTED_VALUE"""),"TRSF E-BANKING DB TANGGAL :22/11")</f>
        <v>TRSF E-BANKING DB TANGGAL :22/11</v>
      </c>
      <c r="C109" s="5" t="str">
        <f>IFERROR(__xludf.DUMMYFUNCTION("""COMPUTED_VALUE"""),"2211/FTSCY/WS95271 Sat Nov 21 2026 15:00:00 GMT+0700 (Western Indonesia Time) ANUGERAH KARTIKA A")</f>
        <v>2211/FTSCY/WS95271 Sat Nov 21 2026 15:00:00 GMT+0700 (Western Indonesia Time) ANUGERAH KARTIKA A</v>
      </c>
      <c r="D109" s="5">
        <f>IFERROR(__xludf.DUMMYFUNCTION("""COMPUTED_VALUE"""),4.697055E7)</f>
        <v>46970550</v>
      </c>
      <c r="E109" s="5"/>
      <c r="F109" s="5" t="str">
        <f>IFERROR(__xludf.DUMMYFUNCTION("""COMPUTED_VALUE"""),"DB")</f>
        <v>DB</v>
      </c>
      <c r="G109" s="5">
        <f>IFERROR(__xludf.DUMMYFUNCTION("""COMPUTED_VALUE"""),2.5262512919000006E8)</f>
        <v>252625129.2</v>
      </c>
      <c r="H109" s="5"/>
      <c r="I109" s="5" t="str">
        <f>IFERROR(__xludf.DUMMYFUNCTION("""COMPUTED_VALUE"""),"PRIBADI")</f>
        <v>PRIBADI</v>
      </c>
    </row>
    <row r="110">
      <c r="A110" s="7">
        <f>IFERROR(__xludf.DUMMYFUNCTION("""COMPUTED_VALUE"""),46349.0)</f>
        <v>46349</v>
      </c>
      <c r="B110" s="5" t="str">
        <f>IFERROR(__xludf.DUMMYFUNCTION("""COMPUTED_VALUE"""),"TRSF E-BANKING DB TANGGAL :22/11")</f>
        <v>TRSF E-BANKING DB TANGGAL :22/11</v>
      </c>
      <c r="C110" s="5" t="str">
        <f>IFERROR(__xludf.DUMMYFUNCTION("""COMPUTED_VALUE"""),"2211/FTSCY/WS95271 Fri Nov 20 2026 15:00:00 GMT+0700 (Western Indonesia Time) RUKUN MITRA BERSAM")</f>
        <v>2211/FTSCY/WS95271 Fri Nov 20 2026 15:00:00 GMT+0700 (Western Indonesia Time) RUKUN MITRA BERSAM</v>
      </c>
      <c r="D110" s="5">
        <f>IFERROR(__xludf.DUMMYFUNCTION("""COMPUTED_VALUE"""),4.891985E7)</f>
        <v>48919850</v>
      </c>
      <c r="E110" s="5"/>
      <c r="F110" s="5" t="str">
        <f>IFERROR(__xludf.DUMMYFUNCTION("""COMPUTED_VALUE"""),"DB")</f>
        <v>DB</v>
      </c>
      <c r="G110" s="5">
        <f>IFERROR(__xludf.DUMMYFUNCTION("""COMPUTED_VALUE"""),2.0370527919000006E8)</f>
        <v>203705279.2</v>
      </c>
      <c r="H110" s="5">
        <f>IFERROR(__xludf.DUMMYFUNCTION("""COMPUTED_VALUE"""),2.0370527919E8)</f>
        <v>203705279.2</v>
      </c>
      <c r="I110" s="5" t="str">
        <f>IFERROR(__xludf.DUMMYFUNCTION("""COMPUTED_VALUE"""),"PRIBADI")</f>
        <v>PRIBADI</v>
      </c>
    </row>
    <row r="111">
      <c r="A111" s="7">
        <f>IFERROR(__xludf.DUMMYFUNCTION("""COMPUTED_VALUE"""),46349.0)</f>
        <v>46349</v>
      </c>
      <c r="B111" s="5" t="str">
        <f>IFERROR(__xludf.DUMMYFUNCTION("""COMPUTED_VALUE"""),"TRSF E-BANKING DB TANGGAL :22/11")</f>
        <v>TRSF E-BANKING DB TANGGAL :22/11</v>
      </c>
      <c r="C111" s="5" t="str">
        <f>IFERROR(__xludf.DUMMYFUNCTION("""COMPUTED_VALUE"""),"2211/FTSCY/WS95031 pelunasan SUGENG RIADI")</f>
        <v>2211/FTSCY/WS95031 pelunasan SUGENG RIADI</v>
      </c>
      <c r="D111" s="5">
        <f>IFERROR(__xludf.DUMMYFUNCTION("""COMPUTED_VALUE"""),2.335104E7)</f>
        <v>23351040</v>
      </c>
      <c r="E111" s="5"/>
      <c r="F111" s="5" t="str">
        <f>IFERROR(__xludf.DUMMYFUNCTION("""COMPUTED_VALUE"""),"DB")</f>
        <v>DB</v>
      </c>
      <c r="G111" s="5">
        <f>IFERROR(__xludf.DUMMYFUNCTION("""COMPUTED_VALUE"""),1.8035423919000006E8)</f>
        <v>180354239.2</v>
      </c>
      <c r="H111" s="5">
        <f>IFERROR(__xludf.DUMMYFUNCTION("""COMPUTED_VALUE"""),1.8035423919E8)</f>
        <v>180354239.2</v>
      </c>
      <c r="I111" s="5" t="str">
        <f>IFERROR(__xludf.DUMMYFUNCTION("""COMPUTED_VALUE"""),"PRIBADI")</f>
        <v>PRIBADI</v>
      </c>
    </row>
    <row r="112">
      <c r="A112" s="7">
        <f>IFERROR(__xludf.DUMMYFUNCTION("""COMPUTED_VALUE"""),46349.0)</f>
        <v>46349</v>
      </c>
      <c r="B112" s="5" t="str">
        <f>IFERROR(__xludf.DUMMYFUNCTION("""COMPUTED_VALUE"""),"TRSF E-BANKING DB TANGGAL :22/11")</f>
        <v>TRSF E-BANKING DB TANGGAL :22/11</v>
      </c>
      <c r="C112" s="5" t="str">
        <f>IFERROR(__xludf.DUMMYFUNCTION("""COMPUTED_VALUE"""),"2211/FTSCY/WS95271 SUNARTO")</f>
        <v>2211/FTSCY/WS95271 SUNARTO</v>
      </c>
      <c r="D112" s="5">
        <f>IFERROR(__xludf.DUMMYFUNCTION("""COMPUTED_VALUE"""),3512490.0)</f>
        <v>3512490</v>
      </c>
      <c r="E112" s="5"/>
      <c r="F112" s="5" t="str">
        <f>IFERROR(__xludf.DUMMYFUNCTION("""COMPUTED_VALUE"""),"DB")</f>
        <v>DB</v>
      </c>
      <c r="G112" s="5">
        <f>IFERROR(__xludf.DUMMYFUNCTION("""COMPUTED_VALUE"""),1.7684174919000006E8)</f>
        <v>176841749.2</v>
      </c>
      <c r="H112" s="5"/>
      <c r="I112" s="5" t="str">
        <f>IFERROR(__xludf.DUMMYFUNCTION("""COMPUTED_VALUE"""),"PRIBADI")</f>
        <v>PRIBADI</v>
      </c>
    </row>
    <row r="113">
      <c r="A113" s="7">
        <f>IFERROR(__xludf.DUMMYFUNCTION("""COMPUTED_VALUE"""),46349.0)</f>
        <v>46349</v>
      </c>
      <c r="B113" s="5" t="str">
        <f>IFERROR(__xludf.DUMMYFUNCTION("""COMPUTED_VALUE"""),"TRSF E-BANKING DB")</f>
        <v>TRSF E-BANKING DB</v>
      </c>
      <c r="C113" s="5" t="str">
        <f>IFERROR(__xludf.DUMMYFUNCTION("""COMPUTED_VALUE"""),"2311/FTSCY/WS95271 46310400.00 Sat Nov 21 2026 15:00:00 GMT+0700 (Western Indonesia Time) BRANTAS ABADI SENT")</f>
        <v>2311/FTSCY/WS95271 46310400.00 Sat Nov 21 2026 15:00:00 GMT+0700 (Western Indonesia Time) BRANTAS ABADI SENT</v>
      </c>
      <c r="D113" s="5">
        <f>IFERROR(__xludf.DUMMYFUNCTION("""COMPUTED_VALUE"""),4.63104E7)</f>
        <v>46310400</v>
      </c>
      <c r="E113" s="5"/>
      <c r="F113" s="5" t="str">
        <f>IFERROR(__xludf.DUMMYFUNCTION("""COMPUTED_VALUE"""),"DB")</f>
        <v>DB</v>
      </c>
      <c r="G113" s="5">
        <f>IFERROR(__xludf.DUMMYFUNCTION("""COMPUTED_VALUE"""),2.0453134919000006E8)</f>
        <v>204531349.2</v>
      </c>
      <c r="H113" s="5"/>
      <c r="I113" s="5" t="str">
        <f>IFERROR(__xludf.DUMMYFUNCTION("""COMPUTED_VALUE"""),"PRIBADI")</f>
        <v>PRIBADI</v>
      </c>
    </row>
    <row r="114">
      <c r="A114" s="7">
        <f>IFERROR(__xludf.DUMMYFUNCTION("""COMPUTED_VALUE"""),46349.0)</f>
        <v>46349</v>
      </c>
      <c r="B114" s="5" t="str">
        <f>IFERROR(__xludf.DUMMYFUNCTION("""COMPUTED_VALUE"""),"TRSF E-BANKING DB")</f>
        <v>TRSF E-BANKING DB</v>
      </c>
      <c r="C114" s="5" t="str">
        <f>IFERROR(__xludf.DUMMYFUNCTION("""COMPUTED_VALUE"""),"2311/FTSCY/WS95271 57630030.00 Sat Nov 21 2026 15:00:00 GMT+0700 (Western Indonesia Time) BRANTAS ABADI SENT")</f>
        <v>2311/FTSCY/WS95271 57630030.00 Sat Nov 21 2026 15:00:00 GMT+0700 (Western Indonesia Time) BRANTAS ABADI SENT</v>
      </c>
      <c r="D114" s="5">
        <f>IFERROR(__xludf.DUMMYFUNCTION("""COMPUTED_VALUE"""),5.763003E7)</f>
        <v>57630030</v>
      </c>
      <c r="E114" s="5"/>
      <c r="F114" s="5" t="str">
        <f>IFERROR(__xludf.DUMMYFUNCTION("""COMPUTED_VALUE"""),"DB")</f>
        <v>DB</v>
      </c>
      <c r="G114" s="5">
        <f>IFERROR(__xludf.DUMMYFUNCTION("""COMPUTED_VALUE"""),1.4690131919000006E8)</f>
        <v>146901319.2</v>
      </c>
      <c r="H114" s="5"/>
      <c r="I114" s="5" t="str">
        <f>IFERROR(__xludf.DUMMYFUNCTION("""COMPUTED_VALUE"""),"PRIBADI")</f>
        <v>PRIBADI</v>
      </c>
    </row>
    <row r="115">
      <c r="A115" s="7">
        <f>IFERROR(__xludf.DUMMYFUNCTION("""COMPUTED_VALUE"""),46349.0)</f>
        <v>46349</v>
      </c>
      <c r="B115" s="5" t="str">
        <f>IFERROR(__xludf.DUMMYFUNCTION("""COMPUTED_VALUE"""),"TRSF E-BANKING DB")</f>
        <v>TRSF E-BANKING DB</v>
      </c>
      <c r="C115" s="5" t="str">
        <f>IFERROR(__xludf.DUMMYFUNCTION("""COMPUTED_VALUE"""),"2311/FTSCY/WS95271 105241730.00 Sat Nov 21 2026 15:00:00 GMT+0700 (Western Indonesia Time) BRANTAS ABADI SENT")</f>
        <v>2311/FTSCY/WS95271 105241730.00 Sat Nov 21 2026 15:00:00 GMT+0700 (Western Indonesia Time) BRANTAS ABADI SENT</v>
      </c>
      <c r="D115" s="5">
        <f>IFERROR(__xludf.DUMMYFUNCTION("""COMPUTED_VALUE"""),1.0524173E8)</f>
        <v>105241730</v>
      </c>
      <c r="E115" s="5"/>
      <c r="F115" s="5" t="str">
        <f>IFERROR(__xludf.DUMMYFUNCTION("""COMPUTED_VALUE"""),"DB")</f>
        <v>DB</v>
      </c>
      <c r="G115" s="5">
        <f>IFERROR(__xludf.DUMMYFUNCTION("""COMPUTED_VALUE"""),4.165958919000006E7)</f>
        <v>41659589.19</v>
      </c>
      <c r="H115" s="5"/>
      <c r="I115" s="5" t="str">
        <f>IFERROR(__xludf.DUMMYFUNCTION("""COMPUTED_VALUE"""),"PRIBADI")</f>
        <v>PRIBADI</v>
      </c>
    </row>
    <row r="116">
      <c r="A116" s="7">
        <f>IFERROR(__xludf.DUMMYFUNCTION("""COMPUTED_VALUE"""),46349.0)</f>
        <v>46349</v>
      </c>
      <c r="B116" s="5" t="str">
        <f>IFERROR(__xludf.DUMMYFUNCTION("""COMPUTED_VALUE"""),"TRSF E-BANKING DB")</f>
        <v>TRSF E-BANKING DB</v>
      </c>
      <c r="C116" s="5" t="str">
        <f>IFERROR(__xludf.DUMMYFUNCTION("""COMPUTED_VALUE"""),"2311/FTSCY/WS95271 34430100.00 pelunasan GANESHA SATRIA NUS")</f>
        <v>2311/FTSCY/WS95271 34430100.00 pelunasan GANESHA SATRIA NUS</v>
      </c>
      <c r="D116" s="5">
        <f>IFERROR(__xludf.DUMMYFUNCTION("""COMPUTED_VALUE"""),3.44301E7)</f>
        <v>34430100</v>
      </c>
      <c r="E116" s="5"/>
      <c r="F116" s="5" t="str">
        <f>IFERROR(__xludf.DUMMYFUNCTION("""COMPUTED_VALUE"""),"DB")</f>
        <v>DB</v>
      </c>
      <c r="G116" s="5">
        <f>IFERROR(__xludf.DUMMYFUNCTION("""COMPUTED_VALUE"""),7229489.190000057)</f>
        <v>7229489.19</v>
      </c>
      <c r="H116" s="5"/>
      <c r="I116" s="5" t="str">
        <f>IFERROR(__xludf.DUMMYFUNCTION("""COMPUTED_VALUE"""),"PRIBADI")</f>
        <v>PRIBADI</v>
      </c>
    </row>
    <row r="117">
      <c r="A117" s="7">
        <f>IFERROR(__xludf.DUMMYFUNCTION("""COMPUTED_VALUE"""),46349.0)</f>
        <v>46349</v>
      </c>
      <c r="B117" s="5" t="str">
        <f>IFERROR(__xludf.DUMMYFUNCTION("""COMPUTED_VALUE"""),"TRSF E-BANKING DB")</f>
        <v>TRSF E-BANKING DB</v>
      </c>
      <c r="C117" s="5" t="str">
        <f>IFERROR(__xludf.DUMMYFUNCTION("""COMPUTED_VALUE"""),"2311/FTSCY/WS95031 3715160.00 krg 90 jt EKO SETIYAWAN")</f>
        <v>2311/FTSCY/WS95031 3715160.00 krg 90 jt EKO SETIYAWAN</v>
      </c>
      <c r="D117" s="5">
        <f>IFERROR(__xludf.DUMMYFUNCTION("""COMPUTED_VALUE"""),3715160.0)</f>
        <v>3715160</v>
      </c>
      <c r="E117" s="5"/>
      <c r="F117" s="5" t="str">
        <f>IFERROR(__xludf.DUMMYFUNCTION("""COMPUTED_VALUE"""),"DB")</f>
        <v>DB</v>
      </c>
      <c r="G117" s="5">
        <f>IFERROR(__xludf.DUMMYFUNCTION("""COMPUTED_VALUE"""),3514329.190000057)</f>
        <v>3514329.19</v>
      </c>
      <c r="H117" s="5"/>
      <c r="I117" s="5" t="str">
        <f>IFERROR(__xludf.DUMMYFUNCTION("""COMPUTED_VALUE"""),"PRIBADI")</f>
        <v>PRIBADI</v>
      </c>
    </row>
    <row r="118">
      <c r="A118" s="7">
        <f>IFERROR(__xludf.DUMMYFUNCTION("""COMPUTED_VALUE"""),46349.0)</f>
        <v>46349</v>
      </c>
      <c r="B118" s="5" t="str">
        <f>IFERROR(__xludf.DUMMYFUNCTION("""COMPUTED_VALUE"""),"TRSF E-BANKING DB")</f>
        <v>TRSF E-BANKING DB</v>
      </c>
      <c r="C118" s="5" t="str">
        <f>IFERROR(__xludf.DUMMYFUNCTION("""COMPUTED_VALUE"""),"2311/FTSCY/WS95031 413140.00 krg 5 jt FAJAR ANDREANZAH")</f>
        <v>2311/FTSCY/WS95031 413140.00 krg 5 jt FAJAR ANDREANZAH</v>
      </c>
      <c r="D118" s="5">
        <f>IFERROR(__xludf.DUMMYFUNCTION("""COMPUTED_VALUE"""),413140.0)</f>
        <v>413140</v>
      </c>
      <c r="E118" s="5"/>
      <c r="F118" s="5" t="str">
        <f>IFERROR(__xludf.DUMMYFUNCTION("""COMPUTED_VALUE"""),"DB")</f>
        <v>DB</v>
      </c>
      <c r="G118" s="5">
        <f>IFERROR(__xludf.DUMMYFUNCTION("""COMPUTED_VALUE"""),3101189.190000057)</f>
        <v>3101189.19</v>
      </c>
      <c r="H118" s="5"/>
      <c r="I118" s="5" t="str">
        <f>IFERROR(__xludf.DUMMYFUNCTION("""COMPUTED_VALUE"""),"PRIBADI")</f>
        <v>PRIBADI</v>
      </c>
    </row>
    <row r="119">
      <c r="A119" s="7">
        <f>IFERROR(__xludf.DUMMYFUNCTION("""COMPUTED_VALUE"""),46349.0)</f>
        <v>46349</v>
      </c>
      <c r="B119" s="5" t="str">
        <f>IFERROR(__xludf.DUMMYFUNCTION("""COMPUTED_VALUE"""),"TRSF E-BANKING DB")</f>
        <v>TRSF E-BANKING DB</v>
      </c>
      <c r="C119" s="5" t="str">
        <f>IFERROR(__xludf.DUMMYFUNCTION("""COMPUTED_VALUE"""),"2311/FTSCY/WS95031 1000000.00 IMAM KUSAENI")</f>
        <v>2311/FTSCY/WS95031 1000000.00 IMAM KUSAENI</v>
      </c>
      <c r="D119" s="5">
        <f>IFERROR(__xludf.DUMMYFUNCTION("""COMPUTED_VALUE"""),1000000.0)</f>
        <v>1000000</v>
      </c>
      <c r="E119" s="5"/>
      <c r="F119" s="5" t="str">
        <f>IFERROR(__xludf.DUMMYFUNCTION("""COMPUTED_VALUE"""),"DB")</f>
        <v>DB</v>
      </c>
      <c r="G119" s="5">
        <f>IFERROR(__xludf.DUMMYFUNCTION("""COMPUTED_VALUE"""),2101189.190000057)</f>
        <v>2101189.19</v>
      </c>
      <c r="H119" s="5"/>
      <c r="I119" s="5" t="str">
        <f>IFERROR(__xludf.DUMMYFUNCTION("""COMPUTED_VALUE"""),"PRIBADI")</f>
        <v>PRIBADI</v>
      </c>
    </row>
    <row r="120">
      <c r="A120" s="7">
        <f>IFERROR(__xludf.DUMMYFUNCTION("""COMPUTED_VALUE"""),46349.0)</f>
        <v>46349</v>
      </c>
      <c r="B120" s="5" t="str">
        <f>IFERROR(__xludf.DUMMYFUNCTION("""COMPUTED_VALUE"""),"KARTU DEBIT")</f>
        <v>KARTU DEBIT</v>
      </c>
      <c r="C120" s="5" t="str">
        <f>IFERROR(__xludf.DUMMYFUNCTION("""COMPUTED_VALUE"""),"CONATO BAKERY NICO 6019009510239343")</f>
        <v>CONATO BAKERY NICO 6019009510239343</v>
      </c>
      <c r="D120" s="5">
        <f>IFERROR(__xludf.DUMMYFUNCTION("""COMPUTED_VALUE"""),120000.0)</f>
        <v>120000</v>
      </c>
      <c r="E120" s="5"/>
      <c r="F120" s="5"/>
      <c r="G120" s="5">
        <f>IFERROR(__xludf.DUMMYFUNCTION("""COMPUTED_VALUE"""),1.3998778919000006E8)</f>
        <v>139987789.2</v>
      </c>
      <c r="H120" s="5">
        <f>IFERROR(__xludf.DUMMYFUNCTION("""COMPUTED_VALUE"""),1.3998778919E8)</f>
        <v>139987789.2</v>
      </c>
      <c r="I120" s="5" t="str">
        <f>IFERROR(__xludf.DUMMYFUNCTION("""COMPUTED_VALUE"""),"PRIBADI")</f>
        <v>PRIBADI</v>
      </c>
    </row>
    <row r="121">
      <c r="A121" s="7">
        <f>IFERROR(__xludf.DUMMYFUNCTION("""COMPUTED_VALUE"""),46349.0)</f>
        <v>46349</v>
      </c>
      <c r="B121" s="5" t="str">
        <f>IFERROR(__xludf.DUMMYFUNCTION("""COMPUTED_VALUE"""),"TARIKAN ATM 23/11")</f>
        <v>TARIKAN ATM 23/11</v>
      </c>
      <c r="C121" s="5" t="str">
        <f>IFERROR(__xludf.DUMMYFUNCTION("""COMPUTED_VALUE"""),"TARIKAN ATM 23/11")</f>
        <v>TARIKAN ATM 23/11</v>
      </c>
      <c r="D121" s="5">
        <f>IFERROR(__xludf.DUMMYFUNCTION("""COMPUTED_VALUE"""),500000.0)</f>
        <v>500000</v>
      </c>
      <c r="E121" s="5"/>
      <c r="F121" s="5"/>
      <c r="G121" s="5">
        <f>IFERROR(__xludf.DUMMYFUNCTION("""COMPUTED_VALUE"""),1.3948778919000006E8)</f>
        <v>139487789.2</v>
      </c>
      <c r="H121" s="5">
        <f>IFERROR(__xludf.DUMMYFUNCTION("""COMPUTED_VALUE"""),1.3948778919E8)</f>
        <v>139487789.2</v>
      </c>
      <c r="I121" s="5" t="str">
        <f>IFERROR(__xludf.DUMMYFUNCTION("""COMPUTED_VALUE"""),"PRIBADI")</f>
        <v>PRIBADI</v>
      </c>
    </row>
    <row r="122">
      <c r="A122" s="7">
        <f>IFERROR(__xludf.DUMMYFUNCTION("""COMPUTED_VALUE"""),46349.0)</f>
        <v>46349</v>
      </c>
      <c r="B122" s="5" t="str">
        <f>IFERROR(__xludf.DUMMYFUNCTION("""COMPUTED_VALUE"""),"TRSF E-BANKING DB")</f>
        <v>TRSF E-BANKING DB</v>
      </c>
      <c r="C122" s="5" t="str">
        <f>IFERROR(__xludf.DUMMYFUNCTION("""COMPUTED_VALUE"""),"2311/FTSCY/WS95031 21697930.00 EKO SETIYAWAN")</f>
        <v>2311/FTSCY/WS95031 21697930.00 EKO SETIYAWAN</v>
      </c>
      <c r="D122" s="5">
        <f>IFERROR(__xludf.DUMMYFUNCTION("""COMPUTED_VALUE"""),2.169793E7)</f>
        <v>21697930</v>
      </c>
      <c r="E122" s="5"/>
      <c r="F122" s="5" t="str">
        <f>IFERROR(__xludf.DUMMYFUNCTION("""COMPUTED_VALUE"""),"DB")</f>
        <v>DB</v>
      </c>
      <c r="G122" s="5">
        <f>IFERROR(__xludf.DUMMYFUNCTION("""COMPUTED_VALUE"""),3.0514189919000006E8)</f>
        <v>305141899.2</v>
      </c>
      <c r="H122" s="5"/>
      <c r="I122" s="5" t="str">
        <f>IFERROR(__xludf.DUMMYFUNCTION("""COMPUTED_VALUE"""),"PRIBADI")</f>
        <v>PRIBADI</v>
      </c>
    </row>
    <row r="123">
      <c r="A123" s="7">
        <f>IFERROR(__xludf.DUMMYFUNCTION("""COMPUTED_VALUE"""),46349.0)</f>
        <v>46349</v>
      </c>
      <c r="B123" s="5" t="str">
        <f>IFERROR(__xludf.DUMMYFUNCTION("""COMPUTED_VALUE"""),"TRSF E-BANKING DB")</f>
        <v>TRSF E-BANKING DB</v>
      </c>
      <c r="C123" s="5" t="str">
        <f>IFERROR(__xludf.DUMMYFUNCTION("""COMPUTED_VALUE"""),"2311/FTSCY/WS95031 1769410.00 SUNARTO")</f>
        <v>2311/FTSCY/WS95031 1769410.00 SUNARTO</v>
      </c>
      <c r="D123" s="5">
        <f>IFERROR(__xludf.DUMMYFUNCTION("""COMPUTED_VALUE"""),1769410.0)</f>
        <v>1769410</v>
      </c>
      <c r="E123" s="5"/>
      <c r="F123" s="5" t="str">
        <f>IFERROR(__xludf.DUMMYFUNCTION("""COMPUTED_VALUE"""),"DB")</f>
        <v>DB</v>
      </c>
      <c r="G123" s="5">
        <f>IFERROR(__xludf.DUMMYFUNCTION("""COMPUTED_VALUE"""),3.0337248919000006E8)</f>
        <v>303372489.2</v>
      </c>
      <c r="H123" s="5"/>
      <c r="I123" s="5" t="str">
        <f>IFERROR(__xludf.DUMMYFUNCTION("""COMPUTED_VALUE"""),"PRIBADI")</f>
        <v>PRIBADI</v>
      </c>
    </row>
    <row r="124">
      <c r="A124" s="7">
        <f>IFERROR(__xludf.DUMMYFUNCTION("""COMPUTED_VALUE"""),46349.0)</f>
        <v>46349</v>
      </c>
      <c r="B124" s="5" t="str">
        <f>IFERROR(__xludf.DUMMYFUNCTION("""COMPUTED_VALUE"""),"TRSF E-BANKING DB")</f>
        <v>TRSF E-BANKING DB</v>
      </c>
      <c r="C124" s="5" t="str">
        <f>IFERROR(__xludf.DUMMYFUNCTION("""COMPUTED_VALUE"""),"2311/FTSCY/WS95271 3200000.00 pelunasan SITI RAHMA IFTITAH")</f>
        <v>2311/FTSCY/WS95271 3200000.00 pelunasan SITI RAHMA IFTITAH</v>
      </c>
      <c r="D124" s="5">
        <f>IFERROR(__xludf.DUMMYFUNCTION("""COMPUTED_VALUE"""),3200000.0)</f>
        <v>3200000</v>
      </c>
      <c r="E124" s="5"/>
      <c r="F124" s="5" t="str">
        <f>IFERROR(__xludf.DUMMYFUNCTION("""COMPUTED_VALUE"""),"DB")</f>
        <v>DB</v>
      </c>
      <c r="G124" s="5">
        <f>IFERROR(__xludf.DUMMYFUNCTION("""COMPUTED_VALUE"""),3.0017248919000006E8)</f>
        <v>300172489.2</v>
      </c>
      <c r="H124" s="5"/>
      <c r="I124" s="5" t="str">
        <f>IFERROR(__xludf.DUMMYFUNCTION("""COMPUTED_VALUE"""),"PRIBADI")</f>
        <v>PRIBADI</v>
      </c>
    </row>
    <row r="125">
      <c r="A125" s="7">
        <f>IFERROR(__xludf.DUMMYFUNCTION("""COMPUTED_VALUE"""),46349.0)</f>
        <v>46349</v>
      </c>
      <c r="B125" s="5" t="str">
        <f>IFERROR(__xludf.DUMMYFUNCTION("""COMPUTED_VALUE"""),"TRSF E-BANKING DB")</f>
        <v>TRSF E-BANKING DB</v>
      </c>
      <c r="C125" s="5" t="str">
        <f>IFERROR(__xludf.DUMMYFUNCTION("""COMPUTED_VALUE"""),"2311/FTSCY/WS95271 13000000.00 Sat Nov 21 2026 15:00:00 GMT+0700 (Western Indonesia Time) RUKUN MITRA BERSAM")</f>
        <v>2311/FTSCY/WS95271 13000000.00 Sat Nov 21 2026 15:00:00 GMT+0700 (Western Indonesia Time) RUKUN MITRA BERSAM</v>
      </c>
      <c r="D125" s="5">
        <f>IFERROR(__xludf.DUMMYFUNCTION("""COMPUTED_VALUE"""),1.3E7)</f>
        <v>13000000</v>
      </c>
      <c r="E125" s="5"/>
      <c r="F125" s="5" t="str">
        <f>IFERROR(__xludf.DUMMYFUNCTION("""COMPUTED_VALUE"""),"DB")</f>
        <v>DB</v>
      </c>
      <c r="G125" s="5">
        <f>IFERROR(__xludf.DUMMYFUNCTION("""COMPUTED_VALUE"""),2.8717248919000006E8)</f>
        <v>287172489.2</v>
      </c>
      <c r="H125" s="5"/>
      <c r="I125" s="5" t="str">
        <f>IFERROR(__xludf.DUMMYFUNCTION("""COMPUTED_VALUE"""),"PRIBADI")</f>
        <v>PRIBADI</v>
      </c>
    </row>
    <row r="126">
      <c r="A126" s="7">
        <f>IFERROR(__xludf.DUMMYFUNCTION("""COMPUTED_VALUE"""),46349.0)</f>
        <v>46349</v>
      </c>
      <c r="B126" s="5" t="str">
        <f>IFERROR(__xludf.DUMMYFUNCTION("""COMPUTED_VALUE"""),"TRSF E-BANKING DB")</f>
        <v>TRSF E-BANKING DB</v>
      </c>
      <c r="C126" s="5" t="str">
        <f>IFERROR(__xludf.DUMMYFUNCTION("""COMPUTED_VALUE"""),"2311/FTSCY/WS95011 93705560.00 Pelunasan 21/11 RUKUN MITRA BERSAM")</f>
        <v>2311/FTSCY/WS95011 93705560.00 Pelunasan 21/11 RUKUN MITRA BERSAM</v>
      </c>
      <c r="D126" s="5">
        <f>IFERROR(__xludf.DUMMYFUNCTION("""COMPUTED_VALUE"""),9.370556E7)</f>
        <v>93705560</v>
      </c>
      <c r="E126" s="5"/>
      <c r="F126" s="5" t="str">
        <f>IFERROR(__xludf.DUMMYFUNCTION("""COMPUTED_VALUE"""),"DB")</f>
        <v>DB</v>
      </c>
      <c r="G126" s="5">
        <f>IFERROR(__xludf.DUMMYFUNCTION("""COMPUTED_VALUE"""),1.9346692919000006E8)</f>
        <v>193466929.2</v>
      </c>
      <c r="H126" s="5"/>
      <c r="I126" s="5" t="str">
        <f>IFERROR(__xludf.DUMMYFUNCTION("""COMPUTED_VALUE"""),"PRIBADI")</f>
        <v>PRIBADI</v>
      </c>
    </row>
    <row r="127">
      <c r="A127" s="7">
        <f>IFERROR(__xludf.DUMMYFUNCTION("""COMPUTED_VALUE"""),46349.0)</f>
        <v>46349</v>
      </c>
      <c r="B127" s="5" t="str">
        <f>IFERROR(__xludf.DUMMYFUNCTION("""COMPUTED_VALUE"""),"TRSF E-BANKING DB")</f>
        <v>TRSF E-BANKING DB</v>
      </c>
      <c r="C127" s="5" t="str">
        <f>IFERROR(__xludf.DUMMYFUNCTION("""COMPUTED_VALUE"""),"2311/FTSCY/WS95011 54366250.00 Sat Nov 21 2026 15:00:00 GMT+0700 (Western Indonesia Time) RUKUN MITRA BERSAM")</f>
        <v>2311/FTSCY/WS95011 54366250.00 Sat Nov 21 2026 15:00:00 GMT+0700 (Western Indonesia Time) RUKUN MITRA BERSAM</v>
      </c>
      <c r="D127" s="5">
        <f>IFERROR(__xludf.DUMMYFUNCTION("""COMPUTED_VALUE"""),5.436625E7)</f>
        <v>54366250</v>
      </c>
      <c r="E127" s="5"/>
      <c r="F127" s="5" t="str">
        <f>IFERROR(__xludf.DUMMYFUNCTION("""COMPUTED_VALUE"""),"DB")</f>
        <v>DB</v>
      </c>
      <c r="G127" s="5">
        <f>IFERROR(__xludf.DUMMYFUNCTION("""COMPUTED_VALUE"""),1.3910067919000006E8)</f>
        <v>139100679.2</v>
      </c>
      <c r="H127" s="5"/>
      <c r="I127" s="5" t="str">
        <f>IFERROR(__xludf.DUMMYFUNCTION("""COMPUTED_VALUE"""),"PRIBADI")</f>
        <v>PRIBADI</v>
      </c>
    </row>
    <row r="128">
      <c r="A128" s="7">
        <f>IFERROR(__xludf.DUMMYFUNCTION("""COMPUTED_VALUE"""),46349.0)</f>
        <v>46349</v>
      </c>
      <c r="B128" s="5" t="str">
        <f>IFERROR(__xludf.DUMMYFUNCTION("""COMPUTED_VALUE"""),"TRSF E-BANKING DB")</f>
        <v>TRSF E-BANKING DB</v>
      </c>
      <c r="C128" s="5" t="str">
        <f>IFERROR(__xludf.DUMMYFUNCTION("""COMPUTED_VALUE"""),"2311/FTSCY/WS95011 48704000.00 Sat Nov 21 2026 15:00:00 GMT+0700 (Western Indonesia Time) SUPER UNGGAS JAYA")</f>
        <v>2311/FTSCY/WS95011 48704000.00 Sat Nov 21 2026 15:00:00 GMT+0700 (Western Indonesia Time) SUPER UNGGAS JAYA</v>
      </c>
      <c r="D128" s="5">
        <f>IFERROR(__xludf.DUMMYFUNCTION("""COMPUTED_VALUE"""),4.8704E7)</f>
        <v>48704000</v>
      </c>
      <c r="E128" s="5"/>
      <c r="F128" s="5" t="str">
        <f>IFERROR(__xludf.DUMMYFUNCTION("""COMPUTED_VALUE"""),"DB")</f>
        <v>DB</v>
      </c>
      <c r="G128" s="5">
        <f>IFERROR(__xludf.DUMMYFUNCTION("""COMPUTED_VALUE"""),9.039667919000006E7)</f>
        <v>90396679.19</v>
      </c>
      <c r="H128" s="5">
        <f>IFERROR(__xludf.DUMMYFUNCTION("""COMPUTED_VALUE"""),9.039667919E7)</f>
        <v>90396679.19</v>
      </c>
      <c r="I128" s="5" t="str">
        <f>IFERROR(__xludf.DUMMYFUNCTION("""COMPUTED_VALUE"""),"PRIBADI")</f>
        <v>PRIBADI</v>
      </c>
    </row>
    <row r="129">
      <c r="A129" s="7">
        <f>IFERROR(__xludf.DUMMYFUNCTION("""COMPUTED_VALUE"""),46350.0)</f>
        <v>46350</v>
      </c>
      <c r="B129" s="5" t="str">
        <f>IFERROR(__xludf.DUMMYFUNCTION("""COMPUTED_VALUE"""),"TRSF E-BANKING DB")</f>
        <v>TRSF E-BANKING DB</v>
      </c>
      <c r="C129" s="5" t="str">
        <f>IFERROR(__xludf.DUMMYFUNCTION("""COMPUTED_VALUE"""),"2411/FTSCY/WS95011 213046000.00 Sat Nov 21 2026 15:00:00 GMT+0700 (Western Indonesia Time) BROILER MAKMUR TAN")</f>
        <v>2411/FTSCY/WS95011 213046000.00 Sat Nov 21 2026 15:00:00 GMT+0700 (Western Indonesia Time) BROILER MAKMUR TAN</v>
      </c>
      <c r="D129" s="5">
        <f>IFERROR(__xludf.DUMMYFUNCTION("""COMPUTED_VALUE"""),2.13046E8)</f>
        <v>213046000</v>
      </c>
      <c r="E129" s="5"/>
      <c r="F129" s="5" t="str">
        <f>IFERROR(__xludf.DUMMYFUNCTION("""COMPUTED_VALUE"""),"DB")</f>
        <v>DB</v>
      </c>
      <c r="G129" s="5">
        <f>IFERROR(__xludf.DUMMYFUNCTION("""COMPUTED_VALUE"""),1.7665006919000006E8)</f>
        <v>176650069.2</v>
      </c>
      <c r="H129" s="5">
        <f>IFERROR(__xludf.DUMMYFUNCTION("""COMPUTED_VALUE"""),1.7665006919E8)</f>
        <v>176650069.2</v>
      </c>
      <c r="I129" s="5" t="str">
        <f>IFERROR(__xludf.DUMMYFUNCTION("""COMPUTED_VALUE"""),"PRIBADI")</f>
        <v>PRIBADI</v>
      </c>
    </row>
    <row r="130">
      <c r="A130" s="7">
        <f>IFERROR(__xludf.DUMMYFUNCTION("""COMPUTED_VALUE"""),46350.0)</f>
        <v>46350</v>
      </c>
      <c r="B130" s="5" t="str">
        <f>IFERROR(__xludf.DUMMYFUNCTION("""COMPUTED_VALUE"""),"TRSF E-BANKING DB")</f>
        <v>TRSF E-BANKING DB</v>
      </c>
      <c r="C130" s="5" t="str">
        <f>IFERROR(__xludf.DUMMYFUNCTION("""COMPUTED_VALUE"""),"2411/FTSCY/WS95011 129870400.00 Sun Nov 22 2026 15:00:00 GMT+0700 (Western Indonesia Time) GANESHA SATRIA NUS")</f>
        <v>2411/FTSCY/WS95011 129870400.00 Sun Nov 22 2026 15:00:00 GMT+0700 (Western Indonesia Time) GANESHA SATRIA NUS</v>
      </c>
      <c r="D130" s="5">
        <f>IFERROR(__xludf.DUMMYFUNCTION("""COMPUTED_VALUE"""),1.298704E8)</f>
        <v>129870400</v>
      </c>
      <c r="E130" s="5"/>
      <c r="F130" s="5" t="str">
        <f>IFERROR(__xludf.DUMMYFUNCTION("""COMPUTED_VALUE"""),"DB")</f>
        <v>DB</v>
      </c>
      <c r="G130" s="5">
        <f>IFERROR(__xludf.DUMMYFUNCTION("""COMPUTED_VALUE"""),4.677966919000006E7)</f>
        <v>46779669.19</v>
      </c>
      <c r="H130" s="5">
        <f>IFERROR(__xludf.DUMMYFUNCTION("""COMPUTED_VALUE"""),4.677966919E7)</f>
        <v>46779669.19</v>
      </c>
      <c r="I130" s="5" t="str">
        <f>IFERROR(__xludf.DUMMYFUNCTION("""COMPUTED_VALUE"""),"PRIBADI")</f>
        <v>PRIBADI</v>
      </c>
    </row>
    <row r="131">
      <c r="A131" s="7">
        <f>IFERROR(__xludf.DUMMYFUNCTION("""COMPUTED_VALUE"""),46350.0)</f>
        <v>46350</v>
      </c>
      <c r="B131" s="5" t="str">
        <f>IFERROR(__xludf.DUMMYFUNCTION("""COMPUTED_VALUE"""),"TRSF E-BANKING DB")</f>
        <v>TRSF E-BANKING DB</v>
      </c>
      <c r="C131" s="5" t="str">
        <f>IFERROR(__xludf.DUMMYFUNCTION("""COMPUTED_VALUE"""),"2411/FTSCY/WS95011 28239590.00 Sun Nov 22 2026 15:00:00 GMT+0700 (Western Indonesia Time) PT BERLIAN INDOMIT")</f>
        <v>2411/FTSCY/WS95011 28239590.00 Sun Nov 22 2026 15:00:00 GMT+0700 (Western Indonesia Time) PT BERLIAN INDOMIT</v>
      </c>
      <c r="D131" s="5">
        <f>IFERROR(__xludf.DUMMYFUNCTION("""COMPUTED_VALUE"""),2.823959E7)</f>
        <v>28239590</v>
      </c>
      <c r="E131" s="5"/>
      <c r="F131" s="5" t="str">
        <f>IFERROR(__xludf.DUMMYFUNCTION("""COMPUTED_VALUE"""),"DB")</f>
        <v>DB</v>
      </c>
      <c r="G131" s="5">
        <f>IFERROR(__xludf.DUMMYFUNCTION("""COMPUTED_VALUE"""),1.8540079190000057E7)</f>
        <v>18540079.19</v>
      </c>
      <c r="H131" s="5"/>
      <c r="I131" s="5" t="str">
        <f>IFERROR(__xludf.DUMMYFUNCTION("""COMPUTED_VALUE"""),"PRIBADI")</f>
        <v>PRIBADI</v>
      </c>
    </row>
    <row r="132">
      <c r="A132" s="7">
        <f>IFERROR(__xludf.DUMMYFUNCTION("""COMPUTED_VALUE"""),46350.0)</f>
        <v>46350</v>
      </c>
      <c r="B132" s="5" t="str">
        <f>IFERROR(__xludf.DUMMYFUNCTION("""COMPUTED_VALUE"""),"TRSF E-BANKING DB")</f>
        <v>TRSF E-BANKING DB</v>
      </c>
      <c r="C132" s="5" t="str">
        <f>IFERROR(__xludf.DUMMYFUNCTION("""COMPUTED_VALUE"""),"2411/FTSCY/WS95271 51232000.00 Sun Nov 22 2026 15:00:00 GMT+0700 (Western Indonesia Time) BINTANG TAMA SANTO")</f>
        <v>2411/FTSCY/WS95271 51232000.00 Sun Nov 22 2026 15:00:00 GMT+0700 (Western Indonesia Time) BINTANG TAMA SANTO</v>
      </c>
      <c r="D132" s="5">
        <f>IFERROR(__xludf.DUMMYFUNCTION("""COMPUTED_VALUE"""),5.1232E7)</f>
        <v>51232000</v>
      </c>
      <c r="E132" s="5"/>
      <c r="F132" s="5" t="str">
        <f>IFERROR(__xludf.DUMMYFUNCTION("""COMPUTED_VALUE"""),"DB")</f>
        <v>DB</v>
      </c>
      <c r="G132" s="5">
        <f>IFERROR(__xludf.DUMMYFUNCTION("""COMPUTED_VALUE"""),8.9355657219E8)</f>
        <v>893556572.2</v>
      </c>
      <c r="H132" s="5"/>
      <c r="I132" s="5" t="str">
        <f>IFERROR(__xludf.DUMMYFUNCTION("""COMPUTED_VALUE"""),"PRIBADI")</f>
        <v>PRIBADI</v>
      </c>
    </row>
    <row r="133">
      <c r="A133" s="7">
        <f>IFERROR(__xludf.DUMMYFUNCTION("""COMPUTED_VALUE"""),46350.0)</f>
        <v>46350</v>
      </c>
      <c r="B133" s="5" t="str">
        <f>IFERROR(__xludf.DUMMYFUNCTION("""COMPUTED_VALUE"""),"TRSF E-BANKING DB")</f>
        <v>TRSF E-BANKING DB</v>
      </c>
      <c r="C133" s="5" t="str">
        <f>IFERROR(__xludf.DUMMYFUNCTION("""COMPUTED_VALUE"""),"2411/FTSCY/WS95271 89019030.00 Sun Nov 22 2026 15:00:00 GMT+0700 (Western Indonesia Time) ANUGERAH KARTIKA A")</f>
        <v>2411/FTSCY/WS95271 89019030.00 Sun Nov 22 2026 15:00:00 GMT+0700 (Western Indonesia Time) ANUGERAH KARTIKA A</v>
      </c>
      <c r="D133" s="5">
        <f>IFERROR(__xludf.DUMMYFUNCTION("""COMPUTED_VALUE"""),8.901903E7)</f>
        <v>89019030</v>
      </c>
      <c r="E133" s="5"/>
      <c r="F133" s="5" t="str">
        <f>IFERROR(__xludf.DUMMYFUNCTION("""COMPUTED_VALUE"""),"DB")</f>
        <v>DB</v>
      </c>
      <c r="G133" s="5">
        <f>IFERROR(__xludf.DUMMYFUNCTION("""COMPUTED_VALUE"""),8.0453754219E8)</f>
        <v>804537542.2</v>
      </c>
      <c r="H133" s="5"/>
      <c r="I133" s="5" t="str">
        <f>IFERROR(__xludf.DUMMYFUNCTION("""COMPUTED_VALUE"""),"PRIBADI")</f>
        <v>PRIBADI</v>
      </c>
    </row>
    <row r="134">
      <c r="A134" s="7">
        <f>IFERROR(__xludf.DUMMYFUNCTION("""COMPUTED_VALUE"""),46350.0)</f>
        <v>46350</v>
      </c>
      <c r="B134" s="5" t="str">
        <f>IFERROR(__xludf.DUMMYFUNCTION("""COMPUTED_VALUE"""),"TRSF E-BANKING DB")</f>
        <v>TRSF E-BANKING DB</v>
      </c>
      <c r="C134" s="5" t="str">
        <f>IFERROR(__xludf.DUMMYFUNCTION("""COMPUTED_VALUE"""),"2411/FTSCY/WS95271 1019250.00 DINA LUKMIANINGRUM")</f>
        <v>2411/FTSCY/WS95271 1019250.00 DINA LUKMIANINGRUM</v>
      </c>
      <c r="D134" s="5">
        <f>IFERROR(__xludf.DUMMYFUNCTION("""COMPUTED_VALUE"""),1019250.0)</f>
        <v>1019250</v>
      </c>
      <c r="E134" s="5"/>
      <c r="F134" s="5" t="str">
        <f>IFERROR(__xludf.DUMMYFUNCTION("""COMPUTED_VALUE"""),"DB")</f>
        <v>DB</v>
      </c>
      <c r="G134" s="5">
        <f>IFERROR(__xludf.DUMMYFUNCTION("""COMPUTED_VALUE"""),8.0351829219E8)</f>
        <v>803518292.2</v>
      </c>
      <c r="H134" s="5"/>
      <c r="I134" s="5" t="str">
        <f>IFERROR(__xludf.DUMMYFUNCTION("""COMPUTED_VALUE"""),"PRIBADI")</f>
        <v>PRIBADI</v>
      </c>
    </row>
    <row r="135">
      <c r="A135" s="7">
        <f>IFERROR(__xludf.DUMMYFUNCTION("""COMPUTED_VALUE"""),46350.0)</f>
        <v>46350</v>
      </c>
      <c r="B135" s="5" t="str">
        <f>IFERROR(__xludf.DUMMYFUNCTION("""COMPUTED_VALUE"""),"TRSF E-BANKING DB")</f>
        <v>TRSF E-BANKING DB</v>
      </c>
      <c r="C135" s="5" t="str">
        <f>IFERROR(__xludf.DUMMYFUNCTION("""COMPUTED_VALUE"""),"2411/FTSCY/WS95271 44917700.00 Sun Nov 22 2026 15:00:00 GMT+0700 (Western Indonesia Time) BINTANG TAMA SANTO")</f>
        <v>2411/FTSCY/WS95271 44917700.00 Sun Nov 22 2026 15:00:00 GMT+0700 (Western Indonesia Time) BINTANG TAMA SANTO</v>
      </c>
      <c r="D135" s="5">
        <f>IFERROR(__xludf.DUMMYFUNCTION("""COMPUTED_VALUE"""),4.49177E7)</f>
        <v>44917700</v>
      </c>
      <c r="E135" s="5"/>
      <c r="F135" s="5" t="str">
        <f>IFERROR(__xludf.DUMMYFUNCTION("""COMPUTED_VALUE"""),"DB")</f>
        <v>DB</v>
      </c>
      <c r="G135" s="5">
        <f>IFERROR(__xludf.DUMMYFUNCTION("""COMPUTED_VALUE"""),7.5860059219E8)</f>
        <v>758600592.2</v>
      </c>
      <c r="H135" s="5"/>
      <c r="I135" s="5" t="str">
        <f>IFERROR(__xludf.DUMMYFUNCTION("""COMPUTED_VALUE"""),"PRIBADI")</f>
        <v>PRIBADI</v>
      </c>
    </row>
    <row r="136">
      <c r="A136" s="7">
        <f>IFERROR(__xludf.DUMMYFUNCTION("""COMPUTED_VALUE"""),46350.0)</f>
        <v>46350</v>
      </c>
      <c r="B136" s="5" t="str">
        <f>IFERROR(__xludf.DUMMYFUNCTION("""COMPUTED_VALUE"""),"TRSF E-BANKING DB")</f>
        <v>TRSF E-BANKING DB</v>
      </c>
      <c r="C136" s="5" t="str">
        <f>IFERROR(__xludf.DUMMYFUNCTION("""COMPUTED_VALUE"""),"2411/FTSCY/WS95271 88028200.00 Sun Nov 22 2026 15:00:00 GMT+0700 (Western Indonesia Time) LAJU SATWA WISESA")</f>
        <v>2411/FTSCY/WS95271 88028200.00 Sun Nov 22 2026 15:00:00 GMT+0700 (Western Indonesia Time) LAJU SATWA WISESA</v>
      </c>
      <c r="D136" s="5">
        <f>IFERROR(__xludf.DUMMYFUNCTION("""COMPUTED_VALUE"""),8.80282E7)</f>
        <v>88028200</v>
      </c>
      <c r="E136" s="5"/>
      <c r="F136" s="5" t="str">
        <f>IFERROR(__xludf.DUMMYFUNCTION("""COMPUTED_VALUE"""),"DB")</f>
        <v>DB</v>
      </c>
      <c r="G136" s="5">
        <f>IFERROR(__xludf.DUMMYFUNCTION("""COMPUTED_VALUE"""),6.7057239219E8)</f>
        <v>670572392.2</v>
      </c>
      <c r="H136" s="5"/>
      <c r="I136" s="5" t="str">
        <f>IFERROR(__xludf.DUMMYFUNCTION("""COMPUTED_VALUE"""),"PRIBADI")</f>
        <v>PRIBADI</v>
      </c>
    </row>
    <row r="137">
      <c r="A137" s="7">
        <f>IFERROR(__xludf.DUMMYFUNCTION("""COMPUTED_VALUE"""),46350.0)</f>
        <v>46350</v>
      </c>
      <c r="B137" s="5" t="str">
        <f>IFERROR(__xludf.DUMMYFUNCTION("""COMPUTED_VALUE"""),"TRSF E-BANKING DB")</f>
        <v>TRSF E-BANKING DB</v>
      </c>
      <c r="C137" s="5" t="str">
        <f>IFERROR(__xludf.DUMMYFUNCTION("""COMPUTED_VALUE"""),"2411/FTSCY/WS95271 23980410.00 Sun Nov 22 2026 15:00:00 GMT+0700 (Western Indonesia Time) BINTANG TAMA SANTO")</f>
        <v>2411/FTSCY/WS95271 23980410.00 Sun Nov 22 2026 15:00:00 GMT+0700 (Western Indonesia Time) BINTANG TAMA SANTO</v>
      </c>
      <c r="D137" s="5">
        <f>IFERROR(__xludf.DUMMYFUNCTION("""COMPUTED_VALUE"""),2.398041E7)</f>
        <v>23980410</v>
      </c>
      <c r="E137" s="5"/>
      <c r="F137" s="5" t="str">
        <f>IFERROR(__xludf.DUMMYFUNCTION("""COMPUTED_VALUE"""),"DB")</f>
        <v>DB</v>
      </c>
      <c r="G137" s="5">
        <f>IFERROR(__xludf.DUMMYFUNCTION("""COMPUTED_VALUE"""),6.4659198219E8)</f>
        <v>646591982.2</v>
      </c>
      <c r="H137" s="5">
        <f>IFERROR(__xludf.DUMMYFUNCTION("""COMPUTED_VALUE"""),6.4659198219E8)</f>
        <v>646591982.2</v>
      </c>
      <c r="I137" s="5" t="str">
        <f>IFERROR(__xludf.DUMMYFUNCTION("""COMPUTED_VALUE"""),"PRIBADI")</f>
        <v>PRIBADI</v>
      </c>
    </row>
    <row r="138">
      <c r="A138" s="7">
        <f>IFERROR(__xludf.DUMMYFUNCTION("""COMPUTED_VALUE"""),46350.0)</f>
        <v>46350</v>
      </c>
      <c r="B138" s="5" t="str">
        <f>IFERROR(__xludf.DUMMYFUNCTION("""COMPUTED_VALUE"""),"TRSF E-BANKING DB")</f>
        <v>TRSF E-BANKING DB</v>
      </c>
      <c r="C138" s="5" t="str">
        <f>IFERROR(__xludf.DUMMYFUNCTION("""COMPUTED_VALUE"""),"2411/FTSCY/WS95031 20000000.00 pelunasan BINTANG TAMA SANTO")</f>
        <v>2411/FTSCY/WS95031 20000000.00 pelunasan BINTANG TAMA SANTO</v>
      </c>
      <c r="D138" s="5">
        <f>IFERROR(__xludf.DUMMYFUNCTION("""COMPUTED_VALUE"""),2.0E7)</f>
        <v>20000000</v>
      </c>
      <c r="E138" s="5"/>
      <c r="F138" s="5" t="str">
        <f>IFERROR(__xludf.DUMMYFUNCTION("""COMPUTED_VALUE"""),"DB")</f>
        <v>DB</v>
      </c>
      <c r="G138" s="5">
        <f>IFERROR(__xludf.DUMMYFUNCTION("""COMPUTED_VALUE"""),6.2659198219E8)</f>
        <v>626591982.2</v>
      </c>
      <c r="H138" s="5">
        <f>IFERROR(__xludf.DUMMYFUNCTION("""COMPUTED_VALUE"""),6.2659198219E8)</f>
        <v>626591982.2</v>
      </c>
      <c r="I138" s="5" t="str">
        <f>IFERROR(__xludf.DUMMYFUNCTION("""COMPUTED_VALUE"""),"PRIBADI")</f>
        <v>PRIBADI</v>
      </c>
    </row>
    <row r="139">
      <c r="A139" s="7">
        <f>IFERROR(__xludf.DUMMYFUNCTION("""COMPUTED_VALUE"""),46350.0)</f>
        <v>46350</v>
      </c>
      <c r="B139" s="5" t="str">
        <f>IFERROR(__xludf.DUMMYFUNCTION("""COMPUTED_VALUE"""),"TRSF E-BANKING DB")</f>
        <v>TRSF E-BANKING DB</v>
      </c>
      <c r="C139" s="5" t="str">
        <f>IFERROR(__xludf.DUMMYFUNCTION("""COMPUTED_VALUE"""),"2411/FTSCY/WS95271 150000.00 ANTON IMRONI")</f>
        <v>2411/FTSCY/WS95271 150000.00 ANTON IMRONI</v>
      </c>
      <c r="D139" s="5">
        <f>IFERROR(__xludf.DUMMYFUNCTION("""COMPUTED_VALUE"""),150000.0)</f>
        <v>150000</v>
      </c>
      <c r="E139" s="5"/>
      <c r="F139" s="5" t="str">
        <f>IFERROR(__xludf.DUMMYFUNCTION("""COMPUTED_VALUE"""),"DB")</f>
        <v>DB</v>
      </c>
      <c r="G139" s="5">
        <f>IFERROR(__xludf.DUMMYFUNCTION("""COMPUTED_VALUE"""),6.2644198219E8)</f>
        <v>626441982.2</v>
      </c>
      <c r="H139" s="5"/>
      <c r="I139" s="5" t="str">
        <f>IFERROR(__xludf.DUMMYFUNCTION("""COMPUTED_VALUE"""),"PRIBADI")</f>
        <v>PRIBADI</v>
      </c>
    </row>
    <row r="140">
      <c r="A140" s="7">
        <f>IFERROR(__xludf.DUMMYFUNCTION("""COMPUTED_VALUE"""),46350.0)</f>
        <v>46350</v>
      </c>
      <c r="B140" s="5" t="str">
        <f>IFERROR(__xludf.DUMMYFUNCTION("""COMPUTED_VALUE"""),"TRSF E-BANKING DB")</f>
        <v>TRSF E-BANKING DB</v>
      </c>
      <c r="C140" s="5" t="str">
        <f>IFERROR(__xludf.DUMMYFUNCTION("""COMPUTED_VALUE"""),"2411/FTFVA/WS95031 55574/GUNA MITRA S t.agung - 200177")</f>
        <v>2411/FTFVA/WS95031 55574/GUNA MITRA S t.agung - 200177</v>
      </c>
      <c r="D140" s="5">
        <f>IFERROR(__xludf.DUMMYFUNCTION("""COMPUTED_VALUE"""),4.336313E7)</f>
        <v>43363130</v>
      </c>
      <c r="E140" s="5"/>
      <c r="F140" s="5" t="str">
        <f>IFERROR(__xludf.DUMMYFUNCTION("""COMPUTED_VALUE"""),"DB")</f>
        <v>DB</v>
      </c>
      <c r="G140" s="5">
        <f>IFERROR(__xludf.DUMMYFUNCTION("""COMPUTED_VALUE"""),5.8307885219E8)</f>
        <v>583078852.2</v>
      </c>
      <c r="H140" s="5"/>
      <c r="I140" s="5" t="str">
        <f>IFERROR(__xludf.DUMMYFUNCTION("""COMPUTED_VALUE"""),"PRIBADI")</f>
        <v>PRIBADI</v>
      </c>
    </row>
    <row r="141">
      <c r="A141" s="7">
        <f>IFERROR(__xludf.DUMMYFUNCTION("""COMPUTED_VALUE"""),46350.0)</f>
        <v>46350</v>
      </c>
      <c r="B141" s="5" t="str">
        <f>IFERROR(__xludf.DUMMYFUNCTION("""COMPUTED_VALUE"""),"TRSF E-BANKING DB")</f>
        <v>TRSF E-BANKING DB</v>
      </c>
      <c r="C141" s="5" t="str">
        <f>IFERROR(__xludf.DUMMYFUNCTION("""COMPUTED_VALUE"""),"2411/FTFVA/WS95031 67847/UNGGAS MANDI ponrogo - 200043")</f>
        <v>2411/FTFVA/WS95031 67847/UNGGAS MANDI ponrogo - 200043</v>
      </c>
      <c r="D141" s="5">
        <f>IFERROR(__xludf.DUMMYFUNCTION("""COMPUTED_VALUE"""),5.89E7)</f>
        <v>58900000</v>
      </c>
      <c r="E141" s="5"/>
      <c r="F141" s="5" t="str">
        <f>IFERROR(__xludf.DUMMYFUNCTION("""COMPUTED_VALUE"""),"DB")</f>
        <v>DB</v>
      </c>
      <c r="G141" s="5">
        <f>IFERROR(__xludf.DUMMYFUNCTION("""COMPUTED_VALUE"""),5.2417885219000006E8)</f>
        <v>524178852.2</v>
      </c>
      <c r="H141" s="5"/>
      <c r="I141" s="5" t="str">
        <f>IFERROR(__xludf.DUMMYFUNCTION("""COMPUTED_VALUE"""),"PRIBADI")</f>
        <v>PRIBADI</v>
      </c>
    </row>
    <row r="142">
      <c r="A142" s="7">
        <f>IFERROR(__xludf.DUMMYFUNCTION("""COMPUTED_VALUE"""),46350.0)</f>
        <v>46350</v>
      </c>
      <c r="B142" s="5" t="str">
        <f>IFERROR(__xludf.DUMMYFUNCTION("""COMPUTED_VALUE"""),"TRSF E-BANKING DB")</f>
        <v>TRSF E-BANKING DB</v>
      </c>
      <c r="C142" s="5" t="str">
        <f>IFERROR(__xludf.DUMMYFUNCTION("""COMPUTED_VALUE"""),"2411/FTSCY/WS95031 13408180.00 EKO SETIYAWAN")</f>
        <v>2411/FTSCY/WS95031 13408180.00 EKO SETIYAWAN</v>
      </c>
      <c r="D142" s="5">
        <f>IFERROR(__xludf.DUMMYFUNCTION("""COMPUTED_VALUE"""),1.340818E7)</f>
        <v>13408180</v>
      </c>
      <c r="E142" s="5"/>
      <c r="F142" s="5" t="str">
        <f>IFERROR(__xludf.DUMMYFUNCTION("""COMPUTED_VALUE"""),"DB")</f>
        <v>DB</v>
      </c>
      <c r="G142" s="5">
        <f>IFERROR(__xludf.DUMMYFUNCTION("""COMPUTED_VALUE"""),5.1077067219000006E8)</f>
        <v>510770672.2</v>
      </c>
      <c r="H142" s="5"/>
      <c r="I142" s="5" t="str">
        <f>IFERROR(__xludf.DUMMYFUNCTION("""COMPUTED_VALUE"""),"PRIBADI")</f>
        <v>PRIBADI</v>
      </c>
    </row>
    <row r="143">
      <c r="A143" s="7">
        <f>IFERROR(__xludf.DUMMYFUNCTION("""COMPUTED_VALUE"""),46350.0)</f>
        <v>46350</v>
      </c>
      <c r="B143" s="5" t="str">
        <f>IFERROR(__xludf.DUMMYFUNCTION("""COMPUTED_VALUE"""),"KARTU DEBIT")</f>
        <v>KARTU DEBIT</v>
      </c>
      <c r="C143" s="5" t="str">
        <f>IFERROR(__xludf.DUMMYFUNCTION("""COMPUTED_VALUE"""),"ALFAMRT Y207 BRTN 6019009510239343")</f>
        <v>ALFAMRT Y207 BRTN 6019009510239343</v>
      </c>
      <c r="D143" s="5">
        <f>IFERROR(__xludf.DUMMYFUNCTION("""COMPUTED_VALUE"""),223700.0)</f>
        <v>223700</v>
      </c>
      <c r="E143" s="5"/>
      <c r="F143" s="5"/>
      <c r="G143" s="5">
        <f>IFERROR(__xludf.DUMMYFUNCTION("""COMPUTED_VALUE"""),5.1054697219000006E8)</f>
        <v>510546972.2</v>
      </c>
      <c r="H143" s="5"/>
      <c r="I143" s="5" t="str">
        <f>IFERROR(__xludf.DUMMYFUNCTION("""COMPUTED_VALUE"""),"PRIBADI")</f>
        <v>PRIBADI</v>
      </c>
    </row>
    <row r="144">
      <c r="A144" s="7">
        <f>IFERROR(__xludf.DUMMYFUNCTION("""COMPUTED_VALUE"""),46350.0)</f>
        <v>46350</v>
      </c>
      <c r="B144" s="5" t="str">
        <f>IFERROR(__xludf.DUMMYFUNCTION("""COMPUTED_VALUE"""),"TRSF E-BANKING DB")</f>
        <v>TRSF E-BANKING DB</v>
      </c>
      <c r="C144" s="5" t="str">
        <f>IFERROR(__xludf.DUMMYFUNCTION("""COMPUTED_VALUE"""),"2411/FTSCY/WS95031 6500000.00 DWI HERMANSYAH")</f>
        <v>2411/FTSCY/WS95031 6500000.00 DWI HERMANSYAH</v>
      </c>
      <c r="D144" s="5">
        <f>IFERROR(__xludf.DUMMYFUNCTION("""COMPUTED_VALUE"""),6500000.0)</f>
        <v>6500000</v>
      </c>
      <c r="E144" s="5"/>
      <c r="F144" s="5" t="str">
        <f>IFERROR(__xludf.DUMMYFUNCTION("""COMPUTED_VALUE"""),"DB")</f>
        <v>DB</v>
      </c>
      <c r="G144" s="5">
        <f>IFERROR(__xludf.DUMMYFUNCTION("""COMPUTED_VALUE"""),5.0404697219000006E8)</f>
        <v>504046972.2</v>
      </c>
      <c r="H144" s="5"/>
      <c r="I144" s="5" t="str">
        <f>IFERROR(__xludf.DUMMYFUNCTION("""COMPUTED_VALUE"""),"PRIBADI")</f>
        <v>PRIBADI</v>
      </c>
    </row>
    <row r="145">
      <c r="A145" s="7">
        <f>IFERROR(__xludf.DUMMYFUNCTION("""COMPUTED_VALUE"""),46350.0)</f>
        <v>46350</v>
      </c>
      <c r="B145" s="5" t="str">
        <f>IFERROR(__xludf.DUMMYFUNCTION("""COMPUTED_VALUE"""),"TRSF E-BANKING DB")</f>
        <v>TRSF E-BANKING DB</v>
      </c>
      <c r="C145" s="5" t="str">
        <f>IFERROR(__xludf.DUMMYFUNCTION("""COMPUTED_VALUE"""),"2411/FTSCY/WS95011 128458670.00 Sun Nov 22 2026 15:00:00 GMT+0700 (Western Indonesia Time) RUKUN MITRA BERSAM")</f>
        <v>2411/FTSCY/WS95011 128458670.00 Sun Nov 22 2026 15:00:00 GMT+0700 (Western Indonesia Time) RUKUN MITRA BERSAM</v>
      </c>
      <c r="D145" s="5">
        <f>IFERROR(__xludf.DUMMYFUNCTION("""COMPUTED_VALUE"""),1.2845867E8)</f>
        <v>128458670</v>
      </c>
      <c r="E145" s="5"/>
      <c r="F145" s="5" t="str">
        <f>IFERROR(__xludf.DUMMYFUNCTION("""COMPUTED_VALUE"""),"DB")</f>
        <v>DB</v>
      </c>
      <c r="G145" s="5">
        <f>IFERROR(__xludf.DUMMYFUNCTION("""COMPUTED_VALUE"""),3.8826330219000006E8)</f>
        <v>388263302.2</v>
      </c>
      <c r="H145" s="5"/>
      <c r="I145" s="5" t="str">
        <f>IFERROR(__xludf.DUMMYFUNCTION("""COMPUTED_VALUE"""),"PRIBADI")</f>
        <v>PRIBADI</v>
      </c>
    </row>
    <row r="146">
      <c r="A146" s="7">
        <f>IFERROR(__xludf.DUMMYFUNCTION("""COMPUTED_VALUE"""),46350.0)</f>
        <v>46350</v>
      </c>
      <c r="B146" s="5" t="str">
        <f>IFERROR(__xludf.DUMMYFUNCTION("""COMPUTED_VALUE"""),"TRSF E-BANKING DB")</f>
        <v>TRSF E-BANKING DB</v>
      </c>
      <c r="C146" s="5" t="str">
        <f>IFERROR(__xludf.DUMMYFUNCTION("""COMPUTED_VALUE"""),"2411/FTSCY/WS95031 31000000.00 pelunasan RUKUN MITRA BERSAM")</f>
        <v>2411/FTSCY/WS95031 31000000.00 pelunasan RUKUN MITRA BERSAM</v>
      </c>
      <c r="D146" s="5">
        <f>IFERROR(__xludf.DUMMYFUNCTION("""COMPUTED_VALUE"""),3.1E7)</f>
        <v>31000000</v>
      </c>
      <c r="E146" s="5"/>
      <c r="F146" s="5" t="str">
        <f>IFERROR(__xludf.DUMMYFUNCTION("""COMPUTED_VALUE"""),"DB")</f>
        <v>DB</v>
      </c>
      <c r="G146" s="5">
        <f>IFERROR(__xludf.DUMMYFUNCTION("""COMPUTED_VALUE"""),3.5726330219000006E8)</f>
        <v>357263302.2</v>
      </c>
      <c r="H146" s="5"/>
      <c r="I146" s="5" t="str">
        <f>IFERROR(__xludf.DUMMYFUNCTION("""COMPUTED_VALUE"""),"PRIBADI")</f>
        <v>PRIBADI</v>
      </c>
    </row>
    <row r="147">
      <c r="A147" s="7">
        <f>IFERROR(__xludf.DUMMYFUNCTION("""COMPUTED_VALUE"""),46350.0)</f>
        <v>46350</v>
      </c>
      <c r="B147" s="5" t="str">
        <f>IFERROR(__xludf.DUMMYFUNCTION("""COMPUTED_VALUE"""),"TRSF E-BANKING DB")</f>
        <v>TRSF E-BANKING DB</v>
      </c>
      <c r="C147" s="5" t="str">
        <f>IFERROR(__xludf.DUMMYFUNCTION("""COMPUTED_VALUE"""),"2411/FTSCY/WS95031 4045720.00 HERMAWAN")</f>
        <v>2411/FTSCY/WS95031 4045720.00 HERMAWAN</v>
      </c>
      <c r="D147" s="5">
        <f>IFERROR(__xludf.DUMMYFUNCTION("""COMPUTED_VALUE"""),4045720.0)</f>
        <v>4045720</v>
      </c>
      <c r="E147" s="5"/>
      <c r="F147" s="5" t="str">
        <f>IFERROR(__xludf.DUMMYFUNCTION("""COMPUTED_VALUE"""),"DB")</f>
        <v>DB</v>
      </c>
      <c r="G147" s="5">
        <f>IFERROR(__xludf.DUMMYFUNCTION("""COMPUTED_VALUE"""),3.5321758219000006E8)</f>
        <v>353217582.2</v>
      </c>
      <c r="H147" s="5"/>
      <c r="I147" s="5" t="str">
        <f>IFERROR(__xludf.DUMMYFUNCTION("""COMPUTED_VALUE"""),"PRIBADI")</f>
        <v>PRIBADI</v>
      </c>
    </row>
    <row r="148">
      <c r="A148" s="7">
        <f>IFERROR(__xludf.DUMMYFUNCTION("""COMPUTED_VALUE"""),46350.0)</f>
        <v>46350</v>
      </c>
      <c r="B148" s="5" t="str">
        <f>IFERROR(__xludf.DUMMYFUNCTION("""COMPUTED_VALUE"""),"TRSF E-BANKING DB")</f>
        <v>TRSF E-BANKING DB</v>
      </c>
      <c r="C148" s="5" t="str">
        <f>IFERROR(__xludf.DUMMYFUNCTION("""COMPUTED_VALUE"""),"2411/FTSCY/WS95031 12265480.00 krg 10 jt MUJIANTO")</f>
        <v>2411/FTSCY/WS95031 12265480.00 krg 10 jt MUJIANTO</v>
      </c>
      <c r="D148" s="5">
        <f>IFERROR(__xludf.DUMMYFUNCTION("""COMPUTED_VALUE"""),1.226548E7)</f>
        <v>12265480</v>
      </c>
      <c r="E148" s="5"/>
      <c r="F148" s="5" t="str">
        <f>IFERROR(__xludf.DUMMYFUNCTION("""COMPUTED_VALUE"""),"DB")</f>
        <v>DB</v>
      </c>
      <c r="G148" s="5">
        <f>IFERROR(__xludf.DUMMYFUNCTION("""COMPUTED_VALUE"""),3.4095210219000006E8)</f>
        <v>340952102.2</v>
      </c>
      <c r="H148" s="5"/>
      <c r="I148" s="5" t="str">
        <f>IFERROR(__xludf.DUMMYFUNCTION("""COMPUTED_VALUE"""),"PRIBADI")</f>
        <v>PRIBADI</v>
      </c>
    </row>
    <row r="149">
      <c r="A149" s="7">
        <f>IFERROR(__xludf.DUMMYFUNCTION("""COMPUTED_VALUE"""),46350.0)</f>
        <v>46350</v>
      </c>
      <c r="B149" s="5" t="str">
        <f>IFERROR(__xludf.DUMMYFUNCTION("""COMPUTED_VALUE"""),"TRSF E-BANKING DB")</f>
        <v>TRSF E-BANKING DB</v>
      </c>
      <c r="C149" s="5" t="str">
        <f>IFERROR(__xludf.DUMMYFUNCTION("""COMPUTED_VALUE"""),"2411/FTSCY/WS95031 4172100.00 lmjg IMAM KUSAENI")</f>
        <v>2411/FTSCY/WS95031 4172100.00 lmjg IMAM KUSAENI</v>
      </c>
      <c r="D149" s="5">
        <f>IFERROR(__xludf.DUMMYFUNCTION("""COMPUTED_VALUE"""),4172100.0)</f>
        <v>4172100</v>
      </c>
      <c r="E149" s="5"/>
      <c r="F149" s="5" t="str">
        <f>IFERROR(__xludf.DUMMYFUNCTION("""COMPUTED_VALUE"""),"DB")</f>
        <v>DB</v>
      </c>
      <c r="G149" s="5">
        <f>IFERROR(__xludf.DUMMYFUNCTION("""COMPUTED_VALUE"""),3.3678000219000006E8)</f>
        <v>336780002.2</v>
      </c>
      <c r="H149" s="5">
        <f>IFERROR(__xludf.DUMMYFUNCTION("""COMPUTED_VALUE"""),3.3678000219E8)</f>
        <v>336780002.2</v>
      </c>
      <c r="I149" s="5" t="str">
        <f>IFERROR(__xludf.DUMMYFUNCTION("""COMPUTED_VALUE"""),"PRIBADI")</f>
        <v>PRIBADI</v>
      </c>
    </row>
    <row r="150">
      <c r="A150" s="7">
        <f>IFERROR(__xludf.DUMMYFUNCTION("""COMPUTED_VALUE"""),46350.0)</f>
        <v>46350</v>
      </c>
      <c r="B150" s="5" t="str">
        <f>IFERROR(__xludf.DUMMYFUNCTION("""COMPUTED_VALUE"""),"TRSF E-BANKING DB")</f>
        <v>TRSF E-BANKING DB</v>
      </c>
      <c r="C150" s="5" t="str">
        <f>IFERROR(__xludf.DUMMYFUNCTION("""COMPUTED_VALUE"""),"2411/FTSCY/WS95031 4115920.00 SUNARTO")</f>
        <v>2411/FTSCY/WS95031 4115920.00 SUNARTO</v>
      </c>
      <c r="D150" s="5">
        <f>IFERROR(__xludf.DUMMYFUNCTION("""COMPUTED_VALUE"""),4115920.0)</f>
        <v>4115920</v>
      </c>
      <c r="E150" s="5"/>
      <c r="F150" s="5" t="str">
        <f>IFERROR(__xludf.DUMMYFUNCTION("""COMPUTED_VALUE"""),"DB")</f>
        <v>DB</v>
      </c>
      <c r="G150" s="5">
        <f>IFERROR(__xludf.DUMMYFUNCTION("""COMPUTED_VALUE"""),3.3266408219000006E8)</f>
        <v>332664082.2</v>
      </c>
      <c r="H150" s="5">
        <f>IFERROR(__xludf.DUMMYFUNCTION("""COMPUTED_VALUE"""),3.3266408219E8)</f>
        <v>332664082.2</v>
      </c>
      <c r="I150" s="5" t="str">
        <f>IFERROR(__xludf.DUMMYFUNCTION("""COMPUTED_VALUE"""),"PRIBADI")</f>
        <v>PRIBADI</v>
      </c>
    </row>
    <row r="151">
      <c r="A151" s="7">
        <f>IFERROR(__xludf.DUMMYFUNCTION("""COMPUTED_VALUE"""),46350.0)</f>
        <v>46350</v>
      </c>
      <c r="B151" s="5" t="str">
        <f>IFERROR(__xludf.DUMMYFUNCTION("""COMPUTED_VALUE"""),"TRSF E-BANKING DB")</f>
        <v>TRSF E-BANKING DB</v>
      </c>
      <c r="C151" s="5" t="str">
        <f>IFERROR(__xludf.DUMMYFUNCTION("""COMPUTED_VALUE"""),"2411/FTSCY/WS95031 3354400.00 FAJAR ANDREANZAH")</f>
        <v>2411/FTSCY/WS95031 3354400.00 FAJAR ANDREANZAH</v>
      </c>
      <c r="D151" s="5">
        <f>IFERROR(__xludf.DUMMYFUNCTION("""COMPUTED_VALUE"""),3354400.0)</f>
        <v>3354400</v>
      </c>
      <c r="E151" s="5"/>
      <c r="F151" s="5" t="str">
        <f>IFERROR(__xludf.DUMMYFUNCTION("""COMPUTED_VALUE"""),"DB")</f>
        <v>DB</v>
      </c>
      <c r="G151" s="5">
        <f>IFERROR(__xludf.DUMMYFUNCTION("""COMPUTED_VALUE"""),3.2930968219000006E8)</f>
        <v>329309682.2</v>
      </c>
      <c r="H151" s="5">
        <f>IFERROR(__xludf.DUMMYFUNCTION("""COMPUTED_VALUE"""),3.2930968219E8)</f>
        <v>329309682.2</v>
      </c>
      <c r="I151" s="5" t="str">
        <f>IFERROR(__xludf.DUMMYFUNCTION("""COMPUTED_VALUE"""),"PRIBADI")</f>
        <v>PRIBADI</v>
      </c>
    </row>
    <row r="152">
      <c r="A152" s="7">
        <f>IFERROR(__xludf.DUMMYFUNCTION("""COMPUTED_VALUE"""),46351.0)</f>
        <v>46351</v>
      </c>
      <c r="B152" s="5" t="str">
        <f>IFERROR(__xludf.DUMMYFUNCTION("""COMPUTED_VALUE"""),"TRSF E-BANKING DB")</f>
        <v>TRSF E-BANKING DB</v>
      </c>
      <c r="C152" s="5" t="str">
        <f>IFERROR(__xludf.DUMMYFUNCTION("""COMPUTED_VALUE"""),"2511/FTSCY/WS95031 2771160.00 IMAM KUSAENI")</f>
        <v>2511/FTSCY/WS95031 2771160.00 IMAM KUSAENI</v>
      </c>
      <c r="D152" s="5">
        <f>IFERROR(__xludf.DUMMYFUNCTION("""COMPUTED_VALUE"""),2771160.0)</f>
        <v>2771160</v>
      </c>
      <c r="E152" s="5"/>
      <c r="F152" s="5" t="str">
        <f>IFERROR(__xludf.DUMMYFUNCTION("""COMPUTED_VALUE"""),"DB")</f>
        <v>DB</v>
      </c>
      <c r="G152" s="5">
        <f>IFERROR(__xludf.DUMMYFUNCTION("""COMPUTED_VALUE"""),3.7153852219000006E8)</f>
        <v>371538522.2</v>
      </c>
      <c r="H152" s="5"/>
      <c r="I152" s="5" t="str">
        <f>IFERROR(__xludf.DUMMYFUNCTION("""COMPUTED_VALUE"""),"PRIBADI")</f>
        <v>PRIBADI</v>
      </c>
    </row>
    <row r="153">
      <c r="A153" s="7">
        <f>IFERROR(__xludf.DUMMYFUNCTION("""COMPUTED_VALUE"""),46351.0)</f>
        <v>46351</v>
      </c>
      <c r="B153" s="5" t="str">
        <f>IFERROR(__xludf.DUMMYFUNCTION("""COMPUTED_VALUE"""),"TRSF E-BANKING DB")</f>
        <v>TRSF E-BANKING DB</v>
      </c>
      <c r="C153" s="5" t="str">
        <f>IFERROR(__xludf.DUMMYFUNCTION("""COMPUTED_VALUE"""),"2511/FTSCY/WS95031 2896400.00 FAJAR ANDREANZAH")</f>
        <v>2511/FTSCY/WS95031 2896400.00 FAJAR ANDREANZAH</v>
      </c>
      <c r="D153" s="5">
        <f>IFERROR(__xludf.DUMMYFUNCTION("""COMPUTED_VALUE"""),2896400.0)</f>
        <v>2896400</v>
      </c>
      <c r="E153" s="5"/>
      <c r="F153" s="5" t="str">
        <f>IFERROR(__xludf.DUMMYFUNCTION("""COMPUTED_VALUE"""),"DB")</f>
        <v>DB</v>
      </c>
      <c r="G153" s="5">
        <f>IFERROR(__xludf.DUMMYFUNCTION("""COMPUTED_VALUE"""),3.6864212219000006E8)</f>
        <v>368642122.2</v>
      </c>
      <c r="H153" s="5"/>
      <c r="I153" s="5" t="str">
        <f>IFERROR(__xludf.DUMMYFUNCTION("""COMPUTED_VALUE"""),"PRIBADI")</f>
        <v>PRIBADI</v>
      </c>
    </row>
    <row r="154">
      <c r="A154" s="7">
        <f>IFERROR(__xludf.DUMMYFUNCTION("""COMPUTED_VALUE"""),46351.0)</f>
        <v>46351</v>
      </c>
      <c r="B154" s="5" t="str">
        <f>IFERROR(__xludf.DUMMYFUNCTION("""COMPUTED_VALUE"""),"TRSF E-BANKING DB")</f>
        <v>TRSF E-BANKING DB</v>
      </c>
      <c r="C154" s="5" t="str">
        <f>IFERROR(__xludf.DUMMYFUNCTION("""COMPUTED_VALUE"""),"2511/FTSCY/WS95011 158883030.00 Sun Nov 22 2026 15:00:00 GMT+0700 (Western Indonesia Time) BROILER MAKMUR TAN")</f>
        <v>2511/FTSCY/WS95011 158883030.00 Sun Nov 22 2026 15:00:00 GMT+0700 (Western Indonesia Time) BROILER MAKMUR TAN</v>
      </c>
      <c r="D154" s="5">
        <f>IFERROR(__xludf.DUMMYFUNCTION("""COMPUTED_VALUE"""),1.5888303E8)</f>
        <v>158883030</v>
      </c>
      <c r="E154" s="5"/>
      <c r="F154" s="5" t="str">
        <f>IFERROR(__xludf.DUMMYFUNCTION("""COMPUTED_VALUE"""),"DB")</f>
        <v>DB</v>
      </c>
      <c r="G154" s="5">
        <f>IFERROR(__xludf.DUMMYFUNCTION("""COMPUTED_VALUE"""),5.1479057219000006E8)</f>
        <v>514790572.2</v>
      </c>
      <c r="H154" s="5"/>
      <c r="I154" s="5" t="str">
        <f>IFERROR(__xludf.DUMMYFUNCTION("""COMPUTED_VALUE"""),"PRIBADI")</f>
        <v>PRIBADI</v>
      </c>
    </row>
    <row r="155">
      <c r="A155" s="7">
        <f>IFERROR(__xludf.DUMMYFUNCTION("""COMPUTED_VALUE"""),46351.0)</f>
        <v>46351</v>
      </c>
      <c r="B155" s="5" t="str">
        <f>IFERROR(__xludf.DUMMYFUNCTION("""COMPUTED_VALUE"""),"TRSF E-BANKING DB")</f>
        <v>TRSF E-BANKING DB</v>
      </c>
      <c r="C155" s="5" t="str">
        <f>IFERROR(__xludf.DUMMYFUNCTION("""COMPUTED_VALUE"""),"2511/FTSCY/WS95011 43652250.00 Mon Nov 23 2026 15:00:00 GMT+0700 (Western Indonesia Time) BINTANG TAMA SANTO")</f>
        <v>2511/FTSCY/WS95011 43652250.00 Mon Nov 23 2026 15:00:00 GMT+0700 (Western Indonesia Time) BINTANG TAMA SANTO</v>
      </c>
      <c r="D155" s="5">
        <f>IFERROR(__xludf.DUMMYFUNCTION("""COMPUTED_VALUE"""),4.365225E7)</f>
        <v>43652250</v>
      </c>
      <c r="E155" s="5"/>
      <c r="F155" s="5" t="str">
        <f>IFERROR(__xludf.DUMMYFUNCTION("""COMPUTED_VALUE"""),"DB")</f>
        <v>DB</v>
      </c>
      <c r="G155" s="5">
        <f>IFERROR(__xludf.DUMMYFUNCTION("""COMPUTED_VALUE"""),4.7113832219000006E8)</f>
        <v>471138322.2</v>
      </c>
      <c r="H155" s="5"/>
      <c r="I155" s="5" t="str">
        <f>IFERROR(__xludf.DUMMYFUNCTION("""COMPUTED_VALUE"""),"PRIBADI")</f>
        <v>PRIBADI</v>
      </c>
    </row>
    <row r="156">
      <c r="A156" s="7">
        <f>IFERROR(__xludf.DUMMYFUNCTION("""COMPUTED_VALUE"""),46351.0)</f>
        <v>46351</v>
      </c>
      <c r="B156" s="5" t="str">
        <f>IFERROR(__xludf.DUMMYFUNCTION("""COMPUTED_VALUE"""),"TRSF E-BANKING DB")</f>
        <v>TRSF E-BANKING DB</v>
      </c>
      <c r="C156" s="5" t="str">
        <f>IFERROR(__xludf.DUMMYFUNCTION("""COMPUTED_VALUE"""),"2511/FTSCY/WS95011 86618484.00 Mon Nov 23 2026 15:00:00 GMT+0700 (Western Indonesia Time) BINTANG TAMA SANTO")</f>
        <v>2511/FTSCY/WS95011 86618484.00 Mon Nov 23 2026 15:00:00 GMT+0700 (Western Indonesia Time) BINTANG TAMA SANTO</v>
      </c>
      <c r="D156" s="5">
        <f>IFERROR(__xludf.DUMMYFUNCTION("""COMPUTED_VALUE"""),8.6618484E7)</f>
        <v>86618484</v>
      </c>
      <c r="E156" s="5"/>
      <c r="F156" s="5" t="str">
        <f>IFERROR(__xludf.DUMMYFUNCTION("""COMPUTED_VALUE"""),"DB")</f>
        <v>DB</v>
      </c>
      <c r="G156" s="5">
        <f>IFERROR(__xludf.DUMMYFUNCTION("""COMPUTED_VALUE"""),3.8451983819000006E8)</f>
        <v>384519838.2</v>
      </c>
      <c r="H156" s="5"/>
      <c r="I156" s="5" t="str">
        <f>IFERROR(__xludf.DUMMYFUNCTION("""COMPUTED_VALUE"""),"PRIBADI")</f>
        <v>PRIBADI</v>
      </c>
    </row>
    <row r="157">
      <c r="A157" s="7">
        <f>IFERROR(__xludf.DUMMYFUNCTION("""COMPUTED_VALUE"""),46351.0)</f>
        <v>46351</v>
      </c>
      <c r="B157" s="5" t="str">
        <f>IFERROR(__xludf.DUMMYFUNCTION("""COMPUTED_VALUE"""),"TRSF E-BANKING DB")</f>
        <v>TRSF E-BANKING DB</v>
      </c>
      <c r="C157" s="5" t="str">
        <f>IFERROR(__xludf.DUMMYFUNCTION("""COMPUTED_VALUE"""),"2511/FTSCY/WS95011 81693250.00 Mon Nov 23 2026 15:00:00 GMT+0700 (Western Indonesia Time) BINTANG TAMA SANTO")</f>
        <v>2511/FTSCY/WS95011 81693250.00 Mon Nov 23 2026 15:00:00 GMT+0700 (Western Indonesia Time) BINTANG TAMA SANTO</v>
      </c>
      <c r="D157" s="5">
        <f>IFERROR(__xludf.DUMMYFUNCTION("""COMPUTED_VALUE"""),8.169325E7)</f>
        <v>81693250</v>
      </c>
      <c r="E157" s="5"/>
      <c r="F157" s="5" t="str">
        <f>IFERROR(__xludf.DUMMYFUNCTION("""COMPUTED_VALUE"""),"DB")</f>
        <v>DB</v>
      </c>
      <c r="G157" s="5">
        <f>IFERROR(__xludf.DUMMYFUNCTION("""COMPUTED_VALUE"""),3.0282658819000006E8)</f>
        <v>302826588.2</v>
      </c>
      <c r="H157" s="5"/>
      <c r="I157" s="5" t="str">
        <f>IFERROR(__xludf.DUMMYFUNCTION("""COMPUTED_VALUE"""),"PRIBADI")</f>
        <v>PRIBADI</v>
      </c>
    </row>
    <row r="158">
      <c r="A158" s="7">
        <f>IFERROR(__xludf.DUMMYFUNCTION("""COMPUTED_VALUE"""),46351.0)</f>
        <v>46351</v>
      </c>
      <c r="B158" s="5" t="str">
        <f>IFERROR(__xludf.DUMMYFUNCTION("""COMPUTED_VALUE"""),"TRSF E-BANKING DB")</f>
        <v>TRSF E-BANKING DB</v>
      </c>
      <c r="C158" s="5" t="str">
        <f>IFERROR(__xludf.DUMMYFUNCTION("""COMPUTED_VALUE"""),"2511/FTSCY/WS95011 48364650.00 Mon Nov 23 2026 15:00:00 GMT+0700 (Western Indonesia Time) RUKUN MITRA BERSAM")</f>
        <v>2511/FTSCY/WS95011 48364650.00 Mon Nov 23 2026 15:00:00 GMT+0700 (Western Indonesia Time) RUKUN MITRA BERSAM</v>
      </c>
      <c r="D158" s="5">
        <f>IFERROR(__xludf.DUMMYFUNCTION("""COMPUTED_VALUE"""),4.836465E7)</f>
        <v>48364650</v>
      </c>
      <c r="E158" s="5"/>
      <c r="F158" s="5" t="str">
        <f>IFERROR(__xludf.DUMMYFUNCTION("""COMPUTED_VALUE"""),"DB")</f>
        <v>DB</v>
      </c>
      <c r="G158" s="5">
        <f>IFERROR(__xludf.DUMMYFUNCTION("""COMPUTED_VALUE"""),2.5446193819000006E8)</f>
        <v>254461938.2</v>
      </c>
      <c r="H158" s="5"/>
      <c r="I158" s="5" t="str">
        <f>IFERROR(__xludf.DUMMYFUNCTION("""COMPUTED_VALUE"""),"PRIBADI")</f>
        <v>PRIBADI</v>
      </c>
    </row>
    <row r="159">
      <c r="A159" s="7">
        <f>IFERROR(__xludf.DUMMYFUNCTION("""COMPUTED_VALUE"""),46351.0)</f>
        <v>46351</v>
      </c>
      <c r="B159" s="5" t="str">
        <f>IFERROR(__xludf.DUMMYFUNCTION("""COMPUTED_VALUE"""),"TRSF E-BANKING DB")</f>
        <v>TRSF E-BANKING DB</v>
      </c>
      <c r="C159" s="5" t="str">
        <f>IFERROR(__xludf.DUMMYFUNCTION("""COMPUTED_VALUE"""),"2511/FTSCY/WS95011 80787000.00 Mon Nov 23 2026 15:00:00 GMT+0700 (Western Indonesia Time) SUPER UNGGAS JAYA")</f>
        <v>2511/FTSCY/WS95011 80787000.00 Mon Nov 23 2026 15:00:00 GMT+0700 (Western Indonesia Time) SUPER UNGGAS JAYA</v>
      </c>
      <c r="D159" s="5">
        <f>IFERROR(__xludf.DUMMYFUNCTION("""COMPUTED_VALUE"""),8.0787E7)</f>
        <v>80787000</v>
      </c>
      <c r="E159" s="5"/>
      <c r="F159" s="5" t="str">
        <f>IFERROR(__xludf.DUMMYFUNCTION("""COMPUTED_VALUE"""),"DB")</f>
        <v>DB</v>
      </c>
      <c r="G159" s="5">
        <f>IFERROR(__xludf.DUMMYFUNCTION("""COMPUTED_VALUE"""),1.7367493819000006E8)</f>
        <v>173674938.2</v>
      </c>
      <c r="H159" s="5"/>
      <c r="I159" s="5" t="str">
        <f>IFERROR(__xludf.DUMMYFUNCTION("""COMPUTED_VALUE"""),"PRIBADI")</f>
        <v>PRIBADI</v>
      </c>
    </row>
    <row r="160">
      <c r="A160" s="7">
        <f>IFERROR(__xludf.DUMMYFUNCTION("""COMPUTED_VALUE"""),46351.0)</f>
        <v>46351</v>
      </c>
      <c r="B160" s="5" t="str">
        <f>IFERROR(__xludf.DUMMYFUNCTION("""COMPUTED_VALUE"""),"TRSF E-BANKING DB")</f>
        <v>TRSF E-BANKING DB</v>
      </c>
      <c r="C160" s="5" t="str">
        <f>IFERROR(__xludf.DUMMYFUNCTION("""COMPUTED_VALUE"""),"2511/FTSCY/WS95271 58000000.00 pelunasan SUPER UNGGAS JAYA")</f>
        <v>2511/FTSCY/WS95271 58000000.00 pelunasan SUPER UNGGAS JAYA</v>
      </c>
      <c r="D160" s="5">
        <f>IFERROR(__xludf.DUMMYFUNCTION("""COMPUTED_VALUE"""),5.8E7)</f>
        <v>58000000</v>
      </c>
      <c r="E160" s="5"/>
      <c r="F160" s="5" t="str">
        <f>IFERROR(__xludf.DUMMYFUNCTION("""COMPUTED_VALUE"""),"DB")</f>
        <v>DB</v>
      </c>
      <c r="G160" s="5">
        <f>IFERROR(__xludf.DUMMYFUNCTION("""COMPUTED_VALUE"""),1.1567493819000006E8)</f>
        <v>115674938.2</v>
      </c>
      <c r="H160" s="5">
        <f>IFERROR(__xludf.DUMMYFUNCTION("""COMPUTED_VALUE"""),1.1567493819E8)</f>
        <v>115674938.2</v>
      </c>
      <c r="I160" s="5" t="str">
        <f>IFERROR(__xludf.DUMMYFUNCTION("""COMPUTED_VALUE"""),"PRIBADI")</f>
        <v>PRIBADI</v>
      </c>
    </row>
    <row r="161">
      <c r="A161" s="7">
        <f>IFERROR(__xludf.DUMMYFUNCTION("""COMPUTED_VALUE"""),46351.0)</f>
        <v>46351</v>
      </c>
      <c r="B161" s="5" t="str">
        <f>IFERROR(__xludf.DUMMYFUNCTION("""COMPUTED_VALUE"""),"TRSF E-BANKING DB")</f>
        <v>TRSF E-BANKING DB</v>
      </c>
      <c r="C161" s="5" t="str">
        <f>IFERROR(__xludf.DUMMYFUNCTION("""COMPUTED_VALUE"""),"2511/FTSCY/WS95271 100261750.00 Mon Nov 23 2026 15:00:00 GMT+0700 (Western Indonesia Time) BUDI SURYANTO")</f>
        <v>2511/FTSCY/WS95271 100261750.00 Mon Nov 23 2026 15:00:00 GMT+0700 (Western Indonesia Time) BUDI SURYANTO</v>
      </c>
      <c r="D161" s="5">
        <f>IFERROR(__xludf.DUMMYFUNCTION("""COMPUTED_VALUE"""),1.0026175E8)</f>
        <v>100261750</v>
      </c>
      <c r="E161" s="5"/>
      <c r="F161" s="5" t="str">
        <f>IFERROR(__xludf.DUMMYFUNCTION("""COMPUTED_VALUE"""),"DB")</f>
        <v>DB</v>
      </c>
      <c r="G161" s="5">
        <f>IFERROR(__xludf.DUMMYFUNCTION("""COMPUTED_VALUE"""),1.5413188190000057E7)</f>
        <v>15413188.19</v>
      </c>
      <c r="H161" s="5">
        <f>IFERROR(__xludf.DUMMYFUNCTION("""COMPUTED_VALUE"""),1.541318819E7)</f>
        <v>15413188.19</v>
      </c>
      <c r="I161" s="5" t="str">
        <f>IFERROR(__xludf.DUMMYFUNCTION("""COMPUTED_VALUE"""),"PRIBADI")</f>
        <v>PRIBADI</v>
      </c>
    </row>
    <row r="162">
      <c r="A162" s="7">
        <f>IFERROR(__xludf.DUMMYFUNCTION("""COMPUTED_VALUE"""),46351.0)</f>
        <v>46351</v>
      </c>
      <c r="B162" s="5" t="str">
        <f>IFERROR(__xludf.DUMMYFUNCTION("""COMPUTED_VALUE"""),"TRSF E-BANKING DB")</f>
        <v>TRSF E-BANKING DB</v>
      </c>
      <c r="C162" s="5" t="str">
        <f>IFERROR(__xludf.DUMMYFUNCTION("""COMPUTED_VALUE"""),"2511/FTSCY/WS95031 11077050.00 pelunasan 23.11 TERNAK SEJATI TABA")</f>
        <v>2511/FTSCY/WS95031 11077050.00 pelunasan 23.11 TERNAK SEJATI TABA</v>
      </c>
      <c r="D162" s="5">
        <f>IFERROR(__xludf.DUMMYFUNCTION("""COMPUTED_VALUE"""),1.107705E7)</f>
        <v>11077050</v>
      </c>
      <c r="E162" s="5"/>
      <c r="F162" s="5" t="str">
        <f>IFERROR(__xludf.DUMMYFUNCTION("""COMPUTED_VALUE"""),"DB")</f>
        <v>DB</v>
      </c>
      <c r="G162" s="5">
        <f>IFERROR(__xludf.DUMMYFUNCTION("""COMPUTED_VALUE"""),4336138.190000057)</f>
        <v>4336138.19</v>
      </c>
      <c r="H162" s="5"/>
      <c r="I162" s="5" t="str">
        <f>IFERROR(__xludf.DUMMYFUNCTION("""COMPUTED_VALUE"""),"PRIBADI")</f>
        <v>PRIBADI</v>
      </c>
    </row>
    <row r="163">
      <c r="A163" s="7">
        <f>IFERROR(__xludf.DUMMYFUNCTION("""COMPUTED_VALUE"""),46351.0)</f>
        <v>46351</v>
      </c>
      <c r="B163" s="5" t="str">
        <f>IFERROR(__xludf.DUMMYFUNCTION("""COMPUTED_VALUE"""),"TRSF E-BANKING DB")</f>
        <v>TRSF E-BANKING DB</v>
      </c>
      <c r="C163" s="5" t="str">
        <f>IFERROR(__xludf.DUMMYFUNCTION("""COMPUTED_VALUE"""),"2511/FTFVA/WS95031 80777/TOKOPEDIA - - 82318368518")</f>
        <v>2511/FTFVA/WS95031 80777/TOKOPEDIA - - 82318368518</v>
      </c>
      <c r="D163" s="5">
        <f>IFERROR(__xludf.DUMMYFUNCTION("""COMPUTED_VALUE"""),223400.0)</f>
        <v>223400</v>
      </c>
      <c r="E163" s="5"/>
      <c r="F163" s="5" t="str">
        <f>IFERROR(__xludf.DUMMYFUNCTION("""COMPUTED_VALUE"""),"DB")</f>
        <v>DB</v>
      </c>
      <c r="G163" s="5">
        <f>IFERROR(__xludf.DUMMYFUNCTION("""COMPUTED_VALUE"""),4112738.190000057)</f>
        <v>4112738.19</v>
      </c>
      <c r="H163" s="5">
        <f>IFERROR(__xludf.DUMMYFUNCTION("""COMPUTED_VALUE"""),4112738.19)</f>
        <v>4112738.19</v>
      </c>
      <c r="I163" s="5" t="str">
        <f>IFERROR(__xludf.DUMMYFUNCTION("""COMPUTED_VALUE"""),"PRIBADI")</f>
        <v>PRIBADI</v>
      </c>
    </row>
    <row r="164">
      <c r="A164" s="7">
        <f>IFERROR(__xludf.DUMMYFUNCTION("""COMPUTED_VALUE"""),46352.0)</f>
        <v>46352</v>
      </c>
      <c r="B164" s="5" t="str">
        <f>IFERROR(__xludf.DUMMYFUNCTION("""COMPUTED_VALUE"""),"TRSF E-BANKING DB")</f>
        <v>TRSF E-BANKING DB</v>
      </c>
      <c r="C164" s="5" t="str">
        <f>IFERROR(__xludf.DUMMYFUNCTION("""COMPUTED_VALUE"""),"2611/FTSCY/WS95031 750000.00 SUNARTO")</f>
        <v>2611/FTSCY/WS95031 750000.00 SUNARTO</v>
      </c>
      <c r="D164" s="5">
        <f>IFERROR(__xludf.DUMMYFUNCTION("""COMPUTED_VALUE"""),750000.0)</f>
        <v>750000</v>
      </c>
      <c r="E164" s="5"/>
      <c r="F164" s="5" t="str">
        <f>IFERROR(__xludf.DUMMYFUNCTION("""COMPUTED_VALUE"""),"DB")</f>
        <v>DB</v>
      </c>
      <c r="G164" s="5">
        <f>IFERROR(__xludf.DUMMYFUNCTION("""COMPUTED_VALUE"""),9.097273819000006E7)</f>
        <v>90972738.19</v>
      </c>
      <c r="H164" s="5"/>
      <c r="I164" s="5" t="str">
        <f>IFERROR(__xludf.DUMMYFUNCTION("""COMPUTED_VALUE"""),"PRIBADI")</f>
        <v>PRIBADI</v>
      </c>
    </row>
    <row r="165">
      <c r="A165" s="7">
        <f>IFERROR(__xludf.DUMMYFUNCTION("""COMPUTED_VALUE"""),46352.0)</f>
        <v>46352</v>
      </c>
      <c r="B165" s="5" t="str">
        <f>IFERROR(__xludf.DUMMYFUNCTION("""COMPUTED_VALUE"""),"TRSF E-BANKING DB")</f>
        <v>TRSF E-BANKING DB</v>
      </c>
      <c r="C165" s="5" t="str">
        <f>IFERROR(__xludf.DUMMYFUNCTION("""COMPUTED_VALUE"""),"2611/FTSCY/WS95031 2249200.00 ngawi HERMAWAN")</f>
        <v>2611/FTSCY/WS95031 2249200.00 ngawi HERMAWAN</v>
      </c>
      <c r="D165" s="5">
        <f>IFERROR(__xludf.DUMMYFUNCTION("""COMPUTED_VALUE"""),2249200.0)</f>
        <v>2249200</v>
      </c>
      <c r="E165" s="5"/>
      <c r="F165" s="5" t="str">
        <f>IFERROR(__xludf.DUMMYFUNCTION("""COMPUTED_VALUE"""),"DB")</f>
        <v>DB</v>
      </c>
      <c r="G165" s="5">
        <f>IFERROR(__xludf.DUMMYFUNCTION("""COMPUTED_VALUE"""),8.872353819000006E7)</f>
        <v>88723538.19</v>
      </c>
      <c r="H165" s="5"/>
      <c r="I165" s="5" t="str">
        <f>IFERROR(__xludf.DUMMYFUNCTION("""COMPUTED_VALUE"""),"PRIBADI")</f>
        <v>PRIBADI</v>
      </c>
    </row>
    <row r="166">
      <c r="A166" s="7">
        <f>IFERROR(__xludf.DUMMYFUNCTION("""COMPUTED_VALUE"""),46352.0)</f>
        <v>46352</v>
      </c>
      <c r="B166" s="5" t="str">
        <f>IFERROR(__xludf.DUMMYFUNCTION("""COMPUTED_VALUE"""),"TRSF E-BANKING DB")</f>
        <v>TRSF E-BANKING DB</v>
      </c>
      <c r="C166" s="5" t="str">
        <f>IFERROR(__xludf.DUMMYFUNCTION("""COMPUTED_VALUE"""),"2611/FTSCY/WS95031 4000000.00 DWI HERMANSYAH")</f>
        <v>2611/FTSCY/WS95031 4000000.00 DWI HERMANSYAH</v>
      </c>
      <c r="D166" s="5">
        <f>IFERROR(__xludf.DUMMYFUNCTION("""COMPUTED_VALUE"""),4000000.0)</f>
        <v>4000000</v>
      </c>
      <c r="E166" s="5"/>
      <c r="F166" s="5" t="str">
        <f>IFERROR(__xludf.DUMMYFUNCTION("""COMPUTED_VALUE"""),"DB")</f>
        <v>DB</v>
      </c>
      <c r="G166" s="5">
        <f>IFERROR(__xludf.DUMMYFUNCTION("""COMPUTED_VALUE"""),8.472353819000006E7)</f>
        <v>84723538.19</v>
      </c>
      <c r="H166" s="5"/>
      <c r="I166" s="5" t="str">
        <f>IFERROR(__xludf.DUMMYFUNCTION("""COMPUTED_VALUE"""),"PRIBADI")</f>
        <v>PRIBADI</v>
      </c>
    </row>
    <row r="167">
      <c r="A167" s="7">
        <f>IFERROR(__xludf.DUMMYFUNCTION("""COMPUTED_VALUE"""),46352.0)</f>
        <v>46352</v>
      </c>
      <c r="B167" s="5" t="str">
        <f>IFERROR(__xludf.DUMMYFUNCTION("""COMPUTED_VALUE"""),"TRSF E-BANKING DB")</f>
        <v>TRSF E-BANKING DB</v>
      </c>
      <c r="C167" s="5" t="str">
        <f>IFERROR(__xludf.DUMMYFUNCTION("""COMPUTED_VALUE"""),"2611/FTSCY/WS95031 7037600.00 MUJIANTO")</f>
        <v>2611/FTSCY/WS95031 7037600.00 MUJIANTO</v>
      </c>
      <c r="D167" s="5">
        <f>IFERROR(__xludf.DUMMYFUNCTION("""COMPUTED_VALUE"""),7037600.0)</f>
        <v>7037600</v>
      </c>
      <c r="E167" s="5"/>
      <c r="F167" s="5" t="str">
        <f>IFERROR(__xludf.DUMMYFUNCTION("""COMPUTED_VALUE"""),"DB")</f>
        <v>DB</v>
      </c>
      <c r="G167" s="5">
        <f>IFERROR(__xludf.DUMMYFUNCTION("""COMPUTED_VALUE"""),7.768593819000006E7)</f>
        <v>77685938.19</v>
      </c>
      <c r="H167" s="5"/>
      <c r="I167" s="5" t="str">
        <f>IFERROR(__xludf.DUMMYFUNCTION("""COMPUTED_VALUE"""),"PRIBADI")</f>
        <v>PRIBADI</v>
      </c>
    </row>
    <row r="168">
      <c r="A168" s="7">
        <f>IFERROR(__xludf.DUMMYFUNCTION("""COMPUTED_VALUE"""),46352.0)</f>
        <v>46352</v>
      </c>
      <c r="B168" s="5" t="str">
        <f>IFERROR(__xludf.DUMMYFUNCTION("""COMPUTED_VALUE"""),"TRSF E-BANKING DB")</f>
        <v>TRSF E-BANKING DB</v>
      </c>
      <c r="C168" s="5" t="str">
        <f>IFERROR(__xludf.DUMMYFUNCTION("""COMPUTED_VALUE"""),"2611/FTSCY/WS95031 7786670.00 lunas FAJAR ANDREANZAH")</f>
        <v>2611/FTSCY/WS95031 7786670.00 lunas FAJAR ANDREANZAH</v>
      </c>
      <c r="D168" s="5">
        <f>IFERROR(__xludf.DUMMYFUNCTION("""COMPUTED_VALUE"""),7786670.0)</f>
        <v>7786670</v>
      </c>
      <c r="E168" s="5"/>
      <c r="F168" s="5" t="str">
        <f>IFERROR(__xludf.DUMMYFUNCTION("""COMPUTED_VALUE"""),"DB")</f>
        <v>DB</v>
      </c>
      <c r="G168" s="5">
        <f>IFERROR(__xludf.DUMMYFUNCTION("""COMPUTED_VALUE"""),6.989926819000006E7)</f>
        <v>69899268.19</v>
      </c>
      <c r="H168" s="5"/>
      <c r="I168" s="5" t="str">
        <f>IFERROR(__xludf.DUMMYFUNCTION("""COMPUTED_VALUE"""),"PRIBADI")</f>
        <v>PRIBADI</v>
      </c>
    </row>
    <row r="169">
      <c r="A169" s="7">
        <f>IFERROR(__xludf.DUMMYFUNCTION("""COMPUTED_VALUE"""),46352.0)</f>
        <v>46352</v>
      </c>
      <c r="B169" s="5" t="str">
        <f>IFERROR(__xludf.DUMMYFUNCTION("""COMPUTED_VALUE"""),"BYR VIA E-BANKING")</f>
        <v>BYR VIA E-BANKING</v>
      </c>
      <c r="C169" s="5" t="str">
        <f>IFERROR(__xludf.DUMMYFUNCTION("""COMPUTED_VALUE"""),"26/11  WSID9503102 0507 FIF 803001249921 MUHAMMAD HAIRUL MA")</f>
        <v>26/11  WSID9503102 0507 FIF 803001249921 MUHAMMAD HAIRUL MA</v>
      </c>
      <c r="D169" s="5">
        <f>IFERROR(__xludf.DUMMYFUNCTION("""COMPUTED_VALUE"""),761100.0)</f>
        <v>761100</v>
      </c>
      <c r="E169" s="5"/>
      <c r="F169" s="5"/>
      <c r="G169" s="5">
        <f>IFERROR(__xludf.DUMMYFUNCTION("""COMPUTED_VALUE"""),1.2682002819000006E8)</f>
        <v>126820028.2</v>
      </c>
      <c r="H169" s="5"/>
      <c r="I169" s="5" t="str">
        <f>IFERROR(__xludf.DUMMYFUNCTION("""COMPUTED_VALUE"""),"PRIBADI")</f>
        <v>PRIBADI</v>
      </c>
    </row>
    <row r="170">
      <c r="A170" s="7">
        <f>IFERROR(__xludf.DUMMYFUNCTION("""COMPUTED_VALUE"""),46352.0)</f>
        <v>46352</v>
      </c>
      <c r="B170" s="5" t="str">
        <f>IFERROR(__xludf.DUMMYFUNCTION("""COMPUTED_VALUE"""),"TRSF E-BANKING DB")</f>
        <v>TRSF E-BANKING DB</v>
      </c>
      <c r="C170" s="5" t="str">
        <f>IFERROR(__xludf.DUMMYFUNCTION("""COMPUTED_VALUE"""),"2611/FTSCY/WS95271 15398316.00 SUNARI")</f>
        <v>2611/FTSCY/WS95271 15398316.00 SUNARI</v>
      </c>
      <c r="D170" s="5">
        <f>IFERROR(__xludf.DUMMYFUNCTION("""COMPUTED_VALUE"""),1.5398316E7)</f>
        <v>15398316</v>
      </c>
      <c r="E170" s="5"/>
      <c r="F170" s="5" t="str">
        <f>IFERROR(__xludf.DUMMYFUNCTION("""COMPUTED_VALUE"""),"DB")</f>
        <v>DB</v>
      </c>
      <c r="G170" s="5">
        <f>IFERROR(__xludf.DUMMYFUNCTION("""COMPUTED_VALUE"""),1.1142171219000006E8)</f>
        <v>111421712.2</v>
      </c>
      <c r="H170" s="5">
        <f>IFERROR(__xludf.DUMMYFUNCTION("""COMPUTED_VALUE"""),1.1142171219E8)</f>
        <v>111421712.2</v>
      </c>
      <c r="I170" s="5" t="str">
        <f>IFERROR(__xludf.DUMMYFUNCTION("""COMPUTED_VALUE"""),"PRIBADI")</f>
        <v>PRIBADI</v>
      </c>
    </row>
    <row r="171">
      <c r="A171" s="7">
        <f>IFERROR(__xludf.DUMMYFUNCTION("""COMPUTED_VALUE"""),46352.0)</f>
        <v>46352</v>
      </c>
      <c r="B171" s="5" t="str">
        <f>IFERROR(__xludf.DUMMYFUNCTION("""COMPUTED_VALUE"""),"KARTU DEBIT")</f>
        <v>KARTU DEBIT</v>
      </c>
      <c r="C171" s="5" t="str">
        <f>IFERROR(__xludf.DUMMYFUNCTION("""COMPUTED_VALUE"""),"IDM TUTI BASUKI RH 6019009510239343")</f>
        <v>IDM TUTI BASUKI RH 6019009510239343</v>
      </c>
      <c r="D171" s="5">
        <f>IFERROR(__xludf.DUMMYFUNCTION("""COMPUTED_VALUE"""),207500.0)</f>
        <v>207500</v>
      </c>
      <c r="E171" s="5"/>
      <c r="F171" s="5"/>
      <c r="G171" s="5">
        <f>IFERROR(__xludf.DUMMYFUNCTION("""COMPUTED_VALUE"""),1.1121421219000006E8)</f>
        <v>111214212.2</v>
      </c>
      <c r="H171" s="5">
        <f>IFERROR(__xludf.DUMMYFUNCTION("""COMPUTED_VALUE"""),1.1121421219E8)</f>
        <v>111214212.2</v>
      </c>
      <c r="I171" s="5" t="str">
        <f>IFERROR(__xludf.DUMMYFUNCTION("""COMPUTED_VALUE"""),"PRIBADI")</f>
        <v>PRIBADI</v>
      </c>
    </row>
    <row r="172">
      <c r="A172" s="7">
        <f>IFERROR(__xludf.DUMMYFUNCTION("""COMPUTED_VALUE"""),46352.0)</f>
        <v>46352</v>
      </c>
      <c r="B172" s="5" t="str">
        <f>IFERROR(__xludf.DUMMYFUNCTION("""COMPUTED_VALUE"""),"BI-FAST DB")</f>
        <v>BI-FAST DB</v>
      </c>
      <c r="C172" s="5" t="str">
        <f>IFERROR(__xludf.DUMMYFUNCTION("""COMPUTED_VALUE"""),"BIF TRANSFER KE 2 SUPRIYANTO MyBCA")</f>
        <v>BIF TRANSFER KE 2 SUPRIYANTO MyBCA</v>
      </c>
      <c r="D172" s="5">
        <f>IFERROR(__xludf.DUMMYFUNCTION("""COMPUTED_VALUE"""),300000.0)</f>
        <v>300000</v>
      </c>
      <c r="E172" s="5"/>
      <c r="F172" s="5" t="str">
        <f>IFERROR(__xludf.DUMMYFUNCTION("""COMPUTED_VALUE"""),"DB")</f>
        <v>DB</v>
      </c>
      <c r="G172" s="5">
        <f>IFERROR(__xludf.DUMMYFUNCTION("""COMPUTED_VALUE"""),1.1091421219000006E8)</f>
        <v>110914212.2</v>
      </c>
      <c r="H172" s="5"/>
      <c r="I172" s="5" t="str">
        <f>IFERROR(__xludf.DUMMYFUNCTION("""COMPUTED_VALUE"""),"PRIBADI")</f>
        <v>PRIBADI</v>
      </c>
    </row>
    <row r="173">
      <c r="A173" s="7">
        <f>IFERROR(__xludf.DUMMYFUNCTION("""COMPUTED_VALUE"""),46352.0)</f>
        <v>46352</v>
      </c>
      <c r="B173" s="5" t="str">
        <f>IFERROR(__xludf.DUMMYFUNCTION("""COMPUTED_VALUE"""),"BI-FAST DB")</f>
        <v>BI-FAST DB</v>
      </c>
      <c r="C173" s="5" t="str">
        <f>IFERROR(__xludf.DUMMYFUNCTION("""COMPUTED_VALUE"""),"BIF BIAYA TXN KE 2 SUPRIYANTO MyBCA")</f>
        <v>BIF BIAYA TXN KE 2 SUPRIYANTO MyBCA</v>
      </c>
      <c r="D173" s="5">
        <f>IFERROR(__xludf.DUMMYFUNCTION("""COMPUTED_VALUE"""),2500.0)</f>
        <v>2500</v>
      </c>
      <c r="E173" s="5"/>
      <c r="F173" s="5" t="str">
        <f>IFERROR(__xludf.DUMMYFUNCTION("""COMPUTED_VALUE"""),"DB")</f>
        <v>DB</v>
      </c>
      <c r="G173" s="5">
        <f>IFERROR(__xludf.DUMMYFUNCTION("""COMPUTED_VALUE"""),1.1091171219000006E8)</f>
        <v>110911712.2</v>
      </c>
      <c r="H173" s="5"/>
      <c r="I173" s="5" t="str">
        <f>IFERROR(__xludf.DUMMYFUNCTION("""COMPUTED_VALUE"""),"PRIBADI")</f>
        <v>PRIBADI</v>
      </c>
    </row>
    <row r="174">
      <c r="A174" s="7">
        <f>IFERROR(__xludf.DUMMYFUNCTION("""COMPUTED_VALUE"""),46352.0)</f>
        <v>46352</v>
      </c>
      <c r="B174" s="5" t="str">
        <f>IFERROR(__xludf.DUMMYFUNCTION("""COMPUTED_VALUE"""),"TRSF E-BANKING DB")</f>
        <v>TRSF E-BANKING DB</v>
      </c>
      <c r="C174" s="5" t="str">
        <f>IFERROR(__xludf.DUMMYFUNCTION("""COMPUTED_VALUE"""),"2611/FTSCY/WS95271 100000000.00 titip GANESHA SATRIA NUS")</f>
        <v>2611/FTSCY/WS95271 100000000.00 titip GANESHA SATRIA NUS</v>
      </c>
      <c r="D174" s="5">
        <f>IFERROR(__xludf.DUMMYFUNCTION("""COMPUTED_VALUE"""),1.0E8)</f>
        <v>100000000</v>
      </c>
      <c r="E174" s="5"/>
      <c r="F174" s="5" t="str">
        <f>IFERROR(__xludf.DUMMYFUNCTION("""COMPUTED_VALUE"""),"DB")</f>
        <v>DB</v>
      </c>
      <c r="G174" s="5">
        <f>IFERROR(__xludf.DUMMYFUNCTION("""COMPUTED_VALUE"""),5.591171219000006E7)</f>
        <v>55911712.19</v>
      </c>
      <c r="H174" s="5">
        <f>IFERROR(__xludf.DUMMYFUNCTION("""COMPUTED_VALUE"""),5.591171219E7)</f>
        <v>55911712.19</v>
      </c>
      <c r="I174" s="5" t="str">
        <f>IFERROR(__xludf.DUMMYFUNCTION("""COMPUTED_VALUE"""),"PRIBADI")</f>
        <v>PRIBADI</v>
      </c>
    </row>
    <row r="175">
      <c r="A175" s="7">
        <f>IFERROR(__xludf.DUMMYFUNCTION("""COMPUTED_VALUE"""),46353.0)</f>
        <v>46353</v>
      </c>
      <c r="B175" s="5" t="str">
        <f>IFERROR(__xludf.DUMMYFUNCTION("""COMPUTED_VALUE"""),"TRSF E-BANKING DB")</f>
        <v>TRSF E-BANKING DB</v>
      </c>
      <c r="C175" s="5" t="str">
        <f>IFERROR(__xludf.DUMMYFUNCTION("""COMPUTED_VALUE"""),"2711/FTSCY/WS95271 40581000.00 pacitan PRIMA JAYA BERSATU")</f>
        <v>2711/FTSCY/WS95271 40581000.00 pacitan PRIMA JAYA BERSATU</v>
      </c>
      <c r="D175" s="5">
        <f>IFERROR(__xludf.DUMMYFUNCTION("""COMPUTED_VALUE"""),4.0581E7)</f>
        <v>40581000</v>
      </c>
      <c r="E175" s="5"/>
      <c r="F175" s="5" t="str">
        <f>IFERROR(__xludf.DUMMYFUNCTION("""COMPUTED_VALUE"""),"DB")</f>
        <v>DB</v>
      </c>
      <c r="G175" s="5">
        <f>IFERROR(__xludf.DUMMYFUNCTION("""COMPUTED_VALUE"""),1.5330712190000057E7)</f>
        <v>15330712.19</v>
      </c>
      <c r="H175" s="5"/>
      <c r="I175" s="5" t="str">
        <f>IFERROR(__xludf.DUMMYFUNCTION("""COMPUTED_VALUE"""),"PRIBADI")</f>
        <v>PRIBADI</v>
      </c>
    </row>
    <row r="176">
      <c r="A176" s="7">
        <f>IFERROR(__xludf.DUMMYFUNCTION("""COMPUTED_VALUE"""),46353.0)</f>
        <v>46353</v>
      </c>
      <c r="B176" s="5" t="str">
        <f>IFERROR(__xludf.DUMMYFUNCTION("""COMPUTED_VALUE"""),"TRSF E-BANKING DB")</f>
        <v>TRSF E-BANKING DB</v>
      </c>
      <c r="C176" s="5" t="str">
        <f>IFERROR(__xludf.DUMMYFUNCTION("""COMPUTED_VALUE"""),"2711/FTSCY/WS95271 44185540.00 Tue Nov 24 2026 15:00:00 GMT+0700 (Western Indonesia Time) ANDALAN YASA MITRA")</f>
        <v>2711/FTSCY/WS95271 44185540.00 Tue Nov 24 2026 15:00:00 GMT+0700 (Western Indonesia Time) ANDALAN YASA MITRA</v>
      </c>
      <c r="D176" s="5">
        <f>IFERROR(__xludf.DUMMYFUNCTION("""COMPUTED_VALUE"""),4.418554E7)</f>
        <v>44185540</v>
      </c>
      <c r="E176" s="5"/>
      <c r="F176" s="5" t="str">
        <f>IFERROR(__xludf.DUMMYFUNCTION("""COMPUTED_VALUE"""),"DB")</f>
        <v>DB</v>
      </c>
      <c r="G176" s="5">
        <f>IFERROR(__xludf.DUMMYFUNCTION("""COMPUTED_VALUE"""),3.3409667219000006E8)</f>
        <v>334096672.2</v>
      </c>
      <c r="H176" s="5"/>
      <c r="I176" s="5" t="str">
        <f>IFERROR(__xludf.DUMMYFUNCTION("""COMPUTED_VALUE"""),"PRIBADI")</f>
        <v>PRIBADI</v>
      </c>
    </row>
    <row r="177">
      <c r="A177" s="7">
        <f>IFERROR(__xludf.DUMMYFUNCTION("""COMPUTED_VALUE"""),46353.0)</f>
        <v>46353</v>
      </c>
      <c r="B177" s="5" t="str">
        <f>IFERROR(__xludf.DUMMYFUNCTION("""COMPUTED_VALUE"""),"TRSF E-BANKING DB")</f>
        <v>TRSF E-BANKING DB</v>
      </c>
      <c r="C177" s="5" t="str">
        <f>IFERROR(__xludf.DUMMYFUNCTION("""COMPUTED_VALUE"""),"2711/FTSCY/WS95271 56109750.00 pelunasan 24/11 ANUGERAH KARTIKA A")</f>
        <v>2711/FTSCY/WS95271 56109750.00 pelunasan 24/11 ANUGERAH KARTIKA A</v>
      </c>
      <c r="D177" s="5">
        <f>IFERROR(__xludf.DUMMYFUNCTION("""COMPUTED_VALUE"""),5.610975E7)</f>
        <v>56109750</v>
      </c>
      <c r="E177" s="5"/>
      <c r="F177" s="5" t="str">
        <f>IFERROR(__xludf.DUMMYFUNCTION("""COMPUTED_VALUE"""),"DB")</f>
        <v>DB</v>
      </c>
      <c r="G177" s="5">
        <f>IFERROR(__xludf.DUMMYFUNCTION("""COMPUTED_VALUE"""),2.7798692219000006E8)</f>
        <v>277986922.2</v>
      </c>
      <c r="H177" s="5"/>
      <c r="I177" s="5" t="str">
        <f>IFERROR(__xludf.DUMMYFUNCTION("""COMPUTED_VALUE"""),"PRIBADI")</f>
        <v>PRIBADI</v>
      </c>
    </row>
    <row r="178">
      <c r="A178" s="7">
        <f>IFERROR(__xludf.DUMMYFUNCTION("""COMPUTED_VALUE"""),46353.0)</f>
        <v>46353</v>
      </c>
      <c r="B178" s="5" t="str">
        <f>IFERROR(__xludf.DUMMYFUNCTION("""COMPUTED_VALUE"""),"TRSF E-BANKING DB")</f>
        <v>TRSF E-BANKING DB</v>
      </c>
      <c r="C178" s="5" t="str">
        <f>IFERROR(__xludf.DUMMYFUNCTION("""COMPUTED_VALUE"""),"2711/FTFVA/WS95031 67847/UNGGAS MANDI malang - 200043")</f>
        <v>2711/FTFVA/WS95031 67847/UNGGAS MANDI malang - 200043</v>
      </c>
      <c r="D178" s="5">
        <f>IFERROR(__xludf.DUMMYFUNCTION("""COMPUTED_VALUE"""),4.34505E7)</f>
        <v>43450500</v>
      </c>
      <c r="E178" s="5"/>
      <c r="F178" s="5" t="str">
        <f>IFERROR(__xludf.DUMMYFUNCTION("""COMPUTED_VALUE"""),"DB")</f>
        <v>DB</v>
      </c>
      <c r="G178" s="5">
        <f>IFERROR(__xludf.DUMMYFUNCTION("""COMPUTED_VALUE"""),5.1084829219000006E8)</f>
        <v>510848292.2</v>
      </c>
      <c r="H178" s="5">
        <f>IFERROR(__xludf.DUMMYFUNCTION("""COMPUTED_VALUE"""),5.1084829219E8)</f>
        <v>510848292.2</v>
      </c>
      <c r="I178" s="5" t="str">
        <f>IFERROR(__xludf.DUMMYFUNCTION("""COMPUTED_VALUE"""),"PRIBADI")</f>
        <v>PRIBADI</v>
      </c>
    </row>
    <row r="179">
      <c r="A179" s="7">
        <f>IFERROR(__xludf.DUMMYFUNCTION("""COMPUTED_VALUE"""),46353.0)</f>
        <v>46353</v>
      </c>
      <c r="B179" s="5" t="str">
        <f>IFERROR(__xludf.DUMMYFUNCTION("""COMPUTED_VALUE"""),"TRSF E-BANKING DB")</f>
        <v>TRSF E-BANKING DB</v>
      </c>
      <c r="C179" s="5" t="str">
        <f>IFERROR(__xludf.DUMMYFUNCTION("""COMPUTED_VALUE"""),"2711/FTSCY/WS95031 8891630.00 EKO SETIYAWAN")</f>
        <v>2711/FTSCY/WS95031 8891630.00 EKO SETIYAWAN</v>
      </c>
      <c r="D179" s="5">
        <f>IFERROR(__xludf.DUMMYFUNCTION("""COMPUTED_VALUE"""),8891630.0)</f>
        <v>8891630</v>
      </c>
      <c r="E179" s="5"/>
      <c r="F179" s="5" t="str">
        <f>IFERROR(__xludf.DUMMYFUNCTION("""COMPUTED_VALUE"""),"DB")</f>
        <v>DB</v>
      </c>
      <c r="G179" s="5">
        <f>IFERROR(__xludf.DUMMYFUNCTION("""COMPUTED_VALUE"""),5.4835666219E8)</f>
        <v>548356662.2</v>
      </c>
      <c r="H179" s="5"/>
      <c r="I179" s="5" t="str">
        <f>IFERROR(__xludf.DUMMYFUNCTION("""COMPUTED_VALUE"""),"PRIBADI")</f>
        <v>PRIBADI</v>
      </c>
    </row>
    <row r="180">
      <c r="A180" s="7">
        <f>IFERROR(__xludf.DUMMYFUNCTION("""COMPUTED_VALUE"""),46353.0)</f>
        <v>46353</v>
      </c>
      <c r="B180" s="5" t="str">
        <f>IFERROR(__xludf.DUMMYFUNCTION("""COMPUTED_VALUE"""),"TRSF E-BANKING DB")</f>
        <v>TRSF E-BANKING DB</v>
      </c>
      <c r="C180" s="5" t="str">
        <f>IFERROR(__xludf.DUMMYFUNCTION("""COMPUTED_VALUE"""),"2711/FTSCY/WS95011 249024340.00 Tue Nov 24 2026 15:00:00 GMT+0700 (Western Indonesia Time) SUPER UNGGAS JAYA")</f>
        <v>2711/FTSCY/WS95011 249024340.00 Tue Nov 24 2026 15:00:00 GMT+0700 (Western Indonesia Time) SUPER UNGGAS JAYA</v>
      </c>
      <c r="D180" s="5">
        <f>IFERROR(__xludf.DUMMYFUNCTION("""COMPUTED_VALUE"""),2.4902434E8)</f>
        <v>249024340</v>
      </c>
      <c r="E180" s="5"/>
      <c r="F180" s="5" t="str">
        <f>IFERROR(__xludf.DUMMYFUNCTION("""COMPUTED_VALUE"""),"DB")</f>
        <v>DB</v>
      </c>
      <c r="G180" s="5">
        <f>IFERROR(__xludf.DUMMYFUNCTION("""COMPUTED_VALUE"""),2.9933232219000006E8)</f>
        <v>299332322.2</v>
      </c>
      <c r="H180" s="5"/>
      <c r="I180" s="5" t="str">
        <f>IFERROR(__xludf.DUMMYFUNCTION("""COMPUTED_VALUE"""),"PRIBADI")</f>
        <v>PRIBADI</v>
      </c>
    </row>
    <row r="181">
      <c r="A181" s="7">
        <f>IFERROR(__xludf.DUMMYFUNCTION("""COMPUTED_VALUE"""),46353.0)</f>
        <v>46353</v>
      </c>
      <c r="B181" s="5" t="str">
        <f>IFERROR(__xludf.DUMMYFUNCTION("""COMPUTED_VALUE"""),"TRSF E-BANKING DB")</f>
        <v>TRSF E-BANKING DB</v>
      </c>
      <c r="C181" s="5" t="str">
        <f>IFERROR(__xludf.DUMMYFUNCTION("""COMPUTED_VALUE"""),"2711/FTSCY/WS95011 85688860.00 Tue Nov 24 2026 15:00:00 GMT+0700 (Western Indonesia Time) BROILER MAKMUR TAN")</f>
        <v>2711/FTSCY/WS95011 85688860.00 Tue Nov 24 2026 15:00:00 GMT+0700 (Western Indonesia Time) BROILER MAKMUR TAN</v>
      </c>
      <c r="D181" s="5">
        <f>IFERROR(__xludf.DUMMYFUNCTION("""COMPUTED_VALUE"""),8.568886E7)</f>
        <v>85688860</v>
      </c>
      <c r="E181" s="5"/>
      <c r="F181" s="5" t="str">
        <f>IFERROR(__xludf.DUMMYFUNCTION("""COMPUTED_VALUE"""),"DB")</f>
        <v>DB</v>
      </c>
      <c r="G181" s="5">
        <f>IFERROR(__xludf.DUMMYFUNCTION("""COMPUTED_VALUE"""),2.1364346219000006E8)</f>
        <v>213643462.2</v>
      </c>
      <c r="H181" s="5"/>
      <c r="I181" s="5" t="str">
        <f>IFERROR(__xludf.DUMMYFUNCTION("""COMPUTED_VALUE"""),"PRIBADI")</f>
        <v>PRIBADI</v>
      </c>
    </row>
    <row r="182">
      <c r="A182" s="7">
        <f>IFERROR(__xludf.DUMMYFUNCTION("""COMPUTED_VALUE"""),46353.0)</f>
        <v>46353</v>
      </c>
      <c r="B182" s="5" t="str">
        <f>IFERROR(__xludf.DUMMYFUNCTION("""COMPUTED_VALUE"""),"TRSF E-BANKING DB")</f>
        <v>TRSF E-BANKING DB</v>
      </c>
      <c r="C182" s="5" t="str">
        <f>IFERROR(__xludf.DUMMYFUNCTION("""COMPUTED_VALUE"""),"2711/FTSCY/WS95011 46219500.00 Tue Nov 24 2026 15:00:00 GMT+0700 (Western Indonesia Time) ANUGERAH KARTIKA A")</f>
        <v>2711/FTSCY/WS95011 46219500.00 Tue Nov 24 2026 15:00:00 GMT+0700 (Western Indonesia Time) ANUGERAH KARTIKA A</v>
      </c>
      <c r="D182" s="5">
        <f>IFERROR(__xludf.DUMMYFUNCTION("""COMPUTED_VALUE"""),4.62195E7)</f>
        <v>46219500</v>
      </c>
      <c r="E182" s="5"/>
      <c r="F182" s="5" t="str">
        <f>IFERROR(__xludf.DUMMYFUNCTION("""COMPUTED_VALUE"""),"DB")</f>
        <v>DB</v>
      </c>
      <c r="G182" s="5">
        <f>IFERROR(__xludf.DUMMYFUNCTION("""COMPUTED_VALUE"""),1.6742396219000006E8)</f>
        <v>167423962.2</v>
      </c>
      <c r="H182" s="5"/>
      <c r="I182" s="5" t="str">
        <f>IFERROR(__xludf.DUMMYFUNCTION("""COMPUTED_VALUE"""),"PRIBADI")</f>
        <v>PRIBADI</v>
      </c>
    </row>
    <row r="183">
      <c r="A183" s="7">
        <f>IFERROR(__xludf.DUMMYFUNCTION("""COMPUTED_VALUE"""),46353.0)</f>
        <v>46353</v>
      </c>
      <c r="B183" s="5" t="str">
        <f>IFERROR(__xludf.DUMMYFUNCTION("""COMPUTED_VALUE"""),"TRSF E-BANKING DB")</f>
        <v>TRSF E-BANKING DB</v>
      </c>
      <c r="C183" s="5" t="str">
        <f>IFERROR(__xludf.DUMMYFUNCTION("""COMPUTED_VALUE"""),"2711/FTSCY/WS95011 57775500.00 Thu Nov 26 2026 15:00:00 GMT+0700 (Western Indonesia Time) INTEGRASI TEKNOLOG")</f>
        <v>2711/FTSCY/WS95011 57775500.00 Thu Nov 26 2026 15:00:00 GMT+0700 (Western Indonesia Time) INTEGRASI TEKNOLOG</v>
      </c>
      <c r="D183" s="5">
        <f>IFERROR(__xludf.DUMMYFUNCTION("""COMPUTED_VALUE"""),5.77755E7)</f>
        <v>57775500</v>
      </c>
      <c r="E183" s="5"/>
      <c r="F183" s="5" t="str">
        <f>IFERROR(__xludf.DUMMYFUNCTION("""COMPUTED_VALUE"""),"DB")</f>
        <v>DB</v>
      </c>
      <c r="G183" s="5">
        <f>IFERROR(__xludf.DUMMYFUNCTION("""COMPUTED_VALUE"""),1.0964846219000006E8)</f>
        <v>109648462.2</v>
      </c>
      <c r="H183" s="5"/>
      <c r="I183" s="5" t="str">
        <f>IFERROR(__xludf.DUMMYFUNCTION("""COMPUTED_VALUE"""),"PRIBADI")</f>
        <v>PRIBADI</v>
      </c>
    </row>
    <row r="184">
      <c r="A184" s="7">
        <f>IFERROR(__xludf.DUMMYFUNCTION("""COMPUTED_VALUE"""),46353.0)</f>
        <v>46353</v>
      </c>
      <c r="B184" s="5" t="str">
        <f>IFERROR(__xludf.DUMMYFUNCTION("""COMPUTED_VALUE"""),"TRSF E-BANKING DB")</f>
        <v>TRSF E-BANKING DB</v>
      </c>
      <c r="C184" s="5" t="str">
        <f>IFERROR(__xludf.DUMMYFUNCTION("""COMPUTED_VALUE"""),"2711/FTSCY/WS95011 57301500.00 Thu Nov 26 2026 15:00:00 GMT+0700 (Western Indonesia Time) LAJU SATWA WISESA")</f>
        <v>2711/FTSCY/WS95011 57301500.00 Thu Nov 26 2026 15:00:00 GMT+0700 (Western Indonesia Time) LAJU SATWA WISESA</v>
      </c>
      <c r="D184" s="5">
        <f>IFERROR(__xludf.DUMMYFUNCTION("""COMPUTED_VALUE"""),5.73015E7)</f>
        <v>57301500</v>
      </c>
      <c r="E184" s="5"/>
      <c r="F184" s="5" t="str">
        <f>IFERROR(__xludf.DUMMYFUNCTION("""COMPUTED_VALUE"""),"DB")</f>
        <v>DB</v>
      </c>
      <c r="G184" s="5">
        <f>IFERROR(__xludf.DUMMYFUNCTION("""COMPUTED_VALUE"""),5.234696219000006E7)</f>
        <v>52346962.19</v>
      </c>
      <c r="H184" s="5"/>
      <c r="I184" s="5" t="str">
        <f>IFERROR(__xludf.DUMMYFUNCTION("""COMPUTED_VALUE"""),"PRIBADI")</f>
        <v>PRIBADI</v>
      </c>
    </row>
    <row r="185">
      <c r="A185" s="7">
        <f>IFERROR(__xludf.DUMMYFUNCTION("""COMPUTED_VALUE"""),46353.0)</f>
        <v>46353</v>
      </c>
      <c r="B185" s="5" t="str">
        <f>IFERROR(__xludf.DUMMYFUNCTION("""COMPUTED_VALUE"""),"TRSF E-BANKING DB")</f>
        <v>TRSF E-BANKING DB</v>
      </c>
      <c r="C185" s="5" t="str">
        <f>IFERROR(__xludf.DUMMYFUNCTION("""COMPUTED_VALUE"""),"2711/FTSCY/WS95271 50000000.00 dp BRANTAS ABADI SENT")</f>
        <v>2711/FTSCY/WS95271 50000000.00 dp BRANTAS ABADI SENT</v>
      </c>
      <c r="D185" s="5">
        <f>IFERROR(__xludf.DUMMYFUNCTION("""COMPUTED_VALUE"""),5.0E7)</f>
        <v>50000000</v>
      </c>
      <c r="E185" s="5"/>
      <c r="F185" s="5" t="str">
        <f>IFERROR(__xludf.DUMMYFUNCTION("""COMPUTED_VALUE"""),"DB")</f>
        <v>DB</v>
      </c>
      <c r="G185" s="5">
        <f>IFERROR(__xludf.DUMMYFUNCTION("""COMPUTED_VALUE"""),2346962.190000057)</f>
        <v>2346962.19</v>
      </c>
      <c r="H185" s="5"/>
      <c r="I185" s="5" t="str">
        <f>IFERROR(__xludf.DUMMYFUNCTION("""COMPUTED_VALUE"""),"PRIBADI")</f>
        <v>PRIBADI</v>
      </c>
    </row>
    <row r="186">
      <c r="A186" s="7">
        <f>IFERROR(__xludf.DUMMYFUNCTION("""COMPUTED_VALUE"""),46353.0)</f>
        <v>46353</v>
      </c>
      <c r="B186" s="5" t="str">
        <f>IFERROR(__xludf.DUMMYFUNCTION("""COMPUTED_VALUE"""),"TRSF E-BANKING DB")</f>
        <v>TRSF E-BANKING DB</v>
      </c>
      <c r="C186" s="5" t="str">
        <f>IFERROR(__xludf.DUMMYFUNCTION("""COMPUTED_VALUE"""),"2711/FTSCY/WS95031 6048070.00 krg 8 jt MUJIANTO")</f>
        <v>2711/FTSCY/WS95031 6048070.00 krg 8 jt MUJIANTO</v>
      </c>
      <c r="D186" s="5">
        <f>IFERROR(__xludf.DUMMYFUNCTION("""COMPUTED_VALUE"""),6048070.0)</f>
        <v>6048070</v>
      </c>
      <c r="E186" s="5"/>
      <c r="F186" s="5" t="str">
        <f>IFERROR(__xludf.DUMMYFUNCTION("""COMPUTED_VALUE"""),"DB")</f>
        <v>DB</v>
      </c>
      <c r="G186" s="5">
        <f>IFERROR(__xludf.DUMMYFUNCTION("""COMPUTED_VALUE"""),8.215969219000006E7)</f>
        <v>82159692.19</v>
      </c>
      <c r="H186" s="5"/>
      <c r="I186" s="5" t="str">
        <f>IFERROR(__xludf.DUMMYFUNCTION("""COMPUTED_VALUE"""),"PRIBADI")</f>
        <v>PRIBADI</v>
      </c>
    </row>
    <row r="187">
      <c r="A187" s="7">
        <f>IFERROR(__xludf.DUMMYFUNCTION("""COMPUTED_VALUE"""),46353.0)</f>
        <v>46353</v>
      </c>
      <c r="B187" s="5" t="str">
        <f>IFERROR(__xludf.DUMMYFUNCTION("""COMPUTED_VALUE"""),"TRSF E-BANKING DB")</f>
        <v>TRSF E-BANKING DB</v>
      </c>
      <c r="C187" s="5" t="str">
        <f>IFERROR(__xludf.DUMMYFUNCTION("""COMPUTED_VALUE"""),"2711/FTSCY/WS95031 1818430.00 SUNARTO")</f>
        <v>2711/FTSCY/WS95031 1818430.00 SUNARTO</v>
      </c>
      <c r="D187" s="5">
        <f>IFERROR(__xludf.DUMMYFUNCTION("""COMPUTED_VALUE"""),1818430.0)</f>
        <v>1818430</v>
      </c>
      <c r="E187" s="5"/>
      <c r="F187" s="5" t="str">
        <f>IFERROR(__xludf.DUMMYFUNCTION("""COMPUTED_VALUE"""),"DB")</f>
        <v>DB</v>
      </c>
      <c r="G187" s="5">
        <f>IFERROR(__xludf.DUMMYFUNCTION("""COMPUTED_VALUE"""),8.034126219000006E7)</f>
        <v>80341262.19</v>
      </c>
      <c r="H187" s="5"/>
      <c r="I187" s="5" t="str">
        <f>IFERROR(__xludf.DUMMYFUNCTION("""COMPUTED_VALUE"""),"PRIBADI")</f>
        <v>PRIBADI</v>
      </c>
    </row>
    <row r="188">
      <c r="A188" s="7">
        <f>IFERROR(__xludf.DUMMYFUNCTION("""COMPUTED_VALUE"""),46353.0)</f>
        <v>46353</v>
      </c>
      <c r="B188" s="5" t="str">
        <f>IFERROR(__xludf.DUMMYFUNCTION("""COMPUTED_VALUE"""),"TRSF E-BANKING DB")</f>
        <v>TRSF E-BANKING DB</v>
      </c>
      <c r="C188" s="5" t="str">
        <f>IFERROR(__xludf.DUMMYFUNCTION("""COMPUTED_VALUE"""),"2711/FTSCY/WS95031 3470740.00 jember lunas FAJAR ANDREANZAH")</f>
        <v>2711/FTSCY/WS95031 3470740.00 jember lunas FAJAR ANDREANZAH</v>
      </c>
      <c r="D188" s="5">
        <f>IFERROR(__xludf.DUMMYFUNCTION("""COMPUTED_VALUE"""),3470740.0)</f>
        <v>3470740</v>
      </c>
      <c r="E188" s="5"/>
      <c r="F188" s="5" t="str">
        <f>IFERROR(__xludf.DUMMYFUNCTION("""COMPUTED_VALUE"""),"DB")</f>
        <v>DB</v>
      </c>
      <c r="G188" s="5">
        <f>IFERROR(__xludf.DUMMYFUNCTION("""COMPUTED_VALUE"""),7.687052219000006E7)</f>
        <v>76870522.19</v>
      </c>
      <c r="H188" s="5">
        <f>IFERROR(__xludf.DUMMYFUNCTION("""COMPUTED_VALUE"""),7.687052219E7)</f>
        <v>76870522.19</v>
      </c>
      <c r="I188" s="5" t="str">
        <f>IFERROR(__xludf.DUMMYFUNCTION("""COMPUTED_VALUE"""),"PRIBADI")</f>
        <v>PRIBADI</v>
      </c>
    </row>
    <row r="189">
      <c r="A189" s="7">
        <f>IFERROR(__xludf.DUMMYFUNCTION("""COMPUTED_VALUE"""),46353.0)</f>
        <v>46353</v>
      </c>
      <c r="B189" s="5" t="str">
        <f>IFERROR(__xludf.DUMMYFUNCTION("""COMPUTED_VALUE"""),"TRSF E-BANKING DB")</f>
        <v>TRSF E-BANKING DB</v>
      </c>
      <c r="C189" s="5" t="str">
        <f>IFERROR(__xludf.DUMMYFUNCTION("""COMPUTED_VALUE"""),"2711/FTSCY/WS95031 1800000.00 DWI HERMANSYAH")</f>
        <v>2711/FTSCY/WS95031 1800000.00 DWI HERMANSYAH</v>
      </c>
      <c r="D189" s="5">
        <f>IFERROR(__xludf.DUMMYFUNCTION("""COMPUTED_VALUE"""),1800000.0)</f>
        <v>1800000</v>
      </c>
      <c r="E189" s="5"/>
      <c r="F189" s="5" t="str">
        <f>IFERROR(__xludf.DUMMYFUNCTION("""COMPUTED_VALUE"""),"DB")</f>
        <v>DB</v>
      </c>
      <c r="G189" s="5">
        <f>IFERROR(__xludf.DUMMYFUNCTION("""COMPUTED_VALUE"""),7.507052219000006E7)</f>
        <v>75070522.19</v>
      </c>
      <c r="H189" s="5">
        <f>IFERROR(__xludf.DUMMYFUNCTION("""COMPUTED_VALUE"""),7.507052219E7)</f>
        <v>75070522.19</v>
      </c>
      <c r="I189" s="5" t="str">
        <f>IFERROR(__xludf.DUMMYFUNCTION("""COMPUTED_VALUE"""),"PRIBADI")</f>
        <v>PRIBADI</v>
      </c>
    </row>
    <row r="190">
      <c r="A190" s="7">
        <f>IFERROR(__xludf.DUMMYFUNCTION("""COMPUTED_VALUE"""),46353.0)</f>
        <v>46353</v>
      </c>
      <c r="B190" s="5" t="str">
        <f>IFERROR(__xludf.DUMMYFUNCTION("""COMPUTED_VALUE"""),"TRSF E-BANKING DB")</f>
        <v>TRSF E-BANKING DB</v>
      </c>
      <c r="C190" s="5" t="str">
        <f>IFERROR(__xludf.DUMMYFUNCTION("""COMPUTED_VALUE"""),"2711/FTSCY/WS95271 20000000.00 BRANTAS ABADI SENT")</f>
        <v>2711/FTSCY/WS95271 20000000.00 BRANTAS ABADI SENT</v>
      </c>
      <c r="D190" s="5">
        <f>IFERROR(__xludf.DUMMYFUNCTION("""COMPUTED_VALUE"""),2.0E7)</f>
        <v>20000000</v>
      </c>
      <c r="E190" s="5"/>
      <c r="F190" s="5" t="str">
        <f>IFERROR(__xludf.DUMMYFUNCTION("""COMPUTED_VALUE"""),"DB")</f>
        <v>DB</v>
      </c>
      <c r="G190" s="5">
        <f>IFERROR(__xludf.DUMMYFUNCTION("""COMPUTED_VALUE"""),5.507052219000006E7)</f>
        <v>55070522.19</v>
      </c>
      <c r="H190" s="5">
        <f>IFERROR(__xludf.DUMMYFUNCTION("""COMPUTED_VALUE"""),5.507052219E7)</f>
        <v>55070522.19</v>
      </c>
      <c r="I190" s="5" t="str">
        <f>IFERROR(__xludf.DUMMYFUNCTION("""COMPUTED_VALUE"""),"PRIBADI")</f>
        <v>PRIBADI</v>
      </c>
    </row>
    <row r="191">
      <c r="A191" s="7">
        <f>IFERROR(__xludf.DUMMYFUNCTION("""COMPUTED_VALUE"""),46354.0)</f>
        <v>46354</v>
      </c>
      <c r="B191" s="5" t="str">
        <f>IFERROR(__xludf.DUMMYFUNCTION("""COMPUTED_VALUE"""),"TRSF E-BANKING DB")</f>
        <v>TRSF E-BANKING DB</v>
      </c>
      <c r="C191" s="5" t="str">
        <f>IFERROR(__xludf.DUMMYFUNCTION("""COMPUTED_VALUE"""),"2811/FTSCY/WS95271 500000.00 menua bersama amin DEBRILIA IFTIKHARR")</f>
        <v>2811/FTSCY/WS95271 500000.00 menua bersama amin DEBRILIA IFTIKHARR</v>
      </c>
      <c r="D191" s="5">
        <f>IFERROR(__xludf.DUMMYFUNCTION("""COMPUTED_VALUE"""),500000.0)</f>
        <v>500000</v>
      </c>
      <c r="E191" s="5"/>
      <c r="F191" s="5" t="str">
        <f>IFERROR(__xludf.DUMMYFUNCTION("""COMPUTED_VALUE"""),"DB")</f>
        <v>DB</v>
      </c>
      <c r="G191" s="5">
        <f>IFERROR(__xludf.DUMMYFUNCTION("""COMPUTED_VALUE"""),5.457052219000006E7)</f>
        <v>54570522.19</v>
      </c>
      <c r="H191" s="5"/>
      <c r="I191" s="5" t="str">
        <f>IFERROR(__xludf.DUMMYFUNCTION("""COMPUTED_VALUE"""),"PRIBADI")</f>
        <v>PRIBADI</v>
      </c>
    </row>
    <row r="192">
      <c r="A192" s="7">
        <f>IFERROR(__xludf.DUMMYFUNCTION("""COMPUTED_VALUE"""),46354.0)</f>
        <v>46354</v>
      </c>
      <c r="B192" s="5" t="str">
        <f>IFERROR(__xludf.DUMMYFUNCTION("""COMPUTED_VALUE"""),"TRSF E-BANKING DB")</f>
        <v>TRSF E-BANKING DB</v>
      </c>
      <c r="C192" s="5" t="str">
        <f>IFERROR(__xludf.DUMMYFUNCTION("""COMPUTED_VALUE"""),"2811/FTFVA/WS95031 55569/PT PRIMA FAJ malang - 40190")</f>
        <v>2811/FTFVA/WS95031 55569/PT PRIMA FAJ malang - 40190</v>
      </c>
      <c r="D192" s="5">
        <f>IFERROR(__xludf.DUMMYFUNCTION("""COMPUTED_VALUE"""),4.34505E7)</f>
        <v>43450500</v>
      </c>
      <c r="E192" s="5"/>
      <c r="F192" s="5" t="str">
        <f>IFERROR(__xludf.DUMMYFUNCTION("""COMPUTED_VALUE"""),"DB")</f>
        <v>DB</v>
      </c>
      <c r="G192" s="5">
        <f>IFERROR(__xludf.DUMMYFUNCTION("""COMPUTED_VALUE"""),1.1120022190000057E7)</f>
        <v>11120022.19</v>
      </c>
      <c r="H192" s="5"/>
      <c r="I192" s="5" t="str">
        <f>IFERROR(__xludf.DUMMYFUNCTION("""COMPUTED_VALUE"""),"PRIBADI")</f>
        <v>PRIBADI</v>
      </c>
    </row>
    <row r="193">
      <c r="A193" s="7">
        <f>IFERROR(__xludf.DUMMYFUNCTION("""COMPUTED_VALUE"""),46354.0)</f>
        <v>46354</v>
      </c>
      <c r="B193" s="5" t="str">
        <f>IFERROR(__xludf.DUMMYFUNCTION("""COMPUTED_VALUE"""),"TRSF E-BANKING DB")</f>
        <v>TRSF E-BANKING DB</v>
      </c>
      <c r="C193" s="5" t="str">
        <f>IFERROR(__xludf.DUMMYFUNCTION("""COMPUTED_VALUE"""),"2811/FTFVA/WS95031 67847/UNGGAS MANDI pelunasan - 200043")</f>
        <v>2811/FTFVA/WS95031 67847/UNGGAS MANDI pelunasan - 200043</v>
      </c>
      <c r="D193" s="5">
        <f>IFERROR(__xludf.DUMMYFUNCTION("""COMPUTED_VALUE"""),2875900.0)</f>
        <v>2875900</v>
      </c>
      <c r="E193" s="5"/>
      <c r="F193" s="5" t="str">
        <f>IFERROR(__xludf.DUMMYFUNCTION("""COMPUTED_VALUE"""),"DB")</f>
        <v>DB</v>
      </c>
      <c r="G193" s="5">
        <f>IFERROR(__xludf.DUMMYFUNCTION("""COMPUTED_VALUE"""),8244122.190000057)</f>
        <v>8244122.19</v>
      </c>
      <c r="H193" s="5"/>
      <c r="I193" s="5" t="str">
        <f>IFERROR(__xludf.DUMMYFUNCTION("""COMPUTED_VALUE"""),"PRIBADI")</f>
        <v>PRIBADI</v>
      </c>
    </row>
    <row r="194">
      <c r="A194" s="7">
        <f>IFERROR(__xludf.DUMMYFUNCTION("""COMPUTED_VALUE"""),46354.0)</f>
        <v>46354</v>
      </c>
      <c r="B194" s="5" t="str">
        <f>IFERROR(__xludf.DUMMYFUNCTION("""COMPUTED_VALUE"""),"TRSF E-BANKING DB")</f>
        <v>TRSF E-BANKING DB</v>
      </c>
      <c r="C194" s="5" t="str">
        <f>IFERROR(__xludf.DUMMYFUNCTION("""COMPUTED_VALUE"""),"2811/FTSCY/WS95271 100155000.00 Thu Nov 26 2026 15:00:00 GMT+0700 (Western Indonesia Time) RUKUN MITRA BERSAM")</f>
        <v>2811/FTSCY/WS95271 100155000.00 Thu Nov 26 2026 15:00:00 GMT+0700 (Western Indonesia Time) RUKUN MITRA BERSAM</v>
      </c>
      <c r="D194" s="5">
        <f>IFERROR(__xludf.DUMMYFUNCTION("""COMPUTED_VALUE"""),1.00155E8)</f>
        <v>100155000</v>
      </c>
      <c r="E194" s="5"/>
      <c r="F194" s="5" t="str">
        <f>IFERROR(__xludf.DUMMYFUNCTION("""COMPUTED_VALUE"""),"DB")</f>
        <v>DB</v>
      </c>
      <c r="G194" s="5">
        <f>IFERROR(__xludf.DUMMYFUNCTION("""COMPUTED_VALUE"""),2.3743472190000057E7)</f>
        <v>23743472.19</v>
      </c>
      <c r="H194" s="5"/>
      <c r="I194" s="5" t="str">
        <f>IFERROR(__xludf.DUMMYFUNCTION("""COMPUTED_VALUE"""),"PRIBADI")</f>
        <v>PRIBADI</v>
      </c>
    </row>
    <row r="195">
      <c r="A195" s="7">
        <f>IFERROR(__xludf.DUMMYFUNCTION("""COMPUTED_VALUE"""),46354.0)</f>
        <v>46354</v>
      </c>
      <c r="B195" s="5" t="str">
        <f>IFERROR(__xludf.DUMMYFUNCTION("""COMPUTED_VALUE"""),"TARIKAN ATM 28/11")</f>
        <v>TARIKAN ATM 28/11</v>
      </c>
      <c r="C195" s="5" t="str">
        <f>IFERROR(__xludf.DUMMYFUNCTION("""COMPUTED_VALUE"""),"TARIKAN ATM 28/11")</f>
        <v>TARIKAN ATM 28/11</v>
      </c>
      <c r="D195" s="5">
        <f>IFERROR(__xludf.DUMMYFUNCTION("""COMPUTED_VALUE"""),200000.0)</f>
        <v>200000</v>
      </c>
      <c r="E195" s="5"/>
      <c r="F195" s="5"/>
      <c r="G195" s="5">
        <f>IFERROR(__xludf.DUMMYFUNCTION("""COMPUTED_VALUE"""),2.3543472190000057E7)</f>
        <v>23543472.19</v>
      </c>
      <c r="H195" s="5"/>
      <c r="I195" s="5" t="str">
        <f>IFERROR(__xludf.DUMMYFUNCTION("""COMPUTED_VALUE"""),"PRIBADI")</f>
        <v>PRIBADI</v>
      </c>
    </row>
    <row r="196">
      <c r="A196" s="7">
        <f>IFERROR(__xludf.DUMMYFUNCTION("""COMPUTED_VALUE"""),46354.0)</f>
        <v>46354</v>
      </c>
      <c r="B196" s="5" t="str">
        <f>IFERROR(__xludf.DUMMYFUNCTION("""COMPUTED_VALUE"""),"TRSF E-BANKING DB")</f>
        <v>TRSF E-BANKING DB</v>
      </c>
      <c r="C196" s="5" t="str">
        <f>IFERROR(__xludf.DUMMYFUNCTION("""COMPUTED_VALUE"""),"2811/FTSCY/WS95271 2250000.00 SITI RAHMA IFTITAH")</f>
        <v>2811/FTSCY/WS95271 2250000.00 SITI RAHMA IFTITAH</v>
      </c>
      <c r="D196" s="5">
        <f>IFERROR(__xludf.DUMMYFUNCTION("""COMPUTED_VALUE"""),2250000.0)</f>
        <v>2250000</v>
      </c>
      <c r="E196" s="5"/>
      <c r="F196" s="5" t="str">
        <f>IFERROR(__xludf.DUMMYFUNCTION("""COMPUTED_VALUE"""),"DB")</f>
        <v>DB</v>
      </c>
      <c r="G196" s="5">
        <f>IFERROR(__xludf.DUMMYFUNCTION("""COMPUTED_VALUE"""),2.9179395719000006E8)</f>
        <v>291793957.2</v>
      </c>
      <c r="H196" s="5"/>
      <c r="I196" s="5" t="str">
        <f>IFERROR(__xludf.DUMMYFUNCTION("""COMPUTED_VALUE"""),"PRIBADI")</f>
        <v>PRIBADI</v>
      </c>
    </row>
    <row r="197">
      <c r="A197" s="7">
        <f>IFERROR(__xludf.DUMMYFUNCTION("""COMPUTED_VALUE"""),46354.0)</f>
        <v>46354</v>
      </c>
      <c r="B197" s="5" t="str">
        <f>IFERROR(__xludf.DUMMYFUNCTION("""COMPUTED_VALUE"""),"TRSF E-BANKING DB")</f>
        <v>TRSF E-BANKING DB</v>
      </c>
      <c r="C197" s="5" t="str">
        <f>IFERROR(__xludf.DUMMYFUNCTION("""COMPUTED_VALUE"""),"2811/FTSCY/WS95031 23662000.00 lunas BRANTAS ABADI SENT")</f>
        <v>2811/FTSCY/WS95031 23662000.00 lunas BRANTAS ABADI SENT</v>
      </c>
      <c r="D197" s="5">
        <f>IFERROR(__xludf.DUMMYFUNCTION("""COMPUTED_VALUE"""),2.3662E7)</f>
        <v>23662000</v>
      </c>
      <c r="E197" s="5"/>
      <c r="F197" s="5" t="str">
        <f>IFERROR(__xludf.DUMMYFUNCTION("""COMPUTED_VALUE"""),"DB")</f>
        <v>DB</v>
      </c>
      <c r="G197" s="5">
        <f>IFERROR(__xludf.DUMMYFUNCTION("""COMPUTED_VALUE"""),2.6813195719000006E8)</f>
        <v>268131957.2</v>
      </c>
      <c r="H197" s="5"/>
      <c r="I197" s="5" t="str">
        <f>IFERROR(__xludf.DUMMYFUNCTION("""COMPUTED_VALUE"""),"PRIBADI")</f>
        <v>PRIBADI</v>
      </c>
    </row>
    <row r="198">
      <c r="A198" s="7">
        <f>IFERROR(__xludf.DUMMYFUNCTION("""COMPUTED_VALUE"""),46354.0)</f>
        <v>46354</v>
      </c>
      <c r="B198" s="5" t="str">
        <f>IFERROR(__xludf.DUMMYFUNCTION("""COMPUTED_VALUE"""),"TRSF E-BANKING DB")</f>
        <v>TRSF E-BANKING DB</v>
      </c>
      <c r="C198" s="5" t="str">
        <f>IFERROR(__xludf.DUMMYFUNCTION("""COMPUTED_VALUE"""),"2811/FTSCY/WS95271 105242980.00 pelunasan BRANTAS ABADI SENT")</f>
        <v>2811/FTSCY/WS95271 105242980.00 pelunasan BRANTAS ABADI SENT</v>
      </c>
      <c r="D198" s="5">
        <f>IFERROR(__xludf.DUMMYFUNCTION("""COMPUTED_VALUE"""),1.0524298E8)</f>
        <v>105242980</v>
      </c>
      <c r="E198" s="5"/>
      <c r="F198" s="5" t="str">
        <f>IFERROR(__xludf.DUMMYFUNCTION("""COMPUTED_VALUE"""),"DB")</f>
        <v>DB</v>
      </c>
      <c r="G198" s="5">
        <f>IFERROR(__xludf.DUMMYFUNCTION("""COMPUTED_VALUE"""),1.6288897719000006E8)</f>
        <v>162888977.2</v>
      </c>
      <c r="H198" s="5">
        <f>IFERROR(__xludf.DUMMYFUNCTION("""COMPUTED_VALUE"""),1.6288897719E8)</f>
        <v>162888977.2</v>
      </c>
      <c r="I198" s="5" t="str">
        <f>IFERROR(__xludf.DUMMYFUNCTION("""COMPUTED_VALUE"""),"PRIBADI")</f>
        <v>PRIBADI</v>
      </c>
    </row>
    <row r="199">
      <c r="A199" s="7">
        <f>IFERROR(__xludf.DUMMYFUNCTION("""COMPUTED_VALUE"""),46354.0)</f>
        <v>46354</v>
      </c>
      <c r="B199" s="5" t="str">
        <f>IFERROR(__xludf.DUMMYFUNCTION("""COMPUTED_VALUE"""),"TRSF E-BANKING DB")</f>
        <v>TRSF E-BANKING DB</v>
      </c>
      <c r="C199" s="5" t="str">
        <f>IFERROR(__xludf.DUMMYFUNCTION("""COMPUTED_VALUE"""),"2811/FTSCY/WS95271 44263500.00 Thu Nov 26 2026 15:00:00 GMT+0700 (Western Indonesia Time) SUPER UNGGAS JAYA")</f>
        <v>2811/FTSCY/WS95271 44263500.00 Thu Nov 26 2026 15:00:00 GMT+0700 (Western Indonesia Time) SUPER UNGGAS JAYA</v>
      </c>
      <c r="D199" s="5">
        <f>IFERROR(__xludf.DUMMYFUNCTION("""COMPUTED_VALUE"""),4.42635E7)</f>
        <v>44263500</v>
      </c>
      <c r="E199" s="5"/>
      <c r="F199" s="5" t="str">
        <f>IFERROR(__xludf.DUMMYFUNCTION("""COMPUTED_VALUE"""),"DB")</f>
        <v>DB</v>
      </c>
      <c r="G199" s="5">
        <f>IFERROR(__xludf.DUMMYFUNCTION("""COMPUTED_VALUE"""),3.0596787719000006E8)</f>
        <v>305967877.2</v>
      </c>
      <c r="H199" s="5"/>
      <c r="I199" s="5" t="str">
        <f>IFERROR(__xludf.DUMMYFUNCTION("""COMPUTED_VALUE"""),"PRIBADI")</f>
        <v>PRIBADI</v>
      </c>
    </row>
    <row r="200">
      <c r="A200" s="7">
        <f>IFERROR(__xludf.DUMMYFUNCTION("""COMPUTED_VALUE"""),46354.0)</f>
        <v>46354</v>
      </c>
      <c r="B200" s="5" t="str">
        <f>IFERROR(__xludf.DUMMYFUNCTION("""COMPUTED_VALUE"""),"TRSF E-BANKING DB")</f>
        <v>TRSF E-BANKING DB</v>
      </c>
      <c r="C200" s="5" t="str">
        <f>IFERROR(__xludf.DUMMYFUNCTION("""COMPUTED_VALUE"""),"2811/FTSCY/WS95271 46107000.00 Thu Nov 26 2026 15:00:00 GMT+0700 (Western Indonesia Time) ANUGERAH KARTIKA A")</f>
        <v>2811/FTSCY/WS95271 46107000.00 Thu Nov 26 2026 15:00:00 GMT+0700 (Western Indonesia Time) ANUGERAH KARTIKA A</v>
      </c>
      <c r="D200" s="5">
        <f>IFERROR(__xludf.DUMMYFUNCTION("""COMPUTED_VALUE"""),4.6107E7)</f>
        <v>46107000</v>
      </c>
      <c r="E200" s="5"/>
      <c r="F200" s="5" t="str">
        <f>IFERROR(__xludf.DUMMYFUNCTION("""COMPUTED_VALUE"""),"DB")</f>
        <v>DB</v>
      </c>
      <c r="G200" s="5">
        <f>IFERROR(__xludf.DUMMYFUNCTION("""COMPUTED_VALUE"""),2.5986087719000006E8)</f>
        <v>259860877.2</v>
      </c>
      <c r="H200" s="5"/>
      <c r="I200" s="5" t="str">
        <f>IFERROR(__xludf.DUMMYFUNCTION("""COMPUTED_VALUE"""),"PRIBADI")</f>
        <v>PRIBADI</v>
      </c>
    </row>
    <row r="201">
      <c r="A201" s="7">
        <f>IFERROR(__xludf.DUMMYFUNCTION("""COMPUTED_VALUE"""),46354.0)</f>
        <v>46354</v>
      </c>
      <c r="B201" s="5" t="str">
        <f>IFERROR(__xludf.DUMMYFUNCTION("""COMPUTED_VALUE"""),"TRSF E-BANKING DB")</f>
        <v>TRSF E-BANKING DB</v>
      </c>
      <c r="C201" s="5" t="str">
        <f>IFERROR(__xludf.DUMMYFUNCTION("""COMPUTED_VALUE"""),"2811/FTSCY/WS95031 51588100.00 Thu Nov 26 2026 15:00:00 GMT+0700 (Western Indonesia Time) BROILER MAKMUR TAN")</f>
        <v>2811/FTSCY/WS95031 51588100.00 Thu Nov 26 2026 15:00:00 GMT+0700 (Western Indonesia Time) BROILER MAKMUR TAN</v>
      </c>
      <c r="D201" s="5">
        <f>IFERROR(__xludf.DUMMYFUNCTION("""COMPUTED_VALUE"""),5.15881E7)</f>
        <v>51588100</v>
      </c>
      <c r="E201" s="5"/>
      <c r="F201" s="5" t="str">
        <f>IFERROR(__xludf.DUMMYFUNCTION("""COMPUTED_VALUE"""),"DB")</f>
        <v>DB</v>
      </c>
      <c r="G201" s="5">
        <f>IFERROR(__xludf.DUMMYFUNCTION("""COMPUTED_VALUE"""),2.0827277719000006E8)</f>
        <v>208272777.2</v>
      </c>
      <c r="H201" s="5"/>
      <c r="I201" s="5" t="str">
        <f>IFERROR(__xludf.DUMMYFUNCTION("""COMPUTED_VALUE"""),"PRIBADI")</f>
        <v>PRIBADI</v>
      </c>
    </row>
    <row r="202">
      <c r="A202" s="7">
        <f>IFERROR(__xludf.DUMMYFUNCTION("""COMPUTED_VALUE"""),46354.0)</f>
        <v>46354</v>
      </c>
      <c r="B202" s="5" t="str">
        <f>IFERROR(__xludf.DUMMYFUNCTION("""COMPUTED_VALUE"""),"TRSF E-BANKING DB")</f>
        <v>TRSF E-BANKING DB</v>
      </c>
      <c r="C202" s="5" t="str">
        <f>IFERROR(__xludf.DUMMYFUNCTION("""COMPUTED_VALUE"""),"2811/FTSCY/WS95031 7286870.00 lunas HERMAWAN")</f>
        <v>2811/FTSCY/WS95031 7286870.00 lunas HERMAWAN</v>
      </c>
      <c r="D202" s="5">
        <f>IFERROR(__xludf.DUMMYFUNCTION("""COMPUTED_VALUE"""),7286870.0)</f>
        <v>7286870</v>
      </c>
      <c r="E202" s="5"/>
      <c r="F202" s="5" t="str">
        <f>IFERROR(__xludf.DUMMYFUNCTION("""COMPUTED_VALUE"""),"DB")</f>
        <v>DB</v>
      </c>
      <c r="G202" s="5">
        <f>IFERROR(__xludf.DUMMYFUNCTION("""COMPUTED_VALUE"""),3.2748590719000006E8)</f>
        <v>327485907.2</v>
      </c>
      <c r="H202" s="5"/>
      <c r="I202" s="5" t="str">
        <f>IFERROR(__xludf.DUMMYFUNCTION("""COMPUTED_VALUE"""),"PRIBADI")</f>
        <v>PRIBADI</v>
      </c>
    </row>
    <row r="203">
      <c r="A203" s="7">
        <f>IFERROR(__xludf.DUMMYFUNCTION("""COMPUTED_VALUE"""),46354.0)</f>
        <v>46354</v>
      </c>
      <c r="B203" s="5" t="str">
        <f>IFERROR(__xludf.DUMMYFUNCTION("""COMPUTED_VALUE"""),"TRSF E-BANKING DB")</f>
        <v>TRSF E-BANKING DB</v>
      </c>
      <c r="C203" s="5" t="str">
        <f>IFERROR(__xludf.DUMMYFUNCTION("""COMPUTED_VALUE"""),"2811/FTSCY/WS95011 140880000.00 Fri Nov 27 2026 15:00:00 GMT+0700 (Western Indonesia Time) RUKUN MITRA BERSAM")</f>
        <v>2811/FTSCY/WS95011 140880000.00 Fri Nov 27 2026 15:00:00 GMT+0700 (Western Indonesia Time) RUKUN MITRA BERSAM</v>
      </c>
      <c r="D203" s="5">
        <f>IFERROR(__xludf.DUMMYFUNCTION("""COMPUTED_VALUE"""),1.4088E8)</f>
        <v>140880000</v>
      </c>
      <c r="E203" s="5"/>
      <c r="F203" s="5" t="str">
        <f>IFERROR(__xludf.DUMMYFUNCTION("""COMPUTED_VALUE"""),"DB")</f>
        <v>DB</v>
      </c>
      <c r="G203" s="5">
        <f>IFERROR(__xludf.DUMMYFUNCTION("""COMPUTED_VALUE"""),1.8660590719000006E8)</f>
        <v>186605907.2</v>
      </c>
      <c r="H203" s="5"/>
      <c r="I203" s="5" t="str">
        <f>IFERROR(__xludf.DUMMYFUNCTION("""COMPUTED_VALUE"""),"PRIBADI")</f>
        <v>PRIBADI</v>
      </c>
    </row>
    <row r="204">
      <c r="A204" s="7">
        <f>IFERROR(__xludf.DUMMYFUNCTION("""COMPUTED_VALUE"""),46354.0)</f>
        <v>46354</v>
      </c>
      <c r="B204" s="5" t="str">
        <f>IFERROR(__xludf.DUMMYFUNCTION("""COMPUTED_VALUE"""),"TRSF E-BANKING DB")</f>
        <v>TRSF E-BANKING DB</v>
      </c>
      <c r="C204" s="5" t="str">
        <f>IFERROR(__xludf.DUMMYFUNCTION("""COMPUTED_VALUE"""),"2811/FTSCY/WS95011 181487950.00 Fri Nov 27 2026 15:00:00 GMT+0700 (Western Indonesia Time) BRANTAS ABADI SENT")</f>
        <v>2811/FTSCY/WS95011 181487950.00 Fri Nov 27 2026 15:00:00 GMT+0700 (Western Indonesia Time) BRANTAS ABADI SENT</v>
      </c>
      <c r="D204" s="5">
        <f>IFERROR(__xludf.DUMMYFUNCTION("""COMPUTED_VALUE"""),1.8148795E8)</f>
        <v>181487950</v>
      </c>
      <c r="E204" s="5"/>
      <c r="F204" s="5" t="str">
        <f>IFERROR(__xludf.DUMMYFUNCTION("""COMPUTED_VALUE"""),"DB")</f>
        <v>DB</v>
      </c>
      <c r="G204" s="5">
        <f>IFERROR(__xludf.DUMMYFUNCTION("""COMPUTED_VALUE"""),5117957.190000057)</f>
        <v>5117957.19</v>
      </c>
      <c r="H204" s="5"/>
      <c r="I204" s="5" t="str">
        <f>IFERROR(__xludf.DUMMYFUNCTION("""COMPUTED_VALUE"""),"PRIBADI")</f>
        <v>PRIBADI</v>
      </c>
    </row>
    <row r="205">
      <c r="A205" s="7">
        <f>IFERROR(__xludf.DUMMYFUNCTION("""COMPUTED_VALUE"""),46354.0)</f>
        <v>46354</v>
      </c>
      <c r="B205" s="5" t="str">
        <f>IFERROR(__xludf.DUMMYFUNCTION("""COMPUTED_VALUE"""),"TRSF E-BANKING DB")</f>
        <v>TRSF E-BANKING DB</v>
      </c>
      <c r="C205" s="5" t="str">
        <f>IFERROR(__xludf.DUMMYFUNCTION("""COMPUTED_VALUE"""),"2811/FTSCY/WS95031 3100000.00 FAJAR ANDREANZAH")</f>
        <v>2811/FTSCY/WS95031 3100000.00 FAJAR ANDREANZAH</v>
      </c>
      <c r="D205" s="5">
        <f>IFERROR(__xludf.DUMMYFUNCTION("""COMPUTED_VALUE"""),3100000.0)</f>
        <v>3100000</v>
      </c>
      <c r="E205" s="5"/>
      <c r="F205" s="5" t="str">
        <f>IFERROR(__xludf.DUMMYFUNCTION("""COMPUTED_VALUE"""),"DB")</f>
        <v>DB</v>
      </c>
      <c r="G205" s="5">
        <f>IFERROR(__xludf.DUMMYFUNCTION("""COMPUTED_VALUE"""),2.8217755719000006E8)</f>
        <v>282177557.2</v>
      </c>
      <c r="H205" s="5"/>
      <c r="I205" s="5" t="str">
        <f>IFERROR(__xludf.DUMMYFUNCTION("""COMPUTED_VALUE"""),"PRIBADI")</f>
        <v>PRIBADI</v>
      </c>
    </row>
    <row r="206">
      <c r="A206" s="7">
        <f>IFERROR(__xludf.DUMMYFUNCTION("""COMPUTED_VALUE"""),46354.0)</f>
        <v>46354</v>
      </c>
      <c r="B206" s="5" t="str">
        <f>IFERROR(__xludf.DUMMYFUNCTION("""COMPUTED_VALUE"""),"TRSF E-BANKING DB")</f>
        <v>TRSF E-BANKING DB</v>
      </c>
      <c r="C206" s="5" t="str">
        <f>IFERROR(__xludf.DUMMYFUNCTION("""COMPUTED_VALUE"""),"2811/FTSCY/WS95031 10775590.00 krg 90 jt EKO SETIYAWAN")</f>
        <v>2811/FTSCY/WS95031 10775590.00 krg 90 jt EKO SETIYAWAN</v>
      </c>
      <c r="D206" s="5">
        <f>IFERROR(__xludf.DUMMYFUNCTION("""COMPUTED_VALUE"""),1.077559E7)</f>
        <v>10775590</v>
      </c>
      <c r="E206" s="5"/>
      <c r="F206" s="5" t="str">
        <f>IFERROR(__xludf.DUMMYFUNCTION("""COMPUTED_VALUE"""),"DB")</f>
        <v>DB</v>
      </c>
      <c r="G206" s="5">
        <f>IFERROR(__xludf.DUMMYFUNCTION("""COMPUTED_VALUE"""),2.7140196719000006E8)</f>
        <v>271401967.2</v>
      </c>
      <c r="H206" s="5"/>
      <c r="I206" s="5" t="str">
        <f>IFERROR(__xludf.DUMMYFUNCTION("""COMPUTED_VALUE"""),"PRIBADI")</f>
        <v>PRIBADI</v>
      </c>
    </row>
    <row r="207">
      <c r="A207" s="7">
        <f>IFERROR(__xludf.DUMMYFUNCTION("""COMPUTED_VALUE"""),46354.0)</f>
        <v>46354</v>
      </c>
      <c r="B207" s="5" t="str">
        <f>IFERROR(__xludf.DUMMYFUNCTION("""COMPUTED_VALUE"""),"TRSF E-BANKING DB")</f>
        <v>TRSF E-BANKING DB</v>
      </c>
      <c r="C207" s="5" t="str">
        <f>IFERROR(__xludf.DUMMYFUNCTION("""COMPUTED_VALUE"""),"2811/FTSCY/WS95031 3000000.00 EKO SETIYAWAN")</f>
        <v>2811/FTSCY/WS95031 3000000.00 EKO SETIYAWAN</v>
      </c>
      <c r="D207" s="5">
        <f>IFERROR(__xludf.DUMMYFUNCTION("""COMPUTED_VALUE"""),3000000.0)</f>
        <v>3000000</v>
      </c>
      <c r="E207" s="5"/>
      <c r="F207" s="5" t="str">
        <f>IFERROR(__xludf.DUMMYFUNCTION("""COMPUTED_VALUE"""),"DB")</f>
        <v>DB</v>
      </c>
      <c r="G207" s="5">
        <f>IFERROR(__xludf.DUMMYFUNCTION("""COMPUTED_VALUE"""),2.6840196719000006E8)</f>
        <v>268401967.2</v>
      </c>
      <c r="H207" s="5">
        <f>IFERROR(__xludf.DUMMYFUNCTION("""COMPUTED_VALUE"""),2.6840196719E8)</f>
        <v>268401967.2</v>
      </c>
      <c r="I207" s="5" t="str">
        <f>IFERROR(__xludf.DUMMYFUNCTION("""COMPUTED_VALUE"""),"PRIBADI")</f>
        <v>PRIBADI</v>
      </c>
    </row>
    <row r="208">
      <c r="A208" s="7">
        <f>IFERROR(__xludf.DUMMYFUNCTION("""COMPUTED_VALUE"""),46355.0)</f>
        <v>46355</v>
      </c>
      <c r="B208" s="5" t="str">
        <f>IFERROR(__xludf.DUMMYFUNCTION("""COMPUTED_VALUE"""),"TRSF E-BANKING DB TANGGAL :28/11")</f>
        <v>TRSF E-BANKING DB TANGGAL :28/11</v>
      </c>
      <c r="C208" s="5" t="str">
        <f>IFERROR(__xludf.DUMMYFUNCTION("""COMPUTED_VALUE"""),"2811/FTSCY/WS95011 Thu Nov 26 2026 15:00:00 GMT+0700 (Western Indonesia Time) TABASSAM JAYA FARM")</f>
        <v>2811/FTSCY/WS95011 Thu Nov 26 2026 15:00:00 GMT+0700 (Western Indonesia Time) TABASSAM JAYA FARM</v>
      </c>
      <c r="D208" s="5">
        <f>IFERROR(__xludf.DUMMYFUNCTION("""COMPUTED_VALUE"""),8.5767E7)</f>
        <v>85767000</v>
      </c>
      <c r="E208" s="5"/>
      <c r="F208" s="5" t="str">
        <f>IFERROR(__xludf.DUMMYFUNCTION("""COMPUTED_VALUE"""),"DB")</f>
        <v>DB</v>
      </c>
      <c r="G208" s="5">
        <f>IFERROR(__xludf.DUMMYFUNCTION("""COMPUTED_VALUE"""),1.8263496719000006E8)</f>
        <v>182634967.2</v>
      </c>
      <c r="H208" s="5">
        <f>IFERROR(__xludf.DUMMYFUNCTION("""COMPUTED_VALUE"""),1.8263496719E8)</f>
        <v>182634967.2</v>
      </c>
      <c r="I208" s="5" t="str">
        <f>IFERROR(__xludf.DUMMYFUNCTION("""COMPUTED_VALUE"""),"PRIBADI")</f>
        <v>PRIBADI</v>
      </c>
    </row>
    <row r="209">
      <c r="A209" s="7">
        <f>IFERROR(__xludf.DUMMYFUNCTION("""COMPUTED_VALUE"""),46355.0)</f>
        <v>46355</v>
      </c>
      <c r="B209" s="5" t="str">
        <f>IFERROR(__xludf.DUMMYFUNCTION("""COMPUTED_VALUE"""),"TRSF E-BANKING DB TANGGAL :28/11")</f>
        <v>TRSF E-BANKING DB TANGGAL :28/11</v>
      </c>
      <c r="C209" s="5" t="str">
        <f>IFERROR(__xludf.DUMMYFUNCTION("""COMPUTED_VALUE"""),"2811/FTSCY/WS95011 Fri Nov 27 2026 15:00:00 GMT+0700 (Western Indonesia Time) BRANTAS ABADI SENT")</f>
        <v>2811/FTSCY/WS95011 Fri Nov 27 2026 15:00:00 GMT+0700 (Western Indonesia Time) BRANTAS ABADI SENT</v>
      </c>
      <c r="D209" s="5">
        <f>IFERROR(__xludf.DUMMYFUNCTION("""COMPUTED_VALUE"""),5.41415E7)</f>
        <v>54141500</v>
      </c>
      <c r="E209" s="5"/>
      <c r="F209" s="5" t="str">
        <f>IFERROR(__xludf.DUMMYFUNCTION("""COMPUTED_VALUE"""),"DB")</f>
        <v>DB</v>
      </c>
      <c r="G209" s="5">
        <f>IFERROR(__xludf.DUMMYFUNCTION("""COMPUTED_VALUE"""),1.2849346719000006E8)</f>
        <v>128493467.2</v>
      </c>
      <c r="H209" s="5"/>
      <c r="I209" s="5" t="str">
        <f>IFERROR(__xludf.DUMMYFUNCTION("""COMPUTED_VALUE"""),"PRIBADI")</f>
        <v>PRIBADI</v>
      </c>
    </row>
    <row r="210">
      <c r="A210" s="7">
        <f>IFERROR(__xludf.DUMMYFUNCTION("""COMPUTED_VALUE"""),46355.0)</f>
        <v>46355</v>
      </c>
      <c r="B210" s="5" t="str">
        <f>IFERROR(__xludf.DUMMYFUNCTION("""COMPUTED_VALUE"""),"TRSF E-BANKING DB TANGGAL :28/11")</f>
        <v>TRSF E-BANKING DB TANGGAL :28/11</v>
      </c>
      <c r="C210" s="5" t="str">
        <f>IFERROR(__xludf.DUMMYFUNCTION("""COMPUTED_VALUE"""),"2811/FTSCY/WS95011 27/11 krg 65 jt GANESHA SATRIA NUS")</f>
        <v>2811/FTSCY/WS95011 27/11 krg 65 jt GANESHA SATRIA NUS</v>
      </c>
      <c r="D210" s="5">
        <f>IFERROR(__xludf.DUMMYFUNCTION("""COMPUTED_VALUE"""),3.75685E7)</f>
        <v>37568500</v>
      </c>
      <c r="E210" s="5"/>
      <c r="F210" s="5" t="str">
        <f>IFERROR(__xludf.DUMMYFUNCTION("""COMPUTED_VALUE"""),"DB")</f>
        <v>DB</v>
      </c>
      <c r="G210" s="5">
        <f>IFERROR(__xludf.DUMMYFUNCTION("""COMPUTED_VALUE"""),9.092496719000006E7)</f>
        <v>90924967.19</v>
      </c>
      <c r="H210" s="5"/>
      <c r="I210" s="5" t="str">
        <f>IFERROR(__xludf.DUMMYFUNCTION("""COMPUTED_VALUE"""),"PRIBADI")</f>
        <v>PRIBADI</v>
      </c>
    </row>
    <row r="211">
      <c r="A211" s="7">
        <f>IFERROR(__xludf.DUMMYFUNCTION("""COMPUTED_VALUE"""),46355.0)</f>
        <v>46355</v>
      </c>
      <c r="B211" s="5" t="str">
        <f>IFERROR(__xludf.DUMMYFUNCTION("""COMPUTED_VALUE"""),"TRSF E-BANKING DB")</f>
        <v>TRSF E-BANKING DB</v>
      </c>
      <c r="C211" s="5" t="str">
        <f>IFERROR(__xludf.DUMMYFUNCTION("""COMPUTED_VALUE"""),"2911/FTSCY/WS95271 45000000.00 Fri Nov 27 2026 15:00:00 GMT+0700 (Western Indonesia Time) TUMBUH OPTIMAL PRI")</f>
        <v>2911/FTSCY/WS95271 45000000.00 Fri Nov 27 2026 15:00:00 GMT+0700 (Western Indonesia Time) TUMBUH OPTIMAL PRI</v>
      </c>
      <c r="D211" s="5">
        <f>IFERROR(__xludf.DUMMYFUNCTION("""COMPUTED_VALUE"""),4.5E7)</f>
        <v>45000000</v>
      </c>
      <c r="E211" s="5"/>
      <c r="F211" s="5" t="str">
        <f>IFERROR(__xludf.DUMMYFUNCTION("""COMPUTED_VALUE"""),"DB")</f>
        <v>DB</v>
      </c>
      <c r="G211" s="5">
        <f>IFERROR(__xludf.DUMMYFUNCTION("""COMPUTED_VALUE"""),8.118939719000006E7)</f>
        <v>81189397.19</v>
      </c>
      <c r="H211" s="5"/>
      <c r="I211" s="5" t="str">
        <f>IFERROR(__xludf.DUMMYFUNCTION("""COMPUTED_VALUE"""),"PRIBADI")</f>
        <v>PRIBADI</v>
      </c>
    </row>
    <row r="212">
      <c r="A212" s="7">
        <f>IFERROR(__xludf.DUMMYFUNCTION("""COMPUTED_VALUE"""),46355.0)</f>
        <v>46355</v>
      </c>
      <c r="B212" s="5" t="str">
        <f>IFERROR(__xludf.DUMMYFUNCTION("""COMPUTED_VALUE"""),"TRSF E-BANKING DB")</f>
        <v>TRSF E-BANKING DB</v>
      </c>
      <c r="C212" s="5" t="str">
        <f>IFERROR(__xludf.DUMMYFUNCTION("""COMPUTED_VALUE"""),"2911/FTSCY/WS95271 600000.00 ANDE DOSO ANGGORO")</f>
        <v>2911/FTSCY/WS95271 600000.00 ANDE DOSO ANGGORO</v>
      </c>
      <c r="D212" s="5">
        <f>IFERROR(__xludf.DUMMYFUNCTION("""COMPUTED_VALUE"""),600000.0)</f>
        <v>600000</v>
      </c>
      <c r="E212" s="5"/>
      <c r="F212" s="5" t="str">
        <f>IFERROR(__xludf.DUMMYFUNCTION("""COMPUTED_VALUE"""),"DB")</f>
        <v>DB</v>
      </c>
      <c r="G212" s="5">
        <f>IFERROR(__xludf.DUMMYFUNCTION("""COMPUTED_VALUE"""),8.058939719000006E7)</f>
        <v>80589397.19</v>
      </c>
      <c r="H212" s="5"/>
      <c r="I212" s="5" t="str">
        <f>IFERROR(__xludf.DUMMYFUNCTION("""COMPUTED_VALUE"""),"PRIBADI")</f>
        <v>PRIBADI</v>
      </c>
    </row>
    <row r="213">
      <c r="A213" s="7">
        <f>IFERROR(__xludf.DUMMYFUNCTION("""COMPUTED_VALUE"""),46355.0)</f>
        <v>46355</v>
      </c>
      <c r="B213" s="5" t="str">
        <f>IFERROR(__xludf.DUMMYFUNCTION("""COMPUTED_VALUE"""),"TRSF E-BANKING DB")</f>
        <v>TRSF E-BANKING DB</v>
      </c>
      <c r="C213" s="5" t="str">
        <f>IFERROR(__xludf.DUMMYFUNCTION("""COMPUTED_VALUE"""),"2911/FTSCY/WS95271 26055900.00 Sat Nov 28 2026 15:00:00 GMT+0700 (Western Indonesia Time) ANUGERAH KARTIKA A")</f>
        <v>2911/FTSCY/WS95271 26055900.00 Sat Nov 28 2026 15:00:00 GMT+0700 (Western Indonesia Time) ANUGERAH KARTIKA A</v>
      </c>
      <c r="D213" s="5">
        <f>IFERROR(__xludf.DUMMYFUNCTION("""COMPUTED_VALUE"""),2.60559E7)</f>
        <v>26055900</v>
      </c>
      <c r="E213" s="5"/>
      <c r="F213" s="5" t="str">
        <f>IFERROR(__xludf.DUMMYFUNCTION("""COMPUTED_VALUE"""),"DB")</f>
        <v>DB</v>
      </c>
      <c r="G213" s="5">
        <f>IFERROR(__xludf.DUMMYFUNCTION("""COMPUTED_VALUE"""),5.453349719000006E7)</f>
        <v>54533497.19</v>
      </c>
      <c r="H213" s="5"/>
      <c r="I213" s="5" t="str">
        <f>IFERROR(__xludf.DUMMYFUNCTION("""COMPUTED_VALUE"""),"PRIBADI")</f>
        <v>PRIBADI</v>
      </c>
    </row>
    <row r="214">
      <c r="A214" s="7">
        <f>IFERROR(__xludf.DUMMYFUNCTION("""COMPUTED_VALUE"""),46355.0)</f>
        <v>46355</v>
      </c>
      <c r="B214" s="5" t="str">
        <f>IFERROR(__xludf.DUMMYFUNCTION("""COMPUTED_VALUE"""),"BI-FAST DB")</f>
        <v>BI-FAST DB</v>
      </c>
      <c r="C214" s="5" t="str">
        <f>IFERROR(__xludf.DUMMYFUNCTION("""COMPUTED_VALUE"""),"BIF TRANSFER KE 8 DWI RIZQIKA DZULKA MyBCA")</f>
        <v>BIF TRANSFER KE 8 DWI RIZQIKA DZULKA MyBCA</v>
      </c>
      <c r="D214" s="5">
        <f>IFERROR(__xludf.DUMMYFUNCTION("""COMPUTED_VALUE"""),100000.0)</f>
        <v>100000</v>
      </c>
      <c r="E214" s="5"/>
      <c r="F214" s="5" t="str">
        <f>IFERROR(__xludf.DUMMYFUNCTION("""COMPUTED_VALUE"""),"DB")</f>
        <v>DB</v>
      </c>
      <c r="G214" s="5">
        <f>IFERROR(__xludf.DUMMYFUNCTION("""COMPUTED_VALUE"""),5.443349719000006E7)</f>
        <v>54433497.19</v>
      </c>
      <c r="H214" s="5"/>
      <c r="I214" s="5" t="str">
        <f>IFERROR(__xludf.DUMMYFUNCTION("""COMPUTED_VALUE"""),"PRIBADI")</f>
        <v>PRIBADI</v>
      </c>
    </row>
    <row r="215">
      <c r="A215" s="7">
        <f>IFERROR(__xludf.DUMMYFUNCTION("""COMPUTED_VALUE"""),46355.0)</f>
        <v>46355</v>
      </c>
      <c r="B215" s="5" t="str">
        <f>IFERROR(__xludf.DUMMYFUNCTION("""COMPUTED_VALUE"""),"BI-FAST DB")</f>
        <v>BI-FAST DB</v>
      </c>
      <c r="C215" s="5" t="str">
        <f>IFERROR(__xludf.DUMMYFUNCTION("""COMPUTED_VALUE"""),"BIF BIAYA TXN KE 8 DWI RIZQIKA DZULKA MyBCA")</f>
        <v>BIF BIAYA TXN KE 8 DWI RIZQIKA DZULKA MyBCA</v>
      </c>
      <c r="D215" s="5">
        <f>IFERROR(__xludf.DUMMYFUNCTION("""COMPUTED_VALUE"""),2500.0)</f>
        <v>2500</v>
      </c>
      <c r="E215" s="5"/>
      <c r="F215" s="5" t="str">
        <f>IFERROR(__xludf.DUMMYFUNCTION("""COMPUTED_VALUE"""),"DB")</f>
        <v>DB</v>
      </c>
      <c r="G215" s="5">
        <f>IFERROR(__xludf.DUMMYFUNCTION("""COMPUTED_VALUE"""),5.443099719000006E7)</f>
        <v>54430997.19</v>
      </c>
      <c r="H215" s="5"/>
      <c r="I215" s="5" t="str">
        <f>IFERROR(__xludf.DUMMYFUNCTION("""COMPUTED_VALUE"""),"PRIBADI")</f>
        <v>PRIBADI</v>
      </c>
    </row>
    <row r="216">
      <c r="A216" s="7">
        <f>IFERROR(__xludf.DUMMYFUNCTION("""COMPUTED_VALUE"""),46355.0)</f>
        <v>46355</v>
      </c>
      <c r="B216" s="5" t="str">
        <f>IFERROR(__xludf.DUMMYFUNCTION("""COMPUTED_VALUE"""),"TRSF E-BANKING DB")</f>
        <v>TRSF E-BANKING DB</v>
      </c>
      <c r="C216" s="5" t="str">
        <f>IFERROR(__xludf.DUMMYFUNCTION("""COMPUTED_VALUE"""),"2911/FTSCY/WS95271 46333500.00 Fri Nov 27 2026 15:00:00 GMT+0700 (Western Indonesia Time) ADNAN")</f>
        <v>2911/FTSCY/WS95271 46333500.00 Fri Nov 27 2026 15:00:00 GMT+0700 (Western Indonesia Time) ADNAN</v>
      </c>
      <c r="D216" s="5">
        <f>IFERROR(__xludf.DUMMYFUNCTION("""COMPUTED_VALUE"""),4.63335E7)</f>
        <v>46333500</v>
      </c>
      <c r="E216" s="5"/>
      <c r="F216" s="5" t="str">
        <f>IFERROR(__xludf.DUMMYFUNCTION("""COMPUTED_VALUE"""),"DB")</f>
        <v>DB</v>
      </c>
      <c r="G216" s="5">
        <f>IFERROR(__xludf.DUMMYFUNCTION("""COMPUTED_VALUE"""),8097497.190000057)</f>
        <v>8097497.19</v>
      </c>
      <c r="H216" s="5"/>
      <c r="I216" s="5" t="str">
        <f>IFERROR(__xludf.DUMMYFUNCTION("""COMPUTED_VALUE"""),"PRIBADI")</f>
        <v>PRIBADI</v>
      </c>
    </row>
    <row r="217">
      <c r="A217" s="7">
        <f>IFERROR(__xludf.DUMMYFUNCTION("""COMPUTED_VALUE"""),46355.0)</f>
        <v>46355</v>
      </c>
      <c r="B217" s="5" t="str">
        <f>IFERROR(__xludf.DUMMYFUNCTION("""COMPUTED_VALUE"""),"BI-FAST DB")</f>
        <v>BI-FAST DB</v>
      </c>
      <c r="C217" s="5" t="str">
        <f>IFERROR(__xludf.DUMMYFUNCTION("""COMPUTED_VALUE"""),"BIF TRANSFER KE 2 IIN INDAWASIH MyBCA")</f>
        <v>BIF TRANSFER KE 2 IIN INDAWASIH MyBCA</v>
      </c>
      <c r="D217" s="5">
        <f>IFERROR(__xludf.DUMMYFUNCTION("""COMPUTED_VALUE"""),6956000.0)</f>
        <v>6956000</v>
      </c>
      <c r="E217" s="5"/>
      <c r="F217" s="5" t="str">
        <f>IFERROR(__xludf.DUMMYFUNCTION("""COMPUTED_VALUE"""),"DB")</f>
        <v>DB</v>
      </c>
      <c r="G217" s="5">
        <f>IFERROR(__xludf.DUMMYFUNCTION("""COMPUTED_VALUE"""),1141497.1900000572)</f>
        <v>1141497.19</v>
      </c>
      <c r="H217" s="5"/>
      <c r="I217" s="5" t="str">
        <f>IFERROR(__xludf.DUMMYFUNCTION("""COMPUTED_VALUE"""),"PRIBADI")</f>
        <v>PRIBADI</v>
      </c>
    </row>
    <row r="218">
      <c r="A218" s="7">
        <f>IFERROR(__xludf.DUMMYFUNCTION("""COMPUTED_VALUE"""),46355.0)</f>
        <v>46355</v>
      </c>
      <c r="B218" s="5" t="str">
        <f>IFERROR(__xludf.DUMMYFUNCTION("""COMPUTED_VALUE"""),"BI-FAST DB")</f>
        <v>BI-FAST DB</v>
      </c>
      <c r="C218" s="5" t="str">
        <f>IFERROR(__xludf.DUMMYFUNCTION("""COMPUTED_VALUE"""),"BIF BIAYA TXN KE 2 IIN INDAWASIH MyBCA")</f>
        <v>BIF BIAYA TXN KE 2 IIN INDAWASIH MyBCA</v>
      </c>
      <c r="D218" s="5">
        <f>IFERROR(__xludf.DUMMYFUNCTION("""COMPUTED_VALUE"""),2500.0)</f>
        <v>2500</v>
      </c>
      <c r="E218" s="5"/>
      <c r="F218" s="5" t="str">
        <f>IFERROR(__xludf.DUMMYFUNCTION("""COMPUTED_VALUE"""),"DB")</f>
        <v>DB</v>
      </c>
      <c r="G218" s="5">
        <f>IFERROR(__xludf.DUMMYFUNCTION("""COMPUTED_VALUE"""),1138997.1900000572)</f>
        <v>1138997.19</v>
      </c>
      <c r="H218" s="5">
        <f>IFERROR(__xludf.DUMMYFUNCTION("""COMPUTED_VALUE"""),1138997.19)</f>
        <v>1138997.19</v>
      </c>
      <c r="I218" s="5" t="str">
        <f>IFERROR(__xludf.DUMMYFUNCTION("""COMPUTED_VALUE"""),"PRIBADI")</f>
        <v>PRIBADI</v>
      </c>
    </row>
    <row r="219">
      <c r="A219" s="7">
        <f>IFERROR(__xludf.DUMMYFUNCTION("""COMPUTED_VALUE"""),46355.0)</f>
        <v>46355</v>
      </c>
      <c r="B219" s="5" t="str">
        <f>IFERROR(__xludf.DUMMYFUNCTION("""COMPUTED_VALUE"""),"TRSF E-BANKING DB")</f>
        <v>TRSF E-BANKING DB</v>
      </c>
      <c r="C219" s="5" t="str">
        <f>IFERROR(__xludf.DUMMYFUNCTION("""COMPUTED_VALUE"""),"2911/FTSCY/WS95271 150000.00 GINANJAR AYUB SIRE")</f>
        <v>2911/FTSCY/WS95271 150000.00 GINANJAR AYUB SIRE</v>
      </c>
      <c r="D219" s="5">
        <f>IFERROR(__xludf.DUMMYFUNCTION("""COMPUTED_VALUE"""),150000.0)</f>
        <v>150000</v>
      </c>
      <c r="E219" s="5"/>
      <c r="F219" s="5" t="str">
        <f>IFERROR(__xludf.DUMMYFUNCTION("""COMPUTED_VALUE"""),"DB")</f>
        <v>DB</v>
      </c>
      <c r="G219" s="5">
        <f>IFERROR(__xludf.DUMMYFUNCTION("""COMPUTED_VALUE"""),988997.1900000572)</f>
        <v>988997.19</v>
      </c>
      <c r="H219" s="5"/>
      <c r="I219" s="5" t="str">
        <f>IFERROR(__xludf.DUMMYFUNCTION("""COMPUTED_VALUE"""),"PRIBADI")</f>
        <v>PRIBADI</v>
      </c>
    </row>
    <row r="220">
      <c r="A220" s="7">
        <f>IFERROR(__xludf.DUMMYFUNCTION("""COMPUTED_VALUE"""),46355.0)</f>
        <v>46355</v>
      </c>
      <c r="B220" s="5" t="str">
        <f>IFERROR(__xludf.DUMMYFUNCTION("""COMPUTED_VALUE"""),"TARIKAN ATM 29/11")</f>
        <v>TARIKAN ATM 29/11</v>
      </c>
      <c r="C220" s="5" t="str">
        <f>IFERROR(__xludf.DUMMYFUNCTION("""COMPUTED_VALUE"""),"TARIKAN ATM 29/11")</f>
        <v>TARIKAN ATM 29/11</v>
      </c>
      <c r="D220" s="5">
        <f>IFERROR(__xludf.DUMMYFUNCTION("""COMPUTED_VALUE"""),50000.0)</f>
        <v>50000</v>
      </c>
      <c r="E220" s="5"/>
      <c r="F220" s="5"/>
      <c r="G220" s="5">
        <f>IFERROR(__xludf.DUMMYFUNCTION("""COMPUTED_VALUE"""),1938997.1900000572)</f>
        <v>1938997.19</v>
      </c>
      <c r="H220" s="5"/>
      <c r="I220" s="5" t="str">
        <f>IFERROR(__xludf.DUMMYFUNCTION("""COMPUTED_VALUE"""),"PRIBADI")</f>
        <v>PRIBADI</v>
      </c>
    </row>
    <row r="221">
      <c r="A221" s="7">
        <f>IFERROR(__xludf.DUMMYFUNCTION("""COMPUTED_VALUE"""),46355.0)</f>
        <v>46355</v>
      </c>
      <c r="B221" s="5" t="str">
        <f>IFERROR(__xludf.DUMMYFUNCTION("""COMPUTED_VALUE"""),"TARIKAN ATM 29/11")</f>
        <v>TARIKAN ATM 29/11</v>
      </c>
      <c r="C221" s="5" t="str">
        <f>IFERROR(__xludf.DUMMYFUNCTION("""COMPUTED_VALUE"""),"TARIKAN ATM 29/11")</f>
        <v>TARIKAN ATM 29/11</v>
      </c>
      <c r="D221" s="5">
        <f>IFERROR(__xludf.DUMMYFUNCTION("""COMPUTED_VALUE"""),200000.0)</f>
        <v>200000</v>
      </c>
      <c r="E221" s="5"/>
      <c r="F221" s="5"/>
      <c r="G221" s="5">
        <f>IFERROR(__xludf.DUMMYFUNCTION("""COMPUTED_VALUE"""),6.423039719000006E7)</f>
        <v>64230397.19</v>
      </c>
      <c r="H221" s="5"/>
      <c r="I221" s="5" t="str">
        <f>IFERROR(__xludf.DUMMYFUNCTION("""COMPUTED_VALUE"""),"PRIBADI")</f>
        <v>PRIBADI</v>
      </c>
    </row>
    <row r="222">
      <c r="A222" s="7">
        <f>IFERROR(__xludf.DUMMYFUNCTION("""COMPUTED_VALUE"""),46355.0)</f>
        <v>46355</v>
      </c>
      <c r="B222" s="5" t="str">
        <f>IFERROR(__xludf.DUMMYFUNCTION("""COMPUTED_VALUE"""),"TRSF E-BANKING DB")</f>
        <v>TRSF E-BANKING DB</v>
      </c>
      <c r="C222" s="5" t="str">
        <f>IFERROR(__xludf.DUMMYFUNCTION("""COMPUTED_VALUE"""),"2911/FTFVA/WS95031 55569/PT PRIMA FAJ mlg - 40190")</f>
        <v>2911/FTFVA/WS95031 55569/PT PRIMA FAJ mlg - 40190</v>
      </c>
      <c r="D222" s="5">
        <f>IFERROR(__xludf.DUMMYFUNCTION("""COMPUTED_VALUE"""),4.79616E7)</f>
        <v>47961600</v>
      </c>
      <c r="E222" s="5"/>
      <c r="F222" s="5" t="str">
        <f>IFERROR(__xludf.DUMMYFUNCTION("""COMPUTED_VALUE"""),"DB")</f>
        <v>DB</v>
      </c>
      <c r="G222" s="5">
        <f>IFERROR(__xludf.DUMMYFUNCTION("""COMPUTED_VALUE"""),1.6268797190000057E7)</f>
        <v>16268797.19</v>
      </c>
      <c r="H222" s="5"/>
      <c r="I222" s="5" t="str">
        <f>IFERROR(__xludf.DUMMYFUNCTION("""COMPUTED_VALUE"""),"PRIBADI")</f>
        <v>PRIBADI</v>
      </c>
    </row>
    <row r="223">
      <c r="A223" s="7">
        <f>IFERROR(__xludf.DUMMYFUNCTION("""COMPUTED_VALUE"""),46355.0)</f>
        <v>46355</v>
      </c>
      <c r="B223" s="5" t="str">
        <f>IFERROR(__xludf.DUMMYFUNCTION("""COMPUTED_VALUE"""),"TRSF E-BANKING DB")</f>
        <v>TRSF E-BANKING DB</v>
      </c>
      <c r="C223" s="5" t="str">
        <f>IFERROR(__xludf.DUMMYFUNCTION("""COMPUTED_VALUE"""),"2911/FTFVA/WS95031 67847/UNGGAS MANDI - - 200043")</f>
        <v>2911/FTFVA/WS95031 67847/UNGGAS MANDI - - 200043</v>
      </c>
      <c r="D223" s="5">
        <f>IFERROR(__xludf.DUMMYFUNCTION("""COMPUTED_VALUE"""),4.66976E7)</f>
        <v>46697600</v>
      </c>
      <c r="E223" s="5"/>
      <c r="F223" s="5" t="str">
        <f>IFERROR(__xludf.DUMMYFUNCTION("""COMPUTED_VALUE"""),"DB")</f>
        <v>DB</v>
      </c>
      <c r="G223" s="5">
        <f>IFERROR(__xludf.DUMMYFUNCTION("""COMPUTED_VALUE"""),4.5290456619000006E8)</f>
        <v>452904566.2</v>
      </c>
      <c r="H223" s="5"/>
      <c r="I223" s="5" t="str">
        <f>IFERROR(__xludf.DUMMYFUNCTION("""COMPUTED_VALUE"""),"PRIBADI")</f>
        <v>PRIBADI</v>
      </c>
    </row>
    <row r="224">
      <c r="A224" s="7">
        <f>IFERROR(__xludf.DUMMYFUNCTION("""COMPUTED_VALUE"""),46355.0)</f>
        <v>46355</v>
      </c>
      <c r="B224" s="5" t="str">
        <f>IFERROR(__xludf.DUMMYFUNCTION("""COMPUTED_VALUE"""),"TRSF E-BANKING DB")</f>
        <v>TRSF E-BANKING DB</v>
      </c>
      <c r="C224" s="5" t="str">
        <f>IFERROR(__xludf.DUMMYFUNCTION("""COMPUTED_VALUE"""),"2911/FTSCY/WS95011 114748600.00 Fri Nov 27 2026 15:00:00 GMT+0700 (Western Indonesia Time) SUPER UNGGAS JAYA")</f>
        <v>2911/FTSCY/WS95011 114748600.00 Fri Nov 27 2026 15:00:00 GMT+0700 (Western Indonesia Time) SUPER UNGGAS JAYA</v>
      </c>
      <c r="D224" s="5">
        <f>IFERROR(__xludf.DUMMYFUNCTION("""COMPUTED_VALUE"""),1.147486E8)</f>
        <v>114748600</v>
      </c>
      <c r="E224" s="5"/>
      <c r="F224" s="5" t="str">
        <f>IFERROR(__xludf.DUMMYFUNCTION("""COMPUTED_VALUE"""),"DB")</f>
        <v>DB</v>
      </c>
      <c r="G224" s="5">
        <f>IFERROR(__xludf.DUMMYFUNCTION("""COMPUTED_VALUE"""),3.8521944619000006E8)</f>
        <v>385219446.2</v>
      </c>
      <c r="H224" s="5"/>
      <c r="I224" s="5" t="str">
        <f>IFERROR(__xludf.DUMMYFUNCTION("""COMPUTED_VALUE"""),"PRIBADI")</f>
        <v>PRIBADI</v>
      </c>
    </row>
    <row r="225">
      <c r="A225" s="7">
        <f>IFERROR(__xludf.DUMMYFUNCTION("""COMPUTED_VALUE"""),46355.0)</f>
        <v>46355</v>
      </c>
      <c r="B225" s="5" t="str">
        <f>IFERROR(__xludf.DUMMYFUNCTION("""COMPUTED_VALUE"""),"TRSF E-BANKING DB")</f>
        <v>TRSF E-BANKING DB</v>
      </c>
      <c r="C225" s="5" t="str">
        <f>IFERROR(__xludf.DUMMYFUNCTION("""COMPUTED_VALUE"""),"2911/FTSCY/WS95271 54355200.00 Fri Nov 27 2026 15:00:00 GMT+0700 (Western Indonesia Time) AHMAD SAHRO WARDI")</f>
        <v>2911/FTSCY/WS95271 54355200.00 Fri Nov 27 2026 15:00:00 GMT+0700 (Western Indonesia Time) AHMAD SAHRO WARDI</v>
      </c>
      <c r="D225" s="5">
        <f>IFERROR(__xludf.DUMMYFUNCTION("""COMPUTED_VALUE"""),5.43552E7)</f>
        <v>54355200</v>
      </c>
      <c r="E225" s="5"/>
      <c r="F225" s="5" t="str">
        <f>IFERROR(__xludf.DUMMYFUNCTION("""COMPUTED_VALUE"""),"DB")</f>
        <v>DB</v>
      </c>
      <c r="G225" s="5">
        <f>IFERROR(__xludf.DUMMYFUNCTION("""COMPUTED_VALUE"""),3.3086424619000006E8)</f>
        <v>330864246.2</v>
      </c>
      <c r="H225" s="5">
        <f>IFERROR(__xludf.DUMMYFUNCTION("""COMPUTED_VALUE"""),3.3086424619E8)</f>
        <v>330864246.2</v>
      </c>
      <c r="I225" s="5" t="str">
        <f>IFERROR(__xludf.DUMMYFUNCTION("""COMPUTED_VALUE"""),"PRIBADI")</f>
        <v>PRIBADI</v>
      </c>
    </row>
    <row r="226">
      <c r="A226" s="7">
        <f>IFERROR(__xludf.DUMMYFUNCTION("""COMPUTED_VALUE"""),46355.0)</f>
        <v>46355</v>
      </c>
      <c r="B226" s="5" t="str">
        <f>IFERROR(__xludf.DUMMYFUNCTION("""COMPUTED_VALUE"""),"TRSF E-BANKING DB")</f>
        <v>TRSF E-BANKING DB</v>
      </c>
      <c r="C226" s="5" t="str">
        <f>IFERROR(__xludf.DUMMYFUNCTION("""COMPUTED_VALUE"""),"2911/FTSCY/WS95271 45411900.00 Sat Nov 28 2026 15:00:00 GMT+0700 (Western Indonesia Time) RIZKY ANANDA PUTRI")</f>
        <v>2911/FTSCY/WS95271 45411900.00 Sat Nov 28 2026 15:00:00 GMT+0700 (Western Indonesia Time) RIZKY ANANDA PUTRI</v>
      </c>
      <c r="D226" s="5">
        <f>IFERROR(__xludf.DUMMYFUNCTION("""COMPUTED_VALUE"""),4.54119E7)</f>
        <v>45411900</v>
      </c>
      <c r="E226" s="5"/>
      <c r="F226" s="5" t="str">
        <f>IFERROR(__xludf.DUMMYFUNCTION("""COMPUTED_VALUE"""),"DB")</f>
        <v>DB</v>
      </c>
      <c r="G226" s="5">
        <f>IFERROR(__xludf.DUMMYFUNCTION("""COMPUTED_VALUE"""),2.8545234619000006E8)</f>
        <v>285452346.2</v>
      </c>
      <c r="H226" s="5">
        <f>IFERROR(__xludf.DUMMYFUNCTION("""COMPUTED_VALUE"""),2.8545234619E8)</f>
        <v>285452346.2</v>
      </c>
      <c r="I226" s="5" t="str">
        <f>IFERROR(__xludf.DUMMYFUNCTION("""COMPUTED_VALUE"""),"PRIBADI")</f>
        <v>PRIBADI</v>
      </c>
    </row>
    <row r="227">
      <c r="A227" s="7">
        <f>IFERROR(__xludf.DUMMYFUNCTION("""COMPUTED_VALUE"""),46355.0)</f>
        <v>46355</v>
      </c>
      <c r="B227" s="5" t="str">
        <f>IFERROR(__xludf.DUMMYFUNCTION("""COMPUTED_VALUE"""),"TRSF E-BANKING DB")</f>
        <v>TRSF E-BANKING DB</v>
      </c>
      <c r="C227" s="5" t="str">
        <f>IFERROR(__xludf.DUMMYFUNCTION("""COMPUTED_VALUE"""),"2911/FTSCY/WS95011 47361600.00 Sat Nov 28 2026 15:00:00 GMT+0700 (Western Indonesia Time) INTEGRASI TEKNOLOG")</f>
        <v>2911/FTSCY/WS95011 47361600.00 Sat Nov 28 2026 15:00:00 GMT+0700 (Western Indonesia Time) INTEGRASI TEKNOLOG</v>
      </c>
      <c r="D227" s="5">
        <f>IFERROR(__xludf.DUMMYFUNCTION("""COMPUTED_VALUE"""),4.73616E7)</f>
        <v>47361600</v>
      </c>
      <c r="E227" s="5"/>
      <c r="F227" s="5" t="str">
        <f>IFERROR(__xludf.DUMMYFUNCTION("""COMPUTED_VALUE"""),"DB")</f>
        <v>DB</v>
      </c>
      <c r="G227" s="5">
        <f>IFERROR(__xludf.DUMMYFUNCTION("""COMPUTED_VALUE"""),2.3809074619000006E8)</f>
        <v>238090746.2</v>
      </c>
      <c r="H227" s="5"/>
      <c r="I227" s="5" t="str">
        <f>IFERROR(__xludf.DUMMYFUNCTION("""COMPUTED_VALUE"""),"PRIBADI")</f>
        <v>PRIBADI</v>
      </c>
    </row>
    <row r="228">
      <c r="A228" s="7">
        <f>IFERROR(__xludf.DUMMYFUNCTION("""COMPUTED_VALUE"""),46355.0)</f>
        <v>46355</v>
      </c>
      <c r="B228" s="5" t="str">
        <f>IFERROR(__xludf.DUMMYFUNCTION("""COMPUTED_VALUE"""),"TRSF E-BANKING DB")</f>
        <v>TRSF E-BANKING DB</v>
      </c>
      <c r="C228" s="5" t="str">
        <f>IFERROR(__xludf.DUMMYFUNCTION("""COMPUTED_VALUE"""),"2911/FTSCY/WS95011 40657500.00 Sat Nov 28 2026 15:00:00 GMT+0700 (Western Indonesia Time) BINTANG TAMA SANTO")</f>
        <v>2911/FTSCY/WS95011 40657500.00 Sat Nov 28 2026 15:00:00 GMT+0700 (Western Indonesia Time) BINTANG TAMA SANTO</v>
      </c>
      <c r="D228" s="5">
        <f>IFERROR(__xludf.DUMMYFUNCTION("""COMPUTED_VALUE"""),4.06575E7)</f>
        <v>40657500</v>
      </c>
      <c r="E228" s="5"/>
      <c r="F228" s="5" t="str">
        <f>IFERROR(__xludf.DUMMYFUNCTION("""COMPUTED_VALUE"""),"DB")</f>
        <v>DB</v>
      </c>
      <c r="G228" s="5">
        <f>IFERROR(__xludf.DUMMYFUNCTION("""COMPUTED_VALUE"""),1.9743324619000006E8)</f>
        <v>197433246.2</v>
      </c>
      <c r="H228" s="5"/>
      <c r="I228" s="5" t="str">
        <f>IFERROR(__xludf.DUMMYFUNCTION("""COMPUTED_VALUE"""),"PRIBADI")</f>
        <v>PRIBADI</v>
      </c>
    </row>
    <row r="229">
      <c r="A229" s="7">
        <f>IFERROR(__xludf.DUMMYFUNCTION("""COMPUTED_VALUE"""),46355.0)</f>
        <v>46355</v>
      </c>
      <c r="B229" s="5" t="str">
        <f>IFERROR(__xludf.DUMMYFUNCTION("""COMPUTED_VALUE"""),"TRSF E-BANKING DB")</f>
        <v>TRSF E-BANKING DB</v>
      </c>
      <c r="C229" s="5" t="str">
        <f>IFERROR(__xludf.DUMMYFUNCTION("""COMPUTED_VALUE"""),"2911/FTSCY/WS95011 46779000.00 Sat Nov 28 2026 15:00:00 GMT+0700 (Western Indonesia Time) TUMBUH OPTIMAL PRI")</f>
        <v>2911/FTSCY/WS95011 46779000.00 Sat Nov 28 2026 15:00:00 GMT+0700 (Western Indonesia Time) TUMBUH OPTIMAL PRI</v>
      </c>
      <c r="D229" s="5">
        <f>IFERROR(__xludf.DUMMYFUNCTION("""COMPUTED_VALUE"""),4.6779E7)</f>
        <v>46779000</v>
      </c>
      <c r="E229" s="5"/>
      <c r="F229" s="5" t="str">
        <f>IFERROR(__xludf.DUMMYFUNCTION("""COMPUTED_VALUE"""),"DB")</f>
        <v>DB</v>
      </c>
      <c r="G229" s="5">
        <f>IFERROR(__xludf.DUMMYFUNCTION("""COMPUTED_VALUE"""),1.5065424619000006E8)</f>
        <v>150654246.2</v>
      </c>
      <c r="H229" s="5"/>
      <c r="I229" s="5" t="str">
        <f>IFERROR(__xludf.DUMMYFUNCTION("""COMPUTED_VALUE"""),"PRIBADI")</f>
        <v>PRIBADI</v>
      </c>
    </row>
    <row r="230">
      <c r="A230" s="7">
        <f>IFERROR(__xludf.DUMMYFUNCTION("""COMPUTED_VALUE"""),46355.0)</f>
        <v>46355</v>
      </c>
      <c r="B230" s="5" t="str">
        <f>IFERROR(__xludf.DUMMYFUNCTION("""COMPUTED_VALUE"""),"TRSF E-BANKING DB")</f>
        <v>TRSF E-BANKING DB</v>
      </c>
      <c r="C230" s="5" t="str">
        <f>IFERROR(__xludf.DUMMYFUNCTION("""COMPUTED_VALUE"""),"2911/FTSCY/WS95031 13908050.00 krg 90 jt EKO SETIYAWAN")</f>
        <v>2911/FTSCY/WS95031 13908050.00 krg 90 jt EKO SETIYAWAN</v>
      </c>
      <c r="D230" s="5">
        <f>IFERROR(__xludf.DUMMYFUNCTION("""COMPUTED_VALUE"""),1.390805E7)</f>
        <v>13908050</v>
      </c>
      <c r="E230" s="5"/>
      <c r="F230" s="5" t="str">
        <f>IFERROR(__xludf.DUMMYFUNCTION("""COMPUTED_VALUE"""),"DB")</f>
        <v>DB</v>
      </c>
      <c r="G230" s="5">
        <f>IFERROR(__xludf.DUMMYFUNCTION("""COMPUTED_VALUE"""),1.3674619619000006E8)</f>
        <v>136746196.2</v>
      </c>
      <c r="H230" s="5"/>
      <c r="I230" s="5" t="str">
        <f>IFERROR(__xludf.DUMMYFUNCTION("""COMPUTED_VALUE"""),"PRIBADI")</f>
        <v>PRIBADI</v>
      </c>
    </row>
    <row r="231">
      <c r="A231" s="7">
        <f>IFERROR(__xludf.DUMMYFUNCTION("""COMPUTED_VALUE"""),46355.0)</f>
        <v>46355</v>
      </c>
      <c r="B231" s="5" t="str">
        <f>IFERROR(__xludf.DUMMYFUNCTION("""COMPUTED_VALUE"""),"TRSF E-BANKING DB")</f>
        <v>TRSF E-BANKING DB</v>
      </c>
      <c r="C231" s="5" t="str">
        <f>IFERROR(__xludf.DUMMYFUNCTION("""COMPUTED_VALUE"""),"2911/FTSCY/WS95031 12843250.00 krg 5 jt MUJIANTO")</f>
        <v>2911/FTSCY/WS95031 12843250.00 krg 5 jt MUJIANTO</v>
      </c>
      <c r="D231" s="5">
        <f>IFERROR(__xludf.DUMMYFUNCTION("""COMPUTED_VALUE"""),1.284325E7)</f>
        <v>12843250</v>
      </c>
      <c r="E231" s="5"/>
      <c r="F231" s="5" t="str">
        <f>IFERROR(__xludf.DUMMYFUNCTION("""COMPUTED_VALUE"""),"DB")</f>
        <v>DB</v>
      </c>
      <c r="G231" s="5">
        <f>IFERROR(__xludf.DUMMYFUNCTION("""COMPUTED_VALUE"""),1.2390294619000006E8)</f>
        <v>123902946.2</v>
      </c>
      <c r="H231" s="5"/>
      <c r="I231" s="5" t="str">
        <f>IFERROR(__xludf.DUMMYFUNCTION("""COMPUTED_VALUE"""),"PRIBADI")</f>
        <v>PRIBADI</v>
      </c>
    </row>
    <row r="232">
      <c r="A232" s="7">
        <f>IFERROR(__xludf.DUMMYFUNCTION("""COMPUTED_VALUE"""),46355.0)</f>
        <v>46355</v>
      </c>
      <c r="B232" s="5" t="str">
        <f>IFERROR(__xludf.DUMMYFUNCTION("""COMPUTED_VALUE"""),"TRSF E-BANKING DB")</f>
        <v>TRSF E-BANKING DB</v>
      </c>
      <c r="C232" s="5" t="str">
        <f>IFERROR(__xludf.DUMMYFUNCTION("""COMPUTED_VALUE"""),"2911/FTSCY/WS95031 3389730.00 lunas FAJAR ANDREANZAH")</f>
        <v>2911/FTSCY/WS95031 3389730.00 lunas FAJAR ANDREANZAH</v>
      </c>
      <c r="D232" s="5">
        <f>IFERROR(__xludf.DUMMYFUNCTION("""COMPUTED_VALUE"""),3389730.0)</f>
        <v>3389730</v>
      </c>
      <c r="E232" s="5"/>
      <c r="F232" s="5" t="str">
        <f>IFERROR(__xludf.DUMMYFUNCTION("""COMPUTED_VALUE"""),"DB")</f>
        <v>DB</v>
      </c>
      <c r="G232" s="5">
        <f>IFERROR(__xludf.DUMMYFUNCTION("""COMPUTED_VALUE"""),1.2051321619000006E8)</f>
        <v>120513216.2</v>
      </c>
      <c r="H232" s="5"/>
      <c r="I232" s="5" t="str">
        <f>IFERROR(__xludf.DUMMYFUNCTION("""COMPUTED_VALUE"""),"PRIBADI")</f>
        <v>PRIBADI</v>
      </c>
    </row>
    <row r="233">
      <c r="A233" s="7">
        <f>IFERROR(__xludf.DUMMYFUNCTION("""COMPUTED_VALUE"""),46355.0)</f>
        <v>46355</v>
      </c>
      <c r="B233" s="5" t="str">
        <f>IFERROR(__xludf.DUMMYFUNCTION("""COMPUTED_VALUE"""),"TRSF E-BANKING DB")</f>
        <v>TRSF E-BANKING DB</v>
      </c>
      <c r="C233" s="5" t="str">
        <f>IFERROR(__xludf.DUMMYFUNCTION("""COMPUTED_VALUE"""),"2911/FTSCY/WS95031 3200000.00 lunas SUNARTO")</f>
        <v>2911/FTSCY/WS95031 3200000.00 lunas SUNARTO</v>
      </c>
      <c r="D233" s="5">
        <f>IFERROR(__xludf.DUMMYFUNCTION("""COMPUTED_VALUE"""),3200000.0)</f>
        <v>3200000</v>
      </c>
      <c r="E233" s="5"/>
      <c r="F233" s="5" t="str">
        <f>IFERROR(__xludf.DUMMYFUNCTION("""COMPUTED_VALUE"""),"DB")</f>
        <v>DB</v>
      </c>
      <c r="G233" s="5">
        <f>IFERROR(__xludf.DUMMYFUNCTION("""COMPUTED_VALUE"""),1.4681321619000006E8)</f>
        <v>146813216.2</v>
      </c>
      <c r="H233" s="5"/>
      <c r="I233" s="5" t="str">
        <f>IFERROR(__xludf.DUMMYFUNCTION("""COMPUTED_VALUE"""),"PRIBADI")</f>
        <v>PRIBADI</v>
      </c>
    </row>
    <row r="234">
      <c r="A234" s="7">
        <f>IFERROR(__xludf.DUMMYFUNCTION("""COMPUTED_VALUE"""),46355.0)</f>
        <v>46355</v>
      </c>
      <c r="B234" s="5" t="str">
        <f>IFERROR(__xludf.DUMMYFUNCTION("""COMPUTED_VALUE"""),"TRSF E-BANKING DB")</f>
        <v>TRSF E-BANKING DB</v>
      </c>
      <c r="C234" s="5" t="str">
        <f>IFERROR(__xludf.DUMMYFUNCTION("""COMPUTED_VALUE"""),"2911/FTSCY/WS95031 1300000.00 IMAM KUSAENI")</f>
        <v>2911/FTSCY/WS95031 1300000.00 IMAM KUSAENI</v>
      </c>
      <c r="D234" s="5">
        <f>IFERROR(__xludf.DUMMYFUNCTION("""COMPUTED_VALUE"""),1300000.0)</f>
        <v>1300000</v>
      </c>
      <c r="E234" s="5"/>
      <c r="F234" s="5" t="str">
        <f>IFERROR(__xludf.DUMMYFUNCTION("""COMPUTED_VALUE"""),"DB")</f>
        <v>DB</v>
      </c>
      <c r="G234" s="5">
        <f>IFERROR(__xludf.DUMMYFUNCTION("""COMPUTED_VALUE"""),1.4551321619000006E8)</f>
        <v>145513216.2</v>
      </c>
      <c r="H234" s="5"/>
      <c r="I234" s="5" t="str">
        <f>IFERROR(__xludf.DUMMYFUNCTION("""COMPUTED_VALUE"""),"PRIBADI")</f>
        <v>PRIBADI</v>
      </c>
    </row>
    <row r="235">
      <c r="A235" s="7">
        <f>IFERROR(__xludf.DUMMYFUNCTION("""COMPUTED_VALUE"""),46355.0)</f>
        <v>46355</v>
      </c>
      <c r="B235" s="5" t="str">
        <f>IFERROR(__xludf.DUMMYFUNCTION("""COMPUTED_VALUE"""),"TRSF E-BANKING DB")</f>
        <v>TRSF E-BANKING DB</v>
      </c>
      <c r="C235" s="5" t="str">
        <f>IFERROR(__xludf.DUMMYFUNCTION("""COMPUTED_VALUE"""),"2911/FTSCY/WS95031 1798280.00 HERMAWAN")</f>
        <v>2911/FTSCY/WS95031 1798280.00 HERMAWAN</v>
      </c>
      <c r="D235" s="5">
        <f>IFERROR(__xludf.DUMMYFUNCTION("""COMPUTED_VALUE"""),1798280.0)</f>
        <v>1798280</v>
      </c>
      <c r="E235" s="5"/>
      <c r="F235" s="5" t="str">
        <f>IFERROR(__xludf.DUMMYFUNCTION("""COMPUTED_VALUE"""),"DB")</f>
        <v>DB</v>
      </c>
      <c r="G235" s="5">
        <f>IFERROR(__xludf.DUMMYFUNCTION("""COMPUTED_VALUE"""),1.4371493619000006E8)</f>
        <v>143714936.2</v>
      </c>
      <c r="H235" s="5"/>
      <c r="I235" s="5" t="str">
        <f>IFERROR(__xludf.DUMMYFUNCTION("""COMPUTED_VALUE"""),"PRIBADI")</f>
        <v>PRIBADI</v>
      </c>
    </row>
    <row r="236">
      <c r="A236" s="7">
        <f>IFERROR(__xludf.DUMMYFUNCTION("""COMPUTED_VALUE"""),46355.0)</f>
        <v>46355</v>
      </c>
      <c r="B236" s="5" t="str">
        <f>IFERROR(__xludf.DUMMYFUNCTION("""COMPUTED_VALUE"""),"TRSF E-BANKING DB")</f>
        <v>TRSF E-BANKING DB</v>
      </c>
      <c r="C236" s="5" t="str">
        <f>IFERROR(__xludf.DUMMYFUNCTION("""COMPUTED_VALUE"""),"2911/FTSCY/WS95271 29361650.00 Sat Nov 28 2026 15:00:00 GMT+0700 (Western Indonesia Time) ANUGERAH KARTIKA A")</f>
        <v>2911/FTSCY/WS95271 29361650.00 Sat Nov 28 2026 15:00:00 GMT+0700 (Western Indonesia Time) ANUGERAH KARTIKA A</v>
      </c>
      <c r="D236" s="5">
        <f>IFERROR(__xludf.DUMMYFUNCTION("""COMPUTED_VALUE"""),2.936165E7)</f>
        <v>29361650</v>
      </c>
      <c r="E236" s="5"/>
      <c r="F236" s="5" t="str">
        <f>IFERROR(__xludf.DUMMYFUNCTION("""COMPUTED_VALUE"""),"DB")</f>
        <v>DB</v>
      </c>
      <c r="G236" s="5">
        <f>IFERROR(__xludf.DUMMYFUNCTION("""COMPUTED_VALUE"""),1.1435328619000006E8)</f>
        <v>114353286.2</v>
      </c>
      <c r="H236" s="5"/>
      <c r="I236" s="5" t="str">
        <f>IFERROR(__xludf.DUMMYFUNCTION("""COMPUTED_VALUE"""),"PRIBADI")</f>
        <v>PRIBADI</v>
      </c>
    </row>
    <row r="237">
      <c r="A237" s="7">
        <f>IFERROR(__xludf.DUMMYFUNCTION("""COMPUTED_VALUE"""),46355.0)</f>
        <v>46355</v>
      </c>
      <c r="B237" s="5" t="str">
        <f>IFERROR(__xludf.DUMMYFUNCTION("""COMPUTED_VALUE"""),"TRSF E-BANKING DB")</f>
        <v>TRSF E-BANKING DB</v>
      </c>
      <c r="C237" s="5" t="str">
        <f>IFERROR(__xludf.DUMMYFUNCTION("""COMPUTED_VALUE"""),"2911/FTSCY/WS95031 750000.00 NURHAYATI")</f>
        <v>2911/FTSCY/WS95031 750000.00 NURHAYATI</v>
      </c>
      <c r="D237" s="5">
        <f>IFERROR(__xludf.DUMMYFUNCTION("""COMPUTED_VALUE"""),750000.0)</f>
        <v>750000</v>
      </c>
      <c r="E237" s="5"/>
      <c r="F237" s="5" t="str">
        <f>IFERROR(__xludf.DUMMYFUNCTION("""COMPUTED_VALUE"""),"DB")</f>
        <v>DB</v>
      </c>
      <c r="G237" s="5">
        <f>IFERROR(__xludf.DUMMYFUNCTION("""COMPUTED_VALUE"""),1.1994330619000006E8)</f>
        <v>119943306.2</v>
      </c>
      <c r="H237" s="5">
        <f>IFERROR(__xludf.DUMMYFUNCTION("""COMPUTED_VALUE"""),1.1994330619E8)</f>
        <v>119943306.2</v>
      </c>
      <c r="I237" s="5" t="str">
        <f>IFERROR(__xludf.DUMMYFUNCTION("""COMPUTED_VALUE"""),"PRIBADI")</f>
        <v>PRIBADI</v>
      </c>
    </row>
    <row r="238">
      <c r="A238" s="7">
        <f>IFERROR(__xludf.DUMMYFUNCTION("""COMPUTED_VALUE"""),46356.0)</f>
        <v>46356</v>
      </c>
      <c r="B238" s="5" t="str">
        <f>IFERROR(__xludf.DUMMYFUNCTION("""COMPUTED_VALUE"""),"TRSF E-BANKING DB")</f>
        <v>TRSF E-BANKING DB</v>
      </c>
      <c r="C238" s="5" t="str">
        <f>IFERROR(__xludf.DUMMYFUNCTION("""COMPUTED_VALUE"""),"3011/FTSCY/WS95271 46500000.00 29/11 lunas PRIMA JAYA BERSATU")</f>
        <v>3011/FTSCY/WS95271 46500000.00 29/11 lunas PRIMA JAYA BERSATU</v>
      </c>
      <c r="D238" s="5">
        <f>IFERROR(__xludf.DUMMYFUNCTION("""COMPUTED_VALUE"""),4.65E7)</f>
        <v>46500000</v>
      </c>
      <c r="E238" s="5"/>
      <c r="F238" s="5" t="str">
        <f>IFERROR(__xludf.DUMMYFUNCTION("""COMPUTED_VALUE"""),"DB")</f>
        <v>DB</v>
      </c>
      <c r="G238" s="5">
        <f>IFERROR(__xludf.DUMMYFUNCTION("""COMPUTED_VALUE"""),8.840618619000006E7)</f>
        <v>88406186.19</v>
      </c>
      <c r="H238" s="5"/>
      <c r="I238" s="5" t="str">
        <f>IFERROR(__xludf.DUMMYFUNCTION("""COMPUTED_VALUE"""),"PRIBADI")</f>
        <v>PRIBADI</v>
      </c>
    </row>
    <row r="239">
      <c r="A239" s="7">
        <f>IFERROR(__xludf.DUMMYFUNCTION("""COMPUTED_VALUE"""),46356.0)</f>
        <v>46356</v>
      </c>
      <c r="B239" s="5" t="str">
        <f>IFERROR(__xludf.DUMMYFUNCTION("""COMPUTED_VALUE"""),"TRSF E-BANKING DB")</f>
        <v>TRSF E-BANKING DB</v>
      </c>
      <c r="C239" s="5" t="str">
        <f>IFERROR(__xludf.DUMMYFUNCTION("""COMPUTED_VALUE"""),"3011/FTSCY/WS95271 49724400.00 Sun Nov 29 2026 15:00:00 GMT+0700 (Western Indonesia Time) PRIMA JAYA BERSATU")</f>
        <v>3011/FTSCY/WS95271 49724400.00 Sun Nov 29 2026 15:00:00 GMT+0700 (Western Indonesia Time) PRIMA JAYA BERSATU</v>
      </c>
      <c r="D239" s="5">
        <f>IFERROR(__xludf.DUMMYFUNCTION("""COMPUTED_VALUE"""),4.97244E7)</f>
        <v>49724400</v>
      </c>
      <c r="E239" s="5"/>
      <c r="F239" s="5" t="str">
        <f>IFERROR(__xludf.DUMMYFUNCTION("""COMPUTED_VALUE"""),"DB")</f>
        <v>DB</v>
      </c>
      <c r="G239" s="5">
        <f>IFERROR(__xludf.DUMMYFUNCTION("""COMPUTED_VALUE"""),3.868178619000006E7)</f>
        <v>38681786.19</v>
      </c>
      <c r="H239" s="5"/>
      <c r="I239" s="5" t="str">
        <f>IFERROR(__xludf.DUMMYFUNCTION("""COMPUTED_VALUE"""),"PRIBADI")</f>
        <v>PRIBADI</v>
      </c>
    </row>
    <row r="240">
      <c r="A240" s="7">
        <f>IFERROR(__xludf.DUMMYFUNCTION("""COMPUTED_VALUE"""),46356.0)</f>
        <v>46356</v>
      </c>
      <c r="B240" s="5" t="str">
        <f>IFERROR(__xludf.DUMMYFUNCTION("""COMPUTED_VALUE"""),"TRSF E-BANKING DB")</f>
        <v>TRSF E-BANKING DB</v>
      </c>
      <c r="C240" s="5" t="str">
        <f>IFERROR(__xludf.DUMMYFUNCTION("""COMPUTED_VALUE"""),"3011/FTSCY/WS95271 14766000.00 lokal 28/11 ANDALAN YASA MITRA")</f>
        <v>3011/FTSCY/WS95271 14766000.00 lokal 28/11 ANDALAN YASA MITRA</v>
      </c>
      <c r="D240" s="5">
        <f>IFERROR(__xludf.DUMMYFUNCTION("""COMPUTED_VALUE"""),1.4766E7)</f>
        <v>14766000</v>
      </c>
      <c r="E240" s="5"/>
      <c r="F240" s="5" t="str">
        <f>IFERROR(__xludf.DUMMYFUNCTION("""COMPUTED_VALUE"""),"DB")</f>
        <v>DB</v>
      </c>
      <c r="G240" s="5">
        <f>IFERROR(__xludf.DUMMYFUNCTION("""COMPUTED_VALUE"""),2.3915786190000057E7)</f>
        <v>23915786.19</v>
      </c>
      <c r="H240" s="5"/>
      <c r="I240" s="5" t="str">
        <f>IFERROR(__xludf.DUMMYFUNCTION("""COMPUTED_VALUE"""),"PRIBADI")</f>
        <v>PRIBADI</v>
      </c>
    </row>
    <row r="241">
      <c r="A241" s="7">
        <f>IFERROR(__xludf.DUMMYFUNCTION("""COMPUTED_VALUE"""),46356.0)</f>
        <v>46356</v>
      </c>
      <c r="B241" s="5" t="str">
        <f>IFERROR(__xludf.DUMMYFUNCTION("""COMPUTED_VALUE"""),"TARIKAN ATM 30/11")</f>
        <v>TARIKAN ATM 30/11</v>
      </c>
      <c r="C241" s="5" t="str">
        <f>IFERROR(__xludf.DUMMYFUNCTION("""COMPUTED_VALUE"""),"TARIKAN ATM 30/11")</f>
        <v>TARIKAN ATM 30/11</v>
      </c>
      <c r="D241" s="5">
        <f>IFERROR(__xludf.DUMMYFUNCTION("""COMPUTED_VALUE"""),200000.0)</f>
        <v>200000</v>
      </c>
      <c r="E241" s="5"/>
      <c r="F241" s="5"/>
      <c r="G241" s="5">
        <f>IFERROR(__xludf.DUMMYFUNCTION("""COMPUTED_VALUE"""),2.3715786190000057E7)</f>
        <v>23715786.19</v>
      </c>
      <c r="H241" s="5"/>
      <c r="I241" s="5" t="str">
        <f>IFERROR(__xludf.DUMMYFUNCTION("""COMPUTED_VALUE"""),"PRIBADI")</f>
        <v>PRIBADI</v>
      </c>
    </row>
    <row r="242">
      <c r="A242" s="7">
        <f>IFERROR(__xludf.DUMMYFUNCTION("""COMPUTED_VALUE"""),46356.0)</f>
        <v>46356</v>
      </c>
      <c r="B242" s="5" t="str">
        <f>IFERROR(__xludf.DUMMYFUNCTION("""COMPUTED_VALUE"""),"TRSF E-BANKING DB")</f>
        <v>TRSF E-BANKING DB</v>
      </c>
      <c r="C242" s="5" t="str">
        <f>IFERROR(__xludf.DUMMYFUNCTION("""COMPUTED_VALUE"""),"3011/FTSCY/WS95271 500000.00 MUHAMMAD HAIRUL MA")</f>
        <v>3011/FTSCY/WS95271 500000.00 MUHAMMAD HAIRUL MA</v>
      </c>
      <c r="D242" s="5">
        <f>IFERROR(__xludf.DUMMYFUNCTION("""COMPUTED_VALUE"""),500000.0)</f>
        <v>500000</v>
      </c>
      <c r="E242" s="5"/>
      <c r="F242" s="5" t="str">
        <f>IFERROR(__xludf.DUMMYFUNCTION("""COMPUTED_VALUE"""),"DB")</f>
        <v>DB</v>
      </c>
      <c r="G242" s="5">
        <f>IFERROR(__xludf.DUMMYFUNCTION("""COMPUTED_VALUE"""),7.863688619000006E7)</f>
        <v>78636886.19</v>
      </c>
      <c r="H242" s="5"/>
      <c r="I242" s="5" t="str">
        <f>IFERROR(__xludf.DUMMYFUNCTION("""COMPUTED_VALUE"""),"PRIBADI")</f>
        <v>PRIBADI</v>
      </c>
    </row>
    <row r="243">
      <c r="A243" s="7">
        <f>IFERROR(__xludf.DUMMYFUNCTION("""COMPUTED_VALUE"""),46356.0)</f>
        <v>46356</v>
      </c>
      <c r="B243" s="5" t="str">
        <f>IFERROR(__xludf.DUMMYFUNCTION("""COMPUTED_VALUE"""),"TRSF E-BANKING DB")</f>
        <v>TRSF E-BANKING DB</v>
      </c>
      <c r="C243" s="5" t="str">
        <f>IFERROR(__xludf.DUMMYFUNCTION("""COMPUTED_VALUE"""),"3011/FTSCY/WS95271 1000000.00 BERKAH UNGGAS AGUN")</f>
        <v>3011/FTSCY/WS95271 1000000.00 BERKAH UNGGAS AGUN</v>
      </c>
      <c r="D243" s="5">
        <f>IFERROR(__xludf.DUMMYFUNCTION("""COMPUTED_VALUE"""),1000000.0)</f>
        <v>1000000</v>
      </c>
      <c r="E243" s="5"/>
      <c r="F243" s="5" t="str">
        <f>IFERROR(__xludf.DUMMYFUNCTION("""COMPUTED_VALUE"""),"DB")</f>
        <v>DB</v>
      </c>
      <c r="G243" s="5">
        <f>IFERROR(__xludf.DUMMYFUNCTION("""COMPUTED_VALUE"""),5.1682328619000006E8)</f>
        <v>516823286.2</v>
      </c>
      <c r="H243" s="5"/>
      <c r="I243" s="5" t="str">
        <f>IFERROR(__xludf.DUMMYFUNCTION("""COMPUTED_VALUE"""),"PRIBADI")</f>
        <v>PRIBADI</v>
      </c>
    </row>
    <row r="244">
      <c r="A244" s="7">
        <f>IFERROR(__xludf.DUMMYFUNCTION("""COMPUTED_VALUE"""),46356.0)</f>
        <v>46356</v>
      </c>
      <c r="B244" s="5" t="str">
        <f>IFERROR(__xludf.DUMMYFUNCTION("""COMPUTED_VALUE"""),"TRSF E-BANKING DB")</f>
        <v>TRSF E-BANKING DB</v>
      </c>
      <c r="C244" s="5" t="str">
        <f>IFERROR(__xludf.DUMMYFUNCTION("""COMPUTED_VALUE"""),"3011/FTSCY/WS95011 145180750.00 Sat Nov 28 2026 15:00:00 GMT+0700 (Western Indonesia Time) BROILER MAKMUR TAN")</f>
        <v>3011/FTSCY/WS95011 145180750.00 Sat Nov 28 2026 15:00:00 GMT+0700 (Western Indonesia Time) BROILER MAKMUR TAN</v>
      </c>
      <c r="D244" s="5">
        <f>IFERROR(__xludf.DUMMYFUNCTION("""COMPUTED_VALUE"""),1.4518075E8)</f>
        <v>145180750</v>
      </c>
      <c r="E244" s="5"/>
      <c r="F244" s="5" t="str">
        <f>IFERROR(__xludf.DUMMYFUNCTION("""COMPUTED_VALUE"""),"DB")</f>
        <v>DB</v>
      </c>
      <c r="G244" s="5">
        <f>IFERROR(__xludf.DUMMYFUNCTION("""COMPUTED_VALUE"""),3.7311653619000006E8)</f>
        <v>373116536.2</v>
      </c>
      <c r="H244" s="5">
        <f>IFERROR(__xludf.DUMMYFUNCTION("""COMPUTED_VALUE"""),3.7311653619E8)</f>
        <v>373116536.2</v>
      </c>
      <c r="I244" s="5" t="str">
        <f>IFERROR(__xludf.DUMMYFUNCTION("""COMPUTED_VALUE"""),"PRIBADI")</f>
        <v>PRIBADI</v>
      </c>
    </row>
    <row r="245">
      <c r="A245" s="7">
        <f>IFERROR(__xludf.DUMMYFUNCTION("""COMPUTED_VALUE"""),46356.0)</f>
        <v>46356</v>
      </c>
      <c r="B245" s="5" t="str">
        <f>IFERROR(__xludf.DUMMYFUNCTION("""COMPUTED_VALUE"""),"TRSF E-BANKING DB")</f>
        <v>TRSF E-BANKING DB</v>
      </c>
      <c r="C245" s="5" t="str">
        <f>IFERROR(__xludf.DUMMYFUNCTION("""COMPUTED_VALUE"""),"3011/FTSCY/WS95011 45088000.00 Sun Nov 29 2026 15:00:00 GMT+0700 (Western Indonesia Time) RUKUN MITRA BERSAM")</f>
        <v>3011/FTSCY/WS95011 45088000.00 Sun Nov 29 2026 15:00:00 GMT+0700 (Western Indonesia Time) RUKUN MITRA BERSAM</v>
      </c>
      <c r="D245" s="5">
        <f>IFERROR(__xludf.DUMMYFUNCTION("""COMPUTED_VALUE"""),4.5088E7)</f>
        <v>45088000</v>
      </c>
      <c r="E245" s="5"/>
      <c r="F245" s="5" t="str">
        <f>IFERROR(__xludf.DUMMYFUNCTION("""COMPUTED_VALUE"""),"DB")</f>
        <v>DB</v>
      </c>
      <c r="G245" s="5">
        <f>IFERROR(__xludf.DUMMYFUNCTION("""COMPUTED_VALUE"""),3.2802853619000006E8)</f>
        <v>328028536.2</v>
      </c>
      <c r="H245" s="5"/>
      <c r="I245" s="5" t="str">
        <f>IFERROR(__xludf.DUMMYFUNCTION("""COMPUTED_VALUE"""),"PRIBADI")</f>
        <v>PRIBADI</v>
      </c>
    </row>
    <row r="246">
      <c r="A246" s="7">
        <f>IFERROR(__xludf.DUMMYFUNCTION("""COMPUTED_VALUE"""),46356.0)</f>
        <v>46356</v>
      </c>
      <c r="B246" s="5" t="str">
        <f>IFERROR(__xludf.DUMMYFUNCTION("""COMPUTED_VALUE"""),"TRSF E-BANKING DB")</f>
        <v>TRSF E-BANKING DB</v>
      </c>
      <c r="C246" s="5" t="str">
        <f>IFERROR(__xludf.DUMMYFUNCTION("""COMPUTED_VALUE"""),"3011/FTSCY/WS95011 93939200.00 Sun Nov 29 2026 15:00:00 GMT+0700 (Western Indonesia Time) TUMBUH OPTIMAL PRI")</f>
        <v>3011/FTSCY/WS95011 93939200.00 Sun Nov 29 2026 15:00:00 GMT+0700 (Western Indonesia Time) TUMBUH OPTIMAL PRI</v>
      </c>
      <c r="D246" s="5">
        <f>IFERROR(__xludf.DUMMYFUNCTION("""COMPUTED_VALUE"""),9.39392E7)</f>
        <v>93939200</v>
      </c>
      <c r="E246" s="5"/>
      <c r="F246" s="5" t="str">
        <f>IFERROR(__xludf.DUMMYFUNCTION("""COMPUTED_VALUE"""),"DB")</f>
        <v>DB</v>
      </c>
      <c r="G246" s="5">
        <f>IFERROR(__xludf.DUMMYFUNCTION("""COMPUTED_VALUE"""),2.3408933619000006E8)</f>
        <v>234089336.2</v>
      </c>
      <c r="H246" s="5"/>
      <c r="I246" s="5" t="str">
        <f>IFERROR(__xludf.DUMMYFUNCTION("""COMPUTED_VALUE"""),"PRIBADI")</f>
        <v>PRIBADI</v>
      </c>
    </row>
    <row r="247">
      <c r="A247" s="7">
        <f>IFERROR(__xludf.DUMMYFUNCTION("""COMPUTED_VALUE"""),46356.0)</f>
        <v>46356</v>
      </c>
      <c r="B247" s="5" t="str">
        <f>IFERROR(__xludf.DUMMYFUNCTION("""COMPUTED_VALUE"""),"TRSF E-BANKING DB")</f>
        <v>TRSF E-BANKING DB</v>
      </c>
      <c r="C247" s="5" t="str">
        <f>IFERROR(__xludf.DUMMYFUNCTION("""COMPUTED_VALUE"""),"3011/FTSCY/WS95011 46069650.00 Sun Nov 29 2026 15:00:00 GMT+0700 (Western Indonesia Time) ANDALAN YASA MITRA")</f>
        <v>3011/FTSCY/WS95011 46069650.00 Sun Nov 29 2026 15:00:00 GMT+0700 (Western Indonesia Time) ANDALAN YASA MITRA</v>
      </c>
      <c r="D247" s="5">
        <f>IFERROR(__xludf.DUMMYFUNCTION("""COMPUTED_VALUE"""),4.606965E7)</f>
        <v>46069650</v>
      </c>
      <c r="E247" s="5"/>
      <c r="F247" s="5" t="str">
        <f>IFERROR(__xludf.DUMMYFUNCTION("""COMPUTED_VALUE"""),"DB")</f>
        <v>DB</v>
      </c>
      <c r="G247" s="5">
        <f>IFERROR(__xludf.DUMMYFUNCTION("""COMPUTED_VALUE"""),1.8801968619000006E8)</f>
        <v>188019686.2</v>
      </c>
      <c r="H247" s="5"/>
      <c r="I247" s="5" t="str">
        <f>IFERROR(__xludf.DUMMYFUNCTION("""COMPUTED_VALUE"""),"PRIBADI")</f>
        <v>PRIBADI</v>
      </c>
    </row>
    <row r="248">
      <c r="A248" s="7">
        <f>IFERROR(__xludf.DUMMYFUNCTION("""COMPUTED_VALUE"""),46356.0)</f>
        <v>46356</v>
      </c>
      <c r="B248" s="5" t="str">
        <f>IFERROR(__xludf.DUMMYFUNCTION("""COMPUTED_VALUE"""),"TRSF E-BANKING DB")</f>
        <v>TRSF E-BANKING DB</v>
      </c>
      <c r="C248" s="5" t="str">
        <f>IFERROR(__xludf.DUMMYFUNCTION("""COMPUTED_VALUE"""),"3011/FTSCY/WS95011 49500000.00 Sun Nov 29 2026 15:00:00 GMT+0700 (Western Indonesia Time) PT BERLIAN INDOMIT")</f>
        <v>3011/FTSCY/WS95011 49500000.00 Sun Nov 29 2026 15:00:00 GMT+0700 (Western Indonesia Time) PT BERLIAN INDOMIT</v>
      </c>
      <c r="D248" s="5">
        <f>IFERROR(__xludf.DUMMYFUNCTION("""COMPUTED_VALUE"""),4.95E7)</f>
        <v>49500000</v>
      </c>
      <c r="E248" s="5"/>
      <c r="F248" s="5" t="str">
        <f>IFERROR(__xludf.DUMMYFUNCTION("""COMPUTED_VALUE"""),"DB")</f>
        <v>DB</v>
      </c>
      <c r="G248" s="5">
        <f>IFERROR(__xludf.DUMMYFUNCTION("""COMPUTED_VALUE"""),1.3851968619000006E8)</f>
        <v>138519686.2</v>
      </c>
      <c r="H248" s="5"/>
      <c r="I248" s="5" t="str">
        <f>IFERROR(__xludf.DUMMYFUNCTION("""COMPUTED_VALUE"""),"PRIBADI")</f>
        <v>PRIBADI</v>
      </c>
    </row>
    <row r="249">
      <c r="A249" s="7">
        <f>IFERROR(__xludf.DUMMYFUNCTION("""COMPUTED_VALUE"""),46356.0)</f>
        <v>46356</v>
      </c>
      <c r="B249" s="5" t="str">
        <f>IFERROR(__xludf.DUMMYFUNCTION("""COMPUTED_VALUE"""),"TRSF E-BANKING DB")</f>
        <v>TRSF E-BANKING DB</v>
      </c>
      <c r="C249" s="5" t="str">
        <f>IFERROR(__xludf.DUMMYFUNCTION("""COMPUTED_VALUE"""),"3011/FTSCY/WS95011 65670000.00 Sun Nov 29 2026 15:00:00 GMT+0700 (Western Indonesia Time) ANUGERAH KARTIKA A")</f>
        <v>3011/FTSCY/WS95011 65670000.00 Sun Nov 29 2026 15:00:00 GMT+0700 (Western Indonesia Time) ANUGERAH KARTIKA A</v>
      </c>
      <c r="D249" s="5">
        <f>IFERROR(__xludf.DUMMYFUNCTION("""COMPUTED_VALUE"""),6.567E7)</f>
        <v>65670000</v>
      </c>
      <c r="E249" s="5"/>
      <c r="F249" s="5" t="str">
        <f>IFERROR(__xludf.DUMMYFUNCTION("""COMPUTED_VALUE"""),"DB")</f>
        <v>DB</v>
      </c>
      <c r="G249" s="5">
        <f>IFERROR(__xludf.DUMMYFUNCTION("""COMPUTED_VALUE"""),7.284968619000006E7)</f>
        <v>72849686.19</v>
      </c>
      <c r="H249" s="5"/>
      <c r="I249" s="5" t="str">
        <f>IFERROR(__xludf.DUMMYFUNCTION("""COMPUTED_VALUE"""),"PRIBADI")</f>
        <v>PRIBADI</v>
      </c>
    </row>
    <row r="250">
      <c r="A250" s="7">
        <f>IFERROR(__xludf.DUMMYFUNCTION("""COMPUTED_VALUE"""),46356.0)</f>
        <v>46356</v>
      </c>
      <c r="B250" s="5" t="str">
        <f>IFERROR(__xludf.DUMMYFUNCTION("""COMPUTED_VALUE"""),"TRSF E-BANKING DB")</f>
        <v>TRSF E-BANKING DB</v>
      </c>
      <c r="C250" s="5" t="str">
        <f>IFERROR(__xludf.DUMMYFUNCTION("""COMPUTED_VALUE"""),"3011/FTSCY/WS95271 36322020.00 Sun Nov 29 2026 15:00:00 GMT+0700 (Western Indonesia Time) SITI RAHMA IFTITAH")</f>
        <v>3011/FTSCY/WS95271 36322020.00 Sun Nov 29 2026 15:00:00 GMT+0700 (Western Indonesia Time) SITI RAHMA IFTITAH</v>
      </c>
      <c r="D250" s="5">
        <f>IFERROR(__xludf.DUMMYFUNCTION("""COMPUTED_VALUE"""),3.632202E7)</f>
        <v>36322020</v>
      </c>
      <c r="E250" s="5"/>
      <c r="F250" s="5" t="str">
        <f>IFERROR(__xludf.DUMMYFUNCTION("""COMPUTED_VALUE"""),"DB")</f>
        <v>DB</v>
      </c>
      <c r="G250" s="5">
        <f>IFERROR(__xludf.DUMMYFUNCTION("""COMPUTED_VALUE"""),3.652766619000006E7)</f>
        <v>36527666.19</v>
      </c>
      <c r="H250" s="5"/>
      <c r="I250" s="5" t="str">
        <f>IFERROR(__xludf.DUMMYFUNCTION("""COMPUTED_VALUE"""),"PRIBADI")</f>
        <v>PRIBADI</v>
      </c>
    </row>
    <row r="251">
      <c r="A251" s="7">
        <f>IFERROR(__xludf.DUMMYFUNCTION("""COMPUTED_VALUE"""),46356.0)</f>
        <v>46356</v>
      </c>
      <c r="B251" s="5" t="str">
        <f>IFERROR(__xludf.DUMMYFUNCTION("""COMPUTED_VALUE"""),"DR KOREKSI BUNGA")</f>
        <v>DR KOREKSI BUNGA</v>
      </c>
      <c r="C251" s="5" t="str">
        <f>IFERROR(__xludf.DUMMYFUNCTION("""COMPUTED_VALUE"""),"DR KOREKSI BUNGA")</f>
        <v>DR KOREKSI BUNGA</v>
      </c>
      <c r="D251" s="5">
        <f>IFERROR(__xludf.DUMMYFUNCTION("""COMPUTED_VALUE"""),7.91)</f>
        <v>7.91</v>
      </c>
      <c r="E251" s="5"/>
      <c r="F251" s="5"/>
      <c r="G251" s="5">
        <f>IFERROR(__xludf.DUMMYFUNCTION("""COMPUTED_VALUE"""),2.3923090828000006E8)</f>
        <v>239230908.3</v>
      </c>
      <c r="H251" s="5"/>
      <c r="I251" s="5" t="str">
        <f>IFERROR(__xludf.DUMMYFUNCTION("""COMPUTED_VALUE"""),"PRIBADI")</f>
        <v>PRIBADI</v>
      </c>
    </row>
    <row r="252">
      <c r="A252" s="7">
        <f>IFERROR(__xludf.DUMMYFUNCTION("""COMPUTED_VALUE"""),46356.0)</f>
        <v>46356</v>
      </c>
      <c r="B252" s="5" t="str">
        <f>IFERROR(__xludf.DUMMYFUNCTION("""COMPUTED_VALUE"""),"PAJAK BUNGA")</f>
        <v>PAJAK BUNGA</v>
      </c>
      <c r="C252" s="5" t="str">
        <f>IFERROR(__xludf.DUMMYFUNCTION("""COMPUTED_VALUE""")," SALDO AWAL : MUTASI CR : MUTASI DB : SALDO AKHIR :")</f>
        <v> SALDO AWAL : MUTASI CR : MUTASI DB : SALDO AKHIR :</v>
      </c>
      <c r="D252" s="5">
        <f>IFERROR(__xludf.DUMMYFUNCTION("""COMPUTED_VALUE"""),261.19)</f>
        <v>261.19</v>
      </c>
      <c r="E252" s="5"/>
      <c r="F252" s="5"/>
      <c r="G252" s="5">
        <f>IFERROR(__xludf.DUMMYFUNCTION("""COMPUTED_VALUE"""),2.3923196095000008E8)</f>
        <v>239231961</v>
      </c>
      <c r="H252" s="5">
        <f>IFERROR(__xludf.DUMMYFUNCTION("""COMPUTED_VALUE"""),2.3923196095E8)</f>
        <v>239231961</v>
      </c>
      <c r="I252" s="5" t="str">
        <f>IFERROR(__xludf.DUMMYFUNCTION("""COMPUTED_VALUE"""),"PRIBADI")</f>
        <v>PRIBADI</v>
      </c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f>IFERROR(__xludf.DUMMYFUNCTION("IFERROR(QUERY(NOV_2023!A:I, ""SELECT * WHERE D IS NOT NULL AND UPPER(I) = 'PRODUKSI'"", 1), ""Data PRODUKSI belum ditemukan"")"),46327.0)</f>
        <v>46327</v>
      </c>
      <c r="B1" s="5" t="str">
        <f>IFERROR(__xludf.DUMMYFUNCTION("""COMPUTED_VALUE"""),"TRSF E-BANKING DB")</f>
        <v>TRSF E-BANKING DB</v>
      </c>
      <c r="C1" s="5" t="str">
        <f>IFERROR(__xludf.DUMMYFUNCTION("""COMPUTED_VALUE"""),"0111/FTSCY/WS95271 112022750.00 Fri Oct 30 2026 14:00:00 GMT+0700 (Western Indonesia Time) SURYA INTI TERNAK 112022750.00 Fri Oct 30 2026 14:00:00 GMT+0700 (Western Indonesia Time) SURYA INTI TERNAK")</f>
        <v>0111/FTSCY/WS95271 112022750.00 Fri Oct 30 2026 14:00:00 GMT+0700 (Western Indonesia Time) SURYA INTI TERNAK 112022750.00 Fri Oct 30 2026 14:00:00 GMT+0700 (Western Indonesia Time) SURYA INTI TERNAK</v>
      </c>
      <c r="D1" s="5">
        <f>IFERROR(__xludf.DUMMYFUNCTION("""COMPUTED_VALUE"""),1.1202275E8)</f>
        <v>112022750</v>
      </c>
      <c r="E1" s="5"/>
      <c r="F1" s="5" t="str">
        <f>IFERROR(__xludf.DUMMYFUNCTION("""COMPUTED_VALUE"""),"DB")</f>
        <v>DB</v>
      </c>
      <c r="G1" s="5">
        <f>IFERROR(__xludf.DUMMYFUNCTION("""COMPUTED_VALUE"""),1.0077623919E8)</f>
        <v>100776239.2</v>
      </c>
      <c r="H1" s="5"/>
      <c r="I1" s="5" t="str">
        <f>IFERROR(__xludf.DUMMYFUNCTION("""COMPUTED_VALUE"""),"PRODUKSI")</f>
        <v>PRODUKSI</v>
      </c>
      <c r="J1" s="5">
        <f>SUM(D1:D1000) </f>
        <v>4339884646</v>
      </c>
    </row>
    <row r="2">
      <c r="A2" s="7">
        <f>IFERROR(__xludf.DUMMYFUNCTION("""COMPUTED_VALUE"""),46327.0)</f>
        <v>46327</v>
      </c>
      <c r="B2" s="5" t="str">
        <f>IFERROR(__xludf.DUMMYFUNCTION("""COMPUTED_VALUE"""),"TRSF E-BANKING DB")</f>
        <v>TRSF E-BANKING DB</v>
      </c>
      <c r="C2" s="5" t="str">
        <f>IFERROR(__xludf.DUMMYFUNCTION("""COMPUTED_VALUE"""),"0111/FTSCY/WS95271 52471900.00 Thu Oct 29 2026 14:00:00 GMT+0700 (Western Indonesia Time) ANDALAN YASA MITRA 52471900.00 Thu Oct 29 2026 14:00:00 GMT+0700 (Western Indonesia Time) ANDALAN YASA MITRA")</f>
        <v>0111/FTSCY/WS95271 52471900.00 Thu Oct 29 2026 14:00:00 GMT+0700 (Western Indonesia Time) ANDALAN YASA MITRA 52471900.00 Thu Oct 29 2026 14:00:00 GMT+0700 (Western Indonesia Time) ANDALAN YASA MITRA</v>
      </c>
      <c r="D2" s="5">
        <f>IFERROR(__xludf.DUMMYFUNCTION("""COMPUTED_VALUE"""),5.24719E7)</f>
        <v>52471900</v>
      </c>
      <c r="E2" s="5"/>
      <c r="F2" s="5" t="str">
        <f>IFERROR(__xludf.DUMMYFUNCTION("""COMPUTED_VALUE"""),"DB")</f>
        <v>DB</v>
      </c>
      <c r="G2" s="5">
        <f>IFERROR(__xludf.DUMMYFUNCTION("""COMPUTED_VALUE"""),8.053122919E7)</f>
        <v>80531229.19</v>
      </c>
      <c r="H2" s="5"/>
      <c r="I2" s="5" t="str">
        <f>IFERROR(__xludf.DUMMYFUNCTION("""COMPUTED_VALUE"""),"PRODUKSI")</f>
        <v>PRODUKSI</v>
      </c>
    </row>
    <row r="3">
      <c r="A3" s="7">
        <f>IFERROR(__xludf.DUMMYFUNCTION("""COMPUTED_VALUE"""),46327.0)</f>
        <v>46327</v>
      </c>
      <c r="B3" s="5" t="str">
        <f>IFERROR(__xludf.DUMMYFUNCTION("""COMPUTED_VALUE"""),"TRSF E-BANKING DB")</f>
        <v>TRSF E-BANKING DB</v>
      </c>
      <c r="C3" s="5" t="str">
        <f>IFERROR(__xludf.DUMMYFUNCTION("""COMPUTED_VALUE"""),"0111/FTSCY/WS95031 757840.00 NURHAYATI 757840.00 NURHAYATI")</f>
        <v>0111/FTSCY/WS95031 757840.00 NURHAYATI 757840.00 NURHAYATI</v>
      </c>
      <c r="D3" s="5">
        <f>IFERROR(__xludf.DUMMYFUNCTION("""COMPUTED_VALUE"""),757840.0)</f>
        <v>757840</v>
      </c>
      <c r="E3" s="5"/>
      <c r="F3" s="5" t="str">
        <f>IFERROR(__xludf.DUMMYFUNCTION("""COMPUTED_VALUE"""),"DB")</f>
        <v>DB</v>
      </c>
      <c r="G3" s="5">
        <f>IFERROR(__xludf.DUMMYFUNCTION("""COMPUTED_VALUE"""),7.977338919E7)</f>
        <v>79773389.19</v>
      </c>
      <c r="H3" s="5"/>
      <c r="I3" s="5" t="str">
        <f>IFERROR(__xludf.DUMMYFUNCTION("""COMPUTED_VALUE"""),"PRODUKSI")</f>
        <v>PRODUKSI</v>
      </c>
    </row>
    <row r="4">
      <c r="A4" s="7">
        <f>IFERROR(__xludf.DUMMYFUNCTION("""COMPUTED_VALUE"""),46327.0)</f>
        <v>46327</v>
      </c>
      <c r="B4" s="5" t="str">
        <f>IFERROR(__xludf.DUMMYFUNCTION("""COMPUTED_VALUE"""),"TRSF E-BANKING DB")</f>
        <v>TRSF E-BANKING DB</v>
      </c>
      <c r="C4" s="5" t="str">
        <f>IFERROR(__xludf.DUMMYFUNCTION("""COMPUTED_VALUE"""),"0111/FTFVA/WS95031 55569/PT PRIMA FAJ bwi - 40190 55569/PT PRIMA FAJ bwi - 40190")</f>
        <v>0111/FTFVA/WS95031 55569/PT PRIMA FAJ bwi - 40190 55569/PT PRIMA FAJ bwi - 40190</v>
      </c>
      <c r="D4" s="5">
        <f>IFERROR(__xludf.DUMMYFUNCTION("""COMPUTED_VALUE"""),5.572215E7)</f>
        <v>55722150</v>
      </c>
      <c r="E4" s="5"/>
      <c r="F4" s="5" t="str">
        <f>IFERROR(__xludf.DUMMYFUNCTION("""COMPUTED_VALUE"""),"DB")</f>
        <v>DB</v>
      </c>
      <c r="G4" s="5">
        <f>IFERROR(__xludf.DUMMYFUNCTION("""COMPUTED_VALUE"""),2.4051239189999998E7)</f>
        <v>24051239.19</v>
      </c>
      <c r="H4" s="5"/>
      <c r="I4" s="5" t="str">
        <f>IFERROR(__xludf.DUMMYFUNCTION("""COMPUTED_VALUE"""),"PRODUKSI")</f>
        <v>PRODUKSI</v>
      </c>
    </row>
    <row r="5">
      <c r="A5" s="7">
        <f>IFERROR(__xludf.DUMMYFUNCTION("""COMPUTED_VALUE"""),46327.0)</f>
        <v>46327</v>
      </c>
      <c r="B5" s="5" t="str">
        <f>IFERROR(__xludf.DUMMYFUNCTION("""COMPUTED_VALUE"""),"KARTU DEBIT")</f>
        <v>KARTU DEBIT</v>
      </c>
      <c r="C5" s="5" t="str">
        <f>IFERROR(__xludf.DUMMYFUNCTION("""COMPUTED_VALUE"""),"GOLDEN MARKET-HO 6019009510239343 6019009510239343")</f>
        <v>GOLDEN MARKET-HO 6019009510239343 6019009510239343</v>
      </c>
      <c r="D5" s="5">
        <f>IFERROR(__xludf.DUMMYFUNCTION("""COMPUTED_VALUE"""),393740.0)</f>
        <v>393740</v>
      </c>
      <c r="E5" s="5"/>
      <c r="F5" s="5"/>
      <c r="G5" s="5">
        <f>IFERROR(__xludf.DUMMYFUNCTION("""COMPUTED_VALUE"""),7.2089663719E8)</f>
        <v>720896637.2</v>
      </c>
      <c r="H5" s="5"/>
      <c r="I5" s="5" t="str">
        <f>IFERROR(__xludf.DUMMYFUNCTION("""COMPUTED_VALUE"""),"PRODUKSI")</f>
        <v>PRODUKSI</v>
      </c>
    </row>
    <row r="6">
      <c r="A6" s="7">
        <f>IFERROR(__xludf.DUMMYFUNCTION("""COMPUTED_VALUE"""),46327.0)</f>
        <v>46327</v>
      </c>
      <c r="B6" s="5" t="str">
        <f>IFERROR(__xludf.DUMMYFUNCTION("""COMPUTED_VALUE"""),"TRSF E-BANKING DB")</f>
        <v>TRSF E-BANKING DB</v>
      </c>
      <c r="C6" s="5" t="str">
        <f>IFERROR(__xludf.DUMMYFUNCTION("""COMPUTED_VALUE"""),"0111/FTSCY/WS95011 115431730.00 31/10 malang SURYA INTI TERNAK 115431730.00 31/10 malang SURYA INTI TERNAK")</f>
        <v>0111/FTSCY/WS95011 115431730.00 31/10 malang SURYA INTI TERNAK 115431730.00 31/10 malang SURYA INTI TERNAK</v>
      </c>
      <c r="D6" s="5">
        <f>IFERROR(__xludf.DUMMYFUNCTION("""COMPUTED_VALUE"""),1.1543173E8)</f>
        <v>115431730</v>
      </c>
      <c r="E6" s="5"/>
      <c r="F6" s="5" t="str">
        <f>IFERROR(__xludf.DUMMYFUNCTION("""COMPUTED_VALUE"""),"DB")</f>
        <v>DB</v>
      </c>
      <c r="G6" s="5">
        <f>IFERROR(__xludf.DUMMYFUNCTION("""COMPUTED_VALUE"""),3.7147715719000006E8)</f>
        <v>371477157.2</v>
      </c>
      <c r="H6" s="5"/>
      <c r="I6" s="5" t="str">
        <f>IFERROR(__xludf.DUMMYFUNCTION("""COMPUTED_VALUE"""),"PRODUKSI")</f>
        <v>PRODUKSI</v>
      </c>
    </row>
    <row r="7">
      <c r="A7" s="7">
        <f>IFERROR(__xludf.DUMMYFUNCTION("""COMPUTED_VALUE"""),46327.0)</f>
        <v>46327</v>
      </c>
      <c r="B7" s="5" t="str">
        <f>IFERROR(__xludf.DUMMYFUNCTION("""COMPUTED_VALUE"""),"TRSF E-BANKING DB")</f>
        <v>TRSF E-BANKING DB</v>
      </c>
      <c r="C7" s="5" t="str">
        <f>IFERROR(__xludf.DUMMYFUNCTION("""COMPUTED_VALUE"""),"0111/FTSCY/WS95011 13000000.00 Sat Oct 31 2026 14:00:00 GMT+0700 (Western Indonesia Time) LAJU SATWA WISESA 13000000.00 Sat Oct 31 2026 14:00:00 GMT+0700 (Western Indonesia Time) LAJU SATWA WISESA")</f>
        <v>0111/FTSCY/WS95011 13000000.00 Sat Oct 31 2026 14:00:00 GMT+0700 (Western Indonesia Time) LAJU SATWA WISESA 13000000.00 Sat Oct 31 2026 14:00:00 GMT+0700 (Western Indonesia Time) LAJU SATWA WISESA</v>
      </c>
      <c r="D7" s="5">
        <f>IFERROR(__xludf.DUMMYFUNCTION("""COMPUTED_VALUE"""),1.3E7)</f>
        <v>13000000</v>
      </c>
      <c r="E7" s="5"/>
      <c r="F7" s="5" t="str">
        <f>IFERROR(__xludf.DUMMYFUNCTION("""COMPUTED_VALUE"""),"DB")</f>
        <v>DB</v>
      </c>
      <c r="G7" s="5">
        <f>IFERROR(__xludf.DUMMYFUNCTION("""COMPUTED_VALUE"""),1.5452910719000006E8)</f>
        <v>154529107.2</v>
      </c>
      <c r="H7" s="5">
        <f>IFERROR(__xludf.DUMMYFUNCTION("""COMPUTED_VALUE"""),1.5452910719E8)</f>
        <v>154529107.2</v>
      </c>
      <c r="I7" s="5" t="str">
        <f>IFERROR(__xludf.DUMMYFUNCTION("""COMPUTED_VALUE"""),"PRODUKSI")</f>
        <v>PRODUKSI</v>
      </c>
    </row>
    <row r="8">
      <c r="A8" s="7">
        <f>IFERROR(__xludf.DUMMYFUNCTION("""COMPUTED_VALUE"""),46327.0)</f>
        <v>46327</v>
      </c>
      <c r="B8" s="5" t="str">
        <f>IFERROR(__xludf.DUMMYFUNCTION("""COMPUTED_VALUE"""),"TRSF E-BANKING DB")</f>
        <v>TRSF E-BANKING DB</v>
      </c>
      <c r="C8" s="5" t="str">
        <f>IFERROR(__xludf.DUMMYFUNCTION("""COMPUTED_VALUE"""),"0111/FTSCY/WS95031 32600000.00 LAJU SATWA WISESA 32600000.00 LAJU SATWA WISESA")</f>
        <v>0111/FTSCY/WS95031 32600000.00 LAJU SATWA WISESA 32600000.00 LAJU SATWA WISESA</v>
      </c>
      <c r="D8" s="5">
        <f>IFERROR(__xludf.DUMMYFUNCTION("""COMPUTED_VALUE"""),3.26E7)</f>
        <v>32600000</v>
      </c>
      <c r="E8" s="5"/>
      <c r="F8" s="5" t="str">
        <f>IFERROR(__xludf.DUMMYFUNCTION("""COMPUTED_VALUE"""),"DB")</f>
        <v>DB</v>
      </c>
      <c r="G8" s="5">
        <f>IFERROR(__xludf.DUMMYFUNCTION("""COMPUTED_VALUE"""),1.2192910719000006E8)</f>
        <v>121929107.2</v>
      </c>
      <c r="H8" s="5">
        <f>IFERROR(__xludf.DUMMYFUNCTION("""COMPUTED_VALUE"""),1.2192910719E8)</f>
        <v>121929107.2</v>
      </c>
      <c r="I8" s="5" t="str">
        <f>IFERROR(__xludf.DUMMYFUNCTION("""COMPUTED_VALUE"""),"PRODUKSI")</f>
        <v>PRODUKSI</v>
      </c>
    </row>
    <row r="9">
      <c r="A9" s="7">
        <f>IFERROR(__xludf.DUMMYFUNCTION("""COMPUTED_VALUE"""),46328.0)</f>
        <v>46328</v>
      </c>
      <c r="B9" s="5" t="str">
        <f>IFERROR(__xludf.DUMMYFUNCTION("""COMPUTED_VALUE"""),"TRSF E-BANKING DB")</f>
        <v>TRSF E-BANKING DB</v>
      </c>
      <c r="C9" s="5" t="str">
        <f>IFERROR(__xludf.DUMMYFUNCTION("""COMPUTED_VALUE"""),"0211/FTSCY/WS95271 100000000.00 PRIMA JAYA BERSATU 100000000.00 PRIMA JAYA BERSATU")</f>
        <v>0211/FTSCY/WS95271 100000000.00 PRIMA JAYA BERSATU 100000000.00 PRIMA JAYA BERSATU</v>
      </c>
      <c r="D9" s="5">
        <f>IFERROR(__xludf.DUMMYFUNCTION("""COMPUTED_VALUE"""),1.0E8)</f>
        <v>100000000</v>
      </c>
      <c r="E9" s="5"/>
      <c r="F9" s="5" t="str">
        <f>IFERROR(__xludf.DUMMYFUNCTION("""COMPUTED_VALUE"""),"DB")</f>
        <v>DB</v>
      </c>
      <c r="G9" s="5">
        <f>IFERROR(__xludf.DUMMYFUNCTION("""COMPUTED_VALUE"""),929107.1900000572)</f>
        <v>929107.19</v>
      </c>
      <c r="H9" s="5"/>
      <c r="I9" s="5" t="str">
        <f>IFERROR(__xludf.DUMMYFUNCTION("""COMPUTED_VALUE"""),"PRODUKSI")</f>
        <v>PRODUKSI</v>
      </c>
    </row>
    <row r="10">
      <c r="A10" s="7">
        <f>IFERROR(__xludf.DUMMYFUNCTION("""COMPUTED_VALUE"""),46328.0)</f>
        <v>46328</v>
      </c>
      <c r="B10" s="5" t="str">
        <f>IFERROR(__xludf.DUMMYFUNCTION("""COMPUTED_VALUE"""),"TRSF E-BANKING DB")</f>
        <v>TRSF E-BANKING DB</v>
      </c>
      <c r="C10" s="5" t="str">
        <f>IFERROR(__xludf.DUMMYFUNCTION("""COMPUTED_VALUE"""),"0211/FTSCY/WS95031 850000.00 SUNARTO 850000.00 SUNARTO")</f>
        <v>0211/FTSCY/WS95031 850000.00 SUNARTO 850000.00 SUNARTO</v>
      </c>
      <c r="D10" s="5">
        <f>IFERROR(__xludf.DUMMYFUNCTION("""COMPUTED_VALUE"""),850000.0)</f>
        <v>850000</v>
      </c>
      <c r="E10" s="5"/>
      <c r="F10" s="5" t="str">
        <f>IFERROR(__xludf.DUMMYFUNCTION("""COMPUTED_VALUE"""),"DB")</f>
        <v>DB</v>
      </c>
      <c r="G10" s="5">
        <f>IFERROR(__xludf.DUMMYFUNCTION("""COMPUTED_VALUE"""),79107.19000005722)</f>
        <v>79107.19</v>
      </c>
      <c r="H10" s="5"/>
      <c r="I10" s="5" t="str">
        <f>IFERROR(__xludf.DUMMYFUNCTION("""COMPUTED_VALUE"""),"PRODUKSI")</f>
        <v>PRODUKSI</v>
      </c>
    </row>
    <row r="11">
      <c r="A11" s="7">
        <f>IFERROR(__xludf.DUMMYFUNCTION("""COMPUTED_VALUE"""),46328.0)</f>
        <v>46328</v>
      </c>
      <c r="B11" s="5" t="str">
        <f>IFERROR(__xludf.DUMMYFUNCTION("""COMPUTED_VALUE"""),"TRSF E-BANKING DB")</f>
        <v>TRSF E-BANKING DB</v>
      </c>
      <c r="C11" s="5" t="str">
        <f>IFERROR(__xludf.DUMMYFUNCTION("""COMPUTED_VALUE"""),"0211/FTSCY/WS95031 19285410.00 EKO SETIYAWAN 19285410.00 EKO SETIYAWAN")</f>
        <v>0211/FTSCY/WS95031 19285410.00 EKO SETIYAWAN 19285410.00 EKO SETIYAWAN</v>
      </c>
      <c r="D11" s="5">
        <f>IFERROR(__xludf.DUMMYFUNCTION("""COMPUTED_VALUE"""),1.928541E7)</f>
        <v>19285410</v>
      </c>
      <c r="E11" s="5"/>
      <c r="F11" s="5" t="str">
        <f>IFERROR(__xludf.DUMMYFUNCTION("""COMPUTED_VALUE"""),"DB")</f>
        <v>DB</v>
      </c>
      <c r="G11" s="5">
        <f>IFERROR(__xludf.DUMMYFUNCTION("""COMPUTED_VALUE"""),7.9504649219E8)</f>
        <v>795046492.2</v>
      </c>
      <c r="H11" s="5">
        <f>IFERROR(__xludf.DUMMYFUNCTION("""COMPUTED_VALUE"""),7.9504649219E8)</f>
        <v>795046492.2</v>
      </c>
      <c r="I11" s="5" t="str">
        <f>IFERROR(__xludf.DUMMYFUNCTION("""COMPUTED_VALUE"""),"PRODUKSI")</f>
        <v>PRODUKSI</v>
      </c>
    </row>
    <row r="12">
      <c r="A12" s="7">
        <f>IFERROR(__xludf.DUMMYFUNCTION("""COMPUTED_VALUE"""),46328.0)</f>
        <v>46328</v>
      </c>
      <c r="B12" s="5" t="str">
        <f>IFERROR(__xludf.DUMMYFUNCTION("""COMPUTED_VALUE"""),"TRSF E-BANKING DB")</f>
        <v>TRSF E-BANKING DB</v>
      </c>
      <c r="C12" s="5" t="str">
        <f>IFERROR(__xludf.DUMMYFUNCTION("""COMPUTED_VALUE"""),"0211/FTSCY/WS95271 58593500.00 Sat Oct 31 2026 14:00:00 GMT+0700 (Western Indonesia Time) ADNAN 58593500.00 Sat Oct 31 2026 14:00:00 GMT+0700 (Western Indonesia Time) ADNAN")</f>
        <v>0211/FTSCY/WS95271 58593500.00 Sat Oct 31 2026 14:00:00 GMT+0700 (Western Indonesia Time) ADNAN 58593500.00 Sat Oct 31 2026 14:00:00 GMT+0700 (Western Indonesia Time) ADNAN</v>
      </c>
      <c r="D12" s="5">
        <f>IFERROR(__xludf.DUMMYFUNCTION("""COMPUTED_VALUE"""),5.85935E7)</f>
        <v>58593500</v>
      </c>
      <c r="E12" s="5"/>
      <c r="F12" s="5" t="str">
        <f>IFERROR(__xludf.DUMMYFUNCTION("""COMPUTED_VALUE"""),"DB")</f>
        <v>DB</v>
      </c>
      <c r="G12" s="5">
        <f>IFERROR(__xludf.DUMMYFUNCTION("""COMPUTED_VALUE"""),7.3645299219E8)</f>
        <v>736452992.2</v>
      </c>
      <c r="H12" s="5"/>
      <c r="I12" s="5" t="str">
        <f>IFERROR(__xludf.DUMMYFUNCTION("""COMPUTED_VALUE"""),"PRODUKSI")</f>
        <v>PRODUKSI</v>
      </c>
    </row>
    <row r="13">
      <c r="A13" s="7">
        <f>IFERROR(__xludf.DUMMYFUNCTION("""COMPUTED_VALUE"""),46328.0)</f>
        <v>46328</v>
      </c>
      <c r="B13" s="5" t="str">
        <f>IFERROR(__xludf.DUMMYFUNCTION("""COMPUTED_VALUE"""),"TRSF E-BANKING DB")</f>
        <v>TRSF E-BANKING DB</v>
      </c>
      <c r="C13" s="5" t="str">
        <f>IFERROR(__xludf.DUMMYFUNCTION("""COMPUTED_VALUE"""),"0211/FTSCY/WS95011 65572500.00 Sat Oct 31 2026 14:00:00 GMT+0700 (Western Indonesia Time) PITIK DIGITAL INDO 65572500.00 Sat Oct 31 2026 14:00:00 GMT+0700 (Western Indonesia Time) PITIK DIGITAL INDO")</f>
        <v>0211/FTSCY/WS95011 65572500.00 Sat Oct 31 2026 14:00:00 GMT+0700 (Western Indonesia Time) PITIK DIGITAL INDO 65572500.00 Sat Oct 31 2026 14:00:00 GMT+0700 (Western Indonesia Time) PITIK DIGITAL INDO</v>
      </c>
      <c r="D13" s="5">
        <f>IFERROR(__xludf.DUMMYFUNCTION("""COMPUTED_VALUE"""),6.55725E7)</f>
        <v>65572500</v>
      </c>
      <c r="E13" s="5"/>
      <c r="F13" s="5" t="str">
        <f>IFERROR(__xludf.DUMMYFUNCTION("""COMPUTED_VALUE"""),"DB")</f>
        <v>DB</v>
      </c>
      <c r="G13" s="5">
        <f>IFERROR(__xludf.DUMMYFUNCTION("""COMPUTED_VALUE"""),6.1913338219E8)</f>
        <v>619133382.2</v>
      </c>
      <c r="H13" s="5"/>
      <c r="I13" s="5" t="str">
        <f>IFERROR(__xludf.DUMMYFUNCTION("""COMPUTED_VALUE"""),"PRODUKSI")</f>
        <v>PRODUKSI</v>
      </c>
    </row>
    <row r="14">
      <c r="A14" s="7">
        <f>IFERROR(__xludf.DUMMYFUNCTION("""COMPUTED_VALUE"""),46328.0)</f>
        <v>46328</v>
      </c>
      <c r="B14" s="5" t="str">
        <f>IFERROR(__xludf.DUMMYFUNCTION("""COMPUTED_VALUE"""),"TRSF E-BANKING DB")</f>
        <v>TRSF E-BANKING DB</v>
      </c>
      <c r="C14" s="5" t="str">
        <f>IFERROR(__xludf.DUMMYFUNCTION("""COMPUTED_VALUE"""),"0211/FTSCY/WS95011 178401500.00 31/11 ANDALAN YASA MITRA 178401500.00 31/11 ANDALAN YASA MITRA")</f>
        <v>0211/FTSCY/WS95011 178401500.00 31/11 ANDALAN YASA MITRA 178401500.00 31/11 ANDALAN YASA MITRA</v>
      </c>
      <c r="D14" s="5">
        <f>IFERROR(__xludf.DUMMYFUNCTION("""COMPUTED_VALUE"""),1.784015E8)</f>
        <v>178401500</v>
      </c>
      <c r="E14" s="5"/>
      <c r="F14" s="5" t="str">
        <f>IFERROR(__xludf.DUMMYFUNCTION("""COMPUTED_VALUE"""),"DB")</f>
        <v>DB</v>
      </c>
      <c r="G14" s="5">
        <f>IFERROR(__xludf.DUMMYFUNCTION("""COMPUTED_VALUE"""),4.4073188219000006E8)</f>
        <v>440731882.2</v>
      </c>
      <c r="H14" s="5"/>
      <c r="I14" s="5" t="str">
        <f>IFERROR(__xludf.DUMMYFUNCTION("""COMPUTED_VALUE"""),"PRODUKSI")</f>
        <v>PRODUKSI</v>
      </c>
    </row>
    <row r="15">
      <c r="A15" s="7">
        <f>IFERROR(__xludf.DUMMYFUNCTION("""COMPUTED_VALUE"""),46328.0)</f>
        <v>46328</v>
      </c>
      <c r="B15" s="5" t="str">
        <f>IFERROR(__xludf.DUMMYFUNCTION("""COMPUTED_VALUE"""),"TRSF E-BANKING DB")</f>
        <v>TRSF E-BANKING DB</v>
      </c>
      <c r="C15" s="5" t="str">
        <f>IFERROR(__xludf.DUMMYFUNCTION("""COMPUTED_VALUE"""),"0211/FTSCY/WS95011 163200000.00 Thu Oct 01 2026 14:00:00 GMT+0700 (Western Indonesia Time) TUMBUH OPTIMAL PRI 163200000.00 Thu Oct 01 2026 14:00:00 GMT+0700 (Western Indonesia Time) TUMBUH OPTIMAL PRI")</f>
        <v>0211/FTSCY/WS95011 163200000.00 Thu Oct 01 2026 14:00:00 GMT+0700 (Western Indonesia Time) TUMBUH OPTIMAL PRI 163200000.00 Thu Oct 01 2026 14:00:00 GMT+0700 (Western Indonesia Time) TUMBUH OPTIMAL PRI</v>
      </c>
      <c r="D15" s="5">
        <f>IFERROR(__xludf.DUMMYFUNCTION("""COMPUTED_VALUE"""),1.632E8)</f>
        <v>163200000</v>
      </c>
      <c r="E15" s="5"/>
      <c r="F15" s="5" t="str">
        <f>IFERROR(__xludf.DUMMYFUNCTION("""COMPUTED_VALUE"""),"DB")</f>
        <v>DB</v>
      </c>
      <c r="G15" s="5">
        <f>IFERROR(__xludf.DUMMYFUNCTION("""COMPUTED_VALUE"""),2.7753188219000006E8)</f>
        <v>277531882.2</v>
      </c>
      <c r="H15" s="5"/>
      <c r="I15" s="5" t="str">
        <f>IFERROR(__xludf.DUMMYFUNCTION("""COMPUTED_VALUE"""),"PRODUKSI")</f>
        <v>PRODUKSI</v>
      </c>
    </row>
    <row r="16">
      <c r="A16" s="7">
        <f>IFERROR(__xludf.DUMMYFUNCTION("""COMPUTED_VALUE"""),46328.0)</f>
        <v>46328</v>
      </c>
      <c r="B16" s="5" t="str">
        <f>IFERROR(__xludf.DUMMYFUNCTION("""COMPUTED_VALUE"""),"TRSF E-BANKING DB")</f>
        <v>TRSF E-BANKING DB</v>
      </c>
      <c r="C16" s="5" t="str">
        <f>IFERROR(__xludf.DUMMYFUNCTION("""COMPUTED_VALUE"""),"0211/FTSCY/WS95011 92500000.00 Sun Nov 01 2026 14:00:00 GMT+0700 (Western Indonesia Time) RUKUN MITRA BERSAM 92500000.00 Sun Nov 01 2026 14:00:00 GMT+0700 (Western Indonesia Time) RUKUN MITRA BERSAM")</f>
        <v>0211/FTSCY/WS95011 92500000.00 Sun Nov 01 2026 14:00:00 GMT+0700 (Western Indonesia Time) RUKUN MITRA BERSAM 92500000.00 Sun Nov 01 2026 14:00:00 GMT+0700 (Western Indonesia Time) RUKUN MITRA BERSAM</v>
      </c>
      <c r="D16" s="5">
        <f>IFERROR(__xludf.DUMMYFUNCTION("""COMPUTED_VALUE"""),9.25E7)</f>
        <v>92500000</v>
      </c>
      <c r="E16" s="5"/>
      <c r="F16" s="5" t="str">
        <f>IFERROR(__xludf.DUMMYFUNCTION("""COMPUTED_VALUE"""),"DB")</f>
        <v>DB</v>
      </c>
      <c r="G16" s="5">
        <f>IFERROR(__xludf.DUMMYFUNCTION("""COMPUTED_VALUE"""),1.8503188219000006E8)</f>
        <v>185031882.2</v>
      </c>
      <c r="H16" s="5"/>
      <c r="I16" s="5" t="str">
        <f>IFERROR(__xludf.DUMMYFUNCTION("""COMPUTED_VALUE"""),"PRODUKSI")</f>
        <v>PRODUKSI</v>
      </c>
    </row>
    <row r="17">
      <c r="A17" s="7">
        <f>IFERROR(__xludf.DUMMYFUNCTION("""COMPUTED_VALUE"""),46328.0)</f>
        <v>46328</v>
      </c>
      <c r="B17" s="5" t="str">
        <f>IFERROR(__xludf.DUMMYFUNCTION("""COMPUTED_VALUE"""),"TRSF E-BANKING DB")</f>
        <v>TRSF E-BANKING DB</v>
      </c>
      <c r="C17" s="5" t="str">
        <f>IFERROR(__xludf.DUMMYFUNCTION("""COMPUTED_VALUE"""),"0211/FTSCY/WS95271 14000000.00 pelunasan 31/11 ANDALAN YASA MITRA 14000000.00 pelunasan 31/11 ANDALAN YASA MITRA")</f>
        <v>0211/FTSCY/WS95271 14000000.00 pelunasan 31/11 ANDALAN YASA MITRA 14000000.00 pelunasan 31/11 ANDALAN YASA MITRA</v>
      </c>
      <c r="D17" s="5">
        <f>IFERROR(__xludf.DUMMYFUNCTION("""COMPUTED_VALUE"""),1.4E7)</f>
        <v>14000000</v>
      </c>
      <c r="E17" s="5"/>
      <c r="F17" s="5" t="str">
        <f>IFERROR(__xludf.DUMMYFUNCTION("""COMPUTED_VALUE"""),"DB")</f>
        <v>DB</v>
      </c>
      <c r="G17" s="5">
        <f>IFERROR(__xludf.DUMMYFUNCTION("""COMPUTED_VALUE"""),1.7103188219000006E8)</f>
        <v>171031882.2</v>
      </c>
      <c r="H17" s="5"/>
      <c r="I17" s="5" t="str">
        <f>IFERROR(__xludf.DUMMYFUNCTION("""COMPUTED_VALUE"""),"PRODUKSI")</f>
        <v>PRODUKSI</v>
      </c>
    </row>
    <row r="18">
      <c r="A18" s="7">
        <f>IFERROR(__xludf.DUMMYFUNCTION("""COMPUTED_VALUE"""),46328.0)</f>
        <v>46328</v>
      </c>
      <c r="B18" s="5" t="str">
        <f>IFERROR(__xludf.DUMMYFUNCTION("""COMPUTED_VALUE"""),"TRSF E-BANKING DB")</f>
        <v>TRSF E-BANKING DB</v>
      </c>
      <c r="C18" s="5" t="str">
        <f>IFERROR(__xludf.DUMMYFUNCTION("""COMPUTED_VALUE"""),"0211/FTSCY/WS95031 9640000.00 pelunasan LAJU SATWA WISESA 9640000.00 pelunasan LAJU SATWA WISESA")</f>
        <v>0211/FTSCY/WS95031 9640000.00 pelunasan LAJU SATWA WISESA 9640000.00 pelunasan LAJU SATWA WISESA</v>
      </c>
      <c r="D18" s="5">
        <f>IFERROR(__xludf.DUMMYFUNCTION("""COMPUTED_VALUE"""),9640000.0)</f>
        <v>9640000</v>
      </c>
      <c r="E18" s="5"/>
      <c r="F18" s="5" t="str">
        <f>IFERROR(__xludf.DUMMYFUNCTION("""COMPUTED_VALUE"""),"DB")</f>
        <v>DB</v>
      </c>
      <c r="G18" s="5">
        <f>IFERROR(__xludf.DUMMYFUNCTION("""COMPUTED_VALUE"""),1.1489188219000006E8)</f>
        <v>114891882.2</v>
      </c>
      <c r="H18" s="5">
        <f>IFERROR(__xludf.DUMMYFUNCTION("""COMPUTED_VALUE"""),1.1489188219E8)</f>
        <v>114891882.2</v>
      </c>
      <c r="I18" s="5" t="str">
        <f>IFERROR(__xludf.DUMMYFUNCTION("""COMPUTED_VALUE"""),"PRODUKSI")</f>
        <v>PRODUKSI</v>
      </c>
    </row>
    <row r="19">
      <c r="A19" s="7">
        <f>IFERROR(__xludf.DUMMYFUNCTION("""COMPUTED_VALUE"""),46329.0)</f>
        <v>46329</v>
      </c>
      <c r="B19" s="5" t="str">
        <f>IFERROR(__xludf.DUMMYFUNCTION("""COMPUTED_VALUE"""),"TRSF E-BANKING DB")</f>
        <v>TRSF E-BANKING DB</v>
      </c>
      <c r="C19" s="5" t="str">
        <f>IFERROR(__xludf.DUMMYFUNCTION("""COMPUTED_VALUE"""),"0311/FTSCY/WS95271 72000000.00 pelunasan RUKUN MITRA BERSAM 72000000.00 pelunasan RUKUN MITRA BERSAM")</f>
        <v>0311/FTSCY/WS95271 72000000.00 pelunasan RUKUN MITRA BERSAM 72000000.00 pelunasan RUKUN MITRA BERSAM</v>
      </c>
      <c r="D19" s="5">
        <f>IFERROR(__xludf.DUMMYFUNCTION("""COMPUTED_VALUE"""),7.2E7)</f>
        <v>72000000</v>
      </c>
      <c r="E19" s="5"/>
      <c r="F19" s="5" t="str">
        <f>IFERROR(__xludf.DUMMYFUNCTION("""COMPUTED_VALUE"""),"DB")</f>
        <v>DB</v>
      </c>
      <c r="G19" s="5">
        <f>IFERROR(__xludf.DUMMYFUNCTION("""COMPUTED_VALUE"""),1.0789188219000006E8)</f>
        <v>107891882.2</v>
      </c>
      <c r="H19" s="5"/>
      <c r="I19" s="5" t="str">
        <f>IFERROR(__xludf.DUMMYFUNCTION("""COMPUTED_VALUE"""),"PRODUKSI")</f>
        <v>PRODUKSI</v>
      </c>
    </row>
    <row r="20">
      <c r="A20" s="7">
        <f>IFERROR(__xludf.DUMMYFUNCTION("""COMPUTED_VALUE"""),46329.0)</f>
        <v>46329</v>
      </c>
      <c r="B20" s="5" t="str">
        <f>IFERROR(__xludf.DUMMYFUNCTION("""COMPUTED_VALUE"""),"TRSF E-BANKING DB")</f>
        <v>TRSF E-BANKING DB</v>
      </c>
      <c r="C20" s="5" t="str">
        <f>IFERROR(__xludf.DUMMYFUNCTION("""COMPUTED_VALUE"""),"0311/FTSCY/WS95271 50939520.00 Sun Nov 01 2026 14:00:00 GMT+0700 (Western Indonesia Time) TABASSAM JAYA FARM 50939520.00 Sun Nov 01 2026 14:00:00 GMT+0700 (Western Indonesia Time) TABASSAM JAYA FARM")</f>
        <v>0311/FTSCY/WS95271 50939520.00 Sun Nov 01 2026 14:00:00 GMT+0700 (Western Indonesia Time) TABASSAM JAYA FARM 50939520.00 Sun Nov 01 2026 14:00:00 GMT+0700 (Western Indonesia Time) TABASSAM JAYA FARM</v>
      </c>
      <c r="D20" s="5">
        <f>IFERROR(__xludf.DUMMYFUNCTION("""COMPUTED_VALUE"""),5.093952E7)</f>
        <v>50939520</v>
      </c>
      <c r="E20" s="5"/>
      <c r="F20" s="5" t="str">
        <f>IFERROR(__xludf.DUMMYFUNCTION("""COMPUTED_VALUE"""),"DB")</f>
        <v>DB</v>
      </c>
      <c r="G20" s="5">
        <f>IFERROR(__xludf.DUMMYFUNCTION("""COMPUTED_VALUE"""),5.695236219000006E7)</f>
        <v>56952362.19</v>
      </c>
      <c r="H20" s="5">
        <f>IFERROR(__xludf.DUMMYFUNCTION("""COMPUTED_VALUE"""),5.695236219E7)</f>
        <v>56952362.19</v>
      </c>
      <c r="I20" s="5" t="str">
        <f>IFERROR(__xludf.DUMMYFUNCTION("""COMPUTED_VALUE"""),"PRODUKSI")</f>
        <v>PRODUKSI</v>
      </c>
    </row>
    <row r="21">
      <c r="A21" s="7">
        <f>IFERROR(__xludf.DUMMYFUNCTION("""COMPUTED_VALUE"""),46329.0)</f>
        <v>46329</v>
      </c>
      <c r="B21" s="5" t="str">
        <f>IFERROR(__xludf.DUMMYFUNCTION("""COMPUTED_VALUE"""),"TRSF E-BANKING DB")</f>
        <v>TRSF E-BANKING DB</v>
      </c>
      <c r="C21" s="5" t="str">
        <f>IFERROR(__xludf.DUMMYFUNCTION("""COMPUTED_VALUE"""),"0311/FTSCY/WS95031 7186830.00 krg 1 jt FAJAR ANDREANZAH")</f>
        <v>0311/FTSCY/WS95031 7186830.00 krg 1 jt FAJAR ANDREANZAH</v>
      </c>
      <c r="D21" s="5">
        <f>IFERROR(__xludf.DUMMYFUNCTION("""COMPUTED_VALUE"""),7186830.0)</f>
        <v>7186830</v>
      </c>
      <c r="E21" s="5"/>
      <c r="F21" s="5" t="str">
        <f>IFERROR(__xludf.DUMMYFUNCTION("""COMPUTED_VALUE"""),"DB")</f>
        <v>DB</v>
      </c>
      <c r="G21" s="5">
        <f>IFERROR(__xludf.DUMMYFUNCTION("""COMPUTED_VALUE"""),4.976553219000006E7)</f>
        <v>49765532.19</v>
      </c>
      <c r="H21" s="5">
        <f>IFERROR(__xludf.DUMMYFUNCTION("""COMPUTED_VALUE"""),4.976553219E7)</f>
        <v>49765532.19</v>
      </c>
      <c r="I21" s="5" t="str">
        <f>IFERROR(__xludf.DUMMYFUNCTION("""COMPUTED_VALUE"""),"PRODUKSI")</f>
        <v>PRODUKSI</v>
      </c>
    </row>
    <row r="22">
      <c r="A22" s="7">
        <f>IFERROR(__xludf.DUMMYFUNCTION("""COMPUTED_VALUE"""),46329.0)</f>
        <v>46329</v>
      </c>
      <c r="B22" s="5" t="str">
        <f>IFERROR(__xludf.DUMMYFUNCTION("""COMPUTED_VALUE"""),"TRSF E-BANKING DB")</f>
        <v>TRSF E-BANKING DB</v>
      </c>
      <c r="C22" s="5" t="str">
        <f>IFERROR(__xludf.DUMMYFUNCTION("""COMPUTED_VALUE"""),"0311/FTSCY/WS95031 6820500.00 krg 10 jt MUJIANTO")</f>
        <v>0311/FTSCY/WS95031 6820500.00 krg 10 jt MUJIANTO</v>
      </c>
      <c r="D22" s="5">
        <f>IFERROR(__xludf.DUMMYFUNCTION("""COMPUTED_VALUE"""),6820500.0)</f>
        <v>6820500</v>
      </c>
      <c r="E22" s="5"/>
      <c r="F22" s="5" t="str">
        <f>IFERROR(__xludf.DUMMYFUNCTION("""COMPUTED_VALUE"""),"DB")</f>
        <v>DB</v>
      </c>
      <c r="G22" s="5">
        <f>IFERROR(__xludf.DUMMYFUNCTION("""COMPUTED_VALUE"""),3.561371219000006E7)</f>
        <v>35613712.19</v>
      </c>
      <c r="H22" s="5"/>
      <c r="I22" s="5" t="str">
        <f>IFERROR(__xludf.DUMMYFUNCTION("""COMPUTED_VALUE"""),"PRODUKSI")</f>
        <v>PRODUKSI</v>
      </c>
    </row>
    <row r="23">
      <c r="A23" s="7">
        <f>IFERROR(__xludf.DUMMYFUNCTION("""COMPUTED_VALUE"""),46329.0)</f>
        <v>46329</v>
      </c>
      <c r="B23" s="5" t="str">
        <f>IFERROR(__xludf.DUMMYFUNCTION("""COMPUTED_VALUE"""),"TRSF E-BANKING DB")</f>
        <v>TRSF E-BANKING DB</v>
      </c>
      <c r="C23" s="5" t="str">
        <f>IFERROR(__xludf.DUMMYFUNCTION("""COMPUTED_VALUE"""),"0311/FTSCY/WS95271 66526200.00 Sun Nov 01 2026 14:00:00 GMT+0700 (Western Indonesia Time) SUPER UNGGAS JAYA")</f>
        <v>0311/FTSCY/WS95271 66526200.00 Sun Nov 01 2026 14:00:00 GMT+0700 (Western Indonesia Time) SUPER UNGGAS JAYA</v>
      </c>
      <c r="D23" s="5">
        <f>IFERROR(__xludf.DUMMYFUNCTION("""COMPUTED_VALUE"""),6.65262E7)</f>
        <v>66526200</v>
      </c>
      <c r="E23" s="5"/>
      <c r="F23" s="5" t="str">
        <f>IFERROR(__xludf.DUMMYFUNCTION("""COMPUTED_VALUE"""),"DB")</f>
        <v>DB</v>
      </c>
      <c r="G23" s="5">
        <f>IFERROR(__xludf.DUMMYFUNCTION("""COMPUTED_VALUE"""),4.250786219000006E7)</f>
        <v>42507862.19</v>
      </c>
      <c r="H23" s="5"/>
      <c r="I23" s="5" t="str">
        <f>IFERROR(__xludf.DUMMYFUNCTION("""COMPUTED_VALUE"""),"PRODUKSI")</f>
        <v>PRODUKSI</v>
      </c>
    </row>
    <row r="24">
      <c r="A24" s="7">
        <f>IFERROR(__xludf.DUMMYFUNCTION("""COMPUTED_VALUE"""),46329.0)</f>
        <v>46329</v>
      </c>
      <c r="B24" s="5" t="str">
        <f>IFERROR(__xludf.DUMMYFUNCTION("""COMPUTED_VALUE"""),"TRSF E-BANKING DB")</f>
        <v>TRSF E-BANKING DB</v>
      </c>
      <c r="C24" s="5" t="str">
        <f>IFERROR(__xludf.DUMMYFUNCTION("""COMPUTED_VALUE"""),"0311/FTSCY/WS95031 2140120.00 SUNARTO")</f>
        <v>0311/FTSCY/WS95031 2140120.00 SUNARTO</v>
      </c>
      <c r="D24" s="5">
        <f>IFERROR(__xludf.DUMMYFUNCTION("""COMPUTED_VALUE"""),2140120.0)</f>
        <v>2140120</v>
      </c>
      <c r="E24" s="5"/>
      <c r="F24" s="5" t="str">
        <f>IFERROR(__xludf.DUMMYFUNCTION("""COMPUTED_VALUE"""),"DB")</f>
        <v>DB</v>
      </c>
      <c r="G24" s="5">
        <f>IFERROR(__xludf.DUMMYFUNCTION("""COMPUTED_VALUE"""),4.6154284219000006E8)</f>
        <v>461542842.2</v>
      </c>
      <c r="H24" s="5"/>
      <c r="I24" s="5" t="str">
        <f>IFERROR(__xludf.DUMMYFUNCTION("""COMPUTED_VALUE"""),"PRODUKSI")</f>
        <v>PRODUKSI</v>
      </c>
    </row>
    <row r="25">
      <c r="A25" s="7">
        <f>IFERROR(__xludf.DUMMYFUNCTION("""COMPUTED_VALUE"""),46339.0)</f>
        <v>46339</v>
      </c>
      <c r="B25" s="5" t="str">
        <f>IFERROR(__xludf.DUMMYFUNCTION("""COMPUTED_VALUE"""),"TRSF E-BANKING DB")</f>
        <v>TRSF E-BANKING DB</v>
      </c>
      <c r="C25" s="5" t="str">
        <f>IFERROR(__xludf.DUMMYFUNCTION("""COMPUTED_VALUE"""),"1311/FTSCY/WS95031 300000.00 SAIFUL BAHRI")</f>
        <v>1311/FTSCY/WS95031 300000.00 SAIFUL BAHRI</v>
      </c>
      <c r="D25" s="5">
        <f>IFERROR(__xludf.DUMMYFUNCTION("""COMPUTED_VALUE"""),300000.0)</f>
        <v>300000</v>
      </c>
      <c r="E25" s="5"/>
      <c r="F25" s="5" t="str">
        <f>IFERROR(__xludf.DUMMYFUNCTION("""COMPUTED_VALUE"""),"DB")</f>
        <v>DB</v>
      </c>
      <c r="G25" s="5">
        <f>IFERROR(__xludf.DUMMYFUNCTION("""COMPUTED_VALUE"""),3.4966511519000006E8)</f>
        <v>349665115.2</v>
      </c>
      <c r="H25" s="5"/>
      <c r="I25" s="5" t="str">
        <f>IFERROR(__xludf.DUMMYFUNCTION("""COMPUTED_VALUE"""),"PRODUKSI")</f>
        <v>PRODUKSI</v>
      </c>
    </row>
    <row r="26">
      <c r="A26" s="7">
        <f>IFERROR(__xludf.DUMMYFUNCTION("""COMPUTED_VALUE"""),46339.0)</f>
        <v>46339</v>
      </c>
      <c r="B26" s="5" t="str">
        <f>IFERROR(__xludf.DUMMYFUNCTION("""COMPUTED_VALUE"""),"TRSF E-BANKING DB")</f>
        <v>TRSF E-BANKING DB</v>
      </c>
      <c r="C26" s="5" t="str">
        <f>IFERROR(__xludf.DUMMYFUNCTION("""COMPUTED_VALUE"""),"1311/FTSCY/WS95031 10000000.00 EKO SETIYAWAN")</f>
        <v>1311/FTSCY/WS95031 10000000.00 EKO SETIYAWAN</v>
      </c>
      <c r="D26" s="5">
        <f>IFERROR(__xludf.DUMMYFUNCTION("""COMPUTED_VALUE"""),1.0E7)</f>
        <v>10000000</v>
      </c>
      <c r="E26" s="5"/>
      <c r="F26" s="5" t="str">
        <f>IFERROR(__xludf.DUMMYFUNCTION("""COMPUTED_VALUE"""),"DB")</f>
        <v>DB</v>
      </c>
      <c r="G26" s="5">
        <f>IFERROR(__xludf.DUMMYFUNCTION("""COMPUTED_VALUE"""),3.3966511519000006E8)</f>
        <v>339665115.2</v>
      </c>
      <c r="H26" s="5"/>
      <c r="I26" s="5" t="str">
        <f>IFERROR(__xludf.DUMMYFUNCTION("""COMPUTED_VALUE"""),"PRODUKSI")</f>
        <v>PRODUKSI</v>
      </c>
    </row>
    <row r="27">
      <c r="A27" s="7">
        <f>IFERROR(__xludf.DUMMYFUNCTION("""COMPUTED_VALUE"""),46339.0)</f>
        <v>46339</v>
      </c>
      <c r="B27" s="5" t="str">
        <f>IFERROR(__xludf.DUMMYFUNCTION("""COMPUTED_VALUE"""),"SWITCHING")</f>
        <v>SWITCHING</v>
      </c>
      <c r="C27" s="5" t="str">
        <f>IFERROR(__xludf.DUMMYFUNCTION("""COMPUTED_VALUE"""),"WITHDRAWAL DI ALTO AFMT BARATAN JEMBE")</f>
        <v>WITHDRAWAL DI ALTO AFMT BARATAN JEMBE</v>
      </c>
      <c r="D27" s="5">
        <f>IFERROR(__xludf.DUMMYFUNCTION("""COMPUTED_VALUE"""),100000.0)</f>
        <v>100000</v>
      </c>
      <c r="E27" s="5"/>
      <c r="F27" s="5"/>
      <c r="G27" s="5">
        <f>IFERROR(__xludf.DUMMYFUNCTION("""COMPUTED_VALUE"""),3.3956511519000006E8)</f>
        <v>339565115.2</v>
      </c>
      <c r="H27" s="5"/>
      <c r="I27" s="5" t="str">
        <f>IFERROR(__xludf.DUMMYFUNCTION("""COMPUTED_VALUE"""),"PRODUKSI")</f>
        <v>PRODUKSI</v>
      </c>
    </row>
    <row r="28">
      <c r="A28" s="7">
        <f>IFERROR(__xludf.DUMMYFUNCTION("""COMPUTED_VALUE"""),46339.0)</f>
        <v>46339</v>
      </c>
      <c r="B28" s="5" t="str">
        <f>IFERROR(__xludf.DUMMYFUNCTION("""COMPUTED_VALUE"""),"SWITCHING")</f>
        <v>SWITCHING</v>
      </c>
      <c r="C28" s="5" t="str">
        <f>IFERROR(__xludf.DUMMYFUNCTION("""COMPUTED_VALUE"""),"BIAYA TXN  DI ALTO AFMT BARATAN JEMBE")</f>
        <v>BIAYA TXN  DI ALTO AFMT BARATAN JEMBE</v>
      </c>
      <c r="D28" s="5">
        <f>IFERROR(__xludf.DUMMYFUNCTION("""COMPUTED_VALUE"""),7500.0)</f>
        <v>7500</v>
      </c>
      <c r="E28" s="5"/>
      <c r="F28" s="5"/>
      <c r="G28" s="5">
        <f>IFERROR(__xludf.DUMMYFUNCTION("""COMPUTED_VALUE"""),3.3955761519000006E8)</f>
        <v>339557615.2</v>
      </c>
      <c r="H28" s="5">
        <f>IFERROR(__xludf.DUMMYFUNCTION("""COMPUTED_VALUE"""),3.3955761519E8)</f>
        <v>339557615.2</v>
      </c>
      <c r="I28" s="5" t="str">
        <f>IFERROR(__xludf.DUMMYFUNCTION("""COMPUTED_VALUE"""),"PRODUKSI")</f>
        <v>PRODUKSI</v>
      </c>
    </row>
    <row r="29">
      <c r="A29" s="7">
        <f>IFERROR(__xludf.DUMMYFUNCTION("""COMPUTED_VALUE"""),46340.0)</f>
        <v>46340</v>
      </c>
      <c r="B29" s="5" t="str">
        <f>IFERROR(__xludf.DUMMYFUNCTION("""COMPUTED_VALUE"""),"TRSF E-BANKING DB TANGGAL :13/11")</f>
        <v>TRSF E-BANKING DB TANGGAL :13/11</v>
      </c>
      <c r="C29" s="5" t="str">
        <f>IFERROR(__xludf.DUMMYFUNCTION("""COMPUTED_VALUE"""),"1311/FTSCY/WS95031 FAJAR ANDREANZAH")</f>
        <v>1311/FTSCY/WS95031 FAJAR ANDREANZAH</v>
      </c>
      <c r="D29" s="5">
        <f>IFERROR(__xludf.DUMMYFUNCTION("""COMPUTED_VALUE"""),5518750.0)</f>
        <v>5518750</v>
      </c>
      <c r="E29" s="5"/>
      <c r="F29" s="5" t="str">
        <f>IFERROR(__xludf.DUMMYFUNCTION("""COMPUTED_VALUE"""),"DB")</f>
        <v>DB</v>
      </c>
      <c r="G29" s="5">
        <f>IFERROR(__xludf.DUMMYFUNCTION("""COMPUTED_VALUE"""),3.3263886519000006E8)</f>
        <v>332638865.2</v>
      </c>
      <c r="H29" s="5"/>
      <c r="I29" s="5" t="str">
        <f>IFERROR(__xludf.DUMMYFUNCTION("""COMPUTED_VALUE"""),"PRODUKSI")</f>
        <v>PRODUKSI</v>
      </c>
    </row>
    <row r="30">
      <c r="A30" s="7">
        <f>IFERROR(__xludf.DUMMYFUNCTION("""COMPUTED_VALUE"""),46340.0)</f>
        <v>46340</v>
      </c>
      <c r="B30" s="5" t="str">
        <f>IFERROR(__xludf.DUMMYFUNCTION("""COMPUTED_VALUE"""),"TRSF E-BANKING DB TANGGAL :13/11")</f>
        <v>TRSF E-BANKING DB TANGGAL :13/11</v>
      </c>
      <c r="C30" s="5" t="str">
        <f>IFERROR(__xludf.DUMMYFUNCTION("""COMPUTED_VALUE"""),"1311/FTSCY/WS95031 MUJIANTO")</f>
        <v>1311/FTSCY/WS95031 MUJIANTO</v>
      </c>
      <c r="D30" s="5">
        <f>IFERROR(__xludf.DUMMYFUNCTION("""COMPUTED_VALUE"""),6385710.0)</f>
        <v>6385710</v>
      </c>
      <c r="E30" s="5"/>
      <c r="F30" s="5" t="str">
        <f>IFERROR(__xludf.DUMMYFUNCTION("""COMPUTED_VALUE"""),"DB")</f>
        <v>DB</v>
      </c>
      <c r="G30" s="5">
        <f>IFERROR(__xludf.DUMMYFUNCTION("""COMPUTED_VALUE"""),3.2625315519000006E8)</f>
        <v>326253155.2</v>
      </c>
      <c r="H30" s="5"/>
      <c r="I30" s="5" t="str">
        <f>IFERROR(__xludf.DUMMYFUNCTION("""COMPUTED_VALUE"""),"PRODUKSI")</f>
        <v>PRODUKSI</v>
      </c>
    </row>
    <row r="31">
      <c r="A31" s="7">
        <f>IFERROR(__xludf.DUMMYFUNCTION("""COMPUTED_VALUE"""),46340.0)</f>
        <v>46340</v>
      </c>
      <c r="B31" s="5" t="str">
        <f>IFERROR(__xludf.DUMMYFUNCTION("""COMPUTED_VALUE"""),"TRSF E-BANKING DB TANGGAL :13/11")</f>
        <v>TRSF E-BANKING DB TANGGAL :13/11</v>
      </c>
      <c r="C31" s="5" t="str">
        <f>IFERROR(__xludf.DUMMYFUNCTION("""COMPUTED_VALUE"""),"1311/FTSCY/WS95031 EKO SETIYAWAN")</f>
        <v>1311/FTSCY/WS95031 EKO SETIYAWAN</v>
      </c>
      <c r="D31" s="5">
        <f>IFERROR(__xludf.DUMMYFUNCTION("""COMPUTED_VALUE"""),6406706.0)</f>
        <v>6406706</v>
      </c>
      <c r="E31" s="5"/>
      <c r="F31" s="5" t="str">
        <f>IFERROR(__xludf.DUMMYFUNCTION("""COMPUTED_VALUE"""),"DB")</f>
        <v>DB</v>
      </c>
      <c r="G31" s="5">
        <f>IFERROR(__xludf.DUMMYFUNCTION("""COMPUTED_VALUE"""),3.1984644919000006E8)</f>
        <v>319846449.2</v>
      </c>
      <c r="H31" s="5"/>
      <c r="I31" s="5" t="str">
        <f>IFERROR(__xludf.DUMMYFUNCTION("""COMPUTED_VALUE"""),"PRODUKSI")</f>
        <v>PRODUKSI</v>
      </c>
    </row>
    <row r="32">
      <c r="A32" s="7">
        <f>IFERROR(__xludf.DUMMYFUNCTION("""COMPUTED_VALUE"""),46340.0)</f>
        <v>46340</v>
      </c>
      <c r="B32" s="5" t="str">
        <f>IFERROR(__xludf.DUMMYFUNCTION("""COMPUTED_VALUE"""),"TRSF E-BANKING DB TANGGAL :13/11")</f>
        <v>TRSF E-BANKING DB TANGGAL :13/11</v>
      </c>
      <c r="C32" s="5" t="str">
        <f>IFERROR(__xludf.DUMMYFUNCTION("""COMPUTED_VALUE"""),"1311/FTSCY/WS95011 Pelunasan BROILER MAKMUR TAN")</f>
        <v>1311/FTSCY/WS95011 Pelunasan BROILER MAKMUR TAN</v>
      </c>
      <c r="D32" s="5">
        <f>IFERROR(__xludf.DUMMYFUNCTION("""COMPUTED_VALUE"""),1.33672E8)</f>
        <v>133672000</v>
      </c>
      <c r="E32" s="5"/>
      <c r="F32" s="5" t="str">
        <f>IFERROR(__xludf.DUMMYFUNCTION("""COMPUTED_VALUE"""),"DB")</f>
        <v>DB</v>
      </c>
      <c r="G32" s="5">
        <f>IFERROR(__xludf.DUMMYFUNCTION("""COMPUTED_VALUE"""),1.8617444919000006E8)</f>
        <v>186174449.2</v>
      </c>
      <c r="H32" s="5"/>
      <c r="I32" s="5" t="str">
        <f>IFERROR(__xludf.DUMMYFUNCTION("""COMPUTED_VALUE"""),"PRODUKSI")</f>
        <v>PRODUKSI</v>
      </c>
    </row>
    <row r="33">
      <c r="A33" s="7">
        <f>IFERROR(__xludf.DUMMYFUNCTION("""COMPUTED_VALUE"""),46340.0)</f>
        <v>46340</v>
      </c>
      <c r="B33" s="5" t="str">
        <f>IFERROR(__xludf.DUMMYFUNCTION("""COMPUTED_VALUE"""),"TRSF E-BANKING DB TANGGAL :13/11")</f>
        <v>TRSF E-BANKING DB TANGGAL :13/11</v>
      </c>
      <c r="C33" s="5" t="str">
        <f>IFERROR(__xludf.DUMMYFUNCTION("""COMPUTED_VALUE"""),"1311/FTSCY/WS95011 Thu Nov 12 2026 15:00:00 GMT+0700 (Western Indonesia Time) INTEGRASI TEKNOLOG")</f>
        <v>1311/FTSCY/WS95011 Thu Nov 12 2026 15:00:00 GMT+0700 (Western Indonesia Time) INTEGRASI TEKNOLOG</v>
      </c>
      <c r="D33" s="5">
        <f>IFERROR(__xludf.DUMMYFUNCTION("""COMPUTED_VALUE"""),7.15321E7)</f>
        <v>71532100</v>
      </c>
      <c r="E33" s="5"/>
      <c r="F33" s="5" t="str">
        <f>IFERROR(__xludf.DUMMYFUNCTION("""COMPUTED_VALUE"""),"DB")</f>
        <v>DB</v>
      </c>
      <c r="G33" s="5">
        <f>IFERROR(__xludf.DUMMYFUNCTION("""COMPUTED_VALUE"""),1.1464234919000006E8)</f>
        <v>114642349.2</v>
      </c>
      <c r="H33" s="5"/>
      <c r="I33" s="5" t="str">
        <f>IFERROR(__xludf.DUMMYFUNCTION("""COMPUTED_VALUE"""),"PRODUKSI")</f>
        <v>PRODUKSI</v>
      </c>
    </row>
    <row r="34">
      <c r="A34" s="7">
        <f>IFERROR(__xludf.DUMMYFUNCTION("""COMPUTED_VALUE"""),46340.0)</f>
        <v>46340</v>
      </c>
      <c r="B34" s="5" t="str">
        <f>IFERROR(__xludf.DUMMYFUNCTION("""COMPUTED_VALUE"""),"TRSF E-BANKING DB TANGGAL :13/11")</f>
        <v>TRSF E-BANKING DB TANGGAL :13/11</v>
      </c>
      <c r="C34" s="5" t="str">
        <f>IFERROR(__xludf.DUMMYFUNCTION("""COMPUTED_VALUE"""),"1311/FTSCY/WS95011 Thu Nov 12 2026 15:00:00 GMT+0700 (Western Indonesia Time) RUKUN MITRA BERSAM")</f>
        <v>1311/FTSCY/WS95011 Thu Nov 12 2026 15:00:00 GMT+0700 (Western Indonesia Time) RUKUN MITRA BERSAM</v>
      </c>
      <c r="D34" s="5">
        <f>IFERROR(__xludf.DUMMYFUNCTION("""COMPUTED_VALUE"""),1.11E8)</f>
        <v>111000000</v>
      </c>
      <c r="E34" s="5"/>
      <c r="F34" s="5" t="str">
        <f>IFERROR(__xludf.DUMMYFUNCTION("""COMPUTED_VALUE"""),"DB")</f>
        <v>DB</v>
      </c>
      <c r="G34" s="5">
        <f>IFERROR(__xludf.DUMMYFUNCTION("""COMPUTED_VALUE"""),3642349.190000057)</f>
        <v>3642349.19</v>
      </c>
      <c r="H34" s="5"/>
      <c r="I34" s="5" t="str">
        <f>IFERROR(__xludf.DUMMYFUNCTION("""COMPUTED_VALUE"""),"PRODUKSI")</f>
        <v>PRODUKSI</v>
      </c>
    </row>
    <row r="35">
      <c r="A35" s="7">
        <f>IFERROR(__xludf.DUMMYFUNCTION("""COMPUTED_VALUE"""),46340.0)</f>
        <v>46340</v>
      </c>
      <c r="B35" s="5" t="str">
        <f>IFERROR(__xludf.DUMMYFUNCTION("""COMPUTED_VALUE"""),"TARIKAN ATM 14/11")</f>
        <v>TARIKAN ATM 14/11</v>
      </c>
      <c r="C35" s="5" t="str">
        <f>IFERROR(__xludf.DUMMYFUNCTION("""COMPUTED_VALUE"""),"TARIKAN ATM 14/11")</f>
        <v>TARIKAN ATM 14/11</v>
      </c>
      <c r="D35" s="5">
        <f>IFERROR(__xludf.DUMMYFUNCTION("""COMPUTED_VALUE"""),500000.0)</f>
        <v>500000</v>
      </c>
      <c r="E35" s="5"/>
      <c r="F35" s="5"/>
      <c r="G35" s="5">
        <f>IFERROR(__xludf.DUMMYFUNCTION("""COMPUTED_VALUE"""),1.2076844519000006E8)</f>
        <v>120768445.2</v>
      </c>
      <c r="H35" s="5"/>
      <c r="I35" s="5" t="str">
        <f>IFERROR(__xludf.DUMMYFUNCTION("""COMPUTED_VALUE"""),"PRODUKSI")</f>
        <v>PRODUKSI</v>
      </c>
    </row>
    <row r="36">
      <c r="A36" s="7">
        <f>IFERROR(__xludf.DUMMYFUNCTION("""COMPUTED_VALUE"""),46340.0)</f>
        <v>46340</v>
      </c>
      <c r="B36" s="5" t="str">
        <f>IFERROR(__xludf.DUMMYFUNCTION("""COMPUTED_VALUE"""),"TRSF E-BANKING DB")</f>
        <v>TRSF E-BANKING DB</v>
      </c>
      <c r="C36" s="5" t="str">
        <f>IFERROR(__xludf.DUMMYFUNCTION("""COMPUTED_VALUE"""),"1411/FTSCY/WS95031 10000000.00 EKO SETIYAWAN")</f>
        <v>1411/FTSCY/WS95031 10000000.00 EKO SETIYAWAN</v>
      </c>
      <c r="D36" s="5">
        <f>IFERROR(__xludf.DUMMYFUNCTION("""COMPUTED_VALUE"""),1.0E7)</f>
        <v>10000000</v>
      </c>
      <c r="E36" s="5"/>
      <c r="F36" s="5" t="str">
        <f>IFERROR(__xludf.DUMMYFUNCTION("""COMPUTED_VALUE"""),"DB")</f>
        <v>DB</v>
      </c>
      <c r="G36" s="5">
        <f>IFERROR(__xludf.DUMMYFUNCTION("""COMPUTED_VALUE"""),4.6794999519000006E8)</f>
        <v>467949995.2</v>
      </c>
      <c r="H36" s="5"/>
      <c r="I36" s="5" t="str">
        <f>IFERROR(__xludf.DUMMYFUNCTION("""COMPUTED_VALUE"""),"PRODUKSI")</f>
        <v>PRODUKSI</v>
      </c>
    </row>
    <row r="37">
      <c r="A37" s="7">
        <f>IFERROR(__xludf.DUMMYFUNCTION("""COMPUTED_VALUE"""),46340.0)</f>
        <v>46340</v>
      </c>
      <c r="B37" s="5" t="str">
        <f>IFERROR(__xludf.DUMMYFUNCTION("""COMPUTED_VALUE"""),"TARIKAN ATM 14/11")</f>
        <v>TARIKAN ATM 14/11</v>
      </c>
      <c r="C37" s="5" t="str">
        <f>IFERROR(__xludf.DUMMYFUNCTION("""COMPUTED_VALUE"""),"TARIKAN ATM 14/11")</f>
        <v>TARIKAN ATM 14/11</v>
      </c>
      <c r="D37" s="5">
        <f>IFERROR(__xludf.DUMMYFUNCTION("""COMPUTED_VALUE"""),100000.0)</f>
        <v>100000</v>
      </c>
      <c r="E37" s="5"/>
      <c r="F37" s="5"/>
      <c r="G37" s="5">
        <f>IFERROR(__xludf.DUMMYFUNCTION("""COMPUTED_VALUE"""),4.6784999519000006E8)</f>
        <v>467849995.2</v>
      </c>
      <c r="H37" s="5"/>
      <c r="I37" s="5" t="str">
        <f>IFERROR(__xludf.DUMMYFUNCTION("""COMPUTED_VALUE"""),"PRODUKSI")</f>
        <v>PRODUKSI</v>
      </c>
    </row>
    <row r="38">
      <c r="A38" s="7">
        <f>IFERROR(__xludf.DUMMYFUNCTION("""COMPUTED_VALUE"""),46340.0)</f>
        <v>46340</v>
      </c>
      <c r="B38" s="5" t="str">
        <f>IFERROR(__xludf.DUMMYFUNCTION("""COMPUTED_VALUE"""),"TRSF E-BANKING DB")</f>
        <v>TRSF E-BANKING DB</v>
      </c>
      <c r="C38" s="5" t="str">
        <f>IFERROR(__xludf.DUMMYFUNCTION("""COMPUTED_VALUE"""),"1411/FTSCY/WS95031 5795500.00 EKO SETIYAWAN")</f>
        <v>1411/FTSCY/WS95031 5795500.00 EKO SETIYAWAN</v>
      </c>
      <c r="D38" s="5">
        <f>IFERROR(__xludf.DUMMYFUNCTION("""COMPUTED_VALUE"""),5795500.0)</f>
        <v>5795500</v>
      </c>
      <c r="E38" s="5"/>
      <c r="F38" s="5" t="str">
        <f>IFERROR(__xludf.DUMMYFUNCTION("""COMPUTED_VALUE"""),"DB")</f>
        <v>DB</v>
      </c>
      <c r="G38" s="5">
        <f>IFERROR(__xludf.DUMMYFUNCTION("""COMPUTED_VALUE"""),4.6205449519000006E8)</f>
        <v>462054495.2</v>
      </c>
      <c r="H38" s="5"/>
      <c r="I38" s="5" t="str">
        <f>IFERROR(__xludf.DUMMYFUNCTION("""COMPUTED_VALUE"""),"PRODUKSI")</f>
        <v>PRODUKSI</v>
      </c>
    </row>
    <row r="39">
      <c r="A39" s="7">
        <f>IFERROR(__xludf.DUMMYFUNCTION("""COMPUTED_VALUE"""),46340.0)</f>
        <v>46340</v>
      </c>
      <c r="B39" s="5" t="str">
        <f>IFERROR(__xludf.DUMMYFUNCTION("""COMPUTED_VALUE"""),"TRSF E-BANKING DB")</f>
        <v>TRSF E-BANKING DB</v>
      </c>
      <c r="C39" s="5" t="str">
        <f>IFERROR(__xludf.DUMMYFUNCTION("""COMPUTED_VALUE"""),"1411/FTSCY/WS95271 52063800.00 Thu Nov 12 2026 15:00:00 GMT+0700 (Western Indonesia Time) LAJU SATWA WISESA")</f>
        <v>1411/FTSCY/WS95271 52063800.00 Thu Nov 12 2026 15:00:00 GMT+0700 (Western Indonesia Time) LAJU SATWA WISESA</v>
      </c>
      <c r="D39" s="5">
        <f>IFERROR(__xludf.DUMMYFUNCTION("""COMPUTED_VALUE"""),5.20638E7)</f>
        <v>52063800</v>
      </c>
      <c r="E39" s="5"/>
      <c r="F39" s="5" t="str">
        <f>IFERROR(__xludf.DUMMYFUNCTION("""COMPUTED_VALUE"""),"DB")</f>
        <v>DB</v>
      </c>
      <c r="G39" s="5">
        <f>IFERROR(__xludf.DUMMYFUNCTION("""COMPUTED_VALUE"""),4.0999069519000006E8)</f>
        <v>409990695.2</v>
      </c>
      <c r="H39" s="5"/>
      <c r="I39" s="5" t="str">
        <f>IFERROR(__xludf.DUMMYFUNCTION("""COMPUTED_VALUE"""),"PRODUKSI")</f>
        <v>PRODUKSI</v>
      </c>
    </row>
    <row r="40">
      <c r="A40" s="7">
        <f>IFERROR(__xludf.DUMMYFUNCTION("""COMPUTED_VALUE"""),46340.0)</f>
        <v>46340</v>
      </c>
      <c r="B40" s="5" t="str">
        <f>IFERROR(__xludf.DUMMYFUNCTION("""COMPUTED_VALUE"""),"TRSF E-BANKING DB")</f>
        <v>TRSF E-BANKING DB</v>
      </c>
      <c r="C40" s="5" t="str">
        <f>IFERROR(__xludf.DUMMYFUNCTION("""COMPUTED_VALUE"""),"1411/FTSCY/WS95271 54131400.00 Fri Nov 13 2026 15:00:00 GMT+0700 (Western Indonesia Time) BINTANG TAMA SANTO")</f>
        <v>1411/FTSCY/WS95271 54131400.00 Fri Nov 13 2026 15:00:00 GMT+0700 (Western Indonesia Time) BINTANG TAMA SANTO</v>
      </c>
      <c r="D40" s="5">
        <f>IFERROR(__xludf.DUMMYFUNCTION("""COMPUTED_VALUE"""),5.41314E7)</f>
        <v>54131400</v>
      </c>
      <c r="E40" s="5"/>
      <c r="F40" s="5" t="str">
        <f>IFERROR(__xludf.DUMMYFUNCTION("""COMPUTED_VALUE"""),"DB")</f>
        <v>DB</v>
      </c>
      <c r="G40" s="5">
        <f>IFERROR(__xludf.DUMMYFUNCTION("""COMPUTED_VALUE"""),3.5585929519000006E8)</f>
        <v>355859295.2</v>
      </c>
      <c r="H40" s="5"/>
      <c r="I40" s="5" t="str">
        <f>IFERROR(__xludf.DUMMYFUNCTION("""COMPUTED_VALUE"""),"PRODUKSI")</f>
        <v>PRODUKSI</v>
      </c>
    </row>
    <row r="41">
      <c r="A41" s="7">
        <f>IFERROR(__xludf.DUMMYFUNCTION("""COMPUTED_VALUE"""),46340.0)</f>
        <v>46340</v>
      </c>
      <c r="B41" s="5" t="str">
        <f>IFERROR(__xludf.DUMMYFUNCTION("""COMPUTED_VALUE"""),"TRSF E-BANKING DB")</f>
        <v>TRSF E-BANKING DB</v>
      </c>
      <c r="C41" s="5" t="str">
        <f>IFERROR(__xludf.DUMMYFUNCTION("""COMPUTED_VALUE"""),"1411/FTSCY/WS95271 52844400.00 Thu Nov 12 2026 15:00:00 GMT+0700 (Western Indonesia Time) TABASSAM AZ ZUFAR")</f>
        <v>1411/FTSCY/WS95271 52844400.00 Thu Nov 12 2026 15:00:00 GMT+0700 (Western Indonesia Time) TABASSAM AZ ZUFAR</v>
      </c>
      <c r="D41" s="5">
        <f>IFERROR(__xludf.DUMMYFUNCTION("""COMPUTED_VALUE"""),5.28444E7)</f>
        <v>52844400</v>
      </c>
      <c r="E41" s="5"/>
      <c r="F41" s="5" t="str">
        <f>IFERROR(__xludf.DUMMYFUNCTION("""COMPUTED_VALUE"""),"DB")</f>
        <v>DB</v>
      </c>
      <c r="G41" s="5">
        <f>IFERROR(__xludf.DUMMYFUNCTION("""COMPUTED_VALUE"""),3.2901489519000006E8)</f>
        <v>329014895.2</v>
      </c>
      <c r="H41" s="5"/>
      <c r="I41" s="5" t="str">
        <f>IFERROR(__xludf.DUMMYFUNCTION("""COMPUTED_VALUE"""),"PRODUKSI")</f>
        <v>PRODUKSI</v>
      </c>
    </row>
    <row r="42">
      <c r="A42" s="7">
        <f>IFERROR(__xludf.DUMMYFUNCTION("""COMPUTED_VALUE"""),46340.0)</f>
        <v>46340</v>
      </c>
      <c r="B42" s="5" t="str">
        <f>IFERROR(__xludf.DUMMYFUNCTION("""COMPUTED_VALUE"""),"TRSF E-BANKING DB")</f>
        <v>TRSF E-BANKING DB</v>
      </c>
      <c r="C42" s="5" t="str">
        <f>IFERROR(__xludf.DUMMYFUNCTION("""COMPUTED_VALUE"""),"1411/FTSCY/WS95271 59699500.00 Thu Nov 12 2026 15:00:00 GMT+0700 (Western Indonesia Time) ANUGERAH KARTIKA A")</f>
        <v>1411/FTSCY/WS95271 59699500.00 Thu Nov 12 2026 15:00:00 GMT+0700 (Western Indonesia Time) ANUGERAH KARTIKA A</v>
      </c>
      <c r="D42" s="5">
        <f>IFERROR(__xludf.DUMMYFUNCTION("""COMPUTED_VALUE"""),5.96995E7)</f>
        <v>59699500</v>
      </c>
      <c r="E42" s="5"/>
      <c r="F42" s="5" t="str">
        <f>IFERROR(__xludf.DUMMYFUNCTION("""COMPUTED_VALUE"""),"DB")</f>
        <v>DB</v>
      </c>
      <c r="G42" s="5">
        <f>IFERROR(__xludf.DUMMYFUNCTION("""COMPUTED_VALUE"""),2.6931539519000006E8)</f>
        <v>269315395.2</v>
      </c>
      <c r="H42" s="5"/>
      <c r="I42" s="5" t="str">
        <f>IFERROR(__xludf.DUMMYFUNCTION("""COMPUTED_VALUE"""),"PRODUKSI")</f>
        <v>PRODUKSI</v>
      </c>
    </row>
    <row r="43">
      <c r="A43" s="7">
        <f>IFERROR(__xludf.DUMMYFUNCTION("""COMPUTED_VALUE"""),46340.0)</f>
        <v>46340</v>
      </c>
      <c r="B43" s="5" t="str">
        <f>IFERROR(__xludf.DUMMYFUNCTION("""COMPUTED_VALUE"""),"TRSF E-BANKING DB")</f>
        <v>TRSF E-BANKING DB</v>
      </c>
      <c r="C43" s="5" t="str">
        <f>IFERROR(__xludf.DUMMYFUNCTION("""COMPUTED_VALUE"""),"1411/FTSCY/WS95271 63369000.00 Sat Nov 14 2026 15:00:00 GMT+0700 (Western Indonesia Time) LAWU ABADI NUSA PT")</f>
        <v>1411/FTSCY/WS95271 63369000.00 Sat Nov 14 2026 15:00:00 GMT+0700 (Western Indonesia Time) LAWU ABADI NUSA PT</v>
      </c>
      <c r="D43" s="5">
        <f>IFERROR(__xludf.DUMMYFUNCTION("""COMPUTED_VALUE"""),6.3369E7)</f>
        <v>63369000</v>
      </c>
      <c r="E43" s="5"/>
      <c r="F43" s="5" t="str">
        <f>IFERROR(__xludf.DUMMYFUNCTION("""COMPUTED_VALUE"""),"DB")</f>
        <v>DB</v>
      </c>
      <c r="G43" s="5">
        <f>IFERROR(__xludf.DUMMYFUNCTION("""COMPUTED_VALUE"""),2.0594639519000006E8)</f>
        <v>205946395.2</v>
      </c>
      <c r="H43" s="5">
        <f>IFERROR(__xludf.DUMMYFUNCTION("""COMPUTED_VALUE"""),2.0594639519E8)</f>
        <v>205946395.2</v>
      </c>
      <c r="I43" s="5" t="str">
        <f>IFERROR(__xludf.DUMMYFUNCTION("""COMPUTED_VALUE"""),"PRODUKSI")</f>
        <v>PRODUKSI</v>
      </c>
    </row>
    <row r="44">
      <c r="A44" s="7">
        <f>IFERROR(__xludf.DUMMYFUNCTION("""COMPUTED_VALUE"""),46340.0)</f>
        <v>46340</v>
      </c>
      <c r="B44" s="5" t="str">
        <f>IFERROR(__xludf.DUMMYFUNCTION("""COMPUTED_VALUE"""),"TRSF E-BANKING DB")</f>
        <v>TRSF E-BANKING DB</v>
      </c>
      <c r="C44" s="5" t="str">
        <f>IFERROR(__xludf.DUMMYFUNCTION("""COMPUTED_VALUE"""),"1411/FTSCY/WS95031 41822950.00 Thu Nov 12 2026 15:00:00 GMT+0700 (Western Indonesia Time) ANUGERAH KARTIKA A")</f>
        <v>1411/FTSCY/WS95031 41822950.00 Thu Nov 12 2026 15:00:00 GMT+0700 (Western Indonesia Time) ANUGERAH KARTIKA A</v>
      </c>
      <c r="D44" s="5">
        <f>IFERROR(__xludf.DUMMYFUNCTION("""COMPUTED_VALUE"""),4.182295E7)</f>
        <v>41822950</v>
      </c>
      <c r="E44" s="5"/>
      <c r="F44" s="5" t="str">
        <f>IFERROR(__xludf.DUMMYFUNCTION("""COMPUTED_VALUE"""),"DB")</f>
        <v>DB</v>
      </c>
      <c r="G44" s="5">
        <f>IFERROR(__xludf.DUMMYFUNCTION("""COMPUTED_VALUE"""),1.6412344519000006E8)</f>
        <v>164123445.2</v>
      </c>
      <c r="H44" s="5">
        <f>IFERROR(__xludf.DUMMYFUNCTION("""COMPUTED_VALUE"""),1.6412344519E8)</f>
        <v>164123445.2</v>
      </c>
      <c r="I44" s="5" t="str">
        <f>IFERROR(__xludf.DUMMYFUNCTION("""COMPUTED_VALUE"""),"PRODUKSI")</f>
        <v>PRODUKSI</v>
      </c>
    </row>
    <row r="45">
      <c r="A45" s="7">
        <f>IFERROR(__xludf.DUMMYFUNCTION("""COMPUTED_VALUE"""),46341.0)</f>
        <v>46341</v>
      </c>
      <c r="B45" s="5" t="str">
        <f>IFERROR(__xludf.DUMMYFUNCTION("""COMPUTED_VALUE"""),"TRSF E-BANKING DB TANGGAL :14/11")</f>
        <v>TRSF E-BANKING DB TANGGAL :14/11</v>
      </c>
      <c r="C45" s="5" t="str">
        <f>IFERROR(__xludf.DUMMYFUNCTION("""COMPUTED_VALUE"""),"1411/FTSCY/WS95011 Thu Nov 12 2026 15:00:00 GMT+0700 (Western Indonesia Time) BROILER MAKMUR TAN")</f>
        <v>1411/FTSCY/WS95011 Thu Nov 12 2026 15:00:00 GMT+0700 (Western Indonesia Time) BROILER MAKMUR TAN</v>
      </c>
      <c r="D45" s="5">
        <f>IFERROR(__xludf.DUMMYFUNCTION("""COMPUTED_VALUE"""),5.71347E7)</f>
        <v>57134700</v>
      </c>
      <c r="E45" s="5"/>
      <c r="F45" s="5" t="str">
        <f>IFERROR(__xludf.DUMMYFUNCTION("""COMPUTED_VALUE"""),"DB")</f>
        <v>DB</v>
      </c>
      <c r="G45" s="5">
        <f>IFERROR(__xludf.DUMMYFUNCTION("""COMPUTED_VALUE"""),1.0698874519000006E8)</f>
        <v>106988745.2</v>
      </c>
      <c r="H45" s="5"/>
      <c r="I45" s="5" t="str">
        <f>IFERROR(__xludf.DUMMYFUNCTION("""COMPUTED_VALUE"""),"PRODUKSI")</f>
        <v>PRODUKSI</v>
      </c>
    </row>
    <row r="46">
      <c r="A46" s="7">
        <f>IFERROR(__xludf.DUMMYFUNCTION("""COMPUTED_VALUE"""),46341.0)</f>
        <v>46341</v>
      </c>
      <c r="B46" s="5" t="str">
        <f>IFERROR(__xludf.DUMMYFUNCTION("""COMPUTED_VALUE"""),"TRSF E-BANKING DB TANGGAL :14/11")</f>
        <v>TRSF E-BANKING DB TANGGAL :14/11</v>
      </c>
      <c r="C46" s="5" t="str">
        <f>IFERROR(__xludf.DUMMYFUNCTION("""COMPUTED_VALUE"""),"1411/FTSCY/WS95011 Thu Nov 12 2026 15:00:00 GMT+0700 (Western Indonesia Time) SUPER UNGGAS JAYA")</f>
        <v>1411/FTSCY/WS95011 Thu Nov 12 2026 15:00:00 GMT+0700 (Western Indonesia Time) SUPER UNGGAS JAYA</v>
      </c>
      <c r="D46" s="5">
        <f>IFERROR(__xludf.DUMMYFUNCTION("""COMPUTED_VALUE"""),1.068869E8)</f>
        <v>106886900</v>
      </c>
      <c r="E46" s="5"/>
      <c r="F46" s="5" t="str">
        <f>IFERROR(__xludf.DUMMYFUNCTION("""COMPUTED_VALUE"""),"DB")</f>
        <v>DB</v>
      </c>
      <c r="G46" s="5">
        <f>IFERROR(__xludf.DUMMYFUNCTION("""COMPUTED_VALUE"""),101845.19000005722)</f>
        <v>101845.19</v>
      </c>
      <c r="H46" s="5"/>
      <c r="I46" s="5" t="str">
        <f>IFERROR(__xludf.DUMMYFUNCTION("""COMPUTED_VALUE"""),"PRODUKSI")</f>
        <v>PRODUKSI</v>
      </c>
    </row>
    <row r="47">
      <c r="A47" s="7">
        <f>IFERROR(__xludf.DUMMYFUNCTION("""COMPUTED_VALUE"""),46341.0)</f>
        <v>46341</v>
      </c>
      <c r="B47" s="5" t="str">
        <f>IFERROR(__xludf.DUMMYFUNCTION("""COMPUTED_VALUE"""),"TRSF E-BANKING DB")</f>
        <v>TRSF E-BANKING DB</v>
      </c>
      <c r="C47" s="5" t="str">
        <f>IFERROR(__xludf.DUMMYFUNCTION("""COMPUTED_VALUE"""),"1511/FTSCY/WS95031 3000000.00 pelunasan SUPER UNGGAS JAYA")</f>
        <v>1511/FTSCY/WS95031 3000000.00 pelunasan SUPER UNGGAS JAYA</v>
      </c>
      <c r="D47" s="5">
        <f>IFERROR(__xludf.DUMMYFUNCTION("""COMPUTED_VALUE"""),3000000.0)</f>
        <v>3000000</v>
      </c>
      <c r="E47" s="5"/>
      <c r="F47" s="5" t="str">
        <f>IFERROR(__xludf.DUMMYFUNCTION("""COMPUTED_VALUE"""),"DB")</f>
        <v>DB</v>
      </c>
      <c r="G47" s="5">
        <f>IFERROR(__xludf.DUMMYFUNCTION("""COMPUTED_VALUE"""),7.210184519000006E7)</f>
        <v>72101845.19</v>
      </c>
      <c r="H47" s="5"/>
      <c r="I47" s="5" t="str">
        <f>IFERROR(__xludf.DUMMYFUNCTION("""COMPUTED_VALUE"""),"PRODUKSI")</f>
        <v>PRODUKSI</v>
      </c>
    </row>
    <row r="48">
      <c r="A48" s="7">
        <f>IFERROR(__xludf.DUMMYFUNCTION("""COMPUTED_VALUE"""),46341.0)</f>
        <v>46341</v>
      </c>
      <c r="B48" s="5" t="str">
        <f>IFERROR(__xludf.DUMMYFUNCTION("""COMPUTED_VALUE"""),"TRSF E-BANKING DB")</f>
        <v>TRSF E-BANKING DB</v>
      </c>
      <c r="C48" s="5" t="str">
        <f>IFERROR(__xludf.DUMMYFUNCTION("""COMPUTED_VALUE"""),"1511/FTSCY/WS95031 10000000.00 pelunasan SUPER UNGGAS JAYA")</f>
        <v>1511/FTSCY/WS95031 10000000.00 pelunasan SUPER UNGGAS JAYA</v>
      </c>
      <c r="D48" s="5">
        <f>IFERROR(__xludf.DUMMYFUNCTION("""COMPUTED_VALUE"""),1.0E7)</f>
        <v>10000000</v>
      </c>
      <c r="E48" s="5"/>
      <c r="F48" s="5" t="str">
        <f>IFERROR(__xludf.DUMMYFUNCTION("""COMPUTED_VALUE"""),"DB")</f>
        <v>DB</v>
      </c>
      <c r="G48" s="5">
        <f>IFERROR(__xludf.DUMMYFUNCTION("""COMPUTED_VALUE"""),6.210184519000006E7)</f>
        <v>62101845.19</v>
      </c>
      <c r="H48" s="5"/>
      <c r="I48" s="5" t="str">
        <f>IFERROR(__xludf.DUMMYFUNCTION("""COMPUTED_VALUE"""),"PRODUKSI")</f>
        <v>PRODUKSI</v>
      </c>
    </row>
    <row r="49">
      <c r="A49" s="7">
        <f>IFERROR(__xludf.DUMMYFUNCTION("""COMPUTED_VALUE"""),46341.0)</f>
        <v>46341</v>
      </c>
      <c r="B49" s="5" t="str">
        <f>IFERROR(__xludf.DUMMYFUNCTION("""COMPUTED_VALUE"""),"TRSF E-BANKING DB")</f>
        <v>TRSF E-BANKING DB</v>
      </c>
      <c r="C49" s="5" t="str">
        <f>IFERROR(__xludf.DUMMYFUNCTION("""COMPUTED_VALUE"""),"1511/FTSCY/WS95271 56270760.00 Fri Nov 13 2026 15:00:00 GMT+0700 (Western Indonesia Time) INTEGRASI TEKNOLOG")</f>
        <v>1511/FTSCY/WS95271 56270760.00 Fri Nov 13 2026 15:00:00 GMT+0700 (Western Indonesia Time) INTEGRASI TEKNOLOG</v>
      </c>
      <c r="D49" s="5">
        <f>IFERROR(__xludf.DUMMYFUNCTION("""COMPUTED_VALUE"""),5.627076E7)</f>
        <v>56270760</v>
      </c>
      <c r="E49" s="5"/>
      <c r="F49" s="5" t="str">
        <f>IFERROR(__xludf.DUMMYFUNCTION("""COMPUTED_VALUE"""),"DB")</f>
        <v>DB</v>
      </c>
      <c r="G49" s="5">
        <f>IFERROR(__xludf.DUMMYFUNCTION("""COMPUTED_VALUE"""),7.595653519000006E7)</f>
        <v>75956535.19</v>
      </c>
      <c r="H49" s="5"/>
      <c r="I49" s="5" t="str">
        <f>IFERROR(__xludf.DUMMYFUNCTION("""COMPUTED_VALUE"""),"PRODUKSI")</f>
        <v>PRODUKSI</v>
      </c>
    </row>
    <row r="50">
      <c r="A50" s="7">
        <f>IFERROR(__xludf.DUMMYFUNCTION("""COMPUTED_VALUE"""),46341.0)</f>
        <v>46341</v>
      </c>
      <c r="B50" s="5" t="str">
        <f>IFERROR(__xludf.DUMMYFUNCTION("""COMPUTED_VALUE"""),"TRSF E-BANKING DB")</f>
        <v>TRSF E-BANKING DB</v>
      </c>
      <c r="C50" s="5" t="str">
        <f>IFERROR(__xludf.DUMMYFUNCTION("""COMPUTED_VALUE"""),"1511/FTSCY/WS95031 3065300.00 SUNARTO")</f>
        <v>1511/FTSCY/WS95031 3065300.00 SUNARTO</v>
      </c>
      <c r="D50" s="5">
        <f>IFERROR(__xludf.DUMMYFUNCTION("""COMPUTED_VALUE"""),3065300.0)</f>
        <v>3065300</v>
      </c>
      <c r="E50" s="5"/>
      <c r="F50" s="5" t="str">
        <f>IFERROR(__xludf.DUMMYFUNCTION("""COMPUTED_VALUE"""),"DB")</f>
        <v>DB</v>
      </c>
      <c r="G50" s="5">
        <f>IFERROR(__xludf.DUMMYFUNCTION("""COMPUTED_VALUE"""),7.289123519000006E7)</f>
        <v>72891235.19</v>
      </c>
      <c r="H50" s="5"/>
      <c r="I50" s="5" t="str">
        <f>IFERROR(__xludf.DUMMYFUNCTION("""COMPUTED_VALUE"""),"PRODUKSI")</f>
        <v>PRODUKSI</v>
      </c>
    </row>
    <row r="51">
      <c r="A51" s="7">
        <f>IFERROR(__xludf.DUMMYFUNCTION("""COMPUTED_VALUE"""),46341.0)</f>
        <v>46341</v>
      </c>
      <c r="B51" s="5" t="str">
        <f>IFERROR(__xludf.DUMMYFUNCTION("""COMPUTED_VALUE"""),"BI-FAST DB")</f>
        <v>BI-FAST DB</v>
      </c>
      <c r="C51" s="5" t="str">
        <f>IFERROR(__xludf.DUMMYFUNCTION("""COMPUTED_VALUE"""),"BIF TRANSFER KE 2 DINA LUKMIANINGRUM MyBCA")</f>
        <v>BIF TRANSFER KE 2 DINA LUKMIANINGRUM MyBCA</v>
      </c>
      <c r="D51" s="5">
        <f>IFERROR(__xludf.DUMMYFUNCTION("""COMPUTED_VALUE"""),6.648828E7)</f>
        <v>66488280</v>
      </c>
      <c r="E51" s="5"/>
      <c r="F51" s="5" t="str">
        <f>IFERROR(__xludf.DUMMYFUNCTION("""COMPUTED_VALUE"""),"DB")</f>
        <v>DB</v>
      </c>
      <c r="G51" s="5">
        <f>IFERROR(__xludf.DUMMYFUNCTION("""COMPUTED_VALUE"""),6402955.190000057)</f>
        <v>6402955.19</v>
      </c>
      <c r="H51" s="5"/>
      <c r="I51" s="5" t="str">
        <f>IFERROR(__xludf.DUMMYFUNCTION("""COMPUTED_VALUE"""),"PRODUKSI")</f>
        <v>PRODUKSI</v>
      </c>
    </row>
    <row r="52">
      <c r="A52" s="7">
        <f>IFERROR(__xludf.DUMMYFUNCTION("""COMPUTED_VALUE"""),46341.0)</f>
        <v>46341</v>
      </c>
      <c r="B52" s="5" t="str">
        <f>IFERROR(__xludf.DUMMYFUNCTION("""COMPUTED_VALUE"""),"BI-FAST DB")</f>
        <v>BI-FAST DB</v>
      </c>
      <c r="C52" s="5" t="str">
        <f>IFERROR(__xludf.DUMMYFUNCTION("""COMPUTED_VALUE"""),"BIF BIAYA TXN KE 2 DINA LUKMIANINGRUM MyBCA")</f>
        <v>BIF BIAYA TXN KE 2 DINA LUKMIANINGRUM MyBCA</v>
      </c>
      <c r="D52" s="5">
        <f>IFERROR(__xludf.DUMMYFUNCTION("""COMPUTED_VALUE"""),2500.0)</f>
        <v>2500</v>
      </c>
      <c r="E52" s="5"/>
      <c r="F52" s="5" t="str">
        <f>IFERROR(__xludf.DUMMYFUNCTION("""COMPUTED_VALUE"""),"DB")</f>
        <v>DB</v>
      </c>
      <c r="G52" s="5">
        <f>IFERROR(__xludf.DUMMYFUNCTION("""COMPUTED_VALUE"""),6400455.190000057)</f>
        <v>6400455.19</v>
      </c>
      <c r="H52" s="5">
        <f>IFERROR(__xludf.DUMMYFUNCTION("""COMPUTED_VALUE"""),6400455.19)</f>
        <v>6400455.19</v>
      </c>
      <c r="I52" s="5" t="str">
        <f>IFERROR(__xludf.DUMMYFUNCTION("""COMPUTED_VALUE"""),"PRODUKSI")</f>
        <v>PRODUKSI</v>
      </c>
    </row>
    <row r="53">
      <c r="A53" s="7">
        <f>IFERROR(__xludf.DUMMYFUNCTION("""COMPUTED_VALUE"""),46341.0)</f>
        <v>46341</v>
      </c>
      <c r="B53" s="5" t="str">
        <f>IFERROR(__xludf.DUMMYFUNCTION("""COMPUTED_VALUE"""),"TRSF E-BANKING DB")</f>
        <v>TRSF E-BANKING DB</v>
      </c>
      <c r="C53" s="5" t="str">
        <f>IFERROR(__xludf.DUMMYFUNCTION("""COMPUTED_VALUE"""),"1511/FTSCY/WS95271 54817200.00 Fri Nov 13 2026 15:00:00 GMT+0700 (Western Indonesia Time) BINTANG TAMA SANTO")</f>
        <v>1511/FTSCY/WS95271 54817200.00 Fri Nov 13 2026 15:00:00 GMT+0700 (Western Indonesia Time) BINTANG TAMA SANTO</v>
      </c>
      <c r="D53" s="5">
        <f>IFERROR(__xludf.DUMMYFUNCTION("""COMPUTED_VALUE"""),5.48172E7)</f>
        <v>54817200</v>
      </c>
      <c r="E53" s="5"/>
      <c r="F53" s="5" t="str">
        <f>IFERROR(__xludf.DUMMYFUNCTION("""COMPUTED_VALUE"""),"DB")</f>
        <v>DB</v>
      </c>
      <c r="G53" s="5">
        <f>IFERROR(__xludf.DUMMYFUNCTION("""COMPUTED_VALUE"""),1.8684629519000006E8)</f>
        <v>186846295.2</v>
      </c>
      <c r="H53" s="5"/>
      <c r="I53" s="5" t="str">
        <f>IFERROR(__xludf.DUMMYFUNCTION("""COMPUTED_VALUE"""),"PRODUKSI")</f>
        <v>PRODUKSI</v>
      </c>
    </row>
    <row r="54">
      <c r="A54" s="7">
        <f>IFERROR(__xludf.DUMMYFUNCTION("""COMPUTED_VALUE"""),46341.0)</f>
        <v>46341</v>
      </c>
      <c r="B54" s="5" t="str">
        <f>IFERROR(__xludf.DUMMYFUNCTION("""COMPUTED_VALUE"""),"TRSF E-BANKING DB")</f>
        <v>TRSF E-BANKING DB</v>
      </c>
      <c r="C54" s="5" t="str">
        <f>IFERROR(__xludf.DUMMYFUNCTION("""COMPUTED_VALUE"""),"1511/FTSCY/WS95271 64429440.00 Sat Nov 14 2026 15:00:00 GMT+0700 (Western Indonesia Time) PITIK DIGITAL INDO")</f>
        <v>1511/FTSCY/WS95271 64429440.00 Sat Nov 14 2026 15:00:00 GMT+0700 (Western Indonesia Time) PITIK DIGITAL INDO</v>
      </c>
      <c r="D54" s="5">
        <f>IFERROR(__xludf.DUMMYFUNCTION("""COMPUTED_VALUE"""),6.442944E7)</f>
        <v>64429440</v>
      </c>
      <c r="E54" s="5"/>
      <c r="F54" s="5" t="str">
        <f>IFERROR(__xludf.DUMMYFUNCTION("""COMPUTED_VALUE"""),"DB")</f>
        <v>DB</v>
      </c>
      <c r="G54" s="5">
        <f>IFERROR(__xludf.DUMMYFUNCTION("""COMPUTED_VALUE"""),2.4779325519000006E8)</f>
        <v>247793255.2</v>
      </c>
      <c r="H54" s="5"/>
      <c r="I54" s="5" t="str">
        <f>IFERROR(__xludf.DUMMYFUNCTION("""COMPUTED_VALUE"""),"PRODUKSI")</f>
        <v>PRODUKSI</v>
      </c>
    </row>
    <row r="55">
      <c r="A55" s="7">
        <f>IFERROR(__xludf.DUMMYFUNCTION("""COMPUTED_VALUE"""),46341.0)</f>
        <v>46341</v>
      </c>
      <c r="B55" s="5" t="str">
        <f>IFERROR(__xludf.DUMMYFUNCTION("""COMPUTED_VALUE"""),"TRSF E-BANKING DB")</f>
        <v>TRSF E-BANKING DB</v>
      </c>
      <c r="C55" s="5" t="str">
        <f>IFERROR(__xludf.DUMMYFUNCTION("""COMPUTED_VALUE"""),"1511/FTSCY/WS95031 1500000.00 BELA PRAMUDITA")</f>
        <v>1511/FTSCY/WS95031 1500000.00 BELA PRAMUDITA</v>
      </c>
      <c r="D55" s="5">
        <f>IFERROR(__xludf.DUMMYFUNCTION("""COMPUTED_VALUE"""),1500000.0)</f>
        <v>1500000</v>
      </c>
      <c r="E55" s="5"/>
      <c r="F55" s="5" t="str">
        <f>IFERROR(__xludf.DUMMYFUNCTION("""COMPUTED_VALUE"""),"DB")</f>
        <v>DB</v>
      </c>
      <c r="G55" s="5">
        <f>IFERROR(__xludf.DUMMYFUNCTION("""COMPUTED_VALUE"""),6.0585193519E8)</f>
        <v>605851935.2</v>
      </c>
      <c r="H55" s="5"/>
      <c r="I55" s="5" t="str">
        <f>IFERROR(__xludf.DUMMYFUNCTION("""COMPUTED_VALUE"""),"PRODUKSI")</f>
        <v>PRODUKSI</v>
      </c>
    </row>
    <row r="56">
      <c r="A56" s="7">
        <f>IFERROR(__xludf.DUMMYFUNCTION("""COMPUTED_VALUE"""),46341.0)</f>
        <v>46341</v>
      </c>
      <c r="B56" s="5" t="str">
        <f>IFERROR(__xludf.DUMMYFUNCTION("""COMPUTED_VALUE"""),"TRSF E-BANKING DB")</f>
        <v>TRSF E-BANKING DB</v>
      </c>
      <c r="C56" s="5" t="str">
        <f>IFERROR(__xludf.DUMMYFUNCTION("""COMPUTED_VALUE"""),"1511/FTSCY/WS95011 144297000.00 Fri Nov 13 2026 15:00:00 GMT+0700 (Western Indonesia Time) SUPER UNGGAS JAYA")</f>
        <v>1511/FTSCY/WS95011 144297000.00 Fri Nov 13 2026 15:00:00 GMT+0700 (Western Indonesia Time) SUPER UNGGAS JAYA</v>
      </c>
      <c r="D56" s="5">
        <f>IFERROR(__xludf.DUMMYFUNCTION("""COMPUTED_VALUE"""),1.44297E8)</f>
        <v>144297000</v>
      </c>
      <c r="E56" s="5"/>
      <c r="F56" s="5" t="str">
        <f>IFERROR(__xludf.DUMMYFUNCTION("""COMPUTED_VALUE"""),"DB")</f>
        <v>DB</v>
      </c>
      <c r="G56" s="5">
        <f>IFERROR(__xludf.DUMMYFUNCTION("""COMPUTED_VALUE"""),5.2396993519000006E8)</f>
        <v>523969935.2</v>
      </c>
      <c r="H56" s="5"/>
      <c r="I56" s="5" t="str">
        <f>IFERROR(__xludf.DUMMYFUNCTION("""COMPUTED_VALUE"""),"PRODUKSI")</f>
        <v>PRODUKSI</v>
      </c>
    </row>
    <row r="57">
      <c r="A57" s="7">
        <f>IFERROR(__xludf.DUMMYFUNCTION("""COMPUTED_VALUE"""),46341.0)</f>
        <v>46341</v>
      </c>
      <c r="B57" s="5" t="str">
        <f>IFERROR(__xludf.DUMMYFUNCTION("""COMPUTED_VALUE"""),"TRSF E-BANKING DB")</f>
        <v>TRSF E-BANKING DB</v>
      </c>
      <c r="C57" s="5" t="str">
        <f>IFERROR(__xludf.DUMMYFUNCTION("""COMPUTED_VALUE"""),"1511/FTSCY/WS95011 53446500.00 Fri Nov 13 2026 15:00:00 GMT+0700 (Western Indonesia Time) ANUGERAH KARTIKA A")</f>
        <v>1511/FTSCY/WS95011 53446500.00 Fri Nov 13 2026 15:00:00 GMT+0700 (Western Indonesia Time) ANUGERAH KARTIKA A</v>
      </c>
      <c r="D57" s="5">
        <f>IFERROR(__xludf.DUMMYFUNCTION("""COMPUTED_VALUE"""),5.34465E7)</f>
        <v>53446500</v>
      </c>
      <c r="E57" s="5"/>
      <c r="F57" s="5" t="str">
        <f>IFERROR(__xludf.DUMMYFUNCTION("""COMPUTED_VALUE"""),"DB")</f>
        <v>DB</v>
      </c>
      <c r="G57" s="5">
        <f>IFERROR(__xludf.DUMMYFUNCTION("""COMPUTED_VALUE"""),4.7052343519000006E8)</f>
        <v>470523435.2</v>
      </c>
      <c r="H57" s="5"/>
      <c r="I57" s="5" t="str">
        <f>IFERROR(__xludf.DUMMYFUNCTION("""COMPUTED_VALUE"""),"PRODUKSI")</f>
        <v>PRODUKSI</v>
      </c>
    </row>
    <row r="58">
      <c r="A58" s="7">
        <f>IFERROR(__xludf.DUMMYFUNCTION("""COMPUTED_VALUE"""),46341.0)</f>
        <v>46341</v>
      </c>
      <c r="B58" s="5" t="str">
        <f>IFERROR(__xludf.DUMMYFUNCTION("""COMPUTED_VALUE"""),"TRSF E-BANKING DB")</f>
        <v>TRSF E-BANKING DB</v>
      </c>
      <c r="C58" s="5" t="str">
        <f>IFERROR(__xludf.DUMMYFUNCTION("""COMPUTED_VALUE"""),"1511/FTSCY/WS95011 158653100.00 Sat Nov 14 2026 15:00:00 GMT+0700 (Western Indonesia Time) BINTANG TAMA SANTO")</f>
        <v>1511/FTSCY/WS95011 158653100.00 Sat Nov 14 2026 15:00:00 GMT+0700 (Western Indonesia Time) BINTANG TAMA SANTO</v>
      </c>
      <c r="D58" s="5">
        <f>IFERROR(__xludf.DUMMYFUNCTION("""COMPUTED_VALUE"""),1.586531E8)</f>
        <v>158653100</v>
      </c>
      <c r="E58" s="5"/>
      <c r="F58" s="5" t="str">
        <f>IFERROR(__xludf.DUMMYFUNCTION("""COMPUTED_VALUE"""),"DB")</f>
        <v>DB</v>
      </c>
      <c r="G58" s="5">
        <f>IFERROR(__xludf.DUMMYFUNCTION("""COMPUTED_VALUE"""),3.1187033519000006E8)</f>
        <v>311870335.2</v>
      </c>
      <c r="H58" s="5">
        <f>IFERROR(__xludf.DUMMYFUNCTION("""COMPUTED_VALUE"""),3.1187033519E8)</f>
        <v>311870335.2</v>
      </c>
      <c r="I58" s="5" t="str">
        <f>IFERROR(__xludf.DUMMYFUNCTION("""COMPUTED_VALUE"""),"PRODUKSI")</f>
        <v>PRODUKSI</v>
      </c>
    </row>
    <row r="59">
      <c r="A59" s="7">
        <f>IFERROR(__xludf.DUMMYFUNCTION("""COMPUTED_VALUE"""),46341.0)</f>
        <v>46341</v>
      </c>
      <c r="B59" s="5" t="str">
        <f>IFERROR(__xludf.DUMMYFUNCTION("""COMPUTED_VALUE"""),"TRSF E-BANKING DB")</f>
        <v>TRSF E-BANKING DB</v>
      </c>
      <c r="C59" s="5" t="str">
        <f>IFERROR(__xludf.DUMMYFUNCTION("""COMPUTED_VALUE"""),"1511/FTSCY/WS95011 112283900.00 Sat Nov 14 2026 15:00:00 GMT+0700 (Western Indonesia Time) LAJU SATWA WISESA")</f>
        <v>1511/FTSCY/WS95011 112283900.00 Sat Nov 14 2026 15:00:00 GMT+0700 (Western Indonesia Time) LAJU SATWA WISESA</v>
      </c>
      <c r="D59" s="5">
        <f>IFERROR(__xludf.DUMMYFUNCTION("""COMPUTED_VALUE"""),1.122839E8)</f>
        <v>112283900</v>
      </c>
      <c r="E59" s="5"/>
      <c r="F59" s="5" t="str">
        <f>IFERROR(__xludf.DUMMYFUNCTION("""COMPUTED_VALUE"""),"DB")</f>
        <v>DB</v>
      </c>
      <c r="G59" s="5">
        <f>IFERROR(__xludf.DUMMYFUNCTION("""COMPUTED_VALUE"""),1.9958643519000006E8)</f>
        <v>199586435.2</v>
      </c>
      <c r="H59" s="5">
        <f>IFERROR(__xludf.DUMMYFUNCTION("""COMPUTED_VALUE"""),1.9958643519E8)</f>
        <v>199586435.2</v>
      </c>
      <c r="I59" s="5" t="str">
        <f>IFERROR(__xludf.DUMMYFUNCTION("""COMPUTED_VALUE"""),"PRODUKSI")</f>
        <v>PRODUKSI</v>
      </c>
    </row>
    <row r="60">
      <c r="A60" s="7">
        <f>IFERROR(__xludf.DUMMYFUNCTION("""COMPUTED_VALUE"""),46341.0)</f>
        <v>46341</v>
      </c>
      <c r="B60" s="5" t="str">
        <f>IFERROR(__xludf.DUMMYFUNCTION("""COMPUTED_VALUE"""),"TRSF E-BANKING DB")</f>
        <v>TRSF E-BANKING DB</v>
      </c>
      <c r="C60" s="5" t="str">
        <f>IFERROR(__xludf.DUMMYFUNCTION("""COMPUTED_VALUE"""),"1511/FTSCY/WS95011 19792520.00 Krg 80 jt EKO SETIYAWAN")</f>
        <v>1511/FTSCY/WS95011 19792520.00 Krg 80 jt EKO SETIYAWAN</v>
      </c>
      <c r="D60" s="5">
        <f>IFERROR(__xludf.DUMMYFUNCTION("""COMPUTED_VALUE"""),1.979252E7)</f>
        <v>19792520</v>
      </c>
      <c r="E60" s="5"/>
      <c r="F60" s="5" t="str">
        <f>IFERROR(__xludf.DUMMYFUNCTION("""COMPUTED_VALUE"""),"DB")</f>
        <v>DB</v>
      </c>
      <c r="G60" s="5">
        <f>IFERROR(__xludf.DUMMYFUNCTION("""COMPUTED_VALUE"""),1.7979391519000006E8)</f>
        <v>179793915.2</v>
      </c>
      <c r="H60" s="5"/>
      <c r="I60" s="5" t="str">
        <f>IFERROR(__xludf.DUMMYFUNCTION("""COMPUTED_VALUE"""),"PRODUKSI")</f>
        <v>PRODUKSI</v>
      </c>
    </row>
    <row r="61">
      <c r="A61" s="7">
        <f>IFERROR(__xludf.DUMMYFUNCTION("""COMPUTED_VALUE"""),46341.0)</f>
        <v>46341</v>
      </c>
      <c r="B61" s="5" t="str">
        <f>IFERROR(__xludf.DUMMYFUNCTION("""COMPUTED_VALUE"""),"TRSF E-BANKING DB")</f>
        <v>TRSF E-BANKING DB</v>
      </c>
      <c r="C61" s="5" t="str">
        <f>IFERROR(__xludf.DUMMYFUNCTION("""COMPUTED_VALUE"""),"1511/FTSCY/WS95271 52533250.00 Sat Nov 14 2026 15:00:00 GMT+0700 (Western Indonesia Time) INTEGRASI TEKNOLOG")</f>
        <v>1511/FTSCY/WS95271 52533250.00 Sat Nov 14 2026 15:00:00 GMT+0700 (Western Indonesia Time) INTEGRASI TEKNOLOG</v>
      </c>
      <c r="D61" s="5">
        <f>IFERROR(__xludf.DUMMYFUNCTION("""COMPUTED_VALUE"""),5.253325E7)</f>
        <v>52533250</v>
      </c>
      <c r="E61" s="5"/>
      <c r="F61" s="5" t="str">
        <f>IFERROR(__xludf.DUMMYFUNCTION("""COMPUTED_VALUE"""),"DB")</f>
        <v>DB</v>
      </c>
      <c r="G61" s="5">
        <f>IFERROR(__xludf.DUMMYFUNCTION("""COMPUTED_VALUE"""),1.2726066519000006E8)</f>
        <v>127260665.2</v>
      </c>
      <c r="H61" s="5"/>
      <c r="I61" s="5" t="str">
        <f>IFERROR(__xludf.DUMMYFUNCTION("""COMPUTED_VALUE"""),"PRODUKSI")</f>
        <v>PRODUKSI</v>
      </c>
    </row>
    <row r="62">
      <c r="A62" s="7">
        <f>IFERROR(__xludf.DUMMYFUNCTION("""COMPUTED_VALUE"""),46341.0)</f>
        <v>46341</v>
      </c>
      <c r="B62" s="5" t="str">
        <f>IFERROR(__xludf.DUMMYFUNCTION("""COMPUTED_VALUE"""),"TRSF E-BANKING DB")</f>
        <v>TRSF E-BANKING DB</v>
      </c>
      <c r="C62" s="5" t="str">
        <f>IFERROR(__xludf.DUMMYFUNCTION("""COMPUTED_VALUE"""),"1511/FTSCY/WS95031 50000000.00 SUGENG RIADI")</f>
        <v>1511/FTSCY/WS95031 50000000.00 SUGENG RIADI</v>
      </c>
      <c r="D62" s="5">
        <f>IFERROR(__xludf.DUMMYFUNCTION("""COMPUTED_VALUE"""),5.0E7)</f>
        <v>50000000</v>
      </c>
      <c r="E62" s="5"/>
      <c r="F62" s="5" t="str">
        <f>IFERROR(__xludf.DUMMYFUNCTION("""COMPUTED_VALUE"""),"DB")</f>
        <v>DB</v>
      </c>
      <c r="G62" s="5">
        <f>IFERROR(__xludf.DUMMYFUNCTION("""COMPUTED_VALUE"""),7.726066519000006E7)</f>
        <v>77260665.19</v>
      </c>
      <c r="H62" s="5"/>
      <c r="I62" s="5" t="str">
        <f>IFERROR(__xludf.DUMMYFUNCTION("""COMPUTED_VALUE"""),"PRODUKSI")</f>
        <v>PRODUKSI</v>
      </c>
    </row>
    <row r="63">
      <c r="A63" s="7">
        <f>IFERROR(__xludf.DUMMYFUNCTION("""COMPUTED_VALUE"""),46341.0)</f>
        <v>46341</v>
      </c>
      <c r="B63" s="5" t="str">
        <f>IFERROR(__xludf.DUMMYFUNCTION("""COMPUTED_VALUE"""),"TRSF E-BANKING DB")</f>
        <v>TRSF E-BANKING DB</v>
      </c>
      <c r="C63" s="5" t="str">
        <f>IFERROR(__xludf.DUMMYFUNCTION("""COMPUTED_VALUE"""),"1511/FTSCY/WS95031 800000.00 NURHAYATI")</f>
        <v>1511/FTSCY/WS95031 800000.00 NURHAYATI</v>
      </c>
      <c r="D63" s="5">
        <f>IFERROR(__xludf.DUMMYFUNCTION("""COMPUTED_VALUE"""),800000.0)</f>
        <v>800000</v>
      </c>
      <c r="E63" s="5"/>
      <c r="F63" s="5" t="str">
        <f>IFERROR(__xludf.DUMMYFUNCTION("""COMPUTED_VALUE"""),"DB")</f>
        <v>DB</v>
      </c>
      <c r="G63" s="5">
        <f>IFERROR(__xludf.DUMMYFUNCTION("""COMPUTED_VALUE"""),7.646066519000006E7)</f>
        <v>76460665.19</v>
      </c>
      <c r="H63" s="5"/>
      <c r="I63" s="5" t="str">
        <f>IFERROR(__xludf.DUMMYFUNCTION("""COMPUTED_VALUE"""),"PRODUKSI")</f>
        <v>PRODUKSI</v>
      </c>
    </row>
    <row r="64">
      <c r="A64" s="7">
        <f>IFERROR(__xludf.DUMMYFUNCTION("""COMPUTED_VALUE"""),46341.0)</f>
        <v>46341</v>
      </c>
      <c r="B64" s="5" t="str">
        <f>IFERROR(__xludf.DUMMYFUNCTION("""COMPUTED_VALUE"""),"TRSF E-BANKING DB")</f>
        <v>TRSF E-BANKING DB</v>
      </c>
      <c r="C64" s="5" t="str">
        <f>IFERROR(__xludf.DUMMYFUNCTION("""COMPUTED_VALUE"""),"1511/FTSCY/WS95031 1342900.00 EKO SETIYAWAN")</f>
        <v>1511/FTSCY/WS95031 1342900.00 EKO SETIYAWAN</v>
      </c>
      <c r="D64" s="5">
        <f>IFERROR(__xludf.DUMMYFUNCTION("""COMPUTED_VALUE"""),1342900.0)</f>
        <v>1342900</v>
      </c>
      <c r="E64" s="5"/>
      <c r="F64" s="5" t="str">
        <f>IFERROR(__xludf.DUMMYFUNCTION("""COMPUTED_VALUE"""),"DB")</f>
        <v>DB</v>
      </c>
      <c r="G64" s="5">
        <f>IFERROR(__xludf.DUMMYFUNCTION("""COMPUTED_VALUE"""),7.511776519000006E7)</f>
        <v>75117765.19</v>
      </c>
      <c r="H64" s="5"/>
      <c r="I64" s="5" t="str">
        <f>IFERROR(__xludf.DUMMYFUNCTION("""COMPUTED_VALUE"""),"PRODUKSI")</f>
        <v>PRODUKSI</v>
      </c>
    </row>
    <row r="65">
      <c r="A65" s="7">
        <f>IFERROR(__xludf.DUMMYFUNCTION("""COMPUTED_VALUE"""),46341.0)</f>
        <v>46341</v>
      </c>
      <c r="B65" s="5" t="str">
        <f>IFERROR(__xludf.DUMMYFUNCTION("""COMPUTED_VALUE"""),"TRSF E-BANKING DB")</f>
        <v>TRSF E-BANKING DB</v>
      </c>
      <c r="C65" s="5" t="str">
        <f>IFERROR(__xludf.DUMMYFUNCTION("""COMPUTED_VALUE"""),"1511/FTSCY/WS95031 4412330.00 lunas HERMAWAN")</f>
        <v>1511/FTSCY/WS95031 4412330.00 lunas HERMAWAN</v>
      </c>
      <c r="D65" s="5">
        <f>IFERROR(__xludf.DUMMYFUNCTION("""COMPUTED_VALUE"""),4412330.0)</f>
        <v>4412330</v>
      </c>
      <c r="E65" s="5"/>
      <c r="F65" s="5" t="str">
        <f>IFERROR(__xludf.DUMMYFUNCTION("""COMPUTED_VALUE"""),"DB")</f>
        <v>DB</v>
      </c>
      <c r="G65" s="5">
        <f>IFERROR(__xludf.DUMMYFUNCTION("""COMPUTED_VALUE"""),7.070543519000006E7)</f>
        <v>70705435.19</v>
      </c>
      <c r="H65" s="5"/>
      <c r="I65" s="5" t="str">
        <f>IFERROR(__xludf.DUMMYFUNCTION("""COMPUTED_VALUE"""),"PRODUKSI")</f>
        <v>PRODUKSI</v>
      </c>
    </row>
    <row r="66">
      <c r="A66" s="7">
        <f>IFERROR(__xludf.DUMMYFUNCTION("""COMPUTED_VALUE"""),46341.0)</f>
        <v>46341</v>
      </c>
      <c r="B66" s="5" t="str">
        <f>IFERROR(__xludf.DUMMYFUNCTION("""COMPUTED_VALUE"""),"TRSF E-BANKING DB")</f>
        <v>TRSF E-BANKING DB</v>
      </c>
      <c r="C66" s="5" t="str">
        <f>IFERROR(__xludf.DUMMYFUNCTION("""COMPUTED_VALUE"""),"1511/FTSCY/WS95031 7945320.00 krg 10 jt MUJIANTO")</f>
        <v>1511/FTSCY/WS95031 7945320.00 krg 10 jt MUJIANTO</v>
      </c>
      <c r="D66" s="5">
        <f>IFERROR(__xludf.DUMMYFUNCTION("""COMPUTED_VALUE"""),7945320.0)</f>
        <v>7945320</v>
      </c>
      <c r="E66" s="5"/>
      <c r="F66" s="5" t="str">
        <f>IFERROR(__xludf.DUMMYFUNCTION("""COMPUTED_VALUE"""),"DB")</f>
        <v>DB</v>
      </c>
      <c r="G66" s="5">
        <f>IFERROR(__xludf.DUMMYFUNCTION("""COMPUTED_VALUE"""),6.276011519000006E7)</f>
        <v>62760115.19</v>
      </c>
      <c r="H66" s="5"/>
      <c r="I66" s="5" t="str">
        <f>IFERROR(__xludf.DUMMYFUNCTION("""COMPUTED_VALUE"""),"PRODUKSI")</f>
        <v>PRODUKSI</v>
      </c>
    </row>
    <row r="67">
      <c r="A67" s="7">
        <f>IFERROR(__xludf.DUMMYFUNCTION("""COMPUTED_VALUE"""),46341.0)</f>
        <v>46341</v>
      </c>
      <c r="B67" s="5" t="str">
        <f>IFERROR(__xludf.DUMMYFUNCTION("""COMPUTED_VALUE"""),"TRSF E-BANKING DB")</f>
        <v>TRSF E-BANKING DB</v>
      </c>
      <c r="C67" s="5" t="str">
        <f>IFERROR(__xludf.DUMMYFUNCTION("""COMPUTED_VALUE"""),"1511/FTSCY/WS95031 1559020.00 Sun Nov 15 2026 15:00:00 GMT+0700 (Western Indonesia Time) DWI HERMANSYAH")</f>
        <v>1511/FTSCY/WS95031 1559020.00 Sun Nov 15 2026 15:00:00 GMT+0700 (Western Indonesia Time) DWI HERMANSYAH</v>
      </c>
      <c r="D67" s="5">
        <f>IFERROR(__xludf.DUMMYFUNCTION("""COMPUTED_VALUE"""),1559020.0)</f>
        <v>1559020</v>
      </c>
      <c r="E67" s="5"/>
      <c r="F67" s="5" t="str">
        <f>IFERROR(__xludf.DUMMYFUNCTION("""COMPUTED_VALUE"""),"DB")</f>
        <v>DB</v>
      </c>
      <c r="G67" s="5">
        <f>IFERROR(__xludf.DUMMYFUNCTION("""COMPUTED_VALUE"""),6.120109519000006E7)</f>
        <v>61201095.19</v>
      </c>
      <c r="H67" s="5"/>
      <c r="I67" s="5" t="str">
        <f>IFERROR(__xludf.DUMMYFUNCTION("""COMPUTED_VALUE"""),"PRODUKSI")</f>
        <v>PRODUKSI</v>
      </c>
    </row>
    <row r="68">
      <c r="A68" s="7">
        <f>IFERROR(__xludf.DUMMYFUNCTION("""COMPUTED_VALUE"""),46341.0)</f>
        <v>46341</v>
      </c>
      <c r="B68" s="5" t="str">
        <f>IFERROR(__xludf.DUMMYFUNCTION("""COMPUTED_VALUE"""),"TRSF E-BANKING DB")</f>
        <v>TRSF E-BANKING DB</v>
      </c>
      <c r="C68" s="5" t="str">
        <f>IFERROR(__xludf.DUMMYFUNCTION("""COMPUTED_VALUE"""),"1511/FTSCY/WS95031 1800000.00 HERMAWAN")</f>
        <v>1511/FTSCY/WS95031 1800000.00 HERMAWAN</v>
      </c>
      <c r="D68" s="5">
        <f>IFERROR(__xludf.DUMMYFUNCTION("""COMPUTED_VALUE"""),1800000.0)</f>
        <v>1800000</v>
      </c>
      <c r="E68" s="5"/>
      <c r="F68" s="5" t="str">
        <f>IFERROR(__xludf.DUMMYFUNCTION("""COMPUTED_VALUE"""),"DB")</f>
        <v>DB</v>
      </c>
      <c r="G68" s="5">
        <f>IFERROR(__xludf.DUMMYFUNCTION("""COMPUTED_VALUE"""),5.940109519000006E7)</f>
        <v>59401095.19</v>
      </c>
      <c r="H68" s="5">
        <f>IFERROR(__xludf.DUMMYFUNCTION("""COMPUTED_VALUE"""),5.940109519E7)</f>
        <v>59401095.19</v>
      </c>
      <c r="I68" s="5" t="str">
        <f>IFERROR(__xludf.DUMMYFUNCTION("""COMPUTED_VALUE"""),"PRODUKSI")</f>
        <v>PRODUKSI</v>
      </c>
    </row>
    <row r="69">
      <c r="A69" s="7">
        <f>IFERROR(__xludf.DUMMYFUNCTION("""COMPUTED_VALUE"""),46342.0)</f>
        <v>46342</v>
      </c>
      <c r="B69" s="5" t="str">
        <f>IFERROR(__xludf.DUMMYFUNCTION("""COMPUTED_VALUE"""),"TRSF E-BANKING DB")</f>
        <v>TRSF E-BANKING DB</v>
      </c>
      <c r="C69" s="5" t="str">
        <f>IFERROR(__xludf.DUMMYFUNCTION("""COMPUTED_VALUE"""),"1611/FTSCY/WS95271 53100000.00 Mon Nov 16 2026 15:00:00 GMT+0700 (Western Indonesia Time) PRIMA JAYA BERSATU")</f>
        <v>1611/FTSCY/WS95271 53100000.00 Mon Nov 16 2026 15:00:00 GMT+0700 (Western Indonesia Time) PRIMA JAYA BERSATU</v>
      </c>
      <c r="D69" s="5">
        <f>IFERROR(__xludf.DUMMYFUNCTION("""COMPUTED_VALUE"""),5.31E7)</f>
        <v>53100000</v>
      </c>
      <c r="E69" s="5"/>
      <c r="F69" s="5" t="str">
        <f>IFERROR(__xludf.DUMMYFUNCTION("""COMPUTED_VALUE"""),"DB")</f>
        <v>DB</v>
      </c>
      <c r="G69" s="5">
        <f>IFERROR(__xludf.DUMMYFUNCTION("""COMPUTED_VALUE"""),8.630109519000006E7)</f>
        <v>86301095.19</v>
      </c>
      <c r="H69" s="5"/>
      <c r="I69" s="5" t="str">
        <f>IFERROR(__xludf.DUMMYFUNCTION("""COMPUTED_VALUE"""),"PRODUKSI")</f>
        <v>PRODUKSI</v>
      </c>
    </row>
    <row r="70">
      <c r="A70" s="7">
        <f>IFERROR(__xludf.DUMMYFUNCTION("""COMPUTED_VALUE"""),46342.0)</f>
        <v>46342</v>
      </c>
      <c r="B70" s="5" t="str">
        <f>IFERROR(__xludf.DUMMYFUNCTION("""COMPUTED_VALUE"""),"TRSF E-BANKING DB")</f>
        <v>TRSF E-BANKING DB</v>
      </c>
      <c r="C70" s="5" t="str">
        <f>IFERROR(__xludf.DUMMYFUNCTION("""COMPUTED_VALUE"""),"1611/FTSCY/WS95271 86250000.00 GANESHA SATRIA NUS")</f>
        <v>1611/FTSCY/WS95271 86250000.00 GANESHA SATRIA NUS</v>
      </c>
      <c r="D70" s="5">
        <f>IFERROR(__xludf.DUMMYFUNCTION("""COMPUTED_VALUE"""),8.625E7)</f>
        <v>86250000</v>
      </c>
      <c r="E70" s="5"/>
      <c r="F70" s="5" t="str">
        <f>IFERROR(__xludf.DUMMYFUNCTION("""COMPUTED_VALUE"""),"DB")</f>
        <v>DB</v>
      </c>
      <c r="G70" s="5">
        <f>IFERROR(__xludf.DUMMYFUNCTION("""COMPUTED_VALUE"""),51095.19000005722)</f>
        <v>51095.19</v>
      </c>
      <c r="H70" s="5"/>
      <c r="I70" s="5" t="str">
        <f>IFERROR(__xludf.DUMMYFUNCTION("""COMPUTED_VALUE"""),"PRODUKSI")</f>
        <v>PRODUKSI</v>
      </c>
    </row>
    <row r="71">
      <c r="A71" s="7">
        <f>IFERROR(__xludf.DUMMYFUNCTION("""COMPUTED_VALUE"""),46342.0)</f>
        <v>46342</v>
      </c>
      <c r="B71" s="5" t="str">
        <f>IFERROR(__xludf.DUMMYFUNCTION("""COMPUTED_VALUE"""),"TRSF E-BANKING DB")</f>
        <v>TRSF E-BANKING DB</v>
      </c>
      <c r="C71" s="5" t="str">
        <f>IFERROR(__xludf.DUMMYFUNCTION("""COMPUTED_VALUE"""),"1611/FTFVA/WS95031 55569/PT PRIMA FAJ mlg - 40190")</f>
        <v>1611/FTFVA/WS95031 55569/PT PRIMA FAJ mlg - 40190</v>
      </c>
      <c r="D71" s="5">
        <f>IFERROR(__xludf.DUMMYFUNCTION("""COMPUTED_VALUE"""),5.4E7)</f>
        <v>54000000</v>
      </c>
      <c r="E71" s="5"/>
      <c r="F71" s="5" t="str">
        <f>IFERROR(__xludf.DUMMYFUNCTION("""COMPUTED_VALUE"""),"DB")</f>
        <v>DB</v>
      </c>
      <c r="G71" s="5">
        <f>IFERROR(__xludf.DUMMYFUNCTION("""COMPUTED_VALUE"""),4.898184519000006E7)</f>
        <v>48981845.19</v>
      </c>
      <c r="H71" s="5"/>
      <c r="I71" s="5" t="str">
        <f>IFERROR(__xludf.DUMMYFUNCTION("""COMPUTED_VALUE"""),"PRODUKSI")</f>
        <v>PRODUKSI</v>
      </c>
    </row>
    <row r="72">
      <c r="A72" s="7">
        <f>IFERROR(__xludf.DUMMYFUNCTION("""COMPUTED_VALUE"""),46342.0)</f>
        <v>46342</v>
      </c>
      <c r="B72" s="5" t="str">
        <f>IFERROR(__xludf.DUMMYFUNCTION("""COMPUTED_VALUE"""),"TRSF E-BANKING DB")</f>
        <v>TRSF E-BANKING DB</v>
      </c>
      <c r="C72" s="5" t="str">
        <f>IFERROR(__xludf.DUMMYFUNCTION("""COMPUTED_VALUE"""),"1611/FTSCY/WS95271 1225000.00 RUKHAILAH")</f>
        <v>1611/FTSCY/WS95271 1225000.00 RUKHAILAH</v>
      </c>
      <c r="D72" s="5">
        <f>IFERROR(__xludf.DUMMYFUNCTION("""COMPUTED_VALUE"""),1225000.0)</f>
        <v>1225000</v>
      </c>
      <c r="E72" s="5"/>
      <c r="F72" s="5" t="str">
        <f>IFERROR(__xludf.DUMMYFUNCTION("""COMPUTED_VALUE"""),"DB")</f>
        <v>DB</v>
      </c>
      <c r="G72" s="5">
        <f>IFERROR(__xludf.DUMMYFUNCTION("""COMPUTED_VALUE"""),2.6431785519000006E8)</f>
        <v>264317855.2</v>
      </c>
      <c r="H72" s="5"/>
      <c r="I72" s="5" t="str">
        <f>IFERROR(__xludf.DUMMYFUNCTION("""COMPUTED_VALUE"""),"PRODUKSI")</f>
        <v>PRODUKSI</v>
      </c>
    </row>
    <row r="73">
      <c r="A73" s="7">
        <f>IFERROR(__xludf.DUMMYFUNCTION("""COMPUTED_VALUE"""),46342.0)</f>
        <v>46342</v>
      </c>
      <c r="B73" s="5" t="str">
        <f>IFERROR(__xludf.DUMMYFUNCTION("""COMPUTED_VALUE"""),"TRSF E-BANKING DB")</f>
        <v>TRSF E-BANKING DB</v>
      </c>
      <c r="C73" s="5" t="str">
        <f>IFERROR(__xludf.DUMMYFUNCTION("""COMPUTED_VALUE"""),"1611/FTSCY/WS95271 49133000.00 Mon Nov 16 2026 15:00:00 GMT+0700 (Western Indonesia Time) PITIK DIGITAL INDO")</f>
        <v>1611/FTSCY/WS95271 49133000.00 Mon Nov 16 2026 15:00:00 GMT+0700 (Western Indonesia Time) PITIK DIGITAL INDO</v>
      </c>
      <c r="D73" s="5">
        <f>IFERROR(__xludf.DUMMYFUNCTION("""COMPUTED_VALUE"""),4.9133E7)</f>
        <v>49133000</v>
      </c>
      <c r="E73" s="5"/>
      <c r="F73" s="5" t="str">
        <f>IFERROR(__xludf.DUMMYFUNCTION("""COMPUTED_VALUE"""),"DB")</f>
        <v>DB</v>
      </c>
      <c r="G73" s="5">
        <f>IFERROR(__xludf.DUMMYFUNCTION("""COMPUTED_VALUE"""),4.6158837519000006E8)</f>
        <v>461588375.2</v>
      </c>
      <c r="H73" s="5"/>
      <c r="I73" s="5" t="str">
        <f>IFERROR(__xludf.DUMMYFUNCTION("""COMPUTED_VALUE"""),"PRODUKSI")</f>
        <v>PRODUKSI</v>
      </c>
    </row>
    <row r="74">
      <c r="A74" s="7">
        <f>IFERROR(__xludf.DUMMYFUNCTION("""COMPUTED_VALUE"""),46342.0)</f>
        <v>46342</v>
      </c>
      <c r="B74" s="5" t="str">
        <f>IFERROR(__xludf.DUMMYFUNCTION("""COMPUTED_VALUE"""),"TRSF E-BANKING DB")</f>
        <v>TRSF E-BANKING DB</v>
      </c>
      <c r="C74" s="5" t="str">
        <f>IFERROR(__xludf.DUMMYFUNCTION("""COMPUTED_VALUE"""),"1611/FTSCY/WS95011 161768970.00 Sun Nov 15 2026 15:00:00 GMT+0700 (Western Indonesia Time) LAWU ABADI NUSA PT")</f>
        <v>1611/FTSCY/WS95011 161768970.00 Sun Nov 15 2026 15:00:00 GMT+0700 (Western Indonesia Time) LAWU ABADI NUSA PT</v>
      </c>
      <c r="D74" s="5">
        <f>IFERROR(__xludf.DUMMYFUNCTION("""COMPUTED_VALUE"""),1.6176897E8)</f>
        <v>161768970</v>
      </c>
      <c r="E74" s="5"/>
      <c r="F74" s="5" t="str">
        <f>IFERROR(__xludf.DUMMYFUNCTION("""COMPUTED_VALUE"""),"DB")</f>
        <v>DB</v>
      </c>
      <c r="G74" s="5">
        <f>IFERROR(__xludf.DUMMYFUNCTION("""COMPUTED_VALUE"""),2.9981940519000006E8)</f>
        <v>299819405.2</v>
      </c>
      <c r="H74" s="5"/>
      <c r="I74" s="5" t="str">
        <f>IFERROR(__xludf.DUMMYFUNCTION("""COMPUTED_VALUE"""),"PRODUKSI")</f>
        <v>PRODUKSI</v>
      </c>
    </row>
    <row r="75">
      <c r="A75" s="7">
        <f>IFERROR(__xludf.DUMMYFUNCTION("""COMPUTED_VALUE"""),46342.0)</f>
        <v>46342</v>
      </c>
      <c r="B75" s="5" t="str">
        <f>IFERROR(__xludf.DUMMYFUNCTION("""COMPUTED_VALUE"""),"TRSF E-BANKING DB")</f>
        <v>TRSF E-BANKING DB</v>
      </c>
      <c r="C75" s="5" t="str">
        <f>IFERROR(__xludf.DUMMYFUNCTION("""COMPUTED_VALUE"""),"1611/FTSCY/WS95011 57867800.00 Sat Nov 14 2026 15:00:00 GMT+0700 (Western Indonesia Time) TERNAK SEJATI TABA")</f>
        <v>1611/FTSCY/WS95011 57867800.00 Sat Nov 14 2026 15:00:00 GMT+0700 (Western Indonesia Time) TERNAK SEJATI TABA</v>
      </c>
      <c r="D75" s="5">
        <f>IFERROR(__xludf.DUMMYFUNCTION("""COMPUTED_VALUE"""),5.78678E7)</f>
        <v>57867800</v>
      </c>
      <c r="E75" s="5"/>
      <c r="F75" s="5" t="str">
        <f>IFERROR(__xludf.DUMMYFUNCTION("""COMPUTED_VALUE"""),"DB")</f>
        <v>DB</v>
      </c>
      <c r="G75" s="5">
        <f>IFERROR(__xludf.DUMMYFUNCTION("""COMPUTED_VALUE"""),2.4195160519000006E8)</f>
        <v>241951605.2</v>
      </c>
      <c r="H75" s="5"/>
      <c r="I75" s="5" t="str">
        <f>IFERROR(__xludf.DUMMYFUNCTION("""COMPUTED_VALUE"""),"PRODUKSI")</f>
        <v>PRODUKSI</v>
      </c>
    </row>
    <row r="76">
      <c r="A76" s="7">
        <f>IFERROR(__xludf.DUMMYFUNCTION("""COMPUTED_VALUE"""),46342.0)</f>
        <v>46342</v>
      </c>
      <c r="B76" s="5" t="str">
        <f>IFERROR(__xludf.DUMMYFUNCTION("""COMPUTED_VALUE"""),"TRSF E-BANKING DB")</f>
        <v>TRSF E-BANKING DB</v>
      </c>
      <c r="C76" s="5" t="str">
        <f>IFERROR(__xludf.DUMMYFUNCTION("""COMPUTED_VALUE"""),"1611/FTSCY/WS95011 125324460.00 Sat Nov 14 2026 15:00:00 GMT+0700 (Western Indonesia Time) RUKUN MITRA BERSAM")</f>
        <v>1611/FTSCY/WS95011 125324460.00 Sat Nov 14 2026 15:00:00 GMT+0700 (Western Indonesia Time) RUKUN MITRA BERSAM</v>
      </c>
      <c r="D76" s="5">
        <f>IFERROR(__xludf.DUMMYFUNCTION("""COMPUTED_VALUE"""),1.2532446E8)</f>
        <v>125324460</v>
      </c>
      <c r="E76" s="5"/>
      <c r="F76" s="5" t="str">
        <f>IFERROR(__xludf.DUMMYFUNCTION("""COMPUTED_VALUE"""),"DB")</f>
        <v>DB</v>
      </c>
      <c r="G76" s="5">
        <f>IFERROR(__xludf.DUMMYFUNCTION("""COMPUTED_VALUE"""),1.1662714519000006E8)</f>
        <v>116627145.2</v>
      </c>
      <c r="H76" s="5"/>
      <c r="I76" s="5" t="str">
        <f>IFERROR(__xludf.DUMMYFUNCTION("""COMPUTED_VALUE"""),"PRODUKSI")</f>
        <v>PRODUKSI</v>
      </c>
    </row>
    <row r="77">
      <c r="A77" s="7">
        <f>IFERROR(__xludf.DUMMYFUNCTION("""COMPUTED_VALUE"""),46342.0)</f>
        <v>46342</v>
      </c>
      <c r="B77" s="5" t="str">
        <f>IFERROR(__xludf.DUMMYFUNCTION("""COMPUTED_VALUE"""),"TRSF E-BANKING DB")</f>
        <v>TRSF E-BANKING DB</v>
      </c>
      <c r="C77" s="5" t="str">
        <f>IFERROR(__xludf.DUMMYFUNCTION("""COMPUTED_VALUE"""),"1611/FTSCY/WS95011 100836000.00 Sat Nov 14 2026 15:00:00 GMT+0700 (Western Indonesia Time) DINA WIRANTI")</f>
        <v>1611/FTSCY/WS95011 100836000.00 Sat Nov 14 2026 15:00:00 GMT+0700 (Western Indonesia Time) DINA WIRANTI</v>
      </c>
      <c r="D77" s="5">
        <f>IFERROR(__xludf.DUMMYFUNCTION("""COMPUTED_VALUE"""),1.00836E8)</f>
        <v>100836000</v>
      </c>
      <c r="E77" s="5"/>
      <c r="F77" s="5" t="str">
        <f>IFERROR(__xludf.DUMMYFUNCTION("""COMPUTED_VALUE"""),"DB")</f>
        <v>DB</v>
      </c>
      <c r="G77" s="5">
        <f>IFERROR(__xludf.DUMMYFUNCTION("""COMPUTED_VALUE"""),1.5791145190000057E7)</f>
        <v>15791145.19</v>
      </c>
      <c r="H77" s="5">
        <f>IFERROR(__xludf.DUMMYFUNCTION("""COMPUTED_VALUE"""),1.579114519E7)</f>
        <v>15791145.19</v>
      </c>
      <c r="I77" s="5" t="str">
        <f>IFERROR(__xludf.DUMMYFUNCTION("""COMPUTED_VALUE"""),"PRODUKSI")</f>
        <v>PRODUKSI</v>
      </c>
    </row>
    <row r="78">
      <c r="A78" s="7">
        <f>IFERROR(__xludf.DUMMYFUNCTION("""COMPUTED_VALUE"""),46342.0)</f>
        <v>46342</v>
      </c>
      <c r="B78" s="5" t="str">
        <f>IFERROR(__xludf.DUMMYFUNCTION("""COMPUTED_VALUE"""),"TRSF E-BANKING DB")</f>
        <v>TRSF E-BANKING DB</v>
      </c>
      <c r="C78" s="5" t="str">
        <f>IFERROR(__xludf.DUMMYFUNCTION("""COMPUTED_VALUE"""),"1611/FTSCY/WS95031 15000000.00 EKO SETIYAWAN")</f>
        <v>1611/FTSCY/WS95031 15000000.00 EKO SETIYAWAN</v>
      </c>
      <c r="D78" s="5">
        <f>IFERROR(__xludf.DUMMYFUNCTION("""COMPUTED_VALUE"""),1.5E7)</f>
        <v>15000000</v>
      </c>
      <c r="E78" s="5"/>
      <c r="F78" s="5" t="str">
        <f>IFERROR(__xludf.DUMMYFUNCTION("""COMPUTED_VALUE"""),"DB")</f>
        <v>DB</v>
      </c>
      <c r="G78" s="5">
        <f>IFERROR(__xludf.DUMMYFUNCTION("""COMPUTED_VALUE"""),791145.1900000572)</f>
        <v>791145.19</v>
      </c>
      <c r="H78" s="5"/>
      <c r="I78" s="5" t="str">
        <f>IFERROR(__xludf.DUMMYFUNCTION("""COMPUTED_VALUE"""),"PRODUKSI")</f>
        <v>PRODUKSI</v>
      </c>
    </row>
    <row r="79">
      <c r="A79" s="7">
        <f>IFERROR(__xludf.DUMMYFUNCTION("""COMPUTED_VALUE"""),46342.0)</f>
        <v>46342</v>
      </c>
      <c r="B79" s="5" t="str">
        <f>IFERROR(__xludf.DUMMYFUNCTION("""COMPUTED_VALUE"""),"TRSF E-BANKING DB")</f>
        <v>TRSF E-BANKING DB</v>
      </c>
      <c r="C79" s="5" t="str">
        <f>IFERROR(__xludf.DUMMYFUNCTION("""COMPUTED_VALUE"""),"1611/FTSCY/WS95271 52700020.00 pelunasan SUGENG RIADI")</f>
        <v>1611/FTSCY/WS95271 52700020.00 pelunasan SUGENG RIADI</v>
      </c>
      <c r="D79" s="5">
        <f>IFERROR(__xludf.DUMMYFUNCTION("""COMPUTED_VALUE"""),5.270002E7)</f>
        <v>52700020</v>
      </c>
      <c r="E79" s="5"/>
      <c r="F79" s="5" t="str">
        <f>IFERROR(__xludf.DUMMYFUNCTION("""COMPUTED_VALUE"""),"DB")</f>
        <v>DB</v>
      </c>
      <c r="G79" s="5">
        <f>IFERROR(__xludf.DUMMYFUNCTION("""COMPUTED_VALUE"""),3.0373030519000006E8)</f>
        <v>303730305.2</v>
      </c>
      <c r="H79" s="5">
        <f>IFERROR(__xludf.DUMMYFUNCTION("""COMPUTED_VALUE"""),3.0373030519E8)</f>
        <v>303730305.2</v>
      </c>
      <c r="I79" s="5" t="str">
        <f>IFERROR(__xludf.DUMMYFUNCTION("""COMPUTED_VALUE"""),"PRODUKSI")</f>
        <v>PRODUKSI</v>
      </c>
    </row>
    <row r="80">
      <c r="A80" s="7">
        <f>IFERROR(__xludf.DUMMYFUNCTION("""COMPUTED_VALUE"""),46343.0)</f>
        <v>46343</v>
      </c>
      <c r="B80" s="5" t="str">
        <f>IFERROR(__xludf.DUMMYFUNCTION("""COMPUTED_VALUE"""),"TRSF E-BANKING DB")</f>
        <v>TRSF E-BANKING DB</v>
      </c>
      <c r="C80" s="5" t="str">
        <f>IFERROR(__xludf.DUMMYFUNCTION("""COMPUTED_VALUE"""),"1711/FTSCY/WS95011 102449600.00 Sat Nov 14 2026 15:00:00 GMT+0700 (Western Indonesia Time) BROILER MAKMUR TAN")</f>
        <v>1711/FTSCY/WS95011 102449600.00 Sat Nov 14 2026 15:00:00 GMT+0700 (Western Indonesia Time) BROILER MAKMUR TAN</v>
      </c>
      <c r="D80" s="5">
        <f>IFERROR(__xludf.DUMMYFUNCTION("""COMPUTED_VALUE"""),1.024496E8)</f>
        <v>102449600</v>
      </c>
      <c r="E80" s="5"/>
      <c r="F80" s="5" t="str">
        <f>IFERROR(__xludf.DUMMYFUNCTION("""COMPUTED_VALUE"""),"DB")</f>
        <v>DB</v>
      </c>
      <c r="G80" s="5">
        <f>IFERROR(__xludf.DUMMYFUNCTION("""COMPUTED_VALUE"""),3.5625697519000006E8)</f>
        <v>356256975.2</v>
      </c>
      <c r="H80" s="5"/>
      <c r="I80" s="5" t="str">
        <f>IFERROR(__xludf.DUMMYFUNCTION("""COMPUTED_VALUE"""),"PRODUKSI")</f>
        <v>PRODUKSI</v>
      </c>
    </row>
    <row r="81">
      <c r="A81" s="7">
        <f>IFERROR(__xludf.DUMMYFUNCTION("""COMPUTED_VALUE"""),46343.0)</f>
        <v>46343</v>
      </c>
      <c r="B81" s="5" t="str">
        <f>IFERROR(__xludf.DUMMYFUNCTION("""COMPUTED_VALUE"""),"TRSF E-BANKING DB")</f>
        <v>TRSF E-BANKING DB</v>
      </c>
      <c r="C81" s="5" t="str">
        <f>IFERROR(__xludf.DUMMYFUNCTION("""COMPUTED_VALUE"""),"1711/FTSCY/WS95011 63755400.00 Sat Nov 14 2026 15:00:00 GMT+0700 (Western Indonesia Time) SUPER UNGGAS JAYA")</f>
        <v>1711/FTSCY/WS95011 63755400.00 Sat Nov 14 2026 15:00:00 GMT+0700 (Western Indonesia Time) SUPER UNGGAS JAYA</v>
      </c>
      <c r="D81" s="5">
        <f>IFERROR(__xludf.DUMMYFUNCTION("""COMPUTED_VALUE"""),6.37554E7)</f>
        <v>63755400</v>
      </c>
      <c r="E81" s="5"/>
      <c r="F81" s="5" t="str">
        <f>IFERROR(__xludf.DUMMYFUNCTION("""COMPUTED_VALUE"""),"DB")</f>
        <v>DB</v>
      </c>
      <c r="G81" s="5">
        <f>IFERROR(__xludf.DUMMYFUNCTION("""COMPUTED_VALUE"""),2.9250157519000006E8)</f>
        <v>292501575.2</v>
      </c>
      <c r="H81" s="5"/>
      <c r="I81" s="5" t="str">
        <f>IFERROR(__xludf.DUMMYFUNCTION("""COMPUTED_VALUE"""),"PRODUKSI")</f>
        <v>PRODUKSI</v>
      </c>
    </row>
    <row r="82">
      <c r="A82" s="7">
        <f>IFERROR(__xludf.DUMMYFUNCTION("""COMPUTED_VALUE"""),46343.0)</f>
        <v>46343</v>
      </c>
      <c r="B82" s="5" t="str">
        <f>IFERROR(__xludf.DUMMYFUNCTION("""COMPUTED_VALUE"""),"TRSF E-BANKING DB")</f>
        <v>TRSF E-BANKING DB</v>
      </c>
      <c r="C82" s="5" t="str">
        <f>IFERROR(__xludf.DUMMYFUNCTION("""COMPUTED_VALUE"""),"1711/FTSCY/WS95011 44738750.00 Sat Nov 14 2026 15:00:00 GMT+0700 (Western Indonesia Time) ANUGERAH KARTIKA A")</f>
        <v>1711/FTSCY/WS95011 44738750.00 Sat Nov 14 2026 15:00:00 GMT+0700 (Western Indonesia Time) ANUGERAH KARTIKA A</v>
      </c>
      <c r="D82" s="5">
        <f>IFERROR(__xludf.DUMMYFUNCTION("""COMPUTED_VALUE"""),4.473875E7)</f>
        <v>44738750</v>
      </c>
      <c r="E82" s="5"/>
      <c r="F82" s="5" t="str">
        <f>IFERROR(__xludf.DUMMYFUNCTION("""COMPUTED_VALUE"""),"DB")</f>
        <v>DB</v>
      </c>
      <c r="G82" s="5">
        <f>IFERROR(__xludf.DUMMYFUNCTION("""COMPUTED_VALUE"""),2.4776282519000006E8)</f>
        <v>247762825.2</v>
      </c>
      <c r="H82" s="5"/>
      <c r="I82" s="5" t="str">
        <f>IFERROR(__xludf.DUMMYFUNCTION("""COMPUTED_VALUE"""),"PRODUKSI")</f>
        <v>PRODUKSI</v>
      </c>
    </row>
    <row r="83">
      <c r="A83" s="7">
        <f>IFERROR(__xludf.DUMMYFUNCTION("""COMPUTED_VALUE"""),46343.0)</f>
        <v>46343</v>
      </c>
      <c r="B83" s="5" t="str">
        <f>IFERROR(__xludf.DUMMYFUNCTION("""COMPUTED_VALUE"""),"TRSF E-BANKING DB")</f>
        <v>TRSF E-BANKING DB</v>
      </c>
      <c r="C83" s="5" t="str">
        <f>IFERROR(__xludf.DUMMYFUNCTION("""COMPUTED_VALUE"""),"1711/FTSCY/WS95011 121243500.00 Sun Nov 15 2026 15:00:00 GMT+0700 (Western Indonesia Time) BRANTAS ABADI SENT")</f>
        <v>1711/FTSCY/WS95011 121243500.00 Sun Nov 15 2026 15:00:00 GMT+0700 (Western Indonesia Time) BRANTAS ABADI SENT</v>
      </c>
      <c r="D83" s="5">
        <f>IFERROR(__xludf.DUMMYFUNCTION("""COMPUTED_VALUE"""),1.212435E8)</f>
        <v>121243500</v>
      </c>
      <c r="E83" s="5"/>
      <c r="F83" s="5" t="str">
        <f>IFERROR(__xludf.DUMMYFUNCTION("""COMPUTED_VALUE"""),"DB")</f>
        <v>DB</v>
      </c>
      <c r="G83" s="5">
        <f>IFERROR(__xludf.DUMMYFUNCTION("""COMPUTED_VALUE"""),1.2651932519000006E8)</f>
        <v>126519325.2</v>
      </c>
      <c r="H83" s="5"/>
      <c r="I83" s="5" t="str">
        <f>IFERROR(__xludf.DUMMYFUNCTION("""COMPUTED_VALUE"""),"PRODUKSI")</f>
        <v>PRODUKSI</v>
      </c>
    </row>
    <row r="84">
      <c r="A84" s="7">
        <f>IFERROR(__xludf.DUMMYFUNCTION("""COMPUTED_VALUE"""),46343.0)</f>
        <v>46343</v>
      </c>
      <c r="B84" s="5" t="str">
        <f>IFERROR(__xludf.DUMMYFUNCTION("""COMPUTED_VALUE"""),"TRSF E-BANKING DB")</f>
        <v>TRSF E-BANKING DB</v>
      </c>
      <c r="C84" s="5" t="str">
        <f>IFERROR(__xludf.DUMMYFUNCTION("""COMPUTED_VALUE"""),"1711/FTSCY/WS95011 126377480.00 Sat Nov 14 2026 15:00:00 GMT+0700 (Western Indonesia Time) GANESHA SATRIA NUS")</f>
        <v>1711/FTSCY/WS95011 126377480.00 Sat Nov 14 2026 15:00:00 GMT+0700 (Western Indonesia Time) GANESHA SATRIA NUS</v>
      </c>
      <c r="D84" s="5">
        <f>IFERROR(__xludf.DUMMYFUNCTION("""COMPUTED_VALUE"""),1.2637748E8)</f>
        <v>126377480</v>
      </c>
      <c r="E84" s="5"/>
      <c r="F84" s="5" t="str">
        <f>IFERROR(__xludf.DUMMYFUNCTION("""COMPUTED_VALUE"""),"DB")</f>
        <v>DB</v>
      </c>
      <c r="G84" s="5">
        <f>IFERROR(__xludf.DUMMYFUNCTION("""COMPUTED_VALUE"""),141845.19000005722)</f>
        <v>141845.19</v>
      </c>
      <c r="H84" s="5"/>
      <c r="I84" s="5" t="str">
        <f>IFERROR(__xludf.DUMMYFUNCTION("""COMPUTED_VALUE"""),"PRODUKSI")</f>
        <v>PRODUKSI</v>
      </c>
    </row>
    <row r="85">
      <c r="A85" s="7">
        <f>IFERROR(__xludf.DUMMYFUNCTION("""COMPUTED_VALUE"""),46343.0)</f>
        <v>46343</v>
      </c>
      <c r="B85" s="5" t="str">
        <f>IFERROR(__xludf.DUMMYFUNCTION("""COMPUTED_VALUE"""),"TRANSAKSI DEBIT")</f>
        <v>TRANSAKSI DEBIT</v>
      </c>
      <c r="C85" s="5" t="str">
        <f>IFERROR(__xludf.DUMMYFUNCTION("""COMPUTED_VALUE"""),"TGL: 17/11 QR 014 00000.00SEVEN")</f>
        <v>TGL: 17/11 QR 014 00000.00SEVEN</v>
      </c>
      <c r="D85" s="5">
        <f>IFERROR(__xludf.DUMMYFUNCTION("""COMPUTED_VALUE"""),670000.0)</f>
        <v>670000</v>
      </c>
      <c r="E85" s="5"/>
      <c r="F85" s="5"/>
      <c r="G85" s="5">
        <f>IFERROR(__xludf.DUMMYFUNCTION("""COMPUTED_VALUE"""),1.2227834519000006E8)</f>
        <v>122278345.2</v>
      </c>
      <c r="H85" s="5">
        <f>IFERROR(__xludf.DUMMYFUNCTION("""COMPUTED_VALUE"""),1.2227834519E8)</f>
        <v>122278345.2</v>
      </c>
      <c r="I85" s="5" t="str">
        <f>IFERROR(__xludf.DUMMYFUNCTION("""COMPUTED_VALUE"""),"PRODUKSI")</f>
        <v>PRODUKSI</v>
      </c>
    </row>
    <row r="86">
      <c r="A86" s="7">
        <f>IFERROR(__xludf.DUMMYFUNCTION("""COMPUTED_VALUE"""),46343.0)</f>
        <v>46343</v>
      </c>
      <c r="B86" s="5" t="str">
        <f>IFERROR(__xludf.DUMMYFUNCTION("""COMPUTED_VALUE"""),"TRSF E-BANKING DB")</f>
        <v>TRSF E-BANKING DB</v>
      </c>
      <c r="C86" s="5" t="str">
        <f>IFERROR(__xludf.DUMMYFUNCTION("""COMPUTED_VALUE"""),"1711/FTSCY/WS95031 2800000.00 BELA PRAMUDITA")</f>
        <v>1711/FTSCY/WS95031 2800000.00 BELA PRAMUDITA</v>
      </c>
      <c r="D86" s="5">
        <f>IFERROR(__xludf.DUMMYFUNCTION("""COMPUTED_VALUE"""),2800000.0)</f>
        <v>2800000</v>
      </c>
      <c r="E86" s="5"/>
      <c r="F86" s="5" t="str">
        <f>IFERROR(__xludf.DUMMYFUNCTION("""COMPUTED_VALUE"""),"DB")</f>
        <v>DB</v>
      </c>
      <c r="G86" s="5">
        <f>IFERROR(__xludf.DUMMYFUNCTION("""COMPUTED_VALUE"""),1.1947834519000006E8)</f>
        <v>119478345.2</v>
      </c>
      <c r="H86" s="5"/>
      <c r="I86" s="5" t="str">
        <f>IFERROR(__xludf.DUMMYFUNCTION("""COMPUTED_VALUE"""),"PRODUKSI")</f>
        <v>PRODUKSI</v>
      </c>
    </row>
    <row r="87">
      <c r="A87" s="7">
        <f>IFERROR(__xludf.DUMMYFUNCTION("""COMPUTED_VALUE"""),46343.0)</f>
        <v>46343</v>
      </c>
      <c r="B87" s="5" t="str">
        <f>IFERROR(__xludf.DUMMYFUNCTION("""COMPUTED_VALUE"""),"TRSF E-BANKING DB")</f>
        <v>TRSF E-BANKING DB</v>
      </c>
      <c r="C87" s="5" t="str">
        <f>IFERROR(__xludf.DUMMYFUNCTION("""COMPUTED_VALUE"""),"1711/FTSCY/WS95271 60913800.00 Sun Nov 15 2026 15:00:00 GMT+0700 (Western Indonesia Time) BINTANG TAMA SANTO")</f>
        <v>1711/FTSCY/WS95271 60913800.00 Sun Nov 15 2026 15:00:00 GMT+0700 (Western Indonesia Time) BINTANG TAMA SANTO</v>
      </c>
      <c r="D87" s="5">
        <f>IFERROR(__xludf.DUMMYFUNCTION("""COMPUTED_VALUE"""),6.09138E7)</f>
        <v>60913800</v>
      </c>
      <c r="E87" s="5"/>
      <c r="F87" s="5" t="str">
        <f>IFERROR(__xludf.DUMMYFUNCTION("""COMPUTED_VALUE"""),"DB")</f>
        <v>DB</v>
      </c>
      <c r="G87" s="5">
        <f>IFERROR(__xludf.DUMMYFUNCTION("""COMPUTED_VALUE"""),2.9398688519000006E8)</f>
        <v>293986885.2</v>
      </c>
      <c r="H87" s="5">
        <f>IFERROR(__xludf.DUMMYFUNCTION("""COMPUTED_VALUE"""),2.9398688519E8)</f>
        <v>293986885.2</v>
      </c>
      <c r="I87" s="5" t="str">
        <f>IFERROR(__xludf.DUMMYFUNCTION("""COMPUTED_VALUE"""),"PRODUKSI")</f>
        <v>PRODUKSI</v>
      </c>
    </row>
    <row r="88">
      <c r="A88" s="7">
        <f>IFERROR(__xludf.DUMMYFUNCTION("""COMPUTED_VALUE"""),46343.0)</f>
        <v>46343</v>
      </c>
      <c r="B88" s="5" t="str">
        <f>IFERROR(__xludf.DUMMYFUNCTION("""COMPUTED_VALUE"""),"TRSF E-BANKING DB")</f>
        <v>TRSF E-BANKING DB</v>
      </c>
      <c r="C88" s="5" t="str">
        <f>IFERROR(__xludf.DUMMYFUNCTION("""COMPUTED_VALUE"""),"1711/FTSCY/WS95271 32464440.00 Sun Nov 15 2026 15:00:00 GMT+0700 (Western Indonesia Time) TERNAK SEJATI TABA")</f>
        <v>1711/FTSCY/WS95271 32464440.00 Sun Nov 15 2026 15:00:00 GMT+0700 (Western Indonesia Time) TERNAK SEJATI TABA</v>
      </c>
      <c r="D88" s="5">
        <f>IFERROR(__xludf.DUMMYFUNCTION("""COMPUTED_VALUE"""),3.246444E7)</f>
        <v>32464440</v>
      </c>
      <c r="E88" s="5"/>
      <c r="F88" s="5" t="str">
        <f>IFERROR(__xludf.DUMMYFUNCTION("""COMPUTED_VALUE"""),"DB")</f>
        <v>DB</v>
      </c>
      <c r="G88" s="5">
        <f>IFERROR(__xludf.DUMMYFUNCTION("""COMPUTED_VALUE"""),2.6152244519000006E8)</f>
        <v>261522445.2</v>
      </c>
      <c r="H88" s="5">
        <f>IFERROR(__xludf.DUMMYFUNCTION("""COMPUTED_VALUE"""),2.6152244519E8)</f>
        <v>261522445.2</v>
      </c>
      <c r="I88" s="5" t="str">
        <f>IFERROR(__xludf.DUMMYFUNCTION("""COMPUTED_VALUE"""),"PRODUKSI")</f>
        <v>PRODUKSI</v>
      </c>
    </row>
    <row r="89">
      <c r="A89" s="7">
        <f>IFERROR(__xludf.DUMMYFUNCTION("""COMPUTED_VALUE"""),46343.0)</f>
        <v>46343</v>
      </c>
      <c r="B89" s="5" t="str">
        <f>IFERROR(__xludf.DUMMYFUNCTION("""COMPUTED_VALUE"""),"TRSF E-BANKING DB")</f>
        <v>TRSF E-BANKING DB</v>
      </c>
      <c r="C89" s="5" t="str">
        <f>IFERROR(__xludf.DUMMYFUNCTION("""COMPUTED_VALUE"""),"1711/FTSCY/WS95011 19500000.00 Krg 50.5 jt TERNAK SEJATI TABA")</f>
        <v>1711/FTSCY/WS95011 19500000.00 Krg 50.5 jt TERNAK SEJATI TABA</v>
      </c>
      <c r="D89" s="5">
        <f>IFERROR(__xludf.DUMMYFUNCTION("""COMPUTED_VALUE"""),1.95E7)</f>
        <v>19500000</v>
      </c>
      <c r="E89" s="5"/>
      <c r="F89" s="5" t="str">
        <f>IFERROR(__xludf.DUMMYFUNCTION("""COMPUTED_VALUE"""),"DB")</f>
        <v>DB</v>
      </c>
      <c r="G89" s="5">
        <f>IFERROR(__xludf.DUMMYFUNCTION("""COMPUTED_VALUE"""),2.2057528519000006E8)</f>
        <v>220575285.2</v>
      </c>
      <c r="H89" s="5"/>
      <c r="I89" s="5" t="str">
        <f>IFERROR(__xludf.DUMMYFUNCTION("""COMPUTED_VALUE"""),"PRODUKSI")</f>
        <v>PRODUKSI</v>
      </c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