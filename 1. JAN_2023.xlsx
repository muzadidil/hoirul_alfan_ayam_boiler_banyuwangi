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_2023" sheetId="1" r:id="rId5"/>
    <sheet state="visible" name="PRODUKSI" sheetId="2" r:id="rId6"/>
    <sheet state="visible" name="EXSPEDISI" sheetId="3" r:id="rId7"/>
    <sheet state="visible" name="V_SALES" sheetId="4" r:id="rId8"/>
    <sheet state="visible" name="OPERASIONAL" sheetId="5" r:id="rId9"/>
    <sheet state="visible" name="NURUL_AINI" sheetId="6" r:id="rId10"/>
    <sheet state="visible" name="PRIBADI" sheetId="7" r:id="rId11"/>
    <sheet state="visible" name="KOSONG" sheetId="8" r:id="rId12"/>
  </sheets>
  <definedNames/>
  <calcPr/>
</workbook>
</file>

<file path=xl/sharedStrings.xml><?xml version="1.0" encoding="utf-8"?>
<sst xmlns="http://schemas.openxmlformats.org/spreadsheetml/2006/main" count="2603" uniqueCount="715">
  <si>
    <t>SALDO AWAL</t>
  </si>
  <si>
    <t>PRIBADI</t>
  </si>
  <si>
    <t>TRSF E-BANKING DB TANGGAL :30/12</t>
  </si>
  <si>
    <t>TRSF E-BANKING DB TANGGAL :30/12 3012/FTSCY/WS95031 pelunasan HERMAWAN</t>
  </si>
  <si>
    <t>DB</t>
  </si>
  <si>
    <t>EXSPEDISI</t>
  </si>
  <si>
    <t>TRSF E-BANKING DB TANGGAL :30/12 3012/FTSCY/WS95031 pelunasan MUJIANTO</t>
  </si>
  <si>
    <t>TRSF E-BANKING DB TANGGAL :30/12 3012/FTSCY/WS95031 EKO SETIYAWAN</t>
  </si>
  <si>
    <t>BANK</t>
  </si>
  <si>
    <t>TRSF E-BANKING DB TANGGAL :31/12</t>
  </si>
  <si>
    <t>TRSF E-BANKING DB TANGGAL :31/12 3112/FTSCY/WS95271 pelunasan BINTANG TAMA SANTO</t>
  </si>
  <si>
    <t>PRODUKSI</t>
  </si>
  <si>
    <t>TRSF E-BANKING DB TANGGAL :31/12 3112/FTSCY/WS95271 pelunasan EKO SETIYAWAN</t>
  </si>
  <si>
    <t>TRSF E-BANKING DB TANGGAL :31/12 3112/FTSCY/WS95271 kd bagus ardian ml g BROILER MAKMUR TAN</t>
  </si>
  <si>
    <t>TRSF E-BANKING DB TANGGAL :31/12 3112/FTSCY/WS95271 ANUGERAH KARTIKA A</t>
  </si>
  <si>
    <t>TRSF E-BANKING DB TANGGAL :31/12 3112/FTSCY/WS95031 kd Joko N bjn ANDALAN YASA MITRA</t>
  </si>
  <si>
    <t>TRSF E-BANKING DB TANGGAL :31/12 3112/FTSCY/WS95011 pemb. haraka ANDALAN YASA MITRA</t>
  </si>
  <si>
    <t>TRSF E-BANKING DB TANGGAL :31/12 3112/FTSCY/WS95011 tuban PITIK DIGITAL INDO</t>
  </si>
  <si>
    <t>TRSF E-BANKING DB TANGGAL :31/12 3112/FTSCY/WS95011 jombang PITIK DIGITAL INDO</t>
  </si>
  <si>
    <t>TRSF E-BANKING DB TANGGAL :31/12 3112/FTSCY/WS95011 kd sutrisno nganju DINA WIRANTI</t>
  </si>
  <si>
    <t>TRSF E-BANKING DB TANGGAL :31/12 3112/FTSCY/WS95271 pelunasan DINA WIRANTI</t>
  </si>
  <si>
    <t>TRSF E-BANKING DB TANGGAL :31/12 3112/FTSCY/WS95031 kd sugioni blitar GANESHA SATRIA NUS</t>
  </si>
  <si>
    <t>TRSF E-BANKING DB TANGGAL :31/12 3112/FTSCY/WS95271 krg 7.5 jt GANESHA SATRIA NUS</t>
  </si>
  <si>
    <t>TARIKAN ATM 31/12</t>
  </si>
  <si>
    <t>TRSF E-BANKING CR TANGGAL :31/12</t>
  </si>
  <si>
    <t>TRSF E-BANKING CR TANGGAL :31/12 3112/FTSCY/WS95051 AYAM HAIRUL TGL 31/12/2022 SUCI RAHARJO PT</t>
  </si>
  <si>
    <t>CR</t>
  </si>
  <si>
    <t>TRSF E-BANKING CR TANGGAL :31/12 3112/FTSCY/WS95031 ARUL BACHTIAR DWI</t>
  </si>
  <si>
    <t>TRSF E-BANKING DB TANGGAL :31/12 3112/FTSCY/WS95271 MUHAMMAD HAIRUL MA</t>
  </si>
  <si>
    <t>TRSF E-BANKING CR TANGGAL :31/12 31/12 /Z77A1/00000 ZAINAL ARIFIN</t>
  </si>
  <si>
    <t>TRSF E-BANKING CR TANGGAL :01/01</t>
  </si>
  <si>
    <t>TRSF E-BANKING CR TANGGAL :01/01 0101/FTSCY/WS95031 NURUL AINI</t>
  </si>
  <si>
    <t>TRSF E-BANKING DB TANGGAL :01/01</t>
  </si>
  <si>
    <t>TRSF E-BANKING DB TANGGAL :01/01 0101/FTSCY/WS95031 lunas GATUT SETYO WIBOWO</t>
  </si>
  <si>
    <t>TRSF E-BANKING DB TANGGAL :01/01 0101/FTSCY/WS95031 blitar saliman EKO SETIYAWAN</t>
  </si>
  <si>
    <t>TRSF E-BANKING CR TANGGAL :01/01 0101/FTSCY/WS95271 MUHAMMAD HAIRUL MA</t>
  </si>
  <si>
    <t>BYR VIA E-BANKING TANGGAL :01/01</t>
  </si>
  <si>
    <t>BYR VIA E-BANKING TANGGAL :01/01 01/01  WSID9503100 82318368518 MUHAMMAD HAIRUL MA</t>
  </si>
  <si>
    <t>TRSF E-BANKING CR TANGGAL :01/01 0101/FTSCY/WS95031 WAHYUDI</t>
  </si>
  <si>
    <t>TRSF E-BANKING CR TANGGAL :01/01 0101/FTSCY/WS95031 lunas NURUL AINI</t>
  </si>
  <si>
    <t>TRSF E-BANKING DB TANGGAL :01/01 0101/FTSCY/WS95271 probolinggo PITIK DIGITAL INDO</t>
  </si>
  <si>
    <t>TRSF E-BANKING DB TANGGAL :01/01 0101/FTSCY/WS95271 titip TABASSAM JAYA FARM</t>
  </si>
  <si>
    <t>TRSF E-BANKING DB TANGGAL :01/01 0101/FTSCY/WS95031 tuban PITIK DIGITAL INDO</t>
  </si>
  <si>
    <t>TRSF E-BANKING DB TANGGAL :01/01 0101/FTSCY/WS95271 tuban pelunasan PITIK DIGITAL INDO</t>
  </si>
  <si>
    <t>TRSF E-BANKING DB TANGGAL :01/01 0101/FTSCY/WS95271 titip BRANTAS ABADI SENT</t>
  </si>
  <si>
    <t>KARTU DEBIT</t>
  </si>
  <si>
    <t>KARTU DEBIT ALFAMRT Y207 BRTN 6019009510239343</t>
  </si>
  <si>
    <t>TRSF E-BANKING CR</t>
  </si>
  <si>
    <t>TRSF E-BANKING CR 0201/FTSCY/WS95051 50415300.00 hoirul kdr 26 des SENTRAL NIAGA UNGG</t>
  </si>
  <si>
    <t>TRSF E-BANKING CR 0201/FTSCY/WS95051 54305430.00 hoirul jbr 26 des SENTRAL NIAGA UNGG</t>
  </si>
  <si>
    <t>BI-FAST DB</t>
  </si>
  <si>
    <t>BI-FAST DB BIF TRANSFER KE 9 AHMAD LUTHFI FADHI M-BCA</t>
  </si>
  <si>
    <t>BI-FAST DB BIF BIAYA TXN KE 9 AHMAD LUTHFI FADHI M-BCA</t>
  </si>
  <si>
    <t>TRSF E-BANKING CR 0201/FTSCY/WS95051 164908500.00 krmn 30/12 HENDY BENEDICT LEO</t>
  </si>
  <si>
    <t>TRSF E-BANKING DB</t>
  </si>
  <si>
    <t>TRSF E-BANKING DB 0201/FTSCY/WS95031 42656900.00 pemb. kd sampang b litar BINTANG TAMA SANTO</t>
  </si>
  <si>
    <t>TRSF E-BANKING DB 0201/FTSCY/WS95031 49494000.00 pemb. kd ixwan rem bang TUMBUH OPTIMAL PRI</t>
  </si>
  <si>
    <t>TRSF E-BANKING DB 0201/FTSCY/WS95031 1649800.00 ANDE DOSO ANGGORO</t>
  </si>
  <si>
    <t>V_SALES</t>
  </si>
  <si>
    <t>TRSF E-BANKING DB 0201/FTSCY/WS95271 102700000.00 pelunasan BROILER MAKMUR TAN</t>
  </si>
  <si>
    <t>TRSF E-BANKING DB 0201/FTSCY/WS95271 26000000.00 pelunasan TABASSAM JAYA FARM</t>
  </si>
  <si>
    <t>TRSF E-BANKING CR 0201/FTSCY/WS95051 55800000.00 hoirul mlg 26 des SENTRAL NIAGA UNGG</t>
  </si>
  <si>
    <t>TRSF E-BANKING DB 0201/FTSCY/WS95271 54250000.00 3500kg kd imong mg tn UNGGAS MANDIRI BER</t>
  </si>
  <si>
    <t>TRSF E-BANKING CR 0201/FTSCY/WS95051 109403500.00 ah 3488.2+2947.3x 17000 GEMILANG INTI SUKS</t>
  </si>
  <si>
    <t>TRSF E-BANKING DB 0201/FTSCY/WS95271 48600000.00 pemb. kd Abrohim A mlg VIVI DWI OKTAVIA</t>
  </si>
  <si>
    <t>TRSF E-BANKING DB 0201/FTSCY/WS95271 46770550.00 lunas ANUGERAH KARTIKA A</t>
  </si>
  <si>
    <t>TRSF E-BANKING DB 0201/FTSCY/WS95011 40595200.00 jombang PITIK DIGITAL INDO</t>
  </si>
  <si>
    <t>TRSF E-BANKING CR 0201/FTSCY/WS95051 100000000.00 krmn 2/1 HENDY BENEDICT LEO</t>
  </si>
  <si>
    <t>TARIKAN ATM 02/01</t>
  </si>
  <si>
    <t>TRSF E-BANKING DB 0201/FTSCY/WS95011 53922000.00 pemb. setya rizal ngariboyo magetan RUKUN MITRA BERSAM</t>
  </si>
  <si>
    <t>TRSF E-BANKING DB 0201/FTSCY/WS95011 64290000.00 krg 30 jt SUPER UNGGAS JAYA</t>
  </si>
  <si>
    <t>TRSF E-BANKING DB TANGGAL :02/01</t>
  </si>
  <si>
    <t>TRSF E-BANKING DB TANGGAL :02/01 0201/FTSCY/WS95031 EKO SETIYAWAN</t>
  </si>
  <si>
    <t>TRSF E-BANKING CR TANGGAL :02/01</t>
  </si>
  <si>
    <t>TRSF E-BANKING CR TANGGAL :02/01 0201/FTSCY/WS95271 BYR AYAM JT 02.01 RPA SBU ALDINI MARIA GUMIL</t>
  </si>
  <si>
    <t>TRSF E-BANKING DB 0301/FTSCY/WS95031 30000000.00 pelunasan SUPER UNGGAS JAYA</t>
  </si>
  <si>
    <t>TRSF E-BANKING DB 0301/FTSCY/WS95031 3143000.00 NURHAYATI</t>
  </si>
  <si>
    <t>TRSF E-BANKING DB 0301/FTSCY/WS95031 23000000.00 pelunasan BRANTAS ABADI SENT</t>
  </si>
  <si>
    <t>TRSF E-BANKING CR 0301/FTSCY/WS95051 145930500.00 krmn 2/1 HENDY BENEDICT LEO</t>
  </si>
  <si>
    <t>TRSF E-BANKING CR 0301/FTSCY/WS95031 45000000.00 titip 45jt GATUT SETYO WIBOWO</t>
  </si>
  <si>
    <t>TRSF E-BANKING DB 0301/FTSCY/WS95271 101897694.00 tuban PITIK DIGITAL INDO</t>
  </si>
  <si>
    <t>TRSF E-BANKING DB 0301/FTSCY/WS95271 54250000.00 pemb. kd supriadi sragen RUKUN MITRA BERSAM</t>
  </si>
  <si>
    <t>TRSF E-BANKING CR 0301/FTSCY/WS95051 57144360.00 ah fm hairul 28/12 PHALOSARI UNGGUL J</t>
  </si>
  <si>
    <t>TRSF E-BANKING CR 0301/FTSCY/WS95051 117000000.00 ah 7500x15600 GEMILANG INTI SUKS</t>
  </si>
  <si>
    <t>TRSF E-BANKING CR 0301/FTSCY/WS95051 57253408.00 AYAM HAIRUL TGL 3/1/2023 SUCI RAHARJO PT</t>
  </si>
  <si>
    <t>TRSF E-BANKING DB 0301/FTSCY/WS95031 10598000.00 mjk EKO SETIYAWAN</t>
  </si>
  <si>
    <t>TRSF E-BANKING DB 0301/FTSCY/WS95011 150000000.00 probolinggo PITIK DIGITAL INDO</t>
  </si>
  <si>
    <t>TRSF E-BANKING DB 0301/FTSCY/WS95271 103200000.00 krg 75 jt ANDALAN YASA MITRA</t>
  </si>
  <si>
    <t>TRSF E-BANKING DB 0301/FTSCY/WS95031 595900.00 HALIM IBRAHIM</t>
  </si>
  <si>
    <t>TRSF E-BANKING CR 0301/FTSCY/WS95031 50000000.00 krmn 3 jan ERICKO HERMAWAN</t>
  </si>
  <si>
    <t>TRSF E-BANKING DB 0301/FTSCY/WS95011 46778150.00 pelunasan probolin PITIK DIGITAL INDO</t>
  </si>
  <si>
    <t>TRSF E-BANKING DB TANGGAL :03/01</t>
  </si>
  <si>
    <t>TRSF E-BANKING DB TANGGAL :03/01 0301/FTSCY/WS95031 magetan lidia MUJIANTO</t>
  </si>
  <si>
    <t>TRSF E-BANKING DB TANGGAL :03/01 0301/FTSCY/WS95031 krg 7.5 jt HERMAWAN</t>
  </si>
  <si>
    <t>TRSF E-BANKING DB TANGGAL :03/01 0301/FTSCY/WS95031 HERMAWAN</t>
  </si>
  <si>
    <t>TRSF E-BANKING CR 0401/FTSCY/WS95051 244348450.00 krmn 3/1 HENDY BENEDICT LEO</t>
  </si>
  <si>
    <t>TRSF E-BANKING DB 0401/FTSCY/WS95031 49915000.00 kd riwayanto blita r BERLIAN UNGGUL JAY</t>
  </si>
  <si>
    <t>TRSF E-BANKING DB 0401/FTSCY/WS95271 75000000.00 pelunasan ANDALAN YASA MITRA</t>
  </si>
  <si>
    <t>TRSF E-BANKING CR 0401/FTSCY/WS95051 54300000.00 hoirul jbr 26 des SENTRAL NIAGA UNGG</t>
  </si>
  <si>
    <t>TRSF E-BANKING CR 0401/FTSCY/WS95051 54300000.00 hoirul mlg 27 des SENTRAL NIAGA UNGG</t>
  </si>
  <si>
    <t>TRSF E-BANKING CR 0401/FTSCY/WS95051 52842240.00 hoirul kdr 28 des SENTRAL NIAGA UNGG</t>
  </si>
  <si>
    <t>TRSF E-BANKING CR 0401/FTSCY/WS95051 52852800.00 hoirul kdr 28 des SENTRAL NIAGA UNGG</t>
  </si>
  <si>
    <t>TRSF E-BANKING CR 0401/FTSCY/WS95051 50396640.00 hoirul jbr 29 des SENTRAL NIAGA UNGG</t>
  </si>
  <si>
    <t>TRSF E-BANKING CR 0401/FTSCY/WS95051 51300000.00 hoirul pas 29 des SENTRAL NIAGA UNGG</t>
  </si>
  <si>
    <t>TRSF E-BANKING CR 0401/FTSCY/WS95031 50000000.00 titip 50jt GATUT SETYO WIBOWO</t>
  </si>
  <si>
    <t>TRSF E-BANKING DB 0401/FTSCY/WS95011 167779440.00 t. agung PITIK DIGITAL INDO</t>
  </si>
  <si>
    <t>TRSF E-BANKING DB 0401/FTSCY/WS95011 88575400.00 kd yeny lambeyan magetan ANDALAN YASA MITRA</t>
  </si>
  <si>
    <t>TRSF E-BANKING DB 0401/FTSCY/WS95031 35871650.00 kd firman jbg ANUGERAH KARTIKA A</t>
  </si>
  <si>
    <t>TRSF E-BANKING DB 0401/FTSCY/WS95271 58090000.00 pemb. kd aris pupu t ANUGERAH KARTIKA A</t>
  </si>
  <si>
    <t>TRSF E-BANKING DB 0401/FTSCY/WS95271 48130600.00 pembm kd siswoyo ANDALAN YASA MITRA</t>
  </si>
  <si>
    <t>TRSF E-BANKING DB 0401/FTSCY/WS95271 108400000.00 pelunasan BROILER MAKMUR TAN</t>
  </si>
  <si>
    <t>TRSF E-BANKING CR 0401/FTSCY/WS95011 57600000.00 WAHYU MEGA ARSITA</t>
  </si>
  <si>
    <t>KARTU DEBIT ARDJUNA TOKO MAS-H 6019009510239343</t>
  </si>
  <si>
    <t>TRSF E-BANKING DB 0401/FTSCY/WS95011 48696000.00 pemb. kd sumarno mlg CV SURYA INTI TERN</t>
  </si>
  <si>
    <t>TRSF E-BANKING DB 0401/FTSCY/WS95031 8303530.00 pelunasan HERMAWAN</t>
  </si>
  <si>
    <t>TRSF E-BANKING CR 0401/FTSCY/WS95051 110796290.00 SIDO RAYA UTAMA CV</t>
  </si>
  <si>
    <t>TRSF E-BANKING DB 0401/FTSCY/WS95031 5355700.00 EKO SETIYAWAN</t>
  </si>
  <si>
    <t>TRSF E-BANKING DB 0401/FTSCY/WS95271 1991700.00 mlg mjk MUJIANTO</t>
  </si>
  <si>
    <t>KARTU DEBIT ALFAMRT Y073 SUDI 6019009510239343</t>
  </si>
  <si>
    <t>TRSF E-BANKING DB 0501/FTSCY/WS95031 48771000.00 pemb. kd isni V bl itar GANESHA SATRIA NUS</t>
  </si>
  <si>
    <t>TRSF E-BANKING DB 0501/FTSCY/WS95031 47115700.00 Fri Jan 02 2026 15:00:00 GMT+0700 (Western Indonesia Time) ANUGERAH KARTIKA A</t>
  </si>
  <si>
    <t>TRSF E-BANKING CR 0501/FTSCY/WS95051 192609250.00 krmn 4/1 HENDY BENEDICT LEO</t>
  </si>
  <si>
    <t>TRSF E-BANKING CR 0501/FTSCY/WS95051 213686790.00 ah hairul tg 29/12 PHALOSARI UNGGUL J</t>
  </si>
  <si>
    <t>TRSF E-BANKING CR 0501/FTSCY/WS95051 51300000.00 hoirul pas 29 des SENTRAL NIAGA UNGG</t>
  </si>
  <si>
    <t>TRSF E-BANKING CR 0501/FTSCY/WS95051 48300000.00 hoirul jbg 1 jan SENTRAL NIAGA UNGG</t>
  </si>
  <si>
    <t>TRSF E-BANKING CR 0501/FTSCY/WS95051 49200000.00 hoirul mlg 30 des SENTRAL NIAGA UNGG</t>
  </si>
  <si>
    <t>TRSF E-BANKING CR 0501/FTSCY/WS95051 48300000.00 hoirul pas 1 jan SENTRAL NIAGA UNGG</t>
  </si>
  <si>
    <t>TRSF E-BANKING CR 0501/FTSCY/WS95051 48300000.00 hoirul blt 2 jan SENTRAL NIAGA UNGG</t>
  </si>
  <si>
    <t>TRSF E-BANKING CR 0501/FTSCY/WS95051 124260000.00 AH 3800 x 16100 AH 3800 x 16600 GEMILANG INTI SUKS</t>
  </si>
  <si>
    <t>TRSF E-BANKING CR 0501/FTSCY/WS95011 102237000.00 WAHYU MEGA ARSITA</t>
  </si>
  <si>
    <t>TRSF E-BANKING DB 0501/FTSCY/WS95271 159200500.00 04/12 lunas TUMBUH OPTIMAL PRI</t>
  </si>
  <si>
    <t>TRSF E-BANKING DB 0501/FTSCY/WS95271 5135500.00 ANDE DOSO ANGGORO</t>
  </si>
  <si>
    <t>TRSF E-BANKING DB 0501/FTSCY/WS95011 246668250.00 tuban 02/12 PITIK DIGITAL INDO</t>
  </si>
  <si>
    <t>TRSF E-BANKING DB 0501/FTSCY/WS95271 129788880.00 pelunasan t. agung PITIK DIGITAL INDO</t>
  </si>
  <si>
    <t>TRSF E-BANKING DB 0501/FTSCY/WS95011 57240000.00 pemb. kd stefi jbg ANDALAN YASA MITRA</t>
  </si>
  <si>
    <t>TRSF E-BANKING DB 0501/FTSCY/WS95011 94596500.00 pemb. kd sarpiah mlg CV SURYA INTI TERN</t>
  </si>
  <si>
    <t>TRSF E-BANKING DB 0501/FTSCY/WS95011 47522330.00 pemb. slamet t. ag SUPER UNGGAS JAYA</t>
  </si>
  <si>
    <t>TRSF E-BANKING DB 0501/FTSCY/WS95031 605380.00 NURHAYATI</t>
  </si>
  <si>
    <t>TRSF E-BANKING DB 0501/FTSCY/WS95031 1818980.00 HALIM IBRAHIM</t>
  </si>
  <si>
    <t>TRSF E-BANKING DB 0501/FTSCY/WS95011 52029520.00 pobolinggo PITIK DIGITAL INDO</t>
  </si>
  <si>
    <t>TRSF E-BANKING CR 0501/FTSCY/WS95051 59189500.00 SIDO RAYA UTAMA CV</t>
  </si>
  <si>
    <t>VSALES</t>
  </si>
  <si>
    <t>TARIKAN ATM 05/01</t>
  </si>
  <si>
    <t>TRSF E-BANKING CR TANGGAL :05/01</t>
  </si>
  <si>
    <t>TRSF E-BANKING CR TANGGAL :05/01 0501/FTSCY/WS95031 titip 45jt GATUT SETYO WIBOWO</t>
  </si>
  <si>
    <t>TRSF E-BANKING DB TANGGAL :05/01</t>
  </si>
  <si>
    <t>TRSF E-BANKING DB TANGGAL :05/01 0501/FTSCY/WS95271 blitar mjk GATUT SETYO WIBOWO</t>
  </si>
  <si>
    <t>TRSF E-BANKING DB TANGGAL :05/01 0501/FTSCY/WS95271 bjn lidia MUJIANTO</t>
  </si>
  <si>
    <t>TRSF E-BANKING DB 0601/FTSCY/WS95271 90000000.00 pelunasan probolin ggo PITIK DIGITAL INDO</t>
  </si>
  <si>
    <t>TRSF E-BANKING DB 0601/FTSCY/WS95271 56000000.00 tuban PITIK DIGITAL INDO</t>
  </si>
  <si>
    <t>TRSF E-BANKING DB 0601/FTSCY/WS95271 58195500.00 kd robert candra ANUGERAH KARTIKA A</t>
  </si>
  <si>
    <t>TRSF E-BANKING DB 0601/FTSCY/WS95271 52500000.00 Sun Jan 04 2026 15:00:00 GMT+0700 (Western Indonesia Time) ANUGERAH KARTIKA A</t>
  </si>
  <si>
    <t>TRSF E-BANKING DB 0601/FTSCY/WS95271 5361300.00 05/01 lunas EKO SETIYAWAN</t>
  </si>
  <si>
    <t>TRSF E-BANKING DB 0601/FTSCY/WS95271 2940000.00 05/01 lunas HERMAWAN</t>
  </si>
  <si>
    <t>TRSF E-BANKING CR 0601/FTSCY/WS95051 106931010.00 ah hairul tg 30/12 PHALOSARI UNGGUL J</t>
  </si>
  <si>
    <t>TRSF E-BANKING DB 0601/FTSCY/WS95031 56000000.00 sragen PITIK DIGITAL INDO</t>
  </si>
  <si>
    <t>TRSF E-BANKING DB 0601/FTSCY/WS95271 10000000.00 titip SUGENG RIADI</t>
  </si>
  <si>
    <t>TRSF E-BANKING DB 0601/FTSCY/WS95031 40000000.00 tot. titip 50 jt SUGENG RIADI</t>
  </si>
  <si>
    <t>TRSF E-BANKING CR 0601/FTSCY/WS95051 47832350.00 UNGGAS BERKAH ABAD</t>
  </si>
  <si>
    <t>TRSF E-BANKING CR 0601/FTSCY/WS95051 274866145.00 krmn 5/1 HENDY BENEDICT LEO</t>
  </si>
  <si>
    <t>TRSF E-BANKING DB 0601/FTSCY/WS95011 95185600.00 kd evin mlg lunas ANUGERAH KARTIKA A</t>
  </si>
  <si>
    <t>TRSF E-BANKING DB 0601/FTSCY/WS95011 62700000.00 p3mb. kd stefy jbg lunas ANDALAN YASA MITRA</t>
  </si>
  <si>
    <t>TRSF E-BANKING DB 0601/FTSCY/WS95011 50880000.00 pemb. widiyanto jember CV SURYA INTI TERN</t>
  </si>
  <si>
    <t>TRSF E-BANKING DB 0601/FTSCY/WS95011 58195500.00 pemb. kd candra A blitar ANUGERAH KARTIKA A</t>
  </si>
  <si>
    <t>TRSF E-BANKING DB 0601/FTSCY/WS95011 54928700.00 tuban PITIK DIGITAL INDO</t>
  </si>
  <si>
    <t>TRSF E-BANKING DB 0601/FTSCY/WS95031 144500.00 plunasan RUKUN MITRA BERSAM</t>
  </si>
  <si>
    <t>TRSF E-BANKING CR 0601/FTSCY/WS95051 49800000.00 hoirul tbn 4 jan SENTRAL NIAGA UNGG</t>
  </si>
  <si>
    <t>TRSF E-BANKING CR 0601/FTSCY/WS95051 47945440.00 hoirul tbn 4 jan SENTRAL NIAGA UNGG</t>
  </si>
  <si>
    <t>TRSF E-BANKING CR 0601/FTSCY/WS95051 175233450.00 SIDO RAYA UTAMA CV</t>
  </si>
  <si>
    <t>TRSF E-BANKING DB 0601/FTSCY/WS95011 54870000.00 pemb. kd ismi blit GANESHA SATRIA NUS</t>
  </si>
  <si>
    <t>TRSF E-BANKING DB 0601/FTSCY/WS95011 97231200.00 04/01 tuban PITIK DIGITAL INDO</t>
  </si>
  <si>
    <t>TRSF E-BANKING CR 0601/FTSCY/WS95271 52850000.00 Byr Ayam JT 07.01 RPA SBU ALDINI MARIA GUMIL</t>
  </si>
  <si>
    <t>TRSF E-BANKING DB 0701/FTSCY/WS95031 5930000.00 0601 lunas EKO SETIYAWAN</t>
  </si>
  <si>
    <t>TRSF E-BANKING DB 0701/FTSCY/WS95031 2234500.00 mlg sidoarjo 0601 lunas MUJIANTO</t>
  </si>
  <si>
    <t>TRSF E-BANKING DB 0701/FTSCY/WS95031 3338400.00 blitar sidoraya HERMAWAN</t>
  </si>
  <si>
    <t>TRSF E-BANKING DB 0701/FTSCY/WS95031 47832350.00 pemb. kd yuli mage tan BROILER MAKMUR TAN</t>
  </si>
  <si>
    <t>TRSF E-BANKING DB 0701/FTSCY/WS95271 56322750.00 pembm kd ekam mlg ANDALAN YASA MITRA</t>
  </si>
  <si>
    <t>TRSF E-BANKING CR 0701/FTSCY/WS95051 150846380.00 krmn 6/1 HENDY BENEDICT LEO</t>
  </si>
  <si>
    <t>TRSF E-BANKING CR 0701/FTSCY/WS95051 100732730.00 ah fm hairul 31/12 PHALOSARI UNGGUL J</t>
  </si>
  <si>
    <t>TRSF E-BANKING DB 0701/FTSCY/WS95031 300000.00 NURUL AINI</t>
  </si>
  <si>
    <t>NURUL_AINI</t>
  </si>
  <si>
    <t>TRSF E-BANKING CR 0701/FTSCY/WS95051 56836552.00 AYAM HAIRUL TGL 7/1/2023 SUCI RAHARJO PT</t>
  </si>
  <si>
    <t>TRSF E-BANKING CR 0701/FTSCY/WS95051 133244600.00 AH 7702 17300 GEMILANG INTI SUKS</t>
  </si>
  <si>
    <t>TRSF E-BANKING DB 0701/FTSCY/WS95271 152707200.00 pelunasan 04/05 tu ban PITIK DIGITAL INDO</t>
  </si>
  <si>
    <t>TRSF E-BANKING DB 0701/FTSCY/WS95011 101238250.00 pemb. kd karyani blitar SUPER UNGGAS JAYA</t>
  </si>
  <si>
    <t>TRSF E-BANKING DB 0701/FTSCY/WS95011 95049900.00 pemb. kd mogie P probolinggo PITIK DIGITAL INDO</t>
  </si>
  <si>
    <t>TRSF E-BANKING DB 0701/FTSCY/WS95031 1800650.00 NURHAYATI</t>
  </si>
  <si>
    <t>TRSF E-BANKING DB 0701/FTSCY/WS95011 119700000.00 pemb. kd doni blitar BINTANG TAMA SANTO</t>
  </si>
  <si>
    <t>TRSF E-BANKING DB 0701/FTSCY/WS95011 30447000.00 krg 95 jt SUGENG RIADI</t>
  </si>
  <si>
    <t>TRSF E-BANKING CR 0701/FTSCY/WS95031 46946140.00 lunas GATUT SETYO WIBOWO</t>
  </si>
  <si>
    <t>TRSF E-BANKING DB 0701/FTSCY/WS95031 3400000.00 titip NUR FAIZIN</t>
  </si>
  <si>
    <t>TRSF E-BANKING CR 0701/FTSCY/WS95051 111071160.00 SIDO RAYA UTAMA CV</t>
  </si>
  <si>
    <t>TRSF E-BANKING DB 0701/FTSCY/WS95031 2060580.00 lunas HERMAWAN</t>
  </si>
  <si>
    <t>TRSF E-BANKING DB 0701/FTSCY/WS95011 95000000.00 pelunasan SUGENG RIADI</t>
  </si>
  <si>
    <t>TRSF E-BANKING CR TANGGAL :07/01</t>
  </si>
  <si>
    <t>TRSF E-BANKING CR TANGGAL :07/01 0701/FTSCY/WS95031 NUR FAIZIN</t>
  </si>
  <si>
    <t>TRSF E-BANKING DB TANGGAL :07/01</t>
  </si>
  <si>
    <t>TRSF E-BANKING DB TANGGAL :07/01 0701/FTSCY/WS95031 GATUT SETYO WIBOWO</t>
  </si>
  <si>
    <t>TRSF E-BANKING CR 0801/FTSCY/WS95031 49829400.00 ZAINAL ARIFIN</t>
  </si>
  <si>
    <t>TRSF E-BANKING DB 0801/FTSCY/WS95031 68513540.00 pemb. kd luluk.bli tar GANESHA SATRIA NUS</t>
  </si>
  <si>
    <t>TRSF E-BANKING CR 0801/FTSCY/WS95011 160565750.00 WAHYU MEGA ARSITA</t>
  </si>
  <si>
    <t>TRSF E-BANKING DB 0801/FTSCY/WS95271 61235700.00 pemb. kd rafiq mag etan RUKUN MITRA BERSAM</t>
  </si>
  <si>
    <t>TRSF E-BANKING DB 0801/FTSCY/WS95271 111734690.00 pemb. kd nur faizi n lmjg BROILER MAKMUR TAN</t>
  </si>
  <si>
    <t>TRSF E-BANKING DB 0801/FTSCY/WS95031 3000000.00 MUJIANTO</t>
  </si>
  <si>
    <t>TRSF E-BANKING DB 0801/FTSCY/WS95031 18404400.00 lunas EKO SETIYAWAN</t>
  </si>
  <si>
    <t>TRSF E-BANKING CR TANGGAL :08/01</t>
  </si>
  <si>
    <t>TRSF E-BANKING CR TANGGAL :08/01 0801/FTSCY/WS95031 lunas GATUT SETYO WIBOWO</t>
  </si>
  <si>
    <t>TRSF E-BANKING DB 0901/FTSCY/WS95031 1821400.00 HALIM IBRAHIM</t>
  </si>
  <si>
    <t>TRSF E-BANKING DB 0901/FTSCY/WS95031 33233300.00 plunasan DINA WIRANTI</t>
  </si>
  <si>
    <t>TRSF E-BANKING CR 0901/FTSCY/WS95051 112959132.00 krmn 7/1 TERA MAKMURINDO CV</t>
  </si>
  <si>
    <t>TRSF E-BANKING CR 0901/FTSCY/WS95051 334113255.00 krmn 7/1 HENDY BENEDICT LEO</t>
  </si>
  <si>
    <t>TRSF E-BANKING DB 0901/FTSCY/WS95271 93380210.00 pelunasan ANUGERAH KARTIKA A</t>
  </si>
  <si>
    <t>TRSF E-BANKING DB 0901/FTSCY/WS95271 99000000.00 tuban PITIK DIGITAL INDO</t>
  </si>
  <si>
    <t>TRSF E-BANKING DB 0901/FTSCY/WS95271 65360000.00 kd siswoyo b bojon egoro ANDALAN YASA MITRA</t>
  </si>
  <si>
    <t>TRSF E-BANKING CR 0901/FTSCY/WS95051 54950000.00 Clossing 8 Jan 3500Kg SUGENG MARIONO</t>
  </si>
  <si>
    <t>TRSF E-BANKING CR 0901/FTSCY/WS95051 70572480.00 Pembelian ayam TRIJAYA LESTARI FO</t>
  </si>
  <si>
    <t>TRSF E-BANKING CR 0901/FTSCY/WS95051 153539400.00 ah fm hairul 2/1 PHALOSARI UNGGUL J</t>
  </si>
  <si>
    <t>TRSF E-BANKING CR 0901/FTSCY/WS95051 49808300.00 hoirul mlg 4 jan SENTRAL NIAGA UNGG</t>
  </si>
  <si>
    <t>TRSF E-BANKING CR 0901/FTSCY/WS95051 50100000.00 hoirul tbn 5 jan SENTRAL NIAGA UNGG</t>
  </si>
  <si>
    <t>TRSF E-BANKING CR 0901/FTSCY/WS95051 51300000.00 hoirul bojo 6 jan SENTRAL NIAGA UNGG</t>
  </si>
  <si>
    <t>TRSF E-BANKING CR 0901/FTSCY/WS95051 51313600.00 hoirul bojo 6 jan SENTRAL NIAGA UNGG</t>
  </si>
  <si>
    <t>TRSF E-BANKING CR 0901/FTSCY/WS95051 51300000.00 Thu Jan 08 2026 15:00:00 GMT+0700 (Western Indonesia Time) ARI RIAMAWATY</t>
  </si>
  <si>
    <t>TRSF E-BANKING CR 0901/FTSCY/WS95011 59850000.00 Byr Ayam JT 09.01 RPA SBU ALDINI MARIA GUMIL</t>
  </si>
  <si>
    <t>TRSF E-BANKING DB 0901/FTSCY/WS95011 152997600.00 pelunasan probolin ggo PITIK DIGITAL INDO</t>
  </si>
  <si>
    <t>TRSF E-BANKING DB 0901/FTSCY/WS95011 88270800.00 pemb. 06 dan 07 lunas SUPER UNGGAS JAYA</t>
  </si>
  <si>
    <t>TRSF E-BANKING DB 0901/FTSCY/WS95011 106585360.00 pelunasan BROILER MAKMUR TAN</t>
  </si>
  <si>
    <t>TRSF E-BANKING DB 0901/FTSCY/WS95011 102013600.00 pelunasan tuban PITIK DIGITAL INDO</t>
  </si>
  <si>
    <t>TRSF E-BANKING DB 0901/FTSCY/WS95011 50000000.00 pemb. kd yudi s BINTANG TAMA SANTO</t>
  </si>
  <si>
    <t>TRSF E-BANKING DB 0901/FTSCY/WS95031 1000000.00 pelunasan BINTANG TAMA SANTO</t>
  </si>
  <si>
    <t>TRSF E-BANKING DB 0901/FTSCY/WS95271 40000000.00 titip SUGENG RIADI</t>
  </si>
  <si>
    <t>TRSF E-BANKING DB 0901/FTSCY/WS95031 52554600.00 pemb. kd bromax pl umpang ANDALAN YASA MITRA</t>
  </si>
  <si>
    <t>TRSF E-BANKING CR TANGGAL :09/01</t>
  </si>
  <si>
    <t>TRSF E-BANKING CR TANGGAL :09/01 0901/FTSCY/WS95031 titip 35jt GATUT SETYO WIBOWO</t>
  </si>
  <si>
    <t>TRSF E-BANKING CR TANGGAL :09/01 0901/FTSCY/WS95051 SIDO RAYA UTAMA CV</t>
  </si>
  <si>
    <t>TRSF E-BANKING DB 1001/FTSCY/WS95031 1620400.00 MUJIANTO</t>
  </si>
  <si>
    <t>TRSF E-BANKING DB 1001/FTSCY/WS95031 58449400.00 pemb. kd stefi jom bang ANDALAN YASA MITRA</t>
  </si>
  <si>
    <t>TRSF E-BANKING CR 1001/FTSCY/WS95051 276355860.00 krmn 9/1 HENDY BENEDICT LEO</t>
  </si>
  <si>
    <t>TRSF E-BANKING DB 1001/FTSCY/WS95031 1500000.00 GATUT SETYO WIBOWO</t>
  </si>
  <si>
    <t>TRSF E-BANKING CR 1001/FTSCY/WS95051 147394080.00 ah fm hairul 3/1 PHALOSARI UNGGUL J</t>
  </si>
  <si>
    <t>TRSF E-BANKING DB 1001/FTSCY/WS95271 49500000.00 titip UNGGAS MANDIRI BER</t>
  </si>
  <si>
    <t>TRSF E-BANKING CR 1001/FTSCY/WS95051 190665000.00 do 11225x17100 dipot 1282500 GEMILANG INTI SUKS</t>
  </si>
  <si>
    <t>TRSF E-BANKING CR 1001/FTSCY/WS95051 50529600.00 krman 2807.2x18000 GEMILANG INTI SUKS</t>
  </si>
  <si>
    <t>TRSF E-BANKING CR 1001/FTSCY/WS95011 61200000.00 WAHYU MEGA ARSITA</t>
  </si>
  <si>
    <t>TRSF E-BANKING CR 1001/FTSCY/WS95051 46817550.00 WAHYUDI</t>
  </si>
  <si>
    <t>TRSF E-BANKING CR 1001/FTSCY/WS95271 50100000.00 Byr Ayam JT 12.01 RPA SBU ALDINI MARIA GUMIL</t>
  </si>
  <si>
    <t>TRSF E-BANKING CR 1001/FTSCY/WS95051 63859610.00 SIDO RAYA UTAMA CV</t>
  </si>
  <si>
    <t>TRSF E-BANKING DB 1001/FTSCY/WS95271 113851600.00 t. agung PITIK DIGITAL INDO</t>
  </si>
  <si>
    <t>TRSF E-BANKING DB 1001/FTSCY/WS95271 90937760.00 08/01 jombang BROILER MAKMUR TAN</t>
  </si>
  <si>
    <t>TRSF E-BANKING DB 1001/FTSCY/WS95271 44820800.00 08/01 magetan krg 63 jt BROILER MAKMUR TAN</t>
  </si>
  <si>
    <t>TRSF E-BANKING DB 1001/FTSCY/WS95011 63000000.00 pelunasan 08/01 magetan BROILER MAKMUR TAN</t>
  </si>
  <si>
    <t>TRSF E-BANKING DB 1001/FTSCY/WS95011 61057200.00 pemb. kd sukardi magetan RUKUN MITRA BERSAM</t>
  </si>
  <si>
    <t>TRSF E-BANKING DB 1001/FTSCY/WS95011 41999250.00 pemb. kd suprianto blitar ANUGERAH KARTIKA A</t>
  </si>
  <si>
    <t>TRSF E-BANKING DB 1001/FTSCY/WS95011 54339900.00 pemb. kd sanusi magetan ANUGERAH KARTIKA A</t>
  </si>
  <si>
    <t>TRSF E-BANKING DB 1001/FTSCY/WS95011 52288000.00 pemb. kd samuri ANUGERAH KARTIKA A</t>
  </si>
  <si>
    <t>TRSF E-BANKING DB 1001/FTSCY/WS95011 51773500.00 pemb. kd jaenuri kdr ANUGERAH KARTIKA A</t>
  </si>
  <si>
    <t>TRSF E-BANKING DB 1001/FTSCY/WS95011 51000000.00 pemb. kd rama pasu ANDALAN YASA MITRA</t>
  </si>
  <si>
    <t>TRSF E-BANKING DB 1001/FTSCY/WS95011 54250000.00 kd senin blitar SUPER UNGGAS JAYA</t>
  </si>
  <si>
    <t>TRSF E-BANKING DB 1001/FTSCY/WS95031 600000.00 2500  3500 NURHAYATI</t>
  </si>
  <si>
    <t>TRSF E-BANKING DB 1001/FTSCY/WS95031 14390000.00 pelunasan SUGENG RIADI</t>
  </si>
  <si>
    <t>TRSF E-BANKING DB 1001/FTSCY/WS95031 2654400.00 HERMAWAN</t>
  </si>
  <si>
    <t>TRSF E-BANKING DB 1001/FTSCY/WS95031 2448900.00 magetan sidoraya HERMAWAN</t>
  </si>
  <si>
    <t>TRSF E-BANKING DB 1001/FTSCY/WS95011 51840000.00 titip 3200 kg WIWIK NURHAYATI</t>
  </si>
  <si>
    <t>TRSF E-BANKING DB 1001/FTSCY/WS95031 4500000.00 EKO SETIYAWAN</t>
  </si>
  <si>
    <t>TRSF E-BANKING CR TANGGAL :10/01</t>
  </si>
  <si>
    <t>TRSF E-BANKING CR TANGGAL :10/01 1001/FTSCY/WS95031 lunas GATUT SETYO WIBOWO</t>
  </si>
  <si>
    <t>TRSF E-BANKING DB TANGGAL :10/01</t>
  </si>
  <si>
    <t>TRSF E-BANKING DB TANGGAL :10/01 1001/FTSCY/WS95031 kdr lidia MUJIANTO</t>
  </si>
  <si>
    <t>TRSF E-BANKING DB TANGGAL :10/01 1001/FTSCY/WS95031 EKO SETIYAWAN</t>
  </si>
  <si>
    <t>BI-FAST DB TANGGAL :10/01</t>
  </si>
  <si>
    <t>BI-FAST DB TANGGAL :10/01 BIF TRANSFER KE ADIRA MUHAMMAD HAI M-BCA</t>
  </si>
  <si>
    <t>BI-FAST DB TANGGAL :10/01 BIF BIAYA TXN KE ADIRA MUHAMMAD HAI M-BCA</t>
  </si>
  <si>
    <t>BI-FAST DB TANGGAL :10/01 BIF TRANSFER KE TURYADI M-BCA</t>
  </si>
  <si>
    <t>BI-FAST DB TANGGAL :10/01 BIF BIAYA TXN KE TURYADI M-BCA</t>
  </si>
  <si>
    <t>TRSF E-BANKING DB 1101/FTSCY/WS95271 108565400.00 pemb. do 09/01 lun as ANUGERAH KARTIKA A</t>
  </si>
  <si>
    <t>TRSF E-BANKING DB 1101/FTSCY/WS95271 111000000.00 pelunasan 09/01 SUPER UNGGAS JAYA</t>
  </si>
  <si>
    <t>TRSF E-BANKING DB 1101/FTSCY/WS95271 80000000.00 krg 81.5 jt ANDALAN YASA MITRA</t>
  </si>
  <si>
    <t>TRSF E-BANKING DB 1101/FTSCY/WS95031 81500000.00 pelunasan 09.01 ANDALAN YASA MITRA</t>
  </si>
  <si>
    <t>BYR VIA E-BANKING</t>
  </si>
  <si>
    <t>BYR VIA E-BANKING 11/01  WSID9503101 0507 FIF 803001249921 MUHAMMAD HAIRUL MA</t>
  </si>
  <si>
    <t>TRSF E-BANKING CR 1101/FTSCY/WS95051 215806500.00 krmn 10/1 HENDY BENEDICT LEO</t>
  </si>
  <si>
    <t>TARIKAN ATM 11/01</t>
  </si>
  <si>
    <t>TRSF E-BANKING CR 1101/FTSCY/WS95051 51300000.00 hoirul pas 8 jan SENTRAL NIAGA UNGG</t>
  </si>
  <si>
    <t>TRSF E-BANKING CR 1101/FTSCY/WS95051 49800000.00 hoirul probo 9 jan SENTRAL NIAGA UNGG</t>
  </si>
  <si>
    <t>TRSF E-BANKING CR 1101/FTSCY/WS95051 37963200.00 ah hairul tg 4/1 PHALOSARI UNGGUL J</t>
  </si>
  <si>
    <t>TRSF E-BANKING CR 1101/FTSCY/WS95051 49035780.00 ah hairul tg 4/1 PHALOSARI UNGGUL J</t>
  </si>
  <si>
    <t>TRSF E-BANKING CR 1101/FTSCY/WS95011 110884200.00 WAHYU MEGA ARSITA</t>
  </si>
  <si>
    <t>TRSF E-BANKING CR 1101/FTSCY/WS95051 192241620.00 AH 11242,2 17100 GEMILANG INTI SUKS</t>
  </si>
  <si>
    <t>TRSF E-BANKING DB 1101/FTSCY/WS95011 232269300.00 pemb. 09/01 BROILER MAKMUR TAN</t>
  </si>
  <si>
    <t>TRSF E-BANKING DB 1101/FTSCY/WS95011 38686450.00 t. agung PITIK DIGITAL INDO</t>
  </si>
  <si>
    <t>TRSF E-BANKING DB 1101/FTSCY/WS95011 50388000.00 pemb. kd tubianto madiun RUKUN MITRA BERSAM</t>
  </si>
  <si>
    <t>TRSF E-BANKING DB 1101/FTSCY/WS95011 38750000.00 pemb. kd andi w blitar SUPER UNGGAS JAYA</t>
  </si>
  <si>
    <t>TRSF E-BANKING DB 1101/FTSCY/WS95011 64586730.00 pemb. kd syaiful h kdr BINTANG TAMA SANTO</t>
  </si>
  <si>
    <t>TRSF E-BANKING CR 1101/FTSCY/WS95271 42789600.00 Byr Ayam CBD RPA S BU ALDINI MARIA GUMIL</t>
  </si>
  <si>
    <t>TRSF E-BANKING CR TANGGAL :11/01</t>
  </si>
  <si>
    <t>TRSF E-BANKING CR TANGGAL :11/01 1101/FTSCY/WS95051 SIDO RAYA UTAMA CV</t>
  </si>
  <si>
    <t>TRSF E-BANKING CR 12/01 /Z77A1/00000 ZAINAL ARIFIN</t>
  </si>
  <si>
    <t>TRSF E-BANKING DB 1201/FTSCY/WS95031 8421950.00 pelunasan WIWIK NURHAYATI</t>
  </si>
  <si>
    <t>TRSF E-BANKING DB 1201/FTSCY/WS95031 48000000.00 probolinggo PITIK DIGITAL INDO</t>
  </si>
  <si>
    <t>TRSF E-BANKING DB 1201/FTSCY/WS95031 1200000.00 HALIM IBRAHIM</t>
  </si>
  <si>
    <t>TRSF E-BANKING DB 1201/FTSCY/WS95271 51600000.00 pemb. kd andri bli tar ANUGERAH KARTIKA A</t>
  </si>
  <si>
    <t>TRSF E-BANKING DB 1201/FTSCY/WS95271 42789600.00 pemb. kd kadek nga wi BROILER MAKMUR TAN</t>
  </si>
  <si>
    <t>TRSF E-BANKING DB 1201/FTSCY/WS95271 51000000.00 pemb. kd steffy jo mbang ANDALAN YASA MITRA</t>
  </si>
  <si>
    <t>TRSF E-BANKING DB 1201/FTSCY/WS95271 119000000.00 pemb. kd bromax pl umpang ANDALAN YASA MITRA</t>
  </si>
  <si>
    <t>TRSF E-BANKING DB 1201/FTSCY/WS95031 1702800.00 HERMAWAN</t>
  </si>
  <si>
    <t>TRSF E-BANKING DB 1201/FTSCY/WS95031 1831770.00 tuban lidia MUJIANTO</t>
  </si>
  <si>
    <t>TRSF E-BANKING DB 1201/FTSCY/WS95031 7123500.00 pelunasan EKO SETIYAWAN</t>
  </si>
  <si>
    <t>TRSF E-BANKING CR 1201/FTSCY/WS95031 37750000.00 lunas GATUT SETYO WIBOWO</t>
  </si>
  <si>
    <t>TRSF E-BANKING CR 1201/FTSCY/WS95051 313639200.00 krmn 11/1 HENDY BENEDICT LEO</t>
  </si>
  <si>
    <t>TRSF E-BANKING CR 1201/FTSCY/WS95051 51300000.00 hoirul jbg 10 jan SENTRAL NIAGA UNGG</t>
  </si>
  <si>
    <t>TRSF E-BANKING CR 1201/FTSCY/WS95051 48600000.00 ah fm hairul 5/1 PHALOSARI UNGGUL J</t>
  </si>
  <si>
    <t>TRSF E-BANKING CR 1201/FTSCY/WS95051 51000000.00 UNGGAS BERKAH ABAD</t>
  </si>
  <si>
    <t>TRSF E-BANKING CR 1201/FTSCY/WS95011 61318740.00 WAHYU MEGA ARSITA</t>
  </si>
  <si>
    <t>TRSF E-BANKING DB 1201/FTSCY/WS95031 2100000.00 TOTOK HIDAYAT</t>
  </si>
  <si>
    <t>TRSF E-BANKING CR 1201/FTSCY/WS95051 98445740.00 SIDO RAYA UTAMA CV</t>
  </si>
  <si>
    <t>TARIKAN ATM 12/01</t>
  </si>
  <si>
    <t>BYR VIA E-BANKING 12/01  WSID9503100 0865 PLN PREPAID 32104859353 MUHAMMAD HAIRUL MA</t>
  </si>
  <si>
    <t>TRSF E-BANKING CR 1201/FTSCY/WS95271 67983220.00 Byr Ayam JT 14.01R PA SBU ALDINI MARIA GUMIL</t>
  </si>
  <si>
    <t>TRSF E-BANKING DB TANGGAL :12/01</t>
  </si>
  <si>
    <t>TRSF E-BANKING DB TANGGAL :12/01 1201/FTSCY/WS95011 pemb. kd wonggo malang GANESHA SATRIA NUS</t>
  </si>
  <si>
    <t>TRSF E-BANKING DB TANGGAL :12/01 1201/FTSCY/WS95011 tuban PITIK DIGITAL INDO</t>
  </si>
  <si>
    <t>TRSF E-BANKING DB TANGGAL :12/01 1201/FTSCY/WS95011 jombang PITIK DIGITAL INDO</t>
  </si>
  <si>
    <t>TRSF E-BANKING DB TANGGAL :12/01 1201/FTSCY/WS95011 probolinggo PITIK DIGITAL INDO</t>
  </si>
  <si>
    <t>TRSF E-BANKING DB TANGGAL :12/01 1201/FTSCY/WS95011 pelunasan SUPER UNGGAS JAYA</t>
  </si>
  <si>
    <t>TRSF E-BANKING DB TANGGAL :12/01 1201/FTSCY/WS95011 pemb. farm sugeng RUKUN MITRA BERSAM</t>
  </si>
  <si>
    <t>TRSF E-BANKING DB 1301/FTSCY/WS95031 48600000.00 kd anik handayani jbr TERNAK SEJATI TABA</t>
  </si>
  <si>
    <t>TRSF E-BANKING DB 1301/FTSCY/WS95271 98651000.00 malang PITIK DIGITAL INDO</t>
  </si>
  <si>
    <t>TRSF E-BANKING DB 1301/FTSCY/WS95271 54816400.00 tulung agung PITIK DIGITAL INDO</t>
  </si>
  <si>
    <t>TRSF E-BANKING DB 1301/FTSCY/WS95271 40118400.00 kd santoso magetan BINTANG TAMA SANTO</t>
  </si>
  <si>
    <t>TRSF E-BANKING DB 1301/FTSCY/WS95271 48107200.00 pemb. kd budi susa nto ngawi BINTANG TAMA SANTO</t>
  </si>
  <si>
    <t>TRSF E-BANKING DB 1301/FTSCY/WS95011 49514850.00 pemb. kd febri kdr BROILER MAKMUR TAN</t>
  </si>
  <si>
    <t>TRSF E-BANKING DB 1301/FTSCY/WS95011 88502000.00 pemb. kd anton jombang BINTANG TAMA SANTO</t>
  </si>
  <si>
    <t>TRSF E-BANKING DB 1301/FTSCY/WS95031 3000000.00 NURHAYATI</t>
  </si>
  <si>
    <t>TRSF E-BANKING CR 1301/FTSCY/WS95031 17600000.00 kdang joni mlang HADI KUSWANTO SE</t>
  </si>
  <si>
    <t>TRSF E-BANKING DB 1301/FTSCY/WS95031 17395800.00 pemb. lokal kd joh nni mlg SUPER UNGGAS JAYA</t>
  </si>
  <si>
    <t>TRSF E-BANKING DB 1301/FTSCY/WS95031 2308200.00 HERMAWAN</t>
  </si>
  <si>
    <t>TRSF E-BANKING DB 1301/FTSCY/WS95031 1820600.00 magetan mjk MUJIANTO</t>
  </si>
  <si>
    <t>TRSF E-BANKING DB 1301/FTSCY/WS95031 4269700.00 krg 8 jt EKO SETIYAWAN</t>
  </si>
  <si>
    <t>TRSF E-BANKING CR 1301/FTSCY/WS95051 360350460.00 krmn 12/1 HENDY BENEDICT LEO</t>
  </si>
  <si>
    <t>TRSF E-BANKING CR 1301/FTSCY/WS95051 48681000.00 ah fm hairul 6/1 PHALOSARI UNGGUL J</t>
  </si>
  <si>
    <t>TRSF E-BANKING CR 1301/FTSCY/WS95051 53107000.00 Pembelian ayam TRIJAYA LESTARI FO</t>
  </si>
  <si>
    <t>TRSF E-BANKING CR 1301/FTSCY/WS95051 50421840.00 ah fm hairul 7/1 PHALOSARI UNGGUL J</t>
  </si>
  <si>
    <t>TRSF E-BANKING CR 1301/FTSCY/WS95051 50100000.00 hoirul pas 11 jan SENTRAL NIAGA UNGG</t>
  </si>
  <si>
    <t>TRSF E-BANKING DB 1301/FTSCY/WS95011 57750000.00 kd lince ngawi GUNA MITRA SEHAT P</t>
  </si>
  <si>
    <t>TRSF E-BANKING DB 1301/FTSCY/WS95011 213939150.00 pelunasan CV SURYA INTI TERN</t>
  </si>
  <si>
    <t>TRSF E-BANKING DB 1301/FTSCY/WS95011 49580500.00 pemb. kd sukarmi magetan RUKUN MITRA BERSAM</t>
  </si>
  <si>
    <t>TRSF E-BANKING DB 1301/FTSCY/WS95011 40184650.00 pemb. kd purnomo kdr PT BERLIAN INDOMIT</t>
  </si>
  <si>
    <t>TRSF E-BANKING DB 1301/FTSCY/WS95271 11000000.00 pelunasan kd purno mo kediri PT BERLIAN INDOMIT</t>
  </si>
  <si>
    <t>TRSF E-BANKING DB 1301/FTSCY/WS95271 45700000.00 kd supriadi nganju k BROILER MAKMUR TAN</t>
  </si>
  <si>
    <t>TRSF E-BANKING DB 1301/FTSCY/WS95031 5000000.00 pelunasan kd supri adi nganjuk BROILER MAKMUR TAN</t>
  </si>
  <si>
    <t>TRSF E-BANKING DB 1301/FTSCY/WS95031 1000000.00 MUJIANTO</t>
  </si>
  <si>
    <t>TRSF E-BANKING DB TANGGAL :13/01</t>
  </si>
  <si>
    <t>TRSF E-BANKING DB TANGGAL :13/01 1301/FTSCY/WS95031 krg 10 jt EKO SETIYAWAN</t>
  </si>
  <si>
    <t>TRSF E-BANKING DB TANGGAL :13/01 1301/FTSCY/WS95031 HERMAWAN</t>
  </si>
  <si>
    <t>TRSF E-BANKING CR TANGGAL :13/01</t>
  </si>
  <si>
    <t>TRSF E-BANKING CR TANGGAL :13/01 1301/FTSCY/WS95271 Titip Byr Ayam JT 15.01 RPA SBU ALDINI MARIA GUMIL</t>
  </si>
  <si>
    <t>TARIKAN ATM 14/01</t>
  </si>
  <si>
    <t>TRSF E-BANKING CR TANGGAL :13/01 1301/FTSCY/WS95031 lunas GATUT SETYO WIBOWO</t>
  </si>
  <si>
    <t>TRSF E-BANKING CR TANGGAL :13/01 1301/FTSCY/WS95051 SIDO RAYA UTAMA CV</t>
  </si>
  <si>
    <t>TRSF E-BANKING DB 1401/FTSCY/WS95271 113414650.00 pemb  12/01 GANESHA SATRIA NUS</t>
  </si>
  <si>
    <t>TRSF E-BANKING DB 1401/FTSCY/WS95271 96000000.00 pemb. kd rama pasu ruan ANDALAN YASA MITRA</t>
  </si>
  <si>
    <t>TRSF E-BANKING DB 1401/FTSCY/WS95271 46760000.00 tulung agung PITIK DIGITAL INDO</t>
  </si>
  <si>
    <t>TRSF E-BANKING DB 1401/FTSCY/WS95031 44929300.00 pemb. kd alif kedi ri BINTANG TAMA SANTO</t>
  </si>
  <si>
    <t>TRSF E-BANKING CR 1401/FTSCY/WS95051 248513630.00 krmn 13/1 TERA MULIA KORPORI</t>
  </si>
  <si>
    <t>TRSF E-BANKING CR 1401/FTSCY/WS95271 34196820.00 Pelunasan Ayam JT 15.01 RPA SBU ALDINI MARIA GUMIL</t>
  </si>
  <si>
    <t>TRSF E-BANKING CR 1401/FTSCY/WS95051 154406000.00 Pembelian ayam TRIJAYA LESTARI FO</t>
  </si>
  <si>
    <t>TRSF E-BANKING CR 1401/FTSCY/WS95011 59760000.00 WAHYU MEGA ARSITA</t>
  </si>
  <si>
    <t>TRSF E-BANKING CR 1401/FTSCY/WS95051 59590840.00 ah 3347.8x17800 GEMILANG INTI SUKS</t>
  </si>
  <si>
    <t>TRSF E-BANKING CR 1401/FTSCY/WS95051 55510980.00 SIDO RAYA UTAMA CV</t>
  </si>
  <si>
    <t>TRSF E-BANKING DB 1401/FTSCY/WS95031 275550.00 pelunasan GUNA MITRA SEHAT P</t>
  </si>
  <si>
    <t>BI-FAST DB BIF TRANSFER KE 8 SUGENG HARIYANTO M-BCA</t>
  </si>
  <si>
    <t>BI-FAST DB BIF BIAYA TXN KE 8 SUGENG HARIYANTO M-BCA</t>
  </si>
  <si>
    <t>TRSF E-BANKING DB 1401/FTSCY/WS95031 2000000.00 NURUL AINI</t>
  </si>
  <si>
    <t>SETORAN VIA CDM</t>
  </si>
  <si>
    <t>SETORAN VIA CDM 14/01  WSID:ZL161 MUHAMMAD HAIRUL MA</t>
  </si>
  <si>
    <t>TRSF E-BANKING DB 1401/FTSCY/WS95011 45710400.00 pemb. kd jalal 2 blora TUMBUH OPTIMAL PRI</t>
  </si>
  <si>
    <t>TRSF E-BANKING DB 1401/FTSCY/WS95031 285690.00 ANDE DOSO ANGGORO</t>
  </si>
  <si>
    <t>TRSF E-BANKING CR 1401/FTSCY/WS95031 16450000.00 RODHIATUS SOLEHA</t>
  </si>
  <si>
    <t>TRSF E-BANKING DB 1401/FTSCY/WS95011 98373000.00 12/01 lunas BROILER MAKMUR TAN</t>
  </si>
  <si>
    <t>TRSF E-BANKING DB 1401/FTSCY/WS95011 48207250.00 pemb. 13/01 ANUGERAH KARTIKA A</t>
  </si>
  <si>
    <t>TRSF E-BANKING DB 1401/FTSCY/WS95011 51000000.00 tuban PITIK DIGITAL INDO</t>
  </si>
  <si>
    <t>TRSF E-BANKING DB 1401/FTSCY/WS95011 239244000.00 pelunasan SUPER UNGGAS JAYA</t>
  </si>
  <si>
    <t>TRSF E-BANKING DB 1401/FTSCY/WS95031 4099250.00 NURHAYATI</t>
  </si>
  <si>
    <t>TRSF E-BANKING DB TANGGAL :14/01</t>
  </si>
  <si>
    <t>TRSF E-BANKING DB TANGGAL :14/01 1401/FTSCY/WS95031 ngawi gis HERMAWAN</t>
  </si>
  <si>
    <t>TRSF E-BANKING DB 1501/FTSCY/WS95031 92093400.00 13.01 lunas GANESHA SATRIA NUS</t>
  </si>
  <si>
    <t>TRSF E-BANKING DB 1501/FTSCY/WS95271 42758400.00 kd chotib jombang ANDALAN YASA MITRA</t>
  </si>
  <si>
    <t>TRSF E-BANKING DB 1501/FTSCY/WS95271 46500000.00 pembm kd ekam D ml g ANDALAN YASA MITRA</t>
  </si>
  <si>
    <t>TRSF E-BANKING DB 1501/FTSCY/WS95031 1800000.00 MUJIANTO</t>
  </si>
  <si>
    <t>TRSF E-BANKING DB 1501/FTSCY/WS95031 3050400.00 krg 15 jt EKO SETIYAWAN</t>
  </si>
  <si>
    <t>TRSF E-BANKING CR 1501/FTSCY/WS95051 107449100.00 SIDO RAYA UTAMA CV</t>
  </si>
  <si>
    <t>TRSF E-BANKING CR 1501/FTSCY/WS95031 793500.00 SULISWANTO</t>
  </si>
  <si>
    <t>TRSF E-BANKING DB 1501/FTSCY/WS95271 30000000.00 titip SUGENG RIADI</t>
  </si>
  <si>
    <t>TRSF E-BANKING CR TANGGAL :15/01</t>
  </si>
  <si>
    <t>TRSF E-BANKING CR TANGGAL :15/01 1501/FTSCY/WS95271 Titip Byr Ayam Cbd ,Nota13.01 RPA SBU ALDINI MARIA GUMIL</t>
  </si>
  <si>
    <t>TRSF E-BANKING DB TANGGAL :15/01</t>
  </si>
  <si>
    <t>TRSF E-BANKING DB TANGGAL :15/01 1501/FTSCY/WS95271 probolinggo PITIK DIGITAL INDO</t>
  </si>
  <si>
    <t>TARIKAN ATM 16/01</t>
  </si>
  <si>
    <t>TRSF E-BANKING DB 1601/FTSCY/WS95031 80952200.00 pemb. kd fatihatus lamongan ANUGERAH KARTIKA A</t>
  </si>
  <si>
    <t>TRSF E-BANKING CR 1601/FTSCY/WS95051 111219046.00 krmn 14/1 TERA MULIA KORPORI</t>
  </si>
  <si>
    <t>TRSF E-BANKING CR 1601/FTSCY/WS95051 49800000.00 hoirul blt 12 jan SENTRAL NIAGA UNGG</t>
  </si>
  <si>
    <t>TRSF E-BANKING CR 1601/FTSCY/WS95051 49200000.00 hoirul jbr 12 jan SENTRAL NIAGA UNGG</t>
  </si>
  <si>
    <t>TRSF E-BANKING CR 1601/FTSCY/WS95051 49800000.00 hoirul kdr 13 jan SENTRAL NIAGA UNGG</t>
  </si>
  <si>
    <t>TRSF E-BANKING DB 1601/FTSCY/WS95031 16321500.00 kd sabri jember WIWIK NURHAYATI</t>
  </si>
  <si>
    <t>TRSF E-BANKING CR 1601/FTSCY/WS95051 99145900.00 Pembelian ayam TRIJAYA LESTARI FO</t>
  </si>
  <si>
    <t>TRSF E-BANKING DB 1601/FTSCY/WS95271 49500000.00 pemb. kd alif kepu ng kdr BINTANG TAMA SANTO</t>
  </si>
  <si>
    <t>TRSF E-BANKING DB 1601/FTSCY/WS95271 100328000.00 titip 35 jt SUGENG RIADI</t>
  </si>
  <si>
    <t>TRSF E-BANKING DB 1601/FTSCY/WS95271 25000000.00 pelunasan ANUGERAH KARTIKA A</t>
  </si>
  <si>
    <t>TRSF E-BANKING CR 1601/FTSCY/WS95011 59400000.00 WAHYU MEGA ARSITA</t>
  </si>
  <si>
    <t>TRSF E-BANKING DB 1601/FTSCY/WS95271 53460000.00 pemb. kd arliesta RUKUN MITRA BERSAM</t>
  </si>
  <si>
    <t>TRSF E-BANKING DB 1601/FTSCY/WS95271 43502250.00 Thu Jan 15 2026 15:00:00 GMT+0700 (Western Indonesia Time) PT BERLIAN INDOMIT</t>
  </si>
  <si>
    <t>TRSF E-BANKING DB 1601/FTSCY/WS95271 15000000.00 EKO SETIYAWAN</t>
  </si>
  <si>
    <t>TRSF E-BANKING CR TANGGAL :16/01</t>
  </si>
  <si>
    <t>TRSF E-BANKING CR TANGGAL :16/01 1601/FTSCY/WS95051 SIDO RAYA UTAMA CV</t>
  </si>
  <si>
    <t>TRSF E-BANKING DB 1701/FTSCY/WS95271 153589520.00 probolinggo PITIK DIGITAL INDO</t>
  </si>
  <si>
    <t>TRSF E-BANKING DB 1701/FTSCY/WS95271 1200680.00 HALIM IBRAHIM</t>
  </si>
  <si>
    <t>TRSF E-BANKING DB 1701/FTSCY/WS95031 2252350.00 HERMAWAN</t>
  </si>
  <si>
    <t>TRSF E-BANKING DB 1701/FTSCY/WS95031 2264300.00 pasuruan trijaya MUJIANTO</t>
  </si>
  <si>
    <t>TRSF E-BANKING DB 1701/FTSCY/WS95031 4922900.00 lunas 15.01 EKO SETIYAWAN</t>
  </si>
  <si>
    <t>TRSF E-BANKING DB 1701/FTSCY/WS95031 2131500.00 pelunasan EKO SETIYAWAN</t>
  </si>
  <si>
    <t>TRSF E-BANKING CR 1701/FTSCY/WS95271 29399020.00 Pelunasan Ayam CBD RPA SBU ALDINI MARIA GUMIL</t>
  </si>
  <si>
    <t>TRSF E-BANKING DB 1701/FTSCY/WS95031 6310480.00 pelunasan jombang PITIK DIGITAL INDO</t>
  </si>
  <si>
    <t>TRSF E-BANKING CR 1701/FTSCY/WS95051 54722800.00 krmn 16/1 TERA MULIA KORPORI</t>
  </si>
  <si>
    <t>TRSF E-BANKING DB 1701/FTSCY/WS95031 51000000.00 magetan BROILER MAKMUR TAN</t>
  </si>
  <si>
    <t>TRSF E-BANKING CR 1701/FTSCY/WS95051 43845850.00 UNGGAS BERKAH ABAD</t>
  </si>
  <si>
    <t>TRSF E-BANKING CR 1701/FTSCY/WS95051 44590670.00 UNGGAS BERKAH ABAD</t>
  </si>
  <si>
    <t>TRSF E-BANKING CR 1701/FTSCY/WS95051 101025620.00 Pembelian ayam TRIJAYA LESTARI FO</t>
  </si>
  <si>
    <t>TRSF E-BANKING CR 1701/FTSCY/WS95051 156355670.00 ah fm hairul 10/1 PHALOSARI UNGGUL J</t>
  </si>
  <si>
    <t>TRSF E-BANKING CR 1701/FTSCY/WS95051 61101250.00 krman 3491.5x17500 GEMILANG INTI SUKS</t>
  </si>
  <si>
    <t>TRSF E-BANKING CR 1701/FTSCY/WS95051 61940000.00 AH 3800 16300 GEMILANG INTI SUKS</t>
  </si>
  <si>
    <t>TRSF E-BANKING DB 1701/FTSCY/WS95271 100000000.00 pemb. farm sugeng SUGENG RIADI</t>
  </si>
  <si>
    <t>TRSF E-BANKING CR 1701/FTSCY/WS95011 52800000.00 WAHYU MEGA ARSITA</t>
  </si>
  <si>
    <t>TRSF E-BANKING CR 1701/FTSCY/WS95051 100000000.00 krmn 17/1 TERA MULIA KORPORI</t>
  </si>
  <si>
    <t>TRSF E-BANKING DB 1701/FTSCY/WS95011 50000000.00 total titip 185 jt SUGENG RIADI</t>
  </si>
  <si>
    <t>TRSF E-BANKING DB 1701/FTSCY/WS95011 151102250.00 pemb. 14 dan 15/0 BROILER MAKMUR TAN</t>
  </si>
  <si>
    <t>TRSF E-BANKING DB 1701/FTSCY/WS95011 89581000.00 pemb. 13/01 SUPER UNGGAS JAYA</t>
  </si>
  <si>
    <t>TRSF E-BANKING DB 1701/FTSCY/WS95011 52800000.00 pemb. kd plumpang ANDALAN YASA MITRA</t>
  </si>
  <si>
    <t>TRSF E-BANKING DB 1701/FTSCY/WS95011 48576000.00 pemb. kd supriyant lamongan BINTANG TAMA SANTO</t>
  </si>
  <si>
    <t>TRSF E-BANKING DB 1701/FTSCY/WS95011 51516150.00 pemb. kd sabirul t. agung ANUGERAH KARTIKA A</t>
  </si>
  <si>
    <t>TRSF E-BANKING CR 1701/FTSCY/WS95051 53195200.00 SIDO RAYA UTAMA CV</t>
  </si>
  <si>
    <t>TRSF E-BANKING CR TANGGAL :17/01</t>
  </si>
  <si>
    <t>TRSF E-BANKING CR TANGGAL :17/01 1701/FTSCY/WS95011 Titip Byr Ayam JT18.01 RPA SBU ALDINI MARIA GUMIL</t>
  </si>
  <si>
    <t>TRSF E-BANKING DB 1801/FTSCY/WS95271 187801320.00 pemb. jaka 15/01 SUPER UNGGAS JAYA</t>
  </si>
  <si>
    <t>TRSF E-BANKING DB 1801/FTSCY/WS95271 49500000.00 kd sulasemi mlg PITIK DIGITAL INDO</t>
  </si>
  <si>
    <t>TRSF E-BANKING CR 1801/FTSCY/WS95051 198809070.00 krmn 17/1 TERA MULIA KORPORI</t>
  </si>
  <si>
    <t>TRSF E-BANKING CR 1801/FTSCY/WS95031 300000.00 YESI PURNAMASARI</t>
  </si>
  <si>
    <t>TRSF E-BANKING DB 1801/FTSCY/WS95031 43320750.00 Fri Jan 16 2026 15:00:00 GMT+0700 (Western Indonesia Time) PT BERLIAN INDOMIT</t>
  </si>
  <si>
    <t>TRSF E-BANKING DB 1801/FTSCY/WS95031 18478000.00 pelunasan SUGENG RIADI</t>
  </si>
  <si>
    <t>TRSF E-BANKING DB 1801/FTSCY/WS95031 11270250.00 NURHAYATI</t>
  </si>
  <si>
    <t>TRSF E-BANKING DB 1801/FTSCY/WS95271 50063400.00 pemb. 16/01 BINTANG TAMA SANTO</t>
  </si>
  <si>
    <t>TRSF E-BANKING CR 1801/FTSCY/WS95051 51600000.00 ah fm hairul 11/1 PHALOSARI UNGGUL J</t>
  </si>
  <si>
    <t>TRSF E-BANKING CR 1801/FTSCY/WS95051 48900000.00 hoirul jbg 15 jan SENTRAL NIAGA UNGG</t>
  </si>
  <si>
    <t>TRSF E-BANKING CR 1801/FTSCY/WS95051 193940000.00 ah 7600x17000+ 3900x16600 GEMILANG INTI SUKS</t>
  </si>
  <si>
    <t>TRSF E-BANKING CR 1801/FTSCY/WS95011 104679400.00 WAHYU MEGA ARSITA</t>
  </si>
  <si>
    <t>TRSF E-BANKING DB 1801/FTSCY/WS95011 96910750.00 pemb. 15/01 BROILER MAKMUR TAN</t>
  </si>
  <si>
    <t>TRSF E-BANKING DB 1801/FTSCY/WS95011 59400000.00 p3mb. kd kusyadi pasuruan BROILER MAKMUR TAN</t>
  </si>
  <si>
    <t>TRSF E-BANKING DB 1801/FTSCY/WS95031 4878700.00 lunas HERMAWAN</t>
  </si>
  <si>
    <t>TRSF E-BANKING DB 1801/FTSCY/WS95031 4622240.00 lunas MUJIANTO</t>
  </si>
  <si>
    <t>TRSF E-BANKING DB 1801/FTSCY/WS95011 51046450.00 pemb. kd sumarmi blitar ANUGERAH KARTIKA A</t>
  </si>
  <si>
    <t>TRSF E-BANKING DB 1801/FTSCY/WS95011 96536650.00 pemb. do 16/01 BROILER MAKMUR TAN</t>
  </si>
  <si>
    <t>TRSF E-BANKING DB 1801/FTSCY/WS95011 97252000.00 pemb. farm jaka Fri Jan 16 2026 15:00:00 GMT+0700 (Western Indonesia Time) SUPER UNGGAS JAYA</t>
  </si>
  <si>
    <t>TRSF E-BANKING DB 1801/FTSCY/WS95031 6467800.00 NURHAYATI</t>
  </si>
  <si>
    <t>TRSF E-BANKING DB 1801/FTSCY/WS95011 61798800.00 pemb. kd mongit BINTANG TAMA SANTO</t>
  </si>
  <si>
    <t>TRSF E-BANKING DB 1801/FTSCY/WS95031 6002400.00 krg 9.9 jt EKO SETIYAWAN</t>
  </si>
  <si>
    <t>TRSF E-BANKING CR TANGGAL :18/01</t>
  </si>
  <si>
    <t>TRSF E-BANKING CR TANGGAL :18/01 1801/FTSCY/WS95051 SIDO RAYA UTAMA CV</t>
  </si>
  <si>
    <t>TRSF E-BANKING DB 1901/FTSCY/WS95271 33683200.00 pemb. kd ahmad tri magetan BINTANG TAMA SANTO</t>
  </si>
  <si>
    <t>TRSF E-BANKING DB 1901/FTSCY/WS95271 48073200.00 pemb. kd tamilik p asuruan ANUGERAH KARTIKA A</t>
  </si>
  <si>
    <t>TRSF E-BANKING DB 1901/FTSCY/WS95271 46732500.00 pemb. kd wardi nga wi lunas RUKUN MITRA BERSAM</t>
  </si>
  <si>
    <t>TRSF E-BANKING DB 1901/FTSCY/WS95271 30000000.00 pelunasan BINTANG TAMA SANTO</t>
  </si>
  <si>
    <t>TRSF E-BANKING DB 1901/FTSCY/WS95271 1897820.00 HALIM IBRAHIM</t>
  </si>
  <si>
    <t>TRSF E-BANKING DB 1901/FTSCY/WS95271 9900000.00 lunas EKO SETIYAWAN</t>
  </si>
  <si>
    <t>TRSF E-BANKING CR 1901/FTSCY/WS95051 65126650.00 krmn 18/1 HENDY BENEDICT LEO</t>
  </si>
  <si>
    <t>TRSF E-BANKING DB 1901/FTSCY/WS95031 59400000.00 pemb. kd kusiyadi pasuruan ANDALAN YASA MITRA</t>
  </si>
  <si>
    <t>TRSF E-BANKING CR 1901/FTSCY/WS95051 183768080.00 krmn 18/1 TERA MULIA KORPORI</t>
  </si>
  <si>
    <t>TRSF E-BANKING DB 1901/FTSCY/WS95271 91710000.00 kd edi mukolis mad iun SUPER UNGGAS JAYA</t>
  </si>
  <si>
    <t>TRSF E-BANKING CR 1901/FTSCY/WS95051 47499100.00 hoirul blt 17 jan SENTRAL NIAGA UNGG</t>
  </si>
  <si>
    <t>TRSF E-BANKING CR 1901/FTSCY/WS95051 129238380.00 ah 7600x17100 dipot 721620 GEMILANG INTI SUKS</t>
  </si>
  <si>
    <t>TRSF E-BANKING CR 1901/FTSCY/WS95011 168345900.00 WAHYU MEGA ARSITA</t>
  </si>
  <si>
    <t>TRSF E-BANKING CR 1901/FTSCY/WS95051 50000000.00 UNGGAS BERKAH ABAD</t>
  </si>
  <si>
    <t>TRSF E-BANKING DB 1901/FTSCY/WS95011 150876690.00 probolinggo PITIK DIGITAL INDO</t>
  </si>
  <si>
    <t>TRSF E-BANKING DB 1901/FTSCY/WS95011 51492800.00 tulung agung PITIK DIGITAL INDO</t>
  </si>
  <si>
    <t>TRSF E-BANKING DB 1901/FTSCY/WS95011 44979400.00 pelunasan 07/01 BROILER MAKMUR TAN</t>
  </si>
  <si>
    <t>TRSF E-BANKING DB 1901/FTSCY/WS95011 94592500.00 pemb. kd supriyant lamongan BINTANG TAMA SANTO</t>
  </si>
  <si>
    <t>TRSF E-BANKING DB 1901/FTSCY/WS95011 115557750.00 pemb. kd bahru rejoso nganjuk PITIK DIGITAL INDO</t>
  </si>
  <si>
    <t>TRSF E-BANKING CR 1901/FTSCY/WS95051 62281500.00 SIDO RAYA UTAMA CV</t>
  </si>
  <si>
    <t>TRSF E-BANKING CR 1901/FTSCY/WS95011 98853600.00 Byr Ayam JT 20.01 RPA SBU ALDINI MARIA GUMIL</t>
  </si>
  <si>
    <t>TRSF E-BANKING CR 1901/FTSCY/WS95011 12579100.00 Pelunasan Ayam JT 18.01 RPA SBU ALDINI MARIA GUMIL</t>
  </si>
  <si>
    <t>TRSF E-BANKING DB 2001/FTSCY/WS95271 117600000.00 pembm kd kusyadi A pasuruan ANDALAN YASA MITRA</t>
  </si>
  <si>
    <t>TRSF E-BANKING DB 2001/FTSCY/WS95271 51110500.00 madiun PITIK DIGITAL INDO</t>
  </si>
  <si>
    <t>TRSF E-BANKING DB 2001/FTSCY/WS95031 1755360.00 bojonegoro sidoray a HERMAWAN</t>
  </si>
  <si>
    <t>TRSF E-BANKING DB 2001/FTSCY/WS95031 2153500.00 EKO SETIYAWAN</t>
  </si>
  <si>
    <t>TRSF E-BANKING CR 2001/FTSCY/WS95051 154122750.00 ah fm hairul 11/1 PHALOSARI UNGGUL J</t>
  </si>
  <si>
    <t>TRSF E-BANKING DB 2001/FTSCY/WS95031 64727100.00 pemb. kd ridwan lm jg CV SURYA INTI TERN</t>
  </si>
  <si>
    <t>TRSF E-BANKING DB 2001/FTSCY/WS95271 49500000.00 tuban PITIK DIGITAL INDO</t>
  </si>
  <si>
    <t>TRSF E-BANKING DB 2001/FTSCY/WS95271 60424800.00 kd yudha a tuban ANDALAN YASA MITRA</t>
  </si>
  <si>
    <t>TRSF E-BANKING CR 2001/FTSCY/WS95051 67804740.00 krmn 19/1 HENDY BENEDICT LEO</t>
  </si>
  <si>
    <t>TRSF E-BANKING CR 2001/FTSCY/WS95051 99331690.00 krmn 19/1 TERA MULIA KORPORI</t>
  </si>
  <si>
    <t>TRSF E-BANKING CR 2001/FTSCY/WS95051 60885620.00 pembayaran ayam an Amartha ANUGERAH MAKMUR AR</t>
  </si>
  <si>
    <t>TRSF E-BANKING DB 2001/FTSCY/WS95011 96707520.00 pemb. kd salamun pasuruan ANUGERAH KARTIKA A</t>
  </si>
  <si>
    <t>TRSF E-BANKING DB 2001/FTSCY/WS95011 125400000.00 17/20 SUPER UNGGAS JAYA</t>
  </si>
  <si>
    <t>TRSF E-BANKING CR 2001/FTSCY/WS95031 330000.00 SULISWANTO</t>
  </si>
  <si>
    <t>TRSF E-BANKING DB 2001/FTSCY/WS95031 300000.00 NURUL AINI</t>
  </si>
  <si>
    <t>TRSF E-BANKING CR 2001/FTSCY/WS95051 1300000.00 UNGGAS BERKAH ABAD</t>
  </si>
  <si>
    <t>TRSF E-BANKING CR 2001/FTSCY/WS95051 51300000.00 UNGGAS BERKAH ABAD</t>
  </si>
  <si>
    <t>TRSF E-BANKING CR 2001/FTSCY/WS95051 188062600.00 ah 7406x17100+ 3700x16600 GEMILANG INTI SUKS</t>
  </si>
  <si>
    <t>TRSF E-BANKING CR 2001/FTSCY/WS95051 53400000.00 AH 2966.7 18000 GEMILANG INTI SUKS</t>
  </si>
  <si>
    <t>TRSF E-BANKING CR 2001/FTSCY/WS95051 41073600.00 ah fm hairul 12/1 PHALOSARI UNGGUL J</t>
  </si>
  <si>
    <t>TRSF E-BANKING CR 2001/FTSCY/WS95051 50163800.00 ah fm hairul 13/1 PHALOSARI UNGGUL J</t>
  </si>
  <si>
    <t>TRSF E-BANKING CR 2001/FTSCY/WS95011 192878400.00 WAHYU MEGA ARSITA</t>
  </si>
  <si>
    <t>TRSF E-BANKING DB 2001/FTSCY/WS95011 129200000.00 pemb. kd asroful a magetan RUKUN MITRA BERSAM</t>
  </si>
  <si>
    <t>TRSF E-BANKING DB 2001/FTSCY/WS95011 111935090.00 Sun Jan 18 2026 15:00:00 GMT+0700 (Western Indonesia Time) SUPER UNGGAS JAYA</t>
  </si>
  <si>
    <t>TRSF E-BANKING DB 2001/FTSCY/WS95031 1340540.00 1801 NURHAYATI</t>
  </si>
  <si>
    <t>TRSF E-BANKING DB 2001/FTSCY/WS95031 3733480.00 NURHAYATI</t>
  </si>
  <si>
    <t>BIAYA ADM</t>
  </si>
  <si>
    <t>TRSF E-BANKING DB 2101/FTSCY/WS95271 51464400.00 pemb. kd gunadi bl itar GANESHA SATRIA NUS</t>
  </si>
  <si>
    <t>TRSF E-BANKING DB 2101/FTSCY/WS95271 54615600.00 pemb. kd rinawati BINTANG TAMA SANTO</t>
  </si>
  <si>
    <t>TRSF E-BANKING DB 2101/FTSCY/WS95271 51000000.00 kd agus madiun BINTANG TAMA SANTO</t>
  </si>
  <si>
    <t>TRSF E-BANKING DB 2101/FTSCY/WS95271 51000000.00 pemb. kd sopingi t .agung BINTANG TAMA SANTO</t>
  </si>
  <si>
    <t>TRSF E-BANKING DB 2101/FTSCY/WS95271 54400000.00 tuban PITIK DIGITAL INDO</t>
  </si>
  <si>
    <t>TRSF E-BANKING DB 2101/FTSCY/WS95031 67804740.00 Sun Jan 18 2026 15:00:00 GMT+0700 (Western Indonesia Time) BROILER MAKMUR TAN</t>
  </si>
  <si>
    <t>TRSF E-BANKING CR 2101/FTSCY/WS95051 100311890.00 ah hairul tgl 12/1 PHALOSARI UNGGUL J</t>
  </si>
  <si>
    <t>TRSF E-BANKING CR 2101/FTSCY/WS95051 50163800.00 ah fm hairul 14/1 PHALOSARI UNGGUL J</t>
  </si>
  <si>
    <t>TRSF E-BANKING CR 2101/FTSCY/WS95031 1700000.00 ARUL BACHTIAR DWI</t>
  </si>
  <si>
    <t>TRSF E-BANKING DB 2101/FTSCY/WS95031 2000000.00 SANDI FAJAR PRASET</t>
  </si>
  <si>
    <t>TRSF E-BANKING CR 2101/FTSCY/WS95051 209900800.00 UNGGAS BERKAH ABAD</t>
  </si>
  <si>
    <t>TRSF E-BANKING CR 2101/FTSCY/WS95051 130769100.00 AH 7692,3 GEMILANG INTI SUKS</t>
  </si>
  <si>
    <t>TRSF E-BANKING CR 2101/FTSCY/WS95051 64948500.00 AH 3820,5 17000 GEMILANG INTI SUKS</t>
  </si>
  <si>
    <t>TRSF E-BANKING CR 2101/FTSCY/WS95051 60498640.00 AH 3398,8 17800 GEMILANG INTI SUKS</t>
  </si>
  <si>
    <t>TRSF E-BANKING DB 2101/FTSCY/WS95011 232166480.00 pemb. 19/01 SUPER UNGGAS JAYA</t>
  </si>
  <si>
    <t>TRSF E-BANKING DB 2101/FTSCY/WS95011 215534400.00 Mon Jan 19 2026 15:00:00 GMT+0700 (Western Indonesia Time) krg 150 jt BROILER MAKMUR TAN</t>
  </si>
  <si>
    <t>TRSF E-BANKING DB 2101/FTSCY/WS95031 30000000.00 SANDI FAJAR PRASET</t>
  </si>
  <si>
    <t>TRSF E-BANKING CR 2101/FTSCY/WS95031 48840000.00 lunas GATUT SETYO WIBOWO</t>
  </si>
  <si>
    <t>TRSF E-BANKING DB 2201/FTSCY/WS95271 110500000.00 Mon Jan 19 2026 15:00:00 GMT+0700 (Western Indonesia Time) PITIK DIGITAL INDO</t>
  </si>
  <si>
    <t>BI-FAST DB BIF TRANSFER KE 9 NOUVAL HOLQI RISKU M-BCA</t>
  </si>
  <si>
    <t>BI-FAST DB BIF BIAYA TXN KE 9 NOUVAL HOLQI RISKU M-BCA</t>
  </si>
  <si>
    <t>TRSF E-BANKING DB 2201/FTSCY/WS95271 93017600.00 pemb. kd siti f po nggok blitar DINA WIRANTI</t>
  </si>
  <si>
    <t>BI-FAST DB BIF TRANSFER KE 2 IRMA SUSANTI M-BCA</t>
  </si>
  <si>
    <t>BI-FAST DB BIF BIAYA TXN KE 2 IRMA SUSANTI M-BCA</t>
  </si>
  <si>
    <t>TRSF E-BANKING CR 2201/FTSCY/WS95271 30000000.00 SANDI FAJAR PRASET</t>
  </si>
  <si>
    <t>TRSF E-BANKING DB 2201/FTSCY/WS95031 100000.00 SANDI FAJAR PRASET</t>
  </si>
  <si>
    <t>TRSF E-BANKING DB 2201/FTSCY/WS95031 1000000.00 MUJIANTO</t>
  </si>
  <si>
    <t>TRSF E-BANKING DB 2201/FTSCY/WS95031 5830900.00 EKO SETIYAWAN</t>
  </si>
  <si>
    <t>TRSF E-BANKING CR 2201/FTSCY/WS95051 46662750.00 SIDO RAYA UTAMA CV</t>
  </si>
  <si>
    <t>BYR VIA E-BANKING 22/01  WSID9503102 1220 TELKOMSEL 82318368518 MUHAMMAD HAIRUL MA</t>
  </si>
  <si>
    <t>TRSF E-BANKING CR 2301/FTSCY/WS95051 57048250.00 Pembelian ayam TRIJAYA LESTARI FO</t>
  </si>
  <si>
    <t>TRSF E-BANKING DB 2301/FTSCY/WS95271 119943450.00 pemb. kd aunur rof iq nganjuk BINTANG TAMA SANTO</t>
  </si>
  <si>
    <t>TRSF E-BANKING DB 2301/FTSCY/WS95031 382050.00 SITI RAHMA IFTITAH</t>
  </si>
  <si>
    <t>TRSF E-BANKING DB 2301/FTSCY/WS95271 1500000.00 MUHAMMAD HAIRUL MA</t>
  </si>
  <si>
    <t>TRSF E-BANKING DB 2301/FTSCY/WS95031 200000.00 wifi doble bulan i ni SULIYANTO</t>
  </si>
  <si>
    <t>TRSF E-BANKING CR 2301/FTSCY/WS95051 95493400.00 SIDO RAYA UTAMA CV</t>
  </si>
  <si>
    <t>TRSF E-BANKING DB 2301/FTSCY/WS95271 91351450.00 kd endrik blitar GANESHA SATRIA NUS</t>
  </si>
  <si>
    <t>TRSF E-BANKING CR 2301/FTSCY/WS95031 53290000.00 lunas GATUT SETYO WIBOWO</t>
  </si>
  <si>
    <t>TRSF E-BANKING DB 2301/FTSCY/WS95031 47515000.00 kd suhendro kdr ANUGERAH KARTIKA A</t>
  </si>
  <si>
    <t>TRSF E-BANKING DB TANGGAL :23/01</t>
  </si>
  <si>
    <t>TRSF E-BANKING DB TANGGAL :23/01 2301/FTSCY/WS95031 magetan nganjuk MUJIANTO</t>
  </si>
  <si>
    <t>TRSF E-BANKING DB TANGGAL :23/01 2301/FTSCY/WS95031 EKO SETIYAWAN</t>
  </si>
  <si>
    <t>TRSF E-BANKING CR 2401/FTSCY/WS95051 100483900.00 ah fm hairul 13/1 PHALOSARI UNGGUL J</t>
  </si>
  <si>
    <t>TRSF E-BANKING CR 2401/FTSCY/WS95051 54866200.00 Pembelian ayam TRIJAYA LESTARI FO</t>
  </si>
  <si>
    <t>TRSF E-BANKING CR 2401/FTSCY/WS95051 49800000.00 hoirul jbr 19 jan SENTRAL NIAGA UNGG</t>
  </si>
  <si>
    <t>TRSF E-BANKING CR 2401/FTSCY/WS95051 51300000.00 hoirul ngnjk 20 ja SENTRAL NIAGA UNGG</t>
  </si>
  <si>
    <t>TRSF E-BANKING CR 2401/FTSCY/WS95051 183544830.00 do 11400.3x16100 GEMILANG INTI SUKS</t>
  </si>
  <si>
    <t>TRSF E-BANKING CR 2401/FTSCY/WS95051 115390000.00 ah 3750x16100-1610 000+3750x15100 GEMILANG INTI SUKS</t>
  </si>
  <si>
    <t>TRSF E-BANKING CR 2401/FTSCY/WS95051 48244430.00 krman 2854.7x16900 GEMILANG INTI SUKS</t>
  </si>
  <si>
    <t>TRSF E-BANKING DB 2401/FTSCY/WS95271 253997500.00 pelunasan BROILER MAKMUR TAN</t>
  </si>
  <si>
    <t>TRSF E-BANKING DB 2401/FTSCY/WS95031 58427040.00 tuban PITIK DIGITAL INDO</t>
  </si>
  <si>
    <t>TRSF E-BANKING DB 2401/FTSCY/WS95011 176673300.00 pelunasan SUPER UNGGAS JAYA</t>
  </si>
  <si>
    <t>TRSF E-BANKING DB 2401/FTSCY/WS95011 93317300.00 pelunasan probolinggo PITIK DIGITAL INDO</t>
  </si>
  <si>
    <t>TRSF E-BANKING DB 2401/FTSCY/WS95031 1369770.00 NURHAYATI</t>
  </si>
  <si>
    <t>TRSF E-BANKING CR 2401/FTSCY/WS95031 53377000.00 WAHYUDI</t>
  </si>
  <si>
    <t>TRSF E-BANKING CR 2401/FTSCY/WS95031 400000.00 ARUL BACHTIAR DWI</t>
  </si>
  <si>
    <t>TRSF E-BANKING CR 2401/FTSCY/WS95051 46027400.00 SIDO RAYA UTAMA CV</t>
  </si>
  <si>
    <t>TRSF E-BANKING DB 2401/FTSCY/WS95011 50955040.00 jombang PITIK DIGITAL INDO</t>
  </si>
  <si>
    <t>TRSF E-BANKING DB 2401/FTSCY/WS95011 52198460.00 madiun PITIK DIGITAL INDO</t>
  </si>
  <si>
    <t>TRSF E-BANKING DB 2501/FTSCY/WS95031 1323420.00 HERMAWAN</t>
  </si>
  <si>
    <t>TRSF E-BANKING DB 2501/FTSCY/WS95031 4141100.00 EKO SETIYAWAN</t>
  </si>
  <si>
    <t>TRSF E-BANKING DB 2501/FTSCY/WS95031 12000000.00 ganhesa M NUR GHOFAR</t>
  </si>
  <si>
    <t>TRSF E-BANKING CR 2501/FTSCY/WS95051 103172600.00 ah fm hairul 14/1 PHALOSARI UNGGUL J</t>
  </si>
  <si>
    <t>TRSF E-BANKING DB 2501/FTSCY/WS95031 1000000.00 oprasional mlg M ILHAM HIDAYATULL</t>
  </si>
  <si>
    <t>TRSF E-BANKING CR 2501/FTSCY/WS95051 50102320.00 Pembelian ayam TRIJAYA LESTARI FO</t>
  </si>
  <si>
    <t>TARIKAN ATM 25/01</t>
  </si>
  <si>
    <t>TRSF E-BANKING DB 2501/FTSCY/WS95031 46900800.00 kd sugiono magetan BINTANG TAMA SANTO</t>
  </si>
  <si>
    <t>TRSF E-BANKING DB 2501/FTSCY/WS95271 121772800.00 pemb. farm farm sa jam ANDALAN YASA MITRA</t>
  </si>
  <si>
    <t>TRSF E-BANKING CR TANGGAL :25/01</t>
  </si>
  <si>
    <t>TRSF E-BANKING CR TANGGAL :25/01 2501/FTSCY/WS95031 titip 45jt GATUT SETYO WIBOWO</t>
  </si>
  <si>
    <t>TRSF E-BANKING CR 2601/FTSCY/WS95051 96741700.00 SIDO RAYA UTAMA CV</t>
  </si>
  <si>
    <t>TRSF E-BANKING DB 2601/FTSCY/WS95271 105595010.00 jombng ANDALAN YASA MITRA</t>
  </si>
  <si>
    <t>TRSF E-BANKING CR 2601/FTSCY/WS95051 245907110.00 ah fm hairul 16/1 PHALOSARI UNGGUL J</t>
  </si>
  <si>
    <t>TRSF E-BANKING DB 2601/FTSCY/WS95271 55659540.00 pemb. farm sugiant o RUKUN MITRA BERSAM</t>
  </si>
  <si>
    <t>TRSF E-BANKING DB 2601/FTSCY/WS95271 111368000.00 Tue Jan 13 2026 15:00:00 GMT+0700 (Western Indonesia Time) BROILER MAKMUR TAN</t>
  </si>
  <si>
    <t>TRSF E-BANKING DB 2601/FTSCY/WS95031 45559300.00 Fri Jan 23 2026 15:00:00 GMT+0700 (Western Indonesia Time) ANUGERAH KARTIKA A</t>
  </si>
  <si>
    <t>TRSF E-BANKING CR 2601/FTSCY/WS95051 47310350.00 krmn 25/1 HENDY BENEDICT LEO</t>
  </si>
  <si>
    <t>TRSF E-BANKING CR 2601/FTSCY/WS95051 50580160.00 krmn 25/1 TERA MULIA KORPORI</t>
  </si>
  <si>
    <t>TRSF E-BANKING CR 2601/FTSCY/WS95051 207755025.00 krmn 25/1 TERA MULIA KORPORI</t>
  </si>
  <si>
    <t>TRSF E-BANKING CR 2601/FTSCY/WS95051 106755290.00 Byr Ayam JT22.01 RPA SBU ALDINI MARIA GUMIL</t>
  </si>
  <si>
    <t>TRSF E-BANKING DB 2601/FTSCY/WS95011 75011900.00 kd badrutama nganj DINA WIRANTI</t>
  </si>
  <si>
    <t>TRSF E-BANKING DB 2601/FTSCY/WS95011 42930000.00 pemb. kd pt jude bws BROILER MAKMUR TAN</t>
  </si>
  <si>
    <t>TRSF E-BANKING DB 2601/FTSCY/WS95011 199500000.00 kd kusyadi b 23/01 ANDALAN YASA MITRA</t>
  </si>
  <si>
    <t>TRSF E-BANKING DB 2601/FTSCY/WS95011 72040550.00 pemb. 24/01 GANESHA SATRIA NUS</t>
  </si>
  <si>
    <t>TARIKAN ATM 26/01</t>
  </si>
  <si>
    <t>TRSF E-BANKING DB 2601/FTSCY/WS95011 40000000.00 titip SUGENG RIADI</t>
  </si>
  <si>
    <t>TRSF E-BANKING DB 2601/FTSCY/WS95011 30000000.00 titip BRANTAS ABADI SENT</t>
  </si>
  <si>
    <t>TRSF E-BANKING DB TANGGAL :26/01</t>
  </si>
  <si>
    <t>TRSF E-BANKING DB TANGGAL :26/01 2601/FTSCY/WS95031 pelunasan MUJIANTO</t>
  </si>
  <si>
    <t>TRSF E-BANKING CR TANGGAL :26/01</t>
  </si>
  <si>
    <t>TRSF E-BANKING CR TANGGAL :26/01 2601/FTSCY/WS95031 lunas GATUT SETYO WIBOWO</t>
  </si>
  <si>
    <t>TRSF E-BANKING DB TANGGAL :26/01 2601/FTSCY/WS95031 lunas HERMAWAN</t>
  </si>
  <si>
    <t>TRSF E-BANKING CR TANGGAL :26/01 2601/FTSCY/WS95051 SIDO RAYA UTAMA CV</t>
  </si>
  <si>
    <t>TRSF E-BANKING DB 2701/FTSCY/WS95271 47864500.00 kd samsuri lmjg PITIK DIGITAL INDO</t>
  </si>
  <si>
    <t>TRSF E-BANKING DB 2701/FTSCY/WS95271 47450000.00 kd tri wahyudi mlg PITIK DIGITAL INDO</t>
  </si>
  <si>
    <t>TRSF E-BANKING DB 2701/FTSCY/WS95271 36452800.00 jombang ANDALAN YASA MITRA</t>
  </si>
  <si>
    <t>TRSF E-BANKING CR 2701/FTSCY/WS95051 204099800.00 ah hairul tgl 17/1 PHALOSARI UNGGUL J</t>
  </si>
  <si>
    <t>TRSF E-BANKING DB 2701/FTSCY/WS95031 800000.00 RIZKI NOVALDHI WIC</t>
  </si>
  <si>
    <t>TRSF E-BANKING CR 2701/FTSCY/WS95051 47303700.00 krmn 26/1 HENDY BENEDICT LEO</t>
  </si>
  <si>
    <t>TRSF E-BANKING CR 2701/FTSCY/WS95051 245563300.00 krmn 26/1 TERA MULIA KORPORI</t>
  </si>
  <si>
    <t>TRSF E-BANKING DB 2701/FTSCY/WS95031 43755000.00 Sun Jan 25 2026 15:00:00 GMT+0700 (Western Indonesia Time) ANUGERAH KARTIKA A</t>
  </si>
  <si>
    <t>TRSF E-BANKING DB 2701/FTSCY/WS95271 76600500.00 pelunasan ANUGERAH KARTIKA A</t>
  </si>
  <si>
    <t>TRSF E-BANKING CR 2701/FTSCY/WS95051 55870000.00 AH 3700 15100 GEMILANG INTI SUKS</t>
  </si>
  <si>
    <t>TRSF E-BANKING CR 2701/FTSCY/WS95011 176036940.00 WAHYU MEGA ARSITA</t>
  </si>
  <si>
    <t>TRSF E-BANKING CR 2701/FTSCY/WS95051 192197260.00 SIDO RAYA UTAMA CV</t>
  </si>
  <si>
    <t>TRSF E-BANKING DB 2701/FTSCY/WS95031 54533400.00 pelunasan kd asmo BRANTAS ABADI SENT</t>
  </si>
  <si>
    <t>TRSF E-BANKING DB 2701/FTSCY/WS95271 1811430.00 RIZKI FADDILLA</t>
  </si>
  <si>
    <t>TRSF E-BANKING DB 2701/FTSCY/WS95271 46970000.00 pelunasan SUGENG RIADI</t>
  </si>
  <si>
    <t>TRSF E-BANKING DB 2701/FTSCY/WS95011 165787260.00 84.100.000+81.687. BROILER MAKMUR TAN</t>
  </si>
  <si>
    <t>TRSF E-BANKING DB 2701/FTSCY/WS95011 128313000.00 jombang PITIK DIGITAL INDO</t>
  </si>
  <si>
    <t>TRSF E-BANKING DB 2701/FTSCY/WS95011 46689100.00 pemb. kd saleko jombang BINTANG TAMA SANTO</t>
  </si>
  <si>
    <t>TRSF E-BANKING DB 2701/FTSCY/WS95011 86416250.00 pemb. kd kusyadi b pasuruan ANDALAN YASA MITRA</t>
  </si>
  <si>
    <t>TRSF E-BANKING DB 2701/FTSCY/WS95011 67522040.00 t. agung PITIK DIGITAL INDO</t>
  </si>
  <si>
    <t>TRSF E-BANKING DB 2701/FTSCY/WS95271 17583000.00 krg 10 jt EKO SETIYAWAN</t>
  </si>
  <si>
    <t>TRSF E-BANKING CR 27/01 /Z76Z1/00000 ZAINAL ARIFIN</t>
  </si>
  <si>
    <t>TRSF E-BANKING DB TANGGAL :27/01</t>
  </si>
  <si>
    <t>TRSF E-BANKING DB TANGGAL :27/01 2701/FTSCY/WS95031 NURUL AINI</t>
  </si>
  <si>
    <t>TRSF E-BANKING CR TANGGAL :27/01</t>
  </si>
  <si>
    <t>TRSF E-BANKING CR TANGGAL :27/01 2701/FTSCY/WS95031 lunas GATUT SETYO WIBOWO</t>
  </si>
  <si>
    <t>TRSF E-BANKING CR TANGGAL :27/01 2701/FTSCY/WS95011 Byr Ayam 28.01 RPA SBU ALDINI MARIA GUMIL</t>
  </si>
  <si>
    <t>TRSF E-BANKING DB 2801/FTSCY/WS95271 131898000.00 pemb. 26/01 GANESHA SATRIA NUS</t>
  </si>
  <si>
    <t>TRSF E-BANKING DB 2801/FTSCY/WS95271 53650000.00 pemb. farm sugeng lunas RUKUN MITRA BERSAM</t>
  </si>
  <si>
    <t>TRSF E-BANKING DB 2801/FTSCY/WS95271 101379450.00 pelunasan 25/01 kr g 40 jt SUPER UNGGAS JAYA</t>
  </si>
  <si>
    <t>TRSF E-BANKING DB 2801/FTSCY/WS95031 40000000.00 pelunasan 25 01 SUPER UNGGAS JAYA</t>
  </si>
  <si>
    <t>TRSF E-BANKING DB 2801/FTSCY/WS95031 617800.00 NURHAYATI</t>
  </si>
  <si>
    <t>TRSF E-BANKING DB 2801/FTSCY/WS95031 1785130.00 mlg sidoraya MUJIANTO</t>
  </si>
  <si>
    <t>TRSF E-BANKING DB 2801/FTSCY/WS95031 3808100.00 HERMAWAN</t>
  </si>
  <si>
    <t>TRSF E-BANKING CR 2801/FTSCY/WS95051 152329300.00 ah fm hairul 18/1 PHALOSARI UNGGUL J</t>
  </si>
  <si>
    <t>TRSF E-BANKING DB 2801/FTSCY/WS95031 52500000.00 pemb. kd yuda ANDALAN YASA MITRA</t>
  </si>
  <si>
    <t>TRSF E-BANKING CR 2801/FTSCY/WS95051 199321375.00 krmn 27/1 TERA MULIA KORPORI</t>
  </si>
  <si>
    <t>TRSF E-BANKING DB 2801/FTSCY/WS95011 75732760.00 kd binti masruroh t. agung BINTANG TAMA SANTO</t>
  </si>
  <si>
    <t>TRSF E-BANKING DB 2801/FTSCY/WS95011 42000000.00 kd sri m malang PITIK DIGITAL INDO</t>
  </si>
  <si>
    <t>TRSF E-BANKING DB 2801/FTSCY/WS95011 36925500.00 pemb. kd hamdan soko tuban PITIK DIGITAL INDO</t>
  </si>
  <si>
    <t>TRSF E-BANKING DB 2801/FTSCY/WS95011 74950590.00 Mon Jan 26 2026 15:00:00 GMT+0700 (Western Indonesia Time) SUPER UNGGAS JAYA</t>
  </si>
  <si>
    <t>TRSF E-BANKING DB 2801/FTSCY/WS95031 1048260.00 NURHAYATI</t>
  </si>
  <si>
    <t>TRSF E-BANKING DB 2801/FTSCY/WS95011 83398500.00 pemb. do 26 dan 27 BROILER MAKMUR TAN</t>
  </si>
  <si>
    <t>TRSF E-BANKING CR 2801/FTSCY/WS95011 270095440.00 WAHYU MEGA ARSITA</t>
  </si>
  <si>
    <t>TRSF E-BANKING DB 2801/FTSCY/WS95011 167545000.00 Tue Jan 27 2026 15:00:00 GMT+0700 (Western Indonesia Time) GANESHA SATRIA NUS</t>
  </si>
  <si>
    <t>TRSF E-BANKING DB 2801/FTSCY/WS95271 2582550.00 kdr mjk HERMAWAN</t>
  </si>
  <si>
    <t>TRSF E-BANKING DB 2801/FTSCY/WS95271 2399000.00 NURUL AINI</t>
  </si>
  <si>
    <t>TRSF E-BANKING CR TANGGAL :28/01</t>
  </si>
  <si>
    <t>TRSF E-BANKING CR TANGGAL :28/01 2801/FTSCY/WS95051 SIDO RAYA UTAMA CV</t>
  </si>
  <si>
    <t>TRSF E-BANKING DB 2901/FTSCY/WS95271 126000000.00 kd hidayat pasurua n ANUGERAH KARTIKA A</t>
  </si>
  <si>
    <t>TRSF E-BANKING CR 2901/FTSCY/WS95031 350000.00 ARUL BACHTIAR DWI</t>
  </si>
  <si>
    <t>BYR VIA E-BANKING 29/01  WSID9503100 0865 PLN PREPAID 32104859353 MUHAMMAD HAIRUL MA</t>
  </si>
  <si>
    <t>TRSF E-BANKING CR 2901/FTSCY/WS95271 59519850.00 Byr Ayam 27.01 RPA SBU ALDINI MARIA GUMIL</t>
  </si>
  <si>
    <t>TRSF E-BANKING DB 2901/FTSCY/WS95271 111916750.00 titip 27/01 ANUGERAH KARTIKA A</t>
  </si>
  <si>
    <t>TRSF E-BANKING CR 2901/FTSCY/WS95031 43608400.00 lunas GATUT SETYO WIBOWO</t>
  </si>
  <si>
    <t>TRSF E-BANKING DB TANGGAL :29/01</t>
  </si>
  <si>
    <t>TRSF E-BANKING DB TANGGAL :29/01 2901/FTSCY/WS95031 pelunasan ANUGERAH KARTIKA A</t>
  </si>
  <si>
    <t>TRSF E-BANKING DB TANGGAL :29/01 2901/FTSCY/WS95031 krg 5 jt EKO SETIYAWAN</t>
  </si>
  <si>
    <t>TRSF E-BANKING CR 3001/FTSCY/WS95031 400000.00 NURUL AINI</t>
  </si>
  <si>
    <t>TRSF E-BANKING DB 3001/FTSCY/WS95031 1000000.00 SANDI FAJAR PRASET</t>
  </si>
  <si>
    <t>TRSF E-BANKING CR 3001/FTSCY/WS95051 180694250.00 krmn 28/1 HENDY BENEDICT LEO</t>
  </si>
  <si>
    <t>KR OTOMATIS</t>
  </si>
  <si>
    <t>KR OTOMATIS LLG-MANDIRI 938 SUPER FAMOUS CHICK Muhammad Hairul PO -4</t>
  </si>
  <si>
    <t>TRSF E-BANKING DB 3001/FTSCY/WS95271 44676000.00 27/01  ANDALAN YASA MITRA</t>
  </si>
  <si>
    <t>TRSF E-BANKING DB 3001/FTSCY/WS95271 59059000.00 tulung agung PITIK DIGITAL INDO</t>
  </si>
  <si>
    <t>TRSF E-BANKING CR 3001/FTSCY/WS95051 51716560.00 ah hairul tg 20/1 PHALOSARI UNGGUL J</t>
  </si>
  <si>
    <t>TRSF E-BANKING CR 3001/FTSCY/WS95051 43800000.00 hoirul mlg 27 jan SENTRAL NIAGA UNGG</t>
  </si>
  <si>
    <t>TRSF E-BANKING CR 3001/FTSCY/WS95031 1000000.00 ARUL BACHTIAR DWI</t>
  </si>
  <si>
    <t>BI-FAST CR</t>
  </si>
  <si>
    <t>BI-FAST CR BIF TRANSFER DR 8 VIVIN HOSAINI</t>
  </si>
  <si>
    <t>TRSF E-BANKING CR 3001/FTSCY/WS95051 47332710.00 ah 2976.9x15900 GEMILANG INTI SUKS</t>
  </si>
  <si>
    <t>TRSF E-BANKING CR 3001/FTSCY/WS95051 53702250.00 SIDO RAYA UTAMA CV</t>
  </si>
  <si>
    <t>TRSF E-BANKING DB 3001/FTSCY/WS95031 95520300.00 27 dan 29 lunas BROILER MAKMUR TAN</t>
  </si>
  <si>
    <t>TRSF E-BANKING CR 3001/FTSCY/WS95031 1174140.00 HANDY WIDO PRATAMA</t>
  </si>
  <si>
    <t>TRSF E-BANKING CR 3001/FTSCY/WS95031 6900000.00 496.4 kg RODHIATUS SOLEHA</t>
  </si>
  <si>
    <t>TRSF E-BANKING DB 3001/FTSCY/WS95271 103337520.00 Tue Jan 27 2026 15:00:00 GMT+0700 (Western Indonesia Time) SUPER UNGGAS JAYA</t>
  </si>
  <si>
    <t>TRSF E-BANKING DB 3001/FTSCY/WS95271 2046280.00 NURHAYATI</t>
  </si>
  <si>
    <t>TRSF E-BANKING DB 3001/FTSCY/WS95271 50750000.00 pemb. kd amin jatm iko sragen lunas PITIK DIGITAL INDO</t>
  </si>
  <si>
    <t>TRSF E-BANKING DB 3001/FTSCY/WS95011 44602500.00 kd hadi s magetan BINTANG TAMA SANTO</t>
  </si>
  <si>
    <t>TRSF E-BANKING CR 3001/FTSCY/WS95011 70000000.00 Titip Byr ayam RPA SBU ALDINI MARIA GUMIL</t>
  </si>
  <si>
    <t>TRSF E-BANKING DB 3101/FTSCY/WS95271 140154100.00 Thu Jan 29 2026 15:00:00 GMT+0700 (Western Indonesia Time) ANDALAN YASA MITRA</t>
  </si>
  <si>
    <t>TRSF E-BANKING DB 3101/FTSCY/WS95031 1453650.00 MUJIANTO</t>
  </si>
  <si>
    <t>TRSF E-BANKING DB 3101/FTSCY/WS95031 2964500.00 sragen sidoraya HERMAWAN</t>
  </si>
  <si>
    <t>TRSF E-BANKING DB 3101/FTSCY/WS95031 1500000.00 tot titip 30.01 13 500000 SANDI FAJAR PRASET</t>
  </si>
  <si>
    <t>TRSF E-BANKING DB 3101/FTSCY/WS95031 4528300.00 krg 8.750.000 EKO SETIYAWAN</t>
  </si>
  <si>
    <t>TRSF E-BANKING CR 3101/FTSCY/WS95051 221171464.00 krmn 30/1 HENDY BENEDICT LEO</t>
  </si>
  <si>
    <t>TARIKAN ATM 31/01</t>
  </si>
  <si>
    <t>TRSF E-BANKING CR 3101/FTSCY/WS95051 43800000.00 hoirul jbg 29 jan SENTRAL NIAGA UNGG</t>
  </si>
  <si>
    <t>TRSF E-BANKING CR 3101/FTSCY/WS95051 52667300.00 ah hairul tgl 21/1 PHALOSARI UNGGUL J</t>
  </si>
  <si>
    <t>TRSF E-BANKING CR 3101/FTSCY/WS95031 37260000.00 lunas GATUT SETYO WIBOWO</t>
  </si>
  <si>
    <t>TRSF E-BANKING DB 3101/FTSCY/WS95031 43400000.00 2800 kg kd a. pamu ji UNGGAS MANDIRI BER</t>
  </si>
  <si>
    <t>TRSF E-BANKING CR 3101/FTSCY/WS95031 33160680.00 Pelunasan Ayam 30. 01 RPA SBU ALDINI MARIA GUMIL</t>
  </si>
  <si>
    <t>TRSF E-BANKING CR 3101/FTSCY/WS95051 57380000.00 ah 3800x15100 GEMILANG INTI SUKS</t>
  </si>
  <si>
    <t>TRSF E-BANKING CR 3101/FTSCY/WS95051 92998100.00 WAHYUDI</t>
  </si>
  <si>
    <t>TRSF E-BANKING DB 3101/FTSCY/WS95031 44170000.00 Fri Jan 30 2026 15:00:00 GMT+0700 (Western Indonesia Time) ANUGERAH KARTIKA A</t>
  </si>
  <si>
    <t>TRSF E-BANKING DB 3101/FTSCY/WS95271 47600000.00 kd budiono jombang BINTANG TAMA SANTO</t>
  </si>
  <si>
    <t>TRSF E-BANKING CR 3101/FTSCY/WS95011 42998760.00 WAHYU MEGA ARSITA</t>
  </si>
  <si>
    <t>TRSF E-BANKING DB 3101/FTSCY/WS95011 163720250.00 Thu Jan 29 2026 15:00:00 GMT+0700 (Western Indonesia Time) BROILER MAKMUR TAN</t>
  </si>
  <si>
    <t>TRSF E-BANKING DB 3101/FTSCY/WS95271 83855250.00 28 dan 29 / januar i SUPER UNGGAS JAYA</t>
  </si>
  <si>
    <t>TRSF E-BANKING DB 3101/FTSCY/WS95271 6850320.00 kd agro pasuruan l okal SUPER UNGGAS JAYA</t>
  </si>
  <si>
    <t>TRSF E-BANKING DB 3101/FTSCY/WS95011 131438400.00 pemb. kd diana pasuruan ANUGERAH KARTIKA A</t>
  </si>
  <si>
    <t>TRSF E-BANKING DB 3101/FTSCY/WS95011 52950000.00 pemb. kd puput 1 magetan RUKUN MITRA BERSAM</t>
  </si>
  <si>
    <t>TRSF E-BANKING DB 3101/FTSCY/WS95011 42714000.00 pemb. kd suharto jombang ANUGERAH KARTIKA A</t>
  </si>
  <si>
    <t>TRSF E-BANKING CR 3101/FTSCY/WS95031 14250000.00 RODHIATUS SOLEHA</t>
  </si>
  <si>
    <t>TRSF E-BANKING CR 3101/FTSCY/WS95031 52308750.00 lunas GATUT SETYO WIBOWO</t>
  </si>
  <si>
    <t>DR KOREKSI BUNGA</t>
  </si>
  <si>
    <t>BUNGA</t>
  </si>
  <si>
    <t>PAJAK BUNGA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</si>
</sst>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/&quot;m"/>
    <numFmt numFmtId="165" formatCode="dd&quot;/&quot;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4" xfId="0" applyFont="1" applyNumberFormat="1"/>
    <xf borderId="0" fillId="0" fontId="1" numFmtId="2" xfId="0" applyFont="1" applyNumberFormat="1"/>
    <xf borderId="0" fillId="0" fontId="1" numFmtId="4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2" fontId="1" numFmtId="164" xfId="0" applyAlignment="1" applyFill="1" applyFont="1" applyNumberFormat="1">
      <alignment readingOrder="0"/>
    </xf>
    <xf borderId="0" fillId="2" fontId="1" numFmtId="0" xfId="0" applyAlignment="1" applyFill="1" applyFont="1">
      <alignment readingOrder="0"/>
    </xf>
    <xf borderId="0" fillId="2" fontId="1" numFmtId="4" xfId="0" applyAlignment="1" applyFill="1" applyFont="1" applyNumberFormat="1">
      <alignment readingOrder="0"/>
    </xf>
    <xf borderId="0" fillId="2" fontId="1" numFmtId="2" xfId="0" applyAlignment="1" applyFill="1" applyFont="1" applyNumberFormat="1">
      <alignment readingOrder="0"/>
    </xf>
    <xf borderId="0" fillId="2" fontId="1" numFmtId="4" xfId="0" applyFill="1" applyFont="1" applyNumberFormat="1"/>
    <xf borderId="0" fillId="2" fontId="1" numFmtId="2" xfId="0" applyFill="1" applyFont="1" applyNumberFormat="1"/>
    <xf borderId="0" fillId="0" fontId="1" numFmtId="164" xfId="0" applyFont="1" applyNumberFormat="1"/>
    <xf borderId="0" fillId="0" fontId="1" numFmtId="0" xfId="0" applyFon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9.5"/>
    <col customWidth="1" min="2" max="2" width="23.5"/>
    <col customWidth="1" min="3" max="3" width="57.38"/>
    <col customWidth="1" min="4" max="4" width="15.25"/>
    <col customWidth="1" min="5" max="5" width="14.0"/>
    <col customWidth="1" min="6" max="6" width="5.13"/>
    <col customWidth="1" min="7" max="7" width="15.5"/>
  </cols>
  <sheetData>
    <row r="1">
      <c r="A1" s="1"/>
      <c r="B1" s="2"/>
      <c r="C1" s="2"/>
      <c r="D1" s="3"/>
      <c r="E1" s="3"/>
      <c r="F1" s="4"/>
      <c r="G1" s="5"/>
      <c r="H1" s="4"/>
      <c r="I1" s="6"/>
      <c r="J1" s="4"/>
      <c r="K1" s="4"/>
    </row>
    <row r="2">
      <c r="A2" s="1">
        <v>44927.0</v>
      </c>
      <c r="B2" s="2" t="s">
        <v>0</v>
      </c>
      <c r="C2" s="2" t="s">
        <v>0</v>
      </c>
      <c r="D2" s="3"/>
      <c r="E2" s="3">
        <f>SUM(E3:E681) </f>
        <v>19994920021</v>
      </c>
      <c r="F2" s="4"/>
      <c r="G2" s="5">
        <v>1.05176042813E9</v>
      </c>
      <c r="H2" s="4"/>
      <c r="I2" s="6" t="s">
        <v>1</v>
      </c>
      <c r="J2" s="4"/>
      <c r="K2" s="4"/>
    </row>
    <row r="3">
      <c r="A3" s="1">
        <v>44928.0</v>
      </c>
      <c r="B3" s="2" t="s">
        <v>2</v>
      </c>
      <c r="C3" s="2" t="s">
        <v>3</v>
      </c>
      <c r="D3" s="5">
        <v>6838390.0</v>
      </c>
      <c r="E3" s="5"/>
      <c r="F3" s="6" t="s">
        <v>4</v>
      </c>
      <c r="G3" s="3">
        <f>G2-D3+E3</f>
        <v>1044922038</v>
      </c>
      <c r="H3" s="4"/>
      <c r="I3" s="6" t="s">
        <v>5</v>
      </c>
      <c r="J3" s="4"/>
      <c r="K3" s="4"/>
    </row>
    <row r="4">
      <c r="A4" s="1">
        <v>44928.0</v>
      </c>
      <c r="B4" s="2" t="s">
        <v>2</v>
      </c>
      <c r="C4" s="2" t="s">
        <v>6</v>
      </c>
      <c r="D4" s="5">
        <v>6111690.0</v>
      </c>
      <c r="E4" s="5"/>
      <c r="F4" s="6" t="s">
        <v>4</v>
      </c>
      <c r="G4" s="3">
        <f t="array" ref="G4:G681">SCAN(G3, MAP(D4:D681, E4:E681, LAMBDA(d, c, IF(AND(d="", c=""), "", N(c) - N(d)))), LAMBDA(saldo, mutasi, IF(mutasi="", "", saldo + mutasi)))</f>
        <v>1038810348</v>
      </c>
      <c r="H4" s="4"/>
      <c r="I4" s="6" t="s">
        <v>5</v>
      </c>
      <c r="J4" s="4"/>
      <c r="K4" s="4"/>
    </row>
    <row r="5">
      <c r="A5" s="1">
        <v>44928.0</v>
      </c>
      <c r="B5" s="2" t="s">
        <v>2</v>
      </c>
      <c r="C5" s="2" t="s">
        <v>7</v>
      </c>
      <c r="D5" s="5">
        <v>694550.0</v>
      </c>
      <c r="E5" s="5"/>
      <c r="F5" s="6" t="s">
        <v>4</v>
      </c>
      <c r="G5" s="3">
        <v>1.03811579813E9</v>
      </c>
      <c r="H5" s="4"/>
      <c r="I5" s="6" t="s">
        <v>8</v>
      </c>
      <c r="J5" s="4"/>
      <c r="K5" s="4"/>
    </row>
    <row r="6">
      <c r="A6" s="1">
        <v>44928.0</v>
      </c>
      <c r="B6" s="2" t="s">
        <v>9</v>
      </c>
      <c r="C6" s="2" t="s">
        <v>10</v>
      </c>
      <c r="D6" s="5">
        <v>1.081731E8</v>
      </c>
      <c r="E6" s="5"/>
      <c r="F6" s="6" t="s">
        <v>4</v>
      </c>
      <c r="G6" s="3">
        <v>9.2994269813E8</v>
      </c>
      <c r="H6" s="4"/>
      <c r="I6" s="6" t="s">
        <v>11</v>
      </c>
      <c r="J6" s="4"/>
      <c r="K6" s="4"/>
    </row>
    <row r="7">
      <c r="A7" s="1">
        <v>44928.0</v>
      </c>
      <c r="B7" s="2" t="s">
        <v>9</v>
      </c>
      <c r="C7" s="2" t="s">
        <v>12</v>
      </c>
      <c r="D7" s="5">
        <v>7000000.0</v>
      </c>
      <c r="E7" s="5"/>
      <c r="F7" s="6" t="s">
        <v>4</v>
      </c>
      <c r="G7" s="3">
        <v>9.2294269813E8</v>
      </c>
      <c r="H7" s="4"/>
      <c r="I7" s="6" t="s">
        <v>5</v>
      </c>
      <c r="J7" s="4"/>
      <c r="K7" s="4"/>
    </row>
    <row r="8">
      <c r="A8" s="1">
        <v>44928.0</v>
      </c>
      <c r="B8" s="2" t="s">
        <v>9</v>
      </c>
      <c r="C8" s="2" t="s">
        <v>13</v>
      </c>
      <c r="D8" s="5">
        <v>1.08E8</v>
      </c>
      <c r="E8" s="5"/>
      <c r="F8" s="6" t="s">
        <v>4</v>
      </c>
      <c r="G8" s="3">
        <v>8.1494269813E8</v>
      </c>
      <c r="H8" s="4"/>
      <c r="I8" s="6" t="s">
        <v>11</v>
      </c>
      <c r="J8" s="4"/>
      <c r="K8" s="4"/>
    </row>
    <row r="9">
      <c r="A9" s="1">
        <v>44928.0</v>
      </c>
      <c r="B9" s="2" t="s">
        <v>9</v>
      </c>
      <c r="C9" s="2" t="s">
        <v>14</v>
      </c>
      <c r="D9" s="5">
        <v>5.60715E7</v>
      </c>
      <c r="E9" s="5"/>
      <c r="F9" s="6" t="s">
        <v>4</v>
      </c>
      <c r="G9" s="3">
        <v>7.5887119813E8</v>
      </c>
      <c r="H9" s="4"/>
      <c r="I9" s="6" t="s">
        <v>11</v>
      </c>
      <c r="J9" s="4"/>
      <c r="K9" s="4"/>
    </row>
    <row r="10">
      <c r="A10" s="1">
        <v>44928.0</v>
      </c>
      <c r="B10" s="2" t="s">
        <v>9</v>
      </c>
      <c r="C10" s="2" t="s">
        <v>15</v>
      </c>
      <c r="D10" s="5">
        <v>6.178025E7</v>
      </c>
      <c r="E10" s="5"/>
      <c r="F10" s="6" t="s">
        <v>4</v>
      </c>
      <c r="G10" s="3">
        <v>6.9709094813E8</v>
      </c>
      <c r="H10" s="4"/>
      <c r="I10" s="6" t="s">
        <v>11</v>
      </c>
      <c r="J10" s="4"/>
      <c r="K10" s="4"/>
    </row>
    <row r="11">
      <c r="A11" s="1">
        <v>44928.0</v>
      </c>
      <c r="B11" s="2" t="s">
        <v>9</v>
      </c>
      <c r="C11" s="2" t="s">
        <v>16</v>
      </c>
      <c r="D11" s="5">
        <v>1.00989E8</v>
      </c>
      <c r="E11" s="5"/>
      <c r="F11" s="6" t="s">
        <v>4</v>
      </c>
      <c r="G11" s="3">
        <v>5.9610194813E8</v>
      </c>
      <c r="H11" s="4"/>
      <c r="I11" s="6" t="s">
        <v>11</v>
      </c>
      <c r="J11" s="4"/>
      <c r="K11" s="4"/>
    </row>
    <row r="12">
      <c r="A12" s="1">
        <v>44928.0</v>
      </c>
      <c r="B12" s="2" t="s">
        <v>9</v>
      </c>
      <c r="C12" s="2" t="s">
        <v>17</v>
      </c>
      <c r="D12" s="5">
        <v>2.0E8</v>
      </c>
      <c r="E12" s="5"/>
      <c r="F12" s="6" t="s">
        <v>4</v>
      </c>
      <c r="G12" s="3">
        <v>3.9610194813E8</v>
      </c>
      <c r="H12" s="4"/>
      <c r="I12" s="6" t="s">
        <v>11</v>
      </c>
      <c r="J12" s="4"/>
      <c r="K12" s="4"/>
    </row>
    <row r="13">
      <c r="A13" s="1">
        <v>44928.0</v>
      </c>
      <c r="B13" s="2" t="s">
        <v>9</v>
      </c>
      <c r="C13" s="2" t="s">
        <v>18</v>
      </c>
      <c r="D13" s="5">
        <v>1.5419378E8</v>
      </c>
      <c r="E13" s="5"/>
      <c r="F13" s="6" t="s">
        <v>4</v>
      </c>
      <c r="G13" s="3">
        <v>2.4190816813E8</v>
      </c>
      <c r="H13" s="4"/>
      <c r="I13" s="6" t="s">
        <v>11</v>
      </c>
      <c r="J13" s="4"/>
      <c r="K13" s="4"/>
    </row>
    <row r="14">
      <c r="A14" s="1">
        <v>44928.0</v>
      </c>
      <c r="B14" s="2" t="s">
        <v>9</v>
      </c>
      <c r="C14" s="2" t="s">
        <v>19</v>
      </c>
      <c r="D14" s="5">
        <v>4.4422E7</v>
      </c>
      <c r="E14" s="5"/>
      <c r="F14" s="6" t="s">
        <v>4</v>
      </c>
      <c r="G14" s="3">
        <v>1.9748616813E8</v>
      </c>
      <c r="H14" s="4"/>
      <c r="I14" s="6" t="s">
        <v>11</v>
      </c>
      <c r="J14" s="4"/>
      <c r="K14" s="4"/>
    </row>
    <row r="15">
      <c r="A15" s="1">
        <v>44928.0</v>
      </c>
      <c r="B15" s="2" t="s">
        <v>9</v>
      </c>
      <c r="C15" s="2" t="s">
        <v>20</v>
      </c>
      <c r="D15" s="5">
        <v>1.4E7</v>
      </c>
      <c r="E15" s="5"/>
      <c r="F15" s="6" t="s">
        <v>4</v>
      </c>
      <c r="G15" s="3">
        <v>1.8348616813E8</v>
      </c>
      <c r="H15" s="4"/>
      <c r="I15" s="6" t="s">
        <v>11</v>
      </c>
      <c r="J15" s="4"/>
      <c r="K15" s="4"/>
    </row>
    <row r="16">
      <c r="A16" s="1">
        <v>44928.0</v>
      </c>
      <c r="B16" s="2" t="s">
        <v>9</v>
      </c>
      <c r="C16" s="2" t="s">
        <v>21</v>
      </c>
      <c r="D16" s="5">
        <v>3.747084E7</v>
      </c>
      <c r="E16" s="5"/>
      <c r="F16" s="6" t="s">
        <v>4</v>
      </c>
      <c r="G16" s="3">
        <v>1.4601532813E8</v>
      </c>
      <c r="H16" s="4"/>
      <c r="I16" s="6" t="s">
        <v>11</v>
      </c>
      <c r="J16" s="4"/>
      <c r="K16" s="4"/>
    </row>
    <row r="17">
      <c r="A17" s="1">
        <v>44928.0</v>
      </c>
      <c r="B17" s="2" t="s">
        <v>9</v>
      </c>
      <c r="C17" s="2" t="s">
        <v>22</v>
      </c>
      <c r="D17" s="5">
        <v>6691520.0</v>
      </c>
      <c r="E17" s="5"/>
      <c r="F17" s="6" t="s">
        <v>4</v>
      </c>
      <c r="G17" s="3">
        <v>1.3932380813E8</v>
      </c>
      <c r="H17" s="4"/>
      <c r="I17" s="6" t="s">
        <v>11</v>
      </c>
      <c r="J17" s="4"/>
      <c r="K17" s="4"/>
    </row>
    <row r="18">
      <c r="A18" s="1">
        <v>44928.0</v>
      </c>
      <c r="B18" s="2" t="s">
        <v>23</v>
      </c>
      <c r="C18" s="2" t="s">
        <v>23</v>
      </c>
      <c r="D18" s="5">
        <v>300000.0</v>
      </c>
      <c r="E18" s="5"/>
      <c r="F18" s="6"/>
      <c r="G18" s="3">
        <v>1.3902380813E8</v>
      </c>
      <c r="H18" s="4"/>
      <c r="I18" s="6" t="s">
        <v>1</v>
      </c>
      <c r="J18" s="4"/>
      <c r="K18" s="4"/>
    </row>
    <row r="19">
      <c r="A19" s="1">
        <v>44928.0</v>
      </c>
      <c r="B19" s="2" t="s">
        <v>24</v>
      </c>
      <c r="C19" s="2" t="s">
        <v>25</v>
      </c>
      <c r="D19" s="5"/>
      <c r="E19" s="5">
        <v>5.3215029E7</v>
      </c>
      <c r="F19" s="6" t="s">
        <v>26</v>
      </c>
      <c r="G19" s="3">
        <v>1.9223883713E8</v>
      </c>
      <c r="H19" s="4"/>
      <c r="I19" s="4"/>
      <c r="J19" s="4"/>
      <c r="K19" s="4"/>
    </row>
    <row r="20">
      <c r="A20" s="1">
        <v>44928.0</v>
      </c>
      <c r="B20" s="2" t="s">
        <v>24</v>
      </c>
      <c r="C20" s="2" t="s">
        <v>27</v>
      </c>
      <c r="D20" s="5"/>
      <c r="E20" s="5">
        <v>950000.0</v>
      </c>
      <c r="F20" s="6" t="s">
        <v>26</v>
      </c>
      <c r="G20" s="3">
        <v>1.9318883713E8</v>
      </c>
      <c r="H20" s="4"/>
      <c r="I20" s="4"/>
      <c r="J20" s="4"/>
      <c r="K20" s="4"/>
    </row>
    <row r="21">
      <c r="A21" s="1">
        <v>44928.0</v>
      </c>
      <c r="B21" s="2" t="s">
        <v>9</v>
      </c>
      <c r="C21" s="2" t="s">
        <v>28</v>
      </c>
      <c r="D21" s="5">
        <v>4.665E7</v>
      </c>
      <c r="E21" s="5"/>
      <c r="F21" s="6" t="s">
        <v>4</v>
      </c>
      <c r="G21" s="3">
        <v>1.4653883713E8</v>
      </c>
      <c r="H21" s="4"/>
      <c r="I21" s="6" t="s">
        <v>11</v>
      </c>
      <c r="J21" s="4"/>
      <c r="K21" s="4"/>
    </row>
    <row r="22">
      <c r="A22" s="1">
        <v>44928.0</v>
      </c>
      <c r="B22" s="2" t="s">
        <v>24</v>
      </c>
      <c r="C22" s="2" t="s">
        <v>29</v>
      </c>
      <c r="D22" s="5"/>
      <c r="E22" s="5">
        <v>4.084892E7</v>
      </c>
      <c r="F22" s="6" t="s">
        <v>26</v>
      </c>
      <c r="G22" s="3">
        <v>1.8738775713E8</v>
      </c>
      <c r="H22" s="4"/>
      <c r="I22" s="4"/>
      <c r="J22" s="4"/>
      <c r="K22" s="4"/>
    </row>
    <row r="23">
      <c r="A23" s="1">
        <v>44928.0</v>
      </c>
      <c r="B23" s="2" t="s">
        <v>30</v>
      </c>
      <c r="C23" s="2" t="s">
        <v>31</v>
      </c>
      <c r="D23" s="5"/>
      <c r="E23" s="5">
        <v>6.138E7</v>
      </c>
      <c r="F23" s="6" t="s">
        <v>26</v>
      </c>
      <c r="G23" s="3">
        <v>2.4876775713E8</v>
      </c>
      <c r="H23" s="4"/>
      <c r="I23" s="4"/>
      <c r="J23" s="4"/>
      <c r="K23" s="4"/>
    </row>
    <row r="24">
      <c r="A24" s="1">
        <v>44928.0</v>
      </c>
      <c r="B24" s="2" t="s">
        <v>32</v>
      </c>
      <c r="C24" s="2" t="s">
        <v>33</v>
      </c>
      <c r="D24" s="5">
        <v>3211000.0</v>
      </c>
      <c r="E24" s="5"/>
      <c r="F24" s="6" t="s">
        <v>4</v>
      </c>
      <c r="G24" s="3">
        <v>2.4555675713E8</v>
      </c>
      <c r="H24" s="4"/>
      <c r="I24" s="6" t="s">
        <v>5</v>
      </c>
      <c r="J24" s="4"/>
      <c r="K24" s="4"/>
    </row>
    <row r="25">
      <c r="A25" s="1">
        <v>44928.0</v>
      </c>
      <c r="B25" s="2" t="s">
        <v>32</v>
      </c>
      <c r="C25" s="2" t="s">
        <v>34</v>
      </c>
      <c r="D25" s="5">
        <v>2539500.0</v>
      </c>
      <c r="E25" s="5"/>
      <c r="F25" s="6" t="s">
        <v>4</v>
      </c>
      <c r="G25" s="3">
        <v>2.4301725713E8</v>
      </c>
      <c r="H25" s="4"/>
      <c r="I25" s="6" t="s">
        <v>5</v>
      </c>
      <c r="J25" s="4"/>
      <c r="K25" s="4"/>
    </row>
    <row r="26">
      <c r="A26" s="1">
        <v>44928.0</v>
      </c>
      <c r="B26" s="2" t="s">
        <v>30</v>
      </c>
      <c r="C26" s="2" t="s">
        <v>35</v>
      </c>
      <c r="D26" s="5"/>
      <c r="E26" s="5">
        <v>4.66E7</v>
      </c>
      <c r="F26" s="6" t="s">
        <v>26</v>
      </c>
      <c r="G26" s="3">
        <v>2.8961725713E8</v>
      </c>
      <c r="H26" s="4"/>
      <c r="I26" s="4"/>
      <c r="J26" s="4"/>
      <c r="K26" s="4"/>
    </row>
    <row r="27">
      <c r="A27" s="1">
        <v>44928.0</v>
      </c>
      <c r="B27" s="2" t="s">
        <v>36</v>
      </c>
      <c r="C27" s="2" t="s">
        <v>37</v>
      </c>
      <c r="D27" s="5">
        <v>27000.0</v>
      </c>
      <c r="E27" s="5"/>
      <c r="F27" s="6"/>
      <c r="G27" s="3">
        <v>2.8959025713E8</v>
      </c>
      <c r="H27" s="4"/>
      <c r="I27" s="6" t="s">
        <v>1</v>
      </c>
      <c r="J27" s="4"/>
      <c r="K27" s="4"/>
    </row>
    <row r="28">
      <c r="A28" s="1">
        <v>44928.0</v>
      </c>
      <c r="B28" s="2" t="s">
        <v>36</v>
      </c>
      <c r="C28" s="2" t="s">
        <v>37</v>
      </c>
      <c r="D28" s="5">
        <v>52000.0</v>
      </c>
      <c r="E28" s="5"/>
      <c r="F28" s="6"/>
      <c r="G28" s="3">
        <v>2.8953825713E8</v>
      </c>
      <c r="H28" s="4"/>
      <c r="I28" s="6" t="s">
        <v>1</v>
      </c>
      <c r="J28" s="4"/>
      <c r="K28" s="4"/>
    </row>
    <row r="29">
      <c r="A29" s="1">
        <v>44928.0</v>
      </c>
      <c r="B29" s="2" t="s">
        <v>30</v>
      </c>
      <c r="C29" s="2" t="s">
        <v>38</v>
      </c>
      <c r="D29" s="5"/>
      <c r="E29" s="5">
        <v>5.46E7</v>
      </c>
      <c r="F29" s="6" t="s">
        <v>26</v>
      </c>
      <c r="G29" s="3">
        <v>3.4413825713E8</v>
      </c>
      <c r="H29" s="4"/>
      <c r="I29" s="4"/>
      <c r="J29" s="4"/>
      <c r="K29" s="4"/>
    </row>
    <row r="30">
      <c r="A30" s="1">
        <v>44928.0</v>
      </c>
      <c r="B30" s="2" t="s">
        <v>30</v>
      </c>
      <c r="C30" s="2" t="s">
        <v>39</v>
      </c>
      <c r="D30" s="5"/>
      <c r="E30" s="5">
        <v>20000.0</v>
      </c>
      <c r="F30" s="6" t="s">
        <v>26</v>
      </c>
      <c r="G30" s="3">
        <v>3.4415825713E8</v>
      </c>
      <c r="H30" s="4"/>
      <c r="I30" s="4"/>
      <c r="J30" s="4"/>
      <c r="K30" s="4"/>
    </row>
    <row r="31">
      <c r="A31" s="1">
        <v>44928.0</v>
      </c>
      <c r="B31" s="2" t="s">
        <v>32</v>
      </c>
      <c r="C31" s="2" t="s">
        <v>40</v>
      </c>
      <c r="D31" s="5">
        <v>9.674951E7</v>
      </c>
      <c r="E31" s="5"/>
      <c r="F31" s="6" t="s">
        <v>4</v>
      </c>
      <c r="G31" s="3">
        <v>2.4740874713E8</v>
      </c>
      <c r="H31" s="4"/>
      <c r="I31" s="6" t="s">
        <v>11</v>
      </c>
      <c r="J31" s="4"/>
      <c r="K31" s="4"/>
    </row>
    <row r="32">
      <c r="A32" s="1">
        <v>44928.0</v>
      </c>
      <c r="B32" s="2" t="s">
        <v>32</v>
      </c>
      <c r="C32" s="2" t="s">
        <v>41</v>
      </c>
      <c r="D32" s="5">
        <v>7.0E7</v>
      </c>
      <c r="E32" s="5"/>
      <c r="F32" s="6" t="s">
        <v>4</v>
      </c>
      <c r="G32" s="3">
        <v>1.7740874713E8</v>
      </c>
      <c r="H32" s="4"/>
      <c r="I32" s="6" t="s">
        <v>11</v>
      </c>
      <c r="J32" s="4"/>
      <c r="K32" s="4"/>
    </row>
    <row r="33">
      <c r="A33" s="1">
        <v>44928.0</v>
      </c>
      <c r="B33" s="2" t="s">
        <v>32</v>
      </c>
      <c r="C33" s="2" t="s">
        <v>42</v>
      </c>
      <c r="D33" s="5">
        <v>9.0909306E7</v>
      </c>
      <c r="E33" s="5"/>
      <c r="F33" s="6" t="s">
        <v>4</v>
      </c>
      <c r="G33" s="3">
        <v>8.649944113E7</v>
      </c>
      <c r="H33" s="4"/>
      <c r="I33" s="6" t="s">
        <v>11</v>
      </c>
      <c r="J33" s="4"/>
      <c r="K33" s="4"/>
    </row>
    <row r="34">
      <c r="A34" s="1">
        <v>44928.0</v>
      </c>
      <c r="B34" s="2" t="s">
        <v>32</v>
      </c>
      <c r="C34" s="2" t="s">
        <v>43</v>
      </c>
      <c r="D34" s="5">
        <v>6.0E7</v>
      </c>
      <c r="E34" s="5"/>
      <c r="F34" s="6" t="s">
        <v>4</v>
      </c>
      <c r="G34" s="3">
        <v>2.6499441129999995E7</v>
      </c>
      <c r="H34" s="4"/>
      <c r="I34" s="6" t="s">
        <v>11</v>
      </c>
      <c r="J34" s="4"/>
      <c r="K34" s="4"/>
    </row>
    <row r="35">
      <c r="A35" s="1">
        <v>44928.0</v>
      </c>
      <c r="B35" s="2" t="s">
        <v>32</v>
      </c>
      <c r="C35" s="2" t="s">
        <v>44</v>
      </c>
      <c r="D35" s="5">
        <v>2.5E7</v>
      </c>
      <c r="E35" s="5"/>
      <c r="F35" s="6" t="s">
        <v>4</v>
      </c>
      <c r="G35" s="3">
        <v>1499441.1299999952</v>
      </c>
      <c r="H35" s="4"/>
      <c r="I35" s="6" t="s">
        <v>11</v>
      </c>
      <c r="J35" s="4"/>
      <c r="K35" s="4"/>
    </row>
    <row r="36">
      <c r="A36" s="1">
        <v>44928.0</v>
      </c>
      <c r="B36" s="2" t="s">
        <v>45</v>
      </c>
      <c r="C36" s="2" t="s">
        <v>46</v>
      </c>
      <c r="D36" s="5">
        <v>139900.0</v>
      </c>
      <c r="E36" s="5"/>
      <c r="F36" s="6"/>
      <c r="G36" s="3">
        <v>1359541.1299999952</v>
      </c>
      <c r="H36" s="4"/>
      <c r="I36" s="6" t="s">
        <v>1</v>
      </c>
      <c r="J36" s="4"/>
      <c r="K36" s="4"/>
    </row>
    <row r="37">
      <c r="A37" s="1">
        <v>44928.0</v>
      </c>
      <c r="B37" s="2" t="s">
        <v>47</v>
      </c>
      <c r="C37" s="2" t="s">
        <v>48</v>
      </c>
      <c r="D37" s="5"/>
      <c r="E37" s="5">
        <v>5.04153E7</v>
      </c>
      <c r="F37" s="6" t="s">
        <v>26</v>
      </c>
      <c r="G37" s="3">
        <v>5.1774841129999995E7</v>
      </c>
      <c r="H37" s="4"/>
      <c r="I37" s="4"/>
      <c r="J37" s="4"/>
      <c r="K37" s="4"/>
    </row>
    <row r="38">
      <c r="A38" s="1">
        <v>44928.0</v>
      </c>
      <c r="B38" s="2" t="s">
        <v>47</v>
      </c>
      <c r="C38" s="2" t="s">
        <v>49</v>
      </c>
      <c r="D38" s="5"/>
      <c r="E38" s="5">
        <v>5.430543E7</v>
      </c>
      <c r="F38" s="6" t="s">
        <v>26</v>
      </c>
      <c r="G38" s="3">
        <v>1.0608027113E8</v>
      </c>
      <c r="H38" s="4"/>
      <c r="I38" s="4"/>
      <c r="J38" s="4"/>
      <c r="K38" s="4"/>
    </row>
    <row r="39">
      <c r="A39" s="1">
        <v>44928.0</v>
      </c>
      <c r="B39" s="2" t="s">
        <v>50</v>
      </c>
      <c r="C39" s="2" t="s">
        <v>51</v>
      </c>
      <c r="D39" s="5">
        <v>75000.0</v>
      </c>
      <c r="E39" s="5"/>
      <c r="F39" s="6" t="s">
        <v>4</v>
      </c>
      <c r="G39" s="3">
        <v>1.0600527113E8</v>
      </c>
      <c r="H39" s="4"/>
      <c r="I39" s="6" t="s">
        <v>1</v>
      </c>
      <c r="J39" s="4"/>
      <c r="K39" s="4"/>
    </row>
    <row r="40">
      <c r="A40" s="1">
        <v>44928.0</v>
      </c>
      <c r="B40" s="2" t="s">
        <v>50</v>
      </c>
      <c r="C40" s="2" t="s">
        <v>52</v>
      </c>
      <c r="D40" s="5">
        <v>2500.0</v>
      </c>
      <c r="E40" s="5"/>
      <c r="F40" s="6" t="s">
        <v>4</v>
      </c>
      <c r="G40" s="3">
        <v>1.0600277113E8</v>
      </c>
      <c r="H40" s="4"/>
      <c r="I40" s="6" t="s">
        <v>1</v>
      </c>
      <c r="J40" s="4"/>
      <c r="K40" s="4"/>
    </row>
    <row r="41">
      <c r="A41" s="1">
        <v>44928.0</v>
      </c>
      <c r="B41" s="2" t="s">
        <v>47</v>
      </c>
      <c r="C41" s="2" t="s">
        <v>53</v>
      </c>
      <c r="D41" s="5"/>
      <c r="E41" s="5">
        <v>1.649085E8</v>
      </c>
      <c r="F41" s="6" t="s">
        <v>26</v>
      </c>
      <c r="G41" s="3">
        <v>2.7091127113E8</v>
      </c>
      <c r="H41" s="4"/>
      <c r="I41" s="4"/>
      <c r="J41" s="4"/>
      <c r="K41" s="4"/>
    </row>
    <row r="42">
      <c r="A42" s="1">
        <v>44928.0</v>
      </c>
      <c r="B42" s="2" t="s">
        <v>54</v>
      </c>
      <c r="C42" s="2" t="s">
        <v>55</v>
      </c>
      <c r="D42" s="5">
        <v>4.26569E7</v>
      </c>
      <c r="E42" s="5"/>
      <c r="F42" s="6" t="s">
        <v>4</v>
      </c>
      <c r="G42" s="3">
        <v>2.2825437113E8</v>
      </c>
      <c r="H42" s="4"/>
      <c r="I42" s="6" t="s">
        <v>11</v>
      </c>
      <c r="J42" s="4"/>
      <c r="K42" s="4"/>
    </row>
    <row r="43">
      <c r="A43" s="1">
        <v>44928.0</v>
      </c>
      <c r="B43" s="2" t="s">
        <v>54</v>
      </c>
      <c r="C43" s="2" t="s">
        <v>56</v>
      </c>
      <c r="D43" s="5">
        <v>4.9494E7</v>
      </c>
      <c r="E43" s="5"/>
      <c r="F43" s="6" t="s">
        <v>4</v>
      </c>
      <c r="G43" s="3">
        <v>1.7876037113E8</v>
      </c>
      <c r="H43" s="4"/>
      <c r="I43" s="6" t="s">
        <v>11</v>
      </c>
      <c r="J43" s="4"/>
      <c r="K43" s="4"/>
    </row>
    <row r="44">
      <c r="A44" s="1">
        <v>44928.0</v>
      </c>
      <c r="B44" s="2" t="s">
        <v>54</v>
      </c>
      <c r="C44" s="2" t="s">
        <v>57</v>
      </c>
      <c r="D44" s="5">
        <v>1649800.0</v>
      </c>
      <c r="E44" s="5"/>
      <c r="F44" s="6" t="s">
        <v>4</v>
      </c>
      <c r="G44" s="3">
        <v>1.7711057113E8</v>
      </c>
      <c r="H44" s="4"/>
      <c r="I44" s="6" t="s">
        <v>58</v>
      </c>
      <c r="J44" s="4"/>
      <c r="K44" s="4"/>
    </row>
    <row r="45">
      <c r="A45" s="1">
        <v>44928.0</v>
      </c>
      <c r="B45" s="2" t="s">
        <v>54</v>
      </c>
      <c r="C45" s="2" t="s">
        <v>59</v>
      </c>
      <c r="D45" s="5">
        <v>1.027E8</v>
      </c>
      <c r="E45" s="5"/>
      <c r="F45" s="6" t="s">
        <v>4</v>
      </c>
      <c r="G45" s="3">
        <v>7.441057113E7</v>
      </c>
      <c r="H45" s="4"/>
      <c r="I45" s="6" t="s">
        <v>11</v>
      </c>
      <c r="J45" s="4"/>
      <c r="K45" s="4"/>
    </row>
    <row r="46">
      <c r="A46" s="1">
        <v>44928.0</v>
      </c>
      <c r="B46" s="2" t="s">
        <v>54</v>
      </c>
      <c r="C46" s="2" t="s">
        <v>60</v>
      </c>
      <c r="D46" s="5">
        <v>2.6E7</v>
      </c>
      <c r="E46" s="5"/>
      <c r="F46" s="6" t="s">
        <v>4</v>
      </c>
      <c r="G46" s="3">
        <v>4.8410571129999995E7</v>
      </c>
      <c r="H46" s="4"/>
      <c r="I46" s="6" t="s">
        <v>11</v>
      </c>
      <c r="J46" s="4"/>
      <c r="K46" s="4"/>
    </row>
    <row r="47">
      <c r="A47" s="1">
        <v>44928.0</v>
      </c>
      <c r="B47" s="2" t="s">
        <v>47</v>
      </c>
      <c r="C47" s="2" t="s">
        <v>61</v>
      </c>
      <c r="D47" s="5"/>
      <c r="E47" s="5">
        <v>5.58E7</v>
      </c>
      <c r="F47" s="6" t="s">
        <v>26</v>
      </c>
      <c r="G47" s="3">
        <v>1.0421057113E8</v>
      </c>
      <c r="H47" s="4"/>
      <c r="I47" s="4"/>
      <c r="J47" s="4"/>
      <c r="K47" s="4"/>
    </row>
    <row r="48">
      <c r="A48" s="1">
        <v>44928.0</v>
      </c>
      <c r="B48" s="2" t="s">
        <v>54</v>
      </c>
      <c r="C48" s="2" t="s">
        <v>62</v>
      </c>
      <c r="D48" s="5">
        <v>5.425E7</v>
      </c>
      <c r="E48" s="5"/>
      <c r="F48" s="6" t="s">
        <v>4</v>
      </c>
      <c r="G48" s="3">
        <v>4.9960571129999995E7</v>
      </c>
      <c r="H48" s="4"/>
      <c r="I48" s="6" t="s">
        <v>11</v>
      </c>
      <c r="J48" s="4"/>
      <c r="K48" s="4"/>
    </row>
    <row r="49">
      <c r="A49" s="1">
        <v>44928.0</v>
      </c>
      <c r="B49" s="2" t="s">
        <v>47</v>
      </c>
      <c r="C49" s="2" t="s">
        <v>63</v>
      </c>
      <c r="D49" s="5"/>
      <c r="E49" s="5">
        <v>1.094035E8</v>
      </c>
      <c r="F49" s="6" t="s">
        <v>26</v>
      </c>
      <c r="G49" s="3">
        <v>1.5936407113E8</v>
      </c>
      <c r="H49" s="4"/>
      <c r="I49" s="4"/>
      <c r="J49" s="4"/>
      <c r="K49" s="4"/>
    </row>
    <row r="50">
      <c r="A50" s="1">
        <v>44928.0</v>
      </c>
      <c r="B50" s="2" t="s">
        <v>54</v>
      </c>
      <c r="C50" s="2" t="s">
        <v>64</v>
      </c>
      <c r="D50" s="5">
        <v>4.86E7</v>
      </c>
      <c r="E50" s="5"/>
      <c r="F50" s="6" t="s">
        <v>4</v>
      </c>
      <c r="G50" s="3">
        <v>1.1076407113E8</v>
      </c>
      <c r="H50" s="4"/>
      <c r="I50" s="6" t="s">
        <v>11</v>
      </c>
      <c r="J50" s="4"/>
      <c r="K50" s="4"/>
    </row>
    <row r="51">
      <c r="A51" s="1">
        <v>44928.0</v>
      </c>
      <c r="B51" s="2" t="s">
        <v>54</v>
      </c>
      <c r="C51" s="2" t="s">
        <v>65</v>
      </c>
      <c r="D51" s="5">
        <v>4.677055E7</v>
      </c>
      <c r="E51" s="5"/>
      <c r="F51" s="6" t="s">
        <v>4</v>
      </c>
      <c r="G51" s="3">
        <v>6.3993521129999995E7</v>
      </c>
      <c r="H51" s="4"/>
      <c r="I51" s="6" t="s">
        <v>11</v>
      </c>
      <c r="J51" s="4"/>
      <c r="K51" s="4"/>
    </row>
    <row r="52">
      <c r="A52" s="1">
        <v>44928.0</v>
      </c>
      <c r="B52" s="2" t="s">
        <v>54</v>
      </c>
      <c r="C52" s="2" t="s">
        <v>66</v>
      </c>
      <c r="D52" s="5">
        <v>4.05952E7</v>
      </c>
      <c r="E52" s="5"/>
      <c r="F52" s="6" t="s">
        <v>4</v>
      </c>
      <c r="G52" s="3">
        <v>2.3398321129999995E7</v>
      </c>
      <c r="H52" s="4"/>
      <c r="I52" s="6" t="s">
        <v>11</v>
      </c>
      <c r="J52" s="4"/>
      <c r="K52" s="4"/>
    </row>
    <row r="53">
      <c r="A53" s="1">
        <v>44928.0</v>
      </c>
      <c r="B53" s="2" t="s">
        <v>47</v>
      </c>
      <c r="C53" s="2" t="s">
        <v>67</v>
      </c>
      <c r="D53" s="5"/>
      <c r="E53" s="5">
        <v>1.0E8</v>
      </c>
      <c r="F53" s="6" t="s">
        <v>26</v>
      </c>
      <c r="G53" s="3">
        <v>1.2339832113E8</v>
      </c>
      <c r="H53" s="4"/>
      <c r="I53" s="4"/>
      <c r="J53" s="4"/>
      <c r="K53" s="4"/>
    </row>
    <row r="54">
      <c r="A54" s="1">
        <v>44928.0</v>
      </c>
      <c r="B54" s="2" t="s">
        <v>68</v>
      </c>
      <c r="C54" s="2" t="s">
        <v>68</v>
      </c>
      <c r="D54" s="5">
        <v>300000.0</v>
      </c>
      <c r="E54" s="5"/>
      <c r="F54" s="4"/>
      <c r="G54" s="3">
        <v>1.2309832113E8</v>
      </c>
      <c r="H54" s="4"/>
      <c r="I54" s="6" t="s">
        <v>1</v>
      </c>
      <c r="J54" s="4"/>
      <c r="K54" s="4"/>
    </row>
    <row r="55">
      <c r="A55" s="1">
        <v>44928.0</v>
      </c>
      <c r="B55" s="2" t="s">
        <v>54</v>
      </c>
      <c r="C55" s="2" t="s">
        <v>69</v>
      </c>
      <c r="D55" s="5">
        <v>5.3922E7</v>
      </c>
      <c r="E55" s="3"/>
      <c r="F55" s="6" t="s">
        <v>4</v>
      </c>
      <c r="G55" s="3">
        <v>6.917632113E7</v>
      </c>
      <c r="H55" s="4"/>
      <c r="I55" s="6" t="s">
        <v>11</v>
      </c>
      <c r="J55" s="4"/>
      <c r="K55" s="4"/>
    </row>
    <row r="56">
      <c r="A56" s="1">
        <v>44928.0</v>
      </c>
      <c r="B56" s="2" t="s">
        <v>54</v>
      </c>
      <c r="C56" s="2" t="s">
        <v>70</v>
      </c>
      <c r="D56" s="5">
        <v>6.429E7</v>
      </c>
      <c r="E56" s="5"/>
      <c r="F56" s="6" t="s">
        <v>4</v>
      </c>
      <c r="G56" s="3">
        <v>4886321.129999995</v>
      </c>
      <c r="H56" s="4"/>
      <c r="I56" s="6" t="s">
        <v>11</v>
      </c>
      <c r="J56" s="4"/>
      <c r="K56" s="4"/>
    </row>
    <row r="57">
      <c r="A57" s="1">
        <v>44929.0</v>
      </c>
      <c r="B57" s="2" t="s">
        <v>71</v>
      </c>
      <c r="C57" s="2" t="s">
        <v>72</v>
      </c>
      <c r="D57" s="5">
        <v>4670300.0</v>
      </c>
      <c r="E57" s="5"/>
      <c r="F57" s="6" t="s">
        <v>4</v>
      </c>
      <c r="G57" s="3">
        <v>216021.12999999523</v>
      </c>
      <c r="H57" s="4"/>
      <c r="I57" s="6" t="s">
        <v>5</v>
      </c>
      <c r="J57" s="4"/>
      <c r="K57" s="4"/>
    </row>
    <row r="58">
      <c r="A58" s="1">
        <v>44929.0</v>
      </c>
      <c r="B58" s="2" t="s">
        <v>73</v>
      </c>
      <c r="C58" s="2" t="s">
        <v>74</v>
      </c>
      <c r="D58" s="5"/>
      <c r="E58" s="5">
        <v>5.6E7</v>
      </c>
      <c r="F58" s="6" t="s">
        <v>26</v>
      </c>
      <c r="G58" s="3">
        <v>5.6216021129999995E7</v>
      </c>
      <c r="H58" s="4"/>
      <c r="I58" s="4"/>
      <c r="J58" s="4"/>
      <c r="K58" s="4"/>
    </row>
    <row r="59">
      <c r="A59" s="1">
        <v>44929.0</v>
      </c>
      <c r="B59" s="2" t="s">
        <v>54</v>
      </c>
      <c r="C59" s="2" t="s">
        <v>75</v>
      </c>
      <c r="D59" s="5">
        <v>3.0E7</v>
      </c>
      <c r="E59" s="5"/>
      <c r="F59" s="6" t="s">
        <v>4</v>
      </c>
      <c r="G59" s="3">
        <v>2.6216021129999995E7</v>
      </c>
      <c r="H59" s="4"/>
      <c r="I59" s="6" t="s">
        <v>11</v>
      </c>
      <c r="J59" s="4"/>
      <c r="K59" s="4"/>
    </row>
    <row r="60">
      <c r="A60" s="1">
        <v>44929.0</v>
      </c>
      <c r="B60" s="2" t="s">
        <v>54</v>
      </c>
      <c r="C60" s="2" t="s">
        <v>76</v>
      </c>
      <c r="D60" s="5">
        <v>3143000.0</v>
      </c>
      <c r="E60" s="5"/>
      <c r="F60" s="6" t="s">
        <v>4</v>
      </c>
      <c r="G60" s="3">
        <v>2.3073021129999995E7</v>
      </c>
      <c r="H60" s="4"/>
      <c r="I60" s="6" t="s">
        <v>58</v>
      </c>
      <c r="J60" s="4"/>
      <c r="K60" s="4"/>
    </row>
    <row r="61">
      <c r="A61" s="1">
        <v>44929.0</v>
      </c>
      <c r="B61" s="2" t="s">
        <v>54</v>
      </c>
      <c r="C61" s="2" t="s">
        <v>77</v>
      </c>
      <c r="D61" s="5">
        <v>2.3E7</v>
      </c>
      <c r="E61" s="5"/>
      <c r="F61" s="6" t="s">
        <v>4</v>
      </c>
      <c r="G61" s="3">
        <v>73021.12999999523</v>
      </c>
      <c r="H61" s="4"/>
      <c r="I61" s="6" t="s">
        <v>11</v>
      </c>
      <c r="J61" s="4"/>
      <c r="K61" s="4"/>
    </row>
    <row r="62">
      <c r="A62" s="1">
        <v>44929.0</v>
      </c>
      <c r="B62" s="2" t="s">
        <v>47</v>
      </c>
      <c r="C62" s="2" t="s">
        <v>78</v>
      </c>
      <c r="D62" s="5"/>
      <c r="E62" s="5">
        <v>1.459305E8</v>
      </c>
      <c r="F62" s="6" t="s">
        <v>26</v>
      </c>
      <c r="G62" s="3">
        <v>1.4600352113E8</v>
      </c>
      <c r="H62" s="4"/>
      <c r="I62" s="4"/>
      <c r="J62" s="4"/>
      <c r="K62" s="4"/>
    </row>
    <row r="63">
      <c r="A63" s="1">
        <v>44929.0</v>
      </c>
      <c r="B63" s="2" t="s">
        <v>47</v>
      </c>
      <c r="C63" s="2" t="s">
        <v>79</v>
      </c>
      <c r="D63" s="5"/>
      <c r="E63" s="5">
        <v>4.5E7</v>
      </c>
      <c r="F63" s="6" t="s">
        <v>26</v>
      </c>
      <c r="G63" s="3">
        <v>1.9100352113E8</v>
      </c>
      <c r="H63" s="4"/>
      <c r="I63" s="4"/>
      <c r="J63" s="4"/>
      <c r="K63" s="4"/>
    </row>
    <row r="64">
      <c r="A64" s="1">
        <v>44929.0</v>
      </c>
      <c r="B64" s="2" t="s">
        <v>54</v>
      </c>
      <c r="C64" s="2" t="s">
        <v>80</v>
      </c>
      <c r="D64" s="5">
        <v>1.01897694E8</v>
      </c>
      <c r="E64" s="5"/>
      <c r="F64" s="6" t="s">
        <v>4</v>
      </c>
      <c r="G64" s="3">
        <v>8.910582713E7</v>
      </c>
      <c r="H64" s="4"/>
      <c r="I64" s="6" t="s">
        <v>11</v>
      </c>
      <c r="J64" s="4"/>
      <c r="K64" s="4"/>
    </row>
    <row r="65">
      <c r="A65" s="1">
        <v>44929.0</v>
      </c>
      <c r="B65" s="2" t="s">
        <v>54</v>
      </c>
      <c r="C65" s="2" t="s">
        <v>81</v>
      </c>
      <c r="D65" s="5">
        <v>5.425E7</v>
      </c>
      <c r="E65" s="5"/>
      <c r="F65" s="6" t="s">
        <v>4</v>
      </c>
      <c r="G65" s="3">
        <v>3.4855827129999995E7</v>
      </c>
      <c r="H65" s="4"/>
      <c r="I65" s="6" t="s">
        <v>11</v>
      </c>
      <c r="J65" s="4"/>
      <c r="K65" s="4"/>
    </row>
    <row r="66">
      <c r="A66" s="1">
        <v>44929.0</v>
      </c>
      <c r="B66" s="2" t="s">
        <v>47</v>
      </c>
      <c r="C66" s="2" t="s">
        <v>82</v>
      </c>
      <c r="D66" s="5"/>
      <c r="E66" s="5">
        <v>5.714436E7</v>
      </c>
      <c r="F66" s="6" t="s">
        <v>26</v>
      </c>
      <c r="G66" s="3">
        <v>9.200018713E7</v>
      </c>
      <c r="H66" s="4"/>
      <c r="I66" s="4"/>
      <c r="J66" s="4"/>
      <c r="K66" s="4"/>
    </row>
    <row r="67">
      <c r="A67" s="1">
        <v>44929.0</v>
      </c>
      <c r="B67" s="2" t="s">
        <v>47</v>
      </c>
      <c r="C67" s="2" t="s">
        <v>83</v>
      </c>
      <c r="D67" s="5"/>
      <c r="E67" s="5">
        <v>1.17E8</v>
      </c>
      <c r="F67" s="6" t="s">
        <v>26</v>
      </c>
      <c r="G67" s="3">
        <v>2.0900018713E8</v>
      </c>
      <c r="H67" s="4"/>
      <c r="I67" s="4"/>
      <c r="J67" s="4"/>
      <c r="K67" s="4"/>
    </row>
    <row r="68">
      <c r="A68" s="1">
        <v>44929.0</v>
      </c>
      <c r="B68" s="2" t="s">
        <v>47</v>
      </c>
      <c r="C68" s="2" t="s">
        <v>84</v>
      </c>
      <c r="D68" s="5"/>
      <c r="E68" s="5">
        <v>5.7253408E7</v>
      </c>
      <c r="F68" s="6" t="s">
        <v>26</v>
      </c>
      <c r="G68" s="3">
        <v>2.6625359513E8</v>
      </c>
      <c r="H68" s="4"/>
      <c r="I68" s="4"/>
      <c r="J68" s="4"/>
      <c r="K68" s="4"/>
    </row>
    <row r="69">
      <c r="A69" s="1">
        <v>44929.0</v>
      </c>
      <c r="B69" s="2" t="s">
        <v>54</v>
      </c>
      <c r="C69" s="2" t="s">
        <v>85</v>
      </c>
      <c r="D69" s="5">
        <v>1.0598E7</v>
      </c>
      <c r="E69" s="5"/>
      <c r="F69" s="6" t="s">
        <v>4</v>
      </c>
      <c r="G69" s="3">
        <v>2.5565559513E8</v>
      </c>
      <c r="H69" s="4"/>
      <c r="I69" s="6" t="s">
        <v>5</v>
      </c>
      <c r="J69" s="4"/>
      <c r="K69" s="4"/>
    </row>
    <row r="70">
      <c r="A70" s="1">
        <v>44929.0</v>
      </c>
      <c r="B70" s="2" t="s">
        <v>54</v>
      </c>
      <c r="C70" s="2" t="s">
        <v>86</v>
      </c>
      <c r="D70" s="5">
        <v>1.5E8</v>
      </c>
      <c r="E70" s="5"/>
      <c r="F70" s="6" t="s">
        <v>4</v>
      </c>
      <c r="G70" s="3">
        <v>1.0565559513E8</v>
      </c>
      <c r="H70" s="4"/>
      <c r="I70" s="6" t="s">
        <v>11</v>
      </c>
      <c r="J70" s="4"/>
      <c r="K70" s="4"/>
    </row>
    <row r="71">
      <c r="A71" s="1">
        <v>44929.0</v>
      </c>
      <c r="B71" s="2" t="s">
        <v>54</v>
      </c>
      <c r="C71" s="2" t="s">
        <v>87</v>
      </c>
      <c r="D71" s="5">
        <v>1.032E8</v>
      </c>
      <c r="E71" s="5"/>
      <c r="F71" s="6" t="s">
        <v>4</v>
      </c>
      <c r="G71" s="3">
        <v>2455595.129999995</v>
      </c>
      <c r="H71" s="4"/>
      <c r="I71" s="6" t="s">
        <v>11</v>
      </c>
      <c r="J71" s="4"/>
      <c r="K71" s="4"/>
    </row>
    <row r="72">
      <c r="A72" s="1">
        <v>44929.0</v>
      </c>
      <c r="B72" s="2" t="s">
        <v>54</v>
      </c>
      <c r="C72" s="2" t="s">
        <v>88</v>
      </c>
      <c r="D72" s="5">
        <v>595900.0</v>
      </c>
      <c r="E72" s="5"/>
      <c r="F72" s="6" t="s">
        <v>4</v>
      </c>
      <c r="G72" s="3">
        <v>1859695.1299999952</v>
      </c>
      <c r="H72" s="4"/>
      <c r="I72" s="6" t="s">
        <v>58</v>
      </c>
      <c r="J72" s="4"/>
      <c r="K72" s="4"/>
    </row>
    <row r="73">
      <c r="A73" s="1">
        <v>44929.0</v>
      </c>
      <c r="B73" s="2" t="s">
        <v>47</v>
      </c>
      <c r="C73" s="2" t="s">
        <v>89</v>
      </c>
      <c r="D73" s="5"/>
      <c r="E73" s="5">
        <v>5.0E7</v>
      </c>
      <c r="F73" s="6" t="s">
        <v>26</v>
      </c>
      <c r="G73" s="3">
        <v>5.1859695129999995E7</v>
      </c>
      <c r="H73" s="4"/>
      <c r="I73" s="4"/>
      <c r="J73" s="4"/>
      <c r="K73" s="4"/>
    </row>
    <row r="74">
      <c r="A74" s="1">
        <v>44929.0</v>
      </c>
      <c r="B74" s="2" t="s">
        <v>54</v>
      </c>
      <c r="C74" s="2" t="s">
        <v>90</v>
      </c>
      <c r="D74" s="5">
        <v>4.677815E7</v>
      </c>
      <c r="E74" s="5"/>
      <c r="F74" s="6" t="s">
        <v>4</v>
      </c>
      <c r="G74" s="3">
        <v>5081545.129999995</v>
      </c>
      <c r="H74" s="4"/>
      <c r="I74" s="6" t="s">
        <v>11</v>
      </c>
      <c r="J74" s="4"/>
      <c r="K74" s="4"/>
    </row>
    <row r="75">
      <c r="A75" s="1">
        <v>44930.0</v>
      </c>
      <c r="B75" s="2" t="s">
        <v>91</v>
      </c>
      <c r="C75" s="2" t="s">
        <v>92</v>
      </c>
      <c r="D75" s="5">
        <v>3299340.0</v>
      </c>
      <c r="E75" s="5"/>
      <c r="F75" s="6" t="s">
        <v>4</v>
      </c>
      <c r="G75" s="3">
        <v>1782205.1299999952</v>
      </c>
      <c r="H75" s="4"/>
      <c r="I75" s="6" t="s">
        <v>5</v>
      </c>
      <c r="J75" s="4"/>
      <c r="K75" s="4"/>
    </row>
    <row r="76">
      <c r="A76" s="1">
        <v>44930.0</v>
      </c>
      <c r="B76" s="2" t="s">
        <v>91</v>
      </c>
      <c r="C76" s="2" t="s">
        <v>93</v>
      </c>
      <c r="D76" s="5">
        <v>1466600.0</v>
      </c>
      <c r="E76" s="5"/>
      <c r="F76" s="6" t="s">
        <v>4</v>
      </c>
      <c r="G76" s="3">
        <v>315605.12999999523</v>
      </c>
      <c r="H76" s="4"/>
      <c r="I76" s="6" t="s">
        <v>5</v>
      </c>
      <c r="J76" s="4"/>
      <c r="K76" s="4"/>
    </row>
    <row r="77">
      <c r="A77" s="1">
        <v>44930.0</v>
      </c>
      <c r="B77" s="2" t="s">
        <v>91</v>
      </c>
      <c r="C77" s="2" t="s">
        <v>94</v>
      </c>
      <c r="D77" s="5">
        <v>250000.0</v>
      </c>
      <c r="E77" s="5"/>
      <c r="F77" s="6" t="s">
        <v>4</v>
      </c>
      <c r="G77" s="3">
        <v>65605.12999999523</v>
      </c>
      <c r="H77" s="4"/>
      <c r="I77" s="6" t="s">
        <v>5</v>
      </c>
      <c r="J77" s="4"/>
      <c r="K77" s="4"/>
    </row>
    <row r="78">
      <c r="A78" s="1">
        <v>44930.0</v>
      </c>
      <c r="B78" s="2" t="s">
        <v>47</v>
      </c>
      <c r="C78" s="2" t="s">
        <v>95</v>
      </c>
      <c r="D78" s="5"/>
      <c r="E78" s="5">
        <v>2.4434845E8</v>
      </c>
      <c r="F78" s="6" t="s">
        <v>26</v>
      </c>
      <c r="G78" s="3">
        <v>2.4441405513E8</v>
      </c>
      <c r="H78" s="4"/>
      <c r="I78" s="4"/>
      <c r="J78" s="4"/>
      <c r="K78" s="4"/>
    </row>
    <row r="79">
      <c r="A79" s="1">
        <v>44930.0</v>
      </c>
      <c r="B79" s="2" t="s">
        <v>54</v>
      </c>
      <c r="C79" s="2" t="s">
        <v>96</v>
      </c>
      <c r="D79" s="5">
        <v>4.9915E7</v>
      </c>
      <c r="E79" s="5"/>
      <c r="F79" s="6" t="s">
        <v>4</v>
      </c>
      <c r="G79" s="3">
        <v>1.9449905513E8</v>
      </c>
      <c r="H79" s="4"/>
      <c r="I79" s="6" t="s">
        <v>11</v>
      </c>
      <c r="J79" s="4"/>
      <c r="K79" s="4"/>
    </row>
    <row r="80">
      <c r="A80" s="1">
        <v>44930.0</v>
      </c>
      <c r="B80" s="2" t="s">
        <v>54</v>
      </c>
      <c r="C80" s="2" t="s">
        <v>97</v>
      </c>
      <c r="D80" s="5">
        <v>7.5E7</v>
      </c>
      <c r="E80" s="5"/>
      <c r="F80" s="6" t="s">
        <v>4</v>
      </c>
      <c r="G80" s="3">
        <v>1.1949905513E8</v>
      </c>
      <c r="H80" s="4"/>
      <c r="I80" s="6" t="s">
        <v>11</v>
      </c>
      <c r="J80" s="4"/>
      <c r="K80" s="4"/>
    </row>
    <row r="81">
      <c r="A81" s="1">
        <v>44930.0</v>
      </c>
      <c r="B81" s="2" t="s">
        <v>47</v>
      </c>
      <c r="C81" s="2" t="s">
        <v>98</v>
      </c>
      <c r="D81" s="5"/>
      <c r="E81" s="5">
        <v>5.43E7</v>
      </c>
      <c r="F81" s="6" t="s">
        <v>26</v>
      </c>
      <c r="G81" s="3">
        <v>1.7379905513E8</v>
      </c>
      <c r="H81" s="4"/>
      <c r="I81" s="4"/>
      <c r="J81" s="4"/>
      <c r="K81" s="4"/>
    </row>
    <row r="82">
      <c r="A82" s="1">
        <v>44930.0</v>
      </c>
      <c r="B82" s="2" t="s">
        <v>47</v>
      </c>
      <c r="C82" s="2" t="s">
        <v>99</v>
      </c>
      <c r="D82" s="5"/>
      <c r="E82" s="5">
        <v>5.43E7</v>
      </c>
      <c r="F82" s="6" t="s">
        <v>26</v>
      </c>
      <c r="G82" s="3">
        <v>2.2809905513E8</v>
      </c>
      <c r="H82" s="4"/>
      <c r="I82" s="4"/>
      <c r="J82" s="4"/>
      <c r="K82" s="4"/>
    </row>
    <row r="83">
      <c r="A83" s="1">
        <v>44930.0</v>
      </c>
      <c r="B83" s="2" t="s">
        <v>47</v>
      </c>
      <c r="C83" s="2" t="s">
        <v>99</v>
      </c>
      <c r="D83" s="5"/>
      <c r="E83" s="5">
        <v>5.43E7</v>
      </c>
      <c r="F83" s="6" t="s">
        <v>26</v>
      </c>
      <c r="G83" s="3">
        <v>2.8239905513E8</v>
      </c>
      <c r="H83" s="4"/>
      <c r="I83" s="4"/>
      <c r="J83" s="4"/>
      <c r="K83" s="4"/>
    </row>
    <row r="84">
      <c r="A84" s="1">
        <v>44930.0</v>
      </c>
      <c r="B84" s="2" t="s">
        <v>47</v>
      </c>
      <c r="C84" s="2" t="s">
        <v>100</v>
      </c>
      <c r="D84" s="5"/>
      <c r="E84" s="5">
        <v>5.284224E7</v>
      </c>
      <c r="F84" s="6" t="s">
        <v>26</v>
      </c>
      <c r="G84" s="3">
        <v>3.3524129513E8</v>
      </c>
      <c r="H84" s="4"/>
      <c r="I84" s="4"/>
      <c r="J84" s="4"/>
      <c r="K84" s="4"/>
    </row>
    <row r="85">
      <c r="A85" s="1">
        <v>44930.0</v>
      </c>
      <c r="B85" s="2" t="s">
        <v>47</v>
      </c>
      <c r="C85" s="2" t="s">
        <v>101</v>
      </c>
      <c r="D85" s="5"/>
      <c r="E85" s="5">
        <v>5.28528E7</v>
      </c>
      <c r="F85" s="6" t="s">
        <v>26</v>
      </c>
      <c r="G85" s="3">
        <v>3.8809409513E8</v>
      </c>
      <c r="H85" s="4"/>
      <c r="I85" s="4"/>
      <c r="J85" s="4"/>
      <c r="K85" s="4"/>
    </row>
    <row r="86">
      <c r="A86" s="1">
        <v>44930.0</v>
      </c>
      <c r="B86" s="2" t="s">
        <v>47</v>
      </c>
      <c r="C86" s="2" t="s">
        <v>102</v>
      </c>
      <c r="D86" s="5"/>
      <c r="E86" s="5">
        <v>5.039664E7</v>
      </c>
      <c r="F86" s="6" t="s">
        <v>26</v>
      </c>
      <c r="G86" s="3">
        <v>4.3849073513E8</v>
      </c>
      <c r="H86" s="4"/>
      <c r="I86" s="4"/>
      <c r="J86" s="4"/>
      <c r="K86" s="4"/>
    </row>
    <row r="87">
      <c r="A87" s="1">
        <v>44930.0</v>
      </c>
      <c r="B87" s="2" t="s">
        <v>47</v>
      </c>
      <c r="C87" s="2" t="s">
        <v>103</v>
      </c>
      <c r="D87" s="5"/>
      <c r="E87" s="5">
        <v>5.13E7</v>
      </c>
      <c r="F87" s="6" t="s">
        <v>26</v>
      </c>
      <c r="G87" s="3">
        <v>4.8979073513E8</v>
      </c>
      <c r="H87" s="4"/>
      <c r="I87" s="4"/>
      <c r="J87" s="4"/>
      <c r="K87" s="4"/>
    </row>
    <row r="88">
      <c r="A88" s="1">
        <v>44930.0</v>
      </c>
      <c r="B88" s="2" t="s">
        <v>47</v>
      </c>
      <c r="C88" s="2" t="s">
        <v>104</v>
      </c>
      <c r="D88" s="5"/>
      <c r="E88" s="5">
        <v>5.0E7</v>
      </c>
      <c r="F88" s="6" t="s">
        <v>26</v>
      </c>
      <c r="G88" s="3">
        <v>5.3979073513E8</v>
      </c>
      <c r="H88" s="4"/>
      <c r="I88" s="4"/>
      <c r="J88" s="4"/>
      <c r="K88" s="4"/>
    </row>
    <row r="89">
      <c r="A89" s="1">
        <v>44930.0</v>
      </c>
      <c r="B89" s="2" t="s">
        <v>54</v>
      </c>
      <c r="C89" s="2" t="s">
        <v>105</v>
      </c>
      <c r="D89" s="5">
        <v>1.6777944E8</v>
      </c>
      <c r="E89" s="5"/>
      <c r="F89" s="6" t="s">
        <v>4</v>
      </c>
      <c r="G89" s="3">
        <v>3.7201129513E8</v>
      </c>
      <c r="H89" s="4"/>
      <c r="I89" s="6" t="s">
        <v>11</v>
      </c>
      <c r="J89" s="4"/>
      <c r="K89" s="4"/>
    </row>
    <row r="90">
      <c r="A90" s="1">
        <v>44930.0</v>
      </c>
      <c r="B90" s="2" t="s">
        <v>54</v>
      </c>
      <c r="C90" s="2" t="s">
        <v>106</v>
      </c>
      <c r="D90" s="5">
        <v>8.85754E7</v>
      </c>
      <c r="E90" s="5"/>
      <c r="F90" s="6" t="s">
        <v>4</v>
      </c>
      <c r="G90" s="3">
        <v>2.8343589513E8</v>
      </c>
      <c r="H90" s="4"/>
      <c r="I90" s="6" t="s">
        <v>11</v>
      </c>
      <c r="J90" s="4"/>
      <c r="K90" s="4"/>
    </row>
    <row r="91">
      <c r="A91" s="1">
        <v>44930.0</v>
      </c>
      <c r="B91" s="2" t="s">
        <v>54</v>
      </c>
      <c r="C91" s="2" t="s">
        <v>107</v>
      </c>
      <c r="D91" s="5">
        <v>3.587165E7</v>
      </c>
      <c r="E91" s="5"/>
      <c r="F91" s="6" t="s">
        <v>4</v>
      </c>
      <c r="G91" s="3">
        <v>2.4756424513E8</v>
      </c>
      <c r="H91" s="4"/>
      <c r="I91" s="6" t="s">
        <v>11</v>
      </c>
      <c r="J91" s="4"/>
      <c r="K91" s="4"/>
    </row>
    <row r="92">
      <c r="A92" s="1">
        <v>44930.0</v>
      </c>
      <c r="B92" s="2" t="s">
        <v>54</v>
      </c>
      <c r="C92" s="2" t="s">
        <v>108</v>
      </c>
      <c r="D92" s="5">
        <v>5.809E7</v>
      </c>
      <c r="E92" s="5"/>
      <c r="F92" s="6" t="s">
        <v>4</v>
      </c>
      <c r="G92" s="3">
        <v>1.8947424513E8</v>
      </c>
      <c r="H92" s="4"/>
      <c r="I92" s="6" t="s">
        <v>11</v>
      </c>
      <c r="J92" s="4"/>
      <c r="K92" s="4"/>
    </row>
    <row r="93">
      <c r="A93" s="1">
        <v>44930.0</v>
      </c>
      <c r="B93" s="2" t="s">
        <v>54</v>
      </c>
      <c r="C93" s="2" t="s">
        <v>109</v>
      </c>
      <c r="D93" s="5">
        <v>4.81306E7</v>
      </c>
      <c r="E93" s="5"/>
      <c r="F93" s="6" t="s">
        <v>4</v>
      </c>
      <c r="G93" s="3">
        <v>1.4134364513E8</v>
      </c>
      <c r="H93" s="4"/>
      <c r="I93" s="6" t="s">
        <v>11</v>
      </c>
      <c r="J93" s="4"/>
      <c r="K93" s="4"/>
    </row>
    <row r="94">
      <c r="A94" s="1">
        <v>44930.0</v>
      </c>
      <c r="B94" s="2" t="s">
        <v>54</v>
      </c>
      <c r="C94" s="2" t="s">
        <v>110</v>
      </c>
      <c r="D94" s="5">
        <v>1.084E8</v>
      </c>
      <c r="E94" s="3"/>
      <c r="F94" s="6" t="s">
        <v>4</v>
      </c>
      <c r="G94" s="3">
        <v>3.2943645129999995E7</v>
      </c>
      <c r="H94" s="4"/>
      <c r="I94" s="6" t="s">
        <v>11</v>
      </c>
      <c r="J94" s="4"/>
      <c r="K94" s="4"/>
    </row>
    <row r="95">
      <c r="A95" s="1">
        <v>44930.0</v>
      </c>
      <c r="B95" s="2" t="s">
        <v>47</v>
      </c>
      <c r="C95" s="2" t="s">
        <v>111</v>
      </c>
      <c r="D95" s="5"/>
      <c r="E95" s="5">
        <v>5.76E7</v>
      </c>
      <c r="F95" s="6" t="s">
        <v>26</v>
      </c>
      <c r="G95" s="3">
        <v>9.054364513E7</v>
      </c>
      <c r="H95" s="4"/>
      <c r="I95" s="4"/>
      <c r="J95" s="4"/>
      <c r="K95" s="4"/>
    </row>
    <row r="96">
      <c r="A96" s="1">
        <v>44930.0</v>
      </c>
      <c r="B96" s="2" t="s">
        <v>45</v>
      </c>
      <c r="C96" s="2" t="s">
        <v>112</v>
      </c>
      <c r="D96" s="5">
        <v>2703450.0</v>
      </c>
      <c r="E96" s="5"/>
      <c r="F96" s="4"/>
      <c r="G96" s="3">
        <v>8.784019513E7</v>
      </c>
      <c r="H96" s="4"/>
      <c r="I96" s="6" t="s">
        <v>1</v>
      </c>
      <c r="J96" s="4"/>
      <c r="K96" s="4"/>
    </row>
    <row r="97">
      <c r="A97" s="1">
        <v>44930.0</v>
      </c>
      <c r="B97" s="2" t="s">
        <v>45</v>
      </c>
      <c r="C97" s="2" t="s">
        <v>112</v>
      </c>
      <c r="D97" s="5">
        <v>783900.0</v>
      </c>
      <c r="E97" s="5"/>
      <c r="F97" s="4"/>
      <c r="G97" s="3">
        <v>8.705629513E7</v>
      </c>
      <c r="H97" s="4"/>
      <c r="I97" s="6" t="s">
        <v>1</v>
      </c>
      <c r="J97" s="4"/>
      <c r="K97" s="4"/>
    </row>
    <row r="98">
      <c r="A98" s="1">
        <v>44930.0</v>
      </c>
      <c r="B98" s="2" t="s">
        <v>54</v>
      </c>
      <c r="C98" s="2" t="s">
        <v>113</v>
      </c>
      <c r="D98" s="5">
        <v>4.8696E7</v>
      </c>
      <c r="E98" s="5"/>
      <c r="F98" s="6" t="s">
        <v>4</v>
      </c>
      <c r="G98" s="3">
        <v>3.8360295129999995E7</v>
      </c>
      <c r="H98" s="4"/>
      <c r="I98" s="6" t="s">
        <v>11</v>
      </c>
      <c r="J98" s="4"/>
      <c r="K98" s="4"/>
    </row>
    <row r="99">
      <c r="A99" s="1">
        <v>44930.0</v>
      </c>
      <c r="B99" s="2" t="s">
        <v>54</v>
      </c>
      <c r="C99" s="2" t="s">
        <v>114</v>
      </c>
      <c r="D99" s="5">
        <v>8303530.0</v>
      </c>
      <c r="E99" s="5"/>
      <c r="F99" s="6" t="s">
        <v>4</v>
      </c>
      <c r="G99" s="3">
        <v>3.0056765129999995E7</v>
      </c>
      <c r="H99" s="4"/>
      <c r="I99" s="6" t="s">
        <v>5</v>
      </c>
      <c r="J99" s="4"/>
      <c r="K99" s="4"/>
    </row>
    <row r="100">
      <c r="A100" s="1">
        <v>44930.0</v>
      </c>
      <c r="B100" s="2" t="s">
        <v>47</v>
      </c>
      <c r="C100" s="2" t="s">
        <v>115</v>
      </c>
      <c r="D100" s="5"/>
      <c r="E100" s="5">
        <v>1.1079629E8</v>
      </c>
      <c r="F100" s="6" t="s">
        <v>26</v>
      </c>
      <c r="G100" s="3">
        <v>1.4085305513E8</v>
      </c>
      <c r="H100" s="4"/>
      <c r="I100" s="4"/>
      <c r="J100" s="4"/>
      <c r="K100" s="4"/>
    </row>
    <row r="101">
      <c r="A101" s="1">
        <v>44930.0</v>
      </c>
      <c r="B101" s="2" t="s">
        <v>54</v>
      </c>
      <c r="C101" s="2" t="s">
        <v>116</v>
      </c>
      <c r="D101" s="5">
        <v>5355700.0</v>
      </c>
      <c r="E101" s="5"/>
      <c r="F101" s="6" t="s">
        <v>4</v>
      </c>
      <c r="G101" s="3">
        <v>1.3549735513E8</v>
      </c>
      <c r="H101" s="4"/>
      <c r="I101" s="6" t="s">
        <v>5</v>
      </c>
      <c r="J101" s="4"/>
      <c r="K101" s="4"/>
    </row>
    <row r="102">
      <c r="A102" s="1">
        <v>44930.0</v>
      </c>
      <c r="B102" s="2" t="s">
        <v>54</v>
      </c>
      <c r="C102" s="2" t="s">
        <v>117</v>
      </c>
      <c r="D102" s="5">
        <v>1991700.0</v>
      </c>
      <c r="E102" s="5"/>
      <c r="F102" s="6" t="s">
        <v>4</v>
      </c>
      <c r="G102" s="3">
        <v>1.3350565513E8</v>
      </c>
      <c r="H102" s="4"/>
      <c r="I102" s="6" t="s">
        <v>5</v>
      </c>
      <c r="J102" s="4"/>
      <c r="K102" s="4"/>
    </row>
    <row r="103">
      <c r="A103" s="1">
        <v>44931.0</v>
      </c>
      <c r="B103" s="2" t="s">
        <v>45</v>
      </c>
      <c r="C103" s="2" t="s">
        <v>118</v>
      </c>
      <c r="D103" s="5">
        <v>157100.0</v>
      </c>
      <c r="E103" s="5"/>
      <c r="F103" s="4"/>
      <c r="G103" s="3">
        <v>1.3334855513E8</v>
      </c>
      <c r="H103" s="4"/>
      <c r="I103" s="6" t="s">
        <v>1</v>
      </c>
      <c r="J103" s="4"/>
      <c r="K103" s="4"/>
    </row>
    <row r="104">
      <c r="A104" s="1">
        <v>44931.0</v>
      </c>
      <c r="B104" s="2" t="s">
        <v>54</v>
      </c>
      <c r="C104" s="2" t="s">
        <v>119</v>
      </c>
      <c r="D104" s="5">
        <v>4.8771E7</v>
      </c>
      <c r="E104" s="5"/>
      <c r="F104" s="6" t="s">
        <v>4</v>
      </c>
      <c r="G104" s="3">
        <v>8.457755513E7</v>
      </c>
      <c r="H104" s="4"/>
      <c r="I104" s="6" t="s">
        <v>11</v>
      </c>
      <c r="J104" s="4"/>
      <c r="K104" s="4"/>
    </row>
    <row r="105">
      <c r="A105" s="1">
        <v>44931.0</v>
      </c>
      <c r="B105" s="2" t="s">
        <v>54</v>
      </c>
      <c r="C105" s="2" t="s">
        <v>120</v>
      </c>
      <c r="D105" s="5">
        <v>4.71157E7</v>
      </c>
      <c r="E105" s="5"/>
      <c r="F105" s="6" t="s">
        <v>4</v>
      </c>
      <c r="G105" s="3">
        <v>3.7461855129999995E7</v>
      </c>
      <c r="H105" s="4"/>
      <c r="I105" s="6" t="s">
        <v>11</v>
      </c>
      <c r="J105" s="4"/>
      <c r="K105" s="4"/>
    </row>
    <row r="106">
      <c r="A106" s="1">
        <v>44931.0</v>
      </c>
      <c r="B106" s="2" t="s">
        <v>47</v>
      </c>
      <c r="C106" s="2" t="s">
        <v>121</v>
      </c>
      <c r="D106" s="5"/>
      <c r="E106" s="5">
        <v>1.9260925E8</v>
      </c>
      <c r="F106" s="6" t="s">
        <v>26</v>
      </c>
      <c r="G106" s="3">
        <v>2.3007110513E8</v>
      </c>
      <c r="H106" s="4"/>
      <c r="I106" s="6"/>
      <c r="J106" s="4"/>
      <c r="K106" s="4"/>
    </row>
    <row r="107">
      <c r="A107" s="1">
        <v>44931.0</v>
      </c>
      <c r="B107" s="2" t="s">
        <v>47</v>
      </c>
      <c r="C107" s="2" t="s">
        <v>122</v>
      </c>
      <c r="D107" s="5"/>
      <c r="E107" s="5">
        <v>2.1368679E8</v>
      </c>
      <c r="F107" s="6" t="s">
        <v>26</v>
      </c>
      <c r="G107" s="3">
        <v>4.4375789513E8</v>
      </c>
      <c r="H107" s="4"/>
      <c r="I107" s="4"/>
      <c r="J107" s="4"/>
      <c r="K107" s="4"/>
    </row>
    <row r="108">
      <c r="A108" s="1">
        <v>44931.0</v>
      </c>
      <c r="B108" s="2" t="s">
        <v>47</v>
      </c>
      <c r="C108" s="2" t="s">
        <v>123</v>
      </c>
      <c r="D108" s="5"/>
      <c r="E108" s="5">
        <v>5.13E7</v>
      </c>
      <c r="F108" s="6" t="s">
        <v>26</v>
      </c>
      <c r="G108" s="3">
        <v>4.9505789513E8</v>
      </c>
      <c r="H108" s="4"/>
      <c r="I108" s="4"/>
      <c r="J108" s="4"/>
      <c r="K108" s="4"/>
    </row>
    <row r="109">
      <c r="A109" s="1">
        <v>44931.0</v>
      </c>
      <c r="B109" s="2" t="s">
        <v>47</v>
      </c>
      <c r="C109" s="2" t="s">
        <v>124</v>
      </c>
      <c r="D109" s="5"/>
      <c r="E109" s="5">
        <v>4.83E7</v>
      </c>
      <c r="F109" s="6" t="s">
        <v>26</v>
      </c>
      <c r="G109" s="3">
        <v>5.4335789513E8</v>
      </c>
      <c r="H109" s="4"/>
      <c r="I109" s="4"/>
      <c r="J109" s="4"/>
      <c r="K109" s="4"/>
    </row>
    <row r="110">
      <c r="A110" s="1">
        <v>44931.0</v>
      </c>
      <c r="B110" s="2" t="s">
        <v>47</v>
      </c>
      <c r="C110" s="2" t="s">
        <v>125</v>
      </c>
      <c r="D110" s="5"/>
      <c r="E110" s="5">
        <v>4.92E7</v>
      </c>
      <c r="F110" s="6" t="s">
        <v>26</v>
      </c>
      <c r="G110" s="3">
        <v>5.9255789513E8</v>
      </c>
      <c r="H110" s="4"/>
      <c r="I110" s="4"/>
      <c r="J110" s="4"/>
      <c r="K110" s="4"/>
    </row>
    <row r="111">
      <c r="A111" s="1">
        <v>44931.0</v>
      </c>
      <c r="B111" s="2" t="s">
        <v>47</v>
      </c>
      <c r="C111" s="2" t="s">
        <v>126</v>
      </c>
      <c r="D111" s="5"/>
      <c r="E111" s="5">
        <v>4.83E7</v>
      </c>
      <c r="F111" s="6" t="s">
        <v>26</v>
      </c>
      <c r="G111" s="3">
        <v>6.4085789513E8</v>
      </c>
      <c r="H111" s="4"/>
      <c r="I111" s="4"/>
      <c r="J111" s="4"/>
      <c r="K111" s="4"/>
    </row>
    <row r="112">
      <c r="A112" s="1">
        <v>44931.0</v>
      </c>
      <c r="B112" s="2" t="s">
        <v>47</v>
      </c>
      <c r="C112" s="2" t="s">
        <v>127</v>
      </c>
      <c r="D112" s="5"/>
      <c r="E112" s="5">
        <v>4.83E7</v>
      </c>
      <c r="F112" s="6" t="s">
        <v>26</v>
      </c>
      <c r="G112" s="3">
        <v>6.8915789513E8</v>
      </c>
      <c r="H112" s="4"/>
      <c r="I112" s="4"/>
      <c r="J112" s="4"/>
      <c r="K112" s="4"/>
    </row>
    <row r="113">
      <c r="A113" s="1">
        <v>44931.0</v>
      </c>
      <c r="B113" s="2" t="s">
        <v>47</v>
      </c>
      <c r="C113" s="2" t="s">
        <v>127</v>
      </c>
      <c r="D113" s="5"/>
      <c r="E113" s="5">
        <v>4.83E7</v>
      </c>
      <c r="F113" s="6" t="s">
        <v>26</v>
      </c>
      <c r="G113" s="3">
        <v>7.3745789513E8</v>
      </c>
      <c r="H113" s="4"/>
      <c r="I113" s="4"/>
      <c r="J113" s="4"/>
      <c r="K113" s="4"/>
    </row>
    <row r="114">
      <c r="A114" s="1">
        <v>44931.0</v>
      </c>
      <c r="B114" s="2" t="s">
        <v>47</v>
      </c>
      <c r="C114" s="2" t="s">
        <v>128</v>
      </c>
      <c r="D114" s="5"/>
      <c r="E114" s="5">
        <v>1.2426E8</v>
      </c>
      <c r="F114" s="6" t="s">
        <v>26</v>
      </c>
      <c r="G114" s="3">
        <v>8.6171789513E8</v>
      </c>
      <c r="H114" s="4"/>
      <c r="I114" s="4"/>
      <c r="J114" s="4"/>
      <c r="K114" s="4"/>
    </row>
    <row r="115">
      <c r="A115" s="1">
        <v>44931.0</v>
      </c>
      <c r="B115" s="2" t="s">
        <v>47</v>
      </c>
      <c r="C115" s="2" t="s">
        <v>129</v>
      </c>
      <c r="D115" s="5"/>
      <c r="E115" s="5">
        <v>1.02237E8</v>
      </c>
      <c r="F115" s="6" t="s">
        <v>26</v>
      </c>
      <c r="G115" s="3">
        <v>9.6395489513E8</v>
      </c>
      <c r="H115" s="4"/>
      <c r="I115" s="4"/>
      <c r="J115" s="4"/>
      <c r="K115" s="4"/>
    </row>
    <row r="116">
      <c r="A116" s="1">
        <v>44931.0</v>
      </c>
      <c r="B116" s="2" t="s">
        <v>54</v>
      </c>
      <c r="C116" s="2" t="s">
        <v>130</v>
      </c>
      <c r="D116" s="5">
        <v>1.592005E8</v>
      </c>
      <c r="E116" s="5"/>
      <c r="F116" s="6" t="s">
        <v>4</v>
      </c>
      <c r="G116" s="3">
        <v>8.0475439513E8</v>
      </c>
      <c r="H116" s="4"/>
      <c r="I116" s="6" t="s">
        <v>11</v>
      </c>
      <c r="J116" s="4"/>
      <c r="K116" s="4"/>
    </row>
    <row r="117">
      <c r="A117" s="1">
        <v>44931.0</v>
      </c>
      <c r="B117" s="2" t="s">
        <v>54</v>
      </c>
      <c r="C117" s="2" t="s">
        <v>131</v>
      </c>
      <c r="D117" s="5">
        <v>5135500.0</v>
      </c>
      <c r="E117" s="5"/>
      <c r="F117" s="6" t="s">
        <v>4</v>
      </c>
      <c r="G117" s="3">
        <v>7.9961889513E8</v>
      </c>
      <c r="H117" s="4"/>
      <c r="I117" s="6" t="s">
        <v>58</v>
      </c>
      <c r="J117" s="4"/>
      <c r="K117" s="4"/>
    </row>
    <row r="118">
      <c r="A118" s="1">
        <v>44931.0</v>
      </c>
      <c r="B118" s="2" t="s">
        <v>54</v>
      </c>
      <c r="C118" s="2" t="s">
        <v>132</v>
      </c>
      <c r="D118" s="5">
        <v>2.4666825E8</v>
      </c>
      <c r="E118" s="5"/>
      <c r="F118" s="6" t="s">
        <v>4</v>
      </c>
      <c r="G118" s="3">
        <v>5.5295064513E8</v>
      </c>
      <c r="H118" s="4"/>
      <c r="I118" s="6" t="s">
        <v>11</v>
      </c>
      <c r="J118" s="4"/>
      <c r="K118" s="4"/>
    </row>
    <row r="119">
      <c r="A119" s="1">
        <v>44931.0</v>
      </c>
      <c r="B119" s="2" t="s">
        <v>54</v>
      </c>
      <c r="C119" s="2" t="s">
        <v>133</v>
      </c>
      <c r="D119" s="5">
        <v>1.2978888E8</v>
      </c>
      <c r="E119" s="5"/>
      <c r="F119" s="6" t="s">
        <v>4</v>
      </c>
      <c r="G119" s="3">
        <v>4.2316176513E8</v>
      </c>
      <c r="H119" s="4"/>
      <c r="I119" s="6" t="s">
        <v>11</v>
      </c>
      <c r="J119" s="4"/>
      <c r="K119" s="4"/>
    </row>
    <row r="120">
      <c r="A120" s="1">
        <v>44931.0</v>
      </c>
      <c r="B120" s="2" t="s">
        <v>54</v>
      </c>
      <c r="C120" s="2" t="s">
        <v>134</v>
      </c>
      <c r="D120" s="5">
        <v>5.724E7</v>
      </c>
      <c r="E120" s="5"/>
      <c r="F120" s="6" t="s">
        <v>4</v>
      </c>
      <c r="G120" s="3">
        <v>3.6592176513E8</v>
      </c>
      <c r="H120" s="4"/>
      <c r="I120" s="6" t="s">
        <v>11</v>
      </c>
      <c r="J120" s="4"/>
      <c r="K120" s="4"/>
    </row>
    <row r="121">
      <c r="A121" s="1">
        <v>44931.0</v>
      </c>
      <c r="B121" s="2" t="s">
        <v>54</v>
      </c>
      <c r="C121" s="2" t="s">
        <v>135</v>
      </c>
      <c r="D121" s="5">
        <v>9.45965E7</v>
      </c>
      <c r="E121" s="5"/>
      <c r="F121" s="6" t="s">
        <v>4</v>
      </c>
      <c r="G121" s="3">
        <v>2.7132526513E8</v>
      </c>
      <c r="H121" s="4"/>
      <c r="I121" s="6" t="s">
        <v>11</v>
      </c>
      <c r="J121" s="4"/>
      <c r="K121" s="4"/>
    </row>
    <row r="122">
      <c r="A122" s="1">
        <v>44931.0</v>
      </c>
      <c r="B122" s="2" t="s">
        <v>54</v>
      </c>
      <c r="C122" s="2" t="s">
        <v>136</v>
      </c>
      <c r="D122" s="5">
        <v>4.752233E7</v>
      </c>
      <c r="E122" s="5"/>
      <c r="F122" s="6" t="s">
        <v>4</v>
      </c>
      <c r="G122" s="3">
        <v>2.2380293513E8</v>
      </c>
      <c r="H122" s="4"/>
      <c r="I122" s="6" t="s">
        <v>11</v>
      </c>
      <c r="J122" s="4"/>
      <c r="K122" s="4"/>
    </row>
    <row r="123">
      <c r="A123" s="1">
        <v>44931.0</v>
      </c>
      <c r="B123" s="2" t="s">
        <v>54</v>
      </c>
      <c r="C123" s="2" t="s">
        <v>137</v>
      </c>
      <c r="D123" s="5">
        <v>605380.0</v>
      </c>
      <c r="E123" s="3"/>
      <c r="F123" s="6" t="s">
        <v>4</v>
      </c>
      <c r="G123" s="3">
        <v>2.2319755513E8</v>
      </c>
      <c r="H123" s="4"/>
      <c r="I123" s="6" t="s">
        <v>58</v>
      </c>
      <c r="J123" s="4"/>
      <c r="K123" s="4"/>
    </row>
    <row r="124">
      <c r="A124" s="1">
        <v>44931.0</v>
      </c>
      <c r="B124" s="2" t="s">
        <v>54</v>
      </c>
      <c r="C124" s="2" t="s">
        <v>138</v>
      </c>
      <c r="D124" s="5">
        <v>1818980.0</v>
      </c>
      <c r="E124" s="5"/>
      <c r="F124" s="6" t="s">
        <v>4</v>
      </c>
      <c r="G124" s="3">
        <v>2.2137857513E8</v>
      </c>
      <c r="H124" s="4"/>
      <c r="I124" s="6" t="s">
        <v>58</v>
      </c>
      <c r="J124" s="4"/>
      <c r="K124" s="4"/>
    </row>
    <row r="125">
      <c r="A125" s="1">
        <v>44931.0</v>
      </c>
      <c r="B125" s="2" t="s">
        <v>54</v>
      </c>
      <c r="C125" s="2" t="s">
        <v>139</v>
      </c>
      <c r="D125" s="5">
        <v>5.202952E7</v>
      </c>
      <c r="E125" s="5"/>
      <c r="F125" s="6" t="s">
        <v>4</v>
      </c>
      <c r="G125" s="3">
        <v>1.6934905513E8</v>
      </c>
      <c r="H125" s="4"/>
      <c r="I125" s="6" t="s">
        <v>11</v>
      </c>
      <c r="J125" s="4"/>
      <c r="K125" s="4"/>
    </row>
    <row r="126">
      <c r="A126" s="1">
        <v>44931.0</v>
      </c>
      <c r="B126" s="2" t="s">
        <v>47</v>
      </c>
      <c r="C126" s="2" t="s">
        <v>140</v>
      </c>
      <c r="D126" s="5"/>
      <c r="E126" s="5">
        <v>5.91895E7</v>
      </c>
      <c r="F126" s="6" t="s">
        <v>26</v>
      </c>
      <c r="G126" s="3">
        <v>2.2853855513E8</v>
      </c>
      <c r="H126" s="4"/>
      <c r="I126" s="6" t="s">
        <v>141</v>
      </c>
      <c r="J126" s="4"/>
      <c r="K126" s="4"/>
    </row>
    <row r="127">
      <c r="A127" s="1">
        <v>44931.0</v>
      </c>
      <c r="B127" s="2" t="s">
        <v>142</v>
      </c>
      <c r="C127" s="2" t="s">
        <v>142</v>
      </c>
      <c r="D127" s="5">
        <v>250000.0</v>
      </c>
      <c r="E127" s="5"/>
      <c r="F127" s="4"/>
      <c r="G127" s="3">
        <v>2.2828855513E8</v>
      </c>
      <c r="H127" s="4"/>
      <c r="I127" s="6" t="s">
        <v>1</v>
      </c>
      <c r="J127" s="4"/>
      <c r="K127" s="4"/>
    </row>
    <row r="128">
      <c r="A128" s="1">
        <v>44932.0</v>
      </c>
      <c r="B128" s="2" t="s">
        <v>143</v>
      </c>
      <c r="C128" s="2" t="s">
        <v>144</v>
      </c>
      <c r="D128" s="5"/>
      <c r="E128" s="5">
        <v>4.5E7</v>
      </c>
      <c r="F128" s="6" t="s">
        <v>26</v>
      </c>
      <c r="G128" s="3">
        <v>2.7328855513E8</v>
      </c>
      <c r="H128" s="4"/>
      <c r="I128" s="4"/>
      <c r="J128" s="4"/>
      <c r="K128" s="4"/>
    </row>
    <row r="129">
      <c r="A129" s="1">
        <v>44932.0</v>
      </c>
      <c r="B129" s="2" t="s">
        <v>145</v>
      </c>
      <c r="C129" s="2" t="s">
        <v>146</v>
      </c>
      <c r="D129" s="5">
        <v>1350400.0</v>
      </c>
      <c r="E129" s="5"/>
      <c r="F129" s="6" t="s">
        <v>4</v>
      </c>
      <c r="G129" s="3">
        <v>2.7193815513E8</v>
      </c>
      <c r="H129" s="4"/>
      <c r="I129" s="6" t="s">
        <v>5</v>
      </c>
      <c r="J129" s="4"/>
      <c r="K129" s="4"/>
    </row>
    <row r="130">
      <c r="A130" s="1">
        <v>44932.0</v>
      </c>
      <c r="B130" s="2" t="s">
        <v>145</v>
      </c>
      <c r="C130" s="2" t="s">
        <v>147</v>
      </c>
      <c r="D130" s="5">
        <v>2075530.0</v>
      </c>
      <c r="E130" s="5"/>
      <c r="F130" s="6" t="s">
        <v>4</v>
      </c>
      <c r="G130" s="3">
        <v>2.6986262513E8</v>
      </c>
      <c r="H130" s="4"/>
      <c r="I130" s="6" t="s">
        <v>5</v>
      </c>
      <c r="J130" s="4"/>
      <c r="K130" s="4"/>
    </row>
    <row r="131">
      <c r="A131" s="1">
        <v>44932.0</v>
      </c>
      <c r="B131" s="2" t="s">
        <v>54</v>
      </c>
      <c r="C131" s="2" t="s">
        <v>148</v>
      </c>
      <c r="D131" s="5">
        <v>9.0E7</v>
      </c>
      <c r="E131" s="5"/>
      <c r="F131" s="6" t="s">
        <v>4</v>
      </c>
      <c r="G131" s="3">
        <v>1.7986262513E8</v>
      </c>
      <c r="H131" s="4"/>
      <c r="I131" s="6" t="s">
        <v>11</v>
      </c>
      <c r="J131" s="4"/>
      <c r="K131" s="4"/>
    </row>
    <row r="132">
      <c r="A132" s="1">
        <v>44932.0</v>
      </c>
      <c r="B132" s="2" t="s">
        <v>54</v>
      </c>
      <c r="C132" s="2" t="s">
        <v>149</v>
      </c>
      <c r="D132" s="5">
        <v>5.6E7</v>
      </c>
      <c r="E132" s="5"/>
      <c r="F132" s="6" t="s">
        <v>4</v>
      </c>
      <c r="G132" s="3">
        <v>1.2386262513E8</v>
      </c>
      <c r="H132" s="4"/>
      <c r="I132" s="6" t="s">
        <v>11</v>
      </c>
      <c r="J132" s="4"/>
      <c r="K132" s="4"/>
    </row>
    <row r="133">
      <c r="A133" s="1">
        <v>44932.0</v>
      </c>
      <c r="B133" s="2" t="s">
        <v>54</v>
      </c>
      <c r="C133" s="2" t="s">
        <v>150</v>
      </c>
      <c r="D133" s="5">
        <v>5.81955E7</v>
      </c>
      <c r="E133" s="5"/>
      <c r="F133" s="6" t="s">
        <v>4</v>
      </c>
      <c r="G133" s="3">
        <v>6.5667125129999995E7</v>
      </c>
      <c r="H133" s="4"/>
      <c r="I133" s="6" t="s">
        <v>11</v>
      </c>
      <c r="J133" s="4"/>
      <c r="K133" s="4"/>
    </row>
    <row r="134">
      <c r="A134" s="1">
        <v>44932.0</v>
      </c>
      <c r="B134" s="2" t="s">
        <v>54</v>
      </c>
      <c r="C134" s="2" t="s">
        <v>151</v>
      </c>
      <c r="D134" s="5">
        <v>5.25E7</v>
      </c>
      <c r="E134" s="5"/>
      <c r="F134" s="6" t="s">
        <v>4</v>
      </c>
      <c r="G134" s="3">
        <v>1.3167125129999995E7</v>
      </c>
      <c r="H134" s="4"/>
      <c r="I134" s="6" t="s">
        <v>11</v>
      </c>
      <c r="J134" s="4"/>
      <c r="K134" s="4"/>
    </row>
    <row r="135">
      <c r="A135" s="1">
        <v>44932.0</v>
      </c>
      <c r="B135" s="2" t="s">
        <v>54</v>
      </c>
      <c r="C135" s="2" t="s">
        <v>152</v>
      </c>
      <c r="D135" s="5">
        <v>5361300.0</v>
      </c>
      <c r="E135" s="5"/>
      <c r="F135" s="6" t="s">
        <v>4</v>
      </c>
      <c r="G135" s="3">
        <v>7805825.129999995</v>
      </c>
      <c r="H135" s="4"/>
      <c r="I135" s="6" t="s">
        <v>5</v>
      </c>
      <c r="J135" s="4"/>
      <c r="K135" s="4"/>
    </row>
    <row r="136">
      <c r="A136" s="1">
        <v>44932.0</v>
      </c>
      <c r="B136" s="2" t="s">
        <v>54</v>
      </c>
      <c r="C136" s="2" t="s">
        <v>153</v>
      </c>
      <c r="D136" s="5">
        <v>2940000.0</v>
      </c>
      <c r="E136" s="5"/>
      <c r="F136" s="6" t="s">
        <v>4</v>
      </c>
      <c r="G136" s="3">
        <v>4865825.129999995</v>
      </c>
      <c r="H136" s="4"/>
      <c r="I136" s="6" t="s">
        <v>5</v>
      </c>
      <c r="J136" s="4"/>
      <c r="K136" s="4"/>
    </row>
    <row r="137">
      <c r="A137" s="1">
        <v>44932.0</v>
      </c>
      <c r="B137" s="2" t="s">
        <v>47</v>
      </c>
      <c r="C137" s="2" t="s">
        <v>154</v>
      </c>
      <c r="D137" s="5"/>
      <c r="E137" s="5">
        <v>1.0693101E8</v>
      </c>
      <c r="F137" s="6" t="s">
        <v>26</v>
      </c>
      <c r="G137" s="3">
        <v>1.1179683513E8</v>
      </c>
      <c r="H137" s="4"/>
      <c r="I137" s="4"/>
      <c r="J137" s="4"/>
      <c r="K137" s="4"/>
    </row>
    <row r="138">
      <c r="A138" s="1">
        <v>44932.0</v>
      </c>
      <c r="B138" s="2" t="s">
        <v>54</v>
      </c>
      <c r="C138" s="2" t="s">
        <v>155</v>
      </c>
      <c r="D138" s="5">
        <v>5.6E7</v>
      </c>
      <c r="E138" s="5"/>
      <c r="F138" s="6" t="s">
        <v>4</v>
      </c>
      <c r="G138" s="3">
        <v>5.5796835129999995E7</v>
      </c>
      <c r="H138" s="4"/>
      <c r="I138" s="6" t="s">
        <v>11</v>
      </c>
      <c r="J138" s="4"/>
      <c r="K138" s="4"/>
    </row>
    <row r="139">
      <c r="A139" s="1">
        <v>44932.0</v>
      </c>
      <c r="B139" s="2" t="s">
        <v>54</v>
      </c>
      <c r="C139" s="2" t="s">
        <v>156</v>
      </c>
      <c r="D139" s="5">
        <v>1.0E7</v>
      </c>
      <c r="E139" s="5"/>
      <c r="F139" s="6" t="s">
        <v>4</v>
      </c>
      <c r="G139" s="3">
        <v>4.5796835129999995E7</v>
      </c>
      <c r="H139" s="4"/>
      <c r="I139" s="6" t="s">
        <v>11</v>
      </c>
      <c r="J139" s="4"/>
      <c r="K139" s="4"/>
    </row>
    <row r="140">
      <c r="A140" s="1">
        <v>44932.0</v>
      </c>
      <c r="B140" s="2" t="s">
        <v>54</v>
      </c>
      <c r="C140" s="2" t="s">
        <v>157</v>
      </c>
      <c r="D140" s="5">
        <v>4.0E7</v>
      </c>
      <c r="E140" s="5"/>
      <c r="F140" s="6" t="s">
        <v>4</v>
      </c>
      <c r="G140" s="3">
        <v>5796835.129999995</v>
      </c>
      <c r="H140" s="4"/>
      <c r="I140" s="6" t="s">
        <v>11</v>
      </c>
      <c r="J140" s="4"/>
      <c r="K140" s="4"/>
    </row>
    <row r="141">
      <c r="A141" s="1">
        <v>44932.0</v>
      </c>
      <c r="B141" s="2" t="s">
        <v>47</v>
      </c>
      <c r="C141" s="2" t="s">
        <v>158</v>
      </c>
      <c r="D141" s="5"/>
      <c r="E141" s="5">
        <v>4.783235E7</v>
      </c>
      <c r="F141" s="6" t="s">
        <v>26</v>
      </c>
      <c r="G141" s="3">
        <v>5.3629185129999995E7</v>
      </c>
      <c r="H141" s="4"/>
      <c r="I141" s="4"/>
      <c r="J141" s="4"/>
      <c r="K141" s="4"/>
    </row>
    <row r="142">
      <c r="A142" s="1">
        <v>44932.0</v>
      </c>
      <c r="B142" s="2" t="s">
        <v>47</v>
      </c>
      <c r="C142" s="2" t="s">
        <v>159</v>
      </c>
      <c r="D142" s="5"/>
      <c r="E142" s="5">
        <v>2.74866145E8</v>
      </c>
      <c r="F142" s="6" t="s">
        <v>26</v>
      </c>
      <c r="G142" s="3">
        <v>3.2849533013E8</v>
      </c>
      <c r="H142" s="4"/>
      <c r="I142" s="4"/>
      <c r="J142" s="4"/>
      <c r="K142" s="4"/>
    </row>
    <row r="143">
      <c r="A143" s="1">
        <v>44932.0</v>
      </c>
      <c r="B143" s="2" t="s">
        <v>54</v>
      </c>
      <c r="C143" s="2" t="s">
        <v>160</v>
      </c>
      <c r="D143" s="5">
        <v>9.51856E7</v>
      </c>
      <c r="E143" s="5"/>
      <c r="F143" s="6" t="s">
        <v>4</v>
      </c>
      <c r="G143" s="3">
        <v>2.3330973013E8</v>
      </c>
      <c r="H143" s="4"/>
      <c r="I143" s="6" t="s">
        <v>11</v>
      </c>
      <c r="J143" s="4"/>
      <c r="K143" s="4"/>
    </row>
    <row r="144">
      <c r="A144" s="1">
        <v>44932.0</v>
      </c>
      <c r="B144" s="2" t="s">
        <v>54</v>
      </c>
      <c r="C144" s="2" t="s">
        <v>161</v>
      </c>
      <c r="D144" s="5">
        <v>6.27E7</v>
      </c>
      <c r="E144" s="5"/>
      <c r="F144" s="6" t="s">
        <v>4</v>
      </c>
      <c r="G144" s="3">
        <v>1.7060973013E8</v>
      </c>
      <c r="H144" s="4"/>
      <c r="I144" s="6" t="s">
        <v>11</v>
      </c>
      <c r="J144" s="4"/>
      <c r="K144" s="4"/>
    </row>
    <row r="145">
      <c r="A145" s="1">
        <v>44932.0</v>
      </c>
      <c r="B145" s="2" t="s">
        <v>54</v>
      </c>
      <c r="C145" s="2" t="s">
        <v>162</v>
      </c>
      <c r="D145" s="5">
        <v>5.088E7</v>
      </c>
      <c r="E145" s="5"/>
      <c r="F145" s="6" t="s">
        <v>4</v>
      </c>
      <c r="G145" s="3">
        <v>1.1972973013E8</v>
      </c>
      <c r="H145" s="4"/>
      <c r="I145" s="6" t="s">
        <v>11</v>
      </c>
      <c r="J145" s="4"/>
      <c r="K145" s="4"/>
    </row>
    <row r="146">
      <c r="A146" s="1">
        <v>44932.0</v>
      </c>
      <c r="B146" s="2" t="s">
        <v>54</v>
      </c>
      <c r="C146" s="2" t="s">
        <v>163</v>
      </c>
      <c r="D146" s="5">
        <v>5.81955E7</v>
      </c>
      <c r="E146" s="5"/>
      <c r="F146" s="6" t="s">
        <v>4</v>
      </c>
      <c r="G146" s="3">
        <v>6.1534230129999995E7</v>
      </c>
      <c r="H146" s="4"/>
      <c r="I146" s="6" t="s">
        <v>11</v>
      </c>
      <c r="J146" s="4"/>
      <c r="K146" s="4"/>
    </row>
    <row r="147">
      <c r="A147" s="1">
        <v>44932.0</v>
      </c>
      <c r="B147" s="2" t="s">
        <v>54</v>
      </c>
      <c r="C147" s="2" t="s">
        <v>164</v>
      </c>
      <c r="D147" s="5">
        <v>5.49287E7</v>
      </c>
      <c r="E147" s="5"/>
      <c r="F147" s="6" t="s">
        <v>4</v>
      </c>
      <c r="G147" s="3">
        <v>6605530.129999995</v>
      </c>
      <c r="H147" s="4"/>
      <c r="I147" s="6" t="s">
        <v>11</v>
      </c>
      <c r="J147" s="4"/>
      <c r="K147" s="4"/>
    </row>
    <row r="148">
      <c r="A148" s="1">
        <v>44932.0</v>
      </c>
      <c r="B148" s="2" t="s">
        <v>54</v>
      </c>
      <c r="C148" s="2" t="s">
        <v>165</v>
      </c>
      <c r="D148" s="5">
        <v>144500.0</v>
      </c>
      <c r="E148" s="5"/>
      <c r="F148" s="6" t="s">
        <v>4</v>
      </c>
      <c r="G148" s="3">
        <v>6461030.129999995</v>
      </c>
      <c r="H148" s="4"/>
      <c r="I148" s="6" t="s">
        <v>11</v>
      </c>
      <c r="J148" s="4"/>
      <c r="K148" s="4"/>
    </row>
    <row r="149">
      <c r="A149" s="1">
        <v>44932.0</v>
      </c>
      <c r="B149" s="2" t="s">
        <v>47</v>
      </c>
      <c r="C149" s="2" t="s">
        <v>166</v>
      </c>
      <c r="D149" s="5"/>
      <c r="E149" s="5">
        <v>4.98E7</v>
      </c>
      <c r="F149" s="6" t="s">
        <v>26</v>
      </c>
      <c r="G149" s="3">
        <v>5.6261030129999995E7</v>
      </c>
      <c r="H149" s="4"/>
      <c r="I149" s="6"/>
      <c r="J149" s="4"/>
      <c r="K149" s="4"/>
    </row>
    <row r="150">
      <c r="A150" s="1">
        <v>44932.0</v>
      </c>
      <c r="B150" s="2" t="s">
        <v>47</v>
      </c>
      <c r="C150" s="2" t="s">
        <v>167</v>
      </c>
      <c r="D150" s="5"/>
      <c r="E150" s="5">
        <v>4.794544E7</v>
      </c>
      <c r="F150" s="6" t="s">
        <v>26</v>
      </c>
      <c r="G150" s="3">
        <v>1.0420647013E8</v>
      </c>
      <c r="H150" s="4"/>
      <c r="I150" s="6"/>
      <c r="J150" s="4"/>
      <c r="K150" s="4"/>
    </row>
    <row r="151">
      <c r="A151" s="1">
        <v>44932.0</v>
      </c>
      <c r="B151" s="2" t="s">
        <v>47</v>
      </c>
      <c r="C151" s="2" t="s">
        <v>168</v>
      </c>
      <c r="D151" s="5"/>
      <c r="E151" s="5">
        <v>1.7523345E8</v>
      </c>
      <c r="F151" s="6" t="s">
        <v>26</v>
      </c>
      <c r="G151" s="3">
        <v>2.7943992013E8</v>
      </c>
      <c r="H151" s="4"/>
      <c r="I151" s="4"/>
      <c r="J151" s="4"/>
      <c r="K151" s="4"/>
    </row>
    <row r="152">
      <c r="A152" s="1">
        <v>44932.0</v>
      </c>
      <c r="B152" s="2" t="s">
        <v>54</v>
      </c>
      <c r="C152" s="2" t="s">
        <v>169</v>
      </c>
      <c r="D152" s="5">
        <v>5.487E7</v>
      </c>
      <c r="E152" s="5"/>
      <c r="F152" s="6" t="s">
        <v>4</v>
      </c>
      <c r="G152" s="3">
        <v>2.2456992013E8</v>
      </c>
      <c r="H152" s="4"/>
      <c r="I152" s="6" t="s">
        <v>11</v>
      </c>
      <c r="J152" s="4"/>
      <c r="K152" s="4"/>
    </row>
    <row r="153">
      <c r="A153" s="1">
        <v>44932.0</v>
      </c>
      <c r="B153" s="2" t="s">
        <v>54</v>
      </c>
      <c r="C153" s="2" t="s">
        <v>170</v>
      </c>
      <c r="D153" s="5">
        <v>9.72312E7</v>
      </c>
      <c r="E153" s="5"/>
      <c r="F153" s="6" t="s">
        <v>4</v>
      </c>
      <c r="G153" s="3">
        <v>1.2733872013E8</v>
      </c>
      <c r="H153" s="4"/>
      <c r="I153" s="6" t="s">
        <v>11</v>
      </c>
      <c r="J153" s="4"/>
      <c r="K153" s="4"/>
    </row>
    <row r="154">
      <c r="A154" s="1">
        <v>44932.0</v>
      </c>
      <c r="B154" s="2" t="s">
        <v>47</v>
      </c>
      <c r="C154" s="2" t="s">
        <v>171</v>
      </c>
      <c r="D154" s="5"/>
      <c r="E154" s="5">
        <v>5.285E7</v>
      </c>
      <c r="F154" s="6" t="s">
        <v>26</v>
      </c>
      <c r="G154" s="3">
        <v>1.8018872013E8</v>
      </c>
      <c r="H154" s="4"/>
      <c r="I154" s="4"/>
      <c r="J154" s="4"/>
      <c r="K154" s="4"/>
    </row>
    <row r="155">
      <c r="A155" s="1">
        <v>44933.0</v>
      </c>
      <c r="B155" s="2" t="s">
        <v>54</v>
      </c>
      <c r="C155" s="2" t="s">
        <v>172</v>
      </c>
      <c r="D155" s="5">
        <v>5930000.0</v>
      </c>
      <c r="E155" s="5"/>
      <c r="F155" s="6" t="s">
        <v>4</v>
      </c>
      <c r="G155" s="3">
        <v>1.7425872013E8</v>
      </c>
      <c r="H155" s="4"/>
      <c r="I155" s="6" t="s">
        <v>5</v>
      </c>
      <c r="J155" s="4"/>
      <c r="K155" s="4"/>
    </row>
    <row r="156">
      <c r="A156" s="1">
        <v>44933.0</v>
      </c>
      <c r="B156" s="2" t="s">
        <v>54</v>
      </c>
      <c r="C156" s="2" t="s">
        <v>173</v>
      </c>
      <c r="D156" s="5">
        <v>2234500.0</v>
      </c>
      <c r="E156" s="5"/>
      <c r="F156" s="6" t="s">
        <v>4</v>
      </c>
      <c r="G156" s="3">
        <v>1.7202422013E8</v>
      </c>
      <c r="H156" s="4"/>
      <c r="I156" s="6" t="s">
        <v>5</v>
      </c>
      <c r="J156" s="4"/>
      <c r="K156" s="4"/>
    </row>
    <row r="157">
      <c r="A157" s="1">
        <v>44933.0</v>
      </c>
      <c r="B157" s="2" t="s">
        <v>54</v>
      </c>
      <c r="C157" s="2" t="s">
        <v>174</v>
      </c>
      <c r="D157" s="5">
        <v>3338400.0</v>
      </c>
      <c r="E157" s="5"/>
      <c r="F157" s="6" t="s">
        <v>4</v>
      </c>
      <c r="G157" s="3">
        <v>1.6868582013E8</v>
      </c>
      <c r="H157" s="4"/>
      <c r="I157" s="6" t="s">
        <v>5</v>
      </c>
      <c r="J157" s="4"/>
      <c r="K157" s="4"/>
    </row>
    <row r="158">
      <c r="A158" s="1">
        <v>44933.0</v>
      </c>
      <c r="B158" s="2" t="s">
        <v>54</v>
      </c>
      <c r="C158" s="2" t="s">
        <v>175</v>
      </c>
      <c r="D158" s="5">
        <v>4.783235E7</v>
      </c>
      <c r="E158" s="5"/>
      <c r="F158" s="6" t="s">
        <v>4</v>
      </c>
      <c r="G158" s="3">
        <v>1.2085347013E8</v>
      </c>
      <c r="H158" s="4"/>
      <c r="I158" s="6" t="s">
        <v>11</v>
      </c>
      <c r="J158" s="4"/>
      <c r="K158" s="4"/>
    </row>
    <row r="159">
      <c r="A159" s="1">
        <v>44933.0</v>
      </c>
      <c r="B159" s="2" t="s">
        <v>54</v>
      </c>
      <c r="C159" s="2" t="s">
        <v>176</v>
      </c>
      <c r="D159" s="5">
        <v>5.632275E7</v>
      </c>
      <c r="E159" s="5"/>
      <c r="F159" s="6" t="s">
        <v>4</v>
      </c>
      <c r="G159" s="3">
        <v>6.4530720129999995E7</v>
      </c>
      <c r="H159" s="4"/>
      <c r="I159" s="6" t="s">
        <v>11</v>
      </c>
      <c r="J159" s="4"/>
      <c r="K159" s="4"/>
    </row>
    <row r="160">
      <c r="A160" s="1">
        <v>44933.0</v>
      </c>
      <c r="B160" s="2" t="s">
        <v>47</v>
      </c>
      <c r="C160" s="2" t="s">
        <v>177</v>
      </c>
      <c r="D160" s="5"/>
      <c r="E160" s="5">
        <v>1.5084638E8</v>
      </c>
      <c r="F160" s="6" t="s">
        <v>26</v>
      </c>
      <c r="G160" s="3">
        <v>2.1537710013E8</v>
      </c>
      <c r="H160" s="4"/>
      <c r="I160" s="4"/>
      <c r="J160" s="4"/>
      <c r="K160" s="4"/>
    </row>
    <row r="161">
      <c r="A161" s="1">
        <v>44933.0</v>
      </c>
      <c r="B161" s="2" t="s">
        <v>47</v>
      </c>
      <c r="C161" s="2" t="s">
        <v>178</v>
      </c>
      <c r="D161" s="5"/>
      <c r="E161" s="5">
        <v>1.0073273E8</v>
      </c>
      <c r="F161" s="6" t="s">
        <v>26</v>
      </c>
      <c r="G161" s="3">
        <v>3.1610983013E8</v>
      </c>
      <c r="H161" s="4"/>
      <c r="I161" s="4"/>
      <c r="J161" s="4"/>
      <c r="K161" s="4"/>
    </row>
    <row r="162">
      <c r="A162" s="1">
        <v>44933.0</v>
      </c>
      <c r="B162" s="2" t="s">
        <v>54</v>
      </c>
      <c r="C162" s="2" t="s">
        <v>179</v>
      </c>
      <c r="D162" s="5">
        <v>300000.0</v>
      </c>
      <c r="E162" s="5"/>
      <c r="F162" s="6" t="s">
        <v>4</v>
      </c>
      <c r="G162" s="3">
        <v>3.1580983013E8</v>
      </c>
      <c r="H162" s="4"/>
      <c r="I162" s="6" t="s">
        <v>180</v>
      </c>
      <c r="J162" s="4"/>
      <c r="K162" s="4"/>
    </row>
    <row r="163">
      <c r="A163" s="1">
        <v>44933.0</v>
      </c>
      <c r="B163" s="2" t="s">
        <v>47</v>
      </c>
      <c r="C163" s="2" t="s">
        <v>181</v>
      </c>
      <c r="D163" s="5"/>
      <c r="E163" s="5">
        <v>5.6836552E7</v>
      </c>
      <c r="F163" s="6" t="s">
        <v>26</v>
      </c>
      <c r="G163" s="3">
        <v>3.7264638213E8</v>
      </c>
      <c r="H163" s="4"/>
      <c r="I163" s="4"/>
      <c r="J163" s="4"/>
      <c r="K163" s="4"/>
    </row>
    <row r="164">
      <c r="A164" s="1">
        <v>44933.0</v>
      </c>
      <c r="B164" s="2" t="s">
        <v>47</v>
      </c>
      <c r="C164" s="2" t="s">
        <v>182</v>
      </c>
      <c r="D164" s="5"/>
      <c r="E164" s="5">
        <v>1.332446E8</v>
      </c>
      <c r="F164" s="6" t="s">
        <v>26</v>
      </c>
      <c r="G164" s="3">
        <v>5.0589098213E8</v>
      </c>
      <c r="H164" s="4"/>
      <c r="I164" s="4"/>
      <c r="J164" s="4"/>
      <c r="K164" s="4"/>
    </row>
    <row r="165">
      <c r="A165" s="1">
        <v>44933.0</v>
      </c>
      <c r="B165" s="2" t="s">
        <v>50</v>
      </c>
      <c r="C165" s="2" t="s">
        <v>51</v>
      </c>
      <c r="D165" s="5">
        <v>66000.0</v>
      </c>
      <c r="E165" s="5"/>
      <c r="F165" s="6" t="s">
        <v>4</v>
      </c>
      <c r="G165" s="3">
        <v>5.0582498213E8</v>
      </c>
      <c r="H165" s="4"/>
      <c r="I165" s="6" t="s">
        <v>1</v>
      </c>
      <c r="J165" s="4"/>
      <c r="K165" s="4"/>
    </row>
    <row r="166">
      <c r="A166" s="1">
        <v>44933.0</v>
      </c>
      <c r="B166" s="2" t="s">
        <v>50</v>
      </c>
      <c r="C166" s="2" t="s">
        <v>52</v>
      </c>
      <c r="D166" s="5">
        <v>2500.0</v>
      </c>
      <c r="E166" s="5"/>
      <c r="F166" s="6" t="s">
        <v>4</v>
      </c>
      <c r="G166" s="3">
        <v>5.0582248213E8</v>
      </c>
      <c r="H166" s="4"/>
      <c r="I166" s="6" t="s">
        <v>1</v>
      </c>
      <c r="J166" s="4"/>
      <c r="K166" s="4"/>
    </row>
    <row r="167">
      <c r="A167" s="1">
        <v>44933.0</v>
      </c>
      <c r="B167" s="2" t="s">
        <v>54</v>
      </c>
      <c r="C167" s="2" t="s">
        <v>183</v>
      </c>
      <c r="D167" s="5">
        <v>1.527072E8</v>
      </c>
      <c r="E167" s="5"/>
      <c r="F167" s="6" t="s">
        <v>4</v>
      </c>
      <c r="G167" s="3">
        <v>3.5311528213E8</v>
      </c>
      <c r="H167" s="4"/>
      <c r="I167" s="6" t="s">
        <v>11</v>
      </c>
      <c r="J167" s="4"/>
      <c r="K167" s="4"/>
    </row>
    <row r="168">
      <c r="A168" s="1">
        <v>44933.0</v>
      </c>
      <c r="B168" s="2" t="s">
        <v>54</v>
      </c>
      <c r="C168" s="2" t="s">
        <v>184</v>
      </c>
      <c r="D168" s="5">
        <v>1.0123825E8</v>
      </c>
      <c r="E168" s="5"/>
      <c r="F168" s="6" t="s">
        <v>4</v>
      </c>
      <c r="G168" s="3">
        <v>2.5187703213E8</v>
      </c>
      <c r="H168" s="4"/>
      <c r="I168" s="6" t="s">
        <v>11</v>
      </c>
      <c r="J168" s="4"/>
      <c r="K168" s="4"/>
    </row>
    <row r="169">
      <c r="A169" s="1">
        <v>44933.0</v>
      </c>
      <c r="B169" s="2" t="s">
        <v>54</v>
      </c>
      <c r="C169" s="2" t="s">
        <v>185</v>
      </c>
      <c r="D169" s="5">
        <v>9.50499E7</v>
      </c>
      <c r="E169" s="5"/>
      <c r="F169" s="6" t="s">
        <v>4</v>
      </c>
      <c r="G169" s="3">
        <v>1.5682713213E8</v>
      </c>
      <c r="H169" s="4"/>
      <c r="I169" s="6" t="s">
        <v>11</v>
      </c>
      <c r="J169" s="4"/>
      <c r="K169" s="4"/>
    </row>
    <row r="170">
      <c r="A170" s="1">
        <v>44933.0</v>
      </c>
      <c r="B170" s="2" t="s">
        <v>54</v>
      </c>
      <c r="C170" s="2" t="s">
        <v>186</v>
      </c>
      <c r="D170" s="5">
        <v>1800650.0</v>
      </c>
      <c r="E170" s="5"/>
      <c r="F170" s="6" t="s">
        <v>4</v>
      </c>
      <c r="G170" s="3">
        <v>1.5502648213E8</v>
      </c>
      <c r="H170" s="4"/>
      <c r="I170" s="6" t="s">
        <v>58</v>
      </c>
      <c r="J170" s="4"/>
      <c r="K170" s="4"/>
    </row>
    <row r="171">
      <c r="A171" s="1">
        <v>44933.0</v>
      </c>
      <c r="B171" s="2" t="s">
        <v>54</v>
      </c>
      <c r="C171" s="2" t="s">
        <v>187</v>
      </c>
      <c r="D171" s="5">
        <v>1.197E8</v>
      </c>
      <c r="E171" s="5"/>
      <c r="F171" s="6" t="s">
        <v>4</v>
      </c>
      <c r="G171" s="3">
        <v>3.5326482129999995E7</v>
      </c>
      <c r="H171" s="4"/>
      <c r="I171" s="6" t="s">
        <v>11</v>
      </c>
      <c r="J171" s="4"/>
      <c r="K171" s="4"/>
    </row>
    <row r="172">
      <c r="A172" s="1">
        <v>44933.0</v>
      </c>
      <c r="B172" s="2" t="s">
        <v>54</v>
      </c>
      <c r="C172" s="2" t="s">
        <v>188</v>
      </c>
      <c r="D172" s="5">
        <v>3.0447E7</v>
      </c>
      <c r="E172" s="5"/>
      <c r="F172" s="6" t="s">
        <v>4</v>
      </c>
      <c r="G172" s="3">
        <v>4879482.129999995</v>
      </c>
      <c r="H172" s="4"/>
      <c r="I172" s="6" t="s">
        <v>11</v>
      </c>
      <c r="J172" s="4"/>
      <c r="K172" s="4"/>
    </row>
    <row r="173">
      <c r="A173" s="1">
        <v>44933.0</v>
      </c>
      <c r="B173" s="2" t="s">
        <v>47</v>
      </c>
      <c r="C173" s="2" t="s">
        <v>189</v>
      </c>
      <c r="D173" s="5"/>
      <c r="E173" s="5">
        <v>4.694614E7</v>
      </c>
      <c r="F173" s="6" t="s">
        <v>26</v>
      </c>
      <c r="G173" s="3">
        <v>5.1825622129999995E7</v>
      </c>
      <c r="H173" s="4"/>
      <c r="I173" s="4"/>
      <c r="J173" s="4"/>
      <c r="K173" s="4"/>
    </row>
    <row r="174">
      <c r="A174" s="1">
        <v>44933.0</v>
      </c>
      <c r="B174" s="2" t="s">
        <v>54</v>
      </c>
      <c r="C174" s="2" t="s">
        <v>190</v>
      </c>
      <c r="D174" s="5">
        <v>3400000.0</v>
      </c>
      <c r="E174" s="5"/>
      <c r="F174" s="6" t="s">
        <v>4</v>
      </c>
      <c r="G174" s="3">
        <v>4.8425622129999995E7</v>
      </c>
      <c r="H174" s="4"/>
      <c r="I174" s="6" t="s">
        <v>58</v>
      </c>
      <c r="J174" s="4"/>
      <c r="K174" s="4"/>
    </row>
    <row r="175">
      <c r="A175" s="1">
        <v>44933.0</v>
      </c>
      <c r="B175" s="2" t="s">
        <v>47</v>
      </c>
      <c r="C175" s="2" t="s">
        <v>191</v>
      </c>
      <c r="D175" s="5"/>
      <c r="E175" s="5">
        <v>1.1107116E8</v>
      </c>
      <c r="F175" s="6" t="s">
        <v>26</v>
      </c>
      <c r="G175" s="3">
        <v>1.5949678213E8</v>
      </c>
      <c r="H175" s="4"/>
      <c r="I175" s="4"/>
      <c r="J175" s="4"/>
      <c r="K175" s="4"/>
    </row>
    <row r="176">
      <c r="A176" s="1">
        <v>44933.0</v>
      </c>
      <c r="B176" s="2" t="s">
        <v>54</v>
      </c>
      <c r="C176" s="2" t="s">
        <v>192</v>
      </c>
      <c r="D176" s="5">
        <v>2060580.0</v>
      </c>
      <c r="E176" s="5"/>
      <c r="F176" s="6" t="s">
        <v>4</v>
      </c>
      <c r="G176" s="3">
        <v>1.5743620213E8</v>
      </c>
      <c r="H176" s="4"/>
      <c r="I176" s="6" t="s">
        <v>5</v>
      </c>
      <c r="J176" s="4"/>
      <c r="K176" s="4"/>
    </row>
    <row r="177">
      <c r="A177" s="1">
        <v>44933.0</v>
      </c>
      <c r="B177" s="2" t="s">
        <v>54</v>
      </c>
      <c r="C177" s="2" t="s">
        <v>193</v>
      </c>
      <c r="D177" s="5">
        <v>9.5E7</v>
      </c>
      <c r="E177" s="5"/>
      <c r="F177" s="6" t="s">
        <v>4</v>
      </c>
      <c r="G177" s="3">
        <v>6.2436202129999995E7</v>
      </c>
      <c r="H177" s="4"/>
      <c r="I177" s="6" t="s">
        <v>11</v>
      </c>
      <c r="J177" s="4"/>
      <c r="K177" s="4"/>
    </row>
    <row r="178">
      <c r="A178" s="1">
        <v>44934.0</v>
      </c>
      <c r="B178" s="2" t="s">
        <v>194</v>
      </c>
      <c r="C178" s="2" t="s">
        <v>195</v>
      </c>
      <c r="D178" s="5"/>
      <c r="E178" s="5">
        <v>3400000.0</v>
      </c>
      <c r="F178" s="6" t="s">
        <v>26</v>
      </c>
      <c r="G178" s="3">
        <v>6.5836202129999995E7</v>
      </c>
      <c r="H178" s="4"/>
      <c r="I178" s="4"/>
      <c r="J178" s="4"/>
      <c r="K178" s="4"/>
    </row>
    <row r="179">
      <c r="A179" s="1">
        <v>44934.0</v>
      </c>
      <c r="B179" s="2" t="s">
        <v>196</v>
      </c>
      <c r="C179" s="2" t="s">
        <v>197</v>
      </c>
      <c r="D179" s="5">
        <v>2000000.0</v>
      </c>
      <c r="E179" s="5"/>
      <c r="F179" s="6" t="s">
        <v>4</v>
      </c>
      <c r="G179" s="3">
        <v>6.3836202129999995E7</v>
      </c>
      <c r="H179" s="4"/>
      <c r="I179" s="6" t="s">
        <v>5</v>
      </c>
      <c r="J179" s="4"/>
      <c r="K179" s="4"/>
    </row>
    <row r="180">
      <c r="A180" s="1">
        <v>44934.0</v>
      </c>
      <c r="B180" s="2" t="s">
        <v>47</v>
      </c>
      <c r="C180" s="2" t="s">
        <v>198</v>
      </c>
      <c r="D180" s="5"/>
      <c r="E180" s="5">
        <v>4.98294E7</v>
      </c>
      <c r="F180" s="6" t="s">
        <v>26</v>
      </c>
      <c r="G180" s="3">
        <v>1.1366560213E8</v>
      </c>
      <c r="H180" s="4"/>
      <c r="I180" s="4"/>
      <c r="J180" s="4"/>
      <c r="K180" s="4"/>
    </row>
    <row r="181">
      <c r="A181" s="1">
        <v>44934.0</v>
      </c>
      <c r="B181" s="2" t="s">
        <v>54</v>
      </c>
      <c r="C181" s="2" t="s">
        <v>199</v>
      </c>
      <c r="D181" s="5">
        <v>6.851354E7</v>
      </c>
      <c r="E181" s="5"/>
      <c r="F181" s="6" t="s">
        <v>4</v>
      </c>
      <c r="G181" s="3">
        <v>4.5152062129999995E7</v>
      </c>
      <c r="H181" s="4"/>
      <c r="I181" s="6" t="s">
        <v>11</v>
      </c>
      <c r="J181" s="4"/>
      <c r="K181" s="4"/>
    </row>
    <row r="182">
      <c r="A182" s="1">
        <v>44934.0</v>
      </c>
      <c r="B182" s="2" t="s">
        <v>47</v>
      </c>
      <c r="C182" s="2" t="s">
        <v>200</v>
      </c>
      <c r="D182" s="5"/>
      <c r="E182" s="5">
        <v>1.6056575E8</v>
      </c>
      <c r="F182" s="6" t="s">
        <v>26</v>
      </c>
      <c r="G182" s="3">
        <v>2.0571781213E8</v>
      </c>
      <c r="H182" s="4"/>
      <c r="I182" s="4"/>
      <c r="J182" s="4"/>
      <c r="K182" s="4"/>
    </row>
    <row r="183">
      <c r="A183" s="1">
        <v>44934.0</v>
      </c>
      <c r="B183" s="2" t="s">
        <v>54</v>
      </c>
      <c r="C183" s="2" t="s">
        <v>201</v>
      </c>
      <c r="D183" s="5">
        <v>6.12357E7</v>
      </c>
      <c r="E183" s="5"/>
      <c r="F183" s="6" t="s">
        <v>4</v>
      </c>
      <c r="G183" s="3">
        <v>1.4448211213E8</v>
      </c>
      <c r="H183" s="4"/>
      <c r="I183" s="6" t="s">
        <v>11</v>
      </c>
      <c r="J183" s="4"/>
      <c r="K183" s="4"/>
    </row>
    <row r="184">
      <c r="A184" s="1">
        <v>44934.0</v>
      </c>
      <c r="B184" s="2" t="s">
        <v>54</v>
      </c>
      <c r="C184" s="2" t="s">
        <v>202</v>
      </c>
      <c r="D184" s="5">
        <v>1.1173469E8</v>
      </c>
      <c r="E184" s="5"/>
      <c r="F184" s="6" t="s">
        <v>4</v>
      </c>
      <c r="G184" s="3">
        <v>3.2747422129999995E7</v>
      </c>
      <c r="H184" s="4"/>
      <c r="I184" s="6" t="s">
        <v>11</v>
      </c>
      <c r="J184" s="4"/>
      <c r="K184" s="4"/>
    </row>
    <row r="185">
      <c r="A185" s="1">
        <v>44934.0</v>
      </c>
      <c r="B185" s="2" t="s">
        <v>54</v>
      </c>
      <c r="C185" s="2" t="s">
        <v>203</v>
      </c>
      <c r="D185" s="5">
        <v>3000000.0</v>
      </c>
      <c r="E185" s="5"/>
      <c r="F185" s="6" t="s">
        <v>4</v>
      </c>
      <c r="G185" s="3">
        <v>2.9747422129999995E7</v>
      </c>
      <c r="H185" s="4"/>
      <c r="I185" s="6" t="s">
        <v>5</v>
      </c>
      <c r="J185" s="4"/>
      <c r="K185" s="4"/>
    </row>
    <row r="186">
      <c r="A186" s="1">
        <v>44934.0</v>
      </c>
      <c r="B186" s="2" t="s">
        <v>54</v>
      </c>
      <c r="C186" s="2" t="s">
        <v>204</v>
      </c>
      <c r="D186" s="5">
        <v>1.84044E7</v>
      </c>
      <c r="E186" s="5"/>
      <c r="F186" s="6" t="s">
        <v>4</v>
      </c>
      <c r="G186" s="3">
        <v>1.1343022129999995E7</v>
      </c>
      <c r="H186" s="4"/>
      <c r="I186" s="6" t="s">
        <v>5</v>
      </c>
      <c r="J186" s="4"/>
      <c r="K186" s="4"/>
    </row>
    <row r="187">
      <c r="A187" s="1">
        <v>44935.0</v>
      </c>
      <c r="B187" s="2" t="s">
        <v>205</v>
      </c>
      <c r="C187" s="2" t="s">
        <v>206</v>
      </c>
      <c r="D187" s="5"/>
      <c r="E187" s="5">
        <v>3.925E7</v>
      </c>
      <c r="F187" s="6" t="s">
        <v>26</v>
      </c>
      <c r="G187" s="3">
        <v>5.0593022129999995E7</v>
      </c>
      <c r="H187" s="4"/>
      <c r="I187" s="4"/>
      <c r="J187" s="4"/>
      <c r="K187" s="4"/>
    </row>
    <row r="188">
      <c r="A188" s="1">
        <v>44935.0</v>
      </c>
      <c r="B188" s="2" t="s">
        <v>54</v>
      </c>
      <c r="C188" s="2" t="s">
        <v>207</v>
      </c>
      <c r="D188" s="5">
        <v>1821400.0</v>
      </c>
      <c r="E188" s="5"/>
      <c r="F188" s="6" t="s">
        <v>4</v>
      </c>
      <c r="G188" s="3">
        <v>4.8771622129999995E7</v>
      </c>
      <c r="H188" s="4"/>
      <c r="I188" s="6" t="s">
        <v>58</v>
      </c>
      <c r="J188" s="4"/>
      <c r="K188" s="4"/>
    </row>
    <row r="189">
      <c r="A189" s="1">
        <v>44935.0</v>
      </c>
      <c r="B189" s="2" t="s">
        <v>54</v>
      </c>
      <c r="C189" s="2" t="s">
        <v>208</v>
      </c>
      <c r="D189" s="5">
        <v>3.32333E7</v>
      </c>
      <c r="E189" s="3"/>
      <c r="F189" s="6" t="s">
        <v>4</v>
      </c>
      <c r="G189" s="3">
        <v>1.5538322129999995E7</v>
      </c>
      <c r="H189" s="4"/>
      <c r="I189" s="6" t="s">
        <v>11</v>
      </c>
      <c r="J189" s="4"/>
      <c r="K189" s="4"/>
    </row>
    <row r="190">
      <c r="A190" s="1">
        <v>44935.0</v>
      </c>
      <c r="B190" s="2" t="s">
        <v>47</v>
      </c>
      <c r="C190" s="2" t="s">
        <v>209</v>
      </c>
      <c r="D190" s="5"/>
      <c r="E190" s="5">
        <v>1.12959132E8</v>
      </c>
      <c r="F190" s="6" t="s">
        <v>26</v>
      </c>
      <c r="G190" s="3">
        <v>1.2849745413E8</v>
      </c>
      <c r="H190" s="4"/>
      <c r="I190" s="4"/>
      <c r="J190" s="4"/>
      <c r="K190" s="4"/>
    </row>
    <row r="191">
      <c r="A191" s="1">
        <v>44935.0</v>
      </c>
      <c r="B191" s="2" t="s">
        <v>47</v>
      </c>
      <c r="C191" s="2" t="s">
        <v>210</v>
      </c>
      <c r="D191" s="5"/>
      <c r="E191" s="5">
        <v>3.34113255E8</v>
      </c>
      <c r="F191" s="6" t="s">
        <v>26</v>
      </c>
      <c r="G191" s="3">
        <v>4.6261070913E8</v>
      </c>
      <c r="H191" s="4"/>
      <c r="I191" s="4"/>
      <c r="J191" s="4"/>
      <c r="K191" s="4"/>
    </row>
    <row r="192">
      <c r="A192" s="1">
        <v>44935.0</v>
      </c>
      <c r="B192" s="2" t="s">
        <v>54</v>
      </c>
      <c r="C192" s="2" t="s">
        <v>211</v>
      </c>
      <c r="D192" s="5">
        <v>9.338021E7</v>
      </c>
      <c r="E192" s="5"/>
      <c r="F192" s="6" t="s">
        <v>4</v>
      </c>
      <c r="G192" s="3">
        <v>3.6923049913E8</v>
      </c>
      <c r="H192" s="4"/>
      <c r="I192" s="6" t="s">
        <v>11</v>
      </c>
      <c r="J192" s="4"/>
      <c r="K192" s="4"/>
    </row>
    <row r="193">
      <c r="A193" s="1">
        <v>44935.0</v>
      </c>
      <c r="B193" s="2" t="s">
        <v>54</v>
      </c>
      <c r="C193" s="2" t="s">
        <v>212</v>
      </c>
      <c r="D193" s="5">
        <v>9.9E7</v>
      </c>
      <c r="E193" s="5"/>
      <c r="F193" s="6" t="s">
        <v>4</v>
      </c>
      <c r="G193" s="3">
        <v>2.7023049913E8</v>
      </c>
      <c r="H193" s="4"/>
      <c r="I193" s="6" t="s">
        <v>11</v>
      </c>
      <c r="J193" s="4"/>
      <c r="K193" s="4"/>
    </row>
    <row r="194">
      <c r="A194" s="1">
        <v>44935.0</v>
      </c>
      <c r="B194" s="2" t="s">
        <v>54</v>
      </c>
      <c r="C194" s="2" t="s">
        <v>213</v>
      </c>
      <c r="D194" s="5">
        <v>6.536E7</v>
      </c>
      <c r="E194" s="5"/>
      <c r="F194" s="6" t="s">
        <v>4</v>
      </c>
      <c r="G194" s="3">
        <v>2.0487049913E8</v>
      </c>
      <c r="H194" s="4"/>
      <c r="I194" s="6" t="s">
        <v>11</v>
      </c>
      <c r="J194" s="4"/>
      <c r="K194" s="4"/>
    </row>
    <row r="195">
      <c r="A195" s="1">
        <v>44935.0</v>
      </c>
      <c r="B195" s="2" t="s">
        <v>47</v>
      </c>
      <c r="C195" s="2" t="s">
        <v>214</v>
      </c>
      <c r="D195" s="5"/>
      <c r="E195" s="5">
        <v>5.495E7</v>
      </c>
      <c r="F195" s="6" t="s">
        <v>26</v>
      </c>
      <c r="G195" s="3">
        <v>2.5982049913E8</v>
      </c>
      <c r="H195" s="4"/>
      <c r="I195" s="4"/>
      <c r="J195" s="4"/>
      <c r="K195" s="4"/>
    </row>
    <row r="196">
      <c r="A196" s="1">
        <v>44935.0</v>
      </c>
      <c r="B196" s="2" t="s">
        <v>47</v>
      </c>
      <c r="C196" s="2" t="s">
        <v>215</v>
      </c>
      <c r="D196" s="5"/>
      <c r="E196" s="5">
        <v>7.057248E7</v>
      </c>
      <c r="F196" s="6" t="s">
        <v>26</v>
      </c>
      <c r="G196" s="3">
        <v>3.3039297913E8</v>
      </c>
      <c r="H196" s="4"/>
      <c r="I196" s="4"/>
      <c r="J196" s="4"/>
      <c r="K196" s="4"/>
    </row>
    <row r="197">
      <c r="A197" s="1">
        <v>44935.0</v>
      </c>
      <c r="B197" s="2" t="s">
        <v>47</v>
      </c>
      <c r="C197" s="2" t="s">
        <v>216</v>
      </c>
      <c r="D197" s="5"/>
      <c r="E197" s="5">
        <v>1.535394E8</v>
      </c>
      <c r="F197" s="6" t="s">
        <v>26</v>
      </c>
      <c r="G197" s="3">
        <v>4.8393237913E8</v>
      </c>
      <c r="H197" s="4"/>
      <c r="I197" s="4"/>
      <c r="J197" s="4"/>
      <c r="K197" s="4"/>
    </row>
    <row r="198">
      <c r="A198" s="1">
        <v>44935.0</v>
      </c>
      <c r="B198" s="2" t="s">
        <v>47</v>
      </c>
      <c r="C198" s="2" t="s">
        <v>217</v>
      </c>
      <c r="D198" s="5"/>
      <c r="E198" s="5">
        <v>4.98083E7</v>
      </c>
      <c r="F198" s="6" t="s">
        <v>26</v>
      </c>
      <c r="G198" s="3">
        <v>5.3374067913E8</v>
      </c>
      <c r="H198" s="4"/>
      <c r="I198" s="4"/>
      <c r="J198" s="4"/>
      <c r="K198" s="4"/>
    </row>
    <row r="199">
      <c r="A199" s="1">
        <v>44935.0</v>
      </c>
      <c r="B199" s="2" t="s">
        <v>47</v>
      </c>
      <c r="C199" s="2" t="s">
        <v>218</v>
      </c>
      <c r="D199" s="5"/>
      <c r="E199" s="5">
        <v>5.01E7</v>
      </c>
      <c r="F199" s="6" t="s">
        <v>26</v>
      </c>
      <c r="G199" s="3">
        <v>5.8384067913E8</v>
      </c>
      <c r="H199" s="4"/>
      <c r="I199" s="4"/>
      <c r="J199" s="4"/>
      <c r="K199" s="4"/>
    </row>
    <row r="200">
      <c r="A200" s="1">
        <v>44935.0</v>
      </c>
      <c r="B200" s="2" t="s">
        <v>47</v>
      </c>
      <c r="C200" s="2" t="s">
        <v>219</v>
      </c>
      <c r="D200" s="5"/>
      <c r="E200" s="5">
        <v>5.13E7</v>
      </c>
      <c r="F200" s="6" t="s">
        <v>26</v>
      </c>
      <c r="G200" s="3">
        <v>6.3514067913E8</v>
      </c>
      <c r="H200" s="4"/>
      <c r="I200" s="4"/>
      <c r="J200" s="4"/>
      <c r="K200" s="4"/>
    </row>
    <row r="201">
      <c r="A201" s="1">
        <v>44935.0</v>
      </c>
      <c r="B201" s="2" t="s">
        <v>47</v>
      </c>
      <c r="C201" s="2" t="s">
        <v>220</v>
      </c>
      <c r="D201" s="5"/>
      <c r="E201" s="5">
        <v>5.13136E7</v>
      </c>
      <c r="F201" s="6" t="s">
        <v>26</v>
      </c>
      <c r="G201" s="3">
        <v>6.8645427913E8</v>
      </c>
      <c r="H201" s="4"/>
      <c r="I201" s="4"/>
      <c r="J201" s="4"/>
      <c r="K201" s="4"/>
    </row>
    <row r="202">
      <c r="A202" s="1">
        <v>44935.0</v>
      </c>
      <c r="B202" s="2" t="s">
        <v>47</v>
      </c>
      <c r="C202" s="2" t="s">
        <v>221</v>
      </c>
      <c r="D202" s="5"/>
      <c r="E202" s="5">
        <v>5.13E7</v>
      </c>
      <c r="F202" s="6" t="s">
        <v>26</v>
      </c>
      <c r="G202" s="3">
        <v>7.3775427913E8</v>
      </c>
      <c r="H202" s="4"/>
      <c r="I202" s="4"/>
      <c r="J202" s="4"/>
      <c r="K202" s="4"/>
    </row>
    <row r="203">
      <c r="A203" s="1">
        <v>44935.0</v>
      </c>
      <c r="B203" s="2" t="s">
        <v>47</v>
      </c>
      <c r="C203" s="2" t="s">
        <v>222</v>
      </c>
      <c r="D203" s="5"/>
      <c r="E203" s="5">
        <v>5.985E7</v>
      </c>
      <c r="F203" s="6" t="s">
        <v>26</v>
      </c>
      <c r="G203" s="3">
        <v>7.9760427913E8</v>
      </c>
      <c r="H203" s="4"/>
      <c r="I203" s="4"/>
      <c r="J203" s="4"/>
      <c r="K203" s="4"/>
    </row>
    <row r="204">
      <c r="A204" s="1">
        <v>44935.0</v>
      </c>
      <c r="B204" s="2" t="s">
        <v>54</v>
      </c>
      <c r="C204" s="2" t="s">
        <v>223</v>
      </c>
      <c r="D204" s="5">
        <v>1.529976E8</v>
      </c>
      <c r="E204" s="5"/>
      <c r="F204" s="6" t="s">
        <v>4</v>
      </c>
      <c r="G204" s="3">
        <v>6.4460667913E8</v>
      </c>
      <c r="H204" s="4"/>
      <c r="I204" s="6" t="s">
        <v>11</v>
      </c>
      <c r="J204" s="4"/>
      <c r="K204" s="4"/>
    </row>
    <row r="205">
      <c r="A205" s="1">
        <v>44935.0</v>
      </c>
      <c r="B205" s="2" t="s">
        <v>54</v>
      </c>
      <c r="C205" s="2" t="s">
        <v>224</v>
      </c>
      <c r="D205" s="5">
        <v>8.82708E7</v>
      </c>
      <c r="E205" s="5"/>
      <c r="F205" s="6" t="s">
        <v>4</v>
      </c>
      <c r="G205" s="3">
        <v>5.5633587913E8</v>
      </c>
      <c r="H205" s="4"/>
      <c r="I205" s="6" t="s">
        <v>11</v>
      </c>
      <c r="J205" s="4"/>
      <c r="K205" s="4"/>
    </row>
    <row r="206">
      <c r="A206" s="1">
        <v>44935.0</v>
      </c>
      <c r="B206" s="2" t="s">
        <v>54</v>
      </c>
      <c r="C206" s="2" t="s">
        <v>225</v>
      </c>
      <c r="D206" s="5">
        <v>1.0658536E8</v>
      </c>
      <c r="E206" s="5"/>
      <c r="F206" s="6" t="s">
        <v>4</v>
      </c>
      <c r="G206" s="3">
        <v>4.4975051913E8</v>
      </c>
      <c r="H206" s="4"/>
      <c r="I206" s="6" t="s">
        <v>11</v>
      </c>
      <c r="J206" s="4"/>
      <c r="K206" s="4"/>
    </row>
    <row r="207">
      <c r="A207" s="1">
        <v>44935.0</v>
      </c>
      <c r="B207" s="2" t="s">
        <v>54</v>
      </c>
      <c r="C207" s="2" t="s">
        <v>226</v>
      </c>
      <c r="D207" s="5">
        <v>1.020136E8</v>
      </c>
      <c r="E207" s="5"/>
      <c r="F207" s="6" t="s">
        <v>4</v>
      </c>
      <c r="G207" s="3">
        <v>3.4773691913E8</v>
      </c>
      <c r="H207" s="4"/>
      <c r="I207" s="6" t="s">
        <v>11</v>
      </c>
      <c r="J207" s="4"/>
      <c r="K207" s="4"/>
    </row>
    <row r="208">
      <c r="A208" s="1">
        <v>44935.0</v>
      </c>
      <c r="B208" s="2" t="s">
        <v>54</v>
      </c>
      <c r="C208" s="2" t="s">
        <v>227</v>
      </c>
      <c r="D208" s="5">
        <v>5.0E7</v>
      </c>
      <c r="E208" s="5"/>
      <c r="F208" s="6" t="s">
        <v>4</v>
      </c>
      <c r="G208" s="3">
        <v>2.9773691913E8</v>
      </c>
      <c r="H208" s="4"/>
      <c r="I208" s="6" t="s">
        <v>11</v>
      </c>
      <c r="J208" s="4"/>
      <c r="K208" s="4"/>
    </row>
    <row r="209">
      <c r="A209" s="1">
        <v>44935.0</v>
      </c>
      <c r="B209" s="2" t="s">
        <v>54</v>
      </c>
      <c r="C209" s="2" t="s">
        <v>228</v>
      </c>
      <c r="D209" s="5">
        <v>1000000.0</v>
      </c>
      <c r="E209" s="5"/>
      <c r="F209" s="6" t="s">
        <v>4</v>
      </c>
      <c r="G209" s="3">
        <v>2.9673691913E8</v>
      </c>
      <c r="H209" s="4"/>
      <c r="I209" s="6" t="s">
        <v>11</v>
      </c>
      <c r="J209" s="4"/>
      <c r="K209" s="4"/>
    </row>
    <row r="210">
      <c r="A210" s="1">
        <v>44935.0</v>
      </c>
      <c r="B210" s="2" t="s">
        <v>54</v>
      </c>
      <c r="C210" s="2" t="s">
        <v>229</v>
      </c>
      <c r="D210" s="5">
        <v>4.0E7</v>
      </c>
      <c r="E210" s="5"/>
      <c r="F210" s="6" t="s">
        <v>4</v>
      </c>
      <c r="G210" s="3">
        <v>2.5673691913E8</v>
      </c>
      <c r="H210" s="4"/>
      <c r="I210" s="6" t="s">
        <v>11</v>
      </c>
      <c r="J210" s="4"/>
      <c r="K210" s="4"/>
    </row>
    <row r="211">
      <c r="A211" s="1">
        <v>44935.0</v>
      </c>
      <c r="B211" s="2" t="s">
        <v>54</v>
      </c>
      <c r="C211" s="2" t="s">
        <v>230</v>
      </c>
      <c r="D211" s="5">
        <v>5.25546E7</v>
      </c>
      <c r="E211" s="5"/>
      <c r="F211" s="6" t="s">
        <v>4</v>
      </c>
      <c r="G211" s="3">
        <v>2.0418231913E8</v>
      </c>
      <c r="H211" s="4"/>
      <c r="I211" s="6" t="s">
        <v>11</v>
      </c>
      <c r="J211" s="4"/>
      <c r="K211" s="4"/>
    </row>
    <row r="212">
      <c r="A212" s="1">
        <v>44936.0</v>
      </c>
      <c r="B212" s="2" t="s">
        <v>231</v>
      </c>
      <c r="C212" s="2" t="s">
        <v>232</v>
      </c>
      <c r="D212" s="5"/>
      <c r="E212" s="5">
        <v>3.5E7</v>
      </c>
      <c r="F212" s="6" t="s">
        <v>26</v>
      </c>
      <c r="G212" s="3">
        <v>2.3918231913E8</v>
      </c>
      <c r="H212" s="4"/>
      <c r="I212" s="4"/>
      <c r="J212" s="4"/>
      <c r="K212" s="4"/>
    </row>
    <row r="213">
      <c r="A213" s="1">
        <v>44936.0</v>
      </c>
      <c r="B213" s="2" t="s">
        <v>231</v>
      </c>
      <c r="C213" s="2" t="s">
        <v>233</v>
      </c>
      <c r="D213" s="5"/>
      <c r="E213" s="5">
        <v>2.0212241E8</v>
      </c>
      <c r="F213" s="6" t="s">
        <v>26</v>
      </c>
      <c r="G213" s="3">
        <v>4.4130472913E8</v>
      </c>
      <c r="H213" s="4"/>
      <c r="I213" s="4"/>
      <c r="J213" s="4"/>
      <c r="K213" s="4"/>
    </row>
    <row r="214">
      <c r="A214" s="1">
        <v>44936.0</v>
      </c>
      <c r="B214" s="2" t="s">
        <v>54</v>
      </c>
      <c r="C214" s="2" t="s">
        <v>234</v>
      </c>
      <c r="D214" s="5">
        <v>1620400.0</v>
      </c>
      <c r="E214" s="3"/>
      <c r="F214" s="6" t="s">
        <v>4</v>
      </c>
      <c r="G214" s="3">
        <v>4.3968432913E8</v>
      </c>
      <c r="H214" s="4"/>
      <c r="I214" s="6" t="s">
        <v>5</v>
      </c>
      <c r="J214" s="4"/>
      <c r="K214" s="4"/>
    </row>
    <row r="215">
      <c r="A215" s="1">
        <v>44936.0</v>
      </c>
      <c r="B215" s="2" t="s">
        <v>54</v>
      </c>
      <c r="C215" s="2" t="s">
        <v>235</v>
      </c>
      <c r="D215" s="5">
        <v>5.84494E7</v>
      </c>
      <c r="E215" s="5"/>
      <c r="F215" s="6" t="s">
        <v>4</v>
      </c>
      <c r="G215" s="3">
        <v>3.8123492913E8</v>
      </c>
      <c r="H215" s="4"/>
      <c r="I215" s="6" t="s">
        <v>11</v>
      </c>
      <c r="J215" s="4"/>
      <c r="K215" s="4"/>
    </row>
    <row r="216">
      <c r="A216" s="1">
        <v>44936.0</v>
      </c>
      <c r="B216" s="2" t="s">
        <v>47</v>
      </c>
      <c r="C216" s="2" t="s">
        <v>236</v>
      </c>
      <c r="D216" s="5"/>
      <c r="E216" s="5">
        <v>2.7635586E8</v>
      </c>
      <c r="F216" s="6" t="s">
        <v>26</v>
      </c>
      <c r="G216" s="3">
        <v>6.5759078913E8</v>
      </c>
      <c r="H216" s="4"/>
      <c r="I216" s="4"/>
      <c r="J216" s="4"/>
      <c r="K216" s="4"/>
    </row>
    <row r="217">
      <c r="A217" s="1">
        <v>44936.0</v>
      </c>
      <c r="B217" s="2" t="s">
        <v>54</v>
      </c>
      <c r="C217" s="2" t="s">
        <v>237</v>
      </c>
      <c r="D217" s="5">
        <v>1500000.0</v>
      </c>
      <c r="E217" s="5"/>
      <c r="F217" s="6" t="s">
        <v>4</v>
      </c>
      <c r="G217" s="3">
        <v>6.5609078913E8</v>
      </c>
      <c r="H217" s="4"/>
      <c r="I217" s="6" t="s">
        <v>5</v>
      </c>
      <c r="J217" s="4"/>
      <c r="K217" s="4"/>
    </row>
    <row r="218">
      <c r="A218" s="1">
        <v>44936.0</v>
      </c>
      <c r="B218" s="2" t="s">
        <v>47</v>
      </c>
      <c r="C218" s="2" t="s">
        <v>238</v>
      </c>
      <c r="D218" s="5"/>
      <c r="E218" s="5">
        <v>1.4739408E8</v>
      </c>
      <c r="F218" s="6" t="s">
        <v>26</v>
      </c>
      <c r="G218" s="3">
        <v>8.0348486913E8</v>
      </c>
      <c r="H218" s="4"/>
      <c r="I218" s="4"/>
      <c r="J218" s="4"/>
      <c r="K218" s="4"/>
    </row>
    <row r="219">
      <c r="A219" s="1">
        <v>44936.0</v>
      </c>
      <c r="B219" s="2" t="s">
        <v>54</v>
      </c>
      <c r="C219" s="2" t="s">
        <v>239</v>
      </c>
      <c r="D219" s="5">
        <v>4.95E7</v>
      </c>
      <c r="E219" s="5"/>
      <c r="F219" s="6" t="s">
        <v>4</v>
      </c>
      <c r="G219" s="3">
        <v>7.5398486913E8</v>
      </c>
      <c r="H219" s="4"/>
      <c r="I219" s="6" t="s">
        <v>11</v>
      </c>
      <c r="J219" s="4"/>
      <c r="K219" s="4"/>
    </row>
    <row r="220">
      <c r="A220" s="1">
        <v>44936.0</v>
      </c>
      <c r="B220" s="2" t="s">
        <v>47</v>
      </c>
      <c r="C220" s="2" t="s">
        <v>240</v>
      </c>
      <c r="D220" s="5"/>
      <c r="E220" s="5">
        <v>1.90665E8</v>
      </c>
      <c r="F220" s="6" t="s">
        <v>26</v>
      </c>
      <c r="G220" s="3">
        <v>9.4464986913E8</v>
      </c>
      <c r="H220" s="4"/>
      <c r="I220" s="4"/>
      <c r="J220" s="4"/>
      <c r="K220" s="4"/>
    </row>
    <row r="221">
      <c r="A221" s="1">
        <v>44936.0</v>
      </c>
      <c r="B221" s="2" t="s">
        <v>47</v>
      </c>
      <c r="C221" s="2" t="s">
        <v>241</v>
      </c>
      <c r="D221" s="5"/>
      <c r="E221" s="5">
        <v>5.05296E7</v>
      </c>
      <c r="F221" s="6" t="s">
        <v>26</v>
      </c>
      <c r="G221" s="3">
        <v>9.9517946913E8</v>
      </c>
      <c r="H221" s="4"/>
      <c r="I221" s="4"/>
      <c r="J221" s="4"/>
      <c r="K221" s="4"/>
    </row>
    <row r="222">
      <c r="A222" s="1">
        <v>44936.0</v>
      </c>
      <c r="B222" s="2" t="s">
        <v>47</v>
      </c>
      <c r="C222" s="2" t="s">
        <v>242</v>
      </c>
      <c r="D222" s="5"/>
      <c r="E222" s="5">
        <v>6.12E7</v>
      </c>
      <c r="F222" s="6" t="s">
        <v>26</v>
      </c>
      <c r="G222" s="3">
        <v>1.05637946913E9</v>
      </c>
      <c r="H222" s="4"/>
      <c r="I222" s="4"/>
      <c r="J222" s="4"/>
      <c r="K222" s="4"/>
    </row>
    <row r="223">
      <c r="A223" s="1">
        <v>44936.0</v>
      </c>
      <c r="B223" s="2" t="s">
        <v>47</v>
      </c>
      <c r="C223" s="2" t="s">
        <v>243</v>
      </c>
      <c r="D223" s="5"/>
      <c r="E223" s="5">
        <v>4.681755E7</v>
      </c>
      <c r="F223" s="6" t="s">
        <v>26</v>
      </c>
      <c r="G223" s="3">
        <v>1.10319701913E9</v>
      </c>
      <c r="H223" s="4"/>
      <c r="I223" s="4"/>
      <c r="J223" s="4"/>
      <c r="K223" s="4"/>
    </row>
    <row r="224">
      <c r="A224" s="1">
        <v>44936.0</v>
      </c>
      <c r="B224" s="2" t="s">
        <v>47</v>
      </c>
      <c r="C224" s="2" t="s">
        <v>244</v>
      </c>
      <c r="D224" s="5"/>
      <c r="E224" s="5">
        <v>5.01E7</v>
      </c>
      <c r="F224" s="6" t="s">
        <v>26</v>
      </c>
      <c r="G224" s="3">
        <v>1.15329701913E9</v>
      </c>
      <c r="H224" s="4"/>
      <c r="I224" s="4"/>
      <c r="J224" s="4"/>
      <c r="K224" s="4"/>
    </row>
    <row r="225">
      <c r="A225" s="1">
        <v>44936.0</v>
      </c>
      <c r="B225" s="2" t="s">
        <v>47</v>
      </c>
      <c r="C225" s="2" t="s">
        <v>245</v>
      </c>
      <c r="D225" s="5"/>
      <c r="E225" s="5">
        <v>6.385961E7</v>
      </c>
      <c r="F225" s="6" t="s">
        <v>26</v>
      </c>
      <c r="G225" s="3">
        <v>1.21715662913E9</v>
      </c>
      <c r="H225" s="4"/>
      <c r="I225" s="4"/>
      <c r="J225" s="4"/>
      <c r="K225" s="4"/>
    </row>
    <row r="226">
      <c r="A226" s="1">
        <v>44936.0</v>
      </c>
      <c r="B226" s="2" t="s">
        <v>54</v>
      </c>
      <c r="C226" s="2" t="s">
        <v>246</v>
      </c>
      <c r="D226" s="5">
        <v>1.138516E8</v>
      </c>
      <c r="E226" s="5"/>
      <c r="F226" s="6" t="s">
        <v>4</v>
      </c>
      <c r="G226" s="3">
        <v>1.10330502913E9</v>
      </c>
      <c r="H226" s="4"/>
      <c r="I226" s="6" t="s">
        <v>11</v>
      </c>
      <c r="J226" s="4"/>
      <c r="K226" s="4"/>
    </row>
    <row r="227">
      <c r="A227" s="1">
        <v>44936.0</v>
      </c>
      <c r="B227" s="2" t="s">
        <v>54</v>
      </c>
      <c r="C227" s="2" t="s">
        <v>247</v>
      </c>
      <c r="D227" s="5">
        <v>9.093776E7</v>
      </c>
      <c r="E227" s="5"/>
      <c r="F227" s="6" t="s">
        <v>4</v>
      </c>
      <c r="G227" s="3">
        <v>1.0123672691300001E9</v>
      </c>
      <c r="H227" s="4"/>
      <c r="I227" s="6" t="s">
        <v>11</v>
      </c>
      <c r="J227" s="4"/>
      <c r="K227" s="4"/>
    </row>
    <row r="228">
      <c r="A228" s="1">
        <v>44936.0</v>
      </c>
      <c r="B228" s="2" t="s">
        <v>54</v>
      </c>
      <c r="C228" s="2" t="s">
        <v>248</v>
      </c>
      <c r="D228" s="5">
        <v>4.48208E7</v>
      </c>
      <c r="E228" s="3"/>
      <c r="F228" s="6" t="s">
        <v>4</v>
      </c>
      <c r="G228" s="3">
        <v>9.675464691300001E8</v>
      </c>
      <c r="H228" s="4"/>
      <c r="I228" s="6" t="s">
        <v>11</v>
      </c>
      <c r="J228" s="4"/>
      <c r="K228" s="4"/>
    </row>
    <row r="229">
      <c r="A229" s="1">
        <v>44936.0</v>
      </c>
      <c r="B229" s="2" t="s">
        <v>54</v>
      </c>
      <c r="C229" s="2" t="s">
        <v>249</v>
      </c>
      <c r="D229" s="5">
        <v>6.3E7</v>
      </c>
      <c r="E229" s="5"/>
      <c r="F229" s="6" t="s">
        <v>4</v>
      </c>
      <c r="G229" s="3">
        <v>9.045464691300001E8</v>
      </c>
      <c r="H229" s="4"/>
      <c r="I229" s="6" t="s">
        <v>11</v>
      </c>
      <c r="J229" s="4"/>
      <c r="K229" s="4"/>
    </row>
    <row r="230">
      <c r="A230" s="1">
        <v>44936.0</v>
      </c>
      <c r="B230" s="2" t="s">
        <v>54</v>
      </c>
      <c r="C230" s="2" t="s">
        <v>250</v>
      </c>
      <c r="D230" s="5">
        <v>6.10572E7</v>
      </c>
      <c r="E230" s="5"/>
      <c r="F230" s="6" t="s">
        <v>4</v>
      </c>
      <c r="G230" s="3">
        <v>8.434892691300001E8</v>
      </c>
      <c r="H230" s="4"/>
      <c r="I230" s="6" t="s">
        <v>11</v>
      </c>
      <c r="J230" s="4"/>
      <c r="K230" s="4"/>
    </row>
    <row r="231">
      <c r="A231" s="1">
        <v>44936.0</v>
      </c>
      <c r="B231" s="2" t="s">
        <v>54</v>
      </c>
      <c r="C231" s="2" t="s">
        <v>251</v>
      </c>
      <c r="D231" s="5">
        <v>4.199925E7</v>
      </c>
      <c r="E231" s="5"/>
      <c r="F231" s="6" t="s">
        <v>4</v>
      </c>
      <c r="G231" s="3">
        <v>8.014900191300001E8</v>
      </c>
      <c r="H231" s="4"/>
      <c r="I231" s="6" t="s">
        <v>11</v>
      </c>
      <c r="J231" s="4"/>
      <c r="K231" s="4"/>
    </row>
    <row r="232">
      <c r="A232" s="1">
        <v>44936.0</v>
      </c>
      <c r="B232" s="2" t="s">
        <v>54</v>
      </c>
      <c r="C232" s="2" t="s">
        <v>252</v>
      </c>
      <c r="D232" s="5">
        <v>5.43399E7</v>
      </c>
      <c r="E232" s="5"/>
      <c r="F232" s="6" t="s">
        <v>4</v>
      </c>
      <c r="G232" s="3">
        <v>7.471501191300001E8</v>
      </c>
      <c r="H232" s="4"/>
      <c r="I232" s="6" t="s">
        <v>11</v>
      </c>
      <c r="J232" s="4"/>
      <c r="K232" s="4"/>
    </row>
    <row r="233">
      <c r="A233" s="1">
        <v>44936.0</v>
      </c>
      <c r="B233" s="2" t="s">
        <v>54</v>
      </c>
      <c r="C233" s="2" t="s">
        <v>253</v>
      </c>
      <c r="D233" s="5">
        <v>5.2288E7</v>
      </c>
      <c r="E233" s="5"/>
      <c r="F233" s="6" t="s">
        <v>4</v>
      </c>
      <c r="G233" s="3">
        <v>6.948621191300001E8</v>
      </c>
      <c r="H233" s="4"/>
      <c r="I233" s="6" t="s">
        <v>11</v>
      </c>
      <c r="J233" s="4"/>
      <c r="K233" s="4"/>
    </row>
    <row r="234">
      <c r="A234" s="1">
        <v>44936.0</v>
      </c>
      <c r="B234" s="2" t="s">
        <v>54</v>
      </c>
      <c r="C234" s="2" t="s">
        <v>254</v>
      </c>
      <c r="D234" s="5">
        <v>5.17735E7</v>
      </c>
      <c r="E234" s="5"/>
      <c r="F234" s="6" t="s">
        <v>4</v>
      </c>
      <c r="G234" s="3">
        <v>6.430886191300001E8</v>
      </c>
      <c r="H234" s="4"/>
      <c r="I234" s="6" t="s">
        <v>11</v>
      </c>
      <c r="J234" s="4"/>
      <c r="K234" s="4"/>
    </row>
    <row r="235">
      <c r="A235" s="1">
        <v>44936.0</v>
      </c>
      <c r="B235" s="2" t="s">
        <v>54</v>
      </c>
      <c r="C235" s="2" t="s">
        <v>255</v>
      </c>
      <c r="D235" s="5">
        <v>5.1E7</v>
      </c>
      <c r="E235" s="5"/>
      <c r="F235" s="6" t="s">
        <v>4</v>
      </c>
      <c r="G235" s="3">
        <v>5.920886191300001E8</v>
      </c>
      <c r="H235" s="4"/>
      <c r="I235" s="6" t="s">
        <v>11</v>
      </c>
      <c r="J235" s="4"/>
      <c r="K235" s="4"/>
    </row>
    <row r="236">
      <c r="A236" s="1">
        <v>44936.0</v>
      </c>
      <c r="B236" s="2" t="s">
        <v>54</v>
      </c>
      <c r="C236" s="2" t="s">
        <v>256</v>
      </c>
      <c r="D236" s="5">
        <v>5.425E7</v>
      </c>
      <c r="E236" s="5"/>
      <c r="F236" s="6" t="s">
        <v>4</v>
      </c>
      <c r="G236" s="3">
        <v>5.378386191300001E8</v>
      </c>
      <c r="H236" s="4"/>
      <c r="I236" s="6" t="s">
        <v>11</v>
      </c>
      <c r="J236" s="4"/>
      <c r="K236" s="4"/>
    </row>
    <row r="237">
      <c r="A237" s="1">
        <v>44936.0</v>
      </c>
      <c r="B237" s="2" t="s">
        <v>54</v>
      </c>
      <c r="C237" s="2" t="s">
        <v>257</v>
      </c>
      <c r="D237" s="5">
        <v>600000.0</v>
      </c>
      <c r="E237" s="5"/>
      <c r="F237" s="6" t="s">
        <v>4</v>
      </c>
      <c r="G237" s="3">
        <v>5.372386191300001E8</v>
      </c>
      <c r="H237" s="4"/>
      <c r="I237" s="6" t="s">
        <v>8</v>
      </c>
      <c r="J237" s="4"/>
      <c r="K237" s="4"/>
    </row>
    <row r="238">
      <c r="A238" s="1">
        <v>44936.0</v>
      </c>
      <c r="B238" s="2" t="s">
        <v>54</v>
      </c>
      <c r="C238" s="2" t="s">
        <v>258</v>
      </c>
      <c r="D238" s="5">
        <v>1.439E7</v>
      </c>
      <c r="E238" s="5"/>
      <c r="F238" s="6" t="s">
        <v>4</v>
      </c>
      <c r="G238" s="3">
        <v>5.228486191300001E8</v>
      </c>
      <c r="H238" s="4"/>
      <c r="I238" s="6" t="s">
        <v>11</v>
      </c>
      <c r="J238" s="4"/>
      <c r="K238" s="4"/>
    </row>
    <row r="239">
      <c r="A239" s="1">
        <v>44936.0</v>
      </c>
      <c r="B239" s="2" t="s">
        <v>54</v>
      </c>
      <c r="C239" s="2" t="s">
        <v>259</v>
      </c>
      <c r="D239" s="5">
        <v>2654400.0</v>
      </c>
      <c r="E239" s="5"/>
      <c r="F239" s="6" t="s">
        <v>4</v>
      </c>
      <c r="G239" s="3">
        <v>5.201942191300001E8</v>
      </c>
      <c r="H239" s="4"/>
      <c r="I239" s="6" t="s">
        <v>5</v>
      </c>
      <c r="J239" s="4"/>
      <c r="K239" s="4"/>
    </row>
    <row r="240">
      <c r="A240" s="1">
        <v>44936.0</v>
      </c>
      <c r="B240" s="2" t="s">
        <v>54</v>
      </c>
      <c r="C240" s="2" t="s">
        <v>260</v>
      </c>
      <c r="D240" s="5">
        <v>2448900.0</v>
      </c>
      <c r="E240" s="5"/>
      <c r="F240" s="6" t="s">
        <v>4</v>
      </c>
      <c r="G240" s="3">
        <v>5.177453191300001E8</v>
      </c>
      <c r="H240" s="4"/>
      <c r="I240" s="6" t="s">
        <v>5</v>
      </c>
      <c r="J240" s="4"/>
      <c r="K240" s="4"/>
    </row>
    <row r="241">
      <c r="A241" s="1">
        <v>44936.0</v>
      </c>
      <c r="B241" s="2" t="s">
        <v>54</v>
      </c>
      <c r="C241" s="2" t="s">
        <v>261</v>
      </c>
      <c r="D241" s="5">
        <v>5.184E7</v>
      </c>
      <c r="E241" s="3"/>
      <c r="F241" s="6" t="s">
        <v>4</v>
      </c>
      <c r="G241" s="3">
        <v>4.659053191300001E8</v>
      </c>
      <c r="H241" s="4"/>
      <c r="I241" s="6" t="s">
        <v>11</v>
      </c>
      <c r="J241" s="4"/>
      <c r="K241" s="4"/>
    </row>
    <row r="242">
      <c r="A242" s="7">
        <v>44936.0</v>
      </c>
      <c r="B242" s="8" t="s">
        <v>54</v>
      </c>
      <c r="C242" s="8" t="s">
        <v>262</v>
      </c>
      <c r="D242" s="9">
        <v>4500000.0</v>
      </c>
      <c r="E242" s="9"/>
      <c r="F242" s="10" t="s">
        <v>4</v>
      </c>
      <c r="G242" s="11">
        <v>4.614053191300001E8</v>
      </c>
      <c r="H242" s="12"/>
      <c r="I242" s="10" t="s">
        <v>5</v>
      </c>
      <c r="J242" s="12"/>
      <c r="K242" s="12"/>
    </row>
    <row r="243">
      <c r="A243" s="7">
        <v>44937.0</v>
      </c>
      <c r="B243" s="8" t="s">
        <v>263</v>
      </c>
      <c r="C243" s="8" t="s">
        <v>264</v>
      </c>
      <c r="D243" s="9"/>
      <c r="E243" s="9">
        <v>3936040.0</v>
      </c>
      <c r="F243" s="10" t="s">
        <v>26</v>
      </c>
      <c r="G243" s="11">
        <v>4.653413591300001E8</v>
      </c>
      <c r="H243" s="12"/>
      <c r="I243" s="12"/>
      <c r="J243" s="12"/>
      <c r="K243" s="12"/>
    </row>
    <row r="244">
      <c r="A244" s="1">
        <v>44937.0</v>
      </c>
      <c r="B244" s="2" t="s">
        <v>265</v>
      </c>
      <c r="C244" s="2" t="s">
        <v>266</v>
      </c>
      <c r="D244" s="5">
        <v>1527930.0</v>
      </c>
      <c r="E244" s="5"/>
      <c r="F244" s="6" t="s">
        <v>4</v>
      </c>
      <c r="G244" s="3">
        <v>4.638134291300001E8</v>
      </c>
      <c r="H244" s="4"/>
      <c r="I244" s="6" t="s">
        <v>5</v>
      </c>
      <c r="J244" s="4"/>
      <c r="K244" s="4"/>
    </row>
    <row r="245">
      <c r="A245" s="1">
        <v>44937.0</v>
      </c>
      <c r="B245" s="2" t="s">
        <v>265</v>
      </c>
      <c r="C245" s="2" t="s">
        <v>267</v>
      </c>
      <c r="D245" s="5">
        <v>4191200.0</v>
      </c>
      <c r="E245" s="5"/>
      <c r="F245" s="6" t="s">
        <v>4</v>
      </c>
      <c r="G245" s="3">
        <v>4.596222291300001E8</v>
      </c>
      <c r="H245" s="4"/>
      <c r="I245" s="6" t="s">
        <v>5</v>
      </c>
      <c r="J245" s="4"/>
      <c r="K245" s="4"/>
    </row>
    <row r="246">
      <c r="A246" s="1">
        <v>44937.0</v>
      </c>
      <c r="B246" s="2" t="s">
        <v>268</v>
      </c>
      <c r="C246" s="2" t="s">
        <v>269</v>
      </c>
      <c r="D246" s="5">
        <v>2641000.0</v>
      </c>
      <c r="E246" s="5"/>
      <c r="F246" s="6" t="s">
        <v>4</v>
      </c>
      <c r="G246" s="3">
        <v>4.569812291300001E8</v>
      </c>
      <c r="H246" s="4"/>
      <c r="I246" s="6" t="s">
        <v>1</v>
      </c>
      <c r="J246" s="4"/>
      <c r="K246" s="4"/>
    </row>
    <row r="247">
      <c r="A247" s="1">
        <v>44937.0</v>
      </c>
      <c r="B247" s="2" t="s">
        <v>268</v>
      </c>
      <c r="C247" s="2" t="s">
        <v>270</v>
      </c>
      <c r="D247" s="5">
        <v>2500.0</v>
      </c>
      <c r="E247" s="5"/>
      <c r="F247" s="6" t="s">
        <v>4</v>
      </c>
      <c r="G247" s="3">
        <v>4.569787291300001E8</v>
      </c>
      <c r="H247" s="4"/>
      <c r="I247" s="6" t="s">
        <v>1</v>
      </c>
      <c r="J247" s="4"/>
      <c r="K247" s="4"/>
    </row>
    <row r="248">
      <c r="A248" s="1">
        <v>44937.0</v>
      </c>
      <c r="B248" s="2" t="s">
        <v>268</v>
      </c>
      <c r="C248" s="2" t="s">
        <v>271</v>
      </c>
      <c r="D248" s="5">
        <v>1525000.0</v>
      </c>
      <c r="E248" s="5"/>
      <c r="F248" s="6" t="s">
        <v>4</v>
      </c>
      <c r="G248" s="3">
        <v>4.554537291300001E8</v>
      </c>
      <c r="H248" s="4"/>
      <c r="I248" s="6" t="s">
        <v>1</v>
      </c>
      <c r="J248" s="4"/>
      <c r="K248" s="4"/>
    </row>
    <row r="249">
      <c r="A249" s="1">
        <v>44937.0</v>
      </c>
      <c r="B249" s="2" t="s">
        <v>268</v>
      </c>
      <c r="C249" s="2" t="s">
        <v>272</v>
      </c>
      <c r="D249" s="5">
        <v>2500.0</v>
      </c>
      <c r="E249" s="5"/>
      <c r="F249" s="6" t="s">
        <v>4</v>
      </c>
      <c r="G249" s="3">
        <v>4.554512291300001E8</v>
      </c>
      <c r="H249" s="4"/>
      <c r="I249" s="6" t="s">
        <v>1</v>
      </c>
      <c r="J249" s="4"/>
      <c r="K249" s="4"/>
    </row>
    <row r="250">
      <c r="A250" s="1">
        <v>44937.0</v>
      </c>
      <c r="B250" s="2" t="s">
        <v>54</v>
      </c>
      <c r="C250" s="2" t="s">
        <v>273</v>
      </c>
      <c r="D250" s="5">
        <v>1.085654E8</v>
      </c>
      <c r="E250" s="5"/>
      <c r="F250" s="6" t="s">
        <v>4</v>
      </c>
      <c r="G250" s="3">
        <v>3.468858291300001E8</v>
      </c>
      <c r="H250" s="4"/>
      <c r="I250" s="6" t="s">
        <v>11</v>
      </c>
      <c r="J250" s="4"/>
      <c r="K250" s="4"/>
    </row>
    <row r="251">
      <c r="A251" s="1">
        <v>44937.0</v>
      </c>
      <c r="B251" s="2" t="s">
        <v>54</v>
      </c>
      <c r="C251" s="2" t="s">
        <v>274</v>
      </c>
      <c r="D251" s="5">
        <v>1.11E8</v>
      </c>
      <c r="E251" s="5"/>
      <c r="F251" s="6" t="s">
        <v>4</v>
      </c>
      <c r="G251" s="3">
        <v>2.358858291300001E8</v>
      </c>
      <c r="H251" s="4"/>
      <c r="I251" s="6" t="s">
        <v>11</v>
      </c>
      <c r="J251" s="4"/>
      <c r="K251" s="4"/>
    </row>
    <row r="252">
      <c r="A252" s="1">
        <v>44937.0</v>
      </c>
      <c r="B252" s="2" t="s">
        <v>54</v>
      </c>
      <c r="C252" s="2" t="s">
        <v>275</v>
      </c>
      <c r="D252" s="5">
        <v>8.0E7</v>
      </c>
      <c r="E252" s="5"/>
      <c r="F252" s="6" t="s">
        <v>4</v>
      </c>
      <c r="G252" s="3">
        <v>1.558858291300001E8</v>
      </c>
      <c r="H252" s="4"/>
      <c r="I252" s="6" t="s">
        <v>11</v>
      </c>
      <c r="J252" s="4"/>
      <c r="K252" s="4"/>
    </row>
    <row r="253">
      <c r="A253" s="1">
        <v>44937.0</v>
      </c>
      <c r="B253" s="2" t="s">
        <v>54</v>
      </c>
      <c r="C253" s="2" t="s">
        <v>276</v>
      </c>
      <c r="D253" s="5">
        <v>8.15E7</v>
      </c>
      <c r="E253" s="5"/>
      <c r="F253" s="6" t="s">
        <v>4</v>
      </c>
      <c r="G253" s="3">
        <v>7.438582913000011E7</v>
      </c>
      <c r="H253" s="4"/>
      <c r="I253" s="6" t="s">
        <v>11</v>
      </c>
      <c r="J253" s="4"/>
      <c r="K253" s="4"/>
    </row>
    <row r="254">
      <c r="A254" s="1">
        <v>44937.0</v>
      </c>
      <c r="B254" s="2" t="s">
        <v>277</v>
      </c>
      <c r="C254" s="2" t="s">
        <v>278</v>
      </c>
      <c r="D254" s="5">
        <v>750000.0</v>
      </c>
      <c r="E254" s="3"/>
      <c r="F254" s="4"/>
      <c r="G254" s="3">
        <v>7.363582913000011E7</v>
      </c>
      <c r="H254" s="6">
        <v>7.363582913E7</v>
      </c>
      <c r="I254" s="6" t="s">
        <v>1</v>
      </c>
      <c r="J254" s="6"/>
      <c r="K254" s="6"/>
    </row>
    <row r="255">
      <c r="A255" s="1">
        <v>44937.0</v>
      </c>
      <c r="B255" s="2" t="s">
        <v>47</v>
      </c>
      <c r="C255" s="2" t="s">
        <v>279</v>
      </c>
      <c r="D255" s="5"/>
      <c r="E255" s="5">
        <v>2.158065E8</v>
      </c>
      <c r="F255" s="6" t="s">
        <v>26</v>
      </c>
      <c r="G255" s="3">
        <v>2.894423291300001E8</v>
      </c>
      <c r="H255" s="6">
        <v>2.8944232913E8</v>
      </c>
      <c r="I255" s="6"/>
      <c r="J255" s="6"/>
      <c r="K255" s="6"/>
    </row>
    <row r="256">
      <c r="A256" s="1">
        <v>44937.0</v>
      </c>
      <c r="B256" s="2" t="s">
        <v>280</v>
      </c>
      <c r="C256" s="2" t="s">
        <v>280</v>
      </c>
      <c r="D256" s="5">
        <v>300000.0</v>
      </c>
      <c r="E256" s="5"/>
      <c r="F256" s="4"/>
      <c r="G256" s="3">
        <v>2.891423291300001E8</v>
      </c>
      <c r="H256" s="4"/>
      <c r="I256" s="6" t="s">
        <v>1</v>
      </c>
      <c r="J256" s="4"/>
      <c r="K256" s="4"/>
    </row>
    <row r="257">
      <c r="A257" s="1">
        <v>44937.0</v>
      </c>
      <c r="B257" s="2" t="s">
        <v>47</v>
      </c>
      <c r="C257" s="2" t="s">
        <v>281</v>
      </c>
      <c r="D257" s="5"/>
      <c r="E257" s="5">
        <v>5.13E7</v>
      </c>
      <c r="F257" s="6" t="s">
        <v>26</v>
      </c>
      <c r="G257" s="3">
        <v>3.404423291300001E8</v>
      </c>
      <c r="H257" s="4"/>
      <c r="I257" s="4"/>
      <c r="J257" s="4"/>
      <c r="K257" s="4"/>
    </row>
    <row r="258">
      <c r="A258" s="1">
        <v>44937.0</v>
      </c>
      <c r="B258" s="2" t="s">
        <v>47</v>
      </c>
      <c r="C258" s="2" t="s">
        <v>282</v>
      </c>
      <c r="D258" s="5"/>
      <c r="E258" s="5">
        <v>4.98E7</v>
      </c>
      <c r="F258" s="6" t="s">
        <v>26</v>
      </c>
      <c r="G258" s="3">
        <v>3.902423291300001E8</v>
      </c>
      <c r="H258" s="4"/>
      <c r="I258" s="6" t="s">
        <v>11</v>
      </c>
      <c r="J258" s="6"/>
      <c r="K258" s="6"/>
    </row>
    <row r="259">
      <c r="A259" s="1">
        <v>44937.0</v>
      </c>
      <c r="B259" s="2" t="s">
        <v>47</v>
      </c>
      <c r="C259" s="2" t="s">
        <v>283</v>
      </c>
      <c r="D259" s="5"/>
      <c r="E259" s="5">
        <v>3.79632E7</v>
      </c>
      <c r="F259" s="6" t="s">
        <v>26</v>
      </c>
      <c r="G259" s="3">
        <v>4.282055291300001E8</v>
      </c>
      <c r="H259" s="4"/>
      <c r="I259" s="6" t="s">
        <v>11</v>
      </c>
      <c r="J259" s="6"/>
      <c r="K259" s="6"/>
    </row>
    <row r="260">
      <c r="A260" s="1">
        <v>44937.0</v>
      </c>
      <c r="B260" s="2" t="s">
        <v>47</v>
      </c>
      <c r="C260" s="2" t="s">
        <v>284</v>
      </c>
      <c r="D260" s="5"/>
      <c r="E260" s="5">
        <v>4.903578E7</v>
      </c>
      <c r="F260" s="6" t="s">
        <v>26</v>
      </c>
      <c r="G260" s="3">
        <v>4.772413091300001E8</v>
      </c>
      <c r="H260" s="4"/>
      <c r="I260" s="6" t="s">
        <v>11</v>
      </c>
      <c r="J260" s="6"/>
      <c r="K260" s="6"/>
    </row>
    <row r="261">
      <c r="A261" s="1">
        <v>44937.0</v>
      </c>
      <c r="B261" s="2" t="s">
        <v>47</v>
      </c>
      <c r="C261" s="2" t="s">
        <v>285</v>
      </c>
      <c r="D261" s="5"/>
      <c r="E261" s="5">
        <v>1.108842E8</v>
      </c>
      <c r="F261" s="6" t="s">
        <v>26</v>
      </c>
      <c r="G261" s="3">
        <v>5.881255091300001E8</v>
      </c>
      <c r="H261" s="4"/>
      <c r="I261" s="6" t="s">
        <v>11</v>
      </c>
      <c r="J261" s="6"/>
      <c r="K261" s="6"/>
    </row>
    <row r="262">
      <c r="A262" s="1">
        <v>44937.0</v>
      </c>
      <c r="B262" s="2" t="s">
        <v>47</v>
      </c>
      <c r="C262" s="2" t="s">
        <v>286</v>
      </c>
      <c r="D262" s="5"/>
      <c r="E262" s="5">
        <v>1.9224162E8</v>
      </c>
      <c r="F262" s="6" t="s">
        <v>26</v>
      </c>
      <c r="G262" s="3">
        <v>7.803671291300001E8</v>
      </c>
      <c r="H262" s="4"/>
      <c r="I262" s="6" t="s">
        <v>11</v>
      </c>
      <c r="J262" s="6"/>
      <c r="K262" s="6"/>
    </row>
    <row r="263">
      <c r="A263" s="1">
        <v>44937.0</v>
      </c>
      <c r="B263" s="2" t="s">
        <v>54</v>
      </c>
      <c r="C263" s="2" t="s">
        <v>287</v>
      </c>
      <c r="D263" s="5">
        <v>2.322693E8</v>
      </c>
      <c r="E263" s="5"/>
      <c r="F263" s="6" t="s">
        <v>4</v>
      </c>
      <c r="G263" s="3">
        <v>5.480978291300001E8</v>
      </c>
      <c r="H263" s="4"/>
      <c r="I263" s="6" t="s">
        <v>11</v>
      </c>
      <c r="J263" s="6"/>
      <c r="K263" s="6"/>
    </row>
    <row r="264">
      <c r="A264" s="1">
        <v>44937.0</v>
      </c>
      <c r="B264" s="2" t="s">
        <v>54</v>
      </c>
      <c r="C264" s="2" t="s">
        <v>288</v>
      </c>
      <c r="D264" s="5">
        <v>3.868645E7</v>
      </c>
      <c r="E264" s="5"/>
      <c r="F264" s="6" t="s">
        <v>4</v>
      </c>
      <c r="G264" s="3">
        <v>5.094113791300001E8</v>
      </c>
      <c r="H264" s="4"/>
      <c r="I264" s="6" t="s">
        <v>8</v>
      </c>
      <c r="J264" s="6"/>
      <c r="K264" s="6"/>
    </row>
    <row r="265">
      <c r="A265" s="1">
        <v>44937.0</v>
      </c>
      <c r="B265" s="2" t="s">
        <v>54</v>
      </c>
      <c r="C265" s="2" t="s">
        <v>289</v>
      </c>
      <c r="D265" s="5">
        <v>5.0388E7</v>
      </c>
      <c r="E265" s="5"/>
      <c r="F265" s="6" t="s">
        <v>4</v>
      </c>
      <c r="G265" s="3">
        <v>4.590233791300001E8</v>
      </c>
      <c r="H265" s="4"/>
      <c r="I265" s="6" t="s">
        <v>11</v>
      </c>
      <c r="J265" s="6"/>
      <c r="K265" s="6"/>
    </row>
    <row r="266">
      <c r="A266" s="1">
        <v>44937.0</v>
      </c>
      <c r="B266" s="2" t="s">
        <v>54</v>
      </c>
      <c r="C266" s="2" t="s">
        <v>290</v>
      </c>
      <c r="D266" s="5">
        <v>3.875E7</v>
      </c>
      <c r="E266" s="5"/>
      <c r="F266" s="6" t="s">
        <v>4</v>
      </c>
      <c r="G266" s="3">
        <v>4.202733791300001E8</v>
      </c>
      <c r="H266" s="4"/>
      <c r="I266" s="6" t="s">
        <v>11</v>
      </c>
      <c r="J266" s="6"/>
      <c r="K266" s="6"/>
    </row>
    <row r="267">
      <c r="A267" s="1">
        <v>44937.0</v>
      </c>
      <c r="B267" s="2" t="s">
        <v>54</v>
      </c>
      <c r="C267" s="2" t="s">
        <v>291</v>
      </c>
      <c r="D267" s="5">
        <v>6.458673E7</v>
      </c>
      <c r="E267" s="3"/>
      <c r="F267" s="6" t="s">
        <v>4</v>
      </c>
      <c r="G267" s="3">
        <v>3.556866491300001E8</v>
      </c>
      <c r="H267" s="6">
        <v>3.5568664913E8</v>
      </c>
      <c r="I267" s="6" t="s">
        <v>11</v>
      </c>
      <c r="J267" s="6"/>
      <c r="K267" s="6"/>
    </row>
    <row r="268">
      <c r="A268" s="1">
        <v>44937.0</v>
      </c>
      <c r="B268" s="2" t="s">
        <v>280</v>
      </c>
      <c r="C268" s="2" t="s">
        <v>280</v>
      </c>
      <c r="D268" s="5">
        <v>600000.0</v>
      </c>
      <c r="E268" s="5"/>
      <c r="F268" s="4"/>
      <c r="G268" s="3">
        <v>3.550866491300001E8</v>
      </c>
      <c r="H268" s="6">
        <v>3.5508664913E8</v>
      </c>
      <c r="I268" s="6" t="s">
        <v>1</v>
      </c>
      <c r="J268" s="6"/>
      <c r="K268" s="6"/>
    </row>
    <row r="269">
      <c r="A269" s="1">
        <v>44937.0</v>
      </c>
      <c r="B269" s="2" t="s">
        <v>47</v>
      </c>
      <c r="C269" s="2" t="s">
        <v>292</v>
      </c>
      <c r="D269" s="5"/>
      <c r="E269" s="5">
        <v>4.27896E7</v>
      </c>
      <c r="F269" s="6" t="s">
        <v>26</v>
      </c>
      <c r="G269" s="3">
        <v>3.978762491300001E8</v>
      </c>
      <c r="H269" s="6">
        <v>3.9787624913E8</v>
      </c>
      <c r="I269" s="6" t="s">
        <v>11</v>
      </c>
      <c r="J269" s="6"/>
      <c r="K269" s="6"/>
    </row>
    <row r="270">
      <c r="A270" s="1">
        <v>44938.0</v>
      </c>
      <c r="B270" s="2" t="s">
        <v>293</v>
      </c>
      <c r="C270" s="2" t="s">
        <v>294</v>
      </c>
      <c r="D270" s="5"/>
      <c r="E270" s="5">
        <v>5.78409E7</v>
      </c>
      <c r="F270" s="6" t="s">
        <v>26</v>
      </c>
      <c r="G270" s="3">
        <v>4.557171491300001E8</v>
      </c>
      <c r="H270" s="4"/>
      <c r="I270" s="6" t="s">
        <v>11</v>
      </c>
      <c r="J270" s="6"/>
      <c r="K270" s="6"/>
    </row>
    <row r="271">
      <c r="A271" s="1">
        <v>44938.0</v>
      </c>
      <c r="B271" s="2" t="s">
        <v>47</v>
      </c>
      <c r="C271" s="2" t="s">
        <v>295</v>
      </c>
      <c r="D271" s="5"/>
      <c r="E271" s="5">
        <v>1.86584E7</v>
      </c>
      <c r="F271" s="6" t="s">
        <v>26</v>
      </c>
      <c r="G271" s="3">
        <v>4.743755491300001E8</v>
      </c>
      <c r="H271" s="4"/>
      <c r="I271" s="6" t="s">
        <v>11</v>
      </c>
      <c r="J271" s="6"/>
      <c r="K271" s="6"/>
    </row>
    <row r="272">
      <c r="A272" s="1">
        <v>44938.0</v>
      </c>
      <c r="B272" s="2" t="s">
        <v>54</v>
      </c>
      <c r="C272" s="2" t="s">
        <v>296</v>
      </c>
      <c r="D272" s="5">
        <v>8421950.0</v>
      </c>
      <c r="E272" s="5"/>
      <c r="F272" s="6" t="s">
        <v>4</v>
      </c>
      <c r="G272" s="3">
        <v>4.659535991300001E8</v>
      </c>
      <c r="H272" s="4"/>
      <c r="I272" s="6" t="s">
        <v>11</v>
      </c>
      <c r="J272" s="6"/>
      <c r="K272" s="6"/>
    </row>
    <row r="273">
      <c r="A273" s="1">
        <v>44938.0</v>
      </c>
      <c r="B273" s="2" t="s">
        <v>54</v>
      </c>
      <c r="C273" s="2" t="s">
        <v>297</v>
      </c>
      <c r="D273" s="5">
        <v>4.8E7</v>
      </c>
      <c r="E273" s="5"/>
      <c r="F273" s="6" t="s">
        <v>4</v>
      </c>
      <c r="G273" s="3">
        <v>4.179535991300001E8</v>
      </c>
      <c r="H273" s="4"/>
      <c r="I273" s="6" t="s">
        <v>11</v>
      </c>
      <c r="J273" s="6"/>
      <c r="K273" s="6"/>
    </row>
    <row r="274">
      <c r="A274" s="1">
        <v>44938.0</v>
      </c>
      <c r="B274" s="2" t="s">
        <v>54</v>
      </c>
      <c r="C274" s="2" t="s">
        <v>298</v>
      </c>
      <c r="D274" s="5">
        <v>1200000.0</v>
      </c>
      <c r="E274" s="5"/>
      <c r="F274" s="6" t="s">
        <v>4</v>
      </c>
      <c r="G274" s="3">
        <v>4.167535991300001E8</v>
      </c>
      <c r="H274" s="4"/>
      <c r="I274" s="6" t="s">
        <v>58</v>
      </c>
      <c r="J274" s="6"/>
      <c r="K274" s="6"/>
    </row>
    <row r="275">
      <c r="A275" s="1">
        <v>44938.0</v>
      </c>
      <c r="B275" s="2" t="s">
        <v>54</v>
      </c>
      <c r="C275" s="2" t="s">
        <v>299</v>
      </c>
      <c r="D275" s="5">
        <v>5.16E7</v>
      </c>
      <c r="E275" s="5"/>
      <c r="F275" s="6" t="s">
        <v>4</v>
      </c>
      <c r="G275" s="3">
        <v>3.651535991300001E8</v>
      </c>
      <c r="H275" s="4"/>
      <c r="I275" s="6" t="s">
        <v>11</v>
      </c>
      <c r="J275" s="6"/>
      <c r="K275" s="6"/>
    </row>
    <row r="276">
      <c r="A276" s="1">
        <v>44938.0</v>
      </c>
      <c r="B276" s="2" t="s">
        <v>54</v>
      </c>
      <c r="C276" s="2" t="s">
        <v>300</v>
      </c>
      <c r="D276" s="5">
        <v>4.27896E7</v>
      </c>
      <c r="E276" s="5"/>
      <c r="F276" s="6" t="s">
        <v>4</v>
      </c>
      <c r="G276" s="3">
        <v>3.223639991300001E8</v>
      </c>
      <c r="H276" s="4"/>
      <c r="I276" s="6" t="s">
        <v>11</v>
      </c>
      <c r="J276" s="6"/>
      <c r="K276" s="6"/>
    </row>
    <row r="277">
      <c r="A277" s="1">
        <v>44938.0</v>
      </c>
      <c r="B277" s="2" t="s">
        <v>54</v>
      </c>
      <c r="C277" s="2" t="s">
        <v>301</v>
      </c>
      <c r="D277" s="5">
        <v>5.1E7</v>
      </c>
      <c r="E277" s="5"/>
      <c r="F277" s="6" t="s">
        <v>4</v>
      </c>
      <c r="G277" s="3">
        <v>2.713639991300001E8</v>
      </c>
      <c r="H277" s="4"/>
      <c r="I277" s="6" t="s">
        <v>11</v>
      </c>
      <c r="J277" s="6"/>
      <c r="K277" s="6"/>
    </row>
    <row r="278">
      <c r="A278" s="1">
        <v>44938.0</v>
      </c>
      <c r="B278" s="2" t="s">
        <v>54</v>
      </c>
      <c r="C278" s="2" t="s">
        <v>302</v>
      </c>
      <c r="D278" s="5">
        <v>1.19E8</v>
      </c>
      <c r="E278" s="5"/>
      <c r="F278" s="6" t="s">
        <v>4</v>
      </c>
      <c r="G278" s="3">
        <v>1.523639991300001E8</v>
      </c>
      <c r="H278" s="4"/>
      <c r="I278" s="6" t="s">
        <v>11</v>
      </c>
      <c r="J278" s="6"/>
      <c r="K278" s="6"/>
    </row>
    <row r="279">
      <c r="A279" s="1">
        <v>44938.0</v>
      </c>
      <c r="B279" s="2" t="s">
        <v>54</v>
      </c>
      <c r="C279" s="2" t="s">
        <v>303</v>
      </c>
      <c r="D279" s="5">
        <v>1702800.0</v>
      </c>
      <c r="E279" s="5"/>
      <c r="F279" s="6" t="s">
        <v>4</v>
      </c>
      <c r="G279" s="3">
        <v>1.506611991300001E8</v>
      </c>
      <c r="H279" s="4"/>
      <c r="I279" s="6" t="s">
        <v>5</v>
      </c>
      <c r="J279" s="6"/>
      <c r="K279" s="6"/>
    </row>
    <row r="280">
      <c r="A280" s="1">
        <v>44938.0</v>
      </c>
      <c r="B280" s="2" t="s">
        <v>54</v>
      </c>
      <c r="C280" s="2" t="s">
        <v>304</v>
      </c>
      <c r="D280" s="5">
        <v>1831770.0</v>
      </c>
      <c r="E280" s="5"/>
      <c r="F280" s="6" t="s">
        <v>4</v>
      </c>
      <c r="G280" s="3">
        <v>1.488294291300001E8</v>
      </c>
      <c r="H280" s="6">
        <v>1.4882942913E8</v>
      </c>
      <c r="I280" s="6" t="s">
        <v>5</v>
      </c>
      <c r="J280" s="6"/>
      <c r="K280" s="6"/>
    </row>
    <row r="281">
      <c r="A281" s="1">
        <v>44938.0</v>
      </c>
      <c r="B281" s="2" t="s">
        <v>54</v>
      </c>
      <c r="C281" s="2" t="s">
        <v>305</v>
      </c>
      <c r="D281" s="5">
        <v>7123500.0</v>
      </c>
      <c r="E281" s="5"/>
      <c r="F281" s="6" t="s">
        <v>4</v>
      </c>
      <c r="G281" s="3">
        <v>1.417059291300001E8</v>
      </c>
      <c r="H281" s="6">
        <v>1.4170592913E8</v>
      </c>
      <c r="I281" s="6" t="s">
        <v>5</v>
      </c>
      <c r="J281" s="6"/>
      <c r="K281" s="6"/>
    </row>
    <row r="282">
      <c r="A282" s="1">
        <v>44938.0</v>
      </c>
      <c r="B282" s="2" t="s">
        <v>47</v>
      </c>
      <c r="C282" s="2" t="s">
        <v>306</v>
      </c>
      <c r="D282" s="5"/>
      <c r="E282" s="5">
        <v>3.775E7</v>
      </c>
      <c r="F282" s="6" t="s">
        <v>26</v>
      </c>
      <c r="G282" s="3">
        <v>1.794559291300001E8</v>
      </c>
      <c r="H282" s="4"/>
      <c r="I282" s="6" t="s">
        <v>11</v>
      </c>
      <c r="J282" s="6"/>
      <c r="K282" s="6"/>
    </row>
    <row r="283">
      <c r="A283" s="1">
        <v>44938.0</v>
      </c>
      <c r="B283" s="2" t="s">
        <v>47</v>
      </c>
      <c r="C283" s="2" t="s">
        <v>307</v>
      </c>
      <c r="D283" s="5"/>
      <c r="E283" s="5">
        <v>3.136392E8</v>
      </c>
      <c r="F283" s="6" t="s">
        <v>26</v>
      </c>
      <c r="G283" s="3">
        <v>4.930951291300001E8</v>
      </c>
      <c r="H283" s="4"/>
      <c r="I283" s="6" t="s">
        <v>11</v>
      </c>
      <c r="J283" s="6"/>
      <c r="K283" s="6"/>
    </row>
    <row r="284">
      <c r="A284" s="1">
        <v>44938.0</v>
      </c>
      <c r="B284" s="2" t="s">
        <v>47</v>
      </c>
      <c r="C284" s="2" t="s">
        <v>308</v>
      </c>
      <c r="D284" s="5"/>
      <c r="E284" s="5">
        <v>5.13E7</v>
      </c>
      <c r="F284" s="6" t="s">
        <v>26</v>
      </c>
      <c r="G284" s="3">
        <v>5.443951291300001E8</v>
      </c>
      <c r="H284" s="4"/>
      <c r="I284" s="6" t="s">
        <v>11</v>
      </c>
      <c r="J284" s="6"/>
      <c r="K284" s="6"/>
    </row>
    <row r="285">
      <c r="A285" s="1">
        <v>44938.0</v>
      </c>
      <c r="B285" s="2" t="s">
        <v>47</v>
      </c>
      <c r="C285" s="2" t="s">
        <v>308</v>
      </c>
      <c r="D285" s="5"/>
      <c r="E285" s="5">
        <v>5.13E7</v>
      </c>
      <c r="F285" s="6" t="s">
        <v>26</v>
      </c>
      <c r="G285" s="3">
        <v>5.956951291300001E8</v>
      </c>
      <c r="H285" s="4"/>
      <c r="I285" s="6" t="s">
        <v>11</v>
      </c>
      <c r="J285" s="6"/>
      <c r="K285" s="6"/>
    </row>
    <row r="286">
      <c r="A286" s="1">
        <v>44938.0</v>
      </c>
      <c r="B286" s="2" t="s">
        <v>47</v>
      </c>
      <c r="C286" s="2" t="s">
        <v>309</v>
      </c>
      <c r="D286" s="5"/>
      <c r="E286" s="5">
        <v>4.86E7</v>
      </c>
      <c r="F286" s="6" t="s">
        <v>26</v>
      </c>
      <c r="G286" s="3">
        <v>6.442951291300001E8</v>
      </c>
      <c r="H286" s="4"/>
      <c r="I286" s="6" t="s">
        <v>11</v>
      </c>
      <c r="J286" s="6"/>
      <c r="K286" s="6"/>
    </row>
    <row r="287">
      <c r="A287" s="1">
        <v>44938.0</v>
      </c>
      <c r="B287" s="2" t="s">
        <v>47</v>
      </c>
      <c r="C287" s="2" t="s">
        <v>310</v>
      </c>
      <c r="D287" s="5"/>
      <c r="E287" s="5">
        <v>5.1E7</v>
      </c>
      <c r="F287" s="6" t="s">
        <v>26</v>
      </c>
      <c r="G287" s="3">
        <v>6.952951291300001E8</v>
      </c>
      <c r="H287" s="4"/>
      <c r="I287" s="6" t="s">
        <v>11</v>
      </c>
      <c r="J287" s="6"/>
      <c r="K287" s="6"/>
    </row>
    <row r="288">
      <c r="A288" s="1">
        <v>44938.0</v>
      </c>
      <c r="B288" s="2" t="s">
        <v>47</v>
      </c>
      <c r="C288" s="2" t="s">
        <v>311</v>
      </c>
      <c r="D288" s="5"/>
      <c r="E288" s="5">
        <v>6.131874E7</v>
      </c>
      <c r="F288" s="6" t="s">
        <v>26</v>
      </c>
      <c r="G288" s="3">
        <v>7.566138691300001E8</v>
      </c>
      <c r="H288" s="4"/>
      <c r="I288" s="6" t="s">
        <v>11</v>
      </c>
      <c r="J288" s="6"/>
      <c r="K288" s="6"/>
    </row>
    <row r="289">
      <c r="A289" s="1">
        <v>44938.0</v>
      </c>
      <c r="B289" s="2" t="s">
        <v>54</v>
      </c>
      <c r="C289" s="2" t="s">
        <v>312</v>
      </c>
      <c r="D289" s="5">
        <v>2100000.0</v>
      </c>
      <c r="E289" s="5"/>
      <c r="F289" s="6" t="s">
        <v>4</v>
      </c>
      <c r="G289" s="3">
        <v>7.545138691300001E8</v>
      </c>
      <c r="H289" s="4"/>
      <c r="I289" s="6" t="s">
        <v>5</v>
      </c>
      <c r="J289" s="6"/>
      <c r="K289" s="6"/>
    </row>
    <row r="290">
      <c r="A290" s="1">
        <v>44938.0</v>
      </c>
      <c r="B290" s="2" t="s">
        <v>47</v>
      </c>
      <c r="C290" s="2" t="s">
        <v>313</v>
      </c>
      <c r="D290" s="5"/>
      <c r="E290" s="5">
        <v>9.844574E7</v>
      </c>
      <c r="F290" s="6" t="s">
        <v>26</v>
      </c>
      <c r="G290" s="3">
        <v>8.529596091300001E8</v>
      </c>
      <c r="H290" s="4"/>
      <c r="I290" s="6" t="s">
        <v>11</v>
      </c>
      <c r="J290" s="6"/>
      <c r="K290" s="6"/>
    </row>
    <row r="291">
      <c r="A291" s="1">
        <v>44938.0</v>
      </c>
      <c r="B291" s="2" t="s">
        <v>314</v>
      </c>
      <c r="C291" s="2" t="s">
        <v>314</v>
      </c>
      <c r="D291" s="5">
        <v>300000.0</v>
      </c>
      <c r="E291" s="5"/>
      <c r="F291" s="4"/>
      <c r="G291" s="3">
        <v>8.526596091300001E8</v>
      </c>
      <c r="H291" s="4"/>
      <c r="I291" s="6" t="s">
        <v>1</v>
      </c>
      <c r="J291" s="6"/>
      <c r="K291" s="6"/>
    </row>
    <row r="292">
      <c r="A292" s="1">
        <v>44938.0</v>
      </c>
      <c r="B292" s="2" t="s">
        <v>277</v>
      </c>
      <c r="C292" s="2" t="s">
        <v>315</v>
      </c>
      <c r="D292" s="5">
        <v>102500.0</v>
      </c>
      <c r="E292" s="5"/>
      <c r="F292" s="4"/>
      <c r="G292" s="3">
        <v>8.525571091300001E8</v>
      </c>
      <c r="H292" s="4"/>
      <c r="I292" s="6" t="s">
        <v>1</v>
      </c>
      <c r="J292" s="6"/>
      <c r="K292" s="6"/>
    </row>
    <row r="293">
      <c r="A293" s="1">
        <v>44938.0</v>
      </c>
      <c r="B293" s="2" t="s">
        <v>47</v>
      </c>
      <c r="C293" s="2" t="s">
        <v>316</v>
      </c>
      <c r="D293" s="5"/>
      <c r="E293" s="5">
        <v>6.798322E7</v>
      </c>
      <c r="F293" s="6" t="s">
        <v>26</v>
      </c>
      <c r="G293" s="3">
        <v>9.205403291300001E8</v>
      </c>
      <c r="H293" s="6">
        <v>9.2054032913E8</v>
      </c>
      <c r="I293" s="6" t="s">
        <v>11</v>
      </c>
      <c r="J293" s="6"/>
      <c r="K293" s="6"/>
    </row>
    <row r="294">
      <c r="A294" s="1">
        <v>44939.0</v>
      </c>
      <c r="B294" s="2" t="s">
        <v>317</v>
      </c>
      <c r="C294" s="2" t="s">
        <v>318</v>
      </c>
      <c r="D294" s="5">
        <v>4.39275E7</v>
      </c>
      <c r="E294" s="3"/>
      <c r="F294" s="6" t="s">
        <v>4</v>
      </c>
      <c r="G294" s="3">
        <v>8.766128291300001E8</v>
      </c>
      <c r="H294" s="4"/>
      <c r="I294" s="6" t="s">
        <v>11</v>
      </c>
      <c r="J294" s="6"/>
      <c r="K294" s="6"/>
    </row>
    <row r="295">
      <c r="A295" s="1">
        <v>44939.0</v>
      </c>
      <c r="B295" s="2" t="s">
        <v>317</v>
      </c>
      <c r="C295" s="2" t="s">
        <v>319</v>
      </c>
      <c r="D295" s="5">
        <v>1.4750575E8</v>
      </c>
      <c r="E295" s="5"/>
      <c r="F295" s="6" t="s">
        <v>4</v>
      </c>
      <c r="G295" s="3">
        <v>7.291070791300001E8</v>
      </c>
      <c r="H295" s="4"/>
      <c r="I295" s="6" t="s">
        <v>11</v>
      </c>
      <c r="J295" s="6"/>
      <c r="K295" s="6"/>
    </row>
    <row r="296">
      <c r="A296" s="1">
        <v>44939.0</v>
      </c>
      <c r="B296" s="2" t="s">
        <v>317</v>
      </c>
      <c r="C296" s="2" t="s">
        <v>320</v>
      </c>
      <c r="D296" s="5">
        <v>5.1E7</v>
      </c>
      <c r="E296" s="5"/>
      <c r="F296" s="6" t="s">
        <v>4</v>
      </c>
      <c r="G296" s="3">
        <v>6.781070791300001E8</v>
      </c>
      <c r="H296" s="4"/>
      <c r="I296" s="6" t="s">
        <v>11</v>
      </c>
      <c r="J296" s="6"/>
      <c r="K296" s="6"/>
    </row>
    <row r="297">
      <c r="A297" s="1">
        <v>44939.0</v>
      </c>
      <c r="B297" s="2" t="s">
        <v>317</v>
      </c>
      <c r="C297" s="2" t="s">
        <v>321</v>
      </c>
      <c r="D297" s="5">
        <v>6.32485E7</v>
      </c>
      <c r="E297" s="5"/>
      <c r="F297" s="6" t="s">
        <v>4</v>
      </c>
      <c r="G297" s="3">
        <v>6.148585791300001E8</v>
      </c>
      <c r="H297" s="4"/>
      <c r="I297" s="6" t="s">
        <v>11</v>
      </c>
      <c r="J297" s="6"/>
      <c r="K297" s="6"/>
    </row>
    <row r="298">
      <c r="A298" s="1">
        <v>44939.0</v>
      </c>
      <c r="B298" s="2" t="s">
        <v>317</v>
      </c>
      <c r="C298" s="2" t="s">
        <v>322</v>
      </c>
      <c r="D298" s="5">
        <v>1.1574784E8</v>
      </c>
      <c r="E298" s="5"/>
      <c r="F298" s="6" t="s">
        <v>4</v>
      </c>
      <c r="G298" s="3">
        <v>4.991107391300001E8</v>
      </c>
      <c r="H298" s="4"/>
      <c r="I298" s="6" t="s">
        <v>11</v>
      </c>
      <c r="J298" s="6"/>
      <c r="K298" s="6"/>
    </row>
    <row r="299">
      <c r="A299" s="1">
        <v>44939.0</v>
      </c>
      <c r="B299" s="2" t="s">
        <v>317</v>
      </c>
      <c r="C299" s="2" t="s">
        <v>323</v>
      </c>
      <c r="D299" s="5">
        <v>5.95E7</v>
      </c>
      <c r="E299" s="5"/>
      <c r="F299" s="6" t="s">
        <v>4</v>
      </c>
      <c r="G299" s="3">
        <v>4.396107391300001E8</v>
      </c>
      <c r="H299" s="4"/>
      <c r="I299" s="6" t="s">
        <v>11</v>
      </c>
      <c r="J299" s="6"/>
      <c r="K299" s="6"/>
    </row>
    <row r="300">
      <c r="A300" s="1">
        <v>44939.0</v>
      </c>
      <c r="B300" s="2" t="s">
        <v>54</v>
      </c>
      <c r="C300" s="2" t="s">
        <v>324</v>
      </c>
      <c r="D300" s="5">
        <v>4.86E7</v>
      </c>
      <c r="E300" s="5"/>
      <c r="F300" s="6" t="s">
        <v>4</v>
      </c>
      <c r="G300" s="3">
        <v>3.910107391300001E8</v>
      </c>
      <c r="H300" s="4"/>
      <c r="I300" s="6" t="s">
        <v>11</v>
      </c>
      <c r="J300" s="6"/>
      <c r="K300" s="6"/>
    </row>
    <row r="301">
      <c r="A301" s="1">
        <v>44939.0</v>
      </c>
      <c r="B301" s="2" t="s">
        <v>54</v>
      </c>
      <c r="C301" s="2" t="s">
        <v>325</v>
      </c>
      <c r="D301" s="5">
        <v>9.8651E7</v>
      </c>
      <c r="E301" s="5"/>
      <c r="F301" s="6" t="s">
        <v>4</v>
      </c>
      <c r="G301" s="3">
        <v>2.923597391300001E8</v>
      </c>
      <c r="H301" s="4"/>
      <c r="I301" s="6" t="s">
        <v>11</v>
      </c>
      <c r="J301" s="6"/>
      <c r="K301" s="6"/>
    </row>
    <row r="302">
      <c r="A302" s="1">
        <v>44939.0</v>
      </c>
      <c r="B302" s="2" t="s">
        <v>54</v>
      </c>
      <c r="C302" s="2" t="s">
        <v>326</v>
      </c>
      <c r="D302" s="5">
        <v>5.48164E7</v>
      </c>
      <c r="E302" s="5"/>
      <c r="F302" s="6" t="s">
        <v>4</v>
      </c>
      <c r="G302" s="3">
        <v>2.375433391300001E8</v>
      </c>
      <c r="H302" s="4"/>
      <c r="I302" s="6" t="s">
        <v>11</v>
      </c>
      <c r="J302" s="6"/>
      <c r="K302" s="6"/>
    </row>
    <row r="303">
      <c r="A303" s="1">
        <v>44939.0</v>
      </c>
      <c r="B303" s="2" t="s">
        <v>54</v>
      </c>
      <c r="C303" s="2" t="s">
        <v>327</v>
      </c>
      <c r="D303" s="5">
        <v>4.01184E7</v>
      </c>
      <c r="E303" s="5"/>
      <c r="F303" s="6" t="s">
        <v>4</v>
      </c>
      <c r="G303" s="3">
        <v>1.974249391300001E8</v>
      </c>
      <c r="H303" s="4"/>
      <c r="I303" s="6" t="s">
        <v>11</v>
      </c>
      <c r="J303" s="6"/>
      <c r="K303" s="6"/>
    </row>
    <row r="304">
      <c r="A304" s="1">
        <v>44939.0</v>
      </c>
      <c r="B304" s="2" t="s">
        <v>54</v>
      </c>
      <c r="C304" s="2" t="s">
        <v>328</v>
      </c>
      <c r="D304" s="5">
        <v>4.81072E7</v>
      </c>
      <c r="E304" s="5"/>
      <c r="F304" s="6" t="s">
        <v>4</v>
      </c>
      <c r="G304" s="3">
        <v>1.493177391300001E8</v>
      </c>
      <c r="H304" s="4"/>
      <c r="I304" s="6" t="s">
        <v>11</v>
      </c>
      <c r="J304" s="6"/>
      <c r="K304" s="6"/>
    </row>
    <row r="305">
      <c r="A305" s="1">
        <v>44939.0</v>
      </c>
      <c r="B305" s="2" t="s">
        <v>54</v>
      </c>
      <c r="C305" s="2" t="s">
        <v>329</v>
      </c>
      <c r="D305" s="5">
        <v>4.951485E7</v>
      </c>
      <c r="E305" s="5"/>
      <c r="F305" s="6" t="s">
        <v>4</v>
      </c>
      <c r="G305" s="3">
        <v>9.980288913000011E7</v>
      </c>
      <c r="H305" s="4"/>
      <c r="I305" s="6" t="s">
        <v>11</v>
      </c>
      <c r="J305" s="6"/>
      <c r="K305" s="6"/>
    </row>
    <row r="306">
      <c r="A306" s="1">
        <v>44939.0</v>
      </c>
      <c r="B306" s="2" t="s">
        <v>54</v>
      </c>
      <c r="C306" s="2" t="s">
        <v>330</v>
      </c>
      <c r="D306" s="5">
        <v>8.8502E7</v>
      </c>
      <c r="E306" s="5"/>
      <c r="F306" s="6" t="s">
        <v>4</v>
      </c>
      <c r="G306" s="3">
        <v>1.1300889130000114E7</v>
      </c>
      <c r="H306" s="4"/>
      <c r="I306" s="6" t="s">
        <v>11</v>
      </c>
      <c r="J306" s="6"/>
      <c r="K306" s="6"/>
    </row>
    <row r="307">
      <c r="A307" s="1">
        <v>44939.0</v>
      </c>
      <c r="B307" s="2" t="s">
        <v>54</v>
      </c>
      <c r="C307" s="2" t="s">
        <v>331</v>
      </c>
      <c r="D307" s="5">
        <v>3000000.0</v>
      </c>
      <c r="E307" s="5"/>
      <c r="F307" s="6" t="s">
        <v>4</v>
      </c>
      <c r="G307" s="3">
        <v>8300889.130000114</v>
      </c>
      <c r="H307" s="4"/>
      <c r="I307" s="6" t="s">
        <v>58</v>
      </c>
      <c r="J307" s="6"/>
      <c r="K307" s="6"/>
    </row>
    <row r="308">
      <c r="A308" s="1">
        <v>44939.0</v>
      </c>
      <c r="B308" s="2" t="s">
        <v>47</v>
      </c>
      <c r="C308" s="2" t="s">
        <v>332</v>
      </c>
      <c r="D308" s="5"/>
      <c r="E308" s="5">
        <v>1.76E7</v>
      </c>
      <c r="F308" s="6" t="s">
        <v>26</v>
      </c>
      <c r="G308" s="3">
        <v>2.5900889130000114E7</v>
      </c>
      <c r="H308" s="4"/>
      <c r="I308" s="6" t="s">
        <v>11</v>
      </c>
      <c r="J308" s="6"/>
      <c r="K308" s="6"/>
    </row>
    <row r="309">
      <c r="A309" s="1">
        <v>44939.0</v>
      </c>
      <c r="B309" s="2" t="s">
        <v>54</v>
      </c>
      <c r="C309" s="2" t="s">
        <v>333</v>
      </c>
      <c r="D309" s="5">
        <v>1.73958E7</v>
      </c>
      <c r="E309" s="3"/>
      <c r="F309" s="6" t="s">
        <v>4</v>
      </c>
      <c r="G309" s="3">
        <v>8505089.130000114</v>
      </c>
      <c r="H309" s="4"/>
      <c r="I309" s="6" t="s">
        <v>11</v>
      </c>
      <c r="J309" s="6"/>
      <c r="K309" s="6"/>
    </row>
    <row r="310">
      <c r="A310" s="1">
        <v>44939.0</v>
      </c>
      <c r="B310" s="2" t="s">
        <v>54</v>
      </c>
      <c r="C310" s="2" t="s">
        <v>334</v>
      </c>
      <c r="D310" s="5">
        <v>2308200.0</v>
      </c>
      <c r="E310" s="5"/>
      <c r="F310" s="6" t="s">
        <v>4</v>
      </c>
      <c r="G310" s="3">
        <v>6196889.130000114</v>
      </c>
      <c r="H310" s="4"/>
      <c r="I310" s="6" t="s">
        <v>5</v>
      </c>
      <c r="J310" s="6"/>
      <c r="K310" s="6"/>
    </row>
    <row r="311">
      <c r="A311" s="1">
        <v>44939.0</v>
      </c>
      <c r="B311" s="2" t="s">
        <v>54</v>
      </c>
      <c r="C311" s="2" t="s">
        <v>335</v>
      </c>
      <c r="D311" s="5">
        <v>1820600.0</v>
      </c>
      <c r="E311" s="5"/>
      <c r="F311" s="6" t="s">
        <v>4</v>
      </c>
      <c r="G311" s="3">
        <v>4376289.130000114</v>
      </c>
      <c r="H311" s="4"/>
      <c r="I311" s="6" t="s">
        <v>5</v>
      </c>
      <c r="J311" s="6"/>
      <c r="K311" s="6"/>
    </row>
    <row r="312">
      <c r="A312" s="1">
        <v>44939.0</v>
      </c>
      <c r="B312" s="2" t="s">
        <v>54</v>
      </c>
      <c r="C312" s="2" t="s">
        <v>336</v>
      </c>
      <c r="D312" s="5">
        <v>4269700.0</v>
      </c>
      <c r="E312" s="5"/>
      <c r="F312" s="6" t="s">
        <v>4</v>
      </c>
      <c r="G312" s="3">
        <v>106589.13000011444</v>
      </c>
      <c r="H312" s="4"/>
      <c r="I312" s="6" t="s">
        <v>5</v>
      </c>
      <c r="J312" s="6"/>
      <c r="K312" s="6"/>
    </row>
    <row r="313">
      <c r="A313" s="1">
        <v>44939.0</v>
      </c>
      <c r="B313" s="2" t="s">
        <v>47</v>
      </c>
      <c r="C313" s="2" t="s">
        <v>337</v>
      </c>
      <c r="D313" s="5"/>
      <c r="E313" s="5">
        <v>3.6035046E8</v>
      </c>
      <c r="F313" s="6" t="s">
        <v>26</v>
      </c>
      <c r="G313" s="3">
        <v>3.604570491300001E8</v>
      </c>
      <c r="H313" s="4"/>
      <c r="I313" s="6" t="s">
        <v>11</v>
      </c>
      <c r="J313" s="6"/>
      <c r="K313" s="6"/>
    </row>
    <row r="314">
      <c r="A314" s="1">
        <v>44939.0</v>
      </c>
      <c r="B314" s="2" t="s">
        <v>47</v>
      </c>
      <c r="C314" s="2" t="s">
        <v>338</v>
      </c>
      <c r="D314" s="5"/>
      <c r="E314" s="5">
        <v>4.8681E7</v>
      </c>
      <c r="F314" s="6" t="s">
        <v>26</v>
      </c>
      <c r="G314" s="3">
        <v>4.091380491300001E8</v>
      </c>
      <c r="H314" s="4"/>
      <c r="I314" s="6" t="s">
        <v>11</v>
      </c>
      <c r="J314" s="6"/>
      <c r="K314" s="6"/>
    </row>
    <row r="315">
      <c r="A315" s="1">
        <v>44939.0</v>
      </c>
      <c r="B315" s="2" t="s">
        <v>47</v>
      </c>
      <c r="C315" s="2" t="s">
        <v>339</v>
      </c>
      <c r="D315" s="5"/>
      <c r="E315" s="5">
        <v>5.3107E7</v>
      </c>
      <c r="F315" s="6" t="s">
        <v>26</v>
      </c>
      <c r="G315" s="3">
        <v>4.622450491300001E8</v>
      </c>
      <c r="H315" s="4"/>
      <c r="I315" s="6" t="s">
        <v>11</v>
      </c>
      <c r="J315" s="6"/>
      <c r="K315" s="6"/>
    </row>
    <row r="316">
      <c r="A316" s="1">
        <v>44939.0</v>
      </c>
      <c r="B316" s="2" t="s">
        <v>47</v>
      </c>
      <c r="C316" s="2" t="s">
        <v>340</v>
      </c>
      <c r="D316" s="5"/>
      <c r="E316" s="5">
        <v>5.042184E7</v>
      </c>
      <c r="F316" s="6" t="s">
        <v>26</v>
      </c>
      <c r="G316" s="3">
        <v>5.126668891300001E8</v>
      </c>
      <c r="H316" s="4"/>
      <c r="I316" s="6" t="s">
        <v>11</v>
      </c>
      <c r="J316" s="6"/>
      <c r="K316" s="6"/>
    </row>
    <row r="317">
      <c r="A317" s="1">
        <v>44939.0</v>
      </c>
      <c r="B317" s="2" t="s">
        <v>47</v>
      </c>
      <c r="C317" s="2" t="s">
        <v>341</v>
      </c>
      <c r="D317" s="5"/>
      <c r="E317" s="5">
        <v>5.01E7</v>
      </c>
      <c r="F317" s="6" t="s">
        <v>26</v>
      </c>
      <c r="G317" s="3">
        <v>5.627668891300001E8</v>
      </c>
      <c r="H317" s="4"/>
      <c r="I317" s="6" t="s">
        <v>11</v>
      </c>
      <c r="J317" s="6"/>
      <c r="K317" s="6"/>
    </row>
    <row r="318">
      <c r="A318" s="1">
        <v>44939.0</v>
      </c>
      <c r="B318" s="2" t="s">
        <v>54</v>
      </c>
      <c r="C318" s="2" t="s">
        <v>342</v>
      </c>
      <c r="D318" s="5">
        <v>5.775E7</v>
      </c>
      <c r="E318" s="5"/>
      <c r="F318" s="6" t="s">
        <v>4</v>
      </c>
      <c r="G318" s="3">
        <v>5.050168891300001E8</v>
      </c>
      <c r="H318" s="4"/>
      <c r="I318" s="6" t="s">
        <v>11</v>
      </c>
      <c r="J318" s="6"/>
      <c r="K318" s="6"/>
    </row>
    <row r="319">
      <c r="A319" s="1">
        <v>44939.0</v>
      </c>
      <c r="B319" s="2" t="s">
        <v>54</v>
      </c>
      <c r="C319" s="2" t="s">
        <v>343</v>
      </c>
      <c r="D319" s="5">
        <v>2.1393915E8</v>
      </c>
      <c r="E319" s="5"/>
      <c r="F319" s="6" t="s">
        <v>4</v>
      </c>
      <c r="G319" s="3">
        <v>2.910777391300001E8</v>
      </c>
      <c r="H319" s="4"/>
      <c r="I319" s="6" t="s">
        <v>11</v>
      </c>
      <c r="J319" s="6"/>
      <c r="K319" s="6"/>
    </row>
    <row r="320">
      <c r="A320" s="1">
        <v>44939.0</v>
      </c>
      <c r="B320" s="2" t="s">
        <v>54</v>
      </c>
      <c r="C320" s="2" t="s">
        <v>344</v>
      </c>
      <c r="D320" s="5">
        <v>4.95805E7</v>
      </c>
      <c r="E320" s="5"/>
      <c r="F320" s="6" t="s">
        <v>4</v>
      </c>
      <c r="G320" s="3">
        <v>2.414972391300001E8</v>
      </c>
      <c r="H320" s="4"/>
      <c r="I320" s="6" t="s">
        <v>11</v>
      </c>
      <c r="J320" s="6"/>
      <c r="K320" s="6"/>
    </row>
    <row r="321">
      <c r="A321" s="1">
        <v>44939.0</v>
      </c>
      <c r="B321" s="2" t="s">
        <v>54</v>
      </c>
      <c r="C321" s="2" t="s">
        <v>345</v>
      </c>
      <c r="D321" s="5">
        <v>4.018465E7</v>
      </c>
      <c r="E321" s="5"/>
      <c r="F321" s="6" t="s">
        <v>4</v>
      </c>
      <c r="G321" s="3">
        <v>2.013125891300001E8</v>
      </c>
      <c r="H321" s="4"/>
      <c r="I321" s="6" t="s">
        <v>11</v>
      </c>
      <c r="J321" s="6"/>
      <c r="K321" s="6"/>
    </row>
    <row r="322">
      <c r="A322" s="1">
        <v>44939.0</v>
      </c>
      <c r="B322" s="2" t="s">
        <v>54</v>
      </c>
      <c r="C322" s="2" t="s">
        <v>346</v>
      </c>
      <c r="D322" s="5">
        <v>1.1E7</v>
      </c>
      <c r="E322" s="5"/>
      <c r="F322" s="6" t="s">
        <v>4</v>
      </c>
      <c r="G322" s="3">
        <v>1.903125891300001E8</v>
      </c>
      <c r="H322" s="4"/>
      <c r="I322" s="6" t="s">
        <v>11</v>
      </c>
      <c r="J322" s="6"/>
      <c r="K322" s="6"/>
    </row>
    <row r="323">
      <c r="A323" s="1">
        <v>44939.0</v>
      </c>
      <c r="B323" s="2" t="s">
        <v>54</v>
      </c>
      <c r="C323" s="2" t="s">
        <v>347</v>
      </c>
      <c r="D323" s="5">
        <v>4.57E7</v>
      </c>
      <c r="E323" s="5"/>
      <c r="F323" s="6" t="s">
        <v>4</v>
      </c>
      <c r="G323" s="3">
        <v>1.446125891300001E8</v>
      </c>
      <c r="H323" s="4"/>
      <c r="I323" s="6" t="s">
        <v>11</v>
      </c>
      <c r="J323" s="6"/>
      <c r="K323" s="6"/>
    </row>
    <row r="324">
      <c r="A324" s="1">
        <v>44939.0</v>
      </c>
      <c r="B324" s="2" t="s">
        <v>54</v>
      </c>
      <c r="C324" s="2" t="s">
        <v>348</v>
      </c>
      <c r="D324" s="5">
        <v>5000000.0</v>
      </c>
      <c r="E324" s="5"/>
      <c r="F324" s="6" t="s">
        <v>4</v>
      </c>
      <c r="G324" s="3">
        <v>1.396125891300001E8</v>
      </c>
      <c r="H324" s="4"/>
      <c r="I324" s="6" t="s">
        <v>11</v>
      </c>
      <c r="J324" s="6"/>
      <c r="K324" s="6"/>
    </row>
    <row r="325">
      <c r="A325" s="1">
        <v>44939.0</v>
      </c>
      <c r="B325" s="2" t="s">
        <v>54</v>
      </c>
      <c r="C325" s="2" t="s">
        <v>349</v>
      </c>
      <c r="D325" s="5">
        <v>1000000.0</v>
      </c>
      <c r="E325" s="5"/>
      <c r="F325" s="6" t="s">
        <v>4</v>
      </c>
      <c r="G325" s="3">
        <v>1.386125891300001E8</v>
      </c>
      <c r="H325" s="4"/>
      <c r="I325" s="6" t="s">
        <v>5</v>
      </c>
      <c r="J325" s="6"/>
      <c r="K325" s="6"/>
    </row>
    <row r="326">
      <c r="A326" s="1">
        <v>44940.0</v>
      </c>
      <c r="B326" s="2" t="s">
        <v>350</v>
      </c>
      <c r="C326" s="2" t="s">
        <v>351</v>
      </c>
      <c r="D326" s="5">
        <v>1.05759E7</v>
      </c>
      <c r="E326" s="5"/>
      <c r="F326" s="6" t="s">
        <v>4</v>
      </c>
      <c r="G326" s="3">
        <v>1.2803668913000011E8</v>
      </c>
      <c r="H326" s="4"/>
      <c r="I326" s="6" t="s">
        <v>5</v>
      </c>
      <c r="J326" s="6"/>
      <c r="K326" s="6"/>
    </row>
    <row r="327">
      <c r="A327" s="1">
        <v>44940.0</v>
      </c>
      <c r="B327" s="2" t="s">
        <v>350</v>
      </c>
      <c r="C327" s="2" t="s">
        <v>352</v>
      </c>
      <c r="D327" s="5">
        <v>4645640.0</v>
      </c>
      <c r="E327" s="5"/>
      <c r="F327" s="6" t="s">
        <v>4</v>
      </c>
      <c r="G327" s="3">
        <v>1.2339104913000011E8</v>
      </c>
      <c r="H327" s="4"/>
      <c r="I327" s="6" t="s">
        <v>5</v>
      </c>
      <c r="J327" s="6"/>
      <c r="K327" s="6"/>
    </row>
    <row r="328">
      <c r="A328" s="1">
        <v>44940.0</v>
      </c>
      <c r="B328" s="2" t="s">
        <v>353</v>
      </c>
      <c r="C328" s="2" t="s">
        <v>354</v>
      </c>
      <c r="D328" s="5"/>
      <c r="E328" s="5">
        <v>8.0E7</v>
      </c>
      <c r="F328" s="6" t="s">
        <v>26</v>
      </c>
      <c r="G328" s="3">
        <v>2.033910491300001E8</v>
      </c>
      <c r="H328" s="4"/>
      <c r="I328" s="6" t="s">
        <v>11</v>
      </c>
      <c r="J328" s="6"/>
      <c r="K328" s="6"/>
    </row>
    <row r="329">
      <c r="A329" s="1">
        <v>44940.0</v>
      </c>
      <c r="B329" s="2" t="s">
        <v>355</v>
      </c>
      <c r="C329" s="2" t="s">
        <v>355</v>
      </c>
      <c r="D329" s="5">
        <v>200000.0</v>
      </c>
      <c r="E329" s="5"/>
      <c r="F329" s="4"/>
      <c r="G329" s="3">
        <v>2.031910491300001E8</v>
      </c>
      <c r="H329" s="4"/>
      <c r="I329" s="6" t="s">
        <v>1</v>
      </c>
      <c r="J329" s="6"/>
      <c r="K329" s="6"/>
    </row>
    <row r="330">
      <c r="A330" s="1">
        <v>44940.0</v>
      </c>
      <c r="B330" s="2" t="s">
        <v>353</v>
      </c>
      <c r="C330" s="2" t="s">
        <v>356</v>
      </c>
      <c r="D330" s="5"/>
      <c r="E330" s="5">
        <v>3.926E7</v>
      </c>
      <c r="F330" s="6" t="s">
        <v>26</v>
      </c>
      <c r="G330" s="3">
        <v>2.424510491300001E8</v>
      </c>
      <c r="H330" s="4"/>
      <c r="I330" s="6" t="s">
        <v>11</v>
      </c>
      <c r="J330" s="6"/>
      <c r="K330" s="6"/>
    </row>
    <row r="331">
      <c r="A331" s="1">
        <v>44940.0</v>
      </c>
      <c r="B331" s="2" t="s">
        <v>353</v>
      </c>
      <c r="C331" s="2" t="s">
        <v>357</v>
      </c>
      <c r="D331" s="5"/>
      <c r="E331" s="5">
        <v>1.0749346E8</v>
      </c>
      <c r="F331" s="6" t="s">
        <v>26</v>
      </c>
      <c r="G331" s="3">
        <v>3.499445091300001E8</v>
      </c>
      <c r="H331" s="4"/>
      <c r="I331" s="6" t="s">
        <v>11</v>
      </c>
      <c r="J331" s="6"/>
      <c r="K331" s="6"/>
    </row>
    <row r="332">
      <c r="A332" s="1">
        <v>44940.0</v>
      </c>
      <c r="B332" s="2" t="s">
        <v>54</v>
      </c>
      <c r="C332" s="2" t="s">
        <v>358</v>
      </c>
      <c r="D332" s="5">
        <v>1.1341465E8</v>
      </c>
      <c r="E332" s="5"/>
      <c r="F332" s="6" t="s">
        <v>4</v>
      </c>
      <c r="G332" s="3">
        <v>2.365298591300001E8</v>
      </c>
      <c r="H332" s="4"/>
      <c r="I332" s="6" t="s">
        <v>11</v>
      </c>
      <c r="J332" s="6"/>
      <c r="K332" s="6"/>
    </row>
    <row r="333">
      <c r="A333" s="1">
        <v>44940.0</v>
      </c>
      <c r="B333" s="2" t="s">
        <v>54</v>
      </c>
      <c r="C333" s="2" t="s">
        <v>359</v>
      </c>
      <c r="D333" s="5">
        <v>9.6E7</v>
      </c>
      <c r="E333" s="5"/>
      <c r="F333" s="6" t="s">
        <v>4</v>
      </c>
      <c r="G333" s="3">
        <v>1.405298591300001E8</v>
      </c>
      <c r="H333" s="4"/>
      <c r="I333" s="6" t="s">
        <v>11</v>
      </c>
      <c r="J333" s="6"/>
      <c r="K333" s="6"/>
    </row>
    <row r="334">
      <c r="A334" s="1">
        <v>44940.0</v>
      </c>
      <c r="B334" s="2" t="s">
        <v>54</v>
      </c>
      <c r="C334" s="2" t="s">
        <v>360</v>
      </c>
      <c r="D334" s="5">
        <v>4.676E7</v>
      </c>
      <c r="E334" s="5"/>
      <c r="F334" s="6" t="s">
        <v>4</v>
      </c>
      <c r="G334" s="3">
        <v>9.376985913000011E7</v>
      </c>
      <c r="H334" s="4"/>
      <c r="I334" s="6" t="s">
        <v>11</v>
      </c>
      <c r="J334" s="6"/>
      <c r="K334" s="6"/>
    </row>
    <row r="335">
      <c r="A335" s="1">
        <v>44940.0</v>
      </c>
      <c r="B335" s="2" t="s">
        <v>54</v>
      </c>
      <c r="C335" s="2" t="s">
        <v>361</v>
      </c>
      <c r="D335" s="5">
        <v>4.49293E7</v>
      </c>
      <c r="E335" s="3"/>
      <c r="F335" s="6" t="s">
        <v>4</v>
      </c>
      <c r="G335" s="3">
        <v>4.8840559130000114E7</v>
      </c>
      <c r="H335" s="4"/>
      <c r="I335" s="6" t="s">
        <v>11</v>
      </c>
      <c r="J335" s="6"/>
      <c r="K335" s="6"/>
    </row>
    <row r="336">
      <c r="A336" s="1">
        <v>44940.0</v>
      </c>
      <c r="B336" s="2" t="s">
        <v>355</v>
      </c>
      <c r="C336" s="2" t="s">
        <v>355</v>
      </c>
      <c r="D336" s="5">
        <v>400000.0</v>
      </c>
      <c r="E336" s="5"/>
      <c r="F336" s="4"/>
      <c r="G336" s="3">
        <v>4.8440559130000114E7</v>
      </c>
      <c r="H336" s="4"/>
      <c r="I336" s="6" t="s">
        <v>1</v>
      </c>
      <c r="J336" s="6"/>
      <c r="K336" s="6"/>
    </row>
    <row r="337">
      <c r="A337" s="1">
        <v>44940.0</v>
      </c>
      <c r="B337" s="2" t="s">
        <v>47</v>
      </c>
      <c r="C337" s="2" t="s">
        <v>362</v>
      </c>
      <c r="D337" s="5"/>
      <c r="E337" s="5">
        <v>2.4851363E8</v>
      </c>
      <c r="F337" s="6" t="s">
        <v>26</v>
      </c>
      <c r="G337" s="3">
        <v>2.969541891300001E8</v>
      </c>
      <c r="H337" s="4"/>
      <c r="I337" s="6" t="s">
        <v>11</v>
      </c>
      <c r="J337" s="6"/>
      <c r="K337" s="6"/>
    </row>
    <row r="338">
      <c r="A338" s="1">
        <v>44940.0</v>
      </c>
      <c r="B338" s="2" t="s">
        <v>47</v>
      </c>
      <c r="C338" s="2" t="s">
        <v>363</v>
      </c>
      <c r="D338" s="5"/>
      <c r="E338" s="5">
        <v>3.419682E7</v>
      </c>
      <c r="F338" s="6" t="s">
        <v>26</v>
      </c>
      <c r="G338" s="3">
        <v>3.311510091300001E8</v>
      </c>
      <c r="H338" s="4"/>
      <c r="I338" s="6" t="s">
        <v>11</v>
      </c>
      <c r="J338" s="6"/>
      <c r="K338" s="6"/>
    </row>
    <row r="339">
      <c r="A339" s="1">
        <v>44940.0</v>
      </c>
      <c r="B339" s="2" t="s">
        <v>47</v>
      </c>
      <c r="C339" s="2" t="s">
        <v>364</v>
      </c>
      <c r="D339" s="5"/>
      <c r="E339" s="5">
        <v>1.54406E8</v>
      </c>
      <c r="F339" s="6" t="s">
        <v>26</v>
      </c>
      <c r="G339" s="3">
        <v>4.855570091300001E8</v>
      </c>
      <c r="H339" s="4"/>
      <c r="I339" s="6" t="s">
        <v>11</v>
      </c>
      <c r="J339" s="6"/>
      <c r="K339" s="6"/>
    </row>
    <row r="340">
      <c r="A340" s="1">
        <v>44940.0</v>
      </c>
      <c r="B340" s="2" t="s">
        <v>47</v>
      </c>
      <c r="C340" s="2" t="s">
        <v>365</v>
      </c>
      <c r="D340" s="5"/>
      <c r="E340" s="5">
        <v>5.976E7</v>
      </c>
      <c r="F340" s="6" t="s">
        <v>26</v>
      </c>
      <c r="G340" s="3">
        <v>5.453170091300001E8</v>
      </c>
      <c r="H340" s="4"/>
      <c r="I340" s="6" t="s">
        <v>11</v>
      </c>
      <c r="J340" s="6"/>
      <c r="K340" s="6"/>
    </row>
    <row r="341">
      <c r="A341" s="1">
        <v>44940.0</v>
      </c>
      <c r="B341" s="2" t="s">
        <v>47</v>
      </c>
      <c r="C341" s="2" t="s">
        <v>366</v>
      </c>
      <c r="D341" s="5"/>
      <c r="E341" s="5">
        <v>5.959084E7</v>
      </c>
      <c r="F341" s="6" t="s">
        <v>26</v>
      </c>
      <c r="G341" s="3">
        <v>6.049078491300001E8</v>
      </c>
      <c r="H341" s="4"/>
      <c r="I341" s="6" t="s">
        <v>11</v>
      </c>
      <c r="J341" s="6"/>
      <c r="K341" s="6"/>
    </row>
    <row r="342">
      <c r="A342" s="1">
        <v>44940.0</v>
      </c>
      <c r="B342" s="2" t="s">
        <v>47</v>
      </c>
      <c r="C342" s="2" t="s">
        <v>367</v>
      </c>
      <c r="D342" s="5"/>
      <c r="E342" s="5">
        <v>5.551098E7</v>
      </c>
      <c r="F342" s="6" t="s">
        <v>26</v>
      </c>
      <c r="G342" s="3">
        <v>6.604188291300001E8</v>
      </c>
      <c r="H342" s="4"/>
      <c r="I342" s="6" t="s">
        <v>11</v>
      </c>
      <c r="J342" s="6"/>
      <c r="K342" s="6"/>
    </row>
    <row r="343">
      <c r="A343" s="1">
        <v>44940.0</v>
      </c>
      <c r="B343" s="2" t="s">
        <v>54</v>
      </c>
      <c r="C343" s="2" t="s">
        <v>368</v>
      </c>
      <c r="D343" s="5">
        <v>275550.0</v>
      </c>
      <c r="E343" s="5"/>
      <c r="F343" s="6" t="s">
        <v>4</v>
      </c>
      <c r="G343" s="3">
        <v>6.601432791300001E8</v>
      </c>
      <c r="H343" s="4"/>
      <c r="I343" s="6" t="s">
        <v>11</v>
      </c>
      <c r="J343" s="6"/>
      <c r="K343" s="6"/>
    </row>
    <row r="344">
      <c r="A344" s="1">
        <v>44940.0</v>
      </c>
      <c r="B344" s="2" t="s">
        <v>50</v>
      </c>
      <c r="C344" s="2" t="s">
        <v>369</v>
      </c>
      <c r="D344" s="5">
        <v>3200000.0</v>
      </c>
      <c r="E344" s="5"/>
      <c r="F344" s="6" t="s">
        <v>4</v>
      </c>
      <c r="G344" s="3">
        <v>6.569432791300001E8</v>
      </c>
      <c r="H344" s="4"/>
      <c r="I344" s="6" t="s">
        <v>11</v>
      </c>
      <c r="J344" s="6"/>
      <c r="K344" s="6"/>
    </row>
    <row r="345">
      <c r="A345" s="1">
        <v>44940.0</v>
      </c>
      <c r="B345" s="2" t="s">
        <v>50</v>
      </c>
      <c r="C345" s="2" t="s">
        <v>370</v>
      </c>
      <c r="D345" s="5">
        <v>2500.0</v>
      </c>
      <c r="E345" s="5"/>
      <c r="F345" s="6" t="s">
        <v>4</v>
      </c>
      <c r="G345" s="3">
        <v>6.569407791300001E8</v>
      </c>
      <c r="H345" s="6">
        <v>6.5694077913E8</v>
      </c>
      <c r="I345" s="6" t="s">
        <v>8</v>
      </c>
      <c r="J345" s="6"/>
      <c r="K345" s="6"/>
    </row>
    <row r="346">
      <c r="A346" s="1">
        <v>44940.0</v>
      </c>
      <c r="B346" s="2" t="s">
        <v>54</v>
      </c>
      <c r="C346" s="2" t="s">
        <v>371</v>
      </c>
      <c r="D346" s="5">
        <v>2000000.0</v>
      </c>
      <c r="E346" s="5"/>
      <c r="F346" s="6" t="s">
        <v>4</v>
      </c>
      <c r="G346" s="3">
        <v>6.549407791300001E8</v>
      </c>
      <c r="H346" s="4"/>
      <c r="I346" s="6" t="s">
        <v>180</v>
      </c>
      <c r="J346" s="6"/>
      <c r="K346" s="6"/>
    </row>
    <row r="347">
      <c r="A347" s="1">
        <v>44940.0</v>
      </c>
      <c r="B347" s="2" t="s">
        <v>372</v>
      </c>
      <c r="C347" s="2" t="s">
        <v>373</v>
      </c>
      <c r="D347" s="3"/>
      <c r="E347" s="5">
        <v>2550000.0</v>
      </c>
      <c r="F347" s="4"/>
      <c r="G347" s="3">
        <v>6.574907791300001E8</v>
      </c>
      <c r="H347" s="4"/>
      <c r="I347" s="6" t="s">
        <v>11</v>
      </c>
      <c r="J347" s="6"/>
      <c r="K347" s="6"/>
    </row>
    <row r="348">
      <c r="A348" s="1">
        <v>44940.0</v>
      </c>
      <c r="B348" s="2" t="s">
        <v>372</v>
      </c>
      <c r="C348" s="2" t="s">
        <v>373</v>
      </c>
      <c r="D348" s="3"/>
      <c r="E348" s="5">
        <v>750000.0</v>
      </c>
      <c r="F348" s="4"/>
      <c r="G348" s="3">
        <v>6.582407791300001E8</v>
      </c>
      <c r="H348" s="4"/>
      <c r="I348" s="6" t="s">
        <v>11</v>
      </c>
      <c r="J348" s="6"/>
      <c r="K348" s="6"/>
    </row>
    <row r="349">
      <c r="A349" s="1">
        <v>44940.0</v>
      </c>
      <c r="B349" s="2" t="s">
        <v>54</v>
      </c>
      <c r="C349" s="2" t="s">
        <v>374</v>
      </c>
      <c r="D349" s="5">
        <v>4.57104E7</v>
      </c>
      <c r="E349" s="5"/>
      <c r="F349" s="6" t="s">
        <v>4</v>
      </c>
      <c r="G349" s="3">
        <v>6.125303791300001E8</v>
      </c>
      <c r="H349" s="4"/>
      <c r="I349" s="6" t="s">
        <v>11</v>
      </c>
      <c r="J349" s="6"/>
      <c r="K349" s="6"/>
    </row>
    <row r="350">
      <c r="A350" s="1">
        <v>44940.0</v>
      </c>
      <c r="B350" s="2" t="s">
        <v>54</v>
      </c>
      <c r="C350" s="2" t="s">
        <v>375</v>
      </c>
      <c r="D350" s="5">
        <v>285690.0</v>
      </c>
      <c r="E350" s="5"/>
      <c r="F350" s="6" t="s">
        <v>4</v>
      </c>
      <c r="G350" s="3">
        <v>6.122446891300001E8</v>
      </c>
      <c r="H350" s="4"/>
      <c r="I350" s="6" t="s">
        <v>58</v>
      </c>
      <c r="J350" s="6"/>
      <c r="K350" s="6"/>
    </row>
    <row r="351">
      <c r="A351" s="1">
        <v>44940.0</v>
      </c>
      <c r="B351" s="2" t="s">
        <v>47</v>
      </c>
      <c r="C351" s="2" t="s">
        <v>376</v>
      </c>
      <c r="D351" s="5"/>
      <c r="E351" s="5">
        <v>1.645E7</v>
      </c>
      <c r="F351" s="6" t="s">
        <v>26</v>
      </c>
      <c r="G351" s="3">
        <v>6.286946891300001E8</v>
      </c>
      <c r="H351" s="4"/>
      <c r="I351" s="6" t="s">
        <v>11</v>
      </c>
      <c r="J351" s="6"/>
      <c r="K351" s="6"/>
    </row>
    <row r="352">
      <c r="A352" s="1">
        <v>44940.0</v>
      </c>
      <c r="B352" s="2" t="s">
        <v>54</v>
      </c>
      <c r="C352" s="2" t="s">
        <v>377</v>
      </c>
      <c r="D352" s="5">
        <v>9.8373E7</v>
      </c>
      <c r="E352" s="5"/>
      <c r="F352" s="6" t="s">
        <v>4</v>
      </c>
      <c r="G352" s="3">
        <v>5.303216891300001E8</v>
      </c>
      <c r="H352" s="4"/>
      <c r="I352" s="6" t="s">
        <v>11</v>
      </c>
      <c r="J352" s="6"/>
      <c r="K352" s="6"/>
    </row>
    <row r="353">
      <c r="A353" s="1">
        <v>44940.0</v>
      </c>
      <c r="B353" s="2" t="s">
        <v>54</v>
      </c>
      <c r="C353" s="2" t="s">
        <v>378</v>
      </c>
      <c r="D353" s="5">
        <v>4.820725E7</v>
      </c>
      <c r="E353" s="5"/>
      <c r="F353" s="6" t="s">
        <v>4</v>
      </c>
      <c r="G353" s="3">
        <v>4.821144391300001E8</v>
      </c>
      <c r="H353" s="4"/>
      <c r="I353" s="6" t="s">
        <v>11</v>
      </c>
      <c r="J353" s="6"/>
      <c r="K353" s="6"/>
    </row>
    <row r="354">
      <c r="A354" s="1">
        <v>44940.0</v>
      </c>
      <c r="B354" s="2" t="s">
        <v>54</v>
      </c>
      <c r="C354" s="2" t="s">
        <v>379</v>
      </c>
      <c r="D354" s="5">
        <v>5.1E7</v>
      </c>
      <c r="E354" s="5"/>
      <c r="F354" s="6" t="s">
        <v>4</v>
      </c>
      <c r="G354" s="3">
        <v>4.311144391300001E8</v>
      </c>
      <c r="H354" s="4"/>
      <c r="I354" s="6" t="s">
        <v>11</v>
      </c>
      <c r="J354" s="6"/>
      <c r="K354" s="6"/>
    </row>
    <row r="355">
      <c r="A355" s="1">
        <v>44940.0</v>
      </c>
      <c r="B355" s="2" t="s">
        <v>54</v>
      </c>
      <c r="C355" s="2" t="s">
        <v>380</v>
      </c>
      <c r="D355" s="5">
        <v>2.39244E8</v>
      </c>
      <c r="E355" s="5"/>
      <c r="F355" s="6" t="s">
        <v>4</v>
      </c>
      <c r="G355" s="3">
        <v>1.918704391300001E8</v>
      </c>
      <c r="H355" s="4"/>
      <c r="I355" s="6" t="s">
        <v>11</v>
      </c>
      <c r="J355" s="6"/>
      <c r="K355" s="6"/>
    </row>
    <row r="356">
      <c r="A356" s="1">
        <v>44940.0</v>
      </c>
      <c r="B356" s="2" t="s">
        <v>54</v>
      </c>
      <c r="C356" s="2" t="s">
        <v>381</v>
      </c>
      <c r="D356" s="5">
        <v>4099250.0</v>
      </c>
      <c r="E356" s="5"/>
      <c r="F356" s="6" t="s">
        <v>4</v>
      </c>
      <c r="G356" s="3">
        <v>1.877711891300001E8</v>
      </c>
      <c r="H356" s="6">
        <v>1.8777118913E8</v>
      </c>
      <c r="I356" s="6" t="s">
        <v>58</v>
      </c>
      <c r="J356" s="6"/>
      <c r="K356" s="6"/>
    </row>
    <row r="357">
      <c r="A357" s="1">
        <v>44941.0</v>
      </c>
      <c r="B357" s="2" t="s">
        <v>382</v>
      </c>
      <c r="C357" s="2" t="s">
        <v>383</v>
      </c>
      <c r="D357" s="5">
        <v>1225240.0</v>
      </c>
      <c r="E357" s="5"/>
      <c r="F357" s="6" t="s">
        <v>4</v>
      </c>
      <c r="G357" s="3">
        <v>1.865459491300001E8</v>
      </c>
      <c r="H357" s="4"/>
      <c r="I357" s="6" t="s">
        <v>5</v>
      </c>
      <c r="J357" s="6"/>
      <c r="K357" s="6"/>
    </row>
    <row r="358">
      <c r="A358" s="1">
        <v>44941.0</v>
      </c>
      <c r="B358" s="2" t="s">
        <v>54</v>
      </c>
      <c r="C358" s="2" t="s">
        <v>384</v>
      </c>
      <c r="D358" s="5">
        <v>9.20934E7</v>
      </c>
      <c r="E358" s="5"/>
      <c r="F358" s="6" t="s">
        <v>4</v>
      </c>
      <c r="G358" s="3">
        <v>9.445254913000011E7</v>
      </c>
      <c r="H358" s="6">
        <v>9.445254913E7</v>
      </c>
      <c r="I358" s="6" t="s">
        <v>11</v>
      </c>
      <c r="J358" s="6"/>
      <c r="K358" s="6"/>
    </row>
    <row r="359">
      <c r="A359" s="1">
        <v>44941.0</v>
      </c>
      <c r="B359" s="2" t="s">
        <v>54</v>
      </c>
      <c r="C359" s="2" t="s">
        <v>385</v>
      </c>
      <c r="D359" s="5">
        <v>4.27584E7</v>
      </c>
      <c r="E359" s="5"/>
      <c r="F359" s="6" t="s">
        <v>4</v>
      </c>
      <c r="G359" s="3">
        <v>5.1694149130000114E7</v>
      </c>
      <c r="H359" s="4"/>
      <c r="I359" s="6" t="s">
        <v>11</v>
      </c>
      <c r="J359" s="6"/>
      <c r="K359" s="6"/>
    </row>
    <row r="360">
      <c r="A360" s="1">
        <v>44941.0</v>
      </c>
      <c r="B360" s="2" t="s">
        <v>54</v>
      </c>
      <c r="C360" s="2" t="s">
        <v>386</v>
      </c>
      <c r="D360" s="5">
        <v>4.65E7</v>
      </c>
      <c r="E360" s="5"/>
      <c r="F360" s="6" t="s">
        <v>4</v>
      </c>
      <c r="G360" s="3">
        <v>5194149.130000114</v>
      </c>
      <c r="H360" s="4"/>
      <c r="I360" s="6" t="s">
        <v>11</v>
      </c>
      <c r="J360" s="6"/>
      <c r="K360" s="6"/>
    </row>
    <row r="361">
      <c r="A361" s="1">
        <v>44941.0</v>
      </c>
      <c r="B361" s="2" t="s">
        <v>54</v>
      </c>
      <c r="C361" s="2" t="s">
        <v>387</v>
      </c>
      <c r="D361" s="5">
        <v>1800000.0</v>
      </c>
      <c r="E361" s="5"/>
      <c r="F361" s="6" t="s">
        <v>4</v>
      </c>
      <c r="G361" s="3">
        <v>3394149.1300001144</v>
      </c>
      <c r="H361" s="4"/>
      <c r="I361" s="6" t="s">
        <v>5</v>
      </c>
      <c r="J361" s="6"/>
      <c r="K361" s="6"/>
    </row>
    <row r="362">
      <c r="A362" s="1">
        <v>44941.0</v>
      </c>
      <c r="B362" s="2" t="s">
        <v>54</v>
      </c>
      <c r="C362" s="2" t="s">
        <v>388</v>
      </c>
      <c r="D362" s="5">
        <v>3050400.0</v>
      </c>
      <c r="E362" s="3"/>
      <c r="F362" s="6" t="s">
        <v>4</v>
      </c>
      <c r="G362" s="3">
        <v>343749.13000011444</v>
      </c>
      <c r="H362" s="4"/>
      <c r="I362" s="6" t="s">
        <v>5</v>
      </c>
      <c r="J362" s="6"/>
      <c r="K362" s="6"/>
    </row>
    <row r="363">
      <c r="A363" s="1">
        <v>44941.0</v>
      </c>
      <c r="B363" s="2" t="s">
        <v>47</v>
      </c>
      <c r="C363" s="2" t="s">
        <v>389</v>
      </c>
      <c r="D363" s="5"/>
      <c r="E363" s="5">
        <v>1.074491E8</v>
      </c>
      <c r="F363" s="6" t="s">
        <v>26</v>
      </c>
      <c r="G363" s="3">
        <v>1.0779284913000011E8</v>
      </c>
      <c r="H363" s="4"/>
      <c r="I363" s="6" t="s">
        <v>11</v>
      </c>
      <c r="J363" s="6"/>
      <c r="K363" s="6"/>
    </row>
    <row r="364">
      <c r="A364" s="1">
        <v>44941.0</v>
      </c>
      <c r="B364" s="2" t="s">
        <v>47</v>
      </c>
      <c r="C364" s="2" t="s">
        <v>390</v>
      </c>
      <c r="D364" s="5"/>
      <c r="E364" s="5">
        <v>793500.0</v>
      </c>
      <c r="F364" s="6" t="s">
        <v>26</v>
      </c>
      <c r="G364" s="3">
        <v>1.0858634913000011E8</v>
      </c>
      <c r="H364" s="4"/>
      <c r="I364" s="6" t="s">
        <v>11</v>
      </c>
      <c r="J364" s="6"/>
      <c r="K364" s="6"/>
    </row>
    <row r="365">
      <c r="A365" s="1">
        <v>44941.0</v>
      </c>
      <c r="B365" s="2" t="s">
        <v>54</v>
      </c>
      <c r="C365" s="2" t="s">
        <v>391</v>
      </c>
      <c r="D365" s="5">
        <v>3.0E7</v>
      </c>
      <c r="E365" s="5"/>
      <c r="F365" s="6" t="s">
        <v>4</v>
      </c>
      <c r="G365" s="3">
        <v>7.858634913000011E7</v>
      </c>
      <c r="H365" s="4"/>
      <c r="I365" s="6" t="s">
        <v>11</v>
      </c>
      <c r="J365" s="6"/>
      <c r="K365" s="6"/>
    </row>
    <row r="366">
      <c r="A366" s="1">
        <v>44942.0</v>
      </c>
      <c r="B366" s="2" t="s">
        <v>392</v>
      </c>
      <c r="C366" s="2" t="s">
        <v>393</v>
      </c>
      <c r="D366" s="5"/>
      <c r="E366" s="5">
        <v>1.6E8</v>
      </c>
      <c r="F366" s="6" t="s">
        <v>26</v>
      </c>
      <c r="G366" s="3">
        <v>2.385863491300001E8</v>
      </c>
      <c r="H366" s="4"/>
      <c r="I366" s="6" t="s">
        <v>11</v>
      </c>
      <c r="J366" s="6"/>
      <c r="K366" s="6"/>
    </row>
    <row r="367">
      <c r="A367" s="1">
        <v>44942.0</v>
      </c>
      <c r="B367" s="2" t="s">
        <v>394</v>
      </c>
      <c r="C367" s="2" t="s">
        <v>395</v>
      </c>
      <c r="D367" s="5">
        <v>1.5358952E8</v>
      </c>
      <c r="E367" s="5"/>
      <c r="F367" s="6" t="s">
        <v>4</v>
      </c>
      <c r="G367" s="3">
        <v>8.499682913000011E7</v>
      </c>
      <c r="H367" s="4"/>
      <c r="I367" s="6" t="s">
        <v>11</v>
      </c>
      <c r="J367" s="6"/>
      <c r="K367" s="6"/>
    </row>
    <row r="368">
      <c r="A368" s="1">
        <v>44942.0</v>
      </c>
      <c r="B368" s="2" t="s">
        <v>396</v>
      </c>
      <c r="C368" s="2" t="s">
        <v>396</v>
      </c>
      <c r="D368" s="5">
        <v>100000.0</v>
      </c>
      <c r="E368" s="5"/>
      <c r="F368" s="4"/>
      <c r="G368" s="3">
        <v>8.489682913000011E7</v>
      </c>
      <c r="H368" s="4"/>
      <c r="I368" s="6" t="s">
        <v>1</v>
      </c>
      <c r="J368" s="6"/>
      <c r="K368" s="6"/>
    </row>
    <row r="369">
      <c r="A369" s="1">
        <v>44942.0</v>
      </c>
      <c r="B369" s="2" t="s">
        <v>54</v>
      </c>
      <c r="C369" s="2" t="s">
        <v>397</v>
      </c>
      <c r="D369" s="5">
        <v>8.09522E7</v>
      </c>
      <c r="E369" s="5"/>
      <c r="F369" s="6" t="s">
        <v>4</v>
      </c>
      <c r="G369" s="3">
        <v>3944629.1300001144</v>
      </c>
      <c r="H369" s="4"/>
      <c r="I369" s="6" t="s">
        <v>11</v>
      </c>
      <c r="J369" s="6"/>
      <c r="K369" s="6"/>
    </row>
    <row r="370">
      <c r="A370" s="1">
        <v>44942.0</v>
      </c>
      <c r="B370" s="2" t="s">
        <v>396</v>
      </c>
      <c r="C370" s="2" t="s">
        <v>396</v>
      </c>
      <c r="D370" s="5">
        <v>200000.0</v>
      </c>
      <c r="E370" s="5"/>
      <c r="F370" s="4"/>
      <c r="G370" s="3">
        <v>3744629.1300001144</v>
      </c>
      <c r="H370" s="4"/>
      <c r="I370" s="6" t="s">
        <v>1</v>
      </c>
      <c r="J370" s="6"/>
      <c r="K370" s="6"/>
    </row>
    <row r="371">
      <c r="A371" s="1">
        <v>44942.0</v>
      </c>
      <c r="B371" s="2" t="s">
        <v>47</v>
      </c>
      <c r="C371" s="2" t="s">
        <v>398</v>
      </c>
      <c r="D371" s="5"/>
      <c r="E371" s="5">
        <v>1.11219046E8</v>
      </c>
      <c r="F371" s="6" t="s">
        <v>26</v>
      </c>
      <c r="G371" s="3">
        <v>1.1496367513000011E8</v>
      </c>
      <c r="H371" s="4"/>
      <c r="I371" s="6" t="s">
        <v>11</v>
      </c>
      <c r="J371" s="6"/>
      <c r="K371" s="6"/>
    </row>
    <row r="372">
      <c r="A372" s="1">
        <v>44942.0</v>
      </c>
      <c r="B372" s="2" t="s">
        <v>47</v>
      </c>
      <c r="C372" s="2" t="s">
        <v>399</v>
      </c>
      <c r="D372" s="5"/>
      <c r="E372" s="5">
        <v>4.98E7</v>
      </c>
      <c r="F372" s="6" t="s">
        <v>26</v>
      </c>
      <c r="G372" s="3">
        <v>1.647636751300001E8</v>
      </c>
      <c r="H372" s="4"/>
      <c r="I372" s="6" t="s">
        <v>11</v>
      </c>
      <c r="J372" s="6"/>
      <c r="K372" s="6"/>
    </row>
    <row r="373">
      <c r="A373" s="1">
        <v>44942.0</v>
      </c>
      <c r="B373" s="2" t="s">
        <v>47</v>
      </c>
      <c r="C373" s="2" t="s">
        <v>400</v>
      </c>
      <c r="D373" s="5"/>
      <c r="E373" s="5">
        <v>4.92E7</v>
      </c>
      <c r="F373" s="6" t="s">
        <v>26</v>
      </c>
      <c r="G373" s="3">
        <v>2.139636751300001E8</v>
      </c>
      <c r="H373" s="4"/>
      <c r="I373" s="6" t="s">
        <v>11</v>
      </c>
      <c r="J373" s="6"/>
      <c r="K373" s="6"/>
    </row>
    <row r="374">
      <c r="A374" s="1">
        <v>44942.0</v>
      </c>
      <c r="B374" s="2" t="s">
        <v>47</v>
      </c>
      <c r="C374" s="2" t="s">
        <v>401</v>
      </c>
      <c r="D374" s="5"/>
      <c r="E374" s="5">
        <v>4.98E7</v>
      </c>
      <c r="F374" s="6" t="s">
        <v>26</v>
      </c>
      <c r="G374" s="3">
        <v>2.637636751300001E8</v>
      </c>
      <c r="H374" s="4"/>
      <c r="I374" s="6" t="s">
        <v>11</v>
      </c>
      <c r="J374" s="6"/>
      <c r="K374" s="6"/>
    </row>
    <row r="375">
      <c r="A375" s="1">
        <v>44942.0</v>
      </c>
      <c r="B375" s="2" t="s">
        <v>54</v>
      </c>
      <c r="C375" s="2" t="s">
        <v>402</v>
      </c>
      <c r="D375" s="5">
        <v>1.63215E7</v>
      </c>
      <c r="E375" s="5"/>
      <c r="F375" s="6" t="s">
        <v>4</v>
      </c>
      <c r="G375" s="3">
        <v>2.474421751300001E8</v>
      </c>
      <c r="H375" s="4"/>
      <c r="I375" s="6" t="s">
        <v>11</v>
      </c>
      <c r="J375" s="6"/>
      <c r="K375" s="6"/>
    </row>
    <row r="376">
      <c r="A376" s="1">
        <v>44942.0</v>
      </c>
      <c r="B376" s="2" t="s">
        <v>47</v>
      </c>
      <c r="C376" s="2" t="s">
        <v>403</v>
      </c>
      <c r="D376" s="5"/>
      <c r="E376" s="5">
        <v>9.91459E7</v>
      </c>
      <c r="F376" s="6" t="s">
        <v>26</v>
      </c>
      <c r="G376" s="3">
        <v>3.465880751300001E8</v>
      </c>
      <c r="H376" s="4"/>
      <c r="I376" s="6" t="s">
        <v>11</v>
      </c>
      <c r="J376" s="6"/>
      <c r="K376" s="6"/>
    </row>
    <row r="377">
      <c r="A377" s="1">
        <v>44942.0</v>
      </c>
      <c r="B377" s="2" t="s">
        <v>54</v>
      </c>
      <c r="C377" s="2" t="s">
        <v>404</v>
      </c>
      <c r="D377" s="5">
        <v>4.95E7</v>
      </c>
      <c r="E377" s="3"/>
      <c r="F377" s="6" t="s">
        <v>4</v>
      </c>
      <c r="G377" s="3">
        <v>2.970880751300001E8</v>
      </c>
      <c r="H377" s="4"/>
      <c r="I377" s="6" t="s">
        <v>11</v>
      </c>
      <c r="J377" s="6"/>
      <c r="K377" s="6"/>
    </row>
    <row r="378">
      <c r="A378" s="1">
        <v>44942.0</v>
      </c>
      <c r="B378" s="2" t="s">
        <v>54</v>
      </c>
      <c r="C378" s="2" t="s">
        <v>405</v>
      </c>
      <c r="D378" s="5">
        <v>1.00328E8</v>
      </c>
      <c r="E378" s="5"/>
      <c r="F378" s="6" t="s">
        <v>4</v>
      </c>
      <c r="G378" s="3">
        <v>1.967600751300001E8</v>
      </c>
      <c r="H378" s="4"/>
      <c r="I378" s="6" t="s">
        <v>11</v>
      </c>
      <c r="J378" s="6"/>
      <c r="K378" s="6"/>
    </row>
    <row r="379">
      <c r="A379" s="1">
        <v>44942.0</v>
      </c>
      <c r="B379" s="2" t="s">
        <v>54</v>
      </c>
      <c r="C379" s="2" t="s">
        <v>406</v>
      </c>
      <c r="D379" s="5">
        <v>2.5E7</v>
      </c>
      <c r="E379" s="5"/>
      <c r="F379" s="6" t="s">
        <v>4</v>
      </c>
      <c r="G379" s="3">
        <v>1.717600751300001E8</v>
      </c>
      <c r="H379" s="4"/>
      <c r="I379" s="6" t="s">
        <v>11</v>
      </c>
      <c r="J379" s="6"/>
      <c r="K379" s="6"/>
    </row>
    <row r="380">
      <c r="A380" s="1">
        <v>44942.0</v>
      </c>
      <c r="B380" s="2" t="s">
        <v>47</v>
      </c>
      <c r="C380" s="2" t="s">
        <v>407</v>
      </c>
      <c r="D380" s="5"/>
      <c r="E380" s="5">
        <v>5.94E7</v>
      </c>
      <c r="F380" s="6" t="s">
        <v>26</v>
      </c>
      <c r="G380" s="3">
        <v>2.311600751300001E8</v>
      </c>
      <c r="H380" s="4"/>
      <c r="I380" s="6" t="s">
        <v>11</v>
      </c>
      <c r="J380" s="6"/>
      <c r="K380" s="6"/>
    </row>
    <row r="381">
      <c r="A381" s="1">
        <v>44942.0</v>
      </c>
      <c r="B381" s="2" t="s">
        <v>54</v>
      </c>
      <c r="C381" s="2" t="s">
        <v>408</v>
      </c>
      <c r="D381" s="5">
        <v>5.346E7</v>
      </c>
      <c r="E381" s="5"/>
      <c r="F381" s="6" t="s">
        <v>4</v>
      </c>
      <c r="G381" s="3">
        <v>1.777000751300001E8</v>
      </c>
      <c r="H381" s="4"/>
      <c r="I381" s="6" t="s">
        <v>11</v>
      </c>
      <c r="J381" s="6"/>
      <c r="K381" s="6"/>
    </row>
    <row r="382">
      <c r="A382" s="1">
        <v>44942.0</v>
      </c>
      <c r="B382" s="2" t="s">
        <v>54</v>
      </c>
      <c r="C382" s="2" t="s">
        <v>409</v>
      </c>
      <c r="D382" s="5">
        <v>4.350225E7</v>
      </c>
      <c r="E382" s="5"/>
      <c r="F382" s="6" t="s">
        <v>4</v>
      </c>
      <c r="G382" s="3">
        <v>1.3419782513000011E8</v>
      </c>
      <c r="H382" s="4"/>
      <c r="I382" s="6" t="s">
        <v>11</v>
      </c>
      <c r="J382" s="6"/>
      <c r="K382" s="6"/>
    </row>
    <row r="383">
      <c r="A383" s="1">
        <v>44942.0</v>
      </c>
      <c r="B383" s="2" t="s">
        <v>54</v>
      </c>
      <c r="C383" s="2" t="s">
        <v>410</v>
      </c>
      <c r="D383" s="5">
        <v>1.5E7</v>
      </c>
      <c r="E383" s="5"/>
      <c r="F383" s="6" t="s">
        <v>4</v>
      </c>
      <c r="G383" s="3">
        <v>1.1919782513000011E8</v>
      </c>
      <c r="H383" s="4"/>
      <c r="I383" s="6" t="s">
        <v>5</v>
      </c>
      <c r="J383" s="6"/>
      <c r="K383" s="6"/>
    </row>
    <row r="384">
      <c r="A384" s="1">
        <v>44943.0</v>
      </c>
      <c r="B384" s="2" t="s">
        <v>411</v>
      </c>
      <c r="C384" s="2" t="s">
        <v>412</v>
      </c>
      <c r="D384" s="5"/>
      <c r="E384" s="5">
        <v>5.13435E7</v>
      </c>
      <c r="F384" s="6" t="s">
        <v>26</v>
      </c>
      <c r="G384" s="3">
        <v>1.705413251300001E8</v>
      </c>
      <c r="H384" s="4"/>
      <c r="I384" s="6" t="s">
        <v>11</v>
      </c>
      <c r="J384" s="6"/>
      <c r="K384" s="6"/>
    </row>
    <row r="385">
      <c r="A385" s="1">
        <v>44943.0</v>
      </c>
      <c r="B385" s="2" t="s">
        <v>54</v>
      </c>
      <c r="C385" s="2" t="s">
        <v>413</v>
      </c>
      <c r="D385" s="5">
        <v>1.5358952E8</v>
      </c>
      <c r="E385" s="5"/>
      <c r="F385" s="6" t="s">
        <v>4</v>
      </c>
      <c r="G385" s="3">
        <v>1.6951805130000114E7</v>
      </c>
      <c r="H385" s="4"/>
      <c r="I385" s="6" t="s">
        <v>11</v>
      </c>
      <c r="J385" s="6"/>
      <c r="K385" s="6"/>
    </row>
    <row r="386">
      <c r="A386" s="1">
        <v>44943.0</v>
      </c>
      <c r="B386" s="2" t="s">
        <v>54</v>
      </c>
      <c r="C386" s="2" t="s">
        <v>414</v>
      </c>
      <c r="D386" s="5">
        <v>1200680.0</v>
      </c>
      <c r="E386" s="5"/>
      <c r="F386" s="6" t="s">
        <v>4</v>
      </c>
      <c r="G386" s="3">
        <v>1.5751125130000114E7</v>
      </c>
      <c r="H386" s="4"/>
      <c r="I386" s="6" t="s">
        <v>58</v>
      </c>
      <c r="J386" s="6"/>
      <c r="K386" s="6"/>
    </row>
    <row r="387">
      <c r="A387" s="1">
        <v>44943.0</v>
      </c>
      <c r="B387" s="2" t="s">
        <v>54</v>
      </c>
      <c r="C387" s="2" t="s">
        <v>415</v>
      </c>
      <c r="D387" s="5">
        <v>2252350.0</v>
      </c>
      <c r="E387" s="5"/>
      <c r="F387" s="6" t="s">
        <v>4</v>
      </c>
      <c r="G387" s="3">
        <v>1.3498775130000114E7</v>
      </c>
      <c r="H387" s="4"/>
      <c r="I387" s="6" t="s">
        <v>5</v>
      </c>
      <c r="J387" s="6"/>
      <c r="K387" s="6"/>
    </row>
    <row r="388">
      <c r="A388" s="1">
        <v>44943.0</v>
      </c>
      <c r="B388" s="2" t="s">
        <v>54</v>
      </c>
      <c r="C388" s="2" t="s">
        <v>416</v>
      </c>
      <c r="D388" s="5">
        <v>2264300.0</v>
      </c>
      <c r="E388" s="5"/>
      <c r="F388" s="6" t="s">
        <v>4</v>
      </c>
      <c r="G388" s="3">
        <v>1.1234475130000114E7</v>
      </c>
      <c r="H388" s="4"/>
      <c r="I388" s="6" t="s">
        <v>5</v>
      </c>
      <c r="J388" s="6"/>
      <c r="K388" s="6"/>
    </row>
    <row r="389">
      <c r="A389" s="1">
        <v>44943.0</v>
      </c>
      <c r="B389" s="2" t="s">
        <v>54</v>
      </c>
      <c r="C389" s="2" t="s">
        <v>417</v>
      </c>
      <c r="D389" s="5">
        <v>4922900.0</v>
      </c>
      <c r="E389" s="5"/>
      <c r="F389" s="6" t="s">
        <v>4</v>
      </c>
      <c r="G389" s="3">
        <v>6311575.130000114</v>
      </c>
      <c r="H389" s="4"/>
      <c r="I389" s="6" t="s">
        <v>5</v>
      </c>
      <c r="J389" s="6"/>
      <c r="K389" s="6"/>
    </row>
    <row r="390">
      <c r="A390" s="1">
        <v>44943.0</v>
      </c>
      <c r="B390" s="2" t="s">
        <v>54</v>
      </c>
      <c r="C390" s="2" t="s">
        <v>418</v>
      </c>
      <c r="D390" s="5">
        <v>2131500.0</v>
      </c>
      <c r="E390" s="5"/>
      <c r="F390" s="6" t="s">
        <v>4</v>
      </c>
      <c r="G390" s="3">
        <v>4180075.1300001144</v>
      </c>
      <c r="H390" s="4"/>
      <c r="I390" s="6" t="s">
        <v>5</v>
      </c>
      <c r="J390" s="6"/>
      <c r="K390" s="6"/>
    </row>
    <row r="391">
      <c r="A391" s="1">
        <v>44943.0</v>
      </c>
      <c r="B391" s="2" t="s">
        <v>47</v>
      </c>
      <c r="C391" s="2" t="s">
        <v>419</v>
      </c>
      <c r="D391" s="5"/>
      <c r="E391" s="5">
        <v>2.939902E7</v>
      </c>
      <c r="F391" s="6" t="s">
        <v>26</v>
      </c>
      <c r="G391" s="3">
        <v>3.3579095130000114E7</v>
      </c>
      <c r="H391" s="4"/>
      <c r="I391" s="6" t="s">
        <v>11</v>
      </c>
      <c r="J391" s="6"/>
      <c r="K391" s="6"/>
    </row>
    <row r="392">
      <c r="A392" s="1">
        <v>44943.0</v>
      </c>
      <c r="B392" s="2" t="s">
        <v>54</v>
      </c>
      <c r="C392" s="2" t="s">
        <v>420</v>
      </c>
      <c r="D392" s="5">
        <v>6310480.0</v>
      </c>
      <c r="E392" s="3"/>
      <c r="F392" s="6" t="s">
        <v>4</v>
      </c>
      <c r="G392" s="3">
        <v>2.7268615130000114E7</v>
      </c>
      <c r="H392" s="4"/>
      <c r="I392" s="6" t="s">
        <v>11</v>
      </c>
      <c r="J392" s="6"/>
      <c r="K392" s="6"/>
    </row>
    <row r="393">
      <c r="A393" s="1">
        <v>44943.0</v>
      </c>
      <c r="B393" s="2" t="s">
        <v>47</v>
      </c>
      <c r="C393" s="2" t="s">
        <v>421</v>
      </c>
      <c r="D393" s="5"/>
      <c r="E393" s="5">
        <v>5.47228E7</v>
      </c>
      <c r="F393" s="6" t="s">
        <v>26</v>
      </c>
      <c r="G393" s="3">
        <v>8.199141513000011E7</v>
      </c>
      <c r="H393" s="4"/>
      <c r="I393" s="6" t="s">
        <v>11</v>
      </c>
      <c r="J393" s="6"/>
      <c r="K393" s="6"/>
    </row>
    <row r="394">
      <c r="A394" s="1">
        <v>44943.0</v>
      </c>
      <c r="B394" s="2" t="s">
        <v>54</v>
      </c>
      <c r="C394" s="2" t="s">
        <v>422</v>
      </c>
      <c r="D394" s="5">
        <v>5.1E7</v>
      </c>
      <c r="E394" s="5"/>
      <c r="F394" s="6" t="s">
        <v>4</v>
      </c>
      <c r="G394" s="3">
        <v>3.0991415130000114E7</v>
      </c>
      <c r="H394" s="4"/>
      <c r="I394" s="6" t="s">
        <v>11</v>
      </c>
      <c r="J394" s="6"/>
      <c r="K394" s="6"/>
    </row>
    <row r="395">
      <c r="A395" s="1">
        <v>44943.0</v>
      </c>
      <c r="B395" s="2" t="s">
        <v>47</v>
      </c>
      <c r="C395" s="2" t="s">
        <v>423</v>
      </c>
      <c r="D395" s="5"/>
      <c r="E395" s="5">
        <v>4.384585E7</v>
      </c>
      <c r="F395" s="6" t="s">
        <v>26</v>
      </c>
      <c r="G395" s="3">
        <v>7.483726513000011E7</v>
      </c>
      <c r="H395" s="4"/>
      <c r="I395" s="6" t="s">
        <v>11</v>
      </c>
      <c r="J395" s="6"/>
      <c r="K395" s="6"/>
    </row>
    <row r="396">
      <c r="A396" s="1">
        <v>44943.0</v>
      </c>
      <c r="B396" s="2" t="s">
        <v>47</v>
      </c>
      <c r="C396" s="2" t="s">
        <v>424</v>
      </c>
      <c r="D396" s="5"/>
      <c r="E396" s="5">
        <v>4.459067E7</v>
      </c>
      <c r="F396" s="6" t="s">
        <v>26</v>
      </c>
      <c r="G396" s="3">
        <v>1.1942793513000011E8</v>
      </c>
      <c r="H396" s="4"/>
      <c r="I396" s="6" t="s">
        <v>11</v>
      </c>
      <c r="J396" s="6"/>
      <c r="K396" s="6"/>
    </row>
    <row r="397">
      <c r="A397" s="1">
        <v>44943.0</v>
      </c>
      <c r="B397" s="2" t="s">
        <v>47</v>
      </c>
      <c r="C397" s="2" t="s">
        <v>425</v>
      </c>
      <c r="D397" s="5"/>
      <c r="E397" s="5">
        <v>1.0102562E8</v>
      </c>
      <c r="F397" s="6" t="s">
        <v>26</v>
      </c>
      <c r="G397" s="3">
        <v>2.204535551300001E8</v>
      </c>
      <c r="H397" s="4"/>
      <c r="I397" s="6" t="s">
        <v>11</v>
      </c>
      <c r="J397" s="6"/>
      <c r="K397" s="6"/>
    </row>
    <row r="398">
      <c r="A398" s="1">
        <v>44943.0</v>
      </c>
      <c r="B398" s="2" t="s">
        <v>47</v>
      </c>
      <c r="C398" s="2" t="s">
        <v>426</v>
      </c>
      <c r="D398" s="5"/>
      <c r="E398" s="5">
        <v>1.5635567E8</v>
      </c>
      <c r="F398" s="6" t="s">
        <v>26</v>
      </c>
      <c r="G398" s="3">
        <v>3.768092251300001E8</v>
      </c>
      <c r="H398" s="4"/>
      <c r="I398" s="6" t="s">
        <v>11</v>
      </c>
      <c r="J398" s="6"/>
      <c r="K398" s="6"/>
    </row>
    <row r="399">
      <c r="A399" s="1">
        <v>44943.0</v>
      </c>
      <c r="B399" s="2" t="s">
        <v>47</v>
      </c>
      <c r="C399" s="2" t="s">
        <v>427</v>
      </c>
      <c r="D399" s="5"/>
      <c r="E399" s="5">
        <v>6.110125E7</v>
      </c>
      <c r="F399" s="6" t="s">
        <v>26</v>
      </c>
      <c r="G399" s="3">
        <v>4.379104751300001E8</v>
      </c>
      <c r="H399" s="4"/>
      <c r="I399" s="6" t="s">
        <v>11</v>
      </c>
      <c r="J399" s="6"/>
      <c r="K399" s="6"/>
    </row>
    <row r="400">
      <c r="A400" s="1">
        <v>44943.0</v>
      </c>
      <c r="B400" s="2" t="s">
        <v>47</v>
      </c>
      <c r="C400" s="2" t="s">
        <v>428</v>
      </c>
      <c r="D400" s="5"/>
      <c r="E400" s="5">
        <v>6.194E7</v>
      </c>
      <c r="F400" s="6" t="s">
        <v>26</v>
      </c>
      <c r="G400" s="3">
        <v>4.998504751300001E8</v>
      </c>
      <c r="H400" s="4"/>
      <c r="I400" s="6" t="s">
        <v>11</v>
      </c>
      <c r="J400" s="6"/>
      <c r="K400" s="6"/>
    </row>
    <row r="401">
      <c r="A401" s="1">
        <v>44943.0</v>
      </c>
      <c r="B401" s="2" t="s">
        <v>54</v>
      </c>
      <c r="C401" s="2" t="s">
        <v>429</v>
      </c>
      <c r="D401" s="5">
        <v>1.0E8</v>
      </c>
      <c r="E401" s="5"/>
      <c r="F401" s="6" t="s">
        <v>4</v>
      </c>
      <c r="G401" s="3">
        <v>3.998504751300001E8</v>
      </c>
      <c r="H401" s="4"/>
      <c r="I401" s="6" t="s">
        <v>11</v>
      </c>
      <c r="J401" s="6"/>
      <c r="K401" s="6"/>
    </row>
    <row r="402">
      <c r="A402" s="1">
        <v>44943.0</v>
      </c>
      <c r="B402" s="2" t="s">
        <v>47</v>
      </c>
      <c r="C402" s="2" t="s">
        <v>430</v>
      </c>
      <c r="D402" s="5"/>
      <c r="E402" s="5">
        <v>5.28E7</v>
      </c>
      <c r="F402" s="6" t="s">
        <v>26</v>
      </c>
      <c r="G402" s="3">
        <v>4.526504751300001E8</v>
      </c>
      <c r="H402" s="4"/>
      <c r="I402" s="6" t="s">
        <v>11</v>
      </c>
      <c r="J402" s="6"/>
      <c r="K402" s="6"/>
    </row>
    <row r="403">
      <c r="A403" s="1">
        <v>44943.0</v>
      </c>
      <c r="B403" s="2" t="s">
        <v>47</v>
      </c>
      <c r="C403" s="2" t="s">
        <v>431</v>
      </c>
      <c r="D403" s="5"/>
      <c r="E403" s="5">
        <v>1.0E8</v>
      </c>
      <c r="F403" s="6" t="s">
        <v>26</v>
      </c>
      <c r="G403" s="3">
        <v>5.526504751300001E8</v>
      </c>
      <c r="H403" s="4"/>
      <c r="I403" s="6" t="s">
        <v>11</v>
      </c>
      <c r="J403" s="6"/>
      <c r="K403" s="6"/>
    </row>
    <row r="404">
      <c r="A404" s="1">
        <v>44943.0</v>
      </c>
      <c r="B404" s="2" t="s">
        <v>54</v>
      </c>
      <c r="C404" s="2" t="s">
        <v>432</v>
      </c>
      <c r="D404" s="5">
        <v>5.0E7</v>
      </c>
      <c r="E404" s="5"/>
      <c r="F404" s="6" t="s">
        <v>4</v>
      </c>
      <c r="G404" s="3">
        <v>5.026504751300001E8</v>
      </c>
      <c r="H404" s="4"/>
      <c r="I404" s="6" t="s">
        <v>11</v>
      </c>
      <c r="J404" s="6"/>
      <c r="K404" s="6"/>
    </row>
    <row r="405">
      <c r="A405" s="1">
        <v>44943.0</v>
      </c>
      <c r="B405" s="2" t="s">
        <v>54</v>
      </c>
      <c r="C405" s="2" t="s">
        <v>433</v>
      </c>
      <c r="D405" s="5">
        <v>1.5110225E8</v>
      </c>
      <c r="E405" s="5"/>
      <c r="F405" s="6" t="s">
        <v>4</v>
      </c>
      <c r="G405" s="3">
        <v>3.515482251300001E8</v>
      </c>
      <c r="H405" s="4"/>
      <c r="I405" s="6" t="s">
        <v>11</v>
      </c>
      <c r="J405" s="6"/>
      <c r="K405" s="6"/>
    </row>
    <row r="406">
      <c r="A406" s="1">
        <v>44943.0</v>
      </c>
      <c r="B406" s="2" t="s">
        <v>54</v>
      </c>
      <c r="C406" s="2" t="s">
        <v>434</v>
      </c>
      <c r="D406" s="5">
        <v>8.9581E7</v>
      </c>
      <c r="E406" s="3"/>
      <c r="F406" s="6" t="s">
        <v>4</v>
      </c>
      <c r="G406" s="3">
        <v>2.619672251300001E8</v>
      </c>
      <c r="H406" s="4"/>
      <c r="I406" s="6" t="s">
        <v>11</v>
      </c>
      <c r="J406" s="6"/>
      <c r="K406" s="6"/>
    </row>
    <row r="407">
      <c r="A407" s="1">
        <v>44943.0</v>
      </c>
      <c r="B407" s="2" t="s">
        <v>54</v>
      </c>
      <c r="C407" s="2" t="s">
        <v>435</v>
      </c>
      <c r="D407" s="5">
        <v>5.28E7</v>
      </c>
      <c r="E407" s="5"/>
      <c r="F407" s="6" t="s">
        <v>4</v>
      </c>
      <c r="G407" s="3">
        <v>2.091672251300001E8</v>
      </c>
      <c r="H407" s="4"/>
      <c r="I407" s="6" t="s">
        <v>11</v>
      </c>
      <c r="J407" s="6"/>
      <c r="K407" s="6"/>
    </row>
    <row r="408">
      <c r="A408" s="1">
        <v>44943.0</v>
      </c>
      <c r="B408" s="2" t="s">
        <v>54</v>
      </c>
      <c r="C408" s="2" t="s">
        <v>436</v>
      </c>
      <c r="D408" s="5">
        <v>4.8576E7</v>
      </c>
      <c r="E408" s="5"/>
      <c r="F408" s="6" t="s">
        <v>4</v>
      </c>
      <c r="G408" s="3">
        <v>1.605912251300001E8</v>
      </c>
      <c r="H408" s="4"/>
      <c r="I408" s="6" t="s">
        <v>11</v>
      </c>
      <c r="J408" s="6"/>
      <c r="K408" s="6"/>
    </row>
    <row r="409">
      <c r="A409" s="1">
        <v>44943.0</v>
      </c>
      <c r="B409" s="2" t="s">
        <v>54</v>
      </c>
      <c r="C409" s="2" t="s">
        <v>437</v>
      </c>
      <c r="D409" s="5">
        <v>5.151615E7</v>
      </c>
      <c r="E409" s="5"/>
      <c r="F409" s="6" t="s">
        <v>4</v>
      </c>
      <c r="G409" s="3">
        <v>1.0907507513000011E8</v>
      </c>
      <c r="H409" s="4"/>
      <c r="I409" s="6" t="s">
        <v>11</v>
      </c>
      <c r="J409" s="6"/>
      <c r="K409" s="6"/>
    </row>
    <row r="410">
      <c r="A410" s="1">
        <v>44943.0</v>
      </c>
      <c r="B410" s="2" t="s">
        <v>47</v>
      </c>
      <c r="C410" s="2" t="s">
        <v>438</v>
      </c>
      <c r="D410" s="5"/>
      <c r="E410" s="5">
        <v>5.31952E7</v>
      </c>
      <c r="F410" s="6" t="s">
        <v>26</v>
      </c>
      <c r="G410" s="3">
        <v>1.622702751300001E8</v>
      </c>
      <c r="H410" s="4"/>
      <c r="I410" s="6" t="s">
        <v>11</v>
      </c>
      <c r="J410" s="6"/>
      <c r="K410" s="6"/>
    </row>
    <row r="411">
      <c r="A411" s="1">
        <v>44944.0</v>
      </c>
      <c r="B411" s="2" t="s">
        <v>439</v>
      </c>
      <c r="C411" s="2" t="s">
        <v>440</v>
      </c>
      <c r="D411" s="5"/>
      <c r="E411" s="5">
        <v>8.5E7</v>
      </c>
      <c r="F411" s="6" t="s">
        <v>26</v>
      </c>
      <c r="G411" s="3">
        <v>2.472702751300001E8</v>
      </c>
      <c r="H411" s="4"/>
      <c r="I411" s="6" t="s">
        <v>11</v>
      </c>
      <c r="J411" s="6"/>
      <c r="K411" s="6"/>
    </row>
    <row r="412">
      <c r="A412" s="1">
        <v>44944.0</v>
      </c>
      <c r="B412" s="2" t="s">
        <v>54</v>
      </c>
      <c r="C412" s="2" t="s">
        <v>441</v>
      </c>
      <c r="D412" s="5">
        <v>1.8780132E8</v>
      </c>
      <c r="E412" s="5"/>
      <c r="F412" s="6" t="s">
        <v>4</v>
      </c>
      <c r="G412" s="3">
        <v>5.9468955130000114E7</v>
      </c>
      <c r="H412" s="4"/>
      <c r="I412" s="6" t="s">
        <v>11</v>
      </c>
      <c r="J412" s="6"/>
      <c r="K412" s="6"/>
    </row>
    <row r="413">
      <c r="A413" s="1">
        <v>44944.0</v>
      </c>
      <c r="B413" s="2" t="s">
        <v>54</v>
      </c>
      <c r="C413" s="2" t="s">
        <v>442</v>
      </c>
      <c r="D413" s="5">
        <v>4.95E7</v>
      </c>
      <c r="E413" s="5"/>
      <c r="F413" s="6" t="s">
        <v>4</v>
      </c>
      <c r="G413" s="3">
        <v>9968955.130000114</v>
      </c>
      <c r="H413" s="4"/>
      <c r="I413" s="6" t="s">
        <v>11</v>
      </c>
      <c r="J413" s="6"/>
      <c r="K413" s="6"/>
    </row>
    <row r="414">
      <c r="A414" s="1">
        <v>44944.0</v>
      </c>
      <c r="B414" s="2" t="s">
        <v>47</v>
      </c>
      <c r="C414" s="2" t="s">
        <v>443</v>
      </c>
      <c r="D414" s="5"/>
      <c r="E414" s="5">
        <v>1.9880907E8</v>
      </c>
      <c r="F414" s="6" t="s">
        <v>26</v>
      </c>
      <c r="G414" s="3">
        <v>2.087780251300001E8</v>
      </c>
      <c r="H414" s="4"/>
      <c r="I414" s="6" t="s">
        <v>11</v>
      </c>
      <c r="J414" s="6"/>
      <c r="K414" s="6"/>
    </row>
    <row r="415">
      <c r="A415" s="1">
        <v>44944.0</v>
      </c>
      <c r="B415" s="2" t="s">
        <v>47</v>
      </c>
      <c r="C415" s="2" t="s">
        <v>444</v>
      </c>
      <c r="D415" s="5"/>
      <c r="E415" s="5">
        <v>300000.0</v>
      </c>
      <c r="F415" s="6" t="s">
        <v>26</v>
      </c>
      <c r="G415" s="3">
        <v>2.090780251300001E8</v>
      </c>
      <c r="H415" s="4"/>
      <c r="I415" s="6" t="s">
        <v>11</v>
      </c>
      <c r="J415" s="6"/>
      <c r="K415" s="6"/>
    </row>
    <row r="416">
      <c r="A416" s="1">
        <v>44944.0</v>
      </c>
      <c r="B416" s="2" t="s">
        <v>54</v>
      </c>
      <c r="C416" s="2" t="s">
        <v>445</v>
      </c>
      <c r="D416" s="5">
        <v>4.332075E7</v>
      </c>
      <c r="E416" s="5"/>
      <c r="F416" s="6" t="s">
        <v>4</v>
      </c>
      <c r="G416" s="3">
        <v>1.657572751300001E8</v>
      </c>
      <c r="H416" s="4"/>
      <c r="I416" s="6" t="s">
        <v>11</v>
      </c>
      <c r="J416" s="6"/>
      <c r="K416" s="6"/>
    </row>
    <row r="417">
      <c r="A417" s="1">
        <v>44944.0</v>
      </c>
      <c r="B417" s="2" t="s">
        <v>54</v>
      </c>
      <c r="C417" s="2" t="s">
        <v>446</v>
      </c>
      <c r="D417" s="5">
        <v>1.8478E7</v>
      </c>
      <c r="E417" s="5"/>
      <c r="F417" s="6" t="s">
        <v>4</v>
      </c>
      <c r="G417" s="3">
        <v>1.472792751300001E8</v>
      </c>
      <c r="H417" s="4"/>
      <c r="I417" s="6" t="s">
        <v>11</v>
      </c>
      <c r="J417" s="6"/>
      <c r="K417" s="6"/>
    </row>
    <row r="418">
      <c r="A418" s="1">
        <v>44944.0</v>
      </c>
      <c r="B418" s="2" t="s">
        <v>54</v>
      </c>
      <c r="C418" s="2" t="s">
        <v>447</v>
      </c>
      <c r="D418" s="5">
        <v>1.127025E7</v>
      </c>
      <c r="E418" s="5"/>
      <c r="F418" s="6" t="s">
        <v>4</v>
      </c>
      <c r="G418" s="3">
        <v>1.360090251300001E8</v>
      </c>
      <c r="H418" s="4"/>
      <c r="I418" s="6" t="s">
        <v>58</v>
      </c>
      <c r="J418" s="6"/>
      <c r="K418" s="6"/>
    </row>
    <row r="419">
      <c r="A419" s="1">
        <v>44944.0</v>
      </c>
      <c r="B419" s="2" t="s">
        <v>54</v>
      </c>
      <c r="C419" s="2" t="s">
        <v>448</v>
      </c>
      <c r="D419" s="5">
        <v>5.00634E7</v>
      </c>
      <c r="E419" s="5"/>
      <c r="F419" s="6" t="s">
        <v>4</v>
      </c>
      <c r="G419" s="3">
        <v>8.594562513000011E7</v>
      </c>
      <c r="H419" s="4"/>
      <c r="I419" s="6" t="s">
        <v>11</v>
      </c>
      <c r="J419" s="6"/>
      <c r="K419" s="6"/>
    </row>
    <row r="420">
      <c r="A420" s="1">
        <v>44944.0</v>
      </c>
      <c r="B420" s="2" t="s">
        <v>47</v>
      </c>
      <c r="C420" s="2" t="s">
        <v>449</v>
      </c>
      <c r="D420" s="5"/>
      <c r="E420" s="5">
        <v>5.16E7</v>
      </c>
      <c r="F420" s="6" t="s">
        <v>26</v>
      </c>
      <c r="G420" s="3">
        <v>1.375456251300001E8</v>
      </c>
      <c r="H420" s="4"/>
      <c r="I420" s="6" t="s">
        <v>11</v>
      </c>
      <c r="J420" s="6"/>
      <c r="K420" s="6"/>
    </row>
    <row r="421">
      <c r="A421" s="1">
        <v>44944.0</v>
      </c>
      <c r="B421" s="2" t="s">
        <v>47</v>
      </c>
      <c r="C421" s="2" t="s">
        <v>450</v>
      </c>
      <c r="D421" s="5"/>
      <c r="E421" s="5">
        <v>4.89E7</v>
      </c>
      <c r="F421" s="6" t="s">
        <v>26</v>
      </c>
      <c r="G421" s="3">
        <v>1.864456251300001E8</v>
      </c>
      <c r="H421" s="4"/>
      <c r="I421" s="6" t="s">
        <v>11</v>
      </c>
      <c r="J421" s="6"/>
      <c r="K421" s="6"/>
    </row>
    <row r="422">
      <c r="A422" s="1">
        <v>44944.0</v>
      </c>
      <c r="B422" s="2" t="s">
        <v>47</v>
      </c>
      <c r="C422" s="2" t="s">
        <v>451</v>
      </c>
      <c r="D422" s="5"/>
      <c r="E422" s="5">
        <v>1.9394E8</v>
      </c>
      <c r="F422" s="6" t="s">
        <v>26</v>
      </c>
      <c r="G422" s="3">
        <v>3.803856251300001E8</v>
      </c>
      <c r="H422" s="4"/>
      <c r="I422" s="6" t="s">
        <v>11</v>
      </c>
      <c r="J422" s="6"/>
      <c r="K422" s="6"/>
    </row>
    <row r="423">
      <c r="A423" s="1">
        <v>44944.0</v>
      </c>
      <c r="B423" s="2" t="s">
        <v>47</v>
      </c>
      <c r="C423" s="2" t="s">
        <v>452</v>
      </c>
      <c r="D423" s="5"/>
      <c r="E423" s="5">
        <v>1.046794E8</v>
      </c>
      <c r="F423" s="6" t="s">
        <v>26</v>
      </c>
      <c r="G423" s="3">
        <v>4.850650251300001E8</v>
      </c>
      <c r="H423" s="4"/>
      <c r="I423" s="6" t="s">
        <v>11</v>
      </c>
      <c r="J423" s="6"/>
      <c r="K423" s="6"/>
    </row>
    <row r="424">
      <c r="A424" s="1">
        <v>44944.0</v>
      </c>
      <c r="B424" s="2" t="s">
        <v>54</v>
      </c>
      <c r="C424" s="2" t="s">
        <v>453</v>
      </c>
      <c r="D424" s="5">
        <v>9.691075E7</v>
      </c>
      <c r="E424" s="5"/>
      <c r="F424" s="6" t="s">
        <v>4</v>
      </c>
      <c r="G424" s="3">
        <v>3.881542751300001E8</v>
      </c>
      <c r="H424" s="4"/>
      <c r="I424" s="6" t="s">
        <v>11</v>
      </c>
      <c r="J424" s="6"/>
      <c r="K424" s="6"/>
    </row>
    <row r="425">
      <c r="A425" s="1">
        <v>44944.0</v>
      </c>
      <c r="B425" s="2" t="s">
        <v>54</v>
      </c>
      <c r="C425" s="2" t="s">
        <v>454</v>
      </c>
      <c r="D425" s="5">
        <v>5.94E7</v>
      </c>
      <c r="E425" s="5"/>
      <c r="F425" s="6" t="s">
        <v>4</v>
      </c>
      <c r="G425" s="3">
        <v>3.287542751300001E8</v>
      </c>
      <c r="H425" s="4"/>
      <c r="I425" s="6" t="s">
        <v>11</v>
      </c>
      <c r="J425" s="6"/>
      <c r="K425" s="6"/>
    </row>
    <row r="426">
      <c r="A426" s="1">
        <v>44944.0</v>
      </c>
      <c r="B426" s="2" t="s">
        <v>54</v>
      </c>
      <c r="C426" s="2" t="s">
        <v>455</v>
      </c>
      <c r="D426" s="5">
        <v>4878700.0</v>
      </c>
      <c r="E426" s="5"/>
      <c r="F426" s="6" t="s">
        <v>4</v>
      </c>
      <c r="G426" s="3">
        <v>3.238755751300001E8</v>
      </c>
      <c r="H426" s="4"/>
      <c r="I426" s="6" t="s">
        <v>5</v>
      </c>
      <c r="J426" s="6"/>
      <c r="K426" s="6"/>
    </row>
    <row r="427">
      <c r="A427" s="1">
        <v>44944.0</v>
      </c>
      <c r="B427" s="2" t="s">
        <v>54</v>
      </c>
      <c r="C427" s="2" t="s">
        <v>456</v>
      </c>
      <c r="D427" s="5">
        <v>4622240.0</v>
      </c>
      <c r="E427" s="5"/>
      <c r="F427" s="6" t="s">
        <v>4</v>
      </c>
      <c r="G427" s="3">
        <v>3.192533351300001E8</v>
      </c>
      <c r="H427" s="4"/>
      <c r="I427" s="6" t="s">
        <v>5</v>
      </c>
      <c r="J427" s="6"/>
      <c r="K427" s="6"/>
    </row>
    <row r="428">
      <c r="A428" s="1">
        <v>44944.0</v>
      </c>
      <c r="B428" s="2" t="s">
        <v>54</v>
      </c>
      <c r="C428" s="2" t="s">
        <v>457</v>
      </c>
      <c r="D428" s="5">
        <v>5.104645E7</v>
      </c>
      <c r="E428" s="5"/>
      <c r="F428" s="6" t="s">
        <v>4</v>
      </c>
      <c r="G428" s="3">
        <v>2.682068851300001E8</v>
      </c>
      <c r="H428" s="4"/>
      <c r="I428" s="6" t="s">
        <v>11</v>
      </c>
      <c r="J428" s="6"/>
      <c r="K428" s="6"/>
    </row>
    <row r="429">
      <c r="A429" s="1">
        <v>44944.0</v>
      </c>
      <c r="B429" s="2" t="s">
        <v>54</v>
      </c>
      <c r="C429" s="2" t="s">
        <v>458</v>
      </c>
      <c r="D429" s="5">
        <v>9.653665E7</v>
      </c>
      <c r="E429" s="5"/>
      <c r="F429" s="6" t="s">
        <v>4</v>
      </c>
      <c r="G429" s="3">
        <v>1.716702351300001E8</v>
      </c>
      <c r="H429" s="4"/>
      <c r="I429" s="6" t="s">
        <v>11</v>
      </c>
      <c r="J429" s="6"/>
      <c r="K429" s="6"/>
    </row>
    <row r="430">
      <c r="A430" s="1">
        <v>44944.0</v>
      </c>
      <c r="B430" s="2" t="s">
        <v>54</v>
      </c>
      <c r="C430" s="2" t="s">
        <v>459</v>
      </c>
      <c r="D430" s="5">
        <v>9.7252E7</v>
      </c>
      <c r="E430" s="5"/>
      <c r="F430" s="6" t="s">
        <v>4</v>
      </c>
      <c r="G430" s="3">
        <v>7.441823513000011E7</v>
      </c>
      <c r="H430" s="4"/>
      <c r="I430" s="6" t="s">
        <v>11</v>
      </c>
      <c r="J430" s="6"/>
      <c r="K430" s="6"/>
    </row>
    <row r="431">
      <c r="A431" s="1">
        <v>44944.0</v>
      </c>
      <c r="B431" s="2" t="s">
        <v>54</v>
      </c>
      <c r="C431" s="2" t="s">
        <v>460</v>
      </c>
      <c r="D431" s="5">
        <v>6467800.0</v>
      </c>
      <c r="E431" s="5"/>
      <c r="F431" s="6" t="s">
        <v>4</v>
      </c>
      <c r="G431" s="3">
        <v>6.795043513000011E7</v>
      </c>
      <c r="H431" s="4"/>
      <c r="I431" s="6" t="s">
        <v>11</v>
      </c>
      <c r="J431" s="6"/>
      <c r="K431" s="6"/>
    </row>
    <row r="432">
      <c r="A432" s="1">
        <v>44944.0</v>
      </c>
      <c r="B432" s="2" t="s">
        <v>54</v>
      </c>
      <c r="C432" s="2" t="s">
        <v>461</v>
      </c>
      <c r="D432" s="5">
        <v>6.17988E7</v>
      </c>
      <c r="E432" s="5"/>
      <c r="F432" s="6" t="s">
        <v>4</v>
      </c>
      <c r="G432" s="3">
        <v>6151635.130000114</v>
      </c>
      <c r="H432" s="4"/>
      <c r="I432" s="6" t="s">
        <v>11</v>
      </c>
      <c r="J432" s="6"/>
      <c r="K432" s="6"/>
    </row>
    <row r="433">
      <c r="A433" s="1">
        <v>44944.0</v>
      </c>
      <c r="B433" s="2" t="s">
        <v>54</v>
      </c>
      <c r="C433" s="2" t="s">
        <v>462</v>
      </c>
      <c r="D433" s="5">
        <v>6002400.0</v>
      </c>
      <c r="E433" s="3"/>
      <c r="F433" s="6" t="s">
        <v>4</v>
      </c>
      <c r="G433" s="3">
        <v>149235.13000011444</v>
      </c>
      <c r="H433" s="4"/>
      <c r="I433" s="6" t="s">
        <v>5</v>
      </c>
      <c r="J433" s="6"/>
      <c r="K433" s="6"/>
    </row>
    <row r="434">
      <c r="A434" s="1">
        <v>44945.0</v>
      </c>
      <c r="B434" s="2" t="s">
        <v>463</v>
      </c>
      <c r="C434" s="2" t="s">
        <v>464</v>
      </c>
      <c r="D434" s="5"/>
      <c r="E434" s="5">
        <v>1.7440278E8</v>
      </c>
      <c r="F434" s="6" t="s">
        <v>26</v>
      </c>
      <c r="G434" s="3">
        <v>1.745520151300001E8</v>
      </c>
      <c r="H434" s="4"/>
      <c r="I434" s="6" t="s">
        <v>11</v>
      </c>
      <c r="J434" s="6"/>
      <c r="K434" s="6"/>
    </row>
    <row r="435">
      <c r="A435" s="1">
        <v>44945.0</v>
      </c>
      <c r="B435" s="2" t="s">
        <v>54</v>
      </c>
      <c r="C435" s="2" t="s">
        <v>465</v>
      </c>
      <c r="D435" s="5">
        <v>3.36832E7</v>
      </c>
      <c r="E435" s="5"/>
      <c r="F435" s="6" t="s">
        <v>4</v>
      </c>
      <c r="G435" s="3">
        <v>1.408688151300001E8</v>
      </c>
      <c r="H435" s="4"/>
      <c r="I435" s="6" t="s">
        <v>11</v>
      </c>
      <c r="J435" s="6"/>
      <c r="K435" s="6"/>
    </row>
    <row r="436">
      <c r="A436" s="1">
        <v>44945.0</v>
      </c>
      <c r="B436" s="2" t="s">
        <v>54</v>
      </c>
      <c r="C436" s="2" t="s">
        <v>466</v>
      </c>
      <c r="D436" s="5">
        <v>4.80732E7</v>
      </c>
      <c r="E436" s="5"/>
      <c r="F436" s="6" t="s">
        <v>4</v>
      </c>
      <c r="G436" s="3">
        <v>9.279561513000011E7</v>
      </c>
      <c r="H436" s="4"/>
      <c r="I436" s="6" t="s">
        <v>11</v>
      </c>
      <c r="J436" s="6"/>
      <c r="K436" s="6"/>
    </row>
    <row r="437">
      <c r="A437" s="1">
        <v>44945.0</v>
      </c>
      <c r="B437" s="2" t="s">
        <v>54</v>
      </c>
      <c r="C437" s="2" t="s">
        <v>467</v>
      </c>
      <c r="D437" s="5">
        <v>4.67325E7</v>
      </c>
      <c r="E437" s="5"/>
      <c r="F437" s="6" t="s">
        <v>4</v>
      </c>
      <c r="G437" s="3">
        <v>4.6063115130000114E7</v>
      </c>
      <c r="H437" s="4"/>
      <c r="I437" s="6" t="s">
        <v>11</v>
      </c>
      <c r="J437" s="6"/>
      <c r="K437" s="6"/>
    </row>
    <row r="438">
      <c r="A438" s="1">
        <v>44945.0</v>
      </c>
      <c r="B438" s="2" t="s">
        <v>54</v>
      </c>
      <c r="C438" s="2" t="s">
        <v>468</v>
      </c>
      <c r="D438" s="5">
        <v>3.0E7</v>
      </c>
      <c r="E438" s="5"/>
      <c r="F438" s="6" t="s">
        <v>4</v>
      </c>
      <c r="G438" s="3">
        <v>1.6063115130000114E7</v>
      </c>
      <c r="H438" s="4"/>
      <c r="I438" s="6" t="s">
        <v>11</v>
      </c>
      <c r="J438" s="6"/>
      <c r="K438" s="6"/>
    </row>
    <row r="439">
      <c r="A439" s="1">
        <v>44945.0</v>
      </c>
      <c r="B439" s="2" t="s">
        <v>54</v>
      </c>
      <c r="C439" s="2" t="s">
        <v>469</v>
      </c>
      <c r="D439" s="5">
        <v>1897820.0</v>
      </c>
      <c r="E439" s="5"/>
      <c r="F439" s="6" t="s">
        <v>4</v>
      </c>
      <c r="G439" s="3">
        <v>1.4165295130000114E7</v>
      </c>
      <c r="H439" s="4"/>
      <c r="I439" s="6" t="s">
        <v>58</v>
      </c>
      <c r="J439" s="6"/>
      <c r="K439" s="6"/>
    </row>
    <row r="440">
      <c r="A440" s="1">
        <v>44945.0</v>
      </c>
      <c r="B440" s="2" t="s">
        <v>54</v>
      </c>
      <c r="C440" s="2" t="s">
        <v>470</v>
      </c>
      <c r="D440" s="5">
        <v>9900000.0</v>
      </c>
      <c r="E440" s="5"/>
      <c r="F440" s="6" t="s">
        <v>4</v>
      </c>
      <c r="G440" s="3">
        <v>4265295.130000114</v>
      </c>
      <c r="H440" s="4"/>
      <c r="I440" s="6" t="s">
        <v>5</v>
      </c>
      <c r="J440" s="6"/>
      <c r="K440" s="6"/>
    </row>
    <row r="441">
      <c r="A441" s="1">
        <v>44945.0</v>
      </c>
      <c r="B441" s="2" t="s">
        <v>47</v>
      </c>
      <c r="C441" s="2" t="s">
        <v>471</v>
      </c>
      <c r="D441" s="5"/>
      <c r="E441" s="5">
        <v>6.512665E7</v>
      </c>
      <c r="F441" s="6" t="s">
        <v>26</v>
      </c>
      <c r="G441" s="3">
        <v>6.939194513000011E7</v>
      </c>
      <c r="H441" s="4"/>
      <c r="I441" s="6" t="s">
        <v>11</v>
      </c>
      <c r="J441" s="6"/>
      <c r="K441" s="6"/>
    </row>
    <row r="442">
      <c r="A442" s="1">
        <v>44945.0</v>
      </c>
      <c r="B442" s="2" t="s">
        <v>54</v>
      </c>
      <c r="C442" s="2" t="s">
        <v>472</v>
      </c>
      <c r="D442" s="5">
        <v>5.94E7</v>
      </c>
      <c r="E442" s="5"/>
      <c r="F442" s="6" t="s">
        <v>4</v>
      </c>
      <c r="G442" s="3">
        <v>9991945.130000114</v>
      </c>
      <c r="H442" s="4"/>
      <c r="I442" s="6" t="s">
        <v>11</v>
      </c>
      <c r="J442" s="6"/>
      <c r="K442" s="6"/>
    </row>
    <row r="443">
      <c r="A443" s="1">
        <v>44945.0</v>
      </c>
      <c r="B443" s="2" t="s">
        <v>47</v>
      </c>
      <c r="C443" s="2" t="s">
        <v>473</v>
      </c>
      <c r="D443" s="5"/>
      <c r="E443" s="5">
        <v>1.8376808E8</v>
      </c>
      <c r="F443" s="6" t="s">
        <v>26</v>
      </c>
      <c r="G443" s="3">
        <v>1.937600251300001E8</v>
      </c>
      <c r="H443" s="4"/>
      <c r="I443" s="6" t="s">
        <v>11</v>
      </c>
      <c r="J443" s="6"/>
      <c r="K443" s="6"/>
    </row>
    <row r="444">
      <c r="A444" s="1">
        <v>44945.0</v>
      </c>
      <c r="B444" s="2" t="s">
        <v>54</v>
      </c>
      <c r="C444" s="2" t="s">
        <v>474</v>
      </c>
      <c r="D444" s="5">
        <v>9.171E7</v>
      </c>
      <c r="E444" s="5"/>
      <c r="F444" s="6" t="s">
        <v>4</v>
      </c>
      <c r="G444" s="3">
        <v>1.0205002513000011E8</v>
      </c>
      <c r="H444" s="4"/>
      <c r="I444" s="6" t="s">
        <v>11</v>
      </c>
      <c r="J444" s="6"/>
      <c r="K444" s="6"/>
    </row>
    <row r="445">
      <c r="A445" s="1">
        <v>44945.0</v>
      </c>
      <c r="B445" s="2" t="s">
        <v>47</v>
      </c>
      <c r="C445" s="2" t="s">
        <v>475</v>
      </c>
      <c r="D445" s="5"/>
      <c r="E445" s="5">
        <v>4.74991E7</v>
      </c>
      <c r="F445" s="6" t="s">
        <v>26</v>
      </c>
      <c r="G445" s="3">
        <v>1.495491251300001E8</v>
      </c>
      <c r="H445" s="4"/>
      <c r="I445" s="6" t="s">
        <v>11</v>
      </c>
      <c r="J445" s="6"/>
      <c r="K445" s="6"/>
    </row>
    <row r="446">
      <c r="A446" s="1">
        <v>44945.0</v>
      </c>
      <c r="B446" s="2" t="s">
        <v>47</v>
      </c>
      <c r="C446" s="2" t="s">
        <v>476</v>
      </c>
      <c r="D446" s="5"/>
      <c r="E446" s="5">
        <v>1.2923838E8</v>
      </c>
      <c r="F446" s="6" t="s">
        <v>26</v>
      </c>
      <c r="G446" s="3">
        <v>2.787875051300001E8</v>
      </c>
      <c r="H446" s="4"/>
      <c r="I446" s="6" t="s">
        <v>11</v>
      </c>
      <c r="J446" s="6"/>
      <c r="K446" s="6"/>
    </row>
    <row r="447">
      <c r="A447" s="1">
        <v>44945.0</v>
      </c>
      <c r="B447" s="2" t="s">
        <v>47</v>
      </c>
      <c r="C447" s="2" t="s">
        <v>477</v>
      </c>
      <c r="D447" s="5"/>
      <c r="E447" s="5">
        <v>1.683459E8</v>
      </c>
      <c r="F447" s="6" t="s">
        <v>26</v>
      </c>
      <c r="G447" s="3">
        <v>4.471334051300001E8</v>
      </c>
      <c r="H447" s="4"/>
      <c r="I447" s="6" t="s">
        <v>11</v>
      </c>
      <c r="J447" s="6"/>
      <c r="K447" s="6"/>
    </row>
    <row r="448">
      <c r="A448" s="1">
        <v>44945.0</v>
      </c>
      <c r="B448" s="2" t="s">
        <v>47</v>
      </c>
      <c r="C448" s="2" t="s">
        <v>478</v>
      </c>
      <c r="D448" s="5"/>
      <c r="E448" s="5">
        <v>5.0E7</v>
      </c>
      <c r="F448" s="6" t="s">
        <v>26</v>
      </c>
      <c r="G448" s="3">
        <v>4.971334051300001E8</v>
      </c>
      <c r="H448" s="4"/>
      <c r="I448" s="6" t="s">
        <v>11</v>
      </c>
      <c r="J448" s="6"/>
      <c r="K448" s="6"/>
    </row>
    <row r="449">
      <c r="A449" s="1">
        <v>44945.0</v>
      </c>
      <c r="B449" s="2" t="s">
        <v>54</v>
      </c>
      <c r="C449" s="2" t="s">
        <v>479</v>
      </c>
      <c r="D449" s="5">
        <v>1.5087669E8</v>
      </c>
      <c r="E449" s="5"/>
      <c r="F449" s="6" t="s">
        <v>4</v>
      </c>
      <c r="G449" s="3">
        <v>3.462567151300001E8</v>
      </c>
      <c r="H449" s="4"/>
      <c r="I449" s="6" t="s">
        <v>11</v>
      </c>
      <c r="J449" s="6"/>
      <c r="K449" s="6"/>
    </row>
    <row r="450">
      <c r="A450" s="1">
        <v>44945.0</v>
      </c>
      <c r="B450" s="2" t="s">
        <v>54</v>
      </c>
      <c r="C450" s="2" t="s">
        <v>480</v>
      </c>
      <c r="D450" s="5">
        <v>5.14928E7</v>
      </c>
      <c r="E450" s="5"/>
      <c r="F450" s="6" t="s">
        <v>4</v>
      </c>
      <c r="G450" s="3">
        <v>2.947639151300001E8</v>
      </c>
      <c r="H450" s="4"/>
      <c r="I450" s="6" t="s">
        <v>11</v>
      </c>
      <c r="J450" s="6"/>
      <c r="K450" s="6"/>
    </row>
    <row r="451">
      <c r="A451" s="1">
        <v>44945.0</v>
      </c>
      <c r="B451" s="2" t="s">
        <v>54</v>
      </c>
      <c r="C451" s="2" t="s">
        <v>481</v>
      </c>
      <c r="D451" s="5">
        <v>4.49794E7</v>
      </c>
      <c r="E451" s="5"/>
      <c r="F451" s="6" t="s">
        <v>4</v>
      </c>
      <c r="G451" s="3">
        <v>2.497845151300001E8</v>
      </c>
      <c r="H451" s="4"/>
      <c r="I451" s="6" t="s">
        <v>11</v>
      </c>
      <c r="J451" s="6"/>
      <c r="K451" s="6"/>
    </row>
    <row r="452">
      <c r="A452" s="1">
        <v>44945.0</v>
      </c>
      <c r="B452" s="2" t="s">
        <v>54</v>
      </c>
      <c r="C452" s="2" t="s">
        <v>482</v>
      </c>
      <c r="D452" s="5">
        <v>9.45925E7</v>
      </c>
      <c r="E452" s="5"/>
      <c r="F452" s="6" t="s">
        <v>4</v>
      </c>
      <c r="G452" s="3">
        <v>1.551920151300001E8</v>
      </c>
      <c r="H452" s="4"/>
      <c r="I452" s="6" t="s">
        <v>11</v>
      </c>
      <c r="J452" s="6"/>
      <c r="K452" s="6"/>
    </row>
    <row r="453">
      <c r="A453" s="1">
        <v>44945.0</v>
      </c>
      <c r="B453" s="2" t="s">
        <v>54</v>
      </c>
      <c r="C453" s="2" t="s">
        <v>483</v>
      </c>
      <c r="D453" s="5">
        <v>1.1555775E8</v>
      </c>
      <c r="E453" s="5"/>
      <c r="F453" s="6" t="s">
        <v>4</v>
      </c>
      <c r="G453" s="3">
        <v>3.9634265130000114E7</v>
      </c>
      <c r="H453" s="4"/>
      <c r="I453" s="6" t="s">
        <v>11</v>
      </c>
      <c r="J453" s="6"/>
      <c r="K453" s="6"/>
    </row>
    <row r="454">
      <c r="A454" s="1">
        <v>44945.0</v>
      </c>
      <c r="B454" s="2" t="s">
        <v>47</v>
      </c>
      <c r="C454" s="2" t="s">
        <v>484</v>
      </c>
      <c r="D454" s="5"/>
      <c r="E454" s="5">
        <v>6.22815E7</v>
      </c>
      <c r="F454" s="6" t="s">
        <v>26</v>
      </c>
      <c r="G454" s="3">
        <v>1.0191576513000011E8</v>
      </c>
      <c r="H454" s="4"/>
      <c r="I454" s="6" t="s">
        <v>11</v>
      </c>
      <c r="J454" s="6"/>
      <c r="K454" s="6"/>
    </row>
    <row r="455">
      <c r="A455" s="1">
        <v>44945.0</v>
      </c>
      <c r="B455" s="2" t="s">
        <v>47</v>
      </c>
      <c r="C455" s="2" t="s">
        <v>485</v>
      </c>
      <c r="D455" s="5"/>
      <c r="E455" s="5">
        <v>9.88536E7</v>
      </c>
      <c r="F455" s="6" t="s">
        <v>26</v>
      </c>
      <c r="G455" s="3">
        <v>2.007693651300001E8</v>
      </c>
      <c r="H455" s="4"/>
      <c r="I455" s="6" t="s">
        <v>11</v>
      </c>
      <c r="J455" s="6"/>
      <c r="K455" s="6"/>
    </row>
    <row r="456">
      <c r="A456" s="1">
        <v>44945.0</v>
      </c>
      <c r="B456" s="2" t="s">
        <v>47</v>
      </c>
      <c r="C456" s="2" t="s">
        <v>486</v>
      </c>
      <c r="D456" s="5"/>
      <c r="E456" s="5">
        <v>1.25791E7</v>
      </c>
      <c r="F456" s="6" t="s">
        <v>26</v>
      </c>
      <c r="G456" s="3">
        <v>2.133484651300001E8</v>
      </c>
      <c r="H456" s="4"/>
      <c r="I456" s="6" t="s">
        <v>11</v>
      </c>
      <c r="J456" s="6"/>
      <c r="K456" s="6"/>
    </row>
    <row r="457">
      <c r="A457" s="1">
        <v>44946.0</v>
      </c>
      <c r="B457" s="2" t="s">
        <v>54</v>
      </c>
      <c r="C457" s="2" t="s">
        <v>487</v>
      </c>
      <c r="D457" s="5">
        <v>1.176E8</v>
      </c>
      <c r="E457" s="5"/>
      <c r="F457" s="6" t="s">
        <v>4</v>
      </c>
      <c r="G457" s="3">
        <v>9.574846513000011E7</v>
      </c>
      <c r="H457" s="4"/>
      <c r="I457" s="6" t="s">
        <v>11</v>
      </c>
      <c r="J457" s="6"/>
      <c r="K457" s="6"/>
    </row>
    <row r="458">
      <c r="A458" s="1">
        <v>44946.0</v>
      </c>
      <c r="B458" s="2" t="s">
        <v>54</v>
      </c>
      <c r="C458" s="2" t="s">
        <v>488</v>
      </c>
      <c r="D458" s="5">
        <v>5.11105E7</v>
      </c>
      <c r="E458" s="5"/>
      <c r="F458" s="6" t="s">
        <v>4</v>
      </c>
      <c r="G458" s="3">
        <v>4.4637965130000114E7</v>
      </c>
      <c r="H458" s="4"/>
      <c r="I458" s="6" t="s">
        <v>11</v>
      </c>
      <c r="J458" s="6"/>
      <c r="K458" s="6"/>
    </row>
    <row r="459">
      <c r="A459" s="1">
        <v>44946.0</v>
      </c>
      <c r="B459" s="2" t="s">
        <v>54</v>
      </c>
      <c r="C459" s="2" t="s">
        <v>489</v>
      </c>
      <c r="D459" s="5">
        <v>1755360.0</v>
      </c>
      <c r="E459" s="3"/>
      <c r="F459" s="6" t="s">
        <v>4</v>
      </c>
      <c r="G459" s="3">
        <v>4.2882605130000114E7</v>
      </c>
      <c r="H459" s="4"/>
      <c r="I459" s="6" t="s">
        <v>5</v>
      </c>
      <c r="J459" s="6"/>
      <c r="K459" s="6"/>
    </row>
    <row r="460">
      <c r="A460" s="1">
        <v>44946.0</v>
      </c>
      <c r="B460" s="2" t="s">
        <v>54</v>
      </c>
      <c r="C460" s="2" t="s">
        <v>490</v>
      </c>
      <c r="D460" s="5">
        <v>2153500.0</v>
      </c>
      <c r="E460" s="5"/>
      <c r="F460" s="6" t="s">
        <v>4</v>
      </c>
      <c r="G460" s="3">
        <v>4.0729105130000114E7</v>
      </c>
      <c r="H460" s="4"/>
      <c r="I460" s="6" t="s">
        <v>5</v>
      </c>
      <c r="J460" s="6"/>
      <c r="K460" s="6"/>
    </row>
    <row r="461">
      <c r="A461" s="1">
        <v>44946.0</v>
      </c>
      <c r="B461" s="2" t="s">
        <v>47</v>
      </c>
      <c r="C461" s="2" t="s">
        <v>491</v>
      </c>
      <c r="D461" s="5"/>
      <c r="E461" s="5">
        <v>1.5412275E8</v>
      </c>
      <c r="F461" s="6" t="s">
        <v>26</v>
      </c>
      <c r="G461" s="3">
        <v>1.948518551300001E8</v>
      </c>
      <c r="H461" s="4"/>
      <c r="I461" s="6" t="s">
        <v>11</v>
      </c>
      <c r="J461" s="6"/>
      <c r="K461" s="6"/>
    </row>
    <row r="462">
      <c r="A462" s="1">
        <v>44946.0</v>
      </c>
      <c r="B462" s="2" t="s">
        <v>54</v>
      </c>
      <c r="C462" s="2" t="s">
        <v>492</v>
      </c>
      <c r="D462" s="5">
        <v>6.47271E7</v>
      </c>
      <c r="E462" s="5"/>
      <c r="F462" s="6" t="s">
        <v>4</v>
      </c>
      <c r="G462" s="3">
        <v>1.3012475513000011E8</v>
      </c>
      <c r="H462" s="4"/>
      <c r="I462" s="6" t="s">
        <v>11</v>
      </c>
      <c r="J462" s="6"/>
      <c r="K462" s="6"/>
    </row>
    <row r="463">
      <c r="A463" s="1">
        <v>44946.0</v>
      </c>
      <c r="B463" s="2" t="s">
        <v>54</v>
      </c>
      <c r="C463" s="2" t="s">
        <v>493</v>
      </c>
      <c r="D463" s="5">
        <v>4.95E7</v>
      </c>
      <c r="E463" s="5"/>
      <c r="F463" s="6" t="s">
        <v>4</v>
      </c>
      <c r="G463" s="3">
        <v>8.062475513000011E7</v>
      </c>
      <c r="H463" s="4"/>
      <c r="I463" s="6" t="s">
        <v>11</v>
      </c>
      <c r="J463" s="6"/>
      <c r="K463" s="6"/>
    </row>
    <row r="464">
      <c r="A464" s="1">
        <v>44946.0</v>
      </c>
      <c r="B464" s="2" t="s">
        <v>54</v>
      </c>
      <c r="C464" s="2" t="s">
        <v>494</v>
      </c>
      <c r="D464" s="5">
        <v>6.04248E7</v>
      </c>
      <c r="E464" s="5"/>
      <c r="F464" s="6" t="s">
        <v>4</v>
      </c>
      <c r="G464" s="3">
        <v>2.0199955130000114E7</v>
      </c>
      <c r="H464" s="4"/>
      <c r="I464" s="6" t="s">
        <v>11</v>
      </c>
      <c r="J464" s="6"/>
      <c r="K464" s="6"/>
    </row>
    <row r="465">
      <c r="A465" s="1">
        <v>44946.0</v>
      </c>
      <c r="B465" s="2" t="s">
        <v>47</v>
      </c>
      <c r="C465" s="2" t="s">
        <v>495</v>
      </c>
      <c r="D465" s="5"/>
      <c r="E465" s="5">
        <v>6.780474E7</v>
      </c>
      <c r="F465" s="6" t="s">
        <v>26</v>
      </c>
      <c r="G465" s="3">
        <v>8.800469513000011E7</v>
      </c>
      <c r="H465" s="4"/>
      <c r="I465" s="6" t="s">
        <v>11</v>
      </c>
      <c r="J465" s="6"/>
      <c r="K465" s="6"/>
    </row>
    <row r="466">
      <c r="A466" s="1">
        <v>44946.0</v>
      </c>
      <c r="B466" s="2" t="s">
        <v>47</v>
      </c>
      <c r="C466" s="2" t="s">
        <v>496</v>
      </c>
      <c r="D466" s="5"/>
      <c r="E466" s="5">
        <v>9.933169E7</v>
      </c>
      <c r="F466" s="6" t="s">
        <v>26</v>
      </c>
      <c r="G466" s="3">
        <v>1.873363851300001E8</v>
      </c>
      <c r="H466" s="4"/>
      <c r="I466" s="6" t="s">
        <v>11</v>
      </c>
      <c r="J466" s="6"/>
      <c r="K466" s="6"/>
    </row>
    <row r="467">
      <c r="A467" s="1">
        <v>44946.0</v>
      </c>
      <c r="B467" s="2" t="s">
        <v>47</v>
      </c>
      <c r="C467" s="2" t="s">
        <v>497</v>
      </c>
      <c r="D467" s="5"/>
      <c r="E467" s="5">
        <v>6.088562E7</v>
      </c>
      <c r="F467" s="6" t="s">
        <v>26</v>
      </c>
      <c r="G467" s="3">
        <v>2.482220051300001E8</v>
      </c>
      <c r="H467" s="4"/>
      <c r="I467" s="6" t="s">
        <v>11</v>
      </c>
      <c r="J467" s="6"/>
      <c r="K467" s="6"/>
    </row>
    <row r="468">
      <c r="A468" s="1">
        <v>44946.0</v>
      </c>
      <c r="B468" s="2" t="s">
        <v>54</v>
      </c>
      <c r="C468" s="2" t="s">
        <v>498</v>
      </c>
      <c r="D468" s="5">
        <v>9.670752E7</v>
      </c>
      <c r="E468" s="5"/>
      <c r="F468" s="6" t="s">
        <v>4</v>
      </c>
      <c r="G468" s="3">
        <v>1.515144851300001E8</v>
      </c>
      <c r="H468" s="4"/>
      <c r="I468" s="6" t="s">
        <v>11</v>
      </c>
      <c r="J468" s="6"/>
      <c r="K468" s="6"/>
    </row>
    <row r="469">
      <c r="A469" s="1">
        <v>44946.0</v>
      </c>
      <c r="B469" s="2" t="s">
        <v>54</v>
      </c>
      <c r="C469" s="2" t="s">
        <v>499</v>
      </c>
      <c r="D469" s="5">
        <v>1.254E8</v>
      </c>
      <c r="E469" s="5"/>
      <c r="F469" s="6" t="s">
        <v>4</v>
      </c>
      <c r="G469" s="3">
        <v>2.6114485130000114E7</v>
      </c>
      <c r="H469" s="4"/>
      <c r="I469" s="6" t="s">
        <v>11</v>
      </c>
      <c r="J469" s="6"/>
      <c r="K469" s="6"/>
    </row>
    <row r="470">
      <c r="A470" s="1">
        <v>44946.0</v>
      </c>
      <c r="B470" s="2" t="s">
        <v>47</v>
      </c>
      <c r="C470" s="2" t="s">
        <v>500</v>
      </c>
      <c r="D470" s="5"/>
      <c r="E470" s="5">
        <v>330000.0</v>
      </c>
      <c r="F470" s="6" t="s">
        <v>26</v>
      </c>
      <c r="G470" s="3">
        <v>2.6444485130000114E7</v>
      </c>
      <c r="H470" s="4"/>
      <c r="I470" s="6" t="s">
        <v>11</v>
      </c>
      <c r="J470" s="6"/>
      <c r="K470" s="6"/>
    </row>
    <row r="471">
      <c r="A471" s="1">
        <v>44946.0</v>
      </c>
      <c r="B471" s="2" t="s">
        <v>54</v>
      </c>
      <c r="C471" s="2" t="s">
        <v>501</v>
      </c>
      <c r="D471" s="5">
        <v>300000.0</v>
      </c>
      <c r="E471" s="3"/>
      <c r="F471" s="6" t="s">
        <v>4</v>
      </c>
      <c r="G471" s="3">
        <v>2.6144485130000114E7</v>
      </c>
      <c r="H471" s="4"/>
      <c r="I471" s="6" t="s">
        <v>180</v>
      </c>
      <c r="J471" s="6"/>
      <c r="K471" s="6"/>
    </row>
    <row r="472">
      <c r="A472" s="1">
        <v>44946.0</v>
      </c>
      <c r="B472" s="2" t="s">
        <v>47</v>
      </c>
      <c r="C472" s="2" t="s">
        <v>502</v>
      </c>
      <c r="D472" s="5"/>
      <c r="E472" s="5">
        <v>1300000.0</v>
      </c>
      <c r="F472" s="6" t="s">
        <v>26</v>
      </c>
      <c r="G472" s="3">
        <v>2.7444485130000114E7</v>
      </c>
      <c r="H472" s="4"/>
      <c r="I472" s="6" t="s">
        <v>11</v>
      </c>
      <c r="J472" s="6"/>
      <c r="K472" s="6"/>
    </row>
    <row r="473">
      <c r="A473" s="1">
        <v>44946.0</v>
      </c>
      <c r="B473" s="2" t="s">
        <v>47</v>
      </c>
      <c r="C473" s="2" t="s">
        <v>503</v>
      </c>
      <c r="D473" s="5"/>
      <c r="E473" s="5">
        <v>5.13E7</v>
      </c>
      <c r="F473" s="6" t="s">
        <v>26</v>
      </c>
      <c r="G473" s="3">
        <v>7.874448513000011E7</v>
      </c>
      <c r="H473" s="4"/>
      <c r="I473" s="6" t="s">
        <v>11</v>
      </c>
      <c r="J473" s="6"/>
      <c r="K473" s="6"/>
    </row>
    <row r="474">
      <c r="A474" s="1">
        <v>44946.0</v>
      </c>
      <c r="B474" s="2" t="s">
        <v>47</v>
      </c>
      <c r="C474" s="2" t="s">
        <v>504</v>
      </c>
      <c r="D474" s="5"/>
      <c r="E474" s="5">
        <v>1.880626E8</v>
      </c>
      <c r="F474" s="6" t="s">
        <v>26</v>
      </c>
      <c r="G474" s="3">
        <v>2.668070851300001E8</v>
      </c>
      <c r="H474" s="4"/>
      <c r="I474" s="6" t="s">
        <v>11</v>
      </c>
      <c r="J474" s="6"/>
      <c r="K474" s="6"/>
    </row>
    <row r="475">
      <c r="A475" s="1">
        <v>44946.0</v>
      </c>
      <c r="B475" s="2" t="s">
        <v>47</v>
      </c>
      <c r="C475" s="2" t="s">
        <v>505</v>
      </c>
      <c r="D475" s="5"/>
      <c r="E475" s="5">
        <v>5.34E7</v>
      </c>
      <c r="F475" s="6" t="s">
        <v>26</v>
      </c>
      <c r="G475" s="3">
        <v>3.202070851300001E8</v>
      </c>
      <c r="H475" s="4"/>
      <c r="I475" s="6" t="s">
        <v>11</v>
      </c>
      <c r="J475" s="6"/>
      <c r="K475" s="6"/>
    </row>
    <row r="476">
      <c r="A476" s="1">
        <v>44946.0</v>
      </c>
      <c r="B476" s="2" t="s">
        <v>47</v>
      </c>
      <c r="C476" s="2" t="s">
        <v>506</v>
      </c>
      <c r="D476" s="5"/>
      <c r="E476" s="5">
        <v>4.10736E7</v>
      </c>
      <c r="F476" s="6" t="s">
        <v>26</v>
      </c>
      <c r="G476" s="3">
        <v>3.612806851300001E8</v>
      </c>
      <c r="H476" s="4"/>
      <c r="I476" s="6" t="s">
        <v>11</v>
      </c>
      <c r="J476" s="6"/>
      <c r="K476" s="6"/>
    </row>
    <row r="477">
      <c r="A477" s="1">
        <v>44946.0</v>
      </c>
      <c r="B477" s="2" t="s">
        <v>47</v>
      </c>
      <c r="C477" s="2" t="s">
        <v>507</v>
      </c>
      <c r="D477" s="5"/>
      <c r="E477" s="5">
        <v>5.01638E7</v>
      </c>
      <c r="F477" s="6" t="s">
        <v>26</v>
      </c>
      <c r="G477" s="3">
        <v>4.114444851300001E8</v>
      </c>
      <c r="H477" s="4"/>
      <c r="I477" s="6" t="s">
        <v>11</v>
      </c>
      <c r="J477" s="6"/>
      <c r="K477" s="6"/>
    </row>
    <row r="478">
      <c r="A478" s="1">
        <v>44946.0</v>
      </c>
      <c r="B478" s="2" t="s">
        <v>47</v>
      </c>
      <c r="C478" s="2" t="s">
        <v>508</v>
      </c>
      <c r="D478" s="5"/>
      <c r="E478" s="5">
        <v>1.928784E8</v>
      </c>
      <c r="F478" s="6" t="s">
        <v>26</v>
      </c>
      <c r="G478" s="3">
        <v>6.043228851300001E8</v>
      </c>
      <c r="H478" s="4"/>
      <c r="I478" s="6" t="s">
        <v>11</v>
      </c>
      <c r="J478" s="6"/>
      <c r="K478" s="6"/>
    </row>
    <row r="479">
      <c r="A479" s="1">
        <v>44946.0</v>
      </c>
      <c r="B479" s="2" t="s">
        <v>54</v>
      </c>
      <c r="C479" s="2" t="s">
        <v>509</v>
      </c>
      <c r="D479" s="5">
        <v>1.292E8</v>
      </c>
      <c r="E479" s="5"/>
      <c r="F479" s="6" t="s">
        <v>4</v>
      </c>
      <c r="G479" s="3">
        <v>4.751228851300001E8</v>
      </c>
      <c r="H479" s="4"/>
      <c r="I479" s="6" t="s">
        <v>11</v>
      </c>
      <c r="J479" s="6"/>
      <c r="K479" s="6"/>
    </row>
    <row r="480">
      <c r="A480" s="1">
        <v>44946.0</v>
      </c>
      <c r="B480" s="2" t="s">
        <v>54</v>
      </c>
      <c r="C480" s="2" t="s">
        <v>510</v>
      </c>
      <c r="D480" s="5">
        <v>1.1193509E8</v>
      </c>
      <c r="E480" s="5"/>
      <c r="F480" s="6" t="s">
        <v>4</v>
      </c>
      <c r="G480" s="3">
        <v>3.631877951300001E8</v>
      </c>
      <c r="H480" s="4"/>
      <c r="I480" s="6" t="s">
        <v>11</v>
      </c>
      <c r="J480" s="6"/>
      <c r="K480" s="6"/>
    </row>
    <row r="481">
      <c r="A481" s="1">
        <v>44946.0</v>
      </c>
      <c r="B481" s="2" t="s">
        <v>54</v>
      </c>
      <c r="C481" s="2" t="s">
        <v>511</v>
      </c>
      <c r="D481" s="5">
        <v>1340540.0</v>
      </c>
      <c r="E481" s="5"/>
      <c r="F481" s="6" t="s">
        <v>4</v>
      </c>
      <c r="G481" s="3">
        <v>3.618472551300001E8</v>
      </c>
      <c r="H481" s="4"/>
      <c r="I481" s="6" t="s">
        <v>58</v>
      </c>
      <c r="J481" s="6"/>
      <c r="K481" s="6"/>
    </row>
    <row r="482">
      <c r="A482" s="1">
        <v>44946.0</v>
      </c>
      <c r="B482" s="2" t="s">
        <v>54</v>
      </c>
      <c r="C482" s="2" t="s">
        <v>512</v>
      </c>
      <c r="D482" s="5">
        <v>3733480.0</v>
      </c>
      <c r="E482" s="5"/>
      <c r="F482" s="6" t="s">
        <v>4</v>
      </c>
      <c r="G482" s="3">
        <v>3.581137751300001E8</v>
      </c>
      <c r="H482" s="4"/>
      <c r="I482" s="6" t="s">
        <v>58</v>
      </c>
      <c r="J482" s="6"/>
      <c r="K482" s="6"/>
    </row>
    <row r="483">
      <c r="A483" s="1">
        <v>44946.0</v>
      </c>
      <c r="B483" s="2" t="s">
        <v>513</v>
      </c>
      <c r="C483" s="2" t="s">
        <v>513</v>
      </c>
      <c r="D483" s="5">
        <v>19000.0</v>
      </c>
      <c r="E483" s="5"/>
      <c r="F483" s="4"/>
      <c r="G483" s="3">
        <v>3.580947751300001E8</v>
      </c>
      <c r="H483" s="4"/>
      <c r="I483" s="6" t="s">
        <v>8</v>
      </c>
      <c r="J483" s="6"/>
      <c r="K483" s="6"/>
    </row>
    <row r="484">
      <c r="A484" s="1">
        <v>44947.0</v>
      </c>
      <c r="B484" s="2" t="s">
        <v>54</v>
      </c>
      <c r="C484" s="2" t="s">
        <v>514</v>
      </c>
      <c r="D484" s="5">
        <v>5.14644E7</v>
      </c>
      <c r="E484" s="3"/>
      <c r="F484" s="6" t="s">
        <v>4</v>
      </c>
      <c r="G484" s="3">
        <v>3.066303751300001E8</v>
      </c>
      <c r="H484" s="4"/>
      <c r="I484" s="6" t="s">
        <v>11</v>
      </c>
      <c r="J484" s="6"/>
      <c r="K484" s="6"/>
    </row>
    <row r="485">
      <c r="A485" s="1">
        <v>44947.0</v>
      </c>
      <c r="B485" s="2" t="s">
        <v>54</v>
      </c>
      <c r="C485" s="2" t="s">
        <v>515</v>
      </c>
      <c r="D485" s="5">
        <v>5.46156E7</v>
      </c>
      <c r="E485" s="5"/>
      <c r="F485" s="6" t="s">
        <v>4</v>
      </c>
      <c r="G485" s="3">
        <v>2.520147751300001E8</v>
      </c>
      <c r="H485" s="4"/>
      <c r="I485" s="6" t="s">
        <v>11</v>
      </c>
      <c r="J485" s="6"/>
      <c r="K485" s="6"/>
    </row>
    <row r="486">
      <c r="A486" s="1">
        <v>44947.0</v>
      </c>
      <c r="B486" s="2" t="s">
        <v>54</v>
      </c>
      <c r="C486" s="2" t="s">
        <v>516</v>
      </c>
      <c r="D486" s="5">
        <v>5.1E7</v>
      </c>
      <c r="E486" s="5"/>
      <c r="F486" s="6" t="s">
        <v>4</v>
      </c>
      <c r="G486" s="3">
        <v>2.010147751300001E8</v>
      </c>
      <c r="H486" s="4"/>
      <c r="I486" s="6" t="s">
        <v>11</v>
      </c>
      <c r="J486" s="6"/>
      <c r="K486" s="6"/>
    </row>
    <row r="487">
      <c r="A487" s="1">
        <v>44947.0</v>
      </c>
      <c r="B487" s="2" t="s">
        <v>54</v>
      </c>
      <c r="C487" s="2" t="s">
        <v>517</v>
      </c>
      <c r="D487" s="5">
        <v>5.1E7</v>
      </c>
      <c r="E487" s="5"/>
      <c r="F487" s="6" t="s">
        <v>4</v>
      </c>
      <c r="G487" s="3">
        <v>1.500147751300001E8</v>
      </c>
      <c r="H487" s="4"/>
      <c r="I487" s="6" t="s">
        <v>11</v>
      </c>
      <c r="J487" s="6"/>
      <c r="K487" s="6"/>
    </row>
    <row r="488">
      <c r="A488" s="1">
        <v>44947.0</v>
      </c>
      <c r="B488" s="2" t="s">
        <v>54</v>
      </c>
      <c r="C488" s="2" t="s">
        <v>518</v>
      </c>
      <c r="D488" s="5">
        <v>5.44E7</v>
      </c>
      <c r="E488" s="5"/>
      <c r="F488" s="6" t="s">
        <v>4</v>
      </c>
      <c r="G488" s="3">
        <v>9.561477513000011E7</v>
      </c>
      <c r="H488" s="4"/>
      <c r="I488" s="6" t="s">
        <v>11</v>
      </c>
      <c r="J488" s="6"/>
      <c r="K488" s="6"/>
    </row>
    <row r="489">
      <c r="A489" s="1">
        <v>44947.0</v>
      </c>
      <c r="B489" s="2" t="s">
        <v>54</v>
      </c>
      <c r="C489" s="2" t="s">
        <v>519</v>
      </c>
      <c r="D489" s="5">
        <v>6.780474E7</v>
      </c>
      <c r="E489" s="5"/>
      <c r="F489" s="6" t="s">
        <v>4</v>
      </c>
      <c r="G489" s="3">
        <v>2.7810035130000114E7</v>
      </c>
      <c r="H489" s="4"/>
      <c r="I489" s="6" t="s">
        <v>11</v>
      </c>
      <c r="J489" s="6"/>
      <c r="K489" s="6"/>
    </row>
    <row r="490">
      <c r="A490" s="1">
        <v>44947.0</v>
      </c>
      <c r="B490" s="2" t="s">
        <v>47</v>
      </c>
      <c r="C490" s="2" t="s">
        <v>520</v>
      </c>
      <c r="D490" s="5"/>
      <c r="E490" s="5">
        <v>1.0031189E8</v>
      </c>
      <c r="F490" s="6" t="s">
        <v>26</v>
      </c>
      <c r="G490" s="3">
        <v>1.2812192513000011E8</v>
      </c>
      <c r="H490" s="4"/>
      <c r="I490" s="6" t="s">
        <v>11</v>
      </c>
      <c r="J490" s="6"/>
      <c r="K490" s="6"/>
    </row>
    <row r="491">
      <c r="A491" s="1">
        <v>44947.0</v>
      </c>
      <c r="B491" s="2" t="s">
        <v>47</v>
      </c>
      <c r="C491" s="2" t="s">
        <v>521</v>
      </c>
      <c r="D491" s="5"/>
      <c r="E491" s="5">
        <v>5.01638E7</v>
      </c>
      <c r="F491" s="6" t="s">
        <v>26</v>
      </c>
      <c r="G491" s="3">
        <v>1.782857251300001E8</v>
      </c>
      <c r="H491" s="4"/>
      <c r="I491" s="6" t="s">
        <v>11</v>
      </c>
      <c r="J491" s="6"/>
      <c r="K491" s="6"/>
    </row>
    <row r="492">
      <c r="A492" s="1">
        <v>44947.0</v>
      </c>
      <c r="B492" s="2" t="s">
        <v>47</v>
      </c>
      <c r="C492" s="2" t="s">
        <v>522</v>
      </c>
      <c r="D492" s="5"/>
      <c r="E492" s="5">
        <v>1700000.0</v>
      </c>
      <c r="F492" s="6" t="s">
        <v>26</v>
      </c>
      <c r="G492" s="3">
        <v>1.799857251300001E8</v>
      </c>
      <c r="H492" s="4"/>
      <c r="I492" s="6" t="s">
        <v>11</v>
      </c>
      <c r="J492" s="6"/>
      <c r="K492" s="6"/>
    </row>
    <row r="493">
      <c r="A493" s="1">
        <v>44947.0</v>
      </c>
      <c r="B493" s="2" t="s">
        <v>54</v>
      </c>
      <c r="C493" s="2" t="s">
        <v>523</v>
      </c>
      <c r="D493" s="5">
        <v>2000000.0</v>
      </c>
      <c r="E493" s="5"/>
      <c r="F493" s="6" t="s">
        <v>4</v>
      </c>
      <c r="G493" s="3">
        <v>1.779857251300001E8</v>
      </c>
      <c r="H493" s="4"/>
      <c r="I493" s="6" t="s">
        <v>180</v>
      </c>
      <c r="J493" s="6"/>
      <c r="K493" s="6"/>
    </row>
    <row r="494">
      <c r="A494" s="1">
        <v>44947.0</v>
      </c>
      <c r="B494" s="2" t="s">
        <v>47</v>
      </c>
      <c r="C494" s="2" t="s">
        <v>524</v>
      </c>
      <c r="D494" s="5"/>
      <c r="E494" s="5">
        <v>2.099008E8</v>
      </c>
      <c r="F494" s="6" t="s">
        <v>26</v>
      </c>
      <c r="G494" s="3">
        <v>3.878865251300001E8</v>
      </c>
      <c r="H494" s="4"/>
      <c r="I494" s="6" t="s">
        <v>11</v>
      </c>
      <c r="J494" s="6"/>
      <c r="K494" s="6"/>
    </row>
    <row r="495">
      <c r="A495" s="1">
        <v>44947.0</v>
      </c>
      <c r="B495" s="2" t="s">
        <v>47</v>
      </c>
      <c r="C495" s="2" t="s">
        <v>525</v>
      </c>
      <c r="D495" s="5"/>
      <c r="E495" s="5">
        <v>1.307691E8</v>
      </c>
      <c r="F495" s="6" t="s">
        <v>26</v>
      </c>
      <c r="G495" s="3">
        <v>5.186556251300001E8</v>
      </c>
      <c r="H495" s="4"/>
      <c r="I495" s="6" t="s">
        <v>11</v>
      </c>
      <c r="J495" s="6"/>
      <c r="K495" s="6"/>
    </row>
    <row r="496">
      <c r="A496" s="1">
        <v>44947.0</v>
      </c>
      <c r="B496" s="2" t="s">
        <v>47</v>
      </c>
      <c r="C496" s="2" t="s">
        <v>526</v>
      </c>
      <c r="D496" s="5"/>
      <c r="E496" s="5">
        <v>6.49485E7</v>
      </c>
      <c r="F496" s="6" t="s">
        <v>26</v>
      </c>
      <c r="G496" s="3">
        <v>5.836041251300001E8</v>
      </c>
      <c r="H496" s="4"/>
      <c r="I496" s="6" t="s">
        <v>11</v>
      </c>
      <c r="J496" s="6"/>
      <c r="K496" s="6"/>
    </row>
    <row r="497">
      <c r="A497" s="1">
        <v>44947.0</v>
      </c>
      <c r="B497" s="2" t="s">
        <v>47</v>
      </c>
      <c r="C497" s="2" t="s">
        <v>527</v>
      </c>
      <c r="D497" s="5"/>
      <c r="E497" s="5">
        <v>6.049864E7</v>
      </c>
      <c r="F497" s="6" t="s">
        <v>26</v>
      </c>
      <c r="G497" s="3">
        <v>6.441027651300001E8</v>
      </c>
      <c r="H497" s="4"/>
      <c r="I497" s="6" t="s">
        <v>11</v>
      </c>
      <c r="J497" s="6"/>
      <c r="K497" s="6"/>
    </row>
    <row r="498">
      <c r="A498" s="1">
        <v>44947.0</v>
      </c>
      <c r="B498" s="2" t="s">
        <v>54</v>
      </c>
      <c r="C498" s="2" t="s">
        <v>528</v>
      </c>
      <c r="D498" s="5">
        <v>2.3216648E8</v>
      </c>
      <c r="E498" s="5"/>
      <c r="F498" s="6" t="s">
        <v>4</v>
      </c>
      <c r="G498" s="3">
        <v>4.119362851300001E8</v>
      </c>
      <c r="H498" s="4"/>
      <c r="I498" s="6" t="s">
        <v>11</v>
      </c>
      <c r="J498" s="6"/>
      <c r="K498" s="6"/>
    </row>
    <row r="499">
      <c r="A499" s="1">
        <v>44947.0</v>
      </c>
      <c r="B499" s="2" t="s">
        <v>54</v>
      </c>
      <c r="C499" s="2" t="s">
        <v>529</v>
      </c>
      <c r="D499" s="5">
        <v>2.155344E8</v>
      </c>
      <c r="E499" s="5"/>
      <c r="F499" s="6" t="s">
        <v>4</v>
      </c>
      <c r="G499" s="3">
        <v>1.964018851300001E8</v>
      </c>
      <c r="H499" s="4"/>
      <c r="I499" s="6" t="s">
        <v>11</v>
      </c>
      <c r="J499" s="6"/>
      <c r="K499" s="6"/>
    </row>
    <row r="500">
      <c r="A500" s="1">
        <v>44947.0</v>
      </c>
      <c r="B500" s="2" t="s">
        <v>54</v>
      </c>
      <c r="C500" s="2" t="s">
        <v>530</v>
      </c>
      <c r="D500" s="5">
        <v>3.0E7</v>
      </c>
      <c r="E500" s="5"/>
      <c r="F500" s="6" t="s">
        <v>4</v>
      </c>
      <c r="G500" s="3">
        <v>1.664018851300001E8</v>
      </c>
      <c r="H500" s="4"/>
      <c r="I500" s="6" t="s">
        <v>180</v>
      </c>
      <c r="J500" s="6"/>
      <c r="K500" s="6"/>
    </row>
    <row r="501">
      <c r="A501" s="1">
        <v>44947.0</v>
      </c>
      <c r="B501" s="2" t="s">
        <v>47</v>
      </c>
      <c r="C501" s="2" t="s">
        <v>531</v>
      </c>
      <c r="D501" s="5"/>
      <c r="E501" s="5">
        <v>4.884E7</v>
      </c>
      <c r="F501" s="6" t="s">
        <v>26</v>
      </c>
      <c r="G501" s="3">
        <v>2.152418851300001E8</v>
      </c>
      <c r="H501" s="4"/>
      <c r="I501" s="6" t="s">
        <v>11</v>
      </c>
      <c r="J501" s="6"/>
      <c r="K501" s="6"/>
    </row>
    <row r="502">
      <c r="A502" s="1">
        <v>44948.0</v>
      </c>
      <c r="B502" s="2" t="s">
        <v>54</v>
      </c>
      <c r="C502" s="2" t="s">
        <v>532</v>
      </c>
      <c r="D502" s="5">
        <v>1.105E8</v>
      </c>
      <c r="E502" s="5"/>
      <c r="F502" s="6" t="s">
        <v>4</v>
      </c>
      <c r="G502" s="3">
        <v>1.0474188513000011E8</v>
      </c>
      <c r="H502" s="4"/>
      <c r="I502" s="6" t="s">
        <v>11</v>
      </c>
      <c r="J502" s="6"/>
      <c r="K502" s="6"/>
    </row>
    <row r="503">
      <c r="A503" s="1">
        <v>44948.0</v>
      </c>
      <c r="B503" s="2" t="s">
        <v>50</v>
      </c>
      <c r="C503" s="2" t="s">
        <v>533</v>
      </c>
      <c r="D503" s="5">
        <v>285000.0</v>
      </c>
      <c r="E503" s="5"/>
      <c r="F503" s="6" t="s">
        <v>4</v>
      </c>
      <c r="G503" s="3">
        <v>1.0445688513000011E8</v>
      </c>
      <c r="H503" s="4"/>
      <c r="I503" s="6" t="s">
        <v>1</v>
      </c>
      <c r="J503" s="6"/>
      <c r="K503" s="6"/>
    </row>
    <row r="504">
      <c r="A504" s="1">
        <v>44948.0</v>
      </c>
      <c r="B504" s="2" t="s">
        <v>50</v>
      </c>
      <c r="C504" s="2" t="s">
        <v>534</v>
      </c>
      <c r="D504" s="5">
        <v>2500.0</v>
      </c>
      <c r="E504" s="5"/>
      <c r="F504" s="6" t="s">
        <v>4</v>
      </c>
      <c r="G504" s="3">
        <v>1.0445438513000011E8</v>
      </c>
      <c r="H504" s="4"/>
      <c r="I504" s="6" t="s">
        <v>1</v>
      </c>
      <c r="J504" s="6"/>
      <c r="K504" s="6"/>
    </row>
    <row r="505">
      <c r="A505" s="1">
        <v>44948.0</v>
      </c>
      <c r="B505" s="2" t="s">
        <v>54</v>
      </c>
      <c r="C505" s="2" t="s">
        <v>535</v>
      </c>
      <c r="D505" s="5">
        <v>9.30176E7</v>
      </c>
      <c r="E505" s="5"/>
      <c r="F505" s="6" t="s">
        <v>4</v>
      </c>
      <c r="G505" s="3">
        <v>1.1436785130000114E7</v>
      </c>
      <c r="H505" s="4"/>
      <c r="I505" s="6" t="s">
        <v>11</v>
      </c>
      <c r="J505" s="6"/>
      <c r="K505" s="6"/>
    </row>
    <row r="506">
      <c r="A506" s="1">
        <v>44948.0</v>
      </c>
      <c r="B506" s="2" t="s">
        <v>50</v>
      </c>
      <c r="C506" s="2" t="s">
        <v>536</v>
      </c>
      <c r="D506" s="5">
        <v>150000.0</v>
      </c>
      <c r="E506" s="5"/>
      <c r="F506" s="6" t="s">
        <v>4</v>
      </c>
      <c r="G506" s="3">
        <v>1.1286785130000114E7</v>
      </c>
      <c r="H506" s="4"/>
      <c r="I506" s="6" t="s">
        <v>1</v>
      </c>
      <c r="J506" s="6"/>
      <c r="K506" s="6"/>
    </row>
    <row r="507">
      <c r="A507" s="1">
        <v>44948.0</v>
      </c>
      <c r="B507" s="2" t="s">
        <v>50</v>
      </c>
      <c r="C507" s="2" t="s">
        <v>537</v>
      </c>
      <c r="D507" s="5">
        <v>2500.0</v>
      </c>
      <c r="E507" s="5"/>
      <c r="F507" s="6" t="s">
        <v>4</v>
      </c>
      <c r="G507" s="3">
        <v>1.1284285130000114E7</v>
      </c>
      <c r="H507" s="4"/>
      <c r="I507" s="6" t="s">
        <v>1</v>
      </c>
      <c r="J507" s="6"/>
      <c r="K507" s="6"/>
    </row>
    <row r="508">
      <c r="A508" s="1">
        <v>44948.0</v>
      </c>
      <c r="B508" s="2" t="s">
        <v>50</v>
      </c>
      <c r="C508" s="2" t="s">
        <v>51</v>
      </c>
      <c r="D508" s="5">
        <v>132000.0</v>
      </c>
      <c r="E508" s="5"/>
      <c r="F508" s="6" t="s">
        <v>4</v>
      </c>
      <c r="G508" s="3">
        <v>1.1152285130000114E7</v>
      </c>
      <c r="H508" s="4"/>
      <c r="I508" s="6" t="s">
        <v>1</v>
      </c>
      <c r="J508" s="6"/>
      <c r="K508" s="6"/>
    </row>
    <row r="509">
      <c r="A509" s="1">
        <v>44948.0</v>
      </c>
      <c r="B509" s="2" t="s">
        <v>50</v>
      </c>
      <c r="C509" s="2" t="s">
        <v>52</v>
      </c>
      <c r="D509" s="5">
        <v>2500.0</v>
      </c>
      <c r="E509" s="5"/>
      <c r="F509" s="6" t="s">
        <v>4</v>
      </c>
      <c r="G509" s="3">
        <v>1.1149785130000114E7</v>
      </c>
      <c r="H509" s="4"/>
      <c r="I509" s="6" t="s">
        <v>1</v>
      </c>
      <c r="J509" s="6"/>
      <c r="K509" s="6"/>
    </row>
    <row r="510">
      <c r="A510" s="1">
        <v>44948.0</v>
      </c>
      <c r="B510" s="2" t="s">
        <v>47</v>
      </c>
      <c r="C510" s="2" t="s">
        <v>538</v>
      </c>
      <c r="D510" s="5"/>
      <c r="E510" s="5">
        <v>3.0E7</v>
      </c>
      <c r="F510" s="6" t="s">
        <v>26</v>
      </c>
      <c r="G510" s="3">
        <v>4.1149785130000114E7</v>
      </c>
      <c r="H510" s="4"/>
      <c r="I510" s="6" t="s">
        <v>11</v>
      </c>
      <c r="J510" s="6"/>
      <c r="K510" s="6"/>
    </row>
    <row r="511">
      <c r="A511" s="1">
        <v>44948.0</v>
      </c>
      <c r="B511" s="2" t="s">
        <v>54</v>
      </c>
      <c r="C511" s="2" t="s">
        <v>539</v>
      </c>
      <c r="D511" s="5">
        <v>100000.0</v>
      </c>
      <c r="E511" s="3"/>
      <c r="F511" s="6" t="s">
        <v>4</v>
      </c>
      <c r="G511" s="3">
        <v>4.1049785130000114E7</v>
      </c>
      <c r="H511" s="4"/>
      <c r="I511" s="6" t="s">
        <v>180</v>
      </c>
      <c r="J511" s="6"/>
      <c r="K511" s="6"/>
    </row>
    <row r="512">
      <c r="A512" s="1">
        <v>44948.0</v>
      </c>
      <c r="B512" s="2" t="s">
        <v>54</v>
      </c>
      <c r="C512" s="2" t="s">
        <v>540</v>
      </c>
      <c r="D512" s="5">
        <v>1000000.0</v>
      </c>
      <c r="E512" s="5"/>
      <c r="F512" s="6" t="s">
        <v>4</v>
      </c>
      <c r="G512" s="3">
        <v>4.0049785130000114E7</v>
      </c>
      <c r="H512" s="4"/>
      <c r="I512" s="6" t="s">
        <v>5</v>
      </c>
      <c r="J512" s="6"/>
      <c r="K512" s="6"/>
    </row>
    <row r="513">
      <c r="A513" s="1">
        <v>44948.0</v>
      </c>
      <c r="B513" s="2" t="s">
        <v>54</v>
      </c>
      <c r="C513" s="2" t="s">
        <v>541</v>
      </c>
      <c r="D513" s="5">
        <v>5830900.0</v>
      </c>
      <c r="E513" s="5"/>
      <c r="F513" s="6" t="s">
        <v>4</v>
      </c>
      <c r="G513" s="3">
        <v>3.4218885130000114E7</v>
      </c>
      <c r="H513" s="4"/>
      <c r="I513" s="6" t="s">
        <v>5</v>
      </c>
      <c r="J513" s="6"/>
      <c r="K513" s="6"/>
    </row>
    <row r="514">
      <c r="A514" s="1">
        <v>44948.0</v>
      </c>
      <c r="B514" s="2" t="s">
        <v>45</v>
      </c>
      <c r="C514" s="2" t="s">
        <v>46</v>
      </c>
      <c r="D514" s="5">
        <v>248000.0</v>
      </c>
      <c r="E514" s="5"/>
      <c r="F514" s="4"/>
      <c r="G514" s="3">
        <v>3.3970885130000114E7</v>
      </c>
      <c r="H514" s="4"/>
      <c r="I514" s="6" t="s">
        <v>1</v>
      </c>
      <c r="J514" s="6"/>
      <c r="K514" s="6"/>
    </row>
    <row r="515">
      <c r="A515" s="1">
        <v>44948.0</v>
      </c>
      <c r="B515" s="2" t="s">
        <v>47</v>
      </c>
      <c r="C515" s="2" t="s">
        <v>542</v>
      </c>
      <c r="D515" s="5"/>
      <c r="E515" s="5">
        <v>4.666275E7</v>
      </c>
      <c r="F515" s="6" t="s">
        <v>26</v>
      </c>
      <c r="G515" s="3">
        <v>8.063363513000011E7</v>
      </c>
      <c r="H515" s="4"/>
      <c r="I515" s="6" t="s">
        <v>11</v>
      </c>
      <c r="J515" s="6"/>
      <c r="K515" s="6"/>
    </row>
    <row r="516">
      <c r="A516" s="1">
        <v>44948.0</v>
      </c>
      <c r="B516" s="2" t="s">
        <v>277</v>
      </c>
      <c r="C516" s="2" t="s">
        <v>543</v>
      </c>
      <c r="D516" s="5">
        <v>102000.0</v>
      </c>
      <c r="E516" s="5"/>
      <c r="F516" s="4"/>
      <c r="G516" s="3">
        <v>8.053163513000011E7</v>
      </c>
      <c r="H516" s="4"/>
      <c r="I516" s="6" t="s">
        <v>1</v>
      </c>
      <c r="J516" s="6"/>
      <c r="K516" s="6"/>
    </row>
    <row r="517">
      <c r="A517" s="1">
        <v>44949.0</v>
      </c>
      <c r="B517" s="2" t="s">
        <v>47</v>
      </c>
      <c r="C517" s="2" t="s">
        <v>544</v>
      </c>
      <c r="D517" s="5"/>
      <c r="E517" s="5">
        <v>5.704825E7</v>
      </c>
      <c r="F517" s="6" t="s">
        <v>26</v>
      </c>
      <c r="G517" s="3">
        <v>1.375798851300001E8</v>
      </c>
      <c r="H517" s="4"/>
      <c r="I517" s="6" t="s">
        <v>11</v>
      </c>
      <c r="J517" s="6"/>
      <c r="K517" s="6"/>
    </row>
    <row r="518">
      <c r="A518" s="1">
        <v>44949.0</v>
      </c>
      <c r="B518" s="2" t="s">
        <v>54</v>
      </c>
      <c r="C518" s="2" t="s">
        <v>545</v>
      </c>
      <c r="D518" s="5">
        <v>1.1994345E8</v>
      </c>
      <c r="E518" s="5"/>
      <c r="F518" s="6" t="s">
        <v>4</v>
      </c>
      <c r="G518" s="3">
        <v>1.7636435130000114E7</v>
      </c>
      <c r="H518" s="4"/>
      <c r="I518" s="6" t="s">
        <v>11</v>
      </c>
      <c r="J518" s="6"/>
      <c r="K518" s="6"/>
    </row>
    <row r="519">
      <c r="A519" s="1">
        <v>44949.0</v>
      </c>
      <c r="B519" s="2" t="s">
        <v>54</v>
      </c>
      <c r="C519" s="2" t="s">
        <v>546</v>
      </c>
      <c r="D519" s="5">
        <v>382050.0</v>
      </c>
      <c r="E519" s="5"/>
      <c r="F519" s="6" t="s">
        <v>4</v>
      </c>
      <c r="G519" s="3">
        <v>1.7254385130000114E7</v>
      </c>
      <c r="H519" s="4"/>
      <c r="I519" s="6" t="s">
        <v>58</v>
      </c>
      <c r="J519" s="6"/>
      <c r="K519" s="6"/>
    </row>
    <row r="520">
      <c r="A520" s="1">
        <v>44949.0</v>
      </c>
      <c r="B520" s="2" t="s">
        <v>54</v>
      </c>
      <c r="C520" s="2" t="s">
        <v>547</v>
      </c>
      <c r="D520" s="5">
        <v>1500000.0</v>
      </c>
      <c r="E520" s="5"/>
      <c r="F520" s="6" t="s">
        <v>4</v>
      </c>
      <c r="G520" s="3">
        <v>1.5754385130000114E7</v>
      </c>
      <c r="H520" s="4"/>
      <c r="I520" s="6" t="s">
        <v>1</v>
      </c>
      <c r="J520" s="6"/>
      <c r="K520" s="6"/>
    </row>
    <row r="521">
      <c r="A521" s="1">
        <v>44949.0</v>
      </c>
      <c r="B521" s="2" t="s">
        <v>45</v>
      </c>
      <c r="C521" s="2" t="s">
        <v>46</v>
      </c>
      <c r="D521" s="5">
        <v>66700.0</v>
      </c>
      <c r="E521" s="5"/>
      <c r="F521" s="4"/>
      <c r="G521" s="3">
        <v>1.5687685130000114E7</v>
      </c>
      <c r="H521" s="4"/>
      <c r="I521" s="6" t="s">
        <v>1</v>
      </c>
      <c r="J521" s="6"/>
      <c r="K521" s="6"/>
    </row>
    <row r="522">
      <c r="A522" s="1">
        <v>44949.0</v>
      </c>
      <c r="B522" s="2" t="s">
        <v>54</v>
      </c>
      <c r="C522" s="2" t="s">
        <v>548</v>
      </c>
      <c r="D522" s="5">
        <v>200000.0</v>
      </c>
      <c r="E522" s="5"/>
      <c r="F522" s="6" t="s">
        <v>4</v>
      </c>
      <c r="G522" s="3">
        <v>1.5487685130000114E7</v>
      </c>
      <c r="H522" s="4"/>
      <c r="I522" s="6" t="s">
        <v>1</v>
      </c>
      <c r="J522" s="6"/>
      <c r="K522" s="6"/>
    </row>
    <row r="523">
      <c r="A523" s="1">
        <v>44949.0</v>
      </c>
      <c r="B523" s="2" t="s">
        <v>47</v>
      </c>
      <c r="C523" s="2" t="s">
        <v>549</v>
      </c>
      <c r="D523" s="5"/>
      <c r="E523" s="5">
        <v>9.54934E7</v>
      </c>
      <c r="F523" s="6" t="s">
        <v>26</v>
      </c>
      <c r="G523" s="3">
        <v>1.1098108513000011E8</v>
      </c>
      <c r="H523" s="4"/>
      <c r="I523" s="6" t="s">
        <v>11</v>
      </c>
      <c r="J523" s="6"/>
      <c r="K523" s="6"/>
    </row>
    <row r="524">
      <c r="A524" s="1">
        <v>44949.0</v>
      </c>
      <c r="B524" s="2" t="s">
        <v>54</v>
      </c>
      <c r="C524" s="2" t="s">
        <v>550</v>
      </c>
      <c r="D524" s="5">
        <v>9.135145E7</v>
      </c>
      <c r="E524" s="5"/>
      <c r="F524" s="6" t="s">
        <v>4</v>
      </c>
      <c r="G524" s="3">
        <v>1.9629635130000114E7</v>
      </c>
      <c r="H524" s="4"/>
      <c r="I524" s="6" t="s">
        <v>11</v>
      </c>
      <c r="J524" s="6"/>
      <c r="K524" s="6"/>
    </row>
    <row r="525">
      <c r="A525" s="1">
        <v>44949.0</v>
      </c>
      <c r="B525" s="2" t="s">
        <v>47</v>
      </c>
      <c r="C525" s="2" t="s">
        <v>551</v>
      </c>
      <c r="D525" s="5"/>
      <c r="E525" s="5">
        <v>5.329E7</v>
      </c>
      <c r="F525" s="6" t="s">
        <v>26</v>
      </c>
      <c r="G525" s="3">
        <v>7.291963513000011E7</v>
      </c>
      <c r="H525" s="4"/>
      <c r="I525" s="6" t="s">
        <v>11</v>
      </c>
      <c r="J525" s="6"/>
      <c r="K525" s="6"/>
    </row>
    <row r="526">
      <c r="A526" s="1">
        <v>44949.0</v>
      </c>
      <c r="B526" s="2" t="s">
        <v>54</v>
      </c>
      <c r="C526" s="2" t="s">
        <v>552</v>
      </c>
      <c r="D526" s="5">
        <v>4.7515E7</v>
      </c>
      <c r="E526" s="5"/>
      <c r="F526" s="6" t="s">
        <v>4</v>
      </c>
      <c r="G526" s="3">
        <v>2.5404635130000114E7</v>
      </c>
      <c r="H526" s="4"/>
      <c r="I526" s="6" t="s">
        <v>11</v>
      </c>
      <c r="J526" s="6"/>
      <c r="K526" s="6"/>
    </row>
    <row r="527">
      <c r="A527" s="1">
        <v>44950.0</v>
      </c>
      <c r="B527" s="2" t="s">
        <v>553</v>
      </c>
      <c r="C527" s="2" t="s">
        <v>554</v>
      </c>
      <c r="D527" s="5">
        <v>2588000.0</v>
      </c>
      <c r="E527" s="5"/>
      <c r="F527" s="6" t="s">
        <v>4</v>
      </c>
      <c r="G527" s="3">
        <v>2.2816635130000114E7</v>
      </c>
      <c r="H527" s="4"/>
      <c r="I527" s="6" t="s">
        <v>5</v>
      </c>
      <c r="J527" s="6"/>
      <c r="K527" s="6"/>
    </row>
    <row r="528">
      <c r="A528" s="1">
        <v>44950.0</v>
      </c>
      <c r="B528" s="2" t="s">
        <v>553</v>
      </c>
      <c r="C528" s="2" t="s">
        <v>555</v>
      </c>
      <c r="D528" s="5">
        <v>3795000.0</v>
      </c>
      <c r="E528" s="5"/>
      <c r="F528" s="6" t="s">
        <v>4</v>
      </c>
      <c r="G528" s="3">
        <v>1.9021635130000114E7</v>
      </c>
      <c r="H528" s="4"/>
      <c r="I528" s="6" t="s">
        <v>5</v>
      </c>
      <c r="J528" s="6"/>
      <c r="K528" s="6"/>
    </row>
    <row r="529">
      <c r="A529" s="1">
        <v>44950.0</v>
      </c>
      <c r="B529" s="2" t="s">
        <v>47</v>
      </c>
      <c r="C529" s="2" t="s">
        <v>556</v>
      </c>
      <c r="D529" s="5"/>
      <c r="E529" s="5">
        <v>1.004839E8</v>
      </c>
      <c r="F529" s="6" t="s">
        <v>26</v>
      </c>
      <c r="G529" s="3">
        <v>1.1950553513000011E8</v>
      </c>
      <c r="H529" s="4"/>
      <c r="I529" s="6" t="s">
        <v>11</v>
      </c>
      <c r="J529" s="6"/>
      <c r="K529" s="6"/>
    </row>
    <row r="530">
      <c r="A530" s="1">
        <v>44950.0</v>
      </c>
      <c r="B530" s="2" t="s">
        <v>47</v>
      </c>
      <c r="C530" s="2" t="s">
        <v>557</v>
      </c>
      <c r="D530" s="5"/>
      <c r="E530" s="5">
        <v>5.48662E7</v>
      </c>
      <c r="F530" s="6" t="s">
        <v>26</v>
      </c>
      <c r="G530" s="3">
        <v>1.743717351300001E8</v>
      </c>
      <c r="H530" s="4"/>
      <c r="I530" s="6" t="s">
        <v>11</v>
      </c>
      <c r="J530" s="6"/>
      <c r="K530" s="6"/>
    </row>
    <row r="531">
      <c r="A531" s="1">
        <v>44950.0</v>
      </c>
      <c r="B531" s="2" t="s">
        <v>47</v>
      </c>
      <c r="C531" s="2" t="s">
        <v>558</v>
      </c>
      <c r="D531" s="5"/>
      <c r="E531" s="5">
        <v>4.98E7</v>
      </c>
      <c r="F531" s="6" t="s">
        <v>26</v>
      </c>
      <c r="G531" s="3">
        <v>2.241717351300001E8</v>
      </c>
      <c r="H531" s="4"/>
      <c r="I531" s="6" t="s">
        <v>11</v>
      </c>
      <c r="J531" s="6"/>
      <c r="K531" s="6"/>
    </row>
    <row r="532">
      <c r="A532" s="1">
        <v>44950.0</v>
      </c>
      <c r="B532" s="2" t="s">
        <v>47</v>
      </c>
      <c r="C532" s="2" t="s">
        <v>559</v>
      </c>
      <c r="D532" s="5"/>
      <c r="E532" s="5">
        <v>5.13E7</v>
      </c>
      <c r="F532" s="6" t="s">
        <v>26</v>
      </c>
      <c r="G532" s="3">
        <v>2.754717351300001E8</v>
      </c>
      <c r="H532" s="4"/>
      <c r="I532" s="6" t="s">
        <v>11</v>
      </c>
      <c r="J532" s="6"/>
      <c r="K532" s="6"/>
    </row>
    <row r="533">
      <c r="A533" s="1">
        <v>44950.0</v>
      </c>
      <c r="B533" s="2" t="s">
        <v>47</v>
      </c>
      <c r="C533" s="2" t="s">
        <v>560</v>
      </c>
      <c r="D533" s="5"/>
      <c r="E533" s="5">
        <v>1.8354483E8</v>
      </c>
      <c r="F533" s="6" t="s">
        <v>26</v>
      </c>
      <c r="G533" s="3">
        <v>4.590165651300001E8</v>
      </c>
      <c r="H533" s="4"/>
      <c r="I533" s="6" t="s">
        <v>11</v>
      </c>
      <c r="J533" s="6"/>
      <c r="K533" s="6"/>
    </row>
    <row r="534">
      <c r="A534" s="1">
        <v>44950.0</v>
      </c>
      <c r="B534" s="2" t="s">
        <v>47</v>
      </c>
      <c r="C534" s="2" t="s">
        <v>561</v>
      </c>
      <c r="D534" s="5"/>
      <c r="E534" s="5">
        <v>1.1539E8</v>
      </c>
      <c r="F534" s="6" t="s">
        <v>26</v>
      </c>
      <c r="G534" s="3">
        <v>5.744065651300001E8</v>
      </c>
      <c r="H534" s="4"/>
      <c r="I534" s="6" t="s">
        <v>11</v>
      </c>
      <c r="J534" s="6"/>
      <c r="K534" s="6"/>
    </row>
    <row r="535">
      <c r="A535" s="1">
        <v>44950.0</v>
      </c>
      <c r="B535" s="2" t="s">
        <v>47</v>
      </c>
      <c r="C535" s="2" t="s">
        <v>562</v>
      </c>
      <c r="D535" s="5"/>
      <c r="E535" s="5">
        <v>4.824443E7</v>
      </c>
      <c r="F535" s="6" t="s">
        <v>26</v>
      </c>
      <c r="G535" s="3">
        <v>6.226509951300001E8</v>
      </c>
      <c r="H535" s="4"/>
      <c r="I535" s="6" t="s">
        <v>11</v>
      </c>
      <c r="J535" s="6"/>
      <c r="K535" s="6"/>
    </row>
    <row r="536">
      <c r="A536" s="1">
        <v>44950.0</v>
      </c>
      <c r="B536" s="2" t="s">
        <v>45</v>
      </c>
      <c r="C536" s="2" t="s">
        <v>46</v>
      </c>
      <c r="D536" s="5">
        <v>66100.0</v>
      </c>
      <c r="E536" s="5"/>
      <c r="F536" s="4"/>
      <c r="G536" s="3">
        <v>6.225848951300001E8</v>
      </c>
      <c r="H536" s="4"/>
      <c r="I536" s="6" t="s">
        <v>1</v>
      </c>
      <c r="J536" s="6"/>
      <c r="K536" s="6"/>
    </row>
    <row r="537">
      <c r="A537" s="1">
        <v>44950.0</v>
      </c>
      <c r="B537" s="2" t="s">
        <v>54</v>
      </c>
      <c r="C537" s="2" t="s">
        <v>563</v>
      </c>
      <c r="D537" s="5">
        <v>2.539975E8</v>
      </c>
      <c r="E537" s="5"/>
      <c r="F537" s="6" t="s">
        <v>4</v>
      </c>
      <c r="G537" s="3">
        <v>3.685873951300001E8</v>
      </c>
      <c r="H537" s="4"/>
      <c r="I537" s="6" t="s">
        <v>11</v>
      </c>
      <c r="J537" s="6"/>
      <c r="K537" s="6"/>
    </row>
    <row r="538">
      <c r="A538" s="1">
        <v>44950.0</v>
      </c>
      <c r="B538" s="2" t="s">
        <v>54</v>
      </c>
      <c r="C538" s="2" t="s">
        <v>564</v>
      </c>
      <c r="D538" s="5">
        <v>5.842704E7</v>
      </c>
      <c r="E538" s="3"/>
      <c r="F538" s="6" t="s">
        <v>4</v>
      </c>
      <c r="G538" s="3">
        <v>3.101603551300001E8</v>
      </c>
      <c r="H538" s="4"/>
      <c r="I538" s="6" t="s">
        <v>11</v>
      </c>
      <c r="J538" s="6"/>
      <c r="K538" s="6"/>
    </row>
    <row r="539">
      <c r="A539" s="1">
        <v>44950.0</v>
      </c>
      <c r="B539" s="2" t="s">
        <v>54</v>
      </c>
      <c r="C539" s="2" t="s">
        <v>565</v>
      </c>
      <c r="D539" s="5">
        <v>1.766733E8</v>
      </c>
      <c r="E539" s="5"/>
      <c r="F539" s="6" t="s">
        <v>4</v>
      </c>
      <c r="G539" s="3">
        <v>1.3348705513000011E8</v>
      </c>
      <c r="H539" s="4"/>
      <c r="I539" s="6" t="s">
        <v>11</v>
      </c>
      <c r="J539" s="6"/>
      <c r="K539" s="6"/>
    </row>
    <row r="540">
      <c r="A540" s="1">
        <v>44950.0</v>
      </c>
      <c r="B540" s="2" t="s">
        <v>54</v>
      </c>
      <c r="C540" s="2" t="s">
        <v>566</v>
      </c>
      <c r="D540" s="5">
        <v>9.33173E7</v>
      </c>
      <c r="E540" s="5"/>
      <c r="F540" s="6" t="s">
        <v>4</v>
      </c>
      <c r="G540" s="3">
        <v>4.0169755130000114E7</v>
      </c>
      <c r="H540" s="4"/>
      <c r="I540" s="6" t="s">
        <v>11</v>
      </c>
      <c r="J540" s="6"/>
      <c r="K540" s="6"/>
    </row>
    <row r="541">
      <c r="A541" s="1">
        <v>44950.0</v>
      </c>
      <c r="B541" s="2" t="s">
        <v>54</v>
      </c>
      <c r="C541" s="2" t="s">
        <v>567</v>
      </c>
      <c r="D541" s="5">
        <v>1369770.0</v>
      </c>
      <c r="E541" s="5"/>
      <c r="F541" s="6" t="s">
        <v>4</v>
      </c>
      <c r="G541" s="3">
        <v>3.8799985130000114E7</v>
      </c>
      <c r="H541" s="4"/>
      <c r="I541" s="6" t="s">
        <v>58</v>
      </c>
      <c r="J541" s="6"/>
      <c r="K541" s="6"/>
    </row>
    <row r="542">
      <c r="A542" s="1">
        <v>44950.0</v>
      </c>
      <c r="B542" s="2" t="s">
        <v>47</v>
      </c>
      <c r="C542" s="2" t="s">
        <v>568</v>
      </c>
      <c r="D542" s="5"/>
      <c r="E542" s="5">
        <v>5.3377E7</v>
      </c>
      <c r="F542" s="6" t="s">
        <v>26</v>
      </c>
      <c r="G542" s="3">
        <v>9.217698513000011E7</v>
      </c>
      <c r="H542" s="4"/>
      <c r="I542" s="6" t="s">
        <v>11</v>
      </c>
      <c r="J542" s="6"/>
      <c r="K542" s="6"/>
    </row>
    <row r="543">
      <c r="A543" s="1">
        <v>44950.0</v>
      </c>
      <c r="B543" s="2" t="s">
        <v>47</v>
      </c>
      <c r="C543" s="2" t="s">
        <v>569</v>
      </c>
      <c r="D543" s="5"/>
      <c r="E543" s="5">
        <v>400000.0</v>
      </c>
      <c r="F543" s="6" t="s">
        <v>26</v>
      </c>
      <c r="G543" s="3">
        <v>9.257698513000011E7</v>
      </c>
      <c r="H543" s="4"/>
      <c r="I543" s="6" t="s">
        <v>11</v>
      </c>
      <c r="J543" s="6"/>
      <c r="K543" s="6"/>
    </row>
    <row r="544">
      <c r="A544" s="1">
        <v>44950.0</v>
      </c>
      <c r="B544" s="2" t="s">
        <v>47</v>
      </c>
      <c r="C544" s="2" t="s">
        <v>570</v>
      </c>
      <c r="D544" s="5"/>
      <c r="E544" s="5">
        <v>4.60274E7</v>
      </c>
      <c r="F544" s="6" t="s">
        <v>26</v>
      </c>
      <c r="G544" s="3">
        <v>1.386043851300001E8</v>
      </c>
      <c r="H544" s="4"/>
      <c r="I544" s="6" t="s">
        <v>11</v>
      </c>
      <c r="J544" s="6"/>
      <c r="K544" s="6"/>
    </row>
    <row r="545">
      <c r="A545" s="1">
        <v>44950.0</v>
      </c>
      <c r="B545" s="2" t="s">
        <v>54</v>
      </c>
      <c r="C545" s="2" t="s">
        <v>571</v>
      </c>
      <c r="D545" s="5">
        <v>5.095504E7</v>
      </c>
      <c r="E545" s="5"/>
      <c r="F545" s="6" t="s">
        <v>4</v>
      </c>
      <c r="G545" s="3">
        <v>8.764934513000011E7</v>
      </c>
      <c r="H545" s="4"/>
      <c r="I545" s="6" t="s">
        <v>11</v>
      </c>
      <c r="J545" s="6"/>
      <c r="K545" s="6"/>
    </row>
    <row r="546">
      <c r="A546" s="1">
        <v>44950.0</v>
      </c>
      <c r="B546" s="2" t="s">
        <v>54</v>
      </c>
      <c r="C546" s="2" t="s">
        <v>572</v>
      </c>
      <c r="D546" s="5">
        <v>5.219846E7</v>
      </c>
      <c r="E546" s="5"/>
      <c r="F546" s="6" t="s">
        <v>4</v>
      </c>
      <c r="G546" s="3">
        <v>3.5450885130000114E7</v>
      </c>
      <c r="H546" s="4"/>
      <c r="I546" s="6" t="s">
        <v>11</v>
      </c>
      <c r="J546" s="6"/>
      <c r="K546" s="6"/>
    </row>
    <row r="547">
      <c r="A547" s="1">
        <v>44951.0</v>
      </c>
      <c r="B547" s="2" t="s">
        <v>54</v>
      </c>
      <c r="C547" s="2" t="s">
        <v>573</v>
      </c>
      <c r="D547" s="5">
        <v>1323420.0</v>
      </c>
      <c r="E547" s="5"/>
      <c r="F547" s="6" t="s">
        <v>4</v>
      </c>
      <c r="G547" s="3">
        <v>3.4127465130000114E7</v>
      </c>
      <c r="H547" s="4"/>
      <c r="I547" s="6" t="s">
        <v>5</v>
      </c>
      <c r="J547" s="6"/>
      <c r="K547" s="6"/>
    </row>
    <row r="548">
      <c r="A548" s="1">
        <v>44951.0</v>
      </c>
      <c r="B548" s="2" t="s">
        <v>54</v>
      </c>
      <c r="C548" s="2" t="s">
        <v>574</v>
      </c>
      <c r="D548" s="5">
        <v>4141100.0</v>
      </c>
      <c r="E548" s="5"/>
      <c r="F548" s="6" t="s">
        <v>4</v>
      </c>
      <c r="G548" s="3">
        <v>2.9986365130000114E7</v>
      </c>
      <c r="H548" s="4"/>
      <c r="I548" s="6" t="s">
        <v>5</v>
      </c>
      <c r="J548" s="6"/>
      <c r="K548" s="6"/>
    </row>
    <row r="549">
      <c r="A549" s="1">
        <v>44951.0</v>
      </c>
      <c r="B549" s="2" t="s">
        <v>54</v>
      </c>
      <c r="C549" s="2" t="s">
        <v>575</v>
      </c>
      <c r="D549" s="5">
        <v>1.2E7</v>
      </c>
      <c r="E549" s="5"/>
      <c r="F549" s="6" t="s">
        <v>4</v>
      </c>
      <c r="G549" s="3">
        <v>1.7986365130000114E7</v>
      </c>
      <c r="H549" s="4"/>
      <c r="I549" s="6" t="s">
        <v>11</v>
      </c>
      <c r="J549" s="6"/>
      <c r="K549" s="6"/>
    </row>
    <row r="550">
      <c r="A550" s="1">
        <v>44951.0</v>
      </c>
      <c r="B550" s="2" t="s">
        <v>47</v>
      </c>
      <c r="C550" s="2" t="s">
        <v>576</v>
      </c>
      <c r="D550" s="5"/>
      <c r="E550" s="5">
        <v>1.031726E8</v>
      </c>
      <c r="F550" s="6" t="s">
        <v>26</v>
      </c>
      <c r="G550" s="3">
        <v>1.2115896513000011E8</v>
      </c>
      <c r="H550" s="4"/>
      <c r="I550" s="6" t="s">
        <v>11</v>
      </c>
      <c r="J550" s="6"/>
      <c r="K550" s="6"/>
    </row>
    <row r="551">
      <c r="A551" s="1">
        <v>44951.0</v>
      </c>
      <c r="B551" s="2" t="s">
        <v>54</v>
      </c>
      <c r="C551" s="2" t="s">
        <v>577</v>
      </c>
      <c r="D551" s="5">
        <v>1000000.0</v>
      </c>
      <c r="E551" s="5"/>
      <c r="F551" s="6" t="s">
        <v>4</v>
      </c>
      <c r="G551" s="3">
        <v>1.2015896513000011E8</v>
      </c>
      <c r="H551" s="4"/>
      <c r="I551" s="6" t="s">
        <v>11</v>
      </c>
      <c r="J551" s="6"/>
      <c r="K551" s="6"/>
    </row>
    <row r="552">
      <c r="A552" s="1">
        <v>44951.0</v>
      </c>
      <c r="B552" s="2" t="s">
        <v>47</v>
      </c>
      <c r="C552" s="2" t="s">
        <v>578</v>
      </c>
      <c r="D552" s="5"/>
      <c r="E552" s="5">
        <v>5.010232E7</v>
      </c>
      <c r="F552" s="6" t="s">
        <v>26</v>
      </c>
      <c r="G552" s="3">
        <v>1.702612851300001E8</v>
      </c>
      <c r="H552" s="4"/>
      <c r="I552" s="6" t="s">
        <v>11</v>
      </c>
      <c r="J552" s="6"/>
      <c r="K552" s="6"/>
    </row>
    <row r="553">
      <c r="A553" s="1">
        <v>44951.0</v>
      </c>
      <c r="B553" s="2" t="s">
        <v>579</v>
      </c>
      <c r="C553" s="2" t="s">
        <v>579</v>
      </c>
      <c r="D553" s="5">
        <v>300000.0</v>
      </c>
      <c r="E553" s="5"/>
      <c r="F553" s="4"/>
      <c r="G553" s="3">
        <v>1.699612851300001E8</v>
      </c>
      <c r="H553" s="4"/>
      <c r="I553" s="6" t="s">
        <v>1</v>
      </c>
      <c r="J553" s="6"/>
      <c r="K553" s="6"/>
    </row>
    <row r="554">
      <c r="A554" s="1">
        <v>44951.0</v>
      </c>
      <c r="B554" s="2" t="s">
        <v>54</v>
      </c>
      <c r="C554" s="2" t="s">
        <v>580</v>
      </c>
      <c r="D554" s="5">
        <v>4.69008E7</v>
      </c>
      <c r="E554" s="3"/>
      <c r="F554" s="6" t="s">
        <v>4</v>
      </c>
      <c r="G554" s="3">
        <v>1.2306048513000011E8</v>
      </c>
      <c r="H554" s="4"/>
      <c r="I554" s="6" t="s">
        <v>11</v>
      </c>
      <c r="J554" s="6"/>
      <c r="K554" s="6"/>
    </row>
    <row r="555">
      <c r="A555" s="1">
        <v>44951.0</v>
      </c>
      <c r="B555" s="2" t="s">
        <v>54</v>
      </c>
      <c r="C555" s="2" t="s">
        <v>581</v>
      </c>
      <c r="D555" s="5">
        <v>1.217728E8</v>
      </c>
      <c r="E555" s="5"/>
      <c r="F555" s="6" t="s">
        <v>4</v>
      </c>
      <c r="G555" s="3">
        <v>1287685.1300001144</v>
      </c>
      <c r="H555" s="4"/>
      <c r="I555" s="6" t="s">
        <v>11</v>
      </c>
      <c r="J555" s="6"/>
      <c r="K555" s="6"/>
    </row>
    <row r="556">
      <c r="A556" s="1">
        <v>44952.0</v>
      </c>
      <c r="B556" s="2" t="s">
        <v>582</v>
      </c>
      <c r="C556" s="2" t="s">
        <v>583</v>
      </c>
      <c r="D556" s="5"/>
      <c r="E556" s="5">
        <v>4.5E7</v>
      </c>
      <c r="F556" s="6" t="s">
        <v>26</v>
      </c>
      <c r="G556" s="3">
        <v>4.6287685130000114E7</v>
      </c>
      <c r="H556" s="4"/>
      <c r="I556" s="6" t="s">
        <v>11</v>
      </c>
      <c r="J556" s="6"/>
      <c r="K556" s="6"/>
    </row>
    <row r="557">
      <c r="A557" s="1">
        <v>44952.0</v>
      </c>
      <c r="B557" s="2" t="s">
        <v>47</v>
      </c>
      <c r="C557" s="2" t="s">
        <v>584</v>
      </c>
      <c r="D557" s="5"/>
      <c r="E557" s="5">
        <v>9.67417E7</v>
      </c>
      <c r="F557" s="6" t="s">
        <v>26</v>
      </c>
      <c r="G557" s="3">
        <v>1.430293851300001E8</v>
      </c>
      <c r="H557" s="4"/>
      <c r="I557" s="6" t="s">
        <v>11</v>
      </c>
      <c r="J557" s="6"/>
      <c r="K557" s="6"/>
    </row>
    <row r="558">
      <c r="A558" s="1">
        <v>44952.0</v>
      </c>
      <c r="B558" s="2" t="s">
        <v>54</v>
      </c>
      <c r="C558" s="2" t="s">
        <v>585</v>
      </c>
      <c r="D558" s="5">
        <v>1.0559501E8</v>
      </c>
      <c r="E558" s="5"/>
      <c r="F558" s="6" t="s">
        <v>4</v>
      </c>
      <c r="G558" s="3">
        <v>3.7434375130000114E7</v>
      </c>
      <c r="H558" s="4"/>
      <c r="I558" s="6" t="s">
        <v>11</v>
      </c>
      <c r="J558" s="6"/>
      <c r="K558" s="6"/>
    </row>
    <row r="559">
      <c r="A559" s="1">
        <v>44952.0</v>
      </c>
      <c r="B559" s="2" t="s">
        <v>47</v>
      </c>
      <c r="C559" s="2" t="s">
        <v>586</v>
      </c>
      <c r="D559" s="5"/>
      <c r="E559" s="5">
        <v>2.4590711E8</v>
      </c>
      <c r="F559" s="6" t="s">
        <v>26</v>
      </c>
      <c r="G559" s="3">
        <v>2.833414851300001E8</v>
      </c>
      <c r="H559" s="4"/>
      <c r="I559" s="6" t="s">
        <v>11</v>
      </c>
      <c r="J559" s="6"/>
      <c r="K559" s="6"/>
    </row>
    <row r="560">
      <c r="A560" s="1">
        <v>44952.0</v>
      </c>
      <c r="B560" s="2" t="s">
        <v>54</v>
      </c>
      <c r="C560" s="2" t="s">
        <v>587</v>
      </c>
      <c r="D560" s="5">
        <v>5.565954E7</v>
      </c>
      <c r="E560" s="5"/>
      <c r="F560" s="6" t="s">
        <v>4</v>
      </c>
      <c r="G560" s="3">
        <v>2.276819451300001E8</v>
      </c>
      <c r="H560" s="4"/>
      <c r="I560" s="6" t="s">
        <v>11</v>
      </c>
      <c r="J560" s="6"/>
      <c r="K560" s="6"/>
    </row>
    <row r="561">
      <c r="A561" s="1">
        <v>44952.0</v>
      </c>
      <c r="B561" s="2" t="s">
        <v>54</v>
      </c>
      <c r="C561" s="2" t="s">
        <v>588</v>
      </c>
      <c r="D561" s="5">
        <v>1.11368E8</v>
      </c>
      <c r="E561" s="5"/>
      <c r="F561" s="6" t="s">
        <v>4</v>
      </c>
      <c r="G561" s="3">
        <v>1.1631394513000011E8</v>
      </c>
      <c r="H561" s="4"/>
      <c r="I561" s="6" t="s">
        <v>11</v>
      </c>
      <c r="J561" s="6"/>
      <c r="K561" s="6"/>
    </row>
    <row r="562">
      <c r="A562" s="1">
        <v>44952.0</v>
      </c>
      <c r="B562" s="2" t="s">
        <v>54</v>
      </c>
      <c r="C562" s="2" t="s">
        <v>589</v>
      </c>
      <c r="D562" s="5">
        <v>4.55593E7</v>
      </c>
      <c r="E562" s="5"/>
      <c r="F562" s="6" t="s">
        <v>4</v>
      </c>
      <c r="G562" s="3">
        <v>7.075464513000011E7</v>
      </c>
      <c r="H562" s="4"/>
      <c r="I562" s="6" t="s">
        <v>11</v>
      </c>
      <c r="J562" s="6"/>
      <c r="K562" s="6"/>
    </row>
    <row r="563">
      <c r="A563" s="1">
        <v>44952.0</v>
      </c>
      <c r="B563" s="2" t="s">
        <v>47</v>
      </c>
      <c r="C563" s="2" t="s">
        <v>590</v>
      </c>
      <c r="D563" s="5"/>
      <c r="E563" s="5">
        <v>4.731035E7</v>
      </c>
      <c r="F563" s="6" t="s">
        <v>26</v>
      </c>
      <c r="G563" s="3">
        <v>1.1806499513000011E8</v>
      </c>
      <c r="H563" s="4"/>
      <c r="I563" s="6" t="s">
        <v>11</v>
      </c>
      <c r="J563" s="6"/>
      <c r="K563" s="6"/>
    </row>
    <row r="564">
      <c r="A564" s="1">
        <v>44952.0</v>
      </c>
      <c r="B564" s="2" t="s">
        <v>47</v>
      </c>
      <c r="C564" s="2" t="s">
        <v>591</v>
      </c>
      <c r="D564" s="5"/>
      <c r="E564" s="5">
        <v>5.058016E7</v>
      </c>
      <c r="F564" s="6" t="s">
        <v>26</v>
      </c>
      <c r="G564" s="3">
        <v>1.686451551300001E8</v>
      </c>
      <c r="H564" s="4"/>
      <c r="I564" s="6" t="s">
        <v>11</v>
      </c>
      <c r="J564" s="6"/>
      <c r="K564" s="6"/>
    </row>
    <row r="565">
      <c r="A565" s="1">
        <v>44952.0</v>
      </c>
      <c r="B565" s="2" t="s">
        <v>47</v>
      </c>
      <c r="C565" s="2" t="s">
        <v>592</v>
      </c>
      <c r="D565" s="5"/>
      <c r="E565" s="5">
        <v>2.07755025E8</v>
      </c>
      <c r="F565" s="6" t="s">
        <v>26</v>
      </c>
      <c r="G565" s="3">
        <v>3.764001801300001E8</v>
      </c>
      <c r="H565" s="4"/>
      <c r="I565" s="6" t="s">
        <v>11</v>
      </c>
      <c r="J565" s="6"/>
      <c r="K565" s="6"/>
    </row>
    <row r="566">
      <c r="A566" s="1">
        <v>44952.0</v>
      </c>
      <c r="B566" s="2" t="s">
        <v>47</v>
      </c>
      <c r="C566" s="2" t="s">
        <v>593</v>
      </c>
      <c r="D566" s="5"/>
      <c r="E566" s="5">
        <v>1.0675529E8</v>
      </c>
      <c r="F566" s="6" t="s">
        <v>26</v>
      </c>
      <c r="G566" s="3">
        <v>4.831554701300001E8</v>
      </c>
      <c r="H566" s="4"/>
      <c r="I566" s="6" t="s">
        <v>11</v>
      </c>
      <c r="J566" s="6"/>
      <c r="K566" s="6"/>
    </row>
    <row r="567">
      <c r="A567" s="1">
        <v>44952.0</v>
      </c>
      <c r="B567" s="2" t="s">
        <v>54</v>
      </c>
      <c r="C567" s="2" t="s">
        <v>594</v>
      </c>
      <c r="D567" s="5">
        <v>7.50119E7</v>
      </c>
      <c r="E567" s="5"/>
      <c r="F567" s="6" t="s">
        <v>4</v>
      </c>
      <c r="G567" s="3">
        <v>4.081435701300001E8</v>
      </c>
      <c r="H567" s="4"/>
      <c r="I567" s="6" t="s">
        <v>11</v>
      </c>
      <c r="J567" s="6"/>
      <c r="K567" s="6"/>
    </row>
    <row r="568">
      <c r="A568" s="1">
        <v>44952.0</v>
      </c>
      <c r="B568" s="2" t="s">
        <v>54</v>
      </c>
      <c r="C568" s="2" t="s">
        <v>595</v>
      </c>
      <c r="D568" s="5">
        <v>4.293E7</v>
      </c>
      <c r="E568" s="3"/>
      <c r="F568" s="6" t="s">
        <v>4</v>
      </c>
      <c r="G568" s="3">
        <v>3.652135701300001E8</v>
      </c>
      <c r="H568" s="4"/>
      <c r="I568" s="6" t="s">
        <v>11</v>
      </c>
      <c r="J568" s="6"/>
      <c r="K568" s="6"/>
    </row>
    <row r="569">
      <c r="A569" s="1">
        <v>44952.0</v>
      </c>
      <c r="B569" s="2" t="s">
        <v>54</v>
      </c>
      <c r="C569" s="2" t="s">
        <v>596</v>
      </c>
      <c r="D569" s="5">
        <v>1.995E8</v>
      </c>
      <c r="E569" s="5"/>
      <c r="F569" s="6" t="s">
        <v>4</v>
      </c>
      <c r="G569" s="3">
        <v>1.657135701300001E8</v>
      </c>
      <c r="H569" s="4"/>
      <c r="I569" s="6" t="s">
        <v>11</v>
      </c>
      <c r="J569" s="6"/>
      <c r="K569" s="6"/>
    </row>
    <row r="570">
      <c r="A570" s="1">
        <v>44952.0</v>
      </c>
      <c r="B570" s="2" t="s">
        <v>54</v>
      </c>
      <c r="C570" s="2" t="s">
        <v>597</v>
      </c>
      <c r="D570" s="5">
        <v>7.204055E7</v>
      </c>
      <c r="E570" s="5"/>
      <c r="F570" s="6" t="s">
        <v>4</v>
      </c>
      <c r="G570" s="3">
        <v>9.367302013000011E7</v>
      </c>
      <c r="H570" s="4"/>
      <c r="I570" s="6" t="s">
        <v>11</v>
      </c>
      <c r="J570" s="6"/>
      <c r="K570" s="6"/>
    </row>
    <row r="571">
      <c r="A571" s="1">
        <v>44952.0</v>
      </c>
      <c r="B571" s="2" t="s">
        <v>598</v>
      </c>
      <c r="C571" s="2" t="s">
        <v>598</v>
      </c>
      <c r="D571" s="5">
        <v>150000.0</v>
      </c>
      <c r="E571" s="5"/>
      <c r="F571" s="4"/>
      <c r="G571" s="3">
        <v>9.352302013000011E7</v>
      </c>
      <c r="H571" s="4"/>
      <c r="I571" s="6" t="s">
        <v>1</v>
      </c>
      <c r="J571" s="6"/>
      <c r="K571" s="6"/>
    </row>
    <row r="572">
      <c r="A572" s="1">
        <v>44952.0</v>
      </c>
      <c r="B572" s="2" t="s">
        <v>54</v>
      </c>
      <c r="C572" s="2" t="s">
        <v>599</v>
      </c>
      <c r="D572" s="5">
        <v>4.0E7</v>
      </c>
      <c r="E572" s="5"/>
      <c r="F572" s="6" t="s">
        <v>4</v>
      </c>
      <c r="G572" s="3">
        <v>5.3523020130000114E7</v>
      </c>
      <c r="H572" s="4"/>
      <c r="I572" s="6" t="s">
        <v>11</v>
      </c>
      <c r="J572" s="6"/>
      <c r="K572" s="6"/>
    </row>
    <row r="573">
      <c r="A573" s="1">
        <v>44952.0</v>
      </c>
      <c r="B573" s="2" t="s">
        <v>54</v>
      </c>
      <c r="C573" s="2" t="s">
        <v>600</v>
      </c>
      <c r="D573" s="5">
        <v>3.0E7</v>
      </c>
      <c r="E573" s="5"/>
      <c r="F573" s="6" t="s">
        <v>4</v>
      </c>
      <c r="G573" s="3">
        <v>2.3523020130000114E7</v>
      </c>
      <c r="H573" s="4"/>
      <c r="I573" s="6" t="s">
        <v>11</v>
      </c>
      <c r="J573" s="6"/>
      <c r="K573" s="6"/>
    </row>
    <row r="574">
      <c r="A574" s="1">
        <v>44953.0</v>
      </c>
      <c r="B574" s="2" t="s">
        <v>601</v>
      </c>
      <c r="C574" s="2" t="s">
        <v>602</v>
      </c>
      <c r="D574" s="5">
        <v>3578230.0</v>
      </c>
      <c r="E574" s="5"/>
      <c r="F574" s="6" t="s">
        <v>4</v>
      </c>
      <c r="G574" s="3">
        <v>1.9944790130000114E7</v>
      </c>
      <c r="H574" s="4"/>
      <c r="I574" s="6" t="s">
        <v>5</v>
      </c>
      <c r="J574" s="6"/>
      <c r="K574" s="6"/>
    </row>
    <row r="575">
      <c r="A575" s="1">
        <v>44953.0</v>
      </c>
      <c r="B575" s="2" t="s">
        <v>603</v>
      </c>
      <c r="C575" s="2" t="s">
        <v>604</v>
      </c>
      <c r="D575" s="5"/>
      <c r="E575" s="5">
        <v>4.719E7</v>
      </c>
      <c r="F575" s="6" t="s">
        <v>26</v>
      </c>
      <c r="G575" s="3">
        <v>6.713479013000011E7</v>
      </c>
      <c r="H575" s="4"/>
      <c r="I575" s="6" t="s">
        <v>11</v>
      </c>
      <c r="J575" s="6"/>
      <c r="K575" s="6"/>
    </row>
    <row r="576">
      <c r="A576" s="1">
        <v>44953.0</v>
      </c>
      <c r="B576" s="2" t="s">
        <v>601</v>
      </c>
      <c r="C576" s="2" t="s">
        <v>605</v>
      </c>
      <c r="D576" s="5">
        <v>5241550.0</v>
      </c>
      <c r="E576" s="5"/>
      <c r="F576" s="6" t="s">
        <v>4</v>
      </c>
      <c r="G576" s="3">
        <v>6.1893240130000114E7</v>
      </c>
      <c r="H576" s="4"/>
      <c r="I576" s="6" t="s">
        <v>5</v>
      </c>
      <c r="J576" s="6"/>
      <c r="K576" s="6"/>
    </row>
    <row r="577">
      <c r="A577" s="1">
        <v>44953.0</v>
      </c>
      <c r="B577" s="2" t="s">
        <v>603</v>
      </c>
      <c r="C577" s="2" t="s">
        <v>606</v>
      </c>
      <c r="D577" s="5"/>
      <c r="E577" s="5">
        <v>1.0341835E8</v>
      </c>
      <c r="F577" s="6" t="s">
        <v>26</v>
      </c>
      <c r="G577" s="3">
        <v>1.653115901300001E8</v>
      </c>
      <c r="H577" s="4"/>
      <c r="I577" s="6" t="s">
        <v>11</v>
      </c>
      <c r="J577" s="6"/>
      <c r="K577" s="6"/>
    </row>
    <row r="578">
      <c r="A578" s="1">
        <v>44953.0</v>
      </c>
      <c r="B578" s="2" t="s">
        <v>54</v>
      </c>
      <c r="C578" s="2" t="s">
        <v>607</v>
      </c>
      <c r="D578" s="5">
        <v>4.78645E7</v>
      </c>
      <c r="E578" s="5"/>
      <c r="F578" s="6" t="s">
        <v>4</v>
      </c>
      <c r="G578" s="3">
        <v>1.1744709013000011E8</v>
      </c>
      <c r="H578" s="4"/>
      <c r="I578" s="6" t="s">
        <v>11</v>
      </c>
      <c r="J578" s="6"/>
      <c r="K578" s="6"/>
    </row>
    <row r="579">
      <c r="A579" s="1">
        <v>44953.0</v>
      </c>
      <c r="B579" s="2" t="s">
        <v>54</v>
      </c>
      <c r="C579" s="2" t="s">
        <v>608</v>
      </c>
      <c r="D579" s="5">
        <v>4.745E7</v>
      </c>
      <c r="E579" s="5"/>
      <c r="F579" s="6" t="s">
        <v>4</v>
      </c>
      <c r="G579" s="3">
        <v>6.999709013000011E7</v>
      </c>
      <c r="H579" s="4"/>
      <c r="I579" s="6" t="s">
        <v>11</v>
      </c>
      <c r="J579" s="6"/>
      <c r="K579" s="6"/>
    </row>
    <row r="580">
      <c r="A580" s="1">
        <v>44953.0</v>
      </c>
      <c r="B580" s="2" t="s">
        <v>54</v>
      </c>
      <c r="C580" s="2" t="s">
        <v>609</v>
      </c>
      <c r="D580" s="5">
        <v>3.64528E7</v>
      </c>
      <c r="E580" s="5"/>
      <c r="F580" s="6" t="s">
        <v>4</v>
      </c>
      <c r="G580" s="3">
        <v>3.3544290130000114E7</v>
      </c>
      <c r="H580" s="4"/>
      <c r="I580" s="6" t="s">
        <v>11</v>
      </c>
      <c r="J580" s="6"/>
      <c r="K580" s="6"/>
    </row>
    <row r="581">
      <c r="A581" s="1">
        <v>44953.0</v>
      </c>
      <c r="B581" s="2" t="s">
        <v>47</v>
      </c>
      <c r="C581" s="2" t="s">
        <v>610</v>
      </c>
      <c r="D581" s="5"/>
      <c r="E581" s="5">
        <v>2.040998E8</v>
      </c>
      <c r="F581" s="6" t="s">
        <v>26</v>
      </c>
      <c r="G581" s="3">
        <v>2.376440901300001E8</v>
      </c>
      <c r="H581" s="4"/>
      <c r="I581" s="6" t="s">
        <v>11</v>
      </c>
      <c r="J581" s="6"/>
      <c r="K581" s="6"/>
    </row>
    <row r="582">
      <c r="A582" s="1">
        <v>44953.0</v>
      </c>
      <c r="B582" s="2" t="s">
        <v>54</v>
      </c>
      <c r="C582" s="2" t="s">
        <v>611</v>
      </c>
      <c r="D582" s="5">
        <v>800000.0</v>
      </c>
      <c r="E582" s="5"/>
      <c r="F582" s="6" t="s">
        <v>4</v>
      </c>
      <c r="G582" s="3">
        <v>2.368440901300001E8</v>
      </c>
      <c r="H582" s="4"/>
      <c r="I582" s="6" t="s">
        <v>58</v>
      </c>
      <c r="J582" s="6"/>
      <c r="K582" s="6"/>
    </row>
    <row r="583">
      <c r="A583" s="1">
        <v>44953.0</v>
      </c>
      <c r="B583" s="2" t="s">
        <v>47</v>
      </c>
      <c r="C583" s="2" t="s">
        <v>612</v>
      </c>
      <c r="D583" s="5"/>
      <c r="E583" s="5">
        <v>4.73037E7</v>
      </c>
      <c r="F583" s="6" t="s">
        <v>26</v>
      </c>
      <c r="G583" s="3">
        <v>2.841477901300001E8</v>
      </c>
      <c r="H583" s="4"/>
      <c r="I583" s="6" t="s">
        <v>11</v>
      </c>
      <c r="J583" s="6"/>
      <c r="K583" s="6"/>
    </row>
    <row r="584">
      <c r="A584" s="1">
        <v>44953.0</v>
      </c>
      <c r="B584" s="2" t="s">
        <v>47</v>
      </c>
      <c r="C584" s="2" t="s">
        <v>613</v>
      </c>
      <c r="D584" s="5"/>
      <c r="E584" s="5">
        <v>2.455633E8</v>
      </c>
      <c r="F584" s="6" t="s">
        <v>26</v>
      </c>
      <c r="G584" s="3">
        <v>5.297110901300001E8</v>
      </c>
      <c r="H584" s="4"/>
      <c r="I584" s="6" t="s">
        <v>11</v>
      </c>
      <c r="J584" s="6"/>
      <c r="K584" s="6"/>
    </row>
    <row r="585">
      <c r="A585" s="1">
        <v>44953.0</v>
      </c>
      <c r="B585" s="2" t="s">
        <v>54</v>
      </c>
      <c r="C585" s="2" t="s">
        <v>614</v>
      </c>
      <c r="D585" s="5">
        <v>4.3755E7</v>
      </c>
      <c r="E585" s="5"/>
      <c r="F585" s="6" t="s">
        <v>4</v>
      </c>
      <c r="G585" s="3">
        <v>4.859560901300001E8</v>
      </c>
      <c r="H585" s="4"/>
      <c r="I585" s="6" t="s">
        <v>11</v>
      </c>
      <c r="J585" s="6"/>
      <c r="K585" s="6"/>
    </row>
    <row r="586">
      <c r="A586" s="1">
        <v>44953.0</v>
      </c>
      <c r="B586" s="2" t="s">
        <v>54</v>
      </c>
      <c r="C586" s="2" t="s">
        <v>615</v>
      </c>
      <c r="D586" s="5">
        <v>7.66005E7</v>
      </c>
      <c r="E586" s="5"/>
      <c r="F586" s="6" t="s">
        <v>4</v>
      </c>
      <c r="G586" s="3">
        <v>4.093555901300001E8</v>
      </c>
      <c r="H586" s="4"/>
      <c r="I586" s="6" t="s">
        <v>11</v>
      </c>
      <c r="J586" s="6"/>
      <c r="K586" s="6"/>
    </row>
    <row r="587">
      <c r="A587" s="1">
        <v>44953.0</v>
      </c>
      <c r="B587" s="2" t="s">
        <v>47</v>
      </c>
      <c r="C587" s="2" t="s">
        <v>616</v>
      </c>
      <c r="D587" s="5"/>
      <c r="E587" s="5">
        <v>5.587E7</v>
      </c>
      <c r="F587" s="6" t="s">
        <v>26</v>
      </c>
      <c r="G587" s="3">
        <v>4.652255901300001E8</v>
      </c>
      <c r="H587" s="4"/>
      <c r="I587" s="6" t="s">
        <v>11</v>
      </c>
      <c r="J587" s="6"/>
      <c r="K587" s="6"/>
    </row>
    <row r="588">
      <c r="A588" s="1">
        <v>44953.0</v>
      </c>
      <c r="B588" s="2" t="s">
        <v>47</v>
      </c>
      <c r="C588" s="2" t="s">
        <v>617</v>
      </c>
      <c r="D588" s="5"/>
      <c r="E588" s="5">
        <v>1.7603694E8</v>
      </c>
      <c r="F588" s="6" t="s">
        <v>26</v>
      </c>
      <c r="G588" s="3">
        <v>6.412625301300001E8</v>
      </c>
      <c r="H588" s="4"/>
      <c r="I588" s="6" t="s">
        <v>11</v>
      </c>
      <c r="J588" s="6"/>
      <c r="K588" s="6"/>
    </row>
    <row r="589">
      <c r="A589" s="1">
        <v>44953.0</v>
      </c>
      <c r="B589" s="2" t="s">
        <v>47</v>
      </c>
      <c r="C589" s="2" t="s">
        <v>618</v>
      </c>
      <c r="D589" s="5"/>
      <c r="E589" s="5">
        <v>1.9219726E8</v>
      </c>
      <c r="F589" s="6" t="s">
        <v>26</v>
      </c>
      <c r="G589" s="3">
        <v>8.334597901300001E8</v>
      </c>
      <c r="H589" s="4"/>
      <c r="I589" s="6" t="s">
        <v>11</v>
      </c>
      <c r="J589" s="6"/>
      <c r="K589" s="6"/>
    </row>
    <row r="590">
      <c r="A590" s="1">
        <v>44953.0</v>
      </c>
      <c r="B590" s="2" t="s">
        <v>54</v>
      </c>
      <c r="C590" s="2" t="s">
        <v>619</v>
      </c>
      <c r="D590" s="5">
        <v>5.45334E7</v>
      </c>
      <c r="E590" s="5"/>
      <c r="F590" s="6" t="s">
        <v>4</v>
      </c>
      <c r="G590" s="3">
        <v>7.789263901300001E8</v>
      </c>
      <c r="H590" s="4"/>
      <c r="I590" s="6" t="s">
        <v>11</v>
      </c>
      <c r="J590" s="6"/>
      <c r="K590" s="6"/>
    </row>
    <row r="591">
      <c r="A591" s="1">
        <v>44953.0</v>
      </c>
      <c r="B591" s="2" t="s">
        <v>54</v>
      </c>
      <c r="C591" s="2" t="s">
        <v>620</v>
      </c>
      <c r="D591" s="5">
        <v>1811430.0</v>
      </c>
      <c r="E591" s="5"/>
      <c r="F591" s="6" t="s">
        <v>4</v>
      </c>
      <c r="G591" s="3">
        <v>7.771149601300001E8</v>
      </c>
      <c r="H591" s="4"/>
      <c r="I591" s="6" t="s">
        <v>58</v>
      </c>
      <c r="J591" s="6"/>
      <c r="K591" s="6"/>
    </row>
    <row r="592">
      <c r="A592" s="1">
        <v>44953.0</v>
      </c>
      <c r="B592" s="2" t="s">
        <v>54</v>
      </c>
      <c r="C592" s="2" t="s">
        <v>621</v>
      </c>
      <c r="D592" s="5">
        <v>4.697E7</v>
      </c>
      <c r="E592" s="5"/>
      <c r="F592" s="6" t="s">
        <v>4</v>
      </c>
      <c r="G592" s="3">
        <v>7.301449601300001E8</v>
      </c>
      <c r="H592" s="4"/>
      <c r="I592" s="6" t="s">
        <v>11</v>
      </c>
      <c r="J592" s="6"/>
      <c r="K592" s="6"/>
    </row>
    <row r="593">
      <c r="A593" s="1">
        <v>44953.0</v>
      </c>
      <c r="B593" s="2" t="s">
        <v>54</v>
      </c>
      <c r="C593" s="2" t="s">
        <v>622</v>
      </c>
      <c r="D593" s="5">
        <v>1.6578726E8</v>
      </c>
      <c r="E593" s="5"/>
      <c r="F593" s="6" t="s">
        <v>4</v>
      </c>
      <c r="G593" s="3">
        <v>5.643577001300001E8</v>
      </c>
      <c r="H593" s="4"/>
      <c r="I593" s="6" t="s">
        <v>11</v>
      </c>
      <c r="J593" s="6"/>
      <c r="K593" s="6"/>
    </row>
    <row r="594">
      <c r="A594" s="1">
        <v>44953.0</v>
      </c>
      <c r="B594" s="2" t="s">
        <v>54</v>
      </c>
      <c r="C594" s="2" t="s">
        <v>623</v>
      </c>
      <c r="D594" s="5">
        <v>1.28313E8</v>
      </c>
      <c r="E594" s="5"/>
      <c r="F594" s="6" t="s">
        <v>4</v>
      </c>
      <c r="G594" s="3">
        <v>4.360447001300001E8</v>
      </c>
      <c r="H594" s="4"/>
      <c r="I594" s="6" t="s">
        <v>11</v>
      </c>
      <c r="J594" s="6"/>
      <c r="K594" s="6"/>
    </row>
    <row r="595">
      <c r="A595" s="1">
        <v>44953.0</v>
      </c>
      <c r="B595" s="2" t="s">
        <v>54</v>
      </c>
      <c r="C595" s="2" t="s">
        <v>624</v>
      </c>
      <c r="D595" s="5">
        <v>4.66891E7</v>
      </c>
      <c r="E595" s="5"/>
      <c r="F595" s="6" t="s">
        <v>4</v>
      </c>
      <c r="G595" s="3">
        <v>3.893556001300001E8</v>
      </c>
      <c r="H595" s="4"/>
      <c r="I595" s="6" t="s">
        <v>11</v>
      </c>
      <c r="J595" s="6"/>
      <c r="K595" s="6"/>
    </row>
    <row r="596">
      <c r="A596" s="1">
        <v>44953.0</v>
      </c>
      <c r="B596" s="2" t="s">
        <v>54</v>
      </c>
      <c r="C596" s="2" t="s">
        <v>625</v>
      </c>
      <c r="D596" s="5">
        <v>8.641625E7</v>
      </c>
      <c r="E596" s="5"/>
      <c r="F596" s="6" t="s">
        <v>4</v>
      </c>
      <c r="G596" s="3">
        <v>3.029393501300001E8</v>
      </c>
      <c r="H596" s="4"/>
      <c r="I596" s="6" t="s">
        <v>11</v>
      </c>
      <c r="J596" s="6"/>
      <c r="K596" s="6"/>
    </row>
    <row r="597">
      <c r="A597" s="1">
        <v>44953.0</v>
      </c>
      <c r="B597" s="2" t="s">
        <v>54</v>
      </c>
      <c r="C597" s="2" t="s">
        <v>626</v>
      </c>
      <c r="D597" s="5">
        <v>6.752204E7</v>
      </c>
      <c r="E597" s="3"/>
      <c r="F597" s="6" t="s">
        <v>4</v>
      </c>
      <c r="G597" s="3">
        <v>2.354173101300001E8</v>
      </c>
      <c r="H597" s="4"/>
      <c r="I597" s="6" t="s">
        <v>11</v>
      </c>
      <c r="J597" s="6"/>
      <c r="K597" s="6"/>
    </row>
    <row r="598">
      <c r="A598" s="1">
        <v>44953.0</v>
      </c>
      <c r="B598" s="2" t="s">
        <v>54</v>
      </c>
      <c r="C598" s="2" t="s">
        <v>627</v>
      </c>
      <c r="D598" s="5">
        <v>1.7583E7</v>
      </c>
      <c r="E598" s="5"/>
      <c r="F598" s="6" t="s">
        <v>4</v>
      </c>
      <c r="G598" s="3">
        <v>2.178343101300001E8</v>
      </c>
      <c r="H598" s="4"/>
      <c r="I598" s="6" t="s">
        <v>5</v>
      </c>
      <c r="J598" s="6"/>
      <c r="K598" s="6"/>
    </row>
    <row r="599">
      <c r="A599" s="1">
        <v>44953.0</v>
      </c>
      <c r="B599" s="2" t="s">
        <v>47</v>
      </c>
      <c r="C599" s="2" t="s">
        <v>628</v>
      </c>
      <c r="D599" s="5"/>
      <c r="E599" s="5">
        <v>2.8E7</v>
      </c>
      <c r="F599" s="6" t="s">
        <v>26</v>
      </c>
      <c r="G599" s="3">
        <v>2.458343101300001E8</v>
      </c>
      <c r="H599" s="4"/>
      <c r="I599" s="6" t="s">
        <v>11</v>
      </c>
      <c r="J599" s="6"/>
      <c r="K599" s="6"/>
    </row>
    <row r="600">
      <c r="A600" s="1">
        <v>44953.0</v>
      </c>
      <c r="B600" s="2" t="s">
        <v>47</v>
      </c>
      <c r="C600" s="2" t="s">
        <v>628</v>
      </c>
      <c r="D600" s="5"/>
      <c r="E600" s="5">
        <v>9161000.0</v>
      </c>
      <c r="F600" s="6" t="s">
        <v>26</v>
      </c>
      <c r="G600" s="3">
        <v>2.549953101300001E8</v>
      </c>
      <c r="H600" s="4"/>
      <c r="I600" s="6" t="s">
        <v>11</v>
      </c>
      <c r="J600" s="6"/>
      <c r="K600" s="6"/>
    </row>
    <row r="601">
      <c r="A601" s="1">
        <v>44954.0</v>
      </c>
      <c r="B601" s="2" t="s">
        <v>629</v>
      </c>
      <c r="C601" s="2" t="s">
        <v>630</v>
      </c>
      <c r="D601" s="5">
        <v>650000.0</v>
      </c>
      <c r="E601" s="5"/>
      <c r="F601" s="6" t="s">
        <v>4</v>
      </c>
      <c r="G601" s="3">
        <v>2.543453101300001E8</v>
      </c>
      <c r="H601" s="4"/>
      <c r="I601" s="6" t="s">
        <v>180</v>
      </c>
      <c r="J601" s="6"/>
      <c r="K601" s="6"/>
    </row>
    <row r="602">
      <c r="A602" s="1">
        <v>44954.0</v>
      </c>
      <c r="B602" s="2" t="s">
        <v>631</v>
      </c>
      <c r="C602" s="2" t="s">
        <v>632</v>
      </c>
      <c r="D602" s="5"/>
      <c r="E602" s="5">
        <v>4.75137E7</v>
      </c>
      <c r="F602" s="6" t="s">
        <v>26</v>
      </c>
      <c r="G602" s="3">
        <v>3.018590101300001E8</v>
      </c>
      <c r="H602" s="4"/>
      <c r="I602" s="6" t="s">
        <v>11</v>
      </c>
      <c r="J602" s="6"/>
      <c r="K602" s="6"/>
    </row>
    <row r="603">
      <c r="A603" s="1">
        <v>44954.0</v>
      </c>
      <c r="B603" s="2" t="s">
        <v>631</v>
      </c>
      <c r="C603" s="2" t="s">
        <v>633</v>
      </c>
      <c r="D603" s="5"/>
      <c r="E603" s="5">
        <v>4.655E7</v>
      </c>
      <c r="F603" s="6" t="s">
        <v>26</v>
      </c>
      <c r="G603" s="3">
        <v>3.484090101300001E8</v>
      </c>
      <c r="H603" s="4"/>
      <c r="I603" s="6" t="s">
        <v>11</v>
      </c>
      <c r="J603" s="6"/>
      <c r="K603" s="6"/>
    </row>
    <row r="604">
      <c r="A604" s="1">
        <v>44954.0</v>
      </c>
      <c r="B604" s="2" t="s">
        <v>54</v>
      </c>
      <c r="C604" s="2" t="s">
        <v>634</v>
      </c>
      <c r="D604" s="5">
        <v>1.31898E8</v>
      </c>
      <c r="E604" s="5"/>
      <c r="F604" s="6" t="s">
        <v>4</v>
      </c>
      <c r="G604" s="3">
        <v>2.165110101300001E8</v>
      </c>
      <c r="H604" s="4"/>
      <c r="I604" s="6" t="s">
        <v>11</v>
      </c>
      <c r="J604" s="6"/>
      <c r="K604" s="6"/>
    </row>
    <row r="605">
      <c r="A605" s="1">
        <v>44954.0</v>
      </c>
      <c r="B605" s="2" t="s">
        <v>54</v>
      </c>
      <c r="C605" s="2" t="s">
        <v>635</v>
      </c>
      <c r="D605" s="5">
        <v>5.365E7</v>
      </c>
      <c r="E605" s="5"/>
      <c r="F605" s="6" t="s">
        <v>4</v>
      </c>
      <c r="G605" s="3">
        <v>1.628610101300001E8</v>
      </c>
      <c r="H605" s="4"/>
      <c r="I605" s="6" t="s">
        <v>11</v>
      </c>
      <c r="J605" s="6"/>
      <c r="K605" s="6"/>
    </row>
    <row r="606">
      <c r="A606" s="1">
        <v>44954.0</v>
      </c>
      <c r="B606" s="2" t="s">
        <v>54</v>
      </c>
      <c r="C606" s="2" t="s">
        <v>636</v>
      </c>
      <c r="D606" s="5">
        <v>1.0137945E8</v>
      </c>
      <c r="E606" s="5"/>
      <c r="F606" s="6" t="s">
        <v>4</v>
      </c>
      <c r="G606" s="3">
        <v>6.1481560130000114E7</v>
      </c>
      <c r="H606" s="4"/>
      <c r="I606" s="6" t="s">
        <v>11</v>
      </c>
      <c r="J606" s="6"/>
      <c r="K606" s="6"/>
    </row>
    <row r="607">
      <c r="A607" s="1">
        <v>44954.0</v>
      </c>
      <c r="B607" s="2" t="s">
        <v>54</v>
      </c>
      <c r="C607" s="2" t="s">
        <v>637</v>
      </c>
      <c r="D607" s="5">
        <v>4.0E7</v>
      </c>
      <c r="E607" s="5"/>
      <c r="F607" s="6" t="s">
        <v>4</v>
      </c>
      <c r="G607" s="3">
        <v>2.1481560130000114E7</v>
      </c>
      <c r="H607" s="4"/>
      <c r="I607" s="6" t="s">
        <v>11</v>
      </c>
      <c r="J607" s="6"/>
      <c r="K607" s="6"/>
    </row>
    <row r="608">
      <c r="A608" s="1">
        <v>44954.0</v>
      </c>
      <c r="B608" s="2" t="s">
        <v>54</v>
      </c>
      <c r="C608" s="2" t="s">
        <v>638</v>
      </c>
      <c r="D608" s="5">
        <v>617800.0</v>
      </c>
      <c r="E608" s="5"/>
      <c r="F608" s="6" t="s">
        <v>4</v>
      </c>
      <c r="G608" s="3">
        <v>2.0863760130000114E7</v>
      </c>
      <c r="H608" s="4"/>
      <c r="I608" s="6" t="s">
        <v>58</v>
      </c>
      <c r="J608" s="6"/>
      <c r="K608" s="6"/>
    </row>
    <row r="609">
      <c r="A609" s="1">
        <v>44954.0</v>
      </c>
      <c r="B609" s="2" t="s">
        <v>54</v>
      </c>
      <c r="C609" s="2" t="s">
        <v>639</v>
      </c>
      <c r="D609" s="5">
        <v>1785130.0</v>
      </c>
      <c r="E609" s="5"/>
      <c r="F609" s="6" t="s">
        <v>4</v>
      </c>
      <c r="G609" s="3">
        <v>1.9078630130000114E7</v>
      </c>
      <c r="H609" s="4"/>
      <c r="I609" s="6" t="s">
        <v>5</v>
      </c>
      <c r="J609" s="6"/>
      <c r="K609" s="6"/>
    </row>
    <row r="610">
      <c r="A610" s="1">
        <v>44954.0</v>
      </c>
      <c r="B610" s="2" t="s">
        <v>54</v>
      </c>
      <c r="C610" s="2" t="s">
        <v>640</v>
      </c>
      <c r="D610" s="5">
        <v>3808100.0</v>
      </c>
      <c r="E610" s="5"/>
      <c r="F610" s="6" t="s">
        <v>4</v>
      </c>
      <c r="G610" s="3">
        <v>1.5270530130000114E7</v>
      </c>
      <c r="H610" s="4"/>
      <c r="I610" s="6" t="s">
        <v>5</v>
      </c>
      <c r="J610" s="6"/>
      <c r="K610" s="6"/>
    </row>
    <row r="611">
      <c r="A611" s="1">
        <v>44954.0</v>
      </c>
      <c r="B611" s="2" t="s">
        <v>47</v>
      </c>
      <c r="C611" s="2" t="s">
        <v>641</v>
      </c>
      <c r="D611" s="5"/>
      <c r="E611" s="5">
        <v>1.523293E8</v>
      </c>
      <c r="F611" s="6" t="s">
        <v>26</v>
      </c>
      <c r="G611" s="3">
        <v>1.675998301300001E8</v>
      </c>
      <c r="H611" s="4"/>
      <c r="I611" s="6" t="s">
        <v>11</v>
      </c>
      <c r="J611" s="6"/>
      <c r="K611" s="6"/>
    </row>
    <row r="612">
      <c r="A612" s="1">
        <v>44954.0</v>
      </c>
      <c r="B612" s="2" t="s">
        <v>54</v>
      </c>
      <c r="C612" s="2" t="s">
        <v>642</v>
      </c>
      <c r="D612" s="5">
        <v>5.25E7</v>
      </c>
      <c r="E612" s="5"/>
      <c r="F612" s="6" t="s">
        <v>4</v>
      </c>
      <c r="G612" s="3">
        <v>1.1509983013000011E8</v>
      </c>
      <c r="H612" s="4"/>
      <c r="I612" s="6" t="s">
        <v>11</v>
      </c>
      <c r="J612" s="6"/>
      <c r="K612" s="6"/>
    </row>
    <row r="613">
      <c r="A613" s="1">
        <v>44954.0</v>
      </c>
      <c r="B613" s="2" t="s">
        <v>47</v>
      </c>
      <c r="C613" s="2" t="s">
        <v>643</v>
      </c>
      <c r="D613" s="5"/>
      <c r="E613" s="5">
        <v>1.99321375E8</v>
      </c>
      <c r="F613" s="6" t="s">
        <v>26</v>
      </c>
      <c r="G613" s="3">
        <v>3.144212051300001E8</v>
      </c>
      <c r="H613" s="4"/>
      <c r="I613" s="6" t="s">
        <v>11</v>
      </c>
      <c r="J613" s="6"/>
      <c r="K613" s="6"/>
    </row>
    <row r="614">
      <c r="A614" s="1">
        <v>44954.0</v>
      </c>
      <c r="B614" s="2" t="s">
        <v>54</v>
      </c>
      <c r="C614" s="2" t="s">
        <v>644</v>
      </c>
      <c r="D614" s="5">
        <v>7.573276E7</v>
      </c>
      <c r="E614" s="5"/>
      <c r="F614" s="6" t="s">
        <v>4</v>
      </c>
      <c r="G614" s="3">
        <v>2.386884451300001E8</v>
      </c>
      <c r="H614" s="4"/>
      <c r="I614" s="6" t="s">
        <v>11</v>
      </c>
      <c r="J614" s="6"/>
      <c r="K614" s="6"/>
    </row>
    <row r="615">
      <c r="A615" s="1">
        <v>44954.0</v>
      </c>
      <c r="B615" s="2" t="s">
        <v>54</v>
      </c>
      <c r="C615" s="2" t="s">
        <v>645</v>
      </c>
      <c r="D615" s="5">
        <v>4.2E7</v>
      </c>
      <c r="E615" s="5"/>
      <c r="F615" s="6" t="s">
        <v>4</v>
      </c>
      <c r="G615" s="3">
        <v>1.966884451300001E8</v>
      </c>
      <c r="H615" s="4"/>
      <c r="I615" s="6" t="s">
        <v>11</v>
      </c>
      <c r="J615" s="6"/>
      <c r="K615" s="6"/>
    </row>
    <row r="616">
      <c r="A616" s="1">
        <v>44954.0</v>
      </c>
      <c r="B616" s="2" t="s">
        <v>54</v>
      </c>
      <c r="C616" s="2" t="s">
        <v>646</v>
      </c>
      <c r="D616" s="5">
        <v>3.69255E7</v>
      </c>
      <c r="E616" s="5"/>
      <c r="F616" s="6" t="s">
        <v>4</v>
      </c>
      <c r="G616" s="3">
        <v>1.597629451300001E8</v>
      </c>
      <c r="H616" s="4"/>
      <c r="I616" s="6" t="s">
        <v>11</v>
      </c>
      <c r="J616" s="6"/>
      <c r="K616" s="6"/>
    </row>
    <row r="617">
      <c r="A617" s="1">
        <v>44954.0</v>
      </c>
      <c r="B617" s="2" t="s">
        <v>54</v>
      </c>
      <c r="C617" s="2" t="s">
        <v>647</v>
      </c>
      <c r="D617" s="5">
        <v>7.495059E7</v>
      </c>
      <c r="E617" s="5"/>
      <c r="F617" s="6" t="s">
        <v>4</v>
      </c>
      <c r="G617" s="3">
        <v>8.481235513000011E7</v>
      </c>
      <c r="H617" s="4"/>
      <c r="I617" s="6" t="s">
        <v>11</v>
      </c>
      <c r="J617" s="6"/>
      <c r="K617" s="6"/>
    </row>
    <row r="618">
      <c r="A618" s="1">
        <v>44954.0</v>
      </c>
      <c r="B618" s="2" t="s">
        <v>54</v>
      </c>
      <c r="C618" s="2" t="s">
        <v>648</v>
      </c>
      <c r="D618" s="5">
        <v>1048260.0</v>
      </c>
      <c r="E618" s="5"/>
      <c r="F618" s="6" t="s">
        <v>4</v>
      </c>
      <c r="G618" s="3">
        <v>8.376409513000011E7</v>
      </c>
      <c r="H618" s="4"/>
      <c r="I618" s="6" t="s">
        <v>58</v>
      </c>
      <c r="J618" s="6"/>
      <c r="K618" s="6"/>
    </row>
    <row r="619">
      <c r="A619" s="1">
        <v>44954.0</v>
      </c>
      <c r="B619" s="2" t="s">
        <v>54</v>
      </c>
      <c r="C619" s="2" t="s">
        <v>649</v>
      </c>
      <c r="D619" s="5">
        <v>8.33985E7</v>
      </c>
      <c r="E619" s="5"/>
      <c r="F619" s="6" t="s">
        <v>4</v>
      </c>
      <c r="G619" s="3">
        <v>365595.13000011444</v>
      </c>
      <c r="H619" s="4"/>
      <c r="I619" s="6" t="s">
        <v>11</v>
      </c>
      <c r="J619" s="6"/>
      <c r="K619" s="6"/>
    </row>
    <row r="620">
      <c r="A620" s="1">
        <v>44954.0</v>
      </c>
      <c r="B620" s="2" t="s">
        <v>47</v>
      </c>
      <c r="C620" s="2" t="s">
        <v>650</v>
      </c>
      <c r="D620" s="5"/>
      <c r="E620" s="5">
        <v>2.7009544E8</v>
      </c>
      <c r="F620" s="6" t="s">
        <v>26</v>
      </c>
      <c r="G620" s="3">
        <v>2.704610351300001E8</v>
      </c>
      <c r="H620" s="4"/>
      <c r="I620" s="6" t="s">
        <v>11</v>
      </c>
      <c r="J620" s="6"/>
      <c r="K620" s="6"/>
    </row>
    <row r="621">
      <c r="A621" s="1">
        <v>44954.0</v>
      </c>
      <c r="B621" s="2" t="s">
        <v>54</v>
      </c>
      <c r="C621" s="2" t="s">
        <v>651</v>
      </c>
      <c r="D621" s="5">
        <v>1.67545E8</v>
      </c>
      <c r="E621" s="5"/>
      <c r="F621" s="6" t="s">
        <v>4</v>
      </c>
      <c r="G621" s="3">
        <v>1.0291603513000011E8</v>
      </c>
      <c r="H621" s="4"/>
      <c r="I621" s="6" t="s">
        <v>11</v>
      </c>
      <c r="J621" s="6"/>
      <c r="K621" s="6"/>
    </row>
    <row r="622">
      <c r="A622" s="1">
        <v>44954.0</v>
      </c>
      <c r="B622" s="2" t="s">
        <v>54</v>
      </c>
      <c r="C622" s="2" t="s">
        <v>652</v>
      </c>
      <c r="D622" s="5">
        <v>2582550.0</v>
      </c>
      <c r="E622" s="5"/>
      <c r="F622" s="6" t="s">
        <v>4</v>
      </c>
      <c r="G622" s="3">
        <v>1.0033348513000011E8</v>
      </c>
      <c r="H622" s="4"/>
      <c r="I622" s="6" t="s">
        <v>5</v>
      </c>
      <c r="J622" s="6"/>
      <c r="K622" s="6"/>
    </row>
    <row r="623">
      <c r="A623" s="1">
        <v>44954.0</v>
      </c>
      <c r="B623" s="2" t="s">
        <v>54</v>
      </c>
      <c r="C623" s="2" t="s">
        <v>653</v>
      </c>
      <c r="D623" s="5">
        <v>2399000.0</v>
      </c>
      <c r="E623" s="5"/>
      <c r="F623" s="6" t="s">
        <v>4</v>
      </c>
      <c r="G623" s="3">
        <v>9.793448513000011E7</v>
      </c>
      <c r="H623" s="4"/>
      <c r="I623" s="6" t="s">
        <v>180</v>
      </c>
      <c r="J623" s="6"/>
      <c r="K623" s="6"/>
    </row>
    <row r="624">
      <c r="A624" s="1">
        <v>44955.0</v>
      </c>
      <c r="B624" s="2" t="s">
        <v>654</v>
      </c>
      <c r="C624" s="2" t="s">
        <v>655</v>
      </c>
      <c r="D624" s="5"/>
      <c r="E624" s="5">
        <v>8.06484E7</v>
      </c>
      <c r="F624" s="6" t="s">
        <v>26</v>
      </c>
      <c r="G624" s="3">
        <v>1.785828851300001E8</v>
      </c>
      <c r="H624" s="4"/>
      <c r="I624" s="6" t="s">
        <v>11</v>
      </c>
      <c r="J624" s="6"/>
      <c r="K624" s="6"/>
    </row>
    <row r="625">
      <c r="A625" s="1">
        <v>44955.0</v>
      </c>
      <c r="B625" s="2" t="s">
        <v>54</v>
      </c>
      <c r="C625" s="2" t="s">
        <v>656</v>
      </c>
      <c r="D625" s="5">
        <v>1.26E8</v>
      </c>
      <c r="E625" s="3"/>
      <c r="F625" s="6" t="s">
        <v>4</v>
      </c>
      <c r="G625" s="3">
        <v>5.2582885130000114E7</v>
      </c>
      <c r="H625" s="4"/>
      <c r="I625" s="6" t="s">
        <v>11</v>
      </c>
      <c r="J625" s="6"/>
      <c r="K625" s="6"/>
    </row>
    <row r="626">
      <c r="A626" s="1">
        <v>44955.0</v>
      </c>
      <c r="B626" s="2" t="s">
        <v>47</v>
      </c>
      <c r="C626" s="2" t="s">
        <v>657</v>
      </c>
      <c r="D626" s="5"/>
      <c r="E626" s="5">
        <v>350000.0</v>
      </c>
      <c r="F626" s="6" t="s">
        <v>26</v>
      </c>
      <c r="G626" s="3">
        <v>5.2932885130000114E7</v>
      </c>
      <c r="H626" s="4"/>
      <c r="I626" s="6" t="s">
        <v>11</v>
      </c>
      <c r="J626" s="6"/>
      <c r="K626" s="6"/>
    </row>
    <row r="627">
      <c r="A627" s="1">
        <v>44955.0</v>
      </c>
      <c r="B627" s="2" t="s">
        <v>277</v>
      </c>
      <c r="C627" s="2" t="s">
        <v>658</v>
      </c>
      <c r="D627" s="5">
        <v>102500.0</v>
      </c>
      <c r="E627" s="5"/>
      <c r="F627" s="4"/>
      <c r="G627" s="3">
        <v>5.2830385130000114E7</v>
      </c>
      <c r="H627" s="4"/>
      <c r="I627" s="6" t="s">
        <v>1</v>
      </c>
      <c r="J627" s="6"/>
      <c r="K627" s="6"/>
    </row>
    <row r="628">
      <c r="A628" s="1">
        <v>44955.0</v>
      </c>
      <c r="B628" s="2" t="s">
        <v>47</v>
      </c>
      <c r="C628" s="2" t="s">
        <v>659</v>
      </c>
      <c r="D628" s="5"/>
      <c r="E628" s="5">
        <v>5.951985E7</v>
      </c>
      <c r="F628" s="6" t="s">
        <v>26</v>
      </c>
      <c r="G628" s="3">
        <v>1.1235023513000011E8</v>
      </c>
      <c r="H628" s="4"/>
      <c r="I628" s="6" t="s">
        <v>11</v>
      </c>
      <c r="J628" s="6"/>
      <c r="K628" s="6"/>
    </row>
    <row r="629">
      <c r="A629" s="1">
        <v>44955.0</v>
      </c>
      <c r="B629" s="2" t="s">
        <v>54</v>
      </c>
      <c r="C629" s="2" t="s">
        <v>660</v>
      </c>
      <c r="D629" s="5">
        <v>1.1191675E8</v>
      </c>
      <c r="E629" s="5"/>
      <c r="F629" s="6" t="s">
        <v>4</v>
      </c>
      <c r="G629" s="3">
        <v>433485.13000011444</v>
      </c>
      <c r="H629" s="4"/>
      <c r="I629" s="6" t="s">
        <v>11</v>
      </c>
      <c r="J629" s="6"/>
      <c r="K629" s="6"/>
    </row>
    <row r="630">
      <c r="A630" s="1">
        <v>44955.0</v>
      </c>
      <c r="B630" s="2" t="s">
        <v>47</v>
      </c>
      <c r="C630" s="2" t="s">
        <v>661</v>
      </c>
      <c r="D630" s="5"/>
      <c r="E630" s="5">
        <v>4.36084E7</v>
      </c>
      <c r="F630" s="6" t="s">
        <v>26</v>
      </c>
      <c r="G630" s="3">
        <v>4.4041885130000114E7</v>
      </c>
      <c r="H630" s="6">
        <v>4.404188513E7</v>
      </c>
      <c r="I630" s="6" t="s">
        <v>11</v>
      </c>
      <c r="J630" s="6"/>
      <c r="K630" s="6"/>
    </row>
    <row r="631">
      <c r="A631" s="1">
        <v>44956.0</v>
      </c>
      <c r="B631" s="2" t="s">
        <v>662</v>
      </c>
      <c r="C631" s="2" t="s">
        <v>663</v>
      </c>
      <c r="D631" s="5">
        <v>1.5E7</v>
      </c>
      <c r="E631" s="5"/>
      <c r="F631" s="6" t="s">
        <v>4</v>
      </c>
      <c r="G631" s="3">
        <v>2.9041885130000114E7</v>
      </c>
      <c r="H631" s="4"/>
      <c r="I631" s="6" t="s">
        <v>11</v>
      </c>
      <c r="J631" s="6"/>
      <c r="K631" s="6"/>
    </row>
    <row r="632">
      <c r="A632" s="1">
        <v>44956.0</v>
      </c>
      <c r="B632" s="2" t="s">
        <v>662</v>
      </c>
      <c r="C632" s="2" t="s">
        <v>664</v>
      </c>
      <c r="D632" s="5">
        <v>2.5382E7</v>
      </c>
      <c r="E632" s="5"/>
      <c r="F632" s="6" t="s">
        <v>4</v>
      </c>
      <c r="G632" s="3">
        <v>3659885.1300001144</v>
      </c>
      <c r="H632" s="4"/>
      <c r="I632" s="6" t="s">
        <v>5</v>
      </c>
      <c r="J632" s="6"/>
      <c r="K632" s="6"/>
    </row>
    <row r="633">
      <c r="A633" s="1">
        <v>44956.0</v>
      </c>
      <c r="B633" s="2" t="s">
        <v>47</v>
      </c>
      <c r="C633" s="2" t="s">
        <v>665</v>
      </c>
      <c r="D633" s="5"/>
      <c r="E633" s="5">
        <v>400000.0</v>
      </c>
      <c r="F633" s="6" t="s">
        <v>26</v>
      </c>
      <c r="G633" s="3">
        <v>4059885.1300001144</v>
      </c>
      <c r="H633" s="4"/>
      <c r="I633" s="6" t="s">
        <v>11</v>
      </c>
      <c r="J633" s="6"/>
      <c r="K633" s="6"/>
    </row>
    <row r="634">
      <c r="A634" s="1">
        <v>44956.0</v>
      </c>
      <c r="B634" s="2" t="s">
        <v>54</v>
      </c>
      <c r="C634" s="2" t="s">
        <v>666</v>
      </c>
      <c r="D634" s="5">
        <v>1000000.0</v>
      </c>
      <c r="E634" s="5"/>
      <c r="F634" s="6" t="s">
        <v>4</v>
      </c>
      <c r="G634" s="3">
        <v>3059885.1300001144</v>
      </c>
      <c r="H634" s="4"/>
      <c r="I634" s="6" t="s">
        <v>1</v>
      </c>
      <c r="J634" s="6"/>
      <c r="K634" s="6"/>
    </row>
    <row r="635">
      <c r="A635" s="1">
        <v>44956.0</v>
      </c>
      <c r="B635" s="2" t="s">
        <v>47</v>
      </c>
      <c r="C635" s="2" t="s">
        <v>667</v>
      </c>
      <c r="D635" s="5"/>
      <c r="E635" s="5">
        <v>1.8069425E8</v>
      </c>
      <c r="F635" s="6" t="s">
        <v>26</v>
      </c>
      <c r="G635" s="3">
        <v>1.837541351300001E8</v>
      </c>
      <c r="H635" s="4"/>
      <c r="I635" s="6" t="s">
        <v>11</v>
      </c>
      <c r="J635" s="6"/>
      <c r="K635" s="6"/>
    </row>
    <row r="636">
      <c r="A636" s="1">
        <v>44956.0</v>
      </c>
      <c r="B636" s="2" t="s">
        <v>668</v>
      </c>
      <c r="C636" s="2" t="s">
        <v>669</v>
      </c>
      <c r="D636" s="3"/>
      <c r="E636" s="5">
        <v>9.097845E7</v>
      </c>
      <c r="F636" s="4"/>
      <c r="G636" s="3">
        <v>2.747325851300001E8</v>
      </c>
      <c r="H636" s="4"/>
      <c r="I636" s="6" t="s">
        <v>11</v>
      </c>
      <c r="J636" s="6"/>
      <c r="K636" s="6"/>
    </row>
    <row r="637">
      <c r="A637" s="1">
        <v>44956.0</v>
      </c>
      <c r="B637" s="2" t="s">
        <v>54</v>
      </c>
      <c r="C637" s="2" t="s">
        <v>670</v>
      </c>
      <c r="D637" s="5">
        <v>4.4676E7</v>
      </c>
      <c r="E637" s="5"/>
      <c r="F637" s="6" t="s">
        <v>4</v>
      </c>
      <c r="G637" s="3">
        <v>2.300565851300001E8</v>
      </c>
      <c r="H637" s="4"/>
      <c r="I637" s="6" t="s">
        <v>11</v>
      </c>
      <c r="J637" s="6"/>
      <c r="K637" s="6"/>
    </row>
    <row r="638">
      <c r="A638" s="1">
        <v>44956.0</v>
      </c>
      <c r="B638" s="2" t="s">
        <v>54</v>
      </c>
      <c r="C638" s="2" t="s">
        <v>671</v>
      </c>
      <c r="D638" s="5">
        <v>5.9059E7</v>
      </c>
      <c r="E638" s="5"/>
      <c r="F638" s="6" t="s">
        <v>4</v>
      </c>
      <c r="G638" s="3">
        <v>1.709975851300001E8</v>
      </c>
      <c r="H638" s="4"/>
      <c r="I638" s="6" t="s">
        <v>11</v>
      </c>
      <c r="J638" s="6"/>
      <c r="K638" s="6"/>
    </row>
    <row r="639">
      <c r="A639" s="1">
        <v>44956.0</v>
      </c>
      <c r="B639" s="2" t="s">
        <v>47</v>
      </c>
      <c r="C639" s="2" t="s">
        <v>672</v>
      </c>
      <c r="D639" s="5"/>
      <c r="E639" s="5">
        <v>5.171656E7</v>
      </c>
      <c r="F639" s="6" t="s">
        <v>26</v>
      </c>
      <c r="G639" s="3">
        <v>2.227141451300001E8</v>
      </c>
      <c r="H639" s="4"/>
      <c r="I639" s="6" t="s">
        <v>11</v>
      </c>
      <c r="J639" s="6"/>
      <c r="K639" s="6"/>
    </row>
    <row r="640">
      <c r="A640" s="1">
        <v>44956.0</v>
      </c>
      <c r="B640" s="2" t="s">
        <v>47</v>
      </c>
      <c r="C640" s="2" t="s">
        <v>673</v>
      </c>
      <c r="D640" s="5"/>
      <c r="E640" s="5">
        <v>4.38E7</v>
      </c>
      <c r="F640" s="6" t="s">
        <v>26</v>
      </c>
      <c r="G640" s="3">
        <v>2.665141451300001E8</v>
      </c>
      <c r="H640" s="6">
        <v>2.6651414513E8</v>
      </c>
      <c r="I640" s="6" t="s">
        <v>11</v>
      </c>
      <c r="J640" s="6"/>
      <c r="K640" s="6"/>
    </row>
    <row r="641">
      <c r="A641" s="1">
        <v>44956.0</v>
      </c>
      <c r="B641" s="2" t="s">
        <v>47</v>
      </c>
      <c r="C641" s="2" t="s">
        <v>674</v>
      </c>
      <c r="D641" s="5"/>
      <c r="E641" s="5">
        <v>1000000.0</v>
      </c>
      <c r="F641" s="6" t="s">
        <v>26</v>
      </c>
      <c r="G641" s="3">
        <v>2.675141451300001E8</v>
      </c>
      <c r="H641" s="4"/>
      <c r="I641" s="6" t="s">
        <v>11</v>
      </c>
      <c r="J641" s="6"/>
      <c r="K641" s="6"/>
    </row>
    <row r="642">
      <c r="A642" s="1">
        <v>44956.0</v>
      </c>
      <c r="B642" s="2" t="s">
        <v>675</v>
      </c>
      <c r="C642" s="2" t="s">
        <v>676</v>
      </c>
      <c r="D642" s="5"/>
      <c r="E642" s="5">
        <v>300000.0</v>
      </c>
      <c r="F642" s="6" t="s">
        <v>26</v>
      </c>
      <c r="G642" s="3">
        <v>2.678141451300001E8</v>
      </c>
      <c r="H642" s="4"/>
      <c r="I642" s="6" t="s">
        <v>11</v>
      </c>
      <c r="J642" s="6"/>
      <c r="K642" s="6"/>
    </row>
    <row r="643">
      <c r="A643" s="1">
        <v>44956.0</v>
      </c>
      <c r="B643" s="2" t="s">
        <v>47</v>
      </c>
      <c r="C643" s="2" t="s">
        <v>677</v>
      </c>
      <c r="D643" s="5"/>
      <c r="E643" s="5">
        <v>4.733271E7</v>
      </c>
      <c r="F643" s="6" t="s">
        <v>26</v>
      </c>
      <c r="G643" s="3">
        <v>3.151468551300001E8</v>
      </c>
      <c r="H643" s="4"/>
      <c r="I643" s="6" t="s">
        <v>11</v>
      </c>
      <c r="J643" s="6"/>
      <c r="K643" s="6"/>
    </row>
    <row r="644">
      <c r="A644" s="1">
        <v>44956.0</v>
      </c>
      <c r="B644" s="2" t="s">
        <v>47</v>
      </c>
      <c r="C644" s="2" t="s">
        <v>678</v>
      </c>
      <c r="D644" s="5"/>
      <c r="E644" s="5">
        <v>5.370225E7</v>
      </c>
      <c r="F644" s="6" t="s">
        <v>26</v>
      </c>
      <c r="G644" s="3">
        <v>3.688491051300001E8</v>
      </c>
      <c r="H644" s="4"/>
      <c r="I644" s="6" t="s">
        <v>11</v>
      </c>
      <c r="J644" s="6"/>
      <c r="K644" s="6"/>
    </row>
    <row r="645">
      <c r="A645" s="1">
        <v>44956.0</v>
      </c>
      <c r="B645" s="2" t="s">
        <v>54</v>
      </c>
      <c r="C645" s="2" t="s">
        <v>679</v>
      </c>
      <c r="D645" s="5">
        <v>9.55203E7</v>
      </c>
      <c r="E645" s="5"/>
      <c r="F645" s="6" t="s">
        <v>4</v>
      </c>
      <c r="G645" s="3">
        <v>2.733288051300001E8</v>
      </c>
      <c r="H645" s="4"/>
      <c r="I645" s="6" t="s">
        <v>11</v>
      </c>
      <c r="J645" s="6"/>
      <c r="K645" s="6"/>
    </row>
    <row r="646">
      <c r="A646" s="1">
        <v>44956.0</v>
      </c>
      <c r="B646" s="2" t="s">
        <v>47</v>
      </c>
      <c r="C646" s="2" t="s">
        <v>680</v>
      </c>
      <c r="D646" s="5"/>
      <c r="E646" s="5">
        <v>1174140.0</v>
      </c>
      <c r="F646" s="6" t="s">
        <v>26</v>
      </c>
      <c r="G646" s="3">
        <v>2.745029451300001E8</v>
      </c>
      <c r="H646" s="4"/>
      <c r="I646" s="6" t="s">
        <v>11</v>
      </c>
      <c r="J646" s="6"/>
      <c r="K646" s="6"/>
    </row>
    <row r="647">
      <c r="A647" s="1">
        <v>44956.0</v>
      </c>
      <c r="B647" s="2" t="s">
        <v>47</v>
      </c>
      <c r="C647" s="2" t="s">
        <v>681</v>
      </c>
      <c r="D647" s="5"/>
      <c r="E647" s="5">
        <v>6900000.0</v>
      </c>
      <c r="F647" s="6" t="s">
        <v>26</v>
      </c>
      <c r="G647" s="3">
        <v>2.814029451300001E8</v>
      </c>
      <c r="H647" s="4"/>
      <c r="I647" s="6" t="s">
        <v>11</v>
      </c>
      <c r="J647" s="6"/>
      <c r="K647" s="6"/>
    </row>
    <row r="648">
      <c r="A648" s="1">
        <v>44956.0</v>
      </c>
      <c r="B648" s="2" t="s">
        <v>54</v>
      </c>
      <c r="C648" s="2" t="s">
        <v>682</v>
      </c>
      <c r="D648" s="5">
        <v>1.0333752E8</v>
      </c>
      <c r="E648" s="5"/>
      <c r="F648" s="6" t="s">
        <v>4</v>
      </c>
      <c r="G648" s="3">
        <v>1.780654251300001E8</v>
      </c>
      <c r="H648" s="4"/>
      <c r="I648" s="6" t="s">
        <v>11</v>
      </c>
      <c r="J648" s="6"/>
      <c r="K648" s="6"/>
    </row>
    <row r="649">
      <c r="A649" s="1">
        <v>44956.0</v>
      </c>
      <c r="B649" s="2" t="s">
        <v>54</v>
      </c>
      <c r="C649" s="2" t="s">
        <v>683</v>
      </c>
      <c r="D649" s="5">
        <v>2046280.0</v>
      </c>
      <c r="E649" s="5"/>
      <c r="F649" s="6" t="s">
        <v>4</v>
      </c>
      <c r="G649" s="3">
        <v>1.760191451300001E8</v>
      </c>
      <c r="H649" s="4"/>
      <c r="I649" s="6" t="s">
        <v>58</v>
      </c>
      <c r="J649" s="6"/>
      <c r="K649" s="6"/>
    </row>
    <row r="650">
      <c r="A650" s="1">
        <v>44956.0</v>
      </c>
      <c r="B650" s="2" t="s">
        <v>54</v>
      </c>
      <c r="C650" s="2" t="s">
        <v>684</v>
      </c>
      <c r="D650" s="5">
        <v>5.075E7</v>
      </c>
      <c r="E650" s="5"/>
      <c r="F650" s="6" t="s">
        <v>4</v>
      </c>
      <c r="G650" s="3">
        <v>1.2526914513000011E8</v>
      </c>
      <c r="H650" s="4"/>
      <c r="I650" s="6" t="s">
        <v>11</v>
      </c>
      <c r="J650" s="6"/>
      <c r="K650" s="6"/>
    </row>
    <row r="651">
      <c r="A651" s="1">
        <v>44956.0</v>
      </c>
      <c r="B651" s="2" t="s">
        <v>54</v>
      </c>
      <c r="C651" s="2" t="s">
        <v>685</v>
      </c>
      <c r="D651" s="5">
        <v>4.46025E7</v>
      </c>
      <c r="E651" s="5"/>
      <c r="F651" s="6" t="s">
        <v>4</v>
      </c>
      <c r="G651" s="3">
        <v>8.066664513000011E7</v>
      </c>
      <c r="H651" s="4"/>
      <c r="I651" s="6" t="s">
        <v>11</v>
      </c>
      <c r="J651" s="6"/>
      <c r="K651" s="6"/>
    </row>
    <row r="652">
      <c r="A652" s="1">
        <v>44956.0</v>
      </c>
      <c r="B652" s="2" t="s">
        <v>47</v>
      </c>
      <c r="C652" s="2" t="s">
        <v>686</v>
      </c>
      <c r="D652" s="5"/>
      <c r="E652" s="5">
        <v>7.0E7</v>
      </c>
      <c r="F652" s="6" t="s">
        <v>26</v>
      </c>
      <c r="G652" s="3">
        <v>1.506666451300001E8</v>
      </c>
      <c r="H652" s="4"/>
      <c r="I652" s="6" t="s">
        <v>11</v>
      </c>
      <c r="J652" s="6"/>
      <c r="K652" s="6"/>
    </row>
    <row r="653">
      <c r="A653" s="1">
        <v>44957.0</v>
      </c>
      <c r="B653" s="2" t="s">
        <v>54</v>
      </c>
      <c r="C653" s="2" t="s">
        <v>687</v>
      </c>
      <c r="D653" s="5">
        <v>1.401541E8</v>
      </c>
      <c r="E653" s="3"/>
      <c r="F653" s="6" t="s">
        <v>4</v>
      </c>
      <c r="G653" s="3">
        <v>1.0512545130000114E7</v>
      </c>
      <c r="H653" s="4"/>
      <c r="I653" s="6" t="s">
        <v>11</v>
      </c>
      <c r="J653" s="6"/>
      <c r="K653" s="6"/>
    </row>
    <row r="654">
      <c r="A654" s="1">
        <v>44957.0</v>
      </c>
      <c r="B654" s="2" t="s">
        <v>54</v>
      </c>
      <c r="C654" s="2" t="s">
        <v>688</v>
      </c>
      <c r="D654" s="5">
        <v>1453650.0</v>
      </c>
      <c r="E654" s="5"/>
      <c r="F654" s="6" t="s">
        <v>4</v>
      </c>
      <c r="G654" s="3">
        <v>9058895.130000114</v>
      </c>
      <c r="H654" s="4"/>
      <c r="I654" s="6" t="s">
        <v>5</v>
      </c>
      <c r="J654" s="6"/>
      <c r="K654" s="6"/>
    </row>
    <row r="655">
      <c r="A655" s="1">
        <v>44957.0</v>
      </c>
      <c r="B655" s="2" t="s">
        <v>54</v>
      </c>
      <c r="C655" s="2" t="s">
        <v>689</v>
      </c>
      <c r="D655" s="5">
        <v>2964500.0</v>
      </c>
      <c r="E655" s="5"/>
      <c r="F655" s="6" t="s">
        <v>4</v>
      </c>
      <c r="G655" s="3">
        <v>6094395.130000114</v>
      </c>
      <c r="H655" s="4"/>
      <c r="I655" s="6" t="s">
        <v>5</v>
      </c>
      <c r="J655" s="6"/>
      <c r="K655" s="6"/>
    </row>
    <row r="656">
      <c r="A656" s="1">
        <v>44957.0</v>
      </c>
      <c r="B656" s="2" t="s">
        <v>54</v>
      </c>
      <c r="C656" s="2" t="s">
        <v>690</v>
      </c>
      <c r="D656" s="5">
        <v>1500000.0</v>
      </c>
      <c r="E656" s="5"/>
      <c r="F656" s="6" t="s">
        <v>4</v>
      </c>
      <c r="G656" s="3">
        <v>4594395.130000114</v>
      </c>
      <c r="H656" s="4"/>
      <c r="I656" s="6" t="s">
        <v>1</v>
      </c>
      <c r="J656" s="6"/>
      <c r="K656" s="6"/>
    </row>
    <row r="657">
      <c r="A657" s="1">
        <v>44957.0</v>
      </c>
      <c r="B657" s="2" t="s">
        <v>54</v>
      </c>
      <c r="C657" s="2" t="s">
        <v>691</v>
      </c>
      <c r="D657" s="5">
        <v>4528300.0</v>
      </c>
      <c r="E657" s="5"/>
      <c r="F657" s="6" t="s">
        <v>4</v>
      </c>
      <c r="G657" s="3">
        <v>66095.13000011444</v>
      </c>
      <c r="H657" s="4"/>
      <c r="I657" s="6" t="s">
        <v>5</v>
      </c>
      <c r="J657" s="6"/>
      <c r="K657" s="6"/>
    </row>
    <row r="658">
      <c r="A658" s="1">
        <v>44957.0</v>
      </c>
      <c r="B658" s="2" t="s">
        <v>47</v>
      </c>
      <c r="C658" s="2" t="s">
        <v>692</v>
      </c>
      <c r="D658" s="5"/>
      <c r="E658" s="5">
        <v>2.21171464E8</v>
      </c>
      <c r="F658" s="6" t="s">
        <v>26</v>
      </c>
      <c r="G658" s="3">
        <v>2.212375591300001E8</v>
      </c>
      <c r="H658" s="4"/>
      <c r="I658" s="6" t="s">
        <v>11</v>
      </c>
      <c r="J658" s="6"/>
      <c r="K658" s="6"/>
    </row>
    <row r="659">
      <c r="A659" s="1">
        <v>44957.0</v>
      </c>
      <c r="B659" s="2" t="s">
        <v>693</v>
      </c>
      <c r="C659" s="2" t="s">
        <v>693</v>
      </c>
      <c r="D659" s="5">
        <v>300000.0</v>
      </c>
      <c r="E659" s="5"/>
      <c r="F659" s="4"/>
      <c r="G659" s="3">
        <v>2.209375591300001E8</v>
      </c>
      <c r="H659" s="4"/>
      <c r="I659" s="6" t="s">
        <v>1</v>
      </c>
      <c r="J659" s="6"/>
      <c r="K659" s="6"/>
    </row>
    <row r="660">
      <c r="A660" s="1">
        <v>44957.0</v>
      </c>
      <c r="B660" s="2" t="s">
        <v>47</v>
      </c>
      <c r="C660" s="2" t="s">
        <v>694</v>
      </c>
      <c r="D660" s="5"/>
      <c r="E660" s="5">
        <v>4.38E7</v>
      </c>
      <c r="F660" s="6" t="s">
        <v>26</v>
      </c>
      <c r="G660" s="3">
        <v>2.647375591300001E8</v>
      </c>
      <c r="H660" s="4"/>
      <c r="I660" s="6" t="s">
        <v>11</v>
      </c>
      <c r="J660" s="6"/>
      <c r="K660" s="6"/>
    </row>
    <row r="661">
      <c r="A661" s="1">
        <v>44957.0</v>
      </c>
      <c r="B661" s="2" t="s">
        <v>47</v>
      </c>
      <c r="C661" s="2" t="s">
        <v>694</v>
      </c>
      <c r="D661" s="5"/>
      <c r="E661" s="5">
        <v>4.38E7</v>
      </c>
      <c r="F661" s="6" t="s">
        <v>26</v>
      </c>
      <c r="G661" s="3">
        <v>3.085375591300001E8</v>
      </c>
      <c r="H661" s="4"/>
      <c r="I661" s="6" t="s">
        <v>11</v>
      </c>
      <c r="J661" s="6"/>
      <c r="K661" s="6"/>
    </row>
    <row r="662">
      <c r="A662" s="1">
        <v>44957.0</v>
      </c>
      <c r="B662" s="2" t="s">
        <v>47</v>
      </c>
      <c r="C662" s="2" t="s">
        <v>695</v>
      </c>
      <c r="D662" s="5"/>
      <c r="E662" s="5">
        <v>5.26673E7</v>
      </c>
      <c r="F662" s="6" t="s">
        <v>26</v>
      </c>
      <c r="G662" s="3">
        <v>3.612048591300001E8</v>
      </c>
      <c r="H662" s="4"/>
      <c r="I662" s="6" t="s">
        <v>11</v>
      </c>
      <c r="J662" s="6"/>
      <c r="K662" s="6"/>
    </row>
    <row r="663">
      <c r="A663" s="1">
        <v>44957.0</v>
      </c>
      <c r="B663" s="2" t="s">
        <v>47</v>
      </c>
      <c r="C663" s="2" t="s">
        <v>696</v>
      </c>
      <c r="D663" s="5"/>
      <c r="E663" s="5">
        <v>3.726E7</v>
      </c>
      <c r="F663" s="6" t="s">
        <v>26</v>
      </c>
      <c r="G663" s="3">
        <v>3.984648591300001E8</v>
      </c>
      <c r="H663" s="4"/>
      <c r="I663" s="6" t="s">
        <v>11</v>
      </c>
      <c r="J663" s="6"/>
      <c r="K663" s="6"/>
    </row>
    <row r="664">
      <c r="A664" s="1">
        <v>44957.0</v>
      </c>
      <c r="B664" s="2" t="s">
        <v>54</v>
      </c>
      <c r="C664" s="2" t="s">
        <v>697</v>
      </c>
      <c r="D664" s="5">
        <v>4.34E7</v>
      </c>
      <c r="E664" s="5"/>
      <c r="F664" s="6" t="s">
        <v>4</v>
      </c>
      <c r="G664" s="3">
        <v>3.550648591300001E8</v>
      </c>
      <c r="H664" s="4"/>
      <c r="I664" s="6" t="s">
        <v>11</v>
      </c>
      <c r="J664" s="6"/>
      <c r="K664" s="6"/>
    </row>
    <row r="665">
      <c r="A665" s="1">
        <v>44957.0</v>
      </c>
      <c r="B665" s="2" t="s">
        <v>47</v>
      </c>
      <c r="C665" s="2" t="s">
        <v>698</v>
      </c>
      <c r="D665" s="5"/>
      <c r="E665" s="5">
        <v>3.316068E7</v>
      </c>
      <c r="F665" s="6" t="s">
        <v>26</v>
      </c>
      <c r="G665" s="3">
        <v>3.882255391300001E8</v>
      </c>
      <c r="H665" s="4"/>
      <c r="I665" s="6" t="s">
        <v>11</v>
      </c>
      <c r="J665" s="6"/>
      <c r="K665" s="6"/>
    </row>
    <row r="666">
      <c r="A666" s="1">
        <v>44957.0</v>
      </c>
      <c r="B666" s="2" t="s">
        <v>47</v>
      </c>
      <c r="C666" s="2" t="s">
        <v>699</v>
      </c>
      <c r="D666" s="5"/>
      <c r="E666" s="5">
        <v>5.738E7</v>
      </c>
      <c r="F666" s="6" t="s">
        <v>26</v>
      </c>
      <c r="G666" s="3">
        <v>4.456055391300001E8</v>
      </c>
      <c r="H666" s="4"/>
      <c r="I666" s="6" t="s">
        <v>11</v>
      </c>
      <c r="J666" s="6"/>
      <c r="K666" s="6"/>
    </row>
    <row r="667">
      <c r="A667" s="1">
        <v>44957.0</v>
      </c>
      <c r="B667" s="2" t="s">
        <v>47</v>
      </c>
      <c r="C667" s="2" t="s">
        <v>700</v>
      </c>
      <c r="D667" s="5"/>
      <c r="E667" s="5">
        <v>9.29981E7</v>
      </c>
      <c r="F667" s="6" t="s">
        <v>26</v>
      </c>
      <c r="G667" s="3">
        <v>5.386036391300001E8</v>
      </c>
      <c r="H667" s="4"/>
      <c r="I667" s="6" t="s">
        <v>1</v>
      </c>
      <c r="J667" s="6"/>
      <c r="K667" s="6"/>
    </row>
    <row r="668">
      <c r="A668" s="1">
        <v>44957.0</v>
      </c>
      <c r="B668" s="2" t="s">
        <v>54</v>
      </c>
      <c r="C668" s="2" t="s">
        <v>701</v>
      </c>
      <c r="D668" s="5">
        <v>4.417E7</v>
      </c>
      <c r="E668" s="5"/>
      <c r="F668" s="6" t="s">
        <v>4</v>
      </c>
      <c r="G668" s="3">
        <v>4.944336391300001E8</v>
      </c>
      <c r="H668" s="4"/>
      <c r="I668" s="6" t="s">
        <v>11</v>
      </c>
      <c r="J668" s="6"/>
      <c r="K668" s="6"/>
    </row>
    <row r="669">
      <c r="A669" s="1">
        <v>44957.0</v>
      </c>
      <c r="B669" s="2" t="s">
        <v>54</v>
      </c>
      <c r="C669" s="2" t="s">
        <v>702</v>
      </c>
      <c r="D669" s="5">
        <v>4.76E7</v>
      </c>
      <c r="E669" s="5"/>
      <c r="F669" s="6" t="s">
        <v>4</v>
      </c>
      <c r="G669" s="3">
        <v>4.468336391300001E8</v>
      </c>
      <c r="H669" s="4"/>
      <c r="I669" s="6" t="s">
        <v>11</v>
      </c>
      <c r="J669" s="6"/>
      <c r="K669" s="6"/>
    </row>
    <row r="670">
      <c r="A670" s="1">
        <v>44957.0</v>
      </c>
      <c r="B670" s="2" t="s">
        <v>47</v>
      </c>
      <c r="C670" s="2" t="s">
        <v>703</v>
      </c>
      <c r="D670" s="5"/>
      <c r="E670" s="5">
        <v>4.299876E7</v>
      </c>
      <c r="F670" s="6" t="s">
        <v>26</v>
      </c>
      <c r="G670" s="3">
        <v>4.898323991300001E8</v>
      </c>
      <c r="H670" s="4"/>
      <c r="I670" s="6" t="s">
        <v>1</v>
      </c>
      <c r="J670" s="6"/>
      <c r="K670" s="6"/>
    </row>
    <row r="671">
      <c r="A671" s="1">
        <v>44957.0</v>
      </c>
      <c r="B671" s="2" t="s">
        <v>54</v>
      </c>
      <c r="C671" s="2" t="s">
        <v>704</v>
      </c>
      <c r="D671" s="5">
        <v>1.6372025E8</v>
      </c>
      <c r="E671" s="5"/>
      <c r="F671" s="6" t="s">
        <v>4</v>
      </c>
      <c r="G671" s="3">
        <v>3.261121491300001E8</v>
      </c>
      <c r="H671" s="4"/>
      <c r="I671" s="6" t="s">
        <v>11</v>
      </c>
      <c r="J671" s="6"/>
      <c r="K671" s="6"/>
    </row>
    <row r="672">
      <c r="A672" s="1">
        <v>44957.0</v>
      </c>
      <c r="B672" s="2" t="s">
        <v>54</v>
      </c>
      <c r="C672" s="2" t="s">
        <v>705</v>
      </c>
      <c r="D672" s="5">
        <v>8.385525E7</v>
      </c>
      <c r="E672" s="5"/>
      <c r="F672" s="6" t="s">
        <v>4</v>
      </c>
      <c r="G672" s="3">
        <v>2.422568991300001E8</v>
      </c>
      <c r="H672" s="4"/>
      <c r="I672" s="6" t="s">
        <v>11</v>
      </c>
      <c r="J672" s="6"/>
      <c r="K672" s="6"/>
    </row>
    <row r="673">
      <c r="A673" s="1">
        <v>44957.0</v>
      </c>
      <c r="B673" s="2" t="s">
        <v>54</v>
      </c>
      <c r="C673" s="2" t="s">
        <v>706</v>
      </c>
      <c r="D673" s="5">
        <v>6850320.0</v>
      </c>
      <c r="E673" s="5"/>
      <c r="F673" s="6" t="s">
        <v>4</v>
      </c>
      <c r="G673" s="3">
        <v>2.354065791300001E8</v>
      </c>
      <c r="H673" s="4"/>
      <c r="I673" s="6" t="s">
        <v>11</v>
      </c>
      <c r="J673" s="6"/>
      <c r="K673" s="6"/>
    </row>
    <row r="674">
      <c r="A674" s="1">
        <v>44957.0</v>
      </c>
      <c r="B674" s="2" t="s">
        <v>54</v>
      </c>
      <c r="C674" s="2" t="s">
        <v>707</v>
      </c>
      <c r="D674" s="5">
        <v>1.314384E8</v>
      </c>
      <c r="E674" s="5"/>
      <c r="F674" s="6" t="s">
        <v>4</v>
      </c>
      <c r="G674" s="3">
        <v>1.0396817913000011E8</v>
      </c>
      <c r="H674" s="4"/>
      <c r="I674" s="6" t="s">
        <v>11</v>
      </c>
      <c r="J674" s="6"/>
      <c r="K674" s="6"/>
    </row>
    <row r="675">
      <c r="A675" s="1">
        <v>44957.0</v>
      </c>
      <c r="B675" s="2" t="s">
        <v>54</v>
      </c>
      <c r="C675" s="2" t="s">
        <v>708</v>
      </c>
      <c r="D675" s="5">
        <v>5.295E7</v>
      </c>
      <c r="E675" s="5"/>
      <c r="F675" s="6" t="s">
        <v>4</v>
      </c>
      <c r="G675" s="3">
        <v>5.1018179130000114E7</v>
      </c>
      <c r="H675" s="4"/>
      <c r="I675" s="6" t="s">
        <v>11</v>
      </c>
      <c r="J675" s="6"/>
      <c r="K675" s="6"/>
    </row>
    <row r="676">
      <c r="A676" s="1">
        <v>44957.0</v>
      </c>
      <c r="B676" s="2" t="s">
        <v>54</v>
      </c>
      <c r="C676" s="2" t="s">
        <v>709</v>
      </c>
      <c r="D676" s="5">
        <v>4.2714E7</v>
      </c>
      <c r="E676" s="5"/>
      <c r="F676" s="6" t="s">
        <v>4</v>
      </c>
      <c r="G676" s="3">
        <v>8304179.130000114</v>
      </c>
      <c r="H676" s="4"/>
      <c r="I676" s="6" t="s">
        <v>11</v>
      </c>
      <c r="J676" s="6"/>
      <c r="K676" s="6"/>
    </row>
    <row r="677">
      <c r="A677" s="1">
        <v>44957.0</v>
      </c>
      <c r="B677" s="2" t="s">
        <v>47</v>
      </c>
      <c r="C677" s="2" t="s">
        <v>710</v>
      </c>
      <c r="D677" s="5"/>
      <c r="E677" s="5">
        <v>1.425E7</v>
      </c>
      <c r="F677" s="6" t="s">
        <v>26</v>
      </c>
      <c r="G677" s="3">
        <v>2.2554179130000114E7</v>
      </c>
      <c r="H677" s="4"/>
      <c r="I677" s="6" t="s">
        <v>1</v>
      </c>
      <c r="J677" s="6"/>
      <c r="K677" s="6"/>
    </row>
    <row r="678">
      <c r="A678" s="1">
        <v>44957.0</v>
      </c>
      <c r="B678" s="2" t="s">
        <v>47</v>
      </c>
      <c r="C678" s="2" t="s">
        <v>711</v>
      </c>
      <c r="D678" s="5"/>
      <c r="E678" s="5">
        <v>5.230875E7</v>
      </c>
      <c r="F678" s="6" t="s">
        <v>26</v>
      </c>
      <c r="G678" s="3">
        <v>7.486292913000011E7</v>
      </c>
      <c r="H678" s="6">
        <v>7.486292913E7</v>
      </c>
      <c r="I678" s="6" t="s">
        <v>1</v>
      </c>
      <c r="J678" s="6"/>
      <c r="K678" s="6"/>
    </row>
    <row r="679">
      <c r="A679" s="1">
        <v>44957.0</v>
      </c>
      <c r="B679" s="2" t="s">
        <v>712</v>
      </c>
      <c r="C679" s="2" t="s">
        <v>712</v>
      </c>
      <c r="D679" s="5">
        <v>240.57</v>
      </c>
      <c r="E679" s="5"/>
      <c r="F679" s="4"/>
      <c r="G679" s="3">
        <v>7.486268856000012E7</v>
      </c>
      <c r="H679" s="4"/>
      <c r="I679" s="6" t="s">
        <v>8</v>
      </c>
      <c r="J679" s="6"/>
      <c r="K679" s="6"/>
    </row>
    <row r="680">
      <c r="A680" s="1">
        <v>44957.0</v>
      </c>
      <c r="B680" s="2" t="s">
        <v>713</v>
      </c>
      <c r="C680" s="2" t="s">
        <v>713</v>
      </c>
      <c r="D680" s="5">
        <v>1548.48</v>
      </c>
      <c r="E680" s="5"/>
      <c r="F680" s="4"/>
      <c r="G680" s="3">
        <v>7.486114008000012E7</v>
      </c>
      <c r="H680" s="4"/>
      <c r="I680" s="6" t="s">
        <v>8</v>
      </c>
      <c r="J680" s="6"/>
      <c r="K680" s="6"/>
    </row>
    <row r="681">
      <c r="A681" s="1">
        <v>44957.0</v>
      </c>
      <c r="B681" s="2" t="s">
        <v>714</v>
      </c>
      <c r="C681" s="2" t="s">
        <v>714</v>
      </c>
      <c r="D681" s="5">
        <v>261.58</v>
      </c>
      <c r="E681" s="5"/>
      <c r="F681" s="4"/>
      <c r="G681" s="3">
        <v>7.486087850000012E7</v>
      </c>
      <c r="H681" s="4"/>
      <c r="I681" s="6" t="s">
        <v>8</v>
      </c>
      <c r="J681" s="6"/>
      <c r="K681" s="6"/>
    </row>
  </sheetData>
  <dataValidations>
    <dataValidation type="list" allowBlank="1" showErrorMessage="1" sqref="I1:I681">
      <formula1>"PRIBADI,PRODUKSI,BANK,EXSPEDISI,OPERASIONAL,NURUL_AINI,V_SALES"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>
        <f>IFERROR(__xludf.DUMMYFUNCTION("IFERROR(QUERY(JAN_2023!A:I, ""SELECT * WHERE D IS NOT NULL AND UPPER(I) = 'PRODUKSI'"", 1), ""Data PRODUKSI belum ditemukan"")"),44928.0)</f>
        <v>44928</v>
      </c>
      <c r="B1" s="14" t="str">
        <f>IFERROR(__xludf.DUMMYFUNCTION("""COMPUTED_VALUE"""),"TRSF E-BANKING DB TANGGAL :31/12")</f>
        <v>TRSF E-BANKING DB TANGGAL :31/12</v>
      </c>
      <c r="C1" s="14" t="str">
        <f>IFERROR(__xludf.DUMMYFUNCTION("""COMPUTED_VALUE"""),"TRSF E-BANKING DB TANGGAL :31/12 3112/FTSCY/WS95271 pelunasan BINTANG TAMA SANTO")</f>
        <v>TRSF E-BANKING DB TANGGAL :31/12 3112/FTSCY/WS95271 pelunasan BINTANG TAMA SANTO</v>
      </c>
      <c r="D1" s="3">
        <f>IFERROR(__xludf.DUMMYFUNCTION("""COMPUTED_VALUE"""),1.081731E8)</f>
        <v>108173100</v>
      </c>
      <c r="E1" s="14"/>
      <c r="F1" s="14" t="str">
        <f>IFERROR(__xludf.DUMMYFUNCTION("""COMPUTED_VALUE"""),"DB")</f>
        <v>DB</v>
      </c>
      <c r="G1" s="3">
        <f>IFERROR(__xludf.DUMMYFUNCTION("""COMPUTED_VALUE"""),9.2994269813E8)</f>
        <v>929942698.1</v>
      </c>
      <c r="H1" s="14"/>
      <c r="I1" s="14" t="str">
        <f>IFERROR(__xludf.DUMMYFUNCTION("""COMPUTED_VALUE"""),"PRODUKSI")</f>
        <v>PRODUKSI</v>
      </c>
      <c r="J1" s="3">
        <f>SUM(D2:D769)</f>
        <v>20396030240</v>
      </c>
    </row>
    <row r="2">
      <c r="A2" s="13">
        <f>IFERROR(__xludf.DUMMYFUNCTION("""COMPUTED_VALUE"""),44928.0)</f>
        <v>44928</v>
      </c>
      <c r="B2" s="14" t="str">
        <f>IFERROR(__xludf.DUMMYFUNCTION("""COMPUTED_VALUE"""),"TRSF E-BANKING DB TANGGAL :31/12")</f>
        <v>TRSF E-BANKING DB TANGGAL :31/12</v>
      </c>
      <c r="C2" s="14" t="str">
        <f>IFERROR(__xludf.DUMMYFUNCTION("""COMPUTED_VALUE"""),"TRSF E-BANKING DB TANGGAL :31/12 3112/FTSCY/WS95271 kd bagus ardian ml g BROILER MAKMUR TAN")</f>
        <v>TRSF E-BANKING DB TANGGAL :31/12 3112/FTSCY/WS95271 kd bagus ardian ml g BROILER MAKMUR TAN</v>
      </c>
      <c r="D2" s="3">
        <f>IFERROR(__xludf.DUMMYFUNCTION("""COMPUTED_VALUE"""),1.08E8)</f>
        <v>108000000</v>
      </c>
      <c r="E2" s="14"/>
      <c r="F2" s="14" t="str">
        <f>IFERROR(__xludf.DUMMYFUNCTION("""COMPUTED_VALUE"""),"DB")</f>
        <v>DB</v>
      </c>
      <c r="G2" s="3">
        <f>IFERROR(__xludf.DUMMYFUNCTION("""COMPUTED_VALUE"""),8.1494269813E8)</f>
        <v>814942698.1</v>
      </c>
      <c r="H2" s="14"/>
      <c r="I2" s="14" t="str">
        <f>IFERROR(__xludf.DUMMYFUNCTION("""COMPUTED_VALUE"""),"PRODUKSI")</f>
        <v>PRODUKSI</v>
      </c>
    </row>
    <row r="3">
      <c r="A3" s="13">
        <f>IFERROR(__xludf.DUMMYFUNCTION("""COMPUTED_VALUE"""),44928.0)</f>
        <v>44928</v>
      </c>
      <c r="B3" s="14" t="str">
        <f>IFERROR(__xludf.DUMMYFUNCTION("""COMPUTED_VALUE"""),"TRSF E-BANKING DB TANGGAL :31/12")</f>
        <v>TRSF E-BANKING DB TANGGAL :31/12</v>
      </c>
      <c r="C3" s="14" t="str">
        <f>IFERROR(__xludf.DUMMYFUNCTION("""COMPUTED_VALUE"""),"TRSF E-BANKING DB TANGGAL :31/12 3112/FTSCY/WS95271 ANUGERAH KARTIKA A")</f>
        <v>TRSF E-BANKING DB TANGGAL :31/12 3112/FTSCY/WS95271 ANUGERAH KARTIKA A</v>
      </c>
      <c r="D3" s="3">
        <f>IFERROR(__xludf.DUMMYFUNCTION("""COMPUTED_VALUE"""),5.60715E7)</f>
        <v>56071500</v>
      </c>
      <c r="E3" s="14"/>
      <c r="F3" s="14" t="str">
        <f>IFERROR(__xludf.DUMMYFUNCTION("""COMPUTED_VALUE"""),"DB")</f>
        <v>DB</v>
      </c>
      <c r="G3" s="3">
        <f>IFERROR(__xludf.DUMMYFUNCTION("""COMPUTED_VALUE"""),7.5887119813E8)</f>
        <v>758871198.1</v>
      </c>
      <c r="H3" s="14"/>
      <c r="I3" s="14" t="str">
        <f>IFERROR(__xludf.DUMMYFUNCTION("""COMPUTED_VALUE"""),"PRODUKSI")</f>
        <v>PRODUKSI</v>
      </c>
    </row>
    <row r="4">
      <c r="A4" s="13">
        <f>IFERROR(__xludf.DUMMYFUNCTION("""COMPUTED_VALUE"""),44928.0)</f>
        <v>44928</v>
      </c>
      <c r="B4" s="14" t="str">
        <f>IFERROR(__xludf.DUMMYFUNCTION("""COMPUTED_VALUE"""),"TRSF E-BANKING DB TANGGAL :31/12")</f>
        <v>TRSF E-BANKING DB TANGGAL :31/12</v>
      </c>
      <c r="C4" s="14" t="str">
        <f>IFERROR(__xludf.DUMMYFUNCTION("""COMPUTED_VALUE"""),"TRSF E-BANKING DB TANGGAL :31/12 3112/FTSCY/WS95031 kd Joko N bjn ANDALAN YASA MITRA")</f>
        <v>TRSF E-BANKING DB TANGGAL :31/12 3112/FTSCY/WS95031 kd Joko N bjn ANDALAN YASA MITRA</v>
      </c>
      <c r="D4" s="3">
        <f>IFERROR(__xludf.DUMMYFUNCTION("""COMPUTED_VALUE"""),6.178025E7)</f>
        <v>61780250</v>
      </c>
      <c r="E4" s="14"/>
      <c r="F4" s="14" t="str">
        <f>IFERROR(__xludf.DUMMYFUNCTION("""COMPUTED_VALUE"""),"DB")</f>
        <v>DB</v>
      </c>
      <c r="G4" s="3">
        <f>IFERROR(__xludf.DUMMYFUNCTION("""COMPUTED_VALUE"""),6.9709094813E8)</f>
        <v>697090948.1</v>
      </c>
      <c r="H4" s="14"/>
      <c r="I4" s="14" t="str">
        <f>IFERROR(__xludf.DUMMYFUNCTION("""COMPUTED_VALUE"""),"PRODUKSI")</f>
        <v>PRODUKSI</v>
      </c>
    </row>
    <row r="5">
      <c r="A5" s="13">
        <f>IFERROR(__xludf.DUMMYFUNCTION("""COMPUTED_VALUE"""),44928.0)</f>
        <v>44928</v>
      </c>
      <c r="B5" s="14" t="str">
        <f>IFERROR(__xludf.DUMMYFUNCTION("""COMPUTED_VALUE"""),"TRSF E-BANKING DB TANGGAL :31/12")</f>
        <v>TRSF E-BANKING DB TANGGAL :31/12</v>
      </c>
      <c r="C5" s="14" t="str">
        <f>IFERROR(__xludf.DUMMYFUNCTION("""COMPUTED_VALUE"""),"TRSF E-BANKING DB TANGGAL :31/12 3112/FTSCY/WS95011 pemb. haraka ANDALAN YASA MITRA")</f>
        <v>TRSF E-BANKING DB TANGGAL :31/12 3112/FTSCY/WS95011 pemb. haraka ANDALAN YASA MITRA</v>
      </c>
      <c r="D5" s="3">
        <f>IFERROR(__xludf.DUMMYFUNCTION("""COMPUTED_VALUE"""),1.00989E8)</f>
        <v>100989000</v>
      </c>
      <c r="E5" s="14"/>
      <c r="F5" s="14" t="str">
        <f>IFERROR(__xludf.DUMMYFUNCTION("""COMPUTED_VALUE"""),"DB")</f>
        <v>DB</v>
      </c>
      <c r="G5" s="3">
        <f>IFERROR(__xludf.DUMMYFUNCTION("""COMPUTED_VALUE"""),5.9610194813E8)</f>
        <v>596101948.1</v>
      </c>
      <c r="H5" s="14"/>
      <c r="I5" s="14" t="str">
        <f>IFERROR(__xludf.DUMMYFUNCTION("""COMPUTED_VALUE"""),"PRODUKSI")</f>
        <v>PRODUKSI</v>
      </c>
    </row>
    <row r="6">
      <c r="A6" s="13">
        <f>IFERROR(__xludf.DUMMYFUNCTION("""COMPUTED_VALUE"""),44928.0)</f>
        <v>44928</v>
      </c>
      <c r="B6" s="14" t="str">
        <f>IFERROR(__xludf.DUMMYFUNCTION("""COMPUTED_VALUE"""),"TRSF E-BANKING DB TANGGAL :31/12")</f>
        <v>TRSF E-BANKING DB TANGGAL :31/12</v>
      </c>
      <c r="C6" s="14" t="str">
        <f>IFERROR(__xludf.DUMMYFUNCTION("""COMPUTED_VALUE"""),"TRSF E-BANKING DB TANGGAL :31/12 3112/FTSCY/WS95011 tuban PITIK DIGITAL INDO")</f>
        <v>TRSF E-BANKING DB TANGGAL :31/12 3112/FTSCY/WS95011 tuban PITIK DIGITAL INDO</v>
      </c>
      <c r="D6" s="3">
        <f>IFERROR(__xludf.DUMMYFUNCTION("""COMPUTED_VALUE"""),2.0E8)</f>
        <v>200000000</v>
      </c>
      <c r="E6" s="14"/>
      <c r="F6" s="14" t="str">
        <f>IFERROR(__xludf.DUMMYFUNCTION("""COMPUTED_VALUE"""),"DB")</f>
        <v>DB</v>
      </c>
      <c r="G6" s="3">
        <f>IFERROR(__xludf.DUMMYFUNCTION("""COMPUTED_VALUE"""),3.9610194813E8)</f>
        <v>396101948.1</v>
      </c>
      <c r="H6" s="14"/>
      <c r="I6" s="14" t="str">
        <f>IFERROR(__xludf.DUMMYFUNCTION("""COMPUTED_VALUE"""),"PRODUKSI")</f>
        <v>PRODUKSI</v>
      </c>
    </row>
    <row r="7">
      <c r="A7" s="13">
        <f>IFERROR(__xludf.DUMMYFUNCTION("""COMPUTED_VALUE"""),44928.0)</f>
        <v>44928</v>
      </c>
      <c r="B7" s="14" t="str">
        <f>IFERROR(__xludf.DUMMYFUNCTION("""COMPUTED_VALUE"""),"TRSF E-BANKING DB TANGGAL :31/12")</f>
        <v>TRSF E-BANKING DB TANGGAL :31/12</v>
      </c>
      <c r="C7" s="14" t="str">
        <f>IFERROR(__xludf.DUMMYFUNCTION("""COMPUTED_VALUE"""),"TRSF E-BANKING DB TANGGAL :31/12 3112/FTSCY/WS95011 jombang PITIK DIGITAL INDO")</f>
        <v>TRSF E-BANKING DB TANGGAL :31/12 3112/FTSCY/WS95011 jombang PITIK DIGITAL INDO</v>
      </c>
      <c r="D7" s="3">
        <f>IFERROR(__xludf.DUMMYFUNCTION("""COMPUTED_VALUE"""),1.5419378E8)</f>
        <v>154193780</v>
      </c>
      <c r="E7" s="14"/>
      <c r="F7" s="14" t="str">
        <f>IFERROR(__xludf.DUMMYFUNCTION("""COMPUTED_VALUE"""),"DB")</f>
        <v>DB</v>
      </c>
      <c r="G7" s="3">
        <f>IFERROR(__xludf.DUMMYFUNCTION("""COMPUTED_VALUE"""),2.4190816813E8)</f>
        <v>241908168.1</v>
      </c>
      <c r="H7" s="14"/>
      <c r="I7" s="14" t="str">
        <f>IFERROR(__xludf.DUMMYFUNCTION("""COMPUTED_VALUE"""),"PRODUKSI")</f>
        <v>PRODUKSI</v>
      </c>
    </row>
    <row r="8">
      <c r="A8" s="13">
        <f>IFERROR(__xludf.DUMMYFUNCTION("""COMPUTED_VALUE"""),44928.0)</f>
        <v>44928</v>
      </c>
      <c r="B8" s="14" t="str">
        <f>IFERROR(__xludf.DUMMYFUNCTION("""COMPUTED_VALUE"""),"TRSF E-BANKING DB TANGGAL :31/12")</f>
        <v>TRSF E-BANKING DB TANGGAL :31/12</v>
      </c>
      <c r="C8" s="14" t="str">
        <f>IFERROR(__xludf.DUMMYFUNCTION("""COMPUTED_VALUE"""),"TRSF E-BANKING DB TANGGAL :31/12 3112/FTSCY/WS95011 kd sutrisno nganju DINA WIRANTI")</f>
        <v>TRSF E-BANKING DB TANGGAL :31/12 3112/FTSCY/WS95011 kd sutrisno nganju DINA WIRANTI</v>
      </c>
      <c r="D8" s="3">
        <f>IFERROR(__xludf.DUMMYFUNCTION("""COMPUTED_VALUE"""),4.4422E7)</f>
        <v>44422000</v>
      </c>
      <c r="E8" s="14"/>
      <c r="F8" s="14" t="str">
        <f>IFERROR(__xludf.DUMMYFUNCTION("""COMPUTED_VALUE"""),"DB")</f>
        <v>DB</v>
      </c>
      <c r="G8" s="3">
        <f>IFERROR(__xludf.DUMMYFUNCTION("""COMPUTED_VALUE"""),1.9748616813E8)</f>
        <v>197486168.1</v>
      </c>
      <c r="H8" s="14"/>
      <c r="I8" s="14" t="str">
        <f>IFERROR(__xludf.DUMMYFUNCTION("""COMPUTED_VALUE"""),"PRODUKSI")</f>
        <v>PRODUKSI</v>
      </c>
    </row>
    <row r="9">
      <c r="A9" s="13">
        <f>IFERROR(__xludf.DUMMYFUNCTION("""COMPUTED_VALUE"""),44928.0)</f>
        <v>44928</v>
      </c>
      <c r="B9" s="14" t="str">
        <f>IFERROR(__xludf.DUMMYFUNCTION("""COMPUTED_VALUE"""),"TRSF E-BANKING DB TANGGAL :31/12")</f>
        <v>TRSF E-BANKING DB TANGGAL :31/12</v>
      </c>
      <c r="C9" s="14" t="str">
        <f>IFERROR(__xludf.DUMMYFUNCTION("""COMPUTED_VALUE"""),"TRSF E-BANKING DB TANGGAL :31/12 3112/FTSCY/WS95271 pelunasan DINA WIRANTI")</f>
        <v>TRSF E-BANKING DB TANGGAL :31/12 3112/FTSCY/WS95271 pelunasan DINA WIRANTI</v>
      </c>
      <c r="D9" s="3">
        <f>IFERROR(__xludf.DUMMYFUNCTION("""COMPUTED_VALUE"""),1.4E7)</f>
        <v>14000000</v>
      </c>
      <c r="E9" s="14"/>
      <c r="F9" s="14" t="str">
        <f>IFERROR(__xludf.DUMMYFUNCTION("""COMPUTED_VALUE"""),"DB")</f>
        <v>DB</v>
      </c>
      <c r="G9" s="3">
        <f>IFERROR(__xludf.DUMMYFUNCTION("""COMPUTED_VALUE"""),1.8348616813E8)</f>
        <v>183486168.1</v>
      </c>
      <c r="H9" s="14"/>
      <c r="I9" s="14" t="str">
        <f>IFERROR(__xludf.DUMMYFUNCTION("""COMPUTED_VALUE"""),"PRODUKSI")</f>
        <v>PRODUKSI</v>
      </c>
    </row>
    <row r="10">
      <c r="A10" s="13">
        <f>IFERROR(__xludf.DUMMYFUNCTION("""COMPUTED_VALUE"""),44928.0)</f>
        <v>44928</v>
      </c>
      <c r="B10" s="14" t="str">
        <f>IFERROR(__xludf.DUMMYFUNCTION("""COMPUTED_VALUE"""),"TRSF E-BANKING DB TANGGAL :31/12")</f>
        <v>TRSF E-BANKING DB TANGGAL :31/12</v>
      </c>
      <c r="C10" s="14" t="str">
        <f>IFERROR(__xludf.DUMMYFUNCTION("""COMPUTED_VALUE"""),"TRSF E-BANKING DB TANGGAL :31/12 3112/FTSCY/WS95031 kd sugioni blitar GANESHA SATRIA NUS")</f>
        <v>TRSF E-BANKING DB TANGGAL :31/12 3112/FTSCY/WS95031 kd sugioni blitar GANESHA SATRIA NUS</v>
      </c>
      <c r="D10" s="3">
        <f>IFERROR(__xludf.DUMMYFUNCTION("""COMPUTED_VALUE"""),3.747084E7)</f>
        <v>37470840</v>
      </c>
      <c r="E10" s="14"/>
      <c r="F10" s="14" t="str">
        <f>IFERROR(__xludf.DUMMYFUNCTION("""COMPUTED_VALUE"""),"DB")</f>
        <v>DB</v>
      </c>
      <c r="G10" s="3">
        <f>IFERROR(__xludf.DUMMYFUNCTION("""COMPUTED_VALUE"""),1.4601532813E8)</f>
        <v>146015328.1</v>
      </c>
      <c r="H10" s="14"/>
      <c r="I10" s="14" t="str">
        <f>IFERROR(__xludf.DUMMYFUNCTION("""COMPUTED_VALUE"""),"PRODUKSI")</f>
        <v>PRODUKSI</v>
      </c>
    </row>
    <row r="11">
      <c r="A11" s="13">
        <f>IFERROR(__xludf.DUMMYFUNCTION("""COMPUTED_VALUE"""),44928.0)</f>
        <v>44928</v>
      </c>
      <c r="B11" s="14" t="str">
        <f>IFERROR(__xludf.DUMMYFUNCTION("""COMPUTED_VALUE"""),"TRSF E-BANKING DB TANGGAL :31/12")</f>
        <v>TRSF E-BANKING DB TANGGAL :31/12</v>
      </c>
      <c r="C11" s="14" t="str">
        <f>IFERROR(__xludf.DUMMYFUNCTION("""COMPUTED_VALUE"""),"TRSF E-BANKING DB TANGGAL :31/12 3112/FTSCY/WS95271 krg 7.5 jt GANESHA SATRIA NUS")</f>
        <v>TRSF E-BANKING DB TANGGAL :31/12 3112/FTSCY/WS95271 krg 7.5 jt GANESHA SATRIA NUS</v>
      </c>
      <c r="D11" s="3">
        <f>IFERROR(__xludf.DUMMYFUNCTION("""COMPUTED_VALUE"""),6691520.0)</f>
        <v>6691520</v>
      </c>
      <c r="E11" s="14"/>
      <c r="F11" s="14" t="str">
        <f>IFERROR(__xludf.DUMMYFUNCTION("""COMPUTED_VALUE"""),"DB")</f>
        <v>DB</v>
      </c>
      <c r="G11" s="3">
        <f>IFERROR(__xludf.DUMMYFUNCTION("""COMPUTED_VALUE"""),1.3932380813E8)</f>
        <v>139323808.1</v>
      </c>
      <c r="H11" s="14"/>
      <c r="I11" s="14" t="str">
        <f>IFERROR(__xludf.DUMMYFUNCTION("""COMPUTED_VALUE"""),"PRODUKSI")</f>
        <v>PRODUKSI</v>
      </c>
    </row>
    <row r="12">
      <c r="A12" s="13">
        <f>IFERROR(__xludf.DUMMYFUNCTION("""COMPUTED_VALUE"""),44928.0)</f>
        <v>44928</v>
      </c>
      <c r="B12" s="14" t="str">
        <f>IFERROR(__xludf.DUMMYFUNCTION("""COMPUTED_VALUE"""),"TRSF E-BANKING DB TANGGAL :31/12")</f>
        <v>TRSF E-BANKING DB TANGGAL :31/12</v>
      </c>
      <c r="C12" s="14" t="str">
        <f>IFERROR(__xludf.DUMMYFUNCTION("""COMPUTED_VALUE"""),"TRSF E-BANKING DB TANGGAL :31/12 3112/FTSCY/WS95271 MUHAMMAD HAIRUL MA")</f>
        <v>TRSF E-BANKING DB TANGGAL :31/12 3112/FTSCY/WS95271 MUHAMMAD HAIRUL MA</v>
      </c>
      <c r="D12" s="3">
        <f>IFERROR(__xludf.DUMMYFUNCTION("""COMPUTED_VALUE"""),4.665E7)</f>
        <v>46650000</v>
      </c>
      <c r="E12" s="14"/>
      <c r="F12" s="14" t="str">
        <f>IFERROR(__xludf.DUMMYFUNCTION("""COMPUTED_VALUE"""),"DB")</f>
        <v>DB</v>
      </c>
      <c r="G12" s="3">
        <f>IFERROR(__xludf.DUMMYFUNCTION("""COMPUTED_VALUE"""),1.4653883713E8)</f>
        <v>146538837.1</v>
      </c>
      <c r="H12" s="14"/>
      <c r="I12" s="14" t="str">
        <f>IFERROR(__xludf.DUMMYFUNCTION("""COMPUTED_VALUE"""),"PRODUKSI")</f>
        <v>PRODUKSI</v>
      </c>
    </row>
    <row r="13">
      <c r="A13" s="13">
        <f>IFERROR(__xludf.DUMMYFUNCTION("""COMPUTED_VALUE"""),44928.0)</f>
        <v>44928</v>
      </c>
      <c r="B13" s="14" t="str">
        <f>IFERROR(__xludf.DUMMYFUNCTION("""COMPUTED_VALUE"""),"TRSF E-BANKING DB TANGGAL :01/01")</f>
        <v>TRSF E-BANKING DB TANGGAL :01/01</v>
      </c>
      <c r="C13" s="14" t="str">
        <f>IFERROR(__xludf.DUMMYFUNCTION("""COMPUTED_VALUE"""),"TRSF E-BANKING DB TANGGAL :01/01 0101/FTSCY/WS95271 probolinggo PITIK DIGITAL INDO")</f>
        <v>TRSF E-BANKING DB TANGGAL :01/01 0101/FTSCY/WS95271 probolinggo PITIK DIGITAL INDO</v>
      </c>
      <c r="D13" s="3">
        <f>IFERROR(__xludf.DUMMYFUNCTION("""COMPUTED_VALUE"""),9.674951E7)</f>
        <v>96749510</v>
      </c>
      <c r="E13" s="14"/>
      <c r="F13" s="14" t="str">
        <f>IFERROR(__xludf.DUMMYFUNCTION("""COMPUTED_VALUE"""),"DB")</f>
        <v>DB</v>
      </c>
      <c r="G13" s="3">
        <f>IFERROR(__xludf.DUMMYFUNCTION("""COMPUTED_VALUE"""),2.4740874713E8)</f>
        <v>247408747.1</v>
      </c>
      <c r="H13" s="14"/>
      <c r="I13" s="14" t="str">
        <f>IFERROR(__xludf.DUMMYFUNCTION("""COMPUTED_VALUE"""),"PRODUKSI")</f>
        <v>PRODUKSI</v>
      </c>
    </row>
    <row r="14">
      <c r="A14" s="13">
        <f>IFERROR(__xludf.DUMMYFUNCTION("""COMPUTED_VALUE"""),44928.0)</f>
        <v>44928</v>
      </c>
      <c r="B14" s="14" t="str">
        <f>IFERROR(__xludf.DUMMYFUNCTION("""COMPUTED_VALUE"""),"TRSF E-BANKING DB TANGGAL :01/01")</f>
        <v>TRSF E-BANKING DB TANGGAL :01/01</v>
      </c>
      <c r="C14" s="14" t="str">
        <f>IFERROR(__xludf.DUMMYFUNCTION("""COMPUTED_VALUE"""),"TRSF E-BANKING DB TANGGAL :01/01 0101/FTSCY/WS95271 titip TABASSAM JAYA FARM")</f>
        <v>TRSF E-BANKING DB TANGGAL :01/01 0101/FTSCY/WS95271 titip TABASSAM JAYA FARM</v>
      </c>
      <c r="D14" s="3">
        <f>IFERROR(__xludf.DUMMYFUNCTION("""COMPUTED_VALUE"""),7.0E7)</f>
        <v>70000000</v>
      </c>
      <c r="E14" s="14"/>
      <c r="F14" s="14" t="str">
        <f>IFERROR(__xludf.DUMMYFUNCTION("""COMPUTED_VALUE"""),"DB")</f>
        <v>DB</v>
      </c>
      <c r="G14" s="3">
        <f>IFERROR(__xludf.DUMMYFUNCTION("""COMPUTED_VALUE"""),1.7740874713E8)</f>
        <v>177408747.1</v>
      </c>
      <c r="H14" s="14"/>
      <c r="I14" s="14" t="str">
        <f>IFERROR(__xludf.DUMMYFUNCTION("""COMPUTED_VALUE"""),"PRODUKSI")</f>
        <v>PRODUKSI</v>
      </c>
    </row>
    <row r="15">
      <c r="A15" s="13">
        <f>IFERROR(__xludf.DUMMYFUNCTION("""COMPUTED_VALUE"""),44928.0)</f>
        <v>44928</v>
      </c>
      <c r="B15" s="14" t="str">
        <f>IFERROR(__xludf.DUMMYFUNCTION("""COMPUTED_VALUE"""),"TRSF E-BANKING DB TANGGAL :01/01")</f>
        <v>TRSF E-BANKING DB TANGGAL :01/01</v>
      </c>
      <c r="C15" s="14" t="str">
        <f>IFERROR(__xludf.DUMMYFUNCTION("""COMPUTED_VALUE"""),"TRSF E-BANKING DB TANGGAL :01/01 0101/FTSCY/WS95031 tuban PITIK DIGITAL INDO")</f>
        <v>TRSF E-BANKING DB TANGGAL :01/01 0101/FTSCY/WS95031 tuban PITIK DIGITAL INDO</v>
      </c>
      <c r="D15" s="3">
        <f>IFERROR(__xludf.DUMMYFUNCTION("""COMPUTED_VALUE"""),9.0909306E7)</f>
        <v>90909306</v>
      </c>
      <c r="E15" s="14"/>
      <c r="F15" s="14" t="str">
        <f>IFERROR(__xludf.DUMMYFUNCTION("""COMPUTED_VALUE"""),"DB")</f>
        <v>DB</v>
      </c>
      <c r="G15" s="3">
        <f>IFERROR(__xludf.DUMMYFUNCTION("""COMPUTED_VALUE"""),8.649944113E7)</f>
        <v>86499441.13</v>
      </c>
      <c r="H15" s="14"/>
      <c r="I15" s="14" t="str">
        <f>IFERROR(__xludf.DUMMYFUNCTION("""COMPUTED_VALUE"""),"PRODUKSI")</f>
        <v>PRODUKSI</v>
      </c>
    </row>
    <row r="16">
      <c r="A16" s="13">
        <f>IFERROR(__xludf.DUMMYFUNCTION("""COMPUTED_VALUE"""),44928.0)</f>
        <v>44928</v>
      </c>
      <c r="B16" s="14" t="str">
        <f>IFERROR(__xludf.DUMMYFUNCTION("""COMPUTED_VALUE"""),"TRSF E-BANKING DB TANGGAL :01/01")</f>
        <v>TRSF E-BANKING DB TANGGAL :01/01</v>
      </c>
      <c r="C16" s="14" t="str">
        <f>IFERROR(__xludf.DUMMYFUNCTION("""COMPUTED_VALUE"""),"TRSF E-BANKING DB TANGGAL :01/01 0101/FTSCY/WS95271 tuban pelunasan PITIK DIGITAL INDO")</f>
        <v>TRSF E-BANKING DB TANGGAL :01/01 0101/FTSCY/WS95271 tuban pelunasan PITIK DIGITAL INDO</v>
      </c>
      <c r="D16" s="3">
        <f>IFERROR(__xludf.DUMMYFUNCTION("""COMPUTED_VALUE"""),6.0E7)</f>
        <v>60000000</v>
      </c>
      <c r="E16" s="14"/>
      <c r="F16" s="14" t="str">
        <f>IFERROR(__xludf.DUMMYFUNCTION("""COMPUTED_VALUE"""),"DB")</f>
        <v>DB</v>
      </c>
      <c r="G16" s="3">
        <f>IFERROR(__xludf.DUMMYFUNCTION("""COMPUTED_VALUE"""),2.6499441129999995E7)</f>
        <v>26499441.13</v>
      </c>
      <c r="H16" s="14"/>
      <c r="I16" s="14" t="str">
        <f>IFERROR(__xludf.DUMMYFUNCTION("""COMPUTED_VALUE"""),"PRODUKSI")</f>
        <v>PRODUKSI</v>
      </c>
    </row>
    <row r="17">
      <c r="A17" s="13">
        <f>IFERROR(__xludf.DUMMYFUNCTION("""COMPUTED_VALUE"""),44928.0)</f>
        <v>44928</v>
      </c>
      <c r="B17" s="14" t="str">
        <f>IFERROR(__xludf.DUMMYFUNCTION("""COMPUTED_VALUE"""),"TRSF E-BANKING DB TANGGAL :01/01")</f>
        <v>TRSF E-BANKING DB TANGGAL :01/01</v>
      </c>
      <c r="C17" s="14" t="str">
        <f>IFERROR(__xludf.DUMMYFUNCTION("""COMPUTED_VALUE"""),"TRSF E-BANKING DB TANGGAL :01/01 0101/FTSCY/WS95271 titip BRANTAS ABADI SENT")</f>
        <v>TRSF E-BANKING DB TANGGAL :01/01 0101/FTSCY/WS95271 titip BRANTAS ABADI SENT</v>
      </c>
      <c r="D17" s="3">
        <f>IFERROR(__xludf.DUMMYFUNCTION("""COMPUTED_VALUE"""),2.5E7)</f>
        <v>25000000</v>
      </c>
      <c r="E17" s="14"/>
      <c r="F17" s="14" t="str">
        <f>IFERROR(__xludf.DUMMYFUNCTION("""COMPUTED_VALUE"""),"DB")</f>
        <v>DB</v>
      </c>
      <c r="G17" s="3">
        <f>IFERROR(__xludf.DUMMYFUNCTION("""COMPUTED_VALUE"""),1499441.1299999952)</f>
        <v>1499441.13</v>
      </c>
      <c r="H17" s="14"/>
      <c r="I17" s="14" t="str">
        <f>IFERROR(__xludf.DUMMYFUNCTION("""COMPUTED_VALUE"""),"PRODUKSI")</f>
        <v>PRODUKSI</v>
      </c>
    </row>
    <row r="18">
      <c r="A18" s="13">
        <f>IFERROR(__xludf.DUMMYFUNCTION("""COMPUTED_VALUE"""),44928.0)</f>
        <v>44928</v>
      </c>
      <c r="B18" s="14" t="str">
        <f>IFERROR(__xludf.DUMMYFUNCTION("""COMPUTED_VALUE"""),"TRSF E-BANKING DB")</f>
        <v>TRSF E-BANKING DB</v>
      </c>
      <c r="C18" s="14" t="str">
        <f>IFERROR(__xludf.DUMMYFUNCTION("""COMPUTED_VALUE"""),"TRSF E-BANKING DB 0201/FTSCY/WS95031 42656900.00 pemb. kd sampang b litar BINTANG TAMA SANTO")</f>
        <v>TRSF E-BANKING DB 0201/FTSCY/WS95031 42656900.00 pemb. kd sampang b litar BINTANG TAMA SANTO</v>
      </c>
      <c r="D18" s="3">
        <f>IFERROR(__xludf.DUMMYFUNCTION("""COMPUTED_VALUE"""),4.26569E7)</f>
        <v>42656900</v>
      </c>
      <c r="E18" s="14"/>
      <c r="F18" s="14" t="str">
        <f>IFERROR(__xludf.DUMMYFUNCTION("""COMPUTED_VALUE"""),"DB")</f>
        <v>DB</v>
      </c>
      <c r="G18" s="3">
        <f>IFERROR(__xludf.DUMMYFUNCTION("""COMPUTED_VALUE"""),2.2825437113E8)</f>
        <v>228254371.1</v>
      </c>
      <c r="H18" s="14"/>
      <c r="I18" s="14" t="str">
        <f>IFERROR(__xludf.DUMMYFUNCTION("""COMPUTED_VALUE"""),"PRODUKSI")</f>
        <v>PRODUKSI</v>
      </c>
    </row>
    <row r="19">
      <c r="A19" s="13">
        <f>IFERROR(__xludf.DUMMYFUNCTION("""COMPUTED_VALUE"""),44928.0)</f>
        <v>44928</v>
      </c>
      <c r="B19" s="14" t="str">
        <f>IFERROR(__xludf.DUMMYFUNCTION("""COMPUTED_VALUE"""),"TRSF E-BANKING DB")</f>
        <v>TRSF E-BANKING DB</v>
      </c>
      <c r="C19" s="14" t="str">
        <f>IFERROR(__xludf.DUMMYFUNCTION("""COMPUTED_VALUE"""),"TRSF E-BANKING DB 0201/FTSCY/WS95031 49494000.00 pemb. kd ixwan rem bang TUMBUH OPTIMAL PRI")</f>
        <v>TRSF E-BANKING DB 0201/FTSCY/WS95031 49494000.00 pemb. kd ixwan rem bang TUMBUH OPTIMAL PRI</v>
      </c>
      <c r="D19" s="3">
        <f>IFERROR(__xludf.DUMMYFUNCTION("""COMPUTED_VALUE"""),4.9494E7)</f>
        <v>49494000</v>
      </c>
      <c r="E19" s="14"/>
      <c r="F19" s="14" t="str">
        <f>IFERROR(__xludf.DUMMYFUNCTION("""COMPUTED_VALUE"""),"DB")</f>
        <v>DB</v>
      </c>
      <c r="G19" s="3">
        <f>IFERROR(__xludf.DUMMYFUNCTION("""COMPUTED_VALUE"""),1.7876037113E8)</f>
        <v>178760371.1</v>
      </c>
      <c r="H19" s="14"/>
      <c r="I19" s="14" t="str">
        <f>IFERROR(__xludf.DUMMYFUNCTION("""COMPUTED_VALUE"""),"PRODUKSI")</f>
        <v>PRODUKSI</v>
      </c>
    </row>
    <row r="20">
      <c r="A20" s="13">
        <f>IFERROR(__xludf.DUMMYFUNCTION("""COMPUTED_VALUE"""),44928.0)</f>
        <v>44928</v>
      </c>
      <c r="B20" s="14" t="str">
        <f>IFERROR(__xludf.DUMMYFUNCTION("""COMPUTED_VALUE"""),"TRSF E-BANKING DB")</f>
        <v>TRSF E-BANKING DB</v>
      </c>
      <c r="C20" s="14" t="str">
        <f>IFERROR(__xludf.DUMMYFUNCTION("""COMPUTED_VALUE"""),"TRSF E-BANKING DB 0201/FTSCY/WS95271 102700000.00 pelunasan BROILER MAKMUR TAN")</f>
        <v>TRSF E-BANKING DB 0201/FTSCY/WS95271 102700000.00 pelunasan BROILER MAKMUR TAN</v>
      </c>
      <c r="D20" s="3">
        <f>IFERROR(__xludf.DUMMYFUNCTION("""COMPUTED_VALUE"""),1.027E8)</f>
        <v>102700000</v>
      </c>
      <c r="E20" s="14"/>
      <c r="F20" s="14" t="str">
        <f>IFERROR(__xludf.DUMMYFUNCTION("""COMPUTED_VALUE"""),"DB")</f>
        <v>DB</v>
      </c>
      <c r="G20" s="3">
        <f>IFERROR(__xludf.DUMMYFUNCTION("""COMPUTED_VALUE"""),7.441057113E7)</f>
        <v>74410571.13</v>
      </c>
      <c r="H20" s="14"/>
      <c r="I20" s="14" t="str">
        <f>IFERROR(__xludf.DUMMYFUNCTION("""COMPUTED_VALUE"""),"PRODUKSI")</f>
        <v>PRODUKSI</v>
      </c>
    </row>
    <row r="21">
      <c r="A21" s="13">
        <f>IFERROR(__xludf.DUMMYFUNCTION("""COMPUTED_VALUE"""),44928.0)</f>
        <v>44928</v>
      </c>
      <c r="B21" s="14" t="str">
        <f>IFERROR(__xludf.DUMMYFUNCTION("""COMPUTED_VALUE"""),"TRSF E-BANKING DB")</f>
        <v>TRSF E-BANKING DB</v>
      </c>
      <c r="C21" s="14" t="str">
        <f>IFERROR(__xludf.DUMMYFUNCTION("""COMPUTED_VALUE"""),"TRSF E-BANKING DB 0201/FTSCY/WS95271 26000000.00 pelunasan TABASSAM JAYA FARM")</f>
        <v>TRSF E-BANKING DB 0201/FTSCY/WS95271 26000000.00 pelunasan TABASSAM JAYA FARM</v>
      </c>
      <c r="D21" s="3">
        <f>IFERROR(__xludf.DUMMYFUNCTION("""COMPUTED_VALUE"""),2.6E7)</f>
        <v>26000000</v>
      </c>
      <c r="E21" s="14"/>
      <c r="F21" s="14" t="str">
        <f>IFERROR(__xludf.DUMMYFUNCTION("""COMPUTED_VALUE"""),"DB")</f>
        <v>DB</v>
      </c>
      <c r="G21" s="3">
        <f>IFERROR(__xludf.DUMMYFUNCTION("""COMPUTED_VALUE"""),4.8410571129999995E7)</f>
        <v>48410571.13</v>
      </c>
      <c r="H21" s="14"/>
      <c r="I21" s="14" t="str">
        <f>IFERROR(__xludf.DUMMYFUNCTION("""COMPUTED_VALUE"""),"PRODUKSI")</f>
        <v>PRODUKSI</v>
      </c>
    </row>
    <row r="22">
      <c r="A22" s="13">
        <f>IFERROR(__xludf.DUMMYFUNCTION("""COMPUTED_VALUE"""),44928.0)</f>
        <v>44928</v>
      </c>
      <c r="B22" s="14" t="str">
        <f>IFERROR(__xludf.DUMMYFUNCTION("""COMPUTED_VALUE"""),"TRSF E-BANKING DB")</f>
        <v>TRSF E-BANKING DB</v>
      </c>
      <c r="C22" s="14" t="str">
        <f>IFERROR(__xludf.DUMMYFUNCTION("""COMPUTED_VALUE"""),"TRSF E-BANKING DB 0201/FTSCY/WS95271 54250000.00 3500kg kd imong mg tn UNGGAS MANDIRI BER")</f>
        <v>TRSF E-BANKING DB 0201/FTSCY/WS95271 54250000.00 3500kg kd imong mg tn UNGGAS MANDIRI BER</v>
      </c>
      <c r="D22" s="3">
        <f>IFERROR(__xludf.DUMMYFUNCTION("""COMPUTED_VALUE"""),5.425E7)</f>
        <v>54250000</v>
      </c>
      <c r="E22" s="14"/>
      <c r="F22" s="14" t="str">
        <f>IFERROR(__xludf.DUMMYFUNCTION("""COMPUTED_VALUE"""),"DB")</f>
        <v>DB</v>
      </c>
      <c r="G22" s="3">
        <f>IFERROR(__xludf.DUMMYFUNCTION("""COMPUTED_VALUE"""),4.9960571129999995E7)</f>
        <v>49960571.13</v>
      </c>
      <c r="H22" s="14"/>
      <c r="I22" s="14" t="str">
        <f>IFERROR(__xludf.DUMMYFUNCTION("""COMPUTED_VALUE"""),"PRODUKSI")</f>
        <v>PRODUKSI</v>
      </c>
    </row>
    <row r="23">
      <c r="A23" s="13">
        <f>IFERROR(__xludf.DUMMYFUNCTION("""COMPUTED_VALUE"""),44928.0)</f>
        <v>44928</v>
      </c>
      <c r="B23" s="14" t="str">
        <f>IFERROR(__xludf.DUMMYFUNCTION("""COMPUTED_VALUE"""),"TRSF E-BANKING DB")</f>
        <v>TRSF E-BANKING DB</v>
      </c>
      <c r="C23" s="14" t="str">
        <f>IFERROR(__xludf.DUMMYFUNCTION("""COMPUTED_VALUE"""),"TRSF E-BANKING DB 0201/FTSCY/WS95271 48600000.00 pemb. kd Abrohim A mlg VIVI DWI OKTAVIA")</f>
        <v>TRSF E-BANKING DB 0201/FTSCY/WS95271 48600000.00 pemb. kd Abrohim A mlg VIVI DWI OKTAVIA</v>
      </c>
      <c r="D23" s="3">
        <f>IFERROR(__xludf.DUMMYFUNCTION("""COMPUTED_VALUE"""),4.86E7)</f>
        <v>48600000</v>
      </c>
      <c r="E23" s="14"/>
      <c r="F23" s="14" t="str">
        <f>IFERROR(__xludf.DUMMYFUNCTION("""COMPUTED_VALUE"""),"DB")</f>
        <v>DB</v>
      </c>
      <c r="G23" s="3">
        <f>IFERROR(__xludf.DUMMYFUNCTION("""COMPUTED_VALUE"""),1.1076407113E8)</f>
        <v>110764071.1</v>
      </c>
      <c r="H23" s="14"/>
      <c r="I23" s="14" t="str">
        <f>IFERROR(__xludf.DUMMYFUNCTION("""COMPUTED_VALUE"""),"PRODUKSI")</f>
        <v>PRODUKSI</v>
      </c>
    </row>
    <row r="24">
      <c r="A24" s="13">
        <f>IFERROR(__xludf.DUMMYFUNCTION("""COMPUTED_VALUE"""),44928.0)</f>
        <v>44928</v>
      </c>
      <c r="B24" s="14" t="str">
        <f>IFERROR(__xludf.DUMMYFUNCTION("""COMPUTED_VALUE"""),"TRSF E-BANKING DB")</f>
        <v>TRSF E-BANKING DB</v>
      </c>
      <c r="C24" s="14" t="str">
        <f>IFERROR(__xludf.DUMMYFUNCTION("""COMPUTED_VALUE"""),"TRSF E-BANKING DB 0201/FTSCY/WS95271 46770550.00 lunas ANUGERAH KARTIKA A")</f>
        <v>TRSF E-BANKING DB 0201/FTSCY/WS95271 46770550.00 lunas ANUGERAH KARTIKA A</v>
      </c>
      <c r="D24" s="3">
        <f>IFERROR(__xludf.DUMMYFUNCTION("""COMPUTED_VALUE"""),4.677055E7)</f>
        <v>46770550</v>
      </c>
      <c r="E24" s="14"/>
      <c r="F24" s="14" t="str">
        <f>IFERROR(__xludf.DUMMYFUNCTION("""COMPUTED_VALUE"""),"DB")</f>
        <v>DB</v>
      </c>
      <c r="G24" s="3">
        <f>IFERROR(__xludf.DUMMYFUNCTION("""COMPUTED_VALUE"""),6.3993521129999995E7)</f>
        <v>63993521.13</v>
      </c>
      <c r="H24" s="14"/>
      <c r="I24" s="14" t="str">
        <f>IFERROR(__xludf.DUMMYFUNCTION("""COMPUTED_VALUE"""),"PRODUKSI")</f>
        <v>PRODUKSI</v>
      </c>
    </row>
    <row r="25">
      <c r="A25" s="13">
        <f>IFERROR(__xludf.DUMMYFUNCTION("""COMPUTED_VALUE"""),44928.0)</f>
        <v>44928</v>
      </c>
      <c r="B25" s="14" t="str">
        <f>IFERROR(__xludf.DUMMYFUNCTION("""COMPUTED_VALUE"""),"TRSF E-BANKING DB")</f>
        <v>TRSF E-BANKING DB</v>
      </c>
      <c r="C25" s="14" t="str">
        <f>IFERROR(__xludf.DUMMYFUNCTION("""COMPUTED_VALUE"""),"TRSF E-BANKING DB 0201/FTSCY/WS95011 40595200.00 jombang PITIK DIGITAL INDO")</f>
        <v>TRSF E-BANKING DB 0201/FTSCY/WS95011 40595200.00 jombang PITIK DIGITAL INDO</v>
      </c>
      <c r="D25" s="3">
        <f>IFERROR(__xludf.DUMMYFUNCTION("""COMPUTED_VALUE"""),4.05952E7)</f>
        <v>40595200</v>
      </c>
      <c r="E25" s="14"/>
      <c r="F25" s="14" t="str">
        <f>IFERROR(__xludf.DUMMYFUNCTION("""COMPUTED_VALUE"""),"DB")</f>
        <v>DB</v>
      </c>
      <c r="G25" s="3">
        <f>IFERROR(__xludf.DUMMYFUNCTION("""COMPUTED_VALUE"""),2.3398321129999995E7)</f>
        <v>23398321.13</v>
      </c>
      <c r="H25" s="14"/>
      <c r="I25" s="14" t="str">
        <f>IFERROR(__xludf.DUMMYFUNCTION("""COMPUTED_VALUE"""),"PRODUKSI")</f>
        <v>PRODUKSI</v>
      </c>
    </row>
    <row r="26">
      <c r="A26" s="13">
        <f>IFERROR(__xludf.DUMMYFUNCTION("""COMPUTED_VALUE"""),44928.0)</f>
        <v>44928</v>
      </c>
      <c r="B26" s="14" t="str">
        <f>IFERROR(__xludf.DUMMYFUNCTION("""COMPUTED_VALUE"""),"TRSF E-BANKING DB")</f>
        <v>TRSF E-BANKING DB</v>
      </c>
      <c r="C26" s="14" t="str">
        <f>IFERROR(__xludf.DUMMYFUNCTION("""COMPUTED_VALUE"""),"TRSF E-BANKING DB 0201/FTSCY/WS95011 53922000.00 pemb. setya rizal ngariboyo magetan RUKUN MITRA BERSAM")</f>
        <v>TRSF E-BANKING DB 0201/FTSCY/WS95011 53922000.00 pemb. setya rizal ngariboyo magetan RUKUN MITRA BERSAM</v>
      </c>
      <c r="D26" s="3">
        <f>IFERROR(__xludf.DUMMYFUNCTION("""COMPUTED_VALUE"""),5.3922E7)</f>
        <v>53922000</v>
      </c>
      <c r="E26" s="14"/>
      <c r="F26" s="14" t="str">
        <f>IFERROR(__xludf.DUMMYFUNCTION("""COMPUTED_VALUE"""),"DB")</f>
        <v>DB</v>
      </c>
      <c r="G26" s="3">
        <f>IFERROR(__xludf.DUMMYFUNCTION("""COMPUTED_VALUE"""),6.917632113E7)</f>
        <v>69176321.13</v>
      </c>
      <c r="H26" s="14"/>
      <c r="I26" s="14" t="str">
        <f>IFERROR(__xludf.DUMMYFUNCTION("""COMPUTED_VALUE"""),"PRODUKSI")</f>
        <v>PRODUKSI</v>
      </c>
    </row>
    <row r="27">
      <c r="A27" s="13">
        <f>IFERROR(__xludf.DUMMYFUNCTION("""COMPUTED_VALUE"""),44928.0)</f>
        <v>44928</v>
      </c>
      <c r="B27" s="14" t="str">
        <f>IFERROR(__xludf.DUMMYFUNCTION("""COMPUTED_VALUE"""),"TRSF E-BANKING DB")</f>
        <v>TRSF E-BANKING DB</v>
      </c>
      <c r="C27" s="14" t="str">
        <f>IFERROR(__xludf.DUMMYFUNCTION("""COMPUTED_VALUE"""),"TRSF E-BANKING DB 0201/FTSCY/WS95011 64290000.00 krg 30 jt SUPER UNGGAS JAYA")</f>
        <v>TRSF E-BANKING DB 0201/FTSCY/WS95011 64290000.00 krg 30 jt SUPER UNGGAS JAYA</v>
      </c>
      <c r="D27" s="3">
        <f>IFERROR(__xludf.DUMMYFUNCTION("""COMPUTED_VALUE"""),6.429E7)</f>
        <v>64290000</v>
      </c>
      <c r="E27" s="14"/>
      <c r="F27" s="14" t="str">
        <f>IFERROR(__xludf.DUMMYFUNCTION("""COMPUTED_VALUE"""),"DB")</f>
        <v>DB</v>
      </c>
      <c r="G27" s="3">
        <f>IFERROR(__xludf.DUMMYFUNCTION("""COMPUTED_VALUE"""),4886321.129999995)</f>
        <v>4886321.13</v>
      </c>
      <c r="H27" s="14"/>
      <c r="I27" s="14" t="str">
        <f>IFERROR(__xludf.DUMMYFUNCTION("""COMPUTED_VALUE"""),"PRODUKSI")</f>
        <v>PRODUKSI</v>
      </c>
    </row>
    <row r="28">
      <c r="A28" s="13">
        <f>IFERROR(__xludf.DUMMYFUNCTION("""COMPUTED_VALUE"""),44929.0)</f>
        <v>44929</v>
      </c>
      <c r="B28" s="14" t="str">
        <f>IFERROR(__xludf.DUMMYFUNCTION("""COMPUTED_VALUE"""),"TRSF E-BANKING DB")</f>
        <v>TRSF E-BANKING DB</v>
      </c>
      <c r="C28" s="14" t="str">
        <f>IFERROR(__xludf.DUMMYFUNCTION("""COMPUTED_VALUE"""),"TRSF E-BANKING DB 0301/FTSCY/WS95031 30000000.00 pelunasan SUPER UNGGAS JAYA")</f>
        <v>TRSF E-BANKING DB 0301/FTSCY/WS95031 30000000.00 pelunasan SUPER UNGGAS JAYA</v>
      </c>
      <c r="D28" s="3">
        <f>IFERROR(__xludf.DUMMYFUNCTION("""COMPUTED_VALUE"""),3.0E7)</f>
        <v>30000000</v>
      </c>
      <c r="E28" s="14"/>
      <c r="F28" s="14" t="str">
        <f>IFERROR(__xludf.DUMMYFUNCTION("""COMPUTED_VALUE"""),"DB")</f>
        <v>DB</v>
      </c>
      <c r="G28" s="3">
        <f>IFERROR(__xludf.DUMMYFUNCTION("""COMPUTED_VALUE"""),2.6216021129999995E7)</f>
        <v>26216021.13</v>
      </c>
      <c r="H28" s="14"/>
      <c r="I28" s="14" t="str">
        <f>IFERROR(__xludf.DUMMYFUNCTION("""COMPUTED_VALUE"""),"PRODUKSI")</f>
        <v>PRODUKSI</v>
      </c>
    </row>
    <row r="29">
      <c r="A29" s="13">
        <f>IFERROR(__xludf.DUMMYFUNCTION("""COMPUTED_VALUE"""),44929.0)</f>
        <v>44929</v>
      </c>
      <c r="B29" s="14" t="str">
        <f>IFERROR(__xludf.DUMMYFUNCTION("""COMPUTED_VALUE"""),"TRSF E-BANKING DB")</f>
        <v>TRSF E-BANKING DB</v>
      </c>
      <c r="C29" s="14" t="str">
        <f>IFERROR(__xludf.DUMMYFUNCTION("""COMPUTED_VALUE"""),"TRSF E-BANKING DB 0301/FTSCY/WS95031 23000000.00 pelunasan BRANTAS ABADI SENT")</f>
        <v>TRSF E-BANKING DB 0301/FTSCY/WS95031 23000000.00 pelunasan BRANTAS ABADI SENT</v>
      </c>
      <c r="D29" s="3">
        <f>IFERROR(__xludf.DUMMYFUNCTION("""COMPUTED_VALUE"""),2.3E7)</f>
        <v>23000000</v>
      </c>
      <c r="E29" s="14"/>
      <c r="F29" s="14" t="str">
        <f>IFERROR(__xludf.DUMMYFUNCTION("""COMPUTED_VALUE"""),"DB")</f>
        <v>DB</v>
      </c>
      <c r="G29" s="3">
        <f>IFERROR(__xludf.DUMMYFUNCTION("""COMPUTED_VALUE"""),73021.12999999523)</f>
        <v>73021.13</v>
      </c>
      <c r="H29" s="14"/>
      <c r="I29" s="14" t="str">
        <f>IFERROR(__xludf.DUMMYFUNCTION("""COMPUTED_VALUE"""),"PRODUKSI")</f>
        <v>PRODUKSI</v>
      </c>
    </row>
    <row r="30">
      <c r="A30" s="13">
        <f>IFERROR(__xludf.DUMMYFUNCTION("""COMPUTED_VALUE"""),44929.0)</f>
        <v>44929</v>
      </c>
      <c r="B30" s="14" t="str">
        <f>IFERROR(__xludf.DUMMYFUNCTION("""COMPUTED_VALUE"""),"TRSF E-BANKING DB")</f>
        <v>TRSF E-BANKING DB</v>
      </c>
      <c r="C30" s="14" t="str">
        <f>IFERROR(__xludf.DUMMYFUNCTION("""COMPUTED_VALUE"""),"TRSF E-BANKING DB 0301/FTSCY/WS95271 101897694.00 tuban PITIK DIGITAL INDO")</f>
        <v>TRSF E-BANKING DB 0301/FTSCY/WS95271 101897694.00 tuban PITIK DIGITAL INDO</v>
      </c>
      <c r="D30" s="3">
        <f>IFERROR(__xludf.DUMMYFUNCTION("""COMPUTED_VALUE"""),1.01897694E8)</f>
        <v>101897694</v>
      </c>
      <c r="E30" s="14"/>
      <c r="F30" s="14" t="str">
        <f>IFERROR(__xludf.DUMMYFUNCTION("""COMPUTED_VALUE"""),"DB")</f>
        <v>DB</v>
      </c>
      <c r="G30" s="3">
        <f>IFERROR(__xludf.DUMMYFUNCTION("""COMPUTED_VALUE"""),8.910582713E7)</f>
        <v>89105827.13</v>
      </c>
      <c r="H30" s="14"/>
      <c r="I30" s="14" t="str">
        <f>IFERROR(__xludf.DUMMYFUNCTION("""COMPUTED_VALUE"""),"PRODUKSI")</f>
        <v>PRODUKSI</v>
      </c>
    </row>
    <row r="31">
      <c r="A31" s="13">
        <f>IFERROR(__xludf.DUMMYFUNCTION("""COMPUTED_VALUE"""),44929.0)</f>
        <v>44929</v>
      </c>
      <c r="B31" s="14" t="str">
        <f>IFERROR(__xludf.DUMMYFUNCTION("""COMPUTED_VALUE"""),"TRSF E-BANKING DB")</f>
        <v>TRSF E-BANKING DB</v>
      </c>
      <c r="C31" s="14" t="str">
        <f>IFERROR(__xludf.DUMMYFUNCTION("""COMPUTED_VALUE"""),"TRSF E-BANKING DB 0301/FTSCY/WS95271 54250000.00 pemb. kd supriadi sragen RUKUN MITRA BERSAM")</f>
        <v>TRSF E-BANKING DB 0301/FTSCY/WS95271 54250000.00 pemb. kd supriadi sragen RUKUN MITRA BERSAM</v>
      </c>
      <c r="D31" s="3">
        <f>IFERROR(__xludf.DUMMYFUNCTION("""COMPUTED_VALUE"""),5.425E7)</f>
        <v>54250000</v>
      </c>
      <c r="E31" s="14"/>
      <c r="F31" s="14" t="str">
        <f>IFERROR(__xludf.DUMMYFUNCTION("""COMPUTED_VALUE"""),"DB")</f>
        <v>DB</v>
      </c>
      <c r="G31" s="3">
        <f>IFERROR(__xludf.DUMMYFUNCTION("""COMPUTED_VALUE"""),3.4855827129999995E7)</f>
        <v>34855827.13</v>
      </c>
      <c r="H31" s="14"/>
      <c r="I31" s="14" t="str">
        <f>IFERROR(__xludf.DUMMYFUNCTION("""COMPUTED_VALUE"""),"PRODUKSI")</f>
        <v>PRODUKSI</v>
      </c>
    </row>
    <row r="32">
      <c r="A32" s="13">
        <f>IFERROR(__xludf.DUMMYFUNCTION("""COMPUTED_VALUE"""),44929.0)</f>
        <v>44929</v>
      </c>
      <c r="B32" s="14" t="str">
        <f>IFERROR(__xludf.DUMMYFUNCTION("""COMPUTED_VALUE"""),"TRSF E-BANKING DB")</f>
        <v>TRSF E-BANKING DB</v>
      </c>
      <c r="C32" s="14" t="str">
        <f>IFERROR(__xludf.DUMMYFUNCTION("""COMPUTED_VALUE"""),"TRSF E-BANKING DB 0301/FTSCY/WS95011 150000000.00 probolinggo PITIK DIGITAL INDO")</f>
        <v>TRSF E-BANKING DB 0301/FTSCY/WS95011 150000000.00 probolinggo PITIK DIGITAL INDO</v>
      </c>
      <c r="D32" s="3">
        <f>IFERROR(__xludf.DUMMYFUNCTION("""COMPUTED_VALUE"""),1.5E8)</f>
        <v>150000000</v>
      </c>
      <c r="E32" s="14"/>
      <c r="F32" s="14" t="str">
        <f>IFERROR(__xludf.DUMMYFUNCTION("""COMPUTED_VALUE"""),"DB")</f>
        <v>DB</v>
      </c>
      <c r="G32" s="3">
        <f>IFERROR(__xludf.DUMMYFUNCTION("""COMPUTED_VALUE"""),1.0565559513E8)</f>
        <v>105655595.1</v>
      </c>
      <c r="H32" s="14"/>
      <c r="I32" s="14" t="str">
        <f>IFERROR(__xludf.DUMMYFUNCTION("""COMPUTED_VALUE"""),"PRODUKSI")</f>
        <v>PRODUKSI</v>
      </c>
    </row>
    <row r="33">
      <c r="A33" s="13">
        <f>IFERROR(__xludf.DUMMYFUNCTION("""COMPUTED_VALUE"""),44929.0)</f>
        <v>44929</v>
      </c>
      <c r="B33" s="14" t="str">
        <f>IFERROR(__xludf.DUMMYFUNCTION("""COMPUTED_VALUE"""),"TRSF E-BANKING DB")</f>
        <v>TRSF E-BANKING DB</v>
      </c>
      <c r="C33" s="14" t="str">
        <f>IFERROR(__xludf.DUMMYFUNCTION("""COMPUTED_VALUE"""),"TRSF E-BANKING DB 0301/FTSCY/WS95271 103200000.00 krg 75 jt ANDALAN YASA MITRA")</f>
        <v>TRSF E-BANKING DB 0301/FTSCY/WS95271 103200000.00 krg 75 jt ANDALAN YASA MITRA</v>
      </c>
      <c r="D33" s="3">
        <f>IFERROR(__xludf.DUMMYFUNCTION("""COMPUTED_VALUE"""),1.032E8)</f>
        <v>103200000</v>
      </c>
      <c r="E33" s="14"/>
      <c r="F33" s="14" t="str">
        <f>IFERROR(__xludf.DUMMYFUNCTION("""COMPUTED_VALUE"""),"DB")</f>
        <v>DB</v>
      </c>
      <c r="G33" s="3">
        <f>IFERROR(__xludf.DUMMYFUNCTION("""COMPUTED_VALUE"""),2455595.129999995)</f>
        <v>2455595.13</v>
      </c>
      <c r="H33" s="14"/>
      <c r="I33" s="14" t="str">
        <f>IFERROR(__xludf.DUMMYFUNCTION("""COMPUTED_VALUE"""),"PRODUKSI")</f>
        <v>PRODUKSI</v>
      </c>
    </row>
    <row r="34">
      <c r="A34" s="13">
        <f>IFERROR(__xludf.DUMMYFUNCTION("""COMPUTED_VALUE"""),44929.0)</f>
        <v>44929</v>
      </c>
      <c r="B34" s="14" t="str">
        <f>IFERROR(__xludf.DUMMYFUNCTION("""COMPUTED_VALUE"""),"TRSF E-BANKING DB")</f>
        <v>TRSF E-BANKING DB</v>
      </c>
      <c r="C34" s="14" t="str">
        <f>IFERROR(__xludf.DUMMYFUNCTION("""COMPUTED_VALUE"""),"TRSF E-BANKING DB 0301/FTSCY/WS95011 46778150.00 pelunasan probolin PITIK DIGITAL INDO")</f>
        <v>TRSF E-BANKING DB 0301/FTSCY/WS95011 46778150.00 pelunasan probolin PITIK DIGITAL INDO</v>
      </c>
      <c r="D34" s="3">
        <f>IFERROR(__xludf.DUMMYFUNCTION("""COMPUTED_VALUE"""),4.677815E7)</f>
        <v>46778150</v>
      </c>
      <c r="E34" s="14"/>
      <c r="F34" s="14" t="str">
        <f>IFERROR(__xludf.DUMMYFUNCTION("""COMPUTED_VALUE"""),"DB")</f>
        <v>DB</v>
      </c>
      <c r="G34" s="3">
        <f>IFERROR(__xludf.DUMMYFUNCTION("""COMPUTED_VALUE"""),5081545.129999995)</f>
        <v>5081545.13</v>
      </c>
      <c r="H34" s="14"/>
      <c r="I34" s="14" t="str">
        <f>IFERROR(__xludf.DUMMYFUNCTION("""COMPUTED_VALUE"""),"PRODUKSI")</f>
        <v>PRODUKSI</v>
      </c>
    </row>
    <row r="35">
      <c r="A35" s="13">
        <f>IFERROR(__xludf.DUMMYFUNCTION("""COMPUTED_VALUE"""),44930.0)</f>
        <v>44930</v>
      </c>
      <c r="B35" s="14" t="str">
        <f>IFERROR(__xludf.DUMMYFUNCTION("""COMPUTED_VALUE"""),"TRSF E-BANKING DB")</f>
        <v>TRSF E-BANKING DB</v>
      </c>
      <c r="C35" s="14" t="str">
        <f>IFERROR(__xludf.DUMMYFUNCTION("""COMPUTED_VALUE"""),"TRSF E-BANKING DB 0401/FTSCY/WS95031 49915000.00 kd riwayanto blita r BERLIAN UNGGUL JAY")</f>
        <v>TRSF E-BANKING DB 0401/FTSCY/WS95031 49915000.00 kd riwayanto blita r BERLIAN UNGGUL JAY</v>
      </c>
      <c r="D35" s="3">
        <f>IFERROR(__xludf.DUMMYFUNCTION("""COMPUTED_VALUE"""),4.9915E7)</f>
        <v>49915000</v>
      </c>
      <c r="E35" s="14"/>
      <c r="F35" s="14" t="str">
        <f>IFERROR(__xludf.DUMMYFUNCTION("""COMPUTED_VALUE"""),"DB")</f>
        <v>DB</v>
      </c>
      <c r="G35" s="3">
        <f>IFERROR(__xludf.DUMMYFUNCTION("""COMPUTED_VALUE"""),1.9449905513E8)</f>
        <v>194499055.1</v>
      </c>
      <c r="H35" s="14"/>
      <c r="I35" s="14" t="str">
        <f>IFERROR(__xludf.DUMMYFUNCTION("""COMPUTED_VALUE"""),"PRODUKSI")</f>
        <v>PRODUKSI</v>
      </c>
    </row>
    <row r="36">
      <c r="A36" s="13">
        <f>IFERROR(__xludf.DUMMYFUNCTION("""COMPUTED_VALUE"""),44930.0)</f>
        <v>44930</v>
      </c>
      <c r="B36" s="14" t="str">
        <f>IFERROR(__xludf.DUMMYFUNCTION("""COMPUTED_VALUE"""),"TRSF E-BANKING DB")</f>
        <v>TRSF E-BANKING DB</v>
      </c>
      <c r="C36" s="14" t="str">
        <f>IFERROR(__xludf.DUMMYFUNCTION("""COMPUTED_VALUE"""),"TRSF E-BANKING DB 0401/FTSCY/WS95271 75000000.00 pelunasan ANDALAN YASA MITRA")</f>
        <v>TRSF E-BANKING DB 0401/FTSCY/WS95271 75000000.00 pelunasan ANDALAN YASA MITRA</v>
      </c>
      <c r="D36" s="3">
        <f>IFERROR(__xludf.DUMMYFUNCTION("""COMPUTED_VALUE"""),7.5E7)</f>
        <v>75000000</v>
      </c>
      <c r="E36" s="14"/>
      <c r="F36" s="14" t="str">
        <f>IFERROR(__xludf.DUMMYFUNCTION("""COMPUTED_VALUE"""),"DB")</f>
        <v>DB</v>
      </c>
      <c r="G36" s="3">
        <f>IFERROR(__xludf.DUMMYFUNCTION("""COMPUTED_VALUE"""),1.1949905513E8)</f>
        <v>119499055.1</v>
      </c>
      <c r="H36" s="14"/>
      <c r="I36" s="14" t="str">
        <f>IFERROR(__xludf.DUMMYFUNCTION("""COMPUTED_VALUE"""),"PRODUKSI")</f>
        <v>PRODUKSI</v>
      </c>
    </row>
    <row r="37">
      <c r="A37" s="13">
        <f>IFERROR(__xludf.DUMMYFUNCTION("""COMPUTED_VALUE"""),44930.0)</f>
        <v>44930</v>
      </c>
      <c r="B37" s="14" t="str">
        <f>IFERROR(__xludf.DUMMYFUNCTION("""COMPUTED_VALUE"""),"TRSF E-BANKING DB")</f>
        <v>TRSF E-BANKING DB</v>
      </c>
      <c r="C37" s="14" t="str">
        <f>IFERROR(__xludf.DUMMYFUNCTION("""COMPUTED_VALUE"""),"TRSF E-BANKING DB 0401/FTSCY/WS95011 167779440.00 t. agung PITIK DIGITAL INDO")</f>
        <v>TRSF E-BANKING DB 0401/FTSCY/WS95011 167779440.00 t. agung PITIK DIGITAL INDO</v>
      </c>
      <c r="D37" s="3">
        <f>IFERROR(__xludf.DUMMYFUNCTION("""COMPUTED_VALUE"""),1.6777944E8)</f>
        <v>167779440</v>
      </c>
      <c r="E37" s="14"/>
      <c r="F37" s="14" t="str">
        <f>IFERROR(__xludf.DUMMYFUNCTION("""COMPUTED_VALUE"""),"DB")</f>
        <v>DB</v>
      </c>
      <c r="G37" s="3">
        <f>IFERROR(__xludf.DUMMYFUNCTION("""COMPUTED_VALUE"""),3.7201129513E8)</f>
        <v>372011295.1</v>
      </c>
      <c r="H37" s="14"/>
      <c r="I37" s="14" t="str">
        <f>IFERROR(__xludf.DUMMYFUNCTION("""COMPUTED_VALUE"""),"PRODUKSI")</f>
        <v>PRODUKSI</v>
      </c>
    </row>
    <row r="38">
      <c r="A38" s="13">
        <f>IFERROR(__xludf.DUMMYFUNCTION("""COMPUTED_VALUE"""),44930.0)</f>
        <v>44930</v>
      </c>
      <c r="B38" s="14" t="str">
        <f>IFERROR(__xludf.DUMMYFUNCTION("""COMPUTED_VALUE"""),"TRSF E-BANKING DB")</f>
        <v>TRSF E-BANKING DB</v>
      </c>
      <c r="C38" s="14" t="str">
        <f>IFERROR(__xludf.DUMMYFUNCTION("""COMPUTED_VALUE"""),"TRSF E-BANKING DB 0401/FTSCY/WS95011 88575400.00 kd yeny lambeyan magetan ANDALAN YASA MITRA")</f>
        <v>TRSF E-BANKING DB 0401/FTSCY/WS95011 88575400.00 kd yeny lambeyan magetan ANDALAN YASA MITRA</v>
      </c>
      <c r="D38" s="3">
        <f>IFERROR(__xludf.DUMMYFUNCTION("""COMPUTED_VALUE"""),8.85754E7)</f>
        <v>88575400</v>
      </c>
      <c r="E38" s="14"/>
      <c r="F38" s="14" t="str">
        <f>IFERROR(__xludf.DUMMYFUNCTION("""COMPUTED_VALUE"""),"DB")</f>
        <v>DB</v>
      </c>
      <c r="G38" s="3">
        <f>IFERROR(__xludf.DUMMYFUNCTION("""COMPUTED_VALUE"""),2.8343589513E8)</f>
        <v>283435895.1</v>
      </c>
      <c r="H38" s="14"/>
      <c r="I38" s="14" t="str">
        <f>IFERROR(__xludf.DUMMYFUNCTION("""COMPUTED_VALUE"""),"PRODUKSI")</f>
        <v>PRODUKSI</v>
      </c>
    </row>
    <row r="39">
      <c r="A39" s="13">
        <f>IFERROR(__xludf.DUMMYFUNCTION("""COMPUTED_VALUE"""),44930.0)</f>
        <v>44930</v>
      </c>
      <c r="B39" s="14" t="str">
        <f>IFERROR(__xludf.DUMMYFUNCTION("""COMPUTED_VALUE"""),"TRSF E-BANKING DB")</f>
        <v>TRSF E-BANKING DB</v>
      </c>
      <c r="C39" s="14" t="str">
        <f>IFERROR(__xludf.DUMMYFUNCTION("""COMPUTED_VALUE"""),"TRSF E-BANKING DB 0401/FTSCY/WS95031 35871650.00 kd firman jbg ANUGERAH KARTIKA A")</f>
        <v>TRSF E-BANKING DB 0401/FTSCY/WS95031 35871650.00 kd firman jbg ANUGERAH KARTIKA A</v>
      </c>
      <c r="D39" s="3">
        <f>IFERROR(__xludf.DUMMYFUNCTION("""COMPUTED_VALUE"""),3.587165E7)</f>
        <v>35871650</v>
      </c>
      <c r="E39" s="14"/>
      <c r="F39" s="14" t="str">
        <f>IFERROR(__xludf.DUMMYFUNCTION("""COMPUTED_VALUE"""),"DB")</f>
        <v>DB</v>
      </c>
      <c r="G39" s="3">
        <f>IFERROR(__xludf.DUMMYFUNCTION("""COMPUTED_VALUE"""),2.4756424513E8)</f>
        <v>247564245.1</v>
      </c>
      <c r="H39" s="14"/>
      <c r="I39" s="14" t="str">
        <f>IFERROR(__xludf.DUMMYFUNCTION("""COMPUTED_VALUE"""),"PRODUKSI")</f>
        <v>PRODUKSI</v>
      </c>
    </row>
    <row r="40">
      <c r="A40" s="13">
        <f>IFERROR(__xludf.DUMMYFUNCTION("""COMPUTED_VALUE"""),44930.0)</f>
        <v>44930</v>
      </c>
      <c r="B40" s="14" t="str">
        <f>IFERROR(__xludf.DUMMYFUNCTION("""COMPUTED_VALUE"""),"TRSF E-BANKING DB")</f>
        <v>TRSF E-BANKING DB</v>
      </c>
      <c r="C40" s="14" t="str">
        <f>IFERROR(__xludf.DUMMYFUNCTION("""COMPUTED_VALUE"""),"TRSF E-BANKING DB 0401/FTSCY/WS95271 58090000.00 pemb. kd aris pupu t ANUGERAH KARTIKA A")</f>
        <v>TRSF E-BANKING DB 0401/FTSCY/WS95271 58090000.00 pemb. kd aris pupu t ANUGERAH KARTIKA A</v>
      </c>
      <c r="D40" s="3">
        <f>IFERROR(__xludf.DUMMYFUNCTION("""COMPUTED_VALUE"""),5.809E7)</f>
        <v>58090000</v>
      </c>
      <c r="E40" s="14"/>
      <c r="F40" s="14" t="str">
        <f>IFERROR(__xludf.DUMMYFUNCTION("""COMPUTED_VALUE"""),"DB")</f>
        <v>DB</v>
      </c>
      <c r="G40" s="3">
        <f>IFERROR(__xludf.DUMMYFUNCTION("""COMPUTED_VALUE"""),1.8947424513E8)</f>
        <v>189474245.1</v>
      </c>
      <c r="H40" s="14"/>
      <c r="I40" s="14" t="str">
        <f>IFERROR(__xludf.DUMMYFUNCTION("""COMPUTED_VALUE"""),"PRODUKSI")</f>
        <v>PRODUKSI</v>
      </c>
    </row>
    <row r="41">
      <c r="A41" s="13">
        <f>IFERROR(__xludf.DUMMYFUNCTION("""COMPUTED_VALUE"""),44930.0)</f>
        <v>44930</v>
      </c>
      <c r="B41" s="14" t="str">
        <f>IFERROR(__xludf.DUMMYFUNCTION("""COMPUTED_VALUE"""),"TRSF E-BANKING DB")</f>
        <v>TRSF E-BANKING DB</v>
      </c>
      <c r="C41" s="14" t="str">
        <f>IFERROR(__xludf.DUMMYFUNCTION("""COMPUTED_VALUE"""),"TRSF E-BANKING DB 0401/FTSCY/WS95271 48130600.00 pembm kd siswoyo ANDALAN YASA MITRA")</f>
        <v>TRSF E-BANKING DB 0401/FTSCY/WS95271 48130600.00 pembm kd siswoyo ANDALAN YASA MITRA</v>
      </c>
      <c r="D41" s="3">
        <f>IFERROR(__xludf.DUMMYFUNCTION("""COMPUTED_VALUE"""),4.81306E7)</f>
        <v>48130600</v>
      </c>
      <c r="E41" s="14"/>
      <c r="F41" s="14" t="str">
        <f>IFERROR(__xludf.DUMMYFUNCTION("""COMPUTED_VALUE"""),"DB")</f>
        <v>DB</v>
      </c>
      <c r="G41" s="3">
        <f>IFERROR(__xludf.DUMMYFUNCTION("""COMPUTED_VALUE"""),1.4134364513E8)</f>
        <v>141343645.1</v>
      </c>
      <c r="H41" s="14"/>
      <c r="I41" s="14" t="str">
        <f>IFERROR(__xludf.DUMMYFUNCTION("""COMPUTED_VALUE"""),"PRODUKSI")</f>
        <v>PRODUKSI</v>
      </c>
    </row>
    <row r="42">
      <c r="A42" s="13">
        <f>IFERROR(__xludf.DUMMYFUNCTION("""COMPUTED_VALUE"""),44930.0)</f>
        <v>44930</v>
      </c>
      <c r="B42" s="14" t="str">
        <f>IFERROR(__xludf.DUMMYFUNCTION("""COMPUTED_VALUE"""),"TRSF E-BANKING DB")</f>
        <v>TRSF E-BANKING DB</v>
      </c>
      <c r="C42" s="14" t="str">
        <f>IFERROR(__xludf.DUMMYFUNCTION("""COMPUTED_VALUE"""),"TRSF E-BANKING DB 0401/FTSCY/WS95271 108400000.00 pelunasan BROILER MAKMUR TAN")</f>
        <v>TRSF E-BANKING DB 0401/FTSCY/WS95271 108400000.00 pelunasan BROILER MAKMUR TAN</v>
      </c>
      <c r="D42" s="3">
        <f>IFERROR(__xludf.DUMMYFUNCTION("""COMPUTED_VALUE"""),1.084E8)</f>
        <v>108400000</v>
      </c>
      <c r="E42" s="14"/>
      <c r="F42" s="14" t="str">
        <f>IFERROR(__xludf.DUMMYFUNCTION("""COMPUTED_VALUE"""),"DB")</f>
        <v>DB</v>
      </c>
      <c r="G42" s="3">
        <f>IFERROR(__xludf.DUMMYFUNCTION("""COMPUTED_VALUE"""),3.2943645129999995E7)</f>
        <v>32943645.13</v>
      </c>
      <c r="H42" s="14"/>
      <c r="I42" s="14" t="str">
        <f>IFERROR(__xludf.DUMMYFUNCTION("""COMPUTED_VALUE"""),"PRODUKSI")</f>
        <v>PRODUKSI</v>
      </c>
    </row>
    <row r="43">
      <c r="A43" s="13">
        <f>IFERROR(__xludf.DUMMYFUNCTION("""COMPUTED_VALUE"""),44930.0)</f>
        <v>44930</v>
      </c>
      <c r="B43" s="14" t="str">
        <f>IFERROR(__xludf.DUMMYFUNCTION("""COMPUTED_VALUE"""),"TRSF E-BANKING DB")</f>
        <v>TRSF E-BANKING DB</v>
      </c>
      <c r="C43" s="14" t="str">
        <f>IFERROR(__xludf.DUMMYFUNCTION("""COMPUTED_VALUE"""),"TRSF E-BANKING DB 0401/FTSCY/WS95011 48696000.00 pemb. kd sumarno mlg CV SURYA INTI TERN")</f>
        <v>TRSF E-BANKING DB 0401/FTSCY/WS95011 48696000.00 pemb. kd sumarno mlg CV SURYA INTI TERN</v>
      </c>
      <c r="D43" s="3">
        <f>IFERROR(__xludf.DUMMYFUNCTION("""COMPUTED_VALUE"""),4.8696E7)</f>
        <v>48696000</v>
      </c>
      <c r="E43" s="14"/>
      <c r="F43" s="14" t="str">
        <f>IFERROR(__xludf.DUMMYFUNCTION("""COMPUTED_VALUE"""),"DB")</f>
        <v>DB</v>
      </c>
      <c r="G43" s="3">
        <f>IFERROR(__xludf.DUMMYFUNCTION("""COMPUTED_VALUE"""),3.8360295129999995E7)</f>
        <v>38360295.13</v>
      </c>
      <c r="H43" s="14"/>
      <c r="I43" s="14" t="str">
        <f>IFERROR(__xludf.DUMMYFUNCTION("""COMPUTED_VALUE"""),"PRODUKSI")</f>
        <v>PRODUKSI</v>
      </c>
    </row>
    <row r="44">
      <c r="A44" s="13">
        <f>IFERROR(__xludf.DUMMYFUNCTION("""COMPUTED_VALUE"""),44931.0)</f>
        <v>44931</v>
      </c>
      <c r="B44" s="14" t="str">
        <f>IFERROR(__xludf.DUMMYFUNCTION("""COMPUTED_VALUE"""),"TRSF E-BANKING DB")</f>
        <v>TRSF E-BANKING DB</v>
      </c>
      <c r="C44" s="14" t="str">
        <f>IFERROR(__xludf.DUMMYFUNCTION("""COMPUTED_VALUE"""),"TRSF E-BANKING DB 0501/FTSCY/WS95031 48771000.00 pemb. kd isni V bl itar GANESHA SATRIA NUS")</f>
        <v>TRSF E-BANKING DB 0501/FTSCY/WS95031 48771000.00 pemb. kd isni V bl itar GANESHA SATRIA NUS</v>
      </c>
      <c r="D44" s="3">
        <f>IFERROR(__xludf.DUMMYFUNCTION("""COMPUTED_VALUE"""),4.8771E7)</f>
        <v>48771000</v>
      </c>
      <c r="E44" s="14"/>
      <c r="F44" s="14" t="str">
        <f>IFERROR(__xludf.DUMMYFUNCTION("""COMPUTED_VALUE"""),"DB")</f>
        <v>DB</v>
      </c>
      <c r="G44" s="3">
        <f>IFERROR(__xludf.DUMMYFUNCTION("""COMPUTED_VALUE"""),8.457755513E7)</f>
        <v>84577555.13</v>
      </c>
      <c r="H44" s="14"/>
      <c r="I44" s="14" t="str">
        <f>IFERROR(__xludf.DUMMYFUNCTION("""COMPUTED_VALUE"""),"PRODUKSI")</f>
        <v>PRODUKSI</v>
      </c>
    </row>
    <row r="45">
      <c r="A45" s="13">
        <f>IFERROR(__xludf.DUMMYFUNCTION("""COMPUTED_VALUE"""),44931.0)</f>
        <v>44931</v>
      </c>
      <c r="B45" s="14" t="str">
        <f>IFERROR(__xludf.DUMMYFUNCTION("""COMPUTED_VALUE"""),"TRSF E-BANKING DB")</f>
        <v>TRSF E-BANKING DB</v>
      </c>
      <c r="C45" s="14" t="str">
        <f>IFERROR(__xludf.DUMMYFUNCTION("""COMPUTED_VALUE"""),"TRSF E-BANKING DB 0501/FTSCY/WS95031 47115700.00 Fri Jan 02 2026 15:00:00 GMT+0700 (Western Indonesia Time) ANUGERAH KARTIKA A")</f>
        <v>TRSF E-BANKING DB 0501/FTSCY/WS95031 47115700.00 Fri Jan 02 2026 15:00:00 GMT+0700 (Western Indonesia Time) ANUGERAH KARTIKA A</v>
      </c>
      <c r="D45" s="3">
        <f>IFERROR(__xludf.DUMMYFUNCTION("""COMPUTED_VALUE"""),4.71157E7)</f>
        <v>47115700</v>
      </c>
      <c r="E45" s="14"/>
      <c r="F45" s="14" t="str">
        <f>IFERROR(__xludf.DUMMYFUNCTION("""COMPUTED_VALUE"""),"DB")</f>
        <v>DB</v>
      </c>
      <c r="G45" s="3">
        <f>IFERROR(__xludf.DUMMYFUNCTION("""COMPUTED_VALUE"""),3.7461855129999995E7)</f>
        <v>37461855.13</v>
      </c>
      <c r="H45" s="14"/>
      <c r="I45" s="14" t="str">
        <f>IFERROR(__xludf.DUMMYFUNCTION("""COMPUTED_VALUE"""),"PRODUKSI")</f>
        <v>PRODUKSI</v>
      </c>
    </row>
    <row r="46">
      <c r="A46" s="13">
        <f>IFERROR(__xludf.DUMMYFUNCTION("""COMPUTED_VALUE"""),44931.0)</f>
        <v>44931</v>
      </c>
      <c r="B46" s="14" t="str">
        <f>IFERROR(__xludf.DUMMYFUNCTION("""COMPUTED_VALUE"""),"TRSF E-BANKING DB")</f>
        <v>TRSF E-BANKING DB</v>
      </c>
      <c r="C46" s="14" t="str">
        <f>IFERROR(__xludf.DUMMYFUNCTION("""COMPUTED_VALUE"""),"TRSF E-BANKING DB 0501/FTSCY/WS95271 159200500.00 04/12 lunas TUMBUH OPTIMAL PRI")</f>
        <v>TRSF E-BANKING DB 0501/FTSCY/WS95271 159200500.00 04/12 lunas TUMBUH OPTIMAL PRI</v>
      </c>
      <c r="D46" s="3">
        <f>IFERROR(__xludf.DUMMYFUNCTION("""COMPUTED_VALUE"""),1.592005E8)</f>
        <v>159200500</v>
      </c>
      <c r="E46" s="14"/>
      <c r="F46" s="14" t="str">
        <f>IFERROR(__xludf.DUMMYFUNCTION("""COMPUTED_VALUE"""),"DB")</f>
        <v>DB</v>
      </c>
      <c r="G46" s="3">
        <f>IFERROR(__xludf.DUMMYFUNCTION("""COMPUTED_VALUE"""),8.0475439513E8)</f>
        <v>804754395.1</v>
      </c>
      <c r="H46" s="14"/>
      <c r="I46" s="14" t="str">
        <f>IFERROR(__xludf.DUMMYFUNCTION("""COMPUTED_VALUE"""),"PRODUKSI")</f>
        <v>PRODUKSI</v>
      </c>
    </row>
    <row r="47">
      <c r="A47" s="13">
        <f>IFERROR(__xludf.DUMMYFUNCTION("""COMPUTED_VALUE"""),44931.0)</f>
        <v>44931</v>
      </c>
      <c r="B47" s="14" t="str">
        <f>IFERROR(__xludf.DUMMYFUNCTION("""COMPUTED_VALUE"""),"TRSF E-BANKING DB")</f>
        <v>TRSF E-BANKING DB</v>
      </c>
      <c r="C47" s="14" t="str">
        <f>IFERROR(__xludf.DUMMYFUNCTION("""COMPUTED_VALUE"""),"TRSF E-BANKING DB 0501/FTSCY/WS95011 246668250.00 tuban 02/12 PITIK DIGITAL INDO")</f>
        <v>TRSF E-BANKING DB 0501/FTSCY/WS95011 246668250.00 tuban 02/12 PITIK DIGITAL INDO</v>
      </c>
      <c r="D47" s="3">
        <f>IFERROR(__xludf.DUMMYFUNCTION("""COMPUTED_VALUE"""),2.4666825E8)</f>
        <v>246668250</v>
      </c>
      <c r="E47" s="14"/>
      <c r="F47" s="14" t="str">
        <f>IFERROR(__xludf.DUMMYFUNCTION("""COMPUTED_VALUE"""),"DB")</f>
        <v>DB</v>
      </c>
      <c r="G47" s="3">
        <f>IFERROR(__xludf.DUMMYFUNCTION("""COMPUTED_VALUE"""),5.5295064513E8)</f>
        <v>552950645.1</v>
      </c>
      <c r="H47" s="14"/>
      <c r="I47" s="14" t="str">
        <f>IFERROR(__xludf.DUMMYFUNCTION("""COMPUTED_VALUE"""),"PRODUKSI")</f>
        <v>PRODUKSI</v>
      </c>
    </row>
    <row r="48">
      <c r="A48" s="13">
        <f>IFERROR(__xludf.DUMMYFUNCTION("""COMPUTED_VALUE"""),44931.0)</f>
        <v>44931</v>
      </c>
      <c r="B48" s="14" t="str">
        <f>IFERROR(__xludf.DUMMYFUNCTION("""COMPUTED_VALUE"""),"TRSF E-BANKING DB")</f>
        <v>TRSF E-BANKING DB</v>
      </c>
      <c r="C48" s="14" t="str">
        <f>IFERROR(__xludf.DUMMYFUNCTION("""COMPUTED_VALUE"""),"TRSF E-BANKING DB 0501/FTSCY/WS95271 129788880.00 pelunasan t. agung PITIK DIGITAL INDO")</f>
        <v>TRSF E-BANKING DB 0501/FTSCY/WS95271 129788880.00 pelunasan t. agung PITIK DIGITAL INDO</v>
      </c>
      <c r="D48" s="3">
        <f>IFERROR(__xludf.DUMMYFUNCTION("""COMPUTED_VALUE"""),1.2978888E8)</f>
        <v>129788880</v>
      </c>
      <c r="E48" s="14"/>
      <c r="F48" s="14" t="str">
        <f>IFERROR(__xludf.DUMMYFUNCTION("""COMPUTED_VALUE"""),"DB")</f>
        <v>DB</v>
      </c>
      <c r="G48" s="3">
        <f>IFERROR(__xludf.DUMMYFUNCTION("""COMPUTED_VALUE"""),4.2316176513E8)</f>
        <v>423161765.1</v>
      </c>
      <c r="H48" s="14"/>
      <c r="I48" s="14" t="str">
        <f>IFERROR(__xludf.DUMMYFUNCTION("""COMPUTED_VALUE"""),"PRODUKSI")</f>
        <v>PRODUKSI</v>
      </c>
    </row>
    <row r="49">
      <c r="A49" s="13">
        <f>IFERROR(__xludf.DUMMYFUNCTION("""COMPUTED_VALUE"""),44931.0)</f>
        <v>44931</v>
      </c>
      <c r="B49" s="14" t="str">
        <f>IFERROR(__xludf.DUMMYFUNCTION("""COMPUTED_VALUE"""),"TRSF E-BANKING DB")</f>
        <v>TRSF E-BANKING DB</v>
      </c>
      <c r="C49" s="14" t="str">
        <f>IFERROR(__xludf.DUMMYFUNCTION("""COMPUTED_VALUE"""),"TRSF E-BANKING DB 0501/FTSCY/WS95011 57240000.00 pemb. kd stefi jbg ANDALAN YASA MITRA")</f>
        <v>TRSF E-BANKING DB 0501/FTSCY/WS95011 57240000.00 pemb. kd stefi jbg ANDALAN YASA MITRA</v>
      </c>
      <c r="D49" s="3">
        <f>IFERROR(__xludf.DUMMYFUNCTION("""COMPUTED_VALUE"""),5.724E7)</f>
        <v>57240000</v>
      </c>
      <c r="E49" s="14"/>
      <c r="F49" s="14" t="str">
        <f>IFERROR(__xludf.DUMMYFUNCTION("""COMPUTED_VALUE"""),"DB")</f>
        <v>DB</v>
      </c>
      <c r="G49" s="3">
        <f>IFERROR(__xludf.DUMMYFUNCTION("""COMPUTED_VALUE"""),3.6592176513E8)</f>
        <v>365921765.1</v>
      </c>
      <c r="H49" s="14"/>
      <c r="I49" s="14" t="str">
        <f>IFERROR(__xludf.DUMMYFUNCTION("""COMPUTED_VALUE"""),"PRODUKSI")</f>
        <v>PRODUKSI</v>
      </c>
    </row>
    <row r="50">
      <c r="A50" s="13">
        <f>IFERROR(__xludf.DUMMYFUNCTION("""COMPUTED_VALUE"""),44931.0)</f>
        <v>44931</v>
      </c>
      <c r="B50" s="14" t="str">
        <f>IFERROR(__xludf.DUMMYFUNCTION("""COMPUTED_VALUE"""),"TRSF E-BANKING DB")</f>
        <v>TRSF E-BANKING DB</v>
      </c>
      <c r="C50" s="14" t="str">
        <f>IFERROR(__xludf.DUMMYFUNCTION("""COMPUTED_VALUE"""),"TRSF E-BANKING DB 0501/FTSCY/WS95011 94596500.00 pemb. kd sarpiah mlg CV SURYA INTI TERN")</f>
        <v>TRSF E-BANKING DB 0501/FTSCY/WS95011 94596500.00 pemb. kd sarpiah mlg CV SURYA INTI TERN</v>
      </c>
      <c r="D50" s="3">
        <f>IFERROR(__xludf.DUMMYFUNCTION("""COMPUTED_VALUE"""),9.45965E7)</f>
        <v>94596500</v>
      </c>
      <c r="E50" s="14"/>
      <c r="F50" s="14" t="str">
        <f>IFERROR(__xludf.DUMMYFUNCTION("""COMPUTED_VALUE"""),"DB")</f>
        <v>DB</v>
      </c>
      <c r="G50" s="3">
        <f>IFERROR(__xludf.DUMMYFUNCTION("""COMPUTED_VALUE"""),2.7132526513E8)</f>
        <v>271325265.1</v>
      </c>
      <c r="H50" s="14"/>
      <c r="I50" s="14" t="str">
        <f>IFERROR(__xludf.DUMMYFUNCTION("""COMPUTED_VALUE"""),"PRODUKSI")</f>
        <v>PRODUKSI</v>
      </c>
    </row>
    <row r="51">
      <c r="A51" s="13">
        <f>IFERROR(__xludf.DUMMYFUNCTION("""COMPUTED_VALUE"""),44931.0)</f>
        <v>44931</v>
      </c>
      <c r="B51" s="14" t="str">
        <f>IFERROR(__xludf.DUMMYFUNCTION("""COMPUTED_VALUE"""),"TRSF E-BANKING DB")</f>
        <v>TRSF E-BANKING DB</v>
      </c>
      <c r="C51" s="14" t="str">
        <f>IFERROR(__xludf.DUMMYFUNCTION("""COMPUTED_VALUE"""),"TRSF E-BANKING DB 0501/FTSCY/WS95011 47522330.00 pemb. slamet t. ag SUPER UNGGAS JAYA")</f>
        <v>TRSF E-BANKING DB 0501/FTSCY/WS95011 47522330.00 pemb. slamet t. ag SUPER UNGGAS JAYA</v>
      </c>
      <c r="D51" s="3">
        <f>IFERROR(__xludf.DUMMYFUNCTION("""COMPUTED_VALUE"""),4.752233E7)</f>
        <v>47522330</v>
      </c>
      <c r="E51" s="14"/>
      <c r="F51" s="14" t="str">
        <f>IFERROR(__xludf.DUMMYFUNCTION("""COMPUTED_VALUE"""),"DB")</f>
        <v>DB</v>
      </c>
      <c r="G51" s="3">
        <f>IFERROR(__xludf.DUMMYFUNCTION("""COMPUTED_VALUE"""),2.2380293513E8)</f>
        <v>223802935.1</v>
      </c>
      <c r="H51" s="14"/>
      <c r="I51" s="14" t="str">
        <f>IFERROR(__xludf.DUMMYFUNCTION("""COMPUTED_VALUE"""),"PRODUKSI")</f>
        <v>PRODUKSI</v>
      </c>
    </row>
    <row r="52">
      <c r="A52" s="13">
        <f>IFERROR(__xludf.DUMMYFUNCTION("""COMPUTED_VALUE"""),44931.0)</f>
        <v>44931</v>
      </c>
      <c r="B52" s="14" t="str">
        <f>IFERROR(__xludf.DUMMYFUNCTION("""COMPUTED_VALUE"""),"TRSF E-BANKING DB")</f>
        <v>TRSF E-BANKING DB</v>
      </c>
      <c r="C52" s="14" t="str">
        <f>IFERROR(__xludf.DUMMYFUNCTION("""COMPUTED_VALUE"""),"TRSF E-BANKING DB 0501/FTSCY/WS95011 52029520.00 pobolinggo PITIK DIGITAL INDO")</f>
        <v>TRSF E-BANKING DB 0501/FTSCY/WS95011 52029520.00 pobolinggo PITIK DIGITAL INDO</v>
      </c>
      <c r="D52" s="3">
        <f>IFERROR(__xludf.DUMMYFUNCTION("""COMPUTED_VALUE"""),5.202952E7)</f>
        <v>52029520</v>
      </c>
      <c r="E52" s="14"/>
      <c r="F52" s="14" t="str">
        <f>IFERROR(__xludf.DUMMYFUNCTION("""COMPUTED_VALUE"""),"DB")</f>
        <v>DB</v>
      </c>
      <c r="G52" s="3">
        <f>IFERROR(__xludf.DUMMYFUNCTION("""COMPUTED_VALUE"""),1.6934905513E8)</f>
        <v>169349055.1</v>
      </c>
      <c r="H52" s="14"/>
      <c r="I52" s="14" t="str">
        <f>IFERROR(__xludf.DUMMYFUNCTION("""COMPUTED_VALUE"""),"PRODUKSI")</f>
        <v>PRODUKSI</v>
      </c>
    </row>
    <row r="53">
      <c r="A53" s="13">
        <f>IFERROR(__xludf.DUMMYFUNCTION("""COMPUTED_VALUE"""),44932.0)</f>
        <v>44932</v>
      </c>
      <c r="B53" s="14" t="str">
        <f>IFERROR(__xludf.DUMMYFUNCTION("""COMPUTED_VALUE"""),"TRSF E-BANKING DB")</f>
        <v>TRSF E-BANKING DB</v>
      </c>
      <c r="C53" s="14" t="str">
        <f>IFERROR(__xludf.DUMMYFUNCTION("""COMPUTED_VALUE"""),"TRSF E-BANKING DB 0601/FTSCY/WS95271 90000000.00 pelunasan probolin ggo PITIK DIGITAL INDO")</f>
        <v>TRSF E-BANKING DB 0601/FTSCY/WS95271 90000000.00 pelunasan probolin ggo PITIK DIGITAL INDO</v>
      </c>
      <c r="D53" s="3">
        <f>IFERROR(__xludf.DUMMYFUNCTION("""COMPUTED_VALUE"""),9.0E7)</f>
        <v>90000000</v>
      </c>
      <c r="E53" s="14"/>
      <c r="F53" s="14" t="str">
        <f>IFERROR(__xludf.DUMMYFUNCTION("""COMPUTED_VALUE"""),"DB")</f>
        <v>DB</v>
      </c>
      <c r="G53" s="3">
        <f>IFERROR(__xludf.DUMMYFUNCTION("""COMPUTED_VALUE"""),1.7986262513E8)</f>
        <v>179862625.1</v>
      </c>
      <c r="H53" s="14"/>
      <c r="I53" s="14" t="str">
        <f>IFERROR(__xludf.DUMMYFUNCTION("""COMPUTED_VALUE"""),"PRODUKSI")</f>
        <v>PRODUKSI</v>
      </c>
    </row>
    <row r="54">
      <c r="A54" s="13">
        <f>IFERROR(__xludf.DUMMYFUNCTION("""COMPUTED_VALUE"""),44932.0)</f>
        <v>44932</v>
      </c>
      <c r="B54" s="14" t="str">
        <f>IFERROR(__xludf.DUMMYFUNCTION("""COMPUTED_VALUE"""),"TRSF E-BANKING DB")</f>
        <v>TRSF E-BANKING DB</v>
      </c>
      <c r="C54" s="14" t="str">
        <f>IFERROR(__xludf.DUMMYFUNCTION("""COMPUTED_VALUE"""),"TRSF E-BANKING DB 0601/FTSCY/WS95271 56000000.00 tuban PITIK DIGITAL INDO")</f>
        <v>TRSF E-BANKING DB 0601/FTSCY/WS95271 56000000.00 tuban PITIK DIGITAL INDO</v>
      </c>
      <c r="D54" s="3">
        <f>IFERROR(__xludf.DUMMYFUNCTION("""COMPUTED_VALUE"""),5.6E7)</f>
        <v>56000000</v>
      </c>
      <c r="E54" s="14"/>
      <c r="F54" s="14" t="str">
        <f>IFERROR(__xludf.DUMMYFUNCTION("""COMPUTED_VALUE"""),"DB")</f>
        <v>DB</v>
      </c>
      <c r="G54" s="3">
        <f>IFERROR(__xludf.DUMMYFUNCTION("""COMPUTED_VALUE"""),1.2386262513E8)</f>
        <v>123862625.1</v>
      </c>
      <c r="H54" s="14"/>
      <c r="I54" s="14" t="str">
        <f>IFERROR(__xludf.DUMMYFUNCTION("""COMPUTED_VALUE"""),"PRODUKSI")</f>
        <v>PRODUKSI</v>
      </c>
    </row>
    <row r="55">
      <c r="A55" s="13">
        <f>IFERROR(__xludf.DUMMYFUNCTION("""COMPUTED_VALUE"""),44932.0)</f>
        <v>44932</v>
      </c>
      <c r="B55" s="14" t="str">
        <f>IFERROR(__xludf.DUMMYFUNCTION("""COMPUTED_VALUE"""),"TRSF E-BANKING DB")</f>
        <v>TRSF E-BANKING DB</v>
      </c>
      <c r="C55" s="14" t="str">
        <f>IFERROR(__xludf.DUMMYFUNCTION("""COMPUTED_VALUE"""),"TRSF E-BANKING DB 0601/FTSCY/WS95271 58195500.00 kd robert candra ANUGERAH KARTIKA A")</f>
        <v>TRSF E-BANKING DB 0601/FTSCY/WS95271 58195500.00 kd robert candra ANUGERAH KARTIKA A</v>
      </c>
      <c r="D55" s="3">
        <f>IFERROR(__xludf.DUMMYFUNCTION("""COMPUTED_VALUE"""),5.81955E7)</f>
        <v>58195500</v>
      </c>
      <c r="E55" s="14"/>
      <c r="F55" s="14" t="str">
        <f>IFERROR(__xludf.DUMMYFUNCTION("""COMPUTED_VALUE"""),"DB")</f>
        <v>DB</v>
      </c>
      <c r="G55" s="3">
        <f>IFERROR(__xludf.DUMMYFUNCTION("""COMPUTED_VALUE"""),6.5667125129999995E7)</f>
        <v>65667125.13</v>
      </c>
      <c r="H55" s="14"/>
      <c r="I55" s="14" t="str">
        <f>IFERROR(__xludf.DUMMYFUNCTION("""COMPUTED_VALUE"""),"PRODUKSI")</f>
        <v>PRODUKSI</v>
      </c>
    </row>
    <row r="56">
      <c r="A56" s="13">
        <f>IFERROR(__xludf.DUMMYFUNCTION("""COMPUTED_VALUE"""),44932.0)</f>
        <v>44932</v>
      </c>
      <c r="B56" s="14" t="str">
        <f>IFERROR(__xludf.DUMMYFUNCTION("""COMPUTED_VALUE"""),"TRSF E-BANKING DB")</f>
        <v>TRSF E-BANKING DB</v>
      </c>
      <c r="C56" s="14" t="str">
        <f>IFERROR(__xludf.DUMMYFUNCTION("""COMPUTED_VALUE"""),"TRSF E-BANKING DB 0601/FTSCY/WS95271 52500000.00 Sun Jan 04 2026 15:00:00 GMT+0700 (Western Indonesia Time) ANUGERAH KARTIKA A")</f>
        <v>TRSF E-BANKING DB 0601/FTSCY/WS95271 52500000.00 Sun Jan 04 2026 15:00:00 GMT+0700 (Western Indonesia Time) ANUGERAH KARTIKA A</v>
      </c>
      <c r="D56" s="3">
        <f>IFERROR(__xludf.DUMMYFUNCTION("""COMPUTED_VALUE"""),5.25E7)</f>
        <v>52500000</v>
      </c>
      <c r="E56" s="14"/>
      <c r="F56" s="14" t="str">
        <f>IFERROR(__xludf.DUMMYFUNCTION("""COMPUTED_VALUE"""),"DB")</f>
        <v>DB</v>
      </c>
      <c r="G56" s="3">
        <f>IFERROR(__xludf.DUMMYFUNCTION("""COMPUTED_VALUE"""),1.3167125129999995E7)</f>
        <v>13167125.13</v>
      </c>
      <c r="H56" s="14"/>
      <c r="I56" s="14" t="str">
        <f>IFERROR(__xludf.DUMMYFUNCTION("""COMPUTED_VALUE"""),"PRODUKSI")</f>
        <v>PRODUKSI</v>
      </c>
    </row>
    <row r="57">
      <c r="A57" s="13">
        <f>IFERROR(__xludf.DUMMYFUNCTION("""COMPUTED_VALUE"""),44932.0)</f>
        <v>44932</v>
      </c>
      <c r="B57" s="14" t="str">
        <f>IFERROR(__xludf.DUMMYFUNCTION("""COMPUTED_VALUE"""),"TRSF E-BANKING DB")</f>
        <v>TRSF E-BANKING DB</v>
      </c>
      <c r="C57" s="14" t="str">
        <f>IFERROR(__xludf.DUMMYFUNCTION("""COMPUTED_VALUE"""),"TRSF E-BANKING DB 0601/FTSCY/WS95031 56000000.00 sragen PITIK DIGITAL INDO")</f>
        <v>TRSF E-BANKING DB 0601/FTSCY/WS95031 56000000.00 sragen PITIK DIGITAL INDO</v>
      </c>
      <c r="D57" s="3">
        <f>IFERROR(__xludf.DUMMYFUNCTION("""COMPUTED_VALUE"""),5.6E7)</f>
        <v>56000000</v>
      </c>
      <c r="E57" s="14"/>
      <c r="F57" s="14" t="str">
        <f>IFERROR(__xludf.DUMMYFUNCTION("""COMPUTED_VALUE"""),"DB")</f>
        <v>DB</v>
      </c>
      <c r="G57" s="3">
        <f>IFERROR(__xludf.DUMMYFUNCTION("""COMPUTED_VALUE"""),5.5796835129999995E7)</f>
        <v>55796835.13</v>
      </c>
      <c r="H57" s="14"/>
      <c r="I57" s="14" t="str">
        <f>IFERROR(__xludf.DUMMYFUNCTION("""COMPUTED_VALUE"""),"PRODUKSI")</f>
        <v>PRODUKSI</v>
      </c>
    </row>
    <row r="58">
      <c r="A58" s="13">
        <f>IFERROR(__xludf.DUMMYFUNCTION("""COMPUTED_VALUE"""),44932.0)</f>
        <v>44932</v>
      </c>
      <c r="B58" s="14" t="str">
        <f>IFERROR(__xludf.DUMMYFUNCTION("""COMPUTED_VALUE"""),"TRSF E-BANKING DB")</f>
        <v>TRSF E-BANKING DB</v>
      </c>
      <c r="C58" s="14" t="str">
        <f>IFERROR(__xludf.DUMMYFUNCTION("""COMPUTED_VALUE"""),"TRSF E-BANKING DB 0601/FTSCY/WS95271 10000000.00 titip SUGENG RIADI")</f>
        <v>TRSF E-BANKING DB 0601/FTSCY/WS95271 10000000.00 titip SUGENG RIADI</v>
      </c>
      <c r="D58" s="3">
        <f>IFERROR(__xludf.DUMMYFUNCTION("""COMPUTED_VALUE"""),1.0E7)</f>
        <v>10000000</v>
      </c>
      <c r="E58" s="14"/>
      <c r="F58" s="14" t="str">
        <f>IFERROR(__xludf.DUMMYFUNCTION("""COMPUTED_VALUE"""),"DB")</f>
        <v>DB</v>
      </c>
      <c r="G58" s="3">
        <f>IFERROR(__xludf.DUMMYFUNCTION("""COMPUTED_VALUE"""),4.5796835129999995E7)</f>
        <v>45796835.13</v>
      </c>
      <c r="H58" s="14"/>
      <c r="I58" s="14" t="str">
        <f>IFERROR(__xludf.DUMMYFUNCTION("""COMPUTED_VALUE"""),"PRODUKSI")</f>
        <v>PRODUKSI</v>
      </c>
    </row>
    <row r="59">
      <c r="A59" s="13">
        <f>IFERROR(__xludf.DUMMYFUNCTION("""COMPUTED_VALUE"""),44932.0)</f>
        <v>44932</v>
      </c>
      <c r="B59" s="14" t="str">
        <f>IFERROR(__xludf.DUMMYFUNCTION("""COMPUTED_VALUE"""),"TRSF E-BANKING DB")</f>
        <v>TRSF E-BANKING DB</v>
      </c>
      <c r="C59" s="14" t="str">
        <f>IFERROR(__xludf.DUMMYFUNCTION("""COMPUTED_VALUE"""),"TRSF E-BANKING DB 0601/FTSCY/WS95031 40000000.00 tot. titip 50 jt SUGENG RIADI")</f>
        <v>TRSF E-BANKING DB 0601/FTSCY/WS95031 40000000.00 tot. titip 50 jt SUGENG RIADI</v>
      </c>
      <c r="D59" s="3">
        <f>IFERROR(__xludf.DUMMYFUNCTION("""COMPUTED_VALUE"""),4.0E7)</f>
        <v>40000000</v>
      </c>
      <c r="E59" s="14"/>
      <c r="F59" s="14" t="str">
        <f>IFERROR(__xludf.DUMMYFUNCTION("""COMPUTED_VALUE"""),"DB")</f>
        <v>DB</v>
      </c>
      <c r="G59" s="3">
        <f>IFERROR(__xludf.DUMMYFUNCTION("""COMPUTED_VALUE"""),5796835.129999995)</f>
        <v>5796835.13</v>
      </c>
      <c r="H59" s="14"/>
      <c r="I59" s="14" t="str">
        <f>IFERROR(__xludf.DUMMYFUNCTION("""COMPUTED_VALUE"""),"PRODUKSI")</f>
        <v>PRODUKSI</v>
      </c>
    </row>
    <row r="60">
      <c r="A60" s="13">
        <f>IFERROR(__xludf.DUMMYFUNCTION("""COMPUTED_VALUE"""),44932.0)</f>
        <v>44932</v>
      </c>
      <c r="B60" s="14" t="str">
        <f>IFERROR(__xludf.DUMMYFUNCTION("""COMPUTED_VALUE"""),"TRSF E-BANKING DB")</f>
        <v>TRSF E-BANKING DB</v>
      </c>
      <c r="C60" s="14" t="str">
        <f>IFERROR(__xludf.DUMMYFUNCTION("""COMPUTED_VALUE"""),"TRSF E-BANKING DB 0601/FTSCY/WS95011 95185600.00 kd evin mlg lunas ANUGERAH KARTIKA A")</f>
        <v>TRSF E-BANKING DB 0601/FTSCY/WS95011 95185600.00 kd evin mlg lunas ANUGERAH KARTIKA A</v>
      </c>
      <c r="D60" s="3">
        <f>IFERROR(__xludf.DUMMYFUNCTION("""COMPUTED_VALUE"""),9.51856E7)</f>
        <v>95185600</v>
      </c>
      <c r="E60" s="14"/>
      <c r="F60" s="14" t="str">
        <f>IFERROR(__xludf.DUMMYFUNCTION("""COMPUTED_VALUE"""),"DB")</f>
        <v>DB</v>
      </c>
      <c r="G60" s="3">
        <f>IFERROR(__xludf.DUMMYFUNCTION("""COMPUTED_VALUE"""),2.3330973013E8)</f>
        <v>233309730.1</v>
      </c>
      <c r="H60" s="14"/>
      <c r="I60" s="14" t="str">
        <f>IFERROR(__xludf.DUMMYFUNCTION("""COMPUTED_VALUE"""),"PRODUKSI")</f>
        <v>PRODUKSI</v>
      </c>
    </row>
    <row r="61">
      <c r="A61" s="13">
        <f>IFERROR(__xludf.DUMMYFUNCTION("""COMPUTED_VALUE"""),44932.0)</f>
        <v>44932</v>
      </c>
      <c r="B61" s="14" t="str">
        <f>IFERROR(__xludf.DUMMYFUNCTION("""COMPUTED_VALUE"""),"TRSF E-BANKING DB")</f>
        <v>TRSF E-BANKING DB</v>
      </c>
      <c r="C61" s="14" t="str">
        <f>IFERROR(__xludf.DUMMYFUNCTION("""COMPUTED_VALUE"""),"TRSF E-BANKING DB 0601/FTSCY/WS95011 62700000.00 p3mb. kd stefy jbg lunas ANDALAN YASA MITRA")</f>
        <v>TRSF E-BANKING DB 0601/FTSCY/WS95011 62700000.00 p3mb. kd stefy jbg lunas ANDALAN YASA MITRA</v>
      </c>
      <c r="D61" s="3">
        <f>IFERROR(__xludf.DUMMYFUNCTION("""COMPUTED_VALUE"""),6.27E7)</f>
        <v>62700000</v>
      </c>
      <c r="E61" s="14"/>
      <c r="F61" s="14" t="str">
        <f>IFERROR(__xludf.DUMMYFUNCTION("""COMPUTED_VALUE"""),"DB")</f>
        <v>DB</v>
      </c>
      <c r="G61" s="3">
        <f>IFERROR(__xludf.DUMMYFUNCTION("""COMPUTED_VALUE"""),1.7060973013E8)</f>
        <v>170609730.1</v>
      </c>
      <c r="H61" s="14"/>
      <c r="I61" s="14" t="str">
        <f>IFERROR(__xludf.DUMMYFUNCTION("""COMPUTED_VALUE"""),"PRODUKSI")</f>
        <v>PRODUKSI</v>
      </c>
    </row>
    <row r="62">
      <c r="A62" s="13">
        <f>IFERROR(__xludf.DUMMYFUNCTION("""COMPUTED_VALUE"""),44932.0)</f>
        <v>44932</v>
      </c>
      <c r="B62" s="14" t="str">
        <f>IFERROR(__xludf.DUMMYFUNCTION("""COMPUTED_VALUE"""),"TRSF E-BANKING DB")</f>
        <v>TRSF E-BANKING DB</v>
      </c>
      <c r="C62" s="14" t="str">
        <f>IFERROR(__xludf.DUMMYFUNCTION("""COMPUTED_VALUE"""),"TRSF E-BANKING DB 0601/FTSCY/WS95011 50880000.00 pemb. widiyanto jember CV SURYA INTI TERN")</f>
        <v>TRSF E-BANKING DB 0601/FTSCY/WS95011 50880000.00 pemb. widiyanto jember CV SURYA INTI TERN</v>
      </c>
      <c r="D62" s="3">
        <f>IFERROR(__xludf.DUMMYFUNCTION("""COMPUTED_VALUE"""),5.088E7)</f>
        <v>50880000</v>
      </c>
      <c r="E62" s="14"/>
      <c r="F62" s="14" t="str">
        <f>IFERROR(__xludf.DUMMYFUNCTION("""COMPUTED_VALUE"""),"DB")</f>
        <v>DB</v>
      </c>
      <c r="G62" s="3">
        <f>IFERROR(__xludf.DUMMYFUNCTION("""COMPUTED_VALUE"""),1.1972973013E8)</f>
        <v>119729730.1</v>
      </c>
      <c r="H62" s="14"/>
      <c r="I62" s="14" t="str">
        <f>IFERROR(__xludf.DUMMYFUNCTION("""COMPUTED_VALUE"""),"PRODUKSI")</f>
        <v>PRODUKSI</v>
      </c>
    </row>
    <row r="63">
      <c r="A63" s="13">
        <f>IFERROR(__xludf.DUMMYFUNCTION("""COMPUTED_VALUE"""),44932.0)</f>
        <v>44932</v>
      </c>
      <c r="B63" s="14" t="str">
        <f>IFERROR(__xludf.DUMMYFUNCTION("""COMPUTED_VALUE"""),"TRSF E-BANKING DB")</f>
        <v>TRSF E-BANKING DB</v>
      </c>
      <c r="C63" s="14" t="str">
        <f>IFERROR(__xludf.DUMMYFUNCTION("""COMPUTED_VALUE"""),"TRSF E-BANKING DB 0601/FTSCY/WS95011 58195500.00 pemb. kd candra A blitar ANUGERAH KARTIKA A")</f>
        <v>TRSF E-BANKING DB 0601/FTSCY/WS95011 58195500.00 pemb. kd candra A blitar ANUGERAH KARTIKA A</v>
      </c>
      <c r="D63" s="3">
        <f>IFERROR(__xludf.DUMMYFUNCTION("""COMPUTED_VALUE"""),5.81955E7)</f>
        <v>58195500</v>
      </c>
      <c r="E63" s="14"/>
      <c r="F63" s="14" t="str">
        <f>IFERROR(__xludf.DUMMYFUNCTION("""COMPUTED_VALUE"""),"DB")</f>
        <v>DB</v>
      </c>
      <c r="G63" s="3">
        <f>IFERROR(__xludf.DUMMYFUNCTION("""COMPUTED_VALUE"""),6.1534230129999995E7)</f>
        <v>61534230.13</v>
      </c>
      <c r="H63" s="14"/>
      <c r="I63" s="14" t="str">
        <f>IFERROR(__xludf.DUMMYFUNCTION("""COMPUTED_VALUE"""),"PRODUKSI")</f>
        <v>PRODUKSI</v>
      </c>
    </row>
    <row r="64">
      <c r="A64" s="13">
        <f>IFERROR(__xludf.DUMMYFUNCTION("""COMPUTED_VALUE"""),44932.0)</f>
        <v>44932</v>
      </c>
      <c r="B64" s="14" t="str">
        <f>IFERROR(__xludf.DUMMYFUNCTION("""COMPUTED_VALUE"""),"TRSF E-BANKING DB")</f>
        <v>TRSF E-BANKING DB</v>
      </c>
      <c r="C64" s="14" t="str">
        <f>IFERROR(__xludf.DUMMYFUNCTION("""COMPUTED_VALUE"""),"TRSF E-BANKING DB 0601/FTSCY/WS95011 54928700.00 tuban PITIK DIGITAL INDO")</f>
        <v>TRSF E-BANKING DB 0601/FTSCY/WS95011 54928700.00 tuban PITIK DIGITAL INDO</v>
      </c>
      <c r="D64" s="3">
        <f>IFERROR(__xludf.DUMMYFUNCTION("""COMPUTED_VALUE"""),5.49287E7)</f>
        <v>54928700</v>
      </c>
      <c r="E64" s="14"/>
      <c r="F64" s="14" t="str">
        <f>IFERROR(__xludf.DUMMYFUNCTION("""COMPUTED_VALUE"""),"DB")</f>
        <v>DB</v>
      </c>
      <c r="G64" s="3">
        <f>IFERROR(__xludf.DUMMYFUNCTION("""COMPUTED_VALUE"""),6605530.129999995)</f>
        <v>6605530.13</v>
      </c>
      <c r="H64" s="14"/>
      <c r="I64" s="14" t="str">
        <f>IFERROR(__xludf.DUMMYFUNCTION("""COMPUTED_VALUE"""),"PRODUKSI")</f>
        <v>PRODUKSI</v>
      </c>
    </row>
    <row r="65">
      <c r="A65" s="13">
        <f>IFERROR(__xludf.DUMMYFUNCTION("""COMPUTED_VALUE"""),44932.0)</f>
        <v>44932</v>
      </c>
      <c r="B65" s="14" t="str">
        <f>IFERROR(__xludf.DUMMYFUNCTION("""COMPUTED_VALUE"""),"TRSF E-BANKING DB")</f>
        <v>TRSF E-BANKING DB</v>
      </c>
      <c r="C65" s="14" t="str">
        <f>IFERROR(__xludf.DUMMYFUNCTION("""COMPUTED_VALUE"""),"TRSF E-BANKING DB 0601/FTSCY/WS95031 144500.00 plunasan RUKUN MITRA BERSAM")</f>
        <v>TRSF E-BANKING DB 0601/FTSCY/WS95031 144500.00 plunasan RUKUN MITRA BERSAM</v>
      </c>
      <c r="D65" s="3">
        <f>IFERROR(__xludf.DUMMYFUNCTION("""COMPUTED_VALUE"""),144500.0)</f>
        <v>144500</v>
      </c>
      <c r="E65" s="14"/>
      <c r="F65" s="14" t="str">
        <f>IFERROR(__xludf.DUMMYFUNCTION("""COMPUTED_VALUE"""),"DB")</f>
        <v>DB</v>
      </c>
      <c r="G65" s="3">
        <f>IFERROR(__xludf.DUMMYFUNCTION("""COMPUTED_VALUE"""),6461030.129999995)</f>
        <v>6461030.13</v>
      </c>
      <c r="H65" s="14"/>
      <c r="I65" s="14" t="str">
        <f>IFERROR(__xludf.DUMMYFUNCTION("""COMPUTED_VALUE"""),"PRODUKSI")</f>
        <v>PRODUKSI</v>
      </c>
    </row>
    <row r="66">
      <c r="A66" s="13">
        <f>IFERROR(__xludf.DUMMYFUNCTION("""COMPUTED_VALUE"""),44932.0)</f>
        <v>44932</v>
      </c>
      <c r="B66" s="14" t="str">
        <f>IFERROR(__xludf.DUMMYFUNCTION("""COMPUTED_VALUE"""),"TRSF E-BANKING DB")</f>
        <v>TRSF E-BANKING DB</v>
      </c>
      <c r="C66" s="14" t="str">
        <f>IFERROR(__xludf.DUMMYFUNCTION("""COMPUTED_VALUE"""),"TRSF E-BANKING DB 0601/FTSCY/WS95011 54870000.00 pemb. kd ismi blit GANESHA SATRIA NUS")</f>
        <v>TRSF E-BANKING DB 0601/FTSCY/WS95011 54870000.00 pemb. kd ismi blit GANESHA SATRIA NUS</v>
      </c>
      <c r="D66" s="3">
        <f>IFERROR(__xludf.DUMMYFUNCTION("""COMPUTED_VALUE"""),5.487E7)</f>
        <v>54870000</v>
      </c>
      <c r="E66" s="14"/>
      <c r="F66" s="14" t="str">
        <f>IFERROR(__xludf.DUMMYFUNCTION("""COMPUTED_VALUE"""),"DB")</f>
        <v>DB</v>
      </c>
      <c r="G66" s="3">
        <f>IFERROR(__xludf.DUMMYFUNCTION("""COMPUTED_VALUE"""),2.2456992013E8)</f>
        <v>224569920.1</v>
      </c>
      <c r="H66" s="14"/>
      <c r="I66" s="14" t="str">
        <f>IFERROR(__xludf.DUMMYFUNCTION("""COMPUTED_VALUE"""),"PRODUKSI")</f>
        <v>PRODUKSI</v>
      </c>
    </row>
    <row r="67">
      <c r="A67" s="13">
        <f>IFERROR(__xludf.DUMMYFUNCTION("""COMPUTED_VALUE"""),44932.0)</f>
        <v>44932</v>
      </c>
      <c r="B67" s="14" t="str">
        <f>IFERROR(__xludf.DUMMYFUNCTION("""COMPUTED_VALUE"""),"TRSF E-BANKING DB")</f>
        <v>TRSF E-BANKING DB</v>
      </c>
      <c r="C67" s="14" t="str">
        <f>IFERROR(__xludf.DUMMYFUNCTION("""COMPUTED_VALUE"""),"TRSF E-BANKING DB 0601/FTSCY/WS95011 97231200.00 04/01 tuban PITIK DIGITAL INDO")</f>
        <v>TRSF E-BANKING DB 0601/FTSCY/WS95011 97231200.00 04/01 tuban PITIK DIGITAL INDO</v>
      </c>
      <c r="D67" s="3">
        <f>IFERROR(__xludf.DUMMYFUNCTION("""COMPUTED_VALUE"""),9.72312E7)</f>
        <v>97231200</v>
      </c>
      <c r="E67" s="14"/>
      <c r="F67" s="14" t="str">
        <f>IFERROR(__xludf.DUMMYFUNCTION("""COMPUTED_VALUE"""),"DB")</f>
        <v>DB</v>
      </c>
      <c r="G67" s="3">
        <f>IFERROR(__xludf.DUMMYFUNCTION("""COMPUTED_VALUE"""),1.2733872013E8)</f>
        <v>127338720.1</v>
      </c>
      <c r="H67" s="14"/>
      <c r="I67" s="14" t="str">
        <f>IFERROR(__xludf.DUMMYFUNCTION("""COMPUTED_VALUE"""),"PRODUKSI")</f>
        <v>PRODUKSI</v>
      </c>
    </row>
    <row r="68">
      <c r="A68" s="13">
        <f>IFERROR(__xludf.DUMMYFUNCTION("""COMPUTED_VALUE"""),44933.0)</f>
        <v>44933</v>
      </c>
      <c r="B68" s="14" t="str">
        <f>IFERROR(__xludf.DUMMYFUNCTION("""COMPUTED_VALUE"""),"TRSF E-BANKING DB")</f>
        <v>TRSF E-BANKING DB</v>
      </c>
      <c r="C68" s="14" t="str">
        <f>IFERROR(__xludf.DUMMYFUNCTION("""COMPUTED_VALUE"""),"TRSF E-BANKING DB 0701/FTSCY/WS95031 47832350.00 pemb. kd yuli mage tan BROILER MAKMUR TAN")</f>
        <v>TRSF E-BANKING DB 0701/FTSCY/WS95031 47832350.00 pemb. kd yuli mage tan BROILER MAKMUR TAN</v>
      </c>
      <c r="D68" s="3">
        <f>IFERROR(__xludf.DUMMYFUNCTION("""COMPUTED_VALUE"""),4.783235E7)</f>
        <v>47832350</v>
      </c>
      <c r="E68" s="14"/>
      <c r="F68" s="14" t="str">
        <f>IFERROR(__xludf.DUMMYFUNCTION("""COMPUTED_VALUE"""),"DB")</f>
        <v>DB</v>
      </c>
      <c r="G68" s="3">
        <f>IFERROR(__xludf.DUMMYFUNCTION("""COMPUTED_VALUE"""),1.2085347013E8)</f>
        <v>120853470.1</v>
      </c>
      <c r="H68" s="14"/>
      <c r="I68" s="14" t="str">
        <f>IFERROR(__xludf.DUMMYFUNCTION("""COMPUTED_VALUE"""),"PRODUKSI")</f>
        <v>PRODUKSI</v>
      </c>
    </row>
    <row r="69">
      <c r="A69" s="13">
        <f>IFERROR(__xludf.DUMMYFUNCTION("""COMPUTED_VALUE"""),44933.0)</f>
        <v>44933</v>
      </c>
      <c r="B69" s="14" t="str">
        <f>IFERROR(__xludf.DUMMYFUNCTION("""COMPUTED_VALUE"""),"TRSF E-BANKING DB")</f>
        <v>TRSF E-BANKING DB</v>
      </c>
      <c r="C69" s="14" t="str">
        <f>IFERROR(__xludf.DUMMYFUNCTION("""COMPUTED_VALUE"""),"TRSF E-BANKING DB 0701/FTSCY/WS95271 56322750.00 pembm kd ekam mlg ANDALAN YASA MITRA")</f>
        <v>TRSF E-BANKING DB 0701/FTSCY/WS95271 56322750.00 pembm kd ekam mlg ANDALAN YASA MITRA</v>
      </c>
      <c r="D69" s="3">
        <f>IFERROR(__xludf.DUMMYFUNCTION("""COMPUTED_VALUE"""),5.632275E7)</f>
        <v>56322750</v>
      </c>
      <c r="E69" s="14"/>
      <c r="F69" s="14" t="str">
        <f>IFERROR(__xludf.DUMMYFUNCTION("""COMPUTED_VALUE"""),"DB")</f>
        <v>DB</v>
      </c>
      <c r="G69" s="3">
        <f>IFERROR(__xludf.DUMMYFUNCTION("""COMPUTED_VALUE"""),6.4530720129999995E7)</f>
        <v>64530720.13</v>
      </c>
      <c r="H69" s="14"/>
      <c r="I69" s="14" t="str">
        <f>IFERROR(__xludf.DUMMYFUNCTION("""COMPUTED_VALUE"""),"PRODUKSI")</f>
        <v>PRODUKSI</v>
      </c>
    </row>
    <row r="70">
      <c r="A70" s="13">
        <f>IFERROR(__xludf.DUMMYFUNCTION("""COMPUTED_VALUE"""),44933.0)</f>
        <v>44933</v>
      </c>
      <c r="B70" s="14" t="str">
        <f>IFERROR(__xludf.DUMMYFUNCTION("""COMPUTED_VALUE"""),"TRSF E-BANKING DB")</f>
        <v>TRSF E-BANKING DB</v>
      </c>
      <c r="C70" s="14" t="str">
        <f>IFERROR(__xludf.DUMMYFUNCTION("""COMPUTED_VALUE"""),"TRSF E-BANKING DB 0701/FTSCY/WS95271 152707200.00 pelunasan 04/05 tu ban PITIK DIGITAL INDO")</f>
        <v>TRSF E-BANKING DB 0701/FTSCY/WS95271 152707200.00 pelunasan 04/05 tu ban PITIK DIGITAL INDO</v>
      </c>
      <c r="D70" s="3">
        <f>IFERROR(__xludf.DUMMYFUNCTION("""COMPUTED_VALUE"""),1.527072E8)</f>
        <v>152707200</v>
      </c>
      <c r="E70" s="14"/>
      <c r="F70" s="14" t="str">
        <f>IFERROR(__xludf.DUMMYFUNCTION("""COMPUTED_VALUE"""),"DB")</f>
        <v>DB</v>
      </c>
      <c r="G70" s="3">
        <f>IFERROR(__xludf.DUMMYFUNCTION("""COMPUTED_VALUE"""),3.5311528213E8)</f>
        <v>353115282.1</v>
      </c>
      <c r="H70" s="14"/>
      <c r="I70" s="14" t="str">
        <f>IFERROR(__xludf.DUMMYFUNCTION("""COMPUTED_VALUE"""),"PRODUKSI")</f>
        <v>PRODUKSI</v>
      </c>
    </row>
    <row r="71">
      <c r="A71" s="13">
        <f>IFERROR(__xludf.DUMMYFUNCTION("""COMPUTED_VALUE"""),44933.0)</f>
        <v>44933</v>
      </c>
      <c r="B71" s="14" t="str">
        <f>IFERROR(__xludf.DUMMYFUNCTION("""COMPUTED_VALUE"""),"TRSF E-BANKING DB")</f>
        <v>TRSF E-BANKING DB</v>
      </c>
      <c r="C71" s="14" t="str">
        <f>IFERROR(__xludf.DUMMYFUNCTION("""COMPUTED_VALUE"""),"TRSF E-BANKING DB 0701/FTSCY/WS95011 101238250.00 pemb. kd karyani blitar SUPER UNGGAS JAYA")</f>
        <v>TRSF E-BANKING DB 0701/FTSCY/WS95011 101238250.00 pemb. kd karyani blitar SUPER UNGGAS JAYA</v>
      </c>
      <c r="D71" s="3">
        <f>IFERROR(__xludf.DUMMYFUNCTION("""COMPUTED_VALUE"""),1.0123825E8)</f>
        <v>101238250</v>
      </c>
      <c r="E71" s="14"/>
      <c r="F71" s="14" t="str">
        <f>IFERROR(__xludf.DUMMYFUNCTION("""COMPUTED_VALUE"""),"DB")</f>
        <v>DB</v>
      </c>
      <c r="G71" s="3">
        <f>IFERROR(__xludf.DUMMYFUNCTION("""COMPUTED_VALUE"""),2.5187703213E8)</f>
        <v>251877032.1</v>
      </c>
      <c r="H71" s="14"/>
      <c r="I71" s="14" t="str">
        <f>IFERROR(__xludf.DUMMYFUNCTION("""COMPUTED_VALUE"""),"PRODUKSI")</f>
        <v>PRODUKSI</v>
      </c>
    </row>
    <row r="72">
      <c r="A72" s="13">
        <f>IFERROR(__xludf.DUMMYFUNCTION("""COMPUTED_VALUE"""),44933.0)</f>
        <v>44933</v>
      </c>
      <c r="B72" s="14" t="str">
        <f>IFERROR(__xludf.DUMMYFUNCTION("""COMPUTED_VALUE"""),"TRSF E-BANKING DB")</f>
        <v>TRSF E-BANKING DB</v>
      </c>
      <c r="C72" s="14" t="str">
        <f>IFERROR(__xludf.DUMMYFUNCTION("""COMPUTED_VALUE"""),"TRSF E-BANKING DB 0701/FTSCY/WS95011 95049900.00 pemb. kd mogie P probolinggo PITIK DIGITAL INDO")</f>
        <v>TRSF E-BANKING DB 0701/FTSCY/WS95011 95049900.00 pemb. kd mogie P probolinggo PITIK DIGITAL INDO</v>
      </c>
      <c r="D72" s="3">
        <f>IFERROR(__xludf.DUMMYFUNCTION("""COMPUTED_VALUE"""),9.50499E7)</f>
        <v>95049900</v>
      </c>
      <c r="E72" s="14"/>
      <c r="F72" s="14" t="str">
        <f>IFERROR(__xludf.DUMMYFUNCTION("""COMPUTED_VALUE"""),"DB")</f>
        <v>DB</v>
      </c>
      <c r="G72" s="3">
        <f>IFERROR(__xludf.DUMMYFUNCTION("""COMPUTED_VALUE"""),1.5682713213E8)</f>
        <v>156827132.1</v>
      </c>
      <c r="H72" s="14"/>
      <c r="I72" s="14" t="str">
        <f>IFERROR(__xludf.DUMMYFUNCTION("""COMPUTED_VALUE"""),"PRODUKSI")</f>
        <v>PRODUKSI</v>
      </c>
    </row>
    <row r="73">
      <c r="A73" s="13">
        <f>IFERROR(__xludf.DUMMYFUNCTION("""COMPUTED_VALUE"""),44933.0)</f>
        <v>44933</v>
      </c>
      <c r="B73" s="14" t="str">
        <f>IFERROR(__xludf.DUMMYFUNCTION("""COMPUTED_VALUE"""),"TRSF E-BANKING DB")</f>
        <v>TRSF E-BANKING DB</v>
      </c>
      <c r="C73" s="14" t="str">
        <f>IFERROR(__xludf.DUMMYFUNCTION("""COMPUTED_VALUE"""),"TRSF E-BANKING DB 0701/FTSCY/WS95011 119700000.00 pemb. kd doni blitar BINTANG TAMA SANTO")</f>
        <v>TRSF E-BANKING DB 0701/FTSCY/WS95011 119700000.00 pemb. kd doni blitar BINTANG TAMA SANTO</v>
      </c>
      <c r="D73" s="3">
        <f>IFERROR(__xludf.DUMMYFUNCTION("""COMPUTED_VALUE"""),1.197E8)</f>
        <v>119700000</v>
      </c>
      <c r="E73" s="14"/>
      <c r="F73" s="14" t="str">
        <f>IFERROR(__xludf.DUMMYFUNCTION("""COMPUTED_VALUE"""),"DB")</f>
        <v>DB</v>
      </c>
      <c r="G73" s="3">
        <f>IFERROR(__xludf.DUMMYFUNCTION("""COMPUTED_VALUE"""),3.5326482129999995E7)</f>
        <v>35326482.13</v>
      </c>
      <c r="H73" s="14"/>
      <c r="I73" s="14" t="str">
        <f>IFERROR(__xludf.DUMMYFUNCTION("""COMPUTED_VALUE"""),"PRODUKSI")</f>
        <v>PRODUKSI</v>
      </c>
    </row>
    <row r="74">
      <c r="A74" s="13">
        <f>IFERROR(__xludf.DUMMYFUNCTION("""COMPUTED_VALUE"""),44933.0)</f>
        <v>44933</v>
      </c>
      <c r="B74" s="14" t="str">
        <f>IFERROR(__xludf.DUMMYFUNCTION("""COMPUTED_VALUE"""),"TRSF E-BANKING DB")</f>
        <v>TRSF E-BANKING DB</v>
      </c>
      <c r="C74" s="14" t="str">
        <f>IFERROR(__xludf.DUMMYFUNCTION("""COMPUTED_VALUE"""),"TRSF E-BANKING DB 0701/FTSCY/WS95011 30447000.00 krg 95 jt SUGENG RIADI")</f>
        <v>TRSF E-BANKING DB 0701/FTSCY/WS95011 30447000.00 krg 95 jt SUGENG RIADI</v>
      </c>
      <c r="D74" s="3">
        <f>IFERROR(__xludf.DUMMYFUNCTION("""COMPUTED_VALUE"""),3.0447E7)</f>
        <v>30447000</v>
      </c>
      <c r="E74" s="14"/>
      <c r="F74" s="14" t="str">
        <f>IFERROR(__xludf.DUMMYFUNCTION("""COMPUTED_VALUE"""),"DB")</f>
        <v>DB</v>
      </c>
      <c r="G74" s="3">
        <f>IFERROR(__xludf.DUMMYFUNCTION("""COMPUTED_VALUE"""),4879482.129999995)</f>
        <v>4879482.13</v>
      </c>
      <c r="H74" s="14"/>
      <c r="I74" s="14" t="str">
        <f>IFERROR(__xludf.DUMMYFUNCTION("""COMPUTED_VALUE"""),"PRODUKSI")</f>
        <v>PRODUKSI</v>
      </c>
    </row>
    <row r="75">
      <c r="A75" s="13">
        <f>IFERROR(__xludf.DUMMYFUNCTION("""COMPUTED_VALUE"""),44933.0)</f>
        <v>44933</v>
      </c>
      <c r="B75" s="14" t="str">
        <f>IFERROR(__xludf.DUMMYFUNCTION("""COMPUTED_VALUE"""),"TRSF E-BANKING DB")</f>
        <v>TRSF E-BANKING DB</v>
      </c>
      <c r="C75" s="14" t="str">
        <f>IFERROR(__xludf.DUMMYFUNCTION("""COMPUTED_VALUE"""),"TRSF E-BANKING DB 0701/FTSCY/WS95011 95000000.00 pelunasan SUGENG RIADI")</f>
        <v>TRSF E-BANKING DB 0701/FTSCY/WS95011 95000000.00 pelunasan SUGENG RIADI</v>
      </c>
      <c r="D75" s="3">
        <f>IFERROR(__xludf.DUMMYFUNCTION("""COMPUTED_VALUE"""),9.5E7)</f>
        <v>95000000</v>
      </c>
      <c r="E75" s="14"/>
      <c r="F75" s="14" t="str">
        <f>IFERROR(__xludf.DUMMYFUNCTION("""COMPUTED_VALUE"""),"DB")</f>
        <v>DB</v>
      </c>
      <c r="G75" s="3">
        <f>IFERROR(__xludf.DUMMYFUNCTION("""COMPUTED_VALUE"""),6.2436202129999995E7)</f>
        <v>62436202.13</v>
      </c>
      <c r="H75" s="14"/>
      <c r="I75" s="14" t="str">
        <f>IFERROR(__xludf.DUMMYFUNCTION("""COMPUTED_VALUE"""),"PRODUKSI")</f>
        <v>PRODUKSI</v>
      </c>
    </row>
    <row r="76">
      <c r="A76" s="13">
        <f>IFERROR(__xludf.DUMMYFUNCTION("""COMPUTED_VALUE"""),44934.0)</f>
        <v>44934</v>
      </c>
      <c r="B76" s="14" t="str">
        <f>IFERROR(__xludf.DUMMYFUNCTION("""COMPUTED_VALUE"""),"TRSF E-BANKING DB")</f>
        <v>TRSF E-BANKING DB</v>
      </c>
      <c r="C76" s="14" t="str">
        <f>IFERROR(__xludf.DUMMYFUNCTION("""COMPUTED_VALUE"""),"TRSF E-BANKING DB 0801/FTSCY/WS95031 68513540.00 pemb. kd luluk.bli tar GANESHA SATRIA NUS")</f>
        <v>TRSF E-BANKING DB 0801/FTSCY/WS95031 68513540.00 pemb. kd luluk.bli tar GANESHA SATRIA NUS</v>
      </c>
      <c r="D76" s="3">
        <f>IFERROR(__xludf.DUMMYFUNCTION("""COMPUTED_VALUE"""),6.851354E7)</f>
        <v>68513540</v>
      </c>
      <c r="E76" s="14"/>
      <c r="F76" s="14" t="str">
        <f>IFERROR(__xludf.DUMMYFUNCTION("""COMPUTED_VALUE"""),"DB")</f>
        <v>DB</v>
      </c>
      <c r="G76" s="3">
        <f>IFERROR(__xludf.DUMMYFUNCTION("""COMPUTED_VALUE"""),4.5152062129999995E7)</f>
        <v>45152062.13</v>
      </c>
      <c r="H76" s="14"/>
      <c r="I76" s="14" t="str">
        <f>IFERROR(__xludf.DUMMYFUNCTION("""COMPUTED_VALUE"""),"PRODUKSI")</f>
        <v>PRODUKSI</v>
      </c>
    </row>
    <row r="77">
      <c r="A77" s="13">
        <f>IFERROR(__xludf.DUMMYFUNCTION("""COMPUTED_VALUE"""),44934.0)</f>
        <v>44934</v>
      </c>
      <c r="B77" s="14" t="str">
        <f>IFERROR(__xludf.DUMMYFUNCTION("""COMPUTED_VALUE"""),"TRSF E-BANKING DB")</f>
        <v>TRSF E-BANKING DB</v>
      </c>
      <c r="C77" s="14" t="str">
        <f>IFERROR(__xludf.DUMMYFUNCTION("""COMPUTED_VALUE"""),"TRSF E-BANKING DB 0801/FTSCY/WS95271 61235700.00 pemb. kd rafiq mag etan RUKUN MITRA BERSAM")</f>
        <v>TRSF E-BANKING DB 0801/FTSCY/WS95271 61235700.00 pemb. kd rafiq mag etan RUKUN MITRA BERSAM</v>
      </c>
      <c r="D77" s="3">
        <f>IFERROR(__xludf.DUMMYFUNCTION("""COMPUTED_VALUE"""),6.12357E7)</f>
        <v>61235700</v>
      </c>
      <c r="E77" s="14"/>
      <c r="F77" s="14" t="str">
        <f>IFERROR(__xludf.DUMMYFUNCTION("""COMPUTED_VALUE"""),"DB")</f>
        <v>DB</v>
      </c>
      <c r="G77" s="3">
        <f>IFERROR(__xludf.DUMMYFUNCTION("""COMPUTED_VALUE"""),1.4448211213E8)</f>
        <v>144482112.1</v>
      </c>
      <c r="H77" s="14"/>
      <c r="I77" s="14" t="str">
        <f>IFERROR(__xludf.DUMMYFUNCTION("""COMPUTED_VALUE"""),"PRODUKSI")</f>
        <v>PRODUKSI</v>
      </c>
    </row>
    <row r="78">
      <c r="A78" s="13">
        <f>IFERROR(__xludf.DUMMYFUNCTION("""COMPUTED_VALUE"""),44934.0)</f>
        <v>44934</v>
      </c>
      <c r="B78" s="14" t="str">
        <f>IFERROR(__xludf.DUMMYFUNCTION("""COMPUTED_VALUE"""),"TRSF E-BANKING DB")</f>
        <v>TRSF E-BANKING DB</v>
      </c>
      <c r="C78" s="14" t="str">
        <f>IFERROR(__xludf.DUMMYFUNCTION("""COMPUTED_VALUE"""),"TRSF E-BANKING DB 0801/FTSCY/WS95271 111734690.00 pemb. kd nur faizi n lmjg BROILER MAKMUR TAN")</f>
        <v>TRSF E-BANKING DB 0801/FTSCY/WS95271 111734690.00 pemb. kd nur faizi n lmjg BROILER MAKMUR TAN</v>
      </c>
      <c r="D78" s="3">
        <f>IFERROR(__xludf.DUMMYFUNCTION("""COMPUTED_VALUE"""),1.1173469E8)</f>
        <v>111734690</v>
      </c>
      <c r="E78" s="14"/>
      <c r="F78" s="14" t="str">
        <f>IFERROR(__xludf.DUMMYFUNCTION("""COMPUTED_VALUE"""),"DB")</f>
        <v>DB</v>
      </c>
      <c r="G78" s="3">
        <f>IFERROR(__xludf.DUMMYFUNCTION("""COMPUTED_VALUE"""),3.2747422129999995E7)</f>
        <v>32747422.13</v>
      </c>
      <c r="H78" s="14"/>
      <c r="I78" s="14" t="str">
        <f>IFERROR(__xludf.DUMMYFUNCTION("""COMPUTED_VALUE"""),"PRODUKSI")</f>
        <v>PRODUKSI</v>
      </c>
    </row>
    <row r="79">
      <c r="A79" s="13">
        <f>IFERROR(__xludf.DUMMYFUNCTION("""COMPUTED_VALUE"""),44935.0)</f>
        <v>44935</v>
      </c>
      <c r="B79" s="14" t="str">
        <f>IFERROR(__xludf.DUMMYFUNCTION("""COMPUTED_VALUE"""),"TRSF E-BANKING DB")</f>
        <v>TRSF E-BANKING DB</v>
      </c>
      <c r="C79" s="14" t="str">
        <f>IFERROR(__xludf.DUMMYFUNCTION("""COMPUTED_VALUE"""),"TRSF E-BANKING DB 0901/FTSCY/WS95031 33233300.00 plunasan DINA WIRANTI")</f>
        <v>TRSF E-BANKING DB 0901/FTSCY/WS95031 33233300.00 plunasan DINA WIRANTI</v>
      </c>
      <c r="D79" s="3">
        <f>IFERROR(__xludf.DUMMYFUNCTION("""COMPUTED_VALUE"""),3.32333E7)</f>
        <v>33233300</v>
      </c>
      <c r="E79" s="14"/>
      <c r="F79" s="14" t="str">
        <f>IFERROR(__xludf.DUMMYFUNCTION("""COMPUTED_VALUE"""),"DB")</f>
        <v>DB</v>
      </c>
      <c r="G79" s="3">
        <f>IFERROR(__xludf.DUMMYFUNCTION("""COMPUTED_VALUE"""),1.5538322129999995E7)</f>
        <v>15538322.13</v>
      </c>
      <c r="H79" s="14"/>
      <c r="I79" s="14" t="str">
        <f>IFERROR(__xludf.DUMMYFUNCTION("""COMPUTED_VALUE"""),"PRODUKSI")</f>
        <v>PRODUKSI</v>
      </c>
    </row>
    <row r="80">
      <c r="A80" s="13">
        <f>IFERROR(__xludf.DUMMYFUNCTION("""COMPUTED_VALUE"""),44935.0)</f>
        <v>44935</v>
      </c>
      <c r="B80" s="14" t="str">
        <f>IFERROR(__xludf.DUMMYFUNCTION("""COMPUTED_VALUE"""),"TRSF E-BANKING DB")</f>
        <v>TRSF E-BANKING DB</v>
      </c>
      <c r="C80" s="14" t="str">
        <f>IFERROR(__xludf.DUMMYFUNCTION("""COMPUTED_VALUE"""),"TRSF E-BANKING DB 0901/FTSCY/WS95271 93380210.00 pelunasan ANUGERAH KARTIKA A")</f>
        <v>TRSF E-BANKING DB 0901/FTSCY/WS95271 93380210.00 pelunasan ANUGERAH KARTIKA A</v>
      </c>
      <c r="D80" s="3">
        <f>IFERROR(__xludf.DUMMYFUNCTION("""COMPUTED_VALUE"""),9.338021E7)</f>
        <v>93380210</v>
      </c>
      <c r="E80" s="14"/>
      <c r="F80" s="14" t="str">
        <f>IFERROR(__xludf.DUMMYFUNCTION("""COMPUTED_VALUE"""),"DB")</f>
        <v>DB</v>
      </c>
      <c r="G80" s="3">
        <f>IFERROR(__xludf.DUMMYFUNCTION("""COMPUTED_VALUE"""),3.6923049913E8)</f>
        <v>369230499.1</v>
      </c>
      <c r="H80" s="14"/>
      <c r="I80" s="14" t="str">
        <f>IFERROR(__xludf.DUMMYFUNCTION("""COMPUTED_VALUE"""),"PRODUKSI")</f>
        <v>PRODUKSI</v>
      </c>
    </row>
    <row r="81">
      <c r="A81" s="13">
        <f>IFERROR(__xludf.DUMMYFUNCTION("""COMPUTED_VALUE"""),44935.0)</f>
        <v>44935</v>
      </c>
      <c r="B81" s="14" t="str">
        <f>IFERROR(__xludf.DUMMYFUNCTION("""COMPUTED_VALUE"""),"TRSF E-BANKING DB")</f>
        <v>TRSF E-BANKING DB</v>
      </c>
      <c r="C81" s="14" t="str">
        <f>IFERROR(__xludf.DUMMYFUNCTION("""COMPUTED_VALUE"""),"TRSF E-BANKING DB 0901/FTSCY/WS95271 99000000.00 tuban PITIK DIGITAL INDO")</f>
        <v>TRSF E-BANKING DB 0901/FTSCY/WS95271 99000000.00 tuban PITIK DIGITAL INDO</v>
      </c>
      <c r="D81" s="3">
        <f>IFERROR(__xludf.DUMMYFUNCTION("""COMPUTED_VALUE"""),9.9E7)</f>
        <v>99000000</v>
      </c>
      <c r="E81" s="14"/>
      <c r="F81" s="14" t="str">
        <f>IFERROR(__xludf.DUMMYFUNCTION("""COMPUTED_VALUE"""),"DB")</f>
        <v>DB</v>
      </c>
      <c r="G81" s="3">
        <f>IFERROR(__xludf.DUMMYFUNCTION("""COMPUTED_VALUE"""),2.7023049913E8)</f>
        <v>270230499.1</v>
      </c>
      <c r="H81" s="14"/>
      <c r="I81" s="14" t="str">
        <f>IFERROR(__xludf.DUMMYFUNCTION("""COMPUTED_VALUE"""),"PRODUKSI")</f>
        <v>PRODUKSI</v>
      </c>
    </row>
    <row r="82">
      <c r="A82" s="13">
        <f>IFERROR(__xludf.DUMMYFUNCTION("""COMPUTED_VALUE"""),44935.0)</f>
        <v>44935</v>
      </c>
      <c r="B82" s="14" t="str">
        <f>IFERROR(__xludf.DUMMYFUNCTION("""COMPUTED_VALUE"""),"TRSF E-BANKING DB")</f>
        <v>TRSF E-BANKING DB</v>
      </c>
      <c r="C82" s="14" t="str">
        <f>IFERROR(__xludf.DUMMYFUNCTION("""COMPUTED_VALUE"""),"TRSF E-BANKING DB 0901/FTSCY/WS95271 65360000.00 kd siswoyo b bojon egoro ANDALAN YASA MITRA")</f>
        <v>TRSF E-BANKING DB 0901/FTSCY/WS95271 65360000.00 kd siswoyo b bojon egoro ANDALAN YASA MITRA</v>
      </c>
      <c r="D82" s="3">
        <f>IFERROR(__xludf.DUMMYFUNCTION("""COMPUTED_VALUE"""),6.536E7)</f>
        <v>65360000</v>
      </c>
      <c r="E82" s="14"/>
      <c r="F82" s="14" t="str">
        <f>IFERROR(__xludf.DUMMYFUNCTION("""COMPUTED_VALUE"""),"DB")</f>
        <v>DB</v>
      </c>
      <c r="G82" s="3">
        <f>IFERROR(__xludf.DUMMYFUNCTION("""COMPUTED_VALUE"""),2.0487049913E8)</f>
        <v>204870499.1</v>
      </c>
      <c r="H82" s="14"/>
      <c r="I82" s="14" t="str">
        <f>IFERROR(__xludf.DUMMYFUNCTION("""COMPUTED_VALUE"""),"PRODUKSI")</f>
        <v>PRODUKSI</v>
      </c>
    </row>
    <row r="83">
      <c r="A83" s="13">
        <f>IFERROR(__xludf.DUMMYFUNCTION("""COMPUTED_VALUE"""),44935.0)</f>
        <v>44935</v>
      </c>
      <c r="B83" s="14" t="str">
        <f>IFERROR(__xludf.DUMMYFUNCTION("""COMPUTED_VALUE"""),"TRSF E-BANKING DB")</f>
        <v>TRSF E-BANKING DB</v>
      </c>
      <c r="C83" s="14" t="str">
        <f>IFERROR(__xludf.DUMMYFUNCTION("""COMPUTED_VALUE"""),"TRSF E-BANKING DB 0901/FTSCY/WS95011 152997600.00 pelunasan probolin ggo PITIK DIGITAL INDO")</f>
        <v>TRSF E-BANKING DB 0901/FTSCY/WS95011 152997600.00 pelunasan probolin ggo PITIK DIGITAL INDO</v>
      </c>
      <c r="D83" s="3">
        <f>IFERROR(__xludf.DUMMYFUNCTION("""COMPUTED_VALUE"""),1.529976E8)</f>
        <v>152997600</v>
      </c>
      <c r="E83" s="14"/>
      <c r="F83" s="14" t="str">
        <f>IFERROR(__xludf.DUMMYFUNCTION("""COMPUTED_VALUE"""),"DB")</f>
        <v>DB</v>
      </c>
      <c r="G83" s="3">
        <f>IFERROR(__xludf.DUMMYFUNCTION("""COMPUTED_VALUE"""),6.4460667913E8)</f>
        <v>644606679.1</v>
      </c>
      <c r="H83" s="14"/>
      <c r="I83" s="14" t="str">
        <f>IFERROR(__xludf.DUMMYFUNCTION("""COMPUTED_VALUE"""),"PRODUKSI")</f>
        <v>PRODUKSI</v>
      </c>
    </row>
    <row r="84">
      <c r="A84" s="13">
        <f>IFERROR(__xludf.DUMMYFUNCTION("""COMPUTED_VALUE"""),44935.0)</f>
        <v>44935</v>
      </c>
      <c r="B84" s="14" t="str">
        <f>IFERROR(__xludf.DUMMYFUNCTION("""COMPUTED_VALUE"""),"TRSF E-BANKING DB")</f>
        <v>TRSF E-BANKING DB</v>
      </c>
      <c r="C84" s="14" t="str">
        <f>IFERROR(__xludf.DUMMYFUNCTION("""COMPUTED_VALUE"""),"TRSF E-BANKING DB 0901/FTSCY/WS95011 88270800.00 pemb. 06 dan 07 lunas SUPER UNGGAS JAYA")</f>
        <v>TRSF E-BANKING DB 0901/FTSCY/WS95011 88270800.00 pemb. 06 dan 07 lunas SUPER UNGGAS JAYA</v>
      </c>
      <c r="D84" s="3">
        <f>IFERROR(__xludf.DUMMYFUNCTION("""COMPUTED_VALUE"""),8.82708E7)</f>
        <v>88270800</v>
      </c>
      <c r="E84" s="14"/>
      <c r="F84" s="14" t="str">
        <f>IFERROR(__xludf.DUMMYFUNCTION("""COMPUTED_VALUE"""),"DB")</f>
        <v>DB</v>
      </c>
      <c r="G84" s="3">
        <f>IFERROR(__xludf.DUMMYFUNCTION("""COMPUTED_VALUE"""),5.5633587913E8)</f>
        <v>556335879.1</v>
      </c>
      <c r="H84" s="14"/>
      <c r="I84" s="14" t="str">
        <f>IFERROR(__xludf.DUMMYFUNCTION("""COMPUTED_VALUE"""),"PRODUKSI")</f>
        <v>PRODUKSI</v>
      </c>
    </row>
    <row r="85">
      <c r="A85" s="13">
        <f>IFERROR(__xludf.DUMMYFUNCTION("""COMPUTED_VALUE"""),44935.0)</f>
        <v>44935</v>
      </c>
      <c r="B85" s="14" t="str">
        <f>IFERROR(__xludf.DUMMYFUNCTION("""COMPUTED_VALUE"""),"TRSF E-BANKING DB")</f>
        <v>TRSF E-BANKING DB</v>
      </c>
      <c r="C85" s="14" t="str">
        <f>IFERROR(__xludf.DUMMYFUNCTION("""COMPUTED_VALUE"""),"TRSF E-BANKING DB 0901/FTSCY/WS95011 106585360.00 pelunasan BROILER MAKMUR TAN")</f>
        <v>TRSF E-BANKING DB 0901/FTSCY/WS95011 106585360.00 pelunasan BROILER MAKMUR TAN</v>
      </c>
      <c r="D85" s="3">
        <f>IFERROR(__xludf.DUMMYFUNCTION("""COMPUTED_VALUE"""),1.0658536E8)</f>
        <v>106585360</v>
      </c>
      <c r="E85" s="14"/>
      <c r="F85" s="14" t="str">
        <f>IFERROR(__xludf.DUMMYFUNCTION("""COMPUTED_VALUE"""),"DB")</f>
        <v>DB</v>
      </c>
      <c r="G85" s="3">
        <f>IFERROR(__xludf.DUMMYFUNCTION("""COMPUTED_VALUE"""),4.4975051913E8)</f>
        <v>449750519.1</v>
      </c>
      <c r="H85" s="14"/>
      <c r="I85" s="14" t="str">
        <f>IFERROR(__xludf.DUMMYFUNCTION("""COMPUTED_VALUE"""),"PRODUKSI")</f>
        <v>PRODUKSI</v>
      </c>
    </row>
    <row r="86">
      <c r="A86" s="13">
        <f>IFERROR(__xludf.DUMMYFUNCTION("""COMPUTED_VALUE"""),44935.0)</f>
        <v>44935</v>
      </c>
      <c r="B86" s="14" t="str">
        <f>IFERROR(__xludf.DUMMYFUNCTION("""COMPUTED_VALUE"""),"TRSF E-BANKING DB")</f>
        <v>TRSF E-BANKING DB</v>
      </c>
      <c r="C86" s="14" t="str">
        <f>IFERROR(__xludf.DUMMYFUNCTION("""COMPUTED_VALUE"""),"TRSF E-BANKING DB 0901/FTSCY/WS95011 102013600.00 pelunasan tuban PITIK DIGITAL INDO")</f>
        <v>TRSF E-BANKING DB 0901/FTSCY/WS95011 102013600.00 pelunasan tuban PITIK DIGITAL INDO</v>
      </c>
      <c r="D86" s="3">
        <f>IFERROR(__xludf.DUMMYFUNCTION("""COMPUTED_VALUE"""),1.020136E8)</f>
        <v>102013600</v>
      </c>
      <c r="E86" s="14"/>
      <c r="F86" s="14" t="str">
        <f>IFERROR(__xludf.DUMMYFUNCTION("""COMPUTED_VALUE"""),"DB")</f>
        <v>DB</v>
      </c>
      <c r="G86" s="3">
        <f>IFERROR(__xludf.DUMMYFUNCTION("""COMPUTED_VALUE"""),3.4773691913E8)</f>
        <v>347736919.1</v>
      </c>
      <c r="H86" s="14"/>
      <c r="I86" s="14" t="str">
        <f>IFERROR(__xludf.DUMMYFUNCTION("""COMPUTED_VALUE"""),"PRODUKSI")</f>
        <v>PRODUKSI</v>
      </c>
    </row>
    <row r="87">
      <c r="A87" s="13">
        <f>IFERROR(__xludf.DUMMYFUNCTION("""COMPUTED_VALUE"""),44935.0)</f>
        <v>44935</v>
      </c>
      <c r="B87" s="14" t="str">
        <f>IFERROR(__xludf.DUMMYFUNCTION("""COMPUTED_VALUE"""),"TRSF E-BANKING DB")</f>
        <v>TRSF E-BANKING DB</v>
      </c>
      <c r="C87" s="14" t="str">
        <f>IFERROR(__xludf.DUMMYFUNCTION("""COMPUTED_VALUE"""),"TRSF E-BANKING DB 0901/FTSCY/WS95011 50000000.00 pemb. kd yudi s BINTANG TAMA SANTO")</f>
        <v>TRSF E-BANKING DB 0901/FTSCY/WS95011 50000000.00 pemb. kd yudi s BINTANG TAMA SANTO</v>
      </c>
      <c r="D87" s="3">
        <f>IFERROR(__xludf.DUMMYFUNCTION("""COMPUTED_VALUE"""),5.0E7)</f>
        <v>50000000</v>
      </c>
      <c r="E87" s="14"/>
      <c r="F87" s="14" t="str">
        <f>IFERROR(__xludf.DUMMYFUNCTION("""COMPUTED_VALUE"""),"DB")</f>
        <v>DB</v>
      </c>
      <c r="G87" s="3">
        <f>IFERROR(__xludf.DUMMYFUNCTION("""COMPUTED_VALUE"""),2.9773691913E8)</f>
        <v>297736919.1</v>
      </c>
      <c r="H87" s="14"/>
      <c r="I87" s="14" t="str">
        <f>IFERROR(__xludf.DUMMYFUNCTION("""COMPUTED_VALUE"""),"PRODUKSI")</f>
        <v>PRODUKSI</v>
      </c>
    </row>
    <row r="88">
      <c r="A88" s="13">
        <f>IFERROR(__xludf.DUMMYFUNCTION("""COMPUTED_VALUE"""),44935.0)</f>
        <v>44935</v>
      </c>
      <c r="B88" s="14" t="str">
        <f>IFERROR(__xludf.DUMMYFUNCTION("""COMPUTED_VALUE"""),"TRSF E-BANKING DB")</f>
        <v>TRSF E-BANKING DB</v>
      </c>
      <c r="C88" s="14" t="str">
        <f>IFERROR(__xludf.DUMMYFUNCTION("""COMPUTED_VALUE"""),"TRSF E-BANKING DB 0901/FTSCY/WS95031 1000000.00 pelunasan BINTANG TAMA SANTO")</f>
        <v>TRSF E-BANKING DB 0901/FTSCY/WS95031 1000000.00 pelunasan BINTANG TAMA SANTO</v>
      </c>
      <c r="D88" s="3">
        <f>IFERROR(__xludf.DUMMYFUNCTION("""COMPUTED_VALUE"""),1000000.0)</f>
        <v>1000000</v>
      </c>
      <c r="E88" s="14"/>
      <c r="F88" s="14" t="str">
        <f>IFERROR(__xludf.DUMMYFUNCTION("""COMPUTED_VALUE"""),"DB")</f>
        <v>DB</v>
      </c>
      <c r="G88" s="3">
        <f>IFERROR(__xludf.DUMMYFUNCTION("""COMPUTED_VALUE"""),2.9673691913E8)</f>
        <v>296736919.1</v>
      </c>
      <c r="H88" s="14"/>
      <c r="I88" s="14" t="str">
        <f>IFERROR(__xludf.DUMMYFUNCTION("""COMPUTED_VALUE"""),"PRODUKSI")</f>
        <v>PRODUKSI</v>
      </c>
    </row>
    <row r="89">
      <c r="A89" s="13">
        <f>IFERROR(__xludf.DUMMYFUNCTION("""COMPUTED_VALUE"""),44935.0)</f>
        <v>44935</v>
      </c>
      <c r="B89" s="14" t="str">
        <f>IFERROR(__xludf.DUMMYFUNCTION("""COMPUTED_VALUE"""),"TRSF E-BANKING DB")</f>
        <v>TRSF E-BANKING DB</v>
      </c>
      <c r="C89" s="14" t="str">
        <f>IFERROR(__xludf.DUMMYFUNCTION("""COMPUTED_VALUE"""),"TRSF E-BANKING DB 0901/FTSCY/WS95271 40000000.00 titip SUGENG RIADI")</f>
        <v>TRSF E-BANKING DB 0901/FTSCY/WS95271 40000000.00 titip SUGENG RIADI</v>
      </c>
      <c r="D89" s="3">
        <f>IFERROR(__xludf.DUMMYFUNCTION("""COMPUTED_VALUE"""),4.0E7)</f>
        <v>40000000</v>
      </c>
      <c r="E89" s="14"/>
      <c r="F89" s="14" t="str">
        <f>IFERROR(__xludf.DUMMYFUNCTION("""COMPUTED_VALUE"""),"DB")</f>
        <v>DB</v>
      </c>
      <c r="G89" s="3">
        <f>IFERROR(__xludf.DUMMYFUNCTION("""COMPUTED_VALUE"""),2.5673691913E8)</f>
        <v>256736919.1</v>
      </c>
      <c r="H89" s="14"/>
      <c r="I89" s="14" t="str">
        <f>IFERROR(__xludf.DUMMYFUNCTION("""COMPUTED_VALUE"""),"PRODUKSI")</f>
        <v>PRODUKSI</v>
      </c>
    </row>
    <row r="90">
      <c r="A90" s="13">
        <f>IFERROR(__xludf.DUMMYFUNCTION("""COMPUTED_VALUE"""),44935.0)</f>
        <v>44935</v>
      </c>
      <c r="B90" s="14" t="str">
        <f>IFERROR(__xludf.DUMMYFUNCTION("""COMPUTED_VALUE"""),"TRSF E-BANKING DB")</f>
        <v>TRSF E-BANKING DB</v>
      </c>
      <c r="C90" s="14" t="str">
        <f>IFERROR(__xludf.DUMMYFUNCTION("""COMPUTED_VALUE"""),"TRSF E-BANKING DB 0901/FTSCY/WS95031 52554600.00 pemb. kd bromax pl umpang ANDALAN YASA MITRA")</f>
        <v>TRSF E-BANKING DB 0901/FTSCY/WS95031 52554600.00 pemb. kd bromax pl umpang ANDALAN YASA MITRA</v>
      </c>
      <c r="D90" s="3">
        <f>IFERROR(__xludf.DUMMYFUNCTION("""COMPUTED_VALUE"""),5.25546E7)</f>
        <v>52554600</v>
      </c>
      <c r="E90" s="14"/>
      <c r="F90" s="14" t="str">
        <f>IFERROR(__xludf.DUMMYFUNCTION("""COMPUTED_VALUE"""),"DB")</f>
        <v>DB</v>
      </c>
      <c r="G90" s="3">
        <f>IFERROR(__xludf.DUMMYFUNCTION("""COMPUTED_VALUE"""),2.0418231913E8)</f>
        <v>204182319.1</v>
      </c>
      <c r="H90" s="14"/>
      <c r="I90" s="14" t="str">
        <f>IFERROR(__xludf.DUMMYFUNCTION("""COMPUTED_VALUE"""),"PRODUKSI")</f>
        <v>PRODUKSI</v>
      </c>
    </row>
    <row r="91">
      <c r="A91" s="13">
        <f>IFERROR(__xludf.DUMMYFUNCTION("""COMPUTED_VALUE"""),44936.0)</f>
        <v>44936</v>
      </c>
      <c r="B91" s="14" t="str">
        <f>IFERROR(__xludf.DUMMYFUNCTION("""COMPUTED_VALUE"""),"TRSF E-BANKING DB")</f>
        <v>TRSF E-BANKING DB</v>
      </c>
      <c r="C91" s="14" t="str">
        <f>IFERROR(__xludf.DUMMYFUNCTION("""COMPUTED_VALUE"""),"TRSF E-BANKING DB 1001/FTSCY/WS95031 58449400.00 pemb. kd stefi jom bang ANDALAN YASA MITRA")</f>
        <v>TRSF E-BANKING DB 1001/FTSCY/WS95031 58449400.00 pemb. kd stefi jom bang ANDALAN YASA MITRA</v>
      </c>
      <c r="D91" s="3">
        <f>IFERROR(__xludf.DUMMYFUNCTION("""COMPUTED_VALUE"""),5.84494E7)</f>
        <v>58449400</v>
      </c>
      <c r="E91" s="14"/>
      <c r="F91" s="14" t="str">
        <f>IFERROR(__xludf.DUMMYFUNCTION("""COMPUTED_VALUE"""),"DB")</f>
        <v>DB</v>
      </c>
      <c r="G91" s="3">
        <f>IFERROR(__xludf.DUMMYFUNCTION("""COMPUTED_VALUE"""),3.8123492913E8)</f>
        <v>381234929.1</v>
      </c>
      <c r="H91" s="14"/>
      <c r="I91" s="14" t="str">
        <f>IFERROR(__xludf.DUMMYFUNCTION("""COMPUTED_VALUE"""),"PRODUKSI")</f>
        <v>PRODUKSI</v>
      </c>
    </row>
    <row r="92">
      <c r="A92" s="13">
        <f>IFERROR(__xludf.DUMMYFUNCTION("""COMPUTED_VALUE"""),44936.0)</f>
        <v>44936</v>
      </c>
      <c r="B92" s="14" t="str">
        <f>IFERROR(__xludf.DUMMYFUNCTION("""COMPUTED_VALUE"""),"TRSF E-BANKING DB")</f>
        <v>TRSF E-BANKING DB</v>
      </c>
      <c r="C92" s="14" t="str">
        <f>IFERROR(__xludf.DUMMYFUNCTION("""COMPUTED_VALUE"""),"TRSF E-BANKING DB 1001/FTSCY/WS95271 49500000.00 titip UNGGAS MANDIRI BER")</f>
        <v>TRSF E-BANKING DB 1001/FTSCY/WS95271 49500000.00 titip UNGGAS MANDIRI BER</v>
      </c>
      <c r="D92" s="3">
        <f>IFERROR(__xludf.DUMMYFUNCTION("""COMPUTED_VALUE"""),4.95E7)</f>
        <v>49500000</v>
      </c>
      <c r="E92" s="14"/>
      <c r="F92" s="14" t="str">
        <f>IFERROR(__xludf.DUMMYFUNCTION("""COMPUTED_VALUE"""),"DB")</f>
        <v>DB</v>
      </c>
      <c r="G92" s="3">
        <f>IFERROR(__xludf.DUMMYFUNCTION("""COMPUTED_VALUE"""),7.5398486913E8)</f>
        <v>753984869.1</v>
      </c>
      <c r="H92" s="14"/>
      <c r="I92" s="14" t="str">
        <f>IFERROR(__xludf.DUMMYFUNCTION("""COMPUTED_VALUE"""),"PRODUKSI")</f>
        <v>PRODUKSI</v>
      </c>
    </row>
    <row r="93">
      <c r="A93" s="13">
        <f>IFERROR(__xludf.DUMMYFUNCTION("""COMPUTED_VALUE"""),44936.0)</f>
        <v>44936</v>
      </c>
      <c r="B93" s="14" t="str">
        <f>IFERROR(__xludf.DUMMYFUNCTION("""COMPUTED_VALUE"""),"TRSF E-BANKING DB")</f>
        <v>TRSF E-BANKING DB</v>
      </c>
      <c r="C93" s="14" t="str">
        <f>IFERROR(__xludf.DUMMYFUNCTION("""COMPUTED_VALUE"""),"TRSF E-BANKING DB 1001/FTSCY/WS95271 113851600.00 t. agung PITIK DIGITAL INDO")</f>
        <v>TRSF E-BANKING DB 1001/FTSCY/WS95271 113851600.00 t. agung PITIK DIGITAL INDO</v>
      </c>
      <c r="D93" s="3">
        <f>IFERROR(__xludf.DUMMYFUNCTION("""COMPUTED_VALUE"""),1.138516E8)</f>
        <v>113851600</v>
      </c>
      <c r="E93" s="14"/>
      <c r="F93" s="14" t="str">
        <f>IFERROR(__xludf.DUMMYFUNCTION("""COMPUTED_VALUE"""),"DB")</f>
        <v>DB</v>
      </c>
      <c r="G93" s="3">
        <f>IFERROR(__xludf.DUMMYFUNCTION("""COMPUTED_VALUE"""),1.10330502913E9)</f>
        <v>1103305029</v>
      </c>
      <c r="H93" s="14"/>
      <c r="I93" s="14" t="str">
        <f>IFERROR(__xludf.DUMMYFUNCTION("""COMPUTED_VALUE"""),"PRODUKSI")</f>
        <v>PRODUKSI</v>
      </c>
    </row>
    <row r="94">
      <c r="A94" s="13">
        <f>IFERROR(__xludf.DUMMYFUNCTION("""COMPUTED_VALUE"""),44936.0)</f>
        <v>44936</v>
      </c>
      <c r="B94" s="14" t="str">
        <f>IFERROR(__xludf.DUMMYFUNCTION("""COMPUTED_VALUE"""),"TRSF E-BANKING DB")</f>
        <v>TRSF E-BANKING DB</v>
      </c>
      <c r="C94" s="14" t="str">
        <f>IFERROR(__xludf.DUMMYFUNCTION("""COMPUTED_VALUE"""),"TRSF E-BANKING DB 1001/FTSCY/WS95271 90937760.00 08/01 jombang BROILER MAKMUR TAN")</f>
        <v>TRSF E-BANKING DB 1001/FTSCY/WS95271 90937760.00 08/01 jombang BROILER MAKMUR TAN</v>
      </c>
      <c r="D94" s="3">
        <f>IFERROR(__xludf.DUMMYFUNCTION("""COMPUTED_VALUE"""),9.093776E7)</f>
        <v>90937760</v>
      </c>
      <c r="E94" s="14"/>
      <c r="F94" s="14" t="str">
        <f>IFERROR(__xludf.DUMMYFUNCTION("""COMPUTED_VALUE"""),"DB")</f>
        <v>DB</v>
      </c>
      <c r="G94" s="3">
        <f>IFERROR(__xludf.DUMMYFUNCTION("""COMPUTED_VALUE"""),1.0123672691300001E9)</f>
        <v>1012367269</v>
      </c>
      <c r="H94" s="14"/>
      <c r="I94" s="14" t="str">
        <f>IFERROR(__xludf.DUMMYFUNCTION("""COMPUTED_VALUE"""),"PRODUKSI")</f>
        <v>PRODUKSI</v>
      </c>
    </row>
    <row r="95">
      <c r="A95" s="13">
        <f>IFERROR(__xludf.DUMMYFUNCTION("""COMPUTED_VALUE"""),44936.0)</f>
        <v>44936</v>
      </c>
      <c r="B95" s="14" t="str">
        <f>IFERROR(__xludf.DUMMYFUNCTION("""COMPUTED_VALUE"""),"TRSF E-BANKING DB")</f>
        <v>TRSF E-BANKING DB</v>
      </c>
      <c r="C95" s="14" t="str">
        <f>IFERROR(__xludf.DUMMYFUNCTION("""COMPUTED_VALUE"""),"TRSF E-BANKING DB 1001/FTSCY/WS95271 44820800.00 08/01 magetan krg 63 jt BROILER MAKMUR TAN")</f>
        <v>TRSF E-BANKING DB 1001/FTSCY/WS95271 44820800.00 08/01 magetan krg 63 jt BROILER MAKMUR TAN</v>
      </c>
      <c r="D95" s="3">
        <f>IFERROR(__xludf.DUMMYFUNCTION("""COMPUTED_VALUE"""),4.48208E7)</f>
        <v>44820800</v>
      </c>
      <c r="E95" s="14"/>
      <c r="F95" s="14" t="str">
        <f>IFERROR(__xludf.DUMMYFUNCTION("""COMPUTED_VALUE"""),"DB")</f>
        <v>DB</v>
      </c>
      <c r="G95" s="3">
        <f>IFERROR(__xludf.DUMMYFUNCTION("""COMPUTED_VALUE"""),9.675464691300001E8)</f>
        <v>967546469.1</v>
      </c>
      <c r="H95" s="14"/>
      <c r="I95" s="14" t="str">
        <f>IFERROR(__xludf.DUMMYFUNCTION("""COMPUTED_VALUE"""),"PRODUKSI")</f>
        <v>PRODUKSI</v>
      </c>
    </row>
    <row r="96">
      <c r="A96" s="13">
        <f>IFERROR(__xludf.DUMMYFUNCTION("""COMPUTED_VALUE"""),44936.0)</f>
        <v>44936</v>
      </c>
      <c r="B96" s="14" t="str">
        <f>IFERROR(__xludf.DUMMYFUNCTION("""COMPUTED_VALUE"""),"TRSF E-BANKING DB")</f>
        <v>TRSF E-BANKING DB</v>
      </c>
      <c r="C96" s="14" t="str">
        <f>IFERROR(__xludf.DUMMYFUNCTION("""COMPUTED_VALUE"""),"TRSF E-BANKING DB 1001/FTSCY/WS95011 63000000.00 pelunasan 08/01 magetan BROILER MAKMUR TAN")</f>
        <v>TRSF E-BANKING DB 1001/FTSCY/WS95011 63000000.00 pelunasan 08/01 magetan BROILER MAKMUR TAN</v>
      </c>
      <c r="D96" s="3">
        <f>IFERROR(__xludf.DUMMYFUNCTION("""COMPUTED_VALUE"""),6.3E7)</f>
        <v>63000000</v>
      </c>
      <c r="E96" s="14"/>
      <c r="F96" s="14" t="str">
        <f>IFERROR(__xludf.DUMMYFUNCTION("""COMPUTED_VALUE"""),"DB")</f>
        <v>DB</v>
      </c>
      <c r="G96" s="3">
        <f>IFERROR(__xludf.DUMMYFUNCTION("""COMPUTED_VALUE"""),9.045464691300001E8)</f>
        <v>904546469.1</v>
      </c>
      <c r="H96" s="14"/>
      <c r="I96" s="14" t="str">
        <f>IFERROR(__xludf.DUMMYFUNCTION("""COMPUTED_VALUE"""),"PRODUKSI")</f>
        <v>PRODUKSI</v>
      </c>
    </row>
    <row r="97">
      <c r="A97" s="13">
        <f>IFERROR(__xludf.DUMMYFUNCTION("""COMPUTED_VALUE"""),44936.0)</f>
        <v>44936</v>
      </c>
      <c r="B97" s="14" t="str">
        <f>IFERROR(__xludf.DUMMYFUNCTION("""COMPUTED_VALUE"""),"TRSF E-BANKING DB")</f>
        <v>TRSF E-BANKING DB</v>
      </c>
      <c r="C97" s="14" t="str">
        <f>IFERROR(__xludf.DUMMYFUNCTION("""COMPUTED_VALUE"""),"TRSF E-BANKING DB 1001/FTSCY/WS95011 61057200.00 pemb. kd sukardi magetan RUKUN MITRA BERSAM")</f>
        <v>TRSF E-BANKING DB 1001/FTSCY/WS95011 61057200.00 pemb. kd sukardi magetan RUKUN MITRA BERSAM</v>
      </c>
      <c r="D97" s="3">
        <f>IFERROR(__xludf.DUMMYFUNCTION("""COMPUTED_VALUE"""),6.10572E7)</f>
        <v>61057200</v>
      </c>
      <c r="E97" s="14"/>
      <c r="F97" s="14" t="str">
        <f>IFERROR(__xludf.DUMMYFUNCTION("""COMPUTED_VALUE"""),"DB")</f>
        <v>DB</v>
      </c>
      <c r="G97" s="3">
        <f>IFERROR(__xludf.DUMMYFUNCTION("""COMPUTED_VALUE"""),8.434892691300001E8)</f>
        <v>843489269.1</v>
      </c>
      <c r="H97" s="14"/>
      <c r="I97" s="14" t="str">
        <f>IFERROR(__xludf.DUMMYFUNCTION("""COMPUTED_VALUE"""),"PRODUKSI")</f>
        <v>PRODUKSI</v>
      </c>
    </row>
    <row r="98">
      <c r="A98" s="13">
        <f>IFERROR(__xludf.DUMMYFUNCTION("""COMPUTED_VALUE"""),44936.0)</f>
        <v>44936</v>
      </c>
      <c r="B98" s="14" t="str">
        <f>IFERROR(__xludf.DUMMYFUNCTION("""COMPUTED_VALUE"""),"TRSF E-BANKING DB")</f>
        <v>TRSF E-BANKING DB</v>
      </c>
      <c r="C98" s="14" t="str">
        <f>IFERROR(__xludf.DUMMYFUNCTION("""COMPUTED_VALUE"""),"TRSF E-BANKING DB 1001/FTSCY/WS95011 41999250.00 pemb. kd suprianto blitar ANUGERAH KARTIKA A")</f>
        <v>TRSF E-BANKING DB 1001/FTSCY/WS95011 41999250.00 pemb. kd suprianto blitar ANUGERAH KARTIKA A</v>
      </c>
      <c r="D98" s="3">
        <f>IFERROR(__xludf.DUMMYFUNCTION("""COMPUTED_VALUE"""),4.199925E7)</f>
        <v>41999250</v>
      </c>
      <c r="E98" s="14"/>
      <c r="F98" s="14" t="str">
        <f>IFERROR(__xludf.DUMMYFUNCTION("""COMPUTED_VALUE"""),"DB")</f>
        <v>DB</v>
      </c>
      <c r="G98" s="3">
        <f>IFERROR(__xludf.DUMMYFUNCTION("""COMPUTED_VALUE"""),8.014900191300001E8)</f>
        <v>801490019.1</v>
      </c>
      <c r="H98" s="14"/>
      <c r="I98" s="14" t="str">
        <f>IFERROR(__xludf.DUMMYFUNCTION("""COMPUTED_VALUE"""),"PRODUKSI")</f>
        <v>PRODUKSI</v>
      </c>
    </row>
    <row r="99">
      <c r="A99" s="13">
        <f>IFERROR(__xludf.DUMMYFUNCTION("""COMPUTED_VALUE"""),44936.0)</f>
        <v>44936</v>
      </c>
      <c r="B99" s="14" t="str">
        <f>IFERROR(__xludf.DUMMYFUNCTION("""COMPUTED_VALUE"""),"TRSF E-BANKING DB")</f>
        <v>TRSF E-BANKING DB</v>
      </c>
      <c r="C99" s="14" t="str">
        <f>IFERROR(__xludf.DUMMYFUNCTION("""COMPUTED_VALUE"""),"TRSF E-BANKING DB 1001/FTSCY/WS95011 54339900.00 pemb. kd sanusi magetan ANUGERAH KARTIKA A")</f>
        <v>TRSF E-BANKING DB 1001/FTSCY/WS95011 54339900.00 pemb. kd sanusi magetan ANUGERAH KARTIKA A</v>
      </c>
      <c r="D99" s="3">
        <f>IFERROR(__xludf.DUMMYFUNCTION("""COMPUTED_VALUE"""),5.43399E7)</f>
        <v>54339900</v>
      </c>
      <c r="E99" s="14"/>
      <c r="F99" s="14" t="str">
        <f>IFERROR(__xludf.DUMMYFUNCTION("""COMPUTED_VALUE"""),"DB")</f>
        <v>DB</v>
      </c>
      <c r="G99" s="3">
        <f>IFERROR(__xludf.DUMMYFUNCTION("""COMPUTED_VALUE"""),7.471501191300001E8)</f>
        <v>747150119.1</v>
      </c>
      <c r="H99" s="14"/>
      <c r="I99" s="14" t="str">
        <f>IFERROR(__xludf.DUMMYFUNCTION("""COMPUTED_VALUE"""),"PRODUKSI")</f>
        <v>PRODUKSI</v>
      </c>
    </row>
    <row r="100">
      <c r="A100" s="13">
        <f>IFERROR(__xludf.DUMMYFUNCTION("""COMPUTED_VALUE"""),44936.0)</f>
        <v>44936</v>
      </c>
      <c r="B100" s="14" t="str">
        <f>IFERROR(__xludf.DUMMYFUNCTION("""COMPUTED_VALUE"""),"TRSF E-BANKING DB")</f>
        <v>TRSF E-BANKING DB</v>
      </c>
      <c r="C100" s="14" t="str">
        <f>IFERROR(__xludf.DUMMYFUNCTION("""COMPUTED_VALUE"""),"TRSF E-BANKING DB 1001/FTSCY/WS95011 52288000.00 pemb. kd samuri ANUGERAH KARTIKA A")</f>
        <v>TRSF E-BANKING DB 1001/FTSCY/WS95011 52288000.00 pemb. kd samuri ANUGERAH KARTIKA A</v>
      </c>
      <c r="D100" s="3">
        <f>IFERROR(__xludf.DUMMYFUNCTION("""COMPUTED_VALUE"""),5.2288E7)</f>
        <v>52288000</v>
      </c>
      <c r="E100" s="14"/>
      <c r="F100" s="14" t="str">
        <f>IFERROR(__xludf.DUMMYFUNCTION("""COMPUTED_VALUE"""),"DB")</f>
        <v>DB</v>
      </c>
      <c r="G100" s="3">
        <f>IFERROR(__xludf.DUMMYFUNCTION("""COMPUTED_VALUE"""),6.948621191300001E8)</f>
        <v>694862119.1</v>
      </c>
      <c r="H100" s="14"/>
      <c r="I100" s="14" t="str">
        <f>IFERROR(__xludf.DUMMYFUNCTION("""COMPUTED_VALUE"""),"PRODUKSI")</f>
        <v>PRODUKSI</v>
      </c>
    </row>
    <row r="101">
      <c r="A101" s="13">
        <f>IFERROR(__xludf.DUMMYFUNCTION("""COMPUTED_VALUE"""),44936.0)</f>
        <v>44936</v>
      </c>
      <c r="B101" s="14" t="str">
        <f>IFERROR(__xludf.DUMMYFUNCTION("""COMPUTED_VALUE"""),"TRSF E-BANKING DB")</f>
        <v>TRSF E-BANKING DB</v>
      </c>
      <c r="C101" s="14" t="str">
        <f>IFERROR(__xludf.DUMMYFUNCTION("""COMPUTED_VALUE"""),"TRSF E-BANKING DB 1001/FTSCY/WS95011 51773500.00 pemb. kd jaenuri kdr ANUGERAH KARTIKA A")</f>
        <v>TRSF E-BANKING DB 1001/FTSCY/WS95011 51773500.00 pemb. kd jaenuri kdr ANUGERAH KARTIKA A</v>
      </c>
      <c r="D101" s="3">
        <f>IFERROR(__xludf.DUMMYFUNCTION("""COMPUTED_VALUE"""),5.17735E7)</f>
        <v>51773500</v>
      </c>
      <c r="E101" s="14"/>
      <c r="F101" s="14" t="str">
        <f>IFERROR(__xludf.DUMMYFUNCTION("""COMPUTED_VALUE"""),"DB")</f>
        <v>DB</v>
      </c>
      <c r="G101" s="3">
        <f>IFERROR(__xludf.DUMMYFUNCTION("""COMPUTED_VALUE"""),6.430886191300001E8)</f>
        <v>643088619.1</v>
      </c>
      <c r="H101" s="14"/>
      <c r="I101" s="14" t="str">
        <f>IFERROR(__xludf.DUMMYFUNCTION("""COMPUTED_VALUE"""),"PRODUKSI")</f>
        <v>PRODUKSI</v>
      </c>
    </row>
    <row r="102">
      <c r="A102" s="13">
        <f>IFERROR(__xludf.DUMMYFUNCTION("""COMPUTED_VALUE"""),44936.0)</f>
        <v>44936</v>
      </c>
      <c r="B102" s="14" t="str">
        <f>IFERROR(__xludf.DUMMYFUNCTION("""COMPUTED_VALUE"""),"TRSF E-BANKING DB")</f>
        <v>TRSF E-BANKING DB</v>
      </c>
      <c r="C102" s="14" t="str">
        <f>IFERROR(__xludf.DUMMYFUNCTION("""COMPUTED_VALUE"""),"TRSF E-BANKING DB 1001/FTSCY/WS95011 51000000.00 pemb. kd rama pasu ANDALAN YASA MITRA")</f>
        <v>TRSF E-BANKING DB 1001/FTSCY/WS95011 51000000.00 pemb. kd rama pasu ANDALAN YASA MITRA</v>
      </c>
      <c r="D102" s="3">
        <f>IFERROR(__xludf.DUMMYFUNCTION("""COMPUTED_VALUE"""),5.1E7)</f>
        <v>51000000</v>
      </c>
      <c r="E102" s="14"/>
      <c r="F102" s="14" t="str">
        <f>IFERROR(__xludf.DUMMYFUNCTION("""COMPUTED_VALUE"""),"DB")</f>
        <v>DB</v>
      </c>
      <c r="G102" s="3">
        <f>IFERROR(__xludf.DUMMYFUNCTION("""COMPUTED_VALUE"""),5.920886191300001E8)</f>
        <v>592088619.1</v>
      </c>
      <c r="H102" s="14"/>
      <c r="I102" s="14" t="str">
        <f>IFERROR(__xludf.DUMMYFUNCTION("""COMPUTED_VALUE"""),"PRODUKSI")</f>
        <v>PRODUKSI</v>
      </c>
    </row>
    <row r="103">
      <c r="A103" s="13">
        <f>IFERROR(__xludf.DUMMYFUNCTION("""COMPUTED_VALUE"""),44936.0)</f>
        <v>44936</v>
      </c>
      <c r="B103" s="14" t="str">
        <f>IFERROR(__xludf.DUMMYFUNCTION("""COMPUTED_VALUE"""),"TRSF E-BANKING DB")</f>
        <v>TRSF E-BANKING DB</v>
      </c>
      <c r="C103" s="14" t="str">
        <f>IFERROR(__xludf.DUMMYFUNCTION("""COMPUTED_VALUE"""),"TRSF E-BANKING DB 1001/FTSCY/WS95011 54250000.00 kd senin blitar SUPER UNGGAS JAYA")</f>
        <v>TRSF E-BANKING DB 1001/FTSCY/WS95011 54250000.00 kd senin blitar SUPER UNGGAS JAYA</v>
      </c>
      <c r="D103" s="3">
        <f>IFERROR(__xludf.DUMMYFUNCTION("""COMPUTED_VALUE"""),5.425E7)</f>
        <v>54250000</v>
      </c>
      <c r="E103" s="14"/>
      <c r="F103" s="14" t="str">
        <f>IFERROR(__xludf.DUMMYFUNCTION("""COMPUTED_VALUE"""),"DB")</f>
        <v>DB</v>
      </c>
      <c r="G103" s="3">
        <f>IFERROR(__xludf.DUMMYFUNCTION("""COMPUTED_VALUE"""),5.378386191300001E8)</f>
        <v>537838619.1</v>
      </c>
      <c r="H103" s="14"/>
      <c r="I103" s="14" t="str">
        <f>IFERROR(__xludf.DUMMYFUNCTION("""COMPUTED_VALUE"""),"PRODUKSI")</f>
        <v>PRODUKSI</v>
      </c>
    </row>
    <row r="104">
      <c r="A104" s="13">
        <f>IFERROR(__xludf.DUMMYFUNCTION("""COMPUTED_VALUE"""),44936.0)</f>
        <v>44936</v>
      </c>
      <c r="B104" s="14" t="str">
        <f>IFERROR(__xludf.DUMMYFUNCTION("""COMPUTED_VALUE"""),"TRSF E-BANKING DB")</f>
        <v>TRSF E-BANKING DB</v>
      </c>
      <c r="C104" s="14" t="str">
        <f>IFERROR(__xludf.DUMMYFUNCTION("""COMPUTED_VALUE"""),"TRSF E-BANKING DB 1001/FTSCY/WS95031 14390000.00 pelunasan SUGENG RIADI")</f>
        <v>TRSF E-BANKING DB 1001/FTSCY/WS95031 14390000.00 pelunasan SUGENG RIADI</v>
      </c>
      <c r="D104" s="3">
        <f>IFERROR(__xludf.DUMMYFUNCTION("""COMPUTED_VALUE"""),1.439E7)</f>
        <v>14390000</v>
      </c>
      <c r="E104" s="14"/>
      <c r="F104" s="14" t="str">
        <f>IFERROR(__xludf.DUMMYFUNCTION("""COMPUTED_VALUE"""),"DB")</f>
        <v>DB</v>
      </c>
      <c r="G104" s="3">
        <f>IFERROR(__xludf.DUMMYFUNCTION("""COMPUTED_VALUE"""),5.228486191300001E8)</f>
        <v>522848619.1</v>
      </c>
      <c r="H104" s="14"/>
      <c r="I104" s="14" t="str">
        <f>IFERROR(__xludf.DUMMYFUNCTION("""COMPUTED_VALUE"""),"PRODUKSI")</f>
        <v>PRODUKSI</v>
      </c>
    </row>
    <row r="105">
      <c r="A105" s="13">
        <f>IFERROR(__xludf.DUMMYFUNCTION("""COMPUTED_VALUE"""),44936.0)</f>
        <v>44936</v>
      </c>
      <c r="B105" s="14" t="str">
        <f>IFERROR(__xludf.DUMMYFUNCTION("""COMPUTED_VALUE"""),"TRSF E-BANKING DB")</f>
        <v>TRSF E-BANKING DB</v>
      </c>
      <c r="C105" s="14" t="str">
        <f>IFERROR(__xludf.DUMMYFUNCTION("""COMPUTED_VALUE"""),"TRSF E-BANKING DB 1001/FTSCY/WS95011 51840000.00 titip 3200 kg WIWIK NURHAYATI")</f>
        <v>TRSF E-BANKING DB 1001/FTSCY/WS95011 51840000.00 titip 3200 kg WIWIK NURHAYATI</v>
      </c>
      <c r="D105" s="3">
        <f>IFERROR(__xludf.DUMMYFUNCTION("""COMPUTED_VALUE"""),5.184E7)</f>
        <v>51840000</v>
      </c>
      <c r="E105" s="14"/>
      <c r="F105" s="14" t="str">
        <f>IFERROR(__xludf.DUMMYFUNCTION("""COMPUTED_VALUE"""),"DB")</f>
        <v>DB</v>
      </c>
      <c r="G105" s="3">
        <f>IFERROR(__xludf.DUMMYFUNCTION("""COMPUTED_VALUE"""),4.659053191300001E8)</f>
        <v>465905319.1</v>
      </c>
      <c r="H105" s="14"/>
      <c r="I105" s="14" t="str">
        <f>IFERROR(__xludf.DUMMYFUNCTION("""COMPUTED_VALUE"""),"PRODUKSI")</f>
        <v>PRODUKSI</v>
      </c>
    </row>
    <row r="106">
      <c r="A106" s="13">
        <f>IFERROR(__xludf.DUMMYFUNCTION("""COMPUTED_VALUE"""),44937.0)</f>
        <v>44937</v>
      </c>
      <c r="B106" s="14" t="str">
        <f>IFERROR(__xludf.DUMMYFUNCTION("""COMPUTED_VALUE"""),"TRSF E-BANKING DB")</f>
        <v>TRSF E-BANKING DB</v>
      </c>
      <c r="C106" s="14" t="str">
        <f>IFERROR(__xludf.DUMMYFUNCTION("""COMPUTED_VALUE"""),"TRSF E-BANKING DB 1101/FTSCY/WS95271 108565400.00 pemb. do 09/01 lun as ANUGERAH KARTIKA A")</f>
        <v>TRSF E-BANKING DB 1101/FTSCY/WS95271 108565400.00 pemb. do 09/01 lun as ANUGERAH KARTIKA A</v>
      </c>
      <c r="D106" s="3">
        <f>IFERROR(__xludf.DUMMYFUNCTION("""COMPUTED_VALUE"""),1.085654E8)</f>
        <v>108565400</v>
      </c>
      <c r="E106" s="14"/>
      <c r="F106" s="14" t="str">
        <f>IFERROR(__xludf.DUMMYFUNCTION("""COMPUTED_VALUE"""),"DB")</f>
        <v>DB</v>
      </c>
      <c r="G106" s="3">
        <f>IFERROR(__xludf.DUMMYFUNCTION("""COMPUTED_VALUE"""),3.468858291300001E8)</f>
        <v>346885829.1</v>
      </c>
      <c r="H106" s="14"/>
      <c r="I106" s="14" t="str">
        <f>IFERROR(__xludf.DUMMYFUNCTION("""COMPUTED_VALUE"""),"PRODUKSI")</f>
        <v>PRODUKSI</v>
      </c>
    </row>
    <row r="107">
      <c r="A107" s="13">
        <f>IFERROR(__xludf.DUMMYFUNCTION("""COMPUTED_VALUE"""),44937.0)</f>
        <v>44937</v>
      </c>
      <c r="B107" s="14" t="str">
        <f>IFERROR(__xludf.DUMMYFUNCTION("""COMPUTED_VALUE"""),"TRSF E-BANKING DB")</f>
        <v>TRSF E-BANKING DB</v>
      </c>
      <c r="C107" s="14" t="str">
        <f>IFERROR(__xludf.DUMMYFUNCTION("""COMPUTED_VALUE"""),"TRSF E-BANKING DB 1101/FTSCY/WS95271 111000000.00 pelunasan 09/01 SUPER UNGGAS JAYA")</f>
        <v>TRSF E-BANKING DB 1101/FTSCY/WS95271 111000000.00 pelunasan 09/01 SUPER UNGGAS JAYA</v>
      </c>
      <c r="D107" s="3">
        <f>IFERROR(__xludf.DUMMYFUNCTION("""COMPUTED_VALUE"""),1.11E8)</f>
        <v>111000000</v>
      </c>
      <c r="E107" s="14"/>
      <c r="F107" s="14" t="str">
        <f>IFERROR(__xludf.DUMMYFUNCTION("""COMPUTED_VALUE"""),"DB")</f>
        <v>DB</v>
      </c>
      <c r="G107" s="3">
        <f>IFERROR(__xludf.DUMMYFUNCTION("""COMPUTED_VALUE"""),2.358858291300001E8)</f>
        <v>235885829.1</v>
      </c>
      <c r="H107" s="14"/>
      <c r="I107" s="14" t="str">
        <f>IFERROR(__xludf.DUMMYFUNCTION("""COMPUTED_VALUE"""),"PRODUKSI")</f>
        <v>PRODUKSI</v>
      </c>
    </row>
    <row r="108">
      <c r="A108" s="13">
        <f>IFERROR(__xludf.DUMMYFUNCTION("""COMPUTED_VALUE"""),44937.0)</f>
        <v>44937</v>
      </c>
      <c r="B108" s="14" t="str">
        <f>IFERROR(__xludf.DUMMYFUNCTION("""COMPUTED_VALUE"""),"TRSF E-BANKING DB")</f>
        <v>TRSF E-BANKING DB</v>
      </c>
      <c r="C108" s="14" t="str">
        <f>IFERROR(__xludf.DUMMYFUNCTION("""COMPUTED_VALUE"""),"TRSF E-BANKING DB 1101/FTSCY/WS95271 80000000.00 krg 81.5 jt ANDALAN YASA MITRA")</f>
        <v>TRSF E-BANKING DB 1101/FTSCY/WS95271 80000000.00 krg 81.5 jt ANDALAN YASA MITRA</v>
      </c>
      <c r="D108" s="3">
        <f>IFERROR(__xludf.DUMMYFUNCTION("""COMPUTED_VALUE"""),8.0E7)</f>
        <v>80000000</v>
      </c>
      <c r="E108" s="14"/>
      <c r="F108" s="14" t="str">
        <f>IFERROR(__xludf.DUMMYFUNCTION("""COMPUTED_VALUE"""),"DB")</f>
        <v>DB</v>
      </c>
      <c r="G108" s="3">
        <f>IFERROR(__xludf.DUMMYFUNCTION("""COMPUTED_VALUE"""),1.558858291300001E8)</f>
        <v>155885829.1</v>
      </c>
      <c r="H108" s="14"/>
      <c r="I108" s="14" t="str">
        <f>IFERROR(__xludf.DUMMYFUNCTION("""COMPUTED_VALUE"""),"PRODUKSI")</f>
        <v>PRODUKSI</v>
      </c>
    </row>
    <row r="109">
      <c r="A109" s="13">
        <f>IFERROR(__xludf.DUMMYFUNCTION("""COMPUTED_VALUE"""),44937.0)</f>
        <v>44937</v>
      </c>
      <c r="B109" s="14" t="str">
        <f>IFERROR(__xludf.DUMMYFUNCTION("""COMPUTED_VALUE"""),"TRSF E-BANKING DB")</f>
        <v>TRSF E-BANKING DB</v>
      </c>
      <c r="C109" s="14" t="str">
        <f>IFERROR(__xludf.DUMMYFUNCTION("""COMPUTED_VALUE"""),"TRSF E-BANKING DB 1101/FTSCY/WS95031 81500000.00 pelunasan 09.01 ANDALAN YASA MITRA")</f>
        <v>TRSF E-BANKING DB 1101/FTSCY/WS95031 81500000.00 pelunasan 09.01 ANDALAN YASA MITRA</v>
      </c>
      <c r="D109" s="3">
        <f>IFERROR(__xludf.DUMMYFUNCTION("""COMPUTED_VALUE"""),8.15E7)</f>
        <v>81500000</v>
      </c>
      <c r="E109" s="14"/>
      <c r="F109" s="14" t="str">
        <f>IFERROR(__xludf.DUMMYFUNCTION("""COMPUTED_VALUE"""),"DB")</f>
        <v>DB</v>
      </c>
      <c r="G109" s="3">
        <f>IFERROR(__xludf.DUMMYFUNCTION("""COMPUTED_VALUE"""),7.438582913000011E7)</f>
        <v>74385829.13</v>
      </c>
      <c r="H109" s="14"/>
      <c r="I109" s="14" t="str">
        <f>IFERROR(__xludf.DUMMYFUNCTION("""COMPUTED_VALUE"""),"PRODUKSI")</f>
        <v>PRODUKSI</v>
      </c>
    </row>
    <row r="110">
      <c r="A110" s="13">
        <f>IFERROR(__xludf.DUMMYFUNCTION("""COMPUTED_VALUE"""),44937.0)</f>
        <v>44937</v>
      </c>
      <c r="B110" s="14" t="str">
        <f>IFERROR(__xludf.DUMMYFUNCTION("""COMPUTED_VALUE"""),"TRSF E-BANKING DB")</f>
        <v>TRSF E-BANKING DB</v>
      </c>
      <c r="C110" s="14" t="str">
        <f>IFERROR(__xludf.DUMMYFUNCTION("""COMPUTED_VALUE"""),"TRSF E-BANKING DB 1101/FTSCY/WS95011 232269300.00 pemb. 09/01 BROILER MAKMUR TAN")</f>
        <v>TRSF E-BANKING DB 1101/FTSCY/WS95011 232269300.00 pemb. 09/01 BROILER MAKMUR TAN</v>
      </c>
      <c r="D110" s="3">
        <f>IFERROR(__xludf.DUMMYFUNCTION("""COMPUTED_VALUE"""),2.322693E8)</f>
        <v>232269300</v>
      </c>
      <c r="E110" s="14"/>
      <c r="F110" s="14" t="str">
        <f>IFERROR(__xludf.DUMMYFUNCTION("""COMPUTED_VALUE"""),"DB")</f>
        <v>DB</v>
      </c>
      <c r="G110" s="3">
        <f>IFERROR(__xludf.DUMMYFUNCTION("""COMPUTED_VALUE"""),5.480978291300001E8)</f>
        <v>548097829.1</v>
      </c>
      <c r="H110" s="14"/>
      <c r="I110" s="14" t="str">
        <f>IFERROR(__xludf.DUMMYFUNCTION("""COMPUTED_VALUE"""),"PRODUKSI")</f>
        <v>PRODUKSI</v>
      </c>
    </row>
    <row r="111">
      <c r="A111" s="13">
        <f>IFERROR(__xludf.DUMMYFUNCTION("""COMPUTED_VALUE"""),44937.0)</f>
        <v>44937</v>
      </c>
      <c r="B111" s="14" t="str">
        <f>IFERROR(__xludf.DUMMYFUNCTION("""COMPUTED_VALUE"""),"TRSF E-BANKING DB")</f>
        <v>TRSF E-BANKING DB</v>
      </c>
      <c r="C111" s="14" t="str">
        <f>IFERROR(__xludf.DUMMYFUNCTION("""COMPUTED_VALUE"""),"TRSF E-BANKING DB 1101/FTSCY/WS95011 50388000.00 pemb. kd tubianto madiun RUKUN MITRA BERSAM")</f>
        <v>TRSF E-BANKING DB 1101/FTSCY/WS95011 50388000.00 pemb. kd tubianto madiun RUKUN MITRA BERSAM</v>
      </c>
      <c r="D111" s="3">
        <f>IFERROR(__xludf.DUMMYFUNCTION("""COMPUTED_VALUE"""),5.0388E7)</f>
        <v>50388000</v>
      </c>
      <c r="E111" s="14"/>
      <c r="F111" s="14" t="str">
        <f>IFERROR(__xludf.DUMMYFUNCTION("""COMPUTED_VALUE"""),"DB")</f>
        <v>DB</v>
      </c>
      <c r="G111" s="3">
        <f>IFERROR(__xludf.DUMMYFUNCTION("""COMPUTED_VALUE"""),4.590233791300001E8)</f>
        <v>459023379.1</v>
      </c>
      <c r="H111" s="14"/>
      <c r="I111" s="14" t="str">
        <f>IFERROR(__xludf.DUMMYFUNCTION("""COMPUTED_VALUE"""),"PRODUKSI")</f>
        <v>PRODUKSI</v>
      </c>
    </row>
    <row r="112">
      <c r="A112" s="13">
        <f>IFERROR(__xludf.DUMMYFUNCTION("""COMPUTED_VALUE"""),44937.0)</f>
        <v>44937</v>
      </c>
      <c r="B112" s="14" t="str">
        <f>IFERROR(__xludf.DUMMYFUNCTION("""COMPUTED_VALUE"""),"TRSF E-BANKING DB")</f>
        <v>TRSF E-BANKING DB</v>
      </c>
      <c r="C112" s="14" t="str">
        <f>IFERROR(__xludf.DUMMYFUNCTION("""COMPUTED_VALUE"""),"TRSF E-BANKING DB 1101/FTSCY/WS95011 38750000.00 pemb. kd andi w blitar SUPER UNGGAS JAYA")</f>
        <v>TRSF E-BANKING DB 1101/FTSCY/WS95011 38750000.00 pemb. kd andi w blitar SUPER UNGGAS JAYA</v>
      </c>
      <c r="D112" s="3">
        <f>IFERROR(__xludf.DUMMYFUNCTION("""COMPUTED_VALUE"""),3.875E7)</f>
        <v>38750000</v>
      </c>
      <c r="E112" s="14"/>
      <c r="F112" s="14" t="str">
        <f>IFERROR(__xludf.DUMMYFUNCTION("""COMPUTED_VALUE"""),"DB")</f>
        <v>DB</v>
      </c>
      <c r="G112" s="3">
        <f>IFERROR(__xludf.DUMMYFUNCTION("""COMPUTED_VALUE"""),4.202733791300001E8)</f>
        <v>420273379.1</v>
      </c>
      <c r="H112" s="14"/>
      <c r="I112" s="14" t="str">
        <f>IFERROR(__xludf.DUMMYFUNCTION("""COMPUTED_VALUE"""),"PRODUKSI")</f>
        <v>PRODUKSI</v>
      </c>
    </row>
    <row r="113">
      <c r="A113" s="13">
        <f>IFERROR(__xludf.DUMMYFUNCTION("""COMPUTED_VALUE"""),44937.0)</f>
        <v>44937</v>
      </c>
      <c r="B113" s="14" t="str">
        <f>IFERROR(__xludf.DUMMYFUNCTION("""COMPUTED_VALUE"""),"TRSF E-BANKING DB")</f>
        <v>TRSF E-BANKING DB</v>
      </c>
      <c r="C113" s="14" t="str">
        <f>IFERROR(__xludf.DUMMYFUNCTION("""COMPUTED_VALUE"""),"TRSF E-BANKING DB 1101/FTSCY/WS95011 64586730.00 pemb. kd syaiful h kdr BINTANG TAMA SANTO")</f>
        <v>TRSF E-BANKING DB 1101/FTSCY/WS95011 64586730.00 pemb. kd syaiful h kdr BINTANG TAMA SANTO</v>
      </c>
      <c r="D113" s="3">
        <f>IFERROR(__xludf.DUMMYFUNCTION("""COMPUTED_VALUE"""),6.458673E7)</f>
        <v>64586730</v>
      </c>
      <c r="E113" s="14"/>
      <c r="F113" s="14" t="str">
        <f>IFERROR(__xludf.DUMMYFUNCTION("""COMPUTED_VALUE"""),"DB")</f>
        <v>DB</v>
      </c>
      <c r="G113" s="3">
        <f>IFERROR(__xludf.DUMMYFUNCTION("""COMPUTED_VALUE"""),3.556866491300001E8)</f>
        <v>355686649.1</v>
      </c>
      <c r="H113" s="14">
        <f>IFERROR(__xludf.DUMMYFUNCTION("""COMPUTED_VALUE"""),3.5568664913E8)</f>
        <v>355686649.1</v>
      </c>
      <c r="I113" s="14" t="str">
        <f>IFERROR(__xludf.DUMMYFUNCTION("""COMPUTED_VALUE"""),"PRODUKSI")</f>
        <v>PRODUKSI</v>
      </c>
    </row>
    <row r="114">
      <c r="A114" s="13">
        <f>IFERROR(__xludf.DUMMYFUNCTION("""COMPUTED_VALUE"""),44938.0)</f>
        <v>44938</v>
      </c>
      <c r="B114" s="14" t="str">
        <f>IFERROR(__xludf.DUMMYFUNCTION("""COMPUTED_VALUE"""),"TRSF E-BANKING DB")</f>
        <v>TRSF E-BANKING DB</v>
      </c>
      <c r="C114" s="14" t="str">
        <f>IFERROR(__xludf.DUMMYFUNCTION("""COMPUTED_VALUE"""),"TRSF E-BANKING DB 1201/FTSCY/WS95031 8421950.00 pelunasan WIWIK NURHAYATI")</f>
        <v>TRSF E-BANKING DB 1201/FTSCY/WS95031 8421950.00 pelunasan WIWIK NURHAYATI</v>
      </c>
      <c r="D114" s="3">
        <f>IFERROR(__xludf.DUMMYFUNCTION("""COMPUTED_VALUE"""),8421950.0)</f>
        <v>8421950</v>
      </c>
      <c r="E114" s="14"/>
      <c r="F114" s="14" t="str">
        <f>IFERROR(__xludf.DUMMYFUNCTION("""COMPUTED_VALUE"""),"DB")</f>
        <v>DB</v>
      </c>
      <c r="G114" s="3">
        <f>IFERROR(__xludf.DUMMYFUNCTION("""COMPUTED_VALUE"""),4.659535991300001E8)</f>
        <v>465953599.1</v>
      </c>
      <c r="H114" s="14"/>
      <c r="I114" s="14" t="str">
        <f>IFERROR(__xludf.DUMMYFUNCTION("""COMPUTED_VALUE"""),"PRODUKSI")</f>
        <v>PRODUKSI</v>
      </c>
    </row>
    <row r="115">
      <c r="A115" s="13">
        <f>IFERROR(__xludf.DUMMYFUNCTION("""COMPUTED_VALUE"""),44938.0)</f>
        <v>44938</v>
      </c>
      <c r="B115" s="14" t="str">
        <f>IFERROR(__xludf.DUMMYFUNCTION("""COMPUTED_VALUE"""),"TRSF E-BANKING DB")</f>
        <v>TRSF E-BANKING DB</v>
      </c>
      <c r="C115" s="14" t="str">
        <f>IFERROR(__xludf.DUMMYFUNCTION("""COMPUTED_VALUE"""),"TRSF E-BANKING DB 1201/FTSCY/WS95031 48000000.00 probolinggo PITIK DIGITAL INDO")</f>
        <v>TRSF E-BANKING DB 1201/FTSCY/WS95031 48000000.00 probolinggo PITIK DIGITAL INDO</v>
      </c>
      <c r="D115" s="3">
        <f>IFERROR(__xludf.DUMMYFUNCTION("""COMPUTED_VALUE"""),4.8E7)</f>
        <v>48000000</v>
      </c>
      <c r="E115" s="14"/>
      <c r="F115" s="14" t="str">
        <f>IFERROR(__xludf.DUMMYFUNCTION("""COMPUTED_VALUE"""),"DB")</f>
        <v>DB</v>
      </c>
      <c r="G115" s="3">
        <f>IFERROR(__xludf.DUMMYFUNCTION("""COMPUTED_VALUE"""),4.179535991300001E8)</f>
        <v>417953599.1</v>
      </c>
      <c r="H115" s="14"/>
      <c r="I115" s="14" t="str">
        <f>IFERROR(__xludf.DUMMYFUNCTION("""COMPUTED_VALUE"""),"PRODUKSI")</f>
        <v>PRODUKSI</v>
      </c>
    </row>
    <row r="116">
      <c r="A116" s="13">
        <f>IFERROR(__xludf.DUMMYFUNCTION("""COMPUTED_VALUE"""),44938.0)</f>
        <v>44938</v>
      </c>
      <c r="B116" s="14" t="str">
        <f>IFERROR(__xludf.DUMMYFUNCTION("""COMPUTED_VALUE"""),"TRSF E-BANKING DB")</f>
        <v>TRSF E-BANKING DB</v>
      </c>
      <c r="C116" s="14" t="str">
        <f>IFERROR(__xludf.DUMMYFUNCTION("""COMPUTED_VALUE"""),"TRSF E-BANKING DB 1201/FTSCY/WS95271 51600000.00 pemb. kd andri bli tar ANUGERAH KARTIKA A")</f>
        <v>TRSF E-BANKING DB 1201/FTSCY/WS95271 51600000.00 pemb. kd andri bli tar ANUGERAH KARTIKA A</v>
      </c>
      <c r="D116" s="3">
        <f>IFERROR(__xludf.DUMMYFUNCTION("""COMPUTED_VALUE"""),5.16E7)</f>
        <v>51600000</v>
      </c>
      <c r="E116" s="14"/>
      <c r="F116" s="14" t="str">
        <f>IFERROR(__xludf.DUMMYFUNCTION("""COMPUTED_VALUE"""),"DB")</f>
        <v>DB</v>
      </c>
      <c r="G116" s="3">
        <f>IFERROR(__xludf.DUMMYFUNCTION("""COMPUTED_VALUE"""),3.651535991300001E8)</f>
        <v>365153599.1</v>
      </c>
      <c r="H116" s="14"/>
      <c r="I116" s="14" t="str">
        <f>IFERROR(__xludf.DUMMYFUNCTION("""COMPUTED_VALUE"""),"PRODUKSI")</f>
        <v>PRODUKSI</v>
      </c>
    </row>
    <row r="117">
      <c r="A117" s="13">
        <f>IFERROR(__xludf.DUMMYFUNCTION("""COMPUTED_VALUE"""),44938.0)</f>
        <v>44938</v>
      </c>
      <c r="B117" s="14" t="str">
        <f>IFERROR(__xludf.DUMMYFUNCTION("""COMPUTED_VALUE"""),"TRSF E-BANKING DB")</f>
        <v>TRSF E-BANKING DB</v>
      </c>
      <c r="C117" s="14" t="str">
        <f>IFERROR(__xludf.DUMMYFUNCTION("""COMPUTED_VALUE"""),"TRSF E-BANKING DB 1201/FTSCY/WS95271 42789600.00 pemb. kd kadek nga wi BROILER MAKMUR TAN")</f>
        <v>TRSF E-BANKING DB 1201/FTSCY/WS95271 42789600.00 pemb. kd kadek nga wi BROILER MAKMUR TAN</v>
      </c>
      <c r="D117" s="3">
        <f>IFERROR(__xludf.DUMMYFUNCTION("""COMPUTED_VALUE"""),4.27896E7)</f>
        <v>42789600</v>
      </c>
      <c r="E117" s="14"/>
      <c r="F117" s="14" t="str">
        <f>IFERROR(__xludf.DUMMYFUNCTION("""COMPUTED_VALUE"""),"DB")</f>
        <v>DB</v>
      </c>
      <c r="G117" s="3">
        <f>IFERROR(__xludf.DUMMYFUNCTION("""COMPUTED_VALUE"""),3.223639991300001E8)</f>
        <v>322363999.1</v>
      </c>
      <c r="H117" s="14"/>
      <c r="I117" s="14" t="str">
        <f>IFERROR(__xludf.DUMMYFUNCTION("""COMPUTED_VALUE"""),"PRODUKSI")</f>
        <v>PRODUKSI</v>
      </c>
    </row>
    <row r="118">
      <c r="A118" s="13">
        <f>IFERROR(__xludf.DUMMYFUNCTION("""COMPUTED_VALUE"""),44938.0)</f>
        <v>44938</v>
      </c>
      <c r="B118" s="14" t="str">
        <f>IFERROR(__xludf.DUMMYFUNCTION("""COMPUTED_VALUE"""),"TRSF E-BANKING DB")</f>
        <v>TRSF E-BANKING DB</v>
      </c>
      <c r="C118" s="14" t="str">
        <f>IFERROR(__xludf.DUMMYFUNCTION("""COMPUTED_VALUE"""),"TRSF E-BANKING DB 1201/FTSCY/WS95271 51000000.00 pemb. kd steffy jo mbang ANDALAN YASA MITRA")</f>
        <v>TRSF E-BANKING DB 1201/FTSCY/WS95271 51000000.00 pemb. kd steffy jo mbang ANDALAN YASA MITRA</v>
      </c>
      <c r="D118" s="3">
        <f>IFERROR(__xludf.DUMMYFUNCTION("""COMPUTED_VALUE"""),5.1E7)</f>
        <v>51000000</v>
      </c>
      <c r="E118" s="14"/>
      <c r="F118" s="14" t="str">
        <f>IFERROR(__xludf.DUMMYFUNCTION("""COMPUTED_VALUE"""),"DB")</f>
        <v>DB</v>
      </c>
      <c r="G118" s="3">
        <f>IFERROR(__xludf.DUMMYFUNCTION("""COMPUTED_VALUE"""),2.713639991300001E8)</f>
        <v>271363999.1</v>
      </c>
      <c r="H118" s="14"/>
      <c r="I118" s="14" t="str">
        <f>IFERROR(__xludf.DUMMYFUNCTION("""COMPUTED_VALUE"""),"PRODUKSI")</f>
        <v>PRODUKSI</v>
      </c>
    </row>
    <row r="119">
      <c r="A119" s="13">
        <f>IFERROR(__xludf.DUMMYFUNCTION("""COMPUTED_VALUE"""),44938.0)</f>
        <v>44938</v>
      </c>
      <c r="B119" s="14" t="str">
        <f>IFERROR(__xludf.DUMMYFUNCTION("""COMPUTED_VALUE"""),"TRSF E-BANKING DB")</f>
        <v>TRSF E-BANKING DB</v>
      </c>
      <c r="C119" s="14" t="str">
        <f>IFERROR(__xludf.DUMMYFUNCTION("""COMPUTED_VALUE"""),"TRSF E-BANKING DB 1201/FTSCY/WS95271 119000000.00 pemb. kd bromax pl umpang ANDALAN YASA MITRA")</f>
        <v>TRSF E-BANKING DB 1201/FTSCY/WS95271 119000000.00 pemb. kd bromax pl umpang ANDALAN YASA MITRA</v>
      </c>
      <c r="D119" s="3">
        <f>IFERROR(__xludf.DUMMYFUNCTION("""COMPUTED_VALUE"""),1.19E8)</f>
        <v>119000000</v>
      </c>
      <c r="E119" s="14"/>
      <c r="F119" s="14" t="str">
        <f>IFERROR(__xludf.DUMMYFUNCTION("""COMPUTED_VALUE"""),"DB")</f>
        <v>DB</v>
      </c>
      <c r="G119" s="3">
        <f>IFERROR(__xludf.DUMMYFUNCTION("""COMPUTED_VALUE"""),1.523639991300001E8)</f>
        <v>152363999.1</v>
      </c>
      <c r="H119" s="14"/>
      <c r="I119" s="14" t="str">
        <f>IFERROR(__xludf.DUMMYFUNCTION("""COMPUTED_VALUE"""),"PRODUKSI")</f>
        <v>PRODUKSI</v>
      </c>
    </row>
    <row r="120">
      <c r="A120" s="13">
        <f>IFERROR(__xludf.DUMMYFUNCTION("""COMPUTED_VALUE"""),44939.0)</f>
        <v>44939</v>
      </c>
      <c r="B120" s="14" t="str">
        <f>IFERROR(__xludf.DUMMYFUNCTION("""COMPUTED_VALUE"""),"TRSF E-BANKING DB TANGGAL :12/01")</f>
        <v>TRSF E-BANKING DB TANGGAL :12/01</v>
      </c>
      <c r="C120" s="14" t="str">
        <f>IFERROR(__xludf.DUMMYFUNCTION("""COMPUTED_VALUE"""),"TRSF E-BANKING DB TANGGAL :12/01 1201/FTSCY/WS95011 pemb. kd wonggo malang GANESHA SATRIA NUS")</f>
        <v>TRSF E-BANKING DB TANGGAL :12/01 1201/FTSCY/WS95011 pemb. kd wonggo malang GANESHA SATRIA NUS</v>
      </c>
      <c r="D120" s="3">
        <f>IFERROR(__xludf.DUMMYFUNCTION("""COMPUTED_VALUE"""),4.39275E7)</f>
        <v>43927500</v>
      </c>
      <c r="E120" s="14"/>
      <c r="F120" s="14" t="str">
        <f>IFERROR(__xludf.DUMMYFUNCTION("""COMPUTED_VALUE"""),"DB")</f>
        <v>DB</v>
      </c>
      <c r="G120" s="3">
        <f>IFERROR(__xludf.DUMMYFUNCTION("""COMPUTED_VALUE"""),8.766128291300001E8)</f>
        <v>876612829.1</v>
      </c>
      <c r="H120" s="14"/>
      <c r="I120" s="14" t="str">
        <f>IFERROR(__xludf.DUMMYFUNCTION("""COMPUTED_VALUE"""),"PRODUKSI")</f>
        <v>PRODUKSI</v>
      </c>
    </row>
    <row r="121">
      <c r="A121" s="13">
        <f>IFERROR(__xludf.DUMMYFUNCTION("""COMPUTED_VALUE"""),44939.0)</f>
        <v>44939</v>
      </c>
      <c r="B121" s="14" t="str">
        <f>IFERROR(__xludf.DUMMYFUNCTION("""COMPUTED_VALUE"""),"TRSF E-BANKING DB TANGGAL :12/01")</f>
        <v>TRSF E-BANKING DB TANGGAL :12/01</v>
      </c>
      <c r="C121" s="14" t="str">
        <f>IFERROR(__xludf.DUMMYFUNCTION("""COMPUTED_VALUE"""),"TRSF E-BANKING DB TANGGAL :12/01 1201/FTSCY/WS95011 tuban PITIK DIGITAL INDO")</f>
        <v>TRSF E-BANKING DB TANGGAL :12/01 1201/FTSCY/WS95011 tuban PITIK DIGITAL INDO</v>
      </c>
      <c r="D121" s="3">
        <f>IFERROR(__xludf.DUMMYFUNCTION("""COMPUTED_VALUE"""),1.4750575E8)</f>
        <v>147505750</v>
      </c>
      <c r="E121" s="14"/>
      <c r="F121" s="14" t="str">
        <f>IFERROR(__xludf.DUMMYFUNCTION("""COMPUTED_VALUE"""),"DB")</f>
        <v>DB</v>
      </c>
      <c r="G121" s="3">
        <f>IFERROR(__xludf.DUMMYFUNCTION("""COMPUTED_VALUE"""),7.291070791300001E8)</f>
        <v>729107079.1</v>
      </c>
      <c r="H121" s="14"/>
      <c r="I121" s="14" t="str">
        <f>IFERROR(__xludf.DUMMYFUNCTION("""COMPUTED_VALUE"""),"PRODUKSI")</f>
        <v>PRODUKSI</v>
      </c>
    </row>
    <row r="122">
      <c r="A122" s="13">
        <f>IFERROR(__xludf.DUMMYFUNCTION("""COMPUTED_VALUE"""),44939.0)</f>
        <v>44939</v>
      </c>
      <c r="B122" s="14" t="str">
        <f>IFERROR(__xludf.DUMMYFUNCTION("""COMPUTED_VALUE"""),"TRSF E-BANKING DB TANGGAL :12/01")</f>
        <v>TRSF E-BANKING DB TANGGAL :12/01</v>
      </c>
      <c r="C122" s="14" t="str">
        <f>IFERROR(__xludf.DUMMYFUNCTION("""COMPUTED_VALUE"""),"TRSF E-BANKING DB TANGGAL :12/01 1201/FTSCY/WS95011 jombang PITIK DIGITAL INDO")</f>
        <v>TRSF E-BANKING DB TANGGAL :12/01 1201/FTSCY/WS95011 jombang PITIK DIGITAL INDO</v>
      </c>
      <c r="D122" s="3">
        <f>IFERROR(__xludf.DUMMYFUNCTION("""COMPUTED_VALUE"""),5.1E7)</f>
        <v>51000000</v>
      </c>
      <c r="E122" s="14"/>
      <c r="F122" s="14" t="str">
        <f>IFERROR(__xludf.DUMMYFUNCTION("""COMPUTED_VALUE"""),"DB")</f>
        <v>DB</v>
      </c>
      <c r="G122" s="3">
        <f>IFERROR(__xludf.DUMMYFUNCTION("""COMPUTED_VALUE"""),6.781070791300001E8)</f>
        <v>678107079.1</v>
      </c>
      <c r="H122" s="14"/>
      <c r="I122" s="14" t="str">
        <f>IFERROR(__xludf.DUMMYFUNCTION("""COMPUTED_VALUE"""),"PRODUKSI")</f>
        <v>PRODUKSI</v>
      </c>
    </row>
    <row r="123">
      <c r="A123" s="13">
        <f>IFERROR(__xludf.DUMMYFUNCTION("""COMPUTED_VALUE"""),44939.0)</f>
        <v>44939</v>
      </c>
      <c r="B123" s="14" t="str">
        <f>IFERROR(__xludf.DUMMYFUNCTION("""COMPUTED_VALUE"""),"TRSF E-BANKING DB TANGGAL :12/01")</f>
        <v>TRSF E-BANKING DB TANGGAL :12/01</v>
      </c>
      <c r="C123" s="14" t="str">
        <f>IFERROR(__xludf.DUMMYFUNCTION("""COMPUTED_VALUE"""),"TRSF E-BANKING DB TANGGAL :12/01 1201/FTSCY/WS95011 probolinggo PITIK DIGITAL INDO")</f>
        <v>TRSF E-BANKING DB TANGGAL :12/01 1201/FTSCY/WS95011 probolinggo PITIK DIGITAL INDO</v>
      </c>
      <c r="D123" s="3">
        <f>IFERROR(__xludf.DUMMYFUNCTION("""COMPUTED_VALUE"""),6.32485E7)</f>
        <v>63248500</v>
      </c>
      <c r="E123" s="14"/>
      <c r="F123" s="14" t="str">
        <f>IFERROR(__xludf.DUMMYFUNCTION("""COMPUTED_VALUE"""),"DB")</f>
        <v>DB</v>
      </c>
      <c r="G123" s="3">
        <f>IFERROR(__xludf.DUMMYFUNCTION("""COMPUTED_VALUE"""),6.148585791300001E8)</f>
        <v>614858579.1</v>
      </c>
      <c r="H123" s="14"/>
      <c r="I123" s="14" t="str">
        <f>IFERROR(__xludf.DUMMYFUNCTION("""COMPUTED_VALUE"""),"PRODUKSI")</f>
        <v>PRODUKSI</v>
      </c>
    </row>
    <row r="124">
      <c r="A124" s="13">
        <f>IFERROR(__xludf.DUMMYFUNCTION("""COMPUTED_VALUE"""),44939.0)</f>
        <v>44939</v>
      </c>
      <c r="B124" s="14" t="str">
        <f>IFERROR(__xludf.DUMMYFUNCTION("""COMPUTED_VALUE"""),"TRSF E-BANKING DB TANGGAL :12/01")</f>
        <v>TRSF E-BANKING DB TANGGAL :12/01</v>
      </c>
      <c r="C124" s="14" t="str">
        <f>IFERROR(__xludf.DUMMYFUNCTION("""COMPUTED_VALUE"""),"TRSF E-BANKING DB TANGGAL :12/01 1201/FTSCY/WS95011 pelunasan SUPER UNGGAS JAYA")</f>
        <v>TRSF E-BANKING DB TANGGAL :12/01 1201/FTSCY/WS95011 pelunasan SUPER UNGGAS JAYA</v>
      </c>
      <c r="D124" s="3">
        <f>IFERROR(__xludf.DUMMYFUNCTION("""COMPUTED_VALUE"""),1.1574784E8)</f>
        <v>115747840</v>
      </c>
      <c r="E124" s="14"/>
      <c r="F124" s="14" t="str">
        <f>IFERROR(__xludf.DUMMYFUNCTION("""COMPUTED_VALUE"""),"DB")</f>
        <v>DB</v>
      </c>
      <c r="G124" s="3">
        <f>IFERROR(__xludf.DUMMYFUNCTION("""COMPUTED_VALUE"""),4.991107391300001E8)</f>
        <v>499110739.1</v>
      </c>
      <c r="H124" s="14"/>
      <c r="I124" s="14" t="str">
        <f>IFERROR(__xludf.DUMMYFUNCTION("""COMPUTED_VALUE"""),"PRODUKSI")</f>
        <v>PRODUKSI</v>
      </c>
    </row>
    <row r="125">
      <c r="A125" s="13">
        <f>IFERROR(__xludf.DUMMYFUNCTION("""COMPUTED_VALUE"""),44939.0)</f>
        <v>44939</v>
      </c>
      <c r="B125" s="14" t="str">
        <f>IFERROR(__xludf.DUMMYFUNCTION("""COMPUTED_VALUE"""),"TRSF E-BANKING DB TANGGAL :12/01")</f>
        <v>TRSF E-BANKING DB TANGGAL :12/01</v>
      </c>
      <c r="C125" s="14" t="str">
        <f>IFERROR(__xludf.DUMMYFUNCTION("""COMPUTED_VALUE"""),"TRSF E-BANKING DB TANGGAL :12/01 1201/FTSCY/WS95011 pemb. farm sugeng RUKUN MITRA BERSAM")</f>
        <v>TRSF E-BANKING DB TANGGAL :12/01 1201/FTSCY/WS95011 pemb. farm sugeng RUKUN MITRA BERSAM</v>
      </c>
      <c r="D125" s="3">
        <f>IFERROR(__xludf.DUMMYFUNCTION("""COMPUTED_VALUE"""),5.95E7)</f>
        <v>59500000</v>
      </c>
      <c r="E125" s="14"/>
      <c r="F125" s="14" t="str">
        <f>IFERROR(__xludf.DUMMYFUNCTION("""COMPUTED_VALUE"""),"DB")</f>
        <v>DB</v>
      </c>
      <c r="G125" s="3">
        <f>IFERROR(__xludf.DUMMYFUNCTION("""COMPUTED_VALUE"""),4.396107391300001E8)</f>
        <v>439610739.1</v>
      </c>
      <c r="H125" s="14"/>
      <c r="I125" s="14" t="str">
        <f>IFERROR(__xludf.DUMMYFUNCTION("""COMPUTED_VALUE"""),"PRODUKSI")</f>
        <v>PRODUKSI</v>
      </c>
    </row>
    <row r="126">
      <c r="A126" s="13">
        <f>IFERROR(__xludf.DUMMYFUNCTION("""COMPUTED_VALUE"""),44939.0)</f>
        <v>44939</v>
      </c>
      <c r="B126" s="14" t="str">
        <f>IFERROR(__xludf.DUMMYFUNCTION("""COMPUTED_VALUE"""),"TRSF E-BANKING DB")</f>
        <v>TRSF E-BANKING DB</v>
      </c>
      <c r="C126" s="14" t="str">
        <f>IFERROR(__xludf.DUMMYFUNCTION("""COMPUTED_VALUE"""),"TRSF E-BANKING DB 1301/FTSCY/WS95031 48600000.00 kd anik handayani jbr TERNAK SEJATI TABA")</f>
        <v>TRSF E-BANKING DB 1301/FTSCY/WS95031 48600000.00 kd anik handayani jbr TERNAK SEJATI TABA</v>
      </c>
      <c r="D126" s="3">
        <f>IFERROR(__xludf.DUMMYFUNCTION("""COMPUTED_VALUE"""),4.86E7)</f>
        <v>48600000</v>
      </c>
      <c r="E126" s="14"/>
      <c r="F126" s="14" t="str">
        <f>IFERROR(__xludf.DUMMYFUNCTION("""COMPUTED_VALUE"""),"DB")</f>
        <v>DB</v>
      </c>
      <c r="G126" s="3">
        <f>IFERROR(__xludf.DUMMYFUNCTION("""COMPUTED_VALUE"""),3.910107391300001E8)</f>
        <v>391010739.1</v>
      </c>
      <c r="H126" s="14"/>
      <c r="I126" s="14" t="str">
        <f>IFERROR(__xludf.DUMMYFUNCTION("""COMPUTED_VALUE"""),"PRODUKSI")</f>
        <v>PRODUKSI</v>
      </c>
    </row>
    <row r="127">
      <c r="A127" s="13">
        <f>IFERROR(__xludf.DUMMYFUNCTION("""COMPUTED_VALUE"""),44939.0)</f>
        <v>44939</v>
      </c>
      <c r="B127" s="14" t="str">
        <f>IFERROR(__xludf.DUMMYFUNCTION("""COMPUTED_VALUE"""),"TRSF E-BANKING DB")</f>
        <v>TRSF E-BANKING DB</v>
      </c>
      <c r="C127" s="14" t="str">
        <f>IFERROR(__xludf.DUMMYFUNCTION("""COMPUTED_VALUE"""),"TRSF E-BANKING DB 1301/FTSCY/WS95271 98651000.00 malang PITIK DIGITAL INDO")</f>
        <v>TRSF E-BANKING DB 1301/FTSCY/WS95271 98651000.00 malang PITIK DIGITAL INDO</v>
      </c>
      <c r="D127" s="3">
        <f>IFERROR(__xludf.DUMMYFUNCTION("""COMPUTED_VALUE"""),9.8651E7)</f>
        <v>98651000</v>
      </c>
      <c r="E127" s="14"/>
      <c r="F127" s="14" t="str">
        <f>IFERROR(__xludf.DUMMYFUNCTION("""COMPUTED_VALUE"""),"DB")</f>
        <v>DB</v>
      </c>
      <c r="G127" s="3">
        <f>IFERROR(__xludf.DUMMYFUNCTION("""COMPUTED_VALUE"""),2.923597391300001E8)</f>
        <v>292359739.1</v>
      </c>
      <c r="H127" s="14"/>
      <c r="I127" s="14" t="str">
        <f>IFERROR(__xludf.DUMMYFUNCTION("""COMPUTED_VALUE"""),"PRODUKSI")</f>
        <v>PRODUKSI</v>
      </c>
    </row>
    <row r="128">
      <c r="A128" s="13">
        <f>IFERROR(__xludf.DUMMYFUNCTION("""COMPUTED_VALUE"""),44939.0)</f>
        <v>44939</v>
      </c>
      <c r="B128" s="14" t="str">
        <f>IFERROR(__xludf.DUMMYFUNCTION("""COMPUTED_VALUE"""),"TRSF E-BANKING DB")</f>
        <v>TRSF E-BANKING DB</v>
      </c>
      <c r="C128" s="14" t="str">
        <f>IFERROR(__xludf.DUMMYFUNCTION("""COMPUTED_VALUE"""),"TRSF E-BANKING DB 1301/FTSCY/WS95271 54816400.00 tulung agung PITIK DIGITAL INDO")</f>
        <v>TRSF E-BANKING DB 1301/FTSCY/WS95271 54816400.00 tulung agung PITIK DIGITAL INDO</v>
      </c>
      <c r="D128" s="3">
        <f>IFERROR(__xludf.DUMMYFUNCTION("""COMPUTED_VALUE"""),5.48164E7)</f>
        <v>54816400</v>
      </c>
      <c r="E128" s="14"/>
      <c r="F128" s="14" t="str">
        <f>IFERROR(__xludf.DUMMYFUNCTION("""COMPUTED_VALUE"""),"DB")</f>
        <v>DB</v>
      </c>
      <c r="G128" s="3">
        <f>IFERROR(__xludf.DUMMYFUNCTION("""COMPUTED_VALUE"""),2.375433391300001E8)</f>
        <v>237543339.1</v>
      </c>
      <c r="H128" s="14"/>
      <c r="I128" s="14" t="str">
        <f>IFERROR(__xludf.DUMMYFUNCTION("""COMPUTED_VALUE"""),"PRODUKSI")</f>
        <v>PRODUKSI</v>
      </c>
    </row>
    <row r="129">
      <c r="A129" s="13">
        <f>IFERROR(__xludf.DUMMYFUNCTION("""COMPUTED_VALUE"""),44939.0)</f>
        <v>44939</v>
      </c>
      <c r="B129" s="14" t="str">
        <f>IFERROR(__xludf.DUMMYFUNCTION("""COMPUTED_VALUE"""),"TRSF E-BANKING DB")</f>
        <v>TRSF E-BANKING DB</v>
      </c>
      <c r="C129" s="14" t="str">
        <f>IFERROR(__xludf.DUMMYFUNCTION("""COMPUTED_VALUE"""),"TRSF E-BANKING DB 1301/FTSCY/WS95271 40118400.00 kd santoso magetan BINTANG TAMA SANTO")</f>
        <v>TRSF E-BANKING DB 1301/FTSCY/WS95271 40118400.00 kd santoso magetan BINTANG TAMA SANTO</v>
      </c>
      <c r="D129" s="3">
        <f>IFERROR(__xludf.DUMMYFUNCTION("""COMPUTED_VALUE"""),4.01184E7)</f>
        <v>40118400</v>
      </c>
      <c r="E129" s="14"/>
      <c r="F129" s="14" t="str">
        <f>IFERROR(__xludf.DUMMYFUNCTION("""COMPUTED_VALUE"""),"DB")</f>
        <v>DB</v>
      </c>
      <c r="G129" s="3">
        <f>IFERROR(__xludf.DUMMYFUNCTION("""COMPUTED_VALUE"""),1.974249391300001E8)</f>
        <v>197424939.1</v>
      </c>
      <c r="H129" s="14"/>
      <c r="I129" s="14" t="str">
        <f>IFERROR(__xludf.DUMMYFUNCTION("""COMPUTED_VALUE"""),"PRODUKSI")</f>
        <v>PRODUKSI</v>
      </c>
    </row>
    <row r="130">
      <c r="A130" s="13">
        <f>IFERROR(__xludf.DUMMYFUNCTION("""COMPUTED_VALUE"""),44939.0)</f>
        <v>44939</v>
      </c>
      <c r="B130" s="14" t="str">
        <f>IFERROR(__xludf.DUMMYFUNCTION("""COMPUTED_VALUE"""),"TRSF E-BANKING DB")</f>
        <v>TRSF E-BANKING DB</v>
      </c>
      <c r="C130" s="14" t="str">
        <f>IFERROR(__xludf.DUMMYFUNCTION("""COMPUTED_VALUE"""),"TRSF E-BANKING DB 1301/FTSCY/WS95271 48107200.00 pemb. kd budi susa nto ngawi BINTANG TAMA SANTO")</f>
        <v>TRSF E-BANKING DB 1301/FTSCY/WS95271 48107200.00 pemb. kd budi susa nto ngawi BINTANG TAMA SANTO</v>
      </c>
      <c r="D130" s="3">
        <f>IFERROR(__xludf.DUMMYFUNCTION("""COMPUTED_VALUE"""),4.81072E7)</f>
        <v>48107200</v>
      </c>
      <c r="E130" s="14"/>
      <c r="F130" s="14" t="str">
        <f>IFERROR(__xludf.DUMMYFUNCTION("""COMPUTED_VALUE"""),"DB")</f>
        <v>DB</v>
      </c>
      <c r="G130" s="3">
        <f>IFERROR(__xludf.DUMMYFUNCTION("""COMPUTED_VALUE"""),1.493177391300001E8)</f>
        <v>149317739.1</v>
      </c>
      <c r="H130" s="14"/>
      <c r="I130" s="14" t="str">
        <f>IFERROR(__xludf.DUMMYFUNCTION("""COMPUTED_VALUE"""),"PRODUKSI")</f>
        <v>PRODUKSI</v>
      </c>
    </row>
    <row r="131">
      <c r="A131" s="13">
        <f>IFERROR(__xludf.DUMMYFUNCTION("""COMPUTED_VALUE"""),44939.0)</f>
        <v>44939</v>
      </c>
      <c r="B131" s="14" t="str">
        <f>IFERROR(__xludf.DUMMYFUNCTION("""COMPUTED_VALUE"""),"TRSF E-BANKING DB")</f>
        <v>TRSF E-BANKING DB</v>
      </c>
      <c r="C131" s="14" t="str">
        <f>IFERROR(__xludf.DUMMYFUNCTION("""COMPUTED_VALUE"""),"TRSF E-BANKING DB 1301/FTSCY/WS95011 49514850.00 pemb. kd febri kdr BROILER MAKMUR TAN")</f>
        <v>TRSF E-BANKING DB 1301/FTSCY/WS95011 49514850.00 pemb. kd febri kdr BROILER MAKMUR TAN</v>
      </c>
      <c r="D131" s="3">
        <f>IFERROR(__xludf.DUMMYFUNCTION("""COMPUTED_VALUE"""),4.951485E7)</f>
        <v>49514850</v>
      </c>
      <c r="E131" s="14"/>
      <c r="F131" s="14" t="str">
        <f>IFERROR(__xludf.DUMMYFUNCTION("""COMPUTED_VALUE"""),"DB")</f>
        <v>DB</v>
      </c>
      <c r="G131" s="3">
        <f>IFERROR(__xludf.DUMMYFUNCTION("""COMPUTED_VALUE"""),9.980288913000011E7)</f>
        <v>99802889.13</v>
      </c>
      <c r="H131" s="14"/>
      <c r="I131" s="14" t="str">
        <f>IFERROR(__xludf.DUMMYFUNCTION("""COMPUTED_VALUE"""),"PRODUKSI")</f>
        <v>PRODUKSI</v>
      </c>
    </row>
    <row r="132">
      <c r="A132" s="13">
        <f>IFERROR(__xludf.DUMMYFUNCTION("""COMPUTED_VALUE"""),44939.0)</f>
        <v>44939</v>
      </c>
      <c r="B132" s="14" t="str">
        <f>IFERROR(__xludf.DUMMYFUNCTION("""COMPUTED_VALUE"""),"TRSF E-BANKING DB")</f>
        <v>TRSF E-BANKING DB</v>
      </c>
      <c r="C132" s="14" t="str">
        <f>IFERROR(__xludf.DUMMYFUNCTION("""COMPUTED_VALUE"""),"TRSF E-BANKING DB 1301/FTSCY/WS95011 88502000.00 pemb. kd anton jombang BINTANG TAMA SANTO")</f>
        <v>TRSF E-BANKING DB 1301/FTSCY/WS95011 88502000.00 pemb. kd anton jombang BINTANG TAMA SANTO</v>
      </c>
      <c r="D132" s="3">
        <f>IFERROR(__xludf.DUMMYFUNCTION("""COMPUTED_VALUE"""),8.8502E7)</f>
        <v>88502000</v>
      </c>
      <c r="E132" s="14"/>
      <c r="F132" s="14" t="str">
        <f>IFERROR(__xludf.DUMMYFUNCTION("""COMPUTED_VALUE"""),"DB")</f>
        <v>DB</v>
      </c>
      <c r="G132" s="3">
        <f>IFERROR(__xludf.DUMMYFUNCTION("""COMPUTED_VALUE"""),1.1300889130000114E7)</f>
        <v>11300889.13</v>
      </c>
      <c r="H132" s="14"/>
      <c r="I132" s="14" t="str">
        <f>IFERROR(__xludf.DUMMYFUNCTION("""COMPUTED_VALUE"""),"PRODUKSI")</f>
        <v>PRODUKSI</v>
      </c>
    </row>
    <row r="133">
      <c r="A133" s="13">
        <f>IFERROR(__xludf.DUMMYFUNCTION("""COMPUTED_VALUE"""),44939.0)</f>
        <v>44939</v>
      </c>
      <c r="B133" s="14" t="str">
        <f>IFERROR(__xludf.DUMMYFUNCTION("""COMPUTED_VALUE"""),"TRSF E-BANKING DB")</f>
        <v>TRSF E-BANKING DB</v>
      </c>
      <c r="C133" s="14" t="str">
        <f>IFERROR(__xludf.DUMMYFUNCTION("""COMPUTED_VALUE"""),"TRSF E-BANKING DB 1301/FTSCY/WS95031 17395800.00 pemb. lokal kd joh nni mlg SUPER UNGGAS JAYA")</f>
        <v>TRSF E-BANKING DB 1301/FTSCY/WS95031 17395800.00 pemb. lokal kd joh nni mlg SUPER UNGGAS JAYA</v>
      </c>
      <c r="D133" s="3">
        <f>IFERROR(__xludf.DUMMYFUNCTION("""COMPUTED_VALUE"""),1.73958E7)</f>
        <v>17395800</v>
      </c>
      <c r="E133" s="14"/>
      <c r="F133" s="14" t="str">
        <f>IFERROR(__xludf.DUMMYFUNCTION("""COMPUTED_VALUE"""),"DB")</f>
        <v>DB</v>
      </c>
      <c r="G133" s="3">
        <f>IFERROR(__xludf.DUMMYFUNCTION("""COMPUTED_VALUE"""),8505089.130000114)</f>
        <v>8505089.13</v>
      </c>
      <c r="H133" s="14"/>
      <c r="I133" s="14" t="str">
        <f>IFERROR(__xludf.DUMMYFUNCTION("""COMPUTED_VALUE"""),"PRODUKSI")</f>
        <v>PRODUKSI</v>
      </c>
    </row>
    <row r="134">
      <c r="A134" s="13">
        <f>IFERROR(__xludf.DUMMYFUNCTION("""COMPUTED_VALUE"""),44939.0)</f>
        <v>44939</v>
      </c>
      <c r="B134" s="14" t="str">
        <f>IFERROR(__xludf.DUMMYFUNCTION("""COMPUTED_VALUE"""),"TRSF E-BANKING DB")</f>
        <v>TRSF E-BANKING DB</v>
      </c>
      <c r="C134" s="14" t="str">
        <f>IFERROR(__xludf.DUMMYFUNCTION("""COMPUTED_VALUE"""),"TRSF E-BANKING DB 1301/FTSCY/WS95011 57750000.00 kd lince ngawi GUNA MITRA SEHAT P")</f>
        <v>TRSF E-BANKING DB 1301/FTSCY/WS95011 57750000.00 kd lince ngawi GUNA MITRA SEHAT P</v>
      </c>
      <c r="D134" s="3">
        <f>IFERROR(__xludf.DUMMYFUNCTION("""COMPUTED_VALUE"""),5.775E7)</f>
        <v>57750000</v>
      </c>
      <c r="E134" s="14"/>
      <c r="F134" s="14" t="str">
        <f>IFERROR(__xludf.DUMMYFUNCTION("""COMPUTED_VALUE"""),"DB")</f>
        <v>DB</v>
      </c>
      <c r="G134" s="3">
        <f>IFERROR(__xludf.DUMMYFUNCTION("""COMPUTED_VALUE"""),5.050168891300001E8)</f>
        <v>505016889.1</v>
      </c>
      <c r="H134" s="14"/>
      <c r="I134" s="14" t="str">
        <f>IFERROR(__xludf.DUMMYFUNCTION("""COMPUTED_VALUE"""),"PRODUKSI")</f>
        <v>PRODUKSI</v>
      </c>
    </row>
    <row r="135">
      <c r="A135" s="13">
        <f>IFERROR(__xludf.DUMMYFUNCTION("""COMPUTED_VALUE"""),44939.0)</f>
        <v>44939</v>
      </c>
      <c r="B135" s="14" t="str">
        <f>IFERROR(__xludf.DUMMYFUNCTION("""COMPUTED_VALUE"""),"TRSF E-BANKING DB")</f>
        <v>TRSF E-BANKING DB</v>
      </c>
      <c r="C135" s="14" t="str">
        <f>IFERROR(__xludf.DUMMYFUNCTION("""COMPUTED_VALUE"""),"TRSF E-BANKING DB 1301/FTSCY/WS95011 213939150.00 pelunasan CV SURYA INTI TERN")</f>
        <v>TRSF E-BANKING DB 1301/FTSCY/WS95011 213939150.00 pelunasan CV SURYA INTI TERN</v>
      </c>
      <c r="D135" s="3">
        <f>IFERROR(__xludf.DUMMYFUNCTION("""COMPUTED_VALUE"""),2.1393915E8)</f>
        <v>213939150</v>
      </c>
      <c r="E135" s="14"/>
      <c r="F135" s="14" t="str">
        <f>IFERROR(__xludf.DUMMYFUNCTION("""COMPUTED_VALUE"""),"DB")</f>
        <v>DB</v>
      </c>
      <c r="G135" s="3">
        <f>IFERROR(__xludf.DUMMYFUNCTION("""COMPUTED_VALUE"""),2.910777391300001E8)</f>
        <v>291077739.1</v>
      </c>
      <c r="H135" s="14"/>
      <c r="I135" s="14" t="str">
        <f>IFERROR(__xludf.DUMMYFUNCTION("""COMPUTED_VALUE"""),"PRODUKSI")</f>
        <v>PRODUKSI</v>
      </c>
    </row>
    <row r="136">
      <c r="A136" s="13">
        <f>IFERROR(__xludf.DUMMYFUNCTION("""COMPUTED_VALUE"""),44939.0)</f>
        <v>44939</v>
      </c>
      <c r="B136" s="14" t="str">
        <f>IFERROR(__xludf.DUMMYFUNCTION("""COMPUTED_VALUE"""),"TRSF E-BANKING DB")</f>
        <v>TRSF E-BANKING DB</v>
      </c>
      <c r="C136" s="14" t="str">
        <f>IFERROR(__xludf.DUMMYFUNCTION("""COMPUTED_VALUE"""),"TRSF E-BANKING DB 1301/FTSCY/WS95011 49580500.00 pemb. kd sukarmi magetan RUKUN MITRA BERSAM")</f>
        <v>TRSF E-BANKING DB 1301/FTSCY/WS95011 49580500.00 pemb. kd sukarmi magetan RUKUN MITRA BERSAM</v>
      </c>
      <c r="D136" s="3">
        <f>IFERROR(__xludf.DUMMYFUNCTION("""COMPUTED_VALUE"""),4.95805E7)</f>
        <v>49580500</v>
      </c>
      <c r="E136" s="14"/>
      <c r="F136" s="14" t="str">
        <f>IFERROR(__xludf.DUMMYFUNCTION("""COMPUTED_VALUE"""),"DB")</f>
        <v>DB</v>
      </c>
      <c r="G136" s="3">
        <f>IFERROR(__xludf.DUMMYFUNCTION("""COMPUTED_VALUE"""),2.414972391300001E8)</f>
        <v>241497239.1</v>
      </c>
      <c r="H136" s="14"/>
      <c r="I136" s="14" t="str">
        <f>IFERROR(__xludf.DUMMYFUNCTION("""COMPUTED_VALUE"""),"PRODUKSI")</f>
        <v>PRODUKSI</v>
      </c>
    </row>
    <row r="137">
      <c r="A137" s="13">
        <f>IFERROR(__xludf.DUMMYFUNCTION("""COMPUTED_VALUE"""),44939.0)</f>
        <v>44939</v>
      </c>
      <c r="B137" s="14" t="str">
        <f>IFERROR(__xludf.DUMMYFUNCTION("""COMPUTED_VALUE"""),"TRSF E-BANKING DB")</f>
        <v>TRSF E-BANKING DB</v>
      </c>
      <c r="C137" s="14" t="str">
        <f>IFERROR(__xludf.DUMMYFUNCTION("""COMPUTED_VALUE"""),"TRSF E-BANKING DB 1301/FTSCY/WS95011 40184650.00 pemb. kd purnomo kdr PT BERLIAN INDOMIT")</f>
        <v>TRSF E-BANKING DB 1301/FTSCY/WS95011 40184650.00 pemb. kd purnomo kdr PT BERLIAN INDOMIT</v>
      </c>
      <c r="D137" s="3">
        <f>IFERROR(__xludf.DUMMYFUNCTION("""COMPUTED_VALUE"""),4.018465E7)</f>
        <v>40184650</v>
      </c>
      <c r="E137" s="14"/>
      <c r="F137" s="14" t="str">
        <f>IFERROR(__xludf.DUMMYFUNCTION("""COMPUTED_VALUE"""),"DB")</f>
        <v>DB</v>
      </c>
      <c r="G137" s="3">
        <f>IFERROR(__xludf.DUMMYFUNCTION("""COMPUTED_VALUE"""),2.013125891300001E8)</f>
        <v>201312589.1</v>
      </c>
      <c r="H137" s="14"/>
      <c r="I137" s="14" t="str">
        <f>IFERROR(__xludf.DUMMYFUNCTION("""COMPUTED_VALUE"""),"PRODUKSI")</f>
        <v>PRODUKSI</v>
      </c>
    </row>
    <row r="138">
      <c r="A138" s="13">
        <f>IFERROR(__xludf.DUMMYFUNCTION("""COMPUTED_VALUE"""),44939.0)</f>
        <v>44939</v>
      </c>
      <c r="B138" s="14" t="str">
        <f>IFERROR(__xludf.DUMMYFUNCTION("""COMPUTED_VALUE"""),"TRSF E-BANKING DB")</f>
        <v>TRSF E-BANKING DB</v>
      </c>
      <c r="C138" s="14" t="str">
        <f>IFERROR(__xludf.DUMMYFUNCTION("""COMPUTED_VALUE"""),"TRSF E-BANKING DB 1301/FTSCY/WS95271 11000000.00 pelunasan kd purno mo kediri PT BERLIAN INDOMIT")</f>
        <v>TRSF E-BANKING DB 1301/FTSCY/WS95271 11000000.00 pelunasan kd purno mo kediri PT BERLIAN INDOMIT</v>
      </c>
      <c r="D138" s="3">
        <f>IFERROR(__xludf.DUMMYFUNCTION("""COMPUTED_VALUE"""),1.1E7)</f>
        <v>11000000</v>
      </c>
      <c r="E138" s="14"/>
      <c r="F138" s="14" t="str">
        <f>IFERROR(__xludf.DUMMYFUNCTION("""COMPUTED_VALUE"""),"DB")</f>
        <v>DB</v>
      </c>
      <c r="G138" s="3">
        <f>IFERROR(__xludf.DUMMYFUNCTION("""COMPUTED_VALUE"""),1.903125891300001E8)</f>
        <v>190312589.1</v>
      </c>
      <c r="H138" s="14"/>
      <c r="I138" s="14" t="str">
        <f>IFERROR(__xludf.DUMMYFUNCTION("""COMPUTED_VALUE"""),"PRODUKSI")</f>
        <v>PRODUKSI</v>
      </c>
    </row>
    <row r="139">
      <c r="A139" s="13">
        <f>IFERROR(__xludf.DUMMYFUNCTION("""COMPUTED_VALUE"""),44939.0)</f>
        <v>44939</v>
      </c>
      <c r="B139" s="14" t="str">
        <f>IFERROR(__xludf.DUMMYFUNCTION("""COMPUTED_VALUE"""),"TRSF E-BANKING DB")</f>
        <v>TRSF E-BANKING DB</v>
      </c>
      <c r="C139" s="14" t="str">
        <f>IFERROR(__xludf.DUMMYFUNCTION("""COMPUTED_VALUE"""),"TRSF E-BANKING DB 1301/FTSCY/WS95271 45700000.00 kd supriadi nganju k BROILER MAKMUR TAN")</f>
        <v>TRSF E-BANKING DB 1301/FTSCY/WS95271 45700000.00 kd supriadi nganju k BROILER MAKMUR TAN</v>
      </c>
      <c r="D139" s="3">
        <f>IFERROR(__xludf.DUMMYFUNCTION("""COMPUTED_VALUE"""),4.57E7)</f>
        <v>45700000</v>
      </c>
      <c r="E139" s="14"/>
      <c r="F139" s="14" t="str">
        <f>IFERROR(__xludf.DUMMYFUNCTION("""COMPUTED_VALUE"""),"DB")</f>
        <v>DB</v>
      </c>
      <c r="G139" s="3">
        <f>IFERROR(__xludf.DUMMYFUNCTION("""COMPUTED_VALUE"""),1.446125891300001E8)</f>
        <v>144612589.1</v>
      </c>
      <c r="H139" s="14"/>
      <c r="I139" s="14" t="str">
        <f>IFERROR(__xludf.DUMMYFUNCTION("""COMPUTED_VALUE"""),"PRODUKSI")</f>
        <v>PRODUKSI</v>
      </c>
    </row>
    <row r="140">
      <c r="A140" s="13">
        <f>IFERROR(__xludf.DUMMYFUNCTION("""COMPUTED_VALUE"""),44939.0)</f>
        <v>44939</v>
      </c>
      <c r="B140" s="14" t="str">
        <f>IFERROR(__xludf.DUMMYFUNCTION("""COMPUTED_VALUE"""),"TRSF E-BANKING DB")</f>
        <v>TRSF E-BANKING DB</v>
      </c>
      <c r="C140" s="14" t="str">
        <f>IFERROR(__xludf.DUMMYFUNCTION("""COMPUTED_VALUE"""),"TRSF E-BANKING DB 1301/FTSCY/WS95031 5000000.00 pelunasan kd supri adi nganjuk BROILER MAKMUR TAN")</f>
        <v>TRSF E-BANKING DB 1301/FTSCY/WS95031 5000000.00 pelunasan kd supri adi nganjuk BROILER MAKMUR TAN</v>
      </c>
      <c r="D140" s="3">
        <f>IFERROR(__xludf.DUMMYFUNCTION("""COMPUTED_VALUE"""),5000000.0)</f>
        <v>5000000</v>
      </c>
      <c r="E140" s="14"/>
      <c r="F140" s="14" t="str">
        <f>IFERROR(__xludf.DUMMYFUNCTION("""COMPUTED_VALUE"""),"DB")</f>
        <v>DB</v>
      </c>
      <c r="G140" s="3">
        <f>IFERROR(__xludf.DUMMYFUNCTION("""COMPUTED_VALUE"""),1.396125891300001E8)</f>
        <v>139612589.1</v>
      </c>
      <c r="H140" s="14"/>
      <c r="I140" s="14" t="str">
        <f>IFERROR(__xludf.DUMMYFUNCTION("""COMPUTED_VALUE"""),"PRODUKSI")</f>
        <v>PRODUKSI</v>
      </c>
    </row>
    <row r="141">
      <c r="A141" s="13">
        <f>IFERROR(__xludf.DUMMYFUNCTION("""COMPUTED_VALUE"""),44940.0)</f>
        <v>44940</v>
      </c>
      <c r="B141" s="14" t="str">
        <f>IFERROR(__xludf.DUMMYFUNCTION("""COMPUTED_VALUE"""),"TRSF E-BANKING DB")</f>
        <v>TRSF E-BANKING DB</v>
      </c>
      <c r="C141" s="14" t="str">
        <f>IFERROR(__xludf.DUMMYFUNCTION("""COMPUTED_VALUE"""),"TRSF E-BANKING DB 1401/FTSCY/WS95271 113414650.00 pemb  12/01 GANESHA SATRIA NUS")</f>
        <v>TRSF E-BANKING DB 1401/FTSCY/WS95271 113414650.00 pemb  12/01 GANESHA SATRIA NUS</v>
      </c>
      <c r="D141" s="3">
        <f>IFERROR(__xludf.DUMMYFUNCTION("""COMPUTED_VALUE"""),1.1341465E8)</f>
        <v>113414650</v>
      </c>
      <c r="E141" s="14"/>
      <c r="F141" s="14" t="str">
        <f>IFERROR(__xludf.DUMMYFUNCTION("""COMPUTED_VALUE"""),"DB")</f>
        <v>DB</v>
      </c>
      <c r="G141" s="3">
        <f>IFERROR(__xludf.DUMMYFUNCTION("""COMPUTED_VALUE"""),2.365298591300001E8)</f>
        <v>236529859.1</v>
      </c>
      <c r="H141" s="14"/>
      <c r="I141" s="14" t="str">
        <f>IFERROR(__xludf.DUMMYFUNCTION("""COMPUTED_VALUE"""),"PRODUKSI")</f>
        <v>PRODUKSI</v>
      </c>
    </row>
    <row r="142">
      <c r="A142" s="13">
        <f>IFERROR(__xludf.DUMMYFUNCTION("""COMPUTED_VALUE"""),44940.0)</f>
        <v>44940</v>
      </c>
      <c r="B142" s="14" t="str">
        <f>IFERROR(__xludf.DUMMYFUNCTION("""COMPUTED_VALUE"""),"TRSF E-BANKING DB")</f>
        <v>TRSF E-BANKING DB</v>
      </c>
      <c r="C142" s="14" t="str">
        <f>IFERROR(__xludf.DUMMYFUNCTION("""COMPUTED_VALUE"""),"TRSF E-BANKING DB 1401/FTSCY/WS95271 96000000.00 pemb. kd rama pasu ruan ANDALAN YASA MITRA")</f>
        <v>TRSF E-BANKING DB 1401/FTSCY/WS95271 96000000.00 pemb. kd rama pasu ruan ANDALAN YASA MITRA</v>
      </c>
      <c r="D142" s="3">
        <f>IFERROR(__xludf.DUMMYFUNCTION("""COMPUTED_VALUE"""),9.6E7)</f>
        <v>96000000</v>
      </c>
      <c r="E142" s="14"/>
      <c r="F142" s="14" t="str">
        <f>IFERROR(__xludf.DUMMYFUNCTION("""COMPUTED_VALUE"""),"DB")</f>
        <v>DB</v>
      </c>
      <c r="G142" s="3">
        <f>IFERROR(__xludf.DUMMYFUNCTION("""COMPUTED_VALUE"""),1.405298591300001E8)</f>
        <v>140529859.1</v>
      </c>
      <c r="H142" s="14"/>
      <c r="I142" s="14" t="str">
        <f>IFERROR(__xludf.DUMMYFUNCTION("""COMPUTED_VALUE"""),"PRODUKSI")</f>
        <v>PRODUKSI</v>
      </c>
    </row>
    <row r="143">
      <c r="A143" s="13">
        <f>IFERROR(__xludf.DUMMYFUNCTION("""COMPUTED_VALUE"""),44940.0)</f>
        <v>44940</v>
      </c>
      <c r="B143" s="14" t="str">
        <f>IFERROR(__xludf.DUMMYFUNCTION("""COMPUTED_VALUE"""),"TRSF E-BANKING DB")</f>
        <v>TRSF E-BANKING DB</v>
      </c>
      <c r="C143" s="14" t="str">
        <f>IFERROR(__xludf.DUMMYFUNCTION("""COMPUTED_VALUE"""),"TRSF E-BANKING DB 1401/FTSCY/WS95271 46760000.00 tulung agung PITIK DIGITAL INDO")</f>
        <v>TRSF E-BANKING DB 1401/FTSCY/WS95271 46760000.00 tulung agung PITIK DIGITAL INDO</v>
      </c>
      <c r="D143" s="3">
        <f>IFERROR(__xludf.DUMMYFUNCTION("""COMPUTED_VALUE"""),4.676E7)</f>
        <v>46760000</v>
      </c>
      <c r="E143" s="14"/>
      <c r="F143" s="14" t="str">
        <f>IFERROR(__xludf.DUMMYFUNCTION("""COMPUTED_VALUE"""),"DB")</f>
        <v>DB</v>
      </c>
      <c r="G143" s="3">
        <f>IFERROR(__xludf.DUMMYFUNCTION("""COMPUTED_VALUE"""),9.376985913000011E7)</f>
        <v>93769859.13</v>
      </c>
      <c r="H143" s="14"/>
      <c r="I143" s="14" t="str">
        <f>IFERROR(__xludf.DUMMYFUNCTION("""COMPUTED_VALUE"""),"PRODUKSI")</f>
        <v>PRODUKSI</v>
      </c>
    </row>
    <row r="144">
      <c r="A144" s="13">
        <f>IFERROR(__xludf.DUMMYFUNCTION("""COMPUTED_VALUE"""),44940.0)</f>
        <v>44940</v>
      </c>
      <c r="B144" s="14" t="str">
        <f>IFERROR(__xludf.DUMMYFUNCTION("""COMPUTED_VALUE"""),"TRSF E-BANKING DB")</f>
        <v>TRSF E-BANKING DB</v>
      </c>
      <c r="C144" s="14" t="str">
        <f>IFERROR(__xludf.DUMMYFUNCTION("""COMPUTED_VALUE"""),"TRSF E-BANKING DB 1401/FTSCY/WS95031 44929300.00 pemb. kd alif kedi ri BINTANG TAMA SANTO")</f>
        <v>TRSF E-BANKING DB 1401/FTSCY/WS95031 44929300.00 pemb. kd alif kedi ri BINTANG TAMA SANTO</v>
      </c>
      <c r="D144" s="3">
        <f>IFERROR(__xludf.DUMMYFUNCTION("""COMPUTED_VALUE"""),4.49293E7)</f>
        <v>44929300</v>
      </c>
      <c r="E144" s="14"/>
      <c r="F144" s="14" t="str">
        <f>IFERROR(__xludf.DUMMYFUNCTION("""COMPUTED_VALUE"""),"DB")</f>
        <v>DB</v>
      </c>
      <c r="G144" s="3">
        <f>IFERROR(__xludf.DUMMYFUNCTION("""COMPUTED_VALUE"""),4.8840559130000114E7)</f>
        <v>48840559.13</v>
      </c>
      <c r="H144" s="14"/>
      <c r="I144" s="14" t="str">
        <f>IFERROR(__xludf.DUMMYFUNCTION("""COMPUTED_VALUE"""),"PRODUKSI")</f>
        <v>PRODUKSI</v>
      </c>
    </row>
    <row r="145">
      <c r="A145" s="13">
        <f>IFERROR(__xludf.DUMMYFUNCTION("""COMPUTED_VALUE"""),44940.0)</f>
        <v>44940</v>
      </c>
      <c r="B145" s="14" t="str">
        <f>IFERROR(__xludf.DUMMYFUNCTION("""COMPUTED_VALUE"""),"TRSF E-BANKING DB")</f>
        <v>TRSF E-BANKING DB</v>
      </c>
      <c r="C145" s="14" t="str">
        <f>IFERROR(__xludf.DUMMYFUNCTION("""COMPUTED_VALUE"""),"TRSF E-BANKING DB 1401/FTSCY/WS95031 275550.00 pelunasan GUNA MITRA SEHAT P")</f>
        <v>TRSF E-BANKING DB 1401/FTSCY/WS95031 275550.00 pelunasan GUNA MITRA SEHAT P</v>
      </c>
      <c r="D145" s="3">
        <f>IFERROR(__xludf.DUMMYFUNCTION("""COMPUTED_VALUE"""),275550.0)</f>
        <v>275550</v>
      </c>
      <c r="E145" s="14"/>
      <c r="F145" s="14" t="str">
        <f>IFERROR(__xludf.DUMMYFUNCTION("""COMPUTED_VALUE"""),"DB")</f>
        <v>DB</v>
      </c>
      <c r="G145" s="3">
        <f>IFERROR(__xludf.DUMMYFUNCTION("""COMPUTED_VALUE"""),6.601432791300001E8)</f>
        <v>660143279.1</v>
      </c>
      <c r="H145" s="14"/>
      <c r="I145" s="14" t="str">
        <f>IFERROR(__xludf.DUMMYFUNCTION("""COMPUTED_VALUE"""),"PRODUKSI")</f>
        <v>PRODUKSI</v>
      </c>
    </row>
    <row r="146">
      <c r="A146" s="13">
        <f>IFERROR(__xludf.DUMMYFUNCTION("""COMPUTED_VALUE"""),44940.0)</f>
        <v>44940</v>
      </c>
      <c r="B146" s="14" t="str">
        <f>IFERROR(__xludf.DUMMYFUNCTION("""COMPUTED_VALUE"""),"BI-FAST DB")</f>
        <v>BI-FAST DB</v>
      </c>
      <c r="C146" s="14" t="str">
        <f>IFERROR(__xludf.DUMMYFUNCTION("""COMPUTED_VALUE"""),"BI-FAST DB BIF TRANSFER KE 8 SUGENG HARIYANTO M-BCA")</f>
        <v>BI-FAST DB BIF TRANSFER KE 8 SUGENG HARIYANTO M-BCA</v>
      </c>
      <c r="D146" s="3">
        <f>IFERROR(__xludf.DUMMYFUNCTION("""COMPUTED_VALUE"""),3200000.0)</f>
        <v>3200000</v>
      </c>
      <c r="E146" s="14"/>
      <c r="F146" s="14" t="str">
        <f>IFERROR(__xludf.DUMMYFUNCTION("""COMPUTED_VALUE"""),"DB")</f>
        <v>DB</v>
      </c>
      <c r="G146" s="3">
        <f>IFERROR(__xludf.DUMMYFUNCTION("""COMPUTED_VALUE"""),6.569432791300001E8)</f>
        <v>656943279.1</v>
      </c>
      <c r="H146" s="14"/>
      <c r="I146" s="14" t="str">
        <f>IFERROR(__xludf.DUMMYFUNCTION("""COMPUTED_VALUE"""),"PRODUKSI")</f>
        <v>PRODUKSI</v>
      </c>
    </row>
    <row r="147">
      <c r="A147" s="13">
        <f>IFERROR(__xludf.DUMMYFUNCTION("""COMPUTED_VALUE"""),44940.0)</f>
        <v>44940</v>
      </c>
      <c r="B147" s="14" t="str">
        <f>IFERROR(__xludf.DUMMYFUNCTION("""COMPUTED_VALUE"""),"TRSF E-BANKING DB")</f>
        <v>TRSF E-BANKING DB</v>
      </c>
      <c r="C147" s="14" t="str">
        <f>IFERROR(__xludf.DUMMYFUNCTION("""COMPUTED_VALUE"""),"TRSF E-BANKING DB 1401/FTSCY/WS95011 45710400.00 pemb. kd jalal 2 blora TUMBUH OPTIMAL PRI")</f>
        <v>TRSF E-BANKING DB 1401/FTSCY/WS95011 45710400.00 pemb. kd jalal 2 blora TUMBUH OPTIMAL PRI</v>
      </c>
      <c r="D147" s="3">
        <f>IFERROR(__xludf.DUMMYFUNCTION("""COMPUTED_VALUE"""),4.57104E7)</f>
        <v>45710400</v>
      </c>
      <c r="E147" s="14"/>
      <c r="F147" s="14" t="str">
        <f>IFERROR(__xludf.DUMMYFUNCTION("""COMPUTED_VALUE"""),"DB")</f>
        <v>DB</v>
      </c>
      <c r="G147" s="3">
        <f>IFERROR(__xludf.DUMMYFUNCTION("""COMPUTED_VALUE"""),6.125303791300001E8)</f>
        <v>612530379.1</v>
      </c>
      <c r="H147" s="14"/>
      <c r="I147" s="14" t="str">
        <f>IFERROR(__xludf.DUMMYFUNCTION("""COMPUTED_VALUE"""),"PRODUKSI")</f>
        <v>PRODUKSI</v>
      </c>
    </row>
    <row r="148">
      <c r="A148" s="13">
        <f>IFERROR(__xludf.DUMMYFUNCTION("""COMPUTED_VALUE"""),44940.0)</f>
        <v>44940</v>
      </c>
      <c r="B148" s="14" t="str">
        <f>IFERROR(__xludf.DUMMYFUNCTION("""COMPUTED_VALUE"""),"TRSF E-BANKING DB")</f>
        <v>TRSF E-BANKING DB</v>
      </c>
      <c r="C148" s="14" t="str">
        <f>IFERROR(__xludf.DUMMYFUNCTION("""COMPUTED_VALUE"""),"TRSF E-BANKING DB 1401/FTSCY/WS95011 98373000.00 12/01 lunas BROILER MAKMUR TAN")</f>
        <v>TRSF E-BANKING DB 1401/FTSCY/WS95011 98373000.00 12/01 lunas BROILER MAKMUR TAN</v>
      </c>
      <c r="D148" s="3">
        <f>IFERROR(__xludf.DUMMYFUNCTION("""COMPUTED_VALUE"""),9.8373E7)</f>
        <v>98373000</v>
      </c>
      <c r="E148" s="14"/>
      <c r="F148" s="14" t="str">
        <f>IFERROR(__xludf.DUMMYFUNCTION("""COMPUTED_VALUE"""),"DB")</f>
        <v>DB</v>
      </c>
      <c r="G148" s="3">
        <f>IFERROR(__xludf.DUMMYFUNCTION("""COMPUTED_VALUE"""),5.303216891300001E8)</f>
        <v>530321689.1</v>
      </c>
      <c r="H148" s="14"/>
      <c r="I148" s="14" t="str">
        <f>IFERROR(__xludf.DUMMYFUNCTION("""COMPUTED_VALUE"""),"PRODUKSI")</f>
        <v>PRODUKSI</v>
      </c>
    </row>
    <row r="149">
      <c r="A149" s="13">
        <f>IFERROR(__xludf.DUMMYFUNCTION("""COMPUTED_VALUE"""),44940.0)</f>
        <v>44940</v>
      </c>
      <c r="B149" s="14" t="str">
        <f>IFERROR(__xludf.DUMMYFUNCTION("""COMPUTED_VALUE"""),"TRSF E-BANKING DB")</f>
        <v>TRSF E-BANKING DB</v>
      </c>
      <c r="C149" s="14" t="str">
        <f>IFERROR(__xludf.DUMMYFUNCTION("""COMPUTED_VALUE"""),"TRSF E-BANKING DB 1401/FTSCY/WS95011 48207250.00 pemb. 13/01 ANUGERAH KARTIKA A")</f>
        <v>TRSF E-BANKING DB 1401/FTSCY/WS95011 48207250.00 pemb. 13/01 ANUGERAH KARTIKA A</v>
      </c>
      <c r="D149" s="3">
        <f>IFERROR(__xludf.DUMMYFUNCTION("""COMPUTED_VALUE"""),4.820725E7)</f>
        <v>48207250</v>
      </c>
      <c r="E149" s="14"/>
      <c r="F149" s="14" t="str">
        <f>IFERROR(__xludf.DUMMYFUNCTION("""COMPUTED_VALUE"""),"DB")</f>
        <v>DB</v>
      </c>
      <c r="G149" s="3">
        <f>IFERROR(__xludf.DUMMYFUNCTION("""COMPUTED_VALUE"""),4.821144391300001E8)</f>
        <v>482114439.1</v>
      </c>
      <c r="H149" s="14"/>
      <c r="I149" s="14" t="str">
        <f>IFERROR(__xludf.DUMMYFUNCTION("""COMPUTED_VALUE"""),"PRODUKSI")</f>
        <v>PRODUKSI</v>
      </c>
    </row>
    <row r="150">
      <c r="A150" s="13">
        <f>IFERROR(__xludf.DUMMYFUNCTION("""COMPUTED_VALUE"""),44940.0)</f>
        <v>44940</v>
      </c>
      <c r="B150" s="14" t="str">
        <f>IFERROR(__xludf.DUMMYFUNCTION("""COMPUTED_VALUE"""),"TRSF E-BANKING DB")</f>
        <v>TRSF E-BANKING DB</v>
      </c>
      <c r="C150" s="14" t="str">
        <f>IFERROR(__xludf.DUMMYFUNCTION("""COMPUTED_VALUE"""),"TRSF E-BANKING DB 1401/FTSCY/WS95011 51000000.00 tuban PITIK DIGITAL INDO")</f>
        <v>TRSF E-BANKING DB 1401/FTSCY/WS95011 51000000.00 tuban PITIK DIGITAL INDO</v>
      </c>
      <c r="D150" s="3">
        <f>IFERROR(__xludf.DUMMYFUNCTION("""COMPUTED_VALUE"""),5.1E7)</f>
        <v>51000000</v>
      </c>
      <c r="E150" s="14"/>
      <c r="F150" s="14" t="str">
        <f>IFERROR(__xludf.DUMMYFUNCTION("""COMPUTED_VALUE"""),"DB")</f>
        <v>DB</v>
      </c>
      <c r="G150" s="3">
        <f>IFERROR(__xludf.DUMMYFUNCTION("""COMPUTED_VALUE"""),4.311144391300001E8)</f>
        <v>431114439.1</v>
      </c>
      <c r="H150" s="14"/>
      <c r="I150" s="14" t="str">
        <f>IFERROR(__xludf.DUMMYFUNCTION("""COMPUTED_VALUE"""),"PRODUKSI")</f>
        <v>PRODUKSI</v>
      </c>
    </row>
    <row r="151">
      <c r="A151" s="13">
        <f>IFERROR(__xludf.DUMMYFUNCTION("""COMPUTED_VALUE"""),44940.0)</f>
        <v>44940</v>
      </c>
      <c r="B151" s="14" t="str">
        <f>IFERROR(__xludf.DUMMYFUNCTION("""COMPUTED_VALUE"""),"TRSF E-BANKING DB")</f>
        <v>TRSF E-BANKING DB</v>
      </c>
      <c r="C151" s="14" t="str">
        <f>IFERROR(__xludf.DUMMYFUNCTION("""COMPUTED_VALUE"""),"TRSF E-BANKING DB 1401/FTSCY/WS95011 239244000.00 pelunasan SUPER UNGGAS JAYA")</f>
        <v>TRSF E-BANKING DB 1401/FTSCY/WS95011 239244000.00 pelunasan SUPER UNGGAS JAYA</v>
      </c>
      <c r="D151" s="3">
        <f>IFERROR(__xludf.DUMMYFUNCTION("""COMPUTED_VALUE"""),2.39244E8)</f>
        <v>239244000</v>
      </c>
      <c r="E151" s="14"/>
      <c r="F151" s="14" t="str">
        <f>IFERROR(__xludf.DUMMYFUNCTION("""COMPUTED_VALUE"""),"DB")</f>
        <v>DB</v>
      </c>
      <c r="G151" s="3">
        <f>IFERROR(__xludf.DUMMYFUNCTION("""COMPUTED_VALUE"""),1.918704391300001E8)</f>
        <v>191870439.1</v>
      </c>
      <c r="H151" s="14"/>
      <c r="I151" s="14" t="str">
        <f>IFERROR(__xludf.DUMMYFUNCTION("""COMPUTED_VALUE"""),"PRODUKSI")</f>
        <v>PRODUKSI</v>
      </c>
    </row>
    <row r="152">
      <c r="A152" s="13">
        <f>IFERROR(__xludf.DUMMYFUNCTION("""COMPUTED_VALUE"""),44941.0)</f>
        <v>44941</v>
      </c>
      <c r="B152" s="14" t="str">
        <f>IFERROR(__xludf.DUMMYFUNCTION("""COMPUTED_VALUE"""),"TRSF E-BANKING DB")</f>
        <v>TRSF E-BANKING DB</v>
      </c>
      <c r="C152" s="14" t="str">
        <f>IFERROR(__xludf.DUMMYFUNCTION("""COMPUTED_VALUE"""),"TRSF E-BANKING DB 1501/FTSCY/WS95031 92093400.00 13.01 lunas GANESHA SATRIA NUS")</f>
        <v>TRSF E-BANKING DB 1501/FTSCY/WS95031 92093400.00 13.01 lunas GANESHA SATRIA NUS</v>
      </c>
      <c r="D152" s="3">
        <f>IFERROR(__xludf.DUMMYFUNCTION("""COMPUTED_VALUE"""),9.20934E7)</f>
        <v>92093400</v>
      </c>
      <c r="E152" s="14"/>
      <c r="F152" s="14" t="str">
        <f>IFERROR(__xludf.DUMMYFUNCTION("""COMPUTED_VALUE"""),"DB")</f>
        <v>DB</v>
      </c>
      <c r="G152" s="3">
        <f>IFERROR(__xludf.DUMMYFUNCTION("""COMPUTED_VALUE"""),9.445254913000011E7)</f>
        <v>94452549.13</v>
      </c>
      <c r="H152" s="14">
        <f>IFERROR(__xludf.DUMMYFUNCTION("""COMPUTED_VALUE"""),9.445254913E7)</f>
        <v>94452549.13</v>
      </c>
      <c r="I152" s="14" t="str">
        <f>IFERROR(__xludf.DUMMYFUNCTION("""COMPUTED_VALUE"""),"PRODUKSI")</f>
        <v>PRODUKSI</v>
      </c>
    </row>
    <row r="153">
      <c r="A153" s="13">
        <f>IFERROR(__xludf.DUMMYFUNCTION("""COMPUTED_VALUE"""),44941.0)</f>
        <v>44941</v>
      </c>
      <c r="B153" s="14" t="str">
        <f>IFERROR(__xludf.DUMMYFUNCTION("""COMPUTED_VALUE"""),"TRSF E-BANKING DB")</f>
        <v>TRSF E-BANKING DB</v>
      </c>
      <c r="C153" s="14" t="str">
        <f>IFERROR(__xludf.DUMMYFUNCTION("""COMPUTED_VALUE"""),"TRSF E-BANKING DB 1501/FTSCY/WS95271 42758400.00 kd chotib jombang ANDALAN YASA MITRA")</f>
        <v>TRSF E-BANKING DB 1501/FTSCY/WS95271 42758400.00 kd chotib jombang ANDALAN YASA MITRA</v>
      </c>
      <c r="D153" s="3">
        <f>IFERROR(__xludf.DUMMYFUNCTION("""COMPUTED_VALUE"""),4.27584E7)</f>
        <v>42758400</v>
      </c>
      <c r="E153" s="14"/>
      <c r="F153" s="14" t="str">
        <f>IFERROR(__xludf.DUMMYFUNCTION("""COMPUTED_VALUE"""),"DB")</f>
        <v>DB</v>
      </c>
      <c r="G153" s="3">
        <f>IFERROR(__xludf.DUMMYFUNCTION("""COMPUTED_VALUE"""),5.1694149130000114E7)</f>
        <v>51694149.13</v>
      </c>
      <c r="H153" s="14"/>
      <c r="I153" s="14" t="str">
        <f>IFERROR(__xludf.DUMMYFUNCTION("""COMPUTED_VALUE"""),"PRODUKSI")</f>
        <v>PRODUKSI</v>
      </c>
    </row>
    <row r="154">
      <c r="A154" s="13">
        <f>IFERROR(__xludf.DUMMYFUNCTION("""COMPUTED_VALUE"""),44941.0)</f>
        <v>44941</v>
      </c>
      <c r="B154" s="14" t="str">
        <f>IFERROR(__xludf.DUMMYFUNCTION("""COMPUTED_VALUE"""),"TRSF E-BANKING DB")</f>
        <v>TRSF E-BANKING DB</v>
      </c>
      <c r="C154" s="14" t="str">
        <f>IFERROR(__xludf.DUMMYFUNCTION("""COMPUTED_VALUE"""),"TRSF E-BANKING DB 1501/FTSCY/WS95271 46500000.00 pembm kd ekam D ml g ANDALAN YASA MITRA")</f>
        <v>TRSF E-BANKING DB 1501/FTSCY/WS95271 46500000.00 pembm kd ekam D ml g ANDALAN YASA MITRA</v>
      </c>
      <c r="D154" s="3">
        <f>IFERROR(__xludf.DUMMYFUNCTION("""COMPUTED_VALUE"""),4.65E7)</f>
        <v>46500000</v>
      </c>
      <c r="E154" s="14"/>
      <c r="F154" s="14" t="str">
        <f>IFERROR(__xludf.DUMMYFUNCTION("""COMPUTED_VALUE"""),"DB")</f>
        <v>DB</v>
      </c>
      <c r="G154" s="3">
        <f>IFERROR(__xludf.DUMMYFUNCTION("""COMPUTED_VALUE"""),5194149.130000114)</f>
        <v>5194149.13</v>
      </c>
      <c r="H154" s="14"/>
      <c r="I154" s="14" t="str">
        <f>IFERROR(__xludf.DUMMYFUNCTION("""COMPUTED_VALUE"""),"PRODUKSI")</f>
        <v>PRODUKSI</v>
      </c>
    </row>
    <row r="155">
      <c r="A155" s="13">
        <f>IFERROR(__xludf.DUMMYFUNCTION("""COMPUTED_VALUE"""),44941.0)</f>
        <v>44941</v>
      </c>
      <c r="B155" s="14" t="str">
        <f>IFERROR(__xludf.DUMMYFUNCTION("""COMPUTED_VALUE"""),"TRSF E-BANKING DB")</f>
        <v>TRSF E-BANKING DB</v>
      </c>
      <c r="C155" s="14" t="str">
        <f>IFERROR(__xludf.DUMMYFUNCTION("""COMPUTED_VALUE"""),"TRSF E-BANKING DB 1501/FTSCY/WS95271 30000000.00 titip SUGENG RIADI")</f>
        <v>TRSF E-BANKING DB 1501/FTSCY/WS95271 30000000.00 titip SUGENG RIADI</v>
      </c>
      <c r="D155" s="3">
        <f>IFERROR(__xludf.DUMMYFUNCTION("""COMPUTED_VALUE"""),3.0E7)</f>
        <v>30000000</v>
      </c>
      <c r="E155" s="14"/>
      <c r="F155" s="14" t="str">
        <f>IFERROR(__xludf.DUMMYFUNCTION("""COMPUTED_VALUE"""),"DB")</f>
        <v>DB</v>
      </c>
      <c r="G155" s="3">
        <f>IFERROR(__xludf.DUMMYFUNCTION("""COMPUTED_VALUE"""),7.858634913000011E7)</f>
        <v>78586349.13</v>
      </c>
      <c r="H155" s="14"/>
      <c r="I155" s="14" t="str">
        <f>IFERROR(__xludf.DUMMYFUNCTION("""COMPUTED_VALUE"""),"PRODUKSI")</f>
        <v>PRODUKSI</v>
      </c>
    </row>
    <row r="156">
      <c r="A156" s="13">
        <f>IFERROR(__xludf.DUMMYFUNCTION("""COMPUTED_VALUE"""),44942.0)</f>
        <v>44942</v>
      </c>
      <c r="B156" s="14" t="str">
        <f>IFERROR(__xludf.DUMMYFUNCTION("""COMPUTED_VALUE"""),"TRSF E-BANKING DB TANGGAL :15/01")</f>
        <v>TRSF E-BANKING DB TANGGAL :15/01</v>
      </c>
      <c r="C156" s="14" t="str">
        <f>IFERROR(__xludf.DUMMYFUNCTION("""COMPUTED_VALUE"""),"TRSF E-BANKING DB TANGGAL :15/01 1501/FTSCY/WS95271 probolinggo PITIK DIGITAL INDO")</f>
        <v>TRSF E-BANKING DB TANGGAL :15/01 1501/FTSCY/WS95271 probolinggo PITIK DIGITAL INDO</v>
      </c>
      <c r="D156" s="3">
        <f>IFERROR(__xludf.DUMMYFUNCTION("""COMPUTED_VALUE"""),1.5358952E8)</f>
        <v>153589520</v>
      </c>
      <c r="E156" s="14"/>
      <c r="F156" s="14" t="str">
        <f>IFERROR(__xludf.DUMMYFUNCTION("""COMPUTED_VALUE"""),"DB")</f>
        <v>DB</v>
      </c>
      <c r="G156" s="3">
        <f>IFERROR(__xludf.DUMMYFUNCTION("""COMPUTED_VALUE"""),8.499682913000011E7)</f>
        <v>84996829.13</v>
      </c>
      <c r="H156" s="14"/>
      <c r="I156" s="14" t="str">
        <f>IFERROR(__xludf.DUMMYFUNCTION("""COMPUTED_VALUE"""),"PRODUKSI")</f>
        <v>PRODUKSI</v>
      </c>
    </row>
    <row r="157">
      <c r="A157" s="13">
        <f>IFERROR(__xludf.DUMMYFUNCTION("""COMPUTED_VALUE"""),44942.0)</f>
        <v>44942</v>
      </c>
      <c r="B157" s="14" t="str">
        <f>IFERROR(__xludf.DUMMYFUNCTION("""COMPUTED_VALUE"""),"TRSF E-BANKING DB")</f>
        <v>TRSF E-BANKING DB</v>
      </c>
      <c r="C157" s="14" t="str">
        <f>IFERROR(__xludf.DUMMYFUNCTION("""COMPUTED_VALUE"""),"TRSF E-BANKING DB 1601/FTSCY/WS95031 80952200.00 pemb. kd fatihatus lamongan ANUGERAH KARTIKA A")</f>
        <v>TRSF E-BANKING DB 1601/FTSCY/WS95031 80952200.00 pemb. kd fatihatus lamongan ANUGERAH KARTIKA A</v>
      </c>
      <c r="D157" s="3">
        <f>IFERROR(__xludf.DUMMYFUNCTION("""COMPUTED_VALUE"""),8.09522E7)</f>
        <v>80952200</v>
      </c>
      <c r="E157" s="14"/>
      <c r="F157" s="14" t="str">
        <f>IFERROR(__xludf.DUMMYFUNCTION("""COMPUTED_VALUE"""),"DB")</f>
        <v>DB</v>
      </c>
      <c r="G157" s="3">
        <f>IFERROR(__xludf.DUMMYFUNCTION("""COMPUTED_VALUE"""),3944629.1300001144)</f>
        <v>3944629.13</v>
      </c>
      <c r="H157" s="14"/>
      <c r="I157" s="14" t="str">
        <f>IFERROR(__xludf.DUMMYFUNCTION("""COMPUTED_VALUE"""),"PRODUKSI")</f>
        <v>PRODUKSI</v>
      </c>
    </row>
    <row r="158">
      <c r="A158" s="13">
        <f>IFERROR(__xludf.DUMMYFUNCTION("""COMPUTED_VALUE"""),44942.0)</f>
        <v>44942</v>
      </c>
      <c r="B158" s="14" t="str">
        <f>IFERROR(__xludf.DUMMYFUNCTION("""COMPUTED_VALUE"""),"TRSF E-BANKING DB")</f>
        <v>TRSF E-BANKING DB</v>
      </c>
      <c r="C158" s="14" t="str">
        <f>IFERROR(__xludf.DUMMYFUNCTION("""COMPUTED_VALUE"""),"TRSF E-BANKING DB 1601/FTSCY/WS95031 16321500.00 kd sabri jember WIWIK NURHAYATI")</f>
        <v>TRSF E-BANKING DB 1601/FTSCY/WS95031 16321500.00 kd sabri jember WIWIK NURHAYATI</v>
      </c>
      <c r="D158" s="3">
        <f>IFERROR(__xludf.DUMMYFUNCTION("""COMPUTED_VALUE"""),1.63215E7)</f>
        <v>16321500</v>
      </c>
      <c r="E158" s="14"/>
      <c r="F158" s="14" t="str">
        <f>IFERROR(__xludf.DUMMYFUNCTION("""COMPUTED_VALUE"""),"DB")</f>
        <v>DB</v>
      </c>
      <c r="G158" s="3">
        <f>IFERROR(__xludf.DUMMYFUNCTION("""COMPUTED_VALUE"""),2.474421751300001E8)</f>
        <v>247442175.1</v>
      </c>
      <c r="H158" s="14"/>
      <c r="I158" s="14" t="str">
        <f>IFERROR(__xludf.DUMMYFUNCTION("""COMPUTED_VALUE"""),"PRODUKSI")</f>
        <v>PRODUKSI</v>
      </c>
    </row>
    <row r="159">
      <c r="A159" s="13">
        <f>IFERROR(__xludf.DUMMYFUNCTION("""COMPUTED_VALUE"""),44942.0)</f>
        <v>44942</v>
      </c>
      <c r="B159" s="14" t="str">
        <f>IFERROR(__xludf.DUMMYFUNCTION("""COMPUTED_VALUE"""),"TRSF E-BANKING DB")</f>
        <v>TRSF E-BANKING DB</v>
      </c>
      <c r="C159" s="14" t="str">
        <f>IFERROR(__xludf.DUMMYFUNCTION("""COMPUTED_VALUE"""),"TRSF E-BANKING DB 1601/FTSCY/WS95271 49500000.00 pemb. kd alif kepu ng kdr BINTANG TAMA SANTO")</f>
        <v>TRSF E-BANKING DB 1601/FTSCY/WS95271 49500000.00 pemb. kd alif kepu ng kdr BINTANG TAMA SANTO</v>
      </c>
      <c r="D159" s="3">
        <f>IFERROR(__xludf.DUMMYFUNCTION("""COMPUTED_VALUE"""),4.95E7)</f>
        <v>49500000</v>
      </c>
      <c r="E159" s="14"/>
      <c r="F159" s="14" t="str">
        <f>IFERROR(__xludf.DUMMYFUNCTION("""COMPUTED_VALUE"""),"DB")</f>
        <v>DB</v>
      </c>
      <c r="G159" s="3">
        <f>IFERROR(__xludf.DUMMYFUNCTION("""COMPUTED_VALUE"""),2.970880751300001E8)</f>
        <v>297088075.1</v>
      </c>
      <c r="H159" s="14"/>
      <c r="I159" s="14" t="str">
        <f>IFERROR(__xludf.DUMMYFUNCTION("""COMPUTED_VALUE"""),"PRODUKSI")</f>
        <v>PRODUKSI</v>
      </c>
    </row>
    <row r="160">
      <c r="A160" s="13">
        <f>IFERROR(__xludf.DUMMYFUNCTION("""COMPUTED_VALUE"""),44942.0)</f>
        <v>44942</v>
      </c>
      <c r="B160" s="14" t="str">
        <f>IFERROR(__xludf.DUMMYFUNCTION("""COMPUTED_VALUE"""),"TRSF E-BANKING DB")</f>
        <v>TRSF E-BANKING DB</v>
      </c>
      <c r="C160" s="14" t="str">
        <f>IFERROR(__xludf.DUMMYFUNCTION("""COMPUTED_VALUE"""),"TRSF E-BANKING DB 1601/FTSCY/WS95271 100328000.00 titip 35 jt SUGENG RIADI")</f>
        <v>TRSF E-BANKING DB 1601/FTSCY/WS95271 100328000.00 titip 35 jt SUGENG RIADI</v>
      </c>
      <c r="D160" s="3">
        <f>IFERROR(__xludf.DUMMYFUNCTION("""COMPUTED_VALUE"""),1.00328E8)</f>
        <v>100328000</v>
      </c>
      <c r="E160" s="14"/>
      <c r="F160" s="14" t="str">
        <f>IFERROR(__xludf.DUMMYFUNCTION("""COMPUTED_VALUE"""),"DB")</f>
        <v>DB</v>
      </c>
      <c r="G160" s="3">
        <f>IFERROR(__xludf.DUMMYFUNCTION("""COMPUTED_VALUE"""),1.967600751300001E8)</f>
        <v>196760075.1</v>
      </c>
      <c r="H160" s="14"/>
      <c r="I160" s="14" t="str">
        <f>IFERROR(__xludf.DUMMYFUNCTION("""COMPUTED_VALUE"""),"PRODUKSI")</f>
        <v>PRODUKSI</v>
      </c>
    </row>
    <row r="161">
      <c r="A161" s="13">
        <f>IFERROR(__xludf.DUMMYFUNCTION("""COMPUTED_VALUE"""),44942.0)</f>
        <v>44942</v>
      </c>
      <c r="B161" s="14" t="str">
        <f>IFERROR(__xludf.DUMMYFUNCTION("""COMPUTED_VALUE"""),"TRSF E-BANKING DB")</f>
        <v>TRSF E-BANKING DB</v>
      </c>
      <c r="C161" s="14" t="str">
        <f>IFERROR(__xludf.DUMMYFUNCTION("""COMPUTED_VALUE"""),"TRSF E-BANKING DB 1601/FTSCY/WS95271 25000000.00 pelunasan ANUGERAH KARTIKA A")</f>
        <v>TRSF E-BANKING DB 1601/FTSCY/WS95271 25000000.00 pelunasan ANUGERAH KARTIKA A</v>
      </c>
      <c r="D161" s="3">
        <f>IFERROR(__xludf.DUMMYFUNCTION("""COMPUTED_VALUE"""),2.5E7)</f>
        <v>25000000</v>
      </c>
      <c r="E161" s="14"/>
      <c r="F161" s="14" t="str">
        <f>IFERROR(__xludf.DUMMYFUNCTION("""COMPUTED_VALUE"""),"DB")</f>
        <v>DB</v>
      </c>
      <c r="G161" s="3">
        <f>IFERROR(__xludf.DUMMYFUNCTION("""COMPUTED_VALUE"""),1.717600751300001E8)</f>
        <v>171760075.1</v>
      </c>
      <c r="H161" s="14"/>
      <c r="I161" s="14" t="str">
        <f>IFERROR(__xludf.DUMMYFUNCTION("""COMPUTED_VALUE"""),"PRODUKSI")</f>
        <v>PRODUKSI</v>
      </c>
    </row>
    <row r="162">
      <c r="A162" s="13">
        <f>IFERROR(__xludf.DUMMYFUNCTION("""COMPUTED_VALUE"""),44942.0)</f>
        <v>44942</v>
      </c>
      <c r="B162" s="14" t="str">
        <f>IFERROR(__xludf.DUMMYFUNCTION("""COMPUTED_VALUE"""),"TRSF E-BANKING DB")</f>
        <v>TRSF E-BANKING DB</v>
      </c>
      <c r="C162" s="14" t="str">
        <f>IFERROR(__xludf.DUMMYFUNCTION("""COMPUTED_VALUE"""),"TRSF E-BANKING DB 1601/FTSCY/WS95271 53460000.00 pemb. kd arliesta RUKUN MITRA BERSAM")</f>
        <v>TRSF E-BANKING DB 1601/FTSCY/WS95271 53460000.00 pemb. kd arliesta RUKUN MITRA BERSAM</v>
      </c>
      <c r="D162" s="3">
        <f>IFERROR(__xludf.DUMMYFUNCTION("""COMPUTED_VALUE"""),5.346E7)</f>
        <v>53460000</v>
      </c>
      <c r="E162" s="14"/>
      <c r="F162" s="14" t="str">
        <f>IFERROR(__xludf.DUMMYFUNCTION("""COMPUTED_VALUE"""),"DB")</f>
        <v>DB</v>
      </c>
      <c r="G162" s="3">
        <f>IFERROR(__xludf.DUMMYFUNCTION("""COMPUTED_VALUE"""),1.777000751300001E8)</f>
        <v>177700075.1</v>
      </c>
      <c r="H162" s="14"/>
      <c r="I162" s="14" t="str">
        <f>IFERROR(__xludf.DUMMYFUNCTION("""COMPUTED_VALUE"""),"PRODUKSI")</f>
        <v>PRODUKSI</v>
      </c>
    </row>
    <row r="163">
      <c r="A163" s="13">
        <f>IFERROR(__xludf.DUMMYFUNCTION("""COMPUTED_VALUE"""),44942.0)</f>
        <v>44942</v>
      </c>
      <c r="B163" s="14" t="str">
        <f>IFERROR(__xludf.DUMMYFUNCTION("""COMPUTED_VALUE"""),"TRSF E-BANKING DB")</f>
        <v>TRSF E-BANKING DB</v>
      </c>
      <c r="C163" s="14" t="str">
        <f>IFERROR(__xludf.DUMMYFUNCTION("""COMPUTED_VALUE"""),"TRSF E-BANKING DB 1601/FTSCY/WS95271 43502250.00 Thu Jan 15 2026 15:00:00 GMT+0700 (Western Indonesia Time) PT BERLIAN INDOMIT")</f>
        <v>TRSF E-BANKING DB 1601/FTSCY/WS95271 43502250.00 Thu Jan 15 2026 15:00:00 GMT+0700 (Western Indonesia Time) PT BERLIAN INDOMIT</v>
      </c>
      <c r="D163" s="3">
        <f>IFERROR(__xludf.DUMMYFUNCTION("""COMPUTED_VALUE"""),4.350225E7)</f>
        <v>43502250</v>
      </c>
      <c r="E163" s="14"/>
      <c r="F163" s="14" t="str">
        <f>IFERROR(__xludf.DUMMYFUNCTION("""COMPUTED_VALUE"""),"DB")</f>
        <v>DB</v>
      </c>
      <c r="G163" s="3">
        <f>IFERROR(__xludf.DUMMYFUNCTION("""COMPUTED_VALUE"""),1.3419782513000011E8)</f>
        <v>134197825.1</v>
      </c>
      <c r="H163" s="14"/>
      <c r="I163" s="14" t="str">
        <f>IFERROR(__xludf.DUMMYFUNCTION("""COMPUTED_VALUE"""),"PRODUKSI")</f>
        <v>PRODUKSI</v>
      </c>
    </row>
    <row r="164">
      <c r="A164" s="13">
        <f>IFERROR(__xludf.DUMMYFUNCTION("""COMPUTED_VALUE"""),44943.0)</f>
        <v>44943</v>
      </c>
      <c r="B164" s="14" t="str">
        <f>IFERROR(__xludf.DUMMYFUNCTION("""COMPUTED_VALUE"""),"TRSF E-BANKING DB")</f>
        <v>TRSF E-BANKING DB</v>
      </c>
      <c r="C164" s="14" t="str">
        <f>IFERROR(__xludf.DUMMYFUNCTION("""COMPUTED_VALUE"""),"TRSF E-BANKING DB 1701/FTSCY/WS95271 153589520.00 probolinggo PITIK DIGITAL INDO")</f>
        <v>TRSF E-BANKING DB 1701/FTSCY/WS95271 153589520.00 probolinggo PITIK DIGITAL INDO</v>
      </c>
      <c r="D164" s="3">
        <f>IFERROR(__xludf.DUMMYFUNCTION("""COMPUTED_VALUE"""),1.5358952E8)</f>
        <v>153589520</v>
      </c>
      <c r="E164" s="14"/>
      <c r="F164" s="14" t="str">
        <f>IFERROR(__xludf.DUMMYFUNCTION("""COMPUTED_VALUE"""),"DB")</f>
        <v>DB</v>
      </c>
      <c r="G164" s="3">
        <f>IFERROR(__xludf.DUMMYFUNCTION("""COMPUTED_VALUE"""),1.6951805130000114E7)</f>
        <v>16951805.13</v>
      </c>
      <c r="H164" s="14"/>
      <c r="I164" s="14" t="str">
        <f>IFERROR(__xludf.DUMMYFUNCTION("""COMPUTED_VALUE"""),"PRODUKSI")</f>
        <v>PRODUKSI</v>
      </c>
    </row>
    <row r="165">
      <c r="A165" s="13">
        <f>IFERROR(__xludf.DUMMYFUNCTION("""COMPUTED_VALUE"""),44943.0)</f>
        <v>44943</v>
      </c>
      <c r="B165" s="14" t="str">
        <f>IFERROR(__xludf.DUMMYFUNCTION("""COMPUTED_VALUE"""),"TRSF E-BANKING DB")</f>
        <v>TRSF E-BANKING DB</v>
      </c>
      <c r="C165" s="14" t="str">
        <f>IFERROR(__xludf.DUMMYFUNCTION("""COMPUTED_VALUE"""),"TRSF E-BANKING DB 1701/FTSCY/WS95031 6310480.00 pelunasan jombang PITIK DIGITAL INDO")</f>
        <v>TRSF E-BANKING DB 1701/FTSCY/WS95031 6310480.00 pelunasan jombang PITIK DIGITAL INDO</v>
      </c>
      <c r="D165" s="3">
        <f>IFERROR(__xludf.DUMMYFUNCTION("""COMPUTED_VALUE"""),6310480.0)</f>
        <v>6310480</v>
      </c>
      <c r="E165" s="14"/>
      <c r="F165" s="14" t="str">
        <f>IFERROR(__xludf.DUMMYFUNCTION("""COMPUTED_VALUE"""),"DB")</f>
        <v>DB</v>
      </c>
      <c r="G165" s="3">
        <f>IFERROR(__xludf.DUMMYFUNCTION("""COMPUTED_VALUE"""),2.7268615130000114E7)</f>
        <v>27268615.13</v>
      </c>
      <c r="H165" s="14"/>
      <c r="I165" s="14" t="str">
        <f>IFERROR(__xludf.DUMMYFUNCTION("""COMPUTED_VALUE"""),"PRODUKSI")</f>
        <v>PRODUKSI</v>
      </c>
    </row>
    <row r="166">
      <c r="A166" s="13">
        <f>IFERROR(__xludf.DUMMYFUNCTION("""COMPUTED_VALUE"""),44943.0)</f>
        <v>44943</v>
      </c>
      <c r="B166" s="14" t="str">
        <f>IFERROR(__xludf.DUMMYFUNCTION("""COMPUTED_VALUE"""),"TRSF E-BANKING DB")</f>
        <v>TRSF E-BANKING DB</v>
      </c>
      <c r="C166" s="14" t="str">
        <f>IFERROR(__xludf.DUMMYFUNCTION("""COMPUTED_VALUE"""),"TRSF E-BANKING DB 1701/FTSCY/WS95031 51000000.00 magetan BROILER MAKMUR TAN")</f>
        <v>TRSF E-BANKING DB 1701/FTSCY/WS95031 51000000.00 magetan BROILER MAKMUR TAN</v>
      </c>
      <c r="D166" s="3">
        <f>IFERROR(__xludf.DUMMYFUNCTION("""COMPUTED_VALUE"""),5.1E7)</f>
        <v>51000000</v>
      </c>
      <c r="E166" s="14"/>
      <c r="F166" s="14" t="str">
        <f>IFERROR(__xludf.DUMMYFUNCTION("""COMPUTED_VALUE"""),"DB")</f>
        <v>DB</v>
      </c>
      <c r="G166" s="3">
        <f>IFERROR(__xludf.DUMMYFUNCTION("""COMPUTED_VALUE"""),3.0991415130000114E7)</f>
        <v>30991415.13</v>
      </c>
      <c r="H166" s="14"/>
      <c r="I166" s="14" t="str">
        <f>IFERROR(__xludf.DUMMYFUNCTION("""COMPUTED_VALUE"""),"PRODUKSI")</f>
        <v>PRODUKSI</v>
      </c>
    </row>
    <row r="167">
      <c r="A167" s="13">
        <f>IFERROR(__xludf.DUMMYFUNCTION("""COMPUTED_VALUE"""),44943.0)</f>
        <v>44943</v>
      </c>
      <c r="B167" s="14" t="str">
        <f>IFERROR(__xludf.DUMMYFUNCTION("""COMPUTED_VALUE"""),"TRSF E-BANKING DB")</f>
        <v>TRSF E-BANKING DB</v>
      </c>
      <c r="C167" s="14" t="str">
        <f>IFERROR(__xludf.DUMMYFUNCTION("""COMPUTED_VALUE"""),"TRSF E-BANKING DB 1701/FTSCY/WS95271 100000000.00 pemb. farm sugeng SUGENG RIADI")</f>
        <v>TRSF E-BANKING DB 1701/FTSCY/WS95271 100000000.00 pemb. farm sugeng SUGENG RIADI</v>
      </c>
      <c r="D167" s="3">
        <f>IFERROR(__xludf.DUMMYFUNCTION("""COMPUTED_VALUE"""),1.0E8)</f>
        <v>100000000</v>
      </c>
      <c r="E167" s="14"/>
      <c r="F167" s="14" t="str">
        <f>IFERROR(__xludf.DUMMYFUNCTION("""COMPUTED_VALUE"""),"DB")</f>
        <v>DB</v>
      </c>
      <c r="G167" s="3">
        <f>IFERROR(__xludf.DUMMYFUNCTION("""COMPUTED_VALUE"""),3.998504751300001E8)</f>
        <v>399850475.1</v>
      </c>
      <c r="H167" s="14"/>
      <c r="I167" s="14" t="str">
        <f>IFERROR(__xludf.DUMMYFUNCTION("""COMPUTED_VALUE"""),"PRODUKSI")</f>
        <v>PRODUKSI</v>
      </c>
    </row>
    <row r="168">
      <c r="A168" s="13">
        <f>IFERROR(__xludf.DUMMYFUNCTION("""COMPUTED_VALUE"""),44943.0)</f>
        <v>44943</v>
      </c>
      <c r="B168" s="14" t="str">
        <f>IFERROR(__xludf.DUMMYFUNCTION("""COMPUTED_VALUE"""),"TRSF E-BANKING DB")</f>
        <v>TRSF E-BANKING DB</v>
      </c>
      <c r="C168" s="14" t="str">
        <f>IFERROR(__xludf.DUMMYFUNCTION("""COMPUTED_VALUE"""),"TRSF E-BANKING DB 1701/FTSCY/WS95011 50000000.00 total titip 185 jt SUGENG RIADI")</f>
        <v>TRSF E-BANKING DB 1701/FTSCY/WS95011 50000000.00 total titip 185 jt SUGENG RIADI</v>
      </c>
      <c r="D168" s="3">
        <f>IFERROR(__xludf.DUMMYFUNCTION("""COMPUTED_VALUE"""),5.0E7)</f>
        <v>50000000</v>
      </c>
      <c r="E168" s="14"/>
      <c r="F168" s="14" t="str">
        <f>IFERROR(__xludf.DUMMYFUNCTION("""COMPUTED_VALUE"""),"DB")</f>
        <v>DB</v>
      </c>
      <c r="G168" s="3">
        <f>IFERROR(__xludf.DUMMYFUNCTION("""COMPUTED_VALUE"""),5.026504751300001E8)</f>
        <v>502650475.1</v>
      </c>
      <c r="H168" s="14"/>
      <c r="I168" s="14" t="str">
        <f>IFERROR(__xludf.DUMMYFUNCTION("""COMPUTED_VALUE"""),"PRODUKSI")</f>
        <v>PRODUKSI</v>
      </c>
    </row>
    <row r="169">
      <c r="A169" s="13">
        <f>IFERROR(__xludf.DUMMYFUNCTION("""COMPUTED_VALUE"""),44943.0)</f>
        <v>44943</v>
      </c>
      <c r="B169" s="14" t="str">
        <f>IFERROR(__xludf.DUMMYFUNCTION("""COMPUTED_VALUE"""),"TRSF E-BANKING DB")</f>
        <v>TRSF E-BANKING DB</v>
      </c>
      <c r="C169" s="14" t="str">
        <f>IFERROR(__xludf.DUMMYFUNCTION("""COMPUTED_VALUE"""),"TRSF E-BANKING DB 1701/FTSCY/WS95011 151102250.00 pemb. 14 dan 15/0 BROILER MAKMUR TAN")</f>
        <v>TRSF E-BANKING DB 1701/FTSCY/WS95011 151102250.00 pemb. 14 dan 15/0 BROILER MAKMUR TAN</v>
      </c>
      <c r="D169" s="3">
        <f>IFERROR(__xludf.DUMMYFUNCTION("""COMPUTED_VALUE"""),1.5110225E8)</f>
        <v>151102250</v>
      </c>
      <c r="E169" s="14"/>
      <c r="F169" s="14" t="str">
        <f>IFERROR(__xludf.DUMMYFUNCTION("""COMPUTED_VALUE"""),"DB")</f>
        <v>DB</v>
      </c>
      <c r="G169" s="3">
        <f>IFERROR(__xludf.DUMMYFUNCTION("""COMPUTED_VALUE"""),3.515482251300001E8)</f>
        <v>351548225.1</v>
      </c>
      <c r="H169" s="14"/>
      <c r="I169" s="14" t="str">
        <f>IFERROR(__xludf.DUMMYFUNCTION("""COMPUTED_VALUE"""),"PRODUKSI")</f>
        <v>PRODUKSI</v>
      </c>
    </row>
    <row r="170">
      <c r="A170" s="13">
        <f>IFERROR(__xludf.DUMMYFUNCTION("""COMPUTED_VALUE"""),44943.0)</f>
        <v>44943</v>
      </c>
      <c r="B170" s="14" t="str">
        <f>IFERROR(__xludf.DUMMYFUNCTION("""COMPUTED_VALUE"""),"TRSF E-BANKING DB")</f>
        <v>TRSF E-BANKING DB</v>
      </c>
      <c r="C170" s="14" t="str">
        <f>IFERROR(__xludf.DUMMYFUNCTION("""COMPUTED_VALUE"""),"TRSF E-BANKING DB 1701/FTSCY/WS95011 89581000.00 pemb. 13/01 SUPER UNGGAS JAYA")</f>
        <v>TRSF E-BANKING DB 1701/FTSCY/WS95011 89581000.00 pemb. 13/01 SUPER UNGGAS JAYA</v>
      </c>
      <c r="D170" s="3">
        <f>IFERROR(__xludf.DUMMYFUNCTION("""COMPUTED_VALUE"""),8.9581E7)</f>
        <v>89581000</v>
      </c>
      <c r="E170" s="14"/>
      <c r="F170" s="14" t="str">
        <f>IFERROR(__xludf.DUMMYFUNCTION("""COMPUTED_VALUE"""),"DB")</f>
        <v>DB</v>
      </c>
      <c r="G170" s="3">
        <f>IFERROR(__xludf.DUMMYFUNCTION("""COMPUTED_VALUE"""),2.619672251300001E8)</f>
        <v>261967225.1</v>
      </c>
      <c r="H170" s="14"/>
      <c r="I170" s="14" t="str">
        <f>IFERROR(__xludf.DUMMYFUNCTION("""COMPUTED_VALUE"""),"PRODUKSI")</f>
        <v>PRODUKSI</v>
      </c>
    </row>
    <row r="171">
      <c r="A171" s="13">
        <f>IFERROR(__xludf.DUMMYFUNCTION("""COMPUTED_VALUE"""),44943.0)</f>
        <v>44943</v>
      </c>
      <c r="B171" s="14" t="str">
        <f>IFERROR(__xludf.DUMMYFUNCTION("""COMPUTED_VALUE"""),"TRSF E-BANKING DB")</f>
        <v>TRSF E-BANKING DB</v>
      </c>
      <c r="C171" s="14" t="str">
        <f>IFERROR(__xludf.DUMMYFUNCTION("""COMPUTED_VALUE"""),"TRSF E-BANKING DB 1701/FTSCY/WS95011 52800000.00 pemb. kd plumpang ANDALAN YASA MITRA")</f>
        <v>TRSF E-BANKING DB 1701/FTSCY/WS95011 52800000.00 pemb. kd plumpang ANDALAN YASA MITRA</v>
      </c>
      <c r="D171" s="3">
        <f>IFERROR(__xludf.DUMMYFUNCTION("""COMPUTED_VALUE"""),5.28E7)</f>
        <v>52800000</v>
      </c>
      <c r="E171" s="14"/>
      <c r="F171" s="14" t="str">
        <f>IFERROR(__xludf.DUMMYFUNCTION("""COMPUTED_VALUE"""),"DB")</f>
        <v>DB</v>
      </c>
      <c r="G171" s="3">
        <f>IFERROR(__xludf.DUMMYFUNCTION("""COMPUTED_VALUE"""),2.091672251300001E8)</f>
        <v>209167225.1</v>
      </c>
      <c r="H171" s="14"/>
      <c r="I171" s="14" t="str">
        <f>IFERROR(__xludf.DUMMYFUNCTION("""COMPUTED_VALUE"""),"PRODUKSI")</f>
        <v>PRODUKSI</v>
      </c>
    </row>
    <row r="172">
      <c r="A172" s="13">
        <f>IFERROR(__xludf.DUMMYFUNCTION("""COMPUTED_VALUE"""),44943.0)</f>
        <v>44943</v>
      </c>
      <c r="B172" s="14" t="str">
        <f>IFERROR(__xludf.DUMMYFUNCTION("""COMPUTED_VALUE"""),"TRSF E-BANKING DB")</f>
        <v>TRSF E-BANKING DB</v>
      </c>
      <c r="C172" s="14" t="str">
        <f>IFERROR(__xludf.DUMMYFUNCTION("""COMPUTED_VALUE"""),"TRSF E-BANKING DB 1701/FTSCY/WS95011 48576000.00 pemb. kd supriyant lamongan BINTANG TAMA SANTO")</f>
        <v>TRSF E-BANKING DB 1701/FTSCY/WS95011 48576000.00 pemb. kd supriyant lamongan BINTANG TAMA SANTO</v>
      </c>
      <c r="D172" s="3">
        <f>IFERROR(__xludf.DUMMYFUNCTION("""COMPUTED_VALUE"""),4.8576E7)</f>
        <v>48576000</v>
      </c>
      <c r="E172" s="14"/>
      <c r="F172" s="14" t="str">
        <f>IFERROR(__xludf.DUMMYFUNCTION("""COMPUTED_VALUE"""),"DB")</f>
        <v>DB</v>
      </c>
      <c r="G172" s="3">
        <f>IFERROR(__xludf.DUMMYFUNCTION("""COMPUTED_VALUE"""),1.605912251300001E8)</f>
        <v>160591225.1</v>
      </c>
      <c r="H172" s="14"/>
      <c r="I172" s="14" t="str">
        <f>IFERROR(__xludf.DUMMYFUNCTION("""COMPUTED_VALUE"""),"PRODUKSI")</f>
        <v>PRODUKSI</v>
      </c>
    </row>
    <row r="173">
      <c r="A173" s="13">
        <f>IFERROR(__xludf.DUMMYFUNCTION("""COMPUTED_VALUE"""),44943.0)</f>
        <v>44943</v>
      </c>
      <c r="B173" s="14" t="str">
        <f>IFERROR(__xludf.DUMMYFUNCTION("""COMPUTED_VALUE"""),"TRSF E-BANKING DB")</f>
        <v>TRSF E-BANKING DB</v>
      </c>
      <c r="C173" s="14" t="str">
        <f>IFERROR(__xludf.DUMMYFUNCTION("""COMPUTED_VALUE"""),"TRSF E-BANKING DB 1701/FTSCY/WS95011 51516150.00 pemb. kd sabirul t. agung ANUGERAH KARTIKA A")</f>
        <v>TRSF E-BANKING DB 1701/FTSCY/WS95011 51516150.00 pemb. kd sabirul t. agung ANUGERAH KARTIKA A</v>
      </c>
      <c r="D173" s="3">
        <f>IFERROR(__xludf.DUMMYFUNCTION("""COMPUTED_VALUE"""),5.151615E7)</f>
        <v>51516150</v>
      </c>
      <c r="E173" s="14"/>
      <c r="F173" s="14" t="str">
        <f>IFERROR(__xludf.DUMMYFUNCTION("""COMPUTED_VALUE"""),"DB")</f>
        <v>DB</v>
      </c>
      <c r="G173" s="3">
        <f>IFERROR(__xludf.DUMMYFUNCTION("""COMPUTED_VALUE"""),1.0907507513000011E8)</f>
        <v>109075075.1</v>
      </c>
      <c r="H173" s="14"/>
      <c r="I173" s="14" t="str">
        <f>IFERROR(__xludf.DUMMYFUNCTION("""COMPUTED_VALUE"""),"PRODUKSI")</f>
        <v>PRODUKSI</v>
      </c>
    </row>
    <row r="174">
      <c r="A174" s="13">
        <f>IFERROR(__xludf.DUMMYFUNCTION("""COMPUTED_VALUE"""),44944.0)</f>
        <v>44944</v>
      </c>
      <c r="B174" s="14" t="str">
        <f>IFERROR(__xludf.DUMMYFUNCTION("""COMPUTED_VALUE"""),"TRSF E-BANKING DB")</f>
        <v>TRSF E-BANKING DB</v>
      </c>
      <c r="C174" s="14" t="str">
        <f>IFERROR(__xludf.DUMMYFUNCTION("""COMPUTED_VALUE"""),"TRSF E-BANKING DB 1801/FTSCY/WS95271 187801320.00 pemb. jaka 15/01 SUPER UNGGAS JAYA")</f>
        <v>TRSF E-BANKING DB 1801/FTSCY/WS95271 187801320.00 pemb. jaka 15/01 SUPER UNGGAS JAYA</v>
      </c>
      <c r="D174" s="3">
        <f>IFERROR(__xludf.DUMMYFUNCTION("""COMPUTED_VALUE"""),1.8780132E8)</f>
        <v>187801320</v>
      </c>
      <c r="E174" s="14"/>
      <c r="F174" s="14" t="str">
        <f>IFERROR(__xludf.DUMMYFUNCTION("""COMPUTED_VALUE"""),"DB")</f>
        <v>DB</v>
      </c>
      <c r="G174" s="3">
        <f>IFERROR(__xludf.DUMMYFUNCTION("""COMPUTED_VALUE"""),5.9468955130000114E7)</f>
        <v>59468955.13</v>
      </c>
      <c r="H174" s="14"/>
      <c r="I174" s="14" t="str">
        <f>IFERROR(__xludf.DUMMYFUNCTION("""COMPUTED_VALUE"""),"PRODUKSI")</f>
        <v>PRODUKSI</v>
      </c>
    </row>
    <row r="175">
      <c r="A175" s="13">
        <f>IFERROR(__xludf.DUMMYFUNCTION("""COMPUTED_VALUE"""),44944.0)</f>
        <v>44944</v>
      </c>
      <c r="B175" s="14" t="str">
        <f>IFERROR(__xludf.DUMMYFUNCTION("""COMPUTED_VALUE"""),"TRSF E-BANKING DB")</f>
        <v>TRSF E-BANKING DB</v>
      </c>
      <c r="C175" s="14" t="str">
        <f>IFERROR(__xludf.DUMMYFUNCTION("""COMPUTED_VALUE"""),"TRSF E-BANKING DB 1801/FTSCY/WS95271 49500000.00 kd sulasemi mlg PITIK DIGITAL INDO")</f>
        <v>TRSF E-BANKING DB 1801/FTSCY/WS95271 49500000.00 kd sulasemi mlg PITIK DIGITAL INDO</v>
      </c>
      <c r="D175" s="3">
        <f>IFERROR(__xludf.DUMMYFUNCTION("""COMPUTED_VALUE"""),4.95E7)</f>
        <v>49500000</v>
      </c>
      <c r="E175" s="14"/>
      <c r="F175" s="14" t="str">
        <f>IFERROR(__xludf.DUMMYFUNCTION("""COMPUTED_VALUE"""),"DB")</f>
        <v>DB</v>
      </c>
      <c r="G175" s="3">
        <f>IFERROR(__xludf.DUMMYFUNCTION("""COMPUTED_VALUE"""),9968955.130000114)</f>
        <v>9968955.13</v>
      </c>
      <c r="H175" s="14"/>
      <c r="I175" s="14" t="str">
        <f>IFERROR(__xludf.DUMMYFUNCTION("""COMPUTED_VALUE"""),"PRODUKSI")</f>
        <v>PRODUKSI</v>
      </c>
    </row>
    <row r="176">
      <c r="A176" s="13">
        <f>IFERROR(__xludf.DUMMYFUNCTION("""COMPUTED_VALUE"""),44944.0)</f>
        <v>44944</v>
      </c>
      <c r="B176" s="14" t="str">
        <f>IFERROR(__xludf.DUMMYFUNCTION("""COMPUTED_VALUE"""),"TRSF E-BANKING DB")</f>
        <v>TRSF E-BANKING DB</v>
      </c>
      <c r="C176" s="14" t="str">
        <f>IFERROR(__xludf.DUMMYFUNCTION("""COMPUTED_VALUE"""),"TRSF E-BANKING DB 1801/FTSCY/WS95031 43320750.00 Fri Jan 16 2026 15:00:00 GMT+0700 (Western Indonesia Time) PT BERLIAN INDOMIT")</f>
        <v>TRSF E-BANKING DB 1801/FTSCY/WS95031 43320750.00 Fri Jan 16 2026 15:00:00 GMT+0700 (Western Indonesia Time) PT BERLIAN INDOMIT</v>
      </c>
      <c r="D176" s="3">
        <f>IFERROR(__xludf.DUMMYFUNCTION("""COMPUTED_VALUE"""),4.332075E7)</f>
        <v>43320750</v>
      </c>
      <c r="E176" s="14"/>
      <c r="F176" s="14" t="str">
        <f>IFERROR(__xludf.DUMMYFUNCTION("""COMPUTED_VALUE"""),"DB")</f>
        <v>DB</v>
      </c>
      <c r="G176" s="3">
        <f>IFERROR(__xludf.DUMMYFUNCTION("""COMPUTED_VALUE"""),1.657572751300001E8)</f>
        <v>165757275.1</v>
      </c>
      <c r="H176" s="14"/>
      <c r="I176" s="14" t="str">
        <f>IFERROR(__xludf.DUMMYFUNCTION("""COMPUTED_VALUE"""),"PRODUKSI")</f>
        <v>PRODUKSI</v>
      </c>
    </row>
    <row r="177">
      <c r="A177" s="13">
        <f>IFERROR(__xludf.DUMMYFUNCTION("""COMPUTED_VALUE"""),44944.0)</f>
        <v>44944</v>
      </c>
      <c r="B177" s="14" t="str">
        <f>IFERROR(__xludf.DUMMYFUNCTION("""COMPUTED_VALUE"""),"TRSF E-BANKING DB")</f>
        <v>TRSF E-BANKING DB</v>
      </c>
      <c r="C177" s="14" t="str">
        <f>IFERROR(__xludf.DUMMYFUNCTION("""COMPUTED_VALUE"""),"TRSF E-BANKING DB 1801/FTSCY/WS95031 18478000.00 pelunasan SUGENG RIADI")</f>
        <v>TRSF E-BANKING DB 1801/FTSCY/WS95031 18478000.00 pelunasan SUGENG RIADI</v>
      </c>
      <c r="D177" s="3">
        <f>IFERROR(__xludf.DUMMYFUNCTION("""COMPUTED_VALUE"""),1.8478E7)</f>
        <v>18478000</v>
      </c>
      <c r="E177" s="14"/>
      <c r="F177" s="14" t="str">
        <f>IFERROR(__xludf.DUMMYFUNCTION("""COMPUTED_VALUE"""),"DB")</f>
        <v>DB</v>
      </c>
      <c r="G177" s="3">
        <f>IFERROR(__xludf.DUMMYFUNCTION("""COMPUTED_VALUE"""),1.472792751300001E8)</f>
        <v>147279275.1</v>
      </c>
      <c r="H177" s="14"/>
      <c r="I177" s="14" t="str">
        <f>IFERROR(__xludf.DUMMYFUNCTION("""COMPUTED_VALUE"""),"PRODUKSI")</f>
        <v>PRODUKSI</v>
      </c>
    </row>
    <row r="178">
      <c r="A178" s="13">
        <f>IFERROR(__xludf.DUMMYFUNCTION("""COMPUTED_VALUE"""),44944.0)</f>
        <v>44944</v>
      </c>
      <c r="B178" s="14" t="str">
        <f>IFERROR(__xludf.DUMMYFUNCTION("""COMPUTED_VALUE"""),"TRSF E-BANKING DB")</f>
        <v>TRSF E-BANKING DB</v>
      </c>
      <c r="C178" s="14" t="str">
        <f>IFERROR(__xludf.DUMMYFUNCTION("""COMPUTED_VALUE"""),"TRSF E-BANKING DB 1801/FTSCY/WS95271 50063400.00 pemb. 16/01 BINTANG TAMA SANTO")</f>
        <v>TRSF E-BANKING DB 1801/FTSCY/WS95271 50063400.00 pemb. 16/01 BINTANG TAMA SANTO</v>
      </c>
      <c r="D178" s="3">
        <f>IFERROR(__xludf.DUMMYFUNCTION("""COMPUTED_VALUE"""),5.00634E7)</f>
        <v>50063400</v>
      </c>
      <c r="E178" s="14"/>
      <c r="F178" s="14" t="str">
        <f>IFERROR(__xludf.DUMMYFUNCTION("""COMPUTED_VALUE"""),"DB")</f>
        <v>DB</v>
      </c>
      <c r="G178" s="3">
        <f>IFERROR(__xludf.DUMMYFUNCTION("""COMPUTED_VALUE"""),8.594562513000011E7)</f>
        <v>85945625.13</v>
      </c>
      <c r="H178" s="14"/>
      <c r="I178" s="14" t="str">
        <f>IFERROR(__xludf.DUMMYFUNCTION("""COMPUTED_VALUE"""),"PRODUKSI")</f>
        <v>PRODUKSI</v>
      </c>
    </row>
    <row r="179">
      <c r="A179" s="13">
        <f>IFERROR(__xludf.DUMMYFUNCTION("""COMPUTED_VALUE"""),44944.0)</f>
        <v>44944</v>
      </c>
      <c r="B179" s="14" t="str">
        <f>IFERROR(__xludf.DUMMYFUNCTION("""COMPUTED_VALUE"""),"TRSF E-BANKING DB")</f>
        <v>TRSF E-BANKING DB</v>
      </c>
      <c r="C179" s="14" t="str">
        <f>IFERROR(__xludf.DUMMYFUNCTION("""COMPUTED_VALUE"""),"TRSF E-BANKING DB 1801/FTSCY/WS95011 96910750.00 pemb. 15/01 BROILER MAKMUR TAN")</f>
        <v>TRSF E-BANKING DB 1801/FTSCY/WS95011 96910750.00 pemb. 15/01 BROILER MAKMUR TAN</v>
      </c>
      <c r="D179" s="3">
        <f>IFERROR(__xludf.DUMMYFUNCTION("""COMPUTED_VALUE"""),9.691075E7)</f>
        <v>96910750</v>
      </c>
      <c r="E179" s="14"/>
      <c r="F179" s="14" t="str">
        <f>IFERROR(__xludf.DUMMYFUNCTION("""COMPUTED_VALUE"""),"DB")</f>
        <v>DB</v>
      </c>
      <c r="G179" s="3">
        <f>IFERROR(__xludf.DUMMYFUNCTION("""COMPUTED_VALUE"""),3.881542751300001E8)</f>
        <v>388154275.1</v>
      </c>
      <c r="H179" s="14"/>
      <c r="I179" s="14" t="str">
        <f>IFERROR(__xludf.DUMMYFUNCTION("""COMPUTED_VALUE"""),"PRODUKSI")</f>
        <v>PRODUKSI</v>
      </c>
    </row>
    <row r="180">
      <c r="A180" s="13">
        <f>IFERROR(__xludf.DUMMYFUNCTION("""COMPUTED_VALUE"""),44944.0)</f>
        <v>44944</v>
      </c>
      <c r="B180" s="14" t="str">
        <f>IFERROR(__xludf.DUMMYFUNCTION("""COMPUTED_VALUE"""),"TRSF E-BANKING DB")</f>
        <v>TRSF E-BANKING DB</v>
      </c>
      <c r="C180" s="14" t="str">
        <f>IFERROR(__xludf.DUMMYFUNCTION("""COMPUTED_VALUE"""),"TRSF E-BANKING DB 1801/FTSCY/WS95011 59400000.00 p3mb. kd kusyadi pasuruan BROILER MAKMUR TAN")</f>
        <v>TRSF E-BANKING DB 1801/FTSCY/WS95011 59400000.00 p3mb. kd kusyadi pasuruan BROILER MAKMUR TAN</v>
      </c>
      <c r="D180" s="3">
        <f>IFERROR(__xludf.DUMMYFUNCTION("""COMPUTED_VALUE"""),5.94E7)</f>
        <v>59400000</v>
      </c>
      <c r="E180" s="14"/>
      <c r="F180" s="14" t="str">
        <f>IFERROR(__xludf.DUMMYFUNCTION("""COMPUTED_VALUE"""),"DB")</f>
        <v>DB</v>
      </c>
      <c r="G180" s="3">
        <f>IFERROR(__xludf.DUMMYFUNCTION("""COMPUTED_VALUE"""),3.287542751300001E8)</f>
        <v>328754275.1</v>
      </c>
      <c r="H180" s="14"/>
      <c r="I180" s="14" t="str">
        <f>IFERROR(__xludf.DUMMYFUNCTION("""COMPUTED_VALUE"""),"PRODUKSI")</f>
        <v>PRODUKSI</v>
      </c>
    </row>
    <row r="181">
      <c r="A181" s="13">
        <f>IFERROR(__xludf.DUMMYFUNCTION("""COMPUTED_VALUE"""),44944.0)</f>
        <v>44944</v>
      </c>
      <c r="B181" s="14" t="str">
        <f>IFERROR(__xludf.DUMMYFUNCTION("""COMPUTED_VALUE"""),"TRSF E-BANKING DB")</f>
        <v>TRSF E-BANKING DB</v>
      </c>
      <c r="C181" s="14" t="str">
        <f>IFERROR(__xludf.DUMMYFUNCTION("""COMPUTED_VALUE"""),"TRSF E-BANKING DB 1801/FTSCY/WS95011 51046450.00 pemb. kd sumarmi blitar ANUGERAH KARTIKA A")</f>
        <v>TRSF E-BANKING DB 1801/FTSCY/WS95011 51046450.00 pemb. kd sumarmi blitar ANUGERAH KARTIKA A</v>
      </c>
      <c r="D181" s="3">
        <f>IFERROR(__xludf.DUMMYFUNCTION("""COMPUTED_VALUE"""),5.104645E7)</f>
        <v>51046450</v>
      </c>
      <c r="E181" s="14"/>
      <c r="F181" s="14" t="str">
        <f>IFERROR(__xludf.DUMMYFUNCTION("""COMPUTED_VALUE"""),"DB")</f>
        <v>DB</v>
      </c>
      <c r="G181" s="3">
        <f>IFERROR(__xludf.DUMMYFUNCTION("""COMPUTED_VALUE"""),2.682068851300001E8)</f>
        <v>268206885.1</v>
      </c>
      <c r="H181" s="14"/>
      <c r="I181" s="14" t="str">
        <f>IFERROR(__xludf.DUMMYFUNCTION("""COMPUTED_VALUE"""),"PRODUKSI")</f>
        <v>PRODUKSI</v>
      </c>
    </row>
    <row r="182">
      <c r="A182" s="13">
        <f>IFERROR(__xludf.DUMMYFUNCTION("""COMPUTED_VALUE"""),44944.0)</f>
        <v>44944</v>
      </c>
      <c r="B182" s="14" t="str">
        <f>IFERROR(__xludf.DUMMYFUNCTION("""COMPUTED_VALUE"""),"TRSF E-BANKING DB")</f>
        <v>TRSF E-BANKING DB</v>
      </c>
      <c r="C182" s="14" t="str">
        <f>IFERROR(__xludf.DUMMYFUNCTION("""COMPUTED_VALUE"""),"TRSF E-BANKING DB 1801/FTSCY/WS95011 96536650.00 pemb. do 16/01 BROILER MAKMUR TAN")</f>
        <v>TRSF E-BANKING DB 1801/FTSCY/WS95011 96536650.00 pemb. do 16/01 BROILER MAKMUR TAN</v>
      </c>
      <c r="D182" s="3">
        <f>IFERROR(__xludf.DUMMYFUNCTION("""COMPUTED_VALUE"""),9.653665E7)</f>
        <v>96536650</v>
      </c>
      <c r="E182" s="14"/>
      <c r="F182" s="14" t="str">
        <f>IFERROR(__xludf.DUMMYFUNCTION("""COMPUTED_VALUE"""),"DB")</f>
        <v>DB</v>
      </c>
      <c r="G182" s="3">
        <f>IFERROR(__xludf.DUMMYFUNCTION("""COMPUTED_VALUE"""),1.716702351300001E8)</f>
        <v>171670235.1</v>
      </c>
      <c r="H182" s="14"/>
      <c r="I182" s="14" t="str">
        <f>IFERROR(__xludf.DUMMYFUNCTION("""COMPUTED_VALUE"""),"PRODUKSI")</f>
        <v>PRODUKSI</v>
      </c>
    </row>
    <row r="183">
      <c r="A183" s="13">
        <f>IFERROR(__xludf.DUMMYFUNCTION("""COMPUTED_VALUE"""),44944.0)</f>
        <v>44944</v>
      </c>
      <c r="B183" s="14" t="str">
        <f>IFERROR(__xludf.DUMMYFUNCTION("""COMPUTED_VALUE"""),"TRSF E-BANKING DB")</f>
        <v>TRSF E-BANKING DB</v>
      </c>
      <c r="C183" s="14" t="str">
        <f>IFERROR(__xludf.DUMMYFUNCTION("""COMPUTED_VALUE"""),"TRSF E-BANKING DB 1801/FTSCY/WS95011 97252000.00 pemb. farm jaka Fri Jan 16 2026 15:00:00 GMT+0700 (Western Indonesia Time) SUPER UNGGAS JAYA")</f>
        <v>TRSF E-BANKING DB 1801/FTSCY/WS95011 97252000.00 pemb. farm jaka Fri Jan 16 2026 15:00:00 GMT+0700 (Western Indonesia Time) SUPER UNGGAS JAYA</v>
      </c>
      <c r="D183" s="3">
        <f>IFERROR(__xludf.DUMMYFUNCTION("""COMPUTED_VALUE"""),9.7252E7)</f>
        <v>97252000</v>
      </c>
      <c r="E183" s="14"/>
      <c r="F183" s="14" t="str">
        <f>IFERROR(__xludf.DUMMYFUNCTION("""COMPUTED_VALUE"""),"DB")</f>
        <v>DB</v>
      </c>
      <c r="G183" s="3">
        <f>IFERROR(__xludf.DUMMYFUNCTION("""COMPUTED_VALUE"""),7.441823513000011E7)</f>
        <v>74418235.13</v>
      </c>
      <c r="H183" s="14"/>
      <c r="I183" s="14" t="str">
        <f>IFERROR(__xludf.DUMMYFUNCTION("""COMPUTED_VALUE"""),"PRODUKSI")</f>
        <v>PRODUKSI</v>
      </c>
    </row>
    <row r="184">
      <c r="A184" s="13">
        <f>IFERROR(__xludf.DUMMYFUNCTION("""COMPUTED_VALUE"""),44944.0)</f>
        <v>44944</v>
      </c>
      <c r="B184" s="14" t="str">
        <f>IFERROR(__xludf.DUMMYFUNCTION("""COMPUTED_VALUE"""),"TRSF E-BANKING DB")</f>
        <v>TRSF E-BANKING DB</v>
      </c>
      <c r="C184" s="14" t="str">
        <f>IFERROR(__xludf.DUMMYFUNCTION("""COMPUTED_VALUE"""),"TRSF E-BANKING DB 1801/FTSCY/WS95031 6467800.00 NURHAYATI")</f>
        <v>TRSF E-BANKING DB 1801/FTSCY/WS95031 6467800.00 NURHAYATI</v>
      </c>
      <c r="D184" s="3">
        <f>IFERROR(__xludf.DUMMYFUNCTION("""COMPUTED_VALUE"""),6467800.0)</f>
        <v>6467800</v>
      </c>
      <c r="E184" s="14"/>
      <c r="F184" s="14" t="str">
        <f>IFERROR(__xludf.DUMMYFUNCTION("""COMPUTED_VALUE"""),"DB")</f>
        <v>DB</v>
      </c>
      <c r="G184" s="3">
        <f>IFERROR(__xludf.DUMMYFUNCTION("""COMPUTED_VALUE"""),6.795043513000011E7)</f>
        <v>67950435.13</v>
      </c>
      <c r="H184" s="14"/>
      <c r="I184" s="14" t="str">
        <f>IFERROR(__xludf.DUMMYFUNCTION("""COMPUTED_VALUE"""),"PRODUKSI")</f>
        <v>PRODUKSI</v>
      </c>
    </row>
    <row r="185">
      <c r="A185" s="13">
        <f>IFERROR(__xludf.DUMMYFUNCTION("""COMPUTED_VALUE"""),44944.0)</f>
        <v>44944</v>
      </c>
      <c r="B185" s="14" t="str">
        <f>IFERROR(__xludf.DUMMYFUNCTION("""COMPUTED_VALUE"""),"TRSF E-BANKING DB")</f>
        <v>TRSF E-BANKING DB</v>
      </c>
      <c r="C185" s="14" t="str">
        <f>IFERROR(__xludf.DUMMYFUNCTION("""COMPUTED_VALUE"""),"TRSF E-BANKING DB 1801/FTSCY/WS95011 61798800.00 pemb. kd mongit BINTANG TAMA SANTO")</f>
        <v>TRSF E-BANKING DB 1801/FTSCY/WS95011 61798800.00 pemb. kd mongit BINTANG TAMA SANTO</v>
      </c>
      <c r="D185" s="3">
        <f>IFERROR(__xludf.DUMMYFUNCTION("""COMPUTED_VALUE"""),6.17988E7)</f>
        <v>61798800</v>
      </c>
      <c r="E185" s="14"/>
      <c r="F185" s="14" t="str">
        <f>IFERROR(__xludf.DUMMYFUNCTION("""COMPUTED_VALUE"""),"DB")</f>
        <v>DB</v>
      </c>
      <c r="G185" s="3">
        <f>IFERROR(__xludf.DUMMYFUNCTION("""COMPUTED_VALUE"""),6151635.130000114)</f>
        <v>6151635.13</v>
      </c>
      <c r="H185" s="14"/>
      <c r="I185" s="14" t="str">
        <f>IFERROR(__xludf.DUMMYFUNCTION("""COMPUTED_VALUE"""),"PRODUKSI")</f>
        <v>PRODUKSI</v>
      </c>
    </row>
    <row r="186">
      <c r="A186" s="13">
        <f>IFERROR(__xludf.DUMMYFUNCTION("""COMPUTED_VALUE"""),44945.0)</f>
        <v>44945</v>
      </c>
      <c r="B186" s="14" t="str">
        <f>IFERROR(__xludf.DUMMYFUNCTION("""COMPUTED_VALUE"""),"TRSF E-BANKING DB")</f>
        <v>TRSF E-BANKING DB</v>
      </c>
      <c r="C186" s="14" t="str">
        <f>IFERROR(__xludf.DUMMYFUNCTION("""COMPUTED_VALUE"""),"TRSF E-BANKING DB 1901/FTSCY/WS95271 33683200.00 pemb. kd ahmad tri magetan BINTANG TAMA SANTO")</f>
        <v>TRSF E-BANKING DB 1901/FTSCY/WS95271 33683200.00 pemb. kd ahmad tri magetan BINTANG TAMA SANTO</v>
      </c>
      <c r="D186" s="3">
        <f>IFERROR(__xludf.DUMMYFUNCTION("""COMPUTED_VALUE"""),3.36832E7)</f>
        <v>33683200</v>
      </c>
      <c r="E186" s="14"/>
      <c r="F186" s="14" t="str">
        <f>IFERROR(__xludf.DUMMYFUNCTION("""COMPUTED_VALUE"""),"DB")</f>
        <v>DB</v>
      </c>
      <c r="G186" s="3">
        <f>IFERROR(__xludf.DUMMYFUNCTION("""COMPUTED_VALUE"""),1.408688151300001E8)</f>
        <v>140868815.1</v>
      </c>
      <c r="H186" s="14"/>
      <c r="I186" s="14" t="str">
        <f>IFERROR(__xludf.DUMMYFUNCTION("""COMPUTED_VALUE"""),"PRODUKSI")</f>
        <v>PRODUKSI</v>
      </c>
    </row>
    <row r="187">
      <c r="A187" s="13">
        <f>IFERROR(__xludf.DUMMYFUNCTION("""COMPUTED_VALUE"""),44945.0)</f>
        <v>44945</v>
      </c>
      <c r="B187" s="14" t="str">
        <f>IFERROR(__xludf.DUMMYFUNCTION("""COMPUTED_VALUE"""),"TRSF E-BANKING DB")</f>
        <v>TRSF E-BANKING DB</v>
      </c>
      <c r="C187" s="14" t="str">
        <f>IFERROR(__xludf.DUMMYFUNCTION("""COMPUTED_VALUE"""),"TRSF E-BANKING DB 1901/FTSCY/WS95271 48073200.00 pemb. kd tamilik p asuruan ANUGERAH KARTIKA A")</f>
        <v>TRSF E-BANKING DB 1901/FTSCY/WS95271 48073200.00 pemb. kd tamilik p asuruan ANUGERAH KARTIKA A</v>
      </c>
      <c r="D187" s="3">
        <f>IFERROR(__xludf.DUMMYFUNCTION("""COMPUTED_VALUE"""),4.80732E7)</f>
        <v>48073200</v>
      </c>
      <c r="E187" s="14"/>
      <c r="F187" s="14" t="str">
        <f>IFERROR(__xludf.DUMMYFUNCTION("""COMPUTED_VALUE"""),"DB")</f>
        <v>DB</v>
      </c>
      <c r="G187" s="3">
        <f>IFERROR(__xludf.DUMMYFUNCTION("""COMPUTED_VALUE"""),9.279561513000011E7)</f>
        <v>92795615.13</v>
      </c>
      <c r="H187" s="14"/>
      <c r="I187" s="14" t="str">
        <f>IFERROR(__xludf.DUMMYFUNCTION("""COMPUTED_VALUE"""),"PRODUKSI")</f>
        <v>PRODUKSI</v>
      </c>
    </row>
    <row r="188">
      <c r="A188" s="13">
        <f>IFERROR(__xludf.DUMMYFUNCTION("""COMPUTED_VALUE"""),44945.0)</f>
        <v>44945</v>
      </c>
      <c r="B188" s="14" t="str">
        <f>IFERROR(__xludf.DUMMYFUNCTION("""COMPUTED_VALUE"""),"TRSF E-BANKING DB")</f>
        <v>TRSF E-BANKING DB</v>
      </c>
      <c r="C188" s="14" t="str">
        <f>IFERROR(__xludf.DUMMYFUNCTION("""COMPUTED_VALUE"""),"TRSF E-BANKING DB 1901/FTSCY/WS95271 46732500.00 pemb. kd wardi nga wi lunas RUKUN MITRA BERSAM")</f>
        <v>TRSF E-BANKING DB 1901/FTSCY/WS95271 46732500.00 pemb. kd wardi nga wi lunas RUKUN MITRA BERSAM</v>
      </c>
      <c r="D188" s="3">
        <f>IFERROR(__xludf.DUMMYFUNCTION("""COMPUTED_VALUE"""),4.67325E7)</f>
        <v>46732500</v>
      </c>
      <c r="E188" s="14"/>
      <c r="F188" s="14" t="str">
        <f>IFERROR(__xludf.DUMMYFUNCTION("""COMPUTED_VALUE"""),"DB")</f>
        <v>DB</v>
      </c>
      <c r="G188" s="3">
        <f>IFERROR(__xludf.DUMMYFUNCTION("""COMPUTED_VALUE"""),4.6063115130000114E7)</f>
        <v>46063115.13</v>
      </c>
      <c r="H188" s="14"/>
      <c r="I188" s="14" t="str">
        <f>IFERROR(__xludf.DUMMYFUNCTION("""COMPUTED_VALUE"""),"PRODUKSI")</f>
        <v>PRODUKSI</v>
      </c>
    </row>
    <row r="189">
      <c r="A189" s="13">
        <f>IFERROR(__xludf.DUMMYFUNCTION("""COMPUTED_VALUE"""),44945.0)</f>
        <v>44945</v>
      </c>
      <c r="B189" s="14" t="str">
        <f>IFERROR(__xludf.DUMMYFUNCTION("""COMPUTED_VALUE"""),"TRSF E-BANKING DB")</f>
        <v>TRSF E-BANKING DB</v>
      </c>
      <c r="C189" s="14" t="str">
        <f>IFERROR(__xludf.DUMMYFUNCTION("""COMPUTED_VALUE"""),"TRSF E-BANKING DB 1901/FTSCY/WS95271 30000000.00 pelunasan BINTANG TAMA SANTO")</f>
        <v>TRSF E-BANKING DB 1901/FTSCY/WS95271 30000000.00 pelunasan BINTANG TAMA SANTO</v>
      </c>
      <c r="D189" s="3">
        <f>IFERROR(__xludf.DUMMYFUNCTION("""COMPUTED_VALUE"""),3.0E7)</f>
        <v>30000000</v>
      </c>
      <c r="E189" s="14"/>
      <c r="F189" s="14" t="str">
        <f>IFERROR(__xludf.DUMMYFUNCTION("""COMPUTED_VALUE"""),"DB")</f>
        <v>DB</v>
      </c>
      <c r="G189" s="3">
        <f>IFERROR(__xludf.DUMMYFUNCTION("""COMPUTED_VALUE"""),1.6063115130000114E7)</f>
        <v>16063115.13</v>
      </c>
      <c r="H189" s="14"/>
      <c r="I189" s="14" t="str">
        <f>IFERROR(__xludf.DUMMYFUNCTION("""COMPUTED_VALUE"""),"PRODUKSI")</f>
        <v>PRODUKSI</v>
      </c>
    </row>
    <row r="190">
      <c r="A190" s="13">
        <f>IFERROR(__xludf.DUMMYFUNCTION("""COMPUTED_VALUE"""),44945.0)</f>
        <v>44945</v>
      </c>
      <c r="B190" s="14" t="str">
        <f>IFERROR(__xludf.DUMMYFUNCTION("""COMPUTED_VALUE"""),"TRSF E-BANKING DB")</f>
        <v>TRSF E-BANKING DB</v>
      </c>
      <c r="C190" s="14" t="str">
        <f>IFERROR(__xludf.DUMMYFUNCTION("""COMPUTED_VALUE"""),"TRSF E-BANKING DB 1901/FTSCY/WS95031 59400000.00 pemb. kd kusiyadi pasuruan ANDALAN YASA MITRA")</f>
        <v>TRSF E-BANKING DB 1901/FTSCY/WS95031 59400000.00 pemb. kd kusiyadi pasuruan ANDALAN YASA MITRA</v>
      </c>
      <c r="D190" s="3">
        <f>IFERROR(__xludf.DUMMYFUNCTION("""COMPUTED_VALUE"""),5.94E7)</f>
        <v>59400000</v>
      </c>
      <c r="E190" s="14"/>
      <c r="F190" s="14" t="str">
        <f>IFERROR(__xludf.DUMMYFUNCTION("""COMPUTED_VALUE"""),"DB")</f>
        <v>DB</v>
      </c>
      <c r="G190" s="3">
        <f>IFERROR(__xludf.DUMMYFUNCTION("""COMPUTED_VALUE"""),9991945.130000114)</f>
        <v>9991945.13</v>
      </c>
      <c r="H190" s="14"/>
      <c r="I190" s="14" t="str">
        <f>IFERROR(__xludf.DUMMYFUNCTION("""COMPUTED_VALUE"""),"PRODUKSI")</f>
        <v>PRODUKSI</v>
      </c>
    </row>
    <row r="191">
      <c r="A191" s="13">
        <f>IFERROR(__xludf.DUMMYFUNCTION("""COMPUTED_VALUE"""),44945.0)</f>
        <v>44945</v>
      </c>
      <c r="B191" s="14" t="str">
        <f>IFERROR(__xludf.DUMMYFUNCTION("""COMPUTED_VALUE"""),"TRSF E-BANKING DB")</f>
        <v>TRSF E-BANKING DB</v>
      </c>
      <c r="C191" s="14" t="str">
        <f>IFERROR(__xludf.DUMMYFUNCTION("""COMPUTED_VALUE"""),"TRSF E-BANKING DB 1901/FTSCY/WS95271 91710000.00 kd edi mukolis mad iun SUPER UNGGAS JAYA")</f>
        <v>TRSF E-BANKING DB 1901/FTSCY/WS95271 91710000.00 kd edi mukolis mad iun SUPER UNGGAS JAYA</v>
      </c>
      <c r="D191" s="3">
        <f>IFERROR(__xludf.DUMMYFUNCTION("""COMPUTED_VALUE"""),9.171E7)</f>
        <v>91710000</v>
      </c>
      <c r="E191" s="14"/>
      <c r="F191" s="14" t="str">
        <f>IFERROR(__xludf.DUMMYFUNCTION("""COMPUTED_VALUE"""),"DB")</f>
        <v>DB</v>
      </c>
      <c r="G191" s="3">
        <f>IFERROR(__xludf.DUMMYFUNCTION("""COMPUTED_VALUE"""),1.0205002513000011E8)</f>
        <v>102050025.1</v>
      </c>
      <c r="H191" s="14"/>
      <c r="I191" s="14" t="str">
        <f>IFERROR(__xludf.DUMMYFUNCTION("""COMPUTED_VALUE"""),"PRODUKSI")</f>
        <v>PRODUKSI</v>
      </c>
    </row>
    <row r="192">
      <c r="A192" s="13">
        <f>IFERROR(__xludf.DUMMYFUNCTION("""COMPUTED_VALUE"""),44945.0)</f>
        <v>44945</v>
      </c>
      <c r="B192" s="14" t="str">
        <f>IFERROR(__xludf.DUMMYFUNCTION("""COMPUTED_VALUE"""),"TRSF E-BANKING DB")</f>
        <v>TRSF E-BANKING DB</v>
      </c>
      <c r="C192" s="14" t="str">
        <f>IFERROR(__xludf.DUMMYFUNCTION("""COMPUTED_VALUE"""),"TRSF E-BANKING DB 1901/FTSCY/WS95011 150876690.00 probolinggo PITIK DIGITAL INDO")</f>
        <v>TRSF E-BANKING DB 1901/FTSCY/WS95011 150876690.00 probolinggo PITIK DIGITAL INDO</v>
      </c>
      <c r="D192" s="3">
        <f>IFERROR(__xludf.DUMMYFUNCTION("""COMPUTED_VALUE"""),1.5087669E8)</f>
        <v>150876690</v>
      </c>
      <c r="E192" s="14"/>
      <c r="F192" s="14" t="str">
        <f>IFERROR(__xludf.DUMMYFUNCTION("""COMPUTED_VALUE"""),"DB")</f>
        <v>DB</v>
      </c>
      <c r="G192" s="3">
        <f>IFERROR(__xludf.DUMMYFUNCTION("""COMPUTED_VALUE"""),3.462567151300001E8)</f>
        <v>346256715.1</v>
      </c>
      <c r="H192" s="14"/>
      <c r="I192" s="14" t="str">
        <f>IFERROR(__xludf.DUMMYFUNCTION("""COMPUTED_VALUE"""),"PRODUKSI")</f>
        <v>PRODUKSI</v>
      </c>
    </row>
    <row r="193">
      <c r="A193" s="13">
        <f>IFERROR(__xludf.DUMMYFUNCTION("""COMPUTED_VALUE"""),44945.0)</f>
        <v>44945</v>
      </c>
      <c r="B193" s="14" t="str">
        <f>IFERROR(__xludf.DUMMYFUNCTION("""COMPUTED_VALUE"""),"TRSF E-BANKING DB")</f>
        <v>TRSF E-BANKING DB</v>
      </c>
      <c r="C193" s="14" t="str">
        <f>IFERROR(__xludf.DUMMYFUNCTION("""COMPUTED_VALUE"""),"TRSF E-BANKING DB 1901/FTSCY/WS95011 51492800.00 tulung agung PITIK DIGITAL INDO")</f>
        <v>TRSF E-BANKING DB 1901/FTSCY/WS95011 51492800.00 tulung agung PITIK DIGITAL INDO</v>
      </c>
      <c r="D193" s="3">
        <f>IFERROR(__xludf.DUMMYFUNCTION("""COMPUTED_VALUE"""),5.14928E7)</f>
        <v>51492800</v>
      </c>
      <c r="E193" s="14"/>
      <c r="F193" s="14" t="str">
        <f>IFERROR(__xludf.DUMMYFUNCTION("""COMPUTED_VALUE"""),"DB")</f>
        <v>DB</v>
      </c>
      <c r="G193" s="3">
        <f>IFERROR(__xludf.DUMMYFUNCTION("""COMPUTED_VALUE"""),2.947639151300001E8)</f>
        <v>294763915.1</v>
      </c>
      <c r="H193" s="14"/>
      <c r="I193" s="14" t="str">
        <f>IFERROR(__xludf.DUMMYFUNCTION("""COMPUTED_VALUE"""),"PRODUKSI")</f>
        <v>PRODUKSI</v>
      </c>
    </row>
    <row r="194">
      <c r="A194" s="13">
        <f>IFERROR(__xludf.DUMMYFUNCTION("""COMPUTED_VALUE"""),44945.0)</f>
        <v>44945</v>
      </c>
      <c r="B194" s="14" t="str">
        <f>IFERROR(__xludf.DUMMYFUNCTION("""COMPUTED_VALUE"""),"TRSF E-BANKING DB")</f>
        <v>TRSF E-BANKING DB</v>
      </c>
      <c r="C194" s="14" t="str">
        <f>IFERROR(__xludf.DUMMYFUNCTION("""COMPUTED_VALUE"""),"TRSF E-BANKING DB 1901/FTSCY/WS95011 44979400.00 pelunasan 07/01 BROILER MAKMUR TAN")</f>
        <v>TRSF E-BANKING DB 1901/FTSCY/WS95011 44979400.00 pelunasan 07/01 BROILER MAKMUR TAN</v>
      </c>
      <c r="D194" s="3">
        <f>IFERROR(__xludf.DUMMYFUNCTION("""COMPUTED_VALUE"""),4.49794E7)</f>
        <v>44979400</v>
      </c>
      <c r="E194" s="14"/>
      <c r="F194" s="14" t="str">
        <f>IFERROR(__xludf.DUMMYFUNCTION("""COMPUTED_VALUE"""),"DB")</f>
        <v>DB</v>
      </c>
      <c r="G194" s="3">
        <f>IFERROR(__xludf.DUMMYFUNCTION("""COMPUTED_VALUE"""),2.497845151300001E8)</f>
        <v>249784515.1</v>
      </c>
      <c r="H194" s="14"/>
      <c r="I194" s="14" t="str">
        <f>IFERROR(__xludf.DUMMYFUNCTION("""COMPUTED_VALUE"""),"PRODUKSI")</f>
        <v>PRODUKSI</v>
      </c>
    </row>
    <row r="195">
      <c r="A195" s="13">
        <f>IFERROR(__xludf.DUMMYFUNCTION("""COMPUTED_VALUE"""),44945.0)</f>
        <v>44945</v>
      </c>
      <c r="B195" s="14" t="str">
        <f>IFERROR(__xludf.DUMMYFUNCTION("""COMPUTED_VALUE"""),"TRSF E-BANKING DB")</f>
        <v>TRSF E-BANKING DB</v>
      </c>
      <c r="C195" s="14" t="str">
        <f>IFERROR(__xludf.DUMMYFUNCTION("""COMPUTED_VALUE"""),"TRSF E-BANKING DB 1901/FTSCY/WS95011 94592500.00 pemb. kd supriyant lamongan BINTANG TAMA SANTO")</f>
        <v>TRSF E-BANKING DB 1901/FTSCY/WS95011 94592500.00 pemb. kd supriyant lamongan BINTANG TAMA SANTO</v>
      </c>
      <c r="D195" s="3">
        <f>IFERROR(__xludf.DUMMYFUNCTION("""COMPUTED_VALUE"""),9.45925E7)</f>
        <v>94592500</v>
      </c>
      <c r="E195" s="14"/>
      <c r="F195" s="14" t="str">
        <f>IFERROR(__xludf.DUMMYFUNCTION("""COMPUTED_VALUE"""),"DB")</f>
        <v>DB</v>
      </c>
      <c r="G195" s="3">
        <f>IFERROR(__xludf.DUMMYFUNCTION("""COMPUTED_VALUE"""),1.551920151300001E8)</f>
        <v>155192015.1</v>
      </c>
      <c r="H195" s="14"/>
      <c r="I195" s="14" t="str">
        <f>IFERROR(__xludf.DUMMYFUNCTION("""COMPUTED_VALUE"""),"PRODUKSI")</f>
        <v>PRODUKSI</v>
      </c>
    </row>
    <row r="196">
      <c r="A196" s="13">
        <f>IFERROR(__xludf.DUMMYFUNCTION("""COMPUTED_VALUE"""),44945.0)</f>
        <v>44945</v>
      </c>
      <c r="B196" s="14" t="str">
        <f>IFERROR(__xludf.DUMMYFUNCTION("""COMPUTED_VALUE"""),"TRSF E-BANKING DB")</f>
        <v>TRSF E-BANKING DB</v>
      </c>
      <c r="C196" s="14" t="str">
        <f>IFERROR(__xludf.DUMMYFUNCTION("""COMPUTED_VALUE"""),"TRSF E-BANKING DB 1901/FTSCY/WS95011 115557750.00 pemb. kd bahru rejoso nganjuk PITIK DIGITAL INDO")</f>
        <v>TRSF E-BANKING DB 1901/FTSCY/WS95011 115557750.00 pemb. kd bahru rejoso nganjuk PITIK DIGITAL INDO</v>
      </c>
      <c r="D196" s="3">
        <f>IFERROR(__xludf.DUMMYFUNCTION("""COMPUTED_VALUE"""),1.1555775E8)</f>
        <v>115557750</v>
      </c>
      <c r="E196" s="14"/>
      <c r="F196" s="14" t="str">
        <f>IFERROR(__xludf.DUMMYFUNCTION("""COMPUTED_VALUE"""),"DB")</f>
        <v>DB</v>
      </c>
      <c r="G196" s="3">
        <f>IFERROR(__xludf.DUMMYFUNCTION("""COMPUTED_VALUE"""),3.9634265130000114E7)</f>
        <v>39634265.13</v>
      </c>
      <c r="H196" s="14"/>
      <c r="I196" s="14" t="str">
        <f>IFERROR(__xludf.DUMMYFUNCTION("""COMPUTED_VALUE"""),"PRODUKSI")</f>
        <v>PRODUKSI</v>
      </c>
    </row>
    <row r="197">
      <c r="A197" s="13">
        <f>IFERROR(__xludf.DUMMYFUNCTION("""COMPUTED_VALUE"""),44946.0)</f>
        <v>44946</v>
      </c>
      <c r="B197" s="14" t="str">
        <f>IFERROR(__xludf.DUMMYFUNCTION("""COMPUTED_VALUE"""),"TRSF E-BANKING DB")</f>
        <v>TRSF E-BANKING DB</v>
      </c>
      <c r="C197" s="14" t="str">
        <f>IFERROR(__xludf.DUMMYFUNCTION("""COMPUTED_VALUE"""),"TRSF E-BANKING DB 2001/FTSCY/WS95271 117600000.00 pembm kd kusyadi A pasuruan ANDALAN YASA MITRA")</f>
        <v>TRSF E-BANKING DB 2001/FTSCY/WS95271 117600000.00 pembm kd kusyadi A pasuruan ANDALAN YASA MITRA</v>
      </c>
      <c r="D197" s="3">
        <f>IFERROR(__xludf.DUMMYFUNCTION("""COMPUTED_VALUE"""),1.176E8)</f>
        <v>117600000</v>
      </c>
      <c r="E197" s="14"/>
      <c r="F197" s="14" t="str">
        <f>IFERROR(__xludf.DUMMYFUNCTION("""COMPUTED_VALUE"""),"DB")</f>
        <v>DB</v>
      </c>
      <c r="G197" s="3">
        <f>IFERROR(__xludf.DUMMYFUNCTION("""COMPUTED_VALUE"""),9.574846513000011E7)</f>
        <v>95748465.13</v>
      </c>
      <c r="H197" s="14"/>
      <c r="I197" s="14" t="str">
        <f>IFERROR(__xludf.DUMMYFUNCTION("""COMPUTED_VALUE"""),"PRODUKSI")</f>
        <v>PRODUKSI</v>
      </c>
    </row>
    <row r="198">
      <c r="A198" s="13">
        <f>IFERROR(__xludf.DUMMYFUNCTION("""COMPUTED_VALUE"""),44946.0)</f>
        <v>44946</v>
      </c>
      <c r="B198" s="14" t="str">
        <f>IFERROR(__xludf.DUMMYFUNCTION("""COMPUTED_VALUE"""),"TRSF E-BANKING DB")</f>
        <v>TRSF E-BANKING DB</v>
      </c>
      <c r="C198" s="14" t="str">
        <f>IFERROR(__xludf.DUMMYFUNCTION("""COMPUTED_VALUE"""),"TRSF E-BANKING DB 2001/FTSCY/WS95271 51110500.00 madiun PITIK DIGITAL INDO")</f>
        <v>TRSF E-BANKING DB 2001/FTSCY/WS95271 51110500.00 madiun PITIK DIGITAL INDO</v>
      </c>
      <c r="D198" s="3">
        <f>IFERROR(__xludf.DUMMYFUNCTION("""COMPUTED_VALUE"""),5.11105E7)</f>
        <v>51110500</v>
      </c>
      <c r="E198" s="14"/>
      <c r="F198" s="14" t="str">
        <f>IFERROR(__xludf.DUMMYFUNCTION("""COMPUTED_VALUE"""),"DB")</f>
        <v>DB</v>
      </c>
      <c r="G198" s="3">
        <f>IFERROR(__xludf.DUMMYFUNCTION("""COMPUTED_VALUE"""),4.4637965130000114E7)</f>
        <v>44637965.13</v>
      </c>
      <c r="H198" s="14"/>
      <c r="I198" s="14" t="str">
        <f>IFERROR(__xludf.DUMMYFUNCTION("""COMPUTED_VALUE"""),"PRODUKSI")</f>
        <v>PRODUKSI</v>
      </c>
    </row>
    <row r="199">
      <c r="A199" s="13">
        <f>IFERROR(__xludf.DUMMYFUNCTION("""COMPUTED_VALUE"""),44946.0)</f>
        <v>44946</v>
      </c>
      <c r="B199" s="14" t="str">
        <f>IFERROR(__xludf.DUMMYFUNCTION("""COMPUTED_VALUE"""),"TRSF E-BANKING DB")</f>
        <v>TRSF E-BANKING DB</v>
      </c>
      <c r="C199" s="14" t="str">
        <f>IFERROR(__xludf.DUMMYFUNCTION("""COMPUTED_VALUE"""),"TRSF E-BANKING DB 2001/FTSCY/WS95031 64727100.00 pemb. kd ridwan lm jg CV SURYA INTI TERN")</f>
        <v>TRSF E-BANKING DB 2001/FTSCY/WS95031 64727100.00 pemb. kd ridwan lm jg CV SURYA INTI TERN</v>
      </c>
      <c r="D199" s="3">
        <f>IFERROR(__xludf.DUMMYFUNCTION("""COMPUTED_VALUE"""),6.47271E7)</f>
        <v>64727100</v>
      </c>
      <c r="E199" s="14"/>
      <c r="F199" s="14" t="str">
        <f>IFERROR(__xludf.DUMMYFUNCTION("""COMPUTED_VALUE"""),"DB")</f>
        <v>DB</v>
      </c>
      <c r="G199" s="3">
        <f>IFERROR(__xludf.DUMMYFUNCTION("""COMPUTED_VALUE"""),1.3012475513000011E8)</f>
        <v>130124755.1</v>
      </c>
      <c r="H199" s="14"/>
      <c r="I199" s="14" t="str">
        <f>IFERROR(__xludf.DUMMYFUNCTION("""COMPUTED_VALUE"""),"PRODUKSI")</f>
        <v>PRODUKSI</v>
      </c>
    </row>
    <row r="200">
      <c r="A200" s="13">
        <f>IFERROR(__xludf.DUMMYFUNCTION("""COMPUTED_VALUE"""),44946.0)</f>
        <v>44946</v>
      </c>
      <c r="B200" s="14" t="str">
        <f>IFERROR(__xludf.DUMMYFUNCTION("""COMPUTED_VALUE"""),"TRSF E-BANKING DB")</f>
        <v>TRSF E-BANKING DB</v>
      </c>
      <c r="C200" s="14" t="str">
        <f>IFERROR(__xludf.DUMMYFUNCTION("""COMPUTED_VALUE"""),"TRSF E-BANKING DB 2001/FTSCY/WS95271 49500000.00 tuban PITIK DIGITAL INDO")</f>
        <v>TRSF E-BANKING DB 2001/FTSCY/WS95271 49500000.00 tuban PITIK DIGITAL INDO</v>
      </c>
      <c r="D200" s="3">
        <f>IFERROR(__xludf.DUMMYFUNCTION("""COMPUTED_VALUE"""),4.95E7)</f>
        <v>49500000</v>
      </c>
      <c r="E200" s="14"/>
      <c r="F200" s="14" t="str">
        <f>IFERROR(__xludf.DUMMYFUNCTION("""COMPUTED_VALUE"""),"DB")</f>
        <v>DB</v>
      </c>
      <c r="G200" s="3">
        <f>IFERROR(__xludf.DUMMYFUNCTION("""COMPUTED_VALUE"""),8.062475513000011E7)</f>
        <v>80624755.13</v>
      </c>
      <c r="H200" s="14"/>
      <c r="I200" s="14" t="str">
        <f>IFERROR(__xludf.DUMMYFUNCTION("""COMPUTED_VALUE"""),"PRODUKSI")</f>
        <v>PRODUKSI</v>
      </c>
    </row>
    <row r="201">
      <c r="A201" s="13">
        <f>IFERROR(__xludf.DUMMYFUNCTION("""COMPUTED_VALUE"""),44946.0)</f>
        <v>44946</v>
      </c>
      <c r="B201" s="14" t="str">
        <f>IFERROR(__xludf.DUMMYFUNCTION("""COMPUTED_VALUE"""),"TRSF E-BANKING DB")</f>
        <v>TRSF E-BANKING DB</v>
      </c>
      <c r="C201" s="14" t="str">
        <f>IFERROR(__xludf.DUMMYFUNCTION("""COMPUTED_VALUE"""),"TRSF E-BANKING DB 2001/FTSCY/WS95271 60424800.00 kd yudha a tuban ANDALAN YASA MITRA")</f>
        <v>TRSF E-BANKING DB 2001/FTSCY/WS95271 60424800.00 kd yudha a tuban ANDALAN YASA MITRA</v>
      </c>
      <c r="D201" s="3">
        <f>IFERROR(__xludf.DUMMYFUNCTION("""COMPUTED_VALUE"""),6.04248E7)</f>
        <v>60424800</v>
      </c>
      <c r="E201" s="14"/>
      <c r="F201" s="14" t="str">
        <f>IFERROR(__xludf.DUMMYFUNCTION("""COMPUTED_VALUE"""),"DB")</f>
        <v>DB</v>
      </c>
      <c r="G201" s="3">
        <f>IFERROR(__xludf.DUMMYFUNCTION("""COMPUTED_VALUE"""),2.0199955130000114E7)</f>
        <v>20199955.13</v>
      </c>
      <c r="H201" s="14"/>
      <c r="I201" s="14" t="str">
        <f>IFERROR(__xludf.DUMMYFUNCTION("""COMPUTED_VALUE"""),"PRODUKSI")</f>
        <v>PRODUKSI</v>
      </c>
    </row>
    <row r="202">
      <c r="A202" s="13">
        <f>IFERROR(__xludf.DUMMYFUNCTION("""COMPUTED_VALUE"""),44946.0)</f>
        <v>44946</v>
      </c>
      <c r="B202" s="14" t="str">
        <f>IFERROR(__xludf.DUMMYFUNCTION("""COMPUTED_VALUE"""),"TRSF E-BANKING DB")</f>
        <v>TRSF E-BANKING DB</v>
      </c>
      <c r="C202" s="14" t="str">
        <f>IFERROR(__xludf.DUMMYFUNCTION("""COMPUTED_VALUE"""),"TRSF E-BANKING DB 2001/FTSCY/WS95011 96707520.00 pemb. kd salamun pasuruan ANUGERAH KARTIKA A")</f>
        <v>TRSF E-BANKING DB 2001/FTSCY/WS95011 96707520.00 pemb. kd salamun pasuruan ANUGERAH KARTIKA A</v>
      </c>
      <c r="D202" s="3">
        <f>IFERROR(__xludf.DUMMYFUNCTION("""COMPUTED_VALUE"""),9.670752E7)</f>
        <v>96707520</v>
      </c>
      <c r="E202" s="14"/>
      <c r="F202" s="14" t="str">
        <f>IFERROR(__xludf.DUMMYFUNCTION("""COMPUTED_VALUE"""),"DB")</f>
        <v>DB</v>
      </c>
      <c r="G202" s="3">
        <f>IFERROR(__xludf.DUMMYFUNCTION("""COMPUTED_VALUE"""),1.515144851300001E8)</f>
        <v>151514485.1</v>
      </c>
      <c r="H202" s="14"/>
      <c r="I202" s="14" t="str">
        <f>IFERROR(__xludf.DUMMYFUNCTION("""COMPUTED_VALUE"""),"PRODUKSI")</f>
        <v>PRODUKSI</v>
      </c>
    </row>
    <row r="203">
      <c r="A203" s="13">
        <f>IFERROR(__xludf.DUMMYFUNCTION("""COMPUTED_VALUE"""),44946.0)</f>
        <v>44946</v>
      </c>
      <c r="B203" s="14" t="str">
        <f>IFERROR(__xludf.DUMMYFUNCTION("""COMPUTED_VALUE"""),"TRSF E-BANKING DB")</f>
        <v>TRSF E-BANKING DB</v>
      </c>
      <c r="C203" s="14" t="str">
        <f>IFERROR(__xludf.DUMMYFUNCTION("""COMPUTED_VALUE"""),"TRSF E-BANKING DB 2001/FTSCY/WS95011 125400000.00 17/20 SUPER UNGGAS JAYA")</f>
        <v>TRSF E-BANKING DB 2001/FTSCY/WS95011 125400000.00 17/20 SUPER UNGGAS JAYA</v>
      </c>
      <c r="D203" s="3">
        <f>IFERROR(__xludf.DUMMYFUNCTION("""COMPUTED_VALUE"""),1.254E8)</f>
        <v>125400000</v>
      </c>
      <c r="E203" s="14"/>
      <c r="F203" s="14" t="str">
        <f>IFERROR(__xludf.DUMMYFUNCTION("""COMPUTED_VALUE"""),"DB")</f>
        <v>DB</v>
      </c>
      <c r="G203" s="3">
        <f>IFERROR(__xludf.DUMMYFUNCTION("""COMPUTED_VALUE"""),2.6114485130000114E7)</f>
        <v>26114485.13</v>
      </c>
      <c r="H203" s="14"/>
      <c r="I203" s="14" t="str">
        <f>IFERROR(__xludf.DUMMYFUNCTION("""COMPUTED_VALUE"""),"PRODUKSI")</f>
        <v>PRODUKSI</v>
      </c>
    </row>
    <row r="204">
      <c r="A204" s="13">
        <f>IFERROR(__xludf.DUMMYFUNCTION("""COMPUTED_VALUE"""),44946.0)</f>
        <v>44946</v>
      </c>
      <c r="B204" s="14" t="str">
        <f>IFERROR(__xludf.DUMMYFUNCTION("""COMPUTED_VALUE"""),"TRSF E-BANKING DB")</f>
        <v>TRSF E-BANKING DB</v>
      </c>
      <c r="C204" s="14" t="str">
        <f>IFERROR(__xludf.DUMMYFUNCTION("""COMPUTED_VALUE"""),"TRSF E-BANKING DB 2001/FTSCY/WS95011 129200000.00 pemb. kd asroful a magetan RUKUN MITRA BERSAM")</f>
        <v>TRSF E-BANKING DB 2001/FTSCY/WS95011 129200000.00 pemb. kd asroful a magetan RUKUN MITRA BERSAM</v>
      </c>
      <c r="D204" s="3">
        <f>IFERROR(__xludf.DUMMYFUNCTION("""COMPUTED_VALUE"""),1.292E8)</f>
        <v>129200000</v>
      </c>
      <c r="E204" s="14"/>
      <c r="F204" s="14" t="str">
        <f>IFERROR(__xludf.DUMMYFUNCTION("""COMPUTED_VALUE"""),"DB")</f>
        <v>DB</v>
      </c>
      <c r="G204" s="3">
        <f>IFERROR(__xludf.DUMMYFUNCTION("""COMPUTED_VALUE"""),4.751228851300001E8)</f>
        <v>475122885.1</v>
      </c>
      <c r="H204" s="14"/>
      <c r="I204" s="14" t="str">
        <f>IFERROR(__xludf.DUMMYFUNCTION("""COMPUTED_VALUE"""),"PRODUKSI")</f>
        <v>PRODUKSI</v>
      </c>
    </row>
    <row r="205">
      <c r="A205" s="13">
        <f>IFERROR(__xludf.DUMMYFUNCTION("""COMPUTED_VALUE"""),44946.0)</f>
        <v>44946</v>
      </c>
      <c r="B205" s="14" t="str">
        <f>IFERROR(__xludf.DUMMYFUNCTION("""COMPUTED_VALUE"""),"TRSF E-BANKING DB")</f>
        <v>TRSF E-BANKING DB</v>
      </c>
      <c r="C205" s="14" t="str">
        <f>IFERROR(__xludf.DUMMYFUNCTION("""COMPUTED_VALUE"""),"TRSF E-BANKING DB 2001/FTSCY/WS95011 111935090.00 Sun Jan 18 2026 15:00:00 GMT+0700 (Western Indonesia Time) SUPER UNGGAS JAYA")</f>
        <v>TRSF E-BANKING DB 2001/FTSCY/WS95011 111935090.00 Sun Jan 18 2026 15:00:00 GMT+0700 (Western Indonesia Time) SUPER UNGGAS JAYA</v>
      </c>
      <c r="D205" s="3">
        <f>IFERROR(__xludf.DUMMYFUNCTION("""COMPUTED_VALUE"""),1.1193509E8)</f>
        <v>111935090</v>
      </c>
      <c r="E205" s="14"/>
      <c r="F205" s="14" t="str">
        <f>IFERROR(__xludf.DUMMYFUNCTION("""COMPUTED_VALUE"""),"DB")</f>
        <v>DB</v>
      </c>
      <c r="G205" s="3">
        <f>IFERROR(__xludf.DUMMYFUNCTION("""COMPUTED_VALUE"""),3.631877951300001E8)</f>
        <v>363187795.1</v>
      </c>
      <c r="H205" s="14"/>
      <c r="I205" s="14" t="str">
        <f>IFERROR(__xludf.DUMMYFUNCTION("""COMPUTED_VALUE"""),"PRODUKSI")</f>
        <v>PRODUKSI</v>
      </c>
    </row>
    <row r="206">
      <c r="A206" s="13">
        <f>IFERROR(__xludf.DUMMYFUNCTION("""COMPUTED_VALUE"""),44947.0)</f>
        <v>44947</v>
      </c>
      <c r="B206" s="14" t="str">
        <f>IFERROR(__xludf.DUMMYFUNCTION("""COMPUTED_VALUE"""),"TRSF E-BANKING DB")</f>
        <v>TRSF E-BANKING DB</v>
      </c>
      <c r="C206" s="14" t="str">
        <f>IFERROR(__xludf.DUMMYFUNCTION("""COMPUTED_VALUE"""),"TRSF E-BANKING DB 2101/FTSCY/WS95271 51464400.00 pemb. kd gunadi bl itar GANESHA SATRIA NUS")</f>
        <v>TRSF E-BANKING DB 2101/FTSCY/WS95271 51464400.00 pemb. kd gunadi bl itar GANESHA SATRIA NUS</v>
      </c>
      <c r="D206" s="3">
        <f>IFERROR(__xludf.DUMMYFUNCTION("""COMPUTED_VALUE"""),5.14644E7)</f>
        <v>51464400</v>
      </c>
      <c r="E206" s="14"/>
      <c r="F206" s="14" t="str">
        <f>IFERROR(__xludf.DUMMYFUNCTION("""COMPUTED_VALUE"""),"DB")</f>
        <v>DB</v>
      </c>
      <c r="G206" s="3">
        <f>IFERROR(__xludf.DUMMYFUNCTION("""COMPUTED_VALUE"""),3.066303751300001E8)</f>
        <v>306630375.1</v>
      </c>
      <c r="H206" s="14"/>
      <c r="I206" s="14" t="str">
        <f>IFERROR(__xludf.DUMMYFUNCTION("""COMPUTED_VALUE"""),"PRODUKSI")</f>
        <v>PRODUKSI</v>
      </c>
    </row>
    <row r="207">
      <c r="A207" s="13">
        <f>IFERROR(__xludf.DUMMYFUNCTION("""COMPUTED_VALUE"""),44947.0)</f>
        <v>44947</v>
      </c>
      <c r="B207" s="14" t="str">
        <f>IFERROR(__xludf.DUMMYFUNCTION("""COMPUTED_VALUE"""),"TRSF E-BANKING DB")</f>
        <v>TRSF E-BANKING DB</v>
      </c>
      <c r="C207" s="14" t="str">
        <f>IFERROR(__xludf.DUMMYFUNCTION("""COMPUTED_VALUE"""),"TRSF E-BANKING DB 2101/FTSCY/WS95271 54615600.00 pemb. kd rinawati BINTANG TAMA SANTO")</f>
        <v>TRSF E-BANKING DB 2101/FTSCY/WS95271 54615600.00 pemb. kd rinawati BINTANG TAMA SANTO</v>
      </c>
      <c r="D207" s="3">
        <f>IFERROR(__xludf.DUMMYFUNCTION("""COMPUTED_VALUE"""),5.46156E7)</f>
        <v>54615600</v>
      </c>
      <c r="E207" s="14"/>
      <c r="F207" s="14" t="str">
        <f>IFERROR(__xludf.DUMMYFUNCTION("""COMPUTED_VALUE"""),"DB")</f>
        <v>DB</v>
      </c>
      <c r="G207" s="3">
        <f>IFERROR(__xludf.DUMMYFUNCTION("""COMPUTED_VALUE"""),2.520147751300001E8)</f>
        <v>252014775.1</v>
      </c>
      <c r="H207" s="14"/>
      <c r="I207" s="14" t="str">
        <f>IFERROR(__xludf.DUMMYFUNCTION("""COMPUTED_VALUE"""),"PRODUKSI")</f>
        <v>PRODUKSI</v>
      </c>
    </row>
    <row r="208">
      <c r="A208" s="13">
        <f>IFERROR(__xludf.DUMMYFUNCTION("""COMPUTED_VALUE"""),44947.0)</f>
        <v>44947</v>
      </c>
      <c r="B208" s="14" t="str">
        <f>IFERROR(__xludf.DUMMYFUNCTION("""COMPUTED_VALUE"""),"TRSF E-BANKING DB")</f>
        <v>TRSF E-BANKING DB</v>
      </c>
      <c r="C208" s="14" t="str">
        <f>IFERROR(__xludf.DUMMYFUNCTION("""COMPUTED_VALUE"""),"TRSF E-BANKING DB 2101/FTSCY/WS95271 51000000.00 kd agus madiun BINTANG TAMA SANTO")</f>
        <v>TRSF E-BANKING DB 2101/FTSCY/WS95271 51000000.00 kd agus madiun BINTANG TAMA SANTO</v>
      </c>
      <c r="D208" s="3">
        <f>IFERROR(__xludf.DUMMYFUNCTION("""COMPUTED_VALUE"""),5.1E7)</f>
        <v>51000000</v>
      </c>
      <c r="E208" s="14"/>
      <c r="F208" s="14" t="str">
        <f>IFERROR(__xludf.DUMMYFUNCTION("""COMPUTED_VALUE"""),"DB")</f>
        <v>DB</v>
      </c>
      <c r="G208" s="3">
        <f>IFERROR(__xludf.DUMMYFUNCTION("""COMPUTED_VALUE"""),2.010147751300001E8)</f>
        <v>201014775.1</v>
      </c>
      <c r="H208" s="14"/>
      <c r="I208" s="14" t="str">
        <f>IFERROR(__xludf.DUMMYFUNCTION("""COMPUTED_VALUE"""),"PRODUKSI")</f>
        <v>PRODUKSI</v>
      </c>
    </row>
    <row r="209">
      <c r="A209" s="13">
        <f>IFERROR(__xludf.DUMMYFUNCTION("""COMPUTED_VALUE"""),44947.0)</f>
        <v>44947</v>
      </c>
      <c r="B209" s="14" t="str">
        <f>IFERROR(__xludf.DUMMYFUNCTION("""COMPUTED_VALUE"""),"TRSF E-BANKING DB")</f>
        <v>TRSF E-BANKING DB</v>
      </c>
      <c r="C209" s="14" t="str">
        <f>IFERROR(__xludf.DUMMYFUNCTION("""COMPUTED_VALUE"""),"TRSF E-BANKING DB 2101/FTSCY/WS95271 51000000.00 pemb. kd sopingi t .agung BINTANG TAMA SANTO")</f>
        <v>TRSF E-BANKING DB 2101/FTSCY/WS95271 51000000.00 pemb. kd sopingi t .agung BINTANG TAMA SANTO</v>
      </c>
      <c r="D209" s="3">
        <f>IFERROR(__xludf.DUMMYFUNCTION("""COMPUTED_VALUE"""),5.1E7)</f>
        <v>51000000</v>
      </c>
      <c r="E209" s="14"/>
      <c r="F209" s="14" t="str">
        <f>IFERROR(__xludf.DUMMYFUNCTION("""COMPUTED_VALUE"""),"DB")</f>
        <v>DB</v>
      </c>
      <c r="G209" s="3">
        <f>IFERROR(__xludf.DUMMYFUNCTION("""COMPUTED_VALUE"""),1.500147751300001E8)</f>
        <v>150014775.1</v>
      </c>
      <c r="H209" s="14"/>
      <c r="I209" s="14" t="str">
        <f>IFERROR(__xludf.DUMMYFUNCTION("""COMPUTED_VALUE"""),"PRODUKSI")</f>
        <v>PRODUKSI</v>
      </c>
    </row>
    <row r="210">
      <c r="A210" s="13">
        <f>IFERROR(__xludf.DUMMYFUNCTION("""COMPUTED_VALUE"""),44947.0)</f>
        <v>44947</v>
      </c>
      <c r="B210" s="14" t="str">
        <f>IFERROR(__xludf.DUMMYFUNCTION("""COMPUTED_VALUE"""),"TRSF E-BANKING DB")</f>
        <v>TRSF E-BANKING DB</v>
      </c>
      <c r="C210" s="14" t="str">
        <f>IFERROR(__xludf.DUMMYFUNCTION("""COMPUTED_VALUE"""),"TRSF E-BANKING DB 2101/FTSCY/WS95271 54400000.00 tuban PITIK DIGITAL INDO")</f>
        <v>TRSF E-BANKING DB 2101/FTSCY/WS95271 54400000.00 tuban PITIK DIGITAL INDO</v>
      </c>
      <c r="D210" s="3">
        <f>IFERROR(__xludf.DUMMYFUNCTION("""COMPUTED_VALUE"""),5.44E7)</f>
        <v>54400000</v>
      </c>
      <c r="E210" s="14"/>
      <c r="F210" s="14" t="str">
        <f>IFERROR(__xludf.DUMMYFUNCTION("""COMPUTED_VALUE"""),"DB")</f>
        <v>DB</v>
      </c>
      <c r="G210" s="3">
        <f>IFERROR(__xludf.DUMMYFUNCTION("""COMPUTED_VALUE"""),9.561477513000011E7)</f>
        <v>95614775.13</v>
      </c>
      <c r="H210" s="14"/>
      <c r="I210" s="14" t="str">
        <f>IFERROR(__xludf.DUMMYFUNCTION("""COMPUTED_VALUE"""),"PRODUKSI")</f>
        <v>PRODUKSI</v>
      </c>
    </row>
    <row r="211">
      <c r="A211" s="13">
        <f>IFERROR(__xludf.DUMMYFUNCTION("""COMPUTED_VALUE"""),44947.0)</f>
        <v>44947</v>
      </c>
      <c r="B211" s="14" t="str">
        <f>IFERROR(__xludf.DUMMYFUNCTION("""COMPUTED_VALUE"""),"TRSF E-BANKING DB")</f>
        <v>TRSF E-BANKING DB</v>
      </c>
      <c r="C211" s="14" t="str">
        <f>IFERROR(__xludf.DUMMYFUNCTION("""COMPUTED_VALUE"""),"TRSF E-BANKING DB 2101/FTSCY/WS95031 67804740.00 Sun Jan 18 2026 15:00:00 GMT+0700 (Western Indonesia Time) BROILER MAKMUR TAN")</f>
        <v>TRSF E-BANKING DB 2101/FTSCY/WS95031 67804740.00 Sun Jan 18 2026 15:00:00 GMT+0700 (Western Indonesia Time) BROILER MAKMUR TAN</v>
      </c>
      <c r="D211" s="3">
        <f>IFERROR(__xludf.DUMMYFUNCTION("""COMPUTED_VALUE"""),6.780474E7)</f>
        <v>67804740</v>
      </c>
      <c r="E211" s="14"/>
      <c r="F211" s="14" t="str">
        <f>IFERROR(__xludf.DUMMYFUNCTION("""COMPUTED_VALUE"""),"DB")</f>
        <v>DB</v>
      </c>
      <c r="G211" s="3">
        <f>IFERROR(__xludf.DUMMYFUNCTION("""COMPUTED_VALUE"""),2.7810035130000114E7)</f>
        <v>27810035.13</v>
      </c>
      <c r="H211" s="14"/>
      <c r="I211" s="14" t="str">
        <f>IFERROR(__xludf.DUMMYFUNCTION("""COMPUTED_VALUE"""),"PRODUKSI")</f>
        <v>PRODUKSI</v>
      </c>
    </row>
    <row r="212">
      <c r="A212" s="13">
        <f>IFERROR(__xludf.DUMMYFUNCTION("""COMPUTED_VALUE"""),44947.0)</f>
        <v>44947</v>
      </c>
      <c r="B212" s="14" t="str">
        <f>IFERROR(__xludf.DUMMYFUNCTION("""COMPUTED_VALUE"""),"TRSF E-BANKING DB")</f>
        <v>TRSF E-BANKING DB</v>
      </c>
      <c r="C212" s="14" t="str">
        <f>IFERROR(__xludf.DUMMYFUNCTION("""COMPUTED_VALUE"""),"TRSF E-BANKING DB 2101/FTSCY/WS95011 232166480.00 pemb. 19/01 SUPER UNGGAS JAYA")</f>
        <v>TRSF E-BANKING DB 2101/FTSCY/WS95011 232166480.00 pemb. 19/01 SUPER UNGGAS JAYA</v>
      </c>
      <c r="D212" s="3">
        <f>IFERROR(__xludf.DUMMYFUNCTION("""COMPUTED_VALUE"""),2.3216648E8)</f>
        <v>232166480</v>
      </c>
      <c r="E212" s="14"/>
      <c r="F212" s="14" t="str">
        <f>IFERROR(__xludf.DUMMYFUNCTION("""COMPUTED_VALUE"""),"DB")</f>
        <v>DB</v>
      </c>
      <c r="G212" s="3">
        <f>IFERROR(__xludf.DUMMYFUNCTION("""COMPUTED_VALUE"""),4.119362851300001E8)</f>
        <v>411936285.1</v>
      </c>
      <c r="H212" s="14"/>
      <c r="I212" s="14" t="str">
        <f>IFERROR(__xludf.DUMMYFUNCTION("""COMPUTED_VALUE"""),"PRODUKSI")</f>
        <v>PRODUKSI</v>
      </c>
    </row>
    <row r="213">
      <c r="A213" s="13">
        <f>IFERROR(__xludf.DUMMYFUNCTION("""COMPUTED_VALUE"""),44947.0)</f>
        <v>44947</v>
      </c>
      <c r="B213" s="14" t="str">
        <f>IFERROR(__xludf.DUMMYFUNCTION("""COMPUTED_VALUE"""),"TRSF E-BANKING DB")</f>
        <v>TRSF E-BANKING DB</v>
      </c>
      <c r="C213" s="14" t="str">
        <f>IFERROR(__xludf.DUMMYFUNCTION("""COMPUTED_VALUE"""),"TRSF E-BANKING DB 2101/FTSCY/WS95011 215534400.00 Mon Jan 19 2026 15:00:00 GMT+0700 (Western Indonesia Time) krg 150 jt BROILER MAKMUR TAN")</f>
        <v>TRSF E-BANKING DB 2101/FTSCY/WS95011 215534400.00 Mon Jan 19 2026 15:00:00 GMT+0700 (Western Indonesia Time) krg 150 jt BROILER MAKMUR TAN</v>
      </c>
      <c r="D213" s="3">
        <f>IFERROR(__xludf.DUMMYFUNCTION("""COMPUTED_VALUE"""),2.155344E8)</f>
        <v>215534400</v>
      </c>
      <c r="E213" s="14"/>
      <c r="F213" s="14" t="str">
        <f>IFERROR(__xludf.DUMMYFUNCTION("""COMPUTED_VALUE"""),"DB")</f>
        <v>DB</v>
      </c>
      <c r="G213" s="3">
        <f>IFERROR(__xludf.DUMMYFUNCTION("""COMPUTED_VALUE"""),1.964018851300001E8)</f>
        <v>196401885.1</v>
      </c>
      <c r="H213" s="14"/>
      <c r="I213" s="14" t="str">
        <f>IFERROR(__xludf.DUMMYFUNCTION("""COMPUTED_VALUE"""),"PRODUKSI")</f>
        <v>PRODUKSI</v>
      </c>
    </row>
    <row r="214">
      <c r="A214" s="13">
        <f>IFERROR(__xludf.DUMMYFUNCTION("""COMPUTED_VALUE"""),44948.0)</f>
        <v>44948</v>
      </c>
      <c r="B214" s="14" t="str">
        <f>IFERROR(__xludf.DUMMYFUNCTION("""COMPUTED_VALUE"""),"TRSF E-BANKING DB")</f>
        <v>TRSF E-BANKING DB</v>
      </c>
      <c r="C214" s="14" t="str">
        <f>IFERROR(__xludf.DUMMYFUNCTION("""COMPUTED_VALUE"""),"TRSF E-BANKING DB 2201/FTSCY/WS95271 110500000.00 Mon Jan 19 2026 15:00:00 GMT+0700 (Western Indonesia Time) PITIK DIGITAL INDO")</f>
        <v>TRSF E-BANKING DB 2201/FTSCY/WS95271 110500000.00 Mon Jan 19 2026 15:00:00 GMT+0700 (Western Indonesia Time) PITIK DIGITAL INDO</v>
      </c>
      <c r="D214" s="3">
        <f>IFERROR(__xludf.DUMMYFUNCTION("""COMPUTED_VALUE"""),1.105E8)</f>
        <v>110500000</v>
      </c>
      <c r="E214" s="14"/>
      <c r="F214" s="14" t="str">
        <f>IFERROR(__xludf.DUMMYFUNCTION("""COMPUTED_VALUE"""),"DB")</f>
        <v>DB</v>
      </c>
      <c r="G214" s="3">
        <f>IFERROR(__xludf.DUMMYFUNCTION("""COMPUTED_VALUE"""),1.0474188513000011E8)</f>
        <v>104741885.1</v>
      </c>
      <c r="H214" s="14"/>
      <c r="I214" s="14" t="str">
        <f>IFERROR(__xludf.DUMMYFUNCTION("""COMPUTED_VALUE"""),"PRODUKSI")</f>
        <v>PRODUKSI</v>
      </c>
    </row>
    <row r="215">
      <c r="A215" s="13">
        <f>IFERROR(__xludf.DUMMYFUNCTION("""COMPUTED_VALUE"""),44948.0)</f>
        <v>44948</v>
      </c>
      <c r="B215" s="14" t="str">
        <f>IFERROR(__xludf.DUMMYFUNCTION("""COMPUTED_VALUE"""),"TRSF E-BANKING DB")</f>
        <v>TRSF E-BANKING DB</v>
      </c>
      <c r="C215" s="14" t="str">
        <f>IFERROR(__xludf.DUMMYFUNCTION("""COMPUTED_VALUE"""),"TRSF E-BANKING DB 2201/FTSCY/WS95271 93017600.00 pemb. kd siti f po nggok blitar DINA WIRANTI")</f>
        <v>TRSF E-BANKING DB 2201/FTSCY/WS95271 93017600.00 pemb. kd siti f po nggok blitar DINA WIRANTI</v>
      </c>
      <c r="D215" s="3">
        <f>IFERROR(__xludf.DUMMYFUNCTION("""COMPUTED_VALUE"""),9.30176E7)</f>
        <v>93017600</v>
      </c>
      <c r="E215" s="14"/>
      <c r="F215" s="14" t="str">
        <f>IFERROR(__xludf.DUMMYFUNCTION("""COMPUTED_VALUE"""),"DB")</f>
        <v>DB</v>
      </c>
      <c r="G215" s="3">
        <f>IFERROR(__xludf.DUMMYFUNCTION("""COMPUTED_VALUE"""),1.1436785130000114E7)</f>
        <v>11436785.13</v>
      </c>
      <c r="H215" s="14"/>
      <c r="I215" s="14" t="str">
        <f>IFERROR(__xludf.DUMMYFUNCTION("""COMPUTED_VALUE"""),"PRODUKSI")</f>
        <v>PRODUKSI</v>
      </c>
    </row>
    <row r="216">
      <c r="A216" s="13">
        <f>IFERROR(__xludf.DUMMYFUNCTION("""COMPUTED_VALUE"""),44949.0)</f>
        <v>44949</v>
      </c>
      <c r="B216" s="14" t="str">
        <f>IFERROR(__xludf.DUMMYFUNCTION("""COMPUTED_VALUE"""),"TRSF E-BANKING DB")</f>
        <v>TRSF E-BANKING DB</v>
      </c>
      <c r="C216" s="14" t="str">
        <f>IFERROR(__xludf.DUMMYFUNCTION("""COMPUTED_VALUE"""),"TRSF E-BANKING DB 2301/FTSCY/WS95271 119943450.00 pemb. kd aunur rof iq nganjuk BINTANG TAMA SANTO")</f>
        <v>TRSF E-BANKING DB 2301/FTSCY/WS95271 119943450.00 pemb. kd aunur rof iq nganjuk BINTANG TAMA SANTO</v>
      </c>
      <c r="D216" s="3">
        <f>IFERROR(__xludf.DUMMYFUNCTION("""COMPUTED_VALUE"""),1.1994345E8)</f>
        <v>119943450</v>
      </c>
      <c r="E216" s="14"/>
      <c r="F216" s="14" t="str">
        <f>IFERROR(__xludf.DUMMYFUNCTION("""COMPUTED_VALUE"""),"DB")</f>
        <v>DB</v>
      </c>
      <c r="G216" s="3">
        <f>IFERROR(__xludf.DUMMYFUNCTION("""COMPUTED_VALUE"""),1.7636435130000114E7)</f>
        <v>17636435.13</v>
      </c>
      <c r="H216" s="14"/>
      <c r="I216" s="14" t="str">
        <f>IFERROR(__xludf.DUMMYFUNCTION("""COMPUTED_VALUE"""),"PRODUKSI")</f>
        <v>PRODUKSI</v>
      </c>
    </row>
    <row r="217">
      <c r="A217" s="13">
        <f>IFERROR(__xludf.DUMMYFUNCTION("""COMPUTED_VALUE"""),44949.0)</f>
        <v>44949</v>
      </c>
      <c r="B217" s="14" t="str">
        <f>IFERROR(__xludf.DUMMYFUNCTION("""COMPUTED_VALUE"""),"TRSF E-BANKING DB")</f>
        <v>TRSF E-BANKING DB</v>
      </c>
      <c r="C217" s="14" t="str">
        <f>IFERROR(__xludf.DUMMYFUNCTION("""COMPUTED_VALUE"""),"TRSF E-BANKING DB 2301/FTSCY/WS95271 91351450.00 kd endrik blitar GANESHA SATRIA NUS")</f>
        <v>TRSF E-BANKING DB 2301/FTSCY/WS95271 91351450.00 kd endrik blitar GANESHA SATRIA NUS</v>
      </c>
      <c r="D217" s="3">
        <f>IFERROR(__xludf.DUMMYFUNCTION("""COMPUTED_VALUE"""),9.135145E7)</f>
        <v>91351450</v>
      </c>
      <c r="E217" s="14"/>
      <c r="F217" s="14" t="str">
        <f>IFERROR(__xludf.DUMMYFUNCTION("""COMPUTED_VALUE"""),"DB")</f>
        <v>DB</v>
      </c>
      <c r="G217" s="3">
        <f>IFERROR(__xludf.DUMMYFUNCTION("""COMPUTED_VALUE"""),1.9629635130000114E7)</f>
        <v>19629635.13</v>
      </c>
      <c r="H217" s="14"/>
      <c r="I217" s="14" t="str">
        <f>IFERROR(__xludf.DUMMYFUNCTION("""COMPUTED_VALUE"""),"PRODUKSI")</f>
        <v>PRODUKSI</v>
      </c>
    </row>
    <row r="218">
      <c r="A218" s="13">
        <f>IFERROR(__xludf.DUMMYFUNCTION("""COMPUTED_VALUE"""),44949.0)</f>
        <v>44949</v>
      </c>
      <c r="B218" s="14" t="str">
        <f>IFERROR(__xludf.DUMMYFUNCTION("""COMPUTED_VALUE"""),"TRSF E-BANKING DB")</f>
        <v>TRSF E-BANKING DB</v>
      </c>
      <c r="C218" s="14" t="str">
        <f>IFERROR(__xludf.DUMMYFUNCTION("""COMPUTED_VALUE"""),"TRSF E-BANKING DB 2301/FTSCY/WS95031 47515000.00 kd suhendro kdr ANUGERAH KARTIKA A")</f>
        <v>TRSF E-BANKING DB 2301/FTSCY/WS95031 47515000.00 kd suhendro kdr ANUGERAH KARTIKA A</v>
      </c>
      <c r="D218" s="3">
        <f>IFERROR(__xludf.DUMMYFUNCTION("""COMPUTED_VALUE"""),4.7515E7)</f>
        <v>47515000</v>
      </c>
      <c r="E218" s="14"/>
      <c r="F218" s="14" t="str">
        <f>IFERROR(__xludf.DUMMYFUNCTION("""COMPUTED_VALUE"""),"DB")</f>
        <v>DB</v>
      </c>
      <c r="G218" s="3">
        <f>IFERROR(__xludf.DUMMYFUNCTION("""COMPUTED_VALUE"""),2.5404635130000114E7)</f>
        <v>25404635.13</v>
      </c>
      <c r="H218" s="14"/>
      <c r="I218" s="14" t="str">
        <f>IFERROR(__xludf.DUMMYFUNCTION("""COMPUTED_VALUE"""),"PRODUKSI")</f>
        <v>PRODUKSI</v>
      </c>
    </row>
    <row r="219">
      <c r="A219" s="13">
        <f>IFERROR(__xludf.DUMMYFUNCTION("""COMPUTED_VALUE"""),44950.0)</f>
        <v>44950</v>
      </c>
      <c r="B219" s="14" t="str">
        <f>IFERROR(__xludf.DUMMYFUNCTION("""COMPUTED_VALUE"""),"TRSF E-BANKING DB")</f>
        <v>TRSF E-BANKING DB</v>
      </c>
      <c r="C219" s="14" t="str">
        <f>IFERROR(__xludf.DUMMYFUNCTION("""COMPUTED_VALUE"""),"TRSF E-BANKING DB 2401/FTSCY/WS95271 253997500.00 pelunasan BROILER MAKMUR TAN")</f>
        <v>TRSF E-BANKING DB 2401/FTSCY/WS95271 253997500.00 pelunasan BROILER MAKMUR TAN</v>
      </c>
      <c r="D219" s="3">
        <f>IFERROR(__xludf.DUMMYFUNCTION("""COMPUTED_VALUE"""),2.539975E8)</f>
        <v>253997500</v>
      </c>
      <c r="E219" s="14"/>
      <c r="F219" s="14" t="str">
        <f>IFERROR(__xludf.DUMMYFUNCTION("""COMPUTED_VALUE"""),"DB")</f>
        <v>DB</v>
      </c>
      <c r="G219" s="3">
        <f>IFERROR(__xludf.DUMMYFUNCTION("""COMPUTED_VALUE"""),3.685873951300001E8)</f>
        <v>368587395.1</v>
      </c>
      <c r="H219" s="14"/>
      <c r="I219" s="14" t="str">
        <f>IFERROR(__xludf.DUMMYFUNCTION("""COMPUTED_VALUE"""),"PRODUKSI")</f>
        <v>PRODUKSI</v>
      </c>
    </row>
    <row r="220">
      <c r="A220" s="13">
        <f>IFERROR(__xludf.DUMMYFUNCTION("""COMPUTED_VALUE"""),44950.0)</f>
        <v>44950</v>
      </c>
      <c r="B220" s="14" t="str">
        <f>IFERROR(__xludf.DUMMYFUNCTION("""COMPUTED_VALUE"""),"TRSF E-BANKING DB")</f>
        <v>TRSF E-BANKING DB</v>
      </c>
      <c r="C220" s="14" t="str">
        <f>IFERROR(__xludf.DUMMYFUNCTION("""COMPUTED_VALUE"""),"TRSF E-BANKING DB 2401/FTSCY/WS95031 58427040.00 tuban PITIK DIGITAL INDO")</f>
        <v>TRSF E-BANKING DB 2401/FTSCY/WS95031 58427040.00 tuban PITIK DIGITAL INDO</v>
      </c>
      <c r="D220" s="3">
        <f>IFERROR(__xludf.DUMMYFUNCTION("""COMPUTED_VALUE"""),5.842704E7)</f>
        <v>58427040</v>
      </c>
      <c r="E220" s="14"/>
      <c r="F220" s="14" t="str">
        <f>IFERROR(__xludf.DUMMYFUNCTION("""COMPUTED_VALUE"""),"DB")</f>
        <v>DB</v>
      </c>
      <c r="G220" s="3">
        <f>IFERROR(__xludf.DUMMYFUNCTION("""COMPUTED_VALUE"""),3.101603551300001E8)</f>
        <v>310160355.1</v>
      </c>
      <c r="H220" s="14"/>
      <c r="I220" s="14" t="str">
        <f>IFERROR(__xludf.DUMMYFUNCTION("""COMPUTED_VALUE"""),"PRODUKSI")</f>
        <v>PRODUKSI</v>
      </c>
    </row>
    <row r="221">
      <c r="A221" s="13">
        <f>IFERROR(__xludf.DUMMYFUNCTION("""COMPUTED_VALUE"""),44950.0)</f>
        <v>44950</v>
      </c>
      <c r="B221" s="14" t="str">
        <f>IFERROR(__xludf.DUMMYFUNCTION("""COMPUTED_VALUE"""),"TRSF E-BANKING DB")</f>
        <v>TRSF E-BANKING DB</v>
      </c>
      <c r="C221" s="14" t="str">
        <f>IFERROR(__xludf.DUMMYFUNCTION("""COMPUTED_VALUE"""),"TRSF E-BANKING DB 2401/FTSCY/WS95011 176673300.00 pelunasan SUPER UNGGAS JAYA")</f>
        <v>TRSF E-BANKING DB 2401/FTSCY/WS95011 176673300.00 pelunasan SUPER UNGGAS JAYA</v>
      </c>
      <c r="D221" s="3">
        <f>IFERROR(__xludf.DUMMYFUNCTION("""COMPUTED_VALUE"""),1.766733E8)</f>
        <v>176673300</v>
      </c>
      <c r="E221" s="14"/>
      <c r="F221" s="14" t="str">
        <f>IFERROR(__xludf.DUMMYFUNCTION("""COMPUTED_VALUE"""),"DB")</f>
        <v>DB</v>
      </c>
      <c r="G221" s="3">
        <f>IFERROR(__xludf.DUMMYFUNCTION("""COMPUTED_VALUE"""),1.3348705513000011E8)</f>
        <v>133487055.1</v>
      </c>
      <c r="H221" s="14"/>
      <c r="I221" s="14" t="str">
        <f>IFERROR(__xludf.DUMMYFUNCTION("""COMPUTED_VALUE"""),"PRODUKSI")</f>
        <v>PRODUKSI</v>
      </c>
    </row>
    <row r="222">
      <c r="A222" s="13">
        <f>IFERROR(__xludf.DUMMYFUNCTION("""COMPUTED_VALUE"""),44950.0)</f>
        <v>44950</v>
      </c>
      <c r="B222" s="14" t="str">
        <f>IFERROR(__xludf.DUMMYFUNCTION("""COMPUTED_VALUE"""),"TRSF E-BANKING DB")</f>
        <v>TRSF E-BANKING DB</v>
      </c>
      <c r="C222" s="14" t="str">
        <f>IFERROR(__xludf.DUMMYFUNCTION("""COMPUTED_VALUE"""),"TRSF E-BANKING DB 2401/FTSCY/WS95011 93317300.00 pelunasan probolinggo PITIK DIGITAL INDO")</f>
        <v>TRSF E-BANKING DB 2401/FTSCY/WS95011 93317300.00 pelunasan probolinggo PITIK DIGITAL INDO</v>
      </c>
      <c r="D222" s="3">
        <f>IFERROR(__xludf.DUMMYFUNCTION("""COMPUTED_VALUE"""),9.33173E7)</f>
        <v>93317300</v>
      </c>
      <c r="E222" s="14"/>
      <c r="F222" s="14" t="str">
        <f>IFERROR(__xludf.DUMMYFUNCTION("""COMPUTED_VALUE"""),"DB")</f>
        <v>DB</v>
      </c>
      <c r="G222" s="3">
        <f>IFERROR(__xludf.DUMMYFUNCTION("""COMPUTED_VALUE"""),4.0169755130000114E7)</f>
        <v>40169755.13</v>
      </c>
      <c r="H222" s="14"/>
      <c r="I222" s="14" t="str">
        <f>IFERROR(__xludf.DUMMYFUNCTION("""COMPUTED_VALUE"""),"PRODUKSI")</f>
        <v>PRODUKSI</v>
      </c>
    </row>
    <row r="223">
      <c r="A223" s="13">
        <f>IFERROR(__xludf.DUMMYFUNCTION("""COMPUTED_VALUE"""),44950.0)</f>
        <v>44950</v>
      </c>
      <c r="B223" s="14" t="str">
        <f>IFERROR(__xludf.DUMMYFUNCTION("""COMPUTED_VALUE"""),"TRSF E-BANKING DB")</f>
        <v>TRSF E-BANKING DB</v>
      </c>
      <c r="C223" s="14" t="str">
        <f>IFERROR(__xludf.DUMMYFUNCTION("""COMPUTED_VALUE"""),"TRSF E-BANKING DB 2401/FTSCY/WS95011 50955040.00 jombang PITIK DIGITAL INDO")</f>
        <v>TRSF E-BANKING DB 2401/FTSCY/WS95011 50955040.00 jombang PITIK DIGITAL INDO</v>
      </c>
      <c r="D223" s="3">
        <f>IFERROR(__xludf.DUMMYFUNCTION("""COMPUTED_VALUE"""),5.095504E7)</f>
        <v>50955040</v>
      </c>
      <c r="E223" s="14"/>
      <c r="F223" s="14" t="str">
        <f>IFERROR(__xludf.DUMMYFUNCTION("""COMPUTED_VALUE"""),"DB")</f>
        <v>DB</v>
      </c>
      <c r="G223" s="3">
        <f>IFERROR(__xludf.DUMMYFUNCTION("""COMPUTED_VALUE"""),8.764934513000011E7)</f>
        <v>87649345.13</v>
      </c>
      <c r="H223" s="14"/>
      <c r="I223" s="14" t="str">
        <f>IFERROR(__xludf.DUMMYFUNCTION("""COMPUTED_VALUE"""),"PRODUKSI")</f>
        <v>PRODUKSI</v>
      </c>
    </row>
    <row r="224">
      <c r="A224" s="13">
        <f>IFERROR(__xludf.DUMMYFUNCTION("""COMPUTED_VALUE"""),44950.0)</f>
        <v>44950</v>
      </c>
      <c r="B224" s="14" t="str">
        <f>IFERROR(__xludf.DUMMYFUNCTION("""COMPUTED_VALUE"""),"TRSF E-BANKING DB")</f>
        <v>TRSF E-BANKING DB</v>
      </c>
      <c r="C224" s="14" t="str">
        <f>IFERROR(__xludf.DUMMYFUNCTION("""COMPUTED_VALUE"""),"TRSF E-BANKING DB 2401/FTSCY/WS95011 52198460.00 madiun PITIK DIGITAL INDO")</f>
        <v>TRSF E-BANKING DB 2401/FTSCY/WS95011 52198460.00 madiun PITIK DIGITAL INDO</v>
      </c>
      <c r="D224" s="3">
        <f>IFERROR(__xludf.DUMMYFUNCTION("""COMPUTED_VALUE"""),5.219846E7)</f>
        <v>52198460</v>
      </c>
      <c r="E224" s="14"/>
      <c r="F224" s="14" t="str">
        <f>IFERROR(__xludf.DUMMYFUNCTION("""COMPUTED_VALUE"""),"DB")</f>
        <v>DB</v>
      </c>
      <c r="G224" s="3">
        <f>IFERROR(__xludf.DUMMYFUNCTION("""COMPUTED_VALUE"""),3.5450885130000114E7)</f>
        <v>35450885.13</v>
      </c>
      <c r="H224" s="14"/>
      <c r="I224" s="14" t="str">
        <f>IFERROR(__xludf.DUMMYFUNCTION("""COMPUTED_VALUE"""),"PRODUKSI")</f>
        <v>PRODUKSI</v>
      </c>
    </row>
    <row r="225">
      <c r="A225" s="13">
        <f>IFERROR(__xludf.DUMMYFUNCTION("""COMPUTED_VALUE"""),44951.0)</f>
        <v>44951</v>
      </c>
      <c r="B225" s="14" t="str">
        <f>IFERROR(__xludf.DUMMYFUNCTION("""COMPUTED_VALUE"""),"TRSF E-BANKING DB")</f>
        <v>TRSF E-BANKING DB</v>
      </c>
      <c r="C225" s="14" t="str">
        <f>IFERROR(__xludf.DUMMYFUNCTION("""COMPUTED_VALUE"""),"TRSF E-BANKING DB 2501/FTSCY/WS95031 12000000.00 ganhesa M NUR GHOFAR")</f>
        <v>TRSF E-BANKING DB 2501/FTSCY/WS95031 12000000.00 ganhesa M NUR GHOFAR</v>
      </c>
      <c r="D225" s="3">
        <f>IFERROR(__xludf.DUMMYFUNCTION("""COMPUTED_VALUE"""),1.2E7)</f>
        <v>12000000</v>
      </c>
      <c r="E225" s="14"/>
      <c r="F225" s="14" t="str">
        <f>IFERROR(__xludf.DUMMYFUNCTION("""COMPUTED_VALUE"""),"DB")</f>
        <v>DB</v>
      </c>
      <c r="G225" s="3">
        <f>IFERROR(__xludf.DUMMYFUNCTION("""COMPUTED_VALUE"""),1.7986365130000114E7)</f>
        <v>17986365.13</v>
      </c>
      <c r="H225" s="14"/>
      <c r="I225" s="14" t="str">
        <f>IFERROR(__xludf.DUMMYFUNCTION("""COMPUTED_VALUE"""),"PRODUKSI")</f>
        <v>PRODUKSI</v>
      </c>
    </row>
    <row r="226">
      <c r="A226" s="13">
        <f>IFERROR(__xludf.DUMMYFUNCTION("""COMPUTED_VALUE"""),44951.0)</f>
        <v>44951</v>
      </c>
      <c r="B226" s="14" t="str">
        <f>IFERROR(__xludf.DUMMYFUNCTION("""COMPUTED_VALUE"""),"TRSF E-BANKING DB")</f>
        <v>TRSF E-BANKING DB</v>
      </c>
      <c r="C226" s="14" t="str">
        <f>IFERROR(__xludf.DUMMYFUNCTION("""COMPUTED_VALUE"""),"TRSF E-BANKING DB 2501/FTSCY/WS95031 1000000.00 oprasional mlg M ILHAM HIDAYATULL")</f>
        <v>TRSF E-BANKING DB 2501/FTSCY/WS95031 1000000.00 oprasional mlg M ILHAM HIDAYATULL</v>
      </c>
      <c r="D226" s="3">
        <f>IFERROR(__xludf.DUMMYFUNCTION("""COMPUTED_VALUE"""),1000000.0)</f>
        <v>1000000</v>
      </c>
      <c r="E226" s="14"/>
      <c r="F226" s="14" t="str">
        <f>IFERROR(__xludf.DUMMYFUNCTION("""COMPUTED_VALUE"""),"DB")</f>
        <v>DB</v>
      </c>
      <c r="G226" s="3">
        <f>IFERROR(__xludf.DUMMYFUNCTION("""COMPUTED_VALUE"""),1.2015896513000011E8)</f>
        <v>120158965.1</v>
      </c>
      <c r="H226" s="14"/>
      <c r="I226" s="14" t="str">
        <f>IFERROR(__xludf.DUMMYFUNCTION("""COMPUTED_VALUE"""),"PRODUKSI")</f>
        <v>PRODUKSI</v>
      </c>
    </row>
    <row r="227">
      <c r="A227" s="13">
        <f>IFERROR(__xludf.DUMMYFUNCTION("""COMPUTED_VALUE"""),44951.0)</f>
        <v>44951</v>
      </c>
      <c r="B227" s="14" t="str">
        <f>IFERROR(__xludf.DUMMYFUNCTION("""COMPUTED_VALUE"""),"TRSF E-BANKING DB")</f>
        <v>TRSF E-BANKING DB</v>
      </c>
      <c r="C227" s="14" t="str">
        <f>IFERROR(__xludf.DUMMYFUNCTION("""COMPUTED_VALUE"""),"TRSF E-BANKING DB 2501/FTSCY/WS95031 46900800.00 kd sugiono magetan BINTANG TAMA SANTO")</f>
        <v>TRSF E-BANKING DB 2501/FTSCY/WS95031 46900800.00 kd sugiono magetan BINTANG TAMA SANTO</v>
      </c>
      <c r="D227" s="3">
        <f>IFERROR(__xludf.DUMMYFUNCTION("""COMPUTED_VALUE"""),4.69008E7)</f>
        <v>46900800</v>
      </c>
      <c r="E227" s="14"/>
      <c r="F227" s="14" t="str">
        <f>IFERROR(__xludf.DUMMYFUNCTION("""COMPUTED_VALUE"""),"DB")</f>
        <v>DB</v>
      </c>
      <c r="G227" s="3">
        <f>IFERROR(__xludf.DUMMYFUNCTION("""COMPUTED_VALUE"""),1.2306048513000011E8)</f>
        <v>123060485.1</v>
      </c>
      <c r="H227" s="14"/>
      <c r="I227" s="14" t="str">
        <f>IFERROR(__xludf.DUMMYFUNCTION("""COMPUTED_VALUE"""),"PRODUKSI")</f>
        <v>PRODUKSI</v>
      </c>
    </row>
    <row r="228">
      <c r="A228" s="13">
        <f>IFERROR(__xludf.DUMMYFUNCTION("""COMPUTED_VALUE"""),44951.0)</f>
        <v>44951</v>
      </c>
      <c r="B228" s="14" t="str">
        <f>IFERROR(__xludf.DUMMYFUNCTION("""COMPUTED_VALUE"""),"TRSF E-BANKING DB")</f>
        <v>TRSF E-BANKING DB</v>
      </c>
      <c r="C228" s="14" t="str">
        <f>IFERROR(__xludf.DUMMYFUNCTION("""COMPUTED_VALUE"""),"TRSF E-BANKING DB 2501/FTSCY/WS95271 121772800.00 pemb. farm farm sa jam ANDALAN YASA MITRA")</f>
        <v>TRSF E-BANKING DB 2501/FTSCY/WS95271 121772800.00 pemb. farm farm sa jam ANDALAN YASA MITRA</v>
      </c>
      <c r="D228" s="3">
        <f>IFERROR(__xludf.DUMMYFUNCTION("""COMPUTED_VALUE"""),1.217728E8)</f>
        <v>121772800</v>
      </c>
      <c r="E228" s="14"/>
      <c r="F228" s="14" t="str">
        <f>IFERROR(__xludf.DUMMYFUNCTION("""COMPUTED_VALUE"""),"DB")</f>
        <v>DB</v>
      </c>
      <c r="G228" s="3">
        <f>IFERROR(__xludf.DUMMYFUNCTION("""COMPUTED_VALUE"""),1287685.1300001144)</f>
        <v>1287685.13</v>
      </c>
      <c r="H228" s="14"/>
      <c r="I228" s="14" t="str">
        <f>IFERROR(__xludf.DUMMYFUNCTION("""COMPUTED_VALUE"""),"PRODUKSI")</f>
        <v>PRODUKSI</v>
      </c>
    </row>
    <row r="229">
      <c r="A229" s="13">
        <f>IFERROR(__xludf.DUMMYFUNCTION("""COMPUTED_VALUE"""),44952.0)</f>
        <v>44952</v>
      </c>
      <c r="B229" s="14" t="str">
        <f>IFERROR(__xludf.DUMMYFUNCTION("""COMPUTED_VALUE"""),"TRSF E-BANKING DB")</f>
        <v>TRSF E-BANKING DB</v>
      </c>
      <c r="C229" s="14" t="str">
        <f>IFERROR(__xludf.DUMMYFUNCTION("""COMPUTED_VALUE"""),"TRSF E-BANKING DB 2601/FTSCY/WS95271 105595010.00 jombng ANDALAN YASA MITRA")</f>
        <v>TRSF E-BANKING DB 2601/FTSCY/WS95271 105595010.00 jombng ANDALAN YASA MITRA</v>
      </c>
      <c r="D229" s="3">
        <f>IFERROR(__xludf.DUMMYFUNCTION("""COMPUTED_VALUE"""),1.0559501E8)</f>
        <v>105595010</v>
      </c>
      <c r="E229" s="14"/>
      <c r="F229" s="14" t="str">
        <f>IFERROR(__xludf.DUMMYFUNCTION("""COMPUTED_VALUE"""),"DB")</f>
        <v>DB</v>
      </c>
      <c r="G229" s="3">
        <f>IFERROR(__xludf.DUMMYFUNCTION("""COMPUTED_VALUE"""),3.7434375130000114E7)</f>
        <v>37434375.13</v>
      </c>
      <c r="H229" s="14"/>
      <c r="I229" s="14" t="str">
        <f>IFERROR(__xludf.DUMMYFUNCTION("""COMPUTED_VALUE"""),"PRODUKSI")</f>
        <v>PRODUKSI</v>
      </c>
    </row>
    <row r="230">
      <c r="A230" s="13">
        <f>IFERROR(__xludf.DUMMYFUNCTION("""COMPUTED_VALUE"""),44952.0)</f>
        <v>44952</v>
      </c>
      <c r="B230" s="14" t="str">
        <f>IFERROR(__xludf.DUMMYFUNCTION("""COMPUTED_VALUE"""),"TRSF E-BANKING DB")</f>
        <v>TRSF E-BANKING DB</v>
      </c>
      <c r="C230" s="14" t="str">
        <f>IFERROR(__xludf.DUMMYFUNCTION("""COMPUTED_VALUE"""),"TRSF E-BANKING DB 2601/FTSCY/WS95271 55659540.00 pemb. farm sugiant o RUKUN MITRA BERSAM")</f>
        <v>TRSF E-BANKING DB 2601/FTSCY/WS95271 55659540.00 pemb. farm sugiant o RUKUN MITRA BERSAM</v>
      </c>
      <c r="D230" s="3">
        <f>IFERROR(__xludf.DUMMYFUNCTION("""COMPUTED_VALUE"""),5.565954E7)</f>
        <v>55659540</v>
      </c>
      <c r="E230" s="14"/>
      <c r="F230" s="14" t="str">
        <f>IFERROR(__xludf.DUMMYFUNCTION("""COMPUTED_VALUE"""),"DB")</f>
        <v>DB</v>
      </c>
      <c r="G230" s="3">
        <f>IFERROR(__xludf.DUMMYFUNCTION("""COMPUTED_VALUE"""),2.276819451300001E8)</f>
        <v>227681945.1</v>
      </c>
      <c r="H230" s="14"/>
      <c r="I230" s="14" t="str">
        <f>IFERROR(__xludf.DUMMYFUNCTION("""COMPUTED_VALUE"""),"PRODUKSI")</f>
        <v>PRODUKSI</v>
      </c>
    </row>
    <row r="231">
      <c r="A231" s="13">
        <f>IFERROR(__xludf.DUMMYFUNCTION("""COMPUTED_VALUE"""),44952.0)</f>
        <v>44952</v>
      </c>
      <c r="B231" s="14" t="str">
        <f>IFERROR(__xludf.DUMMYFUNCTION("""COMPUTED_VALUE"""),"TRSF E-BANKING DB")</f>
        <v>TRSF E-BANKING DB</v>
      </c>
      <c r="C231" s="14" t="str">
        <f>IFERROR(__xludf.DUMMYFUNCTION("""COMPUTED_VALUE"""),"TRSF E-BANKING DB 2601/FTSCY/WS95271 111368000.00 Tue Jan 13 2026 15:00:00 GMT+0700 (Western Indonesia Time) BROILER MAKMUR TAN")</f>
        <v>TRSF E-BANKING DB 2601/FTSCY/WS95271 111368000.00 Tue Jan 13 2026 15:00:00 GMT+0700 (Western Indonesia Time) BROILER MAKMUR TAN</v>
      </c>
      <c r="D231" s="3">
        <f>IFERROR(__xludf.DUMMYFUNCTION("""COMPUTED_VALUE"""),1.11368E8)</f>
        <v>111368000</v>
      </c>
      <c r="E231" s="14"/>
      <c r="F231" s="14" t="str">
        <f>IFERROR(__xludf.DUMMYFUNCTION("""COMPUTED_VALUE"""),"DB")</f>
        <v>DB</v>
      </c>
      <c r="G231" s="3">
        <f>IFERROR(__xludf.DUMMYFUNCTION("""COMPUTED_VALUE"""),1.1631394513000011E8)</f>
        <v>116313945.1</v>
      </c>
      <c r="H231" s="14"/>
      <c r="I231" s="14" t="str">
        <f>IFERROR(__xludf.DUMMYFUNCTION("""COMPUTED_VALUE"""),"PRODUKSI")</f>
        <v>PRODUKSI</v>
      </c>
    </row>
    <row r="232">
      <c r="A232" s="13">
        <f>IFERROR(__xludf.DUMMYFUNCTION("""COMPUTED_VALUE"""),44952.0)</f>
        <v>44952</v>
      </c>
      <c r="B232" s="14" t="str">
        <f>IFERROR(__xludf.DUMMYFUNCTION("""COMPUTED_VALUE"""),"TRSF E-BANKING DB")</f>
        <v>TRSF E-BANKING DB</v>
      </c>
      <c r="C232" s="14" t="str">
        <f>IFERROR(__xludf.DUMMYFUNCTION("""COMPUTED_VALUE"""),"TRSF E-BANKING DB 2601/FTSCY/WS95031 45559300.00 Fri Jan 23 2026 15:00:00 GMT+0700 (Western Indonesia Time) ANUGERAH KARTIKA A")</f>
        <v>TRSF E-BANKING DB 2601/FTSCY/WS95031 45559300.00 Fri Jan 23 2026 15:00:00 GMT+0700 (Western Indonesia Time) ANUGERAH KARTIKA A</v>
      </c>
      <c r="D232" s="3">
        <f>IFERROR(__xludf.DUMMYFUNCTION("""COMPUTED_VALUE"""),4.55593E7)</f>
        <v>45559300</v>
      </c>
      <c r="E232" s="14"/>
      <c r="F232" s="14" t="str">
        <f>IFERROR(__xludf.DUMMYFUNCTION("""COMPUTED_VALUE"""),"DB")</f>
        <v>DB</v>
      </c>
      <c r="G232" s="3">
        <f>IFERROR(__xludf.DUMMYFUNCTION("""COMPUTED_VALUE"""),7.075464513000011E7)</f>
        <v>70754645.13</v>
      </c>
      <c r="H232" s="14"/>
      <c r="I232" s="14" t="str">
        <f>IFERROR(__xludf.DUMMYFUNCTION("""COMPUTED_VALUE"""),"PRODUKSI")</f>
        <v>PRODUKSI</v>
      </c>
    </row>
    <row r="233">
      <c r="A233" s="13">
        <f>IFERROR(__xludf.DUMMYFUNCTION("""COMPUTED_VALUE"""),44952.0)</f>
        <v>44952</v>
      </c>
      <c r="B233" s="14" t="str">
        <f>IFERROR(__xludf.DUMMYFUNCTION("""COMPUTED_VALUE"""),"TRSF E-BANKING DB")</f>
        <v>TRSF E-BANKING DB</v>
      </c>
      <c r="C233" s="14" t="str">
        <f>IFERROR(__xludf.DUMMYFUNCTION("""COMPUTED_VALUE"""),"TRSF E-BANKING DB 2601/FTSCY/WS95011 75011900.00 kd badrutama nganj DINA WIRANTI")</f>
        <v>TRSF E-BANKING DB 2601/FTSCY/WS95011 75011900.00 kd badrutama nganj DINA WIRANTI</v>
      </c>
      <c r="D233" s="3">
        <f>IFERROR(__xludf.DUMMYFUNCTION("""COMPUTED_VALUE"""),7.50119E7)</f>
        <v>75011900</v>
      </c>
      <c r="E233" s="14"/>
      <c r="F233" s="14" t="str">
        <f>IFERROR(__xludf.DUMMYFUNCTION("""COMPUTED_VALUE"""),"DB")</f>
        <v>DB</v>
      </c>
      <c r="G233" s="3">
        <f>IFERROR(__xludf.DUMMYFUNCTION("""COMPUTED_VALUE"""),4.081435701300001E8)</f>
        <v>408143570.1</v>
      </c>
      <c r="H233" s="14"/>
      <c r="I233" s="14" t="str">
        <f>IFERROR(__xludf.DUMMYFUNCTION("""COMPUTED_VALUE"""),"PRODUKSI")</f>
        <v>PRODUKSI</v>
      </c>
    </row>
    <row r="234">
      <c r="A234" s="13">
        <f>IFERROR(__xludf.DUMMYFUNCTION("""COMPUTED_VALUE"""),44952.0)</f>
        <v>44952</v>
      </c>
      <c r="B234" s="14" t="str">
        <f>IFERROR(__xludf.DUMMYFUNCTION("""COMPUTED_VALUE"""),"TRSF E-BANKING DB")</f>
        <v>TRSF E-BANKING DB</v>
      </c>
      <c r="C234" s="14" t="str">
        <f>IFERROR(__xludf.DUMMYFUNCTION("""COMPUTED_VALUE"""),"TRSF E-BANKING DB 2601/FTSCY/WS95011 42930000.00 pemb. kd pt jude bws BROILER MAKMUR TAN")</f>
        <v>TRSF E-BANKING DB 2601/FTSCY/WS95011 42930000.00 pemb. kd pt jude bws BROILER MAKMUR TAN</v>
      </c>
      <c r="D234" s="3">
        <f>IFERROR(__xludf.DUMMYFUNCTION("""COMPUTED_VALUE"""),4.293E7)</f>
        <v>42930000</v>
      </c>
      <c r="E234" s="14"/>
      <c r="F234" s="14" t="str">
        <f>IFERROR(__xludf.DUMMYFUNCTION("""COMPUTED_VALUE"""),"DB")</f>
        <v>DB</v>
      </c>
      <c r="G234" s="3">
        <f>IFERROR(__xludf.DUMMYFUNCTION("""COMPUTED_VALUE"""),3.652135701300001E8)</f>
        <v>365213570.1</v>
      </c>
      <c r="H234" s="14"/>
      <c r="I234" s="14" t="str">
        <f>IFERROR(__xludf.DUMMYFUNCTION("""COMPUTED_VALUE"""),"PRODUKSI")</f>
        <v>PRODUKSI</v>
      </c>
    </row>
    <row r="235">
      <c r="A235" s="13">
        <f>IFERROR(__xludf.DUMMYFUNCTION("""COMPUTED_VALUE"""),44952.0)</f>
        <v>44952</v>
      </c>
      <c r="B235" s="14" t="str">
        <f>IFERROR(__xludf.DUMMYFUNCTION("""COMPUTED_VALUE"""),"TRSF E-BANKING DB")</f>
        <v>TRSF E-BANKING DB</v>
      </c>
      <c r="C235" s="14" t="str">
        <f>IFERROR(__xludf.DUMMYFUNCTION("""COMPUTED_VALUE"""),"TRSF E-BANKING DB 2601/FTSCY/WS95011 199500000.00 kd kusyadi b 23/01 ANDALAN YASA MITRA")</f>
        <v>TRSF E-BANKING DB 2601/FTSCY/WS95011 199500000.00 kd kusyadi b 23/01 ANDALAN YASA MITRA</v>
      </c>
      <c r="D235" s="3">
        <f>IFERROR(__xludf.DUMMYFUNCTION("""COMPUTED_VALUE"""),1.995E8)</f>
        <v>199500000</v>
      </c>
      <c r="E235" s="14"/>
      <c r="F235" s="14" t="str">
        <f>IFERROR(__xludf.DUMMYFUNCTION("""COMPUTED_VALUE"""),"DB")</f>
        <v>DB</v>
      </c>
      <c r="G235" s="3">
        <f>IFERROR(__xludf.DUMMYFUNCTION("""COMPUTED_VALUE"""),1.657135701300001E8)</f>
        <v>165713570.1</v>
      </c>
      <c r="H235" s="14"/>
      <c r="I235" s="14" t="str">
        <f>IFERROR(__xludf.DUMMYFUNCTION("""COMPUTED_VALUE"""),"PRODUKSI")</f>
        <v>PRODUKSI</v>
      </c>
    </row>
    <row r="236">
      <c r="A236" s="13">
        <f>IFERROR(__xludf.DUMMYFUNCTION("""COMPUTED_VALUE"""),44952.0)</f>
        <v>44952</v>
      </c>
      <c r="B236" s="14" t="str">
        <f>IFERROR(__xludf.DUMMYFUNCTION("""COMPUTED_VALUE"""),"TRSF E-BANKING DB")</f>
        <v>TRSF E-BANKING DB</v>
      </c>
      <c r="C236" s="14" t="str">
        <f>IFERROR(__xludf.DUMMYFUNCTION("""COMPUTED_VALUE"""),"TRSF E-BANKING DB 2601/FTSCY/WS95011 72040550.00 pemb. 24/01 GANESHA SATRIA NUS")</f>
        <v>TRSF E-BANKING DB 2601/FTSCY/WS95011 72040550.00 pemb. 24/01 GANESHA SATRIA NUS</v>
      </c>
      <c r="D236" s="3">
        <f>IFERROR(__xludf.DUMMYFUNCTION("""COMPUTED_VALUE"""),7.204055E7)</f>
        <v>72040550</v>
      </c>
      <c r="E236" s="14"/>
      <c r="F236" s="14" t="str">
        <f>IFERROR(__xludf.DUMMYFUNCTION("""COMPUTED_VALUE"""),"DB")</f>
        <v>DB</v>
      </c>
      <c r="G236" s="3">
        <f>IFERROR(__xludf.DUMMYFUNCTION("""COMPUTED_VALUE"""),9.367302013000011E7)</f>
        <v>93673020.13</v>
      </c>
      <c r="H236" s="14"/>
      <c r="I236" s="14" t="str">
        <f>IFERROR(__xludf.DUMMYFUNCTION("""COMPUTED_VALUE"""),"PRODUKSI")</f>
        <v>PRODUKSI</v>
      </c>
    </row>
    <row r="237">
      <c r="A237" s="13">
        <f>IFERROR(__xludf.DUMMYFUNCTION("""COMPUTED_VALUE"""),44952.0)</f>
        <v>44952</v>
      </c>
      <c r="B237" s="14" t="str">
        <f>IFERROR(__xludf.DUMMYFUNCTION("""COMPUTED_VALUE"""),"TRSF E-BANKING DB")</f>
        <v>TRSF E-BANKING DB</v>
      </c>
      <c r="C237" s="14" t="str">
        <f>IFERROR(__xludf.DUMMYFUNCTION("""COMPUTED_VALUE"""),"TRSF E-BANKING DB 2601/FTSCY/WS95011 40000000.00 titip SUGENG RIADI")</f>
        <v>TRSF E-BANKING DB 2601/FTSCY/WS95011 40000000.00 titip SUGENG RIADI</v>
      </c>
      <c r="D237" s="3">
        <f>IFERROR(__xludf.DUMMYFUNCTION("""COMPUTED_VALUE"""),4.0E7)</f>
        <v>40000000</v>
      </c>
      <c r="E237" s="14"/>
      <c r="F237" s="14" t="str">
        <f>IFERROR(__xludf.DUMMYFUNCTION("""COMPUTED_VALUE"""),"DB")</f>
        <v>DB</v>
      </c>
      <c r="G237" s="3">
        <f>IFERROR(__xludf.DUMMYFUNCTION("""COMPUTED_VALUE"""),5.3523020130000114E7)</f>
        <v>53523020.13</v>
      </c>
      <c r="H237" s="14"/>
      <c r="I237" s="14" t="str">
        <f>IFERROR(__xludf.DUMMYFUNCTION("""COMPUTED_VALUE"""),"PRODUKSI")</f>
        <v>PRODUKSI</v>
      </c>
    </row>
    <row r="238">
      <c r="A238" s="13">
        <f>IFERROR(__xludf.DUMMYFUNCTION("""COMPUTED_VALUE"""),44952.0)</f>
        <v>44952</v>
      </c>
      <c r="B238" s="14" t="str">
        <f>IFERROR(__xludf.DUMMYFUNCTION("""COMPUTED_VALUE"""),"TRSF E-BANKING DB")</f>
        <v>TRSF E-BANKING DB</v>
      </c>
      <c r="C238" s="14" t="str">
        <f>IFERROR(__xludf.DUMMYFUNCTION("""COMPUTED_VALUE"""),"TRSF E-BANKING DB 2601/FTSCY/WS95011 30000000.00 titip BRANTAS ABADI SENT")</f>
        <v>TRSF E-BANKING DB 2601/FTSCY/WS95011 30000000.00 titip BRANTAS ABADI SENT</v>
      </c>
      <c r="D238" s="3">
        <f>IFERROR(__xludf.DUMMYFUNCTION("""COMPUTED_VALUE"""),3.0E7)</f>
        <v>30000000</v>
      </c>
      <c r="E238" s="14"/>
      <c r="F238" s="14" t="str">
        <f>IFERROR(__xludf.DUMMYFUNCTION("""COMPUTED_VALUE"""),"DB")</f>
        <v>DB</v>
      </c>
      <c r="G238" s="3">
        <f>IFERROR(__xludf.DUMMYFUNCTION("""COMPUTED_VALUE"""),2.3523020130000114E7)</f>
        <v>23523020.13</v>
      </c>
      <c r="H238" s="14"/>
      <c r="I238" s="14" t="str">
        <f>IFERROR(__xludf.DUMMYFUNCTION("""COMPUTED_VALUE"""),"PRODUKSI")</f>
        <v>PRODUKSI</v>
      </c>
    </row>
    <row r="239">
      <c r="A239" s="13">
        <f>IFERROR(__xludf.DUMMYFUNCTION("""COMPUTED_VALUE"""),44953.0)</f>
        <v>44953</v>
      </c>
      <c r="B239" s="14" t="str">
        <f>IFERROR(__xludf.DUMMYFUNCTION("""COMPUTED_VALUE"""),"TRSF E-BANKING DB")</f>
        <v>TRSF E-BANKING DB</v>
      </c>
      <c r="C239" s="14" t="str">
        <f>IFERROR(__xludf.DUMMYFUNCTION("""COMPUTED_VALUE"""),"TRSF E-BANKING DB 2701/FTSCY/WS95271 47864500.00 kd samsuri lmjg PITIK DIGITAL INDO")</f>
        <v>TRSF E-BANKING DB 2701/FTSCY/WS95271 47864500.00 kd samsuri lmjg PITIK DIGITAL INDO</v>
      </c>
      <c r="D239" s="3">
        <f>IFERROR(__xludf.DUMMYFUNCTION("""COMPUTED_VALUE"""),4.78645E7)</f>
        <v>47864500</v>
      </c>
      <c r="E239" s="14"/>
      <c r="F239" s="14" t="str">
        <f>IFERROR(__xludf.DUMMYFUNCTION("""COMPUTED_VALUE"""),"DB")</f>
        <v>DB</v>
      </c>
      <c r="G239" s="3">
        <f>IFERROR(__xludf.DUMMYFUNCTION("""COMPUTED_VALUE"""),1.1744709013000011E8)</f>
        <v>117447090.1</v>
      </c>
      <c r="H239" s="14"/>
      <c r="I239" s="14" t="str">
        <f>IFERROR(__xludf.DUMMYFUNCTION("""COMPUTED_VALUE"""),"PRODUKSI")</f>
        <v>PRODUKSI</v>
      </c>
    </row>
    <row r="240">
      <c r="A240" s="13">
        <f>IFERROR(__xludf.DUMMYFUNCTION("""COMPUTED_VALUE"""),44953.0)</f>
        <v>44953</v>
      </c>
      <c r="B240" s="14" t="str">
        <f>IFERROR(__xludf.DUMMYFUNCTION("""COMPUTED_VALUE"""),"TRSF E-BANKING DB")</f>
        <v>TRSF E-BANKING DB</v>
      </c>
      <c r="C240" s="14" t="str">
        <f>IFERROR(__xludf.DUMMYFUNCTION("""COMPUTED_VALUE"""),"TRSF E-BANKING DB 2701/FTSCY/WS95271 47450000.00 kd tri wahyudi mlg PITIK DIGITAL INDO")</f>
        <v>TRSF E-BANKING DB 2701/FTSCY/WS95271 47450000.00 kd tri wahyudi mlg PITIK DIGITAL INDO</v>
      </c>
      <c r="D240" s="3">
        <f>IFERROR(__xludf.DUMMYFUNCTION("""COMPUTED_VALUE"""),4.745E7)</f>
        <v>47450000</v>
      </c>
      <c r="E240" s="14"/>
      <c r="F240" s="14" t="str">
        <f>IFERROR(__xludf.DUMMYFUNCTION("""COMPUTED_VALUE"""),"DB")</f>
        <v>DB</v>
      </c>
      <c r="G240" s="3">
        <f>IFERROR(__xludf.DUMMYFUNCTION("""COMPUTED_VALUE"""),6.999709013000011E7)</f>
        <v>69997090.13</v>
      </c>
      <c r="H240" s="14"/>
      <c r="I240" s="14" t="str">
        <f>IFERROR(__xludf.DUMMYFUNCTION("""COMPUTED_VALUE"""),"PRODUKSI")</f>
        <v>PRODUKSI</v>
      </c>
    </row>
    <row r="241">
      <c r="A241" s="13">
        <f>IFERROR(__xludf.DUMMYFUNCTION("""COMPUTED_VALUE"""),44953.0)</f>
        <v>44953</v>
      </c>
      <c r="B241" s="14" t="str">
        <f>IFERROR(__xludf.DUMMYFUNCTION("""COMPUTED_VALUE"""),"TRSF E-BANKING DB")</f>
        <v>TRSF E-BANKING DB</v>
      </c>
      <c r="C241" s="14" t="str">
        <f>IFERROR(__xludf.DUMMYFUNCTION("""COMPUTED_VALUE"""),"TRSF E-BANKING DB 2701/FTSCY/WS95271 36452800.00 jombang ANDALAN YASA MITRA")</f>
        <v>TRSF E-BANKING DB 2701/FTSCY/WS95271 36452800.00 jombang ANDALAN YASA MITRA</v>
      </c>
      <c r="D241" s="3">
        <f>IFERROR(__xludf.DUMMYFUNCTION("""COMPUTED_VALUE"""),3.64528E7)</f>
        <v>36452800</v>
      </c>
      <c r="E241" s="14"/>
      <c r="F241" s="14" t="str">
        <f>IFERROR(__xludf.DUMMYFUNCTION("""COMPUTED_VALUE"""),"DB")</f>
        <v>DB</v>
      </c>
      <c r="G241" s="3">
        <f>IFERROR(__xludf.DUMMYFUNCTION("""COMPUTED_VALUE"""),3.3544290130000114E7)</f>
        <v>33544290.13</v>
      </c>
      <c r="H241" s="14"/>
      <c r="I241" s="14" t="str">
        <f>IFERROR(__xludf.DUMMYFUNCTION("""COMPUTED_VALUE"""),"PRODUKSI")</f>
        <v>PRODUKSI</v>
      </c>
    </row>
    <row r="242">
      <c r="A242" s="13">
        <f>IFERROR(__xludf.DUMMYFUNCTION("""COMPUTED_VALUE"""),44953.0)</f>
        <v>44953</v>
      </c>
      <c r="B242" s="14" t="str">
        <f>IFERROR(__xludf.DUMMYFUNCTION("""COMPUTED_VALUE"""),"TRSF E-BANKING DB")</f>
        <v>TRSF E-BANKING DB</v>
      </c>
      <c r="C242" s="14" t="str">
        <f>IFERROR(__xludf.DUMMYFUNCTION("""COMPUTED_VALUE"""),"TRSF E-BANKING DB 2701/FTSCY/WS95031 43755000.00 Sun Jan 25 2026 15:00:00 GMT+0700 (Western Indonesia Time) ANUGERAH KARTIKA A")</f>
        <v>TRSF E-BANKING DB 2701/FTSCY/WS95031 43755000.00 Sun Jan 25 2026 15:00:00 GMT+0700 (Western Indonesia Time) ANUGERAH KARTIKA A</v>
      </c>
      <c r="D242" s="3">
        <f>IFERROR(__xludf.DUMMYFUNCTION("""COMPUTED_VALUE"""),4.3755E7)</f>
        <v>43755000</v>
      </c>
      <c r="E242" s="14"/>
      <c r="F242" s="14" t="str">
        <f>IFERROR(__xludf.DUMMYFUNCTION("""COMPUTED_VALUE"""),"DB")</f>
        <v>DB</v>
      </c>
      <c r="G242" s="3">
        <f>IFERROR(__xludf.DUMMYFUNCTION("""COMPUTED_VALUE"""),4.859560901300001E8)</f>
        <v>485956090.1</v>
      </c>
      <c r="H242" s="14"/>
      <c r="I242" s="14" t="str">
        <f>IFERROR(__xludf.DUMMYFUNCTION("""COMPUTED_VALUE"""),"PRODUKSI")</f>
        <v>PRODUKSI</v>
      </c>
    </row>
    <row r="243">
      <c r="A243" s="13">
        <f>IFERROR(__xludf.DUMMYFUNCTION("""COMPUTED_VALUE"""),44953.0)</f>
        <v>44953</v>
      </c>
      <c r="B243" s="14" t="str">
        <f>IFERROR(__xludf.DUMMYFUNCTION("""COMPUTED_VALUE"""),"TRSF E-BANKING DB")</f>
        <v>TRSF E-BANKING DB</v>
      </c>
      <c r="C243" s="14" t="str">
        <f>IFERROR(__xludf.DUMMYFUNCTION("""COMPUTED_VALUE"""),"TRSF E-BANKING DB 2701/FTSCY/WS95271 76600500.00 pelunasan ANUGERAH KARTIKA A")</f>
        <v>TRSF E-BANKING DB 2701/FTSCY/WS95271 76600500.00 pelunasan ANUGERAH KARTIKA A</v>
      </c>
      <c r="D243" s="3">
        <f>IFERROR(__xludf.DUMMYFUNCTION("""COMPUTED_VALUE"""),7.66005E7)</f>
        <v>76600500</v>
      </c>
      <c r="E243" s="14"/>
      <c r="F243" s="14" t="str">
        <f>IFERROR(__xludf.DUMMYFUNCTION("""COMPUTED_VALUE"""),"DB")</f>
        <v>DB</v>
      </c>
      <c r="G243" s="3">
        <f>IFERROR(__xludf.DUMMYFUNCTION("""COMPUTED_VALUE"""),4.093555901300001E8)</f>
        <v>409355590.1</v>
      </c>
      <c r="H243" s="14"/>
      <c r="I243" s="14" t="str">
        <f>IFERROR(__xludf.DUMMYFUNCTION("""COMPUTED_VALUE"""),"PRODUKSI")</f>
        <v>PRODUKSI</v>
      </c>
    </row>
    <row r="244">
      <c r="A244" s="13">
        <f>IFERROR(__xludf.DUMMYFUNCTION("""COMPUTED_VALUE"""),44953.0)</f>
        <v>44953</v>
      </c>
      <c r="B244" s="14" t="str">
        <f>IFERROR(__xludf.DUMMYFUNCTION("""COMPUTED_VALUE"""),"TRSF E-BANKING DB")</f>
        <v>TRSF E-BANKING DB</v>
      </c>
      <c r="C244" s="14" t="str">
        <f>IFERROR(__xludf.DUMMYFUNCTION("""COMPUTED_VALUE"""),"TRSF E-BANKING DB 2701/FTSCY/WS95031 54533400.00 pelunasan kd asmo BRANTAS ABADI SENT")</f>
        <v>TRSF E-BANKING DB 2701/FTSCY/WS95031 54533400.00 pelunasan kd asmo BRANTAS ABADI SENT</v>
      </c>
      <c r="D244" s="3">
        <f>IFERROR(__xludf.DUMMYFUNCTION("""COMPUTED_VALUE"""),5.45334E7)</f>
        <v>54533400</v>
      </c>
      <c r="E244" s="14"/>
      <c r="F244" s="14" t="str">
        <f>IFERROR(__xludf.DUMMYFUNCTION("""COMPUTED_VALUE"""),"DB")</f>
        <v>DB</v>
      </c>
      <c r="G244" s="3">
        <f>IFERROR(__xludf.DUMMYFUNCTION("""COMPUTED_VALUE"""),7.789263901300001E8)</f>
        <v>778926390.1</v>
      </c>
      <c r="H244" s="14"/>
      <c r="I244" s="14" t="str">
        <f>IFERROR(__xludf.DUMMYFUNCTION("""COMPUTED_VALUE"""),"PRODUKSI")</f>
        <v>PRODUKSI</v>
      </c>
    </row>
    <row r="245">
      <c r="A245" s="13">
        <f>IFERROR(__xludf.DUMMYFUNCTION("""COMPUTED_VALUE"""),44953.0)</f>
        <v>44953</v>
      </c>
      <c r="B245" s="14" t="str">
        <f>IFERROR(__xludf.DUMMYFUNCTION("""COMPUTED_VALUE"""),"TRSF E-BANKING DB")</f>
        <v>TRSF E-BANKING DB</v>
      </c>
      <c r="C245" s="14" t="str">
        <f>IFERROR(__xludf.DUMMYFUNCTION("""COMPUTED_VALUE"""),"TRSF E-BANKING DB 2701/FTSCY/WS95271 46970000.00 pelunasan SUGENG RIADI")</f>
        <v>TRSF E-BANKING DB 2701/FTSCY/WS95271 46970000.00 pelunasan SUGENG RIADI</v>
      </c>
      <c r="D245" s="3">
        <f>IFERROR(__xludf.DUMMYFUNCTION("""COMPUTED_VALUE"""),4.697E7)</f>
        <v>46970000</v>
      </c>
      <c r="E245" s="14"/>
      <c r="F245" s="14" t="str">
        <f>IFERROR(__xludf.DUMMYFUNCTION("""COMPUTED_VALUE"""),"DB")</f>
        <v>DB</v>
      </c>
      <c r="G245" s="3">
        <f>IFERROR(__xludf.DUMMYFUNCTION("""COMPUTED_VALUE"""),7.301449601300001E8)</f>
        <v>730144960.1</v>
      </c>
      <c r="H245" s="14"/>
      <c r="I245" s="14" t="str">
        <f>IFERROR(__xludf.DUMMYFUNCTION("""COMPUTED_VALUE"""),"PRODUKSI")</f>
        <v>PRODUKSI</v>
      </c>
    </row>
    <row r="246">
      <c r="A246" s="13">
        <f>IFERROR(__xludf.DUMMYFUNCTION("""COMPUTED_VALUE"""),44953.0)</f>
        <v>44953</v>
      </c>
      <c r="B246" s="14" t="str">
        <f>IFERROR(__xludf.DUMMYFUNCTION("""COMPUTED_VALUE"""),"TRSF E-BANKING DB")</f>
        <v>TRSF E-BANKING DB</v>
      </c>
      <c r="C246" s="14" t="str">
        <f>IFERROR(__xludf.DUMMYFUNCTION("""COMPUTED_VALUE"""),"TRSF E-BANKING DB 2701/FTSCY/WS95011 165787260.00 84.100.000+81.687. BROILER MAKMUR TAN")</f>
        <v>TRSF E-BANKING DB 2701/FTSCY/WS95011 165787260.00 84.100.000+81.687. BROILER MAKMUR TAN</v>
      </c>
      <c r="D246" s="3">
        <f>IFERROR(__xludf.DUMMYFUNCTION("""COMPUTED_VALUE"""),1.6578726E8)</f>
        <v>165787260</v>
      </c>
      <c r="E246" s="14"/>
      <c r="F246" s="14" t="str">
        <f>IFERROR(__xludf.DUMMYFUNCTION("""COMPUTED_VALUE"""),"DB")</f>
        <v>DB</v>
      </c>
      <c r="G246" s="3">
        <f>IFERROR(__xludf.DUMMYFUNCTION("""COMPUTED_VALUE"""),5.643577001300001E8)</f>
        <v>564357700.1</v>
      </c>
      <c r="H246" s="14"/>
      <c r="I246" s="14" t="str">
        <f>IFERROR(__xludf.DUMMYFUNCTION("""COMPUTED_VALUE"""),"PRODUKSI")</f>
        <v>PRODUKSI</v>
      </c>
    </row>
    <row r="247">
      <c r="A247" s="13">
        <f>IFERROR(__xludf.DUMMYFUNCTION("""COMPUTED_VALUE"""),44953.0)</f>
        <v>44953</v>
      </c>
      <c r="B247" s="14" t="str">
        <f>IFERROR(__xludf.DUMMYFUNCTION("""COMPUTED_VALUE"""),"TRSF E-BANKING DB")</f>
        <v>TRSF E-BANKING DB</v>
      </c>
      <c r="C247" s="14" t="str">
        <f>IFERROR(__xludf.DUMMYFUNCTION("""COMPUTED_VALUE"""),"TRSF E-BANKING DB 2701/FTSCY/WS95011 128313000.00 jombang PITIK DIGITAL INDO")</f>
        <v>TRSF E-BANKING DB 2701/FTSCY/WS95011 128313000.00 jombang PITIK DIGITAL INDO</v>
      </c>
      <c r="D247" s="3">
        <f>IFERROR(__xludf.DUMMYFUNCTION("""COMPUTED_VALUE"""),1.28313E8)</f>
        <v>128313000</v>
      </c>
      <c r="E247" s="14"/>
      <c r="F247" s="14" t="str">
        <f>IFERROR(__xludf.DUMMYFUNCTION("""COMPUTED_VALUE"""),"DB")</f>
        <v>DB</v>
      </c>
      <c r="G247" s="3">
        <f>IFERROR(__xludf.DUMMYFUNCTION("""COMPUTED_VALUE"""),4.360447001300001E8)</f>
        <v>436044700.1</v>
      </c>
      <c r="H247" s="14"/>
      <c r="I247" s="14" t="str">
        <f>IFERROR(__xludf.DUMMYFUNCTION("""COMPUTED_VALUE"""),"PRODUKSI")</f>
        <v>PRODUKSI</v>
      </c>
    </row>
    <row r="248">
      <c r="A248" s="13">
        <f>IFERROR(__xludf.DUMMYFUNCTION("""COMPUTED_VALUE"""),44953.0)</f>
        <v>44953</v>
      </c>
      <c r="B248" s="14" t="str">
        <f>IFERROR(__xludf.DUMMYFUNCTION("""COMPUTED_VALUE"""),"TRSF E-BANKING DB")</f>
        <v>TRSF E-BANKING DB</v>
      </c>
      <c r="C248" s="14" t="str">
        <f>IFERROR(__xludf.DUMMYFUNCTION("""COMPUTED_VALUE"""),"TRSF E-BANKING DB 2701/FTSCY/WS95011 46689100.00 pemb. kd saleko jombang BINTANG TAMA SANTO")</f>
        <v>TRSF E-BANKING DB 2701/FTSCY/WS95011 46689100.00 pemb. kd saleko jombang BINTANG TAMA SANTO</v>
      </c>
      <c r="D248" s="3">
        <f>IFERROR(__xludf.DUMMYFUNCTION("""COMPUTED_VALUE"""),4.66891E7)</f>
        <v>46689100</v>
      </c>
      <c r="E248" s="14"/>
      <c r="F248" s="14" t="str">
        <f>IFERROR(__xludf.DUMMYFUNCTION("""COMPUTED_VALUE"""),"DB")</f>
        <v>DB</v>
      </c>
      <c r="G248" s="3">
        <f>IFERROR(__xludf.DUMMYFUNCTION("""COMPUTED_VALUE"""),3.893556001300001E8)</f>
        <v>389355600.1</v>
      </c>
      <c r="H248" s="14"/>
      <c r="I248" s="14" t="str">
        <f>IFERROR(__xludf.DUMMYFUNCTION("""COMPUTED_VALUE"""),"PRODUKSI")</f>
        <v>PRODUKSI</v>
      </c>
    </row>
    <row r="249">
      <c r="A249" s="13">
        <f>IFERROR(__xludf.DUMMYFUNCTION("""COMPUTED_VALUE"""),44953.0)</f>
        <v>44953</v>
      </c>
      <c r="B249" s="14" t="str">
        <f>IFERROR(__xludf.DUMMYFUNCTION("""COMPUTED_VALUE"""),"TRSF E-BANKING DB")</f>
        <v>TRSF E-BANKING DB</v>
      </c>
      <c r="C249" s="14" t="str">
        <f>IFERROR(__xludf.DUMMYFUNCTION("""COMPUTED_VALUE"""),"TRSF E-BANKING DB 2701/FTSCY/WS95011 86416250.00 pemb. kd kusyadi b pasuruan ANDALAN YASA MITRA")</f>
        <v>TRSF E-BANKING DB 2701/FTSCY/WS95011 86416250.00 pemb. kd kusyadi b pasuruan ANDALAN YASA MITRA</v>
      </c>
      <c r="D249" s="3">
        <f>IFERROR(__xludf.DUMMYFUNCTION("""COMPUTED_VALUE"""),8.641625E7)</f>
        <v>86416250</v>
      </c>
      <c r="E249" s="14"/>
      <c r="F249" s="14" t="str">
        <f>IFERROR(__xludf.DUMMYFUNCTION("""COMPUTED_VALUE"""),"DB")</f>
        <v>DB</v>
      </c>
      <c r="G249" s="3">
        <f>IFERROR(__xludf.DUMMYFUNCTION("""COMPUTED_VALUE"""),3.029393501300001E8)</f>
        <v>302939350.1</v>
      </c>
      <c r="H249" s="14"/>
      <c r="I249" s="14" t="str">
        <f>IFERROR(__xludf.DUMMYFUNCTION("""COMPUTED_VALUE"""),"PRODUKSI")</f>
        <v>PRODUKSI</v>
      </c>
    </row>
    <row r="250">
      <c r="A250" s="13">
        <f>IFERROR(__xludf.DUMMYFUNCTION("""COMPUTED_VALUE"""),44953.0)</f>
        <v>44953</v>
      </c>
      <c r="B250" s="14" t="str">
        <f>IFERROR(__xludf.DUMMYFUNCTION("""COMPUTED_VALUE"""),"TRSF E-BANKING DB")</f>
        <v>TRSF E-BANKING DB</v>
      </c>
      <c r="C250" s="14" t="str">
        <f>IFERROR(__xludf.DUMMYFUNCTION("""COMPUTED_VALUE"""),"TRSF E-BANKING DB 2701/FTSCY/WS95011 67522040.00 t. agung PITIK DIGITAL INDO")</f>
        <v>TRSF E-BANKING DB 2701/FTSCY/WS95011 67522040.00 t. agung PITIK DIGITAL INDO</v>
      </c>
      <c r="D250" s="3">
        <f>IFERROR(__xludf.DUMMYFUNCTION("""COMPUTED_VALUE"""),6.752204E7)</f>
        <v>67522040</v>
      </c>
      <c r="E250" s="14"/>
      <c r="F250" s="14" t="str">
        <f>IFERROR(__xludf.DUMMYFUNCTION("""COMPUTED_VALUE"""),"DB")</f>
        <v>DB</v>
      </c>
      <c r="G250" s="3">
        <f>IFERROR(__xludf.DUMMYFUNCTION("""COMPUTED_VALUE"""),2.354173101300001E8)</f>
        <v>235417310.1</v>
      </c>
      <c r="H250" s="14"/>
      <c r="I250" s="14" t="str">
        <f>IFERROR(__xludf.DUMMYFUNCTION("""COMPUTED_VALUE"""),"PRODUKSI")</f>
        <v>PRODUKSI</v>
      </c>
    </row>
    <row r="251">
      <c r="A251" s="13">
        <f>IFERROR(__xludf.DUMMYFUNCTION("""COMPUTED_VALUE"""),44954.0)</f>
        <v>44954</v>
      </c>
      <c r="B251" s="14" t="str">
        <f>IFERROR(__xludf.DUMMYFUNCTION("""COMPUTED_VALUE"""),"TRSF E-BANKING DB")</f>
        <v>TRSF E-BANKING DB</v>
      </c>
      <c r="C251" s="14" t="str">
        <f>IFERROR(__xludf.DUMMYFUNCTION("""COMPUTED_VALUE"""),"TRSF E-BANKING DB 2801/FTSCY/WS95271 131898000.00 pemb. 26/01 GANESHA SATRIA NUS")</f>
        <v>TRSF E-BANKING DB 2801/FTSCY/WS95271 131898000.00 pemb. 26/01 GANESHA SATRIA NUS</v>
      </c>
      <c r="D251" s="3">
        <f>IFERROR(__xludf.DUMMYFUNCTION("""COMPUTED_VALUE"""),1.31898E8)</f>
        <v>131898000</v>
      </c>
      <c r="E251" s="14"/>
      <c r="F251" s="14" t="str">
        <f>IFERROR(__xludf.DUMMYFUNCTION("""COMPUTED_VALUE"""),"DB")</f>
        <v>DB</v>
      </c>
      <c r="G251" s="3">
        <f>IFERROR(__xludf.DUMMYFUNCTION("""COMPUTED_VALUE"""),2.165110101300001E8)</f>
        <v>216511010.1</v>
      </c>
      <c r="H251" s="14"/>
      <c r="I251" s="14" t="str">
        <f>IFERROR(__xludf.DUMMYFUNCTION("""COMPUTED_VALUE"""),"PRODUKSI")</f>
        <v>PRODUKSI</v>
      </c>
    </row>
    <row r="252">
      <c r="A252" s="13">
        <f>IFERROR(__xludf.DUMMYFUNCTION("""COMPUTED_VALUE"""),44954.0)</f>
        <v>44954</v>
      </c>
      <c r="B252" s="14" t="str">
        <f>IFERROR(__xludf.DUMMYFUNCTION("""COMPUTED_VALUE"""),"TRSF E-BANKING DB")</f>
        <v>TRSF E-BANKING DB</v>
      </c>
      <c r="C252" s="14" t="str">
        <f>IFERROR(__xludf.DUMMYFUNCTION("""COMPUTED_VALUE"""),"TRSF E-BANKING DB 2801/FTSCY/WS95271 53650000.00 pemb. farm sugeng lunas RUKUN MITRA BERSAM")</f>
        <v>TRSF E-BANKING DB 2801/FTSCY/WS95271 53650000.00 pemb. farm sugeng lunas RUKUN MITRA BERSAM</v>
      </c>
      <c r="D252" s="3">
        <f>IFERROR(__xludf.DUMMYFUNCTION("""COMPUTED_VALUE"""),5.365E7)</f>
        <v>53650000</v>
      </c>
      <c r="E252" s="14"/>
      <c r="F252" s="14" t="str">
        <f>IFERROR(__xludf.DUMMYFUNCTION("""COMPUTED_VALUE"""),"DB")</f>
        <v>DB</v>
      </c>
      <c r="G252" s="3">
        <f>IFERROR(__xludf.DUMMYFUNCTION("""COMPUTED_VALUE"""),1.628610101300001E8)</f>
        <v>162861010.1</v>
      </c>
      <c r="H252" s="14"/>
      <c r="I252" s="14" t="str">
        <f>IFERROR(__xludf.DUMMYFUNCTION("""COMPUTED_VALUE"""),"PRODUKSI")</f>
        <v>PRODUKSI</v>
      </c>
    </row>
    <row r="253">
      <c r="A253" s="13">
        <f>IFERROR(__xludf.DUMMYFUNCTION("""COMPUTED_VALUE"""),44954.0)</f>
        <v>44954</v>
      </c>
      <c r="B253" s="14" t="str">
        <f>IFERROR(__xludf.DUMMYFUNCTION("""COMPUTED_VALUE"""),"TRSF E-BANKING DB")</f>
        <v>TRSF E-BANKING DB</v>
      </c>
      <c r="C253" s="14" t="str">
        <f>IFERROR(__xludf.DUMMYFUNCTION("""COMPUTED_VALUE"""),"TRSF E-BANKING DB 2801/FTSCY/WS95271 101379450.00 pelunasan 25/01 kr g 40 jt SUPER UNGGAS JAYA")</f>
        <v>TRSF E-BANKING DB 2801/FTSCY/WS95271 101379450.00 pelunasan 25/01 kr g 40 jt SUPER UNGGAS JAYA</v>
      </c>
      <c r="D253" s="3">
        <f>IFERROR(__xludf.DUMMYFUNCTION("""COMPUTED_VALUE"""),1.0137945E8)</f>
        <v>101379450</v>
      </c>
      <c r="E253" s="14"/>
      <c r="F253" s="14" t="str">
        <f>IFERROR(__xludf.DUMMYFUNCTION("""COMPUTED_VALUE"""),"DB")</f>
        <v>DB</v>
      </c>
      <c r="G253" s="3">
        <f>IFERROR(__xludf.DUMMYFUNCTION("""COMPUTED_VALUE"""),6.1481560130000114E7)</f>
        <v>61481560.13</v>
      </c>
      <c r="H253" s="14"/>
      <c r="I253" s="14" t="str">
        <f>IFERROR(__xludf.DUMMYFUNCTION("""COMPUTED_VALUE"""),"PRODUKSI")</f>
        <v>PRODUKSI</v>
      </c>
    </row>
    <row r="254">
      <c r="A254" s="13">
        <f>IFERROR(__xludf.DUMMYFUNCTION("""COMPUTED_VALUE"""),44954.0)</f>
        <v>44954</v>
      </c>
      <c r="B254" s="14" t="str">
        <f>IFERROR(__xludf.DUMMYFUNCTION("""COMPUTED_VALUE"""),"TRSF E-BANKING DB")</f>
        <v>TRSF E-BANKING DB</v>
      </c>
      <c r="C254" s="14" t="str">
        <f>IFERROR(__xludf.DUMMYFUNCTION("""COMPUTED_VALUE"""),"TRSF E-BANKING DB 2801/FTSCY/WS95031 40000000.00 pelunasan 25 01 SUPER UNGGAS JAYA")</f>
        <v>TRSF E-BANKING DB 2801/FTSCY/WS95031 40000000.00 pelunasan 25 01 SUPER UNGGAS JAYA</v>
      </c>
      <c r="D254" s="3">
        <f>IFERROR(__xludf.DUMMYFUNCTION("""COMPUTED_VALUE"""),4.0E7)</f>
        <v>40000000</v>
      </c>
      <c r="E254" s="14"/>
      <c r="F254" s="14" t="str">
        <f>IFERROR(__xludf.DUMMYFUNCTION("""COMPUTED_VALUE"""),"DB")</f>
        <v>DB</v>
      </c>
      <c r="G254" s="3">
        <f>IFERROR(__xludf.DUMMYFUNCTION("""COMPUTED_VALUE"""),2.1481560130000114E7)</f>
        <v>21481560.13</v>
      </c>
      <c r="H254" s="14"/>
      <c r="I254" s="14" t="str">
        <f>IFERROR(__xludf.DUMMYFUNCTION("""COMPUTED_VALUE"""),"PRODUKSI")</f>
        <v>PRODUKSI</v>
      </c>
    </row>
    <row r="255">
      <c r="A255" s="13">
        <f>IFERROR(__xludf.DUMMYFUNCTION("""COMPUTED_VALUE"""),44954.0)</f>
        <v>44954</v>
      </c>
      <c r="B255" s="14" t="str">
        <f>IFERROR(__xludf.DUMMYFUNCTION("""COMPUTED_VALUE"""),"TRSF E-BANKING DB")</f>
        <v>TRSF E-BANKING DB</v>
      </c>
      <c r="C255" s="14" t="str">
        <f>IFERROR(__xludf.DUMMYFUNCTION("""COMPUTED_VALUE"""),"TRSF E-BANKING DB 2801/FTSCY/WS95031 52500000.00 pemb. kd yuda ANDALAN YASA MITRA")</f>
        <v>TRSF E-BANKING DB 2801/FTSCY/WS95031 52500000.00 pemb. kd yuda ANDALAN YASA MITRA</v>
      </c>
      <c r="D255" s="3">
        <f>IFERROR(__xludf.DUMMYFUNCTION("""COMPUTED_VALUE"""),5.25E7)</f>
        <v>52500000</v>
      </c>
      <c r="E255" s="14"/>
      <c r="F255" s="14" t="str">
        <f>IFERROR(__xludf.DUMMYFUNCTION("""COMPUTED_VALUE"""),"DB")</f>
        <v>DB</v>
      </c>
      <c r="G255" s="3">
        <f>IFERROR(__xludf.DUMMYFUNCTION("""COMPUTED_VALUE"""),1.1509983013000011E8)</f>
        <v>115099830.1</v>
      </c>
      <c r="H255" s="14"/>
      <c r="I255" s="14" t="str">
        <f>IFERROR(__xludf.DUMMYFUNCTION("""COMPUTED_VALUE"""),"PRODUKSI")</f>
        <v>PRODUKSI</v>
      </c>
    </row>
    <row r="256">
      <c r="A256" s="13">
        <f>IFERROR(__xludf.DUMMYFUNCTION("""COMPUTED_VALUE"""),44954.0)</f>
        <v>44954</v>
      </c>
      <c r="B256" s="14" t="str">
        <f>IFERROR(__xludf.DUMMYFUNCTION("""COMPUTED_VALUE"""),"TRSF E-BANKING DB")</f>
        <v>TRSF E-BANKING DB</v>
      </c>
      <c r="C256" s="14" t="str">
        <f>IFERROR(__xludf.DUMMYFUNCTION("""COMPUTED_VALUE"""),"TRSF E-BANKING DB 2801/FTSCY/WS95011 75732760.00 kd binti masruroh t. agung BINTANG TAMA SANTO")</f>
        <v>TRSF E-BANKING DB 2801/FTSCY/WS95011 75732760.00 kd binti masruroh t. agung BINTANG TAMA SANTO</v>
      </c>
      <c r="D256" s="3">
        <f>IFERROR(__xludf.DUMMYFUNCTION("""COMPUTED_VALUE"""),7.573276E7)</f>
        <v>75732760</v>
      </c>
      <c r="E256" s="14"/>
      <c r="F256" s="14" t="str">
        <f>IFERROR(__xludf.DUMMYFUNCTION("""COMPUTED_VALUE"""),"DB")</f>
        <v>DB</v>
      </c>
      <c r="G256" s="3">
        <f>IFERROR(__xludf.DUMMYFUNCTION("""COMPUTED_VALUE"""),2.386884451300001E8)</f>
        <v>238688445.1</v>
      </c>
      <c r="H256" s="14"/>
      <c r="I256" s="14" t="str">
        <f>IFERROR(__xludf.DUMMYFUNCTION("""COMPUTED_VALUE"""),"PRODUKSI")</f>
        <v>PRODUKSI</v>
      </c>
    </row>
    <row r="257">
      <c r="A257" s="13">
        <f>IFERROR(__xludf.DUMMYFUNCTION("""COMPUTED_VALUE"""),44954.0)</f>
        <v>44954</v>
      </c>
      <c r="B257" s="14" t="str">
        <f>IFERROR(__xludf.DUMMYFUNCTION("""COMPUTED_VALUE"""),"TRSF E-BANKING DB")</f>
        <v>TRSF E-BANKING DB</v>
      </c>
      <c r="C257" s="14" t="str">
        <f>IFERROR(__xludf.DUMMYFUNCTION("""COMPUTED_VALUE"""),"TRSF E-BANKING DB 2801/FTSCY/WS95011 42000000.00 kd sri m malang PITIK DIGITAL INDO")</f>
        <v>TRSF E-BANKING DB 2801/FTSCY/WS95011 42000000.00 kd sri m malang PITIK DIGITAL INDO</v>
      </c>
      <c r="D257" s="3">
        <f>IFERROR(__xludf.DUMMYFUNCTION("""COMPUTED_VALUE"""),4.2E7)</f>
        <v>42000000</v>
      </c>
      <c r="E257" s="14"/>
      <c r="F257" s="14" t="str">
        <f>IFERROR(__xludf.DUMMYFUNCTION("""COMPUTED_VALUE"""),"DB")</f>
        <v>DB</v>
      </c>
      <c r="G257" s="3">
        <f>IFERROR(__xludf.DUMMYFUNCTION("""COMPUTED_VALUE"""),1.966884451300001E8)</f>
        <v>196688445.1</v>
      </c>
      <c r="H257" s="14"/>
      <c r="I257" s="14" t="str">
        <f>IFERROR(__xludf.DUMMYFUNCTION("""COMPUTED_VALUE"""),"PRODUKSI")</f>
        <v>PRODUKSI</v>
      </c>
    </row>
    <row r="258">
      <c r="A258" s="13">
        <f>IFERROR(__xludf.DUMMYFUNCTION("""COMPUTED_VALUE"""),44954.0)</f>
        <v>44954</v>
      </c>
      <c r="B258" s="14" t="str">
        <f>IFERROR(__xludf.DUMMYFUNCTION("""COMPUTED_VALUE"""),"TRSF E-BANKING DB")</f>
        <v>TRSF E-BANKING DB</v>
      </c>
      <c r="C258" s="14" t="str">
        <f>IFERROR(__xludf.DUMMYFUNCTION("""COMPUTED_VALUE"""),"TRSF E-BANKING DB 2801/FTSCY/WS95011 36925500.00 pemb. kd hamdan soko tuban PITIK DIGITAL INDO")</f>
        <v>TRSF E-BANKING DB 2801/FTSCY/WS95011 36925500.00 pemb. kd hamdan soko tuban PITIK DIGITAL INDO</v>
      </c>
      <c r="D258" s="3">
        <f>IFERROR(__xludf.DUMMYFUNCTION("""COMPUTED_VALUE"""),3.69255E7)</f>
        <v>36925500</v>
      </c>
      <c r="E258" s="14"/>
      <c r="F258" s="14" t="str">
        <f>IFERROR(__xludf.DUMMYFUNCTION("""COMPUTED_VALUE"""),"DB")</f>
        <v>DB</v>
      </c>
      <c r="G258" s="3">
        <f>IFERROR(__xludf.DUMMYFUNCTION("""COMPUTED_VALUE"""),1.597629451300001E8)</f>
        <v>159762945.1</v>
      </c>
      <c r="H258" s="14"/>
      <c r="I258" s="14" t="str">
        <f>IFERROR(__xludf.DUMMYFUNCTION("""COMPUTED_VALUE"""),"PRODUKSI")</f>
        <v>PRODUKSI</v>
      </c>
    </row>
    <row r="259">
      <c r="A259" s="13">
        <f>IFERROR(__xludf.DUMMYFUNCTION("""COMPUTED_VALUE"""),44954.0)</f>
        <v>44954</v>
      </c>
      <c r="B259" s="14" t="str">
        <f>IFERROR(__xludf.DUMMYFUNCTION("""COMPUTED_VALUE"""),"TRSF E-BANKING DB")</f>
        <v>TRSF E-BANKING DB</v>
      </c>
      <c r="C259" s="14" t="str">
        <f>IFERROR(__xludf.DUMMYFUNCTION("""COMPUTED_VALUE"""),"TRSF E-BANKING DB 2801/FTSCY/WS95011 74950590.00 Mon Jan 26 2026 15:00:00 GMT+0700 (Western Indonesia Time) SUPER UNGGAS JAYA")</f>
        <v>TRSF E-BANKING DB 2801/FTSCY/WS95011 74950590.00 Mon Jan 26 2026 15:00:00 GMT+0700 (Western Indonesia Time) SUPER UNGGAS JAYA</v>
      </c>
      <c r="D259" s="3">
        <f>IFERROR(__xludf.DUMMYFUNCTION("""COMPUTED_VALUE"""),7.495059E7)</f>
        <v>74950590</v>
      </c>
      <c r="E259" s="14"/>
      <c r="F259" s="14" t="str">
        <f>IFERROR(__xludf.DUMMYFUNCTION("""COMPUTED_VALUE"""),"DB")</f>
        <v>DB</v>
      </c>
      <c r="G259" s="3">
        <f>IFERROR(__xludf.DUMMYFUNCTION("""COMPUTED_VALUE"""),8.481235513000011E7)</f>
        <v>84812355.13</v>
      </c>
      <c r="H259" s="14"/>
      <c r="I259" s="14" t="str">
        <f>IFERROR(__xludf.DUMMYFUNCTION("""COMPUTED_VALUE"""),"PRODUKSI")</f>
        <v>PRODUKSI</v>
      </c>
    </row>
    <row r="260">
      <c r="A260" s="13">
        <f>IFERROR(__xludf.DUMMYFUNCTION("""COMPUTED_VALUE"""),44954.0)</f>
        <v>44954</v>
      </c>
      <c r="B260" s="14" t="str">
        <f>IFERROR(__xludf.DUMMYFUNCTION("""COMPUTED_VALUE"""),"TRSF E-BANKING DB")</f>
        <v>TRSF E-BANKING DB</v>
      </c>
      <c r="C260" s="14" t="str">
        <f>IFERROR(__xludf.DUMMYFUNCTION("""COMPUTED_VALUE"""),"TRSF E-BANKING DB 2801/FTSCY/WS95011 83398500.00 pemb. do 26 dan 27 BROILER MAKMUR TAN")</f>
        <v>TRSF E-BANKING DB 2801/FTSCY/WS95011 83398500.00 pemb. do 26 dan 27 BROILER MAKMUR TAN</v>
      </c>
      <c r="D260" s="3">
        <f>IFERROR(__xludf.DUMMYFUNCTION("""COMPUTED_VALUE"""),8.33985E7)</f>
        <v>83398500</v>
      </c>
      <c r="E260" s="14"/>
      <c r="F260" s="14" t="str">
        <f>IFERROR(__xludf.DUMMYFUNCTION("""COMPUTED_VALUE"""),"DB")</f>
        <v>DB</v>
      </c>
      <c r="G260" s="3">
        <f>IFERROR(__xludf.DUMMYFUNCTION("""COMPUTED_VALUE"""),365595.13000011444)</f>
        <v>365595.13</v>
      </c>
      <c r="H260" s="14"/>
      <c r="I260" s="14" t="str">
        <f>IFERROR(__xludf.DUMMYFUNCTION("""COMPUTED_VALUE"""),"PRODUKSI")</f>
        <v>PRODUKSI</v>
      </c>
    </row>
    <row r="261">
      <c r="A261" s="13">
        <f>IFERROR(__xludf.DUMMYFUNCTION("""COMPUTED_VALUE"""),44954.0)</f>
        <v>44954</v>
      </c>
      <c r="B261" s="14" t="str">
        <f>IFERROR(__xludf.DUMMYFUNCTION("""COMPUTED_VALUE"""),"TRSF E-BANKING DB")</f>
        <v>TRSF E-BANKING DB</v>
      </c>
      <c r="C261" s="14" t="str">
        <f>IFERROR(__xludf.DUMMYFUNCTION("""COMPUTED_VALUE"""),"TRSF E-BANKING DB 2801/FTSCY/WS95011 167545000.00 Tue Jan 27 2026 15:00:00 GMT+0700 (Western Indonesia Time) GANESHA SATRIA NUS")</f>
        <v>TRSF E-BANKING DB 2801/FTSCY/WS95011 167545000.00 Tue Jan 27 2026 15:00:00 GMT+0700 (Western Indonesia Time) GANESHA SATRIA NUS</v>
      </c>
      <c r="D261" s="3">
        <f>IFERROR(__xludf.DUMMYFUNCTION("""COMPUTED_VALUE"""),1.67545E8)</f>
        <v>167545000</v>
      </c>
      <c r="E261" s="14"/>
      <c r="F261" s="14" t="str">
        <f>IFERROR(__xludf.DUMMYFUNCTION("""COMPUTED_VALUE"""),"DB")</f>
        <v>DB</v>
      </c>
      <c r="G261" s="3">
        <f>IFERROR(__xludf.DUMMYFUNCTION("""COMPUTED_VALUE"""),1.0291603513000011E8)</f>
        <v>102916035.1</v>
      </c>
      <c r="H261" s="14"/>
      <c r="I261" s="14" t="str">
        <f>IFERROR(__xludf.DUMMYFUNCTION("""COMPUTED_VALUE"""),"PRODUKSI")</f>
        <v>PRODUKSI</v>
      </c>
    </row>
    <row r="262">
      <c r="A262" s="13">
        <f>IFERROR(__xludf.DUMMYFUNCTION("""COMPUTED_VALUE"""),44955.0)</f>
        <v>44955</v>
      </c>
      <c r="B262" s="14" t="str">
        <f>IFERROR(__xludf.DUMMYFUNCTION("""COMPUTED_VALUE"""),"TRSF E-BANKING DB")</f>
        <v>TRSF E-BANKING DB</v>
      </c>
      <c r="C262" s="14" t="str">
        <f>IFERROR(__xludf.DUMMYFUNCTION("""COMPUTED_VALUE"""),"TRSF E-BANKING DB 2901/FTSCY/WS95271 126000000.00 kd hidayat pasurua n ANUGERAH KARTIKA A")</f>
        <v>TRSF E-BANKING DB 2901/FTSCY/WS95271 126000000.00 kd hidayat pasurua n ANUGERAH KARTIKA A</v>
      </c>
      <c r="D262" s="3">
        <f>IFERROR(__xludf.DUMMYFUNCTION("""COMPUTED_VALUE"""),1.26E8)</f>
        <v>126000000</v>
      </c>
      <c r="E262" s="14"/>
      <c r="F262" s="14" t="str">
        <f>IFERROR(__xludf.DUMMYFUNCTION("""COMPUTED_VALUE"""),"DB")</f>
        <v>DB</v>
      </c>
      <c r="G262" s="3">
        <f>IFERROR(__xludf.DUMMYFUNCTION("""COMPUTED_VALUE"""),5.2582885130000114E7)</f>
        <v>52582885.13</v>
      </c>
      <c r="H262" s="14"/>
      <c r="I262" s="14" t="str">
        <f>IFERROR(__xludf.DUMMYFUNCTION("""COMPUTED_VALUE"""),"PRODUKSI")</f>
        <v>PRODUKSI</v>
      </c>
    </row>
    <row r="263">
      <c r="A263" s="13">
        <f>IFERROR(__xludf.DUMMYFUNCTION("""COMPUTED_VALUE"""),44955.0)</f>
        <v>44955</v>
      </c>
      <c r="B263" s="14" t="str">
        <f>IFERROR(__xludf.DUMMYFUNCTION("""COMPUTED_VALUE"""),"TRSF E-BANKING DB")</f>
        <v>TRSF E-BANKING DB</v>
      </c>
      <c r="C263" s="14" t="str">
        <f>IFERROR(__xludf.DUMMYFUNCTION("""COMPUTED_VALUE"""),"TRSF E-BANKING DB 2901/FTSCY/WS95271 111916750.00 titip 27/01 ANUGERAH KARTIKA A")</f>
        <v>TRSF E-BANKING DB 2901/FTSCY/WS95271 111916750.00 titip 27/01 ANUGERAH KARTIKA A</v>
      </c>
      <c r="D263" s="3">
        <f>IFERROR(__xludf.DUMMYFUNCTION("""COMPUTED_VALUE"""),1.1191675E8)</f>
        <v>111916750</v>
      </c>
      <c r="E263" s="14"/>
      <c r="F263" s="14" t="str">
        <f>IFERROR(__xludf.DUMMYFUNCTION("""COMPUTED_VALUE"""),"DB")</f>
        <v>DB</v>
      </c>
      <c r="G263" s="3">
        <f>IFERROR(__xludf.DUMMYFUNCTION("""COMPUTED_VALUE"""),433485.13000011444)</f>
        <v>433485.13</v>
      </c>
      <c r="H263" s="14"/>
      <c r="I263" s="14" t="str">
        <f>IFERROR(__xludf.DUMMYFUNCTION("""COMPUTED_VALUE"""),"PRODUKSI")</f>
        <v>PRODUKSI</v>
      </c>
    </row>
    <row r="264">
      <c r="A264" s="13">
        <f>IFERROR(__xludf.DUMMYFUNCTION("""COMPUTED_VALUE"""),44956.0)</f>
        <v>44956</v>
      </c>
      <c r="B264" s="14" t="str">
        <f>IFERROR(__xludf.DUMMYFUNCTION("""COMPUTED_VALUE"""),"TRSF E-BANKING DB TANGGAL :29/01")</f>
        <v>TRSF E-BANKING DB TANGGAL :29/01</v>
      </c>
      <c r="C264" s="14" t="str">
        <f>IFERROR(__xludf.DUMMYFUNCTION("""COMPUTED_VALUE"""),"TRSF E-BANKING DB TANGGAL :29/01 2901/FTSCY/WS95031 pelunasan ANUGERAH KARTIKA A")</f>
        <v>TRSF E-BANKING DB TANGGAL :29/01 2901/FTSCY/WS95031 pelunasan ANUGERAH KARTIKA A</v>
      </c>
      <c r="D264" s="3">
        <f>IFERROR(__xludf.DUMMYFUNCTION("""COMPUTED_VALUE"""),1.5E7)</f>
        <v>15000000</v>
      </c>
      <c r="E264" s="14"/>
      <c r="F264" s="14" t="str">
        <f>IFERROR(__xludf.DUMMYFUNCTION("""COMPUTED_VALUE"""),"DB")</f>
        <v>DB</v>
      </c>
      <c r="G264" s="3">
        <f>IFERROR(__xludf.DUMMYFUNCTION("""COMPUTED_VALUE"""),2.9041885130000114E7)</f>
        <v>29041885.13</v>
      </c>
      <c r="H264" s="14"/>
      <c r="I264" s="14" t="str">
        <f>IFERROR(__xludf.DUMMYFUNCTION("""COMPUTED_VALUE"""),"PRODUKSI")</f>
        <v>PRODUKSI</v>
      </c>
    </row>
    <row r="265">
      <c r="A265" s="13">
        <f>IFERROR(__xludf.DUMMYFUNCTION("""COMPUTED_VALUE"""),44956.0)</f>
        <v>44956</v>
      </c>
      <c r="B265" s="14" t="str">
        <f>IFERROR(__xludf.DUMMYFUNCTION("""COMPUTED_VALUE"""),"TRSF E-BANKING DB")</f>
        <v>TRSF E-BANKING DB</v>
      </c>
      <c r="C265" s="14" t="str">
        <f>IFERROR(__xludf.DUMMYFUNCTION("""COMPUTED_VALUE"""),"TRSF E-BANKING DB 3001/FTSCY/WS95271 44676000.00 27/01  ANDALAN YASA MITRA")</f>
        <v>TRSF E-BANKING DB 3001/FTSCY/WS95271 44676000.00 27/01  ANDALAN YASA MITRA</v>
      </c>
      <c r="D265" s="3">
        <f>IFERROR(__xludf.DUMMYFUNCTION("""COMPUTED_VALUE"""),4.4676E7)</f>
        <v>44676000</v>
      </c>
      <c r="E265" s="14"/>
      <c r="F265" s="14" t="str">
        <f>IFERROR(__xludf.DUMMYFUNCTION("""COMPUTED_VALUE"""),"DB")</f>
        <v>DB</v>
      </c>
      <c r="G265" s="3">
        <f>IFERROR(__xludf.DUMMYFUNCTION("""COMPUTED_VALUE"""),2.300565851300001E8)</f>
        <v>230056585.1</v>
      </c>
      <c r="H265" s="14"/>
      <c r="I265" s="14" t="str">
        <f>IFERROR(__xludf.DUMMYFUNCTION("""COMPUTED_VALUE"""),"PRODUKSI")</f>
        <v>PRODUKSI</v>
      </c>
    </row>
    <row r="266">
      <c r="A266" s="13">
        <f>IFERROR(__xludf.DUMMYFUNCTION("""COMPUTED_VALUE"""),44956.0)</f>
        <v>44956</v>
      </c>
      <c r="B266" s="14" t="str">
        <f>IFERROR(__xludf.DUMMYFUNCTION("""COMPUTED_VALUE"""),"TRSF E-BANKING DB")</f>
        <v>TRSF E-BANKING DB</v>
      </c>
      <c r="C266" s="14" t="str">
        <f>IFERROR(__xludf.DUMMYFUNCTION("""COMPUTED_VALUE"""),"TRSF E-BANKING DB 3001/FTSCY/WS95271 59059000.00 tulung agung PITIK DIGITAL INDO")</f>
        <v>TRSF E-BANKING DB 3001/FTSCY/WS95271 59059000.00 tulung agung PITIK DIGITAL INDO</v>
      </c>
      <c r="D266" s="3">
        <f>IFERROR(__xludf.DUMMYFUNCTION("""COMPUTED_VALUE"""),5.9059E7)</f>
        <v>59059000</v>
      </c>
      <c r="E266" s="14"/>
      <c r="F266" s="14" t="str">
        <f>IFERROR(__xludf.DUMMYFUNCTION("""COMPUTED_VALUE"""),"DB")</f>
        <v>DB</v>
      </c>
      <c r="G266" s="3">
        <f>IFERROR(__xludf.DUMMYFUNCTION("""COMPUTED_VALUE"""),1.709975851300001E8)</f>
        <v>170997585.1</v>
      </c>
      <c r="H266" s="14"/>
      <c r="I266" s="14" t="str">
        <f>IFERROR(__xludf.DUMMYFUNCTION("""COMPUTED_VALUE"""),"PRODUKSI")</f>
        <v>PRODUKSI</v>
      </c>
    </row>
    <row r="267">
      <c r="A267" s="13">
        <f>IFERROR(__xludf.DUMMYFUNCTION("""COMPUTED_VALUE"""),44956.0)</f>
        <v>44956</v>
      </c>
      <c r="B267" s="14" t="str">
        <f>IFERROR(__xludf.DUMMYFUNCTION("""COMPUTED_VALUE"""),"TRSF E-BANKING DB")</f>
        <v>TRSF E-BANKING DB</v>
      </c>
      <c r="C267" s="14" t="str">
        <f>IFERROR(__xludf.DUMMYFUNCTION("""COMPUTED_VALUE"""),"TRSF E-BANKING DB 3001/FTSCY/WS95031 95520300.00 27 dan 29 lunas BROILER MAKMUR TAN")</f>
        <v>TRSF E-BANKING DB 3001/FTSCY/WS95031 95520300.00 27 dan 29 lunas BROILER MAKMUR TAN</v>
      </c>
      <c r="D267" s="3">
        <f>IFERROR(__xludf.DUMMYFUNCTION("""COMPUTED_VALUE"""),9.55203E7)</f>
        <v>95520300</v>
      </c>
      <c r="E267" s="14"/>
      <c r="F267" s="14" t="str">
        <f>IFERROR(__xludf.DUMMYFUNCTION("""COMPUTED_VALUE"""),"DB")</f>
        <v>DB</v>
      </c>
      <c r="G267" s="3">
        <f>IFERROR(__xludf.DUMMYFUNCTION("""COMPUTED_VALUE"""),2.733288051300001E8)</f>
        <v>273328805.1</v>
      </c>
      <c r="H267" s="14"/>
      <c r="I267" s="14" t="str">
        <f>IFERROR(__xludf.DUMMYFUNCTION("""COMPUTED_VALUE"""),"PRODUKSI")</f>
        <v>PRODUKSI</v>
      </c>
    </row>
    <row r="268">
      <c r="A268" s="13">
        <f>IFERROR(__xludf.DUMMYFUNCTION("""COMPUTED_VALUE"""),44956.0)</f>
        <v>44956</v>
      </c>
      <c r="B268" s="14" t="str">
        <f>IFERROR(__xludf.DUMMYFUNCTION("""COMPUTED_VALUE"""),"TRSF E-BANKING DB")</f>
        <v>TRSF E-BANKING DB</v>
      </c>
      <c r="C268" s="14" t="str">
        <f>IFERROR(__xludf.DUMMYFUNCTION("""COMPUTED_VALUE"""),"TRSF E-BANKING DB 3001/FTSCY/WS95271 103337520.00 Tue Jan 27 2026 15:00:00 GMT+0700 (Western Indonesia Time) SUPER UNGGAS JAYA")</f>
        <v>TRSF E-BANKING DB 3001/FTSCY/WS95271 103337520.00 Tue Jan 27 2026 15:00:00 GMT+0700 (Western Indonesia Time) SUPER UNGGAS JAYA</v>
      </c>
      <c r="D268" s="3">
        <f>IFERROR(__xludf.DUMMYFUNCTION("""COMPUTED_VALUE"""),1.0333752E8)</f>
        <v>103337520</v>
      </c>
      <c r="E268" s="14"/>
      <c r="F268" s="14" t="str">
        <f>IFERROR(__xludf.DUMMYFUNCTION("""COMPUTED_VALUE"""),"DB")</f>
        <v>DB</v>
      </c>
      <c r="G268" s="3">
        <f>IFERROR(__xludf.DUMMYFUNCTION("""COMPUTED_VALUE"""),1.780654251300001E8)</f>
        <v>178065425.1</v>
      </c>
      <c r="H268" s="14"/>
      <c r="I268" s="14" t="str">
        <f>IFERROR(__xludf.DUMMYFUNCTION("""COMPUTED_VALUE"""),"PRODUKSI")</f>
        <v>PRODUKSI</v>
      </c>
    </row>
    <row r="269">
      <c r="A269" s="13">
        <f>IFERROR(__xludf.DUMMYFUNCTION("""COMPUTED_VALUE"""),44956.0)</f>
        <v>44956</v>
      </c>
      <c r="B269" s="14" t="str">
        <f>IFERROR(__xludf.DUMMYFUNCTION("""COMPUTED_VALUE"""),"TRSF E-BANKING DB")</f>
        <v>TRSF E-BANKING DB</v>
      </c>
      <c r="C269" s="14" t="str">
        <f>IFERROR(__xludf.DUMMYFUNCTION("""COMPUTED_VALUE"""),"TRSF E-BANKING DB 3001/FTSCY/WS95271 50750000.00 pemb. kd amin jatm iko sragen lunas PITIK DIGITAL INDO")</f>
        <v>TRSF E-BANKING DB 3001/FTSCY/WS95271 50750000.00 pemb. kd amin jatm iko sragen lunas PITIK DIGITAL INDO</v>
      </c>
      <c r="D269" s="3">
        <f>IFERROR(__xludf.DUMMYFUNCTION("""COMPUTED_VALUE"""),5.075E7)</f>
        <v>50750000</v>
      </c>
      <c r="E269" s="14"/>
      <c r="F269" s="14" t="str">
        <f>IFERROR(__xludf.DUMMYFUNCTION("""COMPUTED_VALUE"""),"DB")</f>
        <v>DB</v>
      </c>
      <c r="G269" s="3">
        <f>IFERROR(__xludf.DUMMYFUNCTION("""COMPUTED_VALUE"""),1.2526914513000011E8)</f>
        <v>125269145.1</v>
      </c>
      <c r="H269" s="14"/>
      <c r="I269" s="14" t="str">
        <f>IFERROR(__xludf.DUMMYFUNCTION("""COMPUTED_VALUE"""),"PRODUKSI")</f>
        <v>PRODUKSI</v>
      </c>
    </row>
    <row r="270">
      <c r="A270" s="13">
        <f>IFERROR(__xludf.DUMMYFUNCTION("""COMPUTED_VALUE"""),44956.0)</f>
        <v>44956</v>
      </c>
      <c r="B270" s="14" t="str">
        <f>IFERROR(__xludf.DUMMYFUNCTION("""COMPUTED_VALUE"""),"TRSF E-BANKING DB")</f>
        <v>TRSF E-BANKING DB</v>
      </c>
      <c r="C270" s="14" t="str">
        <f>IFERROR(__xludf.DUMMYFUNCTION("""COMPUTED_VALUE"""),"TRSF E-BANKING DB 3001/FTSCY/WS95011 44602500.00 kd hadi s magetan BINTANG TAMA SANTO")</f>
        <v>TRSF E-BANKING DB 3001/FTSCY/WS95011 44602500.00 kd hadi s magetan BINTANG TAMA SANTO</v>
      </c>
      <c r="D270" s="3">
        <f>IFERROR(__xludf.DUMMYFUNCTION("""COMPUTED_VALUE"""),4.46025E7)</f>
        <v>44602500</v>
      </c>
      <c r="E270" s="14"/>
      <c r="F270" s="14" t="str">
        <f>IFERROR(__xludf.DUMMYFUNCTION("""COMPUTED_VALUE"""),"DB")</f>
        <v>DB</v>
      </c>
      <c r="G270" s="3">
        <f>IFERROR(__xludf.DUMMYFUNCTION("""COMPUTED_VALUE"""),8.066664513000011E7)</f>
        <v>80666645.13</v>
      </c>
      <c r="H270" s="14"/>
      <c r="I270" s="14" t="str">
        <f>IFERROR(__xludf.DUMMYFUNCTION("""COMPUTED_VALUE"""),"PRODUKSI")</f>
        <v>PRODUKSI</v>
      </c>
    </row>
    <row r="271">
      <c r="A271" s="13">
        <f>IFERROR(__xludf.DUMMYFUNCTION("""COMPUTED_VALUE"""),44957.0)</f>
        <v>44957</v>
      </c>
      <c r="B271" s="14" t="str">
        <f>IFERROR(__xludf.DUMMYFUNCTION("""COMPUTED_VALUE"""),"TRSF E-BANKING DB")</f>
        <v>TRSF E-BANKING DB</v>
      </c>
      <c r="C271" s="14" t="str">
        <f>IFERROR(__xludf.DUMMYFUNCTION("""COMPUTED_VALUE"""),"TRSF E-BANKING DB 3101/FTSCY/WS95271 140154100.00 Thu Jan 29 2026 15:00:00 GMT+0700 (Western Indonesia Time) ANDALAN YASA MITRA")</f>
        <v>TRSF E-BANKING DB 3101/FTSCY/WS95271 140154100.00 Thu Jan 29 2026 15:00:00 GMT+0700 (Western Indonesia Time) ANDALAN YASA MITRA</v>
      </c>
      <c r="D271" s="3">
        <f>IFERROR(__xludf.DUMMYFUNCTION("""COMPUTED_VALUE"""),1.401541E8)</f>
        <v>140154100</v>
      </c>
      <c r="E271" s="14"/>
      <c r="F271" s="14" t="str">
        <f>IFERROR(__xludf.DUMMYFUNCTION("""COMPUTED_VALUE"""),"DB")</f>
        <v>DB</v>
      </c>
      <c r="G271" s="3">
        <f>IFERROR(__xludf.DUMMYFUNCTION("""COMPUTED_VALUE"""),1.0512545130000114E7)</f>
        <v>10512545.13</v>
      </c>
      <c r="H271" s="14"/>
      <c r="I271" s="14" t="str">
        <f>IFERROR(__xludf.DUMMYFUNCTION("""COMPUTED_VALUE"""),"PRODUKSI")</f>
        <v>PRODUKSI</v>
      </c>
    </row>
    <row r="272">
      <c r="A272" s="13">
        <f>IFERROR(__xludf.DUMMYFUNCTION("""COMPUTED_VALUE"""),44957.0)</f>
        <v>44957</v>
      </c>
      <c r="B272" s="14" t="str">
        <f>IFERROR(__xludf.DUMMYFUNCTION("""COMPUTED_VALUE"""),"TRSF E-BANKING DB")</f>
        <v>TRSF E-BANKING DB</v>
      </c>
      <c r="C272" s="14" t="str">
        <f>IFERROR(__xludf.DUMMYFUNCTION("""COMPUTED_VALUE"""),"TRSF E-BANKING DB 3101/FTSCY/WS95031 43400000.00 2800 kg kd a. pamu ji UNGGAS MANDIRI BER")</f>
        <v>TRSF E-BANKING DB 3101/FTSCY/WS95031 43400000.00 2800 kg kd a. pamu ji UNGGAS MANDIRI BER</v>
      </c>
      <c r="D272" s="3">
        <f>IFERROR(__xludf.DUMMYFUNCTION("""COMPUTED_VALUE"""),4.34E7)</f>
        <v>43400000</v>
      </c>
      <c r="E272" s="14"/>
      <c r="F272" s="14" t="str">
        <f>IFERROR(__xludf.DUMMYFUNCTION("""COMPUTED_VALUE"""),"DB")</f>
        <v>DB</v>
      </c>
      <c r="G272" s="3">
        <f>IFERROR(__xludf.DUMMYFUNCTION("""COMPUTED_VALUE"""),3.550648591300001E8)</f>
        <v>355064859.1</v>
      </c>
      <c r="H272" s="14"/>
      <c r="I272" s="14" t="str">
        <f>IFERROR(__xludf.DUMMYFUNCTION("""COMPUTED_VALUE"""),"PRODUKSI")</f>
        <v>PRODUKSI</v>
      </c>
    </row>
    <row r="273">
      <c r="A273" s="13">
        <f>IFERROR(__xludf.DUMMYFUNCTION("""COMPUTED_VALUE"""),44957.0)</f>
        <v>44957</v>
      </c>
      <c r="B273" s="14" t="str">
        <f>IFERROR(__xludf.DUMMYFUNCTION("""COMPUTED_VALUE"""),"TRSF E-BANKING DB")</f>
        <v>TRSF E-BANKING DB</v>
      </c>
      <c r="C273" s="14" t="str">
        <f>IFERROR(__xludf.DUMMYFUNCTION("""COMPUTED_VALUE"""),"TRSF E-BANKING DB 3101/FTSCY/WS95031 44170000.00 Fri Jan 30 2026 15:00:00 GMT+0700 (Western Indonesia Time) ANUGERAH KARTIKA A")</f>
        <v>TRSF E-BANKING DB 3101/FTSCY/WS95031 44170000.00 Fri Jan 30 2026 15:00:00 GMT+0700 (Western Indonesia Time) ANUGERAH KARTIKA A</v>
      </c>
      <c r="D273" s="3">
        <f>IFERROR(__xludf.DUMMYFUNCTION("""COMPUTED_VALUE"""),4.417E7)</f>
        <v>44170000</v>
      </c>
      <c r="E273" s="14"/>
      <c r="F273" s="14" t="str">
        <f>IFERROR(__xludf.DUMMYFUNCTION("""COMPUTED_VALUE"""),"DB")</f>
        <v>DB</v>
      </c>
      <c r="G273" s="3">
        <f>IFERROR(__xludf.DUMMYFUNCTION("""COMPUTED_VALUE"""),4.944336391300001E8)</f>
        <v>494433639.1</v>
      </c>
      <c r="H273" s="14"/>
      <c r="I273" s="14" t="str">
        <f>IFERROR(__xludf.DUMMYFUNCTION("""COMPUTED_VALUE"""),"PRODUKSI")</f>
        <v>PRODUKSI</v>
      </c>
    </row>
    <row r="274">
      <c r="A274" s="13">
        <f>IFERROR(__xludf.DUMMYFUNCTION("""COMPUTED_VALUE"""),44957.0)</f>
        <v>44957</v>
      </c>
      <c r="B274" s="14" t="str">
        <f>IFERROR(__xludf.DUMMYFUNCTION("""COMPUTED_VALUE"""),"TRSF E-BANKING DB")</f>
        <v>TRSF E-BANKING DB</v>
      </c>
      <c r="C274" s="14" t="str">
        <f>IFERROR(__xludf.DUMMYFUNCTION("""COMPUTED_VALUE"""),"TRSF E-BANKING DB 3101/FTSCY/WS95271 47600000.00 kd budiono jombang BINTANG TAMA SANTO")</f>
        <v>TRSF E-BANKING DB 3101/FTSCY/WS95271 47600000.00 kd budiono jombang BINTANG TAMA SANTO</v>
      </c>
      <c r="D274" s="3">
        <f>IFERROR(__xludf.DUMMYFUNCTION("""COMPUTED_VALUE"""),4.76E7)</f>
        <v>47600000</v>
      </c>
      <c r="E274" s="14"/>
      <c r="F274" s="14" t="str">
        <f>IFERROR(__xludf.DUMMYFUNCTION("""COMPUTED_VALUE"""),"DB")</f>
        <v>DB</v>
      </c>
      <c r="G274" s="3">
        <f>IFERROR(__xludf.DUMMYFUNCTION("""COMPUTED_VALUE"""),4.468336391300001E8)</f>
        <v>446833639.1</v>
      </c>
      <c r="H274" s="14"/>
      <c r="I274" s="14" t="str">
        <f>IFERROR(__xludf.DUMMYFUNCTION("""COMPUTED_VALUE"""),"PRODUKSI")</f>
        <v>PRODUKSI</v>
      </c>
    </row>
    <row r="275">
      <c r="A275" s="13">
        <f>IFERROR(__xludf.DUMMYFUNCTION("""COMPUTED_VALUE"""),44957.0)</f>
        <v>44957</v>
      </c>
      <c r="B275" s="14" t="str">
        <f>IFERROR(__xludf.DUMMYFUNCTION("""COMPUTED_VALUE"""),"TRSF E-BANKING DB")</f>
        <v>TRSF E-BANKING DB</v>
      </c>
      <c r="C275" s="14" t="str">
        <f>IFERROR(__xludf.DUMMYFUNCTION("""COMPUTED_VALUE"""),"TRSF E-BANKING DB 3101/FTSCY/WS95011 163720250.00 Thu Jan 29 2026 15:00:00 GMT+0700 (Western Indonesia Time) BROILER MAKMUR TAN")</f>
        <v>TRSF E-BANKING DB 3101/FTSCY/WS95011 163720250.00 Thu Jan 29 2026 15:00:00 GMT+0700 (Western Indonesia Time) BROILER MAKMUR TAN</v>
      </c>
      <c r="D275" s="3">
        <f>IFERROR(__xludf.DUMMYFUNCTION("""COMPUTED_VALUE"""),1.6372025E8)</f>
        <v>163720250</v>
      </c>
      <c r="E275" s="14"/>
      <c r="F275" s="14" t="str">
        <f>IFERROR(__xludf.DUMMYFUNCTION("""COMPUTED_VALUE"""),"DB")</f>
        <v>DB</v>
      </c>
      <c r="G275" s="3">
        <f>IFERROR(__xludf.DUMMYFUNCTION("""COMPUTED_VALUE"""),3.261121491300001E8)</f>
        <v>326112149.1</v>
      </c>
      <c r="H275" s="14"/>
      <c r="I275" s="14" t="str">
        <f>IFERROR(__xludf.DUMMYFUNCTION("""COMPUTED_VALUE"""),"PRODUKSI")</f>
        <v>PRODUKSI</v>
      </c>
    </row>
    <row r="276">
      <c r="A276" s="13">
        <f>IFERROR(__xludf.DUMMYFUNCTION("""COMPUTED_VALUE"""),44957.0)</f>
        <v>44957</v>
      </c>
      <c r="B276" s="14" t="str">
        <f>IFERROR(__xludf.DUMMYFUNCTION("""COMPUTED_VALUE"""),"TRSF E-BANKING DB")</f>
        <v>TRSF E-BANKING DB</v>
      </c>
      <c r="C276" s="14" t="str">
        <f>IFERROR(__xludf.DUMMYFUNCTION("""COMPUTED_VALUE"""),"TRSF E-BANKING DB 3101/FTSCY/WS95271 83855250.00 28 dan 29 / januar i SUPER UNGGAS JAYA")</f>
        <v>TRSF E-BANKING DB 3101/FTSCY/WS95271 83855250.00 28 dan 29 / januar i SUPER UNGGAS JAYA</v>
      </c>
      <c r="D276" s="3">
        <f>IFERROR(__xludf.DUMMYFUNCTION("""COMPUTED_VALUE"""),8.385525E7)</f>
        <v>83855250</v>
      </c>
      <c r="E276" s="14"/>
      <c r="F276" s="14" t="str">
        <f>IFERROR(__xludf.DUMMYFUNCTION("""COMPUTED_VALUE"""),"DB")</f>
        <v>DB</v>
      </c>
      <c r="G276" s="3">
        <f>IFERROR(__xludf.DUMMYFUNCTION("""COMPUTED_VALUE"""),2.422568991300001E8)</f>
        <v>242256899.1</v>
      </c>
      <c r="H276" s="14"/>
      <c r="I276" s="14" t="str">
        <f>IFERROR(__xludf.DUMMYFUNCTION("""COMPUTED_VALUE"""),"PRODUKSI")</f>
        <v>PRODUKSI</v>
      </c>
    </row>
    <row r="277">
      <c r="A277" s="13">
        <f>IFERROR(__xludf.DUMMYFUNCTION("""COMPUTED_VALUE"""),44957.0)</f>
        <v>44957</v>
      </c>
      <c r="B277" s="14" t="str">
        <f>IFERROR(__xludf.DUMMYFUNCTION("""COMPUTED_VALUE"""),"TRSF E-BANKING DB")</f>
        <v>TRSF E-BANKING DB</v>
      </c>
      <c r="C277" s="14" t="str">
        <f>IFERROR(__xludf.DUMMYFUNCTION("""COMPUTED_VALUE"""),"TRSF E-BANKING DB 3101/FTSCY/WS95271 6850320.00 kd agro pasuruan l okal SUPER UNGGAS JAYA")</f>
        <v>TRSF E-BANKING DB 3101/FTSCY/WS95271 6850320.00 kd agro pasuruan l okal SUPER UNGGAS JAYA</v>
      </c>
      <c r="D277" s="3">
        <f>IFERROR(__xludf.DUMMYFUNCTION("""COMPUTED_VALUE"""),6850320.0)</f>
        <v>6850320</v>
      </c>
      <c r="E277" s="14"/>
      <c r="F277" s="14" t="str">
        <f>IFERROR(__xludf.DUMMYFUNCTION("""COMPUTED_VALUE"""),"DB")</f>
        <v>DB</v>
      </c>
      <c r="G277" s="3">
        <f>IFERROR(__xludf.DUMMYFUNCTION("""COMPUTED_VALUE"""),2.354065791300001E8)</f>
        <v>235406579.1</v>
      </c>
      <c r="H277" s="14"/>
      <c r="I277" s="14" t="str">
        <f>IFERROR(__xludf.DUMMYFUNCTION("""COMPUTED_VALUE"""),"PRODUKSI")</f>
        <v>PRODUKSI</v>
      </c>
    </row>
    <row r="278">
      <c r="A278" s="13">
        <f>IFERROR(__xludf.DUMMYFUNCTION("""COMPUTED_VALUE"""),44957.0)</f>
        <v>44957</v>
      </c>
      <c r="B278" s="14" t="str">
        <f>IFERROR(__xludf.DUMMYFUNCTION("""COMPUTED_VALUE"""),"TRSF E-BANKING DB")</f>
        <v>TRSF E-BANKING DB</v>
      </c>
      <c r="C278" s="14" t="str">
        <f>IFERROR(__xludf.DUMMYFUNCTION("""COMPUTED_VALUE"""),"TRSF E-BANKING DB 3101/FTSCY/WS95011 131438400.00 pemb. kd diana pasuruan ANUGERAH KARTIKA A")</f>
        <v>TRSF E-BANKING DB 3101/FTSCY/WS95011 131438400.00 pemb. kd diana pasuruan ANUGERAH KARTIKA A</v>
      </c>
      <c r="D278" s="3">
        <f>IFERROR(__xludf.DUMMYFUNCTION("""COMPUTED_VALUE"""),1.314384E8)</f>
        <v>131438400</v>
      </c>
      <c r="E278" s="14"/>
      <c r="F278" s="14" t="str">
        <f>IFERROR(__xludf.DUMMYFUNCTION("""COMPUTED_VALUE"""),"DB")</f>
        <v>DB</v>
      </c>
      <c r="G278" s="3">
        <f>IFERROR(__xludf.DUMMYFUNCTION("""COMPUTED_VALUE"""),1.0396817913000011E8)</f>
        <v>103968179.1</v>
      </c>
      <c r="H278" s="14"/>
      <c r="I278" s="14" t="str">
        <f>IFERROR(__xludf.DUMMYFUNCTION("""COMPUTED_VALUE"""),"PRODUKSI")</f>
        <v>PRODUKSI</v>
      </c>
    </row>
    <row r="279">
      <c r="A279" s="13">
        <f>IFERROR(__xludf.DUMMYFUNCTION("""COMPUTED_VALUE"""),44957.0)</f>
        <v>44957</v>
      </c>
      <c r="B279" s="14" t="str">
        <f>IFERROR(__xludf.DUMMYFUNCTION("""COMPUTED_VALUE"""),"TRSF E-BANKING DB")</f>
        <v>TRSF E-BANKING DB</v>
      </c>
      <c r="C279" s="14" t="str">
        <f>IFERROR(__xludf.DUMMYFUNCTION("""COMPUTED_VALUE"""),"TRSF E-BANKING DB 3101/FTSCY/WS95011 52950000.00 pemb. kd puput 1 magetan RUKUN MITRA BERSAM")</f>
        <v>TRSF E-BANKING DB 3101/FTSCY/WS95011 52950000.00 pemb. kd puput 1 magetan RUKUN MITRA BERSAM</v>
      </c>
      <c r="D279" s="3">
        <f>IFERROR(__xludf.DUMMYFUNCTION("""COMPUTED_VALUE"""),5.295E7)</f>
        <v>52950000</v>
      </c>
      <c r="E279" s="14"/>
      <c r="F279" s="14" t="str">
        <f>IFERROR(__xludf.DUMMYFUNCTION("""COMPUTED_VALUE"""),"DB")</f>
        <v>DB</v>
      </c>
      <c r="G279" s="3">
        <f>IFERROR(__xludf.DUMMYFUNCTION("""COMPUTED_VALUE"""),5.1018179130000114E7)</f>
        <v>51018179.13</v>
      </c>
      <c r="H279" s="14"/>
      <c r="I279" s="14" t="str">
        <f>IFERROR(__xludf.DUMMYFUNCTION("""COMPUTED_VALUE"""),"PRODUKSI")</f>
        <v>PRODUKSI</v>
      </c>
    </row>
    <row r="280">
      <c r="A280" s="13">
        <f>IFERROR(__xludf.DUMMYFUNCTION("""COMPUTED_VALUE"""),44957.0)</f>
        <v>44957</v>
      </c>
      <c r="B280" s="14" t="str">
        <f>IFERROR(__xludf.DUMMYFUNCTION("""COMPUTED_VALUE"""),"TRSF E-BANKING DB")</f>
        <v>TRSF E-BANKING DB</v>
      </c>
      <c r="C280" s="14" t="str">
        <f>IFERROR(__xludf.DUMMYFUNCTION("""COMPUTED_VALUE"""),"TRSF E-BANKING DB 3101/FTSCY/WS95011 42714000.00 pemb. kd suharto jombang ANUGERAH KARTIKA A")</f>
        <v>TRSF E-BANKING DB 3101/FTSCY/WS95011 42714000.00 pemb. kd suharto jombang ANUGERAH KARTIKA A</v>
      </c>
      <c r="D280" s="3">
        <f>IFERROR(__xludf.DUMMYFUNCTION("""COMPUTED_VALUE"""),4.2714E7)</f>
        <v>42714000</v>
      </c>
      <c r="E280" s="14"/>
      <c r="F280" s="14" t="str">
        <f>IFERROR(__xludf.DUMMYFUNCTION("""COMPUTED_VALUE"""),"DB")</f>
        <v>DB</v>
      </c>
      <c r="G280" s="3">
        <f>IFERROR(__xludf.DUMMYFUNCTION("""COMPUTED_VALUE"""),8304179.130000114)</f>
        <v>8304179.13</v>
      </c>
      <c r="H280" s="14"/>
      <c r="I280" s="14" t="str">
        <f>IFERROR(__xludf.DUMMYFUNCTION("""COMPUTED_VALUE"""),"PRODUKSI")</f>
        <v>PRODUKSI</v>
      </c>
    </row>
    <row r="281">
      <c r="A281" s="13"/>
      <c r="D281" s="3"/>
      <c r="G281" s="3"/>
    </row>
    <row r="282">
      <c r="A282" s="13"/>
      <c r="D282" s="3"/>
      <c r="G282" s="3"/>
    </row>
    <row r="283">
      <c r="A283" s="13"/>
      <c r="D283" s="3"/>
      <c r="G283" s="3"/>
    </row>
    <row r="284">
      <c r="A284" s="13"/>
      <c r="D284" s="3"/>
      <c r="G284" s="3"/>
    </row>
    <row r="285">
      <c r="A285" s="13"/>
      <c r="D285" s="3"/>
      <c r="G285" s="3"/>
    </row>
    <row r="286">
      <c r="A286" s="13"/>
      <c r="D286" s="3"/>
      <c r="G286" s="3"/>
    </row>
    <row r="287">
      <c r="A287" s="13"/>
      <c r="D287" s="3"/>
      <c r="G287" s="3"/>
    </row>
    <row r="288">
      <c r="A288" s="13"/>
      <c r="D288" s="3"/>
      <c r="G288" s="3"/>
    </row>
    <row r="289">
      <c r="A289" s="13"/>
      <c r="D289" s="3"/>
      <c r="G289" s="3"/>
    </row>
    <row r="290">
      <c r="A290" s="13"/>
      <c r="D290" s="3"/>
      <c r="G290" s="3"/>
    </row>
    <row r="291">
      <c r="A291" s="13"/>
      <c r="D291" s="3"/>
      <c r="G291" s="3"/>
    </row>
    <row r="292">
      <c r="A292" s="13"/>
      <c r="D292" s="3"/>
      <c r="G292" s="3"/>
    </row>
    <row r="293">
      <c r="A293" s="13"/>
      <c r="D293" s="3"/>
      <c r="G293" s="3"/>
    </row>
    <row r="294">
      <c r="A294" s="13"/>
      <c r="D294" s="3"/>
      <c r="G294" s="3"/>
    </row>
    <row r="295">
      <c r="A295" s="13"/>
      <c r="D295" s="3"/>
      <c r="G295" s="3"/>
    </row>
    <row r="296">
      <c r="A296" s="13"/>
      <c r="D296" s="3"/>
      <c r="G296" s="3"/>
    </row>
    <row r="297">
      <c r="A297" s="13"/>
      <c r="D297" s="3"/>
      <c r="G297" s="3"/>
    </row>
    <row r="298">
      <c r="A298" s="13"/>
      <c r="D298" s="3"/>
      <c r="G298" s="3"/>
    </row>
    <row r="299">
      <c r="A299" s="13"/>
      <c r="D299" s="3"/>
      <c r="G299" s="3"/>
    </row>
    <row r="300">
      <c r="A300" s="13"/>
      <c r="D300" s="3"/>
      <c r="G300" s="3"/>
    </row>
    <row r="301">
      <c r="A301" s="13"/>
      <c r="D301" s="3"/>
      <c r="G301" s="3"/>
    </row>
    <row r="302">
      <c r="A302" s="13"/>
      <c r="D302" s="3"/>
      <c r="G302" s="3"/>
    </row>
    <row r="303">
      <c r="A303" s="13"/>
      <c r="D303" s="3"/>
      <c r="G303" s="3"/>
    </row>
    <row r="304">
      <c r="A304" s="13"/>
      <c r="D304" s="3"/>
      <c r="G304" s="3"/>
    </row>
    <row r="305">
      <c r="A305" s="13"/>
      <c r="D305" s="3"/>
      <c r="G305" s="3"/>
    </row>
    <row r="306">
      <c r="A306" s="13"/>
      <c r="D306" s="3"/>
      <c r="G306" s="3"/>
    </row>
    <row r="307">
      <c r="A307" s="13"/>
      <c r="D307" s="3"/>
      <c r="G307" s="3"/>
    </row>
    <row r="308">
      <c r="A308" s="13"/>
      <c r="D308" s="3"/>
      <c r="G308" s="3"/>
    </row>
    <row r="309">
      <c r="A309" s="13"/>
      <c r="D309" s="3"/>
      <c r="G309" s="3"/>
    </row>
    <row r="310">
      <c r="A310" s="13"/>
      <c r="D310" s="3"/>
      <c r="G310" s="3"/>
    </row>
    <row r="311">
      <c r="A311" s="13"/>
      <c r="D311" s="3"/>
      <c r="G311" s="3"/>
    </row>
    <row r="312">
      <c r="A312" s="13"/>
      <c r="D312" s="3"/>
      <c r="G312" s="3"/>
    </row>
    <row r="313">
      <c r="A313" s="13"/>
      <c r="D313" s="3"/>
      <c r="G313" s="3"/>
    </row>
    <row r="314">
      <c r="A314" s="13"/>
      <c r="D314" s="3"/>
      <c r="G314" s="3"/>
    </row>
    <row r="315">
      <c r="A315" s="13"/>
      <c r="D315" s="3"/>
      <c r="G315" s="3"/>
    </row>
    <row r="316">
      <c r="A316" s="13"/>
      <c r="D316" s="3"/>
      <c r="G316" s="3"/>
    </row>
    <row r="317">
      <c r="A317" s="13"/>
      <c r="D317" s="3"/>
      <c r="G317" s="3"/>
    </row>
    <row r="318">
      <c r="A318" s="13"/>
      <c r="D318" s="3"/>
      <c r="G318" s="3"/>
    </row>
    <row r="319">
      <c r="A319" s="13"/>
      <c r="D319" s="3"/>
      <c r="G319" s="3"/>
    </row>
    <row r="320">
      <c r="A320" s="13"/>
      <c r="D320" s="3"/>
      <c r="G320" s="3"/>
    </row>
    <row r="321">
      <c r="A321" s="13"/>
      <c r="D321" s="3"/>
      <c r="G321" s="3"/>
    </row>
    <row r="322">
      <c r="A322" s="13"/>
      <c r="D322" s="3"/>
      <c r="G322" s="3"/>
    </row>
    <row r="323">
      <c r="A323" s="13"/>
      <c r="D323" s="3"/>
      <c r="G323" s="3"/>
    </row>
    <row r="324">
      <c r="A324" s="13"/>
      <c r="D324" s="3"/>
      <c r="G324" s="3"/>
    </row>
    <row r="325">
      <c r="A325" s="13"/>
      <c r="D325" s="3"/>
      <c r="G325" s="3"/>
    </row>
    <row r="326">
      <c r="A326" s="13"/>
      <c r="D326" s="3"/>
      <c r="G326" s="3"/>
    </row>
    <row r="327">
      <c r="A327" s="13"/>
      <c r="D327" s="3"/>
      <c r="G327" s="3"/>
    </row>
    <row r="328">
      <c r="A328" s="13"/>
      <c r="D328" s="3"/>
      <c r="G328" s="3"/>
    </row>
    <row r="329">
      <c r="A329" s="13"/>
      <c r="D329" s="3"/>
      <c r="G329" s="3"/>
    </row>
    <row r="330">
      <c r="A330" s="13"/>
      <c r="D330" s="3"/>
      <c r="G330" s="3"/>
    </row>
    <row r="331">
      <c r="A331" s="13"/>
      <c r="D331" s="3"/>
      <c r="G331" s="3"/>
    </row>
    <row r="332">
      <c r="A332" s="13"/>
      <c r="D332" s="3"/>
      <c r="G332" s="3"/>
    </row>
    <row r="333">
      <c r="A333" s="13"/>
      <c r="D333" s="3"/>
      <c r="G333" s="3"/>
    </row>
    <row r="334">
      <c r="A334" s="13"/>
      <c r="D334" s="3"/>
      <c r="G334" s="3"/>
    </row>
    <row r="335">
      <c r="A335" s="13"/>
      <c r="D335" s="3"/>
      <c r="G335" s="3"/>
    </row>
    <row r="336">
      <c r="A336" s="13"/>
      <c r="D336" s="3"/>
      <c r="G336" s="3"/>
    </row>
    <row r="337">
      <c r="A337" s="13"/>
      <c r="D337" s="3"/>
      <c r="G337" s="3"/>
    </row>
    <row r="338">
      <c r="A338" s="13"/>
      <c r="D338" s="3"/>
      <c r="G338" s="3"/>
    </row>
    <row r="339">
      <c r="A339" s="13"/>
      <c r="D339" s="3"/>
      <c r="G339" s="3"/>
    </row>
    <row r="340">
      <c r="A340" s="13"/>
      <c r="D340" s="3"/>
      <c r="G340" s="3"/>
    </row>
    <row r="341">
      <c r="A341" s="13"/>
      <c r="D341" s="3"/>
      <c r="G341" s="3"/>
    </row>
    <row r="342">
      <c r="A342" s="13"/>
      <c r="D342" s="3"/>
      <c r="G342" s="3"/>
    </row>
    <row r="343">
      <c r="A343" s="13"/>
      <c r="D343" s="3"/>
      <c r="G343" s="3"/>
    </row>
    <row r="344">
      <c r="A344" s="13"/>
      <c r="D344" s="3"/>
      <c r="G344" s="3"/>
    </row>
    <row r="345">
      <c r="A345" s="13"/>
      <c r="D345" s="3"/>
      <c r="G345" s="3"/>
    </row>
    <row r="346">
      <c r="A346" s="13"/>
      <c r="D346" s="3"/>
      <c r="G346" s="3"/>
    </row>
    <row r="347">
      <c r="A347" s="13"/>
      <c r="D347" s="3"/>
      <c r="G347" s="3"/>
    </row>
    <row r="348">
      <c r="A348" s="13"/>
      <c r="D348" s="3"/>
      <c r="G348" s="3"/>
    </row>
    <row r="349">
      <c r="A349" s="13"/>
      <c r="D349" s="3"/>
      <c r="G349" s="3"/>
    </row>
    <row r="350">
      <c r="A350" s="13"/>
      <c r="D350" s="3"/>
      <c r="G350" s="3"/>
    </row>
    <row r="351">
      <c r="A351" s="13"/>
      <c r="D351" s="3"/>
      <c r="G351" s="3"/>
    </row>
    <row r="352">
      <c r="A352" s="13"/>
      <c r="D352" s="3"/>
      <c r="G352" s="3"/>
    </row>
    <row r="353">
      <c r="A353" s="13"/>
      <c r="D353" s="3"/>
      <c r="G353" s="3"/>
    </row>
    <row r="354">
      <c r="A354" s="13"/>
      <c r="D354" s="3"/>
      <c r="G354" s="3"/>
    </row>
    <row r="355">
      <c r="A355" s="13"/>
      <c r="D355" s="3"/>
      <c r="G355" s="3"/>
    </row>
    <row r="356">
      <c r="A356" s="13"/>
      <c r="D356" s="3"/>
      <c r="G356" s="3"/>
    </row>
    <row r="357">
      <c r="A357" s="13"/>
      <c r="D357" s="3"/>
      <c r="G357" s="3"/>
    </row>
    <row r="358">
      <c r="A358" s="13"/>
      <c r="D358" s="3"/>
      <c r="G358" s="3"/>
    </row>
    <row r="359">
      <c r="A359" s="13"/>
      <c r="D359" s="3"/>
      <c r="G359" s="3"/>
    </row>
    <row r="360">
      <c r="A360" s="13"/>
      <c r="D360" s="3"/>
      <c r="G360" s="3"/>
    </row>
    <row r="361">
      <c r="A361" s="13"/>
      <c r="D361" s="3"/>
      <c r="G361" s="3"/>
    </row>
    <row r="362">
      <c r="A362" s="13"/>
      <c r="D362" s="3"/>
      <c r="G362" s="3"/>
    </row>
    <row r="363">
      <c r="A363" s="13"/>
      <c r="D363" s="3"/>
      <c r="G363" s="3"/>
    </row>
    <row r="364">
      <c r="A364" s="13"/>
      <c r="D364" s="3"/>
      <c r="G364" s="3"/>
    </row>
    <row r="365">
      <c r="A365" s="13"/>
      <c r="D365" s="3"/>
      <c r="G365" s="3"/>
    </row>
    <row r="366">
      <c r="A366" s="13"/>
      <c r="D366" s="3"/>
      <c r="G366" s="3"/>
    </row>
    <row r="367">
      <c r="A367" s="13"/>
      <c r="D367" s="3"/>
      <c r="G367" s="3"/>
    </row>
    <row r="368">
      <c r="A368" s="13"/>
      <c r="D368" s="3"/>
      <c r="G368" s="3"/>
    </row>
    <row r="369">
      <c r="A369" s="13"/>
      <c r="D369" s="3"/>
      <c r="G369" s="3"/>
    </row>
    <row r="370">
      <c r="A370" s="13"/>
      <c r="D370" s="3"/>
      <c r="G370" s="3"/>
    </row>
    <row r="371">
      <c r="A371" s="13"/>
      <c r="D371" s="3"/>
      <c r="G371" s="3"/>
    </row>
    <row r="372">
      <c r="A372" s="13"/>
      <c r="D372" s="3"/>
      <c r="G372" s="3"/>
    </row>
    <row r="373">
      <c r="A373" s="13"/>
      <c r="D373" s="3"/>
      <c r="G373" s="3"/>
    </row>
    <row r="374">
      <c r="A374" s="13"/>
      <c r="D374" s="3"/>
      <c r="G374" s="3"/>
    </row>
    <row r="375">
      <c r="A375" s="13"/>
      <c r="D375" s="3"/>
      <c r="G375" s="3"/>
    </row>
    <row r="376">
      <c r="A376" s="13"/>
      <c r="D376" s="3"/>
      <c r="G376" s="3"/>
    </row>
    <row r="377">
      <c r="A377" s="13"/>
      <c r="D377" s="3"/>
      <c r="G377" s="3"/>
    </row>
    <row r="378">
      <c r="A378" s="13"/>
      <c r="D378" s="3"/>
      <c r="G378" s="3"/>
    </row>
    <row r="379">
      <c r="A379" s="13"/>
      <c r="D379" s="3"/>
      <c r="G379" s="3"/>
    </row>
    <row r="380">
      <c r="A380" s="13"/>
      <c r="D380" s="3"/>
      <c r="G380" s="3"/>
    </row>
    <row r="381">
      <c r="A381" s="13"/>
      <c r="D381" s="3"/>
      <c r="G381" s="3"/>
    </row>
    <row r="382">
      <c r="A382" s="13"/>
      <c r="D382" s="3"/>
      <c r="G382" s="3"/>
    </row>
    <row r="383">
      <c r="A383" s="13"/>
      <c r="D383" s="3"/>
      <c r="G383" s="3"/>
    </row>
    <row r="384">
      <c r="A384" s="13"/>
      <c r="D384" s="3"/>
      <c r="G384" s="3"/>
    </row>
    <row r="385">
      <c r="A385" s="13"/>
      <c r="D385" s="3"/>
      <c r="G385" s="3"/>
    </row>
    <row r="386">
      <c r="A386" s="13"/>
      <c r="D386" s="3"/>
      <c r="G386" s="3"/>
    </row>
    <row r="387">
      <c r="A387" s="13"/>
      <c r="D387" s="3"/>
      <c r="G387" s="3"/>
    </row>
    <row r="388">
      <c r="A388" s="13"/>
      <c r="D388" s="3"/>
      <c r="G388" s="3"/>
    </row>
    <row r="389">
      <c r="A389" s="13"/>
      <c r="D389" s="3"/>
      <c r="G389" s="3"/>
    </row>
    <row r="390">
      <c r="A390" s="13"/>
      <c r="D390" s="3"/>
      <c r="G390" s="3"/>
    </row>
    <row r="391">
      <c r="A391" s="13"/>
      <c r="D391" s="3"/>
      <c r="G391" s="3"/>
    </row>
    <row r="392">
      <c r="A392" s="13"/>
      <c r="D392" s="3"/>
      <c r="G392" s="3"/>
    </row>
    <row r="393">
      <c r="A393" s="13"/>
      <c r="D393" s="3"/>
      <c r="G393" s="3"/>
    </row>
    <row r="394">
      <c r="A394" s="13"/>
      <c r="D394" s="3"/>
      <c r="G394" s="3"/>
    </row>
    <row r="395">
      <c r="A395" s="13"/>
      <c r="D395" s="3"/>
      <c r="G395" s="3"/>
    </row>
    <row r="396">
      <c r="A396" s="13"/>
      <c r="D396" s="3"/>
      <c r="G396" s="3"/>
    </row>
    <row r="397">
      <c r="A397" s="13"/>
      <c r="D397" s="3"/>
      <c r="G397" s="3"/>
    </row>
    <row r="398">
      <c r="A398" s="13"/>
      <c r="D398" s="3"/>
      <c r="G398" s="3"/>
    </row>
    <row r="399">
      <c r="A399" s="13"/>
      <c r="D399" s="3"/>
      <c r="G399" s="3"/>
    </row>
    <row r="400">
      <c r="A400" s="13"/>
      <c r="D400" s="3"/>
      <c r="G400" s="3"/>
    </row>
    <row r="401">
      <c r="A401" s="13"/>
      <c r="D401" s="3"/>
      <c r="G401" s="3"/>
    </row>
    <row r="402">
      <c r="A402" s="13"/>
      <c r="D402" s="3"/>
      <c r="G402" s="3"/>
    </row>
    <row r="403">
      <c r="A403" s="13"/>
      <c r="D403" s="3"/>
      <c r="G403" s="3"/>
    </row>
    <row r="404">
      <c r="A404" s="13"/>
      <c r="D404" s="3"/>
      <c r="G404" s="3"/>
    </row>
    <row r="405">
      <c r="A405" s="13"/>
      <c r="D405" s="3"/>
      <c r="G405" s="3"/>
    </row>
    <row r="406">
      <c r="A406" s="13"/>
      <c r="D406" s="3"/>
      <c r="G406" s="3"/>
    </row>
    <row r="407">
      <c r="A407" s="13"/>
      <c r="D407" s="3"/>
      <c r="G407" s="3"/>
    </row>
    <row r="408">
      <c r="A408" s="13"/>
      <c r="D408" s="3"/>
      <c r="G408" s="3"/>
    </row>
    <row r="409">
      <c r="A409" s="13"/>
      <c r="D409" s="3"/>
      <c r="G409" s="3"/>
    </row>
    <row r="410">
      <c r="A410" s="13"/>
      <c r="D410" s="3"/>
      <c r="G410" s="3"/>
    </row>
    <row r="411">
      <c r="A411" s="13"/>
      <c r="D411" s="3"/>
      <c r="G411" s="3"/>
    </row>
    <row r="412">
      <c r="A412" s="13"/>
      <c r="D412" s="3"/>
      <c r="G412" s="3"/>
    </row>
    <row r="413">
      <c r="A413" s="13"/>
      <c r="D413" s="3"/>
      <c r="G413" s="3"/>
    </row>
    <row r="414">
      <c r="A414" s="13"/>
      <c r="D414" s="3"/>
      <c r="G414" s="3"/>
    </row>
    <row r="415">
      <c r="A415" s="13"/>
      <c r="D415" s="3"/>
      <c r="G415" s="3"/>
    </row>
    <row r="416">
      <c r="A416" s="13"/>
      <c r="D416" s="3"/>
      <c r="G416" s="3"/>
    </row>
    <row r="417">
      <c r="A417" s="13"/>
      <c r="D417" s="3"/>
      <c r="G417" s="3"/>
    </row>
    <row r="418">
      <c r="A418" s="13"/>
      <c r="D418" s="3"/>
      <c r="G418" s="3"/>
    </row>
    <row r="419">
      <c r="A419" s="13"/>
      <c r="D419" s="3"/>
      <c r="G419" s="3"/>
    </row>
    <row r="420">
      <c r="A420" s="13"/>
      <c r="D420" s="3"/>
      <c r="G420" s="3"/>
    </row>
    <row r="421">
      <c r="A421" s="13"/>
      <c r="D421" s="3"/>
      <c r="G421" s="3"/>
    </row>
    <row r="422">
      <c r="A422" s="13"/>
      <c r="D422" s="3"/>
      <c r="G422" s="3"/>
    </row>
    <row r="423">
      <c r="A423" s="13"/>
      <c r="D423" s="3"/>
      <c r="G423" s="3"/>
    </row>
    <row r="424">
      <c r="A424" s="13"/>
      <c r="D424" s="3"/>
      <c r="G424" s="3"/>
    </row>
    <row r="425">
      <c r="A425" s="13"/>
      <c r="D425" s="3"/>
      <c r="G425" s="3"/>
    </row>
    <row r="426">
      <c r="A426" s="13"/>
      <c r="D426" s="3"/>
      <c r="G426" s="3"/>
    </row>
    <row r="427">
      <c r="A427" s="13"/>
      <c r="D427" s="3"/>
      <c r="G427" s="3"/>
    </row>
    <row r="428">
      <c r="A428" s="13"/>
      <c r="D428" s="3"/>
      <c r="G428" s="3"/>
    </row>
    <row r="429">
      <c r="A429" s="13"/>
      <c r="D429" s="3"/>
      <c r="G429" s="3"/>
    </row>
    <row r="430">
      <c r="A430" s="13"/>
      <c r="D430" s="3"/>
      <c r="G430" s="3"/>
    </row>
    <row r="431">
      <c r="A431" s="13"/>
      <c r="D431" s="3"/>
      <c r="G431" s="3"/>
    </row>
    <row r="432">
      <c r="A432" s="13"/>
      <c r="D432" s="3"/>
      <c r="G432" s="3"/>
    </row>
    <row r="433">
      <c r="A433" s="13"/>
      <c r="D433" s="3"/>
      <c r="G433" s="3"/>
    </row>
    <row r="434">
      <c r="A434" s="13"/>
      <c r="D434" s="3"/>
      <c r="G434" s="3"/>
    </row>
    <row r="435">
      <c r="A435" s="13"/>
      <c r="D435" s="3"/>
      <c r="G435" s="3"/>
    </row>
    <row r="436">
      <c r="A436" s="13"/>
      <c r="D436" s="3"/>
      <c r="G436" s="3"/>
    </row>
    <row r="437">
      <c r="A437" s="13"/>
      <c r="D437" s="3"/>
      <c r="G437" s="3"/>
    </row>
    <row r="438">
      <c r="A438" s="13"/>
      <c r="D438" s="3"/>
      <c r="G438" s="3"/>
    </row>
    <row r="439">
      <c r="A439" s="13"/>
      <c r="D439" s="3"/>
      <c r="G439" s="3"/>
    </row>
    <row r="440">
      <c r="A440" s="13"/>
      <c r="D440" s="3"/>
      <c r="G440" s="3"/>
    </row>
    <row r="441">
      <c r="A441" s="13"/>
      <c r="D441" s="3"/>
      <c r="G441" s="3"/>
    </row>
    <row r="442">
      <c r="A442" s="13"/>
      <c r="D442" s="3"/>
      <c r="G442" s="3"/>
    </row>
    <row r="443">
      <c r="A443" s="13"/>
      <c r="D443" s="3"/>
      <c r="G443" s="3"/>
    </row>
    <row r="444">
      <c r="A444" s="13"/>
      <c r="D444" s="3"/>
      <c r="G444" s="3"/>
    </row>
    <row r="445">
      <c r="A445" s="13"/>
      <c r="D445" s="3"/>
      <c r="G445" s="3"/>
    </row>
    <row r="446">
      <c r="A446" s="13"/>
      <c r="D446" s="3"/>
      <c r="G446" s="3"/>
    </row>
    <row r="447">
      <c r="A447" s="13"/>
      <c r="D447" s="3"/>
      <c r="G447" s="3"/>
    </row>
    <row r="448">
      <c r="A448" s="13"/>
      <c r="D448" s="3"/>
      <c r="G448" s="3"/>
    </row>
    <row r="449">
      <c r="A449" s="13"/>
      <c r="D449" s="3"/>
      <c r="G449" s="3"/>
    </row>
    <row r="450">
      <c r="A450" s="13"/>
      <c r="D450" s="3"/>
      <c r="G450" s="3"/>
    </row>
    <row r="451">
      <c r="A451" s="13"/>
      <c r="D451" s="3"/>
      <c r="G451" s="3"/>
    </row>
    <row r="452">
      <c r="A452" s="13"/>
      <c r="D452" s="3"/>
      <c r="G452" s="3"/>
    </row>
    <row r="453">
      <c r="A453" s="13"/>
      <c r="D453" s="3"/>
      <c r="G453" s="3"/>
    </row>
    <row r="454">
      <c r="A454" s="13"/>
      <c r="D454" s="3"/>
      <c r="G454" s="3"/>
    </row>
    <row r="455">
      <c r="A455" s="13"/>
      <c r="D455" s="3"/>
      <c r="G455" s="3"/>
    </row>
    <row r="456">
      <c r="A456" s="13"/>
      <c r="D456" s="3"/>
      <c r="G456" s="3"/>
    </row>
    <row r="457">
      <c r="A457" s="13"/>
      <c r="D457" s="3"/>
      <c r="G457" s="3"/>
    </row>
    <row r="458">
      <c r="A458" s="13"/>
      <c r="D458" s="3"/>
      <c r="G458" s="3"/>
    </row>
    <row r="459">
      <c r="A459" s="13"/>
      <c r="D459" s="3"/>
      <c r="G459" s="3"/>
    </row>
    <row r="460">
      <c r="A460" s="13"/>
      <c r="D460" s="3"/>
      <c r="G460" s="3"/>
    </row>
    <row r="461">
      <c r="A461" s="13"/>
      <c r="D461" s="3"/>
      <c r="G461" s="3"/>
    </row>
    <row r="462">
      <c r="A462" s="13"/>
      <c r="D462" s="3"/>
      <c r="G462" s="3"/>
    </row>
    <row r="463">
      <c r="A463" s="13"/>
      <c r="D463" s="3"/>
      <c r="G463" s="3"/>
    </row>
    <row r="464">
      <c r="A464" s="13"/>
      <c r="D464" s="3"/>
      <c r="G464" s="3"/>
    </row>
    <row r="465">
      <c r="A465" s="13"/>
      <c r="D465" s="3"/>
      <c r="G465" s="3"/>
    </row>
    <row r="466">
      <c r="A466" s="13"/>
      <c r="D466" s="3"/>
      <c r="G466" s="3"/>
    </row>
    <row r="467">
      <c r="A467" s="13"/>
      <c r="D467" s="3"/>
      <c r="G467" s="3"/>
    </row>
    <row r="468">
      <c r="A468" s="13"/>
      <c r="D468" s="3"/>
      <c r="G468" s="3"/>
    </row>
    <row r="469">
      <c r="A469" s="13"/>
      <c r="D469" s="3"/>
      <c r="G469" s="3"/>
    </row>
    <row r="470">
      <c r="A470" s="13"/>
      <c r="D470" s="3"/>
      <c r="G470" s="3"/>
    </row>
    <row r="471">
      <c r="A471" s="13"/>
      <c r="D471" s="3"/>
      <c r="G471" s="3"/>
    </row>
    <row r="472">
      <c r="A472" s="13"/>
      <c r="D472" s="3"/>
      <c r="G472" s="3"/>
    </row>
    <row r="473">
      <c r="A473" s="13"/>
      <c r="D473" s="3"/>
      <c r="G473" s="3"/>
    </row>
    <row r="474">
      <c r="A474" s="13"/>
      <c r="D474" s="3"/>
      <c r="G474" s="3"/>
    </row>
    <row r="475">
      <c r="A475" s="13"/>
      <c r="D475" s="3"/>
      <c r="G475" s="3"/>
    </row>
    <row r="476">
      <c r="A476" s="13"/>
      <c r="D476" s="3"/>
      <c r="G476" s="3"/>
    </row>
    <row r="477">
      <c r="A477" s="13"/>
      <c r="D477" s="3"/>
      <c r="G477" s="3"/>
    </row>
    <row r="478">
      <c r="A478" s="13"/>
      <c r="D478" s="3"/>
      <c r="G478" s="3"/>
    </row>
    <row r="479">
      <c r="A479" s="13"/>
      <c r="D479" s="3"/>
      <c r="G479" s="3"/>
    </row>
    <row r="480">
      <c r="A480" s="13"/>
      <c r="D480" s="3"/>
      <c r="G480" s="3"/>
    </row>
    <row r="481">
      <c r="A481" s="13"/>
      <c r="D481" s="3"/>
      <c r="G481" s="3"/>
    </row>
    <row r="482">
      <c r="A482" s="13"/>
      <c r="D482" s="3"/>
      <c r="G482" s="3"/>
    </row>
    <row r="483">
      <c r="A483" s="13"/>
      <c r="D483" s="3"/>
      <c r="G483" s="3"/>
    </row>
    <row r="484">
      <c r="A484" s="13"/>
      <c r="D484" s="3"/>
      <c r="G484" s="3"/>
    </row>
    <row r="485">
      <c r="A485" s="13"/>
      <c r="D485" s="3"/>
      <c r="G485" s="3"/>
    </row>
    <row r="486">
      <c r="A486" s="13"/>
      <c r="D486" s="3"/>
      <c r="G486" s="3"/>
    </row>
    <row r="487">
      <c r="A487" s="13"/>
      <c r="D487" s="3"/>
      <c r="G487" s="3"/>
    </row>
    <row r="488">
      <c r="A488" s="13"/>
      <c r="D488" s="3"/>
      <c r="G488" s="3"/>
    </row>
    <row r="489">
      <c r="A489" s="13"/>
      <c r="D489" s="3"/>
      <c r="G489" s="3"/>
    </row>
    <row r="490">
      <c r="A490" s="13"/>
      <c r="D490" s="3"/>
      <c r="G490" s="3"/>
    </row>
    <row r="491">
      <c r="A491" s="13"/>
      <c r="D491" s="3"/>
      <c r="G491" s="3"/>
    </row>
    <row r="492">
      <c r="A492" s="13"/>
      <c r="D492" s="3"/>
      <c r="G492" s="3"/>
    </row>
    <row r="493">
      <c r="A493" s="13"/>
      <c r="D493" s="3"/>
      <c r="G493" s="3"/>
    </row>
    <row r="494">
      <c r="A494" s="13"/>
      <c r="D494" s="3"/>
      <c r="G494" s="3"/>
    </row>
    <row r="495">
      <c r="A495" s="13"/>
      <c r="D495" s="3"/>
      <c r="G495" s="3"/>
    </row>
    <row r="496">
      <c r="A496" s="13"/>
      <c r="D496" s="3"/>
      <c r="G496" s="3"/>
    </row>
    <row r="497">
      <c r="A497" s="13"/>
      <c r="D497" s="3"/>
      <c r="G497" s="3"/>
    </row>
    <row r="498">
      <c r="A498" s="13"/>
      <c r="D498" s="3"/>
      <c r="G498" s="3"/>
    </row>
    <row r="499">
      <c r="A499" s="13"/>
      <c r="D499" s="3"/>
      <c r="G499" s="3"/>
    </row>
    <row r="500">
      <c r="A500" s="13"/>
      <c r="D500" s="3"/>
      <c r="G500" s="3"/>
    </row>
    <row r="501">
      <c r="A501" s="13"/>
      <c r="D501" s="3"/>
      <c r="G501" s="3"/>
    </row>
    <row r="502">
      <c r="A502" s="13"/>
      <c r="D502" s="3"/>
      <c r="G502" s="3"/>
    </row>
    <row r="503">
      <c r="A503" s="13"/>
      <c r="D503" s="3"/>
      <c r="G503" s="3"/>
    </row>
    <row r="504">
      <c r="A504" s="13"/>
      <c r="D504" s="3"/>
      <c r="G504" s="3"/>
    </row>
    <row r="505">
      <c r="A505" s="13"/>
      <c r="D505" s="3"/>
      <c r="G505" s="3"/>
    </row>
    <row r="506">
      <c r="A506" s="13"/>
      <c r="D506" s="3"/>
      <c r="G506" s="3"/>
    </row>
    <row r="507">
      <c r="A507" s="13"/>
      <c r="D507" s="3"/>
      <c r="G507" s="3"/>
    </row>
    <row r="508">
      <c r="A508" s="13"/>
      <c r="D508" s="3"/>
      <c r="G508" s="3"/>
    </row>
    <row r="509">
      <c r="A509" s="13"/>
      <c r="D509" s="3"/>
      <c r="G509" s="3"/>
    </row>
    <row r="510">
      <c r="A510" s="13"/>
      <c r="D510" s="3"/>
      <c r="G510" s="3"/>
    </row>
    <row r="511">
      <c r="A511" s="13"/>
      <c r="D511" s="3"/>
      <c r="G511" s="3"/>
    </row>
    <row r="512">
      <c r="A512" s="13"/>
      <c r="D512" s="3"/>
      <c r="G512" s="3"/>
    </row>
    <row r="513">
      <c r="A513" s="13"/>
      <c r="D513" s="3"/>
      <c r="G513" s="3"/>
    </row>
    <row r="514">
      <c r="A514" s="13"/>
      <c r="D514" s="3"/>
      <c r="G514" s="3"/>
    </row>
    <row r="515">
      <c r="A515" s="13"/>
      <c r="D515" s="3"/>
      <c r="G515" s="3"/>
    </row>
    <row r="516">
      <c r="A516" s="13"/>
      <c r="D516" s="3"/>
      <c r="G516" s="3"/>
    </row>
    <row r="517">
      <c r="A517" s="13"/>
      <c r="D517" s="3"/>
      <c r="G517" s="3"/>
    </row>
    <row r="518">
      <c r="A518" s="13"/>
      <c r="D518" s="3"/>
      <c r="G518" s="3"/>
    </row>
    <row r="519">
      <c r="A519" s="13"/>
      <c r="D519" s="3"/>
      <c r="G519" s="3"/>
    </row>
    <row r="520">
      <c r="A520" s="13"/>
      <c r="D520" s="3"/>
      <c r="G520" s="3"/>
    </row>
    <row r="521">
      <c r="A521" s="13"/>
      <c r="D521" s="3"/>
      <c r="G521" s="3"/>
    </row>
    <row r="522">
      <c r="A522" s="13"/>
      <c r="D522" s="3"/>
      <c r="G522" s="3"/>
    </row>
    <row r="523">
      <c r="A523" s="13"/>
      <c r="D523" s="3"/>
      <c r="G523" s="3"/>
    </row>
    <row r="524">
      <c r="A524" s="13"/>
      <c r="D524" s="3"/>
      <c r="G524" s="3"/>
    </row>
    <row r="525">
      <c r="A525" s="13"/>
      <c r="D525" s="3"/>
      <c r="G525" s="3"/>
    </row>
    <row r="526">
      <c r="A526" s="13"/>
      <c r="D526" s="3"/>
      <c r="G526" s="3"/>
    </row>
    <row r="527">
      <c r="A527" s="13"/>
      <c r="D527" s="3"/>
      <c r="G527" s="3"/>
    </row>
    <row r="528">
      <c r="A528" s="13"/>
      <c r="D528" s="3"/>
      <c r="G528" s="3"/>
    </row>
    <row r="529">
      <c r="A529" s="13"/>
      <c r="D529" s="3"/>
      <c r="G529" s="3"/>
    </row>
    <row r="530">
      <c r="A530" s="13"/>
      <c r="D530" s="3"/>
      <c r="G530" s="3"/>
    </row>
    <row r="531">
      <c r="A531" s="13"/>
      <c r="D531" s="3"/>
      <c r="G531" s="3"/>
    </row>
    <row r="532">
      <c r="A532" s="13"/>
      <c r="D532" s="3"/>
      <c r="G532" s="3"/>
    </row>
    <row r="533">
      <c r="A533" s="13"/>
      <c r="D533" s="3"/>
      <c r="G533" s="3"/>
    </row>
    <row r="534">
      <c r="A534" s="13"/>
      <c r="D534" s="3"/>
      <c r="G534" s="3"/>
    </row>
    <row r="535">
      <c r="A535" s="13"/>
      <c r="D535" s="3"/>
      <c r="G535" s="3"/>
    </row>
    <row r="536">
      <c r="A536" s="13"/>
      <c r="D536" s="3"/>
      <c r="G536" s="3"/>
    </row>
    <row r="537">
      <c r="A537" s="13"/>
      <c r="D537" s="3"/>
      <c r="G537" s="3"/>
    </row>
    <row r="538">
      <c r="A538" s="13"/>
      <c r="D538" s="3"/>
      <c r="G538" s="3"/>
    </row>
    <row r="539">
      <c r="A539" s="13"/>
      <c r="D539" s="3"/>
      <c r="G539" s="3"/>
    </row>
    <row r="540">
      <c r="A540" s="13"/>
      <c r="D540" s="3"/>
      <c r="G540" s="3"/>
    </row>
    <row r="541">
      <c r="A541" s="13"/>
      <c r="D541" s="3"/>
      <c r="G541" s="3"/>
    </row>
    <row r="542">
      <c r="A542" s="13"/>
      <c r="D542" s="3"/>
      <c r="G542" s="3"/>
    </row>
    <row r="543">
      <c r="A543" s="13"/>
      <c r="D543" s="3"/>
      <c r="G543" s="3"/>
    </row>
    <row r="544">
      <c r="A544" s="13"/>
      <c r="D544" s="3"/>
      <c r="G544" s="3"/>
    </row>
    <row r="545">
      <c r="A545" s="13"/>
      <c r="D545" s="3"/>
      <c r="G545" s="3"/>
    </row>
    <row r="546">
      <c r="A546" s="13"/>
      <c r="D546" s="3"/>
      <c r="G546" s="3"/>
    </row>
    <row r="547">
      <c r="A547" s="13"/>
      <c r="D547" s="3"/>
      <c r="G547" s="3"/>
    </row>
    <row r="548">
      <c r="A548" s="13"/>
      <c r="D548" s="3"/>
      <c r="G548" s="3"/>
    </row>
    <row r="549">
      <c r="A549" s="13"/>
      <c r="D549" s="3"/>
      <c r="G549" s="3"/>
    </row>
    <row r="550">
      <c r="A550" s="13"/>
      <c r="D550" s="3"/>
      <c r="G550" s="3"/>
    </row>
    <row r="551">
      <c r="A551" s="13"/>
      <c r="D551" s="3"/>
      <c r="G551" s="3"/>
    </row>
    <row r="552">
      <c r="A552" s="13"/>
      <c r="D552" s="3"/>
      <c r="G552" s="3"/>
    </row>
    <row r="553">
      <c r="A553" s="13"/>
      <c r="D553" s="3"/>
      <c r="G553" s="3"/>
    </row>
    <row r="554">
      <c r="A554" s="13"/>
      <c r="D554" s="3"/>
      <c r="G554" s="3"/>
    </row>
    <row r="555">
      <c r="A555" s="13"/>
      <c r="D555" s="3"/>
      <c r="G555" s="3"/>
    </row>
    <row r="556">
      <c r="A556" s="13"/>
      <c r="D556" s="3"/>
      <c r="G556" s="3"/>
    </row>
    <row r="557">
      <c r="A557" s="13"/>
      <c r="D557" s="3"/>
      <c r="G557" s="3"/>
    </row>
    <row r="558">
      <c r="A558" s="13"/>
      <c r="D558" s="3"/>
      <c r="G558" s="3"/>
    </row>
    <row r="559">
      <c r="A559" s="13"/>
      <c r="D559" s="3"/>
      <c r="G559" s="3"/>
    </row>
    <row r="560">
      <c r="A560" s="13"/>
      <c r="D560" s="3"/>
      <c r="G560" s="3"/>
    </row>
    <row r="561">
      <c r="A561" s="13"/>
      <c r="D561" s="3"/>
      <c r="G561" s="3"/>
    </row>
    <row r="562">
      <c r="A562" s="13"/>
      <c r="D562" s="3"/>
      <c r="G562" s="3"/>
    </row>
    <row r="563">
      <c r="A563" s="13"/>
      <c r="D563" s="3"/>
      <c r="G563" s="3"/>
    </row>
    <row r="564">
      <c r="A564" s="13"/>
      <c r="D564" s="3"/>
      <c r="G564" s="3"/>
    </row>
    <row r="565">
      <c r="A565" s="13"/>
      <c r="D565" s="3"/>
      <c r="G565" s="3"/>
    </row>
    <row r="566">
      <c r="A566" s="13"/>
      <c r="D566" s="3"/>
      <c r="G566" s="3"/>
    </row>
    <row r="567">
      <c r="A567" s="13"/>
      <c r="D567" s="3"/>
      <c r="G567" s="3"/>
    </row>
    <row r="568">
      <c r="A568" s="13"/>
      <c r="D568" s="3"/>
      <c r="G568" s="3"/>
    </row>
    <row r="569">
      <c r="A569" s="13"/>
      <c r="D569" s="3"/>
      <c r="G569" s="3"/>
    </row>
    <row r="570">
      <c r="A570" s="13"/>
      <c r="D570" s="3"/>
      <c r="G570" s="3"/>
    </row>
    <row r="571">
      <c r="A571" s="13"/>
      <c r="D571" s="3"/>
      <c r="G571" s="3"/>
    </row>
    <row r="572">
      <c r="A572" s="13"/>
      <c r="D572" s="3"/>
      <c r="G572" s="3"/>
    </row>
    <row r="573">
      <c r="A573" s="13"/>
      <c r="D573" s="3"/>
      <c r="G573" s="3"/>
    </row>
    <row r="574">
      <c r="A574" s="13"/>
      <c r="D574" s="3"/>
      <c r="G574" s="3"/>
    </row>
    <row r="575">
      <c r="A575" s="13"/>
      <c r="D575" s="3"/>
      <c r="G575" s="3"/>
    </row>
    <row r="576">
      <c r="A576" s="13"/>
      <c r="D576" s="3"/>
      <c r="G576" s="3"/>
    </row>
    <row r="577">
      <c r="A577" s="13"/>
      <c r="D577" s="3"/>
      <c r="G577" s="3"/>
    </row>
    <row r="578">
      <c r="A578" s="13"/>
      <c r="D578" s="3"/>
      <c r="G578" s="3"/>
    </row>
    <row r="579">
      <c r="A579" s="13"/>
      <c r="D579" s="3"/>
      <c r="G579" s="3"/>
    </row>
    <row r="580">
      <c r="A580" s="13"/>
      <c r="D580" s="3"/>
      <c r="G580" s="3"/>
    </row>
    <row r="581">
      <c r="A581" s="13"/>
      <c r="D581" s="3"/>
      <c r="G581" s="3"/>
    </row>
    <row r="582">
      <c r="A582" s="13"/>
      <c r="D582" s="3"/>
      <c r="G582" s="3"/>
    </row>
    <row r="583">
      <c r="A583" s="13"/>
      <c r="D583" s="3"/>
      <c r="G583" s="3"/>
    </row>
    <row r="584">
      <c r="A584" s="13"/>
      <c r="D584" s="3"/>
      <c r="G584" s="3"/>
    </row>
    <row r="585">
      <c r="A585" s="13"/>
      <c r="D585" s="3"/>
      <c r="G585" s="3"/>
    </row>
    <row r="586">
      <c r="A586" s="13"/>
      <c r="D586" s="3"/>
      <c r="G586" s="3"/>
    </row>
    <row r="587">
      <c r="A587" s="13"/>
      <c r="D587" s="3"/>
      <c r="G587" s="3"/>
    </row>
    <row r="588">
      <c r="A588" s="13"/>
      <c r="D588" s="3"/>
      <c r="G588" s="3"/>
    </row>
    <row r="589">
      <c r="A589" s="13"/>
      <c r="D589" s="3"/>
      <c r="G589" s="3"/>
    </row>
    <row r="590">
      <c r="A590" s="13"/>
      <c r="D590" s="3"/>
      <c r="G590" s="3"/>
    </row>
    <row r="591">
      <c r="A591" s="13"/>
      <c r="D591" s="3"/>
      <c r="G591" s="3"/>
    </row>
    <row r="592">
      <c r="A592" s="13"/>
      <c r="D592" s="3"/>
      <c r="G592" s="3"/>
    </row>
    <row r="593">
      <c r="A593" s="13"/>
      <c r="D593" s="3"/>
      <c r="G593" s="3"/>
    </row>
    <row r="594">
      <c r="A594" s="13"/>
      <c r="D594" s="3"/>
      <c r="G594" s="3"/>
    </row>
    <row r="595">
      <c r="A595" s="13"/>
      <c r="D595" s="3"/>
      <c r="G595" s="3"/>
    </row>
    <row r="596">
      <c r="A596" s="13"/>
      <c r="D596" s="3"/>
      <c r="G596" s="3"/>
    </row>
    <row r="597">
      <c r="A597" s="13"/>
      <c r="D597" s="3"/>
      <c r="G597" s="3"/>
    </row>
    <row r="598">
      <c r="A598" s="13"/>
      <c r="D598" s="3"/>
      <c r="G598" s="3"/>
    </row>
    <row r="599">
      <c r="A599" s="13"/>
      <c r="D599" s="3"/>
      <c r="G599" s="3"/>
    </row>
    <row r="600">
      <c r="A600" s="13"/>
      <c r="D600" s="3"/>
      <c r="G600" s="3"/>
    </row>
    <row r="601">
      <c r="A601" s="13"/>
      <c r="D601" s="3"/>
      <c r="G601" s="3"/>
    </row>
    <row r="602">
      <c r="A602" s="13"/>
      <c r="D602" s="3"/>
      <c r="G602" s="3"/>
    </row>
    <row r="603">
      <c r="A603" s="13"/>
      <c r="D603" s="3"/>
      <c r="G603" s="3"/>
    </row>
    <row r="604">
      <c r="A604" s="13"/>
      <c r="D604" s="3"/>
      <c r="G604" s="3"/>
    </row>
    <row r="605">
      <c r="A605" s="13"/>
      <c r="D605" s="3"/>
      <c r="G605" s="3"/>
    </row>
    <row r="606">
      <c r="A606" s="13"/>
      <c r="D606" s="3"/>
      <c r="G606" s="3"/>
    </row>
    <row r="607">
      <c r="A607" s="13"/>
      <c r="D607" s="3"/>
      <c r="G607" s="3"/>
    </row>
    <row r="608">
      <c r="A608" s="13"/>
      <c r="D608" s="3"/>
      <c r="G608" s="3"/>
    </row>
    <row r="609">
      <c r="A609" s="13"/>
      <c r="D609" s="3"/>
      <c r="G609" s="3"/>
    </row>
    <row r="610">
      <c r="A610" s="13"/>
      <c r="D610" s="3"/>
      <c r="G610" s="3"/>
    </row>
    <row r="611">
      <c r="A611" s="13"/>
      <c r="D611" s="3"/>
      <c r="G611" s="3"/>
    </row>
    <row r="612">
      <c r="A612" s="13"/>
      <c r="D612" s="3"/>
      <c r="G612" s="3"/>
    </row>
    <row r="613">
      <c r="A613" s="13"/>
      <c r="D613" s="3"/>
      <c r="G613" s="3"/>
    </row>
    <row r="614">
      <c r="A614" s="13"/>
      <c r="D614" s="3"/>
      <c r="G614" s="3"/>
    </row>
    <row r="615">
      <c r="A615" s="13"/>
      <c r="D615" s="3"/>
      <c r="G615" s="3"/>
    </row>
    <row r="616">
      <c r="A616" s="13"/>
      <c r="D616" s="3"/>
      <c r="G616" s="3"/>
    </row>
    <row r="617">
      <c r="A617" s="13"/>
      <c r="D617" s="3"/>
      <c r="G617" s="3"/>
    </row>
    <row r="618">
      <c r="A618" s="13"/>
      <c r="D618" s="3"/>
      <c r="G618" s="3"/>
    </row>
    <row r="619">
      <c r="A619" s="13"/>
      <c r="D619" s="3"/>
      <c r="G619" s="3"/>
    </row>
    <row r="620">
      <c r="A620" s="13"/>
      <c r="D620" s="3"/>
      <c r="G620" s="3"/>
    </row>
    <row r="621">
      <c r="A621" s="13"/>
      <c r="D621" s="3"/>
      <c r="G621" s="3"/>
    </row>
    <row r="622">
      <c r="A622" s="13"/>
      <c r="D622" s="3"/>
      <c r="G622" s="3"/>
    </row>
    <row r="623">
      <c r="A623" s="13"/>
      <c r="D623" s="3"/>
      <c r="G623" s="3"/>
    </row>
    <row r="624">
      <c r="A624" s="13"/>
      <c r="D624" s="3"/>
      <c r="G624" s="3"/>
    </row>
    <row r="625">
      <c r="A625" s="13"/>
      <c r="D625" s="3"/>
      <c r="G625" s="3"/>
    </row>
    <row r="626">
      <c r="A626" s="13"/>
      <c r="D626" s="3"/>
      <c r="G626" s="3"/>
    </row>
    <row r="627">
      <c r="A627" s="13"/>
      <c r="D627" s="3"/>
      <c r="G627" s="3"/>
    </row>
    <row r="628">
      <c r="A628" s="13"/>
      <c r="D628" s="3"/>
      <c r="G628" s="3"/>
    </row>
    <row r="629">
      <c r="A629" s="13"/>
      <c r="D629" s="3"/>
      <c r="G629" s="3"/>
    </row>
    <row r="630">
      <c r="A630" s="13"/>
      <c r="D630" s="3"/>
      <c r="G630" s="3"/>
    </row>
    <row r="631">
      <c r="A631" s="13"/>
      <c r="D631" s="3"/>
      <c r="G631" s="3"/>
    </row>
    <row r="632">
      <c r="A632" s="13"/>
      <c r="D632" s="3"/>
      <c r="G632" s="3"/>
    </row>
    <row r="633">
      <c r="A633" s="13"/>
      <c r="D633" s="3"/>
      <c r="G633" s="3"/>
    </row>
    <row r="634">
      <c r="A634" s="13"/>
      <c r="D634" s="3"/>
      <c r="G634" s="3"/>
    </row>
    <row r="635">
      <c r="A635" s="13"/>
      <c r="D635" s="3"/>
      <c r="G635" s="3"/>
    </row>
    <row r="636">
      <c r="A636" s="13"/>
      <c r="D636" s="3"/>
      <c r="G636" s="3"/>
    </row>
    <row r="637">
      <c r="A637" s="13"/>
      <c r="D637" s="3"/>
      <c r="G637" s="3"/>
    </row>
    <row r="638">
      <c r="A638" s="13"/>
      <c r="D638" s="3"/>
      <c r="G638" s="3"/>
    </row>
    <row r="639">
      <c r="A639" s="13"/>
      <c r="D639" s="3"/>
      <c r="G639" s="3"/>
    </row>
    <row r="640">
      <c r="A640" s="13"/>
      <c r="D640" s="3"/>
      <c r="G640" s="3"/>
    </row>
    <row r="641">
      <c r="A641" s="13"/>
      <c r="D641" s="3"/>
      <c r="G641" s="3"/>
    </row>
    <row r="642">
      <c r="A642" s="13"/>
      <c r="D642" s="3"/>
      <c r="G642" s="3"/>
    </row>
    <row r="643">
      <c r="A643" s="13"/>
      <c r="D643" s="3"/>
      <c r="G643" s="3"/>
    </row>
    <row r="644">
      <c r="A644" s="13"/>
      <c r="D644" s="3"/>
      <c r="G644" s="3"/>
    </row>
    <row r="645">
      <c r="A645" s="13"/>
      <c r="D645" s="3"/>
      <c r="G645" s="3"/>
    </row>
    <row r="646">
      <c r="A646" s="13"/>
      <c r="D646" s="3"/>
      <c r="G646" s="3"/>
    </row>
    <row r="647">
      <c r="A647" s="13"/>
      <c r="D647" s="3"/>
      <c r="G647" s="3"/>
    </row>
    <row r="648">
      <c r="A648" s="13"/>
      <c r="D648" s="3"/>
      <c r="G648" s="3"/>
    </row>
    <row r="649">
      <c r="A649" s="13"/>
      <c r="D649" s="3"/>
      <c r="G649" s="3"/>
    </row>
    <row r="650">
      <c r="A650" s="13"/>
      <c r="D650" s="3"/>
      <c r="G650" s="3"/>
    </row>
    <row r="651">
      <c r="A651" s="13"/>
      <c r="D651" s="3"/>
      <c r="G651" s="3"/>
    </row>
    <row r="652">
      <c r="A652" s="13"/>
      <c r="D652" s="3"/>
      <c r="G652" s="3"/>
    </row>
    <row r="653">
      <c r="A653" s="13"/>
      <c r="D653" s="3"/>
      <c r="G653" s="3"/>
    </row>
    <row r="654">
      <c r="A654" s="13"/>
      <c r="D654" s="3"/>
      <c r="G654" s="3"/>
    </row>
    <row r="655">
      <c r="A655" s="13"/>
      <c r="D655" s="3"/>
      <c r="G655" s="3"/>
    </row>
    <row r="656">
      <c r="A656" s="13"/>
      <c r="D656" s="3"/>
      <c r="G656" s="3"/>
    </row>
    <row r="657">
      <c r="A657" s="13"/>
      <c r="D657" s="3"/>
      <c r="G657" s="3"/>
    </row>
    <row r="658">
      <c r="A658" s="13"/>
      <c r="D658" s="3"/>
      <c r="G658" s="3"/>
    </row>
    <row r="659">
      <c r="A659" s="13"/>
      <c r="D659" s="3"/>
      <c r="G659" s="3"/>
    </row>
    <row r="660">
      <c r="A660" s="13"/>
      <c r="D660" s="3"/>
      <c r="G660" s="3"/>
    </row>
    <row r="661">
      <c r="A661" s="13"/>
      <c r="D661" s="3"/>
      <c r="G661" s="3"/>
    </row>
    <row r="662">
      <c r="A662" s="13"/>
      <c r="D662" s="3"/>
      <c r="G662" s="3"/>
    </row>
    <row r="663">
      <c r="A663" s="13"/>
      <c r="D663" s="3"/>
      <c r="G663" s="3"/>
    </row>
    <row r="664">
      <c r="A664" s="13"/>
      <c r="D664" s="3"/>
      <c r="G664" s="3"/>
    </row>
    <row r="665">
      <c r="A665" s="13"/>
      <c r="D665" s="3"/>
      <c r="G665" s="3"/>
    </row>
    <row r="666">
      <c r="A666" s="13"/>
      <c r="D666" s="3"/>
      <c r="G666" s="3"/>
    </row>
    <row r="667">
      <c r="A667" s="13"/>
      <c r="D667" s="3"/>
      <c r="G667" s="3"/>
    </row>
    <row r="668">
      <c r="A668" s="13"/>
      <c r="D668" s="3"/>
      <c r="G668" s="3"/>
    </row>
    <row r="669">
      <c r="A669" s="13"/>
      <c r="D669" s="3"/>
      <c r="G669" s="3"/>
    </row>
    <row r="670">
      <c r="A670" s="13"/>
      <c r="D670" s="3"/>
      <c r="G670" s="3"/>
    </row>
    <row r="671">
      <c r="A671" s="13"/>
      <c r="D671" s="3"/>
      <c r="G671" s="3"/>
    </row>
    <row r="672">
      <c r="A672" s="13"/>
      <c r="D672" s="3"/>
      <c r="G672" s="3"/>
    </row>
    <row r="673">
      <c r="A673" s="13"/>
      <c r="D673" s="3"/>
      <c r="G673" s="3"/>
    </row>
    <row r="674">
      <c r="A674" s="13"/>
      <c r="D674" s="3"/>
      <c r="G674" s="3"/>
    </row>
    <row r="675">
      <c r="A675" s="13"/>
      <c r="D675" s="3"/>
      <c r="G675" s="3"/>
    </row>
    <row r="676">
      <c r="A676" s="13"/>
      <c r="D676" s="3"/>
      <c r="G676" s="3"/>
    </row>
    <row r="677">
      <c r="A677" s="13"/>
      <c r="D677" s="3"/>
      <c r="G677" s="3"/>
    </row>
    <row r="678">
      <c r="A678" s="13"/>
      <c r="D678" s="3"/>
      <c r="G678" s="3"/>
    </row>
    <row r="679">
      <c r="A679" s="13"/>
      <c r="D679" s="3"/>
      <c r="G679" s="3"/>
    </row>
    <row r="680">
      <c r="A680" s="13"/>
      <c r="D680" s="3"/>
      <c r="G680" s="3"/>
    </row>
    <row r="681">
      <c r="A681" s="13"/>
      <c r="D681" s="3"/>
      <c r="G681" s="3"/>
    </row>
    <row r="682">
      <c r="A682" s="13"/>
      <c r="D682" s="3"/>
      <c r="G682" s="3"/>
    </row>
    <row r="683">
      <c r="A683" s="13"/>
      <c r="D683" s="3"/>
      <c r="G683" s="3"/>
    </row>
    <row r="684">
      <c r="A684" s="13"/>
      <c r="D684" s="3"/>
      <c r="G684" s="3"/>
    </row>
    <row r="685">
      <c r="A685" s="13"/>
      <c r="D685" s="3"/>
      <c r="G685" s="3"/>
    </row>
    <row r="686">
      <c r="A686" s="13"/>
      <c r="D686" s="3"/>
      <c r="G686" s="3"/>
    </row>
    <row r="687">
      <c r="A687" s="13"/>
      <c r="D687" s="3"/>
      <c r="G687" s="3"/>
    </row>
    <row r="688">
      <c r="A688" s="13"/>
      <c r="D688" s="3"/>
      <c r="G688" s="3"/>
    </row>
    <row r="689">
      <c r="A689" s="13"/>
      <c r="D689" s="3"/>
      <c r="G689" s="3"/>
    </row>
    <row r="690">
      <c r="A690" s="13"/>
      <c r="D690" s="3"/>
      <c r="G690" s="3"/>
    </row>
    <row r="691">
      <c r="A691" s="13"/>
      <c r="D691" s="3"/>
      <c r="G691" s="3"/>
    </row>
    <row r="692">
      <c r="A692" s="13"/>
      <c r="D692" s="3"/>
      <c r="G692" s="3"/>
    </row>
    <row r="693">
      <c r="A693" s="13"/>
      <c r="D693" s="3"/>
      <c r="G693" s="3"/>
    </row>
    <row r="694">
      <c r="A694" s="13"/>
      <c r="D694" s="3"/>
      <c r="G694" s="3"/>
    </row>
    <row r="695">
      <c r="A695" s="13"/>
      <c r="D695" s="3"/>
      <c r="G695" s="3"/>
    </row>
    <row r="696">
      <c r="A696" s="13"/>
      <c r="D696" s="3"/>
      <c r="G696" s="3"/>
    </row>
    <row r="697">
      <c r="A697" s="13"/>
      <c r="D697" s="3"/>
      <c r="G697" s="3"/>
    </row>
    <row r="698">
      <c r="A698" s="13"/>
      <c r="D698" s="3"/>
      <c r="G698" s="3"/>
    </row>
    <row r="699">
      <c r="A699" s="13"/>
      <c r="D699" s="3"/>
      <c r="G699" s="3"/>
    </row>
    <row r="700">
      <c r="A700" s="13"/>
      <c r="D700" s="3"/>
      <c r="G700" s="3"/>
    </row>
    <row r="701">
      <c r="A701" s="13"/>
      <c r="D701" s="3"/>
      <c r="G701" s="3"/>
    </row>
    <row r="702">
      <c r="A702" s="13"/>
      <c r="D702" s="3"/>
      <c r="G702" s="3"/>
    </row>
    <row r="703">
      <c r="A703" s="13"/>
      <c r="D703" s="3"/>
      <c r="G703" s="3"/>
    </row>
    <row r="704">
      <c r="A704" s="13"/>
      <c r="D704" s="3"/>
      <c r="G704" s="3"/>
    </row>
    <row r="705">
      <c r="A705" s="13"/>
      <c r="D705" s="3"/>
      <c r="G705" s="3"/>
    </row>
    <row r="706">
      <c r="A706" s="13"/>
      <c r="D706" s="3"/>
      <c r="G706" s="3"/>
    </row>
    <row r="707">
      <c r="A707" s="13"/>
      <c r="D707" s="3"/>
      <c r="G707" s="3"/>
    </row>
    <row r="708">
      <c r="A708" s="13"/>
      <c r="D708" s="3"/>
      <c r="G708" s="3"/>
    </row>
    <row r="709">
      <c r="A709" s="13"/>
      <c r="D709" s="3"/>
      <c r="G709" s="3"/>
    </row>
    <row r="710">
      <c r="A710" s="13"/>
      <c r="D710" s="3"/>
      <c r="G710" s="3"/>
    </row>
    <row r="711">
      <c r="A711" s="13"/>
      <c r="D711" s="3"/>
      <c r="G711" s="3"/>
    </row>
    <row r="712">
      <c r="A712" s="13"/>
      <c r="D712" s="3"/>
      <c r="G712" s="3"/>
    </row>
    <row r="713">
      <c r="A713" s="13"/>
      <c r="D713" s="3"/>
      <c r="G713" s="3"/>
    </row>
    <row r="714">
      <c r="A714" s="13"/>
      <c r="D714" s="3"/>
      <c r="G714" s="3"/>
    </row>
    <row r="715">
      <c r="A715" s="13"/>
      <c r="D715" s="3"/>
      <c r="G715" s="3"/>
    </row>
    <row r="716">
      <c r="A716" s="13"/>
      <c r="D716" s="3"/>
      <c r="G716" s="3"/>
    </row>
    <row r="717">
      <c r="A717" s="13"/>
      <c r="D717" s="3"/>
      <c r="G717" s="3"/>
    </row>
    <row r="718">
      <c r="A718" s="13"/>
      <c r="D718" s="3"/>
      <c r="G718" s="3"/>
    </row>
    <row r="719">
      <c r="A719" s="13"/>
      <c r="D719" s="3"/>
      <c r="G719" s="3"/>
    </row>
    <row r="720">
      <c r="A720" s="13"/>
      <c r="D720" s="3"/>
      <c r="G720" s="3"/>
    </row>
    <row r="721">
      <c r="A721" s="13"/>
      <c r="D721" s="3"/>
      <c r="G721" s="3"/>
    </row>
    <row r="722">
      <c r="A722" s="13"/>
      <c r="D722" s="3"/>
      <c r="G722" s="3"/>
    </row>
    <row r="723">
      <c r="A723" s="13"/>
      <c r="D723" s="3"/>
      <c r="G723" s="3"/>
    </row>
    <row r="724">
      <c r="A724" s="13"/>
      <c r="D724" s="3"/>
      <c r="G724" s="3"/>
    </row>
    <row r="725">
      <c r="A725" s="13"/>
      <c r="D725" s="3"/>
      <c r="G725" s="3"/>
    </row>
    <row r="726">
      <c r="A726" s="13"/>
      <c r="D726" s="3"/>
      <c r="G726" s="3"/>
    </row>
    <row r="727">
      <c r="A727" s="13"/>
      <c r="D727" s="3"/>
      <c r="G727" s="3"/>
    </row>
    <row r="728">
      <c r="A728" s="13"/>
      <c r="D728" s="3"/>
      <c r="G728" s="3"/>
    </row>
    <row r="729">
      <c r="A729" s="13"/>
      <c r="D729" s="3"/>
      <c r="G729" s="3"/>
    </row>
    <row r="730">
      <c r="A730" s="13"/>
      <c r="D730" s="3"/>
      <c r="G730" s="3"/>
    </row>
    <row r="731">
      <c r="A731" s="13"/>
      <c r="D731" s="3"/>
      <c r="G731" s="3"/>
    </row>
    <row r="732">
      <c r="A732" s="13"/>
      <c r="D732" s="3"/>
      <c r="G732" s="3"/>
    </row>
    <row r="733">
      <c r="A733" s="13"/>
      <c r="D733" s="3"/>
      <c r="G733" s="3"/>
    </row>
    <row r="734">
      <c r="A734" s="13"/>
      <c r="D734" s="3"/>
      <c r="G734" s="3"/>
    </row>
    <row r="735">
      <c r="A735" s="13"/>
      <c r="D735" s="3"/>
      <c r="G735" s="3"/>
    </row>
    <row r="736">
      <c r="A736" s="13"/>
      <c r="D736" s="3"/>
      <c r="G736" s="3"/>
    </row>
    <row r="737">
      <c r="A737" s="13"/>
      <c r="D737" s="3"/>
      <c r="G737" s="3"/>
    </row>
    <row r="738">
      <c r="A738" s="13"/>
      <c r="D738" s="3"/>
      <c r="G738" s="3"/>
    </row>
    <row r="739">
      <c r="A739" s="13"/>
      <c r="D739" s="3"/>
      <c r="G739" s="3"/>
    </row>
    <row r="740">
      <c r="A740" s="13"/>
      <c r="D740" s="3"/>
      <c r="G740" s="3"/>
    </row>
    <row r="741">
      <c r="A741" s="13"/>
      <c r="D741" s="3"/>
      <c r="G741" s="3"/>
    </row>
    <row r="742">
      <c r="A742" s="13"/>
      <c r="D742" s="3"/>
      <c r="G742" s="3"/>
    </row>
    <row r="743">
      <c r="A743" s="13"/>
      <c r="D743" s="3"/>
      <c r="G743" s="3"/>
    </row>
    <row r="744">
      <c r="A744" s="13"/>
      <c r="D744" s="3"/>
      <c r="G744" s="3"/>
    </row>
    <row r="745">
      <c r="A745" s="13"/>
      <c r="D745" s="3"/>
      <c r="G745" s="3"/>
    </row>
    <row r="746">
      <c r="A746" s="13"/>
      <c r="D746" s="3"/>
      <c r="G746" s="3"/>
    </row>
    <row r="747">
      <c r="A747" s="13"/>
      <c r="D747" s="3"/>
      <c r="G747" s="3"/>
    </row>
    <row r="748">
      <c r="A748" s="13"/>
      <c r="D748" s="3"/>
      <c r="G748" s="3"/>
    </row>
    <row r="749">
      <c r="A749" s="13"/>
      <c r="D749" s="3"/>
      <c r="G749" s="3"/>
    </row>
    <row r="750">
      <c r="A750" s="13"/>
      <c r="D750" s="3"/>
      <c r="G750" s="3"/>
    </row>
    <row r="751">
      <c r="A751" s="13"/>
      <c r="D751" s="3"/>
      <c r="G751" s="3"/>
    </row>
    <row r="752">
      <c r="A752" s="13"/>
      <c r="D752" s="3"/>
      <c r="G752" s="3"/>
    </row>
    <row r="753">
      <c r="A753" s="13"/>
      <c r="D753" s="3"/>
      <c r="G753" s="3"/>
    </row>
    <row r="754">
      <c r="A754" s="13"/>
      <c r="D754" s="3"/>
      <c r="G754" s="3"/>
    </row>
    <row r="755">
      <c r="A755" s="13"/>
      <c r="D755" s="3"/>
      <c r="G755" s="3"/>
    </row>
    <row r="756">
      <c r="A756" s="13"/>
      <c r="D756" s="3"/>
      <c r="G756" s="3"/>
    </row>
    <row r="757">
      <c r="A757" s="13"/>
      <c r="D757" s="3"/>
      <c r="G757" s="3"/>
    </row>
    <row r="758">
      <c r="A758" s="13"/>
      <c r="D758" s="3"/>
      <c r="G758" s="3"/>
    </row>
    <row r="759">
      <c r="A759" s="13"/>
      <c r="D759" s="3"/>
      <c r="G759" s="3"/>
    </row>
    <row r="760">
      <c r="A760" s="13"/>
      <c r="D760" s="3"/>
      <c r="G760" s="3"/>
    </row>
    <row r="761">
      <c r="A761" s="13"/>
      <c r="D761" s="3"/>
      <c r="G761" s="3"/>
    </row>
    <row r="762">
      <c r="A762" s="13"/>
      <c r="D762" s="3"/>
      <c r="G762" s="3"/>
    </row>
    <row r="763">
      <c r="A763" s="13"/>
      <c r="D763" s="3"/>
      <c r="G763" s="3"/>
    </row>
    <row r="764">
      <c r="A764" s="13"/>
      <c r="D764" s="3"/>
      <c r="G764" s="3"/>
    </row>
    <row r="765">
      <c r="A765" s="13"/>
      <c r="D765" s="3"/>
      <c r="G765" s="3"/>
    </row>
    <row r="766">
      <c r="A766" s="13"/>
      <c r="D766" s="3"/>
      <c r="G766" s="3"/>
    </row>
    <row r="767">
      <c r="A767" s="13"/>
      <c r="D767" s="3"/>
      <c r="G767" s="3"/>
    </row>
    <row r="768">
      <c r="A768" s="13"/>
      <c r="D768" s="3"/>
      <c r="G768" s="3"/>
    </row>
    <row r="769">
      <c r="A769" s="13"/>
      <c r="D769" s="3"/>
      <c r="G769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>
        <f>IFERROR(__xludf.DUMMYFUNCTION("IFERROR(QUERY(JAN_2023!A:I, ""SELECT * WHERE D IS NOT NULL AND UPPER(I) = 'EXSPEDISI'"", 1), ""Data EXSPEDISI belum ditemukan"")"),44928.0)</f>
        <v>44928</v>
      </c>
      <c r="B1" s="14" t="str">
        <f>IFERROR(__xludf.DUMMYFUNCTION("""COMPUTED_VALUE"""),"TRSF E-BANKING DB TANGGAL :30/12")</f>
        <v>TRSF E-BANKING DB TANGGAL :30/12</v>
      </c>
      <c r="C1" s="14" t="str">
        <f>IFERROR(__xludf.DUMMYFUNCTION("""COMPUTED_VALUE"""),"TRSF E-BANKING DB TANGGAL :30/12 3012/FTSCY/WS95031 pelunasan HERMAWAN")</f>
        <v>TRSF E-BANKING DB TANGGAL :30/12 3012/FTSCY/WS95031 pelunasan HERMAWAN</v>
      </c>
      <c r="D1" s="3">
        <f>IFERROR(__xludf.DUMMYFUNCTION("""COMPUTED_VALUE"""),6838390.0)</f>
        <v>6838390</v>
      </c>
      <c r="E1" s="14"/>
      <c r="F1" s="14" t="str">
        <f>IFERROR(__xludf.DUMMYFUNCTION("""COMPUTED_VALUE"""),"DB")</f>
        <v>DB</v>
      </c>
      <c r="G1" s="3">
        <f>IFERROR(__xludf.DUMMYFUNCTION("""COMPUTED_VALUE"""),1.04492203813E9)</f>
        <v>1044922038</v>
      </c>
      <c r="H1" s="14"/>
      <c r="I1" s="14" t="str">
        <f>IFERROR(__xludf.DUMMYFUNCTION("""COMPUTED_VALUE"""),"EXSPEDISI")</f>
        <v>EXSPEDISI</v>
      </c>
      <c r="J1" s="3">
        <f>SUM(D1:D1000) </f>
        <v>315696120</v>
      </c>
    </row>
    <row r="2">
      <c r="A2" s="14">
        <f>IFERROR(__xludf.DUMMYFUNCTION("""COMPUTED_VALUE"""),44928.0)</f>
        <v>44928</v>
      </c>
      <c r="B2" s="14" t="str">
        <f>IFERROR(__xludf.DUMMYFUNCTION("""COMPUTED_VALUE"""),"TRSF E-BANKING DB TANGGAL :30/12")</f>
        <v>TRSF E-BANKING DB TANGGAL :30/12</v>
      </c>
      <c r="C2" s="14" t="str">
        <f>IFERROR(__xludf.DUMMYFUNCTION("""COMPUTED_VALUE"""),"TRSF E-BANKING DB TANGGAL :30/12 3012/FTSCY/WS95031 pelunasan MUJIANTO")</f>
        <v>TRSF E-BANKING DB TANGGAL :30/12 3012/FTSCY/WS95031 pelunasan MUJIANTO</v>
      </c>
      <c r="D2" s="3">
        <f>IFERROR(__xludf.DUMMYFUNCTION("""COMPUTED_VALUE"""),6111690.0)</f>
        <v>6111690</v>
      </c>
      <c r="E2" s="14"/>
      <c r="F2" s="14" t="str">
        <f>IFERROR(__xludf.DUMMYFUNCTION("""COMPUTED_VALUE"""),"DB")</f>
        <v>DB</v>
      </c>
      <c r="G2" s="3">
        <f>IFERROR(__xludf.DUMMYFUNCTION("""COMPUTED_VALUE"""),1.03881034813E9)</f>
        <v>1038810348</v>
      </c>
      <c r="H2" s="14"/>
      <c r="I2" s="14" t="str">
        <f>IFERROR(__xludf.DUMMYFUNCTION("""COMPUTED_VALUE"""),"EXSPEDISI")</f>
        <v>EXSPEDISI</v>
      </c>
      <c r="J2" s="3"/>
    </row>
    <row r="3">
      <c r="A3" s="14">
        <f>IFERROR(__xludf.DUMMYFUNCTION("""COMPUTED_VALUE"""),44928.0)</f>
        <v>44928</v>
      </c>
      <c r="B3" s="14" t="str">
        <f>IFERROR(__xludf.DUMMYFUNCTION("""COMPUTED_VALUE"""),"TRSF E-BANKING DB TANGGAL :31/12")</f>
        <v>TRSF E-BANKING DB TANGGAL :31/12</v>
      </c>
      <c r="C3" s="14" t="str">
        <f>IFERROR(__xludf.DUMMYFUNCTION("""COMPUTED_VALUE"""),"TRSF E-BANKING DB TANGGAL :31/12 3112/FTSCY/WS95271 pelunasan EKO SETIYAWAN")</f>
        <v>TRSF E-BANKING DB TANGGAL :31/12 3112/FTSCY/WS95271 pelunasan EKO SETIYAWAN</v>
      </c>
      <c r="D3" s="3">
        <f>IFERROR(__xludf.DUMMYFUNCTION("""COMPUTED_VALUE"""),7000000.0)</f>
        <v>7000000</v>
      </c>
      <c r="E3" s="14"/>
      <c r="F3" s="14" t="str">
        <f>IFERROR(__xludf.DUMMYFUNCTION("""COMPUTED_VALUE"""),"DB")</f>
        <v>DB</v>
      </c>
      <c r="G3" s="3">
        <f>IFERROR(__xludf.DUMMYFUNCTION("""COMPUTED_VALUE"""),9.2294269813E8)</f>
        <v>922942698.1</v>
      </c>
      <c r="H3" s="14"/>
      <c r="I3" s="14" t="str">
        <f>IFERROR(__xludf.DUMMYFUNCTION("""COMPUTED_VALUE"""),"EXSPEDISI")</f>
        <v>EXSPEDISI</v>
      </c>
      <c r="J3" s="3"/>
    </row>
    <row r="4">
      <c r="A4" s="14">
        <f>IFERROR(__xludf.DUMMYFUNCTION("""COMPUTED_VALUE"""),44928.0)</f>
        <v>44928</v>
      </c>
      <c r="B4" s="14" t="str">
        <f>IFERROR(__xludf.DUMMYFUNCTION("""COMPUTED_VALUE"""),"TRSF E-BANKING DB TANGGAL :01/01")</f>
        <v>TRSF E-BANKING DB TANGGAL :01/01</v>
      </c>
      <c r="C4" s="14" t="str">
        <f>IFERROR(__xludf.DUMMYFUNCTION("""COMPUTED_VALUE"""),"TRSF E-BANKING DB TANGGAL :01/01 0101/FTSCY/WS95031 lunas GATUT SETYO WIBOWO")</f>
        <v>TRSF E-BANKING DB TANGGAL :01/01 0101/FTSCY/WS95031 lunas GATUT SETYO WIBOWO</v>
      </c>
      <c r="D4" s="3">
        <f>IFERROR(__xludf.DUMMYFUNCTION("""COMPUTED_VALUE"""),3211000.0)</f>
        <v>3211000</v>
      </c>
      <c r="E4" s="14"/>
      <c r="F4" s="14" t="str">
        <f>IFERROR(__xludf.DUMMYFUNCTION("""COMPUTED_VALUE"""),"DB")</f>
        <v>DB</v>
      </c>
      <c r="G4" s="3">
        <f>IFERROR(__xludf.DUMMYFUNCTION("""COMPUTED_VALUE"""),2.4555675713E8)</f>
        <v>245556757.1</v>
      </c>
      <c r="H4" s="14"/>
      <c r="I4" s="14" t="str">
        <f>IFERROR(__xludf.DUMMYFUNCTION("""COMPUTED_VALUE"""),"EXSPEDISI")</f>
        <v>EXSPEDISI</v>
      </c>
      <c r="J4" s="3"/>
    </row>
    <row r="5">
      <c r="A5" s="14">
        <f>IFERROR(__xludf.DUMMYFUNCTION("""COMPUTED_VALUE"""),44928.0)</f>
        <v>44928</v>
      </c>
      <c r="B5" s="14" t="str">
        <f>IFERROR(__xludf.DUMMYFUNCTION("""COMPUTED_VALUE"""),"TRSF E-BANKING DB TANGGAL :01/01")</f>
        <v>TRSF E-BANKING DB TANGGAL :01/01</v>
      </c>
      <c r="C5" s="14" t="str">
        <f>IFERROR(__xludf.DUMMYFUNCTION("""COMPUTED_VALUE"""),"TRSF E-BANKING DB TANGGAL :01/01 0101/FTSCY/WS95031 blitar saliman EKO SETIYAWAN")</f>
        <v>TRSF E-BANKING DB TANGGAL :01/01 0101/FTSCY/WS95031 blitar saliman EKO SETIYAWAN</v>
      </c>
      <c r="D5" s="3">
        <f>IFERROR(__xludf.DUMMYFUNCTION("""COMPUTED_VALUE"""),2539500.0)</f>
        <v>2539500</v>
      </c>
      <c r="E5" s="14"/>
      <c r="F5" s="14" t="str">
        <f>IFERROR(__xludf.DUMMYFUNCTION("""COMPUTED_VALUE"""),"DB")</f>
        <v>DB</v>
      </c>
      <c r="G5" s="3">
        <f>IFERROR(__xludf.DUMMYFUNCTION("""COMPUTED_VALUE"""),2.4301725713E8)</f>
        <v>243017257.1</v>
      </c>
      <c r="H5" s="14"/>
      <c r="I5" s="14" t="str">
        <f>IFERROR(__xludf.DUMMYFUNCTION("""COMPUTED_VALUE"""),"EXSPEDISI")</f>
        <v>EXSPEDISI</v>
      </c>
      <c r="J5" s="3"/>
    </row>
    <row r="6">
      <c r="A6" s="14">
        <f>IFERROR(__xludf.DUMMYFUNCTION("""COMPUTED_VALUE"""),44929.0)</f>
        <v>44929</v>
      </c>
      <c r="B6" s="14" t="str">
        <f>IFERROR(__xludf.DUMMYFUNCTION("""COMPUTED_VALUE"""),"TRSF E-BANKING DB TANGGAL :02/01")</f>
        <v>TRSF E-BANKING DB TANGGAL :02/01</v>
      </c>
      <c r="C6" s="14" t="str">
        <f>IFERROR(__xludf.DUMMYFUNCTION("""COMPUTED_VALUE"""),"TRSF E-BANKING DB TANGGAL :02/01 0201/FTSCY/WS95031 EKO SETIYAWAN")</f>
        <v>TRSF E-BANKING DB TANGGAL :02/01 0201/FTSCY/WS95031 EKO SETIYAWAN</v>
      </c>
      <c r="D6" s="3">
        <f>IFERROR(__xludf.DUMMYFUNCTION("""COMPUTED_VALUE"""),4670300.0)</f>
        <v>4670300</v>
      </c>
      <c r="E6" s="14"/>
      <c r="F6" s="14" t="str">
        <f>IFERROR(__xludf.DUMMYFUNCTION("""COMPUTED_VALUE"""),"DB")</f>
        <v>DB</v>
      </c>
      <c r="G6" s="3">
        <f>IFERROR(__xludf.DUMMYFUNCTION("""COMPUTED_VALUE"""),216021.12999999523)</f>
        <v>216021.13</v>
      </c>
      <c r="H6" s="14"/>
      <c r="I6" s="14" t="str">
        <f>IFERROR(__xludf.DUMMYFUNCTION("""COMPUTED_VALUE"""),"EXSPEDISI")</f>
        <v>EXSPEDISI</v>
      </c>
      <c r="J6" s="3"/>
    </row>
    <row r="7">
      <c r="A7" s="14">
        <f>IFERROR(__xludf.DUMMYFUNCTION("""COMPUTED_VALUE"""),44929.0)</f>
        <v>44929</v>
      </c>
      <c r="B7" s="14" t="str">
        <f>IFERROR(__xludf.DUMMYFUNCTION("""COMPUTED_VALUE"""),"TRSF E-BANKING DB")</f>
        <v>TRSF E-BANKING DB</v>
      </c>
      <c r="C7" s="14" t="str">
        <f>IFERROR(__xludf.DUMMYFUNCTION("""COMPUTED_VALUE"""),"TRSF E-BANKING DB 0301/FTSCY/WS95031 10598000.00 mjk EKO SETIYAWAN")</f>
        <v>TRSF E-BANKING DB 0301/FTSCY/WS95031 10598000.00 mjk EKO SETIYAWAN</v>
      </c>
      <c r="D7" s="3">
        <f>IFERROR(__xludf.DUMMYFUNCTION("""COMPUTED_VALUE"""),1.0598E7)</f>
        <v>10598000</v>
      </c>
      <c r="E7" s="14"/>
      <c r="F7" s="14" t="str">
        <f>IFERROR(__xludf.DUMMYFUNCTION("""COMPUTED_VALUE"""),"DB")</f>
        <v>DB</v>
      </c>
      <c r="G7" s="3">
        <f>IFERROR(__xludf.DUMMYFUNCTION("""COMPUTED_VALUE"""),2.5565559513E8)</f>
        <v>255655595.1</v>
      </c>
      <c r="H7" s="14"/>
      <c r="I7" s="14" t="str">
        <f>IFERROR(__xludf.DUMMYFUNCTION("""COMPUTED_VALUE"""),"EXSPEDISI")</f>
        <v>EXSPEDISI</v>
      </c>
      <c r="J7" s="3"/>
    </row>
    <row r="8">
      <c r="A8" s="14">
        <f>IFERROR(__xludf.DUMMYFUNCTION("""COMPUTED_VALUE"""),44930.0)</f>
        <v>44930</v>
      </c>
      <c r="B8" s="14" t="str">
        <f>IFERROR(__xludf.DUMMYFUNCTION("""COMPUTED_VALUE"""),"TRSF E-BANKING DB TANGGAL :03/01")</f>
        <v>TRSF E-BANKING DB TANGGAL :03/01</v>
      </c>
      <c r="C8" s="14" t="str">
        <f>IFERROR(__xludf.DUMMYFUNCTION("""COMPUTED_VALUE"""),"TRSF E-BANKING DB TANGGAL :03/01 0301/FTSCY/WS95031 magetan lidia MUJIANTO")</f>
        <v>TRSF E-BANKING DB TANGGAL :03/01 0301/FTSCY/WS95031 magetan lidia MUJIANTO</v>
      </c>
      <c r="D8" s="3">
        <f>IFERROR(__xludf.DUMMYFUNCTION("""COMPUTED_VALUE"""),3299340.0)</f>
        <v>3299340</v>
      </c>
      <c r="E8" s="14"/>
      <c r="F8" s="14" t="str">
        <f>IFERROR(__xludf.DUMMYFUNCTION("""COMPUTED_VALUE"""),"DB")</f>
        <v>DB</v>
      </c>
      <c r="G8" s="3">
        <f>IFERROR(__xludf.DUMMYFUNCTION("""COMPUTED_VALUE"""),1782205.1299999952)</f>
        <v>1782205.13</v>
      </c>
      <c r="H8" s="14"/>
      <c r="I8" s="14" t="str">
        <f>IFERROR(__xludf.DUMMYFUNCTION("""COMPUTED_VALUE"""),"EXSPEDISI")</f>
        <v>EXSPEDISI</v>
      </c>
      <c r="J8" s="3"/>
    </row>
    <row r="9">
      <c r="A9" s="14">
        <f>IFERROR(__xludf.DUMMYFUNCTION("""COMPUTED_VALUE"""),44930.0)</f>
        <v>44930</v>
      </c>
      <c r="B9" s="14" t="str">
        <f>IFERROR(__xludf.DUMMYFUNCTION("""COMPUTED_VALUE"""),"TRSF E-BANKING DB TANGGAL :03/01")</f>
        <v>TRSF E-BANKING DB TANGGAL :03/01</v>
      </c>
      <c r="C9" s="14" t="str">
        <f>IFERROR(__xludf.DUMMYFUNCTION("""COMPUTED_VALUE"""),"TRSF E-BANKING DB TANGGAL :03/01 0301/FTSCY/WS95031 krg 7.5 jt HERMAWAN")</f>
        <v>TRSF E-BANKING DB TANGGAL :03/01 0301/FTSCY/WS95031 krg 7.5 jt HERMAWAN</v>
      </c>
      <c r="D9" s="3">
        <f>IFERROR(__xludf.DUMMYFUNCTION("""COMPUTED_VALUE"""),1466600.0)</f>
        <v>1466600</v>
      </c>
      <c r="E9" s="14"/>
      <c r="F9" s="14" t="str">
        <f>IFERROR(__xludf.DUMMYFUNCTION("""COMPUTED_VALUE"""),"DB")</f>
        <v>DB</v>
      </c>
      <c r="G9" s="3">
        <f>IFERROR(__xludf.DUMMYFUNCTION("""COMPUTED_VALUE"""),315605.12999999523)</f>
        <v>315605.13</v>
      </c>
      <c r="H9" s="14"/>
      <c r="I9" s="14" t="str">
        <f>IFERROR(__xludf.DUMMYFUNCTION("""COMPUTED_VALUE"""),"EXSPEDISI")</f>
        <v>EXSPEDISI</v>
      </c>
      <c r="J9" s="3"/>
    </row>
    <row r="10">
      <c r="A10" s="14">
        <f>IFERROR(__xludf.DUMMYFUNCTION("""COMPUTED_VALUE"""),44930.0)</f>
        <v>44930</v>
      </c>
      <c r="B10" s="14" t="str">
        <f>IFERROR(__xludf.DUMMYFUNCTION("""COMPUTED_VALUE"""),"TRSF E-BANKING DB TANGGAL :03/01")</f>
        <v>TRSF E-BANKING DB TANGGAL :03/01</v>
      </c>
      <c r="C10" s="14" t="str">
        <f>IFERROR(__xludf.DUMMYFUNCTION("""COMPUTED_VALUE"""),"TRSF E-BANKING DB TANGGAL :03/01 0301/FTSCY/WS95031 HERMAWAN")</f>
        <v>TRSF E-BANKING DB TANGGAL :03/01 0301/FTSCY/WS95031 HERMAWAN</v>
      </c>
      <c r="D10" s="3">
        <f>IFERROR(__xludf.DUMMYFUNCTION("""COMPUTED_VALUE"""),250000.0)</f>
        <v>250000</v>
      </c>
      <c r="E10" s="14"/>
      <c r="F10" s="14" t="str">
        <f>IFERROR(__xludf.DUMMYFUNCTION("""COMPUTED_VALUE"""),"DB")</f>
        <v>DB</v>
      </c>
      <c r="G10" s="3">
        <f>IFERROR(__xludf.DUMMYFUNCTION("""COMPUTED_VALUE"""),65605.12999999523)</f>
        <v>65605.13</v>
      </c>
      <c r="H10" s="14"/>
      <c r="I10" s="14" t="str">
        <f>IFERROR(__xludf.DUMMYFUNCTION("""COMPUTED_VALUE"""),"EXSPEDISI")</f>
        <v>EXSPEDISI</v>
      </c>
      <c r="J10" s="3"/>
    </row>
    <row r="11">
      <c r="A11" s="14">
        <f>IFERROR(__xludf.DUMMYFUNCTION("""COMPUTED_VALUE"""),44930.0)</f>
        <v>44930</v>
      </c>
      <c r="B11" s="14" t="str">
        <f>IFERROR(__xludf.DUMMYFUNCTION("""COMPUTED_VALUE"""),"TRSF E-BANKING DB")</f>
        <v>TRSF E-BANKING DB</v>
      </c>
      <c r="C11" s="14" t="str">
        <f>IFERROR(__xludf.DUMMYFUNCTION("""COMPUTED_VALUE"""),"TRSF E-BANKING DB 0401/FTSCY/WS95031 8303530.00 pelunasan HERMAWAN")</f>
        <v>TRSF E-BANKING DB 0401/FTSCY/WS95031 8303530.00 pelunasan HERMAWAN</v>
      </c>
      <c r="D11" s="3">
        <f>IFERROR(__xludf.DUMMYFUNCTION("""COMPUTED_VALUE"""),8303530.0)</f>
        <v>8303530</v>
      </c>
      <c r="E11" s="14"/>
      <c r="F11" s="14" t="str">
        <f>IFERROR(__xludf.DUMMYFUNCTION("""COMPUTED_VALUE"""),"DB")</f>
        <v>DB</v>
      </c>
      <c r="G11" s="3">
        <f>IFERROR(__xludf.DUMMYFUNCTION("""COMPUTED_VALUE"""),3.0056765129999995E7)</f>
        <v>30056765.13</v>
      </c>
      <c r="H11" s="14"/>
      <c r="I11" s="14" t="str">
        <f>IFERROR(__xludf.DUMMYFUNCTION("""COMPUTED_VALUE"""),"EXSPEDISI")</f>
        <v>EXSPEDISI</v>
      </c>
      <c r="J11" s="3"/>
    </row>
    <row r="12">
      <c r="A12" s="14">
        <f>IFERROR(__xludf.DUMMYFUNCTION("""COMPUTED_VALUE"""),44930.0)</f>
        <v>44930</v>
      </c>
      <c r="B12" s="14" t="str">
        <f>IFERROR(__xludf.DUMMYFUNCTION("""COMPUTED_VALUE"""),"TRSF E-BANKING DB")</f>
        <v>TRSF E-BANKING DB</v>
      </c>
      <c r="C12" s="14" t="str">
        <f>IFERROR(__xludf.DUMMYFUNCTION("""COMPUTED_VALUE"""),"TRSF E-BANKING DB 0401/FTSCY/WS95031 5355700.00 EKO SETIYAWAN")</f>
        <v>TRSF E-BANKING DB 0401/FTSCY/WS95031 5355700.00 EKO SETIYAWAN</v>
      </c>
      <c r="D12" s="3">
        <f>IFERROR(__xludf.DUMMYFUNCTION("""COMPUTED_VALUE"""),5355700.0)</f>
        <v>5355700</v>
      </c>
      <c r="E12" s="14"/>
      <c r="F12" s="14" t="str">
        <f>IFERROR(__xludf.DUMMYFUNCTION("""COMPUTED_VALUE"""),"DB")</f>
        <v>DB</v>
      </c>
      <c r="G12" s="3">
        <f>IFERROR(__xludf.DUMMYFUNCTION("""COMPUTED_VALUE"""),1.3549735513E8)</f>
        <v>135497355.1</v>
      </c>
      <c r="H12" s="14"/>
      <c r="I12" s="14" t="str">
        <f>IFERROR(__xludf.DUMMYFUNCTION("""COMPUTED_VALUE"""),"EXSPEDISI")</f>
        <v>EXSPEDISI</v>
      </c>
      <c r="J12" s="3"/>
    </row>
    <row r="13">
      <c r="A13" s="14">
        <f>IFERROR(__xludf.DUMMYFUNCTION("""COMPUTED_VALUE"""),44930.0)</f>
        <v>44930</v>
      </c>
      <c r="B13" s="14" t="str">
        <f>IFERROR(__xludf.DUMMYFUNCTION("""COMPUTED_VALUE"""),"TRSF E-BANKING DB")</f>
        <v>TRSF E-BANKING DB</v>
      </c>
      <c r="C13" s="14" t="str">
        <f>IFERROR(__xludf.DUMMYFUNCTION("""COMPUTED_VALUE"""),"TRSF E-BANKING DB 0401/FTSCY/WS95271 1991700.00 mlg mjk MUJIANTO")</f>
        <v>TRSF E-BANKING DB 0401/FTSCY/WS95271 1991700.00 mlg mjk MUJIANTO</v>
      </c>
      <c r="D13" s="3">
        <f>IFERROR(__xludf.DUMMYFUNCTION("""COMPUTED_VALUE"""),1991700.0)</f>
        <v>1991700</v>
      </c>
      <c r="E13" s="14"/>
      <c r="F13" s="14" t="str">
        <f>IFERROR(__xludf.DUMMYFUNCTION("""COMPUTED_VALUE"""),"DB")</f>
        <v>DB</v>
      </c>
      <c r="G13" s="3">
        <f>IFERROR(__xludf.DUMMYFUNCTION("""COMPUTED_VALUE"""),1.3350565513E8)</f>
        <v>133505655.1</v>
      </c>
      <c r="H13" s="14"/>
      <c r="I13" s="14" t="str">
        <f>IFERROR(__xludf.DUMMYFUNCTION("""COMPUTED_VALUE"""),"EXSPEDISI")</f>
        <v>EXSPEDISI</v>
      </c>
      <c r="J13" s="3"/>
    </row>
    <row r="14">
      <c r="A14" s="14">
        <f>IFERROR(__xludf.DUMMYFUNCTION("""COMPUTED_VALUE"""),44932.0)</f>
        <v>44932</v>
      </c>
      <c r="B14" s="14" t="str">
        <f>IFERROR(__xludf.DUMMYFUNCTION("""COMPUTED_VALUE"""),"TRSF E-BANKING DB TANGGAL :05/01")</f>
        <v>TRSF E-BANKING DB TANGGAL :05/01</v>
      </c>
      <c r="C14" s="14" t="str">
        <f>IFERROR(__xludf.DUMMYFUNCTION("""COMPUTED_VALUE"""),"TRSF E-BANKING DB TANGGAL :05/01 0501/FTSCY/WS95271 blitar mjk GATUT SETYO WIBOWO")</f>
        <v>TRSF E-BANKING DB TANGGAL :05/01 0501/FTSCY/WS95271 blitar mjk GATUT SETYO WIBOWO</v>
      </c>
      <c r="D14" s="3">
        <f>IFERROR(__xludf.DUMMYFUNCTION("""COMPUTED_VALUE"""),1350400.0)</f>
        <v>1350400</v>
      </c>
      <c r="E14" s="14"/>
      <c r="F14" s="14" t="str">
        <f>IFERROR(__xludf.DUMMYFUNCTION("""COMPUTED_VALUE"""),"DB")</f>
        <v>DB</v>
      </c>
      <c r="G14" s="3">
        <f>IFERROR(__xludf.DUMMYFUNCTION("""COMPUTED_VALUE"""),2.7193815513E8)</f>
        <v>271938155.1</v>
      </c>
      <c r="H14" s="14"/>
      <c r="I14" s="14" t="str">
        <f>IFERROR(__xludf.DUMMYFUNCTION("""COMPUTED_VALUE"""),"EXSPEDISI")</f>
        <v>EXSPEDISI</v>
      </c>
      <c r="J14" s="3"/>
    </row>
    <row r="15">
      <c r="A15" s="14">
        <f>IFERROR(__xludf.DUMMYFUNCTION("""COMPUTED_VALUE"""),44932.0)</f>
        <v>44932</v>
      </c>
      <c r="B15" s="14" t="str">
        <f>IFERROR(__xludf.DUMMYFUNCTION("""COMPUTED_VALUE"""),"TRSF E-BANKING DB TANGGAL :05/01")</f>
        <v>TRSF E-BANKING DB TANGGAL :05/01</v>
      </c>
      <c r="C15" s="14" t="str">
        <f>IFERROR(__xludf.DUMMYFUNCTION("""COMPUTED_VALUE"""),"TRSF E-BANKING DB TANGGAL :05/01 0501/FTSCY/WS95271 bjn lidia MUJIANTO")</f>
        <v>TRSF E-BANKING DB TANGGAL :05/01 0501/FTSCY/WS95271 bjn lidia MUJIANTO</v>
      </c>
      <c r="D15" s="3">
        <f>IFERROR(__xludf.DUMMYFUNCTION("""COMPUTED_VALUE"""),2075530.0)</f>
        <v>2075530</v>
      </c>
      <c r="E15" s="14"/>
      <c r="F15" s="14" t="str">
        <f>IFERROR(__xludf.DUMMYFUNCTION("""COMPUTED_VALUE"""),"DB")</f>
        <v>DB</v>
      </c>
      <c r="G15" s="3">
        <f>IFERROR(__xludf.DUMMYFUNCTION("""COMPUTED_VALUE"""),2.6986262513E8)</f>
        <v>269862625.1</v>
      </c>
      <c r="H15" s="14"/>
      <c r="I15" s="14" t="str">
        <f>IFERROR(__xludf.DUMMYFUNCTION("""COMPUTED_VALUE"""),"EXSPEDISI")</f>
        <v>EXSPEDISI</v>
      </c>
      <c r="J15" s="3"/>
    </row>
    <row r="16">
      <c r="A16" s="14">
        <f>IFERROR(__xludf.DUMMYFUNCTION("""COMPUTED_VALUE"""),44932.0)</f>
        <v>44932</v>
      </c>
      <c r="B16" s="14" t="str">
        <f>IFERROR(__xludf.DUMMYFUNCTION("""COMPUTED_VALUE"""),"TRSF E-BANKING DB")</f>
        <v>TRSF E-BANKING DB</v>
      </c>
      <c r="C16" s="14" t="str">
        <f>IFERROR(__xludf.DUMMYFUNCTION("""COMPUTED_VALUE"""),"TRSF E-BANKING DB 0601/FTSCY/WS95271 5361300.00 05/01 lunas EKO SETIYAWAN")</f>
        <v>TRSF E-BANKING DB 0601/FTSCY/WS95271 5361300.00 05/01 lunas EKO SETIYAWAN</v>
      </c>
      <c r="D16" s="3">
        <f>IFERROR(__xludf.DUMMYFUNCTION("""COMPUTED_VALUE"""),5361300.0)</f>
        <v>5361300</v>
      </c>
      <c r="E16" s="14"/>
      <c r="F16" s="14" t="str">
        <f>IFERROR(__xludf.DUMMYFUNCTION("""COMPUTED_VALUE"""),"DB")</f>
        <v>DB</v>
      </c>
      <c r="G16" s="3">
        <f>IFERROR(__xludf.DUMMYFUNCTION("""COMPUTED_VALUE"""),7805825.129999995)</f>
        <v>7805825.13</v>
      </c>
      <c r="H16" s="14"/>
      <c r="I16" s="14" t="str">
        <f>IFERROR(__xludf.DUMMYFUNCTION("""COMPUTED_VALUE"""),"EXSPEDISI")</f>
        <v>EXSPEDISI</v>
      </c>
      <c r="J16" s="3"/>
    </row>
    <row r="17">
      <c r="A17" s="14">
        <f>IFERROR(__xludf.DUMMYFUNCTION("""COMPUTED_VALUE"""),44932.0)</f>
        <v>44932</v>
      </c>
      <c r="B17" s="14" t="str">
        <f>IFERROR(__xludf.DUMMYFUNCTION("""COMPUTED_VALUE"""),"TRSF E-BANKING DB")</f>
        <v>TRSF E-BANKING DB</v>
      </c>
      <c r="C17" s="14" t="str">
        <f>IFERROR(__xludf.DUMMYFUNCTION("""COMPUTED_VALUE"""),"TRSF E-BANKING DB 0601/FTSCY/WS95271 2940000.00 05/01 lunas HERMAWAN")</f>
        <v>TRSF E-BANKING DB 0601/FTSCY/WS95271 2940000.00 05/01 lunas HERMAWAN</v>
      </c>
      <c r="D17" s="3">
        <f>IFERROR(__xludf.DUMMYFUNCTION("""COMPUTED_VALUE"""),2940000.0)</f>
        <v>2940000</v>
      </c>
      <c r="E17" s="14"/>
      <c r="F17" s="14" t="str">
        <f>IFERROR(__xludf.DUMMYFUNCTION("""COMPUTED_VALUE"""),"DB")</f>
        <v>DB</v>
      </c>
      <c r="G17" s="3">
        <f>IFERROR(__xludf.DUMMYFUNCTION("""COMPUTED_VALUE"""),4865825.129999995)</f>
        <v>4865825.13</v>
      </c>
      <c r="H17" s="14"/>
      <c r="I17" s="14" t="str">
        <f>IFERROR(__xludf.DUMMYFUNCTION("""COMPUTED_VALUE"""),"EXSPEDISI")</f>
        <v>EXSPEDISI</v>
      </c>
      <c r="J17" s="3"/>
    </row>
    <row r="18">
      <c r="A18" s="14">
        <f>IFERROR(__xludf.DUMMYFUNCTION("""COMPUTED_VALUE"""),44933.0)</f>
        <v>44933</v>
      </c>
      <c r="B18" s="14" t="str">
        <f>IFERROR(__xludf.DUMMYFUNCTION("""COMPUTED_VALUE"""),"TRSF E-BANKING DB")</f>
        <v>TRSF E-BANKING DB</v>
      </c>
      <c r="C18" s="14" t="str">
        <f>IFERROR(__xludf.DUMMYFUNCTION("""COMPUTED_VALUE"""),"TRSF E-BANKING DB 0701/FTSCY/WS95031 5930000.00 0601 lunas EKO SETIYAWAN")</f>
        <v>TRSF E-BANKING DB 0701/FTSCY/WS95031 5930000.00 0601 lunas EKO SETIYAWAN</v>
      </c>
      <c r="D18" s="3">
        <f>IFERROR(__xludf.DUMMYFUNCTION("""COMPUTED_VALUE"""),5930000.0)</f>
        <v>5930000</v>
      </c>
      <c r="E18" s="14"/>
      <c r="F18" s="14" t="str">
        <f>IFERROR(__xludf.DUMMYFUNCTION("""COMPUTED_VALUE"""),"DB")</f>
        <v>DB</v>
      </c>
      <c r="G18" s="3">
        <f>IFERROR(__xludf.DUMMYFUNCTION("""COMPUTED_VALUE"""),1.7425872013E8)</f>
        <v>174258720.1</v>
      </c>
      <c r="H18" s="14"/>
      <c r="I18" s="14" t="str">
        <f>IFERROR(__xludf.DUMMYFUNCTION("""COMPUTED_VALUE"""),"EXSPEDISI")</f>
        <v>EXSPEDISI</v>
      </c>
      <c r="J18" s="3"/>
    </row>
    <row r="19">
      <c r="A19" s="14">
        <f>IFERROR(__xludf.DUMMYFUNCTION("""COMPUTED_VALUE"""),44933.0)</f>
        <v>44933</v>
      </c>
      <c r="B19" s="14" t="str">
        <f>IFERROR(__xludf.DUMMYFUNCTION("""COMPUTED_VALUE"""),"TRSF E-BANKING DB")</f>
        <v>TRSF E-BANKING DB</v>
      </c>
      <c r="C19" s="14" t="str">
        <f>IFERROR(__xludf.DUMMYFUNCTION("""COMPUTED_VALUE"""),"TRSF E-BANKING DB 0701/FTSCY/WS95031 2234500.00 mlg sidoarjo 0601 lunas MUJIANTO")</f>
        <v>TRSF E-BANKING DB 0701/FTSCY/WS95031 2234500.00 mlg sidoarjo 0601 lunas MUJIANTO</v>
      </c>
      <c r="D19" s="3">
        <f>IFERROR(__xludf.DUMMYFUNCTION("""COMPUTED_VALUE"""),2234500.0)</f>
        <v>2234500</v>
      </c>
      <c r="E19" s="14"/>
      <c r="F19" s="14" t="str">
        <f>IFERROR(__xludf.DUMMYFUNCTION("""COMPUTED_VALUE"""),"DB")</f>
        <v>DB</v>
      </c>
      <c r="G19" s="3">
        <f>IFERROR(__xludf.DUMMYFUNCTION("""COMPUTED_VALUE"""),1.7202422013E8)</f>
        <v>172024220.1</v>
      </c>
      <c r="H19" s="14"/>
      <c r="I19" s="14" t="str">
        <f>IFERROR(__xludf.DUMMYFUNCTION("""COMPUTED_VALUE"""),"EXSPEDISI")</f>
        <v>EXSPEDISI</v>
      </c>
      <c r="J19" s="3"/>
    </row>
    <row r="20">
      <c r="A20" s="14">
        <f>IFERROR(__xludf.DUMMYFUNCTION("""COMPUTED_VALUE"""),44933.0)</f>
        <v>44933</v>
      </c>
      <c r="B20" s="14" t="str">
        <f>IFERROR(__xludf.DUMMYFUNCTION("""COMPUTED_VALUE"""),"TRSF E-BANKING DB")</f>
        <v>TRSF E-BANKING DB</v>
      </c>
      <c r="C20" s="14" t="str">
        <f>IFERROR(__xludf.DUMMYFUNCTION("""COMPUTED_VALUE"""),"TRSF E-BANKING DB 0701/FTSCY/WS95031 3338400.00 blitar sidoraya HERMAWAN")</f>
        <v>TRSF E-BANKING DB 0701/FTSCY/WS95031 3338400.00 blitar sidoraya HERMAWAN</v>
      </c>
      <c r="D20" s="3">
        <f>IFERROR(__xludf.DUMMYFUNCTION("""COMPUTED_VALUE"""),3338400.0)</f>
        <v>3338400</v>
      </c>
      <c r="E20" s="14"/>
      <c r="F20" s="14" t="str">
        <f>IFERROR(__xludf.DUMMYFUNCTION("""COMPUTED_VALUE"""),"DB")</f>
        <v>DB</v>
      </c>
      <c r="G20" s="3">
        <f>IFERROR(__xludf.DUMMYFUNCTION("""COMPUTED_VALUE"""),1.6868582013E8)</f>
        <v>168685820.1</v>
      </c>
      <c r="H20" s="14"/>
      <c r="I20" s="14" t="str">
        <f>IFERROR(__xludf.DUMMYFUNCTION("""COMPUTED_VALUE"""),"EXSPEDISI")</f>
        <v>EXSPEDISI</v>
      </c>
      <c r="J20" s="3"/>
    </row>
    <row r="21">
      <c r="A21" s="14">
        <f>IFERROR(__xludf.DUMMYFUNCTION("""COMPUTED_VALUE"""),44933.0)</f>
        <v>44933</v>
      </c>
      <c r="B21" s="14" t="str">
        <f>IFERROR(__xludf.DUMMYFUNCTION("""COMPUTED_VALUE"""),"TRSF E-BANKING DB")</f>
        <v>TRSF E-BANKING DB</v>
      </c>
      <c r="C21" s="14" t="str">
        <f>IFERROR(__xludf.DUMMYFUNCTION("""COMPUTED_VALUE"""),"TRSF E-BANKING DB 0701/FTSCY/WS95031 2060580.00 lunas HERMAWAN")</f>
        <v>TRSF E-BANKING DB 0701/FTSCY/WS95031 2060580.00 lunas HERMAWAN</v>
      </c>
      <c r="D21" s="3">
        <f>IFERROR(__xludf.DUMMYFUNCTION("""COMPUTED_VALUE"""),2060580.0)</f>
        <v>2060580</v>
      </c>
      <c r="E21" s="14"/>
      <c r="F21" s="14" t="str">
        <f>IFERROR(__xludf.DUMMYFUNCTION("""COMPUTED_VALUE"""),"DB")</f>
        <v>DB</v>
      </c>
      <c r="G21" s="3">
        <f>IFERROR(__xludf.DUMMYFUNCTION("""COMPUTED_VALUE"""),1.5743620213E8)</f>
        <v>157436202.1</v>
      </c>
      <c r="H21" s="14"/>
      <c r="I21" s="14" t="str">
        <f>IFERROR(__xludf.DUMMYFUNCTION("""COMPUTED_VALUE"""),"EXSPEDISI")</f>
        <v>EXSPEDISI</v>
      </c>
      <c r="J21" s="3"/>
    </row>
    <row r="22">
      <c r="A22" s="14">
        <f>IFERROR(__xludf.DUMMYFUNCTION("""COMPUTED_VALUE"""),44934.0)</f>
        <v>44934</v>
      </c>
      <c r="B22" s="14" t="str">
        <f>IFERROR(__xludf.DUMMYFUNCTION("""COMPUTED_VALUE"""),"TRSF E-BANKING DB TANGGAL :07/01")</f>
        <v>TRSF E-BANKING DB TANGGAL :07/01</v>
      </c>
      <c r="C22" s="14" t="str">
        <f>IFERROR(__xludf.DUMMYFUNCTION("""COMPUTED_VALUE"""),"TRSF E-BANKING DB TANGGAL :07/01 0701/FTSCY/WS95031 GATUT SETYO WIBOWO")</f>
        <v>TRSF E-BANKING DB TANGGAL :07/01 0701/FTSCY/WS95031 GATUT SETYO WIBOWO</v>
      </c>
      <c r="D22" s="3">
        <f>IFERROR(__xludf.DUMMYFUNCTION("""COMPUTED_VALUE"""),2000000.0)</f>
        <v>2000000</v>
      </c>
      <c r="E22" s="14"/>
      <c r="F22" s="14" t="str">
        <f>IFERROR(__xludf.DUMMYFUNCTION("""COMPUTED_VALUE"""),"DB")</f>
        <v>DB</v>
      </c>
      <c r="G22" s="3">
        <f>IFERROR(__xludf.DUMMYFUNCTION("""COMPUTED_VALUE"""),6.3836202129999995E7)</f>
        <v>63836202.13</v>
      </c>
      <c r="H22" s="14"/>
      <c r="I22" s="14" t="str">
        <f>IFERROR(__xludf.DUMMYFUNCTION("""COMPUTED_VALUE"""),"EXSPEDISI")</f>
        <v>EXSPEDISI</v>
      </c>
      <c r="J22" s="3"/>
    </row>
    <row r="23">
      <c r="A23" s="14">
        <f>IFERROR(__xludf.DUMMYFUNCTION("""COMPUTED_VALUE"""),44934.0)</f>
        <v>44934</v>
      </c>
      <c r="B23" s="14" t="str">
        <f>IFERROR(__xludf.DUMMYFUNCTION("""COMPUTED_VALUE"""),"TRSF E-BANKING DB")</f>
        <v>TRSF E-BANKING DB</v>
      </c>
      <c r="C23" s="14" t="str">
        <f>IFERROR(__xludf.DUMMYFUNCTION("""COMPUTED_VALUE"""),"TRSF E-BANKING DB 0801/FTSCY/WS95031 3000000.00 MUJIANTO")</f>
        <v>TRSF E-BANKING DB 0801/FTSCY/WS95031 3000000.00 MUJIANTO</v>
      </c>
      <c r="D23" s="3">
        <f>IFERROR(__xludf.DUMMYFUNCTION("""COMPUTED_VALUE"""),3000000.0)</f>
        <v>3000000</v>
      </c>
      <c r="E23" s="14"/>
      <c r="F23" s="14" t="str">
        <f>IFERROR(__xludf.DUMMYFUNCTION("""COMPUTED_VALUE"""),"DB")</f>
        <v>DB</v>
      </c>
      <c r="G23" s="3">
        <f>IFERROR(__xludf.DUMMYFUNCTION("""COMPUTED_VALUE"""),2.9747422129999995E7)</f>
        <v>29747422.13</v>
      </c>
      <c r="H23" s="14"/>
      <c r="I23" s="14" t="str">
        <f>IFERROR(__xludf.DUMMYFUNCTION("""COMPUTED_VALUE"""),"EXSPEDISI")</f>
        <v>EXSPEDISI</v>
      </c>
      <c r="J23" s="3"/>
    </row>
    <row r="24">
      <c r="A24" s="14">
        <f>IFERROR(__xludf.DUMMYFUNCTION("""COMPUTED_VALUE"""),44934.0)</f>
        <v>44934</v>
      </c>
      <c r="B24" s="14" t="str">
        <f>IFERROR(__xludf.DUMMYFUNCTION("""COMPUTED_VALUE"""),"TRSF E-BANKING DB")</f>
        <v>TRSF E-BANKING DB</v>
      </c>
      <c r="C24" s="14" t="str">
        <f>IFERROR(__xludf.DUMMYFUNCTION("""COMPUTED_VALUE"""),"TRSF E-BANKING DB 0801/FTSCY/WS95031 18404400.00 lunas EKO SETIYAWAN")</f>
        <v>TRSF E-BANKING DB 0801/FTSCY/WS95031 18404400.00 lunas EKO SETIYAWAN</v>
      </c>
      <c r="D24" s="3">
        <f>IFERROR(__xludf.DUMMYFUNCTION("""COMPUTED_VALUE"""),1.84044E7)</f>
        <v>18404400</v>
      </c>
      <c r="E24" s="14"/>
      <c r="F24" s="14" t="str">
        <f>IFERROR(__xludf.DUMMYFUNCTION("""COMPUTED_VALUE"""),"DB")</f>
        <v>DB</v>
      </c>
      <c r="G24" s="3">
        <f>IFERROR(__xludf.DUMMYFUNCTION("""COMPUTED_VALUE"""),1.1343022129999995E7)</f>
        <v>11343022.13</v>
      </c>
      <c r="H24" s="14"/>
      <c r="I24" s="14" t="str">
        <f>IFERROR(__xludf.DUMMYFUNCTION("""COMPUTED_VALUE"""),"EXSPEDISI")</f>
        <v>EXSPEDISI</v>
      </c>
      <c r="J24" s="3"/>
    </row>
    <row r="25">
      <c r="A25" s="14">
        <f>IFERROR(__xludf.DUMMYFUNCTION("""COMPUTED_VALUE"""),44936.0)</f>
        <v>44936</v>
      </c>
      <c r="B25" s="14" t="str">
        <f>IFERROR(__xludf.DUMMYFUNCTION("""COMPUTED_VALUE"""),"TRSF E-BANKING DB")</f>
        <v>TRSF E-BANKING DB</v>
      </c>
      <c r="C25" s="14" t="str">
        <f>IFERROR(__xludf.DUMMYFUNCTION("""COMPUTED_VALUE"""),"TRSF E-BANKING DB 1001/FTSCY/WS95031 1620400.00 MUJIANTO")</f>
        <v>TRSF E-BANKING DB 1001/FTSCY/WS95031 1620400.00 MUJIANTO</v>
      </c>
      <c r="D25" s="3">
        <f>IFERROR(__xludf.DUMMYFUNCTION("""COMPUTED_VALUE"""),1620400.0)</f>
        <v>1620400</v>
      </c>
      <c r="E25" s="14"/>
      <c r="F25" s="14" t="str">
        <f>IFERROR(__xludf.DUMMYFUNCTION("""COMPUTED_VALUE"""),"DB")</f>
        <v>DB</v>
      </c>
      <c r="G25" s="3">
        <f>IFERROR(__xludf.DUMMYFUNCTION("""COMPUTED_VALUE"""),4.3968432913E8)</f>
        <v>439684329.1</v>
      </c>
      <c r="H25" s="14"/>
      <c r="I25" s="14" t="str">
        <f>IFERROR(__xludf.DUMMYFUNCTION("""COMPUTED_VALUE"""),"EXSPEDISI")</f>
        <v>EXSPEDISI</v>
      </c>
      <c r="J25" s="3"/>
    </row>
    <row r="26">
      <c r="A26" s="14">
        <f>IFERROR(__xludf.DUMMYFUNCTION("""COMPUTED_VALUE"""),44936.0)</f>
        <v>44936</v>
      </c>
      <c r="B26" s="14" t="str">
        <f>IFERROR(__xludf.DUMMYFUNCTION("""COMPUTED_VALUE"""),"TRSF E-BANKING DB")</f>
        <v>TRSF E-BANKING DB</v>
      </c>
      <c r="C26" s="14" t="str">
        <f>IFERROR(__xludf.DUMMYFUNCTION("""COMPUTED_VALUE"""),"TRSF E-BANKING DB 1001/FTSCY/WS95031 1500000.00 GATUT SETYO WIBOWO")</f>
        <v>TRSF E-BANKING DB 1001/FTSCY/WS95031 1500000.00 GATUT SETYO WIBOWO</v>
      </c>
      <c r="D26" s="3">
        <f>IFERROR(__xludf.DUMMYFUNCTION("""COMPUTED_VALUE"""),1500000.0)</f>
        <v>1500000</v>
      </c>
      <c r="E26" s="14"/>
      <c r="F26" s="14" t="str">
        <f>IFERROR(__xludf.DUMMYFUNCTION("""COMPUTED_VALUE"""),"DB")</f>
        <v>DB</v>
      </c>
      <c r="G26" s="3">
        <f>IFERROR(__xludf.DUMMYFUNCTION("""COMPUTED_VALUE"""),6.5609078913E8)</f>
        <v>656090789.1</v>
      </c>
      <c r="H26" s="14"/>
      <c r="I26" s="14" t="str">
        <f>IFERROR(__xludf.DUMMYFUNCTION("""COMPUTED_VALUE"""),"EXSPEDISI")</f>
        <v>EXSPEDISI</v>
      </c>
      <c r="J26" s="3"/>
    </row>
    <row r="27">
      <c r="A27" s="14">
        <f>IFERROR(__xludf.DUMMYFUNCTION("""COMPUTED_VALUE"""),44936.0)</f>
        <v>44936</v>
      </c>
      <c r="B27" s="14" t="str">
        <f>IFERROR(__xludf.DUMMYFUNCTION("""COMPUTED_VALUE"""),"TRSF E-BANKING DB")</f>
        <v>TRSF E-BANKING DB</v>
      </c>
      <c r="C27" s="14" t="str">
        <f>IFERROR(__xludf.DUMMYFUNCTION("""COMPUTED_VALUE"""),"TRSF E-BANKING DB 1001/FTSCY/WS95031 2654400.00 HERMAWAN")</f>
        <v>TRSF E-BANKING DB 1001/FTSCY/WS95031 2654400.00 HERMAWAN</v>
      </c>
      <c r="D27" s="3">
        <f>IFERROR(__xludf.DUMMYFUNCTION("""COMPUTED_VALUE"""),2654400.0)</f>
        <v>2654400</v>
      </c>
      <c r="E27" s="14"/>
      <c r="F27" s="14" t="str">
        <f>IFERROR(__xludf.DUMMYFUNCTION("""COMPUTED_VALUE"""),"DB")</f>
        <v>DB</v>
      </c>
      <c r="G27" s="3">
        <f>IFERROR(__xludf.DUMMYFUNCTION("""COMPUTED_VALUE"""),5.201942191300001E8)</f>
        <v>520194219.1</v>
      </c>
      <c r="H27" s="14"/>
      <c r="I27" s="14" t="str">
        <f>IFERROR(__xludf.DUMMYFUNCTION("""COMPUTED_VALUE"""),"EXSPEDISI")</f>
        <v>EXSPEDISI</v>
      </c>
      <c r="J27" s="3"/>
    </row>
    <row r="28">
      <c r="A28" s="14">
        <f>IFERROR(__xludf.DUMMYFUNCTION("""COMPUTED_VALUE"""),44936.0)</f>
        <v>44936</v>
      </c>
      <c r="B28" s="14" t="str">
        <f>IFERROR(__xludf.DUMMYFUNCTION("""COMPUTED_VALUE"""),"TRSF E-BANKING DB")</f>
        <v>TRSF E-BANKING DB</v>
      </c>
      <c r="C28" s="14" t="str">
        <f>IFERROR(__xludf.DUMMYFUNCTION("""COMPUTED_VALUE"""),"TRSF E-BANKING DB 1001/FTSCY/WS95031 2448900.00 magetan sidoraya HERMAWAN")</f>
        <v>TRSF E-BANKING DB 1001/FTSCY/WS95031 2448900.00 magetan sidoraya HERMAWAN</v>
      </c>
      <c r="D28" s="3">
        <f>IFERROR(__xludf.DUMMYFUNCTION("""COMPUTED_VALUE"""),2448900.0)</f>
        <v>2448900</v>
      </c>
      <c r="E28" s="14"/>
      <c r="F28" s="14" t="str">
        <f>IFERROR(__xludf.DUMMYFUNCTION("""COMPUTED_VALUE"""),"DB")</f>
        <v>DB</v>
      </c>
      <c r="G28" s="3">
        <f>IFERROR(__xludf.DUMMYFUNCTION("""COMPUTED_VALUE"""),5.177453191300001E8)</f>
        <v>517745319.1</v>
      </c>
      <c r="H28" s="14"/>
      <c r="I28" s="14" t="str">
        <f>IFERROR(__xludf.DUMMYFUNCTION("""COMPUTED_VALUE"""),"EXSPEDISI")</f>
        <v>EXSPEDISI</v>
      </c>
      <c r="J28" s="3"/>
    </row>
    <row r="29">
      <c r="A29" s="14">
        <f>IFERROR(__xludf.DUMMYFUNCTION("""COMPUTED_VALUE"""),44936.0)</f>
        <v>44936</v>
      </c>
      <c r="B29" s="14" t="str">
        <f>IFERROR(__xludf.DUMMYFUNCTION("""COMPUTED_VALUE"""),"TRSF E-BANKING DB")</f>
        <v>TRSF E-BANKING DB</v>
      </c>
      <c r="C29" s="14" t="str">
        <f>IFERROR(__xludf.DUMMYFUNCTION("""COMPUTED_VALUE"""),"TRSF E-BANKING DB 1001/FTSCY/WS95031 4500000.00 EKO SETIYAWAN")</f>
        <v>TRSF E-BANKING DB 1001/FTSCY/WS95031 4500000.00 EKO SETIYAWAN</v>
      </c>
      <c r="D29" s="3">
        <f>IFERROR(__xludf.DUMMYFUNCTION("""COMPUTED_VALUE"""),4500000.0)</f>
        <v>4500000</v>
      </c>
      <c r="E29" s="14"/>
      <c r="F29" s="14" t="str">
        <f>IFERROR(__xludf.DUMMYFUNCTION("""COMPUTED_VALUE"""),"DB")</f>
        <v>DB</v>
      </c>
      <c r="G29" s="3">
        <f>IFERROR(__xludf.DUMMYFUNCTION("""COMPUTED_VALUE"""),4.614053191300001E8)</f>
        <v>461405319.1</v>
      </c>
      <c r="H29" s="14"/>
      <c r="I29" s="14" t="str">
        <f>IFERROR(__xludf.DUMMYFUNCTION("""COMPUTED_VALUE"""),"EXSPEDISI")</f>
        <v>EXSPEDISI</v>
      </c>
      <c r="J29" s="3"/>
    </row>
    <row r="30">
      <c r="A30" s="14">
        <f>IFERROR(__xludf.DUMMYFUNCTION("""COMPUTED_VALUE"""),44937.0)</f>
        <v>44937</v>
      </c>
      <c r="B30" s="14" t="str">
        <f>IFERROR(__xludf.DUMMYFUNCTION("""COMPUTED_VALUE"""),"TRSF E-BANKING DB TANGGAL :10/01")</f>
        <v>TRSF E-BANKING DB TANGGAL :10/01</v>
      </c>
      <c r="C30" s="14" t="str">
        <f>IFERROR(__xludf.DUMMYFUNCTION("""COMPUTED_VALUE"""),"TRSF E-BANKING DB TANGGAL :10/01 1001/FTSCY/WS95031 kdr lidia MUJIANTO")</f>
        <v>TRSF E-BANKING DB TANGGAL :10/01 1001/FTSCY/WS95031 kdr lidia MUJIANTO</v>
      </c>
      <c r="D30" s="3">
        <f>IFERROR(__xludf.DUMMYFUNCTION("""COMPUTED_VALUE"""),1527930.0)</f>
        <v>1527930</v>
      </c>
      <c r="E30" s="14"/>
      <c r="F30" s="14" t="str">
        <f>IFERROR(__xludf.DUMMYFUNCTION("""COMPUTED_VALUE"""),"DB")</f>
        <v>DB</v>
      </c>
      <c r="G30" s="3">
        <f>IFERROR(__xludf.DUMMYFUNCTION("""COMPUTED_VALUE"""),4.638134291300001E8)</f>
        <v>463813429.1</v>
      </c>
      <c r="H30" s="14"/>
      <c r="I30" s="14" t="str">
        <f>IFERROR(__xludf.DUMMYFUNCTION("""COMPUTED_VALUE"""),"EXSPEDISI")</f>
        <v>EXSPEDISI</v>
      </c>
      <c r="J30" s="3"/>
    </row>
    <row r="31">
      <c r="A31" s="14">
        <f>IFERROR(__xludf.DUMMYFUNCTION("""COMPUTED_VALUE"""),44937.0)</f>
        <v>44937</v>
      </c>
      <c r="B31" s="14" t="str">
        <f>IFERROR(__xludf.DUMMYFUNCTION("""COMPUTED_VALUE"""),"TRSF E-BANKING DB TANGGAL :10/01")</f>
        <v>TRSF E-BANKING DB TANGGAL :10/01</v>
      </c>
      <c r="C31" s="14" t="str">
        <f>IFERROR(__xludf.DUMMYFUNCTION("""COMPUTED_VALUE"""),"TRSF E-BANKING DB TANGGAL :10/01 1001/FTSCY/WS95031 EKO SETIYAWAN")</f>
        <v>TRSF E-BANKING DB TANGGAL :10/01 1001/FTSCY/WS95031 EKO SETIYAWAN</v>
      </c>
      <c r="D31" s="3">
        <f>IFERROR(__xludf.DUMMYFUNCTION("""COMPUTED_VALUE"""),4191200.0)</f>
        <v>4191200</v>
      </c>
      <c r="E31" s="14"/>
      <c r="F31" s="14" t="str">
        <f>IFERROR(__xludf.DUMMYFUNCTION("""COMPUTED_VALUE"""),"DB")</f>
        <v>DB</v>
      </c>
      <c r="G31" s="3">
        <f>IFERROR(__xludf.DUMMYFUNCTION("""COMPUTED_VALUE"""),4.596222291300001E8)</f>
        <v>459622229.1</v>
      </c>
      <c r="H31" s="14"/>
      <c r="I31" s="14" t="str">
        <f>IFERROR(__xludf.DUMMYFUNCTION("""COMPUTED_VALUE"""),"EXSPEDISI")</f>
        <v>EXSPEDISI</v>
      </c>
      <c r="J31" s="3"/>
    </row>
    <row r="32">
      <c r="A32" s="14">
        <f>IFERROR(__xludf.DUMMYFUNCTION("""COMPUTED_VALUE"""),44938.0)</f>
        <v>44938</v>
      </c>
      <c r="B32" s="14" t="str">
        <f>IFERROR(__xludf.DUMMYFUNCTION("""COMPUTED_VALUE"""),"TRSF E-BANKING DB")</f>
        <v>TRSF E-BANKING DB</v>
      </c>
      <c r="C32" s="14" t="str">
        <f>IFERROR(__xludf.DUMMYFUNCTION("""COMPUTED_VALUE"""),"TRSF E-BANKING DB 1201/FTSCY/WS95031 1702800.00 HERMAWAN")</f>
        <v>TRSF E-BANKING DB 1201/FTSCY/WS95031 1702800.00 HERMAWAN</v>
      </c>
      <c r="D32" s="3">
        <f>IFERROR(__xludf.DUMMYFUNCTION("""COMPUTED_VALUE"""),1702800.0)</f>
        <v>1702800</v>
      </c>
      <c r="E32" s="14"/>
      <c r="F32" s="14" t="str">
        <f>IFERROR(__xludf.DUMMYFUNCTION("""COMPUTED_VALUE"""),"DB")</f>
        <v>DB</v>
      </c>
      <c r="G32" s="3">
        <f>IFERROR(__xludf.DUMMYFUNCTION("""COMPUTED_VALUE"""),1.506611991300001E8)</f>
        <v>150661199.1</v>
      </c>
      <c r="H32" s="14"/>
      <c r="I32" s="14" t="str">
        <f>IFERROR(__xludf.DUMMYFUNCTION("""COMPUTED_VALUE"""),"EXSPEDISI")</f>
        <v>EXSPEDISI</v>
      </c>
      <c r="J32" s="3"/>
    </row>
    <row r="33">
      <c r="A33" s="14">
        <f>IFERROR(__xludf.DUMMYFUNCTION("""COMPUTED_VALUE"""),44938.0)</f>
        <v>44938</v>
      </c>
      <c r="B33" s="14" t="str">
        <f>IFERROR(__xludf.DUMMYFUNCTION("""COMPUTED_VALUE"""),"TRSF E-BANKING DB")</f>
        <v>TRSF E-BANKING DB</v>
      </c>
      <c r="C33" s="14" t="str">
        <f>IFERROR(__xludf.DUMMYFUNCTION("""COMPUTED_VALUE"""),"TRSF E-BANKING DB 1201/FTSCY/WS95031 1831770.00 tuban lidia MUJIANTO")</f>
        <v>TRSF E-BANKING DB 1201/FTSCY/WS95031 1831770.00 tuban lidia MUJIANTO</v>
      </c>
      <c r="D33" s="3">
        <f>IFERROR(__xludf.DUMMYFUNCTION("""COMPUTED_VALUE"""),1831770.0)</f>
        <v>1831770</v>
      </c>
      <c r="E33" s="14"/>
      <c r="F33" s="14" t="str">
        <f>IFERROR(__xludf.DUMMYFUNCTION("""COMPUTED_VALUE"""),"DB")</f>
        <v>DB</v>
      </c>
      <c r="G33" s="3">
        <f>IFERROR(__xludf.DUMMYFUNCTION("""COMPUTED_VALUE"""),1.488294291300001E8)</f>
        <v>148829429.1</v>
      </c>
      <c r="H33" s="14">
        <f>IFERROR(__xludf.DUMMYFUNCTION("""COMPUTED_VALUE"""),1.4882942913E8)</f>
        <v>148829429.1</v>
      </c>
      <c r="I33" s="14" t="str">
        <f>IFERROR(__xludf.DUMMYFUNCTION("""COMPUTED_VALUE"""),"EXSPEDISI")</f>
        <v>EXSPEDISI</v>
      </c>
      <c r="J33" s="3"/>
    </row>
    <row r="34">
      <c r="A34" s="14">
        <f>IFERROR(__xludf.DUMMYFUNCTION("""COMPUTED_VALUE"""),44938.0)</f>
        <v>44938</v>
      </c>
      <c r="B34" s="14" t="str">
        <f>IFERROR(__xludf.DUMMYFUNCTION("""COMPUTED_VALUE"""),"TRSF E-BANKING DB")</f>
        <v>TRSF E-BANKING DB</v>
      </c>
      <c r="C34" s="14" t="str">
        <f>IFERROR(__xludf.DUMMYFUNCTION("""COMPUTED_VALUE"""),"TRSF E-BANKING DB 1201/FTSCY/WS95031 7123500.00 pelunasan EKO SETIYAWAN")</f>
        <v>TRSF E-BANKING DB 1201/FTSCY/WS95031 7123500.00 pelunasan EKO SETIYAWAN</v>
      </c>
      <c r="D34" s="3">
        <f>IFERROR(__xludf.DUMMYFUNCTION("""COMPUTED_VALUE"""),7123500.0)</f>
        <v>7123500</v>
      </c>
      <c r="E34" s="14"/>
      <c r="F34" s="14" t="str">
        <f>IFERROR(__xludf.DUMMYFUNCTION("""COMPUTED_VALUE"""),"DB")</f>
        <v>DB</v>
      </c>
      <c r="G34" s="3">
        <f>IFERROR(__xludf.DUMMYFUNCTION("""COMPUTED_VALUE"""),1.417059291300001E8)</f>
        <v>141705929.1</v>
      </c>
      <c r="H34" s="14">
        <f>IFERROR(__xludf.DUMMYFUNCTION("""COMPUTED_VALUE"""),1.4170592913E8)</f>
        <v>141705929.1</v>
      </c>
      <c r="I34" s="14" t="str">
        <f>IFERROR(__xludf.DUMMYFUNCTION("""COMPUTED_VALUE"""),"EXSPEDISI")</f>
        <v>EXSPEDISI</v>
      </c>
      <c r="J34" s="3"/>
    </row>
    <row r="35">
      <c r="A35" s="14">
        <f>IFERROR(__xludf.DUMMYFUNCTION("""COMPUTED_VALUE"""),44938.0)</f>
        <v>44938</v>
      </c>
      <c r="B35" s="14" t="str">
        <f>IFERROR(__xludf.DUMMYFUNCTION("""COMPUTED_VALUE"""),"TRSF E-BANKING DB")</f>
        <v>TRSF E-BANKING DB</v>
      </c>
      <c r="C35" s="14" t="str">
        <f>IFERROR(__xludf.DUMMYFUNCTION("""COMPUTED_VALUE"""),"TRSF E-BANKING DB 1201/FTSCY/WS95031 2100000.00 TOTOK HIDAYAT")</f>
        <v>TRSF E-BANKING DB 1201/FTSCY/WS95031 2100000.00 TOTOK HIDAYAT</v>
      </c>
      <c r="D35" s="3">
        <f>IFERROR(__xludf.DUMMYFUNCTION("""COMPUTED_VALUE"""),2100000.0)</f>
        <v>2100000</v>
      </c>
      <c r="E35" s="14"/>
      <c r="F35" s="14" t="str">
        <f>IFERROR(__xludf.DUMMYFUNCTION("""COMPUTED_VALUE"""),"DB")</f>
        <v>DB</v>
      </c>
      <c r="G35" s="3">
        <f>IFERROR(__xludf.DUMMYFUNCTION("""COMPUTED_VALUE"""),7.545138691300001E8)</f>
        <v>754513869.1</v>
      </c>
      <c r="H35" s="14"/>
      <c r="I35" s="14" t="str">
        <f>IFERROR(__xludf.DUMMYFUNCTION("""COMPUTED_VALUE"""),"EXSPEDISI")</f>
        <v>EXSPEDISI</v>
      </c>
      <c r="J35" s="3"/>
    </row>
    <row r="36">
      <c r="A36" s="14">
        <f>IFERROR(__xludf.DUMMYFUNCTION("""COMPUTED_VALUE"""),44939.0)</f>
        <v>44939</v>
      </c>
      <c r="B36" s="14" t="str">
        <f>IFERROR(__xludf.DUMMYFUNCTION("""COMPUTED_VALUE"""),"TRSF E-BANKING DB")</f>
        <v>TRSF E-BANKING DB</v>
      </c>
      <c r="C36" s="14" t="str">
        <f>IFERROR(__xludf.DUMMYFUNCTION("""COMPUTED_VALUE"""),"TRSF E-BANKING DB 1301/FTSCY/WS95031 2308200.00 HERMAWAN")</f>
        <v>TRSF E-BANKING DB 1301/FTSCY/WS95031 2308200.00 HERMAWAN</v>
      </c>
      <c r="D36" s="3">
        <f>IFERROR(__xludf.DUMMYFUNCTION("""COMPUTED_VALUE"""),2308200.0)</f>
        <v>2308200</v>
      </c>
      <c r="E36" s="14"/>
      <c r="F36" s="14" t="str">
        <f>IFERROR(__xludf.DUMMYFUNCTION("""COMPUTED_VALUE"""),"DB")</f>
        <v>DB</v>
      </c>
      <c r="G36" s="3">
        <f>IFERROR(__xludf.DUMMYFUNCTION("""COMPUTED_VALUE"""),6196889.130000114)</f>
        <v>6196889.13</v>
      </c>
      <c r="H36" s="14"/>
      <c r="I36" s="14" t="str">
        <f>IFERROR(__xludf.DUMMYFUNCTION("""COMPUTED_VALUE"""),"EXSPEDISI")</f>
        <v>EXSPEDISI</v>
      </c>
      <c r="J36" s="3"/>
    </row>
    <row r="37">
      <c r="A37" s="14">
        <f>IFERROR(__xludf.DUMMYFUNCTION("""COMPUTED_VALUE"""),44939.0)</f>
        <v>44939</v>
      </c>
      <c r="B37" s="14" t="str">
        <f>IFERROR(__xludf.DUMMYFUNCTION("""COMPUTED_VALUE"""),"TRSF E-BANKING DB")</f>
        <v>TRSF E-BANKING DB</v>
      </c>
      <c r="C37" s="14" t="str">
        <f>IFERROR(__xludf.DUMMYFUNCTION("""COMPUTED_VALUE"""),"TRSF E-BANKING DB 1301/FTSCY/WS95031 1820600.00 magetan mjk MUJIANTO")</f>
        <v>TRSF E-BANKING DB 1301/FTSCY/WS95031 1820600.00 magetan mjk MUJIANTO</v>
      </c>
      <c r="D37" s="3">
        <f>IFERROR(__xludf.DUMMYFUNCTION("""COMPUTED_VALUE"""),1820600.0)</f>
        <v>1820600</v>
      </c>
      <c r="E37" s="14"/>
      <c r="F37" s="14" t="str">
        <f>IFERROR(__xludf.DUMMYFUNCTION("""COMPUTED_VALUE"""),"DB")</f>
        <v>DB</v>
      </c>
      <c r="G37" s="3">
        <f>IFERROR(__xludf.DUMMYFUNCTION("""COMPUTED_VALUE"""),4376289.130000114)</f>
        <v>4376289.13</v>
      </c>
      <c r="H37" s="14"/>
      <c r="I37" s="14" t="str">
        <f>IFERROR(__xludf.DUMMYFUNCTION("""COMPUTED_VALUE"""),"EXSPEDISI")</f>
        <v>EXSPEDISI</v>
      </c>
      <c r="J37" s="3"/>
    </row>
    <row r="38">
      <c r="A38" s="14">
        <f>IFERROR(__xludf.DUMMYFUNCTION("""COMPUTED_VALUE"""),44939.0)</f>
        <v>44939</v>
      </c>
      <c r="B38" s="14" t="str">
        <f>IFERROR(__xludf.DUMMYFUNCTION("""COMPUTED_VALUE"""),"TRSF E-BANKING DB")</f>
        <v>TRSF E-BANKING DB</v>
      </c>
      <c r="C38" s="14" t="str">
        <f>IFERROR(__xludf.DUMMYFUNCTION("""COMPUTED_VALUE"""),"TRSF E-BANKING DB 1301/FTSCY/WS95031 4269700.00 krg 8 jt EKO SETIYAWAN")</f>
        <v>TRSF E-BANKING DB 1301/FTSCY/WS95031 4269700.00 krg 8 jt EKO SETIYAWAN</v>
      </c>
      <c r="D38" s="3">
        <f>IFERROR(__xludf.DUMMYFUNCTION("""COMPUTED_VALUE"""),4269700.0)</f>
        <v>4269700</v>
      </c>
      <c r="E38" s="14"/>
      <c r="F38" s="14" t="str">
        <f>IFERROR(__xludf.DUMMYFUNCTION("""COMPUTED_VALUE"""),"DB")</f>
        <v>DB</v>
      </c>
      <c r="G38" s="3">
        <f>IFERROR(__xludf.DUMMYFUNCTION("""COMPUTED_VALUE"""),106589.13000011444)</f>
        <v>106589.13</v>
      </c>
      <c r="H38" s="14"/>
      <c r="I38" s="14" t="str">
        <f>IFERROR(__xludf.DUMMYFUNCTION("""COMPUTED_VALUE"""),"EXSPEDISI")</f>
        <v>EXSPEDISI</v>
      </c>
      <c r="J38" s="3"/>
    </row>
    <row r="39">
      <c r="A39" s="14">
        <f>IFERROR(__xludf.DUMMYFUNCTION("""COMPUTED_VALUE"""),44939.0)</f>
        <v>44939</v>
      </c>
      <c r="B39" s="14" t="str">
        <f>IFERROR(__xludf.DUMMYFUNCTION("""COMPUTED_VALUE"""),"TRSF E-BANKING DB")</f>
        <v>TRSF E-BANKING DB</v>
      </c>
      <c r="C39" s="14" t="str">
        <f>IFERROR(__xludf.DUMMYFUNCTION("""COMPUTED_VALUE"""),"TRSF E-BANKING DB 1301/FTSCY/WS95031 1000000.00 MUJIANTO")</f>
        <v>TRSF E-BANKING DB 1301/FTSCY/WS95031 1000000.00 MUJIANTO</v>
      </c>
      <c r="D39" s="3">
        <f>IFERROR(__xludf.DUMMYFUNCTION("""COMPUTED_VALUE"""),1000000.0)</f>
        <v>1000000</v>
      </c>
      <c r="E39" s="14"/>
      <c r="F39" s="14" t="str">
        <f>IFERROR(__xludf.DUMMYFUNCTION("""COMPUTED_VALUE"""),"DB")</f>
        <v>DB</v>
      </c>
      <c r="G39" s="3">
        <f>IFERROR(__xludf.DUMMYFUNCTION("""COMPUTED_VALUE"""),1.386125891300001E8)</f>
        <v>138612589.1</v>
      </c>
      <c r="H39" s="14"/>
      <c r="I39" s="14" t="str">
        <f>IFERROR(__xludf.DUMMYFUNCTION("""COMPUTED_VALUE"""),"EXSPEDISI")</f>
        <v>EXSPEDISI</v>
      </c>
      <c r="J39" s="3"/>
    </row>
    <row r="40">
      <c r="A40" s="14">
        <f>IFERROR(__xludf.DUMMYFUNCTION("""COMPUTED_VALUE"""),44940.0)</f>
        <v>44940</v>
      </c>
      <c r="B40" s="14" t="str">
        <f>IFERROR(__xludf.DUMMYFUNCTION("""COMPUTED_VALUE"""),"TRSF E-BANKING DB TANGGAL :13/01")</f>
        <v>TRSF E-BANKING DB TANGGAL :13/01</v>
      </c>
      <c r="C40" s="14" t="str">
        <f>IFERROR(__xludf.DUMMYFUNCTION("""COMPUTED_VALUE"""),"TRSF E-BANKING DB TANGGAL :13/01 1301/FTSCY/WS95031 krg 10 jt EKO SETIYAWAN")</f>
        <v>TRSF E-BANKING DB TANGGAL :13/01 1301/FTSCY/WS95031 krg 10 jt EKO SETIYAWAN</v>
      </c>
      <c r="D40" s="3">
        <f>IFERROR(__xludf.DUMMYFUNCTION("""COMPUTED_VALUE"""),1.05759E7)</f>
        <v>10575900</v>
      </c>
      <c r="E40" s="14"/>
      <c r="F40" s="14" t="str">
        <f>IFERROR(__xludf.DUMMYFUNCTION("""COMPUTED_VALUE"""),"DB")</f>
        <v>DB</v>
      </c>
      <c r="G40" s="3">
        <f>IFERROR(__xludf.DUMMYFUNCTION("""COMPUTED_VALUE"""),1.2803668913000011E8)</f>
        <v>128036689.1</v>
      </c>
      <c r="H40" s="14"/>
      <c r="I40" s="14" t="str">
        <f>IFERROR(__xludf.DUMMYFUNCTION("""COMPUTED_VALUE"""),"EXSPEDISI")</f>
        <v>EXSPEDISI</v>
      </c>
      <c r="J40" s="3"/>
    </row>
    <row r="41">
      <c r="A41" s="14">
        <f>IFERROR(__xludf.DUMMYFUNCTION("""COMPUTED_VALUE"""),44940.0)</f>
        <v>44940</v>
      </c>
      <c r="B41" s="14" t="str">
        <f>IFERROR(__xludf.DUMMYFUNCTION("""COMPUTED_VALUE"""),"TRSF E-BANKING DB TANGGAL :13/01")</f>
        <v>TRSF E-BANKING DB TANGGAL :13/01</v>
      </c>
      <c r="C41" s="14" t="str">
        <f>IFERROR(__xludf.DUMMYFUNCTION("""COMPUTED_VALUE"""),"TRSF E-BANKING DB TANGGAL :13/01 1301/FTSCY/WS95031 HERMAWAN")</f>
        <v>TRSF E-BANKING DB TANGGAL :13/01 1301/FTSCY/WS95031 HERMAWAN</v>
      </c>
      <c r="D41" s="3">
        <f>IFERROR(__xludf.DUMMYFUNCTION("""COMPUTED_VALUE"""),4645640.0)</f>
        <v>4645640</v>
      </c>
      <c r="E41" s="14"/>
      <c r="F41" s="14" t="str">
        <f>IFERROR(__xludf.DUMMYFUNCTION("""COMPUTED_VALUE"""),"DB")</f>
        <v>DB</v>
      </c>
      <c r="G41" s="3">
        <f>IFERROR(__xludf.DUMMYFUNCTION("""COMPUTED_VALUE"""),1.2339104913000011E8)</f>
        <v>123391049.1</v>
      </c>
      <c r="H41" s="14"/>
      <c r="I41" s="14" t="str">
        <f>IFERROR(__xludf.DUMMYFUNCTION("""COMPUTED_VALUE"""),"EXSPEDISI")</f>
        <v>EXSPEDISI</v>
      </c>
      <c r="J41" s="3"/>
    </row>
    <row r="42">
      <c r="A42" s="14">
        <f>IFERROR(__xludf.DUMMYFUNCTION("""COMPUTED_VALUE"""),44941.0)</f>
        <v>44941</v>
      </c>
      <c r="B42" s="14" t="str">
        <f>IFERROR(__xludf.DUMMYFUNCTION("""COMPUTED_VALUE"""),"TRSF E-BANKING DB TANGGAL :14/01")</f>
        <v>TRSF E-BANKING DB TANGGAL :14/01</v>
      </c>
      <c r="C42" s="14" t="str">
        <f>IFERROR(__xludf.DUMMYFUNCTION("""COMPUTED_VALUE"""),"TRSF E-BANKING DB TANGGAL :14/01 1401/FTSCY/WS95031 ngawi gis HERMAWAN")</f>
        <v>TRSF E-BANKING DB TANGGAL :14/01 1401/FTSCY/WS95031 ngawi gis HERMAWAN</v>
      </c>
      <c r="D42" s="3">
        <f>IFERROR(__xludf.DUMMYFUNCTION("""COMPUTED_VALUE"""),1225240.0)</f>
        <v>1225240</v>
      </c>
      <c r="E42" s="14"/>
      <c r="F42" s="14" t="str">
        <f>IFERROR(__xludf.DUMMYFUNCTION("""COMPUTED_VALUE"""),"DB")</f>
        <v>DB</v>
      </c>
      <c r="G42" s="3">
        <f>IFERROR(__xludf.DUMMYFUNCTION("""COMPUTED_VALUE"""),1.865459491300001E8)</f>
        <v>186545949.1</v>
      </c>
      <c r="H42" s="14"/>
      <c r="I42" s="14" t="str">
        <f>IFERROR(__xludf.DUMMYFUNCTION("""COMPUTED_VALUE"""),"EXSPEDISI")</f>
        <v>EXSPEDISI</v>
      </c>
      <c r="J42" s="3"/>
    </row>
    <row r="43">
      <c r="A43" s="14">
        <f>IFERROR(__xludf.DUMMYFUNCTION("""COMPUTED_VALUE"""),44941.0)</f>
        <v>44941</v>
      </c>
      <c r="B43" s="14" t="str">
        <f>IFERROR(__xludf.DUMMYFUNCTION("""COMPUTED_VALUE"""),"TRSF E-BANKING DB")</f>
        <v>TRSF E-BANKING DB</v>
      </c>
      <c r="C43" s="14" t="str">
        <f>IFERROR(__xludf.DUMMYFUNCTION("""COMPUTED_VALUE"""),"TRSF E-BANKING DB 1501/FTSCY/WS95031 1800000.00 MUJIANTO")</f>
        <v>TRSF E-BANKING DB 1501/FTSCY/WS95031 1800000.00 MUJIANTO</v>
      </c>
      <c r="D43" s="3">
        <f>IFERROR(__xludf.DUMMYFUNCTION("""COMPUTED_VALUE"""),1800000.0)</f>
        <v>1800000</v>
      </c>
      <c r="E43" s="14"/>
      <c r="F43" s="14" t="str">
        <f>IFERROR(__xludf.DUMMYFUNCTION("""COMPUTED_VALUE"""),"DB")</f>
        <v>DB</v>
      </c>
      <c r="G43" s="3">
        <f>IFERROR(__xludf.DUMMYFUNCTION("""COMPUTED_VALUE"""),3394149.1300001144)</f>
        <v>3394149.13</v>
      </c>
      <c r="H43" s="14"/>
      <c r="I43" s="14" t="str">
        <f>IFERROR(__xludf.DUMMYFUNCTION("""COMPUTED_VALUE"""),"EXSPEDISI")</f>
        <v>EXSPEDISI</v>
      </c>
      <c r="J43" s="3"/>
    </row>
    <row r="44">
      <c r="A44" s="14">
        <f>IFERROR(__xludf.DUMMYFUNCTION("""COMPUTED_VALUE"""),44941.0)</f>
        <v>44941</v>
      </c>
      <c r="B44" s="14" t="str">
        <f>IFERROR(__xludf.DUMMYFUNCTION("""COMPUTED_VALUE"""),"TRSF E-BANKING DB")</f>
        <v>TRSF E-BANKING DB</v>
      </c>
      <c r="C44" s="14" t="str">
        <f>IFERROR(__xludf.DUMMYFUNCTION("""COMPUTED_VALUE"""),"TRSF E-BANKING DB 1501/FTSCY/WS95031 3050400.00 krg 15 jt EKO SETIYAWAN")</f>
        <v>TRSF E-BANKING DB 1501/FTSCY/WS95031 3050400.00 krg 15 jt EKO SETIYAWAN</v>
      </c>
      <c r="D44" s="3">
        <f>IFERROR(__xludf.DUMMYFUNCTION("""COMPUTED_VALUE"""),3050400.0)</f>
        <v>3050400</v>
      </c>
      <c r="E44" s="14"/>
      <c r="F44" s="14" t="str">
        <f>IFERROR(__xludf.DUMMYFUNCTION("""COMPUTED_VALUE"""),"DB")</f>
        <v>DB</v>
      </c>
      <c r="G44" s="3">
        <f>IFERROR(__xludf.DUMMYFUNCTION("""COMPUTED_VALUE"""),343749.13000011444)</f>
        <v>343749.13</v>
      </c>
      <c r="H44" s="14"/>
      <c r="I44" s="14" t="str">
        <f>IFERROR(__xludf.DUMMYFUNCTION("""COMPUTED_VALUE"""),"EXSPEDISI")</f>
        <v>EXSPEDISI</v>
      </c>
      <c r="J44" s="3"/>
    </row>
    <row r="45">
      <c r="A45" s="14">
        <f>IFERROR(__xludf.DUMMYFUNCTION("""COMPUTED_VALUE"""),44942.0)</f>
        <v>44942</v>
      </c>
      <c r="B45" s="14" t="str">
        <f>IFERROR(__xludf.DUMMYFUNCTION("""COMPUTED_VALUE"""),"TRSF E-BANKING DB")</f>
        <v>TRSF E-BANKING DB</v>
      </c>
      <c r="C45" s="14" t="str">
        <f>IFERROR(__xludf.DUMMYFUNCTION("""COMPUTED_VALUE"""),"TRSF E-BANKING DB 1601/FTSCY/WS95271 15000000.00 EKO SETIYAWAN")</f>
        <v>TRSF E-BANKING DB 1601/FTSCY/WS95271 15000000.00 EKO SETIYAWAN</v>
      </c>
      <c r="D45" s="3">
        <f>IFERROR(__xludf.DUMMYFUNCTION("""COMPUTED_VALUE"""),1.5E7)</f>
        <v>15000000</v>
      </c>
      <c r="E45" s="14"/>
      <c r="F45" s="14" t="str">
        <f>IFERROR(__xludf.DUMMYFUNCTION("""COMPUTED_VALUE"""),"DB")</f>
        <v>DB</v>
      </c>
      <c r="G45" s="3">
        <f>IFERROR(__xludf.DUMMYFUNCTION("""COMPUTED_VALUE"""),1.1919782513000011E8)</f>
        <v>119197825.1</v>
      </c>
      <c r="H45" s="14"/>
      <c r="I45" s="14" t="str">
        <f>IFERROR(__xludf.DUMMYFUNCTION("""COMPUTED_VALUE"""),"EXSPEDISI")</f>
        <v>EXSPEDISI</v>
      </c>
      <c r="J45" s="3"/>
    </row>
    <row r="46">
      <c r="A46" s="14">
        <f>IFERROR(__xludf.DUMMYFUNCTION("""COMPUTED_VALUE"""),44943.0)</f>
        <v>44943</v>
      </c>
      <c r="B46" s="14" t="str">
        <f>IFERROR(__xludf.DUMMYFUNCTION("""COMPUTED_VALUE"""),"TRSF E-BANKING DB")</f>
        <v>TRSF E-BANKING DB</v>
      </c>
      <c r="C46" s="14" t="str">
        <f>IFERROR(__xludf.DUMMYFUNCTION("""COMPUTED_VALUE"""),"TRSF E-BANKING DB 1701/FTSCY/WS95031 2252350.00 HERMAWAN")</f>
        <v>TRSF E-BANKING DB 1701/FTSCY/WS95031 2252350.00 HERMAWAN</v>
      </c>
      <c r="D46" s="3">
        <f>IFERROR(__xludf.DUMMYFUNCTION("""COMPUTED_VALUE"""),2252350.0)</f>
        <v>2252350</v>
      </c>
      <c r="E46" s="14"/>
      <c r="F46" s="14" t="str">
        <f>IFERROR(__xludf.DUMMYFUNCTION("""COMPUTED_VALUE"""),"DB")</f>
        <v>DB</v>
      </c>
      <c r="G46" s="3">
        <f>IFERROR(__xludf.DUMMYFUNCTION("""COMPUTED_VALUE"""),1.3498775130000114E7)</f>
        <v>13498775.13</v>
      </c>
      <c r="H46" s="14"/>
      <c r="I46" s="14" t="str">
        <f>IFERROR(__xludf.DUMMYFUNCTION("""COMPUTED_VALUE"""),"EXSPEDISI")</f>
        <v>EXSPEDISI</v>
      </c>
      <c r="J46" s="3"/>
    </row>
    <row r="47">
      <c r="A47" s="14">
        <f>IFERROR(__xludf.DUMMYFUNCTION("""COMPUTED_VALUE"""),44943.0)</f>
        <v>44943</v>
      </c>
      <c r="B47" s="14" t="str">
        <f>IFERROR(__xludf.DUMMYFUNCTION("""COMPUTED_VALUE"""),"TRSF E-BANKING DB")</f>
        <v>TRSF E-BANKING DB</v>
      </c>
      <c r="C47" s="14" t="str">
        <f>IFERROR(__xludf.DUMMYFUNCTION("""COMPUTED_VALUE"""),"TRSF E-BANKING DB 1701/FTSCY/WS95031 2264300.00 pasuruan trijaya MUJIANTO")</f>
        <v>TRSF E-BANKING DB 1701/FTSCY/WS95031 2264300.00 pasuruan trijaya MUJIANTO</v>
      </c>
      <c r="D47" s="3">
        <f>IFERROR(__xludf.DUMMYFUNCTION("""COMPUTED_VALUE"""),2264300.0)</f>
        <v>2264300</v>
      </c>
      <c r="E47" s="14"/>
      <c r="F47" s="14" t="str">
        <f>IFERROR(__xludf.DUMMYFUNCTION("""COMPUTED_VALUE"""),"DB")</f>
        <v>DB</v>
      </c>
      <c r="G47" s="3">
        <f>IFERROR(__xludf.DUMMYFUNCTION("""COMPUTED_VALUE"""),1.1234475130000114E7)</f>
        <v>11234475.13</v>
      </c>
      <c r="H47" s="14"/>
      <c r="I47" s="14" t="str">
        <f>IFERROR(__xludf.DUMMYFUNCTION("""COMPUTED_VALUE"""),"EXSPEDISI")</f>
        <v>EXSPEDISI</v>
      </c>
      <c r="J47" s="3"/>
    </row>
    <row r="48">
      <c r="A48" s="14">
        <f>IFERROR(__xludf.DUMMYFUNCTION("""COMPUTED_VALUE"""),44943.0)</f>
        <v>44943</v>
      </c>
      <c r="B48" s="14" t="str">
        <f>IFERROR(__xludf.DUMMYFUNCTION("""COMPUTED_VALUE"""),"TRSF E-BANKING DB")</f>
        <v>TRSF E-BANKING DB</v>
      </c>
      <c r="C48" s="14" t="str">
        <f>IFERROR(__xludf.DUMMYFUNCTION("""COMPUTED_VALUE"""),"TRSF E-BANKING DB 1701/FTSCY/WS95031 4922900.00 lunas 15.01 EKO SETIYAWAN")</f>
        <v>TRSF E-BANKING DB 1701/FTSCY/WS95031 4922900.00 lunas 15.01 EKO SETIYAWAN</v>
      </c>
      <c r="D48" s="3">
        <f>IFERROR(__xludf.DUMMYFUNCTION("""COMPUTED_VALUE"""),4922900.0)</f>
        <v>4922900</v>
      </c>
      <c r="E48" s="14"/>
      <c r="F48" s="14" t="str">
        <f>IFERROR(__xludf.DUMMYFUNCTION("""COMPUTED_VALUE"""),"DB")</f>
        <v>DB</v>
      </c>
      <c r="G48" s="3">
        <f>IFERROR(__xludf.DUMMYFUNCTION("""COMPUTED_VALUE"""),6311575.130000114)</f>
        <v>6311575.13</v>
      </c>
      <c r="H48" s="14"/>
      <c r="I48" s="14" t="str">
        <f>IFERROR(__xludf.DUMMYFUNCTION("""COMPUTED_VALUE"""),"EXSPEDISI")</f>
        <v>EXSPEDISI</v>
      </c>
      <c r="J48" s="3"/>
    </row>
    <row r="49">
      <c r="A49" s="14">
        <f>IFERROR(__xludf.DUMMYFUNCTION("""COMPUTED_VALUE"""),44943.0)</f>
        <v>44943</v>
      </c>
      <c r="B49" s="14" t="str">
        <f>IFERROR(__xludf.DUMMYFUNCTION("""COMPUTED_VALUE"""),"TRSF E-BANKING DB")</f>
        <v>TRSF E-BANKING DB</v>
      </c>
      <c r="C49" s="14" t="str">
        <f>IFERROR(__xludf.DUMMYFUNCTION("""COMPUTED_VALUE"""),"TRSF E-BANKING DB 1701/FTSCY/WS95031 2131500.00 pelunasan EKO SETIYAWAN")</f>
        <v>TRSF E-BANKING DB 1701/FTSCY/WS95031 2131500.00 pelunasan EKO SETIYAWAN</v>
      </c>
      <c r="D49" s="3">
        <f>IFERROR(__xludf.DUMMYFUNCTION("""COMPUTED_VALUE"""),2131500.0)</f>
        <v>2131500</v>
      </c>
      <c r="E49" s="14"/>
      <c r="F49" s="14" t="str">
        <f>IFERROR(__xludf.DUMMYFUNCTION("""COMPUTED_VALUE"""),"DB")</f>
        <v>DB</v>
      </c>
      <c r="G49" s="3">
        <f>IFERROR(__xludf.DUMMYFUNCTION("""COMPUTED_VALUE"""),4180075.1300001144)</f>
        <v>4180075.13</v>
      </c>
      <c r="H49" s="14"/>
      <c r="I49" s="14" t="str">
        <f>IFERROR(__xludf.DUMMYFUNCTION("""COMPUTED_VALUE"""),"EXSPEDISI")</f>
        <v>EXSPEDISI</v>
      </c>
      <c r="J49" s="3"/>
    </row>
    <row r="50">
      <c r="A50" s="14">
        <f>IFERROR(__xludf.DUMMYFUNCTION("""COMPUTED_VALUE"""),44944.0)</f>
        <v>44944</v>
      </c>
      <c r="B50" s="14" t="str">
        <f>IFERROR(__xludf.DUMMYFUNCTION("""COMPUTED_VALUE"""),"TRSF E-BANKING DB")</f>
        <v>TRSF E-BANKING DB</v>
      </c>
      <c r="C50" s="14" t="str">
        <f>IFERROR(__xludf.DUMMYFUNCTION("""COMPUTED_VALUE"""),"TRSF E-BANKING DB 1801/FTSCY/WS95031 4878700.00 lunas HERMAWAN")</f>
        <v>TRSF E-BANKING DB 1801/FTSCY/WS95031 4878700.00 lunas HERMAWAN</v>
      </c>
      <c r="D50" s="3">
        <f>IFERROR(__xludf.DUMMYFUNCTION("""COMPUTED_VALUE"""),4878700.0)</f>
        <v>4878700</v>
      </c>
      <c r="E50" s="14"/>
      <c r="F50" s="14" t="str">
        <f>IFERROR(__xludf.DUMMYFUNCTION("""COMPUTED_VALUE"""),"DB")</f>
        <v>DB</v>
      </c>
      <c r="G50" s="3">
        <f>IFERROR(__xludf.DUMMYFUNCTION("""COMPUTED_VALUE"""),3.238755751300001E8)</f>
        <v>323875575.1</v>
      </c>
      <c r="H50" s="14"/>
      <c r="I50" s="14" t="str">
        <f>IFERROR(__xludf.DUMMYFUNCTION("""COMPUTED_VALUE"""),"EXSPEDISI")</f>
        <v>EXSPEDISI</v>
      </c>
      <c r="J50" s="3"/>
    </row>
    <row r="51">
      <c r="A51" s="14">
        <f>IFERROR(__xludf.DUMMYFUNCTION("""COMPUTED_VALUE"""),44944.0)</f>
        <v>44944</v>
      </c>
      <c r="B51" s="14" t="str">
        <f>IFERROR(__xludf.DUMMYFUNCTION("""COMPUTED_VALUE"""),"TRSF E-BANKING DB")</f>
        <v>TRSF E-BANKING DB</v>
      </c>
      <c r="C51" s="14" t="str">
        <f>IFERROR(__xludf.DUMMYFUNCTION("""COMPUTED_VALUE"""),"TRSF E-BANKING DB 1801/FTSCY/WS95031 4622240.00 lunas MUJIANTO")</f>
        <v>TRSF E-BANKING DB 1801/FTSCY/WS95031 4622240.00 lunas MUJIANTO</v>
      </c>
      <c r="D51" s="3">
        <f>IFERROR(__xludf.DUMMYFUNCTION("""COMPUTED_VALUE"""),4622240.0)</f>
        <v>4622240</v>
      </c>
      <c r="E51" s="14"/>
      <c r="F51" s="14" t="str">
        <f>IFERROR(__xludf.DUMMYFUNCTION("""COMPUTED_VALUE"""),"DB")</f>
        <v>DB</v>
      </c>
      <c r="G51" s="3">
        <f>IFERROR(__xludf.DUMMYFUNCTION("""COMPUTED_VALUE"""),3.192533351300001E8)</f>
        <v>319253335.1</v>
      </c>
      <c r="H51" s="14"/>
      <c r="I51" s="14" t="str">
        <f>IFERROR(__xludf.DUMMYFUNCTION("""COMPUTED_VALUE"""),"EXSPEDISI")</f>
        <v>EXSPEDISI</v>
      </c>
      <c r="J51" s="3"/>
    </row>
    <row r="52">
      <c r="A52" s="14">
        <f>IFERROR(__xludf.DUMMYFUNCTION("""COMPUTED_VALUE"""),44944.0)</f>
        <v>44944</v>
      </c>
      <c r="B52" s="14" t="str">
        <f>IFERROR(__xludf.DUMMYFUNCTION("""COMPUTED_VALUE"""),"TRSF E-BANKING DB")</f>
        <v>TRSF E-BANKING DB</v>
      </c>
      <c r="C52" s="14" t="str">
        <f>IFERROR(__xludf.DUMMYFUNCTION("""COMPUTED_VALUE"""),"TRSF E-BANKING DB 1801/FTSCY/WS95031 6002400.00 krg 9.9 jt EKO SETIYAWAN")</f>
        <v>TRSF E-BANKING DB 1801/FTSCY/WS95031 6002400.00 krg 9.9 jt EKO SETIYAWAN</v>
      </c>
      <c r="D52" s="3">
        <f>IFERROR(__xludf.DUMMYFUNCTION("""COMPUTED_VALUE"""),6002400.0)</f>
        <v>6002400</v>
      </c>
      <c r="E52" s="14"/>
      <c r="F52" s="14" t="str">
        <f>IFERROR(__xludf.DUMMYFUNCTION("""COMPUTED_VALUE"""),"DB")</f>
        <v>DB</v>
      </c>
      <c r="G52" s="3">
        <f>IFERROR(__xludf.DUMMYFUNCTION("""COMPUTED_VALUE"""),149235.13000011444)</f>
        <v>149235.13</v>
      </c>
      <c r="H52" s="14"/>
      <c r="I52" s="14" t="str">
        <f>IFERROR(__xludf.DUMMYFUNCTION("""COMPUTED_VALUE"""),"EXSPEDISI")</f>
        <v>EXSPEDISI</v>
      </c>
      <c r="J52" s="3"/>
    </row>
    <row r="53">
      <c r="A53" s="14">
        <f>IFERROR(__xludf.DUMMYFUNCTION("""COMPUTED_VALUE"""),44945.0)</f>
        <v>44945</v>
      </c>
      <c r="B53" s="14" t="str">
        <f>IFERROR(__xludf.DUMMYFUNCTION("""COMPUTED_VALUE"""),"TRSF E-BANKING DB")</f>
        <v>TRSF E-BANKING DB</v>
      </c>
      <c r="C53" s="14" t="str">
        <f>IFERROR(__xludf.DUMMYFUNCTION("""COMPUTED_VALUE"""),"TRSF E-BANKING DB 1901/FTSCY/WS95271 9900000.00 lunas EKO SETIYAWAN")</f>
        <v>TRSF E-BANKING DB 1901/FTSCY/WS95271 9900000.00 lunas EKO SETIYAWAN</v>
      </c>
      <c r="D53" s="3">
        <f>IFERROR(__xludf.DUMMYFUNCTION("""COMPUTED_VALUE"""),9900000.0)</f>
        <v>9900000</v>
      </c>
      <c r="E53" s="14"/>
      <c r="F53" s="14" t="str">
        <f>IFERROR(__xludf.DUMMYFUNCTION("""COMPUTED_VALUE"""),"DB")</f>
        <v>DB</v>
      </c>
      <c r="G53" s="3">
        <f>IFERROR(__xludf.DUMMYFUNCTION("""COMPUTED_VALUE"""),4265295.130000114)</f>
        <v>4265295.13</v>
      </c>
      <c r="H53" s="14"/>
      <c r="I53" s="14" t="str">
        <f>IFERROR(__xludf.DUMMYFUNCTION("""COMPUTED_VALUE"""),"EXSPEDISI")</f>
        <v>EXSPEDISI</v>
      </c>
      <c r="J53" s="3"/>
    </row>
    <row r="54">
      <c r="A54" s="14">
        <f>IFERROR(__xludf.DUMMYFUNCTION("""COMPUTED_VALUE"""),44946.0)</f>
        <v>44946</v>
      </c>
      <c r="B54" s="14" t="str">
        <f>IFERROR(__xludf.DUMMYFUNCTION("""COMPUTED_VALUE"""),"TRSF E-BANKING DB")</f>
        <v>TRSF E-BANKING DB</v>
      </c>
      <c r="C54" s="14" t="str">
        <f>IFERROR(__xludf.DUMMYFUNCTION("""COMPUTED_VALUE"""),"TRSF E-BANKING DB 2001/FTSCY/WS95031 1755360.00 bojonegoro sidoray a HERMAWAN")</f>
        <v>TRSF E-BANKING DB 2001/FTSCY/WS95031 1755360.00 bojonegoro sidoray a HERMAWAN</v>
      </c>
      <c r="D54" s="3">
        <f>IFERROR(__xludf.DUMMYFUNCTION("""COMPUTED_VALUE"""),1755360.0)</f>
        <v>1755360</v>
      </c>
      <c r="E54" s="14"/>
      <c r="F54" s="14" t="str">
        <f>IFERROR(__xludf.DUMMYFUNCTION("""COMPUTED_VALUE"""),"DB")</f>
        <v>DB</v>
      </c>
      <c r="G54" s="3">
        <f>IFERROR(__xludf.DUMMYFUNCTION("""COMPUTED_VALUE"""),4.2882605130000114E7)</f>
        <v>42882605.13</v>
      </c>
      <c r="H54" s="14"/>
      <c r="I54" s="14" t="str">
        <f>IFERROR(__xludf.DUMMYFUNCTION("""COMPUTED_VALUE"""),"EXSPEDISI")</f>
        <v>EXSPEDISI</v>
      </c>
      <c r="J54" s="3"/>
    </row>
    <row r="55">
      <c r="A55" s="14">
        <f>IFERROR(__xludf.DUMMYFUNCTION("""COMPUTED_VALUE"""),44946.0)</f>
        <v>44946</v>
      </c>
      <c r="B55" s="14" t="str">
        <f>IFERROR(__xludf.DUMMYFUNCTION("""COMPUTED_VALUE"""),"TRSF E-BANKING DB")</f>
        <v>TRSF E-BANKING DB</v>
      </c>
      <c r="C55" s="14" t="str">
        <f>IFERROR(__xludf.DUMMYFUNCTION("""COMPUTED_VALUE"""),"TRSF E-BANKING DB 2001/FTSCY/WS95031 2153500.00 EKO SETIYAWAN")</f>
        <v>TRSF E-BANKING DB 2001/FTSCY/WS95031 2153500.00 EKO SETIYAWAN</v>
      </c>
      <c r="D55" s="3">
        <f>IFERROR(__xludf.DUMMYFUNCTION("""COMPUTED_VALUE"""),2153500.0)</f>
        <v>2153500</v>
      </c>
      <c r="E55" s="14"/>
      <c r="F55" s="14" t="str">
        <f>IFERROR(__xludf.DUMMYFUNCTION("""COMPUTED_VALUE"""),"DB")</f>
        <v>DB</v>
      </c>
      <c r="G55" s="3">
        <f>IFERROR(__xludf.DUMMYFUNCTION("""COMPUTED_VALUE"""),4.0729105130000114E7)</f>
        <v>40729105.13</v>
      </c>
      <c r="H55" s="14"/>
      <c r="I55" s="14" t="str">
        <f>IFERROR(__xludf.DUMMYFUNCTION("""COMPUTED_VALUE"""),"EXSPEDISI")</f>
        <v>EXSPEDISI</v>
      </c>
      <c r="J55" s="3"/>
    </row>
    <row r="56">
      <c r="A56" s="14">
        <f>IFERROR(__xludf.DUMMYFUNCTION("""COMPUTED_VALUE"""),44948.0)</f>
        <v>44948</v>
      </c>
      <c r="B56" s="14" t="str">
        <f>IFERROR(__xludf.DUMMYFUNCTION("""COMPUTED_VALUE"""),"TRSF E-BANKING DB")</f>
        <v>TRSF E-BANKING DB</v>
      </c>
      <c r="C56" s="14" t="str">
        <f>IFERROR(__xludf.DUMMYFUNCTION("""COMPUTED_VALUE"""),"TRSF E-BANKING DB 2201/FTSCY/WS95031 1000000.00 MUJIANTO")</f>
        <v>TRSF E-BANKING DB 2201/FTSCY/WS95031 1000000.00 MUJIANTO</v>
      </c>
      <c r="D56" s="3">
        <f>IFERROR(__xludf.DUMMYFUNCTION("""COMPUTED_VALUE"""),1000000.0)</f>
        <v>1000000</v>
      </c>
      <c r="E56" s="14"/>
      <c r="F56" s="14" t="str">
        <f>IFERROR(__xludf.DUMMYFUNCTION("""COMPUTED_VALUE"""),"DB")</f>
        <v>DB</v>
      </c>
      <c r="G56" s="3">
        <f>IFERROR(__xludf.DUMMYFUNCTION("""COMPUTED_VALUE"""),4.0049785130000114E7)</f>
        <v>40049785.13</v>
      </c>
      <c r="H56" s="14"/>
      <c r="I56" s="14" t="str">
        <f>IFERROR(__xludf.DUMMYFUNCTION("""COMPUTED_VALUE"""),"EXSPEDISI")</f>
        <v>EXSPEDISI</v>
      </c>
      <c r="J56" s="3"/>
    </row>
    <row r="57">
      <c r="A57" s="14">
        <f>IFERROR(__xludf.DUMMYFUNCTION("""COMPUTED_VALUE"""),44948.0)</f>
        <v>44948</v>
      </c>
      <c r="B57" s="14" t="str">
        <f>IFERROR(__xludf.DUMMYFUNCTION("""COMPUTED_VALUE"""),"TRSF E-BANKING DB")</f>
        <v>TRSF E-BANKING DB</v>
      </c>
      <c r="C57" s="14" t="str">
        <f>IFERROR(__xludf.DUMMYFUNCTION("""COMPUTED_VALUE"""),"TRSF E-BANKING DB 2201/FTSCY/WS95031 5830900.00 EKO SETIYAWAN")</f>
        <v>TRSF E-BANKING DB 2201/FTSCY/WS95031 5830900.00 EKO SETIYAWAN</v>
      </c>
      <c r="D57" s="3">
        <f>IFERROR(__xludf.DUMMYFUNCTION("""COMPUTED_VALUE"""),5830900.0)</f>
        <v>5830900</v>
      </c>
      <c r="E57" s="14"/>
      <c r="F57" s="14" t="str">
        <f>IFERROR(__xludf.DUMMYFUNCTION("""COMPUTED_VALUE"""),"DB")</f>
        <v>DB</v>
      </c>
      <c r="G57" s="3">
        <f>IFERROR(__xludf.DUMMYFUNCTION("""COMPUTED_VALUE"""),3.4218885130000114E7)</f>
        <v>34218885.13</v>
      </c>
      <c r="H57" s="14"/>
      <c r="I57" s="14" t="str">
        <f>IFERROR(__xludf.DUMMYFUNCTION("""COMPUTED_VALUE"""),"EXSPEDISI")</f>
        <v>EXSPEDISI</v>
      </c>
      <c r="J57" s="3"/>
    </row>
    <row r="58">
      <c r="A58" s="14">
        <f>IFERROR(__xludf.DUMMYFUNCTION("""COMPUTED_VALUE"""),44950.0)</f>
        <v>44950</v>
      </c>
      <c r="B58" s="14" t="str">
        <f>IFERROR(__xludf.DUMMYFUNCTION("""COMPUTED_VALUE"""),"TRSF E-BANKING DB TANGGAL :23/01")</f>
        <v>TRSF E-BANKING DB TANGGAL :23/01</v>
      </c>
      <c r="C58" s="14" t="str">
        <f>IFERROR(__xludf.DUMMYFUNCTION("""COMPUTED_VALUE"""),"TRSF E-BANKING DB TANGGAL :23/01 2301/FTSCY/WS95031 magetan nganjuk MUJIANTO")</f>
        <v>TRSF E-BANKING DB TANGGAL :23/01 2301/FTSCY/WS95031 magetan nganjuk MUJIANTO</v>
      </c>
      <c r="D58" s="3">
        <f>IFERROR(__xludf.DUMMYFUNCTION("""COMPUTED_VALUE"""),2588000.0)</f>
        <v>2588000</v>
      </c>
      <c r="E58" s="14"/>
      <c r="F58" s="14" t="str">
        <f>IFERROR(__xludf.DUMMYFUNCTION("""COMPUTED_VALUE"""),"DB")</f>
        <v>DB</v>
      </c>
      <c r="G58" s="3">
        <f>IFERROR(__xludf.DUMMYFUNCTION("""COMPUTED_VALUE"""),2.2816635130000114E7)</f>
        <v>22816635.13</v>
      </c>
      <c r="H58" s="14"/>
      <c r="I58" s="14" t="str">
        <f>IFERROR(__xludf.DUMMYFUNCTION("""COMPUTED_VALUE"""),"EXSPEDISI")</f>
        <v>EXSPEDISI</v>
      </c>
      <c r="J58" s="3"/>
    </row>
    <row r="59">
      <c r="A59" s="14">
        <f>IFERROR(__xludf.DUMMYFUNCTION("""COMPUTED_VALUE"""),44950.0)</f>
        <v>44950</v>
      </c>
      <c r="B59" s="14" t="str">
        <f>IFERROR(__xludf.DUMMYFUNCTION("""COMPUTED_VALUE"""),"TRSF E-BANKING DB TANGGAL :23/01")</f>
        <v>TRSF E-BANKING DB TANGGAL :23/01</v>
      </c>
      <c r="C59" s="14" t="str">
        <f>IFERROR(__xludf.DUMMYFUNCTION("""COMPUTED_VALUE"""),"TRSF E-BANKING DB TANGGAL :23/01 2301/FTSCY/WS95031 EKO SETIYAWAN")</f>
        <v>TRSF E-BANKING DB TANGGAL :23/01 2301/FTSCY/WS95031 EKO SETIYAWAN</v>
      </c>
      <c r="D59" s="3">
        <f>IFERROR(__xludf.DUMMYFUNCTION("""COMPUTED_VALUE"""),3795000.0)</f>
        <v>3795000</v>
      </c>
      <c r="E59" s="14"/>
      <c r="F59" s="14" t="str">
        <f>IFERROR(__xludf.DUMMYFUNCTION("""COMPUTED_VALUE"""),"DB")</f>
        <v>DB</v>
      </c>
      <c r="G59" s="3">
        <f>IFERROR(__xludf.DUMMYFUNCTION("""COMPUTED_VALUE"""),1.9021635130000114E7)</f>
        <v>19021635.13</v>
      </c>
      <c r="H59" s="14"/>
      <c r="I59" s="14" t="str">
        <f>IFERROR(__xludf.DUMMYFUNCTION("""COMPUTED_VALUE"""),"EXSPEDISI")</f>
        <v>EXSPEDISI</v>
      </c>
      <c r="J59" s="3"/>
    </row>
    <row r="60">
      <c r="A60" s="14">
        <f>IFERROR(__xludf.DUMMYFUNCTION("""COMPUTED_VALUE"""),44951.0)</f>
        <v>44951</v>
      </c>
      <c r="B60" s="14" t="str">
        <f>IFERROR(__xludf.DUMMYFUNCTION("""COMPUTED_VALUE"""),"TRSF E-BANKING DB")</f>
        <v>TRSF E-BANKING DB</v>
      </c>
      <c r="C60" s="14" t="str">
        <f>IFERROR(__xludf.DUMMYFUNCTION("""COMPUTED_VALUE"""),"TRSF E-BANKING DB 2501/FTSCY/WS95031 1323420.00 HERMAWAN")</f>
        <v>TRSF E-BANKING DB 2501/FTSCY/WS95031 1323420.00 HERMAWAN</v>
      </c>
      <c r="D60" s="3">
        <f>IFERROR(__xludf.DUMMYFUNCTION("""COMPUTED_VALUE"""),1323420.0)</f>
        <v>1323420</v>
      </c>
      <c r="E60" s="14"/>
      <c r="F60" s="14" t="str">
        <f>IFERROR(__xludf.DUMMYFUNCTION("""COMPUTED_VALUE"""),"DB")</f>
        <v>DB</v>
      </c>
      <c r="G60" s="3">
        <f>IFERROR(__xludf.DUMMYFUNCTION("""COMPUTED_VALUE"""),3.4127465130000114E7)</f>
        <v>34127465.13</v>
      </c>
      <c r="H60" s="14"/>
      <c r="I60" s="14" t="str">
        <f>IFERROR(__xludf.DUMMYFUNCTION("""COMPUTED_VALUE"""),"EXSPEDISI")</f>
        <v>EXSPEDISI</v>
      </c>
      <c r="J60" s="3"/>
    </row>
    <row r="61">
      <c r="A61" s="14">
        <f>IFERROR(__xludf.DUMMYFUNCTION("""COMPUTED_VALUE"""),44951.0)</f>
        <v>44951</v>
      </c>
      <c r="B61" s="14" t="str">
        <f>IFERROR(__xludf.DUMMYFUNCTION("""COMPUTED_VALUE"""),"TRSF E-BANKING DB")</f>
        <v>TRSF E-BANKING DB</v>
      </c>
      <c r="C61" s="14" t="str">
        <f>IFERROR(__xludf.DUMMYFUNCTION("""COMPUTED_VALUE"""),"TRSF E-BANKING DB 2501/FTSCY/WS95031 4141100.00 EKO SETIYAWAN")</f>
        <v>TRSF E-BANKING DB 2501/FTSCY/WS95031 4141100.00 EKO SETIYAWAN</v>
      </c>
      <c r="D61" s="3">
        <f>IFERROR(__xludf.DUMMYFUNCTION("""COMPUTED_VALUE"""),4141100.0)</f>
        <v>4141100</v>
      </c>
      <c r="E61" s="14"/>
      <c r="F61" s="14" t="str">
        <f>IFERROR(__xludf.DUMMYFUNCTION("""COMPUTED_VALUE"""),"DB")</f>
        <v>DB</v>
      </c>
      <c r="G61" s="3">
        <f>IFERROR(__xludf.DUMMYFUNCTION("""COMPUTED_VALUE"""),2.9986365130000114E7)</f>
        <v>29986365.13</v>
      </c>
      <c r="H61" s="14"/>
      <c r="I61" s="14" t="str">
        <f>IFERROR(__xludf.DUMMYFUNCTION("""COMPUTED_VALUE"""),"EXSPEDISI")</f>
        <v>EXSPEDISI</v>
      </c>
      <c r="J61" s="3"/>
    </row>
    <row r="62">
      <c r="A62" s="14">
        <f>IFERROR(__xludf.DUMMYFUNCTION("""COMPUTED_VALUE"""),44953.0)</f>
        <v>44953</v>
      </c>
      <c r="B62" s="14" t="str">
        <f>IFERROR(__xludf.DUMMYFUNCTION("""COMPUTED_VALUE"""),"TRSF E-BANKING DB TANGGAL :26/01")</f>
        <v>TRSF E-BANKING DB TANGGAL :26/01</v>
      </c>
      <c r="C62" s="14" t="str">
        <f>IFERROR(__xludf.DUMMYFUNCTION("""COMPUTED_VALUE"""),"TRSF E-BANKING DB TANGGAL :26/01 2601/FTSCY/WS95031 pelunasan MUJIANTO")</f>
        <v>TRSF E-BANKING DB TANGGAL :26/01 2601/FTSCY/WS95031 pelunasan MUJIANTO</v>
      </c>
      <c r="D62" s="3">
        <f>IFERROR(__xludf.DUMMYFUNCTION("""COMPUTED_VALUE"""),3578230.0)</f>
        <v>3578230</v>
      </c>
      <c r="E62" s="14"/>
      <c r="F62" s="14" t="str">
        <f>IFERROR(__xludf.DUMMYFUNCTION("""COMPUTED_VALUE"""),"DB")</f>
        <v>DB</v>
      </c>
      <c r="G62" s="3">
        <f>IFERROR(__xludf.DUMMYFUNCTION("""COMPUTED_VALUE"""),1.9944790130000114E7)</f>
        <v>19944790.13</v>
      </c>
      <c r="H62" s="14"/>
      <c r="I62" s="14" t="str">
        <f>IFERROR(__xludf.DUMMYFUNCTION("""COMPUTED_VALUE"""),"EXSPEDISI")</f>
        <v>EXSPEDISI</v>
      </c>
      <c r="J62" s="3"/>
    </row>
    <row r="63">
      <c r="A63" s="14">
        <f>IFERROR(__xludf.DUMMYFUNCTION("""COMPUTED_VALUE"""),44953.0)</f>
        <v>44953</v>
      </c>
      <c r="B63" s="14" t="str">
        <f>IFERROR(__xludf.DUMMYFUNCTION("""COMPUTED_VALUE"""),"TRSF E-BANKING DB TANGGAL :26/01")</f>
        <v>TRSF E-BANKING DB TANGGAL :26/01</v>
      </c>
      <c r="C63" s="14" t="str">
        <f>IFERROR(__xludf.DUMMYFUNCTION("""COMPUTED_VALUE"""),"TRSF E-BANKING DB TANGGAL :26/01 2601/FTSCY/WS95031 lunas HERMAWAN")</f>
        <v>TRSF E-BANKING DB TANGGAL :26/01 2601/FTSCY/WS95031 lunas HERMAWAN</v>
      </c>
      <c r="D63" s="3">
        <f>IFERROR(__xludf.DUMMYFUNCTION("""COMPUTED_VALUE"""),5241550.0)</f>
        <v>5241550</v>
      </c>
      <c r="E63" s="14"/>
      <c r="F63" s="14" t="str">
        <f>IFERROR(__xludf.DUMMYFUNCTION("""COMPUTED_VALUE"""),"DB")</f>
        <v>DB</v>
      </c>
      <c r="G63" s="3">
        <f>IFERROR(__xludf.DUMMYFUNCTION("""COMPUTED_VALUE"""),6.1893240130000114E7)</f>
        <v>61893240.13</v>
      </c>
      <c r="H63" s="14"/>
      <c r="I63" s="14" t="str">
        <f>IFERROR(__xludf.DUMMYFUNCTION("""COMPUTED_VALUE"""),"EXSPEDISI")</f>
        <v>EXSPEDISI</v>
      </c>
      <c r="J63" s="3"/>
    </row>
    <row r="64">
      <c r="A64" s="14">
        <f>IFERROR(__xludf.DUMMYFUNCTION("""COMPUTED_VALUE"""),44953.0)</f>
        <v>44953</v>
      </c>
      <c r="B64" s="14" t="str">
        <f>IFERROR(__xludf.DUMMYFUNCTION("""COMPUTED_VALUE"""),"TRSF E-BANKING DB")</f>
        <v>TRSF E-BANKING DB</v>
      </c>
      <c r="C64" s="14" t="str">
        <f>IFERROR(__xludf.DUMMYFUNCTION("""COMPUTED_VALUE"""),"TRSF E-BANKING DB 2701/FTSCY/WS95271 17583000.00 krg 10 jt EKO SETIYAWAN")</f>
        <v>TRSF E-BANKING DB 2701/FTSCY/WS95271 17583000.00 krg 10 jt EKO SETIYAWAN</v>
      </c>
      <c r="D64" s="3">
        <f>IFERROR(__xludf.DUMMYFUNCTION("""COMPUTED_VALUE"""),1.7583E7)</f>
        <v>17583000</v>
      </c>
      <c r="E64" s="14"/>
      <c r="F64" s="14" t="str">
        <f>IFERROR(__xludf.DUMMYFUNCTION("""COMPUTED_VALUE"""),"DB")</f>
        <v>DB</v>
      </c>
      <c r="G64" s="3">
        <f>IFERROR(__xludf.DUMMYFUNCTION("""COMPUTED_VALUE"""),2.178343101300001E8)</f>
        <v>217834310.1</v>
      </c>
      <c r="H64" s="14"/>
      <c r="I64" s="14" t="str">
        <f>IFERROR(__xludf.DUMMYFUNCTION("""COMPUTED_VALUE"""),"EXSPEDISI")</f>
        <v>EXSPEDISI</v>
      </c>
      <c r="J64" s="3"/>
    </row>
    <row r="65">
      <c r="A65" s="14">
        <f>IFERROR(__xludf.DUMMYFUNCTION("""COMPUTED_VALUE"""),44954.0)</f>
        <v>44954</v>
      </c>
      <c r="B65" s="14" t="str">
        <f>IFERROR(__xludf.DUMMYFUNCTION("""COMPUTED_VALUE"""),"TRSF E-BANKING DB")</f>
        <v>TRSF E-BANKING DB</v>
      </c>
      <c r="C65" s="14" t="str">
        <f>IFERROR(__xludf.DUMMYFUNCTION("""COMPUTED_VALUE"""),"TRSF E-BANKING DB 2801/FTSCY/WS95031 1785130.00 mlg sidoraya MUJIANTO")</f>
        <v>TRSF E-BANKING DB 2801/FTSCY/WS95031 1785130.00 mlg sidoraya MUJIANTO</v>
      </c>
      <c r="D65" s="3">
        <f>IFERROR(__xludf.DUMMYFUNCTION("""COMPUTED_VALUE"""),1785130.0)</f>
        <v>1785130</v>
      </c>
      <c r="E65" s="14"/>
      <c r="F65" s="14" t="str">
        <f>IFERROR(__xludf.DUMMYFUNCTION("""COMPUTED_VALUE"""),"DB")</f>
        <v>DB</v>
      </c>
      <c r="G65" s="3">
        <f>IFERROR(__xludf.DUMMYFUNCTION("""COMPUTED_VALUE"""),1.9078630130000114E7)</f>
        <v>19078630.13</v>
      </c>
      <c r="H65" s="14"/>
      <c r="I65" s="14" t="str">
        <f>IFERROR(__xludf.DUMMYFUNCTION("""COMPUTED_VALUE"""),"EXSPEDISI")</f>
        <v>EXSPEDISI</v>
      </c>
      <c r="J65" s="3"/>
    </row>
    <row r="66">
      <c r="A66" s="14">
        <f>IFERROR(__xludf.DUMMYFUNCTION("""COMPUTED_VALUE"""),44954.0)</f>
        <v>44954</v>
      </c>
      <c r="B66" s="14" t="str">
        <f>IFERROR(__xludf.DUMMYFUNCTION("""COMPUTED_VALUE"""),"TRSF E-BANKING DB")</f>
        <v>TRSF E-BANKING DB</v>
      </c>
      <c r="C66" s="14" t="str">
        <f>IFERROR(__xludf.DUMMYFUNCTION("""COMPUTED_VALUE"""),"TRSF E-BANKING DB 2801/FTSCY/WS95031 3808100.00 HERMAWAN")</f>
        <v>TRSF E-BANKING DB 2801/FTSCY/WS95031 3808100.00 HERMAWAN</v>
      </c>
      <c r="D66" s="3">
        <f>IFERROR(__xludf.DUMMYFUNCTION("""COMPUTED_VALUE"""),3808100.0)</f>
        <v>3808100</v>
      </c>
      <c r="E66" s="14"/>
      <c r="F66" s="14" t="str">
        <f>IFERROR(__xludf.DUMMYFUNCTION("""COMPUTED_VALUE"""),"DB")</f>
        <v>DB</v>
      </c>
      <c r="G66" s="3">
        <f>IFERROR(__xludf.DUMMYFUNCTION("""COMPUTED_VALUE"""),1.5270530130000114E7)</f>
        <v>15270530.13</v>
      </c>
      <c r="H66" s="14"/>
      <c r="I66" s="14" t="str">
        <f>IFERROR(__xludf.DUMMYFUNCTION("""COMPUTED_VALUE"""),"EXSPEDISI")</f>
        <v>EXSPEDISI</v>
      </c>
      <c r="J66" s="3"/>
    </row>
    <row r="67">
      <c r="A67" s="14">
        <f>IFERROR(__xludf.DUMMYFUNCTION("""COMPUTED_VALUE"""),44954.0)</f>
        <v>44954</v>
      </c>
      <c r="B67" s="14" t="str">
        <f>IFERROR(__xludf.DUMMYFUNCTION("""COMPUTED_VALUE"""),"TRSF E-BANKING DB")</f>
        <v>TRSF E-BANKING DB</v>
      </c>
      <c r="C67" s="14" t="str">
        <f>IFERROR(__xludf.DUMMYFUNCTION("""COMPUTED_VALUE"""),"TRSF E-BANKING DB 2801/FTSCY/WS95271 2582550.00 kdr mjk HERMAWAN")</f>
        <v>TRSF E-BANKING DB 2801/FTSCY/WS95271 2582550.00 kdr mjk HERMAWAN</v>
      </c>
      <c r="D67" s="3">
        <f>IFERROR(__xludf.DUMMYFUNCTION("""COMPUTED_VALUE"""),2582550.0)</f>
        <v>2582550</v>
      </c>
      <c r="E67" s="14"/>
      <c r="F67" s="14" t="str">
        <f>IFERROR(__xludf.DUMMYFUNCTION("""COMPUTED_VALUE"""),"DB")</f>
        <v>DB</v>
      </c>
      <c r="G67" s="3">
        <f>IFERROR(__xludf.DUMMYFUNCTION("""COMPUTED_VALUE"""),1.0033348513000011E8)</f>
        <v>100333485.1</v>
      </c>
      <c r="H67" s="14"/>
      <c r="I67" s="14" t="str">
        <f>IFERROR(__xludf.DUMMYFUNCTION("""COMPUTED_VALUE"""),"EXSPEDISI")</f>
        <v>EXSPEDISI</v>
      </c>
      <c r="J67" s="3"/>
    </row>
    <row r="68">
      <c r="A68" s="14">
        <f>IFERROR(__xludf.DUMMYFUNCTION("""COMPUTED_VALUE"""),44956.0)</f>
        <v>44956</v>
      </c>
      <c r="B68" s="14" t="str">
        <f>IFERROR(__xludf.DUMMYFUNCTION("""COMPUTED_VALUE"""),"TRSF E-BANKING DB TANGGAL :29/01")</f>
        <v>TRSF E-BANKING DB TANGGAL :29/01</v>
      </c>
      <c r="C68" s="14" t="str">
        <f>IFERROR(__xludf.DUMMYFUNCTION("""COMPUTED_VALUE"""),"TRSF E-BANKING DB TANGGAL :29/01 2901/FTSCY/WS95031 krg 5 jt EKO SETIYAWAN")</f>
        <v>TRSF E-BANKING DB TANGGAL :29/01 2901/FTSCY/WS95031 krg 5 jt EKO SETIYAWAN</v>
      </c>
      <c r="D68" s="3">
        <f>IFERROR(__xludf.DUMMYFUNCTION("""COMPUTED_VALUE"""),2.5382E7)</f>
        <v>25382000</v>
      </c>
      <c r="E68" s="14"/>
      <c r="F68" s="14" t="str">
        <f>IFERROR(__xludf.DUMMYFUNCTION("""COMPUTED_VALUE"""),"DB")</f>
        <v>DB</v>
      </c>
      <c r="G68" s="3">
        <f>IFERROR(__xludf.DUMMYFUNCTION("""COMPUTED_VALUE"""),3659885.1300001144)</f>
        <v>3659885.13</v>
      </c>
      <c r="H68" s="14"/>
      <c r="I68" s="14" t="str">
        <f>IFERROR(__xludf.DUMMYFUNCTION("""COMPUTED_VALUE"""),"EXSPEDISI")</f>
        <v>EXSPEDISI</v>
      </c>
      <c r="J68" s="3"/>
    </row>
    <row r="69">
      <c r="A69" s="14">
        <f>IFERROR(__xludf.DUMMYFUNCTION("""COMPUTED_VALUE"""),44957.0)</f>
        <v>44957</v>
      </c>
      <c r="B69" s="14" t="str">
        <f>IFERROR(__xludf.DUMMYFUNCTION("""COMPUTED_VALUE"""),"TRSF E-BANKING DB")</f>
        <v>TRSF E-BANKING DB</v>
      </c>
      <c r="C69" s="14" t="str">
        <f>IFERROR(__xludf.DUMMYFUNCTION("""COMPUTED_VALUE"""),"TRSF E-BANKING DB 3101/FTSCY/WS95031 1453650.00 MUJIANTO")</f>
        <v>TRSF E-BANKING DB 3101/FTSCY/WS95031 1453650.00 MUJIANTO</v>
      </c>
      <c r="D69" s="3">
        <f>IFERROR(__xludf.DUMMYFUNCTION("""COMPUTED_VALUE"""),1453650.0)</f>
        <v>1453650</v>
      </c>
      <c r="E69" s="14"/>
      <c r="F69" s="14" t="str">
        <f>IFERROR(__xludf.DUMMYFUNCTION("""COMPUTED_VALUE"""),"DB")</f>
        <v>DB</v>
      </c>
      <c r="G69" s="3">
        <f>IFERROR(__xludf.DUMMYFUNCTION("""COMPUTED_VALUE"""),9058895.130000114)</f>
        <v>9058895.13</v>
      </c>
      <c r="H69" s="14"/>
      <c r="I69" s="14" t="str">
        <f>IFERROR(__xludf.DUMMYFUNCTION("""COMPUTED_VALUE"""),"EXSPEDISI")</f>
        <v>EXSPEDISI</v>
      </c>
      <c r="J69" s="3"/>
    </row>
    <row r="70">
      <c r="A70" s="14">
        <f>IFERROR(__xludf.DUMMYFUNCTION("""COMPUTED_VALUE"""),44957.0)</f>
        <v>44957</v>
      </c>
      <c r="B70" s="14" t="str">
        <f>IFERROR(__xludf.DUMMYFUNCTION("""COMPUTED_VALUE"""),"TRSF E-BANKING DB")</f>
        <v>TRSF E-BANKING DB</v>
      </c>
      <c r="C70" s="14" t="str">
        <f>IFERROR(__xludf.DUMMYFUNCTION("""COMPUTED_VALUE"""),"TRSF E-BANKING DB 3101/FTSCY/WS95031 2964500.00 sragen sidoraya HERMAWAN")</f>
        <v>TRSF E-BANKING DB 3101/FTSCY/WS95031 2964500.00 sragen sidoraya HERMAWAN</v>
      </c>
      <c r="D70" s="3">
        <f>IFERROR(__xludf.DUMMYFUNCTION("""COMPUTED_VALUE"""),2964500.0)</f>
        <v>2964500</v>
      </c>
      <c r="E70" s="14"/>
      <c r="F70" s="14" t="str">
        <f>IFERROR(__xludf.DUMMYFUNCTION("""COMPUTED_VALUE"""),"DB")</f>
        <v>DB</v>
      </c>
      <c r="G70" s="3">
        <f>IFERROR(__xludf.DUMMYFUNCTION("""COMPUTED_VALUE"""),6094395.130000114)</f>
        <v>6094395.13</v>
      </c>
      <c r="H70" s="14"/>
      <c r="I70" s="14" t="str">
        <f>IFERROR(__xludf.DUMMYFUNCTION("""COMPUTED_VALUE"""),"EXSPEDISI")</f>
        <v>EXSPEDISI</v>
      </c>
      <c r="J70" s="3"/>
    </row>
    <row r="71">
      <c r="A71" s="14">
        <f>IFERROR(__xludf.DUMMYFUNCTION("""COMPUTED_VALUE"""),44957.0)</f>
        <v>44957</v>
      </c>
      <c r="B71" s="14" t="str">
        <f>IFERROR(__xludf.DUMMYFUNCTION("""COMPUTED_VALUE"""),"TRSF E-BANKING DB")</f>
        <v>TRSF E-BANKING DB</v>
      </c>
      <c r="C71" s="14" t="str">
        <f>IFERROR(__xludf.DUMMYFUNCTION("""COMPUTED_VALUE"""),"TRSF E-BANKING DB 3101/FTSCY/WS95031 4528300.00 krg 8.750.000 EKO SETIYAWAN")</f>
        <v>TRSF E-BANKING DB 3101/FTSCY/WS95031 4528300.00 krg 8.750.000 EKO SETIYAWAN</v>
      </c>
      <c r="D71" s="3">
        <f>IFERROR(__xludf.DUMMYFUNCTION("""COMPUTED_VALUE"""),4528300.0)</f>
        <v>4528300</v>
      </c>
      <c r="E71" s="14"/>
      <c r="F71" s="14" t="str">
        <f>IFERROR(__xludf.DUMMYFUNCTION("""COMPUTED_VALUE"""),"DB")</f>
        <v>DB</v>
      </c>
      <c r="G71" s="3">
        <f>IFERROR(__xludf.DUMMYFUNCTION("""COMPUTED_VALUE"""),66095.13000011444)</f>
        <v>66095.13</v>
      </c>
      <c r="H71" s="14"/>
      <c r="I71" s="14" t="str">
        <f>IFERROR(__xludf.DUMMYFUNCTION("""COMPUTED_VALUE"""),"EXSPEDISI")</f>
        <v>EXSPEDISI</v>
      </c>
      <c r="J71" s="3"/>
    </row>
    <row r="72">
      <c r="D72" s="3"/>
      <c r="G72" s="3"/>
      <c r="J72" s="3"/>
    </row>
    <row r="73">
      <c r="D73" s="3"/>
      <c r="G73" s="3"/>
      <c r="J73" s="3"/>
    </row>
    <row r="74">
      <c r="D74" s="3"/>
      <c r="G74" s="3"/>
      <c r="J74" s="3"/>
    </row>
    <row r="75">
      <c r="D75" s="3"/>
      <c r="G75" s="3"/>
      <c r="J75" s="3"/>
    </row>
    <row r="76">
      <c r="D76" s="3"/>
      <c r="G76" s="3"/>
      <c r="J76" s="3"/>
    </row>
    <row r="77">
      <c r="D77" s="3"/>
      <c r="G77" s="3"/>
      <c r="J77" s="3"/>
    </row>
    <row r="78">
      <c r="D78" s="3"/>
      <c r="G78" s="3"/>
      <c r="J78" s="3"/>
    </row>
    <row r="79">
      <c r="D79" s="3"/>
      <c r="G79" s="3"/>
      <c r="J79" s="3"/>
    </row>
    <row r="80">
      <c r="D80" s="3"/>
      <c r="G80" s="3"/>
      <c r="J80" s="3"/>
    </row>
    <row r="81">
      <c r="D81" s="3"/>
      <c r="G81" s="3"/>
      <c r="J81" s="3"/>
    </row>
    <row r="82">
      <c r="D82" s="3"/>
      <c r="G82" s="3"/>
      <c r="J82" s="3"/>
    </row>
    <row r="83">
      <c r="D83" s="3"/>
      <c r="G83" s="3"/>
      <c r="J83" s="3"/>
    </row>
    <row r="84">
      <c r="D84" s="3"/>
      <c r="G84" s="3"/>
      <c r="J84" s="3"/>
    </row>
    <row r="85">
      <c r="D85" s="3"/>
      <c r="G85" s="3"/>
      <c r="J85" s="3"/>
    </row>
    <row r="86">
      <c r="D86" s="3"/>
      <c r="G86" s="3"/>
      <c r="J86" s="3"/>
    </row>
    <row r="87">
      <c r="D87" s="3"/>
      <c r="G87" s="3"/>
      <c r="J87" s="3"/>
    </row>
    <row r="88">
      <c r="D88" s="3"/>
      <c r="G88" s="3"/>
      <c r="J88" s="3"/>
    </row>
    <row r="89">
      <c r="D89" s="3"/>
      <c r="G89" s="3"/>
      <c r="J89" s="3"/>
    </row>
    <row r="90">
      <c r="D90" s="3"/>
      <c r="G90" s="3"/>
      <c r="J90" s="3"/>
    </row>
    <row r="91">
      <c r="D91" s="3"/>
      <c r="G91" s="3"/>
      <c r="J91" s="3"/>
    </row>
    <row r="92">
      <c r="D92" s="3"/>
      <c r="G92" s="3"/>
      <c r="J92" s="3"/>
    </row>
    <row r="93">
      <c r="D93" s="3"/>
      <c r="G93" s="3"/>
      <c r="J93" s="3"/>
    </row>
    <row r="94">
      <c r="D94" s="3"/>
      <c r="G94" s="3"/>
      <c r="J94" s="3"/>
    </row>
    <row r="95">
      <c r="D95" s="3"/>
      <c r="G95" s="3"/>
      <c r="J95" s="3"/>
    </row>
    <row r="96">
      <c r="D96" s="3"/>
      <c r="G96" s="3"/>
      <c r="J96" s="3"/>
    </row>
    <row r="97">
      <c r="D97" s="3"/>
      <c r="G97" s="3"/>
      <c r="J97" s="3"/>
    </row>
    <row r="98">
      <c r="D98" s="3"/>
      <c r="G98" s="3"/>
      <c r="J98" s="3"/>
    </row>
    <row r="99">
      <c r="D99" s="3"/>
      <c r="G99" s="3"/>
      <c r="J99" s="3"/>
    </row>
    <row r="100">
      <c r="D100" s="3"/>
      <c r="G100" s="3"/>
      <c r="J100" s="3"/>
    </row>
    <row r="101">
      <c r="D101" s="3"/>
      <c r="G101" s="3"/>
      <c r="J101" s="3"/>
    </row>
    <row r="102">
      <c r="D102" s="3"/>
      <c r="G102" s="3"/>
      <c r="J102" s="3"/>
    </row>
    <row r="103">
      <c r="D103" s="3"/>
      <c r="G103" s="3"/>
      <c r="J103" s="3"/>
    </row>
    <row r="104">
      <c r="D104" s="3"/>
      <c r="G104" s="3"/>
      <c r="J104" s="3"/>
    </row>
    <row r="105">
      <c r="D105" s="3"/>
      <c r="G105" s="3"/>
      <c r="J105" s="3"/>
    </row>
    <row r="106">
      <c r="D106" s="3"/>
      <c r="G106" s="3"/>
      <c r="J106" s="3"/>
    </row>
    <row r="107">
      <c r="D107" s="3"/>
      <c r="G107" s="3"/>
      <c r="J107" s="3"/>
    </row>
    <row r="108">
      <c r="D108" s="3"/>
      <c r="G108" s="3"/>
      <c r="J108" s="3"/>
    </row>
    <row r="109">
      <c r="D109" s="3"/>
      <c r="G109" s="3"/>
      <c r="J109" s="3"/>
    </row>
    <row r="110">
      <c r="D110" s="3"/>
      <c r="G110" s="3"/>
      <c r="J110" s="3"/>
    </row>
    <row r="111">
      <c r="D111" s="3"/>
      <c r="G111" s="3"/>
      <c r="J111" s="3"/>
    </row>
    <row r="112">
      <c r="D112" s="3"/>
      <c r="G112" s="3"/>
      <c r="J112" s="3"/>
    </row>
    <row r="113">
      <c r="D113" s="3"/>
      <c r="G113" s="3"/>
      <c r="J113" s="3"/>
    </row>
    <row r="114">
      <c r="D114" s="3"/>
      <c r="G114" s="3"/>
      <c r="J114" s="3"/>
    </row>
    <row r="115">
      <c r="D115" s="3"/>
      <c r="G115" s="3"/>
      <c r="J115" s="3"/>
    </row>
    <row r="116">
      <c r="D116" s="3"/>
      <c r="G116" s="3"/>
      <c r="J116" s="3"/>
    </row>
    <row r="117">
      <c r="D117" s="3"/>
      <c r="G117" s="3"/>
      <c r="J117" s="3"/>
    </row>
    <row r="118">
      <c r="D118" s="3"/>
      <c r="G118" s="3"/>
      <c r="J118" s="3"/>
    </row>
    <row r="119">
      <c r="D119" s="3"/>
      <c r="G119" s="3"/>
      <c r="J119" s="3"/>
    </row>
    <row r="120">
      <c r="D120" s="3"/>
      <c r="G120" s="3"/>
      <c r="J120" s="3"/>
    </row>
    <row r="121">
      <c r="D121" s="3"/>
      <c r="G121" s="3"/>
      <c r="J121" s="3"/>
    </row>
    <row r="122">
      <c r="D122" s="3"/>
      <c r="G122" s="3"/>
      <c r="J122" s="3"/>
    </row>
    <row r="123">
      <c r="D123" s="3"/>
      <c r="G123" s="3"/>
      <c r="J123" s="3"/>
    </row>
    <row r="124">
      <c r="D124" s="3"/>
      <c r="G124" s="3"/>
      <c r="J124" s="3"/>
    </row>
    <row r="125">
      <c r="D125" s="3"/>
      <c r="G125" s="3"/>
      <c r="J125" s="3"/>
    </row>
    <row r="126">
      <c r="D126" s="3"/>
      <c r="G126" s="3"/>
      <c r="J126" s="3"/>
    </row>
    <row r="127">
      <c r="D127" s="3"/>
      <c r="G127" s="3"/>
      <c r="J127" s="3"/>
    </row>
    <row r="128">
      <c r="D128" s="3"/>
      <c r="G128" s="3"/>
      <c r="J128" s="3"/>
    </row>
    <row r="129">
      <c r="D129" s="3"/>
      <c r="G129" s="3"/>
      <c r="J129" s="3"/>
    </row>
    <row r="130">
      <c r="D130" s="3"/>
      <c r="G130" s="3"/>
      <c r="J130" s="3"/>
    </row>
    <row r="131">
      <c r="D131" s="3"/>
      <c r="G131" s="3"/>
      <c r="J131" s="3"/>
    </row>
    <row r="132">
      <c r="D132" s="3"/>
      <c r="G132" s="3"/>
      <c r="J132" s="3"/>
    </row>
    <row r="133">
      <c r="D133" s="3"/>
      <c r="G133" s="3"/>
      <c r="J133" s="3"/>
    </row>
    <row r="134">
      <c r="D134" s="3"/>
      <c r="G134" s="3"/>
      <c r="J134" s="3"/>
    </row>
    <row r="135">
      <c r="D135" s="3"/>
      <c r="G135" s="3"/>
      <c r="J135" s="3"/>
    </row>
    <row r="136">
      <c r="D136" s="3"/>
      <c r="G136" s="3"/>
      <c r="J136" s="3"/>
    </row>
    <row r="137">
      <c r="D137" s="3"/>
      <c r="G137" s="3"/>
      <c r="J137" s="3"/>
    </row>
    <row r="138">
      <c r="D138" s="3"/>
      <c r="G138" s="3"/>
      <c r="J138" s="3"/>
    </row>
    <row r="139">
      <c r="D139" s="3"/>
      <c r="G139" s="3"/>
      <c r="J139" s="3"/>
    </row>
    <row r="140">
      <c r="D140" s="3"/>
      <c r="G140" s="3"/>
      <c r="J140" s="3"/>
    </row>
    <row r="141">
      <c r="D141" s="3"/>
      <c r="G141" s="3"/>
      <c r="J141" s="3"/>
    </row>
    <row r="142">
      <c r="D142" s="3"/>
      <c r="G142" s="3"/>
      <c r="J142" s="3"/>
    </row>
    <row r="143">
      <c r="D143" s="3"/>
      <c r="G143" s="3"/>
      <c r="J143" s="3"/>
    </row>
    <row r="144">
      <c r="D144" s="3"/>
      <c r="G144" s="3"/>
      <c r="J144" s="3"/>
    </row>
    <row r="145">
      <c r="D145" s="3"/>
      <c r="G145" s="3"/>
      <c r="J145" s="3"/>
    </row>
    <row r="146">
      <c r="D146" s="3"/>
      <c r="G146" s="3"/>
      <c r="J146" s="3"/>
    </row>
    <row r="147">
      <c r="D147" s="3"/>
      <c r="G147" s="3"/>
      <c r="J147" s="3"/>
    </row>
    <row r="148">
      <c r="D148" s="3"/>
      <c r="G148" s="3"/>
      <c r="J148" s="3"/>
    </row>
    <row r="149">
      <c r="D149" s="3"/>
      <c r="G149" s="3"/>
      <c r="J149" s="3"/>
    </row>
    <row r="150">
      <c r="D150" s="3"/>
      <c r="G150" s="3"/>
      <c r="J150" s="3"/>
    </row>
    <row r="151">
      <c r="D151" s="3"/>
      <c r="G151" s="3"/>
      <c r="J151" s="3"/>
    </row>
    <row r="152">
      <c r="D152" s="3"/>
      <c r="G152" s="3"/>
      <c r="J152" s="3"/>
    </row>
    <row r="153">
      <c r="D153" s="3"/>
      <c r="G153" s="3"/>
      <c r="J153" s="3"/>
    </row>
    <row r="154">
      <c r="D154" s="3"/>
      <c r="G154" s="3"/>
      <c r="J154" s="3"/>
    </row>
    <row r="155">
      <c r="D155" s="3"/>
      <c r="G155" s="3"/>
      <c r="J155" s="3"/>
    </row>
    <row r="156">
      <c r="D156" s="3"/>
      <c r="G156" s="3"/>
      <c r="J156" s="3"/>
    </row>
    <row r="157">
      <c r="D157" s="3"/>
      <c r="G157" s="3"/>
      <c r="J157" s="3"/>
    </row>
    <row r="158">
      <c r="D158" s="3"/>
      <c r="G158" s="3"/>
      <c r="J158" s="3"/>
    </row>
    <row r="159">
      <c r="D159" s="3"/>
      <c r="G159" s="3"/>
      <c r="J159" s="3"/>
    </row>
    <row r="160">
      <c r="D160" s="3"/>
      <c r="G160" s="3"/>
      <c r="J160" s="3"/>
    </row>
    <row r="161">
      <c r="D161" s="3"/>
      <c r="G161" s="3"/>
      <c r="J161" s="3"/>
    </row>
    <row r="162">
      <c r="D162" s="3"/>
      <c r="G162" s="3"/>
      <c r="J162" s="3"/>
    </row>
    <row r="163">
      <c r="D163" s="3"/>
      <c r="G163" s="3"/>
      <c r="J163" s="3"/>
    </row>
    <row r="164">
      <c r="D164" s="3"/>
      <c r="G164" s="3"/>
      <c r="J164" s="3"/>
    </row>
    <row r="165">
      <c r="D165" s="3"/>
      <c r="G165" s="3"/>
      <c r="J165" s="3"/>
    </row>
    <row r="166">
      <c r="D166" s="3"/>
      <c r="G166" s="3"/>
      <c r="J166" s="3"/>
    </row>
    <row r="167">
      <c r="D167" s="3"/>
      <c r="G167" s="3"/>
      <c r="J167" s="3"/>
    </row>
    <row r="168">
      <c r="D168" s="3"/>
      <c r="G168" s="3"/>
      <c r="J168" s="3"/>
    </row>
    <row r="169">
      <c r="D169" s="3"/>
      <c r="G169" s="3"/>
      <c r="J169" s="3"/>
    </row>
    <row r="170">
      <c r="D170" s="3"/>
      <c r="G170" s="3"/>
      <c r="J170" s="3"/>
    </row>
    <row r="171">
      <c r="D171" s="3"/>
      <c r="G171" s="3"/>
      <c r="J171" s="3"/>
    </row>
    <row r="172">
      <c r="D172" s="3"/>
      <c r="G172" s="3"/>
      <c r="J172" s="3"/>
    </row>
    <row r="173">
      <c r="D173" s="3"/>
      <c r="G173" s="3"/>
      <c r="J173" s="3"/>
    </row>
    <row r="174">
      <c r="D174" s="3"/>
      <c r="G174" s="3"/>
      <c r="J174" s="3"/>
    </row>
    <row r="175">
      <c r="D175" s="3"/>
      <c r="G175" s="3"/>
      <c r="J175" s="3"/>
    </row>
    <row r="176">
      <c r="D176" s="3"/>
      <c r="G176" s="3"/>
      <c r="J176" s="3"/>
    </row>
    <row r="177">
      <c r="D177" s="3"/>
      <c r="G177" s="3"/>
      <c r="J177" s="3"/>
    </row>
    <row r="178">
      <c r="D178" s="3"/>
      <c r="G178" s="3"/>
      <c r="J178" s="3"/>
    </row>
    <row r="179">
      <c r="D179" s="3"/>
      <c r="G179" s="3"/>
      <c r="J179" s="3"/>
    </row>
    <row r="180">
      <c r="D180" s="3"/>
      <c r="G180" s="3"/>
      <c r="J180" s="3"/>
    </row>
    <row r="181">
      <c r="D181" s="3"/>
      <c r="G181" s="3"/>
      <c r="J181" s="3"/>
    </row>
    <row r="182">
      <c r="D182" s="3"/>
      <c r="G182" s="3"/>
      <c r="J182" s="3"/>
    </row>
    <row r="183">
      <c r="D183" s="3"/>
      <c r="G183" s="3"/>
      <c r="J183" s="3"/>
    </row>
    <row r="184">
      <c r="D184" s="3"/>
      <c r="G184" s="3"/>
      <c r="J184" s="3"/>
    </row>
    <row r="185">
      <c r="D185" s="3"/>
      <c r="G185" s="3"/>
      <c r="J185" s="3"/>
    </row>
    <row r="186">
      <c r="D186" s="3"/>
      <c r="G186" s="3"/>
      <c r="J186" s="3"/>
    </row>
    <row r="187">
      <c r="D187" s="3"/>
      <c r="G187" s="3"/>
      <c r="J187" s="3"/>
    </row>
    <row r="188">
      <c r="D188" s="3"/>
      <c r="G188" s="3"/>
      <c r="J188" s="3"/>
    </row>
    <row r="189">
      <c r="D189" s="3"/>
      <c r="G189" s="3"/>
      <c r="J189" s="3"/>
    </row>
    <row r="190">
      <c r="D190" s="3"/>
      <c r="G190" s="3"/>
      <c r="J190" s="3"/>
    </row>
    <row r="191">
      <c r="D191" s="3"/>
      <c r="G191" s="3"/>
      <c r="J191" s="3"/>
    </row>
    <row r="192">
      <c r="D192" s="3"/>
      <c r="G192" s="3"/>
      <c r="J192" s="3"/>
    </row>
    <row r="193">
      <c r="D193" s="3"/>
      <c r="G193" s="3"/>
      <c r="J193" s="3"/>
    </row>
    <row r="194">
      <c r="D194" s="3"/>
      <c r="G194" s="3"/>
      <c r="J194" s="3"/>
    </row>
    <row r="195">
      <c r="D195" s="3"/>
      <c r="G195" s="3"/>
      <c r="J195" s="3"/>
    </row>
    <row r="196">
      <c r="D196" s="3"/>
      <c r="G196" s="3"/>
      <c r="J196" s="3"/>
    </row>
    <row r="197">
      <c r="D197" s="3"/>
      <c r="G197" s="3"/>
      <c r="J197" s="3"/>
    </row>
    <row r="198">
      <c r="D198" s="3"/>
      <c r="G198" s="3"/>
      <c r="J198" s="3"/>
    </row>
    <row r="199">
      <c r="D199" s="3"/>
      <c r="G199" s="3"/>
      <c r="J199" s="3"/>
    </row>
    <row r="200">
      <c r="D200" s="3"/>
      <c r="G200" s="3"/>
      <c r="J200" s="3"/>
    </row>
    <row r="201">
      <c r="D201" s="3"/>
      <c r="G201" s="3"/>
      <c r="J201" s="3"/>
    </row>
    <row r="202">
      <c r="D202" s="3"/>
      <c r="G202" s="3"/>
      <c r="J202" s="3"/>
    </row>
    <row r="203">
      <c r="D203" s="3"/>
      <c r="G203" s="3"/>
      <c r="J203" s="3"/>
    </row>
    <row r="204">
      <c r="D204" s="3"/>
      <c r="G204" s="3"/>
      <c r="J204" s="3"/>
    </row>
    <row r="205">
      <c r="D205" s="3"/>
      <c r="G205" s="3"/>
      <c r="J205" s="3"/>
    </row>
    <row r="206">
      <c r="D206" s="3"/>
      <c r="G206" s="3"/>
      <c r="J206" s="3"/>
    </row>
    <row r="207">
      <c r="D207" s="3"/>
      <c r="G207" s="3"/>
      <c r="J207" s="3"/>
    </row>
    <row r="208">
      <c r="D208" s="3"/>
      <c r="G208" s="3"/>
      <c r="J208" s="3"/>
    </row>
    <row r="209">
      <c r="D209" s="3"/>
      <c r="G209" s="3"/>
      <c r="J209" s="3"/>
    </row>
    <row r="210">
      <c r="D210" s="3"/>
      <c r="G210" s="3"/>
      <c r="J210" s="3"/>
    </row>
    <row r="211">
      <c r="D211" s="3"/>
      <c r="G211" s="3"/>
      <c r="J211" s="3"/>
    </row>
    <row r="212">
      <c r="D212" s="3"/>
      <c r="G212" s="3"/>
      <c r="J212" s="3"/>
    </row>
    <row r="213">
      <c r="D213" s="3"/>
      <c r="G213" s="3"/>
      <c r="J213" s="3"/>
    </row>
    <row r="214">
      <c r="D214" s="3"/>
      <c r="G214" s="3"/>
      <c r="J214" s="3"/>
    </row>
    <row r="215">
      <c r="D215" s="3"/>
      <c r="G215" s="3"/>
      <c r="J215" s="3"/>
    </row>
    <row r="216">
      <c r="D216" s="3"/>
      <c r="G216" s="3"/>
      <c r="J216" s="3"/>
    </row>
    <row r="217">
      <c r="D217" s="3"/>
      <c r="G217" s="3"/>
      <c r="J217" s="3"/>
    </row>
    <row r="218">
      <c r="D218" s="3"/>
      <c r="G218" s="3"/>
      <c r="J218" s="3"/>
    </row>
    <row r="219">
      <c r="D219" s="3"/>
      <c r="G219" s="3"/>
      <c r="J219" s="3"/>
    </row>
    <row r="220">
      <c r="D220" s="3"/>
      <c r="G220" s="3"/>
      <c r="J220" s="3"/>
    </row>
    <row r="221">
      <c r="D221" s="3"/>
      <c r="G221" s="3"/>
      <c r="J221" s="3"/>
    </row>
    <row r="222">
      <c r="D222" s="3"/>
      <c r="G222" s="3"/>
      <c r="J222" s="3"/>
    </row>
    <row r="223">
      <c r="D223" s="3"/>
      <c r="G223" s="3"/>
      <c r="J223" s="3"/>
    </row>
    <row r="224">
      <c r="D224" s="3"/>
      <c r="G224" s="3"/>
      <c r="J224" s="3"/>
    </row>
    <row r="225">
      <c r="D225" s="3"/>
      <c r="G225" s="3"/>
      <c r="J225" s="3"/>
    </row>
    <row r="226">
      <c r="D226" s="3"/>
      <c r="G226" s="3"/>
      <c r="J226" s="3"/>
    </row>
    <row r="227">
      <c r="D227" s="3"/>
      <c r="G227" s="3"/>
      <c r="J227" s="3"/>
    </row>
    <row r="228">
      <c r="D228" s="3"/>
      <c r="G228" s="3"/>
      <c r="J228" s="3"/>
    </row>
    <row r="229">
      <c r="D229" s="3"/>
      <c r="G229" s="3"/>
      <c r="J229" s="3"/>
    </row>
    <row r="230">
      <c r="D230" s="3"/>
      <c r="G230" s="3"/>
      <c r="J230" s="3"/>
    </row>
    <row r="231">
      <c r="D231" s="3"/>
      <c r="G231" s="3"/>
      <c r="J231" s="3"/>
    </row>
    <row r="232">
      <c r="D232" s="3"/>
      <c r="G232" s="3"/>
      <c r="J232" s="3"/>
    </row>
    <row r="233">
      <c r="D233" s="3"/>
      <c r="G233" s="3"/>
      <c r="J233" s="3"/>
    </row>
    <row r="234">
      <c r="D234" s="3"/>
      <c r="G234" s="3"/>
      <c r="J234" s="3"/>
    </row>
    <row r="235">
      <c r="D235" s="3"/>
      <c r="G235" s="3"/>
      <c r="J235" s="3"/>
    </row>
    <row r="236">
      <c r="D236" s="3"/>
      <c r="G236" s="3"/>
      <c r="J236" s="3"/>
    </row>
    <row r="237">
      <c r="D237" s="3"/>
      <c r="G237" s="3"/>
      <c r="J237" s="3"/>
    </row>
    <row r="238">
      <c r="D238" s="3"/>
      <c r="G238" s="3"/>
      <c r="J238" s="3"/>
    </row>
    <row r="239">
      <c r="D239" s="3"/>
      <c r="G239" s="3"/>
      <c r="J239" s="3"/>
    </row>
    <row r="240">
      <c r="D240" s="3"/>
      <c r="G240" s="3"/>
      <c r="J240" s="3"/>
    </row>
    <row r="241">
      <c r="D241" s="3"/>
      <c r="G241" s="3"/>
      <c r="J241" s="3"/>
    </row>
    <row r="242">
      <c r="D242" s="3"/>
      <c r="G242" s="3"/>
      <c r="J242" s="3"/>
    </row>
    <row r="243">
      <c r="D243" s="3"/>
      <c r="G243" s="3"/>
      <c r="J243" s="3"/>
    </row>
    <row r="244">
      <c r="D244" s="3"/>
      <c r="G244" s="3"/>
      <c r="J244" s="3"/>
    </row>
    <row r="245">
      <c r="D245" s="3"/>
      <c r="G245" s="3"/>
      <c r="J245" s="3"/>
    </row>
    <row r="246">
      <c r="D246" s="3"/>
      <c r="G246" s="3"/>
      <c r="J246" s="3"/>
    </row>
    <row r="247">
      <c r="D247" s="3"/>
      <c r="G247" s="3"/>
      <c r="J247" s="3"/>
    </row>
    <row r="248">
      <c r="D248" s="3"/>
      <c r="G248" s="3"/>
      <c r="J248" s="3"/>
    </row>
    <row r="249">
      <c r="D249" s="3"/>
      <c r="G249" s="3"/>
      <c r="J249" s="3"/>
    </row>
    <row r="250">
      <c r="D250" s="3"/>
      <c r="G250" s="3"/>
      <c r="J250" s="3"/>
    </row>
    <row r="251">
      <c r="D251" s="3"/>
      <c r="G251" s="3"/>
      <c r="J251" s="3"/>
    </row>
    <row r="252">
      <c r="D252" s="3"/>
      <c r="G252" s="3"/>
      <c r="J252" s="3"/>
    </row>
    <row r="253">
      <c r="D253" s="3"/>
      <c r="G253" s="3"/>
      <c r="J253" s="3"/>
    </row>
    <row r="254">
      <c r="D254" s="3"/>
      <c r="G254" s="3"/>
      <c r="J254" s="3"/>
    </row>
    <row r="255">
      <c r="D255" s="3"/>
      <c r="G255" s="3"/>
      <c r="J255" s="3"/>
    </row>
    <row r="256">
      <c r="D256" s="3"/>
      <c r="G256" s="3"/>
      <c r="J256" s="3"/>
    </row>
    <row r="257">
      <c r="D257" s="3"/>
      <c r="G257" s="3"/>
      <c r="J257" s="3"/>
    </row>
    <row r="258">
      <c r="D258" s="3"/>
      <c r="G258" s="3"/>
      <c r="J258" s="3"/>
    </row>
    <row r="259">
      <c r="D259" s="3"/>
      <c r="G259" s="3"/>
      <c r="J259" s="3"/>
    </row>
    <row r="260">
      <c r="D260" s="3"/>
      <c r="G260" s="3"/>
      <c r="J260" s="3"/>
    </row>
    <row r="261">
      <c r="D261" s="3"/>
      <c r="G261" s="3"/>
      <c r="J261" s="3"/>
    </row>
    <row r="262">
      <c r="D262" s="3"/>
      <c r="G262" s="3"/>
      <c r="J262" s="3"/>
    </row>
    <row r="263">
      <c r="D263" s="3"/>
      <c r="G263" s="3"/>
      <c r="J263" s="3"/>
    </row>
    <row r="264">
      <c r="D264" s="3"/>
      <c r="G264" s="3"/>
      <c r="J264" s="3"/>
    </row>
    <row r="265">
      <c r="D265" s="3"/>
      <c r="G265" s="3"/>
      <c r="J265" s="3"/>
    </row>
    <row r="266">
      <c r="D266" s="3"/>
      <c r="G266" s="3"/>
      <c r="J266" s="3"/>
    </row>
    <row r="267">
      <c r="D267" s="3"/>
      <c r="G267" s="3"/>
      <c r="J267" s="3"/>
    </row>
    <row r="268">
      <c r="D268" s="3"/>
      <c r="G268" s="3"/>
      <c r="J268" s="3"/>
    </row>
    <row r="269">
      <c r="D269" s="3"/>
      <c r="G269" s="3"/>
      <c r="J269" s="3"/>
    </row>
    <row r="270">
      <c r="D270" s="3"/>
      <c r="G270" s="3"/>
      <c r="J270" s="3"/>
    </row>
    <row r="271">
      <c r="D271" s="3"/>
      <c r="G271" s="3"/>
      <c r="J271" s="3"/>
    </row>
    <row r="272">
      <c r="D272" s="3"/>
      <c r="G272" s="3"/>
      <c r="J272" s="3"/>
    </row>
    <row r="273">
      <c r="D273" s="3"/>
      <c r="G273" s="3"/>
      <c r="J273" s="3"/>
    </row>
    <row r="274">
      <c r="D274" s="3"/>
      <c r="G274" s="3"/>
      <c r="J274" s="3"/>
    </row>
    <row r="275">
      <c r="D275" s="3"/>
      <c r="G275" s="3"/>
      <c r="J275" s="3"/>
    </row>
    <row r="276">
      <c r="D276" s="3"/>
      <c r="G276" s="3"/>
      <c r="J276" s="3"/>
    </row>
    <row r="277">
      <c r="D277" s="3"/>
      <c r="G277" s="3"/>
      <c r="J277" s="3"/>
    </row>
    <row r="278">
      <c r="D278" s="3"/>
      <c r="G278" s="3"/>
      <c r="J278" s="3"/>
    </row>
    <row r="279">
      <c r="D279" s="3"/>
      <c r="G279" s="3"/>
      <c r="J279" s="3"/>
    </row>
    <row r="280">
      <c r="D280" s="3"/>
      <c r="G280" s="3"/>
      <c r="J280" s="3"/>
    </row>
    <row r="281">
      <c r="D281" s="3"/>
      <c r="G281" s="3"/>
      <c r="J281" s="3"/>
    </row>
    <row r="282">
      <c r="D282" s="3"/>
      <c r="G282" s="3"/>
      <c r="J282" s="3"/>
    </row>
    <row r="283">
      <c r="D283" s="3"/>
      <c r="G283" s="3"/>
      <c r="J283" s="3"/>
    </row>
    <row r="284">
      <c r="D284" s="3"/>
      <c r="G284" s="3"/>
      <c r="J284" s="3"/>
    </row>
    <row r="285">
      <c r="D285" s="3"/>
      <c r="G285" s="3"/>
      <c r="J285" s="3"/>
    </row>
    <row r="286">
      <c r="D286" s="3"/>
      <c r="G286" s="3"/>
      <c r="J286" s="3"/>
    </row>
    <row r="287">
      <c r="D287" s="3"/>
      <c r="G287" s="3"/>
      <c r="J287" s="3"/>
    </row>
    <row r="288">
      <c r="D288" s="3"/>
      <c r="G288" s="3"/>
      <c r="J288" s="3"/>
    </row>
    <row r="289">
      <c r="D289" s="3"/>
      <c r="G289" s="3"/>
      <c r="J289" s="3"/>
    </row>
    <row r="290">
      <c r="D290" s="3"/>
      <c r="G290" s="3"/>
      <c r="J290" s="3"/>
    </row>
    <row r="291">
      <c r="D291" s="3"/>
      <c r="G291" s="3"/>
      <c r="J291" s="3"/>
    </row>
    <row r="292">
      <c r="D292" s="3"/>
      <c r="G292" s="3"/>
      <c r="J292" s="3"/>
    </row>
    <row r="293">
      <c r="D293" s="3"/>
      <c r="G293" s="3"/>
      <c r="J293" s="3"/>
    </row>
    <row r="294">
      <c r="D294" s="3"/>
      <c r="G294" s="3"/>
      <c r="J294" s="3"/>
    </row>
    <row r="295">
      <c r="D295" s="3"/>
      <c r="G295" s="3"/>
      <c r="J295" s="3"/>
    </row>
    <row r="296">
      <c r="D296" s="3"/>
      <c r="G296" s="3"/>
      <c r="J296" s="3"/>
    </row>
    <row r="297">
      <c r="D297" s="3"/>
      <c r="G297" s="3"/>
      <c r="J297" s="3"/>
    </row>
    <row r="298">
      <c r="D298" s="3"/>
      <c r="G298" s="3"/>
      <c r="J298" s="3"/>
    </row>
    <row r="299">
      <c r="D299" s="3"/>
      <c r="G299" s="3"/>
      <c r="J299" s="3"/>
    </row>
    <row r="300">
      <c r="D300" s="3"/>
      <c r="G300" s="3"/>
      <c r="J300" s="3"/>
    </row>
    <row r="301">
      <c r="D301" s="3"/>
      <c r="G301" s="3"/>
      <c r="J301" s="3"/>
    </row>
    <row r="302">
      <c r="D302" s="3"/>
      <c r="G302" s="3"/>
      <c r="J302" s="3"/>
    </row>
    <row r="303">
      <c r="D303" s="3"/>
      <c r="G303" s="3"/>
      <c r="J303" s="3"/>
    </row>
    <row r="304">
      <c r="D304" s="3"/>
      <c r="G304" s="3"/>
      <c r="J304" s="3"/>
    </row>
    <row r="305">
      <c r="D305" s="3"/>
      <c r="G305" s="3"/>
      <c r="J305" s="3"/>
    </row>
    <row r="306">
      <c r="D306" s="3"/>
      <c r="G306" s="3"/>
      <c r="J306" s="3"/>
    </row>
    <row r="307">
      <c r="D307" s="3"/>
      <c r="G307" s="3"/>
      <c r="J307" s="3"/>
    </row>
    <row r="308">
      <c r="D308" s="3"/>
      <c r="G308" s="3"/>
      <c r="J308" s="3"/>
    </row>
    <row r="309">
      <c r="D309" s="3"/>
      <c r="G309" s="3"/>
      <c r="J309" s="3"/>
    </row>
    <row r="310">
      <c r="D310" s="3"/>
      <c r="G310" s="3"/>
      <c r="J310" s="3"/>
    </row>
    <row r="311">
      <c r="D311" s="3"/>
      <c r="G311" s="3"/>
      <c r="J311" s="3"/>
    </row>
    <row r="312">
      <c r="D312" s="3"/>
      <c r="G312" s="3"/>
      <c r="J312" s="3"/>
    </row>
    <row r="313">
      <c r="D313" s="3"/>
      <c r="G313" s="3"/>
      <c r="J313" s="3"/>
    </row>
    <row r="314">
      <c r="D314" s="3"/>
      <c r="G314" s="3"/>
      <c r="J314" s="3"/>
    </row>
    <row r="315">
      <c r="D315" s="3"/>
      <c r="G315" s="3"/>
      <c r="J315" s="3"/>
    </row>
    <row r="316">
      <c r="D316" s="3"/>
      <c r="G316" s="3"/>
      <c r="J316" s="3"/>
    </row>
    <row r="317">
      <c r="D317" s="3"/>
      <c r="G317" s="3"/>
      <c r="J317" s="3"/>
    </row>
    <row r="318">
      <c r="D318" s="3"/>
      <c r="G318" s="3"/>
      <c r="J318" s="3"/>
    </row>
    <row r="319">
      <c r="D319" s="3"/>
      <c r="G319" s="3"/>
      <c r="J319" s="3"/>
    </row>
    <row r="320">
      <c r="D320" s="3"/>
      <c r="G320" s="3"/>
      <c r="J320" s="3"/>
    </row>
    <row r="321">
      <c r="D321" s="3"/>
      <c r="G321" s="3"/>
      <c r="J321" s="3"/>
    </row>
    <row r="322">
      <c r="D322" s="3"/>
      <c r="G322" s="3"/>
      <c r="J322" s="3"/>
    </row>
    <row r="323">
      <c r="D323" s="3"/>
      <c r="G323" s="3"/>
      <c r="J323" s="3"/>
    </row>
    <row r="324">
      <c r="D324" s="3"/>
      <c r="G324" s="3"/>
      <c r="J324" s="3"/>
    </row>
    <row r="325">
      <c r="D325" s="3"/>
      <c r="G325" s="3"/>
      <c r="J325" s="3"/>
    </row>
    <row r="326">
      <c r="D326" s="3"/>
      <c r="G326" s="3"/>
      <c r="J326" s="3"/>
    </row>
    <row r="327">
      <c r="D327" s="3"/>
      <c r="G327" s="3"/>
      <c r="J327" s="3"/>
    </row>
    <row r="328">
      <c r="D328" s="3"/>
      <c r="G328" s="3"/>
      <c r="J328" s="3"/>
    </row>
    <row r="329">
      <c r="D329" s="3"/>
      <c r="G329" s="3"/>
      <c r="J329" s="3"/>
    </row>
    <row r="330">
      <c r="D330" s="3"/>
      <c r="G330" s="3"/>
      <c r="J330" s="3"/>
    </row>
    <row r="331">
      <c r="D331" s="3"/>
      <c r="G331" s="3"/>
      <c r="J331" s="3"/>
    </row>
    <row r="332">
      <c r="D332" s="3"/>
      <c r="G332" s="3"/>
      <c r="J332" s="3"/>
    </row>
    <row r="333">
      <c r="D333" s="3"/>
      <c r="G333" s="3"/>
      <c r="J333" s="3"/>
    </row>
    <row r="334">
      <c r="D334" s="3"/>
      <c r="G334" s="3"/>
      <c r="J334" s="3"/>
    </row>
    <row r="335">
      <c r="D335" s="3"/>
      <c r="G335" s="3"/>
      <c r="J335" s="3"/>
    </row>
    <row r="336">
      <c r="D336" s="3"/>
      <c r="G336" s="3"/>
      <c r="J336" s="3"/>
    </row>
    <row r="337">
      <c r="D337" s="3"/>
      <c r="G337" s="3"/>
      <c r="J337" s="3"/>
    </row>
    <row r="338">
      <c r="D338" s="3"/>
      <c r="G338" s="3"/>
      <c r="J338" s="3"/>
    </row>
    <row r="339">
      <c r="D339" s="3"/>
      <c r="G339" s="3"/>
      <c r="J339" s="3"/>
    </row>
    <row r="340">
      <c r="D340" s="3"/>
      <c r="G340" s="3"/>
      <c r="J340" s="3"/>
    </row>
    <row r="341">
      <c r="D341" s="3"/>
      <c r="G341" s="3"/>
      <c r="J341" s="3"/>
    </row>
    <row r="342">
      <c r="D342" s="3"/>
      <c r="G342" s="3"/>
      <c r="J342" s="3"/>
    </row>
    <row r="343">
      <c r="D343" s="3"/>
      <c r="G343" s="3"/>
      <c r="J343" s="3"/>
    </row>
    <row r="344">
      <c r="D344" s="3"/>
      <c r="G344" s="3"/>
      <c r="J344" s="3"/>
    </row>
    <row r="345">
      <c r="D345" s="3"/>
      <c r="G345" s="3"/>
      <c r="J345" s="3"/>
    </row>
    <row r="346">
      <c r="D346" s="3"/>
      <c r="G346" s="3"/>
      <c r="J346" s="3"/>
    </row>
    <row r="347">
      <c r="D347" s="3"/>
      <c r="G347" s="3"/>
      <c r="J347" s="3"/>
    </row>
    <row r="348">
      <c r="D348" s="3"/>
      <c r="G348" s="3"/>
      <c r="J348" s="3"/>
    </row>
    <row r="349">
      <c r="D349" s="3"/>
      <c r="G349" s="3"/>
      <c r="J349" s="3"/>
    </row>
    <row r="350">
      <c r="D350" s="3"/>
      <c r="G350" s="3"/>
      <c r="J350" s="3"/>
    </row>
    <row r="351">
      <c r="D351" s="3"/>
      <c r="G351" s="3"/>
      <c r="J351" s="3"/>
    </row>
    <row r="352">
      <c r="D352" s="3"/>
      <c r="G352" s="3"/>
      <c r="J352" s="3"/>
    </row>
    <row r="353">
      <c r="D353" s="3"/>
      <c r="G353" s="3"/>
      <c r="J353" s="3"/>
    </row>
    <row r="354">
      <c r="D354" s="3"/>
      <c r="G354" s="3"/>
      <c r="J354" s="3"/>
    </row>
    <row r="355">
      <c r="D355" s="3"/>
      <c r="G355" s="3"/>
      <c r="J355" s="3"/>
    </row>
    <row r="356">
      <c r="D356" s="3"/>
      <c r="G356" s="3"/>
      <c r="J356" s="3"/>
    </row>
    <row r="357">
      <c r="D357" s="3"/>
      <c r="G357" s="3"/>
      <c r="J357" s="3"/>
    </row>
    <row r="358">
      <c r="D358" s="3"/>
      <c r="G358" s="3"/>
      <c r="J358" s="3"/>
    </row>
    <row r="359">
      <c r="D359" s="3"/>
      <c r="G359" s="3"/>
      <c r="J359" s="3"/>
    </row>
    <row r="360">
      <c r="D360" s="3"/>
      <c r="G360" s="3"/>
      <c r="J360" s="3"/>
    </row>
    <row r="361">
      <c r="D361" s="3"/>
      <c r="G361" s="3"/>
      <c r="J361" s="3"/>
    </row>
    <row r="362">
      <c r="D362" s="3"/>
      <c r="G362" s="3"/>
      <c r="J362" s="3"/>
    </row>
    <row r="363">
      <c r="D363" s="3"/>
      <c r="G363" s="3"/>
      <c r="J363" s="3"/>
    </row>
    <row r="364">
      <c r="D364" s="3"/>
      <c r="G364" s="3"/>
      <c r="J364" s="3"/>
    </row>
    <row r="365">
      <c r="D365" s="3"/>
      <c r="G365" s="3"/>
      <c r="J365" s="3"/>
    </row>
    <row r="366">
      <c r="D366" s="3"/>
      <c r="G366" s="3"/>
      <c r="J366" s="3"/>
    </row>
    <row r="367">
      <c r="D367" s="3"/>
      <c r="G367" s="3"/>
      <c r="J367" s="3"/>
    </row>
    <row r="368">
      <c r="D368" s="3"/>
      <c r="G368" s="3"/>
      <c r="J368" s="3"/>
    </row>
    <row r="369">
      <c r="D369" s="3"/>
      <c r="G369" s="3"/>
      <c r="J369" s="3"/>
    </row>
    <row r="370">
      <c r="D370" s="3"/>
      <c r="G370" s="3"/>
      <c r="J370" s="3"/>
    </row>
    <row r="371">
      <c r="D371" s="3"/>
      <c r="G371" s="3"/>
      <c r="J371" s="3"/>
    </row>
    <row r="372">
      <c r="D372" s="3"/>
      <c r="G372" s="3"/>
      <c r="J372" s="3"/>
    </row>
    <row r="373">
      <c r="D373" s="3"/>
      <c r="G373" s="3"/>
      <c r="J373" s="3"/>
    </row>
    <row r="374">
      <c r="D374" s="3"/>
      <c r="G374" s="3"/>
      <c r="J374" s="3"/>
    </row>
    <row r="375">
      <c r="D375" s="3"/>
      <c r="G375" s="3"/>
      <c r="J375" s="3"/>
    </row>
    <row r="376">
      <c r="D376" s="3"/>
      <c r="G376" s="3"/>
      <c r="J376" s="3"/>
    </row>
    <row r="377">
      <c r="D377" s="3"/>
      <c r="G377" s="3"/>
      <c r="J377" s="3"/>
    </row>
    <row r="378">
      <c r="D378" s="3"/>
      <c r="G378" s="3"/>
      <c r="J378" s="3"/>
    </row>
    <row r="379">
      <c r="D379" s="3"/>
      <c r="G379" s="3"/>
      <c r="J379" s="3"/>
    </row>
    <row r="380">
      <c r="D380" s="3"/>
      <c r="G380" s="3"/>
      <c r="J380" s="3"/>
    </row>
    <row r="381">
      <c r="D381" s="3"/>
      <c r="G381" s="3"/>
      <c r="J381" s="3"/>
    </row>
    <row r="382">
      <c r="D382" s="3"/>
      <c r="G382" s="3"/>
      <c r="J382" s="3"/>
    </row>
    <row r="383">
      <c r="D383" s="3"/>
      <c r="G383" s="3"/>
      <c r="J383" s="3"/>
    </row>
    <row r="384">
      <c r="D384" s="3"/>
      <c r="G384" s="3"/>
      <c r="J384" s="3"/>
    </row>
    <row r="385">
      <c r="D385" s="3"/>
      <c r="G385" s="3"/>
      <c r="J385" s="3"/>
    </row>
    <row r="386">
      <c r="D386" s="3"/>
      <c r="G386" s="3"/>
      <c r="J386" s="3"/>
    </row>
    <row r="387">
      <c r="D387" s="3"/>
      <c r="G387" s="3"/>
      <c r="J387" s="3"/>
    </row>
    <row r="388">
      <c r="D388" s="3"/>
      <c r="G388" s="3"/>
      <c r="J388" s="3"/>
    </row>
    <row r="389">
      <c r="D389" s="3"/>
      <c r="G389" s="3"/>
      <c r="J389" s="3"/>
    </row>
    <row r="390">
      <c r="D390" s="3"/>
      <c r="G390" s="3"/>
      <c r="J390" s="3"/>
    </row>
    <row r="391">
      <c r="D391" s="3"/>
      <c r="G391" s="3"/>
      <c r="J391" s="3"/>
    </row>
    <row r="392">
      <c r="D392" s="3"/>
      <c r="G392" s="3"/>
      <c r="J392" s="3"/>
    </row>
    <row r="393">
      <c r="D393" s="3"/>
      <c r="G393" s="3"/>
      <c r="J393" s="3"/>
    </row>
    <row r="394">
      <c r="D394" s="3"/>
      <c r="G394" s="3"/>
      <c r="J394" s="3"/>
    </row>
    <row r="395">
      <c r="D395" s="3"/>
      <c r="G395" s="3"/>
      <c r="J395" s="3"/>
    </row>
    <row r="396">
      <c r="D396" s="3"/>
      <c r="G396" s="3"/>
      <c r="J396" s="3"/>
    </row>
    <row r="397">
      <c r="D397" s="3"/>
      <c r="G397" s="3"/>
      <c r="J397" s="3"/>
    </row>
    <row r="398">
      <c r="D398" s="3"/>
      <c r="G398" s="3"/>
      <c r="J398" s="3"/>
    </row>
    <row r="399">
      <c r="D399" s="3"/>
      <c r="G399" s="3"/>
      <c r="J399" s="3"/>
    </row>
    <row r="400">
      <c r="D400" s="3"/>
      <c r="G400" s="3"/>
      <c r="J400" s="3"/>
    </row>
    <row r="401">
      <c r="D401" s="3"/>
      <c r="G401" s="3"/>
      <c r="J401" s="3"/>
    </row>
    <row r="402">
      <c r="D402" s="3"/>
      <c r="G402" s="3"/>
      <c r="J402" s="3"/>
    </row>
    <row r="403">
      <c r="D403" s="3"/>
      <c r="G403" s="3"/>
      <c r="J403" s="3"/>
    </row>
    <row r="404">
      <c r="D404" s="3"/>
      <c r="G404" s="3"/>
      <c r="J404" s="3"/>
    </row>
    <row r="405">
      <c r="D405" s="3"/>
      <c r="G405" s="3"/>
      <c r="J405" s="3"/>
    </row>
    <row r="406">
      <c r="D406" s="3"/>
      <c r="G406" s="3"/>
      <c r="J406" s="3"/>
    </row>
    <row r="407">
      <c r="D407" s="3"/>
      <c r="G407" s="3"/>
      <c r="J407" s="3"/>
    </row>
    <row r="408">
      <c r="D408" s="3"/>
      <c r="G408" s="3"/>
      <c r="J408" s="3"/>
    </row>
    <row r="409">
      <c r="D409" s="3"/>
      <c r="G409" s="3"/>
      <c r="J409" s="3"/>
    </row>
    <row r="410">
      <c r="D410" s="3"/>
      <c r="G410" s="3"/>
      <c r="J410" s="3"/>
    </row>
    <row r="411">
      <c r="D411" s="3"/>
      <c r="G411" s="3"/>
      <c r="J411" s="3"/>
    </row>
    <row r="412">
      <c r="D412" s="3"/>
      <c r="G412" s="3"/>
      <c r="J412" s="3"/>
    </row>
    <row r="413">
      <c r="D413" s="3"/>
      <c r="G413" s="3"/>
      <c r="J413" s="3"/>
    </row>
    <row r="414">
      <c r="D414" s="3"/>
      <c r="G414" s="3"/>
      <c r="J414" s="3"/>
    </row>
    <row r="415">
      <c r="D415" s="3"/>
      <c r="G415" s="3"/>
      <c r="J415" s="3"/>
    </row>
    <row r="416">
      <c r="D416" s="3"/>
      <c r="G416" s="3"/>
      <c r="J416" s="3"/>
    </row>
    <row r="417">
      <c r="D417" s="3"/>
      <c r="G417" s="3"/>
      <c r="J417" s="3"/>
    </row>
    <row r="418">
      <c r="D418" s="3"/>
      <c r="G418" s="3"/>
      <c r="J418" s="3"/>
    </row>
    <row r="419">
      <c r="D419" s="3"/>
      <c r="G419" s="3"/>
      <c r="J419" s="3"/>
    </row>
    <row r="420">
      <c r="D420" s="3"/>
      <c r="G420" s="3"/>
      <c r="J420" s="3"/>
    </row>
    <row r="421">
      <c r="D421" s="3"/>
      <c r="G421" s="3"/>
      <c r="J421" s="3"/>
    </row>
    <row r="422">
      <c r="D422" s="3"/>
      <c r="G422" s="3"/>
      <c r="J422" s="3"/>
    </row>
    <row r="423">
      <c r="D423" s="3"/>
      <c r="G423" s="3"/>
      <c r="J423" s="3"/>
    </row>
    <row r="424">
      <c r="D424" s="3"/>
      <c r="G424" s="3"/>
      <c r="J424" s="3"/>
    </row>
    <row r="425">
      <c r="D425" s="3"/>
      <c r="G425" s="3"/>
      <c r="J425" s="3"/>
    </row>
    <row r="426">
      <c r="D426" s="3"/>
      <c r="G426" s="3"/>
      <c r="J426" s="3"/>
    </row>
    <row r="427">
      <c r="D427" s="3"/>
      <c r="G427" s="3"/>
      <c r="J427" s="3"/>
    </row>
    <row r="428">
      <c r="D428" s="3"/>
      <c r="G428" s="3"/>
      <c r="J428" s="3"/>
    </row>
    <row r="429">
      <c r="D429" s="3"/>
      <c r="G429" s="3"/>
      <c r="J429" s="3"/>
    </row>
    <row r="430">
      <c r="D430" s="3"/>
      <c r="G430" s="3"/>
      <c r="J430" s="3"/>
    </row>
    <row r="431">
      <c r="D431" s="3"/>
      <c r="G431" s="3"/>
      <c r="J431" s="3"/>
    </row>
    <row r="432">
      <c r="D432" s="3"/>
      <c r="G432" s="3"/>
      <c r="J432" s="3"/>
    </row>
    <row r="433">
      <c r="D433" s="3"/>
      <c r="G433" s="3"/>
      <c r="J433" s="3"/>
    </row>
    <row r="434">
      <c r="D434" s="3"/>
      <c r="G434" s="3"/>
      <c r="J434" s="3"/>
    </row>
    <row r="435">
      <c r="D435" s="3"/>
      <c r="G435" s="3"/>
      <c r="J435" s="3"/>
    </row>
    <row r="436">
      <c r="D436" s="3"/>
      <c r="G436" s="3"/>
      <c r="J436" s="3"/>
    </row>
    <row r="437">
      <c r="D437" s="3"/>
      <c r="G437" s="3"/>
      <c r="J437" s="3"/>
    </row>
    <row r="438">
      <c r="D438" s="3"/>
      <c r="G438" s="3"/>
      <c r="J438" s="3"/>
    </row>
    <row r="439">
      <c r="D439" s="3"/>
      <c r="G439" s="3"/>
      <c r="J439" s="3"/>
    </row>
    <row r="440">
      <c r="D440" s="3"/>
      <c r="G440" s="3"/>
      <c r="J440" s="3"/>
    </row>
    <row r="441">
      <c r="D441" s="3"/>
      <c r="G441" s="3"/>
      <c r="J441" s="3"/>
    </row>
    <row r="442">
      <c r="D442" s="3"/>
      <c r="G442" s="3"/>
      <c r="J442" s="3"/>
    </row>
    <row r="443">
      <c r="D443" s="3"/>
      <c r="G443" s="3"/>
      <c r="J443" s="3"/>
    </row>
    <row r="444">
      <c r="D444" s="3"/>
      <c r="G444" s="3"/>
      <c r="J444" s="3"/>
    </row>
    <row r="445">
      <c r="D445" s="3"/>
      <c r="G445" s="3"/>
      <c r="J445" s="3"/>
    </row>
    <row r="446">
      <c r="D446" s="3"/>
      <c r="G446" s="3"/>
      <c r="J446" s="3"/>
    </row>
    <row r="447">
      <c r="D447" s="3"/>
      <c r="G447" s="3"/>
      <c r="J447" s="3"/>
    </row>
    <row r="448">
      <c r="D448" s="3"/>
      <c r="G448" s="3"/>
      <c r="J448" s="3"/>
    </row>
    <row r="449">
      <c r="D449" s="3"/>
      <c r="G449" s="3"/>
      <c r="J449" s="3"/>
    </row>
    <row r="450">
      <c r="D450" s="3"/>
      <c r="G450" s="3"/>
      <c r="J450" s="3"/>
    </row>
    <row r="451">
      <c r="D451" s="3"/>
      <c r="G451" s="3"/>
      <c r="J451" s="3"/>
    </row>
    <row r="452">
      <c r="D452" s="3"/>
      <c r="G452" s="3"/>
      <c r="J452" s="3"/>
    </row>
    <row r="453">
      <c r="D453" s="3"/>
      <c r="G453" s="3"/>
      <c r="J453" s="3"/>
    </row>
    <row r="454">
      <c r="D454" s="3"/>
      <c r="G454" s="3"/>
      <c r="J454" s="3"/>
    </row>
    <row r="455">
      <c r="D455" s="3"/>
      <c r="G455" s="3"/>
      <c r="J455" s="3"/>
    </row>
    <row r="456">
      <c r="D456" s="3"/>
      <c r="G456" s="3"/>
      <c r="J456" s="3"/>
    </row>
    <row r="457">
      <c r="D457" s="3"/>
      <c r="G457" s="3"/>
      <c r="J457" s="3"/>
    </row>
    <row r="458">
      <c r="D458" s="3"/>
      <c r="G458" s="3"/>
      <c r="J458" s="3"/>
    </row>
    <row r="459">
      <c r="D459" s="3"/>
      <c r="G459" s="3"/>
      <c r="J459" s="3"/>
    </row>
    <row r="460">
      <c r="D460" s="3"/>
      <c r="G460" s="3"/>
      <c r="J460" s="3"/>
    </row>
    <row r="461">
      <c r="D461" s="3"/>
      <c r="G461" s="3"/>
      <c r="J461" s="3"/>
    </row>
    <row r="462">
      <c r="D462" s="3"/>
      <c r="G462" s="3"/>
      <c r="J462" s="3"/>
    </row>
    <row r="463">
      <c r="D463" s="3"/>
      <c r="G463" s="3"/>
      <c r="J463" s="3"/>
    </row>
    <row r="464">
      <c r="D464" s="3"/>
      <c r="G464" s="3"/>
      <c r="J464" s="3"/>
    </row>
    <row r="465">
      <c r="D465" s="3"/>
      <c r="G465" s="3"/>
      <c r="J465" s="3"/>
    </row>
    <row r="466">
      <c r="D466" s="3"/>
      <c r="G466" s="3"/>
      <c r="J466" s="3"/>
    </row>
    <row r="467">
      <c r="D467" s="3"/>
      <c r="G467" s="3"/>
      <c r="J467" s="3"/>
    </row>
    <row r="468">
      <c r="D468" s="3"/>
      <c r="G468" s="3"/>
      <c r="J468" s="3"/>
    </row>
    <row r="469">
      <c r="D469" s="3"/>
      <c r="G469" s="3"/>
      <c r="J469" s="3"/>
    </row>
    <row r="470">
      <c r="D470" s="3"/>
      <c r="G470" s="3"/>
      <c r="J470" s="3"/>
    </row>
    <row r="471">
      <c r="D471" s="3"/>
      <c r="G471" s="3"/>
      <c r="J471" s="3"/>
    </row>
    <row r="472">
      <c r="D472" s="3"/>
      <c r="G472" s="3"/>
      <c r="J472" s="3"/>
    </row>
    <row r="473">
      <c r="D473" s="3"/>
      <c r="G473" s="3"/>
      <c r="J473" s="3"/>
    </row>
    <row r="474">
      <c r="D474" s="3"/>
      <c r="G474" s="3"/>
      <c r="J474" s="3"/>
    </row>
    <row r="475">
      <c r="D475" s="3"/>
      <c r="G475" s="3"/>
      <c r="J475" s="3"/>
    </row>
    <row r="476">
      <c r="D476" s="3"/>
      <c r="G476" s="3"/>
      <c r="J476" s="3"/>
    </row>
    <row r="477">
      <c r="D477" s="3"/>
      <c r="G477" s="3"/>
      <c r="J477" s="3"/>
    </row>
    <row r="478">
      <c r="D478" s="3"/>
      <c r="G478" s="3"/>
      <c r="J478" s="3"/>
    </row>
    <row r="479">
      <c r="D479" s="3"/>
      <c r="G479" s="3"/>
      <c r="J479" s="3"/>
    </row>
    <row r="480">
      <c r="D480" s="3"/>
      <c r="G480" s="3"/>
      <c r="J480" s="3"/>
    </row>
    <row r="481">
      <c r="D481" s="3"/>
      <c r="G481" s="3"/>
      <c r="J481" s="3"/>
    </row>
    <row r="482">
      <c r="D482" s="3"/>
      <c r="G482" s="3"/>
      <c r="J482" s="3"/>
    </row>
    <row r="483">
      <c r="D483" s="3"/>
      <c r="G483" s="3"/>
      <c r="J483" s="3"/>
    </row>
    <row r="484">
      <c r="D484" s="3"/>
      <c r="G484" s="3"/>
      <c r="J484" s="3"/>
    </row>
    <row r="485">
      <c r="D485" s="3"/>
      <c r="G485" s="3"/>
      <c r="J485" s="3"/>
    </row>
    <row r="486">
      <c r="D486" s="3"/>
      <c r="G486" s="3"/>
      <c r="J486" s="3"/>
    </row>
    <row r="487">
      <c r="D487" s="3"/>
      <c r="G487" s="3"/>
      <c r="J487" s="3"/>
    </row>
    <row r="488">
      <c r="D488" s="3"/>
      <c r="G488" s="3"/>
      <c r="J488" s="3"/>
    </row>
    <row r="489">
      <c r="D489" s="3"/>
      <c r="G489" s="3"/>
      <c r="J489" s="3"/>
    </row>
    <row r="490">
      <c r="D490" s="3"/>
      <c r="G490" s="3"/>
      <c r="J490" s="3"/>
    </row>
    <row r="491">
      <c r="D491" s="3"/>
      <c r="G491" s="3"/>
      <c r="J491" s="3"/>
    </row>
    <row r="492">
      <c r="D492" s="3"/>
      <c r="G492" s="3"/>
      <c r="J492" s="3"/>
    </row>
    <row r="493">
      <c r="D493" s="3"/>
      <c r="G493" s="3"/>
      <c r="J493" s="3"/>
    </row>
    <row r="494">
      <c r="D494" s="3"/>
      <c r="G494" s="3"/>
      <c r="J494" s="3"/>
    </row>
    <row r="495">
      <c r="D495" s="3"/>
      <c r="G495" s="3"/>
      <c r="J495" s="3"/>
    </row>
    <row r="496">
      <c r="D496" s="3"/>
      <c r="G496" s="3"/>
      <c r="J496" s="3"/>
    </row>
    <row r="497">
      <c r="D497" s="3"/>
      <c r="G497" s="3"/>
      <c r="J497" s="3"/>
    </row>
    <row r="498">
      <c r="D498" s="3"/>
      <c r="G498" s="3"/>
      <c r="J498" s="3"/>
    </row>
    <row r="499">
      <c r="D499" s="3"/>
      <c r="G499" s="3"/>
      <c r="J499" s="3"/>
    </row>
    <row r="500">
      <c r="D500" s="3"/>
      <c r="G500" s="3"/>
      <c r="J500" s="3"/>
    </row>
    <row r="501">
      <c r="D501" s="3"/>
      <c r="G501" s="3"/>
      <c r="J501" s="3"/>
    </row>
    <row r="502">
      <c r="D502" s="3"/>
      <c r="G502" s="3"/>
      <c r="J502" s="3"/>
    </row>
    <row r="503">
      <c r="D503" s="3"/>
      <c r="G503" s="3"/>
      <c r="J503" s="3"/>
    </row>
    <row r="504">
      <c r="D504" s="3"/>
      <c r="G504" s="3"/>
      <c r="J504" s="3"/>
    </row>
    <row r="505">
      <c r="D505" s="3"/>
      <c r="G505" s="3"/>
      <c r="J505" s="3"/>
    </row>
    <row r="506">
      <c r="D506" s="3"/>
      <c r="G506" s="3"/>
      <c r="J506" s="3"/>
    </row>
    <row r="507">
      <c r="D507" s="3"/>
      <c r="G507" s="3"/>
      <c r="J507" s="3"/>
    </row>
    <row r="508">
      <c r="D508" s="3"/>
      <c r="G508" s="3"/>
      <c r="J508" s="3"/>
    </row>
    <row r="509">
      <c r="D509" s="3"/>
      <c r="G509" s="3"/>
      <c r="J509" s="3"/>
    </row>
    <row r="510">
      <c r="D510" s="3"/>
      <c r="G510" s="3"/>
      <c r="J510" s="3"/>
    </row>
    <row r="511">
      <c r="D511" s="3"/>
      <c r="G511" s="3"/>
      <c r="J511" s="3"/>
    </row>
    <row r="512">
      <c r="D512" s="3"/>
      <c r="G512" s="3"/>
      <c r="J512" s="3"/>
    </row>
    <row r="513">
      <c r="D513" s="3"/>
      <c r="G513" s="3"/>
      <c r="J513" s="3"/>
    </row>
    <row r="514">
      <c r="D514" s="3"/>
      <c r="G514" s="3"/>
      <c r="J514" s="3"/>
    </row>
    <row r="515">
      <c r="D515" s="3"/>
      <c r="G515" s="3"/>
      <c r="J515" s="3"/>
    </row>
    <row r="516">
      <c r="D516" s="3"/>
      <c r="G516" s="3"/>
      <c r="J516" s="3"/>
    </row>
    <row r="517">
      <c r="D517" s="3"/>
      <c r="G517" s="3"/>
      <c r="J517" s="3"/>
    </row>
    <row r="518">
      <c r="D518" s="3"/>
      <c r="G518" s="3"/>
      <c r="J518" s="3"/>
    </row>
    <row r="519">
      <c r="D519" s="3"/>
      <c r="G519" s="3"/>
      <c r="J519" s="3"/>
    </row>
    <row r="520">
      <c r="D520" s="3"/>
      <c r="G520" s="3"/>
      <c r="J520" s="3"/>
    </row>
    <row r="521">
      <c r="D521" s="3"/>
      <c r="G521" s="3"/>
      <c r="J521" s="3"/>
    </row>
    <row r="522">
      <c r="D522" s="3"/>
      <c r="G522" s="3"/>
      <c r="J522" s="3"/>
    </row>
    <row r="523">
      <c r="D523" s="3"/>
      <c r="G523" s="3"/>
      <c r="J523" s="3"/>
    </row>
    <row r="524">
      <c r="D524" s="3"/>
      <c r="G524" s="3"/>
      <c r="J524" s="3"/>
    </row>
    <row r="525">
      <c r="D525" s="3"/>
      <c r="G525" s="3"/>
      <c r="J525" s="3"/>
    </row>
    <row r="526">
      <c r="D526" s="3"/>
      <c r="G526" s="3"/>
      <c r="J526" s="3"/>
    </row>
    <row r="527">
      <c r="D527" s="3"/>
      <c r="G527" s="3"/>
      <c r="J527" s="3"/>
    </row>
    <row r="528">
      <c r="D528" s="3"/>
      <c r="G528" s="3"/>
      <c r="J528" s="3"/>
    </row>
    <row r="529">
      <c r="D529" s="3"/>
      <c r="G529" s="3"/>
      <c r="J529" s="3"/>
    </row>
    <row r="530">
      <c r="D530" s="3"/>
      <c r="G530" s="3"/>
      <c r="J530" s="3"/>
    </row>
    <row r="531">
      <c r="D531" s="3"/>
      <c r="G531" s="3"/>
      <c r="J531" s="3"/>
    </row>
    <row r="532">
      <c r="D532" s="3"/>
      <c r="G532" s="3"/>
      <c r="J532" s="3"/>
    </row>
    <row r="533">
      <c r="D533" s="3"/>
      <c r="G533" s="3"/>
      <c r="J533" s="3"/>
    </row>
    <row r="534">
      <c r="D534" s="3"/>
      <c r="G534" s="3"/>
      <c r="J534" s="3"/>
    </row>
    <row r="535">
      <c r="D535" s="3"/>
      <c r="G535" s="3"/>
      <c r="J535" s="3"/>
    </row>
    <row r="536">
      <c r="D536" s="3"/>
      <c r="G536" s="3"/>
      <c r="J536" s="3"/>
    </row>
    <row r="537">
      <c r="D537" s="3"/>
      <c r="G537" s="3"/>
      <c r="J537" s="3"/>
    </row>
    <row r="538">
      <c r="D538" s="3"/>
      <c r="G538" s="3"/>
      <c r="J538" s="3"/>
    </row>
    <row r="539">
      <c r="D539" s="3"/>
      <c r="G539" s="3"/>
      <c r="J539" s="3"/>
    </row>
    <row r="540">
      <c r="D540" s="3"/>
      <c r="G540" s="3"/>
      <c r="J540" s="3"/>
    </row>
    <row r="541">
      <c r="D541" s="3"/>
      <c r="G541" s="3"/>
      <c r="J541" s="3"/>
    </row>
    <row r="542">
      <c r="D542" s="3"/>
      <c r="G542" s="3"/>
      <c r="J542" s="3"/>
    </row>
    <row r="543">
      <c r="D543" s="3"/>
      <c r="G543" s="3"/>
      <c r="J543" s="3"/>
    </row>
    <row r="544">
      <c r="D544" s="3"/>
      <c r="G544" s="3"/>
      <c r="J544" s="3"/>
    </row>
    <row r="545">
      <c r="D545" s="3"/>
      <c r="G545" s="3"/>
      <c r="J545" s="3"/>
    </row>
    <row r="546">
      <c r="D546" s="3"/>
      <c r="G546" s="3"/>
      <c r="J546" s="3"/>
    </row>
    <row r="547">
      <c r="D547" s="3"/>
      <c r="G547" s="3"/>
      <c r="J547" s="3"/>
    </row>
    <row r="548">
      <c r="D548" s="3"/>
      <c r="G548" s="3"/>
      <c r="J548" s="3"/>
    </row>
    <row r="549">
      <c r="D549" s="3"/>
      <c r="G549" s="3"/>
      <c r="J549" s="3"/>
    </row>
    <row r="550">
      <c r="D550" s="3"/>
      <c r="G550" s="3"/>
      <c r="J550" s="3"/>
    </row>
    <row r="551">
      <c r="D551" s="3"/>
      <c r="G551" s="3"/>
      <c r="J551" s="3"/>
    </row>
    <row r="552">
      <c r="D552" s="3"/>
      <c r="G552" s="3"/>
      <c r="J552" s="3"/>
    </row>
    <row r="553">
      <c r="D553" s="3"/>
      <c r="G553" s="3"/>
      <c r="J553" s="3"/>
    </row>
    <row r="554">
      <c r="D554" s="3"/>
      <c r="G554" s="3"/>
      <c r="J554" s="3"/>
    </row>
    <row r="555">
      <c r="D555" s="3"/>
      <c r="G555" s="3"/>
      <c r="J555" s="3"/>
    </row>
    <row r="556">
      <c r="D556" s="3"/>
      <c r="G556" s="3"/>
      <c r="J556" s="3"/>
    </row>
    <row r="557">
      <c r="D557" s="3"/>
      <c r="G557" s="3"/>
      <c r="J557" s="3"/>
    </row>
    <row r="558">
      <c r="D558" s="3"/>
      <c r="G558" s="3"/>
      <c r="J558" s="3"/>
    </row>
    <row r="559">
      <c r="D559" s="3"/>
      <c r="G559" s="3"/>
      <c r="J559" s="3"/>
    </row>
    <row r="560">
      <c r="D560" s="3"/>
      <c r="G560" s="3"/>
      <c r="J560" s="3"/>
    </row>
    <row r="561">
      <c r="D561" s="3"/>
      <c r="G561" s="3"/>
      <c r="J561" s="3"/>
    </row>
    <row r="562">
      <c r="D562" s="3"/>
      <c r="G562" s="3"/>
      <c r="J562" s="3"/>
    </row>
    <row r="563">
      <c r="D563" s="3"/>
      <c r="G563" s="3"/>
      <c r="J563" s="3"/>
    </row>
    <row r="564">
      <c r="D564" s="3"/>
      <c r="G564" s="3"/>
      <c r="J564" s="3"/>
    </row>
    <row r="565">
      <c r="D565" s="3"/>
      <c r="G565" s="3"/>
      <c r="J565" s="3"/>
    </row>
    <row r="566">
      <c r="D566" s="3"/>
      <c r="G566" s="3"/>
      <c r="J566" s="3"/>
    </row>
    <row r="567">
      <c r="D567" s="3"/>
      <c r="G567" s="3"/>
      <c r="J567" s="3"/>
    </row>
    <row r="568">
      <c r="D568" s="3"/>
      <c r="G568" s="3"/>
      <c r="J568" s="3"/>
    </row>
    <row r="569">
      <c r="D569" s="3"/>
      <c r="G569" s="3"/>
      <c r="J569" s="3"/>
    </row>
    <row r="570">
      <c r="D570" s="3"/>
      <c r="G570" s="3"/>
      <c r="J570" s="3"/>
    </row>
    <row r="571">
      <c r="D571" s="3"/>
      <c r="G571" s="3"/>
      <c r="J571" s="3"/>
    </row>
    <row r="572">
      <c r="D572" s="3"/>
      <c r="G572" s="3"/>
      <c r="J572" s="3"/>
    </row>
    <row r="573">
      <c r="D573" s="3"/>
      <c r="G573" s="3"/>
      <c r="J573" s="3"/>
    </row>
    <row r="574">
      <c r="D574" s="3"/>
      <c r="G574" s="3"/>
      <c r="J574" s="3"/>
    </row>
    <row r="575">
      <c r="D575" s="3"/>
      <c r="G575" s="3"/>
      <c r="J575" s="3"/>
    </row>
    <row r="576">
      <c r="D576" s="3"/>
      <c r="G576" s="3"/>
      <c r="J576" s="3"/>
    </row>
    <row r="577">
      <c r="D577" s="3"/>
      <c r="G577" s="3"/>
      <c r="J577" s="3"/>
    </row>
    <row r="578">
      <c r="D578" s="3"/>
      <c r="G578" s="3"/>
      <c r="J578" s="3"/>
    </row>
    <row r="579">
      <c r="D579" s="3"/>
      <c r="G579" s="3"/>
      <c r="J579" s="3"/>
    </row>
    <row r="580">
      <c r="D580" s="3"/>
      <c r="G580" s="3"/>
      <c r="J580" s="3"/>
    </row>
    <row r="581">
      <c r="D581" s="3"/>
      <c r="G581" s="3"/>
      <c r="J581" s="3"/>
    </row>
    <row r="582">
      <c r="D582" s="3"/>
      <c r="G582" s="3"/>
      <c r="J582" s="3"/>
    </row>
    <row r="583">
      <c r="D583" s="3"/>
      <c r="G583" s="3"/>
      <c r="J583" s="3"/>
    </row>
    <row r="584">
      <c r="D584" s="3"/>
      <c r="G584" s="3"/>
      <c r="J584" s="3"/>
    </row>
    <row r="585">
      <c r="D585" s="3"/>
      <c r="G585" s="3"/>
      <c r="J585" s="3"/>
    </row>
    <row r="586">
      <c r="D586" s="3"/>
      <c r="G586" s="3"/>
      <c r="J586" s="3"/>
    </row>
    <row r="587">
      <c r="D587" s="3"/>
      <c r="G587" s="3"/>
      <c r="J587" s="3"/>
    </row>
    <row r="588">
      <c r="D588" s="3"/>
      <c r="G588" s="3"/>
      <c r="J588" s="3"/>
    </row>
    <row r="589">
      <c r="D589" s="3"/>
      <c r="G589" s="3"/>
      <c r="J589" s="3"/>
    </row>
    <row r="590">
      <c r="D590" s="3"/>
      <c r="G590" s="3"/>
      <c r="J590" s="3"/>
    </row>
    <row r="591">
      <c r="D591" s="3"/>
      <c r="G591" s="3"/>
      <c r="J591" s="3"/>
    </row>
    <row r="592">
      <c r="D592" s="3"/>
      <c r="G592" s="3"/>
      <c r="J592" s="3"/>
    </row>
    <row r="593">
      <c r="D593" s="3"/>
      <c r="G593" s="3"/>
      <c r="J593" s="3"/>
    </row>
    <row r="594">
      <c r="D594" s="3"/>
      <c r="G594" s="3"/>
      <c r="J594" s="3"/>
    </row>
    <row r="595">
      <c r="D595" s="3"/>
      <c r="G595" s="3"/>
      <c r="J595" s="3"/>
    </row>
    <row r="596">
      <c r="D596" s="3"/>
      <c r="G596" s="3"/>
      <c r="J596" s="3"/>
    </row>
    <row r="597">
      <c r="D597" s="3"/>
      <c r="G597" s="3"/>
      <c r="J597" s="3"/>
    </row>
    <row r="598">
      <c r="D598" s="3"/>
      <c r="G598" s="3"/>
      <c r="J598" s="3"/>
    </row>
    <row r="599">
      <c r="D599" s="3"/>
      <c r="G599" s="3"/>
      <c r="J599" s="3"/>
    </row>
    <row r="600">
      <c r="D600" s="3"/>
      <c r="G600" s="3"/>
      <c r="J600" s="3"/>
    </row>
    <row r="601">
      <c r="D601" s="3"/>
      <c r="G601" s="3"/>
      <c r="J601" s="3"/>
    </row>
    <row r="602">
      <c r="D602" s="3"/>
      <c r="G602" s="3"/>
      <c r="J602" s="3"/>
    </row>
    <row r="603">
      <c r="D603" s="3"/>
      <c r="G603" s="3"/>
      <c r="J603" s="3"/>
    </row>
    <row r="604">
      <c r="D604" s="3"/>
      <c r="G604" s="3"/>
      <c r="J604" s="3"/>
    </row>
    <row r="605">
      <c r="D605" s="3"/>
      <c r="G605" s="3"/>
      <c r="J605" s="3"/>
    </row>
    <row r="606">
      <c r="D606" s="3"/>
      <c r="G606" s="3"/>
      <c r="J606" s="3"/>
    </row>
    <row r="607">
      <c r="D607" s="3"/>
      <c r="G607" s="3"/>
      <c r="J607" s="3"/>
    </row>
    <row r="608">
      <c r="D608" s="3"/>
      <c r="G608" s="3"/>
      <c r="J608" s="3"/>
    </row>
    <row r="609">
      <c r="D609" s="3"/>
      <c r="G609" s="3"/>
      <c r="J609" s="3"/>
    </row>
    <row r="610">
      <c r="D610" s="3"/>
      <c r="G610" s="3"/>
      <c r="J610" s="3"/>
    </row>
    <row r="611">
      <c r="D611" s="3"/>
      <c r="G611" s="3"/>
      <c r="J611" s="3"/>
    </row>
    <row r="612">
      <c r="D612" s="3"/>
      <c r="G612" s="3"/>
      <c r="J612" s="3"/>
    </row>
    <row r="613">
      <c r="D613" s="3"/>
      <c r="G613" s="3"/>
      <c r="J613" s="3"/>
    </row>
    <row r="614">
      <c r="D614" s="3"/>
      <c r="G614" s="3"/>
      <c r="J614" s="3"/>
    </row>
    <row r="615">
      <c r="D615" s="3"/>
      <c r="G615" s="3"/>
      <c r="J615" s="3"/>
    </row>
    <row r="616">
      <c r="D616" s="3"/>
      <c r="G616" s="3"/>
      <c r="J616" s="3"/>
    </row>
    <row r="617">
      <c r="D617" s="3"/>
      <c r="G617" s="3"/>
      <c r="J617" s="3"/>
    </row>
    <row r="618">
      <c r="D618" s="3"/>
      <c r="G618" s="3"/>
      <c r="J618" s="3"/>
    </row>
    <row r="619">
      <c r="D619" s="3"/>
      <c r="G619" s="3"/>
      <c r="J619" s="3"/>
    </row>
    <row r="620">
      <c r="D620" s="3"/>
      <c r="G620" s="3"/>
      <c r="J620" s="3"/>
    </row>
    <row r="621">
      <c r="D621" s="3"/>
      <c r="G621" s="3"/>
      <c r="J621" s="3"/>
    </row>
    <row r="622">
      <c r="D622" s="3"/>
      <c r="G622" s="3"/>
      <c r="J622" s="3"/>
    </row>
    <row r="623">
      <c r="D623" s="3"/>
      <c r="G623" s="3"/>
      <c r="J623" s="3"/>
    </row>
    <row r="624">
      <c r="D624" s="3"/>
      <c r="G624" s="3"/>
      <c r="J624" s="3"/>
    </row>
    <row r="625">
      <c r="D625" s="3"/>
      <c r="G625" s="3"/>
      <c r="J625" s="3"/>
    </row>
    <row r="626">
      <c r="D626" s="3"/>
      <c r="G626" s="3"/>
      <c r="J626" s="3"/>
    </row>
    <row r="627">
      <c r="D627" s="3"/>
      <c r="G627" s="3"/>
      <c r="J627" s="3"/>
    </row>
    <row r="628">
      <c r="D628" s="3"/>
      <c r="G628" s="3"/>
      <c r="J628" s="3"/>
    </row>
    <row r="629">
      <c r="D629" s="3"/>
      <c r="G629" s="3"/>
      <c r="J629" s="3"/>
    </row>
    <row r="630">
      <c r="D630" s="3"/>
      <c r="G630" s="3"/>
      <c r="J630" s="3"/>
    </row>
    <row r="631">
      <c r="D631" s="3"/>
      <c r="G631" s="3"/>
      <c r="J631" s="3"/>
    </row>
    <row r="632">
      <c r="D632" s="3"/>
      <c r="G632" s="3"/>
      <c r="J632" s="3"/>
    </row>
    <row r="633">
      <c r="D633" s="3"/>
      <c r="G633" s="3"/>
      <c r="J633" s="3"/>
    </row>
    <row r="634">
      <c r="D634" s="3"/>
      <c r="G634" s="3"/>
      <c r="J634" s="3"/>
    </row>
    <row r="635">
      <c r="D635" s="3"/>
      <c r="G635" s="3"/>
      <c r="J635" s="3"/>
    </row>
    <row r="636">
      <c r="D636" s="3"/>
      <c r="G636" s="3"/>
      <c r="J636" s="3"/>
    </row>
    <row r="637">
      <c r="D637" s="3"/>
      <c r="G637" s="3"/>
      <c r="J637" s="3"/>
    </row>
    <row r="638">
      <c r="D638" s="3"/>
      <c r="G638" s="3"/>
      <c r="J638" s="3"/>
    </row>
    <row r="639">
      <c r="D639" s="3"/>
      <c r="G639" s="3"/>
      <c r="J639" s="3"/>
    </row>
    <row r="640">
      <c r="D640" s="3"/>
      <c r="G640" s="3"/>
      <c r="J640" s="3"/>
    </row>
    <row r="641">
      <c r="D641" s="3"/>
      <c r="G641" s="3"/>
      <c r="J641" s="3"/>
    </row>
    <row r="642">
      <c r="D642" s="3"/>
      <c r="G642" s="3"/>
      <c r="J642" s="3"/>
    </row>
    <row r="643">
      <c r="D643" s="3"/>
      <c r="G643" s="3"/>
      <c r="J643" s="3"/>
    </row>
    <row r="644">
      <c r="D644" s="3"/>
      <c r="G644" s="3"/>
      <c r="J644" s="3"/>
    </row>
    <row r="645">
      <c r="D645" s="3"/>
      <c r="G645" s="3"/>
      <c r="J645" s="3"/>
    </row>
    <row r="646">
      <c r="D646" s="3"/>
      <c r="G646" s="3"/>
      <c r="J646" s="3"/>
    </row>
    <row r="647">
      <c r="D647" s="3"/>
      <c r="G647" s="3"/>
      <c r="J647" s="3"/>
    </row>
    <row r="648">
      <c r="D648" s="3"/>
      <c r="G648" s="3"/>
      <c r="J648" s="3"/>
    </row>
    <row r="649">
      <c r="D649" s="3"/>
      <c r="G649" s="3"/>
      <c r="J649" s="3"/>
    </row>
    <row r="650">
      <c r="D650" s="3"/>
      <c r="G650" s="3"/>
      <c r="J650" s="3"/>
    </row>
    <row r="651">
      <c r="D651" s="3"/>
      <c r="G651" s="3"/>
      <c r="J651" s="3"/>
    </row>
    <row r="652">
      <c r="D652" s="3"/>
      <c r="G652" s="3"/>
      <c r="J652" s="3"/>
    </row>
    <row r="653">
      <c r="D653" s="3"/>
      <c r="G653" s="3"/>
      <c r="J653" s="3"/>
    </row>
    <row r="654">
      <c r="D654" s="3"/>
      <c r="G654" s="3"/>
      <c r="J654" s="3"/>
    </row>
    <row r="655">
      <c r="D655" s="3"/>
      <c r="G655" s="3"/>
      <c r="J655" s="3"/>
    </row>
    <row r="656">
      <c r="D656" s="3"/>
      <c r="G656" s="3"/>
      <c r="J656" s="3"/>
    </row>
    <row r="657">
      <c r="D657" s="3"/>
      <c r="G657" s="3"/>
      <c r="J657" s="3"/>
    </row>
    <row r="658">
      <c r="D658" s="3"/>
      <c r="G658" s="3"/>
      <c r="J658" s="3"/>
    </row>
    <row r="659">
      <c r="D659" s="3"/>
      <c r="G659" s="3"/>
      <c r="J659" s="3"/>
    </row>
    <row r="660">
      <c r="D660" s="3"/>
      <c r="G660" s="3"/>
      <c r="J660" s="3"/>
    </row>
    <row r="661">
      <c r="D661" s="3"/>
      <c r="G661" s="3"/>
      <c r="J661" s="3"/>
    </row>
    <row r="662">
      <c r="D662" s="3"/>
      <c r="G662" s="3"/>
      <c r="J662" s="3"/>
    </row>
    <row r="663">
      <c r="D663" s="3"/>
      <c r="G663" s="3"/>
      <c r="J663" s="3"/>
    </row>
    <row r="664">
      <c r="D664" s="3"/>
      <c r="G664" s="3"/>
      <c r="J664" s="3"/>
    </row>
    <row r="665">
      <c r="D665" s="3"/>
      <c r="G665" s="3"/>
      <c r="J665" s="3"/>
    </row>
    <row r="666">
      <c r="D666" s="3"/>
      <c r="G666" s="3"/>
      <c r="J666" s="3"/>
    </row>
    <row r="667">
      <c r="D667" s="3"/>
      <c r="G667" s="3"/>
      <c r="J667" s="3"/>
    </row>
    <row r="668">
      <c r="D668" s="3"/>
      <c r="G668" s="3"/>
      <c r="J668" s="3"/>
    </row>
    <row r="669">
      <c r="D669" s="3"/>
      <c r="G669" s="3"/>
      <c r="J669" s="3"/>
    </row>
    <row r="670">
      <c r="D670" s="3"/>
      <c r="G670" s="3"/>
      <c r="J670" s="3"/>
    </row>
    <row r="671">
      <c r="D671" s="3"/>
      <c r="G671" s="3"/>
      <c r="J671" s="3"/>
    </row>
    <row r="672">
      <c r="D672" s="3"/>
      <c r="G672" s="3"/>
      <c r="J672" s="3"/>
    </row>
    <row r="673">
      <c r="D673" s="3"/>
      <c r="G673" s="3"/>
      <c r="J673" s="3"/>
    </row>
    <row r="674">
      <c r="D674" s="3"/>
      <c r="G674" s="3"/>
      <c r="J674" s="3"/>
    </row>
    <row r="675">
      <c r="D675" s="3"/>
      <c r="G675" s="3"/>
      <c r="J675" s="3"/>
    </row>
    <row r="676">
      <c r="D676" s="3"/>
      <c r="G676" s="3"/>
      <c r="J676" s="3"/>
    </row>
    <row r="677">
      <c r="D677" s="3"/>
      <c r="G677" s="3"/>
      <c r="J677" s="3"/>
    </row>
    <row r="678">
      <c r="D678" s="3"/>
      <c r="G678" s="3"/>
      <c r="J678" s="3"/>
    </row>
    <row r="679">
      <c r="D679" s="3"/>
      <c r="G679" s="3"/>
      <c r="J679" s="3"/>
    </row>
    <row r="680">
      <c r="D680" s="3"/>
      <c r="G680" s="3"/>
      <c r="J680" s="3"/>
    </row>
    <row r="681">
      <c r="D681" s="3"/>
      <c r="G681" s="3"/>
      <c r="J681" s="3"/>
    </row>
    <row r="682">
      <c r="D682" s="3"/>
      <c r="G682" s="3"/>
      <c r="J682" s="3"/>
    </row>
    <row r="683">
      <c r="D683" s="3"/>
      <c r="G683" s="3"/>
      <c r="J683" s="3"/>
    </row>
    <row r="684">
      <c r="D684" s="3"/>
      <c r="G684" s="3"/>
      <c r="J684" s="3"/>
    </row>
    <row r="685">
      <c r="D685" s="3"/>
      <c r="G685" s="3"/>
      <c r="J685" s="3"/>
    </row>
    <row r="686">
      <c r="D686" s="3"/>
      <c r="G686" s="3"/>
      <c r="J686" s="3"/>
    </row>
    <row r="687">
      <c r="D687" s="3"/>
      <c r="G687" s="3"/>
      <c r="J687" s="3"/>
    </row>
    <row r="688">
      <c r="D688" s="3"/>
      <c r="G688" s="3"/>
      <c r="J688" s="3"/>
    </row>
    <row r="689">
      <c r="D689" s="3"/>
      <c r="G689" s="3"/>
      <c r="J689" s="3"/>
    </row>
    <row r="690">
      <c r="D690" s="3"/>
      <c r="G690" s="3"/>
      <c r="J690" s="3"/>
    </row>
    <row r="691">
      <c r="D691" s="3"/>
      <c r="G691" s="3"/>
      <c r="J691" s="3"/>
    </row>
    <row r="692">
      <c r="D692" s="3"/>
      <c r="G692" s="3"/>
      <c r="J692" s="3"/>
    </row>
    <row r="693">
      <c r="D693" s="3"/>
      <c r="G693" s="3"/>
      <c r="J693" s="3"/>
    </row>
    <row r="694">
      <c r="D694" s="3"/>
      <c r="G694" s="3"/>
      <c r="J694" s="3"/>
    </row>
    <row r="695">
      <c r="D695" s="3"/>
      <c r="G695" s="3"/>
      <c r="J695" s="3"/>
    </row>
    <row r="696">
      <c r="D696" s="3"/>
      <c r="G696" s="3"/>
      <c r="J696" s="3"/>
    </row>
    <row r="697">
      <c r="D697" s="3"/>
      <c r="G697" s="3"/>
      <c r="J697" s="3"/>
    </row>
    <row r="698">
      <c r="D698" s="3"/>
      <c r="G698" s="3"/>
      <c r="J698" s="3"/>
    </row>
    <row r="699">
      <c r="D699" s="3"/>
      <c r="G699" s="3"/>
      <c r="J699" s="3"/>
    </row>
    <row r="700">
      <c r="D700" s="3"/>
      <c r="G700" s="3"/>
      <c r="J700" s="3"/>
    </row>
    <row r="701">
      <c r="D701" s="3"/>
      <c r="G701" s="3"/>
      <c r="J701" s="3"/>
    </row>
    <row r="702">
      <c r="D702" s="3"/>
      <c r="G702" s="3"/>
      <c r="J702" s="3"/>
    </row>
    <row r="703">
      <c r="D703" s="3"/>
      <c r="G703" s="3"/>
      <c r="J703" s="3"/>
    </row>
    <row r="704">
      <c r="D704" s="3"/>
      <c r="G704" s="3"/>
      <c r="J704" s="3"/>
    </row>
    <row r="705">
      <c r="D705" s="3"/>
      <c r="G705" s="3"/>
      <c r="J705" s="3"/>
    </row>
    <row r="706">
      <c r="D706" s="3"/>
      <c r="G706" s="3"/>
      <c r="J706" s="3"/>
    </row>
    <row r="707">
      <c r="D707" s="3"/>
      <c r="G707" s="3"/>
      <c r="J707" s="3"/>
    </row>
    <row r="708">
      <c r="D708" s="3"/>
      <c r="G708" s="3"/>
      <c r="J708" s="3"/>
    </row>
    <row r="709">
      <c r="D709" s="3"/>
      <c r="G709" s="3"/>
      <c r="J709" s="3"/>
    </row>
    <row r="710">
      <c r="D710" s="3"/>
      <c r="G710" s="3"/>
      <c r="J710" s="3"/>
    </row>
    <row r="711">
      <c r="D711" s="3"/>
      <c r="G711" s="3"/>
      <c r="J711" s="3"/>
    </row>
    <row r="712">
      <c r="D712" s="3"/>
      <c r="G712" s="3"/>
      <c r="J712" s="3"/>
    </row>
    <row r="713">
      <c r="D713" s="3"/>
      <c r="G713" s="3"/>
      <c r="J713" s="3"/>
    </row>
    <row r="714">
      <c r="D714" s="3"/>
      <c r="G714" s="3"/>
      <c r="J714" s="3"/>
    </row>
    <row r="715">
      <c r="D715" s="3"/>
      <c r="G715" s="3"/>
      <c r="J715" s="3"/>
    </row>
    <row r="716">
      <c r="D716" s="3"/>
      <c r="G716" s="3"/>
      <c r="J716" s="3"/>
    </row>
    <row r="717">
      <c r="D717" s="3"/>
      <c r="G717" s="3"/>
      <c r="J717" s="3"/>
    </row>
    <row r="718">
      <c r="D718" s="3"/>
      <c r="G718" s="3"/>
      <c r="J718" s="3"/>
    </row>
    <row r="719">
      <c r="D719" s="3"/>
      <c r="G719" s="3"/>
      <c r="J719" s="3"/>
    </row>
    <row r="720">
      <c r="D720" s="3"/>
      <c r="G720" s="3"/>
      <c r="J720" s="3"/>
    </row>
    <row r="721">
      <c r="D721" s="3"/>
      <c r="G721" s="3"/>
      <c r="J721" s="3"/>
    </row>
    <row r="722">
      <c r="D722" s="3"/>
      <c r="G722" s="3"/>
      <c r="J722" s="3"/>
    </row>
    <row r="723">
      <c r="D723" s="3"/>
      <c r="G723" s="3"/>
      <c r="J723" s="3"/>
    </row>
    <row r="724">
      <c r="D724" s="3"/>
      <c r="G724" s="3"/>
      <c r="J724" s="3"/>
    </row>
    <row r="725">
      <c r="D725" s="3"/>
      <c r="G725" s="3"/>
      <c r="J725" s="3"/>
    </row>
    <row r="726">
      <c r="D726" s="3"/>
      <c r="G726" s="3"/>
      <c r="J726" s="3"/>
    </row>
    <row r="727">
      <c r="D727" s="3"/>
      <c r="G727" s="3"/>
      <c r="J727" s="3"/>
    </row>
    <row r="728">
      <c r="D728" s="3"/>
      <c r="G728" s="3"/>
      <c r="J728" s="3"/>
    </row>
    <row r="729">
      <c r="D729" s="3"/>
      <c r="G729" s="3"/>
      <c r="J729" s="3"/>
    </row>
    <row r="730">
      <c r="D730" s="3"/>
      <c r="G730" s="3"/>
      <c r="J730" s="3"/>
    </row>
    <row r="731">
      <c r="D731" s="3"/>
      <c r="G731" s="3"/>
      <c r="J731" s="3"/>
    </row>
    <row r="732">
      <c r="D732" s="3"/>
      <c r="G732" s="3"/>
      <c r="J732" s="3"/>
    </row>
    <row r="733">
      <c r="D733" s="3"/>
      <c r="G733" s="3"/>
      <c r="J733" s="3"/>
    </row>
    <row r="734">
      <c r="D734" s="3"/>
      <c r="G734" s="3"/>
      <c r="J734" s="3"/>
    </row>
    <row r="735">
      <c r="D735" s="3"/>
      <c r="G735" s="3"/>
      <c r="J735" s="3"/>
    </row>
    <row r="736">
      <c r="D736" s="3"/>
      <c r="G736" s="3"/>
      <c r="J736" s="3"/>
    </row>
    <row r="737">
      <c r="D737" s="3"/>
      <c r="G737" s="3"/>
      <c r="J737" s="3"/>
    </row>
    <row r="738">
      <c r="D738" s="3"/>
      <c r="G738" s="3"/>
      <c r="J738" s="3"/>
    </row>
    <row r="739">
      <c r="D739" s="3"/>
      <c r="G739" s="3"/>
      <c r="J739" s="3"/>
    </row>
    <row r="740">
      <c r="D740" s="3"/>
      <c r="G740" s="3"/>
      <c r="J740" s="3"/>
    </row>
    <row r="741">
      <c r="D741" s="3"/>
      <c r="G741" s="3"/>
      <c r="J741" s="3"/>
    </row>
    <row r="742">
      <c r="D742" s="3"/>
      <c r="G742" s="3"/>
      <c r="J742" s="3"/>
    </row>
    <row r="743">
      <c r="D743" s="3"/>
      <c r="G743" s="3"/>
      <c r="J743" s="3"/>
    </row>
    <row r="744">
      <c r="D744" s="3"/>
      <c r="G744" s="3"/>
      <c r="J744" s="3"/>
    </row>
    <row r="745">
      <c r="D745" s="3"/>
      <c r="G745" s="3"/>
      <c r="J745" s="3"/>
    </row>
    <row r="746">
      <c r="D746" s="3"/>
      <c r="G746" s="3"/>
      <c r="J746" s="3"/>
    </row>
    <row r="747">
      <c r="D747" s="3"/>
      <c r="G747" s="3"/>
      <c r="J747" s="3"/>
    </row>
    <row r="748">
      <c r="D748" s="3"/>
      <c r="G748" s="3"/>
      <c r="J748" s="3"/>
    </row>
    <row r="749">
      <c r="D749" s="3"/>
      <c r="G749" s="3"/>
      <c r="J749" s="3"/>
    </row>
    <row r="750">
      <c r="D750" s="3"/>
      <c r="G750" s="3"/>
      <c r="J750" s="3"/>
    </row>
    <row r="751">
      <c r="D751" s="3"/>
      <c r="G751" s="3"/>
      <c r="J751" s="3"/>
    </row>
    <row r="752">
      <c r="D752" s="3"/>
      <c r="G752" s="3"/>
      <c r="J752" s="3"/>
    </row>
    <row r="753">
      <c r="D753" s="3"/>
      <c r="G753" s="3"/>
      <c r="J753" s="3"/>
    </row>
    <row r="754">
      <c r="D754" s="3"/>
      <c r="G754" s="3"/>
      <c r="J754" s="3"/>
    </row>
    <row r="755">
      <c r="D755" s="3"/>
      <c r="G755" s="3"/>
      <c r="J755" s="3"/>
    </row>
    <row r="756">
      <c r="D756" s="3"/>
      <c r="G756" s="3"/>
      <c r="J756" s="3"/>
    </row>
    <row r="757">
      <c r="D757" s="3"/>
      <c r="G757" s="3"/>
      <c r="J757" s="3"/>
    </row>
    <row r="758">
      <c r="D758" s="3"/>
      <c r="G758" s="3"/>
      <c r="J758" s="3"/>
    </row>
    <row r="759">
      <c r="D759" s="3"/>
      <c r="G759" s="3"/>
      <c r="J759" s="3"/>
    </row>
    <row r="760">
      <c r="D760" s="3"/>
      <c r="G760" s="3"/>
      <c r="J760" s="3"/>
    </row>
    <row r="761">
      <c r="D761" s="3"/>
      <c r="G761" s="3"/>
      <c r="J761" s="3"/>
    </row>
    <row r="762">
      <c r="D762" s="3"/>
      <c r="G762" s="3"/>
      <c r="J762" s="3"/>
    </row>
    <row r="763">
      <c r="D763" s="3"/>
      <c r="G763" s="3"/>
      <c r="J763" s="3"/>
    </row>
    <row r="764">
      <c r="D764" s="3"/>
      <c r="G764" s="3"/>
      <c r="J764" s="3"/>
    </row>
    <row r="765">
      <c r="D765" s="3"/>
      <c r="G765" s="3"/>
      <c r="J765" s="3"/>
    </row>
    <row r="766">
      <c r="D766" s="3"/>
      <c r="G766" s="3"/>
      <c r="J766" s="3"/>
    </row>
    <row r="767">
      <c r="D767" s="3"/>
      <c r="G767" s="3"/>
      <c r="J767" s="3"/>
    </row>
    <row r="768">
      <c r="D768" s="3"/>
      <c r="G768" s="3"/>
      <c r="J768" s="3"/>
    </row>
    <row r="769">
      <c r="D769" s="3"/>
      <c r="G769" s="3"/>
      <c r="J769" s="3"/>
    </row>
    <row r="770">
      <c r="D770" s="3"/>
      <c r="G770" s="3"/>
      <c r="J770" s="3"/>
    </row>
    <row r="771">
      <c r="D771" s="3"/>
      <c r="G771" s="3"/>
      <c r="J771" s="3"/>
    </row>
    <row r="772">
      <c r="D772" s="3"/>
      <c r="G772" s="3"/>
      <c r="J772" s="3"/>
    </row>
    <row r="773">
      <c r="D773" s="3"/>
      <c r="G773" s="3"/>
      <c r="J773" s="3"/>
    </row>
    <row r="774">
      <c r="D774" s="3"/>
      <c r="G774" s="3"/>
      <c r="J774" s="3"/>
    </row>
    <row r="775">
      <c r="D775" s="3"/>
      <c r="G775" s="3"/>
      <c r="J775" s="3"/>
    </row>
    <row r="776">
      <c r="D776" s="3"/>
      <c r="G776" s="3"/>
      <c r="J776" s="3"/>
    </row>
    <row r="777">
      <c r="D777" s="3"/>
      <c r="G777" s="3"/>
      <c r="J777" s="3"/>
    </row>
    <row r="778">
      <c r="D778" s="3"/>
      <c r="G778" s="3"/>
      <c r="J778" s="3"/>
    </row>
    <row r="779">
      <c r="D779" s="3"/>
      <c r="G779" s="3"/>
      <c r="J779" s="3"/>
    </row>
    <row r="780">
      <c r="D780" s="3"/>
      <c r="G780" s="3"/>
      <c r="J780" s="3"/>
    </row>
    <row r="781">
      <c r="D781" s="3"/>
      <c r="G781" s="3"/>
      <c r="J781" s="3"/>
    </row>
    <row r="782">
      <c r="D782" s="3"/>
      <c r="G782" s="3"/>
      <c r="J782" s="3"/>
    </row>
    <row r="783">
      <c r="D783" s="3"/>
      <c r="G783" s="3"/>
      <c r="J783" s="3"/>
    </row>
    <row r="784">
      <c r="D784" s="3"/>
      <c r="G784" s="3"/>
      <c r="J784" s="3"/>
    </row>
    <row r="785">
      <c r="D785" s="3"/>
      <c r="G785" s="3"/>
      <c r="J785" s="3"/>
    </row>
    <row r="786">
      <c r="D786" s="3"/>
      <c r="G786" s="3"/>
      <c r="J786" s="3"/>
    </row>
    <row r="787">
      <c r="D787" s="3"/>
      <c r="G787" s="3"/>
      <c r="J787" s="3"/>
    </row>
    <row r="788">
      <c r="D788" s="3"/>
      <c r="G788" s="3"/>
      <c r="J788" s="3"/>
    </row>
    <row r="789">
      <c r="D789" s="3"/>
      <c r="G789" s="3"/>
      <c r="J789" s="3"/>
    </row>
    <row r="790">
      <c r="D790" s="3"/>
      <c r="G790" s="3"/>
      <c r="J790" s="3"/>
    </row>
    <row r="791">
      <c r="D791" s="3"/>
      <c r="G791" s="3"/>
      <c r="J791" s="3"/>
    </row>
    <row r="792">
      <c r="D792" s="3"/>
      <c r="G792" s="3"/>
      <c r="J792" s="3"/>
    </row>
    <row r="793">
      <c r="D793" s="3"/>
      <c r="G793" s="3"/>
      <c r="J793" s="3"/>
    </row>
    <row r="794">
      <c r="D794" s="3"/>
      <c r="G794" s="3"/>
      <c r="J794" s="3"/>
    </row>
    <row r="795">
      <c r="D795" s="3"/>
      <c r="G795" s="3"/>
      <c r="J795" s="3"/>
    </row>
    <row r="796">
      <c r="D796" s="3"/>
      <c r="G796" s="3"/>
      <c r="J796" s="3"/>
    </row>
    <row r="797">
      <c r="D797" s="3"/>
      <c r="G797" s="3"/>
      <c r="J797" s="3"/>
    </row>
    <row r="798">
      <c r="D798" s="3"/>
      <c r="G798" s="3"/>
      <c r="J798" s="3"/>
    </row>
    <row r="799">
      <c r="D799" s="3"/>
      <c r="G799" s="3"/>
      <c r="J799" s="3"/>
    </row>
    <row r="800">
      <c r="D800" s="3"/>
      <c r="G800" s="3"/>
      <c r="J800" s="3"/>
    </row>
    <row r="801">
      <c r="D801" s="3"/>
      <c r="G801" s="3"/>
      <c r="J801" s="3"/>
    </row>
    <row r="802">
      <c r="D802" s="3"/>
      <c r="G802" s="3"/>
      <c r="J802" s="3"/>
    </row>
    <row r="803">
      <c r="D803" s="3"/>
      <c r="G803" s="3"/>
      <c r="J803" s="3"/>
    </row>
    <row r="804">
      <c r="D804" s="3"/>
      <c r="G804" s="3"/>
      <c r="J804" s="3"/>
    </row>
    <row r="805">
      <c r="D805" s="3"/>
      <c r="G805" s="3"/>
      <c r="J805" s="3"/>
    </row>
    <row r="806">
      <c r="D806" s="3"/>
      <c r="G806" s="3"/>
      <c r="J806" s="3"/>
    </row>
    <row r="807">
      <c r="D807" s="3"/>
      <c r="G807" s="3"/>
      <c r="J807" s="3"/>
    </row>
    <row r="808">
      <c r="D808" s="3"/>
      <c r="G808" s="3"/>
      <c r="J808" s="3"/>
    </row>
    <row r="809">
      <c r="D809" s="3"/>
      <c r="G809" s="3"/>
      <c r="J809" s="3"/>
    </row>
    <row r="810">
      <c r="D810" s="3"/>
      <c r="G810" s="3"/>
      <c r="J810" s="3"/>
    </row>
    <row r="811">
      <c r="D811" s="3"/>
      <c r="G811" s="3"/>
      <c r="J811" s="3"/>
    </row>
    <row r="812">
      <c r="D812" s="3"/>
      <c r="G812" s="3"/>
      <c r="J812" s="3"/>
    </row>
    <row r="813">
      <c r="D813" s="3"/>
      <c r="G813" s="3"/>
      <c r="J813" s="3"/>
    </row>
    <row r="814">
      <c r="D814" s="3"/>
      <c r="G814" s="3"/>
      <c r="J814" s="3"/>
    </row>
    <row r="815">
      <c r="D815" s="3"/>
      <c r="G815" s="3"/>
      <c r="J815" s="3"/>
    </row>
    <row r="816">
      <c r="D816" s="3"/>
      <c r="G816" s="3"/>
      <c r="J816" s="3"/>
    </row>
    <row r="817">
      <c r="D817" s="3"/>
      <c r="G817" s="3"/>
      <c r="J817" s="3"/>
    </row>
    <row r="818">
      <c r="D818" s="3"/>
      <c r="G818" s="3"/>
      <c r="J818" s="3"/>
    </row>
    <row r="819">
      <c r="D819" s="3"/>
      <c r="G819" s="3"/>
      <c r="J819" s="3"/>
    </row>
    <row r="820">
      <c r="D820" s="3"/>
      <c r="G820" s="3"/>
      <c r="J820" s="3"/>
    </row>
    <row r="821">
      <c r="D821" s="3"/>
      <c r="G821" s="3"/>
      <c r="J821" s="3"/>
    </row>
    <row r="822">
      <c r="D822" s="3"/>
      <c r="G822" s="3"/>
      <c r="J822" s="3"/>
    </row>
    <row r="823">
      <c r="D823" s="3"/>
      <c r="G823" s="3"/>
      <c r="J823" s="3"/>
    </row>
    <row r="824">
      <c r="D824" s="3"/>
      <c r="G824" s="3"/>
      <c r="J824" s="3"/>
    </row>
    <row r="825">
      <c r="D825" s="3"/>
      <c r="G825" s="3"/>
      <c r="J825" s="3"/>
    </row>
    <row r="826">
      <c r="D826" s="3"/>
      <c r="G826" s="3"/>
      <c r="J826" s="3"/>
    </row>
    <row r="827">
      <c r="D827" s="3"/>
      <c r="G827" s="3"/>
      <c r="J827" s="3"/>
    </row>
    <row r="828">
      <c r="D828" s="3"/>
      <c r="G828" s="3"/>
      <c r="J828" s="3"/>
    </row>
    <row r="829">
      <c r="D829" s="3"/>
      <c r="G829" s="3"/>
      <c r="J829" s="3"/>
    </row>
    <row r="830">
      <c r="D830" s="3"/>
      <c r="G830" s="3"/>
      <c r="J830" s="3"/>
    </row>
    <row r="831">
      <c r="D831" s="3"/>
      <c r="G831" s="3"/>
      <c r="J831" s="3"/>
    </row>
    <row r="832">
      <c r="D832" s="3"/>
      <c r="G832" s="3"/>
      <c r="J832" s="3"/>
    </row>
    <row r="833">
      <c r="D833" s="3"/>
      <c r="G833" s="3"/>
      <c r="J833" s="3"/>
    </row>
    <row r="834">
      <c r="D834" s="3"/>
      <c r="G834" s="3"/>
      <c r="J834" s="3"/>
    </row>
    <row r="835">
      <c r="D835" s="3"/>
      <c r="G835" s="3"/>
      <c r="J835" s="3"/>
    </row>
    <row r="836">
      <c r="D836" s="3"/>
      <c r="G836" s="3"/>
      <c r="J836" s="3"/>
    </row>
    <row r="837">
      <c r="D837" s="3"/>
      <c r="G837" s="3"/>
      <c r="J837" s="3"/>
    </row>
    <row r="838">
      <c r="D838" s="3"/>
      <c r="G838" s="3"/>
      <c r="J838" s="3"/>
    </row>
    <row r="839">
      <c r="D839" s="3"/>
      <c r="G839" s="3"/>
      <c r="J839" s="3"/>
    </row>
    <row r="840">
      <c r="D840" s="3"/>
      <c r="G840" s="3"/>
      <c r="J840" s="3"/>
    </row>
    <row r="841">
      <c r="D841" s="3"/>
      <c r="G841" s="3"/>
      <c r="J841" s="3"/>
    </row>
    <row r="842">
      <c r="D842" s="3"/>
      <c r="G842" s="3"/>
      <c r="J842" s="3"/>
    </row>
    <row r="843">
      <c r="D843" s="3"/>
      <c r="G843" s="3"/>
      <c r="J843" s="3"/>
    </row>
    <row r="844">
      <c r="D844" s="3"/>
      <c r="G844" s="3"/>
      <c r="J844" s="3"/>
    </row>
    <row r="845">
      <c r="D845" s="3"/>
      <c r="G845" s="3"/>
      <c r="J845" s="3"/>
    </row>
    <row r="846">
      <c r="D846" s="3"/>
      <c r="G846" s="3"/>
      <c r="J846" s="3"/>
    </row>
    <row r="847">
      <c r="D847" s="3"/>
      <c r="G847" s="3"/>
      <c r="J847" s="3"/>
    </row>
    <row r="848">
      <c r="D848" s="3"/>
      <c r="G848" s="3"/>
      <c r="J848" s="3"/>
    </row>
    <row r="849">
      <c r="D849" s="3"/>
      <c r="G849" s="3"/>
      <c r="J849" s="3"/>
    </row>
    <row r="850">
      <c r="D850" s="3"/>
      <c r="G850" s="3"/>
      <c r="J850" s="3"/>
    </row>
    <row r="851">
      <c r="D851" s="3"/>
      <c r="G851" s="3"/>
      <c r="J851" s="3"/>
    </row>
    <row r="852">
      <c r="D852" s="3"/>
      <c r="G852" s="3"/>
      <c r="J852" s="3"/>
    </row>
    <row r="853">
      <c r="D853" s="3"/>
      <c r="G853" s="3"/>
      <c r="J853" s="3"/>
    </row>
    <row r="854">
      <c r="D854" s="3"/>
      <c r="G854" s="3"/>
      <c r="J854" s="3"/>
    </row>
    <row r="855">
      <c r="D855" s="3"/>
      <c r="G855" s="3"/>
      <c r="J855" s="3"/>
    </row>
    <row r="856">
      <c r="D856" s="3"/>
      <c r="G856" s="3"/>
      <c r="J856" s="3"/>
    </row>
    <row r="857">
      <c r="D857" s="3"/>
      <c r="G857" s="3"/>
      <c r="J857" s="3"/>
    </row>
    <row r="858">
      <c r="D858" s="3"/>
      <c r="G858" s="3"/>
      <c r="J858" s="3"/>
    </row>
    <row r="859">
      <c r="D859" s="3"/>
      <c r="G859" s="3"/>
      <c r="J859" s="3"/>
    </row>
    <row r="860">
      <c r="D860" s="3"/>
      <c r="G860" s="3"/>
      <c r="J860" s="3"/>
    </row>
    <row r="861">
      <c r="D861" s="3"/>
      <c r="G861" s="3"/>
      <c r="J861" s="3"/>
    </row>
    <row r="862">
      <c r="D862" s="3"/>
      <c r="G862" s="3"/>
      <c r="J862" s="3"/>
    </row>
    <row r="863">
      <c r="D863" s="3"/>
      <c r="G863" s="3"/>
      <c r="J863" s="3"/>
    </row>
    <row r="864">
      <c r="D864" s="3"/>
      <c r="G864" s="3"/>
      <c r="J864" s="3"/>
    </row>
    <row r="865">
      <c r="D865" s="3"/>
      <c r="G865" s="3"/>
      <c r="J865" s="3"/>
    </row>
    <row r="866">
      <c r="D866" s="3"/>
      <c r="G866" s="3"/>
      <c r="J866" s="3"/>
    </row>
    <row r="867">
      <c r="D867" s="3"/>
      <c r="G867" s="3"/>
      <c r="J867" s="3"/>
    </row>
    <row r="868">
      <c r="D868" s="3"/>
      <c r="G868" s="3"/>
      <c r="J868" s="3"/>
    </row>
    <row r="869">
      <c r="D869" s="3"/>
      <c r="G869" s="3"/>
      <c r="J869" s="3"/>
    </row>
    <row r="870">
      <c r="D870" s="3"/>
      <c r="G870" s="3"/>
      <c r="J870" s="3"/>
    </row>
    <row r="871">
      <c r="D871" s="3"/>
      <c r="G871" s="3"/>
      <c r="J871" s="3"/>
    </row>
    <row r="872">
      <c r="D872" s="3"/>
      <c r="G872" s="3"/>
      <c r="J872" s="3"/>
    </row>
    <row r="873">
      <c r="D873" s="3"/>
      <c r="G873" s="3"/>
      <c r="J873" s="3"/>
    </row>
    <row r="874">
      <c r="D874" s="3"/>
      <c r="G874" s="3"/>
      <c r="J874" s="3"/>
    </row>
    <row r="875">
      <c r="D875" s="3"/>
      <c r="G875" s="3"/>
      <c r="J875" s="3"/>
    </row>
    <row r="876">
      <c r="D876" s="3"/>
      <c r="G876" s="3"/>
      <c r="J876" s="3"/>
    </row>
    <row r="877">
      <c r="D877" s="3"/>
      <c r="G877" s="3"/>
      <c r="J877" s="3"/>
    </row>
    <row r="878">
      <c r="D878" s="3"/>
      <c r="G878" s="3"/>
      <c r="J878" s="3"/>
    </row>
    <row r="879">
      <c r="D879" s="3"/>
      <c r="G879" s="3"/>
      <c r="J879" s="3"/>
    </row>
    <row r="880">
      <c r="D880" s="3"/>
      <c r="G880" s="3"/>
      <c r="J880" s="3"/>
    </row>
    <row r="881">
      <c r="D881" s="3"/>
      <c r="G881" s="3"/>
      <c r="J881" s="3"/>
    </row>
    <row r="882">
      <c r="D882" s="3"/>
      <c r="G882" s="3"/>
      <c r="J882" s="3"/>
    </row>
    <row r="883">
      <c r="D883" s="3"/>
      <c r="G883" s="3"/>
      <c r="J883" s="3"/>
    </row>
    <row r="884">
      <c r="D884" s="3"/>
      <c r="G884" s="3"/>
      <c r="J884" s="3"/>
    </row>
    <row r="885">
      <c r="D885" s="3"/>
      <c r="G885" s="3"/>
      <c r="J885" s="3"/>
    </row>
    <row r="886">
      <c r="D886" s="3"/>
      <c r="G886" s="3"/>
      <c r="J886" s="3"/>
    </row>
    <row r="887">
      <c r="D887" s="3"/>
      <c r="G887" s="3"/>
      <c r="J887" s="3"/>
    </row>
    <row r="888">
      <c r="D888" s="3"/>
      <c r="G888" s="3"/>
      <c r="J888" s="3"/>
    </row>
    <row r="889">
      <c r="D889" s="3"/>
      <c r="G889" s="3"/>
      <c r="J889" s="3"/>
    </row>
    <row r="890">
      <c r="D890" s="3"/>
      <c r="G890" s="3"/>
      <c r="J890" s="3"/>
    </row>
    <row r="891">
      <c r="D891" s="3"/>
      <c r="G891" s="3"/>
      <c r="J891" s="3"/>
    </row>
    <row r="892">
      <c r="D892" s="3"/>
      <c r="G892" s="3"/>
      <c r="J892" s="3"/>
    </row>
    <row r="893">
      <c r="D893" s="3"/>
      <c r="G893" s="3"/>
      <c r="J893" s="3"/>
    </row>
    <row r="894">
      <c r="D894" s="3"/>
      <c r="G894" s="3"/>
      <c r="J894" s="3"/>
    </row>
    <row r="895">
      <c r="D895" s="3"/>
      <c r="G895" s="3"/>
      <c r="J895" s="3"/>
    </row>
    <row r="896">
      <c r="D896" s="3"/>
      <c r="G896" s="3"/>
      <c r="J896" s="3"/>
    </row>
    <row r="897">
      <c r="D897" s="3"/>
      <c r="G897" s="3"/>
      <c r="J897" s="3"/>
    </row>
    <row r="898">
      <c r="D898" s="3"/>
      <c r="G898" s="3"/>
      <c r="J898" s="3"/>
    </row>
    <row r="899">
      <c r="D899" s="3"/>
      <c r="G899" s="3"/>
      <c r="J899" s="3"/>
    </row>
    <row r="900">
      <c r="D900" s="3"/>
      <c r="G900" s="3"/>
      <c r="J900" s="3"/>
    </row>
    <row r="901">
      <c r="D901" s="3"/>
      <c r="G901" s="3"/>
      <c r="J901" s="3"/>
    </row>
    <row r="902">
      <c r="D902" s="3"/>
      <c r="G902" s="3"/>
      <c r="J902" s="3"/>
    </row>
    <row r="903">
      <c r="D903" s="3"/>
      <c r="G903" s="3"/>
      <c r="J903" s="3"/>
    </row>
    <row r="904">
      <c r="D904" s="3"/>
      <c r="G904" s="3"/>
      <c r="J904" s="3"/>
    </row>
    <row r="905">
      <c r="D905" s="3"/>
      <c r="G905" s="3"/>
      <c r="J905" s="3"/>
    </row>
    <row r="906">
      <c r="D906" s="3"/>
      <c r="G906" s="3"/>
      <c r="J906" s="3"/>
    </row>
    <row r="907">
      <c r="D907" s="3"/>
      <c r="G907" s="3"/>
      <c r="J907" s="3"/>
    </row>
    <row r="908">
      <c r="D908" s="3"/>
      <c r="G908" s="3"/>
      <c r="J908" s="3"/>
    </row>
    <row r="909">
      <c r="D909" s="3"/>
      <c r="G909" s="3"/>
      <c r="J909" s="3"/>
    </row>
    <row r="910">
      <c r="D910" s="3"/>
      <c r="G910" s="3"/>
      <c r="J910" s="3"/>
    </row>
    <row r="911">
      <c r="D911" s="3"/>
      <c r="G911" s="3"/>
      <c r="J911" s="3"/>
    </row>
    <row r="912">
      <c r="D912" s="3"/>
      <c r="G912" s="3"/>
      <c r="J912" s="3"/>
    </row>
    <row r="913">
      <c r="D913" s="3"/>
      <c r="G913" s="3"/>
      <c r="J913" s="3"/>
    </row>
    <row r="914">
      <c r="D914" s="3"/>
      <c r="G914" s="3"/>
      <c r="J914" s="3"/>
    </row>
    <row r="915">
      <c r="D915" s="3"/>
      <c r="G915" s="3"/>
      <c r="J915" s="3"/>
    </row>
    <row r="916">
      <c r="D916" s="3"/>
      <c r="G916" s="3"/>
      <c r="J916" s="3"/>
    </row>
    <row r="917">
      <c r="D917" s="3"/>
      <c r="G917" s="3"/>
      <c r="J917" s="3"/>
    </row>
    <row r="918">
      <c r="D918" s="3"/>
      <c r="G918" s="3"/>
      <c r="J918" s="3"/>
    </row>
    <row r="919">
      <c r="D919" s="3"/>
      <c r="G919" s="3"/>
      <c r="J919" s="3"/>
    </row>
    <row r="920">
      <c r="D920" s="3"/>
      <c r="G920" s="3"/>
      <c r="J920" s="3"/>
    </row>
    <row r="921">
      <c r="D921" s="3"/>
      <c r="G921" s="3"/>
      <c r="J921" s="3"/>
    </row>
    <row r="922">
      <c r="D922" s="3"/>
      <c r="G922" s="3"/>
      <c r="J922" s="3"/>
    </row>
    <row r="923">
      <c r="D923" s="3"/>
      <c r="G923" s="3"/>
      <c r="J923" s="3"/>
    </row>
    <row r="924">
      <c r="D924" s="3"/>
      <c r="G924" s="3"/>
      <c r="J924" s="3"/>
    </row>
    <row r="925">
      <c r="D925" s="3"/>
      <c r="G925" s="3"/>
      <c r="J925" s="3"/>
    </row>
    <row r="926">
      <c r="D926" s="3"/>
      <c r="G926" s="3"/>
      <c r="J926" s="3"/>
    </row>
    <row r="927">
      <c r="D927" s="3"/>
      <c r="G927" s="3"/>
      <c r="J927" s="3"/>
    </row>
    <row r="928">
      <c r="D928" s="3"/>
      <c r="G928" s="3"/>
      <c r="J928" s="3"/>
    </row>
    <row r="929">
      <c r="D929" s="3"/>
      <c r="G929" s="3"/>
      <c r="J929" s="3"/>
    </row>
    <row r="930">
      <c r="D930" s="3"/>
      <c r="G930" s="3"/>
      <c r="J930" s="3"/>
    </row>
    <row r="931">
      <c r="D931" s="3"/>
      <c r="G931" s="3"/>
      <c r="J931" s="3"/>
    </row>
    <row r="932">
      <c r="D932" s="3"/>
      <c r="G932" s="3"/>
      <c r="J932" s="3"/>
    </row>
    <row r="933">
      <c r="D933" s="3"/>
      <c r="G933" s="3"/>
      <c r="J933" s="3"/>
    </row>
    <row r="934">
      <c r="D934" s="3"/>
      <c r="G934" s="3"/>
      <c r="J934" s="3"/>
    </row>
    <row r="935">
      <c r="D935" s="3"/>
      <c r="G935" s="3"/>
      <c r="J935" s="3"/>
    </row>
    <row r="936">
      <c r="D936" s="3"/>
      <c r="G936" s="3"/>
      <c r="J936" s="3"/>
    </row>
    <row r="937">
      <c r="D937" s="3"/>
      <c r="G937" s="3"/>
      <c r="J937" s="3"/>
    </row>
    <row r="938">
      <c r="D938" s="3"/>
      <c r="G938" s="3"/>
      <c r="J938" s="3"/>
    </row>
    <row r="939">
      <c r="D939" s="3"/>
      <c r="G939" s="3"/>
      <c r="J939" s="3"/>
    </row>
    <row r="940">
      <c r="D940" s="3"/>
      <c r="G940" s="3"/>
      <c r="J940" s="3"/>
    </row>
    <row r="941">
      <c r="D941" s="3"/>
      <c r="G941" s="3"/>
      <c r="J941" s="3"/>
    </row>
    <row r="942">
      <c r="D942" s="3"/>
      <c r="G942" s="3"/>
      <c r="J942" s="3"/>
    </row>
    <row r="943">
      <c r="D943" s="3"/>
      <c r="G943" s="3"/>
      <c r="J943" s="3"/>
    </row>
    <row r="944">
      <c r="D944" s="3"/>
      <c r="G944" s="3"/>
      <c r="J944" s="3"/>
    </row>
    <row r="945">
      <c r="D945" s="3"/>
      <c r="G945" s="3"/>
      <c r="J945" s="3"/>
    </row>
    <row r="946">
      <c r="D946" s="3"/>
      <c r="G946" s="3"/>
      <c r="J946" s="3"/>
    </row>
    <row r="947">
      <c r="D947" s="3"/>
      <c r="G947" s="3"/>
      <c r="J947" s="3"/>
    </row>
    <row r="948">
      <c r="D948" s="3"/>
      <c r="G948" s="3"/>
      <c r="J948" s="3"/>
    </row>
    <row r="949">
      <c r="D949" s="3"/>
      <c r="G949" s="3"/>
      <c r="J949" s="3"/>
    </row>
    <row r="950">
      <c r="D950" s="3"/>
      <c r="G950" s="3"/>
      <c r="J950" s="3"/>
    </row>
    <row r="951">
      <c r="D951" s="3"/>
      <c r="G951" s="3"/>
      <c r="J951" s="3"/>
    </row>
    <row r="952">
      <c r="D952" s="3"/>
      <c r="G952" s="3"/>
      <c r="J952" s="3"/>
    </row>
    <row r="953">
      <c r="D953" s="3"/>
      <c r="G953" s="3"/>
      <c r="J953" s="3"/>
    </row>
    <row r="954">
      <c r="D954" s="3"/>
      <c r="G954" s="3"/>
      <c r="J954" s="3"/>
    </row>
    <row r="955">
      <c r="D955" s="3"/>
      <c r="G955" s="3"/>
      <c r="J955" s="3"/>
    </row>
    <row r="956">
      <c r="D956" s="3"/>
      <c r="G956" s="3"/>
      <c r="J956" s="3"/>
    </row>
    <row r="957">
      <c r="D957" s="3"/>
      <c r="G957" s="3"/>
      <c r="J957" s="3"/>
    </row>
    <row r="958">
      <c r="D958" s="3"/>
      <c r="G958" s="3"/>
      <c r="J958" s="3"/>
    </row>
    <row r="959">
      <c r="D959" s="3"/>
      <c r="G959" s="3"/>
      <c r="J959" s="3"/>
    </row>
    <row r="960">
      <c r="D960" s="3"/>
      <c r="G960" s="3"/>
      <c r="J960" s="3"/>
    </row>
    <row r="961">
      <c r="D961" s="3"/>
      <c r="G961" s="3"/>
      <c r="J961" s="3"/>
    </row>
    <row r="962">
      <c r="D962" s="3"/>
      <c r="G962" s="3"/>
      <c r="J962" s="3"/>
    </row>
    <row r="963">
      <c r="D963" s="3"/>
      <c r="G963" s="3"/>
      <c r="J963" s="3"/>
    </row>
    <row r="964">
      <c r="D964" s="3"/>
      <c r="G964" s="3"/>
      <c r="J964" s="3"/>
    </row>
    <row r="965">
      <c r="D965" s="3"/>
      <c r="G965" s="3"/>
      <c r="J965" s="3"/>
    </row>
    <row r="966">
      <c r="D966" s="3"/>
      <c r="G966" s="3"/>
      <c r="J966" s="3"/>
    </row>
    <row r="967">
      <c r="D967" s="3"/>
      <c r="G967" s="3"/>
      <c r="J967" s="3"/>
    </row>
    <row r="968">
      <c r="D968" s="3"/>
      <c r="G968" s="3"/>
      <c r="J968" s="3"/>
    </row>
    <row r="969">
      <c r="D969" s="3"/>
      <c r="G969" s="3"/>
      <c r="J969" s="3"/>
    </row>
    <row r="970">
      <c r="D970" s="3"/>
      <c r="G970" s="3"/>
      <c r="J970" s="3"/>
    </row>
    <row r="971">
      <c r="D971" s="3"/>
      <c r="G971" s="3"/>
      <c r="J971" s="3"/>
    </row>
    <row r="972">
      <c r="D972" s="3"/>
      <c r="G972" s="3"/>
      <c r="J972" s="3"/>
    </row>
    <row r="973">
      <c r="D973" s="3"/>
      <c r="G973" s="3"/>
      <c r="J973" s="3"/>
    </row>
    <row r="974">
      <c r="D974" s="3"/>
      <c r="G974" s="3"/>
      <c r="J974" s="3"/>
    </row>
    <row r="975">
      <c r="D975" s="3"/>
      <c r="G975" s="3"/>
      <c r="J975" s="3"/>
    </row>
    <row r="976">
      <c r="D976" s="3"/>
      <c r="G976" s="3"/>
      <c r="J976" s="3"/>
    </row>
    <row r="977">
      <c r="D977" s="3"/>
      <c r="G977" s="3"/>
      <c r="J977" s="3"/>
    </row>
    <row r="978">
      <c r="D978" s="3"/>
      <c r="G978" s="3"/>
      <c r="J978" s="3"/>
    </row>
    <row r="979">
      <c r="D979" s="3"/>
      <c r="G979" s="3"/>
      <c r="J979" s="3"/>
    </row>
    <row r="980">
      <c r="D980" s="3"/>
      <c r="G980" s="3"/>
      <c r="J980" s="3"/>
    </row>
    <row r="981">
      <c r="D981" s="3"/>
      <c r="G981" s="3"/>
      <c r="J981" s="3"/>
    </row>
    <row r="982">
      <c r="D982" s="3"/>
      <c r="G982" s="3"/>
      <c r="J982" s="3"/>
    </row>
    <row r="983">
      <c r="D983" s="3"/>
      <c r="G983" s="3"/>
      <c r="J983" s="3"/>
    </row>
    <row r="984">
      <c r="D984" s="3"/>
      <c r="G984" s="3"/>
      <c r="J984" s="3"/>
    </row>
    <row r="985">
      <c r="D985" s="3"/>
      <c r="G985" s="3"/>
      <c r="J985" s="3"/>
    </row>
    <row r="986">
      <c r="D986" s="3"/>
      <c r="G986" s="3"/>
      <c r="J986" s="3"/>
    </row>
    <row r="987">
      <c r="D987" s="3"/>
      <c r="G987" s="3"/>
      <c r="J987" s="3"/>
    </row>
    <row r="988">
      <c r="D988" s="3"/>
      <c r="G988" s="3"/>
      <c r="J988" s="3"/>
    </row>
    <row r="989">
      <c r="D989" s="3"/>
      <c r="G989" s="3"/>
      <c r="J989" s="3"/>
    </row>
    <row r="990">
      <c r="D990" s="3"/>
      <c r="G990" s="3"/>
      <c r="J990" s="3"/>
    </row>
    <row r="991">
      <c r="D991" s="3"/>
      <c r="G991" s="3"/>
      <c r="J991" s="3"/>
    </row>
    <row r="992">
      <c r="D992" s="3"/>
      <c r="G992" s="3"/>
      <c r="J992" s="3"/>
    </row>
    <row r="993">
      <c r="D993" s="3"/>
      <c r="G993" s="3"/>
      <c r="J993" s="3"/>
    </row>
    <row r="994">
      <c r="D994" s="3"/>
      <c r="G994" s="3"/>
      <c r="J994" s="3"/>
    </row>
    <row r="995">
      <c r="D995" s="3"/>
      <c r="G995" s="3"/>
      <c r="J995" s="3"/>
    </row>
    <row r="996">
      <c r="D996" s="3"/>
      <c r="G996" s="3"/>
      <c r="J996" s="3"/>
    </row>
    <row r="997">
      <c r="D997" s="3"/>
      <c r="G997" s="3"/>
      <c r="J997" s="3"/>
    </row>
    <row r="998">
      <c r="D998" s="3"/>
      <c r="G998" s="3"/>
      <c r="J998" s="3"/>
    </row>
    <row r="999">
      <c r="D999" s="3"/>
      <c r="G999" s="3"/>
      <c r="J999" s="3"/>
    </row>
    <row r="1000">
      <c r="D1000" s="3"/>
      <c r="G1000" s="3"/>
      <c r="J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>
        <f>IFERROR(__xludf.DUMMYFUNCTION("IFERROR(QUERY(JAN_2023!A:I, ""SELECT * WHERE D IS NOT NULL AND UPPER(I) = 'V_SALES'"", 1), ""Data V_SALES belum ditemukan"")"),44928.0)</f>
        <v>44928</v>
      </c>
      <c r="B1" s="14" t="str">
        <f>IFERROR(__xludf.DUMMYFUNCTION("""COMPUTED_VALUE"""),"TRSF E-BANKING DB")</f>
        <v>TRSF E-BANKING DB</v>
      </c>
      <c r="C1" s="14" t="str">
        <f>IFERROR(__xludf.DUMMYFUNCTION("""COMPUTED_VALUE"""),"TRSF E-BANKING DB 0201/FTSCY/WS95031 1649800.00 ANDE DOSO ANGGORO")</f>
        <v>TRSF E-BANKING DB 0201/FTSCY/WS95031 1649800.00 ANDE DOSO ANGGORO</v>
      </c>
      <c r="D1" s="3">
        <f>IFERROR(__xludf.DUMMYFUNCTION("""COMPUTED_VALUE"""),1649800.0)</f>
        <v>1649800</v>
      </c>
      <c r="E1" s="14"/>
      <c r="F1" s="14" t="str">
        <f>IFERROR(__xludf.DUMMYFUNCTION("""COMPUTED_VALUE"""),"DB")</f>
        <v>DB</v>
      </c>
      <c r="G1" s="3">
        <f>IFERROR(__xludf.DUMMYFUNCTION("""COMPUTED_VALUE"""),1.7711057113E8)</f>
        <v>177110571.1</v>
      </c>
      <c r="H1" s="14"/>
      <c r="I1" s="14" t="str">
        <f>IFERROR(__xludf.DUMMYFUNCTION("""COMPUTED_VALUE"""),"V_SALES")</f>
        <v>V_SALES</v>
      </c>
      <c r="J1" s="3">
        <f>SUM(D1:D1000) </f>
        <v>56073910</v>
      </c>
    </row>
    <row r="2">
      <c r="A2" s="14">
        <f>IFERROR(__xludf.DUMMYFUNCTION("""COMPUTED_VALUE"""),44929.0)</f>
        <v>44929</v>
      </c>
      <c r="B2" s="14" t="str">
        <f>IFERROR(__xludf.DUMMYFUNCTION("""COMPUTED_VALUE"""),"TRSF E-BANKING DB")</f>
        <v>TRSF E-BANKING DB</v>
      </c>
      <c r="C2" s="14" t="str">
        <f>IFERROR(__xludf.DUMMYFUNCTION("""COMPUTED_VALUE"""),"TRSF E-BANKING DB 0301/FTSCY/WS95031 3143000.00 NURHAYATI")</f>
        <v>TRSF E-BANKING DB 0301/FTSCY/WS95031 3143000.00 NURHAYATI</v>
      </c>
      <c r="D2" s="3">
        <f>IFERROR(__xludf.DUMMYFUNCTION("""COMPUTED_VALUE"""),3143000.0)</f>
        <v>3143000</v>
      </c>
      <c r="E2" s="14"/>
      <c r="F2" s="14" t="str">
        <f>IFERROR(__xludf.DUMMYFUNCTION("""COMPUTED_VALUE"""),"DB")</f>
        <v>DB</v>
      </c>
      <c r="G2" s="3">
        <f>IFERROR(__xludf.DUMMYFUNCTION("""COMPUTED_VALUE"""),2.3073021129999995E7)</f>
        <v>23073021.13</v>
      </c>
      <c r="H2" s="14"/>
      <c r="I2" s="14" t="str">
        <f>IFERROR(__xludf.DUMMYFUNCTION("""COMPUTED_VALUE"""),"V_SALES")</f>
        <v>V_SALES</v>
      </c>
      <c r="J2" s="3"/>
    </row>
    <row r="3">
      <c r="A3" s="14">
        <f>IFERROR(__xludf.DUMMYFUNCTION("""COMPUTED_VALUE"""),44929.0)</f>
        <v>44929</v>
      </c>
      <c r="B3" s="14" t="str">
        <f>IFERROR(__xludf.DUMMYFUNCTION("""COMPUTED_VALUE"""),"TRSF E-BANKING DB")</f>
        <v>TRSF E-BANKING DB</v>
      </c>
      <c r="C3" s="14" t="str">
        <f>IFERROR(__xludf.DUMMYFUNCTION("""COMPUTED_VALUE"""),"TRSF E-BANKING DB 0301/FTSCY/WS95031 595900.00 HALIM IBRAHIM")</f>
        <v>TRSF E-BANKING DB 0301/FTSCY/WS95031 595900.00 HALIM IBRAHIM</v>
      </c>
      <c r="D3" s="3">
        <f>IFERROR(__xludf.DUMMYFUNCTION("""COMPUTED_VALUE"""),595900.0)</f>
        <v>595900</v>
      </c>
      <c r="E3" s="14"/>
      <c r="F3" s="14" t="str">
        <f>IFERROR(__xludf.DUMMYFUNCTION("""COMPUTED_VALUE"""),"DB")</f>
        <v>DB</v>
      </c>
      <c r="G3" s="3">
        <f>IFERROR(__xludf.DUMMYFUNCTION("""COMPUTED_VALUE"""),1859695.1299999952)</f>
        <v>1859695.13</v>
      </c>
      <c r="H3" s="14"/>
      <c r="I3" s="14" t="str">
        <f>IFERROR(__xludf.DUMMYFUNCTION("""COMPUTED_VALUE"""),"V_SALES")</f>
        <v>V_SALES</v>
      </c>
      <c r="J3" s="3"/>
    </row>
    <row r="4">
      <c r="A4" s="14">
        <f>IFERROR(__xludf.DUMMYFUNCTION("""COMPUTED_VALUE"""),44931.0)</f>
        <v>44931</v>
      </c>
      <c r="B4" s="14" t="str">
        <f>IFERROR(__xludf.DUMMYFUNCTION("""COMPUTED_VALUE"""),"TRSF E-BANKING DB")</f>
        <v>TRSF E-BANKING DB</v>
      </c>
      <c r="C4" s="14" t="str">
        <f>IFERROR(__xludf.DUMMYFUNCTION("""COMPUTED_VALUE"""),"TRSF E-BANKING DB 0501/FTSCY/WS95271 5135500.00 ANDE DOSO ANGGORO")</f>
        <v>TRSF E-BANKING DB 0501/FTSCY/WS95271 5135500.00 ANDE DOSO ANGGORO</v>
      </c>
      <c r="D4" s="3">
        <f>IFERROR(__xludf.DUMMYFUNCTION("""COMPUTED_VALUE"""),5135500.0)</f>
        <v>5135500</v>
      </c>
      <c r="E4" s="14"/>
      <c r="F4" s="14" t="str">
        <f>IFERROR(__xludf.DUMMYFUNCTION("""COMPUTED_VALUE"""),"DB")</f>
        <v>DB</v>
      </c>
      <c r="G4" s="3">
        <f>IFERROR(__xludf.DUMMYFUNCTION("""COMPUTED_VALUE"""),7.9961889513E8)</f>
        <v>799618895.1</v>
      </c>
      <c r="H4" s="14"/>
      <c r="I4" s="14" t="str">
        <f>IFERROR(__xludf.DUMMYFUNCTION("""COMPUTED_VALUE"""),"V_SALES")</f>
        <v>V_SALES</v>
      </c>
      <c r="J4" s="3"/>
    </row>
    <row r="5">
      <c r="A5" s="14">
        <f>IFERROR(__xludf.DUMMYFUNCTION("""COMPUTED_VALUE"""),44931.0)</f>
        <v>44931</v>
      </c>
      <c r="B5" s="14" t="str">
        <f>IFERROR(__xludf.DUMMYFUNCTION("""COMPUTED_VALUE"""),"TRSF E-BANKING DB")</f>
        <v>TRSF E-BANKING DB</v>
      </c>
      <c r="C5" s="14" t="str">
        <f>IFERROR(__xludf.DUMMYFUNCTION("""COMPUTED_VALUE"""),"TRSF E-BANKING DB 0501/FTSCY/WS95031 605380.00 NURHAYATI")</f>
        <v>TRSF E-BANKING DB 0501/FTSCY/WS95031 605380.00 NURHAYATI</v>
      </c>
      <c r="D5" s="3">
        <f>IFERROR(__xludf.DUMMYFUNCTION("""COMPUTED_VALUE"""),605380.0)</f>
        <v>605380</v>
      </c>
      <c r="E5" s="14"/>
      <c r="F5" s="14" t="str">
        <f>IFERROR(__xludf.DUMMYFUNCTION("""COMPUTED_VALUE"""),"DB")</f>
        <v>DB</v>
      </c>
      <c r="G5" s="3">
        <f>IFERROR(__xludf.DUMMYFUNCTION("""COMPUTED_VALUE"""),2.2319755513E8)</f>
        <v>223197555.1</v>
      </c>
      <c r="H5" s="14"/>
      <c r="I5" s="14" t="str">
        <f>IFERROR(__xludf.DUMMYFUNCTION("""COMPUTED_VALUE"""),"V_SALES")</f>
        <v>V_SALES</v>
      </c>
      <c r="J5" s="3"/>
    </row>
    <row r="6">
      <c r="A6" s="14">
        <f>IFERROR(__xludf.DUMMYFUNCTION("""COMPUTED_VALUE"""),44931.0)</f>
        <v>44931</v>
      </c>
      <c r="B6" s="14" t="str">
        <f>IFERROR(__xludf.DUMMYFUNCTION("""COMPUTED_VALUE"""),"TRSF E-BANKING DB")</f>
        <v>TRSF E-BANKING DB</v>
      </c>
      <c r="C6" s="14" t="str">
        <f>IFERROR(__xludf.DUMMYFUNCTION("""COMPUTED_VALUE"""),"TRSF E-BANKING DB 0501/FTSCY/WS95031 1818980.00 HALIM IBRAHIM")</f>
        <v>TRSF E-BANKING DB 0501/FTSCY/WS95031 1818980.00 HALIM IBRAHIM</v>
      </c>
      <c r="D6" s="3">
        <f>IFERROR(__xludf.DUMMYFUNCTION("""COMPUTED_VALUE"""),1818980.0)</f>
        <v>1818980</v>
      </c>
      <c r="E6" s="14"/>
      <c r="F6" s="14" t="str">
        <f>IFERROR(__xludf.DUMMYFUNCTION("""COMPUTED_VALUE"""),"DB")</f>
        <v>DB</v>
      </c>
      <c r="G6" s="3">
        <f>IFERROR(__xludf.DUMMYFUNCTION("""COMPUTED_VALUE"""),2.2137857513E8)</f>
        <v>221378575.1</v>
      </c>
      <c r="H6" s="14"/>
      <c r="I6" s="14" t="str">
        <f>IFERROR(__xludf.DUMMYFUNCTION("""COMPUTED_VALUE"""),"V_SALES")</f>
        <v>V_SALES</v>
      </c>
      <c r="J6" s="3"/>
    </row>
    <row r="7">
      <c r="A7" s="14">
        <f>IFERROR(__xludf.DUMMYFUNCTION("""COMPUTED_VALUE"""),44933.0)</f>
        <v>44933</v>
      </c>
      <c r="B7" s="14" t="str">
        <f>IFERROR(__xludf.DUMMYFUNCTION("""COMPUTED_VALUE"""),"TRSF E-BANKING DB")</f>
        <v>TRSF E-BANKING DB</v>
      </c>
      <c r="C7" s="14" t="str">
        <f>IFERROR(__xludf.DUMMYFUNCTION("""COMPUTED_VALUE"""),"TRSF E-BANKING DB 0701/FTSCY/WS95031 1800650.00 NURHAYATI")</f>
        <v>TRSF E-BANKING DB 0701/FTSCY/WS95031 1800650.00 NURHAYATI</v>
      </c>
      <c r="D7" s="3">
        <f>IFERROR(__xludf.DUMMYFUNCTION("""COMPUTED_VALUE"""),1800650.0)</f>
        <v>1800650</v>
      </c>
      <c r="E7" s="14"/>
      <c r="F7" s="14" t="str">
        <f>IFERROR(__xludf.DUMMYFUNCTION("""COMPUTED_VALUE"""),"DB")</f>
        <v>DB</v>
      </c>
      <c r="G7" s="3">
        <f>IFERROR(__xludf.DUMMYFUNCTION("""COMPUTED_VALUE"""),1.5502648213E8)</f>
        <v>155026482.1</v>
      </c>
      <c r="H7" s="14"/>
      <c r="I7" s="14" t="str">
        <f>IFERROR(__xludf.DUMMYFUNCTION("""COMPUTED_VALUE"""),"V_SALES")</f>
        <v>V_SALES</v>
      </c>
      <c r="J7" s="3"/>
    </row>
    <row r="8">
      <c r="A8" s="14">
        <f>IFERROR(__xludf.DUMMYFUNCTION("""COMPUTED_VALUE"""),44933.0)</f>
        <v>44933</v>
      </c>
      <c r="B8" s="14" t="str">
        <f>IFERROR(__xludf.DUMMYFUNCTION("""COMPUTED_VALUE"""),"TRSF E-BANKING DB")</f>
        <v>TRSF E-BANKING DB</v>
      </c>
      <c r="C8" s="14" t="str">
        <f>IFERROR(__xludf.DUMMYFUNCTION("""COMPUTED_VALUE"""),"TRSF E-BANKING DB 0701/FTSCY/WS95031 3400000.00 titip NUR FAIZIN")</f>
        <v>TRSF E-BANKING DB 0701/FTSCY/WS95031 3400000.00 titip NUR FAIZIN</v>
      </c>
      <c r="D8" s="3">
        <f>IFERROR(__xludf.DUMMYFUNCTION("""COMPUTED_VALUE"""),3400000.0)</f>
        <v>3400000</v>
      </c>
      <c r="E8" s="14"/>
      <c r="F8" s="14" t="str">
        <f>IFERROR(__xludf.DUMMYFUNCTION("""COMPUTED_VALUE"""),"DB")</f>
        <v>DB</v>
      </c>
      <c r="G8" s="3">
        <f>IFERROR(__xludf.DUMMYFUNCTION("""COMPUTED_VALUE"""),4.8425622129999995E7)</f>
        <v>48425622.13</v>
      </c>
      <c r="H8" s="14"/>
      <c r="I8" s="14" t="str">
        <f>IFERROR(__xludf.DUMMYFUNCTION("""COMPUTED_VALUE"""),"V_SALES")</f>
        <v>V_SALES</v>
      </c>
      <c r="J8" s="3"/>
    </row>
    <row r="9">
      <c r="A9" s="14">
        <f>IFERROR(__xludf.DUMMYFUNCTION("""COMPUTED_VALUE"""),44935.0)</f>
        <v>44935</v>
      </c>
      <c r="B9" s="14" t="str">
        <f>IFERROR(__xludf.DUMMYFUNCTION("""COMPUTED_VALUE"""),"TRSF E-BANKING DB")</f>
        <v>TRSF E-BANKING DB</v>
      </c>
      <c r="C9" s="14" t="str">
        <f>IFERROR(__xludf.DUMMYFUNCTION("""COMPUTED_VALUE"""),"TRSF E-BANKING DB 0901/FTSCY/WS95031 1821400.00 HALIM IBRAHIM")</f>
        <v>TRSF E-BANKING DB 0901/FTSCY/WS95031 1821400.00 HALIM IBRAHIM</v>
      </c>
      <c r="D9" s="3">
        <f>IFERROR(__xludf.DUMMYFUNCTION("""COMPUTED_VALUE"""),1821400.0)</f>
        <v>1821400</v>
      </c>
      <c r="E9" s="14"/>
      <c r="F9" s="14" t="str">
        <f>IFERROR(__xludf.DUMMYFUNCTION("""COMPUTED_VALUE"""),"DB")</f>
        <v>DB</v>
      </c>
      <c r="G9" s="3">
        <f>IFERROR(__xludf.DUMMYFUNCTION("""COMPUTED_VALUE"""),4.8771622129999995E7)</f>
        <v>48771622.13</v>
      </c>
      <c r="H9" s="14"/>
      <c r="I9" s="14" t="str">
        <f>IFERROR(__xludf.DUMMYFUNCTION("""COMPUTED_VALUE"""),"V_SALES")</f>
        <v>V_SALES</v>
      </c>
      <c r="J9" s="3"/>
    </row>
    <row r="10">
      <c r="A10" s="14">
        <f>IFERROR(__xludf.DUMMYFUNCTION("""COMPUTED_VALUE"""),44938.0)</f>
        <v>44938</v>
      </c>
      <c r="B10" s="14" t="str">
        <f>IFERROR(__xludf.DUMMYFUNCTION("""COMPUTED_VALUE"""),"TRSF E-BANKING DB")</f>
        <v>TRSF E-BANKING DB</v>
      </c>
      <c r="C10" s="14" t="str">
        <f>IFERROR(__xludf.DUMMYFUNCTION("""COMPUTED_VALUE"""),"TRSF E-BANKING DB 1201/FTSCY/WS95031 1200000.00 HALIM IBRAHIM")</f>
        <v>TRSF E-BANKING DB 1201/FTSCY/WS95031 1200000.00 HALIM IBRAHIM</v>
      </c>
      <c r="D10" s="3">
        <f>IFERROR(__xludf.DUMMYFUNCTION("""COMPUTED_VALUE"""),1200000.0)</f>
        <v>1200000</v>
      </c>
      <c r="E10" s="14"/>
      <c r="F10" s="14" t="str">
        <f>IFERROR(__xludf.DUMMYFUNCTION("""COMPUTED_VALUE"""),"DB")</f>
        <v>DB</v>
      </c>
      <c r="G10" s="3">
        <f>IFERROR(__xludf.DUMMYFUNCTION("""COMPUTED_VALUE"""),4.167535991300001E8)</f>
        <v>416753599.1</v>
      </c>
      <c r="H10" s="14"/>
      <c r="I10" s="14" t="str">
        <f>IFERROR(__xludf.DUMMYFUNCTION("""COMPUTED_VALUE"""),"V_SALES")</f>
        <v>V_SALES</v>
      </c>
      <c r="J10" s="3"/>
    </row>
    <row r="11">
      <c r="A11" s="14">
        <f>IFERROR(__xludf.DUMMYFUNCTION("""COMPUTED_VALUE"""),44939.0)</f>
        <v>44939</v>
      </c>
      <c r="B11" s="14" t="str">
        <f>IFERROR(__xludf.DUMMYFUNCTION("""COMPUTED_VALUE"""),"TRSF E-BANKING DB")</f>
        <v>TRSF E-BANKING DB</v>
      </c>
      <c r="C11" s="14" t="str">
        <f>IFERROR(__xludf.DUMMYFUNCTION("""COMPUTED_VALUE"""),"TRSF E-BANKING DB 1301/FTSCY/WS95031 3000000.00 NURHAYATI")</f>
        <v>TRSF E-BANKING DB 1301/FTSCY/WS95031 3000000.00 NURHAYATI</v>
      </c>
      <c r="D11" s="3">
        <f>IFERROR(__xludf.DUMMYFUNCTION("""COMPUTED_VALUE"""),3000000.0)</f>
        <v>3000000</v>
      </c>
      <c r="E11" s="14"/>
      <c r="F11" s="14" t="str">
        <f>IFERROR(__xludf.DUMMYFUNCTION("""COMPUTED_VALUE"""),"DB")</f>
        <v>DB</v>
      </c>
      <c r="G11" s="3">
        <f>IFERROR(__xludf.DUMMYFUNCTION("""COMPUTED_VALUE"""),8300889.130000114)</f>
        <v>8300889.13</v>
      </c>
      <c r="H11" s="14"/>
      <c r="I11" s="14" t="str">
        <f>IFERROR(__xludf.DUMMYFUNCTION("""COMPUTED_VALUE"""),"V_SALES")</f>
        <v>V_SALES</v>
      </c>
      <c r="J11" s="3"/>
    </row>
    <row r="12">
      <c r="A12" s="14">
        <f>IFERROR(__xludf.DUMMYFUNCTION("""COMPUTED_VALUE"""),44940.0)</f>
        <v>44940</v>
      </c>
      <c r="B12" s="14" t="str">
        <f>IFERROR(__xludf.DUMMYFUNCTION("""COMPUTED_VALUE"""),"TRSF E-BANKING DB")</f>
        <v>TRSF E-BANKING DB</v>
      </c>
      <c r="C12" s="14" t="str">
        <f>IFERROR(__xludf.DUMMYFUNCTION("""COMPUTED_VALUE"""),"TRSF E-BANKING DB 1401/FTSCY/WS95031 285690.00 ANDE DOSO ANGGORO")</f>
        <v>TRSF E-BANKING DB 1401/FTSCY/WS95031 285690.00 ANDE DOSO ANGGORO</v>
      </c>
      <c r="D12" s="3">
        <f>IFERROR(__xludf.DUMMYFUNCTION("""COMPUTED_VALUE"""),285690.0)</f>
        <v>285690</v>
      </c>
      <c r="E12" s="14"/>
      <c r="F12" s="14" t="str">
        <f>IFERROR(__xludf.DUMMYFUNCTION("""COMPUTED_VALUE"""),"DB")</f>
        <v>DB</v>
      </c>
      <c r="G12" s="3">
        <f>IFERROR(__xludf.DUMMYFUNCTION("""COMPUTED_VALUE"""),6.122446891300001E8)</f>
        <v>612244689.1</v>
      </c>
      <c r="H12" s="14"/>
      <c r="I12" s="14" t="str">
        <f>IFERROR(__xludf.DUMMYFUNCTION("""COMPUTED_VALUE"""),"V_SALES")</f>
        <v>V_SALES</v>
      </c>
      <c r="J12" s="3"/>
    </row>
    <row r="13">
      <c r="A13" s="14">
        <f>IFERROR(__xludf.DUMMYFUNCTION("""COMPUTED_VALUE"""),44940.0)</f>
        <v>44940</v>
      </c>
      <c r="B13" s="14" t="str">
        <f>IFERROR(__xludf.DUMMYFUNCTION("""COMPUTED_VALUE"""),"TRSF E-BANKING DB")</f>
        <v>TRSF E-BANKING DB</v>
      </c>
      <c r="C13" s="14" t="str">
        <f>IFERROR(__xludf.DUMMYFUNCTION("""COMPUTED_VALUE"""),"TRSF E-BANKING DB 1401/FTSCY/WS95031 4099250.00 NURHAYATI")</f>
        <v>TRSF E-BANKING DB 1401/FTSCY/WS95031 4099250.00 NURHAYATI</v>
      </c>
      <c r="D13" s="3">
        <f>IFERROR(__xludf.DUMMYFUNCTION("""COMPUTED_VALUE"""),4099250.0)</f>
        <v>4099250</v>
      </c>
      <c r="E13" s="14"/>
      <c r="F13" s="14" t="str">
        <f>IFERROR(__xludf.DUMMYFUNCTION("""COMPUTED_VALUE"""),"DB")</f>
        <v>DB</v>
      </c>
      <c r="G13" s="3">
        <f>IFERROR(__xludf.DUMMYFUNCTION("""COMPUTED_VALUE"""),1.877711891300001E8)</f>
        <v>187771189.1</v>
      </c>
      <c r="H13" s="14">
        <f>IFERROR(__xludf.DUMMYFUNCTION("""COMPUTED_VALUE"""),1.8777118913E8)</f>
        <v>187771189.1</v>
      </c>
      <c r="I13" s="14" t="str">
        <f>IFERROR(__xludf.DUMMYFUNCTION("""COMPUTED_VALUE"""),"V_SALES")</f>
        <v>V_SALES</v>
      </c>
      <c r="J13" s="3"/>
    </row>
    <row r="14">
      <c r="A14" s="14">
        <f>IFERROR(__xludf.DUMMYFUNCTION("""COMPUTED_VALUE"""),44943.0)</f>
        <v>44943</v>
      </c>
      <c r="B14" s="14" t="str">
        <f>IFERROR(__xludf.DUMMYFUNCTION("""COMPUTED_VALUE"""),"TRSF E-BANKING DB")</f>
        <v>TRSF E-BANKING DB</v>
      </c>
      <c r="C14" s="14" t="str">
        <f>IFERROR(__xludf.DUMMYFUNCTION("""COMPUTED_VALUE"""),"TRSF E-BANKING DB 1701/FTSCY/WS95271 1200680.00 HALIM IBRAHIM")</f>
        <v>TRSF E-BANKING DB 1701/FTSCY/WS95271 1200680.00 HALIM IBRAHIM</v>
      </c>
      <c r="D14" s="3">
        <f>IFERROR(__xludf.DUMMYFUNCTION("""COMPUTED_VALUE"""),1200680.0)</f>
        <v>1200680</v>
      </c>
      <c r="E14" s="14"/>
      <c r="F14" s="14" t="str">
        <f>IFERROR(__xludf.DUMMYFUNCTION("""COMPUTED_VALUE"""),"DB")</f>
        <v>DB</v>
      </c>
      <c r="G14" s="3">
        <f>IFERROR(__xludf.DUMMYFUNCTION("""COMPUTED_VALUE"""),1.5751125130000114E7)</f>
        <v>15751125.13</v>
      </c>
      <c r="H14" s="14"/>
      <c r="I14" s="14" t="str">
        <f>IFERROR(__xludf.DUMMYFUNCTION("""COMPUTED_VALUE"""),"V_SALES")</f>
        <v>V_SALES</v>
      </c>
      <c r="J14" s="3"/>
    </row>
    <row r="15">
      <c r="A15" s="14">
        <f>IFERROR(__xludf.DUMMYFUNCTION("""COMPUTED_VALUE"""),44944.0)</f>
        <v>44944</v>
      </c>
      <c r="B15" s="14" t="str">
        <f>IFERROR(__xludf.DUMMYFUNCTION("""COMPUTED_VALUE"""),"TRSF E-BANKING DB")</f>
        <v>TRSF E-BANKING DB</v>
      </c>
      <c r="C15" s="14" t="str">
        <f>IFERROR(__xludf.DUMMYFUNCTION("""COMPUTED_VALUE"""),"TRSF E-BANKING DB 1801/FTSCY/WS95031 11270250.00 NURHAYATI")</f>
        <v>TRSF E-BANKING DB 1801/FTSCY/WS95031 11270250.00 NURHAYATI</v>
      </c>
      <c r="D15" s="3">
        <f>IFERROR(__xludf.DUMMYFUNCTION("""COMPUTED_VALUE"""),1.127025E7)</f>
        <v>11270250</v>
      </c>
      <c r="E15" s="14"/>
      <c r="F15" s="14" t="str">
        <f>IFERROR(__xludf.DUMMYFUNCTION("""COMPUTED_VALUE"""),"DB")</f>
        <v>DB</v>
      </c>
      <c r="G15" s="3">
        <f>IFERROR(__xludf.DUMMYFUNCTION("""COMPUTED_VALUE"""),1.360090251300001E8)</f>
        <v>136009025.1</v>
      </c>
      <c r="H15" s="14"/>
      <c r="I15" s="14" t="str">
        <f>IFERROR(__xludf.DUMMYFUNCTION("""COMPUTED_VALUE"""),"V_SALES")</f>
        <v>V_SALES</v>
      </c>
      <c r="J15" s="3"/>
    </row>
    <row r="16">
      <c r="A16" s="14">
        <f>IFERROR(__xludf.DUMMYFUNCTION("""COMPUTED_VALUE"""),44945.0)</f>
        <v>44945</v>
      </c>
      <c r="B16" s="14" t="str">
        <f>IFERROR(__xludf.DUMMYFUNCTION("""COMPUTED_VALUE"""),"TRSF E-BANKING DB")</f>
        <v>TRSF E-BANKING DB</v>
      </c>
      <c r="C16" s="14" t="str">
        <f>IFERROR(__xludf.DUMMYFUNCTION("""COMPUTED_VALUE"""),"TRSF E-BANKING DB 1901/FTSCY/WS95271 1897820.00 HALIM IBRAHIM")</f>
        <v>TRSF E-BANKING DB 1901/FTSCY/WS95271 1897820.00 HALIM IBRAHIM</v>
      </c>
      <c r="D16" s="3">
        <f>IFERROR(__xludf.DUMMYFUNCTION("""COMPUTED_VALUE"""),1897820.0)</f>
        <v>1897820</v>
      </c>
      <c r="E16" s="14"/>
      <c r="F16" s="14" t="str">
        <f>IFERROR(__xludf.DUMMYFUNCTION("""COMPUTED_VALUE"""),"DB")</f>
        <v>DB</v>
      </c>
      <c r="G16" s="3">
        <f>IFERROR(__xludf.DUMMYFUNCTION("""COMPUTED_VALUE"""),1.4165295130000114E7)</f>
        <v>14165295.13</v>
      </c>
      <c r="H16" s="14"/>
      <c r="I16" s="14" t="str">
        <f>IFERROR(__xludf.DUMMYFUNCTION("""COMPUTED_VALUE"""),"V_SALES")</f>
        <v>V_SALES</v>
      </c>
      <c r="J16" s="3"/>
    </row>
    <row r="17">
      <c r="A17" s="14">
        <f>IFERROR(__xludf.DUMMYFUNCTION("""COMPUTED_VALUE"""),44946.0)</f>
        <v>44946</v>
      </c>
      <c r="B17" s="14" t="str">
        <f>IFERROR(__xludf.DUMMYFUNCTION("""COMPUTED_VALUE"""),"TRSF E-BANKING DB")</f>
        <v>TRSF E-BANKING DB</v>
      </c>
      <c r="C17" s="14" t="str">
        <f>IFERROR(__xludf.DUMMYFUNCTION("""COMPUTED_VALUE"""),"TRSF E-BANKING DB 2001/FTSCY/WS95031 1340540.00 1801 NURHAYATI")</f>
        <v>TRSF E-BANKING DB 2001/FTSCY/WS95031 1340540.00 1801 NURHAYATI</v>
      </c>
      <c r="D17" s="3">
        <f>IFERROR(__xludf.DUMMYFUNCTION("""COMPUTED_VALUE"""),1340540.0)</f>
        <v>1340540</v>
      </c>
      <c r="E17" s="14"/>
      <c r="F17" s="14" t="str">
        <f>IFERROR(__xludf.DUMMYFUNCTION("""COMPUTED_VALUE"""),"DB")</f>
        <v>DB</v>
      </c>
      <c r="G17" s="3">
        <f>IFERROR(__xludf.DUMMYFUNCTION("""COMPUTED_VALUE"""),3.618472551300001E8)</f>
        <v>361847255.1</v>
      </c>
      <c r="H17" s="14"/>
      <c r="I17" s="14" t="str">
        <f>IFERROR(__xludf.DUMMYFUNCTION("""COMPUTED_VALUE"""),"V_SALES")</f>
        <v>V_SALES</v>
      </c>
      <c r="J17" s="3"/>
    </row>
    <row r="18">
      <c r="A18" s="14">
        <f>IFERROR(__xludf.DUMMYFUNCTION("""COMPUTED_VALUE"""),44946.0)</f>
        <v>44946</v>
      </c>
      <c r="B18" s="14" t="str">
        <f>IFERROR(__xludf.DUMMYFUNCTION("""COMPUTED_VALUE"""),"TRSF E-BANKING DB")</f>
        <v>TRSF E-BANKING DB</v>
      </c>
      <c r="C18" s="14" t="str">
        <f>IFERROR(__xludf.DUMMYFUNCTION("""COMPUTED_VALUE"""),"TRSF E-BANKING DB 2001/FTSCY/WS95031 3733480.00 NURHAYATI")</f>
        <v>TRSF E-BANKING DB 2001/FTSCY/WS95031 3733480.00 NURHAYATI</v>
      </c>
      <c r="D18" s="3">
        <f>IFERROR(__xludf.DUMMYFUNCTION("""COMPUTED_VALUE"""),3733480.0)</f>
        <v>3733480</v>
      </c>
      <c r="E18" s="14"/>
      <c r="F18" s="14" t="str">
        <f>IFERROR(__xludf.DUMMYFUNCTION("""COMPUTED_VALUE"""),"DB")</f>
        <v>DB</v>
      </c>
      <c r="G18" s="3">
        <f>IFERROR(__xludf.DUMMYFUNCTION("""COMPUTED_VALUE"""),3.581137751300001E8)</f>
        <v>358113775.1</v>
      </c>
      <c r="H18" s="14"/>
      <c r="I18" s="14" t="str">
        <f>IFERROR(__xludf.DUMMYFUNCTION("""COMPUTED_VALUE"""),"V_SALES")</f>
        <v>V_SALES</v>
      </c>
      <c r="J18" s="3"/>
    </row>
    <row r="19">
      <c r="A19" s="14">
        <f>IFERROR(__xludf.DUMMYFUNCTION("""COMPUTED_VALUE"""),44949.0)</f>
        <v>44949</v>
      </c>
      <c r="B19" s="14" t="str">
        <f>IFERROR(__xludf.DUMMYFUNCTION("""COMPUTED_VALUE"""),"TRSF E-BANKING DB")</f>
        <v>TRSF E-BANKING DB</v>
      </c>
      <c r="C19" s="14" t="str">
        <f>IFERROR(__xludf.DUMMYFUNCTION("""COMPUTED_VALUE"""),"TRSF E-BANKING DB 2301/FTSCY/WS95031 382050.00 SITI RAHMA IFTITAH")</f>
        <v>TRSF E-BANKING DB 2301/FTSCY/WS95031 382050.00 SITI RAHMA IFTITAH</v>
      </c>
      <c r="D19" s="3">
        <f>IFERROR(__xludf.DUMMYFUNCTION("""COMPUTED_VALUE"""),382050.0)</f>
        <v>382050</v>
      </c>
      <c r="E19" s="14"/>
      <c r="F19" s="14" t="str">
        <f>IFERROR(__xludf.DUMMYFUNCTION("""COMPUTED_VALUE"""),"DB")</f>
        <v>DB</v>
      </c>
      <c r="G19" s="3">
        <f>IFERROR(__xludf.DUMMYFUNCTION("""COMPUTED_VALUE"""),1.7254385130000114E7)</f>
        <v>17254385.13</v>
      </c>
      <c r="H19" s="14"/>
      <c r="I19" s="14" t="str">
        <f>IFERROR(__xludf.DUMMYFUNCTION("""COMPUTED_VALUE"""),"V_SALES")</f>
        <v>V_SALES</v>
      </c>
      <c r="J19" s="3"/>
    </row>
    <row r="20">
      <c r="A20" s="14">
        <f>IFERROR(__xludf.DUMMYFUNCTION("""COMPUTED_VALUE"""),44950.0)</f>
        <v>44950</v>
      </c>
      <c r="B20" s="14" t="str">
        <f>IFERROR(__xludf.DUMMYFUNCTION("""COMPUTED_VALUE"""),"TRSF E-BANKING DB")</f>
        <v>TRSF E-BANKING DB</v>
      </c>
      <c r="C20" s="14" t="str">
        <f>IFERROR(__xludf.DUMMYFUNCTION("""COMPUTED_VALUE"""),"TRSF E-BANKING DB 2401/FTSCY/WS95031 1369770.00 NURHAYATI")</f>
        <v>TRSF E-BANKING DB 2401/FTSCY/WS95031 1369770.00 NURHAYATI</v>
      </c>
      <c r="D20" s="3">
        <f>IFERROR(__xludf.DUMMYFUNCTION("""COMPUTED_VALUE"""),1369770.0)</f>
        <v>1369770</v>
      </c>
      <c r="E20" s="14"/>
      <c r="F20" s="14" t="str">
        <f>IFERROR(__xludf.DUMMYFUNCTION("""COMPUTED_VALUE"""),"DB")</f>
        <v>DB</v>
      </c>
      <c r="G20" s="3">
        <f>IFERROR(__xludf.DUMMYFUNCTION("""COMPUTED_VALUE"""),3.8799985130000114E7)</f>
        <v>38799985.13</v>
      </c>
      <c r="H20" s="14"/>
      <c r="I20" s="14" t="str">
        <f>IFERROR(__xludf.DUMMYFUNCTION("""COMPUTED_VALUE"""),"V_SALES")</f>
        <v>V_SALES</v>
      </c>
      <c r="J20" s="3"/>
    </row>
    <row r="21">
      <c r="A21" s="14">
        <f>IFERROR(__xludf.DUMMYFUNCTION("""COMPUTED_VALUE"""),44953.0)</f>
        <v>44953</v>
      </c>
      <c r="B21" s="14" t="str">
        <f>IFERROR(__xludf.DUMMYFUNCTION("""COMPUTED_VALUE"""),"TRSF E-BANKING DB")</f>
        <v>TRSF E-BANKING DB</v>
      </c>
      <c r="C21" s="14" t="str">
        <f>IFERROR(__xludf.DUMMYFUNCTION("""COMPUTED_VALUE"""),"TRSF E-BANKING DB 2701/FTSCY/WS95031 800000.00 RIZKI NOVALDHI WIC")</f>
        <v>TRSF E-BANKING DB 2701/FTSCY/WS95031 800000.00 RIZKI NOVALDHI WIC</v>
      </c>
      <c r="D21" s="3">
        <f>IFERROR(__xludf.DUMMYFUNCTION("""COMPUTED_VALUE"""),800000.0)</f>
        <v>800000</v>
      </c>
      <c r="E21" s="14"/>
      <c r="F21" s="14" t="str">
        <f>IFERROR(__xludf.DUMMYFUNCTION("""COMPUTED_VALUE"""),"DB")</f>
        <v>DB</v>
      </c>
      <c r="G21" s="3">
        <f>IFERROR(__xludf.DUMMYFUNCTION("""COMPUTED_VALUE"""),2.368440901300001E8)</f>
        <v>236844090.1</v>
      </c>
      <c r="H21" s="14"/>
      <c r="I21" s="14" t="str">
        <f>IFERROR(__xludf.DUMMYFUNCTION("""COMPUTED_VALUE"""),"V_SALES")</f>
        <v>V_SALES</v>
      </c>
      <c r="J21" s="3"/>
    </row>
    <row r="22">
      <c r="A22" s="14">
        <f>IFERROR(__xludf.DUMMYFUNCTION("""COMPUTED_VALUE"""),44953.0)</f>
        <v>44953</v>
      </c>
      <c r="B22" s="14" t="str">
        <f>IFERROR(__xludf.DUMMYFUNCTION("""COMPUTED_VALUE"""),"TRSF E-BANKING DB")</f>
        <v>TRSF E-BANKING DB</v>
      </c>
      <c r="C22" s="14" t="str">
        <f>IFERROR(__xludf.DUMMYFUNCTION("""COMPUTED_VALUE"""),"TRSF E-BANKING DB 2701/FTSCY/WS95271 1811430.00 RIZKI FADDILLA")</f>
        <v>TRSF E-BANKING DB 2701/FTSCY/WS95271 1811430.00 RIZKI FADDILLA</v>
      </c>
      <c r="D22" s="3">
        <f>IFERROR(__xludf.DUMMYFUNCTION("""COMPUTED_VALUE"""),1811430.0)</f>
        <v>1811430</v>
      </c>
      <c r="E22" s="14"/>
      <c r="F22" s="14" t="str">
        <f>IFERROR(__xludf.DUMMYFUNCTION("""COMPUTED_VALUE"""),"DB")</f>
        <v>DB</v>
      </c>
      <c r="G22" s="3">
        <f>IFERROR(__xludf.DUMMYFUNCTION("""COMPUTED_VALUE"""),7.771149601300001E8)</f>
        <v>777114960.1</v>
      </c>
      <c r="H22" s="14"/>
      <c r="I22" s="14" t="str">
        <f>IFERROR(__xludf.DUMMYFUNCTION("""COMPUTED_VALUE"""),"V_SALES")</f>
        <v>V_SALES</v>
      </c>
      <c r="J22" s="3"/>
    </row>
    <row r="23">
      <c r="A23" s="14">
        <f>IFERROR(__xludf.DUMMYFUNCTION("""COMPUTED_VALUE"""),44954.0)</f>
        <v>44954</v>
      </c>
      <c r="B23" s="14" t="str">
        <f>IFERROR(__xludf.DUMMYFUNCTION("""COMPUTED_VALUE"""),"TRSF E-BANKING DB")</f>
        <v>TRSF E-BANKING DB</v>
      </c>
      <c r="C23" s="14" t="str">
        <f>IFERROR(__xludf.DUMMYFUNCTION("""COMPUTED_VALUE"""),"TRSF E-BANKING DB 2801/FTSCY/WS95031 617800.00 NURHAYATI")</f>
        <v>TRSF E-BANKING DB 2801/FTSCY/WS95031 617800.00 NURHAYATI</v>
      </c>
      <c r="D23" s="3">
        <f>IFERROR(__xludf.DUMMYFUNCTION("""COMPUTED_VALUE"""),617800.0)</f>
        <v>617800</v>
      </c>
      <c r="E23" s="14"/>
      <c r="F23" s="14" t="str">
        <f>IFERROR(__xludf.DUMMYFUNCTION("""COMPUTED_VALUE"""),"DB")</f>
        <v>DB</v>
      </c>
      <c r="G23" s="3">
        <f>IFERROR(__xludf.DUMMYFUNCTION("""COMPUTED_VALUE"""),2.0863760130000114E7)</f>
        <v>20863760.13</v>
      </c>
      <c r="H23" s="14"/>
      <c r="I23" s="14" t="str">
        <f>IFERROR(__xludf.DUMMYFUNCTION("""COMPUTED_VALUE"""),"V_SALES")</f>
        <v>V_SALES</v>
      </c>
      <c r="J23" s="3"/>
    </row>
    <row r="24">
      <c r="A24" s="14">
        <f>IFERROR(__xludf.DUMMYFUNCTION("""COMPUTED_VALUE"""),44954.0)</f>
        <v>44954</v>
      </c>
      <c r="B24" s="14" t="str">
        <f>IFERROR(__xludf.DUMMYFUNCTION("""COMPUTED_VALUE"""),"TRSF E-BANKING DB")</f>
        <v>TRSF E-BANKING DB</v>
      </c>
      <c r="C24" s="14" t="str">
        <f>IFERROR(__xludf.DUMMYFUNCTION("""COMPUTED_VALUE"""),"TRSF E-BANKING DB 2801/FTSCY/WS95031 1048260.00 NURHAYATI")</f>
        <v>TRSF E-BANKING DB 2801/FTSCY/WS95031 1048260.00 NURHAYATI</v>
      </c>
      <c r="D24" s="3">
        <f>IFERROR(__xludf.DUMMYFUNCTION("""COMPUTED_VALUE"""),1048260.0)</f>
        <v>1048260</v>
      </c>
      <c r="E24" s="14"/>
      <c r="F24" s="14" t="str">
        <f>IFERROR(__xludf.DUMMYFUNCTION("""COMPUTED_VALUE"""),"DB")</f>
        <v>DB</v>
      </c>
      <c r="G24" s="3">
        <f>IFERROR(__xludf.DUMMYFUNCTION("""COMPUTED_VALUE"""),8.376409513000011E7)</f>
        <v>83764095.13</v>
      </c>
      <c r="H24" s="14"/>
      <c r="I24" s="14" t="str">
        <f>IFERROR(__xludf.DUMMYFUNCTION("""COMPUTED_VALUE"""),"V_SALES")</f>
        <v>V_SALES</v>
      </c>
      <c r="J24" s="3"/>
    </row>
    <row r="25">
      <c r="A25" s="14">
        <f>IFERROR(__xludf.DUMMYFUNCTION("""COMPUTED_VALUE"""),44956.0)</f>
        <v>44956</v>
      </c>
      <c r="B25" s="14" t="str">
        <f>IFERROR(__xludf.DUMMYFUNCTION("""COMPUTED_VALUE"""),"TRSF E-BANKING DB")</f>
        <v>TRSF E-BANKING DB</v>
      </c>
      <c r="C25" s="14" t="str">
        <f>IFERROR(__xludf.DUMMYFUNCTION("""COMPUTED_VALUE"""),"TRSF E-BANKING DB 3001/FTSCY/WS95271 2046280.00 NURHAYATI")</f>
        <v>TRSF E-BANKING DB 3001/FTSCY/WS95271 2046280.00 NURHAYATI</v>
      </c>
      <c r="D25" s="3">
        <f>IFERROR(__xludf.DUMMYFUNCTION("""COMPUTED_VALUE"""),2046280.0)</f>
        <v>2046280</v>
      </c>
      <c r="E25" s="14"/>
      <c r="F25" s="14" t="str">
        <f>IFERROR(__xludf.DUMMYFUNCTION("""COMPUTED_VALUE"""),"DB")</f>
        <v>DB</v>
      </c>
      <c r="G25" s="3">
        <f>IFERROR(__xludf.DUMMYFUNCTION("""COMPUTED_VALUE"""),1.760191451300001E8)</f>
        <v>176019145.1</v>
      </c>
      <c r="H25" s="14"/>
      <c r="I25" s="14" t="str">
        <f>IFERROR(__xludf.DUMMYFUNCTION("""COMPUTED_VALUE"""),"V_SALES")</f>
        <v>V_SALES</v>
      </c>
      <c r="J25" s="3"/>
    </row>
    <row r="26">
      <c r="D26" s="3"/>
      <c r="G26" s="3"/>
      <c r="J26" s="3"/>
    </row>
    <row r="27">
      <c r="D27" s="3"/>
      <c r="G27" s="3"/>
      <c r="J27" s="3"/>
    </row>
    <row r="28">
      <c r="D28" s="3"/>
      <c r="G28" s="3"/>
      <c r="J28" s="3"/>
    </row>
    <row r="29">
      <c r="D29" s="3"/>
      <c r="G29" s="3"/>
      <c r="J29" s="3"/>
    </row>
    <row r="30">
      <c r="D30" s="3"/>
      <c r="G30" s="3"/>
      <c r="J30" s="3"/>
    </row>
    <row r="31">
      <c r="D31" s="3"/>
      <c r="G31" s="3"/>
      <c r="J31" s="3"/>
    </row>
    <row r="32">
      <c r="D32" s="3"/>
      <c r="G32" s="3"/>
      <c r="J32" s="3"/>
    </row>
    <row r="33">
      <c r="D33" s="3"/>
      <c r="G33" s="3"/>
      <c r="J33" s="3"/>
    </row>
    <row r="34">
      <c r="D34" s="3"/>
      <c r="G34" s="3"/>
      <c r="J34" s="3"/>
    </row>
    <row r="35">
      <c r="D35" s="3"/>
      <c r="G35" s="3"/>
      <c r="J35" s="3"/>
    </row>
    <row r="36">
      <c r="D36" s="3"/>
      <c r="G36" s="3"/>
      <c r="J36" s="3"/>
    </row>
    <row r="37">
      <c r="D37" s="3"/>
      <c r="G37" s="3"/>
      <c r="J37" s="3"/>
    </row>
    <row r="38">
      <c r="D38" s="3"/>
      <c r="G38" s="3"/>
      <c r="J38" s="3"/>
    </row>
    <row r="39">
      <c r="D39" s="3"/>
      <c r="G39" s="3"/>
      <c r="J39" s="3"/>
    </row>
    <row r="40">
      <c r="D40" s="3"/>
      <c r="G40" s="3"/>
      <c r="J40" s="3"/>
    </row>
    <row r="41">
      <c r="D41" s="3"/>
      <c r="G41" s="3"/>
      <c r="J41" s="3"/>
    </row>
    <row r="42">
      <c r="D42" s="3"/>
      <c r="G42" s="3"/>
      <c r="J42" s="3"/>
    </row>
    <row r="43">
      <c r="D43" s="3"/>
      <c r="G43" s="3"/>
      <c r="J43" s="3"/>
    </row>
    <row r="44">
      <c r="D44" s="3"/>
      <c r="G44" s="3"/>
      <c r="J44" s="3"/>
    </row>
    <row r="45">
      <c r="D45" s="3"/>
      <c r="G45" s="3"/>
      <c r="J45" s="3"/>
    </row>
    <row r="46">
      <c r="D46" s="3"/>
      <c r="G46" s="3"/>
      <c r="J46" s="3"/>
    </row>
    <row r="47">
      <c r="D47" s="3"/>
      <c r="G47" s="3"/>
      <c r="J47" s="3"/>
    </row>
    <row r="48">
      <c r="D48" s="3"/>
      <c r="G48" s="3"/>
      <c r="J48" s="3"/>
    </row>
    <row r="49">
      <c r="D49" s="3"/>
      <c r="G49" s="3"/>
      <c r="J49" s="3"/>
    </row>
    <row r="50">
      <c r="D50" s="3"/>
      <c r="G50" s="3"/>
      <c r="J50" s="3"/>
    </row>
    <row r="51">
      <c r="D51" s="3"/>
      <c r="G51" s="3"/>
      <c r="J51" s="3"/>
    </row>
    <row r="52">
      <c r="D52" s="3"/>
      <c r="G52" s="3"/>
      <c r="J52" s="3"/>
    </row>
    <row r="53">
      <c r="D53" s="3"/>
      <c r="G53" s="3"/>
      <c r="J53" s="3"/>
    </row>
    <row r="54">
      <c r="D54" s="3"/>
      <c r="G54" s="3"/>
      <c r="J54" s="3"/>
    </row>
    <row r="55">
      <c r="D55" s="3"/>
      <c r="G55" s="3"/>
      <c r="J55" s="3"/>
    </row>
    <row r="56">
      <c r="D56" s="3"/>
      <c r="G56" s="3"/>
      <c r="J56" s="3"/>
    </row>
    <row r="57">
      <c r="D57" s="3"/>
      <c r="G57" s="3"/>
      <c r="J57" s="3"/>
    </row>
    <row r="58">
      <c r="D58" s="3"/>
      <c r="G58" s="3"/>
      <c r="J58" s="3"/>
    </row>
    <row r="59">
      <c r="D59" s="3"/>
      <c r="G59" s="3"/>
      <c r="J59" s="3"/>
    </row>
    <row r="60">
      <c r="D60" s="3"/>
      <c r="G60" s="3"/>
      <c r="J60" s="3"/>
    </row>
    <row r="61">
      <c r="D61" s="3"/>
      <c r="G61" s="3"/>
      <c r="J61" s="3"/>
    </row>
    <row r="62">
      <c r="D62" s="3"/>
      <c r="G62" s="3"/>
      <c r="J62" s="3"/>
    </row>
    <row r="63">
      <c r="D63" s="3"/>
      <c r="G63" s="3"/>
      <c r="J63" s="3"/>
    </row>
    <row r="64">
      <c r="D64" s="3"/>
      <c r="G64" s="3"/>
      <c r="J64" s="3"/>
    </row>
    <row r="65">
      <c r="D65" s="3"/>
      <c r="G65" s="3"/>
      <c r="J65" s="3"/>
    </row>
    <row r="66">
      <c r="D66" s="3"/>
      <c r="G66" s="3"/>
      <c r="J66" s="3"/>
    </row>
    <row r="67">
      <c r="D67" s="3"/>
      <c r="G67" s="3"/>
      <c r="J67" s="3"/>
    </row>
    <row r="68">
      <c r="D68" s="3"/>
      <c r="G68" s="3"/>
      <c r="J68" s="3"/>
    </row>
    <row r="69">
      <c r="D69" s="3"/>
      <c r="G69" s="3"/>
      <c r="J69" s="3"/>
    </row>
    <row r="70">
      <c r="D70" s="3"/>
      <c r="G70" s="3"/>
      <c r="J70" s="3"/>
    </row>
    <row r="71">
      <c r="D71" s="3"/>
      <c r="G71" s="3"/>
      <c r="J71" s="3"/>
    </row>
    <row r="72">
      <c r="D72" s="3"/>
      <c r="G72" s="3"/>
      <c r="J72" s="3"/>
    </row>
    <row r="73">
      <c r="D73" s="3"/>
      <c r="G73" s="3"/>
      <c r="J73" s="3"/>
    </row>
    <row r="74">
      <c r="D74" s="3"/>
      <c r="G74" s="3"/>
      <c r="J74" s="3"/>
    </row>
    <row r="75">
      <c r="D75" s="3"/>
      <c r="G75" s="3"/>
      <c r="J75" s="3"/>
    </row>
    <row r="76">
      <c r="D76" s="3"/>
      <c r="G76" s="3"/>
      <c r="J76" s="3"/>
    </row>
    <row r="77">
      <c r="D77" s="3"/>
      <c r="G77" s="3"/>
      <c r="J77" s="3"/>
    </row>
    <row r="78">
      <c r="D78" s="3"/>
      <c r="G78" s="3"/>
      <c r="J78" s="3"/>
    </row>
    <row r="79">
      <c r="D79" s="3"/>
      <c r="G79" s="3"/>
      <c r="J79" s="3"/>
    </row>
    <row r="80">
      <c r="D80" s="3"/>
      <c r="G80" s="3"/>
      <c r="J80" s="3"/>
    </row>
    <row r="81">
      <c r="D81" s="3"/>
      <c r="G81" s="3"/>
      <c r="J81" s="3"/>
    </row>
    <row r="82">
      <c r="D82" s="3"/>
      <c r="G82" s="3"/>
      <c r="J82" s="3"/>
    </row>
    <row r="83">
      <c r="D83" s="3"/>
      <c r="G83" s="3"/>
      <c r="J83" s="3"/>
    </row>
    <row r="84">
      <c r="D84" s="3"/>
      <c r="G84" s="3"/>
      <c r="J84" s="3"/>
    </row>
    <row r="85">
      <c r="D85" s="3"/>
      <c r="G85" s="3"/>
      <c r="J85" s="3"/>
    </row>
    <row r="86">
      <c r="D86" s="3"/>
      <c r="G86" s="3"/>
      <c r="J86" s="3"/>
    </row>
    <row r="87">
      <c r="D87" s="3"/>
      <c r="G87" s="3"/>
      <c r="J87" s="3"/>
    </row>
    <row r="88">
      <c r="D88" s="3"/>
      <c r="G88" s="3"/>
      <c r="J88" s="3"/>
    </row>
    <row r="89">
      <c r="D89" s="3"/>
      <c r="G89" s="3"/>
      <c r="J89" s="3"/>
    </row>
    <row r="90">
      <c r="D90" s="3"/>
      <c r="G90" s="3"/>
      <c r="J90" s="3"/>
    </row>
    <row r="91">
      <c r="D91" s="3"/>
      <c r="G91" s="3"/>
      <c r="J91" s="3"/>
    </row>
    <row r="92">
      <c r="D92" s="3"/>
      <c r="G92" s="3"/>
      <c r="J92" s="3"/>
    </row>
    <row r="93">
      <c r="D93" s="3"/>
      <c r="G93" s="3"/>
      <c r="J93" s="3"/>
    </row>
    <row r="94">
      <c r="D94" s="3"/>
      <c r="G94" s="3"/>
      <c r="J94" s="3"/>
    </row>
    <row r="95">
      <c r="D95" s="3"/>
      <c r="G95" s="3"/>
      <c r="J95" s="3"/>
    </row>
    <row r="96">
      <c r="D96" s="3"/>
      <c r="G96" s="3"/>
      <c r="J96" s="3"/>
    </row>
    <row r="97">
      <c r="D97" s="3"/>
      <c r="G97" s="3"/>
      <c r="J97" s="3"/>
    </row>
    <row r="98">
      <c r="D98" s="3"/>
      <c r="G98" s="3"/>
      <c r="J98" s="3"/>
    </row>
    <row r="99">
      <c r="D99" s="3"/>
      <c r="G99" s="3"/>
      <c r="J99" s="3"/>
    </row>
    <row r="100">
      <c r="D100" s="3"/>
      <c r="G100" s="3"/>
      <c r="J100" s="3"/>
    </row>
    <row r="101">
      <c r="D101" s="3"/>
      <c r="G101" s="3"/>
      <c r="J101" s="3"/>
    </row>
    <row r="102">
      <c r="D102" s="3"/>
      <c r="G102" s="3"/>
      <c r="J102" s="3"/>
    </row>
    <row r="103">
      <c r="D103" s="3"/>
      <c r="G103" s="3"/>
      <c r="J103" s="3"/>
    </row>
    <row r="104">
      <c r="D104" s="3"/>
      <c r="G104" s="3"/>
      <c r="J104" s="3"/>
    </row>
    <row r="105">
      <c r="D105" s="3"/>
      <c r="G105" s="3"/>
      <c r="J105" s="3"/>
    </row>
    <row r="106">
      <c r="D106" s="3"/>
      <c r="G106" s="3"/>
      <c r="J106" s="3"/>
    </row>
    <row r="107">
      <c r="D107" s="3"/>
      <c r="G107" s="3"/>
      <c r="J107" s="3"/>
    </row>
    <row r="108">
      <c r="D108" s="3"/>
      <c r="G108" s="3"/>
      <c r="J108" s="3"/>
    </row>
    <row r="109">
      <c r="D109" s="3"/>
      <c r="G109" s="3"/>
      <c r="J109" s="3"/>
    </row>
    <row r="110">
      <c r="D110" s="3"/>
      <c r="G110" s="3"/>
      <c r="J110" s="3"/>
    </row>
    <row r="111">
      <c r="D111" s="3"/>
      <c r="G111" s="3"/>
      <c r="J111" s="3"/>
    </row>
    <row r="112">
      <c r="D112" s="3"/>
      <c r="G112" s="3"/>
      <c r="J112" s="3"/>
    </row>
    <row r="113">
      <c r="D113" s="3"/>
      <c r="G113" s="3"/>
      <c r="J113" s="3"/>
    </row>
    <row r="114">
      <c r="D114" s="3"/>
      <c r="G114" s="3"/>
      <c r="J114" s="3"/>
    </row>
    <row r="115">
      <c r="D115" s="3"/>
      <c r="G115" s="3"/>
      <c r="J115" s="3"/>
    </row>
    <row r="116">
      <c r="D116" s="3"/>
      <c r="G116" s="3"/>
      <c r="J116" s="3"/>
    </row>
    <row r="117">
      <c r="D117" s="3"/>
      <c r="G117" s="3"/>
      <c r="J117" s="3"/>
    </row>
    <row r="118">
      <c r="D118" s="3"/>
      <c r="G118" s="3"/>
      <c r="J118" s="3"/>
    </row>
    <row r="119">
      <c r="D119" s="3"/>
      <c r="G119" s="3"/>
      <c r="J119" s="3"/>
    </row>
    <row r="120">
      <c r="D120" s="3"/>
      <c r="G120" s="3"/>
      <c r="J120" s="3"/>
    </row>
    <row r="121">
      <c r="D121" s="3"/>
      <c r="G121" s="3"/>
      <c r="J121" s="3"/>
    </row>
    <row r="122">
      <c r="D122" s="3"/>
      <c r="G122" s="3"/>
      <c r="J122" s="3"/>
    </row>
    <row r="123">
      <c r="D123" s="3"/>
      <c r="G123" s="3"/>
      <c r="J123" s="3"/>
    </row>
    <row r="124">
      <c r="D124" s="3"/>
      <c r="G124" s="3"/>
      <c r="J124" s="3"/>
    </row>
    <row r="125">
      <c r="D125" s="3"/>
      <c r="G125" s="3"/>
      <c r="J125" s="3"/>
    </row>
    <row r="126">
      <c r="D126" s="3"/>
      <c r="G126" s="3"/>
      <c r="J126" s="3"/>
    </row>
    <row r="127">
      <c r="D127" s="3"/>
      <c r="G127" s="3"/>
      <c r="J127" s="3"/>
    </row>
    <row r="128">
      <c r="D128" s="3"/>
      <c r="G128" s="3"/>
      <c r="J128" s="3"/>
    </row>
    <row r="129">
      <c r="D129" s="3"/>
      <c r="G129" s="3"/>
      <c r="J129" s="3"/>
    </row>
    <row r="130">
      <c r="D130" s="3"/>
      <c r="G130" s="3"/>
      <c r="J130" s="3"/>
    </row>
    <row r="131">
      <c r="D131" s="3"/>
      <c r="G131" s="3"/>
      <c r="J131" s="3"/>
    </row>
    <row r="132">
      <c r="D132" s="3"/>
      <c r="G132" s="3"/>
      <c r="J132" s="3"/>
    </row>
    <row r="133">
      <c r="D133" s="3"/>
      <c r="G133" s="3"/>
      <c r="J133" s="3"/>
    </row>
    <row r="134">
      <c r="D134" s="3"/>
      <c r="G134" s="3"/>
      <c r="J134" s="3"/>
    </row>
    <row r="135">
      <c r="D135" s="3"/>
      <c r="G135" s="3"/>
      <c r="J135" s="3"/>
    </row>
    <row r="136">
      <c r="D136" s="3"/>
      <c r="G136" s="3"/>
      <c r="J136" s="3"/>
    </row>
    <row r="137">
      <c r="D137" s="3"/>
      <c r="G137" s="3"/>
      <c r="J137" s="3"/>
    </row>
    <row r="138">
      <c r="D138" s="3"/>
      <c r="G138" s="3"/>
      <c r="J138" s="3"/>
    </row>
    <row r="139">
      <c r="D139" s="3"/>
      <c r="G139" s="3"/>
      <c r="J139" s="3"/>
    </row>
    <row r="140">
      <c r="D140" s="3"/>
      <c r="G140" s="3"/>
      <c r="J140" s="3"/>
    </row>
    <row r="141">
      <c r="D141" s="3"/>
      <c r="G141" s="3"/>
      <c r="J141" s="3"/>
    </row>
    <row r="142">
      <c r="D142" s="3"/>
      <c r="G142" s="3"/>
      <c r="J142" s="3"/>
    </row>
    <row r="143">
      <c r="D143" s="3"/>
      <c r="G143" s="3"/>
      <c r="J143" s="3"/>
    </row>
    <row r="144">
      <c r="D144" s="3"/>
      <c r="G144" s="3"/>
      <c r="J144" s="3"/>
    </row>
    <row r="145">
      <c r="D145" s="3"/>
      <c r="G145" s="3"/>
      <c r="J145" s="3"/>
    </row>
    <row r="146">
      <c r="D146" s="3"/>
      <c r="G146" s="3"/>
      <c r="J146" s="3"/>
    </row>
    <row r="147">
      <c r="D147" s="3"/>
      <c r="G147" s="3"/>
      <c r="J147" s="3"/>
    </row>
    <row r="148">
      <c r="D148" s="3"/>
      <c r="G148" s="3"/>
      <c r="J148" s="3"/>
    </row>
    <row r="149">
      <c r="D149" s="3"/>
      <c r="G149" s="3"/>
      <c r="J149" s="3"/>
    </row>
    <row r="150">
      <c r="D150" s="3"/>
      <c r="G150" s="3"/>
      <c r="J150" s="3"/>
    </row>
    <row r="151">
      <c r="D151" s="3"/>
      <c r="G151" s="3"/>
      <c r="J151" s="3"/>
    </row>
    <row r="152">
      <c r="D152" s="3"/>
      <c r="G152" s="3"/>
      <c r="J152" s="3"/>
    </row>
    <row r="153">
      <c r="D153" s="3"/>
      <c r="G153" s="3"/>
      <c r="J153" s="3"/>
    </row>
    <row r="154">
      <c r="D154" s="3"/>
      <c r="G154" s="3"/>
      <c r="J154" s="3"/>
    </row>
    <row r="155">
      <c r="D155" s="3"/>
      <c r="G155" s="3"/>
      <c r="J155" s="3"/>
    </row>
    <row r="156">
      <c r="D156" s="3"/>
      <c r="G156" s="3"/>
      <c r="J156" s="3"/>
    </row>
    <row r="157">
      <c r="D157" s="3"/>
      <c r="G157" s="3"/>
      <c r="J157" s="3"/>
    </row>
    <row r="158">
      <c r="D158" s="3"/>
      <c r="G158" s="3"/>
      <c r="J158" s="3"/>
    </row>
    <row r="159">
      <c r="D159" s="3"/>
      <c r="G159" s="3"/>
      <c r="J159" s="3"/>
    </row>
    <row r="160">
      <c r="D160" s="3"/>
      <c r="G160" s="3"/>
      <c r="J160" s="3"/>
    </row>
    <row r="161">
      <c r="D161" s="3"/>
      <c r="G161" s="3"/>
      <c r="J161" s="3"/>
    </row>
    <row r="162">
      <c r="D162" s="3"/>
      <c r="G162" s="3"/>
      <c r="J162" s="3"/>
    </row>
    <row r="163">
      <c r="D163" s="3"/>
      <c r="G163" s="3"/>
      <c r="J163" s="3"/>
    </row>
    <row r="164">
      <c r="D164" s="3"/>
      <c r="G164" s="3"/>
      <c r="J164" s="3"/>
    </row>
    <row r="165">
      <c r="D165" s="3"/>
      <c r="G165" s="3"/>
      <c r="J165" s="3"/>
    </row>
    <row r="166">
      <c r="D166" s="3"/>
      <c r="G166" s="3"/>
      <c r="J166" s="3"/>
    </row>
    <row r="167">
      <c r="D167" s="3"/>
      <c r="G167" s="3"/>
      <c r="J167" s="3"/>
    </row>
    <row r="168">
      <c r="D168" s="3"/>
      <c r="G168" s="3"/>
      <c r="J168" s="3"/>
    </row>
    <row r="169">
      <c r="D169" s="3"/>
      <c r="G169" s="3"/>
      <c r="J169" s="3"/>
    </row>
    <row r="170">
      <c r="D170" s="3"/>
      <c r="G170" s="3"/>
      <c r="J170" s="3"/>
    </row>
    <row r="171">
      <c r="D171" s="3"/>
      <c r="G171" s="3"/>
      <c r="J171" s="3"/>
    </row>
    <row r="172">
      <c r="D172" s="3"/>
      <c r="G172" s="3"/>
      <c r="J172" s="3"/>
    </row>
    <row r="173">
      <c r="D173" s="3"/>
      <c r="G173" s="3"/>
      <c r="J173" s="3"/>
    </row>
    <row r="174">
      <c r="D174" s="3"/>
      <c r="G174" s="3"/>
      <c r="J174" s="3"/>
    </row>
    <row r="175">
      <c r="D175" s="3"/>
      <c r="G175" s="3"/>
      <c r="J175" s="3"/>
    </row>
    <row r="176">
      <c r="D176" s="3"/>
      <c r="G176" s="3"/>
      <c r="J176" s="3"/>
    </row>
    <row r="177">
      <c r="D177" s="3"/>
      <c r="G177" s="3"/>
      <c r="J177" s="3"/>
    </row>
    <row r="178">
      <c r="D178" s="3"/>
      <c r="G178" s="3"/>
      <c r="J178" s="3"/>
    </row>
    <row r="179">
      <c r="D179" s="3"/>
      <c r="G179" s="3"/>
      <c r="J179" s="3"/>
    </row>
    <row r="180">
      <c r="D180" s="3"/>
      <c r="G180" s="3"/>
      <c r="J180" s="3"/>
    </row>
    <row r="181">
      <c r="D181" s="3"/>
      <c r="G181" s="3"/>
      <c r="J181" s="3"/>
    </row>
    <row r="182">
      <c r="D182" s="3"/>
      <c r="G182" s="3"/>
      <c r="J182" s="3"/>
    </row>
    <row r="183">
      <c r="D183" s="3"/>
      <c r="G183" s="3"/>
      <c r="J183" s="3"/>
    </row>
    <row r="184">
      <c r="D184" s="3"/>
      <c r="G184" s="3"/>
      <c r="J184" s="3"/>
    </row>
    <row r="185">
      <c r="D185" s="3"/>
      <c r="G185" s="3"/>
      <c r="J185" s="3"/>
    </row>
    <row r="186">
      <c r="D186" s="3"/>
      <c r="G186" s="3"/>
      <c r="J186" s="3"/>
    </row>
    <row r="187">
      <c r="D187" s="3"/>
      <c r="G187" s="3"/>
      <c r="J187" s="3"/>
    </row>
    <row r="188">
      <c r="D188" s="3"/>
      <c r="G188" s="3"/>
      <c r="J188" s="3"/>
    </row>
    <row r="189">
      <c r="D189" s="3"/>
      <c r="G189" s="3"/>
      <c r="J189" s="3"/>
    </row>
    <row r="190">
      <c r="D190" s="3"/>
      <c r="G190" s="3"/>
      <c r="J190" s="3"/>
    </row>
    <row r="191">
      <c r="D191" s="3"/>
      <c r="G191" s="3"/>
      <c r="J191" s="3"/>
    </row>
    <row r="192">
      <c r="D192" s="3"/>
      <c r="G192" s="3"/>
      <c r="J192" s="3"/>
    </row>
    <row r="193">
      <c r="D193" s="3"/>
      <c r="G193" s="3"/>
      <c r="J193" s="3"/>
    </row>
    <row r="194">
      <c r="D194" s="3"/>
      <c r="G194" s="3"/>
      <c r="J194" s="3"/>
    </row>
    <row r="195">
      <c r="D195" s="3"/>
      <c r="G195" s="3"/>
      <c r="J195" s="3"/>
    </row>
    <row r="196">
      <c r="D196" s="3"/>
      <c r="G196" s="3"/>
      <c r="J196" s="3"/>
    </row>
    <row r="197">
      <c r="D197" s="3"/>
      <c r="G197" s="3"/>
      <c r="J197" s="3"/>
    </row>
    <row r="198">
      <c r="D198" s="3"/>
      <c r="G198" s="3"/>
      <c r="J198" s="3"/>
    </row>
    <row r="199">
      <c r="D199" s="3"/>
      <c r="G199" s="3"/>
      <c r="J199" s="3"/>
    </row>
    <row r="200">
      <c r="D200" s="3"/>
      <c r="G200" s="3"/>
      <c r="J200" s="3"/>
    </row>
    <row r="201">
      <c r="D201" s="3"/>
      <c r="G201" s="3"/>
      <c r="J201" s="3"/>
    </row>
    <row r="202">
      <c r="D202" s="3"/>
      <c r="G202" s="3"/>
      <c r="J202" s="3"/>
    </row>
    <row r="203">
      <c r="D203" s="3"/>
      <c r="G203" s="3"/>
      <c r="J203" s="3"/>
    </row>
    <row r="204">
      <c r="D204" s="3"/>
      <c r="G204" s="3"/>
      <c r="J204" s="3"/>
    </row>
    <row r="205">
      <c r="D205" s="3"/>
      <c r="G205" s="3"/>
      <c r="J205" s="3"/>
    </row>
    <row r="206">
      <c r="D206" s="3"/>
      <c r="G206" s="3"/>
      <c r="J206" s="3"/>
    </row>
    <row r="207">
      <c r="D207" s="3"/>
      <c r="G207" s="3"/>
      <c r="J207" s="3"/>
    </row>
    <row r="208">
      <c r="D208" s="3"/>
      <c r="G208" s="3"/>
      <c r="J208" s="3"/>
    </row>
    <row r="209">
      <c r="D209" s="3"/>
      <c r="G209" s="3"/>
      <c r="J209" s="3"/>
    </row>
    <row r="210">
      <c r="D210" s="3"/>
      <c r="G210" s="3"/>
      <c r="J210" s="3"/>
    </row>
    <row r="211">
      <c r="D211" s="3"/>
      <c r="G211" s="3"/>
      <c r="J211" s="3"/>
    </row>
    <row r="212">
      <c r="D212" s="3"/>
      <c r="G212" s="3"/>
      <c r="J212" s="3"/>
    </row>
    <row r="213">
      <c r="D213" s="3"/>
      <c r="G213" s="3"/>
      <c r="J213" s="3"/>
    </row>
    <row r="214">
      <c r="D214" s="3"/>
      <c r="G214" s="3"/>
      <c r="J214" s="3"/>
    </row>
    <row r="215">
      <c r="D215" s="3"/>
      <c r="G215" s="3"/>
      <c r="J215" s="3"/>
    </row>
    <row r="216">
      <c r="D216" s="3"/>
      <c r="G216" s="3"/>
      <c r="J216" s="3"/>
    </row>
    <row r="217">
      <c r="D217" s="3"/>
      <c r="G217" s="3"/>
      <c r="J217" s="3"/>
    </row>
    <row r="218">
      <c r="D218" s="3"/>
      <c r="G218" s="3"/>
      <c r="J218" s="3"/>
    </row>
    <row r="219">
      <c r="D219" s="3"/>
      <c r="G219" s="3"/>
      <c r="J219" s="3"/>
    </row>
    <row r="220">
      <c r="D220" s="3"/>
      <c r="G220" s="3"/>
      <c r="J220" s="3"/>
    </row>
    <row r="221">
      <c r="D221" s="3"/>
      <c r="G221" s="3"/>
      <c r="J221" s="3"/>
    </row>
    <row r="222">
      <c r="D222" s="3"/>
      <c r="G222" s="3"/>
      <c r="J222" s="3"/>
    </row>
    <row r="223">
      <c r="D223" s="3"/>
      <c r="G223" s="3"/>
      <c r="J223" s="3"/>
    </row>
    <row r="224">
      <c r="D224" s="3"/>
      <c r="G224" s="3"/>
      <c r="J224" s="3"/>
    </row>
    <row r="225">
      <c r="D225" s="3"/>
      <c r="G225" s="3"/>
      <c r="J225" s="3"/>
    </row>
    <row r="226">
      <c r="D226" s="3"/>
      <c r="G226" s="3"/>
      <c r="J226" s="3"/>
    </row>
    <row r="227">
      <c r="D227" s="3"/>
      <c r="G227" s="3"/>
      <c r="J227" s="3"/>
    </row>
    <row r="228">
      <c r="D228" s="3"/>
      <c r="G228" s="3"/>
      <c r="J228" s="3"/>
    </row>
    <row r="229">
      <c r="D229" s="3"/>
      <c r="G229" s="3"/>
      <c r="J229" s="3"/>
    </row>
    <row r="230">
      <c r="D230" s="3"/>
      <c r="G230" s="3"/>
      <c r="J230" s="3"/>
    </row>
    <row r="231">
      <c r="D231" s="3"/>
      <c r="G231" s="3"/>
      <c r="J231" s="3"/>
    </row>
    <row r="232">
      <c r="D232" s="3"/>
      <c r="G232" s="3"/>
      <c r="J232" s="3"/>
    </row>
    <row r="233">
      <c r="D233" s="3"/>
      <c r="G233" s="3"/>
      <c r="J233" s="3"/>
    </row>
    <row r="234">
      <c r="D234" s="3"/>
      <c r="G234" s="3"/>
      <c r="J234" s="3"/>
    </row>
    <row r="235">
      <c r="D235" s="3"/>
      <c r="G235" s="3"/>
      <c r="J235" s="3"/>
    </row>
    <row r="236">
      <c r="D236" s="3"/>
      <c r="G236" s="3"/>
      <c r="J236" s="3"/>
    </row>
    <row r="237">
      <c r="D237" s="3"/>
      <c r="G237" s="3"/>
      <c r="J237" s="3"/>
    </row>
    <row r="238">
      <c r="D238" s="3"/>
      <c r="G238" s="3"/>
      <c r="J238" s="3"/>
    </row>
    <row r="239">
      <c r="D239" s="3"/>
      <c r="G239" s="3"/>
      <c r="J239" s="3"/>
    </row>
    <row r="240">
      <c r="D240" s="3"/>
      <c r="G240" s="3"/>
      <c r="J240" s="3"/>
    </row>
    <row r="241">
      <c r="D241" s="3"/>
      <c r="G241" s="3"/>
      <c r="J241" s="3"/>
    </row>
    <row r="242">
      <c r="D242" s="3"/>
      <c r="G242" s="3"/>
      <c r="J242" s="3"/>
    </row>
    <row r="243">
      <c r="D243" s="3"/>
      <c r="G243" s="3"/>
      <c r="J243" s="3"/>
    </row>
    <row r="244">
      <c r="D244" s="3"/>
      <c r="G244" s="3"/>
      <c r="J244" s="3"/>
    </row>
    <row r="245">
      <c r="D245" s="3"/>
      <c r="G245" s="3"/>
      <c r="J245" s="3"/>
    </row>
    <row r="246">
      <c r="D246" s="3"/>
      <c r="G246" s="3"/>
      <c r="J246" s="3"/>
    </row>
    <row r="247">
      <c r="D247" s="3"/>
      <c r="G247" s="3"/>
      <c r="J247" s="3"/>
    </row>
    <row r="248">
      <c r="D248" s="3"/>
      <c r="G248" s="3"/>
      <c r="J248" s="3"/>
    </row>
    <row r="249">
      <c r="D249" s="3"/>
      <c r="G249" s="3"/>
      <c r="J249" s="3"/>
    </row>
    <row r="250">
      <c r="D250" s="3"/>
      <c r="G250" s="3"/>
      <c r="J250" s="3"/>
    </row>
    <row r="251">
      <c r="D251" s="3"/>
      <c r="G251" s="3"/>
      <c r="J251" s="3"/>
    </row>
    <row r="252">
      <c r="D252" s="3"/>
      <c r="G252" s="3"/>
      <c r="J252" s="3"/>
    </row>
    <row r="253">
      <c r="D253" s="3"/>
      <c r="G253" s="3"/>
      <c r="J253" s="3"/>
    </row>
    <row r="254">
      <c r="D254" s="3"/>
      <c r="G254" s="3"/>
      <c r="J254" s="3"/>
    </row>
    <row r="255">
      <c r="D255" s="3"/>
      <c r="G255" s="3"/>
      <c r="J255" s="3"/>
    </row>
    <row r="256">
      <c r="D256" s="3"/>
      <c r="G256" s="3"/>
      <c r="J256" s="3"/>
    </row>
    <row r="257">
      <c r="D257" s="3"/>
      <c r="G257" s="3"/>
      <c r="J257" s="3"/>
    </row>
    <row r="258">
      <c r="D258" s="3"/>
      <c r="G258" s="3"/>
      <c r="J258" s="3"/>
    </row>
    <row r="259">
      <c r="D259" s="3"/>
      <c r="G259" s="3"/>
      <c r="J259" s="3"/>
    </row>
    <row r="260">
      <c r="D260" s="3"/>
      <c r="G260" s="3"/>
      <c r="J260" s="3"/>
    </row>
    <row r="261">
      <c r="D261" s="3"/>
      <c r="G261" s="3"/>
      <c r="J261" s="3"/>
    </row>
    <row r="262">
      <c r="D262" s="3"/>
      <c r="G262" s="3"/>
      <c r="J262" s="3"/>
    </row>
    <row r="263">
      <c r="D263" s="3"/>
      <c r="G263" s="3"/>
      <c r="J263" s="3"/>
    </row>
    <row r="264">
      <c r="D264" s="3"/>
      <c r="G264" s="3"/>
      <c r="J264" s="3"/>
    </row>
    <row r="265">
      <c r="D265" s="3"/>
      <c r="G265" s="3"/>
      <c r="J265" s="3"/>
    </row>
    <row r="266">
      <c r="D266" s="3"/>
      <c r="G266" s="3"/>
      <c r="J266" s="3"/>
    </row>
    <row r="267">
      <c r="D267" s="3"/>
      <c r="G267" s="3"/>
      <c r="J267" s="3"/>
    </row>
    <row r="268">
      <c r="D268" s="3"/>
      <c r="G268" s="3"/>
      <c r="J268" s="3"/>
    </row>
    <row r="269">
      <c r="D269" s="3"/>
      <c r="G269" s="3"/>
      <c r="J269" s="3"/>
    </row>
    <row r="270">
      <c r="D270" s="3"/>
      <c r="G270" s="3"/>
      <c r="J270" s="3"/>
    </row>
    <row r="271">
      <c r="D271" s="3"/>
      <c r="G271" s="3"/>
      <c r="J271" s="3"/>
    </row>
    <row r="272">
      <c r="D272" s="3"/>
      <c r="G272" s="3"/>
      <c r="J272" s="3"/>
    </row>
    <row r="273">
      <c r="D273" s="3"/>
      <c r="G273" s="3"/>
      <c r="J273" s="3"/>
    </row>
    <row r="274">
      <c r="D274" s="3"/>
      <c r="G274" s="3"/>
      <c r="J274" s="3"/>
    </row>
    <row r="275">
      <c r="D275" s="3"/>
      <c r="G275" s="3"/>
      <c r="J275" s="3"/>
    </row>
    <row r="276">
      <c r="D276" s="3"/>
      <c r="G276" s="3"/>
      <c r="J276" s="3"/>
    </row>
    <row r="277">
      <c r="D277" s="3"/>
      <c r="G277" s="3"/>
      <c r="J277" s="3"/>
    </row>
    <row r="278">
      <c r="D278" s="3"/>
      <c r="G278" s="3"/>
      <c r="J278" s="3"/>
    </row>
    <row r="279">
      <c r="D279" s="3"/>
      <c r="G279" s="3"/>
      <c r="J279" s="3"/>
    </row>
    <row r="280">
      <c r="D280" s="3"/>
      <c r="G280" s="3"/>
      <c r="J280" s="3"/>
    </row>
    <row r="281">
      <c r="D281" s="3"/>
      <c r="G281" s="3"/>
      <c r="J281" s="3"/>
    </row>
    <row r="282">
      <c r="D282" s="3"/>
      <c r="G282" s="3"/>
      <c r="J282" s="3"/>
    </row>
    <row r="283">
      <c r="D283" s="3"/>
      <c r="G283" s="3"/>
      <c r="J283" s="3"/>
    </row>
    <row r="284">
      <c r="D284" s="3"/>
      <c r="G284" s="3"/>
      <c r="J284" s="3"/>
    </row>
    <row r="285">
      <c r="D285" s="3"/>
      <c r="G285" s="3"/>
      <c r="J285" s="3"/>
    </row>
    <row r="286">
      <c r="D286" s="3"/>
      <c r="G286" s="3"/>
      <c r="J286" s="3"/>
    </row>
    <row r="287">
      <c r="D287" s="3"/>
      <c r="G287" s="3"/>
      <c r="J287" s="3"/>
    </row>
    <row r="288">
      <c r="D288" s="3"/>
      <c r="G288" s="3"/>
      <c r="J288" s="3"/>
    </row>
    <row r="289">
      <c r="D289" s="3"/>
      <c r="G289" s="3"/>
      <c r="J289" s="3"/>
    </row>
    <row r="290">
      <c r="D290" s="3"/>
      <c r="G290" s="3"/>
      <c r="J290" s="3"/>
    </row>
    <row r="291">
      <c r="D291" s="3"/>
      <c r="G291" s="3"/>
      <c r="J291" s="3"/>
    </row>
    <row r="292">
      <c r="D292" s="3"/>
      <c r="G292" s="3"/>
      <c r="J292" s="3"/>
    </row>
    <row r="293">
      <c r="D293" s="3"/>
      <c r="G293" s="3"/>
      <c r="J293" s="3"/>
    </row>
    <row r="294">
      <c r="D294" s="3"/>
      <c r="G294" s="3"/>
      <c r="J294" s="3"/>
    </row>
    <row r="295">
      <c r="D295" s="3"/>
      <c r="G295" s="3"/>
      <c r="J295" s="3"/>
    </row>
    <row r="296">
      <c r="D296" s="3"/>
      <c r="G296" s="3"/>
      <c r="J296" s="3"/>
    </row>
    <row r="297">
      <c r="D297" s="3"/>
      <c r="G297" s="3"/>
      <c r="J297" s="3"/>
    </row>
    <row r="298">
      <c r="D298" s="3"/>
      <c r="G298" s="3"/>
      <c r="J298" s="3"/>
    </row>
    <row r="299">
      <c r="D299" s="3"/>
      <c r="G299" s="3"/>
      <c r="J299" s="3"/>
    </row>
    <row r="300">
      <c r="D300" s="3"/>
      <c r="G300" s="3"/>
      <c r="J300" s="3"/>
    </row>
    <row r="301">
      <c r="D301" s="3"/>
      <c r="G301" s="3"/>
      <c r="J301" s="3"/>
    </row>
    <row r="302">
      <c r="D302" s="3"/>
      <c r="G302" s="3"/>
      <c r="J302" s="3"/>
    </row>
    <row r="303">
      <c r="D303" s="3"/>
      <c r="G303" s="3"/>
      <c r="J303" s="3"/>
    </row>
    <row r="304">
      <c r="D304" s="3"/>
      <c r="G304" s="3"/>
      <c r="J304" s="3"/>
    </row>
    <row r="305">
      <c r="D305" s="3"/>
      <c r="G305" s="3"/>
      <c r="J305" s="3"/>
    </row>
    <row r="306">
      <c r="D306" s="3"/>
      <c r="G306" s="3"/>
      <c r="J306" s="3"/>
    </row>
    <row r="307">
      <c r="D307" s="3"/>
      <c r="G307" s="3"/>
      <c r="J307" s="3"/>
    </row>
    <row r="308">
      <c r="D308" s="3"/>
      <c r="G308" s="3"/>
      <c r="J308" s="3"/>
    </row>
    <row r="309">
      <c r="D309" s="3"/>
      <c r="G309" s="3"/>
      <c r="J309" s="3"/>
    </row>
    <row r="310">
      <c r="D310" s="3"/>
      <c r="G310" s="3"/>
      <c r="J310" s="3"/>
    </row>
    <row r="311">
      <c r="D311" s="3"/>
      <c r="G311" s="3"/>
      <c r="J311" s="3"/>
    </row>
    <row r="312">
      <c r="D312" s="3"/>
      <c r="G312" s="3"/>
      <c r="J312" s="3"/>
    </row>
    <row r="313">
      <c r="D313" s="3"/>
      <c r="G313" s="3"/>
      <c r="J313" s="3"/>
    </row>
    <row r="314">
      <c r="D314" s="3"/>
      <c r="G314" s="3"/>
      <c r="J314" s="3"/>
    </row>
    <row r="315">
      <c r="D315" s="3"/>
      <c r="G315" s="3"/>
      <c r="J315" s="3"/>
    </row>
    <row r="316">
      <c r="D316" s="3"/>
      <c r="G316" s="3"/>
      <c r="J316" s="3"/>
    </row>
    <row r="317">
      <c r="D317" s="3"/>
      <c r="G317" s="3"/>
      <c r="J317" s="3"/>
    </row>
    <row r="318">
      <c r="D318" s="3"/>
      <c r="G318" s="3"/>
      <c r="J318" s="3"/>
    </row>
    <row r="319">
      <c r="D319" s="3"/>
      <c r="G319" s="3"/>
      <c r="J319" s="3"/>
    </row>
    <row r="320">
      <c r="D320" s="3"/>
      <c r="G320" s="3"/>
      <c r="J320" s="3"/>
    </row>
    <row r="321">
      <c r="D321" s="3"/>
      <c r="G321" s="3"/>
      <c r="J321" s="3"/>
    </row>
    <row r="322">
      <c r="D322" s="3"/>
      <c r="G322" s="3"/>
      <c r="J322" s="3"/>
    </row>
    <row r="323">
      <c r="D323" s="3"/>
      <c r="G323" s="3"/>
      <c r="J323" s="3"/>
    </row>
    <row r="324">
      <c r="D324" s="3"/>
      <c r="G324" s="3"/>
      <c r="J324" s="3"/>
    </row>
    <row r="325">
      <c r="D325" s="3"/>
      <c r="G325" s="3"/>
      <c r="J325" s="3"/>
    </row>
    <row r="326">
      <c r="D326" s="3"/>
      <c r="G326" s="3"/>
      <c r="J326" s="3"/>
    </row>
    <row r="327">
      <c r="D327" s="3"/>
      <c r="G327" s="3"/>
      <c r="J327" s="3"/>
    </row>
    <row r="328">
      <c r="D328" s="3"/>
      <c r="G328" s="3"/>
      <c r="J328" s="3"/>
    </row>
    <row r="329">
      <c r="D329" s="3"/>
      <c r="G329" s="3"/>
      <c r="J329" s="3"/>
    </row>
    <row r="330">
      <c r="D330" s="3"/>
      <c r="G330" s="3"/>
      <c r="J330" s="3"/>
    </row>
    <row r="331">
      <c r="D331" s="3"/>
      <c r="G331" s="3"/>
      <c r="J331" s="3"/>
    </row>
    <row r="332">
      <c r="D332" s="3"/>
      <c r="G332" s="3"/>
      <c r="J332" s="3"/>
    </row>
    <row r="333">
      <c r="D333" s="3"/>
      <c r="G333" s="3"/>
      <c r="J333" s="3"/>
    </row>
    <row r="334">
      <c r="D334" s="3"/>
      <c r="G334" s="3"/>
      <c r="J334" s="3"/>
    </row>
    <row r="335">
      <c r="D335" s="3"/>
      <c r="G335" s="3"/>
      <c r="J335" s="3"/>
    </row>
    <row r="336">
      <c r="D336" s="3"/>
      <c r="G336" s="3"/>
      <c r="J336" s="3"/>
    </row>
    <row r="337">
      <c r="D337" s="3"/>
      <c r="G337" s="3"/>
      <c r="J337" s="3"/>
    </row>
    <row r="338">
      <c r="D338" s="3"/>
      <c r="G338" s="3"/>
      <c r="J338" s="3"/>
    </row>
    <row r="339">
      <c r="D339" s="3"/>
      <c r="G339" s="3"/>
      <c r="J339" s="3"/>
    </row>
    <row r="340">
      <c r="D340" s="3"/>
      <c r="G340" s="3"/>
      <c r="J340" s="3"/>
    </row>
    <row r="341">
      <c r="D341" s="3"/>
      <c r="G341" s="3"/>
      <c r="J341" s="3"/>
    </row>
    <row r="342">
      <c r="D342" s="3"/>
      <c r="G342" s="3"/>
      <c r="J342" s="3"/>
    </row>
    <row r="343">
      <c r="D343" s="3"/>
      <c r="G343" s="3"/>
      <c r="J343" s="3"/>
    </row>
    <row r="344">
      <c r="D344" s="3"/>
      <c r="G344" s="3"/>
      <c r="J344" s="3"/>
    </row>
    <row r="345">
      <c r="D345" s="3"/>
      <c r="G345" s="3"/>
      <c r="J345" s="3"/>
    </row>
    <row r="346">
      <c r="D346" s="3"/>
      <c r="G346" s="3"/>
      <c r="J346" s="3"/>
    </row>
    <row r="347">
      <c r="D347" s="3"/>
      <c r="G347" s="3"/>
      <c r="J347" s="3"/>
    </row>
    <row r="348">
      <c r="D348" s="3"/>
      <c r="G348" s="3"/>
      <c r="J348" s="3"/>
    </row>
    <row r="349">
      <c r="D349" s="3"/>
      <c r="G349" s="3"/>
      <c r="J349" s="3"/>
    </row>
    <row r="350">
      <c r="D350" s="3"/>
      <c r="G350" s="3"/>
      <c r="J350" s="3"/>
    </row>
    <row r="351">
      <c r="D351" s="3"/>
      <c r="G351" s="3"/>
      <c r="J351" s="3"/>
    </row>
    <row r="352">
      <c r="D352" s="3"/>
      <c r="G352" s="3"/>
      <c r="J352" s="3"/>
    </row>
    <row r="353">
      <c r="D353" s="3"/>
      <c r="G353" s="3"/>
      <c r="J353" s="3"/>
    </row>
    <row r="354">
      <c r="D354" s="3"/>
      <c r="G354" s="3"/>
      <c r="J354" s="3"/>
    </row>
    <row r="355">
      <c r="D355" s="3"/>
      <c r="G355" s="3"/>
      <c r="J355" s="3"/>
    </row>
    <row r="356">
      <c r="D356" s="3"/>
      <c r="G356" s="3"/>
      <c r="J356" s="3"/>
    </row>
    <row r="357">
      <c r="D357" s="3"/>
      <c r="G357" s="3"/>
      <c r="J357" s="3"/>
    </row>
    <row r="358">
      <c r="D358" s="3"/>
      <c r="G358" s="3"/>
      <c r="J358" s="3"/>
    </row>
    <row r="359">
      <c r="D359" s="3"/>
      <c r="G359" s="3"/>
      <c r="J359" s="3"/>
    </row>
    <row r="360">
      <c r="D360" s="3"/>
      <c r="G360" s="3"/>
      <c r="J360" s="3"/>
    </row>
    <row r="361">
      <c r="D361" s="3"/>
      <c r="G361" s="3"/>
      <c r="J361" s="3"/>
    </row>
    <row r="362">
      <c r="D362" s="3"/>
      <c r="G362" s="3"/>
      <c r="J362" s="3"/>
    </row>
    <row r="363">
      <c r="D363" s="3"/>
      <c r="G363" s="3"/>
      <c r="J363" s="3"/>
    </row>
    <row r="364">
      <c r="D364" s="3"/>
      <c r="G364" s="3"/>
      <c r="J364" s="3"/>
    </row>
    <row r="365">
      <c r="D365" s="3"/>
      <c r="G365" s="3"/>
      <c r="J365" s="3"/>
    </row>
    <row r="366">
      <c r="D366" s="3"/>
      <c r="G366" s="3"/>
      <c r="J366" s="3"/>
    </row>
    <row r="367">
      <c r="D367" s="3"/>
      <c r="G367" s="3"/>
      <c r="J367" s="3"/>
    </row>
    <row r="368">
      <c r="D368" s="3"/>
      <c r="G368" s="3"/>
      <c r="J368" s="3"/>
    </row>
    <row r="369">
      <c r="D369" s="3"/>
      <c r="G369" s="3"/>
      <c r="J369" s="3"/>
    </row>
    <row r="370">
      <c r="D370" s="3"/>
      <c r="G370" s="3"/>
      <c r="J370" s="3"/>
    </row>
    <row r="371">
      <c r="D371" s="3"/>
      <c r="G371" s="3"/>
      <c r="J371" s="3"/>
    </row>
    <row r="372">
      <c r="D372" s="3"/>
      <c r="G372" s="3"/>
      <c r="J372" s="3"/>
    </row>
    <row r="373">
      <c r="D373" s="3"/>
      <c r="G373" s="3"/>
      <c r="J373" s="3"/>
    </row>
    <row r="374">
      <c r="D374" s="3"/>
      <c r="G374" s="3"/>
      <c r="J374" s="3"/>
    </row>
    <row r="375">
      <c r="D375" s="3"/>
      <c r="G375" s="3"/>
      <c r="J375" s="3"/>
    </row>
    <row r="376">
      <c r="D376" s="3"/>
      <c r="G376" s="3"/>
      <c r="J376" s="3"/>
    </row>
    <row r="377">
      <c r="D377" s="3"/>
      <c r="G377" s="3"/>
      <c r="J377" s="3"/>
    </row>
    <row r="378">
      <c r="D378" s="3"/>
      <c r="G378" s="3"/>
      <c r="J378" s="3"/>
    </row>
    <row r="379">
      <c r="D379" s="3"/>
      <c r="G379" s="3"/>
      <c r="J379" s="3"/>
    </row>
    <row r="380">
      <c r="D380" s="3"/>
      <c r="G380" s="3"/>
      <c r="J380" s="3"/>
    </row>
    <row r="381">
      <c r="D381" s="3"/>
      <c r="G381" s="3"/>
      <c r="J381" s="3"/>
    </row>
    <row r="382">
      <c r="D382" s="3"/>
      <c r="G382" s="3"/>
      <c r="J382" s="3"/>
    </row>
    <row r="383">
      <c r="D383" s="3"/>
      <c r="G383" s="3"/>
      <c r="J383" s="3"/>
    </row>
    <row r="384">
      <c r="D384" s="3"/>
      <c r="G384" s="3"/>
      <c r="J384" s="3"/>
    </row>
    <row r="385">
      <c r="D385" s="3"/>
      <c r="G385" s="3"/>
      <c r="J385" s="3"/>
    </row>
    <row r="386">
      <c r="D386" s="3"/>
      <c r="G386" s="3"/>
      <c r="J386" s="3"/>
    </row>
    <row r="387">
      <c r="D387" s="3"/>
      <c r="G387" s="3"/>
      <c r="J387" s="3"/>
    </row>
    <row r="388">
      <c r="D388" s="3"/>
      <c r="G388" s="3"/>
      <c r="J388" s="3"/>
    </row>
    <row r="389">
      <c r="D389" s="3"/>
      <c r="G389" s="3"/>
      <c r="J389" s="3"/>
    </row>
    <row r="390">
      <c r="D390" s="3"/>
      <c r="G390" s="3"/>
      <c r="J390" s="3"/>
    </row>
    <row r="391">
      <c r="D391" s="3"/>
      <c r="G391" s="3"/>
      <c r="J391" s="3"/>
    </row>
    <row r="392">
      <c r="D392" s="3"/>
      <c r="G392" s="3"/>
      <c r="J392" s="3"/>
    </row>
    <row r="393">
      <c r="D393" s="3"/>
      <c r="G393" s="3"/>
      <c r="J393" s="3"/>
    </row>
    <row r="394">
      <c r="D394" s="3"/>
      <c r="G394" s="3"/>
      <c r="J394" s="3"/>
    </row>
    <row r="395">
      <c r="D395" s="3"/>
      <c r="G395" s="3"/>
      <c r="J395" s="3"/>
    </row>
    <row r="396">
      <c r="D396" s="3"/>
      <c r="G396" s="3"/>
      <c r="J396" s="3"/>
    </row>
    <row r="397">
      <c r="D397" s="3"/>
      <c r="G397" s="3"/>
      <c r="J397" s="3"/>
    </row>
    <row r="398">
      <c r="D398" s="3"/>
      <c r="G398" s="3"/>
      <c r="J398" s="3"/>
    </row>
    <row r="399">
      <c r="D399" s="3"/>
      <c r="G399" s="3"/>
      <c r="J399" s="3"/>
    </row>
    <row r="400">
      <c r="D400" s="3"/>
      <c r="G400" s="3"/>
      <c r="J400" s="3"/>
    </row>
    <row r="401">
      <c r="D401" s="3"/>
      <c r="G401" s="3"/>
      <c r="J401" s="3"/>
    </row>
    <row r="402">
      <c r="D402" s="3"/>
      <c r="G402" s="3"/>
      <c r="J402" s="3"/>
    </row>
    <row r="403">
      <c r="D403" s="3"/>
      <c r="G403" s="3"/>
      <c r="J403" s="3"/>
    </row>
    <row r="404">
      <c r="D404" s="3"/>
      <c r="G404" s="3"/>
      <c r="J404" s="3"/>
    </row>
    <row r="405">
      <c r="D405" s="3"/>
      <c r="G405" s="3"/>
      <c r="J405" s="3"/>
    </row>
    <row r="406">
      <c r="D406" s="3"/>
      <c r="G406" s="3"/>
      <c r="J406" s="3"/>
    </row>
    <row r="407">
      <c r="D407" s="3"/>
      <c r="G407" s="3"/>
      <c r="J407" s="3"/>
    </row>
    <row r="408">
      <c r="D408" s="3"/>
      <c r="G408" s="3"/>
      <c r="J408" s="3"/>
    </row>
    <row r="409">
      <c r="D409" s="3"/>
      <c r="G409" s="3"/>
      <c r="J409" s="3"/>
    </row>
    <row r="410">
      <c r="D410" s="3"/>
      <c r="G410" s="3"/>
      <c r="J410" s="3"/>
    </row>
    <row r="411">
      <c r="D411" s="3"/>
      <c r="G411" s="3"/>
      <c r="J411" s="3"/>
    </row>
    <row r="412">
      <c r="D412" s="3"/>
      <c r="G412" s="3"/>
      <c r="J412" s="3"/>
    </row>
    <row r="413">
      <c r="D413" s="3"/>
      <c r="G413" s="3"/>
      <c r="J413" s="3"/>
    </row>
    <row r="414">
      <c r="D414" s="3"/>
      <c r="G414" s="3"/>
      <c r="J414" s="3"/>
    </row>
    <row r="415">
      <c r="D415" s="3"/>
      <c r="G415" s="3"/>
      <c r="J415" s="3"/>
    </row>
    <row r="416">
      <c r="D416" s="3"/>
      <c r="G416" s="3"/>
      <c r="J416" s="3"/>
    </row>
    <row r="417">
      <c r="D417" s="3"/>
      <c r="G417" s="3"/>
      <c r="J417" s="3"/>
    </row>
    <row r="418">
      <c r="D418" s="3"/>
      <c r="G418" s="3"/>
      <c r="J418" s="3"/>
    </row>
    <row r="419">
      <c r="D419" s="3"/>
      <c r="G419" s="3"/>
      <c r="J419" s="3"/>
    </row>
    <row r="420">
      <c r="D420" s="3"/>
      <c r="G420" s="3"/>
      <c r="J420" s="3"/>
    </row>
    <row r="421">
      <c r="D421" s="3"/>
      <c r="G421" s="3"/>
      <c r="J421" s="3"/>
    </row>
    <row r="422">
      <c r="D422" s="3"/>
      <c r="G422" s="3"/>
      <c r="J422" s="3"/>
    </row>
    <row r="423">
      <c r="D423" s="3"/>
      <c r="G423" s="3"/>
      <c r="J423" s="3"/>
    </row>
    <row r="424">
      <c r="D424" s="3"/>
      <c r="G424" s="3"/>
      <c r="J424" s="3"/>
    </row>
    <row r="425">
      <c r="D425" s="3"/>
      <c r="G425" s="3"/>
      <c r="J425" s="3"/>
    </row>
    <row r="426">
      <c r="D426" s="3"/>
      <c r="G426" s="3"/>
      <c r="J426" s="3"/>
    </row>
    <row r="427">
      <c r="D427" s="3"/>
      <c r="G427" s="3"/>
      <c r="J427" s="3"/>
    </row>
    <row r="428">
      <c r="D428" s="3"/>
      <c r="G428" s="3"/>
      <c r="J428" s="3"/>
    </row>
    <row r="429">
      <c r="D429" s="3"/>
      <c r="G429" s="3"/>
      <c r="J429" s="3"/>
    </row>
    <row r="430">
      <c r="D430" s="3"/>
      <c r="G430" s="3"/>
      <c r="J430" s="3"/>
    </row>
    <row r="431">
      <c r="D431" s="3"/>
      <c r="G431" s="3"/>
      <c r="J431" s="3"/>
    </row>
    <row r="432">
      <c r="D432" s="3"/>
      <c r="G432" s="3"/>
      <c r="J432" s="3"/>
    </row>
    <row r="433">
      <c r="D433" s="3"/>
      <c r="G433" s="3"/>
      <c r="J433" s="3"/>
    </row>
    <row r="434">
      <c r="D434" s="3"/>
      <c r="G434" s="3"/>
      <c r="J434" s="3"/>
    </row>
    <row r="435">
      <c r="D435" s="3"/>
      <c r="G435" s="3"/>
      <c r="J435" s="3"/>
    </row>
    <row r="436">
      <c r="D436" s="3"/>
      <c r="G436" s="3"/>
      <c r="J436" s="3"/>
    </row>
    <row r="437">
      <c r="D437" s="3"/>
      <c r="G437" s="3"/>
      <c r="J437" s="3"/>
    </row>
    <row r="438">
      <c r="D438" s="3"/>
      <c r="G438" s="3"/>
      <c r="J438" s="3"/>
    </row>
    <row r="439">
      <c r="D439" s="3"/>
      <c r="G439" s="3"/>
      <c r="J439" s="3"/>
    </row>
    <row r="440">
      <c r="D440" s="3"/>
      <c r="G440" s="3"/>
      <c r="J440" s="3"/>
    </row>
    <row r="441">
      <c r="D441" s="3"/>
      <c r="G441" s="3"/>
      <c r="J441" s="3"/>
    </row>
    <row r="442">
      <c r="D442" s="3"/>
      <c r="G442" s="3"/>
      <c r="J442" s="3"/>
    </row>
    <row r="443">
      <c r="D443" s="3"/>
      <c r="G443" s="3"/>
      <c r="J443" s="3"/>
    </row>
    <row r="444">
      <c r="D444" s="3"/>
      <c r="G444" s="3"/>
      <c r="J444" s="3"/>
    </row>
    <row r="445">
      <c r="D445" s="3"/>
      <c r="G445" s="3"/>
      <c r="J445" s="3"/>
    </row>
    <row r="446">
      <c r="D446" s="3"/>
      <c r="G446" s="3"/>
      <c r="J446" s="3"/>
    </row>
    <row r="447">
      <c r="D447" s="3"/>
      <c r="G447" s="3"/>
      <c r="J447" s="3"/>
    </row>
    <row r="448">
      <c r="D448" s="3"/>
      <c r="G448" s="3"/>
      <c r="J448" s="3"/>
    </row>
    <row r="449">
      <c r="D449" s="3"/>
      <c r="G449" s="3"/>
      <c r="J449" s="3"/>
    </row>
    <row r="450">
      <c r="D450" s="3"/>
      <c r="G450" s="3"/>
      <c r="J450" s="3"/>
    </row>
    <row r="451">
      <c r="D451" s="3"/>
      <c r="G451" s="3"/>
      <c r="J451" s="3"/>
    </row>
    <row r="452">
      <c r="D452" s="3"/>
      <c r="G452" s="3"/>
      <c r="J452" s="3"/>
    </row>
    <row r="453">
      <c r="D453" s="3"/>
      <c r="G453" s="3"/>
      <c r="J453" s="3"/>
    </row>
    <row r="454">
      <c r="D454" s="3"/>
      <c r="G454" s="3"/>
      <c r="J454" s="3"/>
    </row>
    <row r="455">
      <c r="D455" s="3"/>
      <c r="G455" s="3"/>
      <c r="J455" s="3"/>
    </row>
    <row r="456">
      <c r="D456" s="3"/>
      <c r="G456" s="3"/>
      <c r="J456" s="3"/>
    </row>
    <row r="457">
      <c r="D457" s="3"/>
      <c r="G457" s="3"/>
      <c r="J457" s="3"/>
    </row>
    <row r="458">
      <c r="D458" s="3"/>
      <c r="G458" s="3"/>
      <c r="J458" s="3"/>
    </row>
    <row r="459">
      <c r="D459" s="3"/>
      <c r="G459" s="3"/>
      <c r="J459" s="3"/>
    </row>
    <row r="460">
      <c r="D460" s="3"/>
      <c r="G460" s="3"/>
      <c r="J460" s="3"/>
    </row>
    <row r="461">
      <c r="D461" s="3"/>
      <c r="G461" s="3"/>
      <c r="J461" s="3"/>
    </row>
    <row r="462">
      <c r="D462" s="3"/>
      <c r="G462" s="3"/>
      <c r="J462" s="3"/>
    </row>
    <row r="463">
      <c r="D463" s="3"/>
      <c r="G463" s="3"/>
      <c r="J463" s="3"/>
    </row>
    <row r="464">
      <c r="D464" s="3"/>
      <c r="G464" s="3"/>
      <c r="J464" s="3"/>
    </row>
    <row r="465">
      <c r="D465" s="3"/>
      <c r="G465" s="3"/>
      <c r="J465" s="3"/>
    </row>
    <row r="466">
      <c r="D466" s="3"/>
      <c r="G466" s="3"/>
      <c r="J466" s="3"/>
    </row>
    <row r="467">
      <c r="D467" s="3"/>
      <c r="G467" s="3"/>
      <c r="J467" s="3"/>
    </row>
    <row r="468">
      <c r="D468" s="3"/>
      <c r="G468" s="3"/>
      <c r="J468" s="3"/>
    </row>
    <row r="469">
      <c r="D469" s="3"/>
      <c r="G469" s="3"/>
      <c r="J469" s="3"/>
    </row>
    <row r="470">
      <c r="D470" s="3"/>
      <c r="G470" s="3"/>
      <c r="J470" s="3"/>
    </row>
    <row r="471">
      <c r="D471" s="3"/>
      <c r="G471" s="3"/>
      <c r="J471" s="3"/>
    </row>
    <row r="472">
      <c r="D472" s="3"/>
      <c r="G472" s="3"/>
      <c r="J472" s="3"/>
    </row>
    <row r="473">
      <c r="D473" s="3"/>
      <c r="G473" s="3"/>
      <c r="J473" s="3"/>
    </row>
    <row r="474">
      <c r="D474" s="3"/>
      <c r="G474" s="3"/>
      <c r="J474" s="3"/>
    </row>
    <row r="475">
      <c r="D475" s="3"/>
      <c r="G475" s="3"/>
      <c r="J475" s="3"/>
    </row>
    <row r="476">
      <c r="D476" s="3"/>
      <c r="G476" s="3"/>
      <c r="J476" s="3"/>
    </row>
    <row r="477">
      <c r="D477" s="3"/>
      <c r="G477" s="3"/>
      <c r="J477" s="3"/>
    </row>
    <row r="478">
      <c r="D478" s="3"/>
      <c r="G478" s="3"/>
      <c r="J478" s="3"/>
    </row>
    <row r="479">
      <c r="D479" s="3"/>
      <c r="G479" s="3"/>
      <c r="J479" s="3"/>
    </row>
    <row r="480">
      <c r="D480" s="3"/>
      <c r="G480" s="3"/>
      <c r="J480" s="3"/>
    </row>
    <row r="481">
      <c r="D481" s="3"/>
      <c r="G481" s="3"/>
      <c r="J481" s="3"/>
    </row>
    <row r="482">
      <c r="D482" s="3"/>
      <c r="G482" s="3"/>
      <c r="J482" s="3"/>
    </row>
    <row r="483">
      <c r="D483" s="3"/>
      <c r="G483" s="3"/>
      <c r="J483" s="3"/>
    </row>
    <row r="484">
      <c r="D484" s="3"/>
      <c r="G484" s="3"/>
      <c r="J484" s="3"/>
    </row>
    <row r="485">
      <c r="D485" s="3"/>
      <c r="G485" s="3"/>
      <c r="J485" s="3"/>
    </row>
    <row r="486">
      <c r="D486" s="3"/>
      <c r="G486" s="3"/>
      <c r="J486" s="3"/>
    </row>
    <row r="487">
      <c r="D487" s="3"/>
      <c r="G487" s="3"/>
      <c r="J487" s="3"/>
    </row>
    <row r="488">
      <c r="D488" s="3"/>
      <c r="G488" s="3"/>
      <c r="J488" s="3"/>
    </row>
    <row r="489">
      <c r="D489" s="3"/>
      <c r="G489" s="3"/>
      <c r="J489" s="3"/>
    </row>
    <row r="490">
      <c r="D490" s="3"/>
      <c r="G490" s="3"/>
      <c r="J490" s="3"/>
    </row>
    <row r="491">
      <c r="D491" s="3"/>
      <c r="G491" s="3"/>
      <c r="J491" s="3"/>
    </row>
    <row r="492">
      <c r="D492" s="3"/>
      <c r="G492" s="3"/>
      <c r="J492" s="3"/>
    </row>
    <row r="493">
      <c r="D493" s="3"/>
      <c r="G493" s="3"/>
      <c r="J493" s="3"/>
    </row>
    <row r="494">
      <c r="D494" s="3"/>
      <c r="G494" s="3"/>
      <c r="J494" s="3"/>
    </row>
    <row r="495">
      <c r="D495" s="3"/>
      <c r="G495" s="3"/>
      <c r="J495" s="3"/>
    </row>
    <row r="496">
      <c r="D496" s="3"/>
      <c r="G496" s="3"/>
      <c r="J496" s="3"/>
    </row>
    <row r="497">
      <c r="D497" s="3"/>
      <c r="G497" s="3"/>
      <c r="J497" s="3"/>
    </row>
    <row r="498">
      <c r="D498" s="3"/>
      <c r="G498" s="3"/>
      <c r="J498" s="3"/>
    </row>
    <row r="499">
      <c r="D499" s="3"/>
      <c r="G499" s="3"/>
      <c r="J499" s="3"/>
    </row>
    <row r="500">
      <c r="D500" s="3"/>
      <c r="G500" s="3"/>
      <c r="J500" s="3"/>
    </row>
    <row r="501">
      <c r="D501" s="3"/>
      <c r="G501" s="3"/>
      <c r="J501" s="3"/>
    </row>
    <row r="502">
      <c r="D502" s="3"/>
      <c r="G502" s="3"/>
      <c r="J502" s="3"/>
    </row>
    <row r="503">
      <c r="D503" s="3"/>
      <c r="G503" s="3"/>
      <c r="J503" s="3"/>
    </row>
    <row r="504">
      <c r="D504" s="3"/>
      <c r="G504" s="3"/>
      <c r="J504" s="3"/>
    </row>
    <row r="505">
      <c r="D505" s="3"/>
      <c r="G505" s="3"/>
      <c r="J505" s="3"/>
    </row>
    <row r="506">
      <c r="D506" s="3"/>
      <c r="G506" s="3"/>
      <c r="J506" s="3"/>
    </row>
    <row r="507">
      <c r="D507" s="3"/>
      <c r="G507" s="3"/>
      <c r="J507" s="3"/>
    </row>
    <row r="508">
      <c r="D508" s="3"/>
      <c r="G508" s="3"/>
      <c r="J508" s="3"/>
    </row>
    <row r="509">
      <c r="D509" s="3"/>
      <c r="G509" s="3"/>
      <c r="J509" s="3"/>
    </row>
    <row r="510">
      <c r="D510" s="3"/>
      <c r="G510" s="3"/>
      <c r="J510" s="3"/>
    </row>
    <row r="511">
      <c r="D511" s="3"/>
      <c r="G511" s="3"/>
      <c r="J511" s="3"/>
    </row>
    <row r="512">
      <c r="D512" s="3"/>
      <c r="G512" s="3"/>
      <c r="J512" s="3"/>
    </row>
    <row r="513">
      <c r="D513" s="3"/>
      <c r="G513" s="3"/>
      <c r="J513" s="3"/>
    </row>
    <row r="514">
      <c r="D514" s="3"/>
      <c r="G514" s="3"/>
      <c r="J514" s="3"/>
    </row>
    <row r="515">
      <c r="D515" s="3"/>
      <c r="G515" s="3"/>
      <c r="J515" s="3"/>
    </row>
    <row r="516">
      <c r="D516" s="3"/>
      <c r="G516" s="3"/>
      <c r="J516" s="3"/>
    </row>
    <row r="517">
      <c r="D517" s="3"/>
      <c r="G517" s="3"/>
      <c r="J517" s="3"/>
    </row>
    <row r="518">
      <c r="D518" s="3"/>
      <c r="G518" s="3"/>
      <c r="J518" s="3"/>
    </row>
    <row r="519">
      <c r="D519" s="3"/>
      <c r="G519" s="3"/>
      <c r="J519" s="3"/>
    </row>
    <row r="520">
      <c r="D520" s="3"/>
      <c r="G520" s="3"/>
      <c r="J520" s="3"/>
    </row>
    <row r="521">
      <c r="D521" s="3"/>
      <c r="G521" s="3"/>
      <c r="J521" s="3"/>
    </row>
    <row r="522">
      <c r="D522" s="3"/>
      <c r="G522" s="3"/>
      <c r="J522" s="3"/>
    </row>
    <row r="523">
      <c r="D523" s="3"/>
      <c r="G523" s="3"/>
      <c r="J523" s="3"/>
    </row>
    <row r="524">
      <c r="D524" s="3"/>
      <c r="G524" s="3"/>
      <c r="J524" s="3"/>
    </row>
    <row r="525">
      <c r="D525" s="3"/>
      <c r="G525" s="3"/>
      <c r="J525" s="3"/>
    </row>
    <row r="526">
      <c r="D526" s="3"/>
      <c r="G526" s="3"/>
      <c r="J526" s="3"/>
    </row>
    <row r="527">
      <c r="D527" s="3"/>
      <c r="G527" s="3"/>
      <c r="J527" s="3"/>
    </row>
    <row r="528">
      <c r="D528" s="3"/>
      <c r="G528" s="3"/>
      <c r="J528" s="3"/>
    </row>
    <row r="529">
      <c r="D529" s="3"/>
      <c r="G529" s="3"/>
      <c r="J529" s="3"/>
    </row>
    <row r="530">
      <c r="D530" s="3"/>
      <c r="G530" s="3"/>
      <c r="J530" s="3"/>
    </row>
    <row r="531">
      <c r="D531" s="3"/>
      <c r="G531" s="3"/>
      <c r="J531" s="3"/>
    </row>
    <row r="532">
      <c r="D532" s="3"/>
      <c r="G532" s="3"/>
      <c r="J532" s="3"/>
    </row>
    <row r="533">
      <c r="D533" s="3"/>
      <c r="G533" s="3"/>
      <c r="J533" s="3"/>
    </row>
    <row r="534">
      <c r="D534" s="3"/>
      <c r="G534" s="3"/>
      <c r="J534" s="3"/>
    </row>
    <row r="535">
      <c r="D535" s="3"/>
      <c r="G535" s="3"/>
      <c r="J535" s="3"/>
    </row>
    <row r="536">
      <c r="D536" s="3"/>
      <c r="G536" s="3"/>
      <c r="J536" s="3"/>
    </row>
    <row r="537">
      <c r="D537" s="3"/>
      <c r="G537" s="3"/>
      <c r="J537" s="3"/>
    </row>
    <row r="538">
      <c r="D538" s="3"/>
      <c r="G538" s="3"/>
      <c r="J538" s="3"/>
    </row>
    <row r="539">
      <c r="D539" s="3"/>
      <c r="G539" s="3"/>
      <c r="J539" s="3"/>
    </row>
    <row r="540">
      <c r="D540" s="3"/>
      <c r="G540" s="3"/>
      <c r="J540" s="3"/>
    </row>
    <row r="541">
      <c r="D541" s="3"/>
      <c r="G541" s="3"/>
      <c r="J541" s="3"/>
    </row>
    <row r="542">
      <c r="D542" s="3"/>
      <c r="G542" s="3"/>
      <c r="J542" s="3"/>
    </row>
    <row r="543">
      <c r="D543" s="3"/>
      <c r="G543" s="3"/>
      <c r="J543" s="3"/>
    </row>
    <row r="544">
      <c r="D544" s="3"/>
      <c r="G544" s="3"/>
      <c r="J544" s="3"/>
    </row>
    <row r="545">
      <c r="D545" s="3"/>
      <c r="G545" s="3"/>
      <c r="J545" s="3"/>
    </row>
    <row r="546">
      <c r="D546" s="3"/>
      <c r="G546" s="3"/>
      <c r="J546" s="3"/>
    </row>
    <row r="547">
      <c r="D547" s="3"/>
      <c r="G547" s="3"/>
      <c r="J547" s="3"/>
    </row>
    <row r="548">
      <c r="D548" s="3"/>
      <c r="G548" s="3"/>
      <c r="J548" s="3"/>
    </row>
    <row r="549">
      <c r="D549" s="3"/>
      <c r="G549" s="3"/>
      <c r="J549" s="3"/>
    </row>
    <row r="550">
      <c r="D550" s="3"/>
      <c r="G550" s="3"/>
      <c r="J550" s="3"/>
    </row>
    <row r="551">
      <c r="D551" s="3"/>
      <c r="G551" s="3"/>
      <c r="J551" s="3"/>
    </row>
    <row r="552">
      <c r="D552" s="3"/>
      <c r="G552" s="3"/>
      <c r="J552" s="3"/>
    </row>
    <row r="553">
      <c r="D553" s="3"/>
      <c r="G553" s="3"/>
      <c r="J553" s="3"/>
    </row>
    <row r="554">
      <c r="D554" s="3"/>
      <c r="G554" s="3"/>
      <c r="J554" s="3"/>
    </row>
    <row r="555">
      <c r="D555" s="3"/>
      <c r="G555" s="3"/>
      <c r="J555" s="3"/>
    </row>
    <row r="556">
      <c r="D556" s="3"/>
      <c r="G556" s="3"/>
      <c r="J556" s="3"/>
    </row>
    <row r="557">
      <c r="D557" s="3"/>
      <c r="G557" s="3"/>
      <c r="J557" s="3"/>
    </row>
    <row r="558">
      <c r="D558" s="3"/>
      <c r="G558" s="3"/>
      <c r="J558" s="3"/>
    </row>
    <row r="559">
      <c r="D559" s="3"/>
      <c r="G559" s="3"/>
      <c r="J559" s="3"/>
    </row>
    <row r="560">
      <c r="D560" s="3"/>
      <c r="G560" s="3"/>
      <c r="J560" s="3"/>
    </row>
    <row r="561">
      <c r="D561" s="3"/>
      <c r="G561" s="3"/>
      <c r="J561" s="3"/>
    </row>
    <row r="562">
      <c r="D562" s="3"/>
      <c r="G562" s="3"/>
      <c r="J562" s="3"/>
    </row>
    <row r="563">
      <c r="D563" s="3"/>
      <c r="G563" s="3"/>
      <c r="J563" s="3"/>
    </row>
    <row r="564">
      <c r="D564" s="3"/>
      <c r="G564" s="3"/>
      <c r="J564" s="3"/>
    </row>
    <row r="565">
      <c r="D565" s="3"/>
      <c r="G565" s="3"/>
      <c r="J565" s="3"/>
    </row>
    <row r="566">
      <c r="D566" s="3"/>
      <c r="G566" s="3"/>
      <c r="J566" s="3"/>
    </row>
    <row r="567">
      <c r="D567" s="3"/>
      <c r="G567" s="3"/>
      <c r="J567" s="3"/>
    </row>
    <row r="568">
      <c r="D568" s="3"/>
      <c r="G568" s="3"/>
      <c r="J568" s="3"/>
    </row>
    <row r="569">
      <c r="D569" s="3"/>
      <c r="G569" s="3"/>
      <c r="J569" s="3"/>
    </row>
    <row r="570">
      <c r="D570" s="3"/>
      <c r="G570" s="3"/>
      <c r="J570" s="3"/>
    </row>
    <row r="571">
      <c r="D571" s="3"/>
      <c r="G571" s="3"/>
      <c r="J571" s="3"/>
    </row>
    <row r="572">
      <c r="D572" s="3"/>
      <c r="G572" s="3"/>
      <c r="J572" s="3"/>
    </row>
    <row r="573">
      <c r="D573" s="3"/>
      <c r="G573" s="3"/>
      <c r="J573" s="3"/>
    </row>
    <row r="574">
      <c r="D574" s="3"/>
      <c r="G574" s="3"/>
      <c r="J574" s="3"/>
    </row>
    <row r="575">
      <c r="D575" s="3"/>
      <c r="G575" s="3"/>
      <c r="J575" s="3"/>
    </row>
    <row r="576">
      <c r="D576" s="3"/>
      <c r="G576" s="3"/>
      <c r="J576" s="3"/>
    </row>
    <row r="577">
      <c r="D577" s="3"/>
      <c r="G577" s="3"/>
      <c r="J577" s="3"/>
    </row>
    <row r="578">
      <c r="D578" s="3"/>
      <c r="G578" s="3"/>
      <c r="J578" s="3"/>
    </row>
    <row r="579">
      <c r="D579" s="3"/>
      <c r="G579" s="3"/>
      <c r="J579" s="3"/>
    </row>
    <row r="580">
      <c r="D580" s="3"/>
      <c r="G580" s="3"/>
      <c r="J580" s="3"/>
    </row>
    <row r="581">
      <c r="D581" s="3"/>
      <c r="G581" s="3"/>
      <c r="J581" s="3"/>
    </row>
    <row r="582">
      <c r="D582" s="3"/>
      <c r="G582" s="3"/>
      <c r="J582" s="3"/>
    </row>
    <row r="583">
      <c r="D583" s="3"/>
      <c r="G583" s="3"/>
      <c r="J583" s="3"/>
    </row>
    <row r="584">
      <c r="D584" s="3"/>
      <c r="G584" s="3"/>
      <c r="J584" s="3"/>
    </row>
    <row r="585">
      <c r="D585" s="3"/>
      <c r="G585" s="3"/>
      <c r="J585" s="3"/>
    </row>
    <row r="586">
      <c r="D586" s="3"/>
      <c r="G586" s="3"/>
      <c r="J586" s="3"/>
    </row>
    <row r="587">
      <c r="D587" s="3"/>
      <c r="G587" s="3"/>
      <c r="J587" s="3"/>
    </row>
    <row r="588">
      <c r="D588" s="3"/>
      <c r="G588" s="3"/>
      <c r="J588" s="3"/>
    </row>
    <row r="589">
      <c r="D589" s="3"/>
      <c r="G589" s="3"/>
      <c r="J589" s="3"/>
    </row>
    <row r="590">
      <c r="D590" s="3"/>
      <c r="G590" s="3"/>
      <c r="J590" s="3"/>
    </row>
    <row r="591">
      <c r="D591" s="3"/>
      <c r="G591" s="3"/>
      <c r="J591" s="3"/>
    </row>
    <row r="592">
      <c r="D592" s="3"/>
      <c r="G592" s="3"/>
      <c r="J592" s="3"/>
    </row>
    <row r="593">
      <c r="D593" s="3"/>
      <c r="G593" s="3"/>
      <c r="J593" s="3"/>
    </row>
    <row r="594">
      <c r="D594" s="3"/>
      <c r="G594" s="3"/>
      <c r="J594" s="3"/>
    </row>
    <row r="595">
      <c r="D595" s="3"/>
      <c r="G595" s="3"/>
      <c r="J595" s="3"/>
    </row>
    <row r="596">
      <c r="D596" s="3"/>
      <c r="G596" s="3"/>
      <c r="J596" s="3"/>
    </row>
    <row r="597">
      <c r="D597" s="3"/>
      <c r="G597" s="3"/>
      <c r="J597" s="3"/>
    </row>
    <row r="598">
      <c r="D598" s="3"/>
      <c r="G598" s="3"/>
      <c r="J598" s="3"/>
    </row>
    <row r="599">
      <c r="D599" s="3"/>
      <c r="G599" s="3"/>
      <c r="J599" s="3"/>
    </row>
    <row r="600">
      <c r="D600" s="3"/>
      <c r="G600" s="3"/>
      <c r="J600" s="3"/>
    </row>
    <row r="601">
      <c r="D601" s="3"/>
      <c r="G601" s="3"/>
      <c r="J601" s="3"/>
    </row>
    <row r="602">
      <c r="D602" s="3"/>
      <c r="G602" s="3"/>
      <c r="J602" s="3"/>
    </row>
    <row r="603">
      <c r="D603" s="3"/>
      <c r="G603" s="3"/>
      <c r="J603" s="3"/>
    </row>
    <row r="604">
      <c r="D604" s="3"/>
      <c r="G604" s="3"/>
      <c r="J604" s="3"/>
    </row>
    <row r="605">
      <c r="D605" s="3"/>
      <c r="G605" s="3"/>
      <c r="J605" s="3"/>
    </row>
    <row r="606">
      <c r="D606" s="3"/>
      <c r="G606" s="3"/>
      <c r="J606" s="3"/>
    </row>
    <row r="607">
      <c r="D607" s="3"/>
      <c r="G607" s="3"/>
      <c r="J607" s="3"/>
    </row>
    <row r="608">
      <c r="D608" s="3"/>
      <c r="G608" s="3"/>
      <c r="J608" s="3"/>
    </row>
    <row r="609">
      <c r="D609" s="3"/>
      <c r="G609" s="3"/>
      <c r="J609" s="3"/>
    </row>
    <row r="610">
      <c r="D610" s="3"/>
      <c r="G610" s="3"/>
      <c r="J610" s="3"/>
    </row>
    <row r="611">
      <c r="D611" s="3"/>
      <c r="G611" s="3"/>
      <c r="J611" s="3"/>
    </row>
    <row r="612">
      <c r="D612" s="3"/>
      <c r="G612" s="3"/>
      <c r="J612" s="3"/>
    </row>
    <row r="613">
      <c r="D613" s="3"/>
      <c r="G613" s="3"/>
      <c r="J613" s="3"/>
    </row>
    <row r="614">
      <c r="D614" s="3"/>
      <c r="G614" s="3"/>
      <c r="J614" s="3"/>
    </row>
    <row r="615">
      <c r="D615" s="3"/>
      <c r="G615" s="3"/>
      <c r="J615" s="3"/>
    </row>
    <row r="616">
      <c r="D616" s="3"/>
      <c r="G616" s="3"/>
      <c r="J616" s="3"/>
    </row>
    <row r="617">
      <c r="D617" s="3"/>
      <c r="G617" s="3"/>
      <c r="J617" s="3"/>
    </row>
    <row r="618">
      <c r="D618" s="3"/>
      <c r="G618" s="3"/>
      <c r="J618" s="3"/>
    </row>
    <row r="619">
      <c r="D619" s="3"/>
      <c r="G619" s="3"/>
      <c r="J619" s="3"/>
    </row>
    <row r="620">
      <c r="D620" s="3"/>
      <c r="G620" s="3"/>
      <c r="J620" s="3"/>
    </row>
    <row r="621">
      <c r="D621" s="3"/>
      <c r="G621" s="3"/>
      <c r="J621" s="3"/>
    </row>
    <row r="622">
      <c r="D622" s="3"/>
      <c r="G622" s="3"/>
      <c r="J622" s="3"/>
    </row>
    <row r="623">
      <c r="D623" s="3"/>
      <c r="G623" s="3"/>
      <c r="J623" s="3"/>
    </row>
    <row r="624">
      <c r="D624" s="3"/>
      <c r="G624" s="3"/>
      <c r="J624" s="3"/>
    </row>
    <row r="625">
      <c r="D625" s="3"/>
      <c r="G625" s="3"/>
      <c r="J625" s="3"/>
    </row>
    <row r="626">
      <c r="D626" s="3"/>
      <c r="G626" s="3"/>
      <c r="J626" s="3"/>
    </row>
    <row r="627">
      <c r="D627" s="3"/>
      <c r="G627" s="3"/>
      <c r="J627" s="3"/>
    </row>
    <row r="628">
      <c r="D628" s="3"/>
      <c r="G628" s="3"/>
      <c r="J628" s="3"/>
    </row>
    <row r="629">
      <c r="D629" s="3"/>
      <c r="G629" s="3"/>
      <c r="J629" s="3"/>
    </row>
    <row r="630">
      <c r="D630" s="3"/>
      <c r="G630" s="3"/>
      <c r="J630" s="3"/>
    </row>
    <row r="631">
      <c r="D631" s="3"/>
      <c r="G631" s="3"/>
      <c r="J631" s="3"/>
    </row>
    <row r="632">
      <c r="D632" s="3"/>
      <c r="G632" s="3"/>
      <c r="J632" s="3"/>
    </row>
    <row r="633">
      <c r="D633" s="3"/>
      <c r="G633" s="3"/>
      <c r="J633" s="3"/>
    </row>
    <row r="634">
      <c r="D634" s="3"/>
      <c r="G634" s="3"/>
      <c r="J634" s="3"/>
    </row>
    <row r="635">
      <c r="D635" s="3"/>
      <c r="G635" s="3"/>
      <c r="J635" s="3"/>
    </row>
    <row r="636">
      <c r="D636" s="3"/>
      <c r="G636" s="3"/>
      <c r="J636" s="3"/>
    </row>
    <row r="637">
      <c r="D637" s="3"/>
      <c r="G637" s="3"/>
      <c r="J637" s="3"/>
    </row>
    <row r="638">
      <c r="D638" s="3"/>
      <c r="G638" s="3"/>
      <c r="J638" s="3"/>
    </row>
    <row r="639">
      <c r="D639" s="3"/>
      <c r="G639" s="3"/>
      <c r="J639" s="3"/>
    </row>
    <row r="640">
      <c r="D640" s="3"/>
      <c r="G640" s="3"/>
      <c r="J640" s="3"/>
    </row>
    <row r="641">
      <c r="D641" s="3"/>
      <c r="G641" s="3"/>
      <c r="J641" s="3"/>
    </row>
    <row r="642">
      <c r="D642" s="3"/>
      <c r="G642" s="3"/>
      <c r="J642" s="3"/>
    </row>
    <row r="643">
      <c r="D643" s="3"/>
      <c r="G643" s="3"/>
      <c r="J643" s="3"/>
    </row>
    <row r="644">
      <c r="D644" s="3"/>
      <c r="G644" s="3"/>
      <c r="J644" s="3"/>
    </row>
    <row r="645">
      <c r="D645" s="3"/>
      <c r="G645" s="3"/>
      <c r="J645" s="3"/>
    </row>
    <row r="646">
      <c r="D646" s="3"/>
      <c r="G646" s="3"/>
      <c r="J646" s="3"/>
    </row>
    <row r="647">
      <c r="D647" s="3"/>
      <c r="G647" s="3"/>
      <c r="J647" s="3"/>
    </row>
    <row r="648">
      <c r="D648" s="3"/>
      <c r="G648" s="3"/>
      <c r="J648" s="3"/>
    </row>
    <row r="649">
      <c r="D649" s="3"/>
      <c r="G649" s="3"/>
      <c r="J649" s="3"/>
    </row>
    <row r="650">
      <c r="D650" s="3"/>
      <c r="G650" s="3"/>
      <c r="J650" s="3"/>
    </row>
    <row r="651">
      <c r="D651" s="3"/>
      <c r="G651" s="3"/>
      <c r="J651" s="3"/>
    </row>
    <row r="652">
      <c r="D652" s="3"/>
      <c r="G652" s="3"/>
      <c r="J652" s="3"/>
    </row>
    <row r="653">
      <c r="D653" s="3"/>
      <c r="G653" s="3"/>
      <c r="J653" s="3"/>
    </row>
    <row r="654">
      <c r="D654" s="3"/>
      <c r="G654" s="3"/>
      <c r="J654" s="3"/>
    </row>
    <row r="655">
      <c r="D655" s="3"/>
      <c r="G655" s="3"/>
      <c r="J655" s="3"/>
    </row>
    <row r="656">
      <c r="D656" s="3"/>
      <c r="G656" s="3"/>
      <c r="J656" s="3"/>
    </row>
    <row r="657">
      <c r="D657" s="3"/>
      <c r="G657" s="3"/>
      <c r="J657" s="3"/>
    </row>
    <row r="658">
      <c r="D658" s="3"/>
      <c r="G658" s="3"/>
      <c r="J658" s="3"/>
    </row>
    <row r="659">
      <c r="D659" s="3"/>
      <c r="G659" s="3"/>
      <c r="J659" s="3"/>
    </row>
    <row r="660">
      <c r="D660" s="3"/>
      <c r="G660" s="3"/>
      <c r="J660" s="3"/>
    </row>
    <row r="661">
      <c r="D661" s="3"/>
      <c r="G661" s="3"/>
      <c r="J661" s="3"/>
    </row>
    <row r="662">
      <c r="D662" s="3"/>
      <c r="G662" s="3"/>
      <c r="J662" s="3"/>
    </row>
    <row r="663">
      <c r="D663" s="3"/>
      <c r="G663" s="3"/>
      <c r="J663" s="3"/>
    </row>
    <row r="664">
      <c r="D664" s="3"/>
      <c r="G664" s="3"/>
      <c r="J664" s="3"/>
    </row>
    <row r="665">
      <c r="D665" s="3"/>
      <c r="G665" s="3"/>
      <c r="J665" s="3"/>
    </row>
    <row r="666">
      <c r="D666" s="3"/>
      <c r="G666" s="3"/>
      <c r="J666" s="3"/>
    </row>
    <row r="667">
      <c r="D667" s="3"/>
      <c r="G667" s="3"/>
      <c r="J667" s="3"/>
    </row>
    <row r="668">
      <c r="D668" s="3"/>
      <c r="G668" s="3"/>
      <c r="J668" s="3"/>
    </row>
    <row r="669">
      <c r="D669" s="3"/>
      <c r="G669" s="3"/>
      <c r="J669" s="3"/>
    </row>
    <row r="670">
      <c r="D670" s="3"/>
      <c r="G670" s="3"/>
      <c r="J670" s="3"/>
    </row>
    <row r="671">
      <c r="D671" s="3"/>
      <c r="G671" s="3"/>
      <c r="J671" s="3"/>
    </row>
    <row r="672">
      <c r="D672" s="3"/>
      <c r="G672" s="3"/>
      <c r="J672" s="3"/>
    </row>
    <row r="673">
      <c r="D673" s="3"/>
      <c r="G673" s="3"/>
      <c r="J673" s="3"/>
    </row>
    <row r="674">
      <c r="D674" s="3"/>
      <c r="G674" s="3"/>
      <c r="J674" s="3"/>
    </row>
    <row r="675">
      <c r="D675" s="3"/>
      <c r="G675" s="3"/>
      <c r="J675" s="3"/>
    </row>
    <row r="676">
      <c r="D676" s="3"/>
      <c r="G676" s="3"/>
      <c r="J676" s="3"/>
    </row>
    <row r="677">
      <c r="D677" s="3"/>
      <c r="G677" s="3"/>
      <c r="J677" s="3"/>
    </row>
    <row r="678">
      <c r="D678" s="3"/>
      <c r="G678" s="3"/>
      <c r="J678" s="3"/>
    </row>
    <row r="679">
      <c r="D679" s="3"/>
      <c r="G679" s="3"/>
      <c r="J679" s="3"/>
    </row>
    <row r="680">
      <c r="D680" s="3"/>
      <c r="G680" s="3"/>
      <c r="J680" s="3"/>
    </row>
    <row r="681">
      <c r="D681" s="3"/>
      <c r="G681" s="3"/>
      <c r="J681" s="3"/>
    </row>
    <row r="682">
      <c r="D682" s="3"/>
      <c r="G682" s="3"/>
      <c r="J682" s="3"/>
    </row>
    <row r="683">
      <c r="D683" s="3"/>
      <c r="G683" s="3"/>
      <c r="J683" s="3"/>
    </row>
    <row r="684">
      <c r="D684" s="3"/>
      <c r="G684" s="3"/>
      <c r="J684" s="3"/>
    </row>
    <row r="685">
      <c r="D685" s="3"/>
      <c r="G685" s="3"/>
      <c r="J685" s="3"/>
    </row>
    <row r="686">
      <c r="D686" s="3"/>
      <c r="G686" s="3"/>
      <c r="J686" s="3"/>
    </row>
    <row r="687">
      <c r="D687" s="3"/>
      <c r="G687" s="3"/>
      <c r="J687" s="3"/>
    </row>
    <row r="688">
      <c r="D688" s="3"/>
      <c r="G688" s="3"/>
      <c r="J688" s="3"/>
    </row>
    <row r="689">
      <c r="D689" s="3"/>
      <c r="G689" s="3"/>
      <c r="J689" s="3"/>
    </row>
    <row r="690">
      <c r="D690" s="3"/>
      <c r="G690" s="3"/>
      <c r="J690" s="3"/>
    </row>
    <row r="691">
      <c r="D691" s="3"/>
      <c r="G691" s="3"/>
      <c r="J691" s="3"/>
    </row>
    <row r="692">
      <c r="D692" s="3"/>
      <c r="G692" s="3"/>
      <c r="J692" s="3"/>
    </row>
    <row r="693">
      <c r="D693" s="3"/>
      <c r="G693" s="3"/>
      <c r="J693" s="3"/>
    </row>
    <row r="694">
      <c r="D694" s="3"/>
      <c r="G694" s="3"/>
      <c r="J694" s="3"/>
    </row>
    <row r="695">
      <c r="D695" s="3"/>
      <c r="G695" s="3"/>
      <c r="J695" s="3"/>
    </row>
    <row r="696">
      <c r="D696" s="3"/>
      <c r="G696" s="3"/>
      <c r="J696" s="3"/>
    </row>
    <row r="697">
      <c r="D697" s="3"/>
      <c r="G697" s="3"/>
      <c r="J697" s="3"/>
    </row>
    <row r="698">
      <c r="D698" s="3"/>
      <c r="G698" s="3"/>
      <c r="J698" s="3"/>
    </row>
    <row r="699">
      <c r="D699" s="3"/>
      <c r="G699" s="3"/>
      <c r="J699" s="3"/>
    </row>
    <row r="700">
      <c r="D700" s="3"/>
      <c r="G700" s="3"/>
      <c r="J700" s="3"/>
    </row>
    <row r="701">
      <c r="D701" s="3"/>
      <c r="G701" s="3"/>
      <c r="J701" s="3"/>
    </row>
    <row r="702">
      <c r="D702" s="3"/>
      <c r="G702" s="3"/>
      <c r="J702" s="3"/>
    </row>
    <row r="703">
      <c r="D703" s="3"/>
      <c r="G703" s="3"/>
      <c r="J703" s="3"/>
    </row>
    <row r="704">
      <c r="D704" s="3"/>
      <c r="G704" s="3"/>
      <c r="J704" s="3"/>
    </row>
    <row r="705">
      <c r="D705" s="3"/>
      <c r="G705" s="3"/>
      <c r="J705" s="3"/>
    </row>
    <row r="706">
      <c r="D706" s="3"/>
      <c r="G706" s="3"/>
      <c r="J706" s="3"/>
    </row>
    <row r="707">
      <c r="D707" s="3"/>
      <c r="G707" s="3"/>
      <c r="J707" s="3"/>
    </row>
    <row r="708">
      <c r="D708" s="3"/>
      <c r="G708" s="3"/>
      <c r="J708" s="3"/>
    </row>
    <row r="709">
      <c r="D709" s="3"/>
      <c r="G709" s="3"/>
      <c r="J709" s="3"/>
    </row>
    <row r="710">
      <c r="D710" s="3"/>
      <c r="G710" s="3"/>
      <c r="J710" s="3"/>
    </row>
    <row r="711">
      <c r="D711" s="3"/>
      <c r="G711" s="3"/>
      <c r="J711" s="3"/>
    </row>
    <row r="712">
      <c r="D712" s="3"/>
      <c r="G712" s="3"/>
      <c r="J712" s="3"/>
    </row>
    <row r="713">
      <c r="D713" s="3"/>
      <c r="G713" s="3"/>
      <c r="J713" s="3"/>
    </row>
    <row r="714">
      <c r="D714" s="3"/>
      <c r="G714" s="3"/>
      <c r="J714" s="3"/>
    </row>
    <row r="715">
      <c r="D715" s="3"/>
      <c r="G715" s="3"/>
      <c r="J715" s="3"/>
    </row>
    <row r="716">
      <c r="D716" s="3"/>
      <c r="G716" s="3"/>
      <c r="J716" s="3"/>
    </row>
    <row r="717">
      <c r="D717" s="3"/>
      <c r="G717" s="3"/>
      <c r="J717" s="3"/>
    </row>
    <row r="718">
      <c r="D718" s="3"/>
      <c r="G718" s="3"/>
      <c r="J718" s="3"/>
    </row>
    <row r="719">
      <c r="D719" s="3"/>
      <c r="G719" s="3"/>
      <c r="J719" s="3"/>
    </row>
    <row r="720">
      <c r="D720" s="3"/>
      <c r="G720" s="3"/>
      <c r="J720" s="3"/>
    </row>
    <row r="721">
      <c r="D721" s="3"/>
      <c r="G721" s="3"/>
      <c r="J721" s="3"/>
    </row>
    <row r="722">
      <c r="D722" s="3"/>
      <c r="G722" s="3"/>
      <c r="J722" s="3"/>
    </row>
    <row r="723">
      <c r="D723" s="3"/>
      <c r="G723" s="3"/>
      <c r="J723" s="3"/>
    </row>
    <row r="724">
      <c r="D724" s="3"/>
      <c r="G724" s="3"/>
      <c r="J724" s="3"/>
    </row>
    <row r="725">
      <c r="D725" s="3"/>
      <c r="G725" s="3"/>
      <c r="J725" s="3"/>
    </row>
    <row r="726">
      <c r="D726" s="3"/>
      <c r="G726" s="3"/>
      <c r="J726" s="3"/>
    </row>
    <row r="727">
      <c r="D727" s="3"/>
      <c r="G727" s="3"/>
      <c r="J727" s="3"/>
    </row>
    <row r="728">
      <c r="D728" s="3"/>
      <c r="G728" s="3"/>
      <c r="J728" s="3"/>
    </row>
    <row r="729">
      <c r="D729" s="3"/>
      <c r="G729" s="3"/>
      <c r="J729" s="3"/>
    </row>
    <row r="730">
      <c r="D730" s="3"/>
      <c r="G730" s="3"/>
      <c r="J730" s="3"/>
    </row>
    <row r="731">
      <c r="D731" s="3"/>
      <c r="G731" s="3"/>
      <c r="J731" s="3"/>
    </row>
    <row r="732">
      <c r="D732" s="3"/>
      <c r="G732" s="3"/>
      <c r="J732" s="3"/>
    </row>
    <row r="733">
      <c r="D733" s="3"/>
      <c r="G733" s="3"/>
      <c r="J733" s="3"/>
    </row>
    <row r="734">
      <c r="D734" s="3"/>
      <c r="G734" s="3"/>
      <c r="J734" s="3"/>
    </row>
    <row r="735">
      <c r="D735" s="3"/>
      <c r="G735" s="3"/>
      <c r="J735" s="3"/>
    </row>
    <row r="736">
      <c r="D736" s="3"/>
      <c r="G736" s="3"/>
      <c r="J736" s="3"/>
    </row>
    <row r="737">
      <c r="D737" s="3"/>
      <c r="G737" s="3"/>
      <c r="J737" s="3"/>
    </row>
    <row r="738">
      <c r="D738" s="3"/>
      <c r="G738" s="3"/>
      <c r="J738" s="3"/>
    </row>
    <row r="739">
      <c r="D739" s="3"/>
      <c r="G739" s="3"/>
      <c r="J739" s="3"/>
    </row>
    <row r="740">
      <c r="D740" s="3"/>
      <c r="G740" s="3"/>
      <c r="J740" s="3"/>
    </row>
    <row r="741">
      <c r="D741" s="3"/>
      <c r="G741" s="3"/>
      <c r="J741" s="3"/>
    </row>
    <row r="742">
      <c r="D742" s="3"/>
      <c r="G742" s="3"/>
      <c r="J742" s="3"/>
    </row>
    <row r="743">
      <c r="D743" s="3"/>
      <c r="G743" s="3"/>
      <c r="J743" s="3"/>
    </row>
    <row r="744">
      <c r="D744" s="3"/>
      <c r="G744" s="3"/>
      <c r="J744" s="3"/>
    </row>
    <row r="745">
      <c r="D745" s="3"/>
      <c r="G745" s="3"/>
      <c r="J745" s="3"/>
    </row>
    <row r="746">
      <c r="D746" s="3"/>
      <c r="G746" s="3"/>
      <c r="J746" s="3"/>
    </row>
    <row r="747">
      <c r="D747" s="3"/>
      <c r="G747" s="3"/>
      <c r="J747" s="3"/>
    </row>
    <row r="748">
      <c r="D748" s="3"/>
      <c r="G748" s="3"/>
      <c r="J748" s="3"/>
    </row>
    <row r="749">
      <c r="D749" s="3"/>
      <c r="G749" s="3"/>
      <c r="J749" s="3"/>
    </row>
    <row r="750">
      <c r="D750" s="3"/>
      <c r="G750" s="3"/>
      <c r="J750" s="3"/>
    </row>
    <row r="751">
      <c r="D751" s="3"/>
      <c r="G751" s="3"/>
      <c r="J751" s="3"/>
    </row>
    <row r="752">
      <c r="D752" s="3"/>
      <c r="G752" s="3"/>
      <c r="J752" s="3"/>
    </row>
    <row r="753">
      <c r="D753" s="3"/>
      <c r="G753" s="3"/>
      <c r="J753" s="3"/>
    </row>
    <row r="754">
      <c r="D754" s="3"/>
      <c r="G754" s="3"/>
      <c r="J754" s="3"/>
    </row>
    <row r="755">
      <c r="D755" s="3"/>
      <c r="G755" s="3"/>
      <c r="J755" s="3"/>
    </row>
    <row r="756">
      <c r="D756" s="3"/>
      <c r="G756" s="3"/>
      <c r="J756" s="3"/>
    </row>
    <row r="757">
      <c r="D757" s="3"/>
      <c r="G757" s="3"/>
      <c r="J757" s="3"/>
    </row>
    <row r="758">
      <c r="D758" s="3"/>
      <c r="G758" s="3"/>
      <c r="J758" s="3"/>
    </row>
    <row r="759">
      <c r="D759" s="3"/>
      <c r="G759" s="3"/>
      <c r="J759" s="3"/>
    </row>
    <row r="760">
      <c r="D760" s="3"/>
      <c r="G760" s="3"/>
      <c r="J760" s="3"/>
    </row>
    <row r="761">
      <c r="D761" s="3"/>
      <c r="G761" s="3"/>
      <c r="J761" s="3"/>
    </row>
    <row r="762">
      <c r="D762" s="3"/>
      <c r="G762" s="3"/>
      <c r="J762" s="3"/>
    </row>
    <row r="763">
      <c r="D763" s="3"/>
      <c r="G763" s="3"/>
      <c r="J763" s="3"/>
    </row>
    <row r="764">
      <c r="D764" s="3"/>
      <c r="G764" s="3"/>
      <c r="J764" s="3"/>
    </row>
    <row r="765">
      <c r="D765" s="3"/>
      <c r="G765" s="3"/>
      <c r="J765" s="3"/>
    </row>
    <row r="766">
      <c r="D766" s="3"/>
      <c r="G766" s="3"/>
      <c r="J766" s="3"/>
    </row>
    <row r="767">
      <c r="D767" s="3"/>
      <c r="G767" s="3"/>
      <c r="J767" s="3"/>
    </row>
    <row r="768">
      <c r="D768" s="3"/>
      <c r="G768" s="3"/>
      <c r="J768" s="3"/>
    </row>
    <row r="769">
      <c r="D769" s="3"/>
      <c r="G769" s="3"/>
      <c r="J769" s="3"/>
    </row>
    <row r="770">
      <c r="D770" s="3"/>
      <c r="G770" s="3"/>
      <c r="J770" s="3"/>
    </row>
    <row r="771">
      <c r="D771" s="3"/>
      <c r="G771" s="3"/>
      <c r="J771" s="3"/>
    </row>
    <row r="772">
      <c r="D772" s="3"/>
      <c r="G772" s="3"/>
      <c r="J772" s="3"/>
    </row>
    <row r="773">
      <c r="D773" s="3"/>
      <c r="G773" s="3"/>
      <c r="J773" s="3"/>
    </row>
    <row r="774">
      <c r="D774" s="3"/>
      <c r="G774" s="3"/>
      <c r="J774" s="3"/>
    </row>
    <row r="775">
      <c r="D775" s="3"/>
      <c r="G775" s="3"/>
      <c r="J775" s="3"/>
    </row>
    <row r="776">
      <c r="D776" s="3"/>
      <c r="G776" s="3"/>
      <c r="J776" s="3"/>
    </row>
    <row r="777">
      <c r="D777" s="3"/>
      <c r="G777" s="3"/>
      <c r="J777" s="3"/>
    </row>
    <row r="778">
      <c r="D778" s="3"/>
      <c r="G778" s="3"/>
      <c r="J778" s="3"/>
    </row>
    <row r="779">
      <c r="D779" s="3"/>
      <c r="G779" s="3"/>
      <c r="J779" s="3"/>
    </row>
    <row r="780">
      <c r="D780" s="3"/>
      <c r="G780" s="3"/>
      <c r="J780" s="3"/>
    </row>
    <row r="781">
      <c r="D781" s="3"/>
      <c r="G781" s="3"/>
      <c r="J781" s="3"/>
    </row>
    <row r="782">
      <c r="D782" s="3"/>
      <c r="G782" s="3"/>
      <c r="J782" s="3"/>
    </row>
    <row r="783">
      <c r="D783" s="3"/>
      <c r="G783" s="3"/>
      <c r="J783" s="3"/>
    </row>
    <row r="784">
      <c r="D784" s="3"/>
      <c r="G784" s="3"/>
      <c r="J784" s="3"/>
    </row>
    <row r="785">
      <c r="D785" s="3"/>
      <c r="G785" s="3"/>
      <c r="J785" s="3"/>
    </row>
    <row r="786">
      <c r="D786" s="3"/>
      <c r="G786" s="3"/>
      <c r="J786" s="3"/>
    </row>
    <row r="787">
      <c r="D787" s="3"/>
      <c r="G787" s="3"/>
      <c r="J787" s="3"/>
    </row>
    <row r="788">
      <c r="D788" s="3"/>
      <c r="G788" s="3"/>
      <c r="J788" s="3"/>
    </row>
    <row r="789">
      <c r="D789" s="3"/>
      <c r="G789" s="3"/>
      <c r="J789" s="3"/>
    </row>
    <row r="790">
      <c r="D790" s="3"/>
      <c r="G790" s="3"/>
      <c r="J790" s="3"/>
    </row>
    <row r="791">
      <c r="D791" s="3"/>
      <c r="G791" s="3"/>
      <c r="J791" s="3"/>
    </row>
    <row r="792">
      <c r="D792" s="3"/>
      <c r="G792" s="3"/>
      <c r="J792" s="3"/>
    </row>
    <row r="793">
      <c r="D793" s="3"/>
      <c r="G793" s="3"/>
      <c r="J793" s="3"/>
    </row>
    <row r="794">
      <c r="D794" s="3"/>
      <c r="G794" s="3"/>
      <c r="J794" s="3"/>
    </row>
    <row r="795">
      <c r="D795" s="3"/>
      <c r="G795" s="3"/>
      <c r="J795" s="3"/>
    </row>
    <row r="796">
      <c r="D796" s="3"/>
      <c r="G796" s="3"/>
      <c r="J796" s="3"/>
    </row>
    <row r="797">
      <c r="D797" s="3"/>
      <c r="G797" s="3"/>
      <c r="J797" s="3"/>
    </row>
    <row r="798">
      <c r="D798" s="3"/>
      <c r="G798" s="3"/>
      <c r="J798" s="3"/>
    </row>
    <row r="799">
      <c r="D799" s="3"/>
      <c r="G799" s="3"/>
      <c r="J799" s="3"/>
    </row>
    <row r="800">
      <c r="D800" s="3"/>
      <c r="G800" s="3"/>
      <c r="J800" s="3"/>
    </row>
    <row r="801">
      <c r="D801" s="3"/>
      <c r="G801" s="3"/>
      <c r="J801" s="3"/>
    </row>
    <row r="802">
      <c r="D802" s="3"/>
      <c r="G802" s="3"/>
      <c r="J802" s="3"/>
    </row>
    <row r="803">
      <c r="D803" s="3"/>
      <c r="G803" s="3"/>
      <c r="J803" s="3"/>
    </row>
    <row r="804">
      <c r="D804" s="3"/>
      <c r="G804" s="3"/>
      <c r="J804" s="3"/>
    </row>
    <row r="805">
      <c r="D805" s="3"/>
      <c r="G805" s="3"/>
      <c r="J805" s="3"/>
    </row>
    <row r="806">
      <c r="D806" s="3"/>
      <c r="G806" s="3"/>
      <c r="J806" s="3"/>
    </row>
    <row r="807">
      <c r="D807" s="3"/>
      <c r="G807" s="3"/>
      <c r="J807" s="3"/>
    </row>
    <row r="808">
      <c r="D808" s="3"/>
      <c r="G808" s="3"/>
      <c r="J808" s="3"/>
    </row>
    <row r="809">
      <c r="D809" s="3"/>
      <c r="G809" s="3"/>
      <c r="J809" s="3"/>
    </row>
    <row r="810">
      <c r="D810" s="3"/>
      <c r="G810" s="3"/>
      <c r="J810" s="3"/>
    </row>
    <row r="811">
      <c r="D811" s="3"/>
      <c r="G811" s="3"/>
      <c r="J811" s="3"/>
    </row>
    <row r="812">
      <c r="D812" s="3"/>
      <c r="G812" s="3"/>
      <c r="J812" s="3"/>
    </row>
    <row r="813">
      <c r="D813" s="3"/>
      <c r="G813" s="3"/>
      <c r="J813" s="3"/>
    </row>
    <row r="814">
      <c r="D814" s="3"/>
      <c r="G814" s="3"/>
      <c r="J814" s="3"/>
    </row>
    <row r="815">
      <c r="D815" s="3"/>
      <c r="G815" s="3"/>
      <c r="J815" s="3"/>
    </row>
    <row r="816">
      <c r="D816" s="3"/>
      <c r="G816" s="3"/>
      <c r="J816" s="3"/>
    </row>
    <row r="817">
      <c r="D817" s="3"/>
      <c r="G817" s="3"/>
      <c r="J817" s="3"/>
    </row>
    <row r="818">
      <c r="D818" s="3"/>
      <c r="G818" s="3"/>
      <c r="J818" s="3"/>
    </row>
    <row r="819">
      <c r="D819" s="3"/>
      <c r="G819" s="3"/>
      <c r="J819" s="3"/>
    </row>
    <row r="820">
      <c r="D820" s="3"/>
      <c r="G820" s="3"/>
      <c r="J820" s="3"/>
    </row>
    <row r="821">
      <c r="D821" s="3"/>
      <c r="G821" s="3"/>
      <c r="J821" s="3"/>
    </row>
    <row r="822">
      <c r="D822" s="3"/>
      <c r="G822" s="3"/>
      <c r="J822" s="3"/>
    </row>
    <row r="823">
      <c r="D823" s="3"/>
      <c r="G823" s="3"/>
      <c r="J823" s="3"/>
    </row>
    <row r="824">
      <c r="D824" s="3"/>
      <c r="G824" s="3"/>
      <c r="J824" s="3"/>
    </row>
    <row r="825">
      <c r="D825" s="3"/>
      <c r="G825" s="3"/>
      <c r="J825" s="3"/>
    </row>
    <row r="826">
      <c r="D826" s="3"/>
      <c r="G826" s="3"/>
      <c r="J826" s="3"/>
    </row>
    <row r="827">
      <c r="D827" s="3"/>
      <c r="G827" s="3"/>
      <c r="J827" s="3"/>
    </row>
    <row r="828">
      <c r="D828" s="3"/>
      <c r="G828" s="3"/>
      <c r="J828" s="3"/>
    </row>
    <row r="829">
      <c r="D829" s="3"/>
      <c r="G829" s="3"/>
      <c r="J829" s="3"/>
    </row>
    <row r="830">
      <c r="D830" s="3"/>
      <c r="G830" s="3"/>
      <c r="J830" s="3"/>
    </row>
    <row r="831">
      <c r="D831" s="3"/>
      <c r="G831" s="3"/>
      <c r="J831" s="3"/>
    </row>
    <row r="832">
      <c r="D832" s="3"/>
      <c r="G832" s="3"/>
      <c r="J832" s="3"/>
    </row>
    <row r="833">
      <c r="D833" s="3"/>
      <c r="G833" s="3"/>
      <c r="J833" s="3"/>
    </row>
    <row r="834">
      <c r="D834" s="3"/>
      <c r="G834" s="3"/>
      <c r="J834" s="3"/>
    </row>
    <row r="835">
      <c r="D835" s="3"/>
      <c r="G835" s="3"/>
      <c r="J835" s="3"/>
    </row>
    <row r="836">
      <c r="D836" s="3"/>
      <c r="G836" s="3"/>
      <c r="J836" s="3"/>
    </row>
    <row r="837">
      <c r="D837" s="3"/>
      <c r="G837" s="3"/>
      <c r="J837" s="3"/>
    </row>
    <row r="838">
      <c r="D838" s="3"/>
      <c r="G838" s="3"/>
      <c r="J838" s="3"/>
    </row>
    <row r="839">
      <c r="D839" s="3"/>
      <c r="G839" s="3"/>
      <c r="J839" s="3"/>
    </row>
    <row r="840">
      <c r="D840" s="3"/>
      <c r="G840" s="3"/>
      <c r="J840" s="3"/>
    </row>
    <row r="841">
      <c r="D841" s="3"/>
      <c r="G841" s="3"/>
      <c r="J841" s="3"/>
    </row>
    <row r="842">
      <c r="D842" s="3"/>
      <c r="G842" s="3"/>
      <c r="J842" s="3"/>
    </row>
    <row r="843">
      <c r="D843" s="3"/>
      <c r="G843" s="3"/>
      <c r="J843" s="3"/>
    </row>
    <row r="844">
      <c r="D844" s="3"/>
      <c r="G844" s="3"/>
      <c r="J844" s="3"/>
    </row>
    <row r="845">
      <c r="D845" s="3"/>
      <c r="G845" s="3"/>
      <c r="J845" s="3"/>
    </row>
    <row r="846">
      <c r="D846" s="3"/>
      <c r="G846" s="3"/>
      <c r="J846" s="3"/>
    </row>
    <row r="847">
      <c r="D847" s="3"/>
      <c r="G847" s="3"/>
      <c r="J847" s="3"/>
    </row>
    <row r="848">
      <c r="D848" s="3"/>
      <c r="G848" s="3"/>
      <c r="J848" s="3"/>
    </row>
    <row r="849">
      <c r="D849" s="3"/>
      <c r="G849" s="3"/>
      <c r="J849" s="3"/>
    </row>
    <row r="850">
      <c r="D850" s="3"/>
      <c r="G850" s="3"/>
      <c r="J850" s="3"/>
    </row>
    <row r="851">
      <c r="D851" s="3"/>
      <c r="G851" s="3"/>
      <c r="J851" s="3"/>
    </row>
    <row r="852">
      <c r="D852" s="3"/>
      <c r="G852" s="3"/>
      <c r="J852" s="3"/>
    </row>
    <row r="853">
      <c r="D853" s="3"/>
      <c r="G853" s="3"/>
      <c r="J853" s="3"/>
    </row>
    <row r="854">
      <c r="D854" s="3"/>
      <c r="G854" s="3"/>
      <c r="J854" s="3"/>
    </row>
    <row r="855">
      <c r="D855" s="3"/>
      <c r="G855" s="3"/>
      <c r="J855" s="3"/>
    </row>
    <row r="856">
      <c r="D856" s="3"/>
      <c r="G856" s="3"/>
      <c r="J856" s="3"/>
    </row>
    <row r="857">
      <c r="D857" s="3"/>
      <c r="G857" s="3"/>
      <c r="J857" s="3"/>
    </row>
    <row r="858">
      <c r="D858" s="3"/>
      <c r="G858" s="3"/>
      <c r="J858" s="3"/>
    </row>
    <row r="859">
      <c r="D859" s="3"/>
      <c r="G859" s="3"/>
      <c r="J859" s="3"/>
    </row>
    <row r="860">
      <c r="D860" s="3"/>
      <c r="G860" s="3"/>
      <c r="J860" s="3"/>
    </row>
    <row r="861">
      <c r="D861" s="3"/>
      <c r="G861" s="3"/>
      <c r="J861" s="3"/>
    </row>
    <row r="862">
      <c r="D862" s="3"/>
      <c r="G862" s="3"/>
      <c r="J862" s="3"/>
    </row>
    <row r="863">
      <c r="D863" s="3"/>
      <c r="G863" s="3"/>
      <c r="J863" s="3"/>
    </row>
    <row r="864">
      <c r="D864" s="3"/>
      <c r="G864" s="3"/>
      <c r="J864" s="3"/>
    </row>
    <row r="865">
      <c r="D865" s="3"/>
      <c r="G865" s="3"/>
      <c r="J865" s="3"/>
    </row>
    <row r="866">
      <c r="D866" s="3"/>
      <c r="G866" s="3"/>
      <c r="J866" s="3"/>
    </row>
    <row r="867">
      <c r="D867" s="3"/>
      <c r="G867" s="3"/>
      <c r="J867" s="3"/>
    </row>
    <row r="868">
      <c r="D868" s="3"/>
      <c r="G868" s="3"/>
      <c r="J868" s="3"/>
    </row>
    <row r="869">
      <c r="D869" s="3"/>
      <c r="G869" s="3"/>
      <c r="J869" s="3"/>
    </row>
    <row r="870">
      <c r="D870" s="3"/>
      <c r="G870" s="3"/>
      <c r="J870" s="3"/>
    </row>
    <row r="871">
      <c r="D871" s="3"/>
      <c r="G871" s="3"/>
      <c r="J871" s="3"/>
    </row>
    <row r="872">
      <c r="D872" s="3"/>
      <c r="G872" s="3"/>
      <c r="J872" s="3"/>
    </row>
    <row r="873">
      <c r="D873" s="3"/>
      <c r="G873" s="3"/>
      <c r="J873" s="3"/>
    </row>
    <row r="874">
      <c r="D874" s="3"/>
      <c r="G874" s="3"/>
      <c r="J874" s="3"/>
    </row>
    <row r="875">
      <c r="D875" s="3"/>
      <c r="G875" s="3"/>
      <c r="J875" s="3"/>
    </row>
    <row r="876">
      <c r="D876" s="3"/>
      <c r="G876" s="3"/>
      <c r="J876" s="3"/>
    </row>
    <row r="877">
      <c r="D877" s="3"/>
      <c r="G877" s="3"/>
      <c r="J877" s="3"/>
    </row>
    <row r="878">
      <c r="D878" s="3"/>
      <c r="G878" s="3"/>
      <c r="J878" s="3"/>
    </row>
    <row r="879">
      <c r="D879" s="3"/>
      <c r="G879" s="3"/>
      <c r="J879" s="3"/>
    </row>
    <row r="880">
      <c r="D880" s="3"/>
      <c r="G880" s="3"/>
      <c r="J880" s="3"/>
    </row>
    <row r="881">
      <c r="D881" s="3"/>
      <c r="G881" s="3"/>
      <c r="J881" s="3"/>
    </row>
    <row r="882">
      <c r="D882" s="3"/>
      <c r="G882" s="3"/>
      <c r="J882" s="3"/>
    </row>
    <row r="883">
      <c r="D883" s="3"/>
      <c r="G883" s="3"/>
      <c r="J883" s="3"/>
    </row>
    <row r="884">
      <c r="D884" s="3"/>
      <c r="G884" s="3"/>
      <c r="J884" s="3"/>
    </row>
    <row r="885">
      <c r="D885" s="3"/>
      <c r="G885" s="3"/>
      <c r="J885" s="3"/>
    </row>
    <row r="886">
      <c r="D886" s="3"/>
      <c r="G886" s="3"/>
      <c r="J886" s="3"/>
    </row>
    <row r="887">
      <c r="D887" s="3"/>
      <c r="G887" s="3"/>
      <c r="J887" s="3"/>
    </row>
    <row r="888">
      <c r="D888" s="3"/>
      <c r="G888" s="3"/>
      <c r="J888" s="3"/>
    </row>
    <row r="889">
      <c r="D889" s="3"/>
      <c r="G889" s="3"/>
      <c r="J889" s="3"/>
    </row>
    <row r="890">
      <c r="D890" s="3"/>
      <c r="G890" s="3"/>
      <c r="J890" s="3"/>
    </row>
    <row r="891">
      <c r="D891" s="3"/>
      <c r="G891" s="3"/>
      <c r="J891" s="3"/>
    </row>
    <row r="892">
      <c r="D892" s="3"/>
      <c r="G892" s="3"/>
      <c r="J892" s="3"/>
    </row>
    <row r="893">
      <c r="D893" s="3"/>
      <c r="G893" s="3"/>
      <c r="J893" s="3"/>
    </row>
    <row r="894">
      <c r="D894" s="3"/>
      <c r="G894" s="3"/>
      <c r="J894" s="3"/>
    </row>
    <row r="895">
      <c r="D895" s="3"/>
      <c r="G895" s="3"/>
      <c r="J895" s="3"/>
    </row>
    <row r="896">
      <c r="D896" s="3"/>
      <c r="G896" s="3"/>
      <c r="J896" s="3"/>
    </row>
    <row r="897">
      <c r="D897" s="3"/>
      <c r="G897" s="3"/>
      <c r="J897" s="3"/>
    </row>
    <row r="898">
      <c r="D898" s="3"/>
      <c r="G898" s="3"/>
      <c r="J898" s="3"/>
    </row>
    <row r="899">
      <c r="D899" s="3"/>
      <c r="G899" s="3"/>
      <c r="J899" s="3"/>
    </row>
    <row r="900">
      <c r="D900" s="3"/>
      <c r="G900" s="3"/>
      <c r="J900" s="3"/>
    </row>
    <row r="901">
      <c r="D901" s="3"/>
      <c r="G901" s="3"/>
      <c r="J901" s="3"/>
    </row>
    <row r="902">
      <c r="D902" s="3"/>
      <c r="G902" s="3"/>
      <c r="J902" s="3"/>
    </row>
    <row r="903">
      <c r="D903" s="3"/>
      <c r="G903" s="3"/>
      <c r="J903" s="3"/>
    </row>
    <row r="904">
      <c r="D904" s="3"/>
      <c r="G904" s="3"/>
      <c r="J904" s="3"/>
    </row>
    <row r="905">
      <c r="D905" s="3"/>
      <c r="G905" s="3"/>
      <c r="J905" s="3"/>
    </row>
    <row r="906">
      <c r="D906" s="3"/>
      <c r="G906" s="3"/>
      <c r="J906" s="3"/>
    </row>
    <row r="907">
      <c r="D907" s="3"/>
      <c r="G907" s="3"/>
      <c r="J907" s="3"/>
    </row>
    <row r="908">
      <c r="D908" s="3"/>
      <c r="G908" s="3"/>
      <c r="J908" s="3"/>
    </row>
    <row r="909">
      <c r="D909" s="3"/>
      <c r="G909" s="3"/>
      <c r="J909" s="3"/>
    </row>
    <row r="910">
      <c r="D910" s="3"/>
      <c r="G910" s="3"/>
      <c r="J910" s="3"/>
    </row>
    <row r="911">
      <c r="D911" s="3"/>
      <c r="G911" s="3"/>
      <c r="J911" s="3"/>
    </row>
    <row r="912">
      <c r="D912" s="3"/>
      <c r="G912" s="3"/>
      <c r="J912" s="3"/>
    </row>
    <row r="913">
      <c r="D913" s="3"/>
      <c r="G913" s="3"/>
      <c r="J913" s="3"/>
    </row>
    <row r="914">
      <c r="D914" s="3"/>
      <c r="G914" s="3"/>
      <c r="J914" s="3"/>
    </row>
    <row r="915">
      <c r="D915" s="3"/>
      <c r="G915" s="3"/>
      <c r="J915" s="3"/>
    </row>
    <row r="916">
      <c r="D916" s="3"/>
      <c r="G916" s="3"/>
      <c r="J916" s="3"/>
    </row>
    <row r="917">
      <c r="D917" s="3"/>
      <c r="G917" s="3"/>
      <c r="J917" s="3"/>
    </row>
    <row r="918">
      <c r="D918" s="3"/>
      <c r="G918" s="3"/>
      <c r="J918" s="3"/>
    </row>
    <row r="919">
      <c r="D919" s="3"/>
      <c r="G919" s="3"/>
      <c r="J919" s="3"/>
    </row>
    <row r="920">
      <c r="D920" s="3"/>
      <c r="G920" s="3"/>
      <c r="J920" s="3"/>
    </row>
    <row r="921">
      <c r="D921" s="3"/>
      <c r="G921" s="3"/>
      <c r="J921" s="3"/>
    </row>
    <row r="922">
      <c r="D922" s="3"/>
      <c r="G922" s="3"/>
      <c r="J922" s="3"/>
    </row>
    <row r="923">
      <c r="D923" s="3"/>
      <c r="G923" s="3"/>
      <c r="J923" s="3"/>
    </row>
    <row r="924">
      <c r="D924" s="3"/>
      <c r="G924" s="3"/>
      <c r="J924" s="3"/>
    </row>
    <row r="925">
      <c r="D925" s="3"/>
      <c r="G925" s="3"/>
      <c r="J925" s="3"/>
    </row>
    <row r="926">
      <c r="D926" s="3"/>
      <c r="G926" s="3"/>
      <c r="J926" s="3"/>
    </row>
    <row r="927">
      <c r="D927" s="3"/>
      <c r="G927" s="3"/>
      <c r="J927" s="3"/>
    </row>
    <row r="928">
      <c r="D928" s="3"/>
      <c r="G928" s="3"/>
      <c r="J928" s="3"/>
    </row>
    <row r="929">
      <c r="D929" s="3"/>
      <c r="G929" s="3"/>
      <c r="J929" s="3"/>
    </row>
    <row r="930">
      <c r="D930" s="3"/>
      <c r="G930" s="3"/>
      <c r="J930" s="3"/>
    </row>
    <row r="931">
      <c r="D931" s="3"/>
      <c r="G931" s="3"/>
      <c r="J931" s="3"/>
    </row>
    <row r="932">
      <c r="D932" s="3"/>
      <c r="G932" s="3"/>
      <c r="J932" s="3"/>
    </row>
    <row r="933">
      <c r="D933" s="3"/>
      <c r="G933" s="3"/>
      <c r="J933" s="3"/>
    </row>
    <row r="934">
      <c r="D934" s="3"/>
      <c r="G934" s="3"/>
      <c r="J934" s="3"/>
    </row>
    <row r="935">
      <c r="D935" s="3"/>
      <c r="G935" s="3"/>
      <c r="J935" s="3"/>
    </row>
    <row r="936">
      <c r="D936" s="3"/>
      <c r="G936" s="3"/>
      <c r="J936" s="3"/>
    </row>
    <row r="937">
      <c r="D937" s="3"/>
      <c r="G937" s="3"/>
      <c r="J937" s="3"/>
    </row>
    <row r="938">
      <c r="D938" s="3"/>
      <c r="G938" s="3"/>
      <c r="J938" s="3"/>
    </row>
    <row r="939">
      <c r="D939" s="3"/>
      <c r="G939" s="3"/>
      <c r="J939" s="3"/>
    </row>
    <row r="940">
      <c r="D940" s="3"/>
      <c r="G940" s="3"/>
      <c r="J940" s="3"/>
    </row>
    <row r="941">
      <c r="D941" s="3"/>
      <c r="G941" s="3"/>
      <c r="J941" s="3"/>
    </row>
    <row r="942">
      <c r="D942" s="3"/>
      <c r="G942" s="3"/>
      <c r="J942" s="3"/>
    </row>
    <row r="943">
      <c r="D943" s="3"/>
      <c r="G943" s="3"/>
      <c r="J943" s="3"/>
    </row>
    <row r="944">
      <c r="D944" s="3"/>
      <c r="G944" s="3"/>
      <c r="J944" s="3"/>
    </row>
    <row r="945">
      <c r="D945" s="3"/>
      <c r="G945" s="3"/>
      <c r="J945" s="3"/>
    </row>
    <row r="946">
      <c r="D946" s="3"/>
      <c r="G946" s="3"/>
      <c r="J946" s="3"/>
    </row>
    <row r="947">
      <c r="D947" s="3"/>
      <c r="G947" s="3"/>
      <c r="J947" s="3"/>
    </row>
    <row r="948">
      <c r="D948" s="3"/>
      <c r="G948" s="3"/>
      <c r="J948" s="3"/>
    </row>
    <row r="949">
      <c r="D949" s="3"/>
      <c r="G949" s="3"/>
      <c r="J949" s="3"/>
    </row>
    <row r="950">
      <c r="D950" s="3"/>
      <c r="G950" s="3"/>
      <c r="J950" s="3"/>
    </row>
    <row r="951">
      <c r="D951" s="3"/>
      <c r="G951" s="3"/>
      <c r="J951" s="3"/>
    </row>
    <row r="952">
      <c r="D952" s="3"/>
      <c r="G952" s="3"/>
      <c r="J952" s="3"/>
    </row>
    <row r="953">
      <c r="D953" s="3"/>
      <c r="G953" s="3"/>
      <c r="J953" s="3"/>
    </row>
    <row r="954">
      <c r="D954" s="3"/>
      <c r="G954" s="3"/>
      <c r="J954" s="3"/>
    </row>
    <row r="955">
      <c r="D955" s="3"/>
      <c r="G955" s="3"/>
      <c r="J955" s="3"/>
    </row>
    <row r="956">
      <c r="D956" s="3"/>
      <c r="G956" s="3"/>
      <c r="J956" s="3"/>
    </row>
    <row r="957">
      <c r="D957" s="3"/>
      <c r="G957" s="3"/>
      <c r="J957" s="3"/>
    </row>
    <row r="958">
      <c r="D958" s="3"/>
      <c r="G958" s="3"/>
      <c r="J958" s="3"/>
    </row>
    <row r="959">
      <c r="D959" s="3"/>
      <c r="G959" s="3"/>
      <c r="J959" s="3"/>
    </row>
    <row r="960">
      <c r="D960" s="3"/>
      <c r="G960" s="3"/>
      <c r="J960" s="3"/>
    </row>
    <row r="961">
      <c r="D961" s="3"/>
      <c r="G961" s="3"/>
      <c r="J961" s="3"/>
    </row>
    <row r="962">
      <c r="D962" s="3"/>
      <c r="G962" s="3"/>
      <c r="J962" s="3"/>
    </row>
    <row r="963">
      <c r="D963" s="3"/>
      <c r="G963" s="3"/>
      <c r="J963" s="3"/>
    </row>
    <row r="964">
      <c r="D964" s="3"/>
      <c r="G964" s="3"/>
      <c r="J964" s="3"/>
    </row>
    <row r="965">
      <c r="D965" s="3"/>
      <c r="G965" s="3"/>
      <c r="J965" s="3"/>
    </row>
    <row r="966">
      <c r="D966" s="3"/>
      <c r="G966" s="3"/>
      <c r="J966" s="3"/>
    </row>
    <row r="967">
      <c r="D967" s="3"/>
      <c r="G967" s="3"/>
      <c r="J967" s="3"/>
    </row>
    <row r="968">
      <c r="D968" s="3"/>
      <c r="G968" s="3"/>
      <c r="J968" s="3"/>
    </row>
    <row r="969">
      <c r="D969" s="3"/>
      <c r="G969" s="3"/>
      <c r="J969" s="3"/>
    </row>
    <row r="970">
      <c r="D970" s="3"/>
      <c r="G970" s="3"/>
      <c r="J970" s="3"/>
    </row>
    <row r="971">
      <c r="D971" s="3"/>
      <c r="G971" s="3"/>
      <c r="J971" s="3"/>
    </row>
    <row r="972">
      <c r="D972" s="3"/>
      <c r="G972" s="3"/>
      <c r="J972" s="3"/>
    </row>
    <row r="973">
      <c r="D973" s="3"/>
      <c r="G973" s="3"/>
      <c r="J973" s="3"/>
    </row>
    <row r="974">
      <c r="D974" s="3"/>
      <c r="G974" s="3"/>
      <c r="J974" s="3"/>
    </row>
    <row r="975">
      <c r="D975" s="3"/>
      <c r="G975" s="3"/>
      <c r="J975" s="3"/>
    </row>
    <row r="976">
      <c r="D976" s="3"/>
      <c r="G976" s="3"/>
      <c r="J976" s="3"/>
    </row>
    <row r="977">
      <c r="D977" s="3"/>
      <c r="G977" s="3"/>
      <c r="J977" s="3"/>
    </row>
    <row r="978">
      <c r="D978" s="3"/>
      <c r="G978" s="3"/>
      <c r="J978" s="3"/>
    </row>
    <row r="979">
      <c r="D979" s="3"/>
      <c r="G979" s="3"/>
      <c r="J979" s="3"/>
    </row>
    <row r="980">
      <c r="D980" s="3"/>
      <c r="G980" s="3"/>
      <c r="J980" s="3"/>
    </row>
    <row r="981">
      <c r="D981" s="3"/>
      <c r="G981" s="3"/>
      <c r="J981" s="3"/>
    </row>
    <row r="982">
      <c r="D982" s="3"/>
      <c r="G982" s="3"/>
      <c r="J982" s="3"/>
    </row>
    <row r="983">
      <c r="D983" s="3"/>
      <c r="G983" s="3"/>
      <c r="J983" s="3"/>
    </row>
    <row r="984">
      <c r="D984" s="3"/>
      <c r="G984" s="3"/>
      <c r="J984" s="3"/>
    </row>
    <row r="985">
      <c r="D985" s="3"/>
      <c r="G985" s="3"/>
      <c r="J985" s="3"/>
    </row>
    <row r="986">
      <c r="D986" s="3"/>
      <c r="G986" s="3"/>
      <c r="J986" s="3"/>
    </row>
    <row r="987">
      <c r="D987" s="3"/>
      <c r="G987" s="3"/>
      <c r="J987" s="3"/>
    </row>
    <row r="988">
      <c r="D988" s="3"/>
      <c r="G988" s="3"/>
      <c r="J988" s="3"/>
    </row>
    <row r="989">
      <c r="D989" s="3"/>
      <c r="G989" s="3"/>
      <c r="J989" s="3"/>
    </row>
    <row r="990">
      <c r="D990" s="3"/>
      <c r="G990" s="3"/>
      <c r="J990" s="3"/>
    </row>
    <row r="991">
      <c r="D991" s="3"/>
      <c r="G991" s="3"/>
      <c r="J991" s="3"/>
    </row>
    <row r="992">
      <c r="D992" s="3"/>
      <c r="G992" s="3"/>
      <c r="J992" s="3"/>
    </row>
    <row r="993">
      <c r="D993" s="3"/>
      <c r="G993" s="3"/>
      <c r="J993" s="3"/>
    </row>
    <row r="994">
      <c r="D994" s="3"/>
      <c r="G994" s="3"/>
      <c r="J994" s="3"/>
    </row>
    <row r="995">
      <c r="D995" s="3"/>
      <c r="G995" s="3"/>
      <c r="J995" s="3"/>
    </row>
    <row r="996">
      <c r="D996" s="3"/>
      <c r="G996" s="3"/>
      <c r="J996" s="3"/>
    </row>
    <row r="997">
      <c r="D997" s="3"/>
      <c r="G997" s="3"/>
      <c r="J997" s="3"/>
    </row>
    <row r="998">
      <c r="D998" s="3"/>
      <c r="G998" s="3"/>
      <c r="J998" s="3"/>
    </row>
    <row r="999">
      <c r="D999" s="3"/>
      <c r="G999" s="3"/>
      <c r="J999" s="3"/>
    </row>
    <row r="1000">
      <c r="D1000" s="3"/>
      <c r="G1000" s="3"/>
      <c r="J1000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tr">
        <f>IFERROR(__xludf.DUMMYFUNCTION("IFERROR(QUERY(JAN_2023!A:I, ""SELECT * WHERE D IS NOT NULL AND UPPER(I) = 'OPERASIONAL'"", 1), ""Data OPERASIONAL belum ditemukan"")"),"Data OPERASIONAL belum ditemukan")</f>
        <v>Data OPERASIONAL belum ditemukan</v>
      </c>
      <c r="D1" s="3"/>
      <c r="G1" s="3"/>
      <c r="J1" s="3">
        <f>SUM(D1:D1000) </f>
        <v>0</v>
      </c>
    </row>
    <row r="2">
      <c r="D2" s="3"/>
      <c r="G2" s="3"/>
      <c r="J2" s="3"/>
    </row>
    <row r="3">
      <c r="D3" s="3"/>
      <c r="G3" s="3"/>
      <c r="J3" s="3"/>
    </row>
    <row r="4">
      <c r="D4" s="3"/>
      <c r="G4" s="3"/>
      <c r="J4" s="3"/>
    </row>
    <row r="5">
      <c r="D5" s="3"/>
      <c r="G5" s="3"/>
      <c r="J5" s="3"/>
    </row>
    <row r="6">
      <c r="D6" s="3"/>
      <c r="G6" s="3"/>
      <c r="J6" s="3"/>
    </row>
    <row r="7">
      <c r="D7" s="3"/>
      <c r="G7" s="3"/>
      <c r="J7" s="3"/>
    </row>
    <row r="8">
      <c r="D8" s="3"/>
      <c r="G8" s="3"/>
      <c r="J8" s="3"/>
    </row>
    <row r="9">
      <c r="D9" s="3"/>
      <c r="G9" s="3"/>
      <c r="J9" s="3"/>
    </row>
    <row r="10">
      <c r="D10" s="3"/>
      <c r="G10" s="3"/>
      <c r="J10" s="3"/>
    </row>
    <row r="11">
      <c r="D11" s="3"/>
      <c r="G11" s="3"/>
      <c r="J11" s="3"/>
    </row>
    <row r="12">
      <c r="D12" s="3"/>
      <c r="G12" s="3"/>
      <c r="J12" s="3"/>
    </row>
    <row r="13">
      <c r="D13" s="3"/>
      <c r="G13" s="3"/>
      <c r="J13" s="3"/>
    </row>
    <row r="14">
      <c r="D14" s="3"/>
      <c r="G14" s="3"/>
      <c r="J14" s="3"/>
    </row>
    <row r="15">
      <c r="D15" s="3"/>
      <c r="G15" s="3"/>
      <c r="J15" s="3"/>
    </row>
    <row r="16">
      <c r="D16" s="3"/>
      <c r="G16" s="3"/>
      <c r="J16" s="3"/>
    </row>
    <row r="17">
      <c r="D17" s="3"/>
      <c r="G17" s="3"/>
      <c r="J17" s="3"/>
    </row>
    <row r="18">
      <c r="D18" s="3"/>
      <c r="G18" s="3"/>
      <c r="J18" s="3"/>
    </row>
    <row r="19">
      <c r="D19" s="3"/>
      <c r="G19" s="3"/>
      <c r="J19" s="3"/>
    </row>
    <row r="20">
      <c r="D20" s="3"/>
      <c r="G20" s="3"/>
      <c r="J20" s="3"/>
    </row>
    <row r="21">
      <c r="D21" s="3"/>
      <c r="G21" s="3"/>
      <c r="J21" s="3"/>
    </row>
    <row r="22">
      <c r="D22" s="3"/>
      <c r="G22" s="3"/>
      <c r="J22" s="3"/>
    </row>
    <row r="23">
      <c r="D23" s="3"/>
      <c r="G23" s="3"/>
      <c r="J23" s="3"/>
    </row>
    <row r="24">
      <c r="D24" s="3"/>
      <c r="G24" s="3"/>
      <c r="J24" s="3"/>
    </row>
    <row r="25">
      <c r="D25" s="3"/>
      <c r="G25" s="3"/>
      <c r="J25" s="3"/>
    </row>
    <row r="26">
      <c r="D26" s="3"/>
      <c r="G26" s="3"/>
      <c r="J26" s="3"/>
    </row>
    <row r="27">
      <c r="D27" s="3"/>
      <c r="G27" s="3"/>
      <c r="J27" s="3"/>
    </row>
    <row r="28">
      <c r="D28" s="3"/>
      <c r="G28" s="3"/>
      <c r="J28" s="3"/>
    </row>
    <row r="29">
      <c r="D29" s="3"/>
      <c r="G29" s="3"/>
      <c r="J29" s="3"/>
    </row>
    <row r="30">
      <c r="D30" s="3"/>
      <c r="G30" s="3"/>
      <c r="J30" s="3"/>
    </row>
    <row r="31">
      <c r="D31" s="3"/>
      <c r="G31" s="3"/>
      <c r="J31" s="3"/>
    </row>
    <row r="32">
      <c r="D32" s="3"/>
      <c r="G32" s="3"/>
      <c r="J32" s="3"/>
    </row>
    <row r="33">
      <c r="D33" s="3"/>
      <c r="G33" s="3"/>
      <c r="J33" s="3"/>
    </row>
    <row r="34">
      <c r="D34" s="3"/>
      <c r="G34" s="3"/>
      <c r="J34" s="3"/>
    </row>
    <row r="35">
      <c r="D35" s="3"/>
      <c r="G35" s="3"/>
      <c r="J35" s="3"/>
    </row>
    <row r="36">
      <c r="D36" s="3"/>
      <c r="G36" s="3"/>
      <c r="J36" s="3"/>
    </row>
    <row r="37">
      <c r="D37" s="3"/>
      <c r="G37" s="3"/>
      <c r="J37" s="3"/>
    </row>
    <row r="38">
      <c r="D38" s="3"/>
      <c r="G38" s="3"/>
      <c r="J38" s="3"/>
    </row>
    <row r="39">
      <c r="D39" s="3"/>
      <c r="G39" s="3"/>
      <c r="J39" s="3"/>
    </row>
    <row r="40">
      <c r="D40" s="3"/>
      <c r="G40" s="3"/>
      <c r="J40" s="3"/>
    </row>
    <row r="41">
      <c r="D41" s="3"/>
      <c r="G41" s="3"/>
      <c r="J41" s="3"/>
    </row>
    <row r="42">
      <c r="D42" s="3"/>
      <c r="G42" s="3"/>
      <c r="J42" s="3"/>
    </row>
    <row r="43">
      <c r="D43" s="3"/>
      <c r="G43" s="3"/>
      <c r="J43" s="3"/>
    </row>
    <row r="44">
      <c r="D44" s="3"/>
      <c r="G44" s="3"/>
      <c r="J44" s="3"/>
    </row>
    <row r="45">
      <c r="D45" s="3"/>
      <c r="G45" s="3"/>
      <c r="J45" s="3"/>
    </row>
    <row r="46">
      <c r="D46" s="3"/>
      <c r="G46" s="3"/>
      <c r="J46" s="3"/>
    </row>
    <row r="47">
      <c r="D47" s="3"/>
      <c r="G47" s="3"/>
      <c r="J47" s="3"/>
    </row>
    <row r="48">
      <c r="D48" s="3"/>
      <c r="G48" s="3"/>
      <c r="J48" s="3"/>
    </row>
    <row r="49">
      <c r="D49" s="3"/>
      <c r="G49" s="3"/>
      <c r="J49" s="3"/>
    </row>
    <row r="50">
      <c r="D50" s="3"/>
      <c r="G50" s="3"/>
      <c r="J50" s="3"/>
    </row>
    <row r="51">
      <c r="D51" s="3"/>
      <c r="G51" s="3"/>
      <c r="J51" s="3"/>
    </row>
    <row r="52">
      <c r="D52" s="3"/>
      <c r="G52" s="3"/>
      <c r="J52" s="3"/>
    </row>
    <row r="53">
      <c r="D53" s="3"/>
      <c r="G53" s="3"/>
      <c r="J53" s="3"/>
    </row>
    <row r="54">
      <c r="D54" s="3"/>
      <c r="G54" s="3"/>
      <c r="J54" s="3"/>
    </row>
    <row r="55">
      <c r="D55" s="3"/>
      <c r="G55" s="3"/>
      <c r="J55" s="3"/>
    </row>
    <row r="56">
      <c r="D56" s="3"/>
      <c r="G56" s="3"/>
      <c r="J56" s="3"/>
    </row>
    <row r="57">
      <c r="D57" s="3"/>
      <c r="G57" s="3"/>
      <c r="J57" s="3"/>
    </row>
    <row r="58">
      <c r="D58" s="3"/>
      <c r="G58" s="3"/>
      <c r="J58" s="3"/>
    </row>
    <row r="59">
      <c r="D59" s="3"/>
      <c r="G59" s="3"/>
      <c r="J59" s="3"/>
    </row>
    <row r="60">
      <c r="D60" s="3"/>
      <c r="G60" s="3"/>
      <c r="J60" s="3"/>
    </row>
    <row r="61">
      <c r="D61" s="3"/>
      <c r="G61" s="3"/>
      <c r="J61" s="3"/>
    </row>
    <row r="62">
      <c r="D62" s="3"/>
      <c r="G62" s="3"/>
      <c r="J62" s="3"/>
    </row>
    <row r="63">
      <c r="D63" s="3"/>
      <c r="G63" s="3"/>
      <c r="J63" s="3"/>
    </row>
    <row r="64">
      <c r="D64" s="3"/>
      <c r="G64" s="3"/>
      <c r="J64" s="3"/>
    </row>
    <row r="65">
      <c r="D65" s="3"/>
      <c r="G65" s="3"/>
      <c r="J65" s="3"/>
    </row>
    <row r="66">
      <c r="D66" s="3"/>
      <c r="G66" s="3"/>
      <c r="J66" s="3"/>
    </row>
    <row r="67">
      <c r="D67" s="3"/>
      <c r="G67" s="3"/>
      <c r="J67" s="3"/>
    </row>
    <row r="68">
      <c r="D68" s="3"/>
      <c r="G68" s="3"/>
      <c r="J68" s="3"/>
    </row>
    <row r="69">
      <c r="D69" s="3"/>
      <c r="G69" s="3"/>
      <c r="J69" s="3"/>
    </row>
    <row r="70">
      <c r="D70" s="3"/>
      <c r="G70" s="3"/>
      <c r="J70" s="3"/>
    </row>
    <row r="71">
      <c r="D71" s="3"/>
      <c r="G71" s="3"/>
      <c r="J71" s="3"/>
    </row>
    <row r="72">
      <c r="D72" s="3"/>
      <c r="G72" s="3"/>
      <c r="J72" s="3"/>
    </row>
    <row r="73">
      <c r="D73" s="3"/>
      <c r="G73" s="3"/>
      <c r="J73" s="3"/>
    </row>
    <row r="74">
      <c r="D74" s="3"/>
      <c r="G74" s="3"/>
      <c r="J74" s="3"/>
    </row>
    <row r="75">
      <c r="D75" s="3"/>
      <c r="G75" s="3"/>
      <c r="J75" s="3"/>
    </row>
    <row r="76">
      <c r="D76" s="3"/>
      <c r="G76" s="3"/>
      <c r="J76" s="3"/>
    </row>
    <row r="77">
      <c r="D77" s="3"/>
      <c r="G77" s="3"/>
      <c r="J77" s="3"/>
    </row>
    <row r="78">
      <c r="D78" s="3"/>
      <c r="G78" s="3"/>
      <c r="J78" s="3"/>
    </row>
    <row r="79">
      <c r="D79" s="3"/>
      <c r="G79" s="3"/>
      <c r="J79" s="3"/>
    </row>
    <row r="80">
      <c r="D80" s="3"/>
      <c r="G80" s="3"/>
      <c r="J80" s="3"/>
    </row>
    <row r="81">
      <c r="D81" s="3"/>
      <c r="G81" s="3"/>
      <c r="J81" s="3"/>
    </row>
    <row r="82">
      <c r="D82" s="3"/>
      <c r="G82" s="3"/>
      <c r="J82" s="3"/>
    </row>
    <row r="83">
      <c r="D83" s="3"/>
      <c r="G83" s="3"/>
      <c r="J83" s="3"/>
    </row>
    <row r="84">
      <c r="D84" s="3"/>
      <c r="G84" s="3"/>
      <c r="J84" s="3"/>
    </row>
    <row r="85">
      <c r="D85" s="3"/>
      <c r="G85" s="3"/>
      <c r="J85" s="3"/>
    </row>
    <row r="86">
      <c r="D86" s="3"/>
      <c r="G86" s="3"/>
      <c r="J86" s="3"/>
    </row>
    <row r="87">
      <c r="D87" s="3"/>
      <c r="G87" s="3"/>
      <c r="J87" s="3"/>
    </row>
    <row r="88">
      <c r="D88" s="3"/>
      <c r="G88" s="3"/>
      <c r="J88" s="3"/>
    </row>
    <row r="89">
      <c r="D89" s="3"/>
      <c r="G89" s="3"/>
      <c r="J89" s="3"/>
    </row>
    <row r="90">
      <c r="D90" s="3"/>
      <c r="G90" s="3"/>
      <c r="J90" s="3"/>
    </row>
    <row r="91">
      <c r="D91" s="3"/>
      <c r="G91" s="3"/>
      <c r="J91" s="3"/>
    </row>
    <row r="92">
      <c r="D92" s="3"/>
      <c r="G92" s="3"/>
      <c r="J92" s="3"/>
    </row>
    <row r="93">
      <c r="D93" s="3"/>
      <c r="G93" s="3"/>
      <c r="J93" s="3"/>
    </row>
    <row r="94">
      <c r="D94" s="3"/>
      <c r="G94" s="3"/>
      <c r="J94" s="3"/>
    </row>
    <row r="95">
      <c r="D95" s="3"/>
      <c r="G95" s="3"/>
      <c r="J95" s="3"/>
    </row>
    <row r="96">
      <c r="D96" s="3"/>
      <c r="G96" s="3"/>
      <c r="J96" s="3"/>
    </row>
    <row r="97">
      <c r="D97" s="3"/>
      <c r="G97" s="3"/>
      <c r="J97" s="3"/>
    </row>
    <row r="98">
      <c r="D98" s="3"/>
      <c r="G98" s="3"/>
      <c r="J98" s="3"/>
    </row>
    <row r="99">
      <c r="D99" s="3"/>
      <c r="G99" s="3"/>
      <c r="J99" s="3"/>
    </row>
    <row r="100">
      <c r="D100" s="3"/>
      <c r="G100" s="3"/>
      <c r="J100" s="3"/>
    </row>
    <row r="101">
      <c r="D101" s="3"/>
      <c r="G101" s="3"/>
      <c r="J101" s="3"/>
    </row>
    <row r="102">
      <c r="D102" s="3"/>
      <c r="G102" s="3"/>
      <c r="J102" s="3"/>
    </row>
    <row r="103">
      <c r="D103" s="3"/>
      <c r="G103" s="3"/>
      <c r="J103" s="3"/>
    </row>
    <row r="104">
      <c r="D104" s="3"/>
      <c r="G104" s="3"/>
      <c r="J104" s="3"/>
    </row>
    <row r="105">
      <c r="D105" s="3"/>
      <c r="G105" s="3"/>
      <c r="J105" s="3"/>
    </row>
    <row r="106">
      <c r="D106" s="3"/>
      <c r="G106" s="3"/>
      <c r="J106" s="3"/>
    </row>
    <row r="107">
      <c r="D107" s="3"/>
      <c r="G107" s="3"/>
      <c r="J107" s="3"/>
    </row>
    <row r="108">
      <c r="D108" s="3"/>
      <c r="G108" s="3"/>
      <c r="J108" s="3"/>
    </row>
    <row r="109">
      <c r="D109" s="3"/>
      <c r="G109" s="3"/>
      <c r="J109" s="3"/>
    </row>
    <row r="110">
      <c r="D110" s="3"/>
      <c r="G110" s="3"/>
      <c r="J110" s="3"/>
    </row>
    <row r="111">
      <c r="D111" s="3"/>
      <c r="G111" s="3"/>
      <c r="J111" s="3"/>
    </row>
    <row r="112">
      <c r="D112" s="3"/>
      <c r="G112" s="3"/>
      <c r="J112" s="3"/>
    </row>
    <row r="113">
      <c r="D113" s="3"/>
      <c r="G113" s="3"/>
      <c r="J113" s="3"/>
    </row>
    <row r="114">
      <c r="D114" s="3"/>
      <c r="G114" s="3"/>
      <c r="J114" s="3"/>
    </row>
    <row r="115">
      <c r="D115" s="3"/>
      <c r="G115" s="3"/>
      <c r="J115" s="3"/>
    </row>
    <row r="116">
      <c r="D116" s="3"/>
      <c r="G116" s="3"/>
      <c r="J116" s="3"/>
    </row>
    <row r="117">
      <c r="D117" s="3"/>
      <c r="G117" s="3"/>
      <c r="J117" s="3"/>
    </row>
    <row r="118">
      <c r="D118" s="3"/>
      <c r="G118" s="3"/>
      <c r="J118" s="3"/>
    </row>
    <row r="119">
      <c r="D119" s="3"/>
      <c r="G119" s="3"/>
      <c r="J119" s="3"/>
    </row>
    <row r="120">
      <c r="D120" s="3"/>
      <c r="G120" s="3"/>
      <c r="J120" s="3"/>
    </row>
    <row r="121">
      <c r="D121" s="3"/>
      <c r="G121" s="3"/>
      <c r="J121" s="3"/>
    </row>
    <row r="122">
      <c r="D122" s="3"/>
      <c r="G122" s="3"/>
      <c r="J122" s="3"/>
    </row>
    <row r="123">
      <c r="D123" s="3"/>
      <c r="G123" s="3"/>
      <c r="J123" s="3"/>
    </row>
    <row r="124">
      <c r="D124" s="3"/>
      <c r="G124" s="3"/>
      <c r="J124" s="3"/>
    </row>
    <row r="125">
      <c r="D125" s="3"/>
      <c r="G125" s="3"/>
      <c r="J125" s="3"/>
    </row>
    <row r="126">
      <c r="D126" s="3"/>
      <c r="G126" s="3"/>
      <c r="J126" s="3"/>
    </row>
    <row r="127">
      <c r="D127" s="3"/>
      <c r="G127" s="3"/>
      <c r="J127" s="3"/>
    </row>
    <row r="128">
      <c r="D128" s="3"/>
      <c r="G128" s="3"/>
      <c r="J128" s="3"/>
    </row>
    <row r="129">
      <c r="D129" s="3"/>
      <c r="G129" s="3"/>
      <c r="J129" s="3"/>
    </row>
    <row r="130">
      <c r="D130" s="3"/>
      <c r="G130" s="3"/>
      <c r="J130" s="3"/>
    </row>
    <row r="131">
      <c r="D131" s="3"/>
      <c r="G131" s="3"/>
      <c r="J131" s="3"/>
    </row>
    <row r="132">
      <c r="D132" s="3"/>
      <c r="G132" s="3"/>
      <c r="J132" s="3"/>
    </row>
    <row r="133">
      <c r="D133" s="3"/>
      <c r="G133" s="3"/>
      <c r="J133" s="3"/>
    </row>
    <row r="134">
      <c r="D134" s="3"/>
      <c r="G134" s="3"/>
      <c r="J134" s="3"/>
    </row>
    <row r="135">
      <c r="D135" s="3"/>
      <c r="G135" s="3"/>
      <c r="J135" s="3"/>
    </row>
    <row r="136">
      <c r="D136" s="3"/>
      <c r="G136" s="3"/>
      <c r="J136" s="3"/>
    </row>
    <row r="137">
      <c r="D137" s="3"/>
      <c r="G137" s="3"/>
      <c r="J137" s="3"/>
    </row>
    <row r="138">
      <c r="D138" s="3"/>
      <c r="G138" s="3"/>
      <c r="J138" s="3"/>
    </row>
    <row r="139">
      <c r="D139" s="3"/>
      <c r="G139" s="3"/>
      <c r="J139" s="3"/>
    </row>
    <row r="140">
      <c r="D140" s="3"/>
      <c r="G140" s="3"/>
      <c r="J140" s="3"/>
    </row>
    <row r="141">
      <c r="D141" s="3"/>
      <c r="G141" s="3"/>
      <c r="J141" s="3"/>
    </row>
    <row r="142">
      <c r="D142" s="3"/>
      <c r="G142" s="3"/>
      <c r="J142" s="3"/>
    </row>
    <row r="143">
      <c r="D143" s="3"/>
      <c r="G143" s="3"/>
      <c r="J143" s="3"/>
    </row>
    <row r="144">
      <c r="D144" s="3"/>
      <c r="G144" s="3"/>
      <c r="J144" s="3"/>
    </row>
    <row r="145">
      <c r="D145" s="3"/>
      <c r="G145" s="3"/>
      <c r="J145" s="3"/>
    </row>
    <row r="146">
      <c r="D146" s="3"/>
      <c r="G146" s="3"/>
      <c r="J146" s="3"/>
    </row>
    <row r="147">
      <c r="D147" s="3"/>
      <c r="G147" s="3"/>
      <c r="J147" s="3"/>
    </row>
    <row r="148">
      <c r="D148" s="3"/>
      <c r="G148" s="3"/>
      <c r="J148" s="3"/>
    </row>
    <row r="149">
      <c r="D149" s="3"/>
      <c r="G149" s="3"/>
      <c r="J149" s="3"/>
    </row>
    <row r="150">
      <c r="D150" s="3"/>
      <c r="G150" s="3"/>
      <c r="J150" s="3"/>
    </row>
    <row r="151">
      <c r="D151" s="3"/>
      <c r="G151" s="3"/>
      <c r="J151" s="3"/>
    </row>
    <row r="152">
      <c r="D152" s="3"/>
      <c r="G152" s="3"/>
      <c r="J152" s="3"/>
    </row>
    <row r="153">
      <c r="D153" s="3"/>
      <c r="G153" s="3"/>
      <c r="J153" s="3"/>
    </row>
    <row r="154">
      <c r="D154" s="3"/>
      <c r="G154" s="3"/>
      <c r="J154" s="3"/>
    </row>
    <row r="155">
      <c r="D155" s="3"/>
      <c r="G155" s="3"/>
      <c r="J155" s="3"/>
    </row>
    <row r="156">
      <c r="D156" s="3"/>
      <c r="G156" s="3"/>
      <c r="J156" s="3"/>
    </row>
    <row r="157">
      <c r="D157" s="3"/>
      <c r="G157" s="3"/>
      <c r="J157" s="3"/>
    </row>
    <row r="158">
      <c r="D158" s="3"/>
      <c r="G158" s="3"/>
      <c r="J158" s="3"/>
    </row>
    <row r="159">
      <c r="D159" s="3"/>
      <c r="G159" s="3"/>
      <c r="J159" s="3"/>
    </row>
    <row r="160">
      <c r="D160" s="3"/>
      <c r="G160" s="3"/>
      <c r="J160" s="3"/>
    </row>
    <row r="161">
      <c r="D161" s="3"/>
      <c r="G161" s="3"/>
      <c r="J161" s="3"/>
    </row>
    <row r="162">
      <c r="D162" s="3"/>
      <c r="G162" s="3"/>
      <c r="J162" s="3"/>
    </row>
    <row r="163">
      <c r="D163" s="3"/>
      <c r="G163" s="3"/>
      <c r="J163" s="3"/>
    </row>
    <row r="164">
      <c r="D164" s="3"/>
      <c r="G164" s="3"/>
      <c r="J164" s="3"/>
    </row>
    <row r="165">
      <c r="D165" s="3"/>
      <c r="G165" s="3"/>
      <c r="J165" s="3"/>
    </row>
    <row r="166">
      <c r="D166" s="3"/>
      <c r="G166" s="3"/>
      <c r="J166" s="3"/>
    </row>
    <row r="167">
      <c r="D167" s="3"/>
      <c r="G167" s="3"/>
      <c r="J167" s="3"/>
    </row>
    <row r="168">
      <c r="D168" s="3"/>
      <c r="G168" s="3"/>
      <c r="J168" s="3"/>
    </row>
    <row r="169">
      <c r="D169" s="3"/>
      <c r="G169" s="3"/>
      <c r="J169" s="3"/>
    </row>
    <row r="170">
      <c r="D170" s="3"/>
      <c r="G170" s="3"/>
      <c r="J170" s="3"/>
    </row>
    <row r="171">
      <c r="D171" s="3"/>
      <c r="G171" s="3"/>
      <c r="J171" s="3"/>
    </row>
    <row r="172">
      <c r="D172" s="3"/>
      <c r="G172" s="3"/>
      <c r="J172" s="3"/>
    </row>
    <row r="173">
      <c r="D173" s="3"/>
      <c r="G173" s="3"/>
      <c r="J173" s="3"/>
    </row>
    <row r="174">
      <c r="D174" s="3"/>
      <c r="G174" s="3"/>
      <c r="J174" s="3"/>
    </row>
    <row r="175">
      <c r="D175" s="3"/>
      <c r="G175" s="3"/>
      <c r="J175" s="3"/>
    </row>
    <row r="176">
      <c r="D176" s="3"/>
      <c r="G176" s="3"/>
      <c r="J176" s="3"/>
    </row>
    <row r="177">
      <c r="D177" s="3"/>
      <c r="G177" s="3"/>
      <c r="J177" s="3"/>
    </row>
    <row r="178">
      <c r="D178" s="3"/>
      <c r="G178" s="3"/>
      <c r="J178" s="3"/>
    </row>
    <row r="179">
      <c r="D179" s="3"/>
      <c r="G179" s="3"/>
      <c r="J179" s="3"/>
    </row>
    <row r="180">
      <c r="D180" s="3"/>
      <c r="G180" s="3"/>
      <c r="J180" s="3"/>
    </row>
    <row r="181">
      <c r="D181" s="3"/>
      <c r="G181" s="3"/>
      <c r="J181" s="3"/>
    </row>
    <row r="182">
      <c r="D182" s="3"/>
      <c r="G182" s="3"/>
      <c r="J182" s="3"/>
    </row>
    <row r="183">
      <c r="D183" s="3"/>
      <c r="G183" s="3"/>
      <c r="J183" s="3"/>
    </row>
    <row r="184">
      <c r="D184" s="3"/>
      <c r="G184" s="3"/>
      <c r="J184" s="3"/>
    </row>
    <row r="185">
      <c r="D185" s="3"/>
      <c r="G185" s="3"/>
      <c r="J185" s="3"/>
    </row>
    <row r="186">
      <c r="D186" s="3"/>
      <c r="G186" s="3"/>
      <c r="J186" s="3"/>
    </row>
    <row r="187">
      <c r="D187" s="3"/>
      <c r="G187" s="3"/>
      <c r="J187" s="3"/>
    </row>
    <row r="188">
      <c r="D188" s="3"/>
      <c r="G188" s="3"/>
      <c r="J188" s="3"/>
    </row>
    <row r="189">
      <c r="D189" s="3"/>
      <c r="G189" s="3"/>
      <c r="J189" s="3"/>
    </row>
    <row r="190">
      <c r="D190" s="3"/>
      <c r="G190" s="3"/>
      <c r="J190" s="3"/>
    </row>
    <row r="191">
      <c r="D191" s="3"/>
      <c r="G191" s="3"/>
      <c r="J191" s="3"/>
    </row>
    <row r="192">
      <c r="D192" s="3"/>
      <c r="G192" s="3"/>
      <c r="J192" s="3"/>
    </row>
    <row r="193">
      <c r="D193" s="3"/>
      <c r="G193" s="3"/>
      <c r="J193" s="3"/>
    </row>
    <row r="194">
      <c r="D194" s="3"/>
      <c r="G194" s="3"/>
      <c r="J194" s="3"/>
    </row>
    <row r="195">
      <c r="D195" s="3"/>
      <c r="G195" s="3"/>
      <c r="J195" s="3"/>
    </row>
    <row r="196">
      <c r="D196" s="3"/>
      <c r="G196" s="3"/>
      <c r="J196" s="3"/>
    </row>
    <row r="197">
      <c r="D197" s="3"/>
      <c r="G197" s="3"/>
      <c r="J197" s="3"/>
    </row>
    <row r="198">
      <c r="D198" s="3"/>
      <c r="G198" s="3"/>
      <c r="J198" s="3"/>
    </row>
    <row r="199">
      <c r="D199" s="3"/>
      <c r="G199" s="3"/>
      <c r="J199" s="3"/>
    </row>
    <row r="200">
      <c r="D200" s="3"/>
      <c r="G200" s="3"/>
      <c r="J200" s="3"/>
    </row>
    <row r="201">
      <c r="D201" s="3"/>
      <c r="G201" s="3"/>
      <c r="J201" s="3"/>
    </row>
    <row r="202">
      <c r="D202" s="3"/>
      <c r="G202" s="3"/>
      <c r="J202" s="3"/>
    </row>
    <row r="203">
      <c r="D203" s="3"/>
      <c r="G203" s="3"/>
      <c r="J203" s="3"/>
    </row>
    <row r="204">
      <c r="D204" s="3"/>
      <c r="G204" s="3"/>
      <c r="J204" s="3"/>
    </row>
    <row r="205">
      <c r="D205" s="3"/>
      <c r="G205" s="3"/>
      <c r="J205" s="3"/>
    </row>
    <row r="206">
      <c r="D206" s="3"/>
      <c r="G206" s="3"/>
      <c r="J206" s="3"/>
    </row>
    <row r="207">
      <c r="D207" s="3"/>
      <c r="G207" s="3"/>
      <c r="J207" s="3"/>
    </row>
    <row r="208">
      <c r="D208" s="3"/>
      <c r="G208" s="3"/>
      <c r="J208" s="3"/>
    </row>
    <row r="209">
      <c r="D209" s="3"/>
      <c r="G209" s="3"/>
      <c r="J209" s="3"/>
    </row>
    <row r="210">
      <c r="D210" s="3"/>
      <c r="G210" s="3"/>
      <c r="J210" s="3"/>
    </row>
    <row r="211">
      <c r="D211" s="3"/>
      <c r="G211" s="3"/>
      <c r="J211" s="3"/>
    </row>
    <row r="212">
      <c r="D212" s="3"/>
      <c r="G212" s="3"/>
      <c r="J212" s="3"/>
    </row>
    <row r="213">
      <c r="D213" s="3"/>
      <c r="G213" s="3"/>
      <c r="J213" s="3"/>
    </row>
    <row r="214">
      <c r="D214" s="3"/>
      <c r="G214" s="3"/>
      <c r="J214" s="3"/>
    </row>
    <row r="215">
      <c r="D215" s="3"/>
      <c r="G215" s="3"/>
      <c r="J215" s="3"/>
    </row>
    <row r="216">
      <c r="D216" s="3"/>
      <c r="G216" s="3"/>
      <c r="J216" s="3"/>
    </row>
    <row r="217">
      <c r="D217" s="3"/>
      <c r="G217" s="3"/>
      <c r="J217" s="3"/>
    </row>
    <row r="218">
      <c r="D218" s="3"/>
      <c r="G218" s="3"/>
      <c r="J218" s="3"/>
    </row>
    <row r="219">
      <c r="D219" s="3"/>
      <c r="G219" s="3"/>
      <c r="J219" s="3"/>
    </row>
    <row r="220">
      <c r="D220" s="3"/>
      <c r="G220" s="3"/>
      <c r="J220" s="3"/>
    </row>
    <row r="221">
      <c r="D221" s="3"/>
      <c r="G221" s="3"/>
      <c r="J221" s="3"/>
    </row>
    <row r="222">
      <c r="D222" s="3"/>
      <c r="G222" s="3"/>
      <c r="J222" s="3"/>
    </row>
    <row r="223">
      <c r="D223" s="3"/>
      <c r="G223" s="3"/>
      <c r="J223" s="3"/>
    </row>
    <row r="224">
      <c r="D224" s="3"/>
      <c r="G224" s="3"/>
      <c r="J224" s="3"/>
    </row>
    <row r="225">
      <c r="D225" s="3"/>
      <c r="G225" s="3"/>
      <c r="J225" s="3"/>
    </row>
    <row r="226">
      <c r="D226" s="3"/>
      <c r="G226" s="3"/>
      <c r="J226" s="3"/>
    </row>
    <row r="227">
      <c r="D227" s="3"/>
      <c r="G227" s="3"/>
      <c r="J227" s="3"/>
    </row>
    <row r="228">
      <c r="D228" s="3"/>
      <c r="G228" s="3"/>
      <c r="J228" s="3"/>
    </row>
    <row r="229">
      <c r="D229" s="3"/>
      <c r="G229" s="3"/>
      <c r="J229" s="3"/>
    </row>
    <row r="230">
      <c r="D230" s="3"/>
      <c r="G230" s="3"/>
      <c r="J230" s="3"/>
    </row>
    <row r="231">
      <c r="D231" s="3"/>
      <c r="G231" s="3"/>
      <c r="J231" s="3"/>
    </row>
    <row r="232">
      <c r="D232" s="3"/>
      <c r="G232" s="3"/>
      <c r="J232" s="3"/>
    </row>
    <row r="233">
      <c r="D233" s="3"/>
      <c r="G233" s="3"/>
      <c r="J233" s="3"/>
    </row>
    <row r="234">
      <c r="D234" s="3"/>
      <c r="G234" s="3"/>
      <c r="J234" s="3"/>
    </row>
    <row r="235">
      <c r="D235" s="3"/>
      <c r="G235" s="3"/>
      <c r="J235" s="3"/>
    </row>
    <row r="236">
      <c r="D236" s="3"/>
      <c r="G236" s="3"/>
      <c r="J236" s="3"/>
    </row>
    <row r="237">
      <c r="D237" s="3"/>
      <c r="G237" s="3"/>
      <c r="J237" s="3"/>
    </row>
    <row r="238">
      <c r="D238" s="3"/>
      <c r="G238" s="3"/>
      <c r="J238" s="3"/>
    </row>
    <row r="239">
      <c r="D239" s="3"/>
      <c r="G239" s="3"/>
      <c r="J239" s="3"/>
    </row>
    <row r="240">
      <c r="D240" s="3"/>
      <c r="G240" s="3"/>
      <c r="J240" s="3"/>
    </row>
    <row r="241">
      <c r="D241" s="3"/>
      <c r="G241" s="3"/>
      <c r="J241" s="3"/>
    </row>
    <row r="242">
      <c r="D242" s="3"/>
      <c r="G242" s="3"/>
      <c r="J242" s="3"/>
    </row>
    <row r="243">
      <c r="D243" s="3"/>
      <c r="G243" s="3"/>
      <c r="J243" s="3"/>
    </row>
    <row r="244">
      <c r="D244" s="3"/>
      <c r="G244" s="3"/>
      <c r="J244" s="3"/>
    </row>
    <row r="245">
      <c r="D245" s="3"/>
      <c r="G245" s="3"/>
      <c r="J245" s="3"/>
    </row>
    <row r="246">
      <c r="D246" s="3"/>
      <c r="G246" s="3"/>
      <c r="J246" s="3"/>
    </row>
    <row r="247">
      <c r="D247" s="3"/>
      <c r="G247" s="3"/>
      <c r="J247" s="3"/>
    </row>
    <row r="248">
      <c r="D248" s="3"/>
      <c r="G248" s="3"/>
      <c r="J248" s="3"/>
    </row>
    <row r="249">
      <c r="D249" s="3"/>
      <c r="G249" s="3"/>
      <c r="J249" s="3"/>
    </row>
    <row r="250">
      <c r="D250" s="3"/>
      <c r="G250" s="3"/>
      <c r="J250" s="3"/>
    </row>
    <row r="251">
      <c r="D251" s="3"/>
      <c r="G251" s="3"/>
      <c r="J251" s="3"/>
    </row>
    <row r="252">
      <c r="D252" s="3"/>
      <c r="G252" s="3"/>
      <c r="J252" s="3"/>
    </row>
    <row r="253">
      <c r="D253" s="3"/>
      <c r="G253" s="3"/>
      <c r="J253" s="3"/>
    </row>
    <row r="254">
      <c r="D254" s="3"/>
      <c r="G254" s="3"/>
      <c r="J254" s="3"/>
    </row>
    <row r="255">
      <c r="D255" s="3"/>
      <c r="G255" s="3"/>
      <c r="J255" s="3"/>
    </row>
    <row r="256">
      <c r="D256" s="3"/>
      <c r="G256" s="3"/>
      <c r="J256" s="3"/>
    </row>
    <row r="257">
      <c r="D257" s="3"/>
      <c r="G257" s="3"/>
      <c r="J257" s="3"/>
    </row>
    <row r="258">
      <c r="D258" s="3"/>
      <c r="G258" s="3"/>
      <c r="J258" s="3"/>
    </row>
    <row r="259">
      <c r="D259" s="3"/>
      <c r="G259" s="3"/>
      <c r="J259" s="3"/>
    </row>
    <row r="260">
      <c r="D260" s="3"/>
      <c r="G260" s="3"/>
      <c r="J260" s="3"/>
    </row>
    <row r="261">
      <c r="D261" s="3"/>
      <c r="G261" s="3"/>
      <c r="J261" s="3"/>
    </row>
    <row r="262">
      <c r="D262" s="3"/>
      <c r="G262" s="3"/>
      <c r="J262" s="3"/>
    </row>
    <row r="263">
      <c r="D263" s="3"/>
      <c r="G263" s="3"/>
      <c r="J263" s="3"/>
    </row>
    <row r="264">
      <c r="D264" s="3"/>
      <c r="G264" s="3"/>
      <c r="J264" s="3"/>
    </row>
    <row r="265">
      <c r="D265" s="3"/>
      <c r="G265" s="3"/>
      <c r="J265" s="3"/>
    </row>
    <row r="266">
      <c r="D266" s="3"/>
      <c r="G266" s="3"/>
      <c r="J266" s="3"/>
    </row>
    <row r="267">
      <c r="D267" s="3"/>
      <c r="G267" s="3"/>
      <c r="J267" s="3"/>
    </row>
    <row r="268">
      <c r="D268" s="3"/>
      <c r="G268" s="3"/>
      <c r="J268" s="3"/>
    </row>
    <row r="269">
      <c r="D269" s="3"/>
      <c r="G269" s="3"/>
      <c r="J269" s="3"/>
    </row>
    <row r="270">
      <c r="D270" s="3"/>
      <c r="G270" s="3"/>
      <c r="J270" s="3"/>
    </row>
    <row r="271">
      <c r="D271" s="3"/>
      <c r="G271" s="3"/>
      <c r="J271" s="3"/>
    </row>
    <row r="272">
      <c r="D272" s="3"/>
      <c r="G272" s="3"/>
      <c r="J272" s="3"/>
    </row>
    <row r="273">
      <c r="D273" s="3"/>
      <c r="G273" s="3"/>
      <c r="J273" s="3"/>
    </row>
    <row r="274">
      <c r="D274" s="3"/>
      <c r="G274" s="3"/>
      <c r="J274" s="3"/>
    </row>
    <row r="275">
      <c r="D275" s="3"/>
      <c r="G275" s="3"/>
      <c r="J275" s="3"/>
    </row>
    <row r="276">
      <c r="D276" s="3"/>
      <c r="G276" s="3"/>
      <c r="J276" s="3"/>
    </row>
    <row r="277">
      <c r="D277" s="3"/>
      <c r="G277" s="3"/>
      <c r="J277" s="3"/>
    </row>
    <row r="278">
      <c r="D278" s="3"/>
      <c r="G278" s="3"/>
      <c r="J278" s="3"/>
    </row>
    <row r="279">
      <c r="D279" s="3"/>
      <c r="G279" s="3"/>
      <c r="J279" s="3"/>
    </row>
    <row r="280">
      <c r="D280" s="3"/>
      <c r="G280" s="3"/>
      <c r="J280" s="3"/>
    </row>
    <row r="281">
      <c r="D281" s="3"/>
      <c r="G281" s="3"/>
      <c r="J281" s="3"/>
    </row>
    <row r="282">
      <c r="D282" s="3"/>
      <c r="G282" s="3"/>
      <c r="J282" s="3"/>
    </row>
    <row r="283">
      <c r="D283" s="3"/>
      <c r="G283" s="3"/>
      <c r="J283" s="3"/>
    </row>
    <row r="284">
      <c r="D284" s="3"/>
      <c r="G284" s="3"/>
      <c r="J284" s="3"/>
    </row>
    <row r="285">
      <c r="D285" s="3"/>
      <c r="G285" s="3"/>
      <c r="J285" s="3"/>
    </row>
    <row r="286">
      <c r="D286" s="3"/>
      <c r="G286" s="3"/>
      <c r="J286" s="3"/>
    </row>
    <row r="287">
      <c r="D287" s="3"/>
      <c r="G287" s="3"/>
      <c r="J287" s="3"/>
    </row>
    <row r="288">
      <c r="D288" s="3"/>
      <c r="G288" s="3"/>
      <c r="J288" s="3"/>
    </row>
    <row r="289">
      <c r="D289" s="3"/>
      <c r="G289" s="3"/>
      <c r="J289" s="3"/>
    </row>
    <row r="290">
      <c r="D290" s="3"/>
      <c r="G290" s="3"/>
      <c r="J290" s="3"/>
    </row>
    <row r="291">
      <c r="D291" s="3"/>
      <c r="G291" s="3"/>
      <c r="J291" s="3"/>
    </row>
    <row r="292">
      <c r="D292" s="3"/>
      <c r="G292" s="3"/>
      <c r="J292" s="3"/>
    </row>
    <row r="293">
      <c r="D293" s="3"/>
      <c r="G293" s="3"/>
      <c r="J293" s="3"/>
    </row>
    <row r="294">
      <c r="D294" s="3"/>
      <c r="G294" s="3"/>
      <c r="J294" s="3"/>
    </row>
    <row r="295">
      <c r="D295" s="3"/>
      <c r="G295" s="3"/>
      <c r="J295" s="3"/>
    </row>
    <row r="296">
      <c r="D296" s="3"/>
      <c r="G296" s="3"/>
      <c r="J296" s="3"/>
    </row>
    <row r="297">
      <c r="D297" s="3"/>
      <c r="G297" s="3"/>
      <c r="J297" s="3"/>
    </row>
    <row r="298">
      <c r="D298" s="3"/>
      <c r="G298" s="3"/>
      <c r="J298" s="3"/>
    </row>
    <row r="299">
      <c r="D299" s="3"/>
      <c r="G299" s="3"/>
      <c r="J299" s="3"/>
    </row>
    <row r="300">
      <c r="D300" s="3"/>
      <c r="G300" s="3"/>
      <c r="J300" s="3"/>
    </row>
    <row r="301">
      <c r="D301" s="3"/>
      <c r="G301" s="3"/>
      <c r="J301" s="3"/>
    </row>
    <row r="302">
      <c r="D302" s="3"/>
      <c r="G302" s="3"/>
      <c r="J302" s="3"/>
    </row>
    <row r="303">
      <c r="D303" s="3"/>
      <c r="G303" s="3"/>
      <c r="J303" s="3"/>
    </row>
    <row r="304">
      <c r="D304" s="3"/>
      <c r="G304" s="3"/>
      <c r="J304" s="3"/>
    </row>
    <row r="305">
      <c r="D305" s="3"/>
      <c r="G305" s="3"/>
      <c r="J305" s="3"/>
    </row>
    <row r="306">
      <c r="D306" s="3"/>
      <c r="G306" s="3"/>
      <c r="J306" s="3"/>
    </row>
    <row r="307">
      <c r="D307" s="3"/>
      <c r="G307" s="3"/>
      <c r="J307" s="3"/>
    </row>
    <row r="308">
      <c r="D308" s="3"/>
      <c r="G308" s="3"/>
      <c r="J308" s="3"/>
    </row>
    <row r="309">
      <c r="D309" s="3"/>
      <c r="G309" s="3"/>
      <c r="J309" s="3"/>
    </row>
    <row r="310">
      <c r="D310" s="3"/>
      <c r="G310" s="3"/>
      <c r="J310" s="3"/>
    </row>
    <row r="311">
      <c r="D311" s="3"/>
      <c r="G311" s="3"/>
      <c r="J311" s="3"/>
    </row>
    <row r="312">
      <c r="D312" s="3"/>
      <c r="G312" s="3"/>
      <c r="J312" s="3"/>
    </row>
    <row r="313">
      <c r="D313" s="3"/>
      <c r="G313" s="3"/>
      <c r="J313" s="3"/>
    </row>
    <row r="314">
      <c r="D314" s="3"/>
      <c r="G314" s="3"/>
      <c r="J314" s="3"/>
    </row>
    <row r="315">
      <c r="D315" s="3"/>
      <c r="G315" s="3"/>
      <c r="J315" s="3"/>
    </row>
    <row r="316">
      <c r="D316" s="3"/>
      <c r="G316" s="3"/>
      <c r="J316" s="3"/>
    </row>
    <row r="317">
      <c r="D317" s="3"/>
      <c r="G317" s="3"/>
      <c r="J317" s="3"/>
    </row>
    <row r="318">
      <c r="D318" s="3"/>
      <c r="G318" s="3"/>
      <c r="J318" s="3"/>
    </row>
    <row r="319">
      <c r="D319" s="3"/>
      <c r="G319" s="3"/>
      <c r="J319" s="3"/>
    </row>
    <row r="320">
      <c r="D320" s="3"/>
      <c r="G320" s="3"/>
      <c r="J320" s="3"/>
    </row>
    <row r="321">
      <c r="D321" s="3"/>
      <c r="G321" s="3"/>
      <c r="J321" s="3"/>
    </row>
    <row r="322">
      <c r="D322" s="3"/>
      <c r="G322" s="3"/>
      <c r="J322" s="3"/>
    </row>
    <row r="323">
      <c r="D323" s="3"/>
      <c r="G323" s="3"/>
      <c r="J323" s="3"/>
    </row>
    <row r="324">
      <c r="D324" s="3"/>
      <c r="G324" s="3"/>
      <c r="J324" s="3"/>
    </row>
    <row r="325">
      <c r="D325" s="3"/>
      <c r="G325" s="3"/>
      <c r="J325" s="3"/>
    </row>
    <row r="326">
      <c r="D326" s="3"/>
      <c r="G326" s="3"/>
      <c r="J326" s="3"/>
    </row>
    <row r="327">
      <c r="D327" s="3"/>
      <c r="G327" s="3"/>
      <c r="J327" s="3"/>
    </row>
    <row r="328">
      <c r="D328" s="3"/>
      <c r="G328" s="3"/>
      <c r="J328" s="3"/>
    </row>
    <row r="329">
      <c r="D329" s="3"/>
      <c r="G329" s="3"/>
      <c r="J329" s="3"/>
    </row>
    <row r="330">
      <c r="D330" s="3"/>
      <c r="G330" s="3"/>
      <c r="J330" s="3"/>
    </row>
    <row r="331">
      <c r="D331" s="3"/>
      <c r="G331" s="3"/>
      <c r="J331" s="3"/>
    </row>
    <row r="332">
      <c r="D332" s="3"/>
      <c r="G332" s="3"/>
      <c r="J332" s="3"/>
    </row>
    <row r="333">
      <c r="D333" s="3"/>
      <c r="G333" s="3"/>
      <c r="J333" s="3"/>
    </row>
    <row r="334">
      <c r="D334" s="3"/>
      <c r="G334" s="3"/>
      <c r="J334" s="3"/>
    </row>
    <row r="335">
      <c r="D335" s="3"/>
      <c r="G335" s="3"/>
      <c r="J335" s="3"/>
    </row>
    <row r="336">
      <c r="D336" s="3"/>
      <c r="G336" s="3"/>
      <c r="J336" s="3"/>
    </row>
    <row r="337">
      <c r="D337" s="3"/>
      <c r="G337" s="3"/>
      <c r="J337" s="3"/>
    </row>
    <row r="338">
      <c r="D338" s="3"/>
      <c r="G338" s="3"/>
      <c r="J338" s="3"/>
    </row>
    <row r="339">
      <c r="D339" s="3"/>
      <c r="G339" s="3"/>
      <c r="J339" s="3"/>
    </row>
    <row r="340">
      <c r="D340" s="3"/>
      <c r="G340" s="3"/>
      <c r="J340" s="3"/>
    </row>
    <row r="341">
      <c r="D341" s="3"/>
      <c r="G341" s="3"/>
      <c r="J341" s="3"/>
    </row>
    <row r="342">
      <c r="D342" s="3"/>
      <c r="G342" s="3"/>
      <c r="J342" s="3"/>
    </row>
    <row r="343">
      <c r="D343" s="3"/>
      <c r="G343" s="3"/>
      <c r="J343" s="3"/>
    </row>
    <row r="344">
      <c r="D344" s="3"/>
      <c r="G344" s="3"/>
      <c r="J344" s="3"/>
    </row>
    <row r="345">
      <c r="D345" s="3"/>
      <c r="G345" s="3"/>
      <c r="J345" s="3"/>
    </row>
    <row r="346">
      <c r="D346" s="3"/>
      <c r="G346" s="3"/>
      <c r="J346" s="3"/>
    </row>
    <row r="347">
      <c r="D347" s="3"/>
      <c r="G347" s="3"/>
      <c r="J347" s="3"/>
    </row>
    <row r="348">
      <c r="D348" s="3"/>
      <c r="G348" s="3"/>
      <c r="J348" s="3"/>
    </row>
    <row r="349">
      <c r="D349" s="3"/>
      <c r="G349" s="3"/>
      <c r="J349" s="3"/>
    </row>
    <row r="350">
      <c r="D350" s="3"/>
      <c r="G350" s="3"/>
      <c r="J350" s="3"/>
    </row>
    <row r="351">
      <c r="D351" s="3"/>
      <c r="G351" s="3"/>
      <c r="J351" s="3"/>
    </row>
    <row r="352">
      <c r="D352" s="3"/>
      <c r="G352" s="3"/>
      <c r="J352" s="3"/>
    </row>
    <row r="353">
      <c r="D353" s="3"/>
      <c r="G353" s="3"/>
      <c r="J353" s="3"/>
    </row>
    <row r="354">
      <c r="D354" s="3"/>
      <c r="G354" s="3"/>
      <c r="J354" s="3"/>
    </row>
    <row r="355">
      <c r="D355" s="3"/>
      <c r="G355" s="3"/>
      <c r="J355" s="3"/>
    </row>
    <row r="356">
      <c r="D356" s="3"/>
      <c r="G356" s="3"/>
      <c r="J356" s="3"/>
    </row>
    <row r="357">
      <c r="D357" s="3"/>
      <c r="G357" s="3"/>
      <c r="J357" s="3"/>
    </row>
    <row r="358">
      <c r="D358" s="3"/>
      <c r="G358" s="3"/>
      <c r="J358" s="3"/>
    </row>
    <row r="359">
      <c r="D359" s="3"/>
      <c r="G359" s="3"/>
      <c r="J359" s="3"/>
    </row>
    <row r="360">
      <c r="D360" s="3"/>
      <c r="G360" s="3"/>
      <c r="J360" s="3"/>
    </row>
    <row r="361">
      <c r="D361" s="3"/>
      <c r="G361" s="3"/>
      <c r="J361" s="3"/>
    </row>
    <row r="362">
      <c r="D362" s="3"/>
      <c r="G362" s="3"/>
      <c r="J362" s="3"/>
    </row>
    <row r="363">
      <c r="D363" s="3"/>
      <c r="G363" s="3"/>
      <c r="J363" s="3"/>
    </row>
    <row r="364">
      <c r="D364" s="3"/>
      <c r="G364" s="3"/>
      <c r="J364" s="3"/>
    </row>
    <row r="365">
      <c r="D365" s="3"/>
      <c r="G365" s="3"/>
      <c r="J365" s="3"/>
    </row>
    <row r="366">
      <c r="D366" s="3"/>
      <c r="G366" s="3"/>
      <c r="J366" s="3"/>
    </row>
    <row r="367">
      <c r="D367" s="3"/>
      <c r="G367" s="3"/>
      <c r="J367" s="3"/>
    </row>
    <row r="368">
      <c r="D368" s="3"/>
      <c r="G368" s="3"/>
      <c r="J368" s="3"/>
    </row>
    <row r="369">
      <c r="D369" s="3"/>
      <c r="G369" s="3"/>
      <c r="J369" s="3"/>
    </row>
    <row r="370">
      <c r="D370" s="3"/>
      <c r="G370" s="3"/>
      <c r="J370" s="3"/>
    </row>
    <row r="371">
      <c r="D371" s="3"/>
      <c r="G371" s="3"/>
      <c r="J371" s="3"/>
    </row>
    <row r="372">
      <c r="D372" s="3"/>
      <c r="G372" s="3"/>
      <c r="J372" s="3"/>
    </row>
    <row r="373">
      <c r="D373" s="3"/>
      <c r="G373" s="3"/>
      <c r="J373" s="3"/>
    </row>
    <row r="374">
      <c r="D374" s="3"/>
      <c r="G374" s="3"/>
      <c r="J374" s="3"/>
    </row>
    <row r="375">
      <c r="D375" s="3"/>
      <c r="G375" s="3"/>
      <c r="J375" s="3"/>
    </row>
    <row r="376">
      <c r="D376" s="3"/>
      <c r="G376" s="3"/>
      <c r="J376" s="3"/>
    </row>
    <row r="377">
      <c r="D377" s="3"/>
      <c r="G377" s="3"/>
      <c r="J377" s="3"/>
    </row>
    <row r="378">
      <c r="D378" s="3"/>
      <c r="G378" s="3"/>
      <c r="J378" s="3"/>
    </row>
    <row r="379">
      <c r="D379" s="3"/>
      <c r="G379" s="3"/>
      <c r="J379" s="3"/>
    </row>
    <row r="380">
      <c r="D380" s="3"/>
      <c r="G380" s="3"/>
      <c r="J380" s="3"/>
    </row>
    <row r="381">
      <c r="D381" s="3"/>
      <c r="G381" s="3"/>
      <c r="J381" s="3"/>
    </row>
    <row r="382">
      <c r="D382" s="3"/>
      <c r="G382" s="3"/>
      <c r="J382" s="3"/>
    </row>
    <row r="383">
      <c r="D383" s="3"/>
      <c r="G383" s="3"/>
      <c r="J383" s="3"/>
    </row>
    <row r="384">
      <c r="D384" s="3"/>
      <c r="G384" s="3"/>
      <c r="J384" s="3"/>
    </row>
    <row r="385">
      <c r="D385" s="3"/>
      <c r="G385" s="3"/>
      <c r="J385" s="3"/>
    </row>
    <row r="386">
      <c r="D386" s="3"/>
      <c r="G386" s="3"/>
      <c r="J386" s="3"/>
    </row>
    <row r="387">
      <c r="D387" s="3"/>
      <c r="G387" s="3"/>
      <c r="J387" s="3"/>
    </row>
    <row r="388">
      <c r="D388" s="3"/>
      <c r="G388" s="3"/>
      <c r="J388" s="3"/>
    </row>
    <row r="389">
      <c r="D389" s="3"/>
      <c r="G389" s="3"/>
      <c r="J389" s="3"/>
    </row>
    <row r="390">
      <c r="D390" s="3"/>
      <c r="G390" s="3"/>
      <c r="J390" s="3"/>
    </row>
    <row r="391">
      <c r="D391" s="3"/>
      <c r="G391" s="3"/>
      <c r="J391" s="3"/>
    </row>
    <row r="392">
      <c r="D392" s="3"/>
      <c r="G392" s="3"/>
      <c r="J392" s="3"/>
    </row>
    <row r="393">
      <c r="D393" s="3"/>
      <c r="G393" s="3"/>
      <c r="J393" s="3"/>
    </row>
    <row r="394">
      <c r="D394" s="3"/>
      <c r="G394" s="3"/>
      <c r="J394" s="3"/>
    </row>
    <row r="395">
      <c r="D395" s="3"/>
      <c r="G395" s="3"/>
      <c r="J395" s="3"/>
    </row>
    <row r="396">
      <c r="D396" s="3"/>
      <c r="G396" s="3"/>
      <c r="J396" s="3"/>
    </row>
    <row r="397">
      <c r="D397" s="3"/>
      <c r="G397" s="3"/>
      <c r="J397" s="3"/>
    </row>
    <row r="398">
      <c r="D398" s="3"/>
      <c r="G398" s="3"/>
      <c r="J398" s="3"/>
    </row>
    <row r="399">
      <c r="D399" s="3"/>
      <c r="G399" s="3"/>
      <c r="J399" s="3"/>
    </row>
    <row r="400">
      <c r="D400" s="3"/>
      <c r="G400" s="3"/>
      <c r="J400" s="3"/>
    </row>
    <row r="401">
      <c r="D401" s="3"/>
      <c r="G401" s="3"/>
      <c r="J401" s="3"/>
    </row>
    <row r="402">
      <c r="D402" s="3"/>
      <c r="G402" s="3"/>
      <c r="J402" s="3"/>
    </row>
    <row r="403">
      <c r="D403" s="3"/>
      <c r="G403" s="3"/>
      <c r="J403" s="3"/>
    </row>
    <row r="404">
      <c r="D404" s="3"/>
      <c r="G404" s="3"/>
      <c r="J404" s="3"/>
    </row>
    <row r="405">
      <c r="D405" s="3"/>
      <c r="G405" s="3"/>
      <c r="J405" s="3"/>
    </row>
    <row r="406">
      <c r="D406" s="3"/>
      <c r="G406" s="3"/>
      <c r="J406" s="3"/>
    </row>
    <row r="407">
      <c r="D407" s="3"/>
      <c r="G407" s="3"/>
      <c r="J407" s="3"/>
    </row>
    <row r="408">
      <c r="D408" s="3"/>
      <c r="G408" s="3"/>
      <c r="J408" s="3"/>
    </row>
    <row r="409">
      <c r="D409" s="3"/>
      <c r="G409" s="3"/>
      <c r="J409" s="3"/>
    </row>
    <row r="410">
      <c r="D410" s="3"/>
      <c r="G410" s="3"/>
      <c r="J410" s="3"/>
    </row>
    <row r="411">
      <c r="D411" s="3"/>
      <c r="G411" s="3"/>
      <c r="J411" s="3"/>
    </row>
    <row r="412">
      <c r="D412" s="3"/>
      <c r="G412" s="3"/>
      <c r="J412" s="3"/>
    </row>
    <row r="413">
      <c r="D413" s="3"/>
      <c r="G413" s="3"/>
      <c r="J413" s="3"/>
    </row>
    <row r="414">
      <c r="D414" s="3"/>
      <c r="G414" s="3"/>
      <c r="J414" s="3"/>
    </row>
    <row r="415">
      <c r="D415" s="3"/>
      <c r="G415" s="3"/>
      <c r="J415" s="3"/>
    </row>
    <row r="416">
      <c r="D416" s="3"/>
      <c r="G416" s="3"/>
      <c r="J416" s="3"/>
    </row>
    <row r="417">
      <c r="D417" s="3"/>
      <c r="G417" s="3"/>
      <c r="J417" s="3"/>
    </row>
    <row r="418">
      <c r="D418" s="3"/>
      <c r="G418" s="3"/>
      <c r="J418" s="3"/>
    </row>
    <row r="419">
      <c r="D419" s="3"/>
      <c r="G419" s="3"/>
      <c r="J419" s="3"/>
    </row>
    <row r="420">
      <c r="D420" s="3"/>
      <c r="G420" s="3"/>
      <c r="J420" s="3"/>
    </row>
    <row r="421">
      <c r="D421" s="3"/>
      <c r="G421" s="3"/>
      <c r="J421" s="3"/>
    </row>
    <row r="422">
      <c r="D422" s="3"/>
      <c r="G422" s="3"/>
      <c r="J422" s="3"/>
    </row>
    <row r="423">
      <c r="D423" s="3"/>
      <c r="G423" s="3"/>
      <c r="J423" s="3"/>
    </row>
    <row r="424">
      <c r="D424" s="3"/>
      <c r="G424" s="3"/>
      <c r="J424" s="3"/>
    </row>
    <row r="425">
      <c r="D425" s="3"/>
      <c r="G425" s="3"/>
      <c r="J425" s="3"/>
    </row>
    <row r="426">
      <c r="D426" s="3"/>
      <c r="G426" s="3"/>
      <c r="J426" s="3"/>
    </row>
    <row r="427">
      <c r="D427" s="3"/>
      <c r="G427" s="3"/>
      <c r="J427" s="3"/>
    </row>
    <row r="428">
      <c r="D428" s="3"/>
      <c r="G428" s="3"/>
      <c r="J428" s="3"/>
    </row>
    <row r="429">
      <c r="D429" s="3"/>
      <c r="G429" s="3"/>
      <c r="J429" s="3"/>
    </row>
    <row r="430">
      <c r="D430" s="3"/>
      <c r="G430" s="3"/>
      <c r="J430" s="3"/>
    </row>
    <row r="431">
      <c r="D431" s="3"/>
      <c r="G431" s="3"/>
      <c r="J431" s="3"/>
    </row>
    <row r="432">
      <c r="D432" s="3"/>
      <c r="G432" s="3"/>
      <c r="J432" s="3"/>
    </row>
    <row r="433">
      <c r="D433" s="3"/>
      <c r="G433" s="3"/>
      <c r="J433" s="3"/>
    </row>
    <row r="434">
      <c r="D434" s="3"/>
      <c r="G434" s="3"/>
      <c r="J434" s="3"/>
    </row>
    <row r="435">
      <c r="D435" s="3"/>
      <c r="G435" s="3"/>
      <c r="J435" s="3"/>
    </row>
    <row r="436">
      <c r="D436" s="3"/>
      <c r="G436" s="3"/>
      <c r="J436" s="3"/>
    </row>
    <row r="437">
      <c r="D437" s="3"/>
      <c r="G437" s="3"/>
      <c r="J437" s="3"/>
    </row>
    <row r="438">
      <c r="D438" s="3"/>
      <c r="G438" s="3"/>
      <c r="J438" s="3"/>
    </row>
    <row r="439">
      <c r="D439" s="3"/>
      <c r="G439" s="3"/>
      <c r="J439" s="3"/>
    </row>
    <row r="440">
      <c r="D440" s="3"/>
      <c r="G440" s="3"/>
      <c r="J440" s="3"/>
    </row>
    <row r="441">
      <c r="D441" s="3"/>
      <c r="G441" s="3"/>
      <c r="J441" s="3"/>
    </row>
    <row r="442">
      <c r="D442" s="3"/>
      <c r="G442" s="3"/>
      <c r="J442" s="3"/>
    </row>
    <row r="443">
      <c r="D443" s="3"/>
      <c r="G443" s="3"/>
      <c r="J443" s="3"/>
    </row>
    <row r="444">
      <c r="D444" s="3"/>
      <c r="G444" s="3"/>
      <c r="J444" s="3"/>
    </row>
    <row r="445">
      <c r="D445" s="3"/>
      <c r="G445" s="3"/>
      <c r="J445" s="3"/>
    </row>
    <row r="446">
      <c r="D446" s="3"/>
      <c r="G446" s="3"/>
      <c r="J446" s="3"/>
    </row>
    <row r="447">
      <c r="D447" s="3"/>
      <c r="G447" s="3"/>
      <c r="J447" s="3"/>
    </row>
    <row r="448">
      <c r="D448" s="3"/>
      <c r="G448" s="3"/>
      <c r="J448" s="3"/>
    </row>
    <row r="449">
      <c r="D449" s="3"/>
      <c r="G449" s="3"/>
      <c r="J449" s="3"/>
    </row>
    <row r="450">
      <c r="D450" s="3"/>
      <c r="G450" s="3"/>
      <c r="J450" s="3"/>
    </row>
    <row r="451">
      <c r="D451" s="3"/>
      <c r="G451" s="3"/>
      <c r="J451" s="3"/>
    </row>
    <row r="452">
      <c r="D452" s="3"/>
      <c r="G452" s="3"/>
      <c r="J452" s="3"/>
    </row>
    <row r="453">
      <c r="D453" s="3"/>
      <c r="G453" s="3"/>
      <c r="J453" s="3"/>
    </row>
    <row r="454">
      <c r="D454" s="3"/>
      <c r="G454" s="3"/>
      <c r="J454" s="3"/>
    </row>
    <row r="455">
      <c r="D455" s="3"/>
      <c r="G455" s="3"/>
      <c r="J455" s="3"/>
    </row>
    <row r="456">
      <c r="D456" s="3"/>
      <c r="G456" s="3"/>
      <c r="J456" s="3"/>
    </row>
    <row r="457">
      <c r="D457" s="3"/>
      <c r="G457" s="3"/>
      <c r="J457" s="3"/>
    </row>
    <row r="458">
      <c r="D458" s="3"/>
      <c r="G458" s="3"/>
      <c r="J458" s="3"/>
    </row>
    <row r="459">
      <c r="D459" s="3"/>
      <c r="G459" s="3"/>
      <c r="J459" s="3"/>
    </row>
    <row r="460">
      <c r="D460" s="3"/>
      <c r="G460" s="3"/>
      <c r="J460" s="3"/>
    </row>
    <row r="461">
      <c r="D461" s="3"/>
      <c r="G461" s="3"/>
      <c r="J461" s="3"/>
    </row>
    <row r="462">
      <c r="D462" s="3"/>
      <c r="G462" s="3"/>
      <c r="J462" s="3"/>
    </row>
    <row r="463">
      <c r="D463" s="3"/>
      <c r="G463" s="3"/>
      <c r="J463" s="3"/>
    </row>
    <row r="464">
      <c r="D464" s="3"/>
      <c r="G464" s="3"/>
      <c r="J464" s="3"/>
    </row>
    <row r="465">
      <c r="D465" s="3"/>
      <c r="G465" s="3"/>
      <c r="J465" s="3"/>
    </row>
    <row r="466">
      <c r="D466" s="3"/>
      <c r="G466" s="3"/>
      <c r="J466" s="3"/>
    </row>
    <row r="467">
      <c r="D467" s="3"/>
      <c r="G467" s="3"/>
      <c r="J467" s="3"/>
    </row>
    <row r="468">
      <c r="D468" s="3"/>
      <c r="G468" s="3"/>
      <c r="J468" s="3"/>
    </row>
    <row r="469">
      <c r="D469" s="3"/>
      <c r="G469" s="3"/>
      <c r="J469" s="3"/>
    </row>
    <row r="470">
      <c r="D470" s="3"/>
      <c r="G470" s="3"/>
      <c r="J470" s="3"/>
    </row>
    <row r="471">
      <c r="D471" s="3"/>
      <c r="G471" s="3"/>
      <c r="J471" s="3"/>
    </row>
    <row r="472">
      <c r="D472" s="3"/>
      <c r="G472" s="3"/>
      <c r="J472" s="3"/>
    </row>
    <row r="473">
      <c r="D473" s="3"/>
      <c r="G473" s="3"/>
      <c r="J473" s="3"/>
    </row>
    <row r="474">
      <c r="D474" s="3"/>
      <c r="G474" s="3"/>
      <c r="J474" s="3"/>
    </row>
    <row r="475">
      <c r="D475" s="3"/>
      <c r="G475" s="3"/>
      <c r="J475" s="3"/>
    </row>
    <row r="476">
      <c r="D476" s="3"/>
      <c r="G476" s="3"/>
      <c r="J476" s="3"/>
    </row>
    <row r="477">
      <c r="D477" s="3"/>
      <c r="G477" s="3"/>
      <c r="J477" s="3"/>
    </row>
    <row r="478">
      <c r="D478" s="3"/>
      <c r="G478" s="3"/>
      <c r="J478" s="3"/>
    </row>
    <row r="479">
      <c r="D479" s="3"/>
      <c r="G479" s="3"/>
      <c r="J479" s="3"/>
    </row>
    <row r="480">
      <c r="D480" s="3"/>
      <c r="G480" s="3"/>
      <c r="J480" s="3"/>
    </row>
    <row r="481">
      <c r="D481" s="3"/>
      <c r="G481" s="3"/>
      <c r="J481" s="3"/>
    </row>
    <row r="482">
      <c r="D482" s="3"/>
      <c r="G482" s="3"/>
      <c r="J482" s="3"/>
    </row>
    <row r="483">
      <c r="D483" s="3"/>
      <c r="G483" s="3"/>
      <c r="J483" s="3"/>
    </row>
    <row r="484">
      <c r="D484" s="3"/>
      <c r="G484" s="3"/>
      <c r="J484" s="3"/>
    </row>
    <row r="485">
      <c r="D485" s="3"/>
      <c r="G485" s="3"/>
      <c r="J485" s="3"/>
    </row>
    <row r="486">
      <c r="D486" s="3"/>
      <c r="G486" s="3"/>
      <c r="J486" s="3"/>
    </row>
    <row r="487">
      <c r="D487" s="3"/>
      <c r="G487" s="3"/>
      <c r="J487" s="3"/>
    </row>
    <row r="488">
      <c r="D488" s="3"/>
      <c r="G488" s="3"/>
      <c r="J488" s="3"/>
    </row>
    <row r="489">
      <c r="D489" s="3"/>
      <c r="G489" s="3"/>
      <c r="J489" s="3"/>
    </row>
    <row r="490">
      <c r="D490" s="3"/>
      <c r="G490" s="3"/>
      <c r="J490" s="3"/>
    </row>
    <row r="491">
      <c r="D491" s="3"/>
      <c r="G491" s="3"/>
      <c r="J491" s="3"/>
    </row>
    <row r="492">
      <c r="D492" s="3"/>
      <c r="G492" s="3"/>
      <c r="J492" s="3"/>
    </row>
    <row r="493">
      <c r="D493" s="3"/>
      <c r="G493" s="3"/>
      <c r="J493" s="3"/>
    </row>
    <row r="494">
      <c r="D494" s="3"/>
      <c r="G494" s="3"/>
      <c r="J494" s="3"/>
    </row>
    <row r="495">
      <c r="D495" s="3"/>
      <c r="G495" s="3"/>
      <c r="J495" s="3"/>
    </row>
    <row r="496">
      <c r="D496" s="3"/>
      <c r="G496" s="3"/>
      <c r="J496" s="3"/>
    </row>
    <row r="497">
      <c r="D497" s="3"/>
      <c r="G497" s="3"/>
      <c r="J497" s="3"/>
    </row>
    <row r="498">
      <c r="D498" s="3"/>
      <c r="G498" s="3"/>
      <c r="J498" s="3"/>
    </row>
    <row r="499">
      <c r="D499" s="3"/>
      <c r="G499" s="3"/>
      <c r="J499" s="3"/>
    </row>
    <row r="500">
      <c r="D500" s="3"/>
      <c r="G500" s="3"/>
      <c r="J500" s="3"/>
    </row>
    <row r="501">
      <c r="D501" s="3"/>
      <c r="G501" s="3"/>
      <c r="J501" s="3"/>
    </row>
    <row r="502">
      <c r="D502" s="3"/>
      <c r="G502" s="3"/>
      <c r="J502" s="3"/>
    </row>
    <row r="503">
      <c r="D503" s="3"/>
      <c r="G503" s="3"/>
      <c r="J503" s="3"/>
    </row>
    <row r="504">
      <c r="D504" s="3"/>
      <c r="G504" s="3"/>
      <c r="J504" s="3"/>
    </row>
    <row r="505">
      <c r="D505" s="3"/>
      <c r="G505" s="3"/>
      <c r="J505" s="3"/>
    </row>
    <row r="506">
      <c r="D506" s="3"/>
      <c r="G506" s="3"/>
      <c r="J506" s="3"/>
    </row>
    <row r="507">
      <c r="D507" s="3"/>
      <c r="G507" s="3"/>
      <c r="J507" s="3"/>
    </row>
    <row r="508">
      <c r="D508" s="3"/>
      <c r="G508" s="3"/>
      <c r="J508" s="3"/>
    </row>
    <row r="509">
      <c r="D509" s="3"/>
      <c r="G509" s="3"/>
      <c r="J509" s="3"/>
    </row>
    <row r="510">
      <c r="D510" s="3"/>
      <c r="G510" s="3"/>
      <c r="J510" s="3"/>
    </row>
    <row r="511">
      <c r="D511" s="3"/>
      <c r="G511" s="3"/>
      <c r="J511" s="3"/>
    </row>
    <row r="512">
      <c r="D512" s="3"/>
      <c r="G512" s="3"/>
      <c r="J512" s="3"/>
    </row>
    <row r="513">
      <c r="D513" s="3"/>
      <c r="G513" s="3"/>
      <c r="J513" s="3"/>
    </row>
    <row r="514">
      <c r="D514" s="3"/>
      <c r="G514" s="3"/>
      <c r="J514" s="3"/>
    </row>
    <row r="515">
      <c r="D515" s="3"/>
      <c r="G515" s="3"/>
      <c r="J515" s="3"/>
    </row>
    <row r="516">
      <c r="D516" s="3"/>
      <c r="G516" s="3"/>
      <c r="J516" s="3"/>
    </row>
    <row r="517">
      <c r="D517" s="3"/>
      <c r="G517" s="3"/>
      <c r="J517" s="3"/>
    </row>
    <row r="518">
      <c r="D518" s="3"/>
      <c r="G518" s="3"/>
      <c r="J518" s="3"/>
    </row>
    <row r="519">
      <c r="D519" s="3"/>
      <c r="G519" s="3"/>
      <c r="J519" s="3"/>
    </row>
    <row r="520">
      <c r="D520" s="3"/>
      <c r="G520" s="3"/>
      <c r="J520" s="3"/>
    </row>
    <row r="521">
      <c r="D521" s="3"/>
      <c r="G521" s="3"/>
      <c r="J521" s="3"/>
    </row>
    <row r="522">
      <c r="D522" s="3"/>
      <c r="G522" s="3"/>
      <c r="J522" s="3"/>
    </row>
    <row r="523">
      <c r="D523" s="3"/>
      <c r="G523" s="3"/>
      <c r="J523" s="3"/>
    </row>
    <row r="524">
      <c r="D524" s="3"/>
      <c r="G524" s="3"/>
      <c r="J524" s="3"/>
    </row>
    <row r="525">
      <c r="D525" s="3"/>
      <c r="G525" s="3"/>
      <c r="J525" s="3"/>
    </row>
    <row r="526">
      <c r="D526" s="3"/>
      <c r="G526" s="3"/>
      <c r="J526" s="3"/>
    </row>
    <row r="527">
      <c r="D527" s="3"/>
      <c r="G527" s="3"/>
      <c r="J527" s="3"/>
    </row>
    <row r="528">
      <c r="D528" s="3"/>
      <c r="G528" s="3"/>
      <c r="J528" s="3"/>
    </row>
    <row r="529">
      <c r="D529" s="3"/>
      <c r="G529" s="3"/>
      <c r="J529" s="3"/>
    </row>
    <row r="530">
      <c r="D530" s="3"/>
      <c r="G530" s="3"/>
      <c r="J530" s="3"/>
    </row>
    <row r="531">
      <c r="D531" s="3"/>
      <c r="G531" s="3"/>
      <c r="J531" s="3"/>
    </row>
    <row r="532">
      <c r="D532" s="3"/>
      <c r="G532" s="3"/>
      <c r="J532" s="3"/>
    </row>
    <row r="533">
      <c r="D533" s="3"/>
      <c r="G533" s="3"/>
      <c r="J533" s="3"/>
    </row>
    <row r="534">
      <c r="D534" s="3"/>
      <c r="G534" s="3"/>
      <c r="J534" s="3"/>
    </row>
    <row r="535">
      <c r="D535" s="3"/>
      <c r="G535" s="3"/>
      <c r="J535" s="3"/>
    </row>
    <row r="536">
      <c r="D536" s="3"/>
      <c r="G536" s="3"/>
      <c r="J536" s="3"/>
    </row>
    <row r="537">
      <c r="D537" s="3"/>
      <c r="G537" s="3"/>
      <c r="J537" s="3"/>
    </row>
    <row r="538">
      <c r="D538" s="3"/>
      <c r="G538" s="3"/>
      <c r="J538" s="3"/>
    </row>
    <row r="539">
      <c r="D539" s="3"/>
      <c r="G539" s="3"/>
      <c r="J539" s="3"/>
    </row>
    <row r="540">
      <c r="D540" s="3"/>
      <c r="G540" s="3"/>
      <c r="J540" s="3"/>
    </row>
    <row r="541">
      <c r="D541" s="3"/>
      <c r="G541" s="3"/>
      <c r="J541" s="3"/>
    </row>
    <row r="542">
      <c r="D542" s="3"/>
      <c r="G542" s="3"/>
      <c r="J542" s="3"/>
    </row>
    <row r="543">
      <c r="D543" s="3"/>
      <c r="G543" s="3"/>
      <c r="J543" s="3"/>
    </row>
    <row r="544">
      <c r="D544" s="3"/>
      <c r="G544" s="3"/>
      <c r="J544" s="3"/>
    </row>
    <row r="545">
      <c r="D545" s="3"/>
      <c r="G545" s="3"/>
      <c r="J545" s="3"/>
    </row>
    <row r="546">
      <c r="D546" s="3"/>
      <c r="G546" s="3"/>
      <c r="J546" s="3"/>
    </row>
    <row r="547">
      <c r="D547" s="3"/>
      <c r="G547" s="3"/>
      <c r="J547" s="3"/>
    </row>
    <row r="548">
      <c r="D548" s="3"/>
      <c r="G548" s="3"/>
      <c r="J548" s="3"/>
    </row>
    <row r="549">
      <c r="D549" s="3"/>
      <c r="G549" s="3"/>
      <c r="J549" s="3"/>
    </row>
    <row r="550">
      <c r="D550" s="3"/>
      <c r="G550" s="3"/>
      <c r="J550" s="3"/>
    </row>
    <row r="551">
      <c r="D551" s="3"/>
      <c r="G551" s="3"/>
      <c r="J551" s="3"/>
    </row>
    <row r="552">
      <c r="D552" s="3"/>
      <c r="G552" s="3"/>
      <c r="J552" s="3"/>
    </row>
    <row r="553">
      <c r="D553" s="3"/>
      <c r="G553" s="3"/>
      <c r="J553" s="3"/>
    </row>
    <row r="554">
      <c r="D554" s="3"/>
      <c r="G554" s="3"/>
      <c r="J554" s="3"/>
    </row>
    <row r="555">
      <c r="D555" s="3"/>
      <c r="G555" s="3"/>
      <c r="J555" s="3"/>
    </row>
    <row r="556">
      <c r="D556" s="3"/>
      <c r="G556" s="3"/>
      <c r="J556" s="3"/>
    </row>
    <row r="557">
      <c r="D557" s="3"/>
      <c r="G557" s="3"/>
      <c r="J557" s="3"/>
    </row>
    <row r="558">
      <c r="D558" s="3"/>
      <c r="G558" s="3"/>
      <c r="J558" s="3"/>
    </row>
    <row r="559">
      <c r="D559" s="3"/>
      <c r="G559" s="3"/>
      <c r="J559" s="3"/>
    </row>
    <row r="560">
      <c r="D560" s="3"/>
      <c r="G560" s="3"/>
      <c r="J560" s="3"/>
    </row>
    <row r="561">
      <c r="D561" s="3"/>
      <c r="G561" s="3"/>
      <c r="J561" s="3"/>
    </row>
    <row r="562">
      <c r="D562" s="3"/>
      <c r="G562" s="3"/>
      <c r="J562" s="3"/>
    </row>
    <row r="563">
      <c r="D563" s="3"/>
      <c r="G563" s="3"/>
      <c r="J563" s="3"/>
    </row>
    <row r="564">
      <c r="D564" s="3"/>
      <c r="G564" s="3"/>
      <c r="J564" s="3"/>
    </row>
    <row r="565">
      <c r="D565" s="3"/>
      <c r="G565" s="3"/>
      <c r="J565" s="3"/>
    </row>
    <row r="566">
      <c r="D566" s="3"/>
      <c r="G566" s="3"/>
      <c r="J566" s="3"/>
    </row>
    <row r="567">
      <c r="D567" s="3"/>
      <c r="G567" s="3"/>
      <c r="J567" s="3"/>
    </row>
    <row r="568">
      <c r="D568" s="3"/>
      <c r="G568" s="3"/>
      <c r="J568" s="3"/>
    </row>
    <row r="569">
      <c r="D569" s="3"/>
      <c r="G569" s="3"/>
      <c r="J569" s="3"/>
    </row>
    <row r="570">
      <c r="D570" s="3"/>
      <c r="G570" s="3"/>
      <c r="J570" s="3"/>
    </row>
    <row r="571">
      <c r="D571" s="3"/>
      <c r="G571" s="3"/>
      <c r="J571" s="3"/>
    </row>
    <row r="572">
      <c r="D572" s="3"/>
      <c r="G572" s="3"/>
      <c r="J572" s="3"/>
    </row>
    <row r="573">
      <c r="D573" s="3"/>
      <c r="G573" s="3"/>
      <c r="J573" s="3"/>
    </row>
    <row r="574">
      <c r="D574" s="3"/>
      <c r="G574" s="3"/>
      <c r="J574" s="3"/>
    </row>
    <row r="575">
      <c r="D575" s="3"/>
      <c r="G575" s="3"/>
      <c r="J575" s="3"/>
    </row>
    <row r="576">
      <c r="D576" s="3"/>
      <c r="G576" s="3"/>
      <c r="J576" s="3"/>
    </row>
    <row r="577">
      <c r="D577" s="3"/>
      <c r="G577" s="3"/>
      <c r="J577" s="3"/>
    </row>
    <row r="578">
      <c r="D578" s="3"/>
      <c r="G578" s="3"/>
      <c r="J578" s="3"/>
    </row>
    <row r="579">
      <c r="D579" s="3"/>
      <c r="G579" s="3"/>
      <c r="J579" s="3"/>
    </row>
    <row r="580">
      <c r="D580" s="3"/>
      <c r="G580" s="3"/>
      <c r="J580" s="3"/>
    </row>
    <row r="581">
      <c r="D581" s="3"/>
      <c r="G581" s="3"/>
      <c r="J581" s="3"/>
    </row>
    <row r="582">
      <c r="D582" s="3"/>
      <c r="G582" s="3"/>
      <c r="J582" s="3"/>
    </row>
    <row r="583">
      <c r="D583" s="3"/>
      <c r="G583" s="3"/>
      <c r="J583" s="3"/>
    </row>
    <row r="584">
      <c r="D584" s="3"/>
      <c r="G584" s="3"/>
      <c r="J584" s="3"/>
    </row>
    <row r="585">
      <c r="D585" s="3"/>
      <c r="G585" s="3"/>
      <c r="J585" s="3"/>
    </row>
    <row r="586">
      <c r="D586" s="3"/>
      <c r="G586" s="3"/>
      <c r="J586" s="3"/>
    </row>
    <row r="587">
      <c r="D587" s="3"/>
      <c r="G587" s="3"/>
      <c r="J587" s="3"/>
    </row>
    <row r="588">
      <c r="D588" s="3"/>
      <c r="G588" s="3"/>
      <c r="J588" s="3"/>
    </row>
    <row r="589">
      <c r="D589" s="3"/>
      <c r="G589" s="3"/>
      <c r="J589" s="3"/>
    </row>
    <row r="590">
      <c r="D590" s="3"/>
      <c r="G590" s="3"/>
      <c r="J590" s="3"/>
    </row>
    <row r="591">
      <c r="D591" s="3"/>
      <c r="G591" s="3"/>
      <c r="J591" s="3"/>
    </row>
    <row r="592">
      <c r="D592" s="3"/>
      <c r="G592" s="3"/>
      <c r="J592" s="3"/>
    </row>
    <row r="593">
      <c r="D593" s="3"/>
      <c r="G593" s="3"/>
      <c r="J593" s="3"/>
    </row>
    <row r="594">
      <c r="D594" s="3"/>
      <c r="G594" s="3"/>
      <c r="J594" s="3"/>
    </row>
    <row r="595">
      <c r="D595" s="3"/>
      <c r="G595" s="3"/>
      <c r="J595" s="3"/>
    </row>
    <row r="596">
      <c r="D596" s="3"/>
      <c r="G596" s="3"/>
      <c r="J596" s="3"/>
    </row>
    <row r="597">
      <c r="D597" s="3"/>
      <c r="G597" s="3"/>
      <c r="J597" s="3"/>
    </row>
    <row r="598">
      <c r="D598" s="3"/>
      <c r="G598" s="3"/>
      <c r="J598" s="3"/>
    </row>
    <row r="599">
      <c r="D599" s="3"/>
      <c r="G599" s="3"/>
      <c r="J599" s="3"/>
    </row>
    <row r="600">
      <c r="D600" s="3"/>
      <c r="G600" s="3"/>
      <c r="J600" s="3"/>
    </row>
    <row r="601">
      <c r="D601" s="3"/>
      <c r="G601" s="3"/>
      <c r="J601" s="3"/>
    </row>
    <row r="602">
      <c r="D602" s="3"/>
      <c r="G602" s="3"/>
      <c r="J602" s="3"/>
    </row>
    <row r="603">
      <c r="D603" s="3"/>
      <c r="G603" s="3"/>
      <c r="J603" s="3"/>
    </row>
    <row r="604">
      <c r="D604" s="3"/>
      <c r="G604" s="3"/>
      <c r="J604" s="3"/>
    </row>
    <row r="605">
      <c r="D605" s="3"/>
      <c r="G605" s="3"/>
      <c r="J605" s="3"/>
    </row>
    <row r="606">
      <c r="D606" s="3"/>
      <c r="G606" s="3"/>
      <c r="J606" s="3"/>
    </row>
    <row r="607">
      <c r="D607" s="3"/>
      <c r="G607" s="3"/>
      <c r="J607" s="3"/>
    </row>
    <row r="608">
      <c r="D608" s="3"/>
      <c r="G608" s="3"/>
      <c r="J608" s="3"/>
    </row>
    <row r="609">
      <c r="D609" s="3"/>
      <c r="G609" s="3"/>
      <c r="J609" s="3"/>
    </row>
    <row r="610">
      <c r="D610" s="3"/>
      <c r="G610" s="3"/>
      <c r="J610" s="3"/>
    </row>
    <row r="611">
      <c r="D611" s="3"/>
      <c r="G611" s="3"/>
      <c r="J611" s="3"/>
    </row>
    <row r="612">
      <c r="D612" s="3"/>
      <c r="G612" s="3"/>
      <c r="J612" s="3"/>
    </row>
    <row r="613">
      <c r="D613" s="3"/>
      <c r="G613" s="3"/>
      <c r="J613" s="3"/>
    </row>
    <row r="614">
      <c r="D614" s="3"/>
      <c r="G614" s="3"/>
      <c r="J614" s="3"/>
    </row>
    <row r="615">
      <c r="D615" s="3"/>
      <c r="G615" s="3"/>
      <c r="J615" s="3"/>
    </row>
    <row r="616">
      <c r="D616" s="3"/>
      <c r="G616" s="3"/>
      <c r="J616" s="3"/>
    </row>
    <row r="617">
      <c r="D617" s="3"/>
      <c r="G617" s="3"/>
      <c r="J617" s="3"/>
    </row>
    <row r="618">
      <c r="D618" s="3"/>
      <c r="G618" s="3"/>
      <c r="J618" s="3"/>
    </row>
    <row r="619">
      <c r="D619" s="3"/>
      <c r="G619" s="3"/>
      <c r="J619" s="3"/>
    </row>
    <row r="620">
      <c r="D620" s="3"/>
      <c r="G620" s="3"/>
      <c r="J620" s="3"/>
    </row>
    <row r="621">
      <c r="D621" s="3"/>
      <c r="G621" s="3"/>
      <c r="J621" s="3"/>
    </row>
    <row r="622">
      <c r="D622" s="3"/>
      <c r="G622" s="3"/>
      <c r="J622" s="3"/>
    </row>
    <row r="623">
      <c r="D623" s="3"/>
      <c r="G623" s="3"/>
      <c r="J623" s="3"/>
    </row>
    <row r="624">
      <c r="D624" s="3"/>
      <c r="G624" s="3"/>
      <c r="J624" s="3"/>
    </row>
    <row r="625">
      <c r="D625" s="3"/>
      <c r="G625" s="3"/>
      <c r="J625" s="3"/>
    </row>
    <row r="626">
      <c r="D626" s="3"/>
      <c r="G626" s="3"/>
      <c r="J626" s="3"/>
    </row>
    <row r="627">
      <c r="D627" s="3"/>
      <c r="G627" s="3"/>
      <c r="J627" s="3"/>
    </row>
    <row r="628">
      <c r="D628" s="3"/>
      <c r="G628" s="3"/>
      <c r="J628" s="3"/>
    </row>
    <row r="629">
      <c r="D629" s="3"/>
      <c r="G629" s="3"/>
      <c r="J629" s="3"/>
    </row>
    <row r="630">
      <c r="D630" s="3"/>
      <c r="G630" s="3"/>
      <c r="J630" s="3"/>
    </row>
    <row r="631">
      <c r="D631" s="3"/>
      <c r="G631" s="3"/>
      <c r="J631" s="3"/>
    </row>
    <row r="632">
      <c r="D632" s="3"/>
      <c r="G632" s="3"/>
      <c r="J632" s="3"/>
    </row>
    <row r="633">
      <c r="D633" s="3"/>
      <c r="G633" s="3"/>
      <c r="J633" s="3"/>
    </row>
    <row r="634">
      <c r="D634" s="3"/>
      <c r="G634" s="3"/>
      <c r="J634" s="3"/>
    </row>
    <row r="635">
      <c r="D635" s="3"/>
      <c r="G635" s="3"/>
      <c r="J635" s="3"/>
    </row>
    <row r="636">
      <c r="D636" s="3"/>
      <c r="G636" s="3"/>
      <c r="J636" s="3"/>
    </row>
    <row r="637">
      <c r="D637" s="3"/>
      <c r="G637" s="3"/>
      <c r="J637" s="3"/>
    </row>
    <row r="638">
      <c r="D638" s="3"/>
      <c r="G638" s="3"/>
      <c r="J638" s="3"/>
    </row>
    <row r="639">
      <c r="D639" s="3"/>
      <c r="G639" s="3"/>
      <c r="J639" s="3"/>
    </row>
    <row r="640">
      <c r="D640" s="3"/>
      <c r="G640" s="3"/>
      <c r="J640" s="3"/>
    </row>
    <row r="641">
      <c r="D641" s="3"/>
      <c r="G641" s="3"/>
      <c r="J641" s="3"/>
    </row>
    <row r="642">
      <c r="D642" s="3"/>
      <c r="G642" s="3"/>
      <c r="J642" s="3"/>
    </row>
    <row r="643">
      <c r="D643" s="3"/>
      <c r="G643" s="3"/>
      <c r="J643" s="3"/>
    </row>
    <row r="644">
      <c r="D644" s="3"/>
      <c r="G644" s="3"/>
      <c r="J644" s="3"/>
    </row>
    <row r="645">
      <c r="D645" s="3"/>
      <c r="G645" s="3"/>
      <c r="J645" s="3"/>
    </row>
    <row r="646">
      <c r="D646" s="3"/>
      <c r="G646" s="3"/>
      <c r="J646" s="3"/>
    </row>
    <row r="647">
      <c r="D647" s="3"/>
      <c r="G647" s="3"/>
      <c r="J647" s="3"/>
    </row>
    <row r="648">
      <c r="D648" s="3"/>
      <c r="G648" s="3"/>
      <c r="J648" s="3"/>
    </row>
    <row r="649">
      <c r="D649" s="3"/>
      <c r="G649" s="3"/>
      <c r="J649" s="3"/>
    </row>
    <row r="650">
      <c r="D650" s="3"/>
      <c r="G650" s="3"/>
      <c r="J650" s="3"/>
    </row>
    <row r="651">
      <c r="D651" s="3"/>
      <c r="G651" s="3"/>
      <c r="J651" s="3"/>
    </row>
    <row r="652">
      <c r="D652" s="3"/>
      <c r="G652" s="3"/>
      <c r="J652" s="3"/>
    </row>
    <row r="653">
      <c r="D653" s="3"/>
      <c r="G653" s="3"/>
      <c r="J653" s="3"/>
    </row>
    <row r="654">
      <c r="D654" s="3"/>
      <c r="G654" s="3"/>
      <c r="J654" s="3"/>
    </row>
    <row r="655">
      <c r="D655" s="3"/>
      <c r="G655" s="3"/>
      <c r="J655" s="3"/>
    </row>
    <row r="656">
      <c r="D656" s="3"/>
      <c r="G656" s="3"/>
      <c r="J656" s="3"/>
    </row>
    <row r="657">
      <c r="D657" s="3"/>
      <c r="G657" s="3"/>
      <c r="J657" s="3"/>
    </row>
    <row r="658">
      <c r="D658" s="3"/>
      <c r="G658" s="3"/>
      <c r="J658" s="3"/>
    </row>
    <row r="659">
      <c r="D659" s="3"/>
      <c r="G659" s="3"/>
      <c r="J659" s="3"/>
    </row>
    <row r="660">
      <c r="D660" s="3"/>
      <c r="G660" s="3"/>
      <c r="J660" s="3"/>
    </row>
    <row r="661">
      <c r="D661" s="3"/>
      <c r="G661" s="3"/>
      <c r="J661" s="3"/>
    </row>
    <row r="662">
      <c r="D662" s="3"/>
      <c r="G662" s="3"/>
      <c r="J662" s="3"/>
    </row>
    <row r="663">
      <c r="D663" s="3"/>
      <c r="G663" s="3"/>
      <c r="J663" s="3"/>
    </row>
    <row r="664">
      <c r="D664" s="3"/>
      <c r="G664" s="3"/>
      <c r="J664" s="3"/>
    </row>
    <row r="665">
      <c r="D665" s="3"/>
      <c r="G665" s="3"/>
      <c r="J665" s="3"/>
    </row>
    <row r="666">
      <c r="D666" s="3"/>
      <c r="G666" s="3"/>
      <c r="J666" s="3"/>
    </row>
    <row r="667">
      <c r="D667" s="3"/>
      <c r="G667" s="3"/>
      <c r="J667" s="3"/>
    </row>
    <row r="668">
      <c r="D668" s="3"/>
      <c r="G668" s="3"/>
      <c r="J668" s="3"/>
    </row>
    <row r="669">
      <c r="D669" s="3"/>
      <c r="G669" s="3"/>
      <c r="J669" s="3"/>
    </row>
    <row r="670">
      <c r="D670" s="3"/>
      <c r="G670" s="3"/>
      <c r="J670" s="3"/>
    </row>
    <row r="671">
      <c r="D671" s="3"/>
      <c r="G671" s="3"/>
      <c r="J671" s="3"/>
    </row>
    <row r="672">
      <c r="D672" s="3"/>
      <c r="G672" s="3"/>
      <c r="J672" s="3"/>
    </row>
    <row r="673">
      <c r="D673" s="3"/>
      <c r="G673" s="3"/>
      <c r="J673" s="3"/>
    </row>
    <row r="674">
      <c r="D674" s="3"/>
      <c r="G674" s="3"/>
      <c r="J674" s="3"/>
    </row>
    <row r="675">
      <c r="D675" s="3"/>
      <c r="G675" s="3"/>
      <c r="J675" s="3"/>
    </row>
    <row r="676">
      <c r="D676" s="3"/>
      <c r="G676" s="3"/>
      <c r="J676" s="3"/>
    </row>
    <row r="677">
      <c r="D677" s="3"/>
      <c r="G677" s="3"/>
      <c r="J677" s="3"/>
    </row>
    <row r="678">
      <c r="D678" s="3"/>
      <c r="G678" s="3"/>
      <c r="J678" s="3"/>
    </row>
    <row r="679">
      <c r="D679" s="3"/>
      <c r="G679" s="3"/>
      <c r="J679" s="3"/>
    </row>
    <row r="680">
      <c r="D680" s="3"/>
      <c r="G680" s="3"/>
      <c r="J680" s="3"/>
    </row>
    <row r="681">
      <c r="D681" s="3"/>
      <c r="G681" s="3"/>
      <c r="J681" s="3"/>
    </row>
    <row r="682">
      <c r="D682" s="3"/>
      <c r="G682" s="3"/>
      <c r="J682" s="3"/>
    </row>
    <row r="683">
      <c r="D683" s="3"/>
      <c r="G683" s="3"/>
      <c r="J683" s="3"/>
    </row>
    <row r="684">
      <c r="D684" s="3"/>
      <c r="G684" s="3"/>
      <c r="J684" s="3"/>
    </row>
    <row r="685">
      <c r="D685" s="3"/>
      <c r="G685" s="3"/>
      <c r="J685" s="3"/>
    </row>
    <row r="686">
      <c r="D686" s="3"/>
      <c r="G686" s="3"/>
      <c r="J686" s="3"/>
    </row>
    <row r="687">
      <c r="D687" s="3"/>
      <c r="G687" s="3"/>
      <c r="J687" s="3"/>
    </row>
    <row r="688">
      <c r="D688" s="3"/>
      <c r="G688" s="3"/>
      <c r="J688" s="3"/>
    </row>
    <row r="689">
      <c r="D689" s="3"/>
      <c r="G689" s="3"/>
      <c r="J689" s="3"/>
    </row>
    <row r="690">
      <c r="D690" s="3"/>
      <c r="G690" s="3"/>
      <c r="J690" s="3"/>
    </row>
    <row r="691">
      <c r="D691" s="3"/>
      <c r="G691" s="3"/>
      <c r="J691" s="3"/>
    </row>
    <row r="692">
      <c r="D692" s="3"/>
      <c r="G692" s="3"/>
      <c r="J692" s="3"/>
    </row>
    <row r="693">
      <c r="D693" s="3"/>
      <c r="G693" s="3"/>
      <c r="J693" s="3"/>
    </row>
    <row r="694">
      <c r="D694" s="3"/>
      <c r="G694" s="3"/>
      <c r="J694" s="3"/>
    </row>
    <row r="695">
      <c r="D695" s="3"/>
      <c r="G695" s="3"/>
      <c r="J695" s="3"/>
    </row>
    <row r="696">
      <c r="D696" s="3"/>
      <c r="G696" s="3"/>
      <c r="J696" s="3"/>
    </row>
    <row r="697">
      <c r="D697" s="3"/>
      <c r="G697" s="3"/>
      <c r="J697" s="3"/>
    </row>
    <row r="698">
      <c r="D698" s="3"/>
      <c r="G698" s="3"/>
      <c r="J698" s="3"/>
    </row>
    <row r="699">
      <c r="D699" s="3"/>
      <c r="G699" s="3"/>
      <c r="J699" s="3"/>
    </row>
    <row r="700">
      <c r="D700" s="3"/>
      <c r="G700" s="3"/>
      <c r="J700" s="3"/>
    </row>
    <row r="701">
      <c r="D701" s="3"/>
      <c r="G701" s="3"/>
      <c r="J701" s="3"/>
    </row>
    <row r="702">
      <c r="D702" s="3"/>
      <c r="G702" s="3"/>
      <c r="J702" s="3"/>
    </row>
    <row r="703">
      <c r="D703" s="3"/>
      <c r="G703" s="3"/>
      <c r="J703" s="3"/>
    </row>
    <row r="704">
      <c r="D704" s="3"/>
      <c r="G704" s="3"/>
      <c r="J704" s="3"/>
    </row>
    <row r="705">
      <c r="D705" s="3"/>
      <c r="G705" s="3"/>
      <c r="J705" s="3"/>
    </row>
    <row r="706">
      <c r="D706" s="3"/>
      <c r="G706" s="3"/>
      <c r="J706" s="3"/>
    </row>
    <row r="707">
      <c r="D707" s="3"/>
      <c r="G707" s="3"/>
      <c r="J707" s="3"/>
    </row>
    <row r="708">
      <c r="D708" s="3"/>
      <c r="G708" s="3"/>
      <c r="J708" s="3"/>
    </row>
    <row r="709">
      <c r="D709" s="3"/>
      <c r="G709" s="3"/>
      <c r="J709" s="3"/>
    </row>
    <row r="710">
      <c r="D710" s="3"/>
      <c r="G710" s="3"/>
      <c r="J710" s="3"/>
    </row>
    <row r="711">
      <c r="D711" s="3"/>
      <c r="G711" s="3"/>
      <c r="J711" s="3"/>
    </row>
    <row r="712">
      <c r="D712" s="3"/>
      <c r="G712" s="3"/>
      <c r="J712" s="3"/>
    </row>
    <row r="713">
      <c r="D713" s="3"/>
      <c r="G713" s="3"/>
      <c r="J713" s="3"/>
    </row>
    <row r="714">
      <c r="D714" s="3"/>
      <c r="G714" s="3"/>
      <c r="J714" s="3"/>
    </row>
    <row r="715">
      <c r="D715" s="3"/>
      <c r="G715" s="3"/>
      <c r="J715" s="3"/>
    </row>
    <row r="716">
      <c r="D716" s="3"/>
      <c r="G716" s="3"/>
      <c r="J716" s="3"/>
    </row>
    <row r="717">
      <c r="D717" s="3"/>
      <c r="G717" s="3"/>
      <c r="J717" s="3"/>
    </row>
    <row r="718">
      <c r="D718" s="3"/>
      <c r="G718" s="3"/>
      <c r="J718" s="3"/>
    </row>
    <row r="719">
      <c r="D719" s="3"/>
      <c r="G719" s="3"/>
      <c r="J719" s="3"/>
    </row>
    <row r="720">
      <c r="D720" s="3"/>
      <c r="G720" s="3"/>
      <c r="J720" s="3"/>
    </row>
    <row r="721">
      <c r="D721" s="3"/>
      <c r="G721" s="3"/>
      <c r="J721" s="3"/>
    </row>
    <row r="722">
      <c r="D722" s="3"/>
      <c r="G722" s="3"/>
      <c r="J722" s="3"/>
    </row>
    <row r="723">
      <c r="D723" s="3"/>
      <c r="G723" s="3"/>
      <c r="J723" s="3"/>
    </row>
    <row r="724">
      <c r="D724" s="3"/>
      <c r="G724" s="3"/>
      <c r="J724" s="3"/>
    </row>
    <row r="725">
      <c r="D725" s="3"/>
      <c r="G725" s="3"/>
      <c r="J725" s="3"/>
    </row>
    <row r="726">
      <c r="D726" s="3"/>
      <c r="G726" s="3"/>
      <c r="J726" s="3"/>
    </row>
    <row r="727">
      <c r="D727" s="3"/>
      <c r="G727" s="3"/>
      <c r="J727" s="3"/>
    </row>
    <row r="728">
      <c r="D728" s="3"/>
      <c r="G728" s="3"/>
      <c r="J728" s="3"/>
    </row>
    <row r="729">
      <c r="D729" s="3"/>
      <c r="G729" s="3"/>
      <c r="J729" s="3"/>
    </row>
    <row r="730">
      <c r="D730" s="3"/>
      <c r="G730" s="3"/>
      <c r="J730" s="3"/>
    </row>
    <row r="731">
      <c r="D731" s="3"/>
      <c r="G731" s="3"/>
      <c r="J731" s="3"/>
    </row>
    <row r="732">
      <c r="D732" s="3"/>
      <c r="G732" s="3"/>
      <c r="J732" s="3"/>
    </row>
    <row r="733">
      <c r="D733" s="3"/>
      <c r="G733" s="3"/>
      <c r="J733" s="3"/>
    </row>
    <row r="734">
      <c r="D734" s="3"/>
      <c r="G734" s="3"/>
      <c r="J734" s="3"/>
    </row>
    <row r="735">
      <c r="D735" s="3"/>
      <c r="G735" s="3"/>
      <c r="J735" s="3"/>
    </row>
    <row r="736">
      <c r="D736" s="3"/>
      <c r="G736" s="3"/>
      <c r="J736" s="3"/>
    </row>
    <row r="737">
      <c r="D737" s="3"/>
      <c r="G737" s="3"/>
      <c r="J737" s="3"/>
    </row>
    <row r="738">
      <c r="D738" s="3"/>
      <c r="G738" s="3"/>
      <c r="J738" s="3"/>
    </row>
    <row r="739">
      <c r="D739" s="3"/>
      <c r="G739" s="3"/>
      <c r="J739" s="3"/>
    </row>
    <row r="740">
      <c r="D740" s="3"/>
      <c r="G740" s="3"/>
      <c r="J740" s="3"/>
    </row>
    <row r="741">
      <c r="D741" s="3"/>
      <c r="G741" s="3"/>
      <c r="J741" s="3"/>
    </row>
    <row r="742">
      <c r="D742" s="3"/>
      <c r="G742" s="3"/>
      <c r="J742" s="3"/>
    </row>
    <row r="743">
      <c r="D743" s="3"/>
      <c r="G743" s="3"/>
      <c r="J743" s="3"/>
    </row>
    <row r="744">
      <c r="D744" s="3"/>
      <c r="G744" s="3"/>
      <c r="J744" s="3"/>
    </row>
    <row r="745">
      <c r="D745" s="3"/>
      <c r="G745" s="3"/>
      <c r="J745" s="3"/>
    </row>
    <row r="746">
      <c r="D746" s="3"/>
      <c r="G746" s="3"/>
      <c r="J746" s="3"/>
    </row>
    <row r="747">
      <c r="D747" s="3"/>
      <c r="G747" s="3"/>
      <c r="J747" s="3"/>
    </row>
    <row r="748">
      <c r="D748" s="3"/>
      <c r="G748" s="3"/>
      <c r="J748" s="3"/>
    </row>
    <row r="749">
      <c r="D749" s="3"/>
      <c r="G749" s="3"/>
      <c r="J749" s="3"/>
    </row>
    <row r="750">
      <c r="D750" s="3"/>
      <c r="G750" s="3"/>
      <c r="J750" s="3"/>
    </row>
    <row r="751">
      <c r="D751" s="3"/>
      <c r="G751" s="3"/>
      <c r="J751" s="3"/>
    </row>
    <row r="752">
      <c r="D752" s="3"/>
      <c r="G752" s="3"/>
      <c r="J752" s="3"/>
    </row>
    <row r="753">
      <c r="D753" s="3"/>
      <c r="G753" s="3"/>
      <c r="J753" s="3"/>
    </row>
    <row r="754">
      <c r="D754" s="3"/>
      <c r="G754" s="3"/>
      <c r="J754" s="3"/>
    </row>
    <row r="755">
      <c r="D755" s="3"/>
      <c r="G755" s="3"/>
      <c r="J755" s="3"/>
    </row>
    <row r="756">
      <c r="D756" s="3"/>
      <c r="G756" s="3"/>
      <c r="J756" s="3"/>
    </row>
    <row r="757">
      <c r="D757" s="3"/>
      <c r="G757" s="3"/>
      <c r="J757" s="3"/>
    </row>
    <row r="758">
      <c r="D758" s="3"/>
      <c r="G758" s="3"/>
      <c r="J758" s="3"/>
    </row>
    <row r="759">
      <c r="D759" s="3"/>
      <c r="G759" s="3"/>
      <c r="J759" s="3"/>
    </row>
    <row r="760">
      <c r="D760" s="3"/>
      <c r="G760" s="3"/>
      <c r="J760" s="3"/>
    </row>
    <row r="761">
      <c r="D761" s="3"/>
      <c r="G761" s="3"/>
      <c r="J761" s="3"/>
    </row>
    <row r="762">
      <c r="D762" s="3"/>
      <c r="G762" s="3"/>
      <c r="J762" s="3"/>
    </row>
    <row r="763">
      <c r="D763" s="3"/>
      <c r="G763" s="3"/>
      <c r="J763" s="3"/>
    </row>
    <row r="764">
      <c r="D764" s="3"/>
      <c r="G764" s="3"/>
      <c r="J764" s="3"/>
    </row>
    <row r="765">
      <c r="D765" s="3"/>
      <c r="G765" s="3"/>
      <c r="J765" s="3"/>
    </row>
    <row r="766">
      <c r="D766" s="3"/>
      <c r="G766" s="3"/>
      <c r="J766" s="3"/>
    </row>
    <row r="767">
      <c r="D767" s="3"/>
      <c r="G767" s="3"/>
      <c r="J767" s="3"/>
    </row>
    <row r="768">
      <c r="D768" s="3"/>
      <c r="G768" s="3"/>
      <c r="J768" s="3"/>
    </row>
    <row r="769">
      <c r="D769" s="3"/>
      <c r="G769" s="3"/>
      <c r="J769" s="3"/>
    </row>
    <row r="770">
      <c r="D770" s="3"/>
      <c r="G770" s="3"/>
      <c r="J770" s="3"/>
    </row>
    <row r="771">
      <c r="D771" s="3"/>
      <c r="G771" s="3"/>
      <c r="J771" s="3"/>
    </row>
    <row r="772">
      <c r="D772" s="3"/>
      <c r="G772" s="3"/>
      <c r="J772" s="3"/>
    </row>
    <row r="773">
      <c r="D773" s="3"/>
      <c r="G773" s="3"/>
      <c r="J773" s="3"/>
    </row>
    <row r="774">
      <c r="D774" s="3"/>
      <c r="G774" s="3"/>
      <c r="J774" s="3"/>
    </row>
    <row r="775">
      <c r="D775" s="3"/>
      <c r="G775" s="3"/>
      <c r="J775" s="3"/>
    </row>
    <row r="776">
      <c r="D776" s="3"/>
      <c r="G776" s="3"/>
      <c r="J776" s="3"/>
    </row>
    <row r="777">
      <c r="D777" s="3"/>
      <c r="G777" s="3"/>
      <c r="J777" s="3"/>
    </row>
    <row r="778">
      <c r="D778" s="3"/>
      <c r="G778" s="3"/>
      <c r="J778" s="3"/>
    </row>
    <row r="779">
      <c r="D779" s="3"/>
      <c r="G779" s="3"/>
      <c r="J779" s="3"/>
    </row>
    <row r="780">
      <c r="D780" s="3"/>
      <c r="G780" s="3"/>
      <c r="J780" s="3"/>
    </row>
    <row r="781">
      <c r="D781" s="3"/>
      <c r="G781" s="3"/>
      <c r="J781" s="3"/>
    </row>
    <row r="782">
      <c r="D782" s="3"/>
      <c r="G782" s="3"/>
      <c r="J782" s="3"/>
    </row>
    <row r="783">
      <c r="D783" s="3"/>
      <c r="G783" s="3"/>
      <c r="J783" s="3"/>
    </row>
    <row r="784">
      <c r="D784" s="3"/>
      <c r="G784" s="3"/>
      <c r="J784" s="3"/>
    </row>
    <row r="785">
      <c r="D785" s="3"/>
      <c r="G785" s="3"/>
      <c r="J785" s="3"/>
    </row>
    <row r="786">
      <c r="D786" s="3"/>
      <c r="G786" s="3"/>
      <c r="J786" s="3"/>
    </row>
    <row r="787">
      <c r="D787" s="3"/>
      <c r="G787" s="3"/>
      <c r="J787" s="3"/>
    </row>
    <row r="788">
      <c r="D788" s="3"/>
      <c r="G788" s="3"/>
      <c r="J788" s="3"/>
    </row>
    <row r="789">
      <c r="D789" s="3"/>
      <c r="G789" s="3"/>
      <c r="J789" s="3"/>
    </row>
    <row r="790">
      <c r="D790" s="3"/>
      <c r="G790" s="3"/>
      <c r="J790" s="3"/>
    </row>
    <row r="791">
      <c r="D791" s="3"/>
      <c r="G791" s="3"/>
      <c r="J791" s="3"/>
    </row>
    <row r="792">
      <c r="D792" s="3"/>
      <c r="G792" s="3"/>
      <c r="J792" s="3"/>
    </row>
    <row r="793">
      <c r="D793" s="3"/>
      <c r="G793" s="3"/>
      <c r="J793" s="3"/>
    </row>
    <row r="794">
      <c r="D794" s="3"/>
      <c r="G794" s="3"/>
      <c r="J794" s="3"/>
    </row>
    <row r="795">
      <c r="D795" s="3"/>
      <c r="G795" s="3"/>
      <c r="J795" s="3"/>
    </row>
    <row r="796">
      <c r="D796" s="3"/>
      <c r="G796" s="3"/>
      <c r="J796" s="3"/>
    </row>
    <row r="797">
      <c r="D797" s="3"/>
      <c r="G797" s="3"/>
      <c r="J797" s="3"/>
    </row>
    <row r="798">
      <c r="D798" s="3"/>
      <c r="G798" s="3"/>
      <c r="J798" s="3"/>
    </row>
    <row r="799">
      <c r="D799" s="3"/>
      <c r="G799" s="3"/>
      <c r="J799" s="3"/>
    </row>
    <row r="800">
      <c r="D800" s="3"/>
      <c r="G800" s="3"/>
      <c r="J800" s="3"/>
    </row>
    <row r="801">
      <c r="D801" s="3"/>
      <c r="G801" s="3"/>
      <c r="J801" s="3"/>
    </row>
    <row r="802">
      <c r="D802" s="3"/>
      <c r="G802" s="3"/>
      <c r="J802" s="3"/>
    </row>
    <row r="803">
      <c r="D803" s="3"/>
      <c r="G803" s="3"/>
      <c r="J803" s="3"/>
    </row>
    <row r="804">
      <c r="D804" s="3"/>
      <c r="G804" s="3"/>
      <c r="J804" s="3"/>
    </row>
    <row r="805">
      <c r="D805" s="3"/>
      <c r="G805" s="3"/>
      <c r="J805" s="3"/>
    </row>
    <row r="806">
      <c r="D806" s="3"/>
      <c r="G806" s="3"/>
      <c r="J806" s="3"/>
    </row>
    <row r="807">
      <c r="D807" s="3"/>
      <c r="G807" s="3"/>
      <c r="J807" s="3"/>
    </row>
    <row r="808">
      <c r="D808" s="3"/>
      <c r="G808" s="3"/>
      <c r="J808" s="3"/>
    </row>
    <row r="809">
      <c r="D809" s="3"/>
      <c r="G809" s="3"/>
      <c r="J809" s="3"/>
    </row>
    <row r="810">
      <c r="D810" s="3"/>
      <c r="G810" s="3"/>
      <c r="J810" s="3"/>
    </row>
    <row r="811">
      <c r="D811" s="3"/>
      <c r="G811" s="3"/>
      <c r="J811" s="3"/>
    </row>
    <row r="812">
      <c r="D812" s="3"/>
      <c r="G812" s="3"/>
      <c r="J812" s="3"/>
    </row>
    <row r="813">
      <c r="D813" s="3"/>
      <c r="G813" s="3"/>
      <c r="J813" s="3"/>
    </row>
    <row r="814">
      <c r="D814" s="3"/>
      <c r="G814" s="3"/>
      <c r="J814" s="3"/>
    </row>
    <row r="815">
      <c r="D815" s="3"/>
      <c r="G815" s="3"/>
      <c r="J815" s="3"/>
    </row>
    <row r="816">
      <c r="D816" s="3"/>
      <c r="G816" s="3"/>
      <c r="J816" s="3"/>
    </row>
    <row r="817">
      <c r="D817" s="3"/>
      <c r="G817" s="3"/>
      <c r="J817" s="3"/>
    </row>
    <row r="818">
      <c r="D818" s="3"/>
      <c r="G818" s="3"/>
      <c r="J818" s="3"/>
    </row>
    <row r="819">
      <c r="D819" s="3"/>
      <c r="G819" s="3"/>
      <c r="J819" s="3"/>
    </row>
    <row r="820">
      <c r="D820" s="3"/>
      <c r="G820" s="3"/>
      <c r="J820" s="3"/>
    </row>
    <row r="821">
      <c r="D821" s="3"/>
      <c r="G821" s="3"/>
      <c r="J821" s="3"/>
    </row>
    <row r="822">
      <c r="D822" s="3"/>
      <c r="G822" s="3"/>
      <c r="J822" s="3"/>
    </row>
    <row r="823">
      <c r="D823" s="3"/>
      <c r="G823" s="3"/>
      <c r="J823" s="3"/>
    </row>
    <row r="824">
      <c r="D824" s="3"/>
      <c r="G824" s="3"/>
      <c r="J824" s="3"/>
    </row>
    <row r="825">
      <c r="D825" s="3"/>
      <c r="G825" s="3"/>
      <c r="J825" s="3"/>
    </row>
    <row r="826">
      <c r="D826" s="3"/>
      <c r="G826" s="3"/>
      <c r="J826" s="3"/>
    </row>
    <row r="827">
      <c r="D827" s="3"/>
      <c r="G827" s="3"/>
      <c r="J827" s="3"/>
    </row>
    <row r="828">
      <c r="D828" s="3"/>
      <c r="G828" s="3"/>
      <c r="J828" s="3"/>
    </row>
    <row r="829">
      <c r="D829" s="3"/>
      <c r="G829" s="3"/>
      <c r="J829" s="3"/>
    </row>
    <row r="830">
      <c r="D830" s="3"/>
      <c r="G830" s="3"/>
      <c r="J830" s="3"/>
    </row>
    <row r="831">
      <c r="D831" s="3"/>
      <c r="G831" s="3"/>
      <c r="J831" s="3"/>
    </row>
    <row r="832">
      <c r="D832" s="3"/>
      <c r="G832" s="3"/>
      <c r="J832" s="3"/>
    </row>
    <row r="833">
      <c r="D833" s="3"/>
      <c r="G833" s="3"/>
      <c r="J833" s="3"/>
    </row>
    <row r="834">
      <c r="D834" s="3"/>
      <c r="G834" s="3"/>
      <c r="J834" s="3"/>
    </row>
    <row r="835">
      <c r="D835" s="3"/>
      <c r="G835" s="3"/>
      <c r="J835" s="3"/>
    </row>
    <row r="836">
      <c r="D836" s="3"/>
      <c r="G836" s="3"/>
      <c r="J836" s="3"/>
    </row>
    <row r="837">
      <c r="D837" s="3"/>
      <c r="G837" s="3"/>
      <c r="J837" s="3"/>
    </row>
    <row r="838">
      <c r="D838" s="3"/>
      <c r="G838" s="3"/>
      <c r="J838" s="3"/>
    </row>
    <row r="839">
      <c r="D839" s="3"/>
      <c r="G839" s="3"/>
      <c r="J839" s="3"/>
    </row>
    <row r="840">
      <c r="D840" s="3"/>
      <c r="G840" s="3"/>
      <c r="J840" s="3"/>
    </row>
    <row r="841">
      <c r="D841" s="3"/>
      <c r="G841" s="3"/>
      <c r="J841" s="3"/>
    </row>
    <row r="842">
      <c r="D842" s="3"/>
      <c r="G842" s="3"/>
      <c r="J842" s="3"/>
    </row>
    <row r="843">
      <c r="D843" s="3"/>
      <c r="G843" s="3"/>
      <c r="J843" s="3"/>
    </row>
    <row r="844">
      <c r="D844" s="3"/>
      <c r="G844" s="3"/>
      <c r="J844" s="3"/>
    </row>
    <row r="845">
      <c r="D845" s="3"/>
      <c r="G845" s="3"/>
      <c r="J845" s="3"/>
    </row>
    <row r="846">
      <c r="D846" s="3"/>
      <c r="G846" s="3"/>
      <c r="J846" s="3"/>
    </row>
    <row r="847">
      <c r="D847" s="3"/>
      <c r="G847" s="3"/>
      <c r="J847" s="3"/>
    </row>
    <row r="848">
      <c r="D848" s="3"/>
      <c r="G848" s="3"/>
      <c r="J848" s="3"/>
    </row>
    <row r="849">
      <c r="D849" s="3"/>
      <c r="G849" s="3"/>
      <c r="J849" s="3"/>
    </row>
    <row r="850">
      <c r="D850" s="3"/>
      <c r="G850" s="3"/>
      <c r="J850" s="3"/>
    </row>
    <row r="851">
      <c r="D851" s="3"/>
      <c r="G851" s="3"/>
      <c r="J851" s="3"/>
    </row>
    <row r="852">
      <c r="D852" s="3"/>
      <c r="G852" s="3"/>
      <c r="J852" s="3"/>
    </row>
    <row r="853">
      <c r="D853" s="3"/>
      <c r="G853" s="3"/>
      <c r="J853" s="3"/>
    </row>
    <row r="854">
      <c r="D854" s="3"/>
      <c r="G854" s="3"/>
      <c r="J854" s="3"/>
    </row>
    <row r="855">
      <c r="D855" s="3"/>
      <c r="G855" s="3"/>
      <c r="J855" s="3"/>
    </row>
    <row r="856">
      <c r="D856" s="3"/>
      <c r="G856" s="3"/>
      <c r="J856" s="3"/>
    </row>
    <row r="857">
      <c r="D857" s="3"/>
      <c r="G857" s="3"/>
      <c r="J857" s="3"/>
    </row>
    <row r="858">
      <c r="D858" s="3"/>
      <c r="G858" s="3"/>
      <c r="J858" s="3"/>
    </row>
    <row r="859">
      <c r="D859" s="3"/>
      <c r="G859" s="3"/>
      <c r="J859" s="3"/>
    </row>
    <row r="860">
      <c r="D860" s="3"/>
      <c r="G860" s="3"/>
      <c r="J860" s="3"/>
    </row>
    <row r="861">
      <c r="D861" s="3"/>
      <c r="G861" s="3"/>
      <c r="J861" s="3"/>
    </row>
    <row r="862">
      <c r="D862" s="3"/>
      <c r="G862" s="3"/>
      <c r="J862" s="3"/>
    </row>
    <row r="863">
      <c r="D863" s="3"/>
      <c r="G863" s="3"/>
      <c r="J863" s="3"/>
    </row>
    <row r="864">
      <c r="D864" s="3"/>
      <c r="G864" s="3"/>
      <c r="J864" s="3"/>
    </row>
    <row r="865">
      <c r="D865" s="3"/>
      <c r="G865" s="3"/>
      <c r="J865" s="3"/>
    </row>
    <row r="866">
      <c r="D866" s="3"/>
      <c r="G866" s="3"/>
      <c r="J866" s="3"/>
    </row>
    <row r="867">
      <c r="D867" s="3"/>
      <c r="G867" s="3"/>
      <c r="J867" s="3"/>
    </row>
    <row r="868">
      <c r="D868" s="3"/>
      <c r="G868" s="3"/>
      <c r="J868" s="3"/>
    </row>
    <row r="869">
      <c r="D869" s="3"/>
      <c r="G869" s="3"/>
      <c r="J869" s="3"/>
    </row>
    <row r="870">
      <c r="D870" s="3"/>
      <c r="G870" s="3"/>
      <c r="J870" s="3"/>
    </row>
    <row r="871">
      <c r="D871" s="3"/>
      <c r="G871" s="3"/>
      <c r="J871" s="3"/>
    </row>
    <row r="872">
      <c r="D872" s="3"/>
      <c r="G872" s="3"/>
      <c r="J872" s="3"/>
    </row>
    <row r="873">
      <c r="D873" s="3"/>
      <c r="G873" s="3"/>
      <c r="J873" s="3"/>
    </row>
    <row r="874">
      <c r="D874" s="3"/>
      <c r="G874" s="3"/>
      <c r="J874" s="3"/>
    </row>
    <row r="875">
      <c r="D875" s="3"/>
      <c r="G875" s="3"/>
      <c r="J875" s="3"/>
    </row>
    <row r="876">
      <c r="D876" s="3"/>
      <c r="G876" s="3"/>
      <c r="J876" s="3"/>
    </row>
    <row r="877">
      <c r="D877" s="3"/>
      <c r="G877" s="3"/>
      <c r="J877" s="3"/>
    </row>
    <row r="878">
      <c r="D878" s="3"/>
      <c r="G878" s="3"/>
      <c r="J878" s="3"/>
    </row>
    <row r="879">
      <c r="D879" s="3"/>
      <c r="G879" s="3"/>
      <c r="J879" s="3"/>
    </row>
    <row r="880">
      <c r="D880" s="3"/>
      <c r="G880" s="3"/>
      <c r="J880" s="3"/>
    </row>
    <row r="881">
      <c r="D881" s="3"/>
      <c r="G881" s="3"/>
      <c r="J881" s="3"/>
    </row>
    <row r="882">
      <c r="D882" s="3"/>
      <c r="G882" s="3"/>
      <c r="J882" s="3"/>
    </row>
    <row r="883">
      <c r="D883" s="3"/>
      <c r="G883" s="3"/>
      <c r="J883" s="3"/>
    </row>
    <row r="884">
      <c r="D884" s="3"/>
      <c r="G884" s="3"/>
      <c r="J884" s="3"/>
    </row>
    <row r="885">
      <c r="D885" s="3"/>
      <c r="G885" s="3"/>
      <c r="J885" s="3"/>
    </row>
    <row r="886">
      <c r="D886" s="3"/>
      <c r="G886" s="3"/>
      <c r="J886" s="3"/>
    </row>
    <row r="887">
      <c r="D887" s="3"/>
      <c r="G887" s="3"/>
      <c r="J887" s="3"/>
    </row>
    <row r="888">
      <c r="D888" s="3"/>
      <c r="G888" s="3"/>
      <c r="J888" s="3"/>
    </row>
    <row r="889">
      <c r="D889" s="3"/>
      <c r="G889" s="3"/>
      <c r="J889" s="3"/>
    </row>
    <row r="890">
      <c r="D890" s="3"/>
      <c r="G890" s="3"/>
      <c r="J890" s="3"/>
    </row>
    <row r="891">
      <c r="D891" s="3"/>
      <c r="G891" s="3"/>
      <c r="J891" s="3"/>
    </row>
    <row r="892">
      <c r="D892" s="3"/>
      <c r="G892" s="3"/>
      <c r="J892" s="3"/>
    </row>
    <row r="893">
      <c r="D893" s="3"/>
      <c r="G893" s="3"/>
      <c r="J893" s="3"/>
    </row>
    <row r="894">
      <c r="D894" s="3"/>
      <c r="G894" s="3"/>
      <c r="J894" s="3"/>
    </row>
    <row r="895">
      <c r="D895" s="3"/>
      <c r="G895" s="3"/>
      <c r="J895" s="3"/>
    </row>
    <row r="896">
      <c r="D896" s="3"/>
      <c r="G896" s="3"/>
      <c r="J896" s="3"/>
    </row>
    <row r="897">
      <c r="D897" s="3"/>
      <c r="G897" s="3"/>
      <c r="J897" s="3"/>
    </row>
    <row r="898">
      <c r="D898" s="3"/>
      <c r="G898" s="3"/>
      <c r="J898" s="3"/>
    </row>
    <row r="899">
      <c r="D899" s="3"/>
      <c r="G899" s="3"/>
      <c r="J899" s="3"/>
    </row>
    <row r="900">
      <c r="D900" s="3"/>
      <c r="G900" s="3"/>
      <c r="J900" s="3"/>
    </row>
    <row r="901">
      <c r="D901" s="3"/>
      <c r="G901" s="3"/>
      <c r="J901" s="3"/>
    </row>
    <row r="902">
      <c r="D902" s="3"/>
      <c r="G902" s="3"/>
      <c r="J902" s="3"/>
    </row>
    <row r="903">
      <c r="D903" s="3"/>
      <c r="G903" s="3"/>
      <c r="J903" s="3"/>
    </row>
    <row r="904">
      <c r="D904" s="3"/>
      <c r="G904" s="3"/>
      <c r="J904" s="3"/>
    </row>
    <row r="905">
      <c r="D905" s="3"/>
      <c r="G905" s="3"/>
      <c r="J905" s="3"/>
    </row>
    <row r="906">
      <c r="D906" s="3"/>
      <c r="G906" s="3"/>
      <c r="J906" s="3"/>
    </row>
    <row r="907">
      <c r="D907" s="3"/>
      <c r="G907" s="3"/>
      <c r="J907" s="3"/>
    </row>
    <row r="908">
      <c r="D908" s="3"/>
      <c r="G908" s="3"/>
      <c r="J908" s="3"/>
    </row>
    <row r="909">
      <c r="D909" s="3"/>
      <c r="G909" s="3"/>
      <c r="J909" s="3"/>
    </row>
    <row r="910">
      <c r="D910" s="3"/>
      <c r="G910" s="3"/>
      <c r="J910" s="3"/>
    </row>
    <row r="911">
      <c r="D911" s="3"/>
      <c r="G911" s="3"/>
      <c r="J911" s="3"/>
    </row>
    <row r="912">
      <c r="D912" s="3"/>
      <c r="G912" s="3"/>
      <c r="J912" s="3"/>
    </row>
    <row r="913">
      <c r="D913" s="3"/>
      <c r="G913" s="3"/>
      <c r="J913" s="3"/>
    </row>
    <row r="914">
      <c r="D914" s="3"/>
      <c r="G914" s="3"/>
      <c r="J914" s="3"/>
    </row>
    <row r="915">
      <c r="D915" s="3"/>
      <c r="G915" s="3"/>
      <c r="J915" s="3"/>
    </row>
    <row r="916">
      <c r="D916" s="3"/>
      <c r="G916" s="3"/>
      <c r="J916" s="3"/>
    </row>
    <row r="917">
      <c r="D917" s="3"/>
      <c r="G917" s="3"/>
      <c r="J917" s="3"/>
    </row>
    <row r="918">
      <c r="D918" s="3"/>
      <c r="G918" s="3"/>
      <c r="J918" s="3"/>
    </row>
    <row r="919">
      <c r="D919" s="3"/>
      <c r="G919" s="3"/>
      <c r="J919" s="3"/>
    </row>
    <row r="920">
      <c r="D920" s="3"/>
      <c r="G920" s="3"/>
      <c r="J920" s="3"/>
    </row>
    <row r="921">
      <c r="D921" s="3"/>
      <c r="G921" s="3"/>
      <c r="J921" s="3"/>
    </row>
    <row r="922">
      <c r="D922" s="3"/>
      <c r="G922" s="3"/>
      <c r="J922" s="3"/>
    </row>
    <row r="923">
      <c r="D923" s="3"/>
      <c r="G923" s="3"/>
      <c r="J923" s="3"/>
    </row>
    <row r="924">
      <c r="D924" s="3"/>
      <c r="G924" s="3"/>
      <c r="J924" s="3"/>
    </row>
    <row r="925">
      <c r="D925" s="3"/>
      <c r="G925" s="3"/>
      <c r="J925" s="3"/>
    </row>
    <row r="926">
      <c r="D926" s="3"/>
      <c r="G926" s="3"/>
      <c r="J926" s="3"/>
    </row>
    <row r="927">
      <c r="D927" s="3"/>
      <c r="G927" s="3"/>
      <c r="J927" s="3"/>
    </row>
    <row r="928">
      <c r="D928" s="3"/>
      <c r="G928" s="3"/>
      <c r="J928" s="3"/>
    </row>
    <row r="929">
      <c r="D929" s="3"/>
      <c r="G929" s="3"/>
      <c r="J929" s="3"/>
    </row>
    <row r="930">
      <c r="D930" s="3"/>
      <c r="G930" s="3"/>
      <c r="J930" s="3"/>
    </row>
    <row r="931">
      <c r="D931" s="3"/>
      <c r="G931" s="3"/>
      <c r="J931" s="3"/>
    </row>
    <row r="932">
      <c r="D932" s="3"/>
      <c r="G932" s="3"/>
      <c r="J932" s="3"/>
    </row>
    <row r="933">
      <c r="D933" s="3"/>
      <c r="G933" s="3"/>
      <c r="J933" s="3"/>
    </row>
    <row r="934">
      <c r="D934" s="3"/>
      <c r="G934" s="3"/>
      <c r="J934" s="3"/>
    </row>
    <row r="935">
      <c r="D935" s="3"/>
      <c r="G935" s="3"/>
      <c r="J935" s="3"/>
    </row>
    <row r="936">
      <c r="D936" s="3"/>
      <c r="G936" s="3"/>
      <c r="J936" s="3"/>
    </row>
    <row r="937">
      <c r="D937" s="3"/>
      <c r="G937" s="3"/>
      <c r="J937" s="3"/>
    </row>
    <row r="938">
      <c r="D938" s="3"/>
      <c r="G938" s="3"/>
      <c r="J938" s="3"/>
    </row>
    <row r="939">
      <c r="D939" s="3"/>
      <c r="G939" s="3"/>
      <c r="J939" s="3"/>
    </row>
    <row r="940">
      <c r="D940" s="3"/>
      <c r="G940" s="3"/>
      <c r="J940" s="3"/>
    </row>
    <row r="941">
      <c r="D941" s="3"/>
      <c r="G941" s="3"/>
      <c r="J941" s="3"/>
    </row>
    <row r="942">
      <c r="D942" s="3"/>
      <c r="G942" s="3"/>
      <c r="J942" s="3"/>
    </row>
    <row r="943">
      <c r="D943" s="3"/>
      <c r="G943" s="3"/>
      <c r="J943" s="3"/>
    </row>
    <row r="944">
      <c r="D944" s="3"/>
      <c r="G944" s="3"/>
      <c r="J944" s="3"/>
    </row>
    <row r="945">
      <c r="D945" s="3"/>
      <c r="G945" s="3"/>
      <c r="J945" s="3"/>
    </row>
    <row r="946">
      <c r="D946" s="3"/>
      <c r="G946" s="3"/>
      <c r="J946" s="3"/>
    </row>
    <row r="947">
      <c r="D947" s="3"/>
      <c r="G947" s="3"/>
      <c r="J947" s="3"/>
    </row>
    <row r="948">
      <c r="D948" s="3"/>
      <c r="G948" s="3"/>
      <c r="J948" s="3"/>
    </row>
    <row r="949">
      <c r="D949" s="3"/>
      <c r="G949" s="3"/>
      <c r="J949" s="3"/>
    </row>
    <row r="950">
      <c r="D950" s="3"/>
      <c r="G950" s="3"/>
      <c r="J950" s="3"/>
    </row>
    <row r="951">
      <c r="D951" s="3"/>
      <c r="G951" s="3"/>
      <c r="J951" s="3"/>
    </row>
    <row r="952">
      <c r="D952" s="3"/>
      <c r="G952" s="3"/>
      <c r="J952" s="3"/>
    </row>
    <row r="953">
      <c r="D953" s="3"/>
      <c r="G953" s="3"/>
      <c r="J953" s="3"/>
    </row>
    <row r="954">
      <c r="D954" s="3"/>
      <c r="G954" s="3"/>
      <c r="J954" s="3"/>
    </row>
    <row r="955">
      <c r="D955" s="3"/>
      <c r="G955" s="3"/>
      <c r="J955" s="3"/>
    </row>
    <row r="956">
      <c r="D956" s="3"/>
      <c r="G956" s="3"/>
      <c r="J956" s="3"/>
    </row>
    <row r="957">
      <c r="D957" s="3"/>
      <c r="G957" s="3"/>
      <c r="J957" s="3"/>
    </row>
    <row r="958">
      <c r="D958" s="3"/>
      <c r="G958" s="3"/>
      <c r="J958" s="3"/>
    </row>
    <row r="959">
      <c r="D959" s="3"/>
      <c r="G959" s="3"/>
      <c r="J959" s="3"/>
    </row>
    <row r="960">
      <c r="D960" s="3"/>
      <c r="G960" s="3"/>
      <c r="J960" s="3"/>
    </row>
    <row r="961">
      <c r="D961" s="3"/>
      <c r="G961" s="3"/>
      <c r="J961" s="3"/>
    </row>
    <row r="962">
      <c r="D962" s="3"/>
      <c r="G962" s="3"/>
      <c r="J962" s="3"/>
    </row>
    <row r="963">
      <c r="D963" s="3"/>
      <c r="G963" s="3"/>
      <c r="J963" s="3"/>
    </row>
    <row r="964">
      <c r="D964" s="3"/>
      <c r="G964" s="3"/>
      <c r="J964" s="3"/>
    </row>
    <row r="965">
      <c r="D965" s="3"/>
      <c r="G965" s="3"/>
      <c r="J965" s="3"/>
    </row>
    <row r="966">
      <c r="D966" s="3"/>
      <c r="G966" s="3"/>
      <c r="J966" s="3"/>
    </row>
    <row r="967">
      <c r="D967" s="3"/>
      <c r="G967" s="3"/>
      <c r="J967" s="3"/>
    </row>
    <row r="968">
      <c r="D968" s="3"/>
      <c r="G968" s="3"/>
      <c r="J968" s="3"/>
    </row>
    <row r="969">
      <c r="D969" s="3"/>
      <c r="G969" s="3"/>
      <c r="J969" s="3"/>
    </row>
    <row r="970">
      <c r="D970" s="3"/>
      <c r="G970" s="3"/>
      <c r="J970" s="3"/>
    </row>
    <row r="971">
      <c r="D971" s="3"/>
      <c r="G971" s="3"/>
      <c r="J971" s="3"/>
    </row>
    <row r="972">
      <c r="D972" s="3"/>
      <c r="G972" s="3"/>
      <c r="J972" s="3"/>
    </row>
    <row r="973">
      <c r="D973" s="3"/>
      <c r="G973" s="3"/>
      <c r="J973" s="3"/>
    </row>
    <row r="974">
      <c r="D974" s="3"/>
      <c r="G974" s="3"/>
      <c r="J974" s="3"/>
    </row>
    <row r="975">
      <c r="D975" s="3"/>
      <c r="G975" s="3"/>
      <c r="J975" s="3"/>
    </row>
    <row r="976">
      <c r="D976" s="3"/>
      <c r="G976" s="3"/>
      <c r="J976" s="3"/>
    </row>
    <row r="977">
      <c r="D977" s="3"/>
      <c r="G977" s="3"/>
      <c r="J977" s="3"/>
    </row>
    <row r="978">
      <c r="D978" s="3"/>
      <c r="G978" s="3"/>
      <c r="J978" s="3"/>
    </row>
    <row r="979">
      <c r="D979" s="3"/>
      <c r="G979" s="3"/>
      <c r="J979" s="3"/>
    </row>
    <row r="980">
      <c r="D980" s="3"/>
      <c r="G980" s="3"/>
      <c r="J980" s="3"/>
    </row>
    <row r="981">
      <c r="D981" s="3"/>
      <c r="G981" s="3"/>
      <c r="J981" s="3"/>
    </row>
    <row r="982">
      <c r="D982" s="3"/>
      <c r="G982" s="3"/>
      <c r="J982" s="3"/>
    </row>
    <row r="983">
      <c r="D983" s="3"/>
      <c r="G983" s="3"/>
      <c r="J983" s="3"/>
    </row>
    <row r="984">
      <c r="D984" s="3"/>
      <c r="G984" s="3"/>
      <c r="J984" s="3"/>
    </row>
    <row r="985">
      <c r="D985" s="3"/>
      <c r="G985" s="3"/>
      <c r="J985" s="3"/>
    </row>
    <row r="986">
      <c r="D986" s="3"/>
      <c r="G986" s="3"/>
      <c r="J986" s="3"/>
    </row>
    <row r="987">
      <c r="D987" s="3"/>
      <c r="G987" s="3"/>
      <c r="J987" s="3"/>
    </row>
    <row r="988">
      <c r="D988" s="3"/>
      <c r="G988" s="3"/>
      <c r="J988" s="3"/>
    </row>
    <row r="989">
      <c r="D989" s="3"/>
      <c r="G989" s="3"/>
      <c r="J989" s="3"/>
    </row>
    <row r="990">
      <c r="D990" s="3"/>
      <c r="G990" s="3"/>
      <c r="J990" s="3"/>
    </row>
    <row r="991">
      <c r="D991" s="3"/>
      <c r="G991" s="3"/>
      <c r="J991" s="3"/>
    </row>
    <row r="992">
      <c r="D992" s="3"/>
      <c r="G992" s="3"/>
      <c r="J992" s="3"/>
    </row>
    <row r="993">
      <c r="D993" s="3"/>
      <c r="G993" s="3"/>
      <c r="J993" s="3"/>
    </row>
    <row r="994">
      <c r="D994" s="3"/>
      <c r="G994" s="3"/>
      <c r="J994" s="3"/>
    </row>
    <row r="995">
      <c r="D995" s="3"/>
      <c r="G995" s="3"/>
      <c r="J995" s="3"/>
    </row>
    <row r="996">
      <c r="D996" s="3"/>
      <c r="G996" s="3"/>
      <c r="J996" s="3"/>
    </row>
    <row r="997">
      <c r="D997" s="3"/>
      <c r="G997" s="3"/>
      <c r="J997" s="3"/>
    </row>
    <row r="998">
      <c r="D998" s="3"/>
      <c r="G998" s="3"/>
      <c r="J998" s="3"/>
    </row>
    <row r="999">
      <c r="D999" s="3"/>
      <c r="G999" s="3"/>
      <c r="J999" s="3"/>
    </row>
    <row r="1000">
      <c r="D1000" s="3"/>
      <c r="G1000" s="3"/>
      <c r="J1000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>
        <f>IFERROR(__xludf.DUMMYFUNCTION("IFERROR(QUERY(JAN_2023!A:I, ""SELECT * WHERE D IS NOT NULL AND UPPER(I) = 'NURUL_AINI'"", 1), ""Data NURUL_AINI belum ditemukan"")"),44933.0)</f>
        <v>44933</v>
      </c>
      <c r="B1" s="14" t="str">
        <f>IFERROR(__xludf.DUMMYFUNCTION("""COMPUTED_VALUE"""),"TRSF E-BANKING DB")</f>
        <v>TRSF E-BANKING DB</v>
      </c>
      <c r="C1" s="14" t="str">
        <f>IFERROR(__xludf.DUMMYFUNCTION("""COMPUTED_VALUE"""),"TRSF E-BANKING DB 0701/FTSCY/WS95031 300000.00 NURUL AINI")</f>
        <v>TRSF E-BANKING DB 0701/FTSCY/WS95031 300000.00 NURUL AINI</v>
      </c>
      <c r="D1" s="3">
        <f>IFERROR(__xludf.DUMMYFUNCTION("""COMPUTED_VALUE"""),300000.0)</f>
        <v>300000</v>
      </c>
      <c r="E1" s="14"/>
      <c r="F1" s="14" t="str">
        <f>IFERROR(__xludf.DUMMYFUNCTION("""COMPUTED_VALUE"""),"DB")</f>
        <v>DB</v>
      </c>
      <c r="G1" s="3">
        <f>IFERROR(__xludf.DUMMYFUNCTION("""COMPUTED_VALUE"""),3.1580983013E8)</f>
        <v>315809830.1</v>
      </c>
      <c r="H1" s="14"/>
      <c r="I1" s="14" t="str">
        <f>IFERROR(__xludf.DUMMYFUNCTION("""COMPUTED_VALUE"""),"NURUL_AINI")</f>
        <v>NURUL_AINI</v>
      </c>
      <c r="J1" s="3">
        <f>SUM(D1:D1000) </f>
        <v>37749000</v>
      </c>
    </row>
    <row r="2">
      <c r="A2" s="14">
        <f>IFERROR(__xludf.DUMMYFUNCTION("""COMPUTED_VALUE"""),44940.0)</f>
        <v>44940</v>
      </c>
      <c r="B2" s="14" t="str">
        <f>IFERROR(__xludf.DUMMYFUNCTION("""COMPUTED_VALUE"""),"TRSF E-BANKING DB")</f>
        <v>TRSF E-BANKING DB</v>
      </c>
      <c r="C2" s="14" t="str">
        <f>IFERROR(__xludf.DUMMYFUNCTION("""COMPUTED_VALUE"""),"TRSF E-BANKING DB 1401/FTSCY/WS95031 2000000.00 NURUL AINI")</f>
        <v>TRSF E-BANKING DB 1401/FTSCY/WS95031 2000000.00 NURUL AINI</v>
      </c>
      <c r="D2" s="3">
        <f>IFERROR(__xludf.DUMMYFUNCTION("""COMPUTED_VALUE"""),2000000.0)</f>
        <v>2000000</v>
      </c>
      <c r="E2" s="14"/>
      <c r="F2" s="14" t="str">
        <f>IFERROR(__xludf.DUMMYFUNCTION("""COMPUTED_VALUE"""),"DB")</f>
        <v>DB</v>
      </c>
      <c r="G2" s="3">
        <f>IFERROR(__xludf.DUMMYFUNCTION("""COMPUTED_VALUE"""),6.549407791300001E8)</f>
        <v>654940779.1</v>
      </c>
      <c r="H2" s="14"/>
      <c r="I2" s="14" t="str">
        <f>IFERROR(__xludf.DUMMYFUNCTION("""COMPUTED_VALUE"""),"NURUL_AINI")</f>
        <v>NURUL_AINI</v>
      </c>
      <c r="J2" s="3"/>
    </row>
    <row r="3">
      <c r="A3" s="14">
        <f>IFERROR(__xludf.DUMMYFUNCTION("""COMPUTED_VALUE"""),44946.0)</f>
        <v>44946</v>
      </c>
      <c r="B3" s="14" t="str">
        <f>IFERROR(__xludf.DUMMYFUNCTION("""COMPUTED_VALUE"""),"TRSF E-BANKING DB")</f>
        <v>TRSF E-BANKING DB</v>
      </c>
      <c r="C3" s="14" t="str">
        <f>IFERROR(__xludf.DUMMYFUNCTION("""COMPUTED_VALUE"""),"TRSF E-BANKING DB 2001/FTSCY/WS95031 300000.00 NURUL AINI")</f>
        <v>TRSF E-BANKING DB 2001/FTSCY/WS95031 300000.00 NURUL AINI</v>
      </c>
      <c r="D3" s="3">
        <f>IFERROR(__xludf.DUMMYFUNCTION("""COMPUTED_VALUE"""),300000.0)</f>
        <v>300000</v>
      </c>
      <c r="E3" s="14"/>
      <c r="F3" s="14" t="str">
        <f>IFERROR(__xludf.DUMMYFUNCTION("""COMPUTED_VALUE"""),"DB")</f>
        <v>DB</v>
      </c>
      <c r="G3" s="3">
        <f>IFERROR(__xludf.DUMMYFUNCTION("""COMPUTED_VALUE"""),2.6144485130000114E7)</f>
        <v>26144485.13</v>
      </c>
      <c r="H3" s="14"/>
      <c r="I3" s="14" t="str">
        <f>IFERROR(__xludf.DUMMYFUNCTION("""COMPUTED_VALUE"""),"NURUL_AINI")</f>
        <v>NURUL_AINI</v>
      </c>
      <c r="J3" s="3"/>
    </row>
    <row r="4">
      <c r="A4" s="14">
        <f>IFERROR(__xludf.DUMMYFUNCTION("""COMPUTED_VALUE"""),44947.0)</f>
        <v>44947</v>
      </c>
      <c r="B4" s="14" t="str">
        <f>IFERROR(__xludf.DUMMYFUNCTION("""COMPUTED_VALUE"""),"TRSF E-BANKING DB")</f>
        <v>TRSF E-BANKING DB</v>
      </c>
      <c r="C4" s="14" t="str">
        <f>IFERROR(__xludf.DUMMYFUNCTION("""COMPUTED_VALUE"""),"TRSF E-BANKING DB 2101/FTSCY/WS95031 2000000.00 SANDI FAJAR PRASET")</f>
        <v>TRSF E-BANKING DB 2101/FTSCY/WS95031 2000000.00 SANDI FAJAR PRASET</v>
      </c>
      <c r="D4" s="3">
        <f>IFERROR(__xludf.DUMMYFUNCTION("""COMPUTED_VALUE"""),2000000.0)</f>
        <v>2000000</v>
      </c>
      <c r="E4" s="14"/>
      <c r="F4" s="14" t="str">
        <f>IFERROR(__xludf.DUMMYFUNCTION("""COMPUTED_VALUE"""),"DB")</f>
        <v>DB</v>
      </c>
      <c r="G4" s="3">
        <f>IFERROR(__xludf.DUMMYFUNCTION("""COMPUTED_VALUE"""),1.779857251300001E8)</f>
        <v>177985725.1</v>
      </c>
      <c r="H4" s="14"/>
      <c r="I4" s="14" t="str">
        <f>IFERROR(__xludf.DUMMYFUNCTION("""COMPUTED_VALUE"""),"NURUL_AINI")</f>
        <v>NURUL_AINI</v>
      </c>
      <c r="J4" s="3"/>
    </row>
    <row r="5">
      <c r="A5" s="14">
        <f>IFERROR(__xludf.DUMMYFUNCTION("""COMPUTED_VALUE"""),44947.0)</f>
        <v>44947</v>
      </c>
      <c r="B5" s="14" t="str">
        <f>IFERROR(__xludf.DUMMYFUNCTION("""COMPUTED_VALUE"""),"TRSF E-BANKING DB")</f>
        <v>TRSF E-BANKING DB</v>
      </c>
      <c r="C5" s="14" t="str">
        <f>IFERROR(__xludf.DUMMYFUNCTION("""COMPUTED_VALUE"""),"TRSF E-BANKING DB 2101/FTSCY/WS95031 30000000.00 SANDI FAJAR PRASET")</f>
        <v>TRSF E-BANKING DB 2101/FTSCY/WS95031 30000000.00 SANDI FAJAR PRASET</v>
      </c>
      <c r="D5" s="3">
        <f>IFERROR(__xludf.DUMMYFUNCTION("""COMPUTED_VALUE"""),3.0E7)</f>
        <v>30000000</v>
      </c>
      <c r="E5" s="14"/>
      <c r="F5" s="14" t="str">
        <f>IFERROR(__xludf.DUMMYFUNCTION("""COMPUTED_VALUE"""),"DB")</f>
        <v>DB</v>
      </c>
      <c r="G5" s="3">
        <f>IFERROR(__xludf.DUMMYFUNCTION("""COMPUTED_VALUE"""),1.664018851300001E8)</f>
        <v>166401885.1</v>
      </c>
      <c r="H5" s="14"/>
      <c r="I5" s="14" t="str">
        <f>IFERROR(__xludf.DUMMYFUNCTION("""COMPUTED_VALUE"""),"NURUL_AINI")</f>
        <v>NURUL_AINI</v>
      </c>
      <c r="J5" s="3"/>
    </row>
    <row r="6">
      <c r="A6" s="14">
        <f>IFERROR(__xludf.DUMMYFUNCTION("""COMPUTED_VALUE"""),44948.0)</f>
        <v>44948</v>
      </c>
      <c r="B6" s="14" t="str">
        <f>IFERROR(__xludf.DUMMYFUNCTION("""COMPUTED_VALUE"""),"TRSF E-BANKING DB")</f>
        <v>TRSF E-BANKING DB</v>
      </c>
      <c r="C6" s="14" t="str">
        <f>IFERROR(__xludf.DUMMYFUNCTION("""COMPUTED_VALUE"""),"TRSF E-BANKING DB 2201/FTSCY/WS95031 100000.00 SANDI FAJAR PRASET")</f>
        <v>TRSF E-BANKING DB 2201/FTSCY/WS95031 100000.00 SANDI FAJAR PRASET</v>
      </c>
      <c r="D6" s="3">
        <f>IFERROR(__xludf.DUMMYFUNCTION("""COMPUTED_VALUE"""),100000.0)</f>
        <v>100000</v>
      </c>
      <c r="E6" s="14"/>
      <c r="F6" s="14" t="str">
        <f>IFERROR(__xludf.DUMMYFUNCTION("""COMPUTED_VALUE"""),"DB")</f>
        <v>DB</v>
      </c>
      <c r="G6" s="3">
        <f>IFERROR(__xludf.DUMMYFUNCTION("""COMPUTED_VALUE"""),4.1049785130000114E7)</f>
        <v>41049785.13</v>
      </c>
      <c r="H6" s="14"/>
      <c r="I6" s="14" t="str">
        <f>IFERROR(__xludf.DUMMYFUNCTION("""COMPUTED_VALUE"""),"NURUL_AINI")</f>
        <v>NURUL_AINI</v>
      </c>
      <c r="J6" s="3"/>
    </row>
    <row r="7">
      <c r="A7" s="14">
        <f>IFERROR(__xludf.DUMMYFUNCTION("""COMPUTED_VALUE"""),44954.0)</f>
        <v>44954</v>
      </c>
      <c r="B7" s="14" t="str">
        <f>IFERROR(__xludf.DUMMYFUNCTION("""COMPUTED_VALUE"""),"TRSF E-BANKING DB TANGGAL :27/01")</f>
        <v>TRSF E-BANKING DB TANGGAL :27/01</v>
      </c>
      <c r="C7" s="14" t="str">
        <f>IFERROR(__xludf.DUMMYFUNCTION("""COMPUTED_VALUE"""),"TRSF E-BANKING DB TANGGAL :27/01 2701/FTSCY/WS95031 NURUL AINI")</f>
        <v>TRSF E-BANKING DB TANGGAL :27/01 2701/FTSCY/WS95031 NURUL AINI</v>
      </c>
      <c r="D7" s="3">
        <f>IFERROR(__xludf.DUMMYFUNCTION("""COMPUTED_VALUE"""),650000.0)</f>
        <v>650000</v>
      </c>
      <c r="E7" s="14"/>
      <c r="F7" s="14" t="str">
        <f>IFERROR(__xludf.DUMMYFUNCTION("""COMPUTED_VALUE"""),"DB")</f>
        <v>DB</v>
      </c>
      <c r="G7" s="3">
        <f>IFERROR(__xludf.DUMMYFUNCTION("""COMPUTED_VALUE"""),2.543453101300001E8)</f>
        <v>254345310.1</v>
      </c>
      <c r="H7" s="14"/>
      <c r="I7" s="14" t="str">
        <f>IFERROR(__xludf.DUMMYFUNCTION("""COMPUTED_VALUE"""),"NURUL_AINI")</f>
        <v>NURUL_AINI</v>
      </c>
      <c r="J7" s="3"/>
    </row>
    <row r="8">
      <c r="A8" s="14">
        <f>IFERROR(__xludf.DUMMYFUNCTION("""COMPUTED_VALUE"""),44954.0)</f>
        <v>44954</v>
      </c>
      <c r="B8" s="14" t="str">
        <f>IFERROR(__xludf.DUMMYFUNCTION("""COMPUTED_VALUE"""),"TRSF E-BANKING DB")</f>
        <v>TRSF E-BANKING DB</v>
      </c>
      <c r="C8" s="14" t="str">
        <f>IFERROR(__xludf.DUMMYFUNCTION("""COMPUTED_VALUE"""),"TRSF E-BANKING DB 2801/FTSCY/WS95271 2399000.00 NURUL AINI")</f>
        <v>TRSF E-BANKING DB 2801/FTSCY/WS95271 2399000.00 NURUL AINI</v>
      </c>
      <c r="D8" s="3">
        <f>IFERROR(__xludf.DUMMYFUNCTION("""COMPUTED_VALUE"""),2399000.0)</f>
        <v>2399000</v>
      </c>
      <c r="E8" s="14"/>
      <c r="F8" s="14" t="str">
        <f>IFERROR(__xludf.DUMMYFUNCTION("""COMPUTED_VALUE"""),"DB")</f>
        <v>DB</v>
      </c>
      <c r="G8" s="3">
        <f>IFERROR(__xludf.DUMMYFUNCTION("""COMPUTED_VALUE"""),9.793448513000011E7)</f>
        <v>97934485.13</v>
      </c>
      <c r="H8" s="14"/>
      <c r="I8" s="14" t="str">
        <f>IFERROR(__xludf.DUMMYFUNCTION("""COMPUTED_VALUE"""),"NURUL_AINI")</f>
        <v>NURUL_AINI</v>
      </c>
      <c r="J8" s="3"/>
    </row>
    <row r="9">
      <c r="D9" s="3"/>
      <c r="G9" s="3"/>
      <c r="J9" s="3"/>
    </row>
    <row r="10">
      <c r="D10" s="3"/>
      <c r="G10" s="3"/>
      <c r="J10" s="3"/>
    </row>
    <row r="11">
      <c r="D11" s="3"/>
      <c r="G11" s="3"/>
      <c r="J11" s="3"/>
    </row>
    <row r="12">
      <c r="D12" s="3"/>
      <c r="G12" s="3"/>
      <c r="J12" s="3"/>
    </row>
    <row r="13">
      <c r="D13" s="3"/>
      <c r="G13" s="3"/>
      <c r="J13" s="3"/>
    </row>
    <row r="14">
      <c r="D14" s="3"/>
      <c r="G14" s="3"/>
      <c r="J14" s="3"/>
    </row>
    <row r="15">
      <c r="D15" s="3"/>
      <c r="G15" s="3"/>
      <c r="J15" s="3"/>
    </row>
    <row r="16">
      <c r="D16" s="3"/>
      <c r="G16" s="3"/>
      <c r="J16" s="3"/>
    </row>
    <row r="17">
      <c r="D17" s="3"/>
      <c r="G17" s="3"/>
      <c r="J17" s="3"/>
    </row>
    <row r="18">
      <c r="D18" s="3"/>
      <c r="G18" s="3"/>
      <c r="J18" s="3"/>
    </row>
    <row r="19">
      <c r="D19" s="3"/>
      <c r="G19" s="3"/>
      <c r="J19" s="3"/>
    </row>
    <row r="20">
      <c r="D20" s="3"/>
      <c r="G20" s="3"/>
      <c r="J20" s="3"/>
    </row>
    <row r="21">
      <c r="D21" s="3"/>
      <c r="G21" s="3"/>
      <c r="J21" s="3"/>
    </row>
    <row r="22">
      <c r="D22" s="3"/>
      <c r="G22" s="3"/>
      <c r="J22" s="3"/>
    </row>
    <row r="23">
      <c r="D23" s="3"/>
      <c r="G23" s="3"/>
      <c r="J23" s="3"/>
    </row>
    <row r="24">
      <c r="D24" s="3"/>
      <c r="G24" s="3"/>
      <c r="J24" s="3"/>
    </row>
    <row r="25">
      <c r="D25" s="3"/>
      <c r="G25" s="3"/>
      <c r="J25" s="3"/>
    </row>
    <row r="26">
      <c r="D26" s="3"/>
      <c r="G26" s="3"/>
      <c r="J26" s="3"/>
    </row>
    <row r="27">
      <c r="D27" s="3"/>
      <c r="G27" s="3"/>
      <c r="J27" s="3"/>
    </row>
    <row r="28">
      <c r="D28" s="3"/>
      <c r="G28" s="3"/>
      <c r="J28" s="3"/>
    </row>
    <row r="29">
      <c r="D29" s="3"/>
      <c r="G29" s="3"/>
      <c r="J29" s="3"/>
    </row>
    <row r="30">
      <c r="D30" s="3"/>
      <c r="G30" s="3"/>
      <c r="J30" s="3"/>
    </row>
    <row r="31">
      <c r="D31" s="3"/>
      <c r="G31" s="3"/>
      <c r="J31" s="3"/>
    </row>
    <row r="32">
      <c r="D32" s="3"/>
      <c r="G32" s="3"/>
      <c r="J32" s="3"/>
    </row>
    <row r="33">
      <c r="D33" s="3"/>
      <c r="G33" s="3"/>
      <c r="J33" s="3"/>
    </row>
    <row r="34">
      <c r="D34" s="3"/>
      <c r="G34" s="3"/>
      <c r="J34" s="3"/>
    </row>
    <row r="35">
      <c r="D35" s="3"/>
      <c r="G35" s="3"/>
      <c r="J35" s="3"/>
    </row>
    <row r="36">
      <c r="D36" s="3"/>
      <c r="G36" s="3"/>
      <c r="J36" s="3"/>
    </row>
    <row r="37">
      <c r="D37" s="3"/>
      <c r="G37" s="3"/>
      <c r="J37" s="3"/>
    </row>
    <row r="38">
      <c r="D38" s="3"/>
      <c r="G38" s="3"/>
      <c r="J38" s="3"/>
    </row>
    <row r="39">
      <c r="D39" s="3"/>
      <c r="G39" s="3"/>
      <c r="J39" s="3"/>
    </row>
    <row r="40">
      <c r="D40" s="3"/>
      <c r="G40" s="3"/>
      <c r="J40" s="3"/>
    </row>
    <row r="41">
      <c r="D41" s="3"/>
      <c r="G41" s="3"/>
      <c r="J41" s="3"/>
    </row>
    <row r="42">
      <c r="D42" s="3"/>
      <c r="G42" s="3"/>
      <c r="J42" s="3"/>
    </row>
    <row r="43">
      <c r="D43" s="3"/>
      <c r="G43" s="3"/>
      <c r="J43" s="3"/>
    </row>
    <row r="44">
      <c r="D44" s="3"/>
      <c r="G44" s="3"/>
      <c r="J44" s="3"/>
    </row>
    <row r="45">
      <c r="D45" s="3"/>
      <c r="G45" s="3"/>
      <c r="J45" s="3"/>
    </row>
    <row r="46">
      <c r="D46" s="3"/>
      <c r="G46" s="3"/>
      <c r="J46" s="3"/>
    </row>
    <row r="47">
      <c r="D47" s="3"/>
      <c r="G47" s="3"/>
      <c r="J47" s="3"/>
    </row>
    <row r="48">
      <c r="D48" s="3"/>
      <c r="G48" s="3"/>
      <c r="J48" s="3"/>
    </row>
    <row r="49">
      <c r="D49" s="3"/>
      <c r="G49" s="3"/>
      <c r="J49" s="3"/>
    </row>
    <row r="50">
      <c r="D50" s="3"/>
      <c r="G50" s="3"/>
      <c r="J50" s="3"/>
    </row>
    <row r="51">
      <c r="D51" s="3"/>
      <c r="G51" s="3"/>
      <c r="J51" s="3"/>
    </row>
    <row r="52">
      <c r="D52" s="3"/>
      <c r="G52" s="3"/>
      <c r="J52" s="3"/>
    </row>
    <row r="53">
      <c r="D53" s="3"/>
      <c r="G53" s="3"/>
      <c r="J53" s="3"/>
    </row>
    <row r="54">
      <c r="D54" s="3"/>
      <c r="G54" s="3"/>
      <c r="J54" s="3"/>
    </row>
    <row r="55">
      <c r="D55" s="3"/>
      <c r="G55" s="3"/>
      <c r="J55" s="3"/>
    </row>
    <row r="56">
      <c r="D56" s="3"/>
      <c r="G56" s="3"/>
      <c r="J56" s="3"/>
    </row>
    <row r="57">
      <c r="D57" s="3"/>
      <c r="G57" s="3"/>
      <c r="J57" s="3"/>
    </row>
    <row r="58">
      <c r="D58" s="3"/>
      <c r="G58" s="3"/>
      <c r="J58" s="3"/>
    </row>
    <row r="59">
      <c r="D59" s="3"/>
      <c r="G59" s="3"/>
      <c r="J59" s="3"/>
    </row>
    <row r="60">
      <c r="D60" s="3"/>
      <c r="G60" s="3"/>
      <c r="J60" s="3"/>
    </row>
    <row r="61">
      <c r="D61" s="3"/>
      <c r="G61" s="3"/>
      <c r="J61" s="3"/>
    </row>
    <row r="62">
      <c r="D62" s="3"/>
      <c r="G62" s="3"/>
      <c r="J62" s="3"/>
    </row>
    <row r="63">
      <c r="D63" s="3"/>
      <c r="G63" s="3"/>
      <c r="J63" s="3"/>
    </row>
    <row r="64">
      <c r="D64" s="3"/>
      <c r="G64" s="3"/>
      <c r="J64" s="3"/>
    </row>
    <row r="65">
      <c r="D65" s="3"/>
      <c r="G65" s="3"/>
      <c r="J65" s="3"/>
    </row>
    <row r="66">
      <c r="D66" s="3"/>
      <c r="G66" s="3"/>
      <c r="J66" s="3"/>
    </row>
    <row r="67">
      <c r="D67" s="3"/>
      <c r="G67" s="3"/>
      <c r="J67" s="3"/>
    </row>
    <row r="68">
      <c r="D68" s="3"/>
      <c r="G68" s="3"/>
      <c r="J68" s="3"/>
    </row>
    <row r="69">
      <c r="D69" s="3"/>
      <c r="G69" s="3"/>
      <c r="J69" s="3"/>
    </row>
    <row r="70">
      <c r="D70" s="3"/>
      <c r="G70" s="3"/>
      <c r="J70" s="3"/>
    </row>
    <row r="71">
      <c r="D71" s="3"/>
      <c r="G71" s="3"/>
      <c r="J71" s="3"/>
    </row>
    <row r="72">
      <c r="D72" s="3"/>
      <c r="G72" s="3"/>
      <c r="J72" s="3"/>
    </row>
    <row r="73">
      <c r="D73" s="3"/>
      <c r="G73" s="3"/>
      <c r="J73" s="3"/>
    </row>
    <row r="74">
      <c r="D74" s="3"/>
      <c r="G74" s="3"/>
      <c r="J74" s="3"/>
    </row>
    <row r="75">
      <c r="D75" s="3"/>
      <c r="G75" s="3"/>
      <c r="J75" s="3"/>
    </row>
    <row r="76">
      <c r="D76" s="3"/>
      <c r="G76" s="3"/>
      <c r="J76" s="3"/>
    </row>
    <row r="77">
      <c r="D77" s="3"/>
      <c r="G77" s="3"/>
      <c r="J77" s="3"/>
    </row>
    <row r="78">
      <c r="D78" s="3"/>
      <c r="G78" s="3"/>
      <c r="J78" s="3"/>
    </row>
    <row r="79">
      <c r="D79" s="3"/>
      <c r="G79" s="3"/>
      <c r="J79" s="3"/>
    </row>
    <row r="80">
      <c r="D80" s="3"/>
      <c r="G80" s="3"/>
      <c r="J80" s="3"/>
    </row>
    <row r="81">
      <c r="D81" s="3"/>
      <c r="G81" s="3"/>
      <c r="J81" s="3"/>
    </row>
    <row r="82">
      <c r="D82" s="3"/>
      <c r="G82" s="3"/>
      <c r="J82" s="3"/>
    </row>
    <row r="83">
      <c r="D83" s="3"/>
      <c r="G83" s="3"/>
      <c r="J83" s="3"/>
    </row>
    <row r="84">
      <c r="D84" s="3"/>
      <c r="G84" s="3"/>
      <c r="J84" s="3"/>
    </row>
    <row r="85">
      <c r="D85" s="3"/>
      <c r="G85" s="3"/>
      <c r="J85" s="3"/>
    </row>
    <row r="86">
      <c r="D86" s="3"/>
      <c r="G86" s="3"/>
      <c r="J86" s="3"/>
    </row>
    <row r="87">
      <c r="D87" s="3"/>
      <c r="G87" s="3"/>
      <c r="J87" s="3"/>
    </row>
    <row r="88">
      <c r="D88" s="3"/>
      <c r="G88" s="3"/>
      <c r="J88" s="3"/>
    </row>
    <row r="89">
      <c r="D89" s="3"/>
      <c r="G89" s="3"/>
      <c r="J89" s="3"/>
    </row>
    <row r="90">
      <c r="D90" s="3"/>
      <c r="G90" s="3"/>
      <c r="J90" s="3"/>
    </row>
    <row r="91">
      <c r="D91" s="3"/>
      <c r="G91" s="3"/>
      <c r="J91" s="3"/>
    </row>
    <row r="92">
      <c r="D92" s="3"/>
      <c r="G92" s="3"/>
      <c r="J92" s="3"/>
    </row>
    <row r="93">
      <c r="D93" s="3"/>
      <c r="G93" s="3"/>
      <c r="J93" s="3"/>
    </row>
    <row r="94">
      <c r="D94" s="3"/>
      <c r="G94" s="3"/>
      <c r="J94" s="3"/>
    </row>
    <row r="95">
      <c r="D95" s="3"/>
      <c r="G95" s="3"/>
      <c r="J95" s="3"/>
    </row>
    <row r="96">
      <c r="D96" s="3"/>
      <c r="G96" s="3"/>
      <c r="J96" s="3"/>
    </row>
    <row r="97">
      <c r="D97" s="3"/>
      <c r="G97" s="3"/>
      <c r="J97" s="3"/>
    </row>
    <row r="98">
      <c r="D98" s="3"/>
      <c r="G98" s="3"/>
      <c r="J98" s="3"/>
    </row>
    <row r="99">
      <c r="D99" s="3"/>
      <c r="G99" s="3"/>
      <c r="J99" s="3"/>
    </row>
    <row r="100">
      <c r="D100" s="3"/>
      <c r="G100" s="3"/>
      <c r="J100" s="3"/>
    </row>
    <row r="101">
      <c r="D101" s="3"/>
      <c r="G101" s="3"/>
      <c r="J101" s="3"/>
    </row>
    <row r="102">
      <c r="D102" s="3"/>
      <c r="G102" s="3"/>
      <c r="J102" s="3"/>
    </row>
    <row r="103">
      <c r="D103" s="3"/>
      <c r="G103" s="3"/>
      <c r="J103" s="3"/>
    </row>
    <row r="104">
      <c r="D104" s="3"/>
      <c r="G104" s="3"/>
      <c r="J104" s="3"/>
    </row>
    <row r="105">
      <c r="D105" s="3"/>
      <c r="G105" s="3"/>
      <c r="J105" s="3"/>
    </row>
    <row r="106">
      <c r="D106" s="3"/>
      <c r="G106" s="3"/>
      <c r="J106" s="3"/>
    </row>
    <row r="107">
      <c r="D107" s="3"/>
      <c r="G107" s="3"/>
      <c r="J107" s="3"/>
    </row>
    <row r="108">
      <c r="D108" s="3"/>
      <c r="G108" s="3"/>
      <c r="J108" s="3"/>
    </row>
    <row r="109">
      <c r="D109" s="3"/>
      <c r="G109" s="3"/>
      <c r="J109" s="3"/>
    </row>
    <row r="110">
      <c r="D110" s="3"/>
      <c r="G110" s="3"/>
      <c r="J110" s="3"/>
    </row>
    <row r="111">
      <c r="D111" s="3"/>
      <c r="G111" s="3"/>
      <c r="J111" s="3"/>
    </row>
    <row r="112">
      <c r="D112" s="3"/>
      <c r="G112" s="3"/>
      <c r="J112" s="3"/>
    </row>
    <row r="113">
      <c r="D113" s="3"/>
      <c r="G113" s="3"/>
      <c r="J113" s="3"/>
    </row>
    <row r="114">
      <c r="D114" s="3"/>
      <c r="G114" s="3"/>
      <c r="J114" s="3"/>
    </row>
    <row r="115">
      <c r="D115" s="3"/>
      <c r="G115" s="3"/>
      <c r="J115" s="3"/>
    </row>
    <row r="116">
      <c r="D116" s="3"/>
      <c r="G116" s="3"/>
      <c r="J116" s="3"/>
    </row>
    <row r="117">
      <c r="D117" s="3"/>
      <c r="G117" s="3"/>
      <c r="J117" s="3"/>
    </row>
    <row r="118">
      <c r="D118" s="3"/>
      <c r="G118" s="3"/>
      <c r="J118" s="3"/>
    </row>
    <row r="119">
      <c r="D119" s="3"/>
      <c r="G119" s="3"/>
      <c r="J119" s="3"/>
    </row>
    <row r="120">
      <c r="D120" s="3"/>
      <c r="G120" s="3"/>
      <c r="J120" s="3"/>
    </row>
    <row r="121">
      <c r="D121" s="3"/>
      <c r="G121" s="3"/>
      <c r="J121" s="3"/>
    </row>
    <row r="122">
      <c r="D122" s="3"/>
      <c r="G122" s="3"/>
      <c r="J122" s="3"/>
    </row>
    <row r="123">
      <c r="D123" s="3"/>
      <c r="G123" s="3"/>
      <c r="J123" s="3"/>
    </row>
    <row r="124">
      <c r="D124" s="3"/>
      <c r="G124" s="3"/>
      <c r="J124" s="3"/>
    </row>
    <row r="125">
      <c r="D125" s="3"/>
      <c r="G125" s="3"/>
      <c r="J125" s="3"/>
    </row>
    <row r="126">
      <c r="D126" s="3"/>
      <c r="G126" s="3"/>
      <c r="J126" s="3"/>
    </row>
    <row r="127">
      <c r="D127" s="3"/>
      <c r="G127" s="3"/>
      <c r="J127" s="3"/>
    </row>
    <row r="128">
      <c r="D128" s="3"/>
      <c r="G128" s="3"/>
      <c r="J128" s="3"/>
    </row>
    <row r="129">
      <c r="D129" s="3"/>
      <c r="G129" s="3"/>
      <c r="J129" s="3"/>
    </row>
    <row r="130">
      <c r="D130" s="3"/>
      <c r="G130" s="3"/>
      <c r="J130" s="3"/>
    </row>
    <row r="131">
      <c r="D131" s="3"/>
      <c r="G131" s="3"/>
      <c r="J131" s="3"/>
    </row>
    <row r="132">
      <c r="D132" s="3"/>
      <c r="G132" s="3"/>
      <c r="J132" s="3"/>
    </row>
    <row r="133">
      <c r="D133" s="3"/>
      <c r="G133" s="3"/>
      <c r="J133" s="3"/>
    </row>
    <row r="134">
      <c r="D134" s="3"/>
      <c r="G134" s="3"/>
      <c r="J134" s="3"/>
    </row>
    <row r="135">
      <c r="D135" s="3"/>
      <c r="G135" s="3"/>
      <c r="J135" s="3"/>
    </row>
    <row r="136">
      <c r="D136" s="3"/>
      <c r="G136" s="3"/>
      <c r="J136" s="3"/>
    </row>
    <row r="137">
      <c r="D137" s="3"/>
      <c r="G137" s="3"/>
      <c r="J137" s="3"/>
    </row>
    <row r="138">
      <c r="D138" s="3"/>
      <c r="G138" s="3"/>
      <c r="J138" s="3"/>
    </row>
    <row r="139">
      <c r="D139" s="3"/>
      <c r="G139" s="3"/>
      <c r="J139" s="3"/>
    </row>
    <row r="140">
      <c r="D140" s="3"/>
      <c r="G140" s="3"/>
      <c r="J140" s="3"/>
    </row>
    <row r="141">
      <c r="D141" s="3"/>
      <c r="G141" s="3"/>
      <c r="J141" s="3"/>
    </row>
    <row r="142">
      <c r="D142" s="3"/>
      <c r="G142" s="3"/>
      <c r="J142" s="3"/>
    </row>
    <row r="143">
      <c r="D143" s="3"/>
      <c r="G143" s="3"/>
      <c r="J143" s="3"/>
    </row>
    <row r="144">
      <c r="D144" s="3"/>
      <c r="G144" s="3"/>
      <c r="J144" s="3"/>
    </row>
    <row r="145">
      <c r="D145" s="3"/>
      <c r="G145" s="3"/>
      <c r="J145" s="3"/>
    </row>
    <row r="146">
      <c r="D146" s="3"/>
      <c r="G146" s="3"/>
      <c r="J146" s="3"/>
    </row>
    <row r="147">
      <c r="D147" s="3"/>
      <c r="G147" s="3"/>
      <c r="J147" s="3"/>
    </row>
    <row r="148">
      <c r="D148" s="3"/>
      <c r="G148" s="3"/>
      <c r="J148" s="3"/>
    </row>
    <row r="149">
      <c r="D149" s="3"/>
      <c r="G149" s="3"/>
      <c r="J149" s="3"/>
    </row>
    <row r="150">
      <c r="D150" s="3"/>
      <c r="G150" s="3"/>
      <c r="J150" s="3"/>
    </row>
    <row r="151">
      <c r="D151" s="3"/>
      <c r="G151" s="3"/>
      <c r="J151" s="3"/>
    </row>
    <row r="152">
      <c r="D152" s="3"/>
      <c r="G152" s="3"/>
      <c r="J152" s="3"/>
    </row>
    <row r="153">
      <c r="D153" s="3"/>
      <c r="G153" s="3"/>
      <c r="J153" s="3"/>
    </row>
    <row r="154">
      <c r="D154" s="3"/>
      <c r="G154" s="3"/>
      <c r="J154" s="3"/>
    </row>
    <row r="155">
      <c r="D155" s="3"/>
      <c r="G155" s="3"/>
      <c r="J155" s="3"/>
    </row>
    <row r="156">
      <c r="D156" s="3"/>
      <c r="G156" s="3"/>
      <c r="J156" s="3"/>
    </row>
    <row r="157">
      <c r="D157" s="3"/>
      <c r="G157" s="3"/>
      <c r="J157" s="3"/>
    </row>
    <row r="158">
      <c r="D158" s="3"/>
      <c r="G158" s="3"/>
      <c r="J158" s="3"/>
    </row>
    <row r="159">
      <c r="D159" s="3"/>
      <c r="G159" s="3"/>
      <c r="J159" s="3"/>
    </row>
    <row r="160">
      <c r="D160" s="3"/>
      <c r="G160" s="3"/>
      <c r="J160" s="3"/>
    </row>
    <row r="161">
      <c r="D161" s="3"/>
      <c r="G161" s="3"/>
      <c r="J161" s="3"/>
    </row>
    <row r="162">
      <c r="D162" s="3"/>
      <c r="G162" s="3"/>
      <c r="J162" s="3"/>
    </row>
    <row r="163">
      <c r="D163" s="3"/>
      <c r="G163" s="3"/>
      <c r="J163" s="3"/>
    </row>
    <row r="164">
      <c r="D164" s="3"/>
      <c r="G164" s="3"/>
      <c r="J164" s="3"/>
    </row>
    <row r="165">
      <c r="D165" s="3"/>
      <c r="G165" s="3"/>
      <c r="J165" s="3"/>
    </row>
    <row r="166">
      <c r="D166" s="3"/>
      <c r="G166" s="3"/>
      <c r="J166" s="3"/>
    </row>
    <row r="167">
      <c r="D167" s="3"/>
      <c r="G167" s="3"/>
      <c r="J167" s="3"/>
    </row>
    <row r="168">
      <c r="D168" s="3"/>
      <c r="G168" s="3"/>
      <c r="J168" s="3"/>
    </row>
    <row r="169">
      <c r="D169" s="3"/>
      <c r="G169" s="3"/>
      <c r="J169" s="3"/>
    </row>
    <row r="170">
      <c r="D170" s="3"/>
      <c r="G170" s="3"/>
      <c r="J170" s="3"/>
    </row>
    <row r="171">
      <c r="D171" s="3"/>
      <c r="G171" s="3"/>
      <c r="J171" s="3"/>
    </row>
    <row r="172">
      <c r="D172" s="3"/>
      <c r="G172" s="3"/>
      <c r="J172" s="3"/>
    </row>
    <row r="173">
      <c r="D173" s="3"/>
      <c r="G173" s="3"/>
      <c r="J173" s="3"/>
    </row>
    <row r="174">
      <c r="D174" s="3"/>
      <c r="G174" s="3"/>
      <c r="J174" s="3"/>
    </row>
    <row r="175">
      <c r="D175" s="3"/>
      <c r="G175" s="3"/>
      <c r="J175" s="3"/>
    </row>
    <row r="176">
      <c r="D176" s="3"/>
      <c r="G176" s="3"/>
      <c r="J176" s="3"/>
    </row>
    <row r="177">
      <c r="D177" s="3"/>
      <c r="G177" s="3"/>
      <c r="J177" s="3"/>
    </row>
    <row r="178">
      <c r="D178" s="3"/>
      <c r="G178" s="3"/>
      <c r="J178" s="3"/>
    </row>
    <row r="179">
      <c r="D179" s="3"/>
      <c r="G179" s="3"/>
      <c r="J179" s="3"/>
    </row>
    <row r="180">
      <c r="D180" s="3"/>
      <c r="G180" s="3"/>
      <c r="J180" s="3"/>
    </row>
    <row r="181">
      <c r="D181" s="3"/>
      <c r="G181" s="3"/>
      <c r="J181" s="3"/>
    </row>
    <row r="182">
      <c r="D182" s="3"/>
      <c r="G182" s="3"/>
      <c r="J182" s="3"/>
    </row>
    <row r="183">
      <c r="D183" s="3"/>
      <c r="G183" s="3"/>
      <c r="J183" s="3"/>
    </row>
    <row r="184">
      <c r="D184" s="3"/>
      <c r="G184" s="3"/>
      <c r="J184" s="3"/>
    </row>
    <row r="185">
      <c r="D185" s="3"/>
      <c r="G185" s="3"/>
      <c r="J185" s="3"/>
    </row>
    <row r="186">
      <c r="D186" s="3"/>
      <c r="G186" s="3"/>
      <c r="J186" s="3"/>
    </row>
    <row r="187">
      <c r="D187" s="3"/>
      <c r="G187" s="3"/>
      <c r="J187" s="3"/>
    </row>
    <row r="188">
      <c r="D188" s="3"/>
      <c r="G188" s="3"/>
      <c r="J188" s="3"/>
    </row>
    <row r="189">
      <c r="D189" s="3"/>
      <c r="G189" s="3"/>
      <c r="J189" s="3"/>
    </row>
    <row r="190">
      <c r="D190" s="3"/>
      <c r="G190" s="3"/>
      <c r="J190" s="3"/>
    </row>
    <row r="191">
      <c r="D191" s="3"/>
      <c r="G191" s="3"/>
      <c r="J191" s="3"/>
    </row>
    <row r="192">
      <c r="D192" s="3"/>
      <c r="G192" s="3"/>
      <c r="J192" s="3"/>
    </row>
    <row r="193">
      <c r="D193" s="3"/>
      <c r="G193" s="3"/>
      <c r="J193" s="3"/>
    </row>
    <row r="194">
      <c r="D194" s="3"/>
      <c r="G194" s="3"/>
      <c r="J194" s="3"/>
    </row>
    <row r="195">
      <c r="D195" s="3"/>
      <c r="G195" s="3"/>
      <c r="J195" s="3"/>
    </row>
    <row r="196">
      <c r="D196" s="3"/>
      <c r="G196" s="3"/>
      <c r="J196" s="3"/>
    </row>
    <row r="197">
      <c r="D197" s="3"/>
      <c r="G197" s="3"/>
      <c r="J197" s="3"/>
    </row>
    <row r="198">
      <c r="D198" s="3"/>
      <c r="G198" s="3"/>
      <c r="J198" s="3"/>
    </row>
    <row r="199">
      <c r="D199" s="3"/>
      <c r="G199" s="3"/>
      <c r="J199" s="3"/>
    </row>
    <row r="200">
      <c r="D200" s="3"/>
      <c r="G200" s="3"/>
      <c r="J200" s="3"/>
    </row>
    <row r="201">
      <c r="D201" s="3"/>
      <c r="G201" s="3"/>
      <c r="J201" s="3"/>
    </row>
    <row r="202">
      <c r="D202" s="3"/>
      <c r="G202" s="3"/>
      <c r="J202" s="3"/>
    </row>
    <row r="203">
      <c r="D203" s="3"/>
      <c r="G203" s="3"/>
      <c r="J203" s="3"/>
    </row>
    <row r="204">
      <c r="D204" s="3"/>
      <c r="G204" s="3"/>
      <c r="J204" s="3"/>
    </row>
    <row r="205">
      <c r="D205" s="3"/>
      <c r="G205" s="3"/>
      <c r="J205" s="3"/>
    </row>
    <row r="206">
      <c r="D206" s="3"/>
      <c r="G206" s="3"/>
      <c r="J206" s="3"/>
    </row>
    <row r="207">
      <c r="D207" s="3"/>
      <c r="G207" s="3"/>
      <c r="J207" s="3"/>
    </row>
    <row r="208">
      <c r="D208" s="3"/>
      <c r="G208" s="3"/>
      <c r="J208" s="3"/>
    </row>
    <row r="209">
      <c r="D209" s="3"/>
      <c r="G209" s="3"/>
      <c r="J209" s="3"/>
    </row>
    <row r="210">
      <c r="D210" s="3"/>
      <c r="G210" s="3"/>
      <c r="J210" s="3"/>
    </row>
    <row r="211">
      <c r="D211" s="3"/>
      <c r="G211" s="3"/>
      <c r="J211" s="3"/>
    </row>
    <row r="212">
      <c r="D212" s="3"/>
      <c r="G212" s="3"/>
      <c r="J212" s="3"/>
    </row>
    <row r="213">
      <c r="D213" s="3"/>
      <c r="G213" s="3"/>
      <c r="J213" s="3"/>
    </row>
    <row r="214">
      <c r="D214" s="3"/>
      <c r="G214" s="3"/>
      <c r="J214" s="3"/>
    </row>
    <row r="215">
      <c r="D215" s="3"/>
      <c r="G215" s="3"/>
      <c r="J215" s="3"/>
    </row>
    <row r="216">
      <c r="D216" s="3"/>
      <c r="G216" s="3"/>
      <c r="J216" s="3"/>
    </row>
    <row r="217">
      <c r="D217" s="3"/>
      <c r="G217" s="3"/>
      <c r="J217" s="3"/>
    </row>
    <row r="218">
      <c r="D218" s="3"/>
      <c r="G218" s="3"/>
      <c r="J218" s="3"/>
    </row>
    <row r="219">
      <c r="D219" s="3"/>
      <c r="G219" s="3"/>
      <c r="J219" s="3"/>
    </row>
    <row r="220">
      <c r="D220" s="3"/>
      <c r="G220" s="3"/>
      <c r="J220" s="3"/>
    </row>
    <row r="221">
      <c r="D221" s="3"/>
      <c r="G221" s="3"/>
      <c r="J221" s="3"/>
    </row>
    <row r="222">
      <c r="D222" s="3"/>
      <c r="G222" s="3"/>
      <c r="J222" s="3"/>
    </row>
    <row r="223">
      <c r="D223" s="3"/>
      <c r="G223" s="3"/>
      <c r="J223" s="3"/>
    </row>
    <row r="224">
      <c r="D224" s="3"/>
      <c r="G224" s="3"/>
      <c r="J224" s="3"/>
    </row>
    <row r="225">
      <c r="D225" s="3"/>
      <c r="G225" s="3"/>
      <c r="J225" s="3"/>
    </row>
    <row r="226">
      <c r="D226" s="3"/>
      <c r="G226" s="3"/>
      <c r="J226" s="3"/>
    </row>
    <row r="227">
      <c r="D227" s="3"/>
      <c r="G227" s="3"/>
      <c r="J227" s="3"/>
    </row>
    <row r="228">
      <c r="D228" s="3"/>
      <c r="G228" s="3"/>
      <c r="J228" s="3"/>
    </row>
    <row r="229">
      <c r="D229" s="3"/>
      <c r="G229" s="3"/>
      <c r="J229" s="3"/>
    </row>
    <row r="230">
      <c r="D230" s="3"/>
      <c r="G230" s="3"/>
      <c r="J230" s="3"/>
    </row>
    <row r="231">
      <c r="D231" s="3"/>
      <c r="G231" s="3"/>
      <c r="J231" s="3"/>
    </row>
    <row r="232">
      <c r="D232" s="3"/>
      <c r="G232" s="3"/>
      <c r="J232" s="3"/>
    </row>
    <row r="233">
      <c r="D233" s="3"/>
      <c r="G233" s="3"/>
      <c r="J233" s="3"/>
    </row>
    <row r="234">
      <c r="D234" s="3"/>
      <c r="G234" s="3"/>
      <c r="J234" s="3"/>
    </row>
    <row r="235">
      <c r="D235" s="3"/>
      <c r="G235" s="3"/>
      <c r="J235" s="3"/>
    </row>
    <row r="236">
      <c r="D236" s="3"/>
      <c r="G236" s="3"/>
      <c r="J236" s="3"/>
    </row>
    <row r="237">
      <c r="D237" s="3"/>
      <c r="G237" s="3"/>
      <c r="J237" s="3"/>
    </row>
    <row r="238">
      <c r="D238" s="3"/>
      <c r="G238" s="3"/>
      <c r="J238" s="3"/>
    </row>
    <row r="239">
      <c r="D239" s="3"/>
      <c r="G239" s="3"/>
      <c r="J239" s="3"/>
    </row>
    <row r="240">
      <c r="D240" s="3"/>
      <c r="G240" s="3"/>
      <c r="J240" s="3"/>
    </row>
    <row r="241">
      <c r="D241" s="3"/>
      <c r="G241" s="3"/>
      <c r="J241" s="3"/>
    </row>
    <row r="242">
      <c r="D242" s="3"/>
      <c r="G242" s="3"/>
      <c r="J242" s="3"/>
    </row>
    <row r="243">
      <c r="D243" s="3"/>
      <c r="G243" s="3"/>
      <c r="J243" s="3"/>
    </row>
    <row r="244">
      <c r="D244" s="3"/>
      <c r="G244" s="3"/>
      <c r="J244" s="3"/>
    </row>
    <row r="245">
      <c r="D245" s="3"/>
      <c r="G245" s="3"/>
      <c r="J245" s="3"/>
    </row>
    <row r="246">
      <c r="D246" s="3"/>
      <c r="G246" s="3"/>
      <c r="J246" s="3"/>
    </row>
    <row r="247">
      <c r="D247" s="3"/>
      <c r="G247" s="3"/>
      <c r="J247" s="3"/>
    </row>
    <row r="248">
      <c r="D248" s="3"/>
      <c r="G248" s="3"/>
      <c r="J248" s="3"/>
    </row>
    <row r="249">
      <c r="D249" s="3"/>
      <c r="G249" s="3"/>
      <c r="J249" s="3"/>
    </row>
    <row r="250">
      <c r="D250" s="3"/>
      <c r="G250" s="3"/>
      <c r="J250" s="3"/>
    </row>
    <row r="251">
      <c r="D251" s="3"/>
      <c r="G251" s="3"/>
      <c r="J251" s="3"/>
    </row>
    <row r="252">
      <c r="D252" s="3"/>
      <c r="G252" s="3"/>
      <c r="J252" s="3"/>
    </row>
    <row r="253">
      <c r="D253" s="3"/>
      <c r="G253" s="3"/>
      <c r="J253" s="3"/>
    </row>
    <row r="254">
      <c r="D254" s="3"/>
      <c r="G254" s="3"/>
      <c r="J254" s="3"/>
    </row>
    <row r="255">
      <c r="D255" s="3"/>
      <c r="G255" s="3"/>
      <c r="J255" s="3"/>
    </row>
    <row r="256">
      <c r="D256" s="3"/>
      <c r="G256" s="3"/>
      <c r="J256" s="3"/>
    </row>
    <row r="257">
      <c r="D257" s="3"/>
      <c r="G257" s="3"/>
      <c r="J257" s="3"/>
    </row>
    <row r="258">
      <c r="D258" s="3"/>
      <c r="G258" s="3"/>
      <c r="J258" s="3"/>
    </row>
    <row r="259">
      <c r="D259" s="3"/>
      <c r="G259" s="3"/>
      <c r="J259" s="3"/>
    </row>
    <row r="260">
      <c r="D260" s="3"/>
      <c r="G260" s="3"/>
      <c r="J260" s="3"/>
    </row>
    <row r="261">
      <c r="D261" s="3"/>
      <c r="G261" s="3"/>
      <c r="J261" s="3"/>
    </row>
    <row r="262">
      <c r="D262" s="3"/>
      <c r="G262" s="3"/>
      <c r="J262" s="3"/>
    </row>
    <row r="263">
      <c r="D263" s="3"/>
      <c r="G263" s="3"/>
      <c r="J263" s="3"/>
    </row>
    <row r="264">
      <c r="D264" s="3"/>
      <c r="G264" s="3"/>
      <c r="J264" s="3"/>
    </row>
    <row r="265">
      <c r="D265" s="3"/>
      <c r="G265" s="3"/>
      <c r="J265" s="3"/>
    </row>
    <row r="266">
      <c r="D266" s="3"/>
      <c r="G266" s="3"/>
      <c r="J266" s="3"/>
    </row>
    <row r="267">
      <c r="D267" s="3"/>
      <c r="G267" s="3"/>
      <c r="J267" s="3"/>
    </row>
    <row r="268">
      <c r="D268" s="3"/>
      <c r="G268" s="3"/>
      <c r="J268" s="3"/>
    </row>
    <row r="269">
      <c r="D269" s="3"/>
      <c r="G269" s="3"/>
      <c r="J269" s="3"/>
    </row>
    <row r="270">
      <c r="D270" s="3"/>
      <c r="G270" s="3"/>
      <c r="J270" s="3"/>
    </row>
    <row r="271">
      <c r="D271" s="3"/>
      <c r="G271" s="3"/>
      <c r="J271" s="3"/>
    </row>
    <row r="272">
      <c r="D272" s="3"/>
      <c r="G272" s="3"/>
      <c r="J272" s="3"/>
    </row>
    <row r="273">
      <c r="D273" s="3"/>
      <c r="G273" s="3"/>
      <c r="J273" s="3"/>
    </row>
    <row r="274">
      <c r="D274" s="3"/>
      <c r="G274" s="3"/>
      <c r="J274" s="3"/>
    </row>
    <row r="275">
      <c r="D275" s="3"/>
      <c r="G275" s="3"/>
      <c r="J275" s="3"/>
    </row>
    <row r="276">
      <c r="D276" s="3"/>
      <c r="G276" s="3"/>
      <c r="J276" s="3"/>
    </row>
    <row r="277">
      <c r="D277" s="3"/>
      <c r="G277" s="3"/>
      <c r="J277" s="3"/>
    </row>
    <row r="278">
      <c r="D278" s="3"/>
      <c r="G278" s="3"/>
      <c r="J278" s="3"/>
    </row>
    <row r="279">
      <c r="D279" s="3"/>
      <c r="G279" s="3"/>
      <c r="J279" s="3"/>
    </row>
    <row r="280">
      <c r="D280" s="3"/>
      <c r="G280" s="3"/>
      <c r="J280" s="3"/>
    </row>
    <row r="281">
      <c r="D281" s="3"/>
      <c r="G281" s="3"/>
      <c r="J281" s="3"/>
    </row>
    <row r="282">
      <c r="D282" s="3"/>
      <c r="G282" s="3"/>
      <c r="J282" s="3"/>
    </row>
    <row r="283">
      <c r="D283" s="3"/>
      <c r="G283" s="3"/>
      <c r="J283" s="3"/>
    </row>
    <row r="284">
      <c r="D284" s="3"/>
      <c r="G284" s="3"/>
      <c r="J284" s="3"/>
    </row>
    <row r="285">
      <c r="D285" s="3"/>
      <c r="G285" s="3"/>
      <c r="J285" s="3"/>
    </row>
    <row r="286">
      <c r="D286" s="3"/>
      <c r="G286" s="3"/>
      <c r="J286" s="3"/>
    </row>
    <row r="287">
      <c r="D287" s="3"/>
      <c r="G287" s="3"/>
      <c r="J287" s="3"/>
    </row>
    <row r="288">
      <c r="D288" s="3"/>
      <c r="G288" s="3"/>
      <c r="J288" s="3"/>
    </row>
    <row r="289">
      <c r="D289" s="3"/>
      <c r="G289" s="3"/>
      <c r="J289" s="3"/>
    </row>
    <row r="290">
      <c r="D290" s="3"/>
      <c r="G290" s="3"/>
      <c r="J290" s="3"/>
    </row>
    <row r="291">
      <c r="D291" s="3"/>
      <c r="G291" s="3"/>
      <c r="J291" s="3"/>
    </row>
    <row r="292">
      <c r="D292" s="3"/>
      <c r="G292" s="3"/>
      <c r="J292" s="3"/>
    </row>
    <row r="293">
      <c r="D293" s="3"/>
      <c r="G293" s="3"/>
      <c r="J293" s="3"/>
    </row>
    <row r="294">
      <c r="D294" s="3"/>
      <c r="G294" s="3"/>
      <c r="J294" s="3"/>
    </row>
    <row r="295">
      <c r="D295" s="3"/>
      <c r="G295" s="3"/>
      <c r="J295" s="3"/>
    </row>
    <row r="296">
      <c r="D296" s="3"/>
      <c r="G296" s="3"/>
      <c r="J296" s="3"/>
    </row>
    <row r="297">
      <c r="D297" s="3"/>
      <c r="G297" s="3"/>
      <c r="J297" s="3"/>
    </row>
    <row r="298">
      <c r="D298" s="3"/>
      <c r="G298" s="3"/>
      <c r="J298" s="3"/>
    </row>
    <row r="299">
      <c r="D299" s="3"/>
      <c r="G299" s="3"/>
      <c r="J299" s="3"/>
    </row>
    <row r="300">
      <c r="D300" s="3"/>
      <c r="G300" s="3"/>
      <c r="J300" s="3"/>
    </row>
    <row r="301">
      <c r="D301" s="3"/>
      <c r="G301" s="3"/>
      <c r="J301" s="3"/>
    </row>
    <row r="302">
      <c r="D302" s="3"/>
      <c r="G302" s="3"/>
      <c r="J302" s="3"/>
    </row>
    <row r="303">
      <c r="D303" s="3"/>
      <c r="G303" s="3"/>
      <c r="J303" s="3"/>
    </row>
    <row r="304">
      <c r="D304" s="3"/>
      <c r="G304" s="3"/>
      <c r="J304" s="3"/>
    </row>
    <row r="305">
      <c r="D305" s="3"/>
      <c r="G305" s="3"/>
      <c r="J305" s="3"/>
    </row>
    <row r="306">
      <c r="D306" s="3"/>
      <c r="G306" s="3"/>
      <c r="J306" s="3"/>
    </row>
    <row r="307">
      <c r="D307" s="3"/>
      <c r="G307" s="3"/>
      <c r="J307" s="3"/>
    </row>
    <row r="308">
      <c r="D308" s="3"/>
      <c r="G308" s="3"/>
      <c r="J308" s="3"/>
    </row>
    <row r="309">
      <c r="D309" s="3"/>
      <c r="G309" s="3"/>
      <c r="J309" s="3"/>
    </row>
    <row r="310">
      <c r="D310" s="3"/>
      <c r="G310" s="3"/>
      <c r="J310" s="3"/>
    </row>
    <row r="311">
      <c r="D311" s="3"/>
      <c r="G311" s="3"/>
      <c r="J311" s="3"/>
    </row>
    <row r="312">
      <c r="D312" s="3"/>
      <c r="G312" s="3"/>
      <c r="J312" s="3"/>
    </row>
    <row r="313">
      <c r="D313" s="3"/>
      <c r="G313" s="3"/>
      <c r="J313" s="3"/>
    </row>
    <row r="314">
      <c r="D314" s="3"/>
      <c r="G314" s="3"/>
      <c r="J314" s="3"/>
    </row>
    <row r="315">
      <c r="D315" s="3"/>
      <c r="G315" s="3"/>
      <c r="J315" s="3"/>
    </row>
    <row r="316">
      <c r="D316" s="3"/>
      <c r="G316" s="3"/>
      <c r="J316" s="3"/>
    </row>
    <row r="317">
      <c r="D317" s="3"/>
      <c r="G317" s="3"/>
      <c r="J317" s="3"/>
    </row>
    <row r="318">
      <c r="D318" s="3"/>
      <c r="G318" s="3"/>
      <c r="J318" s="3"/>
    </row>
    <row r="319">
      <c r="D319" s="3"/>
      <c r="G319" s="3"/>
      <c r="J319" s="3"/>
    </row>
    <row r="320">
      <c r="D320" s="3"/>
      <c r="G320" s="3"/>
      <c r="J320" s="3"/>
    </row>
    <row r="321">
      <c r="D321" s="3"/>
      <c r="G321" s="3"/>
      <c r="J321" s="3"/>
    </row>
    <row r="322">
      <c r="D322" s="3"/>
      <c r="G322" s="3"/>
      <c r="J322" s="3"/>
    </row>
    <row r="323">
      <c r="D323" s="3"/>
      <c r="G323" s="3"/>
      <c r="J323" s="3"/>
    </row>
    <row r="324">
      <c r="D324" s="3"/>
      <c r="G324" s="3"/>
      <c r="J324" s="3"/>
    </row>
    <row r="325">
      <c r="D325" s="3"/>
      <c r="G325" s="3"/>
      <c r="J325" s="3"/>
    </row>
    <row r="326">
      <c r="D326" s="3"/>
      <c r="G326" s="3"/>
      <c r="J326" s="3"/>
    </row>
    <row r="327">
      <c r="D327" s="3"/>
      <c r="G327" s="3"/>
      <c r="J327" s="3"/>
    </row>
    <row r="328">
      <c r="D328" s="3"/>
      <c r="G328" s="3"/>
      <c r="J328" s="3"/>
    </row>
    <row r="329">
      <c r="D329" s="3"/>
      <c r="G329" s="3"/>
      <c r="J329" s="3"/>
    </row>
    <row r="330">
      <c r="D330" s="3"/>
      <c r="G330" s="3"/>
      <c r="J330" s="3"/>
    </row>
    <row r="331">
      <c r="D331" s="3"/>
      <c r="G331" s="3"/>
      <c r="J331" s="3"/>
    </row>
    <row r="332">
      <c r="D332" s="3"/>
      <c r="G332" s="3"/>
      <c r="J332" s="3"/>
    </row>
    <row r="333">
      <c r="D333" s="3"/>
      <c r="G333" s="3"/>
      <c r="J333" s="3"/>
    </row>
    <row r="334">
      <c r="D334" s="3"/>
      <c r="G334" s="3"/>
      <c r="J334" s="3"/>
    </row>
    <row r="335">
      <c r="D335" s="3"/>
      <c r="G335" s="3"/>
      <c r="J335" s="3"/>
    </row>
    <row r="336">
      <c r="D336" s="3"/>
      <c r="G336" s="3"/>
      <c r="J336" s="3"/>
    </row>
    <row r="337">
      <c r="D337" s="3"/>
      <c r="G337" s="3"/>
      <c r="J337" s="3"/>
    </row>
    <row r="338">
      <c r="D338" s="3"/>
      <c r="G338" s="3"/>
      <c r="J338" s="3"/>
    </row>
    <row r="339">
      <c r="D339" s="3"/>
      <c r="G339" s="3"/>
      <c r="J339" s="3"/>
    </row>
    <row r="340">
      <c r="D340" s="3"/>
      <c r="G340" s="3"/>
      <c r="J340" s="3"/>
    </row>
    <row r="341">
      <c r="D341" s="3"/>
      <c r="G341" s="3"/>
      <c r="J341" s="3"/>
    </row>
    <row r="342">
      <c r="D342" s="3"/>
      <c r="G342" s="3"/>
      <c r="J342" s="3"/>
    </row>
    <row r="343">
      <c r="D343" s="3"/>
      <c r="G343" s="3"/>
      <c r="J343" s="3"/>
    </row>
    <row r="344">
      <c r="D344" s="3"/>
      <c r="G344" s="3"/>
      <c r="J344" s="3"/>
    </row>
    <row r="345">
      <c r="D345" s="3"/>
      <c r="G345" s="3"/>
      <c r="J345" s="3"/>
    </row>
    <row r="346">
      <c r="D346" s="3"/>
      <c r="G346" s="3"/>
      <c r="J346" s="3"/>
    </row>
    <row r="347">
      <c r="D347" s="3"/>
      <c r="G347" s="3"/>
      <c r="J347" s="3"/>
    </row>
    <row r="348">
      <c r="D348" s="3"/>
      <c r="G348" s="3"/>
      <c r="J348" s="3"/>
    </row>
    <row r="349">
      <c r="D349" s="3"/>
      <c r="G349" s="3"/>
      <c r="J349" s="3"/>
    </row>
    <row r="350">
      <c r="D350" s="3"/>
      <c r="G350" s="3"/>
      <c r="J350" s="3"/>
    </row>
    <row r="351">
      <c r="D351" s="3"/>
      <c r="G351" s="3"/>
      <c r="J351" s="3"/>
    </row>
    <row r="352">
      <c r="D352" s="3"/>
      <c r="G352" s="3"/>
      <c r="J352" s="3"/>
    </row>
    <row r="353">
      <c r="D353" s="3"/>
      <c r="G353" s="3"/>
      <c r="J353" s="3"/>
    </row>
    <row r="354">
      <c r="D354" s="3"/>
      <c r="G354" s="3"/>
      <c r="J354" s="3"/>
    </row>
    <row r="355">
      <c r="D355" s="3"/>
      <c r="G355" s="3"/>
      <c r="J355" s="3"/>
    </row>
    <row r="356">
      <c r="D356" s="3"/>
      <c r="G356" s="3"/>
      <c r="J356" s="3"/>
    </row>
    <row r="357">
      <c r="D357" s="3"/>
      <c r="G357" s="3"/>
      <c r="J357" s="3"/>
    </row>
    <row r="358">
      <c r="D358" s="3"/>
      <c r="G358" s="3"/>
      <c r="J358" s="3"/>
    </row>
    <row r="359">
      <c r="D359" s="3"/>
      <c r="G359" s="3"/>
      <c r="J359" s="3"/>
    </row>
    <row r="360">
      <c r="D360" s="3"/>
      <c r="G360" s="3"/>
      <c r="J360" s="3"/>
    </row>
    <row r="361">
      <c r="D361" s="3"/>
      <c r="G361" s="3"/>
      <c r="J361" s="3"/>
    </row>
    <row r="362">
      <c r="D362" s="3"/>
      <c r="G362" s="3"/>
      <c r="J362" s="3"/>
    </row>
    <row r="363">
      <c r="D363" s="3"/>
      <c r="G363" s="3"/>
      <c r="J363" s="3"/>
    </row>
    <row r="364">
      <c r="D364" s="3"/>
      <c r="G364" s="3"/>
      <c r="J364" s="3"/>
    </row>
    <row r="365">
      <c r="D365" s="3"/>
      <c r="G365" s="3"/>
      <c r="J365" s="3"/>
    </row>
    <row r="366">
      <c r="D366" s="3"/>
      <c r="G366" s="3"/>
      <c r="J366" s="3"/>
    </row>
    <row r="367">
      <c r="D367" s="3"/>
      <c r="G367" s="3"/>
      <c r="J367" s="3"/>
    </row>
    <row r="368">
      <c r="D368" s="3"/>
      <c r="G368" s="3"/>
      <c r="J368" s="3"/>
    </row>
    <row r="369">
      <c r="D369" s="3"/>
      <c r="G369" s="3"/>
      <c r="J369" s="3"/>
    </row>
    <row r="370">
      <c r="D370" s="3"/>
      <c r="G370" s="3"/>
      <c r="J370" s="3"/>
    </row>
    <row r="371">
      <c r="D371" s="3"/>
      <c r="G371" s="3"/>
      <c r="J371" s="3"/>
    </row>
    <row r="372">
      <c r="D372" s="3"/>
      <c r="G372" s="3"/>
      <c r="J372" s="3"/>
    </row>
    <row r="373">
      <c r="D373" s="3"/>
      <c r="G373" s="3"/>
      <c r="J373" s="3"/>
    </row>
    <row r="374">
      <c r="D374" s="3"/>
      <c r="G374" s="3"/>
      <c r="J374" s="3"/>
    </row>
    <row r="375">
      <c r="D375" s="3"/>
      <c r="G375" s="3"/>
      <c r="J375" s="3"/>
    </row>
    <row r="376">
      <c r="D376" s="3"/>
      <c r="G376" s="3"/>
      <c r="J376" s="3"/>
    </row>
    <row r="377">
      <c r="D377" s="3"/>
      <c r="G377" s="3"/>
      <c r="J377" s="3"/>
    </row>
    <row r="378">
      <c r="D378" s="3"/>
      <c r="G378" s="3"/>
      <c r="J378" s="3"/>
    </row>
    <row r="379">
      <c r="D379" s="3"/>
      <c r="G379" s="3"/>
      <c r="J379" s="3"/>
    </row>
    <row r="380">
      <c r="D380" s="3"/>
      <c r="G380" s="3"/>
      <c r="J380" s="3"/>
    </row>
    <row r="381">
      <c r="D381" s="3"/>
      <c r="G381" s="3"/>
      <c r="J381" s="3"/>
    </row>
    <row r="382">
      <c r="D382" s="3"/>
      <c r="G382" s="3"/>
      <c r="J382" s="3"/>
    </row>
    <row r="383">
      <c r="D383" s="3"/>
      <c r="G383" s="3"/>
      <c r="J383" s="3"/>
    </row>
    <row r="384">
      <c r="D384" s="3"/>
      <c r="G384" s="3"/>
      <c r="J384" s="3"/>
    </row>
    <row r="385">
      <c r="D385" s="3"/>
      <c r="G385" s="3"/>
      <c r="J385" s="3"/>
    </row>
    <row r="386">
      <c r="D386" s="3"/>
      <c r="G386" s="3"/>
      <c r="J386" s="3"/>
    </row>
    <row r="387">
      <c r="D387" s="3"/>
      <c r="G387" s="3"/>
      <c r="J387" s="3"/>
    </row>
    <row r="388">
      <c r="D388" s="3"/>
      <c r="G388" s="3"/>
      <c r="J388" s="3"/>
    </row>
    <row r="389">
      <c r="D389" s="3"/>
      <c r="G389" s="3"/>
      <c r="J389" s="3"/>
    </row>
    <row r="390">
      <c r="D390" s="3"/>
      <c r="G390" s="3"/>
      <c r="J390" s="3"/>
    </row>
    <row r="391">
      <c r="D391" s="3"/>
      <c r="G391" s="3"/>
      <c r="J391" s="3"/>
    </row>
    <row r="392">
      <c r="D392" s="3"/>
      <c r="G392" s="3"/>
      <c r="J392" s="3"/>
    </row>
    <row r="393">
      <c r="D393" s="3"/>
      <c r="G393" s="3"/>
      <c r="J393" s="3"/>
    </row>
    <row r="394">
      <c r="D394" s="3"/>
      <c r="G394" s="3"/>
      <c r="J394" s="3"/>
    </row>
    <row r="395">
      <c r="D395" s="3"/>
      <c r="G395" s="3"/>
      <c r="J395" s="3"/>
    </row>
    <row r="396">
      <c r="D396" s="3"/>
      <c r="G396" s="3"/>
      <c r="J396" s="3"/>
    </row>
    <row r="397">
      <c r="D397" s="3"/>
      <c r="G397" s="3"/>
      <c r="J397" s="3"/>
    </row>
    <row r="398">
      <c r="D398" s="3"/>
      <c r="G398" s="3"/>
      <c r="J398" s="3"/>
    </row>
    <row r="399">
      <c r="D399" s="3"/>
      <c r="G399" s="3"/>
      <c r="J399" s="3"/>
    </row>
    <row r="400">
      <c r="D400" s="3"/>
      <c r="G400" s="3"/>
      <c r="J400" s="3"/>
    </row>
    <row r="401">
      <c r="D401" s="3"/>
      <c r="G401" s="3"/>
      <c r="J401" s="3"/>
    </row>
    <row r="402">
      <c r="D402" s="3"/>
      <c r="G402" s="3"/>
      <c r="J402" s="3"/>
    </row>
    <row r="403">
      <c r="D403" s="3"/>
      <c r="G403" s="3"/>
      <c r="J403" s="3"/>
    </row>
    <row r="404">
      <c r="D404" s="3"/>
      <c r="G404" s="3"/>
      <c r="J404" s="3"/>
    </row>
    <row r="405">
      <c r="D405" s="3"/>
      <c r="G405" s="3"/>
      <c r="J405" s="3"/>
    </row>
    <row r="406">
      <c r="D406" s="3"/>
      <c r="G406" s="3"/>
      <c r="J406" s="3"/>
    </row>
    <row r="407">
      <c r="D407" s="3"/>
      <c r="G407" s="3"/>
      <c r="J407" s="3"/>
    </row>
    <row r="408">
      <c r="D408" s="3"/>
      <c r="G408" s="3"/>
      <c r="J408" s="3"/>
    </row>
    <row r="409">
      <c r="D409" s="3"/>
      <c r="G409" s="3"/>
      <c r="J409" s="3"/>
    </row>
    <row r="410">
      <c r="D410" s="3"/>
      <c r="G410" s="3"/>
      <c r="J410" s="3"/>
    </row>
    <row r="411">
      <c r="D411" s="3"/>
      <c r="G411" s="3"/>
      <c r="J411" s="3"/>
    </row>
    <row r="412">
      <c r="D412" s="3"/>
      <c r="G412" s="3"/>
      <c r="J412" s="3"/>
    </row>
    <row r="413">
      <c r="D413" s="3"/>
      <c r="G413" s="3"/>
      <c r="J413" s="3"/>
    </row>
    <row r="414">
      <c r="D414" s="3"/>
      <c r="G414" s="3"/>
      <c r="J414" s="3"/>
    </row>
    <row r="415">
      <c r="D415" s="3"/>
      <c r="G415" s="3"/>
      <c r="J415" s="3"/>
    </row>
    <row r="416">
      <c r="D416" s="3"/>
      <c r="G416" s="3"/>
      <c r="J416" s="3"/>
    </row>
    <row r="417">
      <c r="D417" s="3"/>
      <c r="G417" s="3"/>
      <c r="J417" s="3"/>
    </row>
    <row r="418">
      <c r="D418" s="3"/>
      <c r="G418" s="3"/>
      <c r="J418" s="3"/>
    </row>
    <row r="419">
      <c r="D419" s="3"/>
      <c r="G419" s="3"/>
      <c r="J419" s="3"/>
    </row>
    <row r="420">
      <c r="D420" s="3"/>
      <c r="G420" s="3"/>
      <c r="J420" s="3"/>
    </row>
    <row r="421">
      <c r="D421" s="3"/>
      <c r="G421" s="3"/>
      <c r="J421" s="3"/>
    </row>
    <row r="422">
      <c r="D422" s="3"/>
      <c r="G422" s="3"/>
      <c r="J422" s="3"/>
    </row>
    <row r="423">
      <c r="D423" s="3"/>
      <c r="G423" s="3"/>
      <c r="J423" s="3"/>
    </row>
    <row r="424">
      <c r="D424" s="3"/>
      <c r="G424" s="3"/>
      <c r="J424" s="3"/>
    </row>
    <row r="425">
      <c r="D425" s="3"/>
      <c r="G425" s="3"/>
      <c r="J425" s="3"/>
    </row>
    <row r="426">
      <c r="D426" s="3"/>
      <c r="G426" s="3"/>
      <c r="J426" s="3"/>
    </row>
    <row r="427">
      <c r="D427" s="3"/>
      <c r="G427" s="3"/>
      <c r="J427" s="3"/>
    </row>
    <row r="428">
      <c r="D428" s="3"/>
      <c r="G428" s="3"/>
      <c r="J428" s="3"/>
    </row>
    <row r="429">
      <c r="D429" s="3"/>
      <c r="G429" s="3"/>
      <c r="J429" s="3"/>
    </row>
    <row r="430">
      <c r="D430" s="3"/>
      <c r="G430" s="3"/>
      <c r="J430" s="3"/>
    </row>
    <row r="431">
      <c r="D431" s="3"/>
      <c r="G431" s="3"/>
      <c r="J431" s="3"/>
    </row>
    <row r="432">
      <c r="D432" s="3"/>
      <c r="G432" s="3"/>
      <c r="J432" s="3"/>
    </row>
    <row r="433">
      <c r="D433" s="3"/>
      <c r="G433" s="3"/>
      <c r="J433" s="3"/>
    </row>
    <row r="434">
      <c r="D434" s="3"/>
      <c r="G434" s="3"/>
      <c r="J434" s="3"/>
    </row>
    <row r="435">
      <c r="D435" s="3"/>
      <c r="G435" s="3"/>
      <c r="J435" s="3"/>
    </row>
    <row r="436">
      <c r="D436" s="3"/>
      <c r="G436" s="3"/>
      <c r="J436" s="3"/>
    </row>
    <row r="437">
      <c r="D437" s="3"/>
      <c r="G437" s="3"/>
      <c r="J437" s="3"/>
    </row>
    <row r="438">
      <c r="D438" s="3"/>
      <c r="G438" s="3"/>
      <c r="J438" s="3"/>
    </row>
    <row r="439">
      <c r="D439" s="3"/>
      <c r="G439" s="3"/>
      <c r="J439" s="3"/>
    </row>
    <row r="440">
      <c r="D440" s="3"/>
      <c r="G440" s="3"/>
      <c r="J440" s="3"/>
    </row>
    <row r="441">
      <c r="D441" s="3"/>
      <c r="G441" s="3"/>
      <c r="J441" s="3"/>
    </row>
    <row r="442">
      <c r="D442" s="3"/>
      <c r="G442" s="3"/>
      <c r="J442" s="3"/>
    </row>
    <row r="443">
      <c r="D443" s="3"/>
      <c r="G443" s="3"/>
      <c r="J443" s="3"/>
    </row>
    <row r="444">
      <c r="D444" s="3"/>
      <c r="G444" s="3"/>
      <c r="J444" s="3"/>
    </row>
    <row r="445">
      <c r="D445" s="3"/>
      <c r="G445" s="3"/>
      <c r="J445" s="3"/>
    </row>
    <row r="446">
      <c r="D446" s="3"/>
      <c r="G446" s="3"/>
      <c r="J446" s="3"/>
    </row>
    <row r="447">
      <c r="D447" s="3"/>
      <c r="G447" s="3"/>
      <c r="J447" s="3"/>
    </row>
    <row r="448">
      <c r="D448" s="3"/>
      <c r="G448" s="3"/>
      <c r="J448" s="3"/>
    </row>
    <row r="449">
      <c r="D449" s="3"/>
      <c r="G449" s="3"/>
      <c r="J449" s="3"/>
    </row>
    <row r="450">
      <c r="D450" s="3"/>
      <c r="G450" s="3"/>
      <c r="J450" s="3"/>
    </row>
    <row r="451">
      <c r="D451" s="3"/>
      <c r="G451" s="3"/>
      <c r="J451" s="3"/>
    </row>
    <row r="452">
      <c r="D452" s="3"/>
      <c r="G452" s="3"/>
      <c r="J452" s="3"/>
    </row>
    <row r="453">
      <c r="D453" s="3"/>
      <c r="G453" s="3"/>
      <c r="J453" s="3"/>
    </row>
    <row r="454">
      <c r="D454" s="3"/>
      <c r="G454" s="3"/>
      <c r="J454" s="3"/>
    </row>
    <row r="455">
      <c r="D455" s="3"/>
      <c r="G455" s="3"/>
      <c r="J455" s="3"/>
    </row>
    <row r="456">
      <c r="D456" s="3"/>
      <c r="G456" s="3"/>
      <c r="J456" s="3"/>
    </row>
    <row r="457">
      <c r="D457" s="3"/>
      <c r="G457" s="3"/>
      <c r="J457" s="3"/>
    </row>
    <row r="458">
      <c r="D458" s="3"/>
      <c r="G458" s="3"/>
      <c r="J458" s="3"/>
    </row>
    <row r="459">
      <c r="D459" s="3"/>
      <c r="G459" s="3"/>
      <c r="J459" s="3"/>
    </row>
    <row r="460">
      <c r="D460" s="3"/>
      <c r="G460" s="3"/>
      <c r="J460" s="3"/>
    </row>
    <row r="461">
      <c r="D461" s="3"/>
      <c r="G461" s="3"/>
      <c r="J461" s="3"/>
    </row>
    <row r="462">
      <c r="D462" s="3"/>
      <c r="G462" s="3"/>
      <c r="J462" s="3"/>
    </row>
    <row r="463">
      <c r="D463" s="3"/>
      <c r="G463" s="3"/>
      <c r="J463" s="3"/>
    </row>
    <row r="464">
      <c r="D464" s="3"/>
      <c r="G464" s="3"/>
      <c r="J464" s="3"/>
    </row>
    <row r="465">
      <c r="D465" s="3"/>
      <c r="G465" s="3"/>
      <c r="J465" s="3"/>
    </row>
    <row r="466">
      <c r="D466" s="3"/>
      <c r="G466" s="3"/>
      <c r="J466" s="3"/>
    </row>
    <row r="467">
      <c r="D467" s="3"/>
      <c r="G467" s="3"/>
      <c r="J467" s="3"/>
    </row>
    <row r="468">
      <c r="D468" s="3"/>
      <c r="G468" s="3"/>
      <c r="J468" s="3"/>
    </row>
    <row r="469">
      <c r="D469" s="3"/>
      <c r="G469" s="3"/>
      <c r="J469" s="3"/>
    </row>
    <row r="470">
      <c r="D470" s="3"/>
      <c r="G470" s="3"/>
      <c r="J470" s="3"/>
    </row>
    <row r="471">
      <c r="D471" s="3"/>
      <c r="G471" s="3"/>
      <c r="J471" s="3"/>
    </row>
    <row r="472">
      <c r="D472" s="3"/>
      <c r="G472" s="3"/>
      <c r="J472" s="3"/>
    </row>
    <row r="473">
      <c r="D473" s="3"/>
      <c r="G473" s="3"/>
      <c r="J473" s="3"/>
    </row>
    <row r="474">
      <c r="D474" s="3"/>
      <c r="G474" s="3"/>
      <c r="J474" s="3"/>
    </row>
    <row r="475">
      <c r="D475" s="3"/>
      <c r="G475" s="3"/>
      <c r="J475" s="3"/>
    </row>
    <row r="476">
      <c r="D476" s="3"/>
      <c r="G476" s="3"/>
      <c r="J476" s="3"/>
    </row>
    <row r="477">
      <c r="D477" s="3"/>
      <c r="G477" s="3"/>
      <c r="J477" s="3"/>
    </row>
    <row r="478">
      <c r="D478" s="3"/>
      <c r="G478" s="3"/>
      <c r="J478" s="3"/>
    </row>
    <row r="479">
      <c r="D479" s="3"/>
      <c r="G479" s="3"/>
      <c r="J479" s="3"/>
    </row>
    <row r="480">
      <c r="D480" s="3"/>
      <c r="G480" s="3"/>
      <c r="J480" s="3"/>
    </row>
    <row r="481">
      <c r="D481" s="3"/>
      <c r="G481" s="3"/>
      <c r="J481" s="3"/>
    </row>
    <row r="482">
      <c r="D482" s="3"/>
      <c r="G482" s="3"/>
      <c r="J482" s="3"/>
    </row>
    <row r="483">
      <c r="D483" s="3"/>
      <c r="G483" s="3"/>
      <c r="J483" s="3"/>
    </row>
    <row r="484">
      <c r="D484" s="3"/>
      <c r="G484" s="3"/>
      <c r="J484" s="3"/>
    </row>
    <row r="485">
      <c r="D485" s="3"/>
      <c r="G485" s="3"/>
      <c r="J485" s="3"/>
    </row>
    <row r="486">
      <c r="D486" s="3"/>
      <c r="G486" s="3"/>
      <c r="J486" s="3"/>
    </row>
    <row r="487">
      <c r="D487" s="3"/>
      <c r="G487" s="3"/>
      <c r="J487" s="3"/>
    </row>
    <row r="488">
      <c r="D488" s="3"/>
      <c r="G488" s="3"/>
      <c r="J488" s="3"/>
    </row>
    <row r="489">
      <c r="D489" s="3"/>
      <c r="G489" s="3"/>
      <c r="J489" s="3"/>
    </row>
    <row r="490">
      <c r="D490" s="3"/>
      <c r="G490" s="3"/>
      <c r="J490" s="3"/>
    </row>
    <row r="491">
      <c r="D491" s="3"/>
      <c r="G491" s="3"/>
      <c r="J491" s="3"/>
    </row>
    <row r="492">
      <c r="D492" s="3"/>
      <c r="G492" s="3"/>
      <c r="J492" s="3"/>
    </row>
    <row r="493">
      <c r="D493" s="3"/>
      <c r="G493" s="3"/>
      <c r="J493" s="3"/>
    </row>
    <row r="494">
      <c r="D494" s="3"/>
      <c r="G494" s="3"/>
      <c r="J494" s="3"/>
    </row>
    <row r="495">
      <c r="D495" s="3"/>
      <c r="G495" s="3"/>
      <c r="J495" s="3"/>
    </row>
    <row r="496">
      <c r="D496" s="3"/>
      <c r="G496" s="3"/>
      <c r="J496" s="3"/>
    </row>
    <row r="497">
      <c r="D497" s="3"/>
      <c r="G497" s="3"/>
      <c r="J497" s="3"/>
    </row>
    <row r="498">
      <c r="D498" s="3"/>
      <c r="G498" s="3"/>
      <c r="J498" s="3"/>
    </row>
    <row r="499">
      <c r="D499" s="3"/>
      <c r="G499" s="3"/>
      <c r="J499" s="3"/>
    </row>
    <row r="500">
      <c r="D500" s="3"/>
      <c r="G500" s="3"/>
      <c r="J500" s="3"/>
    </row>
    <row r="501">
      <c r="D501" s="3"/>
      <c r="G501" s="3"/>
      <c r="J501" s="3"/>
    </row>
    <row r="502">
      <c r="D502" s="3"/>
      <c r="G502" s="3"/>
      <c r="J502" s="3"/>
    </row>
    <row r="503">
      <c r="D503" s="3"/>
      <c r="G503" s="3"/>
      <c r="J503" s="3"/>
    </row>
    <row r="504">
      <c r="D504" s="3"/>
      <c r="G504" s="3"/>
      <c r="J504" s="3"/>
    </row>
    <row r="505">
      <c r="D505" s="3"/>
      <c r="G505" s="3"/>
      <c r="J505" s="3"/>
    </row>
    <row r="506">
      <c r="D506" s="3"/>
      <c r="G506" s="3"/>
      <c r="J506" s="3"/>
    </row>
    <row r="507">
      <c r="D507" s="3"/>
      <c r="G507" s="3"/>
      <c r="J507" s="3"/>
    </row>
    <row r="508">
      <c r="D508" s="3"/>
      <c r="G508" s="3"/>
      <c r="J508" s="3"/>
    </row>
    <row r="509">
      <c r="D509" s="3"/>
      <c r="G509" s="3"/>
      <c r="J509" s="3"/>
    </row>
    <row r="510">
      <c r="D510" s="3"/>
      <c r="G510" s="3"/>
      <c r="J510" s="3"/>
    </row>
    <row r="511">
      <c r="D511" s="3"/>
      <c r="G511" s="3"/>
      <c r="J511" s="3"/>
    </row>
    <row r="512">
      <c r="D512" s="3"/>
      <c r="G512" s="3"/>
      <c r="J512" s="3"/>
    </row>
    <row r="513">
      <c r="D513" s="3"/>
      <c r="G513" s="3"/>
      <c r="J513" s="3"/>
    </row>
    <row r="514">
      <c r="D514" s="3"/>
      <c r="G514" s="3"/>
      <c r="J514" s="3"/>
    </row>
    <row r="515">
      <c r="D515" s="3"/>
      <c r="G515" s="3"/>
      <c r="J515" s="3"/>
    </row>
    <row r="516">
      <c r="D516" s="3"/>
      <c r="G516" s="3"/>
      <c r="J516" s="3"/>
    </row>
    <row r="517">
      <c r="D517" s="3"/>
      <c r="G517" s="3"/>
      <c r="J517" s="3"/>
    </row>
    <row r="518">
      <c r="D518" s="3"/>
      <c r="G518" s="3"/>
      <c r="J518" s="3"/>
    </row>
    <row r="519">
      <c r="D519" s="3"/>
      <c r="G519" s="3"/>
      <c r="J519" s="3"/>
    </row>
    <row r="520">
      <c r="D520" s="3"/>
      <c r="G520" s="3"/>
      <c r="J520" s="3"/>
    </row>
    <row r="521">
      <c r="D521" s="3"/>
      <c r="G521" s="3"/>
      <c r="J521" s="3"/>
    </row>
    <row r="522">
      <c r="D522" s="3"/>
      <c r="G522" s="3"/>
      <c r="J522" s="3"/>
    </row>
    <row r="523">
      <c r="D523" s="3"/>
      <c r="G523" s="3"/>
      <c r="J523" s="3"/>
    </row>
    <row r="524">
      <c r="D524" s="3"/>
      <c r="G524" s="3"/>
      <c r="J524" s="3"/>
    </row>
    <row r="525">
      <c r="D525" s="3"/>
      <c r="G525" s="3"/>
      <c r="J525" s="3"/>
    </row>
    <row r="526">
      <c r="D526" s="3"/>
      <c r="G526" s="3"/>
      <c r="J526" s="3"/>
    </row>
    <row r="527">
      <c r="D527" s="3"/>
      <c r="G527" s="3"/>
      <c r="J527" s="3"/>
    </row>
    <row r="528">
      <c r="D528" s="3"/>
      <c r="G528" s="3"/>
      <c r="J528" s="3"/>
    </row>
    <row r="529">
      <c r="D529" s="3"/>
      <c r="G529" s="3"/>
      <c r="J529" s="3"/>
    </row>
    <row r="530">
      <c r="D530" s="3"/>
      <c r="G530" s="3"/>
      <c r="J530" s="3"/>
    </row>
    <row r="531">
      <c r="D531" s="3"/>
      <c r="G531" s="3"/>
      <c r="J531" s="3"/>
    </row>
    <row r="532">
      <c r="D532" s="3"/>
      <c r="G532" s="3"/>
      <c r="J532" s="3"/>
    </row>
    <row r="533">
      <c r="D533" s="3"/>
      <c r="G533" s="3"/>
      <c r="J533" s="3"/>
    </row>
    <row r="534">
      <c r="D534" s="3"/>
      <c r="G534" s="3"/>
      <c r="J534" s="3"/>
    </row>
    <row r="535">
      <c r="D535" s="3"/>
      <c r="G535" s="3"/>
      <c r="J535" s="3"/>
    </row>
    <row r="536">
      <c r="D536" s="3"/>
      <c r="G536" s="3"/>
      <c r="J536" s="3"/>
    </row>
    <row r="537">
      <c r="D537" s="3"/>
      <c r="G537" s="3"/>
      <c r="J537" s="3"/>
    </row>
    <row r="538">
      <c r="D538" s="3"/>
      <c r="G538" s="3"/>
      <c r="J538" s="3"/>
    </row>
    <row r="539">
      <c r="D539" s="3"/>
      <c r="G539" s="3"/>
      <c r="J539" s="3"/>
    </row>
    <row r="540">
      <c r="D540" s="3"/>
      <c r="G540" s="3"/>
      <c r="J540" s="3"/>
    </row>
    <row r="541">
      <c r="D541" s="3"/>
      <c r="G541" s="3"/>
      <c r="J541" s="3"/>
    </row>
    <row r="542">
      <c r="D542" s="3"/>
      <c r="G542" s="3"/>
      <c r="J542" s="3"/>
    </row>
    <row r="543">
      <c r="D543" s="3"/>
      <c r="G543" s="3"/>
      <c r="J543" s="3"/>
    </row>
    <row r="544">
      <c r="D544" s="3"/>
      <c r="G544" s="3"/>
      <c r="J544" s="3"/>
    </row>
    <row r="545">
      <c r="D545" s="3"/>
      <c r="G545" s="3"/>
      <c r="J545" s="3"/>
    </row>
    <row r="546">
      <c r="D546" s="3"/>
      <c r="G546" s="3"/>
      <c r="J546" s="3"/>
    </row>
    <row r="547">
      <c r="D547" s="3"/>
      <c r="G547" s="3"/>
      <c r="J547" s="3"/>
    </row>
    <row r="548">
      <c r="D548" s="3"/>
      <c r="G548" s="3"/>
      <c r="J548" s="3"/>
    </row>
    <row r="549">
      <c r="D549" s="3"/>
      <c r="G549" s="3"/>
      <c r="J549" s="3"/>
    </row>
    <row r="550">
      <c r="D550" s="3"/>
      <c r="G550" s="3"/>
      <c r="J550" s="3"/>
    </row>
    <row r="551">
      <c r="D551" s="3"/>
      <c r="G551" s="3"/>
      <c r="J551" s="3"/>
    </row>
    <row r="552">
      <c r="D552" s="3"/>
      <c r="G552" s="3"/>
      <c r="J552" s="3"/>
    </row>
    <row r="553">
      <c r="D553" s="3"/>
      <c r="G553" s="3"/>
      <c r="J553" s="3"/>
    </row>
    <row r="554">
      <c r="D554" s="3"/>
      <c r="G554" s="3"/>
      <c r="J554" s="3"/>
    </row>
    <row r="555">
      <c r="D555" s="3"/>
      <c r="G555" s="3"/>
      <c r="J555" s="3"/>
    </row>
    <row r="556">
      <c r="D556" s="3"/>
      <c r="G556" s="3"/>
      <c r="J556" s="3"/>
    </row>
    <row r="557">
      <c r="D557" s="3"/>
      <c r="G557" s="3"/>
      <c r="J557" s="3"/>
    </row>
    <row r="558">
      <c r="D558" s="3"/>
      <c r="G558" s="3"/>
      <c r="J558" s="3"/>
    </row>
    <row r="559">
      <c r="D559" s="3"/>
      <c r="G559" s="3"/>
      <c r="J559" s="3"/>
    </row>
    <row r="560">
      <c r="D560" s="3"/>
      <c r="G560" s="3"/>
      <c r="J560" s="3"/>
    </row>
    <row r="561">
      <c r="D561" s="3"/>
      <c r="G561" s="3"/>
      <c r="J561" s="3"/>
    </row>
    <row r="562">
      <c r="D562" s="3"/>
      <c r="G562" s="3"/>
      <c r="J562" s="3"/>
    </row>
    <row r="563">
      <c r="D563" s="3"/>
      <c r="G563" s="3"/>
      <c r="J563" s="3"/>
    </row>
    <row r="564">
      <c r="D564" s="3"/>
      <c r="G564" s="3"/>
      <c r="J564" s="3"/>
    </row>
    <row r="565">
      <c r="D565" s="3"/>
      <c r="G565" s="3"/>
      <c r="J565" s="3"/>
    </row>
    <row r="566">
      <c r="D566" s="3"/>
      <c r="G566" s="3"/>
      <c r="J566" s="3"/>
    </row>
    <row r="567">
      <c r="D567" s="3"/>
      <c r="G567" s="3"/>
      <c r="J567" s="3"/>
    </row>
    <row r="568">
      <c r="D568" s="3"/>
      <c r="G568" s="3"/>
      <c r="J568" s="3"/>
    </row>
    <row r="569">
      <c r="D569" s="3"/>
      <c r="G569" s="3"/>
      <c r="J569" s="3"/>
    </row>
    <row r="570">
      <c r="D570" s="3"/>
      <c r="G570" s="3"/>
      <c r="J570" s="3"/>
    </row>
    <row r="571">
      <c r="D571" s="3"/>
      <c r="G571" s="3"/>
      <c r="J571" s="3"/>
    </row>
    <row r="572">
      <c r="D572" s="3"/>
      <c r="G572" s="3"/>
      <c r="J572" s="3"/>
    </row>
    <row r="573">
      <c r="D573" s="3"/>
      <c r="G573" s="3"/>
      <c r="J573" s="3"/>
    </row>
    <row r="574">
      <c r="D574" s="3"/>
      <c r="G574" s="3"/>
      <c r="J574" s="3"/>
    </row>
    <row r="575">
      <c r="D575" s="3"/>
      <c r="G575" s="3"/>
      <c r="J575" s="3"/>
    </row>
    <row r="576">
      <c r="D576" s="3"/>
      <c r="G576" s="3"/>
      <c r="J576" s="3"/>
    </row>
    <row r="577">
      <c r="D577" s="3"/>
      <c r="G577" s="3"/>
      <c r="J577" s="3"/>
    </row>
    <row r="578">
      <c r="D578" s="3"/>
      <c r="G578" s="3"/>
      <c r="J578" s="3"/>
    </row>
    <row r="579">
      <c r="D579" s="3"/>
      <c r="G579" s="3"/>
      <c r="J579" s="3"/>
    </row>
    <row r="580">
      <c r="D580" s="3"/>
      <c r="G580" s="3"/>
      <c r="J580" s="3"/>
    </row>
    <row r="581">
      <c r="D581" s="3"/>
      <c r="G581" s="3"/>
      <c r="J581" s="3"/>
    </row>
    <row r="582">
      <c r="D582" s="3"/>
      <c r="G582" s="3"/>
      <c r="J582" s="3"/>
    </row>
    <row r="583">
      <c r="D583" s="3"/>
      <c r="G583" s="3"/>
      <c r="J583" s="3"/>
    </row>
    <row r="584">
      <c r="D584" s="3"/>
      <c r="G584" s="3"/>
      <c r="J584" s="3"/>
    </row>
    <row r="585">
      <c r="D585" s="3"/>
      <c r="G585" s="3"/>
      <c r="J585" s="3"/>
    </row>
    <row r="586">
      <c r="D586" s="3"/>
      <c r="G586" s="3"/>
      <c r="J586" s="3"/>
    </row>
    <row r="587">
      <c r="D587" s="3"/>
      <c r="G587" s="3"/>
      <c r="J587" s="3"/>
    </row>
    <row r="588">
      <c r="D588" s="3"/>
      <c r="G588" s="3"/>
      <c r="J588" s="3"/>
    </row>
    <row r="589">
      <c r="D589" s="3"/>
      <c r="G589" s="3"/>
      <c r="J589" s="3"/>
    </row>
    <row r="590">
      <c r="D590" s="3"/>
      <c r="G590" s="3"/>
      <c r="J590" s="3"/>
    </row>
    <row r="591">
      <c r="D591" s="3"/>
      <c r="G591" s="3"/>
      <c r="J591" s="3"/>
    </row>
    <row r="592">
      <c r="D592" s="3"/>
      <c r="G592" s="3"/>
      <c r="J592" s="3"/>
    </row>
    <row r="593">
      <c r="D593" s="3"/>
      <c r="G593" s="3"/>
      <c r="J593" s="3"/>
    </row>
    <row r="594">
      <c r="D594" s="3"/>
      <c r="G594" s="3"/>
      <c r="J594" s="3"/>
    </row>
    <row r="595">
      <c r="D595" s="3"/>
      <c r="G595" s="3"/>
      <c r="J595" s="3"/>
    </row>
    <row r="596">
      <c r="D596" s="3"/>
      <c r="G596" s="3"/>
      <c r="J596" s="3"/>
    </row>
    <row r="597">
      <c r="D597" s="3"/>
      <c r="G597" s="3"/>
      <c r="J597" s="3"/>
    </row>
    <row r="598">
      <c r="D598" s="3"/>
      <c r="G598" s="3"/>
      <c r="J598" s="3"/>
    </row>
    <row r="599">
      <c r="D599" s="3"/>
      <c r="G599" s="3"/>
      <c r="J599" s="3"/>
    </row>
    <row r="600">
      <c r="D600" s="3"/>
      <c r="G600" s="3"/>
      <c r="J600" s="3"/>
    </row>
    <row r="601">
      <c r="D601" s="3"/>
      <c r="G601" s="3"/>
      <c r="J601" s="3"/>
    </row>
    <row r="602">
      <c r="D602" s="3"/>
      <c r="G602" s="3"/>
      <c r="J602" s="3"/>
    </row>
    <row r="603">
      <c r="D603" s="3"/>
      <c r="G603" s="3"/>
      <c r="J603" s="3"/>
    </row>
    <row r="604">
      <c r="D604" s="3"/>
      <c r="G604" s="3"/>
      <c r="J604" s="3"/>
    </row>
    <row r="605">
      <c r="D605" s="3"/>
      <c r="G605" s="3"/>
      <c r="J605" s="3"/>
    </row>
    <row r="606">
      <c r="D606" s="3"/>
      <c r="G606" s="3"/>
      <c r="J606" s="3"/>
    </row>
    <row r="607">
      <c r="D607" s="3"/>
      <c r="G607" s="3"/>
      <c r="J607" s="3"/>
    </row>
    <row r="608">
      <c r="D608" s="3"/>
      <c r="G608" s="3"/>
      <c r="J608" s="3"/>
    </row>
    <row r="609">
      <c r="D609" s="3"/>
      <c r="G609" s="3"/>
      <c r="J609" s="3"/>
    </row>
    <row r="610">
      <c r="D610" s="3"/>
      <c r="G610" s="3"/>
      <c r="J610" s="3"/>
    </row>
    <row r="611">
      <c r="D611" s="3"/>
      <c r="G611" s="3"/>
      <c r="J611" s="3"/>
    </row>
    <row r="612">
      <c r="D612" s="3"/>
      <c r="G612" s="3"/>
      <c r="J612" s="3"/>
    </row>
    <row r="613">
      <c r="D613" s="3"/>
      <c r="G613" s="3"/>
      <c r="J613" s="3"/>
    </row>
    <row r="614">
      <c r="D614" s="3"/>
      <c r="G614" s="3"/>
      <c r="J614" s="3"/>
    </row>
    <row r="615">
      <c r="D615" s="3"/>
      <c r="G615" s="3"/>
      <c r="J615" s="3"/>
    </row>
    <row r="616">
      <c r="D616" s="3"/>
      <c r="G616" s="3"/>
      <c r="J616" s="3"/>
    </row>
    <row r="617">
      <c r="D617" s="3"/>
      <c r="G617" s="3"/>
      <c r="J617" s="3"/>
    </row>
    <row r="618">
      <c r="D618" s="3"/>
      <c r="G618" s="3"/>
      <c r="J618" s="3"/>
    </row>
    <row r="619">
      <c r="D619" s="3"/>
      <c r="G619" s="3"/>
      <c r="J619" s="3"/>
    </row>
    <row r="620">
      <c r="D620" s="3"/>
      <c r="G620" s="3"/>
      <c r="J620" s="3"/>
    </row>
    <row r="621">
      <c r="D621" s="3"/>
      <c r="G621" s="3"/>
      <c r="J621" s="3"/>
    </row>
    <row r="622">
      <c r="D622" s="3"/>
      <c r="G622" s="3"/>
      <c r="J622" s="3"/>
    </row>
    <row r="623">
      <c r="D623" s="3"/>
      <c r="G623" s="3"/>
      <c r="J623" s="3"/>
    </row>
    <row r="624">
      <c r="D624" s="3"/>
      <c r="G624" s="3"/>
      <c r="J624" s="3"/>
    </row>
    <row r="625">
      <c r="D625" s="3"/>
      <c r="G625" s="3"/>
      <c r="J625" s="3"/>
    </row>
    <row r="626">
      <c r="D626" s="3"/>
      <c r="G626" s="3"/>
      <c r="J626" s="3"/>
    </row>
    <row r="627">
      <c r="D627" s="3"/>
      <c r="G627" s="3"/>
      <c r="J627" s="3"/>
    </row>
    <row r="628">
      <c r="D628" s="3"/>
      <c r="G628" s="3"/>
      <c r="J628" s="3"/>
    </row>
    <row r="629">
      <c r="D629" s="3"/>
      <c r="G629" s="3"/>
      <c r="J629" s="3"/>
    </row>
    <row r="630">
      <c r="D630" s="3"/>
      <c r="G630" s="3"/>
      <c r="J630" s="3"/>
    </row>
    <row r="631">
      <c r="D631" s="3"/>
      <c r="G631" s="3"/>
      <c r="J631" s="3"/>
    </row>
    <row r="632">
      <c r="D632" s="3"/>
      <c r="G632" s="3"/>
      <c r="J632" s="3"/>
    </row>
    <row r="633">
      <c r="D633" s="3"/>
      <c r="G633" s="3"/>
      <c r="J633" s="3"/>
    </row>
    <row r="634">
      <c r="D634" s="3"/>
      <c r="G634" s="3"/>
      <c r="J634" s="3"/>
    </row>
    <row r="635">
      <c r="D635" s="3"/>
      <c r="G635" s="3"/>
      <c r="J635" s="3"/>
    </row>
    <row r="636">
      <c r="D636" s="3"/>
      <c r="G636" s="3"/>
      <c r="J636" s="3"/>
    </row>
    <row r="637">
      <c r="D637" s="3"/>
      <c r="G637" s="3"/>
      <c r="J637" s="3"/>
    </row>
    <row r="638">
      <c r="D638" s="3"/>
      <c r="G638" s="3"/>
      <c r="J638" s="3"/>
    </row>
    <row r="639">
      <c r="D639" s="3"/>
      <c r="G639" s="3"/>
      <c r="J639" s="3"/>
    </row>
    <row r="640">
      <c r="D640" s="3"/>
      <c r="G640" s="3"/>
      <c r="J640" s="3"/>
    </row>
    <row r="641">
      <c r="D641" s="3"/>
      <c r="G641" s="3"/>
      <c r="J641" s="3"/>
    </row>
    <row r="642">
      <c r="D642" s="3"/>
      <c r="G642" s="3"/>
      <c r="J642" s="3"/>
    </row>
    <row r="643">
      <c r="D643" s="3"/>
      <c r="G643" s="3"/>
      <c r="J643" s="3"/>
    </row>
    <row r="644">
      <c r="D644" s="3"/>
      <c r="G644" s="3"/>
      <c r="J644" s="3"/>
    </row>
    <row r="645">
      <c r="D645" s="3"/>
      <c r="G645" s="3"/>
      <c r="J645" s="3"/>
    </row>
    <row r="646">
      <c r="D646" s="3"/>
      <c r="G646" s="3"/>
      <c r="J646" s="3"/>
    </row>
    <row r="647">
      <c r="D647" s="3"/>
      <c r="G647" s="3"/>
      <c r="J647" s="3"/>
    </row>
    <row r="648">
      <c r="D648" s="3"/>
      <c r="G648" s="3"/>
      <c r="J648" s="3"/>
    </row>
    <row r="649">
      <c r="D649" s="3"/>
      <c r="G649" s="3"/>
      <c r="J649" s="3"/>
    </row>
    <row r="650">
      <c r="D650" s="3"/>
      <c r="G650" s="3"/>
      <c r="J650" s="3"/>
    </row>
    <row r="651">
      <c r="D651" s="3"/>
      <c r="G651" s="3"/>
      <c r="J651" s="3"/>
    </row>
    <row r="652">
      <c r="D652" s="3"/>
      <c r="G652" s="3"/>
      <c r="J652" s="3"/>
    </row>
    <row r="653">
      <c r="D653" s="3"/>
      <c r="G653" s="3"/>
      <c r="J653" s="3"/>
    </row>
    <row r="654">
      <c r="D654" s="3"/>
      <c r="G654" s="3"/>
      <c r="J654" s="3"/>
    </row>
    <row r="655">
      <c r="D655" s="3"/>
      <c r="G655" s="3"/>
      <c r="J655" s="3"/>
    </row>
    <row r="656">
      <c r="D656" s="3"/>
      <c r="G656" s="3"/>
      <c r="J656" s="3"/>
    </row>
    <row r="657">
      <c r="D657" s="3"/>
      <c r="G657" s="3"/>
      <c r="J657" s="3"/>
    </row>
    <row r="658">
      <c r="D658" s="3"/>
      <c r="G658" s="3"/>
      <c r="J658" s="3"/>
    </row>
    <row r="659">
      <c r="D659" s="3"/>
      <c r="G659" s="3"/>
      <c r="J659" s="3"/>
    </row>
    <row r="660">
      <c r="D660" s="3"/>
      <c r="G660" s="3"/>
      <c r="J660" s="3"/>
    </row>
    <row r="661">
      <c r="D661" s="3"/>
      <c r="G661" s="3"/>
      <c r="J661" s="3"/>
    </row>
    <row r="662">
      <c r="D662" s="3"/>
      <c r="G662" s="3"/>
      <c r="J662" s="3"/>
    </row>
    <row r="663">
      <c r="D663" s="3"/>
      <c r="G663" s="3"/>
      <c r="J663" s="3"/>
    </row>
    <row r="664">
      <c r="D664" s="3"/>
      <c r="G664" s="3"/>
      <c r="J664" s="3"/>
    </row>
    <row r="665">
      <c r="D665" s="3"/>
      <c r="G665" s="3"/>
      <c r="J665" s="3"/>
    </row>
    <row r="666">
      <c r="D666" s="3"/>
      <c r="G666" s="3"/>
      <c r="J666" s="3"/>
    </row>
    <row r="667">
      <c r="D667" s="3"/>
      <c r="G667" s="3"/>
      <c r="J667" s="3"/>
    </row>
    <row r="668">
      <c r="D668" s="3"/>
      <c r="G668" s="3"/>
      <c r="J668" s="3"/>
    </row>
    <row r="669">
      <c r="D669" s="3"/>
      <c r="G669" s="3"/>
      <c r="J669" s="3"/>
    </row>
    <row r="670">
      <c r="D670" s="3"/>
      <c r="G670" s="3"/>
      <c r="J670" s="3"/>
    </row>
    <row r="671">
      <c r="D671" s="3"/>
      <c r="G671" s="3"/>
      <c r="J671" s="3"/>
    </row>
    <row r="672">
      <c r="D672" s="3"/>
      <c r="G672" s="3"/>
      <c r="J672" s="3"/>
    </row>
    <row r="673">
      <c r="D673" s="3"/>
      <c r="G673" s="3"/>
      <c r="J673" s="3"/>
    </row>
    <row r="674">
      <c r="D674" s="3"/>
      <c r="G674" s="3"/>
      <c r="J674" s="3"/>
    </row>
    <row r="675">
      <c r="D675" s="3"/>
      <c r="G675" s="3"/>
      <c r="J675" s="3"/>
    </row>
    <row r="676">
      <c r="D676" s="3"/>
      <c r="G676" s="3"/>
      <c r="J676" s="3"/>
    </row>
    <row r="677">
      <c r="D677" s="3"/>
      <c r="G677" s="3"/>
      <c r="J677" s="3"/>
    </row>
    <row r="678">
      <c r="D678" s="3"/>
      <c r="G678" s="3"/>
      <c r="J678" s="3"/>
    </row>
    <row r="679">
      <c r="D679" s="3"/>
      <c r="G679" s="3"/>
      <c r="J679" s="3"/>
    </row>
    <row r="680">
      <c r="D680" s="3"/>
      <c r="G680" s="3"/>
      <c r="J680" s="3"/>
    </row>
    <row r="681">
      <c r="D681" s="3"/>
      <c r="G681" s="3"/>
      <c r="J681" s="3"/>
    </row>
    <row r="682">
      <c r="D682" s="3"/>
      <c r="G682" s="3"/>
      <c r="J682" s="3"/>
    </row>
    <row r="683">
      <c r="D683" s="3"/>
      <c r="G683" s="3"/>
      <c r="J683" s="3"/>
    </row>
    <row r="684">
      <c r="D684" s="3"/>
      <c r="G684" s="3"/>
      <c r="J684" s="3"/>
    </row>
    <row r="685">
      <c r="D685" s="3"/>
      <c r="G685" s="3"/>
      <c r="J685" s="3"/>
    </row>
    <row r="686">
      <c r="D686" s="3"/>
      <c r="G686" s="3"/>
      <c r="J686" s="3"/>
    </row>
    <row r="687">
      <c r="D687" s="3"/>
      <c r="G687" s="3"/>
      <c r="J687" s="3"/>
    </row>
    <row r="688">
      <c r="D688" s="3"/>
      <c r="G688" s="3"/>
      <c r="J688" s="3"/>
    </row>
    <row r="689">
      <c r="D689" s="3"/>
      <c r="G689" s="3"/>
      <c r="J689" s="3"/>
    </row>
    <row r="690">
      <c r="D690" s="3"/>
      <c r="G690" s="3"/>
      <c r="J690" s="3"/>
    </row>
    <row r="691">
      <c r="D691" s="3"/>
      <c r="G691" s="3"/>
      <c r="J691" s="3"/>
    </row>
    <row r="692">
      <c r="D692" s="3"/>
      <c r="G692" s="3"/>
      <c r="J692" s="3"/>
    </row>
    <row r="693">
      <c r="D693" s="3"/>
      <c r="G693" s="3"/>
      <c r="J693" s="3"/>
    </row>
    <row r="694">
      <c r="D694" s="3"/>
      <c r="G694" s="3"/>
      <c r="J694" s="3"/>
    </row>
    <row r="695">
      <c r="D695" s="3"/>
      <c r="G695" s="3"/>
      <c r="J695" s="3"/>
    </row>
    <row r="696">
      <c r="D696" s="3"/>
      <c r="G696" s="3"/>
      <c r="J696" s="3"/>
    </row>
    <row r="697">
      <c r="D697" s="3"/>
      <c r="G697" s="3"/>
      <c r="J697" s="3"/>
    </row>
    <row r="698">
      <c r="D698" s="3"/>
      <c r="G698" s="3"/>
      <c r="J698" s="3"/>
    </row>
    <row r="699">
      <c r="D699" s="3"/>
      <c r="G699" s="3"/>
      <c r="J699" s="3"/>
    </row>
    <row r="700">
      <c r="D700" s="3"/>
      <c r="G700" s="3"/>
      <c r="J700" s="3"/>
    </row>
    <row r="701">
      <c r="D701" s="3"/>
      <c r="G701" s="3"/>
      <c r="J701" s="3"/>
    </row>
    <row r="702">
      <c r="D702" s="3"/>
      <c r="G702" s="3"/>
      <c r="J702" s="3"/>
    </row>
    <row r="703">
      <c r="D703" s="3"/>
      <c r="G703" s="3"/>
      <c r="J703" s="3"/>
    </row>
    <row r="704">
      <c r="D704" s="3"/>
      <c r="G704" s="3"/>
      <c r="J704" s="3"/>
    </row>
    <row r="705">
      <c r="D705" s="3"/>
      <c r="G705" s="3"/>
      <c r="J705" s="3"/>
    </row>
    <row r="706">
      <c r="D706" s="3"/>
      <c r="G706" s="3"/>
      <c r="J706" s="3"/>
    </row>
    <row r="707">
      <c r="D707" s="3"/>
      <c r="G707" s="3"/>
      <c r="J707" s="3"/>
    </row>
    <row r="708">
      <c r="D708" s="3"/>
      <c r="G708" s="3"/>
      <c r="J708" s="3"/>
    </row>
    <row r="709">
      <c r="D709" s="3"/>
      <c r="G709" s="3"/>
      <c r="J709" s="3"/>
    </row>
    <row r="710">
      <c r="D710" s="3"/>
      <c r="G710" s="3"/>
      <c r="J710" s="3"/>
    </row>
    <row r="711">
      <c r="D711" s="3"/>
      <c r="G711" s="3"/>
      <c r="J711" s="3"/>
    </row>
    <row r="712">
      <c r="D712" s="3"/>
      <c r="G712" s="3"/>
      <c r="J712" s="3"/>
    </row>
    <row r="713">
      <c r="D713" s="3"/>
      <c r="G713" s="3"/>
      <c r="J713" s="3"/>
    </row>
    <row r="714">
      <c r="D714" s="3"/>
      <c r="G714" s="3"/>
      <c r="J714" s="3"/>
    </row>
    <row r="715">
      <c r="D715" s="3"/>
      <c r="G715" s="3"/>
      <c r="J715" s="3"/>
    </row>
    <row r="716">
      <c r="D716" s="3"/>
      <c r="G716" s="3"/>
      <c r="J716" s="3"/>
    </row>
    <row r="717">
      <c r="D717" s="3"/>
      <c r="G717" s="3"/>
      <c r="J717" s="3"/>
    </row>
    <row r="718">
      <c r="D718" s="3"/>
      <c r="G718" s="3"/>
      <c r="J718" s="3"/>
    </row>
    <row r="719">
      <c r="D719" s="3"/>
      <c r="G719" s="3"/>
      <c r="J719" s="3"/>
    </row>
    <row r="720">
      <c r="D720" s="3"/>
      <c r="G720" s="3"/>
      <c r="J720" s="3"/>
    </row>
    <row r="721">
      <c r="D721" s="3"/>
      <c r="G721" s="3"/>
      <c r="J721" s="3"/>
    </row>
    <row r="722">
      <c r="D722" s="3"/>
      <c r="G722" s="3"/>
      <c r="J722" s="3"/>
    </row>
    <row r="723">
      <c r="D723" s="3"/>
      <c r="G723" s="3"/>
      <c r="J723" s="3"/>
    </row>
    <row r="724">
      <c r="D724" s="3"/>
      <c r="G724" s="3"/>
      <c r="J724" s="3"/>
    </row>
    <row r="725">
      <c r="D725" s="3"/>
      <c r="G725" s="3"/>
      <c r="J725" s="3"/>
    </row>
    <row r="726">
      <c r="D726" s="3"/>
      <c r="G726" s="3"/>
      <c r="J726" s="3"/>
    </row>
    <row r="727">
      <c r="D727" s="3"/>
      <c r="G727" s="3"/>
      <c r="J727" s="3"/>
    </row>
    <row r="728">
      <c r="D728" s="3"/>
      <c r="G728" s="3"/>
      <c r="J728" s="3"/>
    </row>
    <row r="729">
      <c r="D729" s="3"/>
      <c r="G729" s="3"/>
      <c r="J729" s="3"/>
    </row>
    <row r="730">
      <c r="D730" s="3"/>
      <c r="G730" s="3"/>
      <c r="J730" s="3"/>
    </row>
    <row r="731">
      <c r="D731" s="3"/>
      <c r="G731" s="3"/>
      <c r="J731" s="3"/>
    </row>
    <row r="732">
      <c r="D732" s="3"/>
      <c r="G732" s="3"/>
      <c r="J732" s="3"/>
    </row>
    <row r="733">
      <c r="D733" s="3"/>
      <c r="G733" s="3"/>
      <c r="J733" s="3"/>
    </row>
    <row r="734">
      <c r="D734" s="3"/>
      <c r="G734" s="3"/>
      <c r="J734" s="3"/>
    </row>
    <row r="735">
      <c r="D735" s="3"/>
      <c r="G735" s="3"/>
      <c r="J735" s="3"/>
    </row>
    <row r="736">
      <c r="D736" s="3"/>
      <c r="G736" s="3"/>
      <c r="J736" s="3"/>
    </row>
    <row r="737">
      <c r="D737" s="3"/>
      <c r="G737" s="3"/>
      <c r="J737" s="3"/>
    </row>
    <row r="738">
      <c r="D738" s="3"/>
      <c r="G738" s="3"/>
      <c r="J738" s="3"/>
    </row>
    <row r="739">
      <c r="D739" s="3"/>
      <c r="G739" s="3"/>
      <c r="J739" s="3"/>
    </row>
    <row r="740">
      <c r="D740" s="3"/>
      <c r="G740" s="3"/>
      <c r="J740" s="3"/>
    </row>
    <row r="741">
      <c r="D741" s="3"/>
      <c r="G741" s="3"/>
      <c r="J741" s="3"/>
    </row>
    <row r="742">
      <c r="D742" s="3"/>
      <c r="G742" s="3"/>
      <c r="J742" s="3"/>
    </row>
    <row r="743">
      <c r="D743" s="3"/>
      <c r="G743" s="3"/>
      <c r="J743" s="3"/>
    </row>
    <row r="744">
      <c r="D744" s="3"/>
      <c r="G744" s="3"/>
      <c r="J744" s="3"/>
    </row>
    <row r="745">
      <c r="D745" s="3"/>
      <c r="G745" s="3"/>
      <c r="J745" s="3"/>
    </row>
    <row r="746">
      <c r="D746" s="3"/>
      <c r="G746" s="3"/>
      <c r="J746" s="3"/>
    </row>
    <row r="747">
      <c r="D747" s="3"/>
      <c r="G747" s="3"/>
      <c r="J747" s="3"/>
    </row>
    <row r="748">
      <c r="D748" s="3"/>
      <c r="G748" s="3"/>
      <c r="J748" s="3"/>
    </row>
    <row r="749">
      <c r="D749" s="3"/>
      <c r="G749" s="3"/>
      <c r="J749" s="3"/>
    </row>
    <row r="750">
      <c r="D750" s="3"/>
      <c r="G750" s="3"/>
      <c r="J750" s="3"/>
    </row>
    <row r="751">
      <c r="D751" s="3"/>
      <c r="G751" s="3"/>
      <c r="J751" s="3"/>
    </row>
    <row r="752">
      <c r="D752" s="3"/>
      <c r="G752" s="3"/>
      <c r="J752" s="3"/>
    </row>
    <row r="753">
      <c r="D753" s="3"/>
      <c r="G753" s="3"/>
      <c r="J753" s="3"/>
    </row>
    <row r="754">
      <c r="D754" s="3"/>
      <c r="G754" s="3"/>
      <c r="J754" s="3"/>
    </row>
    <row r="755">
      <c r="D755" s="3"/>
      <c r="G755" s="3"/>
      <c r="J755" s="3"/>
    </row>
    <row r="756">
      <c r="D756" s="3"/>
      <c r="G756" s="3"/>
      <c r="J756" s="3"/>
    </row>
    <row r="757">
      <c r="D757" s="3"/>
      <c r="G757" s="3"/>
      <c r="J757" s="3"/>
    </row>
    <row r="758">
      <c r="D758" s="3"/>
      <c r="G758" s="3"/>
      <c r="J758" s="3"/>
    </row>
    <row r="759">
      <c r="D759" s="3"/>
      <c r="G759" s="3"/>
      <c r="J759" s="3"/>
    </row>
    <row r="760">
      <c r="D760" s="3"/>
      <c r="G760" s="3"/>
      <c r="J760" s="3"/>
    </row>
    <row r="761">
      <c r="D761" s="3"/>
      <c r="G761" s="3"/>
      <c r="J761" s="3"/>
    </row>
    <row r="762">
      <c r="D762" s="3"/>
      <c r="G762" s="3"/>
      <c r="J762" s="3"/>
    </row>
    <row r="763">
      <c r="D763" s="3"/>
      <c r="G763" s="3"/>
      <c r="J763" s="3"/>
    </row>
    <row r="764">
      <c r="D764" s="3"/>
      <c r="G764" s="3"/>
      <c r="J764" s="3"/>
    </row>
    <row r="765">
      <c r="D765" s="3"/>
      <c r="G765" s="3"/>
      <c r="J765" s="3"/>
    </row>
    <row r="766">
      <c r="D766" s="3"/>
      <c r="G766" s="3"/>
      <c r="J766" s="3"/>
    </row>
    <row r="767">
      <c r="D767" s="3"/>
      <c r="G767" s="3"/>
      <c r="J767" s="3"/>
    </row>
    <row r="768">
      <c r="D768" s="3"/>
      <c r="G768" s="3"/>
      <c r="J768" s="3"/>
    </row>
    <row r="769">
      <c r="D769" s="3"/>
      <c r="G769" s="3"/>
      <c r="J769" s="3"/>
    </row>
    <row r="770">
      <c r="D770" s="3"/>
      <c r="G770" s="3"/>
      <c r="J770" s="3"/>
    </row>
    <row r="771">
      <c r="D771" s="3"/>
      <c r="G771" s="3"/>
      <c r="J771" s="3"/>
    </row>
    <row r="772">
      <c r="D772" s="3"/>
      <c r="G772" s="3"/>
      <c r="J772" s="3"/>
    </row>
    <row r="773">
      <c r="D773" s="3"/>
      <c r="G773" s="3"/>
      <c r="J773" s="3"/>
    </row>
    <row r="774">
      <c r="D774" s="3"/>
      <c r="G774" s="3"/>
      <c r="J774" s="3"/>
    </row>
    <row r="775">
      <c r="D775" s="3"/>
      <c r="G775" s="3"/>
      <c r="J775" s="3"/>
    </row>
    <row r="776">
      <c r="D776" s="3"/>
      <c r="G776" s="3"/>
      <c r="J776" s="3"/>
    </row>
    <row r="777">
      <c r="D777" s="3"/>
      <c r="G777" s="3"/>
      <c r="J777" s="3"/>
    </row>
    <row r="778">
      <c r="D778" s="3"/>
      <c r="G778" s="3"/>
      <c r="J778" s="3"/>
    </row>
    <row r="779">
      <c r="D779" s="3"/>
      <c r="G779" s="3"/>
      <c r="J779" s="3"/>
    </row>
    <row r="780">
      <c r="D780" s="3"/>
      <c r="G780" s="3"/>
      <c r="J780" s="3"/>
    </row>
    <row r="781">
      <c r="D781" s="3"/>
      <c r="G781" s="3"/>
      <c r="J781" s="3"/>
    </row>
    <row r="782">
      <c r="D782" s="3"/>
      <c r="G782" s="3"/>
      <c r="J782" s="3"/>
    </row>
    <row r="783">
      <c r="D783" s="3"/>
      <c r="G783" s="3"/>
      <c r="J783" s="3"/>
    </row>
    <row r="784">
      <c r="D784" s="3"/>
      <c r="G784" s="3"/>
      <c r="J784" s="3"/>
    </row>
    <row r="785">
      <c r="D785" s="3"/>
      <c r="G785" s="3"/>
      <c r="J785" s="3"/>
    </row>
    <row r="786">
      <c r="D786" s="3"/>
      <c r="G786" s="3"/>
      <c r="J786" s="3"/>
    </row>
    <row r="787">
      <c r="D787" s="3"/>
      <c r="G787" s="3"/>
      <c r="J787" s="3"/>
    </row>
    <row r="788">
      <c r="D788" s="3"/>
      <c r="G788" s="3"/>
      <c r="J788" s="3"/>
    </row>
    <row r="789">
      <c r="D789" s="3"/>
      <c r="G789" s="3"/>
      <c r="J789" s="3"/>
    </row>
    <row r="790">
      <c r="D790" s="3"/>
      <c r="G790" s="3"/>
      <c r="J790" s="3"/>
    </row>
    <row r="791">
      <c r="D791" s="3"/>
      <c r="G791" s="3"/>
      <c r="J791" s="3"/>
    </row>
    <row r="792">
      <c r="D792" s="3"/>
      <c r="G792" s="3"/>
      <c r="J792" s="3"/>
    </row>
    <row r="793">
      <c r="D793" s="3"/>
      <c r="G793" s="3"/>
      <c r="J793" s="3"/>
    </row>
    <row r="794">
      <c r="D794" s="3"/>
      <c r="G794" s="3"/>
      <c r="J794" s="3"/>
    </row>
    <row r="795">
      <c r="D795" s="3"/>
      <c r="G795" s="3"/>
      <c r="J795" s="3"/>
    </row>
    <row r="796">
      <c r="D796" s="3"/>
      <c r="G796" s="3"/>
      <c r="J796" s="3"/>
    </row>
    <row r="797">
      <c r="D797" s="3"/>
      <c r="G797" s="3"/>
      <c r="J797" s="3"/>
    </row>
    <row r="798">
      <c r="D798" s="3"/>
      <c r="G798" s="3"/>
      <c r="J798" s="3"/>
    </row>
    <row r="799">
      <c r="D799" s="3"/>
      <c r="G799" s="3"/>
      <c r="J799" s="3"/>
    </row>
    <row r="800">
      <c r="D800" s="3"/>
      <c r="G800" s="3"/>
      <c r="J800" s="3"/>
    </row>
    <row r="801">
      <c r="D801" s="3"/>
      <c r="G801" s="3"/>
      <c r="J801" s="3"/>
    </row>
    <row r="802">
      <c r="D802" s="3"/>
      <c r="G802" s="3"/>
      <c r="J802" s="3"/>
    </row>
    <row r="803">
      <c r="D803" s="3"/>
      <c r="G803" s="3"/>
      <c r="J803" s="3"/>
    </row>
    <row r="804">
      <c r="D804" s="3"/>
      <c r="G804" s="3"/>
      <c r="J804" s="3"/>
    </row>
    <row r="805">
      <c r="D805" s="3"/>
      <c r="G805" s="3"/>
      <c r="J805" s="3"/>
    </row>
    <row r="806">
      <c r="D806" s="3"/>
      <c r="G806" s="3"/>
      <c r="J806" s="3"/>
    </row>
    <row r="807">
      <c r="D807" s="3"/>
      <c r="G807" s="3"/>
      <c r="J807" s="3"/>
    </row>
    <row r="808">
      <c r="D808" s="3"/>
      <c r="G808" s="3"/>
      <c r="J808" s="3"/>
    </row>
    <row r="809">
      <c r="D809" s="3"/>
      <c r="G809" s="3"/>
      <c r="J809" s="3"/>
    </row>
    <row r="810">
      <c r="D810" s="3"/>
      <c r="G810" s="3"/>
      <c r="J810" s="3"/>
    </row>
    <row r="811">
      <c r="D811" s="3"/>
      <c r="G811" s="3"/>
      <c r="J811" s="3"/>
    </row>
    <row r="812">
      <c r="D812" s="3"/>
      <c r="G812" s="3"/>
      <c r="J812" s="3"/>
    </row>
    <row r="813">
      <c r="D813" s="3"/>
      <c r="G813" s="3"/>
      <c r="J813" s="3"/>
    </row>
    <row r="814">
      <c r="D814" s="3"/>
      <c r="G814" s="3"/>
      <c r="J814" s="3"/>
    </row>
    <row r="815">
      <c r="D815" s="3"/>
      <c r="G815" s="3"/>
      <c r="J815" s="3"/>
    </row>
    <row r="816">
      <c r="D816" s="3"/>
      <c r="G816" s="3"/>
      <c r="J816" s="3"/>
    </row>
    <row r="817">
      <c r="D817" s="3"/>
      <c r="G817" s="3"/>
      <c r="J817" s="3"/>
    </row>
    <row r="818">
      <c r="D818" s="3"/>
      <c r="G818" s="3"/>
      <c r="J818" s="3"/>
    </row>
    <row r="819">
      <c r="D819" s="3"/>
      <c r="G819" s="3"/>
      <c r="J819" s="3"/>
    </row>
    <row r="820">
      <c r="D820" s="3"/>
      <c r="G820" s="3"/>
      <c r="J820" s="3"/>
    </row>
    <row r="821">
      <c r="D821" s="3"/>
      <c r="G821" s="3"/>
      <c r="J821" s="3"/>
    </row>
    <row r="822">
      <c r="D822" s="3"/>
      <c r="G822" s="3"/>
      <c r="J822" s="3"/>
    </row>
    <row r="823">
      <c r="D823" s="3"/>
      <c r="G823" s="3"/>
      <c r="J823" s="3"/>
    </row>
    <row r="824">
      <c r="D824" s="3"/>
      <c r="G824" s="3"/>
      <c r="J824" s="3"/>
    </row>
    <row r="825">
      <c r="D825" s="3"/>
      <c r="G825" s="3"/>
      <c r="J825" s="3"/>
    </row>
    <row r="826">
      <c r="D826" s="3"/>
      <c r="G826" s="3"/>
      <c r="J826" s="3"/>
    </row>
    <row r="827">
      <c r="D827" s="3"/>
      <c r="G827" s="3"/>
      <c r="J827" s="3"/>
    </row>
    <row r="828">
      <c r="D828" s="3"/>
      <c r="G828" s="3"/>
      <c r="J828" s="3"/>
    </row>
    <row r="829">
      <c r="D829" s="3"/>
      <c r="G829" s="3"/>
      <c r="J829" s="3"/>
    </row>
    <row r="830">
      <c r="D830" s="3"/>
      <c r="G830" s="3"/>
      <c r="J830" s="3"/>
    </row>
    <row r="831">
      <c r="D831" s="3"/>
      <c r="G831" s="3"/>
      <c r="J831" s="3"/>
    </row>
    <row r="832">
      <c r="D832" s="3"/>
      <c r="G832" s="3"/>
      <c r="J832" s="3"/>
    </row>
    <row r="833">
      <c r="D833" s="3"/>
      <c r="G833" s="3"/>
      <c r="J833" s="3"/>
    </row>
    <row r="834">
      <c r="D834" s="3"/>
      <c r="G834" s="3"/>
      <c r="J834" s="3"/>
    </row>
    <row r="835">
      <c r="D835" s="3"/>
      <c r="G835" s="3"/>
      <c r="J835" s="3"/>
    </row>
    <row r="836">
      <c r="D836" s="3"/>
      <c r="G836" s="3"/>
      <c r="J836" s="3"/>
    </row>
    <row r="837">
      <c r="D837" s="3"/>
      <c r="G837" s="3"/>
      <c r="J837" s="3"/>
    </row>
    <row r="838">
      <c r="D838" s="3"/>
      <c r="G838" s="3"/>
      <c r="J838" s="3"/>
    </row>
    <row r="839">
      <c r="D839" s="3"/>
      <c r="G839" s="3"/>
      <c r="J839" s="3"/>
    </row>
    <row r="840">
      <c r="D840" s="3"/>
      <c r="G840" s="3"/>
      <c r="J840" s="3"/>
    </row>
    <row r="841">
      <c r="D841" s="3"/>
      <c r="G841" s="3"/>
      <c r="J841" s="3"/>
    </row>
    <row r="842">
      <c r="D842" s="3"/>
      <c r="G842" s="3"/>
      <c r="J842" s="3"/>
    </row>
    <row r="843">
      <c r="D843" s="3"/>
      <c r="G843" s="3"/>
      <c r="J843" s="3"/>
    </row>
    <row r="844">
      <c r="D844" s="3"/>
      <c r="G844" s="3"/>
      <c r="J844" s="3"/>
    </row>
    <row r="845">
      <c r="D845" s="3"/>
      <c r="G845" s="3"/>
      <c r="J845" s="3"/>
    </row>
    <row r="846">
      <c r="D846" s="3"/>
      <c r="G846" s="3"/>
      <c r="J846" s="3"/>
    </row>
    <row r="847">
      <c r="D847" s="3"/>
      <c r="G847" s="3"/>
      <c r="J847" s="3"/>
    </row>
    <row r="848">
      <c r="D848" s="3"/>
      <c r="G848" s="3"/>
      <c r="J848" s="3"/>
    </row>
    <row r="849">
      <c r="D849" s="3"/>
      <c r="G849" s="3"/>
      <c r="J849" s="3"/>
    </row>
    <row r="850">
      <c r="D850" s="3"/>
      <c r="G850" s="3"/>
      <c r="J850" s="3"/>
    </row>
    <row r="851">
      <c r="D851" s="3"/>
      <c r="G851" s="3"/>
      <c r="J851" s="3"/>
    </row>
    <row r="852">
      <c r="D852" s="3"/>
      <c r="G852" s="3"/>
      <c r="J852" s="3"/>
    </row>
    <row r="853">
      <c r="D853" s="3"/>
      <c r="G853" s="3"/>
      <c r="J853" s="3"/>
    </row>
    <row r="854">
      <c r="D854" s="3"/>
      <c r="G854" s="3"/>
      <c r="J854" s="3"/>
    </row>
    <row r="855">
      <c r="D855" s="3"/>
      <c r="G855" s="3"/>
      <c r="J855" s="3"/>
    </row>
    <row r="856">
      <c r="D856" s="3"/>
      <c r="G856" s="3"/>
      <c r="J856" s="3"/>
    </row>
    <row r="857">
      <c r="D857" s="3"/>
      <c r="G857" s="3"/>
      <c r="J857" s="3"/>
    </row>
    <row r="858">
      <c r="D858" s="3"/>
      <c r="G858" s="3"/>
      <c r="J858" s="3"/>
    </row>
    <row r="859">
      <c r="D859" s="3"/>
      <c r="G859" s="3"/>
      <c r="J859" s="3"/>
    </row>
    <row r="860">
      <c r="D860" s="3"/>
      <c r="G860" s="3"/>
      <c r="J860" s="3"/>
    </row>
    <row r="861">
      <c r="D861" s="3"/>
      <c r="G861" s="3"/>
      <c r="J861" s="3"/>
    </row>
    <row r="862">
      <c r="D862" s="3"/>
      <c r="G862" s="3"/>
      <c r="J862" s="3"/>
    </row>
    <row r="863">
      <c r="D863" s="3"/>
      <c r="G863" s="3"/>
      <c r="J863" s="3"/>
    </row>
    <row r="864">
      <c r="D864" s="3"/>
      <c r="G864" s="3"/>
      <c r="J864" s="3"/>
    </row>
    <row r="865">
      <c r="D865" s="3"/>
      <c r="G865" s="3"/>
      <c r="J865" s="3"/>
    </row>
    <row r="866">
      <c r="D866" s="3"/>
      <c r="G866" s="3"/>
      <c r="J866" s="3"/>
    </row>
    <row r="867">
      <c r="D867" s="3"/>
      <c r="G867" s="3"/>
      <c r="J867" s="3"/>
    </row>
    <row r="868">
      <c r="D868" s="3"/>
      <c r="G868" s="3"/>
      <c r="J868" s="3"/>
    </row>
    <row r="869">
      <c r="D869" s="3"/>
      <c r="G869" s="3"/>
      <c r="J869" s="3"/>
    </row>
    <row r="870">
      <c r="D870" s="3"/>
      <c r="G870" s="3"/>
      <c r="J870" s="3"/>
    </row>
    <row r="871">
      <c r="D871" s="3"/>
      <c r="G871" s="3"/>
      <c r="J871" s="3"/>
    </row>
    <row r="872">
      <c r="D872" s="3"/>
      <c r="G872" s="3"/>
      <c r="J872" s="3"/>
    </row>
    <row r="873">
      <c r="D873" s="3"/>
      <c r="G873" s="3"/>
      <c r="J873" s="3"/>
    </row>
    <row r="874">
      <c r="D874" s="3"/>
      <c r="G874" s="3"/>
      <c r="J874" s="3"/>
    </row>
    <row r="875">
      <c r="D875" s="3"/>
      <c r="G875" s="3"/>
      <c r="J875" s="3"/>
    </row>
    <row r="876">
      <c r="D876" s="3"/>
      <c r="G876" s="3"/>
      <c r="J876" s="3"/>
    </row>
    <row r="877">
      <c r="D877" s="3"/>
      <c r="G877" s="3"/>
      <c r="J877" s="3"/>
    </row>
    <row r="878">
      <c r="D878" s="3"/>
      <c r="G878" s="3"/>
      <c r="J878" s="3"/>
    </row>
    <row r="879">
      <c r="D879" s="3"/>
      <c r="G879" s="3"/>
      <c r="J879" s="3"/>
    </row>
    <row r="880">
      <c r="D880" s="3"/>
      <c r="G880" s="3"/>
      <c r="J880" s="3"/>
    </row>
    <row r="881">
      <c r="D881" s="3"/>
      <c r="G881" s="3"/>
      <c r="J881" s="3"/>
    </row>
    <row r="882">
      <c r="D882" s="3"/>
      <c r="G882" s="3"/>
      <c r="J882" s="3"/>
    </row>
    <row r="883">
      <c r="D883" s="3"/>
      <c r="G883" s="3"/>
      <c r="J883" s="3"/>
    </row>
    <row r="884">
      <c r="D884" s="3"/>
      <c r="G884" s="3"/>
      <c r="J884" s="3"/>
    </row>
    <row r="885">
      <c r="D885" s="3"/>
      <c r="G885" s="3"/>
      <c r="J885" s="3"/>
    </row>
    <row r="886">
      <c r="D886" s="3"/>
      <c r="G886" s="3"/>
      <c r="J886" s="3"/>
    </row>
    <row r="887">
      <c r="D887" s="3"/>
      <c r="G887" s="3"/>
      <c r="J887" s="3"/>
    </row>
    <row r="888">
      <c r="D888" s="3"/>
      <c r="G888" s="3"/>
      <c r="J888" s="3"/>
    </row>
    <row r="889">
      <c r="D889" s="3"/>
      <c r="G889" s="3"/>
      <c r="J889" s="3"/>
    </row>
    <row r="890">
      <c r="D890" s="3"/>
      <c r="G890" s="3"/>
      <c r="J890" s="3"/>
    </row>
    <row r="891">
      <c r="D891" s="3"/>
      <c r="G891" s="3"/>
      <c r="J891" s="3"/>
    </row>
    <row r="892">
      <c r="D892" s="3"/>
      <c r="G892" s="3"/>
      <c r="J892" s="3"/>
    </row>
    <row r="893">
      <c r="D893" s="3"/>
      <c r="G893" s="3"/>
      <c r="J893" s="3"/>
    </row>
    <row r="894">
      <c r="D894" s="3"/>
      <c r="G894" s="3"/>
      <c r="J894" s="3"/>
    </row>
    <row r="895">
      <c r="D895" s="3"/>
      <c r="G895" s="3"/>
      <c r="J895" s="3"/>
    </row>
    <row r="896">
      <c r="D896" s="3"/>
      <c r="G896" s="3"/>
      <c r="J896" s="3"/>
    </row>
    <row r="897">
      <c r="D897" s="3"/>
      <c r="G897" s="3"/>
      <c r="J897" s="3"/>
    </row>
    <row r="898">
      <c r="D898" s="3"/>
      <c r="G898" s="3"/>
      <c r="J898" s="3"/>
    </row>
    <row r="899">
      <c r="D899" s="3"/>
      <c r="G899" s="3"/>
      <c r="J899" s="3"/>
    </row>
    <row r="900">
      <c r="D900" s="3"/>
      <c r="G900" s="3"/>
      <c r="J900" s="3"/>
    </row>
    <row r="901">
      <c r="D901" s="3"/>
      <c r="G901" s="3"/>
      <c r="J901" s="3"/>
    </row>
    <row r="902">
      <c r="D902" s="3"/>
      <c r="G902" s="3"/>
      <c r="J902" s="3"/>
    </row>
    <row r="903">
      <c r="D903" s="3"/>
      <c r="G903" s="3"/>
      <c r="J903" s="3"/>
    </row>
    <row r="904">
      <c r="D904" s="3"/>
      <c r="G904" s="3"/>
      <c r="J904" s="3"/>
    </row>
    <row r="905">
      <c r="D905" s="3"/>
      <c r="G905" s="3"/>
      <c r="J905" s="3"/>
    </row>
    <row r="906">
      <c r="D906" s="3"/>
      <c r="G906" s="3"/>
      <c r="J906" s="3"/>
    </row>
    <row r="907">
      <c r="D907" s="3"/>
      <c r="G907" s="3"/>
      <c r="J907" s="3"/>
    </row>
    <row r="908">
      <c r="D908" s="3"/>
      <c r="G908" s="3"/>
      <c r="J908" s="3"/>
    </row>
    <row r="909">
      <c r="D909" s="3"/>
      <c r="G909" s="3"/>
      <c r="J909" s="3"/>
    </row>
    <row r="910">
      <c r="D910" s="3"/>
      <c r="G910" s="3"/>
      <c r="J910" s="3"/>
    </row>
    <row r="911">
      <c r="D911" s="3"/>
      <c r="G911" s="3"/>
      <c r="J911" s="3"/>
    </row>
    <row r="912">
      <c r="D912" s="3"/>
      <c r="G912" s="3"/>
      <c r="J912" s="3"/>
    </row>
    <row r="913">
      <c r="D913" s="3"/>
      <c r="G913" s="3"/>
      <c r="J913" s="3"/>
    </row>
    <row r="914">
      <c r="D914" s="3"/>
      <c r="G914" s="3"/>
      <c r="J914" s="3"/>
    </row>
    <row r="915">
      <c r="D915" s="3"/>
      <c r="G915" s="3"/>
      <c r="J915" s="3"/>
    </row>
    <row r="916">
      <c r="D916" s="3"/>
      <c r="G916" s="3"/>
      <c r="J916" s="3"/>
    </row>
    <row r="917">
      <c r="D917" s="3"/>
      <c r="G917" s="3"/>
      <c r="J917" s="3"/>
    </row>
    <row r="918">
      <c r="D918" s="3"/>
      <c r="G918" s="3"/>
      <c r="J918" s="3"/>
    </row>
    <row r="919">
      <c r="D919" s="3"/>
      <c r="G919" s="3"/>
      <c r="J919" s="3"/>
    </row>
    <row r="920">
      <c r="D920" s="3"/>
      <c r="G920" s="3"/>
      <c r="J920" s="3"/>
    </row>
    <row r="921">
      <c r="D921" s="3"/>
      <c r="G921" s="3"/>
      <c r="J921" s="3"/>
    </row>
    <row r="922">
      <c r="D922" s="3"/>
      <c r="G922" s="3"/>
      <c r="J922" s="3"/>
    </row>
    <row r="923">
      <c r="D923" s="3"/>
      <c r="G923" s="3"/>
      <c r="J923" s="3"/>
    </row>
    <row r="924">
      <c r="D924" s="3"/>
      <c r="G924" s="3"/>
      <c r="J924" s="3"/>
    </row>
    <row r="925">
      <c r="D925" s="3"/>
      <c r="G925" s="3"/>
      <c r="J925" s="3"/>
    </row>
    <row r="926">
      <c r="D926" s="3"/>
      <c r="G926" s="3"/>
      <c r="J926" s="3"/>
    </row>
    <row r="927">
      <c r="D927" s="3"/>
      <c r="G927" s="3"/>
      <c r="J927" s="3"/>
    </row>
    <row r="928">
      <c r="D928" s="3"/>
      <c r="G928" s="3"/>
      <c r="J928" s="3"/>
    </row>
    <row r="929">
      <c r="D929" s="3"/>
      <c r="G929" s="3"/>
      <c r="J929" s="3"/>
    </row>
    <row r="930">
      <c r="D930" s="3"/>
      <c r="G930" s="3"/>
      <c r="J930" s="3"/>
    </row>
    <row r="931">
      <c r="D931" s="3"/>
      <c r="G931" s="3"/>
      <c r="J931" s="3"/>
    </row>
    <row r="932">
      <c r="D932" s="3"/>
      <c r="G932" s="3"/>
      <c r="J932" s="3"/>
    </row>
    <row r="933">
      <c r="D933" s="3"/>
      <c r="G933" s="3"/>
      <c r="J933" s="3"/>
    </row>
    <row r="934">
      <c r="D934" s="3"/>
      <c r="G934" s="3"/>
      <c r="J934" s="3"/>
    </row>
    <row r="935">
      <c r="D935" s="3"/>
      <c r="G935" s="3"/>
      <c r="J935" s="3"/>
    </row>
    <row r="936">
      <c r="D936" s="3"/>
      <c r="G936" s="3"/>
      <c r="J936" s="3"/>
    </row>
    <row r="937">
      <c r="D937" s="3"/>
      <c r="G937" s="3"/>
      <c r="J937" s="3"/>
    </row>
    <row r="938">
      <c r="D938" s="3"/>
      <c r="G938" s="3"/>
      <c r="J938" s="3"/>
    </row>
    <row r="939">
      <c r="D939" s="3"/>
      <c r="G939" s="3"/>
      <c r="J939" s="3"/>
    </row>
    <row r="940">
      <c r="D940" s="3"/>
      <c r="G940" s="3"/>
      <c r="J940" s="3"/>
    </row>
    <row r="941">
      <c r="D941" s="3"/>
      <c r="G941" s="3"/>
      <c r="J941" s="3"/>
    </row>
    <row r="942">
      <c r="D942" s="3"/>
      <c r="G942" s="3"/>
      <c r="J942" s="3"/>
    </row>
    <row r="943">
      <c r="D943" s="3"/>
      <c r="G943" s="3"/>
      <c r="J943" s="3"/>
    </row>
    <row r="944">
      <c r="D944" s="3"/>
      <c r="G944" s="3"/>
      <c r="J944" s="3"/>
    </row>
    <row r="945">
      <c r="D945" s="3"/>
      <c r="G945" s="3"/>
      <c r="J945" s="3"/>
    </row>
    <row r="946">
      <c r="D946" s="3"/>
      <c r="G946" s="3"/>
      <c r="J946" s="3"/>
    </row>
    <row r="947">
      <c r="D947" s="3"/>
      <c r="G947" s="3"/>
      <c r="J947" s="3"/>
    </row>
    <row r="948">
      <c r="D948" s="3"/>
      <c r="G948" s="3"/>
      <c r="J948" s="3"/>
    </row>
    <row r="949">
      <c r="D949" s="3"/>
      <c r="G949" s="3"/>
      <c r="J949" s="3"/>
    </row>
    <row r="950">
      <c r="D950" s="3"/>
      <c r="G950" s="3"/>
      <c r="J950" s="3"/>
    </row>
    <row r="951">
      <c r="D951" s="3"/>
      <c r="G951" s="3"/>
      <c r="J951" s="3"/>
    </row>
    <row r="952">
      <c r="D952" s="3"/>
      <c r="G952" s="3"/>
      <c r="J952" s="3"/>
    </row>
    <row r="953">
      <c r="D953" s="3"/>
      <c r="G953" s="3"/>
      <c r="J953" s="3"/>
    </row>
    <row r="954">
      <c r="D954" s="3"/>
      <c r="G954" s="3"/>
      <c r="J954" s="3"/>
    </row>
    <row r="955">
      <c r="D955" s="3"/>
      <c r="G955" s="3"/>
      <c r="J955" s="3"/>
    </row>
    <row r="956">
      <c r="D956" s="3"/>
      <c r="G956" s="3"/>
      <c r="J956" s="3"/>
    </row>
    <row r="957">
      <c r="D957" s="3"/>
      <c r="G957" s="3"/>
      <c r="J957" s="3"/>
    </row>
    <row r="958">
      <c r="D958" s="3"/>
      <c r="G958" s="3"/>
      <c r="J958" s="3"/>
    </row>
    <row r="959">
      <c r="D959" s="3"/>
      <c r="G959" s="3"/>
      <c r="J959" s="3"/>
    </row>
    <row r="960">
      <c r="D960" s="3"/>
      <c r="G960" s="3"/>
      <c r="J960" s="3"/>
    </row>
    <row r="961">
      <c r="D961" s="3"/>
      <c r="G961" s="3"/>
      <c r="J961" s="3"/>
    </row>
    <row r="962">
      <c r="D962" s="3"/>
      <c r="G962" s="3"/>
      <c r="J962" s="3"/>
    </row>
    <row r="963">
      <c r="D963" s="3"/>
      <c r="G963" s="3"/>
      <c r="J963" s="3"/>
    </row>
    <row r="964">
      <c r="D964" s="3"/>
      <c r="G964" s="3"/>
      <c r="J964" s="3"/>
    </row>
    <row r="965">
      <c r="D965" s="3"/>
      <c r="G965" s="3"/>
      <c r="J965" s="3"/>
    </row>
    <row r="966">
      <c r="D966" s="3"/>
      <c r="G966" s="3"/>
      <c r="J966" s="3"/>
    </row>
    <row r="967">
      <c r="D967" s="3"/>
      <c r="G967" s="3"/>
      <c r="J967" s="3"/>
    </row>
    <row r="968">
      <c r="D968" s="3"/>
      <c r="G968" s="3"/>
      <c r="J968" s="3"/>
    </row>
    <row r="969">
      <c r="D969" s="3"/>
      <c r="G969" s="3"/>
      <c r="J969" s="3"/>
    </row>
    <row r="970">
      <c r="D970" s="3"/>
      <c r="G970" s="3"/>
      <c r="J970" s="3"/>
    </row>
    <row r="971">
      <c r="D971" s="3"/>
      <c r="G971" s="3"/>
      <c r="J971" s="3"/>
    </row>
    <row r="972">
      <c r="D972" s="3"/>
      <c r="G972" s="3"/>
      <c r="J972" s="3"/>
    </row>
    <row r="973">
      <c r="D973" s="3"/>
      <c r="G973" s="3"/>
      <c r="J973" s="3"/>
    </row>
    <row r="974">
      <c r="D974" s="3"/>
      <c r="G974" s="3"/>
      <c r="J974" s="3"/>
    </row>
    <row r="975">
      <c r="D975" s="3"/>
      <c r="G975" s="3"/>
      <c r="J975" s="3"/>
    </row>
    <row r="976">
      <c r="D976" s="3"/>
      <c r="G976" s="3"/>
      <c r="J976" s="3"/>
    </row>
    <row r="977">
      <c r="D977" s="3"/>
      <c r="G977" s="3"/>
      <c r="J977" s="3"/>
    </row>
    <row r="978">
      <c r="D978" s="3"/>
      <c r="G978" s="3"/>
      <c r="J978" s="3"/>
    </row>
    <row r="979">
      <c r="D979" s="3"/>
      <c r="G979" s="3"/>
      <c r="J979" s="3"/>
    </row>
    <row r="980">
      <c r="D980" s="3"/>
      <c r="G980" s="3"/>
      <c r="J980" s="3"/>
    </row>
    <row r="981">
      <c r="D981" s="3"/>
      <c r="G981" s="3"/>
      <c r="J981" s="3"/>
    </row>
    <row r="982">
      <c r="D982" s="3"/>
      <c r="G982" s="3"/>
      <c r="J982" s="3"/>
    </row>
    <row r="983">
      <c r="D983" s="3"/>
      <c r="G983" s="3"/>
      <c r="J983" s="3"/>
    </row>
    <row r="984">
      <c r="D984" s="3"/>
      <c r="G984" s="3"/>
      <c r="J984" s="3"/>
    </row>
    <row r="985">
      <c r="D985" s="3"/>
      <c r="G985" s="3"/>
      <c r="J985" s="3"/>
    </row>
    <row r="986">
      <c r="D986" s="3"/>
      <c r="G986" s="3"/>
      <c r="J986" s="3"/>
    </row>
    <row r="987">
      <c r="D987" s="3"/>
      <c r="G987" s="3"/>
      <c r="J987" s="3"/>
    </row>
    <row r="988">
      <c r="D988" s="3"/>
      <c r="G988" s="3"/>
      <c r="J988" s="3"/>
    </row>
    <row r="989">
      <c r="D989" s="3"/>
      <c r="G989" s="3"/>
      <c r="J989" s="3"/>
    </row>
    <row r="990">
      <c r="D990" s="3"/>
      <c r="G990" s="3"/>
      <c r="J990" s="3"/>
    </row>
    <row r="991">
      <c r="D991" s="3"/>
      <c r="G991" s="3"/>
      <c r="J991" s="3"/>
    </row>
    <row r="992">
      <c r="D992" s="3"/>
      <c r="G992" s="3"/>
      <c r="J992" s="3"/>
    </row>
    <row r="993">
      <c r="D993" s="3"/>
      <c r="G993" s="3"/>
      <c r="J993" s="3"/>
    </row>
    <row r="994">
      <c r="D994" s="3"/>
      <c r="G994" s="3"/>
      <c r="J994" s="3"/>
    </row>
    <row r="995">
      <c r="D995" s="3"/>
      <c r="G995" s="3"/>
      <c r="J995" s="3"/>
    </row>
    <row r="996">
      <c r="D996" s="3"/>
      <c r="G996" s="3"/>
      <c r="J996" s="3"/>
    </row>
    <row r="997">
      <c r="D997" s="3"/>
      <c r="G997" s="3"/>
      <c r="J997" s="3"/>
    </row>
    <row r="998">
      <c r="D998" s="3"/>
      <c r="G998" s="3"/>
      <c r="J998" s="3"/>
    </row>
    <row r="999">
      <c r="D999" s="3"/>
      <c r="G999" s="3"/>
      <c r="J999" s="3"/>
    </row>
    <row r="1000">
      <c r="D1000" s="3"/>
      <c r="G1000" s="3"/>
      <c r="J1000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5"/>
    <col customWidth="1" min="7" max="7" width="15.75"/>
    <col customWidth="1" min="10" max="10" width="15.38"/>
  </cols>
  <sheetData>
    <row r="1">
      <c r="A1" s="13">
        <f>IFERROR(__xludf.DUMMYFUNCTION("IFERROR(QUERY(JAN_2023!A:I, ""SELECT * WHERE D IS NOT NULL AND UPPER(I) = 'PRIBADI'"", 1), ""Data PRIBADI belum ditemukan"")"),44928.0)</f>
        <v>44928</v>
      </c>
      <c r="B1" s="14" t="str">
        <f>IFERROR(__xludf.DUMMYFUNCTION("""COMPUTED_VALUE"""),"TARIKAN ATM 31/12")</f>
        <v>TARIKAN ATM 31/12</v>
      </c>
      <c r="C1" s="14" t="str">
        <f>IFERROR(__xludf.DUMMYFUNCTION("""COMPUTED_VALUE"""),"TARIKAN ATM 31/12")</f>
        <v>TARIKAN ATM 31/12</v>
      </c>
      <c r="D1" s="3">
        <f>IFERROR(__xludf.DUMMYFUNCTION("""COMPUTED_VALUE"""),300000.0)</f>
        <v>300000</v>
      </c>
      <c r="E1" s="14"/>
      <c r="F1" s="14"/>
      <c r="G1" s="3">
        <f>IFERROR(__xludf.DUMMYFUNCTION("""COMPUTED_VALUE"""),1.3902380813E8)</f>
        <v>139023808.1</v>
      </c>
      <c r="H1" s="14"/>
      <c r="I1" s="14" t="str">
        <f>IFERROR(__xludf.DUMMYFUNCTION("""COMPUTED_VALUE"""),"PRIBADI")</f>
        <v>PRIBADI</v>
      </c>
      <c r="J1" s="3">
        <f>SUM(D1:D1000)</f>
        <v>18092650</v>
      </c>
    </row>
    <row r="2">
      <c r="A2" s="13">
        <f>IFERROR(__xludf.DUMMYFUNCTION("""COMPUTED_VALUE"""),44928.0)</f>
        <v>44928</v>
      </c>
      <c r="B2" s="14" t="str">
        <f>IFERROR(__xludf.DUMMYFUNCTION("""COMPUTED_VALUE"""),"BYR VIA E-BANKING TANGGAL :01/01")</f>
        <v>BYR VIA E-BANKING TANGGAL :01/01</v>
      </c>
      <c r="C2" s="14" t="str">
        <f>IFERROR(__xludf.DUMMYFUNCTION("""COMPUTED_VALUE"""),"BYR VIA E-BANKING TANGGAL :01/01 01/01  WSID9503100 82318368518 MUHAMMAD HAIRUL MA")</f>
        <v>BYR VIA E-BANKING TANGGAL :01/01 01/01  WSID9503100 82318368518 MUHAMMAD HAIRUL MA</v>
      </c>
      <c r="D2" s="3">
        <f>IFERROR(__xludf.DUMMYFUNCTION("""COMPUTED_VALUE"""),27000.0)</f>
        <v>27000</v>
      </c>
      <c r="E2" s="14"/>
      <c r="F2" s="14"/>
      <c r="G2" s="3">
        <f>IFERROR(__xludf.DUMMYFUNCTION("""COMPUTED_VALUE"""),2.8959025713E8)</f>
        <v>289590257.1</v>
      </c>
      <c r="H2" s="14"/>
      <c r="I2" s="14" t="str">
        <f>IFERROR(__xludf.DUMMYFUNCTION("""COMPUTED_VALUE"""),"PRIBADI")</f>
        <v>PRIBADI</v>
      </c>
      <c r="J2" s="3"/>
    </row>
    <row r="3">
      <c r="A3" s="13">
        <f>IFERROR(__xludf.DUMMYFUNCTION("""COMPUTED_VALUE"""),44928.0)</f>
        <v>44928</v>
      </c>
      <c r="B3" s="14" t="str">
        <f>IFERROR(__xludf.DUMMYFUNCTION("""COMPUTED_VALUE"""),"BYR VIA E-BANKING TANGGAL :01/01")</f>
        <v>BYR VIA E-BANKING TANGGAL :01/01</v>
      </c>
      <c r="C3" s="14" t="str">
        <f>IFERROR(__xludf.DUMMYFUNCTION("""COMPUTED_VALUE"""),"BYR VIA E-BANKING TANGGAL :01/01 01/01  WSID9503100 82318368518 MUHAMMAD HAIRUL MA")</f>
        <v>BYR VIA E-BANKING TANGGAL :01/01 01/01  WSID9503100 82318368518 MUHAMMAD HAIRUL MA</v>
      </c>
      <c r="D3" s="3">
        <f>IFERROR(__xludf.DUMMYFUNCTION("""COMPUTED_VALUE"""),52000.0)</f>
        <v>52000</v>
      </c>
      <c r="E3" s="14"/>
      <c r="F3" s="14"/>
      <c r="G3" s="3">
        <f>IFERROR(__xludf.DUMMYFUNCTION("""COMPUTED_VALUE"""),2.8953825713E8)</f>
        <v>289538257.1</v>
      </c>
      <c r="H3" s="14"/>
      <c r="I3" s="14" t="str">
        <f>IFERROR(__xludf.DUMMYFUNCTION("""COMPUTED_VALUE"""),"PRIBADI")</f>
        <v>PRIBADI</v>
      </c>
      <c r="J3" s="3"/>
    </row>
    <row r="4">
      <c r="A4" s="13">
        <f>IFERROR(__xludf.DUMMYFUNCTION("""COMPUTED_VALUE"""),44928.0)</f>
        <v>44928</v>
      </c>
      <c r="B4" s="14" t="str">
        <f>IFERROR(__xludf.DUMMYFUNCTION("""COMPUTED_VALUE"""),"KARTU DEBIT")</f>
        <v>KARTU DEBIT</v>
      </c>
      <c r="C4" s="14" t="str">
        <f>IFERROR(__xludf.DUMMYFUNCTION("""COMPUTED_VALUE"""),"KARTU DEBIT ALFAMRT Y207 BRTN 6019009510239343")</f>
        <v>KARTU DEBIT ALFAMRT Y207 BRTN 6019009510239343</v>
      </c>
      <c r="D4" s="3">
        <f>IFERROR(__xludf.DUMMYFUNCTION("""COMPUTED_VALUE"""),139900.0)</f>
        <v>139900</v>
      </c>
      <c r="E4" s="14"/>
      <c r="F4" s="14"/>
      <c r="G4" s="3">
        <f>IFERROR(__xludf.DUMMYFUNCTION("""COMPUTED_VALUE"""),1359541.1299999952)</f>
        <v>1359541.13</v>
      </c>
      <c r="H4" s="14"/>
      <c r="I4" s="14" t="str">
        <f>IFERROR(__xludf.DUMMYFUNCTION("""COMPUTED_VALUE"""),"PRIBADI")</f>
        <v>PRIBADI</v>
      </c>
      <c r="J4" s="3"/>
    </row>
    <row r="5">
      <c r="A5" s="13">
        <f>IFERROR(__xludf.DUMMYFUNCTION("""COMPUTED_VALUE"""),44928.0)</f>
        <v>44928</v>
      </c>
      <c r="B5" s="14" t="str">
        <f>IFERROR(__xludf.DUMMYFUNCTION("""COMPUTED_VALUE"""),"BI-FAST DB")</f>
        <v>BI-FAST DB</v>
      </c>
      <c r="C5" s="14" t="str">
        <f>IFERROR(__xludf.DUMMYFUNCTION("""COMPUTED_VALUE"""),"BI-FAST DB BIF TRANSFER KE 9 AHMAD LUTHFI FADHI M-BCA")</f>
        <v>BI-FAST DB BIF TRANSFER KE 9 AHMAD LUTHFI FADHI M-BCA</v>
      </c>
      <c r="D5" s="3">
        <f>IFERROR(__xludf.DUMMYFUNCTION("""COMPUTED_VALUE"""),75000.0)</f>
        <v>75000</v>
      </c>
      <c r="E5" s="14"/>
      <c r="F5" s="14" t="str">
        <f>IFERROR(__xludf.DUMMYFUNCTION("""COMPUTED_VALUE"""),"DB")</f>
        <v>DB</v>
      </c>
      <c r="G5" s="3">
        <f>IFERROR(__xludf.DUMMYFUNCTION("""COMPUTED_VALUE"""),1.0600527113E8)</f>
        <v>106005271.1</v>
      </c>
      <c r="H5" s="14"/>
      <c r="I5" s="14" t="str">
        <f>IFERROR(__xludf.DUMMYFUNCTION("""COMPUTED_VALUE"""),"PRIBADI")</f>
        <v>PRIBADI</v>
      </c>
      <c r="J5" s="3"/>
    </row>
    <row r="6">
      <c r="A6" s="13">
        <f>IFERROR(__xludf.DUMMYFUNCTION("""COMPUTED_VALUE"""),44928.0)</f>
        <v>44928</v>
      </c>
      <c r="B6" s="14" t="str">
        <f>IFERROR(__xludf.DUMMYFUNCTION("""COMPUTED_VALUE"""),"BI-FAST DB")</f>
        <v>BI-FAST DB</v>
      </c>
      <c r="C6" s="14" t="str">
        <f>IFERROR(__xludf.DUMMYFUNCTION("""COMPUTED_VALUE"""),"BI-FAST DB BIF BIAYA TXN KE 9 AHMAD LUTHFI FADHI M-BCA")</f>
        <v>BI-FAST DB BIF BIAYA TXN KE 9 AHMAD LUTHFI FADHI M-BCA</v>
      </c>
      <c r="D6" s="3">
        <f>IFERROR(__xludf.DUMMYFUNCTION("""COMPUTED_VALUE"""),2500.0)</f>
        <v>2500</v>
      </c>
      <c r="E6" s="14"/>
      <c r="F6" s="14" t="str">
        <f>IFERROR(__xludf.DUMMYFUNCTION("""COMPUTED_VALUE"""),"DB")</f>
        <v>DB</v>
      </c>
      <c r="G6" s="3">
        <f>IFERROR(__xludf.DUMMYFUNCTION("""COMPUTED_VALUE"""),1.0600277113E8)</f>
        <v>106002771.1</v>
      </c>
      <c r="H6" s="14"/>
      <c r="I6" s="14" t="str">
        <f>IFERROR(__xludf.DUMMYFUNCTION("""COMPUTED_VALUE"""),"PRIBADI")</f>
        <v>PRIBADI</v>
      </c>
      <c r="J6" s="3"/>
    </row>
    <row r="7">
      <c r="A7" s="13">
        <f>IFERROR(__xludf.DUMMYFUNCTION("""COMPUTED_VALUE"""),44928.0)</f>
        <v>44928</v>
      </c>
      <c r="B7" s="14" t="str">
        <f>IFERROR(__xludf.DUMMYFUNCTION("""COMPUTED_VALUE"""),"TARIKAN ATM 02/01")</f>
        <v>TARIKAN ATM 02/01</v>
      </c>
      <c r="C7" s="14" t="str">
        <f>IFERROR(__xludf.DUMMYFUNCTION("""COMPUTED_VALUE"""),"TARIKAN ATM 02/01")</f>
        <v>TARIKAN ATM 02/01</v>
      </c>
      <c r="D7" s="3">
        <f>IFERROR(__xludf.DUMMYFUNCTION("""COMPUTED_VALUE"""),300000.0)</f>
        <v>300000</v>
      </c>
      <c r="E7" s="14"/>
      <c r="F7" s="14"/>
      <c r="G7" s="3">
        <f>IFERROR(__xludf.DUMMYFUNCTION("""COMPUTED_VALUE"""),1.2309832113E8)</f>
        <v>123098321.1</v>
      </c>
      <c r="H7" s="14"/>
      <c r="I7" s="14" t="str">
        <f>IFERROR(__xludf.DUMMYFUNCTION("""COMPUTED_VALUE"""),"PRIBADI")</f>
        <v>PRIBADI</v>
      </c>
      <c r="J7" s="3"/>
    </row>
    <row r="8">
      <c r="A8" s="13">
        <f>IFERROR(__xludf.DUMMYFUNCTION("""COMPUTED_VALUE"""),44930.0)</f>
        <v>44930</v>
      </c>
      <c r="B8" s="14" t="str">
        <f>IFERROR(__xludf.DUMMYFUNCTION("""COMPUTED_VALUE"""),"KARTU DEBIT")</f>
        <v>KARTU DEBIT</v>
      </c>
      <c r="C8" s="14" t="str">
        <f>IFERROR(__xludf.DUMMYFUNCTION("""COMPUTED_VALUE"""),"KARTU DEBIT ARDJUNA TOKO MAS-H 6019009510239343")</f>
        <v>KARTU DEBIT ARDJUNA TOKO MAS-H 6019009510239343</v>
      </c>
      <c r="D8" s="3">
        <f>IFERROR(__xludf.DUMMYFUNCTION("""COMPUTED_VALUE"""),2703450.0)</f>
        <v>2703450</v>
      </c>
      <c r="E8" s="14"/>
      <c r="F8" s="14"/>
      <c r="G8" s="3">
        <f>IFERROR(__xludf.DUMMYFUNCTION("""COMPUTED_VALUE"""),8.784019513E7)</f>
        <v>87840195.13</v>
      </c>
      <c r="H8" s="14"/>
      <c r="I8" s="14" t="str">
        <f>IFERROR(__xludf.DUMMYFUNCTION("""COMPUTED_VALUE"""),"PRIBADI")</f>
        <v>PRIBADI</v>
      </c>
      <c r="J8" s="3"/>
    </row>
    <row r="9">
      <c r="A9" s="13">
        <f>IFERROR(__xludf.DUMMYFUNCTION("""COMPUTED_VALUE"""),44930.0)</f>
        <v>44930</v>
      </c>
      <c r="B9" s="14" t="str">
        <f>IFERROR(__xludf.DUMMYFUNCTION("""COMPUTED_VALUE"""),"KARTU DEBIT")</f>
        <v>KARTU DEBIT</v>
      </c>
      <c r="C9" s="14" t="str">
        <f>IFERROR(__xludf.DUMMYFUNCTION("""COMPUTED_VALUE"""),"KARTU DEBIT ARDJUNA TOKO MAS-H 6019009510239343")</f>
        <v>KARTU DEBIT ARDJUNA TOKO MAS-H 6019009510239343</v>
      </c>
      <c r="D9" s="3">
        <f>IFERROR(__xludf.DUMMYFUNCTION("""COMPUTED_VALUE"""),783900.0)</f>
        <v>783900</v>
      </c>
      <c r="E9" s="14"/>
      <c r="F9" s="14"/>
      <c r="G9" s="3">
        <f>IFERROR(__xludf.DUMMYFUNCTION("""COMPUTED_VALUE"""),8.705629513E7)</f>
        <v>87056295.13</v>
      </c>
      <c r="H9" s="14"/>
      <c r="I9" s="14" t="str">
        <f>IFERROR(__xludf.DUMMYFUNCTION("""COMPUTED_VALUE"""),"PRIBADI")</f>
        <v>PRIBADI</v>
      </c>
      <c r="J9" s="3"/>
    </row>
    <row r="10">
      <c r="A10" s="13">
        <f>IFERROR(__xludf.DUMMYFUNCTION("""COMPUTED_VALUE"""),44931.0)</f>
        <v>44931</v>
      </c>
      <c r="B10" s="14" t="str">
        <f>IFERROR(__xludf.DUMMYFUNCTION("""COMPUTED_VALUE"""),"KARTU DEBIT")</f>
        <v>KARTU DEBIT</v>
      </c>
      <c r="C10" s="14" t="str">
        <f>IFERROR(__xludf.DUMMYFUNCTION("""COMPUTED_VALUE"""),"KARTU DEBIT ALFAMRT Y073 SUDI 6019009510239343")</f>
        <v>KARTU DEBIT ALFAMRT Y073 SUDI 6019009510239343</v>
      </c>
      <c r="D10" s="3">
        <f>IFERROR(__xludf.DUMMYFUNCTION("""COMPUTED_VALUE"""),157100.0)</f>
        <v>157100</v>
      </c>
      <c r="E10" s="14"/>
      <c r="F10" s="14"/>
      <c r="G10" s="3">
        <f>IFERROR(__xludf.DUMMYFUNCTION("""COMPUTED_VALUE"""),1.3334855513E8)</f>
        <v>133348555.1</v>
      </c>
      <c r="H10" s="14"/>
      <c r="I10" s="14" t="str">
        <f>IFERROR(__xludf.DUMMYFUNCTION("""COMPUTED_VALUE"""),"PRIBADI")</f>
        <v>PRIBADI</v>
      </c>
      <c r="J10" s="3"/>
    </row>
    <row r="11">
      <c r="A11" s="13">
        <f>IFERROR(__xludf.DUMMYFUNCTION("""COMPUTED_VALUE"""),44931.0)</f>
        <v>44931</v>
      </c>
      <c r="B11" s="14" t="str">
        <f>IFERROR(__xludf.DUMMYFUNCTION("""COMPUTED_VALUE"""),"TARIKAN ATM 05/01")</f>
        <v>TARIKAN ATM 05/01</v>
      </c>
      <c r="C11" s="14" t="str">
        <f>IFERROR(__xludf.DUMMYFUNCTION("""COMPUTED_VALUE"""),"TARIKAN ATM 05/01")</f>
        <v>TARIKAN ATM 05/01</v>
      </c>
      <c r="D11" s="3">
        <f>IFERROR(__xludf.DUMMYFUNCTION("""COMPUTED_VALUE"""),250000.0)</f>
        <v>250000</v>
      </c>
      <c r="E11" s="14"/>
      <c r="F11" s="14"/>
      <c r="G11" s="3">
        <f>IFERROR(__xludf.DUMMYFUNCTION("""COMPUTED_VALUE"""),2.2828855513E8)</f>
        <v>228288555.1</v>
      </c>
      <c r="H11" s="14"/>
      <c r="I11" s="14" t="str">
        <f>IFERROR(__xludf.DUMMYFUNCTION("""COMPUTED_VALUE"""),"PRIBADI")</f>
        <v>PRIBADI</v>
      </c>
      <c r="J11" s="3"/>
    </row>
    <row r="12">
      <c r="A12" s="13">
        <f>IFERROR(__xludf.DUMMYFUNCTION("""COMPUTED_VALUE"""),44933.0)</f>
        <v>44933</v>
      </c>
      <c r="B12" s="14" t="str">
        <f>IFERROR(__xludf.DUMMYFUNCTION("""COMPUTED_VALUE"""),"BI-FAST DB")</f>
        <v>BI-FAST DB</v>
      </c>
      <c r="C12" s="14" t="str">
        <f>IFERROR(__xludf.DUMMYFUNCTION("""COMPUTED_VALUE"""),"BI-FAST DB BIF TRANSFER KE 9 AHMAD LUTHFI FADHI M-BCA")</f>
        <v>BI-FAST DB BIF TRANSFER KE 9 AHMAD LUTHFI FADHI M-BCA</v>
      </c>
      <c r="D12" s="3">
        <f>IFERROR(__xludf.DUMMYFUNCTION("""COMPUTED_VALUE"""),66000.0)</f>
        <v>66000</v>
      </c>
      <c r="E12" s="14"/>
      <c r="F12" s="14" t="str">
        <f>IFERROR(__xludf.DUMMYFUNCTION("""COMPUTED_VALUE"""),"DB")</f>
        <v>DB</v>
      </c>
      <c r="G12" s="3">
        <f>IFERROR(__xludf.DUMMYFUNCTION("""COMPUTED_VALUE"""),5.0582498213E8)</f>
        <v>505824982.1</v>
      </c>
      <c r="H12" s="14"/>
      <c r="I12" s="14" t="str">
        <f>IFERROR(__xludf.DUMMYFUNCTION("""COMPUTED_VALUE"""),"PRIBADI")</f>
        <v>PRIBADI</v>
      </c>
      <c r="J12" s="3"/>
    </row>
    <row r="13">
      <c r="A13" s="13">
        <f>IFERROR(__xludf.DUMMYFUNCTION("""COMPUTED_VALUE"""),44933.0)</f>
        <v>44933</v>
      </c>
      <c r="B13" s="14" t="str">
        <f>IFERROR(__xludf.DUMMYFUNCTION("""COMPUTED_VALUE"""),"BI-FAST DB")</f>
        <v>BI-FAST DB</v>
      </c>
      <c r="C13" s="14" t="str">
        <f>IFERROR(__xludf.DUMMYFUNCTION("""COMPUTED_VALUE"""),"BI-FAST DB BIF BIAYA TXN KE 9 AHMAD LUTHFI FADHI M-BCA")</f>
        <v>BI-FAST DB BIF BIAYA TXN KE 9 AHMAD LUTHFI FADHI M-BCA</v>
      </c>
      <c r="D13" s="3">
        <f>IFERROR(__xludf.DUMMYFUNCTION("""COMPUTED_VALUE"""),2500.0)</f>
        <v>2500</v>
      </c>
      <c r="E13" s="14"/>
      <c r="F13" s="14" t="str">
        <f>IFERROR(__xludf.DUMMYFUNCTION("""COMPUTED_VALUE"""),"DB")</f>
        <v>DB</v>
      </c>
      <c r="G13" s="3">
        <f>IFERROR(__xludf.DUMMYFUNCTION("""COMPUTED_VALUE"""),5.0582248213E8)</f>
        <v>505822482.1</v>
      </c>
      <c r="H13" s="14"/>
      <c r="I13" s="14" t="str">
        <f>IFERROR(__xludf.DUMMYFUNCTION("""COMPUTED_VALUE"""),"PRIBADI")</f>
        <v>PRIBADI</v>
      </c>
      <c r="J13" s="3"/>
    </row>
    <row r="14">
      <c r="A14" s="13">
        <f>IFERROR(__xludf.DUMMYFUNCTION("""COMPUTED_VALUE"""),44937.0)</f>
        <v>44937</v>
      </c>
      <c r="B14" s="14" t="str">
        <f>IFERROR(__xludf.DUMMYFUNCTION("""COMPUTED_VALUE"""),"BI-FAST DB TANGGAL :10/01")</f>
        <v>BI-FAST DB TANGGAL :10/01</v>
      </c>
      <c r="C14" s="14" t="str">
        <f>IFERROR(__xludf.DUMMYFUNCTION("""COMPUTED_VALUE"""),"BI-FAST DB TANGGAL :10/01 BIF TRANSFER KE ADIRA MUHAMMAD HAI M-BCA")</f>
        <v>BI-FAST DB TANGGAL :10/01 BIF TRANSFER KE ADIRA MUHAMMAD HAI M-BCA</v>
      </c>
      <c r="D14" s="3">
        <f>IFERROR(__xludf.DUMMYFUNCTION("""COMPUTED_VALUE"""),2641000.0)</f>
        <v>2641000</v>
      </c>
      <c r="E14" s="14"/>
      <c r="F14" s="14" t="str">
        <f>IFERROR(__xludf.DUMMYFUNCTION("""COMPUTED_VALUE"""),"DB")</f>
        <v>DB</v>
      </c>
      <c r="G14" s="3">
        <f>IFERROR(__xludf.DUMMYFUNCTION("""COMPUTED_VALUE"""),4.569812291300001E8)</f>
        <v>456981229.1</v>
      </c>
      <c r="H14" s="14"/>
      <c r="I14" s="14" t="str">
        <f>IFERROR(__xludf.DUMMYFUNCTION("""COMPUTED_VALUE"""),"PRIBADI")</f>
        <v>PRIBADI</v>
      </c>
      <c r="J14" s="3"/>
    </row>
    <row r="15">
      <c r="A15" s="13">
        <f>IFERROR(__xludf.DUMMYFUNCTION("""COMPUTED_VALUE"""),44937.0)</f>
        <v>44937</v>
      </c>
      <c r="B15" s="14" t="str">
        <f>IFERROR(__xludf.DUMMYFUNCTION("""COMPUTED_VALUE"""),"BI-FAST DB TANGGAL :10/01")</f>
        <v>BI-FAST DB TANGGAL :10/01</v>
      </c>
      <c r="C15" s="14" t="str">
        <f>IFERROR(__xludf.DUMMYFUNCTION("""COMPUTED_VALUE"""),"BI-FAST DB TANGGAL :10/01 BIF BIAYA TXN KE ADIRA MUHAMMAD HAI M-BCA")</f>
        <v>BI-FAST DB TANGGAL :10/01 BIF BIAYA TXN KE ADIRA MUHAMMAD HAI M-BCA</v>
      </c>
      <c r="D15" s="3">
        <f>IFERROR(__xludf.DUMMYFUNCTION("""COMPUTED_VALUE"""),2500.0)</f>
        <v>2500</v>
      </c>
      <c r="E15" s="14"/>
      <c r="F15" s="14" t="str">
        <f>IFERROR(__xludf.DUMMYFUNCTION("""COMPUTED_VALUE"""),"DB")</f>
        <v>DB</v>
      </c>
      <c r="G15" s="3">
        <f>IFERROR(__xludf.DUMMYFUNCTION("""COMPUTED_VALUE"""),4.569787291300001E8)</f>
        <v>456978729.1</v>
      </c>
      <c r="H15" s="14"/>
      <c r="I15" s="14" t="str">
        <f>IFERROR(__xludf.DUMMYFUNCTION("""COMPUTED_VALUE"""),"PRIBADI")</f>
        <v>PRIBADI</v>
      </c>
      <c r="J15" s="3"/>
    </row>
    <row r="16">
      <c r="A16" s="13">
        <f>IFERROR(__xludf.DUMMYFUNCTION("""COMPUTED_VALUE"""),44937.0)</f>
        <v>44937</v>
      </c>
      <c r="B16" s="14" t="str">
        <f>IFERROR(__xludf.DUMMYFUNCTION("""COMPUTED_VALUE"""),"BI-FAST DB TANGGAL :10/01")</f>
        <v>BI-FAST DB TANGGAL :10/01</v>
      </c>
      <c r="C16" s="14" t="str">
        <f>IFERROR(__xludf.DUMMYFUNCTION("""COMPUTED_VALUE"""),"BI-FAST DB TANGGAL :10/01 BIF TRANSFER KE TURYADI M-BCA")</f>
        <v>BI-FAST DB TANGGAL :10/01 BIF TRANSFER KE TURYADI M-BCA</v>
      </c>
      <c r="D16" s="3">
        <f>IFERROR(__xludf.DUMMYFUNCTION("""COMPUTED_VALUE"""),1525000.0)</f>
        <v>1525000</v>
      </c>
      <c r="E16" s="14"/>
      <c r="F16" s="14" t="str">
        <f>IFERROR(__xludf.DUMMYFUNCTION("""COMPUTED_VALUE"""),"DB")</f>
        <v>DB</v>
      </c>
      <c r="G16" s="3">
        <f>IFERROR(__xludf.DUMMYFUNCTION("""COMPUTED_VALUE"""),4.554537291300001E8)</f>
        <v>455453729.1</v>
      </c>
      <c r="H16" s="14"/>
      <c r="I16" s="14" t="str">
        <f>IFERROR(__xludf.DUMMYFUNCTION("""COMPUTED_VALUE"""),"PRIBADI")</f>
        <v>PRIBADI</v>
      </c>
      <c r="J16" s="3"/>
    </row>
    <row r="17">
      <c r="A17" s="13">
        <f>IFERROR(__xludf.DUMMYFUNCTION("""COMPUTED_VALUE"""),44937.0)</f>
        <v>44937</v>
      </c>
      <c r="B17" s="14" t="str">
        <f>IFERROR(__xludf.DUMMYFUNCTION("""COMPUTED_VALUE"""),"BI-FAST DB TANGGAL :10/01")</f>
        <v>BI-FAST DB TANGGAL :10/01</v>
      </c>
      <c r="C17" s="14" t="str">
        <f>IFERROR(__xludf.DUMMYFUNCTION("""COMPUTED_VALUE"""),"BI-FAST DB TANGGAL :10/01 BIF BIAYA TXN KE TURYADI M-BCA")</f>
        <v>BI-FAST DB TANGGAL :10/01 BIF BIAYA TXN KE TURYADI M-BCA</v>
      </c>
      <c r="D17" s="3">
        <f>IFERROR(__xludf.DUMMYFUNCTION("""COMPUTED_VALUE"""),2500.0)</f>
        <v>2500</v>
      </c>
      <c r="E17" s="14"/>
      <c r="F17" s="14" t="str">
        <f>IFERROR(__xludf.DUMMYFUNCTION("""COMPUTED_VALUE"""),"DB")</f>
        <v>DB</v>
      </c>
      <c r="G17" s="3">
        <f>IFERROR(__xludf.DUMMYFUNCTION("""COMPUTED_VALUE"""),4.554512291300001E8)</f>
        <v>455451229.1</v>
      </c>
      <c r="H17" s="14"/>
      <c r="I17" s="14" t="str">
        <f>IFERROR(__xludf.DUMMYFUNCTION("""COMPUTED_VALUE"""),"PRIBADI")</f>
        <v>PRIBADI</v>
      </c>
      <c r="J17" s="3"/>
    </row>
    <row r="18">
      <c r="A18" s="13">
        <f>IFERROR(__xludf.DUMMYFUNCTION("""COMPUTED_VALUE"""),44937.0)</f>
        <v>44937</v>
      </c>
      <c r="B18" s="14" t="str">
        <f>IFERROR(__xludf.DUMMYFUNCTION("""COMPUTED_VALUE"""),"BYR VIA E-BANKING")</f>
        <v>BYR VIA E-BANKING</v>
      </c>
      <c r="C18" s="14" t="str">
        <f>IFERROR(__xludf.DUMMYFUNCTION("""COMPUTED_VALUE"""),"BYR VIA E-BANKING 11/01  WSID9503101 0507 FIF 803001249921 MUHAMMAD HAIRUL MA")</f>
        <v>BYR VIA E-BANKING 11/01  WSID9503101 0507 FIF 803001249921 MUHAMMAD HAIRUL MA</v>
      </c>
      <c r="D18" s="3">
        <f>IFERROR(__xludf.DUMMYFUNCTION("""COMPUTED_VALUE"""),750000.0)</f>
        <v>750000</v>
      </c>
      <c r="E18" s="14"/>
      <c r="F18" s="14"/>
      <c r="G18" s="3">
        <f>IFERROR(__xludf.DUMMYFUNCTION("""COMPUTED_VALUE"""),7.363582913000011E7)</f>
        <v>73635829.13</v>
      </c>
      <c r="H18" s="14">
        <f>IFERROR(__xludf.DUMMYFUNCTION("""COMPUTED_VALUE"""),7.363582913E7)</f>
        <v>73635829.13</v>
      </c>
      <c r="I18" s="14" t="str">
        <f>IFERROR(__xludf.DUMMYFUNCTION("""COMPUTED_VALUE"""),"PRIBADI")</f>
        <v>PRIBADI</v>
      </c>
      <c r="J18" s="3"/>
    </row>
    <row r="19">
      <c r="A19" s="13">
        <f>IFERROR(__xludf.DUMMYFUNCTION("""COMPUTED_VALUE"""),44937.0)</f>
        <v>44937</v>
      </c>
      <c r="B19" s="14" t="str">
        <f>IFERROR(__xludf.DUMMYFUNCTION("""COMPUTED_VALUE"""),"TARIKAN ATM 11/01")</f>
        <v>TARIKAN ATM 11/01</v>
      </c>
      <c r="C19" s="14" t="str">
        <f>IFERROR(__xludf.DUMMYFUNCTION("""COMPUTED_VALUE"""),"TARIKAN ATM 11/01")</f>
        <v>TARIKAN ATM 11/01</v>
      </c>
      <c r="D19" s="3">
        <f>IFERROR(__xludf.DUMMYFUNCTION("""COMPUTED_VALUE"""),300000.0)</f>
        <v>300000</v>
      </c>
      <c r="E19" s="14"/>
      <c r="F19" s="14"/>
      <c r="G19" s="3">
        <f>IFERROR(__xludf.DUMMYFUNCTION("""COMPUTED_VALUE"""),2.891423291300001E8)</f>
        <v>289142329.1</v>
      </c>
      <c r="H19" s="14"/>
      <c r="I19" s="14" t="str">
        <f>IFERROR(__xludf.DUMMYFUNCTION("""COMPUTED_VALUE"""),"PRIBADI")</f>
        <v>PRIBADI</v>
      </c>
      <c r="J19" s="3"/>
    </row>
    <row r="20">
      <c r="A20" s="13">
        <f>IFERROR(__xludf.DUMMYFUNCTION("""COMPUTED_VALUE"""),44937.0)</f>
        <v>44937</v>
      </c>
      <c r="B20" s="14" t="str">
        <f>IFERROR(__xludf.DUMMYFUNCTION("""COMPUTED_VALUE"""),"TARIKAN ATM 11/01")</f>
        <v>TARIKAN ATM 11/01</v>
      </c>
      <c r="C20" s="14" t="str">
        <f>IFERROR(__xludf.DUMMYFUNCTION("""COMPUTED_VALUE"""),"TARIKAN ATM 11/01")</f>
        <v>TARIKAN ATM 11/01</v>
      </c>
      <c r="D20" s="3">
        <f>IFERROR(__xludf.DUMMYFUNCTION("""COMPUTED_VALUE"""),600000.0)</f>
        <v>600000</v>
      </c>
      <c r="E20" s="14"/>
      <c r="F20" s="14"/>
      <c r="G20" s="3">
        <f>IFERROR(__xludf.DUMMYFUNCTION("""COMPUTED_VALUE"""),3.550866491300001E8)</f>
        <v>355086649.1</v>
      </c>
      <c r="H20" s="14">
        <f>IFERROR(__xludf.DUMMYFUNCTION("""COMPUTED_VALUE"""),3.5508664913E8)</f>
        <v>355086649.1</v>
      </c>
      <c r="I20" s="14" t="str">
        <f>IFERROR(__xludf.DUMMYFUNCTION("""COMPUTED_VALUE"""),"PRIBADI")</f>
        <v>PRIBADI</v>
      </c>
      <c r="J20" s="3"/>
    </row>
    <row r="21">
      <c r="A21" s="13">
        <f>IFERROR(__xludf.DUMMYFUNCTION("""COMPUTED_VALUE"""),44938.0)</f>
        <v>44938</v>
      </c>
      <c r="B21" s="14" t="str">
        <f>IFERROR(__xludf.DUMMYFUNCTION("""COMPUTED_VALUE"""),"TARIKAN ATM 12/01")</f>
        <v>TARIKAN ATM 12/01</v>
      </c>
      <c r="C21" s="14" t="str">
        <f>IFERROR(__xludf.DUMMYFUNCTION("""COMPUTED_VALUE"""),"TARIKAN ATM 12/01")</f>
        <v>TARIKAN ATM 12/01</v>
      </c>
      <c r="D21" s="3">
        <f>IFERROR(__xludf.DUMMYFUNCTION("""COMPUTED_VALUE"""),300000.0)</f>
        <v>300000</v>
      </c>
      <c r="E21" s="14"/>
      <c r="F21" s="14"/>
      <c r="G21" s="3">
        <f>IFERROR(__xludf.DUMMYFUNCTION("""COMPUTED_VALUE"""),8.526596091300001E8)</f>
        <v>852659609.1</v>
      </c>
      <c r="H21" s="14"/>
      <c r="I21" s="14" t="str">
        <f>IFERROR(__xludf.DUMMYFUNCTION("""COMPUTED_VALUE"""),"PRIBADI")</f>
        <v>PRIBADI</v>
      </c>
      <c r="J21" s="3"/>
    </row>
    <row r="22">
      <c r="A22" s="13">
        <f>IFERROR(__xludf.DUMMYFUNCTION("""COMPUTED_VALUE"""),44938.0)</f>
        <v>44938</v>
      </c>
      <c r="B22" s="14" t="str">
        <f>IFERROR(__xludf.DUMMYFUNCTION("""COMPUTED_VALUE"""),"BYR VIA E-BANKING")</f>
        <v>BYR VIA E-BANKING</v>
      </c>
      <c r="C22" s="14" t="str">
        <f>IFERROR(__xludf.DUMMYFUNCTION("""COMPUTED_VALUE"""),"BYR VIA E-BANKING 12/01  WSID9503100 0865 PLN PREPAID 32104859353 MUHAMMAD HAIRUL MA")</f>
        <v>BYR VIA E-BANKING 12/01  WSID9503100 0865 PLN PREPAID 32104859353 MUHAMMAD HAIRUL MA</v>
      </c>
      <c r="D22" s="3">
        <f>IFERROR(__xludf.DUMMYFUNCTION("""COMPUTED_VALUE"""),102500.0)</f>
        <v>102500</v>
      </c>
      <c r="E22" s="14"/>
      <c r="F22" s="14"/>
      <c r="G22" s="3">
        <f>IFERROR(__xludf.DUMMYFUNCTION("""COMPUTED_VALUE"""),8.525571091300001E8)</f>
        <v>852557109.1</v>
      </c>
      <c r="H22" s="14"/>
      <c r="I22" s="14" t="str">
        <f>IFERROR(__xludf.DUMMYFUNCTION("""COMPUTED_VALUE"""),"PRIBADI")</f>
        <v>PRIBADI</v>
      </c>
      <c r="J22" s="3"/>
    </row>
    <row r="23">
      <c r="A23" s="13">
        <f>IFERROR(__xludf.DUMMYFUNCTION("""COMPUTED_VALUE"""),44940.0)</f>
        <v>44940</v>
      </c>
      <c r="B23" s="14" t="str">
        <f>IFERROR(__xludf.DUMMYFUNCTION("""COMPUTED_VALUE"""),"TARIKAN ATM 14/01")</f>
        <v>TARIKAN ATM 14/01</v>
      </c>
      <c r="C23" s="14" t="str">
        <f>IFERROR(__xludf.DUMMYFUNCTION("""COMPUTED_VALUE"""),"TARIKAN ATM 14/01")</f>
        <v>TARIKAN ATM 14/01</v>
      </c>
      <c r="D23" s="3">
        <f>IFERROR(__xludf.DUMMYFUNCTION("""COMPUTED_VALUE"""),200000.0)</f>
        <v>200000</v>
      </c>
      <c r="E23" s="14"/>
      <c r="F23" s="14"/>
      <c r="G23" s="3">
        <f>IFERROR(__xludf.DUMMYFUNCTION("""COMPUTED_VALUE"""),2.031910491300001E8)</f>
        <v>203191049.1</v>
      </c>
      <c r="H23" s="14"/>
      <c r="I23" s="14" t="str">
        <f>IFERROR(__xludf.DUMMYFUNCTION("""COMPUTED_VALUE"""),"PRIBADI")</f>
        <v>PRIBADI</v>
      </c>
      <c r="J23" s="3"/>
    </row>
    <row r="24">
      <c r="A24" s="13">
        <f>IFERROR(__xludf.DUMMYFUNCTION("""COMPUTED_VALUE"""),44940.0)</f>
        <v>44940</v>
      </c>
      <c r="B24" s="14" t="str">
        <f>IFERROR(__xludf.DUMMYFUNCTION("""COMPUTED_VALUE"""),"TARIKAN ATM 14/01")</f>
        <v>TARIKAN ATM 14/01</v>
      </c>
      <c r="C24" s="14" t="str">
        <f>IFERROR(__xludf.DUMMYFUNCTION("""COMPUTED_VALUE"""),"TARIKAN ATM 14/01")</f>
        <v>TARIKAN ATM 14/01</v>
      </c>
      <c r="D24" s="3">
        <f>IFERROR(__xludf.DUMMYFUNCTION("""COMPUTED_VALUE"""),400000.0)</f>
        <v>400000</v>
      </c>
      <c r="E24" s="14"/>
      <c r="F24" s="14"/>
      <c r="G24" s="3">
        <f>IFERROR(__xludf.DUMMYFUNCTION("""COMPUTED_VALUE"""),4.8440559130000114E7)</f>
        <v>48440559.13</v>
      </c>
      <c r="H24" s="14"/>
      <c r="I24" s="14" t="str">
        <f>IFERROR(__xludf.DUMMYFUNCTION("""COMPUTED_VALUE"""),"PRIBADI")</f>
        <v>PRIBADI</v>
      </c>
      <c r="J24" s="3"/>
    </row>
    <row r="25">
      <c r="A25" s="13">
        <f>IFERROR(__xludf.DUMMYFUNCTION("""COMPUTED_VALUE"""),44942.0)</f>
        <v>44942</v>
      </c>
      <c r="B25" s="14" t="str">
        <f>IFERROR(__xludf.DUMMYFUNCTION("""COMPUTED_VALUE"""),"TARIKAN ATM 16/01")</f>
        <v>TARIKAN ATM 16/01</v>
      </c>
      <c r="C25" s="14" t="str">
        <f>IFERROR(__xludf.DUMMYFUNCTION("""COMPUTED_VALUE"""),"TARIKAN ATM 16/01")</f>
        <v>TARIKAN ATM 16/01</v>
      </c>
      <c r="D25" s="3">
        <f>IFERROR(__xludf.DUMMYFUNCTION("""COMPUTED_VALUE"""),100000.0)</f>
        <v>100000</v>
      </c>
      <c r="E25" s="14"/>
      <c r="F25" s="14"/>
      <c r="G25" s="3">
        <f>IFERROR(__xludf.DUMMYFUNCTION("""COMPUTED_VALUE"""),8.489682913000011E7)</f>
        <v>84896829.13</v>
      </c>
      <c r="H25" s="14"/>
      <c r="I25" s="14" t="str">
        <f>IFERROR(__xludf.DUMMYFUNCTION("""COMPUTED_VALUE"""),"PRIBADI")</f>
        <v>PRIBADI</v>
      </c>
      <c r="J25" s="3"/>
    </row>
    <row r="26">
      <c r="A26" s="13">
        <f>IFERROR(__xludf.DUMMYFUNCTION("""COMPUTED_VALUE"""),44942.0)</f>
        <v>44942</v>
      </c>
      <c r="B26" s="14" t="str">
        <f>IFERROR(__xludf.DUMMYFUNCTION("""COMPUTED_VALUE"""),"TARIKAN ATM 16/01")</f>
        <v>TARIKAN ATM 16/01</v>
      </c>
      <c r="C26" s="14" t="str">
        <f>IFERROR(__xludf.DUMMYFUNCTION("""COMPUTED_VALUE"""),"TARIKAN ATM 16/01")</f>
        <v>TARIKAN ATM 16/01</v>
      </c>
      <c r="D26" s="3">
        <f>IFERROR(__xludf.DUMMYFUNCTION("""COMPUTED_VALUE"""),200000.0)</f>
        <v>200000</v>
      </c>
      <c r="E26" s="14"/>
      <c r="F26" s="14"/>
      <c r="G26" s="3">
        <f>IFERROR(__xludf.DUMMYFUNCTION("""COMPUTED_VALUE"""),3744629.1300001144)</f>
        <v>3744629.13</v>
      </c>
      <c r="H26" s="14"/>
      <c r="I26" s="14" t="str">
        <f>IFERROR(__xludf.DUMMYFUNCTION("""COMPUTED_VALUE"""),"PRIBADI")</f>
        <v>PRIBADI</v>
      </c>
      <c r="J26" s="3"/>
    </row>
    <row r="27">
      <c r="A27" s="13">
        <f>IFERROR(__xludf.DUMMYFUNCTION("""COMPUTED_VALUE"""),44948.0)</f>
        <v>44948</v>
      </c>
      <c r="B27" s="14" t="str">
        <f>IFERROR(__xludf.DUMMYFUNCTION("""COMPUTED_VALUE"""),"BI-FAST DB")</f>
        <v>BI-FAST DB</v>
      </c>
      <c r="C27" s="14" t="str">
        <f>IFERROR(__xludf.DUMMYFUNCTION("""COMPUTED_VALUE"""),"BI-FAST DB BIF TRANSFER KE 9 NOUVAL HOLQI RISKU M-BCA")</f>
        <v>BI-FAST DB BIF TRANSFER KE 9 NOUVAL HOLQI RISKU M-BCA</v>
      </c>
      <c r="D27" s="3">
        <f>IFERROR(__xludf.DUMMYFUNCTION("""COMPUTED_VALUE"""),285000.0)</f>
        <v>285000</v>
      </c>
      <c r="E27" s="14"/>
      <c r="F27" s="14" t="str">
        <f>IFERROR(__xludf.DUMMYFUNCTION("""COMPUTED_VALUE"""),"DB")</f>
        <v>DB</v>
      </c>
      <c r="G27" s="3">
        <f>IFERROR(__xludf.DUMMYFUNCTION("""COMPUTED_VALUE"""),1.0445688513000011E8)</f>
        <v>104456885.1</v>
      </c>
      <c r="H27" s="14"/>
      <c r="I27" s="14" t="str">
        <f>IFERROR(__xludf.DUMMYFUNCTION("""COMPUTED_VALUE"""),"PRIBADI")</f>
        <v>PRIBADI</v>
      </c>
      <c r="J27" s="3"/>
    </row>
    <row r="28">
      <c r="A28" s="13">
        <f>IFERROR(__xludf.DUMMYFUNCTION("""COMPUTED_VALUE"""),44948.0)</f>
        <v>44948</v>
      </c>
      <c r="B28" s="14" t="str">
        <f>IFERROR(__xludf.DUMMYFUNCTION("""COMPUTED_VALUE"""),"BI-FAST DB")</f>
        <v>BI-FAST DB</v>
      </c>
      <c r="C28" s="14" t="str">
        <f>IFERROR(__xludf.DUMMYFUNCTION("""COMPUTED_VALUE"""),"BI-FAST DB BIF BIAYA TXN KE 9 NOUVAL HOLQI RISKU M-BCA")</f>
        <v>BI-FAST DB BIF BIAYA TXN KE 9 NOUVAL HOLQI RISKU M-BCA</v>
      </c>
      <c r="D28" s="3">
        <f>IFERROR(__xludf.DUMMYFUNCTION("""COMPUTED_VALUE"""),2500.0)</f>
        <v>2500</v>
      </c>
      <c r="E28" s="14"/>
      <c r="F28" s="14" t="str">
        <f>IFERROR(__xludf.DUMMYFUNCTION("""COMPUTED_VALUE"""),"DB")</f>
        <v>DB</v>
      </c>
      <c r="G28" s="3">
        <f>IFERROR(__xludf.DUMMYFUNCTION("""COMPUTED_VALUE"""),1.0445438513000011E8)</f>
        <v>104454385.1</v>
      </c>
      <c r="H28" s="14"/>
      <c r="I28" s="14" t="str">
        <f>IFERROR(__xludf.DUMMYFUNCTION("""COMPUTED_VALUE"""),"PRIBADI")</f>
        <v>PRIBADI</v>
      </c>
      <c r="J28" s="3"/>
    </row>
    <row r="29">
      <c r="A29" s="13">
        <f>IFERROR(__xludf.DUMMYFUNCTION("""COMPUTED_VALUE"""),44948.0)</f>
        <v>44948</v>
      </c>
      <c r="B29" s="14" t="str">
        <f>IFERROR(__xludf.DUMMYFUNCTION("""COMPUTED_VALUE"""),"BI-FAST DB")</f>
        <v>BI-FAST DB</v>
      </c>
      <c r="C29" s="14" t="str">
        <f>IFERROR(__xludf.DUMMYFUNCTION("""COMPUTED_VALUE"""),"BI-FAST DB BIF TRANSFER KE 2 IRMA SUSANTI M-BCA")</f>
        <v>BI-FAST DB BIF TRANSFER KE 2 IRMA SUSANTI M-BCA</v>
      </c>
      <c r="D29" s="3">
        <f>IFERROR(__xludf.DUMMYFUNCTION("""COMPUTED_VALUE"""),150000.0)</f>
        <v>150000</v>
      </c>
      <c r="E29" s="14"/>
      <c r="F29" s="14" t="str">
        <f>IFERROR(__xludf.DUMMYFUNCTION("""COMPUTED_VALUE"""),"DB")</f>
        <v>DB</v>
      </c>
      <c r="G29" s="3">
        <f>IFERROR(__xludf.DUMMYFUNCTION("""COMPUTED_VALUE"""),1.1286785130000114E7)</f>
        <v>11286785.13</v>
      </c>
      <c r="H29" s="14"/>
      <c r="I29" s="14" t="str">
        <f>IFERROR(__xludf.DUMMYFUNCTION("""COMPUTED_VALUE"""),"PRIBADI")</f>
        <v>PRIBADI</v>
      </c>
      <c r="J29" s="3"/>
    </row>
    <row r="30">
      <c r="A30" s="13">
        <f>IFERROR(__xludf.DUMMYFUNCTION("""COMPUTED_VALUE"""),44948.0)</f>
        <v>44948</v>
      </c>
      <c r="B30" s="14" t="str">
        <f>IFERROR(__xludf.DUMMYFUNCTION("""COMPUTED_VALUE"""),"BI-FAST DB")</f>
        <v>BI-FAST DB</v>
      </c>
      <c r="C30" s="14" t="str">
        <f>IFERROR(__xludf.DUMMYFUNCTION("""COMPUTED_VALUE"""),"BI-FAST DB BIF BIAYA TXN KE 2 IRMA SUSANTI M-BCA")</f>
        <v>BI-FAST DB BIF BIAYA TXN KE 2 IRMA SUSANTI M-BCA</v>
      </c>
      <c r="D30" s="3">
        <f>IFERROR(__xludf.DUMMYFUNCTION("""COMPUTED_VALUE"""),2500.0)</f>
        <v>2500</v>
      </c>
      <c r="E30" s="14"/>
      <c r="F30" s="14" t="str">
        <f>IFERROR(__xludf.DUMMYFUNCTION("""COMPUTED_VALUE"""),"DB")</f>
        <v>DB</v>
      </c>
      <c r="G30" s="3">
        <f>IFERROR(__xludf.DUMMYFUNCTION("""COMPUTED_VALUE"""),1.1284285130000114E7)</f>
        <v>11284285.13</v>
      </c>
      <c r="H30" s="14"/>
      <c r="I30" s="14" t="str">
        <f>IFERROR(__xludf.DUMMYFUNCTION("""COMPUTED_VALUE"""),"PRIBADI")</f>
        <v>PRIBADI</v>
      </c>
      <c r="J30" s="3"/>
    </row>
    <row r="31">
      <c r="A31" s="13">
        <f>IFERROR(__xludf.DUMMYFUNCTION("""COMPUTED_VALUE"""),44948.0)</f>
        <v>44948</v>
      </c>
      <c r="B31" s="14" t="str">
        <f>IFERROR(__xludf.DUMMYFUNCTION("""COMPUTED_VALUE"""),"BI-FAST DB")</f>
        <v>BI-FAST DB</v>
      </c>
      <c r="C31" s="14" t="str">
        <f>IFERROR(__xludf.DUMMYFUNCTION("""COMPUTED_VALUE"""),"BI-FAST DB BIF TRANSFER KE 9 AHMAD LUTHFI FADHI M-BCA")</f>
        <v>BI-FAST DB BIF TRANSFER KE 9 AHMAD LUTHFI FADHI M-BCA</v>
      </c>
      <c r="D31" s="3">
        <f>IFERROR(__xludf.DUMMYFUNCTION("""COMPUTED_VALUE"""),132000.0)</f>
        <v>132000</v>
      </c>
      <c r="E31" s="14"/>
      <c r="F31" s="14" t="str">
        <f>IFERROR(__xludf.DUMMYFUNCTION("""COMPUTED_VALUE"""),"DB")</f>
        <v>DB</v>
      </c>
      <c r="G31" s="3">
        <f>IFERROR(__xludf.DUMMYFUNCTION("""COMPUTED_VALUE"""),1.1152285130000114E7)</f>
        <v>11152285.13</v>
      </c>
      <c r="H31" s="14"/>
      <c r="I31" s="14" t="str">
        <f>IFERROR(__xludf.DUMMYFUNCTION("""COMPUTED_VALUE"""),"PRIBADI")</f>
        <v>PRIBADI</v>
      </c>
      <c r="J31" s="3"/>
    </row>
    <row r="32">
      <c r="A32" s="13">
        <f>IFERROR(__xludf.DUMMYFUNCTION("""COMPUTED_VALUE"""),44948.0)</f>
        <v>44948</v>
      </c>
      <c r="B32" s="14" t="str">
        <f>IFERROR(__xludf.DUMMYFUNCTION("""COMPUTED_VALUE"""),"BI-FAST DB")</f>
        <v>BI-FAST DB</v>
      </c>
      <c r="C32" s="14" t="str">
        <f>IFERROR(__xludf.DUMMYFUNCTION("""COMPUTED_VALUE"""),"BI-FAST DB BIF BIAYA TXN KE 9 AHMAD LUTHFI FADHI M-BCA")</f>
        <v>BI-FAST DB BIF BIAYA TXN KE 9 AHMAD LUTHFI FADHI M-BCA</v>
      </c>
      <c r="D32" s="3">
        <f>IFERROR(__xludf.DUMMYFUNCTION("""COMPUTED_VALUE"""),2500.0)</f>
        <v>2500</v>
      </c>
      <c r="E32" s="14"/>
      <c r="F32" s="14" t="str">
        <f>IFERROR(__xludf.DUMMYFUNCTION("""COMPUTED_VALUE"""),"DB")</f>
        <v>DB</v>
      </c>
      <c r="G32" s="3">
        <f>IFERROR(__xludf.DUMMYFUNCTION("""COMPUTED_VALUE"""),1.1149785130000114E7)</f>
        <v>11149785.13</v>
      </c>
      <c r="H32" s="14"/>
      <c r="I32" s="14" t="str">
        <f>IFERROR(__xludf.DUMMYFUNCTION("""COMPUTED_VALUE"""),"PRIBADI")</f>
        <v>PRIBADI</v>
      </c>
      <c r="J32" s="3"/>
    </row>
    <row r="33">
      <c r="A33" s="13">
        <f>IFERROR(__xludf.DUMMYFUNCTION("""COMPUTED_VALUE"""),44948.0)</f>
        <v>44948</v>
      </c>
      <c r="B33" s="14" t="str">
        <f>IFERROR(__xludf.DUMMYFUNCTION("""COMPUTED_VALUE"""),"KARTU DEBIT")</f>
        <v>KARTU DEBIT</v>
      </c>
      <c r="C33" s="14" t="str">
        <f>IFERROR(__xludf.DUMMYFUNCTION("""COMPUTED_VALUE"""),"KARTU DEBIT ALFAMRT Y207 BRTN 6019009510239343")</f>
        <v>KARTU DEBIT ALFAMRT Y207 BRTN 6019009510239343</v>
      </c>
      <c r="D33" s="3">
        <f>IFERROR(__xludf.DUMMYFUNCTION("""COMPUTED_VALUE"""),248000.0)</f>
        <v>248000</v>
      </c>
      <c r="E33" s="14"/>
      <c r="F33" s="14"/>
      <c r="G33" s="3">
        <f>IFERROR(__xludf.DUMMYFUNCTION("""COMPUTED_VALUE"""),3.3970885130000114E7)</f>
        <v>33970885.13</v>
      </c>
      <c r="H33" s="14"/>
      <c r="I33" s="14" t="str">
        <f>IFERROR(__xludf.DUMMYFUNCTION("""COMPUTED_VALUE"""),"PRIBADI")</f>
        <v>PRIBADI</v>
      </c>
      <c r="J33" s="3"/>
    </row>
    <row r="34">
      <c r="A34" s="13">
        <f>IFERROR(__xludf.DUMMYFUNCTION("""COMPUTED_VALUE"""),44948.0)</f>
        <v>44948</v>
      </c>
      <c r="B34" s="14" t="str">
        <f>IFERROR(__xludf.DUMMYFUNCTION("""COMPUTED_VALUE"""),"BYR VIA E-BANKING")</f>
        <v>BYR VIA E-BANKING</v>
      </c>
      <c r="C34" s="14" t="str">
        <f>IFERROR(__xludf.DUMMYFUNCTION("""COMPUTED_VALUE"""),"BYR VIA E-BANKING 22/01  WSID9503102 1220 TELKOMSEL 82318368518 MUHAMMAD HAIRUL MA")</f>
        <v>BYR VIA E-BANKING 22/01  WSID9503102 1220 TELKOMSEL 82318368518 MUHAMMAD HAIRUL MA</v>
      </c>
      <c r="D34" s="3">
        <f>IFERROR(__xludf.DUMMYFUNCTION("""COMPUTED_VALUE"""),102000.0)</f>
        <v>102000</v>
      </c>
      <c r="E34" s="14"/>
      <c r="F34" s="14"/>
      <c r="G34" s="3">
        <f>IFERROR(__xludf.DUMMYFUNCTION("""COMPUTED_VALUE"""),8.053163513000011E7)</f>
        <v>80531635.13</v>
      </c>
      <c r="H34" s="14"/>
      <c r="I34" s="14" t="str">
        <f>IFERROR(__xludf.DUMMYFUNCTION("""COMPUTED_VALUE"""),"PRIBADI")</f>
        <v>PRIBADI</v>
      </c>
      <c r="J34" s="3"/>
    </row>
    <row r="35">
      <c r="A35" s="13">
        <f>IFERROR(__xludf.DUMMYFUNCTION("""COMPUTED_VALUE"""),44949.0)</f>
        <v>44949</v>
      </c>
      <c r="B35" s="14" t="str">
        <f>IFERROR(__xludf.DUMMYFUNCTION("""COMPUTED_VALUE"""),"TRSF E-BANKING DB")</f>
        <v>TRSF E-BANKING DB</v>
      </c>
      <c r="C35" s="14" t="str">
        <f>IFERROR(__xludf.DUMMYFUNCTION("""COMPUTED_VALUE"""),"TRSF E-BANKING DB 2301/FTSCY/WS95271 1500000.00 MUHAMMAD HAIRUL MA")</f>
        <v>TRSF E-BANKING DB 2301/FTSCY/WS95271 1500000.00 MUHAMMAD HAIRUL MA</v>
      </c>
      <c r="D35" s="3">
        <f>IFERROR(__xludf.DUMMYFUNCTION("""COMPUTED_VALUE"""),1500000.0)</f>
        <v>1500000</v>
      </c>
      <c r="E35" s="14"/>
      <c r="F35" s="14" t="str">
        <f>IFERROR(__xludf.DUMMYFUNCTION("""COMPUTED_VALUE"""),"DB")</f>
        <v>DB</v>
      </c>
      <c r="G35" s="3">
        <f>IFERROR(__xludf.DUMMYFUNCTION("""COMPUTED_VALUE"""),1.5754385130000114E7)</f>
        <v>15754385.13</v>
      </c>
      <c r="H35" s="14"/>
      <c r="I35" s="14" t="str">
        <f>IFERROR(__xludf.DUMMYFUNCTION("""COMPUTED_VALUE"""),"PRIBADI")</f>
        <v>PRIBADI</v>
      </c>
      <c r="J35" s="3"/>
    </row>
    <row r="36">
      <c r="A36" s="13">
        <f>IFERROR(__xludf.DUMMYFUNCTION("""COMPUTED_VALUE"""),44949.0)</f>
        <v>44949</v>
      </c>
      <c r="B36" s="14" t="str">
        <f>IFERROR(__xludf.DUMMYFUNCTION("""COMPUTED_VALUE"""),"KARTU DEBIT")</f>
        <v>KARTU DEBIT</v>
      </c>
      <c r="C36" s="14" t="str">
        <f>IFERROR(__xludf.DUMMYFUNCTION("""COMPUTED_VALUE"""),"KARTU DEBIT ALFAMRT Y207 BRTN 6019009510239343")</f>
        <v>KARTU DEBIT ALFAMRT Y207 BRTN 6019009510239343</v>
      </c>
      <c r="D36" s="3">
        <f>IFERROR(__xludf.DUMMYFUNCTION("""COMPUTED_VALUE"""),66700.0)</f>
        <v>66700</v>
      </c>
      <c r="E36" s="14"/>
      <c r="F36" s="14"/>
      <c r="G36" s="3">
        <f>IFERROR(__xludf.DUMMYFUNCTION("""COMPUTED_VALUE"""),1.5687685130000114E7)</f>
        <v>15687685.13</v>
      </c>
      <c r="H36" s="14"/>
      <c r="I36" s="14" t="str">
        <f>IFERROR(__xludf.DUMMYFUNCTION("""COMPUTED_VALUE"""),"PRIBADI")</f>
        <v>PRIBADI</v>
      </c>
      <c r="J36" s="3"/>
    </row>
    <row r="37">
      <c r="A37" s="13">
        <f>IFERROR(__xludf.DUMMYFUNCTION("""COMPUTED_VALUE"""),44949.0)</f>
        <v>44949</v>
      </c>
      <c r="B37" s="14" t="str">
        <f>IFERROR(__xludf.DUMMYFUNCTION("""COMPUTED_VALUE"""),"TRSF E-BANKING DB")</f>
        <v>TRSF E-BANKING DB</v>
      </c>
      <c r="C37" s="14" t="str">
        <f>IFERROR(__xludf.DUMMYFUNCTION("""COMPUTED_VALUE"""),"TRSF E-BANKING DB 2301/FTSCY/WS95031 200000.00 wifi doble bulan i ni SULIYANTO")</f>
        <v>TRSF E-BANKING DB 2301/FTSCY/WS95031 200000.00 wifi doble bulan i ni SULIYANTO</v>
      </c>
      <c r="D37" s="3">
        <f>IFERROR(__xludf.DUMMYFUNCTION("""COMPUTED_VALUE"""),200000.0)</f>
        <v>200000</v>
      </c>
      <c r="E37" s="14"/>
      <c r="F37" s="14" t="str">
        <f>IFERROR(__xludf.DUMMYFUNCTION("""COMPUTED_VALUE"""),"DB")</f>
        <v>DB</v>
      </c>
      <c r="G37" s="3">
        <f>IFERROR(__xludf.DUMMYFUNCTION("""COMPUTED_VALUE"""),1.5487685130000114E7)</f>
        <v>15487685.13</v>
      </c>
      <c r="H37" s="14"/>
      <c r="I37" s="14" t="str">
        <f>IFERROR(__xludf.DUMMYFUNCTION("""COMPUTED_VALUE"""),"PRIBADI")</f>
        <v>PRIBADI</v>
      </c>
      <c r="J37" s="3"/>
    </row>
    <row r="38">
      <c r="A38" s="13">
        <f>IFERROR(__xludf.DUMMYFUNCTION("""COMPUTED_VALUE"""),44950.0)</f>
        <v>44950</v>
      </c>
      <c r="B38" s="14" t="str">
        <f>IFERROR(__xludf.DUMMYFUNCTION("""COMPUTED_VALUE"""),"KARTU DEBIT")</f>
        <v>KARTU DEBIT</v>
      </c>
      <c r="C38" s="14" t="str">
        <f>IFERROR(__xludf.DUMMYFUNCTION("""COMPUTED_VALUE"""),"KARTU DEBIT ALFAMRT Y207 BRTN 6019009510239343")</f>
        <v>KARTU DEBIT ALFAMRT Y207 BRTN 6019009510239343</v>
      </c>
      <c r="D38" s="3">
        <f>IFERROR(__xludf.DUMMYFUNCTION("""COMPUTED_VALUE"""),66100.0)</f>
        <v>66100</v>
      </c>
      <c r="E38" s="14"/>
      <c r="F38" s="14"/>
      <c r="G38" s="3">
        <f>IFERROR(__xludf.DUMMYFUNCTION("""COMPUTED_VALUE"""),6.225848951300001E8)</f>
        <v>622584895.1</v>
      </c>
      <c r="H38" s="14"/>
      <c r="I38" s="14" t="str">
        <f>IFERROR(__xludf.DUMMYFUNCTION("""COMPUTED_VALUE"""),"PRIBADI")</f>
        <v>PRIBADI</v>
      </c>
      <c r="J38" s="3"/>
    </row>
    <row r="39">
      <c r="A39" s="13">
        <f>IFERROR(__xludf.DUMMYFUNCTION("""COMPUTED_VALUE"""),44951.0)</f>
        <v>44951</v>
      </c>
      <c r="B39" s="14" t="str">
        <f>IFERROR(__xludf.DUMMYFUNCTION("""COMPUTED_VALUE"""),"TARIKAN ATM 25/01")</f>
        <v>TARIKAN ATM 25/01</v>
      </c>
      <c r="C39" s="14" t="str">
        <f>IFERROR(__xludf.DUMMYFUNCTION("""COMPUTED_VALUE"""),"TARIKAN ATM 25/01")</f>
        <v>TARIKAN ATM 25/01</v>
      </c>
      <c r="D39" s="3">
        <f>IFERROR(__xludf.DUMMYFUNCTION("""COMPUTED_VALUE"""),300000.0)</f>
        <v>300000</v>
      </c>
      <c r="E39" s="14"/>
      <c r="F39" s="14"/>
      <c r="G39" s="3">
        <f>IFERROR(__xludf.DUMMYFUNCTION("""COMPUTED_VALUE"""),1.699612851300001E8)</f>
        <v>169961285.1</v>
      </c>
      <c r="H39" s="14"/>
      <c r="I39" s="14" t="str">
        <f>IFERROR(__xludf.DUMMYFUNCTION("""COMPUTED_VALUE"""),"PRIBADI")</f>
        <v>PRIBADI</v>
      </c>
      <c r="J39" s="3"/>
    </row>
    <row r="40">
      <c r="A40" s="13">
        <f>IFERROR(__xludf.DUMMYFUNCTION("""COMPUTED_VALUE"""),44952.0)</f>
        <v>44952</v>
      </c>
      <c r="B40" s="14" t="str">
        <f>IFERROR(__xludf.DUMMYFUNCTION("""COMPUTED_VALUE"""),"TARIKAN ATM 26/01")</f>
        <v>TARIKAN ATM 26/01</v>
      </c>
      <c r="C40" s="14" t="str">
        <f>IFERROR(__xludf.DUMMYFUNCTION("""COMPUTED_VALUE"""),"TARIKAN ATM 26/01")</f>
        <v>TARIKAN ATM 26/01</v>
      </c>
      <c r="D40" s="3">
        <f>IFERROR(__xludf.DUMMYFUNCTION("""COMPUTED_VALUE"""),150000.0)</f>
        <v>150000</v>
      </c>
      <c r="E40" s="14"/>
      <c r="F40" s="14"/>
      <c r="G40" s="3">
        <f>IFERROR(__xludf.DUMMYFUNCTION("""COMPUTED_VALUE"""),9.352302013000011E7)</f>
        <v>93523020.13</v>
      </c>
      <c r="H40" s="14"/>
      <c r="I40" s="14" t="str">
        <f>IFERROR(__xludf.DUMMYFUNCTION("""COMPUTED_VALUE"""),"PRIBADI")</f>
        <v>PRIBADI</v>
      </c>
      <c r="J40" s="3"/>
    </row>
    <row r="41">
      <c r="A41" s="13">
        <f>IFERROR(__xludf.DUMMYFUNCTION("""COMPUTED_VALUE"""),44955.0)</f>
        <v>44955</v>
      </c>
      <c r="B41" s="14" t="str">
        <f>IFERROR(__xludf.DUMMYFUNCTION("""COMPUTED_VALUE"""),"BYR VIA E-BANKING")</f>
        <v>BYR VIA E-BANKING</v>
      </c>
      <c r="C41" s="14" t="str">
        <f>IFERROR(__xludf.DUMMYFUNCTION("""COMPUTED_VALUE"""),"BYR VIA E-BANKING 29/01  WSID9503100 0865 PLN PREPAID 32104859353 MUHAMMAD HAIRUL MA")</f>
        <v>BYR VIA E-BANKING 29/01  WSID9503100 0865 PLN PREPAID 32104859353 MUHAMMAD HAIRUL MA</v>
      </c>
      <c r="D41" s="3">
        <f>IFERROR(__xludf.DUMMYFUNCTION("""COMPUTED_VALUE"""),102500.0)</f>
        <v>102500</v>
      </c>
      <c r="E41" s="14"/>
      <c r="F41" s="14"/>
      <c r="G41" s="3">
        <f>IFERROR(__xludf.DUMMYFUNCTION("""COMPUTED_VALUE"""),5.2830385130000114E7)</f>
        <v>52830385.13</v>
      </c>
      <c r="H41" s="14"/>
      <c r="I41" s="14" t="str">
        <f>IFERROR(__xludf.DUMMYFUNCTION("""COMPUTED_VALUE"""),"PRIBADI")</f>
        <v>PRIBADI</v>
      </c>
      <c r="J41" s="3"/>
    </row>
    <row r="42">
      <c r="A42" s="13">
        <f>IFERROR(__xludf.DUMMYFUNCTION("""COMPUTED_VALUE"""),44956.0)</f>
        <v>44956</v>
      </c>
      <c r="B42" s="14" t="str">
        <f>IFERROR(__xludf.DUMMYFUNCTION("""COMPUTED_VALUE"""),"TRSF E-BANKING DB")</f>
        <v>TRSF E-BANKING DB</v>
      </c>
      <c r="C42" s="14" t="str">
        <f>IFERROR(__xludf.DUMMYFUNCTION("""COMPUTED_VALUE"""),"TRSF E-BANKING DB 3001/FTSCY/WS95031 1000000.00 SANDI FAJAR PRASET")</f>
        <v>TRSF E-BANKING DB 3001/FTSCY/WS95031 1000000.00 SANDI FAJAR PRASET</v>
      </c>
      <c r="D42" s="3">
        <f>IFERROR(__xludf.DUMMYFUNCTION("""COMPUTED_VALUE"""),1000000.0)</f>
        <v>1000000</v>
      </c>
      <c r="E42" s="14"/>
      <c r="F42" s="14" t="str">
        <f>IFERROR(__xludf.DUMMYFUNCTION("""COMPUTED_VALUE"""),"DB")</f>
        <v>DB</v>
      </c>
      <c r="G42" s="3">
        <f>IFERROR(__xludf.DUMMYFUNCTION("""COMPUTED_VALUE"""),3059885.1300001144)</f>
        <v>3059885.13</v>
      </c>
      <c r="H42" s="14"/>
      <c r="I42" s="14" t="str">
        <f>IFERROR(__xludf.DUMMYFUNCTION("""COMPUTED_VALUE"""),"PRIBADI")</f>
        <v>PRIBADI</v>
      </c>
      <c r="J42" s="3"/>
    </row>
    <row r="43">
      <c r="A43" s="13">
        <f>IFERROR(__xludf.DUMMYFUNCTION("""COMPUTED_VALUE"""),44957.0)</f>
        <v>44957</v>
      </c>
      <c r="B43" s="14" t="str">
        <f>IFERROR(__xludf.DUMMYFUNCTION("""COMPUTED_VALUE"""),"TRSF E-BANKING DB")</f>
        <v>TRSF E-BANKING DB</v>
      </c>
      <c r="C43" s="14" t="str">
        <f>IFERROR(__xludf.DUMMYFUNCTION("""COMPUTED_VALUE"""),"TRSF E-BANKING DB 3101/FTSCY/WS95031 1500000.00 tot titip 30.01 13 500000 SANDI FAJAR PRASET")</f>
        <v>TRSF E-BANKING DB 3101/FTSCY/WS95031 1500000.00 tot titip 30.01 13 500000 SANDI FAJAR PRASET</v>
      </c>
      <c r="D43" s="3">
        <f>IFERROR(__xludf.DUMMYFUNCTION("""COMPUTED_VALUE"""),1500000.0)</f>
        <v>1500000</v>
      </c>
      <c r="E43" s="14"/>
      <c r="F43" s="14" t="str">
        <f>IFERROR(__xludf.DUMMYFUNCTION("""COMPUTED_VALUE"""),"DB")</f>
        <v>DB</v>
      </c>
      <c r="G43" s="3">
        <f>IFERROR(__xludf.DUMMYFUNCTION("""COMPUTED_VALUE"""),4594395.130000114)</f>
        <v>4594395.13</v>
      </c>
      <c r="H43" s="14"/>
      <c r="I43" s="14" t="str">
        <f>IFERROR(__xludf.DUMMYFUNCTION("""COMPUTED_VALUE"""),"PRIBADI")</f>
        <v>PRIBADI</v>
      </c>
      <c r="J43" s="3"/>
    </row>
    <row r="44">
      <c r="A44" s="13">
        <f>IFERROR(__xludf.DUMMYFUNCTION("""COMPUTED_VALUE"""),44957.0)</f>
        <v>44957</v>
      </c>
      <c r="B44" s="14" t="str">
        <f>IFERROR(__xludf.DUMMYFUNCTION("""COMPUTED_VALUE"""),"TARIKAN ATM 31/01")</f>
        <v>TARIKAN ATM 31/01</v>
      </c>
      <c r="C44" s="14" t="str">
        <f>IFERROR(__xludf.DUMMYFUNCTION("""COMPUTED_VALUE"""),"TARIKAN ATM 31/01")</f>
        <v>TARIKAN ATM 31/01</v>
      </c>
      <c r="D44" s="3">
        <f>IFERROR(__xludf.DUMMYFUNCTION("""COMPUTED_VALUE"""),300000.0)</f>
        <v>300000</v>
      </c>
      <c r="E44" s="14"/>
      <c r="F44" s="14"/>
      <c r="G44" s="3">
        <f>IFERROR(__xludf.DUMMYFUNCTION("""COMPUTED_VALUE"""),2.209375591300001E8)</f>
        <v>220937559.1</v>
      </c>
      <c r="H44" s="14"/>
      <c r="I44" s="14" t="str">
        <f>IFERROR(__xludf.DUMMYFUNCTION("""COMPUTED_VALUE"""),"PRIBADI")</f>
        <v>PRIBADI</v>
      </c>
      <c r="J44" s="3"/>
    </row>
    <row r="45">
      <c r="A45" s="13"/>
      <c r="D45" s="3"/>
      <c r="G45" s="3"/>
      <c r="J45" s="3"/>
    </row>
    <row r="46">
      <c r="A46" s="13"/>
      <c r="D46" s="3"/>
      <c r="G46" s="3"/>
      <c r="J46" s="3"/>
    </row>
    <row r="47">
      <c r="A47" s="13"/>
      <c r="D47" s="3"/>
      <c r="G47" s="3"/>
      <c r="J47" s="3"/>
    </row>
    <row r="48">
      <c r="A48" s="13"/>
      <c r="D48" s="3"/>
      <c r="G48" s="3"/>
      <c r="J48" s="3"/>
    </row>
    <row r="49">
      <c r="A49" s="13"/>
      <c r="D49" s="3"/>
      <c r="G49" s="3"/>
      <c r="J49" s="3"/>
    </row>
    <row r="50">
      <c r="A50" s="13"/>
      <c r="D50" s="3"/>
      <c r="G50" s="3"/>
      <c r="J50" s="3"/>
    </row>
    <row r="51">
      <c r="A51" s="13"/>
      <c r="D51" s="3"/>
      <c r="G51" s="3"/>
      <c r="J51" s="3"/>
    </row>
    <row r="52">
      <c r="A52" s="13"/>
      <c r="D52" s="3"/>
      <c r="G52" s="3"/>
      <c r="J52" s="3"/>
    </row>
    <row r="53">
      <c r="A53" s="13"/>
      <c r="D53" s="3"/>
      <c r="G53" s="3"/>
      <c r="J53" s="3"/>
    </row>
    <row r="54">
      <c r="A54" s="13"/>
      <c r="D54" s="3"/>
      <c r="G54" s="3"/>
      <c r="J54" s="3"/>
    </row>
    <row r="55">
      <c r="A55" s="13"/>
      <c r="D55" s="3"/>
      <c r="G55" s="3"/>
      <c r="J55" s="3"/>
    </row>
    <row r="56">
      <c r="A56" s="13"/>
      <c r="D56" s="3"/>
      <c r="G56" s="3"/>
      <c r="J56" s="3"/>
    </row>
    <row r="57">
      <c r="A57" s="13"/>
      <c r="D57" s="3"/>
      <c r="G57" s="3"/>
      <c r="J57" s="3"/>
    </row>
    <row r="58">
      <c r="A58" s="13"/>
      <c r="D58" s="3"/>
      <c r="G58" s="3"/>
      <c r="J58" s="3"/>
    </row>
    <row r="59">
      <c r="A59" s="13"/>
      <c r="D59" s="3"/>
      <c r="G59" s="3"/>
      <c r="J59" s="3"/>
    </row>
    <row r="60">
      <c r="A60" s="13"/>
      <c r="D60" s="3"/>
      <c r="G60" s="3"/>
      <c r="J60" s="3"/>
    </row>
    <row r="61">
      <c r="A61" s="13"/>
      <c r="D61" s="3"/>
      <c r="G61" s="3"/>
      <c r="J61" s="3"/>
    </row>
    <row r="62">
      <c r="A62" s="13"/>
      <c r="D62" s="3"/>
      <c r="G62" s="3"/>
      <c r="J62" s="3"/>
    </row>
    <row r="63">
      <c r="A63" s="13"/>
      <c r="D63" s="3"/>
      <c r="G63" s="3"/>
      <c r="J63" s="3"/>
    </row>
    <row r="64">
      <c r="A64" s="13"/>
      <c r="D64" s="3"/>
      <c r="G64" s="3"/>
      <c r="J64" s="3"/>
    </row>
    <row r="65">
      <c r="A65" s="13"/>
      <c r="D65" s="3"/>
      <c r="G65" s="3"/>
      <c r="J65" s="3"/>
    </row>
    <row r="66">
      <c r="A66" s="13"/>
      <c r="D66" s="3"/>
      <c r="G66" s="3"/>
      <c r="J66" s="3"/>
    </row>
    <row r="67">
      <c r="A67" s="13"/>
      <c r="D67" s="3"/>
      <c r="G67" s="3"/>
      <c r="J67" s="3"/>
    </row>
    <row r="68">
      <c r="A68" s="13"/>
      <c r="D68" s="3"/>
      <c r="G68" s="3"/>
      <c r="J68" s="3"/>
    </row>
    <row r="69">
      <c r="A69" s="13"/>
      <c r="D69" s="3"/>
      <c r="G69" s="3"/>
      <c r="J69" s="3"/>
    </row>
    <row r="70">
      <c r="A70" s="13"/>
      <c r="D70" s="3"/>
      <c r="G70" s="3"/>
      <c r="J70" s="3"/>
    </row>
    <row r="71">
      <c r="A71" s="13"/>
      <c r="D71" s="3"/>
      <c r="G71" s="3"/>
      <c r="J71" s="3"/>
    </row>
    <row r="72">
      <c r="A72" s="13"/>
      <c r="D72" s="3"/>
      <c r="G72" s="3"/>
      <c r="J72" s="3"/>
    </row>
    <row r="73">
      <c r="A73" s="13"/>
      <c r="D73" s="3"/>
      <c r="G73" s="3"/>
      <c r="J73" s="3"/>
    </row>
    <row r="74">
      <c r="A74" s="13"/>
      <c r="D74" s="3"/>
      <c r="G74" s="3"/>
      <c r="J74" s="3"/>
    </row>
    <row r="75">
      <c r="A75" s="13"/>
      <c r="D75" s="3"/>
      <c r="G75" s="3"/>
      <c r="J75" s="3"/>
    </row>
    <row r="76">
      <c r="A76" s="13"/>
      <c r="D76" s="3"/>
      <c r="G76" s="3"/>
      <c r="J76" s="3"/>
    </row>
    <row r="77">
      <c r="A77" s="13"/>
      <c r="D77" s="3"/>
      <c r="G77" s="3"/>
      <c r="J77" s="3"/>
    </row>
    <row r="78">
      <c r="A78" s="13"/>
      <c r="D78" s="3"/>
      <c r="G78" s="3"/>
      <c r="J78" s="3"/>
    </row>
    <row r="79">
      <c r="A79" s="13"/>
      <c r="D79" s="3"/>
      <c r="G79" s="3"/>
      <c r="J79" s="3"/>
    </row>
    <row r="80">
      <c r="A80" s="13"/>
      <c r="D80" s="3"/>
      <c r="G80" s="3"/>
      <c r="J80" s="3"/>
    </row>
    <row r="81">
      <c r="A81" s="13"/>
      <c r="D81" s="3"/>
      <c r="G81" s="3"/>
      <c r="J81" s="3"/>
    </row>
    <row r="82">
      <c r="A82" s="13"/>
      <c r="D82" s="3"/>
      <c r="G82" s="3"/>
      <c r="J82" s="3"/>
    </row>
    <row r="83">
      <c r="A83" s="13"/>
      <c r="D83" s="3"/>
      <c r="G83" s="3"/>
      <c r="J83" s="3"/>
    </row>
    <row r="84">
      <c r="A84" s="13"/>
      <c r="D84" s="3"/>
      <c r="G84" s="3"/>
      <c r="J84" s="3"/>
    </row>
    <row r="85">
      <c r="A85" s="13"/>
      <c r="D85" s="3"/>
      <c r="G85" s="3"/>
      <c r="J85" s="3"/>
    </row>
    <row r="86">
      <c r="A86" s="13"/>
      <c r="D86" s="3"/>
      <c r="G86" s="3"/>
      <c r="J86" s="3"/>
    </row>
    <row r="87">
      <c r="A87" s="13"/>
      <c r="D87" s="3"/>
      <c r="G87" s="3"/>
      <c r="J87" s="3"/>
    </row>
    <row r="88">
      <c r="A88" s="13"/>
      <c r="D88" s="3"/>
      <c r="G88" s="3"/>
      <c r="J88" s="3"/>
    </row>
    <row r="89">
      <c r="A89" s="13"/>
      <c r="D89" s="3"/>
      <c r="G89" s="3"/>
      <c r="J89" s="3"/>
    </row>
    <row r="90">
      <c r="A90" s="13"/>
      <c r="D90" s="3"/>
      <c r="G90" s="3"/>
      <c r="J90" s="3"/>
    </row>
    <row r="91">
      <c r="A91" s="13"/>
      <c r="D91" s="3"/>
      <c r="G91" s="3"/>
      <c r="J91" s="3"/>
    </row>
    <row r="92">
      <c r="A92" s="13"/>
      <c r="D92" s="3"/>
      <c r="G92" s="3"/>
      <c r="J92" s="3"/>
    </row>
    <row r="93">
      <c r="A93" s="13"/>
      <c r="D93" s="3"/>
      <c r="G93" s="3"/>
      <c r="J93" s="3"/>
    </row>
    <row r="94">
      <c r="A94" s="13"/>
      <c r="D94" s="3"/>
      <c r="G94" s="3"/>
      <c r="J94" s="3"/>
    </row>
    <row r="95">
      <c r="A95" s="13"/>
      <c r="D95" s="3"/>
      <c r="G95" s="3"/>
      <c r="J95" s="3"/>
    </row>
    <row r="96">
      <c r="A96" s="13"/>
      <c r="D96" s="3"/>
      <c r="G96" s="3"/>
      <c r="J96" s="3"/>
    </row>
    <row r="97">
      <c r="A97" s="13"/>
      <c r="D97" s="3"/>
      <c r="G97" s="3"/>
      <c r="J97" s="3"/>
    </row>
    <row r="98">
      <c r="A98" s="13"/>
      <c r="D98" s="3"/>
      <c r="G98" s="3"/>
      <c r="J98" s="3"/>
    </row>
    <row r="99">
      <c r="A99" s="13"/>
      <c r="D99" s="3"/>
      <c r="G99" s="3"/>
      <c r="J99" s="3"/>
    </row>
    <row r="100">
      <c r="A100" s="13"/>
      <c r="D100" s="3"/>
      <c r="G100" s="3"/>
      <c r="J100" s="3"/>
    </row>
    <row r="101">
      <c r="A101" s="13"/>
      <c r="D101" s="3"/>
      <c r="G101" s="3"/>
      <c r="J101" s="3"/>
    </row>
    <row r="102">
      <c r="A102" s="13"/>
      <c r="D102" s="3"/>
      <c r="G102" s="3"/>
      <c r="J102" s="3"/>
    </row>
    <row r="103">
      <c r="A103" s="13"/>
      <c r="D103" s="3"/>
      <c r="G103" s="3"/>
      <c r="J103" s="3"/>
    </row>
    <row r="104">
      <c r="A104" s="13"/>
      <c r="D104" s="3"/>
      <c r="G104" s="3"/>
      <c r="J104" s="3"/>
    </row>
    <row r="105">
      <c r="A105" s="13"/>
      <c r="D105" s="3"/>
      <c r="G105" s="3"/>
      <c r="J105" s="3"/>
    </row>
    <row r="106">
      <c r="A106" s="13"/>
      <c r="D106" s="3"/>
      <c r="G106" s="3"/>
      <c r="J106" s="3"/>
    </row>
    <row r="107">
      <c r="A107" s="13"/>
      <c r="D107" s="3"/>
      <c r="G107" s="3"/>
      <c r="J107" s="3"/>
    </row>
    <row r="108">
      <c r="A108" s="13"/>
      <c r="D108" s="3"/>
      <c r="G108" s="3"/>
      <c r="J108" s="3"/>
    </row>
    <row r="109">
      <c r="A109" s="13"/>
      <c r="D109" s="3"/>
      <c r="G109" s="3"/>
      <c r="J109" s="3"/>
    </row>
    <row r="110">
      <c r="A110" s="13"/>
      <c r="D110" s="3"/>
      <c r="G110" s="3"/>
      <c r="J110" s="3"/>
    </row>
    <row r="111">
      <c r="A111" s="13"/>
      <c r="D111" s="3"/>
      <c r="G111" s="3"/>
      <c r="J111" s="3"/>
    </row>
    <row r="112">
      <c r="A112" s="13"/>
      <c r="D112" s="3"/>
      <c r="G112" s="3"/>
      <c r="J112" s="3"/>
    </row>
    <row r="113">
      <c r="A113" s="13"/>
      <c r="D113" s="3"/>
      <c r="G113" s="3"/>
      <c r="J113" s="3"/>
    </row>
    <row r="114">
      <c r="A114" s="13"/>
      <c r="D114" s="3"/>
      <c r="G114" s="3"/>
      <c r="J114" s="3"/>
    </row>
    <row r="115">
      <c r="A115" s="13"/>
      <c r="D115" s="3"/>
      <c r="G115" s="3"/>
      <c r="J115" s="3"/>
    </row>
    <row r="116">
      <c r="A116" s="13"/>
      <c r="D116" s="3"/>
      <c r="G116" s="3"/>
      <c r="J116" s="3"/>
    </row>
    <row r="117">
      <c r="A117" s="13"/>
      <c r="D117" s="3"/>
      <c r="G117" s="3"/>
      <c r="J117" s="3"/>
    </row>
    <row r="118">
      <c r="A118" s="13"/>
      <c r="D118" s="3"/>
      <c r="G118" s="3"/>
      <c r="J118" s="3"/>
    </row>
    <row r="119">
      <c r="A119" s="13"/>
      <c r="D119" s="3"/>
      <c r="G119" s="3"/>
      <c r="J119" s="3"/>
    </row>
    <row r="120">
      <c r="A120" s="13"/>
      <c r="D120" s="3"/>
      <c r="G120" s="3"/>
      <c r="J120" s="3"/>
    </row>
    <row r="121">
      <c r="A121" s="13"/>
      <c r="D121" s="3"/>
      <c r="G121" s="3"/>
      <c r="J121" s="3"/>
    </row>
    <row r="122">
      <c r="A122" s="13"/>
      <c r="D122" s="3"/>
      <c r="G122" s="3"/>
      <c r="J122" s="3"/>
    </row>
    <row r="123">
      <c r="A123" s="13"/>
      <c r="D123" s="3"/>
      <c r="G123" s="3"/>
      <c r="J123" s="3"/>
    </row>
    <row r="124">
      <c r="A124" s="13"/>
      <c r="D124" s="3"/>
      <c r="G124" s="3"/>
      <c r="J124" s="3"/>
    </row>
    <row r="125">
      <c r="A125" s="13"/>
      <c r="D125" s="3"/>
      <c r="G125" s="3"/>
      <c r="J125" s="3"/>
    </row>
    <row r="126">
      <c r="A126" s="13"/>
      <c r="D126" s="3"/>
      <c r="G126" s="3"/>
      <c r="J126" s="3"/>
    </row>
    <row r="127">
      <c r="A127" s="13"/>
      <c r="D127" s="3"/>
      <c r="G127" s="3"/>
      <c r="J127" s="3"/>
    </row>
    <row r="128">
      <c r="A128" s="13"/>
      <c r="D128" s="3"/>
      <c r="G128" s="3"/>
      <c r="J128" s="3"/>
    </row>
    <row r="129">
      <c r="A129" s="13"/>
      <c r="D129" s="3"/>
      <c r="G129" s="3"/>
      <c r="J129" s="3"/>
    </row>
    <row r="130">
      <c r="A130" s="13"/>
      <c r="D130" s="3"/>
      <c r="G130" s="3"/>
      <c r="J130" s="3"/>
    </row>
    <row r="131">
      <c r="A131" s="13"/>
      <c r="D131" s="3"/>
      <c r="G131" s="3"/>
      <c r="J131" s="3"/>
    </row>
    <row r="132">
      <c r="A132" s="13"/>
      <c r="D132" s="3"/>
      <c r="G132" s="3"/>
      <c r="J132" s="3"/>
    </row>
    <row r="133">
      <c r="A133" s="13"/>
      <c r="D133" s="3"/>
      <c r="G133" s="3"/>
      <c r="J133" s="3"/>
    </row>
    <row r="134">
      <c r="A134" s="13"/>
      <c r="D134" s="3"/>
      <c r="G134" s="3"/>
      <c r="J134" s="3"/>
    </row>
    <row r="135">
      <c r="A135" s="13"/>
      <c r="D135" s="3"/>
      <c r="G135" s="3"/>
      <c r="J135" s="3"/>
    </row>
    <row r="136">
      <c r="A136" s="13"/>
      <c r="D136" s="3"/>
      <c r="G136" s="3"/>
      <c r="J136" s="3"/>
    </row>
    <row r="137">
      <c r="A137" s="13"/>
      <c r="D137" s="3"/>
      <c r="G137" s="3"/>
      <c r="J137" s="3"/>
    </row>
    <row r="138">
      <c r="A138" s="13"/>
      <c r="D138" s="3"/>
      <c r="G138" s="3"/>
      <c r="J138" s="3"/>
    </row>
    <row r="139">
      <c r="A139" s="13"/>
      <c r="D139" s="3"/>
      <c r="G139" s="3"/>
      <c r="J139" s="3"/>
    </row>
    <row r="140">
      <c r="A140" s="13"/>
      <c r="D140" s="3"/>
      <c r="G140" s="3"/>
      <c r="J140" s="3"/>
    </row>
    <row r="141">
      <c r="A141" s="13"/>
      <c r="D141" s="3"/>
      <c r="G141" s="3"/>
      <c r="J141" s="3"/>
    </row>
    <row r="142">
      <c r="A142" s="13"/>
      <c r="D142" s="3"/>
      <c r="G142" s="3"/>
      <c r="J142" s="3"/>
    </row>
    <row r="143">
      <c r="A143" s="13"/>
      <c r="D143" s="3"/>
      <c r="G143" s="3"/>
      <c r="J143" s="3"/>
    </row>
    <row r="144">
      <c r="A144" s="13"/>
      <c r="D144" s="3"/>
      <c r="G144" s="3"/>
      <c r="J144" s="3"/>
    </row>
    <row r="145">
      <c r="A145" s="13"/>
      <c r="D145" s="3"/>
      <c r="G145" s="3"/>
      <c r="J145" s="3"/>
    </row>
    <row r="146">
      <c r="A146" s="13"/>
      <c r="D146" s="3"/>
      <c r="G146" s="3"/>
      <c r="J146" s="3"/>
    </row>
    <row r="147">
      <c r="A147" s="13"/>
      <c r="D147" s="3"/>
      <c r="G147" s="3"/>
      <c r="J147" s="3"/>
    </row>
    <row r="148">
      <c r="A148" s="13"/>
      <c r="D148" s="3"/>
      <c r="G148" s="3"/>
      <c r="J148" s="3"/>
    </row>
    <row r="149">
      <c r="A149" s="13"/>
      <c r="D149" s="3"/>
      <c r="G149" s="3"/>
      <c r="J149" s="3"/>
    </row>
    <row r="150">
      <c r="A150" s="13"/>
      <c r="D150" s="3"/>
      <c r="G150" s="3"/>
      <c r="J150" s="3"/>
    </row>
    <row r="151">
      <c r="A151" s="13"/>
      <c r="D151" s="3"/>
      <c r="G151" s="3"/>
      <c r="J151" s="3"/>
    </row>
    <row r="152">
      <c r="A152" s="13"/>
      <c r="D152" s="3"/>
      <c r="G152" s="3"/>
      <c r="J152" s="3"/>
    </row>
    <row r="153">
      <c r="A153" s="13"/>
      <c r="D153" s="3"/>
      <c r="G153" s="3"/>
      <c r="J153" s="3"/>
    </row>
    <row r="154">
      <c r="A154" s="13"/>
      <c r="D154" s="3"/>
      <c r="G154" s="3"/>
      <c r="J154" s="3"/>
    </row>
    <row r="155">
      <c r="A155" s="13"/>
      <c r="D155" s="3"/>
      <c r="G155" s="3"/>
      <c r="J155" s="3"/>
    </row>
    <row r="156">
      <c r="A156" s="13"/>
      <c r="D156" s="3"/>
      <c r="G156" s="3"/>
      <c r="J156" s="3"/>
    </row>
    <row r="157">
      <c r="A157" s="13"/>
      <c r="D157" s="3"/>
      <c r="G157" s="3"/>
      <c r="J157" s="3"/>
    </row>
    <row r="158">
      <c r="A158" s="13"/>
      <c r="D158" s="3"/>
      <c r="G158" s="3"/>
      <c r="J158" s="3"/>
    </row>
    <row r="159">
      <c r="A159" s="13"/>
      <c r="D159" s="3"/>
      <c r="G159" s="3"/>
      <c r="J159" s="3"/>
    </row>
    <row r="160">
      <c r="A160" s="13"/>
      <c r="D160" s="3"/>
      <c r="G160" s="3"/>
      <c r="J160" s="3"/>
    </row>
    <row r="161">
      <c r="A161" s="13"/>
      <c r="D161" s="3"/>
      <c r="G161" s="3"/>
      <c r="J161" s="3"/>
    </row>
    <row r="162">
      <c r="A162" s="13"/>
      <c r="D162" s="3"/>
      <c r="G162" s="3"/>
      <c r="J162" s="3"/>
    </row>
    <row r="163">
      <c r="A163" s="13"/>
      <c r="D163" s="3"/>
      <c r="G163" s="3"/>
      <c r="J163" s="3"/>
    </row>
    <row r="164">
      <c r="A164" s="13"/>
      <c r="D164" s="3"/>
      <c r="G164" s="3"/>
      <c r="J164" s="3"/>
    </row>
    <row r="165">
      <c r="A165" s="13"/>
      <c r="D165" s="3"/>
      <c r="G165" s="3"/>
      <c r="J165" s="3"/>
    </row>
    <row r="166">
      <c r="A166" s="13"/>
      <c r="D166" s="3"/>
      <c r="G166" s="3"/>
      <c r="J166" s="3"/>
    </row>
    <row r="167">
      <c r="A167" s="13"/>
      <c r="D167" s="3"/>
      <c r="G167" s="3"/>
      <c r="J167" s="3"/>
    </row>
    <row r="168">
      <c r="A168" s="13"/>
      <c r="D168" s="3"/>
      <c r="G168" s="3"/>
      <c r="J168" s="3"/>
    </row>
    <row r="169">
      <c r="A169" s="13"/>
      <c r="D169" s="3"/>
      <c r="G169" s="3"/>
      <c r="J169" s="3"/>
    </row>
    <row r="170">
      <c r="A170" s="13"/>
      <c r="D170" s="3"/>
      <c r="G170" s="3"/>
      <c r="J170" s="3"/>
    </row>
    <row r="171">
      <c r="A171" s="13"/>
      <c r="D171" s="3"/>
      <c r="G171" s="3"/>
      <c r="J171" s="3"/>
    </row>
    <row r="172">
      <c r="A172" s="13"/>
      <c r="D172" s="3"/>
      <c r="G172" s="3"/>
      <c r="J172" s="3"/>
    </row>
    <row r="173">
      <c r="A173" s="13"/>
      <c r="D173" s="3"/>
      <c r="G173" s="3"/>
      <c r="J173" s="3"/>
    </row>
    <row r="174">
      <c r="A174" s="13"/>
      <c r="D174" s="3"/>
      <c r="G174" s="3"/>
      <c r="J174" s="3"/>
    </row>
    <row r="175">
      <c r="A175" s="13"/>
      <c r="D175" s="3"/>
      <c r="G175" s="3"/>
      <c r="J175" s="3"/>
    </row>
    <row r="176">
      <c r="A176" s="13"/>
      <c r="D176" s="3"/>
      <c r="G176" s="3"/>
      <c r="J176" s="3"/>
    </row>
    <row r="177">
      <c r="A177" s="13"/>
      <c r="D177" s="3"/>
      <c r="G177" s="3"/>
      <c r="J177" s="3"/>
    </row>
    <row r="178">
      <c r="A178" s="13"/>
      <c r="D178" s="3"/>
      <c r="G178" s="3"/>
      <c r="J178" s="3"/>
    </row>
    <row r="179">
      <c r="A179" s="13"/>
      <c r="D179" s="3"/>
      <c r="G179" s="3"/>
      <c r="J179" s="3"/>
    </row>
    <row r="180">
      <c r="A180" s="13"/>
      <c r="D180" s="3"/>
      <c r="G180" s="3"/>
      <c r="J180" s="3"/>
    </row>
    <row r="181">
      <c r="A181" s="13"/>
      <c r="D181" s="3"/>
      <c r="G181" s="3"/>
      <c r="J181" s="3"/>
    </row>
    <row r="182">
      <c r="A182" s="13"/>
      <c r="D182" s="3"/>
      <c r="G182" s="3"/>
      <c r="J182" s="3"/>
    </row>
    <row r="183">
      <c r="A183" s="13"/>
      <c r="D183" s="3"/>
      <c r="G183" s="3"/>
      <c r="J183" s="3"/>
    </row>
    <row r="184">
      <c r="A184" s="13"/>
      <c r="D184" s="3"/>
      <c r="G184" s="3"/>
      <c r="J184" s="3"/>
    </row>
    <row r="185">
      <c r="A185" s="13"/>
      <c r="D185" s="3"/>
      <c r="G185" s="3"/>
      <c r="J185" s="3"/>
    </row>
    <row r="186">
      <c r="A186" s="13"/>
      <c r="D186" s="3"/>
      <c r="G186" s="3"/>
      <c r="J186" s="3"/>
    </row>
    <row r="187">
      <c r="A187" s="13"/>
      <c r="D187" s="3"/>
      <c r="G187" s="3"/>
      <c r="J187" s="3"/>
    </row>
    <row r="188">
      <c r="A188" s="13"/>
      <c r="D188" s="3"/>
      <c r="G188" s="3"/>
      <c r="J188" s="3"/>
    </row>
    <row r="189">
      <c r="A189" s="13"/>
      <c r="D189" s="3"/>
      <c r="G189" s="3"/>
      <c r="J189" s="3"/>
    </row>
    <row r="190">
      <c r="A190" s="13"/>
      <c r="D190" s="3"/>
      <c r="G190" s="3"/>
      <c r="J190" s="3"/>
    </row>
    <row r="191">
      <c r="A191" s="13"/>
      <c r="D191" s="3"/>
      <c r="G191" s="3"/>
      <c r="J191" s="3"/>
    </row>
    <row r="192">
      <c r="A192" s="13"/>
      <c r="D192" s="3"/>
      <c r="G192" s="3"/>
      <c r="J192" s="3"/>
    </row>
    <row r="193">
      <c r="A193" s="13"/>
      <c r="D193" s="3"/>
      <c r="G193" s="3"/>
      <c r="J193" s="3"/>
    </row>
    <row r="194">
      <c r="A194" s="13"/>
      <c r="D194" s="3"/>
      <c r="G194" s="3"/>
      <c r="J194" s="3"/>
    </row>
    <row r="195">
      <c r="A195" s="13"/>
      <c r="D195" s="3"/>
      <c r="G195" s="3"/>
      <c r="J195" s="3"/>
    </row>
    <row r="196">
      <c r="A196" s="13"/>
      <c r="D196" s="3"/>
      <c r="G196" s="3"/>
      <c r="J196" s="3"/>
    </row>
    <row r="197">
      <c r="A197" s="13"/>
      <c r="D197" s="3"/>
      <c r="G197" s="3"/>
      <c r="J197" s="3"/>
    </row>
    <row r="198">
      <c r="A198" s="13"/>
      <c r="D198" s="3"/>
      <c r="G198" s="3"/>
      <c r="J198" s="3"/>
    </row>
    <row r="199">
      <c r="A199" s="13"/>
      <c r="D199" s="3"/>
      <c r="G199" s="3"/>
      <c r="J199" s="3"/>
    </row>
    <row r="200">
      <c r="A200" s="13"/>
      <c r="D200" s="3"/>
      <c r="G200" s="3"/>
      <c r="J200" s="3"/>
    </row>
    <row r="201">
      <c r="A201" s="13"/>
      <c r="D201" s="3"/>
      <c r="G201" s="3"/>
      <c r="J201" s="3"/>
    </row>
    <row r="202">
      <c r="A202" s="13"/>
      <c r="D202" s="3"/>
      <c r="G202" s="3"/>
      <c r="J202" s="3"/>
    </row>
    <row r="203">
      <c r="A203" s="13"/>
      <c r="D203" s="3"/>
      <c r="G203" s="3"/>
      <c r="J203" s="3"/>
    </row>
    <row r="204">
      <c r="A204" s="13"/>
      <c r="D204" s="3"/>
      <c r="G204" s="3"/>
      <c r="J204" s="3"/>
    </row>
    <row r="205">
      <c r="A205" s="13"/>
      <c r="D205" s="3"/>
      <c r="G205" s="3"/>
      <c r="J205" s="3"/>
    </row>
    <row r="206">
      <c r="A206" s="13"/>
      <c r="D206" s="3"/>
      <c r="G206" s="3"/>
      <c r="J206" s="3"/>
    </row>
    <row r="207">
      <c r="A207" s="13"/>
      <c r="D207" s="3"/>
      <c r="G207" s="3"/>
      <c r="J207" s="3"/>
    </row>
    <row r="208">
      <c r="A208" s="13"/>
      <c r="D208" s="3"/>
      <c r="G208" s="3"/>
      <c r="J208" s="3"/>
    </row>
    <row r="209">
      <c r="A209" s="13"/>
      <c r="D209" s="3"/>
      <c r="G209" s="3"/>
      <c r="J209" s="3"/>
    </row>
    <row r="210">
      <c r="A210" s="13"/>
      <c r="D210" s="3"/>
      <c r="G210" s="3"/>
      <c r="J210" s="3"/>
    </row>
    <row r="211">
      <c r="A211" s="13"/>
      <c r="D211" s="3"/>
      <c r="G211" s="3"/>
      <c r="J211" s="3"/>
    </row>
    <row r="212">
      <c r="A212" s="13"/>
      <c r="D212" s="3"/>
      <c r="G212" s="3"/>
      <c r="J212" s="3"/>
    </row>
    <row r="213">
      <c r="A213" s="13"/>
      <c r="D213" s="3"/>
      <c r="G213" s="3"/>
      <c r="J213" s="3"/>
    </row>
    <row r="214">
      <c r="A214" s="13"/>
      <c r="D214" s="3"/>
      <c r="G214" s="3"/>
      <c r="J214" s="3"/>
    </row>
    <row r="215">
      <c r="A215" s="13"/>
      <c r="D215" s="3"/>
      <c r="G215" s="3"/>
      <c r="J215" s="3"/>
    </row>
    <row r="216">
      <c r="A216" s="13"/>
      <c r="D216" s="3"/>
      <c r="G216" s="3"/>
      <c r="J216" s="3"/>
    </row>
    <row r="217">
      <c r="A217" s="13"/>
      <c r="D217" s="3"/>
      <c r="G217" s="3"/>
      <c r="J217" s="3"/>
    </row>
    <row r="218">
      <c r="A218" s="13"/>
      <c r="D218" s="3"/>
      <c r="G218" s="3"/>
      <c r="J218" s="3"/>
    </row>
    <row r="219">
      <c r="A219" s="13"/>
      <c r="D219" s="3"/>
      <c r="G219" s="3"/>
      <c r="J219" s="3"/>
    </row>
    <row r="220">
      <c r="A220" s="13"/>
      <c r="D220" s="3"/>
      <c r="G220" s="3"/>
      <c r="J220" s="3"/>
    </row>
    <row r="221">
      <c r="A221" s="13"/>
      <c r="D221" s="3"/>
      <c r="G221" s="3"/>
      <c r="J221" s="3"/>
    </row>
    <row r="222">
      <c r="A222" s="13"/>
      <c r="D222" s="3"/>
      <c r="G222" s="3"/>
      <c r="J222" s="3"/>
    </row>
    <row r="223">
      <c r="A223" s="13"/>
      <c r="D223" s="3"/>
      <c r="G223" s="3"/>
      <c r="J223" s="3"/>
    </row>
    <row r="224">
      <c r="A224" s="13"/>
      <c r="D224" s="3"/>
      <c r="G224" s="3"/>
      <c r="J224" s="3"/>
    </row>
    <row r="225">
      <c r="A225" s="13"/>
      <c r="D225" s="3"/>
      <c r="G225" s="3"/>
      <c r="J225" s="3"/>
    </row>
    <row r="226">
      <c r="A226" s="13"/>
      <c r="D226" s="3"/>
      <c r="G226" s="3"/>
      <c r="J226" s="3"/>
    </row>
    <row r="227">
      <c r="A227" s="13"/>
      <c r="D227" s="3"/>
      <c r="G227" s="3"/>
      <c r="J227" s="3"/>
    </row>
    <row r="228">
      <c r="A228" s="13"/>
      <c r="D228" s="3"/>
      <c r="G228" s="3"/>
      <c r="J228" s="3"/>
    </row>
    <row r="229">
      <c r="A229" s="13"/>
      <c r="D229" s="3"/>
      <c r="G229" s="3"/>
      <c r="J229" s="3"/>
    </row>
    <row r="230">
      <c r="A230" s="13"/>
      <c r="D230" s="3"/>
      <c r="G230" s="3"/>
      <c r="J230" s="3"/>
    </row>
    <row r="231">
      <c r="A231" s="13"/>
      <c r="D231" s="3"/>
      <c r="G231" s="3"/>
      <c r="J231" s="3"/>
    </row>
    <row r="232">
      <c r="A232" s="13"/>
      <c r="D232" s="3"/>
      <c r="G232" s="3"/>
      <c r="J232" s="3"/>
    </row>
    <row r="233">
      <c r="A233" s="13"/>
      <c r="D233" s="3"/>
      <c r="G233" s="3"/>
      <c r="J233" s="3"/>
    </row>
    <row r="234">
      <c r="A234" s="13"/>
      <c r="D234" s="3"/>
      <c r="G234" s="3"/>
      <c r="J234" s="3"/>
    </row>
    <row r="235">
      <c r="A235" s="13"/>
      <c r="D235" s="3"/>
      <c r="G235" s="3"/>
      <c r="J235" s="3"/>
    </row>
    <row r="236">
      <c r="A236" s="13"/>
      <c r="D236" s="3"/>
      <c r="G236" s="3"/>
      <c r="J236" s="3"/>
    </row>
    <row r="237">
      <c r="A237" s="13"/>
      <c r="D237" s="3"/>
      <c r="G237" s="3"/>
      <c r="J237" s="3"/>
    </row>
    <row r="238">
      <c r="A238" s="13"/>
      <c r="D238" s="3"/>
      <c r="G238" s="3"/>
      <c r="J238" s="3"/>
    </row>
    <row r="239">
      <c r="A239" s="13"/>
      <c r="D239" s="3"/>
      <c r="G239" s="3"/>
      <c r="J239" s="3"/>
    </row>
    <row r="240">
      <c r="A240" s="13"/>
      <c r="D240" s="3"/>
      <c r="G240" s="3"/>
      <c r="J240" s="3"/>
    </row>
    <row r="241">
      <c r="A241" s="13"/>
      <c r="D241" s="3"/>
      <c r="G241" s="3"/>
      <c r="J241" s="3"/>
    </row>
    <row r="242">
      <c r="A242" s="13"/>
      <c r="D242" s="3"/>
      <c r="G242" s="3"/>
      <c r="J242" s="3"/>
    </row>
    <row r="243">
      <c r="A243" s="13"/>
      <c r="D243" s="3"/>
      <c r="G243" s="3"/>
      <c r="J243" s="3"/>
    </row>
    <row r="244">
      <c r="A244" s="13"/>
      <c r="D244" s="3"/>
      <c r="G244" s="3"/>
      <c r="J244" s="3"/>
    </row>
    <row r="245">
      <c r="A245" s="13"/>
      <c r="D245" s="3"/>
      <c r="G245" s="3"/>
      <c r="J245" s="3"/>
    </row>
    <row r="246">
      <c r="A246" s="13"/>
      <c r="D246" s="3"/>
      <c r="G246" s="3"/>
      <c r="J246" s="3"/>
    </row>
    <row r="247">
      <c r="A247" s="13"/>
      <c r="D247" s="3"/>
      <c r="G247" s="3"/>
      <c r="J247" s="3"/>
    </row>
    <row r="248">
      <c r="A248" s="13"/>
      <c r="D248" s="3"/>
      <c r="G248" s="3"/>
      <c r="J248" s="3"/>
    </row>
    <row r="249">
      <c r="A249" s="13"/>
      <c r="D249" s="3"/>
      <c r="G249" s="3"/>
      <c r="J249" s="3"/>
    </row>
    <row r="250">
      <c r="A250" s="13"/>
      <c r="D250" s="3"/>
      <c r="G250" s="3"/>
      <c r="J250" s="3"/>
    </row>
    <row r="251">
      <c r="A251" s="13"/>
      <c r="D251" s="3"/>
      <c r="G251" s="3"/>
      <c r="J251" s="3"/>
    </row>
    <row r="252">
      <c r="A252" s="13"/>
      <c r="D252" s="3"/>
      <c r="G252" s="3"/>
      <c r="J252" s="3"/>
    </row>
    <row r="253">
      <c r="A253" s="13"/>
      <c r="D253" s="3"/>
      <c r="G253" s="3"/>
      <c r="J253" s="3"/>
    </row>
    <row r="254">
      <c r="A254" s="13"/>
      <c r="D254" s="3"/>
      <c r="G254" s="3"/>
      <c r="J254" s="3"/>
    </row>
    <row r="255">
      <c r="A255" s="13"/>
      <c r="D255" s="3"/>
      <c r="G255" s="3"/>
      <c r="J255" s="3"/>
    </row>
    <row r="256">
      <c r="A256" s="13"/>
      <c r="D256" s="3"/>
      <c r="G256" s="3"/>
      <c r="J256" s="3"/>
    </row>
    <row r="257">
      <c r="A257" s="13"/>
      <c r="D257" s="3"/>
      <c r="G257" s="3"/>
      <c r="J257" s="3"/>
    </row>
    <row r="258">
      <c r="A258" s="13"/>
      <c r="D258" s="3"/>
      <c r="G258" s="3"/>
      <c r="J258" s="3"/>
    </row>
    <row r="259">
      <c r="A259" s="13"/>
      <c r="D259" s="3"/>
      <c r="G259" s="3"/>
      <c r="J259" s="3"/>
    </row>
    <row r="260">
      <c r="A260" s="13"/>
      <c r="D260" s="3"/>
      <c r="G260" s="3"/>
      <c r="J260" s="3"/>
    </row>
    <row r="261">
      <c r="A261" s="13"/>
      <c r="D261" s="3"/>
      <c r="G261" s="3"/>
      <c r="J261" s="3"/>
    </row>
    <row r="262">
      <c r="A262" s="13"/>
      <c r="D262" s="3"/>
      <c r="G262" s="3"/>
      <c r="J262" s="3"/>
    </row>
    <row r="263">
      <c r="A263" s="13"/>
      <c r="D263" s="3"/>
      <c r="G263" s="3"/>
      <c r="J263" s="3"/>
    </row>
    <row r="264">
      <c r="A264" s="13"/>
      <c r="D264" s="3"/>
      <c r="G264" s="3"/>
      <c r="J264" s="3"/>
    </row>
    <row r="265">
      <c r="A265" s="13"/>
      <c r="D265" s="3"/>
      <c r="G265" s="3"/>
      <c r="J265" s="3"/>
    </row>
    <row r="266">
      <c r="A266" s="13"/>
      <c r="D266" s="3"/>
      <c r="G266" s="3"/>
      <c r="J266" s="3"/>
    </row>
    <row r="267">
      <c r="A267" s="13"/>
      <c r="D267" s="3"/>
      <c r="G267" s="3"/>
      <c r="J267" s="3"/>
    </row>
    <row r="268">
      <c r="A268" s="13"/>
      <c r="D268" s="3"/>
      <c r="G268" s="3"/>
      <c r="J268" s="3"/>
    </row>
    <row r="269">
      <c r="A269" s="13"/>
      <c r="D269" s="3"/>
      <c r="G269" s="3"/>
      <c r="J269" s="3"/>
    </row>
    <row r="270">
      <c r="A270" s="13"/>
      <c r="D270" s="3"/>
      <c r="G270" s="3"/>
      <c r="J270" s="3"/>
    </row>
    <row r="271">
      <c r="A271" s="13"/>
      <c r="D271" s="3"/>
      <c r="G271" s="3"/>
      <c r="J271" s="3"/>
    </row>
    <row r="272">
      <c r="A272" s="13"/>
      <c r="D272" s="3"/>
      <c r="G272" s="3"/>
      <c r="J272" s="3"/>
    </row>
    <row r="273">
      <c r="A273" s="13"/>
      <c r="D273" s="3"/>
      <c r="G273" s="3"/>
      <c r="J273" s="3"/>
    </row>
    <row r="274">
      <c r="A274" s="13"/>
      <c r="D274" s="3"/>
      <c r="G274" s="3"/>
      <c r="J274" s="3"/>
    </row>
    <row r="275">
      <c r="A275" s="13"/>
      <c r="D275" s="3"/>
      <c r="G275" s="3"/>
      <c r="J275" s="3"/>
    </row>
    <row r="276">
      <c r="A276" s="13"/>
      <c r="D276" s="3"/>
      <c r="G276" s="3"/>
      <c r="J276" s="3"/>
    </row>
    <row r="277">
      <c r="A277" s="13"/>
      <c r="D277" s="3"/>
      <c r="G277" s="3"/>
      <c r="J277" s="3"/>
    </row>
    <row r="278">
      <c r="A278" s="13"/>
      <c r="D278" s="3"/>
      <c r="G278" s="3"/>
      <c r="J278" s="3"/>
    </row>
    <row r="279">
      <c r="A279" s="13"/>
      <c r="D279" s="3"/>
      <c r="G279" s="3"/>
      <c r="J279" s="3"/>
    </row>
    <row r="280">
      <c r="A280" s="13"/>
      <c r="D280" s="3"/>
      <c r="G280" s="3"/>
      <c r="J280" s="3"/>
    </row>
    <row r="281">
      <c r="A281" s="13"/>
      <c r="D281" s="3"/>
      <c r="G281" s="3"/>
      <c r="J281" s="3"/>
    </row>
    <row r="282">
      <c r="A282" s="13"/>
      <c r="D282" s="3"/>
      <c r="G282" s="3"/>
      <c r="J282" s="3"/>
    </row>
    <row r="283">
      <c r="A283" s="13"/>
      <c r="D283" s="3"/>
      <c r="G283" s="3"/>
      <c r="J283" s="3"/>
    </row>
    <row r="284">
      <c r="A284" s="13"/>
      <c r="D284" s="3"/>
      <c r="G284" s="3"/>
      <c r="J284" s="3"/>
    </row>
    <row r="285">
      <c r="A285" s="13"/>
      <c r="D285" s="3"/>
      <c r="G285" s="3"/>
      <c r="J285" s="3"/>
    </row>
    <row r="286">
      <c r="A286" s="13"/>
      <c r="D286" s="3"/>
      <c r="G286" s="3"/>
      <c r="J286" s="3"/>
    </row>
    <row r="287">
      <c r="A287" s="13"/>
      <c r="D287" s="3"/>
      <c r="G287" s="3"/>
      <c r="J287" s="3"/>
    </row>
    <row r="288">
      <c r="A288" s="13"/>
      <c r="D288" s="3"/>
      <c r="G288" s="3"/>
      <c r="J288" s="3"/>
    </row>
    <row r="289">
      <c r="A289" s="13"/>
      <c r="D289" s="3"/>
      <c r="G289" s="3"/>
      <c r="J289" s="3"/>
    </row>
    <row r="290">
      <c r="A290" s="13"/>
      <c r="D290" s="3"/>
      <c r="G290" s="3"/>
      <c r="J290" s="3"/>
    </row>
    <row r="291">
      <c r="A291" s="13"/>
      <c r="D291" s="3"/>
      <c r="G291" s="3"/>
      <c r="J291" s="3"/>
    </row>
    <row r="292">
      <c r="A292" s="13"/>
      <c r="D292" s="3"/>
      <c r="G292" s="3"/>
      <c r="J292" s="3"/>
    </row>
    <row r="293">
      <c r="A293" s="13"/>
      <c r="D293" s="3"/>
      <c r="G293" s="3"/>
      <c r="J293" s="3"/>
    </row>
    <row r="294">
      <c r="A294" s="13"/>
      <c r="D294" s="3"/>
      <c r="G294" s="3"/>
      <c r="J294" s="3"/>
    </row>
    <row r="295">
      <c r="A295" s="13"/>
      <c r="D295" s="3"/>
      <c r="G295" s="3"/>
      <c r="J295" s="3"/>
    </row>
    <row r="296">
      <c r="A296" s="13"/>
      <c r="D296" s="3"/>
      <c r="G296" s="3"/>
      <c r="J296" s="3"/>
    </row>
    <row r="297">
      <c r="A297" s="13"/>
      <c r="D297" s="3"/>
      <c r="G297" s="3"/>
      <c r="J297" s="3"/>
    </row>
    <row r="298">
      <c r="A298" s="13"/>
      <c r="D298" s="3"/>
      <c r="G298" s="3"/>
      <c r="J298" s="3"/>
    </row>
    <row r="299">
      <c r="A299" s="13"/>
      <c r="D299" s="3"/>
      <c r="G299" s="3"/>
      <c r="J299" s="3"/>
    </row>
    <row r="300">
      <c r="A300" s="13"/>
      <c r="D300" s="3"/>
      <c r="G300" s="3"/>
      <c r="J300" s="3"/>
    </row>
    <row r="301">
      <c r="A301" s="13"/>
      <c r="D301" s="3"/>
      <c r="G301" s="3"/>
      <c r="J301" s="3"/>
    </row>
    <row r="302">
      <c r="A302" s="13"/>
      <c r="D302" s="3"/>
      <c r="G302" s="3"/>
      <c r="J302" s="3"/>
    </row>
    <row r="303">
      <c r="A303" s="13"/>
      <c r="D303" s="3"/>
      <c r="G303" s="3"/>
      <c r="J303" s="3"/>
    </row>
    <row r="304">
      <c r="A304" s="13"/>
      <c r="D304" s="3"/>
      <c r="G304" s="3"/>
      <c r="J304" s="3"/>
    </row>
    <row r="305">
      <c r="A305" s="13"/>
      <c r="D305" s="3"/>
      <c r="G305" s="3"/>
      <c r="J305" s="3"/>
    </row>
    <row r="306">
      <c r="A306" s="13"/>
      <c r="D306" s="3"/>
      <c r="G306" s="3"/>
      <c r="J306" s="3"/>
    </row>
    <row r="307">
      <c r="A307" s="13"/>
      <c r="D307" s="3"/>
      <c r="G307" s="3"/>
      <c r="J307" s="3"/>
    </row>
    <row r="308">
      <c r="A308" s="13"/>
      <c r="D308" s="3"/>
      <c r="G308" s="3"/>
      <c r="J308" s="3"/>
    </row>
    <row r="309">
      <c r="A309" s="13"/>
      <c r="D309" s="3"/>
      <c r="G309" s="3"/>
      <c r="J309" s="3"/>
    </row>
    <row r="310">
      <c r="A310" s="13"/>
      <c r="D310" s="3"/>
      <c r="G310" s="3"/>
      <c r="J310" s="3"/>
    </row>
    <row r="311">
      <c r="A311" s="13"/>
      <c r="D311" s="3"/>
      <c r="G311" s="3"/>
      <c r="J311" s="3"/>
    </row>
    <row r="312">
      <c r="A312" s="13"/>
      <c r="D312" s="3"/>
      <c r="G312" s="3"/>
      <c r="J312" s="3"/>
    </row>
    <row r="313">
      <c r="A313" s="13"/>
      <c r="D313" s="3"/>
      <c r="G313" s="3"/>
      <c r="J313" s="3"/>
    </row>
    <row r="314">
      <c r="A314" s="13"/>
      <c r="D314" s="3"/>
      <c r="G314" s="3"/>
      <c r="J314" s="3"/>
    </row>
    <row r="315">
      <c r="A315" s="13"/>
      <c r="D315" s="3"/>
      <c r="G315" s="3"/>
      <c r="J315" s="3"/>
    </row>
    <row r="316">
      <c r="A316" s="13"/>
      <c r="D316" s="3"/>
      <c r="G316" s="3"/>
      <c r="J316" s="3"/>
    </row>
    <row r="317">
      <c r="A317" s="13"/>
      <c r="D317" s="3"/>
      <c r="G317" s="3"/>
      <c r="J317" s="3"/>
    </row>
    <row r="318">
      <c r="A318" s="13"/>
      <c r="D318" s="3"/>
      <c r="G318" s="3"/>
      <c r="J318" s="3"/>
    </row>
    <row r="319">
      <c r="A319" s="13"/>
      <c r="D319" s="3"/>
      <c r="G319" s="3"/>
      <c r="J319" s="3"/>
    </row>
    <row r="320">
      <c r="A320" s="13"/>
      <c r="D320" s="3"/>
      <c r="G320" s="3"/>
      <c r="J320" s="3"/>
    </row>
    <row r="321">
      <c r="A321" s="13"/>
      <c r="D321" s="3"/>
      <c r="G321" s="3"/>
      <c r="J321" s="3"/>
    </row>
    <row r="322">
      <c r="A322" s="13"/>
      <c r="D322" s="3"/>
      <c r="G322" s="3"/>
      <c r="J322" s="3"/>
    </row>
    <row r="323">
      <c r="A323" s="13"/>
      <c r="D323" s="3"/>
      <c r="G323" s="3"/>
      <c r="J323" s="3"/>
    </row>
    <row r="324">
      <c r="A324" s="13"/>
      <c r="D324" s="3"/>
      <c r="G324" s="3"/>
      <c r="J324" s="3"/>
    </row>
    <row r="325">
      <c r="A325" s="13"/>
      <c r="D325" s="3"/>
      <c r="G325" s="3"/>
      <c r="J325" s="3"/>
    </row>
    <row r="326">
      <c r="A326" s="13"/>
      <c r="D326" s="3"/>
      <c r="G326" s="3"/>
      <c r="J326" s="3"/>
    </row>
    <row r="327">
      <c r="A327" s="13"/>
      <c r="D327" s="3"/>
      <c r="G327" s="3"/>
      <c r="J327" s="3"/>
    </row>
    <row r="328">
      <c r="A328" s="13"/>
      <c r="D328" s="3"/>
      <c r="G328" s="3"/>
      <c r="J328" s="3"/>
    </row>
    <row r="329">
      <c r="A329" s="13"/>
      <c r="D329" s="3"/>
      <c r="G329" s="3"/>
      <c r="J329" s="3"/>
    </row>
    <row r="330">
      <c r="A330" s="13"/>
      <c r="D330" s="3"/>
      <c r="G330" s="3"/>
      <c r="J330" s="3"/>
    </row>
    <row r="331">
      <c r="A331" s="13"/>
      <c r="D331" s="3"/>
      <c r="G331" s="3"/>
      <c r="J331" s="3"/>
    </row>
    <row r="332">
      <c r="A332" s="13"/>
      <c r="D332" s="3"/>
      <c r="G332" s="3"/>
      <c r="J332" s="3"/>
    </row>
    <row r="333">
      <c r="A333" s="13"/>
      <c r="D333" s="3"/>
      <c r="G333" s="3"/>
      <c r="J333" s="3"/>
    </row>
    <row r="334">
      <c r="A334" s="13"/>
      <c r="D334" s="3"/>
      <c r="G334" s="3"/>
      <c r="J334" s="3"/>
    </row>
    <row r="335">
      <c r="A335" s="13"/>
      <c r="D335" s="3"/>
      <c r="G335" s="3"/>
      <c r="J335" s="3"/>
    </row>
    <row r="336">
      <c r="A336" s="13"/>
      <c r="D336" s="3"/>
      <c r="G336" s="3"/>
      <c r="J336" s="3"/>
    </row>
    <row r="337">
      <c r="A337" s="13"/>
      <c r="D337" s="3"/>
      <c r="G337" s="3"/>
      <c r="J337" s="3"/>
    </row>
    <row r="338">
      <c r="A338" s="13"/>
      <c r="D338" s="3"/>
      <c r="G338" s="3"/>
      <c r="J338" s="3"/>
    </row>
    <row r="339">
      <c r="A339" s="13"/>
      <c r="D339" s="3"/>
      <c r="G339" s="3"/>
      <c r="J339" s="3"/>
    </row>
    <row r="340">
      <c r="A340" s="13"/>
      <c r="D340" s="3"/>
      <c r="G340" s="3"/>
      <c r="J340" s="3"/>
    </row>
    <row r="341">
      <c r="A341" s="13"/>
      <c r="D341" s="3"/>
      <c r="G341" s="3"/>
      <c r="J341" s="3"/>
    </row>
    <row r="342">
      <c r="A342" s="13"/>
      <c r="D342" s="3"/>
      <c r="G342" s="3"/>
      <c r="J342" s="3"/>
    </row>
    <row r="343">
      <c r="A343" s="13"/>
      <c r="D343" s="3"/>
      <c r="G343" s="3"/>
      <c r="J343" s="3"/>
    </row>
    <row r="344">
      <c r="A344" s="13"/>
      <c r="D344" s="3"/>
      <c r="G344" s="3"/>
      <c r="J344" s="3"/>
    </row>
    <row r="345">
      <c r="A345" s="13"/>
      <c r="D345" s="3"/>
      <c r="G345" s="3"/>
      <c r="J345" s="3"/>
    </row>
    <row r="346">
      <c r="A346" s="13"/>
      <c r="D346" s="3"/>
      <c r="G346" s="3"/>
      <c r="J346" s="3"/>
    </row>
    <row r="347">
      <c r="A347" s="13"/>
      <c r="D347" s="3"/>
      <c r="G347" s="3"/>
      <c r="J347" s="3"/>
    </row>
    <row r="348">
      <c r="A348" s="13"/>
      <c r="D348" s="3"/>
      <c r="G348" s="3"/>
      <c r="J348" s="3"/>
    </row>
    <row r="349">
      <c r="A349" s="13"/>
      <c r="D349" s="3"/>
      <c r="G349" s="3"/>
      <c r="J349" s="3"/>
    </row>
    <row r="350">
      <c r="A350" s="13"/>
      <c r="D350" s="3"/>
      <c r="G350" s="3"/>
      <c r="J350" s="3"/>
    </row>
    <row r="351">
      <c r="A351" s="13"/>
      <c r="D351" s="3"/>
      <c r="G351" s="3"/>
      <c r="J351" s="3"/>
    </row>
    <row r="352">
      <c r="A352" s="13"/>
      <c r="D352" s="3"/>
      <c r="G352" s="3"/>
      <c r="J352" s="3"/>
    </row>
    <row r="353">
      <c r="A353" s="13"/>
      <c r="D353" s="3"/>
      <c r="G353" s="3"/>
      <c r="J353" s="3"/>
    </row>
    <row r="354">
      <c r="A354" s="13"/>
      <c r="D354" s="3"/>
      <c r="G354" s="3"/>
      <c r="J354" s="3"/>
    </row>
    <row r="355">
      <c r="A355" s="13"/>
      <c r="D355" s="3"/>
      <c r="G355" s="3"/>
      <c r="J355" s="3"/>
    </row>
    <row r="356">
      <c r="A356" s="13"/>
      <c r="D356" s="3"/>
      <c r="G356" s="3"/>
      <c r="J356" s="3"/>
    </row>
    <row r="357">
      <c r="A357" s="13"/>
      <c r="D357" s="3"/>
      <c r="G357" s="3"/>
      <c r="J357" s="3"/>
    </row>
    <row r="358">
      <c r="A358" s="13"/>
      <c r="D358" s="3"/>
      <c r="G358" s="3"/>
      <c r="J358" s="3"/>
    </row>
    <row r="359">
      <c r="A359" s="13"/>
      <c r="D359" s="3"/>
      <c r="G359" s="3"/>
      <c r="J359" s="3"/>
    </row>
    <row r="360">
      <c r="A360" s="13"/>
      <c r="D360" s="3"/>
      <c r="G360" s="3"/>
      <c r="J360" s="3"/>
    </row>
    <row r="361">
      <c r="A361" s="13"/>
      <c r="D361" s="3"/>
      <c r="G361" s="3"/>
      <c r="J361" s="3"/>
    </row>
    <row r="362">
      <c r="A362" s="13"/>
      <c r="D362" s="3"/>
      <c r="G362" s="3"/>
      <c r="J362" s="3"/>
    </row>
    <row r="363">
      <c r="A363" s="13"/>
      <c r="D363" s="3"/>
      <c r="G363" s="3"/>
      <c r="J363" s="3"/>
    </row>
    <row r="364">
      <c r="A364" s="13"/>
      <c r="D364" s="3"/>
      <c r="G364" s="3"/>
      <c r="J364" s="3"/>
    </row>
    <row r="365">
      <c r="A365" s="13"/>
      <c r="D365" s="3"/>
      <c r="G365" s="3"/>
      <c r="J365" s="3"/>
    </row>
    <row r="366">
      <c r="A366" s="13"/>
      <c r="D366" s="3"/>
      <c r="G366" s="3"/>
      <c r="J366" s="3"/>
    </row>
    <row r="367">
      <c r="A367" s="13"/>
      <c r="D367" s="3"/>
      <c r="G367" s="3"/>
      <c r="J367" s="3"/>
    </row>
    <row r="368">
      <c r="A368" s="13"/>
      <c r="D368" s="3"/>
      <c r="G368" s="3"/>
      <c r="J368" s="3"/>
    </row>
    <row r="369">
      <c r="A369" s="13"/>
      <c r="D369" s="3"/>
      <c r="G369" s="3"/>
      <c r="J369" s="3"/>
    </row>
    <row r="370">
      <c r="A370" s="13"/>
      <c r="D370" s="3"/>
      <c r="G370" s="3"/>
      <c r="J370" s="3"/>
    </row>
    <row r="371">
      <c r="A371" s="13"/>
      <c r="D371" s="3"/>
      <c r="G371" s="3"/>
      <c r="J371" s="3"/>
    </row>
    <row r="372">
      <c r="A372" s="13"/>
      <c r="D372" s="3"/>
      <c r="G372" s="3"/>
      <c r="J372" s="3"/>
    </row>
    <row r="373">
      <c r="A373" s="13"/>
      <c r="D373" s="3"/>
      <c r="G373" s="3"/>
      <c r="J373" s="3"/>
    </row>
    <row r="374">
      <c r="A374" s="13"/>
      <c r="D374" s="3"/>
      <c r="G374" s="3"/>
      <c r="J374" s="3"/>
    </row>
    <row r="375">
      <c r="A375" s="13"/>
      <c r="D375" s="3"/>
      <c r="G375" s="3"/>
      <c r="J375" s="3"/>
    </row>
    <row r="376">
      <c r="A376" s="13"/>
      <c r="D376" s="3"/>
      <c r="G376" s="3"/>
      <c r="J376" s="3"/>
    </row>
    <row r="377">
      <c r="A377" s="13"/>
      <c r="D377" s="3"/>
      <c r="G377" s="3"/>
      <c r="J377" s="3"/>
    </row>
    <row r="378">
      <c r="A378" s="13"/>
      <c r="D378" s="3"/>
      <c r="G378" s="3"/>
      <c r="J378" s="3"/>
    </row>
    <row r="379">
      <c r="A379" s="13"/>
      <c r="D379" s="3"/>
      <c r="G379" s="3"/>
      <c r="J379" s="3"/>
    </row>
    <row r="380">
      <c r="A380" s="13"/>
      <c r="D380" s="3"/>
      <c r="G380" s="3"/>
      <c r="J380" s="3"/>
    </row>
    <row r="381">
      <c r="A381" s="13"/>
      <c r="D381" s="3"/>
      <c r="G381" s="3"/>
      <c r="J381" s="3"/>
    </row>
    <row r="382">
      <c r="A382" s="13"/>
      <c r="D382" s="3"/>
      <c r="G382" s="3"/>
      <c r="J382" s="3"/>
    </row>
    <row r="383">
      <c r="A383" s="13"/>
      <c r="D383" s="3"/>
      <c r="G383" s="3"/>
      <c r="J383" s="3"/>
    </row>
    <row r="384">
      <c r="A384" s="13"/>
      <c r="D384" s="3"/>
      <c r="G384" s="3"/>
      <c r="J384" s="3"/>
    </row>
    <row r="385">
      <c r="A385" s="13"/>
      <c r="D385" s="3"/>
      <c r="G385" s="3"/>
      <c r="J385" s="3"/>
    </row>
    <row r="386">
      <c r="A386" s="13"/>
      <c r="D386" s="3"/>
      <c r="G386" s="3"/>
      <c r="J386" s="3"/>
    </row>
    <row r="387">
      <c r="A387" s="13"/>
      <c r="D387" s="3"/>
      <c r="G387" s="3"/>
      <c r="J387" s="3"/>
    </row>
    <row r="388">
      <c r="A388" s="13"/>
      <c r="D388" s="3"/>
      <c r="G388" s="3"/>
      <c r="J388" s="3"/>
    </row>
    <row r="389">
      <c r="A389" s="13"/>
      <c r="D389" s="3"/>
      <c r="G389" s="3"/>
      <c r="J389" s="3"/>
    </row>
    <row r="390">
      <c r="A390" s="13"/>
      <c r="D390" s="3"/>
      <c r="G390" s="3"/>
      <c r="J390" s="3"/>
    </row>
    <row r="391">
      <c r="A391" s="13"/>
      <c r="D391" s="3"/>
      <c r="G391" s="3"/>
      <c r="J391" s="3"/>
    </row>
    <row r="392">
      <c r="A392" s="13"/>
      <c r="D392" s="3"/>
      <c r="G392" s="3"/>
      <c r="J392" s="3"/>
    </row>
    <row r="393">
      <c r="A393" s="13"/>
      <c r="D393" s="3"/>
      <c r="G393" s="3"/>
      <c r="J393" s="3"/>
    </row>
    <row r="394">
      <c r="A394" s="13"/>
      <c r="D394" s="3"/>
      <c r="G394" s="3"/>
      <c r="J394" s="3"/>
    </row>
    <row r="395">
      <c r="A395" s="13"/>
      <c r="D395" s="3"/>
      <c r="G395" s="3"/>
      <c r="J395" s="3"/>
    </row>
    <row r="396">
      <c r="A396" s="13"/>
      <c r="D396" s="3"/>
      <c r="G396" s="3"/>
      <c r="J396" s="3"/>
    </row>
    <row r="397">
      <c r="A397" s="13"/>
      <c r="D397" s="3"/>
      <c r="G397" s="3"/>
      <c r="J397" s="3"/>
    </row>
    <row r="398">
      <c r="A398" s="13"/>
      <c r="D398" s="3"/>
      <c r="G398" s="3"/>
      <c r="J398" s="3"/>
    </row>
    <row r="399">
      <c r="A399" s="13"/>
      <c r="D399" s="3"/>
      <c r="G399" s="3"/>
      <c r="J399" s="3"/>
    </row>
    <row r="400">
      <c r="A400" s="13"/>
      <c r="D400" s="3"/>
      <c r="G400" s="3"/>
      <c r="J400" s="3"/>
    </row>
    <row r="401">
      <c r="A401" s="13"/>
      <c r="D401" s="3"/>
      <c r="G401" s="3"/>
      <c r="J401" s="3"/>
    </row>
    <row r="402">
      <c r="A402" s="13"/>
      <c r="D402" s="3"/>
      <c r="G402" s="3"/>
      <c r="J402" s="3"/>
    </row>
    <row r="403">
      <c r="A403" s="13"/>
      <c r="D403" s="3"/>
      <c r="G403" s="3"/>
      <c r="J403" s="3"/>
    </row>
    <row r="404">
      <c r="A404" s="13"/>
      <c r="D404" s="3"/>
      <c r="G404" s="3"/>
      <c r="J404" s="3"/>
    </row>
    <row r="405">
      <c r="A405" s="13"/>
      <c r="D405" s="3"/>
      <c r="G405" s="3"/>
      <c r="J405" s="3"/>
    </row>
    <row r="406">
      <c r="A406" s="13"/>
      <c r="D406" s="3"/>
      <c r="G406" s="3"/>
      <c r="J406" s="3"/>
    </row>
    <row r="407">
      <c r="A407" s="13"/>
      <c r="D407" s="3"/>
      <c r="G407" s="3"/>
      <c r="J407" s="3"/>
    </row>
    <row r="408">
      <c r="A408" s="13"/>
      <c r="D408" s="3"/>
      <c r="G408" s="3"/>
      <c r="J408" s="3"/>
    </row>
    <row r="409">
      <c r="A409" s="13"/>
      <c r="D409" s="3"/>
      <c r="G409" s="3"/>
      <c r="J409" s="3"/>
    </row>
    <row r="410">
      <c r="A410" s="13"/>
      <c r="D410" s="3"/>
      <c r="G410" s="3"/>
      <c r="J410" s="3"/>
    </row>
    <row r="411">
      <c r="A411" s="13"/>
      <c r="D411" s="3"/>
      <c r="G411" s="3"/>
      <c r="J411" s="3"/>
    </row>
    <row r="412">
      <c r="A412" s="13"/>
      <c r="D412" s="3"/>
      <c r="G412" s="3"/>
      <c r="J412" s="3"/>
    </row>
    <row r="413">
      <c r="A413" s="13"/>
      <c r="D413" s="3"/>
      <c r="G413" s="3"/>
      <c r="J413" s="3"/>
    </row>
    <row r="414">
      <c r="A414" s="13"/>
      <c r="D414" s="3"/>
      <c r="G414" s="3"/>
      <c r="J414" s="3"/>
    </row>
    <row r="415">
      <c r="A415" s="13"/>
      <c r="D415" s="3"/>
      <c r="G415" s="3"/>
      <c r="J415" s="3"/>
    </row>
    <row r="416">
      <c r="A416" s="13"/>
      <c r="D416" s="3"/>
      <c r="G416" s="3"/>
      <c r="J416" s="3"/>
    </row>
    <row r="417">
      <c r="A417" s="13"/>
      <c r="D417" s="3"/>
      <c r="G417" s="3"/>
      <c r="J417" s="3"/>
    </row>
    <row r="418">
      <c r="A418" s="13"/>
      <c r="D418" s="3"/>
      <c r="G418" s="3"/>
      <c r="J418" s="3"/>
    </row>
    <row r="419">
      <c r="A419" s="13"/>
      <c r="D419" s="3"/>
      <c r="G419" s="3"/>
      <c r="J419" s="3"/>
    </row>
    <row r="420">
      <c r="A420" s="13"/>
      <c r="D420" s="3"/>
      <c r="G420" s="3"/>
      <c r="J420" s="3"/>
    </row>
    <row r="421">
      <c r="A421" s="13"/>
      <c r="D421" s="3"/>
      <c r="G421" s="3"/>
      <c r="J421" s="3"/>
    </row>
    <row r="422">
      <c r="A422" s="13"/>
      <c r="D422" s="3"/>
      <c r="G422" s="3"/>
      <c r="J422" s="3"/>
    </row>
    <row r="423">
      <c r="A423" s="13"/>
      <c r="D423" s="3"/>
      <c r="G423" s="3"/>
      <c r="J423" s="3"/>
    </row>
    <row r="424">
      <c r="A424" s="13"/>
      <c r="D424" s="3"/>
      <c r="G424" s="3"/>
      <c r="J424" s="3"/>
    </row>
    <row r="425">
      <c r="A425" s="13"/>
      <c r="D425" s="3"/>
      <c r="G425" s="3"/>
      <c r="J425" s="3"/>
    </row>
    <row r="426">
      <c r="A426" s="13"/>
      <c r="D426" s="3"/>
      <c r="G426" s="3"/>
      <c r="J426" s="3"/>
    </row>
    <row r="427">
      <c r="A427" s="13"/>
      <c r="D427" s="3"/>
      <c r="G427" s="3"/>
      <c r="J427" s="3"/>
    </row>
    <row r="428">
      <c r="A428" s="13"/>
      <c r="D428" s="3"/>
      <c r="G428" s="3"/>
      <c r="J428" s="3"/>
    </row>
    <row r="429">
      <c r="A429" s="13"/>
      <c r="D429" s="3"/>
      <c r="G429" s="3"/>
      <c r="J429" s="3"/>
    </row>
    <row r="430">
      <c r="A430" s="13"/>
      <c r="D430" s="3"/>
      <c r="G430" s="3"/>
      <c r="J430" s="3"/>
    </row>
    <row r="431">
      <c r="A431" s="13"/>
      <c r="D431" s="3"/>
      <c r="G431" s="3"/>
      <c r="J431" s="3"/>
    </row>
    <row r="432">
      <c r="A432" s="13"/>
      <c r="D432" s="3"/>
      <c r="G432" s="3"/>
      <c r="J432" s="3"/>
    </row>
    <row r="433">
      <c r="A433" s="13"/>
      <c r="D433" s="3"/>
      <c r="G433" s="3"/>
      <c r="J433" s="3"/>
    </row>
    <row r="434">
      <c r="A434" s="13"/>
      <c r="D434" s="3"/>
      <c r="G434" s="3"/>
      <c r="J434" s="3"/>
    </row>
    <row r="435">
      <c r="A435" s="13"/>
      <c r="D435" s="3"/>
      <c r="G435" s="3"/>
      <c r="J435" s="3"/>
    </row>
    <row r="436">
      <c r="A436" s="13"/>
      <c r="D436" s="3"/>
      <c r="G436" s="3"/>
      <c r="J436" s="3"/>
    </row>
    <row r="437">
      <c r="A437" s="13"/>
      <c r="D437" s="3"/>
      <c r="G437" s="3"/>
      <c r="J437" s="3"/>
    </row>
    <row r="438">
      <c r="A438" s="13"/>
      <c r="D438" s="3"/>
      <c r="G438" s="3"/>
      <c r="J438" s="3"/>
    </row>
    <row r="439">
      <c r="A439" s="13"/>
      <c r="D439" s="3"/>
      <c r="G439" s="3"/>
      <c r="J439" s="3"/>
    </row>
    <row r="440">
      <c r="A440" s="13"/>
      <c r="D440" s="3"/>
      <c r="G440" s="3"/>
      <c r="J440" s="3"/>
    </row>
    <row r="441">
      <c r="A441" s="13"/>
      <c r="D441" s="3"/>
      <c r="G441" s="3"/>
      <c r="J441" s="3"/>
    </row>
    <row r="442">
      <c r="A442" s="13"/>
      <c r="D442" s="3"/>
      <c r="G442" s="3"/>
      <c r="J442" s="3"/>
    </row>
    <row r="443">
      <c r="A443" s="13"/>
      <c r="D443" s="3"/>
      <c r="G443" s="3"/>
      <c r="J443" s="3"/>
    </row>
    <row r="444">
      <c r="A444" s="13"/>
      <c r="D444" s="3"/>
      <c r="G444" s="3"/>
      <c r="J444" s="3"/>
    </row>
    <row r="445">
      <c r="A445" s="13"/>
      <c r="D445" s="3"/>
      <c r="G445" s="3"/>
      <c r="J445" s="3"/>
    </row>
    <row r="446">
      <c r="A446" s="13"/>
      <c r="D446" s="3"/>
      <c r="G446" s="3"/>
      <c r="J446" s="3"/>
    </row>
    <row r="447">
      <c r="A447" s="13"/>
      <c r="D447" s="3"/>
      <c r="G447" s="3"/>
      <c r="J447" s="3"/>
    </row>
    <row r="448">
      <c r="A448" s="13"/>
      <c r="D448" s="3"/>
      <c r="G448" s="3"/>
      <c r="J448" s="3"/>
    </row>
    <row r="449">
      <c r="A449" s="13"/>
      <c r="D449" s="3"/>
      <c r="G449" s="3"/>
      <c r="J449" s="3"/>
    </row>
    <row r="450">
      <c r="A450" s="13"/>
      <c r="D450" s="3"/>
      <c r="G450" s="3"/>
      <c r="J450" s="3"/>
    </row>
    <row r="451">
      <c r="A451" s="13"/>
      <c r="D451" s="3"/>
      <c r="G451" s="3"/>
      <c r="J451" s="3"/>
    </row>
    <row r="452">
      <c r="A452" s="13"/>
      <c r="D452" s="3"/>
      <c r="G452" s="3"/>
      <c r="J452" s="3"/>
    </row>
    <row r="453">
      <c r="A453" s="13"/>
      <c r="D453" s="3"/>
      <c r="G453" s="3"/>
      <c r="J453" s="3"/>
    </row>
    <row r="454">
      <c r="A454" s="13"/>
      <c r="D454" s="3"/>
      <c r="G454" s="3"/>
      <c r="J454" s="3"/>
    </row>
    <row r="455">
      <c r="A455" s="13"/>
      <c r="D455" s="3"/>
      <c r="G455" s="3"/>
      <c r="J455" s="3"/>
    </row>
    <row r="456">
      <c r="A456" s="13"/>
      <c r="D456" s="3"/>
      <c r="G456" s="3"/>
      <c r="J456" s="3"/>
    </row>
    <row r="457">
      <c r="A457" s="13"/>
      <c r="D457" s="3"/>
      <c r="G457" s="3"/>
      <c r="J457" s="3"/>
    </row>
    <row r="458">
      <c r="A458" s="13"/>
      <c r="D458" s="3"/>
      <c r="G458" s="3"/>
      <c r="J458" s="3"/>
    </row>
    <row r="459">
      <c r="A459" s="13"/>
      <c r="D459" s="3"/>
      <c r="G459" s="3"/>
      <c r="J459" s="3"/>
    </row>
    <row r="460">
      <c r="A460" s="13"/>
      <c r="D460" s="3"/>
      <c r="G460" s="3"/>
      <c r="J460" s="3"/>
    </row>
    <row r="461">
      <c r="A461" s="13"/>
      <c r="D461" s="3"/>
      <c r="G461" s="3"/>
      <c r="J461" s="3"/>
    </row>
    <row r="462">
      <c r="A462" s="13"/>
      <c r="D462" s="3"/>
      <c r="G462" s="3"/>
      <c r="J462" s="3"/>
    </row>
    <row r="463">
      <c r="A463" s="13"/>
      <c r="D463" s="3"/>
      <c r="G463" s="3"/>
      <c r="J463" s="3"/>
    </row>
    <row r="464">
      <c r="A464" s="13"/>
      <c r="D464" s="3"/>
      <c r="G464" s="3"/>
      <c r="J464" s="3"/>
    </row>
    <row r="465">
      <c r="A465" s="13"/>
      <c r="D465" s="3"/>
      <c r="G465" s="3"/>
      <c r="J465" s="3"/>
    </row>
    <row r="466">
      <c r="A466" s="13"/>
      <c r="D466" s="3"/>
      <c r="G466" s="3"/>
      <c r="J466" s="3"/>
    </row>
    <row r="467">
      <c r="A467" s="13"/>
      <c r="D467" s="3"/>
      <c r="G467" s="3"/>
      <c r="J467" s="3"/>
    </row>
    <row r="468">
      <c r="A468" s="13"/>
      <c r="D468" s="3"/>
      <c r="G468" s="3"/>
      <c r="J468" s="3"/>
    </row>
    <row r="469">
      <c r="A469" s="13"/>
      <c r="D469" s="3"/>
      <c r="G469" s="3"/>
      <c r="J469" s="3"/>
    </row>
    <row r="470">
      <c r="A470" s="13"/>
      <c r="D470" s="3"/>
      <c r="G470" s="3"/>
      <c r="J470" s="3"/>
    </row>
    <row r="471">
      <c r="A471" s="13"/>
      <c r="D471" s="3"/>
      <c r="G471" s="3"/>
      <c r="J471" s="3"/>
    </row>
    <row r="472">
      <c r="A472" s="13"/>
      <c r="D472" s="3"/>
      <c r="G472" s="3"/>
      <c r="J472" s="3"/>
    </row>
    <row r="473">
      <c r="A473" s="13"/>
      <c r="D473" s="3"/>
      <c r="G473" s="3"/>
      <c r="J473" s="3"/>
    </row>
    <row r="474">
      <c r="A474" s="13"/>
      <c r="D474" s="3"/>
      <c r="G474" s="3"/>
      <c r="J474" s="3"/>
    </row>
    <row r="475">
      <c r="A475" s="13"/>
      <c r="D475" s="3"/>
      <c r="G475" s="3"/>
      <c r="J475" s="3"/>
    </row>
    <row r="476">
      <c r="A476" s="13"/>
      <c r="D476" s="3"/>
      <c r="G476" s="3"/>
      <c r="J476" s="3"/>
    </row>
    <row r="477">
      <c r="A477" s="13"/>
      <c r="D477" s="3"/>
      <c r="G477" s="3"/>
      <c r="J477" s="3"/>
    </row>
    <row r="478">
      <c r="A478" s="13"/>
      <c r="D478" s="3"/>
      <c r="G478" s="3"/>
      <c r="J478" s="3"/>
    </row>
    <row r="479">
      <c r="A479" s="13"/>
      <c r="D479" s="3"/>
      <c r="G479" s="3"/>
      <c r="J479" s="3"/>
    </row>
    <row r="480">
      <c r="A480" s="13"/>
      <c r="D480" s="3"/>
      <c r="G480" s="3"/>
      <c r="J480" s="3"/>
    </row>
    <row r="481">
      <c r="A481" s="13"/>
      <c r="D481" s="3"/>
      <c r="G481" s="3"/>
      <c r="J481" s="3"/>
    </row>
    <row r="482">
      <c r="A482" s="13"/>
      <c r="D482" s="3"/>
      <c r="G482" s="3"/>
      <c r="J482" s="3"/>
    </row>
    <row r="483">
      <c r="A483" s="13"/>
      <c r="D483" s="3"/>
      <c r="G483" s="3"/>
      <c r="J483" s="3"/>
    </row>
    <row r="484">
      <c r="A484" s="13"/>
      <c r="D484" s="3"/>
      <c r="G484" s="3"/>
      <c r="J484" s="3"/>
    </row>
    <row r="485">
      <c r="A485" s="13"/>
      <c r="D485" s="3"/>
      <c r="G485" s="3"/>
      <c r="J485" s="3"/>
    </row>
    <row r="486">
      <c r="A486" s="13"/>
      <c r="D486" s="3"/>
      <c r="G486" s="3"/>
      <c r="J486" s="3"/>
    </row>
    <row r="487">
      <c r="A487" s="13"/>
      <c r="D487" s="3"/>
      <c r="G487" s="3"/>
      <c r="J487" s="3"/>
    </row>
    <row r="488">
      <c r="A488" s="13"/>
      <c r="D488" s="3"/>
      <c r="G488" s="3"/>
      <c r="J488" s="3"/>
    </row>
    <row r="489">
      <c r="A489" s="13"/>
      <c r="D489" s="3"/>
      <c r="G489" s="3"/>
      <c r="J489" s="3"/>
    </row>
    <row r="490">
      <c r="A490" s="13"/>
      <c r="D490" s="3"/>
      <c r="G490" s="3"/>
      <c r="J490" s="3"/>
    </row>
    <row r="491">
      <c r="A491" s="13"/>
      <c r="D491" s="3"/>
      <c r="G491" s="3"/>
      <c r="J491" s="3"/>
    </row>
    <row r="492">
      <c r="A492" s="13"/>
      <c r="D492" s="3"/>
      <c r="G492" s="3"/>
      <c r="J492" s="3"/>
    </row>
    <row r="493">
      <c r="A493" s="13"/>
      <c r="D493" s="3"/>
      <c r="G493" s="3"/>
      <c r="J493" s="3"/>
    </row>
    <row r="494">
      <c r="A494" s="13"/>
      <c r="D494" s="3"/>
      <c r="G494" s="3"/>
      <c r="J494" s="3"/>
    </row>
    <row r="495">
      <c r="A495" s="13"/>
      <c r="D495" s="3"/>
      <c r="G495" s="3"/>
      <c r="J495" s="3"/>
    </row>
    <row r="496">
      <c r="A496" s="13"/>
      <c r="D496" s="3"/>
      <c r="G496" s="3"/>
      <c r="J496" s="3"/>
    </row>
    <row r="497">
      <c r="A497" s="13"/>
      <c r="D497" s="3"/>
      <c r="G497" s="3"/>
      <c r="J497" s="3"/>
    </row>
    <row r="498">
      <c r="A498" s="13"/>
      <c r="D498" s="3"/>
      <c r="G498" s="3"/>
      <c r="J498" s="3"/>
    </row>
    <row r="499">
      <c r="A499" s="13"/>
      <c r="D499" s="3"/>
      <c r="G499" s="3"/>
      <c r="J499" s="3"/>
    </row>
    <row r="500">
      <c r="A500" s="13"/>
      <c r="D500" s="3"/>
      <c r="G500" s="3"/>
      <c r="J500" s="3"/>
    </row>
    <row r="501">
      <c r="A501" s="13"/>
      <c r="D501" s="3"/>
      <c r="G501" s="3"/>
      <c r="J501" s="3"/>
    </row>
    <row r="502">
      <c r="A502" s="13"/>
      <c r="D502" s="3"/>
      <c r="G502" s="3"/>
      <c r="J502" s="3"/>
    </row>
    <row r="503">
      <c r="A503" s="13"/>
      <c r="D503" s="3"/>
      <c r="G503" s="3"/>
      <c r="J503" s="3"/>
    </row>
    <row r="504">
      <c r="A504" s="13"/>
      <c r="D504" s="3"/>
      <c r="G504" s="3"/>
      <c r="J504" s="3"/>
    </row>
    <row r="505">
      <c r="A505" s="13"/>
      <c r="D505" s="3"/>
      <c r="G505" s="3"/>
      <c r="J505" s="3"/>
    </row>
    <row r="506">
      <c r="A506" s="13"/>
      <c r="D506" s="3"/>
      <c r="G506" s="3"/>
      <c r="J506" s="3"/>
    </row>
    <row r="507">
      <c r="A507" s="13"/>
      <c r="D507" s="3"/>
      <c r="G507" s="3"/>
      <c r="J507" s="3"/>
    </row>
    <row r="508">
      <c r="A508" s="13"/>
      <c r="D508" s="3"/>
      <c r="G508" s="3"/>
      <c r="J508" s="3"/>
    </row>
    <row r="509">
      <c r="A509" s="13"/>
      <c r="D509" s="3"/>
      <c r="G509" s="3"/>
      <c r="J509" s="3"/>
    </row>
    <row r="510">
      <c r="A510" s="13"/>
      <c r="D510" s="3"/>
      <c r="G510" s="3"/>
      <c r="J510" s="3"/>
    </row>
    <row r="511">
      <c r="A511" s="13"/>
      <c r="D511" s="3"/>
      <c r="G511" s="3"/>
      <c r="J511" s="3"/>
    </row>
    <row r="512">
      <c r="A512" s="13"/>
      <c r="D512" s="3"/>
      <c r="G512" s="3"/>
      <c r="J512" s="3"/>
    </row>
    <row r="513">
      <c r="A513" s="13"/>
      <c r="D513" s="3"/>
      <c r="G513" s="3"/>
      <c r="J513" s="3"/>
    </row>
    <row r="514">
      <c r="A514" s="13"/>
      <c r="D514" s="3"/>
      <c r="G514" s="3"/>
      <c r="J514" s="3"/>
    </row>
    <row r="515">
      <c r="A515" s="13"/>
      <c r="D515" s="3"/>
      <c r="G515" s="3"/>
      <c r="J515" s="3"/>
    </row>
    <row r="516">
      <c r="A516" s="13"/>
      <c r="D516" s="3"/>
      <c r="G516" s="3"/>
      <c r="J516" s="3"/>
    </row>
    <row r="517">
      <c r="A517" s="13"/>
      <c r="D517" s="3"/>
      <c r="G517" s="3"/>
      <c r="J517" s="3"/>
    </row>
    <row r="518">
      <c r="A518" s="13"/>
      <c r="D518" s="3"/>
      <c r="G518" s="3"/>
      <c r="J518" s="3"/>
    </row>
    <row r="519">
      <c r="A519" s="13"/>
      <c r="D519" s="3"/>
      <c r="G519" s="3"/>
      <c r="J519" s="3"/>
    </row>
    <row r="520">
      <c r="A520" s="13"/>
      <c r="D520" s="3"/>
      <c r="G520" s="3"/>
      <c r="J520" s="3"/>
    </row>
    <row r="521">
      <c r="A521" s="13"/>
      <c r="D521" s="3"/>
      <c r="G521" s="3"/>
      <c r="J521" s="3"/>
    </row>
    <row r="522">
      <c r="A522" s="13"/>
      <c r="D522" s="3"/>
      <c r="G522" s="3"/>
      <c r="J522" s="3"/>
    </row>
    <row r="523">
      <c r="A523" s="13"/>
      <c r="D523" s="3"/>
      <c r="G523" s="3"/>
      <c r="J523" s="3"/>
    </row>
    <row r="524">
      <c r="A524" s="13"/>
      <c r="D524" s="3"/>
      <c r="G524" s="3"/>
      <c r="J524" s="3"/>
    </row>
    <row r="525">
      <c r="A525" s="13"/>
      <c r="D525" s="3"/>
      <c r="G525" s="3"/>
      <c r="J525" s="3"/>
    </row>
    <row r="526">
      <c r="A526" s="13"/>
      <c r="D526" s="3"/>
      <c r="G526" s="3"/>
      <c r="J526" s="3"/>
    </row>
    <row r="527">
      <c r="A527" s="13"/>
      <c r="D527" s="3"/>
      <c r="G527" s="3"/>
      <c r="J527" s="3"/>
    </row>
    <row r="528">
      <c r="A528" s="13"/>
      <c r="D528" s="3"/>
      <c r="G528" s="3"/>
      <c r="J528" s="3"/>
    </row>
    <row r="529">
      <c r="A529" s="13"/>
      <c r="D529" s="3"/>
      <c r="G529" s="3"/>
      <c r="J529" s="3"/>
    </row>
    <row r="530">
      <c r="A530" s="13"/>
      <c r="D530" s="3"/>
      <c r="G530" s="3"/>
      <c r="J530" s="3"/>
    </row>
    <row r="531">
      <c r="A531" s="13"/>
      <c r="D531" s="3"/>
      <c r="G531" s="3"/>
      <c r="J531" s="3"/>
    </row>
    <row r="532">
      <c r="A532" s="13"/>
      <c r="D532" s="3"/>
      <c r="G532" s="3"/>
      <c r="J532" s="3"/>
    </row>
    <row r="533">
      <c r="A533" s="13"/>
      <c r="D533" s="3"/>
      <c r="G533" s="3"/>
      <c r="J533" s="3"/>
    </row>
    <row r="534">
      <c r="A534" s="13"/>
      <c r="D534" s="3"/>
      <c r="G534" s="3"/>
      <c r="J534" s="3"/>
    </row>
    <row r="535">
      <c r="A535" s="13"/>
      <c r="D535" s="3"/>
      <c r="G535" s="3"/>
      <c r="J535" s="3"/>
    </row>
    <row r="536">
      <c r="A536" s="13"/>
      <c r="D536" s="3"/>
      <c r="G536" s="3"/>
      <c r="J536" s="3"/>
    </row>
    <row r="537">
      <c r="A537" s="13"/>
      <c r="D537" s="3"/>
      <c r="G537" s="3"/>
      <c r="J537" s="3"/>
    </row>
    <row r="538">
      <c r="A538" s="13"/>
      <c r="D538" s="3"/>
      <c r="G538" s="3"/>
      <c r="J538" s="3"/>
    </row>
    <row r="539">
      <c r="A539" s="13"/>
      <c r="D539" s="3"/>
      <c r="G539" s="3"/>
      <c r="J539" s="3"/>
    </row>
    <row r="540">
      <c r="A540" s="13"/>
      <c r="D540" s="3"/>
      <c r="G540" s="3"/>
      <c r="J540" s="3"/>
    </row>
    <row r="541">
      <c r="A541" s="13"/>
      <c r="D541" s="3"/>
      <c r="G541" s="3"/>
      <c r="J541" s="3"/>
    </row>
    <row r="542">
      <c r="A542" s="13"/>
      <c r="D542" s="3"/>
      <c r="G542" s="3"/>
      <c r="J542" s="3"/>
    </row>
    <row r="543">
      <c r="A543" s="13"/>
      <c r="D543" s="3"/>
      <c r="G543" s="3"/>
      <c r="J543" s="3"/>
    </row>
    <row r="544">
      <c r="A544" s="13"/>
      <c r="D544" s="3"/>
      <c r="G544" s="3"/>
      <c r="J544" s="3"/>
    </row>
    <row r="545">
      <c r="A545" s="13"/>
      <c r="D545" s="3"/>
      <c r="G545" s="3"/>
      <c r="J545" s="3"/>
    </row>
    <row r="546">
      <c r="A546" s="13"/>
      <c r="D546" s="3"/>
      <c r="G546" s="3"/>
      <c r="J546" s="3"/>
    </row>
    <row r="547">
      <c r="A547" s="13"/>
      <c r="D547" s="3"/>
      <c r="G547" s="3"/>
      <c r="J547" s="3"/>
    </row>
    <row r="548">
      <c r="A548" s="13"/>
      <c r="D548" s="3"/>
      <c r="G548" s="3"/>
      <c r="J548" s="3"/>
    </row>
    <row r="549">
      <c r="A549" s="13"/>
      <c r="D549" s="3"/>
      <c r="G549" s="3"/>
      <c r="J549" s="3"/>
    </row>
    <row r="550">
      <c r="A550" s="13"/>
      <c r="D550" s="3"/>
      <c r="G550" s="3"/>
      <c r="J550" s="3"/>
    </row>
    <row r="551">
      <c r="A551" s="13"/>
      <c r="D551" s="3"/>
      <c r="G551" s="3"/>
      <c r="J551" s="3"/>
    </row>
    <row r="552">
      <c r="A552" s="13"/>
      <c r="D552" s="3"/>
      <c r="G552" s="3"/>
      <c r="J552" s="3"/>
    </row>
    <row r="553">
      <c r="A553" s="13"/>
      <c r="D553" s="3"/>
      <c r="G553" s="3"/>
      <c r="J553" s="3"/>
    </row>
    <row r="554">
      <c r="A554" s="13"/>
      <c r="D554" s="3"/>
      <c r="G554" s="3"/>
      <c r="J554" s="3"/>
    </row>
    <row r="555">
      <c r="A555" s="13"/>
      <c r="D555" s="3"/>
      <c r="G555" s="3"/>
      <c r="J555" s="3"/>
    </row>
    <row r="556">
      <c r="A556" s="13"/>
      <c r="D556" s="3"/>
      <c r="G556" s="3"/>
      <c r="J556" s="3"/>
    </row>
    <row r="557">
      <c r="A557" s="13"/>
      <c r="D557" s="3"/>
      <c r="G557" s="3"/>
      <c r="J557" s="3"/>
    </row>
    <row r="558">
      <c r="A558" s="13"/>
      <c r="D558" s="3"/>
      <c r="G558" s="3"/>
      <c r="J558" s="3"/>
    </row>
    <row r="559">
      <c r="A559" s="13"/>
      <c r="D559" s="3"/>
      <c r="G559" s="3"/>
      <c r="J559" s="3"/>
    </row>
    <row r="560">
      <c r="A560" s="13"/>
      <c r="D560" s="3"/>
      <c r="G560" s="3"/>
      <c r="J560" s="3"/>
    </row>
    <row r="561">
      <c r="A561" s="13"/>
      <c r="D561" s="3"/>
      <c r="G561" s="3"/>
      <c r="J561" s="3"/>
    </row>
    <row r="562">
      <c r="A562" s="13"/>
      <c r="D562" s="3"/>
      <c r="G562" s="3"/>
      <c r="J562" s="3"/>
    </row>
    <row r="563">
      <c r="A563" s="13"/>
      <c r="D563" s="3"/>
      <c r="G563" s="3"/>
      <c r="J563" s="3"/>
    </row>
    <row r="564">
      <c r="A564" s="13"/>
      <c r="D564" s="3"/>
      <c r="G564" s="3"/>
      <c r="J564" s="3"/>
    </row>
    <row r="565">
      <c r="A565" s="13"/>
      <c r="D565" s="3"/>
      <c r="G565" s="3"/>
      <c r="J565" s="3"/>
    </row>
    <row r="566">
      <c r="A566" s="13"/>
      <c r="D566" s="3"/>
      <c r="G566" s="3"/>
      <c r="J566" s="3"/>
    </row>
    <row r="567">
      <c r="A567" s="13"/>
      <c r="D567" s="3"/>
      <c r="G567" s="3"/>
      <c r="J567" s="3"/>
    </row>
    <row r="568">
      <c r="A568" s="13"/>
      <c r="D568" s="3"/>
      <c r="G568" s="3"/>
      <c r="J568" s="3"/>
    </row>
    <row r="569">
      <c r="A569" s="13"/>
      <c r="D569" s="3"/>
      <c r="G569" s="3"/>
      <c r="J569" s="3"/>
    </row>
    <row r="570">
      <c r="A570" s="13"/>
      <c r="D570" s="3"/>
      <c r="G570" s="3"/>
      <c r="J570" s="3"/>
    </row>
    <row r="571">
      <c r="A571" s="13"/>
      <c r="D571" s="3"/>
      <c r="G571" s="3"/>
      <c r="J571" s="3"/>
    </row>
    <row r="572">
      <c r="A572" s="13"/>
      <c r="D572" s="3"/>
      <c r="G572" s="3"/>
      <c r="J572" s="3"/>
    </row>
    <row r="573">
      <c r="A573" s="13"/>
      <c r="D573" s="3"/>
      <c r="G573" s="3"/>
      <c r="J573" s="3"/>
    </row>
    <row r="574">
      <c r="A574" s="13"/>
      <c r="D574" s="3"/>
      <c r="G574" s="3"/>
      <c r="J574" s="3"/>
    </row>
    <row r="575">
      <c r="A575" s="13"/>
      <c r="D575" s="3"/>
      <c r="G575" s="3"/>
      <c r="J575" s="3"/>
    </row>
    <row r="576">
      <c r="A576" s="13"/>
      <c r="D576" s="3"/>
      <c r="G576" s="3"/>
      <c r="J576" s="3"/>
    </row>
    <row r="577">
      <c r="A577" s="13"/>
      <c r="D577" s="3"/>
      <c r="G577" s="3"/>
      <c r="J577" s="3"/>
    </row>
    <row r="578">
      <c r="A578" s="13"/>
      <c r="D578" s="3"/>
      <c r="G578" s="3"/>
      <c r="J578" s="3"/>
    </row>
    <row r="579">
      <c r="A579" s="13"/>
      <c r="D579" s="3"/>
      <c r="G579" s="3"/>
      <c r="J579" s="3"/>
    </row>
    <row r="580">
      <c r="A580" s="13"/>
      <c r="D580" s="3"/>
      <c r="G580" s="3"/>
      <c r="J580" s="3"/>
    </row>
    <row r="581">
      <c r="A581" s="13"/>
      <c r="D581" s="3"/>
      <c r="G581" s="3"/>
      <c r="J581" s="3"/>
    </row>
    <row r="582">
      <c r="A582" s="13"/>
      <c r="D582" s="3"/>
      <c r="G582" s="3"/>
      <c r="J582" s="3"/>
    </row>
    <row r="583">
      <c r="A583" s="13"/>
      <c r="D583" s="3"/>
      <c r="G583" s="3"/>
      <c r="J583" s="3"/>
    </row>
    <row r="584">
      <c r="A584" s="13"/>
      <c r="D584" s="3"/>
      <c r="G584" s="3"/>
      <c r="J584" s="3"/>
    </row>
    <row r="585">
      <c r="A585" s="13"/>
      <c r="D585" s="3"/>
      <c r="G585" s="3"/>
      <c r="J585" s="3"/>
    </row>
    <row r="586">
      <c r="A586" s="13"/>
      <c r="D586" s="3"/>
      <c r="G586" s="3"/>
      <c r="J586" s="3"/>
    </row>
    <row r="587">
      <c r="A587" s="13"/>
      <c r="D587" s="3"/>
      <c r="G587" s="3"/>
      <c r="J587" s="3"/>
    </row>
    <row r="588">
      <c r="A588" s="13"/>
      <c r="D588" s="3"/>
      <c r="G588" s="3"/>
      <c r="J588" s="3"/>
    </row>
    <row r="589">
      <c r="A589" s="13"/>
      <c r="D589" s="3"/>
      <c r="G589" s="3"/>
      <c r="J589" s="3"/>
    </row>
    <row r="590">
      <c r="A590" s="13"/>
      <c r="D590" s="3"/>
      <c r="G590" s="3"/>
      <c r="J590" s="3"/>
    </row>
    <row r="591">
      <c r="A591" s="13"/>
      <c r="D591" s="3"/>
      <c r="G591" s="3"/>
      <c r="J591" s="3"/>
    </row>
    <row r="592">
      <c r="A592" s="13"/>
      <c r="D592" s="3"/>
      <c r="G592" s="3"/>
      <c r="J592" s="3"/>
    </row>
    <row r="593">
      <c r="A593" s="13"/>
      <c r="D593" s="3"/>
      <c r="G593" s="3"/>
      <c r="J593" s="3"/>
    </row>
    <row r="594">
      <c r="A594" s="13"/>
      <c r="D594" s="3"/>
      <c r="G594" s="3"/>
      <c r="J594" s="3"/>
    </row>
    <row r="595">
      <c r="A595" s="13"/>
      <c r="D595" s="3"/>
      <c r="G595" s="3"/>
      <c r="J595" s="3"/>
    </row>
    <row r="596">
      <c r="A596" s="13"/>
      <c r="D596" s="3"/>
      <c r="G596" s="3"/>
      <c r="J596" s="3"/>
    </row>
    <row r="597">
      <c r="A597" s="13"/>
      <c r="D597" s="3"/>
      <c r="G597" s="3"/>
      <c r="J597" s="3"/>
    </row>
    <row r="598">
      <c r="A598" s="13"/>
      <c r="D598" s="3"/>
      <c r="G598" s="3"/>
      <c r="J598" s="3"/>
    </row>
    <row r="599">
      <c r="A599" s="13"/>
      <c r="D599" s="3"/>
      <c r="G599" s="3"/>
      <c r="J599" s="3"/>
    </row>
    <row r="600">
      <c r="A600" s="13"/>
      <c r="D600" s="3"/>
      <c r="G600" s="3"/>
      <c r="J600" s="3"/>
    </row>
    <row r="601">
      <c r="A601" s="13"/>
      <c r="D601" s="3"/>
      <c r="G601" s="3"/>
      <c r="J601" s="3"/>
    </row>
    <row r="602">
      <c r="A602" s="13"/>
      <c r="D602" s="3"/>
      <c r="G602" s="3"/>
      <c r="J602" s="3"/>
    </row>
    <row r="603">
      <c r="A603" s="13"/>
      <c r="D603" s="3"/>
      <c r="G603" s="3"/>
      <c r="J603" s="3"/>
    </row>
    <row r="604">
      <c r="A604" s="13"/>
      <c r="D604" s="3"/>
      <c r="G604" s="3"/>
      <c r="J604" s="3"/>
    </row>
    <row r="605">
      <c r="A605" s="13"/>
      <c r="D605" s="3"/>
      <c r="G605" s="3"/>
      <c r="J605" s="3"/>
    </row>
    <row r="606">
      <c r="A606" s="13"/>
      <c r="D606" s="3"/>
      <c r="G606" s="3"/>
      <c r="J606" s="3"/>
    </row>
    <row r="607">
      <c r="A607" s="13"/>
      <c r="D607" s="3"/>
      <c r="G607" s="3"/>
      <c r="J607" s="3"/>
    </row>
    <row r="608">
      <c r="A608" s="13"/>
      <c r="D608" s="3"/>
      <c r="G608" s="3"/>
      <c r="J608" s="3"/>
    </row>
    <row r="609">
      <c r="A609" s="13"/>
      <c r="D609" s="3"/>
      <c r="G609" s="3"/>
      <c r="J609" s="3"/>
    </row>
    <row r="610">
      <c r="A610" s="13"/>
      <c r="D610" s="3"/>
      <c r="G610" s="3"/>
      <c r="J610" s="3"/>
    </row>
    <row r="611">
      <c r="A611" s="13"/>
      <c r="D611" s="3"/>
      <c r="G611" s="3"/>
      <c r="J611" s="3"/>
    </row>
    <row r="612">
      <c r="A612" s="13"/>
      <c r="D612" s="3"/>
      <c r="G612" s="3"/>
      <c r="J612" s="3"/>
    </row>
    <row r="613">
      <c r="A613" s="13"/>
      <c r="D613" s="3"/>
      <c r="G613" s="3"/>
      <c r="J613" s="3"/>
    </row>
    <row r="614">
      <c r="A614" s="13"/>
      <c r="D614" s="3"/>
      <c r="G614" s="3"/>
      <c r="J614" s="3"/>
    </row>
    <row r="615">
      <c r="A615" s="13"/>
      <c r="D615" s="3"/>
      <c r="G615" s="3"/>
      <c r="J615" s="3"/>
    </row>
    <row r="616">
      <c r="A616" s="13"/>
      <c r="D616" s="3"/>
      <c r="G616" s="3"/>
      <c r="J616" s="3"/>
    </row>
    <row r="617">
      <c r="A617" s="13"/>
      <c r="D617" s="3"/>
      <c r="G617" s="3"/>
      <c r="J617" s="3"/>
    </row>
    <row r="618">
      <c r="A618" s="13"/>
      <c r="D618" s="3"/>
      <c r="G618" s="3"/>
      <c r="J618" s="3"/>
    </row>
    <row r="619">
      <c r="A619" s="13"/>
      <c r="D619" s="3"/>
      <c r="G619" s="3"/>
      <c r="J619" s="3"/>
    </row>
    <row r="620">
      <c r="A620" s="13"/>
      <c r="D620" s="3"/>
      <c r="G620" s="3"/>
      <c r="J620" s="3"/>
    </row>
    <row r="621">
      <c r="A621" s="13"/>
      <c r="D621" s="3"/>
      <c r="G621" s="3"/>
      <c r="J621" s="3"/>
    </row>
    <row r="622">
      <c r="A622" s="13"/>
      <c r="D622" s="3"/>
      <c r="G622" s="3"/>
      <c r="J622" s="3"/>
    </row>
    <row r="623">
      <c r="A623" s="13"/>
      <c r="D623" s="3"/>
      <c r="G623" s="3"/>
      <c r="J623" s="3"/>
    </row>
    <row r="624">
      <c r="A624" s="13"/>
      <c r="D624" s="3"/>
      <c r="G624" s="3"/>
      <c r="J624" s="3"/>
    </row>
    <row r="625">
      <c r="A625" s="13"/>
      <c r="D625" s="3"/>
      <c r="G625" s="3"/>
      <c r="J625" s="3"/>
    </row>
    <row r="626">
      <c r="A626" s="13"/>
      <c r="D626" s="3"/>
      <c r="G626" s="3"/>
      <c r="J626" s="3"/>
    </row>
    <row r="627">
      <c r="A627" s="13"/>
      <c r="D627" s="3"/>
      <c r="G627" s="3"/>
      <c r="J627" s="3"/>
    </row>
    <row r="628">
      <c r="A628" s="13"/>
      <c r="D628" s="3"/>
      <c r="G628" s="3"/>
      <c r="J628" s="3"/>
    </row>
    <row r="629">
      <c r="A629" s="13"/>
      <c r="D629" s="3"/>
      <c r="G629" s="3"/>
      <c r="J629" s="3"/>
    </row>
    <row r="630">
      <c r="A630" s="13"/>
      <c r="D630" s="3"/>
      <c r="G630" s="3"/>
      <c r="J630" s="3"/>
    </row>
    <row r="631">
      <c r="A631" s="13"/>
      <c r="D631" s="3"/>
      <c r="G631" s="3"/>
      <c r="J631" s="3"/>
    </row>
    <row r="632">
      <c r="A632" s="13"/>
      <c r="D632" s="3"/>
      <c r="G632" s="3"/>
      <c r="J632" s="3"/>
    </row>
    <row r="633">
      <c r="A633" s="13"/>
      <c r="D633" s="3"/>
      <c r="G633" s="3"/>
      <c r="J633" s="3"/>
    </row>
    <row r="634">
      <c r="A634" s="13"/>
      <c r="D634" s="3"/>
      <c r="G634" s="3"/>
      <c r="J634" s="3"/>
    </row>
    <row r="635">
      <c r="A635" s="13"/>
      <c r="D635" s="3"/>
      <c r="G635" s="3"/>
      <c r="J635" s="3"/>
    </row>
    <row r="636">
      <c r="A636" s="13"/>
      <c r="D636" s="3"/>
      <c r="G636" s="3"/>
      <c r="J636" s="3"/>
    </row>
    <row r="637">
      <c r="A637" s="13"/>
      <c r="D637" s="3"/>
      <c r="G637" s="3"/>
      <c r="J637" s="3"/>
    </row>
    <row r="638">
      <c r="A638" s="13"/>
      <c r="D638" s="3"/>
      <c r="G638" s="3"/>
      <c r="J638" s="3"/>
    </row>
    <row r="639">
      <c r="A639" s="13"/>
      <c r="D639" s="3"/>
      <c r="G639" s="3"/>
      <c r="J639" s="3"/>
    </row>
    <row r="640">
      <c r="A640" s="13"/>
      <c r="D640" s="3"/>
      <c r="G640" s="3"/>
      <c r="J640" s="3"/>
    </row>
    <row r="641">
      <c r="A641" s="13"/>
      <c r="D641" s="3"/>
      <c r="G641" s="3"/>
      <c r="J641" s="3"/>
    </row>
    <row r="642">
      <c r="A642" s="13"/>
      <c r="D642" s="3"/>
      <c r="G642" s="3"/>
      <c r="J642" s="3"/>
    </row>
    <row r="643">
      <c r="A643" s="13"/>
      <c r="D643" s="3"/>
      <c r="G643" s="3"/>
      <c r="J643" s="3"/>
    </row>
    <row r="644">
      <c r="A644" s="13"/>
      <c r="D644" s="3"/>
      <c r="G644" s="3"/>
      <c r="J644" s="3"/>
    </row>
    <row r="645">
      <c r="A645" s="13"/>
      <c r="D645" s="3"/>
      <c r="G645" s="3"/>
      <c r="J645" s="3"/>
    </row>
    <row r="646">
      <c r="A646" s="13"/>
      <c r="D646" s="3"/>
      <c r="G646" s="3"/>
      <c r="J646" s="3"/>
    </row>
    <row r="647">
      <c r="A647" s="13"/>
      <c r="D647" s="3"/>
      <c r="G647" s="3"/>
      <c r="J647" s="3"/>
    </row>
    <row r="648">
      <c r="A648" s="13"/>
      <c r="D648" s="3"/>
      <c r="G648" s="3"/>
      <c r="J648" s="3"/>
    </row>
    <row r="649">
      <c r="A649" s="13"/>
      <c r="D649" s="3"/>
      <c r="G649" s="3"/>
      <c r="J649" s="3"/>
    </row>
    <row r="650">
      <c r="A650" s="13"/>
      <c r="D650" s="3"/>
      <c r="G650" s="3"/>
      <c r="J650" s="3"/>
    </row>
    <row r="651">
      <c r="A651" s="13"/>
      <c r="D651" s="3"/>
      <c r="G651" s="3"/>
      <c r="J651" s="3"/>
    </row>
    <row r="652">
      <c r="A652" s="13"/>
      <c r="D652" s="3"/>
      <c r="G652" s="3"/>
      <c r="J652" s="3"/>
    </row>
    <row r="653">
      <c r="A653" s="13"/>
      <c r="D653" s="3"/>
      <c r="G653" s="3"/>
      <c r="J653" s="3"/>
    </row>
    <row r="654">
      <c r="A654" s="13"/>
      <c r="D654" s="3"/>
      <c r="G654" s="3"/>
      <c r="J654" s="3"/>
    </row>
    <row r="655">
      <c r="A655" s="13"/>
      <c r="D655" s="3"/>
      <c r="G655" s="3"/>
      <c r="J655" s="3"/>
    </row>
    <row r="656">
      <c r="A656" s="13"/>
      <c r="D656" s="3"/>
      <c r="G656" s="3"/>
      <c r="J656" s="3"/>
    </row>
    <row r="657">
      <c r="A657" s="13"/>
      <c r="D657" s="3"/>
      <c r="G657" s="3"/>
      <c r="J657" s="3"/>
    </row>
    <row r="658">
      <c r="A658" s="13"/>
      <c r="D658" s="3"/>
      <c r="G658" s="3"/>
      <c r="J658" s="3"/>
    </row>
    <row r="659">
      <c r="A659" s="13"/>
      <c r="D659" s="3"/>
      <c r="G659" s="3"/>
      <c r="J659" s="3"/>
    </row>
    <row r="660">
      <c r="A660" s="13"/>
      <c r="D660" s="3"/>
      <c r="G660" s="3"/>
      <c r="J660" s="3"/>
    </row>
    <row r="661">
      <c r="A661" s="13"/>
      <c r="D661" s="3"/>
      <c r="G661" s="3"/>
      <c r="J661" s="3"/>
    </row>
    <row r="662">
      <c r="A662" s="13"/>
      <c r="D662" s="3"/>
      <c r="G662" s="3"/>
      <c r="J662" s="3"/>
    </row>
    <row r="663">
      <c r="A663" s="13"/>
      <c r="D663" s="3"/>
      <c r="G663" s="3"/>
      <c r="J663" s="3"/>
    </row>
    <row r="664">
      <c r="A664" s="13"/>
      <c r="D664" s="3"/>
      <c r="G664" s="3"/>
      <c r="J664" s="3"/>
    </row>
    <row r="665">
      <c r="A665" s="13"/>
      <c r="D665" s="3"/>
      <c r="G665" s="3"/>
      <c r="J665" s="3"/>
    </row>
    <row r="666">
      <c r="A666" s="13"/>
      <c r="D666" s="3"/>
      <c r="G666" s="3"/>
      <c r="J666" s="3"/>
    </row>
    <row r="667">
      <c r="A667" s="13"/>
      <c r="D667" s="3"/>
      <c r="G667" s="3"/>
      <c r="J667" s="3"/>
    </row>
    <row r="668">
      <c r="A668" s="13"/>
      <c r="D668" s="3"/>
      <c r="G668" s="3"/>
      <c r="J668" s="3"/>
    </row>
    <row r="669">
      <c r="A669" s="13"/>
      <c r="D669" s="3"/>
      <c r="G669" s="3"/>
      <c r="J669" s="3"/>
    </row>
    <row r="670">
      <c r="A670" s="13"/>
      <c r="D670" s="3"/>
      <c r="G670" s="3"/>
      <c r="J670" s="3"/>
    </row>
    <row r="671">
      <c r="A671" s="13"/>
      <c r="D671" s="3"/>
      <c r="G671" s="3"/>
      <c r="J671" s="3"/>
    </row>
    <row r="672">
      <c r="A672" s="13"/>
      <c r="D672" s="3"/>
      <c r="G672" s="3"/>
      <c r="J672" s="3"/>
    </row>
    <row r="673">
      <c r="A673" s="13"/>
      <c r="D673" s="3"/>
      <c r="G673" s="3"/>
      <c r="J673" s="3"/>
    </row>
    <row r="674">
      <c r="A674" s="13"/>
      <c r="D674" s="3"/>
      <c r="G674" s="3"/>
      <c r="J674" s="3"/>
    </row>
    <row r="675">
      <c r="A675" s="13"/>
      <c r="D675" s="3"/>
      <c r="G675" s="3"/>
      <c r="J675" s="3"/>
    </row>
    <row r="676">
      <c r="A676" s="13"/>
      <c r="D676" s="3"/>
      <c r="G676" s="3"/>
      <c r="J676" s="3"/>
    </row>
    <row r="677">
      <c r="A677" s="13"/>
      <c r="D677" s="3"/>
      <c r="G677" s="3"/>
      <c r="J677" s="3"/>
    </row>
    <row r="678">
      <c r="A678" s="13"/>
      <c r="D678" s="3"/>
      <c r="G678" s="3"/>
      <c r="J678" s="3"/>
    </row>
    <row r="679">
      <c r="A679" s="13"/>
      <c r="D679" s="3"/>
      <c r="G679" s="3"/>
      <c r="J679" s="3"/>
    </row>
    <row r="680">
      <c r="A680" s="13"/>
      <c r="D680" s="3"/>
      <c r="G680" s="3"/>
      <c r="J680" s="3"/>
    </row>
    <row r="681">
      <c r="A681" s="13"/>
      <c r="D681" s="3"/>
      <c r="G681" s="3"/>
      <c r="J681" s="3"/>
    </row>
    <row r="682">
      <c r="A682" s="13"/>
      <c r="D682" s="3"/>
      <c r="G682" s="3"/>
      <c r="J682" s="3"/>
    </row>
    <row r="683">
      <c r="A683" s="13"/>
      <c r="D683" s="3"/>
      <c r="G683" s="3"/>
      <c r="J683" s="3"/>
    </row>
    <row r="684">
      <c r="A684" s="13"/>
      <c r="D684" s="3"/>
      <c r="G684" s="3"/>
      <c r="J684" s="3"/>
    </row>
    <row r="685">
      <c r="A685" s="13"/>
      <c r="D685" s="3"/>
      <c r="G685" s="3"/>
      <c r="J685" s="3"/>
    </row>
    <row r="686">
      <c r="A686" s="13"/>
      <c r="D686" s="3"/>
      <c r="G686" s="3"/>
      <c r="J686" s="3"/>
    </row>
    <row r="687">
      <c r="A687" s="13"/>
      <c r="D687" s="3"/>
      <c r="G687" s="3"/>
      <c r="J687" s="3"/>
    </row>
    <row r="688">
      <c r="A688" s="13"/>
      <c r="D688" s="3"/>
      <c r="G688" s="3"/>
      <c r="J688" s="3"/>
    </row>
    <row r="689">
      <c r="A689" s="13"/>
      <c r="D689" s="3"/>
      <c r="G689" s="3"/>
      <c r="J689" s="3"/>
    </row>
    <row r="690">
      <c r="A690" s="13"/>
      <c r="D690" s="3"/>
      <c r="G690" s="3"/>
      <c r="J690" s="3"/>
    </row>
    <row r="691">
      <c r="A691" s="13"/>
      <c r="D691" s="3"/>
      <c r="G691" s="3"/>
      <c r="J691" s="3"/>
    </row>
    <row r="692">
      <c r="A692" s="13"/>
      <c r="D692" s="3"/>
      <c r="G692" s="3"/>
      <c r="J692" s="3"/>
    </row>
    <row r="693">
      <c r="A693" s="13"/>
      <c r="D693" s="3"/>
      <c r="G693" s="3"/>
      <c r="J693" s="3"/>
    </row>
    <row r="694">
      <c r="A694" s="13"/>
      <c r="D694" s="3"/>
      <c r="G694" s="3"/>
      <c r="J694" s="3"/>
    </row>
    <row r="695">
      <c r="A695" s="13"/>
      <c r="D695" s="3"/>
      <c r="G695" s="3"/>
      <c r="J695" s="3"/>
    </row>
    <row r="696">
      <c r="A696" s="13"/>
      <c r="D696" s="3"/>
      <c r="G696" s="3"/>
      <c r="J696" s="3"/>
    </row>
    <row r="697">
      <c r="A697" s="13"/>
      <c r="D697" s="3"/>
      <c r="G697" s="3"/>
      <c r="J697" s="3"/>
    </row>
    <row r="698">
      <c r="A698" s="13"/>
      <c r="D698" s="3"/>
      <c r="G698" s="3"/>
      <c r="J698" s="3"/>
    </row>
    <row r="699">
      <c r="A699" s="13"/>
      <c r="D699" s="3"/>
      <c r="G699" s="3"/>
      <c r="J699" s="3"/>
    </row>
    <row r="700">
      <c r="A700" s="13"/>
      <c r="D700" s="3"/>
      <c r="G700" s="3"/>
      <c r="J700" s="3"/>
    </row>
    <row r="701">
      <c r="A701" s="13"/>
      <c r="D701" s="3"/>
      <c r="G701" s="3"/>
      <c r="J701" s="3"/>
    </row>
    <row r="702">
      <c r="A702" s="13"/>
      <c r="D702" s="3"/>
      <c r="G702" s="3"/>
      <c r="J702" s="3"/>
    </row>
    <row r="703">
      <c r="A703" s="13"/>
      <c r="D703" s="3"/>
      <c r="G703" s="3"/>
      <c r="J703" s="3"/>
    </row>
    <row r="704">
      <c r="A704" s="13"/>
      <c r="D704" s="3"/>
      <c r="G704" s="3"/>
      <c r="J704" s="3"/>
    </row>
    <row r="705">
      <c r="A705" s="13"/>
      <c r="D705" s="3"/>
      <c r="G705" s="3"/>
      <c r="J705" s="3"/>
    </row>
    <row r="706">
      <c r="A706" s="13"/>
      <c r="D706" s="3"/>
      <c r="G706" s="3"/>
      <c r="J706" s="3"/>
    </row>
    <row r="707">
      <c r="A707" s="13"/>
      <c r="D707" s="3"/>
      <c r="G707" s="3"/>
      <c r="J707" s="3"/>
    </row>
    <row r="708">
      <c r="A708" s="13"/>
      <c r="D708" s="3"/>
      <c r="G708" s="3"/>
      <c r="J708" s="3"/>
    </row>
    <row r="709">
      <c r="A709" s="13"/>
      <c r="D709" s="3"/>
      <c r="G709" s="3"/>
      <c r="J709" s="3"/>
    </row>
    <row r="710">
      <c r="A710" s="13"/>
      <c r="D710" s="3"/>
      <c r="G710" s="3"/>
      <c r="J710" s="3"/>
    </row>
    <row r="711">
      <c r="A711" s="13"/>
      <c r="D711" s="3"/>
      <c r="G711" s="3"/>
      <c r="J711" s="3"/>
    </row>
    <row r="712">
      <c r="A712" s="13"/>
      <c r="D712" s="3"/>
      <c r="G712" s="3"/>
      <c r="J712" s="3"/>
    </row>
    <row r="713">
      <c r="A713" s="13"/>
      <c r="D713" s="3"/>
      <c r="G713" s="3"/>
      <c r="J713" s="3"/>
    </row>
    <row r="714">
      <c r="A714" s="13"/>
      <c r="D714" s="3"/>
      <c r="G714" s="3"/>
      <c r="J714" s="3"/>
    </row>
    <row r="715">
      <c r="A715" s="13"/>
      <c r="D715" s="3"/>
      <c r="G715" s="3"/>
      <c r="J715" s="3"/>
    </row>
    <row r="716">
      <c r="A716" s="13"/>
      <c r="D716" s="3"/>
      <c r="G716" s="3"/>
      <c r="J716" s="3"/>
    </row>
    <row r="717">
      <c r="A717" s="13"/>
      <c r="D717" s="3"/>
      <c r="G717" s="3"/>
      <c r="J717" s="3"/>
    </row>
    <row r="718">
      <c r="A718" s="13"/>
      <c r="D718" s="3"/>
      <c r="G718" s="3"/>
      <c r="J718" s="3"/>
    </row>
    <row r="719">
      <c r="A719" s="13"/>
      <c r="D719" s="3"/>
      <c r="G719" s="3"/>
      <c r="J719" s="3"/>
    </row>
    <row r="720">
      <c r="A720" s="13"/>
      <c r="D720" s="3"/>
      <c r="G720" s="3"/>
      <c r="J720" s="3"/>
    </row>
    <row r="721">
      <c r="A721" s="13"/>
      <c r="D721" s="3"/>
      <c r="G721" s="3"/>
      <c r="J721" s="3"/>
    </row>
    <row r="722">
      <c r="A722" s="13"/>
      <c r="D722" s="3"/>
      <c r="G722" s="3"/>
      <c r="J722" s="3"/>
    </row>
    <row r="723">
      <c r="A723" s="13"/>
      <c r="D723" s="3"/>
      <c r="G723" s="3"/>
      <c r="J723" s="3"/>
    </row>
    <row r="724">
      <c r="A724" s="13"/>
      <c r="D724" s="3"/>
      <c r="G724" s="3"/>
      <c r="J724" s="3"/>
    </row>
    <row r="725">
      <c r="A725" s="13"/>
      <c r="D725" s="3"/>
      <c r="G725" s="3"/>
      <c r="J725" s="3"/>
    </row>
    <row r="726">
      <c r="A726" s="13"/>
      <c r="D726" s="3"/>
      <c r="G726" s="3"/>
      <c r="J726" s="3"/>
    </row>
    <row r="727">
      <c r="A727" s="13"/>
      <c r="D727" s="3"/>
      <c r="G727" s="3"/>
      <c r="J727" s="3"/>
    </row>
    <row r="728">
      <c r="A728" s="13"/>
      <c r="D728" s="3"/>
      <c r="G728" s="3"/>
      <c r="J728" s="3"/>
    </row>
    <row r="729">
      <c r="A729" s="13"/>
      <c r="D729" s="3"/>
      <c r="G729" s="3"/>
      <c r="J729" s="3"/>
    </row>
    <row r="730">
      <c r="A730" s="13"/>
      <c r="D730" s="3"/>
      <c r="G730" s="3"/>
      <c r="J730" s="3"/>
    </row>
    <row r="731">
      <c r="A731" s="13"/>
      <c r="D731" s="3"/>
      <c r="G731" s="3"/>
      <c r="J731" s="3"/>
    </row>
    <row r="732">
      <c r="A732" s="13"/>
      <c r="D732" s="3"/>
      <c r="G732" s="3"/>
      <c r="J732" s="3"/>
    </row>
    <row r="733">
      <c r="A733" s="13"/>
      <c r="D733" s="3"/>
      <c r="G733" s="3"/>
      <c r="J733" s="3"/>
    </row>
    <row r="734">
      <c r="A734" s="13"/>
      <c r="D734" s="3"/>
      <c r="G734" s="3"/>
      <c r="J734" s="3"/>
    </row>
    <row r="735">
      <c r="A735" s="13"/>
      <c r="D735" s="3"/>
      <c r="G735" s="3"/>
      <c r="J735" s="3"/>
    </row>
    <row r="736">
      <c r="A736" s="13"/>
      <c r="D736" s="3"/>
      <c r="G736" s="3"/>
      <c r="J736" s="3"/>
    </row>
    <row r="737">
      <c r="A737" s="13"/>
      <c r="D737" s="3"/>
      <c r="G737" s="3"/>
      <c r="J737" s="3"/>
    </row>
    <row r="738">
      <c r="A738" s="13"/>
      <c r="D738" s="3"/>
      <c r="G738" s="3"/>
      <c r="J738" s="3"/>
    </row>
    <row r="739">
      <c r="A739" s="13"/>
      <c r="D739" s="3"/>
      <c r="G739" s="3"/>
      <c r="J739" s="3"/>
    </row>
    <row r="740">
      <c r="A740" s="13"/>
      <c r="D740" s="3"/>
      <c r="G740" s="3"/>
      <c r="J740" s="3"/>
    </row>
    <row r="741">
      <c r="A741" s="13"/>
      <c r="D741" s="3"/>
      <c r="G741" s="3"/>
      <c r="J741" s="3"/>
    </row>
    <row r="742">
      <c r="A742" s="13"/>
      <c r="D742" s="3"/>
      <c r="G742" s="3"/>
      <c r="J742" s="3"/>
    </row>
    <row r="743">
      <c r="A743" s="13"/>
      <c r="D743" s="3"/>
      <c r="G743" s="3"/>
      <c r="J743" s="3"/>
    </row>
    <row r="744">
      <c r="A744" s="13"/>
      <c r="D744" s="3"/>
      <c r="G744" s="3"/>
      <c r="J744" s="3"/>
    </row>
    <row r="745">
      <c r="A745" s="13"/>
      <c r="D745" s="3"/>
      <c r="G745" s="3"/>
      <c r="J745" s="3"/>
    </row>
    <row r="746">
      <c r="A746" s="13"/>
      <c r="D746" s="3"/>
      <c r="G746" s="3"/>
      <c r="J746" s="3"/>
    </row>
    <row r="747">
      <c r="A747" s="13"/>
      <c r="D747" s="3"/>
      <c r="G747" s="3"/>
      <c r="J747" s="3"/>
    </row>
    <row r="748">
      <c r="A748" s="13"/>
      <c r="D748" s="3"/>
      <c r="G748" s="3"/>
      <c r="J748" s="3"/>
    </row>
    <row r="749">
      <c r="A749" s="13"/>
      <c r="D749" s="3"/>
      <c r="G749" s="3"/>
      <c r="J749" s="3"/>
    </row>
    <row r="750">
      <c r="A750" s="13"/>
      <c r="D750" s="3"/>
      <c r="G750" s="3"/>
      <c r="J750" s="3"/>
    </row>
    <row r="751">
      <c r="A751" s="13"/>
      <c r="D751" s="3"/>
      <c r="G751" s="3"/>
      <c r="J751" s="3"/>
    </row>
    <row r="752">
      <c r="A752" s="13"/>
      <c r="D752" s="3"/>
      <c r="G752" s="3"/>
      <c r="J752" s="3"/>
    </row>
    <row r="753">
      <c r="A753" s="13"/>
      <c r="D753" s="3"/>
      <c r="G753" s="3"/>
      <c r="J753" s="3"/>
    </row>
    <row r="754">
      <c r="A754" s="13"/>
      <c r="D754" s="3"/>
      <c r="G754" s="3"/>
      <c r="J754" s="3"/>
    </row>
    <row r="755">
      <c r="A755" s="13"/>
      <c r="D755" s="3"/>
      <c r="G755" s="3"/>
      <c r="J755" s="3"/>
    </row>
    <row r="756">
      <c r="A756" s="13"/>
      <c r="D756" s="3"/>
      <c r="G756" s="3"/>
      <c r="J756" s="3"/>
    </row>
    <row r="757">
      <c r="A757" s="13"/>
      <c r="D757" s="3"/>
      <c r="G757" s="3"/>
      <c r="J757" s="3"/>
    </row>
    <row r="758">
      <c r="A758" s="13"/>
      <c r="D758" s="3"/>
      <c r="G758" s="3"/>
      <c r="J758" s="3"/>
    </row>
    <row r="759">
      <c r="A759" s="13"/>
      <c r="D759" s="3"/>
      <c r="G759" s="3"/>
      <c r="J759" s="3"/>
    </row>
    <row r="760">
      <c r="A760" s="13"/>
      <c r="D760" s="3"/>
      <c r="G760" s="3"/>
      <c r="J760" s="3"/>
    </row>
    <row r="761">
      <c r="A761" s="13"/>
      <c r="D761" s="3"/>
      <c r="G761" s="3"/>
      <c r="J761" s="3"/>
    </row>
    <row r="762">
      <c r="A762" s="13"/>
      <c r="D762" s="3"/>
      <c r="G762" s="3"/>
      <c r="J762" s="3"/>
    </row>
    <row r="763">
      <c r="A763" s="13"/>
      <c r="D763" s="3"/>
      <c r="G763" s="3"/>
      <c r="J763" s="3"/>
    </row>
    <row r="764">
      <c r="A764" s="13"/>
      <c r="D764" s="3"/>
      <c r="G764" s="3"/>
      <c r="J764" s="3"/>
    </row>
    <row r="765">
      <c r="A765" s="13"/>
      <c r="D765" s="3"/>
      <c r="G765" s="3"/>
      <c r="J765" s="3"/>
    </row>
    <row r="766">
      <c r="A766" s="13"/>
      <c r="D766" s="3"/>
      <c r="G766" s="3"/>
      <c r="J766" s="3"/>
    </row>
    <row r="767">
      <c r="A767" s="13"/>
      <c r="D767" s="3"/>
      <c r="G767" s="3"/>
      <c r="J767" s="3"/>
    </row>
    <row r="768">
      <c r="A768" s="13"/>
      <c r="D768" s="3"/>
      <c r="G768" s="3"/>
      <c r="J768" s="3"/>
    </row>
    <row r="769">
      <c r="A769" s="13"/>
      <c r="D769" s="3"/>
      <c r="G769" s="3"/>
      <c r="J769" s="3"/>
    </row>
    <row r="770">
      <c r="A770" s="13"/>
      <c r="D770" s="3"/>
      <c r="G770" s="3"/>
      <c r="J770" s="3"/>
    </row>
    <row r="771">
      <c r="A771" s="13"/>
      <c r="D771" s="3"/>
      <c r="G771" s="3"/>
      <c r="J771" s="3"/>
    </row>
    <row r="772">
      <c r="A772" s="13"/>
      <c r="D772" s="3"/>
      <c r="G772" s="3"/>
      <c r="J772" s="3"/>
    </row>
    <row r="773">
      <c r="A773" s="13"/>
      <c r="D773" s="3"/>
      <c r="G773" s="3"/>
      <c r="J773" s="3"/>
    </row>
    <row r="774">
      <c r="A774" s="13"/>
      <c r="D774" s="3"/>
      <c r="G774" s="3"/>
      <c r="J774" s="3"/>
    </row>
    <row r="775">
      <c r="A775" s="13"/>
      <c r="D775" s="3"/>
      <c r="G775" s="3"/>
      <c r="J775" s="3"/>
    </row>
    <row r="776">
      <c r="A776" s="13"/>
      <c r="D776" s="3"/>
      <c r="G776" s="3"/>
      <c r="J776" s="3"/>
    </row>
    <row r="777">
      <c r="A777" s="13"/>
      <c r="D777" s="3"/>
      <c r="G777" s="3"/>
      <c r="J777" s="3"/>
    </row>
    <row r="778">
      <c r="A778" s="13"/>
      <c r="D778" s="3"/>
      <c r="G778" s="3"/>
      <c r="J778" s="3"/>
    </row>
    <row r="779">
      <c r="A779" s="13"/>
      <c r="D779" s="3"/>
      <c r="G779" s="3"/>
      <c r="J779" s="3"/>
    </row>
    <row r="780">
      <c r="A780" s="13"/>
      <c r="D780" s="3"/>
      <c r="G780" s="3"/>
      <c r="J780" s="3"/>
    </row>
    <row r="781">
      <c r="A781" s="13"/>
      <c r="D781" s="3"/>
      <c r="G781" s="3"/>
      <c r="J781" s="3"/>
    </row>
    <row r="782">
      <c r="A782" s="13"/>
      <c r="D782" s="3"/>
      <c r="G782" s="3"/>
      <c r="J782" s="3"/>
    </row>
    <row r="783">
      <c r="A783" s="13"/>
      <c r="D783" s="3"/>
      <c r="G783" s="3"/>
      <c r="J783" s="3"/>
    </row>
    <row r="784">
      <c r="A784" s="13"/>
      <c r="D784" s="3"/>
      <c r="G784" s="3"/>
      <c r="J784" s="3"/>
    </row>
    <row r="785">
      <c r="A785" s="13"/>
      <c r="D785" s="3"/>
      <c r="G785" s="3"/>
      <c r="J785" s="3"/>
    </row>
    <row r="786">
      <c r="A786" s="13"/>
      <c r="D786" s="3"/>
      <c r="G786" s="3"/>
      <c r="J786" s="3"/>
    </row>
    <row r="787">
      <c r="A787" s="13"/>
      <c r="D787" s="3"/>
      <c r="G787" s="3"/>
      <c r="J787" s="3"/>
    </row>
    <row r="788">
      <c r="A788" s="13"/>
      <c r="D788" s="3"/>
      <c r="G788" s="3"/>
      <c r="J788" s="3"/>
    </row>
    <row r="789">
      <c r="A789" s="13"/>
      <c r="D789" s="3"/>
      <c r="G789" s="3"/>
      <c r="J789" s="3"/>
    </row>
    <row r="790">
      <c r="A790" s="13"/>
      <c r="D790" s="3"/>
      <c r="G790" s="3"/>
      <c r="J790" s="3"/>
    </row>
    <row r="791">
      <c r="A791" s="13"/>
      <c r="D791" s="3"/>
      <c r="G791" s="3"/>
      <c r="J791" s="3"/>
    </row>
    <row r="792">
      <c r="A792" s="13"/>
      <c r="D792" s="3"/>
      <c r="G792" s="3"/>
      <c r="J792" s="3"/>
    </row>
    <row r="793">
      <c r="A793" s="13"/>
      <c r="D793" s="3"/>
      <c r="G793" s="3"/>
      <c r="J793" s="3"/>
    </row>
    <row r="794">
      <c r="A794" s="13"/>
      <c r="D794" s="3"/>
      <c r="G794" s="3"/>
      <c r="J794" s="3"/>
    </row>
    <row r="795">
      <c r="A795" s="13"/>
      <c r="D795" s="3"/>
      <c r="G795" s="3"/>
      <c r="J795" s="3"/>
    </row>
    <row r="796">
      <c r="A796" s="13"/>
      <c r="D796" s="3"/>
      <c r="G796" s="3"/>
      <c r="J796" s="3"/>
    </row>
    <row r="797">
      <c r="A797" s="13"/>
      <c r="D797" s="3"/>
      <c r="G797" s="3"/>
      <c r="J797" s="3"/>
    </row>
    <row r="798">
      <c r="A798" s="13"/>
      <c r="D798" s="3"/>
      <c r="G798" s="3"/>
      <c r="J798" s="3"/>
    </row>
    <row r="799">
      <c r="A799" s="13"/>
      <c r="D799" s="3"/>
      <c r="G799" s="3"/>
      <c r="J799" s="3"/>
    </row>
    <row r="800">
      <c r="A800" s="13"/>
      <c r="D800" s="3"/>
      <c r="G800" s="3"/>
      <c r="J800" s="3"/>
    </row>
    <row r="801">
      <c r="A801" s="13"/>
      <c r="D801" s="3"/>
      <c r="G801" s="3"/>
      <c r="J801" s="3"/>
    </row>
    <row r="802">
      <c r="A802" s="13"/>
      <c r="D802" s="3"/>
      <c r="G802" s="3"/>
      <c r="J802" s="3"/>
    </row>
    <row r="803">
      <c r="A803" s="13"/>
      <c r="D803" s="3"/>
      <c r="G803" s="3"/>
      <c r="J803" s="3"/>
    </row>
    <row r="804">
      <c r="A804" s="13"/>
      <c r="D804" s="3"/>
      <c r="G804" s="3"/>
      <c r="J804" s="3"/>
    </row>
    <row r="805">
      <c r="A805" s="13"/>
      <c r="D805" s="3"/>
      <c r="G805" s="3"/>
      <c r="J805" s="3"/>
    </row>
    <row r="806">
      <c r="A806" s="13"/>
      <c r="D806" s="3"/>
      <c r="G806" s="3"/>
      <c r="J806" s="3"/>
    </row>
    <row r="807">
      <c r="A807" s="13"/>
      <c r="D807" s="3"/>
      <c r="G807" s="3"/>
      <c r="J807" s="3"/>
    </row>
    <row r="808">
      <c r="A808" s="13"/>
      <c r="D808" s="3"/>
      <c r="G808" s="3"/>
      <c r="J808" s="3"/>
    </row>
    <row r="809">
      <c r="A809" s="13"/>
      <c r="D809" s="3"/>
      <c r="G809" s="3"/>
      <c r="J809" s="3"/>
    </row>
    <row r="810">
      <c r="A810" s="13"/>
      <c r="D810" s="3"/>
      <c r="G810" s="3"/>
      <c r="J810" s="3"/>
    </row>
    <row r="811">
      <c r="A811" s="13"/>
      <c r="D811" s="3"/>
      <c r="G811" s="3"/>
      <c r="J811" s="3"/>
    </row>
    <row r="812">
      <c r="A812" s="13"/>
      <c r="D812" s="3"/>
      <c r="G812" s="3"/>
      <c r="J812" s="3"/>
    </row>
    <row r="813">
      <c r="A813" s="13"/>
      <c r="D813" s="3"/>
      <c r="G813" s="3"/>
      <c r="J813" s="3"/>
    </row>
    <row r="814">
      <c r="A814" s="13"/>
      <c r="D814" s="3"/>
      <c r="G814" s="3"/>
      <c r="J814" s="3"/>
    </row>
    <row r="815">
      <c r="A815" s="13"/>
      <c r="D815" s="3"/>
      <c r="G815" s="3"/>
      <c r="J815" s="3"/>
    </row>
    <row r="816">
      <c r="A816" s="13"/>
      <c r="D816" s="3"/>
      <c r="G816" s="3"/>
      <c r="J816" s="3"/>
    </row>
    <row r="817">
      <c r="A817" s="13"/>
      <c r="D817" s="3"/>
      <c r="G817" s="3"/>
      <c r="J817" s="3"/>
    </row>
    <row r="818">
      <c r="A818" s="13"/>
      <c r="D818" s="3"/>
      <c r="G818" s="3"/>
      <c r="J818" s="3"/>
    </row>
    <row r="819">
      <c r="A819" s="13"/>
      <c r="D819" s="3"/>
      <c r="G819" s="3"/>
      <c r="J819" s="3"/>
    </row>
    <row r="820">
      <c r="A820" s="13"/>
      <c r="D820" s="3"/>
      <c r="G820" s="3"/>
      <c r="J820" s="3"/>
    </row>
    <row r="821">
      <c r="A821" s="13"/>
      <c r="D821" s="3"/>
      <c r="G821" s="3"/>
      <c r="J821" s="3"/>
    </row>
    <row r="822">
      <c r="A822" s="13"/>
      <c r="D822" s="3"/>
      <c r="G822" s="3"/>
      <c r="J822" s="3"/>
    </row>
    <row r="823">
      <c r="A823" s="13"/>
      <c r="D823" s="3"/>
      <c r="G823" s="3"/>
      <c r="J823" s="3"/>
    </row>
    <row r="824">
      <c r="A824" s="13"/>
      <c r="D824" s="3"/>
      <c r="G824" s="3"/>
      <c r="J824" s="3"/>
    </row>
    <row r="825">
      <c r="A825" s="13"/>
      <c r="D825" s="3"/>
      <c r="G825" s="3"/>
      <c r="J825" s="3"/>
    </row>
    <row r="826">
      <c r="A826" s="13"/>
      <c r="D826" s="3"/>
      <c r="G826" s="3"/>
      <c r="J826" s="3"/>
    </row>
    <row r="827">
      <c r="A827" s="13"/>
      <c r="D827" s="3"/>
      <c r="G827" s="3"/>
      <c r="J827" s="3"/>
    </row>
    <row r="828">
      <c r="A828" s="13"/>
      <c r="D828" s="3"/>
      <c r="G828" s="3"/>
      <c r="J828" s="3"/>
    </row>
    <row r="829">
      <c r="A829" s="13"/>
      <c r="D829" s="3"/>
      <c r="G829" s="3"/>
      <c r="J829" s="3"/>
    </row>
    <row r="830">
      <c r="A830" s="13"/>
      <c r="D830" s="3"/>
      <c r="G830" s="3"/>
      <c r="J830" s="3"/>
    </row>
    <row r="831">
      <c r="A831" s="13"/>
      <c r="D831" s="3"/>
      <c r="G831" s="3"/>
      <c r="J831" s="3"/>
    </row>
    <row r="832">
      <c r="A832" s="13"/>
      <c r="D832" s="3"/>
      <c r="G832" s="3"/>
      <c r="J832" s="3"/>
    </row>
    <row r="833">
      <c r="A833" s="13"/>
      <c r="D833" s="3"/>
      <c r="G833" s="3"/>
      <c r="J833" s="3"/>
    </row>
    <row r="834">
      <c r="A834" s="13"/>
      <c r="D834" s="3"/>
      <c r="G834" s="3"/>
      <c r="J834" s="3"/>
    </row>
    <row r="835">
      <c r="A835" s="13"/>
      <c r="D835" s="3"/>
      <c r="G835" s="3"/>
      <c r="J835" s="3"/>
    </row>
    <row r="836">
      <c r="A836" s="13"/>
      <c r="D836" s="3"/>
      <c r="G836" s="3"/>
      <c r="J836" s="3"/>
    </row>
    <row r="837">
      <c r="A837" s="13"/>
      <c r="D837" s="3"/>
      <c r="G837" s="3"/>
      <c r="J837" s="3"/>
    </row>
    <row r="838">
      <c r="A838" s="13"/>
      <c r="D838" s="3"/>
      <c r="G838" s="3"/>
      <c r="J838" s="3"/>
    </row>
    <row r="839">
      <c r="A839" s="13"/>
      <c r="D839" s="3"/>
      <c r="G839" s="3"/>
      <c r="J839" s="3"/>
    </row>
    <row r="840">
      <c r="A840" s="13"/>
      <c r="D840" s="3"/>
      <c r="G840" s="3"/>
      <c r="J840" s="3"/>
    </row>
    <row r="841">
      <c r="A841" s="13"/>
      <c r="D841" s="3"/>
      <c r="G841" s="3"/>
      <c r="J841" s="3"/>
    </row>
    <row r="842">
      <c r="A842" s="13"/>
      <c r="D842" s="3"/>
      <c r="G842" s="3"/>
      <c r="J842" s="3"/>
    </row>
    <row r="843">
      <c r="A843" s="13"/>
      <c r="D843" s="3"/>
      <c r="G843" s="3"/>
      <c r="J843" s="3"/>
    </row>
    <row r="844">
      <c r="A844" s="13"/>
      <c r="D844" s="3"/>
      <c r="G844" s="3"/>
      <c r="J844" s="3"/>
    </row>
    <row r="845">
      <c r="A845" s="13"/>
      <c r="D845" s="3"/>
      <c r="G845" s="3"/>
      <c r="J845" s="3"/>
    </row>
    <row r="846">
      <c r="A846" s="13"/>
      <c r="D846" s="3"/>
      <c r="G846" s="3"/>
      <c r="J846" s="3"/>
    </row>
    <row r="847">
      <c r="A847" s="13"/>
      <c r="D847" s="3"/>
      <c r="G847" s="3"/>
      <c r="J847" s="3"/>
    </row>
    <row r="848">
      <c r="A848" s="13"/>
      <c r="D848" s="3"/>
      <c r="G848" s="3"/>
      <c r="J848" s="3"/>
    </row>
    <row r="849">
      <c r="A849" s="13"/>
      <c r="D849" s="3"/>
      <c r="G849" s="3"/>
      <c r="J849" s="3"/>
    </row>
    <row r="850">
      <c r="A850" s="13"/>
      <c r="D850" s="3"/>
      <c r="G850" s="3"/>
      <c r="J850" s="3"/>
    </row>
    <row r="851">
      <c r="A851" s="13"/>
      <c r="D851" s="3"/>
      <c r="G851" s="3"/>
      <c r="J851" s="3"/>
    </row>
    <row r="852">
      <c r="A852" s="13"/>
      <c r="D852" s="3"/>
      <c r="G852" s="3"/>
      <c r="J852" s="3"/>
    </row>
    <row r="853">
      <c r="A853" s="13"/>
      <c r="D853" s="3"/>
      <c r="G853" s="3"/>
      <c r="J853" s="3"/>
    </row>
    <row r="854">
      <c r="A854" s="13"/>
      <c r="D854" s="3"/>
      <c r="G854" s="3"/>
      <c r="J854" s="3"/>
    </row>
    <row r="855">
      <c r="A855" s="13"/>
      <c r="D855" s="3"/>
      <c r="G855" s="3"/>
      <c r="J855" s="3"/>
    </row>
    <row r="856">
      <c r="A856" s="13"/>
      <c r="D856" s="3"/>
      <c r="G856" s="3"/>
      <c r="J856" s="3"/>
    </row>
    <row r="857">
      <c r="A857" s="13"/>
      <c r="D857" s="3"/>
      <c r="G857" s="3"/>
      <c r="J857" s="3"/>
    </row>
    <row r="858">
      <c r="A858" s="13"/>
      <c r="D858" s="3"/>
      <c r="G858" s="3"/>
      <c r="J858" s="3"/>
    </row>
    <row r="859">
      <c r="A859" s="13"/>
      <c r="D859" s="3"/>
      <c r="G859" s="3"/>
      <c r="J859" s="3"/>
    </row>
    <row r="860">
      <c r="A860" s="13"/>
      <c r="D860" s="3"/>
      <c r="G860" s="3"/>
      <c r="J860" s="3"/>
    </row>
    <row r="861">
      <c r="A861" s="13"/>
      <c r="D861" s="3"/>
      <c r="G861" s="3"/>
      <c r="J861" s="3"/>
    </row>
    <row r="862">
      <c r="A862" s="13"/>
      <c r="D862" s="3"/>
      <c r="G862" s="3"/>
      <c r="J862" s="3"/>
    </row>
    <row r="863">
      <c r="A863" s="13"/>
      <c r="D863" s="3"/>
      <c r="G863" s="3"/>
      <c r="J863" s="3"/>
    </row>
    <row r="864">
      <c r="A864" s="13"/>
      <c r="D864" s="3"/>
      <c r="G864" s="3"/>
      <c r="J864" s="3"/>
    </row>
    <row r="865">
      <c r="A865" s="13"/>
      <c r="D865" s="3"/>
      <c r="G865" s="3"/>
      <c r="J865" s="3"/>
    </row>
    <row r="866">
      <c r="A866" s="13"/>
      <c r="D866" s="3"/>
      <c r="G866" s="3"/>
      <c r="J866" s="3"/>
    </row>
    <row r="867">
      <c r="A867" s="13"/>
      <c r="D867" s="3"/>
      <c r="G867" s="3"/>
      <c r="J867" s="3"/>
    </row>
    <row r="868">
      <c r="A868" s="13"/>
      <c r="D868" s="3"/>
      <c r="G868" s="3"/>
      <c r="J868" s="3"/>
    </row>
    <row r="869">
      <c r="A869" s="13"/>
      <c r="D869" s="3"/>
      <c r="G869" s="3"/>
      <c r="J869" s="3"/>
    </row>
    <row r="870">
      <c r="A870" s="13"/>
      <c r="D870" s="3"/>
      <c r="G870" s="3"/>
      <c r="J870" s="3"/>
    </row>
    <row r="871">
      <c r="A871" s="13"/>
      <c r="D871" s="3"/>
      <c r="G871" s="3"/>
      <c r="J871" s="3"/>
    </row>
    <row r="872">
      <c r="A872" s="13"/>
      <c r="D872" s="3"/>
      <c r="G872" s="3"/>
      <c r="J872" s="3"/>
    </row>
    <row r="873">
      <c r="A873" s="13"/>
      <c r="D873" s="3"/>
      <c r="G873" s="3"/>
      <c r="J873" s="3"/>
    </row>
    <row r="874">
      <c r="A874" s="13"/>
      <c r="D874" s="3"/>
      <c r="G874" s="3"/>
      <c r="J874" s="3"/>
    </row>
    <row r="875">
      <c r="A875" s="13"/>
      <c r="D875" s="3"/>
      <c r="G875" s="3"/>
      <c r="J875" s="3"/>
    </row>
    <row r="876">
      <c r="A876" s="13"/>
      <c r="D876" s="3"/>
      <c r="G876" s="3"/>
      <c r="J876" s="3"/>
    </row>
    <row r="877">
      <c r="A877" s="13"/>
      <c r="D877" s="3"/>
      <c r="G877" s="3"/>
      <c r="J877" s="3"/>
    </row>
    <row r="878">
      <c r="A878" s="13"/>
      <c r="D878" s="3"/>
      <c r="G878" s="3"/>
      <c r="J878" s="3"/>
    </row>
    <row r="879">
      <c r="A879" s="13"/>
      <c r="D879" s="3"/>
      <c r="G879" s="3"/>
      <c r="J879" s="3"/>
    </row>
    <row r="880">
      <c r="A880" s="13"/>
      <c r="D880" s="3"/>
      <c r="G880" s="3"/>
      <c r="J880" s="3"/>
    </row>
    <row r="881">
      <c r="A881" s="13"/>
      <c r="D881" s="3"/>
      <c r="G881" s="3"/>
      <c r="J881" s="3"/>
    </row>
    <row r="882">
      <c r="A882" s="13"/>
      <c r="D882" s="3"/>
      <c r="G882" s="3"/>
      <c r="J882" s="3"/>
    </row>
    <row r="883">
      <c r="A883" s="13"/>
      <c r="D883" s="3"/>
      <c r="G883" s="3"/>
      <c r="J883" s="3"/>
    </row>
    <row r="884">
      <c r="A884" s="13"/>
      <c r="D884" s="3"/>
      <c r="G884" s="3"/>
      <c r="J884" s="3"/>
    </row>
    <row r="885">
      <c r="A885" s="13"/>
      <c r="D885" s="3"/>
      <c r="G885" s="3"/>
      <c r="J885" s="3"/>
    </row>
    <row r="886">
      <c r="A886" s="13"/>
      <c r="D886" s="3"/>
      <c r="G886" s="3"/>
      <c r="J886" s="3"/>
    </row>
    <row r="887">
      <c r="A887" s="13"/>
      <c r="D887" s="3"/>
      <c r="G887" s="3"/>
      <c r="J887" s="3"/>
    </row>
    <row r="888">
      <c r="A888" s="13"/>
      <c r="D888" s="3"/>
      <c r="G888" s="3"/>
      <c r="J888" s="3"/>
    </row>
    <row r="889">
      <c r="A889" s="13"/>
      <c r="D889" s="3"/>
      <c r="G889" s="3"/>
      <c r="J889" s="3"/>
    </row>
    <row r="890">
      <c r="A890" s="13"/>
      <c r="D890" s="3"/>
      <c r="G890" s="3"/>
      <c r="J890" s="3"/>
    </row>
    <row r="891">
      <c r="A891" s="13"/>
      <c r="D891" s="3"/>
      <c r="G891" s="3"/>
      <c r="J891" s="3"/>
    </row>
    <row r="892">
      <c r="A892" s="13"/>
      <c r="D892" s="3"/>
      <c r="G892" s="3"/>
      <c r="J892" s="3"/>
    </row>
    <row r="893">
      <c r="A893" s="13"/>
      <c r="D893" s="3"/>
      <c r="G893" s="3"/>
      <c r="J893" s="3"/>
    </row>
    <row r="894">
      <c r="A894" s="13"/>
      <c r="D894" s="3"/>
      <c r="G894" s="3"/>
      <c r="J894" s="3"/>
    </row>
    <row r="895">
      <c r="A895" s="13"/>
      <c r="D895" s="3"/>
      <c r="G895" s="3"/>
      <c r="J895" s="3"/>
    </row>
    <row r="896">
      <c r="A896" s="13"/>
      <c r="D896" s="3"/>
      <c r="G896" s="3"/>
      <c r="J896" s="3"/>
    </row>
    <row r="897">
      <c r="A897" s="13"/>
      <c r="D897" s="3"/>
      <c r="G897" s="3"/>
      <c r="J897" s="3"/>
    </row>
    <row r="898">
      <c r="A898" s="13"/>
      <c r="D898" s="3"/>
      <c r="G898" s="3"/>
      <c r="J898" s="3"/>
    </row>
    <row r="899">
      <c r="A899" s="13"/>
      <c r="D899" s="3"/>
      <c r="G899" s="3"/>
      <c r="J899" s="3"/>
    </row>
    <row r="900">
      <c r="A900" s="13"/>
      <c r="D900" s="3"/>
      <c r="G900" s="3"/>
      <c r="J900" s="3"/>
    </row>
    <row r="901">
      <c r="A901" s="13"/>
      <c r="D901" s="3"/>
      <c r="G901" s="3"/>
      <c r="J901" s="3"/>
    </row>
    <row r="902">
      <c r="A902" s="13"/>
      <c r="D902" s="3"/>
      <c r="G902" s="3"/>
      <c r="J902" s="3"/>
    </row>
    <row r="903">
      <c r="A903" s="13"/>
      <c r="D903" s="3"/>
      <c r="G903" s="3"/>
      <c r="J903" s="3"/>
    </row>
    <row r="904">
      <c r="A904" s="13"/>
      <c r="D904" s="3"/>
      <c r="G904" s="3"/>
      <c r="J904" s="3"/>
    </row>
    <row r="905">
      <c r="A905" s="13"/>
      <c r="D905" s="3"/>
      <c r="G905" s="3"/>
      <c r="J905" s="3"/>
    </row>
    <row r="906">
      <c r="A906" s="13"/>
      <c r="D906" s="3"/>
      <c r="G906" s="3"/>
      <c r="J906" s="3"/>
    </row>
    <row r="907">
      <c r="A907" s="13"/>
      <c r="D907" s="3"/>
      <c r="G907" s="3"/>
      <c r="J907" s="3"/>
    </row>
    <row r="908">
      <c r="A908" s="13"/>
      <c r="D908" s="3"/>
      <c r="G908" s="3"/>
      <c r="J908" s="3"/>
    </row>
    <row r="909">
      <c r="A909" s="13"/>
      <c r="D909" s="3"/>
      <c r="G909" s="3"/>
      <c r="J909" s="3"/>
    </row>
    <row r="910">
      <c r="A910" s="13"/>
      <c r="D910" s="3"/>
      <c r="G910" s="3"/>
      <c r="J910" s="3"/>
    </row>
    <row r="911">
      <c r="A911" s="13"/>
      <c r="D911" s="3"/>
      <c r="G911" s="3"/>
      <c r="J911" s="3"/>
    </row>
    <row r="912">
      <c r="A912" s="13"/>
      <c r="D912" s="3"/>
      <c r="G912" s="3"/>
      <c r="J912" s="3"/>
    </row>
    <row r="913">
      <c r="A913" s="13"/>
      <c r="D913" s="3"/>
      <c r="G913" s="3"/>
      <c r="J913" s="3"/>
    </row>
    <row r="914">
      <c r="A914" s="13"/>
      <c r="D914" s="3"/>
      <c r="G914" s="3"/>
      <c r="J914" s="3"/>
    </row>
    <row r="915">
      <c r="A915" s="13"/>
      <c r="D915" s="3"/>
      <c r="G915" s="3"/>
      <c r="J915" s="3"/>
    </row>
    <row r="916">
      <c r="A916" s="13"/>
      <c r="D916" s="3"/>
      <c r="G916" s="3"/>
      <c r="J916" s="3"/>
    </row>
    <row r="917">
      <c r="A917" s="13"/>
      <c r="D917" s="3"/>
      <c r="G917" s="3"/>
      <c r="J917" s="3"/>
    </row>
    <row r="918">
      <c r="A918" s="13"/>
      <c r="D918" s="3"/>
      <c r="G918" s="3"/>
      <c r="J918" s="3"/>
    </row>
    <row r="919">
      <c r="A919" s="13"/>
      <c r="D919" s="3"/>
      <c r="G919" s="3"/>
      <c r="J919" s="3"/>
    </row>
    <row r="920">
      <c r="A920" s="13"/>
      <c r="D920" s="3"/>
      <c r="G920" s="3"/>
      <c r="J920" s="3"/>
    </row>
    <row r="921">
      <c r="A921" s="13"/>
      <c r="D921" s="3"/>
      <c r="G921" s="3"/>
      <c r="J921" s="3"/>
    </row>
    <row r="922">
      <c r="A922" s="13"/>
      <c r="D922" s="3"/>
      <c r="G922" s="3"/>
      <c r="J922" s="3"/>
    </row>
    <row r="923">
      <c r="A923" s="13"/>
      <c r="D923" s="3"/>
      <c r="G923" s="3"/>
      <c r="J923" s="3"/>
    </row>
    <row r="924">
      <c r="A924" s="13"/>
      <c r="D924" s="3"/>
      <c r="G924" s="3"/>
      <c r="J924" s="3"/>
    </row>
    <row r="925">
      <c r="A925" s="13"/>
      <c r="D925" s="3"/>
      <c r="G925" s="3"/>
      <c r="J925" s="3"/>
    </row>
    <row r="926">
      <c r="A926" s="13"/>
      <c r="D926" s="3"/>
      <c r="G926" s="3"/>
      <c r="J926" s="3"/>
    </row>
    <row r="927">
      <c r="A927" s="13"/>
      <c r="D927" s="3"/>
      <c r="G927" s="3"/>
      <c r="J927" s="3"/>
    </row>
    <row r="928">
      <c r="A928" s="13"/>
      <c r="D928" s="3"/>
      <c r="G928" s="3"/>
      <c r="J928" s="3"/>
    </row>
    <row r="929">
      <c r="A929" s="13"/>
      <c r="D929" s="3"/>
      <c r="G929" s="3"/>
      <c r="J929" s="3"/>
    </row>
    <row r="930">
      <c r="A930" s="13"/>
      <c r="D930" s="3"/>
      <c r="G930" s="3"/>
      <c r="J930" s="3"/>
    </row>
    <row r="931">
      <c r="A931" s="13"/>
      <c r="D931" s="3"/>
      <c r="G931" s="3"/>
      <c r="J931" s="3"/>
    </row>
    <row r="932">
      <c r="A932" s="13"/>
      <c r="D932" s="3"/>
      <c r="G932" s="3"/>
      <c r="J932" s="3"/>
    </row>
    <row r="933">
      <c r="A933" s="13"/>
      <c r="D933" s="3"/>
      <c r="G933" s="3"/>
      <c r="J933" s="3"/>
    </row>
    <row r="934">
      <c r="A934" s="13"/>
      <c r="D934" s="3"/>
      <c r="G934" s="3"/>
      <c r="J934" s="3"/>
    </row>
    <row r="935">
      <c r="A935" s="13"/>
      <c r="D935" s="3"/>
      <c r="G935" s="3"/>
      <c r="J935" s="3"/>
    </row>
    <row r="936">
      <c r="A936" s="13"/>
      <c r="D936" s="3"/>
      <c r="G936" s="3"/>
      <c r="J936" s="3"/>
    </row>
    <row r="937">
      <c r="A937" s="13"/>
      <c r="D937" s="3"/>
      <c r="G937" s="3"/>
      <c r="J937" s="3"/>
    </row>
    <row r="938">
      <c r="A938" s="13"/>
      <c r="D938" s="3"/>
      <c r="G938" s="3"/>
      <c r="J938" s="3"/>
    </row>
    <row r="939">
      <c r="A939" s="13"/>
      <c r="D939" s="3"/>
      <c r="G939" s="3"/>
      <c r="J939" s="3"/>
    </row>
    <row r="940">
      <c r="A940" s="13"/>
      <c r="D940" s="3"/>
      <c r="G940" s="3"/>
      <c r="J940" s="3"/>
    </row>
    <row r="941">
      <c r="A941" s="13"/>
      <c r="D941" s="3"/>
      <c r="G941" s="3"/>
      <c r="J941" s="3"/>
    </row>
    <row r="942">
      <c r="A942" s="13"/>
      <c r="D942" s="3"/>
      <c r="G942" s="3"/>
      <c r="J942" s="3"/>
    </row>
    <row r="943">
      <c r="A943" s="13"/>
      <c r="D943" s="3"/>
      <c r="G943" s="3"/>
      <c r="J943" s="3"/>
    </row>
    <row r="944">
      <c r="A944" s="13"/>
      <c r="D944" s="3"/>
      <c r="G944" s="3"/>
      <c r="J944" s="3"/>
    </row>
    <row r="945">
      <c r="A945" s="13"/>
      <c r="D945" s="3"/>
      <c r="G945" s="3"/>
      <c r="J945" s="3"/>
    </row>
    <row r="946">
      <c r="A946" s="13"/>
      <c r="D946" s="3"/>
      <c r="G946" s="3"/>
      <c r="J946" s="3"/>
    </row>
    <row r="947">
      <c r="A947" s="13"/>
      <c r="D947" s="3"/>
      <c r="G947" s="3"/>
      <c r="J947" s="3"/>
    </row>
    <row r="948">
      <c r="A948" s="13"/>
      <c r="D948" s="3"/>
      <c r="G948" s="3"/>
      <c r="J948" s="3"/>
    </row>
    <row r="949">
      <c r="A949" s="13"/>
      <c r="D949" s="3"/>
      <c r="G949" s="3"/>
      <c r="J949" s="3"/>
    </row>
    <row r="950">
      <c r="A950" s="13"/>
      <c r="D950" s="3"/>
      <c r="G950" s="3"/>
      <c r="J950" s="3"/>
    </row>
    <row r="951">
      <c r="A951" s="13"/>
      <c r="D951" s="3"/>
      <c r="G951" s="3"/>
      <c r="J951" s="3"/>
    </row>
    <row r="952">
      <c r="A952" s="13"/>
      <c r="D952" s="3"/>
      <c r="G952" s="3"/>
      <c r="J952" s="3"/>
    </row>
    <row r="953">
      <c r="A953" s="13"/>
      <c r="D953" s="3"/>
      <c r="G953" s="3"/>
      <c r="J953" s="3"/>
    </row>
    <row r="954">
      <c r="A954" s="13"/>
      <c r="D954" s="3"/>
      <c r="G954" s="3"/>
      <c r="J954" s="3"/>
    </row>
    <row r="955">
      <c r="A955" s="13"/>
      <c r="D955" s="3"/>
      <c r="G955" s="3"/>
      <c r="J955" s="3"/>
    </row>
    <row r="956">
      <c r="A956" s="13"/>
      <c r="D956" s="3"/>
      <c r="G956" s="3"/>
      <c r="J956" s="3"/>
    </row>
    <row r="957">
      <c r="A957" s="13"/>
      <c r="D957" s="3"/>
      <c r="G957" s="3"/>
      <c r="J957" s="3"/>
    </row>
    <row r="958">
      <c r="A958" s="13"/>
      <c r="D958" s="3"/>
      <c r="G958" s="3"/>
      <c r="J958" s="3"/>
    </row>
    <row r="959">
      <c r="A959" s="13"/>
      <c r="D959" s="3"/>
      <c r="G959" s="3"/>
      <c r="J959" s="3"/>
    </row>
    <row r="960">
      <c r="A960" s="13"/>
      <c r="D960" s="3"/>
      <c r="G960" s="3"/>
      <c r="J960" s="3"/>
    </row>
    <row r="961">
      <c r="A961" s="13"/>
      <c r="D961" s="3"/>
      <c r="G961" s="3"/>
      <c r="J961" s="3"/>
    </row>
    <row r="962">
      <c r="A962" s="13"/>
      <c r="D962" s="3"/>
      <c r="G962" s="3"/>
      <c r="J962" s="3"/>
    </row>
    <row r="963">
      <c r="A963" s="13"/>
      <c r="D963" s="3"/>
      <c r="G963" s="3"/>
      <c r="J963" s="3"/>
    </row>
    <row r="964">
      <c r="A964" s="13"/>
      <c r="D964" s="3"/>
      <c r="G964" s="3"/>
      <c r="J964" s="3"/>
    </row>
    <row r="965">
      <c r="A965" s="13"/>
      <c r="D965" s="3"/>
      <c r="G965" s="3"/>
      <c r="J965" s="3"/>
    </row>
    <row r="966">
      <c r="A966" s="13"/>
      <c r="D966" s="3"/>
      <c r="G966" s="3"/>
      <c r="J966" s="3"/>
    </row>
    <row r="967">
      <c r="A967" s="13"/>
      <c r="D967" s="3"/>
      <c r="G967" s="3"/>
      <c r="J967" s="3"/>
    </row>
    <row r="968">
      <c r="A968" s="13"/>
      <c r="D968" s="3"/>
      <c r="G968" s="3"/>
      <c r="J968" s="3"/>
    </row>
    <row r="969">
      <c r="A969" s="13"/>
      <c r="D969" s="3"/>
      <c r="G969" s="3"/>
      <c r="J969" s="3"/>
    </row>
    <row r="970">
      <c r="A970" s="13"/>
      <c r="D970" s="3"/>
      <c r="G970" s="3"/>
      <c r="J970" s="3"/>
    </row>
    <row r="971">
      <c r="A971" s="13"/>
      <c r="D971" s="3"/>
      <c r="G971" s="3"/>
      <c r="J971" s="3"/>
    </row>
    <row r="972">
      <c r="A972" s="13"/>
      <c r="D972" s="3"/>
      <c r="G972" s="3"/>
      <c r="J972" s="3"/>
    </row>
    <row r="973">
      <c r="A973" s="13"/>
      <c r="D973" s="3"/>
      <c r="G973" s="3"/>
      <c r="J973" s="3"/>
    </row>
    <row r="974">
      <c r="A974" s="13"/>
      <c r="D974" s="3"/>
      <c r="G974" s="3"/>
      <c r="J974" s="3"/>
    </row>
    <row r="975">
      <c r="A975" s="13"/>
      <c r="D975" s="3"/>
      <c r="G975" s="3"/>
      <c r="J975" s="3"/>
    </row>
    <row r="976">
      <c r="A976" s="13"/>
      <c r="D976" s="3"/>
      <c r="G976" s="3"/>
      <c r="J976" s="3"/>
    </row>
    <row r="977">
      <c r="A977" s="13"/>
      <c r="D977" s="3"/>
      <c r="G977" s="3"/>
      <c r="J977" s="3"/>
    </row>
    <row r="978">
      <c r="A978" s="13"/>
      <c r="D978" s="3"/>
      <c r="G978" s="3"/>
      <c r="J978" s="3"/>
    </row>
    <row r="979">
      <c r="A979" s="13"/>
      <c r="D979" s="3"/>
      <c r="G979" s="3"/>
      <c r="J979" s="3"/>
    </row>
    <row r="980">
      <c r="A980" s="13"/>
      <c r="D980" s="3"/>
      <c r="G980" s="3"/>
      <c r="J980" s="3"/>
    </row>
    <row r="981">
      <c r="A981" s="13"/>
      <c r="D981" s="3"/>
      <c r="G981" s="3"/>
      <c r="J981" s="3"/>
    </row>
    <row r="982">
      <c r="A982" s="13"/>
      <c r="D982" s="3"/>
      <c r="G982" s="3"/>
      <c r="J982" s="3"/>
    </row>
    <row r="983">
      <c r="A983" s="13"/>
      <c r="D983" s="3"/>
      <c r="G983" s="3"/>
      <c r="J983" s="3"/>
    </row>
    <row r="984">
      <c r="A984" s="13"/>
      <c r="D984" s="3"/>
      <c r="G984" s="3"/>
      <c r="J984" s="3"/>
    </row>
    <row r="985">
      <c r="A985" s="13"/>
      <c r="D985" s="3"/>
      <c r="G985" s="3"/>
      <c r="J985" s="3"/>
    </row>
    <row r="986">
      <c r="A986" s="13"/>
      <c r="D986" s="3"/>
      <c r="G986" s="3"/>
      <c r="J986" s="3"/>
    </row>
    <row r="987">
      <c r="A987" s="13"/>
      <c r="D987" s="3"/>
      <c r="G987" s="3"/>
      <c r="J987" s="3"/>
    </row>
    <row r="988">
      <c r="A988" s="13"/>
      <c r="D988" s="3"/>
      <c r="G988" s="3"/>
      <c r="J988" s="3"/>
    </row>
    <row r="989">
      <c r="A989" s="13"/>
      <c r="D989" s="3"/>
      <c r="G989" s="3"/>
      <c r="J989" s="3"/>
    </row>
    <row r="990">
      <c r="A990" s="13"/>
      <c r="D990" s="3"/>
      <c r="G990" s="3"/>
      <c r="J990" s="3"/>
    </row>
    <row r="991">
      <c r="A991" s="13"/>
      <c r="D991" s="3"/>
      <c r="G991" s="3"/>
      <c r="J991" s="3"/>
    </row>
    <row r="992">
      <c r="A992" s="13"/>
      <c r="D992" s="3"/>
      <c r="G992" s="3"/>
      <c r="J992" s="3"/>
    </row>
    <row r="993">
      <c r="A993" s="13"/>
      <c r="D993" s="3"/>
      <c r="G993" s="3"/>
      <c r="J993" s="3"/>
    </row>
    <row r="994">
      <c r="A994" s="13"/>
      <c r="D994" s="3"/>
      <c r="G994" s="3"/>
      <c r="J994" s="3"/>
    </row>
    <row r="995">
      <c r="A995" s="13"/>
      <c r="D995" s="3"/>
      <c r="G995" s="3"/>
      <c r="J995" s="3"/>
    </row>
    <row r="996">
      <c r="A996" s="13"/>
      <c r="D996" s="3"/>
      <c r="G996" s="3"/>
      <c r="J996" s="3"/>
    </row>
    <row r="997">
      <c r="A997" s="13"/>
      <c r="D997" s="3"/>
      <c r="G997" s="3"/>
      <c r="J997" s="3"/>
    </row>
    <row r="998">
      <c r="A998" s="13"/>
      <c r="D998" s="3"/>
      <c r="G998" s="3"/>
      <c r="J998" s="3"/>
    </row>
    <row r="999">
      <c r="A999" s="13"/>
      <c r="D999" s="3"/>
      <c r="G999" s="3"/>
      <c r="J999" s="3"/>
    </row>
    <row r="1000">
      <c r="A1000" s="13"/>
      <c r="D1000" s="3"/>
      <c r="G1000" s="3"/>
      <c r="J1000" s="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tr">
        <f>IFERROR(__xludf.DUMMYFUNCTION("IFERROR(QUERY(JAN_2023!A:I, ""SELECT * WHERE D IS NOT NULL AND UPPER(I) = ''"", 1), ""Data KOSONG belum ditemukan"")"),"Data KOSONG belum ditemukan")</f>
        <v>Data KOSONG belum ditemukan</v>
      </c>
      <c r="D1" s="3"/>
      <c r="G1" s="3"/>
      <c r="J1" s="3">
        <f>SUM(D1:D1000)</f>
        <v>0</v>
      </c>
    </row>
    <row r="2">
      <c r="A2" s="15"/>
      <c r="D2" s="3"/>
      <c r="G2" s="3"/>
      <c r="J2" s="3"/>
    </row>
    <row r="3">
      <c r="A3" s="15"/>
      <c r="D3" s="3"/>
      <c r="G3" s="3"/>
      <c r="J3" s="3"/>
    </row>
    <row r="4">
      <c r="A4" s="15"/>
      <c r="D4" s="3"/>
      <c r="G4" s="3"/>
      <c r="J4" s="3"/>
    </row>
    <row r="5">
      <c r="A5" s="15"/>
      <c r="D5" s="3"/>
      <c r="G5" s="3"/>
      <c r="J5" s="3"/>
    </row>
    <row r="6">
      <c r="A6" s="15"/>
      <c r="D6" s="3"/>
      <c r="G6" s="3"/>
      <c r="J6" s="3"/>
    </row>
    <row r="7">
      <c r="A7" s="15"/>
      <c r="D7" s="3"/>
      <c r="G7" s="3"/>
      <c r="J7" s="3"/>
    </row>
    <row r="8">
      <c r="A8" s="15"/>
      <c r="D8" s="3"/>
      <c r="G8" s="3"/>
      <c r="J8" s="3"/>
    </row>
    <row r="9">
      <c r="A9" s="15"/>
      <c r="D9" s="3"/>
      <c r="G9" s="3"/>
      <c r="J9" s="3"/>
    </row>
    <row r="10">
      <c r="A10" s="15"/>
      <c r="D10" s="3"/>
      <c r="G10" s="3"/>
      <c r="J10" s="3"/>
    </row>
    <row r="11">
      <c r="A11" s="15"/>
      <c r="D11" s="3"/>
      <c r="G11" s="3"/>
      <c r="J11" s="3"/>
    </row>
    <row r="12">
      <c r="A12" s="15"/>
      <c r="D12" s="3"/>
      <c r="G12" s="3"/>
      <c r="J12" s="3"/>
    </row>
    <row r="13">
      <c r="A13" s="15"/>
      <c r="D13" s="3"/>
      <c r="G13" s="3"/>
      <c r="J13" s="3"/>
    </row>
    <row r="14">
      <c r="A14" s="15"/>
      <c r="D14" s="3"/>
      <c r="G14" s="3"/>
      <c r="J14" s="3"/>
    </row>
    <row r="15">
      <c r="A15" s="15"/>
      <c r="D15" s="3"/>
      <c r="G15" s="3"/>
      <c r="J15" s="3"/>
    </row>
    <row r="16">
      <c r="A16" s="15"/>
      <c r="D16" s="3"/>
      <c r="G16" s="3"/>
      <c r="J16" s="3"/>
    </row>
    <row r="17">
      <c r="A17" s="15"/>
      <c r="D17" s="3"/>
      <c r="G17" s="3"/>
      <c r="J17" s="3"/>
    </row>
    <row r="18">
      <c r="A18" s="15"/>
      <c r="D18" s="3"/>
      <c r="G18" s="3"/>
      <c r="J18" s="3"/>
    </row>
    <row r="19">
      <c r="A19" s="15"/>
      <c r="D19" s="3"/>
      <c r="G19" s="3"/>
      <c r="J19" s="3"/>
    </row>
    <row r="20">
      <c r="A20" s="15"/>
      <c r="D20" s="3"/>
      <c r="G20" s="3"/>
      <c r="J20" s="3"/>
    </row>
    <row r="21">
      <c r="A21" s="15"/>
      <c r="D21" s="3"/>
      <c r="G21" s="3"/>
      <c r="J21" s="3"/>
    </row>
    <row r="22">
      <c r="A22" s="15"/>
      <c r="D22" s="3"/>
      <c r="G22" s="3"/>
      <c r="J22" s="3"/>
    </row>
    <row r="23">
      <c r="A23" s="15"/>
      <c r="D23" s="3"/>
      <c r="G23" s="3"/>
      <c r="J23" s="3"/>
    </row>
    <row r="24">
      <c r="A24" s="15"/>
      <c r="D24" s="3"/>
      <c r="G24" s="3"/>
      <c r="J24" s="3"/>
    </row>
    <row r="25">
      <c r="A25" s="15"/>
      <c r="D25" s="3"/>
      <c r="G25" s="3"/>
      <c r="J25" s="3"/>
    </row>
    <row r="26">
      <c r="A26" s="15"/>
      <c r="D26" s="3"/>
      <c r="G26" s="3"/>
      <c r="J26" s="3"/>
    </row>
    <row r="27">
      <c r="A27" s="15"/>
      <c r="D27" s="3"/>
      <c r="G27" s="3"/>
      <c r="J27" s="3"/>
    </row>
    <row r="28">
      <c r="A28" s="15"/>
      <c r="D28" s="3"/>
      <c r="G28" s="3"/>
      <c r="J28" s="3"/>
    </row>
    <row r="29">
      <c r="A29" s="15"/>
      <c r="D29" s="3"/>
      <c r="G29" s="3"/>
      <c r="J29" s="3"/>
    </row>
    <row r="30">
      <c r="A30" s="15"/>
      <c r="D30" s="3"/>
      <c r="G30" s="3"/>
      <c r="J30" s="3"/>
    </row>
    <row r="31">
      <c r="A31" s="15"/>
      <c r="D31" s="3"/>
      <c r="G31" s="3"/>
      <c r="J31" s="3"/>
    </row>
    <row r="32">
      <c r="A32" s="15"/>
      <c r="D32" s="3"/>
      <c r="G32" s="3"/>
      <c r="J32" s="3"/>
    </row>
    <row r="33">
      <c r="A33" s="15"/>
      <c r="D33" s="3"/>
      <c r="G33" s="3"/>
      <c r="J33" s="3"/>
    </row>
    <row r="34">
      <c r="A34" s="15"/>
      <c r="D34" s="3"/>
      <c r="G34" s="3"/>
      <c r="J34" s="3"/>
    </row>
    <row r="35">
      <c r="A35" s="15"/>
      <c r="D35" s="3"/>
      <c r="G35" s="3"/>
      <c r="J35" s="3"/>
    </row>
    <row r="36">
      <c r="A36" s="15"/>
      <c r="D36" s="3"/>
      <c r="G36" s="3"/>
      <c r="J36" s="3"/>
    </row>
    <row r="37">
      <c r="A37" s="15"/>
      <c r="D37" s="3"/>
      <c r="G37" s="3"/>
      <c r="J37" s="3"/>
    </row>
    <row r="38">
      <c r="A38" s="15"/>
      <c r="D38" s="3"/>
      <c r="G38" s="3"/>
      <c r="J38" s="3"/>
    </row>
    <row r="39">
      <c r="A39" s="15"/>
      <c r="D39" s="3"/>
      <c r="G39" s="3"/>
      <c r="J39" s="3"/>
    </row>
    <row r="40">
      <c r="A40" s="15"/>
      <c r="D40" s="3"/>
      <c r="G40" s="3"/>
      <c r="J40" s="3"/>
    </row>
    <row r="41">
      <c r="A41" s="15"/>
      <c r="D41" s="3"/>
      <c r="G41" s="3"/>
      <c r="J41" s="3"/>
    </row>
    <row r="42">
      <c r="A42" s="15"/>
      <c r="D42" s="3"/>
      <c r="G42" s="3"/>
      <c r="J42" s="3"/>
    </row>
    <row r="43">
      <c r="A43" s="15"/>
      <c r="D43" s="3"/>
      <c r="G43" s="3"/>
      <c r="J43" s="3"/>
    </row>
    <row r="44">
      <c r="A44" s="15"/>
      <c r="D44" s="3"/>
      <c r="G44" s="3"/>
      <c r="J44" s="3"/>
    </row>
    <row r="45">
      <c r="A45" s="15"/>
      <c r="D45" s="3"/>
      <c r="G45" s="3"/>
      <c r="J45" s="3"/>
    </row>
    <row r="46">
      <c r="A46" s="15"/>
      <c r="D46" s="3"/>
      <c r="G46" s="3"/>
      <c r="J46" s="3"/>
    </row>
    <row r="47">
      <c r="A47" s="15"/>
      <c r="D47" s="3"/>
      <c r="G47" s="3"/>
      <c r="J47" s="3"/>
    </row>
    <row r="48">
      <c r="A48" s="15"/>
      <c r="D48" s="3"/>
      <c r="G48" s="3"/>
      <c r="J48" s="3"/>
    </row>
    <row r="49">
      <c r="A49" s="15"/>
      <c r="D49" s="3"/>
      <c r="G49" s="3"/>
      <c r="J49" s="3"/>
    </row>
    <row r="50">
      <c r="A50" s="15"/>
      <c r="D50" s="3"/>
      <c r="G50" s="3"/>
      <c r="J50" s="3"/>
    </row>
    <row r="51">
      <c r="A51" s="15"/>
      <c r="D51" s="3"/>
      <c r="G51" s="3"/>
      <c r="J51" s="3"/>
    </row>
    <row r="52">
      <c r="A52" s="15"/>
      <c r="D52" s="3"/>
      <c r="G52" s="3"/>
      <c r="J52" s="3"/>
    </row>
    <row r="53">
      <c r="A53" s="15"/>
      <c r="D53" s="3"/>
      <c r="G53" s="3"/>
      <c r="J53" s="3"/>
    </row>
    <row r="54">
      <c r="A54" s="15"/>
      <c r="D54" s="3"/>
      <c r="G54" s="3"/>
      <c r="J54" s="3"/>
    </row>
    <row r="55">
      <c r="A55" s="15"/>
      <c r="D55" s="3"/>
      <c r="G55" s="3"/>
      <c r="J55" s="3"/>
    </row>
    <row r="56">
      <c r="A56" s="15"/>
      <c r="D56" s="3"/>
      <c r="G56" s="3"/>
      <c r="J56" s="3"/>
    </row>
    <row r="57">
      <c r="A57" s="15"/>
      <c r="D57" s="3"/>
      <c r="G57" s="3"/>
      <c r="J57" s="3"/>
    </row>
    <row r="58">
      <c r="A58" s="15"/>
      <c r="D58" s="3"/>
      <c r="G58" s="3"/>
      <c r="J58" s="3"/>
    </row>
    <row r="59">
      <c r="A59" s="15"/>
      <c r="D59" s="3"/>
      <c r="G59" s="3"/>
      <c r="J59" s="3"/>
    </row>
    <row r="60">
      <c r="A60" s="15"/>
      <c r="D60" s="3"/>
      <c r="G60" s="3"/>
      <c r="J60" s="3"/>
    </row>
    <row r="61">
      <c r="A61" s="15"/>
      <c r="D61" s="3"/>
      <c r="G61" s="3"/>
      <c r="J61" s="3"/>
    </row>
    <row r="62">
      <c r="A62" s="15"/>
      <c r="D62" s="3"/>
      <c r="G62" s="3"/>
      <c r="J62" s="3"/>
    </row>
    <row r="63">
      <c r="A63" s="15"/>
      <c r="D63" s="3"/>
      <c r="G63" s="3"/>
      <c r="J63" s="3"/>
    </row>
    <row r="64">
      <c r="A64" s="15"/>
      <c r="D64" s="3"/>
      <c r="G64" s="3"/>
      <c r="J64" s="3"/>
    </row>
    <row r="65">
      <c r="A65" s="15"/>
      <c r="D65" s="3"/>
      <c r="G65" s="3"/>
      <c r="J65" s="3"/>
    </row>
    <row r="66">
      <c r="A66" s="15"/>
      <c r="D66" s="3"/>
      <c r="G66" s="3"/>
      <c r="J66" s="3"/>
    </row>
    <row r="67">
      <c r="A67" s="15"/>
      <c r="D67" s="3"/>
      <c r="G67" s="3"/>
      <c r="J67" s="3"/>
    </row>
    <row r="68">
      <c r="A68" s="15"/>
      <c r="D68" s="3"/>
      <c r="G68" s="3"/>
      <c r="J68" s="3"/>
    </row>
    <row r="69">
      <c r="A69" s="15"/>
      <c r="D69" s="3"/>
      <c r="G69" s="3"/>
      <c r="J69" s="3"/>
    </row>
    <row r="70">
      <c r="A70" s="15"/>
      <c r="D70" s="3"/>
      <c r="G70" s="3"/>
      <c r="J70" s="3"/>
    </row>
    <row r="71">
      <c r="A71" s="15"/>
      <c r="D71" s="3"/>
      <c r="G71" s="3"/>
      <c r="J71" s="3"/>
    </row>
    <row r="72">
      <c r="A72" s="15"/>
      <c r="D72" s="3"/>
      <c r="G72" s="3"/>
      <c r="J72" s="3"/>
    </row>
    <row r="73">
      <c r="A73" s="15"/>
      <c r="D73" s="3"/>
      <c r="G73" s="3"/>
      <c r="J73" s="3"/>
    </row>
    <row r="74">
      <c r="A74" s="15"/>
      <c r="D74" s="3"/>
      <c r="G74" s="3"/>
      <c r="J74" s="3"/>
    </row>
    <row r="75">
      <c r="A75" s="15"/>
      <c r="D75" s="3"/>
      <c r="G75" s="3"/>
      <c r="J75" s="3"/>
    </row>
    <row r="76">
      <c r="A76" s="15"/>
      <c r="D76" s="3"/>
      <c r="G76" s="3"/>
      <c r="J76" s="3"/>
    </row>
    <row r="77">
      <c r="A77" s="15"/>
      <c r="D77" s="3"/>
      <c r="G77" s="3"/>
      <c r="J77" s="3"/>
    </row>
    <row r="78">
      <c r="A78" s="15"/>
      <c r="D78" s="3"/>
      <c r="G78" s="3"/>
      <c r="J78" s="3"/>
    </row>
    <row r="79">
      <c r="A79" s="15"/>
      <c r="D79" s="3"/>
      <c r="G79" s="3"/>
      <c r="J79" s="3"/>
    </row>
    <row r="80">
      <c r="A80" s="15"/>
      <c r="D80" s="3"/>
      <c r="G80" s="3"/>
      <c r="J80" s="3"/>
    </row>
    <row r="81">
      <c r="A81" s="15"/>
      <c r="D81" s="3"/>
      <c r="G81" s="3"/>
      <c r="J81" s="3"/>
    </row>
    <row r="82">
      <c r="A82" s="15"/>
      <c r="D82" s="3"/>
      <c r="G82" s="3"/>
      <c r="J82" s="3"/>
    </row>
    <row r="83">
      <c r="A83" s="15"/>
      <c r="D83" s="3"/>
      <c r="G83" s="3"/>
      <c r="J83" s="3"/>
    </row>
    <row r="84">
      <c r="A84" s="15"/>
      <c r="D84" s="3"/>
      <c r="G84" s="3"/>
      <c r="J84" s="3"/>
    </row>
    <row r="85">
      <c r="A85" s="15"/>
      <c r="D85" s="3"/>
      <c r="G85" s="3"/>
      <c r="J85" s="3"/>
    </row>
    <row r="86">
      <c r="A86" s="15"/>
      <c r="D86" s="3"/>
      <c r="G86" s="3"/>
      <c r="J86" s="3"/>
    </row>
    <row r="87">
      <c r="A87" s="15"/>
      <c r="D87" s="3"/>
      <c r="G87" s="3"/>
      <c r="J87" s="3"/>
    </row>
    <row r="88">
      <c r="A88" s="15"/>
      <c r="D88" s="3"/>
      <c r="G88" s="3"/>
      <c r="J88" s="3"/>
    </row>
    <row r="89">
      <c r="A89" s="15"/>
      <c r="D89" s="3"/>
      <c r="G89" s="3"/>
      <c r="J89" s="3"/>
    </row>
    <row r="90">
      <c r="A90" s="15"/>
      <c r="D90" s="3"/>
      <c r="G90" s="3"/>
      <c r="J90" s="3"/>
    </row>
    <row r="91">
      <c r="A91" s="15"/>
      <c r="D91" s="3"/>
      <c r="G91" s="3"/>
      <c r="J91" s="3"/>
    </row>
    <row r="92">
      <c r="A92" s="15"/>
      <c r="D92" s="3"/>
      <c r="G92" s="3"/>
      <c r="J92" s="3"/>
    </row>
    <row r="93">
      <c r="A93" s="15"/>
      <c r="D93" s="3"/>
      <c r="G93" s="3"/>
      <c r="J93" s="3"/>
    </row>
    <row r="94">
      <c r="A94" s="15"/>
      <c r="D94" s="3"/>
      <c r="G94" s="3"/>
      <c r="J94" s="3"/>
    </row>
    <row r="95">
      <c r="A95" s="15"/>
      <c r="D95" s="3"/>
      <c r="G95" s="3"/>
      <c r="J95" s="3"/>
    </row>
    <row r="96">
      <c r="A96" s="15"/>
      <c r="D96" s="3"/>
      <c r="G96" s="3"/>
      <c r="J96" s="3"/>
    </row>
    <row r="97">
      <c r="A97" s="15"/>
      <c r="D97" s="3"/>
      <c r="G97" s="3"/>
      <c r="J97" s="3"/>
    </row>
    <row r="98">
      <c r="A98" s="15"/>
      <c r="D98" s="3"/>
      <c r="G98" s="3"/>
      <c r="J98" s="3"/>
    </row>
    <row r="99">
      <c r="A99" s="15"/>
      <c r="D99" s="3"/>
      <c r="G99" s="3"/>
      <c r="J99" s="3"/>
    </row>
    <row r="100">
      <c r="A100" s="15"/>
      <c r="D100" s="3"/>
      <c r="G100" s="3"/>
      <c r="J100" s="3"/>
    </row>
    <row r="101">
      <c r="A101" s="15"/>
      <c r="D101" s="3"/>
      <c r="G101" s="3"/>
      <c r="J101" s="3"/>
    </row>
    <row r="102">
      <c r="A102" s="15"/>
      <c r="D102" s="3"/>
      <c r="G102" s="3"/>
      <c r="J102" s="3"/>
    </row>
    <row r="103">
      <c r="A103" s="15"/>
      <c r="D103" s="3"/>
      <c r="G103" s="3"/>
      <c r="J103" s="3"/>
    </row>
    <row r="104">
      <c r="A104" s="15"/>
      <c r="D104" s="3"/>
      <c r="G104" s="3"/>
      <c r="J104" s="3"/>
    </row>
    <row r="105">
      <c r="A105" s="15"/>
      <c r="D105" s="3"/>
      <c r="G105" s="3"/>
      <c r="J105" s="3"/>
    </row>
    <row r="106">
      <c r="A106" s="15"/>
      <c r="D106" s="3"/>
      <c r="G106" s="3"/>
      <c r="J106" s="3"/>
    </row>
    <row r="107">
      <c r="A107" s="15"/>
      <c r="D107" s="3"/>
      <c r="G107" s="3"/>
      <c r="J107" s="3"/>
    </row>
    <row r="108">
      <c r="A108" s="15"/>
      <c r="D108" s="3"/>
      <c r="G108" s="3"/>
      <c r="J108" s="3"/>
    </row>
    <row r="109">
      <c r="A109" s="15"/>
      <c r="D109" s="3"/>
      <c r="G109" s="3"/>
      <c r="J109" s="3"/>
    </row>
    <row r="110">
      <c r="A110" s="15"/>
      <c r="D110" s="3"/>
      <c r="G110" s="3"/>
      <c r="J110" s="3"/>
    </row>
    <row r="111">
      <c r="A111" s="15"/>
      <c r="D111" s="3"/>
      <c r="G111" s="3"/>
      <c r="J111" s="3"/>
    </row>
    <row r="112">
      <c r="A112" s="15"/>
      <c r="D112" s="3"/>
      <c r="G112" s="3"/>
      <c r="J112" s="3"/>
    </row>
    <row r="113">
      <c r="A113" s="15"/>
      <c r="D113" s="3"/>
      <c r="G113" s="3"/>
      <c r="J113" s="3"/>
    </row>
    <row r="114">
      <c r="A114" s="15"/>
      <c r="D114" s="3"/>
      <c r="G114" s="3"/>
      <c r="J114" s="3"/>
    </row>
    <row r="115">
      <c r="A115" s="15"/>
      <c r="D115" s="3"/>
      <c r="G115" s="3"/>
      <c r="J115" s="3"/>
    </row>
    <row r="116">
      <c r="A116" s="15"/>
      <c r="D116" s="3"/>
      <c r="G116" s="3"/>
      <c r="J116" s="3"/>
    </row>
    <row r="117">
      <c r="A117" s="15"/>
      <c r="D117" s="3"/>
      <c r="G117" s="3"/>
      <c r="J117" s="3"/>
    </row>
    <row r="118">
      <c r="A118" s="15"/>
      <c r="D118" s="3"/>
      <c r="G118" s="3"/>
      <c r="J118" s="3"/>
    </row>
    <row r="119">
      <c r="A119" s="15"/>
      <c r="D119" s="3"/>
      <c r="G119" s="3"/>
      <c r="J119" s="3"/>
    </row>
    <row r="120">
      <c r="A120" s="15"/>
      <c r="D120" s="3"/>
      <c r="G120" s="3"/>
      <c r="J120" s="3"/>
    </row>
    <row r="121">
      <c r="A121" s="15"/>
      <c r="D121" s="3"/>
      <c r="G121" s="3"/>
      <c r="J121" s="3"/>
    </row>
    <row r="122">
      <c r="A122" s="15"/>
      <c r="D122" s="3"/>
      <c r="G122" s="3"/>
      <c r="J122" s="3"/>
    </row>
    <row r="123">
      <c r="A123" s="15"/>
      <c r="D123" s="3"/>
      <c r="G123" s="3"/>
      <c r="J123" s="3"/>
    </row>
    <row r="124">
      <c r="A124" s="15"/>
      <c r="D124" s="3"/>
      <c r="G124" s="3"/>
      <c r="J124" s="3"/>
    </row>
    <row r="125">
      <c r="A125" s="15"/>
      <c r="D125" s="3"/>
      <c r="G125" s="3"/>
      <c r="J125" s="3"/>
    </row>
    <row r="126">
      <c r="A126" s="15"/>
      <c r="D126" s="3"/>
      <c r="G126" s="3"/>
      <c r="J126" s="3"/>
    </row>
    <row r="127">
      <c r="A127" s="15"/>
      <c r="D127" s="3"/>
      <c r="G127" s="3"/>
      <c r="J127" s="3"/>
    </row>
    <row r="128">
      <c r="A128" s="15"/>
      <c r="D128" s="3"/>
      <c r="G128" s="3"/>
      <c r="J128" s="3"/>
    </row>
    <row r="129">
      <c r="A129" s="15"/>
      <c r="D129" s="3"/>
      <c r="G129" s="3"/>
      <c r="J129" s="3"/>
    </row>
    <row r="130">
      <c r="A130" s="15"/>
      <c r="D130" s="3"/>
      <c r="G130" s="3"/>
      <c r="J130" s="3"/>
    </row>
    <row r="131">
      <c r="A131" s="15"/>
      <c r="D131" s="3"/>
      <c r="G131" s="3"/>
      <c r="J131" s="3"/>
    </row>
    <row r="132">
      <c r="A132" s="15"/>
      <c r="D132" s="3"/>
      <c r="G132" s="3"/>
      <c r="J132" s="3"/>
    </row>
    <row r="133">
      <c r="A133" s="15"/>
      <c r="D133" s="3"/>
      <c r="G133" s="3"/>
      <c r="J133" s="3"/>
    </row>
    <row r="134">
      <c r="A134" s="15"/>
      <c r="D134" s="3"/>
      <c r="G134" s="3"/>
      <c r="J134" s="3"/>
    </row>
    <row r="135">
      <c r="A135" s="15"/>
      <c r="D135" s="3"/>
      <c r="G135" s="3"/>
      <c r="J135" s="3"/>
    </row>
    <row r="136">
      <c r="A136" s="15"/>
      <c r="D136" s="3"/>
      <c r="G136" s="3"/>
      <c r="J136" s="3"/>
    </row>
    <row r="137">
      <c r="A137" s="15"/>
      <c r="D137" s="3"/>
      <c r="G137" s="3"/>
      <c r="J137" s="3"/>
    </row>
    <row r="138">
      <c r="A138" s="15"/>
      <c r="D138" s="3"/>
      <c r="G138" s="3"/>
      <c r="J138" s="3"/>
    </row>
    <row r="139">
      <c r="A139" s="15"/>
      <c r="D139" s="3"/>
      <c r="G139" s="3"/>
      <c r="J139" s="3"/>
    </row>
    <row r="140">
      <c r="A140" s="15"/>
      <c r="D140" s="3"/>
      <c r="G140" s="3"/>
      <c r="J140" s="3"/>
    </row>
    <row r="141">
      <c r="A141" s="15"/>
      <c r="D141" s="3"/>
      <c r="G141" s="3"/>
      <c r="J141" s="3"/>
    </row>
    <row r="142">
      <c r="A142" s="15"/>
      <c r="D142" s="3"/>
      <c r="G142" s="3"/>
      <c r="J142" s="3"/>
    </row>
    <row r="143">
      <c r="A143" s="15"/>
      <c r="D143" s="3"/>
      <c r="G143" s="3"/>
      <c r="J143" s="3"/>
    </row>
    <row r="144">
      <c r="A144" s="15"/>
      <c r="D144" s="3"/>
      <c r="G144" s="3"/>
      <c r="J144" s="3"/>
    </row>
    <row r="145">
      <c r="A145" s="15"/>
      <c r="D145" s="3"/>
      <c r="G145" s="3"/>
      <c r="J145" s="3"/>
    </row>
    <row r="146">
      <c r="A146" s="15"/>
      <c r="D146" s="3"/>
      <c r="G146" s="3"/>
      <c r="J146" s="3"/>
    </row>
    <row r="147">
      <c r="A147" s="15"/>
      <c r="D147" s="3"/>
      <c r="G147" s="3"/>
      <c r="J147" s="3"/>
    </row>
    <row r="148">
      <c r="A148" s="15"/>
      <c r="D148" s="3"/>
      <c r="G148" s="3"/>
      <c r="J148" s="3"/>
    </row>
    <row r="149">
      <c r="A149" s="15"/>
      <c r="D149" s="3"/>
      <c r="G149" s="3"/>
      <c r="J149" s="3"/>
    </row>
    <row r="150">
      <c r="A150" s="15"/>
      <c r="D150" s="3"/>
      <c r="G150" s="3"/>
      <c r="J150" s="3"/>
    </row>
    <row r="151">
      <c r="A151" s="15"/>
      <c r="D151" s="3"/>
      <c r="G151" s="3"/>
      <c r="J151" s="3"/>
    </row>
    <row r="152">
      <c r="A152" s="15"/>
      <c r="D152" s="3"/>
      <c r="G152" s="3"/>
      <c r="J152" s="3"/>
    </row>
    <row r="153">
      <c r="A153" s="15"/>
      <c r="D153" s="3"/>
      <c r="G153" s="3"/>
      <c r="J153" s="3"/>
    </row>
    <row r="154">
      <c r="A154" s="15"/>
      <c r="D154" s="3"/>
      <c r="G154" s="3"/>
      <c r="J154" s="3"/>
    </row>
    <row r="155">
      <c r="A155" s="15"/>
      <c r="D155" s="3"/>
      <c r="G155" s="3"/>
      <c r="J155" s="3"/>
    </row>
    <row r="156">
      <c r="A156" s="15"/>
      <c r="D156" s="3"/>
      <c r="G156" s="3"/>
      <c r="J156" s="3"/>
    </row>
    <row r="157">
      <c r="A157" s="15"/>
      <c r="D157" s="3"/>
      <c r="G157" s="3"/>
      <c r="J157" s="3"/>
    </row>
    <row r="158">
      <c r="A158" s="15"/>
      <c r="D158" s="3"/>
      <c r="G158" s="3"/>
      <c r="J158" s="3"/>
    </row>
    <row r="159">
      <c r="A159" s="15"/>
      <c r="D159" s="3"/>
      <c r="G159" s="3"/>
      <c r="J159" s="3"/>
    </row>
    <row r="160">
      <c r="A160" s="15"/>
      <c r="D160" s="3"/>
      <c r="G160" s="3"/>
      <c r="J160" s="3"/>
    </row>
    <row r="161">
      <c r="A161" s="15"/>
      <c r="D161" s="3"/>
      <c r="G161" s="3"/>
      <c r="J161" s="3"/>
    </row>
    <row r="162">
      <c r="A162" s="15"/>
      <c r="D162" s="3"/>
      <c r="G162" s="3"/>
      <c r="J162" s="3"/>
    </row>
    <row r="163">
      <c r="A163" s="15"/>
      <c r="D163" s="3"/>
      <c r="G163" s="3"/>
      <c r="J163" s="3"/>
    </row>
    <row r="164">
      <c r="A164" s="15"/>
      <c r="D164" s="3"/>
      <c r="G164" s="3"/>
      <c r="J164" s="3"/>
    </row>
    <row r="165">
      <c r="A165" s="15"/>
      <c r="D165" s="3"/>
      <c r="G165" s="3"/>
      <c r="J165" s="3"/>
    </row>
    <row r="166">
      <c r="A166" s="15"/>
      <c r="D166" s="3"/>
      <c r="G166" s="3"/>
      <c r="J166" s="3"/>
    </row>
    <row r="167">
      <c r="A167" s="15"/>
      <c r="D167" s="3"/>
      <c r="G167" s="3"/>
      <c r="J167" s="3"/>
    </row>
    <row r="168">
      <c r="A168" s="15"/>
      <c r="D168" s="3"/>
      <c r="G168" s="3"/>
      <c r="J168" s="3"/>
    </row>
    <row r="169">
      <c r="A169" s="15"/>
      <c r="D169" s="3"/>
      <c r="G169" s="3"/>
      <c r="J169" s="3"/>
    </row>
    <row r="170">
      <c r="A170" s="15"/>
      <c r="D170" s="3"/>
      <c r="G170" s="3"/>
      <c r="J170" s="3"/>
    </row>
    <row r="171">
      <c r="A171" s="15"/>
      <c r="D171" s="3"/>
      <c r="G171" s="3"/>
      <c r="J171" s="3"/>
    </row>
    <row r="172">
      <c r="A172" s="15"/>
      <c r="D172" s="3"/>
      <c r="G172" s="3"/>
      <c r="J172" s="3"/>
    </row>
    <row r="173">
      <c r="A173" s="15"/>
      <c r="D173" s="3"/>
      <c r="G173" s="3"/>
      <c r="J173" s="3"/>
    </row>
    <row r="174">
      <c r="A174" s="15"/>
      <c r="D174" s="3"/>
      <c r="G174" s="3"/>
      <c r="J174" s="3"/>
    </row>
    <row r="175">
      <c r="A175" s="15"/>
      <c r="D175" s="3"/>
      <c r="G175" s="3"/>
      <c r="J175" s="3"/>
    </row>
    <row r="176">
      <c r="A176" s="15"/>
      <c r="D176" s="3"/>
      <c r="G176" s="3"/>
      <c r="J176" s="3"/>
    </row>
    <row r="177">
      <c r="A177" s="15"/>
      <c r="D177" s="3"/>
      <c r="G177" s="3"/>
      <c r="J177" s="3"/>
    </row>
    <row r="178">
      <c r="A178" s="15"/>
      <c r="D178" s="3"/>
      <c r="G178" s="3"/>
      <c r="J178" s="3"/>
    </row>
    <row r="179">
      <c r="A179" s="15"/>
      <c r="D179" s="3"/>
      <c r="G179" s="3"/>
      <c r="J179" s="3"/>
    </row>
    <row r="180">
      <c r="A180" s="15"/>
      <c r="D180" s="3"/>
      <c r="G180" s="3"/>
      <c r="J180" s="3"/>
    </row>
    <row r="181">
      <c r="A181" s="15"/>
      <c r="D181" s="3"/>
      <c r="G181" s="3"/>
      <c r="J181" s="3"/>
    </row>
    <row r="182">
      <c r="A182" s="15"/>
      <c r="D182" s="3"/>
      <c r="G182" s="3"/>
      <c r="J182" s="3"/>
    </row>
    <row r="183">
      <c r="A183" s="15"/>
      <c r="D183" s="3"/>
      <c r="G183" s="3"/>
      <c r="J183" s="3"/>
    </row>
    <row r="184">
      <c r="A184" s="15"/>
      <c r="D184" s="3"/>
      <c r="G184" s="3"/>
      <c r="J184" s="3"/>
    </row>
    <row r="185">
      <c r="A185" s="15"/>
      <c r="D185" s="3"/>
      <c r="G185" s="3"/>
      <c r="J185" s="3"/>
    </row>
    <row r="186">
      <c r="A186" s="15"/>
      <c r="D186" s="3"/>
      <c r="G186" s="3"/>
      <c r="J186" s="3"/>
    </row>
    <row r="187">
      <c r="A187" s="15"/>
      <c r="D187" s="3"/>
      <c r="G187" s="3"/>
      <c r="J187" s="3"/>
    </row>
    <row r="188">
      <c r="A188" s="15"/>
      <c r="D188" s="3"/>
      <c r="G188" s="3"/>
      <c r="J188" s="3"/>
    </row>
    <row r="189">
      <c r="A189" s="15"/>
      <c r="D189" s="3"/>
      <c r="G189" s="3"/>
      <c r="J189" s="3"/>
    </row>
    <row r="190">
      <c r="A190" s="15"/>
      <c r="D190" s="3"/>
      <c r="G190" s="3"/>
      <c r="J190" s="3"/>
    </row>
    <row r="191">
      <c r="A191" s="15"/>
      <c r="D191" s="3"/>
      <c r="G191" s="3"/>
      <c r="J191" s="3"/>
    </row>
    <row r="192">
      <c r="A192" s="15"/>
      <c r="D192" s="3"/>
      <c r="G192" s="3"/>
      <c r="J192" s="3"/>
    </row>
    <row r="193">
      <c r="A193" s="15"/>
      <c r="D193" s="3"/>
      <c r="G193" s="3"/>
      <c r="J193" s="3"/>
    </row>
    <row r="194">
      <c r="A194" s="15"/>
      <c r="D194" s="3"/>
      <c r="G194" s="3"/>
      <c r="J194" s="3"/>
    </row>
    <row r="195">
      <c r="A195" s="15"/>
      <c r="D195" s="3"/>
      <c r="G195" s="3"/>
      <c r="J195" s="3"/>
    </row>
    <row r="196">
      <c r="A196" s="15"/>
      <c r="D196" s="3"/>
      <c r="G196" s="3"/>
      <c r="J196" s="3"/>
    </row>
    <row r="197">
      <c r="A197" s="15"/>
      <c r="D197" s="3"/>
      <c r="G197" s="3"/>
      <c r="J197" s="3"/>
    </row>
    <row r="198">
      <c r="A198" s="15"/>
      <c r="D198" s="3"/>
      <c r="G198" s="3"/>
      <c r="J198" s="3"/>
    </row>
    <row r="199">
      <c r="A199" s="15"/>
      <c r="D199" s="3"/>
      <c r="G199" s="3"/>
      <c r="J199" s="3"/>
    </row>
    <row r="200">
      <c r="A200" s="15"/>
      <c r="D200" s="3"/>
      <c r="G200" s="3"/>
      <c r="J200" s="3"/>
    </row>
    <row r="201">
      <c r="A201" s="15"/>
      <c r="D201" s="3"/>
      <c r="G201" s="3"/>
      <c r="J201" s="3"/>
    </row>
    <row r="202">
      <c r="A202" s="15"/>
      <c r="D202" s="3"/>
      <c r="G202" s="3"/>
      <c r="J202" s="3"/>
    </row>
    <row r="203">
      <c r="A203" s="15"/>
      <c r="D203" s="3"/>
      <c r="G203" s="3"/>
      <c r="J203" s="3"/>
    </row>
    <row r="204">
      <c r="A204" s="15"/>
      <c r="D204" s="3"/>
      <c r="G204" s="3"/>
      <c r="J204" s="3"/>
    </row>
    <row r="205">
      <c r="A205" s="15"/>
      <c r="D205" s="3"/>
      <c r="G205" s="3"/>
      <c r="J205" s="3"/>
    </row>
    <row r="206">
      <c r="A206" s="15"/>
      <c r="D206" s="3"/>
      <c r="G206" s="3"/>
      <c r="J206" s="3"/>
    </row>
    <row r="207">
      <c r="A207" s="15"/>
      <c r="D207" s="3"/>
      <c r="G207" s="3"/>
      <c r="J207" s="3"/>
    </row>
    <row r="208">
      <c r="A208" s="15"/>
      <c r="D208" s="3"/>
      <c r="G208" s="3"/>
      <c r="J208" s="3"/>
    </row>
    <row r="209">
      <c r="A209" s="15"/>
      <c r="D209" s="3"/>
      <c r="G209" s="3"/>
      <c r="J209" s="3"/>
    </row>
    <row r="210">
      <c r="A210" s="15"/>
      <c r="D210" s="3"/>
      <c r="G210" s="3"/>
      <c r="J210" s="3"/>
    </row>
    <row r="211">
      <c r="A211" s="15"/>
      <c r="D211" s="3"/>
      <c r="G211" s="3"/>
      <c r="J211" s="3"/>
    </row>
    <row r="212">
      <c r="A212" s="15"/>
      <c r="D212" s="3"/>
      <c r="G212" s="3"/>
      <c r="J212" s="3"/>
    </row>
    <row r="213">
      <c r="A213" s="15"/>
      <c r="D213" s="3"/>
      <c r="G213" s="3"/>
      <c r="J213" s="3"/>
    </row>
    <row r="214">
      <c r="A214" s="15"/>
      <c r="D214" s="3"/>
      <c r="G214" s="3"/>
      <c r="J214" s="3"/>
    </row>
    <row r="215">
      <c r="A215" s="15"/>
      <c r="D215" s="3"/>
      <c r="G215" s="3"/>
      <c r="J215" s="3"/>
    </row>
    <row r="216">
      <c r="A216" s="15"/>
      <c r="D216" s="3"/>
      <c r="G216" s="3"/>
      <c r="J216" s="3"/>
    </row>
    <row r="217">
      <c r="A217" s="15"/>
      <c r="D217" s="3"/>
      <c r="G217" s="3"/>
      <c r="J217" s="3"/>
    </row>
    <row r="218">
      <c r="A218" s="15"/>
      <c r="D218" s="3"/>
      <c r="G218" s="3"/>
      <c r="J218" s="3"/>
    </row>
    <row r="219">
      <c r="A219" s="15"/>
      <c r="D219" s="3"/>
      <c r="G219" s="3"/>
      <c r="J219" s="3"/>
    </row>
    <row r="220">
      <c r="A220" s="15"/>
      <c r="D220" s="3"/>
      <c r="G220" s="3"/>
      <c r="J220" s="3"/>
    </row>
    <row r="221">
      <c r="A221" s="15"/>
      <c r="D221" s="3"/>
      <c r="G221" s="3"/>
      <c r="J221" s="3"/>
    </row>
    <row r="222">
      <c r="A222" s="15"/>
      <c r="D222" s="3"/>
      <c r="G222" s="3"/>
      <c r="J222" s="3"/>
    </row>
    <row r="223">
      <c r="A223" s="15"/>
      <c r="D223" s="3"/>
      <c r="G223" s="3"/>
      <c r="J223" s="3"/>
    </row>
    <row r="224">
      <c r="A224" s="15"/>
      <c r="D224" s="3"/>
      <c r="G224" s="3"/>
      <c r="J224" s="3"/>
    </row>
    <row r="225">
      <c r="A225" s="15"/>
      <c r="D225" s="3"/>
      <c r="G225" s="3"/>
      <c r="J225" s="3"/>
    </row>
    <row r="226">
      <c r="A226" s="15"/>
      <c r="D226" s="3"/>
      <c r="G226" s="3"/>
      <c r="J226" s="3"/>
    </row>
    <row r="227">
      <c r="A227" s="15"/>
      <c r="D227" s="3"/>
      <c r="G227" s="3"/>
      <c r="J227" s="3"/>
    </row>
    <row r="228">
      <c r="A228" s="15"/>
      <c r="D228" s="3"/>
      <c r="G228" s="3"/>
      <c r="J228" s="3"/>
    </row>
    <row r="229">
      <c r="A229" s="15"/>
      <c r="D229" s="3"/>
      <c r="G229" s="3"/>
      <c r="J229" s="3"/>
    </row>
    <row r="230">
      <c r="A230" s="15"/>
      <c r="D230" s="3"/>
      <c r="G230" s="3"/>
      <c r="J230" s="3"/>
    </row>
    <row r="231">
      <c r="A231" s="15"/>
      <c r="D231" s="3"/>
      <c r="G231" s="3"/>
      <c r="J231" s="3"/>
    </row>
    <row r="232">
      <c r="A232" s="15"/>
      <c r="D232" s="3"/>
      <c r="G232" s="3"/>
      <c r="J232" s="3"/>
    </row>
    <row r="233">
      <c r="A233" s="15"/>
      <c r="D233" s="3"/>
      <c r="G233" s="3"/>
      <c r="J233" s="3"/>
    </row>
    <row r="234">
      <c r="A234" s="15"/>
      <c r="D234" s="3"/>
      <c r="G234" s="3"/>
      <c r="J234" s="3"/>
    </row>
    <row r="235">
      <c r="A235" s="15"/>
      <c r="D235" s="3"/>
      <c r="G235" s="3"/>
      <c r="J235" s="3"/>
    </row>
    <row r="236">
      <c r="A236" s="15"/>
      <c r="D236" s="3"/>
      <c r="G236" s="3"/>
      <c r="J236" s="3"/>
    </row>
    <row r="237">
      <c r="A237" s="15"/>
      <c r="D237" s="3"/>
      <c r="G237" s="3"/>
      <c r="J237" s="3"/>
    </row>
    <row r="238">
      <c r="A238" s="15"/>
      <c r="D238" s="3"/>
      <c r="G238" s="3"/>
      <c r="J238" s="3"/>
    </row>
    <row r="239">
      <c r="A239" s="15"/>
      <c r="D239" s="3"/>
      <c r="G239" s="3"/>
      <c r="J239" s="3"/>
    </row>
    <row r="240">
      <c r="A240" s="15"/>
      <c r="D240" s="3"/>
      <c r="G240" s="3"/>
      <c r="J240" s="3"/>
    </row>
    <row r="241">
      <c r="A241" s="15"/>
      <c r="D241" s="3"/>
      <c r="G241" s="3"/>
      <c r="J241" s="3"/>
    </row>
    <row r="242">
      <c r="A242" s="15"/>
      <c r="D242" s="3"/>
      <c r="G242" s="3"/>
      <c r="J242" s="3"/>
    </row>
    <row r="243">
      <c r="A243" s="15"/>
      <c r="D243" s="3"/>
      <c r="G243" s="3"/>
      <c r="J243" s="3"/>
    </row>
    <row r="244">
      <c r="A244" s="15"/>
      <c r="D244" s="3"/>
      <c r="G244" s="3"/>
      <c r="J244" s="3"/>
    </row>
    <row r="245">
      <c r="A245" s="15"/>
      <c r="D245" s="3"/>
      <c r="G245" s="3"/>
      <c r="J245" s="3"/>
    </row>
    <row r="246">
      <c r="A246" s="15"/>
      <c r="D246" s="3"/>
      <c r="G246" s="3"/>
      <c r="J246" s="3"/>
    </row>
    <row r="247">
      <c r="A247" s="15"/>
      <c r="D247" s="3"/>
      <c r="G247" s="3"/>
      <c r="J247" s="3"/>
    </row>
    <row r="248">
      <c r="A248" s="15"/>
      <c r="D248" s="3"/>
      <c r="G248" s="3"/>
      <c r="J248" s="3"/>
    </row>
    <row r="249">
      <c r="A249" s="15"/>
      <c r="D249" s="3"/>
      <c r="G249" s="3"/>
      <c r="J249" s="3"/>
    </row>
    <row r="250">
      <c r="A250" s="15"/>
      <c r="D250" s="3"/>
      <c r="G250" s="3"/>
      <c r="J250" s="3"/>
    </row>
    <row r="251">
      <c r="A251" s="15"/>
      <c r="D251" s="3"/>
      <c r="G251" s="3"/>
      <c r="J251" s="3"/>
    </row>
    <row r="252">
      <c r="A252" s="15"/>
      <c r="D252" s="3"/>
      <c r="G252" s="3"/>
      <c r="J252" s="3"/>
    </row>
    <row r="253">
      <c r="A253" s="15"/>
      <c r="D253" s="3"/>
      <c r="G253" s="3"/>
      <c r="J253" s="3"/>
    </row>
    <row r="254">
      <c r="A254" s="15"/>
      <c r="D254" s="3"/>
      <c r="G254" s="3"/>
      <c r="J254" s="3"/>
    </row>
    <row r="255">
      <c r="A255" s="15"/>
      <c r="D255" s="3"/>
      <c r="G255" s="3"/>
      <c r="J255" s="3"/>
    </row>
    <row r="256">
      <c r="A256" s="15"/>
      <c r="D256" s="3"/>
      <c r="G256" s="3"/>
      <c r="J256" s="3"/>
    </row>
    <row r="257">
      <c r="A257" s="15"/>
      <c r="D257" s="3"/>
      <c r="G257" s="3"/>
      <c r="J257" s="3"/>
    </row>
    <row r="258">
      <c r="A258" s="15"/>
      <c r="D258" s="3"/>
      <c r="G258" s="3"/>
      <c r="J258" s="3"/>
    </row>
    <row r="259">
      <c r="A259" s="15"/>
      <c r="D259" s="3"/>
      <c r="G259" s="3"/>
      <c r="J259" s="3"/>
    </row>
    <row r="260">
      <c r="A260" s="15"/>
      <c r="D260" s="3"/>
      <c r="G260" s="3"/>
      <c r="J260" s="3"/>
    </row>
    <row r="261">
      <c r="A261" s="15"/>
      <c r="D261" s="3"/>
      <c r="G261" s="3"/>
      <c r="J261" s="3"/>
    </row>
    <row r="262">
      <c r="A262" s="15"/>
      <c r="D262" s="3"/>
      <c r="G262" s="3"/>
      <c r="J262" s="3"/>
    </row>
    <row r="263">
      <c r="A263" s="15"/>
      <c r="D263" s="3"/>
      <c r="G263" s="3"/>
      <c r="J263" s="3"/>
    </row>
    <row r="264">
      <c r="A264" s="15"/>
      <c r="D264" s="3"/>
      <c r="G264" s="3"/>
      <c r="J264" s="3"/>
    </row>
    <row r="265">
      <c r="A265" s="15"/>
      <c r="D265" s="3"/>
      <c r="G265" s="3"/>
      <c r="J265" s="3"/>
    </row>
    <row r="266">
      <c r="A266" s="15"/>
      <c r="D266" s="3"/>
      <c r="G266" s="3"/>
      <c r="J266" s="3"/>
    </row>
    <row r="267">
      <c r="A267" s="15"/>
      <c r="D267" s="3"/>
      <c r="G267" s="3"/>
      <c r="J267" s="3"/>
    </row>
    <row r="268">
      <c r="A268" s="15"/>
      <c r="D268" s="3"/>
      <c r="G268" s="3"/>
      <c r="J268" s="3"/>
    </row>
    <row r="269">
      <c r="A269" s="15"/>
      <c r="D269" s="3"/>
      <c r="G269" s="3"/>
      <c r="J269" s="3"/>
    </row>
    <row r="270">
      <c r="A270" s="15"/>
      <c r="D270" s="3"/>
      <c r="G270" s="3"/>
      <c r="J270" s="3"/>
    </row>
    <row r="271">
      <c r="A271" s="15"/>
      <c r="D271" s="3"/>
      <c r="G271" s="3"/>
      <c r="J271" s="3"/>
    </row>
    <row r="272">
      <c r="A272" s="15"/>
      <c r="D272" s="3"/>
      <c r="G272" s="3"/>
      <c r="J272" s="3"/>
    </row>
    <row r="273">
      <c r="A273" s="15"/>
      <c r="D273" s="3"/>
      <c r="G273" s="3"/>
      <c r="J273" s="3"/>
    </row>
    <row r="274">
      <c r="A274" s="15"/>
      <c r="D274" s="3"/>
      <c r="G274" s="3"/>
      <c r="J274" s="3"/>
    </row>
    <row r="275">
      <c r="A275" s="15"/>
      <c r="D275" s="3"/>
      <c r="G275" s="3"/>
      <c r="J275" s="3"/>
    </row>
    <row r="276">
      <c r="A276" s="15"/>
      <c r="D276" s="3"/>
      <c r="G276" s="3"/>
      <c r="J276" s="3"/>
    </row>
    <row r="277">
      <c r="A277" s="15"/>
      <c r="D277" s="3"/>
      <c r="G277" s="3"/>
      <c r="J277" s="3"/>
    </row>
    <row r="278">
      <c r="A278" s="15"/>
      <c r="D278" s="3"/>
      <c r="G278" s="3"/>
      <c r="J278" s="3"/>
    </row>
    <row r="279">
      <c r="A279" s="15"/>
      <c r="D279" s="3"/>
      <c r="G279" s="3"/>
      <c r="J279" s="3"/>
    </row>
    <row r="280">
      <c r="A280" s="15"/>
      <c r="D280" s="3"/>
      <c r="G280" s="3"/>
      <c r="J280" s="3"/>
    </row>
    <row r="281">
      <c r="A281" s="15"/>
      <c r="D281" s="3"/>
      <c r="G281" s="3"/>
      <c r="J281" s="3"/>
    </row>
    <row r="282">
      <c r="A282" s="15"/>
      <c r="D282" s="3"/>
      <c r="G282" s="3"/>
      <c r="J282" s="3"/>
    </row>
    <row r="283">
      <c r="A283" s="15"/>
      <c r="D283" s="3"/>
      <c r="G283" s="3"/>
      <c r="J283" s="3"/>
    </row>
    <row r="284">
      <c r="A284" s="15"/>
      <c r="D284" s="3"/>
      <c r="G284" s="3"/>
      <c r="J284" s="3"/>
    </row>
    <row r="285">
      <c r="A285" s="15"/>
      <c r="D285" s="3"/>
      <c r="G285" s="3"/>
      <c r="J285" s="3"/>
    </row>
    <row r="286">
      <c r="A286" s="15"/>
      <c r="D286" s="3"/>
      <c r="G286" s="3"/>
      <c r="J286" s="3"/>
    </row>
    <row r="287">
      <c r="A287" s="15"/>
      <c r="D287" s="3"/>
      <c r="G287" s="3"/>
      <c r="J287" s="3"/>
    </row>
    <row r="288">
      <c r="A288" s="15"/>
      <c r="D288" s="3"/>
      <c r="G288" s="3"/>
      <c r="J288" s="3"/>
    </row>
    <row r="289">
      <c r="A289" s="15"/>
      <c r="D289" s="3"/>
      <c r="G289" s="3"/>
      <c r="J289" s="3"/>
    </row>
    <row r="290">
      <c r="A290" s="15"/>
      <c r="D290" s="3"/>
      <c r="G290" s="3"/>
      <c r="J290" s="3"/>
    </row>
    <row r="291">
      <c r="A291" s="15"/>
      <c r="D291" s="3"/>
      <c r="G291" s="3"/>
      <c r="J291" s="3"/>
    </row>
    <row r="292">
      <c r="A292" s="15"/>
      <c r="D292" s="3"/>
      <c r="G292" s="3"/>
      <c r="J292" s="3"/>
    </row>
    <row r="293">
      <c r="A293" s="15"/>
      <c r="D293" s="3"/>
      <c r="G293" s="3"/>
      <c r="J293" s="3"/>
    </row>
    <row r="294">
      <c r="A294" s="15"/>
      <c r="D294" s="3"/>
      <c r="G294" s="3"/>
      <c r="J294" s="3"/>
    </row>
    <row r="295">
      <c r="A295" s="15"/>
      <c r="D295" s="3"/>
      <c r="G295" s="3"/>
      <c r="J295" s="3"/>
    </row>
    <row r="296">
      <c r="A296" s="15"/>
      <c r="D296" s="3"/>
      <c r="G296" s="3"/>
      <c r="J296" s="3"/>
    </row>
    <row r="297">
      <c r="A297" s="15"/>
      <c r="D297" s="3"/>
      <c r="G297" s="3"/>
      <c r="J297" s="3"/>
    </row>
    <row r="298">
      <c r="A298" s="15"/>
      <c r="D298" s="3"/>
      <c r="G298" s="3"/>
      <c r="J298" s="3"/>
    </row>
    <row r="299">
      <c r="A299" s="15"/>
      <c r="D299" s="3"/>
      <c r="G299" s="3"/>
      <c r="J299" s="3"/>
    </row>
    <row r="300">
      <c r="A300" s="15"/>
      <c r="D300" s="3"/>
      <c r="G300" s="3"/>
      <c r="J300" s="3"/>
    </row>
    <row r="301">
      <c r="A301" s="15"/>
      <c r="D301" s="3"/>
      <c r="G301" s="3"/>
      <c r="J301" s="3"/>
    </row>
    <row r="302">
      <c r="A302" s="15"/>
      <c r="D302" s="3"/>
      <c r="G302" s="3"/>
      <c r="J302" s="3"/>
    </row>
    <row r="303">
      <c r="A303" s="15"/>
      <c r="D303" s="3"/>
      <c r="G303" s="3"/>
      <c r="J303" s="3"/>
    </row>
    <row r="304">
      <c r="A304" s="15"/>
      <c r="D304" s="3"/>
      <c r="G304" s="3"/>
      <c r="J304" s="3"/>
    </row>
    <row r="305">
      <c r="A305" s="15"/>
      <c r="D305" s="3"/>
      <c r="G305" s="3"/>
      <c r="J305" s="3"/>
    </row>
    <row r="306">
      <c r="A306" s="15"/>
      <c r="D306" s="3"/>
      <c r="G306" s="3"/>
      <c r="J306" s="3"/>
    </row>
    <row r="307">
      <c r="A307" s="15"/>
      <c r="D307" s="3"/>
      <c r="G307" s="3"/>
      <c r="J307" s="3"/>
    </row>
    <row r="308">
      <c r="A308" s="15"/>
      <c r="D308" s="3"/>
      <c r="G308" s="3"/>
      <c r="J308" s="3"/>
    </row>
    <row r="309">
      <c r="A309" s="15"/>
      <c r="D309" s="3"/>
      <c r="G309" s="3"/>
      <c r="J309" s="3"/>
    </row>
    <row r="310">
      <c r="A310" s="15"/>
      <c r="D310" s="3"/>
      <c r="G310" s="3"/>
      <c r="J310" s="3"/>
    </row>
    <row r="311">
      <c r="A311" s="15"/>
      <c r="D311" s="3"/>
      <c r="G311" s="3"/>
      <c r="J311" s="3"/>
    </row>
    <row r="312">
      <c r="A312" s="15"/>
      <c r="D312" s="3"/>
      <c r="G312" s="3"/>
      <c r="J312" s="3"/>
    </row>
    <row r="313">
      <c r="A313" s="15"/>
      <c r="D313" s="3"/>
      <c r="G313" s="3"/>
      <c r="J313" s="3"/>
    </row>
    <row r="314">
      <c r="A314" s="15"/>
      <c r="D314" s="3"/>
      <c r="G314" s="3"/>
      <c r="J314" s="3"/>
    </row>
    <row r="315">
      <c r="A315" s="15"/>
      <c r="D315" s="3"/>
      <c r="G315" s="3"/>
      <c r="J315" s="3"/>
    </row>
    <row r="316">
      <c r="A316" s="15"/>
      <c r="D316" s="3"/>
      <c r="G316" s="3"/>
      <c r="J316" s="3"/>
    </row>
    <row r="317">
      <c r="A317" s="15"/>
      <c r="D317" s="3"/>
      <c r="G317" s="3"/>
      <c r="J317" s="3"/>
    </row>
    <row r="318">
      <c r="A318" s="15"/>
      <c r="D318" s="3"/>
      <c r="G318" s="3"/>
      <c r="J318" s="3"/>
    </row>
    <row r="319">
      <c r="A319" s="15"/>
      <c r="D319" s="3"/>
      <c r="G319" s="3"/>
      <c r="J319" s="3"/>
    </row>
    <row r="320">
      <c r="A320" s="15"/>
      <c r="D320" s="3"/>
      <c r="G320" s="3"/>
      <c r="J320" s="3"/>
    </row>
    <row r="321">
      <c r="A321" s="15"/>
      <c r="D321" s="3"/>
      <c r="G321" s="3"/>
      <c r="J321" s="3"/>
    </row>
    <row r="322">
      <c r="A322" s="15"/>
      <c r="D322" s="3"/>
      <c r="G322" s="3"/>
      <c r="J322" s="3"/>
    </row>
    <row r="323">
      <c r="A323" s="15"/>
      <c r="D323" s="3"/>
      <c r="G323" s="3"/>
      <c r="J323" s="3"/>
    </row>
    <row r="324">
      <c r="A324" s="15"/>
      <c r="D324" s="3"/>
      <c r="G324" s="3"/>
      <c r="J324" s="3"/>
    </row>
    <row r="325">
      <c r="A325" s="15"/>
      <c r="D325" s="3"/>
      <c r="G325" s="3"/>
      <c r="J325" s="3"/>
    </row>
    <row r="326">
      <c r="A326" s="15"/>
      <c r="D326" s="3"/>
      <c r="G326" s="3"/>
      <c r="J326" s="3"/>
    </row>
    <row r="327">
      <c r="A327" s="15"/>
      <c r="D327" s="3"/>
      <c r="G327" s="3"/>
      <c r="J327" s="3"/>
    </row>
    <row r="328">
      <c r="A328" s="15"/>
      <c r="D328" s="3"/>
      <c r="G328" s="3"/>
      <c r="J328" s="3"/>
    </row>
    <row r="329">
      <c r="A329" s="15"/>
      <c r="D329" s="3"/>
      <c r="G329" s="3"/>
      <c r="J329" s="3"/>
    </row>
    <row r="330">
      <c r="A330" s="15"/>
      <c r="D330" s="3"/>
      <c r="G330" s="3"/>
      <c r="J330" s="3"/>
    </row>
    <row r="331">
      <c r="A331" s="15"/>
      <c r="D331" s="3"/>
      <c r="G331" s="3"/>
      <c r="J331" s="3"/>
    </row>
    <row r="332">
      <c r="A332" s="15"/>
      <c r="D332" s="3"/>
      <c r="G332" s="3"/>
      <c r="J332" s="3"/>
    </row>
    <row r="333">
      <c r="A333" s="15"/>
      <c r="D333" s="3"/>
      <c r="G333" s="3"/>
      <c r="J333" s="3"/>
    </row>
    <row r="334">
      <c r="A334" s="15"/>
      <c r="D334" s="3"/>
      <c r="G334" s="3"/>
      <c r="J334" s="3"/>
    </row>
    <row r="335">
      <c r="A335" s="15"/>
      <c r="D335" s="3"/>
      <c r="G335" s="3"/>
      <c r="J335" s="3"/>
    </row>
    <row r="336">
      <c r="A336" s="15"/>
      <c r="D336" s="3"/>
      <c r="G336" s="3"/>
      <c r="J336" s="3"/>
    </row>
    <row r="337">
      <c r="A337" s="15"/>
      <c r="D337" s="3"/>
      <c r="G337" s="3"/>
      <c r="J337" s="3"/>
    </row>
    <row r="338">
      <c r="A338" s="15"/>
      <c r="D338" s="3"/>
      <c r="G338" s="3"/>
      <c r="J338" s="3"/>
    </row>
    <row r="339">
      <c r="A339" s="15"/>
      <c r="D339" s="3"/>
      <c r="G339" s="3"/>
      <c r="J339" s="3"/>
    </row>
    <row r="340">
      <c r="A340" s="15"/>
      <c r="D340" s="3"/>
      <c r="G340" s="3"/>
      <c r="J340" s="3"/>
    </row>
    <row r="341">
      <c r="A341" s="15"/>
      <c r="D341" s="3"/>
      <c r="G341" s="3"/>
      <c r="J341" s="3"/>
    </row>
    <row r="342">
      <c r="A342" s="15"/>
      <c r="D342" s="3"/>
      <c r="G342" s="3"/>
      <c r="J342" s="3"/>
    </row>
    <row r="343">
      <c r="A343" s="15"/>
      <c r="D343" s="3"/>
      <c r="G343" s="3"/>
      <c r="J343" s="3"/>
    </row>
    <row r="344">
      <c r="A344" s="15"/>
      <c r="D344" s="3"/>
      <c r="G344" s="3"/>
      <c r="J344" s="3"/>
    </row>
    <row r="345">
      <c r="A345" s="15"/>
      <c r="D345" s="3"/>
      <c r="G345" s="3"/>
      <c r="J345" s="3"/>
    </row>
    <row r="346">
      <c r="A346" s="15"/>
      <c r="D346" s="3"/>
      <c r="G346" s="3"/>
      <c r="J346" s="3"/>
    </row>
    <row r="347">
      <c r="A347" s="15"/>
      <c r="D347" s="3"/>
      <c r="G347" s="3"/>
      <c r="J347" s="3"/>
    </row>
    <row r="348">
      <c r="A348" s="15"/>
      <c r="D348" s="3"/>
      <c r="G348" s="3"/>
      <c r="J348" s="3"/>
    </row>
    <row r="349">
      <c r="A349" s="15"/>
      <c r="D349" s="3"/>
      <c r="G349" s="3"/>
      <c r="J349" s="3"/>
    </row>
    <row r="350">
      <c r="A350" s="15"/>
      <c r="D350" s="3"/>
      <c r="G350" s="3"/>
      <c r="J350" s="3"/>
    </row>
    <row r="351">
      <c r="A351" s="15"/>
      <c r="D351" s="3"/>
      <c r="G351" s="3"/>
      <c r="J351" s="3"/>
    </row>
    <row r="352">
      <c r="A352" s="15"/>
      <c r="D352" s="3"/>
      <c r="G352" s="3"/>
      <c r="J352" s="3"/>
    </row>
    <row r="353">
      <c r="A353" s="15"/>
      <c r="D353" s="3"/>
      <c r="G353" s="3"/>
      <c r="J353" s="3"/>
    </row>
    <row r="354">
      <c r="A354" s="15"/>
      <c r="D354" s="3"/>
      <c r="G354" s="3"/>
      <c r="J354" s="3"/>
    </row>
    <row r="355">
      <c r="A355" s="15"/>
      <c r="D355" s="3"/>
      <c r="G355" s="3"/>
      <c r="J355" s="3"/>
    </row>
    <row r="356">
      <c r="A356" s="15"/>
      <c r="D356" s="3"/>
      <c r="G356" s="3"/>
      <c r="J356" s="3"/>
    </row>
    <row r="357">
      <c r="A357" s="15"/>
      <c r="D357" s="3"/>
      <c r="G357" s="3"/>
      <c r="J357" s="3"/>
    </row>
    <row r="358">
      <c r="A358" s="15"/>
      <c r="D358" s="3"/>
      <c r="G358" s="3"/>
      <c r="J358" s="3"/>
    </row>
    <row r="359">
      <c r="A359" s="15"/>
      <c r="D359" s="3"/>
      <c r="G359" s="3"/>
      <c r="J359" s="3"/>
    </row>
    <row r="360">
      <c r="A360" s="15"/>
      <c r="D360" s="3"/>
      <c r="G360" s="3"/>
      <c r="J360" s="3"/>
    </row>
    <row r="361">
      <c r="A361" s="15"/>
      <c r="D361" s="3"/>
      <c r="G361" s="3"/>
      <c r="J361" s="3"/>
    </row>
    <row r="362">
      <c r="A362" s="15"/>
      <c r="D362" s="3"/>
      <c r="G362" s="3"/>
      <c r="J362" s="3"/>
    </row>
    <row r="363">
      <c r="A363" s="15"/>
      <c r="D363" s="3"/>
      <c r="G363" s="3"/>
      <c r="J363" s="3"/>
    </row>
    <row r="364">
      <c r="A364" s="15"/>
      <c r="D364" s="3"/>
      <c r="G364" s="3"/>
      <c r="J364" s="3"/>
    </row>
    <row r="365">
      <c r="A365" s="15"/>
      <c r="D365" s="3"/>
      <c r="G365" s="3"/>
      <c r="J365" s="3"/>
    </row>
    <row r="366">
      <c r="A366" s="15"/>
      <c r="D366" s="3"/>
      <c r="G366" s="3"/>
      <c r="J366" s="3"/>
    </row>
    <row r="367">
      <c r="A367" s="15"/>
      <c r="D367" s="3"/>
      <c r="G367" s="3"/>
      <c r="J367" s="3"/>
    </row>
    <row r="368">
      <c r="A368" s="15"/>
      <c r="D368" s="3"/>
      <c r="G368" s="3"/>
      <c r="J368" s="3"/>
    </row>
    <row r="369">
      <c r="A369" s="15"/>
      <c r="D369" s="3"/>
      <c r="G369" s="3"/>
      <c r="J369" s="3"/>
    </row>
    <row r="370">
      <c r="A370" s="15"/>
      <c r="D370" s="3"/>
      <c r="G370" s="3"/>
      <c r="J370" s="3"/>
    </row>
    <row r="371">
      <c r="A371" s="15"/>
      <c r="D371" s="3"/>
      <c r="G371" s="3"/>
      <c r="J371" s="3"/>
    </row>
    <row r="372">
      <c r="A372" s="15"/>
      <c r="D372" s="3"/>
      <c r="G372" s="3"/>
      <c r="J372" s="3"/>
    </row>
    <row r="373">
      <c r="A373" s="15"/>
      <c r="D373" s="3"/>
      <c r="G373" s="3"/>
      <c r="J373" s="3"/>
    </row>
    <row r="374">
      <c r="A374" s="15"/>
      <c r="D374" s="3"/>
      <c r="G374" s="3"/>
      <c r="J374" s="3"/>
    </row>
    <row r="375">
      <c r="A375" s="15"/>
      <c r="D375" s="3"/>
      <c r="G375" s="3"/>
      <c r="J375" s="3"/>
    </row>
    <row r="376">
      <c r="A376" s="15"/>
      <c r="D376" s="3"/>
      <c r="G376" s="3"/>
      <c r="J376" s="3"/>
    </row>
    <row r="377">
      <c r="A377" s="15"/>
      <c r="D377" s="3"/>
      <c r="G377" s="3"/>
      <c r="J377" s="3"/>
    </row>
    <row r="378">
      <c r="A378" s="15"/>
      <c r="D378" s="3"/>
      <c r="G378" s="3"/>
      <c r="J378" s="3"/>
    </row>
    <row r="379">
      <c r="A379" s="15"/>
      <c r="D379" s="3"/>
      <c r="G379" s="3"/>
      <c r="J379" s="3"/>
    </row>
    <row r="380">
      <c r="A380" s="15"/>
      <c r="D380" s="3"/>
      <c r="G380" s="3"/>
      <c r="J380" s="3"/>
    </row>
    <row r="381">
      <c r="A381" s="15"/>
      <c r="D381" s="3"/>
      <c r="G381" s="3"/>
      <c r="J381" s="3"/>
    </row>
    <row r="382">
      <c r="A382" s="15"/>
      <c r="D382" s="3"/>
      <c r="G382" s="3"/>
      <c r="J382" s="3"/>
    </row>
    <row r="383">
      <c r="A383" s="15"/>
      <c r="D383" s="3"/>
      <c r="G383" s="3"/>
      <c r="J383" s="3"/>
    </row>
    <row r="384">
      <c r="A384" s="15"/>
      <c r="D384" s="3"/>
      <c r="G384" s="3"/>
      <c r="J384" s="3"/>
    </row>
    <row r="385">
      <c r="A385" s="15"/>
      <c r="D385" s="3"/>
      <c r="G385" s="3"/>
      <c r="J385" s="3"/>
    </row>
    <row r="386">
      <c r="A386" s="15"/>
      <c r="D386" s="3"/>
      <c r="G386" s="3"/>
      <c r="J386" s="3"/>
    </row>
    <row r="387">
      <c r="A387" s="15"/>
      <c r="D387" s="3"/>
      <c r="G387" s="3"/>
      <c r="J387" s="3"/>
    </row>
    <row r="388">
      <c r="A388" s="15"/>
      <c r="D388" s="3"/>
      <c r="G388" s="3"/>
      <c r="J388" s="3"/>
    </row>
    <row r="389">
      <c r="A389" s="15"/>
      <c r="D389" s="3"/>
      <c r="G389" s="3"/>
      <c r="J389" s="3"/>
    </row>
    <row r="390">
      <c r="A390" s="15"/>
      <c r="D390" s="3"/>
      <c r="G390" s="3"/>
      <c r="J390" s="3"/>
    </row>
    <row r="391">
      <c r="A391" s="15"/>
      <c r="D391" s="3"/>
      <c r="G391" s="3"/>
      <c r="J391" s="3"/>
    </row>
    <row r="392">
      <c r="A392" s="15"/>
      <c r="D392" s="3"/>
      <c r="G392" s="3"/>
      <c r="J392" s="3"/>
    </row>
    <row r="393">
      <c r="A393" s="15"/>
      <c r="D393" s="3"/>
      <c r="G393" s="3"/>
      <c r="J393" s="3"/>
    </row>
    <row r="394">
      <c r="A394" s="15"/>
      <c r="D394" s="3"/>
      <c r="G394" s="3"/>
      <c r="J394" s="3"/>
    </row>
    <row r="395">
      <c r="A395" s="15"/>
      <c r="D395" s="3"/>
      <c r="G395" s="3"/>
      <c r="J395" s="3"/>
    </row>
    <row r="396">
      <c r="A396" s="15"/>
      <c r="D396" s="3"/>
      <c r="G396" s="3"/>
      <c r="J396" s="3"/>
    </row>
    <row r="397">
      <c r="A397" s="15"/>
      <c r="D397" s="3"/>
      <c r="G397" s="3"/>
      <c r="J397" s="3"/>
    </row>
    <row r="398">
      <c r="A398" s="15"/>
      <c r="D398" s="3"/>
      <c r="G398" s="3"/>
      <c r="J398" s="3"/>
    </row>
    <row r="399">
      <c r="A399" s="15"/>
      <c r="D399" s="3"/>
      <c r="G399" s="3"/>
      <c r="J399" s="3"/>
    </row>
    <row r="400">
      <c r="A400" s="15"/>
      <c r="D400" s="3"/>
      <c r="G400" s="3"/>
      <c r="J400" s="3"/>
    </row>
    <row r="401">
      <c r="A401" s="15"/>
      <c r="D401" s="3"/>
      <c r="G401" s="3"/>
      <c r="J401" s="3"/>
    </row>
    <row r="402">
      <c r="A402" s="15"/>
      <c r="D402" s="3"/>
      <c r="G402" s="3"/>
      <c r="J402" s="3"/>
    </row>
    <row r="403">
      <c r="A403" s="15"/>
      <c r="D403" s="3"/>
      <c r="G403" s="3"/>
      <c r="J403" s="3"/>
    </row>
    <row r="404">
      <c r="A404" s="15"/>
      <c r="D404" s="3"/>
      <c r="G404" s="3"/>
      <c r="J404" s="3"/>
    </row>
    <row r="405">
      <c r="A405" s="15"/>
      <c r="D405" s="3"/>
      <c r="G405" s="3"/>
      <c r="J405" s="3"/>
    </row>
    <row r="406">
      <c r="A406" s="15"/>
      <c r="D406" s="3"/>
      <c r="G406" s="3"/>
      <c r="J406" s="3"/>
    </row>
    <row r="407">
      <c r="A407" s="15"/>
      <c r="D407" s="3"/>
      <c r="G407" s="3"/>
      <c r="J407" s="3"/>
    </row>
    <row r="408">
      <c r="A408" s="15"/>
      <c r="D408" s="3"/>
      <c r="G408" s="3"/>
      <c r="J408" s="3"/>
    </row>
    <row r="409">
      <c r="A409" s="15"/>
      <c r="D409" s="3"/>
      <c r="G409" s="3"/>
      <c r="J409" s="3"/>
    </row>
    <row r="410">
      <c r="A410" s="15"/>
      <c r="D410" s="3"/>
      <c r="G410" s="3"/>
      <c r="J410" s="3"/>
    </row>
    <row r="411">
      <c r="A411" s="15"/>
      <c r="D411" s="3"/>
      <c r="G411" s="3"/>
      <c r="J411" s="3"/>
    </row>
    <row r="412">
      <c r="A412" s="15"/>
      <c r="D412" s="3"/>
      <c r="G412" s="3"/>
      <c r="J412" s="3"/>
    </row>
    <row r="413">
      <c r="A413" s="15"/>
      <c r="D413" s="3"/>
      <c r="G413" s="3"/>
      <c r="J413" s="3"/>
    </row>
    <row r="414">
      <c r="A414" s="15"/>
      <c r="D414" s="3"/>
      <c r="G414" s="3"/>
      <c r="J414" s="3"/>
    </row>
    <row r="415">
      <c r="A415" s="15"/>
      <c r="D415" s="3"/>
      <c r="G415" s="3"/>
      <c r="J415" s="3"/>
    </row>
    <row r="416">
      <c r="A416" s="15"/>
      <c r="D416" s="3"/>
      <c r="G416" s="3"/>
      <c r="J416" s="3"/>
    </row>
    <row r="417">
      <c r="A417" s="15"/>
      <c r="D417" s="3"/>
      <c r="G417" s="3"/>
      <c r="J417" s="3"/>
    </row>
    <row r="418">
      <c r="A418" s="15"/>
      <c r="D418" s="3"/>
      <c r="G418" s="3"/>
      <c r="J418" s="3"/>
    </row>
    <row r="419">
      <c r="A419" s="15"/>
      <c r="D419" s="3"/>
      <c r="G419" s="3"/>
      <c r="J419" s="3"/>
    </row>
    <row r="420">
      <c r="A420" s="15"/>
      <c r="D420" s="3"/>
      <c r="G420" s="3"/>
      <c r="J420" s="3"/>
    </row>
    <row r="421">
      <c r="A421" s="15"/>
      <c r="D421" s="3"/>
      <c r="G421" s="3"/>
      <c r="J421" s="3"/>
    </row>
    <row r="422">
      <c r="A422" s="15"/>
      <c r="D422" s="3"/>
      <c r="G422" s="3"/>
      <c r="J422" s="3"/>
    </row>
    <row r="423">
      <c r="A423" s="15"/>
      <c r="D423" s="3"/>
      <c r="G423" s="3"/>
      <c r="J423" s="3"/>
    </row>
    <row r="424">
      <c r="A424" s="15"/>
      <c r="D424" s="3"/>
      <c r="G424" s="3"/>
      <c r="J424" s="3"/>
    </row>
    <row r="425">
      <c r="A425" s="15"/>
      <c r="D425" s="3"/>
      <c r="G425" s="3"/>
      <c r="J425" s="3"/>
    </row>
    <row r="426">
      <c r="A426" s="15"/>
      <c r="D426" s="3"/>
      <c r="G426" s="3"/>
      <c r="J426" s="3"/>
    </row>
    <row r="427">
      <c r="A427" s="15"/>
      <c r="D427" s="3"/>
      <c r="G427" s="3"/>
      <c r="J427" s="3"/>
    </row>
    <row r="428">
      <c r="A428" s="15"/>
      <c r="D428" s="3"/>
      <c r="G428" s="3"/>
      <c r="J428" s="3"/>
    </row>
    <row r="429">
      <c r="A429" s="15"/>
      <c r="D429" s="3"/>
      <c r="G429" s="3"/>
      <c r="J429" s="3"/>
    </row>
    <row r="430">
      <c r="A430" s="15"/>
      <c r="D430" s="3"/>
      <c r="G430" s="3"/>
      <c r="J430" s="3"/>
    </row>
    <row r="431">
      <c r="A431" s="15"/>
      <c r="D431" s="3"/>
      <c r="G431" s="3"/>
      <c r="J431" s="3"/>
    </row>
    <row r="432">
      <c r="A432" s="15"/>
      <c r="D432" s="3"/>
      <c r="G432" s="3"/>
      <c r="J432" s="3"/>
    </row>
    <row r="433">
      <c r="A433" s="15"/>
      <c r="D433" s="3"/>
      <c r="G433" s="3"/>
      <c r="J433" s="3"/>
    </row>
    <row r="434">
      <c r="A434" s="15"/>
      <c r="D434" s="3"/>
      <c r="G434" s="3"/>
      <c r="J434" s="3"/>
    </row>
    <row r="435">
      <c r="A435" s="15"/>
      <c r="D435" s="3"/>
      <c r="G435" s="3"/>
      <c r="J435" s="3"/>
    </row>
    <row r="436">
      <c r="A436" s="15"/>
      <c r="D436" s="3"/>
      <c r="G436" s="3"/>
      <c r="J436" s="3"/>
    </row>
    <row r="437">
      <c r="A437" s="15"/>
      <c r="D437" s="3"/>
      <c r="G437" s="3"/>
      <c r="J437" s="3"/>
    </row>
    <row r="438">
      <c r="A438" s="15"/>
      <c r="D438" s="3"/>
      <c r="G438" s="3"/>
      <c r="J438" s="3"/>
    </row>
    <row r="439">
      <c r="A439" s="15"/>
      <c r="D439" s="3"/>
      <c r="G439" s="3"/>
      <c r="J439" s="3"/>
    </row>
    <row r="440">
      <c r="A440" s="15"/>
      <c r="D440" s="3"/>
      <c r="G440" s="3"/>
      <c r="J440" s="3"/>
    </row>
    <row r="441">
      <c r="A441" s="15"/>
      <c r="D441" s="3"/>
      <c r="G441" s="3"/>
      <c r="J441" s="3"/>
    </row>
    <row r="442">
      <c r="A442" s="15"/>
      <c r="D442" s="3"/>
      <c r="G442" s="3"/>
      <c r="J442" s="3"/>
    </row>
    <row r="443">
      <c r="A443" s="15"/>
      <c r="D443" s="3"/>
      <c r="G443" s="3"/>
      <c r="J443" s="3"/>
    </row>
    <row r="444">
      <c r="A444" s="15"/>
      <c r="D444" s="3"/>
      <c r="G444" s="3"/>
      <c r="J444" s="3"/>
    </row>
    <row r="445">
      <c r="A445" s="15"/>
      <c r="D445" s="3"/>
      <c r="G445" s="3"/>
      <c r="J445" s="3"/>
    </row>
    <row r="446">
      <c r="A446" s="15"/>
      <c r="D446" s="3"/>
      <c r="G446" s="3"/>
      <c r="J446" s="3"/>
    </row>
    <row r="447">
      <c r="A447" s="15"/>
      <c r="D447" s="3"/>
      <c r="G447" s="3"/>
      <c r="J447" s="3"/>
    </row>
    <row r="448">
      <c r="A448" s="15"/>
      <c r="D448" s="3"/>
      <c r="G448" s="3"/>
      <c r="J448" s="3"/>
    </row>
    <row r="449">
      <c r="A449" s="15"/>
      <c r="D449" s="3"/>
      <c r="G449" s="3"/>
      <c r="J449" s="3"/>
    </row>
    <row r="450">
      <c r="A450" s="15"/>
      <c r="D450" s="3"/>
      <c r="G450" s="3"/>
      <c r="J450" s="3"/>
    </row>
    <row r="451">
      <c r="A451" s="15"/>
      <c r="D451" s="3"/>
      <c r="G451" s="3"/>
      <c r="J451" s="3"/>
    </row>
    <row r="452">
      <c r="A452" s="15"/>
      <c r="D452" s="3"/>
      <c r="G452" s="3"/>
      <c r="J452" s="3"/>
    </row>
    <row r="453">
      <c r="A453" s="15"/>
      <c r="D453" s="3"/>
      <c r="G453" s="3"/>
      <c r="J453" s="3"/>
    </row>
    <row r="454">
      <c r="A454" s="15"/>
      <c r="D454" s="3"/>
      <c r="G454" s="3"/>
      <c r="J454" s="3"/>
    </row>
    <row r="455">
      <c r="A455" s="15"/>
      <c r="D455" s="3"/>
      <c r="G455" s="3"/>
      <c r="J455" s="3"/>
    </row>
    <row r="456">
      <c r="A456" s="15"/>
      <c r="D456" s="3"/>
      <c r="G456" s="3"/>
      <c r="J456" s="3"/>
    </row>
    <row r="457">
      <c r="A457" s="15"/>
      <c r="D457" s="3"/>
      <c r="G457" s="3"/>
      <c r="J457" s="3"/>
    </row>
    <row r="458">
      <c r="A458" s="15"/>
      <c r="D458" s="3"/>
      <c r="G458" s="3"/>
      <c r="J458" s="3"/>
    </row>
    <row r="459">
      <c r="A459" s="15"/>
      <c r="D459" s="3"/>
      <c r="G459" s="3"/>
      <c r="J459" s="3"/>
    </row>
    <row r="460">
      <c r="A460" s="15"/>
      <c r="D460" s="3"/>
      <c r="G460" s="3"/>
      <c r="J460" s="3"/>
    </row>
    <row r="461">
      <c r="A461" s="15"/>
      <c r="D461" s="3"/>
      <c r="G461" s="3"/>
      <c r="J461" s="3"/>
    </row>
    <row r="462">
      <c r="A462" s="15"/>
      <c r="D462" s="3"/>
      <c r="G462" s="3"/>
      <c r="J462" s="3"/>
    </row>
    <row r="463">
      <c r="A463" s="15"/>
      <c r="D463" s="3"/>
      <c r="G463" s="3"/>
      <c r="J463" s="3"/>
    </row>
    <row r="464">
      <c r="A464" s="15"/>
      <c r="D464" s="3"/>
      <c r="G464" s="3"/>
      <c r="J464" s="3"/>
    </row>
    <row r="465">
      <c r="A465" s="15"/>
      <c r="D465" s="3"/>
      <c r="G465" s="3"/>
      <c r="J465" s="3"/>
    </row>
    <row r="466">
      <c r="A466" s="15"/>
      <c r="D466" s="3"/>
      <c r="G466" s="3"/>
      <c r="J466" s="3"/>
    </row>
    <row r="467">
      <c r="A467" s="15"/>
      <c r="D467" s="3"/>
      <c r="G467" s="3"/>
      <c r="J467" s="3"/>
    </row>
    <row r="468">
      <c r="A468" s="15"/>
      <c r="D468" s="3"/>
      <c r="G468" s="3"/>
      <c r="J468" s="3"/>
    </row>
    <row r="469">
      <c r="A469" s="15"/>
      <c r="D469" s="3"/>
      <c r="G469" s="3"/>
      <c r="J469" s="3"/>
    </row>
    <row r="470">
      <c r="A470" s="15"/>
      <c r="D470" s="3"/>
      <c r="G470" s="3"/>
      <c r="J470" s="3"/>
    </row>
    <row r="471">
      <c r="A471" s="15"/>
      <c r="D471" s="3"/>
      <c r="G471" s="3"/>
      <c r="J471" s="3"/>
    </row>
    <row r="472">
      <c r="A472" s="15"/>
      <c r="D472" s="3"/>
      <c r="G472" s="3"/>
      <c r="J472" s="3"/>
    </row>
    <row r="473">
      <c r="A473" s="15"/>
      <c r="D473" s="3"/>
      <c r="G473" s="3"/>
      <c r="J473" s="3"/>
    </row>
    <row r="474">
      <c r="A474" s="15"/>
      <c r="D474" s="3"/>
      <c r="G474" s="3"/>
      <c r="J474" s="3"/>
    </row>
    <row r="475">
      <c r="A475" s="15"/>
      <c r="D475" s="3"/>
      <c r="G475" s="3"/>
      <c r="J475" s="3"/>
    </row>
    <row r="476">
      <c r="A476" s="15"/>
      <c r="D476" s="3"/>
      <c r="G476" s="3"/>
      <c r="J476" s="3"/>
    </row>
    <row r="477">
      <c r="A477" s="15"/>
      <c r="D477" s="3"/>
      <c r="G477" s="3"/>
      <c r="J477" s="3"/>
    </row>
    <row r="478">
      <c r="A478" s="15"/>
      <c r="D478" s="3"/>
      <c r="G478" s="3"/>
      <c r="J478" s="3"/>
    </row>
    <row r="479">
      <c r="A479" s="15"/>
      <c r="D479" s="3"/>
      <c r="G479" s="3"/>
      <c r="J479" s="3"/>
    </row>
    <row r="480">
      <c r="A480" s="15"/>
      <c r="D480" s="3"/>
      <c r="G480" s="3"/>
      <c r="J480" s="3"/>
    </row>
    <row r="481">
      <c r="A481" s="15"/>
      <c r="D481" s="3"/>
      <c r="G481" s="3"/>
      <c r="J481" s="3"/>
    </row>
    <row r="482">
      <c r="A482" s="15"/>
      <c r="D482" s="3"/>
      <c r="G482" s="3"/>
      <c r="J482" s="3"/>
    </row>
    <row r="483">
      <c r="A483" s="15"/>
      <c r="D483" s="3"/>
      <c r="G483" s="3"/>
      <c r="J483" s="3"/>
    </row>
    <row r="484">
      <c r="A484" s="15"/>
      <c r="D484" s="3"/>
      <c r="G484" s="3"/>
      <c r="J484" s="3"/>
    </row>
    <row r="485">
      <c r="A485" s="15"/>
      <c r="D485" s="3"/>
      <c r="G485" s="3"/>
      <c r="J485" s="3"/>
    </row>
    <row r="486">
      <c r="A486" s="15"/>
      <c r="D486" s="3"/>
      <c r="G486" s="3"/>
      <c r="J486" s="3"/>
    </row>
    <row r="487">
      <c r="A487" s="15"/>
      <c r="D487" s="3"/>
      <c r="G487" s="3"/>
      <c r="J487" s="3"/>
    </row>
    <row r="488">
      <c r="A488" s="15"/>
      <c r="D488" s="3"/>
      <c r="G488" s="3"/>
      <c r="J488" s="3"/>
    </row>
    <row r="489">
      <c r="A489" s="15"/>
      <c r="D489" s="3"/>
      <c r="G489" s="3"/>
      <c r="J489" s="3"/>
    </row>
    <row r="490">
      <c r="A490" s="15"/>
      <c r="D490" s="3"/>
      <c r="G490" s="3"/>
      <c r="J490" s="3"/>
    </row>
    <row r="491">
      <c r="A491" s="15"/>
      <c r="D491" s="3"/>
      <c r="G491" s="3"/>
      <c r="J491" s="3"/>
    </row>
    <row r="492">
      <c r="A492" s="15"/>
      <c r="D492" s="3"/>
      <c r="G492" s="3"/>
      <c r="J492" s="3"/>
    </row>
    <row r="493">
      <c r="A493" s="15"/>
      <c r="D493" s="3"/>
      <c r="G493" s="3"/>
      <c r="J493" s="3"/>
    </row>
    <row r="494">
      <c r="A494" s="15"/>
      <c r="D494" s="3"/>
      <c r="G494" s="3"/>
      <c r="J494" s="3"/>
    </row>
    <row r="495">
      <c r="A495" s="15"/>
      <c r="D495" s="3"/>
      <c r="G495" s="3"/>
      <c r="J495" s="3"/>
    </row>
    <row r="496">
      <c r="A496" s="15"/>
      <c r="D496" s="3"/>
      <c r="G496" s="3"/>
      <c r="J496" s="3"/>
    </row>
    <row r="497">
      <c r="A497" s="15"/>
      <c r="D497" s="3"/>
      <c r="G497" s="3"/>
      <c r="J497" s="3"/>
    </row>
    <row r="498">
      <c r="A498" s="15"/>
      <c r="D498" s="3"/>
      <c r="G498" s="3"/>
      <c r="J498" s="3"/>
    </row>
    <row r="499">
      <c r="A499" s="15"/>
      <c r="D499" s="3"/>
      <c r="G499" s="3"/>
      <c r="J499" s="3"/>
    </row>
    <row r="500">
      <c r="A500" s="15"/>
      <c r="D500" s="3"/>
      <c r="G500" s="3"/>
      <c r="J500" s="3"/>
    </row>
    <row r="501">
      <c r="A501" s="15"/>
      <c r="D501" s="3"/>
      <c r="G501" s="3"/>
      <c r="J501" s="3"/>
    </row>
    <row r="502">
      <c r="A502" s="15"/>
      <c r="D502" s="3"/>
      <c r="G502" s="3"/>
      <c r="J502" s="3"/>
    </row>
    <row r="503">
      <c r="A503" s="15"/>
      <c r="D503" s="3"/>
      <c r="G503" s="3"/>
      <c r="J503" s="3"/>
    </row>
    <row r="504">
      <c r="A504" s="15"/>
      <c r="D504" s="3"/>
      <c r="G504" s="3"/>
      <c r="J504" s="3"/>
    </row>
    <row r="505">
      <c r="A505" s="15"/>
      <c r="D505" s="3"/>
      <c r="G505" s="3"/>
      <c r="J505" s="3"/>
    </row>
    <row r="506">
      <c r="A506" s="15"/>
      <c r="D506" s="3"/>
      <c r="G506" s="3"/>
      <c r="J506" s="3"/>
    </row>
    <row r="507">
      <c r="A507" s="15"/>
      <c r="D507" s="3"/>
      <c r="G507" s="3"/>
      <c r="J507" s="3"/>
    </row>
    <row r="508">
      <c r="A508" s="15"/>
      <c r="D508" s="3"/>
      <c r="G508" s="3"/>
      <c r="J508" s="3"/>
    </row>
    <row r="509">
      <c r="A509" s="15"/>
      <c r="D509" s="3"/>
      <c r="G509" s="3"/>
      <c r="J509" s="3"/>
    </row>
    <row r="510">
      <c r="A510" s="15"/>
      <c r="D510" s="3"/>
      <c r="G510" s="3"/>
      <c r="J510" s="3"/>
    </row>
    <row r="511">
      <c r="A511" s="15"/>
      <c r="D511" s="3"/>
      <c r="G511" s="3"/>
      <c r="J511" s="3"/>
    </row>
    <row r="512">
      <c r="A512" s="15"/>
      <c r="D512" s="3"/>
      <c r="G512" s="3"/>
      <c r="J512" s="3"/>
    </row>
    <row r="513">
      <c r="A513" s="15"/>
      <c r="D513" s="3"/>
      <c r="G513" s="3"/>
      <c r="J513" s="3"/>
    </row>
    <row r="514">
      <c r="A514" s="15"/>
      <c r="D514" s="3"/>
      <c r="G514" s="3"/>
      <c r="J514" s="3"/>
    </row>
    <row r="515">
      <c r="A515" s="15"/>
      <c r="D515" s="3"/>
      <c r="G515" s="3"/>
      <c r="J515" s="3"/>
    </row>
    <row r="516">
      <c r="A516" s="15"/>
      <c r="D516" s="3"/>
      <c r="G516" s="3"/>
      <c r="J516" s="3"/>
    </row>
    <row r="517">
      <c r="A517" s="15"/>
      <c r="D517" s="3"/>
      <c r="G517" s="3"/>
      <c r="J517" s="3"/>
    </row>
    <row r="518">
      <c r="A518" s="15"/>
      <c r="D518" s="3"/>
      <c r="G518" s="3"/>
      <c r="J518" s="3"/>
    </row>
    <row r="519">
      <c r="A519" s="15"/>
      <c r="D519" s="3"/>
      <c r="G519" s="3"/>
      <c r="J519" s="3"/>
    </row>
    <row r="520">
      <c r="A520" s="15"/>
      <c r="D520" s="3"/>
      <c r="G520" s="3"/>
      <c r="J520" s="3"/>
    </row>
    <row r="521">
      <c r="A521" s="15"/>
      <c r="D521" s="3"/>
      <c r="G521" s="3"/>
      <c r="J521" s="3"/>
    </row>
    <row r="522">
      <c r="A522" s="15"/>
      <c r="D522" s="3"/>
      <c r="G522" s="3"/>
      <c r="J522" s="3"/>
    </row>
    <row r="523">
      <c r="A523" s="15"/>
      <c r="D523" s="3"/>
      <c r="G523" s="3"/>
      <c r="J523" s="3"/>
    </row>
    <row r="524">
      <c r="A524" s="15"/>
      <c r="D524" s="3"/>
      <c r="G524" s="3"/>
      <c r="J524" s="3"/>
    </row>
    <row r="525">
      <c r="A525" s="15"/>
      <c r="D525" s="3"/>
      <c r="G525" s="3"/>
      <c r="J525" s="3"/>
    </row>
    <row r="526">
      <c r="A526" s="15"/>
      <c r="D526" s="3"/>
      <c r="G526" s="3"/>
      <c r="J526" s="3"/>
    </row>
    <row r="527">
      <c r="A527" s="15"/>
      <c r="D527" s="3"/>
      <c r="G527" s="3"/>
      <c r="J527" s="3"/>
    </row>
    <row r="528">
      <c r="A528" s="15"/>
      <c r="D528" s="3"/>
      <c r="G528" s="3"/>
      <c r="J528" s="3"/>
    </row>
    <row r="529">
      <c r="A529" s="15"/>
      <c r="D529" s="3"/>
      <c r="G529" s="3"/>
      <c r="J529" s="3"/>
    </row>
    <row r="530">
      <c r="A530" s="15"/>
      <c r="D530" s="3"/>
      <c r="G530" s="3"/>
      <c r="J530" s="3"/>
    </row>
    <row r="531">
      <c r="A531" s="15"/>
      <c r="D531" s="3"/>
      <c r="G531" s="3"/>
      <c r="J531" s="3"/>
    </row>
    <row r="532">
      <c r="A532" s="15"/>
      <c r="D532" s="3"/>
      <c r="G532" s="3"/>
      <c r="J532" s="3"/>
    </row>
    <row r="533">
      <c r="A533" s="15"/>
      <c r="D533" s="3"/>
      <c r="G533" s="3"/>
      <c r="J533" s="3"/>
    </row>
    <row r="534">
      <c r="A534" s="15"/>
      <c r="D534" s="3"/>
      <c r="G534" s="3"/>
      <c r="J534" s="3"/>
    </row>
    <row r="535">
      <c r="A535" s="15"/>
      <c r="D535" s="3"/>
      <c r="G535" s="3"/>
      <c r="J535" s="3"/>
    </row>
    <row r="536">
      <c r="A536" s="15"/>
      <c r="D536" s="3"/>
      <c r="G536" s="3"/>
      <c r="J536" s="3"/>
    </row>
    <row r="537">
      <c r="A537" s="15"/>
      <c r="D537" s="3"/>
      <c r="G537" s="3"/>
      <c r="J537" s="3"/>
    </row>
    <row r="538">
      <c r="A538" s="15"/>
      <c r="D538" s="3"/>
      <c r="G538" s="3"/>
      <c r="J538" s="3"/>
    </row>
    <row r="539">
      <c r="A539" s="15"/>
      <c r="D539" s="3"/>
      <c r="G539" s="3"/>
      <c r="J539" s="3"/>
    </row>
    <row r="540">
      <c r="A540" s="15"/>
      <c r="D540" s="3"/>
      <c r="G540" s="3"/>
      <c r="J540" s="3"/>
    </row>
    <row r="541">
      <c r="A541" s="15"/>
      <c r="D541" s="3"/>
      <c r="G541" s="3"/>
      <c r="J541" s="3"/>
    </row>
    <row r="542">
      <c r="A542" s="15"/>
      <c r="D542" s="3"/>
      <c r="G542" s="3"/>
      <c r="J542" s="3"/>
    </row>
    <row r="543">
      <c r="A543" s="15"/>
      <c r="D543" s="3"/>
      <c r="G543" s="3"/>
      <c r="J543" s="3"/>
    </row>
    <row r="544">
      <c r="A544" s="15"/>
      <c r="D544" s="3"/>
      <c r="G544" s="3"/>
      <c r="J544" s="3"/>
    </row>
    <row r="545">
      <c r="A545" s="15"/>
      <c r="D545" s="3"/>
      <c r="G545" s="3"/>
      <c r="J545" s="3"/>
    </row>
    <row r="546">
      <c r="A546" s="15"/>
      <c r="D546" s="3"/>
      <c r="G546" s="3"/>
      <c r="J546" s="3"/>
    </row>
    <row r="547">
      <c r="A547" s="15"/>
      <c r="D547" s="3"/>
      <c r="G547" s="3"/>
      <c r="J547" s="3"/>
    </row>
    <row r="548">
      <c r="A548" s="15"/>
      <c r="D548" s="3"/>
      <c r="G548" s="3"/>
      <c r="J548" s="3"/>
    </row>
    <row r="549">
      <c r="A549" s="15"/>
      <c r="D549" s="3"/>
      <c r="G549" s="3"/>
      <c r="J549" s="3"/>
    </row>
    <row r="550">
      <c r="A550" s="15"/>
      <c r="D550" s="3"/>
      <c r="G550" s="3"/>
      <c r="J550" s="3"/>
    </row>
    <row r="551">
      <c r="A551" s="15"/>
      <c r="D551" s="3"/>
      <c r="G551" s="3"/>
      <c r="J551" s="3"/>
    </row>
    <row r="552">
      <c r="A552" s="15"/>
      <c r="D552" s="3"/>
      <c r="G552" s="3"/>
      <c r="J552" s="3"/>
    </row>
    <row r="553">
      <c r="A553" s="15"/>
      <c r="D553" s="3"/>
      <c r="G553" s="3"/>
      <c r="J553" s="3"/>
    </row>
    <row r="554">
      <c r="A554" s="15"/>
      <c r="D554" s="3"/>
      <c r="G554" s="3"/>
      <c r="J554" s="3"/>
    </row>
    <row r="555">
      <c r="A555" s="15"/>
      <c r="D555" s="3"/>
      <c r="G555" s="3"/>
      <c r="J555" s="3"/>
    </row>
    <row r="556">
      <c r="A556" s="15"/>
      <c r="D556" s="3"/>
      <c r="G556" s="3"/>
      <c r="J556" s="3"/>
    </row>
    <row r="557">
      <c r="A557" s="15"/>
      <c r="D557" s="3"/>
      <c r="G557" s="3"/>
      <c r="J557" s="3"/>
    </row>
    <row r="558">
      <c r="A558" s="15"/>
      <c r="D558" s="3"/>
      <c r="G558" s="3"/>
      <c r="J558" s="3"/>
    </row>
    <row r="559">
      <c r="A559" s="15"/>
      <c r="D559" s="3"/>
      <c r="G559" s="3"/>
      <c r="J559" s="3"/>
    </row>
    <row r="560">
      <c r="A560" s="15"/>
      <c r="D560" s="3"/>
      <c r="G560" s="3"/>
      <c r="J560" s="3"/>
    </row>
    <row r="561">
      <c r="A561" s="15"/>
      <c r="D561" s="3"/>
      <c r="G561" s="3"/>
      <c r="J561" s="3"/>
    </row>
    <row r="562">
      <c r="A562" s="15"/>
      <c r="D562" s="3"/>
      <c r="G562" s="3"/>
      <c r="J562" s="3"/>
    </row>
    <row r="563">
      <c r="A563" s="15"/>
      <c r="D563" s="3"/>
      <c r="G563" s="3"/>
      <c r="J563" s="3"/>
    </row>
    <row r="564">
      <c r="A564" s="15"/>
      <c r="D564" s="3"/>
      <c r="G564" s="3"/>
      <c r="J564" s="3"/>
    </row>
    <row r="565">
      <c r="A565" s="15"/>
      <c r="D565" s="3"/>
      <c r="G565" s="3"/>
      <c r="J565" s="3"/>
    </row>
    <row r="566">
      <c r="A566" s="15"/>
      <c r="D566" s="3"/>
      <c r="G566" s="3"/>
      <c r="J566" s="3"/>
    </row>
    <row r="567">
      <c r="A567" s="15"/>
      <c r="D567" s="3"/>
      <c r="G567" s="3"/>
      <c r="J567" s="3"/>
    </row>
    <row r="568">
      <c r="A568" s="15"/>
      <c r="D568" s="3"/>
      <c r="G568" s="3"/>
      <c r="J568" s="3"/>
    </row>
    <row r="569">
      <c r="A569" s="15"/>
      <c r="D569" s="3"/>
      <c r="G569" s="3"/>
      <c r="J569" s="3"/>
    </row>
    <row r="570">
      <c r="A570" s="15"/>
      <c r="D570" s="3"/>
      <c r="G570" s="3"/>
      <c r="J570" s="3"/>
    </row>
    <row r="571">
      <c r="A571" s="15"/>
      <c r="D571" s="3"/>
      <c r="G571" s="3"/>
      <c r="J571" s="3"/>
    </row>
    <row r="572">
      <c r="A572" s="15"/>
      <c r="D572" s="3"/>
      <c r="G572" s="3"/>
      <c r="J572" s="3"/>
    </row>
    <row r="573">
      <c r="A573" s="15"/>
      <c r="D573" s="3"/>
      <c r="G573" s="3"/>
      <c r="J573" s="3"/>
    </row>
    <row r="574">
      <c r="A574" s="15"/>
      <c r="D574" s="3"/>
      <c r="G574" s="3"/>
      <c r="J574" s="3"/>
    </row>
    <row r="575">
      <c r="A575" s="15"/>
      <c r="D575" s="3"/>
      <c r="G575" s="3"/>
      <c r="J575" s="3"/>
    </row>
    <row r="576">
      <c r="A576" s="15"/>
      <c r="D576" s="3"/>
      <c r="G576" s="3"/>
      <c r="J576" s="3"/>
    </row>
    <row r="577">
      <c r="A577" s="15"/>
      <c r="D577" s="3"/>
      <c r="G577" s="3"/>
      <c r="J577" s="3"/>
    </row>
    <row r="578">
      <c r="A578" s="15"/>
      <c r="D578" s="3"/>
      <c r="G578" s="3"/>
      <c r="J578" s="3"/>
    </row>
    <row r="579">
      <c r="A579" s="15"/>
      <c r="D579" s="3"/>
      <c r="G579" s="3"/>
      <c r="J579" s="3"/>
    </row>
    <row r="580">
      <c r="A580" s="15"/>
      <c r="D580" s="3"/>
      <c r="G580" s="3"/>
      <c r="J580" s="3"/>
    </row>
    <row r="581">
      <c r="A581" s="15"/>
      <c r="D581" s="3"/>
      <c r="G581" s="3"/>
      <c r="J581" s="3"/>
    </row>
    <row r="582">
      <c r="A582" s="15"/>
      <c r="D582" s="3"/>
      <c r="G582" s="3"/>
      <c r="J582" s="3"/>
    </row>
    <row r="583">
      <c r="A583" s="15"/>
      <c r="D583" s="3"/>
      <c r="G583" s="3"/>
      <c r="J583" s="3"/>
    </row>
    <row r="584">
      <c r="A584" s="15"/>
      <c r="D584" s="3"/>
      <c r="G584" s="3"/>
      <c r="J584" s="3"/>
    </row>
    <row r="585">
      <c r="A585" s="15"/>
      <c r="D585" s="3"/>
      <c r="G585" s="3"/>
      <c r="J585" s="3"/>
    </row>
    <row r="586">
      <c r="A586" s="15"/>
      <c r="D586" s="3"/>
      <c r="G586" s="3"/>
      <c r="J586" s="3"/>
    </row>
    <row r="587">
      <c r="A587" s="15"/>
      <c r="D587" s="3"/>
      <c r="G587" s="3"/>
      <c r="J587" s="3"/>
    </row>
    <row r="588">
      <c r="A588" s="15"/>
      <c r="D588" s="3"/>
      <c r="G588" s="3"/>
      <c r="J588" s="3"/>
    </row>
    <row r="589">
      <c r="A589" s="15"/>
      <c r="D589" s="3"/>
      <c r="G589" s="3"/>
      <c r="J589" s="3"/>
    </row>
    <row r="590">
      <c r="A590" s="15"/>
      <c r="D590" s="3"/>
      <c r="G590" s="3"/>
      <c r="J590" s="3"/>
    </row>
    <row r="591">
      <c r="A591" s="15"/>
      <c r="D591" s="3"/>
      <c r="G591" s="3"/>
      <c r="J591" s="3"/>
    </row>
    <row r="592">
      <c r="A592" s="15"/>
      <c r="D592" s="3"/>
      <c r="G592" s="3"/>
      <c r="J592" s="3"/>
    </row>
    <row r="593">
      <c r="A593" s="15"/>
      <c r="D593" s="3"/>
      <c r="G593" s="3"/>
      <c r="J593" s="3"/>
    </row>
    <row r="594">
      <c r="A594" s="15"/>
      <c r="D594" s="3"/>
      <c r="G594" s="3"/>
      <c r="J594" s="3"/>
    </row>
    <row r="595">
      <c r="A595" s="15"/>
      <c r="D595" s="3"/>
      <c r="G595" s="3"/>
      <c r="J595" s="3"/>
    </row>
    <row r="596">
      <c r="A596" s="15"/>
      <c r="D596" s="3"/>
      <c r="G596" s="3"/>
      <c r="J596" s="3"/>
    </row>
    <row r="597">
      <c r="A597" s="15"/>
      <c r="D597" s="3"/>
      <c r="G597" s="3"/>
      <c r="J597" s="3"/>
    </row>
    <row r="598">
      <c r="A598" s="15"/>
      <c r="D598" s="3"/>
      <c r="G598" s="3"/>
      <c r="J598" s="3"/>
    </row>
    <row r="599">
      <c r="A599" s="15"/>
      <c r="D599" s="3"/>
      <c r="G599" s="3"/>
      <c r="J599" s="3"/>
    </row>
    <row r="600">
      <c r="A600" s="15"/>
      <c r="D600" s="3"/>
      <c r="G600" s="3"/>
      <c r="J600" s="3"/>
    </row>
    <row r="601">
      <c r="A601" s="15"/>
      <c r="D601" s="3"/>
      <c r="G601" s="3"/>
      <c r="J601" s="3"/>
    </row>
    <row r="602">
      <c r="A602" s="15"/>
      <c r="D602" s="3"/>
      <c r="G602" s="3"/>
      <c r="J602" s="3"/>
    </row>
    <row r="603">
      <c r="A603" s="15"/>
      <c r="D603" s="3"/>
      <c r="G603" s="3"/>
      <c r="J603" s="3"/>
    </row>
    <row r="604">
      <c r="A604" s="15"/>
      <c r="D604" s="3"/>
      <c r="G604" s="3"/>
      <c r="J604" s="3"/>
    </row>
    <row r="605">
      <c r="A605" s="15"/>
      <c r="D605" s="3"/>
      <c r="G605" s="3"/>
      <c r="J605" s="3"/>
    </row>
    <row r="606">
      <c r="A606" s="15"/>
      <c r="D606" s="3"/>
      <c r="G606" s="3"/>
      <c r="J606" s="3"/>
    </row>
    <row r="607">
      <c r="A607" s="15"/>
      <c r="D607" s="3"/>
      <c r="G607" s="3"/>
      <c r="J607" s="3"/>
    </row>
    <row r="608">
      <c r="A608" s="15"/>
      <c r="D608" s="3"/>
      <c r="G608" s="3"/>
      <c r="J608" s="3"/>
    </row>
    <row r="609">
      <c r="A609" s="15"/>
      <c r="D609" s="3"/>
      <c r="G609" s="3"/>
      <c r="J609" s="3"/>
    </row>
    <row r="610">
      <c r="A610" s="15"/>
      <c r="D610" s="3"/>
      <c r="G610" s="3"/>
      <c r="J610" s="3"/>
    </row>
    <row r="611">
      <c r="A611" s="15"/>
      <c r="D611" s="3"/>
      <c r="G611" s="3"/>
      <c r="J611" s="3"/>
    </row>
    <row r="612">
      <c r="A612" s="15"/>
      <c r="D612" s="3"/>
      <c r="G612" s="3"/>
      <c r="J612" s="3"/>
    </row>
    <row r="613">
      <c r="A613" s="15"/>
      <c r="D613" s="3"/>
      <c r="G613" s="3"/>
      <c r="J613" s="3"/>
    </row>
    <row r="614">
      <c r="A614" s="15"/>
      <c r="D614" s="3"/>
      <c r="G614" s="3"/>
      <c r="J614" s="3"/>
    </row>
    <row r="615">
      <c r="A615" s="15"/>
      <c r="D615" s="3"/>
      <c r="G615" s="3"/>
      <c r="J615" s="3"/>
    </row>
    <row r="616">
      <c r="A616" s="15"/>
      <c r="D616" s="3"/>
      <c r="G616" s="3"/>
      <c r="J616" s="3"/>
    </row>
    <row r="617">
      <c r="A617" s="15"/>
      <c r="D617" s="3"/>
      <c r="G617" s="3"/>
      <c r="J617" s="3"/>
    </row>
    <row r="618">
      <c r="A618" s="15"/>
      <c r="D618" s="3"/>
      <c r="G618" s="3"/>
      <c r="J618" s="3"/>
    </row>
    <row r="619">
      <c r="A619" s="15"/>
      <c r="D619" s="3"/>
      <c r="G619" s="3"/>
      <c r="J619" s="3"/>
    </row>
    <row r="620">
      <c r="A620" s="15"/>
      <c r="D620" s="3"/>
      <c r="G620" s="3"/>
      <c r="J620" s="3"/>
    </row>
    <row r="621">
      <c r="A621" s="15"/>
      <c r="D621" s="3"/>
      <c r="G621" s="3"/>
      <c r="J621" s="3"/>
    </row>
    <row r="622">
      <c r="A622" s="15"/>
      <c r="D622" s="3"/>
      <c r="G622" s="3"/>
      <c r="J622" s="3"/>
    </row>
    <row r="623">
      <c r="A623" s="15"/>
      <c r="D623" s="3"/>
      <c r="G623" s="3"/>
      <c r="J623" s="3"/>
    </row>
    <row r="624">
      <c r="A624" s="15"/>
      <c r="D624" s="3"/>
      <c r="G624" s="3"/>
      <c r="J624" s="3"/>
    </row>
    <row r="625">
      <c r="A625" s="15"/>
      <c r="D625" s="3"/>
      <c r="G625" s="3"/>
      <c r="J625" s="3"/>
    </row>
    <row r="626">
      <c r="A626" s="15"/>
      <c r="D626" s="3"/>
      <c r="G626" s="3"/>
      <c r="J626" s="3"/>
    </row>
    <row r="627">
      <c r="A627" s="15"/>
      <c r="D627" s="3"/>
      <c r="G627" s="3"/>
      <c r="J627" s="3"/>
    </row>
    <row r="628">
      <c r="A628" s="15"/>
      <c r="D628" s="3"/>
      <c r="G628" s="3"/>
      <c r="J628" s="3"/>
    </row>
    <row r="629">
      <c r="A629" s="15"/>
      <c r="D629" s="3"/>
      <c r="G629" s="3"/>
      <c r="J629" s="3"/>
    </row>
    <row r="630">
      <c r="A630" s="15"/>
      <c r="D630" s="3"/>
      <c r="G630" s="3"/>
      <c r="J630" s="3"/>
    </row>
    <row r="631">
      <c r="A631" s="15"/>
      <c r="D631" s="3"/>
      <c r="G631" s="3"/>
      <c r="J631" s="3"/>
    </row>
    <row r="632">
      <c r="A632" s="15"/>
      <c r="D632" s="3"/>
      <c r="G632" s="3"/>
      <c r="J632" s="3"/>
    </row>
    <row r="633">
      <c r="A633" s="15"/>
      <c r="D633" s="3"/>
      <c r="G633" s="3"/>
      <c r="J633" s="3"/>
    </row>
    <row r="634">
      <c r="A634" s="15"/>
      <c r="D634" s="3"/>
      <c r="G634" s="3"/>
      <c r="J634" s="3"/>
    </row>
    <row r="635">
      <c r="A635" s="15"/>
      <c r="D635" s="3"/>
      <c r="G635" s="3"/>
      <c r="J635" s="3"/>
    </row>
    <row r="636">
      <c r="A636" s="15"/>
      <c r="D636" s="3"/>
      <c r="G636" s="3"/>
      <c r="J636" s="3"/>
    </row>
    <row r="637">
      <c r="A637" s="15"/>
      <c r="D637" s="3"/>
      <c r="G637" s="3"/>
      <c r="J637" s="3"/>
    </row>
    <row r="638">
      <c r="A638" s="15"/>
      <c r="D638" s="3"/>
      <c r="G638" s="3"/>
      <c r="J638" s="3"/>
    </row>
    <row r="639">
      <c r="A639" s="15"/>
      <c r="D639" s="3"/>
      <c r="G639" s="3"/>
      <c r="J639" s="3"/>
    </row>
    <row r="640">
      <c r="A640" s="15"/>
      <c r="D640" s="3"/>
      <c r="G640" s="3"/>
      <c r="J640" s="3"/>
    </row>
    <row r="641">
      <c r="A641" s="15"/>
      <c r="D641" s="3"/>
      <c r="G641" s="3"/>
      <c r="J641" s="3"/>
    </row>
    <row r="642">
      <c r="A642" s="15"/>
      <c r="D642" s="3"/>
      <c r="G642" s="3"/>
      <c r="J642" s="3"/>
    </row>
    <row r="643">
      <c r="A643" s="15"/>
      <c r="D643" s="3"/>
      <c r="G643" s="3"/>
      <c r="J643" s="3"/>
    </row>
    <row r="644">
      <c r="A644" s="15"/>
      <c r="D644" s="3"/>
      <c r="G644" s="3"/>
      <c r="J644" s="3"/>
    </row>
    <row r="645">
      <c r="A645" s="15"/>
      <c r="D645" s="3"/>
      <c r="G645" s="3"/>
      <c r="J645" s="3"/>
    </row>
    <row r="646">
      <c r="A646" s="15"/>
      <c r="D646" s="3"/>
      <c r="G646" s="3"/>
      <c r="J646" s="3"/>
    </row>
    <row r="647">
      <c r="A647" s="15"/>
      <c r="D647" s="3"/>
      <c r="G647" s="3"/>
      <c r="J647" s="3"/>
    </row>
    <row r="648">
      <c r="A648" s="15"/>
      <c r="D648" s="3"/>
      <c r="G648" s="3"/>
      <c r="J648" s="3"/>
    </row>
    <row r="649">
      <c r="A649" s="15"/>
      <c r="D649" s="3"/>
      <c r="G649" s="3"/>
      <c r="J649" s="3"/>
    </row>
    <row r="650">
      <c r="A650" s="15"/>
      <c r="D650" s="3"/>
      <c r="G650" s="3"/>
      <c r="J650" s="3"/>
    </row>
    <row r="651">
      <c r="A651" s="15"/>
      <c r="D651" s="3"/>
      <c r="G651" s="3"/>
      <c r="J651" s="3"/>
    </row>
    <row r="652">
      <c r="A652" s="15"/>
      <c r="D652" s="3"/>
      <c r="G652" s="3"/>
      <c r="J652" s="3"/>
    </row>
    <row r="653">
      <c r="A653" s="15"/>
      <c r="D653" s="3"/>
      <c r="G653" s="3"/>
      <c r="J653" s="3"/>
    </row>
    <row r="654">
      <c r="A654" s="15"/>
      <c r="D654" s="3"/>
      <c r="G654" s="3"/>
      <c r="J654" s="3"/>
    </row>
    <row r="655">
      <c r="A655" s="15"/>
      <c r="D655" s="3"/>
      <c r="G655" s="3"/>
      <c r="J655" s="3"/>
    </row>
    <row r="656">
      <c r="A656" s="15"/>
      <c r="D656" s="3"/>
      <c r="G656" s="3"/>
      <c r="J656" s="3"/>
    </row>
    <row r="657">
      <c r="A657" s="15"/>
      <c r="D657" s="3"/>
      <c r="G657" s="3"/>
      <c r="J657" s="3"/>
    </row>
    <row r="658">
      <c r="A658" s="15"/>
      <c r="D658" s="3"/>
      <c r="G658" s="3"/>
      <c r="J658" s="3"/>
    </row>
    <row r="659">
      <c r="A659" s="15"/>
      <c r="D659" s="3"/>
      <c r="G659" s="3"/>
      <c r="J659" s="3"/>
    </row>
    <row r="660">
      <c r="A660" s="15"/>
      <c r="D660" s="3"/>
      <c r="G660" s="3"/>
      <c r="J660" s="3"/>
    </row>
    <row r="661">
      <c r="A661" s="15"/>
      <c r="D661" s="3"/>
      <c r="G661" s="3"/>
      <c r="J661" s="3"/>
    </row>
    <row r="662">
      <c r="A662" s="15"/>
      <c r="D662" s="3"/>
      <c r="G662" s="3"/>
      <c r="J662" s="3"/>
    </row>
    <row r="663">
      <c r="A663" s="15"/>
      <c r="D663" s="3"/>
      <c r="G663" s="3"/>
      <c r="J663" s="3"/>
    </row>
    <row r="664">
      <c r="A664" s="15"/>
      <c r="D664" s="3"/>
      <c r="G664" s="3"/>
      <c r="J664" s="3"/>
    </row>
    <row r="665">
      <c r="A665" s="15"/>
      <c r="D665" s="3"/>
      <c r="G665" s="3"/>
      <c r="J665" s="3"/>
    </row>
    <row r="666">
      <c r="A666" s="15"/>
      <c r="D666" s="3"/>
      <c r="G666" s="3"/>
      <c r="J666" s="3"/>
    </row>
    <row r="667">
      <c r="A667" s="15"/>
      <c r="D667" s="3"/>
      <c r="G667" s="3"/>
      <c r="J667" s="3"/>
    </row>
    <row r="668">
      <c r="A668" s="15"/>
      <c r="D668" s="3"/>
      <c r="G668" s="3"/>
      <c r="J668" s="3"/>
    </row>
    <row r="669">
      <c r="A669" s="15"/>
      <c r="D669" s="3"/>
      <c r="G669" s="3"/>
      <c r="J669" s="3"/>
    </row>
    <row r="670">
      <c r="A670" s="15"/>
      <c r="D670" s="3"/>
      <c r="G670" s="3"/>
      <c r="J670" s="3"/>
    </row>
    <row r="671">
      <c r="A671" s="15"/>
      <c r="D671" s="3"/>
      <c r="G671" s="3"/>
      <c r="J671" s="3"/>
    </row>
    <row r="672">
      <c r="A672" s="15"/>
      <c r="D672" s="3"/>
      <c r="G672" s="3"/>
      <c r="J672" s="3"/>
    </row>
    <row r="673">
      <c r="A673" s="15"/>
      <c r="D673" s="3"/>
      <c r="G673" s="3"/>
      <c r="J673" s="3"/>
    </row>
    <row r="674">
      <c r="A674" s="15"/>
      <c r="D674" s="3"/>
      <c r="G674" s="3"/>
      <c r="J674" s="3"/>
    </row>
    <row r="675">
      <c r="A675" s="15"/>
      <c r="D675" s="3"/>
      <c r="G675" s="3"/>
      <c r="J675" s="3"/>
    </row>
    <row r="676">
      <c r="A676" s="15"/>
      <c r="D676" s="3"/>
      <c r="G676" s="3"/>
      <c r="J676" s="3"/>
    </row>
    <row r="677">
      <c r="A677" s="15"/>
      <c r="D677" s="3"/>
      <c r="G677" s="3"/>
      <c r="J677" s="3"/>
    </row>
    <row r="678">
      <c r="A678" s="15"/>
      <c r="D678" s="3"/>
      <c r="G678" s="3"/>
      <c r="J678" s="3"/>
    </row>
    <row r="679">
      <c r="A679" s="15"/>
      <c r="D679" s="3"/>
      <c r="G679" s="3"/>
      <c r="J679" s="3"/>
    </row>
    <row r="680">
      <c r="A680" s="15"/>
      <c r="D680" s="3"/>
      <c r="G680" s="3"/>
      <c r="J680" s="3"/>
    </row>
    <row r="681">
      <c r="A681" s="15"/>
      <c r="D681" s="3"/>
      <c r="G681" s="3"/>
      <c r="J681" s="3"/>
    </row>
    <row r="682">
      <c r="A682" s="15"/>
      <c r="D682" s="3"/>
      <c r="G682" s="3"/>
      <c r="J682" s="3"/>
    </row>
    <row r="683">
      <c r="A683" s="15"/>
      <c r="D683" s="3"/>
      <c r="G683" s="3"/>
      <c r="J683" s="3"/>
    </row>
    <row r="684">
      <c r="A684" s="15"/>
      <c r="D684" s="3"/>
      <c r="G684" s="3"/>
      <c r="J684" s="3"/>
    </row>
    <row r="685">
      <c r="A685" s="15"/>
      <c r="D685" s="3"/>
      <c r="G685" s="3"/>
      <c r="J685" s="3"/>
    </row>
    <row r="686">
      <c r="A686" s="15"/>
      <c r="D686" s="3"/>
      <c r="G686" s="3"/>
      <c r="J686" s="3"/>
    </row>
    <row r="687">
      <c r="A687" s="15"/>
      <c r="D687" s="3"/>
      <c r="G687" s="3"/>
      <c r="J687" s="3"/>
    </row>
    <row r="688">
      <c r="A688" s="15"/>
      <c r="D688" s="3"/>
      <c r="G688" s="3"/>
      <c r="J688" s="3"/>
    </row>
    <row r="689">
      <c r="A689" s="15"/>
      <c r="D689" s="3"/>
      <c r="G689" s="3"/>
      <c r="J689" s="3"/>
    </row>
    <row r="690">
      <c r="A690" s="15"/>
      <c r="D690" s="3"/>
      <c r="G690" s="3"/>
      <c r="J690" s="3"/>
    </row>
    <row r="691">
      <c r="A691" s="15"/>
      <c r="D691" s="3"/>
      <c r="G691" s="3"/>
      <c r="J691" s="3"/>
    </row>
    <row r="692">
      <c r="A692" s="15"/>
      <c r="D692" s="3"/>
      <c r="G692" s="3"/>
      <c r="J692" s="3"/>
    </row>
    <row r="693">
      <c r="A693" s="15"/>
      <c r="D693" s="3"/>
      <c r="G693" s="3"/>
      <c r="J693" s="3"/>
    </row>
    <row r="694">
      <c r="A694" s="15"/>
      <c r="D694" s="3"/>
      <c r="G694" s="3"/>
      <c r="J694" s="3"/>
    </row>
    <row r="695">
      <c r="A695" s="15"/>
      <c r="D695" s="3"/>
      <c r="G695" s="3"/>
      <c r="J695" s="3"/>
    </row>
    <row r="696">
      <c r="A696" s="15"/>
      <c r="D696" s="3"/>
      <c r="G696" s="3"/>
      <c r="J696" s="3"/>
    </row>
    <row r="697">
      <c r="A697" s="15"/>
      <c r="D697" s="3"/>
      <c r="G697" s="3"/>
      <c r="J697" s="3"/>
    </row>
    <row r="698">
      <c r="A698" s="15"/>
      <c r="D698" s="3"/>
      <c r="G698" s="3"/>
      <c r="J698" s="3"/>
    </row>
    <row r="699">
      <c r="A699" s="15"/>
      <c r="D699" s="3"/>
      <c r="G699" s="3"/>
      <c r="J699" s="3"/>
    </row>
    <row r="700">
      <c r="A700" s="15"/>
      <c r="D700" s="3"/>
      <c r="G700" s="3"/>
      <c r="J700" s="3"/>
    </row>
    <row r="701">
      <c r="A701" s="15"/>
      <c r="D701" s="3"/>
      <c r="G701" s="3"/>
      <c r="J701" s="3"/>
    </row>
    <row r="702">
      <c r="A702" s="15"/>
      <c r="D702" s="3"/>
      <c r="G702" s="3"/>
      <c r="J702" s="3"/>
    </row>
    <row r="703">
      <c r="A703" s="15"/>
      <c r="D703" s="3"/>
      <c r="G703" s="3"/>
      <c r="J703" s="3"/>
    </row>
    <row r="704">
      <c r="A704" s="15"/>
      <c r="D704" s="3"/>
      <c r="G704" s="3"/>
      <c r="J704" s="3"/>
    </row>
    <row r="705">
      <c r="A705" s="15"/>
      <c r="D705" s="3"/>
      <c r="G705" s="3"/>
      <c r="J705" s="3"/>
    </row>
    <row r="706">
      <c r="A706" s="15"/>
      <c r="D706" s="3"/>
      <c r="G706" s="3"/>
      <c r="J706" s="3"/>
    </row>
    <row r="707">
      <c r="A707" s="15"/>
      <c r="D707" s="3"/>
      <c r="G707" s="3"/>
      <c r="J707" s="3"/>
    </row>
    <row r="708">
      <c r="A708" s="15"/>
      <c r="D708" s="3"/>
      <c r="G708" s="3"/>
      <c r="J708" s="3"/>
    </row>
    <row r="709">
      <c r="A709" s="15"/>
      <c r="D709" s="3"/>
      <c r="G709" s="3"/>
      <c r="J709" s="3"/>
    </row>
    <row r="710">
      <c r="A710" s="15"/>
      <c r="D710" s="3"/>
      <c r="G710" s="3"/>
      <c r="J710" s="3"/>
    </row>
    <row r="711">
      <c r="A711" s="15"/>
      <c r="D711" s="3"/>
      <c r="G711" s="3"/>
      <c r="J711" s="3"/>
    </row>
    <row r="712">
      <c r="A712" s="15"/>
      <c r="D712" s="3"/>
      <c r="G712" s="3"/>
      <c r="J712" s="3"/>
    </row>
    <row r="713">
      <c r="A713" s="15"/>
      <c r="D713" s="3"/>
      <c r="G713" s="3"/>
      <c r="J713" s="3"/>
    </row>
    <row r="714">
      <c r="A714" s="15"/>
      <c r="D714" s="3"/>
      <c r="G714" s="3"/>
      <c r="J714" s="3"/>
    </row>
    <row r="715">
      <c r="A715" s="15"/>
      <c r="D715" s="3"/>
      <c r="G715" s="3"/>
      <c r="J715" s="3"/>
    </row>
    <row r="716">
      <c r="A716" s="15"/>
      <c r="D716" s="3"/>
      <c r="G716" s="3"/>
      <c r="J716" s="3"/>
    </row>
    <row r="717">
      <c r="A717" s="15"/>
      <c r="D717" s="3"/>
      <c r="G717" s="3"/>
      <c r="J717" s="3"/>
    </row>
    <row r="718">
      <c r="A718" s="15"/>
      <c r="D718" s="3"/>
      <c r="G718" s="3"/>
      <c r="J718" s="3"/>
    </row>
    <row r="719">
      <c r="A719" s="15"/>
      <c r="D719" s="3"/>
      <c r="G719" s="3"/>
      <c r="J719" s="3"/>
    </row>
    <row r="720">
      <c r="A720" s="15"/>
      <c r="D720" s="3"/>
      <c r="G720" s="3"/>
      <c r="J720" s="3"/>
    </row>
    <row r="721">
      <c r="A721" s="15"/>
      <c r="D721" s="3"/>
      <c r="G721" s="3"/>
      <c r="J721" s="3"/>
    </row>
    <row r="722">
      <c r="A722" s="15"/>
      <c r="D722" s="3"/>
      <c r="G722" s="3"/>
      <c r="J722" s="3"/>
    </row>
    <row r="723">
      <c r="A723" s="15"/>
      <c r="D723" s="3"/>
      <c r="G723" s="3"/>
      <c r="J723" s="3"/>
    </row>
    <row r="724">
      <c r="A724" s="15"/>
      <c r="D724" s="3"/>
      <c r="G724" s="3"/>
      <c r="J724" s="3"/>
    </row>
    <row r="725">
      <c r="A725" s="15"/>
      <c r="D725" s="3"/>
      <c r="G725" s="3"/>
      <c r="J725" s="3"/>
    </row>
    <row r="726">
      <c r="A726" s="15"/>
      <c r="D726" s="3"/>
      <c r="G726" s="3"/>
      <c r="J726" s="3"/>
    </row>
    <row r="727">
      <c r="A727" s="15"/>
      <c r="D727" s="3"/>
      <c r="G727" s="3"/>
      <c r="J727" s="3"/>
    </row>
    <row r="728">
      <c r="A728" s="15"/>
      <c r="D728" s="3"/>
      <c r="G728" s="3"/>
      <c r="J728" s="3"/>
    </row>
    <row r="729">
      <c r="A729" s="15"/>
      <c r="D729" s="3"/>
      <c r="G729" s="3"/>
      <c r="J729" s="3"/>
    </row>
    <row r="730">
      <c r="A730" s="15"/>
      <c r="D730" s="3"/>
      <c r="G730" s="3"/>
      <c r="J730" s="3"/>
    </row>
    <row r="731">
      <c r="A731" s="15"/>
      <c r="D731" s="3"/>
      <c r="G731" s="3"/>
      <c r="J731" s="3"/>
    </row>
    <row r="732">
      <c r="A732" s="15"/>
      <c r="D732" s="3"/>
      <c r="G732" s="3"/>
      <c r="J732" s="3"/>
    </row>
    <row r="733">
      <c r="A733" s="15"/>
      <c r="D733" s="3"/>
      <c r="G733" s="3"/>
      <c r="J733" s="3"/>
    </row>
    <row r="734">
      <c r="A734" s="15"/>
      <c r="D734" s="3"/>
      <c r="G734" s="3"/>
      <c r="J734" s="3"/>
    </row>
    <row r="735">
      <c r="A735" s="15"/>
      <c r="D735" s="3"/>
      <c r="G735" s="3"/>
      <c r="J735" s="3"/>
    </row>
    <row r="736">
      <c r="A736" s="15"/>
      <c r="D736" s="3"/>
      <c r="G736" s="3"/>
      <c r="J736" s="3"/>
    </row>
    <row r="737">
      <c r="A737" s="15"/>
      <c r="D737" s="3"/>
      <c r="G737" s="3"/>
      <c r="J737" s="3"/>
    </row>
    <row r="738">
      <c r="A738" s="15"/>
      <c r="D738" s="3"/>
      <c r="G738" s="3"/>
      <c r="J738" s="3"/>
    </row>
    <row r="739">
      <c r="A739" s="15"/>
      <c r="D739" s="3"/>
      <c r="G739" s="3"/>
      <c r="J739" s="3"/>
    </row>
    <row r="740">
      <c r="A740" s="15"/>
      <c r="D740" s="3"/>
      <c r="G740" s="3"/>
      <c r="J740" s="3"/>
    </row>
    <row r="741">
      <c r="A741" s="15"/>
      <c r="D741" s="3"/>
      <c r="G741" s="3"/>
      <c r="J741" s="3"/>
    </row>
    <row r="742">
      <c r="A742" s="15"/>
      <c r="D742" s="3"/>
      <c r="G742" s="3"/>
      <c r="J742" s="3"/>
    </row>
    <row r="743">
      <c r="A743" s="15"/>
      <c r="D743" s="3"/>
      <c r="G743" s="3"/>
      <c r="J743" s="3"/>
    </row>
    <row r="744">
      <c r="A744" s="15"/>
      <c r="D744" s="3"/>
      <c r="G744" s="3"/>
      <c r="J744" s="3"/>
    </row>
    <row r="745">
      <c r="A745" s="15"/>
      <c r="D745" s="3"/>
      <c r="G745" s="3"/>
      <c r="J745" s="3"/>
    </row>
    <row r="746">
      <c r="A746" s="15"/>
      <c r="D746" s="3"/>
      <c r="G746" s="3"/>
      <c r="J746" s="3"/>
    </row>
    <row r="747">
      <c r="A747" s="15"/>
      <c r="D747" s="3"/>
      <c r="G747" s="3"/>
      <c r="J747" s="3"/>
    </row>
    <row r="748">
      <c r="A748" s="15"/>
      <c r="D748" s="3"/>
      <c r="G748" s="3"/>
      <c r="J748" s="3"/>
    </row>
    <row r="749">
      <c r="A749" s="15"/>
      <c r="D749" s="3"/>
      <c r="G749" s="3"/>
      <c r="J749" s="3"/>
    </row>
    <row r="750">
      <c r="A750" s="15"/>
      <c r="D750" s="3"/>
      <c r="G750" s="3"/>
      <c r="J750" s="3"/>
    </row>
    <row r="751">
      <c r="A751" s="15"/>
      <c r="D751" s="3"/>
      <c r="G751" s="3"/>
      <c r="J751" s="3"/>
    </row>
    <row r="752">
      <c r="A752" s="15"/>
      <c r="D752" s="3"/>
      <c r="G752" s="3"/>
      <c r="J752" s="3"/>
    </row>
    <row r="753">
      <c r="A753" s="15"/>
      <c r="D753" s="3"/>
      <c r="G753" s="3"/>
      <c r="J753" s="3"/>
    </row>
    <row r="754">
      <c r="A754" s="15"/>
      <c r="D754" s="3"/>
      <c r="G754" s="3"/>
      <c r="J754" s="3"/>
    </row>
    <row r="755">
      <c r="A755" s="15"/>
      <c r="D755" s="3"/>
      <c r="G755" s="3"/>
      <c r="J755" s="3"/>
    </row>
    <row r="756">
      <c r="A756" s="15"/>
      <c r="D756" s="3"/>
      <c r="G756" s="3"/>
      <c r="J756" s="3"/>
    </row>
    <row r="757">
      <c r="A757" s="15"/>
      <c r="D757" s="3"/>
      <c r="G757" s="3"/>
      <c r="J757" s="3"/>
    </row>
    <row r="758">
      <c r="A758" s="15"/>
      <c r="D758" s="3"/>
      <c r="G758" s="3"/>
      <c r="J758" s="3"/>
    </row>
    <row r="759">
      <c r="A759" s="15"/>
      <c r="D759" s="3"/>
      <c r="G759" s="3"/>
      <c r="J759" s="3"/>
    </row>
    <row r="760">
      <c r="A760" s="15"/>
      <c r="D760" s="3"/>
      <c r="G760" s="3"/>
      <c r="J760" s="3"/>
    </row>
    <row r="761">
      <c r="A761" s="15"/>
      <c r="D761" s="3"/>
      <c r="G761" s="3"/>
      <c r="J761" s="3"/>
    </row>
    <row r="762">
      <c r="A762" s="15"/>
      <c r="D762" s="3"/>
      <c r="G762" s="3"/>
      <c r="J762" s="3"/>
    </row>
    <row r="763">
      <c r="A763" s="15"/>
      <c r="D763" s="3"/>
      <c r="G763" s="3"/>
      <c r="J763" s="3"/>
    </row>
    <row r="764">
      <c r="A764" s="15"/>
      <c r="D764" s="3"/>
      <c r="G764" s="3"/>
      <c r="J764" s="3"/>
    </row>
    <row r="765">
      <c r="A765" s="15"/>
      <c r="D765" s="3"/>
      <c r="G765" s="3"/>
      <c r="J765" s="3"/>
    </row>
    <row r="766">
      <c r="A766" s="15"/>
      <c r="D766" s="3"/>
      <c r="G766" s="3"/>
      <c r="J766" s="3"/>
    </row>
    <row r="767">
      <c r="A767" s="15"/>
      <c r="D767" s="3"/>
      <c r="G767" s="3"/>
      <c r="J767" s="3"/>
    </row>
    <row r="768">
      <c r="A768" s="15"/>
      <c r="D768" s="3"/>
      <c r="G768" s="3"/>
      <c r="J768" s="3"/>
    </row>
    <row r="769">
      <c r="A769" s="15"/>
      <c r="D769" s="3"/>
      <c r="G769" s="3"/>
      <c r="J769" s="3"/>
    </row>
    <row r="770">
      <c r="A770" s="15"/>
      <c r="D770" s="3"/>
      <c r="G770" s="3"/>
      <c r="J770" s="3"/>
    </row>
    <row r="771">
      <c r="A771" s="15"/>
      <c r="D771" s="3"/>
      <c r="G771" s="3"/>
      <c r="J771" s="3"/>
    </row>
    <row r="772">
      <c r="A772" s="15"/>
      <c r="D772" s="3"/>
      <c r="G772" s="3"/>
      <c r="J772" s="3"/>
    </row>
    <row r="773">
      <c r="A773" s="15"/>
      <c r="D773" s="3"/>
      <c r="G773" s="3"/>
      <c r="J773" s="3"/>
    </row>
    <row r="774">
      <c r="A774" s="15"/>
      <c r="D774" s="3"/>
      <c r="G774" s="3"/>
      <c r="J774" s="3"/>
    </row>
    <row r="775">
      <c r="A775" s="15"/>
      <c r="D775" s="3"/>
      <c r="G775" s="3"/>
      <c r="J775" s="3"/>
    </row>
    <row r="776">
      <c r="A776" s="15"/>
      <c r="D776" s="3"/>
      <c r="G776" s="3"/>
      <c r="J776" s="3"/>
    </row>
    <row r="777">
      <c r="A777" s="15"/>
      <c r="D777" s="3"/>
      <c r="G777" s="3"/>
      <c r="J777" s="3"/>
    </row>
    <row r="778">
      <c r="A778" s="15"/>
      <c r="D778" s="3"/>
      <c r="G778" s="3"/>
      <c r="J778" s="3"/>
    </row>
    <row r="779">
      <c r="A779" s="15"/>
      <c r="D779" s="3"/>
      <c r="G779" s="3"/>
      <c r="J779" s="3"/>
    </row>
    <row r="780">
      <c r="A780" s="15"/>
      <c r="D780" s="3"/>
      <c r="G780" s="3"/>
      <c r="J780" s="3"/>
    </row>
    <row r="781">
      <c r="A781" s="15"/>
      <c r="D781" s="3"/>
      <c r="G781" s="3"/>
      <c r="J781" s="3"/>
    </row>
    <row r="782">
      <c r="A782" s="15"/>
      <c r="D782" s="3"/>
      <c r="G782" s="3"/>
      <c r="J782" s="3"/>
    </row>
    <row r="783">
      <c r="A783" s="15"/>
      <c r="D783" s="3"/>
      <c r="G783" s="3"/>
      <c r="J783" s="3"/>
    </row>
    <row r="784">
      <c r="A784" s="15"/>
      <c r="D784" s="3"/>
      <c r="G784" s="3"/>
      <c r="J784" s="3"/>
    </row>
    <row r="785">
      <c r="A785" s="15"/>
      <c r="D785" s="3"/>
      <c r="G785" s="3"/>
      <c r="J785" s="3"/>
    </row>
    <row r="786">
      <c r="A786" s="15"/>
      <c r="D786" s="3"/>
      <c r="G786" s="3"/>
      <c r="J786" s="3"/>
    </row>
    <row r="787">
      <c r="A787" s="15"/>
      <c r="D787" s="3"/>
      <c r="G787" s="3"/>
      <c r="J787" s="3"/>
    </row>
    <row r="788">
      <c r="A788" s="15"/>
      <c r="D788" s="3"/>
      <c r="G788" s="3"/>
      <c r="J788" s="3"/>
    </row>
    <row r="789">
      <c r="A789" s="15"/>
      <c r="D789" s="3"/>
      <c r="G789" s="3"/>
      <c r="J789" s="3"/>
    </row>
    <row r="790">
      <c r="A790" s="15"/>
      <c r="D790" s="3"/>
      <c r="G790" s="3"/>
      <c r="J790" s="3"/>
    </row>
    <row r="791">
      <c r="A791" s="15"/>
      <c r="D791" s="3"/>
      <c r="G791" s="3"/>
      <c r="J791" s="3"/>
    </row>
    <row r="792">
      <c r="A792" s="15"/>
      <c r="D792" s="3"/>
      <c r="G792" s="3"/>
      <c r="J792" s="3"/>
    </row>
    <row r="793">
      <c r="A793" s="15"/>
      <c r="D793" s="3"/>
      <c r="G793" s="3"/>
      <c r="J793" s="3"/>
    </row>
    <row r="794">
      <c r="A794" s="15"/>
      <c r="D794" s="3"/>
      <c r="G794" s="3"/>
      <c r="J794" s="3"/>
    </row>
    <row r="795">
      <c r="A795" s="15"/>
      <c r="D795" s="3"/>
      <c r="G795" s="3"/>
      <c r="J795" s="3"/>
    </row>
    <row r="796">
      <c r="A796" s="15"/>
      <c r="D796" s="3"/>
      <c r="G796" s="3"/>
      <c r="J796" s="3"/>
    </row>
    <row r="797">
      <c r="A797" s="15"/>
      <c r="D797" s="3"/>
      <c r="G797" s="3"/>
      <c r="J797" s="3"/>
    </row>
    <row r="798">
      <c r="A798" s="15"/>
      <c r="D798" s="3"/>
      <c r="G798" s="3"/>
      <c r="J798" s="3"/>
    </row>
    <row r="799">
      <c r="A799" s="15"/>
      <c r="D799" s="3"/>
      <c r="G799" s="3"/>
      <c r="J799" s="3"/>
    </row>
    <row r="800">
      <c r="A800" s="15"/>
      <c r="D800" s="3"/>
      <c r="G800" s="3"/>
      <c r="J800" s="3"/>
    </row>
    <row r="801">
      <c r="A801" s="15"/>
      <c r="D801" s="3"/>
      <c r="G801" s="3"/>
      <c r="J801" s="3"/>
    </row>
    <row r="802">
      <c r="A802" s="15"/>
      <c r="D802" s="3"/>
      <c r="G802" s="3"/>
      <c r="J802" s="3"/>
    </row>
    <row r="803">
      <c r="A803" s="15"/>
      <c r="D803" s="3"/>
      <c r="G803" s="3"/>
      <c r="J803" s="3"/>
    </row>
    <row r="804">
      <c r="A804" s="15"/>
      <c r="D804" s="3"/>
      <c r="G804" s="3"/>
      <c r="J804" s="3"/>
    </row>
    <row r="805">
      <c r="A805" s="15"/>
      <c r="D805" s="3"/>
      <c r="G805" s="3"/>
      <c r="J805" s="3"/>
    </row>
    <row r="806">
      <c r="A806" s="15"/>
      <c r="D806" s="3"/>
      <c r="G806" s="3"/>
      <c r="J806" s="3"/>
    </row>
    <row r="807">
      <c r="A807" s="15"/>
      <c r="D807" s="3"/>
      <c r="G807" s="3"/>
      <c r="J807" s="3"/>
    </row>
    <row r="808">
      <c r="A808" s="15"/>
      <c r="D808" s="3"/>
      <c r="G808" s="3"/>
      <c r="J808" s="3"/>
    </row>
    <row r="809">
      <c r="A809" s="15"/>
      <c r="D809" s="3"/>
      <c r="G809" s="3"/>
      <c r="J809" s="3"/>
    </row>
    <row r="810">
      <c r="A810" s="15"/>
      <c r="D810" s="3"/>
      <c r="G810" s="3"/>
      <c r="J810" s="3"/>
    </row>
    <row r="811">
      <c r="A811" s="15"/>
      <c r="D811" s="3"/>
      <c r="G811" s="3"/>
      <c r="J811" s="3"/>
    </row>
    <row r="812">
      <c r="A812" s="15"/>
      <c r="D812" s="3"/>
      <c r="G812" s="3"/>
      <c r="J812" s="3"/>
    </row>
    <row r="813">
      <c r="A813" s="15"/>
      <c r="D813" s="3"/>
      <c r="G813" s="3"/>
      <c r="J813" s="3"/>
    </row>
    <row r="814">
      <c r="A814" s="15"/>
      <c r="D814" s="3"/>
      <c r="G814" s="3"/>
      <c r="J814" s="3"/>
    </row>
    <row r="815">
      <c r="A815" s="15"/>
      <c r="D815" s="3"/>
      <c r="G815" s="3"/>
      <c r="J815" s="3"/>
    </row>
    <row r="816">
      <c r="A816" s="15"/>
      <c r="D816" s="3"/>
      <c r="G816" s="3"/>
      <c r="J816" s="3"/>
    </row>
    <row r="817">
      <c r="A817" s="15"/>
      <c r="D817" s="3"/>
      <c r="G817" s="3"/>
      <c r="J817" s="3"/>
    </row>
    <row r="818">
      <c r="A818" s="15"/>
      <c r="D818" s="3"/>
      <c r="G818" s="3"/>
      <c r="J818" s="3"/>
    </row>
    <row r="819">
      <c r="A819" s="15"/>
      <c r="D819" s="3"/>
      <c r="G819" s="3"/>
      <c r="J819" s="3"/>
    </row>
    <row r="820">
      <c r="A820" s="15"/>
      <c r="D820" s="3"/>
      <c r="G820" s="3"/>
      <c r="J820" s="3"/>
    </row>
    <row r="821">
      <c r="A821" s="15"/>
      <c r="D821" s="3"/>
      <c r="G821" s="3"/>
      <c r="J821" s="3"/>
    </row>
    <row r="822">
      <c r="A822" s="15"/>
      <c r="D822" s="3"/>
      <c r="G822" s="3"/>
      <c r="J822" s="3"/>
    </row>
    <row r="823">
      <c r="A823" s="15"/>
      <c r="D823" s="3"/>
      <c r="G823" s="3"/>
      <c r="J823" s="3"/>
    </row>
    <row r="824">
      <c r="A824" s="15"/>
      <c r="D824" s="3"/>
      <c r="G824" s="3"/>
      <c r="J824" s="3"/>
    </row>
    <row r="825">
      <c r="A825" s="15"/>
      <c r="D825" s="3"/>
      <c r="G825" s="3"/>
      <c r="J825" s="3"/>
    </row>
    <row r="826">
      <c r="A826" s="15"/>
      <c r="D826" s="3"/>
      <c r="G826" s="3"/>
      <c r="J826" s="3"/>
    </row>
    <row r="827">
      <c r="A827" s="15"/>
      <c r="D827" s="3"/>
      <c r="G827" s="3"/>
      <c r="J827" s="3"/>
    </row>
    <row r="828">
      <c r="A828" s="15"/>
      <c r="D828" s="3"/>
      <c r="G828" s="3"/>
      <c r="J828" s="3"/>
    </row>
    <row r="829">
      <c r="A829" s="15"/>
      <c r="D829" s="3"/>
      <c r="G829" s="3"/>
      <c r="J829" s="3"/>
    </row>
    <row r="830">
      <c r="A830" s="15"/>
      <c r="D830" s="3"/>
      <c r="G830" s="3"/>
      <c r="J830" s="3"/>
    </row>
    <row r="831">
      <c r="A831" s="15"/>
      <c r="D831" s="3"/>
      <c r="G831" s="3"/>
      <c r="J831" s="3"/>
    </row>
    <row r="832">
      <c r="A832" s="15"/>
      <c r="D832" s="3"/>
      <c r="G832" s="3"/>
      <c r="J832" s="3"/>
    </row>
    <row r="833">
      <c r="A833" s="15"/>
      <c r="D833" s="3"/>
      <c r="G833" s="3"/>
      <c r="J833" s="3"/>
    </row>
    <row r="834">
      <c r="A834" s="15"/>
      <c r="D834" s="3"/>
      <c r="G834" s="3"/>
      <c r="J834" s="3"/>
    </row>
    <row r="835">
      <c r="A835" s="15"/>
      <c r="D835" s="3"/>
      <c r="G835" s="3"/>
      <c r="J835" s="3"/>
    </row>
    <row r="836">
      <c r="A836" s="15"/>
      <c r="D836" s="3"/>
      <c r="G836" s="3"/>
      <c r="J836" s="3"/>
    </row>
    <row r="837">
      <c r="A837" s="15"/>
      <c r="D837" s="3"/>
      <c r="G837" s="3"/>
      <c r="J837" s="3"/>
    </row>
    <row r="838">
      <c r="A838" s="15"/>
      <c r="D838" s="3"/>
      <c r="G838" s="3"/>
      <c r="J838" s="3"/>
    </row>
    <row r="839">
      <c r="A839" s="15"/>
      <c r="D839" s="3"/>
      <c r="G839" s="3"/>
      <c r="J839" s="3"/>
    </row>
    <row r="840">
      <c r="A840" s="15"/>
      <c r="D840" s="3"/>
      <c r="G840" s="3"/>
      <c r="J840" s="3"/>
    </row>
    <row r="841">
      <c r="A841" s="15"/>
      <c r="D841" s="3"/>
      <c r="G841" s="3"/>
      <c r="J841" s="3"/>
    </row>
    <row r="842">
      <c r="A842" s="15"/>
      <c r="D842" s="3"/>
      <c r="G842" s="3"/>
      <c r="J842" s="3"/>
    </row>
    <row r="843">
      <c r="A843" s="15"/>
      <c r="D843" s="3"/>
      <c r="G843" s="3"/>
      <c r="J843" s="3"/>
    </row>
    <row r="844">
      <c r="A844" s="15"/>
      <c r="D844" s="3"/>
      <c r="G844" s="3"/>
      <c r="J844" s="3"/>
    </row>
    <row r="845">
      <c r="A845" s="15"/>
      <c r="D845" s="3"/>
      <c r="G845" s="3"/>
      <c r="J845" s="3"/>
    </row>
    <row r="846">
      <c r="A846" s="15"/>
      <c r="D846" s="3"/>
      <c r="G846" s="3"/>
      <c r="J846" s="3"/>
    </row>
    <row r="847">
      <c r="A847" s="15"/>
      <c r="D847" s="3"/>
      <c r="G847" s="3"/>
      <c r="J847" s="3"/>
    </row>
    <row r="848">
      <c r="A848" s="15"/>
      <c r="D848" s="3"/>
      <c r="G848" s="3"/>
      <c r="J848" s="3"/>
    </row>
    <row r="849">
      <c r="A849" s="15"/>
      <c r="D849" s="3"/>
      <c r="G849" s="3"/>
      <c r="J849" s="3"/>
    </row>
    <row r="850">
      <c r="A850" s="15"/>
      <c r="D850" s="3"/>
      <c r="G850" s="3"/>
      <c r="J850" s="3"/>
    </row>
    <row r="851">
      <c r="A851" s="15"/>
      <c r="D851" s="3"/>
      <c r="G851" s="3"/>
      <c r="J851" s="3"/>
    </row>
    <row r="852">
      <c r="A852" s="15"/>
      <c r="D852" s="3"/>
      <c r="G852" s="3"/>
      <c r="J852" s="3"/>
    </row>
    <row r="853">
      <c r="A853" s="15"/>
      <c r="D853" s="3"/>
      <c r="G853" s="3"/>
      <c r="J853" s="3"/>
    </row>
    <row r="854">
      <c r="A854" s="15"/>
      <c r="D854" s="3"/>
      <c r="G854" s="3"/>
      <c r="J854" s="3"/>
    </row>
    <row r="855">
      <c r="A855" s="15"/>
      <c r="D855" s="3"/>
      <c r="G855" s="3"/>
      <c r="J855" s="3"/>
    </row>
    <row r="856">
      <c r="A856" s="15"/>
      <c r="D856" s="3"/>
      <c r="G856" s="3"/>
      <c r="J856" s="3"/>
    </row>
    <row r="857">
      <c r="A857" s="15"/>
      <c r="D857" s="3"/>
      <c r="G857" s="3"/>
      <c r="J857" s="3"/>
    </row>
    <row r="858">
      <c r="A858" s="15"/>
      <c r="D858" s="3"/>
      <c r="G858" s="3"/>
      <c r="J858" s="3"/>
    </row>
    <row r="859">
      <c r="A859" s="15"/>
      <c r="D859" s="3"/>
      <c r="G859" s="3"/>
      <c r="J859" s="3"/>
    </row>
    <row r="860">
      <c r="A860" s="15"/>
      <c r="D860" s="3"/>
      <c r="G860" s="3"/>
      <c r="J860" s="3"/>
    </row>
    <row r="861">
      <c r="A861" s="15"/>
      <c r="D861" s="3"/>
      <c r="G861" s="3"/>
      <c r="J861" s="3"/>
    </row>
    <row r="862">
      <c r="A862" s="15"/>
      <c r="D862" s="3"/>
      <c r="G862" s="3"/>
      <c r="J862" s="3"/>
    </row>
    <row r="863">
      <c r="A863" s="15"/>
      <c r="D863" s="3"/>
      <c r="G863" s="3"/>
      <c r="J863" s="3"/>
    </row>
    <row r="864">
      <c r="A864" s="15"/>
      <c r="D864" s="3"/>
      <c r="G864" s="3"/>
      <c r="J864" s="3"/>
    </row>
    <row r="865">
      <c r="A865" s="15"/>
      <c r="D865" s="3"/>
      <c r="G865" s="3"/>
      <c r="J865" s="3"/>
    </row>
    <row r="866">
      <c r="A866" s="15"/>
      <c r="D866" s="3"/>
      <c r="G866" s="3"/>
      <c r="J866" s="3"/>
    </row>
    <row r="867">
      <c r="A867" s="15"/>
      <c r="D867" s="3"/>
      <c r="G867" s="3"/>
      <c r="J867" s="3"/>
    </row>
    <row r="868">
      <c r="A868" s="15"/>
      <c r="D868" s="3"/>
      <c r="G868" s="3"/>
      <c r="J868" s="3"/>
    </row>
    <row r="869">
      <c r="A869" s="15"/>
      <c r="D869" s="3"/>
      <c r="G869" s="3"/>
      <c r="J869" s="3"/>
    </row>
    <row r="870">
      <c r="A870" s="15"/>
      <c r="D870" s="3"/>
      <c r="G870" s="3"/>
      <c r="J870" s="3"/>
    </row>
    <row r="871">
      <c r="A871" s="15"/>
      <c r="D871" s="3"/>
      <c r="G871" s="3"/>
      <c r="J871" s="3"/>
    </row>
    <row r="872">
      <c r="A872" s="15"/>
      <c r="D872" s="3"/>
      <c r="G872" s="3"/>
      <c r="J872" s="3"/>
    </row>
    <row r="873">
      <c r="A873" s="15"/>
      <c r="D873" s="3"/>
      <c r="G873" s="3"/>
      <c r="J873" s="3"/>
    </row>
    <row r="874">
      <c r="A874" s="15"/>
      <c r="D874" s="3"/>
      <c r="G874" s="3"/>
      <c r="J874" s="3"/>
    </row>
    <row r="875">
      <c r="A875" s="15"/>
      <c r="D875" s="3"/>
      <c r="G875" s="3"/>
      <c r="J875" s="3"/>
    </row>
    <row r="876">
      <c r="A876" s="15"/>
      <c r="D876" s="3"/>
      <c r="G876" s="3"/>
      <c r="J876" s="3"/>
    </row>
    <row r="877">
      <c r="A877" s="15"/>
      <c r="D877" s="3"/>
      <c r="G877" s="3"/>
      <c r="J877" s="3"/>
    </row>
    <row r="878">
      <c r="A878" s="15"/>
      <c r="D878" s="3"/>
      <c r="G878" s="3"/>
      <c r="J878" s="3"/>
    </row>
    <row r="879">
      <c r="A879" s="15"/>
      <c r="D879" s="3"/>
      <c r="G879" s="3"/>
      <c r="J879" s="3"/>
    </row>
    <row r="880">
      <c r="A880" s="15"/>
      <c r="D880" s="3"/>
      <c r="G880" s="3"/>
      <c r="J880" s="3"/>
    </row>
    <row r="881">
      <c r="A881" s="15"/>
      <c r="D881" s="3"/>
      <c r="G881" s="3"/>
      <c r="J881" s="3"/>
    </row>
    <row r="882">
      <c r="A882" s="15"/>
      <c r="D882" s="3"/>
      <c r="G882" s="3"/>
      <c r="J882" s="3"/>
    </row>
    <row r="883">
      <c r="A883" s="15"/>
      <c r="D883" s="3"/>
      <c r="G883" s="3"/>
      <c r="J883" s="3"/>
    </row>
    <row r="884">
      <c r="A884" s="15"/>
      <c r="D884" s="3"/>
      <c r="G884" s="3"/>
      <c r="J884" s="3"/>
    </row>
    <row r="885">
      <c r="A885" s="15"/>
      <c r="D885" s="3"/>
      <c r="G885" s="3"/>
      <c r="J885" s="3"/>
    </row>
    <row r="886">
      <c r="A886" s="15"/>
      <c r="D886" s="3"/>
      <c r="G886" s="3"/>
      <c r="J886" s="3"/>
    </row>
    <row r="887">
      <c r="A887" s="15"/>
      <c r="D887" s="3"/>
      <c r="G887" s="3"/>
      <c r="J887" s="3"/>
    </row>
    <row r="888">
      <c r="A888" s="15"/>
      <c r="D888" s="3"/>
      <c r="G888" s="3"/>
      <c r="J888" s="3"/>
    </row>
    <row r="889">
      <c r="A889" s="15"/>
      <c r="D889" s="3"/>
      <c r="G889" s="3"/>
      <c r="J889" s="3"/>
    </row>
    <row r="890">
      <c r="A890" s="15"/>
      <c r="D890" s="3"/>
      <c r="G890" s="3"/>
      <c r="J890" s="3"/>
    </row>
    <row r="891">
      <c r="A891" s="15"/>
      <c r="D891" s="3"/>
      <c r="G891" s="3"/>
      <c r="J891" s="3"/>
    </row>
    <row r="892">
      <c r="A892" s="15"/>
      <c r="D892" s="3"/>
      <c r="G892" s="3"/>
      <c r="J892" s="3"/>
    </row>
    <row r="893">
      <c r="A893" s="15"/>
      <c r="D893" s="3"/>
      <c r="G893" s="3"/>
      <c r="J893" s="3"/>
    </row>
    <row r="894">
      <c r="A894" s="15"/>
      <c r="D894" s="3"/>
      <c r="G894" s="3"/>
      <c r="J894" s="3"/>
    </row>
    <row r="895">
      <c r="A895" s="15"/>
      <c r="D895" s="3"/>
      <c r="G895" s="3"/>
      <c r="J895" s="3"/>
    </row>
    <row r="896">
      <c r="A896" s="15"/>
      <c r="D896" s="3"/>
      <c r="G896" s="3"/>
      <c r="J896" s="3"/>
    </row>
    <row r="897">
      <c r="A897" s="15"/>
      <c r="D897" s="3"/>
      <c r="G897" s="3"/>
      <c r="J897" s="3"/>
    </row>
    <row r="898">
      <c r="A898" s="15"/>
      <c r="D898" s="3"/>
      <c r="G898" s="3"/>
      <c r="J898" s="3"/>
    </row>
    <row r="899">
      <c r="A899" s="15"/>
      <c r="D899" s="3"/>
      <c r="G899" s="3"/>
      <c r="J899" s="3"/>
    </row>
    <row r="900">
      <c r="A900" s="15"/>
      <c r="D900" s="3"/>
      <c r="G900" s="3"/>
      <c r="J900" s="3"/>
    </row>
    <row r="901">
      <c r="A901" s="15"/>
      <c r="D901" s="3"/>
      <c r="G901" s="3"/>
      <c r="J901" s="3"/>
    </row>
    <row r="902">
      <c r="A902" s="15"/>
      <c r="D902" s="3"/>
      <c r="G902" s="3"/>
      <c r="J902" s="3"/>
    </row>
    <row r="903">
      <c r="A903" s="15"/>
      <c r="D903" s="3"/>
      <c r="G903" s="3"/>
      <c r="J903" s="3"/>
    </row>
    <row r="904">
      <c r="A904" s="15"/>
      <c r="D904" s="3"/>
      <c r="G904" s="3"/>
      <c r="J904" s="3"/>
    </row>
    <row r="905">
      <c r="A905" s="15"/>
      <c r="D905" s="3"/>
      <c r="G905" s="3"/>
      <c r="J905" s="3"/>
    </row>
    <row r="906">
      <c r="A906" s="15"/>
      <c r="D906" s="3"/>
      <c r="G906" s="3"/>
      <c r="J906" s="3"/>
    </row>
    <row r="907">
      <c r="A907" s="15"/>
      <c r="D907" s="3"/>
      <c r="G907" s="3"/>
      <c r="J907" s="3"/>
    </row>
    <row r="908">
      <c r="A908" s="15"/>
      <c r="D908" s="3"/>
      <c r="G908" s="3"/>
      <c r="J908" s="3"/>
    </row>
    <row r="909">
      <c r="A909" s="15"/>
      <c r="D909" s="3"/>
      <c r="G909" s="3"/>
      <c r="J909" s="3"/>
    </row>
    <row r="910">
      <c r="A910" s="15"/>
      <c r="D910" s="3"/>
      <c r="G910" s="3"/>
      <c r="J910" s="3"/>
    </row>
    <row r="911">
      <c r="A911" s="15"/>
      <c r="D911" s="3"/>
      <c r="G911" s="3"/>
      <c r="J911" s="3"/>
    </row>
    <row r="912">
      <c r="A912" s="15"/>
      <c r="D912" s="3"/>
      <c r="G912" s="3"/>
      <c r="J912" s="3"/>
    </row>
    <row r="913">
      <c r="A913" s="15"/>
      <c r="D913" s="3"/>
      <c r="G913" s="3"/>
      <c r="J913" s="3"/>
    </row>
    <row r="914">
      <c r="A914" s="15"/>
      <c r="D914" s="3"/>
      <c r="G914" s="3"/>
      <c r="J914" s="3"/>
    </row>
    <row r="915">
      <c r="A915" s="15"/>
      <c r="D915" s="3"/>
      <c r="G915" s="3"/>
      <c r="J915" s="3"/>
    </row>
    <row r="916">
      <c r="A916" s="15"/>
      <c r="D916" s="3"/>
      <c r="G916" s="3"/>
      <c r="J916" s="3"/>
    </row>
    <row r="917">
      <c r="A917" s="15"/>
      <c r="D917" s="3"/>
      <c r="G917" s="3"/>
      <c r="J917" s="3"/>
    </row>
    <row r="918">
      <c r="A918" s="15"/>
      <c r="D918" s="3"/>
      <c r="G918" s="3"/>
      <c r="J918" s="3"/>
    </row>
    <row r="919">
      <c r="A919" s="15"/>
      <c r="D919" s="3"/>
      <c r="G919" s="3"/>
      <c r="J919" s="3"/>
    </row>
    <row r="920">
      <c r="A920" s="15"/>
      <c r="D920" s="3"/>
      <c r="G920" s="3"/>
      <c r="J920" s="3"/>
    </row>
    <row r="921">
      <c r="A921" s="15"/>
      <c r="D921" s="3"/>
      <c r="G921" s="3"/>
      <c r="J921" s="3"/>
    </row>
    <row r="922">
      <c r="A922" s="15"/>
      <c r="D922" s="3"/>
      <c r="G922" s="3"/>
      <c r="J922" s="3"/>
    </row>
    <row r="923">
      <c r="A923" s="15"/>
      <c r="D923" s="3"/>
      <c r="G923" s="3"/>
      <c r="J923" s="3"/>
    </row>
    <row r="924">
      <c r="A924" s="15"/>
      <c r="D924" s="3"/>
      <c r="G924" s="3"/>
      <c r="J924" s="3"/>
    </row>
    <row r="925">
      <c r="A925" s="15"/>
      <c r="D925" s="3"/>
      <c r="G925" s="3"/>
      <c r="J925" s="3"/>
    </row>
    <row r="926">
      <c r="A926" s="15"/>
      <c r="D926" s="3"/>
      <c r="G926" s="3"/>
      <c r="J926" s="3"/>
    </row>
    <row r="927">
      <c r="A927" s="15"/>
      <c r="D927" s="3"/>
      <c r="G927" s="3"/>
      <c r="J927" s="3"/>
    </row>
    <row r="928">
      <c r="A928" s="15"/>
      <c r="D928" s="3"/>
      <c r="G928" s="3"/>
      <c r="J928" s="3"/>
    </row>
    <row r="929">
      <c r="A929" s="15"/>
      <c r="D929" s="3"/>
      <c r="G929" s="3"/>
      <c r="J929" s="3"/>
    </row>
    <row r="930">
      <c r="A930" s="15"/>
      <c r="D930" s="3"/>
      <c r="G930" s="3"/>
      <c r="J930" s="3"/>
    </row>
    <row r="931">
      <c r="A931" s="15"/>
      <c r="D931" s="3"/>
      <c r="G931" s="3"/>
      <c r="J931" s="3"/>
    </row>
    <row r="932">
      <c r="A932" s="15"/>
      <c r="D932" s="3"/>
      <c r="G932" s="3"/>
      <c r="J932" s="3"/>
    </row>
    <row r="933">
      <c r="A933" s="15"/>
      <c r="D933" s="3"/>
      <c r="G933" s="3"/>
      <c r="J933" s="3"/>
    </row>
    <row r="934">
      <c r="A934" s="15"/>
      <c r="D934" s="3"/>
      <c r="G934" s="3"/>
      <c r="J934" s="3"/>
    </row>
    <row r="935">
      <c r="A935" s="15"/>
      <c r="D935" s="3"/>
      <c r="G935" s="3"/>
      <c r="J935" s="3"/>
    </row>
    <row r="936">
      <c r="A936" s="15"/>
      <c r="D936" s="3"/>
      <c r="G936" s="3"/>
      <c r="J936" s="3"/>
    </row>
    <row r="937">
      <c r="A937" s="15"/>
      <c r="D937" s="3"/>
      <c r="G937" s="3"/>
      <c r="J937" s="3"/>
    </row>
    <row r="938">
      <c r="A938" s="15"/>
      <c r="D938" s="3"/>
      <c r="G938" s="3"/>
      <c r="J938" s="3"/>
    </row>
    <row r="939">
      <c r="A939" s="15"/>
      <c r="D939" s="3"/>
      <c r="G939" s="3"/>
      <c r="J939" s="3"/>
    </row>
    <row r="940">
      <c r="A940" s="15"/>
      <c r="D940" s="3"/>
      <c r="G940" s="3"/>
      <c r="J940" s="3"/>
    </row>
    <row r="941">
      <c r="A941" s="15"/>
      <c r="D941" s="3"/>
      <c r="G941" s="3"/>
      <c r="J941" s="3"/>
    </row>
    <row r="942">
      <c r="A942" s="15"/>
      <c r="D942" s="3"/>
      <c r="G942" s="3"/>
      <c r="J942" s="3"/>
    </row>
    <row r="943">
      <c r="A943" s="15"/>
      <c r="D943" s="3"/>
      <c r="G943" s="3"/>
      <c r="J943" s="3"/>
    </row>
    <row r="944">
      <c r="A944" s="15"/>
      <c r="D944" s="3"/>
      <c r="G944" s="3"/>
      <c r="J944" s="3"/>
    </row>
    <row r="945">
      <c r="A945" s="15"/>
      <c r="D945" s="3"/>
      <c r="G945" s="3"/>
      <c r="J945" s="3"/>
    </row>
    <row r="946">
      <c r="A946" s="15"/>
      <c r="D946" s="3"/>
      <c r="G946" s="3"/>
      <c r="J946" s="3"/>
    </row>
    <row r="947">
      <c r="A947" s="15"/>
      <c r="D947" s="3"/>
      <c r="G947" s="3"/>
      <c r="J947" s="3"/>
    </row>
    <row r="948">
      <c r="A948" s="15"/>
      <c r="D948" s="3"/>
      <c r="G948" s="3"/>
      <c r="J948" s="3"/>
    </row>
    <row r="949">
      <c r="A949" s="15"/>
      <c r="D949" s="3"/>
      <c r="G949" s="3"/>
      <c r="J949" s="3"/>
    </row>
    <row r="950">
      <c r="A950" s="15"/>
      <c r="D950" s="3"/>
      <c r="G950" s="3"/>
      <c r="J950" s="3"/>
    </row>
    <row r="951">
      <c r="A951" s="15"/>
      <c r="D951" s="3"/>
      <c r="G951" s="3"/>
      <c r="J951" s="3"/>
    </row>
    <row r="952">
      <c r="A952" s="15"/>
      <c r="D952" s="3"/>
      <c r="G952" s="3"/>
      <c r="J952" s="3"/>
    </row>
    <row r="953">
      <c r="A953" s="15"/>
      <c r="D953" s="3"/>
      <c r="G953" s="3"/>
      <c r="J953" s="3"/>
    </row>
    <row r="954">
      <c r="A954" s="15"/>
      <c r="D954" s="3"/>
      <c r="G954" s="3"/>
      <c r="J954" s="3"/>
    </row>
    <row r="955">
      <c r="A955" s="15"/>
      <c r="D955" s="3"/>
      <c r="G955" s="3"/>
      <c r="J955" s="3"/>
    </row>
    <row r="956">
      <c r="A956" s="15"/>
      <c r="D956" s="3"/>
      <c r="G956" s="3"/>
      <c r="J956" s="3"/>
    </row>
    <row r="957">
      <c r="A957" s="15"/>
      <c r="D957" s="3"/>
      <c r="G957" s="3"/>
      <c r="J957" s="3"/>
    </row>
    <row r="958">
      <c r="A958" s="15"/>
      <c r="D958" s="3"/>
      <c r="G958" s="3"/>
      <c r="J958" s="3"/>
    </row>
    <row r="959">
      <c r="A959" s="15"/>
      <c r="D959" s="3"/>
      <c r="G959" s="3"/>
      <c r="J959" s="3"/>
    </row>
    <row r="960">
      <c r="A960" s="15"/>
      <c r="D960" s="3"/>
      <c r="G960" s="3"/>
      <c r="J960" s="3"/>
    </row>
    <row r="961">
      <c r="A961" s="15"/>
      <c r="D961" s="3"/>
      <c r="G961" s="3"/>
      <c r="J961" s="3"/>
    </row>
    <row r="962">
      <c r="A962" s="15"/>
      <c r="D962" s="3"/>
      <c r="G962" s="3"/>
      <c r="J962" s="3"/>
    </row>
    <row r="963">
      <c r="A963" s="15"/>
      <c r="D963" s="3"/>
      <c r="G963" s="3"/>
      <c r="J963" s="3"/>
    </row>
    <row r="964">
      <c r="A964" s="15"/>
      <c r="D964" s="3"/>
      <c r="G964" s="3"/>
      <c r="J964" s="3"/>
    </row>
    <row r="965">
      <c r="A965" s="15"/>
      <c r="D965" s="3"/>
      <c r="G965" s="3"/>
      <c r="J965" s="3"/>
    </row>
    <row r="966">
      <c r="A966" s="15"/>
      <c r="D966" s="3"/>
      <c r="G966" s="3"/>
      <c r="J966" s="3"/>
    </row>
    <row r="967">
      <c r="A967" s="15"/>
      <c r="D967" s="3"/>
      <c r="G967" s="3"/>
      <c r="J967" s="3"/>
    </row>
    <row r="968">
      <c r="A968" s="15"/>
      <c r="D968" s="3"/>
      <c r="G968" s="3"/>
      <c r="J968" s="3"/>
    </row>
    <row r="969">
      <c r="A969" s="15"/>
      <c r="D969" s="3"/>
      <c r="G969" s="3"/>
      <c r="J969" s="3"/>
    </row>
    <row r="970">
      <c r="A970" s="15"/>
      <c r="D970" s="3"/>
      <c r="G970" s="3"/>
      <c r="J970" s="3"/>
    </row>
    <row r="971">
      <c r="A971" s="15"/>
      <c r="D971" s="3"/>
      <c r="G971" s="3"/>
      <c r="J971" s="3"/>
    </row>
    <row r="972">
      <c r="A972" s="15"/>
      <c r="D972" s="3"/>
      <c r="G972" s="3"/>
      <c r="J972" s="3"/>
    </row>
    <row r="973">
      <c r="A973" s="15"/>
      <c r="D973" s="3"/>
      <c r="G973" s="3"/>
      <c r="J973" s="3"/>
    </row>
    <row r="974">
      <c r="A974" s="15"/>
      <c r="D974" s="3"/>
      <c r="G974" s="3"/>
      <c r="J974" s="3"/>
    </row>
    <row r="975">
      <c r="A975" s="15"/>
      <c r="D975" s="3"/>
      <c r="G975" s="3"/>
      <c r="J975" s="3"/>
    </row>
    <row r="976">
      <c r="A976" s="15"/>
      <c r="D976" s="3"/>
      <c r="G976" s="3"/>
      <c r="J976" s="3"/>
    </row>
    <row r="977">
      <c r="A977" s="15"/>
      <c r="D977" s="3"/>
      <c r="G977" s="3"/>
      <c r="J977" s="3"/>
    </row>
    <row r="978">
      <c r="A978" s="15"/>
      <c r="D978" s="3"/>
      <c r="G978" s="3"/>
      <c r="J978" s="3"/>
    </row>
    <row r="979">
      <c r="A979" s="15"/>
      <c r="D979" s="3"/>
      <c r="G979" s="3"/>
      <c r="J979" s="3"/>
    </row>
    <row r="980">
      <c r="A980" s="15"/>
      <c r="D980" s="3"/>
      <c r="G980" s="3"/>
      <c r="J980" s="3"/>
    </row>
    <row r="981">
      <c r="A981" s="15"/>
      <c r="D981" s="3"/>
      <c r="G981" s="3"/>
      <c r="J981" s="3"/>
    </row>
    <row r="982">
      <c r="A982" s="15"/>
      <c r="D982" s="3"/>
      <c r="G982" s="3"/>
      <c r="J982" s="3"/>
    </row>
    <row r="983">
      <c r="A983" s="15"/>
      <c r="D983" s="3"/>
      <c r="G983" s="3"/>
      <c r="J983" s="3"/>
    </row>
    <row r="984">
      <c r="A984" s="15"/>
      <c r="D984" s="3"/>
      <c r="G984" s="3"/>
      <c r="J984" s="3"/>
    </row>
    <row r="985">
      <c r="A985" s="15"/>
      <c r="D985" s="3"/>
      <c r="G985" s="3"/>
      <c r="J985" s="3"/>
    </row>
    <row r="986">
      <c r="A986" s="15"/>
      <c r="D986" s="3"/>
      <c r="G986" s="3"/>
      <c r="J986" s="3"/>
    </row>
    <row r="987">
      <c r="A987" s="15"/>
      <c r="D987" s="3"/>
      <c r="G987" s="3"/>
      <c r="J987" s="3"/>
    </row>
    <row r="988">
      <c r="A988" s="15"/>
      <c r="D988" s="3"/>
      <c r="G988" s="3"/>
      <c r="J988" s="3"/>
    </row>
    <row r="989">
      <c r="A989" s="15"/>
      <c r="D989" s="3"/>
      <c r="G989" s="3"/>
      <c r="J989" s="3"/>
    </row>
    <row r="990">
      <c r="A990" s="15"/>
      <c r="D990" s="3"/>
      <c r="G990" s="3"/>
      <c r="J990" s="3"/>
    </row>
    <row r="991">
      <c r="A991" s="15"/>
      <c r="D991" s="3"/>
      <c r="G991" s="3"/>
      <c r="J991" s="3"/>
    </row>
    <row r="992">
      <c r="A992" s="15"/>
      <c r="D992" s="3"/>
      <c r="G992" s="3"/>
      <c r="J992" s="3"/>
    </row>
    <row r="993">
      <c r="A993" s="15"/>
      <c r="D993" s="3"/>
      <c r="G993" s="3"/>
      <c r="J993" s="3"/>
    </row>
    <row r="994">
      <c r="A994" s="15"/>
      <c r="D994" s="3"/>
      <c r="G994" s="3"/>
      <c r="J994" s="3"/>
    </row>
    <row r="995">
      <c r="A995" s="15"/>
      <c r="D995" s="3"/>
      <c r="G995" s="3"/>
      <c r="J995" s="3"/>
    </row>
    <row r="996">
      <c r="A996" s="15"/>
      <c r="D996" s="3"/>
      <c r="G996" s="3"/>
      <c r="J996" s="3"/>
    </row>
    <row r="997">
      <c r="A997" s="15"/>
      <c r="D997" s="3"/>
      <c r="G997" s="3"/>
      <c r="J997" s="3"/>
    </row>
    <row r="998">
      <c r="A998" s="15"/>
      <c r="D998" s="3"/>
      <c r="G998" s="3"/>
      <c r="J998" s="3"/>
    </row>
    <row r="999">
      <c r="A999" s="15"/>
      <c r="D999" s="3"/>
      <c r="G999" s="3"/>
      <c r="J999" s="3"/>
    </row>
    <row r="1000">
      <c r="A1000" s="15"/>
      <c r="D1000" s="3"/>
      <c r="G1000" s="3"/>
      <c r="J1000" s="3"/>
    </row>
  </sheetData>
  <drawing r:id="rId1"/>
</worksheet>
</file>