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_2023" sheetId="1" r:id="rId5"/>
    <sheet state="visible" name="EXSPEDISI" sheetId="2" r:id="rId6"/>
    <sheet state="visible" name="V_SALES" sheetId="3" r:id="rId7"/>
    <sheet state="visible" name="OPERASIONAL" sheetId="4" r:id="rId8"/>
    <sheet state="visible" name="NURUL_AINI" sheetId="5" r:id="rId9"/>
    <sheet state="visible" name="PRODUKSI" sheetId="6" r:id="rId10"/>
    <sheet state="visible" name="PRIBADI" sheetId="7" r:id="rId11"/>
    <sheet state="visible" name="KOSONG" sheetId="8" r:id="rId12"/>
  </sheets>
  <definedNames/>
  <calcPr/>
</workbook>
</file>

<file path=xl/sharedStrings.xml><?xml version="1.0" encoding="utf-8"?>
<sst xmlns="http://schemas.openxmlformats.org/spreadsheetml/2006/main" count="2454" uniqueCount="674">
  <si>
    <t>SALDO AWAL</t>
  </si>
  <si>
    <t>74,863,975.46</t>
  </si>
  <si>
    <t>TRSF E-BANKING CR TANGGAL :31/01</t>
  </si>
  <si>
    <t>3101/FTSCY/WS95051 SIDO RAYA UTAMA CV</t>
  </si>
  <si>
    <t>CR</t>
  </si>
  <si>
    <t>129,861,975.46</t>
  </si>
  <si>
    <t>PRIBADI</t>
  </si>
  <si>
    <t>TRSF E-BANKING DB TANGGAL :31/01</t>
  </si>
  <si>
    <t>3101/FTSCY/WS95271 magetan sidorata HERMAWAN</t>
  </si>
  <si>
    <t>DB</t>
  </si>
  <si>
    <t>EXSPEDISI</t>
  </si>
  <si>
    <t>3101/FTSCY/WS95271 MUJIANTO</t>
  </si>
  <si>
    <t>3101/FTSCY/WS95271 NURHAYATI</t>
  </si>
  <si>
    <t>BANK</t>
  </si>
  <si>
    <t>3101/FTSCY/WS95271 krg 5 jt EKO SETIYAWAN</t>
  </si>
  <si>
    <t>3101/FTSCY/WS95011 30/01 lunas BROILER MAKMUR TAN</t>
  </si>
  <si>
    <t>PRODUKSI</t>
  </si>
  <si>
    <t>TRSF E-BANKING CR</t>
  </si>
  <si>
    <t>0102/FTSCY/WS95051 100554640.00 ah hairul tg 21/1 PHALOSARI UNGGUL J</t>
  </si>
  <si>
    <t>0102/FTSCY/WS95051 208813487.00 krmn 31/1 HENDY BENEDICT LEO</t>
  </si>
  <si>
    <t>0102/FTSCY/WS95051 43800000.00 hoirul blt 30 jan SENTRAL NIAGA UNGG</t>
  </si>
  <si>
    <t>0102/FTSCY/WS95031 50412340.00 Pemb ayam an Amart ha GABRIEL HENDRA KUR</t>
  </si>
  <si>
    <t>TRSF E-BANKING DB</t>
  </si>
  <si>
    <t>0102/FTSCY/WS95271 125886740.00 pemb. kd eko mlg ANDALAN YASA MITRA</t>
  </si>
  <si>
    <t>0102/FTSCY/WS95031 49913220.00 kd etik jbr BROILER MAKMUR TAN</t>
  </si>
  <si>
    <t>0102/FTSCY/WS95271 52308750.00 pemb. kd yainul bl itar GANESHA SATRIA NUS</t>
  </si>
  <si>
    <t>199,826,532.46</t>
  </si>
  <si>
    <t>TARIKAN ATM 01/02</t>
  </si>
  <si>
    <t>199,326,532.46</t>
  </si>
  <si>
    <t>0102/FTSCY/WS95051 58900000.00 ah 3800x15500 GEMILANG INTI SUKS</t>
  </si>
  <si>
    <t>0102/FTSCY/WS95031 500000.00 IMAM ROFII</t>
  </si>
  <si>
    <t>0102/FTSCY/WS95011 87770280.00 WAHYU MEGA ARSITA</t>
  </si>
  <si>
    <t>0102/FTSCY/WS95051 214426700.00 SIDO RAYA UTAMA CV</t>
  </si>
  <si>
    <t>0102/FTSCY/WS95011 181749000.00 30/01 lunas SUPER UNGGAS JAYA</t>
  </si>
  <si>
    <t>0102/FTSCY/WS95011 89199600.00 pemb. kd sujitno magetan ANUGERAH KARTIKA A</t>
  </si>
  <si>
    <t>0102/FTSCY/WS95011 44182750.00 pemb. fx bayu pare ANUGERAH KARTIKA A</t>
  </si>
  <si>
    <t>0102/FTSCY/WS95011 58900000.00 tuban PITIK DIGITAL INDO</t>
  </si>
  <si>
    <t>0102/FTSCY/WS95011 89783750.00 pemb. kd joni B blitar PITIK DIGITAL INDO</t>
  </si>
  <si>
    <t>97,108,412.46</t>
  </si>
  <si>
    <t>02/02 /Z77A1/00000 ZAINAL ARIFIN</t>
  </si>
  <si>
    <t>0202/FTSCY/WS95031 1594000.00 t. agung lidia HERMAWAN</t>
  </si>
  <si>
    <t>BYR VIA E-BANKING</t>
  </si>
  <si>
    <t>02/02  WSID9503100 1220 TELKOMSEL 82318368518 MUHAMMAD HAIRUL MA</t>
  </si>
  <si>
    <t>0202/FTSCY/WS95271 10096700.00 31/01 lunas BROILER MAKMUR TAN</t>
  </si>
  <si>
    <t>100,391,072.46</t>
  </si>
  <si>
    <t>0202/FTSCY/WS95271 90870300.00 31/01 lunas BROILER MAKMUR TAN</t>
  </si>
  <si>
    <t>9,520,772.46</t>
  </si>
  <si>
    <t>0202/FTSCY/WS95031 9329700.00 krg 7.5 jt EKO SETIYAWAN</t>
  </si>
  <si>
    <t>0202/FTSCY/WS95051 48643740.00 ah hairul tgl 23/1 PHALOSARI UNGGUL J</t>
  </si>
  <si>
    <t>0202/FTSCY/WS95031 50000.00 byr uang bongkar k otrek BELLA SAGITA SARI</t>
  </si>
  <si>
    <t>0202/FTSCY/WS95051 192151775.00 krmn 1/2 TERA MULIA KORPORI</t>
  </si>
  <si>
    <t>0202/FTSCY/WS95031 14877000.00 Sat Jan 31 2026 15:00:00 GMT+0700 (Western Indonesia Time) ANDALAN YASA MITRA</t>
  </si>
  <si>
    <t>BI-FAST DB</t>
  </si>
  <si>
    <t>BIF TRANSFER KE 8 MISWATI M-BCA</t>
  </si>
  <si>
    <t>BIF BIAYA TXN KE 8 MISWATI M-BCA</t>
  </si>
  <si>
    <t>0202/FTSCY/WS95031 47496000.00 kd supeni blitar ANUGERAH KARTIKA A</t>
  </si>
  <si>
    <t>0202/FTSCY/WS95271 43807650.00 Sat Jan 31 2026 15:00:00 GMT+0700 (Western Indonesia Time) ANDALAN YASA MITRA</t>
  </si>
  <si>
    <t>0202/FTSCY/WS95271 40780500.00 pemb. kd farida pa suruan BROILER MAKMUR TAN</t>
  </si>
  <si>
    <t>TARIKAN ATM 02/02</t>
  </si>
  <si>
    <t>0202/FTSCY/WS95011 277675860.00 WAHYU MEGA ARSITA</t>
  </si>
  <si>
    <t>369,748,797.46</t>
  </si>
  <si>
    <t>0202/FTSCY/WS95031 500000.00 ARUL BACHTIAR DWI</t>
  </si>
  <si>
    <t>TRSF E-BANKING DB TANGGAL :02/02</t>
  </si>
  <si>
    <t>0202/FTSCY/WS95011 31/01 lunss SUPER UNGGAS JAYA</t>
  </si>
  <si>
    <t>0202/FTSCY/WS95011 Sun Feb 01 2026 15:00:00 GMT+0700 (Western Indonesia Time) GANESHA SATRIA NUS</t>
  </si>
  <si>
    <t>0202/FTSCY/WS95011 probolinggo krg 30 jt PITIK DIGITAL INDO</t>
  </si>
  <si>
    <t>0202/FTSCY/WS95031 HALIM IBRAHIM</t>
  </si>
  <si>
    <t>V_SALES</t>
  </si>
  <si>
    <t>0202/FTSCY/WS95031 NURHAYATI</t>
  </si>
  <si>
    <t>0202/FTSCY/WS95031 setoran SANDI FAJAR PRASET</t>
  </si>
  <si>
    <t>TRSF E-BANKING CR TANGGAL :02/02</t>
  </si>
  <si>
    <t>0202/FTSCY/WS95051 SIDO RAYA UTAMA CV</t>
  </si>
  <si>
    <t>0202/FTSCY/WS95271 Sun Feb 01 2026 15:00:00 GMT+0700 (Western Indonesia Time) BINTANG TAMA SANTO</t>
  </si>
  <si>
    <t>0202/FTSCY/WS95271 Sun Feb 01 2026 15:00:00 GMT+0700 (Western Indonesia Time) ANDALAN YASA MITRA</t>
  </si>
  <si>
    <t>0202/FTSCY/WS95011 Sun Feb 01 2026 15:00:00 GMT+0700 (Western Indonesia Time) RUKUN MITRA BERSAM</t>
  </si>
  <si>
    <t>0202/FTSCY/WS95031 HERMAWAN</t>
  </si>
  <si>
    <t>0202/FTSCY/WS95031 mlg lidia MUJIANTO</t>
  </si>
  <si>
    <t>3,616,947.46</t>
  </si>
  <si>
    <t>0302/FTSCY/WS95031 150000.00 NURUL AINI</t>
  </si>
  <si>
    <t>3,466,947.46</t>
  </si>
  <si>
    <t>NURUL_AINI</t>
  </si>
  <si>
    <t>0302/FTSCY/WS95051 227188210.00 krmn 2/2 TERA MULIA KORPORI</t>
  </si>
  <si>
    <t>0302/FTSCY/WS95051 100000000.00 krmn 2/2 TERA MAKMURINDO CV</t>
  </si>
  <si>
    <t>0302/FTSCY/WS95051 139919190.00 ah fm hairul 24/1 PHALOSARI UNGGUL J</t>
  </si>
  <si>
    <t>0302/FTSCY/WS95031 200000.00 YESI PURNAMASARI</t>
  </si>
  <si>
    <t>0302/FTSCY/WS95051 46800000.00 hoirul lmj 1 feb SENTRAL NIAGA UNGG</t>
  </si>
  <si>
    <t>0302/FTSCY/WS95051 46800000.00 hoirul ngnjk 1 feb SENTRAL NIAGA UNGG</t>
  </si>
  <si>
    <t>0302/FTSCY/WS95051 110586600.00 AH 6701x 16600 Pot 650000 GEMILANG INTI SUKS</t>
  </si>
  <si>
    <t>TARIKAN ATM 03/02</t>
  </si>
  <si>
    <t>0302/FTSCY/WS95271 234000000.00 Sun Feb 01 2026 15:00:00 GMT+0700 (Western Indonesia Time) BROILER MAKMUR TAN</t>
  </si>
  <si>
    <t>581,110,947.46</t>
  </si>
  <si>
    <t>0302/FTSCY/WS95271 45433600.00 Sun Feb 01 2026 15:00:00 GMT+0700 (Western Indonesia Time) ANDALAN YASA MITRA</t>
  </si>
  <si>
    <t>535,677,347.46</t>
  </si>
  <si>
    <t>0302/FTSCY/WS95031 80452500.00 probolinggo PITIK DIGITAL INDO</t>
  </si>
  <si>
    <t>455,224,847.46</t>
  </si>
  <si>
    <t>TRSF E-BANKING DB TANGGAL :03/02</t>
  </si>
  <si>
    <t>0302/FTSCY/WS95011 01/02 lunas BROILER MAKMUR TAN</t>
  </si>
  <si>
    <t>0302/FTSCY/WS95011 t. agung PITIK DIGITAL INDO</t>
  </si>
  <si>
    <t>0302/FTSCY/WS95011 tuban PITIK DIGITAL INDO</t>
  </si>
  <si>
    <t>0302/FTSCY/WS95011 01/02 krg 40 jt SUPER UNGGAS JAYA</t>
  </si>
  <si>
    <t>0302/FTSCY/WS95031 NURHAYATI</t>
  </si>
  <si>
    <t>0302/FTSCY/WS95031 krg. 18.850.000 EKO SETIYAWAN</t>
  </si>
  <si>
    <t>0402/FTSCY/WS95031 200000.00 NURUL AINI</t>
  </si>
  <si>
    <t>TARIKAN ATM 04/02</t>
  </si>
  <si>
    <t>0402/FTSCY/WS95051 60485100.00 UNGGAS BERKAH ABAD</t>
  </si>
  <si>
    <t>0402/FTSCY/WS95051 50108500.00 UNGGAS BERKAH ABAD</t>
  </si>
  <si>
    <t>0402/FTSCY/WS95031 56350000.00 lunas GATUT SETYO WIBOWO</t>
  </si>
  <si>
    <t>0402/FTSCY/WS95011 54519000.00 WAHYU MEGA ARSITA</t>
  </si>
  <si>
    <t>221,559,447.46</t>
  </si>
  <si>
    <t>0402/FTSCY/WS95051 129288380.00 AH 7657.8 x 17100 Pot1660000 GEMILANG INTI SUKS</t>
  </si>
  <si>
    <t>350,847,827.46</t>
  </si>
  <si>
    <t>0402/FTSCY/WS95051 45569780.00 AH 2560.1 x 17800 GEMILANG INTI SUKS</t>
  </si>
  <si>
    <t>0402/FTSCY/WS95031 47166500.00 pemb. kd wasis mlg CV SURYA INTI TERN</t>
  </si>
  <si>
    <t>0402/FTSCY/WS95031 46637250.00 t. agung PITIK DIGITAL INDO</t>
  </si>
  <si>
    <t>0402/FTSCY/WS95271 61050000.00 pemb. kd eko s pas uruan ANDALAN YASA MITRA</t>
  </si>
  <si>
    <t>0402/FTSCY/WS95271 97800000.00 jombang PITIK DIGITAL INDO</t>
  </si>
  <si>
    <t>0402/FTSCY/WS95271 40000000.00 pelunasan 01/02 SUPER UNGGAS JAYA</t>
  </si>
  <si>
    <t>0402/FTSCY/WS95271 50835200.00 pemb. djadianto t. agung BINTANG TAMA SANTO</t>
  </si>
  <si>
    <t>0402/FTSCY/WS95051 105890520.00 SIDO RAYA UTAMA CV</t>
  </si>
  <si>
    <t>0402/FTSCY/WS95031 1842380.00 MUJIANTO</t>
  </si>
  <si>
    <t>0402/FTSCY/WS95031 2068840.00 kediri sidoraya HERMAWAN</t>
  </si>
  <si>
    <t>0402/FTSCY/WS95031 250000.00 NURUL AINI</t>
  </si>
  <si>
    <t>154,657,957.46</t>
  </si>
  <si>
    <t>0402/FTSCY/WS95271 11296400.00 kurang 10 jt EKO SETIYAWAN</t>
  </si>
  <si>
    <t>143,361,557.46</t>
  </si>
  <si>
    <t>0402/FTSCY/WS95031 48650000.00 Byr Ayam JT 02.02 RPA SBU ALDINI MARIA GUMIL</t>
  </si>
  <si>
    <t>192,011,557.46</t>
  </si>
  <si>
    <t>0502/FTSCY/WS95271 140570500.00 pemb. 02/02 lunas SUPER UNGGAS JAYA</t>
  </si>
  <si>
    <t>BIF TRANSFER KE 8 SEMBILAN BINTANG L M-BCA</t>
  </si>
  <si>
    <t>BIF BIAYA TXN KE 8 SEMBILAN BINTANG L M-BCA</t>
  </si>
  <si>
    <t>0502/FTSCY/WS95051 54796500.00 WAHYUDI</t>
  </si>
  <si>
    <t>95,985,057.46</t>
  </si>
  <si>
    <t>KARTU DEBIT TANGGAL :05/02</t>
  </si>
  <si>
    <t>ALFAMRT Y207 BRTN</t>
  </si>
  <si>
    <t>0602/FTSCY/WS95031 65169500.00 kd mulyono magetan PITIK DIGITAL INDO</t>
  </si>
  <si>
    <t>BIF TRANSFER KE 9 NOUVAL HOLQI RISKU M-BCA</t>
  </si>
  <si>
    <t>BIF BIAYA TXN KE 9 NOUVAL HOLQI RISKU M-BCA</t>
  </si>
  <si>
    <t>0602/FTSCY/WS95051 46800000.00 hoirul lmj 1 feb SENTRAL NIAGA UNGG</t>
  </si>
  <si>
    <t>0602/FTSCY/WS95051 49800000.00 hoirul blt 2 feb SENTRAL NIAGA UNGG</t>
  </si>
  <si>
    <t>0602/FTSCY/WS95051 51300000.00 hoirul blt 3 feb SENTRAL NIAGA UNGG</t>
  </si>
  <si>
    <t>178,319,957.46</t>
  </si>
  <si>
    <t>228,119,957.46</t>
  </si>
  <si>
    <t>0602/FTSCY/WS95051 84463920.00 ah hairul tg 25/1 PHALOSARI UNGGUL J</t>
  </si>
  <si>
    <t>0602/FTSCY/WS95271 167013100.00 Tue Feb 03 2026 15:00:00 GMT+0700 (Western Indonesia Time) BROILER MAKMUR TAN</t>
  </si>
  <si>
    <t>0602/FTSCY/WS95271 50266000.00 03/02lunas BROILER MAKMUR TAN</t>
  </si>
  <si>
    <t>0602/FTSCY/WS95271 60843000.00 malang PITIK DIGITAL INDO</t>
  </si>
  <si>
    <t>0602/FTSCY/WS95051 47291540.00 ah fm hairul 26/1 PHALOSARI UNGGUL J</t>
  </si>
  <si>
    <t>0602/FTSCY/WS95051 63080000.00 ah 3800x16600 GEMILANG INTI SUKS</t>
  </si>
  <si>
    <t>0602/FTSCY/WS95031 2620000.00 DIDIET SULISTYAWAN</t>
  </si>
  <si>
    <t>TARIKAN ATM 06/02</t>
  </si>
  <si>
    <t>193,263,317.46</t>
  </si>
  <si>
    <t>TRSF E-BANKING DB TANGGAL :06/02</t>
  </si>
  <si>
    <t>0602/FTSCY/WS95011 kd rudi m rembang jateng TUMBUH OPTIMAL PRI</t>
  </si>
  <si>
    <t>0602/FTSCY/WS95031 ANDE DOSO ANGGORO</t>
  </si>
  <si>
    <t>0602/FTSCY/WS95011 pemb. 04/02 BINTANG TAMA SANTO</t>
  </si>
  <si>
    <t>76,105,067.46</t>
  </si>
  <si>
    <t>TRSF E-BANKING CR TANGGAL :06/02</t>
  </si>
  <si>
    <t>0602/FTSCY/WS95051 SIDO RAYA UTAMA CV</t>
  </si>
  <si>
    <t>125,929,427.46</t>
  </si>
  <si>
    <t>0702/FTSCY/WS95271 124270000.00 kd fx bayu kediri ANUGERAH KARTIKA A</t>
  </si>
  <si>
    <t>0702/FTSCY/WS95051 43172560.00 ah hairul tg 26/1 PHALOSARI UNGGUL J</t>
  </si>
  <si>
    <t>0702/FTSCY/WS95031 44473660.00 kd mulyadi krg 4 j t RUKUN MITRA BERSAM</t>
  </si>
  <si>
    <t>0702/FTSCY/WS95051 128250000.00 ah 7500x17100 GEMILANG INTI SUKS</t>
  </si>
  <si>
    <t>0702/FTSCY/WS95051 100000000.00 krmn 7/2 TERA MULIA KORPORI</t>
  </si>
  <si>
    <t>0702/FTSCY/WS95271 49500000.00 kd irwanto 1 pasur uan BINTANG TAMA SANTO</t>
  </si>
  <si>
    <t>0702/FTSCY/WS95271 49500000.00 pemb. kd djadianto kdr BINTANG TAMA SANTO</t>
  </si>
  <si>
    <t>0702/FTSCY/WS95271 51000000.00 Thu Feb 05 2026 15:00:00 GMT+0700 (Western Indonesia Time) ANUGERAH KARTIKA A</t>
  </si>
  <si>
    <t>0702/FTSCY/WS95271 20000000.00 pelunasan ANUGERAH KARTIKA A</t>
  </si>
  <si>
    <t>0702/FTSCY/WS95031 42500000.00 lunas GATUT SETYO WIBOWO</t>
  </si>
  <si>
    <t>0702/FTSCY/WS95031 300000.00 ARUL BACHTIAR DWI</t>
  </si>
  <si>
    <t>101,408,327.46</t>
  </si>
  <si>
    <t>0702/FTSCY/WS95051 50276700.00 SIDO RAYA UTAMA CV</t>
  </si>
  <si>
    <t>151,685,027.46</t>
  </si>
  <si>
    <t>0702/FTSCY/WS95011 109819000.00 Tue Feb 03 2026 15:00:00 GMT+0700 (Western Indonesia Time) SUPER UNGGAS JAYA</t>
  </si>
  <si>
    <t>0702/FTSCY/WS95031 38888090.00 krg 65 jt RUKUN MITRA BERSAM</t>
  </si>
  <si>
    <t>2,977,937.46</t>
  </si>
  <si>
    <t>TRSF E-BANKING DB TANGGAL :07/02</t>
  </si>
  <si>
    <t>0702/FTSCY/WS95031 NURHAYATI</t>
  </si>
  <si>
    <t>0702/FTSCY/WS95031 MUJIANTO</t>
  </si>
  <si>
    <t>0702/FTSCY/WS95031 krg 18,4 jt EKO SETIYAWAN</t>
  </si>
  <si>
    <t>0802/FTSCY/WS95031 10000.00 NURUL AINI</t>
  </si>
  <si>
    <t>0802/FTSCY/WS95051 156041429.00 krmn 7/2 TERA MULIA KORPORI</t>
  </si>
  <si>
    <t>0802/FTSCY/WS95031 450000.00 NURUL AINI</t>
  </si>
  <si>
    <t>TARIKAN ATM 08/02</t>
  </si>
  <si>
    <t>0802/FTSCY/WS95031 65000000.00 pelunasan RUKUN MITRA BERSAM</t>
  </si>
  <si>
    <t>0802/FTSCY/WS95271 51000000.00 Thu Feb 05 2026 15:00:00 GMT+0700 (Western Indonesia Time) BROILER MAKMUR TAN</t>
  </si>
  <si>
    <t>0802/FTSCY/WS95051 52500000.00 UNGGAS BERKAH ABAD</t>
  </si>
  <si>
    <t>0802/FTSCY/WS95051 45271680.00 ah fm hairul 28/1 PHALOSARI UNGGUL J</t>
  </si>
  <si>
    <t>0802/FTSCY/WS95051 48300000.00 hoirul kdr 5 feb SENTRAL NIAGA UNGG</t>
  </si>
  <si>
    <t>185,574,236.46</t>
  </si>
  <si>
    <t>0802/FTSCY/WS95051 51300000.00 hoirul blt 5 feb SENTRAL NIAGA UNGG</t>
  </si>
  <si>
    <t>236,874,236.46</t>
  </si>
  <si>
    <t>0802/FTSCY/WS95051 51300000.00 hoirul pas 5 feb SENTRAL NIAGA UNGG</t>
  </si>
  <si>
    <t>0802/FTSCY/WS95051 50100000.00 hoirul pas 6 feb SENTRAL NIAGA UNGG</t>
  </si>
  <si>
    <t>0802/FTSCY/WS95051 50100000.00 hoirul ps 6 feb SENTRAL NIAGA UNGG</t>
  </si>
  <si>
    <t>0802/FTSCY/WS95011 164173680.00 WAHYU MEGA ARSITA</t>
  </si>
  <si>
    <t>0802/FTSCY/WS95051 100000000.00 krmn 8/2 TERA MULIA KORPORI</t>
  </si>
  <si>
    <t>0802/FTSCY/WS95031 5000000.00 EKO SETIYAWAN</t>
  </si>
  <si>
    <t>0802/FTSCY/WS95051 56480400.00 SIDO RAYA UTAMA CV</t>
  </si>
  <si>
    <t>703,878,316.46</t>
  </si>
  <si>
    <t>TRSF E-BANKING CR TANGGAL :08/02</t>
  </si>
  <si>
    <t>0802/FTSCY/WS95031 titip 50jt GATUT SETYO WIBOWO</t>
  </si>
  <si>
    <t>0902/FTSCY/WS95031 48812100.00 t. agung PITIK DIGITAL INDO</t>
  </si>
  <si>
    <t>0902/FTSCY/WS95271 64600000.00 kd mulyono magetan PITIK DIGITAL INDO</t>
  </si>
  <si>
    <t>0902/FTSCY/WS95271 56159500.00 kd umi mahtum BINTANG TAMA SANTO</t>
  </si>
  <si>
    <t>0902/FTSCY/WS95271 62900000.00 kd wahyu hari I Pa suruan ANDALAN YASA MITRA</t>
  </si>
  <si>
    <t>521,406,716.46</t>
  </si>
  <si>
    <t>0902/FTSCY/WS95271 57538320.00 tuban PITIK DIGITAL INDO</t>
  </si>
  <si>
    <t>463,868,396.46</t>
  </si>
  <si>
    <t>0902/FTSCY/WS95011 169314870.00 Fri Feb 06 2026 15:00:00 GMT+0700 (Western Indonesia Time) BROILER MAKMUR TAN</t>
  </si>
  <si>
    <t>0902/FTSCY/WS95011 124672350.00 Fri Feb 06 2026 15:00:00 GMT+0700 (Western Indonesia Time) BROILER MAKMUR TAN</t>
  </si>
  <si>
    <t>0902/FTSCY/WS95011 144600000.00 pelunasan SUPER UNGGAS JAYA</t>
  </si>
  <si>
    <t>BIF TRANSFER KE 9 AHMAD LUTHFI FADHI M-BCA</t>
  </si>
  <si>
    <t>BIF BIAYA TXN KE 9 AHMAD LUTHFI FADHI M-BCA</t>
  </si>
  <si>
    <t>0902/FTSCY/WS95031 250000.00 NURHAYATI</t>
  </si>
  <si>
    <t>0902/FTSCY/WS95031 2683570.00 HERMAWAN</t>
  </si>
  <si>
    <t>0902/FTSCY/WS95031 200000.00 HERMAWAN</t>
  </si>
  <si>
    <t>0902/FTSCY/WS95031 3614820.00 HALIM IBRAHIM</t>
  </si>
  <si>
    <t>0902/FTSCY/WS95031 1552860.00 pasuruan lidia MUJIANTO</t>
  </si>
  <si>
    <t>0902/FTSCY/WS95051 89370700.00 ah hairul tgl 301 PHALOSARI UNGGUL J</t>
  </si>
  <si>
    <t>0902/FTSCY/WS95051 110843900.00 krmn 8/2 HENDY BENEDICT LEO</t>
  </si>
  <si>
    <t>216,984,026.46</t>
  </si>
  <si>
    <t>0902/FTSCY/WS95271 52500000.00 kd nur salam ANDALAN YASA MITRA</t>
  </si>
  <si>
    <t>164,484,026.46</t>
  </si>
  <si>
    <t>TARIKAN ATM 09/02</t>
  </si>
  <si>
    <t>0902/FTSCY/WS95031 33180000.00 Sat Feb 07 2026 15:00:00 GMT+0700 (Western Indonesia Time) ANUGERAH KARTIKA A</t>
  </si>
  <si>
    <t>0902/FTSCY/WS95051 54720000.00 Clossing 8 Feb 3200Kg@17.1 SUGENG MARIONO</t>
  </si>
  <si>
    <t>0902/FTSCY/WS95051 1500000.00 hoirul kdr 5 feb SENTRAL NIAGA UNGG</t>
  </si>
  <si>
    <t>0902/FTSCY/WS95051 51000000.00 hoirul pas 7 feb SENTRAL NIAGA UNGG</t>
  </si>
  <si>
    <t>0902/FTSCY/WS95031 52500000.00 pembayaran lifebir d RONI FATURRAHMAN</t>
  </si>
  <si>
    <t>0902/FTSCY/WS95051 65120000.00 ah 3700x17600 GEMILANG INTI SUKS</t>
  </si>
  <si>
    <t>0902/FTSCY/WS95051 53130000.00 UNGGAS BERKAH ABAD</t>
  </si>
  <si>
    <t>0902/FTSCY/WS95051 100000000.00 krmn 9/2 HENDY BENEDICT LEO</t>
  </si>
  <si>
    <t>508,774,026.46</t>
  </si>
  <si>
    <t>TRSF E-BANKING DB TANGGAL :09/02</t>
  </si>
  <si>
    <t>0902/FTSCY/WS95011 pelunasan ANUGERAH KARTIKA A</t>
  </si>
  <si>
    <t>1002/FTSCY/WS95031 52500000.00 kd hari isynto kej ayaan pasuruan ANDALAN YASA MITRA</t>
  </si>
  <si>
    <t>1002/FTSCY/WS95271 99960300.00 07/02 lunas BROILER MAKMUR TAN</t>
  </si>
  <si>
    <t>336,313,726.46</t>
  </si>
  <si>
    <t>1002/FTSCY/WS95271 87677500.00 07/02lunas BROILER MAKMUR TAN</t>
  </si>
  <si>
    <t>248,636,226.46</t>
  </si>
  <si>
    <t>1002/FTSCY/WS95011 183384620.00 probolinggo PITIK DIGITAL INDO</t>
  </si>
  <si>
    <t>1002/FTSCY/WS95271 64750000.00 titip kd prasetyo kedunggalar ngawi AGUNG MITRA SEJAHT</t>
  </si>
  <si>
    <t>1002/FTSCY/WS95051 89222480.00 ah fm hairul 31/1 PHALOSARI UNGGUL J</t>
  </si>
  <si>
    <t>1002/FTSCY/WS95271 40929200.00 kd busiri pagelara n mlg SUGENG RIADI</t>
  </si>
  <si>
    <t>1002/FTSCY/WS95051 161650920.00 krmn 9/2 HENDY BENEDICT LEO</t>
  </si>
  <si>
    <t>1002/FTSCY/WS95031 10000000.00 pelunasan SUGENG RIADI</t>
  </si>
  <si>
    <t>1002/FTSCY/WS95051 51600000.00 hoirul pas 8 feb SENTRAL NIAGA UNGG</t>
  </si>
  <si>
    <t>1002/FTSCY/WS95051 52200000.00 hoirul mlg 10 feb SENTRAL NIAGA UNGG</t>
  </si>
  <si>
    <t>1002/FTSCY/WS95051 130240000.00 ah 7400x17600 GEMILANG INTI SUKS</t>
  </si>
  <si>
    <t>1002/FTSCY/WS95011 59500000.00 WAHYU MEGA ARSITA</t>
  </si>
  <si>
    <t>546,185,806.46</t>
  </si>
  <si>
    <t>1002/FTSCY/WS95031 18331700.00 krg 10 jt EKO SETIYAWAN</t>
  </si>
  <si>
    <t>527,854,106.46</t>
  </si>
  <si>
    <t>1002/FTSCY/WS95011 54275000.00 kd muchtar blitar BINTANG TAMA SANTO</t>
  </si>
  <si>
    <t>1002/FTSCY/WS95011 51600000.00 kd. petrus blitar ANUGERAH KARTIKA A</t>
  </si>
  <si>
    <t>1002/FTSCY/WS95011 47120500.00 kd galuh t.agung ANUGERAH KARTIKA A</t>
  </si>
  <si>
    <t>1002/FTSCY/WS95011 145000000.00 probolinggo PITIK DIGITAL INDO</t>
  </si>
  <si>
    <t>229,858,606.46</t>
  </si>
  <si>
    <t>TRSF E-BANKING CR TANGGAL :10/02</t>
  </si>
  <si>
    <t>1002/FTSCY/WS95051 SIDO RAYA UTAMA CV</t>
  </si>
  <si>
    <t>1102/FTSCY/WS95031 50000000.00 titip BRANTAS ABADI SENT</t>
  </si>
  <si>
    <t>1102/FTSCY/WS95271 52146500.00 kd sukarmi magetan RUKUN MITRA BERSAM</t>
  </si>
  <si>
    <t>1102/FTSCY/WS95271 101746700.00 malang PITIK DIGITAL INDO</t>
  </si>
  <si>
    <t>1102/FTSCY/WS95271 64750000.00 Sun Feb 08 2026 15:00:00 GMT+0700 (Western Indonesia Time) BROILER MAKMUR TAN</t>
  </si>
  <si>
    <t>1102/FTSCY/WS95031 3431890.00 lunas sragen pasur uan lidia HERMAWAN</t>
  </si>
  <si>
    <t>1102/FTSCY/WS95031 2665550.00 MUJIANTO</t>
  </si>
  <si>
    <t>BIF TRANSFER KE 11 ADIRA MUHAMMAD HAI M-BCA</t>
  </si>
  <si>
    <t>6,244,986.46</t>
  </si>
  <si>
    <t>BIF BIAYA TXN KE 11 ADIRA MUHAMMAD HAI M-BCA</t>
  </si>
  <si>
    <t>6,242,486.46</t>
  </si>
  <si>
    <t>11/02  WSID9503101 0507 FIF 803001249921 MUHAMMAD HAIRUL MA</t>
  </si>
  <si>
    <t>BIF TRANSFER KE 2 TURYADI M-BCA</t>
  </si>
  <si>
    <t>BIF BIAYA TXN KE 2 TURYADI M-BCA</t>
  </si>
  <si>
    <t>11/02 /Z6VT1/00000 RACHMAT AGUNG ARYA</t>
  </si>
  <si>
    <t>1102/FTSCY/WS95051 230580765.00 krmn 10/2 HENDY BENEDICT LEO</t>
  </si>
  <si>
    <t>1102/FTSCY/WS95031 50000.00 MUKLIS</t>
  </si>
  <si>
    <t>TARIKAN ATM 11/02</t>
  </si>
  <si>
    <t>1102/FTSCY/WS95051 229278250.00 ah fm hairul 1/2 PHALOSARI UNGGUL J</t>
  </si>
  <si>
    <t>KARTU DEBIT</t>
  </si>
  <si>
    <t>ALFAMRT Y073 SUDI 6019009510239343</t>
  </si>
  <si>
    <t>1102/FTSCY/WS95051 68337000.00 Pembelian ayam TRIJAYA LESTARI FO</t>
  </si>
  <si>
    <t>1102/FTSCY/WS95271 59160000.00 kd ageng t. agung BINTANG TAMA SANTO</t>
  </si>
  <si>
    <t>519,215,501.46</t>
  </si>
  <si>
    <t>1102/FTSCY/WS95011 178347300.00 Sun Feb 08 2026 15:00:00 GMT+0700 (Western Indonesia Time) BRANTAS ABADI SENT</t>
  </si>
  <si>
    <t>340,868,201.46</t>
  </si>
  <si>
    <t>1102/FTSCY/WS95051 109182450.00 SIDO RAYA UTAMA CV</t>
  </si>
  <si>
    <t>1102/FTSCY/WS95011 127594600.00 Mon Feb 09 2026 15:00:00 GMT+0700 (Western Indonesia Time) BROILER MAKMUR TAN</t>
  </si>
  <si>
    <t>1102/FTSCY/WS95011 121499000.00 kd. zaenal sragen RUKUN MITRA BERSAM</t>
  </si>
  <si>
    <t>1102/FTSCY/WS95011 50100000.00 kd ikhsan kaliori rembang TUMBUH OPTIMAL PRI</t>
  </si>
  <si>
    <t>1102/FTSCY/WS95031 900000.00 ANDE DOSO ANGGORO</t>
  </si>
  <si>
    <t>149,957,051.46</t>
  </si>
  <si>
    <t>TRSF E-BANKING CR TANGGAL :11/02</t>
  </si>
  <si>
    <t>1102/FTSCY/WS95031 lunas GATUT SETYO WIBOWO</t>
  </si>
  <si>
    <t>1202/FTSCY/WS95031 56925000.00 Tue Feb 10 2026 15:00:00 GMT+0700 (Western Indonesia Time) GANESHA SATRIA NUS</t>
  </si>
  <si>
    <t>1202/FTSCY/WS95271 76586160.00 probolinggo PITIK DIGITAL INDO</t>
  </si>
  <si>
    <t>1202/FTSCY/WS95031 911740.00 HALIM IBRAHIM</t>
  </si>
  <si>
    <t>TARIKAN ATM 12/02</t>
  </si>
  <si>
    <t>1202/FTSCY/WS95031 2062770.00 HERMAWAN</t>
  </si>
  <si>
    <t>1202/FTSCY/WS95031 550000.00 MUJIANTO</t>
  </si>
  <si>
    <t>1202/FTSCY/WS95031 14063300.00 krg 15 EKO SETIYAWAN</t>
  </si>
  <si>
    <t>51,358,081.46</t>
  </si>
  <si>
    <t>BI-FAST DB TANGGAL :12/02</t>
  </si>
  <si>
    <t>BIF TRANSFER KE DESI WINARNI M-BCA</t>
  </si>
  <si>
    <t>50,458,081.46</t>
  </si>
  <si>
    <t>BIF BIAYA TXN KE DESI WINARNI M-BCA</t>
  </si>
  <si>
    <t>TRSF E-BANKING CR TANGGAL :12/02</t>
  </si>
  <si>
    <t>1202/FTSCY/WS95271 Titip Byr Ayam JT 13.02 RPA SBU ALDINI MARIA GUMIL</t>
  </si>
  <si>
    <t>1302/FTSCY/WS95051 308051780.00 krmn 11/2 TERA MULIA KORPORI</t>
  </si>
  <si>
    <t>1302/FTSCY/WS95271 102000000.00 Mon Feb 09 2026 15:00:00 GMT+0700 (Western Indonesia Time) SUPER UNGGAS JAYA</t>
  </si>
  <si>
    <t>1302/FTSCY/WS95031 60726210.00 kd invano magetan ANUGERAH KARTIKA A</t>
  </si>
  <si>
    <t>1302/FTSCY/WS95271 49920000.00 Tue Feb 10 2026 15:00:00 GMT+0700 (Western Indonesia Time) ANUGERAH KARTIKA A</t>
  </si>
  <si>
    <t>1302/FTSCY/WS95271 50241200.00 Mon Feb 09 2026 15:00:00 GMT+0700 (Western Indonesia Time) ANUGERAH KARTIKA A</t>
  </si>
  <si>
    <t>1302/FTSCY/WS95271 92747400.00 Tue Feb 10 2026 15:00:00 GMT+0700 (Western Indonesia Time) ANDALAN YASA MITRA</t>
  </si>
  <si>
    <t>1302/FTSCY/WS95031 10000000.00 pelunasan ANDALAN YASA MITRA</t>
  </si>
  <si>
    <t>1302/FTSCY/WS95051 52800000.00 hoirul mlg 9 feb SENTRAL NIAGA UNGG</t>
  </si>
  <si>
    <t>138,472,551.46</t>
  </si>
  <si>
    <t>1302/FTSCY/WS95051 52200000.00 hoirul mlg 10 feb SENTRAL NIAGA UNGG</t>
  </si>
  <si>
    <t>190,672,551.46</t>
  </si>
  <si>
    <t>1302/FTSCY/WS95051 52800000.00 hoirul prbo 10 feb SENTRAL NIAGA UNGG</t>
  </si>
  <si>
    <t>1302/FTSCY/WS95051 52800000.00 hoirulkdr 10 feb SENTRAL NIAGA UNGG</t>
  </si>
  <si>
    <t>1302/FTSCY/WS95271 17270000.00 Pelunasan Ayam JT 13.02 RPA SBU ALDINI MARIA GUMIL</t>
  </si>
  <si>
    <t>1302/FTFVA/WS95031 26689/TIKTOK SHOP - -2753633888715</t>
  </si>
  <si>
    <t>1302/FTSCY/WS95011 98076600.00 Tue Feb 10 2026 15:00:00 GMT+0700 (Western Indonesia Time) SUPER UNGGAS JAYA</t>
  </si>
  <si>
    <t>1302/FTSCY/WS95011 57902250.00 kd suhantono bojonegoro PITIK DIGITAL INDO</t>
  </si>
  <si>
    <t>1302/FTSCY/WS95011 52500000.00 kd m yusuf f kedir PITIK DIGITAL INDO</t>
  </si>
  <si>
    <t>1302/FTSCY/WS95011 48600000.00 Wed Feb 11 2026 15:00:00 GMT+0700 (Western Indonesia Time) GANESHA SATRIA NUS</t>
  </si>
  <si>
    <t>1302/FTSCY/WS95031 32000.00 aini DESI NOURMA EKA WU</t>
  </si>
  <si>
    <t>1302/FTSCY/WS95051 223578280.00 SIDO RAYA UTAMA CV</t>
  </si>
  <si>
    <t>1302/FTSCY/WS95011 153000000.00 Tue Feb 10 2026 15:00:00 GMT+0700 (Western Indonesia Time) SUPER UNGGAS JAYA</t>
  </si>
  <si>
    <t>126,904,981.46</t>
  </si>
  <si>
    <t>TRSF E-BANKING DB TANGGAL :13/02</t>
  </si>
  <si>
    <t>1302/FTSCY/WS95011 Wed Feb 11 2026 15:00:00 GMT+0700 (Western Indonesia Time) GANESHA SATRIA NUS</t>
  </si>
  <si>
    <t>39,809,661.46</t>
  </si>
  <si>
    <t>1402/FTSCY/WS95051 98086140.00 ah hairul tg 2/2 PHALOSARI UNGGUL J</t>
  </si>
  <si>
    <t>1402/FTSCY/WS95031 2440340.00 blitar sidoraya MUJIANTO</t>
  </si>
  <si>
    <t>1402/FTSCY/WS95031 2579700.00 HERMAWAN</t>
  </si>
  <si>
    <t>1402/FTSCY/WS95031 59760000.00 lunas GATUT SETYO WIBOWO</t>
  </si>
  <si>
    <t>1402/FTSCY/WS95051 51206450.00 Mon Feb 13 2023 15:00:00 GMT+0700 (Western Indonesia Time) 3141.5/Closing SUGENG MARIONO</t>
  </si>
  <si>
    <t>1402/FTSCY/WS95031 49533000.00 kd lilik nuryani ANUGERAH KARTIKA A</t>
  </si>
  <si>
    <t>1402/FTSCY/WS95051 51737600.00 ah hairul tg 4/2 PHALOSARI UNGGUL J</t>
  </si>
  <si>
    <t>1402/FTSCY/WS95051 130240000.00 ah 7400x17600 GEMILANG INTI SUKS</t>
  </si>
  <si>
    <t>1402/FTSCY/WS95051 63302490.00 ah 3701.9x17100 GEMILANG INTI SUKS</t>
  </si>
  <si>
    <t>1402/FTSCY/WS95011 55053450.00 WAHYU MEGA ARSITA</t>
  </si>
  <si>
    <t>1402/FTSCY/WS95271 245834900.00 Fri Feb 13 2026 15:00:00 GMT+0700 (Western Indonesia Time) GANESHA SATRIA NUS</t>
  </si>
  <si>
    <t>1402/FTSCY/WS95271 52932300.00 kd sukarmi magetan RUKUN MITRA BERSAM</t>
  </si>
  <si>
    <t>195,875,551.46</t>
  </si>
  <si>
    <t>1402/FTSCY/WS95031 10000000.00 pelunasan RUKUN MITRA BERSAM</t>
  </si>
  <si>
    <t>185,875,551.46</t>
  </si>
  <si>
    <t>TRSF E-BANKING CR TANGGAL :14/02</t>
  </si>
  <si>
    <t>1402/FTSCY/WS95031 Byr Ayam JT 15.02 RPA SBU ALDINI MARIA GUMIL</t>
  </si>
  <si>
    <t>1402/FTSCY/WS95031 Pemb ayam an Amart ha GABRIEL HENDRA KUR</t>
  </si>
  <si>
    <t>1402/FTSCY/WS95031 titip 40jt GATUT SETYO WIBOWO</t>
  </si>
  <si>
    <t>TRSF E-BANKING DB TANGGAL :14/02</t>
  </si>
  <si>
    <t>1402/FTSCY/WS95011 Sun Feb 08 2026 15:00:00 GMT+0700 (Western Indonesia Time) BROILER MAKMUR TAN</t>
  </si>
  <si>
    <t>1402/FTSCY/WS95011 kd ika garum blita BINTANG TAMA SANTO</t>
  </si>
  <si>
    <t>1402/FTSCY/WS95011 ROZAL NUR SYAHBANA</t>
  </si>
  <si>
    <t>1402/FTSCY/WS95051 SIDO RAYA UTAMA CV</t>
  </si>
  <si>
    <t>1502/FTSCY/WS95271 51000000.00 jombang PITIK DIGITAL INDO</t>
  </si>
  <si>
    <t>1502/FTSCY/WS95271 51000000.00 Cv. bmu nganjuk SUPER UNGGAS JAYA</t>
  </si>
  <si>
    <t>1502/FTSCY/WS95031 3800000.00 NURHAYATI</t>
  </si>
  <si>
    <t>1502/FTSCY/WS95031 2152200.00 HERMAWAN</t>
  </si>
  <si>
    <t>1502/FTSCY/WS95031 1612950.00 blitar sidoraya MUJIANTO</t>
  </si>
  <si>
    <t>69,880,791.46</t>
  </si>
  <si>
    <t>1502/FTSCY/WS95031 904000.00 RIZKI FADDILLA</t>
  </si>
  <si>
    <t>68,976,791.46</t>
  </si>
  <si>
    <t>1502/FTSCY/WS95271 64600000.00 kd rofit madiun AGUNG MITRA SEJAHT</t>
  </si>
  <si>
    <t>1502/FTSCY/WS95051 114775560.00 Clossing 14 Feb 7253.2Kg/2Ret SUGENG MARIONO</t>
  </si>
  <si>
    <t>1502/FTSCY/WS95051 51300000.00 hoirul pas 12 feb SENTRAL NIAGA UNGG</t>
  </si>
  <si>
    <t>1502/FTSCY/WS95051 51300000.00 hoirul kdr 12 feb SENTRAL NIAGA UNGG</t>
  </si>
  <si>
    <t>1502/FTSCY/WS95051 51300000.00 hoirul nnjk 12 feb SENTRAL NIAGA UNGG</t>
  </si>
  <si>
    <t>1502/FTSCY/WS95051 84623100.00 Pembelian ayam TRIJAYA LESTARI FO</t>
  </si>
  <si>
    <t>1502/FTSCY/WS95051 193180750.00 ah hairul tg 3/2 PHALOSARI UNGGUL J</t>
  </si>
  <si>
    <t>1502/FTSCY/WS95031 55726270.00 Pemb ayam An Amart ha GABRIEL HENDRA KUR</t>
  </si>
  <si>
    <t>1502/FTSCY/WS95051 192484440.00 ah 11256.4x17100 GEMILANG INTI SUKS</t>
  </si>
  <si>
    <t>794,764,411.46</t>
  </si>
  <si>
    <t>TRSF E-BANKING DB TANGGAL :15/02</t>
  </si>
  <si>
    <t>1502/FTSCY/WS95271 13/02 krg 45 jt SUPER UNGGAS JAYA</t>
  </si>
  <si>
    <t>662,669,111.46</t>
  </si>
  <si>
    <t>1502/FTSCY/WS95031 pelunasan 13.02 SUPER UNGGAS JAYA</t>
  </si>
  <si>
    <t>1502/FTSCY/WS95011 tgl 12 dan 13 luna BROILER MAKMUR TAN</t>
  </si>
  <si>
    <t>1502/FTSCY/WS95011 kd abdul blitar lunas CV SURYA INTI TERN</t>
  </si>
  <si>
    <t>1502/FTSCY/WS95011 Thu Feb 12 2026 15:00:00 GMT+0700 (Western Indonesia Time) ANDALAN YASA MITRA</t>
  </si>
  <si>
    <t>1502/FTSCY/WS95011 t. agung PITIK DIGITAL INDO</t>
  </si>
  <si>
    <t>1502/FTSCY/WS95011 Fri Feb 13 2026 15:00:00 GMT+0700 (Western Indonesia Time) BROILER MAKMUR TAN</t>
  </si>
  <si>
    <t>TRSF E-BANKING CR TANGGAL :15/02</t>
  </si>
  <si>
    <t>1502/FTSCY/WS95031 lunas GATUT SETYO WIBOWO</t>
  </si>
  <si>
    <t>1502/FTSCY/WS95051 SIDO RAYA UTAMA CV</t>
  </si>
  <si>
    <t>1602/FTSCY/WS95031 96149600.00 pemb. kd abdul wah id gurah kedir BINTANG TAMA SANTO</t>
  </si>
  <si>
    <t>1602/FTSCY/WS95271 56000000.00 pemb. kd supriyant o mlg BINTANG TAMA SANTO</t>
  </si>
  <si>
    <t>1602/FTSCY/WS95271 124755040.00 pemb. kd eko kejay aan pasuruan ANDALAN YASA MITRA</t>
  </si>
  <si>
    <t>45,311,851.46</t>
  </si>
  <si>
    <t>1602/FTSCY/WS95271 44069900.00 pemb. kd suhartini jember BROILER MAKMUR TAN</t>
  </si>
  <si>
    <t>1,241,951.46</t>
  </si>
  <si>
    <t>1602/FTSCY/WS95051 50133400.00 hoirul mgt 13 feb SENTRAL NIAGA UNGG</t>
  </si>
  <si>
    <t>1602/FTSCY/WS95051 51730900.00 hoirul blt 13 feb SENTRAL NIAGA UNGG</t>
  </si>
  <si>
    <t>1602/FTSCY/WS95051 45057600.00 hoirul jbr 14 feb SENTRAL NIAGA UNGG</t>
  </si>
  <si>
    <t>1602/FTSCY/WS95031 2000000.00 NURUL AINI</t>
  </si>
  <si>
    <t>1602/FTSCY/WS95051 122840000.00 ah 7400x16600 GEMILANG INTI SUKS</t>
  </si>
  <si>
    <t>1602/FTFVA/WS95031 55569/PT PRIMA FAJ titip rahmat taufi k probolinggo 40190</t>
  </si>
  <si>
    <t>1602/FTSCY/WS95271 45000000.00 pengembalian ROZAL NUR SYAHBANA</t>
  </si>
  <si>
    <t>TARIKAN ATM 16/02</t>
  </si>
  <si>
    <t>1602/FTSCY/WS95031 13650000.00 RUDIONO</t>
  </si>
  <si>
    <t>1602/FTSCY/WS95031 46720000.00 lunas GATUT SETYO WIBOWO</t>
  </si>
  <si>
    <t>278,123,851.46</t>
  </si>
  <si>
    <t>TRSF E-BANKING DB TANGGAL :16/02</t>
  </si>
  <si>
    <t>1602/FTSCY/WS95271 krg 15 jt EKO SETIYAWAN</t>
  </si>
  <si>
    <t>1602/FTSCY/WS95011 titip kd mashudi tanggul TERNAK SEJATI TABA</t>
  </si>
  <si>
    <t>175,476,351.46</t>
  </si>
  <si>
    <t>1602/FTSCY/WS95271 mlg sidoraya MUJIANTO</t>
  </si>
  <si>
    <t>173,619,151.46</t>
  </si>
  <si>
    <t>1602/FTSCY/WS95271 mlg sidoraya HERMAWAN</t>
  </si>
  <si>
    <t>1602/FTSCY/WS95011 Sat Feb 14 2026 15:00:00 GMT+0700 (Western Indonesia Time) ANDALAN YASA MITRA</t>
  </si>
  <si>
    <t>1602/FTSCY/WS95011 t.agung 14/02 PITIK DIGITAL INDO</t>
  </si>
  <si>
    <t>TRSF E-BANKING CR TANGGAL :16/02</t>
  </si>
  <si>
    <t>1602/FTSCY/WS95051 SIDO RAYA UTAMA CV</t>
  </si>
  <si>
    <t>1702/FTSCY/WS95011 215003600.00 farm jaka p Sat Feb 14 2026 15:00:00 GMT+0700 (Western Indonesia Time) SUPER UNGGAS JAYA</t>
  </si>
  <si>
    <t>1702/FTSCY/WS95011 72000000.00 14/02 lunas ANDALAN YASA MITRA</t>
  </si>
  <si>
    <t>1702/FTSCY/WS95031 2091000.00 pelunasan CV SURYA INTI TERN</t>
  </si>
  <si>
    <t>17/02  WSID9503100 0865 PLN PREPAID 32104859353 MUHAMMAD HAIRUL MA</t>
  </si>
  <si>
    <t>1702/FTSCY/WS95031 500000.00 ARUL BACHTIAR DWI</t>
  </si>
  <si>
    <t>1702/FTSCY/WS95051 107225100.00 Clossing 16 feb 7101Kg/2ret SUGENG MARIONO</t>
  </si>
  <si>
    <t>1702/FTSCY/WS95051 103200000.00 ah fm hairul 6/2 PHALOSARI UNGGUL J</t>
  </si>
  <si>
    <t>227,533,151.46</t>
  </si>
  <si>
    <t>1702/FTSCY/WS95271 149565000.00 kd purwito mlg PITIK DIGITAL INDO</t>
  </si>
  <si>
    <t>77,968,151.46</t>
  </si>
  <si>
    <t>1702/FTSCY/WS95051 49800000.00 Hoirul blt 15 feb SENTRAL NIAGA UNGG</t>
  </si>
  <si>
    <t>1702/FTSCY/WS95271 46400000.00 Mon Feb 16 2026 15:00:00 GMT+0700 (Western Indonesia Time) GANESHA SATRIA NUS</t>
  </si>
  <si>
    <t>1702/FTSCY/WS95271 54415200.00 kd saiful anam jem ber PITIK DIGITAL INDO</t>
  </si>
  <si>
    <t>1702/FTSCY/WS95031 61050000.00 kd darmaji mjk ANDALAN YASA MITRA</t>
  </si>
  <si>
    <t>1702/FTSCY/WS95031 650000.00 RIZKI FADDILLA</t>
  </si>
  <si>
    <t>1702/FTSCY/WS95031 647800.00 HALIM IBRAHIM</t>
  </si>
  <si>
    <t>1702/FTSCY/WS95031 49830000.00 lunas GATUT SETYO WIBOWO</t>
  </si>
  <si>
    <t>BIAYA ADM</t>
  </si>
  <si>
    <t>114,016,151.46</t>
  </si>
  <si>
    <t>TARIKAN ATM 17/02</t>
  </si>
  <si>
    <t>TARIKAN ATM 18/02</t>
  </si>
  <si>
    <t>1802/FTSCY/WS95271 51782000.00 pemb. kd hendra pa suruan BROILER MAKMUR TAN</t>
  </si>
  <si>
    <t>1802/FTSCY/WS95271 61050000.00 tuban PITIK DIGITAL INDO</t>
  </si>
  <si>
    <t>684,151.46</t>
  </si>
  <si>
    <t>1802/FTSCY/WS95031 90000000.00 titip 90jt GATUT SETYO WIBOWO</t>
  </si>
  <si>
    <t>90,684,151.46</t>
  </si>
  <si>
    <t>1802/FTSCY/WS95031 86959200.00 Sun Feb 15 2026 15:00:00 GMT+0700 (Western Indonesia Time) BROILER MAKMUR TAN</t>
  </si>
  <si>
    <t>3,724,951.46</t>
  </si>
  <si>
    <t>TRSF E-BANKING CR TANGGAL :18/02</t>
  </si>
  <si>
    <t>18/02 /Z8KB1/00000 ZAINAL ARIFIN</t>
  </si>
  <si>
    <t>1902/FTSCY/WS95031 970000.00 MUJIANTO</t>
  </si>
  <si>
    <t>1902/FTSCY/WS95051 56459700.00 SIDO RAYA UTAMA CV</t>
  </si>
  <si>
    <t>1902/FTSCY/WS95271 5000000.00 pelunasan ROZAL NUR SYAHBANA</t>
  </si>
  <si>
    <t>SETORAN VIA CDM</t>
  </si>
  <si>
    <t>19/02  WSID:ZQ4E1 MUHAMMAD HAIRUL MA</t>
  </si>
  <si>
    <t>1902/FTSCY/WS95031 45000000.00 kd nurwakid 3000kg UNGGAS MANDIRI BER</t>
  </si>
  <si>
    <t>1902/FTSCY/WS95031 3000000.00 total titip 93jt GATUT SETYO WIBOWO</t>
  </si>
  <si>
    <t>1902/FTSCY/WS95271 59636000.00 15/02 lunas BROILER MAKMUR TAN</t>
  </si>
  <si>
    <t>TARIKAN ATM 19/02</t>
  </si>
  <si>
    <t>154,071.46</t>
  </si>
  <si>
    <t>2002/FTSCY/WS95051 188312300.00 krmn 17/2 TERA MULIA KORPORI</t>
  </si>
  <si>
    <t>TARIKAN ATM 20/02</t>
  </si>
  <si>
    <t>2002/FTSCY/WS95271 97172600.00 Mon Feb 16 2026 15:00:00 GMT+0700 (Western Indonesia Time) RUKUN MITRA BERSAM</t>
  </si>
  <si>
    <t>2002/FTSCY/WS95031 129000.00 pelunasan UNGGAS MANDIRI BER</t>
  </si>
  <si>
    <t>89,064,771.46</t>
  </si>
  <si>
    <t>2002/FTSCY/WS95051 106281420.00 ah fm hairul 7/2 PHALOSARI UNGGUL J</t>
  </si>
  <si>
    <t>195,346,191.46</t>
  </si>
  <si>
    <t>2002/FTSCY/WS95271 141819550.00 mlg PITIK DIGITAL INDO</t>
  </si>
  <si>
    <t>2002/FTSCY/WS95011 100000000.00 Titip Byr Ayam JT 17.02 RPA SBU ALDINI MARIA GUMIL</t>
  </si>
  <si>
    <t>2002/FTSCY/WS95031 91280000.00 Sun Feb 15 2026 15:00:00 GMT+0700 (Western Indonesia Time) SUPER UNGGAS JAYA</t>
  </si>
  <si>
    <t>2002/FTSCY/WS95051 100000000.00 krmn 20/2 TERA MULIA KORPORI</t>
  </si>
  <si>
    <t>2002/FTSCY/WS95051 37978350.00 hoirul kdr 16 feb SENTRAL NIAGA UNGG</t>
  </si>
  <si>
    <t>2002/FTSCY/WS95051 48300000.00 hoirul prbo 16 feb SENTRAL NIAGA UNGG</t>
  </si>
  <si>
    <t>2002/FTSCY/WS95051 47400000.00 hoirul jbr 16 feb SENTRAL NIAGA UNGG</t>
  </si>
  <si>
    <t>2002/FTSCY/WS95051 48600000.00 hoirl kdr 16 feb SENTRAL NIAGA UNGG</t>
  </si>
  <si>
    <t>2002/FTSCY/WS95031 10820000.00 lunas GATUT SETYO WIBOWO</t>
  </si>
  <si>
    <t>2002/FTSCY/WS95011 184249250.00 pelunasan BROILER MAKMUR TAN</t>
  </si>
  <si>
    <t>2002/FTSCY/WS95011 106515000.00 tuban PITIK DIGITAL INDO</t>
  </si>
  <si>
    <t>64,580,741.46</t>
  </si>
  <si>
    <t>TRSF E-BANKING DB TANGGAL :20/02</t>
  </si>
  <si>
    <t>2002/FTSCY/WS95031 EKO SETIYAWAN</t>
  </si>
  <si>
    <t>59,580,741.46</t>
  </si>
  <si>
    <t>TRSF E-BANKING CR TANGGAL :20/02</t>
  </si>
  <si>
    <t>2002/FTSCY/WS95051 SIDO RAYA UTAMA CV</t>
  </si>
  <si>
    <t>2102/FTSCY/WS95271 176452250.00 tuiung agung PITIK DIGITAL INDO</t>
  </si>
  <si>
    <t>2102/FTSCY/WS95051 80016960.00 krmn 20/2 TERA MULIA KORPORI</t>
  </si>
  <si>
    <t>2102/FTSCY/WS95031 20500000.00 pelunasan t. agung PITIK DIGITAL INDO</t>
  </si>
  <si>
    <t>2102/FTSCY/WS95051 92075790.00 UNGGAS BERKAH ABAD</t>
  </si>
  <si>
    <t>2102/FTSCY/WS95051 112041000.00 FM Hairul Blitar tg 7/2 PHALOSARI UNGGUL J</t>
  </si>
  <si>
    <t>2102/FTSCY/WS95031 200000.00 NURUL AINI</t>
  </si>
  <si>
    <t>2102/FTSCY/WS95051 51037227.00 AYAM HAIRUL TGL 21/2/2023 SUCI RAHARJO PT</t>
  </si>
  <si>
    <t>2102/FTSCY/WS95051 104300000.00 DO 21 Feb 7000kg@14.9 SUGENG MARIONO</t>
  </si>
  <si>
    <t>2102/FTSCY/WS95051 100000000.00 krmn 21/2 TERA MULIA KORPORI</t>
  </si>
  <si>
    <t>TARIKAN ATM 21/02</t>
  </si>
  <si>
    <t>2102/FTSCY/WS95051 49488189.00 AH 3073.8 16100 GEMILANG INTI SUKS</t>
  </si>
  <si>
    <t>567,659,367.46</t>
  </si>
  <si>
    <t>2102/FTSCY/WS95031 45471600.00 Fri Feb 20 2026 15:00:00 GMT+0700 (Western Indonesia Time) ANUGERAH KARTIKA A</t>
  </si>
  <si>
    <t>522,187,767.46</t>
  </si>
  <si>
    <t>2102/FTSCY/WS95271 103341500.00 Thu Feb 19 2026 15:00:00 GMT+0700 (Western Indonesia Time) SUPER UNGGAS JAYA</t>
  </si>
  <si>
    <t>2102/FTSCY/WS95011 46336050.00 kd ritawati T.A ANUGERAH KARTIKA A</t>
  </si>
  <si>
    <t>2102/FTSCY/WS95011 31421750.00 pemb. kd sunawan t. agung BINTANG TAMA SANTO</t>
  </si>
  <si>
    <t>2102/FTSCY/WS95011 94894500.00 jombang PITIK DIGITAL INDO</t>
  </si>
  <si>
    <t>2102/FTSCY/WS95011 44219810.00 pelunasan + titip 20 jt BRANTAS ABADI SENT</t>
  </si>
  <si>
    <t>201,974,157.46</t>
  </si>
  <si>
    <t>22/02  WSID9503102 1220 TELKOMSEL 82318368518 MUHAMMAD HAIRUL MA</t>
  </si>
  <si>
    <t>2202/FTSCY/WS95031 86633400.00 titip 90 jt TERNAK SEJATI TABA</t>
  </si>
  <si>
    <t>2202/FTSCY/WS95271 54250000.00 titip 3500kg kd wi di magetan AGUNG MITRA SEJAHT</t>
  </si>
  <si>
    <t>2202/FTSCY/WS95271 14326680.00 pelunasan TERNAK SEJATI TABA</t>
  </si>
  <si>
    <t>2202/FTSCY/WS95031 5945150.00 pelunasan HERMAWAN</t>
  </si>
  <si>
    <t>2202/FTFVA/WS95031 26689/TIKTOK SHOP - -6467420713000</t>
  </si>
  <si>
    <t>40,645,986.46</t>
  </si>
  <si>
    <t>2202/FTSCY/WS95031 3561740.00 pelunasan MUJIANTO</t>
  </si>
  <si>
    <t>37,084,246.46</t>
  </si>
  <si>
    <t>2202/FTSCY/WS95031 2738040.00 jember saliman DWI HERMANSYAH</t>
  </si>
  <si>
    <t>2202/FTSCY/WS95271 11992400.00 krg 25 jt EKO SETIYAWAN</t>
  </si>
  <si>
    <t>2202/FTSCY/WS95051 230323140.00 krmn 21/2 TERA MULIA KORPORI</t>
  </si>
  <si>
    <t>2202/FTSCY/WS95051 105979680.00 ah hairul tg 8/2 PHALOSARI UNGGUL J</t>
  </si>
  <si>
    <t>2202/FTSCY/WS95271 93000000.00 Thu Feb 19 2026 15:00:00 GMT+0700 (Western Indonesia Time) BROILER MAKMUR TAN</t>
  </si>
  <si>
    <t>2202/FTSCY/WS95011 205251690.00 pemb. kd darmaji ANDALAN YASA MITRA</t>
  </si>
  <si>
    <t>2202/FTSCY/WS95271 49319970.00 pemb. kd harto s j ember BRANTAS ABADI SENT</t>
  </si>
  <si>
    <t>2202/FTSCY/WS95011 78759910.00 Pelunasan Ayam JT 17.02 RPA SBU ALDINI MARIA GUMIL</t>
  </si>
  <si>
    <t>2202/FTSCY/WS95271 71116750.00 pemb. siti umayah kediri lunas BRANTAS ABADI SENT</t>
  </si>
  <si>
    <t>2202/FTSCY/WS95051 50751820.00 UNGGAS BERKAH ABAD</t>
  </si>
  <si>
    <t>2202/FTSCY/WS95051 731590.00 Clossing 21 feb SUGENG MARIONO</t>
  </si>
  <si>
    <t>70,211,536.46</t>
  </si>
  <si>
    <t>2202/FTSCY/WS95051 46800000.00 hoirl blt 19 feb SENTRAL NIAGA UNGG</t>
  </si>
  <si>
    <t>117,011,536.46</t>
  </si>
  <si>
    <t>2202/FTSCY/WS95051 46800000.00 hoirul blt 19 feb SENTRAL NIAGA UNGG</t>
  </si>
  <si>
    <t>2202/FTSCY/WS95051 45300000.00 hoirul jbr 20 feb SENTRAL NIAGA UNGG</t>
  </si>
  <si>
    <t>2202/FTSCY/WS95031 50000000.00 WAHYUDI</t>
  </si>
  <si>
    <t>2202/FTSCY/WS95011 90902850.00 Fri Feb 20 2026 15:00:00 GMT+0700 (Western Indonesia Time) ANDALAN YASA MITRA</t>
  </si>
  <si>
    <t>2202/FTSCY/WS95011 132649440.00 Fri Feb 20 2026 15:00:00 GMT+0700 (Western Indonesia Time) SUPER UNGGAS JAYA</t>
  </si>
  <si>
    <t>2202/FTSCY/WS95271 1795000.00 NURHAYATI</t>
  </si>
  <si>
    <t>2202/FTSCY/WS95051 100000000.00 krmn 22/2 TERA MULIA KORPORI</t>
  </si>
  <si>
    <t>2202/FTSCY/WS95011 52884000.00 jombang PITIK DIGITAL INDO</t>
  </si>
  <si>
    <t>2202/FTSCY/WS95271 1449680.00 ANDE DOSO ANGGORO</t>
  </si>
  <si>
    <t>2202/FTSCY/WS95271 2197900.00 madiun lidia MUJIANTO</t>
  </si>
  <si>
    <t>2202/FTSCY/WS95031 671020.00 RIZKI FADDILLA</t>
  </si>
  <si>
    <t>2202/FTSCY/WS95051 158509950.00 SIDO RAYA UTAMA CV</t>
  </si>
  <si>
    <t>235,071,596.46</t>
  </si>
  <si>
    <t>2302/FTSCY/WS95031 52550900.00 kd wawan edi blora TUMBUH OPTIMAL PRI</t>
  </si>
  <si>
    <t>182,520,696.46</t>
  </si>
  <si>
    <t>2302/FTSCY/WS95271 95423050.00 farm SIM jember PITIK DIGITAL INDO</t>
  </si>
  <si>
    <t>87,097,646.46</t>
  </si>
  <si>
    <t>2302/FTSCY/WS95031 11621100.00 krg 25 EKO SETIYAWAN</t>
  </si>
  <si>
    <t>2302/FTSCY/WS95031 300000.00 EKO SETIYAWAN</t>
  </si>
  <si>
    <t>2302/FTSCY/WS95031 46810000.00 lunas GATUT SETYO WIBOWO</t>
  </si>
  <si>
    <t>2302/FTSCY/WS95271 44487300.00 kd mahmud magetan AGUNG MITRA SEJAHT</t>
  </si>
  <si>
    <t>2302/FTSCY/WS95051 193210400.00 krmn 22/2 TERA MULIA KORPORI</t>
  </si>
  <si>
    <t>2302/FTSCY/WS95051 24403000.00 krmn 22/2 TERA MAKMURINDO CV</t>
  </si>
  <si>
    <t>2302/FTSCY/WS95051 45600000.00 hoirul mlg 21 feb SENTRAL NIAGA UNGG</t>
  </si>
  <si>
    <t>2302/FTSCY/WS95271 64755850.00 Sat Feb 21 2026 15:00:00 GMT+0700 (Western Indonesia Time) BINTANG TAMA SANTO</t>
  </si>
  <si>
    <t>2302/FTSCY/WS95011 106372500.00 Sat Feb 21 2026 15:00:00 GMT+0700 (Western Indonesia Time) BINTANG TAMA SANTO</t>
  </si>
  <si>
    <t>2302/FTSCY/WS95051 53991560.00 Clossing 22 feb 3575.6Kg@15.1 SUGENG MARIONO</t>
  </si>
  <si>
    <t>269,175,856.46</t>
  </si>
  <si>
    <t>2302/FTSCY/WS95271 46234500.00 jombang PITIK DIGITAL INDO</t>
  </si>
  <si>
    <t>222,941,356.46</t>
  </si>
  <si>
    <t>2302/FTSCY/WS95051 83297160.00 UNGGAS BERKAH ABAD</t>
  </si>
  <si>
    <t>2302/FTSCY/WS95031 40000000.00 WAHYUDI</t>
  </si>
  <si>
    <t>2302/FTSCY/WS95011 89940800.00 WAHYU MEGA ARSITA</t>
  </si>
  <si>
    <t>2302/FTSCY/WS95031 300000.00 NURUL AINI</t>
  </si>
  <si>
    <t>2302/FTSCY/WS95011 139221000.00 Fri Feb 20 2026 15:00:00 GMT+0700 (Western Indonesia Time) BROILER MAKMUR TAN</t>
  </si>
  <si>
    <t>2302/FTSCY/WS95011 82162500.00 Fri Feb 20 2026 15:00:00 GMT+0700 (Western Indonesia Time) BROILER MAKMUR TAN</t>
  </si>
  <si>
    <t>2302/FTSCY/WS95011 170372500.00 Sat Feb 21 2026 15:00:00 GMT+0700 (Western Indonesia Time) BINTANG TAMA SANTO</t>
  </si>
  <si>
    <t>2302/FTSCY/WS95031 8000000.00 pelunasan BINTANG TAMA SANTO</t>
  </si>
  <si>
    <t>2302/FTSCY/WS95051 42665000.00 SIDO RAYA UTAMA CV</t>
  </si>
  <si>
    <t>2302/FTSCY/WS95051 56987560.00 SIDO RAYA UTAMA CV</t>
  </si>
  <si>
    <t>2302/FTSCY/WS95031 47580000.00 lunas GATUT SETYO WIBOWO</t>
  </si>
  <si>
    <t>183,233,376.46</t>
  </si>
  <si>
    <t>2302/FTSCY/WS95271 43519500.00 malang PITIK DIGITAL INDO</t>
  </si>
  <si>
    <t>139,713,876.46</t>
  </si>
  <si>
    <t>TRSF E-BANKING DB TANGGAL :23/02</t>
  </si>
  <si>
    <t>2302/FTSCY/WS95031 HERMAWAN</t>
  </si>
  <si>
    <t>2302/FTSCY/WS95031 MUJIANTO</t>
  </si>
  <si>
    <t>2402/FTSCY/WS95031 92460200.00 tuban PITIK DIGITAL INDO</t>
  </si>
  <si>
    <t>2402/FTSCY/WS95271 38524800.00 Sun Feb 22 2026 15:00:00 GMT+0700 (Western Indonesia Time) GANESHA SATRIA NUS</t>
  </si>
  <si>
    <t>2402/FTSCY/WS95051 51720400.00 ah hairul tg 11/2 PHALOSARI UNGGUL J</t>
  </si>
  <si>
    <t>2402/FTSCY/WS95051 213498850.00 krmn 23/2 TERA MULIA KORPORI</t>
  </si>
  <si>
    <t>2402/FTSCY/WS95051 9000000.00 UNGGAS BERKAH ABAD</t>
  </si>
  <si>
    <t>2402/FTSCY/WS95271 120000000.00 pelunasan GANESHA SATRIA NUS</t>
  </si>
  <si>
    <t>2402/FTSCY/WS95051 34853940.00 ah fm hairul 13/2 PHALOSARI UNGGUL J</t>
  </si>
  <si>
    <t>2402/FTSCY/WS95031 24508000.00 WAHYUDI</t>
  </si>
  <si>
    <t>2402/FTSCY/WS95271 30000000.00 DP ROZAL NUR SYAHBANA</t>
  </si>
  <si>
    <t>2402/FTSCY/WS95011 116349400.00 WAHYU MEGA ARSITA</t>
  </si>
  <si>
    <t>2402/FTSCY/WS95051 45600000.00 hoirul mlg 21 feb SENTRAL NIAGA UNGG</t>
  </si>
  <si>
    <t>405,899,216.46</t>
  </si>
  <si>
    <t>2402/FTSCY/WS95051 48600000.00 hoirul blt 22 feb SENTRAL NIAGA UNGG</t>
  </si>
  <si>
    <t>454,499,216.46</t>
  </si>
  <si>
    <t>2402/FTSCY/WS95051 100000000.00 krmn 24/2 TERA MULIA KORPORI</t>
  </si>
  <si>
    <t>2402/FTSCY/WS95031 1200000.00 NURUL AINI</t>
  </si>
  <si>
    <t>TARIKAN ATM 24/02</t>
  </si>
  <si>
    <t>2402/FTSCY/WS95271 98772000.00 malang PITIK DIGITAL INDO</t>
  </si>
  <si>
    <t>2402/FTSCY/WS95271 33389750.00 kd supriyanto BINTANG TAMA SANTO</t>
  </si>
  <si>
    <t>2402/FTSCY/WS95011 20000000.00 pelunasan BINTANG TAMA SANTO</t>
  </si>
  <si>
    <t>2402/FTSCY/WS95011 100149000.00 Sun Feb 22 2026 15:00:00 GMT+0700 (Western Indonesia Time) SUPER UNGGAS JAYA</t>
  </si>
  <si>
    <t>2402/FTSCY/WS95011 90954880.00 jombang ANDALAN YASA MITRA</t>
  </si>
  <si>
    <t>2402/FTSCY/WS95031 688900.00 SITI RAHMA IFTITAH</t>
  </si>
  <si>
    <t>2402/FTSCY/WS95011 40000000.00 titip jember TERNAK SEJATI TABA</t>
  </si>
  <si>
    <t>170,394,686.46</t>
  </si>
  <si>
    <t>TRSF E-BANKING DB TANGGAL :24/02</t>
  </si>
  <si>
    <t>2402/FTSCY/WS95011 titip mlg , t.a 60 jt TABASSAM AL HATTAK</t>
  </si>
  <si>
    <t>2402/FTSCY/WS95011 22/23 BROILER MAKMUR TAN</t>
  </si>
  <si>
    <t>34,217,186.46</t>
  </si>
  <si>
    <t>2402/FTSCY/WS95011 titip BRANTAS ABADI SENT</t>
  </si>
  <si>
    <t>9,217,186.46</t>
  </si>
  <si>
    <t>TRSF E-BANKING CR TANGGAL :24/02</t>
  </si>
  <si>
    <t>2402/FTSCY/WS95051 SIDO RAYA UTAMA CV</t>
  </si>
  <si>
    <t>2502/FTSCY/WS95271 1729650.00 magetan lidia MUJIANTO</t>
  </si>
  <si>
    <t>2502/FTSCY/WS95271 3298750.00 magetan lidia HERMAWAN</t>
  </si>
  <si>
    <t>2502/FTSCY/WS95031 8632400.00 pelunasan jember TERNAK SEJATI TABA</t>
  </si>
  <si>
    <t>2502/FTSCY/WS95031 2987020.00 NURHAYATI</t>
  </si>
  <si>
    <t>2502/FTSCY/WS95051 287468875.00 krmn 24/2 TERA MULIA KORPORI</t>
  </si>
  <si>
    <t>2502/FTSCY/WS95031 70000000.00 pelunasan BROILER MAKMUR TAN</t>
  </si>
  <si>
    <t>2502/FTSCY/WS95271 111320350.00 Mon Feb 23 2026 15:00:00 GMT+0700 (Western Indonesia Time) RUKUN MITRA BERSAM</t>
  </si>
  <si>
    <t>2502/FTSCY/WS95271 50549400.00 Mon Feb 23 2026 15:00:00 GMT+0700 (Western Indonesia Time) ANDALAN YASA MITRA</t>
  </si>
  <si>
    <t>2502/FTSCY/WS95011 46711500.00 pelunasan TABASSAM AL HATTAK</t>
  </si>
  <si>
    <t>2502/FTSCY/WS95031 665000.00 vios DIDIK HARYADI</t>
  </si>
  <si>
    <t>2502/FTSCY/WS95051 100000000.00 krmn 25/2 TERA MULIA KORPORI</t>
  </si>
  <si>
    <t>192,058,441.46</t>
  </si>
  <si>
    <t>2502/FTSCY/WS95271 23015000.00 pelunasan BRANTAS ABADI SENT</t>
  </si>
  <si>
    <t>169,043,441.46</t>
  </si>
  <si>
    <t>2502/FTSCY/WS95051 111521430.00 SIDO RAYA UTAMA CV</t>
  </si>
  <si>
    <t>2502/FTFVA/WS95031 12208/SHOPEEPAY - -5335263590</t>
  </si>
  <si>
    <t>2502/FTSCY/WS95011 106671250.00 kd nanang prasetyo kediri BRANTAS ABADI SENT</t>
  </si>
  <si>
    <t>2502/FTSCY/WS95011 95586150.00 Mon Feb 23 2026 15:00:00 GMT+0700 (Western Indonesia Time) BROILER MAKMUR TAN</t>
  </si>
  <si>
    <t>2502/FTSCY/WS95011 54478500.00 t. agung PITIK DIGITAL INDO</t>
  </si>
  <si>
    <t>23,704,602.46</t>
  </si>
  <si>
    <t>2602/FTSCY/WS95031 4773700.00 HERMAWAN</t>
  </si>
  <si>
    <t>TARIKAN ATM 26/02</t>
  </si>
  <si>
    <t>18,080,902.46</t>
  </si>
  <si>
    <t>2702/FTSCY/WS95051 56611500.00 pembayaran ayam an Amartha ANUGERAH MAKMUR AR</t>
  </si>
  <si>
    <t>TARIKAN ATM 27/02</t>
  </si>
  <si>
    <t>2702/FTSCY/WS95051 53604500.00 krmn 25/2 TERA MAKMURINDO CV</t>
  </si>
  <si>
    <t>2702/FTSCY/WS95051 406263870.00 krmn 25/2 TERA MULIA KORPORI</t>
  </si>
  <si>
    <t>2702/FTSCY/WS95271 97536450.00 mlg lunas TABASSAM AL HATTAK</t>
  </si>
  <si>
    <t>436,724,322.46</t>
  </si>
  <si>
    <t>2702/FTSCY/WS95051 49500000.00 hoirul pas 23 feb SENTRAL NIAGA UNGG</t>
  </si>
  <si>
    <t>486,224,322.46</t>
  </si>
  <si>
    <t>2702/FTSCY/WS95051 50100000.00 hoirul pas 24 feb SENTRAL NIAGA UNGG</t>
  </si>
  <si>
    <t>2702/FTSCY/WS95011 141174580.00 pemb. 23/02 SUPER UNGGAS JAYA</t>
  </si>
  <si>
    <t>2702/FTSCY/WS95011 90096850.00 mlg PITIK DIGITAL INDO</t>
  </si>
  <si>
    <t>2702/FTSCY/WS95011 110742200.00 jember PITIK DIGITAL INDO</t>
  </si>
  <si>
    <t>2702/FTSCY/WS95011 4906300.00 HALIM IBRAHIM</t>
  </si>
  <si>
    <t>2702/FTSCY/WS95011 63200000.00 Mon Feb 23 2026 15:00:00 GMT+0700 (Western Indonesia Time) BROILER MAKMUR TAN</t>
  </si>
  <si>
    <t>2702/FTSCY/WS95011 53466720.00 Mon Feb 23 2026 15:00:00 GMT+0700 (Western Indonesia Time) BROILER MAKMUR TAN</t>
  </si>
  <si>
    <t>2702/FTSCY/WS95031 1750000.00 byr remap KEVIN SANTOSO</t>
  </si>
  <si>
    <t>120,087,672.46</t>
  </si>
  <si>
    <t>2802/FTSCY/WS95031 44376500.00 Mon Feb 23 2026 15:00:00 GMT+0700 (Western Indonesia Time) SUPER UNGGAS JAYA</t>
  </si>
  <si>
    <t>2802/FTSCY/WS95031 3075860.00 NURHAYATI</t>
  </si>
  <si>
    <t>2802/FTSCY/WS95031 47780700.00 mlg PITIK DIGITAL INDO</t>
  </si>
  <si>
    <t>24,854,612.46</t>
  </si>
  <si>
    <t>2802/FTSCY/WS95031 49800000.00 lunas GATUT SETYO WIBOWO</t>
  </si>
  <si>
    <t>74,654,612.46</t>
  </si>
  <si>
    <t>2802/FTSCY/WS95271 46566300.00 Thu Feb 26 2026 15:00:00 GMT+0700 (Western Indonesia Time) GANESHA SATRIA NUS</t>
  </si>
  <si>
    <t>2802/FTSCY/WS95051 51214100.00 krmn 27/2 TERA MAKMURINDO CV</t>
  </si>
  <si>
    <t>2802/FTSCY/WS95051 235142320.00 krmn 27/2 TERA MULIA KORPORI</t>
  </si>
  <si>
    <t>2802/FTSCY/WS95271 143923290.00 pelunasan ANDALAN YASA MITRA</t>
  </si>
  <si>
    <t>2802/FTSCY/WS95271 49500000.00 Thu Feb 26 2026 15:00:00 GMT+0700 (Western Indonesia Time) ANDALAN YASA MITRA</t>
  </si>
  <si>
    <t>2802/FTSCY/WS95271 47368100.00 Thu Feb 26 2026 15:00:00 GMT+0700 (Western Indonesia Time) ANUGERAH KARTIKA A</t>
  </si>
  <si>
    <t>2802/FTSCY/WS95271 625000.00 DIDIK HARYADI</t>
  </si>
  <si>
    <t>2802/FTSCY/WS95031 50000000.00 titip 50jt GATUT SETYO WIBOWO</t>
  </si>
  <si>
    <t>2802/FTSCY/WS95051 92422320.00 ah fm hairul 14/2 PHALOSARI UNGGUL J</t>
  </si>
  <si>
    <t>2802/FTSCY/WS95011 143904000.00 WAHYU MEGA ARSITA</t>
  </si>
  <si>
    <t>2802/FTSCY/WS95051 103578100.00 SIDO RAYA UTAMA CV</t>
  </si>
  <si>
    <t>2802/FTSCY/WS95011 48807000.00 Thu Feb 26 2026 15:00:00 GMT+0700 (Western Indonesia Time) BINTANG TAMA SANTO</t>
  </si>
  <si>
    <t>414,125,762.46</t>
  </si>
  <si>
    <t>2802/FTSCY/WS95011 41624500.00 Thu Feb 26 2026 15:00:00 GMT+0700 (Western Indonesia Time) BRANTAS ABADI SENT</t>
  </si>
  <si>
    <t>372,501,262.46</t>
  </si>
  <si>
    <t>2802/FTSCY/WS95011 250370950.00 Tue Feb 24 2026 15:00:00 GMT+0700 (Western Indonesia Time) SUPER UNGGAS JAYA</t>
  </si>
  <si>
    <t>2802/FTSCY/WS95011 45008000.00 kd. husnudin maget BINTANG TAMA SANTO</t>
  </si>
  <si>
    <t>DR KOREKSI BUNGA</t>
  </si>
  <si>
    <t>13.84</t>
  </si>
  <si>
    <t>BUNGA</t>
  </si>
  <si>
    <t>1,210.56</t>
  </si>
  <si>
    <t>PAJAK BUNGA</t>
  </si>
  <si>
    <t>239.34</t>
  </si>
  <si>
    <t>77,123,269.84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</si>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</sst>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2" numFmtId="2" xfId="0" applyAlignment="1" applyFont="1" applyNumberFormat="1">
      <alignment vertical="bottom"/>
    </xf>
    <xf borderId="0" fillId="0" fontId="2" numFmtId="2" xfId="0" applyAlignment="1" applyFont="1" applyNumberFormat="1">
      <alignment readingOrder="0" vertical="bottom"/>
    </xf>
    <xf borderId="0" fillId="2" fontId="1" numFmtId="0" xfId="0" applyAlignment="1" applyFill="1" applyFont="1">
      <alignment readingOrder="0"/>
    </xf>
    <xf borderId="0" fillId="0" fontId="1" numFmtId="164" xfId="0" applyFont="1" applyNumberFormat="1"/>
    <xf borderId="0" fillId="2" fontId="1" numFmtId="164" xfId="0" applyAlignment="1" applyFill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2" fontId="1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60.75"/>
    <col customWidth="1" min="6" max="6" width="5.88"/>
  </cols>
  <sheetData>
    <row r="1">
      <c r="A1" s="1"/>
      <c r="B1" s="2"/>
      <c r="E1" s="3"/>
      <c r="G1" s="4"/>
      <c r="H1" s="2"/>
      <c r="I1" s="6"/>
    </row>
    <row r="2">
      <c r="A2" s="1">
        <v>46054.0</v>
      </c>
      <c r="B2" s="2" t="s">
        <v>0</v>
      </c>
      <c r="C2" s="2" t="s">
        <v>0</v>
      </c>
      <c r="E2" s="3">
        <f>SUM(E3:E682) </f>
        <v>16211810577</v>
      </c>
      <c r="G2" s="4">
        <v>7.486397546E7</v>
      </c>
      <c r="H2" s="2" t="s">
        <v>1</v>
      </c>
      <c r="I2" s="6"/>
    </row>
    <row r="3">
      <c r="A3" s="1">
        <v>46054.0</v>
      </c>
      <c r="B3" s="2" t="s">
        <v>2</v>
      </c>
      <c r="C3" s="2" t="s">
        <v>3</v>
      </c>
      <c r="D3" s="4"/>
      <c r="E3" s="4">
        <v>5.4998E7</v>
      </c>
      <c r="F3" s="2" t="s">
        <v>4</v>
      </c>
      <c r="G3" s="3">
        <f>G2-D3+E3</f>
        <v>129861975.5</v>
      </c>
      <c r="H3" s="2" t="s">
        <v>5</v>
      </c>
      <c r="I3" s="6" t="s">
        <v>6</v>
      </c>
    </row>
    <row r="4">
      <c r="A4" s="1">
        <v>46054.0</v>
      </c>
      <c r="B4" s="2" t="s">
        <v>7</v>
      </c>
      <c r="C4" s="2" t="s">
        <v>8</v>
      </c>
      <c r="D4" s="4">
        <v>2043200.0</v>
      </c>
      <c r="E4" s="3"/>
      <c r="F4" s="2" t="s">
        <v>9</v>
      </c>
      <c r="G4" s="3">
        <f t="array" ref="G4:G682">SCAN(G3, MAP(D4:D682, E4:E682, LAMBDA(d, c, IF(AND(d="", c=""), "", N(c) - N(d)))), LAMBDA(saldo, mutasi, IF(mutasi="", "", saldo + mutasi)))</f>
        <v>127818775.5</v>
      </c>
      <c r="I4" s="7" t="s">
        <v>10</v>
      </c>
    </row>
    <row r="5">
      <c r="A5" s="1">
        <v>46054.0</v>
      </c>
      <c r="B5" s="2" t="s">
        <v>7</v>
      </c>
      <c r="C5" s="2" t="s">
        <v>11</v>
      </c>
      <c r="D5" s="4">
        <v>600000.0</v>
      </c>
      <c r="E5" s="3"/>
      <c r="F5" s="2" t="s">
        <v>9</v>
      </c>
      <c r="G5" s="3">
        <v>1.2721877546E8</v>
      </c>
      <c r="I5" s="7" t="s">
        <v>10</v>
      </c>
    </row>
    <row r="6">
      <c r="A6" s="1">
        <v>46054.0</v>
      </c>
      <c r="B6" s="2" t="s">
        <v>7</v>
      </c>
      <c r="C6" s="2" t="s">
        <v>12</v>
      </c>
      <c r="D6" s="4">
        <v>4621000.0</v>
      </c>
      <c r="E6" s="3"/>
      <c r="F6" s="2" t="s">
        <v>9</v>
      </c>
      <c r="G6" s="3">
        <v>1.2259777546E8</v>
      </c>
      <c r="I6" s="6" t="s">
        <v>13</v>
      </c>
    </row>
    <row r="7">
      <c r="A7" s="1">
        <v>46054.0</v>
      </c>
      <c r="B7" s="2" t="s">
        <v>7</v>
      </c>
      <c r="C7" s="2" t="s">
        <v>14</v>
      </c>
      <c r="D7" s="4">
        <v>1.11245E7</v>
      </c>
      <c r="E7" s="3"/>
      <c r="F7" s="2" t="s">
        <v>9</v>
      </c>
      <c r="G7" s="3">
        <v>1.1147327546E8</v>
      </c>
      <c r="I7" s="7" t="s">
        <v>10</v>
      </c>
    </row>
    <row r="8">
      <c r="A8" s="1">
        <v>46054.0</v>
      </c>
      <c r="B8" s="2" t="s">
        <v>7</v>
      </c>
      <c r="C8" s="2" t="s">
        <v>15</v>
      </c>
      <c r="D8" s="4">
        <v>8.71185E7</v>
      </c>
      <c r="E8" s="3"/>
      <c r="F8" s="2" t="s">
        <v>9</v>
      </c>
      <c r="G8" s="3">
        <v>2.4354775459999993E7</v>
      </c>
      <c r="I8" s="6" t="s">
        <v>16</v>
      </c>
    </row>
    <row r="9">
      <c r="A9" s="1">
        <v>46054.0</v>
      </c>
      <c r="B9" s="2" t="s">
        <v>17</v>
      </c>
      <c r="C9" s="2" t="s">
        <v>18</v>
      </c>
      <c r="D9" s="4"/>
      <c r="E9" s="4">
        <v>1.0055464E8</v>
      </c>
      <c r="F9" s="2" t="s">
        <v>4</v>
      </c>
      <c r="G9" s="3">
        <v>1.2490941546E8</v>
      </c>
      <c r="I9" s="6" t="s">
        <v>16</v>
      </c>
    </row>
    <row r="10">
      <c r="A10" s="1">
        <v>46054.0</v>
      </c>
      <c r="B10" s="2" t="s">
        <v>17</v>
      </c>
      <c r="C10" s="2" t="s">
        <v>19</v>
      </c>
      <c r="D10" s="4"/>
      <c r="E10" s="4">
        <v>2.08813487E8</v>
      </c>
      <c r="F10" s="2" t="s">
        <v>4</v>
      </c>
      <c r="G10" s="3">
        <v>3.3372290246E8</v>
      </c>
      <c r="I10" s="6" t="s">
        <v>16</v>
      </c>
    </row>
    <row r="11">
      <c r="A11" s="1">
        <v>46054.0</v>
      </c>
      <c r="B11" s="2" t="s">
        <v>17</v>
      </c>
      <c r="C11" s="2" t="s">
        <v>20</v>
      </c>
      <c r="D11" s="4"/>
      <c r="E11" s="4">
        <v>4.38E7</v>
      </c>
      <c r="F11" s="2" t="s">
        <v>4</v>
      </c>
      <c r="G11" s="3">
        <v>3.7752290246E8</v>
      </c>
      <c r="I11" s="6" t="s">
        <v>16</v>
      </c>
    </row>
    <row r="12">
      <c r="A12" s="1">
        <v>46054.0</v>
      </c>
      <c r="B12" s="2" t="s">
        <v>17</v>
      </c>
      <c r="C12" s="2" t="s">
        <v>21</v>
      </c>
      <c r="D12" s="4"/>
      <c r="E12" s="4">
        <v>5.041234E7</v>
      </c>
      <c r="F12" s="2" t="s">
        <v>4</v>
      </c>
      <c r="G12" s="3">
        <v>4.2793524246E8</v>
      </c>
      <c r="I12" s="7" t="s">
        <v>6</v>
      </c>
    </row>
    <row r="13">
      <c r="A13" s="1">
        <v>46054.0</v>
      </c>
      <c r="B13" s="2" t="s">
        <v>22</v>
      </c>
      <c r="C13" s="2" t="s">
        <v>23</v>
      </c>
      <c r="D13" s="4">
        <v>1.2588674E8</v>
      </c>
      <c r="E13" s="3"/>
      <c r="F13" s="2" t="s">
        <v>9</v>
      </c>
      <c r="G13" s="3">
        <v>3.0204850246E8</v>
      </c>
      <c r="I13" s="6" t="s">
        <v>16</v>
      </c>
    </row>
    <row r="14">
      <c r="A14" s="1">
        <v>46054.0</v>
      </c>
      <c r="B14" s="2" t="s">
        <v>22</v>
      </c>
      <c r="C14" s="2" t="s">
        <v>24</v>
      </c>
      <c r="D14" s="4">
        <v>4.991322E7</v>
      </c>
      <c r="E14" s="3"/>
      <c r="F14" s="2" t="s">
        <v>9</v>
      </c>
      <c r="G14" s="3">
        <v>2.5213528245999998E8</v>
      </c>
      <c r="I14" s="6" t="s">
        <v>16</v>
      </c>
    </row>
    <row r="15">
      <c r="A15" s="1">
        <v>46054.0</v>
      </c>
      <c r="B15" s="2" t="s">
        <v>22</v>
      </c>
      <c r="C15" s="2" t="s">
        <v>25</v>
      </c>
      <c r="D15" s="4">
        <v>5.230875E7</v>
      </c>
      <c r="E15" s="3"/>
      <c r="F15" s="2" t="s">
        <v>9</v>
      </c>
      <c r="G15" s="3">
        <v>1.9982653245999998E8</v>
      </c>
      <c r="H15" s="2" t="s">
        <v>26</v>
      </c>
      <c r="I15" s="6" t="s">
        <v>16</v>
      </c>
    </row>
    <row r="16">
      <c r="A16" s="1">
        <v>46054.0</v>
      </c>
      <c r="B16" s="2" t="s">
        <v>27</v>
      </c>
      <c r="C16" s="2" t="s">
        <v>27</v>
      </c>
      <c r="D16" s="2">
        <v>500000.0</v>
      </c>
      <c r="E16" s="3"/>
      <c r="G16" s="3">
        <v>1.9932653245999998E8</v>
      </c>
      <c r="H16" s="2" t="s">
        <v>28</v>
      </c>
      <c r="I16" s="7" t="s">
        <v>6</v>
      </c>
    </row>
    <row r="17">
      <c r="A17" s="1">
        <v>46054.0</v>
      </c>
      <c r="B17" s="2" t="s">
        <v>17</v>
      </c>
      <c r="C17" s="2" t="s">
        <v>29</v>
      </c>
      <c r="D17" s="4"/>
      <c r="E17" s="4">
        <v>5.89E7</v>
      </c>
      <c r="F17" s="2" t="s">
        <v>4</v>
      </c>
      <c r="G17" s="3">
        <v>2.5822653245999998E8</v>
      </c>
      <c r="H17" s="2"/>
      <c r="I17" s="6" t="s">
        <v>16</v>
      </c>
    </row>
    <row r="18">
      <c r="A18" s="1">
        <v>46054.0</v>
      </c>
      <c r="B18" s="2" t="s">
        <v>17</v>
      </c>
      <c r="C18" s="2" t="s">
        <v>30</v>
      </c>
      <c r="D18" s="4"/>
      <c r="E18" s="4">
        <v>500000.0</v>
      </c>
      <c r="F18" s="2" t="s">
        <v>4</v>
      </c>
      <c r="G18" s="3">
        <v>2.5872653245999998E8</v>
      </c>
      <c r="I18" s="6" t="s">
        <v>16</v>
      </c>
    </row>
    <row r="19">
      <c r="A19" s="1">
        <v>46054.0</v>
      </c>
      <c r="B19" s="2" t="s">
        <v>17</v>
      </c>
      <c r="C19" s="2" t="s">
        <v>31</v>
      </c>
      <c r="D19" s="4"/>
      <c r="E19" s="4">
        <v>8.777028E7</v>
      </c>
      <c r="F19" s="2" t="s">
        <v>4</v>
      </c>
      <c r="G19" s="3">
        <v>3.4649681246E8</v>
      </c>
      <c r="I19" s="6" t="s">
        <v>16</v>
      </c>
    </row>
    <row r="20">
      <c r="A20" s="1">
        <v>46054.0</v>
      </c>
      <c r="B20" s="2" t="s">
        <v>17</v>
      </c>
      <c r="C20" s="2" t="s">
        <v>32</v>
      </c>
      <c r="D20" s="4"/>
      <c r="E20" s="4">
        <v>2.144267E8</v>
      </c>
      <c r="F20" s="2" t="s">
        <v>4</v>
      </c>
      <c r="G20" s="3">
        <v>5.6092351246E8</v>
      </c>
      <c r="I20" s="6"/>
    </row>
    <row r="21">
      <c r="A21" s="1">
        <v>46054.0</v>
      </c>
      <c r="B21" s="2" t="s">
        <v>22</v>
      </c>
      <c r="C21" s="2" t="s">
        <v>33</v>
      </c>
      <c r="D21" s="4">
        <v>1.81749E8</v>
      </c>
      <c r="E21" s="3"/>
      <c r="F21" s="2" t="s">
        <v>9</v>
      </c>
      <c r="G21" s="3">
        <v>3.7917451246000004E8</v>
      </c>
      <c r="I21" s="7" t="s">
        <v>16</v>
      </c>
    </row>
    <row r="22">
      <c r="A22" s="1">
        <v>46054.0</v>
      </c>
      <c r="B22" s="2" t="s">
        <v>22</v>
      </c>
      <c r="C22" s="2" t="s">
        <v>34</v>
      </c>
      <c r="D22" s="4">
        <v>8.91996E7</v>
      </c>
      <c r="E22" s="3"/>
      <c r="F22" s="2" t="s">
        <v>9</v>
      </c>
      <c r="G22" s="3">
        <v>2.8997491246000004E8</v>
      </c>
      <c r="I22" s="6" t="s">
        <v>16</v>
      </c>
    </row>
    <row r="23">
      <c r="A23" s="1">
        <v>46054.0</v>
      </c>
      <c r="B23" s="2" t="s">
        <v>22</v>
      </c>
      <c r="C23" s="2" t="s">
        <v>35</v>
      </c>
      <c r="D23" s="4">
        <v>4.418275E7</v>
      </c>
      <c r="E23" s="3"/>
      <c r="F23" s="2" t="s">
        <v>9</v>
      </c>
      <c r="G23" s="3">
        <v>2.4579216246000004E8</v>
      </c>
      <c r="I23" s="7" t="s">
        <v>16</v>
      </c>
    </row>
    <row r="24">
      <c r="A24" s="1">
        <v>46054.0</v>
      </c>
      <c r="B24" s="2" t="s">
        <v>22</v>
      </c>
      <c r="C24" s="2" t="s">
        <v>36</v>
      </c>
      <c r="D24" s="4">
        <v>5.89E7</v>
      </c>
      <c r="E24" s="3"/>
      <c r="F24" s="2" t="s">
        <v>9</v>
      </c>
      <c r="G24" s="3">
        <v>1.8689216246000004E8</v>
      </c>
      <c r="I24" s="7" t="s">
        <v>16</v>
      </c>
    </row>
    <row r="25">
      <c r="A25" s="1">
        <v>46054.0</v>
      </c>
      <c r="B25" s="2" t="s">
        <v>22</v>
      </c>
      <c r="C25" s="2" t="s">
        <v>37</v>
      </c>
      <c r="D25" s="4">
        <v>8.978375E7</v>
      </c>
      <c r="E25" s="3"/>
      <c r="F25" s="2" t="s">
        <v>9</v>
      </c>
      <c r="G25" s="3">
        <v>9.710841246000004E7</v>
      </c>
      <c r="H25" s="2" t="s">
        <v>38</v>
      </c>
      <c r="I25" s="6" t="s">
        <v>16</v>
      </c>
    </row>
    <row r="26">
      <c r="A26" s="1">
        <v>46055.0</v>
      </c>
      <c r="B26" s="2" t="s">
        <v>17</v>
      </c>
      <c r="C26" s="2" t="s">
        <v>39</v>
      </c>
      <c r="D26" s="4"/>
      <c r="E26" s="4">
        <v>1.507536E7</v>
      </c>
      <c r="F26" s="2" t="s">
        <v>4</v>
      </c>
      <c r="G26" s="3">
        <v>1.1218377246000004E8</v>
      </c>
      <c r="H26" s="2"/>
      <c r="I26" s="6" t="s">
        <v>16</v>
      </c>
    </row>
    <row r="27">
      <c r="A27" s="1">
        <v>46055.0</v>
      </c>
      <c r="B27" s="2" t="s">
        <v>22</v>
      </c>
      <c r="C27" s="2" t="s">
        <v>40</v>
      </c>
      <c r="D27" s="4">
        <v>1594000.0</v>
      </c>
      <c r="E27" s="3"/>
      <c r="F27" s="2" t="s">
        <v>9</v>
      </c>
      <c r="G27" s="3">
        <v>1.1058977246000004E8</v>
      </c>
      <c r="I27" s="7" t="s">
        <v>10</v>
      </c>
    </row>
    <row r="28">
      <c r="A28" s="1">
        <v>46055.0</v>
      </c>
      <c r="B28" s="2" t="s">
        <v>41</v>
      </c>
      <c r="C28" s="2" t="s">
        <v>42</v>
      </c>
      <c r="D28" s="4">
        <v>102000.0</v>
      </c>
      <c r="E28" s="3"/>
      <c r="G28" s="3">
        <v>1.1048777246000004E8</v>
      </c>
      <c r="I28" s="7" t="s">
        <v>6</v>
      </c>
    </row>
    <row r="29">
      <c r="A29" s="1">
        <v>46055.0</v>
      </c>
      <c r="B29" s="2" t="s">
        <v>22</v>
      </c>
      <c r="C29" s="2" t="s">
        <v>43</v>
      </c>
      <c r="D29" s="4">
        <v>1.00967E7</v>
      </c>
      <c r="E29" s="3"/>
      <c r="F29" s="2" t="s">
        <v>9</v>
      </c>
      <c r="G29" s="3">
        <v>1.0039107246000004E8</v>
      </c>
      <c r="H29" s="2" t="s">
        <v>44</v>
      </c>
      <c r="I29" s="6" t="s">
        <v>16</v>
      </c>
    </row>
    <row r="30">
      <c r="A30" s="1">
        <v>46055.0</v>
      </c>
      <c r="B30" s="2" t="s">
        <v>22</v>
      </c>
      <c r="C30" s="2" t="s">
        <v>45</v>
      </c>
      <c r="D30" s="4">
        <v>9.08703E7</v>
      </c>
      <c r="E30" s="3"/>
      <c r="F30" s="2" t="s">
        <v>9</v>
      </c>
      <c r="G30" s="3">
        <v>9520772.460000038</v>
      </c>
      <c r="H30" s="2" t="s">
        <v>46</v>
      </c>
      <c r="I30" s="7" t="s">
        <v>16</v>
      </c>
    </row>
    <row r="31">
      <c r="A31" s="1">
        <v>46055.0</v>
      </c>
      <c r="B31" s="2" t="s">
        <v>22</v>
      </c>
      <c r="C31" s="2" t="s">
        <v>47</v>
      </c>
      <c r="D31" s="4">
        <v>9329700.0</v>
      </c>
      <c r="E31" s="3"/>
      <c r="F31" s="2" t="s">
        <v>9</v>
      </c>
      <c r="G31" s="3">
        <v>191072.46000003815</v>
      </c>
      <c r="H31" s="2"/>
      <c r="I31" s="7" t="s">
        <v>10</v>
      </c>
    </row>
    <row r="32">
      <c r="A32" s="1">
        <v>46055.0</v>
      </c>
      <c r="B32" s="2" t="s">
        <v>17</v>
      </c>
      <c r="C32" s="2" t="s">
        <v>48</v>
      </c>
      <c r="D32" s="2"/>
      <c r="E32" s="4">
        <v>4.864374E7</v>
      </c>
      <c r="F32" s="2" t="s">
        <v>4</v>
      </c>
      <c r="G32" s="3">
        <v>4.883481246000004E7</v>
      </c>
      <c r="I32" s="6" t="s">
        <v>6</v>
      </c>
    </row>
    <row r="33">
      <c r="A33" s="1">
        <v>46055.0</v>
      </c>
      <c r="B33" s="2" t="s">
        <v>22</v>
      </c>
      <c r="C33" s="2" t="s">
        <v>49</v>
      </c>
      <c r="D33" s="4">
        <v>50000.0</v>
      </c>
      <c r="E33" s="3"/>
      <c r="F33" s="2" t="s">
        <v>9</v>
      </c>
      <c r="G33" s="3">
        <v>4.878481246000004E7</v>
      </c>
      <c r="H33" s="2"/>
      <c r="I33" s="6" t="s">
        <v>6</v>
      </c>
    </row>
    <row r="34">
      <c r="A34" s="1">
        <v>46055.0</v>
      </c>
      <c r="B34" s="2" t="s">
        <v>17</v>
      </c>
      <c r="C34" s="2" t="s">
        <v>50</v>
      </c>
      <c r="D34" s="4"/>
      <c r="E34" s="4">
        <v>1.92151775E8</v>
      </c>
      <c r="F34" s="2" t="s">
        <v>4</v>
      </c>
      <c r="G34" s="3">
        <v>2.4093658746000004E8</v>
      </c>
      <c r="I34" s="6" t="s">
        <v>16</v>
      </c>
    </row>
    <row r="35">
      <c r="A35" s="1">
        <v>46055.0</v>
      </c>
      <c r="B35" s="2" t="s">
        <v>22</v>
      </c>
      <c r="C35" s="2" t="s">
        <v>51</v>
      </c>
      <c r="D35" s="4">
        <v>1.4877E7</v>
      </c>
      <c r="E35" s="3"/>
      <c r="F35" s="2" t="s">
        <v>9</v>
      </c>
      <c r="G35" s="3">
        <v>2.2605958746000004E8</v>
      </c>
      <c r="I35" s="6" t="s">
        <v>16</v>
      </c>
    </row>
    <row r="36">
      <c r="A36" s="1">
        <v>46055.0</v>
      </c>
      <c r="B36" s="2" t="s">
        <v>52</v>
      </c>
      <c r="C36" s="2" t="s">
        <v>53</v>
      </c>
      <c r="D36" s="4">
        <v>1700000.0</v>
      </c>
      <c r="E36" s="3"/>
      <c r="F36" s="2" t="s">
        <v>9</v>
      </c>
      <c r="G36" s="3">
        <v>2.2435958746000004E8</v>
      </c>
      <c r="I36" s="6" t="s">
        <v>6</v>
      </c>
    </row>
    <row r="37">
      <c r="A37" s="1">
        <v>46055.0</v>
      </c>
      <c r="B37" s="2" t="s">
        <v>52</v>
      </c>
      <c r="C37" s="2" t="s">
        <v>54</v>
      </c>
      <c r="D37" s="4">
        <v>2500.0</v>
      </c>
      <c r="E37" s="3"/>
      <c r="F37" s="2" t="s">
        <v>9</v>
      </c>
      <c r="G37" s="3">
        <v>2.2435708746000004E8</v>
      </c>
      <c r="I37" s="7" t="s">
        <v>13</v>
      </c>
    </row>
    <row r="38">
      <c r="A38" s="1">
        <v>46055.0</v>
      </c>
      <c r="B38" s="2" t="s">
        <v>22</v>
      </c>
      <c r="C38" s="2" t="s">
        <v>55</v>
      </c>
      <c r="D38" s="4">
        <v>4.7496E7</v>
      </c>
      <c r="E38" s="3"/>
      <c r="F38" s="2" t="s">
        <v>9</v>
      </c>
      <c r="G38" s="3">
        <v>1.7686108746000004E8</v>
      </c>
      <c r="I38" s="7" t="s">
        <v>16</v>
      </c>
    </row>
    <row r="39">
      <c r="A39" s="1">
        <v>46055.0</v>
      </c>
      <c r="B39" s="2" t="s">
        <v>22</v>
      </c>
      <c r="C39" s="2" t="s">
        <v>56</v>
      </c>
      <c r="D39" s="4">
        <v>4.380765E7</v>
      </c>
      <c r="E39" s="3"/>
      <c r="F39" s="2" t="s">
        <v>9</v>
      </c>
      <c r="G39" s="3">
        <v>1.3305343746000004E8</v>
      </c>
      <c r="I39" s="7" t="s">
        <v>16</v>
      </c>
    </row>
    <row r="40">
      <c r="A40" s="1">
        <v>46055.0</v>
      </c>
      <c r="B40" s="2" t="s">
        <v>22</v>
      </c>
      <c r="C40" s="2" t="s">
        <v>57</v>
      </c>
      <c r="D40" s="4">
        <v>4.07805E7</v>
      </c>
      <c r="E40" s="3"/>
      <c r="F40" s="2" t="s">
        <v>9</v>
      </c>
      <c r="G40" s="3">
        <v>9.227293746000004E7</v>
      </c>
      <c r="I40" s="6" t="s">
        <v>16</v>
      </c>
    </row>
    <row r="41">
      <c r="A41" s="1">
        <v>46055.0</v>
      </c>
      <c r="B41" s="2" t="s">
        <v>58</v>
      </c>
      <c r="C41" s="2" t="s">
        <v>58</v>
      </c>
      <c r="D41" s="4">
        <v>200000.0</v>
      </c>
      <c r="E41" s="3"/>
      <c r="G41" s="3">
        <v>9.207293746000004E7</v>
      </c>
      <c r="I41" s="7" t="s">
        <v>6</v>
      </c>
    </row>
    <row r="42">
      <c r="A42" s="1">
        <v>46055.0</v>
      </c>
      <c r="B42" s="2" t="s">
        <v>17</v>
      </c>
      <c r="C42" s="2" t="s">
        <v>59</v>
      </c>
      <c r="D42" s="4"/>
      <c r="E42" s="4">
        <v>2.7767586E8</v>
      </c>
      <c r="F42" s="2" t="s">
        <v>4</v>
      </c>
      <c r="G42" s="3">
        <v>3.6974879746000004E8</v>
      </c>
      <c r="H42" s="2" t="s">
        <v>60</v>
      </c>
      <c r="I42" s="6"/>
    </row>
    <row r="43">
      <c r="A43" s="1">
        <v>46055.0</v>
      </c>
      <c r="B43" s="2" t="s">
        <v>17</v>
      </c>
      <c r="C43" s="2" t="s">
        <v>61</v>
      </c>
      <c r="D43" s="4"/>
      <c r="E43" s="4">
        <v>500000.0</v>
      </c>
      <c r="F43" s="2" t="s">
        <v>4</v>
      </c>
      <c r="G43" s="3">
        <v>3.7024879746000004E8</v>
      </c>
      <c r="I43" s="6" t="s">
        <v>16</v>
      </c>
    </row>
    <row r="44">
      <c r="A44" s="1">
        <v>46056.0</v>
      </c>
      <c r="B44" s="2" t="s">
        <v>62</v>
      </c>
      <c r="C44" s="2" t="s">
        <v>63</v>
      </c>
      <c r="D44" s="4">
        <v>1.765037E8</v>
      </c>
      <c r="E44" s="3"/>
      <c r="F44" s="2" t="s">
        <v>9</v>
      </c>
      <c r="G44" s="3">
        <v>1.9374509746000004E8</v>
      </c>
      <c r="I44" s="6" t="s">
        <v>16</v>
      </c>
    </row>
    <row r="45">
      <c r="A45" s="1">
        <v>46056.0</v>
      </c>
      <c r="B45" s="2" t="s">
        <v>62</v>
      </c>
      <c r="C45" s="2" t="s">
        <v>64</v>
      </c>
      <c r="D45" s="4">
        <v>9.68752E7</v>
      </c>
      <c r="E45" s="3"/>
      <c r="F45" s="2" t="s">
        <v>9</v>
      </c>
      <c r="G45" s="3">
        <v>9.686989746000004E7</v>
      </c>
      <c r="I45" s="6" t="s">
        <v>16</v>
      </c>
    </row>
    <row r="46">
      <c r="A46" s="1">
        <v>46056.0</v>
      </c>
      <c r="B46" s="2" t="s">
        <v>62</v>
      </c>
      <c r="C46" s="2" t="s">
        <v>65</v>
      </c>
      <c r="D46" s="4">
        <v>9.122828E7</v>
      </c>
      <c r="E46" s="3"/>
      <c r="F46" s="2" t="s">
        <v>9</v>
      </c>
      <c r="G46" s="3">
        <v>5641617.460000038</v>
      </c>
      <c r="H46" s="2"/>
      <c r="I46" s="6" t="s">
        <v>16</v>
      </c>
    </row>
    <row r="47">
      <c r="A47" s="1">
        <v>46056.0</v>
      </c>
      <c r="B47" s="2" t="s">
        <v>62</v>
      </c>
      <c r="C47" s="2" t="s">
        <v>66</v>
      </c>
      <c r="D47" s="2">
        <v>2289220.0</v>
      </c>
      <c r="E47" s="3"/>
      <c r="F47" s="2" t="s">
        <v>9</v>
      </c>
      <c r="G47" s="3">
        <v>3352397.460000038</v>
      </c>
      <c r="I47" s="7" t="s">
        <v>67</v>
      </c>
    </row>
    <row r="48">
      <c r="A48" s="1">
        <v>46056.0</v>
      </c>
      <c r="B48" s="2" t="s">
        <v>62</v>
      </c>
      <c r="C48" s="2" t="s">
        <v>68</v>
      </c>
      <c r="D48" s="4">
        <v>1825900.0</v>
      </c>
      <c r="E48" s="3"/>
      <c r="F48" s="2" t="s">
        <v>9</v>
      </c>
      <c r="G48" s="3">
        <v>1526497.4600000381</v>
      </c>
      <c r="H48" s="2"/>
      <c r="I48" s="7" t="s">
        <v>67</v>
      </c>
    </row>
    <row r="49">
      <c r="A49" s="1">
        <v>46056.0</v>
      </c>
      <c r="B49" s="2" t="s">
        <v>62</v>
      </c>
      <c r="C49" s="2" t="s">
        <v>69</v>
      </c>
      <c r="D49" s="4">
        <v>500000.0</v>
      </c>
      <c r="E49" s="3"/>
      <c r="F49" s="2" t="s">
        <v>9</v>
      </c>
      <c r="G49" s="3">
        <v>1026497.4600000381</v>
      </c>
      <c r="I49" s="7" t="s">
        <v>6</v>
      </c>
    </row>
    <row r="50">
      <c r="A50" s="1">
        <v>46056.0</v>
      </c>
      <c r="B50" s="2" t="s">
        <v>70</v>
      </c>
      <c r="C50" s="2" t="s">
        <v>71</v>
      </c>
      <c r="D50" s="4"/>
      <c r="E50" s="4">
        <v>1.9201932E8</v>
      </c>
      <c r="F50" s="2" t="s">
        <v>4</v>
      </c>
      <c r="G50" s="3">
        <v>1.9304581746000004E8</v>
      </c>
      <c r="I50" s="6"/>
    </row>
    <row r="51">
      <c r="A51" s="1">
        <v>46056.0</v>
      </c>
      <c r="B51" s="2" t="s">
        <v>62</v>
      </c>
      <c r="C51" s="2" t="s">
        <v>72</v>
      </c>
      <c r="D51" s="4">
        <v>4.364325E7</v>
      </c>
      <c r="E51" s="3"/>
      <c r="F51" s="2" t="s">
        <v>9</v>
      </c>
      <c r="G51" s="3">
        <v>1.4940256746000004E8</v>
      </c>
      <c r="I51" s="6" t="s">
        <v>16</v>
      </c>
    </row>
    <row r="52">
      <c r="A52" s="1">
        <v>46056.0</v>
      </c>
      <c r="B52" s="2" t="s">
        <v>62</v>
      </c>
      <c r="C52" s="2" t="s">
        <v>73</v>
      </c>
      <c r="D52" s="4">
        <v>4.65E7</v>
      </c>
      <c r="E52" s="3"/>
      <c r="F52" s="2" t="s">
        <v>9</v>
      </c>
      <c r="G52" s="3">
        <v>1.0290256746000004E8</v>
      </c>
      <c r="I52" s="6" t="s">
        <v>16</v>
      </c>
    </row>
    <row r="53">
      <c r="A53" s="1">
        <v>46056.0</v>
      </c>
      <c r="B53" s="2" t="s">
        <v>62</v>
      </c>
      <c r="C53" s="2" t="s">
        <v>74</v>
      </c>
      <c r="D53" s="4">
        <v>9.38224E7</v>
      </c>
      <c r="E53" s="3"/>
      <c r="F53" s="2" t="s">
        <v>9</v>
      </c>
      <c r="G53" s="3">
        <v>9080167.460000038</v>
      </c>
      <c r="I53" s="6" t="s">
        <v>16</v>
      </c>
    </row>
    <row r="54">
      <c r="A54" s="1">
        <v>46056.0</v>
      </c>
      <c r="B54" s="2" t="s">
        <v>62</v>
      </c>
      <c r="C54" s="2" t="s">
        <v>75</v>
      </c>
      <c r="D54" s="4">
        <v>3065480.0</v>
      </c>
      <c r="E54" s="3"/>
      <c r="F54" s="2" t="s">
        <v>9</v>
      </c>
      <c r="G54" s="3">
        <v>6014687.460000038</v>
      </c>
      <c r="I54" s="7" t="s">
        <v>10</v>
      </c>
    </row>
    <row r="55">
      <c r="A55" s="1">
        <v>46056.0</v>
      </c>
      <c r="B55" s="2" t="s">
        <v>62</v>
      </c>
      <c r="C55" s="8" t="s">
        <v>75</v>
      </c>
      <c r="D55" s="4">
        <v>424620.0</v>
      </c>
      <c r="E55" s="3"/>
      <c r="F55" s="2" t="s">
        <v>9</v>
      </c>
      <c r="G55" s="3">
        <v>5590067.460000038</v>
      </c>
      <c r="I55" s="7" t="s">
        <v>10</v>
      </c>
    </row>
    <row r="56">
      <c r="A56" s="1">
        <v>46056.0</v>
      </c>
      <c r="B56" s="2" t="s">
        <v>62</v>
      </c>
      <c r="C56" s="2" t="s">
        <v>76</v>
      </c>
      <c r="D56" s="4">
        <v>1973120.0</v>
      </c>
      <c r="E56" s="3"/>
      <c r="F56" s="2" t="s">
        <v>9</v>
      </c>
      <c r="G56" s="3">
        <v>3616947.460000038</v>
      </c>
      <c r="H56" s="2" t="s">
        <v>77</v>
      </c>
      <c r="I56" s="7" t="s">
        <v>10</v>
      </c>
    </row>
    <row r="57">
      <c r="A57" s="1">
        <v>46056.0</v>
      </c>
      <c r="B57" s="2" t="s">
        <v>22</v>
      </c>
      <c r="C57" s="2" t="s">
        <v>78</v>
      </c>
      <c r="D57" s="4">
        <v>150000.0</v>
      </c>
      <c r="E57" s="3"/>
      <c r="F57" s="2" t="s">
        <v>9</v>
      </c>
      <c r="G57" s="3">
        <v>3466947.460000038</v>
      </c>
      <c r="H57" s="2" t="s">
        <v>79</v>
      </c>
      <c r="I57" s="7" t="s">
        <v>80</v>
      </c>
    </row>
    <row r="58">
      <c r="A58" s="1">
        <v>46056.0</v>
      </c>
      <c r="B58" s="2" t="s">
        <v>17</v>
      </c>
      <c r="C58" s="2" t="s">
        <v>81</v>
      </c>
      <c r="D58" s="4"/>
      <c r="E58" s="4">
        <v>2.2718821E8</v>
      </c>
      <c r="F58" s="2" t="s">
        <v>4</v>
      </c>
      <c r="G58" s="3">
        <v>2.3065515746000004E8</v>
      </c>
      <c r="I58" s="6" t="s">
        <v>16</v>
      </c>
    </row>
    <row r="59">
      <c r="A59" s="1">
        <v>46056.0</v>
      </c>
      <c r="B59" s="2" t="s">
        <v>17</v>
      </c>
      <c r="C59" s="2" t="s">
        <v>82</v>
      </c>
      <c r="D59" s="4"/>
      <c r="E59" s="4">
        <v>1.0E8</v>
      </c>
      <c r="F59" s="2" t="s">
        <v>4</v>
      </c>
      <c r="G59" s="3">
        <v>3.3065515746000004E8</v>
      </c>
      <c r="I59" s="6"/>
    </row>
    <row r="60">
      <c r="A60" s="1">
        <v>46056.0</v>
      </c>
      <c r="B60" s="2" t="s">
        <v>17</v>
      </c>
      <c r="C60" s="2" t="s">
        <v>83</v>
      </c>
      <c r="D60" s="4"/>
      <c r="E60" s="4">
        <v>1.3991919E8</v>
      </c>
      <c r="F60" s="2" t="s">
        <v>4</v>
      </c>
      <c r="G60" s="3">
        <v>4.7057434746000004E8</v>
      </c>
      <c r="I60" s="6" t="s">
        <v>16</v>
      </c>
    </row>
    <row r="61">
      <c r="A61" s="1">
        <v>46056.0</v>
      </c>
      <c r="B61" s="2" t="s">
        <v>17</v>
      </c>
      <c r="C61" s="2" t="s">
        <v>84</v>
      </c>
      <c r="D61" s="4"/>
      <c r="E61" s="4">
        <v>200000.0</v>
      </c>
      <c r="F61" s="2" t="s">
        <v>4</v>
      </c>
      <c r="G61" s="3">
        <v>4.7077434746000004E8</v>
      </c>
      <c r="I61" s="6" t="s">
        <v>16</v>
      </c>
    </row>
    <row r="62">
      <c r="A62" s="1">
        <v>46056.0</v>
      </c>
      <c r="B62" s="2" t="s">
        <v>17</v>
      </c>
      <c r="C62" s="2" t="s">
        <v>85</v>
      </c>
      <c r="D62" s="4"/>
      <c r="E62" s="4">
        <v>4.68E7</v>
      </c>
      <c r="F62" s="2" t="s">
        <v>4</v>
      </c>
      <c r="G62" s="3">
        <v>5.1757434746000004E8</v>
      </c>
      <c r="H62" s="2"/>
      <c r="I62" s="6"/>
    </row>
    <row r="63">
      <c r="A63" s="1">
        <v>46056.0</v>
      </c>
      <c r="B63" s="2" t="s">
        <v>17</v>
      </c>
      <c r="C63" s="8" t="s">
        <v>85</v>
      </c>
      <c r="D63" s="2"/>
      <c r="E63" s="4">
        <v>4.68E7</v>
      </c>
      <c r="F63" s="2" t="s">
        <v>4</v>
      </c>
      <c r="G63" s="3">
        <v>5.6437434746E8</v>
      </c>
      <c r="I63" s="6"/>
    </row>
    <row r="64">
      <c r="A64" s="1">
        <v>46056.0</v>
      </c>
      <c r="B64" s="2" t="s">
        <v>17</v>
      </c>
      <c r="C64" s="2" t="s">
        <v>86</v>
      </c>
      <c r="D64" s="4"/>
      <c r="E64" s="4">
        <v>4.68E7</v>
      </c>
      <c r="F64" s="2" t="s">
        <v>4</v>
      </c>
      <c r="G64" s="3">
        <v>6.1117434746E8</v>
      </c>
      <c r="H64" s="2"/>
      <c r="I64" s="6"/>
    </row>
    <row r="65">
      <c r="A65" s="1">
        <v>46056.0</v>
      </c>
      <c r="B65" s="2" t="s">
        <v>17</v>
      </c>
      <c r="C65" s="8" t="s">
        <v>86</v>
      </c>
      <c r="D65" s="4"/>
      <c r="E65" s="4">
        <v>4.68E7</v>
      </c>
      <c r="F65" s="2" t="s">
        <v>4</v>
      </c>
      <c r="G65" s="3">
        <v>6.5797434746E8</v>
      </c>
      <c r="I65" s="6"/>
    </row>
    <row r="66">
      <c r="A66" s="1">
        <v>46056.0</v>
      </c>
      <c r="B66" s="2" t="s">
        <v>17</v>
      </c>
      <c r="C66" s="8" t="s">
        <v>85</v>
      </c>
      <c r="D66" s="4"/>
      <c r="E66" s="4">
        <v>4.68E7</v>
      </c>
      <c r="F66" s="2" t="s">
        <v>4</v>
      </c>
      <c r="G66" s="3">
        <v>7.0477434746E8</v>
      </c>
      <c r="I66" s="6"/>
    </row>
    <row r="67">
      <c r="A67" s="1">
        <v>46056.0</v>
      </c>
      <c r="B67" s="2" t="s">
        <v>17</v>
      </c>
      <c r="C67" s="2" t="s">
        <v>87</v>
      </c>
      <c r="D67" s="4"/>
      <c r="E67" s="4">
        <v>1.105866E8</v>
      </c>
      <c r="F67" s="2" t="s">
        <v>4</v>
      </c>
      <c r="G67" s="3">
        <v>8.1536094746E8</v>
      </c>
      <c r="I67" s="6"/>
    </row>
    <row r="68">
      <c r="A68" s="1">
        <v>46056.0</v>
      </c>
      <c r="B68" s="2" t="s">
        <v>88</v>
      </c>
      <c r="C68" s="2" t="s">
        <v>88</v>
      </c>
      <c r="D68" s="4">
        <v>250000.0</v>
      </c>
      <c r="E68" s="3"/>
      <c r="G68" s="3">
        <v>8.1511094746E8</v>
      </c>
      <c r="I68" s="7" t="s">
        <v>6</v>
      </c>
    </row>
    <row r="69">
      <c r="A69" s="1">
        <v>46056.0</v>
      </c>
      <c r="B69" s="2" t="s">
        <v>22</v>
      </c>
      <c r="C69" s="2" t="s">
        <v>89</v>
      </c>
      <c r="D69" s="4">
        <v>2.34E8</v>
      </c>
      <c r="E69" s="3"/>
      <c r="F69" s="2" t="s">
        <v>9</v>
      </c>
      <c r="G69" s="3">
        <v>5.8111094746E8</v>
      </c>
      <c r="H69" s="2" t="s">
        <v>90</v>
      </c>
      <c r="I69" s="7" t="s">
        <v>16</v>
      </c>
    </row>
    <row r="70">
      <c r="A70" s="1">
        <v>46056.0</v>
      </c>
      <c r="B70" s="2" t="s">
        <v>22</v>
      </c>
      <c r="C70" s="2" t="s">
        <v>91</v>
      </c>
      <c r="D70" s="4">
        <v>4.54336E7</v>
      </c>
      <c r="E70" s="3"/>
      <c r="F70" s="2" t="s">
        <v>9</v>
      </c>
      <c r="G70" s="3">
        <v>5.3567734746000004E8</v>
      </c>
      <c r="H70" s="2" t="s">
        <v>92</v>
      </c>
      <c r="I70" s="7" t="s">
        <v>16</v>
      </c>
    </row>
    <row r="71">
      <c r="A71" s="1">
        <v>46056.0</v>
      </c>
      <c r="B71" s="2" t="s">
        <v>22</v>
      </c>
      <c r="C71" s="2" t="s">
        <v>93</v>
      </c>
      <c r="D71" s="4">
        <v>8.04525E7</v>
      </c>
      <c r="E71" s="3"/>
      <c r="F71" s="2" t="s">
        <v>9</v>
      </c>
      <c r="G71" s="3">
        <v>4.5522484746000004E8</v>
      </c>
      <c r="H71" s="2" t="s">
        <v>94</v>
      </c>
      <c r="I71" s="7" t="s">
        <v>16</v>
      </c>
    </row>
    <row r="72">
      <c r="A72" s="1">
        <v>46057.0</v>
      </c>
      <c r="B72" s="2" t="s">
        <v>95</v>
      </c>
      <c r="C72" s="2" t="s">
        <v>96</v>
      </c>
      <c r="D72" s="4">
        <v>1.6190872E8</v>
      </c>
      <c r="E72" s="3"/>
      <c r="F72" s="2" t="s">
        <v>9</v>
      </c>
      <c r="G72" s="3">
        <v>2.9331612746000004E8</v>
      </c>
      <c r="I72" s="7" t="s">
        <v>16</v>
      </c>
    </row>
    <row r="73">
      <c r="A73" s="1">
        <v>46057.0</v>
      </c>
      <c r="B73" s="2" t="s">
        <v>95</v>
      </c>
      <c r="C73" s="2" t="s">
        <v>97</v>
      </c>
      <c r="D73" s="4">
        <v>4.38519E7</v>
      </c>
      <c r="E73" s="3"/>
      <c r="F73" s="2" t="s">
        <v>9</v>
      </c>
      <c r="G73" s="3">
        <v>2.4946422746000004E8</v>
      </c>
      <c r="I73" s="7" t="s">
        <v>16</v>
      </c>
    </row>
    <row r="74">
      <c r="A74" s="1">
        <v>46057.0</v>
      </c>
      <c r="B74" s="2" t="s">
        <v>95</v>
      </c>
      <c r="C74" s="2" t="s">
        <v>98</v>
      </c>
      <c r="D74" s="4">
        <v>5.8256E7</v>
      </c>
      <c r="E74" s="3"/>
      <c r="F74" s="2" t="s">
        <v>9</v>
      </c>
      <c r="G74" s="3">
        <v>1.9120822746000004E8</v>
      </c>
      <c r="I74" s="7" t="s">
        <v>16</v>
      </c>
    </row>
    <row r="75">
      <c r="A75" s="1">
        <v>46057.0</v>
      </c>
      <c r="B75" s="2" t="s">
        <v>95</v>
      </c>
      <c r="C75" s="2" t="s">
        <v>99</v>
      </c>
      <c r="D75" s="4">
        <v>1.837642E8</v>
      </c>
      <c r="E75" s="3"/>
      <c r="F75" s="2" t="s">
        <v>9</v>
      </c>
      <c r="G75" s="3">
        <v>7444027.460000038</v>
      </c>
      <c r="I75" s="7" t="s">
        <v>16</v>
      </c>
    </row>
    <row r="76">
      <c r="A76" s="1">
        <v>46057.0</v>
      </c>
      <c r="B76" s="2" t="s">
        <v>95</v>
      </c>
      <c r="C76" s="2" t="s">
        <v>100</v>
      </c>
      <c r="D76" s="4">
        <v>4847680.0</v>
      </c>
      <c r="E76" s="3"/>
      <c r="F76" s="2" t="s">
        <v>9</v>
      </c>
      <c r="G76" s="3">
        <v>2596347.460000038</v>
      </c>
      <c r="I76" s="7" t="s">
        <v>67</v>
      </c>
    </row>
    <row r="77">
      <c r="A77" s="1">
        <v>46057.0</v>
      </c>
      <c r="B77" s="2" t="s">
        <v>95</v>
      </c>
      <c r="C77" s="2" t="s">
        <v>101</v>
      </c>
      <c r="D77" s="4">
        <v>2499500.0</v>
      </c>
      <c r="E77" s="3"/>
      <c r="F77" s="2" t="s">
        <v>9</v>
      </c>
      <c r="G77" s="3">
        <v>96847.46000003815</v>
      </c>
      <c r="H77" s="2"/>
      <c r="I77" s="7" t="s">
        <v>10</v>
      </c>
    </row>
    <row r="78">
      <c r="A78" s="1">
        <v>46057.0</v>
      </c>
      <c r="B78" s="2" t="s">
        <v>17</v>
      </c>
      <c r="C78" s="2" t="s">
        <v>102</v>
      </c>
      <c r="D78" s="2"/>
      <c r="E78" s="4">
        <v>200000.0</v>
      </c>
      <c r="F78" s="2" t="s">
        <v>4</v>
      </c>
      <c r="G78" s="3">
        <v>296847.46000003815</v>
      </c>
      <c r="I78" s="6"/>
    </row>
    <row r="79">
      <c r="A79" s="1">
        <v>46057.0</v>
      </c>
      <c r="B79" s="2" t="s">
        <v>103</v>
      </c>
      <c r="C79" s="2" t="s">
        <v>103</v>
      </c>
      <c r="D79" s="4">
        <v>200000.0</v>
      </c>
      <c r="E79" s="3"/>
      <c r="G79" s="3">
        <v>96847.46000003815</v>
      </c>
      <c r="H79" s="2"/>
      <c r="I79" s="7" t="s">
        <v>6</v>
      </c>
    </row>
    <row r="80">
      <c r="A80" s="1">
        <v>46057.0</v>
      </c>
      <c r="B80" s="2" t="s">
        <v>17</v>
      </c>
      <c r="C80" s="2" t="s">
        <v>104</v>
      </c>
      <c r="D80" s="4"/>
      <c r="E80" s="4">
        <v>6.04851E7</v>
      </c>
      <c r="F80" s="2" t="s">
        <v>4</v>
      </c>
      <c r="G80" s="3">
        <v>6.058194746000004E7</v>
      </c>
      <c r="H80" s="2"/>
      <c r="I80" s="6"/>
    </row>
    <row r="81">
      <c r="A81" s="1">
        <v>46057.0</v>
      </c>
      <c r="B81" s="2" t="s">
        <v>17</v>
      </c>
      <c r="C81" s="2" t="s">
        <v>105</v>
      </c>
      <c r="D81" s="4"/>
      <c r="E81" s="4">
        <v>5.01085E7</v>
      </c>
      <c r="F81" s="2" t="s">
        <v>4</v>
      </c>
      <c r="G81" s="3">
        <v>1.1069044746000004E8</v>
      </c>
      <c r="I81" s="6"/>
    </row>
    <row r="82">
      <c r="A82" s="1">
        <v>46057.0</v>
      </c>
      <c r="B82" s="2" t="s">
        <v>17</v>
      </c>
      <c r="C82" s="2" t="s">
        <v>106</v>
      </c>
      <c r="D82" s="4"/>
      <c r="E82" s="4">
        <v>5.635E7</v>
      </c>
      <c r="F82" s="2" t="s">
        <v>4</v>
      </c>
      <c r="G82" s="3">
        <v>1.6704044746000004E8</v>
      </c>
      <c r="I82" s="6"/>
    </row>
    <row r="83">
      <c r="A83" s="1">
        <v>46057.0</v>
      </c>
      <c r="B83" s="2" t="s">
        <v>17</v>
      </c>
      <c r="C83" s="2" t="s">
        <v>107</v>
      </c>
      <c r="D83" s="4"/>
      <c r="E83" s="4">
        <v>5.4519E7</v>
      </c>
      <c r="F83" s="2" t="s">
        <v>4</v>
      </c>
      <c r="G83" s="3">
        <v>2.2155944746000004E8</v>
      </c>
      <c r="H83" s="2" t="s">
        <v>108</v>
      </c>
      <c r="I83" s="6"/>
    </row>
    <row r="84">
      <c r="A84" s="1">
        <v>46057.0</v>
      </c>
      <c r="B84" s="2" t="s">
        <v>17</v>
      </c>
      <c r="C84" s="2" t="s">
        <v>109</v>
      </c>
      <c r="D84" s="4"/>
      <c r="E84" s="4">
        <v>1.2928838E8</v>
      </c>
      <c r="F84" s="2" t="s">
        <v>4</v>
      </c>
      <c r="G84" s="3">
        <v>3.5084782746000004E8</v>
      </c>
      <c r="H84" s="2" t="s">
        <v>110</v>
      </c>
      <c r="I84" s="6"/>
    </row>
    <row r="85">
      <c r="A85" s="1">
        <v>46057.0</v>
      </c>
      <c r="B85" s="2" t="s">
        <v>17</v>
      </c>
      <c r="C85" s="2" t="s">
        <v>111</v>
      </c>
      <c r="D85" s="4"/>
      <c r="E85" s="4">
        <v>4.556978E7</v>
      </c>
      <c r="F85" s="2" t="s">
        <v>4</v>
      </c>
      <c r="G85" s="3">
        <v>3.9641760746000004E8</v>
      </c>
      <c r="I85" s="6"/>
    </row>
    <row r="86">
      <c r="A86" s="1">
        <v>46057.0</v>
      </c>
      <c r="B86" s="2" t="s">
        <v>22</v>
      </c>
      <c r="C86" s="2" t="s">
        <v>112</v>
      </c>
      <c r="D86" s="4">
        <v>4.71665E7</v>
      </c>
      <c r="E86" s="3"/>
      <c r="F86" s="2" t="s">
        <v>9</v>
      </c>
      <c r="G86" s="3">
        <v>3.4925110746000004E8</v>
      </c>
      <c r="I86" s="7" t="s">
        <v>16</v>
      </c>
    </row>
    <row r="87">
      <c r="A87" s="1">
        <v>46057.0</v>
      </c>
      <c r="B87" s="2" t="s">
        <v>22</v>
      </c>
      <c r="C87" s="2" t="s">
        <v>113</v>
      </c>
      <c r="D87" s="4">
        <v>4.663725E7</v>
      </c>
      <c r="E87" s="3"/>
      <c r="F87" s="2" t="s">
        <v>9</v>
      </c>
      <c r="G87" s="3">
        <v>3.0261385746000004E8</v>
      </c>
      <c r="I87" s="7" t="s">
        <v>16</v>
      </c>
    </row>
    <row r="88">
      <c r="A88" s="1">
        <v>46057.0</v>
      </c>
      <c r="B88" s="2" t="s">
        <v>22</v>
      </c>
      <c r="C88" s="2" t="s">
        <v>114</v>
      </c>
      <c r="D88" s="4">
        <v>6.105E7</v>
      </c>
      <c r="E88" s="3"/>
      <c r="F88" s="2" t="s">
        <v>9</v>
      </c>
      <c r="G88" s="3">
        <v>2.4156385746000004E8</v>
      </c>
      <c r="I88" s="7" t="s">
        <v>16</v>
      </c>
    </row>
    <row r="89">
      <c r="A89" s="1">
        <v>46057.0</v>
      </c>
      <c r="B89" s="2" t="s">
        <v>22</v>
      </c>
      <c r="C89" s="2" t="s">
        <v>115</v>
      </c>
      <c r="D89" s="4">
        <v>9.78E7</v>
      </c>
      <c r="E89" s="3"/>
      <c r="F89" s="2" t="s">
        <v>9</v>
      </c>
      <c r="G89" s="3">
        <v>1.4376385746000004E8</v>
      </c>
      <c r="I89" s="7" t="s">
        <v>16</v>
      </c>
    </row>
    <row r="90">
      <c r="A90" s="1">
        <v>46057.0</v>
      </c>
      <c r="B90" s="2" t="s">
        <v>22</v>
      </c>
      <c r="C90" s="2" t="s">
        <v>116</v>
      </c>
      <c r="D90" s="4">
        <v>4.0E7</v>
      </c>
      <c r="E90" s="3"/>
      <c r="F90" s="2" t="s">
        <v>9</v>
      </c>
      <c r="G90" s="3">
        <v>1.0376385746000004E8</v>
      </c>
      <c r="I90" s="7" t="s">
        <v>16</v>
      </c>
    </row>
    <row r="91">
      <c r="A91" s="1">
        <v>46057.0</v>
      </c>
      <c r="B91" s="2" t="s">
        <v>22</v>
      </c>
      <c r="C91" s="2" t="s">
        <v>117</v>
      </c>
      <c r="D91" s="4">
        <v>5.08352E7</v>
      </c>
      <c r="E91" s="3"/>
      <c r="F91" s="2" t="s">
        <v>9</v>
      </c>
      <c r="G91" s="3">
        <v>5.292865746000004E7</v>
      </c>
      <c r="I91" s="7" t="s">
        <v>16</v>
      </c>
    </row>
    <row r="92">
      <c r="A92" s="1">
        <v>46057.0</v>
      </c>
      <c r="B92" s="2" t="s">
        <v>17</v>
      </c>
      <c r="C92" s="2" t="s">
        <v>118</v>
      </c>
      <c r="D92" s="4"/>
      <c r="E92" s="4">
        <v>1.0589052E8</v>
      </c>
      <c r="F92" s="2" t="s">
        <v>4</v>
      </c>
      <c r="G92" s="3">
        <v>1.5881917746000004E8</v>
      </c>
      <c r="I92" s="6"/>
    </row>
    <row r="93">
      <c r="A93" s="1">
        <v>46057.0</v>
      </c>
      <c r="B93" s="2" t="s">
        <v>22</v>
      </c>
      <c r="C93" s="2" t="s">
        <v>119</v>
      </c>
      <c r="D93" s="4">
        <v>1842380.0</v>
      </c>
      <c r="E93" s="3"/>
      <c r="F93" s="2" t="s">
        <v>9</v>
      </c>
      <c r="G93" s="3">
        <v>1.5697679746000004E8</v>
      </c>
      <c r="H93" s="2"/>
      <c r="I93" s="7" t="s">
        <v>10</v>
      </c>
    </row>
    <row r="94">
      <c r="A94" s="1">
        <v>46057.0</v>
      </c>
      <c r="B94" s="2" t="s">
        <v>22</v>
      </c>
      <c r="C94" s="2" t="s">
        <v>120</v>
      </c>
      <c r="D94" s="2">
        <v>2068840.0</v>
      </c>
      <c r="E94" s="3"/>
      <c r="F94" s="2" t="s">
        <v>9</v>
      </c>
      <c r="G94" s="3">
        <v>1.5490795746000004E8</v>
      </c>
      <c r="I94" s="7" t="s">
        <v>10</v>
      </c>
    </row>
    <row r="95">
      <c r="A95" s="1">
        <v>46057.0</v>
      </c>
      <c r="B95" s="2" t="s">
        <v>22</v>
      </c>
      <c r="C95" s="2" t="s">
        <v>121</v>
      </c>
      <c r="D95" s="4">
        <v>250000.0</v>
      </c>
      <c r="E95" s="3"/>
      <c r="F95" s="2" t="s">
        <v>9</v>
      </c>
      <c r="G95" s="3">
        <v>1.5465795746000004E8</v>
      </c>
      <c r="H95" s="2" t="s">
        <v>122</v>
      </c>
      <c r="I95" s="7" t="s">
        <v>80</v>
      </c>
    </row>
    <row r="96">
      <c r="A96" s="1">
        <v>46057.0</v>
      </c>
      <c r="B96" s="2" t="s">
        <v>22</v>
      </c>
      <c r="C96" s="2" t="s">
        <v>123</v>
      </c>
      <c r="D96" s="4">
        <v>1.12964E7</v>
      </c>
      <c r="E96" s="3"/>
      <c r="F96" s="2" t="s">
        <v>9</v>
      </c>
      <c r="G96" s="3">
        <v>1.4336155746000004E8</v>
      </c>
      <c r="H96" s="2" t="s">
        <v>124</v>
      </c>
      <c r="I96" s="7" t="s">
        <v>10</v>
      </c>
    </row>
    <row r="97">
      <c r="A97" s="1">
        <v>46057.0</v>
      </c>
      <c r="B97" s="2" t="s">
        <v>17</v>
      </c>
      <c r="C97" s="2" t="s">
        <v>125</v>
      </c>
      <c r="D97" s="4"/>
      <c r="E97" s="4">
        <v>4.865E7</v>
      </c>
      <c r="F97" s="2" t="s">
        <v>4</v>
      </c>
      <c r="G97" s="3">
        <v>1.9201155746000004E8</v>
      </c>
      <c r="H97" s="2" t="s">
        <v>126</v>
      </c>
      <c r="I97" s="6"/>
    </row>
    <row r="98">
      <c r="A98" s="1">
        <v>46058.0</v>
      </c>
      <c r="B98" s="2" t="s">
        <v>22</v>
      </c>
      <c r="C98" s="2" t="s">
        <v>127</v>
      </c>
      <c r="D98" s="4">
        <v>1.405705E8</v>
      </c>
      <c r="E98" s="3"/>
      <c r="F98" s="2" t="s">
        <v>9</v>
      </c>
      <c r="G98" s="3">
        <v>5.144105746000004E7</v>
      </c>
      <c r="I98" s="7" t="s">
        <v>16</v>
      </c>
    </row>
    <row r="99">
      <c r="A99" s="1">
        <v>46058.0</v>
      </c>
      <c r="B99" s="2" t="s">
        <v>52</v>
      </c>
      <c r="C99" s="2" t="s">
        <v>128</v>
      </c>
      <c r="D99" s="4">
        <v>1.025E7</v>
      </c>
      <c r="E99" s="3"/>
      <c r="F99" s="2" t="s">
        <v>9</v>
      </c>
      <c r="G99" s="3">
        <v>4.119105746000004E7</v>
      </c>
      <c r="I99" s="7" t="s">
        <v>6</v>
      </c>
    </row>
    <row r="100">
      <c r="A100" s="1">
        <v>46058.0</v>
      </c>
      <c r="B100" s="2" t="s">
        <v>52</v>
      </c>
      <c r="C100" s="2" t="s">
        <v>129</v>
      </c>
      <c r="D100" s="4">
        <v>2500.0</v>
      </c>
      <c r="E100" s="3"/>
      <c r="F100" s="2" t="s">
        <v>9</v>
      </c>
      <c r="G100" s="3">
        <v>4.118855746000004E7</v>
      </c>
      <c r="I100" s="7" t="s">
        <v>13</v>
      </c>
    </row>
    <row r="101">
      <c r="A101" s="1">
        <v>46058.0</v>
      </c>
      <c r="B101" s="2" t="s">
        <v>17</v>
      </c>
      <c r="C101" s="2" t="s">
        <v>130</v>
      </c>
      <c r="D101" s="4"/>
      <c r="E101" s="4">
        <v>5.47965E7</v>
      </c>
      <c r="F101" s="2" t="s">
        <v>4</v>
      </c>
      <c r="G101" s="3">
        <v>9.598505746000004E7</v>
      </c>
      <c r="H101" s="2" t="s">
        <v>131</v>
      </c>
      <c r="I101" s="6"/>
    </row>
    <row r="102">
      <c r="A102" s="1">
        <v>46059.0</v>
      </c>
      <c r="B102" s="2" t="s">
        <v>132</v>
      </c>
      <c r="C102" s="2" t="s">
        <v>133</v>
      </c>
      <c r="D102" s="4">
        <v>293100.0</v>
      </c>
      <c r="E102" s="3"/>
      <c r="G102" s="3">
        <v>9.569195746000004E7</v>
      </c>
      <c r="I102" s="7" t="s">
        <v>6</v>
      </c>
    </row>
    <row r="103">
      <c r="A103" s="1">
        <v>46059.0</v>
      </c>
      <c r="B103" s="2" t="s">
        <v>22</v>
      </c>
      <c r="C103" s="2" t="s">
        <v>134</v>
      </c>
      <c r="D103" s="4">
        <v>6.51695E7</v>
      </c>
      <c r="E103" s="3"/>
      <c r="F103" s="2" t="s">
        <v>9</v>
      </c>
      <c r="G103" s="3">
        <v>3.052245746000004E7</v>
      </c>
      <c r="I103" s="7" t="s">
        <v>16</v>
      </c>
    </row>
    <row r="104">
      <c r="A104" s="1">
        <v>46059.0</v>
      </c>
      <c r="B104" s="2" t="s">
        <v>52</v>
      </c>
      <c r="C104" s="2" t="s">
        <v>135</v>
      </c>
      <c r="D104" s="4">
        <v>100000.0</v>
      </c>
      <c r="E104" s="3"/>
      <c r="F104" s="2" t="s">
        <v>9</v>
      </c>
      <c r="G104" s="3">
        <v>3.042245746000004E7</v>
      </c>
      <c r="I104" s="7" t="s">
        <v>6</v>
      </c>
    </row>
    <row r="105">
      <c r="A105" s="1">
        <v>46059.0</v>
      </c>
      <c r="B105" s="2" t="s">
        <v>52</v>
      </c>
      <c r="C105" s="2" t="s">
        <v>136</v>
      </c>
      <c r="D105" s="4">
        <v>2500.0</v>
      </c>
      <c r="E105" s="3"/>
      <c r="F105" s="2" t="s">
        <v>9</v>
      </c>
      <c r="G105" s="3">
        <v>3.041995746000004E7</v>
      </c>
      <c r="I105" s="7" t="s">
        <v>13</v>
      </c>
    </row>
    <row r="106">
      <c r="A106" s="1">
        <v>46059.0</v>
      </c>
      <c r="B106" s="2" t="s">
        <v>17</v>
      </c>
      <c r="C106" s="2" t="s">
        <v>137</v>
      </c>
      <c r="D106" s="4"/>
      <c r="E106" s="4">
        <v>4.68E7</v>
      </c>
      <c r="F106" s="2" t="s">
        <v>4</v>
      </c>
      <c r="G106" s="3">
        <v>7.721995746000004E7</v>
      </c>
      <c r="I106" s="6"/>
    </row>
    <row r="107">
      <c r="A107" s="1">
        <v>46059.0</v>
      </c>
      <c r="B107" s="2" t="s">
        <v>17</v>
      </c>
      <c r="C107" s="2" t="s">
        <v>138</v>
      </c>
      <c r="D107" s="4"/>
      <c r="E107" s="4">
        <v>4.98E7</v>
      </c>
      <c r="F107" s="2" t="s">
        <v>4</v>
      </c>
      <c r="G107" s="3">
        <v>1.2701995746000004E8</v>
      </c>
      <c r="H107" s="2"/>
      <c r="I107" s="6"/>
    </row>
    <row r="108">
      <c r="A108" s="1">
        <v>46059.0</v>
      </c>
      <c r="B108" s="2" t="s">
        <v>17</v>
      </c>
      <c r="C108" s="2" t="s">
        <v>139</v>
      </c>
      <c r="D108" s="2"/>
      <c r="E108" s="4">
        <v>5.13E7</v>
      </c>
      <c r="F108" s="2" t="s">
        <v>4</v>
      </c>
      <c r="G108" s="3">
        <v>1.7831995746000004E8</v>
      </c>
      <c r="H108" s="2" t="s">
        <v>140</v>
      </c>
      <c r="I108" s="6"/>
    </row>
    <row r="109">
      <c r="A109" s="1">
        <v>46059.0</v>
      </c>
      <c r="B109" s="2" t="s">
        <v>17</v>
      </c>
      <c r="C109" s="8" t="s">
        <v>138</v>
      </c>
      <c r="D109" s="2"/>
      <c r="E109" s="4">
        <v>4.98E7</v>
      </c>
      <c r="F109" s="2" t="s">
        <v>4</v>
      </c>
      <c r="G109" s="3">
        <v>2.2811995746000004E8</v>
      </c>
      <c r="H109" s="2" t="s">
        <v>141</v>
      </c>
      <c r="I109" s="6"/>
    </row>
    <row r="110">
      <c r="A110" s="1">
        <v>46059.0</v>
      </c>
      <c r="B110" s="2" t="s">
        <v>17</v>
      </c>
      <c r="C110" s="8" t="s">
        <v>139</v>
      </c>
      <c r="D110" s="4"/>
      <c r="E110" s="4">
        <v>5.13E7</v>
      </c>
      <c r="F110" s="2" t="s">
        <v>4</v>
      </c>
      <c r="G110" s="3">
        <v>2.7941995746000004E8</v>
      </c>
      <c r="H110" s="2"/>
      <c r="I110" s="6"/>
    </row>
    <row r="111">
      <c r="A111" s="1">
        <v>46059.0</v>
      </c>
      <c r="B111" s="2" t="s">
        <v>17</v>
      </c>
      <c r="C111" s="2" t="s">
        <v>142</v>
      </c>
      <c r="D111" s="4"/>
      <c r="E111" s="4">
        <v>8.446392E7</v>
      </c>
      <c r="F111" s="2" t="s">
        <v>4</v>
      </c>
      <c r="G111" s="3">
        <v>3.6388387746000004E8</v>
      </c>
      <c r="H111" s="2"/>
      <c r="I111" s="6"/>
    </row>
    <row r="112">
      <c r="A112" s="1">
        <v>46059.0</v>
      </c>
      <c r="B112" s="2" t="s">
        <v>22</v>
      </c>
      <c r="C112" s="2" t="s">
        <v>143</v>
      </c>
      <c r="D112" s="4">
        <v>1.670131E8</v>
      </c>
      <c r="E112" s="3"/>
      <c r="F112" s="2" t="s">
        <v>9</v>
      </c>
      <c r="G112" s="3">
        <v>1.9687077746000004E8</v>
      </c>
      <c r="I112" s="7" t="s">
        <v>16</v>
      </c>
    </row>
    <row r="113">
      <c r="A113" s="1">
        <v>46059.0</v>
      </c>
      <c r="B113" s="2" t="s">
        <v>22</v>
      </c>
      <c r="C113" s="2" t="s">
        <v>144</v>
      </c>
      <c r="D113" s="4">
        <v>5.0266E7</v>
      </c>
      <c r="E113" s="3"/>
      <c r="F113" s="2" t="s">
        <v>9</v>
      </c>
      <c r="G113" s="3">
        <v>1.4660477746000004E8</v>
      </c>
      <c r="I113" s="7" t="s">
        <v>16</v>
      </c>
    </row>
    <row r="114">
      <c r="A114" s="1">
        <v>46059.0</v>
      </c>
      <c r="B114" s="2" t="s">
        <v>22</v>
      </c>
      <c r="C114" s="2" t="s">
        <v>145</v>
      </c>
      <c r="D114" s="4">
        <v>6.0843E7</v>
      </c>
      <c r="E114" s="3"/>
      <c r="F114" s="2" t="s">
        <v>9</v>
      </c>
      <c r="G114" s="3">
        <v>8.576177746000004E7</v>
      </c>
      <c r="I114" s="7" t="s">
        <v>16</v>
      </c>
    </row>
    <row r="115">
      <c r="A115" s="1">
        <v>46059.0</v>
      </c>
      <c r="B115" s="2" t="s">
        <v>17</v>
      </c>
      <c r="C115" s="2" t="s">
        <v>146</v>
      </c>
      <c r="D115" s="4"/>
      <c r="E115" s="4">
        <v>4.729154E7</v>
      </c>
      <c r="F115" s="2" t="s">
        <v>4</v>
      </c>
      <c r="G115" s="3">
        <v>1.3305331746000004E8</v>
      </c>
      <c r="H115" s="2"/>
      <c r="I115" s="6"/>
    </row>
    <row r="116">
      <c r="A116" s="1">
        <v>46059.0</v>
      </c>
      <c r="B116" s="2" t="s">
        <v>17</v>
      </c>
      <c r="C116" s="2" t="s">
        <v>147</v>
      </c>
      <c r="D116" s="4"/>
      <c r="E116" s="4">
        <v>6.308E7</v>
      </c>
      <c r="F116" s="2" t="s">
        <v>4</v>
      </c>
      <c r="G116" s="3">
        <v>1.9613331746000004E8</v>
      </c>
      <c r="I116" s="6"/>
    </row>
    <row r="117">
      <c r="A117" s="1">
        <v>46059.0</v>
      </c>
      <c r="B117" s="2" t="s">
        <v>22</v>
      </c>
      <c r="C117" s="2" t="s">
        <v>148</v>
      </c>
      <c r="D117" s="4">
        <v>2620000.0</v>
      </c>
      <c r="E117" s="3"/>
      <c r="F117" s="2" t="s">
        <v>9</v>
      </c>
      <c r="G117" s="3">
        <v>1.9351331746000004E8</v>
      </c>
      <c r="I117" s="7" t="s">
        <v>10</v>
      </c>
    </row>
    <row r="118">
      <c r="A118" s="1">
        <v>46059.0</v>
      </c>
      <c r="B118" s="2" t="s">
        <v>149</v>
      </c>
      <c r="C118" s="2" t="s">
        <v>149</v>
      </c>
      <c r="D118" s="4">
        <v>250000.0</v>
      </c>
      <c r="E118" s="3"/>
      <c r="G118" s="3">
        <v>1.9326331746000004E8</v>
      </c>
      <c r="H118" s="2" t="s">
        <v>150</v>
      </c>
      <c r="I118" s="7" t="s">
        <v>6</v>
      </c>
    </row>
    <row r="119">
      <c r="A119" s="1">
        <v>46060.0</v>
      </c>
      <c r="B119" s="2" t="s">
        <v>151</v>
      </c>
      <c r="C119" s="2" t="s">
        <v>152</v>
      </c>
      <c r="D119" s="4">
        <v>6.156E7</v>
      </c>
      <c r="E119" s="3"/>
      <c r="F119" s="2" t="s">
        <v>9</v>
      </c>
      <c r="G119" s="3">
        <v>1.3170331746000004E8</v>
      </c>
      <c r="I119" s="7" t="s">
        <v>16</v>
      </c>
    </row>
    <row r="120">
      <c r="A120" s="1">
        <v>46060.0</v>
      </c>
      <c r="B120" s="2" t="s">
        <v>151</v>
      </c>
      <c r="C120" s="2" t="s">
        <v>153</v>
      </c>
      <c r="D120" s="4">
        <v>1140000.0</v>
      </c>
      <c r="E120" s="3"/>
      <c r="F120" s="2" t="s">
        <v>9</v>
      </c>
      <c r="G120" s="3">
        <v>1.3056331746000004E8</v>
      </c>
      <c r="I120" s="7" t="s">
        <v>67</v>
      </c>
    </row>
    <row r="121">
      <c r="A121" s="1">
        <v>46060.0</v>
      </c>
      <c r="B121" s="2" t="s">
        <v>151</v>
      </c>
      <c r="C121" s="2" t="s">
        <v>154</v>
      </c>
      <c r="D121" s="4">
        <v>5.445825E7</v>
      </c>
      <c r="E121" s="3"/>
      <c r="F121" s="2" t="s">
        <v>9</v>
      </c>
      <c r="G121" s="3">
        <v>7.610506746000004E7</v>
      </c>
      <c r="H121" s="2" t="s">
        <v>155</v>
      </c>
      <c r="I121" s="7" t="s">
        <v>16</v>
      </c>
    </row>
    <row r="122">
      <c r="A122" s="1">
        <v>46060.0</v>
      </c>
      <c r="B122" s="2" t="s">
        <v>156</v>
      </c>
      <c r="C122" s="2" t="s">
        <v>157</v>
      </c>
      <c r="D122" s="4"/>
      <c r="E122" s="4">
        <v>4.982436E7</v>
      </c>
      <c r="F122" s="2" t="s">
        <v>4</v>
      </c>
      <c r="G122" s="3">
        <v>1.2592942746000004E8</v>
      </c>
      <c r="H122" s="2" t="s">
        <v>158</v>
      </c>
      <c r="I122" s="6"/>
    </row>
    <row r="123">
      <c r="A123" s="1">
        <v>46060.0</v>
      </c>
      <c r="B123" s="2" t="s">
        <v>22</v>
      </c>
      <c r="C123" s="2" t="s">
        <v>159</v>
      </c>
      <c r="D123" s="4">
        <v>1.2427E8</v>
      </c>
      <c r="E123" s="3"/>
      <c r="F123" s="2" t="s">
        <v>9</v>
      </c>
      <c r="G123" s="3">
        <v>1659427.4600000381</v>
      </c>
      <c r="H123" s="2"/>
      <c r="I123" s="7" t="s">
        <v>16</v>
      </c>
    </row>
    <row r="124">
      <c r="A124" s="1">
        <v>46060.0</v>
      </c>
      <c r="B124" s="2" t="s">
        <v>17</v>
      </c>
      <c r="C124" s="2" t="s">
        <v>160</v>
      </c>
      <c r="D124" s="2"/>
      <c r="E124" s="4">
        <v>4.317256E7</v>
      </c>
      <c r="F124" s="2" t="s">
        <v>4</v>
      </c>
      <c r="G124" s="3">
        <v>4.483198746000004E7</v>
      </c>
      <c r="I124" s="6"/>
    </row>
    <row r="125">
      <c r="A125" s="1">
        <v>46060.0</v>
      </c>
      <c r="B125" s="2" t="s">
        <v>22</v>
      </c>
      <c r="C125" s="2" t="s">
        <v>161</v>
      </c>
      <c r="D125" s="4">
        <v>4.447366E7</v>
      </c>
      <c r="E125" s="3"/>
      <c r="F125" s="2" t="s">
        <v>9</v>
      </c>
      <c r="G125" s="3">
        <v>358327.46000003815</v>
      </c>
      <c r="H125" s="2"/>
      <c r="I125" s="7" t="s">
        <v>16</v>
      </c>
    </row>
    <row r="126">
      <c r="A126" s="1">
        <v>46060.0</v>
      </c>
      <c r="B126" s="2" t="s">
        <v>17</v>
      </c>
      <c r="C126" s="2" t="s">
        <v>162</v>
      </c>
      <c r="D126" s="4"/>
      <c r="E126" s="4">
        <v>1.2825E8</v>
      </c>
      <c r="F126" s="2" t="s">
        <v>4</v>
      </c>
      <c r="G126" s="3">
        <v>1.2860832746000004E8</v>
      </c>
      <c r="I126" s="6"/>
    </row>
    <row r="127">
      <c r="A127" s="1">
        <v>46060.0</v>
      </c>
      <c r="B127" s="2" t="s">
        <v>17</v>
      </c>
      <c r="C127" s="2" t="s">
        <v>163</v>
      </c>
      <c r="D127" s="4"/>
      <c r="E127" s="4">
        <v>1.0E8</v>
      </c>
      <c r="F127" s="2" t="s">
        <v>4</v>
      </c>
      <c r="G127" s="3">
        <v>2.2860832746000004E8</v>
      </c>
      <c r="I127" s="6"/>
    </row>
    <row r="128">
      <c r="A128" s="1">
        <v>46060.0</v>
      </c>
      <c r="B128" s="2" t="s">
        <v>22</v>
      </c>
      <c r="C128" s="2" t="s">
        <v>164</v>
      </c>
      <c r="D128" s="4">
        <v>4.95E7</v>
      </c>
      <c r="E128" s="3"/>
      <c r="F128" s="2" t="s">
        <v>9</v>
      </c>
      <c r="G128" s="3">
        <v>1.7910832746000004E8</v>
      </c>
      <c r="I128" s="7" t="s">
        <v>16</v>
      </c>
    </row>
    <row r="129">
      <c r="A129" s="1">
        <v>46060.0</v>
      </c>
      <c r="B129" s="2" t="s">
        <v>22</v>
      </c>
      <c r="C129" s="2" t="s">
        <v>165</v>
      </c>
      <c r="D129" s="4">
        <v>4.95E7</v>
      </c>
      <c r="E129" s="3"/>
      <c r="F129" s="2" t="s">
        <v>9</v>
      </c>
      <c r="G129" s="3">
        <v>1.2960832746000004E8</v>
      </c>
      <c r="I129" s="7" t="s">
        <v>16</v>
      </c>
    </row>
    <row r="130">
      <c r="A130" s="1">
        <v>46060.0</v>
      </c>
      <c r="B130" s="2" t="s">
        <v>22</v>
      </c>
      <c r="C130" s="2" t="s">
        <v>166</v>
      </c>
      <c r="D130" s="4">
        <v>5.1E7</v>
      </c>
      <c r="E130" s="3"/>
      <c r="F130" s="2" t="s">
        <v>9</v>
      </c>
      <c r="G130" s="3">
        <v>7.860832746000004E7</v>
      </c>
      <c r="I130" s="7" t="s">
        <v>16</v>
      </c>
    </row>
    <row r="131">
      <c r="A131" s="1">
        <v>46060.0</v>
      </c>
      <c r="B131" s="2" t="s">
        <v>22</v>
      </c>
      <c r="C131" s="2" t="s">
        <v>167</v>
      </c>
      <c r="D131" s="4">
        <v>2.0E7</v>
      </c>
      <c r="E131" s="3"/>
      <c r="F131" s="2" t="s">
        <v>9</v>
      </c>
      <c r="G131" s="3">
        <v>5.860832746000004E7</v>
      </c>
      <c r="I131" s="7" t="s">
        <v>16</v>
      </c>
    </row>
    <row r="132">
      <c r="A132" s="1">
        <v>46060.0</v>
      </c>
      <c r="B132" s="2" t="s">
        <v>17</v>
      </c>
      <c r="C132" s="2" t="s">
        <v>168</v>
      </c>
      <c r="D132" s="4"/>
      <c r="E132" s="4">
        <v>4.25E7</v>
      </c>
      <c r="F132" s="2" t="s">
        <v>4</v>
      </c>
      <c r="G132" s="3">
        <v>1.0110832746000004E8</v>
      </c>
      <c r="I132" s="6"/>
    </row>
    <row r="133">
      <c r="A133" s="1">
        <v>46060.0</v>
      </c>
      <c r="B133" s="2" t="s">
        <v>17</v>
      </c>
      <c r="C133" s="2" t="s">
        <v>169</v>
      </c>
      <c r="D133" s="4"/>
      <c r="E133" s="4">
        <v>300000.0</v>
      </c>
      <c r="F133" s="2" t="s">
        <v>4</v>
      </c>
      <c r="G133" s="3">
        <v>1.0140832746000004E8</v>
      </c>
      <c r="H133" s="2" t="s">
        <v>170</v>
      </c>
      <c r="I133" s="6"/>
    </row>
    <row r="134">
      <c r="A134" s="1">
        <v>46060.0</v>
      </c>
      <c r="B134" s="2" t="s">
        <v>17</v>
      </c>
      <c r="C134" s="2" t="s">
        <v>171</v>
      </c>
      <c r="D134" s="4"/>
      <c r="E134" s="4">
        <v>5.02767E7</v>
      </c>
      <c r="F134" s="2" t="s">
        <v>4</v>
      </c>
      <c r="G134" s="3">
        <v>1.5168502746000004E8</v>
      </c>
      <c r="H134" s="2" t="s">
        <v>172</v>
      </c>
      <c r="I134" s="6"/>
    </row>
    <row r="135">
      <c r="A135" s="1">
        <v>46060.0</v>
      </c>
      <c r="B135" s="2" t="s">
        <v>22</v>
      </c>
      <c r="C135" s="2" t="s">
        <v>173</v>
      </c>
      <c r="D135" s="4">
        <v>1.09819E8</v>
      </c>
      <c r="E135" s="3"/>
      <c r="F135" s="2" t="s">
        <v>9</v>
      </c>
      <c r="G135" s="3">
        <v>4.186602746000004E7</v>
      </c>
      <c r="I135" s="7" t="s">
        <v>16</v>
      </c>
    </row>
    <row r="136">
      <c r="A136" s="1">
        <v>46060.0</v>
      </c>
      <c r="B136" s="2" t="s">
        <v>22</v>
      </c>
      <c r="C136" s="2" t="s">
        <v>174</v>
      </c>
      <c r="D136" s="4">
        <v>3.888809E7</v>
      </c>
      <c r="E136" s="3"/>
      <c r="F136" s="2" t="s">
        <v>9</v>
      </c>
      <c r="G136" s="3">
        <v>2977937.460000038</v>
      </c>
      <c r="H136" s="2" t="s">
        <v>175</v>
      </c>
      <c r="I136" s="7" t="s">
        <v>16</v>
      </c>
    </row>
    <row r="137">
      <c r="A137" s="1">
        <v>46061.0</v>
      </c>
      <c r="B137" s="2" t="s">
        <v>176</v>
      </c>
      <c r="C137" s="2" t="s">
        <v>177</v>
      </c>
      <c r="D137" s="4">
        <v>1600000.0</v>
      </c>
      <c r="E137" s="3"/>
      <c r="F137" s="2" t="s">
        <v>9</v>
      </c>
      <c r="G137" s="3">
        <v>1377937.4600000381</v>
      </c>
      <c r="I137" s="7" t="s">
        <v>67</v>
      </c>
    </row>
    <row r="138">
      <c r="A138" s="1">
        <v>46061.0</v>
      </c>
      <c r="B138" s="2" t="s">
        <v>176</v>
      </c>
      <c r="C138" s="2" t="s">
        <v>178</v>
      </c>
      <c r="D138" s="4">
        <v>728010.0</v>
      </c>
      <c r="E138" s="3"/>
      <c r="F138" s="2" t="s">
        <v>9</v>
      </c>
      <c r="G138" s="3">
        <v>649927.4600000381</v>
      </c>
      <c r="H138" s="2"/>
      <c r="I138" s="7" t="s">
        <v>10</v>
      </c>
    </row>
    <row r="139">
      <c r="A139" s="1">
        <v>46061.0</v>
      </c>
      <c r="B139" s="2" t="s">
        <v>176</v>
      </c>
      <c r="C139" s="2" t="s">
        <v>179</v>
      </c>
      <c r="D139" s="2">
        <v>578800.0</v>
      </c>
      <c r="E139" s="3"/>
      <c r="F139" s="2" t="s">
        <v>9</v>
      </c>
      <c r="G139" s="3">
        <v>71127.46000003815</v>
      </c>
      <c r="I139" s="7" t="s">
        <v>10</v>
      </c>
    </row>
    <row r="140">
      <c r="A140" s="1">
        <v>46061.0</v>
      </c>
      <c r="B140" s="2" t="s">
        <v>22</v>
      </c>
      <c r="C140" s="2" t="s">
        <v>180</v>
      </c>
      <c r="D140" s="4">
        <v>10000.0</v>
      </c>
      <c r="E140" s="3"/>
      <c r="F140" s="2" t="s">
        <v>9</v>
      </c>
      <c r="G140" s="3">
        <v>61127.46000003815</v>
      </c>
      <c r="H140" s="2"/>
      <c r="I140" s="7" t="s">
        <v>80</v>
      </c>
    </row>
    <row r="141">
      <c r="A141" s="1">
        <v>46061.0</v>
      </c>
      <c r="B141" s="2" t="s">
        <v>17</v>
      </c>
      <c r="C141" s="2" t="s">
        <v>181</v>
      </c>
      <c r="D141" s="4"/>
      <c r="E141" s="4">
        <v>1.56041429E8</v>
      </c>
      <c r="F141" s="2" t="s">
        <v>4</v>
      </c>
      <c r="G141" s="3">
        <v>1.5610255646000004E8</v>
      </c>
      <c r="I141" s="6" t="s">
        <v>6</v>
      </c>
    </row>
    <row r="142">
      <c r="A142" s="1">
        <v>46061.0</v>
      </c>
      <c r="B142" s="2" t="s">
        <v>22</v>
      </c>
      <c r="C142" s="2" t="s">
        <v>182</v>
      </c>
      <c r="D142" s="4">
        <v>450000.0</v>
      </c>
      <c r="E142" s="3"/>
      <c r="F142" s="2" t="s">
        <v>9</v>
      </c>
      <c r="G142" s="3">
        <v>1.5565255646000004E8</v>
      </c>
      <c r="I142" s="7" t="s">
        <v>80</v>
      </c>
    </row>
    <row r="143">
      <c r="A143" s="1">
        <v>46061.0</v>
      </c>
      <c r="B143" s="2" t="s">
        <v>183</v>
      </c>
      <c r="C143" s="2" t="s">
        <v>183</v>
      </c>
      <c r="D143" s="4">
        <v>150000.0</v>
      </c>
      <c r="E143" s="3"/>
      <c r="G143" s="3">
        <v>1.5550255646000004E8</v>
      </c>
      <c r="I143" s="7" t="s">
        <v>6</v>
      </c>
    </row>
    <row r="144">
      <c r="A144" s="1">
        <v>46061.0</v>
      </c>
      <c r="B144" s="2" t="s">
        <v>22</v>
      </c>
      <c r="C144" s="2" t="s">
        <v>184</v>
      </c>
      <c r="D144" s="4">
        <v>6.5E7</v>
      </c>
      <c r="E144" s="3"/>
      <c r="F144" s="2" t="s">
        <v>9</v>
      </c>
      <c r="G144" s="3">
        <v>9.050255646000004E7</v>
      </c>
      <c r="I144" s="7" t="s">
        <v>16</v>
      </c>
    </row>
    <row r="145">
      <c r="A145" s="1">
        <v>46061.0</v>
      </c>
      <c r="B145" s="2" t="s">
        <v>22</v>
      </c>
      <c r="C145" s="2" t="s">
        <v>185</v>
      </c>
      <c r="D145" s="4">
        <v>5.1E7</v>
      </c>
      <c r="E145" s="3"/>
      <c r="F145" s="2" t="s">
        <v>9</v>
      </c>
      <c r="G145" s="3">
        <v>3.950255646000004E7</v>
      </c>
      <c r="I145" s="7" t="s">
        <v>16</v>
      </c>
    </row>
    <row r="146">
      <c r="A146" s="1">
        <v>46061.0</v>
      </c>
      <c r="B146" s="2" t="s">
        <v>17</v>
      </c>
      <c r="C146" s="2" t="s">
        <v>186</v>
      </c>
      <c r="D146" s="4"/>
      <c r="E146" s="4">
        <v>5.25E7</v>
      </c>
      <c r="F146" s="2" t="s">
        <v>4</v>
      </c>
      <c r="G146" s="3">
        <v>9.200255646000004E7</v>
      </c>
      <c r="I146" s="6"/>
    </row>
    <row r="147">
      <c r="A147" s="1">
        <v>46061.0</v>
      </c>
      <c r="B147" s="2" t="s">
        <v>17</v>
      </c>
      <c r="C147" s="2" t="s">
        <v>187</v>
      </c>
      <c r="D147" s="4"/>
      <c r="E147" s="4">
        <v>4.527168E7</v>
      </c>
      <c r="F147" s="2" t="s">
        <v>4</v>
      </c>
      <c r="G147" s="3">
        <v>1.3727423646000004E8</v>
      </c>
      <c r="I147" s="6"/>
    </row>
    <row r="148">
      <c r="A148" s="1">
        <v>46061.0</v>
      </c>
      <c r="B148" s="2" t="s">
        <v>17</v>
      </c>
      <c r="C148" s="2" t="s">
        <v>188</v>
      </c>
      <c r="D148" s="4"/>
      <c r="E148" s="4">
        <v>4.83E7</v>
      </c>
      <c r="F148" s="2" t="s">
        <v>4</v>
      </c>
      <c r="G148" s="3">
        <v>1.8557423646000004E8</v>
      </c>
      <c r="H148" s="2" t="s">
        <v>189</v>
      </c>
      <c r="I148" s="6"/>
    </row>
    <row r="149">
      <c r="A149" s="1">
        <v>46061.0</v>
      </c>
      <c r="B149" s="2" t="s">
        <v>17</v>
      </c>
      <c r="C149" s="2" t="s">
        <v>190</v>
      </c>
      <c r="D149" s="4"/>
      <c r="E149" s="4">
        <v>5.13E7</v>
      </c>
      <c r="F149" s="2" t="s">
        <v>4</v>
      </c>
      <c r="G149" s="3">
        <v>2.3687423646000004E8</v>
      </c>
      <c r="H149" s="2" t="s">
        <v>191</v>
      </c>
      <c r="I149" s="6"/>
    </row>
    <row r="150">
      <c r="A150" s="1">
        <v>46061.0</v>
      </c>
      <c r="B150" s="2" t="s">
        <v>17</v>
      </c>
      <c r="C150" s="2" t="s">
        <v>192</v>
      </c>
      <c r="D150" s="4"/>
      <c r="E150" s="4">
        <v>5.13E7</v>
      </c>
      <c r="F150" s="2" t="s">
        <v>4</v>
      </c>
      <c r="G150" s="3">
        <v>2.8817423646000004E8</v>
      </c>
      <c r="I150" s="6"/>
    </row>
    <row r="151">
      <c r="A151" s="1">
        <v>46061.0</v>
      </c>
      <c r="B151" s="2" t="s">
        <v>17</v>
      </c>
      <c r="C151" s="2" t="s">
        <v>193</v>
      </c>
      <c r="D151" s="4"/>
      <c r="E151" s="4">
        <v>5.01E7</v>
      </c>
      <c r="F151" s="2" t="s">
        <v>4</v>
      </c>
      <c r="G151" s="3">
        <v>3.3827423646000004E8</v>
      </c>
      <c r="I151" s="6"/>
    </row>
    <row r="152">
      <c r="A152" s="1">
        <v>46061.0</v>
      </c>
      <c r="B152" s="2" t="s">
        <v>17</v>
      </c>
      <c r="C152" s="2" t="s">
        <v>194</v>
      </c>
      <c r="D152" s="4"/>
      <c r="E152" s="4">
        <v>5.01E7</v>
      </c>
      <c r="F152" s="2" t="s">
        <v>4</v>
      </c>
      <c r="G152" s="3">
        <v>3.8837423646000004E8</v>
      </c>
      <c r="H152" s="2"/>
      <c r="I152" s="6"/>
    </row>
    <row r="153">
      <c r="A153" s="1">
        <v>46061.0</v>
      </c>
      <c r="B153" s="2" t="s">
        <v>17</v>
      </c>
      <c r="C153" s="2" t="s">
        <v>195</v>
      </c>
      <c r="D153" s="2"/>
      <c r="E153" s="4">
        <v>1.6417368E8</v>
      </c>
      <c r="F153" s="2" t="s">
        <v>4</v>
      </c>
      <c r="G153" s="3">
        <v>5.5254791646E8</v>
      </c>
      <c r="I153" s="6"/>
    </row>
    <row r="154">
      <c r="A154" s="1">
        <v>46061.0</v>
      </c>
      <c r="B154" s="2" t="s">
        <v>17</v>
      </c>
      <c r="C154" s="2" t="s">
        <v>196</v>
      </c>
      <c r="D154" s="4"/>
      <c r="E154" s="4">
        <v>1.0E8</v>
      </c>
      <c r="F154" s="2" t="s">
        <v>4</v>
      </c>
      <c r="G154" s="3">
        <v>6.5254791646E8</v>
      </c>
      <c r="H154" s="2"/>
      <c r="I154" s="6"/>
    </row>
    <row r="155">
      <c r="A155" s="1">
        <v>46061.0</v>
      </c>
      <c r="B155" s="2" t="s">
        <v>22</v>
      </c>
      <c r="C155" s="2" t="s">
        <v>197</v>
      </c>
      <c r="D155" s="4">
        <v>5000000.0</v>
      </c>
      <c r="E155" s="3"/>
      <c r="F155" s="2" t="s">
        <v>9</v>
      </c>
      <c r="G155" s="3">
        <v>6.4754791646E8</v>
      </c>
      <c r="I155" s="7" t="s">
        <v>10</v>
      </c>
    </row>
    <row r="156">
      <c r="A156" s="1">
        <v>46061.0</v>
      </c>
      <c r="B156" s="2" t="s">
        <v>17</v>
      </c>
      <c r="C156" s="2" t="s">
        <v>198</v>
      </c>
      <c r="D156" s="4"/>
      <c r="E156" s="4">
        <v>5.64804E7</v>
      </c>
      <c r="F156" s="2" t="s">
        <v>4</v>
      </c>
      <c r="G156" s="3">
        <v>7.0402831646E8</v>
      </c>
      <c r="H156" s="2"/>
      <c r="I156" s="6"/>
    </row>
    <row r="157">
      <c r="A157" s="1">
        <v>46061.0</v>
      </c>
      <c r="B157" s="2" t="s">
        <v>183</v>
      </c>
      <c r="C157" s="2" t="s">
        <v>183</v>
      </c>
      <c r="D157" s="4">
        <v>150000.0</v>
      </c>
      <c r="E157" s="3"/>
      <c r="G157" s="3">
        <v>7.0387831646E8</v>
      </c>
      <c r="H157" s="2" t="s">
        <v>199</v>
      </c>
      <c r="I157" s="7" t="s">
        <v>6</v>
      </c>
    </row>
    <row r="158">
      <c r="A158" s="1">
        <v>46062.0</v>
      </c>
      <c r="B158" s="2" t="s">
        <v>200</v>
      </c>
      <c r="C158" s="2" t="s">
        <v>201</v>
      </c>
      <c r="D158" s="4"/>
      <c r="E158" s="4">
        <v>5.0E7</v>
      </c>
      <c r="F158" s="2" t="s">
        <v>4</v>
      </c>
      <c r="G158" s="3">
        <v>7.5387831646E8</v>
      </c>
      <c r="I158" s="6"/>
    </row>
    <row r="159">
      <c r="A159" s="1">
        <v>46062.0</v>
      </c>
      <c r="B159" s="2" t="s">
        <v>22</v>
      </c>
      <c r="C159" s="2" t="s">
        <v>202</v>
      </c>
      <c r="D159" s="4">
        <v>4.88121E7</v>
      </c>
      <c r="E159" s="3"/>
      <c r="F159" s="2" t="s">
        <v>9</v>
      </c>
      <c r="G159" s="3">
        <v>7.0506621646E8</v>
      </c>
      <c r="I159" s="7" t="s">
        <v>16</v>
      </c>
    </row>
    <row r="160">
      <c r="A160" s="1">
        <v>46062.0</v>
      </c>
      <c r="B160" s="2" t="s">
        <v>22</v>
      </c>
      <c r="C160" s="2" t="s">
        <v>203</v>
      </c>
      <c r="D160" s="4">
        <v>6.46E7</v>
      </c>
      <c r="E160" s="3"/>
      <c r="F160" s="2" t="s">
        <v>9</v>
      </c>
      <c r="G160" s="3">
        <v>6.4046621646E8</v>
      </c>
      <c r="I160" s="7" t="s">
        <v>16</v>
      </c>
    </row>
    <row r="161">
      <c r="A161" s="1">
        <v>46062.0</v>
      </c>
      <c r="B161" s="2" t="s">
        <v>22</v>
      </c>
      <c r="C161" s="2" t="s">
        <v>204</v>
      </c>
      <c r="D161" s="4">
        <v>5.61595E7</v>
      </c>
      <c r="E161" s="3"/>
      <c r="F161" s="2" t="s">
        <v>9</v>
      </c>
      <c r="G161" s="3">
        <v>5.8430671646E8</v>
      </c>
      <c r="I161" s="7" t="s">
        <v>16</v>
      </c>
    </row>
    <row r="162">
      <c r="A162" s="1">
        <v>46062.0</v>
      </c>
      <c r="B162" s="2" t="s">
        <v>22</v>
      </c>
      <c r="C162" s="2" t="s">
        <v>205</v>
      </c>
      <c r="D162" s="4">
        <v>6.29E7</v>
      </c>
      <c r="E162" s="3"/>
      <c r="F162" s="2" t="s">
        <v>9</v>
      </c>
      <c r="G162" s="3">
        <v>5.2140671646000004E8</v>
      </c>
      <c r="H162" s="2" t="s">
        <v>206</v>
      </c>
      <c r="I162" s="7" t="s">
        <v>16</v>
      </c>
    </row>
    <row r="163">
      <c r="A163" s="1">
        <v>46062.0</v>
      </c>
      <c r="B163" s="2" t="s">
        <v>22</v>
      </c>
      <c r="C163" s="2" t="s">
        <v>207</v>
      </c>
      <c r="D163" s="4">
        <v>5.753832E7</v>
      </c>
      <c r="E163" s="3"/>
      <c r="F163" s="2" t="s">
        <v>9</v>
      </c>
      <c r="G163" s="3">
        <v>4.6386839646000004E8</v>
      </c>
      <c r="H163" s="2" t="s">
        <v>208</v>
      </c>
      <c r="I163" s="7" t="s">
        <v>16</v>
      </c>
    </row>
    <row r="164">
      <c r="A164" s="1">
        <v>46062.0</v>
      </c>
      <c r="B164" s="2" t="s">
        <v>22</v>
      </c>
      <c r="C164" s="2" t="s">
        <v>209</v>
      </c>
      <c r="D164" s="4">
        <v>1.6931487E8</v>
      </c>
      <c r="E164" s="3"/>
      <c r="F164" s="2" t="s">
        <v>9</v>
      </c>
      <c r="G164" s="3">
        <v>2.9455352646000004E8</v>
      </c>
      <c r="H164" s="2"/>
      <c r="I164" s="7" t="s">
        <v>16</v>
      </c>
    </row>
    <row r="165">
      <c r="A165" s="1">
        <v>46062.0</v>
      </c>
      <c r="B165" s="2" t="s">
        <v>22</v>
      </c>
      <c r="C165" s="2" t="s">
        <v>210</v>
      </c>
      <c r="D165" s="4">
        <v>1.2467235E8</v>
      </c>
      <c r="E165" s="3"/>
      <c r="F165" s="2" t="s">
        <v>9</v>
      </c>
      <c r="G165" s="3">
        <v>1.6988117646000004E8</v>
      </c>
      <c r="I165" s="7" t="s">
        <v>16</v>
      </c>
    </row>
    <row r="166">
      <c r="A166" s="1">
        <v>46062.0</v>
      </c>
      <c r="B166" s="2" t="s">
        <v>22</v>
      </c>
      <c r="C166" s="2" t="s">
        <v>211</v>
      </c>
      <c r="D166" s="4">
        <v>1.446E8</v>
      </c>
      <c r="E166" s="3"/>
      <c r="F166" s="2" t="s">
        <v>9</v>
      </c>
      <c r="G166" s="3">
        <v>2.528117646000004E7</v>
      </c>
      <c r="I166" s="7" t="s">
        <v>16</v>
      </c>
    </row>
    <row r="167">
      <c r="A167" s="1">
        <v>46062.0</v>
      </c>
      <c r="B167" s="2" t="s">
        <v>52</v>
      </c>
      <c r="C167" s="2" t="s">
        <v>212</v>
      </c>
      <c r="D167" s="4">
        <v>208000.0</v>
      </c>
      <c r="E167" s="3"/>
      <c r="F167" s="2" t="s">
        <v>9</v>
      </c>
      <c r="G167" s="3">
        <v>2.507317646000004E7</v>
      </c>
      <c r="I167" s="7" t="s">
        <v>6</v>
      </c>
    </row>
    <row r="168">
      <c r="A168" s="1">
        <v>46062.0</v>
      </c>
      <c r="B168" s="2" t="s">
        <v>52</v>
      </c>
      <c r="C168" s="2" t="s">
        <v>213</v>
      </c>
      <c r="D168" s="4">
        <v>2500.0</v>
      </c>
      <c r="E168" s="3"/>
      <c r="F168" s="2" t="s">
        <v>9</v>
      </c>
      <c r="G168" s="3">
        <v>2.507067646000004E7</v>
      </c>
      <c r="I168" s="7" t="s">
        <v>13</v>
      </c>
    </row>
    <row r="169">
      <c r="A169" s="1">
        <v>46062.0</v>
      </c>
      <c r="B169" s="2" t="s">
        <v>22</v>
      </c>
      <c r="C169" s="2" t="s">
        <v>214</v>
      </c>
      <c r="D169" s="4">
        <v>250000.0</v>
      </c>
      <c r="E169" s="3"/>
      <c r="F169" s="2" t="s">
        <v>9</v>
      </c>
      <c r="G169" s="3">
        <v>2.482067646000004E7</v>
      </c>
      <c r="H169" s="2"/>
      <c r="I169" s="7" t="s">
        <v>67</v>
      </c>
    </row>
    <row r="170">
      <c r="A170" s="1">
        <v>46062.0</v>
      </c>
      <c r="B170" s="2" t="s">
        <v>22</v>
      </c>
      <c r="C170" s="2" t="s">
        <v>215</v>
      </c>
      <c r="D170" s="2">
        <v>2683570.0</v>
      </c>
      <c r="E170" s="3"/>
      <c r="F170" s="2" t="s">
        <v>9</v>
      </c>
      <c r="G170" s="3">
        <v>2.213710646000004E7</v>
      </c>
      <c r="I170" s="7" t="s">
        <v>10</v>
      </c>
    </row>
    <row r="171">
      <c r="A171" s="1">
        <v>46062.0</v>
      </c>
      <c r="B171" s="2" t="s">
        <v>22</v>
      </c>
      <c r="C171" s="2" t="s">
        <v>216</v>
      </c>
      <c r="D171" s="4">
        <v>200000.0</v>
      </c>
      <c r="E171" s="3"/>
      <c r="F171" s="2" t="s">
        <v>9</v>
      </c>
      <c r="G171" s="3">
        <v>2.193710646000004E7</v>
      </c>
      <c r="H171" s="2"/>
      <c r="I171" s="7" t="s">
        <v>10</v>
      </c>
    </row>
    <row r="172">
      <c r="A172" s="1">
        <v>46062.0</v>
      </c>
      <c r="B172" s="2" t="s">
        <v>22</v>
      </c>
      <c r="C172" s="2" t="s">
        <v>217</v>
      </c>
      <c r="D172" s="4">
        <v>3614820.0</v>
      </c>
      <c r="E172" s="3"/>
      <c r="F172" s="2" t="s">
        <v>9</v>
      </c>
      <c r="G172" s="3">
        <v>1.832228646000004E7</v>
      </c>
      <c r="I172" s="7" t="s">
        <v>67</v>
      </c>
    </row>
    <row r="173">
      <c r="A173" s="1">
        <v>46062.0</v>
      </c>
      <c r="B173" s="2" t="s">
        <v>22</v>
      </c>
      <c r="C173" s="2" t="s">
        <v>218</v>
      </c>
      <c r="D173" s="4">
        <v>1552860.0</v>
      </c>
      <c r="E173" s="3"/>
      <c r="F173" s="2" t="s">
        <v>9</v>
      </c>
      <c r="G173" s="3">
        <v>1.6769426460000038E7</v>
      </c>
      <c r="I173" s="7" t="s">
        <v>10</v>
      </c>
    </row>
    <row r="174">
      <c r="A174" s="1">
        <v>46062.0</v>
      </c>
      <c r="B174" s="2" t="s">
        <v>17</v>
      </c>
      <c r="C174" s="2" t="s">
        <v>219</v>
      </c>
      <c r="D174" s="4"/>
      <c r="E174" s="4">
        <v>8.93707E7</v>
      </c>
      <c r="F174" s="2" t="s">
        <v>4</v>
      </c>
      <c r="G174" s="3">
        <v>1.0614012646000004E8</v>
      </c>
      <c r="I174" s="6"/>
    </row>
    <row r="175">
      <c r="A175" s="1">
        <v>46062.0</v>
      </c>
      <c r="B175" s="2" t="s">
        <v>17</v>
      </c>
      <c r="C175" s="2" t="s">
        <v>220</v>
      </c>
      <c r="D175" s="4"/>
      <c r="E175" s="4">
        <v>1.108439E8</v>
      </c>
      <c r="F175" s="2" t="s">
        <v>4</v>
      </c>
      <c r="G175" s="3">
        <v>2.1698402646000004E8</v>
      </c>
      <c r="H175" s="2" t="s">
        <v>221</v>
      </c>
      <c r="I175" s="6" t="s">
        <v>6</v>
      </c>
    </row>
    <row r="176">
      <c r="A176" s="1">
        <v>46062.0</v>
      </c>
      <c r="B176" s="2" t="s">
        <v>22</v>
      </c>
      <c r="C176" s="2" t="s">
        <v>222</v>
      </c>
      <c r="D176" s="4">
        <v>5.25E7</v>
      </c>
      <c r="E176" s="3"/>
      <c r="F176" s="2" t="s">
        <v>9</v>
      </c>
      <c r="G176" s="3">
        <v>1.6448402646000004E8</v>
      </c>
      <c r="H176" s="2" t="s">
        <v>223</v>
      </c>
      <c r="I176" s="7" t="s">
        <v>16</v>
      </c>
    </row>
    <row r="177">
      <c r="A177" s="1">
        <v>46062.0</v>
      </c>
      <c r="B177" s="2" t="s">
        <v>224</v>
      </c>
      <c r="C177" s="2" t="s">
        <v>224</v>
      </c>
      <c r="D177" s="4">
        <v>500000.0</v>
      </c>
      <c r="E177" s="3"/>
      <c r="G177" s="3">
        <v>1.6398402646000004E8</v>
      </c>
      <c r="I177" s="7" t="s">
        <v>6</v>
      </c>
    </row>
    <row r="178">
      <c r="A178" s="1">
        <v>46062.0</v>
      </c>
      <c r="B178" s="2" t="s">
        <v>22</v>
      </c>
      <c r="C178" s="2" t="s">
        <v>225</v>
      </c>
      <c r="D178" s="4">
        <v>3.318E7</v>
      </c>
      <c r="E178" s="3"/>
      <c r="F178" s="2" t="s">
        <v>9</v>
      </c>
      <c r="G178" s="3">
        <v>1.3080402646000004E8</v>
      </c>
      <c r="I178" s="7" t="s">
        <v>16</v>
      </c>
    </row>
    <row r="179">
      <c r="A179" s="1">
        <v>46062.0</v>
      </c>
      <c r="B179" s="2" t="s">
        <v>17</v>
      </c>
      <c r="C179" s="2" t="s">
        <v>226</v>
      </c>
      <c r="D179" s="4"/>
      <c r="E179" s="4">
        <v>5.472E7</v>
      </c>
      <c r="F179" s="2" t="s">
        <v>4</v>
      </c>
      <c r="G179" s="3">
        <v>1.8552402646000004E8</v>
      </c>
      <c r="I179" s="6"/>
    </row>
    <row r="180">
      <c r="A180" s="1">
        <v>46062.0</v>
      </c>
      <c r="B180" s="2" t="s">
        <v>17</v>
      </c>
      <c r="C180" s="2" t="s">
        <v>227</v>
      </c>
      <c r="D180" s="4"/>
      <c r="E180" s="4">
        <v>1500000.0</v>
      </c>
      <c r="F180" s="2" t="s">
        <v>4</v>
      </c>
      <c r="G180" s="3">
        <v>1.8702402646000004E8</v>
      </c>
      <c r="I180" s="6"/>
    </row>
    <row r="181">
      <c r="A181" s="1">
        <v>46062.0</v>
      </c>
      <c r="B181" s="2" t="s">
        <v>17</v>
      </c>
      <c r="C181" s="2" t="s">
        <v>228</v>
      </c>
      <c r="D181" s="4"/>
      <c r="E181" s="4">
        <v>5.1E7</v>
      </c>
      <c r="F181" s="2" t="s">
        <v>4</v>
      </c>
      <c r="G181" s="3">
        <v>2.3802402646000004E8</v>
      </c>
      <c r="I181" s="6"/>
    </row>
    <row r="182">
      <c r="A182" s="1">
        <v>46062.0</v>
      </c>
      <c r="B182" s="2" t="s">
        <v>17</v>
      </c>
      <c r="C182" s="2" t="s">
        <v>229</v>
      </c>
      <c r="D182" s="4"/>
      <c r="E182" s="4">
        <v>5.25E7</v>
      </c>
      <c r="F182" s="2" t="s">
        <v>4</v>
      </c>
      <c r="G182" s="3">
        <v>2.9052402646000004E8</v>
      </c>
      <c r="I182" s="6"/>
    </row>
    <row r="183">
      <c r="A183" s="1">
        <v>46062.0</v>
      </c>
      <c r="B183" s="2" t="s">
        <v>17</v>
      </c>
      <c r="C183" s="2" t="s">
        <v>230</v>
      </c>
      <c r="D183" s="4"/>
      <c r="E183" s="4">
        <v>6.512E7</v>
      </c>
      <c r="F183" s="2" t="s">
        <v>4</v>
      </c>
      <c r="G183" s="3">
        <v>3.5564402646000004E8</v>
      </c>
      <c r="I183" s="6"/>
    </row>
    <row r="184">
      <c r="A184" s="1">
        <v>46062.0</v>
      </c>
      <c r="B184" s="2" t="s">
        <v>17</v>
      </c>
      <c r="C184" s="2" t="s">
        <v>231</v>
      </c>
      <c r="D184" s="4"/>
      <c r="E184" s="4">
        <v>5.313E7</v>
      </c>
      <c r="F184" s="2" t="s">
        <v>4</v>
      </c>
      <c r="G184" s="3">
        <v>4.0877402646000004E8</v>
      </c>
      <c r="I184" s="6"/>
    </row>
    <row r="185">
      <c r="A185" s="1">
        <v>46062.0</v>
      </c>
      <c r="B185" s="2" t="s">
        <v>17</v>
      </c>
      <c r="C185" s="2" t="s">
        <v>232</v>
      </c>
      <c r="D185" s="4"/>
      <c r="E185" s="4">
        <v>1.0E8</v>
      </c>
      <c r="F185" s="2" t="s">
        <v>4</v>
      </c>
      <c r="G185" s="3">
        <v>5.0877402646000004E8</v>
      </c>
      <c r="H185" s="2" t="s">
        <v>233</v>
      </c>
      <c r="I185" s="6"/>
    </row>
    <row r="186">
      <c r="A186" s="1">
        <v>46063.0</v>
      </c>
      <c r="B186" s="2" t="s">
        <v>234</v>
      </c>
      <c r="C186" s="2" t="s">
        <v>235</v>
      </c>
      <c r="D186" s="2">
        <v>2.0E7</v>
      </c>
      <c r="E186" s="3"/>
      <c r="F186" s="2" t="s">
        <v>9</v>
      </c>
      <c r="G186" s="3">
        <v>4.8877402646000004E8</v>
      </c>
      <c r="I186" s="7" t="s">
        <v>16</v>
      </c>
    </row>
    <row r="187">
      <c r="A187" s="1">
        <v>46063.0</v>
      </c>
      <c r="B187" s="2" t="s">
        <v>22</v>
      </c>
      <c r="C187" s="2" t="s">
        <v>236</v>
      </c>
      <c r="D187" s="4">
        <v>5.25E7</v>
      </c>
      <c r="E187" s="3"/>
      <c r="F187" s="2" t="s">
        <v>9</v>
      </c>
      <c r="G187" s="3">
        <v>4.3627402646000004E8</v>
      </c>
      <c r="H187" s="2"/>
      <c r="I187" s="7" t="s">
        <v>16</v>
      </c>
    </row>
    <row r="188">
      <c r="A188" s="1">
        <v>46063.0</v>
      </c>
      <c r="B188" s="2" t="s">
        <v>22</v>
      </c>
      <c r="C188" s="2" t="s">
        <v>237</v>
      </c>
      <c r="D188" s="4">
        <v>9.99603E7</v>
      </c>
      <c r="E188" s="3"/>
      <c r="F188" s="2" t="s">
        <v>9</v>
      </c>
      <c r="G188" s="3">
        <v>3.3631372646000004E8</v>
      </c>
      <c r="H188" s="2" t="s">
        <v>238</v>
      </c>
      <c r="I188" s="7" t="s">
        <v>16</v>
      </c>
    </row>
    <row r="189">
      <c r="A189" s="1">
        <v>46063.0</v>
      </c>
      <c r="B189" s="2" t="s">
        <v>22</v>
      </c>
      <c r="C189" s="2" t="s">
        <v>239</v>
      </c>
      <c r="D189" s="4">
        <v>8.76775E7</v>
      </c>
      <c r="E189" s="3"/>
      <c r="F189" s="2" t="s">
        <v>9</v>
      </c>
      <c r="G189" s="3">
        <v>2.4863622646000004E8</v>
      </c>
      <c r="H189" s="2" t="s">
        <v>240</v>
      </c>
      <c r="I189" s="7" t="s">
        <v>16</v>
      </c>
    </row>
    <row r="190">
      <c r="A190" s="1">
        <v>46063.0</v>
      </c>
      <c r="B190" s="2" t="s">
        <v>22</v>
      </c>
      <c r="C190" s="2" t="s">
        <v>241</v>
      </c>
      <c r="D190" s="4">
        <v>1.8338462E8</v>
      </c>
      <c r="E190" s="3"/>
      <c r="F190" s="2" t="s">
        <v>9</v>
      </c>
      <c r="G190" s="3">
        <v>6.525160646000004E7</v>
      </c>
      <c r="I190" s="7" t="s">
        <v>16</v>
      </c>
    </row>
    <row r="191">
      <c r="A191" s="1">
        <v>46063.0</v>
      </c>
      <c r="B191" s="2" t="s">
        <v>22</v>
      </c>
      <c r="C191" s="2" t="s">
        <v>242</v>
      </c>
      <c r="D191" s="4">
        <v>6.475E7</v>
      </c>
      <c r="E191" s="3"/>
      <c r="F191" s="2" t="s">
        <v>9</v>
      </c>
      <c r="G191" s="3">
        <v>501606.46000003815</v>
      </c>
      <c r="I191" s="7" t="s">
        <v>16</v>
      </c>
    </row>
    <row r="192">
      <c r="A192" s="1">
        <v>46063.0</v>
      </c>
      <c r="B192" s="2" t="s">
        <v>17</v>
      </c>
      <c r="C192" s="2" t="s">
        <v>243</v>
      </c>
      <c r="D192" s="4"/>
      <c r="E192" s="4">
        <v>8.922248E7</v>
      </c>
      <c r="F192" s="2" t="s">
        <v>4</v>
      </c>
      <c r="G192" s="3">
        <v>8.972408646000004E7</v>
      </c>
      <c r="I192" s="6"/>
    </row>
    <row r="193">
      <c r="A193" s="1">
        <v>46063.0</v>
      </c>
      <c r="B193" s="2" t="s">
        <v>22</v>
      </c>
      <c r="C193" s="2" t="s">
        <v>244</v>
      </c>
      <c r="D193" s="4">
        <v>4.09292E7</v>
      </c>
      <c r="E193" s="3"/>
      <c r="F193" s="2" t="s">
        <v>9</v>
      </c>
      <c r="G193" s="3">
        <v>4.879488646000004E7</v>
      </c>
      <c r="I193" s="7" t="s">
        <v>16</v>
      </c>
    </row>
    <row r="194">
      <c r="A194" s="1">
        <v>46063.0</v>
      </c>
      <c r="B194" s="2" t="s">
        <v>17</v>
      </c>
      <c r="C194" s="2" t="s">
        <v>245</v>
      </c>
      <c r="D194" s="4"/>
      <c r="E194" s="4">
        <v>1.6165092E8</v>
      </c>
      <c r="F194" s="2" t="s">
        <v>4</v>
      </c>
      <c r="G194" s="3">
        <v>2.1044580646000004E8</v>
      </c>
      <c r="I194" s="6" t="s">
        <v>6</v>
      </c>
    </row>
    <row r="195">
      <c r="A195" s="1">
        <v>46063.0</v>
      </c>
      <c r="B195" s="2" t="s">
        <v>22</v>
      </c>
      <c r="C195" s="2" t="s">
        <v>246</v>
      </c>
      <c r="D195" s="4">
        <v>1.0E7</v>
      </c>
      <c r="E195" s="3"/>
      <c r="F195" s="2" t="s">
        <v>9</v>
      </c>
      <c r="G195" s="3">
        <v>2.0044580646000004E8</v>
      </c>
      <c r="I195" s="7" t="s">
        <v>16</v>
      </c>
    </row>
    <row r="196">
      <c r="A196" s="1">
        <v>46063.0</v>
      </c>
      <c r="B196" s="2" t="s">
        <v>17</v>
      </c>
      <c r="C196" s="2" t="s">
        <v>247</v>
      </c>
      <c r="D196" s="4"/>
      <c r="E196" s="4">
        <v>5.16E7</v>
      </c>
      <c r="F196" s="2" t="s">
        <v>4</v>
      </c>
      <c r="G196" s="3">
        <v>2.5204580646000004E8</v>
      </c>
      <c r="I196" s="6"/>
    </row>
    <row r="197">
      <c r="A197" s="1">
        <v>46063.0</v>
      </c>
      <c r="B197" s="2" t="s">
        <v>17</v>
      </c>
      <c r="C197" s="2" t="s">
        <v>248</v>
      </c>
      <c r="D197" s="4"/>
      <c r="E197" s="4">
        <v>5.22E7</v>
      </c>
      <c r="F197" s="2" t="s">
        <v>4</v>
      </c>
      <c r="G197" s="3">
        <v>3.0424580646000004E8</v>
      </c>
      <c r="H197" s="2"/>
      <c r="I197" s="6"/>
    </row>
    <row r="198">
      <c r="A198" s="1">
        <v>46063.0</v>
      </c>
      <c r="B198" s="2" t="s">
        <v>17</v>
      </c>
      <c r="C198" s="8" t="s">
        <v>248</v>
      </c>
      <c r="D198" s="4"/>
      <c r="E198" s="4">
        <v>5.22E7</v>
      </c>
      <c r="F198" s="2" t="s">
        <v>4</v>
      </c>
      <c r="G198" s="3">
        <v>3.5644580646000004E8</v>
      </c>
      <c r="I198" s="6"/>
    </row>
    <row r="199">
      <c r="A199" s="1">
        <v>46063.0</v>
      </c>
      <c r="B199" s="2" t="s">
        <v>17</v>
      </c>
      <c r="C199" s="2" t="s">
        <v>249</v>
      </c>
      <c r="D199" s="4"/>
      <c r="E199" s="4">
        <v>1.3024E8</v>
      </c>
      <c r="F199" s="2" t="s">
        <v>4</v>
      </c>
      <c r="G199" s="3">
        <v>4.8668580646000004E8</v>
      </c>
      <c r="I199" s="6"/>
    </row>
    <row r="200">
      <c r="A200" s="1">
        <v>46063.0</v>
      </c>
      <c r="B200" s="2" t="s">
        <v>17</v>
      </c>
      <c r="C200" s="2" t="s">
        <v>250</v>
      </c>
      <c r="D200" s="4"/>
      <c r="E200" s="4">
        <v>5.95E7</v>
      </c>
      <c r="F200" s="2" t="s">
        <v>4</v>
      </c>
      <c r="G200" s="3">
        <v>5.4618580646E8</v>
      </c>
      <c r="H200" s="2" t="s">
        <v>251</v>
      </c>
      <c r="I200" s="6"/>
    </row>
    <row r="201">
      <c r="A201" s="1">
        <v>46063.0</v>
      </c>
      <c r="B201" s="2" t="s">
        <v>22</v>
      </c>
      <c r="C201" s="2" t="s">
        <v>252</v>
      </c>
      <c r="D201" s="4">
        <v>1.83317E7</v>
      </c>
      <c r="E201" s="3"/>
      <c r="F201" s="2" t="s">
        <v>9</v>
      </c>
      <c r="G201" s="3">
        <v>5.2785410646000004E8</v>
      </c>
      <c r="H201" s="2" t="s">
        <v>253</v>
      </c>
      <c r="I201" s="7" t="s">
        <v>10</v>
      </c>
    </row>
    <row r="202">
      <c r="A202" s="1">
        <v>46063.0</v>
      </c>
      <c r="B202" s="2" t="s">
        <v>22</v>
      </c>
      <c r="C202" s="2" t="s">
        <v>254</v>
      </c>
      <c r="D202" s="4">
        <v>5.4275E7</v>
      </c>
      <c r="E202" s="3"/>
      <c r="F202" s="2" t="s">
        <v>9</v>
      </c>
      <c r="G202" s="3">
        <v>4.7357910646000004E8</v>
      </c>
      <c r="H202" s="2"/>
      <c r="I202" s="7" t="s">
        <v>16</v>
      </c>
    </row>
    <row r="203">
      <c r="A203" s="1">
        <v>46063.0</v>
      </c>
      <c r="B203" s="2" t="s">
        <v>22</v>
      </c>
      <c r="C203" s="2" t="s">
        <v>255</v>
      </c>
      <c r="D203" s="2">
        <v>5.16E7</v>
      </c>
      <c r="E203" s="3"/>
      <c r="F203" s="2" t="s">
        <v>9</v>
      </c>
      <c r="G203" s="3">
        <v>4.2197910646000004E8</v>
      </c>
      <c r="I203" s="7" t="s">
        <v>16</v>
      </c>
    </row>
    <row r="204">
      <c r="A204" s="1">
        <v>46063.0</v>
      </c>
      <c r="B204" s="2" t="s">
        <v>22</v>
      </c>
      <c r="C204" s="2" t="s">
        <v>256</v>
      </c>
      <c r="D204" s="4">
        <v>4.71205E7</v>
      </c>
      <c r="E204" s="3"/>
      <c r="F204" s="2" t="s">
        <v>9</v>
      </c>
      <c r="G204" s="3">
        <v>3.7485860646000004E8</v>
      </c>
      <c r="H204" s="2"/>
      <c r="I204" s="7" t="s">
        <v>16</v>
      </c>
    </row>
    <row r="205">
      <c r="A205" s="1">
        <v>46063.0</v>
      </c>
      <c r="B205" s="2" t="s">
        <v>22</v>
      </c>
      <c r="C205" s="2" t="s">
        <v>257</v>
      </c>
      <c r="D205" s="4">
        <v>1.45E8</v>
      </c>
      <c r="E205" s="3"/>
      <c r="F205" s="2" t="s">
        <v>9</v>
      </c>
      <c r="G205" s="3">
        <v>2.2985860646000004E8</v>
      </c>
      <c r="H205" s="2" t="s">
        <v>258</v>
      </c>
      <c r="I205" s="7" t="s">
        <v>16</v>
      </c>
    </row>
    <row r="206">
      <c r="A206" s="1">
        <v>46064.0</v>
      </c>
      <c r="B206" s="2" t="s">
        <v>259</v>
      </c>
      <c r="C206" s="2" t="s">
        <v>260</v>
      </c>
      <c r="D206" s="4"/>
      <c r="E206" s="4">
        <v>5.376802E7</v>
      </c>
      <c r="F206" s="2" t="s">
        <v>4</v>
      </c>
      <c r="G206" s="3">
        <v>2.8362662646000004E8</v>
      </c>
      <c r="I206" s="6" t="s">
        <v>6</v>
      </c>
    </row>
    <row r="207">
      <c r="A207" s="1">
        <v>46064.0</v>
      </c>
      <c r="B207" s="2" t="s">
        <v>22</v>
      </c>
      <c r="C207" s="2" t="s">
        <v>261</v>
      </c>
      <c r="D207" s="4">
        <v>5.0E7</v>
      </c>
      <c r="E207" s="3"/>
      <c r="F207" s="2" t="s">
        <v>9</v>
      </c>
      <c r="G207" s="3">
        <v>2.3362662646000004E8</v>
      </c>
      <c r="I207" s="7" t="s">
        <v>16</v>
      </c>
    </row>
    <row r="208">
      <c r="A208" s="1">
        <v>46064.0</v>
      </c>
      <c r="B208" s="2" t="s">
        <v>22</v>
      </c>
      <c r="C208" s="2" t="s">
        <v>262</v>
      </c>
      <c r="D208" s="4">
        <v>5.21465E7</v>
      </c>
      <c r="E208" s="3"/>
      <c r="F208" s="2" t="s">
        <v>9</v>
      </c>
      <c r="G208" s="3">
        <v>1.8148012646000004E8</v>
      </c>
      <c r="I208" s="7" t="s">
        <v>16</v>
      </c>
    </row>
    <row r="209">
      <c r="A209" s="1">
        <v>46064.0</v>
      </c>
      <c r="B209" s="2" t="s">
        <v>22</v>
      </c>
      <c r="C209" s="2" t="s">
        <v>263</v>
      </c>
      <c r="D209" s="4">
        <v>1.017467E8</v>
      </c>
      <c r="E209" s="3"/>
      <c r="F209" s="2" t="s">
        <v>9</v>
      </c>
      <c r="G209" s="3">
        <v>7.973342646000004E7</v>
      </c>
      <c r="I209" s="7" t="s">
        <v>16</v>
      </c>
    </row>
    <row r="210">
      <c r="A210" s="1">
        <v>46064.0</v>
      </c>
      <c r="B210" s="2" t="s">
        <v>22</v>
      </c>
      <c r="C210" s="2" t="s">
        <v>264</v>
      </c>
      <c r="D210" s="4">
        <v>6.475E7</v>
      </c>
      <c r="E210" s="3"/>
      <c r="F210" s="2" t="s">
        <v>9</v>
      </c>
      <c r="G210" s="3">
        <v>1.4983426460000038E7</v>
      </c>
      <c r="I210" s="7" t="s">
        <v>16</v>
      </c>
    </row>
    <row r="211">
      <c r="A211" s="1">
        <v>46064.0</v>
      </c>
      <c r="B211" s="2" t="s">
        <v>22</v>
      </c>
      <c r="C211" s="2" t="s">
        <v>265</v>
      </c>
      <c r="D211" s="4">
        <v>3431890.0</v>
      </c>
      <c r="E211" s="3"/>
      <c r="F211" s="2" t="s">
        <v>9</v>
      </c>
      <c r="G211" s="3">
        <v>1.1551536460000038E7</v>
      </c>
      <c r="I211" s="7" t="s">
        <v>10</v>
      </c>
    </row>
    <row r="212">
      <c r="A212" s="1">
        <v>46064.0</v>
      </c>
      <c r="B212" s="2" t="s">
        <v>22</v>
      </c>
      <c r="C212" s="2" t="s">
        <v>266</v>
      </c>
      <c r="D212" s="4">
        <v>2665550.0</v>
      </c>
      <c r="E212" s="3"/>
      <c r="F212" s="2" t="s">
        <v>9</v>
      </c>
      <c r="G212" s="3">
        <v>8885986.460000038</v>
      </c>
      <c r="I212" s="7" t="s">
        <v>10</v>
      </c>
    </row>
    <row r="213">
      <c r="A213" s="1">
        <v>46064.0</v>
      </c>
      <c r="B213" s="2" t="s">
        <v>52</v>
      </c>
      <c r="C213" s="2" t="s">
        <v>267</v>
      </c>
      <c r="D213" s="4">
        <v>2641000.0</v>
      </c>
      <c r="E213" s="3"/>
      <c r="F213" s="2" t="s">
        <v>9</v>
      </c>
      <c r="G213" s="3">
        <v>6244986.460000038</v>
      </c>
      <c r="H213" s="2" t="s">
        <v>268</v>
      </c>
      <c r="I213" s="7" t="s">
        <v>6</v>
      </c>
    </row>
    <row r="214">
      <c r="A214" s="1">
        <v>46064.0</v>
      </c>
      <c r="B214" s="2" t="s">
        <v>52</v>
      </c>
      <c r="C214" s="2" t="s">
        <v>269</v>
      </c>
      <c r="D214" s="4">
        <v>2500.0</v>
      </c>
      <c r="E214" s="3"/>
      <c r="F214" s="2" t="s">
        <v>9</v>
      </c>
      <c r="G214" s="3">
        <v>6242486.460000038</v>
      </c>
      <c r="H214" s="2" t="s">
        <v>270</v>
      </c>
      <c r="I214" s="7" t="s">
        <v>13</v>
      </c>
    </row>
    <row r="215">
      <c r="A215" s="1">
        <v>46064.0</v>
      </c>
      <c r="B215" s="2" t="s">
        <v>41</v>
      </c>
      <c r="C215" s="2" t="s">
        <v>271</v>
      </c>
      <c r="D215" s="4">
        <v>750000.0</v>
      </c>
      <c r="E215" s="3"/>
      <c r="G215" s="3">
        <v>5492486.460000038</v>
      </c>
      <c r="H215" s="2"/>
      <c r="I215" s="6" t="s">
        <v>6</v>
      </c>
    </row>
    <row r="216">
      <c r="A216" s="1">
        <v>46064.0</v>
      </c>
      <c r="B216" s="2" t="s">
        <v>52</v>
      </c>
      <c r="C216" s="2" t="s">
        <v>272</v>
      </c>
      <c r="D216" s="2">
        <v>1525000.0</v>
      </c>
      <c r="E216" s="3"/>
      <c r="F216" s="2" t="s">
        <v>9</v>
      </c>
      <c r="G216" s="3">
        <v>3967486.460000038</v>
      </c>
      <c r="I216" s="6" t="s">
        <v>6</v>
      </c>
    </row>
    <row r="217">
      <c r="A217" s="1">
        <v>46064.0</v>
      </c>
      <c r="B217" s="2" t="s">
        <v>52</v>
      </c>
      <c r="C217" s="2" t="s">
        <v>273</v>
      </c>
      <c r="D217" s="4">
        <v>2500.0</v>
      </c>
      <c r="E217" s="3"/>
      <c r="F217" s="2" t="s">
        <v>9</v>
      </c>
      <c r="G217" s="3">
        <v>3964986.460000038</v>
      </c>
      <c r="H217" s="2"/>
      <c r="I217" s="7" t="s">
        <v>13</v>
      </c>
    </row>
    <row r="218">
      <c r="A218" s="1">
        <v>46064.0</v>
      </c>
      <c r="B218" s="2" t="s">
        <v>17</v>
      </c>
      <c r="C218" s="2" t="s">
        <v>274</v>
      </c>
      <c r="D218" s="4"/>
      <c r="E218" s="4">
        <v>4.71205E7</v>
      </c>
      <c r="F218" s="2" t="s">
        <v>4</v>
      </c>
      <c r="G218" s="3">
        <v>5.108548646000004E7</v>
      </c>
      <c r="I218" s="6" t="s">
        <v>6</v>
      </c>
    </row>
    <row r="219">
      <c r="A219" s="1">
        <v>46064.0</v>
      </c>
      <c r="B219" s="2" t="s">
        <v>17</v>
      </c>
      <c r="C219" s="2" t="s">
        <v>275</v>
      </c>
      <c r="D219" s="4"/>
      <c r="E219" s="4">
        <v>2.30580765E8</v>
      </c>
      <c r="F219" s="2" t="s">
        <v>4</v>
      </c>
      <c r="G219" s="3">
        <v>2.8166625146000004E8</v>
      </c>
      <c r="I219" s="6"/>
    </row>
    <row r="220">
      <c r="A220" s="1">
        <v>46064.0</v>
      </c>
      <c r="B220" s="2" t="s">
        <v>22</v>
      </c>
      <c r="C220" s="2" t="s">
        <v>276</v>
      </c>
      <c r="D220" s="4">
        <v>50000.0</v>
      </c>
      <c r="E220" s="3"/>
      <c r="F220" s="2" t="s">
        <v>9</v>
      </c>
      <c r="G220" s="3">
        <v>2.8161625146000004E8</v>
      </c>
      <c r="I220" s="6" t="s">
        <v>6</v>
      </c>
    </row>
    <row r="221">
      <c r="A221" s="1">
        <v>46064.0</v>
      </c>
      <c r="B221" s="2" t="s">
        <v>52</v>
      </c>
      <c r="C221" s="8" t="s">
        <v>135</v>
      </c>
      <c r="D221" s="4">
        <v>135000.0</v>
      </c>
      <c r="E221" s="3"/>
      <c r="F221" s="2" t="s">
        <v>9</v>
      </c>
      <c r="G221" s="3">
        <v>2.8148125146000004E8</v>
      </c>
      <c r="H221" s="2"/>
      <c r="I221" s="7" t="s">
        <v>6</v>
      </c>
    </row>
    <row r="222">
      <c r="A222" s="1">
        <v>46064.0</v>
      </c>
      <c r="B222" s="2" t="s">
        <v>52</v>
      </c>
      <c r="C222" s="8" t="s">
        <v>136</v>
      </c>
      <c r="D222" s="4">
        <v>2500.0</v>
      </c>
      <c r="E222" s="3"/>
      <c r="F222" s="2" t="s">
        <v>9</v>
      </c>
      <c r="G222" s="3">
        <v>2.8147875146000004E8</v>
      </c>
      <c r="I222" s="7" t="s">
        <v>13</v>
      </c>
    </row>
    <row r="223">
      <c r="A223" s="1">
        <v>46064.0</v>
      </c>
      <c r="B223" s="2" t="s">
        <v>277</v>
      </c>
      <c r="C223" s="2" t="s">
        <v>277</v>
      </c>
      <c r="D223" s="4">
        <v>500000.0</v>
      </c>
      <c r="E223" s="3"/>
      <c r="G223" s="3">
        <v>2.8097875146000004E8</v>
      </c>
      <c r="I223" s="7" t="s">
        <v>6</v>
      </c>
    </row>
    <row r="224">
      <c r="A224" s="1">
        <v>46064.0</v>
      </c>
      <c r="B224" s="2" t="s">
        <v>17</v>
      </c>
      <c r="C224" s="2" t="s">
        <v>278</v>
      </c>
      <c r="D224" s="4"/>
      <c r="E224" s="4">
        <v>2.2927825E8</v>
      </c>
      <c r="F224" s="2" t="s">
        <v>4</v>
      </c>
      <c r="G224" s="3">
        <v>5.1025700146000004E8</v>
      </c>
      <c r="I224" s="6"/>
    </row>
    <row r="225">
      <c r="A225" s="1">
        <v>46064.0</v>
      </c>
      <c r="B225" s="2" t="s">
        <v>279</v>
      </c>
      <c r="C225" s="2" t="s">
        <v>280</v>
      </c>
      <c r="D225" s="4">
        <v>218500.0</v>
      </c>
      <c r="E225" s="3"/>
      <c r="G225" s="3">
        <v>5.1003850146000004E8</v>
      </c>
      <c r="I225" s="7" t="s">
        <v>6</v>
      </c>
    </row>
    <row r="226">
      <c r="A226" s="1">
        <v>46064.0</v>
      </c>
      <c r="B226" s="2" t="s">
        <v>17</v>
      </c>
      <c r="C226" s="2" t="s">
        <v>281</v>
      </c>
      <c r="D226" s="4"/>
      <c r="E226" s="4">
        <v>6.8337E7</v>
      </c>
      <c r="F226" s="2" t="s">
        <v>4</v>
      </c>
      <c r="G226" s="3">
        <v>5.7837550146E8</v>
      </c>
      <c r="I226" s="6"/>
    </row>
    <row r="227">
      <c r="A227" s="1">
        <v>46064.0</v>
      </c>
      <c r="B227" s="2" t="s">
        <v>22</v>
      </c>
      <c r="C227" s="2" t="s">
        <v>282</v>
      </c>
      <c r="D227" s="4">
        <v>5.916E7</v>
      </c>
      <c r="E227" s="3"/>
      <c r="F227" s="2" t="s">
        <v>9</v>
      </c>
      <c r="G227" s="3">
        <v>5.1921550146000004E8</v>
      </c>
      <c r="H227" s="2" t="s">
        <v>283</v>
      </c>
      <c r="I227" s="7" t="s">
        <v>16</v>
      </c>
    </row>
    <row r="228">
      <c r="A228" s="1">
        <v>46064.0</v>
      </c>
      <c r="B228" s="2" t="s">
        <v>22</v>
      </c>
      <c r="C228" s="2" t="s">
        <v>284</v>
      </c>
      <c r="D228" s="4">
        <v>1.783473E8</v>
      </c>
      <c r="E228" s="3"/>
      <c r="F228" s="2" t="s">
        <v>9</v>
      </c>
      <c r="G228" s="3">
        <v>3.4086820146000004E8</v>
      </c>
      <c r="H228" s="2" t="s">
        <v>285</v>
      </c>
      <c r="I228" s="7" t="s">
        <v>16</v>
      </c>
    </row>
    <row r="229">
      <c r="A229" s="1">
        <v>46064.0</v>
      </c>
      <c r="B229" s="2" t="s">
        <v>17</v>
      </c>
      <c r="C229" s="2" t="s">
        <v>286</v>
      </c>
      <c r="D229" s="4"/>
      <c r="E229" s="4">
        <v>1.0918245E8</v>
      </c>
      <c r="F229" s="2" t="s">
        <v>4</v>
      </c>
      <c r="G229" s="3">
        <v>4.5005065146000004E8</v>
      </c>
      <c r="H229" s="2"/>
      <c r="I229" s="6" t="s">
        <v>6</v>
      </c>
    </row>
    <row r="230">
      <c r="A230" s="1">
        <v>46064.0</v>
      </c>
      <c r="B230" s="2" t="s">
        <v>22</v>
      </c>
      <c r="C230" s="2" t="s">
        <v>287</v>
      </c>
      <c r="D230" s="2">
        <v>1.275946E8</v>
      </c>
      <c r="E230" s="3"/>
      <c r="F230" s="2" t="s">
        <v>9</v>
      </c>
      <c r="G230" s="3">
        <v>3.2245605146000004E8</v>
      </c>
      <c r="I230" s="7" t="s">
        <v>16</v>
      </c>
    </row>
    <row r="231">
      <c r="A231" s="1">
        <v>46064.0</v>
      </c>
      <c r="B231" s="2" t="s">
        <v>22</v>
      </c>
      <c r="C231" s="2" t="s">
        <v>288</v>
      </c>
      <c r="D231" s="4">
        <v>1.21499E8</v>
      </c>
      <c r="E231" s="3"/>
      <c r="F231" s="2" t="s">
        <v>9</v>
      </c>
      <c r="G231" s="3">
        <v>2.0095705146000004E8</v>
      </c>
      <c r="H231" s="2"/>
      <c r="I231" s="7" t="s">
        <v>16</v>
      </c>
    </row>
    <row r="232">
      <c r="A232" s="1">
        <v>46064.0</v>
      </c>
      <c r="B232" s="2" t="s">
        <v>22</v>
      </c>
      <c r="C232" s="2" t="s">
        <v>289</v>
      </c>
      <c r="D232" s="4">
        <v>5.01E7</v>
      </c>
      <c r="E232" s="3"/>
      <c r="F232" s="2" t="s">
        <v>9</v>
      </c>
      <c r="G232" s="3">
        <v>1.5085705146000004E8</v>
      </c>
      <c r="I232" s="7" t="s">
        <v>16</v>
      </c>
    </row>
    <row r="233">
      <c r="A233" s="1">
        <v>46064.0</v>
      </c>
      <c r="B233" s="2" t="s">
        <v>22</v>
      </c>
      <c r="C233" s="2" t="s">
        <v>290</v>
      </c>
      <c r="D233" s="4">
        <v>900000.0</v>
      </c>
      <c r="E233" s="3"/>
      <c r="F233" s="2" t="s">
        <v>9</v>
      </c>
      <c r="G233" s="3">
        <v>1.4995705146000004E8</v>
      </c>
      <c r="H233" s="2" t="s">
        <v>291</v>
      </c>
      <c r="I233" s="7" t="s">
        <v>67</v>
      </c>
    </row>
    <row r="234">
      <c r="A234" s="1">
        <v>46065.0</v>
      </c>
      <c r="B234" s="2" t="s">
        <v>292</v>
      </c>
      <c r="C234" s="2" t="s">
        <v>293</v>
      </c>
      <c r="D234" s="4"/>
      <c r="E234" s="4">
        <v>5.35E7</v>
      </c>
      <c r="F234" s="2" t="s">
        <v>4</v>
      </c>
      <c r="G234" s="3">
        <v>2.0345705146000004E8</v>
      </c>
      <c r="I234" s="6"/>
    </row>
    <row r="235">
      <c r="A235" s="1">
        <v>46065.0</v>
      </c>
      <c r="B235" s="2" t="s">
        <v>22</v>
      </c>
      <c r="C235" s="2" t="s">
        <v>294</v>
      </c>
      <c r="D235" s="4">
        <v>5.6925E7</v>
      </c>
      <c r="E235" s="3"/>
      <c r="F235" s="2" t="s">
        <v>9</v>
      </c>
      <c r="G235" s="3">
        <v>1.4653205146000004E8</v>
      </c>
      <c r="I235" s="7" t="s">
        <v>16</v>
      </c>
    </row>
    <row r="236">
      <c r="A236" s="1">
        <v>46065.0</v>
      </c>
      <c r="B236" s="2" t="s">
        <v>22</v>
      </c>
      <c r="C236" s="2" t="s">
        <v>295</v>
      </c>
      <c r="D236" s="4">
        <v>7.658616E7</v>
      </c>
      <c r="E236" s="3"/>
      <c r="F236" s="2" t="s">
        <v>9</v>
      </c>
      <c r="G236" s="3">
        <v>6.994589146000004E7</v>
      </c>
      <c r="I236" s="7" t="s">
        <v>16</v>
      </c>
    </row>
    <row r="237">
      <c r="A237" s="1">
        <v>46065.0</v>
      </c>
      <c r="B237" s="2" t="s">
        <v>22</v>
      </c>
      <c r="C237" s="2" t="s">
        <v>296</v>
      </c>
      <c r="D237" s="4">
        <v>911740.0</v>
      </c>
      <c r="E237" s="3"/>
      <c r="F237" s="2" t="s">
        <v>9</v>
      </c>
      <c r="G237" s="3">
        <v>6.903415146000004E7</v>
      </c>
      <c r="I237" s="7" t="s">
        <v>67</v>
      </c>
    </row>
    <row r="238">
      <c r="A238" s="1">
        <v>46065.0</v>
      </c>
      <c r="B238" s="2" t="s">
        <v>297</v>
      </c>
      <c r="C238" s="2" t="s">
        <v>297</v>
      </c>
      <c r="D238" s="4">
        <v>1000000.0</v>
      </c>
      <c r="E238" s="3"/>
      <c r="G238" s="3">
        <v>6.803415146000004E7</v>
      </c>
      <c r="I238" s="6" t="s">
        <v>13</v>
      </c>
    </row>
    <row r="239">
      <c r="A239" s="1">
        <v>46065.0</v>
      </c>
      <c r="B239" s="2" t="s">
        <v>22</v>
      </c>
      <c r="C239" s="2" t="s">
        <v>298</v>
      </c>
      <c r="D239" s="4">
        <v>2062770.0</v>
      </c>
      <c r="E239" s="3"/>
      <c r="F239" s="2" t="s">
        <v>9</v>
      </c>
      <c r="G239" s="3">
        <v>6.597138146000004E7</v>
      </c>
      <c r="I239" s="7" t="s">
        <v>10</v>
      </c>
    </row>
    <row r="240">
      <c r="A240" s="1">
        <v>46065.0</v>
      </c>
      <c r="B240" s="2" t="s">
        <v>22</v>
      </c>
      <c r="C240" s="2" t="s">
        <v>299</v>
      </c>
      <c r="D240" s="4">
        <v>550000.0</v>
      </c>
      <c r="E240" s="3"/>
      <c r="F240" s="2" t="s">
        <v>9</v>
      </c>
      <c r="G240" s="3">
        <v>6.542138146000004E7</v>
      </c>
      <c r="I240" s="7" t="s">
        <v>10</v>
      </c>
    </row>
    <row r="241">
      <c r="A241" s="1">
        <v>46065.0</v>
      </c>
      <c r="B241" s="2" t="s">
        <v>22</v>
      </c>
      <c r="C241" s="2" t="s">
        <v>300</v>
      </c>
      <c r="D241" s="4">
        <v>1.40633E7</v>
      </c>
      <c r="E241" s="3"/>
      <c r="F241" s="2" t="s">
        <v>9</v>
      </c>
      <c r="G241" s="3">
        <v>5.135808146000004E7</v>
      </c>
      <c r="H241" s="2" t="s">
        <v>301</v>
      </c>
      <c r="I241" s="7" t="s">
        <v>10</v>
      </c>
    </row>
    <row r="242">
      <c r="A242" s="1">
        <v>46066.0</v>
      </c>
      <c r="B242" s="2" t="s">
        <v>302</v>
      </c>
      <c r="C242" s="2" t="s">
        <v>303</v>
      </c>
      <c r="D242" s="4">
        <v>900000.0</v>
      </c>
      <c r="E242" s="3"/>
      <c r="F242" s="2" t="s">
        <v>9</v>
      </c>
      <c r="G242" s="3">
        <v>5.045808146000004E7</v>
      </c>
      <c r="H242" s="2" t="s">
        <v>304</v>
      </c>
      <c r="I242" s="7" t="s">
        <v>67</v>
      </c>
    </row>
    <row r="243">
      <c r="A243" s="1">
        <v>46066.0</v>
      </c>
      <c r="B243" s="2" t="s">
        <v>302</v>
      </c>
      <c r="C243" s="2" t="s">
        <v>305</v>
      </c>
      <c r="D243" s="4">
        <v>2500.0</v>
      </c>
      <c r="E243" s="3"/>
      <c r="F243" s="2" t="s">
        <v>9</v>
      </c>
      <c r="G243" s="3">
        <v>5.045558146000004E7</v>
      </c>
      <c r="I243" s="7" t="s">
        <v>13</v>
      </c>
    </row>
    <row r="244">
      <c r="A244" s="1">
        <v>46066.0</v>
      </c>
      <c r="B244" s="2" t="s">
        <v>306</v>
      </c>
      <c r="C244" s="2" t="s">
        <v>307</v>
      </c>
      <c r="D244" s="4"/>
      <c r="E244" s="4">
        <v>4.0E7</v>
      </c>
      <c r="F244" s="2" t="s">
        <v>4</v>
      </c>
      <c r="G244" s="3">
        <v>9.045558146000004E7</v>
      </c>
      <c r="I244" s="6"/>
    </row>
    <row r="245">
      <c r="A245" s="1">
        <v>46066.0</v>
      </c>
      <c r="B245" s="2" t="s">
        <v>17</v>
      </c>
      <c r="C245" s="2" t="s">
        <v>308</v>
      </c>
      <c r="D245" s="4"/>
      <c r="E245" s="4">
        <v>3.0805178E8</v>
      </c>
      <c r="F245" s="2" t="s">
        <v>4</v>
      </c>
      <c r="G245" s="3">
        <v>3.9850736146000004E8</v>
      </c>
      <c r="H245" s="2"/>
      <c r="I245" s="6"/>
    </row>
    <row r="246">
      <c r="A246" s="1">
        <v>46066.0</v>
      </c>
      <c r="B246" s="2" t="s">
        <v>22</v>
      </c>
      <c r="C246" s="2" t="s">
        <v>309</v>
      </c>
      <c r="D246" s="2">
        <v>1.02E8</v>
      </c>
      <c r="E246" s="3"/>
      <c r="F246" s="2" t="s">
        <v>9</v>
      </c>
      <c r="G246" s="3">
        <v>2.9650736146000004E8</v>
      </c>
      <c r="I246" s="7" t="s">
        <v>16</v>
      </c>
    </row>
    <row r="247">
      <c r="A247" s="1">
        <v>46066.0</v>
      </c>
      <c r="B247" s="2" t="s">
        <v>22</v>
      </c>
      <c r="C247" s="2" t="s">
        <v>310</v>
      </c>
      <c r="D247" s="4">
        <v>6.072621E7</v>
      </c>
      <c r="E247" s="3"/>
      <c r="F247" s="2" t="s">
        <v>9</v>
      </c>
      <c r="G247" s="3">
        <v>2.3578115146000004E8</v>
      </c>
      <c r="H247" s="2"/>
      <c r="I247" s="7" t="s">
        <v>16</v>
      </c>
    </row>
    <row r="248">
      <c r="A248" s="1">
        <v>46066.0</v>
      </c>
      <c r="B248" s="2" t="s">
        <v>22</v>
      </c>
      <c r="C248" s="2" t="s">
        <v>311</v>
      </c>
      <c r="D248" s="4">
        <v>4.992E7</v>
      </c>
      <c r="E248" s="3"/>
      <c r="F248" s="2" t="s">
        <v>9</v>
      </c>
      <c r="G248" s="3">
        <v>1.8586115146000004E8</v>
      </c>
      <c r="I248" s="7" t="s">
        <v>16</v>
      </c>
    </row>
    <row r="249">
      <c r="A249" s="1">
        <v>46066.0</v>
      </c>
      <c r="B249" s="2" t="s">
        <v>22</v>
      </c>
      <c r="C249" s="2" t="s">
        <v>312</v>
      </c>
      <c r="D249" s="4">
        <v>5.02412E7</v>
      </c>
      <c r="E249" s="3"/>
      <c r="F249" s="2" t="s">
        <v>9</v>
      </c>
      <c r="G249" s="3">
        <v>1.3561995146000004E8</v>
      </c>
      <c r="I249" s="7" t="s">
        <v>16</v>
      </c>
    </row>
    <row r="250">
      <c r="A250" s="1">
        <v>46066.0</v>
      </c>
      <c r="B250" s="2" t="s">
        <v>22</v>
      </c>
      <c r="C250" s="2" t="s">
        <v>313</v>
      </c>
      <c r="D250" s="4">
        <v>9.27474E7</v>
      </c>
      <c r="E250" s="3"/>
      <c r="F250" s="2" t="s">
        <v>9</v>
      </c>
      <c r="G250" s="3">
        <v>4.287255146000004E7</v>
      </c>
      <c r="I250" s="7" t="s">
        <v>16</v>
      </c>
    </row>
    <row r="251">
      <c r="A251" s="1">
        <v>46066.0</v>
      </c>
      <c r="B251" s="2" t="s">
        <v>22</v>
      </c>
      <c r="C251" s="2" t="s">
        <v>314</v>
      </c>
      <c r="D251" s="4">
        <v>1.0E7</v>
      </c>
      <c r="E251" s="3"/>
      <c r="F251" s="2" t="s">
        <v>9</v>
      </c>
      <c r="G251" s="3">
        <v>3.287255146000004E7</v>
      </c>
      <c r="I251" s="7" t="s">
        <v>16</v>
      </c>
    </row>
    <row r="252">
      <c r="A252" s="1">
        <v>46066.0</v>
      </c>
      <c r="B252" s="2" t="s">
        <v>17</v>
      </c>
      <c r="C252" s="2" t="s">
        <v>315</v>
      </c>
      <c r="D252" s="4"/>
      <c r="E252" s="4">
        <v>5.28E7</v>
      </c>
      <c r="F252" s="2" t="s">
        <v>4</v>
      </c>
      <c r="G252" s="3">
        <v>8.567255146000004E7</v>
      </c>
      <c r="H252" s="2"/>
      <c r="I252" s="6"/>
    </row>
    <row r="253">
      <c r="A253" s="1">
        <v>46066.0</v>
      </c>
      <c r="B253" s="2" t="s">
        <v>17</v>
      </c>
      <c r="C253" s="8" t="s">
        <v>315</v>
      </c>
      <c r="D253" s="4"/>
      <c r="E253" s="4">
        <v>5.28E7</v>
      </c>
      <c r="F253" s="2" t="s">
        <v>4</v>
      </c>
      <c r="G253" s="3">
        <v>1.3847255146000004E8</v>
      </c>
      <c r="H253" s="2" t="s">
        <v>316</v>
      </c>
      <c r="I253" s="6"/>
    </row>
    <row r="254">
      <c r="A254" s="1">
        <v>46066.0</v>
      </c>
      <c r="B254" s="2" t="s">
        <v>17</v>
      </c>
      <c r="C254" s="2" t="s">
        <v>317</v>
      </c>
      <c r="D254" s="4"/>
      <c r="E254" s="4">
        <v>5.22E7</v>
      </c>
      <c r="F254" s="2" t="s">
        <v>4</v>
      </c>
      <c r="G254" s="3">
        <v>1.9067255146000004E8</v>
      </c>
      <c r="H254" s="2" t="s">
        <v>318</v>
      </c>
      <c r="I254" s="6"/>
    </row>
    <row r="255">
      <c r="A255" s="1">
        <v>46066.0</v>
      </c>
      <c r="B255" s="2" t="s">
        <v>17</v>
      </c>
      <c r="C255" s="2" t="s">
        <v>319</v>
      </c>
      <c r="D255" s="4"/>
      <c r="E255" s="4">
        <v>5.28E7</v>
      </c>
      <c r="F255" s="2" t="s">
        <v>4</v>
      </c>
      <c r="G255" s="3">
        <v>2.4347255146000004E8</v>
      </c>
      <c r="H255" s="2"/>
      <c r="I255" s="6"/>
    </row>
    <row r="256">
      <c r="A256" s="1">
        <v>46066.0</v>
      </c>
      <c r="B256" s="2" t="s">
        <v>17</v>
      </c>
      <c r="C256" s="2" t="s">
        <v>320</v>
      </c>
      <c r="D256" s="4"/>
      <c r="E256" s="4">
        <v>5.28E7</v>
      </c>
      <c r="F256" s="2" t="s">
        <v>4</v>
      </c>
      <c r="G256" s="3">
        <v>2.9627255146000004E8</v>
      </c>
      <c r="I256" s="6"/>
    </row>
    <row r="257">
      <c r="A257" s="1">
        <v>46066.0</v>
      </c>
      <c r="B257" s="2" t="s">
        <v>17</v>
      </c>
      <c r="C257" s="2" t="s">
        <v>321</v>
      </c>
      <c r="D257" s="4"/>
      <c r="E257" s="4">
        <v>1.727E7</v>
      </c>
      <c r="F257" s="2" t="s">
        <v>4</v>
      </c>
      <c r="G257" s="3">
        <v>3.1354255146000004E8</v>
      </c>
      <c r="I257" s="6"/>
    </row>
    <row r="258">
      <c r="A258" s="1">
        <v>46066.0</v>
      </c>
      <c r="B258" s="2" t="s">
        <v>22</v>
      </c>
      <c r="C258" s="2" t="s">
        <v>322</v>
      </c>
      <c r="D258" s="4">
        <v>105000.0</v>
      </c>
      <c r="E258" s="3"/>
      <c r="F258" s="2" t="s">
        <v>9</v>
      </c>
      <c r="G258" s="3">
        <v>3.1343755146000004E8</v>
      </c>
      <c r="I258" s="7" t="s">
        <v>6</v>
      </c>
    </row>
    <row r="259">
      <c r="A259" s="1">
        <v>46066.0</v>
      </c>
      <c r="B259" s="2" t="s">
        <v>22</v>
      </c>
      <c r="C259" s="2" t="s">
        <v>323</v>
      </c>
      <c r="D259" s="4">
        <v>9.80766E7</v>
      </c>
      <c r="E259" s="3"/>
      <c r="F259" s="2" t="s">
        <v>9</v>
      </c>
      <c r="G259" s="3">
        <v>2.1536095146000004E8</v>
      </c>
      <c r="I259" s="6" t="s">
        <v>16</v>
      </c>
    </row>
    <row r="260">
      <c r="A260" s="1">
        <v>46066.0</v>
      </c>
      <c r="B260" s="2" t="s">
        <v>22</v>
      </c>
      <c r="C260" s="2" t="s">
        <v>324</v>
      </c>
      <c r="D260" s="4">
        <v>5.790225E7</v>
      </c>
      <c r="E260" s="3"/>
      <c r="F260" s="2" t="s">
        <v>9</v>
      </c>
      <c r="G260" s="3">
        <v>1.5745870146000004E8</v>
      </c>
      <c r="I260" s="6" t="s">
        <v>16</v>
      </c>
    </row>
    <row r="261">
      <c r="A261" s="1">
        <v>46066.0</v>
      </c>
      <c r="B261" s="2" t="s">
        <v>22</v>
      </c>
      <c r="C261" s="2" t="s">
        <v>325</v>
      </c>
      <c r="D261" s="4">
        <v>5.25E7</v>
      </c>
      <c r="E261" s="3"/>
      <c r="F261" s="2" t="s">
        <v>9</v>
      </c>
      <c r="G261" s="3">
        <v>1.0495870146000004E8</v>
      </c>
      <c r="I261" s="6" t="s">
        <v>16</v>
      </c>
    </row>
    <row r="262">
      <c r="A262" s="1">
        <v>46066.0</v>
      </c>
      <c r="B262" s="2" t="s">
        <v>22</v>
      </c>
      <c r="C262" s="2" t="s">
        <v>326</v>
      </c>
      <c r="D262" s="4">
        <v>4.86E7</v>
      </c>
      <c r="E262" s="3"/>
      <c r="F262" s="2" t="s">
        <v>9</v>
      </c>
      <c r="G262" s="3">
        <v>5.635870146000004E7</v>
      </c>
      <c r="I262" s="6" t="s">
        <v>16</v>
      </c>
    </row>
    <row r="263">
      <c r="A263" s="1">
        <v>46066.0</v>
      </c>
      <c r="B263" s="2" t="s">
        <v>22</v>
      </c>
      <c r="C263" s="2" t="s">
        <v>327</v>
      </c>
      <c r="D263" s="4">
        <v>32000.0</v>
      </c>
      <c r="E263" s="3"/>
      <c r="F263" s="2" t="s">
        <v>9</v>
      </c>
      <c r="G263" s="3">
        <v>5.632670146000004E7</v>
      </c>
      <c r="H263" s="2"/>
      <c r="I263" s="7" t="s">
        <v>6</v>
      </c>
    </row>
    <row r="264">
      <c r="A264" s="1">
        <v>46066.0</v>
      </c>
      <c r="B264" s="2" t="s">
        <v>17</v>
      </c>
      <c r="C264" s="2" t="s">
        <v>328</v>
      </c>
      <c r="D264" s="2"/>
      <c r="E264" s="4">
        <v>2.2357828E8</v>
      </c>
      <c r="F264" s="2" t="s">
        <v>4</v>
      </c>
      <c r="G264" s="3">
        <v>2.7990498146000004E8</v>
      </c>
      <c r="I264" s="6" t="s">
        <v>16</v>
      </c>
    </row>
    <row r="265">
      <c r="A265" s="1">
        <v>46066.0</v>
      </c>
      <c r="B265" s="2" t="s">
        <v>22</v>
      </c>
      <c r="C265" s="2" t="s">
        <v>329</v>
      </c>
      <c r="D265" s="4">
        <v>1.53E8</v>
      </c>
      <c r="E265" s="3"/>
      <c r="F265" s="2" t="s">
        <v>9</v>
      </c>
      <c r="G265" s="3">
        <v>1.2690498146000004E8</v>
      </c>
      <c r="H265" s="2" t="s">
        <v>330</v>
      </c>
      <c r="I265" s="6" t="s">
        <v>13</v>
      </c>
    </row>
    <row r="266">
      <c r="A266" s="1">
        <v>46067.0</v>
      </c>
      <c r="B266" s="2" t="s">
        <v>331</v>
      </c>
      <c r="C266" s="2" t="s">
        <v>332</v>
      </c>
      <c r="D266" s="4">
        <v>8.709532E7</v>
      </c>
      <c r="E266" s="3"/>
      <c r="F266" s="2" t="s">
        <v>9</v>
      </c>
      <c r="G266" s="3">
        <v>3.980966146000004E7</v>
      </c>
      <c r="H266" s="2" t="s">
        <v>333</v>
      </c>
      <c r="I266" s="6" t="s">
        <v>16</v>
      </c>
    </row>
    <row r="267">
      <c r="A267" s="1">
        <v>46067.0</v>
      </c>
      <c r="B267" s="2" t="s">
        <v>17</v>
      </c>
      <c r="C267" s="2" t="s">
        <v>334</v>
      </c>
      <c r="D267" s="4"/>
      <c r="E267" s="4">
        <v>9.808614E7</v>
      </c>
      <c r="F267" s="2" t="s">
        <v>4</v>
      </c>
      <c r="G267" s="3">
        <v>1.3789580146000004E8</v>
      </c>
      <c r="I267" s="6" t="s">
        <v>16</v>
      </c>
    </row>
    <row r="268">
      <c r="A268" s="1">
        <v>46067.0</v>
      </c>
      <c r="B268" s="2" t="s">
        <v>22</v>
      </c>
      <c r="C268" s="2" t="s">
        <v>335</v>
      </c>
      <c r="D268" s="4">
        <v>2440340.0</v>
      </c>
      <c r="E268" s="3"/>
      <c r="F268" s="2" t="s">
        <v>9</v>
      </c>
      <c r="G268" s="3">
        <v>1.3545546146000004E8</v>
      </c>
      <c r="I268" s="7" t="s">
        <v>10</v>
      </c>
    </row>
    <row r="269">
      <c r="A269" s="1">
        <v>46067.0</v>
      </c>
      <c r="B269" s="2" t="s">
        <v>22</v>
      </c>
      <c r="C269" s="2" t="s">
        <v>336</v>
      </c>
      <c r="D269" s="4">
        <v>2579700.0</v>
      </c>
      <c r="E269" s="3"/>
      <c r="F269" s="2" t="s">
        <v>9</v>
      </c>
      <c r="G269" s="3">
        <v>1.3287576146000004E8</v>
      </c>
      <c r="I269" s="7" t="s">
        <v>10</v>
      </c>
    </row>
    <row r="270">
      <c r="A270" s="1">
        <v>46067.0</v>
      </c>
      <c r="B270" s="2" t="s">
        <v>17</v>
      </c>
      <c r="C270" s="2" t="s">
        <v>337</v>
      </c>
      <c r="D270" s="4"/>
      <c r="E270" s="4">
        <v>5.976E7</v>
      </c>
      <c r="F270" s="2" t="s">
        <v>4</v>
      </c>
      <c r="G270" s="3">
        <v>1.9263576146000004E8</v>
      </c>
      <c r="I270" s="6" t="s">
        <v>16</v>
      </c>
    </row>
    <row r="271">
      <c r="A271" s="1">
        <v>46067.0</v>
      </c>
      <c r="B271" s="2" t="s">
        <v>17</v>
      </c>
      <c r="C271" s="2" t="s">
        <v>338</v>
      </c>
      <c r="D271" s="4"/>
      <c r="E271" s="4">
        <v>5.120645E7</v>
      </c>
      <c r="F271" s="2" t="s">
        <v>4</v>
      </c>
      <c r="G271" s="3">
        <v>2.4384221146000004E8</v>
      </c>
      <c r="I271" s="6" t="s">
        <v>16</v>
      </c>
    </row>
    <row r="272">
      <c r="A272" s="1">
        <v>46067.0</v>
      </c>
      <c r="B272" s="2" t="s">
        <v>22</v>
      </c>
      <c r="C272" s="2" t="s">
        <v>339</v>
      </c>
      <c r="D272" s="4">
        <v>4.9533E7</v>
      </c>
      <c r="E272" s="3"/>
      <c r="F272" s="2" t="s">
        <v>9</v>
      </c>
      <c r="G272" s="3">
        <v>1.9430921146000004E8</v>
      </c>
      <c r="I272" s="6" t="s">
        <v>16</v>
      </c>
    </row>
    <row r="273">
      <c r="A273" s="1">
        <v>46067.0</v>
      </c>
      <c r="B273" s="2" t="s">
        <v>17</v>
      </c>
      <c r="C273" s="2" t="s">
        <v>340</v>
      </c>
      <c r="D273" s="4"/>
      <c r="E273" s="4">
        <v>5.17376E7</v>
      </c>
      <c r="F273" s="2" t="s">
        <v>4</v>
      </c>
      <c r="G273" s="3">
        <v>2.4604681146000004E8</v>
      </c>
      <c r="I273" s="6" t="s">
        <v>16</v>
      </c>
    </row>
    <row r="274">
      <c r="A274" s="1">
        <v>46067.0</v>
      </c>
      <c r="B274" s="2" t="s">
        <v>17</v>
      </c>
      <c r="C274" s="2" t="s">
        <v>341</v>
      </c>
      <c r="D274" s="4"/>
      <c r="E274" s="4">
        <v>1.3024E8</v>
      </c>
      <c r="F274" s="2" t="s">
        <v>4</v>
      </c>
      <c r="G274" s="3">
        <v>3.7628681146000004E8</v>
      </c>
      <c r="I274" s="6" t="s">
        <v>16</v>
      </c>
    </row>
    <row r="275">
      <c r="A275" s="1">
        <v>46067.0</v>
      </c>
      <c r="B275" s="2" t="s">
        <v>17</v>
      </c>
      <c r="C275" s="2" t="s">
        <v>342</v>
      </c>
      <c r="D275" s="4"/>
      <c r="E275" s="4">
        <v>6.330249E7</v>
      </c>
      <c r="F275" s="2" t="s">
        <v>4</v>
      </c>
      <c r="G275" s="3">
        <v>4.3958930146000004E8</v>
      </c>
      <c r="I275" s="6" t="s">
        <v>16</v>
      </c>
    </row>
    <row r="276">
      <c r="A276" s="1">
        <v>46067.0</v>
      </c>
      <c r="B276" s="2" t="s">
        <v>17</v>
      </c>
      <c r="C276" s="2" t="s">
        <v>343</v>
      </c>
      <c r="D276" s="4"/>
      <c r="E276" s="4">
        <v>5.505345E7</v>
      </c>
      <c r="F276" s="2" t="s">
        <v>4</v>
      </c>
      <c r="G276" s="3">
        <v>4.9464275146000004E8</v>
      </c>
      <c r="I276" s="6" t="s">
        <v>16</v>
      </c>
    </row>
    <row r="277">
      <c r="A277" s="1">
        <v>46067.0</v>
      </c>
      <c r="B277" s="2" t="s">
        <v>22</v>
      </c>
      <c r="C277" s="2" t="s">
        <v>344</v>
      </c>
      <c r="D277" s="4">
        <v>2.458349E8</v>
      </c>
      <c r="E277" s="3"/>
      <c r="F277" s="2" t="s">
        <v>9</v>
      </c>
      <c r="G277" s="3">
        <v>2.4880785146000004E8</v>
      </c>
      <c r="H277" s="2"/>
      <c r="I277" s="6" t="s">
        <v>16</v>
      </c>
    </row>
    <row r="278">
      <c r="A278" s="1">
        <v>46067.0</v>
      </c>
      <c r="B278" s="2" t="s">
        <v>22</v>
      </c>
      <c r="C278" s="2" t="s">
        <v>345</v>
      </c>
      <c r="D278" s="2">
        <v>5.29323E7</v>
      </c>
      <c r="E278" s="3"/>
      <c r="F278" s="2" t="s">
        <v>9</v>
      </c>
      <c r="G278" s="3">
        <v>1.9587555146000004E8</v>
      </c>
      <c r="H278" s="2" t="s">
        <v>346</v>
      </c>
      <c r="I278" s="6" t="s">
        <v>16</v>
      </c>
    </row>
    <row r="279">
      <c r="A279" s="1">
        <v>46067.0</v>
      </c>
      <c r="B279" s="2" t="s">
        <v>22</v>
      </c>
      <c r="C279" s="2" t="s">
        <v>347</v>
      </c>
      <c r="D279" s="4">
        <v>1.0E7</v>
      </c>
      <c r="E279" s="3"/>
      <c r="F279" s="2" t="s">
        <v>9</v>
      </c>
      <c r="G279" s="3">
        <v>1.8587555146000004E8</v>
      </c>
      <c r="H279" s="2" t="s">
        <v>348</v>
      </c>
      <c r="I279" s="6" t="s">
        <v>16</v>
      </c>
    </row>
    <row r="280">
      <c r="A280" s="1">
        <v>46068.0</v>
      </c>
      <c r="B280" s="2" t="s">
        <v>349</v>
      </c>
      <c r="C280" s="2" t="s">
        <v>350</v>
      </c>
      <c r="D280" s="4"/>
      <c r="E280" s="4">
        <v>5.741675E7</v>
      </c>
      <c r="F280" s="2" t="s">
        <v>4</v>
      </c>
      <c r="G280" s="3">
        <v>2.4329230146000004E8</v>
      </c>
      <c r="I280" s="6" t="s">
        <v>16</v>
      </c>
    </row>
    <row r="281">
      <c r="A281" s="1">
        <v>46068.0</v>
      </c>
      <c r="B281" s="2" t="s">
        <v>349</v>
      </c>
      <c r="C281" s="2" t="s">
        <v>351</v>
      </c>
      <c r="D281" s="4"/>
      <c r="E281" s="4">
        <v>6.0E7</v>
      </c>
      <c r="F281" s="2" t="s">
        <v>4</v>
      </c>
      <c r="G281" s="3">
        <v>3.0329230146000004E8</v>
      </c>
      <c r="I281" s="6" t="s">
        <v>16</v>
      </c>
    </row>
    <row r="282">
      <c r="A282" s="1">
        <v>46068.0</v>
      </c>
      <c r="B282" s="2" t="s">
        <v>349</v>
      </c>
      <c r="C282" s="2" t="s">
        <v>352</v>
      </c>
      <c r="D282" s="4"/>
      <c r="E282" s="4">
        <v>4.0E7</v>
      </c>
      <c r="F282" s="2" t="s">
        <v>4</v>
      </c>
      <c r="G282" s="3">
        <v>3.4329230146000004E8</v>
      </c>
      <c r="I282" s="6" t="s">
        <v>16</v>
      </c>
    </row>
    <row r="283">
      <c r="A283" s="1">
        <v>46068.0</v>
      </c>
      <c r="B283" s="2" t="s">
        <v>353</v>
      </c>
      <c r="C283" s="2" t="s">
        <v>354</v>
      </c>
      <c r="D283" s="4">
        <v>1.783473E8</v>
      </c>
      <c r="E283" s="3"/>
      <c r="F283" s="2" t="s">
        <v>9</v>
      </c>
      <c r="G283" s="3">
        <v>1.6494500146000004E8</v>
      </c>
      <c r="I283" s="6" t="s">
        <v>16</v>
      </c>
    </row>
    <row r="284">
      <c r="A284" s="1">
        <v>46068.0</v>
      </c>
      <c r="B284" s="2" t="s">
        <v>353</v>
      </c>
      <c r="C284" s="2" t="s">
        <v>355</v>
      </c>
      <c r="D284" s="4">
        <v>5.0264E7</v>
      </c>
      <c r="E284" s="3"/>
      <c r="F284" s="2" t="s">
        <v>9</v>
      </c>
      <c r="G284" s="3">
        <v>1.1468100146000004E8</v>
      </c>
      <c r="I284" s="6" t="s">
        <v>16</v>
      </c>
    </row>
    <row r="285">
      <c r="A285" s="1">
        <v>46068.0</v>
      </c>
      <c r="B285" s="2" t="s">
        <v>353</v>
      </c>
      <c r="C285" s="2" t="s">
        <v>356</v>
      </c>
      <c r="D285" s="4">
        <v>5.0E7</v>
      </c>
      <c r="E285" s="3"/>
      <c r="F285" s="2" t="s">
        <v>9</v>
      </c>
      <c r="G285" s="3">
        <v>6.468100146000004E7</v>
      </c>
      <c r="I285" s="6" t="s">
        <v>16</v>
      </c>
    </row>
    <row r="286">
      <c r="A286" s="1">
        <v>46068.0</v>
      </c>
      <c r="B286" s="2" t="s">
        <v>349</v>
      </c>
      <c r="C286" s="2" t="s">
        <v>357</v>
      </c>
      <c r="D286" s="4"/>
      <c r="E286" s="4">
        <v>1.1476494E8</v>
      </c>
      <c r="F286" s="2" t="s">
        <v>4</v>
      </c>
      <c r="G286" s="3">
        <v>1.7944594146000004E8</v>
      </c>
      <c r="I286" s="6" t="s">
        <v>16</v>
      </c>
    </row>
    <row r="287">
      <c r="A287" s="1">
        <v>46068.0</v>
      </c>
      <c r="B287" s="2" t="s">
        <v>22</v>
      </c>
      <c r="C287" s="2" t="s">
        <v>358</v>
      </c>
      <c r="D287" s="4">
        <v>5.1E7</v>
      </c>
      <c r="E287" s="3"/>
      <c r="F287" s="2" t="s">
        <v>9</v>
      </c>
      <c r="G287" s="3">
        <v>1.2844594146000004E8</v>
      </c>
      <c r="I287" s="6" t="s">
        <v>16</v>
      </c>
    </row>
    <row r="288">
      <c r="A288" s="1">
        <v>46068.0</v>
      </c>
      <c r="B288" s="2" t="s">
        <v>22</v>
      </c>
      <c r="C288" s="2" t="s">
        <v>359</v>
      </c>
      <c r="D288" s="4">
        <v>5.1E7</v>
      </c>
      <c r="E288" s="3"/>
      <c r="F288" s="2" t="s">
        <v>9</v>
      </c>
      <c r="G288" s="3">
        <v>7.744594146000004E7</v>
      </c>
      <c r="I288" s="6" t="s">
        <v>16</v>
      </c>
    </row>
    <row r="289">
      <c r="A289" s="1">
        <v>46068.0</v>
      </c>
      <c r="B289" s="2" t="s">
        <v>22</v>
      </c>
      <c r="C289" s="2" t="s">
        <v>360</v>
      </c>
      <c r="D289" s="4">
        <v>3800000.0</v>
      </c>
      <c r="E289" s="3"/>
      <c r="F289" s="2" t="s">
        <v>9</v>
      </c>
      <c r="G289" s="3">
        <v>7.364594146000004E7</v>
      </c>
      <c r="I289" s="7" t="s">
        <v>67</v>
      </c>
    </row>
    <row r="290">
      <c r="A290" s="1">
        <v>46068.0</v>
      </c>
      <c r="B290" s="2" t="s">
        <v>22</v>
      </c>
      <c r="C290" s="2" t="s">
        <v>361</v>
      </c>
      <c r="D290" s="4">
        <v>2152200.0</v>
      </c>
      <c r="E290" s="3"/>
      <c r="F290" s="2" t="s">
        <v>9</v>
      </c>
      <c r="G290" s="3">
        <v>7.149374146000004E7</v>
      </c>
      <c r="H290" s="2"/>
      <c r="I290" s="7" t="s">
        <v>10</v>
      </c>
    </row>
    <row r="291">
      <c r="A291" s="1">
        <v>46068.0</v>
      </c>
      <c r="B291" s="2" t="s">
        <v>22</v>
      </c>
      <c r="C291" s="2" t="s">
        <v>362</v>
      </c>
      <c r="D291" s="2">
        <v>1612950.0</v>
      </c>
      <c r="E291" s="3"/>
      <c r="F291" s="2" t="s">
        <v>9</v>
      </c>
      <c r="G291" s="3">
        <v>6.988079146000004E7</v>
      </c>
      <c r="H291" s="2" t="s">
        <v>363</v>
      </c>
      <c r="I291" s="7" t="s">
        <v>10</v>
      </c>
    </row>
    <row r="292">
      <c r="A292" s="1">
        <v>46068.0</v>
      </c>
      <c r="B292" s="2" t="s">
        <v>22</v>
      </c>
      <c r="C292" s="2" t="s">
        <v>364</v>
      </c>
      <c r="D292" s="2">
        <v>904000.0</v>
      </c>
      <c r="E292" s="3"/>
      <c r="F292" s="2" t="s">
        <v>9</v>
      </c>
      <c r="G292" s="3">
        <v>6.897679146000004E7</v>
      </c>
      <c r="H292" s="2" t="s">
        <v>365</v>
      </c>
      <c r="I292" s="7" t="s">
        <v>67</v>
      </c>
    </row>
    <row r="293">
      <c r="A293" s="1">
        <v>46068.0</v>
      </c>
      <c r="B293" s="2" t="s">
        <v>52</v>
      </c>
      <c r="C293" s="8" t="s">
        <v>53</v>
      </c>
      <c r="D293" s="4">
        <v>4300000.0</v>
      </c>
      <c r="E293" s="3"/>
      <c r="F293" s="2" t="s">
        <v>9</v>
      </c>
      <c r="G293" s="3">
        <v>6.467679146000004E7</v>
      </c>
      <c r="H293" s="2"/>
      <c r="I293" s="7" t="s">
        <v>6</v>
      </c>
    </row>
    <row r="294">
      <c r="A294" s="1">
        <v>46068.0</v>
      </c>
      <c r="B294" s="2" t="s">
        <v>52</v>
      </c>
      <c r="C294" s="8" t="s">
        <v>54</v>
      </c>
      <c r="D294" s="4">
        <v>2500.0</v>
      </c>
      <c r="E294" s="3"/>
      <c r="F294" s="2" t="s">
        <v>9</v>
      </c>
      <c r="G294" s="3">
        <v>6.467429146000004E7</v>
      </c>
      <c r="I294" s="7" t="s">
        <v>13</v>
      </c>
    </row>
    <row r="295">
      <c r="A295" s="1">
        <v>46068.0</v>
      </c>
      <c r="B295" s="2" t="s">
        <v>22</v>
      </c>
      <c r="C295" s="2" t="s">
        <v>366</v>
      </c>
      <c r="D295" s="4">
        <v>6.46E7</v>
      </c>
      <c r="E295" s="3"/>
      <c r="F295" s="2" t="s">
        <v>9</v>
      </c>
      <c r="G295" s="3">
        <v>74291.46000003815</v>
      </c>
      <c r="I295" s="6" t="s">
        <v>16</v>
      </c>
    </row>
    <row r="296">
      <c r="A296" s="1">
        <v>46068.0</v>
      </c>
      <c r="B296" s="2" t="s">
        <v>17</v>
      </c>
      <c r="C296" s="2" t="s">
        <v>367</v>
      </c>
      <c r="D296" s="4"/>
      <c r="E296" s="4">
        <v>1.1477556E8</v>
      </c>
      <c r="F296" s="2" t="s">
        <v>4</v>
      </c>
      <c r="G296" s="3">
        <v>1.1484985146000004E8</v>
      </c>
      <c r="I296" s="6" t="s">
        <v>16</v>
      </c>
    </row>
    <row r="297">
      <c r="A297" s="1">
        <v>46068.0</v>
      </c>
      <c r="B297" s="2" t="s">
        <v>17</v>
      </c>
      <c r="C297" s="2" t="s">
        <v>368</v>
      </c>
      <c r="D297" s="4"/>
      <c r="E297" s="4">
        <v>5.13E7</v>
      </c>
      <c r="F297" s="2" t="s">
        <v>4</v>
      </c>
      <c r="G297" s="3">
        <v>1.6614985146000004E8</v>
      </c>
      <c r="I297" s="6" t="s">
        <v>16</v>
      </c>
    </row>
    <row r="298">
      <c r="A298" s="1">
        <v>46068.0</v>
      </c>
      <c r="B298" s="2" t="s">
        <v>17</v>
      </c>
      <c r="C298" s="2" t="s">
        <v>369</v>
      </c>
      <c r="D298" s="4"/>
      <c r="E298" s="4">
        <v>5.13E7</v>
      </c>
      <c r="F298" s="2" t="s">
        <v>4</v>
      </c>
      <c r="G298" s="3">
        <v>2.1744985146000004E8</v>
      </c>
      <c r="I298" s="6" t="s">
        <v>16</v>
      </c>
    </row>
    <row r="299">
      <c r="A299" s="1">
        <v>46068.0</v>
      </c>
      <c r="B299" s="2" t="s">
        <v>17</v>
      </c>
      <c r="C299" s="2" t="s">
        <v>370</v>
      </c>
      <c r="D299" s="4"/>
      <c r="E299" s="4">
        <v>5.13E7</v>
      </c>
      <c r="F299" s="2" t="s">
        <v>4</v>
      </c>
      <c r="G299" s="3">
        <v>2.6874985146000004E8</v>
      </c>
      <c r="I299" s="6" t="s">
        <v>16</v>
      </c>
    </row>
    <row r="300">
      <c r="A300" s="1">
        <v>46068.0</v>
      </c>
      <c r="B300" s="2" t="s">
        <v>17</v>
      </c>
      <c r="C300" s="2" t="s">
        <v>371</v>
      </c>
      <c r="D300" s="4"/>
      <c r="E300" s="4">
        <v>8.46231E7</v>
      </c>
      <c r="F300" s="2" t="s">
        <v>4</v>
      </c>
      <c r="G300" s="3">
        <v>3.5337295146000004E8</v>
      </c>
      <c r="I300" s="6" t="s">
        <v>16</v>
      </c>
    </row>
    <row r="301">
      <c r="A301" s="1">
        <v>46068.0</v>
      </c>
      <c r="B301" s="2" t="s">
        <v>17</v>
      </c>
      <c r="C301" s="2" t="s">
        <v>372</v>
      </c>
      <c r="D301" s="4"/>
      <c r="E301" s="4">
        <v>1.9318075E8</v>
      </c>
      <c r="F301" s="2" t="s">
        <v>4</v>
      </c>
      <c r="G301" s="3">
        <v>5.4655370146E8</v>
      </c>
      <c r="I301" s="6" t="s">
        <v>16</v>
      </c>
    </row>
    <row r="302">
      <c r="A302" s="1">
        <v>46068.0</v>
      </c>
      <c r="B302" s="2" t="s">
        <v>17</v>
      </c>
      <c r="C302" s="2" t="s">
        <v>373</v>
      </c>
      <c r="D302" s="4"/>
      <c r="E302" s="4">
        <v>5.572627E7</v>
      </c>
      <c r="F302" s="2" t="s">
        <v>4</v>
      </c>
      <c r="G302" s="3">
        <v>6.0227997146E8</v>
      </c>
      <c r="I302" s="6" t="s">
        <v>16</v>
      </c>
    </row>
    <row r="303">
      <c r="A303" s="1">
        <v>46068.0</v>
      </c>
      <c r="B303" s="2" t="s">
        <v>17</v>
      </c>
      <c r="C303" s="2" t="s">
        <v>374</v>
      </c>
      <c r="D303" s="4"/>
      <c r="E303" s="4">
        <v>1.9248444E8</v>
      </c>
      <c r="F303" s="2" t="s">
        <v>4</v>
      </c>
      <c r="G303" s="3">
        <v>7.9476441146E8</v>
      </c>
      <c r="H303" s="2" t="s">
        <v>375</v>
      </c>
      <c r="I303" s="6" t="s">
        <v>16</v>
      </c>
    </row>
    <row r="304">
      <c r="A304" s="1">
        <v>46069.0</v>
      </c>
      <c r="B304" s="2" t="s">
        <v>376</v>
      </c>
      <c r="C304" s="2" t="s">
        <v>377</v>
      </c>
      <c r="D304" s="4">
        <v>1.320953E8</v>
      </c>
      <c r="E304" s="3"/>
      <c r="F304" s="2" t="s">
        <v>9</v>
      </c>
      <c r="G304" s="3">
        <v>6.6266911146E8</v>
      </c>
      <c r="H304" s="2" t="s">
        <v>378</v>
      </c>
      <c r="I304" s="6" t="s">
        <v>16</v>
      </c>
    </row>
    <row r="305">
      <c r="A305" s="1">
        <v>46069.0</v>
      </c>
      <c r="B305" s="2" t="s">
        <v>376</v>
      </c>
      <c r="C305" s="2" t="s">
        <v>379</v>
      </c>
      <c r="D305" s="4">
        <v>4.5E7</v>
      </c>
      <c r="E305" s="3"/>
      <c r="F305" s="2" t="s">
        <v>9</v>
      </c>
      <c r="G305" s="3">
        <v>6.1766911146E8</v>
      </c>
      <c r="I305" s="6" t="s">
        <v>16</v>
      </c>
    </row>
    <row r="306">
      <c r="A306" s="1">
        <v>46069.0</v>
      </c>
      <c r="B306" s="2" t="s">
        <v>376</v>
      </c>
      <c r="C306" s="2" t="s">
        <v>380</v>
      </c>
      <c r="D306" s="4">
        <v>8.566132E7</v>
      </c>
      <c r="E306" s="3"/>
      <c r="F306" s="2" t="s">
        <v>9</v>
      </c>
      <c r="G306" s="3">
        <v>5.3200779146000004E8</v>
      </c>
      <c r="I306" s="6" t="s">
        <v>16</v>
      </c>
    </row>
    <row r="307">
      <c r="A307" s="1">
        <v>46069.0</v>
      </c>
      <c r="B307" s="2" t="s">
        <v>376</v>
      </c>
      <c r="C307" s="2" t="s">
        <v>381</v>
      </c>
      <c r="D307" s="4">
        <v>1.1547335E8</v>
      </c>
      <c r="E307" s="3"/>
      <c r="F307" s="2" t="s">
        <v>9</v>
      </c>
      <c r="G307" s="3">
        <v>4.1653444146000004E8</v>
      </c>
      <c r="H307" s="2"/>
      <c r="I307" s="6" t="s">
        <v>16</v>
      </c>
    </row>
    <row r="308">
      <c r="A308" s="1">
        <v>46069.0</v>
      </c>
      <c r="B308" s="2" t="s">
        <v>376</v>
      </c>
      <c r="C308" s="2" t="s">
        <v>382</v>
      </c>
      <c r="D308" s="2">
        <v>5.1E7</v>
      </c>
      <c r="E308" s="3"/>
      <c r="F308" s="2" t="s">
        <v>9</v>
      </c>
      <c r="G308" s="3">
        <v>3.6553444146000004E8</v>
      </c>
      <c r="I308" s="6" t="s">
        <v>16</v>
      </c>
    </row>
    <row r="309">
      <c r="A309" s="1">
        <v>46069.0</v>
      </c>
      <c r="B309" s="2" t="s">
        <v>376</v>
      </c>
      <c r="C309" s="2" t="s">
        <v>383</v>
      </c>
      <c r="D309" s="4">
        <v>5.8216E7</v>
      </c>
      <c r="E309" s="3"/>
      <c r="F309" s="2" t="s">
        <v>9</v>
      </c>
      <c r="G309" s="3">
        <v>3.0731844146000004E8</v>
      </c>
      <c r="H309" s="2"/>
      <c r="I309" s="6" t="s">
        <v>16</v>
      </c>
    </row>
    <row r="310">
      <c r="A310" s="1">
        <v>46069.0</v>
      </c>
      <c r="B310" s="2" t="s">
        <v>376</v>
      </c>
      <c r="C310" s="2" t="s">
        <v>384</v>
      </c>
      <c r="D310" s="4">
        <v>1.428028E8</v>
      </c>
      <c r="E310" s="3"/>
      <c r="F310" s="2" t="s">
        <v>9</v>
      </c>
      <c r="G310" s="3">
        <v>1.6451564146000004E8</v>
      </c>
      <c r="I310" s="6" t="s">
        <v>16</v>
      </c>
    </row>
    <row r="311">
      <c r="A311" s="1">
        <v>46069.0</v>
      </c>
      <c r="B311" s="2" t="s">
        <v>385</v>
      </c>
      <c r="C311" s="2" t="s">
        <v>386</v>
      </c>
      <c r="D311" s="4"/>
      <c r="E311" s="4">
        <v>6.159E7</v>
      </c>
      <c r="F311" s="2" t="s">
        <v>4</v>
      </c>
      <c r="G311" s="3">
        <v>2.2610564146000004E8</v>
      </c>
      <c r="I311" s="6" t="s">
        <v>16</v>
      </c>
    </row>
    <row r="312">
      <c r="A312" s="1">
        <v>46069.0</v>
      </c>
      <c r="B312" s="2" t="s">
        <v>385</v>
      </c>
      <c r="C312" s="2" t="s">
        <v>387</v>
      </c>
      <c r="D312" s="4"/>
      <c r="E312" s="4">
        <v>9.611085E7</v>
      </c>
      <c r="F312" s="2" t="s">
        <v>4</v>
      </c>
      <c r="G312" s="3">
        <v>3.2221649146000004E8</v>
      </c>
      <c r="I312" s="6" t="s">
        <v>16</v>
      </c>
    </row>
    <row r="313">
      <c r="A313" s="1">
        <v>46069.0</v>
      </c>
      <c r="B313" s="2" t="s">
        <v>22</v>
      </c>
      <c r="C313" s="2" t="s">
        <v>388</v>
      </c>
      <c r="D313" s="4">
        <v>9.61496E7</v>
      </c>
      <c r="E313" s="3"/>
      <c r="F313" s="2" t="s">
        <v>9</v>
      </c>
      <c r="G313" s="3">
        <v>2.2606689146000004E8</v>
      </c>
      <c r="I313" s="6" t="s">
        <v>16</v>
      </c>
    </row>
    <row r="314">
      <c r="A314" s="1">
        <v>46069.0</v>
      </c>
      <c r="B314" s="2" t="s">
        <v>22</v>
      </c>
      <c r="C314" s="2" t="s">
        <v>389</v>
      </c>
      <c r="D314" s="4">
        <v>5.6E7</v>
      </c>
      <c r="E314" s="3"/>
      <c r="F314" s="2" t="s">
        <v>9</v>
      </c>
      <c r="G314" s="3">
        <v>1.7006689146000004E8</v>
      </c>
      <c r="I314" s="6" t="s">
        <v>16</v>
      </c>
    </row>
    <row r="315">
      <c r="A315" s="1">
        <v>46069.0</v>
      </c>
      <c r="B315" s="2" t="s">
        <v>22</v>
      </c>
      <c r="C315" s="2" t="s">
        <v>390</v>
      </c>
      <c r="D315" s="4">
        <v>1.2475504E8</v>
      </c>
      <c r="E315" s="3"/>
      <c r="F315" s="2" t="s">
        <v>9</v>
      </c>
      <c r="G315" s="3">
        <v>4.531185146000004E7</v>
      </c>
      <c r="H315" s="2" t="s">
        <v>391</v>
      </c>
      <c r="I315" s="6" t="s">
        <v>16</v>
      </c>
    </row>
    <row r="316">
      <c r="A316" s="1">
        <v>46069.0</v>
      </c>
      <c r="B316" s="2" t="s">
        <v>22</v>
      </c>
      <c r="C316" s="2" t="s">
        <v>392</v>
      </c>
      <c r="D316" s="4">
        <v>4.40699E7</v>
      </c>
      <c r="E316" s="3"/>
      <c r="F316" s="2" t="s">
        <v>9</v>
      </c>
      <c r="G316" s="3">
        <v>1241951.4600000381</v>
      </c>
      <c r="H316" s="2" t="s">
        <v>393</v>
      </c>
      <c r="I316" s="6" t="s">
        <v>16</v>
      </c>
    </row>
    <row r="317">
      <c r="A317" s="1">
        <v>46069.0</v>
      </c>
      <c r="B317" s="2" t="s">
        <v>17</v>
      </c>
      <c r="C317" s="2" t="s">
        <v>394</v>
      </c>
      <c r="D317" s="4"/>
      <c r="E317" s="4">
        <v>5.01334E7</v>
      </c>
      <c r="F317" s="2" t="s">
        <v>4</v>
      </c>
      <c r="G317" s="3">
        <v>5.137535146000004E7</v>
      </c>
      <c r="I317" s="6" t="s">
        <v>16</v>
      </c>
    </row>
    <row r="318">
      <c r="A318" s="1">
        <v>46069.0</v>
      </c>
      <c r="B318" s="2" t="s">
        <v>17</v>
      </c>
      <c r="C318" s="2" t="s">
        <v>395</v>
      </c>
      <c r="D318" s="4"/>
      <c r="E318" s="4">
        <v>5.17309E7</v>
      </c>
      <c r="F318" s="2" t="s">
        <v>4</v>
      </c>
      <c r="G318" s="3">
        <v>1.0310625146000004E8</v>
      </c>
      <c r="I318" s="6" t="s">
        <v>16</v>
      </c>
    </row>
    <row r="319">
      <c r="A319" s="1">
        <v>46069.0</v>
      </c>
      <c r="B319" s="2" t="s">
        <v>17</v>
      </c>
      <c r="C319" s="2" t="s">
        <v>396</v>
      </c>
      <c r="D319" s="4"/>
      <c r="E319" s="4">
        <v>4.50576E7</v>
      </c>
      <c r="F319" s="2" t="s">
        <v>4</v>
      </c>
      <c r="G319" s="3">
        <v>1.4816385146000004E8</v>
      </c>
      <c r="I319" s="6" t="s">
        <v>16</v>
      </c>
    </row>
    <row r="320">
      <c r="A320" s="1">
        <v>46069.0</v>
      </c>
      <c r="B320" s="2" t="s">
        <v>22</v>
      </c>
      <c r="C320" s="2" t="s">
        <v>397</v>
      </c>
      <c r="D320" s="4">
        <v>2000000.0</v>
      </c>
      <c r="E320" s="3"/>
      <c r="F320" s="2" t="s">
        <v>9</v>
      </c>
      <c r="G320" s="3">
        <v>1.4616385146000004E8</v>
      </c>
      <c r="I320" s="7" t="s">
        <v>80</v>
      </c>
    </row>
    <row r="321">
      <c r="A321" s="1">
        <v>46069.0</v>
      </c>
      <c r="B321" s="2" t="s">
        <v>17</v>
      </c>
      <c r="C321" s="2" t="s">
        <v>398</v>
      </c>
      <c r="D321" s="4"/>
      <c r="E321" s="4">
        <v>1.2284E8</v>
      </c>
      <c r="F321" s="2" t="s">
        <v>4</v>
      </c>
      <c r="G321" s="3">
        <v>2.6900385146000004E8</v>
      </c>
      <c r="I321" s="6" t="s">
        <v>16</v>
      </c>
    </row>
    <row r="322">
      <c r="A322" s="1">
        <v>46069.0</v>
      </c>
      <c r="B322" s="2" t="s">
        <v>22</v>
      </c>
      <c r="C322" s="2" t="s">
        <v>399</v>
      </c>
      <c r="D322" s="4">
        <v>9.6E7</v>
      </c>
      <c r="E322" s="3"/>
      <c r="F322" s="2" t="s">
        <v>9</v>
      </c>
      <c r="G322" s="3">
        <v>1.7300385146000004E8</v>
      </c>
      <c r="H322" s="2"/>
      <c r="I322" s="6" t="s">
        <v>16</v>
      </c>
    </row>
    <row r="323">
      <c r="A323" s="1">
        <v>46069.0</v>
      </c>
      <c r="B323" s="2" t="s">
        <v>17</v>
      </c>
      <c r="C323" s="2" t="s">
        <v>400</v>
      </c>
      <c r="D323" s="2"/>
      <c r="E323" s="4">
        <v>4.5E7</v>
      </c>
      <c r="F323" s="2" t="s">
        <v>4</v>
      </c>
      <c r="G323" s="3">
        <v>2.1800385146000004E8</v>
      </c>
      <c r="I323" s="6" t="s">
        <v>16</v>
      </c>
    </row>
    <row r="324">
      <c r="A324" s="1">
        <v>46069.0</v>
      </c>
      <c r="B324" s="2" t="s">
        <v>401</v>
      </c>
      <c r="C324" s="2" t="s">
        <v>401</v>
      </c>
      <c r="D324" s="4">
        <v>250000.0</v>
      </c>
      <c r="E324" s="3"/>
      <c r="G324" s="3">
        <v>2.1775385146000004E8</v>
      </c>
      <c r="H324" s="2"/>
      <c r="I324" s="7" t="s">
        <v>6</v>
      </c>
    </row>
    <row r="325">
      <c r="A325" s="1">
        <v>46069.0</v>
      </c>
      <c r="B325" s="2" t="s">
        <v>17</v>
      </c>
      <c r="C325" s="2" t="s">
        <v>402</v>
      </c>
      <c r="D325" s="4"/>
      <c r="E325" s="4">
        <v>1.365E7</v>
      </c>
      <c r="F325" s="2" t="s">
        <v>4</v>
      </c>
      <c r="G325" s="3">
        <v>2.3140385146000004E8</v>
      </c>
      <c r="I325" s="6" t="s">
        <v>16</v>
      </c>
    </row>
    <row r="326">
      <c r="A326" s="1">
        <v>46069.0</v>
      </c>
      <c r="B326" s="2" t="s">
        <v>17</v>
      </c>
      <c r="C326" s="2" t="s">
        <v>403</v>
      </c>
      <c r="D326" s="4"/>
      <c r="E326" s="4">
        <v>4.672E7</v>
      </c>
      <c r="F326" s="2" t="s">
        <v>4</v>
      </c>
      <c r="G326" s="3">
        <v>2.7812385146000004E8</v>
      </c>
      <c r="H326" s="2" t="s">
        <v>404</v>
      </c>
      <c r="I326" s="6" t="s">
        <v>16</v>
      </c>
    </row>
    <row r="327">
      <c r="A327" s="1">
        <v>46070.0</v>
      </c>
      <c r="B327" s="2" t="s">
        <v>405</v>
      </c>
      <c r="C327" s="2" t="s">
        <v>406</v>
      </c>
      <c r="D327" s="4">
        <v>1.11975E7</v>
      </c>
      <c r="E327" s="3"/>
      <c r="F327" s="2" t="s">
        <v>9</v>
      </c>
      <c r="G327" s="3">
        <v>2.6692635146000004E8</v>
      </c>
      <c r="I327" s="7" t="s">
        <v>10</v>
      </c>
    </row>
    <row r="328">
      <c r="A328" s="1">
        <v>46070.0</v>
      </c>
      <c r="B328" s="2" t="s">
        <v>405</v>
      </c>
      <c r="C328" s="2" t="s">
        <v>407</v>
      </c>
      <c r="D328" s="4">
        <v>9.145E7</v>
      </c>
      <c r="E328" s="3"/>
      <c r="F328" s="2" t="s">
        <v>9</v>
      </c>
      <c r="G328" s="3">
        <v>1.7547635146000004E8</v>
      </c>
      <c r="H328" s="2" t="s">
        <v>408</v>
      </c>
      <c r="I328" s="6" t="s">
        <v>16</v>
      </c>
    </row>
    <row r="329">
      <c r="A329" s="1">
        <v>46070.0</v>
      </c>
      <c r="B329" s="2" t="s">
        <v>405</v>
      </c>
      <c r="C329" s="2" t="s">
        <v>409</v>
      </c>
      <c r="D329" s="4">
        <v>1857200.0</v>
      </c>
      <c r="E329" s="3"/>
      <c r="F329" s="2" t="s">
        <v>9</v>
      </c>
      <c r="G329" s="3">
        <v>1.7361915146000004E8</v>
      </c>
      <c r="H329" s="2" t="s">
        <v>410</v>
      </c>
      <c r="I329" s="7" t="s">
        <v>10</v>
      </c>
    </row>
    <row r="330">
      <c r="A330" s="1">
        <v>46070.0</v>
      </c>
      <c r="B330" s="2" t="s">
        <v>405</v>
      </c>
      <c r="C330" s="2" t="s">
        <v>411</v>
      </c>
      <c r="D330" s="4">
        <v>2031490.0</v>
      </c>
      <c r="E330" s="3"/>
      <c r="F330" s="2" t="s">
        <v>9</v>
      </c>
      <c r="G330" s="3">
        <v>1.7158766146000004E8</v>
      </c>
      <c r="I330" s="7" t="s">
        <v>10</v>
      </c>
    </row>
    <row r="331">
      <c r="A331" s="1">
        <v>46070.0</v>
      </c>
      <c r="B331" s="2" t="s">
        <v>405</v>
      </c>
      <c r="C331" s="2" t="s">
        <v>412</v>
      </c>
      <c r="D331" s="4">
        <v>6.364426E7</v>
      </c>
      <c r="E331" s="3"/>
      <c r="F331" s="2" t="s">
        <v>9</v>
      </c>
      <c r="G331" s="3">
        <v>1.0794340146000004E8</v>
      </c>
      <c r="I331" s="6" t="s">
        <v>16</v>
      </c>
    </row>
    <row r="332">
      <c r="A332" s="1">
        <v>46070.0</v>
      </c>
      <c r="B332" s="2" t="s">
        <v>405</v>
      </c>
      <c r="C332" s="2" t="s">
        <v>413</v>
      </c>
      <c r="D332" s="4">
        <v>5.059075E7</v>
      </c>
      <c r="E332" s="3"/>
      <c r="F332" s="2" t="s">
        <v>9</v>
      </c>
      <c r="G332" s="3">
        <v>5.735265146000004E7</v>
      </c>
      <c r="I332" s="6" t="s">
        <v>16</v>
      </c>
    </row>
    <row r="333">
      <c r="A333" s="1">
        <v>46070.0</v>
      </c>
      <c r="B333" s="2" t="s">
        <v>414</v>
      </c>
      <c r="C333" s="2" t="s">
        <v>415</v>
      </c>
      <c r="D333" s="4"/>
      <c r="E333" s="4">
        <v>2.484525E8</v>
      </c>
      <c r="F333" s="2" t="s">
        <v>4</v>
      </c>
      <c r="G333" s="3">
        <v>3.0580515146000004E8</v>
      </c>
      <c r="I333" s="6" t="s">
        <v>16</v>
      </c>
    </row>
    <row r="334">
      <c r="A334" s="1">
        <v>46070.0</v>
      </c>
      <c r="B334" s="2" t="s">
        <v>22</v>
      </c>
      <c r="C334" s="2" t="s">
        <v>416</v>
      </c>
      <c r="D334" s="4">
        <v>2.150036E8</v>
      </c>
      <c r="E334" s="3"/>
      <c r="F334" s="2" t="s">
        <v>9</v>
      </c>
      <c r="G334" s="3">
        <v>9.080155146000004E7</v>
      </c>
      <c r="I334" s="6" t="s">
        <v>16</v>
      </c>
    </row>
    <row r="335">
      <c r="A335" s="1">
        <v>46070.0</v>
      </c>
      <c r="B335" s="2" t="s">
        <v>22</v>
      </c>
      <c r="C335" s="2" t="s">
        <v>417</v>
      </c>
      <c r="D335" s="4">
        <v>7.2E7</v>
      </c>
      <c r="E335" s="3"/>
      <c r="F335" s="2" t="s">
        <v>9</v>
      </c>
      <c r="G335" s="3">
        <v>1.880155146000004E7</v>
      </c>
      <c r="H335" s="2"/>
      <c r="I335" s="6" t="s">
        <v>16</v>
      </c>
    </row>
    <row r="336">
      <c r="A336" s="1">
        <v>46070.0</v>
      </c>
      <c r="B336" s="2" t="s">
        <v>22</v>
      </c>
      <c r="C336" s="2" t="s">
        <v>418</v>
      </c>
      <c r="D336" s="2">
        <v>2091000.0</v>
      </c>
      <c r="E336" s="3"/>
      <c r="F336" s="2" t="s">
        <v>9</v>
      </c>
      <c r="G336" s="3">
        <v>1.6710551460000038E7</v>
      </c>
      <c r="I336" s="6" t="s">
        <v>16</v>
      </c>
    </row>
    <row r="337">
      <c r="A337" s="1">
        <v>46070.0</v>
      </c>
      <c r="B337" s="2" t="s">
        <v>41</v>
      </c>
      <c r="C337" s="2" t="s">
        <v>419</v>
      </c>
      <c r="D337" s="4">
        <v>102500.0</v>
      </c>
      <c r="E337" s="3"/>
      <c r="G337" s="3">
        <v>1.6608051460000038E7</v>
      </c>
      <c r="H337" s="2"/>
      <c r="I337" s="7" t="s">
        <v>6</v>
      </c>
    </row>
    <row r="338">
      <c r="A338" s="1">
        <v>46070.0</v>
      </c>
      <c r="B338" s="2" t="s">
        <v>17</v>
      </c>
      <c r="C338" s="2" t="s">
        <v>420</v>
      </c>
      <c r="D338" s="4"/>
      <c r="E338" s="4">
        <v>500000.0</v>
      </c>
      <c r="F338" s="2" t="s">
        <v>4</v>
      </c>
      <c r="G338" s="3">
        <v>1.710805146000004E7</v>
      </c>
      <c r="I338" s="6" t="s">
        <v>16</v>
      </c>
    </row>
    <row r="339">
      <c r="A339" s="1">
        <v>46070.0</v>
      </c>
      <c r="B339" s="2" t="s">
        <v>17</v>
      </c>
      <c r="C339" s="2" t="s">
        <v>421</v>
      </c>
      <c r="D339" s="4"/>
      <c r="E339" s="4">
        <v>1.072251E8</v>
      </c>
      <c r="F339" s="2" t="s">
        <v>4</v>
      </c>
      <c r="G339" s="3">
        <v>1.2433315146000004E8</v>
      </c>
      <c r="I339" s="6" t="s">
        <v>16</v>
      </c>
    </row>
    <row r="340">
      <c r="A340" s="1">
        <v>46070.0</v>
      </c>
      <c r="B340" s="2" t="s">
        <v>17</v>
      </c>
      <c r="C340" s="2" t="s">
        <v>422</v>
      </c>
      <c r="D340" s="4"/>
      <c r="E340" s="4">
        <v>1.032E8</v>
      </c>
      <c r="F340" s="2" t="s">
        <v>4</v>
      </c>
      <c r="G340" s="3">
        <v>2.2753315146000004E8</v>
      </c>
      <c r="H340" s="2" t="s">
        <v>423</v>
      </c>
      <c r="I340" s="6" t="s">
        <v>16</v>
      </c>
    </row>
    <row r="341">
      <c r="A341" s="1">
        <v>46070.0</v>
      </c>
      <c r="B341" s="2" t="s">
        <v>22</v>
      </c>
      <c r="C341" s="2" t="s">
        <v>424</v>
      </c>
      <c r="D341" s="4">
        <v>1.49565E8</v>
      </c>
      <c r="E341" s="3"/>
      <c r="F341" s="2" t="s">
        <v>9</v>
      </c>
      <c r="G341" s="3">
        <v>7.796815146000004E7</v>
      </c>
      <c r="H341" s="2" t="s">
        <v>425</v>
      </c>
      <c r="I341" s="6" t="s">
        <v>16</v>
      </c>
    </row>
    <row r="342">
      <c r="A342" s="1">
        <v>46070.0</v>
      </c>
      <c r="B342" s="2" t="s">
        <v>17</v>
      </c>
      <c r="C342" s="2" t="s">
        <v>426</v>
      </c>
      <c r="D342" s="4"/>
      <c r="E342" s="4">
        <v>4.98E7</v>
      </c>
      <c r="F342" s="2" t="s">
        <v>4</v>
      </c>
      <c r="G342" s="3">
        <v>1.2776815146000004E8</v>
      </c>
      <c r="I342" s="6" t="s">
        <v>16</v>
      </c>
    </row>
    <row r="343">
      <c r="A343" s="1">
        <v>46070.0</v>
      </c>
      <c r="B343" s="2" t="s">
        <v>17</v>
      </c>
      <c r="C343" s="8" t="s">
        <v>426</v>
      </c>
      <c r="D343" s="4"/>
      <c r="E343" s="4">
        <v>4.98E7</v>
      </c>
      <c r="F343" s="2" t="s">
        <v>4</v>
      </c>
      <c r="G343" s="3">
        <v>1.7756815146000004E8</v>
      </c>
      <c r="I343" s="6" t="s">
        <v>16</v>
      </c>
    </row>
    <row r="344">
      <c r="A344" s="1">
        <v>46070.0</v>
      </c>
      <c r="B344" s="2" t="s">
        <v>17</v>
      </c>
      <c r="C344" s="8" t="s">
        <v>426</v>
      </c>
      <c r="D344" s="4"/>
      <c r="E344" s="4">
        <v>4.98E7</v>
      </c>
      <c r="F344" s="2" t="s">
        <v>4</v>
      </c>
      <c r="G344" s="3">
        <v>2.2736815146000004E8</v>
      </c>
      <c r="I344" s="6" t="s">
        <v>16</v>
      </c>
    </row>
    <row r="345">
      <c r="A345" s="1">
        <v>46070.0</v>
      </c>
      <c r="B345" s="2" t="s">
        <v>22</v>
      </c>
      <c r="C345" s="2" t="s">
        <v>427</v>
      </c>
      <c r="D345" s="4">
        <v>4.64E7</v>
      </c>
      <c r="E345" s="3"/>
      <c r="F345" s="2" t="s">
        <v>9</v>
      </c>
      <c r="G345" s="3">
        <v>1.8096815146000004E8</v>
      </c>
      <c r="I345" s="6" t="s">
        <v>16</v>
      </c>
    </row>
    <row r="346">
      <c r="A346" s="1">
        <v>46070.0</v>
      </c>
      <c r="B346" s="2" t="s">
        <v>22</v>
      </c>
      <c r="C346" s="2" t="s">
        <v>428</v>
      </c>
      <c r="D346" s="4">
        <v>5.44152E7</v>
      </c>
      <c r="E346" s="3"/>
      <c r="F346" s="2" t="s">
        <v>9</v>
      </c>
      <c r="G346" s="3">
        <v>1.2655295146000004E8</v>
      </c>
      <c r="I346" s="6" t="s">
        <v>16</v>
      </c>
    </row>
    <row r="347">
      <c r="A347" s="1">
        <v>46070.0</v>
      </c>
      <c r="B347" s="2" t="s">
        <v>22</v>
      </c>
      <c r="C347" s="2" t="s">
        <v>429</v>
      </c>
      <c r="D347" s="4">
        <v>6.105E7</v>
      </c>
      <c r="E347" s="3"/>
      <c r="F347" s="2" t="s">
        <v>9</v>
      </c>
      <c r="G347" s="3">
        <v>6.550295146000004E7</v>
      </c>
      <c r="I347" s="6" t="s">
        <v>16</v>
      </c>
    </row>
    <row r="348">
      <c r="A348" s="1">
        <v>46070.0</v>
      </c>
      <c r="B348" s="2" t="s">
        <v>22</v>
      </c>
      <c r="C348" s="2" t="s">
        <v>430</v>
      </c>
      <c r="D348" s="4">
        <v>650000.0</v>
      </c>
      <c r="E348" s="3"/>
      <c r="F348" s="2" t="s">
        <v>9</v>
      </c>
      <c r="G348" s="3">
        <v>6.485295146000004E7</v>
      </c>
      <c r="H348" s="2"/>
      <c r="I348" s="7" t="s">
        <v>67</v>
      </c>
    </row>
    <row r="349">
      <c r="A349" s="1">
        <v>46070.0</v>
      </c>
      <c r="B349" s="2" t="s">
        <v>22</v>
      </c>
      <c r="C349" s="2" t="s">
        <v>431</v>
      </c>
      <c r="D349" s="4">
        <v>647800.0</v>
      </c>
      <c r="E349" s="3"/>
      <c r="F349" s="2" t="s">
        <v>9</v>
      </c>
      <c r="G349" s="3">
        <v>6.420515146000004E7</v>
      </c>
      <c r="I349" s="7" t="s">
        <v>67</v>
      </c>
    </row>
    <row r="350">
      <c r="A350" s="1">
        <v>46070.0</v>
      </c>
      <c r="B350" s="2" t="s">
        <v>17</v>
      </c>
      <c r="C350" s="2" t="s">
        <v>432</v>
      </c>
      <c r="D350" s="4"/>
      <c r="E350" s="4">
        <v>4.983E7</v>
      </c>
      <c r="F350" s="2" t="s">
        <v>4</v>
      </c>
      <c r="G350" s="3">
        <v>1.1403515146000004E8</v>
      </c>
      <c r="H350" s="2"/>
      <c r="I350" s="6" t="s">
        <v>16</v>
      </c>
    </row>
    <row r="351">
      <c r="A351" s="1">
        <v>46070.0</v>
      </c>
      <c r="B351" s="2" t="s">
        <v>433</v>
      </c>
      <c r="C351" s="2" t="s">
        <v>433</v>
      </c>
      <c r="D351" s="2">
        <v>19000.0</v>
      </c>
      <c r="E351" s="3"/>
      <c r="G351" s="3">
        <v>1.1401615146000004E8</v>
      </c>
      <c r="H351" s="2" t="s">
        <v>434</v>
      </c>
      <c r="I351" s="7" t="s">
        <v>13</v>
      </c>
    </row>
    <row r="352">
      <c r="A352" s="1">
        <v>46071.0</v>
      </c>
      <c r="B352" s="2" t="s">
        <v>435</v>
      </c>
      <c r="C352" s="2" t="s">
        <v>435</v>
      </c>
      <c r="D352" s="4">
        <v>300000.0</v>
      </c>
      <c r="E352" s="3"/>
      <c r="G352" s="3">
        <v>1.1371615146000004E8</v>
      </c>
      <c r="H352" s="2"/>
      <c r="I352" s="7" t="s">
        <v>6</v>
      </c>
    </row>
    <row r="353">
      <c r="A353" s="1">
        <v>46071.0</v>
      </c>
      <c r="B353" s="2" t="s">
        <v>436</v>
      </c>
      <c r="C353" s="2" t="s">
        <v>436</v>
      </c>
      <c r="D353" s="4">
        <v>200000.0</v>
      </c>
      <c r="E353" s="3"/>
      <c r="G353" s="3">
        <v>1.1351615146000004E8</v>
      </c>
      <c r="I353" s="7" t="s">
        <v>6</v>
      </c>
    </row>
    <row r="354">
      <c r="A354" s="1">
        <v>46071.0</v>
      </c>
      <c r="B354" s="2" t="s">
        <v>22</v>
      </c>
      <c r="C354" s="2" t="s">
        <v>437</v>
      </c>
      <c r="D354" s="4">
        <v>5.1782E7</v>
      </c>
      <c r="E354" s="3"/>
      <c r="F354" s="2" t="s">
        <v>9</v>
      </c>
      <c r="G354" s="3">
        <v>6.173415146000004E7</v>
      </c>
      <c r="I354" s="6" t="s">
        <v>16</v>
      </c>
    </row>
    <row r="355">
      <c r="A355" s="1">
        <v>46071.0</v>
      </c>
      <c r="B355" s="2" t="s">
        <v>22</v>
      </c>
      <c r="C355" s="2" t="s">
        <v>438</v>
      </c>
      <c r="D355" s="4">
        <v>6.105E7</v>
      </c>
      <c r="E355" s="3"/>
      <c r="F355" s="2" t="s">
        <v>9</v>
      </c>
      <c r="G355" s="3">
        <v>684151.4600000381</v>
      </c>
      <c r="H355" s="2" t="s">
        <v>439</v>
      </c>
      <c r="I355" s="7" t="s">
        <v>16</v>
      </c>
    </row>
    <row r="356">
      <c r="A356" s="1">
        <v>46071.0</v>
      </c>
      <c r="B356" s="2" t="s">
        <v>17</v>
      </c>
      <c r="C356" s="2" t="s">
        <v>440</v>
      </c>
      <c r="D356" s="4"/>
      <c r="E356" s="4">
        <v>9.0E7</v>
      </c>
      <c r="F356" s="2" t="s">
        <v>4</v>
      </c>
      <c r="G356" s="3">
        <v>9.068415146000004E7</v>
      </c>
      <c r="H356" s="2" t="s">
        <v>441</v>
      </c>
      <c r="I356" s="6" t="s">
        <v>6</v>
      </c>
    </row>
    <row r="357">
      <c r="A357" s="1">
        <v>46071.0</v>
      </c>
      <c r="B357" s="2" t="s">
        <v>22</v>
      </c>
      <c r="C357" s="2" t="s">
        <v>442</v>
      </c>
      <c r="D357" s="4">
        <v>8.69592E7</v>
      </c>
      <c r="E357" s="3"/>
      <c r="F357" s="2" t="s">
        <v>9</v>
      </c>
      <c r="G357" s="3">
        <v>3724951.460000038</v>
      </c>
      <c r="H357" s="2" t="s">
        <v>443</v>
      </c>
      <c r="I357" s="7" t="s">
        <v>16</v>
      </c>
    </row>
    <row r="358">
      <c r="A358" s="10">
        <v>46072.0</v>
      </c>
      <c r="B358" s="8" t="s">
        <v>444</v>
      </c>
      <c r="C358" s="8" t="s">
        <v>445</v>
      </c>
      <c r="D358" s="11"/>
      <c r="E358" s="11">
        <v>3.407542E7</v>
      </c>
      <c r="F358" s="8" t="s">
        <v>4</v>
      </c>
      <c r="G358" s="12">
        <v>3.780037146000004E7</v>
      </c>
      <c r="H358" s="8"/>
      <c r="I358" s="6" t="s">
        <v>6</v>
      </c>
    </row>
    <row r="359">
      <c r="A359" s="1">
        <v>46072.0</v>
      </c>
      <c r="B359" s="2" t="s">
        <v>22</v>
      </c>
      <c r="C359" s="2" t="s">
        <v>446</v>
      </c>
      <c r="D359" s="2">
        <v>970000.0</v>
      </c>
      <c r="E359" s="3"/>
      <c r="F359" s="2" t="s">
        <v>9</v>
      </c>
      <c r="G359" s="3">
        <v>3.683037146000004E7</v>
      </c>
      <c r="I359" s="7" t="s">
        <v>10</v>
      </c>
    </row>
    <row r="360">
      <c r="A360" s="1">
        <v>46072.0</v>
      </c>
      <c r="B360" s="2" t="s">
        <v>17</v>
      </c>
      <c r="C360" s="2" t="s">
        <v>447</v>
      </c>
      <c r="D360" s="4"/>
      <c r="E360" s="4">
        <v>5.64597E7</v>
      </c>
      <c r="F360" s="2" t="s">
        <v>4</v>
      </c>
      <c r="G360" s="3">
        <v>9.329007146000004E7</v>
      </c>
      <c r="H360" s="2"/>
      <c r="I360" s="6" t="s">
        <v>6</v>
      </c>
    </row>
    <row r="361">
      <c r="A361" s="1">
        <v>46072.0</v>
      </c>
      <c r="B361" s="2" t="s">
        <v>17</v>
      </c>
      <c r="C361" s="2" t="s">
        <v>448</v>
      </c>
      <c r="D361" s="4"/>
      <c r="E361" s="4">
        <v>5000000.0</v>
      </c>
      <c r="F361" s="2" t="s">
        <v>4</v>
      </c>
      <c r="G361" s="3">
        <v>9.829007146000004E7</v>
      </c>
      <c r="I361" s="6" t="s">
        <v>6</v>
      </c>
    </row>
    <row r="362">
      <c r="A362" s="1">
        <v>46072.0</v>
      </c>
      <c r="B362" s="2" t="s">
        <v>449</v>
      </c>
      <c r="C362" s="2" t="s">
        <v>450</v>
      </c>
      <c r="E362" s="4">
        <v>3900000.0</v>
      </c>
      <c r="G362" s="3">
        <v>1.0219007146000004E8</v>
      </c>
      <c r="I362" s="6" t="s">
        <v>6</v>
      </c>
    </row>
    <row r="363">
      <c r="A363" s="1">
        <v>46072.0</v>
      </c>
      <c r="B363" s="2" t="s">
        <v>22</v>
      </c>
      <c r="C363" s="2" t="s">
        <v>451</v>
      </c>
      <c r="D363" s="4">
        <v>4.5E7</v>
      </c>
      <c r="E363" s="3"/>
      <c r="F363" s="2" t="s">
        <v>9</v>
      </c>
      <c r="G363" s="3">
        <v>5.719007146000004E7</v>
      </c>
      <c r="I363" s="7" t="s">
        <v>16</v>
      </c>
    </row>
    <row r="364">
      <c r="A364" s="1">
        <v>46072.0</v>
      </c>
      <c r="B364" s="2" t="s">
        <v>17</v>
      </c>
      <c r="C364" s="2" t="s">
        <v>452</v>
      </c>
      <c r="D364" s="4"/>
      <c r="E364" s="4">
        <v>3000000.0</v>
      </c>
      <c r="F364" s="2" t="s">
        <v>4</v>
      </c>
      <c r="G364" s="3">
        <v>6.019007146000004E7</v>
      </c>
      <c r="I364" s="6" t="s">
        <v>16</v>
      </c>
    </row>
    <row r="365">
      <c r="A365" s="1">
        <v>46072.0</v>
      </c>
      <c r="B365" s="2" t="s">
        <v>22</v>
      </c>
      <c r="C365" s="2" t="s">
        <v>453</v>
      </c>
      <c r="D365" s="4">
        <v>5.9636E7</v>
      </c>
      <c r="E365" s="3"/>
      <c r="F365" s="2" t="s">
        <v>9</v>
      </c>
      <c r="G365" s="3">
        <v>554071.4600000381</v>
      </c>
      <c r="I365" s="6" t="s">
        <v>16</v>
      </c>
    </row>
    <row r="366">
      <c r="A366" s="1">
        <v>46072.0</v>
      </c>
      <c r="B366" s="2" t="s">
        <v>454</v>
      </c>
      <c r="C366" s="2" t="s">
        <v>454</v>
      </c>
      <c r="D366" s="4">
        <v>400000.0</v>
      </c>
      <c r="E366" s="3"/>
      <c r="G366" s="3">
        <v>154071.46000003815</v>
      </c>
      <c r="H366" s="2" t="s">
        <v>455</v>
      </c>
      <c r="I366" s="6" t="s">
        <v>6</v>
      </c>
    </row>
    <row r="367">
      <c r="A367" s="1">
        <v>46073.0</v>
      </c>
      <c r="B367" s="2" t="s">
        <v>17</v>
      </c>
      <c r="C367" s="2" t="s">
        <v>456</v>
      </c>
      <c r="D367" s="4"/>
      <c r="E367" s="4">
        <v>1.883123E8</v>
      </c>
      <c r="F367" s="2" t="s">
        <v>4</v>
      </c>
      <c r="G367" s="3">
        <v>1.8846637146000004E8</v>
      </c>
      <c r="I367" s="6" t="s">
        <v>16</v>
      </c>
    </row>
    <row r="368">
      <c r="A368" s="1">
        <v>46073.0</v>
      </c>
      <c r="B368" s="2" t="s">
        <v>457</v>
      </c>
      <c r="C368" s="2" t="s">
        <v>457</v>
      </c>
      <c r="D368" s="4">
        <v>200000.0</v>
      </c>
      <c r="E368" s="3"/>
      <c r="G368" s="3">
        <v>1.8826637146000004E8</v>
      </c>
      <c r="I368" s="6" t="s">
        <v>6</v>
      </c>
    </row>
    <row r="369">
      <c r="A369" s="1">
        <v>46073.0</v>
      </c>
      <c r="B369" s="2" t="s">
        <v>22</v>
      </c>
      <c r="C369" s="2" t="s">
        <v>458</v>
      </c>
      <c r="D369" s="4">
        <v>9.71726E7</v>
      </c>
      <c r="E369" s="3"/>
      <c r="F369" s="2" t="s">
        <v>9</v>
      </c>
      <c r="G369" s="3">
        <v>9.109377146000004E7</v>
      </c>
      <c r="I369" s="7" t="s">
        <v>16</v>
      </c>
    </row>
    <row r="370">
      <c r="A370" s="1">
        <v>46073.0</v>
      </c>
      <c r="B370" s="2" t="s">
        <v>457</v>
      </c>
      <c r="C370" s="2" t="s">
        <v>457</v>
      </c>
      <c r="D370" s="4">
        <v>1000000.0</v>
      </c>
      <c r="E370" s="3"/>
      <c r="G370" s="3">
        <v>9.009377146000004E7</v>
      </c>
      <c r="H370" s="2"/>
      <c r="I370" s="6" t="s">
        <v>6</v>
      </c>
    </row>
    <row r="371">
      <c r="A371" s="1">
        <v>46073.0</v>
      </c>
      <c r="B371" s="2" t="s">
        <v>457</v>
      </c>
      <c r="C371" s="2" t="s">
        <v>457</v>
      </c>
      <c r="D371" s="4">
        <v>900000.0</v>
      </c>
      <c r="E371" s="3"/>
      <c r="G371" s="3">
        <v>8.919377146000004E7</v>
      </c>
      <c r="I371" s="6" t="s">
        <v>6</v>
      </c>
    </row>
    <row r="372">
      <c r="A372" s="1">
        <v>46073.0</v>
      </c>
      <c r="B372" s="2" t="s">
        <v>22</v>
      </c>
      <c r="C372" s="2" t="s">
        <v>459</v>
      </c>
      <c r="D372" s="4">
        <v>129000.0</v>
      </c>
      <c r="E372" s="3"/>
      <c r="F372" s="2" t="s">
        <v>9</v>
      </c>
      <c r="G372" s="3">
        <v>8.906477146000004E7</v>
      </c>
      <c r="H372" s="2" t="s">
        <v>460</v>
      </c>
      <c r="I372" s="6" t="s">
        <v>16</v>
      </c>
    </row>
    <row r="373">
      <c r="A373" s="1">
        <v>46073.0</v>
      </c>
      <c r="B373" s="2" t="s">
        <v>17</v>
      </c>
      <c r="C373" s="2" t="s">
        <v>461</v>
      </c>
      <c r="D373" s="4"/>
      <c r="E373" s="4">
        <v>1.0628142E8</v>
      </c>
      <c r="F373" s="2" t="s">
        <v>4</v>
      </c>
      <c r="G373" s="3">
        <v>1.9534619146000004E8</v>
      </c>
      <c r="H373" s="2" t="s">
        <v>462</v>
      </c>
      <c r="I373" s="6" t="s">
        <v>16</v>
      </c>
    </row>
    <row r="374">
      <c r="A374" s="1">
        <v>46073.0</v>
      </c>
      <c r="B374" s="2" t="s">
        <v>22</v>
      </c>
      <c r="C374" s="2" t="s">
        <v>463</v>
      </c>
      <c r="D374" s="4">
        <v>1.4181955E8</v>
      </c>
      <c r="E374" s="3"/>
      <c r="F374" s="2" t="s">
        <v>9</v>
      </c>
      <c r="G374" s="3">
        <v>5.352664146000004E7</v>
      </c>
      <c r="H374" s="2"/>
      <c r="I374" s="6" t="s">
        <v>16</v>
      </c>
    </row>
    <row r="375">
      <c r="A375" s="1">
        <v>46073.0</v>
      </c>
      <c r="B375" s="2" t="s">
        <v>17</v>
      </c>
      <c r="C375" s="2" t="s">
        <v>464</v>
      </c>
      <c r="D375" s="2"/>
      <c r="E375" s="4">
        <v>1.0E8</v>
      </c>
      <c r="F375" s="2" t="s">
        <v>4</v>
      </c>
      <c r="G375" s="3">
        <v>1.5352664146000004E8</v>
      </c>
      <c r="I375" s="6" t="s">
        <v>16</v>
      </c>
    </row>
    <row r="376">
      <c r="A376" s="1">
        <v>46073.0</v>
      </c>
      <c r="B376" s="2" t="s">
        <v>22</v>
      </c>
      <c r="C376" s="2" t="s">
        <v>465</v>
      </c>
      <c r="D376" s="4">
        <v>9.128E7</v>
      </c>
      <c r="E376" s="3"/>
      <c r="F376" s="2" t="s">
        <v>9</v>
      </c>
      <c r="G376" s="3">
        <v>6.224664146000004E7</v>
      </c>
      <c r="H376" s="2"/>
      <c r="I376" s="7" t="s">
        <v>16</v>
      </c>
    </row>
    <row r="377">
      <c r="A377" s="1">
        <v>46073.0</v>
      </c>
      <c r="B377" s="2" t="s">
        <v>17</v>
      </c>
      <c r="C377" s="2" t="s">
        <v>466</v>
      </c>
      <c r="D377" s="4"/>
      <c r="E377" s="4">
        <v>1.0E8</v>
      </c>
      <c r="F377" s="2" t="s">
        <v>4</v>
      </c>
      <c r="G377" s="3">
        <v>1.6224664146000004E8</v>
      </c>
      <c r="I377" s="6" t="s">
        <v>16</v>
      </c>
    </row>
    <row r="378">
      <c r="A378" s="1">
        <v>46073.0</v>
      </c>
      <c r="B378" s="2" t="s">
        <v>17</v>
      </c>
      <c r="C378" s="2" t="s">
        <v>467</v>
      </c>
      <c r="D378" s="4"/>
      <c r="E378" s="4">
        <v>3.797835E7</v>
      </c>
      <c r="F378" s="2" t="s">
        <v>4</v>
      </c>
      <c r="G378" s="3">
        <v>2.0022499146000004E8</v>
      </c>
      <c r="I378" s="6" t="s">
        <v>6</v>
      </c>
    </row>
    <row r="379">
      <c r="A379" s="1">
        <v>46073.0</v>
      </c>
      <c r="B379" s="2" t="s">
        <v>17</v>
      </c>
      <c r="C379" s="2" t="s">
        <v>468</v>
      </c>
      <c r="D379" s="4"/>
      <c r="E379" s="4">
        <v>4.83E7</v>
      </c>
      <c r="F379" s="2" t="s">
        <v>4</v>
      </c>
      <c r="G379" s="3">
        <v>2.4852499146000004E8</v>
      </c>
      <c r="I379" s="6" t="s">
        <v>6</v>
      </c>
    </row>
    <row r="380">
      <c r="A380" s="1">
        <v>46073.0</v>
      </c>
      <c r="B380" s="2" t="s">
        <v>17</v>
      </c>
      <c r="C380" s="2" t="s">
        <v>469</v>
      </c>
      <c r="D380" s="4"/>
      <c r="E380" s="4">
        <v>4.74E7</v>
      </c>
      <c r="F380" s="2" t="s">
        <v>4</v>
      </c>
      <c r="G380" s="3">
        <v>2.9592499146000004E8</v>
      </c>
      <c r="I380" s="6" t="s">
        <v>6</v>
      </c>
    </row>
    <row r="381">
      <c r="A381" s="1">
        <v>46073.0</v>
      </c>
      <c r="B381" s="2" t="s">
        <v>17</v>
      </c>
      <c r="C381" s="2" t="s">
        <v>470</v>
      </c>
      <c r="D381" s="4"/>
      <c r="E381" s="4">
        <v>4.86E7</v>
      </c>
      <c r="F381" s="2" t="s">
        <v>4</v>
      </c>
      <c r="G381" s="3">
        <v>3.4452499146000004E8</v>
      </c>
      <c r="I381" s="6" t="s">
        <v>16</v>
      </c>
    </row>
    <row r="382">
      <c r="A382" s="1">
        <v>46073.0</v>
      </c>
      <c r="B382" s="2" t="s">
        <v>17</v>
      </c>
      <c r="C382" s="2" t="s">
        <v>471</v>
      </c>
      <c r="D382" s="4"/>
      <c r="E382" s="4">
        <v>1.082E7</v>
      </c>
      <c r="F382" s="2" t="s">
        <v>4</v>
      </c>
      <c r="G382" s="3">
        <v>3.5534499146000004E8</v>
      </c>
      <c r="I382" s="6" t="s">
        <v>6</v>
      </c>
    </row>
    <row r="383">
      <c r="A383" s="1">
        <v>46073.0</v>
      </c>
      <c r="B383" s="2" t="s">
        <v>22</v>
      </c>
      <c r="C383" s="2" t="s">
        <v>472</v>
      </c>
      <c r="D383" s="4">
        <v>1.8424925E8</v>
      </c>
      <c r="E383" s="3"/>
      <c r="F383" s="2" t="s">
        <v>9</v>
      </c>
      <c r="G383" s="3">
        <v>1.7109574146000004E8</v>
      </c>
      <c r="I383" s="7" t="s">
        <v>16</v>
      </c>
    </row>
    <row r="384">
      <c r="A384" s="1">
        <v>46073.0</v>
      </c>
      <c r="B384" s="2" t="s">
        <v>22</v>
      </c>
      <c r="C384" s="2" t="s">
        <v>473</v>
      </c>
      <c r="D384" s="4">
        <v>1.06515E8</v>
      </c>
      <c r="E384" s="3"/>
      <c r="F384" s="2" t="s">
        <v>9</v>
      </c>
      <c r="G384" s="3">
        <v>6.458074146000004E7</v>
      </c>
      <c r="H384" s="2" t="s">
        <v>474</v>
      </c>
      <c r="I384" s="7" t="s">
        <v>16</v>
      </c>
    </row>
    <row r="385">
      <c r="A385" s="1">
        <v>46074.0</v>
      </c>
      <c r="B385" s="2" t="s">
        <v>475</v>
      </c>
      <c r="C385" s="2" t="s">
        <v>476</v>
      </c>
      <c r="D385" s="4">
        <v>5000000.0</v>
      </c>
      <c r="E385" s="3"/>
      <c r="F385" s="2" t="s">
        <v>9</v>
      </c>
      <c r="G385" s="3">
        <v>5.958074146000004E7</v>
      </c>
      <c r="H385" s="2" t="s">
        <v>477</v>
      </c>
      <c r="I385" s="7" t="s">
        <v>10</v>
      </c>
    </row>
    <row r="386">
      <c r="A386" s="1">
        <v>46074.0</v>
      </c>
      <c r="B386" s="2" t="s">
        <v>478</v>
      </c>
      <c r="C386" s="2" t="s">
        <v>479</v>
      </c>
      <c r="D386" s="4"/>
      <c r="E386" s="4">
        <v>1.1697171E8</v>
      </c>
      <c r="F386" s="2" t="s">
        <v>4</v>
      </c>
      <c r="G386" s="3">
        <v>1.7655245146000004E8</v>
      </c>
      <c r="I386" s="6" t="s">
        <v>6</v>
      </c>
    </row>
    <row r="387">
      <c r="A387" s="1">
        <v>46074.0</v>
      </c>
      <c r="B387" s="2" t="s">
        <v>22</v>
      </c>
      <c r="C387" s="2" t="s">
        <v>480</v>
      </c>
      <c r="D387" s="4">
        <v>1.7645225E8</v>
      </c>
      <c r="E387" s="3"/>
      <c r="F387" s="2" t="s">
        <v>9</v>
      </c>
      <c r="G387" s="3">
        <v>100201.46000003815</v>
      </c>
      <c r="I387" s="7" t="s">
        <v>16</v>
      </c>
    </row>
    <row r="388">
      <c r="A388" s="1">
        <v>46074.0</v>
      </c>
      <c r="B388" s="2" t="s">
        <v>17</v>
      </c>
      <c r="C388" s="2" t="s">
        <v>481</v>
      </c>
      <c r="D388" s="4"/>
      <c r="E388" s="4">
        <v>8.001696E7</v>
      </c>
      <c r="F388" s="2" t="s">
        <v>4</v>
      </c>
      <c r="G388" s="3">
        <v>8.011716146000004E7</v>
      </c>
      <c r="I388" s="6" t="s">
        <v>6</v>
      </c>
    </row>
    <row r="389">
      <c r="A389" s="1">
        <v>46074.0</v>
      </c>
      <c r="B389" s="2" t="s">
        <v>22</v>
      </c>
      <c r="C389" s="2" t="s">
        <v>482</v>
      </c>
      <c r="D389" s="4">
        <v>2.05E7</v>
      </c>
      <c r="E389" s="3"/>
      <c r="F389" s="2" t="s">
        <v>9</v>
      </c>
      <c r="G389" s="3">
        <v>5.961716146000004E7</v>
      </c>
      <c r="I389" s="7" t="s">
        <v>16</v>
      </c>
    </row>
    <row r="390">
      <c r="A390" s="1">
        <v>46074.0</v>
      </c>
      <c r="B390" s="2" t="s">
        <v>17</v>
      </c>
      <c r="C390" s="2" t="s">
        <v>483</v>
      </c>
      <c r="D390" s="4"/>
      <c r="E390" s="4">
        <v>9.207579E7</v>
      </c>
      <c r="F390" s="2" t="s">
        <v>4</v>
      </c>
      <c r="G390" s="3">
        <v>1.5169295146000004E8</v>
      </c>
      <c r="H390" s="2"/>
      <c r="I390" s="6" t="s">
        <v>6</v>
      </c>
    </row>
    <row r="391">
      <c r="A391" s="1">
        <v>46074.0</v>
      </c>
      <c r="B391" s="2" t="s">
        <v>17</v>
      </c>
      <c r="C391" s="2" t="s">
        <v>484</v>
      </c>
      <c r="D391" s="4"/>
      <c r="E391" s="4">
        <v>1.12041E8</v>
      </c>
      <c r="F391" s="2" t="s">
        <v>4</v>
      </c>
      <c r="G391" s="3">
        <v>2.6373395146000004E8</v>
      </c>
      <c r="I391" s="6" t="s">
        <v>6</v>
      </c>
    </row>
    <row r="392">
      <c r="A392" s="1">
        <v>46074.0</v>
      </c>
      <c r="B392" s="2" t="s">
        <v>17</v>
      </c>
      <c r="C392" s="2" t="s">
        <v>485</v>
      </c>
      <c r="D392" s="4"/>
      <c r="E392" s="4">
        <v>200000.0</v>
      </c>
      <c r="F392" s="2" t="s">
        <v>4</v>
      </c>
      <c r="G392" s="3">
        <v>2.6393395146000004E8</v>
      </c>
      <c r="I392" s="6" t="s">
        <v>16</v>
      </c>
    </row>
    <row r="393">
      <c r="A393" s="1">
        <v>46074.0</v>
      </c>
      <c r="B393" s="2" t="s">
        <v>17</v>
      </c>
      <c r="C393" s="2" t="s">
        <v>486</v>
      </c>
      <c r="D393" s="4"/>
      <c r="E393" s="4">
        <v>5.1037227E7</v>
      </c>
      <c r="F393" s="2" t="s">
        <v>4</v>
      </c>
      <c r="G393" s="3">
        <v>3.1497117846000004E8</v>
      </c>
      <c r="I393" s="6" t="s">
        <v>6</v>
      </c>
    </row>
    <row r="394">
      <c r="A394" s="1">
        <v>46074.0</v>
      </c>
      <c r="B394" s="2" t="s">
        <v>17</v>
      </c>
      <c r="C394" s="2" t="s">
        <v>487</v>
      </c>
      <c r="D394" s="4"/>
      <c r="E394" s="4">
        <v>1.043E8</v>
      </c>
      <c r="F394" s="2" t="s">
        <v>4</v>
      </c>
      <c r="G394" s="3">
        <v>4.1927117846000004E8</v>
      </c>
      <c r="I394" s="6" t="s">
        <v>16</v>
      </c>
    </row>
    <row r="395">
      <c r="A395" s="1">
        <v>46074.0</v>
      </c>
      <c r="B395" s="2" t="s">
        <v>17</v>
      </c>
      <c r="C395" s="2" t="s">
        <v>488</v>
      </c>
      <c r="D395" s="4"/>
      <c r="E395" s="4">
        <v>1.0E8</v>
      </c>
      <c r="F395" s="2" t="s">
        <v>4</v>
      </c>
      <c r="G395" s="3">
        <v>5.1927117846000004E8</v>
      </c>
      <c r="I395" s="6" t="s">
        <v>16</v>
      </c>
    </row>
    <row r="396">
      <c r="A396" s="1">
        <v>46074.0</v>
      </c>
      <c r="B396" s="2" t="s">
        <v>489</v>
      </c>
      <c r="C396" s="2" t="s">
        <v>489</v>
      </c>
      <c r="D396" s="4">
        <v>1100000.0</v>
      </c>
      <c r="E396" s="3"/>
      <c r="G396" s="3">
        <v>5.1817117846000004E8</v>
      </c>
      <c r="H396" s="2"/>
      <c r="I396" s="7" t="s">
        <v>6</v>
      </c>
    </row>
    <row r="397">
      <c r="A397" s="1">
        <v>46074.0</v>
      </c>
      <c r="B397" s="2" t="s">
        <v>17</v>
      </c>
      <c r="C397" s="8" t="s">
        <v>490</v>
      </c>
      <c r="D397" s="4"/>
      <c r="E397" s="4">
        <v>4.9488189E7</v>
      </c>
      <c r="F397" s="2" t="s">
        <v>4</v>
      </c>
      <c r="G397" s="3">
        <v>5.6765936746E8</v>
      </c>
      <c r="H397" s="2" t="s">
        <v>491</v>
      </c>
      <c r="I397" s="6" t="s">
        <v>16</v>
      </c>
    </row>
    <row r="398">
      <c r="A398" s="1">
        <v>46074.0</v>
      </c>
      <c r="B398" s="2" t="s">
        <v>22</v>
      </c>
      <c r="C398" s="2" t="s">
        <v>492</v>
      </c>
      <c r="D398" s="4">
        <v>4.54716E7</v>
      </c>
      <c r="E398" s="3"/>
      <c r="F398" s="2" t="s">
        <v>9</v>
      </c>
      <c r="G398" s="3">
        <v>5.2218776746000004E8</v>
      </c>
      <c r="H398" s="2" t="s">
        <v>493</v>
      </c>
      <c r="I398" s="6" t="s">
        <v>16</v>
      </c>
    </row>
    <row r="399">
      <c r="A399" s="1">
        <v>46074.0</v>
      </c>
      <c r="B399" s="2" t="s">
        <v>22</v>
      </c>
      <c r="C399" s="2" t="s">
        <v>494</v>
      </c>
      <c r="D399" s="4">
        <v>1.033415E8</v>
      </c>
      <c r="E399" s="3"/>
      <c r="F399" s="2" t="s">
        <v>9</v>
      </c>
      <c r="G399" s="3">
        <v>4.1884626746000004E8</v>
      </c>
      <c r="I399" s="6" t="s">
        <v>16</v>
      </c>
    </row>
    <row r="400">
      <c r="A400" s="1">
        <v>46074.0</v>
      </c>
      <c r="B400" s="2" t="s">
        <v>22</v>
      </c>
      <c r="C400" s="2" t="s">
        <v>495</v>
      </c>
      <c r="D400" s="4">
        <v>4.633605E7</v>
      </c>
      <c r="E400" s="3"/>
      <c r="F400" s="2" t="s">
        <v>9</v>
      </c>
      <c r="G400" s="3">
        <v>3.7251021746000004E8</v>
      </c>
      <c r="I400" s="6" t="s">
        <v>16</v>
      </c>
    </row>
    <row r="401">
      <c r="A401" s="1">
        <v>46074.0</v>
      </c>
      <c r="B401" s="2" t="s">
        <v>22</v>
      </c>
      <c r="C401" s="2" t="s">
        <v>496</v>
      </c>
      <c r="D401" s="4">
        <v>3.142175E7</v>
      </c>
      <c r="E401" s="3"/>
      <c r="F401" s="2" t="s">
        <v>9</v>
      </c>
      <c r="G401" s="3">
        <v>3.4108846746000004E8</v>
      </c>
      <c r="H401" s="2"/>
      <c r="I401" s="6" t="s">
        <v>16</v>
      </c>
    </row>
    <row r="402">
      <c r="A402" s="1">
        <v>46074.0</v>
      </c>
      <c r="B402" s="2" t="s">
        <v>22</v>
      </c>
      <c r="C402" s="2" t="s">
        <v>497</v>
      </c>
      <c r="D402" s="2">
        <v>9.48945E7</v>
      </c>
      <c r="E402" s="3"/>
      <c r="F402" s="2" t="s">
        <v>9</v>
      </c>
      <c r="G402" s="3">
        <v>2.4619396746000004E8</v>
      </c>
      <c r="I402" s="6" t="s">
        <v>16</v>
      </c>
    </row>
    <row r="403">
      <c r="A403" s="1">
        <v>46074.0</v>
      </c>
      <c r="B403" s="2" t="s">
        <v>22</v>
      </c>
      <c r="C403" s="2" t="s">
        <v>498</v>
      </c>
      <c r="D403" s="4">
        <v>4.421981E7</v>
      </c>
      <c r="E403" s="3"/>
      <c r="F403" s="2" t="s">
        <v>9</v>
      </c>
      <c r="G403" s="3">
        <v>2.0197415746000004E8</v>
      </c>
      <c r="H403" s="2" t="s">
        <v>499</v>
      </c>
      <c r="I403" s="6" t="s">
        <v>16</v>
      </c>
    </row>
    <row r="404">
      <c r="A404" s="1">
        <v>46075.0</v>
      </c>
      <c r="B404" s="2" t="s">
        <v>41</v>
      </c>
      <c r="C404" s="2" t="s">
        <v>500</v>
      </c>
      <c r="D404" s="4">
        <v>102000.0</v>
      </c>
      <c r="E404" s="3"/>
      <c r="G404" s="3">
        <v>2.0187215746000004E8</v>
      </c>
      <c r="I404" s="7" t="s">
        <v>6</v>
      </c>
    </row>
    <row r="405">
      <c r="A405" s="1">
        <v>46075.0</v>
      </c>
      <c r="B405" s="2" t="s">
        <v>22</v>
      </c>
      <c r="C405" s="2" t="s">
        <v>501</v>
      </c>
      <c r="D405" s="4">
        <v>8.66334E7</v>
      </c>
      <c r="E405" s="3"/>
      <c r="F405" s="2" t="s">
        <v>9</v>
      </c>
      <c r="G405" s="3">
        <v>1.1523875746000004E8</v>
      </c>
      <c r="I405" s="6" t="s">
        <v>16</v>
      </c>
    </row>
    <row r="406">
      <c r="A406" s="1">
        <v>46075.0</v>
      </c>
      <c r="B406" s="2" t="s">
        <v>22</v>
      </c>
      <c r="C406" s="2" t="s">
        <v>502</v>
      </c>
      <c r="D406" s="4">
        <v>5.425E7</v>
      </c>
      <c r="E406" s="3"/>
      <c r="F406" s="2" t="s">
        <v>9</v>
      </c>
      <c r="G406" s="3">
        <v>6.098875746000004E7</v>
      </c>
      <c r="I406" s="6" t="s">
        <v>16</v>
      </c>
    </row>
    <row r="407">
      <c r="A407" s="1">
        <v>46075.0</v>
      </c>
      <c r="B407" s="2" t="s">
        <v>22</v>
      </c>
      <c r="C407" s="2" t="s">
        <v>503</v>
      </c>
      <c r="D407" s="4">
        <v>1.432668E7</v>
      </c>
      <c r="E407" s="3"/>
      <c r="F407" s="2" t="s">
        <v>9</v>
      </c>
      <c r="G407" s="3">
        <v>4.666207746000004E7</v>
      </c>
      <c r="I407" s="6" t="s">
        <v>16</v>
      </c>
    </row>
    <row r="408">
      <c r="A408" s="1">
        <v>46075.0</v>
      </c>
      <c r="B408" s="2" t="s">
        <v>22</v>
      </c>
      <c r="C408" s="2" t="s">
        <v>504</v>
      </c>
      <c r="D408" s="4">
        <v>5945150.0</v>
      </c>
      <c r="E408" s="3"/>
      <c r="F408" s="2" t="s">
        <v>9</v>
      </c>
      <c r="G408" s="3">
        <v>4.071692746000004E7</v>
      </c>
      <c r="I408" s="7" t="s">
        <v>10</v>
      </c>
    </row>
    <row r="409">
      <c r="A409" s="1">
        <v>46075.0</v>
      </c>
      <c r="B409" s="2" t="s">
        <v>22</v>
      </c>
      <c r="C409" s="2" t="s">
        <v>505</v>
      </c>
      <c r="D409" s="4">
        <v>70941.0</v>
      </c>
      <c r="E409" s="3"/>
      <c r="F409" s="2" t="s">
        <v>9</v>
      </c>
      <c r="G409" s="3">
        <v>4.064598646000004E7</v>
      </c>
      <c r="H409" s="2" t="s">
        <v>506</v>
      </c>
      <c r="I409" s="7" t="s">
        <v>6</v>
      </c>
    </row>
    <row r="410">
      <c r="A410" s="1">
        <v>46075.0</v>
      </c>
      <c r="B410" s="2" t="s">
        <v>22</v>
      </c>
      <c r="C410" s="2" t="s">
        <v>507</v>
      </c>
      <c r="D410" s="4">
        <v>3561740.0</v>
      </c>
      <c r="E410" s="3"/>
      <c r="F410" s="2" t="s">
        <v>9</v>
      </c>
      <c r="G410" s="3">
        <v>3.708424646000004E7</v>
      </c>
      <c r="H410" s="2" t="s">
        <v>508</v>
      </c>
      <c r="I410" s="7" t="s">
        <v>10</v>
      </c>
    </row>
    <row r="411">
      <c r="A411" s="1">
        <v>46075.0</v>
      </c>
      <c r="B411" s="2" t="s">
        <v>22</v>
      </c>
      <c r="C411" s="2" t="s">
        <v>509</v>
      </c>
      <c r="D411" s="4">
        <v>2738040.0</v>
      </c>
      <c r="E411" s="3"/>
      <c r="F411" s="2" t="s">
        <v>9</v>
      </c>
      <c r="G411" s="3">
        <v>3.434620646000004E7</v>
      </c>
      <c r="I411" s="7" t="s">
        <v>10</v>
      </c>
    </row>
    <row r="412">
      <c r="A412" s="1">
        <v>46075.0</v>
      </c>
      <c r="B412" s="2" t="s">
        <v>22</v>
      </c>
      <c r="C412" s="2" t="s">
        <v>510</v>
      </c>
      <c r="D412" s="4">
        <v>1.19924E7</v>
      </c>
      <c r="E412" s="3"/>
      <c r="F412" s="2" t="s">
        <v>9</v>
      </c>
      <c r="G412" s="3">
        <v>2.235380646000004E7</v>
      </c>
      <c r="I412" s="7" t="s">
        <v>10</v>
      </c>
    </row>
    <row r="413">
      <c r="A413" s="1">
        <v>46075.0</v>
      </c>
      <c r="B413" s="2" t="s">
        <v>17</v>
      </c>
      <c r="C413" s="2" t="s">
        <v>511</v>
      </c>
      <c r="D413" s="4"/>
      <c r="E413" s="4">
        <v>2.3032314E8</v>
      </c>
      <c r="F413" s="2" t="s">
        <v>4</v>
      </c>
      <c r="G413" s="3">
        <v>2.5267694646000004E8</v>
      </c>
      <c r="I413" s="6" t="s">
        <v>16</v>
      </c>
    </row>
    <row r="414">
      <c r="A414" s="1">
        <v>46075.0</v>
      </c>
      <c r="B414" s="2" t="s">
        <v>17</v>
      </c>
      <c r="C414" s="2" t="s">
        <v>512</v>
      </c>
      <c r="D414" s="4"/>
      <c r="E414" s="4">
        <v>1.0597968E8</v>
      </c>
      <c r="F414" s="2" t="s">
        <v>4</v>
      </c>
      <c r="G414" s="3">
        <v>3.5865662646000004E8</v>
      </c>
      <c r="I414" s="6" t="s">
        <v>16</v>
      </c>
    </row>
    <row r="415">
      <c r="A415" s="1">
        <v>46075.0</v>
      </c>
      <c r="B415" s="2" t="s">
        <v>22</v>
      </c>
      <c r="C415" s="2" t="s">
        <v>513</v>
      </c>
      <c r="D415" s="4">
        <v>9.3E7</v>
      </c>
      <c r="E415" s="3"/>
      <c r="F415" s="2" t="s">
        <v>9</v>
      </c>
      <c r="G415" s="3">
        <v>2.6565662646000004E8</v>
      </c>
      <c r="H415" s="2"/>
      <c r="I415" s="6" t="s">
        <v>16</v>
      </c>
    </row>
    <row r="416">
      <c r="A416" s="1">
        <v>46075.0</v>
      </c>
      <c r="B416" s="2" t="s">
        <v>22</v>
      </c>
      <c r="C416" s="2" t="s">
        <v>514</v>
      </c>
      <c r="D416" s="2">
        <v>2.0525169E8</v>
      </c>
      <c r="E416" s="3"/>
      <c r="F416" s="2" t="s">
        <v>9</v>
      </c>
      <c r="G416" s="3">
        <v>6.040493646000004E7</v>
      </c>
      <c r="I416" s="6" t="s">
        <v>16</v>
      </c>
    </row>
    <row r="417">
      <c r="A417" s="1">
        <v>46075.0</v>
      </c>
      <c r="B417" s="2" t="s">
        <v>22</v>
      </c>
      <c r="C417" s="2" t="s">
        <v>515</v>
      </c>
      <c r="D417" s="4">
        <v>4.931997E7</v>
      </c>
      <c r="E417" s="3"/>
      <c r="F417" s="2" t="s">
        <v>9</v>
      </c>
      <c r="G417" s="3">
        <v>1.1084966460000038E7</v>
      </c>
      <c r="H417" s="2"/>
      <c r="I417" s="6" t="s">
        <v>16</v>
      </c>
    </row>
    <row r="418">
      <c r="A418" s="1">
        <v>46075.0</v>
      </c>
      <c r="B418" s="2" t="s">
        <v>17</v>
      </c>
      <c r="C418" s="2" t="s">
        <v>516</v>
      </c>
      <c r="D418" s="4"/>
      <c r="E418" s="4">
        <v>7.875991E7</v>
      </c>
      <c r="F418" s="2" t="s">
        <v>4</v>
      </c>
      <c r="G418" s="3">
        <v>8.984487646000004E7</v>
      </c>
      <c r="I418" s="6" t="s">
        <v>16</v>
      </c>
    </row>
    <row r="419">
      <c r="A419" s="1">
        <v>46075.0</v>
      </c>
      <c r="B419" s="2" t="s">
        <v>22</v>
      </c>
      <c r="C419" s="2" t="s">
        <v>517</v>
      </c>
      <c r="D419" s="4">
        <v>7.111675E7</v>
      </c>
      <c r="E419" s="3"/>
      <c r="F419" s="2" t="s">
        <v>9</v>
      </c>
      <c r="G419" s="3">
        <v>1.872812646000004E7</v>
      </c>
      <c r="I419" s="6" t="s">
        <v>16</v>
      </c>
    </row>
    <row r="420">
      <c r="A420" s="1">
        <v>46075.0</v>
      </c>
      <c r="B420" s="2" t="s">
        <v>17</v>
      </c>
      <c r="C420" s="2" t="s">
        <v>518</v>
      </c>
      <c r="D420" s="4"/>
      <c r="E420" s="4">
        <v>5.075182E7</v>
      </c>
      <c r="F420" s="2" t="s">
        <v>4</v>
      </c>
      <c r="G420" s="3">
        <v>6.947994646000004E7</v>
      </c>
      <c r="I420" s="6" t="s">
        <v>16</v>
      </c>
    </row>
    <row r="421">
      <c r="A421" s="1">
        <v>46075.0</v>
      </c>
      <c r="B421" s="2" t="s">
        <v>17</v>
      </c>
      <c r="C421" s="2" t="s">
        <v>519</v>
      </c>
      <c r="D421" s="4"/>
      <c r="E421" s="4">
        <v>731590.0</v>
      </c>
      <c r="F421" s="2" t="s">
        <v>4</v>
      </c>
      <c r="G421" s="3">
        <v>7.021153646000004E7</v>
      </c>
      <c r="H421" s="2" t="s">
        <v>520</v>
      </c>
      <c r="I421" s="6" t="s">
        <v>16</v>
      </c>
    </row>
    <row r="422">
      <c r="A422" s="1">
        <v>46075.0</v>
      </c>
      <c r="B422" s="2" t="s">
        <v>17</v>
      </c>
      <c r="C422" s="2" t="s">
        <v>521</v>
      </c>
      <c r="D422" s="4"/>
      <c r="E422" s="4">
        <v>4.68E7</v>
      </c>
      <c r="F422" s="2" t="s">
        <v>4</v>
      </c>
      <c r="G422" s="3">
        <v>1.1701153646000004E8</v>
      </c>
      <c r="H422" s="2" t="s">
        <v>522</v>
      </c>
      <c r="I422" s="6" t="s">
        <v>16</v>
      </c>
    </row>
    <row r="423">
      <c r="A423" s="1">
        <v>46075.0</v>
      </c>
      <c r="B423" s="2" t="s">
        <v>17</v>
      </c>
      <c r="C423" s="2" t="s">
        <v>523</v>
      </c>
      <c r="D423" s="4"/>
      <c r="E423" s="4">
        <v>4.68E7</v>
      </c>
      <c r="F423" s="2" t="s">
        <v>4</v>
      </c>
      <c r="G423" s="3">
        <v>1.6381153646000004E8</v>
      </c>
      <c r="I423" s="6" t="s">
        <v>16</v>
      </c>
    </row>
    <row r="424">
      <c r="A424" s="1">
        <v>46075.0</v>
      </c>
      <c r="B424" s="2" t="s">
        <v>17</v>
      </c>
      <c r="C424" s="2" t="s">
        <v>524</v>
      </c>
      <c r="D424" s="4"/>
      <c r="E424" s="4">
        <v>4.53E7</v>
      </c>
      <c r="F424" s="2" t="s">
        <v>4</v>
      </c>
      <c r="G424" s="3">
        <v>2.0911153646000004E8</v>
      </c>
      <c r="I424" s="6" t="s">
        <v>16</v>
      </c>
    </row>
    <row r="425">
      <c r="A425" s="1">
        <v>46075.0</v>
      </c>
      <c r="B425" s="2" t="s">
        <v>17</v>
      </c>
      <c r="C425" s="2" t="s">
        <v>525</v>
      </c>
      <c r="D425" s="4"/>
      <c r="E425" s="4">
        <v>5.0E7</v>
      </c>
      <c r="F425" s="2" t="s">
        <v>4</v>
      </c>
      <c r="G425" s="3">
        <v>2.5911153646000004E8</v>
      </c>
      <c r="I425" s="6" t="s">
        <v>16</v>
      </c>
    </row>
    <row r="426">
      <c r="A426" s="1">
        <v>46075.0</v>
      </c>
      <c r="B426" s="2" t="s">
        <v>22</v>
      </c>
      <c r="C426" s="2" t="s">
        <v>526</v>
      </c>
      <c r="D426" s="4">
        <v>9.090285E7</v>
      </c>
      <c r="E426" s="3"/>
      <c r="F426" s="2" t="s">
        <v>9</v>
      </c>
      <c r="G426" s="3">
        <v>1.6820868646000004E8</v>
      </c>
      <c r="I426" s="6" t="s">
        <v>16</v>
      </c>
    </row>
    <row r="427">
      <c r="A427" s="1">
        <v>46075.0</v>
      </c>
      <c r="B427" s="2" t="s">
        <v>22</v>
      </c>
      <c r="C427" s="2" t="s">
        <v>527</v>
      </c>
      <c r="D427" s="4">
        <v>1.3264944E8</v>
      </c>
      <c r="E427" s="3"/>
      <c r="F427" s="2" t="s">
        <v>9</v>
      </c>
      <c r="G427" s="3">
        <v>3.555924646000004E7</v>
      </c>
      <c r="I427" s="7" t="s">
        <v>16</v>
      </c>
    </row>
    <row r="428">
      <c r="A428" s="1">
        <v>46075.0</v>
      </c>
      <c r="B428" s="2" t="s">
        <v>22</v>
      </c>
      <c r="C428" s="2" t="s">
        <v>528</v>
      </c>
      <c r="D428" s="4">
        <v>1795000.0</v>
      </c>
      <c r="E428" s="3"/>
      <c r="F428" s="2" t="s">
        <v>9</v>
      </c>
      <c r="G428" s="3">
        <v>3.376424646000004E7</v>
      </c>
      <c r="I428" s="7" t="s">
        <v>67</v>
      </c>
    </row>
    <row r="429">
      <c r="A429" s="1">
        <v>46075.0</v>
      </c>
      <c r="B429" s="2" t="s">
        <v>17</v>
      </c>
      <c r="C429" s="2" t="s">
        <v>529</v>
      </c>
      <c r="D429" s="4"/>
      <c r="E429" s="4">
        <v>1.0E8</v>
      </c>
      <c r="F429" s="2" t="s">
        <v>4</v>
      </c>
      <c r="G429" s="3">
        <v>1.3376424646000004E8</v>
      </c>
      <c r="I429" s="6" t="s">
        <v>16</v>
      </c>
    </row>
    <row r="430">
      <c r="A430" s="1">
        <v>46075.0</v>
      </c>
      <c r="B430" s="2" t="s">
        <v>22</v>
      </c>
      <c r="C430" s="2" t="s">
        <v>530</v>
      </c>
      <c r="D430" s="4">
        <v>5.2884E7</v>
      </c>
      <c r="E430" s="3"/>
      <c r="F430" s="2" t="s">
        <v>9</v>
      </c>
      <c r="G430" s="3">
        <v>8.088024646000004E7</v>
      </c>
      <c r="I430" s="6" t="s">
        <v>16</v>
      </c>
    </row>
    <row r="431">
      <c r="A431" s="1">
        <v>46075.0</v>
      </c>
      <c r="B431" s="2" t="s">
        <v>22</v>
      </c>
      <c r="C431" s="2" t="s">
        <v>531</v>
      </c>
      <c r="D431" s="4">
        <v>1449680.0</v>
      </c>
      <c r="E431" s="3"/>
      <c r="F431" s="2" t="s">
        <v>9</v>
      </c>
      <c r="G431" s="3">
        <v>7.943056646000004E7</v>
      </c>
      <c r="H431" s="2"/>
      <c r="I431" s="7" t="s">
        <v>67</v>
      </c>
    </row>
    <row r="432">
      <c r="A432" s="1">
        <v>46075.0</v>
      </c>
      <c r="B432" s="2" t="s">
        <v>22</v>
      </c>
      <c r="C432" s="2" t="s">
        <v>532</v>
      </c>
      <c r="D432" s="2">
        <v>2197900.0</v>
      </c>
      <c r="E432" s="3"/>
      <c r="F432" s="2" t="s">
        <v>9</v>
      </c>
      <c r="G432" s="3">
        <v>7.723266646000004E7</v>
      </c>
      <c r="I432" s="7" t="s">
        <v>10</v>
      </c>
    </row>
    <row r="433">
      <c r="A433" s="1">
        <v>46075.0</v>
      </c>
      <c r="B433" s="2" t="s">
        <v>22</v>
      </c>
      <c r="C433" s="2" t="s">
        <v>533</v>
      </c>
      <c r="D433" s="4">
        <v>671020.0</v>
      </c>
      <c r="E433" s="3"/>
      <c r="F433" s="2" t="s">
        <v>9</v>
      </c>
      <c r="G433" s="3">
        <v>7.656164646000004E7</v>
      </c>
      <c r="H433" s="2"/>
      <c r="I433" s="7" t="s">
        <v>67</v>
      </c>
    </row>
    <row r="434">
      <c r="A434" s="1">
        <v>46075.0</v>
      </c>
      <c r="B434" s="2" t="s">
        <v>17</v>
      </c>
      <c r="C434" s="2" t="s">
        <v>534</v>
      </c>
      <c r="D434" s="4"/>
      <c r="E434" s="4">
        <v>1.5850995E8</v>
      </c>
      <c r="F434" s="2" t="s">
        <v>4</v>
      </c>
      <c r="G434" s="3">
        <v>2.3507159646000004E8</v>
      </c>
      <c r="H434" s="2" t="s">
        <v>535</v>
      </c>
      <c r="I434" s="6" t="s">
        <v>16</v>
      </c>
    </row>
    <row r="435">
      <c r="A435" s="1">
        <v>46076.0</v>
      </c>
      <c r="B435" s="2" t="s">
        <v>22</v>
      </c>
      <c r="C435" s="2" t="s">
        <v>536</v>
      </c>
      <c r="D435" s="4">
        <v>5.25509E7</v>
      </c>
      <c r="E435" s="3"/>
      <c r="F435" s="2" t="s">
        <v>9</v>
      </c>
      <c r="G435" s="3">
        <v>1.8252069646000004E8</v>
      </c>
      <c r="H435" s="2" t="s">
        <v>537</v>
      </c>
      <c r="I435" s="6" t="s">
        <v>16</v>
      </c>
    </row>
    <row r="436">
      <c r="A436" s="1">
        <v>46076.0</v>
      </c>
      <c r="B436" s="2" t="s">
        <v>22</v>
      </c>
      <c r="C436" s="2" t="s">
        <v>538</v>
      </c>
      <c r="D436" s="4">
        <v>9.542305E7</v>
      </c>
      <c r="E436" s="3"/>
      <c r="F436" s="2" t="s">
        <v>9</v>
      </c>
      <c r="G436" s="3">
        <v>8.709764646000004E7</v>
      </c>
      <c r="H436" s="2" t="s">
        <v>539</v>
      </c>
      <c r="I436" s="6" t="s">
        <v>16</v>
      </c>
    </row>
    <row r="437">
      <c r="A437" s="1">
        <v>46076.0</v>
      </c>
      <c r="B437" s="2" t="s">
        <v>22</v>
      </c>
      <c r="C437" s="2" t="s">
        <v>540</v>
      </c>
      <c r="D437" s="4">
        <v>1.16211E7</v>
      </c>
      <c r="E437" s="3"/>
      <c r="F437" s="2" t="s">
        <v>9</v>
      </c>
      <c r="G437" s="3">
        <v>7.547654646000004E7</v>
      </c>
      <c r="H437" s="2"/>
      <c r="I437" s="7" t="s">
        <v>10</v>
      </c>
    </row>
    <row r="438">
      <c r="A438" s="1">
        <v>46076.0</v>
      </c>
      <c r="B438" s="2" t="s">
        <v>22</v>
      </c>
      <c r="C438" s="2" t="s">
        <v>541</v>
      </c>
      <c r="D438" s="4">
        <v>300000.0</v>
      </c>
      <c r="E438" s="3"/>
      <c r="F438" s="2" t="s">
        <v>9</v>
      </c>
      <c r="G438" s="3">
        <v>7.517654646000004E7</v>
      </c>
      <c r="I438" s="7" t="s">
        <v>10</v>
      </c>
    </row>
    <row r="439">
      <c r="A439" s="1">
        <v>46076.0</v>
      </c>
      <c r="B439" s="2" t="s">
        <v>17</v>
      </c>
      <c r="C439" s="2" t="s">
        <v>542</v>
      </c>
      <c r="D439" s="4"/>
      <c r="E439" s="4">
        <v>4.681E7</v>
      </c>
      <c r="F439" s="2" t="s">
        <v>4</v>
      </c>
      <c r="G439" s="3">
        <v>1.2198654646000004E8</v>
      </c>
      <c r="I439" s="6" t="s">
        <v>16</v>
      </c>
    </row>
    <row r="440">
      <c r="A440" s="1">
        <v>46076.0</v>
      </c>
      <c r="B440" s="2" t="s">
        <v>22</v>
      </c>
      <c r="C440" s="2" t="s">
        <v>543</v>
      </c>
      <c r="D440" s="4">
        <v>4.44873E7</v>
      </c>
      <c r="E440" s="3"/>
      <c r="F440" s="2" t="s">
        <v>9</v>
      </c>
      <c r="G440" s="3">
        <v>7.749924646000004E7</v>
      </c>
      <c r="I440" s="6" t="s">
        <v>16</v>
      </c>
    </row>
    <row r="441">
      <c r="A441" s="1">
        <v>46076.0</v>
      </c>
      <c r="B441" s="2" t="s">
        <v>17</v>
      </c>
      <c r="C441" s="2" t="s">
        <v>544</v>
      </c>
      <c r="D441" s="4"/>
      <c r="E441" s="4">
        <v>1.932104E8</v>
      </c>
      <c r="F441" s="2" t="s">
        <v>4</v>
      </c>
      <c r="G441" s="3">
        <v>2.7070964646000004E8</v>
      </c>
      <c r="I441" s="6" t="s">
        <v>16</v>
      </c>
    </row>
    <row r="442">
      <c r="A442" s="1">
        <v>46076.0</v>
      </c>
      <c r="B442" s="2" t="s">
        <v>17</v>
      </c>
      <c r="C442" s="2" t="s">
        <v>545</v>
      </c>
      <c r="D442" s="4"/>
      <c r="E442" s="4">
        <v>2.4403E7</v>
      </c>
      <c r="F442" s="2" t="s">
        <v>4</v>
      </c>
      <c r="G442" s="3">
        <v>2.9511264646000004E8</v>
      </c>
      <c r="I442" s="6" t="s">
        <v>16</v>
      </c>
    </row>
    <row r="443">
      <c r="A443" s="1">
        <v>46076.0</v>
      </c>
      <c r="B443" s="2" t="s">
        <v>17</v>
      </c>
      <c r="C443" s="2" t="s">
        <v>546</v>
      </c>
      <c r="D443" s="4"/>
      <c r="E443" s="4">
        <v>4.56E7</v>
      </c>
      <c r="F443" s="2" t="s">
        <v>4</v>
      </c>
      <c r="G443" s="3">
        <v>3.4071264646000004E8</v>
      </c>
      <c r="H443" s="2"/>
      <c r="I443" s="6" t="s">
        <v>16</v>
      </c>
    </row>
    <row r="444">
      <c r="A444" s="1">
        <v>46076.0</v>
      </c>
      <c r="B444" s="2" t="s">
        <v>17</v>
      </c>
      <c r="C444" s="8" t="s">
        <v>546</v>
      </c>
      <c r="D444" s="2"/>
      <c r="E444" s="4">
        <v>4.56E7</v>
      </c>
      <c r="F444" s="2" t="s">
        <v>4</v>
      </c>
      <c r="G444" s="3">
        <v>3.8631264646000004E8</v>
      </c>
      <c r="I444" s="6" t="s">
        <v>16</v>
      </c>
    </row>
    <row r="445">
      <c r="A445" s="1">
        <v>46076.0</v>
      </c>
      <c r="B445" s="2" t="s">
        <v>22</v>
      </c>
      <c r="C445" s="2" t="s">
        <v>547</v>
      </c>
      <c r="D445" s="4">
        <v>6.475585E7</v>
      </c>
      <c r="E445" s="3"/>
      <c r="F445" s="2" t="s">
        <v>9</v>
      </c>
      <c r="G445" s="3">
        <v>3.2155679646000004E8</v>
      </c>
      <c r="H445" s="2"/>
      <c r="I445" s="6" t="s">
        <v>16</v>
      </c>
    </row>
    <row r="446">
      <c r="A446" s="1">
        <v>46076.0</v>
      </c>
      <c r="B446" s="2" t="s">
        <v>22</v>
      </c>
      <c r="C446" s="2" t="s">
        <v>548</v>
      </c>
      <c r="D446" s="4">
        <v>1.063725E8</v>
      </c>
      <c r="E446" s="3"/>
      <c r="F446" s="2" t="s">
        <v>9</v>
      </c>
      <c r="G446" s="3">
        <v>2.1518429646000004E8</v>
      </c>
      <c r="I446" s="6" t="s">
        <v>16</v>
      </c>
    </row>
    <row r="447">
      <c r="A447" s="1">
        <v>46076.0</v>
      </c>
      <c r="B447" s="2" t="s">
        <v>17</v>
      </c>
      <c r="C447" s="2" t="s">
        <v>549</v>
      </c>
      <c r="D447" s="4"/>
      <c r="E447" s="4">
        <v>5.399156E7</v>
      </c>
      <c r="F447" s="2" t="s">
        <v>4</v>
      </c>
      <c r="G447" s="3">
        <v>2.6917585646000004E8</v>
      </c>
      <c r="H447" s="2" t="s">
        <v>550</v>
      </c>
      <c r="I447" s="6" t="s">
        <v>16</v>
      </c>
    </row>
    <row r="448">
      <c r="A448" s="1">
        <v>46076.0</v>
      </c>
      <c r="B448" s="2" t="s">
        <v>22</v>
      </c>
      <c r="C448" s="2" t="s">
        <v>551</v>
      </c>
      <c r="D448" s="4">
        <v>4.62345E7</v>
      </c>
      <c r="E448" s="3"/>
      <c r="F448" s="2" t="s">
        <v>9</v>
      </c>
      <c r="G448" s="3">
        <v>2.2294135646000004E8</v>
      </c>
      <c r="H448" s="2" t="s">
        <v>552</v>
      </c>
      <c r="I448" s="6" t="s">
        <v>16</v>
      </c>
    </row>
    <row r="449">
      <c r="A449" s="1">
        <v>46076.0</v>
      </c>
      <c r="B449" s="2" t="s">
        <v>17</v>
      </c>
      <c r="C449" s="2" t="s">
        <v>553</v>
      </c>
      <c r="D449" s="4"/>
      <c r="E449" s="4">
        <v>8.329716E7</v>
      </c>
      <c r="F449" s="2" t="s">
        <v>4</v>
      </c>
      <c r="G449" s="3">
        <v>3.0623851646000004E8</v>
      </c>
      <c r="I449" s="6" t="s">
        <v>16</v>
      </c>
    </row>
    <row r="450">
      <c r="A450" s="1">
        <v>46076.0</v>
      </c>
      <c r="B450" s="2" t="s">
        <v>17</v>
      </c>
      <c r="C450" s="2" t="s">
        <v>554</v>
      </c>
      <c r="D450" s="4"/>
      <c r="E450" s="4">
        <v>4.0E7</v>
      </c>
      <c r="F450" s="2" t="s">
        <v>4</v>
      </c>
      <c r="G450" s="3">
        <v>3.4623851646000004E8</v>
      </c>
      <c r="I450" s="6" t="s">
        <v>16</v>
      </c>
    </row>
    <row r="451">
      <c r="A451" s="1">
        <v>46076.0</v>
      </c>
      <c r="B451" s="2" t="s">
        <v>17</v>
      </c>
      <c r="C451" s="2" t="s">
        <v>555</v>
      </c>
      <c r="D451" s="4"/>
      <c r="E451" s="4">
        <v>8.99408E7</v>
      </c>
      <c r="F451" s="2" t="s">
        <v>4</v>
      </c>
      <c r="G451" s="3">
        <v>4.3617931646000004E8</v>
      </c>
      <c r="I451" s="6" t="s">
        <v>16</v>
      </c>
    </row>
    <row r="452">
      <c r="A452" s="1">
        <v>46076.0</v>
      </c>
      <c r="B452" s="2" t="s">
        <v>52</v>
      </c>
      <c r="C452" s="8" t="s">
        <v>212</v>
      </c>
      <c r="D452" s="4">
        <v>120000.0</v>
      </c>
      <c r="E452" s="3"/>
      <c r="F452" s="2" t="s">
        <v>9</v>
      </c>
      <c r="G452" s="3">
        <v>4.3605931646000004E8</v>
      </c>
      <c r="I452" s="7" t="s">
        <v>6</v>
      </c>
    </row>
    <row r="453">
      <c r="A453" s="1">
        <v>46076.0</v>
      </c>
      <c r="B453" s="2" t="s">
        <v>52</v>
      </c>
      <c r="C453" s="8" t="s">
        <v>213</v>
      </c>
      <c r="D453" s="4">
        <v>2500.0</v>
      </c>
      <c r="E453" s="3"/>
      <c r="F453" s="2" t="s">
        <v>9</v>
      </c>
      <c r="G453" s="3">
        <v>4.3605681646000004E8</v>
      </c>
      <c r="I453" s="7" t="s">
        <v>13</v>
      </c>
    </row>
    <row r="454">
      <c r="A454" s="1">
        <v>46076.0</v>
      </c>
      <c r="B454" s="2" t="s">
        <v>22</v>
      </c>
      <c r="C454" s="2" t="s">
        <v>556</v>
      </c>
      <c r="D454" s="4">
        <v>300000.0</v>
      </c>
      <c r="E454" s="3"/>
      <c r="F454" s="2" t="s">
        <v>9</v>
      </c>
      <c r="G454" s="3">
        <v>4.3575681646000004E8</v>
      </c>
      <c r="I454" s="7" t="s">
        <v>80</v>
      </c>
    </row>
    <row r="455">
      <c r="A455" s="1">
        <v>46076.0</v>
      </c>
      <c r="B455" s="2" t="s">
        <v>22</v>
      </c>
      <c r="C455" s="2" t="s">
        <v>557</v>
      </c>
      <c r="D455" s="4">
        <v>1.39221E8</v>
      </c>
      <c r="E455" s="3"/>
      <c r="F455" s="2" t="s">
        <v>9</v>
      </c>
      <c r="G455" s="3">
        <v>2.9653581646000004E8</v>
      </c>
      <c r="I455" s="6" t="s">
        <v>16</v>
      </c>
    </row>
    <row r="456">
      <c r="A456" s="1">
        <v>46076.0</v>
      </c>
      <c r="B456" s="2" t="s">
        <v>22</v>
      </c>
      <c r="C456" s="2" t="s">
        <v>558</v>
      </c>
      <c r="D456" s="4">
        <v>8.21625E7</v>
      </c>
      <c r="E456" s="3"/>
      <c r="F456" s="2" t="s">
        <v>9</v>
      </c>
      <c r="G456" s="3">
        <v>2.1437331646000004E8</v>
      </c>
      <c r="I456" s="6" t="s">
        <v>16</v>
      </c>
    </row>
    <row r="457">
      <c r="A457" s="1">
        <v>46076.0</v>
      </c>
      <c r="B457" s="2" t="s">
        <v>22</v>
      </c>
      <c r="C457" s="2" t="s">
        <v>559</v>
      </c>
      <c r="D457" s="4">
        <v>1.703725E8</v>
      </c>
      <c r="E457" s="3"/>
      <c r="F457" s="2" t="s">
        <v>9</v>
      </c>
      <c r="G457" s="3">
        <v>4.400081646000004E7</v>
      </c>
      <c r="H457" s="2"/>
      <c r="I457" s="6" t="s">
        <v>16</v>
      </c>
    </row>
    <row r="458">
      <c r="A458" s="1">
        <v>46076.0</v>
      </c>
      <c r="B458" s="2" t="s">
        <v>22</v>
      </c>
      <c r="C458" s="2" t="s">
        <v>560</v>
      </c>
      <c r="D458" s="2">
        <v>8000000.0</v>
      </c>
      <c r="E458" s="3"/>
      <c r="F458" s="2" t="s">
        <v>9</v>
      </c>
      <c r="G458" s="3">
        <v>3.600081646000004E7</v>
      </c>
      <c r="I458" s="6" t="s">
        <v>16</v>
      </c>
    </row>
    <row r="459">
      <c r="A459" s="1">
        <v>46076.0</v>
      </c>
      <c r="B459" s="2" t="s">
        <v>17</v>
      </c>
      <c r="C459" s="2" t="s">
        <v>561</v>
      </c>
      <c r="D459" s="4"/>
      <c r="E459" s="4">
        <v>4.2665E7</v>
      </c>
      <c r="F459" s="2" t="s">
        <v>4</v>
      </c>
      <c r="G459" s="3">
        <v>7.866581646000004E7</v>
      </c>
      <c r="H459" s="2"/>
      <c r="I459" s="6" t="s">
        <v>16</v>
      </c>
    </row>
    <row r="460">
      <c r="A460" s="1">
        <v>46076.0</v>
      </c>
      <c r="B460" s="2" t="s">
        <v>17</v>
      </c>
      <c r="C460" s="2" t="s">
        <v>562</v>
      </c>
      <c r="D460" s="4"/>
      <c r="E460" s="4">
        <v>5.698756E7</v>
      </c>
      <c r="F460" s="2" t="s">
        <v>4</v>
      </c>
      <c r="G460" s="3">
        <v>1.3565337646000004E8</v>
      </c>
      <c r="I460" s="6" t="s">
        <v>16</v>
      </c>
    </row>
    <row r="461">
      <c r="A461" s="1">
        <v>46076.0</v>
      </c>
      <c r="B461" s="2" t="s">
        <v>17</v>
      </c>
      <c r="C461" s="2" t="s">
        <v>563</v>
      </c>
      <c r="D461" s="4"/>
      <c r="E461" s="4">
        <v>4.758E7</v>
      </c>
      <c r="F461" s="2" t="s">
        <v>4</v>
      </c>
      <c r="G461" s="3">
        <v>1.8323337646000004E8</v>
      </c>
      <c r="H461" s="2" t="s">
        <v>564</v>
      </c>
      <c r="I461" s="6" t="s">
        <v>16</v>
      </c>
    </row>
    <row r="462">
      <c r="A462" s="1">
        <v>46076.0</v>
      </c>
      <c r="B462" s="2" t="s">
        <v>22</v>
      </c>
      <c r="C462" s="2" t="s">
        <v>565</v>
      </c>
      <c r="D462" s="4">
        <v>4.35195E7</v>
      </c>
      <c r="E462" s="3"/>
      <c r="F462" s="2" t="s">
        <v>9</v>
      </c>
      <c r="G462" s="3">
        <v>1.3971387646000004E8</v>
      </c>
      <c r="H462" s="2" t="s">
        <v>566</v>
      </c>
      <c r="I462" s="6" t="s">
        <v>16</v>
      </c>
    </row>
    <row r="463">
      <c r="A463" s="1">
        <v>46077.0</v>
      </c>
      <c r="B463" s="2" t="s">
        <v>567</v>
      </c>
      <c r="C463" s="2" t="s">
        <v>568</v>
      </c>
      <c r="D463" s="4">
        <v>6830640.0</v>
      </c>
      <c r="E463" s="3"/>
      <c r="F463" s="2" t="s">
        <v>9</v>
      </c>
      <c r="G463" s="3">
        <v>1.3288323646000004E8</v>
      </c>
      <c r="I463" s="7" t="s">
        <v>10</v>
      </c>
    </row>
    <row r="464">
      <c r="A464" s="1">
        <v>46077.0</v>
      </c>
      <c r="B464" s="2" t="s">
        <v>567</v>
      </c>
      <c r="C464" s="2" t="s">
        <v>569</v>
      </c>
      <c r="D464" s="4">
        <v>1529610.0</v>
      </c>
      <c r="E464" s="3"/>
      <c r="F464" s="2" t="s">
        <v>9</v>
      </c>
      <c r="G464" s="3">
        <v>1.3135362646000004E8</v>
      </c>
      <c r="I464" s="7" t="s">
        <v>10</v>
      </c>
    </row>
    <row r="465">
      <c r="A465" s="1">
        <v>46077.0</v>
      </c>
      <c r="B465" s="2" t="s">
        <v>22</v>
      </c>
      <c r="C465" s="2" t="s">
        <v>570</v>
      </c>
      <c r="D465" s="4">
        <v>9.24602E7</v>
      </c>
      <c r="E465" s="3"/>
      <c r="F465" s="2" t="s">
        <v>9</v>
      </c>
      <c r="G465" s="3">
        <v>3.889342646000004E7</v>
      </c>
      <c r="I465" s="6" t="s">
        <v>16</v>
      </c>
    </row>
    <row r="466">
      <c r="A466" s="1">
        <v>46077.0</v>
      </c>
      <c r="B466" s="2" t="s">
        <v>22</v>
      </c>
      <c r="C466" s="2" t="s">
        <v>571</v>
      </c>
      <c r="D466" s="4">
        <v>3.85248E7</v>
      </c>
      <c r="E466" s="3"/>
      <c r="F466" s="2" t="s">
        <v>9</v>
      </c>
      <c r="G466" s="3">
        <v>368626.46000003815</v>
      </c>
      <c r="I466" s="6" t="s">
        <v>16</v>
      </c>
    </row>
    <row r="467">
      <c r="A467" s="1">
        <v>46077.0</v>
      </c>
      <c r="B467" s="2" t="s">
        <v>17</v>
      </c>
      <c r="C467" s="2" t="s">
        <v>572</v>
      </c>
      <c r="D467" s="4"/>
      <c r="E467" s="4">
        <v>5.17204E7</v>
      </c>
      <c r="F467" s="2" t="s">
        <v>4</v>
      </c>
      <c r="G467" s="3">
        <v>5.208902646000004E7</v>
      </c>
      <c r="I467" s="6" t="s">
        <v>16</v>
      </c>
    </row>
    <row r="468">
      <c r="A468" s="1">
        <v>46077.0</v>
      </c>
      <c r="B468" s="2" t="s">
        <v>17</v>
      </c>
      <c r="C468" s="2" t="s">
        <v>573</v>
      </c>
      <c r="D468" s="4"/>
      <c r="E468" s="4">
        <v>2.1349885E8</v>
      </c>
      <c r="F468" s="2" t="s">
        <v>4</v>
      </c>
      <c r="G468" s="3">
        <v>2.6558787646000004E8</v>
      </c>
      <c r="I468" s="6" t="s">
        <v>16</v>
      </c>
    </row>
    <row r="469">
      <c r="A469" s="1">
        <v>46077.0</v>
      </c>
      <c r="B469" s="2" t="s">
        <v>17</v>
      </c>
      <c r="C469" s="2" t="s">
        <v>574</v>
      </c>
      <c r="D469" s="4"/>
      <c r="E469" s="4">
        <v>9000000.0</v>
      </c>
      <c r="F469" s="2" t="s">
        <v>4</v>
      </c>
      <c r="G469" s="3">
        <v>2.7458787646000004E8</v>
      </c>
      <c r="I469" s="6" t="s">
        <v>16</v>
      </c>
    </row>
    <row r="470">
      <c r="A470" s="1">
        <v>46077.0</v>
      </c>
      <c r="B470" s="2" t="s">
        <v>22</v>
      </c>
      <c r="C470" s="2" t="s">
        <v>575</v>
      </c>
      <c r="D470" s="4">
        <v>1.2E8</v>
      </c>
      <c r="E470" s="3"/>
      <c r="F470" s="2" t="s">
        <v>9</v>
      </c>
      <c r="G470" s="3">
        <v>1.5458787646000004E8</v>
      </c>
      <c r="I470" s="6" t="s">
        <v>16</v>
      </c>
    </row>
    <row r="471">
      <c r="A471" s="1">
        <v>46077.0</v>
      </c>
      <c r="B471" s="2" t="s">
        <v>17</v>
      </c>
      <c r="C471" s="2" t="s">
        <v>576</v>
      </c>
      <c r="D471" s="4"/>
      <c r="E471" s="4">
        <v>3.485394E7</v>
      </c>
      <c r="F471" s="2" t="s">
        <v>4</v>
      </c>
      <c r="G471" s="3">
        <v>1.8944181646000004E8</v>
      </c>
      <c r="I471" s="6" t="s">
        <v>16</v>
      </c>
    </row>
    <row r="472">
      <c r="A472" s="1">
        <v>46077.0</v>
      </c>
      <c r="B472" s="2" t="s">
        <v>17</v>
      </c>
      <c r="C472" s="2" t="s">
        <v>577</v>
      </c>
      <c r="D472" s="4"/>
      <c r="E472" s="4">
        <v>2.4508E7</v>
      </c>
      <c r="F472" s="2" t="s">
        <v>4</v>
      </c>
      <c r="G472" s="3">
        <v>2.1394981646000004E8</v>
      </c>
      <c r="H472" s="2"/>
      <c r="I472" s="6" t="s">
        <v>16</v>
      </c>
    </row>
    <row r="473">
      <c r="A473" s="1">
        <v>46077.0</v>
      </c>
      <c r="B473" s="2" t="s">
        <v>17</v>
      </c>
      <c r="C473" s="2" t="s">
        <v>578</v>
      </c>
      <c r="D473" s="4"/>
      <c r="E473" s="4">
        <v>3.0E7</v>
      </c>
      <c r="F473" s="2" t="s">
        <v>4</v>
      </c>
      <c r="G473" s="3">
        <v>2.4394981646000004E8</v>
      </c>
      <c r="H473" s="2"/>
      <c r="I473" s="6" t="s">
        <v>16</v>
      </c>
    </row>
    <row r="474">
      <c r="A474" s="1">
        <v>46077.0</v>
      </c>
      <c r="B474" s="2" t="s">
        <v>17</v>
      </c>
      <c r="C474" s="2" t="s">
        <v>579</v>
      </c>
      <c r="D474" s="2"/>
      <c r="E474" s="4">
        <v>1.163494E8</v>
      </c>
      <c r="F474" s="2" t="s">
        <v>4</v>
      </c>
      <c r="G474" s="3">
        <v>3.6029921646000004E8</v>
      </c>
      <c r="I474" s="6" t="s">
        <v>16</v>
      </c>
    </row>
    <row r="475">
      <c r="A475" s="1">
        <v>46077.0</v>
      </c>
      <c r="B475" s="2" t="s">
        <v>17</v>
      </c>
      <c r="C475" s="2" t="s">
        <v>580</v>
      </c>
      <c r="D475" s="4"/>
      <c r="E475" s="4">
        <v>4.56E7</v>
      </c>
      <c r="F475" s="2" t="s">
        <v>4</v>
      </c>
      <c r="G475" s="3">
        <v>4.0589921646000004E8</v>
      </c>
      <c r="H475" s="2" t="s">
        <v>581</v>
      </c>
      <c r="I475" s="6" t="s">
        <v>16</v>
      </c>
    </row>
    <row r="476">
      <c r="A476" s="1">
        <v>46077.0</v>
      </c>
      <c r="B476" s="2" t="s">
        <v>17</v>
      </c>
      <c r="C476" s="2" t="s">
        <v>582</v>
      </c>
      <c r="D476" s="4"/>
      <c r="E476" s="4">
        <v>4.86E7</v>
      </c>
      <c r="F476" s="2" t="s">
        <v>4</v>
      </c>
      <c r="G476" s="3">
        <v>4.5449921646000004E8</v>
      </c>
      <c r="H476" s="2" t="s">
        <v>583</v>
      </c>
      <c r="I476" s="6" t="s">
        <v>16</v>
      </c>
    </row>
    <row r="477">
      <c r="A477" s="1">
        <v>46077.0</v>
      </c>
      <c r="B477" s="2" t="s">
        <v>17</v>
      </c>
      <c r="C477" s="2" t="s">
        <v>584</v>
      </c>
      <c r="D477" s="4"/>
      <c r="E477" s="4">
        <v>1.0E8</v>
      </c>
      <c r="F477" s="2" t="s">
        <v>4</v>
      </c>
      <c r="G477" s="3">
        <v>5.5449921646E8</v>
      </c>
      <c r="I477" s="6" t="s">
        <v>16</v>
      </c>
    </row>
    <row r="478">
      <c r="A478" s="1">
        <v>46077.0</v>
      </c>
      <c r="B478" s="2" t="s">
        <v>17</v>
      </c>
      <c r="C478" s="2" t="s">
        <v>585</v>
      </c>
      <c r="D478" s="4"/>
      <c r="E478" s="4">
        <v>1200000.0</v>
      </c>
      <c r="F478" s="2" t="s">
        <v>4</v>
      </c>
      <c r="G478" s="3">
        <v>5.5569921646E8</v>
      </c>
      <c r="I478" s="6" t="s">
        <v>16</v>
      </c>
    </row>
    <row r="479">
      <c r="A479" s="1">
        <v>46077.0</v>
      </c>
      <c r="B479" s="2" t="s">
        <v>586</v>
      </c>
      <c r="C479" s="2" t="s">
        <v>586</v>
      </c>
      <c r="D479" s="4">
        <v>1250000.0</v>
      </c>
      <c r="E479" s="3"/>
      <c r="G479" s="3">
        <v>5.5444921646E8</v>
      </c>
      <c r="I479" s="7" t="s">
        <v>6</v>
      </c>
    </row>
    <row r="480">
      <c r="A480" s="1">
        <v>46077.0</v>
      </c>
      <c r="B480" s="2" t="s">
        <v>586</v>
      </c>
      <c r="C480" s="2" t="s">
        <v>586</v>
      </c>
      <c r="D480" s="4">
        <v>100000.0</v>
      </c>
      <c r="E480" s="3"/>
      <c r="G480" s="3">
        <v>5.5434921646E8</v>
      </c>
      <c r="I480" s="7" t="s">
        <v>6</v>
      </c>
    </row>
    <row r="481">
      <c r="A481" s="1">
        <v>46077.0</v>
      </c>
      <c r="B481" s="2" t="s">
        <v>22</v>
      </c>
      <c r="C481" s="2" t="s">
        <v>587</v>
      </c>
      <c r="D481" s="4">
        <v>9.8772E7</v>
      </c>
      <c r="E481" s="3"/>
      <c r="F481" s="2" t="s">
        <v>9</v>
      </c>
      <c r="G481" s="3">
        <v>4.5557721646000004E8</v>
      </c>
      <c r="I481" s="6" t="s">
        <v>16</v>
      </c>
    </row>
    <row r="482">
      <c r="A482" s="1">
        <v>46077.0</v>
      </c>
      <c r="B482" s="2" t="s">
        <v>22</v>
      </c>
      <c r="C482" s="2" t="s">
        <v>588</v>
      </c>
      <c r="D482" s="4">
        <v>3.338975E7</v>
      </c>
      <c r="E482" s="3"/>
      <c r="F482" s="2" t="s">
        <v>9</v>
      </c>
      <c r="G482" s="3">
        <v>4.2218746646000004E8</v>
      </c>
      <c r="I482" s="6" t="s">
        <v>16</v>
      </c>
    </row>
    <row r="483">
      <c r="A483" s="1">
        <v>46077.0</v>
      </c>
      <c r="B483" s="2" t="s">
        <v>22</v>
      </c>
      <c r="C483" s="2" t="s">
        <v>589</v>
      </c>
      <c r="D483" s="4">
        <v>2.0E7</v>
      </c>
      <c r="E483" s="3"/>
      <c r="F483" s="2" t="s">
        <v>9</v>
      </c>
      <c r="G483" s="3">
        <v>4.0218746646000004E8</v>
      </c>
      <c r="I483" s="6" t="s">
        <v>16</v>
      </c>
    </row>
    <row r="484">
      <c r="A484" s="1">
        <v>46077.0</v>
      </c>
      <c r="B484" s="2" t="s">
        <v>22</v>
      </c>
      <c r="C484" s="2" t="s">
        <v>590</v>
      </c>
      <c r="D484" s="4">
        <v>1.00149E8</v>
      </c>
      <c r="E484" s="3"/>
      <c r="F484" s="2" t="s">
        <v>9</v>
      </c>
      <c r="G484" s="3">
        <v>3.0203846646000004E8</v>
      </c>
      <c r="I484" s="6" t="s">
        <v>16</v>
      </c>
    </row>
    <row r="485">
      <c r="A485" s="1">
        <v>46077.0</v>
      </c>
      <c r="B485" s="2" t="s">
        <v>22</v>
      </c>
      <c r="C485" s="2" t="s">
        <v>591</v>
      </c>
      <c r="D485" s="4">
        <v>9.095488E7</v>
      </c>
      <c r="E485" s="3"/>
      <c r="F485" s="2" t="s">
        <v>9</v>
      </c>
      <c r="G485" s="3">
        <v>2.1108358646000004E8</v>
      </c>
      <c r="H485" s="2"/>
      <c r="I485" s="6" t="s">
        <v>16</v>
      </c>
    </row>
    <row r="486">
      <c r="A486" s="1">
        <v>46077.0</v>
      </c>
      <c r="B486" s="2" t="s">
        <v>22</v>
      </c>
      <c r="C486" s="2" t="s">
        <v>592</v>
      </c>
      <c r="D486" s="2">
        <v>688900.0</v>
      </c>
      <c r="E486" s="3"/>
      <c r="F486" s="2" t="s">
        <v>9</v>
      </c>
      <c r="G486" s="3">
        <v>2.1039468646000004E8</v>
      </c>
      <c r="I486" s="7" t="s">
        <v>67</v>
      </c>
    </row>
    <row r="487">
      <c r="A487" s="1">
        <v>46077.0</v>
      </c>
      <c r="B487" s="2" t="s">
        <v>22</v>
      </c>
      <c r="C487" s="2" t="s">
        <v>593</v>
      </c>
      <c r="D487" s="4">
        <v>4.0E7</v>
      </c>
      <c r="E487" s="3"/>
      <c r="F487" s="2" t="s">
        <v>9</v>
      </c>
      <c r="G487" s="3">
        <v>1.7039468646000004E8</v>
      </c>
      <c r="H487" s="2" t="s">
        <v>594</v>
      </c>
      <c r="I487" s="6" t="s">
        <v>16</v>
      </c>
    </row>
    <row r="488">
      <c r="A488" s="1">
        <v>46078.0</v>
      </c>
      <c r="B488" s="2" t="s">
        <v>595</v>
      </c>
      <c r="C488" s="2" t="s">
        <v>596</v>
      </c>
      <c r="D488" s="4">
        <v>5.969E7</v>
      </c>
      <c r="E488" s="3"/>
      <c r="F488" s="2" t="s">
        <v>9</v>
      </c>
      <c r="G488" s="3">
        <v>1.1070468646000004E8</v>
      </c>
      <c r="I488" s="6" t="s">
        <v>16</v>
      </c>
    </row>
    <row r="489">
      <c r="A489" s="1">
        <v>46078.0</v>
      </c>
      <c r="B489" s="2" t="s">
        <v>595</v>
      </c>
      <c r="C489" s="2" t="s">
        <v>597</v>
      </c>
      <c r="D489" s="4">
        <v>7.64875E7</v>
      </c>
      <c r="E489" s="3"/>
      <c r="F489" s="2" t="s">
        <v>9</v>
      </c>
      <c r="G489" s="3">
        <v>3.421718646000004E7</v>
      </c>
      <c r="H489" s="2" t="s">
        <v>598</v>
      </c>
      <c r="I489" s="6" t="s">
        <v>16</v>
      </c>
    </row>
    <row r="490">
      <c r="A490" s="1">
        <v>46078.0</v>
      </c>
      <c r="B490" s="2" t="s">
        <v>595</v>
      </c>
      <c r="C490" s="2" t="s">
        <v>599</v>
      </c>
      <c r="D490" s="4">
        <v>2.5E7</v>
      </c>
      <c r="E490" s="3"/>
      <c r="F490" s="2" t="s">
        <v>9</v>
      </c>
      <c r="G490" s="3">
        <v>9217186.460000038</v>
      </c>
      <c r="H490" s="2" t="s">
        <v>600</v>
      </c>
      <c r="I490" s="6" t="s">
        <v>16</v>
      </c>
    </row>
    <row r="491">
      <c r="A491" s="1">
        <v>46078.0</v>
      </c>
      <c r="B491" s="2" t="s">
        <v>601</v>
      </c>
      <c r="C491" s="2" t="s">
        <v>602</v>
      </c>
      <c r="D491" s="4"/>
      <c r="E491" s="4">
        <v>9.126645E7</v>
      </c>
      <c r="F491" s="2" t="s">
        <v>4</v>
      </c>
      <c r="G491" s="3">
        <v>1.0048363646000004E8</v>
      </c>
      <c r="I491" s="6" t="s">
        <v>16</v>
      </c>
    </row>
    <row r="492">
      <c r="A492" s="1">
        <v>46078.0</v>
      </c>
      <c r="B492" s="2" t="s">
        <v>22</v>
      </c>
      <c r="C492" s="2" t="s">
        <v>603</v>
      </c>
      <c r="D492" s="4">
        <v>1729650.0</v>
      </c>
      <c r="E492" s="3"/>
      <c r="F492" s="2" t="s">
        <v>9</v>
      </c>
      <c r="G492" s="3">
        <v>9.875398646000004E7</v>
      </c>
      <c r="I492" s="7" t="s">
        <v>10</v>
      </c>
    </row>
    <row r="493">
      <c r="A493" s="1">
        <v>46078.0</v>
      </c>
      <c r="B493" s="2" t="s">
        <v>22</v>
      </c>
      <c r="C493" s="2" t="s">
        <v>604</v>
      </c>
      <c r="D493" s="4">
        <v>3298750.0</v>
      </c>
      <c r="E493" s="3"/>
      <c r="F493" s="2" t="s">
        <v>9</v>
      </c>
      <c r="G493" s="3">
        <v>9.545523646000004E7</v>
      </c>
      <c r="I493" s="7" t="s">
        <v>10</v>
      </c>
    </row>
    <row r="494">
      <c r="A494" s="1">
        <v>46078.0</v>
      </c>
      <c r="B494" s="2" t="s">
        <v>22</v>
      </c>
      <c r="C494" s="2" t="s">
        <v>605</v>
      </c>
      <c r="D494" s="4">
        <v>8632400.0</v>
      </c>
      <c r="E494" s="3"/>
      <c r="F494" s="2" t="s">
        <v>9</v>
      </c>
      <c r="G494" s="3">
        <v>8.682283646000004E7</v>
      </c>
      <c r="I494" s="6" t="s">
        <v>16</v>
      </c>
    </row>
    <row r="495">
      <c r="A495" s="1">
        <v>46078.0</v>
      </c>
      <c r="B495" s="2" t="s">
        <v>22</v>
      </c>
      <c r="C495" s="2" t="s">
        <v>606</v>
      </c>
      <c r="D495" s="4">
        <v>2987020.0</v>
      </c>
      <c r="E495" s="3"/>
      <c r="F495" s="2" t="s">
        <v>9</v>
      </c>
      <c r="G495" s="3">
        <v>8.383581646000004E7</v>
      </c>
      <c r="I495" s="7" t="s">
        <v>67</v>
      </c>
    </row>
    <row r="496">
      <c r="A496" s="1">
        <v>46078.0</v>
      </c>
      <c r="B496" s="2" t="s">
        <v>17</v>
      </c>
      <c r="C496" s="2" t="s">
        <v>607</v>
      </c>
      <c r="D496" s="4"/>
      <c r="E496" s="4">
        <v>2.87468875E8</v>
      </c>
      <c r="F496" s="2" t="s">
        <v>4</v>
      </c>
      <c r="G496" s="3">
        <v>3.7130469146000004E8</v>
      </c>
      <c r="I496" s="6" t="s">
        <v>16</v>
      </c>
    </row>
    <row r="497">
      <c r="A497" s="1">
        <v>46078.0</v>
      </c>
      <c r="B497" s="2" t="s">
        <v>22</v>
      </c>
      <c r="C497" s="2" t="s">
        <v>608</v>
      </c>
      <c r="D497" s="4">
        <v>7.0E7</v>
      </c>
      <c r="E497" s="3"/>
      <c r="F497" s="2" t="s">
        <v>9</v>
      </c>
      <c r="G497" s="3">
        <v>3.0130469146000004E8</v>
      </c>
      <c r="I497" s="6" t="s">
        <v>16</v>
      </c>
    </row>
    <row r="498">
      <c r="A498" s="1">
        <v>46078.0</v>
      </c>
      <c r="B498" s="2" t="s">
        <v>22</v>
      </c>
      <c r="C498" s="2" t="s">
        <v>609</v>
      </c>
      <c r="D498" s="4">
        <v>1.1132035E8</v>
      </c>
      <c r="E498" s="3"/>
      <c r="F498" s="2" t="s">
        <v>9</v>
      </c>
      <c r="G498" s="3">
        <v>1.8998434146000004E8</v>
      </c>
      <c r="I498" s="6" t="s">
        <v>16</v>
      </c>
    </row>
    <row r="499">
      <c r="A499" s="1">
        <v>46078.0</v>
      </c>
      <c r="B499" s="2" t="s">
        <v>22</v>
      </c>
      <c r="C499" s="2" t="s">
        <v>610</v>
      </c>
      <c r="D499" s="4">
        <v>5.05494E7</v>
      </c>
      <c r="E499" s="3"/>
      <c r="F499" s="2" t="s">
        <v>9</v>
      </c>
      <c r="G499" s="3">
        <v>1.3943494146000004E8</v>
      </c>
      <c r="I499" s="6" t="s">
        <v>16</v>
      </c>
    </row>
    <row r="500">
      <c r="A500" s="1">
        <v>46078.0</v>
      </c>
      <c r="B500" s="2" t="s">
        <v>22</v>
      </c>
      <c r="C500" s="2" t="s">
        <v>611</v>
      </c>
      <c r="D500" s="4">
        <v>4.67115E7</v>
      </c>
      <c r="E500" s="3"/>
      <c r="F500" s="2" t="s">
        <v>9</v>
      </c>
      <c r="G500" s="3">
        <v>9.272344146000004E7</v>
      </c>
      <c r="I500" s="6" t="s">
        <v>16</v>
      </c>
    </row>
    <row r="501">
      <c r="A501" s="1">
        <v>46078.0</v>
      </c>
      <c r="B501" s="2" t="s">
        <v>22</v>
      </c>
      <c r="C501" s="2" t="s">
        <v>612</v>
      </c>
      <c r="D501" s="4">
        <v>665000.0</v>
      </c>
      <c r="E501" s="3"/>
      <c r="F501" s="2" t="s">
        <v>9</v>
      </c>
      <c r="G501" s="3">
        <v>9.205844146000004E7</v>
      </c>
      <c r="H501" s="2"/>
      <c r="I501" s="7" t="s">
        <v>6</v>
      </c>
    </row>
    <row r="502">
      <c r="A502" s="1">
        <v>46078.0</v>
      </c>
      <c r="B502" s="2" t="s">
        <v>17</v>
      </c>
      <c r="C502" s="2" t="s">
        <v>613</v>
      </c>
      <c r="D502" s="2"/>
      <c r="E502" s="4">
        <v>1.0E8</v>
      </c>
      <c r="F502" s="2" t="s">
        <v>4</v>
      </c>
      <c r="G502" s="3">
        <v>1.9205844146000004E8</v>
      </c>
      <c r="H502" s="2" t="s">
        <v>614</v>
      </c>
      <c r="I502" s="6" t="s">
        <v>16</v>
      </c>
    </row>
    <row r="503">
      <c r="A503" s="1">
        <v>46078.0</v>
      </c>
      <c r="B503" s="2" t="s">
        <v>22</v>
      </c>
      <c r="C503" s="2" t="s">
        <v>615</v>
      </c>
      <c r="D503" s="4">
        <v>2.3015E7</v>
      </c>
      <c r="E503" s="3"/>
      <c r="F503" s="2" t="s">
        <v>9</v>
      </c>
      <c r="G503" s="3">
        <v>1.6904344146000004E8</v>
      </c>
      <c r="H503" s="2" t="s">
        <v>616</v>
      </c>
      <c r="I503" s="6" t="s">
        <v>16</v>
      </c>
    </row>
    <row r="504">
      <c r="A504" s="1">
        <v>46078.0</v>
      </c>
      <c r="B504" s="2" t="s">
        <v>17</v>
      </c>
      <c r="C504" s="2" t="s">
        <v>617</v>
      </c>
      <c r="D504" s="2"/>
      <c r="E504" s="4">
        <v>1.1152143E8</v>
      </c>
      <c r="F504" s="2" t="s">
        <v>4</v>
      </c>
      <c r="G504" s="3">
        <v>2.8056487146000004E8</v>
      </c>
      <c r="I504" s="6" t="s">
        <v>16</v>
      </c>
    </row>
    <row r="505">
      <c r="A505" s="1">
        <v>46078.0</v>
      </c>
      <c r="B505" s="2" t="s">
        <v>22</v>
      </c>
      <c r="C505" s="2" t="s">
        <v>618</v>
      </c>
      <c r="D505" s="4">
        <v>124369.0</v>
      </c>
      <c r="E505" s="3"/>
      <c r="F505" s="2" t="s">
        <v>9</v>
      </c>
      <c r="G505" s="3">
        <v>2.8044050246000004E8</v>
      </c>
      <c r="H505" s="2"/>
      <c r="I505" s="7" t="s">
        <v>6</v>
      </c>
    </row>
    <row r="506">
      <c r="A506" s="1">
        <v>46078.0</v>
      </c>
      <c r="B506" s="2" t="s">
        <v>22</v>
      </c>
      <c r="C506" s="2" t="s">
        <v>619</v>
      </c>
      <c r="D506" s="4">
        <v>1.0667125E8</v>
      </c>
      <c r="E506" s="3"/>
      <c r="F506" s="2" t="s">
        <v>9</v>
      </c>
      <c r="G506" s="3">
        <v>1.7376925246000004E8</v>
      </c>
      <c r="I506" s="6" t="s">
        <v>16</v>
      </c>
    </row>
    <row r="507">
      <c r="A507" s="1">
        <v>46078.0</v>
      </c>
      <c r="B507" s="2" t="s">
        <v>22</v>
      </c>
      <c r="C507" s="2" t="s">
        <v>620</v>
      </c>
      <c r="D507" s="4">
        <v>9.558615E7</v>
      </c>
      <c r="E507" s="3"/>
      <c r="F507" s="2" t="s">
        <v>9</v>
      </c>
      <c r="G507" s="3">
        <v>7.818310246000004E7</v>
      </c>
      <c r="I507" s="6" t="s">
        <v>16</v>
      </c>
    </row>
    <row r="508">
      <c r="A508" s="1">
        <v>46078.0</v>
      </c>
      <c r="B508" s="2" t="s">
        <v>22</v>
      </c>
      <c r="C508" s="2" t="s">
        <v>621</v>
      </c>
      <c r="D508" s="4">
        <v>5.44785E7</v>
      </c>
      <c r="E508" s="3"/>
      <c r="F508" s="2" t="s">
        <v>9</v>
      </c>
      <c r="G508" s="3">
        <v>2.370460246000004E7</v>
      </c>
      <c r="H508" s="2" t="s">
        <v>622</v>
      </c>
      <c r="I508" s="6" t="s">
        <v>16</v>
      </c>
    </row>
    <row r="509">
      <c r="A509" s="1">
        <v>46079.0</v>
      </c>
      <c r="B509" s="2" t="s">
        <v>22</v>
      </c>
      <c r="C509" s="2" t="s">
        <v>623</v>
      </c>
      <c r="D509" s="4">
        <v>4773700.0</v>
      </c>
      <c r="E509" s="3"/>
      <c r="F509" s="2" t="s">
        <v>9</v>
      </c>
      <c r="G509" s="3">
        <v>1.893090246000004E7</v>
      </c>
      <c r="I509" s="7" t="s">
        <v>10</v>
      </c>
    </row>
    <row r="510">
      <c r="A510" s="1">
        <v>46079.0</v>
      </c>
      <c r="B510" s="2" t="s">
        <v>624</v>
      </c>
      <c r="C510" s="2" t="s">
        <v>624</v>
      </c>
      <c r="D510" s="4">
        <v>400000.0</v>
      </c>
      <c r="E510" s="3"/>
      <c r="G510" s="3">
        <v>1.853090246000004E7</v>
      </c>
      <c r="I510" s="7" t="s">
        <v>6</v>
      </c>
    </row>
    <row r="511">
      <c r="A511" s="1">
        <v>46079.0</v>
      </c>
      <c r="B511" s="2" t="s">
        <v>624</v>
      </c>
      <c r="C511" s="2" t="s">
        <v>624</v>
      </c>
      <c r="D511" s="4">
        <v>300000.0</v>
      </c>
      <c r="E511" s="3"/>
      <c r="G511" s="3">
        <v>1.823090246000004E7</v>
      </c>
      <c r="I511" s="7" t="s">
        <v>6</v>
      </c>
    </row>
    <row r="512">
      <c r="A512" s="1">
        <v>46079.0</v>
      </c>
      <c r="B512" s="2" t="s">
        <v>624</v>
      </c>
      <c r="C512" s="2" t="s">
        <v>624</v>
      </c>
      <c r="D512" s="4">
        <v>150000.0</v>
      </c>
      <c r="E512" s="3"/>
      <c r="G512" s="3">
        <v>1.808090246000004E7</v>
      </c>
      <c r="H512" s="2" t="s">
        <v>625</v>
      </c>
      <c r="I512" s="7" t="s">
        <v>6</v>
      </c>
    </row>
    <row r="513">
      <c r="A513" s="1">
        <v>46080.0</v>
      </c>
      <c r="B513" s="2" t="s">
        <v>17</v>
      </c>
      <c r="C513" s="2" t="s">
        <v>626</v>
      </c>
      <c r="D513" s="4"/>
      <c r="E513" s="4">
        <v>5.66115E7</v>
      </c>
      <c r="F513" s="2" t="s">
        <v>4</v>
      </c>
      <c r="G513" s="3">
        <v>7.469240246000004E7</v>
      </c>
      <c r="I513" s="6" t="s">
        <v>16</v>
      </c>
    </row>
    <row r="514">
      <c r="A514" s="1">
        <v>46080.0</v>
      </c>
      <c r="B514" s="2" t="s">
        <v>627</v>
      </c>
      <c r="C514" s="2" t="s">
        <v>627</v>
      </c>
      <c r="D514" s="4">
        <v>300000.0</v>
      </c>
      <c r="E514" s="3"/>
      <c r="G514" s="3">
        <v>7.439240246000004E7</v>
      </c>
      <c r="I514" s="7" t="s">
        <v>6</v>
      </c>
    </row>
    <row r="515">
      <c r="A515" s="1">
        <v>46080.0</v>
      </c>
      <c r="B515" s="2" t="s">
        <v>17</v>
      </c>
      <c r="C515" s="2" t="s">
        <v>628</v>
      </c>
      <c r="D515" s="4"/>
      <c r="E515" s="4">
        <v>5.36045E7</v>
      </c>
      <c r="F515" s="2" t="s">
        <v>4</v>
      </c>
      <c r="G515" s="3">
        <v>1.2799690246000004E8</v>
      </c>
      <c r="I515" s="6" t="s">
        <v>16</v>
      </c>
    </row>
    <row r="516">
      <c r="A516" s="1">
        <v>46080.0</v>
      </c>
      <c r="B516" s="2" t="s">
        <v>17</v>
      </c>
      <c r="C516" s="2" t="s">
        <v>629</v>
      </c>
      <c r="D516" s="4"/>
      <c r="E516" s="4">
        <v>4.0626387E8</v>
      </c>
      <c r="F516" s="2" t="s">
        <v>4</v>
      </c>
      <c r="G516" s="3">
        <v>5.3426077246000004E8</v>
      </c>
      <c r="I516" s="6" t="s">
        <v>16</v>
      </c>
    </row>
    <row r="517">
      <c r="A517" s="1">
        <v>46080.0</v>
      </c>
      <c r="B517" s="2" t="s">
        <v>22</v>
      </c>
      <c r="C517" s="2" t="s">
        <v>630</v>
      </c>
      <c r="D517" s="4">
        <v>9.753645E7</v>
      </c>
      <c r="E517" s="3"/>
      <c r="F517" s="2" t="s">
        <v>9</v>
      </c>
      <c r="G517" s="3">
        <v>4.3672432246000004E8</v>
      </c>
      <c r="H517" s="2" t="s">
        <v>631</v>
      </c>
      <c r="I517" s="6" t="s">
        <v>16</v>
      </c>
    </row>
    <row r="518">
      <c r="A518" s="1">
        <v>46080.0</v>
      </c>
      <c r="B518" s="2" t="s">
        <v>17</v>
      </c>
      <c r="C518" s="2" t="s">
        <v>632</v>
      </c>
      <c r="D518" s="4"/>
      <c r="E518" s="4">
        <v>4.95E7</v>
      </c>
      <c r="F518" s="2" t="s">
        <v>4</v>
      </c>
      <c r="G518" s="3">
        <v>4.8622432246000004E8</v>
      </c>
      <c r="H518" s="2" t="s">
        <v>633</v>
      </c>
      <c r="I518" s="6" t="s">
        <v>16</v>
      </c>
    </row>
    <row r="519">
      <c r="A519" s="1">
        <v>46080.0</v>
      </c>
      <c r="B519" s="2" t="s">
        <v>17</v>
      </c>
      <c r="C519" s="8" t="s">
        <v>632</v>
      </c>
      <c r="D519" s="2"/>
      <c r="E519" s="4">
        <v>4.95E7</v>
      </c>
      <c r="F519" s="2" t="s">
        <v>4</v>
      </c>
      <c r="G519" s="3">
        <v>5.3572432246000004E8</v>
      </c>
      <c r="I519" s="6" t="s">
        <v>16</v>
      </c>
    </row>
    <row r="520">
      <c r="A520" s="1">
        <v>46080.0</v>
      </c>
      <c r="B520" s="2" t="s">
        <v>17</v>
      </c>
      <c r="C520" s="2" t="s">
        <v>634</v>
      </c>
      <c r="D520" s="4"/>
      <c r="E520" s="4">
        <v>5.01E7</v>
      </c>
      <c r="F520" s="2" t="s">
        <v>4</v>
      </c>
      <c r="G520" s="3">
        <v>5.8582432246E8</v>
      </c>
      <c r="H520" s="2"/>
      <c r="I520" s="6" t="s">
        <v>16</v>
      </c>
    </row>
    <row r="521">
      <c r="A521" s="1">
        <v>46080.0</v>
      </c>
      <c r="B521" s="2" t="s">
        <v>22</v>
      </c>
      <c r="C521" s="2" t="s">
        <v>635</v>
      </c>
      <c r="D521" s="4">
        <v>1.4117458E8</v>
      </c>
      <c r="E521" s="3"/>
      <c r="F521" s="2" t="s">
        <v>9</v>
      </c>
      <c r="G521" s="3">
        <v>4.4464974246000004E8</v>
      </c>
      <c r="I521" s="6" t="s">
        <v>16</v>
      </c>
    </row>
    <row r="522">
      <c r="A522" s="1">
        <v>46080.0</v>
      </c>
      <c r="B522" s="2" t="s">
        <v>22</v>
      </c>
      <c r="C522" s="2" t="s">
        <v>636</v>
      </c>
      <c r="D522" s="4">
        <v>9.009685E7</v>
      </c>
      <c r="E522" s="3"/>
      <c r="F522" s="2" t="s">
        <v>9</v>
      </c>
      <c r="G522" s="3">
        <v>3.5455289246000004E8</v>
      </c>
      <c r="I522" s="6" t="s">
        <v>16</v>
      </c>
    </row>
    <row r="523">
      <c r="A523" s="1">
        <v>46080.0</v>
      </c>
      <c r="B523" s="2" t="s">
        <v>22</v>
      </c>
      <c r="C523" s="2" t="s">
        <v>637</v>
      </c>
      <c r="D523" s="4">
        <v>1.107422E8</v>
      </c>
      <c r="E523" s="3"/>
      <c r="F523" s="2" t="s">
        <v>9</v>
      </c>
      <c r="G523" s="3">
        <v>2.4381069246000004E8</v>
      </c>
      <c r="I523" s="6" t="s">
        <v>16</v>
      </c>
    </row>
    <row r="524">
      <c r="A524" s="1">
        <v>46080.0</v>
      </c>
      <c r="B524" s="2" t="s">
        <v>22</v>
      </c>
      <c r="C524" s="2" t="s">
        <v>638</v>
      </c>
      <c r="D524" s="4">
        <v>4906300.0</v>
      </c>
      <c r="E524" s="3"/>
      <c r="F524" s="2" t="s">
        <v>9</v>
      </c>
      <c r="G524" s="3">
        <v>2.3890439246000004E8</v>
      </c>
      <c r="I524" s="7" t="s">
        <v>67</v>
      </c>
    </row>
    <row r="525">
      <c r="A525" s="1">
        <v>46080.0</v>
      </c>
      <c r="B525" s="2" t="s">
        <v>22</v>
      </c>
      <c r="C525" s="2" t="s">
        <v>639</v>
      </c>
      <c r="D525" s="4">
        <v>6.32E7</v>
      </c>
      <c r="E525" s="3"/>
      <c r="F525" s="2" t="s">
        <v>9</v>
      </c>
      <c r="G525" s="3">
        <v>1.7570439246000004E8</v>
      </c>
      <c r="I525" s="6" t="s">
        <v>16</v>
      </c>
    </row>
    <row r="526">
      <c r="A526" s="1">
        <v>46080.0</v>
      </c>
      <c r="B526" s="2" t="s">
        <v>22</v>
      </c>
      <c r="C526" s="2" t="s">
        <v>640</v>
      </c>
      <c r="D526" s="4">
        <v>5.346672E7</v>
      </c>
      <c r="E526" s="3"/>
      <c r="F526" s="2" t="s">
        <v>9</v>
      </c>
      <c r="G526" s="3">
        <v>1.2223767246000004E8</v>
      </c>
      <c r="I526" s="6" t="s">
        <v>16</v>
      </c>
    </row>
    <row r="527">
      <c r="A527" s="1">
        <v>46080.0</v>
      </c>
      <c r="B527" s="2" t="s">
        <v>627</v>
      </c>
      <c r="C527" s="2" t="s">
        <v>627</v>
      </c>
      <c r="D527" s="4">
        <v>400000.0</v>
      </c>
      <c r="E527" s="3"/>
      <c r="G527" s="3">
        <v>1.2183767246000004E8</v>
      </c>
      <c r="I527" s="7" t="s">
        <v>6</v>
      </c>
    </row>
    <row r="528">
      <c r="A528" s="1">
        <v>46080.0</v>
      </c>
      <c r="B528" s="2" t="s">
        <v>22</v>
      </c>
      <c r="C528" s="2" t="s">
        <v>641</v>
      </c>
      <c r="D528" s="4">
        <v>1750000.0</v>
      </c>
      <c r="E528" s="3"/>
      <c r="F528" s="2" t="s">
        <v>9</v>
      </c>
      <c r="G528" s="3">
        <v>1.2008767246000004E8</v>
      </c>
      <c r="H528" s="2" t="s">
        <v>642</v>
      </c>
      <c r="I528" s="7" t="s">
        <v>10</v>
      </c>
    </row>
    <row r="529">
      <c r="A529" s="1">
        <v>46081.0</v>
      </c>
      <c r="B529" s="2" t="s">
        <v>22</v>
      </c>
      <c r="C529" s="2" t="s">
        <v>643</v>
      </c>
      <c r="D529" s="4">
        <v>4.43765E7</v>
      </c>
      <c r="E529" s="3"/>
      <c r="F529" s="2" t="s">
        <v>9</v>
      </c>
      <c r="G529" s="3">
        <v>7.571117246000004E7</v>
      </c>
      <c r="I529" s="6" t="s">
        <v>16</v>
      </c>
    </row>
    <row r="530">
      <c r="A530" s="1">
        <v>46081.0</v>
      </c>
      <c r="B530" s="2" t="s">
        <v>22</v>
      </c>
      <c r="C530" s="2" t="s">
        <v>644</v>
      </c>
      <c r="D530" s="4">
        <v>3075860.0</v>
      </c>
      <c r="E530" s="3"/>
      <c r="F530" s="2" t="s">
        <v>9</v>
      </c>
      <c r="G530" s="3">
        <v>7.263531246000004E7</v>
      </c>
      <c r="I530" s="7" t="s">
        <v>67</v>
      </c>
    </row>
    <row r="531">
      <c r="A531" s="1">
        <v>46081.0</v>
      </c>
      <c r="B531" s="2" t="s">
        <v>22</v>
      </c>
      <c r="C531" s="2" t="s">
        <v>645</v>
      </c>
      <c r="D531" s="4">
        <v>4.77807E7</v>
      </c>
      <c r="E531" s="3"/>
      <c r="F531" s="2" t="s">
        <v>9</v>
      </c>
      <c r="G531" s="3">
        <v>2.485461246000004E7</v>
      </c>
      <c r="H531" s="2" t="s">
        <v>646</v>
      </c>
      <c r="I531" s="6" t="s">
        <v>16</v>
      </c>
    </row>
    <row r="532">
      <c r="A532" s="1">
        <v>46081.0</v>
      </c>
      <c r="B532" s="2" t="s">
        <v>17</v>
      </c>
      <c r="C532" s="2" t="s">
        <v>647</v>
      </c>
      <c r="D532" s="4"/>
      <c r="E532" s="4">
        <v>4.98E7</v>
      </c>
      <c r="F532" s="2" t="s">
        <v>4</v>
      </c>
      <c r="G532" s="3">
        <v>7.465461246000004E7</v>
      </c>
      <c r="H532" s="2" t="s">
        <v>648</v>
      </c>
      <c r="I532" s="6" t="s">
        <v>16</v>
      </c>
    </row>
    <row r="533">
      <c r="A533" s="1">
        <v>46081.0</v>
      </c>
      <c r="B533" s="2" t="s">
        <v>22</v>
      </c>
      <c r="C533" s="2" t="s">
        <v>649</v>
      </c>
      <c r="D533" s="4">
        <v>4.65663E7</v>
      </c>
      <c r="E533" s="3"/>
      <c r="F533" s="2" t="s">
        <v>9</v>
      </c>
      <c r="G533" s="3">
        <v>2.808831246000004E7</v>
      </c>
      <c r="H533" s="2"/>
      <c r="I533" s="6" t="s">
        <v>16</v>
      </c>
    </row>
    <row r="534">
      <c r="A534" s="1">
        <v>46081.0</v>
      </c>
      <c r="B534" s="2" t="s">
        <v>17</v>
      </c>
      <c r="C534" s="2" t="s">
        <v>650</v>
      </c>
      <c r="D534" s="2"/>
      <c r="E534" s="4">
        <v>5.12141E7</v>
      </c>
      <c r="F534" s="2" t="s">
        <v>4</v>
      </c>
      <c r="G534" s="3">
        <v>7.930241246000004E7</v>
      </c>
      <c r="I534" s="6" t="s">
        <v>16</v>
      </c>
    </row>
    <row r="535">
      <c r="A535" s="1">
        <v>46081.0</v>
      </c>
      <c r="B535" s="2" t="s">
        <v>17</v>
      </c>
      <c r="C535" s="2" t="s">
        <v>651</v>
      </c>
      <c r="D535" s="4"/>
      <c r="E535" s="4">
        <v>2.3514232E8</v>
      </c>
      <c r="F535" s="2" t="s">
        <v>4</v>
      </c>
      <c r="G535" s="3">
        <v>3.1444473246000004E8</v>
      </c>
      <c r="H535" s="2"/>
      <c r="I535" s="6" t="s">
        <v>16</v>
      </c>
    </row>
    <row r="536">
      <c r="A536" s="1">
        <v>46081.0</v>
      </c>
      <c r="B536" s="2" t="s">
        <v>22</v>
      </c>
      <c r="C536" s="2" t="s">
        <v>652</v>
      </c>
      <c r="D536" s="4">
        <v>1.4392329E8</v>
      </c>
      <c r="E536" s="3"/>
      <c r="F536" s="2" t="s">
        <v>9</v>
      </c>
      <c r="G536" s="3">
        <v>1.7052144246000004E8</v>
      </c>
      <c r="I536" s="6" t="s">
        <v>16</v>
      </c>
    </row>
    <row r="537">
      <c r="A537" s="1">
        <v>46081.0</v>
      </c>
      <c r="B537" s="2" t="s">
        <v>22</v>
      </c>
      <c r="C537" s="2" t="s">
        <v>653</v>
      </c>
      <c r="D537" s="4">
        <v>4.95E7</v>
      </c>
      <c r="E537" s="3"/>
      <c r="F537" s="2" t="s">
        <v>9</v>
      </c>
      <c r="G537" s="3">
        <v>1.2102144246000004E8</v>
      </c>
      <c r="I537" s="6" t="s">
        <v>16</v>
      </c>
    </row>
    <row r="538">
      <c r="A538" s="1">
        <v>46081.0</v>
      </c>
      <c r="B538" s="2" t="s">
        <v>22</v>
      </c>
      <c r="C538" s="2" t="s">
        <v>654</v>
      </c>
      <c r="D538" s="4">
        <v>4.73681E7</v>
      </c>
      <c r="E538" s="3"/>
      <c r="F538" s="2" t="s">
        <v>9</v>
      </c>
      <c r="G538" s="3">
        <v>7.365334246000004E7</v>
      </c>
      <c r="I538" s="6" t="s">
        <v>16</v>
      </c>
    </row>
    <row r="539">
      <c r="A539" s="1">
        <v>46081.0</v>
      </c>
      <c r="B539" s="2" t="s">
        <v>22</v>
      </c>
      <c r="C539" s="2" t="s">
        <v>655</v>
      </c>
      <c r="D539" s="4">
        <v>625000.0</v>
      </c>
      <c r="E539" s="3"/>
      <c r="F539" s="2" t="s">
        <v>9</v>
      </c>
      <c r="G539" s="3">
        <v>7.302834246000004E7</v>
      </c>
      <c r="I539" s="7" t="s">
        <v>6</v>
      </c>
    </row>
    <row r="540">
      <c r="A540" s="1">
        <v>46081.0</v>
      </c>
      <c r="B540" s="2" t="s">
        <v>17</v>
      </c>
      <c r="C540" s="2" t="s">
        <v>656</v>
      </c>
      <c r="D540" s="4"/>
      <c r="E540" s="4">
        <v>5.0E7</v>
      </c>
      <c r="F540" s="2" t="s">
        <v>4</v>
      </c>
      <c r="G540" s="3">
        <v>1.2302834246000004E8</v>
      </c>
      <c r="I540" s="6" t="s">
        <v>16</v>
      </c>
    </row>
    <row r="541">
      <c r="A541" s="1">
        <v>46081.0</v>
      </c>
      <c r="B541" s="2" t="s">
        <v>17</v>
      </c>
      <c r="C541" s="2" t="s">
        <v>657</v>
      </c>
      <c r="D541" s="4"/>
      <c r="E541" s="4">
        <v>9.242232E7</v>
      </c>
      <c r="F541" s="2" t="s">
        <v>4</v>
      </c>
      <c r="G541" s="3">
        <v>2.1545066246000004E8</v>
      </c>
      <c r="I541" s="6" t="s">
        <v>16</v>
      </c>
    </row>
    <row r="542">
      <c r="A542" s="1">
        <v>46081.0</v>
      </c>
      <c r="B542" s="2" t="s">
        <v>17</v>
      </c>
      <c r="C542" s="2" t="s">
        <v>658</v>
      </c>
      <c r="D542" s="4"/>
      <c r="E542" s="4">
        <v>1.43904E8</v>
      </c>
      <c r="F542" s="2" t="s">
        <v>4</v>
      </c>
      <c r="G542" s="3">
        <v>3.5935466246000004E8</v>
      </c>
      <c r="I542" s="6" t="s">
        <v>16</v>
      </c>
    </row>
    <row r="543">
      <c r="A543" s="1">
        <v>46081.0</v>
      </c>
      <c r="B543" s="2" t="s">
        <v>17</v>
      </c>
      <c r="C543" s="2" t="s">
        <v>659</v>
      </c>
      <c r="D543" s="4"/>
      <c r="E543" s="4">
        <v>1.035781E8</v>
      </c>
      <c r="F543" s="2" t="s">
        <v>4</v>
      </c>
      <c r="G543" s="3">
        <v>4.6293276246000004E8</v>
      </c>
      <c r="I543" s="6" t="s">
        <v>16</v>
      </c>
    </row>
    <row r="544">
      <c r="A544" s="1">
        <v>46081.0</v>
      </c>
      <c r="B544" s="2" t="s">
        <v>22</v>
      </c>
      <c r="C544" s="2" t="s">
        <v>660</v>
      </c>
      <c r="D544" s="4">
        <v>4.8807E7</v>
      </c>
      <c r="E544" s="3"/>
      <c r="F544" s="2" t="s">
        <v>9</v>
      </c>
      <c r="G544" s="3">
        <v>4.1412576246000004E8</v>
      </c>
      <c r="H544" s="2" t="s">
        <v>661</v>
      </c>
      <c r="I544" s="6" t="s">
        <v>16</v>
      </c>
    </row>
    <row r="545">
      <c r="A545" s="1">
        <v>46081.0</v>
      </c>
      <c r="B545" s="2" t="s">
        <v>22</v>
      </c>
      <c r="C545" s="2" t="s">
        <v>662</v>
      </c>
      <c r="D545" s="4">
        <v>4.16245E7</v>
      </c>
      <c r="E545" s="3"/>
      <c r="F545" s="2" t="s">
        <v>9</v>
      </c>
      <c r="G545" s="3">
        <v>3.7250126246000004E8</v>
      </c>
      <c r="H545" s="2" t="s">
        <v>663</v>
      </c>
      <c r="I545" s="6" t="s">
        <v>16</v>
      </c>
    </row>
    <row r="546">
      <c r="A546" s="1">
        <v>46081.0</v>
      </c>
      <c r="B546" s="2" t="s">
        <v>22</v>
      </c>
      <c r="C546" s="2" t="s">
        <v>664</v>
      </c>
      <c r="D546" s="4">
        <v>2.5037095E8</v>
      </c>
      <c r="E546" s="3"/>
      <c r="F546" s="2" t="s">
        <v>9</v>
      </c>
      <c r="G546" s="3">
        <v>1.2213031246000004E8</v>
      </c>
      <c r="I546" s="6" t="s">
        <v>16</v>
      </c>
    </row>
    <row r="547">
      <c r="A547" s="1">
        <v>46081.0</v>
      </c>
      <c r="B547" s="2" t="s">
        <v>22</v>
      </c>
      <c r="C547" s="2" t="s">
        <v>665</v>
      </c>
      <c r="D547" s="4">
        <v>4.5008E7</v>
      </c>
      <c r="E547" s="3"/>
      <c r="F547" s="2" t="s">
        <v>9</v>
      </c>
      <c r="G547" s="3">
        <v>7.712231246000004E7</v>
      </c>
      <c r="I547" s="6" t="s">
        <v>16</v>
      </c>
    </row>
    <row r="548">
      <c r="A548" s="1">
        <v>46081.0</v>
      </c>
      <c r="C548" s="2" t="s">
        <v>666</v>
      </c>
      <c r="D548" s="4" t="s">
        <v>667</v>
      </c>
      <c r="E548" s="3"/>
      <c r="G548" s="3">
        <v>7.712231246000004E7</v>
      </c>
      <c r="I548" s="7" t="s">
        <v>13</v>
      </c>
    </row>
    <row r="549">
      <c r="A549" s="1">
        <v>46081.0</v>
      </c>
      <c r="C549" s="2" t="s">
        <v>668</v>
      </c>
      <c r="D549" s="4" t="s">
        <v>669</v>
      </c>
      <c r="E549" s="3"/>
      <c r="G549" s="3">
        <v>7.712231246000004E7</v>
      </c>
      <c r="I549" s="7" t="s">
        <v>13</v>
      </c>
    </row>
    <row r="550">
      <c r="A550" s="1">
        <v>46081.0</v>
      </c>
      <c r="C550" s="2" t="s">
        <v>670</v>
      </c>
      <c r="D550" s="4" t="s">
        <v>671</v>
      </c>
      <c r="E550" s="3"/>
      <c r="G550" s="3">
        <v>7.712231246000004E7</v>
      </c>
      <c r="H550" s="2" t="s">
        <v>672</v>
      </c>
      <c r="I550" s="7" t="s">
        <v>13</v>
      </c>
    </row>
    <row r="551">
      <c r="A551" s="1"/>
      <c r="B551" s="2"/>
      <c r="C551" s="2"/>
      <c r="D551" s="4"/>
      <c r="E551" s="3"/>
      <c r="G551" s="3" t="s">
        <v>673</v>
      </c>
      <c r="H551" s="2"/>
      <c r="I551" s="6" t="s">
        <v>16</v>
      </c>
    </row>
    <row r="552">
      <c r="A552" s="1"/>
      <c r="B552" s="2"/>
      <c r="C552" s="2"/>
      <c r="D552" s="4"/>
      <c r="E552" s="3"/>
      <c r="G552" s="3" t="s">
        <v>673</v>
      </c>
      <c r="H552" s="2"/>
      <c r="I552" s="6" t="s">
        <v>16</v>
      </c>
    </row>
    <row r="553">
      <c r="A553" s="1"/>
      <c r="B553" s="2"/>
      <c r="C553" s="2"/>
      <c r="D553" s="4"/>
      <c r="E553" s="3"/>
      <c r="G553" s="3" t="s">
        <v>673</v>
      </c>
      <c r="H553" s="2"/>
      <c r="I553" s="6" t="s">
        <v>16</v>
      </c>
    </row>
    <row r="554">
      <c r="A554" s="1"/>
      <c r="B554" s="2"/>
      <c r="C554" s="2"/>
      <c r="D554" s="4"/>
      <c r="E554" s="3"/>
      <c r="G554" s="3" t="s">
        <v>673</v>
      </c>
      <c r="H554" s="2"/>
      <c r="I554" s="6" t="s">
        <v>16</v>
      </c>
    </row>
    <row r="555">
      <c r="A555" s="1"/>
      <c r="B555" s="2"/>
      <c r="C555" s="2"/>
      <c r="D555" s="4"/>
      <c r="E555" s="3"/>
      <c r="G555" s="3" t="s">
        <v>673</v>
      </c>
      <c r="H555" s="2"/>
      <c r="I555" s="6" t="s">
        <v>16</v>
      </c>
    </row>
    <row r="556">
      <c r="A556" s="1"/>
      <c r="B556" s="2"/>
      <c r="C556" s="2"/>
      <c r="D556" s="4"/>
      <c r="E556" s="3"/>
      <c r="G556" s="3" t="s">
        <v>673</v>
      </c>
      <c r="H556" s="2"/>
      <c r="I556" s="6" t="s">
        <v>16</v>
      </c>
    </row>
    <row r="557">
      <c r="A557" s="1"/>
      <c r="B557" s="2"/>
      <c r="C557" s="2"/>
      <c r="D557" s="4"/>
      <c r="E557" s="3"/>
      <c r="G557" s="3" t="s">
        <v>673</v>
      </c>
      <c r="H557" s="2"/>
      <c r="I557" s="6" t="s">
        <v>16</v>
      </c>
    </row>
    <row r="558">
      <c r="A558" s="1"/>
      <c r="B558" s="2"/>
      <c r="C558" s="2"/>
      <c r="D558" s="4"/>
      <c r="E558" s="3"/>
      <c r="G558" s="3" t="s">
        <v>673</v>
      </c>
      <c r="H558" s="2"/>
      <c r="I558" s="6" t="s">
        <v>16</v>
      </c>
    </row>
    <row r="559">
      <c r="A559" s="1"/>
      <c r="B559" s="2"/>
      <c r="C559" s="2"/>
      <c r="D559" s="4"/>
      <c r="E559" s="3"/>
      <c r="G559" s="3" t="s">
        <v>673</v>
      </c>
      <c r="H559" s="2"/>
      <c r="I559" s="6" t="s">
        <v>16</v>
      </c>
    </row>
    <row r="560">
      <c r="A560" s="1"/>
      <c r="B560" s="2"/>
      <c r="C560" s="2"/>
      <c r="D560" s="4"/>
      <c r="E560" s="3"/>
      <c r="G560" s="3" t="s">
        <v>673</v>
      </c>
      <c r="H560" s="2"/>
      <c r="I560" s="6" t="s">
        <v>16</v>
      </c>
    </row>
    <row r="561">
      <c r="A561" s="1"/>
      <c r="B561" s="2"/>
      <c r="C561" s="2"/>
      <c r="D561" s="4"/>
      <c r="E561" s="3"/>
      <c r="G561" s="3" t="s">
        <v>673</v>
      </c>
      <c r="H561" s="2"/>
      <c r="I561" s="6" t="s">
        <v>16</v>
      </c>
    </row>
    <row r="562">
      <c r="A562" s="1"/>
      <c r="B562" s="2"/>
      <c r="C562" s="2"/>
      <c r="D562" s="4"/>
      <c r="E562" s="3"/>
      <c r="G562" s="3" t="s">
        <v>673</v>
      </c>
      <c r="H562" s="2"/>
      <c r="I562" s="6" t="s">
        <v>16</v>
      </c>
    </row>
    <row r="563">
      <c r="A563" s="1"/>
      <c r="B563" s="2"/>
      <c r="C563" s="2"/>
      <c r="D563" s="4"/>
      <c r="E563" s="3"/>
      <c r="G563" s="3" t="s">
        <v>673</v>
      </c>
      <c r="H563" s="2"/>
      <c r="I563" s="6" t="s">
        <v>16</v>
      </c>
    </row>
    <row r="564">
      <c r="A564" s="1"/>
      <c r="B564" s="2"/>
      <c r="C564" s="2"/>
      <c r="D564" s="4"/>
      <c r="E564" s="3"/>
      <c r="G564" s="3" t="s">
        <v>673</v>
      </c>
      <c r="H564" s="2"/>
      <c r="I564" s="6" t="s">
        <v>16</v>
      </c>
    </row>
    <row r="565">
      <c r="A565" s="1"/>
      <c r="B565" s="2"/>
      <c r="C565" s="2"/>
      <c r="D565" s="4"/>
      <c r="E565" s="3"/>
      <c r="G565" s="3" t="s">
        <v>673</v>
      </c>
      <c r="H565" s="2"/>
      <c r="I565" s="6" t="s">
        <v>16</v>
      </c>
    </row>
    <row r="566">
      <c r="A566" s="1"/>
      <c r="B566" s="2"/>
      <c r="C566" s="2"/>
      <c r="D566" s="4"/>
      <c r="E566" s="3"/>
      <c r="G566" s="3" t="s">
        <v>673</v>
      </c>
      <c r="H566" s="2"/>
      <c r="I566" s="6" t="s">
        <v>16</v>
      </c>
    </row>
    <row r="567">
      <c r="A567" s="1"/>
      <c r="B567" s="2"/>
      <c r="C567" s="2"/>
      <c r="D567" s="4"/>
      <c r="E567" s="3"/>
      <c r="G567" s="3" t="s">
        <v>673</v>
      </c>
      <c r="H567" s="2"/>
      <c r="I567" s="6" t="s">
        <v>16</v>
      </c>
    </row>
    <row r="568">
      <c r="A568" s="1"/>
      <c r="B568" s="2"/>
      <c r="C568" s="2"/>
      <c r="D568" s="4"/>
      <c r="E568" s="3"/>
      <c r="G568" s="3" t="s">
        <v>673</v>
      </c>
      <c r="H568" s="2"/>
      <c r="I568" s="6" t="s">
        <v>16</v>
      </c>
    </row>
    <row r="569">
      <c r="A569" s="1"/>
      <c r="B569" s="2"/>
      <c r="C569" s="2"/>
      <c r="D569" s="4"/>
      <c r="E569" s="3"/>
      <c r="G569" s="3" t="s">
        <v>673</v>
      </c>
      <c r="H569" s="2"/>
      <c r="I569" s="6" t="s">
        <v>16</v>
      </c>
    </row>
    <row r="570">
      <c r="A570" s="1"/>
      <c r="B570" s="2"/>
      <c r="C570" s="2"/>
      <c r="D570" s="4"/>
      <c r="E570" s="3"/>
      <c r="G570" s="3" t="s">
        <v>673</v>
      </c>
      <c r="H570" s="2"/>
      <c r="I570" s="6" t="s">
        <v>16</v>
      </c>
    </row>
    <row r="571">
      <c r="A571" s="1"/>
      <c r="B571" s="2"/>
      <c r="C571" s="2"/>
      <c r="D571" s="4"/>
      <c r="E571" s="3"/>
      <c r="G571" s="3" t="s">
        <v>673</v>
      </c>
      <c r="H571" s="2"/>
      <c r="I571" s="6" t="s">
        <v>16</v>
      </c>
    </row>
    <row r="572">
      <c r="A572" s="1"/>
      <c r="B572" s="2"/>
      <c r="C572" s="2"/>
      <c r="D572" s="4"/>
      <c r="E572" s="3"/>
      <c r="G572" s="3" t="s">
        <v>673</v>
      </c>
      <c r="H572" s="2"/>
      <c r="I572" s="6" t="s">
        <v>16</v>
      </c>
    </row>
    <row r="573">
      <c r="A573" s="1"/>
      <c r="B573" s="2"/>
      <c r="C573" s="2"/>
      <c r="D573" s="4"/>
      <c r="E573" s="3"/>
      <c r="G573" s="3" t="s">
        <v>673</v>
      </c>
      <c r="H573" s="2"/>
      <c r="I573" s="6" t="s">
        <v>16</v>
      </c>
    </row>
    <row r="574">
      <c r="A574" s="1"/>
      <c r="B574" s="2"/>
      <c r="C574" s="2"/>
      <c r="D574" s="4"/>
      <c r="E574" s="3"/>
      <c r="G574" s="3" t="s">
        <v>673</v>
      </c>
      <c r="H574" s="2"/>
      <c r="I574" s="6" t="s">
        <v>16</v>
      </c>
    </row>
    <row r="575">
      <c r="A575" s="1"/>
      <c r="B575" s="2"/>
      <c r="C575" s="2"/>
      <c r="D575" s="4"/>
      <c r="E575" s="3"/>
      <c r="G575" s="3" t="s">
        <v>673</v>
      </c>
      <c r="H575" s="2"/>
      <c r="I575" s="6" t="s">
        <v>16</v>
      </c>
    </row>
    <row r="576">
      <c r="A576" s="1"/>
      <c r="B576" s="2"/>
      <c r="C576" s="2"/>
      <c r="D576" s="4"/>
      <c r="E576" s="3"/>
      <c r="G576" s="3" t="s">
        <v>673</v>
      </c>
      <c r="H576" s="2"/>
      <c r="I576" s="6" t="s">
        <v>16</v>
      </c>
    </row>
    <row r="577">
      <c r="A577" s="1"/>
      <c r="B577" s="2"/>
      <c r="C577" s="2"/>
      <c r="D577" s="4"/>
      <c r="E577" s="3"/>
      <c r="G577" s="3" t="s">
        <v>673</v>
      </c>
      <c r="H577" s="2"/>
      <c r="I577" s="6" t="s">
        <v>16</v>
      </c>
    </row>
    <row r="578">
      <c r="A578" s="1"/>
      <c r="B578" s="2"/>
      <c r="C578" s="2"/>
      <c r="D578" s="4"/>
      <c r="E578" s="3"/>
      <c r="G578" s="3" t="s">
        <v>673</v>
      </c>
      <c r="H578" s="2"/>
      <c r="I578" s="6" t="s">
        <v>16</v>
      </c>
    </row>
    <row r="579">
      <c r="A579" s="1"/>
      <c r="B579" s="2"/>
      <c r="C579" s="2"/>
      <c r="D579" s="4"/>
      <c r="E579" s="3"/>
      <c r="G579" s="3" t="s">
        <v>673</v>
      </c>
      <c r="H579" s="2"/>
      <c r="I579" s="6" t="s">
        <v>16</v>
      </c>
    </row>
    <row r="580">
      <c r="A580" s="1"/>
      <c r="B580" s="2"/>
      <c r="C580" s="2"/>
      <c r="D580" s="4"/>
      <c r="E580" s="3"/>
      <c r="G580" s="3" t="s">
        <v>673</v>
      </c>
      <c r="H580" s="2"/>
      <c r="I580" s="6" t="s">
        <v>16</v>
      </c>
    </row>
    <row r="581">
      <c r="A581" s="1"/>
      <c r="B581" s="2"/>
      <c r="C581" s="2"/>
      <c r="D581" s="4"/>
      <c r="E581" s="3"/>
      <c r="G581" s="3" t="s">
        <v>673</v>
      </c>
      <c r="H581" s="2"/>
      <c r="I581" s="6" t="s">
        <v>16</v>
      </c>
    </row>
    <row r="582">
      <c r="A582" s="1"/>
      <c r="B582" s="2"/>
      <c r="C582" s="2"/>
      <c r="D582" s="4"/>
      <c r="E582" s="3"/>
      <c r="G582" s="3" t="s">
        <v>673</v>
      </c>
      <c r="H582" s="2"/>
      <c r="I582" s="6" t="s">
        <v>16</v>
      </c>
    </row>
    <row r="583">
      <c r="A583" s="1"/>
      <c r="B583" s="2"/>
      <c r="C583" s="2"/>
      <c r="D583" s="4"/>
      <c r="E583" s="3"/>
      <c r="G583" s="3" t="s">
        <v>673</v>
      </c>
      <c r="H583" s="2"/>
      <c r="I583" s="6" t="s">
        <v>16</v>
      </c>
    </row>
    <row r="584">
      <c r="A584" s="1"/>
      <c r="B584" s="2"/>
      <c r="C584" s="2"/>
      <c r="D584" s="4"/>
      <c r="E584" s="3"/>
      <c r="G584" s="3" t="s">
        <v>673</v>
      </c>
      <c r="H584" s="2"/>
      <c r="I584" s="6" t="s">
        <v>16</v>
      </c>
    </row>
    <row r="585">
      <c r="A585" s="1"/>
      <c r="B585" s="2"/>
      <c r="C585" s="2"/>
      <c r="D585" s="4"/>
      <c r="E585" s="3"/>
      <c r="G585" s="3" t="s">
        <v>673</v>
      </c>
      <c r="H585" s="2"/>
      <c r="I585" s="6" t="s">
        <v>16</v>
      </c>
    </row>
    <row r="586">
      <c r="A586" s="1"/>
      <c r="B586" s="2"/>
      <c r="C586" s="2"/>
      <c r="D586" s="4"/>
      <c r="E586" s="3"/>
      <c r="G586" s="3" t="s">
        <v>673</v>
      </c>
      <c r="H586" s="2"/>
      <c r="I586" s="6" t="s">
        <v>16</v>
      </c>
    </row>
    <row r="587">
      <c r="A587" s="1"/>
      <c r="B587" s="2"/>
      <c r="C587" s="2"/>
      <c r="D587" s="4"/>
      <c r="E587" s="3"/>
      <c r="G587" s="3" t="s">
        <v>673</v>
      </c>
      <c r="H587" s="2"/>
      <c r="I587" s="6" t="s">
        <v>16</v>
      </c>
    </row>
    <row r="588">
      <c r="A588" s="1"/>
      <c r="B588" s="2"/>
      <c r="C588" s="2"/>
      <c r="D588" s="4"/>
      <c r="E588" s="3"/>
      <c r="G588" s="3" t="s">
        <v>673</v>
      </c>
      <c r="H588" s="2"/>
      <c r="I588" s="6" t="s">
        <v>16</v>
      </c>
    </row>
    <row r="589">
      <c r="A589" s="1"/>
      <c r="B589" s="2"/>
      <c r="C589" s="2"/>
      <c r="D589" s="4"/>
      <c r="E589" s="3"/>
      <c r="G589" s="3" t="s">
        <v>673</v>
      </c>
      <c r="H589" s="2"/>
      <c r="I589" s="6" t="s">
        <v>16</v>
      </c>
    </row>
    <row r="590">
      <c r="A590" s="1"/>
      <c r="B590" s="2"/>
      <c r="C590" s="2"/>
      <c r="D590" s="4"/>
      <c r="E590" s="3"/>
      <c r="G590" s="3" t="s">
        <v>673</v>
      </c>
      <c r="H590" s="2"/>
      <c r="I590" s="6" t="s">
        <v>16</v>
      </c>
    </row>
    <row r="591">
      <c r="A591" s="1"/>
      <c r="B591" s="2"/>
      <c r="C591" s="2"/>
      <c r="D591" s="4"/>
      <c r="E591" s="3"/>
      <c r="G591" s="3" t="s">
        <v>673</v>
      </c>
      <c r="H591" s="2"/>
      <c r="I591" s="6" t="s">
        <v>16</v>
      </c>
    </row>
    <row r="592">
      <c r="A592" s="1"/>
      <c r="B592" s="2"/>
      <c r="C592" s="2"/>
      <c r="D592" s="4"/>
      <c r="E592" s="3"/>
      <c r="G592" s="3" t="s">
        <v>673</v>
      </c>
      <c r="H592" s="2"/>
      <c r="I592" s="6" t="s">
        <v>16</v>
      </c>
    </row>
    <row r="593">
      <c r="A593" s="1"/>
      <c r="B593" s="2"/>
      <c r="C593" s="2"/>
      <c r="D593" s="4"/>
      <c r="E593" s="3"/>
      <c r="G593" s="3" t="s">
        <v>673</v>
      </c>
      <c r="H593" s="2"/>
      <c r="I593" s="6" t="s">
        <v>16</v>
      </c>
    </row>
    <row r="594">
      <c r="A594" s="1"/>
      <c r="B594" s="2"/>
      <c r="C594" s="2"/>
      <c r="D594" s="4"/>
      <c r="E594" s="3"/>
      <c r="G594" s="3" t="s">
        <v>673</v>
      </c>
      <c r="H594" s="2"/>
      <c r="I594" s="6" t="s">
        <v>16</v>
      </c>
    </row>
    <row r="595">
      <c r="A595" s="1"/>
      <c r="B595" s="2"/>
      <c r="C595" s="2"/>
      <c r="D595" s="4"/>
      <c r="E595" s="3"/>
      <c r="G595" s="3" t="s">
        <v>673</v>
      </c>
      <c r="H595" s="2"/>
      <c r="I595" s="6" t="s">
        <v>16</v>
      </c>
    </row>
    <row r="596">
      <c r="A596" s="1"/>
      <c r="B596" s="2"/>
      <c r="C596" s="2"/>
      <c r="D596" s="4"/>
      <c r="E596" s="3"/>
      <c r="G596" s="3" t="s">
        <v>673</v>
      </c>
      <c r="H596" s="2"/>
      <c r="I596" s="6" t="s">
        <v>16</v>
      </c>
    </row>
    <row r="597">
      <c r="A597" s="1"/>
      <c r="B597" s="2"/>
      <c r="C597" s="2"/>
      <c r="D597" s="4"/>
      <c r="E597" s="3"/>
      <c r="G597" s="3" t="s">
        <v>673</v>
      </c>
      <c r="H597" s="2"/>
      <c r="I597" s="6" t="s">
        <v>16</v>
      </c>
    </row>
    <row r="598">
      <c r="A598" s="1"/>
      <c r="B598" s="2"/>
      <c r="C598" s="2"/>
      <c r="D598" s="4"/>
      <c r="E598" s="3"/>
      <c r="G598" s="3" t="s">
        <v>673</v>
      </c>
      <c r="H598" s="2"/>
      <c r="I598" s="6" t="s">
        <v>16</v>
      </c>
    </row>
    <row r="599">
      <c r="A599" s="1"/>
      <c r="B599" s="2"/>
      <c r="C599" s="2"/>
      <c r="D599" s="4"/>
      <c r="E599" s="3"/>
      <c r="G599" s="3" t="s">
        <v>673</v>
      </c>
      <c r="H599" s="2"/>
      <c r="I599" s="6" t="s">
        <v>16</v>
      </c>
    </row>
    <row r="600">
      <c r="A600" s="1"/>
      <c r="B600" s="2"/>
      <c r="C600" s="2"/>
      <c r="D600" s="4"/>
      <c r="E600" s="3"/>
      <c r="G600" s="3" t="s">
        <v>673</v>
      </c>
      <c r="H600" s="2"/>
      <c r="I600" s="6" t="s">
        <v>16</v>
      </c>
    </row>
    <row r="601">
      <c r="A601" s="1"/>
      <c r="B601" s="2"/>
      <c r="C601" s="2"/>
      <c r="D601" s="4"/>
      <c r="E601" s="3"/>
      <c r="G601" s="3" t="s">
        <v>673</v>
      </c>
      <c r="H601" s="2"/>
      <c r="I601" s="6" t="s">
        <v>16</v>
      </c>
    </row>
    <row r="602">
      <c r="A602" s="1"/>
      <c r="B602" s="2"/>
      <c r="C602" s="2"/>
      <c r="D602" s="4"/>
      <c r="E602" s="3"/>
      <c r="G602" s="3" t="s">
        <v>673</v>
      </c>
      <c r="H602" s="2"/>
      <c r="I602" s="6" t="s">
        <v>16</v>
      </c>
    </row>
    <row r="603">
      <c r="A603" s="1"/>
      <c r="B603" s="2"/>
      <c r="C603" s="2"/>
      <c r="D603" s="4"/>
      <c r="E603" s="3"/>
      <c r="G603" s="3" t="s">
        <v>673</v>
      </c>
      <c r="H603" s="2"/>
      <c r="I603" s="6" t="s">
        <v>16</v>
      </c>
    </row>
    <row r="604">
      <c r="A604" s="1"/>
      <c r="B604" s="2"/>
      <c r="C604" s="2"/>
      <c r="D604" s="4"/>
      <c r="E604" s="3"/>
      <c r="G604" s="3" t="s">
        <v>673</v>
      </c>
      <c r="H604" s="2"/>
      <c r="I604" s="6" t="s">
        <v>16</v>
      </c>
    </row>
    <row r="605">
      <c r="A605" s="1"/>
      <c r="B605" s="2"/>
      <c r="C605" s="2"/>
      <c r="D605" s="4"/>
      <c r="E605" s="3"/>
      <c r="G605" s="3" t="s">
        <v>673</v>
      </c>
      <c r="H605" s="2"/>
      <c r="I605" s="6" t="s">
        <v>16</v>
      </c>
    </row>
    <row r="606">
      <c r="A606" s="1"/>
      <c r="B606" s="2"/>
      <c r="C606" s="2"/>
      <c r="D606" s="4"/>
      <c r="E606" s="3"/>
      <c r="G606" s="3" t="s">
        <v>673</v>
      </c>
      <c r="H606" s="2"/>
      <c r="I606" s="6" t="s">
        <v>16</v>
      </c>
    </row>
    <row r="607">
      <c r="A607" s="1"/>
      <c r="B607" s="2"/>
      <c r="C607" s="2"/>
      <c r="D607" s="4"/>
      <c r="E607" s="3"/>
      <c r="G607" s="3" t="s">
        <v>673</v>
      </c>
      <c r="H607" s="2"/>
      <c r="I607" s="6" t="s">
        <v>16</v>
      </c>
    </row>
    <row r="608">
      <c r="A608" s="1"/>
      <c r="B608" s="2"/>
      <c r="C608" s="2"/>
      <c r="D608" s="4"/>
      <c r="E608" s="3"/>
      <c r="G608" s="3" t="s">
        <v>673</v>
      </c>
      <c r="H608" s="2"/>
      <c r="I608" s="6" t="s">
        <v>16</v>
      </c>
    </row>
    <row r="609">
      <c r="A609" s="1"/>
      <c r="B609" s="2"/>
      <c r="C609" s="2"/>
      <c r="D609" s="4"/>
      <c r="E609" s="3"/>
      <c r="G609" s="3" t="s">
        <v>673</v>
      </c>
      <c r="H609" s="2"/>
      <c r="I609" s="6" t="s">
        <v>16</v>
      </c>
    </row>
    <row r="610">
      <c r="A610" s="1"/>
      <c r="B610" s="2"/>
      <c r="C610" s="2"/>
      <c r="D610" s="4"/>
      <c r="E610" s="3"/>
      <c r="G610" s="3" t="s">
        <v>673</v>
      </c>
      <c r="H610" s="2"/>
      <c r="I610" s="6" t="s">
        <v>16</v>
      </c>
    </row>
    <row r="611">
      <c r="A611" s="1"/>
      <c r="B611" s="2"/>
      <c r="C611" s="2"/>
      <c r="D611" s="4"/>
      <c r="E611" s="3"/>
      <c r="G611" s="3" t="s">
        <v>673</v>
      </c>
      <c r="H611" s="2"/>
      <c r="I611" s="6" t="s">
        <v>16</v>
      </c>
    </row>
    <row r="612">
      <c r="A612" s="1"/>
      <c r="B612" s="2"/>
      <c r="C612" s="2"/>
      <c r="D612" s="4"/>
      <c r="E612" s="3"/>
      <c r="G612" s="3" t="s">
        <v>673</v>
      </c>
      <c r="H612" s="2"/>
      <c r="I612" s="6" t="s">
        <v>16</v>
      </c>
    </row>
    <row r="613">
      <c r="A613" s="1"/>
      <c r="B613" s="2"/>
      <c r="C613" s="2"/>
      <c r="D613" s="4"/>
      <c r="E613" s="3"/>
      <c r="G613" s="3" t="s">
        <v>673</v>
      </c>
      <c r="H613" s="2"/>
      <c r="I613" s="6" t="s">
        <v>16</v>
      </c>
    </row>
    <row r="614">
      <c r="A614" s="1"/>
      <c r="B614" s="2"/>
      <c r="C614" s="2"/>
      <c r="D614" s="4"/>
      <c r="E614" s="3"/>
      <c r="G614" s="3" t="s">
        <v>673</v>
      </c>
      <c r="H614" s="2"/>
      <c r="I614" s="6" t="s">
        <v>16</v>
      </c>
    </row>
    <row r="615">
      <c r="A615" s="1"/>
      <c r="B615" s="2"/>
      <c r="C615" s="2"/>
      <c r="D615" s="4"/>
      <c r="E615" s="3"/>
      <c r="G615" s="3" t="s">
        <v>673</v>
      </c>
      <c r="H615" s="2"/>
      <c r="I615" s="6" t="s">
        <v>16</v>
      </c>
    </row>
    <row r="616">
      <c r="A616" s="1"/>
      <c r="B616" s="2"/>
      <c r="C616" s="2"/>
      <c r="D616" s="4"/>
      <c r="E616" s="3"/>
      <c r="G616" s="3" t="s">
        <v>673</v>
      </c>
      <c r="H616" s="2"/>
      <c r="I616" s="6" t="s">
        <v>16</v>
      </c>
    </row>
    <row r="617">
      <c r="A617" s="1"/>
      <c r="B617" s="2"/>
      <c r="C617" s="2"/>
      <c r="D617" s="4"/>
      <c r="E617" s="3"/>
      <c r="G617" s="3" t="s">
        <v>673</v>
      </c>
      <c r="H617" s="2"/>
      <c r="I617" s="6" t="s">
        <v>16</v>
      </c>
    </row>
    <row r="618">
      <c r="A618" s="1"/>
      <c r="B618" s="2"/>
      <c r="C618" s="2"/>
      <c r="D618" s="4"/>
      <c r="E618" s="3"/>
      <c r="G618" s="3" t="s">
        <v>673</v>
      </c>
      <c r="H618" s="2"/>
      <c r="I618" s="6" t="s">
        <v>16</v>
      </c>
    </row>
    <row r="619">
      <c r="A619" s="1"/>
      <c r="B619" s="2"/>
      <c r="C619" s="2"/>
      <c r="D619" s="4"/>
      <c r="E619" s="3"/>
      <c r="G619" s="3" t="s">
        <v>673</v>
      </c>
      <c r="H619" s="2"/>
      <c r="I619" s="6" t="s">
        <v>16</v>
      </c>
    </row>
    <row r="620">
      <c r="A620" s="1"/>
      <c r="B620" s="2"/>
      <c r="C620" s="2"/>
      <c r="D620" s="4"/>
      <c r="E620" s="3"/>
      <c r="G620" s="3" t="s">
        <v>673</v>
      </c>
      <c r="H620" s="2"/>
      <c r="I620" s="6" t="s">
        <v>6</v>
      </c>
    </row>
    <row r="621">
      <c r="A621" s="1"/>
      <c r="B621" s="2"/>
      <c r="C621" s="2"/>
      <c r="D621" s="4"/>
      <c r="E621" s="3"/>
      <c r="G621" s="3" t="s">
        <v>673</v>
      </c>
      <c r="H621" s="2"/>
      <c r="I621" s="6" t="s">
        <v>16</v>
      </c>
    </row>
    <row r="622">
      <c r="A622" s="1"/>
      <c r="B622" s="2"/>
      <c r="C622" s="2"/>
      <c r="D622" s="4"/>
      <c r="E622" s="3"/>
      <c r="G622" s="3" t="s">
        <v>673</v>
      </c>
      <c r="H622" s="2"/>
      <c r="I622" s="6" t="s">
        <v>6</v>
      </c>
    </row>
    <row r="623">
      <c r="A623" s="1"/>
      <c r="B623" s="2"/>
      <c r="C623" s="2"/>
      <c r="D623" s="4"/>
      <c r="E623" s="3"/>
      <c r="G623" s="3" t="s">
        <v>673</v>
      </c>
      <c r="H623" s="2"/>
      <c r="I623" s="6" t="s">
        <v>16</v>
      </c>
    </row>
    <row r="624">
      <c r="A624" s="1"/>
      <c r="B624" s="2"/>
      <c r="C624" s="2"/>
      <c r="D624" s="4"/>
      <c r="E624" s="3"/>
      <c r="G624" s="3" t="s">
        <v>673</v>
      </c>
      <c r="H624" s="2"/>
      <c r="I624" s="6" t="s">
        <v>16</v>
      </c>
    </row>
    <row r="625">
      <c r="A625" s="1"/>
      <c r="B625" s="2"/>
      <c r="C625" s="2"/>
      <c r="D625" s="4"/>
      <c r="E625" s="3"/>
      <c r="G625" s="3" t="s">
        <v>673</v>
      </c>
      <c r="H625" s="2"/>
      <c r="I625" s="6" t="s">
        <v>16</v>
      </c>
    </row>
    <row r="626">
      <c r="A626" s="1"/>
      <c r="B626" s="2"/>
      <c r="C626" s="2"/>
      <c r="D626" s="4"/>
      <c r="E626" s="3"/>
      <c r="G626" s="3" t="s">
        <v>673</v>
      </c>
      <c r="H626" s="2"/>
      <c r="I626" s="6" t="s">
        <v>6</v>
      </c>
    </row>
    <row r="627">
      <c r="A627" s="1"/>
      <c r="B627" s="2"/>
      <c r="C627" s="2"/>
      <c r="D627" s="4"/>
      <c r="E627" s="3"/>
      <c r="G627" s="3" t="s">
        <v>673</v>
      </c>
      <c r="H627" s="2"/>
      <c r="I627" s="6" t="s">
        <v>16</v>
      </c>
    </row>
    <row r="628">
      <c r="A628" s="1"/>
      <c r="B628" s="2"/>
      <c r="C628" s="2"/>
      <c r="D628" s="4"/>
      <c r="E628" s="3"/>
      <c r="G628" s="3" t="s">
        <v>673</v>
      </c>
      <c r="H628" s="2"/>
      <c r="I628" s="6" t="s">
        <v>16</v>
      </c>
    </row>
    <row r="629">
      <c r="A629" s="1"/>
      <c r="B629" s="2"/>
      <c r="C629" s="2"/>
      <c r="D629" s="4"/>
      <c r="E629" s="3"/>
      <c r="G629" s="3" t="s">
        <v>673</v>
      </c>
      <c r="H629" s="2"/>
      <c r="I629" s="6" t="s">
        <v>16</v>
      </c>
    </row>
    <row r="630">
      <c r="A630" s="1"/>
      <c r="B630" s="2"/>
      <c r="C630" s="2"/>
      <c r="D630" s="4"/>
      <c r="E630" s="3"/>
      <c r="G630" s="3" t="s">
        <v>673</v>
      </c>
      <c r="H630" s="2"/>
      <c r="I630" s="6" t="s">
        <v>6</v>
      </c>
    </row>
    <row r="631">
      <c r="A631" s="1"/>
      <c r="B631" s="2"/>
      <c r="C631" s="2"/>
      <c r="D631" s="4"/>
      <c r="E631" s="3"/>
      <c r="G631" s="3" t="s">
        <v>673</v>
      </c>
      <c r="H631" s="2"/>
      <c r="I631" s="6" t="s">
        <v>16</v>
      </c>
    </row>
    <row r="632">
      <c r="A632" s="1"/>
      <c r="B632" s="2"/>
      <c r="C632" s="2"/>
      <c r="D632" s="4"/>
      <c r="E632" s="3"/>
      <c r="G632" s="3" t="s">
        <v>673</v>
      </c>
      <c r="H632" s="2"/>
      <c r="I632" s="6" t="s">
        <v>16</v>
      </c>
    </row>
    <row r="633">
      <c r="A633" s="1"/>
      <c r="B633" s="2"/>
      <c r="C633" s="2"/>
      <c r="D633" s="4"/>
      <c r="E633" s="3"/>
      <c r="G633" s="3" t="s">
        <v>673</v>
      </c>
      <c r="H633" s="2"/>
      <c r="I633" s="6" t="s">
        <v>16</v>
      </c>
    </row>
    <row r="634">
      <c r="A634" s="1"/>
      <c r="B634" s="2"/>
      <c r="C634" s="2"/>
      <c r="D634" s="4"/>
      <c r="E634" s="3"/>
      <c r="G634" s="3" t="s">
        <v>673</v>
      </c>
      <c r="H634" s="2"/>
      <c r="I634" s="6" t="s">
        <v>16</v>
      </c>
    </row>
    <row r="635">
      <c r="A635" s="1"/>
      <c r="B635" s="2"/>
      <c r="C635" s="2"/>
      <c r="D635" s="4"/>
      <c r="E635" s="3"/>
      <c r="G635" s="3" t="s">
        <v>673</v>
      </c>
      <c r="H635" s="2"/>
      <c r="I635" s="6" t="s">
        <v>16</v>
      </c>
    </row>
    <row r="636">
      <c r="A636" s="1"/>
      <c r="B636" s="2"/>
      <c r="C636" s="2"/>
      <c r="D636" s="4"/>
      <c r="E636" s="3"/>
      <c r="G636" s="3" t="s">
        <v>673</v>
      </c>
      <c r="H636" s="2"/>
      <c r="I636" s="6" t="s">
        <v>16</v>
      </c>
    </row>
    <row r="637">
      <c r="A637" s="1"/>
      <c r="B637" s="2"/>
      <c r="C637" s="2"/>
      <c r="D637" s="4"/>
      <c r="E637" s="3"/>
      <c r="G637" s="3" t="s">
        <v>673</v>
      </c>
      <c r="H637" s="2"/>
      <c r="I637" s="6" t="s">
        <v>16</v>
      </c>
    </row>
    <row r="638">
      <c r="A638" s="1"/>
      <c r="B638" s="2"/>
      <c r="C638" s="2"/>
      <c r="D638" s="4"/>
      <c r="E638" s="3"/>
      <c r="G638" s="3" t="s">
        <v>673</v>
      </c>
      <c r="H638" s="2"/>
      <c r="I638" s="6" t="s">
        <v>16</v>
      </c>
    </row>
    <row r="639">
      <c r="A639" s="1"/>
      <c r="B639" s="2"/>
      <c r="C639" s="2"/>
      <c r="D639" s="4"/>
      <c r="E639" s="3"/>
      <c r="G639" s="3" t="s">
        <v>673</v>
      </c>
      <c r="H639" s="2"/>
      <c r="I639" s="6" t="s">
        <v>16</v>
      </c>
    </row>
    <row r="640">
      <c r="A640" s="1"/>
      <c r="B640" s="2"/>
      <c r="C640" s="2"/>
      <c r="D640" s="4"/>
      <c r="E640" s="3"/>
      <c r="G640" s="3" t="s">
        <v>673</v>
      </c>
      <c r="H640" s="2"/>
      <c r="I640" s="6" t="s">
        <v>16</v>
      </c>
    </row>
    <row r="641">
      <c r="A641" s="1"/>
      <c r="B641" s="2"/>
      <c r="C641" s="2"/>
      <c r="D641" s="4"/>
      <c r="E641" s="3"/>
      <c r="G641" s="3" t="s">
        <v>673</v>
      </c>
      <c r="H641" s="2"/>
      <c r="I641" s="6" t="s">
        <v>16</v>
      </c>
    </row>
    <row r="642">
      <c r="A642" s="1"/>
      <c r="B642" s="2"/>
      <c r="C642" s="2"/>
      <c r="D642" s="4"/>
      <c r="E642" s="3"/>
      <c r="G642" s="3" t="s">
        <v>673</v>
      </c>
      <c r="H642" s="2"/>
      <c r="I642" s="6" t="s">
        <v>16</v>
      </c>
    </row>
    <row r="643">
      <c r="A643" s="1"/>
      <c r="B643" s="2"/>
      <c r="C643" s="2"/>
      <c r="D643" s="4"/>
      <c r="E643" s="3"/>
      <c r="G643" s="3" t="s">
        <v>673</v>
      </c>
      <c r="H643" s="2"/>
      <c r="I643" s="6" t="s">
        <v>16</v>
      </c>
    </row>
    <row r="644">
      <c r="A644" s="1"/>
      <c r="B644" s="2"/>
      <c r="C644" s="2"/>
      <c r="D644" s="4"/>
      <c r="E644" s="3"/>
      <c r="G644" s="3" t="s">
        <v>673</v>
      </c>
      <c r="H644" s="2"/>
      <c r="I644" s="6" t="s">
        <v>16</v>
      </c>
    </row>
    <row r="645">
      <c r="A645" s="1"/>
      <c r="B645" s="2"/>
      <c r="C645" s="2"/>
      <c r="D645" s="4"/>
      <c r="E645" s="3"/>
      <c r="G645" s="3" t="s">
        <v>673</v>
      </c>
      <c r="H645" s="2"/>
      <c r="I645" s="6" t="s">
        <v>16</v>
      </c>
    </row>
    <row r="646">
      <c r="A646" s="1"/>
      <c r="B646" s="2"/>
      <c r="C646" s="2"/>
      <c r="D646" s="4"/>
      <c r="E646" s="3"/>
      <c r="G646" s="3" t="s">
        <v>673</v>
      </c>
      <c r="H646" s="2"/>
      <c r="I646" s="6" t="s">
        <v>16</v>
      </c>
    </row>
    <row r="647">
      <c r="A647" s="1"/>
      <c r="B647" s="2"/>
      <c r="C647" s="2"/>
      <c r="D647" s="4"/>
      <c r="E647" s="3"/>
      <c r="G647" s="3" t="s">
        <v>673</v>
      </c>
      <c r="H647" s="2"/>
      <c r="I647" s="6" t="s">
        <v>16</v>
      </c>
    </row>
    <row r="648">
      <c r="A648" s="1"/>
      <c r="B648" s="2"/>
      <c r="C648" s="2"/>
      <c r="D648" s="4"/>
      <c r="E648" s="3"/>
      <c r="G648" s="3" t="s">
        <v>673</v>
      </c>
      <c r="H648" s="2"/>
      <c r="I648" s="6" t="s">
        <v>16</v>
      </c>
    </row>
    <row r="649">
      <c r="A649" s="1"/>
      <c r="B649" s="2"/>
      <c r="C649" s="2"/>
      <c r="D649" s="4"/>
      <c r="E649" s="3"/>
      <c r="G649" s="3" t="s">
        <v>673</v>
      </c>
      <c r="H649" s="2"/>
      <c r="I649" s="6" t="s">
        <v>16</v>
      </c>
    </row>
    <row r="650">
      <c r="A650" s="1"/>
      <c r="B650" s="2"/>
      <c r="C650" s="2"/>
      <c r="D650" s="4"/>
      <c r="E650" s="3"/>
      <c r="G650" s="3" t="s">
        <v>673</v>
      </c>
      <c r="H650" s="2"/>
      <c r="I650" s="6" t="s">
        <v>16</v>
      </c>
    </row>
    <row r="651">
      <c r="A651" s="1"/>
      <c r="B651" s="2"/>
      <c r="C651" s="2"/>
      <c r="D651" s="4"/>
      <c r="E651" s="3"/>
      <c r="G651" s="3" t="s">
        <v>673</v>
      </c>
      <c r="H651" s="2"/>
      <c r="I651" s="6" t="s">
        <v>16</v>
      </c>
    </row>
    <row r="652">
      <c r="A652" s="1"/>
      <c r="B652" s="2"/>
      <c r="C652" s="2"/>
      <c r="D652" s="4"/>
      <c r="E652" s="3"/>
      <c r="G652" s="3" t="s">
        <v>673</v>
      </c>
      <c r="H652" s="2"/>
      <c r="I652" s="6" t="s">
        <v>16</v>
      </c>
    </row>
    <row r="653">
      <c r="A653" s="1"/>
      <c r="B653" s="2"/>
      <c r="C653" s="2"/>
      <c r="D653" s="4"/>
      <c r="E653" s="3"/>
      <c r="G653" s="3" t="s">
        <v>673</v>
      </c>
      <c r="H653" s="2"/>
      <c r="I653" s="6" t="s">
        <v>16</v>
      </c>
    </row>
    <row r="654">
      <c r="A654" s="1"/>
      <c r="B654" s="2"/>
      <c r="C654" s="2"/>
      <c r="D654" s="4"/>
      <c r="E654" s="3"/>
      <c r="G654" s="3" t="s">
        <v>673</v>
      </c>
      <c r="H654" s="2"/>
      <c r="I654" s="6" t="s">
        <v>16</v>
      </c>
    </row>
    <row r="655">
      <c r="A655" s="1"/>
      <c r="B655" s="2"/>
      <c r="C655" s="2"/>
      <c r="D655" s="4"/>
      <c r="E655" s="3"/>
      <c r="G655" s="3" t="s">
        <v>673</v>
      </c>
      <c r="H655" s="2"/>
      <c r="I655" s="6" t="s">
        <v>16</v>
      </c>
    </row>
    <row r="656">
      <c r="A656" s="1"/>
      <c r="B656" s="2"/>
      <c r="C656" s="2"/>
      <c r="D656" s="4"/>
      <c r="E656" s="3"/>
      <c r="G656" s="3" t="s">
        <v>673</v>
      </c>
      <c r="H656" s="2"/>
      <c r="I656" s="6" t="s">
        <v>16</v>
      </c>
    </row>
    <row r="657">
      <c r="A657" s="1"/>
      <c r="B657" s="2"/>
      <c r="C657" s="2"/>
      <c r="D657" s="4"/>
      <c r="E657" s="3"/>
      <c r="G657" s="3" t="s">
        <v>673</v>
      </c>
      <c r="H657" s="2"/>
      <c r="I657" s="6" t="s">
        <v>16</v>
      </c>
    </row>
    <row r="658">
      <c r="A658" s="1"/>
      <c r="B658" s="2"/>
      <c r="C658" s="2"/>
      <c r="D658" s="4"/>
      <c r="E658" s="3"/>
      <c r="G658" s="3" t="s">
        <v>673</v>
      </c>
      <c r="H658" s="2"/>
      <c r="I658" s="6" t="s">
        <v>16</v>
      </c>
    </row>
    <row r="659">
      <c r="A659" s="1"/>
      <c r="B659" s="2"/>
      <c r="C659" s="2"/>
      <c r="D659" s="4"/>
      <c r="E659" s="3"/>
      <c r="G659" s="3" t="s">
        <v>673</v>
      </c>
      <c r="H659" s="2"/>
      <c r="I659" s="6" t="s">
        <v>16</v>
      </c>
    </row>
    <row r="660">
      <c r="A660" s="1"/>
      <c r="B660" s="2"/>
      <c r="C660" s="2"/>
      <c r="D660" s="4"/>
      <c r="E660" s="3"/>
      <c r="G660" s="3" t="s">
        <v>673</v>
      </c>
      <c r="H660" s="2"/>
      <c r="I660" s="6" t="s">
        <v>16</v>
      </c>
    </row>
    <row r="661">
      <c r="A661" s="1"/>
      <c r="B661" s="2"/>
      <c r="C661" s="2"/>
      <c r="D661" s="4"/>
      <c r="E661" s="3"/>
      <c r="G661" s="3" t="s">
        <v>673</v>
      </c>
      <c r="H661" s="2"/>
      <c r="I661" s="6" t="s">
        <v>16</v>
      </c>
    </row>
    <row r="662">
      <c r="A662" s="1"/>
      <c r="B662" s="2"/>
      <c r="C662" s="2"/>
      <c r="D662" s="4"/>
      <c r="E662" s="3"/>
      <c r="G662" s="3" t="s">
        <v>673</v>
      </c>
      <c r="H662" s="2"/>
      <c r="I662" s="6" t="s">
        <v>16</v>
      </c>
    </row>
    <row r="663">
      <c r="A663" s="1"/>
      <c r="B663" s="2"/>
      <c r="C663" s="2"/>
      <c r="D663" s="4"/>
      <c r="E663" s="3"/>
      <c r="G663" s="3" t="s">
        <v>673</v>
      </c>
      <c r="H663" s="2"/>
      <c r="I663" s="6" t="s">
        <v>16</v>
      </c>
    </row>
    <row r="664">
      <c r="A664" s="1"/>
      <c r="B664" s="2"/>
      <c r="C664" s="2"/>
      <c r="D664" s="4"/>
      <c r="E664" s="3"/>
      <c r="G664" s="3" t="s">
        <v>673</v>
      </c>
      <c r="H664" s="2"/>
      <c r="I664" s="6" t="s">
        <v>16</v>
      </c>
    </row>
    <row r="665">
      <c r="A665" s="1"/>
      <c r="B665" s="2"/>
      <c r="C665" s="2"/>
      <c r="D665" s="4"/>
      <c r="E665" s="3"/>
      <c r="G665" s="3" t="s">
        <v>673</v>
      </c>
      <c r="H665" s="2"/>
      <c r="I665" s="6" t="s">
        <v>16</v>
      </c>
    </row>
    <row r="666">
      <c r="A666" s="1"/>
      <c r="B666" s="2"/>
      <c r="C666" s="2"/>
      <c r="D666" s="4"/>
      <c r="E666" s="3"/>
      <c r="G666" s="3" t="s">
        <v>673</v>
      </c>
      <c r="H666" s="2"/>
      <c r="I666" s="6" t="s">
        <v>16</v>
      </c>
    </row>
    <row r="667">
      <c r="A667" s="1"/>
      <c r="B667" s="2"/>
      <c r="C667" s="2"/>
      <c r="D667" s="4"/>
      <c r="E667" s="3"/>
      <c r="G667" s="3" t="s">
        <v>673</v>
      </c>
      <c r="H667" s="2"/>
      <c r="I667" s="6" t="s">
        <v>16</v>
      </c>
    </row>
    <row r="668">
      <c r="A668" s="1"/>
      <c r="B668" s="2"/>
      <c r="C668" s="2"/>
      <c r="D668" s="4"/>
      <c r="E668" s="3"/>
      <c r="G668" s="3" t="s">
        <v>673</v>
      </c>
      <c r="H668" s="2"/>
      <c r="I668" s="6" t="s">
        <v>6</v>
      </c>
    </row>
    <row r="669">
      <c r="A669" s="1"/>
      <c r="B669" s="2"/>
      <c r="C669" s="2"/>
      <c r="D669" s="4"/>
      <c r="E669" s="3"/>
      <c r="G669" s="3" t="s">
        <v>673</v>
      </c>
      <c r="H669" s="2"/>
      <c r="I669" s="6" t="s">
        <v>16</v>
      </c>
    </row>
    <row r="670">
      <c r="A670" s="1"/>
      <c r="B670" s="2"/>
      <c r="C670" s="2"/>
      <c r="D670" s="4"/>
      <c r="E670" s="3"/>
      <c r="G670" s="3" t="s">
        <v>673</v>
      </c>
      <c r="H670" s="2"/>
      <c r="I670" s="6" t="s">
        <v>16</v>
      </c>
    </row>
    <row r="671">
      <c r="A671" s="1"/>
      <c r="B671" s="2"/>
      <c r="C671" s="2"/>
      <c r="D671" s="4"/>
      <c r="E671" s="3"/>
      <c r="G671" s="3" t="s">
        <v>673</v>
      </c>
      <c r="H671" s="2"/>
      <c r="I671" s="6" t="s">
        <v>6</v>
      </c>
    </row>
    <row r="672">
      <c r="A672" s="1"/>
      <c r="B672" s="2"/>
      <c r="C672" s="2"/>
      <c r="D672" s="4"/>
      <c r="E672" s="3"/>
      <c r="G672" s="3" t="s">
        <v>673</v>
      </c>
      <c r="H672" s="2"/>
      <c r="I672" s="6" t="s">
        <v>16</v>
      </c>
    </row>
    <row r="673">
      <c r="A673" s="1"/>
      <c r="B673" s="2"/>
      <c r="C673" s="2"/>
      <c r="D673" s="4"/>
      <c r="E673" s="3"/>
      <c r="G673" s="3" t="s">
        <v>673</v>
      </c>
      <c r="H673" s="2"/>
      <c r="I673" s="6" t="s">
        <v>6</v>
      </c>
    </row>
    <row r="674">
      <c r="A674" s="1"/>
      <c r="B674" s="2"/>
      <c r="C674" s="2"/>
      <c r="D674" s="4"/>
      <c r="E674" s="3"/>
      <c r="G674" s="3" t="s">
        <v>673</v>
      </c>
      <c r="H674" s="2"/>
      <c r="I674" s="6" t="s">
        <v>16</v>
      </c>
    </row>
    <row r="675">
      <c r="A675" s="1"/>
      <c r="B675" s="2"/>
      <c r="C675" s="2"/>
      <c r="D675" s="4"/>
      <c r="E675" s="3"/>
      <c r="G675" s="3" t="s">
        <v>673</v>
      </c>
      <c r="H675" s="2"/>
      <c r="I675" s="6" t="s">
        <v>6</v>
      </c>
    </row>
    <row r="676">
      <c r="A676" s="1"/>
      <c r="B676" s="2"/>
      <c r="C676" s="2"/>
      <c r="D676" s="4"/>
      <c r="E676" s="3"/>
      <c r="G676" s="3" t="s">
        <v>673</v>
      </c>
      <c r="H676" s="2"/>
      <c r="I676" s="6" t="s">
        <v>16</v>
      </c>
    </row>
    <row r="677">
      <c r="A677" s="1"/>
      <c r="B677" s="2"/>
      <c r="C677" s="2"/>
      <c r="D677" s="4"/>
      <c r="E677" s="3"/>
      <c r="G677" s="3" t="s">
        <v>673</v>
      </c>
      <c r="H677" s="2"/>
      <c r="I677" s="6" t="s">
        <v>16</v>
      </c>
    </row>
    <row r="678">
      <c r="A678" s="1"/>
      <c r="B678" s="2"/>
      <c r="C678" s="2"/>
      <c r="D678" s="4"/>
      <c r="E678" s="3"/>
      <c r="G678" s="3" t="s">
        <v>673</v>
      </c>
      <c r="H678" s="2"/>
      <c r="I678" s="6" t="s">
        <v>6</v>
      </c>
    </row>
    <row r="679">
      <c r="A679" s="1"/>
      <c r="B679" s="2"/>
      <c r="C679" s="2"/>
      <c r="D679" s="4"/>
      <c r="E679" s="3"/>
      <c r="G679" s="3" t="s">
        <v>673</v>
      </c>
      <c r="H679" s="2"/>
      <c r="I679" s="6" t="s">
        <v>6</v>
      </c>
    </row>
    <row r="680">
      <c r="A680" s="1"/>
      <c r="B680" s="2"/>
      <c r="C680" s="2"/>
      <c r="D680" s="4"/>
      <c r="E680" s="3"/>
      <c r="G680" s="3" t="s">
        <v>673</v>
      </c>
      <c r="H680" s="2"/>
      <c r="I680" s="6" t="s">
        <v>16</v>
      </c>
    </row>
    <row r="681">
      <c r="A681" s="1"/>
      <c r="B681" s="2"/>
      <c r="C681" s="2"/>
      <c r="D681" s="4"/>
      <c r="E681" s="3"/>
      <c r="G681" s="3" t="s">
        <v>673</v>
      </c>
      <c r="H681" s="2"/>
      <c r="I681" s="6" t="s">
        <v>16</v>
      </c>
    </row>
    <row r="682">
      <c r="A682" s="1"/>
      <c r="B682" s="2"/>
      <c r="C682" s="2"/>
      <c r="D682" s="4"/>
      <c r="E682" s="3"/>
      <c r="G682" s="3" t="s">
        <v>673</v>
      </c>
      <c r="H682" s="2"/>
      <c r="I682" s="6" t="s">
        <v>16</v>
      </c>
    </row>
  </sheetData>
  <dataValidations>
    <dataValidation type="list" allowBlank="1" showErrorMessage="1" sqref="I1:I682">
      <formula1>"PRIBADI,PRODUKSI,BANK,EXSPEDISI,V_SALES,OPERASIONAL,NURUL_AINI"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f>IFERROR(__xludf.DUMMYFUNCTION("IFERROR(QUERY(FEB_2023!A:I, ""SELECT * WHERE D IS NOT NULL AND UPPER(I) = 'EXSPEDISI'"", 1), ""Data EXSPEDISI belum ditemukan"")"),46054.0)</f>
        <v>46054</v>
      </c>
      <c r="B1" s="5" t="str">
        <f>IFERROR(__xludf.DUMMYFUNCTION("""COMPUTED_VALUE"""),"TRSF E-BANKING DB TANGGAL :31/01")</f>
        <v>TRSF E-BANKING DB TANGGAL :31/01</v>
      </c>
      <c r="C1" s="5" t="str">
        <f>IFERROR(__xludf.DUMMYFUNCTION("""COMPUTED_VALUE"""),"3101/FTSCY/WS95271 magetan sidorata HERMAWAN")</f>
        <v>3101/FTSCY/WS95271 magetan sidorata HERMAWAN</v>
      </c>
      <c r="D1" s="3">
        <f>IFERROR(__xludf.DUMMYFUNCTION("""COMPUTED_VALUE"""),2043200.0)</f>
        <v>2043200</v>
      </c>
      <c r="E1" s="5"/>
      <c r="F1" s="5" t="str">
        <f>IFERROR(__xludf.DUMMYFUNCTION("""COMPUTED_VALUE"""),"DB")</f>
        <v>DB</v>
      </c>
      <c r="G1" s="3">
        <f>IFERROR(__xludf.DUMMYFUNCTION("""COMPUTED_VALUE"""),1.2781877546E8)</f>
        <v>127818775.5</v>
      </c>
      <c r="H1" s="5"/>
      <c r="I1" s="5" t="str">
        <f>IFERROR(__xludf.DUMMYFUNCTION("""COMPUTED_VALUE"""),"EXSPEDISI")</f>
        <v>EXSPEDISI</v>
      </c>
      <c r="J1" s="3">
        <f>SUM(D1:D1000)</f>
        <v>190440250</v>
      </c>
    </row>
    <row r="2">
      <c r="A2" s="5">
        <f>IFERROR(__xludf.DUMMYFUNCTION("""COMPUTED_VALUE"""),46054.0)</f>
        <v>46054</v>
      </c>
      <c r="B2" s="5" t="str">
        <f>IFERROR(__xludf.DUMMYFUNCTION("""COMPUTED_VALUE"""),"TRSF E-BANKING DB TANGGAL :31/01")</f>
        <v>TRSF E-BANKING DB TANGGAL :31/01</v>
      </c>
      <c r="C2" s="5" t="str">
        <f>IFERROR(__xludf.DUMMYFUNCTION("""COMPUTED_VALUE"""),"3101/FTSCY/WS95271 MUJIANTO")</f>
        <v>3101/FTSCY/WS95271 MUJIANTO</v>
      </c>
      <c r="D2" s="3">
        <f>IFERROR(__xludf.DUMMYFUNCTION("""COMPUTED_VALUE"""),600000.0)</f>
        <v>600000</v>
      </c>
      <c r="E2" s="5"/>
      <c r="F2" s="5" t="str">
        <f>IFERROR(__xludf.DUMMYFUNCTION("""COMPUTED_VALUE"""),"DB")</f>
        <v>DB</v>
      </c>
      <c r="G2" s="3">
        <f>IFERROR(__xludf.DUMMYFUNCTION("""COMPUTED_VALUE"""),1.2721877546E8)</f>
        <v>127218775.5</v>
      </c>
      <c r="H2" s="5"/>
      <c r="I2" s="5" t="str">
        <f>IFERROR(__xludf.DUMMYFUNCTION("""COMPUTED_VALUE"""),"EXSPEDISI")</f>
        <v>EXSPEDISI</v>
      </c>
      <c r="J2" s="3"/>
    </row>
    <row r="3">
      <c r="A3" s="5">
        <f>IFERROR(__xludf.DUMMYFUNCTION("""COMPUTED_VALUE"""),46054.0)</f>
        <v>46054</v>
      </c>
      <c r="B3" s="5" t="str">
        <f>IFERROR(__xludf.DUMMYFUNCTION("""COMPUTED_VALUE"""),"TRSF E-BANKING DB TANGGAL :31/01")</f>
        <v>TRSF E-BANKING DB TANGGAL :31/01</v>
      </c>
      <c r="C3" s="5" t="str">
        <f>IFERROR(__xludf.DUMMYFUNCTION("""COMPUTED_VALUE"""),"3101/FTSCY/WS95271 krg 5 jt EKO SETIYAWAN")</f>
        <v>3101/FTSCY/WS95271 krg 5 jt EKO SETIYAWAN</v>
      </c>
      <c r="D3" s="3">
        <f>IFERROR(__xludf.DUMMYFUNCTION("""COMPUTED_VALUE"""),1.11245E7)</f>
        <v>11124500</v>
      </c>
      <c r="E3" s="5"/>
      <c r="F3" s="5" t="str">
        <f>IFERROR(__xludf.DUMMYFUNCTION("""COMPUTED_VALUE"""),"DB")</f>
        <v>DB</v>
      </c>
      <c r="G3" s="3">
        <f>IFERROR(__xludf.DUMMYFUNCTION("""COMPUTED_VALUE"""),1.1147327546E8)</f>
        <v>111473275.5</v>
      </c>
      <c r="H3" s="5"/>
      <c r="I3" s="5" t="str">
        <f>IFERROR(__xludf.DUMMYFUNCTION("""COMPUTED_VALUE"""),"EXSPEDISI")</f>
        <v>EXSPEDISI</v>
      </c>
      <c r="J3" s="3"/>
    </row>
    <row r="4">
      <c r="A4" s="5">
        <f>IFERROR(__xludf.DUMMYFUNCTION("""COMPUTED_VALUE"""),46055.0)</f>
        <v>46055</v>
      </c>
      <c r="B4" s="5" t="str">
        <f>IFERROR(__xludf.DUMMYFUNCTION("""COMPUTED_VALUE"""),"TRSF E-BANKING DB")</f>
        <v>TRSF E-BANKING DB</v>
      </c>
      <c r="C4" s="5" t="str">
        <f>IFERROR(__xludf.DUMMYFUNCTION("""COMPUTED_VALUE"""),"0202/FTSCY/WS95031 1594000.00 t. agung lidia HERMAWAN")</f>
        <v>0202/FTSCY/WS95031 1594000.00 t. agung lidia HERMAWAN</v>
      </c>
      <c r="D4" s="3">
        <f>IFERROR(__xludf.DUMMYFUNCTION("""COMPUTED_VALUE"""),1594000.0)</f>
        <v>1594000</v>
      </c>
      <c r="E4" s="5"/>
      <c r="F4" s="5" t="str">
        <f>IFERROR(__xludf.DUMMYFUNCTION("""COMPUTED_VALUE"""),"DB")</f>
        <v>DB</v>
      </c>
      <c r="G4" s="3">
        <f>IFERROR(__xludf.DUMMYFUNCTION("""COMPUTED_VALUE"""),1.1058977246000004E8)</f>
        <v>110589772.5</v>
      </c>
      <c r="H4" s="5"/>
      <c r="I4" s="5" t="str">
        <f>IFERROR(__xludf.DUMMYFUNCTION("""COMPUTED_VALUE"""),"EXSPEDISI")</f>
        <v>EXSPEDISI</v>
      </c>
      <c r="J4" s="3"/>
    </row>
    <row r="5">
      <c r="A5" s="5">
        <f>IFERROR(__xludf.DUMMYFUNCTION("""COMPUTED_VALUE"""),46055.0)</f>
        <v>46055</v>
      </c>
      <c r="B5" s="5" t="str">
        <f>IFERROR(__xludf.DUMMYFUNCTION("""COMPUTED_VALUE"""),"TRSF E-BANKING DB")</f>
        <v>TRSF E-BANKING DB</v>
      </c>
      <c r="C5" s="5" t="str">
        <f>IFERROR(__xludf.DUMMYFUNCTION("""COMPUTED_VALUE"""),"0202/FTSCY/WS95031 9329700.00 krg 7.5 jt EKO SETIYAWAN")</f>
        <v>0202/FTSCY/WS95031 9329700.00 krg 7.5 jt EKO SETIYAWAN</v>
      </c>
      <c r="D5" s="3">
        <f>IFERROR(__xludf.DUMMYFUNCTION("""COMPUTED_VALUE"""),9329700.0)</f>
        <v>9329700</v>
      </c>
      <c r="E5" s="5"/>
      <c r="F5" s="5" t="str">
        <f>IFERROR(__xludf.DUMMYFUNCTION("""COMPUTED_VALUE"""),"DB")</f>
        <v>DB</v>
      </c>
      <c r="G5" s="3">
        <f>IFERROR(__xludf.DUMMYFUNCTION("""COMPUTED_VALUE"""),191072.46000003815)</f>
        <v>191072.46</v>
      </c>
      <c r="H5" s="5"/>
      <c r="I5" s="5" t="str">
        <f>IFERROR(__xludf.DUMMYFUNCTION("""COMPUTED_VALUE"""),"EXSPEDISI")</f>
        <v>EXSPEDISI</v>
      </c>
      <c r="J5" s="3"/>
    </row>
    <row r="6">
      <c r="A6" s="5">
        <f>IFERROR(__xludf.DUMMYFUNCTION("""COMPUTED_VALUE"""),46056.0)</f>
        <v>46056</v>
      </c>
      <c r="B6" s="5" t="str">
        <f>IFERROR(__xludf.DUMMYFUNCTION("""COMPUTED_VALUE"""),"TRSF E-BANKING DB TANGGAL :02/02")</f>
        <v>TRSF E-BANKING DB TANGGAL :02/02</v>
      </c>
      <c r="C6" s="5" t="str">
        <f>IFERROR(__xludf.DUMMYFUNCTION("""COMPUTED_VALUE"""),"0202/FTSCY/WS95031 HERMAWAN")</f>
        <v>0202/FTSCY/WS95031 HERMAWAN</v>
      </c>
      <c r="D6" s="3">
        <f>IFERROR(__xludf.DUMMYFUNCTION("""COMPUTED_VALUE"""),3065480.0)</f>
        <v>3065480</v>
      </c>
      <c r="E6" s="5"/>
      <c r="F6" s="5" t="str">
        <f>IFERROR(__xludf.DUMMYFUNCTION("""COMPUTED_VALUE"""),"DB")</f>
        <v>DB</v>
      </c>
      <c r="G6" s="3">
        <f>IFERROR(__xludf.DUMMYFUNCTION("""COMPUTED_VALUE"""),6014687.460000038)</f>
        <v>6014687.46</v>
      </c>
      <c r="H6" s="5"/>
      <c r="I6" s="5" t="str">
        <f>IFERROR(__xludf.DUMMYFUNCTION("""COMPUTED_VALUE"""),"EXSPEDISI")</f>
        <v>EXSPEDISI</v>
      </c>
      <c r="J6" s="3"/>
    </row>
    <row r="7">
      <c r="A7" s="5">
        <f>IFERROR(__xludf.DUMMYFUNCTION("""COMPUTED_VALUE"""),46056.0)</f>
        <v>46056</v>
      </c>
      <c r="B7" s="5" t="str">
        <f>IFERROR(__xludf.DUMMYFUNCTION("""COMPUTED_VALUE"""),"TRSF E-BANKING DB TANGGAL :02/02")</f>
        <v>TRSF E-BANKING DB TANGGAL :02/02</v>
      </c>
      <c r="C7" s="5" t="str">
        <f>IFERROR(__xludf.DUMMYFUNCTION("""COMPUTED_VALUE"""),"0202/FTSCY/WS95031 HERMAWAN")</f>
        <v>0202/FTSCY/WS95031 HERMAWAN</v>
      </c>
      <c r="D7" s="3">
        <f>IFERROR(__xludf.DUMMYFUNCTION("""COMPUTED_VALUE"""),424620.0)</f>
        <v>424620</v>
      </c>
      <c r="E7" s="5"/>
      <c r="F7" s="5" t="str">
        <f>IFERROR(__xludf.DUMMYFUNCTION("""COMPUTED_VALUE"""),"DB")</f>
        <v>DB</v>
      </c>
      <c r="G7" s="3">
        <f>IFERROR(__xludf.DUMMYFUNCTION("""COMPUTED_VALUE"""),5590067.460000038)</f>
        <v>5590067.46</v>
      </c>
      <c r="H7" s="5"/>
      <c r="I7" s="5" t="str">
        <f>IFERROR(__xludf.DUMMYFUNCTION("""COMPUTED_VALUE"""),"EXSPEDISI")</f>
        <v>EXSPEDISI</v>
      </c>
      <c r="J7" s="3"/>
    </row>
    <row r="8">
      <c r="A8" s="5">
        <f>IFERROR(__xludf.DUMMYFUNCTION("""COMPUTED_VALUE"""),46056.0)</f>
        <v>46056</v>
      </c>
      <c r="B8" s="5" t="str">
        <f>IFERROR(__xludf.DUMMYFUNCTION("""COMPUTED_VALUE"""),"TRSF E-BANKING DB TANGGAL :02/02")</f>
        <v>TRSF E-BANKING DB TANGGAL :02/02</v>
      </c>
      <c r="C8" s="5" t="str">
        <f>IFERROR(__xludf.DUMMYFUNCTION("""COMPUTED_VALUE"""),"0202/FTSCY/WS95031 mlg lidia MUJIANTO")</f>
        <v>0202/FTSCY/WS95031 mlg lidia MUJIANTO</v>
      </c>
      <c r="D8" s="3">
        <f>IFERROR(__xludf.DUMMYFUNCTION("""COMPUTED_VALUE"""),1973120.0)</f>
        <v>1973120</v>
      </c>
      <c r="E8" s="5"/>
      <c r="F8" s="5" t="str">
        <f>IFERROR(__xludf.DUMMYFUNCTION("""COMPUTED_VALUE"""),"DB")</f>
        <v>DB</v>
      </c>
      <c r="G8" s="3">
        <f>IFERROR(__xludf.DUMMYFUNCTION("""COMPUTED_VALUE"""),3616947.460000038)</f>
        <v>3616947.46</v>
      </c>
      <c r="H8" s="5" t="str">
        <f>IFERROR(__xludf.DUMMYFUNCTION("""COMPUTED_VALUE"""),"3,616,947.46")</f>
        <v>3,616,947.46</v>
      </c>
      <c r="I8" s="5" t="str">
        <f>IFERROR(__xludf.DUMMYFUNCTION("""COMPUTED_VALUE"""),"EXSPEDISI")</f>
        <v>EXSPEDISI</v>
      </c>
      <c r="J8" s="3"/>
    </row>
    <row r="9">
      <c r="A9" s="5">
        <f>IFERROR(__xludf.DUMMYFUNCTION("""COMPUTED_VALUE"""),46057.0)</f>
        <v>46057</v>
      </c>
      <c r="B9" s="5" t="str">
        <f>IFERROR(__xludf.DUMMYFUNCTION("""COMPUTED_VALUE"""),"TRSF E-BANKING DB TANGGAL :03/02")</f>
        <v>TRSF E-BANKING DB TANGGAL :03/02</v>
      </c>
      <c r="C9" s="5" t="str">
        <f>IFERROR(__xludf.DUMMYFUNCTION("""COMPUTED_VALUE"""),"0302/FTSCY/WS95031 krg. 18.850.000 EKO SETIYAWAN")</f>
        <v>0302/FTSCY/WS95031 krg. 18.850.000 EKO SETIYAWAN</v>
      </c>
      <c r="D9" s="3">
        <f>IFERROR(__xludf.DUMMYFUNCTION("""COMPUTED_VALUE"""),2499500.0)</f>
        <v>2499500</v>
      </c>
      <c r="E9" s="5"/>
      <c r="F9" s="5" t="str">
        <f>IFERROR(__xludf.DUMMYFUNCTION("""COMPUTED_VALUE"""),"DB")</f>
        <v>DB</v>
      </c>
      <c r="G9" s="3">
        <f>IFERROR(__xludf.DUMMYFUNCTION("""COMPUTED_VALUE"""),96847.46000003815)</f>
        <v>96847.46</v>
      </c>
      <c r="H9" s="5"/>
      <c r="I9" s="5" t="str">
        <f>IFERROR(__xludf.DUMMYFUNCTION("""COMPUTED_VALUE"""),"EXSPEDISI")</f>
        <v>EXSPEDISI</v>
      </c>
      <c r="J9" s="3"/>
    </row>
    <row r="10">
      <c r="A10" s="5">
        <f>IFERROR(__xludf.DUMMYFUNCTION("""COMPUTED_VALUE"""),46057.0)</f>
        <v>46057</v>
      </c>
      <c r="B10" s="5" t="str">
        <f>IFERROR(__xludf.DUMMYFUNCTION("""COMPUTED_VALUE"""),"TRSF E-BANKING DB")</f>
        <v>TRSF E-BANKING DB</v>
      </c>
      <c r="C10" s="5" t="str">
        <f>IFERROR(__xludf.DUMMYFUNCTION("""COMPUTED_VALUE"""),"0402/FTSCY/WS95031 1842380.00 MUJIANTO")</f>
        <v>0402/FTSCY/WS95031 1842380.00 MUJIANTO</v>
      </c>
      <c r="D10" s="3">
        <f>IFERROR(__xludf.DUMMYFUNCTION("""COMPUTED_VALUE"""),1842380.0)</f>
        <v>1842380</v>
      </c>
      <c r="E10" s="5"/>
      <c r="F10" s="5" t="str">
        <f>IFERROR(__xludf.DUMMYFUNCTION("""COMPUTED_VALUE"""),"DB")</f>
        <v>DB</v>
      </c>
      <c r="G10" s="3">
        <f>IFERROR(__xludf.DUMMYFUNCTION("""COMPUTED_VALUE"""),1.5697679746000004E8)</f>
        <v>156976797.5</v>
      </c>
      <c r="H10" s="5"/>
      <c r="I10" s="5" t="str">
        <f>IFERROR(__xludf.DUMMYFUNCTION("""COMPUTED_VALUE"""),"EXSPEDISI")</f>
        <v>EXSPEDISI</v>
      </c>
      <c r="J10" s="3"/>
    </row>
    <row r="11">
      <c r="A11" s="5">
        <f>IFERROR(__xludf.DUMMYFUNCTION("""COMPUTED_VALUE"""),46057.0)</f>
        <v>46057</v>
      </c>
      <c r="B11" s="5" t="str">
        <f>IFERROR(__xludf.DUMMYFUNCTION("""COMPUTED_VALUE"""),"TRSF E-BANKING DB")</f>
        <v>TRSF E-BANKING DB</v>
      </c>
      <c r="C11" s="5" t="str">
        <f>IFERROR(__xludf.DUMMYFUNCTION("""COMPUTED_VALUE"""),"0402/FTSCY/WS95031 2068840.00 kediri sidoraya HERMAWAN")</f>
        <v>0402/FTSCY/WS95031 2068840.00 kediri sidoraya HERMAWAN</v>
      </c>
      <c r="D11" s="3">
        <f>IFERROR(__xludf.DUMMYFUNCTION("""COMPUTED_VALUE"""),2068840.0)</f>
        <v>2068840</v>
      </c>
      <c r="E11" s="5"/>
      <c r="F11" s="5" t="str">
        <f>IFERROR(__xludf.DUMMYFUNCTION("""COMPUTED_VALUE"""),"DB")</f>
        <v>DB</v>
      </c>
      <c r="G11" s="3">
        <f>IFERROR(__xludf.DUMMYFUNCTION("""COMPUTED_VALUE"""),1.5490795746000004E8)</f>
        <v>154907957.5</v>
      </c>
      <c r="H11" s="5"/>
      <c r="I11" s="5" t="str">
        <f>IFERROR(__xludf.DUMMYFUNCTION("""COMPUTED_VALUE"""),"EXSPEDISI")</f>
        <v>EXSPEDISI</v>
      </c>
      <c r="J11" s="3"/>
    </row>
    <row r="12">
      <c r="A12" s="5">
        <f>IFERROR(__xludf.DUMMYFUNCTION("""COMPUTED_VALUE"""),46057.0)</f>
        <v>46057</v>
      </c>
      <c r="B12" s="5" t="str">
        <f>IFERROR(__xludf.DUMMYFUNCTION("""COMPUTED_VALUE"""),"TRSF E-BANKING DB")</f>
        <v>TRSF E-BANKING DB</v>
      </c>
      <c r="C12" s="5" t="str">
        <f>IFERROR(__xludf.DUMMYFUNCTION("""COMPUTED_VALUE"""),"0402/FTSCY/WS95271 11296400.00 kurang 10 jt EKO SETIYAWAN")</f>
        <v>0402/FTSCY/WS95271 11296400.00 kurang 10 jt EKO SETIYAWAN</v>
      </c>
      <c r="D12" s="3">
        <f>IFERROR(__xludf.DUMMYFUNCTION("""COMPUTED_VALUE"""),1.12964E7)</f>
        <v>11296400</v>
      </c>
      <c r="E12" s="5"/>
      <c r="F12" s="5" t="str">
        <f>IFERROR(__xludf.DUMMYFUNCTION("""COMPUTED_VALUE"""),"DB")</f>
        <v>DB</v>
      </c>
      <c r="G12" s="3">
        <f>IFERROR(__xludf.DUMMYFUNCTION("""COMPUTED_VALUE"""),1.4336155746000004E8)</f>
        <v>143361557.5</v>
      </c>
      <c r="H12" s="5" t="str">
        <f>IFERROR(__xludf.DUMMYFUNCTION("""COMPUTED_VALUE"""),"143,361,557.46")</f>
        <v>143,361,557.46</v>
      </c>
      <c r="I12" s="5" t="str">
        <f>IFERROR(__xludf.DUMMYFUNCTION("""COMPUTED_VALUE"""),"EXSPEDISI")</f>
        <v>EXSPEDISI</v>
      </c>
      <c r="J12" s="3"/>
    </row>
    <row r="13">
      <c r="A13" s="5">
        <f>IFERROR(__xludf.DUMMYFUNCTION("""COMPUTED_VALUE"""),46059.0)</f>
        <v>46059</v>
      </c>
      <c r="B13" s="5" t="str">
        <f>IFERROR(__xludf.DUMMYFUNCTION("""COMPUTED_VALUE"""),"TRSF E-BANKING DB")</f>
        <v>TRSF E-BANKING DB</v>
      </c>
      <c r="C13" s="5" t="str">
        <f>IFERROR(__xludf.DUMMYFUNCTION("""COMPUTED_VALUE"""),"0602/FTSCY/WS95031 2620000.00 DIDIET SULISTYAWAN")</f>
        <v>0602/FTSCY/WS95031 2620000.00 DIDIET SULISTYAWAN</v>
      </c>
      <c r="D13" s="3">
        <f>IFERROR(__xludf.DUMMYFUNCTION("""COMPUTED_VALUE"""),2620000.0)</f>
        <v>2620000</v>
      </c>
      <c r="E13" s="5"/>
      <c r="F13" s="5" t="str">
        <f>IFERROR(__xludf.DUMMYFUNCTION("""COMPUTED_VALUE"""),"DB")</f>
        <v>DB</v>
      </c>
      <c r="G13" s="3">
        <f>IFERROR(__xludf.DUMMYFUNCTION("""COMPUTED_VALUE"""),1.9351331746000004E8)</f>
        <v>193513317.5</v>
      </c>
      <c r="H13" s="5"/>
      <c r="I13" s="5" t="str">
        <f>IFERROR(__xludf.DUMMYFUNCTION("""COMPUTED_VALUE"""),"EXSPEDISI")</f>
        <v>EXSPEDISI</v>
      </c>
      <c r="J13" s="3"/>
    </row>
    <row r="14">
      <c r="A14" s="5">
        <f>IFERROR(__xludf.DUMMYFUNCTION("""COMPUTED_VALUE"""),46061.0)</f>
        <v>46061</v>
      </c>
      <c r="B14" s="5" t="str">
        <f>IFERROR(__xludf.DUMMYFUNCTION("""COMPUTED_VALUE"""),"TRSF E-BANKING DB TANGGAL :07/02")</f>
        <v>TRSF E-BANKING DB TANGGAL :07/02</v>
      </c>
      <c r="C14" s="5" t="str">
        <f>IFERROR(__xludf.DUMMYFUNCTION("""COMPUTED_VALUE"""),"0702/FTSCY/WS95031 MUJIANTO")</f>
        <v>0702/FTSCY/WS95031 MUJIANTO</v>
      </c>
      <c r="D14" s="3">
        <f>IFERROR(__xludf.DUMMYFUNCTION("""COMPUTED_VALUE"""),728010.0)</f>
        <v>728010</v>
      </c>
      <c r="E14" s="5"/>
      <c r="F14" s="5" t="str">
        <f>IFERROR(__xludf.DUMMYFUNCTION("""COMPUTED_VALUE"""),"DB")</f>
        <v>DB</v>
      </c>
      <c r="G14" s="3">
        <f>IFERROR(__xludf.DUMMYFUNCTION("""COMPUTED_VALUE"""),649927.4600000381)</f>
        <v>649927.46</v>
      </c>
      <c r="H14" s="5"/>
      <c r="I14" s="5" t="str">
        <f>IFERROR(__xludf.DUMMYFUNCTION("""COMPUTED_VALUE"""),"EXSPEDISI")</f>
        <v>EXSPEDISI</v>
      </c>
      <c r="J14" s="3"/>
    </row>
    <row r="15">
      <c r="A15" s="5">
        <f>IFERROR(__xludf.DUMMYFUNCTION("""COMPUTED_VALUE"""),46061.0)</f>
        <v>46061</v>
      </c>
      <c r="B15" s="5" t="str">
        <f>IFERROR(__xludf.DUMMYFUNCTION("""COMPUTED_VALUE"""),"TRSF E-BANKING DB TANGGAL :07/02")</f>
        <v>TRSF E-BANKING DB TANGGAL :07/02</v>
      </c>
      <c r="C15" s="5" t="str">
        <f>IFERROR(__xludf.DUMMYFUNCTION("""COMPUTED_VALUE"""),"0702/FTSCY/WS95031 krg 18,4 jt EKO SETIYAWAN")</f>
        <v>0702/FTSCY/WS95031 krg 18,4 jt EKO SETIYAWAN</v>
      </c>
      <c r="D15" s="3">
        <f>IFERROR(__xludf.DUMMYFUNCTION("""COMPUTED_VALUE"""),578800.0)</f>
        <v>578800</v>
      </c>
      <c r="E15" s="5"/>
      <c r="F15" s="5" t="str">
        <f>IFERROR(__xludf.DUMMYFUNCTION("""COMPUTED_VALUE"""),"DB")</f>
        <v>DB</v>
      </c>
      <c r="G15" s="3">
        <f>IFERROR(__xludf.DUMMYFUNCTION("""COMPUTED_VALUE"""),71127.46000003815)</f>
        <v>71127.46</v>
      </c>
      <c r="H15" s="5"/>
      <c r="I15" s="5" t="str">
        <f>IFERROR(__xludf.DUMMYFUNCTION("""COMPUTED_VALUE"""),"EXSPEDISI")</f>
        <v>EXSPEDISI</v>
      </c>
      <c r="J15" s="3"/>
    </row>
    <row r="16">
      <c r="A16" s="5">
        <f>IFERROR(__xludf.DUMMYFUNCTION("""COMPUTED_VALUE"""),46061.0)</f>
        <v>46061</v>
      </c>
      <c r="B16" s="5" t="str">
        <f>IFERROR(__xludf.DUMMYFUNCTION("""COMPUTED_VALUE"""),"TRSF E-BANKING DB")</f>
        <v>TRSF E-BANKING DB</v>
      </c>
      <c r="C16" s="5" t="str">
        <f>IFERROR(__xludf.DUMMYFUNCTION("""COMPUTED_VALUE"""),"0802/FTSCY/WS95031 5000000.00 EKO SETIYAWAN")</f>
        <v>0802/FTSCY/WS95031 5000000.00 EKO SETIYAWAN</v>
      </c>
      <c r="D16" s="3">
        <f>IFERROR(__xludf.DUMMYFUNCTION("""COMPUTED_VALUE"""),5000000.0)</f>
        <v>5000000</v>
      </c>
      <c r="E16" s="5"/>
      <c r="F16" s="5" t="str">
        <f>IFERROR(__xludf.DUMMYFUNCTION("""COMPUTED_VALUE"""),"DB")</f>
        <v>DB</v>
      </c>
      <c r="G16" s="3">
        <f>IFERROR(__xludf.DUMMYFUNCTION("""COMPUTED_VALUE"""),6.4754791646E8)</f>
        <v>647547916.5</v>
      </c>
      <c r="H16" s="5"/>
      <c r="I16" s="5" t="str">
        <f>IFERROR(__xludf.DUMMYFUNCTION("""COMPUTED_VALUE"""),"EXSPEDISI")</f>
        <v>EXSPEDISI</v>
      </c>
      <c r="J16" s="3"/>
    </row>
    <row r="17">
      <c r="A17" s="5">
        <f>IFERROR(__xludf.DUMMYFUNCTION("""COMPUTED_VALUE"""),46062.0)</f>
        <v>46062</v>
      </c>
      <c r="B17" s="5" t="str">
        <f>IFERROR(__xludf.DUMMYFUNCTION("""COMPUTED_VALUE"""),"TRSF E-BANKING DB")</f>
        <v>TRSF E-BANKING DB</v>
      </c>
      <c r="C17" s="5" t="str">
        <f>IFERROR(__xludf.DUMMYFUNCTION("""COMPUTED_VALUE"""),"0902/FTSCY/WS95031 2683570.00 HERMAWAN")</f>
        <v>0902/FTSCY/WS95031 2683570.00 HERMAWAN</v>
      </c>
      <c r="D17" s="3">
        <f>IFERROR(__xludf.DUMMYFUNCTION("""COMPUTED_VALUE"""),2683570.0)</f>
        <v>2683570</v>
      </c>
      <c r="E17" s="5"/>
      <c r="F17" s="5" t="str">
        <f>IFERROR(__xludf.DUMMYFUNCTION("""COMPUTED_VALUE"""),"DB")</f>
        <v>DB</v>
      </c>
      <c r="G17" s="3">
        <f>IFERROR(__xludf.DUMMYFUNCTION("""COMPUTED_VALUE"""),2.213710646000004E7)</f>
        <v>22137106.46</v>
      </c>
      <c r="H17" s="5"/>
      <c r="I17" s="5" t="str">
        <f>IFERROR(__xludf.DUMMYFUNCTION("""COMPUTED_VALUE"""),"EXSPEDISI")</f>
        <v>EXSPEDISI</v>
      </c>
      <c r="J17" s="3"/>
    </row>
    <row r="18">
      <c r="A18" s="5">
        <f>IFERROR(__xludf.DUMMYFUNCTION("""COMPUTED_VALUE"""),46062.0)</f>
        <v>46062</v>
      </c>
      <c r="B18" s="5" t="str">
        <f>IFERROR(__xludf.DUMMYFUNCTION("""COMPUTED_VALUE"""),"TRSF E-BANKING DB")</f>
        <v>TRSF E-BANKING DB</v>
      </c>
      <c r="C18" s="5" t="str">
        <f>IFERROR(__xludf.DUMMYFUNCTION("""COMPUTED_VALUE"""),"0902/FTSCY/WS95031 200000.00 HERMAWAN")</f>
        <v>0902/FTSCY/WS95031 200000.00 HERMAWAN</v>
      </c>
      <c r="D18" s="3">
        <f>IFERROR(__xludf.DUMMYFUNCTION("""COMPUTED_VALUE"""),200000.0)</f>
        <v>200000</v>
      </c>
      <c r="E18" s="5"/>
      <c r="F18" s="5" t="str">
        <f>IFERROR(__xludf.DUMMYFUNCTION("""COMPUTED_VALUE"""),"DB")</f>
        <v>DB</v>
      </c>
      <c r="G18" s="3">
        <f>IFERROR(__xludf.DUMMYFUNCTION("""COMPUTED_VALUE"""),2.193710646000004E7)</f>
        <v>21937106.46</v>
      </c>
      <c r="H18" s="5"/>
      <c r="I18" s="5" t="str">
        <f>IFERROR(__xludf.DUMMYFUNCTION("""COMPUTED_VALUE"""),"EXSPEDISI")</f>
        <v>EXSPEDISI</v>
      </c>
      <c r="J18" s="3"/>
    </row>
    <row r="19">
      <c r="A19" s="5">
        <f>IFERROR(__xludf.DUMMYFUNCTION("""COMPUTED_VALUE"""),46062.0)</f>
        <v>46062</v>
      </c>
      <c r="B19" s="5" t="str">
        <f>IFERROR(__xludf.DUMMYFUNCTION("""COMPUTED_VALUE"""),"TRSF E-BANKING DB")</f>
        <v>TRSF E-BANKING DB</v>
      </c>
      <c r="C19" s="5" t="str">
        <f>IFERROR(__xludf.DUMMYFUNCTION("""COMPUTED_VALUE"""),"0902/FTSCY/WS95031 1552860.00 pasuruan lidia MUJIANTO")</f>
        <v>0902/FTSCY/WS95031 1552860.00 pasuruan lidia MUJIANTO</v>
      </c>
      <c r="D19" s="3">
        <f>IFERROR(__xludf.DUMMYFUNCTION("""COMPUTED_VALUE"""),1552860.0)</f>
        <v>1552860</v>
      </c>
      <c r="E19" s="5"/>
      <c r="F19" s="5" t="str">
        <f>IFERROR(__xludf.DUMMYFUNCTION("""COMPUTED_VALUE"""),"DB")</f>
        <v>DB</v>
      </c>
      <c r="G19" s="3">
        <f>IFERROR(__xludf.DUMMYFUNCTION("""COMPUTED_VALUE"""),1.6769426460000038E7)</f>
        <v>16769426.46</v>
      </c>
      <c r="H19" s="5"/>
      <c r="I19" s="5" t="str">
        <f>IFERROR(__xludf.DUMMYFUNCTION("""COMPUTED_VALUE"""),"EXSPEDISI")</f>
        <v>EXSPEDISI</v>
      </c>
      <c r="J19" s="3"/>
    </row>
    <row r="20">
      <c r="A20" s="5">
        <f>IFERROR(__xludf.DUMMYFUNCTION("""COMPUTED_VALUE"""),46063.0)</f>
        <v>46063</v>
      </c>
      <c r="B20" s="5" t="str">
        <f>IFERROR(__xludf.DUMMYFUNCTION("""COMPUTED_VALUE"""),"TRSF E-BANKING DB")</f>
        <v>TRSF E-BANKING DB</v>
      </c>
      <c r="C20" s="5" t="str">
        <f>IFERROR(__xludf.DUMMYFUNCTION("""COMPUTED_VALUE"""),"1002/FTSCY/WS95031 18331700.00 krg 10 jt EKO SETIYAWAN")</f>
        <v>1002/FTSCY/WS95031 18331700.00 krg 10 jt EKO SETIYAWAN</v>
      </c>
      <c r="D20" s="3">
        <f>IFERROR(__xludf.DUMMYFUNCTION("""COMPUTED_VALUE"""),1.83317E7)</f>
        <v>18331700</v>
      </c>
      <c r="E20" s="5"/>
      <c r="F20" s="5" t="str">
        <f>IFERROR(__xludf.DUMMYFUNCTION("""COMPUTED_VALUE"""),"DB")</f>
        <v>DB</v>
      </c>
      <c r="G20" s="3">
        <f>IFERROR(__xludf.DUMMYFUNCTION("""COMPUTED_VALUE"""),5.2785410646000004E8)</f>
        <v>527854106.5</v>
      </c>
      <c r="H20" s="5" t="str">
        <f>IFERROR(__xludf.DUMMYFUNCTION("""COMPUTED_VALUE"""),"527,854,106.46")</f>
        <v>527,854,106.46</v>
      </c>
      <c r="I20" s="5" t="str">
        <f>IFERROR(__xludf.DUMMYFUNCTION("""COMPUTED_VALUE"""),"EXSPEDISI")</f>
        <v>EXSPEDISI</v>
      </c>
      <c r="J20" s="3"/>
    </row>
    <row r="21">
      <c r="A21" s="5">
        <f>IFERROR(__xludf.DUMMYFUNCTION("""COMPUTED_VALUE"""),46064.0)</f>
        <v>46064</v>
      </c>
      <c r="B21" s="5" t="str">
        <f>IFERROR(__xludf.DUMMYFUNCTION("""COMPUTED_VALUE"""),"TRSF E-BANKING DB")</f>
        <v>TRSF E-BANKING DB</v>
      </c>
      <c r="C21" s="5" t="str">
        <f>IFERROR(__xludf.DUMMYFUNCTION("""COMPUTED_VALUE"""),"1102/FTSCY/WS95031 3431890.00 lunas sragen pasur uan lidia HERMAWAN")</f>
        <v>1102/FTSCY/WS95031 3431890.00 lunas sragen pasur uan lidia HERMAWAN</v>
      </c>
      <c r="D21" s="3">
        <f>IFERROR(__xludf.DUMMYFUNCTION("""COMPUTED_VALUE"""),3431890.0)</f>
        <v>3431890</v>
      </c>
      <c r="E21" s="5"/>
      <c r="F21" s="5" t="str">
        <f>IFERROR(__xludf.DUMMYFUNCTION("""COMPUTED_VALUE"""),"DB")</f>
        <v>DB</v>
      </c>
      <c r="G21" s="3">
        <f>IFERROR(__xludf.DUMMYFUNCTION("""COMPUTED_VALUE"""),1.1551536460000038E7)</f>
        <v>11551536.46</v>
      </c>
      <c r="H21" s="5"/>
      <c r="I21" s="5" t="str">
        <f>IFERROR(__xludf.DUMMYFUNCTION("""COMPUTED_VALUE"""),"EXSPEDISI")</f>
        <v>EXSPEDISI</v>
      </c>
      <c r="J21" s="3"/>
    </row>
    <row r="22">
      <c r="A22" s="5">
        <f>IFERROR(__xludf.DUMMYFUNCTION("""COMPUTED_VALUE"""),46064.0)</f>
        <v>46064</v>
      </c>
      <c r="B22" s="5" t="str">
        <f>IFERROR(__xludf.DUMMYFUNCTION("""COMPUTED_VALUE"""),"TRSF E-BANKING DB")</f>
        <v>TRSF E-BANKING DB</v>
      </c>
      <c r="C22" s="5" t="str">
        <f>IFERROR(__xludf.DUMMYFUNCTION("""COMPUTED_VALUE"""),"1102/FTSCY/WS95031 2665550.00 MUJIANTO")</f>
        <v>1102/FTSCY/WS95031 2665550.00 MUJIANTO</v>
      </c>
      <c r="D22" s="3">
        <f>IFERROR(__xludf.DUMMYFUNCTION("""COMPUTED_VALUE"""),2665550.0)</f>
        <v>2665550</v>
      </c>
      <c r="E22" s="5"/>
      <c r="F22" s="5" t="str">
        <f>IFERROR(__xludf.DUMMYFUNCTION("""COMPUTED_VALUE"""),"DB")</f>
        <v>DB</v>
      </c>
      <c r="G22" s="3">
        <f>IFERROR(__xludf.DUMMYFUNCTION("""COMPUTED_VALUE"""),8885986.460000038)</f>
        <v>8885986.46</v>
      </c>
      <c r="H22" s="5"/>
      <c r="I22" s="5" t="str">
        <f>IFERROR(__xludf.DUMMYFUNCTION("""COMPUTED_VALUE"""),"EXSPEDISI")</f>
        <v>EXSPEDISI</v>
      </c>
      <c r="J22" s="3"/>
    </row>
    <row r="23">
      <c r="A23" s="5">
        <f>IFERROR(__xludf.DUMMYFUNCTION("""COMPUTED_VALUE"""),46065.0)</f>
        <v>46065</v>
      </c>
      <c r="B23" s="5" t="str">
        <f>IFERROR(__xludf.DUMMYFUNCTION("""COMPUTED_VALUE"""),"TRSF E-BANKING DB")</f>
        <v>TRSF E-BANKING DB</v>
      </c>
      <c r="C23" s="5" t="str">
        <f>IFERROR(__xludf.DUMMYFUNCTION("""COMPUTED_VALUE"""),"1202/FTSCY/WS95031 2062770.00 HERMAWAN")</f>
        <v>1202/FTSCY/WS95031 2062770.00 HERMAWAN</v>
      </c>
      <c r="D23" s="3">
        <f>IFERROR(__xludf.DUMMYFUNCTION("""COMPUTED_VALUE"""),2062770.0)</f>
        <v>2062770</v>
      </c>
      <c r="E23" s="5"/>
      <c r="F23" s="5" t="str">
        <f>IFERROR(__xludf.DUMMYFUNCTION("""COMPUTED_VALUE"""),"DB")</f>
        <v>DB</v>
      </c>
      <c r="G23" s="3">
        <f>IFERROR(__xludf.DUMMYFUNCTION("""COMPUTED_VALUE"""),6.597138146000004E7)</f>
        <v>65971381.46</v>
      </c>
      <c r="H23" s="5"/>
      <c r="I23" s="5" t="str">
        <f>IFERROR(__xludf.DUMMYFUNCTION("""COMPUTED_VALUE"""),"EXSPEDISI")</f>
        <v>EXSPEDISI</v>
      </c>
      <c r="J23" s="3"/>
    </row>
    <row r="24">
      <c r="A24" s="5">
        <f>IFERROR(__xludf.DUMMYFUNCTION("""COMPUTED_VALUE"""),46065.0)</f>
        <v>46065</v>
      </c>
      <c r="B24" s="5" t="str">
        <f>IFERROR(__xludf.DUMMYFUNCTION("""COMPUTED_VALUE"""),"TRSF E-BANKING DB")</f>
        <v>TRSF E-BANKING DB</v>
      </c>
      <c r="C24" s="5" t="str">
        <f>IFERROR(__xludf.DUMMYFUNCTION("""COMPUTED_VALUE"""),"1202/FTSCY/WS95031 550000.00 MUJIANTO")</f>
        <v>1202/FTSCY/WS95031 550000.00 MUJIANTO</v>
      </c>
      <c r="D24" s="3">
        <f>IFERROR(__xludf.DUMMYFUNCTION("""COMPUTED_VALUE"""),550000.0)</f>
        <v>550000</v>
      </c>
      <c r="E24" s="5"/>
      <c r="F24" s="5" t="str">
        <f>IFERROR(__xludf.DUMMYFUNCTION("""COMPUTED_VALUE"""),"DB")</f>
        <v>DB</v>
      </c>
      <c r="G24" s="3">
        <f>IFERROR(__xludf.DUMMYFUNCTION("""COMPUTED_VALUE"""),6.542138146000004E7)</f>
        <v>65421381.46</v>
      </c>
      <c r="H24" s="5"/>
      <c r="I24" s="5" t="str">
        <f>IFERROR(__xludf.DUMMYFUNCTION("""COMPUTED_VALUE"""),"EXSPEDISI")</f>
        <v>EXSPEDISI</v>
      </c>
      <c r="J24" s="3"/>
    </row>
    <row r="25">
      <c r="A25" s="5">
        <f>IFERROR(__xludf.DUMMYFUNCTION("""COMPUTED_VALUE"""),46065.0)</f>
        <v>46065</v>
      </c>
      <c r="B25" s="5" t="str">
        <f>IFERROR(__xludf.DUMMYFUNCTION("""COMPUTED_VALUE"""),"TRSF E-BANKING DB")</f>
        <v>TRSF E-BANKING DB</v>
      </c>
      <c r="C25" s="5" t="str">
        <f>IFERROR(__xludf.DUMMYFUNCTION("""COMPUTED_VALUE"""),"1202/FTSCY/WS95031 14063300.00 krg 15 EKO SETIYAWAN")</f>
        <v>1202/FTSCY/WS95031 14063300.00 krg 15 EKO SETIYAWAN</v>
      </c>
      <c r="D25" s="3">
        <f>IFERROR(__xludf.DUMMYFUNCTION("""COMPUTED_VALUE"""),1.40633E7)</f>
        <v>14063300</v>
      </c>
      <c r="E25" s="5"/>
      <c r="F25" s="5" t="str">
        <f>IFERROR(__xludf.DUMMYFUNCTION("""COMPUTED_VALUE"""),"DB")</f>
        <v>DB</v>
      </c>
      <c r="G25" s="3">
        <f>IFERROR(__xludf.DUMMYFUNCTION("""COMPUTED_VALUE"""),5.135808146000004E7)</f>
        <v>51358081.46</v>
      </c>
      <c r="H25" s="5" t="str">
        <f>IFERROR(__xludf.DUMMYFUNCTION("""COMPUTED_VALUE"""),"51,358,081.46")</f>
        <v>51,358,081.46</v>
      </c>
      <c r="I25" s="5" t="str">
        <f>IFERROR(__xludf.DUMMYFUNCTION("""COMPUTED_VALUE"""),"EXSPEDISI")</f>
        <v>EXSPEDISI</v>
      </c>
      <c r="J25" s="3"/>
    </row>
    <row r="26">
      <c r="A26" s="5">
        <f>IFERROR(__xludf.DUMMYFUNCTION("""COMPUTED_VALUE"""),46067.0)</f>
        <v>46067</v>
      </c>
      <c r="B26" s="5" t="str">
        <f>IFERROR(__xludf.DUMMYFUNCTION("""COMPUTED_VALUE"""),"TRSF E-BANKING DB")</f>
        <v>TRSF E-BANKING DB</v>
      </c>
      <c r="C26" s="5" t="str">
        <f>IFERROR(__xludf.DUMMYFUNCTION("""COMPUTED_VALUE"""),"1402/FTSCY/WS95031 2440340.00 blitar sidoraya MUJIANTO")</f>
        <v>1402/FTSCY/WS95031 2440340.00 blitar sidoraya MUJIANTO</v>
      </c>
      <c r="D26" s="3">
        <f>IFERROR(__xludf.DUMMYFUNCTION("""COMPUTED_VALUE"""),2440340.0)</f>
        <v>2440340</v>
      </c>
      <c r="E26" s="5"/>
      <c r="F26" s="5" t="str">
        <f>IFERROR(__xludf.DUMMYFUNCTION("""COMPUTED_VALUE"""),"DB")</f>
        <v>DB</v>
      </c>
      <c r="G26" s="3">
        <f>IFERROR(__xludf.DUMMYFUNCTION("""COMPUTED_VALUE"""),1.3545546146000004E8)</f>
        <v>135455461.5</v>
      </c>
      <c r="H26" s="5"/>
      <c r="I26" s="5" t="str">
        <f>IFERROR(__xludf.DUMMYFUNCTION("""COMPUTED_VALUE"""),"EXSPEDISI")</f>
        <v>EXSPEDISI</v>
      </c>
      <c r="J26" s="3"/>
    </row>
    <row r="27">
      <c r="A27" s="5">
        <f>IFERROR(__xludf.DUMMYFUNCTION("""COMPUTED_VALUE"""),46067.0)</f>
        <v>46067</v>
      </c>
      <c r="B27" s="5" t="str">
        <f>IFERROR(__xludf.DUMMYFUNCTION("""COMPUTED_VALUE"""),"TRSF E-BANKING DB")</f>
        <v>TRSF E-BANKING DB</v>
      </c>
      <c r="C27" s="5" t="str">
        <f>IFERROR(__xludf.DUMMYFUNCTION("""COMPUTED_VALUE"""),"1402/FTSCY/WS95031 2579700.00 HERMAWAN")</f>
        <v>1402/FTSCY/WS95031 2579700.00 HERMAWAN</v>
      </c>
      <c r="D27" s="3">
        <f>IFERROR(__xludf.DUMMYFUNCTION("""COMPUTED_VALUE"""),2579700.0)</f>
        <v>2579700</v>
      </c>
      <c r="E27" s="5"/>
      <c r="F27" s="5" t="str">
        <f>IFERROR(__xludf.DUMMYFUNCTION("""COMPUTED_VALUE"""),"DB")</f>
        <v>DB</v>
      </c>
      <c r="G27" s="3">
        <f>IFERROR(__xludf.DUMMYFUNCTION("""COMPUTED_VALUE"""),1.3287576146000004E8)</f>
        <v>132875761.5</v>
      </c>
      <c r="H27" s="5"/>
      <c r="I27" s="5" t="str">
        <f>IFERROR(__xludf.DUMMYFUNCTION("""COMPUTED_VALUE"""),"EXSPEDISI")</f>
        <v>EXSPEDISI</v>
      </c>
      <c r="J27" s="3"/>
    </row>
    <row r="28">
      <c r="A28" s="5">
        <f>IFERROR(__xludf.DUMMYFUNCTION("""COMPUTED_VALUE"""),46068.0)</f>
        <v>46068</v>
      </c>
      <c r="B28" s="5" t="str">
        <f>IFERROR(__xludf.DUMMYFUNCTION("""COMPUTED_VALUE"""),"TRSF E-BANKING DB")</f>
        <v>TRSF E-BANKING DB</v>
      </c>
      <c r="C28" s="5" t="str">
        <f>IFERROR(__xludf.DUMMYFUNCTION("""COMPUTED_VALUE"""),"1502/FTSCY/WS95031 2152200.00 HERMAWAN")</f>
        <v>1502/FTSCY/WS95031 2152200.00 HERMAWAN</v>
      </c>
      <c r="D28" s="3">
        <f>IFERROR(__xludf.DUMMYFUNCTION("""COMPUTED_VALUE"""),2152200.0)</f>
        <v>2152200</v>
      </c>
      <c r="E28" s="5"/>
      <c r="F28" s="5" t="str">
        <f>IFERROR(__xludf.DUMMYFUNCTION("""COMPUTED_VALUE"""),"DB")</f>
        <v>DB</v>
      </c>
      <c r="G28" s="3">
        <f>IFERROR(__xludf.DUMMYFUNCTION("""COMPUTED_VALUE"""),7.149374146000004E7)</f>
        <v>71493741.46</v>
      </c>
      <c r="H28" s="5"/>
      <c r="I28" s="5" t="str">
        <f>IFERROR(__xludf.DUMMYFUNCTION("""COMPUTED_VALUE"""),"EXSPEDISI")</f>
        <v>EXSPEDISI</v>
      </c>
      <c r="J28" s="3"/>
    </row>
    <row r="29">
      <c r="A29" s="5">
        <f>IFERROR(__xludf.DUMMYFUNCTION("""COMPUTED_VALUE"""),46068.0)</f>
        <v>46068</v>
      </c>
      <c r="B29" s="5" t="str">
        <f>IFERROR(__xludf.DUMMYFUNCTION("""COMPUTED_VALUE"""),"TRSF E-BANKING DB")</f>
        <v>TRSF E-BANKING DB</v>
      </c>
      <c r="C29" s="5" t="str">
        <f>IFERROR(__xludf.DUMMYFUNCTION("""COMPUTED_VALUE"""),"1502/FTSCY/WS95031 1612950.00 blitar sidoraya MUJIANTO")</f>
        <v>1502/FTSCY/WS95031 1612950.00 blitar sidoraya MUJIANTO</v>
      </c>
      <c r="D29" s="3">
        <f>IFERROR(__xludf.DUMMYFUNCTION("""COMPUTED_VALUE"""),1612950.0)</f>
        <v>1612950</v>
      </c>
      <c r="E29" s="5"/>
      <c r="F29" s="5" t="str">
        <f>IFERROR(__xludf.DUMMYFUNCTION("""COMPUTED_VALUE"""),"DB")</f>
        <v>DB</v>
      </c>
      <c r="G29" s="3">
        <f>IFERROR(__xludf.DUMMYFUNCTION("""COMPUTED_VALUE"""),6.988079146000004E7)</f>
        <v>69880791.46</v>
      </c>
      <c r="H29" s="5" t="str">
        <f>IFERROR(__xludf.DUMMYFUNCTION("""COMPUTED_VALUE"""),"69,880,791.46")</f>
        <v>69,880,791.46</v>
      </c>
      <c r="I29" s="5" t="str">
        <f>IFERROR(__xludf.DUMMYFUNCTION("""COMPUTED_VALUE"""),"EXSPEDISI")</f>
        <v>EXSPEDISI</v>
      </c>
      <c r="J29" s="3"/>
    </row>
    <row r="30">
      <c r="A30" s="5">
        <f>IFERROR(__xludf.DUMMYFUNCTION("""COMPUTED_VALUE"""),46070.0)</f>
        <v>46070</v>
      </c>
      <c r="B30" s="5" t="str">
        <f>IFERROR(__xludf.DUMMYFUNCTION("""COMPUTED_VALUE"""),"TRSF E-BANKING DB TANGGAL :16/02")</f>
        <v>TRSF E-BANKING DB TANGGAL :16/02</v>
      </c>
      <c r="C30" s="5" t="str">
        <f>IFERROR(__xludf.DUMMYFUNCTION("""COMPUTED_VALUE"""),"1602/FTSCY/WS95271 krg 15 jt EKO SETIYAWAN")</f>
        <v>1602/FTSCY/WS95271 krg 15 jt EKO SETIYAWAN</v>
      </c>
      <c r="D30" s="3">
        <f>IFERROR(__xludf.DUMMYFUNCTION("""COMPUTED_VALUE"""),1.11975E7)</f>
        <v>11197500</v>
      </c>
      <c r="E30" s="5"/>
      <c r="F30" s="5" t="str">
        <f>IFERROR(__xludf.DUMMYFUNCTION("""COMPUTED_VALUE"""),"DB")</f>
        <v>DB</v>
      </c>
      <c r="G30" s="3">
        <f>IFERROR(__xludf.DUMMYFUNCTION("""COMPUTED_VALUE"""),2.6692635146000004E8)</f>
        <v>266926351.5</v>
      </c>
      <c r="H30" s="5"/>
      <c r="I30" s="5" t="str">
        <f>IFERROR(__xludf.DUMMYFUNCTION("""COMPUTED_VALUE"""),"EXSPEDISI")</f>
        <v>EXSPEDISI</v>
      </c>
      <c r="J30" s="3"/>
    </row>
    <row r="31">
      <c r="A31" s="5">
        <f>IFERROR(__xludf.DUMMYFUNCTION("""COMPUTED_VALUE"""),46070.0)</f>
        <v>46070</v>
      </c>
      <c r="B31" s="5" t="str">
        <f>IFERROR(__xludf.DUMMYFUNCTION("""COMPUTED_VALUE"""),"TRSF E-BANKING DB TANGGAL :16/02")</f>
        <v>TRSF E-BANKING DB TANGGAL :16/02</v>
      </c>
      <c r="C31" s="5" t="str">
        <f>IFERROR(__xludf.DUMMYFUNCTION("""COMPUTED_VALUE"""),"1602/FTSCY/WS95271 mlg sidoraya MUJIANTO")</f>
        <v>1602/FTSCY/WS95271 mlg sidoraya MUJIANTO</v>
      </c>
      <c r="D31" s="3">
        <f>IFERROR(__xludf.DUMMYFUNCTION("""COMPUTED_VALUE"""),1857200.0)</f>
        <v>1857200</v>
      </c>
      <c r="E31" s="5"/>
      <c r="F31" s="5" t="str">
        <f>IFERROR(__xludf.DUMMYFUNCTION("""COMPUTED_VALUE"""),"DB")</f>
        <v>DB</v>
      </c>
      <c r="G31" s="3">
        <f>IFERROR(__xludf.DUMMYFUNCTION("""COMPUTED_VALUE"""),1.7361915146000004E8)</f>
        <v>173619151.5</v>
      </c>
      <c r="H31" s="5" t="str">
        <f>IFERROR(__xludf.DUMMYFUNCTION("""COMPUTED_VALUE"""),"173,619,151.46")</f>
        <v>173,619,151.46</v>
      </c>
      <c r="I31" s="5" t="str">
        <f>IFERROR(__xludf.DUMMYFUNCTION("""COMPUTED_VALUE"""),"EXSPEDISI")</f>
        <v>EXSPEDISI</v>
      </c>
      <c r="J31" s="3"/>
    </row>
    <row r="32">
      <c r="A32" s="5">
        <f>IFERROR(__xludf.DUMMYFUNCTION("""COMPUTED_VALUE"""),46070.0)</f>
        <v>46070</v>
      </c>
      <c r="B32" s="5" t="str">
        <f>IFERROR(__xludf.DUMMYFUNCTION("""COMPUTED_VALUE"""),"TRSF E-BANKING DB TANGGAL :16/02")</f>
        <v>TRSF E-BANKING DB TANGGAL :16/02</v>
      </c>
      <c r="C32" s="5" t="str">
        <f>IFERROR(__xludf.DUMMYFUNCTION("""COMPUTED_VALUE"""),"1602/FTSCY/WS95271 mlg sidoraya HERMAWAN")</f>
        <v>1602/FTSCY/WS95271 mlg sidoraya HERMAWAN</v>
      </c>
      <c r="D32" s="3">
        <f>IFERROR(__xludf.DUMMYFUNCTION("""COMPUTED_VALUE"""),2031490.0)</f>
        <v>2031490</v>
      </c>
      <c r="E32" s="5"/>
      <c r="F32" s="5" t="str">
        <f>IFERROR(__xludf.DUMMYFUNCTION("""COMPUTED_VALUE"""),"DB")</f>
        <v>DB</v>
      </c>
      <c r="G32" s="3">
        <f>IFERROR(__xludf.DUMMYFUNCTION("""COMPUTED_VALUE"""),1.7158766146000004E8)</f>
        <v>171587661.5</v>
      </c>
      <c r="H32" s="5"/>
      <c r="I32" s="5" t="str">
        <f>IFERROR(__xludf.DUMMYFUNCTION("""COMPUTED_VALUE"""),"EXSPEDISI")</f>
        <v>EXSPEDISI</v>
      </c>
      <c r="J32" s="3"/>
    </row>
    <row r="33">
      <c r="A33" s="5">
        <f>IFERROR(__xludf.DUMMYFUNCTION("""COMPUTED_VALUE"""),46072.0)</f>
        <v>46072</v>
      </c>
      <c r="B33" s="5" t="str">
        <f>IFERROR(__xludf.DUMMYFUNCTION("""COMPUTED_VALUE"""),"TRSF E-BANKING DB")</f>
        <v>TRSF E-BANKING DB</v>
      </c>
      <c r="C33" s="5" t="str">
        <f>IFERROR(__xludf.DUMMYFUNCTION("""COMPUTED_VALUE"""),"1902/FTSCY/WS95031 970000.00 MUJIANTO")</f>
        <v>1902/FTSCY/WS95031 970000.00 MUJIANTO</v>
      </c>
      <c r="D33" s="3">
        <f>IFERROR(__xludf.DUMMYFUNCTION("""COMPUTED_VALUE"""),970000.0)</f>
        <v>970000</v>
      </c>
      <c r="E33" s="5"/>
      <c r="F33" s="5" t="str">
        <f>IFERROR(__xludf.DUMMYFUNCTION("""COMPUTED_VALUE"""),"DB")</f>
        <v>DB</v>
      </c>
      <c r="G33" s="3">
        <f>IFERROR(__xludf.DUMMYFUNCTION("""COMPUTED_VALUE"""),3.683037146000004E7)</f>
        <v>36830371.46</v>
      </c>
      <c r="H33" s="5"/>
      <c r="I33" s="5" t="str">
        <f>IFERROR(__xludf.DUMMYFUNCTION("""COMPUTED_VALUE"""),"EXSPEDISI")</f>
        <v>EXSPEDISI</v>
      </c>
      <c r="J33" s="3"/>
    </row>
    <row r="34">
      <c r="A34" s="5">
        <f>IFERROR(__xludf.DUMMYFUNCTION("""COMPUTED_VALUE"""),46074.0)</f>
        <v>46074</v>
      </c>
      <c r="B34" s="5" t="str">
        <f>IFERROR(__xludf.DUMMYFUNCTION("""COMPUTED_VALUE"""),"TRSF E-BANKING DB TANGGAL :20/02")</f>
        <v>TRSF E-BANKING DB TANGGAL :20/02</v>
      </c>
      <c r="C34" s="5" t="str">
        <f>IFERROR(__xludf.DUMMYFUNCTION("""COMPUTED_VALUE"""),"2002/FTSCY/WS95031 EKO SETIYAWAN")</f>
        <v>2002/FTSCY/WS95031 EKO SETIYAWAN</v>
      </c>
      <c r="D34" s="3">
        <f>IFERROR(__xludf.DUMMYFUNCTION("""COMPUTED_VALUE"""),5000000.0)</f>
        <v>5000000</v>
      </c>
      <c r="E34" s="5"/>
      <c r="F34" s="5" t="str">
        <f>IFERROR(__xludf.DUMMYFUNCTION("""COMPUTED_VALUE"""),"DB")</f>
        <v>DB</v>
      </c>
      <c r="G34" s="3">
        <f>IFERROR(__xludf.DUMMYFUNCTION("""COMPUTED_VALUE"""),5.958074146000004E7)</f>
        <v>59580741.46</v>
      </c>
      <c r="H34" s="5" t="str">
        <f>IFERROR(__xludf.DUMMYFUNCTION("""COMPUTED_VALUE"""),"59,580,741.46")</f>
        <v>59,580,741.46</v>
      </c>
      <c r="I34" s="5" t="str">
        <f>IFERROR(__xludf.DUMMYFUNCTION("""COMPUTED_VALUE"""),"EXSPEDISI")</f>
        <v>EXSPEDISI</v>
      </c>
      <c r="J34" s="3"/>
    </row>
    <row r="35">
      <c r="A35" s="5">
        <f>IFERROR(__xludf.DUMMYFUNCTION("""COMPUTED_VALUE"""),46075.0)</f>
        <v>46075</v>
      </c>
      <c r="B35" s="5" t="str">
        <f>IFERROR(__xludf.DUMMYFUNCTION("""COMPUTED_VALUE"""),"TRSF E-BANKING DB")</f>
        <v>TRSF E-BANKING DB</v>
      </c>
      <c r="C35" s="5" t="str">
        <f>IFERROR(__xludf.DUMMYFUNCTION("""COMPUTED_VALUE"""),"2202/FTSCY/WS95031 5945150.00 pelunasan HERMAWAN")</f>
        <v>2202/FTSCY/WS95031 5945150.00 pelunasan HERMAWAN</v>
      </c>
      <c r="D35" s="3">
        <f>IFERROR(__xludf.DUMMYFUNCTION("""COMPUTED_VALUE"""),5945150.0)</f>
        <v>5945150</v>
      </c>
      <c r="E35" s="5"/>
      <c r="F35" s="5" t="str">
        <f>IFERROR(__xludf.DUMMYFUNCTION("""COMPUTED_VALUE"""),"DB")</f>
        <v>DB</v>
      </c>
      <c r="G35" s="3">
        <f>IFERROR(__xludf.DUMMYFUNCTION("""COMPUTED_VALUE"""),4.071692746000004E7)</f>
        <v>40716927.46</v>
      </c>
      <c r="H35" s="5"/>
      <c r="I35" s="5" t="str">
        <f>IFERROR(__xludf.DUMMYFUNCTION("""COMPUTED_VALUE"""),"EXSPEDISI")</f>
        <v>EXSPEDISI</v>
      </c>
      <c r="J35" s="3"/>
    </row>
    <row r="36">
      <c r="A36" s="5">
        <f>IFERROR(__xludf.DUMMYFUNCTION("""COMPUTED_VALUE"""),46075.0)</f>
        <v>46075</v>
      </c>
      <c r="B36" s="5" t="str">
        <f>IFERROR(__xludf.DUMMYFUNCTION("""COMPUTED_VALUE"""),"TRSF E-BANKING DB")</f>
        <v>TRSF E-BANKING DB</v>
      </c>
      <c r="C36" s="5" t="str">
        <f>IFERROR(__xludf.DUMMYFUNCTION("""COMPUTED_VALUE"""),"2202/FTSCY/WS95031 3561740.00 pelunasan MUJIANTO")</f>
        <v>2202/FTSCY/WS95031 3561740.00 pelunasan MUJIANTO</v>
      </c>
      <c r="D36" s="3">
        <f>IFERROR(__xludf.DUMMYFUNCTION("""COMPUTED_VALUE"""),3561740.0)</f>
        <v>3561740</v>
      </c>
      <c r="E36" s="5"/>
      <c r="F36" s="5" t="str">
        <f>IFERROR(__xludf.DUMMYFUNCTION("""COMPUTED_VALUE"""),"DB")</f>
        <v>DB</v>
      </c>
      <c r="G36" s="3">
        <f>IFERROR(__xludf.DUMMYFUNCTION("""COMPUTED_VALUE"""),3.708424646000004E7)</f>
        <v>37084246.46</v>
      </c>
      <c r="H36" s="5" t="str">
        <f>IFERROR(__xludf.DUMMYFUNCTION("""COMPUTED_VALUE"""),"37,084,246.46")</f>
        <v>37,084,246.46</v>
      </c>
      <c r="I36" s="5" t="str">
        <f>IFERROR(__xludf.DUMMYFUNCTION("""COMPUTED_VALUE"""),"EXSPEDISI")</f>
        <v>EXSPEDISI</v>
      </c>
      <c r="J36" s="3"/>
    </row>
    <row r="37">
      <c r="A37" s="5">
        <f>IFERROR(__xludf.DUMMYFUNCTION("""COMPUTED_VALUE"""),46075.0)</f>
        <v>46075</v>
      </c>
      <c r="B37" s="5" t="str">
        <f>IFERROR(__xludf.DUMMYFUNCTION("""COMPUTED_VALUE"""),"TRSF E-BANKING DB")</f>
        <v>TRSF E-BANKING DB</v>
      </c>
      <c r="C37" s="5" t="str">
        <f>IFERROR(__xludf.DUMMYFUNCTION("""COMPUTED_VALUE"""),"2202/FTSCY/WS95031 2738040.00 jember saliman DWI HERMANSYAH")</f>
        <v>2202/FTSCY/WS95031 2738040.00 jember saliman DWI HERMANSYAH</v>
      </c>
      <c r="D37" s="3">
        <f>IFERROR(__xludf.DUMMYFUNCTION("""COMPUTED_VALUE"""),2738040.0)</f>
        <v>2738040</v>
      </c>
      <c r="E37" s="5"/>
      <c r="F37" s="5" t="str">
        <f>IFERROR(__xludf.DUMMYFUNCTION("""COMPUTED_VALUE"""),"DB")</f>
        <v>DB</v>
      </c>
      <c r="G37" s="3">
        <f>IFERROR(__xludf.DUMMYFUNCTION("""COMPUTED_VALUE"""),3.434620646000004E7)</f>
        <v>34346206.46</v>
      </c>
      <c r="H37" s="5"/>
      <c r="I37" s="5" t="str">
        <f>IFERROR(__xludf.DUMMYFUNCTION("""COMPUTED_VALUE"""),"EXSPEDISI")</f>
        <v>EXSPEDISI</v>
      </c>
      <c r="J37" s="3"/>
    </row>
    <row r="38">
      <c r="A38" s="5">
        <f>IFERROR(__xludf.DUMMYFUNCTION("""COMPUTED_VALUE"""),46075.0)</f>
        <v>46075</v>
      </c>
      <c r="B38" s="5" t="str">
        <f>IFERROR(__xludf.DUMMYFUNCTION("""COMPUTED_VALUE"""),"TRSF E-BANKING DB")</f>
        <v>TRSF E-BANKING DB</v>
      </c>
      <c r="C38" s="5" t="str">
        <f>IFERROR(__xludf.DUMMYFUNCTION("""COMPUTED_VALUE"""),"2202/FTSCY/WS95271 11992400.00 krg 25 jt EKO SETIYAWAN")</f>
        <v>2202/FTSCY/WS95271 11992400.00 krg 25 jt EKO SETIYAWAN</v>
      </c>
      <c r="D38" s="3">
        <f>IFERROR(__xludf.DUMMYFUNCTION("""COMPUTED_VALUE"""),1.19924E7)</f>
        <v>11992400</v>
      </c>
      <c r="E38" s="5"/>
      <c r="F38" s="5" t="str">
        <f>IFERROR(__xludf.DUMMYFUNCTION("""COMPUTED_VALUE"""),"DB")</f>
        <v>DB</v>
      </c>
      <c r="G38" s="3">
        <f>IFERROR(__xludf.DUMMYFUNCTION("""COMPUTED_VALUE"""),2.235380646000004E7)</f>
        <v>22353806.46</v>
      </c>
      <c r="H38" s="5"/>
      <c r="I38" s="5" t="str">
        <f>IFERROR(__xludf.DUMMYFUNCTION("""COMPUTED_VALUE"""),"EXSPEDISI")</f>
        <v>EXSPEDISI</v>
      </c>
      <c r="J38" s="3"/>
    </row>
    <row r="39">
      <c r="A39" s="5">
        <f>IFERROR(__xludf.DUMMYFUNCTION("""COMPUTED_VALUE"""),46075.0)</f>
        <v>46075</v>
      </c>
      <c r="B39" s="5" t="str">
        <f>IFERROR(__xludf.DUMMYFUNCTION("""COMPUTED_VALUE"""),"TRSF E-BANKING DB")</f>
        <v>TRSF E-BANKING DB</v>
      </c>
      <c r="C39" s="5" t="str">
        <f>IFERROR(__xludf.DUMMYFUNCTION("""COMPUTED_VALUE"""),"2202/FTSCY/WS95271 2197900.00 madiun lidia MUJIANTO")</f>
        <v>2202/FTSCY/WS95271 2197900.00 madiun lidia MUJIANTO</v>
      </c>
      <c r="D39" s="3">
        <f>IFERROR(__xludf.DUMMYFUNCTION("""COMPUTED_VALUE"""),2197900.0)</f>
        <v>2197900</v>
      </c>
      <c r="E39" s="5"/>
      <c r="F39" s="5" t="str">
        <f>IFERROR(__xludf.DUMMYFUNCTION("""COMPUTED_VALUE"""),"DB")</f>
        <v>DB</v>
      </c>
      <c r="G39" s="3">
        <f>IFERROR(__xludf.DUMMYFUNCTION("""COMPUTED_VALUE"""),7.723266646000004E7)</f>
        <v>77232666.46</v>
      </c>
      <c r="H39" s="5"/>
      <c r="I39" s="5" t="str">
        <f>IFERROR(__xludf.DUMMYFUNCTION("""COMPUTED_VALUE"""),"EXSPEDISI")</f>
        <v>EXSPEDISI</v>
      </c>
      <c r="J39" s="3"/>
    </row>
    <row r="40">
      <c r="A40" s="5">
        <f>IFERROR(__xludf.DUMMYFUNCTION("""COMPUTED_VALUE"""),46076.0)</f>
        <v>46076</v>
      </c>
      <c r="B40" s="5" t="str">
        <f>IFERROR(__xludf.DUMMYFUNCTION("""COMPUTED_VALUE"""),"TRSF E-BANKING DB")</f>
        <v>TRSF E-BANKING DB</v>
      </c>
      <c r="C40" s="5" t="str">
        <f>IFERROR(__xludf.DUMMYFUNCTION("""COMPUTED_VALUE"""),"2302/FTSCY/WS95031 11621100.00 krg 25 EKO SETIYAWAN")</f>
        <v>2302/FTSCY/WS95031 11621100.00 krg 25 EKO SETIYAWAN</v>
      </c>
      <c r="D40" s="3">
        <f>IFERROR(__xludf.DUMMYFUNCTION("""COMPUTED_VALUE"""),1.16211E7)</f>
        <v>11621100</v>
      </c>
      <c r="E40" s="5"/>
      <c r="F40" s="5" t="str">
        <f>IFERROR(__xludf.DUMMYFUNCTION("""COMPUTED_VALUE"""),"DB")</f>
        <v>DB</v>
      </c>
      <c r="G40" s="3">
        <f>IFERROR(__xludf.DUMMYFUNCTION("""COMPUTED_VALUE"""),7.547654646000004E7)</f>
        <v>75476546.46</v>
      </c>
      <c r="H40" s="5"/>
      <c r="I40" s="5" t="str">
        <f>IFERROR(__xludf.DUMMYFUNCTION("""COMPUTED_VALUE"""),"EXSPEDISI")</f>
        <v>EXSPEDISI</v>
      </c>
      <c r="J40" s="3"/>
    </row>
    <row r="41">
      <c r="A41" s="5">
        <f>IFERROR(__xludf.DUMMYFUNCTION("""COMPUTED_VALUE"""),46076.0)</f>
        <v>46076</v>
      </c>
      <c r="B41" s="5" t="str">
        <f>IFERROR(__xludf.DUMMYFUNCTION("""COMPUTED_VALUE"""),"TRSF E-BANKING DB")</f>
        <v>TRSF E-BANKING DB</v>
      </c>
      <c r="C41" s="5" t="str">
        <f>IFERROR(__xludf.DUMMYFUNCTION("""COMPUTED_VALUE"""),"2302/FTSCY/WS95031 300000.00 EKO SETIYAWAN")</f>
        <v>2302/FTSCY/WS95031 300000.00 EKO SETIYAWAN</v>
      </c>
      <c r="D41" s="3">
        <f>IFERROR(__xludf.DUMMYFUNCTION("""COMPUTED_VALUE"""),300000.0)</f>
        <v>300000</v>
      </c>
      <c r="E41" s="5"/>
      <c r="F41" s="5" t="str">
        <f>IFERROR(__xludf.DUMMYFUNCTION("""COMPUTED_VALUE"""),"DB")</f>
        <v>DB</v>
      </c>
      <c r="G41" s="3">
        <f>IFERROR(__xludf.DUMMYFUNCTION("""COMPUTED_VALUE"""),7.517654646000004E7)</f>
        <v>75176546.46</v>
      </c>
      <c r="H41" s="5"/>
      <c r="I41" s="5" t="str">
        <f>IFERROR(__xludf.DUMMYFUNCTION("""COMPUTED_VALUE"""),"EXSPEDISI")</f>
        <v>EXSPEDISI</v>
      </c>
      <c r="J41" s="3"/>
    </row>
    <row r="42">
      <c r="A42" s="5">
        <f>IFERROR(__xludf.DUMMYFUNCTION("""COMPUTED_VALUE"""),46077.0)</f>
        <v>46077</v>
      </c>
      <c r="B42" s="5" t="str">
        <f>IFERROR(__xludf.DUMMYFUNCTION("""COMPUTED_VALUE"""),"TRSF E-BANKING DB TANGGAL :23/02")</f>
        <v>TRSF E-BANKING DB TANGGAL :23/02</v>
      </c>
      <c r="C42" s="5" t="str">
        <f>IFERROR(__xludf.DUMMYFUNCTION("""COMPUTED_VALUE"""),"2302/FTSCY/WS95031 HERMAWAN")</f>
        <v>2302/FTSCY/WS95031 HERMAWAN</v>
      </c>
      <c r="D42" s="3">
        <f>IFERROR(__xludf.DUMMYFUNCTION("""COMPUTED_VALUE"""),6830640.0)</f>
        <v>6830640</v>
      </c>
      <c r="E42" s="5"/>
      <c r="F42" s="5" t="str">
        <f>IFERROR(__xludf.DUMMYFUNCTION("""COMPUTED_VALUE"""),"DB")</f>
        <v>DB</v>
      </c>
      <c r="G42" s="3">
        <f>IFERROR(__xludf.DUMMYFUNCTION("""COMPUTED_VALUE"""),1.3288323646000004E8)</f>
        <v>132883236.5</v>
      </c>
      <c r="H42" s="5"/>
      <c r="I42" s="5" t="str">
        <f>IFERROR(__xludf.DUMMYFUNCTION("""COMPUTED_VALUE"""),"EXSPEDISI")</f>
        <v>EXSPEDISI</v>
      </c>
      <c r="J42" s="3"/>
    </row>
    <row r="43">
      <c r="A43" s="5">
        <f>IFERROR(__xludf.DUMMYFUNCTION("""COMPUTED_VALUE"""),46077.0)</f>
        <v>46077</v>
      </c>
      <c r="B43" s="5" t="str">
        <f>IFERROR(__xludf.DUMMYFUNCTION("""COMPUTED_VALUE"""),"TRSF E-BANKING DB TANGGAL :23/02")</f>
        <v>TRSF E-BANKING DB TANGGAL :23/02</v>
      </c>
      <c r="C43" s="5" t="str">
        <f>IFERROR(__xludf.DUMMYFUNCTION("""COMPUTED_VALUE"""),"2302/FTSCY/WS95031 MUJIANTO")</f>
        <v>2302/FTSCY/WS95031 MUJIANTO</v>
      </c>
      <c r="D43" s="3">
        <f>IFERROR(__xludf.DUMMYFUNCTION("""COMPUTED_VALUE"""),1529610.0)</f>
        <v>1529610</v>
      </c>
      <c r="E43" s="5"/>
      <c r="F43" s="5" t="str">
        <f>IFERROR(__xludf.DUMMYFUNCTION("""COMPUTED_VALUE"""),"DB")</f>
        <v>DB</v>
      </c>
      <c r="G43" s="3">
        <f>IFERROR(__xludf.DUMMYFUNCTION("""COMPUTED_VALUE"""),1.3135362646000004E8)</f>
        <v>131353626.5</v>
      </c>
      <c r="H43" s="5"/>
      <c r="I43" s="5" t="str">
        <f>IFERROR(__xludf.DUMMYFUNCTION("""COMPUTED_VALUE"""),"EXSPEDISI")</f>
        <v>EXSPEDISI</v>
      </c>
      <c r="J43" s="3"/>
    </row>
    <row r="44">
      <c r="A44" s="5">
        <f>IFERROR(__xludf.DUMMYFUNCTION("""COMPUTED_VALUE"""),46078.0)</f>
        <v>46078</v>
      </c>
      <c r="B44" s="5" t="str">
        <f>IFERROR(__xludf.DUMMYFUNCTION("""COMPUTED_VALUE"""),"TRSF E-BANKING DB")</f>
        <v>TRSF E-BANKING DB</v>
      </c>
      <c r="C44" s="5" t="str">
        <f>IFERROR(__xludf.DUMMYFUNCTION("""COMPUTED_VALUE"""),"2502/FTSCY/WS95271 1729650.00 magetan lidia MUJIANTO")</f>
        <v>2502/FTSCY/WS95271 1729650.00 magetan lidia MUJIANTO</v>
      </c>
      <c r="D44" s="3">
        <f>IFERROR(__xludf.DUMMYFUNCTION("""COMPUTED_VALUE"""),1729650.0)</f>
        <v>1729650</v>
      </c>
      <c r="E44" s="5"/>
      <c r="F44" s="5" t="str">
        <f>IFERROR(__xludf.DUMMYFUNCTION("""COMPUTED_VALUE"""),"DB")</f>
        <v>DB</v>
      </c>
      <c r="G44" s="3">
        <f>IFERROR(__xludf.DUMMYFUNCTION("""COMPUTED_VALUE"""),9.875398646000004E7)</f>
        <v>98753986.46</v>
      </c>
      <c r="H44" s="5"/>
      <c r="I44" s="5" t="str">
        <f>IFERROR(__xludf.DUMMYFUNCTION("""COMPUTED_VALUE"""),"EXSPEDISI")</f>
        <v>EXSPEDISI</v>
      </c>
      <c r="J44" s="3"/>
    </row>
    <row r="45">
      <c r="A45" s="5">
        <f>IFERROR(__xludf.DUMMYFUNCTION("""COMPUTED_VALUE"""),46078.0)</f>
        <v>46078</v>
      </c>
      <c r="B45" s="5" t="str">
        <f>IFERROR(__xludf.DUMMYFUNCTION("""COMPUTED_VALUE"""),"TRSF E-BANKING DB")</f>
        <v>TRSF E-BANKING DB</v>
      </c>
      <c r="C45" s="5" t="str">
        <f>IFERROR(__xludf.DUMMYFUNCTION("""COMPUTED_VALUE"""),"2502/FTSCY/WS95271 3298750.00 magetan lidia HERMAWAN")</f>
        <v>2502/FTSCY/WS95271 3298750.00 magetan lidia HERMAWAN</v>
      </c>
      <c r="D45" s="3">
        <f>IFERROR(__xludf.DUMMYFUNCTION("""COMPUTED_VALUE"""),3298750.0)</f>
        <v>3298750</v>
      </c>
      <c r="E45" s="5"/>
      <c r="F45" s="5" t="str">
        <f>IFERROR(__xludf.DUMMYFUNCTION("""COMPUTED_VALUE"""),"DB")</f>
        <v>DB</v>
      </c>
      <c r="G45" s="3">
        <f>IFERROR(__xludf.DUMMYFUNCTION("""COMPUTED_VALUE"""),9.545523646000004E7)</f>
        <v>95455236.46</v>
      </c>
      <c r="H45" s="5"/>
      <c r="I45" s="5" t="str">
        <f>IFERROR(__xludf.DUMMYFUNCTION("""COMPUTED_VALUE"""),"EXSPEDISI")</f>
        <v>EXSPEDISI</v>
      </c>
      <c r="J45" s="3"/>
    </row>
    <row r="46">
      <c r="A46" s="5">
        <f>IFERROR(__xludf.DUMMYFUNCTION("""COMPUTED_VALUE"""),46079.0)</f>
        <v>46079</v>
      </c>
      <c r="B46" s="5" t="str">
        <f>IFERROR(__xludf.DUMMYFUNCTION("""COMPUTED_VALUE"""),"TRSF E-BANKING DB")</f>
        <v>TRSF E-BANKING DB</v>
      </c>
      <c r="C46" s="5" t="str">
        <f>IFERROR(__xludf.DUMMYFUNCTION("""COMPUTED_VALUE"""),"2602/FTSCY/WS95031 4773700.00 HERMAWAN")</f>
        <v>2602/FTSCY/WS95031 4773700.00 HERMAWAN</v>
      </c>
      <c r="D46" s="3">
        <f>IFERROR(__xludf.DUMMYFUNCTION("""COMPUTED_VALUE"""),4773700.0)</f>
        <v>4773700</v>
      </c>
      <c r="E46" s="5"/>
      <c r="F46" s="5" t="str">
        <f>IFERROR(__xludf.DUMMYFUNCTION("""COMPUTED_VALUE"""),"DB")</f>
        <v>DB</v>
      </c>
      <c r="G46" s="3">
        <f>IFERROR(__xludf.DUMMYFUNCTION("""COMPUTED_VALUE"""),1.893090246000004E7)</f>
        <v>18930902.46</v>
      </c>
      <c r="H46" s="5"/>
      <c r="I46" s="5" t="str">
        <f>IFERROR(__xludf.DUMMYFUNCTION("""COMPUTED_VALUE"""),"EXSPEDISI")</f>
        <v>EXSPEDISI</v>
      </c>
      <c r="J46" s="3"/>
    </row>
    <row r="47">
      <c r="A47" s="5">
        <f>IFERROR(__xludf.DUMMYFUNCTION("""COMPUTED_VALUE"""),46080.0)</f>
        <v>46080</v>
      </c>
      <c r="B47" s="5" t="str">
        <f>IFERROR(__xludf.DUMMYFUNCTION("""COMPUTED_VALUE"""),"TRSF E-BANKING DB")</f>
        <v>TRSF E-BANKING DB</v>
      </c>
      <c r="C47" s="5" t="str">
        <f>IFERROR(__xludf.DUMMYFUNCTION("""COMPUTED_VALUE"""),"2702/FTSCY/WS95031 1750000.00 byr remap KEVIN SANTOSO")</f>
        <v>2702/FTSCY/WS95031 1750000.00 byr remap KEVIN SANTOSO</v>
      </c>
      <c r="D47" s="3">
        <f>IFERROR(__xludf.DUMMYFUNCTION("""COMPUTED_VALUE"""),1750000.0)</f>
        <v>1750000</v>
      </c>
      <c r="E47" s="5"/>
      <c r="F47" s="5" t="str">
        <f>IFERROR(__xludf.DUMMYFUNCTION("""COMPUTED_VALUE"""),"DB")</f>
        <v>DB</v>
      </c>
      <c r="G47" s="3">
        <f>IFERROR(__xludf.DUMMYFUNCTION("""COMPUTED_VALUE"""),1.2008767246000004E8)</f>
        <v>120087672.5</v>
      </c>
      <c r="H47" s="5" t="str">
        <f>IFERROR(__xludf.DUMMYFUNCTION("""COMPUTED_VALUE"""),"120,087,672.46")</f>
        <v>120,087,672.46</v>
      </c>
      <c r="I47" s="5" t="str">
        <f>IFERROR(__xludf.DUMMYFUNCTION("""COMPUTED_VALUE"""),"EXSPEDISI")</f>
        <v>EXSPEDISI</v>
      </c>
      <c r="J47" s="3"/>
    </row>
    <row r="48">
      <c r="D48" s="3"/>
      <c r="G48" s="3"/>
      <c r="J48" s="3"/>
    </row>
    <row r="49">
      <c r="D49" s="3"/>
      <c r="G49" s="3"/>
      <c r="J49" s="3"/>
    </row>
    <row r="50">
      <c r="D50" s="3"/>
      <c r="G50" s="3"/>
      <c r="J50" s="3"/>
    </row>
    <row r="51">
      <c r="D51" s="3"/>
      <c r="G51" s="3"/>
      <c r="J51" s="3"/>
    </row>
    <row r="52">
      <c r="D52" s="3"/>
      <c r="G52" s="3"/>
      <c r="J52" s="3"/>
    </row>
    <row r="53">
      <c r="D53" s="3"/>
      <c r="G53" s="3"/>
      <c r="J53" s="3"/>
    </row>
    <row r="54">
      <c r="D54" s="3"/>
      <c r="G54" s="3"/>
      <c r="J54" s="3"/>
    </row>
    <row r="55">
      <c r="D55" s="3"/>
      <c r="G55" s="3"/>
      <c r="J55" s="3"/>
    </row>
    <row r="56">
      <c r="D56" s="3"/>
      <c r="G56" s="3"/>
      <c r="J56" s="3"/>
    </row>
    <row r="57">
      <c r="D57" s="3"/>
      <c r="G57" s="3"/>
      <c r="J57" s="3"/>
    </row>
    <row r="58">
      <c r="D58" s="3"/>
      <c r="G58" s="3"/>
      <c r="J58" s="3"/>
    </row>
    <row r="59">
      <c r="D59" s="3"/>
      <c r="G59" s="3"/>
      <c r="J59" s="3"/>
    </row>
    <row r="60">
      <c r="D60" s="3"/>
      <c r="G60" s="3"/>
      <c r="J60" s="3"/>
    </row>
    <row r="61">
      <c r="D61" s="3"/>
      <c r="G61" s="3"/>
      <c r="J61" s="3"/>
    </row>
    <row r="62">
      <c r="D62" s="3"/>
      <c r="G62" s="3"/>
      <c r="J62" s="3"/>
    </row>
    <row r="63">
      <c r="D63" s="3"/>
      <c r="G63" s="3"/>
      <c r="J63" s="3"/>
    </row>
    <row r="64">
      <c r="D64" s="3"/>
      <c r="G64" s="3"/>
      <c r="J64" s="3"/>
    </row>
    <row r="65">
      <c r="D65" s="3"/>
      <c r="G65" s="3"/>
      <c r="J65" s="3"/>
    </row>
    <row r="66">
      <c r="D66" s="3"/>
      <c r="G66" s="3"/>
      <c r="J66" s="3"/>
    </row>
    <row r="67">
      <c r="D67" s="3"/>
      <c r="G67" s="3"/>
      <c r="J67" s="3"/>
    </row>
    <row r="68">
      <c r="D68" s="3"/>
      <c r="G68" s="3"/>
      <c r="J68" s="3"/>
    </row>
    <row r="69">
      <c r="D69" s="3"/>
      <c r="G69" s="3"/>
      <c r="J69" s="3"/>
    </row>
    <row r="70">
      <c r="D70" s="3"/>
      <c r="G70" s="3"/>
      <c r="J70" s="3"/>
    </row>
    <row r="71">
      <c r="D71" s="3"/>
      <c r="G71" s="3"/>
      <c r="J71" s="3"/>
    </row>
    <row r="72">
      <c r="D72" s="3"/>
      <c r="G72" s="3"/>
      <c r="J72" s="3"/>
    </row>
    <row r="73">
      <c r="D73" s="3"/>
      <c r="G73" s="3"/>
      <c r="J73" s="3"/>
    </row>
    <row r="74">
      <c r="D74" s="3"/>
      <c r="G74" s="3"/>
      <c r="J74" s="3"/>
    </row>
    <row r="75">
      <c r="D75" s="3"/>
      <c r="G75" s="3"/>
      <c r="J75" s="3"/>
    </row>
    <row r="76">
      <c r="D76" s="3"/>
      <c r="G76" s="3"/>
      <c r="J76" s="3"/>
    </row>
    <row r="77">
      <c r="D77" s="3"/>
      <c r="G77" s="3"/>
      <c r="J77" s="3"/>
    </row>
    <row r="78">
      <c r="D78" s="3"/>
      <c r="G78" s="3"/>
      <c r="J78" s="3"/>
    </row>
    <row r="79">
      <c r="D79" s="3"/>
      <c r="G79" s="3"/>
      <c r="J79" s="3"/>
    </row>
    <row r="80">
      <c r="D80" s="3"/>
      <c r="G80" s="3"/>
      <c r="J80" s="3"/>
    </row>
    <row r="81">
      <c r="D81" s="3"/>
      <c r="G81" s="3"/>
      <c r="J81" s="3"/>
    </row>
    <row r="82">
      <c r="D82" s="3"/>
      <c r="G82" s="3"/>
      <c r="J82" s="3"/>
    </row>
    <row r="83">
      <c r="D83" s="3"/>
      <c r="G83" s="3"/>
      <c r="J83" s="3"/>
    </row>
    <row r="84">
      <c r="D84" s="3"/>
      <c r="G84" s="3"/>
      <c r="J84" s="3"/>
    </row>
    <row r="85">
      <c r="D85" s="3"/>
      <c r="G85" s="3"/>
      <c r="J85" s="3"/>
    </row>
    <row r="86">
      <c r="D86" s="3"/>
      <c r="G86" s="3"/>
      <c r="J86" s="3"/>
    </row>
    <row r="87">
      <c r="D87" s="3"/>
      <c r="G87" s="3"/>
      <c r="J87" s="3"/>
    </row>
    <row r="88">
      <c r="D88" s="3"/>
      <c r="G88" s="3"/>
      <c r="J88" s="3"/>
    </row>
    <row r="89">
      <c r="D89" s="3"/>
      <c r="G89" s="3"/>
      <c r="J89" s="3"/>
    </row>
    <row r="90">
      <c r="D90" s="3"/>
      <c r="G90" s="3"/>
      <c r="J90" s="3"/>
    </row>
    <row r="91">
      <c r="D91" s="3"/>
      <c r="G91" s="3"/>
      <c r="J91" s="3"/>
    </row>
    <row r="92">
      <c r="D92" s="3"/>
      <c r="G92" s="3"/>
      <c r="J92" s="3"/>
    </row>
    <row r="93">
      <c r="D93" s="3"/>
      <c r="G93" s="3"/>
      <c r="J93" s="3"/>
    </row>
    <row r="94">
      <c r="D94" s="3"/>
      <c r="G94" s="3"/>
      <c r="J94" s="3"/>
    </row>
    <row r="95">
      <c r="D95" s="3"/>
      <c r="G95" s="3"/>
      <c r="J95" s="3"/>
    </row>
    <row r="96">
      <c r="D96" s="3"/>
      <c r="G96" s="3"/>
      <c r="J96" s="3"/>
    </row>
    <row r="97">
      <c r="D97" s="3"/>
      <c r="G97" s="3"/>
      <c r="J97" s="3"/>
    </row>
    <row r="98">
      <c r="D98" s="3"/>
      <c r="G98" s="3"/>
      <c r="J98" s="3"/>
    </row>
    <row r="99">
      <c r="D99" s="3"/>
      <c r="G99" s="3"/>
      <c r="J99" s="3"/>
    </row>
    <row r="100">
      <c r="D100" s="3"/>
      <c r="G100" s="3"/>
      <c r="J100" s="3"/>
    </row>
    <row r="101">
      <c r="D101" s="3"/>
      <c r="G101" s="3"/>
      <c r="J101" s="3"/>
    </row>
    <row r="102">
      <c r="D102" s="3"/>
      <c r="G102" s="3"/>
      <c r="J102" s="3"/>
    </row>
    <row r="103">
      <c r="D103" s="3"/>
      <c r="G103" s="3"/>
      <c r="J103" s="3"/>
    </row>
    <row r="104">
      <c r="D104" s="3"/>
      <c r="G104" s="3"/>
      <c r="J104" s="3"/>
    </row>
    <row r="105">
      <c r="D105" s="3"/>
      <c r="G105" s="3"/>
      <c r="J105" s="3"/>
    </row>
    <row r="106">
      <c r="D106" s="3"/>
      <c r="G106" s="3"/>
      <c r="J106" s="3"/>
    </row>
    <row r="107">
      <c r="D107" s="3"/>
      <c r="G107" s="3"/>
      <c r="J107" s="3"/>
    </row>
    <row r="108">
      <c r="D108" s="3"/>
      <c r="G108" s="3"/>
      <c r="J108" s="3"/>
    </row>
    <row r="109">
      <c r="D109" s="3"/>
      <c r="G109" s="3"/>
      <c r="J109" s="3"/>
    </row>
    <row r="110">
      <c r="D110" s="3"/>
      <c r="G110" s="3"/>
      <c r="J110" s="3"/>
    </row>
    <row r="111">
      <c r="D111" s="3"/>
      <c r="G111" s="3"/>
      <c r="J111" s="3"/>
    </row>
    <row r="112">
      <c r="D112" s="3"/>
      <c r="G112" s="3"/>
      <c r="J112" s="3"/>
    </row>
    <row r="113">
      <c r="D113" s="3"/>
      <c r="G113" s="3"/>
      <c r="J113" s="3"/>
    </row>
    <row r="114">
      <c r="D114" s="3"/>
      <c r="G114" s="3"/>
      <c r="J114" s="3"/>
    </row>
    <row r="115">
      <c r="D115" s="3"/>
      <c r="G115" s="3"/>
      <c r="J115" s="3"/>
    </row>
    <row r="116">
      <c r="D116" s="3"/>
      <c r="G116" s="3"/>
      <c r="J116" s="3"/>
    </row>
    <row r="117">
      <c r="D117" s="3"/>
      <c r="G117" s="3"/>
      <c r="J117" s="3"/>
    </row>
    <row r="118">
      <c r="D118" s="3"/>
      <c r="G118" s="3"/>
      <c r="J118" s="3"/>
    </row>
    <row r="119">
      <c r="D119" s="3"/>
      <c r="G119" s="3"/>
      <c r="J119" s="3"/>
    </row>
    <row r="120">
      <c r="D120" s="3"/>
      <c r="G120" s="3"/>
      <c r="J120" s="3"/>
    </row>
    <row r="121">
      <c r="D121" s="3"/>
      <c r="G121" s="3"/>
      <c r="J121" s="3"/>
    </row>
    <row r="122">
      <c r="D122" s="3"/>
      <c r="G122" s="3"/>
      <c r="J122" s="3"/>
    </row>
    <row r="123">
      <c r="D123" s="3"/>
      <c r="G123" s="3"/>
      <c r="J123" s="3"/>
    </row>
    <row r="124">
      <c r="D124" s="3"/>
      <c r="G124" s="3"/>
      <c r="J124" s="3"/>
    </row>
    <row r="125">
      <c r="D125" s="3"/>
      <c r="G125" s="3"/>
      <c r="J125" s="3"/>
    </row>
    <row r="126">
      <c r="D126" s="3"/>
      <c r="G126" s="3"/>
      <c r="J126" s="3"/>
    </row>
    <row r="127">
      <c r="D127" s="3"/>
      <c r="G127" s="3"/>
      <c r="J127" s="3"/>
    </row>
    <row r="128">
      <c r="D128" s="3"/>
      <c r="G128" s="3"/>
      <c r="J128" s="3"/>
    </row>
    <row r="129">
      <c r="D129" s="3"/>
      <c r="G129" s="3"/>
      <c r="J129" s="3"/>
    </row>
    <row r="130">
      <c r="D130" s="3"/>
      <c r="G130" s="3"/>
      <c r="J130" s="3"/>
    </row>
    <row r="131">
      <c r="D131" s="3"/>
      <c r="G131" s="3"/>
      <c r="J131" s="3"/>
    </row>
    <row r="132">
      <c r="D132" s="3"/>
      <c r="G132" s="3"/>
      <c r="J132" s="3"/>
    </row>
    <row r="133">
      <c r="D133" s="3"/>
      <c r="G133" s="3"/>
      <c r="J133" s="3"/>
    </row>
    <row r="134">
      <c r="D134" s="3"/>
      <c r="G134" s="3"/>
      <c r="J134" s="3"/>
    </row>
    <row r="135">
      <c r="D135" s="3"/>
      <c r="G135" s="3"/>
      <c r="J135" s="3"/>
    </row>
    <row r="136">
      <c r="D136" s="3"/>
      <c r="G136" s="3"/>
      <c r="J136" s="3"/>
    </row>
    <row r="137">
      <c r="D137" s="3"/>
      <c r="G137" s="3"/>
      <c r="J137" s="3"/>
    </row>
    <row r="138">
      <c r="D138" s="3"/>
      <c r="G138" s="3"/>
      <c r="J138" s="3"/>
    </row>
    <row r="139">
      <c r="D139" s="3"/>
      <c r="G139" s="3"/>
      <c r="J139" s="3"/>
    </row>
    <row r="140">
      <c r="D140" s="3"/>
      <c r="G140" s="3"/>
      <c r="J140" s="3"/>
    </row>
    <row r="141">
      <c r="D141" s="3"/>
      <c r="G141" s="3"/>
      <c r="J141" s="3"/>
    </row>
    <row r="142">
      <c r="D142" s="3"/>
      <c r="G142" s="3"/>
      <c r="J142" s="3"/>
    </row>
    <row r="143">
      <c r="D143" s="3"/>
      <c r="G143" s="3"/>
      <c r="J143" s="3"/>
    </row>
    <row r="144">
      <c r="D144" s="3"/>
      <c r="G144" s="3"/>
      <c r="J144" s="3"/>
    </row>
    <row r="145">
      <c r="D145" s="3"/>
      <c r="G145" s="3"/>
      <c r="J145" s="3"/>
    </row>
    <row r="146">
      <c r="D146" s="3"/>
      <c r="G146" s="3"/>
      <c r="J146" s="3"/>
    </row>
    <row r="147">
      <c r="D147" s="3"/>
      <c r="G147" s="3"/>
      <c r="J147" s="3"/>
    </row>
    <row r="148">
      <c r="D148" s="3"/>
      <c r="G148" s="3"/>
      <c r="J148" s="3"/>
    </row>
    <row r="149">
      <c r="D149" s="3"/>
      <c r="G149" s="3"/>
      <c r="J149" s="3"/>
    </row>
    <row r="150">
      <c r="D150" s="3"/>
      <c r="G150" s="3"/>
      <c r="J150" s="3"/>
    </row>
    <row r="151">
      <c r="D151" s="3"/>
      <c r="G151" s="3"/>
      <c r="J151" s="3"/>
    </row>
    <row r="152">
      <c r="D152" s="3"/>
      <c r="G152" s="3"/>
      <c r="J152" s="3"/>
    </row>
    <row r="153">
      <c r="D153" s="3"/>
      <c r="G153" s="3"/>
      <c r="J153" s="3"/>
    </row>
    <row r="154">
      <c r="D154" s="3"/>
      <c r="G154" s="3"/>
      <c r="J154" s="3"/>
    </row>
    <row r="155">
      <c r="D155" s="3"/>
      <c r="G155" s="3"/>
      <c r="J155" s="3"/>
    </row>
    <row r="156">
      <c r="D156" s="3"/>
      <c r="G156" s="3"/>
      <c r="J156" s="3"/>
    </row>
    <row r="157">
      <c r="D157" s="3"/>
      <c r="G157" s="3"/>
      <c r="J157" s="3"/>
    </row>
    <row r="158">
      <c r="D158" s="3"/>
      <c r="G158" s="3"/>
      <c r="J158" s="3"/>
    </row>
    <row r="159">
      <c r="D159" s="3"/>
      <c r="G159" s="3"/>
      <c r="J159" s="3"/>
    </row>
    <row r="160">
      <c r="D160" s="3"/>
      <c r="G160" s="3"/>
      <c r="J160" s="3"/>
    </row>
    <row r="161">
      <c r="D161" s="3"/>
      <c r="G161" s="3"/>
      <c r="J161" s="3"/>
    </row>
    <row r="162">
      <c r="D162" s="3"/>
      <c r="G162" s="3"/>
      <c r="J162" s="3"/>
    </row>
    <row r="163">
      <c r="D163" s="3"/>
      <c r="G163" s="3"/>
      <c r="J163" s="3"/>
    </row>
    <row r="164">
      <c r="D164" s="3"/>
      <c r="G164" s="3"/>
      <c r="J164" s="3"/>
    </row>
    <row r="165">
      <c r="D165" s="3"/>
      <c r="G165" s="3"/>
      <c r="J165" s="3"/>
    </row>
    <row r="166">
      <c r="D166" s="3"/>
      <c r="G166" s="3"/>
      <c r="J166" s="3"/>
    </row>
    <row r="167">
      <c r="D167" s="3"/>
      <c r="G167" s="3"/>
      <c r="J167" s="3"/>
    </row>
    <row r="168">
      <c r="D168" s="3"/>
      <c r="G168" s="3"/>
      <c r="J168" s="3"/>
    </row>
    <row r="169">
      <c r="D169" s="3"/>
      <c r="G169" s="3"/>
      <c r="J169" s="3"/>
    </row>
    <row r="170">
      <c r="D170" s="3"/>
      <c r="G170" s="3"/>
      <c r="J170" s="3"/>
    </row>
    <row r="171">
      <c r="D171" s="3"/>
      <c r="G171" s="3"/>
      <c r="J171" s="3"/>
    </row>
    <row r="172">
      <c r="D172" s="3"/>
      <c r="G172" s="3"/>
      <c r="J172" s="3"/>
    </row>
    <row r="173">
      <c r="D173" s="3"/>
      <c r="G173" s="3"/>
      <c r="J173" s="3"/>
    </row>
    <row r="174">
      <c r="D174" s="3"/>
      <c r="G174" s="3"/>
      <c r="J174" s="3"/>
    </row>
    <row r="175">
      <c r="D175" s="3"/>
      <c r="G175" s="3"/>
      <c r="J175" s="3"/>
    </row>
    <row r="176">
      <c r="D176" s="3"/>
      <c r="G176" s="3"/>
      <c r="J176" s="3"/>
    </row>
    <row r="177">
      <c r="D177" s="3"/>
      <c r="G177" s="3"/>
      <c r="J177" s="3"/>
    </row>
    <row r="178">
      <c r="D178" s="3"/>
      <c r="G178" s="3"/>
      <c r="J178" s="3"/>
    </row>
    <row r="179">
      <c r="D179" s="3"/>
      <c r="G179" s="3"/>
      <c r="J179" s="3"/>
    </row>
    <row r="180">
      <c r="D180" s="3"/>
      <c r="G180" s="3"/>
      <c r="J180" s="3"/>
    </row>
    <row r="181">
      <c r="D181" s="3"/>
      <c r="G181" s="3"/>
      <c r="J181" s="3"/>
    </row>
    <row r="182">
      <c r="D182" s="3"/>
      <c r="G182" s="3"/>
      <c r="J182" s="3"/>
    </row>
    <row r="183">
      <c r="D183" s="3"/>
      <c r="G183" s="3"/>
      <c r="J183" s="3"/>
    </row>
    <row r="184">
      <c r="D184" s="3"/>
      <c r="G184" s="3"/>
      <c r="J184" s="3"/>
    </row>
    <row r="185">
      <c r="D185" s="3"/>
      <c r="G185" s="3"/>
      <c r="J185" s="3"/>
    </row>
    <row r="186">
      <c r="D186" s="3"/>
      <c r="G186" s="3"/>
      <c r="J186" s="3"/>
    </row>
    <row r="187">
      <c r="D187" s="3"/>
      <c r="G187" s="3"/>
      <c r="J187" s="3"/>
    </row>
    <row r="188">
      <c r="D188" s="3"/>
      <c r="G188" s="3"/>
      <c r="J188" s="3"/>
    </row>
    <row r="189">
      <c r="D189" s="3"/>
      <c r="G189" s="3"/>
      <c r="J189" s="3"/>
    </row>
    <row r="190">
      <c r="D190" s="3"/>
      <c r="G190" s="3"/>
      <c r="J190" s="3"/>
    </row>
    <row r="191">
      <c r="D191" s="3"/>
      <c r="G191" s="3"/>
      <c r="J191" s="3"/>
    </row>
    <row r="192">
      <c r="D192" s="3"/>
      <c r="G192" s="3"/>
      <c r="J192" s="3"/>
    </row>
    <row r="193">
      <c r="D193" s="3"/>
      <c r="G193" s="3"/>
      <c r="J193" s="3"/>
    </row>
    <row r="194">
      <c r="D194" s="3"/>
      <c r="G194" s="3"/>
      <c r="J194" s="3"/>
    </row>
    <row r="195">
      <c r="D195" s="3"/>
      <c r="G195" s="3"/>
      <c r="J195" s="3"/>
    </row>
    <row r="196">
      <c r="D196" s="3"/>
      <c r="G196" s="3"/>
      <c r="J196" s="3"/>
    </row>
    <row r="197">
      <c r="D197" s="3"/>
      <c r="G197" s="3"/>
      <c r="J197" s="3"/>
    </row>
    <row r="198">
      <c r="D198" s="3"/>
      <c r="G198" s="3"/>
      <c r="J198" s="3"/>
    </row>
    <row r="199">
      <c r="D199" s="3"/>
      <c r="G199" s="3"/>
      <c r="J199" s="3"/>
    </row>
    <row r="200">
      <c r="D200" s="3"/>
      <c r="G200" s="3"/>
      <c r="J200" s="3"/>
    </row>
    <row r="201">
      <c r="D201" s="3"/>
      <c r="G201" s="3"/>
      <c r="J201" s="3"/>
    </row>
    <row r="202">
      <c r="D202" s="3"/>
      <c r="G202" s="3"/>
      <c r="J202" s="3"/>
    </row>
    <row r="203">
      <c r="D203" s="3"/>
      <c r="G203" s="3"/>
      <c r="J203" s="3"/>
    </row>
    <row r="204">
      <c r="D204" s="3"/>
      <c r="G204" s="3"/>
      <c r="J204" s="3"/>
    </row>
    <row r="205">
      <c r="D205" s="3"/>
      <c r="G205" s="3"/>
      <c r="J205" s="3"/>
    </row>
    <row r="206">
      <c r="D206" s="3"/>
      <c r="G206" s="3"/>
      <c r="J206" s="3"/>
    </row>
    <row r="207">
      <c r="D207" s="3"/>
      <c r="G207" s="3"/>
      <c r="J207" s="3"/>
    </row>
    <row r="208">
      <c r="D208" s="3"/>
      <c r="G208" s="3"/>
      <c r="J208" s="3"/>
    </row>
    <row r="209">
      <c r="D209" s="3"/>
      <c r="G209" s="3"/>
      <c r="J209" s="3"/>
    </row>
    <row r="210">
      <c r="D210" s="3"/>
      <c r="G210" s="3"/>
      <c r="J210" s="3"/>
    </row>
    <row r="211">
      <c r="D211" s="3"/>
      <c r="G211" s="3"/>
      <c r="J211" s="3"/>
    </row>
    <row r="212">
      <c r="D212" s="3"/>
      <c r="G212" s="3"/>
      <c r="J212" s="3"/>
    </row>
    <row r="213">
      <c r="D213" s="3"/>
      <c r="G213" s="3"/>
      <c r="J213" s="3"/>
    </row>
    <row r="214">
      <c r="D214" s="3"/>
      <c r="G214" s="3"/>
      <c r="J214" s="3"/>
    </row>
    <row r="215">
      <c r="D215" s="3"/>
      <c r="G215" s="3"/>
      <c r="J215" s="3"/>
    </row>
    <row r="216">
      <c r="D216" s="3"/>
      <c r="G216" s="3"/>
      <c r="J216" s="3"/>
    </row>
    <row r="217">
      <c r="D217" s="3"/>
      <c r="G217" s="3"/>
      <c r="J217" s="3"/>
    </row>
    <row r="218">
      <c r="D218" s="3"/>
      <c r="G218" s="3"/>
      <c r="J218" s="3"/>
    </row>
    <row r="219">
      <c r="D219" s="3"/>
      <c r="G219" s="3"/>
      <c r="J219" s="3"/>
    </row>
    <row r="220">
      <c r="D220" s="3"/>
      <c r="G220" s="3"/>
      <c r="J220" s="3"/>
    </row>
    <row r="221">
      <c r="D221" s="3"/>
      <c r="G221" s="3"/>
      <c r="J221" s="3"/>
    </row>
    <row r="222">
      <c r="D222" s="3"/>
      <c r="G222" s="3"/>
      <c r="J222" s="3"/>
    </row>
    <row r="223">
      <c r="D223" s="3"/>
      <c r="G223" s="3"/>
      <c r="J223" s="3"/>
    </row>
    <row r="224">
      <c r="D224" s="3"/>
      <c r="G224" s="3"/>
      <c r="J224" s="3"/>
    </row>
    <row r="225">
      <c r="D225" s="3"/>
      <c r="G225" s="3"/>
      <c r="J225" s="3"/>
    </row>
    <row r="226">
      <c r="D226" s="3"/>
      <c r="G226" s="3"/>
      <c r="J226" s="3"/>
    </row>
    <row r="227">
      <c r="D227" s="3"/>
      <c r="G227" s="3"/>
      <c r="J227" s="3"/>
    </row>
    <row r="228">
      <c r="D228" s="3"/>
      <c r="G228" s="3"/>
      <c r="J228" s="3"/>
    </row>
    <row r="229">
      <c r="D229" s="3"/>
      <c r="G229" s="3"/>
      <c r="J229" s="3"/>
    </row>
    <row r="230">
      <c r="D230" s="3"/>
      <c r="G230" s="3"/>
      <c r="J230" s="3"/>
    </row>
    <row r="231">
      <c r="D231" s="3"/>
      <c r="G231" s="3"/>
      <c r="J231" s="3"/>
    </row>
    <row r="232">
      <c r="D232" s="3"/>
      <c r="G232" s="3"/>
      <c r="J232" s="3"/>
    </row>
    <row r="233">
      <c r="D233" s="3"/>
      <c r="G233" s="3"/>
      <c r="J233" s="3"/>
    </row>
    <row r="234">
      <c r="D234" s="3"/>
      <c r="G234" s="3"/>
      <c r="J234" s="3"/>
    </row>
    <row r="235">
      <c r="D235" s="3"/>
      <c r="G235" s="3"/>
      <c r="J235" s="3"/>
    </row>
    <row r="236">
      <c r="D236" s="3"/>
      <c r="G236" s="3"/>
      <c r="J236" s="3"/>
    </row>
    <row r="237">
      <c r="D237" s="3"/>
      <c r="G237" s="3"/>
      <c r="J237" s="3"/>
    </row>
    <row r="238">
      <c r="D238" s="3"/>
      <c r="G238" s="3"/>
      <c r="J238" s="3"/>
    </row>
    <row r="239">
      <c r="D239" s="3"/>
      <c r="G239" s="3"/>
      <c r="J239" s="3"/>
    </row>
    <row r="240">
      <c r="D240" s="3"/>
      <c r="G240" s="3"/>
      <c r="J240" s="3"/>
    </row>
    <row r="241">
      <c r="D241" s="3"/>
      <c r="G241" s="3"/>
      <c r="J241" s="3"/>
    </row>
    <row r="242">
      <c r="D242" s="3"/>
      <c r="G242" s="3"/>
      <c r="J242" s="3"/>
    </row>
    <row r="243">
      <c r="D243" s="3"/>
      <c r="G243" s="3"/>
      <c r="J243" s="3"/>
    </row>
    <row r="244">
      <c r="D244" s="3"/>
      <c r="G244" s="3"/>
      <c r="J244" s="3"/>
    </row>
    <row r="245">
      <c r="D245" s="3"/>
      <c r="G245" s="3"/>
      <c r="J245" s="3"/>
    </row>
    <row r="246">
      <c r="D246" s="3"/>
      <c r="G246" s="3"/>
      <c r="J246" s="3"/>
    </row>
    <row r="247">
      <c r="D247" s="3"/>
      <c r="G247" s="3"/>
      <c r="J247" s="3"/>
    </row>
    <row r="248">
      <c r="D248" s="3"/>
      <c r="G248" s="3"/>
      <c r="J248" s="3"/>
    </row>
    <row r="249">
      <c r="D249" s="3"/>
      <c r="G249" s="3"/>
      <c r="J249" s="3"/>
    </row>
    <row r="250">
      <c r="D250" s="3"/>
      <c r="G250" s="3"/>
      <c r="J250" s="3"/>
    </row>
    <row r="251">
      <c r="D251" s="3"/>
      <c r="G251" s="3"/>
      <c r="J251" s="3"/>
    </row>
    <row r="252">
      <c r="D252" s="3"/>
      <c r="G252" s="3"/>
      <c r="J252" s="3"/>
    </row>
    <row r="253">
      <c r="D253" s="3"/>
      <c r="G253" s="3"/>
      <c r="J253" s="3"/>
    </row>
    <row r="254">
      <c r="D254" s="3"/>
      <c r="G254" s="3"/>
      <c r="J254" s="3"/>
    </row>
    <row r="255">
      <c r="D255" s="3"/>
      <c r="G255" s="3"/>
      <c r="J255" s="3"/>
    </row>
    <row r="256">
      <c r="D256" s="3"/>
      <c r="G256" s="3"/>
      <c r="J256" s="3"/>
    </row>
    <row r="257">
      <c r="D257" s="3"/>
      <c r="G257" s="3"/>
      <c r="J257" s="3"/>
    </row>
    <row r="258">
      <c r="D258" s="3"/>
      <c r="G258" s="3"/>
      <c r="J258" s="3"/>
    </row>
    <row r="259">
      <c r="D259" s="3"/>
      <c r="G259" s="3"/>
      <c r="J259" s="3"/>
    </row>
    <row r="260">
      <c r="D260" s="3"/>
      <c r="G260" s="3"/>
      <c r="J260" s="3"/>
    </row>
    <row r="261">
      <c r="D261" s="3"/>
      <c r="G261" s="3"/>
      <c r="J261" s="3"/>
    </row>
    <row r="262">
      <c r="D262" s="3"/>
      <c r="G262" s="3"/>
      <c r="J262" s="3"/>
    </row>
    <row r="263">
      <c r="D263" s="3"/>
      <c r="G263" s="3"/>
      <c r="J263" s="3"/>
    </row>
    <row r="264">
      <c r="D264" s="3"/>
      <c r="G264" s="3"/>
      <c r="J264" s="3"/>
    </row>
    <row r="265">
      <c r="D265" s="3"/>
      <c r="G265" s="3"/>
      <c r="J265" s="3"/>
    </row>
    <row r="266">
      <c r="D266" s="3"/>
      <c r="G266" s="3"/>
      <c r="J266" s="3"/>
    </row>
    <row r="267">
      <c r="D267" s="3"/>
      <c r="G267" s="3"/>
      <c r="J267" s="3"/>
    </row>
    <row r="268">
      <c r="D268" s="3"/>
      <c r="G268" s="3"/>
      <c r="J268" s="3"/>
    </row>
    <row r="269">
      <c r="D269" s="3"/>
      <c r="G269" s="3"/>
      <c r="J269" s="3"/>
    </row>
    <row r="270">
      <c r="D270" s="3"/>
      <c r="G270" s="3"/>
      <c r="J270" s="3"/>
    </row>
    <row r="271">
      <c r="D271" s="3"/>
      <c r="G271" s="3"/>
      <c r="J271" s="3"/>
    </row>
    <row r="272">
      <c r="D272" s="3"/>
      <c r="G272" s="3"/>
      <c r="J272" s="3"/>
    </row>
    <row r="273">
      <c r="D273" s="3"/>
      <c r="G273" s="3"/>
      <c r="J273" s="3"/>
    </row>
    <row r="274">
      <c r="D274" s="3"/>
      <c r="G274" s="3"/>
      <c r="J274" s="3"/>
    </row>
    <row r="275">
      <c r="D275" s="3"/>
      <c r="G275" s="3"/>
      <c r="J275" s="3"/>
    </row>
    <row r="276">
      <c r="D276" s="3"/>
      <c r="G276" s="3"/>
      <c r="J276" s="3"/>
    </row>
    <row r="277">
      <c r="D277" s="3"/>
      <c r="G277" s="3"/>
      <c r="J277" s="3"/>
    </row>
    <row r="278">
      <c r="D278" s="3"/>
      <c r="G278" s="3"/>
      <c r="J278" s="3"/>
    </row>
    <row r="279">
      <c r="D279" s="3"/>
      <c r="G279" s="3"/>
      <c r="J279" s="3"/>
    </row>
    <row r="280">
      <c r="D280" s="3"/>
      <c r="G280" s="3"/>
      <c r="J280" s="3"/>
    </row>
    <row r="281">
      <c r="D281" s="3"/>
      <c r="G281" s="3"/>
      <c r="J281" s="3"/>
    </row>
    <row r="282">
      <c r="D282" s="3"/>
      <c r="G282" s="3"/>
      <c r="J282" s="3"/>
    </row>
    <row r="283">
      <c r="D283" s="3"/>
      <c r="G283" s="3"/>
      <c r="J283" s="3"/>
    </row>
    <row r="284">
      <c r="D284" s="3"/>
      <c r="G284" s="3"/>
      <c r="J284" s="3"/>
    </row>
    <row r="285">
      <c r="D285" s="3"/>
      <c r="G285" s="3"/>
      <c r="J285" s="3"/>
    </row>
    <row r="286">
      <c r="D286" s="3"/>
      <c r="G286" s="3"/>
      <c r="J286" s="3"/>
    </row>
    <row r="287">
      <c r="D287" s="3"/>
      <c r="G287" s="3"/>
      <c r="J287" s="3"/>
    </row>
    <row r="288">
      <c r="D288" s="3"/>
      <c r="G288" s="3"/>
      <c r="J288" s="3"/>
    </row>
    <row r="289">
      <c r="D289" s="3"/>
      <c r="G289" s="3"/>
      <c r="J289" s="3"/>
    </row>
    <row r="290">
      <c r="D290" s="3"/>
      <c r="G290" s="3"/>
      <c r="J290" s="3"/>
    </row>
    <row r="291">
      <c r="D291" s="3"/>
      <c r="G291" s="3"/>
      <c r="J291" s="3"/>
    </row>
    <row r="292">
      <c r="D292" s="3"/>
      <c r="G292" s="3"/>
      <c r="J292" s="3"/>
    </row>
    <row r="293">
      <c r="D293" s="3"/>
      <c r="G293" s="3"/>
      <c r="J293" s="3"/>
    </row>
    <row r="294">
      <c r="D294" s="3"/>
      <c r="G294" s="3"/>
      <c r="J294" s="3"/>
    </row>
    <row r="295">
      <c r="D295" s="3"/>
      <c r="G295" s="3"/>
      <c r="J295" s="3"/>
    </row>
    <row r="296">
      <c r="D296" s="3"/>
      <c r="G296" s="3"/>
      <c r="J296" s="3"/>
    </row>
    <row r="297">
      <c r="D297" s="3"/>
      <c r="G297" s="3"/>
      <c r="J297" s="3"/>
    </row>
    <row r="298">
      <c r="D298" s="3"/>
      <c r="G298" s="3"/>
      <c r="J298" s="3"/>
    </row>
    <row r="299">
      <c r="D299" s="3"/>
      <c r="G299" s="3"/>
      <c r="J299" s="3"/>
    </row>
    <row r="300">
      <c r="D300" s="3"/>
      <c r="G300" s="3"/>
      <c r="J300" s="3"/>
    </row>
    <row r="301">
      <c r="D301" s="3"/>
      <c r="G301" s="3"/>
      <c r="J301" s="3"/>
    </row>
    <row r="302">
      <c r="D302" s="3"/>
      <c r="G302" s="3"/>
      <c r="J302" s="3"/>
    </row>
    <row r="303">
      <c r="D303" s="3"/>
      <c r="G303" s="3"/>
      <c r="J303" s="3"/>
    </row>
    <row r="304">
      <c r="D304" s="3"/>
      <c r="G304" s="3"/>
      <c r="J304" s="3"/>
    </row>
    <row r="305">
      <c r="D305" s="3"/>
      <c r="G305" s="3"/>
      <c r="J305" s="3"/>
    </row>
    <row r="306">
      <c r="D306" s="3"/>
      <c r="G306" s="3"/>
      <c r="J306" s="3"/>
    </row>
    <row r="307">
      <c r="D307" s="3"/>
      <c r="G307" s="3"/>
      <c r="J307" s="3"/>
    </row>
    <row r="308">
      <c r="D308" s="3"/>
      <c r="G308" s="3"/>
      <c r="J308" s="3"/>
    </row>
    <row r="309">
      <c r="D309" s="3"/>
      <c r="G309" s="3"/>
      <c r="J309" s="3"/>
    </row>
    <row r="310">
      <c r="D310" s="3"/>
      <c r="G310" s="3"/>
      <c r="J310" s="3"/>
    </row>
    <row r="311">
      <c r="D311" s="3"/>
      <c r="G311" s="3"/>
      <c r="J311" s="3"/>
    </row>
    <row r="312">
      <c r="D312" s="3"/>
      <c r="G312" s="3"/>
      <c r="J312" s="3"/>
    </row>
    <row r="313">
      <c r="D313" s="3"/>
      <c r="G313" s="3"/>
      <c r="J313" s="3"/>
    </row>
    <row r="314">
      <c r="D314" s="3"/>
      <c r="G314" s="3"/>
      <c r="J314" s="3"/>
    </row>
    <row r="315">
      <c r="D315" s="3"/>
      <c r="G315" s="3"/>
      <c r="J315" s="3"/>
    </row>
    <row r="316">
      <c r="D316" s="3"/>
      <c r="G316" s="3"/>
      <c r="J316" s="3"/>
    </row>
    <row r="317">
      <c r="D317" s="3"/>
      <c r="G317" s="3"/>
      <c r="J317" s="3"/>
    </row>
    <row r="318">
      <c r="D318" s="3"/>
      <c r="G318" s="3"/>
      <c r="J318" s="3"/>
    </row>
    <row r="319">
      <c r="D319" s="3"/>
      <c r="G319" s="3"/>
      <c r="J319" s="3"/>
    </row>
    <row r="320">
      <c r="D320" s="3"/>
      <c r="G320" s="3"/>
      <c r="J320" s="3"/>
    </row>
    <row r="321">
      <c r="D321" s="3"/>
      <c r="G321" s="3"/>
      <c r="J321" s="3"/>
    </row>
    <row r="322">
      <c r="D322" s="3"/>
      <c r="G322" s="3"/>
      <c r="J322" s="3"/>
    </row>
    <row r="323">
      <c r="D323" s="3"/>
      <c r="G323" s="3"/>
      <c r="J323" s="3"/>
    </row>
    <row r="324">
      <c r="D324" s="3"/>
      <c r="G324" s="3"/>
      <c r="J324" s="3"/>
    </row>
    <row r="325">
      <c r="D325" s="3"/>
      <c r="G325" s="3"/>
      <c r="J325" s="3"/>
    </row>
    <row r="326">
      <c r="D326" s="3"/>
      <c r="G326" s="3"/>
      <c r="J326" s="3"/>
    </row>
    <row r="327">
      <c r="D327" s="3"/>
      <c r="G327" s="3"/>
      <c r="J327" s="3"/>
    </row>
    <row r="328">
      <c r="D328" s="3"/>
      <c r="G328" s="3"/>
      <c r="J328" s="3"/>
    </row>
    <row r="329">
      <c r="D329" s="3"/>
      <c r="G329" s="3"/>
      <c r="J329" s="3"/>
    </row>
    <row r="330">
      <c r="D330" s="3"/>
      <c r="G330" s="3"/>
      <c r="J330" s="3"/>
    </row>
    <row r="331">
      <c r="D331" s="3"/>
      <c r="G331" s="3"/>
      <c r="J331" s="3"/>
    </row>
    <row r="332">
      <c r="D332" s="3"/>
      <c r="G332" s="3"/>
      <c r="J332" s="3"/>
    </row>
    <row r="333">
      <c r="D333" s="3"/>
      <c r="G333" s="3"/>
      <c r="J333" s="3"/>
    </row>
    <row r="334">
      <c r="D334" s="3"/>
      <c r="G334" s="3"/>
      <c r="J334" s="3"/>
    </row>
    <row r="335">
      <c r="D335" s="3"/>
      <c r="G335" s="3"/>
      <c r="J335" s="3"/>
    </row>
    <row r="336">
      <c r="D336" s="3"/>
      <c r="G336" s="3"/>
      <c r="J336" s="3"/>
    </row>
    <row r="337">
      <c r="D337" s="3"/>
      <c r="G337" s="3"/>
      <c r="J337" s="3"/>
    </row>
    <row r="338">
      <c r="D338" s="3"/>
      <c r="G338" s="3"/>
      <c r="J338" s="3"/>
    </row>
    <row r="339">
      <c r="D339" s="3"/>
      <c r="G339" s="3"/>
      <c r="J339" s="3"/>
    </row>
    <row r="340">
      <c r="D340" s="3"/>
      <c r="G340" s="3"/>
      <c r="J340" s="3"/>
    </row>
    <row r="341">
      <c r="D341" s="3"/>
      <c r="G341" s="3"/>
      <c r="J341" s="3"/>
    </row>
    <row r="342">
      <c r="D342" s="3"/>
      <c r="G342" s="3"/>
      <c r="J342" s="3"/>
    </row>
    <row r="343">
      <c r="D343" s="3"/>
      <c r="G343" s="3"/>
      <c r="J343" s="3"/>
    </row>
    <row r="344">
      <c r="D344" s="3"/>
      <c r="G344" s="3"/>
      <c r="J344" s="3"/>
    </row>
    <row r="345">
      <c r="D345" s="3"/>
      <c r="G345" s="3"/>
      <c r="J345" s="3"/>
    </row>
    <row r="346">
      <c r="D346" s="3"/>
      <c r="G346" s="3"/>
      <c r="J346" s="3"/>
    </row>
    <row r="347">
      <c r="D347" s="3"/>
      <c r="G347" s="3"/>
      <c r="J347" s="3"/>
    </row>
    <row r="348">
      <c r="D348" s="3"/>
      <c r="G348" s="3"/>
      <c r="J348" s="3"/>
    </row>
    <row r="349">
      <c r="D349" s="3"/>
      <c r="G349" s="3"/>
      <c r="J349" s="3"/>
    </row>
    <row r="350">
      <c r="D350" s="3"/>
      <c r="G350" s="3"/>
      <c r="J350" s="3"/>
    </row>
    <row r="351">
      <c r="D351" s="3"/>
      <c r="G351" s="3"/>
      <c r="J351" s="3"/>
    </row>
    <row r="352">
      <c r="D352" s="3"/>
      <c r="G352" s="3"/>
      <c r="J352" s="3"/>
    </row>
    <row r="353">
      <c r="D353" s="3"/>
      <c r="G353" s="3"/>
      <c r="J353" s="3"/>
    </row>
    <row r="354">
      <c r="D354" s="3"/>
      <c r="G354" s="3"/>
      <c r="J354" s="3"/>
    </row>
    <row r="355">
      <c r="D355" s="3"/>
      <c r="G355" s="3"/>
      <c r="J355" s="3"/>
    </row>
    <row r="356">
      <c r="D356" s="3"/>
      <c r="G356" s="3"/>
      <c r="J356" s="3"/>
    </row>
    <row r="357">
      <c r="D357" s="3"/>
      <c r="G357" s="3"/>
      <c r="J357" s="3"/>
    </row>
    <row r="358">
      <c r="D358" s="3"/>
      <c r="G358" s="3"/>
      <c r="J358" s="3"/>
    </row>
    <row r="359">
      <c r="D359" s="3"/>
      <c r="G359" s="3"/>
      <c r="J359" s="3"/>
    </row>
    <row r="360">
      <c r="D360" s="3"/>
      <c r="G360" s="3"/>
      <c r="J360" s="3"/>
    </row>
    <row r="361">
      <c r="D361" s="3"/>
      <c r="G361" s="3"/>
      <c r="J361" s="3"/>
    </row>
    <row r="362">
      <c r="D362" s="3"/>
      <c r="G362" s="3"/>
      <c r="J362" s="3"/>
    </row>
    <row r="363">
      <c r="D363" s="3"/>
      <c r="G363" s="3"/>
      <c r="J363" s="3"/>
    </row>
    <row r="364">
      <c r="D364" s="3"/>
      <c r="G364" s="3"/>
      <c r="J364" s="3"/>
    </row>
    <row r="365">
      <c r="D365" s="3"/>
      <c r="G365" s="3"/>
      <c r="J365" s="3"/>
    </row>
    <row r="366">
      <c r="D366" s="3"/>
      <c r="G366" s="3"/>
      <c r="J366" s="3"/>
    </row>
    <row r="367">
      <c r="D367" s="3"/>
      <c r="G367" s="3"/>
      <c r="J367" s="3"/>
    </row>
    <row r="368">
      <c r="D368" s="3"/>
      <c r="G368" s="3"/>
      <c r="J368" s="3"/>
    </row>
    <row r="369">
      <c r="D369" s="3"/>
      <c r="G369" s="3"/>
      <c r="J369" s="3"/>
    </row>
    <row r="370">
      <c r="D370" s="3"/>
      <c r="G370" s="3"/>
      <c r="J370" s="3"/>
    </row>
    <row r="371">
      <c r="D371" s="3"/>
      <c r="G371" s="3"/>
      <c r="J371" s="3"/>
    </row>
    <row r="372">
      <c r="D372" s="3"/>
      <c r="G372" s="3"/>
      <c r="J372" s="3"/>
    </row>
    <row r="373">
      <c r="D373" s="3"/>
      <c r="G373" s="3"/>
      <c r="J373" s="3"/>
    </row>
    <row r="374">
      <c r="D374" s="3"/>
      <c r="G374" s="3"/>
      <c r="J374" s="3"/>
    </row>
    <row r="375">
      <c r="D375" s="3"/>
      <c r="G375" s="3"/>
      <c r="J375" s="3"/>
    </row>
    <row r="376">
      <c r="D376" s="3"/>
      <c r="G376" s="3"/>
      <c r="J376" s="3"/>
    </row>
    <row r="377">
      <c r="D377" s="3"/>
      <c r="G377" s="3"/>
      <c r="J377" s="3"/>
    </row>
    <row r="378">
      <c r="D378" s="3"/>
      <c r="G378" s="3"/>
      <c r="J378" s="3"/>
    </row>
    <row r="379">
      <c r="D379" s="3"/>
      <c r="G379" s="3"/>
      <c r="J379" s="3"/>
    </row>
    <row r="380">
      <c r="D380" s="3"/>
      <c r="G380" s="3"/>
      <c r="J380" s="3"/>
    </row>
    <row r="381">
      <c r="D381" s="3"/>
      <c r="G381" s="3"/>
      <c r="J381" s="3"/>
    </row>
    <row r="382">
      <c r="D382" s="3"/>
      <c r="G382" s="3"/>
      <c r="J382" s="3"/>
    </row>
    <row r="383">
      <c r="D383" s="3"/>
      <c r="G383" s="3"/>
      <c r="J383" s="3"/>
    </row>
    <row r="384">
      <c r="D384" s="3"/>
      <c r="G384" s="3"/>
      <c r="J384" s="3"/>
    </row>
    <row r="385">
      <c r="D385" s="3"/>
      <c r="G385" s="3"/>
      <c r="J385" s="3"/>
    </row>
    <row r="386">
      <c r="D386" s="3"/>
      <c r="G386" s="3"/>
      <c r="J386" s="3"/>
    </row>
    <row r="387">
      <c r="D387" s="3"/>
      <c r="G387" s="3"/>
      <c r="J387" s="3"/>
    </row>
    <row r="388">
      <c r="D388" s="3"/>
      <c r="G388" s="3"/>
      <c r="J388" s="3"/>
    </row>
    <row r="389">
      <c r="D389" s="3"/>
      <c r="G389" s="3"/>
      <c r="J389" s="3"/>
    </row>
    <row r="390">
      <c r="D390" s="3"/>
      <c r="G390" s="3"/>
      <c r="J390" s="3"/>
    </row>
    <row r="391">
      <c r="D391" s="3"/>
      <c r="G391" s="3"/>
      <c r="J391" s="3"/>
    </row>
    <row r="392">
      <c r="D392" s="3"/>
      <c r="G392" s="3"/>
      <c r="J392" s="3"/>
    </row>
    <row r="393">
      <c r="D393" s="3"/>
      <c r="G393" s="3"/>
      <c r="J393" s="3"/>
    </row>
    <row r="394">
      <c r="D394" s="3"/>
      <c r="G394" s="3"/>
      <c r="J394" s="3"/>
    </row>
    <row r="395">
      <c r="D395" s="3"/>
      <c r="G395" s="3"/>
      <c r="J395" s="3"/>
    </row>
    <row r="396">
      <c r="D396" s="3"/>
      <c r="G396" s="3"/>
      <c r="J396" s="3"/>
    </row>
    <row r="397">
      <c r="D397" s="3"/>
      <c r="G397" s="3"/>
      <c r="J397" s="3"/>
    </row>
    <row r="398">
      <c r="D398" s="3"/>
      <c r="G398" s="3"/>
      <c r="J398" s="3"/>
    </row>
    <row r="399">
      <c r="D399" s="3"/>
      <c r="G399" s="3"/>
      <c r="J399" s="3"/>
    </row>
    <row r="400">
      <c r="D400" s="3"/>
      <c r="G400" s="3"/>
      <c r="J400" s="3"/>
    </row>
    <row r="401">
      <c r="D401" s="3"/>
      <c r="G401" s="3"/>
      <c r="J401" s="3"/>
    </row>
    <row r="402">
      <c r="D402" s="3"/>
      <c r="G402" s="3"/>
      <c r="J402" s="3"/>
    </row>
    <row r="403">
      <c r="D403" s="3"/>
      <c r="G403" s="3"/>
      <c r="J403" s="3"/>
    </row>
    <row r="404">
      <c r="D404" s="3"/>
      <c r="G404" s="3"/>
      <c r="J404" s="3"/>
    </row>
    <row r="405">
      <c r="D405" s="3"/>
      <c r="G405" s="3"/>
      <c r="J405" s="3"/>
    </row>
    <row r="406">
      <c r="D406" s="3"/>
      <c r="G406" s="3"/>
      <c r="J406" s="3"/>
    </row>
    <row r="407">
      <c r="D407" s="3"/>
      <c r="G407" s="3"/>
      <c r="J407" s="3"/>
    </row>
    <row r="408">
      <c r="D408" s="3"/>
      <c r="G408" s="3"/>
      <c r="J408" s="3"/>
    </row>
    <row r="409">
      <c r="D409" s="3"/>
      <c r="G409" s="3"/>
      <c r="J409" s="3"/>
    </row>
    <row r="410">
      <c r="D410" s="3"/>
      <c r="G410" s="3"/>
      <c r="J410" s="3"/>
    </row>
    <row r="411">
      <c r="D411" s="3"/>
      <c r="G411" s="3"/>
      <c r="J411" s="3"/>
    </row>
    <row r="412">
      <c r="D412" s="3"/>
      <c r="G412" s="3"/>
      <c r="J412" s="3"/>
    </row>
    <row r="413">
      <c r="D413" s="3"/>
      <c r="G413" s="3"/>
      <c r="J413" s="3"/>
    </row>
    <row r="414">
      <c r="D414" s="3"/>
      <c r="G414" s="3"/>
      <c r="J414" s="3"/>
    </row>
    <row r="415">
      <c r="D415" s="3"/>
      <c r="G415" s="3"/>
      <c r="J415" s="3"/>
    </row>
    <row r="416">
      <c r="D416" s="3"/>
      <c r="G416" s="3"/>
      <c r="J416" s="3"/>
    </row>
    <row r="417">
      <c r="D417" s="3"/>
      <c r="G417" s="3"/>
      <c r="J417" s="3"/>
    </row>
    <row r="418">
      <c r="D418" s="3"/>
      <c r="G418" s="3"/>
      <c r="J418" s="3"/>
    </row>
    <row r="419">
      <c r="D419" s="3"/>
      <c r="G419" s="3"/>
      <c r="J419" s="3"/>
    </row>
    <row r="420">
      <c r="D420" s="3"/>
      <c r="G420" s="3"/>
      <c r="J420" s="3"/>
    </row>
    <row r="421">
      <c r="D421" s="3"/>
      <c r="G421" s="3"/>
      <c r="J421" s="3"/>
    </row>
    <row r="422">
      <c r="D422" s="3"/>
      <c r="G422" s="3"/>
      <c r="J422" s="3"/>
    </row>
    <row r="423">
      <c r="D423" s="3"/>
      <c r="G423" s="3"/>
      <c r="J423" s="3"/>
    </row>
    <row r="424">
      <c r="D424" s="3"/>
      <c r="G424" s="3"/>
      <c r="J424" s="3"/>
    </row>
    <row r="425">
      <c r="D425" s="3"/>
      <c r="G425" s="3"/>
      <c r="J425" s="3"/>
    </row>
    <row r="426">
      <c r="D426" s="3"/>
      <c r="G426" s="3"/>
      <c r="J426" s="3"/>
    </row>
    <row r="427">
      <c r="D427" s="3"/>
      <c r="G427" s="3"/>
      <c r="J427" s="3"/>
    </row>
    <row r="428">
      <c r="D428" s="3"/>
      <c r="G428" s="3"/>
      <c r="J428" s="3"/>
    </row>
    <row r="429">
      <c r="D429" s="3"/>
      <c r="G429" s="3"/>
      <c r="J429" s="3"/>
    </row>
    <row r="430">
      <c r="D430" s="3"/>
      <c r="G430" s="3"/>
      <c r="J430" s="3"/>
    </row>
    <row r="431">
      <c r="D431" s="3"/>
      <c r="G431" s="3"/>
      <c r="J431" s="3"/>
    </row>
    <row r="432">
      <c r="D432" s="3"/>
      <c r="G432" s="3"/>
      <c r="J432" s="3"/>
    </row>
    <row r="433">
      <c r="D433" s="3"/>
      <c r="G433" s="3"/>
      <c r="J433" s="3"/>
    </row>
    <row r="434">
      <c r="D434" s="3"/>
      <c r="G434" s="3"/>
      <c r="J434" s="3"/>
    </row>
    <row r="435">
      <c r="D435" s="3"/>
      <c r="G435" s="3"/>
      <c r="J435" s="3"/>
    </row>
    <row r="436">
      <c r="D436" s="3"/>
      <c r="G436" s="3"/>
      <c r="J436" s="3"/>
    </row>
    <row r="437">
      <c r="D437" s="3"/>
      <c r="G437" s="3"/>
      <c r="J437" s="3"/>
    </row>
    <row r="438">
      <c r="D438" s="3"/>
      <c r="G438" s="3"/>
      <c r="J438" s="3"/>
    </row>
    <row r="439">
      <c r="D439" s="3"/>
      <c r="G439" s="3"/>
      <c r="J439" s="3"/>
    </row>
    <row r="440">
      <c r="D440" s="3"/>
      <c r="G440" s="3"/>
      <c r="J440" s="3"/>
    </row>
    <row r="441">
      <c r="D441" s="3"/>
      <c r="G441" s="3"/>
      <c r="J441" s="3"/>
    </row>
    <row r="442">
      <c r="D442" s="3"/>
      <c r="G442" s="3"/>
      <c r="J442" s="3"/>
    </row>
    <row r="443">
      <c r="D443" s="3"/>
      <c r="G443" s="3"/>
      <c r="J443" s="3"/>
    </row>
    <row r="444">
      <c r="D444" s="3"/>
      <c r="G444" s="3"/>
      <c r="J444" s="3"/>
    </row>
    <row r="445">
      <c r="D445" s="3"/>
      <c r="G445" s="3"/>
      <c r="J445" s="3"/>
    </row>
    <row r="446">
      <c r="D446" s="3"/>
      <c r="G446" s="3"/>
      <c r="J446" s="3"/>
    </row>
    <row r="447">
      <c r="D447" s="3"/>
      <c r="G447" s="3"/>
      <c r="J447" s="3"/>
    </row>
    <row r="448">
      <c r="D448" s="3"/>
      <c r="G448" s="3"/>
      <c r="J448" s="3"/>
    </row>
    <row r="449">
      <c r="D449" s="3"/>
      <c r="G449" s="3"/>
      <c r="J449" s="3"/>
    </row>
    <row r="450">
      <c r="D450" s="3"/>
      <c r="G450" s="3"/>
      <c r="J450" s="3"/>
    </row>
    <row r="451">
      <c r="D451" s="3"/>
      <c r="G451" s="3"/>
      <c r="J451" s="3"/>
    </row>
    <row r="452">
      <c r="D452" s="3"/>
      <c r="G452" s="3"/>
      <c r="J452" s="3"/>
    </row>
    <row r="453">
      <c r="D453" s="3"/>
      <c r="G453" s="3"/>
      <c r="J453" s="3"/>
    </row>
    <row r="454">
      <c r="D454" s="3"/>
      <c r="G454" s="3"/>
      <c r="J454" s="3"/>
    </row>
    <row r="455">
      <c r="D455" s="3"/>
      <c r="G455" s="3"/>
      <c r="J455" s="3"/>
    </row>
    <row r="456">
      <c r="D456" s="3"/>
      <c r="G456" s="3"/>
      <c r="J456" s="3"/>
    </row>
    <row r="457">
      <c r="D457" s="3"/>
      <c r="G457" s="3"/>
      <c r="J457" s="3"/>
    </row>
    <row r="458">
      <c r="D458" s="3"/>
      <c r="G458" s="3"/>
      <c r="J458" s="3"/>
    </row>
    <row r="459">
      <c r="D459" s="3"/>
      <c r="G459" s="3"/>
      <c r="J459" s="3"/>
    </row>
    <row r="460">
      <c r="D460" s="3"/>
      <c r="G460" s="3"/>
      <c r="J460" s="3"/>
    </row>
    <row r="461">
      <c r="D461" s="3"/>
      <c r="G461" s="3"/>
      <c r="J461" s="3"/>
    </row>
    <row r="462">
      <c r="D462" s="3"/>
      <c r="G462" s="3"/>
      <c r="J462" s="3"/>
    </row>
    <row r="463">
      <c r="D463" s="3"/>
      <c r="G463" s="3"/>
      <c r="J463" s="3"/>
    </row>
    <row r="464">
      <c r="D464" s="3"/>
      <c r="G464" s="3"/>
      <c r="J464" s="3"/>
    </row>
    <row r="465">
      <c r="D465" s="3"/>
      <c r="G465" s="3"/>
      <c r="J465" s="3"/>
    </row>
    <row r="466">
      <c r="D466" s="3"/>
      <c r="G466" s="3"/>
      <c r="J466" s="3"/>
    </row>
    <row r="467">
      <c r="D467" s="3"/>
      <c r="G467" s="3"/>
      <c r="J467" s="3"/>
    </row>
    <row r="468">
      <c r="D468" s="3"/>
      <c r="G468" s="3"/>
      <c r="J468" s="3"/>
    </row>
    <row r="469">
      <c r="D469" s="3"/>
      <c r="G469" s="3"/>
      <c r="J469" s="3"/>
    </row>
    <row r="470">
      <c r="D470" s="3"/>
      <c r="G470" s="3"/>
      <c r="J470" s="3"/>
    </row>
    <row r="471">
      <c r="D471" s="3"/>
      <c r="G471" s="3"/>
      <c r="J471" s="3"/>
    </row>
    <row r="472">
      <c r="D472" s="3"/>
      <c r="G472" s="3"/>
      <c r="J472" s="3"/>
    </row>
    <row r="473">
      <c r="D473" s="3"/>
      <c r="G473" s="3"/>
      <c r="J473" s="3"/>
    </row>
    <row r="474">
      <c r="D474" s="3"/>
      <c r="G474" s="3"/>
      <c r="J474" s="3"/>
    </row>
    <row r="475">
      <c r="D475" s="3"/>
      <c r="G475" s="3"/>
      <c r="J475" s="3"/>
    </row>
    <row r="476">
      <c r="D476" s="3"/>
      <c r="G476" s="3"/>
      <c r="J476" s="3"/>
    </row>
    <row r="477">
      <c r="D477" s="3"/>
      <c r="G477" s="3"/>
      <c r="J477" s="3"/>
    </row>
    <row r="478">
      <c r="D478" s="3"/>
      <c r="G478" s="3"/>
      <c r="J478" s="3"/>
    </row>
    <row r="479">
      <c r="D479" s="3"/>
      <c r="G479" s="3"/>
      <c r="J479" s="3"/>
    </row>
    <row r="480">
      <c r="D480" s="3"/>
      <c r="G480" s="3"/>
      <c r="J480" s="3"/>
    </row>
    <row r="481">
      <c r="D481" s="3"/>
      <c r="G481" s="3"/>
      <c r="J481" s="3"/>
    </row>
    <row r="482">
      <c r="D482" s="3"/>
      <c r="G482" s="3"/>
      <c r="J482" s="3"/>
    </row>
    <row r="483">
      <c r="D483" s="3"/>
      <c r="G483" s="3"/>
      <c r="J483" s="3"/>
    </row>
    <row r="484">
      <c r="D484" s="3"/>
      <c r="G484" s="3"/>
      <c r="J484" s="3"/>
    </row>
    <row r="485">
      <c r="D485" s="3"/>
      <c r="G485" s="3"/>
      <c r="J485" s="3"/>
    </row>
    <row r="486">
      <c r="D486" s="3"/>
      <c r="G486" s="3"/>
      <c r="J486" s="3"/>
    </row>
    <row r="487">
      <c r="D487" s="3"/>
      <c r="G487" s="3"/>
      <c r="J487" s="3"/>
    </row>
    <row r="488">
      <c r="D488" s="3"/>
      <c r="G488" s="3"/>
      <c r="J488" s="3"/>
    </row>
    <row r="489">
      <c r="D489" s="3"/>
      <c r="G489" s="3"/>
      <c r="J489" s="3"/>
    </row>
    <row r="490">
      <c r="D490" s="3"/>
      <c r="G490" s="3"/>
      <c r="J490" s="3"/>
    </row>
    <row r="491">
      <c r="D491" s="3"/>
      <c r="G491" s="3"/>
      <c r="J491" s="3"/>
    </row>
    <row r="492">
      <c r="D492" s="3"/>
      <c r="G492" s="3"/>
      <c r="J492" s="3"/>
    </row>
    <row r="493">
      <c r="D493" s="3"/>
      <c r="G493" s="3"/>
      <c r="J493" s="3"/>
    </row>
    <row r="494">
      <c r="D494" s="3"/>
      <c r="G494" s="3"/>
      <c r="J494" s="3"/>
    </row>
    <row r="495">
      <c r="D495" s="3"/>
      <c r="G495" s="3"/>
      <c r="J495" s="3"/>
    </row>
    <row r="496">
      <c r="D496" s="3"/>
      <c r="G496" s="3"/>
      <c r="J496" s="3"/>
    </row>
    <row r="497">
      <c r="D497" s="3"/>
      <c r="G497" s="3"/>
      <c r="J497" s="3"/>
    </row>
    <row r="498">
      <c r="D498" s="3"/>
      <c r="G498" s="3"/>
      <c r="J498" s="3"/>
    </row>
    <row r="499">
      <c r="D499" s="3"/>
      <c r="G499" s="3"/>
      <c r="J499" s="3"/>
    </row>
    <row r="500">
      <c r="D500" s="3"/>
      <c r="G500" s="3"/>
      <c r="J500" s="3"/>
    </row>
    <row r="501">
      <c r="D501" s="3"/>
      <c r="G501" s="3"/>
      <c r="J501" s="3"/>
    </row>
    <row r="502">
      <c r="D502" s="3"/>
      <c r="G502" s="3"/>
      <c r="J502" s="3"/>
    </row>
    <row r="503">
      <c r="D503" s="3"/>
      <c r="G503" s="3"/>
      <c r="J503" s="3"/>
    </row>
    <row r="504">
      <c r="D504" s="3"/>
      <c r="G504" s="3"/>
      <c r="J504" s="3"/>
    </row>
    <row r="505">
      <c r="D505" s="3"/>
      <c r="G505" s="3"/>
      <c r="J505" s="3"/>
    </row>
    <row r="506">
      <c r="D506" s="3"/>
      <c r="G506" s="3"/>
      <c r="J506" s="3"/>
    </row>
    <row r="507">
      <c r="D507" s="3"/>
      <c r="G507" s="3"/>
      <c r="J507" s="3"/>
    </row>
    <row r="508">
      <c r="D508" s="3"/>
      <c r="G508" s="3"/>
      <c r="J508" s="3"/>
    </row>
    <row r="509">
      <c r="D509" s="3"/>
      <c r="G509" s="3"/>
      <c r="J509" s="3"/>
    </row>
    <row r="510">
      <c r="D510" s="3"/>
      <c r="G510" s="3"/>
      <c r="J510" s="3"/>
    </row>
    <row r="511">
      <c r="D511" s="3"/>
      <c r="G511" s="3"/>
      <c r="J511" s="3"/>
    </row>
    <row r="512">
      <c r="D512" s="3"/>
      <c r="G512" s="3"/>
      <c r="J512" s="3"/>
    </row>
    <row r="513">
      <c r="D513" s="3"/>
      <c r="G513" s="3"/>
      <c r="J513" s="3"/>
    </row>
    <row r="514">
      <c r="D514" s="3"/>
      <c r="G514" s="3"/>
      <c r="J514" s="3"/>
    </row>
    <row r="515">
      <c r="D515" s="3"/>
      <c r="G515" s="3"/>
      <c r="J515" s="3"/>
    </row>
    <row r="516">
      <c r="D516" s="3"/>
      <c r="G516" s="3"/>
      <c r="J516" s="3"/>
    </row>
    <row r="517">
      <c r="D517" s="3"/>
      <c r="G517" s="3"/>
      <c r="J517" s="3"/>
    </row>
    <row r="518">
      <c r="D518" s="3"/>
      <c r="G518" s="3"/>
      <c r="J518" s="3"/>
    </row>
    <row r="519">
      <c r="D519" s="3"/>
      <c r="G519" s="3"/>
      <c r="J519" s="3"/>
    </row>
    <row r="520">
      <c r="D520" s="3"/>
      <c r="G520" s="3"/>
      <c r="J520" s="3"/>
    </row>
    <row r="521">
      <c r="D521" s="3"/>
      <c r="G521" s="3"/>
      <c r="J521" s="3"/>
    </row>
    <row r="522">
      <c r="D522" s="3"/>
      <c r="G522" s="3"/>
      <c r="J522" s="3"/>
    </row>
    <row r="523">
      <c r="D523" s="3"/>
      <c r="G523" s="3"/>
      <c r="J523" s="3"/>
    </row>
    <row r="524">
      <c r="D524" s="3"/>
      <c r="G524" s="3"/>
      <c r="J524" s="3"/>
    </row>
    <row r="525">
      <c r="D525" s="3"/>
      <c r="G525" s="3"/>
      <c r="J525" s="3"/>
    </row>
    <row r="526">
      <c r="D526" s="3"/>
      <c r="G526" s="3"/>
      <c r="J526" s="3"/>
    </row>
    <row r="527">
      <c r="D527" s="3"/>
      <c r="G527" s="3"/>
      <c r="J527" s="3"/>
    </row>
    <row r="528">
      <c r="D528" s="3"/>
      <c r="G528" s="3"/>
      <c r="J528" s="3"/>
    </row>
    <row r="529">
      <c r="D529" s="3"/>
      <c r="G529" s="3"/>
      <c r="J529" s="3"/>
    </row>
    <row r="530">
      <c r="D530" s="3"/>
      <c r="G530" s="3"/>
      <c r="J530" s="3"/>
    </row>
    <row r="531">
      <c r="D531" s="3"/>
      <c r="G531" s="3"/>
      <c r="J531" s="3"/>
    </row>
    <row r="532">
      <c r="D532" s="3"/>
      <c r="G532" s="3"/>
      <c r="J532" s="3"/>
    </row>
    <row r="533">
      <c r="D533" s="3"/>
      <c r="G533" s="3"/>
      <c r="J533" s="3"/>
    </row>
    <row r="534">
      <c r="D534" s="3"/>
      <c r="G534" s="3"/>
      <c r="J534" s="3"/>
    </row>
    <row r="535">
      <c r="D535" s="3"/>
      <c r="G535" s="3"/>
      <c r="J535" s="3"/>
    </row>
    <row r="536">
      <c r="D536" s="3"/>
      <c r="G536" s="3"/>
      <c r="J536" s="3"/>
    </row>
    <row r="537">
      <c r="D537" s="3"/>
      <c r="G537" s="3"/>
      <c r="J537" s="3"/>
    </row>
    <row r="538">
      <c r="D538" s="3"/>
      <c r="G538" s="3"/>
      <c r="J538" s="3"/>
    </row>
    <row r="539">
      <c r="D539" s="3"/>
      <c r="G539" s="3"/>
      <c r="J539" s="3"/>
    </row>
    <row r="540">
      <c r="D540" s="3"/>
      <c r="G540" s="3"/>
      <c r="J540" s="3"/>
    </row>
    <row r="541">
      <c r="D541" s="3"/>
      <c r="G541" s="3"/>
      <c r="J541" s="3"/>
    </row>
    <row r="542">
      <c r="D542" s="3"/>
      <c r="G542" s="3"/>
      <c r="J542" s="3"/>
    </row>
    <row r="543">
      <c r="D543" s="3"/>
      <c r="G543" s="3"/>
      <c r="J543" s="3"/>
    </row>
    <row r="544">
      <c r="D544" s="3"/>
      <c r="G544" s="3"/>
      <c r="J544" s="3"/>
    </row>
    <row r="545">
      <c r="D545" s="3"/>
      <c r="G545" s="3"/>
      <c r="J545" s="3"/>
    </row>
    <row r="546">
      <c r="D546" s="3"/>
      <c r="G546" s="3"/>
      <c r="J546" s="3"/>
    </row>
    <row r="547">
      <c r="D547" s="3"/>
      <c r="G547" s="3"/>
      <c r="J547" s="3"/>
    </row>
    <row r="548">
      <c r="D548" s="3"/>
      <c r="G548" s="3"/>
      <c r="J548" s="3"/>
    </row>
    <row r="549">
      <c r="D549" s="3"/>
      <c r="G549" s="3"/>
      <c r="J549" s="3"/>
    </row>
    <row r="550">
      <c r="D550" s="3"/>
      <c r="G550" s="3"/>
      <c r="J550" s="3"/>
    </row>
    <row r="551">
      <c r="D551" s="3"/>
      <c r="G551" s="3"/>
      <c r="J551" s="3"/>
    </row>
    <row r="552">
      <c r="D552" s="3"/>
      <c r="G552" s="3"/>
      <c r="J552" s="3"/>
    </row>
    <row r="553">
      <c r="D553" s="3"/>
      <c r="G553" s="3"/>
      <c r="J553" s="3"/>
    </row>
    <row r="554">
      <c r="D554" s="3"/>
      <c r="G554" s="3"/>
      <c r="J554" s="3"/>
    </row>
    <row r="555">
      <c r="D555" s="3"/>
      <c r="G555" s="3"/>
      <c r="J555" s="3"/>
    </row>
    <row r="556">
      <c r="D556" s="3"/>
      <c r="G556" s="3"/>
      <c r="J556" s="3"/>
    </row>
    <row r="557">
      <c r="D557" s="3"/>
      <c r="G557" s="3"/>
      <c r="J557" s="3"/>
    </row>
    <row r="558">
      <c r="D558" s="3"/>
      <c r="G558" s="3"/>
      <c r="J558" s="3"/>
    </row>
    <row r="559">
      <c r="D559" s="3"/>
      <c r="G559" s="3"/>
      <c r="J559" s="3"/>
    </row>
    <row r="560">
      <c r="D560" s="3"/>
      <c r="G560" s="3"/>
      <c r="J560" s="3"/>
    </row>
    <row r="561">
      <c r="D561" s="3"/>
      <c r="G561" s="3"/>
      <c r="J561" s="3"/>
    </row>
    <row r="562">
      <c r="D562" s="3"/>
      <c r="G562" s="3"/>
      <c r="J562" s="3"/>
    </row>
    <row r="563">
      <c r="D563" s="3"/>
      <c r="G563" s="3"/>
      <c r="J563" s="3"/>
    </row>
    <row r="564">
      <c r="D564" s="3"/>
      <c r="G564" s="3"/>
      <c r="J564" s="3"/>
    </row>
    <row r="565">
      <c r="D565" s="3"/>
      <c r="G565" s="3"/>
      <c r="J565" s="3"/>
    </row>
    <row r="566">
      <c r="D566" s="3"/>
      <c r="G566" s="3"/>
      <c r="J566" s="3"/>
    </row>
    <row r="567">
      <c r="D567" s="3"/>
      <c r="G567" s="3"/>
      <c r="J567" s="3"/>
    </row>
    <row r="568">
      <c r="D568" s="3"/>
      <c r="G568" s="3"/>
      <c r="J568" s="3"/>
    </row>
    <row r="569">
      <c r="D569" s="3"/>
      <c r="G569" s="3"/>
      <c r="J569" s="3"/>
    </row>
    <row r="570">
      <c r="D570" s="3"/>
      <c r="G570" s="3"/>
      <c r="J570" s="3"/>
    </row>
    <row r="571">
      <c r="D571" s="3"/>
      <c r="G571" s="3"/>
      <c r="J571" s="3"/>
    </row>
    <row r="572">
      <c r="D572" s="3"/>
      <c r="G572" s="3"/>
      <c r="J572" s="3"/>
    </row>
    <row r="573">
      <c r="D573" s="3"/>
      <c r="G573" s="3"/>
      <c r="J573" s="3"/>
    </row>
    <row r="574">
      <c r="D574" s="3"/>
      <c r="G574" s="3"/>
      <c r="J574" s="3"/>
    </row>
    <row r="575">
      <c r="D575" s="3"/>
      <c r="G575" s="3"/>
      <c r="J575" s="3"/>
    </row>
    <row r="576">
      <c r="D576" s="3"/>
      <c r="G576" s="3"/>
      <c r="J576" s="3"/>
    </row>
    <row r="577">
      <c r="D577" s="3"/>
      <c r="G577" s="3"/>
      <c r="J577" s="3"/>
    </row>
    <row r="578">
      <c r="D578" s="3"/>
      <c r="G578" s="3"/>
      <c r="J578" s="3"/>
    </row>
    <row r="579">
      <c r="D579" s="3"/>
      <c r="G579" s="3"/>
      <c r="J579" s="3"/>
    </row>
    <row r="580">
      <c r="D580" s="3"/>
      <c r="G580" s="3"/>
      <c r="J580" s="3"/>
    </row>
    <row r="581">
      <c r="D581" s="3"/>
      <c r="G581" s="3"/>
      <c r="J581" s="3"/>
    </row>
    <row r="582">
      <c r="D582" s="3"/>
      <c r="G582" s="3"/>
      <c r="J582" s="3"/>
    </row>
    <row r="583">
      <c r="D583" s="3"/>
      <c r="G583" s="3"/>
      <c r="J583" s="3"/>
    </row>
    <row r="584">
      <c r="D584" s="3"/>
      <c r="G584" s="3"/>
      <c r="J584" s="3"/>
    </row>
    <row r="585">
      <c r="D585" s="3"/>
      <c r="G585" s="3"/>
      <c r="J585" s="3"/>
    </row>
    <row r="586">
      <c r="D586" s="3"/>
      <c r="G586" s="3"/>
      <c r="J586" s="3"/>
    </row>
    <row r="587">
      <c r="D587" s="3"/>
      <c r="G587" s="3"/>
      <c r="J587" s="3"/>
    </row>
    <row r="588">
      <c r="D588" s="3"/>
      <c r="G588" s="3"/>
      <c r="J588" s="3"/>
    </row>
    <row r="589">
      <c r="D589" s="3"/>
      <c r="G589" s="3"/>
      <c r="J589" s="3"/>
    </row>
    <row r="590">
      <c r="D590" s="3"/>
      <c r="G590" s="3"/>
      <c r="J590" s="3"/>
    </row>
    <row r="591">
      <c r="D591" s="3"/>
      <c r="G591" s="3"/>
      <c r="J591" s="3"/>
    </row>
    <row r="592">
      <c r="D592" s="3"/>
      <c r="G592" s="3"/>
      <c r="J592" s="3"/>
    </row>
    <row r="593">
      <c r="D593" s="3"/>
      <c r="G593" s="3"/>
      <c r="J593" s="3"/>
    </row>
    <row r="594">
      <c r="D594" s="3"/>
      <c r="G594" s="3"/>
      <c r="J594" s="3"/>
    </row>
    <row r="595">
      <c r="D595" s="3"/>
      <c r="G595" s="3"/>
      <c r="J595" s="3"/>
    </row>
    <row r="596">
      <c r="D596" s="3"/>
      <c r="G596" s="3"/>
      <c r="J596" s="3"/>
    </row>
    <row r="597">
      <c r="D597" s="3"/>
      <c r="G597" s="3"/>
      <c r="J597" s="3"/>
    </row>
    <row r="598">
      <c r="D598" s="3"/>
      <c r="G598" s="3"/>
      <c r="J598" s="3"/>
    </row>
    <row r="599">
      <c r="D599" s="3"/>
      <c r="G599" s="3"/>
      <c r="J599" s="3"/>
    </row>
    <row r="600">
      <c r="D600" s="3"/>
      <c r="G600" s="3"/>
      <c r="J600" s="3"/>
    </row>
    <row r="601">
      <c r="D601" s="3"/>
      <c r="G601" s="3"/>
      <c r="J601" s="3"/>
    </row>
    <row r="602">
      <c r="D602" s="3"/>
      <c r="G602" s="3"/>
      <c r="J602" s="3"/>
    </row>
    <row r="603">
      <c r="D603" s="3"/>
      <c r="G603" s="3"/>
      <c r="J603" s="3"/>
    </row>
    <row r="604">
      <c r="D604" s="3"/>
      <c r="G604" s="3"/>
      <c r="J604" s="3"/>
    </row>
    <row r="605">
      <c r="D605" s="3"/>
      <c r="G605" s="3"/>
      <c r="J605" s="3"/>
    </row>
    <row r="606">
      <c r="D606" s="3"/>
      <c r="G606" s="3"/>
      <c r="J606" s="3"/>
    </row>
    <row r="607">
      <c r="D607" s="3"/>
      <c r="G607" s="3"/>
      <c r="J607" s="3"/>
    </row>
    <row r="608">
      <c r="D608" s="3"/>
      <c r="G608" s="3"/>
      <c r="J608" s="3"/>
    </row>
    <row r="609">
      <c r="D609" s="3"/>
      <c r="G609" s="3"/>
      <c r="J609" s="3"/>
    </row>
    <row r="610">
      <c r="D610" s="3"/>
      <c r="G610" s="3"/>
      <c r="J610" s="3"/>
    </row>
    <row r="611">
      <c r="D611" s="3"/>
      <c r="G611" s="3"/>
      <c r="J611" s="3"/>
    </row>
    <row r="612">
      <c r="D612" s="3"/>
      <c r="G612" s="3"/>
      <c r="J612" s="3"/>
    </row>
    <row r="613">
      <c r="D613" s="3"/>
      <c r="G613" s="3"/>
      <c r="J613" s="3"/>
    </row>
    <row r="614">
      <c r="D614" s="3"/>
      <c r="G614" s="3"/>
      <c r="J614" s="3"/>
    </row>
    <row r="615">
      <c r="D615" s="3"/>
      <c r="G615" s="3"/>
      <c r="J615" s="3"/>
    </row>
    <row r="616">
      <c r="D616" s="3"/>
      <c r="G616" s="3"/>
      <c r="J616" s="3"/>
    </row>
    <row r="617">
      <c r="D617" s="3"/>
      <c r="G617" s="3"/>
      <c r="J617" s="3"/>
    </row>
    <row r="618">
      <c r="D618" s="3"/>
      <c r="G618" s="3"/>
      <c r="J618" s="3"/>
    </row>
    <row r="619">
      <c r="D619" s="3"/>
      <c r="G619" s="3"/>
      <c r="J619" s="3"/>
    </row>
    <row r="620">
      <c r="D620" s="3"/>
      <c r="G620" s="3"/>
      <c r="J620" s="3"/>
    </row>
    <row r="621">
      <c r="D621" s="3"/>
      <c r="G621" s="3"/>
      <c r="J621" s="3"/>
    </row>
    <row r="622">
      <c r="D622" s="3"/>
      <c r="G622" s="3"/>
      <c r="J622" s="3"/>
    </row>
    <row r="623">
      <c r="D623" s="3"/>
      <c r="G623" s="3"/>
      <c r="J623" s="3"/>
    </row>
    <row r="624">
      <c r="D624" s="3"/>
      <c r="G624" s="3"/>
      <c r="J624" s="3"/>
    </row>
    <row r="625">
      <c r="D625" s="3"/>
      <c r="G625" s="3"/>
      <c r="J625" s="3"/>
    </row>
    <row r="626">
      <c r="D626" s="3"/>
      <c r="G626" s="3"/>
      <c r="J626" s="3"/>
    </row>
    <row r="627">
      <c r="D627" s="3"/>
      <c r="G627" s="3"/>
      <c r="J627" s="3"/>
    </row>
    <row r="628">
      <c r="D628" s="3"/>
      <c r="G628" s="3"/>
      <c r="J628" s="3"/>
    </row>
    <row r="629">
      <c r="D629" s="3"/>
      <c r="G629" s="3"/>
      <c r="J629" s="3"/>
    </row>
    <row r="630">
      <c r="D630" s="3"/>
      <c r="G630" s="3"/>
      <c r="J630" s="3"/>
    </row>
    <row r="631">
      <c r="D631" s="3"/>
      <c r="G631" s="3"/>
      <c r="J631" s="3"/>
    </row>
    <row r="632">
      <c r="D632" s="3"/>
      <c r="G632" s="3"/>
      <c r="J632" s="3"/>
    </row>
    <row r="633">
      <c r="D633" s="3"/>
      <c r="G633" s="3"/>
      <c r="J633" s="3"/>
    </row>
    <row r="634">
      <c r="D634" s="3"/>
      <c r="G634" s="3"/>
      <c r="J634" s="3"/>
    </row>
    <row r="635">
      <c r="D635" s="3"/>
      <c r="G635" s="3"/>
      <c r="J635" s="3"/>
    </row>
    <row r="636">
      <c r="D636" s="3"/>
      <c r="G636" s="3"/>
      <c r="J636" s="3"/>
    </row>
    <row r="637">
      <c r="D637" s="3"/>
      <c r="G637" s="3"/>
      <c r="J637" s="3"/>
    </row>
    <row r="638">
      <c r="D638" s="3"/>
      <c r="G638" s="3"/>
      <c r="J638" s="3"/>
    </row>
    <row r="639">
      <c r="D639" s="3"/>
      <c r="G639" s="3"/>
      <c r="J639" s="3"/>
    </row>
    <row r="640">
      <c r="D640" s="3"/>
      <c r="G640" s="3"/>
      <c r="J640" s="3"/>
    </row>
    <row r="641">
      <c r="D641" s="3"/>
      <c r="G641" s="3"/>
      <c r="J641" s="3"/>
    </row>
    <row r="642">
      <c r="D642" s="3"/>
      <c r="G642" s="3"/>
      <c r="J642" s="3"/>
    </row>
    <row r="643">
      <c r="D643" s="3"/>
      <c r="G643" s="3"/>
      <c r="J643" s="3"/>
    </row>
    <row r="644">
      <c r="D644" s="3"/>
      <c r="G644" s="3"/>
      <c r="J644" s="3"/>
    </row>
    <row r="645">
      <c r="D645" s="3"/>
      <c r="G645" s="3"/>
      <c r="J645" s="3"/>
    </row>
    <row r="646">
      <c r="D646" s="3"/>
      <c r="G646" s="3"/>
      <c r="J646" s="3"/>
    </row>
    <row r="647">
      <c r="D647" s="3"/>
      <c r="G647" s="3"/>
      <c r="J647" s="3"/>
    </row>
    <row r="648">
      <c r="D648" s="3"/>
      <c r="G648" s="3"/>
      <c r="J648" s="3"/>
    </row>
    <row r="649">
      <c r="D649" s="3"/>
      <c r="G649" s="3"/>
      <c r="J649" s="3"/>
    </row>
    <row r="650">
      <c r="D650" s="3"/>
      <c r="G650" s="3"/>
      <c r="J650" s="3"/>
    </row>
    <row r="651">
      <c r="D651" s="3"/>
      <c r="G651" s="3"/>
      <c r="J651" s="3"/>
    </row>
    <row r="652">
      <c r="D652" s="3"/>
      <c r="G652" s="3"/>
      <c r="J652" s="3"/>
    </row>
    <row r="653">
      <c r="D653" s="3"/>
      <c r="G653" s="3"/>
      <c r="J653" s="3"/>
    </row>
    <row r="654">
      <c r="D654" s="3"/>
      <c r="G654" s="3"/>
      <c r="J654" s="3"/>
    </row>
    <row r="655">
      <c r="D655" s="3"/>
      <c r="G655" s="3"/>
      <c r="J655" s="3"/>
    </row>
    <row r="656">
      <c r="D656" s="3"/>
      <c r="G656" s="3"/>
      <c r="J656" s="3"/>
    </row>
    <row r="657">
      <c r="D657" s="3"/>
      <c r="G657" s="3"/>
      <c r="J657" s="3"/>
    </row>
    <row r="658">
      <c r="D658" s="3"/>
      <c r="G658" s="3"/>
      <c r="J658" s="3"/>
    </row>
    <row r="659">
      <c r="D659" s="3"/>
      <c r="G659" s="3"/>
      <c r="J659" s="3"/>
    </row>
    <row r="660">
      <c r="D660" s="3"/>
      <c r="G660" s="3"/>
      <c r="J660" s="3"/>
    </row>
    <row r="661">
      <c r="D661" s="3"/>
      <c r="G661" s="3"/>
      <c r="J661" s="3"/>
    </row>
    <row r="662">
      <c r="D662" s="3"/>
      <c r="G662" s="3"/>
      <c r="J662" s="3"/>
    </row>
    <row r="663">
      <c r="D663" s="3"/>
      <c r="G663" s="3"/>
      <c r="J663" s="3"/>
    </row>
    <row r="664">
      <c r="D664" s="3"/>
      <c r="G664" s="3"/>
      <c r="J664" s="3"/>
    </row>
    <row r="665">
      <c r="D665" s="3"/>
      <c r="G665" s="3"/>
      <c r="J665" s="3"/>
    </row>
    <row r="666">
      <c r="D666" s="3"/>
      <c r="G666" s="3"/>
      <c r="J666" s="3"/>
    </row>
    <row r="667">
      <c r="D667" s="3"/>
      <c r="G667" s="3"/>
      <c r="J667" s="3"/>
    </row>
    <row r="668">
      <c r="D668" s="3"/>
      <c r="G668" s="3"/>
      <c r="J668" s="3"/>
    </row>
    <row r="669">
      <c r="D669" s="3"/>
      <c r="G669" s="3"/>
      <c r="J669" s="3"/>
    </row>
    <row r="670">
      <c r="D670" s="3"/>
      <c r="G670" s="3"/>
      <c r="J670" s="3"/>
    </row>
    <row r="671">
      <c r="D671" s="3"/>
      <c r="G671" s="3"/>
      <c r="J671" s="3"/>
    </row>
    <row r="672">
      <c r="D672" s="3"/>
      <c r="G672" s="3"/>
      <c r="J672" s="3"/>
    </row>
    <row r="673">
      <c r="D673" s="3"/>
      <c r="G673" s="3"/>
      <c r="J673" s="3"/>
    </row>
    <row r="674">
      <c r="D674" s="3"/>
      <c r="G674" s="3"/>
      <c r="J674" s="3"/>
    </row>
    <row r="675">
      <c r="D675" s="3"/>
      <c r="G675" s="3"/>
      <c r="J675" s="3"/>
    </row>
    <row r="676">
      <c r="D676" s="3"/>
      <c r="G676" s="3"/>
      <c r="J676" s="3"/>
    </row>
    <row r="677">
      <c r="D677" s="3"/>
      <c r="G677" s="3"/>
      <c r="J677" s="3"/>
    </row>
    <row r="678">
      <c r="D678" s="3"/>
      <c r="G678" s="3"/>
      <c r="J678" s="3"/>
    </row>
    <row r="679">
      <c r="D679" s="3"/>
      <c r="G679" s="3"/>
      <c r="J679" s="3"/>
    </row>
    <row r="680">
      <c r="D680" s="3"/>
      <c r="G680" s="3"/>
      <c r="J680" s="3"/>
    </row>
    <row r="681">
      <c r="D681" s="3"/>
      <c r="G681" s="3"/>
      <c r="J681" s="3"/>
    </row>
    <row r="682">
      <c r="D682" s="3"/>
      <c r="G682" s="3"/>
      <c r="J682" s="3"/>
    </row>
    <row r="683">
      <c r="D683" s="3"/>
      <c r="G683" s="3"/>
      <c r="J683" s="3"/>
    </row>
    <row r="684">
      <c r="D684" s="3"/>
      <c r="G684" s="3"/>
      <c r="J684" s="3"/>
    </row>
    <row r="685">
      <c r="D685" s="3"/>
      <c r="G685" s="3"/>
      <c r="J685" s="3"/>
    </row>
    <row r="686">
      <c r="D686" s="3"/>
      <c r="G686" s="3"/>
      <c r="J686" s="3"/>
    </row>
    <row r="687">
      <c r="D687" s="3"/>
      <c r="G687" s="3"/>
      <c r="J687" s="3"/>
    </row>
    <row r="688">
      <c r="D688" s="3"/>
      <c r="G688" s="3"/>
      <c r="J688" s="3"/>
    </row>
    <row r="689">
      <c r="D689" s="3"/>
      <c r="G689" s="3"/>
      <c r="J689" s="3"/>
    </row>
    <row r="690">
      <c r="D690" s="3"/>
      <c r="G690" s="3"/>
      <c r="J690" s="3"/>
    </row>
    <row r="691">
      <c r="D691" s="3"/>
      <c r="G691" s="3"/>
      <c r="J691" s="3"/>
    </row>
    <row r="692">
      <c r="D692" s="3"/>
      <c r="G692" s="3"/>
      <c r="J692" s="3"/>
    </row>
    <row r="693">
      <c r="D693" s="3"/>
      <c r="G693" s="3"/>
      <c r="J693" s="3"/>
    </row>
    <row r="694">
      <c r="D694" s="3"/>
      <c r="G694" s="3"/>
      <c r="J694" s="3"/>
    </row>
    <row r="695">
      <c r="D695" s="3"/>
      <c r="G695" s="3"/>
      <c r="J695" s="3"/>
    </row>
    <row r="696">
      <c r="D696" s="3"/>
      <c r="G696" s="3"/>
      <c r="J696" s="3"/>
    </row>
    <row r="697">
      <c r="D697" s="3"/>
      <c r="G697" s="3"/>
      <c r="J697" s="3"/>
    </row>
    <row r="698">
      <c r="D698" s="3"/>
      <c r="G698" s="3"/>
      <c r="J698" s="3"/>
    </row>
    <row r="699">
      <c r="D699" s="3"/>
      <c r="G699" s="3"/>
      <c r="J699" s="3"/>
    </row>
    <row r="700">
      <c r="D700" s="3"/>
      <c r="G700" s="3"/>
      <c r="J700" s="3"/>
    </row>
    <row r="701">
      <c r="D701" s="3"/>
      <c r="G701" s="3"/>
      <c r="J701" s="3"/>
    </row>
    <row r="702">
      <c r="D702" s="3"/>
      <c r="G702" s="3"/>
      <c r="J702" s="3"/>
    </row>
    <row r="703">
      <c r="D703" s="3"/>
      <c r="G703" s="3"/>
      <c r="J703" s="3"/>
    </row>
    <row r="704">
      <c r="D704" s="3"/>
      <c r="G704" s="3"/>
      <c r="J704" s="3"/>
    </row>
    <row r="705">
      <c r="D705" s="3"/>
      <c r="G705" s="3"/>
      <c r="J705" s="3"/>
    </row>
    <row r="706">
      <c r="D706" s="3"/>
      <c r="G706" s="3"/>
      <c r="J706" s="3"/>
    </row>
    <row r="707">
      <c r="D707" s="3"/>
      <c r="G707" s="3"/>
      <c r="J707" s="3"/>
    </row>
    <row r="708">
      <c r="D708" s="3"/>
      <c r="G708" s="3"/>
      <c r="J708" s="3"/>
    </row>
    <row r="709">
      <c r="D709" s="3"/>
      <c r="G709" s="3"/>
      <c r="J709" s="3"/>
    </row>
    <row r="710">
      <c r="D710" s="3"/>
      <c r="G710" s="3"/>
      <c r="J710" s="3"/>
    </row>
    <row r="711">
      <c r="D711" s="3"/>
      <c r="G711" s="3"/>
      <c r="J711" s="3"/>
    </row>
    <row r="712">
      <c r="D712" s="3"/>
      <c r="G712" s="3"/>
      <c r="J712" s="3"/>
    </row>
    <row r="713">
      <c r="D713" s="3"/>
      <c r="G713" s="3"/>
      <c r="J713" s="3"/>
    </row>
    <row r="714">
      <c r="D714" s="3"/>
      <c r="G714" s="3"/>
      <c r="J714" s="3"/>
    </row>
    <row r="715">
      <c r="D715" s="3"/>
      <c r="G715" s="3"/>
      <c r="J715" s="3"/>
    </row>
    <row r="716">
      <c r="D716" s="3"/>
      <c r="G716" s="3"/>
      <c r="J716" s="3"/>
    </row>
    <row r="717">
      <c r="D717" s="3"/>
      <c r="G717" s="3"/>
      <c r="J717" s="3"/>
    </row>
    <row r="718">
      <c r="D718" s="3"/>
      <c r="G718" s="3"/>
      <c r="J718" s="3"/>
    </row>
    <row r="719">
      <c r="D719" s="3"/>
      <c r="G719" s="3"/>
      <c r="J719" s="3"/>
    </row>
    <row r="720">
      <c r="D720" s="3"/>
      <c r="G720" s="3"/>
      <c r="J720" s="3"/>
    </row>
    <row r="721">
      <c r="D721" s="3"/>
      <c r="G721" s="3"/>
      <c r="J721" s="3"/>
    </row>
    <row r="722">
      <c r="D722" s="3"/>
      <c r="G722" s="3"/>
      <c r="J722" s="3"/>
    </row>
    <row r="723">
      <c r="D723" s="3"/>
      <c r="G723" s="3"/>
      <c r="J723" s="3"/>
    </row>
    <row r="724">
      <c r="D724" s="3"/>
      <c r="G724" s="3"/>
      <c r="J724" s="3"/>
    </row>
    <row r="725">
      <c r="D725" s="3"/>
      <c r="G725" s="3"/>
      <c r="J725" s="3"/>
    </row>
    <row r="726">
      <c r="D726" s="3"/>
      <c r="G726" s="3"/>
      <c r="J726" s="3"/>
    </row>
    <row r="727">
      <c r="D727" s="3"/>
      <c r="G727" s="3"/>
      <c r="J727" s="3"/>
    </row>
    <row r="728">
      <c r="D728" s="3"/>
      <c r="G728" s="3"/>
      <c r="J728" s="3"/>
    </row>
    <row r="729">
      <c r="D729" s="3"/>
      <c r="G729" s="3"/>
      <c r="J729" s="3"/>
    </row>
    <row r="730">
      <c r="D730" s="3"/>
      <c r="G730" s="3"/>
      <c r="J730" s="3"/>
    </row>
    <row r="731">
      <c r="D731" s="3"/>
      <c r="G731" s="3"/>
      <c r="J731" s="3"/>
    </row>
    <row r="732">
      <c r="D732" s="3"/>
      <c r="G732" s="3"/>
      <c r="J732" s="3"/>
    </row>
    <row r="733">
      <c r="D733" s="3"/>
      <c r="G733" s="3"/>
      <c r="J733" s="3"/>
    </row>
    <row r="734">
      <c r="D734" s="3"/>
      <c r="G734" s="3"/>
      <c r="J734" s="3"/>
    </row>
    <row r="735">
      <c r="D735" s="3"/>
      <c r="G735" s="3"/>
      <c r="J735" s="3"/>
    </row>
    <row r="736">
      <c r="D736" s="3"/>
      <c r="G736" s="3"/>
      <c r="J736" s="3"/>
    </row>
    <row r="737">
      <c r="D737" s="3"/>
      <c r="G737" s="3"/>
      <c r="J737" s="3"/>
    </row>
    <row r="738">
      <c r="D738" s="3"/>
      <c r="G738" s="3"/>
      <c r="J738" s="3"/>
    </row>
    <row r="739">
      <c r="D739" s="3"/>
      <c r="G739" s="3"/>
      <c r="J739" s="3"/>
    </row>
    <row r="740">
      <c r="D740" s="3"/>
      <c r="G740" s="3"/>
      <c r="J740" s="3"/>
    </row>
    <row r="741">
      <c r="D741" s="3"/>
      <c r="G741" s="3"/>
      <c r="J741" s="3"/>
    </row>
    <row r="742">
      <c r="D742" s="3"/>
      <c r="G742" s="3"/>
      <c r="J742" s="3"/>
    </row>
    <row r="743">
      <c r="D743" s="3"/>
      <c r="G743" s="3"/>
      <c r="J743" s="3"/>
    </row>
    <row r="744">
      <c r="D744" s="3"/>
      <c r="G744" s="3"/>
      <c r="J744" s="3"/>
    </row>
    <row r="745">
      <c r="D745" s="3"/>
      <c r="G745" s="3"/>
      <c r="J745" s="3"/>
    </row>
    <row r="746">
      <c r="D746" s="3"/>
      <c r="G746" s="3"/>
      <c r="J746" s="3"/>
    </row>
    <row r="747">
      <c r="D747" s="3"/>
      <c r="G747" s="3"/>
      <c r="J747" s="3"/>
    </row>
    <row r="748">
      <c r="D748" s="3"/>
      <c r="G748" s="3"/>
      <c r="J748" s="3"/>
    </row>
    <row r="749">
      <c r="D749" s="3"/>
      <c r="G749" s="3"/>
      <c r="J749" s="3"/>
    </row>
    <row r="750">
      <c r="D750" s="3"/>
      <c r="G750" s="3"/>
      <c r="J750" s="3"/>
    </row>
    <row r="751">
      <c r="D751" s="3"/>
      <c r="G751" s="3"/>
      <c r="J751" s="3"/>
    </row>
    <row r="752">
      <c r="D752" s="3"/>
      <c r="G752" s="3"/>
      <c r="J752" s="3"/>
    </row>
    <row r="753">
      <c r="D753" s="3"/>
      <c r="G753" s="3"/>
      <c r="J753" s="3"/>
    </row>
    <row r="754">
      <c r="D754" s="3"/>
      <c r="G754" s="3"/>
      <c r="J754" s="3"/>
    </row>
    <row r="755">
      <c r="D755" s="3"/>
      <c r="G755" s="3"/>
      <c r="J755" s="3"/>
    </row>
    <row r="756">
      <c r="D756" s="3"/>
      <c r="G756" s="3"/>
      <c r="J756" s="3"/>
    </row>
    <row r="757">
      <c r="D757" s="3"/>
      <c r="G757" s="3"/>
      <c r="J757" s="3"/>
    </row>
    <row r="758">
      <c r="D758" s="3"/>
      <c r="G758" s="3"/>
      <c r="J758" s="3"/>
    </row>
    <row r="759">
      <c r="D759" s="3"/>
      <c r="G759" s="3"/>
      <c r="J759" s="3"/>
    </row>
    <row r="760">
      <c r="D760" s="3"/>
      <c r="G760" s="3"/>
      <c r="J760" s="3"/>
    </row>
    <row r="761">
      <c r="D761" s="3"/>
      <c r="G761" s="3"/>
      <c r="J761" s="3"/>
    </row>
    <row r="762">
      <c r="D762" s="3"/>
      <c r="G762" s="3"/>
      <c r="J762" s="3"/>
    </row>
    <row r="763">
      <c r="D763" s="3"/>
      <c r="G763" s="3"/>
      <c r="J763" s="3"/>
    </row>
    <row r="764">
      <c r="D764" s="3"/>
      <c r="G764" s="3"/>
      <c r="J764" s="3"/>
    </row>
    <row r="765">
      <c r="D765" s="3"/>
      <c r="G765" s="3"/>
      <c r="J765" s="3"/>
    </row>
    <row r="766">
      <c r="D766" s="3"/>
      <c r="G766" s="3"/>
      <c r="J766" s="3"/>
    </row>
    <row r="767">
      <c r="D767" s="3"/>
      <c r="G767" s="3"/>
      <c r="J767" s="3"/>
    </row>
    <row r="768">
      <c r="D768" s="3"/>
      <c r="G768" s="3"/>
      <c r="J768" s="3"/>
    </row>
    <row r="769">
      <c r="D769" s="3"/>
      <c r="G769" s="3"/>
      <c r="J769" s="3"/>
    </row>
    <row r="770">
      <c r="D770" s="3"/>
      <c r="G770" s="3"/>
      <c r="J770" s="3"/>
    </row>
    <row r="771">
      <c r="D771" s="3"/>
      <c r="G771" s="3"/>
      <c r="J771" s="3"/>
    </row>
    <row r="772">
      <c r="D772" s="3"/>
      <c r="G772" s="3"/>
      <c r="J772" s="3"/>
    </row>
    <row r="773">
      <c r="D773" s="3"/>
      <c r="G773" s="3"/>
      <c r="J773" s="3"/>
    </row>
    <row r="774">
      <c r="D774" s="3"/>
      <c r="G774" s="3"/>
      <c r="J774" s="3"/>
    </row>
    <row r="775">
      <c r="D775" s="3"/>
      <c r="G775" s="3"/>
      <c r="J775" s="3"/>
    </row>
    <row r="776">
      <c r="D776" s="3"/>
      <c r="G776" s="3"/>
      <c r="J776" s="3"/>
    </row>
    <row r="777">
      <c r="D777" s="3"/>
      <c r="G777" s="3"/>
      <c r="J777" s="3"/>
    </row>
    <row r="778">
      <c r="D778" s="3"/>
      <c r="G778" s="3"/>
      <c r="J778" s="3"/>
    </row>
    <row r="779">
      <c r="D779" s="3"/>
      <c r="G779" s="3"/>
      <c r="J779" s="3"/>
    </row>
    <row r="780">
      <c r="D780" s="3"/>
      <c r="G780" s="3"/>
      <c r="J780" s="3"/>
    </row>
    <row r="781">
      <c r="D781" s="3"/>
      <c r="G781" s="3"/>
      <c r="J781" s="3"/>
    </row>
    <row r="782">
      <c r="D782" s="3"/>
      <c r="G782" s="3"/>
      <c r="J782" s="3"/>
    </row>
    <row r="783">
      <c r="D783" s="3"/>
      <c r="G783" s="3"/>
      <c r="J783" s="3"/>
    </row>
    <row r="784">
      <c r="D784" s="3"/>
      <c r="G784" s="3"/>
      <c r="J784" s="3"/>
    </row>
    <row r="785">
      <c r="D785" s="3"/>
      <c r="G785" s="3"/>
      <c r="J785" s="3"/>
    </row>
    <row r="786">
      <c r="D786" s="3"/>
      <c r="G786" s="3"/>
      <c r="J786" s="3"/>
    </row>
    <row r="787">
      <c r="D787" s="3"/>
      <c r="G787" s="3"/>
      <c r="J787" s="3"/>
    </row>
    <row r="788">
      <c r="D788" s="3"/>
      <c r="G788" s="3"/>
      <c r="J788" s="3"/>
    </row>
    <row r="789">
      <c r="D789" s="3"/>
      <c r="G789" s="3"/>
      <c r="J789" s="3"/>
    </row>
    <row r="790">
      <c r="D790" s="3"/>
      <c r="G790" s="3"/>
      <c r="J790" s="3"/>
    </row>
    <row r="791">
      <c r="D791" s="3"/>
      <c r="G791" s="3"/>
      <c r="J791" s="3"/>
    </row>
    <row r="792">
      <c r="D792" s="3"/>
      <c r="G792" s="3"/>
      <c r="J792" s="3"/>
    </row>
    <row r="793">
      <c r="D793" s="3"/>
      <c r="G793" s="3"/>
      <c r="J793" s="3"/>
    </row>
    <row r="794">
      <c r="D794" s="3"/>
      <c r="G794" s="3"/>
      <c r="J794" s="3"/>
    </row>
    <row r="795">
      <c r="D795" s="3"/>
      <c r="G795" s="3"/>
      <c r="J795" s="3"/>
    </row>
    <row r="796">
      <c r="D796" s="3"/>
      <c r="G796" s="3"/>
      <c r="J796" s="3"/>
    </row>
    <row r="797">
      <c r="D797" s="3"/>
      <c r="G797" s="3"/>
      <c r="J797" s="3"/>
    </row>
    <row r="798">
      <c r="D798" s="3"/>
      <c r="G798" s="3"/>
      <c r="J798" s="3"/>
    </row>
    <row r="799">
      <c r="D799" s="3"/>
      <c r="G799" s="3"/>
      <c r="J799" s="3"/>
    </row>
    <row r="800">
      <c r="D800" s="3"/>
      <c r="G800" s="3"/>
      <c r="J800" s="3"/>
    </row>
    <row r="801">
      <c r="D801" s="3"/>
      <c r="G801" s="3"/>
      <c r="J801" s="3"/>
    </row>
    <row r="802">
      <c r="D802" s="3"/>
      <c r="G802" s="3"/>
      <c r="J802" s="3"/>
    </row>
    <row r="803">
      <c r="D803" s="3"/>
      <c r="G803" s="3"/>
      <c r="J803" s="3"/>
    </row>
    <row r="804">
      <c r="D804" s="3"/>
      <c r="G804" s="3"/>
      <c r="J804" s="3"/>
    </row>
    <row r="805">
      <c r="D805" s="3"/>
      <c r="G805" s="3"/>
      <c r="J805" s="3"/>
    </row>
    <row r="806">
      <c r="D806" s="3"/>
      <c r="G806" s="3"/>
      <c r="J806" s="3"/>
    </row>
    <row r="807">
      <c r="D807" s="3"/>
      <c r="G807" s="3"/>
      <c r="J807" s="3"/>
    </row>
    <row r="808">
      <c r="D808" s="3"/>
      <c r="G808" s="3"/>
      <c r="J808" s="3"/>
    </row>
    <row r="809">
      <c r="D809" s="3"/>
      <c r="G809" s="3"/>
      <c r="J809" s="3"/>
    </row>
    <row r="810">
      <c r="D810" s="3"/>
      <c r="G810" s="3"/>
      <c r="J810" s="3"/>
    </row>
    <row r="811">
      <c r="D811" s="3"/>
      <c r="G811" s="3"/>
      <c r="J811" s="3"/>
    </row>
    <row r="812">
      <c r="D812" s="3"/>
      <c r="G812" s="3"/>
      <c r="J812" s="3"/>
    </row>
    <row r="813">
      <c r="D813" s="3"/>
      <c r="G813" s="3"/>
      <c r="J813" s="3"/>
    </row>
    <row r="814">
      <c r="D814" s="3"/>
      <c r="G814" s="3"/>
      <c r="J814" s="3"/>
    </row>
    <row r="815">
      <c r="D815" s="3"/>
      <c r="G815" s="3"/>
      <c r="J815" s="3"/>
    </row>
    <row r="816">
      <c r="D816" s="3"/>
      <c r="G816" s="3"/>
      <c r="J816" s="3"/>
    </row>
    <row r="817">
      <c r="D817" s="3"/>
      <c r="G817" s="3"/>
      <c r="J817" s="3"/>
    </row>
    <row r="818">
      <c r="D818" s="3"/>
      <c r="G818" s="3"/>
      <c r="J818" s="3"/>
    </row>
    <row r="819">
      <c r="D819" s="3"/>
      <c r="G819" s="3"/>
      <c r="J819" s="3"/>
    </row>
    <row r="820">
      <c r="D820" s="3"/>
      <c r="G820" s="3"/>
      <c r="J820" s="3"/>
    </row>
    <row r="821">
      <c r="D821" s="3"/>
      <c r="G821" s="3"/>
      <c r="J821" s="3"/>
    </row>
    <row r="822">
      <c r="D822" s="3"/>
      <c r="G822" s="3"/>
      <c r="J822" s="3"/>
    </row>
    <row r="823">
      <c r="D823" s="3"/>
      <c r="G823" s="3"/>
      <c r="J823" s="3"/>
    </row>
    <row r="824">
      <c r="D824" s="3"/>
      <c r="G824" s="3"/>
      <c r="J824" s="3"/>
    </row>
    <row r="825">
      <c r="D825" s="3"/>
      <c r="G825" s="3"/>
      <c r="J825" s="3"/>
    </row>
    <row r="826">
      <c r="D826" s="3"/>
      <c r="G826" s="3"/>
      <c r="J826" s="3"/>
    </row>
    <row r="827">
      <c r="D827" s="3"/>
      <c r="G827" s="3"/>
      <c r="J827" s="3"/>
    </row>
    <row r="828">
      <c r="D828" s="3"/>
      <c r="G828" s="3"/>
      <c r="J828" s="3"/>
    </row>
    <row r="829">
      <c r="D829" s="3"/>
      <c r="G829" s="3"/>
      <c r="J829" s="3"/>
    </row>
    <row r="830">
      <c r="D830" s="3"/>
      <c r="G830" s="3"/>
      <c r="J830" s="3"/>
    </row>
    <row r="831">
      <c r="D831" s="3"/>
      <c r="G831" s="3"/>
      <c r="J831" s="3"/>
    </row>
    <row r="832">
      <c r="D832" s="3"/>
      <c r="G832" s="3"/>
      <c r="J832" s="3"/>
    </row>
    <row r="833">
      <c r="D833" s="3"/>
      <c r="G833" s="3"/>
      <c r="J833" s="3"/>
    </row>
    <row r="834">
      <c r="D834" s="3"/>
      <c r="G834" s="3"/>
      <c r="J834" s="3"/>
    </row>
    <row r="835">
      <c r="D835" s="3"/>
      <c r="G835" s="3"/>
      <c r="J835" s="3"/>
    </row>
    <row r="836">
      <c r="D836" s="3"/>
      <c r="G836" s="3"/>
      <c r="J836" s="3"/>
    </row>
    <row r="837">
      <c r="D837" s="3"/>
      <c r="G837" s="3"/>
      <c r="J837" s="3"/>
    </row>
    <row r="838">
      <c r="D838" s="3"/>
      <c r="G838" s="3"/>
      <c r="J838" s="3"/>
    </row>
    <row r="839">
      <c r="D839" s="3"/>
      <c r="G839" s="3"/>
      <c r="J839" s="3"/>
    </row>
    <row r="840">
      <c r="D840" s="3"/>
      <c r="G840" s="3"/>
      <c r="J840" s="3"/>
    </row>
    <row r="841">
      <c r="D841" s="3"/>
      <c r="G841" s="3"/>
      <c r="J841" s="3"/>
    </row>
    <row r="842">
      <c r="D842" s="3"/>
      <c r="G842" s="3"/>
      <c r="J842" s="3"/>
    </row>
    <row r="843">
      <c r="D843" s="3"/>
      <c r="G843" s="3"/>
      <c r="J843" s="3"/>
    </row>
    <row r="844">
      <c r="D844" s="3"/>
      <c r="G844" s="3"/>
      <c r="J844" s="3"/>
    </row>
    <row r="845">
      <c r="D845" s="3"/>
      <c r="G845" s="3"/>
      <c r="J845" s="3"/>
    </row>
    <row r="846">
      <c r="D846" s="3"/>
      <c r="G846" s="3"/>
      <c r="J846" s="3"/>
    </row>
    <row r="847">
      <c r="D847" s="3"/>
      <c r="G847" s="3"/>
      <c r="J847" s="3"/>
    </row>
    <row r="848">
      <c r="D848" s="3"/>
      <c r="G848" s="3"/>
      <c r="J848" s="3"/>
    </row>
    <row r="849">
      <c r="D849" s="3"/>
      <c r="G849" s="3"/>
      <c r="J849" s="3"/>
    </row>
    <row r="850">
      <c r="D850" s="3"/>
      <c r="G850" s="3"/>
      <c r="J850" s="3"/>
    </row>
    <row r="851">
      <c r="D851" s="3"/>
      <c r="G851" s="3"/>
      <c r="J851" s="3"/>
    </row>
    <row r="852">
      <c r="D852" s="3"/>
      <c r="G852" s="3"/>
      <c r="J852" s="3"/>
    </row>
    <row r="853">
      <c r="D853" s="3"/>
      <c r="G853" s="3"/>
      <c r="J853" s="3"/>
    </row>
    <row r="854">
      <c r="D854" s="3"/>
      <c r="G854" s="3"/>
      <c r="J854" s="3"/>
    </row>
    <row r="855">
      <c r="D855" s="3"/>
      <c r="G855" s="3"/>
      <c r="J855" s="3"/>
    </row>
    <row r="856">
      <c r="D856" s="3"/>
      <c r="G856" s="3"/>
      <c r="J856" s="3"/>
    </row>
    <row r="857">
      <c r="D857" s="3"/>
      <c r="G857" s="3"/>
      <c r="J857" s="3"/>
    </row>
    <row r="858">
      <c r="D858" s="3"/>
      <c r="G858" s="3"/>
      <c r="J858" s="3"/>
    </row>
    <row r="859">
      <c r="D859" s="3"/>
      <c r="G859" s="3"/>
      <c r="J859" s="3"/>
    </row>
    <row r="860">
      <c r="D860" s="3"/>
      <c r="G860" s="3"/>
      <c r="J860" s="3"/>
    </row>
    <row r="861">
      <c r="D861" s="3"/>
      <c r="G861" s="3"/>
      <c r="J861" s="3"/>
    </row>
    <row r="862">
      <c r="D862" s="3"/>
      <c r="G862" s="3"/>
      <c r="J862" s="3"/>
    </row>
    <row r="863">
      <c r="D863" s="3"/>
      <c r="G863" s="3"/>
      <c r="J863" s="3"/>
    </row>
    <row r="864">
      <c r="D864" s="3"/>
      <c r="G864" s="3"/>
      <c r="J864" s="3"/>
    </row>
    <row r="865">
      <c r="D865" s="3"/>
      <c r="G865" s="3"/>
      <c r="J865" s="3"/>
    </row>
    <row r="866">
      <c r="D866" s="3"/>
      <c r="G866" s="3"/>
      <c r="J866" s="3"/>
    </row>
    <row r="867">
      <c r="D867" s="3"/>
      <c r="G867" s="3"/>
      <c r="J867" s="3"/>
    </row>
    <row r="868">
      <c r="D868" s="3"/>
      <c r="G868" s="3"/>
      <c r="J868" s="3"/>
    </row>
    <row r="869">
      <c r="D869" s="3"/>
      <c r="G869" s="3"/>
      <c r="J869" s="3"/>
    </row>
    <row r="870">
      <c r="D870" s="3"/>
      <c r="G870" s="3"/>
      <c r="J870" s="3"/>
    </row>
    <row r="871">
      <c r="D871" s="3"/>
      <c r="G871" s="3"/>
      <c r="J871" s="3"/>
    </row>
    <row r="872">
      <c r="D872" s="3"/>
      <c r="G872" s="3"/>
      <c r="J872" s="3"/>
    </row>
    <row r="873">
      <c r="D873" s="3"/>
      <c r="G873" s="3"/>
      <c r="J873" s="3"/>
    </row>
    <row r="874">
      <c r="D874" s="3"/>
      <c r="G874" s="3"/>
      <c r="J874" s="3"/>
    </row>
    <row r="875">
      <c r="D875" s="3"/>
      <c r="G875" s="3"/>
      <c r="J875" s="3"/>
    </row>
    <row r="876">
      <c r="D876" s="3"/>
      <c r="G876" s="3"/>
      <c r="J876" s="3"/>
    </row>
    <row r="877">
      <c r="D877" s="3"/>
      <c r="G877" s="3"/>
      <c r="J877" s="3"/>
    </row>
    <row r="878">
      <c r="D878" s="3"/>
      <c r="G878" s="3"/>
      <c r="J878" s="3"/>
    </row>
    <row r="879">
      <c r="D879" s="3"/>
      <c r="G879" s="3"/>
      <c r="J879" s="3"/>
    </row>
    <row r="880">
      <c r="D880" s="3"/>
      <c r="G880" s="3"/>
      <c r="J880" s="3"/>
    </row>
    <row r="881">
      <c r="D881" s="3"/>
      <c r="G881" s="3"/>
      <c r="J881" s="3"/>
    </row>
    <row r="882">
      <c r="D882" s="3"/>
      <c r="G882" s="3"/>
      <c r="J882" s="3"/>
    </row>
    <row r="883">
      <c r="D883" s="3"/>
      <c r="G883" s="3"/>
      <c r="J883" s="3"/>
    </row>
    <row r="884">
      <c r="D884" s="3"/>
      <c r="G884" s="3"/>
      <c r="J884" s="3"/>
    </row>
    <row r="885">
      <c r="D885" s="3"/>
      <c r="G885" s="3"/>
      <c r="J885" s="3"/>
    </row>
    <row r="886">
      <c r="D886" s="3"/>
      <c r="G886" s="3"/>
      <c r="J886" s="3"/>
    </row>
    <row r="887">
      <c r="D887" s="3"/>
      <c r="G887" s="3"/>
      <c r="J887" s="3"/>
    </row>
    <row r="888">
      <c r="D888" s="3"/>
      <c r="G888" s="3"/>
      <c r="J888" s="3"/>
    </row>
    <row r="889">
      <c r="D889" s="3"/>
      <c r="G889" s="3"/>
      <c r="J889" s="3"/>
    </row>
    <row r="890">
      <c r="D890" s="3"/>
      <c r="G890" s="3"/>
      <c r="J890" s="3"/>
    </row>
    <row r="891">
      <c r="D891" s="3"/>
      <c r="G891" s="3"/>
      <c r="J891" s="3"/>
    </row>
    <row r="892">
      <c r="D892" s="3"/>
      <c r="G892" s="3"/>
      <c r="J892" s="3"/>
    </row>
    <row r="893">
      <c r="D893" s="3"/>
      <c r="G893" s="3"/>
      <c r="J893" s="3"/>
    </row>
    <row r="894">
      <c r="D894" s="3"/>
      <c r="G894" s="3"/>
      <c r="J894" s="3"/>
    </row>
    <row r="895">
      <c r="D895" s="3"/>
      <c r="G895" s="3"/>
      <c r="J895" s="3"/>
    </row>
    <row r="896">
      <c r="D896" s="3"/>
      <c r="G896" s="3"/>
      <c r="J896" s="3"/>
    </row>
    <row r="897">
      <c r="D897" s="3"/>
      <c r="G897" s="3"/>
      <c r="J897" s="3"/>
    </row>
    <row r="898">
      <c r="D898" s="3"/>
      <c r="G898" s="3"/>
      <c r="J898" s="3"/>
    </row>
    <row r="899">
      <c r="D899" s="3"/>
      <c r="G899" s="3"/>
      <c r="J899" s="3"/>
    </row>
    <row r="900">
      <c r="D900" s="3"/>
      <c r="G900" s="3"/>
      <c r="J900" s="3"/>
    </row>
    <row r="901">
      <c r="D901" s="3"/>
      <c r="G901" s="3"/>
      <c r="J901" s="3"/>
    </row>
    <row r="902">
      <c r="D902" s="3"/>
      <c r="G902" s="3"/>
      <c r="J902" s="3"/>
    </row>
    <row r="903">
      <c r="D903" s="3"/>
      <c r="G903" s="3"/>
      <c r="J903" s="3"/>
    </row>
    <row r="904">
      <c r="D904" s="3"/>
      <c r="G904" s="3"/>
      <c r="J904" s="3"/>
    </row>
    <row r="905">
      <c r="D905" s="3"/>
      <c r="G905" s="3"/>
      <c r="J905" s="3"/>
    </row>
    <row r="906">
      <c r="D906" s="3"/>
      <c r="G906" s="3"/>
      <c r="J906" s="3"/>
    </row>
    <row r="907">
      <c r="D907" s="3"/>
      <c r="G907" s="3"/>
      <c r="J907" s="3"/>
    </row>
    <row r="908">
      <c r="D908" s="3"/>
      <c r="G908" s="3"/>
      <c r="J908" s="3"/>
    </row>
    <row r="909">
      <c r="D909" s="3"/>
      <c r="G909" s="3"/>
      <c r="J909" s="3"/>
    </row>
    <row r="910">
      <c r="D910" s="3"/>
      <c r="G910" s="3"/>
      <c r="J910" s="3"/>
    </row>
    <row r="911">
      <c r="D911" s="3"/>
      <c r="G911" s="3"/>
      <c r="J911" s="3"/>
    </row>
    <row r="912">
      <c r="D912" s="3"/>
      <c r="G912" s="3"/>
      <c r="J912" s="3"/>
    </row>
    <row r="913">
      <c r="D913" s="3"/>
      <c r="G913" s="3"/>
      <c r="J913" s="3"/>
    </row>
    <row r="914">
      <c r="D914" s="3"/>
      <c r="G914" s="3"/>
      <c r="J914" s="3"/>
    </row>
    <row r="915">
      <c r="D915" s="3"/>
      <c r="G915" s="3"/>
      <c r="J915" s="3"/>
    </row>
    <row r="916">
      <c r="D916" s="3"/>
      <c r="G916" s="3"/>
      <c r="J916" s="3"/>
    </row>
    <row r="917">
      <c r="D917" s="3"/>
      <c r="G917" s="3"/>
      <c r="J917" s="3"/>
    </row>
    <row r="918">
      <c r="D918" s="3"/>
      <c r="G918" s="3"/>
      <c r="J918" s="3"/>
    </row>
    <row r="919">
      <c r="D919" s="3"/>
      <c r="G919" s="3"/>
      <c r="J919" s="3"/>
    </row>
    <row r="920">
      <c r="D920" s="3"/>
      <c r="G920" s="3"/>
      <c r="J920" s="3"/>
    </row>
    <row r="921">
      <c r="D921" s="3"/>
      <c r="G921" s="3"/>
      <c r="J921" s="3"/>
    </row>
    <row r="922">
      <c r="D922" s="3"/>
      <c r="G922" s="3"/>
      <c r="J922" s="3"/>
    </row>
    <row r="923">
      <c r="D923" s="3"/>
      <c r="G923" s="3"/>
      <c r="J923" s="3"/>
    </row>
    <row r="924">
      <c r="D924" s="3"/>
      <c r="G924" s="3"/>
      <c r="J924" s="3"/>
    </row>
    <row r="925">
      <c r="D925" s="3"/>
      <c r="G925" s="3"/>
      <c r="J925" s="3"/>
    </row>
    <row r="926">
      <c r="D926" s="3"/>
      <c r="G926" s="3"/>
      <c r="J926" s="3"/>
    </row>
    <row r="927">
      <c r="D927" s="3"/>
      <c r="G927" s="3"/>
      <c r="J927" s="3"/>
    </row>
    <row r="928">
      <c r="D928" s="3"/>
      <c r="G928" s="3"/>
      <c r="J928" s="3"/>
    </row>
    <row r="929">
      <c r="D929" s="3"/>
      <c r="G929" s="3"/>
      <c r="J929" s="3"/>
    </row>
    <row r="930">
      <c r="D930" s="3"/>
      <c r="G930" s="3"/>
      <c r="J930" s="3"/>
    </row>
    <row r="931">
      <c r="D931" s="3"/>
      <c r="G931" s="3"/>
      <c r="J931" s="3"/>
    </row>
    <row r="932">
      <c r="D932" s="3"/>
      <c r="G932" s="3"/>
      <c r="J932" s="3"/>
    </row>
    <row r="933">
      <c r="D933" s="3"/>
      <c r="G933" s="3"/>
      <c r="J933" s="3"/>
    </row>
    <row r="934">
      <c r="D934" s="3"/>
      <c r="G934" s="3"/>
      <c r="J934" s="3"/>
    </row>
    <row r="935">
      <c r="D935" s="3"/>
      <c r="G935" s="3"/>
      <c r="J935" s="3"/>
    </row>
    <row r="936">
      <c r="D936" s="3"/>
      <c r="G936" s="3"/>
      <c r="J936" s="3"/>
    </row>
    <row r="937">
      <c r="D937" s="3"/>
      <c r="G937" s="3"/>
      <c r="J937" s="3"/>
    </row>
    <row r="938">
      <c r="D938" s="3"/>
      <c r="G938" s="3"/>
      <c r="J938" s="3"/>
    </row>
    <row r="939">
      <c r="D939" s="3"/>
      <c r="G939" s="3"/>
      <c r="J939" s="3"/>
    </row>
    <row r="940">
      <c r="D940" s="3"/>
      <c r="G940" s="3"/>
      <c r="J940" s="3"/>
    </row>
    <row r="941">
      <c r="D941" s="3"/>
      <c r="G941" s="3"/>
      <c r="J941" s="3"/>
    </row>
    <row r="942">
      <c r="D942" s="3"/>
      <c r="G942" s="3"/>
      <c r="J942" s="3"/>
    </row>
    <row r="943">
      <c r="D943" s="3"/>
      <c r="G943" s="3"/>
      <c r="J943" s="3"/>
    </row>
    <row r="944">
      <c r="D944" s="3"/>
      <c r="G944" s="3"/>
      <c r="J944" s="3"/>
    </row>
    <row r="945">
      <c r="D945" s="3"/>
      <c r="G945" s="3"/>
      <c r="J945" s="3"/>
    </row>
    <row r="946">
      <c r="D946" s="3"/>
      <c r="G946" s="3"/>
      <c r="J946" s="3"/>
    </row>
    <row r="947">
      <c r="D947" s="3"/>
      <c r="G947" s="3"/>
      <c r="J947" s="3"/>
    </row>
    <row r="948">
      <c r="D948" s="3"/>
      <c r="G948" s="3"/>
      <c r="J948" s="3"/>
    </row>
    <row r="949">
      <c r="D949" s="3"/>
      <c r="G949" s="3"/>
      <c r="J949" s="3"/>
    </row>
    <row r="950">
      <c r="D950" s="3"/>
      <c r="G950" s="3"/>
      <c r="J950" s="3"/>
    </row>
    <row r="951">
      <c r="D951" s="3"/>
      <c r="G951" s="3"/>
      <c r="J951" s="3"/>
    </row>
    <row r="952">
      <c r="D952" s="3"/>
      <c r="G952" s="3"/>
      <c r="J952" s="3"/>
    </row>
    <row r="953">
      <c r="D953" s="3"/>
      <c r="G953" s="3"/>
      <c r="J953" s="3"/>
    </row>
    <row r="954">
      <c r="D954" s="3"/>
      <c r="G954" s="3"/>
      <c r="J954" s="3"/>
    </row>
    <row r="955">
      <c r="D955" s="3"/>
      <c r="G955" s="3"/>
      <c r="J955" s="3"/>
    </row>
    <row r="956">
      <c r="D956" s="3"/>
      <c r="G956" s="3"/>
      <c r="J956" s="3"/>
    </row>
    <row r="957">
      <c r="D957" s="3"/>
      <c r="G957" s="3"/>
      <c r="J957" s="3"/>
    </row>
    <row r="958">
      <c r="D958" s="3"/>
      <c r="G958" s="3"/>
      <c r="J958" s="3"/>
    </row>
    <row r="959">
      <c r="D959" s="3"/>
      <c r="G959" s="3"/>
      <c r="J959" s="3"/>
    </row>
    <row r="960">
      <c r="D960" s="3"/>
      <c r="G960" s="3"/>
      <c r="J960" s="3"/>
    </row>
    <row r="961">
      <c r="D961" s="3"/>
      <c r="G961" s="3"/>
      <c r="J961" s="3"/>
    </row>
    <row r="962">
      <c r="D962" s="3"/>
      <c r="G962" s="3"/>
      <c r="J962" s="3"/>
    </row>
    <row r="963">
      <c r="D963" s="3"/>
      <c r="G963" s="3"/>
      <c r="J963" s="3"/>
    </row>
    <row r="964">
      <c r="D964" s="3"/>
      <c r="G964" s="3"/>
      <c r="J964" s="3"/>
    </row>
    <row r="965">
      <c r="D965" s="3"/>
      <c r="G965" s="3"/>
      <c r="J965" s="3"/>
    </row>
    <row r="966">
      <c r="D966" s="3"/>
      <c r="G966" s="3"/>
      <c r="J966" s="3"/>
    </row>
    <row r="967">
      <c r="D967" s="3"/>
      <c r="G967" s="3"/>
      <c r="J967" s="3"/>
    </row>
    <row r="968">
      <c r="D968" s="3"/>
      <c r="G968" s="3"/>
      <c r="J968" s="3"/>
    </row>
    <row r="969">
      <c r="D969" s="3"/>
      <c r="G969" s="3"/>
      <c r="J969" s="3"/>
    </row>
    <row r="970">
      <c r="D970" s="3"/>
      <c r="G970" s="3"/>
      <c r="J970" s="3"/>
    </row>
    <row r="971">
      <c r="D971" s="3"/>
      <c r="G971" s="3"/>
      <c r="J971" s="3"/>
    </row>
    <row r="972">
      <c r="D972" s="3"/>
      <c r="G972" s="3"/>
      <c r="J972" s="3"/>
    </row>
    <row r="973">
      <c r="D973" s="3"/>
      <c r="G973" s="3"/>
      <c r="J973" s="3"/>
    </row>
    <row r="974">
      <c r="D974" s="3"/>
      <c r="G974" s="3"/>
      <c r="J974" s="3"/>
    </row>
    <row r="975">
      <c r="D975" s="3"/>
      <c r="G975" s="3"/>
      <c r="J975" s="3"/>
    </row>
    <row r="976">
      <c r="D976" s="3"/>
      <c r="G976" s="3"/>
      <c r="J976" s="3"/>
    </row>
    <row r="977">
      <c r="D977" s="3"/>
      <c r="G977" s="3"/>
      <c r="J977" s="3"/>
    </row>
    <row r="978">
      <c r="D978" s="3"/>
      <c r="G978" s="3"/>
      <c r="J978" s="3"/>
    </row>
    <row r="979">
      <c r="D979" s="3"/>
      <c r="G979" s="3"/>
      <c r="J979" s="3"/>
    </row>
    <row r="980">
      <c r="D980" s="3"/>
      <c r="G980" s="3"/>
      <c r="J980" s="3"/>
    </row>
    <row r="981">
      <c r="D981" s="3"/>
      <c r="G981" s="3"/>
      <c r="J981" s="3"/>
    </row>
    <row r="982">
      <c r="D982" s="3"/>
      <c r="G982" s="3"/>
      <c r="J982" s="3"/>
    </row>
    <row r="983">
      <c r="D983" s="3"/>
      <c r="G983" s="3"/>
      <c r="J983" s="3"/>
    </row>
    <row r="984">
      <c r="D984" s="3"/>
      <c r="G984" s="3"/>
      <c r="J984" s="3"/>
    </row>
    <row r="985">
      <c r="D985" s="3"/>
      <c r="G985" s="3"/>
      <c r="J985" s="3"/>
    </row>
    <row r="986">
      <c r="D986" s="3"/>
      <c r="G986" s="3"/>
      <c r="J986" s="3"/>
    </row>
    <row r="987">
      <c r="D987" s="3"/>
      <c r="G987" s="3"/>
      <c r="J987" s="3"/>
    </row>
    <row r="988">
      <c r="D988" s="3"/>
      <c r="G988" s="3"/>
      <c r="J988" s="3"/>
    </row>
    <row r="989">
      <c r="D989" s="3"/>
      <c r="G989" s="3"/>
      <c r="J989" s="3"/>
    </row>
    <row r="990">
      <c r="D990" s="3"/>
      <c r="G990" s="3"/>
      <c r="J990" s="3"/>
    </row>
    <row r="991">
      <c r="D991" s="3"/>
      <c r="G991" s="3"/>
      <c r="J991" s="3"/>
    </row>
    <row r="992">
      <c r="D992" s="3"/>
      <c r="G992" s="3"/>
      <c r="J992" s="3"/>
    </row>
    <row r="993">
      <c r="D993" s="3"/>
      <c r="G993" s="3"/>
      <c r="J993" s="3"/>
    </row>
    <row r="994">
      <c r="D994" s="3"/>
      <c r="G994" s="3"/>
      <c r="J994" s="3"/>
    </row>
    <row r="995">
      <c r="D995" s="3"/>
      <c r="G995" s="3"/>
      <c r="J995" s="3"/>
    </row>
    <row r="996">
      <c r="D996" s="3"/>
      <c r="G996" s="3"/>
      <c r="J996" s="3"/>
    </row>
    <row r="997">
      <c r="D997" s="3"/>
      <c r="G997" s="3"/>
      <c r="J997" s="3"/>
    </row>
    <row r="998">
      <c r="D998" s="3"/>
      <c r="G998" s="3"/>
      <c r="J998" s="3"/>
    </row>
    <row r="999">
      <c r="D999" s="3"/>
      <c r="G999" s="3"/>
      <c r="J999" s="3"/>
    </row>
    <row r="1000">
      <c r="D1000" s="3"/>
      <c r="G1000" s="3"/>
      <c r="J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f>IFERROR(__xludf.DUMMYFUNCTION("IFERROR(QUERY(FEB_2023!A:I, ""SELECT * WHERE D IS NOT NULL AND UPPER(I) = 'V_SALES'"", 1), ""Data V_SALES belum ditemukan"")"),46056.0)</f>
        <v>46056</v>
      </c>
      <c r="B1" s="5" t="str">
        <f>IFERROR(__xludf.DUMMYFUNCTION("""COMPUTED_VALUE"""),"TRSF E-BANKING DB TANGGAL :02/02")</f>
        <v>TRSF E-BANKING DB TANGGAL :02/02</v>
      </c>
      <c r="C1" s="5" t="str">
        <f>IFERROR(__xludf.DUMMYFUNCTION("""COMPUTED_VALUE"""),"0202/FTSCY/WS95031 HALIM IBRAHIM")</f>
        <v>0202/FTSCY/WS95031 HALIM IBRAHIM</v>
      </c>
      <c r="D1" s="3">
        <f>IFERROR(__xludf.DUMMYFUNCTION("""COMPUTED_VALUE"""),2289220.0)</f>
        <v>2289220</v>
      </c>
      <c r="E1" s="5"/>
      <c r="F1" s="5" t="str">
        <f>IFERROR(__xludf.DUMMYFUNCTION("""COMPUTED_VALUE"""),"DB")</f>
        <v>DB</v>
      </c>
      <c r="G1" s="3">
        <f>IFERROR(__xludf.DUMMYFUNCTION("""COMPUTED_VALUE"""),3352397.460000038)</f>
        <v>3352397.46</v>
      </c>
      <c r="H1" s="5"/>
      <c r="I1" s="5" t="str">
        <f>IFERROR(__xludf.DUMMYFUNCTION("""COMPUTED_VALUE"""),"V_SALES")</f>
        <v>V_SALES</v>
      </c>
      <c r="J1" s="3">
        <f>SUM(D1:D1000)</f>
        <v>39854940</v>
      </c>
    </row>
    <row r="2">
      <c r="A2" s="5">
        <f>IFERROR(__xludf.DUMMYFUNCTION("""COMPUTED_VALUE"""),46056.0)</f>
        <v>46056</v>
      </c>
      <c r="B2" s="5" t="str">
        <f>IFERROR(__xludf.DUMMYFUNCTION("""COMPUTED_VALUE"""),"TRSF E-BANKING DB TANGGAL :02/02")</f>
        <v>TRSF E-BANKING DB TANGGAL :02/02</v>
      </c>
      <c r="C2" s="5" t="str">
        <f>IFERROR(__xludf.DUMMYFUNCTION("""COMPUTED_VALUE"""),"0202/FTSCY/WS95031 NURHAYATI")</f>
        <v>0202/FTSCY/WS95031 NURHAYATI</v>
      </c>
      <c r="D2" s="3">
        <f>IFERROR(__xludf.DUMMYFUNCTION("""COMPUTED_VALUE"""),1825900.0)</f>
        <v>1825900</v>
      </c>
      <c r="E2" s="5"/>
      <c r="F2" s="5" t="str">
        <f>IFERROR(__xludf.DUMMYFUNCTION("""COMPUTED_VALUE"""),"DB")</f>
        <v>DB</v>
      </c>
      <c r="G2" s="3">
        <f>IFERROR(__xludf.DUMMYFUNCTION("""COMPUTED_VALUE"""),1526497.4600000381)</f>
        <v>1526497.46</v>
      </c>
      <c r="H2" s="5"/>
      <c r="I2" s="5" t="str">
        <f>IFERROR(__xludf.DUMMYFUNCTION("""COMPUTED_VALUE"""),"V_SALES")</f>
        <v>V_SALES</v>
      </c>
      <c r="J2" s="3"/>
    </row>
    <row r="3">
      <c r="A3" s="5">
        <f>IFERROR(__xludf.DUMMYFUNCTION("""COMPUTED_VALUE"""),46057.0)</f>
        <v>46057</v>
      </c>
      <c r="B3" s="5" t="str">
        <f>IFERROR(__xludf.DUMMYFUNCTION("""COMPUTED_VALUE"""),"TRSF E-BANKING DB TANGGAL :03/02")</f>
        <v>TRSF E-BANKING DB TANGGAL :03/02</v>
      </c>
      <c r="C3" s="5" t="str">
        <f>IFERROR(__xludf.DUMMYFUNCTION("""COMPUTED_VALUE"""),"0302/FTSCY/WS95031 NURHAYATI")</f>
        <v>0302/FTSCY/WS95031 NURHAYATI</v>
      </c>
      <c r="D3" s="3">
        <f>IFERROR(__xludf.DUMMYFUNCTION("""COMPUTED_VALUE"""),4847680.0)</f>
        <v>4847680</v>
      </c>
      <c r="E3" s="5"/>
      <c r="F3" s="5" t="str">
        <f>IFERROR(__xludf.DUMMYFUNCTION("""COMPUTED_VALUE"""),"DB")</f>
        <v>DB</v>
      </c>
      <c r="G3" s="3">
        <f>IFERROR(__xludf.DUMMYFUNCTION("""COMPUTED_VALUE"""),2596347.460000038)</f>
        <v>2596347.46</v>
      </c>
      <c r="H3" s="5"/>
      <c r="I3" s="5" t="str">
        <f>IFERROR(__xludf.DUMMYFUNCTION("""COMPUTED_VALUE"""),"V_SALES")</f>
        <v>V_SALES</v>
      </c>
      <c r="J3" s="3"/>
    </row>
    <row r="4">
      <c r="A4" s="5">
        <f>IFERROR(__xludf.DUMMYFUNCTION("""COMPUTED_VALUE"""),46060.0)</f>
        <v>46060</v>
      </c>
      <c r="B4" s="5" t="str">
        <f>IFERROR(__xludf.DUMMYFUNCTION("""COMPUTED_VALUE"""),"TRSF E-BANKING DB TANGGAL :06/02")</f>
        <v>TRSF E-BANKING DB TANGGAL :06/02</v>
      </c>
      <c r="C4" s="5" t="str">
        <f>IFERROR(__xludf.DUMMYFUNCTION("""COMPUTED_VALUE"""),"0602/FTSCY/WS95031 ANDE DOSO ANGGORO")</f>
        <v>0602/FTSCY/WS95031 ANDE DOSO ANGGORO</v>
      </c>
      <c r="D4" s="3">
        <f>IFERROR(__xludf.DUMMYFUNCTION("""COMPUTED_VALUE"""),1140000.0)</f>
        <v>1140000</v>
      </c>
      <c r="E4" s="5"/>
      <c r="F4" s="5" t="str">
        <f>IFERROR(__xludf.DUMMYFUNCTION("""COMPUTED_VALUE"""),"DB")</f>
        <v>DB</v>
      </c>
      <c r="G4" s="3">
        <f>IFERROR(__xludf.DUMMYFUNCTION("""COMPUTED_VALUE"""),1.3056331746000004E8)</f>
        <v>130563317.5</v>
      </c>
      <c r="H4" s="5"/>
      <c r="I4" s="5" t="str">
        <f>IFERROR(__xludf.DUMMYFUNCTION("""COMPUTED_VALUE"""),"V_SALES")</f>
        <v>V_SALES</v>
      </c>
      <c r="J4" s="3"/>
    </row>
    <row r="5">
      <c r="A5" s="5">
        <f>IFERROR(__xludf.DUMMYFUNCTION("""COMPUTED_VALUE"""),46061.0)</f>
        <v>46061</v>
      </c>
      <c r="B5" s="5" t="str">
        <f>IFERROR(__xludf.DUMMYFUNCTION("""COMPUTED_VALUE"""),"TRSF E-BANKING DB TANGGAL :07/02")</f>
        <v>TRSF E-BANKING DB TANGGAL :07/02</v>
      </c>
      <c r="C5" s="5" t="str">
        <f>IFERROR(__xludf.DUMMYFUNCTION("""COMPUTED_VALUE"""),"0702/FTSCY/WS95031 NURHAYATI")</f>
        <v>0702/FTSCY/WS95031 NURHAYATI</v>
      </c>
      <c r="D5" s="3">
        <f>IFERROR(__xludf.DUMMYFUNCTION("""COMPUTED_VALUE"""),1600000.0)</f>
        <v>1600000</v>
      </c>
      <c r="E5" s="5"/>
      <c r="F5" s="5" t="str">
        <f>IFERROR(__xludf.DUMMYFUNCTION("""COMPUTED_VALUE"""),"DB")</f>
        <v>DB</v>
      </c>
      <c r="G5" s="3">
        <f>IFERROR(__xludf.DUMMYFUNCTION("""COMPUTED_VALUE"""),1377937.4600000381)</f>
        <v>1377937.46</v>
      </c>
      <c r="H5" s="5"/>
      <c r="I5" s="5" t="str">
        <f>IFERROR(__xludf.DUMMYFUNCTION("""COMPUTED_VALUE"""),"V_SALES")</f>
        <v>V_SALES</v>
      </c>
      <c r="J5" s="3"/>
    </row>
    <row r="6">
      <c r="A6" s="5">
        <f>IFERROR(__xludf.DUMMYFUNCTION("""COMPUTED_VALUE"""),46062.0)</f>
        <v>46062</v>
      </c>
      <c r="B6" s="5" t="str">
        <f>IFERROR(__xludf.DUMMYFUNCTION("""COMPUTED_VALUE"""),"TRSF E-BANKING DB")</f>
        <v>TRSF E-BANKING DB</v>
      </c>
      <c r="C6" s="5" t="str">
        <f>IFERROR(__xludf.DUMMYFUNCTION("""COMPUTED_VALUE"""),"0902/FTSCY/WS95031 250000.00 NURHAYATI")</f>
        <v>0902/FTSCY/WS95031 250000.00 NURHAYATI</v>
      </c>
      <c r="D6" s="3">
        <f>IFERROR(__xludf.DUMMYFUNCTION("""COMPUTED_VALUE"""),250000.0)</f>
        <v>250000</v>
      </c>
      <c r="E6" s="5"/>
      <c r="F6" s="5" t="str">
        <f>IFERROR(__xludf.DUMMYFUNCTION("""COMPUTED_VALUE"""),"DB")</f>
        <v>DB</v>
      </c>
      <c r="G6" s="3">
        <f>IFERROR(__xludf.DUMMYFUNCTION("""COMPUTED_VALUE"""),2.482067646000004E7)</f>
        <v>24820676.46</v>
      </c>
      <c r="H6" s="5"/>
      <c r="I6" s="5" t="str">
        <f>IFERROR(__xludf.DUMMYFUNCTION("""COMPUTED_VALUE"""),"V_SALES")</f>
        <v>V_SALES</v>
      </c>
      <c r="J6" s="3"/>
    </row>
    <row r="7">
      <c r="A7" s="5">
        <f>IFERROR(__xludf.DUMMYFUNCTION("""COMPUTED_VALUE"""),46062.0)</f>
        <v>46062</v>
      </c>
      <c r="B7" s="5" t="str">
        <f>IFERROR(__xludf.DUMMYFUNCTION("""COMPUTED_VALUE"""),"TRSF E-BANKING DB")</f>
        <v>TRSF E-BANKING DB</v>
      </c>
      <c r="C7" s="5" t="str">
        <f>IFERROR(__xludf.DUMMYFUNCTION("""COMPUTED_VALUE"""),"0902/FTSCY/WS95031 3614820.00 HALIM IBRAHIM")</f>
        <v>0902/FTSCY/WS95031 3614820.00 HALIM IBRAHIM</v>
      </c>
      <c r="D7" s="3">
        <f>IFERROR(__xludf.DUMMYFUNCTION("""COMPUTED_VALUE"""),3614820.0)</f>
        <v>3614820</v>
      </c>
      <c r="E7" s="5"/>
      <c r="F7" s="5" t="str">
        <f>IFERROR(__xludf.DUMMYFUNCTION("""COMPUTED_VALUE"""),"DB")</f>
        <v>DB</v>
      </c>
      <c r="G7" s="3">
        <f>IFERROR(__xludf.DUMMYFUNCTION("""COMPUTED_VALUE"""),1.832228646000004E7)</f>
        <v>18322286.46</v>
      </c>
      <c r="H7" s="5"/>
      <c r="I7" s="5" t="str">
        <f>IFERROR(__xludf.DUMMYFUNCTION("""COMPUTED_VALUE"""),"V_SALES")</f>
        <v>V_SALES</v>
      </c>
      <c r="J7" s="3"/>
    </row>
    <row r="8">
      <c r="A8" s="5">
        <f>IFERROR(__xludf.DUMMYFUNCTION("""COMPUTED_VALUE"""),46064.0)</f>
        <v>46064</v>
      </c>
      <c r="B8" s="5" t="str">
        <f>IFERROR(__xludf.DUMMYFUNCTION("""COMPUTED_VALUE"""),"TRSF E-BANKING DB")</f>
        <v>TRSF E-BANKING DB</v>
      </c>
      <c r="C8" s="5" t="str">
        <f>IFERROR(__xludf.DUMMYFUNCTION("""COMPUTED_VALUE"""),"1102/FTSCY/WS95031 900000.00 ANDE DOSO ANGGORO")</f>
        <v>1102/FTSCY/WS95031 900000.00 ANDE DOSO ANGGORO</v>
      </c>
      <c r="D8" s="3">
        <f>IFERROR(__xludf.DUMMYFUNCTION("""COMPUTED_VALUE"""),900000.0)</f>
        <v>900000</v>
      </c>
      <c r="E8" s="5"/>
      <c r="F8" s="5" t="str">
        <f>IFERROR(__xludf.DUMMYFUNCTION("""COMPUTED_VALUE"""),"DB")</f>
        <v>DB</v>
      </c>
      <c r="G8" s="3">
        <f>IFERROR(__xludf.DUMMYFUNCTION("""COMPUTED_VALUE"""),1.4995705146000004E8)</f>
        <v>149957051.5</v>
      </c>
      <c r="H8" s="5" t="str">
        <f>IFERROR(__xludf.DUMMYFUNCTION("""COMPUTED_VALUE"""),"149,957,051.46")</f>
        <v>149,957,051.46</v>
      </c>
      <c r="I8" s="5" t="str">
        <f>IFERROR(__xludf.DUMMYFUNCTION("""COMPUTED_VALUE"""),"V_SALES")</f>
        <v>V_SALES</v>
      </c>
      <c r="J8" s="3"/>
    </row>
    <row r="9">
      <c r="A9" s="5">
        <f>IFERROR(__xludf.DUMMYFUNCTION("""COMPUTED_VALUE"""),46065.0)</f>
        <v>46065</v>
      </c>
      <c r="B9" s="5" t="str">
        <f>IFERROR(__xludf.DUMMYFUNCTION("""COMPUTED_VALUE"""),"TRSF E-BANKING DB")</f>
        <v>TRSF E-BANKING DB</v>
      </c>
      <c r="C9" s="5" t="str">
        <f>IFERROR(__xludf.DUMMYFUNCTION("""COMPUTED_VALUE"""),"1202/FTSCY/WS95031 911740.00 HALIM IBRAHIM")</f>
        <v>1202/FTSCY/WS95031 911740.00 HALIM IBRAHIM</v>
      </c>
      <c r="D9" s="3">
        <f>IFERROR(__xludf.DUMMYFUNCTION("""COMPUTED_VALUE"""),911740.0)</f>
        <v>911740</v>
      </c>
      <c r="E9" s="5"/>
      <c r="F9" s="5" t="str">
        <f>IFERROR(__xludf.DUMMYFUNCTION("""COMPUTED_VALUE"""),"DB")</f>
        <v>DB</v>
      </c>
      <c r="G9" s="3">
        <f>IFERROR(__xludf.DUMMYFUNCTION("""COMPUTED_VALUE"""),6.903415146000004E7)</f>
        <v>69034151.46</v>
      </c>
      <c r="H9" s="5"/>
      <c r="I9" s="5" t="str">
        <f>IFERROR(__xludf.DUMMYFUNCTION("""COMPUTED_VALUE"""),"V_SALES")</f>
        <v>V_SALES</v>
      </c>
      <c r="J9" s="3"/>
    </row>
    <row r="10">
      <c r="A10" s="5">
        <f>IFERROR(__xludf.DUMMYFUNCTION("""COMPUTED_VALUE"""),46066.0)</f>
        <v>46066</v>
      </c>
      <c r="B10" s="5" t="str">
        <f>IFERROR(__xludf.DUMMYFUNCTION("""COMPUTED_VALUE"""),"BI-FAST DB TANGGAL :12/02")</f>
        <v>BI-FAST DB TANGGAL :12/02</v>
      </c>
      <c r="C10" s="5" t="str">
        <f>IFERROR(__xludf.DUMMYFUNCTION("""COMPUTED_VALUE"""),"BIF TRANSFER KE DESI WINARNI M-BCA")</f>
        <v>BIF TRANSFER KE DESI WINARNI M-BCA</v>
      </c>
      <c r="D10" s="3">
        <f>IFERROR(__xludf.DUMMYFUNCTION("""COMPUTED_VALUE"""),900000.0)</f>
        <v>900000</v>
      </c>
      <c r="E10" s="5"/>
      <c r="F10" s="5" t="str">
        <f>IFERROR(__xludf.DUMMYFUNCTION("""COMPUTED_VALUE"""),"DB")</f>
        <v>DB</v>
      </c>
      <c r="G10" s="3">
        <f>IFERROR(__xludf.DUMMYFUNCTION("""COMPUTED_VALUE"""),5.045808146000004E7)</f>
        <v>50458081.46</v>
      </c>
      <c r="H10" s="5" t="str">
        <f>IFERROR(__xludf.DUMMYFUNCTION("""COMPUTED_VALUE"""),"50,458,081.46")</f>
        <v>50,458,081.46</v>
      </c>
      <c r="I10" s="5" t="str">
        <f>IFERROR(__xludf.DUMMYFUNCTION("""COMPUTED_VALUE"""),"V_SALES")</f>
        <v>V_SALES</v>
      </c>
      <c r="J10" s="3"/>
    </row>
    <row r="11">
      <c r="A11" s="5">
        <f>IFERROR(__xludf.DUMMYFUNCTION("""COMPUTED_VALUE"""),46068.0)</f>
        <v>46068</v>
      </c>
      <c r="B11" s="5" t="str">
        <f>IFERROR(__xludf.DUMMYFUNCTION("""COMPUTED_VALUE"""),"TRSF E-BANKING DB")</f>
        <v>TRSF E-BANKING DB</v>
      </c>
      <c r="C11" s="5" t="str">
        <f>IFERROR(__xludf.DUMMYFUNCTION("""COMPUTED_VALUE"""),"1502/FTSCY/WS95031 3800000.00 NURHAYATI")</f>
        <v>1502/FTSCY/WS95031 3800000.00 NURHAYATI</v>
      </c>
      <c r="D11" s="3">
        <f>IFERROR(__xludf.DUMMYFUNCTION("""COMPUTED_VALUE"""),3800000.0)</f>
        <v>3800000</v>
      </c>
      <c r="E11" s="5"/>
      <c r="F11" s="5" t="str">
        <f>IFERROR(__xludf.DUMMYFUNCTION("""COMPUTED_VALUE"""),"DB")</f>
        <v>DB</v>
      </c>
      <c r="G11" s="3">
        <f>IFERROR(__xludf.DUMMYFUNCTION("""COMPUTED_VALUE"""),7.364594146000004E7)</f>
        <v>73645941.46</v>
      </c>
      <c r="H11" s="5"/>
      <c r="I11" s="5" t="str">
        <f>IFERROR(__xludf.DUMMYFUNCTION("""COMPUTED_VALUE"""),"V_SALES")</f>
        <v>V_SALES</v>
      </c>
      <c r="J11" s="3"/>
    </row>
    <row r="12">
      <c r="A12" s="5">
        <f>IFERROR(__xludf.DUMMYFUNCTION("""COMPUTED_VALUE"""),46068.0)</f>
        <v>46068</v>
      </c>
      <c r="B12" s="5" t="str">
        <f>IFERROR(__xludf.DUMMYFUNCTION("""COMPUTED_VALUE"""),"TRSF E-BANKING DB")</f>
        <v>TRSF E-BANKING DB</v>
      </c>
      <c r="C12" s="5" t="str">
        <f>IFERROR(__xludf.DUMMYFUNCTION("""COMPUTED_VALUE"""),"1502/FTSCY/WS95031 904000.00 RIZKI FADDILLA")</f>
        <v>1502/FTSCY/WS95031 904000.00 RIZKI FADDILLA</v>
      </c>
      <c r="D12" s="3">
        <f>IFERROR(__xludf.DUMMYFUNCTION("""COMPUTED_VALUE"""),904000.0)</f>
        <v>904000</v>
      </c>
      <c r="E12" s="5"/>
      <c r="F12" s="5" t="str">
        <f>IFERROR(__xludf.DUMMYFUNCTION("""COMPUTED_VALUE"""),"DB")</f>
        <v>DB</v>
      </c>
      <c r="G12" s="3">
        <f>IFERROR(__xludf.DUMMYFUNCTION("""COMPUTED_VALUE"""),6.897679146000004E7)</f>
        <v>68976791.46</v>
      </c>
      <c r="H12" s="5" t="str">
        <f>IFERROR(__xludf.DUMMYFUNCTION("""COMPUTED_VALUE"""),"68,976,791.46")</f>
        <v>68,976,791.46</v>
      </c>
      <c r="I12" s="5" t="str">
        <f>IFERROR(__xludf.DUMMYFUNCTION("""COMPUTED_VALUE"""),"V_SALES")</f>
        <v>V_SALES</v>
      </c>
      <c r="J12" s="3"/>
    </row>
    <row r="13">
      <c r="A13" s="5">
        <f>IFERROR(__xludf.DUMMYFUNCTION("""COMPUTED_VALUE"""),46070.0)</f>
        <v>46070</v>
      </c>
      <c r="B13" s="5" t="str">
        <f>IFERROR(__xludf.DUMMYFUNCTION("""COMPUTED_VALUE"""),"TRSF E-BANKING DB")</f>
        <v>TRSF E-BANKING DB</v>
      </c>
      <c r="C13" s="5" t="str">
        <f>IFERROR(__xludf.DUMMYFUNCTION("""COMPUTED_VALUE"""),"1702/FTSCY/WS95031 650000.00 RIZKI FADDILLA")</f>
        <v>1702/FTSCY/WS95031 650000.00 RIZKI FADDILLA</v>
      </c>
      <c r="D13" s="3">
        <f>IFERROR(__xludf.DUMMYFUNCTION("""COMPUTED_VALUE"""),650000.0)</f>
        <v>650000</v>
      </c>
      <c r="E13" s="5"/>
      <c r="F13" s="5" t="str">
        <f>IFERROR(__xludf.DUMMYFUNCTION("""COMPUTED_VALUE"""),"DB")</f>
        <v>DB</v>
      </c>
      <c r="G13" s="3">
        <f>IFERROR(__xludf.DUMMYFUNCTION("""COMPUTED_VALUE"""),6.485295146000004E7)</f>
        <v>64852951.46</v>
      </c>
      <c r="H13" s="5"/>
      <c r="I13" s="5" t="str">
        <f>IFERROR(__xludf.DUMMYFUNCTION("""COMPUTED_VALUE"""),"V_SALES")</f>
        <v>V_SALES</v>
      </c>
      <c r="J13" s="3"/>
    </row>
    <row r="14">
      <c r="A14" s="5">
        <f>IFERROR(__xludf.DUMMYFUNCTION("""COMPUTED_VALUE"""),46070.0)</f>
        <v>46070</v>
      </c>
      <c r="B14" s="5" t="str">
        <f>IFERROR(__xludf.DUMMYFUNCTION("""COMPUTED_VALUE"""),"TRSF E-BANKING DB")</f>
        <v>TRSF E-BANKING DB</v>
      </c>
      <c r="C14" s="5" t="str">
        <f>IFERROR(__xludf.DUMMYFUNCTION("""COMPUTED_VALUE"""),"1702/FTSCY/WS95031 647800.00 HALIM IBRAHIM")</f>
        <v>1702/FTSCY/WS95031 647800.00 HALIM IBRAHIM</v>
      </c>
      <c r="D14" s="3">
        <f>IFERROR(__xludf.DUMMYFUNCTION("""COMPUTED_VALUE"""),647800.0)</f>
        <v>647800</v>
      </c>
      <c r="E14" s="5"/>
      <c r="F14" s="5" t="str">
        <f>IFERROR(__xludf.DUMMYFUNCTION("""COMPUTED_VALUE"""),"DB")</f>
        <v>DB</v>
      </c>
      <c r="G14" s="3">
        <f>IFERROR(__xludf.DUMMYFUNCTION("""COMPUTED_VALUE"""),6.420515146000004E7)</f>
        <v>64205151.46</v>
      </c>
      <c r="H14" s="5"/>
      <c r="I14" s="5" t="str">
        <f>IFERROR(__xludf.DUMMYFUNCTION("""COMPUTED_VALUE"""),"V_SALES")</f>
        <v>V_SALES</v>
      </c>
      <c r="J14" s="3"/>
    </row>
    <row r="15">
      <c r="A15" s="5">
        <f>IFERROR(__xludf.DUMMYFUNCTION("""COMPUTED_VALUE"""),46075.0)</f>
        <v>46075</v>
      </c>
      <c r="B15" s="5" t="str">
        <f>IFERROR(__xludf.DUMMYFUNCTION("""COMPUTED_VALUE"""),"TRSF E-BANKING DB")</f>
        <v>TRSF E-BANKING DB</v>
      </c>
      <c r="C15" s="5" t="str">
        <f>IFERROR(__xludf.DUMMYFUNCTION("""COMPUTED_VALUE"""),"2202/FTSCY/WS95271 1795000.00 NURHAYATI")</f>
        <v>2202/FTSCY/WS95271 1795000.00 NURHAYATI</v>
      </c>
      <c r="D15" s="3">
        <f>IFERROR(__xludf.DUMMYFUNCTION("""COMPUTED_VALUE"""),1795000.0)</f>
        <v>1795000</v>
      </c>
      <c r="E15" s="5"/>
      <c r="F15" s="5" t="str">
        <f>IFERROR(__xludf.DUMMYFUNCTION("""COMPUTED_VALUE"""),"DB")</f>
        <v>DB</v>
      </c>
      <c r="G15" s="3">
        <f>IFERROR(__xludf.DUMMYFUNCTION("""COMPUTED_VALUE"""),3.376424646000004E7)</f>
        <v>33764246.46</v>
      </c>
      <c r="H15" s="5"/>
      <c r="I15" s="5" t="str">
        <f>IFERROR(__xludf.DUMMYFUNCTION("""COMPUTED_VALUE"""),"V_SALES")</f>
        <v>V_SALES</v>
      </c>
      <c r="J15" s="3"/>
    </row>
    <row r="16">
      <c r="A16" s="5">
        <f>IFERROR(__xludf.DUMMYFUNCTION("""COMPUTED_VALUE"""),46075.0)</f>
        <v>46075</v>
      </c>
      <c r="B16" s="5" t="str">
        <f>IFERROR(__xludf.DUMMYFUNCTION("""COMPUTED_VALUE"""),"TRSF E-BANKING DB")</f>
        <v>TRSF E-BANKING DB</v>
      </c>
      <c r="C16" s="5" t="str">
        <f>IFERROR(__xludf.DUMMYFUNCTION("""COMPUTED_VALUE"""),"2202/FTSCY/WS95271 1449680.00 ANDE DOSO ANGGORO")</f>
        <v>2202/FTSCY/WS95271 1449680.00 ANDE DOSO ANGGORO</v>
      </c>
      <c r="D16" s="3">
        <f>IFERROR(__xludf.DUMMYFUNCTION("""COMPUTED_VALUE"""),1449680.0)</f>
        <v>1449680</v>
      </c>
      <c r="E16" s="5"/>
      <c r="F16" s="5" t="str">
        <f>IFERROR(__xludf.DUMMYFUNCTION("""COMPUTED_VALUE"""),"DB")</f>
        <v>DB</v>
      </c>
      <c r="G16" s="3">
        <f>IFERROR(__xludf.DUMMYFUNCTION("""COMPUTED_VALUE"""),7.943056646000004E7)</f>
        <v>79430566.46</v>
      </c>
      <c r="H16" s="5"/>
      <c r="I16" s="5" t="str">
        <f>IFERROR(__xludf.DUMMYFUNCTION("""COMPUTED_VALUE"""),"V_SALES")</f>
        <v>V_SALES</v>
      </c>
      <c r="J16" s="3"/>
    </row>
    <row r="17">
      <c r="A17" s="5">
        <f>IFERROR(__xludf.DUMMYFUNCTION("""COMPUTED_VALUE"""),46075.0)</f>
        <v>46075</v>
      </c>
      <c r="B17" s="5" t="str">
        <f>IFERROR(__xludf.DUMMYFUNCTION("""COMPUTED_VALUE"""),"TRSF E-BANKING DB")</f>
        <v>TRSF E-BANKING DB</v>
      </c>
      <c r="C17" s="5" t="str">
        <f>IFERROR(__xludf.DUMMYFUNCTION("""COMPUTED_VALUE"""),"2202/FTSCY/WS95031 671020.00 RIZKI FADDILLA")</f>
        <v>2202/FTSCY/WS95031 671020.00 RIZKI FADDILLA</v>
      </c>
      <c r="D17" s="3">
        <f>IFERROR(__xludf.DUMMYFUNCTION("""COMPUTED_VALUE"""),671020.0)</f>
        <v>671020</v>
      </c>
      <c r="E17" s="5"/>
      <c r="F17" s="5" t="str">
        <f>IFERROR(__xludf.DUMMYFUNCTION("""COMPUTED_VALUE"""),"DB")</f>
        <v>DB</v>
      </c>
      <c r="G17" s="3">
        <f>IFERROR(__xludf.DUMMYFUNCTION("""COMPUTED_VALUE"""),7.656164646000004E7)</f>
        <v>76561646.46</v>
      </c>
      <c r="H17" s="5"/>
      <c r="I17" s="5" t="str">
        <f>IFERROR(__xludf.DUMMYFUNCTION("""COMPUTED_VALUE"""),"V_SALES")</f>
        <v>V_SALES</v>
      </c>
      <c r="J17" s="3"/>
    </row>
    <row r="18">
      <c r="A18" s="5">
        <f>IFERROR(__xludf.DUMMYFUNCTION("""COMPUTED_VALUE"""),46077.0)</f>
        <v>46077</v>
      </c>
      <c r="B18" s="5" t="str">
        <f>IFERROR(__xludf.DUMMYFUNCTION("""COMPUTED_VALUE"""),"TRSF E-BANKING DB")</f>
        <v>TRSF E-BANKING DB</v>
      </c>
      <c r="C18" s="5" t="str">
        <f>IFERROR(__xludf.DUMMYFUNCTION("""COMPUTED_VALUE"""),"2402/FTSCY/WS95031 688900.00 SITI RAHMA IFTITAH")</f>
        <v>2402/FTSCY/WS95031 688900.00 SITI RAHMA IFTITAH</v>
      </c>
      <c r="D18" s="3">
        <f>IFERROR(__xludf.DUMMYFUNCTION("""COMPUTED_VALUE"""),688900.0)</f>
        <v>688900</v>
      </c>
      <c r="E18" s="5"/>
      <c r="F18" s="5" t="str">
        <f>IFERROR(__xludf.DUMMYFUNCTION("""COMPUTED_VALUE"""),"DB")</f>
        <v>DB</v>
      </c>
      <c r="G18" s="3">
        <f>IFERROR(__xludf.DUMMYFUNCTION("""COMPUTED_VALUE"""),2.1039468646000004E8)</f>
        <v>210394686.5</v>
      </c>
      <c r="H18" s="5"/>
      <c r="I18" s="5" t="str">
        <f>IFERROR(__xludf.DUMMYFUNCTION("""COMPUTED_VALUE"""),"V_SALES")</f>
        <v>V_SALES</v>
      </c>
      <c r="J18" s="3"/>
    </row>
    <row r="19">
      <c r="A19" s="5">
        <f>IFERROR(__xludf.DUMMYFUNCTION("""COMPUTED_VALUE"""),46078.0)</f>
        <v>46078</v>
      </c>
      <c r="B19" s="5" t="str">
        <f>IFERROR(__xludf.DUMMYFUNCTION("""COMPUTED_VALUE"""),"TRSF E-BANKING DB")</f>
        <v>TRSF E-BANKING DB</v>
      </c>
      <c r="C19" s="5" t="str">
        <f>IFERROR(__xludf.DUMMYFUNCTION("""COMPUTED_VALUE"""),"2502/FTSCY/WS95031 2987020.00 NURHAYATI")</f>
        <v>2502/FTSCY/WS95031 2987020.00 NURHAYATI</v>
      </c>
      <c r="D19" s="3">
        <f>IFERROR(__xludf.DUMMYFUNCTION("""COMPUTED_VALUE"""),2987020.0)</f>
        <v>2987020</v>
      </c>
      <c r="E19" s="5"/>
      <c r="F19" s="5" t="str">
        <f>IFERROR(__xludf.DUMMYFUNCTION("""COMPUTED_VALUE"""),"DB")</f>
        <v>DB</v>
      </c>
      <c r="G19" s="3">
        <f>IFERROR(__xludf.DUMMYFUNCTION("""COMPUTED_VALUE"""),8.383581646000004E7)</f>
        <v>83835816.46</v>
      </c>
      <c r="H19" s="5"/>
      <c r="I19" s="5" t="str">
        <f>IFERROR(__xludf.DUMMYFUNCTION("""COMPUTED_VALUE"""),"V_SALES")</f>
        <v>V_SALES</v>
      </c>
      <c r="J19" s="3"/>
    </row>
    <row r="20">
      <c r="A20" s="5">
        <f>IFERROR(__xludf.DUMMYFUNCTION("""COMPUTED_VALUE"""),46080.0)</f>
        <v>46080</v>
      </c>
      <c r="B20" s="5" t="str">
        <f>IFERROR(__xludf.DUMMYFUNCTION("""COMPUTED_VALUE"""),"TRSF E-BANKING DB")</f>
        <v>TRSF E-BANKING DB</v>
      </c>
      <c r="C20" s="5" t="str">
        <f>IFERROR(__xludf.DUMMYFUNCTION("""COMPUTED_VALUE"""),"2702/FTSCY/WS95011 4906300.00 HALIM IBRAHIM")</f>
        <v>2702/FTSCY/WS95011 4906300.00 HALIM IBRAHIM</v>
      </c>
      <c r="D20" s="3">
        <f>IFERROR(__xludf.DUMMYFUNCTION("""COMPUTED_VALUE"""),4906300.0)</f>
        <v>4906300</v>
      </c>
      <c r="E20" s="5"/>
      <c r="F20" s="5" t="str">
        <f>IFERROR(__xludf.DUMMYFUNCTION("""COMPUTED_VALUE"""),"DB")</f>
        <v>DB</v>
      </c>
      <c r="G20" s="3">
        <f>IFERROR(__xludf.DUMMYFUNCTION("""COMPUTED_VALUE"""),2.3890439246000004E8)</f>
        <v>238904392.5</v>
      </c>
      <c r="H20" s="5"/>
      <c r="I20" s="5" t="str">
        <f>IFERROR(__xludf.DUMMYFUNCTION("""COMPUTED_VALUE"""),"V_SALES")</f>
        <v>V_SALES</v>
      </c>
      <c r="J20" s="3"/>
    </row>
    <row r="21">
      <c r="A21" s="5">
        <f>IFERROR(__xludf.DUMMYFUNCTION("""COMPUTED_VALUE"""),46081.0)</f>
        <v>46081</v>
      </c>
      <c r="B21" s="5" t="str">
        <f>IFERROR(__xludf.DUMMYFUNCTION("""COMPUTED_VALUE"""),"TRSF E-BANKING DB")</f>
        <v>TRSF E-BANKING DB</v>
      </c>
      <c r="C21" s="5" t="str">
        <f>IFERROR(__xludf.DUMMYFUNCTION("""COMPUTED_VALUE"""),"2802/FTSCY/WS95031 3075860.00 NURHAYATI")</f>
        <v>2802/FTSCY/WS95031 3075860.00 NURHAYATI</v>
      </c>
      <c r="D21" s="3">
        <f>IFERROR(__xludf.DUMMYFUNCTION("""COMPUTED_VALUE"""),3075860.0)</f>
        <v>3075860</v>
      </c>
      <c r="E21" s="5"/>
      <c r="F21" s="5" t="str">
        <f>IFERROR(__xludf.DUMMYFUNCTION("""COMPUTED_VALUE"""),"DB")</f>
        <v>DB</v>
      </c>
      <c r="G21" s="3">
        <f>IFERROR(__xludf.DUMMYFUNCTION("""COMPUTED_VALUE"""),7.263531246000004E7)</f>
        <v>72635312.46</v>
      </c>
      <c r="H21" s="5"/>
      <c r="I21" s="5" t="str">
        <f>IFERROR(__xludf.DUMMYFUNCTION("""COMPUTED_VALUE"""),"V_SALES")</f>
        <v>V_SALES</v>
      </c>
      <c r="J21" s="3"/>
    </row>
    <row r="22">
      <c r="D22" s="3"/>
      <c r="G22" s="3"/>
      <c r="J22" s="3"/>
    </row>
    <row r="23">
      <c r="D23" s="3"/>
      <c r="G23" s="3"/>
      <c r="J23" s="3"/>
    </row>
    <row r="24">
      <c r="D24" s="3"/>
      <c r="G24" s="3"/>
      <c r="J24" s="3"/>
    </row>
    <row r="25">
      <c r="D25" s="3"/>
      <c r="G25" s="3"/>
      <c r="J25" s="3"/>
    </row>
    <row r="26">
      <c r="D26" s="3"/>
      <c r="G26" s="3"/>
      <c r="J26" s="3"/>
    </row>
    <row r="27">
      <c r="D27" s="3"/>
      <c r="G27" s="3"/>
      <c r="J27" s="3"/>
    </row>
    <row r="28">
      <c r="D28" s="3"/>
      <c r="G28" s="3"/>
      <c r="J28" s="3"/>
    </row>
    <row r="29">
      <c r="D29" s="3"/>
      <c r="G29" s="3"/>
      <c r="J29" s="3"/>
    </row>
    <row r="30">
      <c r="D30" s="3"/>
      <c r="G30" s="3"/>
      <c r="J30" s="3"/>
    </row>
    <row r="31">
      <c r="D31" s="3"/>
      <c r="G31" s="3"/>
      <c r="J31" s="3"/>
    </row>
    <row r="32">
      <c r="D32" s="3"/>
      <c r="G32" s="3"/>
      <c r="J32" s="3"/>
    </row>
    <row r="33">
      <c r="D33" s="3"/>
      <c r="G33" s="3"/>
      <c r="J33" s="3"/>
    </row>
    <row r="34">
      <c r="D34" s="3"/>
      <c r="G34" s="3"/>
      <c r="J34" s="3"/>
    </row>
    <row r="35">
      <c r="D35" s="3"/>
      <c r="G35" s="3"/>
      <c r="J35" s="3"/>
    </row>
    <row r="36">
      <c r="D36" s="3"/>
      <c r="G36" s="3"/>
      <c r="J36" s="3"/>
    </row>
    <row r="37">
      <c r="D37" s="3"/>
      <c r="G37" s="3"/>
      <c r="J37" s="3"/>
    </row>
    <row r="38">
      <c r="D38" s="3"/>
      <c r="G38" s="3"/>
      <c r="J38" s="3"/>
    </row>
    <row r="39">
      <c r="D39" s="3"/>
      <c r="G39" s="3"/>
      <c r="J39" s="3"/>
    </row>
    <row r="40">
      <c r="D40" s="3"/>
      <c r="G40" s="3"/>
      <c r="J40" s="3"/>
    </row>
    <row r="41">
      <c r="D41" s="3"/>
      <c r="G41" s="3"/>
      <c r="J41" s="3"/>
    </row>
    <row r="42">
      <c r="D42" s="3"/>
      <c r="G42" s="3"/>
      <c r="J42" s="3"/>
    </row>
    <row r="43">
      <c r="D43" s="3"/>
      <c r="G43" s="3"/>
      <c r="J43" s="3"/>
    </row>
    <row r="44">
      <c r="D44" s="3"/>
      <c r="G44" s="3"/>
      <c r="J44" s="3"/>
    </row>
    <row r="45">
      <c r="D45" s="3"/>
      <c r="G45" s="3"/>
      <c r="J45" s="3"/>
    </row>
    <row r="46">
      <c r="D46" s="3"/>
      <c r="G46" s="3"/>
      <c r="J46" s="3"/>
    </row>
    <row r="47">
      <c r="D47" s="3"/>
      <c r="G47" s="3"/>
      <c r="J47" s="3"/>
    </row>
    <row r="48">
      <c r="D48" s="3"/>
      <c r="G48" s="3"/>
      <c r="J48" s="3"/>
    </row>
    <row r="49">
      <c r="D49" s="3"/>
      <c r="G49" s="3"/>
      <c r="J49" s="3"/>
    </row>
    <row r="50">
      <c r="D50" s="3"/>
      <c r="G50" s="3"/>
      <c r="J50" s="3"/>
    </row>
    <row r="51">
      <c r="D51" s="3"/>
      <c r="G51" s="3"/>
      <c r="J51" s="3"/>
    </row>
    <row r="52">
      <c r="D52" s="3"/>
      <c r="G52" s="3"/>
      <c r="J52" s="3"/>
    </row>
    <row r="53">
      <c r="D53" s="3"/>
      <c r="G53" s="3"/>
      <c r="J53" s="3"/>
    </row>
    <row r="54">
      <c r="D54" s="3"/>
      <c r="G54" s="3"/>
      <c r="J54" s="3"/>
    </row>
    <row r="55">
      <c r="D55" s="3"/>
      <c r="G55" s="3"/>
      <c r="J55" s="3"/>
    </row>
    <row r="56">
      <c r="D56" s="3"/>
      <c r="G56" s="3"/>
      <c r="J56" s="3"/>
    </row>
    <row r="57">
      <c r="D57" s="3"/>
      <c r="G57" s="3"/>
      <c r="J57" s="3"/>
    </row>
    <row r="58">
      <c r="D58" s="3"/>
      <c r="G58" s="3"/>
      <c r="J58" s="3"/>
    </row>
    <row r="59">
      <c r="D59" s="3"/>
      <c r="G59" s="3"/>
      <c r="J59" s="3"/>
    </row>
    <row r="60">
      <c r="D60" s="3"/>
      <c r="G60" s="3"/>
      <c r="J60" s="3"/>
    </row>
    <row r="61">
      <c r="D61" s="3"/>
      <c r="G61" s="3"/>
      <c r="J61" s="3"/>
    </row>
    <row r="62">
      <c r="D62" s="3"/>
      <c r="G62" s="3"/>
      <c r="J62" s="3"/>
    </row>
    <row r="63">
      <c r="D63" s="3"/>
      <c r="G63" s="3"/>
      <c r="J63" s="3"/>
    </row>
    <row r="64">
      <c r="D64" s="3"/>
      <c r="G64" s="3"/>
      <c r="J64" s="3"/>
    </row>
    <row r="65">
      <c r="D65" s="3"/>
      <c r="G65" s="3"/>
      <c r="J65" s="3"/>
    </row>
    <row r="66">
      <c r="D66" s="3"/>
      <c r="G66" s="3"/>
      <c r="J66" s="3"/>
    </row>
    <row r="67">
      <c r="D67" s="3"/>
      <c r="G67" s="3"/>
      <c r="J67" s="3"/>
    </row>
    <row r="68">
      <c r="D68" s="3"/>
      <c r="G68" s="3"/>
      <c r="J68" s="3"/>
    </row>
    <row r="69">
      <c r="D69" s="3"/>
      <c r="G69" s="3"/>
      <c r="J69" s="3"/>
    </row>
    <row r="70">
      <c r="D70" s="3"/>
      <c r="G70" s="3"/>
      <c r="J70" s="3"/>
    </row>
    <row r="71">
      <c r="D71" s="3"/>
      <c r="G71" s="3"/>
      <c r="J71" s="3"/>
    </row>
    <row r="72">
      <c r="D72" s="3"/>
      <c r="G72" s="3"/>
      <c r="J72" s="3"/>
    </row>
    <row r="73">
      <c r="D73" s="3"/>
      <c r="G73" s="3"/>
      <c r="J73" s="3"/>
    </row>
    <row r="74">
      <c r="D74" s="3"/>
      <c r="G74" s="3"/>
      <c r="J74" s="3"/>
    </row>
    <row r="75">
      <c r="D75" s="3"/>
      <c r="G75" s="3"/>
      <c r="J75" s="3"/>
    </row>
    <row r="76">
      <c r="D76" s="3"/>
      <c r="G76" s="3"/>
      <c r="J76" s="3"/>
    </row>
    <row r="77">
      <c r="D77" s="3"/>
      <c r="G77" s="3"/>
      <c r="J77" s="3"/>
    </row>
    <row r="78">
      <c r="D78" s="3"/>
      <c r="G78" s="3"/>
      <c r="J78" s="3"/>
    </row>
    <row r="79">
      <c r="D79" s="3"/>
      <c r="G79" s="3"/>
      <c r="J79" s="3"/>
    </row>
    <row r="80">
      <c r="D80" s="3"/>
      <c r="G80" s="3"/>
      <c r="J80" s="3"/>
    </row>
    <row r="81">
      <c r="D81" s="3"/>
      <c r="G81" s="3"/>
      <c r="J81" s="3"/>
    </row>
    <row r="82">
      <c r="D82" s="3"/>
      <c r="G82" s="3"/>
      <c r="J82" s="3"/>
    </row>
    <row r="83">
      <c r="D83" s="3"/>
      <c r="G83" s="3"/>
      <c r="J83" s="3"/>
    </row>
    <row r="84">
      <c r="D84" s="3"/>
      <c r="G84" s="3"/>
      <c r="J84" s="3"/>
    </row>
    <row r="85">
      <c r="D85" s="3"/>
      <c r="G85" s="3"/>
      <c r="J85" s="3"/>
    </row>
    <row r="86">
      <c r="D86" s="3"/>
      <c r="G86" s="3"/>
      <c r="J86" s="3"/>
    </row>
    <row r="87">
      <c r="D87" s="3"/>
      <c r="G87" s="3"/>
      <c r="J87" s="3"/>
    </row>
    <row r="88">
      <c r="D88" s="3"/>
      <c r="G88" s="3"/>
      <c r="J88" s="3"/>
    </row>
    <row r="89">
      <c r="D89" s="3"/>
      <c r="G89" s="3"/>
      <c r="J89" s="3"/>
    </row>
    <row r="90">
      <c r="D90" s="3"/>
      <c r="G90" s="3"/>
      <c r="J90" s="3"/>
    </row>
    <row r="91">
      <c r="D91" s="3"/>
      <c r="G91" s="3"/>
      <c r="J91" s="3"/>
    </row>
    <row r="92">
      <c r="D92" s="3"/>
      <c r="G92" s="3"/>
      <c r="J92" s="3"/>
    </row>
    <row r="93">
      <c r="D93" s="3"/>
      <c r="G93" s="3"/>
      <c r="J93" s="3"/>
    </row>
    <row r="94">
      <c r="D94" s="3"/>
      <c r="G94" s="3"/>
      <c r="J94" s="3"/>
    </row>
    <row r="95">
      <c r="D95" s="3"/>
      <c r="G95" s="3"/>
      <c r="J95" s="3"/>
    </row>
    <row r="96">
      <c r="D96" s="3"/>
      <c r="G96" s="3"/>
      <c r="J96" s="3"/>
    </row>
    <row r="97">
      <c r="D97" s="3"/>
      <c r="G97" s="3"/>
      <c r="J97" s="3"/>
    </row>
    <row r="98">
      <c r="D98" s="3"/>
      <c r="G98" s="3"/>
      <c r="J98" s="3"/>
    </row>
    <row r="99">
      <c r="D99" s="3"/>
      <c r="G99" s="3"/>
      <c r="J99" s="3"/>
    </row>
    <row r="100">
      <c r="D100" s="3"/>
      <c r="G100" s="3"/>
      <c r="J100" s="3"/>
    </row>
    <row r="101">
      <c r="D101" s="3"/>
      <c r="G101" s="3"/>
      <c r="J101" s="3"/>
    </row>
    <row r="102">
      <c r="D102" s="3"/>
      <c r="G102" s="3"/>
      <c r="J102" s="3"/>
    </row>
    <row r="103">
      <c r="D103" s="3"/>
      <c r="G103" s="3"/>
      <c r="J103" s="3"/>
    </row>
    <row r="104">
      <c r="D104" s="3"/>
      <c r="G104" s="3"/>
      <c r="J104" s="3"/>
    </row>
    <row r="105">
      <c r="D105" s="3"/>
      <c r="G105" s="3"/>
      <c r="J105" s="3"/>
    </row>
    <row r="106">
      <c r="D106" s="3"/>
      <c r="G106" s="3"/>
      <c r="J106" s="3"/>
    </row>
    <row r="107">
      <c r="D107" s="3"/>
      <c r="G107" s="3"/>
      <c r="J107" s="3"/>
    </row>
    <row r="108">
      <c r="D108" s="3"/>
      <c r="G108" s="3"/>
      <c r="J108" s="3"/>
    </row>
    <row r="109">
      <c r="D109" s="3"/>
      <c r="G109" s="3"/>
      <c r="J109" s="3"/>
    </row>
    <row r="110">
      <c r="D110" s="3"/>
      <c r="G110" s="3"/>
      <c r="J110" s="3"/>
    </row>
    <row r="111">
      <c r="D111" s="3"/>
      <c r="G111" s="3"/>
      <c r="J111" s="3"/>
    </row>
    <row r="112">
      <c r="D112" s="3"/>
      <c r="G112" s="3"/>
      <c r="J112" s="3"/>
    </row>
    <row r="113">
      <c r="D113" s="3"/>
      <c r="G113" s="3"/>
      <c r="J113" s="3"/>
    </row>
    <row r="114">
      <c r="D114" s="3"/>
      <c r="G114" s="3"/>
      <c r="J114" s="3"/>
    </row>
    <row r="115">
      <c r="D115" s="3"/>
      <c r="G115" s="3"/>
      <c r="J115" s="3"/>
    </row>
    <row r="116">
      <c r="D116" s="3"/>
      <c r="G116" s="3"/>
      <c r="J116" s="3"/>
    </row>
    <row r="117">
      <c r="D117" s="3"/>
      <c r="G117" s="3"/>
      <c r="J117" s="3"/>
    </row>
    <row r="118">
      <c r="D118" s="3"/>
      <c r="G118" s="3"/>
      <c r="J118" s="3"/>
    </row>
    <row r="119">
      <c r="D119" s="3"/>
      <c r="G119" s="3"/>
      <c r="J119" s="3"/>
    </row>
    <row r="120">
      <c r="D120" s="3"/>
      <c r="G120" s="3"/>
      <c r="J120" s="3"/>
    </row>
    <row r="121">
      <c r="D121" s="3"/>
      <c r="G121" s="3"/>
      <c r="J121" s="3"/>
    </row>
    <row r="122">
      <c r="D122" s="3"/>
      <c r="G122" s="3"/>
      <c r="J122" s="3"/>
    </row>
    <row r="123">
      <c r="D123" s="3"/>
      <c r="G123" s="3"/>
      <c r="J123" s="3"/>
    </row>
    <row r="124">
      <c r="D124" s="3"/>
      <c r="G124" s="3"/>
      <c r="J124" s="3"/>
    </row>
    <row r="125">
      <c r="D125" s="3"/>
      <c r="G125" s="3"/>
      <c r="J125" s="3"/>
    </row>
    <row r="126">
      <c r="D126" s="3"/>
      <c r="G126" s="3"/>
      <c r="J126" s="3"/>
    </row>
    <row r="127">
      <c r="D127" s="3"/>
      <c r="G127" s="3"/>
      <c r="J127" s="3"/>
    </row>
    <row r="128">
      <c r="D128" s="3"/>
      <c r="G128" s="3"/>
      <c r="J128" s="3"/>
    </row>
    <row r="129">
      <c r="D129" s="3"/>
      <c r="G129" s="3"/>
      <c r="J129" s="3"/>
    </row>
    <row r="130">
      <c r="D130" s="3"/>
      <c r="G130" s="3"/>
      <c r="J130" s="3"/>
    </row>
    <row r="131">
      <c r="D131" s="3"/>
      <c r="G131" s="3"/>
      <c r="J131" s="3"/>
    </row>
    <row r="132">
      <c r="D132" s="3"/>
      <c r="G132" s="3"/>
      <c r="J132" s="3"/>
    </row>
    <row r="133">
      <c r="D133" s="3"/>
      <c r="G133" s="3"/>
      <c r="J133" s="3"/>
    </row>
    <row r="134">
      <c r="D134" s="3"/>
      <c r="G134" s="3"/>
      <c r="J134" s="3"/>
    </row>
    <row r="135">
      <c r="D135" s="3"/>
      <c r="G135" s="3"/>
      <c r="J135" s="3"/>
    </row>
    <row r="136">
      <c r="D136" s="3"/>
      <c r="G136" s="3"/>
      <c r="J136" s="3"/>
    </row>
    <row r="137">
      <c r="D137" s="3"/>
      <c r="G137" s="3"/>
      <c r="J137" s="3"/>
    </row>
    <row r="138">
      <c r="D138" s="3"/>
      <c r="G138" s="3"/>
      <c r="J138" s="3"/>
    </row>
    <row r="139">
      <c r="D139" s="3"/>
      <c r="G139" s="3"/>
      <c r="J139" s="3"/>
    </row>
    <row r="140">
      <c r="D140" s="3"/>
      <c r="G140" s="3"/>
      <c r="J140" s="3"/>
    </row>
    <row r="141">
      <c r="D141" s="3"/>
      <c r="G141" s="3"/>
      <c r="J141" s="3"/>
    </row>
    <row r="142">
      <c r="D142" s="3"/>
      <c r="G142" s="3"/>
      <c r="J142" s="3"/>
    </row>
    <row r="143">
      <c r="D143" s="3"/>
      <c r="G143" s="3"/>
      <c r="J143" s="3"/>
    </row>
    <row r="144">
      <c r="D144" s="3"/>
      <c r="G144" s="3"/>
      <c r="J144" s="3"/>
    </row>
    <row r="145">
      <c r="D145" s="3"/>
      <c r="G145" s="3"/>
      <c r="J145" s="3"/>
    </row>
    <row r="146">
      <c r="D146" s="3"/>
      <c r="G146" s="3"/>
      <c r="J146" s="3"/>
    </row>
    <row r="147">
      <c r="D147" s="3"/>
      <c r="G147" s="3"/>
      <c r="J147" s="3"/>
    </row>
    <row r="148">
      <c r="D148" s="3"/>
      <c r="G148" s="3"/>
      <c r="J148" s="3"/>
    </row>
    <row r="149">
      <c r="D149" s="3"/>
      <c r="G149" s="3"/>
      <c r="J149" s="3"/>
    </row>
    <row r="150">
      <c r="D150" s="3"/>
      <c r="G150" s="3"/>
      <c r="J150" s="3"/>
    </row>
    <row r="151">
      <c r="D151" s="3"/>
      <c r="G151" s="3"/>
      <c r="J151" s="3"/>
    </row>
    <row r="152">
      <c r="D152" s="3"/>
      <c r="G152" s="3"/>
      <c r="J152" s="3"/>
    </row>
    <row r="153">
      <c r="D153" s="3"/>
      <c r="G153" s="3"/>
      <c r="J153" s="3"/>
    </row>
    <row r="154">
      <c r="D154" s="3"/>
      <c r="G154" s="3"/>
      <c r="J154" s="3"/>
    </row>
    <row r="155">
      <c r="D155" s="3"/>
      <c r="G155" s="3"/>
      <c r="J155" s="3"/>
    </row>
    <row r="156">
      <c r="D156" s="3"/>
      <c r="G156" s="3"/>
      <c r="J156" s="3"/>
    </row>
    <row r="157">
      <c r="D157" s="3"/>
      <c r="G157" s="3"/>
      <c r="J157" s="3"/>
    </row>
    <row r="158">
      <c r="D158" s="3"/>
      <c r="G158" s="3"/>
      <c r="J158" s="3"/>
    </row>
    <row r="159">
      <c r="D159" s="3"/>
      <c r="G159" s="3"/>
      <c r="J159" s="3"/>
    </row>
    <row r="160">
      <c r="D160" s="3"/>
      <c r="G160" s="3"/>
      <c r="J160" s="3"/>
    </row>
    <row r="161">
      <c r="D161" s="3"/>
      <c r="G161" s="3"/>
      <c r="J161" s="3"/>
    </row>
    <row r="162">
      <c r="D162" s="3"/>
      <c r="G162" s="3"/>
      <c r="J162" s="3"/>
    </row>
    <row r="163">
      <c r="D163" s="3"/>
      <c r="G163" s="3"/>
      <c r="J163" s="3"/>
    </row>
    <row r="164">
      <c r="D164" s="3"/>
      <c r="G164" s="3"/>
      <c r="J164" s="3"/>
    </row>
    <row r="165">
      <c r="D165" s="3"/>
      <c r="G165" s="3"/>
      <c r="J165" s="3"/>
    </row>
    <row r="166">
      <c r="D166" s="3"/>
      <c r="G166" s="3"/>
      <c r="J166" s="3"/>
    </row>
    <row r="167">
      <c r="D167" s="3"/>
      <c r="G167" s="3"/>
      <c r="J167" s="3"/>
    </row>
    <row r="168">
      <c r="D168" s="3"/>
      <c r="G168" s="3"/>
      <c r="J168" s="3"/>
    </row>
    <row r="169">
      <c r="D169" s="3"/>
      <c r="G169" s="3"/>
      <c r="J169" s="3"/>
    </row>
    <row r="170">
      <c r="D170" s="3"/>
      <c r="G170" s="3"/>
      <c r="J170" s="3"/>
    </row>
    <row r="171">
      <c r="D171" s="3"/>
      <c r="G171" s="3"/>
      <c r="J171" s="3"/>
    </row>
    <row r="172">
      <c r="D172" s="3"/>
      <c r="G172" s="3"/>
      <c r="J172" s="3"/>
    </row>
    <row r="173">
      <c r="D173" s="3"/>
      <c r="G173" s="3"/>
      <c r="J173" s="3"/>
    </row>
    <row r="174">
      <c r="D174" s="3"/>
      <c r="G174" s="3"/>
      <c r="J174" s="3"/>
    </row>
    <row r="175">
      <c r="D175" s="3"/>
      <c r="G175" s="3"/>
      <c r="J175" s="3"/>
    </row>
    <row r="176">
      <c r="D176" s="3"/>
      <c r="G176" s="3"/>
      <c r="J176" s="3"/>
    </row>
    <row r="177">
      <c r="D177" s="3"/>
      <c r="G177" s="3"/>
      <c r="J177" s="3"/>
    </row>
    <row r="178">
      <c r="D178" s="3"/>
      <c r="G178" s="3"/>
      <c r="J178" s="3"/>
    </row>
    <row r="179">
      <c r="D179" s="3"/>
      <c r="G179" s="3"/>
      <c r="J179" s="3"/>
    </row>
    <row r="180">
      <c r="D180" s="3"/>
      <c r="G180" s="3"/>
      <c r="J180" s="3"/>
    </row>
    <row r="181">
      <c r="D181" s="3"/>
      <c r="G181" s="3"/>
      <c r="J181" s="3"/>
    </row>
    <row r="182">
      <c r="D182" s="3"/>
      <c r="G182" s="3"/>
      <c r="J182" s="3"/>
    </row>
    <row r="183">
      <c r="D183" s="3"/>
      <c r="G183" s="3"/>
      <c r="J183" s="3"/>
    </row>
    <row r="184">
      <c r="D184" s="3"/>
      <c r="G184" s="3"/>
      <c r="J184" s="3"/>
    </row>
    <row r="185">
      <c r="D185" s="3"/>
      <c r="G185" s="3"/>
      <c r="J185" s="3"/>
    </row>
    <row r="186">
      <c r="D186" s="3"/>
      <c r="G186" s="3"/>
      <c r="J186" s="3"/>
    </row>
    <row r="187">
      <c r="D187" s="3"/>
      <c r="G187" s="3"/>
      <c r="J187" s="3"/>
    </row>
    <row r="188">
      <c r="D188" s="3"/>
      <c r="G188" s="3"/>
      <c r="J188" s="3"/>
    </row>
    <row r="189">
      <c r="D189" s="3"/>
      <c r="G189" s="3"/>
      <c r="J189" s="3"/>
    </row>
    <row r="190">
      <c r="D190" s="3"/>
      <c r="G190" s="3"/>
      <c r="J190" s="3"/>
    </row>
    <row r="191">
      <c r="D191" s="3"/>
      <c r="G191" s="3"/>
      <c r="J191" s="3"/>
    </row>
    <row r="192">
      <c r="D192" s="3"/>
      <c r="G192" s="3"/>
      <c r="J192" s="3"/>
    </row>
    <row r="193">
      <c r="D193" s="3"/>
      <c r="G193" s="3"/>
      <c r="J193" s="3"/>
    </row>
    <row r="194">
      <c r="D194" s="3"/>
      <c r="G194" s="3"/>
      <c r="J194" s="3"/>
    </row>
    <row r="195">
      <c r="D195" s="3"/>
      <c r="G195" s="3"/>
      <c r="J195" s="3"/>
    </row>
    <row r="196">
      <c r="D196" s="3"/>
      <c r="G196" s="3"/>
      <c r="J196" s="3"/>
    </row>
    <row r="197">
      <c r="D197" s="3"/>
      <c r="G197" s="3"/>
      <c r="J197" s="3"/>
    </row>
    <row r="198">
      <c r="D198" s="3"/>
      <c r="G198" s="3"/>
      <c r="J198" s="3"/>
    </row>
    <row r="199">
      <c r="D199" s="3"/>
      <c r="G199" s="3"/>
      <c r="J199" s="3"/>
    </row>
    <row r="200">
      <c r="D200" s="3"/>
      <c r="G200" s="3"/>
      <c r="J200" s="3"/>
    </row>
    <row r="201">
      <c r="D201" s="3"/>
      <c r="G201" s="3"/>
      <c r="J201" s="3"/>
    </row>
    <row r="202">
      <c r="D202" s="3"/>
      <c r="G202" s="3"/>
      <c r="J202" s="3"/>
    </row>
    <row r="203">
      <c r="D203" s="3"/>
      <c r="G203" s="3"/>
      <c r="J203" s="3"/>
    </row>
    <row r="204">
      <c r="D204" s="3"/>
      <c r="G204" s="3"/>
      <c r="J204" s="3"/>
    </row>
    <row r="205">
      <c r="D205" s="3"/>
      <c r="G205" s="3"/>
      <c r="J205" s="3"/>
    </row>
    <row r="206">
      <c r="D206" s="3"/>
      <c r="G206" s="3"/>
      <c r="J206" s="3"/>
    </row>
    <row r="207">
      <c r="D207" s="3"/>
      <c r="G207" s="3"/>
      <c r="J207" s="3"/>
    </row>
    <row r="208">
      <c r="D208" s="3"/>
      <c r="G208" s="3"/>
      <c r="J208" s="3"/>
    </row>
    <row r="209">
      <c r="D209" s="3"/>
      <c r="G209" s="3"/>
      <c r="J209" s="3"/>
    </row>
    <row r="210">
      <c r="D210" s="3"/>
      <c r="G210" s="3"/>
      <c r="J210" s="3"/>
    </row>
    <row r="211">
      <c r="D211" s="3"/>
      <c r="G211" s="3"/>
      <c r="J211" s="3"/>
    </row>
    <row r="212">
      <c r="D212" s="3"/>
      <c r="G212" s="3"/>
      <c r="J212" s="3"/>
    </row>
    <row r="213">
      <c r="D213" s="3"/>
      <c r="G213" s="3"/>
      <c r="J213" s="3"/>
    </row>
    <row r="214">
      <c r="D214" s="3"/>
      <c r="G214" s="3"/>
      <c r="J214" s="3"/>
    </row>
    <row r="215">
      <c r="D215" s="3"/>
      <c r="G215" s="3"/>
      <c r="J215" s="3"/>
    </row>
    <row r="216">
      <c r="D216" s="3"/>
      <c r="G216" s="3"/>
      <c r="J216" s="3"/>
    </row>
    <row r="217">
      <c r="D217" s="3"/>
      <c r="G217" s="3"/>
      <c r="J217" s="3"/>
    </row>
    <row r="218">
      <c r="D218" s="3"/>
      <c r="G218" s="3"/>
      <c r="J218" s="3"/>
    </row>
    <row r="219">
      <c r="D219" s="3"/>
      <c r="G219" s="3"/>
      <c r="J219" s="3"/>
    </row>
    <row r="220">
      <c r="D220" s="3"/>
      <c r="G220" s="3"/>
      <c r="J220" s="3"/>
    </row>
    <row r="221">
      <c r="D221" s="3"/>
      <c r="G221" s="3"/>
      <c r="J221" s="3"/>
    </row>
    <row r="222">
      <c r="D222" s="3"/>
      <c r="G222" s="3"/>
      <c r="J222" s="3"/>
    </row>
    <row r="223">
      <c r="D223" s="3"/>
      <c r="G223" s="3"/>
      <c r="J223" s="3"/>
    </row>
    <row r="224">
      <c r="D224" s="3"/>
      <c r="G224" s="3"/>
      <c r="J224" s="3"/>
    </row>
    <row r="225">
      <c r="D225" s="3"/>
      <c r="G225" s="3"/>
      <c r="J225" s="3"/>
    </row>
    <row r="226">
      <c r="D226" s="3"/>
      <c r="G226" s="3"/>
      <c r="J226" s="3"/>
    </row>
    <row r="227">
      <c r="D227" s="3"/>
      <c r="G227" s="3"/>
      <c r="J227" s="3"/>
    </row>
    <row r="228">
      <c r="D228" s="3"/>
      <c r="G228" s="3"/>
      <c r="J228" s="3"/>
    </row>
    <row r="229">
      <c r="D229" s="3"/>
      <c r="G229" s="3"/>
      <c r="J229" s="3"/>
    </row>
    <row r="230">
      <c r="D230" s="3"/>
      <c r="G230" s="3"/>
      <c r="J230" s="3"/>
    </row>
    <row r="231">
      <c r="D231" s="3"/>
      <c r="G231" s="3"/>
      <c r="J231" s="3"/>
    </row>
    <row r="232">
      <c r="D232" s="3"/>
      <c r="G232" s="3"/>
      <c r="J232" s="3"/>
    </row>
    <row r="233">
      <c r="D233" s="3"/>
      <c r="G233" s="3"/>
      <c r="J233" s="3"/>
    </row>
    <row r="234">
      <c r="D234" s="3"/>
      <c r="G234" s="3"/>
      <c r="J234" s="3"/>
    </row>
    <row r="235">
      <c r="D235" s="3"/>
      <c r="G235" s="3"/>
      <c r="J235" s="3"/>
    </row>
    <row r="236">
      <c r="D236" s="3"/>
      <c r="G236" s="3"/>
      <c r="J236" s="3"/>
    </row>
    <row r="237">
      <c r="D237" s="3"/>
      <c r="G237" s="3"/>
      <c r="J237" s="3"/>
    </row>
    <row r="238">
      <c r="D238" s="3"/>
      <c r="G238" s="3"/>
      <c r="J238" s="3"/>
    </row>
    <row r="239">
      <c r="D239" s="3"/>
      <c r="G239" s="3"/>
      <c r="J239" s="3"/>
    </row>
    <row r="240">
      <c r="D240" s="3"/>
      <c r="G240" s="3"/>
      <c r="J240" s="3"/>
    </row>
    <row r="241">
      <c r="D241" s="3"/>
      <c r="G241" s="3"/>
      <c r="J241" s="3"/>
    </row>
    <row r="242">
      <c r="D242" s="3"/>
      <c r="G242" s="3"/>
      <c r="J242" s="3"/>
    </row>
    <row r="243">
      <c r="D243" s="3"/>
      <c r="G243" s="3"/>
      <c r="J243" s="3"/>
    </row>
    <row r="244">
      <c r="D244" s="3"/>
      <c r="G244" s="3"/>
      <c r="J244" s="3"/>
    </row>
    <row r="245">
      <c r="D245" s="3"/>
      <c r="G245" s="3"/>
      <c r="J245" s="3"/>
    </row>
    <row r="246">
      <c r="D246" s="3"/>
      <c r="G246" s="3"/>
      <c r="J246" s="3"/>
    </row>
    <row r="247">
      <c r="D247" s="3"/>
      <c r="G247" s="3"/>
      <c r="J247" s="3"/>
    </row>
    <row r="248">
      <c r="D248" s="3"/>
      <c r="G248" s="3"/>
      <c r="J248" s="3"/>
    </row>
    <row r="249">
      <c r="D249" s="3"/>
      <c r="G249" s="3"/>
      <c r="J249" s="3"/>
    </row>
    <row r="250">
      <c r="D250" s="3"/>
      <c r="G250" s="3"/>
      <c r="J250" s="3"/>
    </row>
    <row r="251">
      <c r="D251" s="3"/>
      <c r="G251" s="3"/>
      <c r="J251" s="3"/>
    </row>
    <row r="252">
      <c r="D252" s="3"/>
      <c r="G252" s="3"/>
      <c r="J252" s="3"/>
    </row>
    <row r="253">
      <c r="D253" s="3"/>
      <c r="G253" s="3"/>
      <c r="J253" s="3"/>
    </row>
    <row r="254">
      <c r="D254" s="3"/>
      <c r="G254" s="3"/>
      <c r="J254" s="3"/>
    </row>
    <row r="255">
      <c r="D255" s="3"/>
      <c r="G255" s="3"/>
      <c r="J255" s="3"/>
    </row>
    <row r="256">
      <c r="D256" s="3"/>
      <c r="G256" s="3"/>
      <c r="J256" s="3"/>
    </row>
    <row r="257">
      <c r="D257" s="3"/>
      <c r="G257" s="3"/>
      <c r="J257" s="3"/>
    </row>
    <row r="258">
      <c r="D258" s="3"/>
      <c r="G258" s="3"/>
      <c r="J258" s="3"/>
    </row>
    <row r="259">
      <c r="D259" s="3"/>
      <c r="G259" s="3"/>
      <c r="J259" s="3"/>
    </row>
    <row r="260">
      <c r="D260" s="3"/>
      <c r="G260" s="3"/>
      <c r="J260" s="3"/>
    </row>
    <row r="261">
      <c r="D261" s="3"/>
      <c r="G261" s="3"/>
      <c r="J261" s="3"/>
    </row>
    <row r="262">
      <c r="D262" s="3"/>
      <c r="G262" s="3"/>
      <c r="J262" s="3"/>
    </row>
    <row r="263">
      <c r="D263" s="3"/>
      <c r="G263" s="3"/>
      <c r="J263" s="3"/>
    </row>
    <row r="264">
      <c r="D264" s="3"/>
      <c r="G264" s="3"/>
      <c r="J264" s="3"/>
    </row>
    <row r="265">
      <c r="D265" s="3"/>
      <c r="G265" s="3"/>
      <c r="J265" s="3"/>
    </row>
    <row r="266">
      <c r="D266" s="3"/>
      <c r="G266" s="3"/>
      <c r="J266" s="3"/>
    </row>
    <row r="267">
      <c r="D267" s="3"/>
      <c r="G267" s="3"/>
      <c r="J267" s="3"/>
    </row>
    <row r="268">
      <c r="D268" s="3"/>
      <c r="G268" s="3"/>
      <c r="J268" s="3"/>
    </row>
    <row r="269">
      <c r="D269" s="3"/>
      <c r="G269" s="3"/>
      <c r="J269" s="3"/>
    </row>
    <row r="270">
      <c r="D270" s="3"/>
      <c r="G270" s="3"/>
      <c r="J270" s="3"/>
    </row>
    <row r="271">
      <c r="D271" s="3"/>
      <c r="G271" s="3"/>
      <c r="J271" s="3"/>
    </row>
    <row r="272">
      <c r="D272" s="3"/>
      <c r="G272" s="3"/>
      <c r="J272" s="3"/>
    </row>
    <row r="273">
      <c r="D273" s="3"/>
      <c r="G273" s="3"/>
      <c r="J273" s="3"/>
    </row>
    <row r="274">
      <c r="D274" s="3"/>
      <c r="G274" s="3"/>
      <c r="J274" s="3"/>
    </row>
    <row r="275">
      <c r="D275" s="3"/>
      <c r="G275" s="3"/>
      <c r="J275" s="3"/>
    </row>
    <row r="276">
      <c r="D276" s="3"/>
      <c r="G276" s="3"/>
      <c r="J276" s="3"/>
    </row>
    <row r="277">
      <c r="D277" s="3"/>
      <c r="G277" s="3"/>
      <c r="J277" s="3"/>
    </row>
    <row r="278">
      <c r="D278" s="3"/>
      <c r="G278" s="3"/>
      <c r="J278" s="3"/>
    </row>
    <row r="279">
      <c r="D279" s="3"/>
      <c r="G279" s="3"/>
      <c r="J279" s="3"/>
    </row>
    <row r="280">
      <c r="D280" s="3"/>
      <c r="G280" s="3"/>
      <c r="J280" s="3"/>
    </row>
    <row r="281">
      <c r="D281" s="3"/>
      <c r="G281" s="3"/>
      <c r="J281" s="3"/>
    </row>
    <row r="282">
      <c r="D282" s="3"/>
      <c r="G282" s="3"/>
      <c r="J282" s="3"/>
    </row>
    <row r="283">
      <c r="D283" s="3"/>
      <c r="G283" s="3"/>
      <c r="J283" s="3"/>
    </row>
    <row r="284">
      <c r="D284" s="3"/>
      <c r="G284" s="3"/>
      <c r="J284" s="3"/>
    </row>
    <row r="285">
      <c r="D285" s="3"/>
      <c r="G285" s="3"/>
      <c r="J285" s="3"/>
    </row>
    <row r="286">
      <c r="D286" s="3"/>
      <c r="G286" s="3"/>
      <c r="J286" s="3"/>
    </row>
    <row r="287">
      <c r="D287" s="3"/>
      <c r="G287" s="3"/>
      <c r="J287" s="3"/>
    </row>
    <row r="288">
      <c r="D288" s="3"/>
      <c r="G288" s="3"/>
      <c r="J288" s="3"/>
    </row>
    <row r="289">
      <c r="D289" s="3"/>
      <c r="G289" s="3"/>
      <c r="J289" s="3"/>
    </row>
    <row r="290">
      <c r="D290" s="3"/>
      <c r="G290" s="3"/>
      <c r="J290" s="3"/>
    </row>
    <row r="291">
      <c r="D291" s="3"/>
      <c r="G291" s="3"/>
      <c r="J291" s="3"/>
    </row>
    <row r="292">
      <c r="D292" s="3"/>
      <c r="G292" s="3"/>
      <c r="J292" s="3"/>
    </row>
    <row r="293">
      <c r="D293" s="3"/>
      <c r="G293" s="3"/>
      <c r="J293" s="3"/>
    </row>
    <row r="294">
      <c r="D294" s="3"/>
      <c r="G294" s="3"/>
      <c r="J294" s="3"/>
    </row>
    <row r="295">
      <c r="D295" s="3"/>
      <c r="G295" s="3"/>
      <c r="J295" s="3"/>
    </row>
    <row r="296">
      <c r="D296" s="3"/>
      <c r="G296" s="3"/>
      <c r="J296" s="3"/>
    </row>
    <row r="297">
      <c r="D297" s="3"/>
      <c r="G297" s="3"/>
      <c r="J297" s="3"/>
    </row>
    <row r="298">
      <c r="D298" s="3"/>
      <c r="G298" s="3"/>
      <c r="J298" s="3"/>
    </row>
    <row r="299">
      <c r="D299" s="3"/>
      <c r="G299" s="3"/>
      <c r="J299" s="3"/>
    </row>
    <row r="300">
      <c r="D300" s="3"/>
      <c r="G300" s="3"/>
      <c r="J300" s="3"/>
    </row>
    <row r="301">
      <c r="D301" s="3"/>
      <c r="G301" s="3"/>
      <c r="J301" s="3"/>
    </row>
    <row r="302">
      <c r="D302" s="3"/>
      <c r="G302" s="3"/>
      <c r="J302" s="3"/>
    </row>
    <row r="303">
      <c r="D303" s="3"/>
      <c r="G303" s="3"/>
      <c r="J303" s="3"/>
    </row>
    <row r="304">
      <c r="D304" s="3"/>
      <c r="G304" s="3"/>
      <c r="J304" s="3"/>
    </row>
    <row r="305">
      <c r="D305" s="3"/>
      <c r="G305" s="3"/>
      <c r="J305" s="3"/>
    </row>
    <row r="306">
      <c r="D306" s="3"/>
      <c r="G306" s="3"/>
      <c r="J306" s="3"/>
    </row>
    <row r="307">
      <c r="D307" s="3"/>
      <c r="G307" s="3"/>
      <c r="J307" s="3"/>
    </row>
    <row r="308">
      <c r="D308" s="3"/>
      <c r="G308" s="3"/>
      <c r="J308" s="3"/>
    </row>
    <row r="309">
      <c r="D309" s="3"/>
      <c r="G309" s="3"/>
      <c r="J309" s="3"/>
    </row>
    <row r="310">
      <c r="D310" s="3"/>
      <c r="G310" s="3"/>
      <c r="J310" s="3"/>
    </row>
    <row r="311">
      <c r="D311" s="3"/>
      <c r="G311" s="3"/>
      <c r="J311" s="3"/>
    </row>
    <row r="312">
      <c r="D312" s="3"/>
      <c r="G312" s="3"/>
      <c r="J312" s="3"/>
    </row>
    <row r="313">
      <c r="D313" s="3"/>
      <c r="G313" s="3"/>
      <c r="J313" s="3"/>
    </row>
    <row r="314">
      <c r="D314" s="3"/>
      <c r="G314" s="3"/>
      <c r="J314" s="3"/>
    </row>
    <row r="315">
      <c r="D315" s="3"/>
      <c r="G315" s="3"/>
      <c r="J315" s="3"/>
    </row>
    <row r="316">
      <c r="D316" s="3"/>
      <c r="G316" s="3"/>
      <c r="J316" s="3"/>
    </row>
    <row r="317">
      <c r="D317" s="3"/>
      <c r="G317" s="3"/>
      <c r="J317" s="3"/>
    </row>
    <row r="318">
      <c r="D318" s="3"/>
      <c r="G318" s="3"/>
      <c r="J318" s="3"/>
    </row>
    <row r="319">
      <c r="D319" s="3"/>
      <c r="G319" s="3"/>
      <c r="J319" s="3"/>
    </row>
    <row r="320">
      <c r="D320" s="3"/>
      <c r="G320" s="3"/>
      <c r="J320" s="3"/>
    </row>
    <row r="321">
      <c r="D321" s="3"/>
      <c r="G321" s="3"/>
      <c r="J321" s="3"/>
    </row>
    <row r="322">
      <c r="D322" s="3"/>
      <c r="G322" s="3"/>
      <c r="J322" s="3"/>
    </row>
    <row r="323">
      <c r="D323" s="3"/>
      <c r="G323" s="3"/>
      <c r="J323" s="3"/>
    </row>
    <row r="324">
      <c r="D324" s="3"/>
      <c r="G324" s="3"/>
      <c r="J324" s="3"/>
    </row>
    <row r="325">
      <c r="D325" s="3"/>
      <c r="G325" s="3"/>
      <c r="J325" s="3"/>
    </row>
    <row r="326">
      <c r="D326" s="3"/>
      <c r="G326" s="3"/>
      <c r="J326" s="3"/>
    </row>
    <row r="327">
      <c r="D327" s="3"/>
      <c r="G327" s="3"/>
      <c r="J327" s="3"/>
    </row>
    <row r="328">
      <c r="D328" s="3"/>
      <c r="G328" s="3"/>
      <c r="J328" s="3"/>
    </row>
    <row r="329">
      <c r="D329" s="3"/>
      <c r="G329" s="3"/>
      <c r="J329" s="3"/>
    </row>
    <row r="330">
      <c r="D330" s="3"/>
      <c r="G330" s="3"/>
      <c r="J330" s="3"/>
    </row>
    <row r="331">
      <c r="D331" s="3"/>
      <c r="G331" s="3"/>
      <c r="J331" s="3"/>
    </row>
    <row r="332">
      <c r="D332" s="3"/>
      <c r="G332" s="3"/>
      <c r="J332" s="3"/>
    </row>
    <row r="333">
      <c r="D333" s="3"/>
      <c r="G333" s="3"/>
      <c r="J333" s="3"/>
    </row>
    <row r="334">
      <c r="D334" s="3"/>
      <c r="G334" s="3"/>
      <c r="J334" s="3"/>
    </row>
    <row r="335">
      <c r="D335" s="3"/>
      <c r="G335" s="3"/>
      <c r="J335" s="3"/>
    </row>
    <row r="336">
      <c r="D336" s="3"/>
      <c r="G336" s="3"/>
      <c r="J336" s="3"/>
    </row>
    <row r="337">
      <c r="D337" s="3"/>
      <c r="G337" s="3"/>
      <c r="J337" s="3"/>
    </row>
    <row r="338">
      <c r="D338" s="3"/>
      <c r="G338" s="3"/>
      <c r="J338" s="3"/>
    </row>
    <row r="339">
      <c r="D339" s="3"/>
      <c r="G339" s="3"/>
      <c r="J339" s="3"/>
    </row>
    <row r="340">
      <c r="D340" s="3"/>
      <c r="G340" s="3"/>
      <c r="J340" s="3"/>
    </row>
    <row r="341">
      <c r="D341" s="3"/>
      <c r="G341" s="3"/>
      <c r="J341" s="3"/>
    </row>
    <row r="342">
      <c r="D342" s="3"/>
      <c r="G342" s="3"/>
      <c r="J342" s="3"/>
    </row>
    <row r="343">
      <c r="D343" s="3"/>
      <c r="G343" s="3"/>
      <c r="J343" s="3"/>
    </row>
    <row r="344">
      <c r="D344" s="3"/>
      <c r="G344" s="3"/>
      <c r="J344" s="3"/>
    </row>
    <row r="345">
      <c r="D345" s="3"/>
      <c r="G345" s="3"/>
      <c r="J345" s="3"/>
    </row>
    <row r="346">
      <c r="D346" s="3"/>
      <c r="G346" s="3"/>
      <c r="J346" s="3"/>
    </row>
    <row r="347">
      <c r="D347" s="3"/>
      <c r="G347" s="3"/>
      <c r="J347" s="3"/>
    </row>
    <row r="348">
      <c r="D348" s="3"/>
      <c r="G348" s="3"/>
      <c r="J348" s="3"/>
    </row>
    <row r="349">
      <c r="D349" s="3"/>
      <c r="G349" s="3"/>
      <c r="J349" s="3"/>
    </row>
    <row r="350">
      <c r="D350" s="3"/>
      <c r="G350" s="3"/>
      <c r="J350" s="3"/>
    </row>
    <row r="351">
      <c r="D351" s="3"/>
      <c r="G351" s="3"/>
      <c r="J351" s="3"/>
    </row>
    <row r="352">
      <c r="D352" s="3"/>
      <c r="G352" s="3"/>
      <c r="J352" s="3"/>
    </row>
    <row r="353">
      <c r="D353" s="3"/>
      <c r="G353" s="3"/>
      <c r="J353" s="3"/>
    </row>
    <row r="354">
      <c r="D354" s="3"/>
      <c r="G354" s="3"/>
      <c r="J354" s="3"/>
    </row>
    <row r="355">
      <c r="D355" s="3"/>
      <c r="G355" s="3"/>
      <c r="J355" s="3"/>
    </row>
    <row r="356">
      <c r="D356" s="3"/>
      <c r="G356" s="3"/>
      <c r="J356" s="3"/>
    </row>
    <row r="357">
      <c r="D357" s="3"/>
      <c r="G357" s="3"/>
      <c r="J357" s="3"/>
    </row>
    <row r="358">
      <c r="D358" s="3"/>
      <c r="G358" s="3"/>
      <c r="J358" s="3"/>
    </row>
    <row r="359">
      <c r="D359" s="3"/>
      <c r="G359" s="3"/>
      <c r="J359" s="3"/>
    </row>
    <row r="360">
      <c r="D360" s="3"/>
      <c r="G360" s="3"/>
      <c r="J360" s="3"/>
    </row>
    <row r="361">
      <c r="D361" s="3"/>
      <c r="G361" s="3"/>
      <c r="J361" s="3"/>
    </row>
    <row r="362">
      <c r="D362" s="3"/>
      <c r="G362" s="3"/>
      <c r="J362" s="3"/>
    </row>
    <row r="363">
      <c r="D363" s="3"/>
      <c r="G363" s="3"/>
      <c r="J363" s="3"/>
    </row>
    <row r="364">
      <c r="D364" s="3"/>
      <c r="G364" s="3"/>
      <c r="J364" s="3"/>
    </row>
    <row r="365">
      <c r="D365" s="3"/>
      <c r="G365" s="3"/>
      <c r="J365" s="3"/>
    </row>
    <row r="366">
      <c r="D366" s="3"/>
      <c r="G366" s="3"/>
      <c r="J366" s="3"/>
    </row>
    <row r="367">
      <c r="D367" s="3"/>
      <c r="G367" s="3"/>
      <c r="J367" s="3"/>
    </row>
    <row r="368">
      <c r="D368" s="3"/>
      <c r="G368" s="3"/>
      <c r="J368" s="3"/>
    </row>
    <row r="369">
      <c r="D369" s="3"/>
      <c r="G369" s="3"/>
      <c r="J369" s="3"/>
    </row>
    <row r="370">
      <c r="D370" s="3"/>
      <c r="G370" s="3"/>
      <c r="J370" s="3"/>
    </row>
    <row r="371">
      <c r="D371" s="3"/>
      <c r="G371" s="3"/>
      <c r="J371" s="3"/>
    </row>
    <row r="372">
      <c r="D372" s="3"/>
      <c r="G372" s="3"/>
      <c r="J372" s="3"/>
    </row>
    <row r="373">
      <c r="D373" s="3"/>
      <c r="G373" s="3"/>
      <c r="J373" s="3"/>
    </row>
    <row r="374">
      <c r="D374" s="3"/>
      <c r="G374" s="3"/>
      <c r="J374" s="3"/>
    </row>
    <row r="375">
      <c r="D375" s="3"/>
      <c r="G375" s="3"/>
      <c r="J375" s="3"/>
    </row>
    <row r="376">
      <c r="D376" s="3"/>
      <c r="G376" s="3"/>
      <c r="J376" s="3"/>
    </row>
    <row r="377">
      <c r="D377" s="3"/>
      <c r="G377" s="3"/>
      <c r="J377" s="3"/>
    </row>
    <row r="378">
      <c r="D378" s="3"/>
      <c r="G378" s="3"/>
      <c r="J378" s="3"/>
    </row>
    <row r="379">
      <c r="D379" s="3"/>
      <c r="G379" s="3"/>
      <c r="J379" s="3"/>
    </row>
    <row r="380">
      <c r="D380" s="3"/>
      <c r="G380" s="3"/>
      <c r="J380" s="3"/>
    </row>
    <row r="381">
      <c r="D381" s="3"/>
      <c r="G381" s="3"/>
      <c r="J381" s="3"/>
    </row>
    <row r="382">
      <c r="D382" s="3"/>
      <c r="G382" s="3"/>
      <c r="J382" s="3"/>
    </row>
    <row r="383">
      <c r="D383" s="3"/>
      <c r="G383" s="3"/>
      <c r="J383" s="3"/>
    </row>
    <row r="384">
      <c r="D384" s="3"/>
      <c r="G384" s="3"/>
      <c r="J384" s="3"/>
    </row>
    <row r="385">
      <c r="D385" s="3"/>
      <c r="G385" s="3"/>
      <c r="J385" s="3"/>
    </row>
    <row r="386">
      <c r="D386" s="3"/>
      <c r="G386" s="3"/>
      <c r="J386" s="3"/>
    </row>
    <row r="387">
      <c r="D387" s="3"/>
      <c r="G387" s="3"/>
      <c r="J387" s="3"/>
    </row>
    <row r="388">
      <c r="D388" s="3"/>
      <c r="G388" s="3"/>
      <c r="J388" s="3"/>
    </row>
    <row r="389">
      <c r="D389" s="3"/>
      <c r="G389" s="3"/>
      <c r="J389" s="3"/>
    </row>
    <row r="390">
      <c r="D390" s="3"/>
      <c r="G390" s="3"/>
      <c r="J390" s="3"/>
    </row>
    <row r="391">
      <c r="D391" s="3"/>
      <c r="G391" s="3"/>
      <c r="J391" s="3"/>
    </row>
    <row r="392">
      <c r="D392" s="3"/>
      <c r="G392" s="3"/>
      <c r="J392" s="3"/>
    </row>
    <row r="393">
      <c r="D393" s="3"/>
      <c r="G393" s="3"/>
      <c r="J393" s="3"/>
    </row>
    <row r="394">
      <c r="D394" s="3"/>
      <c r="G394" s="3"/>
      <c r="J394" s="3"/>
    </row>
    <row r="395">
      <c r="D395" s="3"/>
      <c r="G395" s="3"/>
      <c r="J395" s="3"/>
    </row>
    <row r="396">
      <c r="D396" s="3"/>
      <c r="G396" s="3"/>
      <c r="J396" s="3"/>
    </row>
    <row r="397">
      <c r="D397" s="3"/>
      <c r="G397" s="3"/>
      <c r="J397" s="3"/>
    </row>
    <row r="398">
      <c r="D398" s="3"/>
      <c r="G398" s="3"/>
      <c r="J398" s="3"/>
    </row>
    <row r="399">
      <c r="D399" s="3"/>
      <c r="G399" s="3"/>
      <c r="J399" s="3"/>
    </row>
    <row r="400">
      <c r="D400" s="3"/>
      <c r="G400" s="3"/>
      <c r="J400" s="3"/>
    </row>
    <row r="401">
      <c r="D401" s="3"/>
      <c r="G401" s="3"/>
      <c r="J401" s="3"/>
    </row>
    <row r="402">
      <c r="D402" s="3"/>
      <c r="G402" s="3"/>
      <c r="J402" s="3"/>
    </row>
    <row r="403">
      <c r="D403" s="3"/>
      <c r="G403" s="3"/>
      <c r="J403" s="3"/>
    </row>
    <row r="404">
      <c r="D404" s="3"/>
      <c r="G404" s="3"/>
      <c r="J404" s="3"/>
    </row>
    <row r="405">
      <c r="D405" s="3"/>
      <c r="G405" s="3"/>
      <c r="J405" s="3"/>
    </row>
    <row r="406">
      <c r="D406" s="3"/>
      <c r="G406" s="3"/>
      <c r="J406" s="3"/>
    </row>
    <row r="407">
      <c r="D407" s="3"/>
      <c r="G407" s="3"/>
      <c r="J407" s="3"/>
    </row>
    <row r="408">
      <c r="D408" s="3"/>
      <c r="G408" s="3"/>
      <c r="J408" s="3"/>
    </row>
    <row r="409">
      <c r="D409" s="3"/>
      <c r="G409" s="3"/>
      <c r="J409" s="3"/>
    </row>
    <row r="410">
      <c r="D410" s="3"/>
      <c r="G410" s="3"/>
      <c r="J410" s="3"/>
    </row>
    <row r="411">
      <c r="D411" s="3"/>
      <c r="G411" s="3"/>
      <c r="J411" s="3"/>
    </row>
    <row r="412">
      <c r="D412" s="3"/>
      <c r="G412" s="3"/>
      <c r="J412" s="3"/>
    </row>
    <row r="413">
      <c r="D413" s="3"/>
      <c r="G413" s="3"/>
      <c r="J413" s="3"/>
    </row>
    <row r="414">
      <c r="D414" s="3"/>
      <c r="G414" s="3"/>
      <c r="J414" s="3"/>
    </row>
    <row r="415">
      <c r="D415" s="3"/>
      <c r="G415" s="3"/>
      <c r="J415" s="3"/>
    </row>
    <row r="416">
      <c r="D416" s="3"/>
      <c r="G416" s="3"/>
      <c r="J416" s="3"/>
    </row>
    <row r="417">
      <c r="D417" s="3"/>
      <c r="G417" s="3"/>
      <c r="J417" s="3"/>
    </row>
    <row r="418">
      <c r="D418" s="3"/>
      <c r="G418" s="3"/>
      <c r="J418" s="3"/>
    </row>
    <row r="419">
      <c r="D419" s="3"/>
      <c r="G419" s="3"/>
      <c r="J419" s="3"/>
    </row>
    <row r="420">
      <c r="D420" s="3"/>
      <c r="G420" s="3"/>
      <c r="J420" s="3"/>
    </row>
    <row r="421">
      <c r="D421" s="3"/>
      <c r="G421" s="3"/>
      <c r="J421" s="3"/>
    </row>
    <row r="422">
      <c r="D422" s="3"/>
      <c r="G422" s="3"/>
      <c r="J422" s="3"/>
    </row>
    <row r="423">
      <c r="D423" s="3"/>
      <c r="G423" s="3"/>
      <c r="J423" s="3"/>
    </row>
    <row r="424">
      <c r="D424" s="3"/>
      <c r="G424" s="3"/>
      <c r="J424" s="3"/>
    </row>
    <row r="425">
      <c r="D425" s="3"/>
      <c r="G425" s="3"/>
      <c r="J425" s="3"/>
    </row>
    <row r="426">
      <c r="D426" s="3"/>
      <c r="G426" s="3"/>
      <c r="J426" s="3"/>
    </row>
    <row r="427">
      <c r="D427" s="3"/>
      <c r="G427" s="3"/>
      <c r="J427" s="3"/>
    </row>
    <row r="428">
      <c r="D428" s="3"/>
      <c r="G428" s="3"/>
      <c r="J428" s="3"/>
    </row>
    <row r="429">
      <c r="D429" s="3"/>
      <c r="G429" s="3"/>
      <c r="J429" s="3"/>
    </row>
    <row r="430">
      <c r="D430" s="3"/>
      <c r="G430" s="3"/>
      <c r="J430" s="3"/>
    </row>
    <row r="431">
      <c r="D431" s="3"/>
      <c r="G431" s="3"/>
      <c r="J431" s="3"/>
    </row>
    <row r="432">
      <c r="D432" s="3"/>
      <c r="G432" s="3"/>
      <c r="J432" s="3"/>
    </row>
    <row r="433">
      <c r="D433" s="3"/>
      <c r="G433" s="3"/>
      <c r="J433" s="3"/>
    </row>
    <row r="434">
      <c r="D434" s="3"/>
      <c r="G434" s="3"/>
      <c r="J434" s="3"/>
    </row>
    <row r="435">
      <c r="D435" s="3"/>
      <c r="G435" s="3"/>
      <c r="J435" s="3"/>
    </row>
    <row r="436">
      <c r="D436" s="3"/>
      <c r="G436" s="3"/>
      <c r="J436" s="3"/>
    </row>
    <row r="437">
      <c r="D437" s="3"/>
      <c r="G437" s="3"/>
      <c r="J437" s="3"/>
    </row>
    <row r="438">
      <c r="D438" s="3"/>
      <c r="G438" s="3"/>
      <c r="J438" s="3"/>
    </row>
    <row r="439">
      <c r="D439" s="3"/>
      <c r="G439" s="3"/>
      <c r="J439" s="3"/>
    </row>
    <row r="440">
      <c r="D440" s="3"/>
      <c r="G440" s="3"/>
      <c r="J440" s="3"/>
    </row>
    <row r="441">
      <c r="D441" s="3"/>
      <c r="G441" s="3"/>
      <c r="J441" s="3"/>
    </row>
    <row r="442">
      <c r="D442" s="3"/>
      <c r="G442" s="3"/>
      <c r="J442" s="3"/>
    </row>
    <row r="443">
      <c r="D443" s="3"/>
      <c r="G443" s="3"/>
      <c r="J443" s="3"/>
    </row>
    <row r="444">
      <c r="D444" s="3"/>
      <c r="G444" s="3"/>
      <c r="J444" s="3"/>
    </row>
    <row r="445">
      <c r="D445" s="3"/>
      <c r="G445" s="3"/>
      <c r="J445" s="3"/>
    </row>
    <row r="446">
      <c r="D446" s="3"/>
      <c r="G446" s="3"/>
      <c r="J446" s="3"/>
    </row>
    <row r="447">
      <c r="D447" s="3"/>
      <c r="G447" s="3"/>
      <c r="J447" s="3"/>
    </row>
    <row r="448">
      <c r="D448" s="3"/>
      <c r="G448" s="3"/>
      <c r="J448" s="3"/>
    </row>
    <row r="449">
      <c r="D449" s="3"/>
      <c r="G449" s="3"/>
      <c r="J449" s="3"/>
    </row>
    <row r="450">
      <c r="D450" s="3"/>
      <c r="G450" s="3"/>
      <c r="J450" s="3"/>
    </row>
    <row r="451">
      <c r="D451" s="3"/>
      <c r="G451" s="3"/>
      <c r="J451" s="3"/>
    </row>
    <row r="452">
      <c r="D452" s="3"/>
      <c r="G452" s="3"/>
      <c r="J452" s="3"/>
    </row>
    <row r="453">
      <c r="D453" s="3"/>
      <c r="G453" s="3"/>
      <c r="J453" s="3"/>
    </row>
    <row r="454">
      <c r="D454" s="3"/>
      <c r="G454" s="3"/>
      <c r="J454" s="3"/>
    </row>
    <row r="455">
      <c r="D455" s="3"/>
      <c r="G455" s="3"/>
      <c r="J455" s="3"/>
    </row>
    <row r="456">
      <c r="D456" s="3"/>
      <c r="G456" s="3"/>
      <c r="J456" s="3"/>
    </row>
    <row r="457">
      <c r="D457" s="3"/>
      <c r="G457" s="3"/>
      <c r="J457" s="3"/>
    </row>
    <row r="458">
      <c r="D458" s="3"/>
      <c r="G458" s="3"/>
      <c r="J458" s="3"/>
    </row>
    <row r="459">
      <c r="D459" s="3"/>
      <c r="G459" s="3"/>
      <c r="J459" s="3"/>
    </row>
    <row r="460">
      <c r="D460" s="3"/>
      <c r="G460" s="3"/>
      <c r="J460" s="3"/>
    </row>
    <row r="461">
      <c r="D461" s="3"/>
      <c r="G461" s="3"/>
      <c r="J461" s="3"/>
    </row>
    <row r="462">
      <c r="D462" s="3"/>
      <c r="G462" s="3"/>
      <c r="J462" s="3"/>
    </row>
    <row r="463">
      <c r="D463" s="3"/>
      <c r="G463" s="3"/>
      <c r="J463" s="3"/>
    </row>
    <row r="464">
      <c r="D464" s="3"/>
      <c r="G464" s="3"/>
      <c r="J464" s="3"/>
    </row>
    <row r="465">
      <c r="D465" s="3"/>
      <c r="G465" s="3"/>
      <c r="J465" s="3"/>
    </row>
    <row r="466">
      <c r="D466" s="3"/>
      <c r="G466" s="3"/>
      <c r="J466" s="3"/>
    </row>
    <row r="467">
      <c r="D467" s="3"/>
      <c r="G467" s="3"/>
      <c r="J467" s="3"/>
    </row>
    <row r="468">
      <c r="D468" s="3"/>
      <c r="G468" s="3"/>
      <c r="J468" s="3"/>
    </row>
    <row r="469">
      <c r="D469" s="3"/>
      <c r="G469" s="3"/>
      <c r="J469" s="3"/>
    </row>
    <row r="470">
      <c r="D470" s="3"/>
      <c r="G470" s="3"/>
      <c r="J470" s="3"/>
    </row>
    <row r="471">
      <c r="D471" s="3"/>
      <c r="G471" s="3"/>
      <c r="J471" s="3"/>
    </row>
    <row r="472">
      <c r="D472" s="3"/>
      <c r="G472" s="3"/>
      <c r="J472" s="3"/>
    </row>
    <row r="473">
      <c r="D473" s="3"/>
      <c r="G473" s="3"/>
      <c r="J473" s="3"/>
    </row>
    <row r="474">
      <c r="D474" s="3"/>
      <c r="G474" s="3"/>
      <c r="J474" s="3"/>
    </row>
    <row r="475">
      <c r="D475" s="3"/>
      <c r="G475" s="3"/>
      <c r="J475" s="3"/>
    </row>
    <row r="476">
      <c r="D476" s="3"/>
      <c r="G476" s="3"/>
      <c r="J476" s="3"/>
    </row>
    <row r="477">
      <c r="D477" s="3"/>
      <c r="G477" s="3"/>
      <c r="J477" s="3"/>
    </row>
    <row r="478">
      <c r="D478" s="3"/>
      <c r="G478" s="3"/>
      <c r="J478" s="3"/>
    </row>
    <row r="479">
      <c r="D479" s="3"/>
      <c r="G479" s="3"/>
      <c r="J479" s="3"/>
    </row>
    <row r="480">
      <c r="D480" s="3"/>
      <c r="G480" s="3"/>
      <c r="J480" s="3"/>
    </row>
    <row r="481">
      <c r="D481" s="3"/>
      <c r="G481" s="3"/>
      <c r="J481" s="3"/>
    </row>
    <row r="482">
      <c r="D482" s="3"/>
      <c r="G482" s="3"/>
      <c r="J482" s="3"/>
    </row>
    <row r="483">
      <c r="D483" s="3"/>
      <c r="G483" s="3"/>
      <c r="J483" s="3"/>
    </row>
    <row r="484">
      <c r="D484" s="3"/>
      <c r="G484" s="3"/>
      <c r="J484" s="3"/>
    </row>
    <row r="485">
      <c r="D485" s="3"/>
      <c r="G485" s="3"/>
      <c r="J485" s="3"/>
    </row>
    <row r="486">
      <c r="D486" s="3"/>
      <c r="G486" s="3"/>
      <c r="J486" s="3"/>
    </row>
    <row r="487">
      <c r="D487" s="3"/>
      <c r="G487" s="3"/>
      <c r="J487" s="3"/>
    </row>
    <row r="488">
      <c r="D488" s="3"/>
      <c r="G488" s="3"/>
      <c r="J488" s="3"/>
    </row>
    <row r="489">
      <c r="D489" s="3"/>
      <c r="G489" s="3"/>
      <c r="J489" s="3"/>
    </row>
    <row r="490">
      <c r="D490" s="3"/>
      <c r="G490" s="3"/>
      <c r="J490" s="3"/>
    </row>
    <row r="491">
      <c r="D491" s="3"/>
      <c r="G491" s="3"/>
      <c r="J491" s="3"/>
    </row>
    <row r="492">
      <c r="D492" s="3"/>
      <c r="G492" s="3"/>
      <c r="J492" s="3"/>
    </row>
    <row r="493">
      <c r="D493" s="3"/>
      <c r="G493" s="3"/>
      <c r="J493" s="3"/>
    </row>
    <row r="494">
      <c r="D494" s="3"/>
      <c r="G494" s="3"/>
      <c r="J494" s="3"/>
    </row>
    <row r="495">
      <c r="D495" s="3"/>
      <c r="G495" s="3"/>
      <c r="J495" s="3"/>
    </row>
    <row r="496">
      <c r="D496" s="3"/>
      <c r="G496" s="3"/>
      <c r="J496" s="3"/>
    </row>
    <row r="497">
      <c r="D497" s="3"/>
      <c r="G497" s="3"/>
      <c r="J497" s="3"/>
    </row>
    <row r="498">
      <c r="D498" s="3"/>
      <c r="G498" s="3"/>
      <c r="J498" s="3"/>
    </row>
    <row r="499">
      <c r="D499" s="3"/>
      <c r="G499" s="3"/>
      <c r="J499" s="3"/>
    </row>
    <row r="500">
      <c r="D500" s="3"/>
      <c r="G500" s="3"/>
      <c r="J500" s="3"/>
    </row>
    <row r="501">
      <c r="D501" s="3"/>
      <c r="G501" s="3"/>
      <c r="J501" s="3"/>
    </row>
    <row r="502">
      <c r="D502" s="3"/>
      <c r="G502" s="3"/>
      <c r="J502" s="3"/>
    </row>
    <row r="503">
      <c r="D503" s="3"/>
      <c r="G503" s="3"/>
      <c r="J503" s="3"/>
    </row>
    <row r="504">
      <c r="D504" s="3"/>
      <c r="G504" s="3"/>
      <c r="J504" s="3"/>
    </row>
    <row r="505">
      <c r="D505" s="3"/>
      <c r="G505" s="3"/>
      <c r="J505" s="3"/>
    </row>
    <row r="506">
      <c r="D506" s="3"/>
      <c r="G506" s="3"/>
      <c r="J506" s="3"/>
    </row>
    <row r="507">
      <c r="D507" s="3"/>
      <c r="G507" s="3"/>
      <c r="J507" s="3"/>
    </row>
    <row r="508">
      <c r="D508" s="3"/>
      <c r="G508" s="3"/>
      <c r="J508" s="3"/>
    </row>
    <row r="509">
      <c r="D509" s="3"/>
      <c r="G509" s="3"/>
      <c r="J509" s="3"/>
    </row>
    <row r="510">
      <c r="D510" s="3"/>
      <c r="G510" s="3"/>
      <c r="J510" s="3"/>
    </row>
    <row r="511">
      <c r="D511" s="3"/>
      <c r="G511" s="3"/>
      <c r="J511" s="3"/>
    </row>
    <row r="512">
      <c r="D512" s="3"/>
      <c r="G512" s="3"/>
      <c r="J512" s="3"/>
    </row>
    <row r="513">
      <c r="D513" s="3"/>
      <c r="G513" s="3"/>
      <c r="J513" s="3"/>
    </row>
    <row r="514">
      <c r="D514" s="3"/>
      <c r="G514" s="3"/>
      <c r="J514" s="3"/>
    </row>
    <row r="515">
      <c r="D515" s="3"/>
      <c r="G515" s="3"/>
      <c r="J515" s="3"/>
    </row>
    <row r="516">
      <c r="D516" s="3"/>
      <c r="G516" s="3"/>
      <c r="J516" s="3"/>
    </row>
    <row r="517">
      <c r="D517" s="3"/>
      <c r="G517" s="3"/>
      <c r="J517" s="3"/>
    </row>
    <row r="518">
      <c r="D518" s="3"/>
      <c r="G518" s="3"/>
      <c r="J518" s="3"/>
    </row>
    <row r="519">
      <c r="D519" s="3"/>
      <c r="G519" s="3"/>
      <c r="J519" s="3"/>
    </row>
    <row r="520">
      <c r="D520" s="3"/>
      <c r="G520" s="3"/>
      <c r="J520" s="3"/>
    </row>
    <row r="521">
      <c r="D521" s="3"/>
      <c r="G521" s="3"/>
      <c r="J521" s="3"/>
    </row>
    <row r="522">
      <c r="D522" s="3"/>
      <c r="G522" s="3"/>
      <c r="J522" s="3"/>
    </row>
    <row r="523">
      <c r="D523" s="3"/>
      <c r="G523" s="3"/>
      <c r="J523" s="3"/>
    </row>
    <row r="524">
      <c r="D524" s="3"/>
      <c r="G524" s="3"/>
      <c r="J524" s="3"/>
    </row>
    <row r="525">
      <c r="D525" s="3"/>
      <c r="G525" s="3"/>
      <c r="J525" s="3"/>
    </row>
    <row r="526">
      <c r="D526" s="3"/>
      <c r="G526" s="3"/>
      <c r="J526" s="3"/>
    </row>
    <row r="527">
      <c r="D527" s="3"/>
      <c r="G527" s="3"/>
      <c r="J527" s="3"/>
    </row>
    <row r="528">
      <c r="D528" s="3"/>
      <c r="G528" s="3"/>
      <c r="J528" s="3"/>
    </row>
    <row r="529">
      <c r="D529" s="3"/>
      <c r="G529" s="3"/>
      <c r="J529" s="3"/>
    </row>
    <row r="530">
      <c r="D530" s="3"/>
      <c r="G530" s="3"/>
      <c r="J530" s="3"/>
    </row>
    <row r="531">
      <c r="D531" s="3"/>
      <c r="G531" s="3"/>
      <c r="J531" s="3"/>
    </row>
    <row r="532">
      <c r="D532" s="3"/>
      <c r="G532" s="3"/>
      <c r="J532" s="3"/>
    </row>
    <row r="533">
      <c r="D533" s="3"/>
      <c r="G533" s="3"/>
      <c r="J533" s="3"/>
    </row>
    <row r="534">
      <c r="D534" s="3"/>
      <c r="G534" s="3"/>
      <c r="J534" s="3"/>
    </row>
    <row r="535">
      <c r="D535" s="3"/>
      <c r="G535" s="3"/>
      <c r="J535" s="3"/>
    </row>
    <row r="536">
      <c r="D536" s="3"/>
      <c r="G536" s="3"/>
      <c r="J536" s="3"/>
    </row>
    <row r="537">
      <c r="D537" s="3"/>
      <c r="G537" s="3"/>
      <c r="J537" s="3"/>
    </row>
    <row r="538">
      <c r="D538" s="3"/>
      <c r="G538" s="3"/>
      <c r="J538" s="3"/>
    </row>
    <row r="539">
      <c r="D539" s="3"/>
      <c r="G539" s="3"/>
      <c r="J539" s="3"/>
    </row>
    <row r="540">
      <c r="D540" s="3"/>
      <c r="G540" s="3"/>
      <c r="J540" s="3"/>
    </row>
    <row r="541">
      <c r="D541" s="3"/>
      <c r="G541" s="3"/>
      <c r="J541" s="3"/>
    </row>
    <row r="542">
      <c r="D542" s="3"/>
      <c r="G542" s="3"/>
      <c r="J542" s="3"/>
    </row>
    <row r="543">
      <c r="D543" s="3"/>
      <c r="G543" s="3"/>
      <c r="J543" s="3"/>
    </row>
    <row r="544">
      <c r="D544" s="3"/>
      <c r="G544" s="3"/>
      <c r="J544" s="3"/>
    </row>
    <row r="545">
      <c r="D545" s="3"/>
      <c r="G545" s="3"/>
      <c r="J545" s="3"/>
    </row>
    <row r="546">
      <c r="D546" s="3"/>
      <c r="G546" s="3"/>
      <c r="J546" s="3"/>
    </row>
    <row r="547">
      <c r="D547" s="3"/>
      <c r="G547" s="3"/>
      <c r="J547" s="3"/>
    </row>
    <row r="548">
      <c r="D548" s="3"/>
      <c r="G548" s="3"/>
      <c r="J548" s="3"/>
    </row>
    <row r="549">
      <c r="D549" s="3"/>
      <c r="G549" s="3"/>
      <c r="J549" s="3"/>
    </row>
    <row r="550">
      <c r="D550" s="3"/>
      <c r="G550" s="3"/>
      <c r="J550" s="3"/>
    </row>
    <row r="551">
      <c r="D551" s="3"/>
      <c r="G551" s="3"/>
      <c r="J551" s="3"/>
    </row>
    <row r="552">
      <c r="D552" s="3"/>
      <c r="G552" s="3"/>
      <c r="J552" s="3"/>
    </row>
    <row r="553">
      <c r="D553" s="3"/>
      <c r="G553" s="3"/>
      <c r="J553" s="3"/>
    </row>
    <row r="554">
      <c r="D554" s="3"/>
      <c r="G554" s="3"/>
      <c r="J554" s="3"/>
    </row>
    <row r="555">
      <c r="D555" s="3"/>
      <c r="G555" s="3"/>
      <c r="J555" s="3"/>
    </row>
    <row r="556">
      <c r="D556" s="3"/>
      <c r="G556" s="3"/>
      <c r="J556" s="3"/>
    </row>
    <row r="557">
      <c r="D557" s="3"/>
      <c r="G557" s="3"/>
      <c r="J557" s="3"/>
    </row>
    <row r="558">
      <c r="D558" s="3"/>
      <c r="G558" s="3"/>
      <c r="J558" s="3"/>
    </row>
    <row r="559">
      <c r="D559" s="3"/>
      <c r="G559" s="3"/>
      <c r="J559" s="3"/>
    </row>
    <row r="560">
      <c r="D560" s="3"/>
      <c r="G560" s="3"/>
      <c r="J560" s="3"/>
    </row>
    <row r="561">
      <c r="D561" s="3"/>
      <c r="G561" s="3"/>
      <c r="J561" s="3"/>
    </row>
    <row r="562">
      <c r="D562" s="3"/>
      <c r="G562" s="3"/>
      <c r="J562" s="3"/>
    </row>
    <row r="563">
      <c r="D563" s="3"/>
      <c r="G563" s="3"/>
      <c r="J563" s="3"/>
    </row>
    <row r="564">
      <c r="D564" s="3"/>
      <c r="G564" s="3"/>
      <c r="J564" s="3"/>
    </row>
    <row r="565">
      <c r="D565" s="3"/>
      <c r="G565" s="3"/>
      <c r="J565" s="3"/>
    </row>
    <row r="566">
      <c r="D566" s="3"/>
      <c r="G566" s="3"/>
      <c r="J566" s="3"/>
    </row>
    <row r="567">
      <c r="D567" s="3"/>
      <c r="G567" s="3"/>
      <c r="J567" s="3"/>
    </row>
    <row r="568">
      <c r="D568" s="3"/>
      <c r="G568" s="3"/>
      <c r="J568" s="3"/>
    </row>
    <row r="569">
      <c r="D569" s="3"/>
      <c r="G569" s="3"/>
      <c r="J569" s="3"/>
    </row>
    <row r="570">
      <c r="D570" s="3"/>
      <c r="G570" s="3"/>
      <c r="J570" s="3"/>
    </row>
    <row r="571">
      <c r="D571" s="3"/>
      <c r="G571" s="3"/>
      <c r="J571" s="3"/>
    </row>
    <row r="572">
      <c r="D572" s="3"/>
      <c r="G572" s="3"/>
      <c r="J572" s="3"/>
    </row>
    <row r="573">
      <c r="D573" s="3"/>
      <c r="G573" s="3"/>
      <c r="J573" s="3"/>
    </row>
    <row r="574">
      <c r="D574" s="3"/>
      <c r="G574" s="3"/>
      <c r="J574" s="3"/>
    </row>
    <row r="575">
      <c r="D575" s="3"/>
      <c r="G575" s="3"/>
      <c r="J575" s="3"/>
    </row>
    <row r="576">
      <c r="D576" s="3"/>
      <c r="G576" s="3"/>
      <c r="J576" s="3"/>
    </row>
    <row r="577">
      <c r="D577" s="3"/>
      <c r="G577" s="3"/>
      <c r="J577" s="3"/>
    </row>
    <row r="578">
      <c r="D578" s="3"/>
      <c r="G578" s="3"/>
      <c r="J578" s="3"/>
    </row>
    <row r="579">
      <c r="D579" s="3"/>
      <c r="G579" s="3"/>
      <c r="J579" s="3"/>
    </row>
    <row r="580">
      <c r="D580" s="3"/>
      <c r="G580" s="3"/>
      <c r="J580" s="3"/>
    </row>
    <row r="581">
      <c r="D581" s="3"/>
      <c r="G581" s="3"/>
      <c r="J581" s="3"/>
    </row>
    <row r="582">
      <c r="D582" s="3"/>
      <c r="G582" s="3"/>
      <c r="J582" s="3"/>
    </row>
    <row r="583">
      <c r="D583" s="3"/>
      <c r="G583" s="3"/>
      <c r="J583" s="3"/>
    </row>
    <row r="584">
      <c r="D584" s="3"/>
      <c r="G584" s="3"/>
      <c r="J584" s="3"/>
    </row>
    <row r="585">
      <c r="D585" s="3"/>
      <c r="G585" s="3"/>
      <c r="J585" s="3"/>
    </row>
    <row r="586">
      <c r="D586" s="3"/>
      <c r="G586" s="3"/>
      <c r="J586" s="3"/>
    </row>
    <row r="587">
      <c r="D587" s="3"/>
      <c r="G587" s="3"/>
      <c r="J587" s="3"/>
    </row>
    <row r="588">
      <c r="D588" s="3"/>
      <c r="G588" s="3"/>
      <c r="J588" s="3"/>
    </row>
    <row r="589">
      <c r="D589" s="3"/>
      <c r="G589" s="3"/>
      <c r="J589" s="3"/>
    </row>
    <row r="590">
      <c r="D590" s="3"/>
      <c r="G590" s="3"/>
      <c r="J590" s="3"/>
    </row>
    <row r="591">
      <c r="D591" s="3"/>
      <c r="G591" s="3"/>
      <c r="J591" s="3"/>
    </row>
    <row r="592">
      <c r="D592" s="3"/>
      <c r="G592" s="3"/>
      <c r="J592" s="3"/>
    </row>
    <row r="593">
      <c r="D593" s="3"/>
      <c r="G593" s="3"/>
      <c r="J593" s="3"/>
    </row>
    <row r="594">
      <c r="D594" s="3"/>
      <c r="G594" s="3"/>
      <c r="J594" s="3"/>
    </row>
    <row r="595">
      <c r="D595" s="3"/>
      <c r="G595" s="3"/>
      <c r="J595" s="3"/>
    </row>
    <row r="596">
      <c r="D596" s="3"/>
      <c r="G596" s="3"/>
      <c r="J596" s="3"/>
    </row>
    <row r="597">
      <c r="D597" s="3"/>
      <c r="G597" s="3"/>
      <c r="J597" s="3"/>
    </row>
    <row r="598">
      <c r="D598" s="3"/>
      <c r="G598" s="3"/>
      <c r="J598" s="3"/>
    </row>
    <row r="599">
      <c r="D599" s="3"/>
      <c r="G599" s="3"/>
      <c r="J599" s="3"/>
    </row>
    <row r="600">
      <c r="D600" s="3"/>
      <c r="G600" s="3"/>
      <c r="J600" s="3"/>
    </row>
    <row r="601">
      <c r="D601" s="3"/>
      <c r="G601" s="3"/>
      <c r="J601" s="3"/>
    </row>
    <row r="602">
      <c r="D602" s="3"/>
      <c r="G602" s="3"/>
      <c r="J602" s="3"/>
    </row>
    <row r="603">
      <c r="D603" s="3"/>
      <c r="G603" s="3"/>
      <c r="J603" s="3"/>
    </row>
    <row r="604">
      <c r="D604" s="3"/>
      <c r="G604" s="3"/>
      <c r="J604" s="3"/>
    </row>
    <row r="605">
      <c r="D605" s="3"/>
      <c r="G605" s="3"/>
      <c r="J605" s="3"/>
    </row>
    <row r="606">
      <c r="D606" s="3"/>
      <c r="G606" s="3"/>
      <c r="J606" s="3"/>
    </row>
    <row r="607">
      <c r="D607" s="3"/>
      <c r="G607" s="3"/>
      <c r="J607" s="3"/>
    </row>
    <row r="608">
      <c r="D608" s="3"/>
      <c r="G608" s="3"/>
      <c r="J608" s="3"/>
    </row>
    <row r="609">
      <c r="D609" s="3"/>
      <c r="G609" s="3"/>
      <c r="J609" s="3"/>
    </row>
    <row r="610">
      <c r="D610" s="3"/>
      <c r="G610" s="3"/>
      <c r="J610" s="3"/>
    </row>
    <row r="611">
      <c r="D611" s="3"/>
      <c r="G611" s="3"/>
      <c r="J611" s="3"/>
    </row>
    <row r="612">
      <c r="D612" s="3"/>
      <c r="G612" s="3"/>
      <c r="J612" s="3"/>
    </row>
    <row r="613">
      <c r="D613" s="3"/>
      <c r="G613" s="3"/>
      <c r="J613" s="3"/>
    </row>
    <row r="614">
      <c r="D614" s="3"/>
      <c r="G614" s="3"/>
      <c r="J614" s="3"/>
    </row>
    <row r="615">
      <c r="D615" s="3"/>
      <c r="G615" s="3"/>
      <c r="J615" s="3"/>
    </row>
    <row r="616">
      <c r="D616" s="3"/>
      <c r="G616" s="3"/>
      <c r="J616" s="3"/>
    </row>
    <row r="617">
      <c r="D617" s="3"/>
      <c r="G617" s="3"/>
      <c r="J617" s="3"/>
    </row>
    <row r="618">
      <c r="D618" s="3"/>
      <c r="G618" s="3"/>
      <c r="J618" s="3"/>
    </row>
    <row r="619">
      <c r="D619" s="3"/>
      <c r="G619" s="3"/>
      <c r="J619" s="3"/>
    </row>
    <row r="620">
      <c r="D620" s="3"/>
      <c r="G620" s="3"/>
      <c r="J620" s="3"/>
    </row>
    <row r="621">
      <c r="D621" s="3"/>
      <c r="G621" s="3"/>
      <c r="J621" s="3"/>
    </row>
    <row r="622">
      <c r="D622" s="3"/>
      <c r="G622" s="3"/>
      <c r="J622" s="3"/>
    </row>
    <row r="623">
      <c r="D623" s="3"/>
      <c r="G623" s="3"/>
      <c r="J623" s="3"/>
    </row>
    <row r="624">
      <c r="D624" s="3"/>
      <c r="G624" s="3"/>
      <c r="J624" s="3"/>
    </row>
    <row r="625">
      <c r="D625" s="3"/>
      <c r="G625" s="3"/>
      <c r="J625" s="3"/>
    </row>
    <row r="626">
      <c r="D626" s="3"/>
      <c r="G626" s="3"/>
      <c r="J626" s="3"/>
    </row>
    <row r="627">
      <c r="D627" s="3"/>
      <c r="G627" s="3"/>
      <c r="J627" s="3"/>
    </row>
    <row r="628">
      <c r="D628" s="3"/>
      <c r="G628" s="3"/>
      <c r="J628" s="3"/>
    </row>
    <row r="629">
      <c r="D629" s="3"/>
      <c r="G629" s="3"/>
      <c r="J629" s="3"/>
    </row>
    <row r="630">
      <c r="D630" s="3"/>
      <c r="G630" s="3"/>
      <c r="J630" s="3"/>
    </row>
    <row r="631">
      <c r="D631" s="3"/>
      <c r="G631" s="3"/>
      <c r="J631" s="3"/>
    </row>
    <row r="632">
      <c r="D632" s="3"/>
      <c r="G632" s="3"/>
      <c r="J632" s="3"/>
    </row>
    <row r="633">
      <c r="D633" s="3"/>
      <c r="G633" s="3"/>
      <c r="J633" s="3"/>
    </row>
    <row r="634">
      <c r="D634" s="3"/>
      <c r="G634" s="3"/>
      <c r="J634" s="3"/>
    </row>
    <row r="635">
      <c r="D635" s="3"/>
      <c r="G635" s="3"/>
      <c r="J635" s="3"/>
    </row>
    <row r="636">
      <c r="D636" s="3"/>
      <c r="G636" s="3"/>
      <c r="J636" s="3"/>
    </row>
    <row r="637">
      <c r="D637" s="3"/>
      <c r="G637" s="3"/>
      <c r="J637" s="3"/>
    </row>
    <row r="638">
      <c r="D638" s="3"/>
      <c r="G638" s="3"/>
      <c r="J638" s="3"/>
    </row>
    <row r="639">
      <c r="D639" s="3"/>
      <c r="G639" s="3"/>
      <c r="J639" s="3"/>
    </row>
    <row r="640">
      <c r="D640" s="3"/>
      <c r="G640" s="3"/>
      <c r="J640" s="3"/>
    </row>
    <row r="641">
      <c r="D641" s="3"/>
      <c r="G641" s="3"/>
      <c r="J641" s="3"/>
    </row>
    <row r="642">
      <c r="D642" s="3"/>
      <c r="G642" s="3"/>
      <c r="J642" s="3"/>
    </row>
    <row r="643">
      <c r="D643" s="3"/>
      <c r="G643" s="3"/>
      <c r="J643" s="3"/>
    </row>
    <row r="644">
      <c r="D644" s="3"/>
      <c r="G644" s="3"/>
      <c r="J644" s="3"/>
    </row>
    <row r="645">
      <c r="D645" s="3"/>
      <c r="G645" s="3"/>
      <c r="J645" s="3"/>
    </row>
    <row r="646">
      <c r="D646" s="3"/>
      <c r="G646" s="3"/>
      <c r="J646" s="3"/>
    </row>
    <row r="647">
      <c r="D647" s="3"/>
      <c r="G647" s="3"/>
      <c r="J647" s="3"/>
    </row>
    <row r="648">
      <c r="D648" s="3"/>
      <c r="G648" s="3"/>
      <c r="J648" s="3"/>
    </row>
    <row r="649">
      <c r="D649" s="3"/>
      <c r="G649" s="3"/>
      <c r="J649" s="3"/>
    </row>
    <row r="650">
      <c r="D650" s="3"/>
      <c r="G650" s="3"/>
      <c r="J650" s="3"/>
    </row>
    <row r="651">
      <c r="D651" s="3"/>
      <c r="G651" s="3"/>
      <c r="J651" s="3"/>
    </row>
    <row r="652">
      <c r="D652" s="3"/>
      <c r="G652" s="3"/>
      <c r="J652" s="3"/>
    </row>
    <row r="653">
      <c r="D653" s="3"/>
      <c r="G653" s="3"/>
      <c r="J653" s="3"/>
    </row>
    <row r="654">
      <c r="D654" s="3"/>
      <c r="G654" s="3"/>
      <c r="J654" s="3"/>
    </row>
    <row r="655">
      <c r="D655" s="3"/>
      <c r="G655" s="3"/>
      <c r="J655" s="3"/>
    </row>
    <row r="656">
      <c r="D656" s="3"/>
      <c r="G656" s="3"/>
      <c r="J656" s="3"/>
    </row>
    <row r="657">
      <c r="D657" s="3"/>
      <c r="G657" s="3"/>
      <c r="J657" s="3"/>
    </row>
    <row r="658">
      <c r="D658" s="3"/>
      <c r="G658" s="3"/>
      <c r="J658" s="3"/>
    </row>
    <row r="659">
      <c r="D659" s="3"/>
      <c r="G659" s="3"/>
      <c r="J659" s="3"/>
    </row>
    <row r="660">
      <c r="D660" s="3"/>
      <c r="G660" s="3"/>
      <c r="J660" s="3"/>
    </row>
    <row r="661">
      <c r="D661" s="3"/>
      <c r="G661" s="3"/>
      <c r="J661" s="3"/>
    </row>
    <row r="662">
      <c r="D662" s="3"/>
      <c r="G662" s="3"/>
      <c r="J662" s="3"/>
    </row>
    <row r="663">
      <c r="D663" s="3"/>
      <c r="G663" s="3"/>
      <c r="J663" s="3"/>
    </row>
    <row r="664">
      <c r="D664" s="3"/>
      <c r="G664" s="3"/>
      <c r="J664" s="3"/>
    </row>
    <row r="665">
      <c r="D665" s="3"/>
      <c r="G665" s="3"/>
      <c r="J665" s="3"/>
    </row>
    <row r="666">
      <c r="D666" s="3"/>
      <c r="G666" s="3"/>
      <c r="J666" s="3"/>
    </row>
    <row r="667">
      <c r="D667" s="3"/>
      <c r="G667" s="3"/>
      <c r="J667" s="3"/>
    </row>
    <row r="668">
      <c r="D668" s="3"/>
      <c r="G668" s="3"/>
      <c r="J668" s="3"/>
    </row>
    <row r="669">
      <c r="D669" s="3"/>
      <c r="G669" s="3"/>
      <c r="J669" s="3"/>
    </row>
    <row r="670">
      <c r="D670" s="3"/>
      <c r="G670" s="3"/>
      <c r="J670" s="3"/>
    </row>
    <row r="671">
      <c r="D671" s="3"/>
      <c r="G671" s="3"/>
      <c r="J671" s="3"/>
    </row>
    <row r="672">
      <c r="D672" s="3"/>
      <c r="G672" s="3"/>
      <c r="J672" s="3"/>
    </row>
    <row r="673">
      <c r="D673" s="3"/>
      <c r="G673" s="3"/>
      <c r="J673" s="3"/>
    </row>
    <row r="674">
      <c r="D674" s="3"/>
      <c r="G674" s="3"/>
      <c r="J674" s="3"/>
    </row>
    <row r="675">
      <c r="D675" s="3"/>
      <c r="G675" s="3"/>
      <c r="J675" s="3"/>
    </row>
    <row r="676">
      <c r="D676" s="3"/>
      <c r="G676" s="3"/>
      <c r="J676" s="3"/>
    </row>
    <row r="677">
      <c r="D677" s="3"/>
      <c r="G677" s="3"/>
      <c r="J677" s="3"/>
    </row>
    <row r="678">
      <c r="D678" s="3"/>
      <c r="G678" s="3"/>
      <c r="J678" s="3"/>
    </row>
    <row r="679">
      <c r="D679" s="3"/>
      <c r="G679" s="3"/>
      <c r="J679" s="3"/>
    </row>
    <row r="680">
      <c r="D680" s="3"/>
      <c r="G680" s="3"/>
      <c r="J680" s="3"/>
    </row>
    <row r="681">
      <c r="D681" s="3"/>
      <c r="G681" s="3"/>
      <c r="J681" s="3"/>
    </row>
    <row r="682">
      <c r="D682" s="3"/>
      <c r="G682" s="3"/>
      <c r="J682" s="3"/>
    </row>
    <row r="683">
      <c r="D683" s="3"/>
      <c r="G683" s="3"/>
      <c r="J683" s="3"/>
    </row>
    <row r="684">
      <c r="D684" s="3"/>
      <c r="G684" s="3"/>
      <c r="J684" s="3"/>
    </row>
    <row r="685">
      <c r="D685" s="3"/>
      <c r="G685" s="3"/>
      <c r="J685" s="3"/>
    </row>
    <row r="686">
      <c r="D686" s="3"/>
      <c r="G686" s="3"/>
      <c r="J686" s="3"/>
    </row>
    <row r="687">
      <c r="D687" s="3"/>
      <c r="G687" s="3"/>
      <c r="J687" s="3"/>
    </row>
    <row r="688">
      <c r="D688" s="3"/>
      <c r="G688" s="3"/>
      <c r="J688" s="3"/>
    </row>
    <row r="689">
      <c r="D689" s="3"/>
      <c r="G689" s="3"/>
      <c r="J689" s="3"/>
    </row>
    <row r="690">
      <c r="D690" s="3"/>
      <c r="G690" s="3"/>
      <c r="J690" s="3"/>
    </row>
    <row r="691">
      <c r="D691" s="3"/>
      <c r="G691" s="3"/>
      <c r="J691" s="3"/>
    </row>
    <row r="692">
      <c r="D692" s="3"/>
      <c r="G692" s="3"/>
      <c r="J692" s="3"/>
    </row>
    <row r="693">
      <c r="D693" s="3"/>
      <c r="G693" s="3"/>
      <c r="J693" s="3"/>
    </row>
    <row r="694">
      <c r="D694" s="3"/>
      <c r="G694" s="3"/>
      <c r="J694" s="3"/>
    </row>
    <row r="695">
      <c r="D695" s="3"/>
      <c r="G695" s="3"/>
      <c r="J695" s="3"/>
    </row>
    <row r="696">
      <c r="D696" s="3"/>
      <c r="G696" s="3"/>
      <c r="J696" s="3"/>
    </row>
    <row r="697">
      <c r="D697" s="3"/>
      <c r="G697" s="3"/>
      <c r="J697" s="3"/>
    </row>
    <row r="698">
      <c r="D698" s="3"/>
      <c r="G698" s="3"/>
      <c r="J698" s="3"/>
    </row>
    <row r="699">
      <c r="D699" s="3"/>
      <c r="G699" s="3"/>
      <c r="J699" s="3"/>
    </row>
    <row r="700">
      <c r="D700" s="3"/>
      <c r="G700" s="3"/>
      <c r="J700" s="3"/>
    </row>
    <row r="701">
      <c r="D701" s="3"/>
      <c r="G701" s="3"/>
      <c r="J701" s="3"/>
    </row>
    <row r="702">
      <c r="D702" s="3"/>
      <c r="G702" s="3"/>
      <c r="J702" s="3"/>
    </row>
    <row r="703">
      <c r="D703" s="3"/>
      <c r="G703" s="3"/>
      <c r="J703" s="3"/>
    </row>
    <row r="704">
      <c r="D704" s="3"/>
      <c r="G704" s="3"/>
      <c r="J704" s="3"/>
    </row>
    <row r="705">
      <c r="D705" s="3"/>
      <c r="G705" s="3"/>
      <c r="J705" s="3"/>
    </row>
    <row r="706">
      <c r="D706" s="3"/>
      <c r="G706" s="3"/>
      <c r="J706" s="3"/>
    </row>
    <row r="707">
      <c r="D707" s="3"/>
      <c r="G707" s="3"/>
      <c r="J707" s="3"/>
    </row>
    <row r="708">
      <c r="D708" s="3"/>
      <c r="G708" s="3"/>
      <c r="J708" s="3"/>
    </row>
    <row r="709">
      <c r="D709" s="3"/>
      <c r="G709" s="3"/>
      <c r="J709" s="3"/>
    </row>
    <row r="710">
      <c r="D710" s="3"/>
      <c r="G710" s="3"/>
      <c r="J710" s="3"/>
    </row>
    <row r="711">
      <c r="D711" s="3"/>
      <c r="G711" s="3"/>
      <c r="J711" s="3"/>
    </row>
    <row r="712">
      <c r="D712" s="3"/>
      <c r="G712" s="3"/>
      <c r="J712" s="3"/>
    </row>
    <row r="713">
      <c r="D713" s="3"/>
      <c r="G713" s="3"/>
      <c r="J713" s="3"/>
    </row>
    <row r="714">
      <c r="D714" s="3"/>
      <c r="G714" s="3"/>
      <c r="J714" s="3"/>
    </row>
    <row r="715">
      <c r="D715" s="3"/>
      <c r="G715" s="3"/>
      <c r="J715" s="3"/>
    </row>
    <row r="716">
      <c r="D716" s="3"/>
      <c r="G716" s="3"/>
      <c r="J716" s="3"/>
    </row>
    <row r="717">
      <c r="D717" s="3"/>
      <c r="G717" s="3"/>
      <c r="J717" s="3"/>
    </row>
    <row r="718">
      <c r="D718" s="3"/>
      <c r="G718" s="3"/>
      <c r="J718" s="3"/>
    </row>
    <row r="719">
      <c r="D719" s="3"/>
      <c r="G719" s="3"/>
      <c r="J719" s="3"/>
    </row>
    <row r="720">
      <c r="D720" s="3"/>
      <c r="G720" s="3"/>
      <c r="J720" s="3"/>
    </row>
    <row r="721">
      <c r="D721" s="3"/>
      <c r="G721" s="3"/>
      <c r="J721" s="3"/>
    </row>
    <row r="722">
      <c r="D722" s="3"/>
      <c r="G722" s="3"/>
      <c r="J722" s="3"/>
    </row>
    <row r="723">
      <c r="D723" s="3"/>
      <c r="G723" s="3"/>
      <c r="J723" s="3"/>
    </row>
    <row r="724">
      <c r="D724" s="3"/>
      <c r="G724" s="3"/>
      <c r="J724" s="3"/>
    </row>
    <row r="725">
      <c r="D725" s="3"/>
      <c r="G725" s="3"/>
      <c r="J725" s="3"/>
    </row>
    <row r="726">
      <c r="D726" s="3"/>
      <c r="G726" s="3"/>
      <c r="J726" s="3"/>
    </row>
    <row r="727">
      <c r="D727" s="3"/>
      <c r="G727" s="3"/>
      <c r="J727" s="3"/>
    </row>
    <row r="728">
      <c r="D728" s="3"/>
      <c r="G728" s="3"/>
      <c r="J728" s="3"/>
    </row>
    <row r="729">
      <c r="D729" s="3"/>
      <c r="G729" s="3"/>
      <c r="J729" s="3"/>
    </row>
    <row r="730">
      <c r="D730" s="3"/>
      <c r="G730" s="3"/>
      <c r="J730" s="3"/>
    </row>
    <row r="731">
      <c r="D731" s="3"/>
      <c r="G731" s="3"/>
      <c r="J731" s="3"/>
    </row>
    <row r="732">
      <c r="D732" s="3"/>
      <c r="G732" s="3"/>
      <c r="J732" s="3"/>
    </row>
    <row r="733">
      <c r="D733" s="3"/>
      <c r="G733" s="3"/>
      <c r="J733" s="3"/>
    </row>
    <row r="734">
      <c r="D734" s="3"/>
      <c r="G734" s="3"/>
      <c r="J734" s="3"/>
    </row>
    <row r="735">
      <c r="D735" s="3"/>
      <c r="G735" s="3"/>
      <c r="J735" s="3"/>
    </row>
    <row r="736">
      <c r="D736" s="3"/>
      <c r="G736" s="3"/>
      <c r="J736" s="3"/>
    </row>
    <row r="737">
      <c r="D737" s="3"/>
      <c r="G737" s="3"/>
      <c r="J737" s="3"/>
    </row>
    <row r="738">
      <c r="D738" s="3"/>
      <c r="G738" s="3"/>
      <c r="J738" s="3"/>
    </row>
    <row r="739">
      <c r="D739" s="3"/>
      <c r="G739" s="3"/>
      <c r="J739" s="3"/>
    </row>
    <row r="740">
      <c r="D740" s="3"/>
      <c r="G740" s="3"/>
      <c r="J740" s="3"/>
    </row>
    <row r="741">
      <c r="D741" s="3"/>
      <c r="G741" s="3"/>
      <c r="J741" s="3"/>
    </row>
    <row r="742">
      <c r="D742" s="3"/>
      <c r="G742" s="3"/>
      <c r="J742" s="3"/>
    </row>
    <row r="743">
      <c r="D743" s="3"/>
      <c r="G743" s="3"/>
      <c r="J743" s="3"/>
    </row>
    <row r="744">
      <c r="D744" s="3"/>
      <c r="G744" s="3"/>
      <c r="J744" s="3"/>
    </row>
    <row r="745">
      <c r="D745" s="3"/>
      <c r="G745" s="3"/>
      <c r="J745" s="3"/>
    </row>
    <row r="746">
      <c r="D746" s="3"/>
      <c r="G746" s="3"/>
      <c r="J746" s="3"/>
    </row>
    <row r="747">
      <c r="D747" s="3"/>
      <c r="G747" s="3"/>
      <c r="J747" s="3"/>
    </row>
    <row r="748">
      <c r="D748" s="3"/>
      <c r="G748" s="3"/>
      <c r="J748" s="3"/>
    </row>
    <row r="749">
      <c r="D749" s="3"/>
      <c r="G749" s="3"/>
      <c r="J749" s="3"/>
    </row>
    <row r="750">
      <c r="D750" s="3"/>
      <c r="G750" s="3"/>
      <c r="J750" s="3"/>
    </row>
    <row r="751">
      <c r="D751" s="3"/>
      <c r="G751" s="3"/>
      <c r="J751" s="3"/>
    </row>
    <row r="752">
      <c r="D752" s="3"/>
      <c r="G752" s="3"/>
      <c r="J752" s="3"/>
    </row>
    <row r="753">
      <c r="D753" s="3"/>
      <c r="G753" s="3"/>
      <c r="J753" s="3"/>
    </row>
    <row r="754">
      <c r="D754" s="3"/>
      <c r="G754" s="3"/>
      <c r="J754" s="3"/>
    </row>
    <row r="755">
      <c r="D755" s="3"/>
      <c r="G755" s="3"/>
      <c r="J755" s="3"/>
    </row>
    <row r="756">
      <c r="D756" s="3"/>
      <c r="G756" s="3"/>
      <c r="J756" s="3"/>
    </row>
    <row r="757">
      <c r="D757" s="3"/>
      <c r="G757" s="3"/>
      <c r="J757" s="3"/>
    </row>
    <row r="758">
      <c r="D758" s="3"/>
      <c r="G758" s="3"/>
      <c r="J758" s="3"/>
    </row>
    <row r="759">
      <c r="D759" s="3"/>
      <c r="G759" s="3"/>
      <c r="J759" s="3"/>
    </row>
    <row r="760">
      <c r="D760" s="3"/>
      <c r="G760" s="3"/>
      <c r="J760" s="3"/>
    </row>
    <row r="761">
      <c r="D761" s="3"/>
      <c r="G761" s="3"/>
      <c r="J761" s="3"/>
    </row>
    <row r="762">
      <c r="D762" s="3"/>
      <c r="G762" s="3"/>
      <c r="J762" s="3"/>
    </row>
    <row r="763">
      <c r="D763" s="3"/>
      <c r="G763" s="3"/>
      <c r="J763" s="3"/>
    </row>
    <row r="764">
      <c r="D764" s="3"/>
      <c r="G764" s="3"/>
      <c r="J764" s="3"/>
    </row>
    <row r="765">
      <c r="D765" s="3"/>
      <c r="G765" s="3"/>
      <c r="J765" s="3"/>
    </row>
    <row r="766">
      <c r="D766" s="3"/>
      <c r="G766" s="3"/>
      <c r="J766" s="3"/>
    </row>
    <row r="767">
      <c r="D767" s="3"/>
      <c r="G767" s="3"/>
      <c r="J767" s="3"/>
    </row>
    <row r="768">
      <c r="D768" s="3"/>
      <c r="G768" s="3"/>
      <c r="J768" s="3"/>
    </row>
    <row r="769">
      <c r="D769" s="3"/>
      <c r="G769" s="3"/>
      <c r="J769" s="3"/>
    </row>
    <row r="770">
      <c r="D770" s="3"/>
      <c r="G770" s="3"/>
      <c r="J770" s="3"/>
    </row>
    <row r="771">
      <c r="D771" s="3"/>
      <c r="G771" s="3"/>
      <c r="J771" s="3"/>
    </row>
    <row r="772">
      <c r="D772" s="3"/>
      <c r="G772" s="3"/>
      <c r="J772" s="3"/>
    </row>
    <row r="773">
      <c r="D773" s="3"/>
      <c r="G773" s="3"/>
      <c r="J773" s="3"/>
    </row>
    <row r="774">
      <c r="D774" s="3"/>
      <c r="G774" s="3"/>
      <c r="J774" s="3"/>
    </row>
    <row r="775">
      <c r="D775" s="3"/>
      <c r="G775" s="3"/>
      <c r="J775" s="3"/>
    </row>
    <row r="776">
      <c r="D776" s="3"/>
      <c r="G776" s="3"/>
      <c r="J776" s="3"/>
    </row>
    <row r="777">
      <c r="D777" s="3"/>
      <c r="G777" s="3"/>
      <c r="J777" s="3"/>
    </row>
    <row r="778">
      <c r="D778" s="3"/>
      <c r="G778" s="3"/>
      <c r="J778" s="3"/>
    </row>
    <row r="779">
      <c r="D779" s="3"/>
      <c r="G779" s="3"/>
      <c r="J779" s="3"/>
    </row>
    <row r="780">
      <c r="D780" s="3"/>
      <c r="G780" s="3"/>
      <c r="J780" s="3"/>
    </row>
    <row r="781">
      <c r="D781" s="3"/>
      <c r="G781" s="3"/>
      <c r="J781" s="3"/>
    </row>
    <row r="782">
      <c r="D782" s="3"/>
      <c r="G782" s="3"/>
      <c r="J782" s="3"/>
    </row>
    <row r="783">
      <c r="D783" s="3"/>
      <c r="G783" s="3"/>
      <c r="J783" s="3"/>
    </row>
    <row r="784">
      <c r="D784" s="3"/>
      <c r="G784" s="3"/>
      <c r="J784" s="3"/>
    </row>
    <row r="785">
      <c r="D785" s="3"/>
      <c r="G785" s="3"/>
      <c r="J785" s="3"/>
    </row>
    <row r="786">
      <c r="D786" s="3"/>
      <c r="G786" s="3"/>
      <c r="J786" s="3"/>
    </row>
    <row r="787">
      <c r="D787" s="3"/>
      <c r="G787" s="3"/>
      <c r="J787" s="3"/>
    </row>
    <row r="788">
      <c r="D788" s="3"/>
      <c r="G788" s="3"/>
      <c r="J788" s="3"/>
    </row>
    <row r="789">
      <c r="D789" s="3"/>
      <c r="G789" s="3"/>
      <c r="J789" s="3"/>
    </row>
    <row r="790">
      <c r="D790" s="3"/>
      <c r="G790" s="3"/>
      <c r="J790" s="3"/>
    </row>
    <row r="791">
      <c r="D791" s="3"/>
      <c r="G791" s="3"/>
      <c r="J791" s="3"/>
    </row>
    <row r="792">
      <c r="D792" s="3"/>
      <c r="G792" s="3"/>
      <c r="J792" s="3"/>
    </row>
    <row r="793">
      <c r="D793" s="3"/>
      <c r="G793" s="3"/>
      <c r="J793" s="3"/>
    </row>
    <row r="794">
      <c r="D794" s="3"/>
      <c r="G794" s="3"/>
      <c r="J794" s="3"/>
    </row>
    <row r="795">
      <c r="D795" s="3"/>
      <c r="G795" s="3"/>
      <c r="J795" s="3"/>
    </row>
    <row r="796">
      <c r="D796" s="3"/>
      <c r="G796" s="3"/>
      <c r="J796" s="3"/>
    </row>
    <row r="797">
      <c r="D797" s="3"/>
      <c r="G797" s="3"/>
      <c r="J797" s="3"/>
    </row>
    <row r="798">
      <c r="D798" s="3"/>
      <c r="G798" s="3"/>
      <c r="J798" s="3"/>
    </row>
    <row r="799">
      <c r="D799" s="3"/>
      <c r="G799" s="3"/>
      <c r="J799" s="3"/>
    </row>
    <row r="800">
      <c r="D800" s="3"/>
      <c r="G800" s="3"/>
      <c r="J800" s="3"/>
    </row>
    <row r="801">
      <c r="D801" s="3"/>
      <c r="G801" s="3"/>
      <c r="J801" s="3"/>
    </row>
    <row r="802">
      <c r="D802" s="3"/>
      <c r="G802" s="3"/>
      <c r="J802" s="3"/>
    </row>
    <row r="803">
      <c r="D803" s="3"/>
      <c r="G803" s="3"/>
      <c r="J803" s="3"/>
    </row>
    <row r="804">
      <c r="D804" s="3"/>
      <c r="G804" s="3"/>
      <c r="J804" s="3"/>
    </row>
    <row r="805">
      <c r="D805" s="3"/>
      <c r="G805" s="3"/>
      <c r="J805" s="3"/>
    </row>
    <row r="806">
      <c r="D806" s="3"/>
      <c r="G806" s="3"/>
      <c r="J806" s="3"/>
    </row>
    <row r="807">
      <c r="D807" s="3"/>
      <c r="G807" s="3"/>
      <c r="J807" s="3"/>
    </row>
    <row r="808">
      <c r="D808" s="3"/>
      <c r="G808" s="3"/>
      <c r="J808" s="3"/>
    </row>
    <row r="809">
      <c r="D809" s="3"/>
      <c r="G809" s="3"/>
      <c r="J809" s="3"/>
    </row>
    <row r="810">
      <c r="D810" s="3"/>
      <c r="G810" s="3"/>
      <c r="J810" s="3"/>
    </row>
    <row r="811">
      <c r="D811" s="3"/>
      <c r="G811" s="3"/>
      <c r="J811" s="3"/>
    </row>
    <row r="812">
      <c r="D812" s="3"/>
      <c r="G812" s="3"/>
      <c r="J812" s="3"/>
    </row>
    <row r="813">
      <c r="D813" s="3"/>
      <c r="G813" s="3"/>
      <c r="J813" s="3"/>
    </row>
    <row r="814">
      <c r="D814" s="3"/>
      <c r="G814" s="3"/>
      <c r="J814" s="3"/>
    </row>
    <row r="815">
      <c r="D815" s="3"/>
      <c r="G815" s="3"/>
      <c r="J815" s="3"/>
    </row>
    <row r="816">
      <c r="D816" s="3"/>
      <c r="G816" s="3"/>
      <c r="J816" s="3"/>
    </row>
    <row r="817">
      <c r="D817" s="3"/>
      <c r="G817" s="3"/>
      <c r="J817" s="3"/>
    </row>
    <row r="818">
      <c r="D818" s="3"/>
      <c r="G818" s="3"/>
      <c r="J818" s="3"/>
    </row>
    <row r="819">
      <c r="D819" s="3"/>
      <c r="G819" s="3"/>
      <c r="J819" s="3"/>
    </row>
    <row r="820">
      <c r="D820" s="3"/>
      <c r="G820" s="3"/>
      <c r="J820" s="3"/>
    </row>
    <row r="821">
      <c r="D821" s="3"/>
      <c r="G821" s="3"/>
      <c r="J821" s="3"/>
    </row>
    <row r="822">
      <c r="D822" s="3"/>
      <c r="G822" s="3"/>
      <c r="J822" s="3"/>
    </row>
    <row r="823">
      <c r="D823" s="3"/>
      <c r="G823" s="3"/>
      <c r="J823" s="3"/>
    </row>
    <row r="824">
      <c r="D824" s="3"/>
      <c r="G824" s="3"/>
      <c r="J824" s="3"/>
    </row>
    <row r="825">
      <c r="D825" s="3"/>
      <c r="G825" s="3"/>
      <c r="J825" s="3"/>
    </row>
    <row r="826">
      <c r="D826" s="3"/>
      <c r="G826" s="3"/>
      <c r="J826" s="3"/>
    </row>
    <row r="827">
      <c r="D827" s="3"/>
      <c r="G827" s="3"/>
      <c r="J827" s="3"/>
    </row>
    <row r="828">
      <c r="D828" s="3"/>
      <c r="G828" s="3"/>
      <c r="J828" s="3"/>
    </row>
    <row r="829">
      <c r="D829" s="3"/>
      <c r="G829" s="3"/>
      <c r="J829" s="3"/>
    </row>
    <row r="830">
      <c r="D830" s="3"/>
      <c r="G830" s="3"/>
      <c r="J830" s="3"/>
    </row>
    <row r="831">
      <c r="D831" s="3"/>
      <c r="G831" s="3"/>
      <c r="J831" s="3"/>
    </row>
    <row r="832">
      <c r="D832" s="3"/>
      <c r="G832" s="3"/>
      <c r="J832" s="3"/>
    </row>
    <row r="833">
      <c r="D833" s="3"/>
      <c r="G833" s="3"/>
      <c r="J833" s="3"/>
    </row>
    <row r="834">
      <c r="D834" s="3"/>
      <c r="G834" s="3"/>
      <c r="J834" s="3"/>
    </row>
    <row r="835">
      <c r="D835" s="3"/>
      <c r="G835" s="3"/>
      <c r="J835" s="3"/>
    </row>
    <row r="836">
      <c r="D836" s="3"/>
      <c r="G836" s="3"/>
      <c r="J836" s="3"/>
    </row>
    <row r="837">
      <c r="D837" s="3"/>
      <c r="G837" s="3"/>
      <c r="J837" s="3"/>
    </row>
    <row r="838">
      <c r="D838" s="3"/>
      <c r="G838" s="3"/>
      <c r="J838" s="3"/>
    </row>
    <row r="839">
      <c r="D839" s="3"/>
      <c r="G839" s="3"/>
      <c r="J839" s="3"/>
    </row>
    <row r="840">
      <c r="D840" s="3"/>
      <c r="G840" s="3"/>
      <c r="J840" s="3"/>
    </row>
    <row r="841">
      <c r="D841" s="3"/>
      <c r="G841" s="3"/>
      <c r="J841" s="3"/>
    </row>
    <row r="842">
      <c r="D842" s="3"/>
      <c r="G842" s="3"/>
      <c r="J842" s="3"/>
    </row>
    <row r="843">
      <c r="D843" s="3"/>
      <c r="G843" s="3"/>
      <c r="J843" s="3"/>
    </row>
    <row r="844">
      <c r="D844" s="3"/>
      <c r="G844" s="3"/>
      <c r="J844" s="3"/>
    </row>
    <row r="845">
      <c r="D845" s="3"/>
      <c r="G845" s="3"/>
      <c r="J845" s="3"/>
    </row>
    <row r="846">
      <c r="D846" s="3"/>
      <c r="G846" s="3"/>
      <c r="J846" s="3"/>
    </row>
    <row r="847">
      <c r="D847" s="3"/>
      <c r="G847" s="3"/>
      <c r="J847" s="3"/>
    </row>
    <row r="848">
      <c r="D848" s="3"/>
      <c r="G848" s="3"/>
      <c r="J848" s="3"/>
    </row>
    <row r="849">
      <c r="D849" s="3"/>
      <c r="G849" s="3"/>
      <c r="J849" s="3"/>
    </row>
    <row r="850">
      <c r="D850" s="3"/>
      <c r="G850" s="3"/>
      <c r="J850" s="3"/>
    </row>
    <row r="851">
      <c r="D851" s="3"/>
      <c r="G851" s="3"/>
      <c r="J851" s="3"/>
    </row>
    <row r="852">
      <c r="D852" s="3"/>
      <c r="G852" s="3"/>
      <c r="J852" s="3"/>
    </row>
    <row r="853">
      <c r="D853" s="3"/>
      <c r="G853" s="3"/>
      <c r="J853" s="3"/>
    </row>
    <row r="854">
      <c r="D854" s="3"/>
      <c r="G854" s="3"/>
      <c r="J854" s="3"/>
    </row>
    <row r="855">
      <c r="D855" s="3"/>
      <c r="G855" s="3"/>
      <c r="J855" s="3"/>
    </row>
    <row r="856">
      <c r="D856" s="3"/>
      <c r="G856" s="3"/>
      <c r="J856" s="3"/>
    </row>
    <row r="857">
      <c r="D857" s="3"/>
      <c r="G857" s="3"/>
      <c r="J857" s="3"/>
    </row>
    <row r="858">
      <c r="D858" s="3"/>
      <c r="G858" s="3"/>
      <c r="J858" s="3"/>
    </row>
    <row r="859">
      <c r="D859" s="3"/>
      <c r="G859" s="3"/>
      <c r="J859" s="3"/>
    </row>
    <row r="860">
      <c r="D860" s="3"/>
      <c r="G860" s="3"/>
      <c r="J860" s="3"/>
    </row>
    <row r="861">
      <c r="D861" s="3"/>
      <c r="G861" s="3"/>
      <c r="J861" s="3"/>
    </row>
    <row r="862">
      <c r="D862" s="3"/>
      <c r="G862" s="3"/>
      <c r="J862" s="3"/>
    </row>
    <row r="863">
      <c r="D863" s="3"/>
      <c r="G863" s="3"/>
      <c r="J863" s="3"/>
    </row>
    <row r="864">
      <c r="D864" s="3"/>
      <c r="G864" s="3"/>
      <c r="J864" s="3"/>
    </row>
    <row r="865">
      <c r="D865" s="3"/>
      <c r="G865" s="3"/>
      <c r="J865" s="3"/>
    </row>
    <row r="866">
      <c r="D866" s="3"/>
      <c r="G866" s="3"/>
      <c r="J866" s="3"/>
    </row>
    <row r="867">
      <c r="D867" s="3"/>
      <c r="G867" s="3"/>
      <c r="J867" s="3"/>
    </row>
    <row r="868">
      <c r="D868" s="3"/>
      <c r="G868" s="3"/>
      <c r="J868" s="3"/>
    </row>
    <row r="869">
      <c r="D869" s="3"/>
      <c r="G869" s="3"/>
      <c r="J869" s="3"/>
    </row>
    <row r="870">
      <c r="D870" s="3"/>
      <c r="G870" s="3"/>
      <c r="J870" s="3"/>
    </row>
    <row r="871">
      <c r="D871" s="3"/>
      <c r="G871" s="3"/>
      <c r="J871" s="3"/>
    </row>
    <row r="872">
      <c r="D872" s="3"/>
      <c r="G872" s="3"/>
      <c r="J872" s="3"/>
    </row>
    <row r="873">
      <c r="D873" s="3"/>
      <c r="G873" s="3"/>
      <c r="J873" s="3"/>
    </row>
    <row r="874">
      <c r="D874" s="3"/>
      <c r="G874" s="3"/>
      <c r="J874" s="3"/>
    </row>
    <row r="875">
      <c r="D875" s="3"/>
      <c r="G875" s="3"/>
      <c r="J875" s="3"/>
    </row>
    <row r="876">
      <c r="D876" s="3"/>
      <c r="G876" s="3"/>
      <c r="J876" s="3"/>
    </row>
    <row r="877">
      <c r="D877" s="3"/>
      <c r="G877" s="3"/>
      <c r="J877" s="3"/>
    </row>
    <row r="878">
      <c r="D878" s="3"/>
      <c r="G878" s="3"/>
      <c r="J878" s="3"/>
    </row>
    <row r="879">
      <c r="D879" s="3"/>
      <c r="G879" s="3"/>
      <c r="J879" s="3"/>
    </row>
    <row r="880">
      <c r="D880" s="3"/>
      <c r="G880" s="3"/>
      <c r="J880" s="3"/>
    </row>
    <row r="881">
      <c r="D881" s="3"/>
      <c r="G881" s="3"/>
      <c r="J881" s="3"/>
    </row>
    <row r="882">
      <c r="D882" s="3"/>
      <c r="G882" s="3"/>
      <c r="J882" s="3"/>
    </row>
    <row r="883">
      <c r="D883" s="3"/>
      <c r="G883" s="3"/>
      <c r="J883" s="3"/>
    </row>
    <row r="884">
      <c r="D884" s="3"/>
      <c r="G884" s="3"/>
      <c r="J884" s="3"/>
    </row>
    <row r="885">
      <c r="D885" s="3"/>
      <c r="G885" s="3"/>
      <c r="J885" s="3"/>
    </row>
    <row r="886">
      <c r="D886" s="3"/>
      <c r="G886" s="3"/>
      <c r="J886" s="3"/>
    </row>
    <row r="887">
      <c r="D887" s="3"/>
      <c r="G887" s="3"/>
      <c r="J887" s="3"/>
    </row>
    <row r="888">
      <c r="D888" s="3"/>
      <c r="G888" s="3"/>
      <c r="J888" s="3"/>
    </row>
    <row r="889">
      <c r="D889" s="3"/>
      <c r="G889" s="3"/>
      <c r="J889" s="3"/>
    </row>
    <row r="890">
      <c r="D890" s="3"/>
      <c r="G890" s="3"/>
      <c r="J890" s="3"/>
    </row>
    <row r="891">
      <c r="D891" s="3"/>
      <c r="G891" s="3"/>
      <c r="J891" s="3"/>
    </row>
    <row r="892">
      <c r="D892" s="3"/>
      <c r="G892" s="3"/>
      <c r="J892" s="3"/>
    </row>
    <row r="893">
      <c r="D893" s="3"/>
      <c r="G893" s="3"/>
      <c r="J893" s="3"/>
    </row>
    <row r="894">
      <c r="D894" s="3"/>
      <c r="G894" s="3"/>
      <c r="J894" s="3"/>
    </row>
    <row r="895">
      <c r="D895" s="3"/>
      <c r="G895" s="3"/>
      <c r="J895" s="3"/>
    </row>
    <row r="896">
      <c r="D896" s="3"/>
      <c r="G896" s="3"/>
      <c r="J896" s="3"/>
    </row>
    <row r="897">
      <c r="D897" s="3"/>
      <c r="G897" s="3"/>
      <c r="J897" s="3"/>
    </row>
    <row r="898">
      <c r="D898" s="3"/>
      <c r="G898" s="3"/>
      <c r="J898" s="3"/>
    </row>
    <row r="899">
      <c r="D899" s="3"/>
      <c r="G899" s="3"/>
      <c r="J899" s="3"/>
    </row>
    <row r="900">
      <c r="D900" s="3"/>
      <c r="G900" s="3"/>
      <c r="J900" s="3"/>
    </row>
    <row r="901">
      <c r="D901" s="3"/>
      <c r="G901" s="3"/>
      <c r="J901" s="3"/>
    </row>
    <row r="902">
      <c r="D902" s="3"/>
      <c r="G902" s="3"/>
      <c r="J902" s="3"/>
    </row>
    <row r="903">
      <c r="D903" s="3"/>
      <c r="G903" s="3"/>
      <c r="J903" s="3"/>
    </row>
    <row r="904">
      <c r="D904" s="3"/>
      <c r="G904" s="3"/>
      <c r="J904" s="3"/>
    </row>
    <row r="905">
      <c r="D905" s="3"/>
      <c r="G905" s="3"/>
      <c r="J905" s="3"/>
    </row>
    <row r="906">
      <c r="D906" s="3"/>
      <c r="G906" s="3"/>
      <c r="J906" s="3"/>
    </row>
    <row r="907">
      <c r="D907" s="3"/>
      <c r="G907" s="3"/>
      <c r="J907" s="3"/>
    </row>
    <row r="908">
      <c r="D908" s="3"/>
      <c r="G908" s="3"/>
      <c r="J908" s="3"/>
    </row>
    <row r="909">
      <c r="D909" s="3"/>
      <c r="G909" s="3"/>
      <c r="J909" s="3"/>
    </row>
    <row r="910">
      <c r="D910" s="3"/>
      <c r="G910" s="3"/>
      <c r="J910" s="3"/>
    </row>
    <row r="911">
      <c r="D911" s="3"/>
      <c r="G911" s="3"/>
      <c r="J911" s="3"/>
    </row>
    <row r="912">
      <c r="D912" s="3"/>
      <c r="G912" s="3"/>
      <c r="J912" s="3"/>
    </row>
    <row r="913">
      <c r="D913" s="3"/>
      <c r="G913" s="3"/>
      <c r="J913" s="3"/>
    </row>
    <row r="914">
      <c r="D914" s="3"/>
      <c r="G914" s="3"/>
      <c r="J914" s="3"/>
    </row>
    <row r="915">
      <c r="D915" s="3"/>
      <c r="G915" s="3"/>
      <c r="J915" s="3"/>
    </row>
    <row r="916">
      <c r="D916" s="3"/>
      <c r="G916" s="3"/>
      <c r="J916" s="3"/>
    </row>
    <row r="917">
      <c r="D917" s="3"/>
      <c r="G917" s="3"/>
      <c r="J917" s="3"/>
    </row>
    <row r="918">
      <c r="D918" s="3"/>
      <c r="G918" s="3"/>
      <c r="J918" s="3"/>
    </row>
    <row r="919">
      <c r="D919" s="3"/>
      <c r="G919" s="3"/>
      <c r="J919" s="3"/>
    </row>
    <row r="920">
      <c r="D920" s="3"/>
      <c r="G920" s="3"/>
      <c r="J920" s="3"/>
    </row>
    <row r="921">
      <c r="D921" s="3"/>
      <c r="G921" s="3"/>
      <c r="J921" s="3"/>
    </row>
    <row r="922">
      <c r="D922" s="3"/>
      <c r="G922" s="3"/>
      <c r="J922" s="3"/>
    </row>
    <row r="923">
      <c r="D923" s="3"/>
      <c r="G923" s="3"/>
      <c r="J923" s="3"/>
    </row>
    <row r="924">
      <c r="D924" s="3"/>
      <c r="G924" s="3"/>
      <c r="J924" s="3"/>
    </row>
    <row r="925">
      <c r="D925" s="3"/>
      <c r="G925" s="3"/>
      <c r="J925" s="3"/>
    </row>
    <row r="926">
      <c r="D926" s="3"/>
      <c r="G926" s="3"/>
      <c r="J926" s="3"/>
    </row>
    <row r="927">
      <c r="D927" s="3"/>
      <c r="G927" s="3"/>
      <c r="J927" s="3"/>
    </row>
    <row r="928">
      <c r="D928" s="3"/>
      <c r="G928" s="3"/>
      <c r="J928" s="3"/>
    </row>
    <row r="929">
      <c r="D929" s="3"/>
      <c r="G929" s="3"/>
      <c r="J929" s="3"/>
    </row>
    <row r="930">
      <c r="D930" s="3"/>
      <c r="G930" s="3"/>
      <c r="J930" s="3"/>
    </row>
    <row r="931">
      <c r="D931" s="3"/>
      <c r="G931" s="3"/>
      <c r="J931" s="3"/>
    </row>
    <row r="932">
      <c r="D932" s="3"/>
      <c r="G932" s="3"/>
      <c r="J932" s="3"/>
    </row>
    <row r="933">
      <c r="D933" s="3"/>
      <c r="G933" s="3"/>
      <c r="J933" s="3"/>
    </row>
    <row r="934">
      <c r="D934" s="3"/>
      <c r="G934" s="3"/>
      <c r="J934" s="3"/>
    </row>
    <row r="935">
      <c r="D935" s="3"/>
      <c r="G935" s="3"/>
      <c r="J935" s="3"/>
    </row>
    <row r="936">
      <c r="D936" s="3"/>
      <c r="G936" s="3"/>
      <c r="J936" s="3"/>
    </row>
    <row r="937">
      <c r="D937" s="3"/>
      <c r="G937" s="3"/>
      <c r="J937" s="3"/>
    </row>
    <row r="938">
      <c r="D938" s="3"/>
      <c r="G938" s="3"/>
      <c r="J938" s="3"/>
    </row>
    <row r="939">
      <c r="D939" s="3"/>
      <c r="G939" s="3"/>
      <c r="J939" s="3"/>
    </row>
    <row r="940">
      <c r="D940" s="3"/>
      <c r="G940" s="3"/>
      <c r="J940" s="3"/>
    </row>
    <row r="941">
      <c r="D941" s="3"/>
      <c r="G941" s="3"/>
      <c r="J941" s="3"/>
    </row>
    <row r="942">
      <c r="D942" s="3"/>
      <c r="G942" s="3"/>
      <c r="J942" s="3"/>
    </row>
    <row r="943">
      <c r="D943" s="3"/>
      <c r="G943" s="3"/>
      <c r="J943" s="3"/>
    </row>
    <row r="944">
      <c r="D944" s="3"/>
      <c r="G944" s="3"/>
      <c r="J944" s="3"/>
    </row>
    <row r="945">
      <c r="D945" s="3"/>
      <c r="G945" s="3"/>
      <c r="J945" s="3"/>
    </row>
    <row r="946">
      <c r="D946" s="3"/>
      <c r="G946" s="3"/>
      <c r="J946" s="3"/>
    </row>
    <row r="947">
      <c r="D947" s="3"/>
      <c r="G947" s="3"/>
      <c r="J947" s="3"/>
    </row>
    <row r="948">
      <c r="D948" s="3"/>
      <c r="G948" s="3"/>
      <c r="J948" s="3"/>
    </row>
    <row r="949">
      <c r="D949" s="3"/>
      <c r="G949" s="3"/>
      <c r="J949" s="3"/>
    </row>
    <row r="950">
      <c r="D950" s="3"/>
      <c r="G950" s="3"/>
      <c r="J950" s="3"/>
    </row>
    <row r="951">
      <c r="D951" s="3"/>
      <c r="G951" s="3"/>
      <c r="J951" s="3"/>
    </row>
    <row r="952">
      <c r="D952" s="3"/>
      <c r="G952" s="3"/>
      <c r="J952" s="3"/>
    </row>
    <row r="953">
      <c r="D953" s="3"/>
      <c r="G953" s="3"/>
      <c r="J953" s="3"/>
    </row>
    <row r="954">
      <c r="D954" s="3"/>
      <c r="G954" s="3"/>
      <c r="J954" s="3"/>
    </row>
    <row r="955">
      <c r="D955" s="3"/>
      <c r="G955" s="3"/>
      <c r="J955" s="3"/>
    </row>
    <row r="956">
      <c r="D956" s="3"/>
      <c r="G956" s="3"/>
      <c r="J956" s="3"/>
    </row>
    <row r="957">
      <c r="D957" s="3"/>
      <c r="G957" s="3"/>
      <c r="J957" s="3"/>
    </row>
    <row r="958">
      <c r="D958" s="3"/>
      <c r="G958" s="3"/>
      <c r="J958" s="3"/>
    </row>
    <row r="959">
      <c r="D959" s="3"/>
      <c r="G959" s="3"/>
      <c r="J959" s="3"/>
    </row>
    <row r="960">
      <c r="D960" s="3"/>
      <c r="G960" s="3"/>
      <c r="J960" s="3"/>
    </row>
    <row r="961">
      <c r="D961" s="3"/>
      <c r="G961" s="3"/>
      <c r="J961" s="3"/>
    </row>
    <row r="962">
      <c r="D962" s="3"/>
      <c r="G962" s="3"/>
      <c r="J962" s="3"/>
    </row>
    <row r="963">
      <c r="D963" s="3"/>
      <c r="G963" s="3"/>
      <c r="J963" s="3"/>
    </row>
    <row r="964">
      <c r="D964" s="3"/>
      <c r="G964" s="3"/>
      <c r="J964" s="3"/>
    </row>
    <row r="965">
      <c r="D965" s="3"/>
      <c r="G965" s="3"/>
      <c r="J965" s="3"/>
    </row>
    <row r="966">
      <c r="D966" s="3"/>
      <c r="G966" s="3"/>
      <c r="J966" s="3"/>
    </row>
    <row r="967">
      <c r="D967" s="3"/>
      <c r="G967" s="3"/>
      <c r="J967" s="3"/>
    </row>
    <row r="968">
      <c r="D968" s="3"/>
      <c r="G968" s="3"/>
      <c r="J968" s="3"/>
    </row>
    <row r="969">
      <c r="D969" s="3"/>
      <c r="G969" s="3"/>
      <c r="J969" s="3"/>
    </row>
    <row r="970">
      <c r="D970" s="3"/>
      <c r="G970" s="3"/>
      <c r="J970" s="3"/>
    </row>
    <row r="971">
      <c r="D971" s="3"/>
      <c r="G971" s="3"/>
      <c r="J971" s="3"/>
    </row>
    <row r="972">
      <c r="D972" s="3"/>
      <c r="G972" s="3"/>
      <c r="J972" s="3"/>
    </row>
    <row r="973">
      <c r="D973" s="3"/>
      <c r="G973" s="3"/>
      <c r="J973" s="3"/>
    </row>
    <row r="974">
      <c r="D974" s="3"/>
      <c r="G974" s="3"/>
      <c r="J974" s="3"/>
    </row>
    <row r="975">
      <c r="D975" s="3"/>
      <c r="G975" s="3"/>
      <c r="J975" s="3"/>
    </row>
    <row r="976">
      <c r="D976" s="3"/>
      <c r="G976" s="3"/>
      <c r="J976" s="3"/>
    </row>
    <row r="977">
      <c r="D977" s="3"/>
      <c r="G977" s="3"/>
      <c r="J977" s="3"/>
    </row>
    <row r="978">
      <c r="D978" s="3"/>
      <c r="G978" s="3"/>
      <c r="J978" s="3"/>
    </row>
    <row r="979">
      <c r="D979" s="3"/>
      <c r="G979" s="3"/>
      <c r="J979" s="3"/>
    </row>
    <row r="980">
      <c r="D980" s="3"/>
      <c r="G980" s="3"/>
      <c r="J980" s="3"/>
    </row>
    <row r="981">
      <c r="D981" s="3"/>
      <c r="G981" s="3"/>
      <c r="J981" s="3"/>
    </row>
    <row r="982">
      <c r="D982" s="3"/>
      <c r="G982" s="3"/>
      <c r="J982" s="3"/>
    </row>
    <row r="983">
      <c r="D983" s="3"/>
      <c r="G983" s="3"/>
      <c r="J983" s="3"/>
    </row>
    <row r="984">
      <c r="D984" s="3"/>
      <c r="G984" s="3"/>
      <c r="J984" s="3"/>
    </row>
    <row r="985">
      <c r="D985" s="3"/>
      <c r="G985" s="3"/>
      <c r="J985" s="3"/>
    </row>
    <row r="986">
      <c r="D986" s="3"/>
      <c r="G986" s="3"/>
      <c r="J986" s="3"/>
    </row>
    <row r="987">
      <c r="D987" s="3"/>
      <c r="G987" s="3"/>
      <c r="J987" s="3"/>
    </row>
    <row r="988">
      <c r="D988" s="3"/>
      <c r="G988" s="3"/>
      <c r="J988" s="3"/>
    </row>
    <row r="989">
      <c r="D989" s="3"/>
      <c r="G989" s="3"/>
      <c r="J989" s="3"/>
    </row>
    <row r="990">
      <c r="D990" s="3"/>
      <c r="G990" s="3"/>
      <c r="J990" s="3"/>
    </row>
    <row r="991">
      <c r="D991" s="3"/>
      <c r="G991" s="3"/>
      <c r="J991" s="3"/>
    </row>
    <row r="992">
      <c r="D992" s="3"/>
      <c r="G992" s="3"/>
      <c r="J992" s="3"/>
    </row>
    <row r="993">
      <c r="D993" s="3"/>
      <c r="G993" s="3"/>
      <c r="J993" s="3"/>
    </row>
    <row r="994">
      <c r="D994" s="3"/>
      <c r="G994" s="3"/>
      <c r="J994" s="3"/>
    </row>
    <row r="995">
      <c r="D995" s="3"/>
      <c r="G995" s="3"/>
      <c r="J995" s="3"/>
    </row>
    <row r="996">
      <c r="D996" s="3"/>
      <c r="G996" s="3"/>
      <c r="J996" s="3"/>
    </row>
    <row r="997">
      <c r="D997" s="3"/>
      <c r="G997" s="3"/>
      <c r="J997" s="3"/>
    </row>
    <row r="998">
      <c r="D998" s="3"/>
      <c r="G998" s="3"/>
      <c r="J998" s="3"/>
    </row>
    <row r="999">
      <c r="D999" s="3"/>
      <c r="G999" s="3"/>
      <c r="J999" s="3"/>
    </row>
    <row r="1000">
      <c r="D1000" s="3"/>
      <c r="G1000" s="3"/>
      <c r="J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IFERROR(__xludf.DUMMYFUNCTION("IFERROR(QUERY(FEB_2023!A:I, ""SELECT * WHERE D IS NOT NULL AND UPPER(I) = 'OPERASIONAL'"", 1), ""Data OPERASIONAL belum ditemukan"")"),"Data OPERASIONAL belum ditemukan")</f>
        <v>Data OPERASIONAL belum ditemukan</v>
      </c>
      <c r="D1" s="3"/>
      <c r="G1" s="3"/>
      <c r="J1" s="3">
        <f>SUM(D1:D1000)</f>
        <v>0</v>
      </c>
    </row>
    <row r="2">
      <c r="D2" s="3"/>
      <c r="G2" s="3"/>
      <c r="J2" s="3"/>
    </row>
    <row r="3">
      <c r="D3" s="3"/>
      <c r="G3" s="3"/>
      <c r="J3" s="3"/>
    </row>
    <row r="4">
      <c r="D4" s="3"/>
      <c r="G4" s="3"/>
      <c r="J4" s="3"/>
    </row>
    <row r="5">
      <c r="D5" s="3"/>
      <c r="G5" s="3"/>
      <c r="J5" s="3"/>
    </row>
    <row r="6">
      <c r="D6" s="3"/>
      <c r="G6" s="3"/>
      <c r="J6" s="3"/>
    </row>
    <row r="7">
      <c r="D7" s="3"/>
      <c r="G7" s="3"/>
      <c r="J7" s="3"/>
    </row>
    <row r="8">
      <c r="D8" s="3"/>
      <c r="G8" s="3"/>
      <c r="J8" s="3"/>
    </row>
    <row r="9">
      <c r="D9" s="3"/>
      <c r="G9" s="3"/>
      <c r="J9" s="3"/>
    </row>
    <row r="10">
      <c r="D10" s="3"/>
      <c r="G10" s="3"/>
      <c r="J10" s="3"/>
    </row>
    <row r="11">
      <c r="D11" s="3"/>
      <c r="G11" s="3"/>
      <c r="J11" s="3"/>
    </row>
    <row r="12">
      <c r="D12" s="3"/>
      <c r="G12" s="3"/>
      <c r="J12" s="3"/>
    </row>
    <row r="13">
      <c r="D13" s="3"/>
      <c r="G13" s="3"/>
      <c r="J13" s="3"/>
    </row>
    <row r="14">
      <c r="D14" s="3"/>
      <c r="G14" s="3"/>
      <c r="J14" s="3"/>
    </row>
    <row r="15">
      <c r="D15" s="3"/>
      <c r="G15" s="3"/>
      <c r="J15" s="3"/>
    </row>
    <row r="16">
      <c r="D16" s="3"/>
      <c r="G16" s="3"/>
      <c r="J16" s="3"/>
    </row>
    <row r="17">
      <c r="D17" s="3"/>
      <c r="G17" s="3"/>
      <c r="J17" s="3"/>
    </row>
    <row r="18">
      <c r="D18" s="3"/>
      <c r="G18" s="3"/>
      <c r="J18" s="3"/>
    </row>
    <row r="19">
      <c r="D19" s="3"/>
      <c r="G19" s="3"/>
      <c r="J19" s="3"/>
    </row>
    <row r="20">
      <c r="D20" s="3"/>
      <c r="G20" s="3"/>
      <c r="J20" s="3"/>
    </row>
    <row r="21">
      <c r="D21" s="3"/>
      <c r="G21" s="3"/>
      <c r="J21" s="3"/>
    </row>
    <row r="22">
      <c r="D22" s="3"/>
      <c r="G22" s="3"/>
      <c r="J22" s="3"/>
    </row>
    <row r="23">
      <c r="D23" s="3"/>
      <c r="G23" s="3"/>
      <c r="J23" s="3"/>
    </row>
    <row r="24">
      <c r="D24" s="3"/>
      <c r="G24" s="3"/>
      <c r="J24" s="3"/>
    </row>
    <row r="25">
      <c r="D25" s="3"/>
      <c r="G25" s="3"/>
      <c r="J25" s="3"/>
    </row>
    <row r="26">
      <c r="D26" s="3"/>
      <c r="G26" s="3"/>
      <c r="J26" s="3"/>
    </row>
    <row r="27">
      <c r="D27" s="3"/>
      <c r="G27" s="3"/>
      <c r="J27" s="3"/>
    </row>
    <row r="28">
      <c r="D28" s="3"/>
      <c r="G28" s="3"/>
      <c r="J28" s="3"/>
    </row>
    <row r="29">
      <c r="D29" s="3"/>
      <c r="G29" s="3"/>
      <c r="J29" s="3"/>
    </row>
    <row r="30">
      <c r="D30" s="3"/>
      <c r="G30" s="3"/>
      <c r="J30" s="3"/>
    </row>
    <row r="31">
      <c r="D31" s="3"/>
      <c r="G31" s="3"/>
      <c r="J31" s="3"/>
    </row>
    <row r="32">
      <c r="D32" s="3"/>
      <c r="G32" s="3"/>
      <c r="J32" s="3"/>
    </row>
    <row r="33">
      <c r="D33" s="3"/>
      <c r="G33" s="3"/>
      <c r="J33" s="3"/>
    </row>
    <row r="34">
      <c r="D34" s="3"/>
      <c r="G34" s="3"/>
      <c r="J34" s="3"/>
    </row>
    <row r="35">
      <c r="D35" s="3"/>
      <c r="G35" s="3"/>
      <c r="J35" s="3"/>
    </row>
    <row r="36">
      <c r="D36" s="3"/>
      <c r="G36" s="3"/>
      <c r="J36" s="3"/>
    </row>
    <row r="37">
      <c r="D37" s="3"/>
      <c r="G37" s="3"/>
      <c r="J37" s="3"/>
    </row>
    <row r="38">
      <c r="D38" s="3"/>
      <c r="G38" s="3"/>
      <c r="J38" s="3"/>
    </row>
    <row r="39">
      <c r="D39" s="3"/>
      <c r="G39" s="3"/>
      <c r="J39" s="3"/>
    </row>
    <row r="40">
      <c r="D40" s="3"/>
      <c r="G40" s="3"/>
      <c r="J40" s="3"/>
    </row>
    <row r="41">
      <c r="D41" s="3"/>
      <c r="G41" s="3"/>
      <c r="J41" s="3"/>
    </row>
    <row r="42">
      <c r="D42" s="3"/>
      <c r="G42" s="3"/>
      <c r="J42" s="3"/>
    </row>
    <row r="43">
      <c r="D43" s="3"/>
      <c r="G43" s="3"/>
      <c r="J43" s="3"/>
    </row>
    <row r="44">
      <c r="D44" s="3"/>
      <c r="G44" s="3"/>
      <c r="J44" s="3"/>
    </row>
    <row r="45">
      <c r="D45" s="3"/>
      <c r="G45" s="3"/>
      <c r="J45" s="3"/>
    </row>
    <row r="46">
      <c r="D46" s="3"/>
      <c r="G46" s="3"/>
      <c r="J46" s="3"/>
    </row>
    <row r="47">
      <c r="D47" s="3"/>
      <c r="G47" s="3"/>
      <c r="J47" s="3"/>
    </row>
    <row r="48">
      <c r="D48" s="3"/>
      <c r="G48" s="3"/>
      <c r="J48" s="3"/>
    </row>
    <row r="49">
      <c r="D49" s="3"/>
      <c r="G49" s="3"/>
      <c r="J49" s="3"/>
    </row>
    <row r="50">
      <c r="D50" s="3"/>
      <c r="G50" s="3"/>
      <c r="J50" s="3"/>
    </row>
    <row r="51">
      <c r="D51" s="3"/>
      <c r="G51" s="3"/>
      <c r="J51" s="3"/>
    </row>
    <row r="52">
      <c r="D52" s="3"/>
      <c r="G52" s="3"/>
      <c r="J52" s="3"/>
    </row>
    <row r="53">
      <c r="D53" s="3"/>
      <c r="G53" s="3"/>
      <c r="J53" s="3"/>
    </row>
    <row r="54">
      <c r="D54" s="3"/>
      <c r="G54" s="3"/>
      <c r="J54" s="3"/>
    </row>
    <row r="55">
      <c r="D55" s="3"/>
      <c r="G55" s="3"/>
      <c r="J55" s="3"/>
    </row>
    <row r="56">
      <c r="D56" s="3"/>
      <c r="G56" s="3"/>
      <c r="J56" s="3"/>
    </row>
    <row r="57">
      <c r="D57" s="3"/>
      <c r="G57" s="3"/>
      <c r="J57" s="3"/>
    </row>
    <row r="58">
      <c r="D58" s="3"/>
      <c r="G58" s="3"/>
      <c r="J58" s="3"/>
    </row>
    <row r="59">
      <c r="D59" s="3"/>
      <c r="G59" s="3"/>
      <c r="J59" s="3"/>
    </row>
    <row r="60">
      <c r="D60" s="3"/>
      <c r="G60" s="3"/>
      <c r="J60" s="3"/>
    </row>
    <row r="61">
      <c r="D61" s="3"/>
      <c r="G61" s="3"/>
      <c r="J61" s="3"/>
    </row>
    <row r="62">
      <c r="D62" s="3"/>
      <c r="G62" s="3"/>
      <c r="J62" s="3"/>
    </row>
    <row r="63">
      <c r="D63" s="3"/>
      <c r="G63" s="3"/>
      <c r="J63" s="3"/>
    </row>
    <row r="64">
      <c r="D64" s="3"/>
      <c r="G64" s="3"/>
      <c r="J64" s="3"/>
    </row>
    <row r="65">
      <c r="D65" s="3"/>
      <c r="G65" s="3"/>
      <c r="J65" s="3"/>
    </row>
    <row r="66">
      <c r="D66" s="3"/>
      <c r="G66" s="3"/>
      <c r="J66" s="3"/>
    </row>
    <row r="67">
      <c r="D67" s="3"/>
      <c r="G67" s="3"/>
      <c r="J67" s="3"/>
    </row>
    <row r="68">
      <c r="D68" s="3"/>
      <c r="G68" s="3"/>
      <c r="J68" s="3"/>
    </row>
    <row r="69">
      <c r="D69" s="3"/>
      <c r="G69" s="3"/>
      <c r="J69" s="3"/>
    </row>
    <row r="70">
      <c r="D70" s="3"/>
      <c r="G70" s="3"/>
      <c r="J70" s="3"/>
    </row>
    <row r="71">
      <c r="D71" s="3"/>
      <c r="G71" s="3"/>
      <c r="J71" s="3"/>
    </row>
    <row r="72">
      <c r="D72" s="3"/>
      <c r="G72" s="3"/>
      <c r="J72" s="3"/>
    </row>
    <row r="73">
      <c r="D73" s="3"/>
      <c r="G73" s="3"/>
      <c r="J73" s="3"/>
    </row>
    <row r="74">
      <c r="D74" s="3"/>
      <c r="G74" s="3"/>
      <c r="J74" s="3"/>
    </row>
    <row r="75">
      <c r="D75" s="3"/>
      <c r="G75" s="3"/>
      <c r="J75" s="3"/>
    </row>
    <row r="76">
      <c r="D76" s="3"/>
      <c r="G76" s="3"/>
      <c r="J76" s="3"/>
    </row>
    <row r="77">
      <c r="D77" s="3"/>
      <c r="G77" s="3"/>
      <c r="J77" s="3"/>
    </row>
    <row r="78">
      <c r="D78" s="3"/>
      <c r="G78" s="3"/>
      <c r="J78" s="3"/>
    </row>
    <row r="79">
      <c r="D79" s="3"/>
      <c r="G79" s="3"/>
      <c r="J79" s="3"/>
    </row>
    <row r="80">
      <c r="D80" s="3"/>
      <c r="G80" s="3"/>
      <c r="J80" s="3"/>
    </row>
    <row r="81">
      <c r="D81" s="3"/>
      <c r="G81" s="3"/>
      <c r="J81" s="3"/>
    </row>
    <row r="82">
      <c r="D82" s="3"/>
      <c r="G82" s="3"/>
      <c r="J82" s="3"/>
    </row>
    <row r="83">
      <c r="D83" s="3"/>
      <c r="G83" s="3"/>
      <c r="J83" s="3"/>
    </row>
    <row r="84">
      <c r="D84" s="3"/>
      <c r="G84" s="3"/>
      <c r="J84" s="3"/>
    </row>
    <row r="85">
      <c r="D85" s="3"/>
      <c r="G85" s="3"/>
      <c r="J85" s="3"/>
    </row>
    <row r="86">
      <c r="D86" s="3"/>
      <c r="G86" s="3"/>
      <c r="J86" s="3"/>
    </row>
    <row r="87">
      <c r="D87" s="3"/>
      <c r="G87" s="3"/>
      <c r="J87" s="3"/>
    </row>
    <row r="88">
      <c r="D88" s="3"/>
      <c r="G88" s="3"/>
      <c r="J88" s="3"/>
    </row>
    <row r="89">
      <c r="D89" s="3"/>
      <c r="G89" s="3"/>
      <c r="J89" s="3"/>
    </row>
    <row r="90">
      <c r="D90" s="3"/>
      <c r="G90" s="3"/>
      <c r="J90" s="3"/>
    </row>
    <row r="91">
      <c r="D91" s="3"/>
      <c r="G91" s="3"/>
      <c r="J91" s="3"/>
    </row>
    <row r="92">
      <c r="D92" s="3"/>
      <c r="G92" s="3"/>
      <c r="J92" s="3"/>
    </row>
    <row r="93">
      <c r="D93" s="3"/>
      <c r="G93" s="3"/>
      <c r="J93" s="3"/>
    </row>
    <row r="94">
      <c r="D94" s="3"/>
      <c r="G94" s="3"/>
      <c r="J94" s="3"/>
    </row>
    <row r="95">
      <c r="D95" s="3"/>
      <c r="G95" s="3"/>
      <c r="J95" s="3"/>
    </row>
    <row r="96">
      <c r="D96" s="3"/>
      <c r="G96" s="3"/>
      <c r="J96" s="3"/>
    </row>
    <row r="97">
      <c r="D97" s="3"/>
      <c r="G97" s="3"/>
      <c r="J97" s="3"/>
    </row>
    <row r="98">
      <c r="D98" s="3"/>
      <c r="G98" s="3"/>
      <c r="J98" s="3"/>
    </row>
    <row r="99">
      <c r="D99" s="3"/>
      <c r="G99" s="3"/>
      <c r="J99" s="3"/>
    </row>
    <row r="100">
      <c r="D100" s="3"/>
      <c r="G100" s="3"/>
      <c r="J100" s="3"/>
    </row>
    <row r="101">
      <c r="D101" s="3"/>
      <c r="G101" s="3"/>
      <c r="J101" s="3"/>
    </row>
    <row r="102">
      <c r="D102" s="3"/>
      <c r="G102" s="3"/>
      <c r="J102" s="3"/>
    </row>
    <row r="103">
      <c r="D103" s="3"/>
      <c r="G103" s="3"/>
      <c r="J103" s="3"/>
    </row>
    <row r="104">
      <c r="D104" s="3"/>
      <c r="G104" s="3"/>
      <c r="J104" s="3"/>
    </row>
    <row r="105">
      <c r="D105" s="3"/>
      <c r="G105" s="3"/>
      <c r="J105" s="3"/>
    </row>
    <row r="106">
      <c r="D106" s="3"/>
      <c r="G106" s="3"/>
      <c r="J106" s="3"/>
    </row>
    <row r="107">
      <c r="D107" s="3"/>
      <c r="G107" s="3"/>
      <c r="J107" s="3"/>
    </row>
    <row r="108">
      <c r="D108" s="3"/>
      <c r="G108" s="3"/>
      <c r="J108" s="3"/>
    </row>
    <row r="109">
      <c r="D109" s="3"/>
      <c r="G109" s="3"/>
      <c r="J109" s="3"/>
    </row>
    <row r="110">
      <c r="D110" s="3"/>
      <c r="G110" s="3"/>
      <c r="J110" s="3"/>
    </row>
    <row r="111">
      <c r="D111" s="3"/>
      <c r="G111" s="3"/>
      <c r="J111" s="3"/>
    </row>
    <row r="112">
      <c r="D112" s="3"/>
      <c r="G112" s="3"/>
      <c r="J112" s="3"/>
    </row>
    <row r="113">
      <c r="D113" s="3"/>
      <c r="G113" s="3"/>
      <c r="J113" s="3"/>
    </row>
    <row r="114">
      <c r="D114" s="3"/>
      <c r="G114" s="3"/>
      <c r="J114" s="3"/>
    </row>
    <row r="115">
      <c r="D115" s="3"/>
      <c r="G115" s="3"/>
      <c r="J115" s="3"/>
    </row>
    <row r="116">
      <c r="D116" s="3"/>
      <c r="G116" s="3"/>
      <c r="J116" s="3"/>
    </row>
    <row r="117">
      <c r="D117" s="3"/>
      <c r="G117" s="3"/>
      <c r="J117" s="3"/>
    </row>
    <row r="118">
      <c r="D118" s="3"/>
      <c r="G118" s="3"/>
      <c r="J118" s="3"/>
    </row>
    <row r="119">
      <c r="D119" s="3"/>
      <c r="G119" s="3"/>
      <c r="J119" s="3"/>
    </row>
    <row r="120">
      <c r="D120" s="3"/>
      <c r="G120" s="3"/>
      <c r="J120" s="3"/>
    </row>
    <row r="121">
      <c r="D121" s="3"/>
      <c r="G121" s="3"/>
      <c r="J121" s="3"/>
    </row>
    <row r="122">
      <c r="D122" s="3"/>
      <c r="G122" s="3"/>
      <c r="J122" s="3"/>
    </row>
    <row r="123">
      <c r="D123" s="3"/>
      <c r="G123" s="3"/>
      <c r="J123" s="3"/>
    </row>
    <row r="124">
      <c r="D124" s="3"/>
      <c r="G124" s="3"/>
      <c r="J124" s="3"/>
    </row>
    <row r="125">
      <c r="D125" s="3"/>
      <c r="G125" s="3"/>
      <c r="J125" s="3"/>
    </row>
    <row r="126">
      <c r="D126" s="3"/>
      <c r="G126" s="3"/>
      <c r="J126" s="3"/>
    </row>
    <row r="127">
      <c r="D127" s="3"/>
      <c r="G127" s="3"/>
      <c r="J127" s="3"/>
    </row>
    <row r="128">
      <c r="D128" s="3"/>
      <c r="G128" s="3"/>
      <c r="J128" s="3"/>
    </row>
    <row r="129">
      <c r="D129" s="3"/>
      <c r="G129" s="3"/>
      <c r="J129" s="3"/>
    </row>
    <row r="130">
      <c r="D130" s="3"/>
      <c r="G130" s="3"/>
      <c r="J130" s="3"/>
    </row>
    <row r="131">
      <c r="D131" s="3"/>
      <c r="G131" s="3"/>
      <c r="J131" s="3"/>
    </row>
    <row r="132">
      <c r="D132" s="3"/>
      <c r="G132" s="3"/>
      <c r="J132" s="3"/>
    </row>
    <row r="133">
      <c r="D133" s="3"/>
      <c r="G133" s="3"/>
      <c r="J133" s="3"/>
    </row>
    <row r="134">
      <c r="D134" s="3"/>
      <c r="G134" s="3"/>
      <c r="J134" s="3"/>
    </row>
    <row r="135">
      <c r="D135" s="3"/>
      <c r="G135" s="3"/>
      <c r="J135" s="3"/>
    </row>
    <row r="136">
      <c r="D136" s="3"/>
      <c r="G136" s="3"/>
      <c r="J136" s="3"/>
    </row>
    <row r="137">
      <c r="D137" s="3"/>
      <c r="G137" s="3"/>
      <c r="J137" s="3"/>
    </row>
    <row r="138">
      <c r="D138" s="3"/>
      <c r="G138" s="3"/>
      <c r="J138" s="3"/>
    </row>
    <row r="139">
      <c r="D139" s="3"/>
      <c r="G139" s="3"/>
      <c r="J139" s="3"/>
    </row>
    <row r="140">
      <c r="D140" s="3"/>
      <c r="G140" s="3"/>
      <c r="J140" s="3"/>
    </row>
    <row r="141">
      <c r="D141" s="3"/>
      <c r="G141" s="3"/>
      <c r="J141" s="3"/>
    </row>
    <row r="142">
      <c r="D142" s="3"/>
      <c r="G142" s="3"/>
      <c r="J142" s="3"/>
    </row>
    <row r="143">
      <c r="D143" s="3"/>
      <c r="G143" s="3"/>
      <c r="J143" s="3"/>
    </row>
    <row r="144">
      <c r="D144" s="3"/>
      <c r="G144" s="3"/>
      <c r="J144" s="3"/>
    </row>
    <row r="145">
      <c r="D145" s="3"/>
      <c r="G145" s="3"/>
      <c r="J145" s="3"/>
    </row>
    <row r="146">
      <c r="D146" s="3"/>
      <c r="G146" s="3"/>
      <c r="J146" s="3"/>
    </row>
    <row r="147">
      <c r="D147" s="3"/>
      <c r="G147" s="3"/>
      <c r="J147" s="3"/>
    </row>
    <row r="148">
      <c r="D148" s="3"/>
      <c r="G148" s="3"/>
      <c r="J148" s="3"/>
    </row>
    <row r="149">
      <c r="D149" s="3"/>
      <c r="G149" s="3"/>
      <c r="J149" s="3"/>
    </row>
    <row r="150">
      <c r="D150" s="3"/>
      <c r="G150" s="3"/>
      <c r="J150" s="3"/>
    </row>
    <row r="151">
      <c r="D151" s="3"/>
      <c r="G151" s="3"/>
      <c r="J151" s="3"/>
    </row>
    <row r="152">
      <c r="D152" s="3"/>
      <c r="G152" s="3"/>
      <c r="J152" s="3"/>
    </row>
    <row r="153">
      <c r="D153" s="3"/>
      <c r="G153" s="3"/>
      <c r="J153" s="3"/>
    </row>
    <row r="154">
      <c r="D154" s="3"/>
      <c r="G154" s="3"/>
      <c r="J154" s="3"/>
    </row>
    <row r="155">
      <c r="D155" s="3"/>
      <c r="G155" s="3"/>
      <c r="J155" s="3"/>
    </row>
    <row r="156">
      <c r="D156" s="3"/>
      <c r="G156" s="3"/>
      <c r="J156" s="3"/>
    </row>
    <row r="157">
      <c r="D157" s="3"/>
      <c r="G157" s="3"/>
      <c r="J157" s="3"/>
    </row>
    <row r="158">
      <c r="D158" s="3"/>
      <c r="G158" s="3"/>
      <c r="J158" s="3"/>
    </row>
    <row r="159">
      <c r="D159" s="3"/>
      <c r="G159" s="3"/>
      <c r="J159" s="3"/>
    </row>
    <row r="160">
      <c r="D160" s="3"/>
      <c r="G160" s="3"/>
      <c r="J160" s="3"/>
    </row>
    <row r="161">
      <c r="D161" s="3"/>
      <c r="G161" s="3"/>
      <c r="J161" s="3"/>
    </row>
    <row r="162">
      <c r="D162" s="3"/>
      <c r="G162" s="3"/>
      <c r="J162" s="3"/>
    </row>
    <row r="163">
      <c r="D163" s="3"/>
      <c r="G163" s="3"/>
      <c r="J163" s="3"/>
    </row>
    <row r="164">
      <c r="D164" s="3"/>
      <c r="G164" s="3"/>
      <c r="J164" s="3"/>
    </row>
    <row r="165">
      <c r="D165" s="3"/>
      <c r="G165" s="3"/>
      <c r="J165" s="3"/>
    </row>
    <row r="166">
      <c r="D166" s="3"/>
      <c r="G166" s="3"/>
      <c r="J166" s="3"/>
    </row>
    <row r="167">
      <c r="D167" s="3"/>
      <c r="G167" s="3"/>
      <c r="J167" s="3"/>
    </row>
    <row r="168">
      <c r="D168" s="3"/>
      <c r="G168" s="3"/>
      <c r="J168" s="3"/>
    </row>
    <row r="169">
      <c r="D169" s="3"/>
      <c r="G169" s="3"/>
      <c r="J169" s="3"/>
    </row>
    <row r="170">
      <c r="D170" s="3"/>
      <c r="G170" s="3"/>
      <c r="J170" s="3"/>
    </row>
    <row r="171">
      <c r="D171" s="3"/>
      <c r="G171" s="3"/>
      <c r="J171" s="3"/>
    </row>
    <row r="172">
      <c r="D172" s="3"/>
      <c r="G172" s="3"/>
      <c r="J172" s="3"/>
    </row>
    <row r="173">
      <c r="D173" s="3"/>
      <c r="G173" s="3"/>
      <c r="J173" s="3"/>
    </row>
    <row r="174">
      <c r="D174" s="3"/>
      <c r="G174" s="3"/>
      <c r="J174" s="3"/>
    </row>
    <row r="175">
      <c r="D175" s="3"/>
      <c r="G175" s="3"/>
      <c r="J175" s="3"/>
    </row>
    <row r="176">
      <c r="D176" s="3"/>
      <c r="G176" s="3"/>
      <c r="J176" s="3"/>
    </row>
    <row r="177">
      <c r="D177" s="3"/>
      <c r="G177" s="3"/>
      <c r="J177" s="3"/>
    </row>
    <row r="178">
      <c r="D178" s="3"/>
      <c r="G178" s="3"/>
      <c r="J178" s="3"/>
    </row>
    <row r="179">
      <c r="D179" s="3"/>
      <c r="G179" s="3"/>
      <c r="J179" s="3"/>
    </row>
    <row r="180">
      <c r="D180" s="3"/>
      <c r="G180" s="3"/>
      <c r="J180" s="3"/>
    </row>
    <row r="181">
      <c r="D181" s="3"/>
      <c r="G181" s="3"/>
      <c r="J181" s="3"/>
    </row>
    <row r="182">
      <c r="D182" s="3"/>
      <c r="G182" s="3"/>
      <c r="J182" s="3"/>
    </row>
    <row r="183">
      <c r="D183" s="3"/>
      <c r="G183" s="3"/>
      <c r="J183" s="3"/>
    </row>
    <row r="184">
      <c r="D184" s="3"/>
      <c r="G184" s="3"/>
      <c r="J184" s="3"/>
    </row>
    <row r="185">
      <c r="D185" s="3"/>
      <c r="G185" s="3"/>
      <c r="J185" s="3"/>
    </row>
    <row r="186">
      <c r="D186" s="3"/>
      <c r="G186" s="3"/>
      <c r="J186" s="3"/>
    </row>
    <row r="187">
      <c r="D187" s="3"/>
      <c r="G187" s="3"/>
      <c r="J187" s="3"/>
    </row>
    <row r="188">
      <c r="D188" s="3"/>
      <c r="G188" s="3"/>
      <c r="J188" s="3"/>
    </row>
    <row r="189">
      <c r="D189" s="3"/>
      <c r="G189" s="3"/>
      <c r="J189" s="3"/>
    </row>
    <row r="190">
      <c r="D190" s="3"/>
      <c r="G190" s="3"/>
      <c r="J190" s="3"/>
    </row>
    <row r="191">
      <c r="D191" s="3"/>
      <c r="G191" s="3"/>
      <c r="J191" s="3"/>
    </row>
    <row r="192">
      <c r="D192" s="3"/>
      <c r="G192" s="3"/>
      <c r="J192" s="3"/>
    </row>
    <row r="193">
      <c r="D193" s="3"/>
      <c r="G193" s="3"/>
      <c r="J193" s="3"/>
    </row>
    <row r="194">
      <c r="D194" s="3"/>
      <c r="G194" s="3"/>
      <c r="J194" s="3"/>
    </row>
    <row r="195">
      <c r="D195" s="3"/>
      <c r="G195" s="3"/>
      <c r="J195" s="3"/>
    </row>
    <row r="196">
      <c r="D196" s="3"/>
      <c r="G196" s="3"/>
      <c r="J196" s="3"/>
    </row>
    <row r="197">
      <c r="D197" s="3"/>
      <c r="G197" s="3"/>
      <c r="J197" s="3"/>
    </row>
    <row r="198">
      <c r="D198" s="3"/>
      <c r="G198" s="3"/>
      <c r="J198" s="3"/>
    </row>
    <row r="199">
      <c r="D199" s="3"/>
      <c r="G199" s="3"/>
      <c r="J199" s="3"/>
    </row>
    <row r="200">
      <c r="D200" s="3"/>
      <c r="G200" s="3"/>
      <c r="J200" s="3"/>
    </row>
    <row r="201">
      <c r="D201" s="3"/>
      <c r="G201" s="3"/>
      <c r="J201" s="3"/>
    </row>
    <row r="202">
      <c r="D202" s="3"/>
      <c r="G202" s="3"/>
      <c r="J202" s="3"/>
    </row>
    <row r="203">
      <c r="D203" s="3"/>
      <c r="G203" s="3"/>
      <c r="J203" s="3"/>
    </row>
    <row r="204">
      <c r="D204" s="3"/>
      <c r="G204" s="3"/>
      <c r="J204" s="3"/>
    </row>
    <row r="205">
      <c r="D205" s="3"/>
      <c r="G205" s="3"/>
      <c r="J205" s="3"/>
    </row>
    <row r="206">
      <c r="D206" s="3"/>
      <c r="G206" s="3"/>
      <c r="J206" s="3"/>
    </row>
    <row r="207">
      <c r="D207" s="3"/>
      <c r="G207" s="3"/>
      <c r="J207" s="3"/>
    </row>
    <row r="208">
      <c r="D208" s="3"/>
      <c r="G208" s="3"/>
      <c r="J208" s="3"/>
    </row>
    <row r="209">
      <c r="D209" s="3"/>
      <c r="G209" s="3"/>
      <c r="J209" s="3"/>
    </row>
    <row r="210">
      <c r="D210" s="3"/>
      <c r="G210" s="3"/>
      <c r="J210" s="3"/>
    </row>
    <row r="211">
      <c r="D211" s="3"/>
      <c r="G211" s="3"/>
      <c r="J211" s="3"/>
    </row>
    <row r="212">
      <c r="D212" s="3"/>
      <c r="G212" s="3"/>
      <c r="J212" s="3"/>
    </row>
    <row r="213">
      <c r="D213" s="3"/>
      <c r="G213" s="3"/>
      <c r="J213" s="3"/>
    </row>
    <row r="214">
      <c r="D214" s="3"/>
      <c r="G214" s="3"/>
      <c r="J214" s="3"/>
    </row>
    <row r="215">
      <c r="D215" s="3"/>
      <c r="G215" s="3"/>
      <c r="J215" s="3"/>
    </row>
    <row r="216">
      <c r="D216" s="3"/>
      <c r="G216" s="3"/>
      <c r="J216" s="3"/>
    </row>
    <row r="217">
      <c r="D217" s="3"/>
      <c r="G217" s="3"/>
      <c r="J217" s="3"/>
    </row>
    <row r="218">
      <c r="D218" s="3"/>
      <c r="G218" s="3"/>
      <c r="J218" s="3"/>
    </row>
    <row r="219">
      <c r="D219" s="3"/>
      <c r="G219" s="3"/>
      <c r="J219" s="3"/>
    </row>
    <row r="220">
      <c r="D220" s="3"/>
      <c r="G220" s="3"/>
      <c r="J220" s="3"/>
    </row>
    <row r="221">
      <c r="D221" s="3"/>
      <c r="G221" s="3"/>
      <c r="J221" s="3"/>
    </row>
    <row r="222">
      <c r="D222" s="3"/>
      <c r="G222" s="3"/>
      <c r="J222" s="3"/>
    </row>
    <row r="223">
      <c r="D223" s="3"/>
      <c r="G223" s="3"/>
      <c r="J223" s="3"/>
    </row>
    <row r="224">
      <c r="D224" s="3"/>
      <c r="G224" s="3"/>
      <c r="J224" s="3"/>
    </row>
    <row r="225">
      <c r="D225" s="3"/>
      <c r="G225" s="3"/>
      <c r="J225" s="3"/>
    </row>
    <row r="226">
      <c r="D226" s="3"/>
      <c r="G226" s="3"/>
      <c r="J226" s="3"/>
    </row>
    <row r="227">
      <c r="D227" s="3"/>
      <c r="G227" s="3"/>
      <c r="J227" s="3"/>
    </row>
    <row r="228">
      <c r="D228" s="3"/>
      <c r="G228" s="3"/>
      <c r="J228" s="3"/>
    </row>
    <row r="229">
      <c r="D229" s="3"/>
      <c r="G229" s="3"/>
      <c r="J229" s="3"/>
    </row>
    <row r="230">
      <c r="D230" s="3"/>
      <c r="G230" s="3"/>
      <c r="J230" s="3"/>
    </row>
    <row r="231">
      <c r="D231" s="3"/>
      <c r="G231" s="3"/>
      <c r="J231" s="3"/>
    </row>
    <row r="232">
      <c r="D232" s="3"/>
      <c r="G232" s="3"/>
      <c r="J232" s="3"/>
    </row>
    <row r="233">
      <c r="D233" s="3"/>
      <c r="G233" s="3"/>
      <c r="J233" s="3"/>
    </row>
    <row r="234">
      <c r="D234" s="3"/>
      <c r="G234" s="3"/>
      <c r="J234" s="3"/>
    </row>
    <row r="235">
      <c r="D235" s="3"/>
      <c r="G235" s="3"/>
      <c r="J235" s="3"/>
    </row>
    <row r="236">
      <c r="D236" s="3"/>
      <c r="G236" s="3"/>
      <c r="J236" s="3"/>
    </row>
    <row r="237">
      <c r="D237" s="3"/>
      <c r="G237" s="3"/>
      <c r="J237" s="3"/>
    </row>
    <row r="238">
      <c r="D238" s="3"/>
      <c r="G238" s="3"/>
      <c r="J238" s="3"/>
    </row>
    <row r="239">
      <c r="D239" s="3"/>
      <c r="G239" s="3"/>
      <c r="J239" s="3"/>
    </row>
    <row r="240">
      <c r="D240" s="3"/>
      <c r="G240" s="3"/>
      <c r="J240" s="3"/>
    </row>
    <row r="241">
      <c r="D241" s="3"/>
      <c r="G241" s="3"/>
      <c r="J241" s="3"/>
    </row>
    <row r="242">
      <c r="D242" s="3"/>
      <c r="G242" s="3"/>
      <c r="J242" s="3"/>
    </row>
    <row r="243">
      <c r="D243" s="3"/>
      <c r="G243" s="3"/>
      <c r="J243" s="3"/>
    </row>
    <row r="244">
      <c r="D244" s="3"/>
      <c r="G244" s="3"/>
      <c r="J244" s="3"/>
    </row>
    <row r="245">
      <c r="D245" s="3"/>
      <c r="G245" s="3"/>
      <c r="J245" s="3"/>
    </row>
    <row r="246">
      <c r="D246" s="3"/>
      <c r="G246" s="3"/>
      <c r="J246" s="3"/>
    </row>
    <row r="247">
      <c r="D247" s="3"/>
      <c r="G247" s="3"/>
      <c r="J247" s="3"/>
    </row>
    <row r="248">
      <c r="D248" s="3"/>
      <c r="G248" s="3"/>
      <c r="J248" s="3"/>
    </row>
    <row r="249">
      <c r="D249" s="3"/>
      <c r="G249" s="3"/>
      <c r="J249" s="3"/>
    </row>
    <row r="250">
      <c r="D250" s="3"/>
      <c r="G250" s="3"/>
      <c r="J250" s="3"/>
    </row>
    <row r="251">
      <c r="D251" s="3"/>
      <c r="G251" s="3"/>
      <c r="J251" s="3"/>
    </row>
    <row r="252">
      <c r="D252" s="3"/>
      <c r="G252" s="3"/>
      <c r="J252" s="3"/>
    </row>
    <row r="253">
      <c r="D253" s="3"/>
      <c r="G253" s="3"/>
      <c r="J253" s="3"/>
    </row>
    <row r="254">
      <c r="D254" s="3"/>
      <c r="G254" s="3"/>
      <c r="J254" s="3"/>
    </row>
    <row r="255">
      <c r="D255" s="3"/>
      <c r="G255" s="3"/>
      <c r="J255" s="3"/>
    </row>
    <row r="256">
      <c r="D256" s="3"/>
      <c r="G256" s="3"/>
      <c r="J256" s="3"/>
    </row>
    <row r="257">
      <c r="D257" s="3"/>
      <c r="G257" s="3"/>
      <c r="J257" s="3"/>
    </row>
    <row r="258">
      <c r="D258" s="3"/>
      <c r="G258" s="3"/>
      <c r="J258" s="3"/>
    </row>
    <row r="259">
      <c r="D259" s="3"/>
      <c r="G259" s="3"/>
      <c r="J259" s="3"/>
    </row>
    <row r="260">
      <c r="D260" s="3"/>
      <c r="G260" s="3"/>
      <c r="J260" s="3"/>
    </row>
    <row r="261">
      <c r="D261" s="3"/>
      <c r="G261" s="3"/>
      <c r="J261" s="3"/>
    </row>
    <row r="262">
      <c r="D262" s="3"/>
      <c r="G262" s="3"/>
      <c r="J262" s="3"/>
    </row>
    <row r="263">
      <c r="D263" s="3"/>
      <c r="G263" s="3"/>
      <c r="J263" s="3"/>
    </row>
    <row r="264">
      <c r="D264" s="3"/>
      <c r="G264" s="3"/>
      <c r="J264" s="3"/>
    </row>
    <row r="265">
      <c r="D265" s="3"/>
      <c r="G265" s="3"/>
      <c r="J265" s="3"/>
    </row>
    <row r="266">
      <c r="D266" s="3"/>
      <c r="G266" s="3"/>
      <c r="J266" s="3"/>
    </row>
    <row r="267">
      <c r="D267" s="3"/>
      <c r="G267" s="3"/>
      <c r="J267" s="3"/>
    </row>
    <row r="268">
      <c r="D268" s="3"/>
      <c r="G268" s="3"/>
      <c r="J268" s="3"/>
    </row>
    <row r="269">
      <c r="D269" s="3"/>
      <c r="G269" s="3"/>
      <c r="J269" s="3"/>
    </row>
    <row r="270">
      <c r="D270" s="3"/>
      <c r="G270" s="3"/>
      <c r="J270" s="3"/>
    </row>
    <row r="271">
      <c r="D271" s="3"/>
      <c r="G271" s="3"/>
      <c r="J271" s="3"/>
    </row>
    <row r="272">
      <c r="D272" s="3"/>
      <c r="G272" s="3"/>
      <c r="J272" s="3"/>
    </row>
    <row r="273">
      <c r="D273" s="3"/>
      <c r="G273" s="3"/>
      <c r="J273" s="3"/>
    </row>
    <row r="274">
      <c r="D274" s="3"/>
      <c r="G274" s="3"/>
      <c r="J274" s="3"/>
    </row>
    <row r="275">
      <c r="D275" s="3"/>
      <c r="G275" s="3"/>
      <c r="J275" s="3"/>
    </row>
    <row r="276">
      <c r="D276" s="3"/>
      <c r="G276" s="3"/>
      <c r="J276" s="3"/>
    </row>
    <row r="277">
      <c r="D277" s="3"/>
      <c r="G277" s="3"/>
      <c r="J277" s="3"/>
    </row>
    <row r="278">
      <c r="D278" s="3"/>
      <c r="G278" s="3"/>
      <c r="J278" s="3"/>
    </row>
    <row r="279">
      <c r="D279" s="3"/>
      <c r="G279" s="3"/>
      <c r="J279" s="3"/>
    </row>
    <row r="280">
      <c r="D280" s="3"/>
      <c r="G280" s="3"/>
      <c r="J280" s="3"/>
    </row>
    <row r="281">
      <c r="D281" s="3"/>
      <c r="G281" s="3"/>
      <c r="J281" s="3"/>
    </row>
    <row r="282">
      <c r="D282" s="3"/>
      <c r="G282" s="3"/>
      <c r="J282" s="3"/>
    </row>
    <row r="283">
      <c r="D283" s="3"/>
      <c r="G283" s="3"/>
      <c r="J283" s="3"/>
    </row>
    <row r="284">
      <c r="D284" s="3"/>
      <c r="G284" s="3"/>
      <c r="J284" s="3"/>
    </row>
    <row r="285">
      <c r="D285" s="3"/>
      <c r="G285" s="3"/>
      <c r="J285" s="3"/>
    </row>
    <row r="286">
      <c r="D286" s="3"/>
      <c r="G286" s="3"/>
      <c r="J286" s="3"/>
    </row>
    <row r="287">
      <c r="D287" s="3"/>
      <c r="G287" s="3"/>
      <c r="J287" s="3"/>
    </row>
    <row r="288">
      <c r="D288" s="3"/>
      <c r="G288" s="3"/>
      <c r="J288" s="3"/>
    </row>
    <row r="289">
      <c r="D289" s="3"/>
      <c r="G289" s="3"/>
      <c r="J289" s="3"/>
    </row>
    <row r="290">
      <c r="D290" s="3"/>
      <c r="G290" s="3"/>
      <c r="J290" s="3"/>
    </row>
    <row r="291">
      <c r="D291" s="3"/>
      <c r="G291" s="3"/>
      <c r="J291" s="3"/>
    </row>
    <row r="292">
      <c r="D292" s="3"/>
      <c r="G292" s="3"/>
      <c r="J292" s="3"/>
    </row>
    <row r="293">
      <c r="D293" s="3"/>
      <c r="G293" s="3"/>
      <c r="J293" s="3"/>
    </row>
    <row r="294">
      <c r="D294" s="3"/>
      <c r="G294" s="3"/>
      <c r="J294" s="3"/>
    </row>
    <row r="295">
      <c r="D295" s="3"/>
      <c r="G295" s="3"/>
      <c r="J295" s="3"/>
    </row>
    <row r="296">
      <c r="D296" s="3"/>
      <c r="G296" s="3"/>
      <c r="J296" s="3"/>
    </row>
    <row r="297">
      <c r="D297" s="3"/>
      <c r="G297" s="3"/>
      <c r="J297" s="3"/>
    </row>
    <row r="298">
      <c r="D298" s="3"/>
      <c r="G298" s="3"/>
      <c r="J298" s="3"/>
    </row>
    <row r="299">
      <c r="D299" s="3"/>
      <c r="G299" s="3"/>
      <c r="J299" s="3"/>
    </row>
    <row r="300">
      <c r="D300" s="3"/>
      <c r="G300" s="3"/>
      <c r="J300" s="3"/>
    </row>
    <row r="301">
      <c r="D301" s="3"/>
      <c r="G301" s="3"/>
      <c r="J301" s="3"/>
    </row>
    <row r="302">
      <c r="D302" s="3"/>
      <c r="G302" s="3"/>
      <c r="J302" s="3"/>
    </row>
    <row r="303">
      <c r="D303" s="3"/>
      <c r="G303" s="3"/>
      <c r="J303" s="3"/>
    </row>
    <row r="304">
      <c r="D304" s="3"/>
      <c r="G304" s="3"/>
      <c r="J304" s="3"/>
    </row>
    <row r="305">
      <c r="D305" s="3"/>
      <c r="G305" s="3"/>
      <c r="J305" s="3"/>
    </row>
    <row r="306">
      <c r="D306" s="3"/>
      <c r="G306" s="3"/>
      <c r="J306" s="3"/>
    </row>
    <row r="307">
      <c r="D307" s="3"/>
      <c r="G307" s="3"/>
      <c r="J307" s="3"/>
    </row>
    <row r="308">
      <c r="D308" s="3"/>
      <c r="G308" s="3"/>
      <c r="J308" s="3"/>
    </row>
    <row r="309">
      <c r="D309" s="3"/>
      <c r="G309" s="3"/>
      <c r="J309" s="3"/>
    </row>
    <row r="310">
      <c r="D310" s="3"/>
      <c r="G310" s="3"/>
      <c r="J310" s="3"/>
    </row>
    <row r="311">
      <c r="D311" s="3"/>
      <c r="G311" s="3"/>
      <c r="J311" s="3"/>
    </row>
    <row r="312">
      <c r="D312" s="3"/>
      <c r="G312" s="3"/>
      <c r="J312" s="3"/>
    </row>
    <row r="313">
      <c r="D313" s="3"/>
      <c r="G313" s="3"/>
      <c r="J313" s="3"/>
    </row>
    <row r="314">
      <c r="D314" s="3"/>
      <c r="G314" s="3"/>
      <c r="J314" s="3"/>
    </row>
    <row r="315">
      <c r="D315" s="3"/>
      <c r="G315" s="3"/>
      <c r="J315" s="3"/>
    </row>
    <row r="316">
      <c r="D316" s="3"/>
      <c r="G316" s="3"/>
      <c r="J316" s="3"/>
    </row>
    <row r="317">
      <c r="D317" s="3"/>
      <c r="G317" s="3"/>
      <c r="J317" s="3"/>
    </row>
    <row r="318">
      <c r="D318" s="3"/>
      <c r="G318" s="3"/>
      <c r="J318" s="3"/>
    </row>
    <row r="319">
      <c r="D319" s="3"/>
      <c r="G319" s="3"/>
      <c r="J319" s="3"/>
    </row>
    <row r="320">
      <c r="D320" s="3"/>
      <c r="G320" s="3"/>
      <c r="J320" s="3"/>
    </row>
    <row r="321">
      <c r="D321" s="3"/>
      <c r="G321" s="3"/>
      <c r="J321" s="3"/>
    </row>
    <row r="322">
      <c r="D322" s="3"/>
      <c r="G322" s="3"/>
      <c r="J322" s="3"/>
    </row>
    <row r="323">
      <c r="D323" s="3"/>
      <c r="G323" s="3"/>
      <c r="J323" s="3"/>
    </row>
    <row r="324">
      <c r="D324" s="3"/>
      <c r="G324" s="3"/>
      <c r="J324" s="3"/>
    </row>
    <row r="325">
      <c r="D325" s="3"/>
      <c r="G325" s="3"/>
      <c r="J325" s="3"/>
    </row>
    <row r="326">
      <c r="D326" s="3"/>
      <c r="G326" s="3"/>
      <c r="J326" s="3"/>
    </row>
    <row r="327">
      <c r="D327" s="3"/>
      <c r="G327" s="3"/>
      <c r="J327" s="3"/>
    </row>
    <row r="328">
      <c r="D328" s="3"/>
      <c r="G328" s="3"/>
      <c r="J328" s="3"/>
    </row>
    <row r="329">
      <c r="D329" s="3"/>
      <c r="G329" s="3"/>
      <c r="J329" s="3"/>
    </row>
    <row r="330">
      <c r="D330" s="3"/>
      <c r="G330" s="3"/>
      <c r="J330" s="3"/>
    </row>
    <row r="331">
      <c r="D331" s="3"/>
      <c r="G331" s="3"/>
      <c r="J331" s="3"/>
    </row>
    <row r="332">
      <c r="D332" s="3"/>
      <c r="G332" s="3"/>
      <c r="J332" s="3"/>
    </row>
    <row r="333">
      <c r="D333" s="3"/>
      <c r="G333" s="3"/>
      <c r="J333" s="3"/>
    </row>
    <row r="334">
      <c r="D334" s="3"/>
      <c r="G334" s="3"/>
      <c r="J334" s="3"/>
    </row>
    <row r="335">
      <c r="D335" s="3"/>
      <c r="G335" s="3"/>
      <c r="J335" s="3"/>
    </row>
    <row r="336">
      <c r="D336" s="3"/>
      <c r="G336" s="3"/>
      <c r="J336" s="3"/>
    </row>
    <row r="337">
      <c r="D337" s="3"/>
      <c r="G337" s="3"/>
      <c r="J337" s="3"/>
    </row>
    <row r="338">
      <c r="D338" s="3"/>
      <c r="G338" s="3"/>
      <c r="J338" s="3"/>
    </row>
    <row r="339">
      <c r="D339" s="3"/>
      <c r="G339" s="3"/>
      <c r="J339" s="3"/>
    </row>
    <row r="340">
      <c r="D340" s="3"/>
      <c r="G340" s="3"/>
      <c r="J340" s="3"/>
    </row>
    <row r="341">
      <c r="D341" s="3"/>
      <c r="G341" s="3"/>
      <c r="J341" s="3"/>
    </row>
    <row r="342">
      <c r="D342" s="3"/>
      <c r="G342" s="3"/>
      <c r="J342" s="3"/>
    </row>
    <row r="343">
      <c r="D343" s="3"/>
      <c r="G343" s="3"/>
      <c r="J343" s="3"/>
    </row>
    <row r="344">
      <c r="D344" s="3"/>
      <c r="G344" s="3"/>
      <c r="J344" s="3"/>
    </row>
    <row r="345">
      <c r="D345" s="3"/>
      <c r="G345" s="3"/>
      <c r="J345" s="3"/>
    </row>
    <row r="346">
      <c r="D346" s="3"/>
      <c r="G346" s="3"/>
      <c r="J346" s="3"/>
    </row>
    <row r="347">
      <c r="D347" s="3"/>
      <c r="G347" s="3"/>
      <c r="J347" s="3"/>
    </row>
    <row r="348">
      <c r="D348" s="3"/>
      <c r="G348" s="3"/>
      <c r="J348" s="3"/>
    </row>
    <row r="349">
      <c r="D349" s="3"/>
      <c r="G349" s="3"/>
      <c r="J349" s="3"/>
    </row>
    <row r="350">
      <c r="D350" s="3"/>
      <c r="G350" s="3"/>
      <c r="J350" s="3"/>
    </row>
    <row r="351">
      <c r="D351" s="3"/>
      <c r="G351" s="3"/>
      <c r="J351" s="3"/>
    </row>
    <row r="352">
      <c r="D352" s="3"/>
      <c r="G352" s="3"/>
      <c r="J352" s="3"/>
    </row>
    <row r="353">
      <c r="D353" s="3"/>
      <c r="G353" s="3"/>
      <c r="J353" s="3"/>
    </row>
    <row r="354">
      <c r="D354" s="3"/>
      <c r="G354" s="3"/>
      <c r="J354" s="3"/>
    </row>
    <row r="355">
      <c r="D355" s="3"/>
      <c r="G355" s="3"/>
      <c r="J355" s="3"/>
    </row>
    <row r="356">
      <c r="D356" s="3"/>
      <c r="G356" s="3"/>
      <c r="J356" s="3"/>
    </row>
    <row r="357">
      <c r="D357" s="3"/>
      <c r="G357" s="3"/>
      <c r="J357" s="3"/>
    </row>
    <row r="358">
      <c r="D358" s="3"/>
      <c r="G358" s="3"/>
      <c r="J358" s="3"/>
    </row>
    <row r="359">
      <c r="D359" s="3"/>
      <c r="G359" s="3"/>
      <c r="J359" s="3"/>
    </row>
    <row r="360">
      <c r="D360" s="3"/>
      <c r="G360" s="3"/>
      <c r="J360" s="3"/>
    </row>
    <row r="361">
      <c r="D361" s="3"/>
      <c r="G361" s="3"/>
      <c r="J361" s="3"/>
    </row>
    <row r="362">
      <c r="D362" s="3"/>
      <c r="G362" s="3"/>
      <c r="J362" s="3"/>
    </row>
    <row r="363">
      <c r="D363" s="3"/>
      <c r="G363" s="3"/>
      <c r="J363" s="3"/>
    </row>
    <row r="364">
      <c r="D364" s="3"/>
      <c r="G364" s="3"/>
      <c r="J364" s="3"/>
    </row>
    <row r="365">
      <c r="D365" s="3"/>
      <c r="G365" s="3"/>
      <c r="J365" s="3"/>
    </row>
    <row r="366">
      <c r="D366" s="3"/>
      <c r="G366" s="3"/>
      <c r="J366" s="3"/>
    </row>
    <row r="367">
      <c r="D367" s="3"/>
      <c r="G367" s="3"/>
      <c r="J367" s="3"/>
    </row>
    <row r="368">
      <c r="D368" s="3"/>
      <c r="G368" s="3"/>
      <c r="J368" s="3"/>
    </row>
    <row r="369">
      <c r="D369" s="3"/>
      <c r="G369" s="3"/>
      <c r="J369" s="3"/>
    </row>
    <row r="370">
      <c r="D370" s="3"/>
      <c r="G370" s="3"/>
      <c r="J370" s="3"/>
    </row>
    <row r="371">
      <c r="D371" s="3"/>
      <c r="G371" s="3"/>
      <c r="J371" s="3"/>
    </row>
    <row r="372">
      <c r="D372" s="3"/>
      <c r="G372" s="3"/>
      <c r="J372" s="3"/>
    </row>
    <row r="373">
      <c r="D373" s="3"/>
      <c r="G373" s="3"/>
      <c r="J373" s="3"/>
    </row>
    <row r="374">
      <c r="D374" s="3"/>
      <c r="G374" s="3"/>
      <c r="J374" s="3"/>
    </row>
    <row r="375">
      <c r="D375" s="3"/>
      <c r="G375" s="3"/>
      <c r="J375" s="3"/>
    </row>
    <row r="376">
      <c r="D376" s="3"/>
      <c r="G376" s="3"/>
      <c r="J376" s="3"/>
    </row>
    <row r="377">
      <c r="D377" s="3"/>
      <c r="G377" s="3"/>
      <c r="J377" s="3"/>
    </row>
    <row r="378">
      <c r="D378" s="3"/>
      <c r="G378" s="3"/>
      <c r="J378" s="3"/>
    </row>
    <row r="379">
      <c r="D379" s="3"/>
      <c r="G379" s="3"/>
      <c r="J379" s="3"/>
    </row>
    <row r="380">
      <c r="D380" s="3"/>
      <c r="G380" s="3"/>
      <c r="J380" s="3"/>
    </row>
    <row r="381">
      <c r="D381" s="3"/>
      <c r="G381" s="3"/>
      <c r="J381" s="3"/>
    </row>
    <row r="382">
      <c r="D382" s="3"/>
      <c r="G382" s="3"/>
      <c r="J382" s="3"/>
    </row>
    <row r="383">
      <c r="D383" s="3"/>
      <c r="G383" s="3"/>
      <c r="J383" s="3"/>
    </row>
    <row r="384">
      <c r="D384" s="3"/>
      <c r="G384" s="3"/>
      <c r="J384" s="3"/>
    </row>
    <row r="385">
      <c r="D385" s="3"/>
      <c r="G385" s="3"/>
      <c r="J385" s="3"/>
    </row>
    <row r="386">
      <c r="D386" s="3"/>
      <c r="G386" s="3"/>
      <c r="J386" s="3"/>
    </row>
    <row r="387">
      <c r="D387" s="3"/>
      <c r="G387" s="3"/>
      <c r="J387" s="3"/>
    </row>
    <row r="388">
      <c r="D388" s="3"/>
      <c r="G388" s="3"/>
      <c r="J388" s="3"/>
    </row>
    <row r="389">
      <c r="D389" s="3"/>
      <c r="G389" s="3"/>
      <c r="J389" s="3"/>
    </row>
    <row r="390">
      <c r="D390" s="3"/>
      <c r="G390" s="3"/>
      <c r="J390" s="3"/>
    </row>
    <row r="391">
      <c r="D391" s="3"/>
      <c r="G391" s="3"/>
      <c r="J391" s="3"/>
    </row>
    <row r="392">
      <c r="D392" s="3"/>
      <c r="G392" s="3"/>
      <c r="J392" s="3"/>
    </row>
    <row r="393">
      <c r="D393" s="3"/>
      <c r="G393" s="3"/>
      <c r="J393" s="3"/>
    </row>
    <row r="394">
      <c r="D394" s="3"/>
      <c r="G394" s="3"/>
      <c r="J394" s="3"/>
    </row>
    <row r="395">
      <c r="D395" s="3"/>
      <c r="G395" s="3"/>
      <c r="J395" s="3"/>
    </row>
    <row r="396">
      <c r="D396" s="3"/>
      <c r="G396" s="3"/>
      <c r="J396" s="3"/>
    </row>
    <row r="397">
      <c r="D397" s="3"/>
      <c r="G397" s="3"/>
      <c r="J397" s="3"/>
    </row>
    <row r="398">
      <c r="D398" s="3"/>
      <c r="G398" s="3"/>
      <c r="J398" s="3"/>
    </row>
    <row r="399">
      <c r="D399" s="3"/>
      <c r="G399" s="3"/>
      <c r="J399" s="3"/>
    </row>
    <row r="400">
      <c r="D400" s="3"/>
      <c r="G400" s="3"/>
      <c r="J400" s="3"/>
    </row>
    <row r="401">
      <c r="D401" s="3"/>
      <c r="G401" s="3"/>
      <c r="J401" s="3"/>
    </row>
    <row r="402">
      <c r="D402" s="3"/>
      <c r="G402" s="3"/>
      <c r="J402" s="3"/>
    </row>
    <row r="403">
      <c r="D403" s="3"/>
      <c r="G403" s="3"/>
      <c r="J403" s="3"/>
    </row>
    <row r="404">
      <c r="D404" s="3"/>
      <c r="G404" s="3"/>
      <c r="J404" s="3"/>
    </row>
    <row r="405">
      <c r="D405" s="3"/>
      <c r="G405" s="3"/>
      <c r="J405" s="3"/>
    </row>
    <row r="406">
      <c r="D406" s="3"/>
      <c r="G406" s="3"/>
      <c r="J406" s="3"/>
    </row>
    <row r="407">
      <c r="D407" s="3"/>
      <c r="G407" s="3"/>
      <c r="J407" s="3"/>
    </row>
    <row r="408">
      <c r="D408" s="3"/>
      <c r="G408" s="3"/>
      <c r="J408" s="3"/>
    </row>
    <row r="409">
      <c r="D409" s="3"/>
      <c r="G409" s="3"/>
      <c r="J409" s="3"/>
    </row>
    <row r="410">
      <c r="D410" s="3"/>
      <c r="G410" s="3"/>
      <c r="J410" s="3"/>
    </row>
    <row r="411">
      <c r="D411" s="3"/>
      <c r="G411" s="3"/>
      <c r="J411" s="3"/>
    </row>
    <row r="412">
      <c r="D412" s="3"/>
      <c r="G412" s="3"/>
      <c r="J412" s="3"/>
    </row>
    <row r="413">
      <c r="D413" s="3"/>
      <c r="G413" s="3"/>
      <c r="J413" s="3"/>
    </row>
    <row r="414">
      <c r="D414" s="3"/>
      <c r="G414" s="3"/>
      <c r="J414" s="3"/>
    </row>
    <row r="415">
      <c r="D415" s="3"/>
      <c r="G415" s="3"/>
      <c r="J415" s="3"/>
    </row>
    <row r="416">
      <c r="D416" s="3"/>
      <c r="G416" s="3"/>
      <c r="J416" s="3"/>
    </row>
    <row r="417">
      <c r="D417" s="3"/>
      <c r="G417" s="3"/>
      <c r="J417" s="3"/>
    </row>
    <row r="418">
      <c r="D418" s="3"/>
      <c r="G418" s="3"/>
      <c r="J418" s="3"/>
    </row>
    <row r="419">
      <c r="D419" s="3"/>
      <c r="G419" s="3"/>
      <c r="J419" s="3"/>
    </row>
    <row r="420">
      <c r="D420" s="3"/>
      <c r="G420" s="3"/>
      <c r="J420" s="3"/>
    </row>
    <row r="421">
      <c r="D421" s="3"/>
      <c r="G421" s="3"/>
      <c r="J421" s="3"/>
    </row>
    <row r="422">
      <c r="D422" s="3"/>
      <c r="G422" s="3"/>
      <c r="J422" s="3"/>
    </row>
    <row r="423">
      <c r="D423" s="3"/>
      <c r="G423" s="3"/>
      <c r="J423" s="3"/>
    </row>
    <row r="424">
      <c r="D424" s="3"/>
      <c r="G424" s="3"/>
      <c r="J424" s="3"/>
    </row>
    <row r="425">
      <c r="D425" s="3"/>
      <c r="G425" s="3"/>
      <c r="J425" s="3"/>
    </row>
    <row r="426">
      <c r="D426" s="3"/>
      <c r="G426" s="3"/>
      <c r="J426" s="3"/>
    </row>
    <row r="427">
      <c r="D427" s="3"/>
      <c r="G427" s="3"/>
      <c r="J427" s="3"/>
    </row>
    <row r="428">
      <c r="D428" s="3"/>
      <c r="G428" s="3"/>
      <c r="J428" s="3"/>
    </row>
    <row r="429">
      <c r="D429" s="3"/>
      <c r="G429" s="3"/>
      <c r="J429" s="3"/>
    </row>
    <row r="430">
      <c r="D430" s="3"/>
      <c r="G430" s="3"/>
      <c r="J430" s="3"/>
    </row>
    <row r="431">
      <c r="D431" s="3"/>
      <c r="G431" s="3"/>
      <c r="J431" s="3"/>
    </row>
    <row r="432">
      <c r="D432" s="3"/>
      <c r="G432" s="3"/>
      <c r="J432" s="3"/>
    </row>
    <row r="433">
      <c r="D433" s="3"/>
      <c r="G433" s="3"/>
      <c r="J433" s="3"/>
    </row>
    <row r="434">
      <c r="D434" s="3"/>
      <c r="G434" s="3"/>
      <c r="J434" s="3"/>
    </row>
    <row r="435">
      <c r="D435" s="3"/>
      <c r="G435" s="3"/>
      <c r="J435" s="3"/>
    </row>
    <row r="436">
      <c r="D436" s="3"/>
      <c r="G436" s="3"/>
      <c r="J436" s="3"/>
    </row>
    <row r="437">
      <c r="D437" s="3"/>
      <c r="G437" s="3"/>
      <c r="J437" s="3"/>
    </row>
    <row r="438">
      <c r="D438" s="3"/>
      <c r="G438" s="3"/>
      <c r="J438" s="3"/>
    </row>
    <row r="439">
      <c r="D439" s="3"/>
      <c r="G439" s="3"/>
      <c r="J439" s="3"/>
    </row>
    <row r="440">
      <c r="D440" s="3"/>
      <c r="G440" s="3"/>
      <c r="J440" s="3"/>
    </row>
    <row r="441">
      <c r="D441" s="3"/>
      <c r="G441" s="3"/>
      <c r="J441" s="3"/>
    </row>
    <row r="442">
      <c r="D442" s="3"/>
      <c r="G442" s="3"/>
      <c r="J442" s="3"/>
    </row>
    <row r="443">
      <c r="D443" s="3"/>
      <c r="G443" s="3"/>
      <c r="J443" s="3"/>
    </row>
    <row r="444">
      <c r="D444" s="3"/>
      <c r="G444" s="3"/>
      <c r="J444" s="3"/>
    </row>
    <row r="445">
      <c r="D445" s="3"/>
      <c r="G445" s="3"/>
      <c r="J445" s="3"/>
    </row>
    <row r="446">
      <c r="D446" s="3"/>
      <c r="G446" s="3"/>
      <c r="J446" s="3"/>
    </row>
    <row r="447">
      <c r="D447" s="3"/>
      <c r="G447" s="3"/>
      <c r="J447" s="3"/>
    </row>
    <row r="448">
      <c r="D448" s="3"/>
      <c r="G448" s="3"/>
      <c r="J448" s="3"/>
    </row>
    <row r="449">
      <c r="D449" s="3"/>
      <c r="G449" s="3"/>
      <c r="J449" s="3"/>
    </row>
    <row r="450">
      <c r="D450" s="3"/>
      <c r="G450" s="3"/>
      <c r="J450" s="3"/>
    </row>
    <row r="451">
      <c r="D451" s="3"/>
      <c r="G451" s="3"/>
      <c r="J451" s="3"/>
    </row>
    <row r="452">
      <c r="D452" s="3"/>
      <c r="G452" s="3"/>
      <c r="J452" s="3"/>
    </row>
    <row r="453">
      <c r="D453" s="3"/>
      <c r="G453" s="3"/>
      <c r="J453" s="3"/>
    </row>
    <row r="454">
      <c r="D454" s="3"/>
      <c r="G454" s="3"/>
      <c r="J454" s="3"/>
    </row>
    <row r="455">
      <c r="D455" s="3"/>
      <c r="G455" s="3"/>
      <c r="J455" s="3"/>
    </row>
    <row r="456">
      <c r="D456" s="3"/>
      <c r="G456" s="3"/>
      <c r="J456" s="3"/>
    </row>
    <row r="457">
      <c r="D457" s="3"/>
      <c r="G457" s="3"/>
      <c r="J457" s="3"/>
    </row>
    <row r="458">
      <c r="D458" s="3"/>
      <c r="G458" s="3"/>
      <c r="J458" s="3"/>
    </row>
    <row r="459">
      <c r="D459" s="3"/>
      <c r="G459" s="3"/>
      <c r="J459" s="3"/>
    </row>
    <row r="460">
      <c r="D460" s="3"/>
      <c r="G460" s="3"/>
      <c r="J460" s="3"/>
    </row>
    <row r="461">
      <c r="D461" s="3"/>
      <c r="G461" s="3"/>
      <c r="J461" s="3"/>
    </row>
    <row r="462">
      <c r="D462" s="3"/>
      <c r="G462" s="3"/>
      <c r="J462" s="3"/>
    </row>
    <row r="463">
      <c r="D463" s="3"/>
      <c r="G463" s="3"/>
      <c r="J463" s="3"/>
    </row>
    <row r="464">
      <c r="D464" s="3"/>
      <c r="G464" s="3"/>
      <c r="J464" s="3"/>
    </row>
    <row r="465">
      <c r="D465" s="3"/>
      <c r="G465" s="3"/>
      <c r="J465" s="3"/>
    </row>
    <row r="466">
      <c r="D466" s="3"/>
      <c r="G466" s="3"/>
      <c r="J466" s="3"/>
    </row>
    <row r="467">
      <c r="D467" s="3"/>
      <c r="G467" s="3"/>
      <c r="J467" s="3"/>
    </row>
    <row r="468">
      <c r="D468" s="3"/>
      <c r="G468" s="3"/>
      <c r="J468" s="3"/>
    </row>
    <row r="469">
      <c r="D469" s="3"/>
      <c r="G469" s="3"/>
      <c r="J469" s="3"/>
    </row>
    <row r="470">
      <c r="D470" s="3"/>
      <c r="G470" s="3"/>
      <c r="J470" s="3"/>
    </row>
    <row r="471">
      <c r="D471" s="3"/>
      <c r="G471" s="3"/>
      <c r="J471" s="3"/>
    </row>
    <row r="472">
      <c r="D472" s="3"/>
      <c r="G472" s="3"/>
      <c r="J472" s="3"/>
    </row>
    <row r="473">
      <c r="D473" s="3"/>
      <c r="G473" s="3"/>
      <c r="J473" s="3"/>
    </row>
    <row r="474">
      <c r="D474" s="3"/>
      <c r="G474" s="3"/>
      <c r="J474" s="3"/>
    </row>
    <row r="475">
      <c r="D475" s="3"/>
      <c r="G475" s="3"/>
      <c r="J475" s="3"/>
    </row>
    <row r="476">
      <c r="D476" s="3"/>
      <c r="G476" s="3"/>
      <c r="J476" s="3"/>
    </row>
    <row r="477">
      <c r="D477" s="3"/>
      <c r="G477" s="3"/>
      <c r="J477" s="3"/>
    </row>
    <row r="478">
      <c r="D478" s="3"/>
      <c r="G478" s="3"/>
      <c r="J478" s="3"/>
    </row>
    <row r="479">
      <c r="D479" s="3"/>
      <c r="G479" s="3"/>
      <c r="J479" s="3"/>
    </row>
    <row r="480">
      <c r="D480" s="3"/>
      <c r="G480" s="3"/>
      <c r="J480" s="3"/>
    </row>
    <row r="481">
      <c r="D481" s="3"/>
      <c r="G481" s="3"/>
      <c r="J481" s="3"/>
    </row>
    <row r="482">
      <c r="D482" s="3"/>
      <c r="G482" s="3"/>
      <c r="J482" s="3"/>
    </row>
    <row r="483">
      <c r="D483" s="3"/>
      <c r="G483" s="3"/>
      <c r="J483" s="3"/>
    </row>
    <row r="484">
      <c r="D484" s="3"/>
      <c r="G484" s="3"/>
      <c r="J484" s="3"/>
    </row>
    <row r="485">
      <c r="D485" s="3"/>
      <c r="G485" s="3"/>
      <c r="J485" s="3"/>
    </row>
    <row r="486">
      <c r="D486" s="3"/>
      <c r="G486" s="3"/>
      <c r="J486" s="3"/>
    </row>
    <row r="487">
      <c r="D487" s="3"/>
      <c r="G487" s="3"/>
      <c r="J487" s="3"/>
    </row>
    <row r="488">
      <c r="D488" s="3"/>
      <c r="G488" s="3"/>
      <c r="J488" s="3"/>
    </row>
    <row r="489">
      <c r="D489" s="3"/>
      <c r="G489" s="3"/>
      <c r="J489" s="3"/>
    </row>
    <row r="490">
      <c r="D490" s="3"/>
      <c r="G490" s="3"/>
      <c r="J490" s="3"/>
    </row>
    <row r="491">
      <c r="D491" s="3"/>
      <c r="G491" s="3"/>
      <c r="J491" s="3"/>
    </row>
    <row r="492">
      <c r="D492" s="3"/>
      <c r="G492" s="3"/>
      <c r="J492" s="3"/>
    </row>
    <row r="493">
      <c r="D493" s="3"/>
      <c r="G493" s="3"/>
      <c r="J493" s="3"/>
    </row>
    <row r="494">
      <c r="D494" s="3"/>
      <c r="G494" s="3"/>
      <c r="J494" s="3"/>
    </row>
    <row r="495">
      <c r="D495" s="3"/>
      <c r="G495" s="3"/>
      <c r="J495" s="3"/>
    </row>
    <row r="496">
      <c r="D496" s="3"/>
      <c r="G496" s="3"/>
      <c r="J496" s="3"/>
    </row>
    <row r="497">
      <c r="D497" s="3"/>
      <c r="G497" s="3"/>
      <c r="J497" s="3"/>
    </row>
    <row r="498">
      <c r="D498" s="3"/>
      <c r="G498" s="3"/>
      <c r="J498" s="3"/>
    </row>
    <row r="499">
      <c r="D499" s="3"/>
      <c r="G499" s="3"/>
      <c r="J499" s="3"/>
    </row>
    <row r="500">
      <c r="D500" s="3"/>
      <c r="G500" s="3"/>
      <c r="J500" s="3"/>
    </row>
    <row r="501">
      <c r="D501" s="3"/>
      <c r="G501" s="3"/>
      <c r="J501" s="3"/>
    </row>
    <row r="502">
      <c r="D502" s="3"/>
      <c r="G502" s="3"/>
      <c r="J502" s="3"/>
    </row>
    <row r="503">
      <c r="D503" s="3"/>
      <c r="G503" s="3"/>
      <c r="J503" s="3"/>
    </row>
    <row r="504">
      <c r="D504" s="3"/>
      <c r="G504" s="3"/>
      <c r="J504" s="3"/>
    </row>
    <row r="505">
      <c r="D505" s="3"/>
      <c r="G505" s="3"/>
      <c r="J505" s="3"/>
    </row>
    <row r="506">
      <c r="D506" s="3"/>
      <c r="G506" s="3"/>
      <c r="J506" s="3"/>
    </row>
    <row r="507">
      <c r="D507" s="3"/>
      <c r="G507" s="3"/>
      <c r="J507" s="3"/>
    </row>
    <row r="508">
      <c r="D508" s="3"/>
      <c r="G508" s="3"/>
      <c r="J508" s="3"/>
    </row>
    <row r="509">
      <c r="D509" s="3"/>
      <c r="G509" s="3"/>
      <c r="J509" s="3"/>
    </row>
    <row r="510">
      <c r="D510" s="3"/>
      <c r="G510" s="3"/>
      <c r="J510" s="3"/>
    </row>
    <row r="511">
      <c r="D511" s="3"/>
      <c r="G511" s="3"/>
      <c r="J511" s="3"/>
    </row>
    <row r="512">
      <c r="D512" s="3"/>
      <c r="G512" s="3"/>
      <c r="J512" s="3"/>
    </row>
    <row r="513">
      <c r="D513" s="3"/>
      <c r="G513" s="3"/>
      <c r="J513" s="3"/>
    </row>
    <row r="514">
      <c r="D514" s="3"/>
      <c r="G514" s="3"/>
      <c r="J514" s="3"/>
    </row>
    <row r="515">
      <c r="D515" s="3"/>
      <c r="G515" s="3"/>
      <c r="J515" s="3"/>
    </row>
    <row r="516">
      <c r="D516" s="3"/>
      <c r="G516" s="3"/>
      <c r="J516" s="3"/>
    </row>
    <row r="517">
      <c r="D517" s="3"/>
      <c r="G517" s="3"/>
      <c r="J517" s="3"/>
    </row>
    <row r="518">
      <c r="D518" s="3"/>
      <c r="G518" s="3"/>
      <c r="J518" s="3"/>
    </row>
    <row r="519">
      <c r="D519" s="3"/>
      <c r="G519" s="3"/>
      <c r="J519" s="3"/>
    </row>
    <row r="520">
      <c r="D520" s="3"/>
      <c r="G520" s="3"/>
      <c r="J520" s="3"/>
    </row>
    <row r="521">
      <c r="D521" s="3"/>
      <c r="G521" s="3"/>
      <c r="J521" s="3"/>
    </row>
    <row r="522">
      <c r="D522" s="3"/>
      <c r="G522" s="3"/>
      <c r="J522" s="3"/>
    </row>
    <row r="523">
      <c r="D523" s="3"/>
      <c r="G523" s="3"/>
      <c r="J523" s="3"/>
    </row>
    <row r="524">
      <c r="D524" s="3"/>
      <c r="G524" s="3"/>
      <c r="J524" s="3"/>
    </row>
    <row r="525">
      <c r="D525" s="3"/>
      <c r="G525" s="3"/>
      <c r="J525" s="3"/>
    </row>
    <row r="526">
      <c r="D526" s="3"/>
      <c r="G526" s="3"/>
      <c r="J526" s="3"/>
    </row>
    <row r="527">
      <c r="D527" s="3"/>
      <c r="G527" s="3"/>
      <c r="J527" s="3"/>
    </row>
    <row r="528">
      <c r="D528" s="3"/>
      <c r="G528" s="3"/>
      <c r="J528" s="3"/>
    </row>
    <row r="529">
      <c r="D529" s="3"/>
      <c r="G529" s="3"/>
      <c r="J529" s="3"/>
    </row>
    <row r="530">
      <c r="D530" s="3"/>
      <c r="G530" s="3"/>
      <c r="J530" s="3"/>
    </row>
    <row r="531">
      <c r="D531" s="3"/>
      <c r="G531" s="3"/>
      <c r="J531" s="3"/>
    </row>
    <row r="532">
      <c r="D532" s="3"/>
      <c r="G532" s="3"/>
      <c r="J532" s="3"/>
    </row>
    <row r="533">
      <c r="D533" s="3"/>
      <c r="G533" s="3"/>
      <c r="J533" s="3"/>
    </row>
    <row r="534">
      <c r="D534" s="3"/>
      <c r="G534" s="3"/>
      <c r="J534" s="3"/>
    </row>
    <row r="535">
      <c r="D535" s="3"/>
      <c r="G535" s="3"/>
      <c r="J535" s="3"/>
    </row>
    <row r="536">
      <c r="D536" s="3"/>
      <c r="G536" s="3"/>
      <c r="J536" s="3"/>
    </row>
    <row r="537">
      <c r="D537" s="3"/>
      <c r="G537" s="3"/>
      <c r="J537" s="3"/>
    </row>
    <row r="538">
      <c r="D538" s="3"/>
      <c r="G538" s="3"/>
      <c r="J538" s="3"/>
    </row>
    <row r="539">
      <c r="D539" s="3"/>
      <c r="G539" s="3"/>
      <c r="J539" s="3"/>
    </row>
    <row r="540">
      <c r="D540" s="3"/>
      <c r="G540" s="3"/>
      <c r="J540" s="3"/>
    </row>
    <row r="541">
      <c r="D541" s="3"/>
      <c r="G541" s="3"/>
      <c r="J541" s="3"/>
    </row>
    <row r="542">
      <c r="D542" s="3"/>
      <c r="G542" s="3"/>
      <c r="J542" s="3"/>
    </row>
    <row r="543">
      <c r="D543" s="3"/>
      <c r="G543" s="3"/>
      <c r="J543" s="3"/>
    </row>
    <row r="544">
      <c r="D544" s="3"/>
      <c r="G544" s="3"/>
      <c r="J544" s="3"/>
    </row>
    <row r="545">
      <c r="D545" s="3"/>
      <c r="G545" s="3"/>
      <c r="J545" s="3"/>
    </row>
    <row r="546">
      <c r="D546" s="3"/>
      <c r="G546" s="3"/>
      <c r="J546" s="3"/>
    </row>
    <row r="547">
      <c r="D547" s="3"/>
      <c r="G547" s="3"/>
      <c r="J547" s="3"/>
    </row>
    <row r="548">
      <c r="D548" s="3"/>
      <c r="G548" s="3"/>
      <c r="J548" s="3"/>
    </row>
    <row r="549">
      <c r="D549" s="3"/>
      <c r="G549" s="3"/>
      <c r="J549" s="3"/>
    </row>
    <row r="550">
      <c r="D550" s="3"/>
      <c r="G550" s="3"/>
      <c r="J550" s="3"/>
    </row>
    <row r="551">
      <c r="D551" s="3"/>
      <c r="G551" s="3"/>
      <c r="J551" s="3"/>
    </row>
    <row r="552">
      <c r="D552" s="3"/>
      <c r="G552" s="3"/>
      <c r="J552" s="3"/>
    </row>
    <row r="553">
      <c r="D553" s="3"/>
      <c r="G553" s="3"/>
      <c r="J553" s="3"/>
    </row>
    <row r="554">
      <c r="D554" s="3"/>
      <c r="G554" s="3"/>
      <c r="J554" s="3"/>
    </row>
    <row r="555">
      <c r="D555" s="3"/>
      <c r="G555" s="3"/>
      <c r="J555" s="3"/>
    </row>
    <row r="556">
      <c r="D556" s="3"/>
      <c r="G556" s="3"/>
      <c r="J556" s="3"/>
    </row>
    <row r="557">
      <c r="D557" s="3"/>
      <c r="G557" s="3"/>
      <c r="J557" s="3"/>
    </row>
    <row r="558">
      <c r="D558" s="3"/>
      <c r="G558" s="3"/>
      <c r="J558" s="3"/>
    </row>
    <row r="559">
      <c r="D559" s="3"/>
      <c r="G559" s="3"/>
      <c r="J559" s="3"/>
    </row>
    <row r="560">
      <c r="D560" s="3"/>
      <c r="G560" s="3"/>
      <c r="J560" s="3"/>
    </row>
    <row r="561">
      <c r="D561" s="3"/>
      <c r="G561" s="3"/>
      <c r="J561" s="3"/>
    </row>
    <row r="562">
      <c r="D562" s="3"/>
      <c r="G562" s="3"/>
      <c r="J562" s="3"/>
    </row>
    <row r="563">
      <c r="D563" s="3"/>
      <c r="G563" s="3"/>
      <c r="J563" s="3"/>
    </row>
    <row r="564">
      <c r="D564" s="3"/>
      <c r="G564" s="3"/>
      <c r="J564" s="3"/>
    </row>
    <row r="565">
      <c r="D565" s="3"/>
      <c r="G565" s="3"/>
      <c r="J565" s="3"/>
    </row>
    <row r="566">
      <c r="D566" s="3"/>
      <c r="G566" s="3"/>
      <c r="J566" s="3"/>
    </row>
    <row r="567">
      <c r="D567" s="3"/>
      <c r="G567" s="3"/>
      <c r="J567" s="3"/>
    </row>
    <row r="568">
      <c r="D568" s="3"/>
      <c r="G568" s="3"/>
      <c r="J568" s="3"/>
    </row>
    <row r="569">
      <c r="D569" s="3"/>
      <c r="G569" s="3"/>
      <c r="J569" s="3"/>
    </row>
    <row r="570">
      <c r="D570" s="3"/>
      <c r="G570" s="3"/>
      <c r="J570" s="3"/>
    </row>
    <row r="571">
      <c r="D571" s="3"/>
      <c r="G571" s="3"/>
      <c r="J571" s="3"/>
    </row>
    <row r="572">
      <c r="D572" s="3"/>
      <c r="G572" s="3"/>
      <c r="J572" s="3"/>
    </row>
    <row r="573">
      <c r="D573" s="3"/>
      <c r="G573" s="3"/>
      <c r="J573" s="3"/>
    </row>
    <row r="574">
      <c r="D574" s="3"/>
      <c r="G574" s="3"/>
      <c r="J574" s="3"/>
    </row>
    <row r="575">
      <c r="D575" s="3"/>
      <c r="G575" s="3"/>
      <c r="J575" s="3"/>
    </row>
    <row r="576">
      <c r="D576" s="3"/>
      <c r="G576" s="3"/>
      <c r="J576" s="3"/>
    </row>
    <row r="577">
      <c r="D577" s="3"/>
      <c r="G577" s="3"/>
      <c r="J577" s="3"/>
    </row>
    <row r="578">
      <c r="D578" s="3"/>
      <c r="G578" s="3"/>
      <c r="J578" s="3"/>
    </row>
    <row r="579">
      <c r="D579" s="3"/>
      <c r="G579" s="3"/>
      <c r="J579" s="3"/>
    </row>
    <row r="580">
      <c r="D580" s="3"/>
      <c r="G580" s="3"/>
      <c r="J580" s="3"/>
    </row>
    <row r="581">
      <c r="D581" s="3"/>
      <c r="G581" s="3"/>
      <c r="J581" s="3"/>
    </row>
    <row r="582">
      <c r="D582" s="3"/>
      <c r="G582" s="3"/>
      <c r="J582" s="3"/>
    </row>
    <row r="583">
      <c r="D583" s="3"/>
      <c r="G583" s="3"/>
      <c r="J583" s="3"/>
    </row>
    <row r="584">
      <c r="D584" s="3"/>
      <c r="G584" s="3"/>
      <c r="J584" s="3"/>
    </row>
    <row r="585">
      <c r="D585" s="3"/>
      <c r="G585" s="3"/>
      <c r="J585" s="3"/>
    </row>
    <row r="586">
      <c r="D586" s="3"/>
      <c r="G586" s="3"/>
      <c r="J586" s="3"/>
    </row>
    <row r="587">
      <c r="D587" s="3"/>
      <c r="G587" s="3"/>
      <c r="J587" s="3"/>
    </row>
    <row r="588">
      <c r="D588" s="3"/>
      <c r="G588" s="3"/>
      <c r="J588" s="3"/>
    </row>
    <row r="589">
      <c r="D589" s="3"/>
      <c r="G589" s="3"/>
      <c r="J589" s="3"/>
    </row>
    <row r="590">
      <c r="D590" s="3"/>
      <c r="G590" s="3"/>
      <c r="J590" s="3"/>
    </row>
    <row r="591">
      <c r="D591" s="3"/>
      <c r="G591" s="3"/>
      <c r="J591" s="3"/>
    </row>
    <row r="592">
      <c r="D592" s="3"/>
      <c r="G592" s="3"/>
      <c r="J592" s="3"/>
    </row>
    <row r="593">
      <c r="D593" s="3"/>
      <c r="G593" s="3"/>
      <c r="J593" s="3"/>
    </row>
    <row r="594">
      <c r="D594" s="3"/>
      <c r="G594" s="3"/>
      <c r="J594" s="3"/>
    </row>
    <row r="595">
      <c r="D595" s="3"/>
      <c r="G595" s="3"/>
      <c r="J595" s="3"/>
    </row>
    <row r="596">
      <c r="D596" s="3"/>
      <c r="G596" s="3"/>
      <c r="J596" s="3"/>
    </row>
    <row r="597">
      <c r="D597" s="3"/>
      <c r="G597" s="3"/>
      <c r="J597" s="3"/>
    </row>
    <row r="598">
      <c r="D598" s="3"/>
      <c r="G598" s="3"/>
      <c r="J598" s="3"/>
    </row>
    <row r="599">
      <c r="D599" s="3"/>
      <c r="G599" s="3"/>
      <c r="J599" s="3"/>
    </row>
    <row r="600">
      <c r="D600" s="3"/>
      <c r="G600" s="3"/>
      <c r="J600" s="3"/>
    </row>
    <row r="601">
      <c r="D601" s="3"/>
      <c r="G601" s="3"/>
      <c r="J601" s="3"/>
    </row>
    <row r="602">
      <c r="D602" s="3"/>
      <c r="G602" s="3"/>
      <c r="J602" s="3"/>
    </row>
    <row r="603">
      <c r="D603" s="3"/>
      <c r="G603" s="3"/>
      <c r="J603" s="3"/>
    </row>
    <row r="604">
      <c r="D604" s="3"/>
      <c r="G604" s="3"/>
      <c r="J604" s="3"/>
    </row>
    <row r="605">
      <c r="D605" s="3"/>
      <c r="G605" s="3"/>
      <c r="J605" s="3"/>
    </row>
    <row r="606">
      <c r="D606" s="3"/>
      <c r="G606" s="3"/>
      <c r="J606" s="3"/>
    </row>
    <row r="607">
      <c r="D607" s="3"/>
      <c r="G607" s="3"/>
      <c r="J607" s="3"/>
    </row>
    <row r="608">
      <c r="D608" s="3"/>
      <c r="G608" s="3"/>
      <c r="J608" s="3"/>
    </row>
    <row r="609">
      <c r="D609" s="3"/>
      <c r="G609" s="3"/>
      <c r="J609" s="3"/>
    </row>
    <row r="610">
      <c r="D610" s="3"/>
      <c r="G610" s="3"/>
      <c r="J610" s="3"/>
    </row>
    <row r="611">
      <c r="D611" s="3"/>
      <c r="G611" s="3"/>
      <c r="J611" s="3"/>
    </row>
    <row r="612">
      <c r="D612" s="3"/>
      <c r="G612" s="3"/>
      <c r="J612" s="3"/>
    </row>
    <row r="613">
      <c r="D613" s="3"/>
      <c r="G613" s="3"/>
      <c r="J613" s="3"/>
    </row>
    <row r="614">
      <c r="D614" s="3"/>
      <c r="G614" s="3"/>
      <c r="J614" s="3"/>
    </row>
    <row r="615">
      <c r="D615" s="3"/>
      <c r="G615" s="3"/>
      <c r="J615" s="3"/>
    </row>
    <row r="616">
      <c r="D616" s="3"/>
      <c r="G616" s="3"/>
      <c r="J616" s="3"/>
    </row>
    <row r="617">
      <c r="D617" s="3"/>
      <c r="G617" s="3"/>
      <c r="J617" s="3"/>
    </row>
    <row r="618">
      <c r="D618" s="3"/>
      <c r="G618" s="3"/>
      <c r="J618" s="3"/>
    </row>
    <row r="619">
      <c r="D619" s="3"/>
      <c r="G619" s="3"/>
      <c r="J619" s="3"/>
    </row>
    <row r="620">
      <c r="D620" s="3"/>
      <c r="G620" s="3"/>
      <c r="J620" s="3"/>
    </row>
    <row r="621">
      <c r="D621" s="3"/>
      <c r="G621" s="3"/>
      <c r="J621" s="3"/>
    </row>
    <row r="622">
      <c r="D622" s="3"/>
      <c r="G622" s="3"/>
      <c r="J622" s="3"/>
    </row>
    <row r="623">
      <c r="D623" s="3"/>
      <c r="G623" s="3"/>
      <c r="J623" s="3"/>
    </row>
    <row r="624">
      <c r="D624" s="3"/>
      <c r="G624" s="3"/>
      <c r="J624" s="3"/>
    </row>
    <row r="625">
      <c r="D625" s="3"/>
      <c r="G625" s="3"/>
      <c r="J625" s="3"/>
    </row>
    <row r="626">
      <c r="D626" s="3"/>
      <c r="G626" s="3"/>
      <c r="J626" s="3"/>
    </row>
    <row r="627">
      <c r="D627" s="3"/>
      <c r="G627" s="3"/>
      <c r="J627" s="3"/>
    </row>
    <row r="628">
      <c r="D628" s="3"/>
      <c r="G628" s="3"/>
      <c r="J628" s="3"/>
    </row>
    <row r="629">
      <c r="D629" s="3"/>
      <c r="G629" s="3"/>
      <c r="J629" s="3"/>
    </row>
    <row r="630">
      <c r="D630" s="3"/>
      <c r="G630" s="3"/>
      <c r="J630" s="3"/>
    </row>
    <row r="631">
      <c r="D631" s="3"/>
      <c r="G631" s="3"/>
      <c r="J631" s="3"/>
    </row>
    <row r="632">
      <c r="D632" s="3"/>
      <c r="G632" s="3"/>
      <c r="J632" s="3"/>
    </row>
    <row r="633">
      <c r="D633" s="3"/>
      <c r="G633" s="3"/>
      <c r="J633" s="3"/>
    </row>
    <row r="634">
      <c r="D634" s="3"/>
      <c r="G634" s="3"/>
      <c r="J634" s="3"/>
    </row>
    <row r="635">
      <c r="D635" s="3"/>
      <c r="G635" s="3"/>
      <c r="J635" s="3"/>
    </row>
    <row r="636">
      <c r="D636" s="3"/>
      <c r="G636" s="3"/>
      <c r="J636" s="3"/>
    </row>
    <row r="637">
      <c r="D637" s="3"/>
      <c r="G637" s="3"/>
      <c r="J637" s="3"/>
    </row>
    <row r="638">
      <c r="D638" s="3"/>
      <c r="G638" s="3"/>
      <c r="J638" s="3"/>
    </row>
    <row r="639">
      <c r="D639" s="3"/>
      <c r="G639" s="3"/>
      <c r="J639" s="3"/>
    </row>
    <row r="640">
      <c r="D640" s="3"/>
      <c r="G640" s="3"/>
      <c r="J640" s="3"/>
    </row>
    <row r="641">
      <c r="D641" s="3"/>
      <c r="G641" s="3"/>
      <c r="J641" s="3"/>
    </row>
    <row r="642">
      <c r="D642" s="3"/>
      <c r="G642" s="3"/>
      <c r="J642" s="3"/>
    </row>
    <row r="643">
      <c r="D643" s="3"/>
      <c r="G643" s="3"/>
      <c r="J643" s="3"/>
    </row>
    <row r="644">
      <c r="D644" s="3"/>
      <c r="G644" s="3"/>
      <c r="J644" s="3"/>
    </row>
    <row r="645">
      <c r="D645" s="3"/>
      <c r="G645" s="3"/>
      <c r="J645" s="3"/>
    </row>
    <row r="646">
      <c r="D646" s="3"/>
      <c r="G646" s="3"/>
      <c r="J646" s="3"/>
    </row>
    <row r="647">
      <c r="D647" s="3"/>
      <c r="G647" s="3"/>
      <c r="J647" s="3"/>
    </row>
    <row r="648">
      <c r="D648" s="3"/>
      <c r="G648" s="3"/>
      <c r="J648" s="3"/>
    </row>
    <row r="649">
      <c r="D649" s="3"/>
      <c r="G649" s="3"/>
      <c r="J649" s="3"/>
    </row>
    <row r="650">
      <c r="D650" s="3"/>
      <c r="G650" s="3"/>
      <c r="J650" s="3"/>
    </row>
    <row r="651">
      <c r="D651" s="3"/>
      <c r="G651" s="3"/>
      <c r="J651" s="3"/>
    </row>
    <row r="652">
      <c r="D652" s="3"/>
      <c r="G652" s="3"/>
      <c r="J652" s="3"/>
    </row>
    <row r="653">
      <c r="D653" s="3"/>
      <c r="G653" s="3"/>
      <c r="J653" s="3"/>
    </row>
    <row r="654">
      <c r="D654" s="3"/>
      <c r="G654" s="3"/>
      <c r="J654" s="3"/>
    </row>
    <row r="655">
      <c r="D655" s="3"/>
      <c r="G655" s="3"/>
      <c r="J655" s="3"/>
    </row>
    <row r="656">
      <c r="D656" s="3"/>
      <c r="G656" s="3"/>
      <c r="J656" s="3"/>
    </row>
    <row r="657">
      <c r="D657" s="3"/>
      <c r="G657" s="3"/>
      <c r="J657" s="3"/>
    </row>
    <row r="658">
      <c r="D658" s="3"/>
      <c r="G658" s="3"/>
      <c r="J658" s="3"/>
    </row>
    <row r="659">
      <c r="D659" s="3"/>
      <c r="G659" s="3"/>
      <c r="J659" s="3"/>
    </row>
    <row r="660">
      <c r="D660" s="3"/>
      <c r="G660" s="3"/>
      <c r="J660" s="3"/>
    </row>
    <row r="661">
      <c r="D661" s="3"/>
      <c r="G661" s="3"/>
      <c r="J661" s="3"/>
    </row>
    <row r="662">
      <c r="D662" s="3"/>
      <c r="G662" s="3"/>
      <c r="J662" s="3"/>
    </row>
    <row r="663">
      <c r="D663" s="3"/>
      <c r="G663" s="3"/>
      <c r="J663" s="3"/>
    </row>
    <row r="664">
      <c r="D664" s="3"/>
      <c r="G664" s="3"/>
      <c r="J664" s="3"/>
    </row>
    <row r="665">
      <c r="D665" s="3"/>
      <c r="G665" s="3"/>
      <c r="J665" s="3"/>
    </row>
    <row r="666">
      <c r="D666" s="3"/>
      <c r="G666" s="3"/>
      <c r="J666" s="3"/>
    </row>
    <row r="667">
      <c r="D667" s="3"/>
      <c r="G667" s="3"/>
      <c r="J667" s="3"/>
    </row>
    <row r="668">
      <c r="D668" s="3"/>
      <c r="G668" s="3"/>
      <c r="J668" s="3"/>
    </row>
    <row r="669">
      <c r="D669" s="3"/>
      <c r="G669" s="3"/>
      <c r="J669" s="3"/>
    </row>
    <row r="670">
      <c r="D670" s="3"/>
      <c r="G670" s="3"/>
      <c r="J670" s="3"/>
    </row>
    <row r="671">
      <c r="D671" s="3"/>
      <c r="G671" s="3"/>
      <c r="J671" s="3"/>
    </row>
    <row r="672">
      <c r="D672" s="3"/>
      <c r="G672" s="3"/>
      <c r="J672" s="3"/>
    </row>
    <row r="673">
      <c r="D673" s="3"/>
      <c r="G673" s="3"/>
      <c r="J673" s="3"/>
    </row>
    <row r="674">
      <c r="D674" s="3"/>
      <c r="G674" s="3"/>
      <c r="J674" s="3"/>
    </row>
    <row r="675">
      <c r="D675" s="3"/>
      <c r="G675" s="3"/>
      <c r="J675" s="3"/>
    </row>
    <row r="676">
      <c r="D676" s="3"/>
      <c r="G676" s="3"/>
      <c r="J676" s="3"/>
    </row>
    <row r="677">
      <c r="D677" s="3"/>
      <c r="G677" s="3"/>
      <c r="J677" s="3"/>
    </row>
    <row r="678">
      <c r="D678" s="3"/>
      <c r="G678" s="3"/>
      <c r="J678" s="3"/>
    </row>
    <row r="679">
      <c r="D679" s="3"/>
      <c r="G679" s="3"/>
      <c r="J679" s="3"/>
    </row>
    <row r="680">
      <c r="D680" s="3"/>
      <c r="G680" s="3"/>
      <c r="J680" s="3"/>
    </row>
    <row r="681">
      <c r="D681" s="3"/>
      <c r="G681" s="3"/>
      <c r="J681" s="3"/>
    </row>
    <row r="682">
      <c r="D682" s="3"/>
      <c r="G682" s="3"/>
      <c r="J682" s="3"/>
    </row>
    <row r="683">
      <c r="D683" s="3"/>
      <c r="G683" s="3"/>
      <c r="J683" s="3"/>
    </row>
    <row r="684">
      <c r="D684" s="3"/>
      <c r="G684" s="3"/>
      <c r="J684" s="3"/>
    </row>
    <row r="685">
      <c r="D685" s="3"/>
      <c r="G685" s="3"/>
      <c r="J685" s="3"/>
    </row>
    <row r="686">
      <c r="D686" s="3"/>
      <c r="G686" s="3"/>
      <c r="J686" s="3"/>
    </row>
    <row r="687">
      <c r="D687" s="3"/>
      <c r="G687" s="3"/>
      <c r="J687" s="3"/>
    </row>
    <row r="688">
      <c r="D688" s="3"/>
      <c r="G688" s="3"/>
      <c r="J688" s="3"/>
    </row>
    <row r="689">
      <c r="D689" s="3"/>
      <c r="G689" s="3"/>
      <c r="J689" s="3"/>
    </row>
    <row r="690">
      <c r="D690" s="3"/>
      <c r="G690" s="3"/>
      <c r="J690" s="3"/>
    </row>
    <row r="691">
      <c r="D691" s="3"/>
      <c r="G691" s="3"/>
      <c r="J691" s="3"/>
    </row>
    <row r="692">
      <c r="D692" s="3"/>
      <c r="G692" s="3"/>
      <c r="J692" s="3"/>
    </row>
    <row r="693">
      <c r="D693" s="3"/>
      <c r="G693" s="3"/>
      <c r="J693" s="3"/>
    </row>
    <row r="694">
      <c r="D694" s="3"/>
      <c r="G694" s="3"/>
      <c r="J694" s="3"/>
    </row>
    <row r="695">
      <c r="D695" s="3"/>
      <c r="G695" s="3"/>
      <c r="J695" s="3"/>
    </row>
    <row r="696">
      <c r="D696" s="3"/>
      <c r="G696" s="3"/>
      <c r="J696" s="3"/>
    </row>
    <row r="697">
      <c r="D697" s="3"/>
      <c r="G697" s="3"/>
      <c r="J697" s="3"/>
    </row>
    <row r="698">
      <c r="D698" s="3"/>
      <c r="G698" s="3"/>
      <c r="J698" s="3"/>
    </row>
    <row r="699">
      <c r="D699" s="3"/>
      <c r="G699" s="3"/>
      <c r="J699" s="3"/>
    </row>
    <row r="700">
      <c r="D700" s="3"/>
      <c r="G700" s="3"/>
      <c r="J700" s="3"/>
    </row>
    <row r="701">
      <c r="D701" s="3"/>
      <c r="G701" s="3"/>
      <c r="J701" s="3"/>
    </row>
    <row r="702">
      <c r="D702" s="3"/>
      <c r="G702" s="3"/>
      <c r="J702" s="3"/>
    </row>
    <row r="703">
      <c r="D703" s="3"/>
      <c r="G703" s="3"/>
      <c r="J703" s="3"/>
    </row>
    <row r="704">
      <c r="D704" s="3"/>
      <c r="G704" s="3"/>
      <c r="J704" s="3"/>
    </row>
    <row r="705">
      <c r="D705" s="3"/>
      <c r="G705" s="3"/>
      <c r="J705" s="3"/>
    </row>
    <row r="706">
      <c r="D706" s="3"/>
      <c r="G706" s="3"/>
      <c r="J706" s="3"/>
    </row>
    <row r="707">
      <c r="D707" s="3"/>
      <c r="G707" s="3"/>
      <c r="J707" s="3"/>
    </row>
    <row r="708">
      <c r="D708" s="3"/>
      <c r="G708" s="3"/>
      <c r="J708" s="3"/>
    </row>
    <row r="709">
      <c r="D709" s="3"/>
      <c r="G709" s="3"/>
      <c r="J709" s="3"/>
    </row>
    <row r="710">
      <c r="D710" s="3"/>
      <c r="G710" s="3"/>
      <c r="J710" s="3"/>
    </row>
    <row r="711">
      <c r="D711" s="3"/>
      <c r="G711" s="3"/>
      <c r="J711" s="3"/>
    </row>
    <row r="712">
      <c r="D712" s="3"/>
      <c r="G712" s="3"/>
      <c r="J712" s="3"/>
    </row>
    <row r="713">
      <c r="D713" s="3"/>
      <c r="G713" s="3"/>
      <c r="J713" s="3"/>
    </row>
    <row r="714">
      <c r="D714" s="3"/>
      <c r="G714" s="3"/>
      <c r="J714" s="3"/>
    </row>
    <row r="715">
      <c r="D715" s="3"/>
      <c r="G715" s="3"/>
      <c r="J715" s="3"/>
    </row>
    <row r="716">
      <c r="D716" s="3"/>
      <c r="G716" s="3"/>
      <c r="J716" s="3"/>
    </row>
    <row r="717">
      <c r="D717" s="3"/>
      <c r="G717" s="3"/>
      <c r="J717" s="3"/>
    </row>
    <row r="718">
      <c r="D718" s="3"/>
      <c r="G718" s="3"/>
      <c r="J718" s="3"/>
    </row>
    <row r="719">
      <c r="D719" s="3"/>
      <c r="G719" s="3"/>
      <c r="J719" s="3"/>
    </row>
    <row r="720">
      <c r="D720" s="3"/>
      <c r="G720" s="3"/>
      <c r="J720" s="3"/>
    </row>
    <row r="721">
      <c r="D721" s="3"/>
      <c r="G721" s="3"/>
      <c r="J721" s="3"/>
    </row>
    <row r="722">
      <c r="D722" s="3"/>
      <c r="G722" s="3"/>
      <c r="J722" s="3"/>
    </row>
    <row r="723">
      <c r="D723" s="3"/>
      <c r="G723" s="3"/>
      <c r="J723" s="3"/>
    </row>
    <row r="724">
      <c r="D724" s="3"/>
      <c r="G724" s="3"/>
      <c r="J724" s="3"/>
    </row>
    <row r="725">
      <c r="D725" s="3"/>
      <c r="G725" s="3"/>
      <c r="J725" s="3"/>
    </row>
    <row r="726">
      <c r="D726" s="3"/>
      <c r="G726" s="3"/>
      <c r="J726" s="3"/>
    </row>
    <row r="727">
      <c r="D727" s="3"/>
      <c r="G727" s="3"/>
      <c r="J727" s="3"/>
    </row>
    <row r="728">
      <c r="D728" s="3"/>
      <c r="G728" s="3"/>
      <c r="J728" s="3"/>
    </row>
    <row r="729">
      <c r="D729" s="3"/>
      <c r="G729" s="3"/>
      <c r="J729" s="3"/>
    </row>
    <row r="730">
      <c r="D730" s="3"/>
      <c r="G730" s="3"/>
      <c r="J730" s="3"/>
    </row>
    <row r="731">
      <c r="D731" s="3"/>
      <c r="G731" s="3"/>
      <c r="J731" s="3"/>
    </row>
    <row r="732">
      <c r="D732" s="3"/>
      <c r="G732" s="3"/>
      <c r="J732" s="3"/>
    </row>
    <row r="733">
      <c r="D733" s="3"/>
      <c r="G733" s="3"/>
      <c r="J733" s="3"/>
    </row>
    <row r="734">
      <c r="D734" s="3"/>
      <c r="G734" s="3"/>
      <c r="J734" s="3"/>
    </row>
    <row r="735">
      <c r="D735" s="3"/>
      <c r="G735" s="3"/>
      <c r="J735" s="3"/>
    </row>
    <row r="736">
      <c r="D736" s="3"/>
      <c r="G736" s="3"/>
      <c r="J736" s="3"/>
    </row>
    <row r="737">
      <c r="D737" s="3"/>
      <c r="G737" s="3"/>
      <c r="J737" s="3"/>
    </row>
    <row r="738">
      <c r="D738" s="3"/>
      <c r="G738" s="3"/>
      <c r="J738" s="3"/>
    </row>
    <row r="739">
      <c r="D739" s="3"/>
      <c r="G739" s="3"/>
      <c r="J739" s="3"/>
    </row>
    <row r="740">
      <c r="D740" s="3"/>
      <c r="G740" s="3"/>
      <c r="J740" s="3"/>
    </row>
    <row r="741">
      <c r="D741" s="3"/>
      <c r="G741" s="3"/>
      <c r="J741" s="3"/>
    </row>
    <row r="742">
      <c r="D742" s="3"/>
      <c r="G742" s="3"/>
      <c r="J742" s="3"/>
    </row>
    <row r="743">
      <c r="D743" s="3"/>
      <c r="G743" s="3"/>
      <c r="J743" s="3"/>
    </row>
    <row r="744">
      <c r="D744" s="3"/>
      <c r="G744" s="3"/>
      <c r="J744" s="3"/>
    </row>
    <row r="745">
      <c r="D745" s="3"/>
      <c r="G745" s="3"/>
      <c r="J745" s="3"/>
    </row>
    <row r="746">
      <c r="D746" s="3"/>
      <c r="G746" s="3"/>
      <c r="J746" s="3"/>
    </row>
    <row r="747">
      <c r="D747" s="3"/>
      <c r="G747" s="3"/>
      <c r="J747" s="3"/>
    </row>
    <row r="748">
      <c r="D748" s="3"/>
      <c r="G748" s="3"/>
      <c r="J748" s="3"/>
    </row>
    <row r="749">
      <c r="D749" s="3"/>
      <c r="G749" s="3"/>
      <c r="J749" s="3"/>
    </row>
    <row r="750">
      <c r="D750" s="3"/>
      <c r="G750" s="3"/>
      <c r="J750" s="3"/>
    </row>
    <row r="751">
      <c r="D751" s="3"/>
      <c r="G751" s="3"/>
      <c r="J751" s="3"/>
    </row>
    <row r="752">
      <c r="D752" s="3"/>
      <c r="G752" s="3"/>
      <c r="J752" s="3"/>
    </row>
    <row r="753">
      <c r="D753" s="3"/>
      <c r="G753" s="3"/>
      <c r="J753" s="3"/>
    </row>
    <row r="754">
      <c r="D754" s="3"/>
      <c r="G754" s="3"/>
      <c r="J754" s="3"/>
    </row>
    <row r="755">
      <c r="D755" s="3"/>
      <c r="G755" s="3"/>
      <c r="J755" s="3"/>
    </row>
    <row r="756">
      <c r="D756" s="3"/>
      <c r="G756" s="3"/>
      <c r="J756" s="3"/>
    </row>
    <row r="757">
      <c r="D757" s="3"/>
      <c r="G757" s="3"/>
      <c r="J757" s="3"/>
    </row>
    <row r="758">
      <c r="D758" s="3"/>
      <c r="G758" s="3"/>
      <c r="J758" s="3"/>
    </row>
    <row r="759">
      <c r="D759" s="3"/>
      <c r="G759" s="3"/>
      <c r="J759" s="3"/>
    </row>
    <row r="760">
      <c r="D760" s="3"/>
      <c r="G760" s="3"/>
      <c r="J760" s="3"/>
    </row>
    <row r="761">
      <c r="D761" s="3"/>
      <c r="G761" s="3"/>
      <c r="J761" s="3"/>
    </row>
    <row r="762">
      <c r="D762" s="3"/>
      <c r="G762" s="3"/>
      <c r="J762" s="3"/>
    </row>
    <row r="763">
      <c r="D763" s="3"/>
      <c r="G763" s="3"/>
      <c r="J763" s="3"/>
    </row>
    <row r="764">
      <c r="D764" s="3"/>
      <c r="G764" s="3"/>
      <c r="J764" s="3"/>
    </row>
    <row r="765">
      <c r="D765" s="3"/>
      <c r="G765" s="3"/>
      <c r="J765" s="3"/>
    </row>
    <row r="766">
      <c r="D766" s="3"/>
      <c r="G766" s="3"/>
      <c r="J766" s="3"/>
    </row>
    <row r="767">
      <c r="D767" s="3"/>
      <c r="G767" s="3"/>
      <c r="J767" s="3"/>
    </row>
    <row r="768">
      <c r="D768" s="3"/>
      <c r="G768" s="3"/>
      <c r="J768" s="3"/>
    </row>
    <row r="769">
      <c r="D769" s="3"/>
      <c r="G769" s="3"/>
      <c r="J769" s="3"/>
    </row>
    <row r="770">
      <c r="D770" s="3"/>
      <c r="G770" s="3"/>
      <c r="J770" s="3"/>
    </row>
    <row r="771">
      <c r="D771" s="3"/>
      <c r="G771" s="3"/>
      <c r="J771" s="3"/>
    </row>
    <row r="772">
      <c r="D772" s="3"/>
      <c r="G772" s="3"/>
      <c r="J772" s="3"/>
    </row>
    <row r="773">
      <c r="D773" s="3"/>
      <c r="G773" s="3"/>
      <c r="J773" s="3"/>
    </row>
    <row r="774">
      <c r="D774" s="3"/>
      <c r="G774" s="3"/>
      <c r="J774" s="3"/>
    </row>
    <row r="775">
      <c r="D775" s="3"/>
      <c r="G775" s="3"/>
      <c r="J775" s="3"/>
    </row>
    <row r="776">
      <c r="D776" s="3"/>
      <c r="G776" s="3"/>
      <c r="J776" s="3"/>
    </row>
    <row r="777">
      <c r="D777" s="3"/>
      <c r="G777" s="3"/>
      <c r="J777" s="3"/>
    </row>
    <row r="778">
      <c r="D778" s="3"/>
      <c r="G778" s="3"/>
      <c r="J778" s="3"/>
    </row>
    <row r="779">
      <c r="D779" s="3"/>
      <c r="G779" s="3"/>
      <c r="J779" s="3"/>
    </row>
    <row r="780">
      <c r="D780" s="3"/>
      <c r="G780" s="3"/>
      <c r="J780" s="3"/>
    </row>
    <row r="781">
      <c r="D781" s="3"/>
      <c r="G781" s="3"/>
      <c r="J781" s="3"/>
    </row>
    <row r="782">
      <c r="D782" s="3"/>
      <c r="G782" s="3"/>
      <c r="J782" s="3"/>
    </row>
    <row r="783">
      <c r="D783" s="3"/>
      <c r="G783" s="3"/>
      <c r="J783" s="3"/>
    </row>
    <row r="784">
      <c r="D784" s="3"/>
      <c r="G784" s="3"/>
      <c r="J784" s="3"/>
    </row>
    <row r="785">
      <c r="D785" s="3"/>
      <c r="G785" s="3"/>
      <c r="J785" s="3"/>
    </row>
    <row r="786">
      <c r="D786" s="3"/>
      <c r="G786" s="3"/>
      <c r="J786" s="3"/>
    </row>
    <row r="787">
      <c r="D787" s="3"/>
      <c r="G787" s="3"/>
      <c r="J787" s="3"/>
    </row>
    <row r="788">
      <c r="D788" s="3"/>
      <c r="G788" s="3"/>
      <c r="J788" s="3"/>
    </row>
    <row r="789">
      <c r="D789" s="3"/>
      <c r="G789" s="3"/>
      <c r="J789" s="3"/>
    </row>
    <row r="790">
      <c r="D790" s="3"/>
      <c r="G790" s="3"/>
      <c r="J790" s="3"/>
    </row>
    <row r="791">
      <c r="D791" s="3"/>
      <c r="G791" s="3"/>
      <c r="J791" s="3"/>
    </row>
    <row r="792">
      <c r="D792" s="3"/>
      <c r="G792" s="3"/>
      <c r="J792" s="3"/>
    </row>
    <row r="793">
      <c r="D793" s="3"/>
      <c r="G793" s="3"/>
      <c r="J793" s="3"/>
    </row>
    <row r="794">
      <c r="D794" s="3"/>
      <c r="G794" s="3"/>
      <c r="J794" s="3"/>
    </row>
    <row r="795">
      <c r="D795" s="3"/>
      <c r="G795" s="3"/>
      <c r="J795" s="3"/>
    </row>
    <row r="796">
      <c r="D796" s="3"/>
      <c r="G796" s="3"/>
      <c r="J796" s="3"/>
    </row>
    <row r="797">
      <c r="D797" s="3"/>
      <c r="G797" s="3"/>
      <c r="J797" s="3"/>
    </row>
    <row r="798">
      <c r="D798" s="3"/>
      <c r="G798" s="3"/>
      <c r="J798" s="3"/>
    </row>
    <row r="799">
      <c r="D799" s="3"/>
      <c r="G799" s="3"/>
      <c r="J799" s="3"/>
    </row>
    <row r="800">
      <c r="D800" s="3"/>
      <c r="G800" s="3"/>
      <c r="J800" s="3"/>
    </row>
    <row r="801">
      <c r="D801" s="3"/>
      <c r="G801" s="3"/>
      <c r="J801" s="3"/>
    </row>
    <row r="802">
      <c r="D802" s="3"/>
      <c r="G802" s="3"/>
      <c r="J802" s="3"/>
    </row>
    <row r="803">
      <c r="D803" s="3"/>
      <c r="G803" s="3"/>
      <c r="J803" s="3"/>
    </row>
    <row r="804">
      <c r="D804" s="3"/>
      <c r="G804" s="3"/>
      <c r="J804" s="3"/>
    </row>
    <row r="805">
      <c r="D805" s="3"/>
      <c r="G805" s="3"/>
      <c r="J805" s="3"/>
    </row>
    <row r="806">
      <c r="D806" s="3"/>
      <c r="G806" s="3"/>
      <c r="J806" s="3"/>
    </row>
    <row r="807">
      <c r="D807" s="3"/>
      <c r="G807" s="3"/>
      <c r="J807" s="3"/>
    </row>
    <row r="808">
      <c r="D808" s="3"/>
      <c r="G808" s="3"/>
      <c r="J808" s="3"/>
    </row>
    <row r="809">
      <c r="D809" s="3"/>
      <c r="G809" s="3"/>
      <c r="J809" s="3"/>
    </row>
    <row r="810">
      <c r="D810" s="3"/>
      <c r="G810" s="3"/>
      <c r="J810" s="3"/>
    </row>
    <row r="811">
      <c r="D811" s="3"/>
      <c r="G811" s="3"/>
      <c r="J811" s="3"/>
    </row>
    <row r="812">
      <c r="D812" s="3"/>
      <c r="G812" s="3"/>
      <c r="J812" s="3"/>
    </row>
    <row r="813">
      <c r="D813" s="3"/>
      <c r="G813" s="3"/>
      <c r="J813" s="3"/>
    </row>
    <row r="814">
      <c r="D814" s="3"/>
      <c r="G814" s="3"/>
      <c r="J814" s="3"/>
    </row>
    <row r="815">
      <c r="D815" s="3"/>
      <c r="G815" s="3"/>
      <c r="J815" s="3"/>
    </row>
    <row r="816">
      <c r="D816" s="3"/>
      <c r="G816" s="3"/>
      <c r="J816" s="3"/>
    </row>
    <row r="817">
      <c r="D817" s="3"/>
      <c r="G817" s="3"/>
      <c r="J817" s="3"/>
    </row>
    <row r="818">
      <c r="D818" s="3"/>
      <c r="G818" s="3"/>
      <c r="J818" s="3"/>
    </row>
    <row r="819">
      <c r="D819" s="3"/>
      <c r="G819" s="3"/>
      <c r="J819" s="3"/>
    </row>
    <row r="820">
      <c r="D820" s="3"/>
      <c r="G820" s="3"/>
      <c r="J820" s="3"/>
    </row>
    <row r="821">
      <c r="D821" s="3"/>
      <c r="G821" s="3"/>
      <c r="J821" s="3"/>
    </row>
    <row r="822">
      <c r="D822" s="3"/>
      <c r="G822" s="3"/>
      <c r="J822" s="3"/>
    </row>
    <row r="823">
      <c r="D823" s="3"/>
      <c r="G823" s="3"/>
      <c r="J823" s="3"/>
    </row>
    <row r="824">
      <c r="D824" s="3"/>
      <c r="G824" s="3"/>
      <c r="J824" s="3"/>
    </row>
    <row r="825">
      <c r="D825" s="3"/>
      <c r="G825" s="3"/>
      <c r="J825" s="3"/>
    </row>
    <row r="826">
      <c r="D826" s="3"/>
      <c r="G826" s="3"/>
      <c r="J826" s="3"/>
    </row>
    <row r="827">
      <c r="D827" s="3"/>
      <c r="G827" s="3"/>
      <c r="J827" s="3"/>
    </row>
    <row r="828">
      <c r="D828" s="3"/>
      <c r="G828" s="3"/>
      <c r="J828" s="3"/>
    </row>
    <row r="829">
      <c r="D829" s="3"/>
      <c r="G829" s="3"/>
      <c r="J829" s="3"/>
    </row>
    <row r="830">
      <c r="D830" s="3"/>
      <c r="G830" s="3"/>
      <c r="J830" s="3"/>
    </row>
    <row r="831">
      <c r="D831" s="3"/>
      <c r="G831" s="3"/>
      <c r="J831" s="3"/>
    </row>
    <row r="832">
      <c r="D832" s="3"/>
      <c r="G832" s="3"/>
      <c r="J832" s="3"/>
    </row>
    <row r="833">
      <c r="D833" s="3"/>
      <c r="G833" s="3"/>
      <c r="J833" s="3"/>
    </row>
    <row r="834">
      <c r="D834" s="3"/>
      <c r="G834" s="3"/>
      <c r="J834" s="3"/>
    </row>
    <row r="835">
      <c r="D835" s="3"/>
      <c r="G835" s="3"/>
      <c r="J835" s="3"/>
    </row>
    <row r="836">
      <c r="D836" s="3"/>
      <c r="G836" s="3"/>
      <c r="J836" s="3"/>
    </row>
    <row r="837">
      <c r="D837" s="3"/>
      <c r="G837" s="3"/>
      <c r="J837" s="3"/>
    </row>
    <row r="838">
      <c r="D838" s="3"/>
      <c r="G838" s="3"/>
      <c r="J838" s="3"/>
    </row>
    <row r="839">
      <c r="D839" s="3"/>
      <c r="G839" s="3"/>
      <c r="J839" s="3"/>
    </row>
    <row r="840">
      <c r="D840" s="3"/>
      <c r="G840" s="3"/>
      <c r="J840" s="3"/>
    </row>
    <row r="841">
      <c r="D841" s="3"/>
      <c r="G841" s="3"/>
      <c r="J841" s="3"/>
    </row>
    <row r="842">
      <c r="D842" s="3"/>
      <c r="G842" s="3"/>
      <c r="J842" s="3"/>
    </row>
    <row r="843">
      <c r="D843" s="3"/>
      <c r="G843" s="3"/>
      <c r="J843" s="3"/>
    </row>
    <row r="844">
      <c r="D844" s="3"/>
      <c r="G844" s="3"/>
      <c r="J844" s="3"/>
    </row>
    <row r="845">
      <c r="D845" s="3"/>
      <c r="G845" s="3"/>
      <c r="J845" s="3"/>
    </row>
    <row r="846">
      <c r="D846" s="3"/>
      <c r="G846" s="3"/>
      <c r="J846" s="3"/>
    </row>
    <row r="847">
      <c r="D847" s="3"/>
      <c r="G847" s="3"/>
      <c r="J847" s="3"/>
    </row>
    <row r="848">
      <c r="D848" s="3"/>
      <c r="G848" s="3"/>
      <c r="J848" s="3"/>
    </row>
    <row r="849">
      <c r="D849" s="3"/>
      <c r="G849" s="3"/>
      <c r="J849" s="3"/>
    </row>
    <row r="850">
      <c r="D850" s="3"/>
      <c r="G850" s="3"/>
      <c r="J850" s="3"/>
    </row>
    <row r="851">
      <c r="D851" s="3"/>
      <c r="G851" s="3"/>
      <c r="J851" s="3"/>
    </row>
    <row r="852">
      <c r="D852" s="3"/>
      <c r="G852" s="3"/>
      <c r="J852" s="3"/>
    </row>
    <row r="853">
      <c r="D853" s="3"/>
      <c r="G853" s="3"/>
      <c r="J853" s="3"/>
    </row>
    <row r="854">
      <c r="D854" s="3"/>
      <c r="G854" s="3"/>
      <c r="J854" s="3"/>
    </row>
    <row r="855">
      <c r="D855" s="3"/>
      <c r="G855" s="3"/>
      <c r="J855" s="3"/>
    </row>
    <row r="856">
      <c r="D856" s="3"/>
      <c r="G856" s="3"/>
      <c r="J856" s="3"/>
    </row>
    <row r="857">
      <c r="D857" s="3"/>
      <c r="G857" s="3"/>
      <c r="J857" s="3"/>
    </row>
    <row r="858">
      <c r="D858" s="3"/>
      <c r="G858" s="3"/>
      <c r="J858" s="3"/>
    </row>
    <row r="859">
      <c r="D859" s="3"/>
      <c r="G859" s="3"/>
      <c r="J859" s="3"/>
    </row>
    <row r="860">
      <c r="D860" s="3"/>
      <c r="G860" s="3"/>
      <c r="J860" s="3"/>
    </row>
    <row r="861">
      <c r="D861" s="3"/>
      <c r="G861" s="3"/>
      <c r="J861" s="3"/>
    </row>
    <row r="862">
      <c r="D862" s="3"/>
      <c r="G862" s="3"/>
      <c r="J862" s="3"/>
    </row>
    <row r="863">
      <c r="D863" s="3"/>
      <c r="G863" s="3"/>
      <c r="J863" s="3"/>
    </row>
    <row r="864">
      <c r="D864" s="3"/>
      <c r="G864" s="3"/>
      <c r="J864" s="3"/>
    </row>
    <row r="865">
      <c r="D865" s="3"/>
      <c r="G865" s="3"/>
      <c r="J865" s="3"/>
    </row>
    <row r="866">
      <c r="D866" s="3"/>
      <c r="G866" s="3"/>
      <c r="J866" s="3"/>
    </row>
    <row r="867">
      <c r="D867" s="3"/>
      <c r="G867" s="3"/>
      <c r="J867" s="3"/>
    </row>
    <row r="868">
      <c r="D868" s="3"/>
      <c r="G868" s="3"/>
      <c r="J868" s="3"/>
    </row>
    <row r="869">
      <c r="D869" s="3"/>
      <c r="G869" s="3"/>
      <c r="J869" s="3"/>
    </row>
    <row r="870">
      <c r="D870" s="3"/>
      <c r="G870" s="3"/>
      <c r="J870" s="3"/>
    </row>
    <row r="871">
      <c r="D871" s="3"/>
      <c r="G871" s="3"/>
      <c r="J871" s="3"/>
    </row>
    <row r="872">
      <c r="D872" s="3"/>
      <c r="G872" s="3"/>
      <c r="J872" s="3"/>
    </row>
    <row r="873">
      <c r="D873" s="3"/>
      <c r="G873" s="3"/>
      <c r="J873" s="3"/>
    </row>
    <row r="874">
      <c r="D874" s="3"/>
      <c r="G874" s="3"/>
      <c r="J874" s="3"/>
    </row>
    <row r="875">
      <c r="D875" s="3"/>
      <c r="G875" s="3"/>
      <c r="J875" s="3"/>
    </row>
    <row r="876">
      <c r="D876" s="3"/>
      <c r="G876" s="3"/>
      <c r="J876" s="3"/>
    </row>
    <row r="877">
      <c r="D877" s="3"/>
      <c r="G877" s="3"/>
      <c r="J877" s="3"/>
    </row>
    <row r="878">
      <c r="D878" s="3"/>
      <c r="G878" s="3"/>
      <c r="J878" s="3"/>
    </row>
    <row r="879">
      <c r="D879" s="3"/>
      <c r="G879" s="3"/>
      <c r="J879" s="3"/>
    </row>
    <row r="880">
      <c r="D880" s="3"/>
      <c r="G880" s="3"/>
      <c r="J880" s="3"/>
    </row>
    <row r="881">
      <c r="D881" s="3"/>
      <c r="G881" s="3"/>
      <c r="J881" s="3"/>
    </row>
    <row r="882">
      <c r="D882" s="3"/>
      <c r="G882" s="3"/>
      <c r="J882" s="3"/>
    </row>
    <row r="883">
      <c r="D883" s="3"/>
      <c r="G883" s="3"/>
      <c r="J883" s="3"/>
    </row>
    <row r="884">
      <c r="D884" s="3"/>
      <c r="G884" s="3"/>
      <c r="J884" s="3"/>
    </row>
    <row r="885">
      <c r="D885" s="3"/>
      <c r="G885" s="3"/>
      <c r="J885" s="3"/>
    </row>
    <row r="886">
      <c r="D886" s="3"/>
      <c r="G886" s="3"/>
      <c r="J886" s="3"/>
    </row>
    <row r="887">
      <c r="D887" s="3"/>
      <c r="G887" s="3"/>
      <c r="J887" s="3"/>
    </row>
    <row r="888">
      <c r="D888" s="3"/>
      <c r="G888" s="3"/>
      <c r="J888" s="3"/>
    </row>
    <row r="889">
      <c r="D889" s="3"/>
      <c r="G889" s="3"/>
      <c r="J889" s="3"/>
    </row>
    <row r="890">
      <c r="D890" s="3"/>
      <c r="G890" s="3"/>
      <c r="J890" s="3"/>
    </row>
    <row r="891">
      <c r="D891" s="3"/>
      <c r="G891" s="3"/>
      <c r="J891" s="3"/>
    </row>
    <row r="892">
      <c r="D892" s="3"/>
      <c r="G892" s="3"/>
      <c r="J892" s="3"/>
    </row>
    <row r="893">
      <c r="D893" s="3"/>
      <c r="G893" s="3"/>
      <c r="J893" s="3"/>
    </row>
    <row r="894">
      <c r="D894" s="3"/>
      <c r="G894" s="3"/>
      <c r="J894" s="3"/>
    </row>
    <row r="895">
      <c r="D895" s="3"/>
      <c r="G895" s="3"/>
      <c r="J895" s="3"/>
    </row>
    <row r="896">
      <c r="D896" s="3"/>
      <c r="G896" s="3"/>
      <c r="J896" s="3"/>
    </row>
    <row r="897">
      <c r="D897" s="3"/>
      <c r="G897" s="3"/>
      <c r="J897" s="3"/>
    </row>
    <row r="898">
      <c r="D898" s="3"/>
      <c r="G898" s="3"/>
      <c r="J898" s="3"/>
    </row>
    <row r="899">
      <c r="D899" s="3"/>
      <c r="G899" s="3"/>
      <c r="J899" s="3"/>
    </row>
    <row r="900">
      <c r="D900" s="3"/>
      <c r="G900" s="3"/>
      <c r="J900" s="3"/>
    </row>
    <row r="901">
      <c r="D901" s="3"/>
      <c r="G901" s="3"/>
      <c r="J901" s="3"/>
    </row>
    <row r="902">
      <c r="D902" s="3"/>
      <c r="G902" s="3"/>
      <c r="J902" s="3"/>
    </row>
    <row r="903">
      <c r="D903" s="3"/>
      <c r="G903" s="3"/>
      <c r="J903" s="3"/>
    </row>
    <row r="904">
      <c r="D904" s="3"/>
      <c r="G904" s="3"/>
      <c r="J904" s="3"/>
    </row>
    <row r="905">
      <c r="D905" s="3"/>
      <c r="G905" s="3"/>
      <c r="J905" s="3"/>
    </row>
    <row r="906">
      <c r="D906" s="3"/>
      <c r="G906" s="3"/>
      <c r="J906" s="3"/>
    </row>
    <row r="907">
      <c r="D907" s="3"/>
      <c r="G907" s="3"/>
      <c r="J907" s="3"/>
    </row>
    <row r="908">
      <c r="D908" s="3"/>
      <c r="G908" s="3"/>
      <c r="J908" s="3"/>
    </row>
    <row r="909">
      <c r="D909" s="3"/>
      <c r="G909" s="3"/>
      <c r="J909" s="3"/>
    </row>
    <row r="910">
      <c r="D910" s="3"/>
      <c r="G910" s="3"/>
      <c r="J910" s="3"/>
    </row>
    <row r="911">
      <c r="D911" s="3"/>
      <c r="G911" s="3"/>
      <c r="J911" s="3"/>
    </row>
    <row r="912">
      <c r="D912" s="3"/>
      <c r="G912" s="3"/>
      <c r="J912" s="3"/>
    </row>
    <row r="913">
      <c r="D913" s="3"/>
      <c r="G913" s="3"/>
      <c r="J913" s="3"/>
    </row>
    <row r="914">
      <c r="D914" s="3"/>
      <c r="G914" s="3"/>
      <c r="J914" s="3"/>
    </row>
    <row r="915">
      <c r="D915" s="3"/>
      <c r="G915" s="3"/>
      <c r="J915" s="3"/>
    </row>
    <row r="916">
      <c r="D916" s="3"/>
      <c r="G916" s="3"/>
      <c r="J916" s="3"/>
    </row>
    <row r="917">
      <c r="D917" s="3"/>
      <c r="G917" s="3"/>
      <c r="J917" s="3"/>
    </row>
    <row r="918">
      <c r="D918" s="3"/>
      <c r="G918" s="3"/>
      <c r="J918" s="3"/>
    </row>
    <row r="919">
      <c r="D919" s="3"/>
      <c r="G919" s="3"/>
      <c r="J919" s="3"/>
    </row>
    <row r="920">
      <c r="D920" s="3"/>
      <c r="G920" s="3"/>
      <c r="J920" s="3"/>
    </row>
    <row r="921">
      <c r="D921" s="3"/>
      <c r="G921" s="3"/>
      <c r="J921" s="3"/>
    </row>
    <row r="922">
      <c r="D922" s="3"/>
      <c r="G922" s="3"/>
      <c r="J922" s="3"/>
    </row>
    <row r="923">
      <c r="D923" s="3"/>
      <c r="G923" s="3"/>
      <c r="J923" s="3"/>
    </row>
    <row r="924">
      <c r="D924" s="3"/>
      <c r="G924" s="3"/>
      <c r="J924" s="3"/>
    </row>
    <row r="925">
      <c r="D925" s="3"/>
      <c r="G925" s="3"/>
      <c r="J925" s="3"/>
    </row>
    <row r="926">
      <c r="D926" s="3"/>
      <c r="G926" s="3"/>
      <c r="J926" s="3"/>
    </row>
    <row r="927">
      <c r="D927" s="3"/>
      <c r="G927" s="3"/>
      <c r="J927" s="3"/>
    </row>
    <row r="928">
      <c r="D928" s="3"/>
      <c r="G928" s="3"/>
      <c r="J928" s="3"/>
    </row>
    <row r="929">
      <c r="D929" s="3"/>
      <c r="G929" s="3"/>
      <c r="J929" s="3"/>
    </row>
    <row r="930">
      <c r="D930" s="3"/>
      <c r="G930" s="3"/>
      <c r="J930" s="3"/>
    </row>
    <row r="931">
      <c r="D931" s="3"/>
      <c r="G931" s="3"/>
      <c r="J931" s="3"/>
    </row>
    <row r="932">
      <c r="D932" s="3"/>
      <c r="G932" s="3"/>
      <c r="J932" s="3"/>
    </row>
    <row r="933">
      <c r="D933" s="3"/>
      <c r="G933" s="3"/>
      <c r="J933" s="3"/>
    </row>
    <row r="934">
      <c r="D934" s="3"/>
      <c r="G934" s="3"/>
      <c r="J934" s="3"/>
    </row>
    <row r="935">
      <c r="D935" s="3"/>
      <c r="G935" s="3"/>
      <c r="J935" s="3"/>
    </row>
    <row r="936">
      <c r="D936" s="3"/>
      <c r="G936" s="3"/>
      <c r="J936" s="3"/>
    </row>
    <row r="937">
      <c r="D937" s="3"/>
      <c r="G937" s="3"/>
      <c r="J937" s="3"/>
    </row>
    <row r="938">
      <c r="D938" s="3"/>
      <c r="G938" s="3"/>
      <c r="J938" s="3"/>
    </row>
    <row r="939">
      <c r="D939" s="3"/>
      <c r="G939" s="3"/>
      <c r="J939" s="3"/>
    </row>
    <row r="940">
      <c r="D940" s="3"/>
      <c r="G940" s="3"/>
      <c r="J940" s="3"/>
    </row>
    <row r="941">
      <c r="D941" s="3"/>
      <c r="G941" s="3"/>
      <c r="J941" s="3"/>
    </row>
    <row r="942">
      <c r="D942" s="3"/>
      <c r="G942" s="3"/>
      <c r="J942" s="3"/>
    </row>
    <row r="943">
      <c r="D943" s="3"/>
      <c r="G943" s="3"/>
      <c r="J943" s="3"/>
    </row>
    <row r="944">
      <c r="D944" s="3"/>
      <c r="G944" s="3"/>
      <c r="J944" s="3"/>
    </row>
    <row r="945">
      <c r="D945" s="3"/>
      <c r="G945" s="3"/>
      <c r="J945" s="3"/>
    </row>
    <row r="946">
      <c r="D946" s="3"/>
      <c r="G946" s="3"/>
      <c r="J946" s="3"/>
    </row>
    <row r="947">
      <c r="D947" s="3"/>
      <c r="G947" s="3"/>
      <c r="J947" s="3"/>
    </row>
    <row r="948">
      <c r="D948" s="3"/>
      <c r="G948" s="3"/>
      <c r="J948" s="3"/>
    </row>
    <row r="949">
      <c r="D949" s="3"/>
      <c r="G949" s="3"/>
      <c r="J949" s="3"/>
    </row>
    <row r="950">
      <c r="D950" s="3"/>
      <c r="G950" s="3"/>
      <c r="J950" s="3"/>
    </row>
    <row r="951">
      <c r="D951" s="3"/>
      <c r="G951" s="3"/>
      <c r="J951" s="3"/>
    </row>
    <row r="952">
      <c r="D952" s="3"/>
      <c r="G952" s="3"/>
      <c r="J952" s="3"/>
    </row>
    <row r="953">
      <c r="D953" s="3"/>
      <c r="G953" s="3"/>
      <c r="J953" s="3"/>
    </row>
    <row r="954">
      <c r="D954" s="3"/>
      <c r="G954" s="3"/>
      <c r="J954" s="3"/>
    </row>
    <row r="955">
      <c r="D955" s="3"/>
      <c r="G955" s="3"/>
      <c r="J955" s="3"/>
    </row>
    <row r="956">
      <c r="D956" s="3"/>
      <c r="G956" s="3"/>
      <c r="J956" s="3"/>
    </row>
    <row r="957">
      <c r="D957" s="3"/>
      <c r="G957" s="3"/>
      <c r="J957" s="3"/>
    </row>
    <row r="958">
      <c r="D958" s="3"/>
      <c r="G958" s="3"/>
      <c r="J958" s="3"/>
    </row>
    <row r="959">
      <c r="D959" s="3"/>
      <c r="G959" s="3"/>
      <c r="J959" s="3"/>
    </row>
    <row r="960">
      <c r="D960" s="3"/>
      <c r="G960" s="3"/>
      <c r="J960" s="3"/>
    </row>
    <row r="961">
      <c r="D961" s="3"/>
      <c r="G961" s="3"/>
      <c r="J961" s="3"/>
    </row>
    <row r="962">
      <c r="D962" s="3"/>
      <c r="G962" s="3"/>
      <c r="J962" s="3"/>
    </row>
    <row r="963">
      <c r="D963" s="3"/>
      <c r="G963" s="3"/>
      <c r="J963" s="3"/>
    </row>
    <row r="964">
      <c r="D964" s="3"/>
      <c r="G964" s="3"/>
      <c r="J964" s="3"/>
    </row>
    <row r="965">
      <c r="D965" s="3"/>
      <c r="G965" s="3"/>
      <c r="J965" s="3"/>
    </row>
    <row r="966">
      <c r="D966" s="3"/>
      <c r="G966" s="3"/>
      <c r="J966" s="3"/>
    </row>
    <row r="967">
      <c r="D967" s="3"/>
      <c r="G967" s="3"/>
      <c r="J967" s="3"/>
    </row>
    <row r="968">
      <c r="D968" s="3"/>
      <c r="G968" s="3"/>
      <c r="J968" s="3"/>
    </row>
    <row r="969">
      <c r="D969" s="3"/>
      <c r="G969" s="3"/>
      <c r="J969" s="3"/>
    </row>
    <row r="970">
      <c r="D970" s="3"/>
      <c r="G970" s="3"/>
      <c r="J970" s="3"/>
    </row>
    <row r="971">
      <c r="D971" s="3"/>
      <c r="G971" s="3"/>
      <c r="J971" s="3"/>
    </row>
    <row r="972">
      <c r="D972" s="3"/>
      <c r="G972" s="3"/>
      <c r="J972" s="3"/>
    </row>
    <row r="973">
      <c r="D973" s="3"/>
      <c r="G973" s="3"/>
      <c r="J973" s="3"/>
    </row>
    <row r="974">
      <c r="D974" s="3"/>
      <c r="G974" s="3"/>
      <c r="J974" s="3"/>
    </row>
    <row r="975">
      <c r="D975" s="3"/>
      <c r="G975" s="3"/>
      <c r="J975" s="3"/>
    </row>
    <row r="976">
      <c r="D976" s="3"/>
      <c r="G976" s="3"/>
      <c r="J976" s="3"/>
    </row>
    <row r="977">
      <c r="D977" s="3"/>
      <c r="G977" s="3"/>
      <c r="J977" s="3"/>
    </row>
    <row r="978">
      <c r="D978" s="3"/>
      <c r="G978" s="3"/>
      <c r="J978" s="3"/>
    </row>
    <row r="979">
      <c r="D979" s="3"/>
      <c r="G979" s="3"/>
      <c r="J979" s="3"/>
    </row>
    <row r="980">
      <c r="D980" s="3"/>
      <c r="G980" s="3"/>
      <c r="J980" s="3"/>
    </row>
    <row r="981">
      <c r="D981" s="3"/>
      <c r="G981" s="3"/>
      <c r="J981" s="3"/>
    </row>
    <row r="982">
      <c r="D982" s="3"/>
      <c r="G982" s="3"/>
      <c r="J982" s="3"/>
    </row>
    <row r="983">
      <c r="D983" s="3"/>
      <c r="G983" s="3"/>
      <c r="J983" s="3"/>
    </row>
    <row r="984">
      <c r="D984" s="3"/>
      <c r="G984" s="3"/>
      <c r="J984" s="3"/>
    </row>
    <row r="985">
      <c r="D985" s="3"/>
      <c r="G985" s="3"/>
      <c r="J985" s="3"/>
    </row>
    <row r="986">
      <c r="D986" s="3"/>
      <c r="G986" s="3"/>
      <c r="J986" s="3"/>
    </row>
    <row r="987">
      <c r="D987" s="3"/>
      <c r="G987" s="3"/>
      <c r="J987" s="3"/>
    </row>
    <row r="988">
      <c r="D988" s="3"/>
      <c r="G988" s="3"/>
      <c r="J988" s="3"/>
    </row>
    <row r="989">
      <c r="D989" s="3"/>
      <c r="G989" s="3"/>
      <c r="J989" s="3"/>
    </row>
    <row r="990">
      <c r="D990" s="3"/>
      <c r="G990" s="3"/>
      <c r="J990" s="3"/>
    </row>
    <row r="991">
      <c r="D991" s="3"/>
      <c r="G991" s="3"/>
      <c r="J991" s="3"/>
    </row>
    <row r="992">
      <c r="D992" s="3"/>
      <c r="G992" s="3"/>
      <c r="J992" s="3"/>
    </row>
    <row r="993">
      <c r="D993" s="3"/>
      <c r="G993" s="3"/>
      <c r="J993" s="3"/>
    </row>
    <row r="994">
      <c r="D994" s="3"/>
      <c r="G994" s="3"/>
      <c r="J994" s="3"/>
    </row>
    <row r="995">
      <c r="D995" s="3"/>
      <c r="G995" s="3"/>
      <c r="J995" s="3"/>
    </row>
    <row r="996">
      <c r="D996" s="3"/>
      <c r="G996" s="3"/>
      <c r="J996" s="3"/>
    </row>
    <row r="997">
      <c r="D997" s="3"/>
      <c r="G997" s="3"/>
      <c r="J997" s="3"/>
    </row>
    <row r="998">
      <c r="D998" s="3"/>
      <c r="G998" s="3"/>
      <c r="J998" s="3"/>
    </row>
    <row r="999">
      <c r="D999" s="3"/>
      <c r="G999" s="3"/>
      <c r="J999" s="3"/>
    </row>
    <row r="1000">
      <c r="D1000" s="3"/>
      <c r="G1000" s="3"/>
      <c r="J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f>IFERROR(__xludf.DUMMYFUNCTION("IFERROR(QUERY(FEB_2023!A:I, ""SELECT * WHERE D IS NOT NULL AND UPPER(I) = 'NURUL_AINI'"", 1), ""Data NURUL_AINI belum ditemukan"")"),46056.0)</f>
        <v>46056</v>
      </c>
      <c r="B1" s="5" t="str">
        <f>IFERROR(__xludf.DUMMYFUNCTION("""COMPUTED_VALUE"""),"TRSF E-BANKING DB")</f>
        <v>TRSF E-BANKING DB</v>
      </c>
      <c r="C1" s="5" t="str">
        <f>IFERROR(__xludf.DUMMYFUNCTION("""COMPUTED_VALUE"""),"0302/FTSCY/WS95031 150000.00 NURUL AINI")</f>
        <v>0302/FTSCY/WS95031 150000.00 NURUL AINI</v>
      </c>
      <c r="D1" s="3">
        <f>IFERROR(__xludf.DUMMYFUNCTION("""COMPUTED_VALUE"""),150000.0)</f>
        <v>150000</v>
      </c>
      <c r="E1" s="5"/>
      <c r="F1" s="5" t="str">
        <f>IFERROR(__xludf.DUMMYFUNCTION("""COMPUTED_VALUE"""),"DB")</f>
        <v>DB</v>
      </c>
      <c r="G1" s="3">
        <f>IFERROR(__xludf.DUMMYFUNCTION("""COMPUTED_VALUE"""),3466947.460000038)</f>
        <v>3466947.46</v>
      </c>
      <c r="H1" s="5" t="str">
        <f>IFERROR(__xludf.DUMMYFUNCTION("""COMPUTED_VALUE"""),"3,466,947.46")</f>
        <v>3,466,947.46</v>
      </c>
      <c r="I1" s="5" t="str">
        <f>IFERROR(__xludf.DUMMYFUNCTION("""COMPUTED_VALUE"""),"NURUL_AINI")</f>
        <v>NURUL_AINI</v>
      </c>
      <c r="J1" s="3">
        <f>SUM(D1:D1000)</f>
        <v>3160000</v>
      </c>
    </row>
    <row r="2">
      <c r="A2" s="5">
        <f>IFERROR(__xludf.DUMMYFUNCTION("""COMPUTED_VALUE"""),46057.0)</f>
        <v>46057</v>
      </c>
      <c r="B2" s="5" t="str">
        <f>IFERROR(__xludf.DUMMYFUNCTION("""COMPUTED_VALUE"""),"TRSF E-BANKING DB")</f>
        <v>TRSF E-BANKING DB</v>
      </c>
      <c r="C2" s="5" t="str">
        <f>IFERROR(__xludf.DUMMYFUNCTION("""COMPUTED_VALUE"""),"0402/FTSCY/WS95031 250000.00 NURUL AINI")</f>
        <v>0402/FTSCY/WS95031 250000.00 NURUL AINI</v>
      </c>
      <c r="D2" s="3">
        <f>IFERROR(__xludf.DUMMYFUNCTION("""COMPUTED_VALUE"""),250000.0)</f>
        <v>250000</v>
      </c>
      <c r="E2" s="5"/>
      <c r="F2" s="5" t="str">
        <f>IFERROR(__xludf.DUMMYFUNCTION("""COMPUTED_VALUE"""),"DB")</f>
        <v>DB</v>
      </c>
      <c r="G2" s="3">
        <f>IFERROR(__xludf.DUMMYFUNCTION("""COMPUTED_VALUE"""),1.5465795746000004E8)</f>
        <v>154657957.5</v>
      </c>
      <c r="H2" s="5" t="str">
        <f>IFERROR(__xludf.DUMMYFUNCTION("""COMPUTED_VALUE"""),"154,657,957.46")</f>
        <v>154,657,957.46</v>
      </c>
      <c r="I2" s="5" t="str">
        <f>IFERROR(__xludf.DUMMYFUNCTION("""COMPUTED_VALUE"""),"NURUL_AINI")</f>
        <v>NURUL_AINI</v>
      </c>
      <c r="J2" s="3"/>
    </row>
    <row r="3">
      <c r="A3" s="5">
        <f>IFERROR(__xludf.DUMMYFUNCTION("""COMPUTED_VALUE"""),46061.0)</f>
        <v>46061</v>
      </c>
      <c r="B3" s="5" t="str">
        <f>IFERROR(__xludf.DUMMYFUNCTION("""COMPUTED_VALUE"""),"TRSF E-BANKING DB")</f>
        <v>TRSF E-BANKING DB</v>
      </c>
      <c r="C3" s="5" t="str">
        <f>IFERROR(__xludf.DUMMYFUNCTION("""COMPUTED_VALUE"""),"0802/FTSCY/WS95031 10000.00 NURUL AINI")</f>
        <v>0802/FTSCY/WS95031 10000.00 NURUL AINI</v>
      </c>
      <c r="D3" s="3">
        <f>IFERROR(__xludf.DUMMYFUNCTION("""COMPUTED_VALUE"""),10000.0)</f>
        <v>10000</v>
      </c>
      <c r="E3" s="5"/>
      <c r="F3" s="5" t="str">
        <f>IFERROR(__xludf.DUMMYFUNCTION("""COMPUTED_VALUE"""),"DB")</f>
        <v>DB</v>
      </c>
      <c r="G3" s="3">
        <f>IFERROR(__xludf.DUMMYFUNCTION("""COMPUTED_VALUE"""),61127.46000003815)</f>
        <v>61127.46</v>
      </c>
      <c r="H3" s="5"/>
      <c r="I3" s="5" t="str">
        <f>IFERROR(__xludf.DUMMYFUNCTION("""COMPUTED_VALUE"""),"NURUL_AINI")</f>
        <v>NURUL_AINI</v>
      </c>
      <c r="J3" s="3"/>
    </row>
    <row r="4">
      <c r="A4" s="5">
        <f>IFERROR(__xludf.DUMMYFUNCTION("""COMPUTED_VALUE"""),46061.0)</f>
        <v>46061</v>
      </c>
      <c r="B4" s="5" t="str">
        <f>IFERROR(__xludf.DUMMYFUNCTION("""COMPUTED_VALUE"""),"TRSF E-BANKING DB")</f>
        <v>TRSF E-BANKING DB</v>
      </c>
      <c r="C4" s="5" t="str">
        <f>IFERROR(__xludf.DUMMYFUNCTION("""COMPUTED_VALUE"""),"0802/FTSCY/WS95031 450000.00 NURUL AINI")</f>
        <v>0802/FTSCY/WS95031 450000.00 NURUL AINI</v>
      </c>
      <c r="D4" s="3">
        <f>IFERROR(__xludf.DUMMYFUNCTION("""COMPUTED_VALUE"""),450000.0)</f>
        <v>450000</v>
      </c>
      <c r="E4" s="5"/>
      <c r="F4" s="5" t="str">
        <f>IFERROR(__xludf.DUMMYFUNCTION("""COMPUTED_VALUE"""),"DB")</f>
        <v>DB</v>
      </c>
      <c r="G4" s="3">
        <f>IFERROR(__xludf.DUMMYFUNCTION("""COMPUTED_VALUE"""),1.5565255646000004E8)</f>
        <v>155652556.5</v>
      </c>
      <c r="H4" s="5"/>
      <c r="I4" s="5" t="str">
        <f>IFERROR(__xludf.DUMMYFUNCTION("""COMPUTED_VALUE"""),"NURUL_AINI")</f>
        <v>NURUL_AINI</v>
      </c>
      <c r="J4" s="3"/>
    </row>
    <row r="5">
      <c r="A5" s="5">
        <f>IFERROR(__xludf.DUMMYFUNCTION("""COMPUTED_VALUE"""),46069.0)</f>
        <v>46069</v>
      </c>
      <c r="B5" s="5" t="str">
        <f>IFERROR(__xludf.DUMMYFUNCTION("""COMPUTED_VALUE"""),"TRSF E-BANKING DB")</f>
        <v>TRSF E-BANKING DB</v>
      </c>
      <c r="C5" s="5" t="str">
        <f>IFERROR(__xludf.DUMMYFUNCTION("""COMPUTED_VALUE"""),"1602/FTSCY/WS95031 2000000.00 NURUL AINI")</f>
        <v>1602/FTSCY/WS95031 2000000.00 NURUL AINI</v>
      </c>
      <c r="D5" s="3">
        <f>IFERROR(__xludf.DUMMYFUNCTION("""COMPUTED_VALUE"""),2000000.0)</f>
        <v>2000000</v>
      </c>
      <c r="E5" s="5"/>
      <c r="F5" s="5" t="str">
        <f>IFERROR(__xludf.DUMMYFUNCTION("""COMPUTED_VALUE"""),"DB")</f>
        <v>DB</v>
      </c>
      <c r="G5" s="3">
        <f>IFERROR(__xludf.DUMMYFUNCTION("""COMPUTED_VALUE"""),1.4616385146000004E8)</f>
        <v>146163851.5</v>
      </c>
      <c r="H5" s="5"/>
      <c r="I5" s="5" t="str">
        <f>IFERROR(__xludf.DUMMYFUNCTION("""COMPUTED_VALUE"""),"NURUL_AINI")</f>
        <v>NURUL_AINI</v>
      </c>
      <c r="J5" s="3"/>
    </row>
    <row r="6">
      <c r="A6" s="5">
        <f>IFERROR(__xludf.DUMMYFUNCTION("""COMPUTED_VALUE"""),46076.0)</f>
        <v>46076</v>
      </c>
      <c r="B6" s="5" t="str">
        <f>IFERROR(__xludf.DUMMYFUNCTION("""COMPUTED_VALUE"""),"TRSF E-BANKING DB")</f>
        <v>TRSF E-BANKING DB</v>
      </c>
      <c r="C6" s="5" t="str">
        <f>IFERROR(__xludf.DUMMYFUNCTION("""COMPUTED_VALUE"""),"2302/FTSCY/WS95031 300000.00 NURUL AINI")</f>
        <v>2302/FTSCY/WS95031 300000.00 NURUL AINI</v>
      </c>
      <c r="D6" s="3">
        <f>IFERROR(__xludf.DUMMYFUNCTION("""COMPUTED_VALUE"""),300000.0)</f>
        <v>300000</v>
      </c>
      <c r="E6" s="5"/>
      <c r="F6" s="5" t="str">
        <f>IFERROR(__xludf.DUMMYFUNCTION("""COMPUTED_VALUE"""),"DB")</f>
        <v>DB</v>
      </c>
      <c r="G6" s="3">
        <f>IFERROR(__xludf.DUMMYFUNCTION("""COMPUTED_VALUE"""),4.3575681646000004E8)</f>
        <v>435756816.5</v>
      </c>
      <c r="H6" s="5"/>
      <c r="I6" s="5" t="str">
        <f>IFERROR(__xludf.DUMMYFUNCTION("""COMPUTED_VALUE"""),"NURUL_AINI")</f>
        <v>NURUL_AINI</v>
      </c>
      <c r="J6" s="3"/>
    </row>
    <row r="7">
      <c r="D7" s="3"/>
      <c r="G7" s="3"/>
      <c r="J7" s="3"/>
    </row>
    <row r="8">
      <c r="D8" s="3"/>
      <c r="G8" s="3"/>
      <c r="J8" s="3"/>
    </row>
    <row r="9">
      <c r="D9" s="3"/>
      <c r="G9" s="3"/>
      <c r="J9" s="3"/>
    </row>
    <row r="10">
      <c r="D10" s="3"/>
      <c r="G10" s="3"/>
      <c r="J10" s="3"/>
    </row>
    <row r="11">
      <c r="D11" s="3"/>
      <c r="G11" s="3"/>
      <c r="J11" s="3"/>
    </row>
    <row r="12">
      <c r="D12" s="3"/>
      <c r="G12" s="3"/>
      <c r="J12" s="3"/>
    </row>
    <row r="13">
      <c r="D13" s="3"/>
      <c r="G13" s="3"/>
      <c r="J13" s="3"/>
    </row>
    <row r="14">
      <c r="D14" s="3"/>
      <c r="G14" s="3"/>
      <c r="J14" s="3"/>
    </row>
    <row r="15">
      <c r="D15" s="3"/>
      <c r="G15" s="3"/>
      <c r="J15" s="3"/>
    </row>
    <row r="16">
      <c r="D16" s="3"/>
      <c r="G16" s="3"/>
      <c r="J16" s="3"/>
    </row>
    <row r="17">
      <c r="D17" s="3"/>
      <c r="G17" s="3"/>
      <c r="J17" s="3"/>
    </row>
    <row r="18">
      <c r="D18" s="3"/>
      <c r="G18" s="3"/>
      <c r="J18" s="3"/>
    </row>
    <row r="19">
      <c r="D19" s="3"/>
      <c r="G19" s="3"/>
      <c r="J19" s="3"/>
    </row>
    <row r="20">
      <c r="D20" s="3"/>
      <c r="G20" s="3"/>
      <c r="J20" s="3"/>
    </row>
    <row r="21">
      <c r="D21" s="3"/>
      <c r="G21" s="3"/>
      <c r="J21" s="3"/>
    </row>
    <row r="22">
      <c r="D22" s="3"/>
      <c r="G22" s="3"/>
      <c r="J22" s="3"/>
    </row>
    <row r="23">
      <c r="D23" s="3"/>
      <c r="G23" s="3"/>
      <c r="J23" s="3"/>
    </row>
    <row r="24">
      <c r="D24" s="3"/>
      <c r="G24" s="3"/>
      <c r="J24" s="3"/>
    </row>
    <row r="25">
      <c r="D25" s="3"/>
      <c r="G25" s="3"/>
      <c r="J25" s="3"/>
    </row>
    <row r="26">
      <c r="D26" s="3"/>
      <c r="G26" s="3"/>
      <c r="J26" s="3"/>
    </row>
    <row r="27">
      <c r="D27" s="3"/>
      <c r="G27" s="3"/>
      <c r="J27" s="3"/>
    </row>
    <row r="28">
      <c r="D28" s="3"/>
      <c r="G28" s="3"/>
      <c r="J28" s="3"/>
    </row>
    <row r="29">
      <c r="D29" s="3"/>
      <c r="G29" s="3"/>
      <c r="J29" s="3"/>
    </row>
    <row r="30">
      <c r="D30" s="3"/>
      <c r="G30" s="3"/>
      <c r="J30" s="3"/>
    </row>
    <row r="31">
      <c r="D31" s="3"/>
      <c r="G31" s="3"/>
      <c r="J31" s="3"/>
    </row>
    <row r="32">
      <c r="D32" s="3"/>
      <c r="G32" s="3"/>
      <c r="J32" s="3"/>
    </row>
    <row r="33">
      <c r="D33" s="3"/>
      <c r="G33" s="3"/>
      <c r="J33" s="3"/>
    </row>
    <row r="34">
      <c r="D34" s="3"/>
      <c r="G34" s="3"/>
      <c r="J34" s="3"/>
    </row>
    <row r="35">
      <c r="D35" s="3"/>
      <c r="G35" s="3"/>
      <c r="J35" s="3"/>
    </row>
    <row r="36">
      <c r="D36" s="3"/>
      <c r="G36" s="3"/>
      <c r="J36" s="3"/>
    </row>
    <row r="37">
      <c r="D37" s="3"/>
      <c r="G37" s="3"/>
      <c r="J37" s="3"/>
    </row>
    <row r="38">
      <c r="D38" s="3"/>
      <c r="G38" s="3"/>
      <c r="J38" s="3"/>
    </row>
    <row r="39">
      <c r="D39" s="3"/>
      <c r="G39" s="3"/>
      <c r="J39" s="3"/>
    </row>
    <row r="40">
      <c r="D40" s="3"/>
      <c r="G40" s="3"/>
      <c r="J40" s="3"/>
    </row>
    <row r="41">
      <c r="D41" s="3"/>
      <c r="G41" s="3"/>
      <c r="J41" s="3"/>
    </row>
    <row r="42">
      <c r="D42" s="3"/>
      <c r="G42" s="3"/>
      <c r="J42" s="3"/>
    </row>
    <row r="43">
      <c r="D43" s="3"/>
      <c r="G43" s="3"/>
      <c r="J43" s="3"/>
    </row>
    <row r="44">
      <c r="D44" s="3"/>
      <c r="G44" s="3"/>
      <c r="J44" s="3"/>
    </row>
    <row r="45">
      <c r="D45" s="3"/>
      <c r="G45" s="3"/>
      <c r="J45" s="3"/>
    </row>
    <row r="46">
      <c r="D46" s="3"/>
      <c r="G46" s="3"/>
      <c r="J46" s="3"/>
    </row>
    <row r="47">
      <c r="D47" s="3"/>
      <c r="G47" s="3"/>
      <c r="J47" s="3"/>
    </row>
    <row r="48">
      <c r="D48" s="3"/>
      <c r="G48" s="3"/>
      <c r="J48" s="3"/>
    </row>
    <row r="49">
      <c r="D49" s="3"/>
      <c r="G49" s="3"/>
      <c r="J49" s="3"/>
    </row>
    <row r="50">
      <c r="D50" s="3"/>
      <c r="G50" s="3"/>
      <c r="J50" s="3"/>
    </row>
    <row r="51">
      <c r="D51" s="3"/>
      <c r="G51" s="3"/>
      <c r="J51" s="3"/>
    </row>
    <row r="52">
      <c r="D52" s="3"/>
      <c r="G52" s="3"/>
      <c r="J52" s="3"/>
    </row>
    <row r="53">
      <c r="D53" s="3"/>
      <c r="G53" s="3"/>
      <c r="J53" s="3"/>
    </row>
    <row r="54">
      <c r="D54" s="3"/>
      <c r="G54" s="3"/>
      <c r="J54" s="3"/>
    </row>
    <row r="55">
      <c r="D55" s="3"/>
      <c r="G55" s="3"/>
      <c r="J55" s="3"/>
    </row>
    <row r="56">
      <c r="D56" s="3"/>
      <c r="G56" s="3"/>
      <c r="J56" s="3"/>
    </row>
    <row r="57">
      <c r="D57" s="3"/>
      <c r="G57" s="3"/>
      <c r="J57" s="3"/>
    </row>
    <row r="58">
      <c r="D58" s="3"/>
      <c r="G58" s="3"/>
      <c r="J58" s="3"/>
    </row>
    <row r="59">
      <c r="D59" s="3"/>
      <c r="G59" s="3"/>
      <c r="J59" s="3"/>
    </row>
    <row r="60">
      <c r="D60" s="3"/>
      <c r="G60" s="3"/>
      <c r="J60" s="3"/>
    </row>
    <row r="61">
      <c r="D61" s="3"/>
      <c r="G61" s="3"/>
      <c r="J61" s="3"/>
    </row>
    <row r="62">
      <c r="D62" s="3"/>
      <c r="G62" s="3"/>
      <c r="J62" s="3"/>
    </row>
    <row r="63">
      <c r="D63" s="3"/>
      <c r="G63" s="3"/>
      <c r="J63" s="3"/>
    </row>
    <row r="64">
      <c r="D64" s="3"/>
      <c r="G64" s="3"/>
      <c r="J64" s="3"/>
    </row>
    <row r="65">
      <c r="D65" s="3"/>
      <c r="G65" s="3"/>
      <c r="J65" s="3"/>
    </row>
    <row r="66">
      <c r="D66" s="3"/>
      <c r="G66" s="3"/>
      <c r="J66" s="3"/>
    </row>
    <row r="67">
      <c r="D67" s="3"/>
      <c r="G67" s="3"/>
      <c r="J67" s="3"/>
    </row>
    <row r="68">
      <c r="D68" s="3"/>
      <c r="G68" s="3"/>
      <c r="J68" s="3"/>
    </row>
    <row r="69">
      <c r="D69" s="3"/>
      <c r="G69" s="3"/>
      <c r="J69" s="3"/>
    </row>
    <row r="70">
      <c r="D70" s="3"/>
      <c r="G70" s="3"/>
      <c r="J70" s="3"/>
    </row>
    <row r="71">
      <c r="D71" s="3"/>
      <c r="G71" s="3"/>
      <c r="J71" s="3"/>
    </row>
    <row r="72">
      <c r="D72" s="3"/>
      <c r="G72" s="3"/>
      <c r="J72" s="3"/>
    </row>
    <row r="73">
      <c r="D73" s="3"/>
      <c r="G73" s="3"/>
      <c r="J73" s="3"/>
    </row>
    <row r="74">
      <c r="D74" s="3"/>
      <c r="G74" s="3"/>
      <c r="J74" s="3"/>
    </row>
    <row r="75">
      <c r="D75" s="3"/>
      <c r="G75" s="3"/>
      <c r="J75" s="3"/>
    </row>
    <row r="76">
      <c r="D76" s="3"/>
      <c r="G76" s="3"/>
      <c r="J76" s="3"/>
    </row>
    <row r="77">
      <c r="D77" s="3"/>
      <c r="G77" s="3"/>
      <c r="J77" s="3"/>
    </row>
    <row r="78">
      <c r="D78" s="3"/>
      <c r="G78" s="3"/>
      <c r="J78" s="3"/>
    </row>
    <row r="79">
      <c r="D79" s="3"/>
      <c r="G79" s="3"/>
      <c r="J79" s="3"/>
    </row>
    <row r="80">
      <c r="D80" s="3"/>
      <c r="G80" s="3"/>
      <c r="J80" s="3"/>
    </row>
    <row r="81">
      <c r="D81" s="3"/>
      <c r="G81" s="3"/>
      <c r="J81" s="3"/>
    </row>
    <row r="82">
      <c r="D82" s="3"/>
      <c r="G82" s="3"/>
      <c r="J82" s="3"/>
    </row>
    <row r="83">
      <c r="D83" s="3"/>
      <c r="G83" s="3"/>
      <c r="J83" s="3"/>
    </row>
    <row r="84">
      <c r="D84" s="3"/>
      <c r="G84" s="3"/>
      <c r="J84" s="3"/>
    </row>
    <row r="85">
      <c r="D85" s="3"/>
      <c r="G85" s="3"/>
      <c r="J85" s="3"/>
    </row>
    <row r="86">
      <c r="D86" s="3"/>
      <c r="G86" s="3"/>
      <c r="J86" s="3"/>
    </row>
    <row r="87">
      <c r="D87" s="3"/>
      <c r="G87" s="3"/>
      <c r="J87" s="3"/>
    </row>
    <row r="88">
      <c r="D88" s="3"/>
      <c r="G88" s="3"/>
      <c r="J88" s="3"/>
    </row>
    <row r="89">
      <c r="D89" s="3"/>
      <c r="G89" s="3"/>
      <c r="J89" s="3"/>
    </row>
    <row r="90">
      <c r="D90" s="3"/>
      <c r="G90" s="3"/>
      <c r="J90" s="3"/>
    </row>
    <row r="91">
      <c r="D91" s="3"/>
      <c r="G91" s="3"/>
      <c r="J91" s="3"/>
    </row>
    <row r="92">
      <c r="D92" s="3"/>
      <c r="G92" s="3"/>
      <c r="J92" s="3"/>
    </row>
    <row r="93">
      <c r="D93" s="3"/>
      <c r="G93" s="3"/>
      <c r="J93" s="3"/>
    </row>
    <row r="94">
      <c r="D94" s="3"/>
      <c r="G94" s="3"/>
      <c r="J94" s="3"/>
    </row>
    <row r="95">
      <c r="D95" s="3"/>
      <c r="G95" s="3"/>
      <c r="J95" s="3"/>
    </row>
    <row r="96">
      <c r="D96" s="3"/>
      <c r="G96" s="3"/>
      <c r="J96" s="3"/>
    </row>
    <row r="97">
      <c r="D97" s="3"/>
      <c r="G97" s="3"/>
      <c r="J97" s="3"/>
    </row>
    <row r="98">
      <c r="D98" s="3"/>
      <c r="G98" s="3"/>
      <c r="J98" s="3"/>
    </row>
    <row r="99">
      <c r="D99" s="3"/>
      <c r="G99" s="3"/>
      <c r="J99" s="3"/>
    </row>
    <row r="100">
      <c r="D100" s="3"/>
      <c r="G100" s="3"/>
      <c r="J100" s="3"/>
    </row>
    <row r="101">
      <c r="D101" s="3"/>
      <c r="G101" s="3"/>
      <c r="J101" s="3"/>
    </row>
    <row r="102">
      <c r="D102" s="3"/>
      <c r="G102" s="3"/>
      <c r="J102" s="3"/>
    </row>
    <row r="103">
      <c r="D103" s="3"/>
      <c r="G103" s="3"/>
      <c r="J103" s="3"/>
    </row>
    <row r="104">
      <c r="D104" s="3"/>
      <c r="G104" s="3"/>
      <c r="J104" s="3"/>
    </row>
    <row r="105">
      <c r="D105" s="3"/>
      <c r="G105" s="3"/>
      <c r="J105" s="3"/>
    </row>
    <row r="106">
      <c r="D106" s="3"/>
      <c r="G106" s="3"/>
      <c r="J106" s="3"/>
    </row>
    <row r="107">
      <c r="D107" s="3"/>
      <c r="G107" s="3"/>
      <c r="J107" s="3"/>
    </row>
    <row r="108">
      <c r="D108" s="3"/>
      <c r="G108" s="3"/>
      <c r="J108" s="3"/>
    </row>
    <row r="109">
      <c r="D109" s="3"/>
      <c r="G109" s="3"/>
      <c r="J109" s="3"/>
    </row>
    <row r="110">
      <c r="D110" s="3"/>
      <c r="G110" s="3"/>
      <c r="J110" s="3"/>
    </row>
    <row r="111">
      <c r="D111" s="3"/>
      <c r="G111" s="3"/>
      <c r="J111" s="3"/>
    </row>
    <row r="112">
      <c r="D112" s="3"/>
      <c r="G112" s="3"/>
      <c r="J112" s="3"/>
    </row>
    <row r="113">
      <c r="D113" s="3"/>
      <c r="G113" s="3"/>
      <c r="J113" s="3"/>
    </row>
    <row r="114">
      <c r="D114" s="3"/>
      <c r="G114" s="3"/>
      <c r="J114" s="3"/>
    </row>
    <row r="115">
      <c r="D115" s="3"/>
      <c r="G115" s="3"/>
      <c r="J115" s="3"/>
    </row>
    <row r="116">
      <c r="D116" s="3"/>
      <c r="G116" s="3"/>
      <c r="J116" s="3"/>
    </row>
    <row r="117">
      <c r="D117" s="3"/>
      <c r="G117" s="3"/>
      <c r="J117" s="3"/>
    </row>
    <row r="118">
      <c r="D118" s="3"/>
      <c r="G118" s="3"/>
      <c r="J118" s="3"/>
    </row>
    <row r="119">
      <c r="D119" s="3"/>
      <c r="G119" s="3"/>
      <c r="J119" s="3"/>
    </row>
    <row r="120">
      <c r="D120" s="3"/>
      <c r="G120" s="3"/>
      <c r="J120" s="3"/>
    </row>
    <row r="121">
      <c r="D121" s="3"/>
      <c r="G121" s="3"/>
      <c r="J121" s="3"/>
    </row>
    <row r="122">
      <c r="D122" s="3"/>
      <c r="G122" s="3"/>
      <c r="J122" s="3"/>
    </row>
    <row r="123">
      <c r="D123" s="3"/>
      <c r="G123" s="3"/>
      <c r="J123" s="3"/>
    </row>
    <row r="124">
      <c r="D124" s="3"/>
      <c r="G124" s="3"/>
      <c r="J124" s="3"/>
    </row>
    <row r="125">
      <c r="D125" s="3"/>
      <c r="G125" s="3"/>
      <c r="J125" s="3"/>
    </row>
    <row r="126">
      <c r="D126" s="3"/>
      <c r="G126" s="3"/>
      <c r="J126" s="3"/>
    </row>
    <row r="127">
      <c r="D127" s="3"/>
      <c r="G127" s="3"/>
      <c r="J127" s="3"/>
    </row>
    <row r="128">
      <c r="D128" s="3"/>
      <c r="G128" s="3"/>
      <c r="J128" s="3"/>
    </row>
    <row r="129">
      <c r="D129" s="3"/>
      <c r="G129" s="3"/>
      <c r="J129" s="3"/>
    </row>
    <row r="130">
      <c r="D130" s="3"/>
      <c r="G130" s="3"/>
      <c r="J130" s="3"/>
    </row>
    <row r="131">
      <c r="D131" s="3"/>
      <c r="G131" s="3"/>
      <c r="J131" s="3"/>
    </row>
    <row r="132">
      <c r="D132" s="3"/>
      <c r="G132" s="3"/>
      <c r="J132" s="3"/>
    </row>
    <row r="133">
      <c r="D133" s="3"/>
      <c r="G133" s="3"/>
      <c r="J133" s="3"/>
    </row>
    <row r="134">
      <c r="D134" s="3"/>
      <c r="G134" s="3"/>
      <c r="J134" s="3"/>
    </row>
    <row r="135">
      <c r="D135" s="3"/>
      <c r="G135" s="3"/>
      <c r="J135" s="3"/>
    </row>
    <row r="136">
      <c r="D136" s="3"/>
      <c r="G136" s="3"/>
      <c r="J136" s="3"/>
    </row>
    <row r="137">
      <c r="D137" s="3"/>
      <c r="G137" s="3"/>
      <c r="J137" s="3"/>
    </row>
    <row r="138">
      <c r="D138" s="3"/>
      <c r="G138" s="3"/>
      <c r="J138" s="3"/>
    </row>
    <row r="139">
      <c r="D139" s="3"/>
      <c r="G139" s="3"/>
      <c r="J139" s="3"/>
    </row>
    <row r="140">
      <c r="D140" s="3"/>
      <c r="G140" s="3"/>
      <c r="J140" s="3"/>
    </row>
    <row r="141">
      <c r="D141" s="3"/>
      <c r="G141" s="3"/>
      <c r="J141" s="3"/>
    </row>
    <row r="142">
      <c r="D142" s="3"/>
      <c r="G142" s="3"/>
      <c r="J142" s="3"/>
    </row>
    <row r="143">
      <c r="D143" s="3"/>
      <c r="G143" s="3"/>
      <c r="J143" s="3"/>
    </row>
    <row r="144">
      <c r="D144" s="3"/>
      <c r="G144" s="3"/>
      <c r="J144" s="3"/>
    </row>
    <row r="145">
      <c r="D145" s="3"/>
      <c r="G145" s="3"/>
      <c r="J145" s="3"/>
    </row>
    <row r="146">
      <c r="D146" s="3"/>
      <c r="G146" s="3"/>
      <c r="J146" s="3"/>
    </row>
    <row r="147">
      <c r="D147" s="3"/>
      <c r="G147" s="3"/>
      <c r="J147" s="3"/>
    </row>
    <row r="148">
      <c r="D148" s="3"/>
      <c r="G148" s="3"/>
      <c r="J148" s="3"/>
    </row>
    <row r="149">
      <c r="D149" s="3"/>
      <c r="G149" s="3"/>
      <c r="J149" s="3"/>
    </row>
    <row r="150">
      <c r="D150" s="3"/>
      <c r="G150" s="3"/>
      <c r="J150" s="3"/>
    </row>
    <row r="151">
      <c r="D151" s="3"/>
      <c r="G151" s="3"/>
      <c r="J151" s="3"/>
    </row>
    <row r="152">
      <c r="D152" s="3"/>
      <c r="G152" s="3"/>
      <c r="J152" s="3"/>
    </row>
    <row r="153">
      <c r="D153" s="3"/>
      <c r="G153" s="3"/>
      <c r="J153" s="3"/>
    </row>
    <row r="154">
      <c r="D154" s="3"/>
      <c r="G154" s="3"/>
      <c r="J154" s="3"/>
    </row>
    <row r="155">
      <c r="D155" s="3"/>
      <c r="G155" s="3"/>
      <c r="J155" s="3"/>
    </row>
    <row r="156">
      <c r="D156" s="3"/>
      <c r="G156" s="3"/>
      <c r="J156" s="3"/>
    </row>
    <row r="157">
      <c r="D157" s="3"/>
      <c r="G157" s="3"/>
      <c r="J157" s="3"/>
    </row>
    <row r="158">
      <c r="D158" s="3"/>
      <c r="G158" s="3"/>
      <c r="J158" s="3"/>
    </row>
    <row r="159">
      <c r="D159" s="3"/>
      <c r="G159" s="3"/>
      <c r="J159" s="3"/>
    </row>
    <row r="160">
      <c r="D160" s="3"/>
      <c r="G160" s="3"/>
      <c r="J160" s="3"/>
    </row>
    <row r="161">
      <c r="D161" s="3"/>
      <c r="G161" s="3"/>
      <c r="J161" s="3"/>
    </row>
    <row r="162">
      <c r="D162" s="3"/>
      <c r="G162" s="3"/>
      <c r="J162" s="3"/>
    </row>
    <row r="163">
      <c r="D163" s="3"/>
      <c r="G163" s="3"/>
      <c r="J163" s="3"/>
    </row>
    <row r="164">
      <c r="D164" s="3"/>
      <c r="G164" s="3"/>
      <c r="J164" s="3"/>
    </row>
    <row r="165">
      <c r="D165" s="3"/>
      <c r="G165" s="3"/>
      <c r="J165" s="3"/>
    </row>
    <row r="166">
      <c r="D166" s="3"/>
      <c r="G166" s="3"/>
      <c r="J166" s="3"/>
    </row>
    <row r="167">
      <c r="D167" s="3"/>
      <c r="G167" s="3"/>
      <c r="J167" s="3"/>
    </row>
    <row r="168">
      <c r="D168" s="3"/>
      <c r="G168" s="3"/>
      <c r="J168" s="3"/>
    </row>
    <row r="169">
      <c r="D169" s="3"/>
      <c r="G169" s="3"/>
      <c r="J169" s="3"/>
    </row>
    <row r="170">
      <c r="D170" s="3"/>
      <c r="G170" s="3"/>
      <c r="J170" s="3"/>
    </row>
    <row r="171">
      <c r="D171" s="3"/>
      <c r="G171" s="3"/>
      <c r="J171" s="3"/>
    </row>
    <row r="172">
      <c r="D172" s="3"/>
      <c r="G172" s="3"/>
      <c r="J172" s="3"/>
    </row>
    <row r="173">
      <c r="D173" s="3"/>
      <c r="G173" s="3"/>
      <c r="J173" s="3"/>
    </row>
    <row r="174">
      <c r="D174" s="3"/>
      <c r="G174" s="3"/>
      <c r="J174" s="3"/>
    </row>
    <row r="175">
      <c r="D175" s="3"/>
      <c r="G175" s="3"/>
      <c r="J175" s="3"/>
    </row>
    <row r="176">
      <c r="D176" s="3"/>
      <c r="G176" s="3"/>
      <c r="J176" s="3"/>
    </row>
    <row r="177">
      <c r="D177" s="3"/>
      <c r="G177" s="3"/>
      <c r="J177" s="3"/>
    </row>
    <row r="178">
      <c r="D178" s="3"/>
      <c r="G178" s="3"/>
      <c r="J178" s="3"/>
    </row>
    <row r="179">
      <c r="D179" s="3"/>
      <c r="G179" s="3"/>
      <c r="J179" s="3"/>
    </row>
    <row r="180">
      <c r="D180" s="3"/>
      <c r="G180" s="3"/>
      <c r="J180" s="3"/>
    </row>
    <row r="181">
      <c r="D181" s="3"/>
      <c r="G181" s="3"/>
      <c r="J181" s="3"/>
    </row>
    <row r="182">
      <c r="D182" s="3"/>
      <c r="G182" s="3"/>
      <c r="J182" s="3"/>
    </row>
    <row r="183">
      <c r="D183" s="3"/>
      <c r="G183" s="3"/>
      <c r="J183" s="3"/>
    </row>
    <row r="184">
      <c r="D184" s="3"/>
      <c r="G184" s="3"/>
      <c r="J184" s="3"/>
    </row>
    <row r="185">
      <c r="D185" s="3"/>
      <c r="G185" s="3"/>
      <c r="J185" s="3"/>
    </row>
    <row r="186">
      <c r="D186" s="3"/>
      <c r="G186" s="3"/>
      <c r="J186" s="3"/>
    </row>
    <row r="187">
      <c r="D187" s="3"/>
      <c r="G187" s="3"/>
      <c r="J187" s="3"/>
    </row>
    <row r="188">
      <c r="D188" s="3"/>
      <c r="G188" s="3"/>
      <c r="J188" s="3"/>
    </row>
    <row r="189">
      <c r="D189" s="3"/>
      <c r="G189" s="3"/>
      <c r="J189" s="3"/>
    </row>
    <row r="190">
      <c r="D190" s="3"/>
      <c r="G190" s="3"/>
      <c r="J190" s="3"/>
    </row>
    <row r="191">
      <c r="D191" s="3"/>
      <c r="G191" s="3"/>
      <c r="J191" s="3"/>
    </row>
    <row r="192">
      <c r="D192" s="3"/>
      <c r="G192" s="3"/>
      <c r="J192" s="3"/>
    </row>
    <row r="193">
      <c r="D193" s="3"/>
      <c r="G193" s="3"/>
      <c r="J193" s="3"/>
    </row>
    <row r="194">
      <c r="D194" s="3"/>
      <c r="G194" s="3"/>
      <c r="J194" s="3"/>
    </row>
    <row r="195">
      <c r="D195" s="3"/>
      <c r="G195" s="3"/>
      <c r="J195" s="3"/>
    </row>
    <row r="196">
      <c r="D196" s="3"/>
      <c r="G196" s="3"/>
      <c r="J196" s="3"/>
    </row>
    <row r="197">
      <c r="D197" s="3"/>
      <c r="G197" s="3"/>
      <c r="J197" s="3"/>
    </row>
    <row r="198">
      <c r="D198" s="3"/>
      <c r="G198" s="3"/>
      <c r="J198" s="3"/>
    </row>
    <row r="199">
      <c r="D199" s="3"/>
      <c r="G199" s="3"/>
      <c r="J199" s="3"/>
    </row>
    <row r="200">
      <c r="D200" s="3"/>
      <c r="G200" s="3"/>
      <c r="J200" s="3"/>
    </row>
    <row r="201">
      <c r="D201" s="3"/>
      <c r="G201" s="3"/>
      <c r="J201" s="3"/>
    </row>
    <row r="202">
      <c r="D202" s="3"/>
      <c r="G202" s="3"/>
      <c r="J202" s="3"/>
    </row>
    <row r="203">
      <c r="D203" s="3"/>
      <c r="G203" s="3"/>
      <c r="J203" s="3"/>
    </row>
    <row r="204">
      <c r="D204" s="3"/>
      <c r="G204" s="3"/>
      <c r="J204" s="3"/>
    </row>
    <row r="205">
      <c r="D205" s="3"/>
      <c r="G205" s="3"/>
      <c r="J205" s="3"/>
    </row>
    <row r="206">
      <c r="D206" s="3"/>
      <c r="G206" s="3"/>
      <c r="J206" s="3"/>
    </row>
    <row r="207">
      <c r="D207" s="3"/>
      <c r="G207" s="3"/>
      <c r="J207" s="3"/>
    </row>
    <row r="208">
      <c r="D208" s="3"/>
      <c r="G208" s="3"/>
      <c r="J208" s="3"/>
    </row>
    <row r="209">
      <c r="D209" s="3"/>
      <c r="G209" s="3"/>
      <c r="J209" s="3"/>
    </row>
    <row r="210">
      <c r="D210" s="3"/>
      <c r="G210" s="3"/>
      <c r="J210" s="3"/>
    </row>
    <row r="211">
      <c r="D211" s="3"/>
      <c r="G211" s="3"/>
      <c r="J211" s="3"/>
    </row>
    <row r="212">
      <c r="D212" s="3"/>
      <c r="G212" s="3"/>
      <c r="J212" s="3"/>
    </row>
    <row r="213">
      <c r="D213" s="3"/>
      <c r="G213" s="3"/>
      <c r="J213" s="3"/>
    </row>
    <row r="214">
      <c r="D214" s="3"/>
      <c r="G214" s="3"/>
      <c r="J214" s="3"/>
    </row>
    <row r="215">
      <c r="D215" s="3"/>
      <c r="G215" s="3"/>
      <c r="J215" s="3"/>
    </row>
    <row r="216">
      <c r="D216" s="3"/>
      <c r="G216" s="3"/>
      <c r="J216" s="3"/>
    </row>
    <row r="217">
      <c r="D217" s="3"/>
      <c r="G217" s="3"/>
      <c r="J217" s="3"/>
    </row>
    <row r="218">
      <c r="D218" s="3"/>
      <c r="G218" s="3"/>
      <c r="J218" s="3"/>
    </row>
    <row r="219">
      <c r="D219" s="3"/>
      <c r="G219" s="3"/>
      <c r="J219" s="3"/>
    </row>
    <row r="220">
      <c r="D220" s="3"/>
      <c r="G220" s="3"/>
      <c r="J220" s="3"/>
    </row>
    <row r="221">
      <c r="D221" s="3"/>
      <c r="G221" s="3"/>
      <c r="J221" s="3"/>
    </row>
    <row r="222">
      <c r="D222" s="3"/>
      <c r="G222" s="3"/>
      <c r="J222" s="3"/>
    </row>
    <row r="223">
      <c r="D223" s="3"/>
      <c r="G223" s="3"/>
      <c r="J223" s="3"/>
    </row>
    <row r="224">
      <c r="D224" s="3"/>
      <c r="G224" s="3"/>
      <c r="J224" s="3"/>
    </row>
    <row r="225">
      <c r="D225" s="3"/>
      <c r="G225" s="3"/>
      <c r="J225" s="3"/>
    </row>
    <row r="226">
      <c r="D226" s="3"/>
      <c r="G226" s="3"/>
      <c r="J226" s="3"/>
    </row>
    <row r="227">
      <c r="D227" s="3"/>
      <c r="G227" s="3"/>
      <c r="J227" s="3"/>
    </row>
    <row r="228">
      <c r="D228" s="3"/>
      <c r="G228" s="3"/>
      <c r="J228" s="3"/>
    </row>
    <row r="229">
      <c r="D229" s="3"/>
      <c r="G229" s="3"/>
      <c r="J229" s="3"/>
    </row>
    <row r="230">
      <c r="D230" s="3"/>
      <c r="G230" s="3"/>
      <c r="J230" s="3"/>
    </row>
    <row r="231">
      <c r="D231" s="3"/>
      <c r="G231" s="3"/>
      <c r="J231" s="3"/>
    </row>
    <row r="232">
      <c r="D232" s="3"/>
      <c r="G232" s="3"/>
      <c r="J232" s="3"/>
    </row>
    <row r="233">
      <c r="D233" s="3"/>
      <c r="G233" s="3"/>
      <c r="J233" s="3"/>
    </row>
    <row r="234">
      <c r="D234" s="3"/>
      <c r="G234" s="3"/>
      <c r="J234" s="3"/>
    </row>
    <row r="235">
      <c r="D235" s="3"/>
      <c r="G235" s="3"/>
      <c r="J235" s="3"/>
    </row>
    <row r="236">
      <c r="D236" s="3"/>
      <c r="G236" s="3"/>
      <c r="J236" s="3"/>
    </row>
    <row r="237">
      <c r="D237" s="3"/>
      <c r="G237" s="3"/>
      <c r="J237" s="3"/>
    </row>
    <row r="238">
      <c r="D238" s="3"/>
      <c r="G238" s="3"/>
      <c r="J238" s="3"/>
    </row>
    <row r="239">
      <c r="D239" s="3"/>
      <c r="G239" s="3"/>
      <c r="J239" s="3"/>
    </row>
    <row r="240">
      <c r="D240" s="3"/>
      <c r="G240" s="3"/>
      <c r="J240" s="3"/>
    </row>
    <row r="241">
      <c r="D241" s="3"/>
      <c r="G241" s="3"/>
      <c r="J241" s="3"/>
    </row>
    <row r="242">
      <c r="D242" s="3"/>
      <c r="G242" s="3"/>
      <c r="J242" s="3"/>
    </row>
    <row r="243">
      <c r="D243" s="3"/>
      <c r="G243" s="3"/>
      <c r="J243" s="3"/>
    </row>
    <row r="244">
      <c r="D244" s="3"/>
      <c r="G244" s="3"/>
      <c r="J244" s="3"/>
    </row>
    <row r="245">
      <c r="D245" s="3"/>
      <c r="G245" s="3"/>
      <c r="J245" s="3"/>
    </row>
    <row r="246">
      <c r="D246" s="3"/>
      <c r="G246" s="3"/>
      <c r="J246" s="3"/>
    </row>
    <row r="247">
      <c r="D247" s="3"/>
      <c r="G247" s="3"/>
      <c r="J247" s="3"/>
    </row>
    <row r="248">
      <c r="D248" s="3"/>
      <c r="G248" s="3"/>
      <c r="J248" s="3"/>
    </row>
    <row r="249">
      <c r="D249" s="3"/>
      <c r="G249" s="3"/>
      <c r="J249" s="3"/>
    </row>
    <row r="250">
      <c r="D250" s="3"/>
      <c r="G250" s="3"/>
      <c r="J250" s="3"/>
    </row>
    <row r="251">
      <c r="D251" s="3"/>
      <c r="G251" s="3"/>
      <c r="J251" s="3"/>
    </row>
    <row r="252">
      <c r="D252" s="3"/>
      <c r="G252" s="3"/>
      <c r="J252" s="3"/>
    </row>
    <row r="253">
      <c r="D253" s="3"/>
      <c r="G253" s="3"/>
      <c r="J253" s="3"/>
    </row>
    <row r="254">
      <c r="D254" s="3"/>
      <c r="G254" s="3"/>
      <c r="J254" s="3"/>
    </row>
    <row r="255">
      <c r="D255" s="3"/>
      <c r="G255" s="3"/>
      <c r="J255" s="3"/>
    </row>
    <row r="256">
      <c r="D256" s="3"/>
      <c r="G256" s="3"/>
      <c r="J256" s="3"/>
    </row>
    <row r="257">
      <c r="D257" s="3"/>
      <c r="G257" s="3"/>
      <c r="J257" s="3"/>
    </row>
    <row r="258">
      <c r="D258" s="3"/>
      <c r="G258" s="3"/>
      <c r="J258" s="3"/>
    </row>
    <row r="259">
      <c r="D259" s="3"/>
      <c r="G259" s="3"/>
      <c r="J259" s="3"/>
    </row>
    <row r="260">
      <c r="D260" s="3"/>
      <c r="G260" s="3"/>
      <c r="J260" s="3"/>
    </row>
    <row r="261">
      <c r="D261" s="3"/>
      <c r="G261" s="3"/>
      <c r="J261" s="3"/>
    </row>
    <row r="262">
      <c r="D262" s="3"/>
      <c r="G262" s="3"/>
      <c r="J262" s="3"/>
    </row>
    <row r="263">
      <c r="D263" s="3"/>
      <c r="G263" s="3"/>
      <c r="J263" s="3"/>
    </row>
    <row r="264">
      <c r="D264" s="3"/>
      <c r="G264" s="3"/>
      <c r="J264" s="3"/>
    </row>
    <row r="265">
      <c r="D265" s="3"/>
      <c r="G265" s="3"/>
      <c r="J265" s="3"/>
    </row>
    <row r="266">
      <c r="D266" s="3"/>
      <c r="G266" s="3"/>
      <c r="J266" s="3"/>
    </row>
    <row r="267">
      <c r="D267" s="3"/>
      <c r="G267" s="3"/>
      <c r="J267" s="3"/>
    </row>
    <row r="268">
      <c r="D268" s="3"/>
      <c r="G268" s="3"/>
      <c r="J268" s="3"/>
    </row>
    <row r="269">
      <c r="D269" s="3"/>
      <c r="G269" s="3"/>
      <c r="J269" s="3"/>
    </row>
    <row r="270">
      <c r="D270" s="3"/>
      <c r="G270" s="3"/>
      <c r="J270" s="3"/>
    </row>
    <row r="271">
      <c r="D271" s="3"/>
      <c r="G271" s="3"/>
      <c r="J271" s="3"/>
    </row>
    <row r="272">
      <c r="D272" s="3"/>
      <c r="G272" s="3"/>
      <c r="J272" s="3"/>
    </row>
    <row r="273">
      <c r="D273" s="3"/>
      <c r="G273" s="3"/>
      <c r="J273" s="3"/>
    </row>
    <row r="274">
      <c r="D274" s="3"/>
      <c r="G274" s="3"/>
      <c r="J274" s="3"/>
    </row>
    <row r="275">
      <c r="D275" s="3"/>
      <c r="G275" s="3"/>
      <c r="J275" s="3"/>
    </row>
    <row r="276">
      <c r="D276" s="3"/>
      <c r="G276" s="3"/>
      <c r="J276" s="3"/>
    </row>
    <row r="277">
      <c r="D277" s="3"/>
      <c r="G277" s="3"/>
      <c r="J277" s="3"/>
    </row>
    <row r="278">
      <c r="D278" s="3"/>
      <c r="G278" s="3"/>
      <c r="J278" s="3"/>
    </row>
    <row r="279">
      <c r="D279" s="3"/>
      <c r="G279" s="3"/>
      <c r="J279" s="3"/>
    </row>
    <row r="280">
      <c r="D280" s="3"/>
      <c r="G280" s="3"/>
      <c r="J280" s="3"/>
    </row>
    <row r="281">
      <c r="D281" s="3"/>
      <c r="G281" s="3"/>
      <c r="J281" s="3"/>
    </row>
    <row r="282">
      <c r="D282" s="3"/>
      <c r="G282" s="3"/>
      <c r="J282" s="3"/>
    </row>
    <row r="283">
      <c r="D283" s="3"/>
      <c r="G283" s="3"/>
      <c r="J283" s="3"/>
    </row>
    <row r="284">
      <c r="D284" s="3"/>
      <c r="G284" s="3"/>
      <c r="J284" s="3"/>
    </row>
    <row r="285">
      <c r="D285" s="3"/>
      <c r="G285" s="3"/>
      <c r="J285" s="3"/>
    </row>
    <row r="286">
      <c r="D286" s="3"/>
      <c r="G286" s="3"/>
      <c r="J286" s="3"/>
    </row>
    <row r="287">
      <c r="D287" s="3"/>
      <c r="G287" s="3"/>
      <c r="J287" s="3"/>
    </row>
    <row r="288">
      <c r="D288" s="3"/>
      <c r="G288" s="3"/>
      <c r="J288" s="3"/>
    </row>
    <row r="289">
      <c r="D289" s="3"/>
      <c r="G289" s="3"/>
      <c r="J289" s="3"/>
    </row>
    <row r="290">
      <c r="D290" s="3"/>
      <c r="G290" s="3"/>
      <c r="J290" s="3"/>
    </row>
    <row r="291">
      <c r="D291" s="3"/>
      <c r="G291" s="3"/>
      <c r="J291" s="3"/>
    </row>
    <row r="292">
      <c r="D292" s="3"/>
      <c r="G292" s="3"/>
      <c r="J292" s="3"/>
    </row>
    <row r="293">
      <c r="D293" s="3"/>
      <c r="G293" s="3"/>
      <c r="J293" s="3"/>
    </row>
    <row r="294">
      <c r="D294" s="3"/>
      <c r="G294" s="3"/>
      <c r="J294" s="3"/>
    </row>
    <row r="295">
      <c r="D295" s="3"/>
      <c r="G295" s="3"/>
      <c r="J295" s="3"/>
    </row>
    <row r="296">
      <c r="D296" s="3"/>
      <c r="G296" s="3"/>
      <c r="J296" s="3"/>
    </row>
    <row r="297">
      <c r="D297" s="3"/>
      <c r="G297" s="3"/>
      <c r="J297" s="3"/>
    </row>
    <row r="298">
      <c r="D298" s="3"/>
      <c r="G298" s="3"/>
      <c r="J298" s="3"/>
    </row>
    <row r="299">
      <c r="D299" s="3"/>
      <c r="G299" s="3"/>
      <c r="J299" s="3"/>
    </row>
    <row r="300">
      <c r="D300" s="3"/>
      <c r="G300" s="3"/>
      <c r="J300" s="3"/>
    </row>
    <row r="301">
      <c r="D301" s="3"/>
      <c r="G301" s="3"/>
      <c r="J301" s="3"/>
    </row>
    <row r="302">
      <c r="D302" s="3"/>
      <c r="G302" s="3"/>
      <c r="J302" s="3"/>
    </row>
    <row r="303">
      <c r="D303" s="3"/>
      <c r="G303" s="3"/>
      <c r="J303" s="3"/>
    </row>
    <row r="304">
      <c r="D304" s="3"/>
      <c r="G304" s="3"/>
      <c r="J304" s="3"/>
    </row>
    <row r="305">
      <c r="D305" s="3"/>
      <c r="G305" s="3"/>
      <c r="J305" s="3"/>
    </row>
    <row r="306">
      <c r="D306" s="3"/>
      <c r="G306" s="3"/>
      <c r="J306" s="3"/>
    </row>
    <row r="307">
      <c r="D307" s="3"/>
      <c r="G307" s="3"/>
      <c r="J307" s="3"/>
    </row>
    <row r="308">
      <c r="D308" s="3"/>
      <c r="G308" s="3"/>
      <c r="J308" s="3"/>
    </row>
    <row r="309">
      <c r="D309" s="3"/>
      <c r="G309" s="3"/>
      <c r="J309" s="3"/>
    </row>
    <row r="310">
      <c r="D310" s="3"/>
      <c r="G310" s="3"/>
      <c r="J310" s="3"/>
    </row>
    <row r="311">
      <c r="D311" s="3"/>
      <c r="G311" s="3"/>
      <c r="J311" s="3"/>
    </row>
    <row r="312">
      <c r="D312" s="3"/>
      <c r="G312" s="3"/>
      <c r="J312" s="3"/>
    </row>
    <row r="313">
      <c r="D313" s="3"/>
      <c r="G313" s="3"/>
      <c r="J313" s="3"/>
    </row>
    <row r="314">
      <c r="D314" s="3"/>
      <c r="G314" s="3"/>
      <c r="J314" s="3"/>
    </row>
    <row r="315">
      <c r="D315" s="3"/>
      <c r="G315" s="3"/>
      <c r="J315" s="3"/>
    </row>
    <row r="316">
      <c r="D316" s="3"/>
      <c r="G316" s="3"/>
      <c r="J316" s="3"/>
    </row>
    <row r="317">
      <c r="D317" s="3"/>
      <c r="G317" s="3"/>
      <c r="J317" s="3"/>
    </row>
    <row r="318">
      <c r="D318" s="3"/>
      <c r="G318" s="3"/>
      <c r="J318" s="3"/>
    </row>
    <row r="319">
      <c r="D319" s="3"/>
      <c r="G319" s="3"/>
      <c r="J319" s="3"/>
    </row>
    <row r="320">
      <c r="D320" s="3"/>
      <c r="G320" s="3"/>
      <c r="J320" s="3"/>
    </row>
    <row r="321">
      <c r="D321" s="3"/>
      <c r="G321" s="3"/>
      <c r="J321" s="3"/>
    </row>
    <row r="322">
      <c r="D322" s="3"/>
      <c r="G322" s="3"/>
      <c r="J322" s="3"/>
    </row>
    <row r="323">
      <c r="D323" s="3"/>
      <c r="G323" s="3"/>
      <c r="J323" s="3"/>
    </row>
    <row r="324">
      <c r="D324" s="3"/>
      <c r="G324" s="3"/>
      <c r="J324" s="3"/>
    </row>
    <row r="325">
      <c r="D325" s="3"/>
      <c r="G325" s="3"/>
      <c r="J325" s="3"/>
    </row>
    <row r="326">
      <c r="D326" s="3"/>
      <c r="G326" s="3"/>
      <c r="J326" s="3"/>
    </row>
    <row r="327">
      <c r="D327" s="3"/>
      <c r="G327" s="3"/>
      <c r="J327" s="3"/>
    </row>
    <row r="328">
      <c r="D328" s="3"/>
      <c r="G328" s="3"/>
      <c r="J328" s="3"/>
    </row>
    <row r="329">
      <c r="D329" s="3"/>
      <c r="G329" s="3"/>
      <c r="J329" s="3"/>
    </row>
    <row r="330">
      <c r="D330" s="3"/>
      <c r="G330" s="3"/>
      <c r="J330" s="3"/>
    </row>
    <row r="331">
      <c r="D331" s="3"/>
      <c r="G331" s="3"/>
      <c r="J331" s="3"/>
    </row>
    <row r="332">
      <c r="D332" s="3"/>
      <c r="G332" s="3"/>
      <c r="J332" s="3"/>
    </row>
    <row r="333">
      <c r="D333" s="3"/>
      <c r="G333" s="3"/>
      <c r="J333" s="3"/>
    </row>
    <row r="334">
      <c r="D334" s="3"/>
      <c r="G334" s="3"/>
      <c r="J334" s="3"/>
    </row>
    <row r="335">
      <c r="D335" s="3"/>
      <c r="G335" s="3"/>
      <c r="J335" s="3"/>
    </row>
    <row r="336">
      <c r="D336" s="3"/>
      <c r="G336" s="3"/>
      <c r="J336" s="3"/>
    </row>
    <row r="337">
      <c r="D337" s="3"/>
      <c r="G337" s="3"/>
      <c r="J337" s="3"/>
    </row>
    <row r="338">
      <c r="D338" s="3"/>
      <c r="G338" s="3"/>
      <c r="J338" s="3"/>
    </row>
    <row r="339">
      <c r="D339" s="3"/>
      <c r="G339" s="3"/>
      <c r="J339" s="3"/>
    </row>
    <row r="340">
      <c r="D340" s="3"/>
      <c r="G340" s="3"/>
      <c r="J340" s="3"/>
    </row>
    <row r="341">
      <c r="D341" s="3"/>
      <c r="G341" s="3"/>
      <c r="J341" s="3"/>
    </row>
    <row r="342">
      <c r="D342" s="3"/>
      <c r="G342" s="3"/>
      <c r="J342" s="3"/>
    </row>
    <row r="343">
      <c r="D343" s="3"/>
      <c r="G343" s="3"/>
      <c r="J343" s="3"/>
    </row>
    <row r="344">
      <c r="D344" s="3"/>
      <c r="G344" s="3"/>
      <c r="J344" s="3"/>
    </row>
    <row r="345">
      <c r="D345" s="3"/>
      <c r="G345" s="3"/>
      <c r="J345" s="3"/>
    </row>
    <row r="346">
      <c r="D346" s="3"/>
      <c r="G346" s="3"/>
      <c r="J346" s="3"/>
    </row>
    <row r="347">
      <c r="D347" s="3"/>
      <c r="G347" s="3"/>
      <c r="J347" s="3"/>
    </row>
    <row r="348">
      <c r="D348" s="3"/>
      <c r="G348" s="3"/>
      <c r="J348" s="3"/>
    </row>
    <row r="349">
      <c r="D349" s="3"/>
      <c r="G349" s="3"/>
      <c r="J349" s="3"/>
    </row>
    <row r="350">
      <c r="D350" s="3"/>
      <c r="G350" s="3"/>
      <c r="J350" s="3"/>
    </row>
    <row r="351">
      <c r="D351" s="3"/>
      <c r="G351" s="3"/>
      <c r="J351" s="3"/>
    </row>
    <row r="352">
      <c r="D352" s="3"/>
      <c r="G352" s="3"/>
      <c r="J352" s="3"/>
    </row>
    <row r="353">
      <c r="D353" s="3"/>
      <c r="G353" s="3"/>
      <c r="J353" s="3"/>
    </row>
    <row r="354">
      <c r="D354" s="3"/>
      <c r="G354" s="3"/>
      <c r="J354" s="3"/>
    </row>
    <row r="355">
      <c r="D355" s="3"/>
      <c r="G355" s="3"/>
      <c r="J355" s="3"/>
    </row>
    <row r="356">
      <c r="D356" s="3"/>
      <c r="G356" s="3"/>
      <c r="J356" s="3"/>
    </row>
    <row r="357">
      <c r="D357" s="3"/>
      <c r="G357" s="3"/>
      <c r="J357" s="3"/>
    </row>
    <row r="358">
      <c r="D358" s="3"/>
      <c r="G358" s="3"/>
      <c r="J358" s="3"/>
    </row>
    <row r="359">
      <c r="D359" s="3"/>
      <c r="G359" s="3"/>
      <c r="J359" s="3"/>
    </row>
    <row r="360">
      <c r="D360" s="3"/>
      <c r="G360" s="3"/>
      <c r="J360" s="3"/>
    </row>
    <row r="361">
      <c r="D361" s="3"/>
      <c r="G361" s="3"/>
      <c r="J361" s="3"/>
    </row>
    <row r="362">
      <c r="D362" s="3"/>
      <c r="G362" s="3"/>
      <c r="J362" s="3"/>
    </row>
    <row r="363">
      <c r="D363" s="3"/>
      <c r="G363" s="3"/>
      <c r="J363" s="3"/>
    </row>
    <row r="364">
      <c r="D364" s="3"/>
      <c r="G364" s="3"/>
      <c r="J364" s="3"/>
    </row>
    <row r="365">
      <c r="D365" s="3"/>
      <c r="G365" s="3"/>
      <c r="J365" s="3"/>
    </row>
    <row r="366">
      <c r="D366" s="3"/>
      <c r="G366" s="3"/>
      <c r="J366" s="3"/>
    </row>
    <row r="367">
      <c r="D367" s="3"/>
      <c r="G367" s="3"/>
      <c r="J367" s="3"/>
    </row>
    <row r="368">
      <c r="D368" s="3"/>
      <c r="G368" s="3"/>
      <c r="J368" s="3"/>
    </row>
    <row r="369">
      <c r="D369" s="3"/>
      <c r="G369" s="3"/>
      <c r="J369" s="3"/>
    </row>
    <row r="370">
      <c r="D370" s="3"/>
      <c r="G370" s="3"/>
      <c r="J370" s="3"/>
    </row>
    <row r="371">
      <c r="D371" s="3"/>
      <c r="G371" s="3"/>
      <c r="J371" s="3"/>
    </row>
    <row r="372">
      <c r="D372" s="3"/>
      <c r="G372" s="3"/>
      <c r="J372" s="3"/>
    </row>
    <row r="373">
      <c r="D373" s="3"/>
      <c r="G373" s="3"/>
      <c r="J373" s="3"/>
    </row>
    <row r="374">
      <c r="D374" s="3"/>
      <c r="G374" s="3"/>
      <c r="J374" s="3"/>
    </row>
    <row r="375">
      <c r="D375" s="3"/>
      <c r="G375" s="3"/>
      <c r="J375" s="3"/>
    </row>
    <row r="376">
      <c r="D376" s="3"/>
      <c r="G376" s="3"/>
      <c r="J376" s="3"/>
    </row>
    <row r="377">
      <c r="D377" s="3"/>
      <c r="G377" s="3"/>
      <c r="J377" s="3"/>
    </row>
    <row r="378">
      <c r="D378" s="3"/>
      <c r="G378" s="3"/>
      <c r="J378" s="3"/>
    </row>
    <row r="379">
      <c r="D379" s="3"/>
      <c r="G379" s="3"/>
      <c r="J379" s="3"/>
    </row>
    <row r="380">
      <c r="D380" s="3"/>
      <c r="G380" s="3"/>
      <c r="J380" s="3"/>
    </row>
    <row r="381">
      <c r="D381" s="3"/>
      <c r="G381" s="3"/>
      <c r="J381" s="3"/>
    </row>
    <row r="382">
      <c r="D382" s="3"/>
      <c r="G382" s="3"/>
      <c r="J382" s="3"/>
    </row>
    <row r="383">
      <c r="D383" s="3"/>
      <c r="G383" s="3"/>
      <c r="J383" s="3"/>
    </row>
    <row r="384">
      <c r="D384" s="3"/>
      <c r="G384" s="3"/>
      <c r="J384" s="3"/>
    </row>
    <row r="385">
      <c r="D385" s="3"/>
      <c r="G385" s="3"/>
      <c r="J385" s="3"/>
    </row>
    <row r="386">
      <c r="D386" s="3"/>
      <c r="G386" s="3"/>
      <c r="J386" s="3"/>
    </row>
    <row r="387">
      <c r="D387" s="3"/>
      <c r="G387" s="3"/>
      <c r="J387" s="3"/>
    </row>
    <row r="388">
      <c r="D388" s="3"/>
      <c r="G388" s="3"/>
      <c r="J388" s="3"/>
    </row>
    <row r="389">
      <c r="D389" s="3"/>
      <c r="G389" s="3"/>
      <c r="J389" s="3"/>
    </row>
    <row r="390">
      <c r="D390" s="3"/>
      <c r="G390" s="3"/>
      <c r="J390" s="3"/>
    </row>
    <row r="391">
      <c r="D391" s="3"/>
      <c r="G391" s="3"/>
      <c r="J391" s="3"/>
    </row>
    <row r="392">
      <c r="D392" s="3"/>
      <c r="G392" s="3"/>
      <c r="J392" s="3"/>
    </row>
    <row r="393">
      <c r="D393" s="3"/>
      <c r="G393" s="3"/>
      <c r="J393" s="3"/>
    </row>
    <row r="394">
      <c r="D394" s="3"/>
      <c r="G394" s="3"/>
      <c r="J394" s="3"/>
    </row>
    <row r="395">
      <c r="D395" s="3"/>
      <c r="G395" s="3"/>
      <c r="J395" s="3"/>
    </row>
    <row r="396">
      <c r="D396" s="3"/>
      <c r="G396" s="3"/>
      <c r="J396" s="3"/>
    </row>
    <row r="397">
      <c r="D397" s="3"/>
      <c r="G397" s="3"/>
      <c r="J397" s="3"/>
    </row>
    <row r="398">
      <c r="D398" s="3"/>
      <c r="G398" s="3"/>
      <c r="J398" s="3"/>
    </row>
    <row r="399">
      <c r="D399" s="3"/>
      <c r="G399" s="3"/>
      <c r="J399" s="3"/>
    </row>
    <row r="400">
      <c r="D400" s="3"/>
      <c r="G400" s="3"/>
      <c r="J400" s="3"/>
    </row>
    <row r="401">
      <c r="D401" s="3"/>
      <c r="G401" s="3"/>
      <c r="J401" s="3"/>
    </row>
    <row r="402">
      <c r="D402" s="3"/>
      <c r="G402" s="3"/>
      <c r="J402" s="3"/>
    </row>
    <row r="403">
      <c r="D403" s="3"/>
      <c r="G403" s="3"/>
      <c r="J403" s="3"/>
    </row>
    <row r="404">
      <c r="D404" s="3"/>
      <c r="G404" s="3"/>
      <c r="J404" s="3"/>
    </row>
    <row r="405">
      <c r="D405" s="3"/>
      <c r="G405" s="3"/>
      <c r="J405" s="3"/>
    </row>
    <row r="406">
      <c r="D406" s="3"/>
      <c r="G406" s="3"/>
      <c r="J406" s="3"/>
    </row>
    <row r="407">
      <c r="D407" s="3"/>
      <c r="G407" s="3"/>
      <c r="J407" s="3"/>
    </row>
    <row r="408">
      <c r="D408" s="3"/>
      <c r="G408" s="3"/>
      <c r="J408" s="3"/>
    </row>
    <row r="409">
      <c r="D409" s="3"/>
      <c r="G409" s="3"/>
      <c r="J409" s="3"/>
    </row>
    <row r="410">
      <c r="D410" s="3"/>
      <c r="G410" s="3"/>
      <c r="J410" s="3"/>
    </row>
    <row r="411">
      <c r="D411" s="3"/>
      <c r="G411" s="3"/>
      <c r="J411" s="3"/>
    </row>
    <row r="412">
      <c r="D412" s="3"/>
      <c r="G412" s="3"/>
      <c r="J412" s="3"/>
    </row>
    <row r="413">
      <c r="D413" s="3"/>
      <c r="G413" s="3"/>
      <c r="J413" s="3"/>
    </row>
    <row r="414">
      <c r="D414" s="3"/>
      <c r="G414" s="3"/>
      <c r="J414" s="3"/>
    </row>
    <row r="415">
      <c r="D415" s="3"/>
      <c r="G415" s="3"/>
      <c r="J415" s="3"/>
    </row>
    <row r="416">
      <c r="D416" s="3"/>
      <c r="G416" s="3"/>
      <c r="J416" s="3"/>
    </row>
    <row r="417">
      <c r="D417" s="3"/>
      <c r="G417" s="3"/>
      <c r="J417" s="3"/>
    </row>
    <row r="418">
      <c r="D418" s="3"/>
      <c r="G418" s="3"/>
      <c r="J418" s="3"/>
    </row>
    <row r="419">
      <c r="D419" s="3"/>
      <c r="G419" s="3"/>
      <c r="J419" s="3"/>
    </row>
    <row r="420">
      <c r="D420" s="3"/>
      <c r="G420" s="3"/>
      <c r="J420" s="3"/>
    </row>
    <row r="421">
      <c r="D421" s="3"/>
      <c r="G421" s="3"/>
      <c r="J421" s="3"/>
    </row>
    <row r="422">
      <c r="D422" s="3"/>
      <c r="G422" s="3"/>
      <c r="J422" s="3"/>
    </row>
    <row r="423">
      <c r="D423" s="3"/>
      <c r="G423" s="3"/>
      <c r="J423" s="3"/>
    </row>
    <row r="424">
      <c r="D424" s="3"/>
      <c r="G424" s="3"/>
      <c r="J424" s="3"/>
    </row>
    <row r="425">
      <c r="D425" s="3"/>
      <c r="G425" s="3"/>
      <c r="J425" s="3"/>
    </row>
    <row r="426">
      <c r="D426" s="3"/>
      <c r="G426" s="3"/>
      <c r="J426" s="3"/>
    </row>
    <row r="427">
      <c r="D427" s="3"/>
      <c r="G427" s="3"/>
      <c r="J427" s="3"/>
    </row>
    <row r="428">
      <c r="D428" s="3"/>
      <c r="G428" s="3"/>
      <c r="J428" s="3"/>
    </row>
    <row r="429">
      <c r="D429" s="3"/>
      <c r="G429" s="3"/>
      <c r="J429" s="3"/>
    </row>
    <row r="430">
      <c r="D430" s="3"/>
      <c r="G430" s="3"/>
      <c r="J430" s="3"/>
    </row>
    <row r="431">
      <c r="D431" s="3"/>
      <c r="G431" s="3"/>
      <c r="J431" s="3"/>
    </row>
    <row r="432">
      <c r="D432" s="3"/>
      <c r="G432" s="3"/>
      <c r="J432" s="3"/>
    </row>
    <row r="433">
      <c r="D433" s="3"/>
      <c r="G433" s="3"/>
      <c r="J433" s="3"/>
    </row>
    <row r="434">
      <c r="D434" s="3"/>
      <c r="G434" s="3"/>
      <c r="J434" s="3"/>
    </row>
    <row r="435">
      <c r="D435" s="3"/>
      <c r="G435" s="3"/>
      <c r="J435" s="3"/>
    </row>
    <row r="436">
      <c r="D436" s="3"/>
      <c r="G436" s="3"/>
      <c r="J436" s="3"/>
    </row>
    <row r="437">
      <c r="D437" s="3"/>
      <c r="G437" s="3"/>
      <c r="J437" s="3"/>
    </row>
    <row r="438">
      <c r="D438" s="3"/>
      <c r="G438" s="3"/>
      <c r="J438" s="3"/>
    </row>
    <row r="439">
      <c r="D439" s="3"/>
      <c r="G439" s="3"/>
      <c r="J439" s="3"/>
    </row>
    <row r="440">
      <c r="D440" s="3"/>
      <c r="G440" s="3"/>
      <c r="J440" s="3"/>
    </row>
    <row r="441">
      <c r="D441" s="3"/>
      <c r="G441" s="3"/>
      <c r="J441" s="3"/>
    </row>
    <row r="442">
      <c r="D442" s="3"/>
      <c r="G442" s="3"/>
      <c r="J442" s="3"/>
    </row>
    <row r="443">
      <c r="D443" s="3"/>
      <c r="G443" s="3"/>
      <c r="J443" s="3"/>
    </row>
    <row r="444">
      <c r="D444" s="3"/>
      <c r="G444" s="3"/>
      <c r="J444" s="3"/>
    </row>
    <row r="445">
      <c r="D445" s="3"/>
      <c r="G445" s="3"/>
      <c r="J445" s="3"/>
    </row>
    <row r="446">
      <c r="D446" s="3"/>
      <c r="G446" s="3"/>
      <c r="J446" s="3"/>
    </row>
    <row r="447">
      <c r="D447" s="3"/>
      <c r="G447" s="3"/>
      <c r="J447" s="3"/>
    </row>
    <row r="448">
      <c r="D448" s="3"/>
      <c r="G448" s="3"/>
      <c r="J448" s="3"/>
    </row>
    <row r="449">
      <c r="D449" s="3"/>
      <c r="G449" s="3"/>
      <c r="J449" s="3"/>
    </row>
    <row r="450">
      <c r="D450" s="3"/>
      <c r="G450" s="3"/>
      <c r="J450" s="3"/>
    </row>
    <row r="451">
      <c r="D451" s="3"/>
      <c r="G451" s="3"/>
      <c r="J451" s="3"/>
    </row>
    <row r="452">
      <c r="D452" s="3"/>
      <c r="G452" s="3"/>
      <c r="J452" s="3"/>
    </row>
    <row r="453">
      <c r="D453" s="3"/>
      <c r="G453" s="3"/>
      <c r="J453" s="3"/>
    </row>
    <row r="454">
      <c r="D454" s="3"/>
      <c r="G454" s="3"/>
      <c r="J454" s="3"/>
    </row>
    <row r="455">
      <c r="D455" s="3"/>
      <c r="G455" s="3"/>
      <c r="J455" s="3"/>
    </row>
    <row r="456">
      <c r="D456" s="3"/>
      <c r="G456" s="3"/>
      <c r="J456" s="3"/>
    </row>
    <row r="457">
      <c r="D457" s="3"/>
      <c r="G457" s="3"/>
      <c r="J457" s="3"/>
    </row>
    <row r="458">
      <c r="D458" s="3"/>
      <c r="G458" s="3"/>
      <c r="J458" s="3"/>
    </row>
    <row r="459">
      <c r="D459" s="3"/>
      <c r="G459" s="3"/>
      <c r="J459" s="3"/>
    </row>
    <row r="460">
      <c r="D460" s="3"/>
      <c r="G460" s="3"/>
      <c r="J460" s="3"/>
    </row>
    <row r="461">
      <c r="D461" s="3"/>
      <c r="G461" s="3"/>
      <c r="J461" s="3"/>
    </row>
    <row r="462">
      <c r="D462" s="3"/>
      <c r="G462" s="3"/>
      <c r="J462" s="3"/>
    </row>
    <row r="463">
      <c r="D463" s="3"/>
      <c r="G463" s="3"/>
      <c r="J463" s="3"/>
    </row>
    <row r="464">
      <c r="D464" s="3"/>
      <c r="G464" s="3"/>
      <c r="J464" s="3"/>
    </row>
    <row r="465">
      <c r="D465" s="3"/>
      <c r="G465" s="3"/>
      <c r="J465" s="3"/>
    </row>
    <row r="466">
      <c r="D466" s="3"/>
      <c r="G466" s="3"/>
      <c r="J466" s="3"/>
    </row>
    <row r="467">
      <c r="D467" s="3"/>
      <c r="G467" s="3"/>
      <c r="J467" s="3"/>
    </row>
    <row r="468">
      <c r="D468" s="3"/>
      <c r="G468" s="3"/>
      <c r="J468" s="3"/>
    </row>
    <row r="469">
      <c r="D469" s="3"/>
      <c r="G469" s="3"/>
      <c r="J469" s="3"/>
    </row>
    <row r="470">
      <c r="D470" s="3"/>
      <c r="G470" s="3"/>
      <c r="J470" s="3"/>
    </row>
    <row r="471">
      <c r="D471" s="3"/>
      <c r="G471" s="3"/>
      <c r="J471" s="3"/>
    </row>
    <row r="472">
      <c r="D472" s="3"/>
      <c r="G472" s="3"/>
      <c r="J472" s="3"/>
    </row>
    <row r="473">
      <c r="D473" s="3"/>
      <c r="G473" s="3"/>
      <c r="J473" s="3"/>
    </row>
    <row r="474">
      <c r="D474" s="3"/>
      <c r="G474" s="3"/>
      <c r="J474" s="3"/>
    </row>
    <row r="475">
      <c r="D475" s="3"/>
      <c r="G475" s="3"/>
      <c r="J475" s="3"/>
    </row>
    <row r="476">
      <c r="D476" s="3"/>
      <c r="G476" s="3"/>
      <c r="J476" s="3"/>
    </row>
    <row r="477">
      <c r="D477" s="3"/>
      <c r="G477" s="3"/>
      <c r="J477" s="3"/>
    </row>
    <row r="478">
      <c r="D478" s="3"/>
      <c r="G478" s="3"/>
      <c r="J478" s="3"/>
    </row>
    <row r="479">
      <c r="D479" s="3"/>
      <c r="G479" s="3"/>
      <c r="J479" s="3"/>
    </row>
    <row r="480">
      <c r="D480" s="3"/>
      <c r="G480" s="3"/>
      <c r="J480" s="3"/>
    </row>
    <row r="481">
      <c r="D481" s="3"/>
      <c r="G481" s="3"/>
      <c r="J481" s="3"/>
    </row>
    <row r="482">
      <c r="D482" s="3"/>
      <c r="G482" s="3"/>
      <c r="J482" s="3"/>
    </row>
    <row r="483">
      <c r="D483" s="3"/>
      <c r="G483" s="3"/>
      <c r="J483" s="3"/>
    </row>
    <row r="484">
      <c r="D484" s="3"/>
      <c r="G484" s="3"/>
      <c r="J484" s="3"/>
    </row>
    <row r="485">
      <c r="D485" s="3"/>
      <c r="G485" s="3"/>
      <c r="J485" s="3"/>
    </row>
    <row r="486">
      <c r="D486" s="3"/>
      <c r="G486" s="3"/>
      <c r="J486" s="3"/>
    </row>
    <row r="487">
      <c r="D487" s="3"/>
      <c r="G487" s="3"/>
      <c r="J487" s="3"/>
    </row>
    <row r="488">
      <c r="D488" s="3"/>
      <c r="G488" s="3"/>
      <c r="J488" s="3"/>
    </row>
    <row r="489">
      <c r="D489" s="3"/>
      <c r="G489" s="3"/>
      <c r="J489" s="3"/>
    </row>
    <row r="490">
      <c r="D490" s="3"/>
      <c r="G490" s="3"/>
      <c r="J490" s="3"/>
    </row>
    <row r="491">
      <c r="D491" s="3"/>
      <c r="G491" s="3"/>
      <c r="J491" s="3"/>
    </row>
    <row r="492">
      <c r="D492" s="3"/>
      <c r="G492" s="3"/>
      <c r="J492" s="3"/>
    </row>
    <row r="493">
      <c r="D493" s="3"/>
      <c r="G493" s="3"/>
      <c r="J493" s="3"/>
    </row>
    <row r="494">
      <c r="D494" s="3"/>
      <c r="G494" s="3"/>
      <c r="J494" s="3"/>
    </row>
    <row r="495">
      <c r="D495" s="3"/>
      <c r="G495" s="3"/>
      <c r="J495" s="3"/>
    </row>
    <row r="496">
      <c r="D496" s="3"/>
      <c r="G496" s="3"/>
      <c r="J496" s="3"/>
    </row>
    <row r="497">
      <c r="D497" s="3"/>
      <c r="G497" s="3"/>
      <c r="J497" s="3"/>
    </row>
    <row r="498">
      <c r="D498" s="3"/>
      <c r="G498" s="3"/>
      <c r="J498" s="3"/>
    </row>
    <row r="499">
      <c r="D499" s="3"/>
      <c r="G499" s="3"/>
      <c r="J499" s="3"/>
    </row>
    <row r="500">
      <c r="D500" s="3"/>
      <c r="G500" s="3"/>
      <c r="J500" s="3"/>
    </row>
    <row r="501">
      <c r="D501" s="3"/>
      <c r="G501" s="3"/>
      <c r="J501" s="3"/>
    </row>
    <row r="502">
      <c r="D502" s="3"/>
      <c r="G502" s="3"/>
      <c r="J502" s="3"/>
    </row>
    <row r="503">
      <c r="D503" s="3"/>
      <c r="G503" s="3"/>
      <c r="J503" s="3"/>
    </row>
    <row r="504">
      <c r="D504" s="3"/>
      <c r="G504" s="3"/>
      <c r="J504" s="3"/>
    </row>
    <row r="505">
      <c r="D505" s="3"/>
      <c r="G505" s="3"/>
      <c r="J505" s="3"/>
    </row>
    <row r="506">
      <c r="D506" s="3"/>
      <c r="G506" s="3"/>
      <c r="J506" s="3"/>
    </row>
    <row r="507">
      <c r="D507" s="3"/>
      <c r="G507" s="3"/>
      <c r="J507" s="3"/>
    </row>
    <row r="508">
      <c r="D508" s="3"/>
      <c r="G508" s="3"/>
      <c r="J508" s="3"/>
    </row>
    <row r="509">
      <c r="D509" s="3"/>
      <c r="G509" s="3"/>
      <c r="J509" s="3"/>
    </row>
    <row r="510">
      <c r="D510" s="3"/>
      <c r="G510" s="3"/>
      <c r="J510" s="3"/>
    </row>
    <row r="511">
      <c r="D511" s="3"/>
      <c r="G511" s="3"/>
      <c r="J511" s="3"/>
    </row>
    <row r="512">
      <c r="D512" s="3"/>
      <c r="G512" s="3"/>
      <c r="J512" s="3"/>
    </row>
    <row r="513">
      <c r="D513" s="3"/>
      <c r="G513" s="3"/>
      <c r="J513" s="3"/>
    </row>
    <row r="514">
      <c r="D514" s="3"/>
      <c r="G514" s="3"/>
      <c r="J514" s="3"/>
    </row>
    <row r="515">
      <c r="D515" s="3"/>
      <c r="G515" s="3"/>
      <c r="J515" s="3"/>
    </row>
    <row r="516">
      <c r="D516" s="3"/>
      <c r="G516" s="3"/>
      <c r="J516" s="3"/>
    </row>
    <row r="517">
      <c r="D517" s="3"/>
      <c r="G517" s="3"/>
      <c r="J517" s="3"/>
    </row>
    <row r="518">
      <c r="D518" s="3"/>
      <c r="G518" s="3"/>
      <c r="J518" s="3"/>
    </row>
    <row r="519">
      <c r="D519" s="3"/>
      <c r="G519" s="3"/>
      <c r="J519" s="3"/>
    </row>
    <row r="520">
      <c r="D520" s="3"/>
      <c r="G520" s="3"/>
      <c r="J520" s="3"/>
    </row>
    <row r="521">
      <c r="D521" s="3"/>
      <c r="G521" s="3"/>
      <c r="J521" s="3"/>
    </row>
    <row r="522">
      <c r="D522" s="3"/>
      <c r="G522" s="3"/>
      <c r="J522" s="3"/>
    </row>
    <row r="523">
      <c r="D523" s="3"/>
      <c r="G523" s="3"/>
      <c r="J523" s="3"/>
    </row>
    <row r="524">
      <c r="D524" s="3"/>
      <c r="G524" s="3"/>
      <c r="J524" s="3"/>
    </row>
    <row r="525">
      <c r="D525" s="3"/>
      <c r="G525" s="3"/>
      <c r="J525" s="3"/>
    </row>
    <row r="526">
      <c r="D526" s="3"/>
      <c r="G526" s="3"/>
      <c r="J526" s="3"/>
    </row>
    <row r="527">
      <c r="D527" s="3"/>
      <c r="G527" s="3"/>
      <c r="J527" s="3"/>
    </row>
    <row r="528">
      <c r="D528" s="3"/>
      <c r="G528" s="3"/>
      <c r="J528" s="3"/>
    </row>
    <row r="529">
      <c r="D529" s="3"/>
      <c r="G529" s="3"/>
      <c r="J529" s="3"/>
    </row>
    <row r="530">
      <c r="D530" s="3"/>
      <c r="G530" s="3"/>
      <c r="J530" s="3"/>
    </row>
    <row r="531">
      <c r="D531" s="3"/>
      <c r="G531" s="3"/>
      <c r="J531" s="3"/>
    </row>
    <row r="532">
      <c r="D532" s="3"/>
      <c r="G532" s="3"/>
      <c r="J532" s="3"/>
    </row>
    <row r="533">
      <c r="D533" s="3"/>
      <c r="G533" s="3"/>
      <c r="J533" s="3"/>
    </row>
    <row r="534">
      <c r="D534" s="3"/>
      <c r="G534" s="3"/>
      <c r="J534" s="3"/>
    </row>
    <row r="535">
      <c r="D535" s="3"/>
      <c r="G535" s="3"/>
      <c r="J535" s="3"/>
    </row>
    <row r="536">
      <c r="D536" s="3"/>
      <c r="G536" s="3"/>
      <c r="J536" s="3"/>
    </row>
    <row r="537">
      <c r="D537" s="3"/>
      <c r="G537" s="3"/>
      <c r="J537" s="3"/>
    </row>
    <row r="538">
      <c r="D538" s="3"/>
      <c r="G538" s="3"/>
      <c r="J538" s="3"/>
    </row>
    <row r="539">
      <c r="D539" s="3"/>
      <c r="G539" s="3"/>
      <c r="J539" s="3"/>
    </row>
    <row r="540">
      <c r="D540" s="3"/>
      <c r="G540" s="3"/>
      <c r="J540" s="3"/>
    </row>
    <row r="541">
      <c r="D541" s="3"/>
      <c r="G541" s="3"/>
      <c r="J541" s="3"/>
    </row>
    <row r="542">
      <c r="D542" s="3"/>
      <c r="G542" s="3"/>
      <c r="J542" s="3"/>
    </row>
    <row r="543">
      <c r="D543" s="3"/>
      <c r="G543" s="3"/>
      <c r="J543" s="3"/>
    </row>
    <row r="544">
      <c r="D544" s="3"/>
      <c r="G544" s="3"/>
      <c r="J544" s="3"/>
    </row>
    <row r="545">
      <c r="D545" s="3"/>
      <c r="G545" s="3"/>
      <c r="J545" s="3"/>
    </row>
    <row r="546">
      <c r="D546" s="3"/>
      <c r="G546" s="3"/>
      <c r="J546" s="3"/>
    </row>
    <row r="547">
      <c r="D547" s="3"/>
      <c r="G547" s="3"/>
      <c r="J547" s="3"/>
    </row>
    <row r="548">
      <c r="D548" s="3"/>
      <c r="G548" s="3"/>
      <c r="J548" s="3"/>
    </row>
    <row r="549">
      <c r="D549" s="3"/>
      <c r="G549" s="3"/>
      <c r="J549" s="3"/>
    </row>
    <row r="550">
      <c r="D550" s="3"/>
      <c r="G550" s="3"/>
      <c r="J550" s="3"/>
    </row>
    <row r="551">
      <c r="D551" s="3"/>
      <c r="G551" s="3"/>
      <c r="J551" s="3"/>
    </row>
    <row r="552">
      <c r="D552" s="3"/>
      <c r="G552" s="3"/>
      <c r="J552" s="3"/>
    </row>
    <row r="553">
      <c r="D553" s="3"/>
      <c r="G553" s="3"/>
      <c r="J553" s="3"/>
    </row>
    <row r="554">
      <c r="D554" s="3"/>
      <c r="G554" s="3"/>
      <c r="J554" s="3"/>
    </row>
    <row r="555">
      <c r="D555" s="3"/>
      <c r="G555" s="3"/>
      <c r="J555" s="3"/>
    </row>
    <row r="556">
      <c r="D556" s="3"/>
      <c r="G556" s="3"/>
      <c r="J556" s="3"/>
    </row>
    <row r="557">
      <c r="D557" s="3"/>
      <c r="G557" s="3"/>
      <c r="J557" s="3"/>
    </row>
    <row r="558">
      <c r="D558" s="3"/>
      <c r="G558" s="3"/>
      <c r="J558" s="3"/>
    </row>
    <row r="559">
      <c r="D559" s="3"/>
      <c r="G559" s="3"/>
      <c r="J559" s="3"/>
    </row>
    <row r="560">
      <c r="D560" s="3"/>
      <c r="G560" s="3"/>
      <c r="J560" s="3"/>
    </row>
    <row r="561">
      <c r="D561" s="3"/>
      <c r="G561" s="3"/>
      <c r="J561" s="3"/>
    </row>
    <row r="562">
      <c r="D562" s="3"/>
      <c r="G562" s="3"/>
      <c r="J562" s="3"/>
    </row>
    <row r="563">
      <c r="D563" s="3"/>
      <c r="G563" s="3"/>
      <c r="J563" s="3"/>
    </row>
    <row r="564">
      <c r="D564" s="3"/>
      <c r="G564" s="3"/>
      <c r="J564" s="3"/>
    </row>
    <row r="565">
      <c r="D565" s="3"/>
      <c r="G565" s="3"/>
      <c r="J565" s="3"/>
    </row>
    <row r="566">
      <c r="D566" s="3"/>
      <c r="G566" s="3"/>
      <c r="J566" s="3"/>
    </row>
    <row r="567">
      <c r="D567" s="3"/>
      <c r="G567" s="3"/>
      <c r="J567" s="3"/>
    </row>
    <row r="568">
      <c r="D568" s="3"/>
      <c r="G568" s="3"/>
      <c r="J568" s="3"/>
    </row>
    <row r="569">
      <c r="D569" s="3"/>
      <c r="G569" s="3"/>
      <c r="J569" s="3"/>
    </row>
    <row r="570">
      <c r="D570" s="3"/>
      <c r="G570" s="3"/>
      <c r="J570" s="3"/>
    </row>
    <row r="571">
      <c r="D571" s="3"/>
      <c r="G571" s="3"/>
      <c r="J571" s="3"/>
    </row>
    <row r="572">
      <c r="D572" s="3"/>
      <c r="G572" s="3"/>
      <c r="J572" s="3"/>
    </row>
    <row r="573">
      <c r="D573" s="3"/>
      <c r="G573" s="3"/>
      <c r="J573" s="3"/>
    </row>
    <row r="574">
      <c r="D574" s="3"/>
      <c r="G574" s="3"/>
      <c r="J574" s="3"/>
    </row>
    <row r="575">
      <c r="D575" s="3"/>
      <c r="G575" s="3"/>
      <c r="J575" s="3"/>
    </row>
    <row r="576">
      <c r="D576" s="3"/>
      <c r="G576" s="3"/>
      <c r="J576" s="3"/>
    </row>
    <row r="577">
      <c r="D577" s="3"/>
      <c r="G577" s="3"/>
      <c r="J577" s="3"/>
    </row>
    <row r="578">
      <c r="D578" s="3"/>
      <c r="G578" s="3"/>
      <c r="J578" s="3"/>
    </row>
    <row r="579">
      <c r="D579" s="3"/>
      <c r="G579" s="3"/>
      <c r="J579" s="3"/>
    </row>
    <row r="580">
      <c r="D580" s="3"/>
      <c r="G580" s="3"/>
      <c r="J580" s="3"/>
    </row>
    <row r="581">
      <c r="D581" s="3"/>
      <c r="G581" s="3"/>
      <c r="J581" s="3"/>
    </row>
    <row r="582">
      <c r="D582" s="3"/>
      <c r="G582" s="3"/>
      <c r="J582" s="3"/>
    </row>
    <row r="583">
      <c r="D583" s="3"/>
      <c r="G583" s="3"/>
      <c r="J583" s="3"/>
    </row>
    <row r="584">
      <c r="D584" s="3"/>
      <c r="G584" s="3"/>
      <c r="J584" s="3"/>
    </row>
    <row r="585">
      <c r="D585" s="3"/>
      <c r="G585" s="3"/>
      <c r="J585" s="3"/>
    </row>
    <row r="586">
      <c r="D586" s="3"/>
      <c r="G586" s="3"/>
      <c r="J586" s="3"/>
    </row>
    <row r="587">
      <c r="D587" s="3"/>
      <c r="G587" s="3"/>
      <c r="J587" s="3"/>
    </row>
    <row r="588">
      <c r="D588" s="3"/>
      <c r="G588" s="3"/>
      <c r="J588" s="3"/>
    </row>
    <row r="589">
      <c r="D589" s="3"/>
      <c r="G589" s="3"/>
      <c r="J589" s="3"/>
    </row>
    <row r="590">
      <c r="D590" s="3"/>
      <c r="G590" s="3"/>
      <c r="J590" s="3"/>
    </row>
    <row r="591">
      <c r="D591" s="3"/>
      <c r="G591" s="3"/>
      <c r="J591" s="3"/>
    </row>
    <row r="592">
      <c r="D592" s="3"/>
      <c r="G592" s="3"/>
      <c r="J592" s="3"/>
    </row>
    <row r="593">
      <c r="D593" s="3"/>
      <c r="G593" s="3"/>
      <c r="J593" s="3"/>
    </row>
    <row r="594">
      <c r="D594" s="3"/>
      <c r="G594" s="3"/>
      <c r="J594" s="3"/>
    </row>
    <row r="595">
      <c r="D595" s="3"/>
      <c r="G595" s="3"/>
      <c r="J595" s="3"/>
    </row>
    <row r="596">
      <c r="D596" s="3"/>
      <c r="G596" s="3"/>
      <c r="J596" s="3"/>
    </row>
    <row r="597">
      <c r="D597" s="3"/>
      <c r="G597" s="3"/>
      <c r="J597" s="3"/>
    </row>
    <row r="598">
      <c r="D598" s="3"/>
      <c r="G598" s="3"/>
      <c r="J598" s="3"/>
    </row>
    <row r="599">
      <c r="D599" s="3"/>
      <c r="G599" s="3"/>
      <c r="J599" s="3"/>
    </row>
    <row r="600">
      <c r="D600" s="3"/>
      <c r="G600" s="3"/>
      <c r="J600" s="3"/>
    </row>
    <row r="601">
      <c r="D601" s="3"/>
      <c r="G601" s="3"/>
      <c r="J601" s="3"/>
    </row>
    <row r="602">
      <c r="D602" s="3"/>
      <c r="G602" s="3"/>
      <c r="J602" s="3"/>
    </row>
    <row r="603">
      <c r="D603" s="3"/>
      <c r="G603" s="3"/>
      <c r="J603" s="3"/>
    </row>
    <row r="604">
      <c r="D604" s="3"/>
      <c r="G604" s="3"/>
      <c r="J604" s="3"/>
    </row>
    <row r="605">
      <c r="D605" s="3"/>
      <c r="G605" s="3"/>
      <c r="J605" s="3"/>
    </row>
    <row r="606">
      <c r="D606" s="3"/>
      <c r="G606" s="3"/>
      <c r="J606" s="3"/>
    </row>
    <row r="607">
      <c r="D607" s="3"/>
      <c r="G607" s="3"/>
      <c r="J607" s="3"/>
    </row>
    <row r="608">
      <c r="D608" s="3"/>
      <c r="G608" s="3"/>
      <c r="J608" s="3"/>
    </row>
    <row r="609">
      <c r="D609" s="3"/>
      <c r="G609" s="3"/>
      <c r="J609" s="3"/>
    </row>
    <row r="610">
      <c r="D610" s="3"/>
      <c r="G610" s="3"/>
      <c r="J610" s="3"/>
    </row>
    <row r="611">
      <c r="D611" s="3"/>
      <c r="G611" s="3"/>
      <c r="J611" s="3"/>
    </row>
    <row r="612">
      <c r="D612" s="3"/>
      <c r="G612" s="3"/>
      <c r="J612" s="3"/>
    </row>
    <row r="613">
      <c r="D613" s="3"/>
      <c r="G613" s="3"/>
      <c r="J613" s="3"/>
    </row>
    <row r="614">
      <c r="D614" s="3"/>
      <c r="G614" s="3"/>
      <c r="J614" s="3"/>
    </row>
    <row r="615">
      <c r="D615" s="3"/>
      <c r="G615" s="3"/>
      <c r="J615" s="3"/>
    </row>
    <row r="616">
      <c r="D616" s="3"/>
      <c r="G616" s="3"/>
      <c r="J616" s="3"/>
    </row>
    <row r="617">
      <c r="D617" s="3"/>
      <c r="G617" s="3"/>
      <c r="J617" s="3"/>
    </row>
    <row r="618">
      <c r="D618" s="3"/>
      <c r="G618" s="3"/>
      <c r="J618" s="3"/>
    </row>
    <row r="619">
      <c r="D619" s="3"/>
      <c r="G619" s="3"/>
      <c r="J619" s="3"/>
    </row>
    <row r="620">
      <c r="D620" s="3"/>
      <c r="G620" s="3"/>
      <c r="J620" s="3"/>
    </row>
    <row r="621">
      <c r="D621" s="3"/>
      <c r="G621" s="3"/>
      <c r="J621" s="3"/>
    </row>
    <row r="622">
      <c r="D622" s="3"/>
      <c r="G622" s="3"/>
      <c r="J622" s="3"/>
    </row>
    <row r="623">
      <c r="D623" s="3"/>
      <c r="G623" s="3"/>
      <c r="J623" s="3"/>
    </row>
    <row r="624">
      <c r="D624" s="3"/>
      <c r="G624" s="3"/>
      <c r="J624" s="3"/>
    </row>
    <row r="625">
      <c r="D625" s="3"/>
      <c r="G625" s="3"/>
      <c r="J625" s="3"/>
    </row>
    <row r="626">
      <c r="D626" s="3"/>
      <c r="G626" s="3"/>
      <c r="J626" s="3"/>
    </row>
    <row r="627">
      <c r="D627" s="3"/>
      <c r="G627" s="3"/>
      <c r="J627" s="3"/>
    </row>
    <row r="628">
      <c r="D628" s="3"/>
      <c r="G628" s="3"/>
      <c r="J628" s="3"/>
    </row>
    <row r="629">
      <c r="D629" s="3"/>
      <c r="G629" s="3"/>
      <c r="J629" s="3"/>
    </row>
    <row r="630">
      <c r="D630" s="3"/>
      <c r="G630" s="3"/>
      <c r="J630" s="3"/>
    </row>
    <row r="631">
      <c r="D631" s="3"/>
      <c r="G631" s="3"/>
      <c r="J631" s="3"/>
    </row>
    <row r="632">
      <c r="D632" s="3"/>
      <c r="G632" s="3"/>
      <c r="J632" s="3"/>
    </row>
    <row r="633">
      <c r="D633" s="3"/>
      <c r="G633" s="3"/>
      <c r="J633" s="3"/>
    </row>
    <row r="634">
      <c r="D634" s="3"/>
      <c r="G634" s="3"/>
      <c r="J634" s="3"/>
    </row>
    <row r="635">
      <c r="D635" s="3"/>
      <c r="G635" s="3"/>
      <c r="J635" s="3"/>
    </row>
    <row r="636">
      <c r="D636" s="3"/>
      <c r="G636" s="3"/>
      <c r="J636" s="3"/>
    </row>
    <row r="637">
      <c r="D637" s="3"/>
      <c r="G637" s="3"/>
      <c r="J637" s="3"/>
    </row>
    <row r="638">
      <c r="D638" s="3"/>
      <c r="G638" s="3"/>
      <c r="J638" s="3"/>
    </row>
    <row r="639">
      <c r="D639" s="3"/>
      <c r="G639" s="3"/>
      <c r="J639" s="3"/>
    </row>
    <row r="640">
      <c r="D640" s="3"/>
      <c r="G640" s="3"/>
      <c r="J640" s="3"/>
    </row>
    <row r="641">
      <c r="D641" s="3"/>
      <c r="G641" s="3"/>
      <c r="J641" s="3"/>
    </row>
    <row r="642">
      <c r="D642" s="3"/>
      <c r="G642" s="3"/>
      <c r="J642" s="3"/>
    </row>
    <row r="643">
      <c r="D643" s="3"/>
      <c r="G643" s="3"/>
      <c r="J643" s="3"/>
    </row>
    <row r="644">
      <c r="D644" s="3"/>
      <c r="G644" s="3"/>
      <c r="J644" s="3"/>
    </row>
    <row r="645">
      <c r="D645" s="3"/>
      <c r="G645" s="3"/>
      <c r="J645" s="3"/>
    </row>
    <row r="646">
      <c r="D646" s="3"/>
      <c r="G646" s="3"/>
      <c r="J646" s="3"/>
    </row>
    <row r="647">
      <c r="D647" s="3"/>
      <c r="G647" s="3"/>
      <c r="J647" s="3"/>
    </row>
    <row r="648">
      <c r="D648" s="3"/>
      <c r="G648" s="3"/>
      <c r="J648" s="3"/>
    </row>
    <row r="649">
      <c r="D649" s="3"/>
      <c r="G649" s="3"/>
      <c r="J649" s="3"/>
    </row>
    <row r="650">
      <c r="D650" s="3"/>
      <c r="G650" s="3"/>
      <c r="J650" s="3"/>
    </row>
    <row r="651">
      <c r="D651" s="3"/>
      <c r="G651" s="3"/>
      <c r="J651" s="3"/>
    </row>
    <row r="652">
      <c r="D652" s="3"/>
      <c r="G652" s="3"/>
      <c r="J652" s="3"/>
    </row>
    <row r="653">
      <c r="D653" s="3"/>
      <c r="G653" s="3"/>
      <c r="J653" s="3"/>
    </row>
    <row r="654">
      <c r="D654" s="3"/>
      <c r="G654" s="3"/>
      <c r="J654" s="3"/>
    </row>
    <row r="655">
      <c r="D655" s="3"/>
      <c r="G655" s="3"/>
      <c r="J655" s="3"/>
    </row>
    <row r="656">
      <c r="D656" s="3"/>
      <c r="G656" s="3"/>
      <c r="J656" s="3"/>
    </row>
    <row r="657">
      <c r="D657" s="3"/>
      <c r="G657" s="3"/>
      <c r="J657" s="3"/>
    </row>
    <row r="658">
      <c r="D658" s="3"/>
      <c r="G658" s="3"/>
      <c r="J658" s="3"/>
    </row>
    <row r="659">
      <c r="D659" s="3"/>
      <c r="G659" s="3"/>
      <c r="J659" s="3"/>
    </row>
    <row r="660">
      <c r="D660" s="3"/>
      <c r="G660" s="3"/>
      <c r="J660" s="3"/>
    </row>
    <row r="661">
      <c r="D661" s="3"/>
      <c r="G661" s="3"/>
      <c r="J661" s="3"/>
    </row>
    <row r="662">
      <c r="D662" s="3"/>
      <c r="G662" s="3"/>
      <c r="J662" s="3"/>
    </row>
    <row r="663">
      <c r="D663" s="3"/>
      <c r="G663" s="3"/>
      <c r="J663" s="3"/>
    </row>
    <row r="664">
      <c r="D664" s="3"/>
      <c r="G664" s="3"/>
      <c r="J664" s="3"/>
    </row>
    <row r="665">
      <c r="D665" s="3"/>
      <c r="G665" s="3"/>
      <c r="J665" s="3"/>
    </row>
    <row r="666">
      <c r="D666" s="3"/>
      <c r="G666" s="3"/>
      <c r="J666" s="3"/>
    </row>
    <row r="667">
      <c r="D667" s="3"/>
      <c r="G667" s="3"/>
      <c r="J667" s="3"/>
    </row>
    <row r="668">
      <c r="D668" s="3"/>
      <c r="G668" s="3"/>
      <c r="J668" s="3"/>
    </row>
    <row r="669">
      <c r="D669" s="3"/>
      <c r="G669" s="3"/>
      <c r="J669" s="3"/>
    </row>
    <row r="670">
      <c r="D670" s="3"/>
      <c r="G670" s="3"/>
      <c r="J670" s="3"/>
    </row>
    <row r="671">
      <c r="D671" s="3"/>
      <c r="G671" s="3"/>
      <c r="J671" s="3"/>
    </row>
    <row r="672">
      <c r="D672" s="3"/>
      <c r="G672" s="3"/>
      <c r="J672" s="3"/>
    </row>
    <row r="673">
      <c r="D673" s="3"/>
      <c r="G673" s="3"/>
      <c r="J673" s="3"/>
    </row>
    <row r="674">
      <c r="D674" s="3"/>
      <c r="G674" s="3"/>
      <c r="J674" s="3"/>
    </row>
    <row r="675">
      <c r="D675" s="3"/>
      <c r="G675" s="3"/>
      <c r="J675" s="3"/>
    </row>
    <row r="676">
      <c r="D676" s="3"/>
      <c r="G676" s="3"/>
      <c r="J676" s="3"/>
    </row>
    <row r="677">
      <c r="D677" s="3"/>
      <c r="G677" s="3"/>
      <c r="J677" s="3"/>
    </row>
    <row r="678">
      <c r="D678" s="3"/>
      <c r="G678" s="3"/>
      <c r="J678" s="3"/>
    </row>
    <row r="679">
      <c r="D679" s="3"/>
      <c r="G679" s="3"/>
      <c r="J679" s="3"/>
    </row>
    <row r="680">
      <c r="D680" s="3"/>
      <c r="G680" s="3"/>
      <c r="J680" s="3"/>
    </row>
    <row r="681">
      <c r="D681" s="3"/>
      <c r="G681" s="3"/>
      <c r="J681" s="3"/>
    </row>
    <row r="682">
      <c r="D682" s="3"/>
      <c r="G682" s="3"/>
      <c r="J682" s="3"/>
    </row>
    <row r="683">
      <c r="D683" s="3"/>
      <c r="G683" s="3"/>
      <c r="J683" s="3"/>
    </row>
    <row r="684">
      <c r="D684" s="3"/>
      <c r="G684" s="3"/>
      <c r="J684" s="3"/>
    </row>
    <row r="685">
      <c r="D685" s="3"/>
      <c r="G685" s="3"/>
      <c r="J685" s="3"/>
    </row>
    <row r="686">
      <c r="D686" s="3"/>
      <c r="G686" s="3"/>
      <c r="J686" s="3"/>
    </row>
    <row r="687">
      <c r="D687" s="3"/>
      <c r="G687" s="3"/>
      <c r="J687" s="3"/>
    </row>
    <row r="688">
      <c r="D688" s="3"/>
      <c r="G688" s="3"/>
      <c r="J688" s="3"/>
    </row>
    <row r="689">
      <c r="D689" s="3"/>
      <c r="G689" s="3"/>
      <c r="J689" s="3"/>
    </row>
    <row r="690">
      <c r="D690" s="3"/>
      <c r="G690" s="3"/>
      <c r="J690" s="3"/>
    </row>
    <row r="691">
      <c r="D691" s="3"/>
      <c r="G691" s="3"/>
      <c r="J691" s="3"/>
    </row>
    <row r="692">
      <c r="D692" s="3"/>
      <c r="G692" s="3"/>
      <c r="J692" s="3"/>
    </row>
    <row r="693">
      <c r="D693" s="3"/>
      <c r="G693" s="3"/>
      <c r="J693" s="3"/>
    </row>
    <row r="694">
      <c r="D694" s="3"/>
      <c r="G694" s="3"/>
      <c r="J694" s="3"/>
    </row>
    <row r="695">
      <c r="D695" s="3"/>
      <c r="G695" s="3"/>
      <c r="J695" s="3"/>
    </row>
    <row r="696">
      <c r="D696" s="3"/>
      <c r="G696" s="3"/>
      <c r="J696" s="3"/>
    </row>
    <row r="697">
      <c r="D697" s="3"/>
      <c r="G697" s="3"/>
      <c r="J697" s="3"/>
    </row>
    <row r="698">
      <c r="D698" s="3"/>
      <c r="G698" s="3"/>
      <c r="J698" s="3"/>
    </row>
    <row r="699">
      <c r="D699" s="3"/>
      <c r="G699" s="3"/>
      <c r="J699" s="3"/>
    </row>
    <row r="700">
      <c r="D700" s="3"/>
      <c r="G700" s="3"/>
      <c r="J700" s="3"/>
    </row>
    <row r="701">
      <c r="D701" s="3"/>
      <c r="G701" s="3"/>
      <c r="J701" s="3"/>
    </row>
    <row r="702">
      <c r="D702" s="3"/>
      <c r="G702" s="3"/>
      <c r="J702" s="3"/>
    </row>
    <row r="703">
      <c r="D703" s="3"/>
      <c r="G703" s="3"/>
      <c r="J703" s="3"/>
    </row>
    <row r="704">
      <c r="D704" s="3"/>
      <c r="G704" s="3"/>
      <c r="J704" s="3"/>
    </row>
    <row r="705">
      <c r="D705" s="3"/>
      <c r="G705" s="3"/>
      <c r="J705" s="3"/>
    </row>
    <row r="706">
      <c r="D706" s="3"/>
      <c r="G706" s="3"/>
      <c r="J706" s="3"/>
    </row>
    <row r="707">
      <c r="D707" s="3"/>
      <c r="G707" s="3"/>
      <c r="J707" s="3"/>
    </row>
    <row r="708">
      <c r="D708" s="3"/>
      <c r="G708" s="3"/>
      <c r="J708" s="3"/>
    </row>
    <row r="709">
      <c r="D709" s="3"/>
      <c r="G709" s="3"/>
      <c r="J709" s="3"/>
    </row>
    <row r="710">
      <c r="D710" s="3"/>
      <c r="G710" s="3"/>
      <c r="J710" s="3"/>
    </row>
    <row r="711">
      <c r="D711" s="3"/>
      <c r="G711" s="3"/>
      <c r="J711" s="3"/>
    </row>
    <row r="712">
      <c r="D712" s="3"/>
      <c r="G712" s="3"/>
      <c r="J712" s="3"/>
    </row>
    <row r="713">
      <c r="D713" s="3"/>
      <c r="G713" s="3"/>
      <c r="J713" s="3"/>
    </row>
    <row r="714">
      <c r="D714" s="3"/>
      <c r="G714" s="3"/>
      <c r="J714" s="3"/>
    </row>
    <row r="715">
      <c r="D715" s="3"/>
      <c r="G715" s="3"/>
      <c r="J715" s="3"/>
    </row>
    <row r="716">
      <c r="D716" s="3"/>
      <c r="G716" s="3"/>
      <c r="J716" s="3"/>
    </row>
    <row r="717">
      <c r="D717" s="3"/>
      <c r="G717" s="3"/>
      <c r="J717" s="3"/>
    </row>
    <row r="718">
      <c r="D718" s="3"/>
      <c r="G718" s="3"/>
      <c r="J718" s="3"/>
    </row>
    <row r="719">
      <c r="D719" s="3"/>
      <c r="G719" s="3"/>
      <c r="J719" s="3"/>
    </row>
    <row r="720">
      <c r="D720" s="3"/>
      <c r="G720" s="3"/>
      <c r="J720" s="3"/>
    </row>
    <row r="721">
      <c r="D721" s="3"/>
      <c r="G721" s="3"/>
      <c r="J721" s="3"/>
    </row>
    <row r="722">
      <c r="D722" s="3"/>
      <c r="G722" s="3"/>
      <c r="J722" s="3"/>
    </row>
    <row r="723">
      <c r="D723" s="3"/>
      <c r="G723" s="3"/>
      <c r="J723" s="3"/>
    </row>
    <row r="724">
      <c r="D724" s="3"/>
      <c r="G724" s="3"/>
      <c r="J724" s="3"/>
    </row>
    <row r="725">
      <c r="D725" s="3"/>
      <c r="G725" s="3"/>
      <c r="J725" s="3"/>
    </row>
    <row r="726">
      <c r="D726" s="3"/>
      <c r="G726" s="3"/>
      <c r="J726" s="3"/>
    </row>
    <row r="727">
      <c r="D727" s="3"/>
      <c r="G727" s="3"/>
      <c r="J727" s="3"/>
    </row>
    <row r="728">
      <c r="D728" s="3"/>
      <c r="G728" s="3"/>
      <c r="J728" s="3"/>
    </row>
    <row r="729">
      <c r="D729" s="3"/>
      <c r="G729" s="3"/>
      <c r="J729" s="3"/>
    </row>
    <row r="730">
      <c r="D730" s="3"/>
      <c r="G730" s="3"/>
      <c r="J730" s="3"/>
    </row>
    <row r="731">
      <c r="D731" s="3"/>
      <c r="G731" s="3"/>
      <c r="J731" s="3"/>
    </row>
    <row r="732">
      <c r="D732" s="3"/>
      <c r="G732" s="3"/>
      <c r="J732" s="3"/>
    </row>
    <row r="733">
      <c r="D733" s="3"/>
      <c r="G733" s="3"/>
      <c r="J733" s="3"/>
    </row>
    <row r="734">
      <c r="D734" s="3"/>
      <c r="G734" s="3"/>
      <c r="J734" s="3"/>
    </row>
    <row r="735">
      <c r="D735" s="3"/>
      <c r="G735" s="3"/>
      <c r="J735" s="3"/>
    </row>
    <row r="736">
      <c r="D736" s="3"/>
      <c r="G736" s="3"/>
      <c r="J736" s="3"/>
    </row>
    <row r="737">
      <c r="D737" s="3"/>
      <c r="G737" s="3"/>
      <c r="J737" s="3"/>
    </row>
    <row r="738">
      <c r="D738" s="3"/>
      <c r="G738" s="3"/>
      <c r="J738" s="3"/>
    </row>
    <row r="739">
      <c r="D739" s="3"/>
      <c r="G739" s="3"/>
      <c r="J739" s="3"/>
    </row>
    <row r="740">
      <c r="D740" s="3"/>
      <c r="G740" s="3"/>
      <c r="J740" s="3"/>
    </row>
    <row r="741">
      <c r="D741" s="3"/>
      <c r="G741" s="3"/>
      <c r="J741" s="3"/>
    </row>
    <row r="742">
      <c r="D742" s="3"/>
      <c r="G742" s="3"/>
      <c r="J742" s="3"/>
    </row>
    <row r="743">
      <c r="D743" s="3"/>
      <c r="G743" s="3"/>
      <c r="J743" s="3"/>
    </row>
    <row r="744">
      <c r="D744" s="3"/>
      <c r="G744" s="3"/>
      <c r="J744" s="3"/>
    </row>
    <row r="745">
      <c r="D745" s="3"/>
      <c r="G745" s="3"/>
      <c r="J745" s="3"/>
    </row>
    <row r="746">
      <c r="D746" s="3"/>
      <c r="G746" s="3"/>
      <c r="J746" s="3"/>
    </row>
    <row r="747">
      <c r="D747" s="3"/>
      <c r="G747" s="3"/>
      <c r="J747" s="3"/>
    </row>
    <row r="748">
      <c r="D748" s="3"/>
      <c r="G748" s="3"/>
      <c r="J748" s="3"/>
    </row>
    <row r="749">
      <c r="D749" s="3"/>
      <c r="G749" s="3"/>
      <c r="J749" s="3"/>
    </row>
    <row r="750">
      <c r="D750" s="3"/>
      <c r="G750" s="3"/>
      <c r="J750" s="3"/>
    </row>
    <row r="751">
      <c r="D751" s="3"/>
      <c r="G751" s="3"/>
      <c r="J751" s="3"/>
    </row>
    <row r="752">
      <c r="D752" s="3"/>
      <c r="G752" s="3"/>
      <c r="J752" s="3"/>
    </row>
    <row r="753">
      <c r="D753" s="3"/>
      <c r="G753" s="3"/>
      <c r="J753" s="3"/>
    </row>
    <row r="754">
      <c r="D754" s="3"/>
      <c r="G754" s="3"/>
      <c r="J754" s="3"/>
    </row>
    <row r="755">
      <c r="D755" s="3"/>
      <c r="G755" s="3"/>
      <c r="J755" s="3"/>
    </row>
    <row r="756">
      <c r="D756" s="3"/>
      <c r="G756" s="3"/>
      <c r="J756" s="3"/>
    </row>
    <row r="757">
      <c r="D757" s="3"/>
      <c r="G757" s="3"/>
      <c r="J757" s="3"/>
    </row>
    <row r="758">
      <c r="D758" s="3"/>
      <c r="G758" s="3"/>
      <c r="J758" s="3"/>
    </row>
    <row r="759">
      <c r="D759" s="3"/>
      <c r="G759" s="3"/>
      <c r="J759" s="3"/>
    </row>
    <row r="760">
      <c r="D760" s="3"/>
      <c r="G760" s="3"/>
      <c r="J760" s="3"/>
    </row>
    <row r="761">
      <c r="D761" s="3"/>
      <c r="G761" s="3"/>
      <c r="J761" s="3"/>
    </row>
    <row r="762">
      <c r="D762" s="3"/>
      <c r="G762" s="3"/>
      <c r="J762" s="3"/>
    </row>
    <row r="763">
      <c r="D763" s="3"/>
      <c r="G763" s="3"/>
      <c r="J763" s="3"/>
    </row>
    <row r="764">
      <c r="D764" s="3"/>
      <c r="G764" s="3"/>
      <c r="J764" s="3"/>
    </row>
    <row r="765">
      <c r="D765" s="3"/>
      <c r="G765" s="3"/>
      <c r="J765" s="3"/>
    </row>
    <row r="766">
      <c r="D766" s="3"/>
      <c r="G766" s="3"/>
      <c r="J766" s="3"/>
    </row>
    <row r="767">
      <c r="D767" s="3"/>
      <c r="G767" s="3"/>
      <c r="J767" s="3"/>
    </row>
    <row r="768">
      <c r="D768" s="3"/>
      <c r="G768" s="3"/>
      <c r="J768" s="3"/>
    </row>
    <row r="769">
      <c r="D769" s="3"/>
      <c r="G769" s="3"/>
      <c r="J769" s="3"/>
    </row>
    <row r="770">
      <c r="D770" s="3"/>
      <c r="G770" s="3"/>
      <c r="J770" s="3"/>
    </row>
    <row r="771">
      <c r="D771" s="3"/>
      <c r="G771" s="3"/>
      <c r="J771" s="3"/>
    </row>
    <row r="772">
      <c r="D772" s="3"/>
      <c r="G772" s="3"/>
      <c r="J772" s="3"/>
    </row>
    <row r="773">
      <c r="D773" s="3"/>
      <c r="G773" s="3"/>
      <c r="J773" s="3"/>
    </row>
    <row r="774">
      <c r="D774" s="3"/>
      <c r="G774" s="3"/>
      <c r="J774" s="3"/>
    </row>
    <row r="775">
      <c r="D775" s="3"/>
      <c r="G775" s="3"/>
      <c r="J775" s="3"/>
    </row>
    <row r="776">
      <c r="D776" s="3"/>
      <c r="G776" s="3"/>
      <c r="J776" s="3"/>
    </row>
    <row r="777">
      <c r="D777" s="3"/>
      <c r="G777" s="3"/>
      <c r="J777" s="3"/>
    </row>
    <row r="778">
      <c r="D778" s="3"/>
      <c r="G778" s="3"/>
      <c r="J778" s="3"/>
    </row>
    <row r="779">
      <c r="D779" s="3"/>
      <c r="G779" s="3"/>
      <c r="J779" s="3"/>
    </row>
    <row r="780">
      <c r="D780" s="3"/>
      <c r="G780" s="3"/>
      <c r="J780" s="3"/>
    </row>
    <row r="781">
      <c r="D781" s="3"/>
      <c r="G781" s="3"/>
      <c r="J781" s="3"/>
    </row>
    <row r="782">
      <c r="D782" s="3"/>
      <c r="G782" s="3"/>
      <c r="J782" s="3"/>
    </row>
    <row r="783">
      <c r="D783" s="3"/>
      <c r="G783" s="3"/>
      <c r="J783" s="3"/>
    </row>
    <row r="784">
      <c r="D784" s="3"/>
      <c r="G784" s="3"/>
      <c r="J784" s="3"/>
    </row>
    <row r="785">
      <c r="D785" s="3"/>
      <c r="G785" s="3"/>
      <c r="J785" s="3"/>
    </row>
    <row r="786">
      <c r="D786" s="3"/>
      <c r="G786" s="3"/>
      <c r="J786" s="3"/>
    </row>
    <row r="787">
      <c r="D787" s="3"/>
      <c r="G787" s="3"/>
      <c r="J787" s="3"/>
    </row>
    <row r="788">
      <c r="D788" s="3"/>
      <c r="G788" s="3"/>
      <c r="J788" s="3"/>
    </row>
    <row r="789">
      <c r="D789" s="3"/>
      <c r="G789" s="3"/>
      <c r="J789" s="3"/>
    </row>
    <row r="790">
      <c r="D790" s="3"/>
      <c r="G790" s="3"/>
      <c r="J790" s="3"/>
    </row>
    <row r="791">
      <c r="D791" s="3"/>
      <c r="G791" s="3"/>
      <c r="J791" s="3"/>
    </row>
    <row r="792">
      <c r="D792" s="3"/>
      <c r="G792" s="3"/>
      <c r="J792" s="3"/>
    </row>
    <row r="793">
      <c r="D793" s="3"/>
      <c r="G793" s="3"/>
      <c r="J793" s="3"/>
    </row>
    <row r="794">
      <c r="D794" s="3"/>
      <c r="G794" s="3"/>
      <c r="J794" s="3"/>
    </row>
    <row r="795">
      <c r="D795" s="3"/>
      <c r="G795" s="3"/>
      <c r="J795" s="3"/>
    </row>
    <row r="796">
      <c r="D796" s="3"/>
      <c r="G796" s="3"/>
      <c r="J796" s="3"/>
    </row>
    <row r="797">
      <c r="D797" s="3"/>
      <c r="G797" s="3"/>
      <c r="J797" s="3"/>
    </row>
    <row r="798">
      <c r="D798" s="3"/>
      <c r="G798" s="3"/>
      <c r="J798" s="3"/>
    </row>
    <row r="799">
      <c r="D799" s="3"/>
      <c r="G799" s="3"/>
      <c r="J799" s="3"/>
    </row>
    <row r="800">
      <c r="D800" s="3"/>
      <c r="G800" s="3"/>
      <c r="J800" s="3"/>
    </row>
    <row r="801">
      <c r="D801" s="3"/>
      <c r="G801" s="3"/>
      <c r="J801" s="3"/>
    </row>
    <row r="802">
      <c r="D802" s="3"/>
      <c r="G802" s="3"/>
      <c r="J802" s="3"/>
    </row>
    <row r="803">
      <c r="D803" s="3"/>
      <c r="G803" s="3"/>
      <c r="J803" s="3"/>
    </row>
    <row r="804">
      <c r="D804" s="3"/>
      <c r="G804" s="3"/>
      <c r="J804" s="3"/>
    </row>
    <row r="805">
      <c r="D805" s="3"/>
      <c r="G805" s="3"/>
      <c r="J805" s="3"/>
    </row>
    <row r="806">
      <c r="D806" s="3"/>
      <c r="G806" s="3"/>
      <c r="J806" s="3"/>
    </row>
    <row r="807">
      <c r="D807" s="3"/>
      <c r="G807" s="3"/>
      <c r="J807" s="3"/>
    </row>
    <row r="808">
      <c r="D808" s="3"/>
      <c r="G808" s="3"/>
      <c r="J808" s="3"/>
    </row>
    <row r="809">
      <c r="D809" s="3"/>
      <c r="G809" s="3"/>
      <c r="J809" s="3"/>
    </row>
    <row r="810">
      <c r="D810" s="3"/>
      <c r="G810" s="3"/>
      <c r="J810" s="3"/>
    </row>
    <row r="811">
      <c r="D811" s="3"/>
      <c r="G811" s="3"/>
      <c r="J811" s="3"/>
    </row>
    <row r="812">
      <c r="D812" s="3"/>
      <c r="G812" s="3"/>
      <c r="J812" s="3"/>
    </row>
    <row r="813">
      <c r="D813" s="3"/>
      <c r="G813" s="3"/>
      <c r="J813" s="3"/>
    </row>
    <row r="814">
      <c r="D814" s="3"/>
      <c r="G814" s="3"/>
      <c r="J814" s="3"/>
    </row>
    <row r="815">
      <c r="D815" s="3"/>
      <c r="G815" s="3"/>
      <c r="J815" s="3"/>
    </row>
    <row r="816">
      <c r="D816" s="3"/>
      <c r="G816" s="3"/>
      <c r="J816" s="3"/>
    </row>
    <row r="817">
      <c r="D817" s="3"/>
      <c r="G817" s="3"/>
      <c r="J817" s="3"/>
    </row>
    <row r="818">
      <c r="D818" s="3"/>
      <c r="G818" s="3"/>
      <c r="J818" s="3"/>
    </row>
    <row r="819">
      <c r="D819" s="3"/>
      <c r="G819" s="3"/>
      <c r="J819" s="3"/>
    </row>
    <row r="820">
      <c r="D820" s="3"/>
      <c r="G820" s="3"/>
      <c r="J820" s="3"/>
    </row>
    <row r="821">
      <c r="D821" s="3"/>
      <c r="G821" s="3"/>
      <c r="J821" s="3"/>
    </row>
    <row r="822">
      <c r="D822" s="3"/>
      <c r="G822" s="3"/>
      <c r="J822" s="3"/>
    </row>
    <row r="823">
      <c r="D823" s="3"/>
      <c r="G823" s="3"/>
      <c r="J823" s="3"/>
    </row>
    <row r="824">
      <c r="D824" s="3"/>
      <c r="G824" s="3"/>
      <c r="J824" s="3"/>
    </row>
    <row r="825">
      <c r="D825" s="3"/>
      <c r="G825" s="3"/>
      <c r="J825" s="3"/>
    </row>
    <row r="826">
      <c r="D826" s="3"/>
      <c r="G826" s="3"/>
      <c r="J826" s="3"/>
    </row>
    <row r="827">
      <c r="D827" s="3"/>
      <c r="G827" s="3"/>
      <c r="J827" s="3"/>
    </row>
    <row r="828">
      <c r="D828" s="3"/>
      <c r="G828" s="3"/>
      <c r="J828" s="3"/>
    </row>
    <row r="829">
      <c r="D829" s="3"/>
      <c r="G829" s="3"/>
      <c r="J829" s="3"/>
    </row>
    <row r="830">
      <c r="D830" s="3"/>
      <c r="G830" s="3"/>
      <c r="J830" s="3"/>
    </row>
    <row r="831">
      <c r="D831" s="3"/>
      <c r="G831" s="3"/>
      <c r="J831" s="3"/>
    </row>
    <row r="832">
      <c r="D832" s="3"/>
      <c r="G832" s="3"/>
      <c r="J832" s="3"/>
    </row>
    <row r="833">
      <c r="D833" s="3"/>
      <c r="G833" s="3"/>
      <c r="J833" s="3"/>
    </row>
    <row r="834">
      <c r="D834" s="3"/>
      <c r="G834" s="3"/>
      <c r="J834" s="3"/>
    </row>
    <row r="835">
      <c r="D835" s="3"/>
      <c r="G835" s="3"/>
      <c r="J835" s="3"/>
    </row>
    <row r="836">
      <c r="D836" s="3"/>
      <c r="G836" s="3"/>
      <c r="J836" s="3"/>
    </row>
    <row r="837">
      <c r="D837" s="3"/>
      <c r="G837" s="3"/>
      <c r="J837" s="3"/>
    </row>
    <row r="838">
      <c r="D838" s="3"/>
      <c r="G838" s="3"/>
      <c r="J838" s="3"/>
    </row>
    <row r="839">
      <c r="D839" s="3"/>
      <c r="G839" s="3"/>
      <c r="J839" s="3"/>
    </row>
    <row r="840">
      <c r="D840" s="3"/>
      <c r="G840" s="3"/>
      <c r="J840" s="3"/>
    </row>
    <row r="841">
      <c r="D841" s="3"/>
      <c r="G841" s="3"/>
      <c r="J841" s="3"/>
    </row>
    <row r="842">
      <c r="D842" s="3"/>
      <c r="G842" s="3"/>
      <c r="J842" s="3"/>
    </row>
    <row r="843">
      <c r="D843" s="3"/>
      <c r="G843" s="3"/>
      <c r="J843" s="3"/>
    </row>
    <row r="844">
      <c r="D844" s="3"/>
      <c r="G844" s="3"/>
      <c r="J844" s="3"/>
    </row>
    <row r="845">
      <c r="D845" s="3"/>
      <c r="G845" s="3"/>
      <c r="J845" s="3"/>
    </row>
    <row r="846">
      <c r="D846" s="3"/>
      <c r="G846" s="3"/>
      <c r="J846" s="3"/>
    </row>
    <row r="847">
      <c r="D847" s="3"/>
      <c r="G847" s="3"/>
      <c r="J847" s="3"/>
    </row>
    <row r="848">
      <c r="D848" s="3"/>
      <c r="G848" s="3"/>
      <c r="J848" s="3"/>
    </row>
    <row r="849">
      <c r="D849" s="3"/>
      <c r="G849" s="3"/>
      <c r="J849" s="3"/>
    </row>
    <row r="850">
      <c r="D850" s="3"/>
      <c r="G850" s="3"/>
      <c r="J850" s="3"/>
    </row>
    <row r="851">
      <c r="D851" s="3"/>
      <c r="G851" s="3"/>
      <c r="J851" s="3"/>
    </row>
    <row r="852">
      <c r="D852" s="3"/>
      <c r="G852" s="3"/>
      <c r="J852" s="3"/>
    </row>
    <row r="853">
      <c r="D853" s="3"/>
      <c r="G853" s="3"/>
      <c r="J853" s="3"/>
    </row>
    <row r="854">
      <c r="D854" s="3"/>
      <c r="G854" s="3"/>
      <c r="J854" s="3"/>
    </row>
    <row r="855">
      <c r="D855" s="3"/>
      <c r="G855" s="3"/>
      <c r="J855" s="3"/>
    </row>
    <row r="856">
      <c r="D856" s="3"/>
      <c r="G856" s="3"/>
      <c r="J856" s="3"/>
    </row>
    <row r="857">
      <c r="D857" s="3"/>
      <c r="G857" s="3"/>
      <c r="J857" s="3"/>
    </row>
    <row r="858">
      <c r="D858" s="3"/>
      <c r="G858" s="3"/>
      <c r="J858" s="3"/>
    </row>
    <row r="859">
      <c r="D859" s="3"/>
      <c r="G859" s="3"/>
      <c r="J859" s="3"/>
    </row>
    <row r="860">
      <c r="D860" s="3"/>
      <c r="G860" s="3"/>
      <c r="J860" s="3"/>
    </row>
    <row r="861">
      <c r="D861" s="3"/>
      <c r="G861" s="3"/>
      <c r="J861" s="3"/>
    </row>
    <row r="862">
      <c r="D862" s="3"/>
      <c r="G862" s="3"/>
      <c r="J862" s="3"/>
    </row>
    <row r="863">
      <c r="D863" s="3"/>
      <c r="G863" s="3"/>
      <c r="J863" s="3"/>
    </row>
    <row r="864">
      <c r="D864" s="3"/>
      <c r="G864" s="3"/>
      <c r="J864" s="3"/>
    </row>
    <row r="865">
      <c r="D865" s="3"/>
      <c r="G865" s="3"/>
      <c r="J865" s="3"/>
    </row>
    <row r="866">
      <c r="D866" s="3"/>
      <c r="G866" s="3"/>
      <c r="J866" s="3"/>
    </row>
    <row r="867">
      <c r="D867" s="3"/>
      <c r="G867" s="3"/>
      <c r="J867" s="3"/>
    </row>
    <row r="868">
      <c r="D868" s="3"/>
      <c r="G868" s="3"/>
      <c r="J868" s="3"/>
    </row>
    <row r="869">
      <c r="D869" s="3"/>
      <c r="G869" s="3"/>
      <c r="J869" s="3"/>
    </row>
    <row r="870">
      <c r="D870" s="3"/>
      <c r="G870" s="3"/>
      <c r="J870" s="3"/>
    </row>
    <row r="871">
      <c r="D871" s="3"/>
      <c r="G871" s="3"/>
      <c r="J871" s="3"/>
    </row>
    <row r="872">
      <c r="D872" s="3"/>
      <c r="G872" s="3"/>
      <c r="J872" s="3"/>
    </row>
    <row r="873">
      <c r="D873" s="3"/>
      <c r="G873" s="3"/>
      <c r="J873" s="3"/>
    </row>
    <row r="874">
      <c r="D874" s="3"/>
      <c r="G874" s="3"/>
      <c r="J874" s="3"/>
    </row>
    <row r="875">
      <c r="D875" s="3"/>
      <c r="G875" s="3"/>
      <c r="J875" s="3"/>
    </row>
    <row r="876">
      <c r="D876" s="3"/>
      <c r="G876" s="3"/>
      <c r="J876" s="3"/>
    </row>
    <row r="877">
      <c r="D877" s="3"/>
      <c r="G877" s="3"/>
      <c r="J877" s="3"/>
    </row>
    <row r="878">
      <c r="D878" s="3"/>
      <c r="G878" s="3"/>
      <c r="J878" s="3"/>
    </row>
    <row r="879">
      <c r="D879" s="3"/>
      <c r="G879" s="3"/>
      <c r="J879" s="3"/>
    </row>
    <row r="880">
      <c r="D880" s="3"/>
      <c r="G880" s="3"/>
      <c r="J880" s="3"/>
    </row>
    <row r="881">
      <c r="D881" s="3"/>
      <c r="G881" s="3"/>
      <c r="J881" s="3"/>
    </row>
    <row r="882">
      <c r="D882" s="3"/>
      <c r="G882" s="3"/>
      <c r="J882" s="3"/>
    </row>
    <row r="883">
      <c r="D883" s="3"/>
      <c r="G883" s="3"/>
      <c r="J883" s="3"/>
    </row>
    <row r="884">
      <c r="D884" s="3"/>
      <c r="G884" s="3"/>
      <c r="J884" s="3"/>
    </row>
    <row r="885">
      <c r="D885" s="3"/>
      <c r="G885" s="3"/>
      <c r="J885" s="3"/>
    </row>
    <row r="886">
      <c r="D886" s="3"/>
      <c r="G886" s="3"/>
      <c r="J886" s="3"/>
    </row>
    <row r="887">
      <c r="D887" s="3"/>
      <c r="G887" s="3"/>
      <c r="J887" s="3"/>
    </row>
    <row r="888">
      <c r="D888" s="3"/>
      <c r="G888" s="3"/>
      <c r="J888" s="3"/>
    </row>
    <row r="889">
      <c r="D889" s="3"/>
      <c r="G889" s="3"/>
      <c r="J889" s="3"/>
    </row>
    <row r="890">
      <c r="D890" s="3"/>
      <c r="G890" s="3"/>
      <c r="J890" s="3"/>
    </row>
    <row r="891">
      <c r="D891" s="3"/>
      <c r="G891" s="3"/>
      <c r="J891" s="3"/>
    </row>
    <row r="892">
      <c r="D892" s="3"/>
      <c r="G892" s="3"/>
      <c r="J892" s="3"/>
    </row>
    <row r="893">
      <c r="D893" s="3"/>
      <c r="G893" s="3"/>
      <c r="J893" s="3"/>
    </row>
    <row r="894">
      <c r="D894" s="3"/>
      <c r="G894" s="3"/>
      <c r="J894" s="3"/>
    </row>
    <row r="895">
      <c r="D895" s="3"/>
      <c r="G895" s="3"/>
      <c r="J895" s="3"/>
    </row>
    <row r="896">
      <c r="D896" s="3"/>
      <c r="G896" s="3"/>
      <c r="J896" s="3"/>
    </row>
    <row r="897">
      <c r="D897" s="3"/>
      <c r="G897" s="3"/>
      <c r="J897" s="3"/>
    </row>
    <row r="898">
      <c r="D898" s="3"/>
      <c r="G898" s="3"/>
      <c r="J898" s="3"/>
    </row>
    <row r="899">
      <c r="D899" s="3"/>
      <c r="G899" s="3"/>
      <c r="J899" s="3"/>
    </row>
    <row r="900">
      <c r="D900" s="3"/>
      <c r="G900" s="3"/>
      <c r="J900" s="3"/>
    </row>
    <row r="901">
      <c r="D901" s="3"/>
      <c r="G901" s="3"/>
      <c r="J901" s="3"/>
    </row>
    <row r="902">
      <c r="D902" s="3"/>
      <c r="G902" s="3"/>
      <c r="J902" s="3"/>
    </row>
    <row r="903">
      <c r="D903" s="3"/>
      <c r="G903" s="3"/>
      <c r="J903" s="3"/>
    </row>
    <row r="904">
      <c r="D904" s="3"/>
      <c r="G904" s="3"/>
      <c r="J904" s="3"/>
    </row>
    <row r="905">
      <c r="D905" s="3"/>
      <c r="G905" s="3"/>
      <c r="J905" s="3"/>
    </row>
    <row r="906">
      <c r="D906" s="3"/>
      <c r="G906" s="3"/>
      <c r="J906" s="3"/>
    </row>
    <row r="907">
      <c r="D907" s="3"/>
      <c r="G907" s="3"/>
      <c r="J907" s="3"/>
    </row>
    <row r="908">
      <c r="D908" s="3"/>
      <c r="G908" s="3"/>
      <c r="J908" s="3"/>
    </row>
    <row r="909">
      <c r="D909" s="3"/>
      <c r="G909" s="3"/>
      <c r="J909" s="3"/>
    </row>
    <row r="910">
      <c r="D910" s="3"/>
      <c r="G910" s="3"/>
      <c r="J910" s="3"/>
    </row>
    <row r="911">
      <c r="D911" s="3"/>
      <c r="G911" s="3"/>
      <c r="J911" s="3"/>
    </row>
    <row r="912">
      <c r="D912" s="3"/>
      <c r="G912" s="3"/>
      <c r="J912" s="3"/>
    </row>
    <row r="913">
      <c r="D913" s="3"/>
      <c r="G913" s="3"/>
      <c r="J913" s="3"/>
    </row>
    <row r="914">
      <c r="D914" s="3"/>
      <c r="G914" s="3"/>
      <c r="J914" s="3"/>
    </row>
    <row r="915">
      <c r="D915" s="3"/>
      <c r="G915" s="3"/>
      <c r="J915" s="3"/>
    </row>
    <row r="916">
      <c r="D916" s="3"/>
      <c r="G916" s="3"/>
      <c r="J916" s="3"/>
    </row>
    <row r="917">
      <c r="D917" s="3"/>
      <c r="G917" s="3"/>
      <c r="J917" s="3"/>
    </row>
    <row r="918">
      <c r="D918" s="3"/>
      <c r="G918" s="3"/>
      <c r="J918" s="3"/>
    </row>
    <row r="919">
      <c r="D919" s="3"/>
      <c r="G919" s="3"/>
      <c r="J919" s="3"/>
    </row>
    <row r="920">
      <c r="D920" s="3"/>
      <c r="G920" s="3"/>
      <c r="J920" s="3"/>
    </row>
    <row r="921">
      <c r="D921" s="3"/>
      <c r="G921" s="3"/>
      <c r="J921" s="3"/>
    </row>
    <row r="922">
      <c r="D922" s="3"/>
      <c r="G922" s="3"/>
      <c r="J922" s="3"/>
    </row>
    <row r="923">
      <c r="D923" s="3"/>
      <c r="G923" s="3"/>
      <c r="J923" s="3"/>
    </row>
    <row r="924">
      <c r="D924" s="3"/>
      <c r="G924" s="3"/>
      <c r="J924" s="3"/>
    </row>
    <row r="925">
      <c r="D925" s="3"/>
      <c r="G925" s="3"/>
      <c r="J925" s="3"/>
    </row>
    <row r="926">
      <c r="D926" s="3"/>
      <c r="G926" s="3"/>
      <c r="J926" s="3"/>
    </row>
    <row r="927">
      <c r="D927" s="3"/>
      <c r="G927" s="3"/>
      <c r="J927" s="3"/>
    </row>
    <row r="928">
      <c r="D928" s="3"/>
      <c r="G928" s="3"/>
      <c r="J928" s="3"/>
    </row>
    <row r="929">
      <c r="D929" s="3"/>
      <c r="G929" s="3"/>
      <c r="J929" s="3"/>
    </row>
    <row r="930">
      <c r="D930" s="3"/>
      <c r="G930" s="3"/>
      <c r="J930" s="3"/>
    </row>
    <row r="931">
      <c r="D931" s="3"/>
      <c r="G931" s="3"/>
      <c r="J931" s="3"/>
    </row>
    <row r="932">
      <c r="D932" s="3"/>
      <c r="G932" s="3"/>
      <c r="J932" s="3"/>
    </row>
    <row r="933">
      <c r="D933" s="3"/>
      <c r="G933" s="3"/>
      <c r="J933" s="3"/>
    </row>
    <row r="934">
      <c r="D934" s="3"/>
      <c r="G934" s="3"/>
      <c r="J934" s="3"/>
    </row>
    <row r="935">
      <c r="D935" s="3"/>
      <c r="G935" s="3"/>
      <c r="J935" s="3"/>
    </row>
    <row r="936">
      <c r="D936" s="3"/>
      <c r="G936" s="3"/>
      <c r="J936" s="3"/>
    </row>
    <row r="937">
      <c r="D937" s="3"/>
      <c r="G937" s="3"/>
      <c r="J937" s="3"/>
    </row>
    <row r="938">
      <c r="D938" s="3"/>
      <c r="G938" s="3"/>
      <c r="J938" s="3"/>
    </row>
    <row r="939">
      <c r="D939" s="3"/>
      <c r="G939" s="3"/>
      <c r="J939" s="3"/>
    </row>
    <row r="940">
      <c r="D940" s="3"/>
      <c r="G940" s="3"/>
      <c r="J940" s="3"/>
    </row>
    <row r="941">
      <c r="D941" s="3"/>
      <c r="G941" s="3"/>
      <c r="J941" s="3"/>
    </row>
    <row r="942">
      <c r="D942" s="3"/>
      <c r="G942" s="3"/>
      <c r="J942" s="3"/>
    </row>
    <row r="943">
      <c r="D943" s="3"/>
      <c r="G943" s="3"/>
      <c r="J943" s="3"/>
    </row>
    <row r="944">
      <c r="D944" s="3"/>
      <c r="G944" s="3"/>
      <c r="J944" s="3"/>
    </row>
    <row r="945">
      <c r="D945" s="3"/>
      <c r="G945" s="3"/>
      <c r="J945" s="3"/>
    </row>
    <row r="946">
      <c r="D946" s="3"/>
      <c r="G946" s="3"/>
      <c r="J946" s="3"/>
    </row>
    <row r="947">
      <c r="D947" s="3"/>
      <c r="G947" s="3"/>
      <c r="J947" s="3"/>
    </row>
    <row r="948">
      <c r="D948" s="3"/>
      <c r="G948" s="3"/>
      <c r="J948" s="3"/>
    </row>
    <row r="949">
      <c r="D949" s="3"/>
      <c r="G949" s="3"/>
      <c r="J949" s="3"/>
    </row>
    <row r="950">
      <c r="D950" s="3"/>
      <c r="G950" s="3"/>
      <c r="J950" s="3"/>
    </row>
    <row r="951">
      <c r="D951" s="3"/>
      <c r="G951" s="3"/>
      <c r="J951" s="3"/>
    </row>
    <row r="952">
      <c r="D952" s="3"/>
      <c r="G952" s="3"/>
      <c r="J952" s="3"/>
    </row>
    <row r="953">
      <c r="D953" s="3"/>
      <c r="G953" s="3"/>
      <c r="J953" s="3"/>
    </row>
    <row r="954">
      <c r="D954" s="3"/>
      <c r="G954" s="3"/>
      <c r="J954" s="3"/>
    </row>
    <row r="955">
      <c r="D955" s="3"/>
      <c r="G955" s="3"/>
      <c r="J955" s="3"/>
    </row>
    <row r="956">
      <c r="D956" s="3"/>
      <c r="G956" s="3"/>
      <c r="J956" s="3"/>
    </row>
    <row r="957">
      <c r="D957" s="3"/>
      <c r="G957" s="3"/>
      <c r="J957" s="3"/>
    </row>
    <row r="958">
      <c r="D958" s="3"/>
      <c r="G958" s="3"/>
      <c r="J958" s="3"/>
    </row>
    <row r="959">
      <c r="D959" s="3"/>
      <c r="G959" s="3"/>
      <c r="J959" s="3"/>
    </row>
    <row r="960">
      <c r="D960" s="3"/>
      <c r="G960" s="3"/>
      <c r="J960" s="3"/>
    </row>
    <row r="961">
      <c r="D961" s="3"/>
      <c r="G961" s="3"/>
      <c r="J961" s="3"/>
    </row>
    <row r="962">
      <c r="D962" s="3"/>
      <c r="G962" s="3"/>
      <c r="J962" s="3"/>
    </row>
    <row r="963">
      <c r="D963" s="3"/>
      <c r="G963" s="3"/>
      <c r="J963" s="3"/>
    </row>
    <row r="964">
      <c r="D964" s="3"/>
      <c r="G964" s="3"/>
      <c r="J964" s="3"/>
    </row>
    <row r="965">
      <c r="D965" s="3"/>
      <c r="G965" s="3"/>
      <c r="J965" s="3"/>
    </row>
    <row r="966">
      <c r="D966" s="3"/>
      <c r="G966" s="3"/>
      <c r="J966" s="3"/>
    </row>
    <row r="967">
      <c r="D967" s="3"/>
      <c r="G967" s="3"/>
      <c r="J967" s="3"/>
    </row>
    <row r="968">
      <c r="D968" s="3"/>
      <c r="G968" s="3"/>
      <c r="J968" s="3"/>
    </row>
    <row r="969">
      <c r="D969" s="3"/>
      <c r="G969" s="3"/>
      <c r="J969" s="3"/>
    </row>
    <row r="970">
      <c r="D970" s="3"/>
      <c r="G970" s="3"/>
      <c r="J970" s="3"/>
    </row>
    <row r="971">
      <c r="D971" s="3"/>
      <c r="G971" s="3"/>
      <c r="J971" s="3"/>
    </row>
    <row r="972">
      <c r="D972" s="3"/>
      <c r="G972" s="3"/>
      <c r="J972" s="3"/>
    </row>
    <row r="973">
      <c r="D973" s="3"/>
      <c r="G973" s="3"/>
      <c r="J973" s="3"/>
    </row>
    <row r="974">
      <c r="D974" s="3"/>
      <c r="G974" s="3"/>
      <c r="J974" s="3"/>
    </row>
    <row r="975">
      <c r="D975" s="3"/>
      <c r="G975" s="3"/>
      <c r="J975" s="3"/>
    </row>
    <row r="976">
      <c r="D976" s="3"/>
      <c r="G976" s="3"/>
      <c r="J976" s="3"/>
    </row>
    <row r="977">
      <c r="D977" s="3"/>
      <c r="G977" s="3"/>
      <c r="J977" s="3"/>
    </row>
    <row r="978">
      <c r="D978" s="3"/>
      <c r="G978" s="3"/>
      <c r="J978" s="3"/>
    </row>
    <row r="979">
      <c r="D979" s="3"/>
      <c r="G979" s="3"/>
      <c r="J979" s="3"/>
    </row>
    <row r="980">
      <c r="D980" s="3"/>
      <c r="G980" s="3"/>
      <c r="J980" s="3"/>
    </row>
    <row r="981">
      <c r="D981" s="3"/>
      <c r="G981" s="3"/>
      <c r="J981" s="3"/>
    </row>
    <row r="982">
      <c r="D982" s="3"/>
      <c r="G982" s="3"/>
      <c r="J982" s="3"/>
    </row>
    <row r="983">
      <c r="D983" s="3"/>
      <c r="G983" s="3"/>
      <c r="J983" s="3"/>
    </row>
    <row r="984">
      <c r="D984" s="3"/>
      <c r="G984" s="3"/>
      <c r="J984" s="3"/>
    </row>
    <row r="985">
      <c r="D985" s="3"/>
      <c r="G985" s="3"/>
      <c r="J985" s="3"/>
    </row>
    <row r="986">
      <c r="D986" s="3"/>
      <c r="G986" s="3"/>
      <c r="J986" s="3"/>
    </row>
    <row r="987">
      <c r="D987" s="3"/>
      <c r="G987" s="3"/>
      <c r="J987" s="3"/>
    </row>
    <row r="988">
      <c r="D988" s="3"/>
      <c r="G988" s="3"/>
      <c r="J988" s="3"/>
    </row>
    <row r="989">
      <c r="D989" s="3"/>
      <c r="G989" s="3"/>
      <c r="J989" s="3"/>
    </row>
    <row r="990">
      <c r="D990" s="3"/>
      <c r="G990" s="3"/>
      <c r="J990" s="3"/>
    </row>
    <row r="991">
      <c r="D991" s="3"/>
      <c r="G991" s="3"/>
      <c r="J991" s="3"/>
    </row>
    <row r="992">
      <c r="D992" s="3"/>
      <c r="G992" s="3"/>
      <c r="J992" s="3"/>
    </row>
    <row r="993">
      <c r="D993" s="3"/>
      <c r="G993" s="3"/>
      <c r="J993" s="3"/>
    </row>
    <row r="994">
      <c r="D994" s="3"/>
      <c r="G994" s="3"/>
      <c r="J994" s="3"/>
    </row>
    <row r="995">
      <c r="D995" s="3"/>
      <c r="G995" s="3"/>
      <c r="J995" s="3"/>
    </row>
    <row r="996">
      <c r="D996" s="3"/>
      <c r="G996" s="3"/>
      <c r="J996" s="3"/>
    </row>
    <row r="997">
      <c r="D997" s="3"/>
      <c r="G997" s="3"/>
      <c r="J997" s="3"/>
    </row>
    <row r="998">
      <c r="D998" s="3"/>
      <c r="G998" s="3"/>
      <c r="J998" s="3"/>
    </row>
    <row r="999">
      <c r="D999" s="3"/>
      <c r="G999" s="3"/>
      <c r="J999" s="3"/>
    </row>
    <row r="1000">
      <c r="D1000" s="3"/>
      <c r="G1000" s="3"/>
      <c r="J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>
        <f>IFERROR(__xludf.DUMMYFUNCTION("IFERROR(QUERY(FEB_2023!A:I, ""SELECT * WHERE D IS NOT NULL AND UPPER(I) = 'PRODUKSI'"", 1), ""Data PRODUKSI belum ditemukan"")"),46054.0)</f>
        <v>46054</v>
      </c>
      <c r="B1" s="5" t="str">
        <f>IFERROR(__xludf.DUMMYFUNCTION("""COMPUTED_VALUE"""),"TRSF E-BANKING DB TANGGAL :31/01")</f>
        <v>TRSF E-BANKING DB TANGGAL :31/01</v>
      </c>
      <c r="C1" s="5" t="str">
        <f>IFERROR(__xludf.DUMMYFUNCTION("""COMPUTED_VALUE"""),"3101/FTSCY/WS95011 30/01 lunas BROILER MAKMUR TAN")</f>
        <v>3101/FTSCY/WS95011 30/01 lunas BROILER MAKMUR TAN</v>
      </c>
      <c r="D1" s="3">
        <f>IFERROR(__xludf.DUMMYFUNCTION("""COMPUTED_VALUE"""),8.71185E7)</f>
        <v>87118500</v>
      </c>
      <c r="E1" s="5"/>
      <c r="F1" s="5" t="str">
        <f>IFERROR(__xludf.DUMMYFUNCTION("""COMPUTED_VALUE"""),"DB")</f>
        <v>DB</v>
      </c>
      <c r="G1" s="3">
        <f>IFERROR(__xludf.DUMMYFUNCTION("""COMPUTED_VALUE"""),2.4354775459999993E7)</f>
        <v>24354775.46</v>
      </c>
      <c r="H1" s="5"/>
      <c r="I1" s="5" t="str">
        <f>IFERROR(__xludf.DUMMYFUNCTION("""COMPUTED_VALUE"""),"PRODUKSI")</f>
        <v>PRODUKSI</v>
      </c>
      <c r="J1" s="3">
        <f>SUM(D2:D1000)</f>
        <v>15695594140</v>
      </c>
    </row>
    <row r="2">
      <c r="A2" s="9">
        <f>IFERROR(__xludf.DUMMYFUNCTION("""COMPUTED_VALUE"""),46054.0)</f>
        <v>46054</v>
      </c>
      <c r="B2" s="5" t="str">
        <f>IFERROR(__xludf.DUMMYFUNCTION("""COMPUTED_VALUE"""),"TRSF E-BANKING DB")</f>
        <v>TRSF E-BANKING DB</v>
      </c>
      <c r="C2" s="5" t="str">
        <f>IFERROR(__xludf.DUMMYFUNCTION("""COMPUTED_VALUE"""),"0102/FTSCY/WS95271 125886740.00 pemb. kd eko mlg ANDALAN YASA MITRA")</f>
        <v>0102/FTSCY/WS95271 125886740.00 pemb. kd eko mlg ANDALAN YASA MITRA</v>
      </c>
      <c r="D2" s="3">
        <f>IFERROR(__xludf.DUMMYFUNCTION("""COMPUTED_VALUE"""),1.2588674E8)</f>
        <v>125886740</v>
      </c>
      <c r="E2" s="5"/>
      <c r="F2" s="5" t="str">
        <f>IFERROR(__xludf.DUMMYFUNCTION("""COMPUTED_VALUE"""),"DB")</f>
        <v>DB</v>
      </c>
      <c r="G2" s="3">
        <f>IFERROR(__xludf.DUMMYFUNCTION("""COMPUTED_VALUE"""),3.0204850246E8)</f>
        <v>302048502.5</v>
      </c>
      <c r="H2" s="5"/>
      <c r="I2" s="5" t="str">
        <f>IFERROR(__xludf.DUMMYFUNCTION("""COMPUTED_VALUE"""),"PRODUKSI")</f>
        <v>PRODUKSI</v>
      </c>
      <c r="J2" s="3"/>
    </row>
    <row r="3">
      <c r="A3" s="9">
        <f>IFERROR(__xludf.DUMMYFUNCTION("""COMPUTED_VALUE"""),46054.0)</f>
        <v>46054</v>
      </c>
      <c r="B3" s="5" t="str">
        <f>IFERROR(__xludf.DUMMYFUNCTION("""COMPUTED_VALUE"""),"TRSF E-BANKING DB")</f>
        <v>TRSF E-BANKING DB</v>
      </c>
      <c r="C3" s="5" t="str">
        <f>IFERROR(__xludf.DUMMYFUNCTION("""COMPUTED_VALUE"""),"0102/FTSCY/WS95031 49913220.00 kd etik jbr BROILER MAKMUR TAN")</f>
        <v>0102/FTSCY/WS95031 49913220.00 kd etik jbr BROILER MAKMUR TAN</v>
      </c>
      <c r="D3" s="3">
        <f>IFERROR(__xludf.DUMMYFUNCTION("""COMPUTED_VALUE"""),4.991322E7)</f>
        <v>49913220</v>
      </c>
      <c r="E3" s="5"/>
      <c r="F3" s="5" t="str">
        <f>IFERROR(__xludf.DUMMYFUNCTION("""COMPUTED_VALUE"""),"DB")</f>
        <v>DB</v>
      </c>
      <c r="G3" s="3">
        <f>IFERROR(__xludf.DUMMYFUNCTION("""COMPUTED_VALUE"""),2.5213528245999998E8)</f>
        <v>252135282.5</v>
      </c>
      <c r="H3" s="5"/>
      <c r="I3" s="5" t="str">
        <f>IFERROR(__xludf.DUMMYFUNCTION("""COMPUTED_VALUE"""),"PRODUKSI")</f>
        <v>PRODUKSI</v>
      </c>
      <c r="J3" s="3"/>
    </row>
    <row r="4">
      <c r="A4" s="9">
        <f>IFERROR(__xludf.DUMMYFUNCTION("""COMPUTED_VALUE"""),46054.0)</f>
        <v>46054</v>
      </c>
      <c r="B4" s="5" t="str">
        <f>IFERROR(__xludf.DUMMYFUNCTION("""COMPUTED_VALUE"""),"TRSF E-BANKING DB")</f>
        <v>TRSF E-BANKING DB</v>
      </c>
      <c r="C4" s="5" t="str">
        <f>IFERROR(__xludf.DUMMYFUNCTION("""COMPUTED_VALUE"""),"0102/FTSCY/WS95271 52308750.00 pemb. kd yainul bl itar GANESHA SATRIA NUS")</f>
        <v>0102/FTSCY/WS95271 52308750.00 pemb. kd yainul bl itar GANESHA SATRIA NUS</v>
      </c>
      <c r="D4" s="3">
        <f>IFERROR(__xludf.DUMMYFUNCTION("""COMPUTED_VALUE"""),5.230875E7)</f>
        <v>52308750</v>
      </c>
      <c r="E4" s="5"/>
      <c r="F4" s="5" t="str">
        <f>IFERROR(__xludf.DUMMYFUNCTION("""COMPUTED_VALUE"""),"DB")</f>
        <v>DB</v>
      </c>
      <c r="G4" s="3">
        <f>IFERROR(__xludf.DUMMYFUNCTION("""COMPUTED_VALUE"""),1.9982653245999998E8)</f>
        <v>199826532.5</v>
      </c>
      <c r="H4" s="5" t="str">
        <f>IFERROR(__xludf.DUMMYFUNCTION("""COMPUTED_VALUE"""),"199,826,532.46")</f>
        <v>199,826,532.46</v>
      </c>
      <c r="I4" s="5" t="str">
        <f>IFERROR(__xludf.DUMMYFUNCTION("""COMPUTED_VALUE"""),"PRODUKSI")</f>
        <v>PRODUKSI</v>
      </c>
      <c r="J4" s="3"/>
    </row>
    <row r="5">
      <c r="A5" s="9">
        <f>IFERROR(__xludf.DUMMYFUNCTION("""COMPUTED_VALUE"""),46054.0)</f>
        <v>46054</v>
      </c>
      <c r="B5" s="5" t="str">
        <f>IFERROR(__xludf.DUMMYFUNCTION("""COMPUTED_VALUE"""),"TRSF E-BANKING DB")</f>
        <v>TRSF E-BANKING DB</v>
      </c>
      <c r="C5" s="5" t="str">
        <f>IFERROR(__xludf.DUMMYFUNCTION("""COMPUTED_VALUE"""),"0102/FTSCY/WS95011 181749000.00 30/01 lunas SUPER UNGGAS JAYA")</f>
        <v>0102/FTSCY/WS95011 181749000.00 30/01 lunas SUPER UNGGAS JAYA</v>
      </c>
      <c r="D5" s="3">
        <f>IFERROR(__xludf.DUMMYFUNCTION("""COMPUTED_VALUE"""),1.81749E8)</f>
        <v>181749000</v>
      </c>
      <c r="E5" s="5"/>
      <c r="F5" s="5" t="str">
        <f>IFERROR(__xludf.DUMMYFUNCTION("""COMPUTED_VALUE"""),"DB")</f>
        <v>DB</v>
      </c>
      <c r="G5" s="3">
        <f>IFERROR(__xludf.DUMMYFUNCTION("""COMPUTED_VALUE"""),3.7917451246000004E8)</f>
        <v>379174512.5</v>
      </c>
      <c r="H5" s="5"/>
      <c r="I5" s="5" t="str">
        <f>IFERROR(__xludf.DUMMYFUNCTION("""COMPUTED_VALUE"""),"PRODUKSI")</f>
        <v>PRODUKSI</v>
      </c>
      <c r="J5" s="3"/>
    </row>
    <row r="6">
      <c r="A6" s="9">
        <f>IFERROR(__xludf.DUMMYFUNCTION("""COMPUTED_VALUE"""),46054.0)</f>
        <v>46054</v>
      </c>
      <c r="B6" s="5" t="str">
        <f>IFERROR(__xludf.DUMMYFUNCTION("""COMPUTED_VALUE"""),"TRSF E-BANKING DB")</f>
        <v>TRSF E-BANKING DB</v>
      </c>
      <c r="C6" s="5" t="str">
        <f>IFERROR(__xludf.DUMMYFUNCTION("""COMPUTED_VALUE"""),"0102/FTSCY/WS95011 89199600.00 pemb. kd sujitno magetan ANUGERAH KARTIKA A")</f>
        <v>0102/FTSCY/WS95011 89199600.00 pemb. kd sujitno magetan ANUGERAH KARTIKA A</v>
      </c>
      <c r="D6" s="3">
        <f>IFERROR(__xludf.DUMMYFUNCTION("""COMPUTED_VALUE"""),8.91996E7)</f>
        <v>89199600</v>
      </c>
      <c r="E6" s="5"/>
      <c r="F6" s="5" t="str">
        <f>IFERROR(__xludf.DUMMYFUNCTION("""COMPUTED_VALUE"""),"DB")</f>
        <v>DB</v>
      </c>
      <c r="G6" s="3">
        <f>IFERROR(__xludf.DUMMYFUNCTION("""COMPUTED_VALUE"""),2.8997491246000004E8)</f>
        <v>289974912.5</v>
      </c>
      <c r="H6" s="5"/>
      <c r="I6" s="5" t="str">
        <f>IFERROR(__xludf.DUMMYFUNCTION("""COMPUTED_VALUE"""),"PRODUKSI")</f>
        <v>PRODUKSI</v>
      </c>
      <c r="J6" s="3"/>
    </row>
    <row r="7">
      <c r="A7" s="9">
        <f>IFERROR(__xludf.DUMMYFUNCTION("""COMPUTED_VALUE"""),46054.0)</f>
        <v>46054</v>
      </c>
      <c r="B7" s="5" t="str">
        <f>IFERROR(__xludf.DUMMYFUNCTION("""COMPUTED_VALUE"""),"TRSF E-BANKING DB")</f>
        <v>TRSF E-BANKING DB</v>
      </c>
      <c r="C7" s="5" t="str">
        <f>IFERROR(__xludf.DUMMYFUNCTION("""COMPUTED_VALUE"""),"0102/FTSCY/WS95011 44182750.00 pemb. fx bayu pare ANUGERAH KARTIKA A")</f>
        <v>0102/FTSCY/WS95011 44182750.00 pemb. fx bayu pare ANUGERAH KARTIKA A</v>
      </c>
      <c r="D7" s="3">
        <f>IFERROR(__xludf.DUMMYFUNCTION("""COMPUTED_VALUE"""),4.418275E7)</f>
        <v>44182750</v>
      </c>
      <c r="E7" s="5"/>
      <c r="F7" s="5" t="str">
        <f>IFERROR(__xludf.DUMMYFUNCTION("""COMPUTED_VALUE"""),"DB")</f>
        <v>DB</v>
      </c>
      <c r="G7" s="3">
        <f>IFERROR(__xludf.DUMMYFUNCTION("""COMPUTED_VALUE"""),2.4579216246000004E8)</f>
        <v>245792162.5</v>
      </c>
      <c r="H7" s="5"/>
      <c r="I7" s="5" t="str">
        <f>IFERROR(__xludf.DUMMYFUNCTION("""COMPUTED_VALUE"""),"PRODUKSI")</f>
        <v>PRODUKSI</v>
      </c>
      <c r="J7" s="3"/>
    </row>
    <row r="8">
      <c r="A8" s="9">
        <f>IFERROR(__xludf.DUMMYFUNCTION("""COMPUTED_VALUE"""),46054.0)</f>
        <v>46054</v>
      </c>
      <c r="B8" s="5" t="str">
        <f>IFERROR(__xludf.DUMMYFUNCTION("""COMPUTED_VALUE"""),"TRSF E-BANKING DB")</f>
        <v>TRSF E-BANKING DB</v>
      </c>
      <c r="C8" s="5" t="str">
        <f>IFERROR(__xludf.DUMMYFUNCTION("""COMPUTED_VALUE"""),"0102/FTSCY/WS95011 58900000.00 tuban PITIK DIGITAL INDO")</f>
        <v>0102/FTSCY/WS95011 58900000.00 tuban PITIK DIGITAL INDO</v>
      </c>
      <c r="D8" s="3">
        <f>IFERROR(__xludf.DUMMYFUNCTION("""COMPUTED_VALUE"""),5.89E7)</f>
        <v>58900000</v>
      </c>
      <c r="E8" s="5"/>
      <c r="F8" s="5" t="str">
        <f>IFERROR(__xludf.DUMMYFUNCTION("""COMPUTED_VALUE"""),"DB")</f>
        <v>DB</v>
      </c>
      <c r="G8" s="3">
        <f>IFERROR(__xludf.DUMMYFUNCTION("""COMPUTED_VALUE"""),1.8689216246000004E8)</f>
        <v>186892162.5</v>
      </c>
      <c r="H8" s="5"/>
      <c r="I8" s="5" t="str">
        <f>IFERROR(__xludf.DUMMYFUNCTION("""COMPUTED_VALUE"""),"PRODUKSI")</f>
        <v>PRODUKSI</v>
      </c>
      <c r="J8" s="3"/>
    </row>
    <row r="9">
      <c r="A9" s="9">
        <f>IFERROR(__xludf.DUMMYFUNCTION("""COMPUTED_VALUE"""),46054.0)</f>
        <v>46054</v>
      </c>
      <c r="B9" s="5" t="str">
        <f>IFERROR(__xludf.DUMMYFUNCTION("""COMPUTED_VALUE"""),"TRSF E-BANKING DB")</f>
        <v>TRSF E-BANKING DB</v>
      </c>
      <c r="C9" s="5" t="str">
        <f>IFERROR(__xludf.DUMMYFUNCTION("""COMPUTED_VALUE"""),"0102/FTSCY/WS95011 89783750.00 pemb. kd joni B blitar PITIK DIGITAL INDO")</f>
        <v>0102/FTSCY/WS95011 89783750.00 pemb. kd joni B blitar PITIK DIGITAL INDO</v>
      </c>
      <c r="D9" s="3">
        <f>IFERROR(__xludf.DUMMYFUNCTION("""COMPUTED_VALUE"""),8.978375E7)</f>
        <v>89783750</v>
      </c>
      <c r="E9" s="5"/>
      <c r="F9" s="5" t="str">
        <f>IFERROR(__xludf.DUMMYFUNCTION("""COMPUTED_VALUE"""),"DB")</f>
        <v>DB</v>
      </c>
      <c r="G9" s="3">
        <f>IFERROR(__xludf.DUMMYFUNCTION("""COMPUTED_VALUE"""),9.710841246000004E7)</f>
        <v>97108412.46</v>
      </c>
      <c r="H9" s="5" t="str">
        <f>IFERROR(__xludf.DUMMYFUNCTION("""COMPUTED_VALUE"""),"97,108,412.46")</f>
        <v>97,108,412.46</v>
      </c>
      <c r="I9" s="5" t="str">
        <f>IFERROR(__xludf.DUMMYFUNCTION("""COMPUTED_VALUE"""),"PRODUKSI")</f>
        <v>PRODUKSI</v>
      </c>
      <c r="J9" s="3"/>
    </row>
    <row r="10">
      <c r="A10" s="9">
        <f>IFERROR(__xludf.DUMMYFUNCTION("""COMPUTED_VALUE"""),46055.0)</f>
        <v>46055</v>
      </c>
      <c r="B10" s="5" t="str">
        <f>IFERROR(__xludf.DUMMYFUNCTION("""COMPUTED_VALUE"""),"TRSF E-BANKING DB")</f>
        <v>TRSF E-BANKING DB</v>
      </c>
      <c r="C10" s="5" t="str">
        <f>IFERROR(__xludf.DUMMYFUNCTION("""COMPUTED_VALUE"""),"0202/FTSCY/WS95271 10096700.00 31/01 lunas BROILER MAKMUR TAN")</f>
        <v>0202/FTSCY/WS95271 10096700.00 31/01 lunas BROILER MAKMUR TAN</v>
      </c>
      <c r="D10" s="3">
        <f>IFERROR(__xludf.DUMMYFUNCTION("""COMPUTED_VALUE"""),1.00967E7)</f>
        <v>10096700</v>
      </c>
      <c r="E10" s="5"/>
      <c r="F10" s="5" t="str">
        <f>IFERROR(__xludf.DUMMYFUNCTION("""COMPUTED_VALUE"""),"DB")</f>
        <v>DB</v>
      </c>
      <c r="G10" s="3">
        <f>IFERROR(__xludf.DUMMYFUNCTION("""COMPUTED_VALUE"""),1.0039107246000004E8)</f>
        <v>100391072.5</v>
      </c>
      <c r="H10" s="5" t="str">
        <f>IFERROR(__xludf.DUMMYFUNCTION("""COMPUTED_VALUE"""),"100,391,072.46")</f>
        <v>100,391,072.46</v>
      </c>
      <c r="I10" s="5" t="str">
        <f>IFERROR(__xludf.DUMMYFUNCTION("""COMPUTED_VALUE"""),"PRODUKSI")</f>
        <v>PRODUKSI</v>
      </c>
      <c r="J10" s="3"/>
    </row>
    <row r="11">
      <c r="A11" s="9">
        <f>IFERROR(__xludf.DUMMYFUNCTION("""COMPUTED_VALUE"""),46055.0)</f>
        <v>46055</v>
      </c>
      <c r="B11" s="5" t="str">
        <f>IFERROR(__xludf.DUMMYFUNCTION("""COMPUTED_VALUE"""),"TRSF E-BANKING DB")</f>
        <v>TRSF E-BANKING DB</v>
      </c>
      <c r="C11" s="5" t="str">
        <f>IFERROR(__xludf.DUMMYFUNCTION("""COMPUTED_VALUE"""),"0202/FTSCY/WS95271 90870300.00 31/01 lunas BROILER MAKMUR TAN")</f>
        <v>0202/FTSCY/WS95271 90870300.00 31/01 lunas BROILER MAKMUR TAN</v>
      </c>
      <c r="D11" s="3">
        <f>IFERROR(__xludf.DUMMYFUNCTION("""COMPUTED_VALUE"""),9.08703E7)</f>
        <v>90870300</v>
      </c>
      <c r="E11" s="5"/>
      <c r="F11" s="5" t="str">
        <f>IFERROR(__xludf.DUMMYFUNCTION("""COMPUTED_VALUE"""),"DB")</f>
        <v>DB</v>
      </c>
      <c r="G11" s="3">
        <f>IFERROR(__xludf.DUMMYFUNCTION("""COMPUTED_VALUE"""),9520772.460000038)</f>
        <v>9520772.46</v>
      </c>
      <c r="H11" s="5" t="str">
        <f>IFERROR(__xludf.DUMMYFUNCTION("""COMPUTED_VALUE"""),"9,520,772.46")</f>
        <v>9,520,772.46</v>
      </c>
      <c r="I11" s="5" t="str">
        <f>IFERROR(__xludf.DUMMYFUNCTION("""COMPUTED_VALUE"""),"PRODUKSI")</f>
        <v>PRODUKSI</v>
      </c>
      <c r="J11" s="3"/>
    </row>
    <row r="12">
      <c r="A12" s="9">
        <f>IFERROR(__xludf.DUMMYFUNCTION("""COMPUTED_VALUE"""),46055.0)</f>
        <v>46055</v>
      </c>
      <c r="B12" s="5" t="str">
        <f>IFERROR(__xludf.DUMMYFUNCTION("""COMPUTED_VALUE"""),"TRSF E-BANKING DB")</f>
        <v>TRSF E-BANKING DB</v>
      </c>
      <c r="C12" s="5" t="str">
        <f>IFERROR(__xludf.DUMMYFUNCTION("""COMPUTED_VALUE"""),"0202/FTSCY/WS95031 14877000.00 Sat Jan 31 2026 15:00:00 GMT+0700 (Western Indonesia Time) ANDALAN YASA MITRA")</f>
        <v>0202/FTSCY/WS95031 14877000.00 Sat Jan 31 2026 15:00:00 GMT+0700 (Western Indonesia Time) ANDALAN YASA MITRA</v>
      </c>
      <c r="D12" s="3">
        <f>IFERROR(__xludf.DUMMYFUNCTION("""COMPUTED_VALUE"""),1.4877E7)</f>
        <v>14877000</v>
      </c>
      <c r="E12" s="5"/>
      <c r="F12" s="5" t="str">
        <f>IFERROR(__xludf.DUMMYFUNCTION("""COMPUTED_VALUE"""),"DB")</f>
        <v>DB</v>
      </c>
      <c r="G12" s="3">
        <f>IFERROR(__xludf.DUMMYFUNCTION("""COMPUTED_VALUE"""),2.2605958746000004E8)</f>
        <v>226059587.5</v>
      </c>
      <c r="H12" s="5"/>
      <c r="I12" s="5" t="str">
        <f>IFERROR(__xludf.DUMMYFUNCTION("""COMPUTED_VALUE"""),"PRODUKSI")</f>
        <v>PRODUKSI</v>
      </c>
      <c r="J12" s="3"/>
    </row>
    <row r="13">
      <c r="A13" s="9">
        <f>IFERROR(__xludf.DUMMYFUNCTION("""COMPUTED_VALUE"""),46055.0)</f>
        <v>46055</v>
      </c>
      <c r="B13" s="5" t="str">
        <f>IFERROR(__xludf.DUMMYFUNCTION("""COMPUTED_VALUE"""),"TRSF E-BANKING DB")</f>
        <v>TRSF E-BANKING DB</v>
      </c>
      <c r="C13" s="5" t="str">
        <f>IFERROR(__xludf.DUMMYFUNCTION("""COMPUTED_VALUE"""),"0202/FTSCY/WS95031 47496000.00 kd supeni blitar ANUGERAH KARTIKA A")</f>
        <v>0202/FTSCY/WS95031 47496000.00 kd supeni blitar ANUGERAH KARTIKA A</v>
      </c>
      <c r="D13" s="3">
        <f>IFERROR(__xludf.DUMMYFUNCTION("""COMPUTED_VALUE"""),4.7496E7)</f>
        <v>47496000</v>
      </c>
      <c r="E13" s="5"/>
      <c r="F13" s="5" t="str">
        <f>IFERROR(__xludf.DUMMYFUNCTION("""COMPUTED_VALUE"""),"DB")</f>
        <v>DB</v>
      </c>
      <c r="G13" s="3">
        <f>IFERROR(__xludf.DUMMYFUNCTION("""COMPUTED_VALUE"""),1.7686108746000004E8)</f>
        <v>176861087.5</v>
      </c>
      <c r="H13" s="5"/>
      <c r="I13" s="5" t="str">
        <f>IFERROR(__xludf.DUMMYFUNCTION("""COMPUTED_VALUE"""),"PRODUKSI")</f>
        <v>PRODUKSI</v>
      </c>
      <c r="J13" s="3"/>
    </row>
    <row r="14">
      <c r="A14" s="9">
        <f>IFERROR(__xludf.DUMMYFUNCTION("""COMPUTED_VALUE"""),46055.0)</f>
        <v>46055</v>
      </c>
      <c r="B14" s="5" t="str">
        <f>IFERROR(__xludf.DUMMYFUNCTION("""COMPUTED_VALUE"""),"TRSF E-BANKING DB")</f>
        <v>TRSF E-BANKING DB</v>
      </c>
      <c r="C14" s="5" t="str">
        <f>IFERROR(__xludf.DUMMYFUNCTION("""COMPUTED_VALUE"""),"0202/FTSCY/WS95271 43807650.00 Sat Jan 31 2026 15:00:00 GMT+0700 (Western Indonesia Time) ANDALAN YASA MITRA")</f>
        <v>0202/FTSCY/WS95271 43807650.00 Sat Jan 31 2026 15:00:00 GMT+0700 (Western Indonesia Time) ANDALAN YASA MITRA</v>
      </c>
      <c r="D14" s="3">
        <f>IFERROR(__xludf.DUMMYFUNCTION("""COMPUTED_VALUE"""),4.380765E7)</f>
        <v>43807650</v>
      </c>
      <c r="E14" s="5"/>
      <c r="F14" s="5" t="str">
        <f>IFERROR(__xludf.DUMMYFUNCTION("""COMPUTED_VALUE"""),"DB")</f>
        <v>DB</v>
      </c>
      <c r="G14" s="3">
        <f>IFERROR(__xludf.DUMMYFUNCTION("""COMPUTED_VALUE"""),1.3305343746000004E8)</f>
        <v>133053437.5</v>
      </c>
      <c r="H14" s="5"/>
      <c r="I14" s="5" t="str">
        <f>IFERROR(__xludf.DUMMYFUNCTION("""COMPUTED_VALUE"""),"PRODUKSI")</f>
        <v>PRODUKSI</v>
      </c>
      <c r="J14" s="3"/>
    </row>
    <row r="15">
      <c r="A15" s="9">
        <f>IFERROR(__xludf.DUMMYFUNCTION("""COMPUTED_VALUE"""),46055.0)</f>
        <v>46055</v>
      </c>
      <c r="B15" s="5" t="str">
        <f>IFERROR(__xludf.DUMMYFUNCTION("""COMPUTED_VALUE"""),"TRSF E-BANKING DB")</f>
        <v>TRSF E-BANKING DB</v>
      </c>
      <c r="C15" s="5" t="str">
        <f>IFERROR(__xludf.DUMMYFUNCTION("""COMPUTED_VALUE"""),"0202/FTSCY/WS95271 40780500.00 pemb. kd farida pa suruan BROILER MAKMUR TAN")</f>
        <v>0202/FTSCY/WS95271 40780500.00 pemb. kd farida pa suruan BROILER MAKMUR TAN</v>
      </c>
      <c r="D15" s="3">
        <f>IFERROR(__xludf.DUMMYFUNCTION("""COMPUTED_VALUE"""),4.07805E7)</f>
        <v>40780500</v>
      </c>
      <c r="E15" s="5"/>
      <c r="F15" s="5" t="str">
        <f>IFERROR(__xludf.DUMMYFUNCTION("""COMPUTED_VALUE"""),"DB")</f>
        <v>DB</v>
      </c>
      <c r="G15" s="3">
        <f>IFERROR(__xludf.DUMMYFUNCTION("""COMPUTED_VALUE"""),9.227293746000004E7)</f>
        <v>92272937.46</v>
      </c>
      <c r="H15" s="5"/>
      <c r="I15" s="5" t="str">
        <f>IFERROR(__xludf.DUMMYFUNCTION("""COMPUTED_VALUE"""),"PRODUKSI")</f>
        <v>PRODUKSI</v>
      </c>
      <c r="J15" s="3"/>
    </row>
    <row r="16">
      <c r="A16" s="9">
        <f>IFERROR(__xludf.DUMMYFUNCTION("""COMPUTED_VALUE"""),46056.0)</f>
        <v>46056</v>
      </c>
      <c r="B16" s="5" t="str">
        <f>IFERROR(__xludf.DUMMYFUNCTION("""COMPUTED_VALUE"""),"TRSF E-BANKING DB TANGGAL :02/02")</f>
        <v>TRSF E-BANKING DB TANGGAL :02/02</v>
      </c>
      <c r="C16" s="5" t="str">
        <f>IFERROR(__xludf.DUMMYFUNCTION("""COMPUTED_VALUE"""),"0202/FTSCY/WS95011 31/01 lunss SUPER UNGGAS JAYA")</f>
        <v>0202/FTSCY/WS95011 31/01 lunss SUPER UNGGAS JAYA</v>
      </c>
      <c r="D16" s="3">
        <f>IFERROR(__xludf.DUMMYFUNCTION("""COMPUTED_VALUE"""),1.765037E8)</f>
        <v>176503700</v>
      </c>
      <c r="E16" s="5"/>
      <c r="F16" s="5" t="str">
        <f>IFERROR(__xludf.DUMMYFUNCTION("""COMPUTED_VALUE"""),"DB")</f>
        <v>DB</v>
      </c>
      <c r="G16" s="3">
        <f>IFERROR(__xludf.DUMMYFUNCTION("""COMPUTED_VALUE"""),1.9374509746000004E8)</f>
        <v>193745097.5</v>
      </c>
      <c r="H16" s="5"/>
      <c r="I16" s="5" t="str">
        <f>IFERROR(__xludf.DUMMYFUNCTION("""COMPUTED_VALUE"""),"PRODUKSI")</f>
        <v>PRODUKSI</v>
      </c>
      <c r="J16" s="3"/>
    </row>
    <row r="17">
      <c r="A17" s="9">
        <f>IFERROR(__xludf.DUMMYFUNCTION("""COMPUTED_VALUE"""),46056.0)</f>
        <v>46056</v>
      </c>
      <c r="B17" s="5" t="str">
        <f>IFERROR(__xludf.DUMMYFUNCTION("""COMPUTED_VALUE"""),"TRSF E-BANKING DB TANGGAL :02/02")</f>
        <v>TRSF E-BANKING DB TANGGAL :02/02</v>
      </c>
      <c r="C17" s="5" t="str">
        <f>IFERROR(__xludf.DUMMYFUNCTION("""COMPUTED_VALUE"""),"0202/FTSCY/WS95011 Sun Feb 01 2026 15:00:00 GMT+0700 (Western Indonesia Time) GANESHA SATRIA NUS")</f>
        <v>0202/FTSCY/WS95011 Sun Feb 01 2026 15:00:00 GMT+0700 (Western Indonesia Time) GANESHA SATRIA NUS</v>
      </c>
      <c r="D17" s="3">
        <f>IFERROR(__xludf.DUMMYFUNCTION("""COMPUTED_VALUE"""),9.68752E7)</f>
        <v>96875200</v>
      </c>
      <c r="E17" s="5"/>
      <c r="F17" s="5" t="str">
        <f>IFERROR(__xludf.DUMMYFUNCTION("""COMPUTED_VALUE"""),"DB")</f>
        <v>DB</v>
      </c>
      <c r="G17" s="3">
        <f>IFERROR(__xludf.DUMMYFUNCTION("""COMPUTED_VALUE"""),9.686989746000004E7)</f>
        <v>96869897.46</v>
      </c>
      <c r="H17" s="5"/>
      <c r="I17" s="5" t="str">
        <f>IFERROR(__xludf.DUMMYFUNCTION("""COMPUTED_VALUE"""),"PRODUKSI")</f>
        <v>PRODUKSI</v>
      </c>
      <c r="J17" s="3"/>
    </row>
    <row r="18">
      <c r="A18" s="9">
        <f>IFERROR(__xludf.DUMMYFUNCTION("""COMPUTED_VALUE"""),46056.0)</f>
        <v>46056</v>
      </c>
      <c r="B18" s="5" t="str">
        <f>IFERROR(__xludf.DUMMYFUNCTION("""COMPUTED_VALUE"""),"TRSF E-BANKING DB TANGGAL :02/02")</f>
        <v>TRSF E-BANKING DB TANGGAL :02/02</v>
      </c>
      <c r="C18" s="5" t="str">
        <f>IFERROR(__xludf.DUMMYFUNCTION("""COMPUTED_VALUE"""),"0202/FTSCY/WS95011 probolinggo krg 30 jt PITIK DIGITAL INDO")</f>
        <v>0202/FTSCY/WS95011 probolinggo krg 30 jt PITIK DIGITAL INDO</v>
      </c>
      <c r="D18" s="3">
        <f>IFERROR(__xludf.DUMMYFUNCTION("""COMPUTED_VALUE"""),9.122828E7)</f>
        <v>91228280</v>
      </c>
      <c r="E18" s="5"/>
      <c r="F18" s="5" t="str">
        <f>IFERROR(__xludf.DUMMYFUNCTION("""COMPUTED_VALUE"""),"DB")</f>
        <v>DB</v>
      </c>
      <c r="G18" s="3">
        <f>IFERROR(__xludf.DUMMYFUNCTION("""COMPUTED_VALUE"""),5641617.460000038)</f>
        <v>5641617.46</v>
      </c>
      <c r="H18" s="5"/>
      <c r="I18" s="5" t="str">
        <f>IFERROR(__xludf.DUMMYFUNCTION("""COMPUTED_VALUE"""),"PRODUKSI")</f>
        <v>PRODUKSI</v>
      </c>
      <c r="J18" s="3"/>
    </row>
    <row r="19">
      <c r="A19" s="9">
        <f>IFERROR(__xludf.DUMMYFUNCTION("""COMPUTED_VALUE"""),46056.0)</f>
        <v>46056</v>
      </c>
      <c r="B19" s="5" t="str">
        <f>IFERROR(__xludf.DUMMYFUNCTION("""COMPUTED_VALUE"""),"TRSF E-BANKING DB TANGGAL :02/02")</f>
        <v>TRSF E-BANKING DB TANGGAL :02/02</v>
      </c>
      <c r="C19" s="5" t="str">
        <f>IFERROR(__xludf.DUMMYFUNCTION("""COMPUTED_VALUE"""),"0202/FTSCY/WS95271 Sun Feb 01 2026 15:00:00 GMT+0700 (Western Indonesia Time) BINTANG TAMA SANTO")</f>
        <v>0202/FTSCY/WS95271 Sun Feb 01 2026 15:00:00 GMT+0700 (Western Indonesia Time) BINTANG TAMA SANTO</v>
      </c>
      <c r="D19" s="3">
        <f>IFERROR(__xludf.DUMMYFUNCTION("""COMPUTED_VALUE"""),4.364325E7)</f>
        <v>43643250</v>
      </c>
      <c r="E19" s="5"/>
      <c r="F19" s="5" t="str">
        <f>IFERROR(__xludf.DUMMYFUNCTION("""COMPUTED_VALUE"""),"DB")</f>
        <v>DB</v>
      </c>
      <c r="G19" s="3">
        <f>IFERROR(__xludf.DUMMYFUNCTION("""COMPUTED_VALUE"""),1.4940256746000004E8)</f>
        <v>149402567.5</v>
      </c>
      <c r="H19" s="5"/>
      <c r="I19" s="5" t="str">
        <f>IFERROR(__xludf.DUMMYFUNCTION("""COMPUTED_VALUE"""),"PRODUKSI")</f>
        <v>PRODUKSI</v>
      </c>
      <c r="J19" s="3"/>
    </row>
    <row r="20">
      <c r="A20" s="9">
        <f>IFERROR(__xludf.DUMMYFUNCTION("""COMPUTED_VALUE"""),46056.0)</f>
        <v>46056</v>
      </c>
      <c r="B20" s="5" t="str">
        <f>IFERROR(__xludf.DUMMYFUNCTION("""COMPUTED_VALUE"""),"TRSF E-BANKING DB TANGGAL :02/02")</f>
        <v>TRSF E-BANKING DB TANGGAL :02/02</v>
      </c>
      <c r="C20" s="5" t="str">
        <f>IFERROR(__xludf.DUMMYFUNCTION("""COMPUTED_VALUE"""),"0202/FTSCY/WS95271 Sun Feb 01 2026 15:00:00 GMT+0700 (Western Indonesia Time) ANDALAN YASA MITRA")</f>
        <v>0202/FTSCY/WS95271 Sun Feb 01 2026 15:00:00 GMT+0700 (Western Indonesia Time) ANDALAN YASA MITRA</v>
      </c>
      <c r="D20" s="3">
        <f>IFERROR(__xludf.DUMMYFUNCTION("""COMPUTED_VALUE"""),4.65E7)</f>
        <v>46500000</v>
      </c>
      <c r="E20" s="5"/>
      <c r="F20" s="5" t="str">
        <f>IFERROR(__xludf.DUMMYFUNCTION("""COMPUTED_VALUE"""),"DB")</f>
        <v>DB</v>
      </c>
      <c r="G20" s="3">
        <f>IFERROR(__xludf.DUMMYFUNCTION("""COMPUTED_VALUE"""),1.0290256746000004E8)</f>
        <v>102902567.5</v>
      </c>
      <c r="H20" s="5"/>
      <c r="I20" s="5" t="str">
        <f>IFERROR(__xludf.DUMMYFUNCTION("""COMPUTED_VALUE"""),"PRODUKSI")</f>
        <v>PRODUKSI</v>
      </c>
      <c r="J20" s="3"/>
    </row>
    <row r="21">
      <c r="A21" s="9">
        <f>IFERROR(__xludf.DUMMYFUNCTION("""COMPUTED_VALUE"""),46056.0)</f>
        <v>46056</v>
      </c>
      <c r="B21" s="5" t="str">
        <f>IFERROR(__xludf.DUMMYFUNCTION("""COMPUTED_VALUE"""),"TRSF E-BANKING DB TANGGAL :02/02")</f>
        <v>TRSF E-BANKING DB TANGGAL :02/02</v>
      </c>
      <c r="C21" s="5" t="str">
        <f>IFERROR(__xludf.DUMMYFUNCTION("""COMPUTED_VALUE"""),"0202/FTSCY/WS95011 Sun Feb 01 2026 15:00:00 GMT+0700 (Western Indonesia Time) RUKUN MITRA BERSAM")</f>
        <v>0202/FTSCY/WS95011 Sun Feb 01 2026 15:00:00 GMT+0700 (Western Indonesia Time) RUKUN MITRA BERSAM</v>
      </c>
      <c r="D21" s="3">
        <f>IFERROR(__xludf.DUMMYFUNCTION("""COMPUTED_VALUE"""),9.38224E7)</f>
        <v>93822400</v>
      </c>
      <c r="E21" s="5"/>
      <c r="F21" s="5" t="str">
        <f>IFERROR(__xludf.DUMMYFUNCTION("""COMPUTED_VALUE"""),"DB")</f>
        <v>DB</v>
      </c>
      <c r="G21" s="3">
        <f>IFERROR(__xludf.DUMMYFUNCTION("""COMPUTED_VALUE"""),9080167.460000038)</f>
        <v>9080167.46</v>
      </c>
      <c r="H21" s="5"/>
      <c r="I21" s="5" t="str">
        <f>IFERROR(__xludf.DUMMYFUNCTION("""COMPUTED_VALUE"""),"PRODUKSI")</f>
        <v>PRODUKSI</v>
      </c>
      <c r="J21" s="3"/>
    </row>
    <row r="22">
      <c r="A22" s="9">
        <f>IFERROR(__xludf.DUMMYFUNCTION("""COMPUTED_VALUE"""),46056.0)</f>
        <v>46056</v>
      </c>
      <c r="B22" s="5" t="str">
        <f>IFERROR(__xludf.DUMMYFUNCTION("""COMPUTED_VALUE"""),"TRSF E-BANKING DB")</f>
        <v>TRSF E-BANKING DB</v>
      </c>
      <c r="C22" s="5" t="str">
        <f>IFERROR(__xludf.DUMMYFUNCTION("""COMPUTED_VALUE"""),"0302/FTSCY/WS95271 234000000.00 Sun Feb 01 2026 15:00:00 GMT+0700 (Western Indonesia Time) BROILER MAKMUR TAN")</f>
        <v>0302/FTSCY/WS95271 234000000.00 Sun Feb 01 2026 15:00:00 GMT+0700 (Western Indonesia Time) BROILER MAKMUR TAN</v>
      </c>
      <c r="D22" s="3">
        <f>IFERROR(__xludf.DUMMYFUNCTION("""COMPUTED_VALUE"""),2.34E8)</f>
        <v>234000000</v>
      </c>
      <c r="E22" s="5"/>
      <c r="F22" s="5" t="str">
        <f>IFERROR(__xludf.DUMMYFUNCTION("""COMPUTED_VALUE"""),"DB")</f>
        <v>DB</v>
      </c>
      <c r="G22" s="3">
        <f>IFERROR(__xludf.DUMMYFUNCTION("""COMPUTED_VALUE"""),5.8111094746E8)</f>
        <v>581110947.5</v>
      </c>
      <c r="H22" s="5" t="str">
        <f>IFERROR(__xludf.DUMMYFUNCTION("""COMPUTED_VALUE"""),"581,110,947.46")</f>
        <v>581,110,947.46</v>
      </c>
      <c r="I22" s="5" t="str">
        <f>IFERROR(__xludf.DUMMYFUNCTION("""COMPUTED_VALUE"""),"PRODUKSI")</f>
        <v>PRODUKSI</v>
      </c>
      <c r="J22" s="3"/>
    </row>
    <row r="23">
      <c r="A23" s="9">
        <f>IFERROR(__xludf.DUMMYFUNCTION("""COMPUTED_VALUE"""),46056.0)</f>
        <v>46056</v>
      </c>
      <c r="B23" s="5" t="str">
        <f>IFERROR(__xludf.DUMMYFUNCTION("""COMPUTED_VALUE"""),"TRSF E-BANKING DB")</f>
        <v>TRSF E-BANKING DB</v>
      </c>
      <c r="C23" s="5" t="str">
        <f>IFERROR(__xludf.DUMMYFUNCTION("""COMPUTED_VALUE"""),"0302/FTSCY/WS95271 45433600.00 Sun Feb 01 2026 15:00:00 GMT+0700 (Western Indonesia Time) ANDALAN YASA MITRA")</f>
        <v>0302/FTSCY/WS95271 45433600.00 Sun Feb 01 2026 15:00:00 GMT+0700 (Western Indonesia Time) ANDALAN YASA MITRA</v>
      </c>
      <c r="D23" s="3">
        <f>IFERROR(__xludf.DUMMYFUNCTION("""COMPUTED_VALUE"""),4.54336E7)</f>
        <v>45433600</v>
      </c>
      <c r="E23" s="5"/>
      <c r="F23" s="5" t="str">
        <f>IFERROR(__xludf.DUMMYFUNCTION("""COMPUTED_VALUE"""),"DB")</f>
        <v>DB</v>
      </c>
      <c r="G23" s="3">
        <f>IFERROR(__xludf.DUMMYFUNCTION("""COMPUTED_VALUE"""),5.3567734746000004E8)</f>
        <v>535677347.5</v>
      </c>
      <c r="H23" s="5" t="str">
        <f>IFERROR(__xludf.DUMMYFUNCTION("""COMPUTED_VALUE"""),"535,677,347.46")</f>
        <v>535,677,347.46</v>
      </c>
      <c r="I23" s="5" t="str">
        <f>IFERROR(__xludf.DUMMYFUNCTION("""COMPUTED_VALUE"""),"PRODUKSI")</f>
        <v>PRODUKSI</v>
      </c>
      <c r="J23" s="3"/>
    </row>
    <row r="24">
      <c r="A24" s="9">
        <f>IFERROR(__xludf.DUMMYFUNCTION("""COMPUTED_VALUE"""),46056.0)</f>
        <v>46056</v>
      </c>
      <c r="B24" s="5" t="str">
        <f>IFERROR(__xludf.DUMMYFUNCTION("""COMPUTED_VALUE"""),"TRSF E-BANKING DB")</f>
        <v>TRSF E-BANKING DB</v>
      </c>
      <c r="C24" s="5" t="str">
        <f>IFERROR(__xludf.DUMMYFUNCTION("""COMPUTED_VALUE"""),"0302/FTSCY/WS95031 80452500.00 probolinggo PITIK DIGITAL INDO")</f>
        <v>0302/FTSCY/WS95031 80452500.00 probolinggo PITIK DIGITAL INDO</v>
      </c>
      <c r="D24" s="3">
        <f>IFERROR(__xludf.DUMMYFUNCTION("""COMPUTED_VALUE"""),8.04525E7)</f>
        <v>80452500</v>
      </c>
      <c r="E24" s="5"/>
      <c r="F24" s="5" t="str">
        <f>IFERROR(__xludf.DUMMYFUNCTION("""COMPUTED_VALUE"""),"DB")</f>
        <v>DB</v>
      </c>
      <c r="G24" s="3">
        <f>IFERROR(__xludf.DUMMYFUNCTION("""COMPUTED_VALUE"""),4.5522484746000004E8)</f>
        <v>455224847.5</v>
      </c>
      <c r="H24" s="5" t="str">
        <f>IFERROR(__xludf.DUMMYFUNCTION("""COMPUTED_VALUE"""),"455,224,847.46")</f>
        <v>455,224,847.46</v>
      </c>
      <c r="I24" s="5" t="str">
        <f>IFERROR(__xludf.DUMMYFUNCTION("""COMPUTED_VALUE"""),"PRODUKSI")</f>
        <v>PRODUKSI</v>
      </c>
      <c r="J24" s="3"/>
    </row>
    <row r="25">
      <c r="A25" s="9">
        <f>IFERROR(__xludf.DUMMYFUNCTION("""COMPUTED_VALUE"""),46057.0)</f>
        <v>46057</v>
      </c>
      <c r="B25" s="5" t="str">
        <f>IFERROR(__xludf.DUMMYFUNCTION("""COMPUTED_VALUE"""),"TRSF E-BANKING DB TANGGAL :03/02")</f>
        <v>TRSF E-BANKING DB TANGGAL :03/02</v>
      </c>
      <c r="C25" s="5" t="str">
        <f>IFERROR(__xludf.DUMMYFUNCTION("""COMPUTED_VALUE"""),"0302/FTSCY/WS95011 01/02 lunas BROILER MAKMUR TAN")</f>
        <v>0302/FTSCY/WS95011 01/02 lunas BROILER MAKMUR TAN</v>
      </c>
      <c r="D25" s="3">
        <f>IFERROR(__xludf.DUMMYFUNCTION("""COMPUTED_VALUE"""),1.6190872E8)</f>
        <v>161908720</v>
      </c>
      <c r="E25" s="5"/>
      <c r="F25" s="5" t="str">
        <f>IFERROR(__xludf.DUMMYFUNCTION("""COMPUTED_VALUE"""),"DB")</f>
        <v>DB</v>
      </c>
      <c r="G25" s="3">
        <f>IFERROR(__xludf.DUMMYFUNCTION("""COMPUTED_VALUE"""),2.9331612746000004E8)</f>
        <v>293316127.5</v>
      </c>
      <c r="H25" s="5"/>
      <c r="I25" s="5" t="str">
        <f>IFERROR(__xludf.DUMMYFUNCTION("""COMPUTED_VALUE"""),"PRODUKSI")</f>
        <v>PRODUKSI</v>
      </c>
      <c r="J25" s="3"/>
    </row>
    <row r="26">
      <c r="A26" s="9">
        <f>IFERROR(__xludf.DUMMYFUNCTION("""COMPUTED_VALUE"""),46057.0)</f>
        <v>46057</v>
      </c>
      <c r="B26" s="5" t="str">
        <f>IFERROR(__xludf.DUMMYFUNCTION("""COMPUTED_VALUE"""),"TRSF E-BANKING DB TANGGAL :03/02")</f>
        <v>TRSF E-BANKING DB TANGGAL :03/02</v>
      </c>
      <c r="C26" s="5" t="str">
        <f>IFERROR(__xludf.DUMMYFUNCTION("""COMPUTED_VALUE"""),"0302/FTSCY/WS95011 t. agung PITIK DIGITAL INDO")</f>
        <v>0302/FTSCY/WS95011 t. agung PITIK DIGITAL INDO</v>
      </c>
      <c r="D26" s="3">
        <f>IFERROR(__xludf.DUMMYFUNCTION("""COMPUTED_VALUE"""),4.38519E7)</f>
        <v>43851900</v>
      </c>
      <c r="E26" s="5"/>
      <c r="F26" s="5" t="str">
        <f>IFERROR(__xludf.DUMMYFUNCTION("""COMPUTED_VALUE"""),"DB")</f>
        <v>DB</v>
      </c>
      <c r="G26" s="3">
        <f>IFERROR(__xludf.DUMMYFUNCTION("""COMPUTED_VALUE"""),2.4946422746000004E8)</f>
        <v>249464227.5</v>
      </c>
      <c r="H26" s="5"/>
      <c r="I26" s="5" t="str">
        <f>IFERROR(__xludf.DUMMYFUNCTION("""COMPUTED_VALUE"""),"PRODUKSI")</f>
        <v>PRODUKSI</v>
      </c>
      <c r="J26" s="3"/>
    </row>
    <row r="27">
      <c r="A27" s="9">
        <f>IFERROR(__xludf.DUMMYFUNCTION("""COMPUTED_VALUE"""),46057.0)</f>
        <v>46057</v>
      </c>
      <c r="B27" s="5" t="str">
        <f>IFERROR(__xludf.DUMMYFUNCTION("""COMPUTED_VALUE"""),"TRSF E-BANKING DB TANGGAL :03/02")</f>
        <v>TRSF E-BANKING DB TANGGAL :03/02</v>
      </c>
      <c r="C27" s="5" t="str">
        <f>IFERROR(__xludf.DUMMYFUNCTION("""COMPUTED_VALUE"""),"0302/FTSCY/WS95011 tuban PITIK DIGITAL INDO")</f>
        <v>0302/FTSCY/WS95011 tuban PITIK DIGITAL INDO</v>
      </c>
      <c r="D27" s="3">
        <f>IFERROR(__xludf.DUMMYFUNCTION("""COMPUTED_VALUE"""),5.8256E7)</f>
        <v>58256000</v>
      </c>
      <c r="E27" s="5"/>
      <c r="F27" s="5" t="str">
        <f>IFERROR(__xludf.DUMMYFUNCTION("""COMPUTED_VALUE"""),"DB")</f>
        <v>DB</v>
      </c>
      <c r="G27" s="3">
        <f>IFERROR(__xludf.DUMMYFUNCTION("""COMPUTED_VALUE"""),1.9120822746000004E8)</f>
        <v>191208227.5</v>
      </c>
      <c r="H27" s="5"/>
      <c r="I27" s="5" t="str">
        <f>IFERROR(__xludf.DUMMYFUNCTION("""COMPUTED_VALUE"""),"PRODUKSI")</f>
        <v>PRODUKSI</v>
      </c>
      <c r="J27" s="3"/>
    </row>
    <row r="28">
      <c r="A28" s="9">
        <f>IFERROR(__xludf.DUMMYFUNCTION("""COMPUTED_VALUE"""),46057.0)</f>
        <v>46057</v>
      </c>
      <c r="B28" s="5" t="str">
        <f>IFERROR(__xludf.DUMMYFUNCTION("""COMPUTED_VALUE"""),"TRSF E-BANKING DB TANGGAL :03/02")</f>
        <v>TRSF E-BANKING DB TANGGAL :03/02</v>
      </c>
      <c r="C28" s="5" t="str">
        <f>IFERROR(__xludf.DUMMYFUNCTION("""COMPUTED_VALUE"""),"0302/FTSCY/WS95011 01/02 krg 40 jt SUPER UNGGAS JAYA")</f>
        <v>0302/FTSCY/WS95011 01/02 krg 40 jt SUPER UNGGAS JAYA</v>
      </c>
      <c r="D28" s="3">
        <f>IFERROR(__xludf.DUMMYFUNCTION("""COMPUTED_VALUE"""),1.837642E8)</f>
        <v>183764200</v>
      </c>
      <c r="E28" s="5"/>
      <c r="F28" s="5" t="str">
        <f>IFERROR(__xludf.DUMMYFUNCTION("""COMPUTED_VALUE"""),"DB")</f>
        <v>DB</v>
      </c>
      <c r="G28" s="3">
        <f>IFERROR(__xludf.DUMMYFUNCTION("""COMPUTED_VALUE"""),7444027.460000038)</f>
        <v>7444027.46</v>
      </c>
      <c r="H28" s="5"/>
      <c r="I28" s="5" t="str">
        <f>IFERROR(__xludf.DUMMYFUNCTION("""COMPUTED_VALUE"""),"PRODUKSI")</f>
        <v>PRODUKSI</v>
      </c>
      <c r="J28" s="3"/>
    </row>
    <row r="29">
      <c r="A29" s="9">
        <f>IFERROR(__xludf.DUMMYFUNCTION("""COMPUTED_VALUE"""),46057.0)</f>
        <v>46057</v>
      </c>
      <c r="B29" s="5" t="str">
        <f>IFERROR(__xludf.DUMMYFUNCTION("""COMPUTED_VALUE"""),"TRSF E-BANKING DB")</f>
        <v>TRSF E-BANKING DB</v>
      </c>
      <c r="C29" s="5" t="str">
        <f>IFERROR(__xludf.DUMMYFUNCTION("""COMPUTED_VALUE"""),"0402/FTSCY/WS95031 47166500.00 pemb. kd wasis mlg CV SURYA INTI TERN")</f>
        <v>0402/FTSCY/WS95031 47166500.00 pemb. kd wasis mlg CV SURYA INTI TERN</v>
      </c>
      <c r="D29" s="3">
        <f>IFERROR(__xludf.DUMMYFUNCTION("""COMPUTED_VALUE"""),4.71665E7)</f>
        <v>47166500</v>
      </c>
      <c r="E29" s="5"/>
      <c r="F29" s="5" t="str">
        <f>IFERROR(__xludf.DUMMYFUNCTION("""COMPUTED_VALUE"""),"DB")</f>
        <v>DB</v>
      </c>
      <c r="G29" s="3">
        <f>IFERROR(__xludf.DUMMYFUNCTION("""COMPUTED_VALUE"""),3.4925110746000004E8)</f>
        <v>349251107.5</v>
      </c>
      <c r="H29" s="5"/>
      <c r="I29" s="5" t="str">
        <f>IFERROR(__xludf.DUMMYFUNCTION("""COMPUTED_VALUE"""),"PRODUKSI")</f>
        <v>PRODUKSI</v>
      </c>
      <c r="J29" s="3"/>
    </row>
    <row r="30">
      <c r="A30" s="9">
        <f>IFERROR(__xludf.DUMMYFUNCTION("""COMPUTED_VALUE"""),46057.0)</f>
        <v>46057</v>
      </c>
      <c r="B30" s="5" t="str">
        <f>IFERROR(__xludf.DUMMYFUNCTION("""COMPUTED_VALUE"""),"TRSF E-BANKING DB")</f>
        <v>TRSF E-BANKING DB</v>
      </c>
      <c r="C30" s="5" t="str">
        <f>IFERROR(__xludf.DUMMYFUNCTION("""COMPUTED_VALUE"""),"0402/FTSCY/WS95031 46637250.00 t. agung PITIK DIGITAL INDO")</f>
        <v>0402/FTSCY/WS95031 46637250.00 t. agung PITIK DIGITAL INDO</v>
      </c>
      <c r="D30" s="3">
        <f>IFERROR(__xludf.DUMMYFUNCTION("""COMPUTED_VALUE"""),4.663725E7)</f>
        <v>46637250</v>
      </c>
      <c r="E30" s="5"/>
      <c r="F30" s="5" t="str">
        <f>IFERROR(__xludf.DUMMYFUNCTION("""COMPUTED_VALUE"""),"DB")</f>
        <v>DB</v>
      </c>
      <c r="G30" s="3">
        <f>IFERROR(__xludf.DUMMYFUNCTION("""COMPUTED_VALUE"""),3.0261385746000004E8)</f>
        <v>302613857.5</v>
      </c>
      <c r="H30" s="5"/>
      <c r="I30" s="5" t="str">
        <f>IFERROR(__xludf.DUMMYFUNCTION("""COMPUTED_VALUE"""),"PRODUKSI")</f>
        <v>PRODUKSI</v>
      </c>
      <c r="J30" s="3"/>
    </row>
    <row r="31">
      <c r="A31" s="9">
        <f>IFERROR(__xludf.DUMMYFUNCTION("""COMPUTED_VALUE"""),46057.0)</f>
        <v>46057</v>
      </c>
      <c r="B31" s="5" t="str">
        <f>IFERROR(__xludf.DUMMYFUNCTION("""COMPUTED_VALUE"""),"TRSF E-BANKING DB")</f>
        <v>TRSF E-BANKING DB</v>
      </c>
      <c r="C31" s="5" t="str">
        <f>IFERROR(__xludf.DUMMYFUNCTION("""COMPUTED_VALUE"""),"0402/FTSCY/WS95271 61050000.00 pemb. kd eko s pas uruan ANDALAN YASA MITRA")</f>
        <v>0402/FTSCY/WS95271 61050000.00 pemb. kd eko s pas uruan ANDALAN YASA MITRA</v>
      </c>
      <c r="D31" s="3">
        <f>IFERROR(__xludf.DUMMYFUNCTION("""COMPUTED_VALUE"""),6.105E7)</f>
        <v>61050000</v>
      </c>
      <c r="E31" s="5"/>
      <c r="F31" s="5" t="str">
        <f>IFERROR(__xludf.DUMMYFUNCTION("""COMPUTED_VALUE"""),"DB")</f>
        <v>DB</v>
      </c>
      <c r="G31" s="3">
        <f>IFERROR(__xludf.DUMMYFUNCTION("""COMPUTED_VALUE"""),2.4156385746000004E8)</f>
        <v>241563857.5</v>
      </c>
      <c r="H31" s="5"/>
      <c r="I31" s="5" t="str">
        <f>IFERROR(__xludf.DUMMYFUNCTION("""COMPUTED_VALUE"""),"PRODUKSI")</f>
        <v>PRODUKSI</v>
      </c>
      <c r="J31" s="3"/>
    </row>
    <row r="32">
      <c r="A32" s="9">
        <f>IFERROR(__xludf.DUMMYFUNCTION("""COMPUTED_VALUE"""),46057.0)</f>
        <v>46057</v>
      </c>
      <c r="B32" s="5" t="str">
        <f>IFERROR(__xludf.DUMMYFUNCTION("""COMPUTED_VALUE"""),"TRSF E-BANKING DB")</f>
        <v>TRSF E-BANKING DB</v>
      </c>
      <c r="C32" s="5" t="str">
        <f>IFERROR(__xludf.DUMMYFUNCTION("""COMPUTED_VALUE"""),"0402/FTSCY/WS95271 97800000.00 jombang PITIK DIGITAL INDO")</f>
        <v>0402/FTSCY/WS95271 97800000.00 jombang PITIK DIGITAL INDO</v>
      </c>
      <c r="D32" s="3">
        <f>IFERROR(__xludf.DUMMYFUNCTION("""COMPUTED_VALUE"""),9.78E7)</f>
        <v>97800000</v>
      </c>
      <c r="E32" s="5"/>
      <c r="F32" s="5" t="str">
        <f>IFERROR(__xludf.DUMMYFUNCTION("""COMPUTED_VALUE"""),"DB")</f>
        <v>DB</v>
      </c>
      <c r="G32" s="3">
        <f>IFERROR(__xludf.DUMMYFUNCTION("""COMPUTED_VALUE"""),1.4376385746000004E8)</f>
        <v>143763857.5</v>
      </c>
      <c r="H32" s="5"/>
      <c r="I32" s="5" t="str">
        <f>IFERROR(__xludf.DUMMYFUNCTION("""COMPUTED_VALUE"""),"PRODUKSI")</f>
        <v>PRODUKSI</v>
      </c>
      <c r="J32" s="3"/>
    </row>
    <row r="33">
      <c r="A33" s="9">
        <f>IFERROR(__xludf.DUMMYFUNCTION("""COMPUTED_VALUE"""),46057.0)</f>
        <v>46057</v>
      </c>
      <c r="B33" s="5" t="str">
        <f>IFERROR(__xludf.DUMMYFUNCTION("""COMPUTED_VALUE"""),"TRSF E-BANKING DB")</f>
        <v>TRSF E-BANKING DB</v>
      </c>
      <c r="C33" s="5" t="str">
        <f>IFERROR(__xludf.DUMMYFUNCTION("""COMPUTED_VALUE"""),"0402/FTSCY/WS95271 40000000.00 pelunasan 01/02 SUPER UNGGAS JAYA")</f>
        <v>0402/FTSCY/WS95271 40000000.00 pelunasan 01/02 SUPER UNGGAS JAYA</v>
      </c>
      <c r="D33" s="3">
        <f>IFERROR(__xludf.DUMMYFUNCTION("""COMPUTED_VALUE"""),4.0E7)</f>
        <v>40000000</v>
      </c>
      <c r="E33" s="5"/>
      <c r="F33" s="5" t="str">
        <f>IFERROR(__xludf.DUMMYFUNCTION("""COMPUTED_VALUE"""),"DB")</f>
        <v>DB</v>
      </c>
      <c r="G33" s="3">
        <f>IFERROR(__xludf.DUMMYFUNCTION("""COMPUTED_VALUE"""),1.0376385746000004E8)</f>
        <v>103763857.5</v>
      </c>
      <c r="H33" s="5"/>
      <c r="I33" s="5" t="str">
        <f>IFERROR(__xludf.DUMMYFUNCTION("""COMPUTED_VALUE"""),"PRODUKSI")</f>
        <v>PRODUKSI</v>
      </c>
      <c r="J33" s="3"/>
    </row>
    <row r="34">
      <c r="A34" s="9">
        <f>IFERROR(__xludf.DUMMYFUNCTION("""COMPUTED_VALUE"""),46057.0)</f>
        <v>46057</v>
      </c>
      <c r="B34" s="5" t="str">
        <f>IFERROR(__xludf.DUMMYFUNCTION("""COMPUTED_VALUE"""),"TRSF E-BANKING DB")</f>
        <v>TRSF E-BANKING DB</v>
      </c>
      <c r="C34" s="5" t="str">
        <f>IFERROR(__xludf.DUMMYFUNCTION("""COMPUTED_VALUE"""),"0402/FTSCY/WS95271 50835200.00 pemb. djadianto t. agung BINTANG TAMA SANTO")</f>
        <v>0402/FTSCY/WS95271 50835200.00 pemb. djadianto t. agung BINTANG TAMA SANTO</v>
      </c>
      <c r="D34" s="3">
        <f>IFERROR(__xludf.DUMMYFUNCTION("""COMPUTED_VALUE"""),5.08352E7)</f>
        <v>50835200</v>
      </c>
      <c r="E34" s="5"/>
      <c r="F34" s="5" t="str">
        <f>IFERROR(__xludf.DUMMYFUNCTION("""COMPUTED_VALUE"""),"DB")</f>
        <v>DB</v>
      </c>
      <c r="G34" s="3">
        <f>IFERROR(__xludf.DUMMYFUNCTION("""COMPUTED_VALUE"""),5.292865746000004E7)</f>
        <v>52928657.46</v>
      </c>
      <c r="H34" s="5"/>
      <c r="I34" s="5" t="str">
        <f>IFERROR(__xludf.DUMMYFUNCTION("""COMPUTED_VALUE"""),"PRODUKSI")</f>
        <v>PRODUKSI</v>
      </c>
      <c r="J34" s="3"/>
    </row>
    <row r="35">
      <c r="A35" s="9">
        <f>IFERROR(__xludf.DUMMYFUNCTION("""COMPUTED_VALUE"""),46058.0)</f>
        <v>46058</v>
      </c>
      <c r="B35" s="5" t="str">
        <f>IFERROR(__xludf.DUMMYFUNCTION("""COMPUTED_VALUE"""),"TRSF E-BANKING DB")</f>
        <v>TRSF E-BANKING DB</v>
      </c>
      <c r="C35" s="5" t="str">
        <f>IFERROR(__xludf.DUMMYFUNCTION("""COMPUTED_VALUE"""),"0502/FTSCY/WS95271 140570500.00 pemb. 02/02 lunas SUPER UNGGAS JAYA")</f>
        <v>0502/FTSCY/WS95271 140570500.00 pemb. 02/02 lunas SUPER UNGGAS JAYA</v>
      </c>
      <c r="D35" s="3">
        <f>IFERROR(__xludf.DUMMYFUNCTION("""COMPUTED_VALUE"""),1.405705E8)</f>
        <v>140570500</v>
      </c>
      <c r="E35" s="5"/>
      <c r="F35" s="5" t="str">
        <f>IFERROR(__xludf.DUMMYFUNCTION("""COMPUTED_VALUE"""),"DB")</f>
        <v>DB</v>
      </c>
      <c r="G35" s="3">
        <f>IFERROR(__xludf.DUMMYFUNCTION("""COMPUTED_VALUE"""),5.144105746000004E7)</f>
        <v>51441057.46</v>
      </c>
      <c r="H35" s="5"/>
      <c r="I35" s="5" t="str">
        <f>IFERROR(__xludf.DUMMYFUNCTION("""COMPUTED_VALUE"""),"PRODUKSI")</f>
        <v>PRODUKSI</v>
      </c>
      <c r="J35" s="3"/>
    </row>
    <row r="36">
      <c r="A36" s="9">
        <f>IFERROR(__xludf.DUMMYFUNCTION("""COMPUTED_VALUE"""),46059.0)</f>
        <v>46059</v>
      </c>
      <c r="B36" s="5" t="str">
        <f>IFERROR(__xludf.DUMMYFUNCTION("""COMPUTED_VALUE"""),"TRSF E-BANKING DB")</f>
        <v>TRSF E-BANKING DB</v>
      </c>
      <c r="C36" s="5" t="str">
        <f>IFERROR(__xludf.DUMMYFUNCTION("""COMPUTED_VALUE"""),"0602/FTSCY/WS95031 65169500.00 kd mulyono magetan PITIK DIGITAL INDO")</f>
        <v>0602/FTSCY/WS95031 65169500.00 kd mulyono magetan PITIK DIGITAL INDO</v>
      </c>
      <c r="D36" s="3">
        <f>IFERROR(__xludf.DUMMYFUNCTION("""COMPUTED_VALUE"""),6.51695E7)</f>
        <v>65169500</v>
      </c>
      <c r="E36" s="5"/>
      <c r="F36" s="5" t="str">
        <f>IFERROR(__xludf.DUMMYFUNCTION("""COMPUTED_VALUE"""),"DB")</f>
        <v>DB</v>
      </c>
      <c r="G36" s="3">
        <f>IFERROR(__xludf.DUMMYFUNCTION("""COMPUTED_VALUE"""),3.052245746000004E7)</f>
        <v>30522457.46</v>
      </c>
      <c r="H36" s="5"/>
      <c r="I36" s="5" t="str">
        <f>IFERROR(__xludf.DUMMYFUNCTION("""COMPUTED_VALUE"""),"PRODUKSI")</f>
        <v>PRODUKSI</v>
      </c>
      <c r="J36" s="3"/>
    </row>
    <row r="37">
      <c r="A37" s="9">
        <f>IFERROR(__xludf.DUMMYFUNCTION("""COMPUTED_VALUE"""),46059.0)</f>
        <v>46059</v>
      </c>
      <c r="B37" s="5" t="str">
        <f>IFERROR(__xludf.DUMMYFUNCTION("""COMPUTED_VALUE"""),"TRSF E-BANKING DB")</f>
        <v>TRSF E-BANKING DB</v>
      </c>
      <c r="C37" s="5" t="str">
        <f>IFERROR(__xludf.DUMMYFUNCTION("""COMPUTED_VALUE"""),"0602/FTSCY/WS95271 167013100.00 Tue Feb 03 2026 15:00:00 GMT+0700 (Western Indonesia Time) BROILER MAKMUR TAN")</f>
        <v>0602/FTSCY/WS95271 167013100.00 Tue Feb 03 2026 15:00:00 GMT+0700 (Western Indonesia Time) BROILER MAKMUR TAN</v>
      </c>
      <c r="D37" s="3">
        <f>IFERROR(__xludf.DUMMYFUNCTION("""COMPUTED_VALUE"""),1.670131E8)</f>
        <v>167013100</v>
      </c>
      <c r="E37" s="5"/>
      <c r="F37" s="5" t="str">
        <f>IFERROR(__xludf.DUMMYFUNCTION("""COMPUTED_VALUE"""),"DB")</f>
        <v>DB</v>
      </c>
      <c r="G37" s="3">
        <f>IFERROR(__xludf.DUMMYFUNCTION("""COMPUTED_VALUE"""),1.9687077746000004E8)</f>
        <v>196870777.5</v>
      </c>
      <c r="H37" s="5"/>
      <c r="I37" s="5" t="str">
        <f>IFERROR(__xludf.DUMMYFUNCTION("""COMPUTED_VALUE"""),"PRODUKSI")</f>
        <v>PRODUKSI</v>
      </c>
      <c r="J37" s="3"/>
    </row>
    <row r="38">
      <c r="A38" s="9">
        <f>IFERROR(__xludf.DUMMYFUNCTION("""COMPUTED_VALUE"""),46059.0)</f>
        <v>46059</v>
      </c>
      <c r="B38" s="5" t="str">
        <f>IFERROR(__xludf.DUMMYFUNCTION("""COMPUTED_VALUE"""),"TRSF E-BANKING DB")</f>
        <v>TRSF E-BANKING DB</v>
      </c>
      <c r="C38" s="5" t="str">
        <f>IFERROR(__xludf.DUMMYFUNCTION("""COMPUTED_VALUE"""),"0602/FTSCY/WS95271 50266000.00 03/02lunas BROILER MAKMUR TAN")</f>
        <v>0602/FTSCY/WS95271 50266000.00 03/02lunas BROILER MAKMUR TAN</v>
      </c>
      <c r="D38" s="3">
        <f>IFERROR(__xludf.DUMMYFUNCTION("""COMPUTED_VALUE"""),5.0266E7)</f>
        <v>50266000</v>
      </c>
      <c r="E38" s="5"/>
      <c r="F38" s="5" t="str">
        <f>IFERROR(__xludf.DUMMYFUNCTION("""COMPUTED_VALUE"""),"DB")</f>
        <v>DB</v>
      </c>
      <c r="G38" s="3">
        <f>IFERROR(__xludf.DUMMYFUNCTION("""COMPUTED_VALUE"""),1.4660477746000004E8)</f>
        <v>146604777.5</v>
      </c>
      <c r="H38" s="5"/>
      <c r="I38" s="5" t="str">
        <f>IFERROR(__xludf.DUMMYFUNCTION("""COMPUTED_VALUE"""),"PRODUKSI")</f>
        <v>PRODUKSI</v>
      </c>
      <c r="J38" s="3"/>
    </row>
    <row r="39">
      <c r="A39" s="9">
        <f>IFERROR(__xludf.DUMMYFUNCTION("""COMPUTED_VALUE"""),46059.0)</f>
        <v>46059</v>
      </c>
      <c r="B39" s="5" t="str">
        <f>IFERROR(__xludf.DUMMYFUNCTION("""COMPUTED_VALUE"""),"TRSF E-BANKING DB")</f>
        <v>TRSF E-BANKING DB</v>
      </c>
      <c r="C39" s="5" t="str">
        <f>IFERROR(__xludf.DUMMYFUNCTION("""COMPUTED_VALUE"""),"0602/FTSCY/WS95271 60843000.00 malang PITIK DIGITAL INDO")</f>
        <v>0602/FTSCY/WS95271 60843000.00 malang PITIK DIGITAL INDO</v>
      </c>
      <c r="D39" s="3">
        <f>IFERROR(__xludf.DUMMYFUNCTION("""COMPUTED_VALUE"""),6.0843E7)</f>
        <v>60843000</v>
      </c>
      <c r="E39" s="5"/>
      <c r="F39" s="5" t="str">
        <f>IFERROR(__xludf.DUMMYFUNCTION("""COMPUTED_VALUE"""),"DB")</f>
        <v>DB</v>
      </c>
      <c r="G39" s="3">
        <f>IFERROR(__xludf.DUMMYFUNCTION("""COMPUTED_VALUE"""),8.576177746000004E7)</f>
        <v>85761777.46</v>
      </c>
      <c r="H39" s="5"/>
      <c r="I39" s="5" t="str">
        <f>IFERROR(__xludf.DUMMYFUNCTION("""COMPUTED_VALUE"""),"PRODUKSI")</f>
        <v>PRODUKSI</v>
      </c>
      <c r="J39" s="3"/>
    </row>
    <row r="40">
      <c r="A40" s="9">
        <f>IFERROR(__xludf.DUMMYFUNCTION("""COMPUTED_VALUE"""),46060.0)</f>
        <v>46060</v>
      </c>
      <c r="B40" s="5" t="str">
        <f>IFERROR(__xludf.DUMMYFUNCTION("""COMPUTED_VALUE"""),"TRSF E-BANKING DB TANGGAL :06/02")</f>
        <v>TRSF E-BANKING DB TANGGAL :06/02</v>
      </c>
      <c r="C40" s="5" t="str">
        <f>IFERROR(__xludf.DUMMYFUNCTION("""COMPUTED_VALUE"""),"0602/FTSCY/WS95011 kd rudi m rembang jateng TUMBUH OPTIMAL PRI")</f>
        <v>0602/FTSCY/WS95011 kd rudi m rembang jateng TUMBUH OPTIMAL PRI</v>
      </c>
      <c r="D40" s="3">
        <f>IFERROR(__xludf.DUMMYFUNCTION("""COMPUTED_VALUE"""),6.156E7)</f>
        <v>61560000</v>
      </c>
      <c r="E40" s="5"/>
      <c r="F40" s="5" t="str">
        <f>IFERROR(__xludf.DUMMYFUNCTION("""COMPUTED_VALUE"""),"DB")</f>
        <v>DB</v>
      </c>
      <c r="G40" s="3">
        <f>IFERROR(__xludf.DUMMYFUNCTION("""COMPUTED_VALUE"""),1.3170331746000004E8)</f>
        <v>131703317.5</v>
      </c>
      <c r="H40" s="5"/>
      <c r="I40" s="5" t="str">
        <f>IFERROR(__xludf.DUMMYFUNCTION("""COMPUTED_VALUE"""),"PRODUKSI")</f>
        <v>PRODUKSI</v>
      </c>
      <c r="J40" s="3"/>
    </row>
    <row r="41">
      <c r="A41" s="9">
        <f>IFERROR(__xludf.DUMMYFUNCTION("""COMPUTED_VALUE"""),46060.0)</f>
        <v>46060</v>
      </c>
      <c r="B41" s="5" t="str">
        <f>IFERROR(__xludf.DUMMYFUNCTION("""COMPUTED_VALUE"""),"TRSF E-BANKING DB TANGGAL :06/02")</f>
        <v>TRSF E-BANKING DB TANGGAL :06/02</v>
      </c>
      <c r="C41" s="5" t="str">
        <f>IFERROR(__xludf.DUMMYFUNCTION("""COMPUTED_VALUE"""),"0602/FTSCY/WS95011 pemb. 04/02 BINTANG TAMA SANTO")</f>
        <v>0602/FTSCY/WS95011 pemb. 04/02 BINTANG TAMA SANTO</v>
      </c>
      <c r="D41" s="3">
        <f>IFERROR(__xludf.DUMMYFUNCTION("""COMPUTED_VALUE"""),5.445825E7)</f>
        <v>54458250</v>
      </c>
      <c r="E41" s="5"/>
      <c r="F41" s="5" t="str">
        <f>IFERROR(__xludf.DUMMYFUNCTION("""COMPUTED_VALUE"""),"DB")</f>
        <v>DB</v>
      </c>
      <c r="G41" s="3">
        <f>IFERROR(__xludf.DUMMYFUNCTION("""COMPUTED_VALUE"""),7.610506746000004E7)</f>
        <v>76105067.46</v>
      </c>
      <c r="H41" s="5" t="str">
        <f>IFERROR(__xludf.DUMMYFUNCTION("""COMPUTED_VALUE"""),"76,105,067.46")</f>
        <v>76,105,067.46</v>
      </c>
      <c r="I41" s="5" t="str">
        <f>IFERROR(__xludf.DUMMYFUNCTION("""COMPUTED_VALUE"""),"PRODUKSI")</f>
        <v>PRODUKSI</v>
      </c>
      <c r="J41" s="3"/>
    </row>
    <row r="42">
      <c r="A42" s="9">
        <f>IFERROR(__xludf.DUMMYFUNCTION("""COMPUTED_VALUE"""),46060.0)</f>
        <v>46060</v>
      </c>
      <c r="B42" s="5" t="str">
        <f>IFERROR(__xludf.DUMMYFUNCTION("""COMPUTED_VALUE"""),"TRSF E-BANKING DB")</f>
        <v>TRSF E-BANKING DB</v>
      </c>
      <c r="C42" s="5" t="str">
        <f>IFERROR(__xludf.DUMMYFUNCTION("""COMPUTED_VALUE"""),"0702/FTSCY/WS95271 124270000.00 kd fx bayu kediri ANUGERAH KARTIKA A")</f>
        <v>0702/FTSCY/WS95271 124270000.00 kd fx bayu kediri ANUGERAH KARTIKA A</v>
      </c>
      <c r="D42" s="3">
        <f>IFERROR(__xludf.DUMMYFUNCTION("""COMPUTED_VALUE"""),1.2427E8)</f>
        <v>124270000</v>
      </c>
      <c r="E42" s="5"/>
      <c r="F42" s="5" t="str">
        <f>IFERROR(__xludf.DUMMYFUNCTION("""COMPUTED_VALUE"""),"DB")</f>
        <v>DB</v>
      </c>
      <c r="G42" s="3">
        <f>IFERROR(__xludf.DUMMYFUNCTION("""COMPUTED_VALUE"""),1659427.4600000381)</f>
        <v>1659427.46</v>
      </c>
      <c r="H42" s="5"/>
      <c r="I42" s="5" t="str">
        <f>IFERROR(__xludf.DUMMYFUNCTION("""COMPUTED_VALUE"""),"PRODUKSI")</f>
        <v>PRODUKSI</v>
      </c>
      <c r="J42" s="3"/>
    </row>
    <row r="43">
      <c r="A43" s="9">
        <f>IFERROR(__xludf.DUMMYFUNCTION("""COMPUTED_VALUE"""),46060.0)</f>
        <v>46060</v>
      </c>
      <c r="B43" s="5" t="str">
        <f>IFERROR(__xludf.DUMMYFUNCTION("""COMPUTED_VALUE"""),"TRSF E-BANKING DB")</f>
        <v>TRSF E-BANKING DB</v>
      </c>
      <c r="C43" s="5" t="str">
        <f>IFERROR(__xludf.DUMMYFUNCTION("""COMPUTED_VALUE"""),"0702/FTSCY/WS95031 44473660.00 kd mulyadi krg 4 j t RUKUN MITRA BERSAM")</f>
        <v>0702/FTSCY/WS95031 44473660.00 kd mulyadi krg 4 j t RUKUN MITRA BERSAM</v>
      </c>
      <c r="D43" s="3">
        <f>IFERROR(__xludf.DUMMYFUNCTION("""COMPUTED_VALUE"""),4.447366E7)</f>
        <v>44473660</v>
      </c>
      <c r="E43" s="5"/>
      <c r="F43" s="5" t="str">
        <f>IFERROR(__xludf.DUMMYFUNCTION("""COMPUTED_VALUE"""),"DB")</f>
        <v>DB</v>
      </c>
      <c r="G43" s="3">
        <f>IFERROR(__xludf.DUMMYFUNCTION("""COMPUTED_VALUE"""),358327.46000003815)</f>
        <v>358327.46</v>
      </c>
      <c r="H43" s="5"/>
      <c r="I43" s="5" t="str">
        <f>IFERROR(__xludf.DUMMYFUNCTION("""COMPUTED_VALUE"""),"PRODUKSI")</f>
        <v>PRODUKSI</v>
      </c>
      <c r="J43" s="3"/>
    </row>
    <row r="44">
      <c r="A44" s="9">
        <f>IFERROR(__xludf.DUMMYFUNCTION("""COMPUTED_VALUE"""),46060.0)</f>
        <v>46060</v>
      </c>
      <c r="B44" s="5" t="str">
        <f>IFERROR(__xludf.DUMMYFUNCTION("""COMPUTED_VALUE"""),"TRSF E-BANKING DB")</f>
        <v>TRSF E-BANKING DB</v>
      </c>
      <c r="C44" s="5" t="str">
        <f>IFERROR(__xludf.DUMMYFUNCTION("""COMPUTED_VALUE"""),"0702/FTSCY/WS95271 49500000.00 kd irwanto 1 pasur uan BINTANG TAMA SANTO")</f>
        <v>0702/FTSCY/WS95271 49500000.00 kd irwanto 1 pasur uan BINTANG TAMA SANTO</v>
      </c>
      <c r="D44" s="3">
        <f>IFERROR(__xludf.DUMMYFUNCTION("""COMPUTED_VALUE"""),4.95E7)</f>
        <v>49500000</v>
      </c>
      <c r="E44" s="5"/>
      <c r="F44" s="5" t="str">
        <f>IFERROR(__xludf.DUMMYFUNCTION("""COMPUTED_VALUE"""),"DB")</f>
        <v>DB</v>
      </c>
      <c r="G44" s="3">
        <f>IFERROR(__xludf.DUMMYFUNCTION("""COMPUTED_VALUE"""),1.7910832746000004E8)</f>
        <v>179108327.5</v>
      </c>
      <c r="H44" s="5"/>
      <c r="I44" s="5" t="str">
        <f>IFERROR(__xludf.DUMMYFUNCTION("""COMPUTED_VALUE"""),"PRODUKSI")</f>
        <v>PRODUKSI</v>
      </c>
      <c r="J44" s="3"/>
    </row>
    <row r="45">
      <c r="A45" s="9">
        <f>IFERROR(__xludf.DUMMYFUNCTION("""COMPUTED_VALUE"""),46060.0)</f>
        <v>46060</v>
      </c>
      <c r="B45" s="5" t="str">
        <f>IFERROR(__xludf.DUMMYFUNCTION("""COMPUTED_VALUE"""),"TRSF E-BANKING DB")</f>
        <v>TRSF E-BANKING DB</v>
      </c>
      <c r="C45" s="5" t="str">
        <f>IFERROR(__xludf.DUMMYFUNCTION("""COMPUTED_VALUE"""),"0702/FTSCY/WS95271 49500000.00 pemb. kd djadianto kdr BINTANG TAMA SANTO")</f>
        <v>0702/FTSCY/WS95271 49500000.00 pemb. kd djadianto kdr BINTANG TAMA SANTO</v>
      </c>
      <c r="D45" s="3">
        <f>IFERROR(__xludf.DUMMYFUNCTION("""COMPUTED_VALUE"""),4.95E7)</f>
        <v>49500000</v>
      </c>
      <c r="E45" s="5"/>
      <c r="F45" s="5" t="str">
        <f>IFERROR(__xludf.DUMMYFUNCTION("""COMPUTED_VALUE"""),"DB")</f>
        <v>DB</v>
      </c>
      <c r="G45" s="3">
        <f>IFERROR(__xludf.DUMMYFUNCTION("""COMPUTED_VALUE"""),1.2960832746000004E8)</f>
        <v>129608327.5</v>
      </c>
      <c r="H45" s="5"/>
      <c r="I45" s="5" t="str">
        <f>IFERROR(__xludf.DUMMYFUNCTION("""COMPUTED_VALUE"""),"PRODUKSI")</f>
        <v>PRODUKSI</v>
      </c>
      <c r="J45" s="3"/>
    </row>
    <row r="46">
      <c r="A46" s="9">
        <f>IFERROR(__xludf.DUMMYFUNCTION("""COMPUTED_VALUE"""),46060.0)</f>
        <v>46060</v>
      </c>
      <c r="B46" s="5" t="str">
        <f>IFERROR(__xludf.DUMMYFUNCTION("""COMPUTED_VALUE"""),"TRSF E-BANKING DB")</f>
        <v>TRSF E-BANKING DB</v>
      </c>
      <c r="C46" s="5" t="str">
        <f>IFERROR(__xludf.DUMMYFUNCTION("""COMPUTED_VALUE"""),"0702/FTSCY/WS95271 51000000.00 Thu Feb 05 2026 15:00:00 GMT+0700 (Western Indonesia Time) ANUGERAH KARTIKA A")</f>
        <v>0702/FTSCY/WS95271 51000000.00 Thu Feb 05 2026 15:00:00 GMT+0700 (Western Indonesia Time) ANUGERAH KARTIKA A</v>
      </c>
      <c r="D46" s="3">
        <f>IFERROR(__xludf.DUMMYFUNCTION("""COMPUTED_VALUE"""),5.1E7)</f>
        <v>51000000</v>
      </c>
      <c r="E46" s="5"/>
      <c r="F46" s="5" t="str">
        <f>IFERROR(__xludf.DUMMYFUNCTION("""COMPUTED_VALUE"""),"DB")</f>
        <v>DB</v>
      </c>
      <c r="G46" s="3">
        <f>IFERROR(__xludf.DUMMYFUNCTION("""COMPUTED_VALUE"""),7.860832746000004E7)</f>
        <v>78608327.46</v>
      </c>
      <c r="H46" s="5"/>
      <c r="I46" s="5" t="str">
        <f>IFERROR(__xludf.DUMMYFUNCTION("""COMPUTED_VALUE"""),"PRODUKSI")</f>
        <v>PRODUKSI</v>
      </c>
      <c r="J46" s="3"/>
    </row>
    <row r="47">
      <c r="A47" s="9">
        <f>IFERROR(__xludf.DUMMYFUNCTION("""COMPUTED_VALUE"""),46060.0)</f>
        <v>46060</v>
      </c>
      <c r="B47" s="5" t="str">
        <f>IFERROR(__xludf.DUMMYFUNCTION("""COMPUTED_VALUE"""),"TRSF E-BANKING DB")</f>
        <v>TRSF E-BANKING DB</v>
      </c>
      <c r="C47" s="5" t="str">
        <f>IFERROR(__xludf.DUMMYFUNCTION("""COMPUTED_VALUE"""),"0702/FTSCY/WS95271 20000000.00 pelunasan ANUGERAH KARTIKA A")</f>
        <v>0702/FTSCY/WS95271 20000000.00 pelunasan ANUGERAH KARTIKA A</v>
      </c>
      <c r="D47" s="3">
        <f>IFERROR(__xludf.DUMMYFUNCTION("""COMPUTED_VALUE"""),2.0E7)</f>
        <v>20000000</v>
      </c>
      <c r="E47" s="5"/>
      <c r="F47" s="5" t="str">
        <f>IFERROR(__xludf.DUMMYFUNCTION("""COMPUTED_VALUE"""),"DB")</f>
        <v>DB</v>
      </c>
      <c r="G47" s="3">
        <f>IFERROR(__xludf.DUMMYFUNCTION("""COMPUTED_VALUE"""),5.860832746000004E7)</f>
        <v>58608327.46</v>
      </c>
      <c r="H47" s="5"/>
      <c r="I47" s="5" t="str">
        <f>IFERROR(__xludf.DUMMYFUNCTION("""COMPUTED_VALUE"""),"PRODUKSI")</f>
        <v>PRODUKSI</v>
      </c>
      <c r="J47" s="3"/>
    </row>
    <row r="48">
      <c r="A48" s="9">
        <f>IFERROR(__xludf.DUMMYFUNCTION("""COMPUTED_VALUE"""),46060.0)</f>
        <v>46060</v>
      </c>
      <c r="B48" s="5" t="str">
        <f>IFERROR(__xludf.DUMMYFUNCTION("""COMPUTED_VALUE"""),"TRSF E-BANKING DB")</f>
        <v>TRSF E-BANKING DB</v>
      </c>
      <c r="C48" s="5" t="str">
        <f>IFERROR(__xludf.DUMMYFUNCTION("""COMPUTED_VALUE"""),"0702/FTSCY/WS95011 109819000.00 Tue Feb 03 2026 15:00:00 GMT+0700 (Western Indonesia Time) SUPER UNGGAS JAYA")</f>
        <v>0702/FTSCY/WS95011 109819000.00 Tue Feb 03 2026 15:00:00 GMT+0700 (Western Indonesia Time) SUPER UNGGAS JAYA</v>
      </c>
      <c r="D48" s="3">
        <f>IFERROR(__xludf.DUMMYFUNCTION("""COMPUTED_VALUE"""),1.09819E8)</f>
        <v>109819000</v>
      </c>
      <c r="E48" s="5"/>
      <c r="F48" s="5" t="str">
        <f>IFERROR(__xludf.DUMMYFUNCTION("""COMPUTED_VALUE"""),"DB")</f>
        <v>DB</v>
      </c>
      <c r="G48" s="3">
        <f>IFERROR(__xludf.DUMMYFUNCTION("""COMPUTED_VALUE"""),4.186602746000004E7)</f>
        <v>41866027.46</v>
      </c>
      <c r="H48" s="5"/>
      <c r="I48" s="5" t="str">
        <f>IFERROR(__xludf.DUMMYFUNCTION("""COMPUTED_VALUE"""),"PRODUKSI")</f>
        <v>PRODUKSI</v>
      </c>
      <c r="J48" s="3"/>
    </row>
    <row r="49">
      <c r="A49" s="9">
        <f>IFERROR(__xludf.DUMMYFUNCTION("""COMPUTED_VALUE"""),46060.0)</f>
        <v>46060</v>
      </c>
      <c r="B49" s="5" t="str">
        <f>IFERROR(__xludf.DUMMYFUNCTION("""COMPUTED_VALUE"""),"TRSF E-BANKING DB")</f>
        <v>TRSF E-BANKING DB</v>
      </c>
      <c r="C49" s="5" t="str">
        <f>IFERROR(__xludf.DUMMYFUNCTION("""COMPUTED_VALUE"""),"0702/FTSCY/WS95031 38888090.00 krg 65 jt RUKUN MITRA BERSAM")</f>
        <v>0702/FTSCY/WS95031 38888090.00 krg 65 jt RUKUN MITRA BERSAM</v>
      </c>
      <c r="D49" s="3">
        <f>IFERROR(__xludf.DUMMYFUNCTION("""COMPUTED_VALUE"""),3.888809E7)</f>
        <v>38888090</v>
      </c>
      <c r="E49" s="5"/>
      <c r="F49" s="5" t="str">
        <f>IFERROR(__xludf.DUMMYFUNCTION("""COMPUTED_VALUE"""),"DB")</f>
        <v>DB</v>
      </c>
      <c r="G49" s="3">
        <f>IFERROR(__xludf.DUMMYFUNCTION("""COMPUTED_VALUE"""),2977937.460000038)</f>
        <v>2977937.46</v>
      </c>
      <c r="H49" s="5" t="str">
        <f>IFERROR(__xludf.DUMMYFUNCTION("""COMPUTED_VALUE"""),"2,977,937.46")</f>
        <v>2,977,937.46</v>
      </c>
      <c r="I49" s="5" t="str">
        <f>IFERROR(__xludf.DUMMYFUNCTION("""COMPUTED_VALUE"""),"PRODUKSI")</f>
        <v>PRODUKSI</v>
      </c>
      <c r="J49" s="3"/>
    </row>
    <row r="50">
      <c r="A50" s="9">
        <f>IFERROR(__xludf.DUMMYFUNCTION("""COMPUTED_VALUE"""),46061.0)</f>
        <v>46061</v>
      </c>
      <c r="B50" s="5" t="str">
        <f>IFERROR(__xludf.DUMMYFUNCTION("""COMPUTED_VALUE"""),"TRSF E-BANKING DB")</f>
        <v>TRSF E-BANKING DB</v>
      </c>
      <c r="C50" s="5" t="str">
        <f>IFERROR(__xludf.DUMMYFUNCTION("""COMPUTED_VALUE"""),"0802/FTSCY/WS95031 65000000.00 pelunasan RUKUN MITRA BERSAM")</f>
        <v>0802/FTSCY/WS95031 65000000.00 pelunasan RUKUN MITRA BERSAM</v>
      </c>
      <c r="D50" s="3">
        <f>IFERROR(__xludf.DUMMYFUNCTION("""COMPUTED_VALUE"""),6.5E7)</f>
        <v>65000000</v>
      </c>
      <c r="E50" s="5"/>
      <c r="F50" s="5" t="str">
        <f>IFERROR(__xludf.DUMMYFUNCTION("""COMPUTED_VALUE"""),"DB")</f>
        <v>DB</v>
      </c>
      <c r="G50" s="3">
        <f>IFERROR(__xludf.DUMMYFUNCTION("""COMPUTED_VALUE"""),9.050255646000004E7)</f>
        <v>90502556.46</v>
      </c>
      <c r="H50" s="5"/>
      <c r="I50" s="5" t="str">
        <f>IFERROR(__xludf.DUMMYFUNCTION("""COMPUTED_VALUE"""),"PRODUKSI")</f>
        <v>PRODUKSI</v>
      </c>
      <c r="J50" s="3"/>
    </row>
    <row r="51">
      <c r="A51" s="9">
        <f>IFERROR(__xludf.DUMMYFUNCTION("""COMPUTED_VALUE"""),46061.0)</f>
        <v>46061</v>
      </c>
      <c r="B51" s="5" t="str">
        <f>IFERROR(__xludf.DUMMYFUNCTION("""COMPUTED_VALUE"""),"TRSF E-BANKING DB")</f>
        <v>TRSF E-BANKING DB</v>
      </c>
      <c r="C51" s="5" t="str">
        <f>IFERROR(__xludf.DUMMYFUNCTION("""COMPUTED_VALUE"""),"0802/FTSCY/WS95271 51000000.00 Thu Feb 05 2026 15:00:00 GMT+0700 (Western Indonesia Time) BROILER MAKMUR TAN")</f>
        <v>0802/FTSCY/WS95271 51000000.00 Thu Feb 05 2026 15:00:00 GMT+0700 (Western Indonesia Time) BROILER MAKMUR TAN</v>
      </c>
      <c r="D51" s="3">
        <f>IFERROR(__xludf.DUMMYFUNCTION("""COMPUTED_VALUE"""),5.1E7)</f>
        <v>51000000</v>
      </c>
      <c r="E51" s="5"/>
      <c r="F51" s="5" t="str">
        <f>IFERROR(__xludf.DUMMYFUNCTION("""COMPUTED_VALUE"""),"DB")</f>
        <v>DB</v>
      </c>
      <c r="G51" s="3">
        <f>IFERROR(__xludf.DUMMYFUNCTION("""COMPUTED_VALUE"""),3.950255646000004E7)</f>
        <v>39502556.46</v>
      </c>
      <c r="H51" s="5"/>
      <c r="I51" s="5" t="str">
        <f>IFERROR(__xludf.DUMMYFUNCTION("""COMPUTED_VALUE"""),"PRODUKSI")</f>
        <v>PRODUKSI</v>
      </c>
      <c r="J51" s="3"/>
    </row>
    <row r="52">
      <c r="A52" s="9">
        <f>IFERROR(__xludf.DUMMYFUNCTION("""COMPUTED_VALUE"""),46062.0)</f>
        <v>46062</v>
      </c>
      <c r="B52" s="5" t="str">
        <f>IFERROR(__xludf.DUMMYFUNCTION("""COMPUTED_VALUE"""),"TRSF E-BANKING DB")</f>
        <v>TRSF E-BANKING DB</v>
      </c>
      <c r="C52" s="5" t="str">
        <f>IFERROR(__xludf.DUMMYFUNCTION("""COMPUTED_VALUE"""),"0902/FTSCY/WS95031 48812100.00 t. agung PITIK DIGITAL INDO")</f>
        <v>0902/FTSCY/WS95031 48812100.00 t. agung PITIK DIGITAL INDO</v>
      </c>
      <c r="D52" s="3">
        <f>IFERROR(__xludf.DUMMYFUNCTION("""COMPUTED_VALUE"""),4.88121E7)</f>
        <v>48812100</v>
      </c>
      <c r="E52" s="5"/>
      <c r="F52" s="5" t="str">
        <f>IFERROR(__xludf.DUMMYFUNCTION("""COMPUTED_VALUE"""),"DB")</f>
        <v>DB</v>
      </c>
      <c r="G52" s="3">
        <f>IFERROR(__xludf.DUMMYFUNCTION("""COMPUTED_VALUE"""),7.0506621646E8)</f>
        <v>705066216.5</v>
      </c>
      <c r="H52" s="5"/>
      <c r="I52" s="5" t="str">
        <f>IFERROR(__xludf.DUMMYFUNCTION("""COMPUTED_VALUE"""),"PRODUKSI")</f>
        <v>PRODUKSI</v>
      </c>
      <c r="J52" s="3"/>
    </row>
    <row r="53">
      <c r="A53" s="9">
        <f>IFERROR(__xludf.DUMMYFUNCTION("""COMPUTED_VALUE"""),46062.0)</f>
        <v>46062</v>
      </c>
      <c r="B53" s="5" t="str">
        <f>IFERROR(__xludf.DUMMYFUNCTION("""COMPUTED_VALUE"""),"TRSF E-BANKING DB")</f>
        <v>TRSF E-BANKING DB</v>
      </c>
      <c r="C53" s="5" t="str">
        <f>IFERROR(__xludf.DUMMYFUNCTION("""COMPUTED_VALUE"""),"0902/FTSCY/WS95271 64600000.00 kd mulyono magetan PITIK DIGITAL INDO")</f>
        <v>0902/FTSCY/WS95271 64600000.00 kd mulyono magetan PITIK DIGITAL INDO</v>
      </c>
      <c r="D53" s="3">
        <f>IFERROR(__xludf.DUMMYFUNCTION("""COMPUTED_VALUE"""),6.46E7)</f>
        <v>64600000</v>
      </c>
      <c r="E53" s="5"/>
      <c r="F53" s="5" t="str">
        <f>IFERROR(__xludf.DUMMYFUNCTION("""COMPUTED_VALUE"""),"DB")</f>
        <v>DB</v>
      </c>
      <c r="G53" s="3">
        <f>IFERROR(__xludf.DUMMYFUNCTION("""COMPUTED_VALUE"""),6.4046621646E8)</f>
        <v>640466216.5</v>
      </c>
      <c r="H53" s="5"/>
      <c r="I53" s="5" t="str">
        <f>IFERROR(__xludf.DUMMYFUNCTION("""COMPUTED_VALUE"""),"PRODUKSI")</f>
        <v>PRODUKSI</v>
      </c>
      <c r="J53" s="3"/>
    </row>
    <row r="54">
      <c r="A54" s="9">
        <f>IFERROR(__xludf.DUMMYFUNCTION("""COMPUTED_VALUE"""),46062.0)</f>
        <v>46062</v>
      </c>
      <c r="B54" s="5" t="str">
        <f>IFERROR(__xludf.DUMMYFUNCTION("""COMPUTED_VALUE"""),"TRSF E-BANKING DB")</f>
        <v>TRSF E-BANKING DB</v>
      </c>
      <c r="C54" s="5" t="str">
        <f>IFERROR(__xludf.DUMMYFUNCTION("""COMPUTED_VALUE"""),"0902/FTSCY/WS95271 56159500.00 kd umi mahtum BINTANG TAMA SANTO")</f>
        <v>0902/FTSCY/WS95271 56159500.00 kd umi mahtum BINTANG TAMA SANTO</v>
      </c>
      <c r="D54" s="3">
        <f>IFERROR(__xludf.DUMMYFUNCTION("""COMPUTED_VALUE"""),5.61595E7)</f>
        <v>56159500</v>
      </c>
      <c r="E54" s="5"/>
      <c r="F54" s="5" t="str">
        <f>IFERROR(__xludf.DUMMYFUNCTION("""COMPUTED_VALUE"""),"DB")</f>
        <v>DB</v>
      </c>
      <c r="G54" s="3">
        <f>IFERROR(__xludf.DUMMYFUNCTION("""COMPUTED_VALUE"""),5.8430671646E8)</f>
        <v>584306716.5</v>
      </c>
      <c r="H54" s="5"/>
      <c r="I54" s="5" t="str">
        <f>IFERROR(__xludf.DUMMYFUNCTION("""COMPUTED_VALUE"""),"PRODUKSI")</f>
        <v>PRODUKSI</v>
      </c>
      <c r="J54" s="3"/>
    </row>
    <row r="55">
      <c r="A55" s="9">
        <f>IFERROR(__xludf.DUMMYFUNCTION("""COMPUTED_VALUE"""),46062.0)</f>
        <v>46062</v>
      </c>
      <c r="B55" s="5" t="str">
        <f>IFERROR(__xludf.DUMMYFUNCTION("""COMPUTED_VALUE"""),"TRSF E-BANKING DB")</f>
        <v>TRSF E-BANKING DB</v>
      </c>
      <c r="C55" s="5" t="str">
        <f>IFERROR(__xludf.DUMMYFUNCTION("""COMPUTED_VALUE"""),"0902/FTSCY/WS95271 62900000.00 kd wahyu hari I Pa suruan ANDALAN YASA MITRA")</f>
        <v>0902/FTSCY/WS95271 62900000.00 kd wahyu hari I Pa suruan ANDALAN YASA MITRA</v>
      </c>
      <c r="D55" s="3">
        <f>IFERROR(__xludf.DUMMYFUNCTION("""COMPUTED_VALUE"""),6.29E7)</f>
        <v>62900000</v>
      </c>
      <c r="E55" s="5"/>
      <c r="F55" s="5" t="str">
        <f>IFERROR(__xludf.DUMMYFUNCTION("""COMPUTED_VALUE"""),"DB")</f>
        <v>DB</v>
      </c>
      <c r="G55" s="3">
        <f>IFERROR(__xludf.DUMMYFUNCTION("""COMPUTED_VALUE"""),5.2140671646000004E8)</f>
        <v>521406716.5</v>
      </c>
      <c r="H55" s="5" t="str">
        <f>IFERROR(__xludf.DUMMYFUNCTION("""COMPUTED_VALUE"""),"521,406,716.46")</f>
        <v>521,406,716.46</v>
      </c>
      <c r="I55" s="5" t="str">
        <f>IFERROR(__xludf.DUMMYFUNCTION("""COMPUTED_VALUE"""),"PRODUKSI")</f>
        <v>PRODUKSI</v>
      </c>
      <c r="J55" s="3"/>
    </row>
    <row r="56">
      <c r="A56" s="9">
        <f>IFERROR(__xludf.DUMMYFUNCTION("""COMPUTED_VALUE"""),46062.0)</f>
        <v>46062</v>
      </c>
      <c r="B56" s="5" t="str">
        <f>IFERROR(__xludf.DUMMYFUNCTION("""COMPUTED_VALUE"""),"TRSF E-BANKING DB")</f>
        <v>TRSF E-BANKING DB</v>
      </c>
      <c r="C56" s="5" t="str">
        <f>IFERROR(__xludf.DUMMYFUNCTION("""COMPUTED_VALUE"""),"0902/FTSCY/WS95271 57538320.00 tuban PITIK DIGITAL INDO")</f>
        <v>0902/FTSCY/WS95271 57538320.00 tuban PITIK DIGITAL INDO</v>
      </c>
      <c r="D56" s="3">
        <f>IFERROR(__xludf.DUMMYFUNCTION("""COMPUTED_VALUE"""),5.753832E7)</f>
        <v>57538320</v>
      </c>
      <c r="E56" s="5"/>
      <c r="F56" s="5" t="str">
        <f>IFERROR(__xludf.DUMMYFUNCTION("""COMPUTED_VALUE"""),"DB")</f>
        <v>DB</v>
      </c>
      <c r="G56" s="3">
        <f>IFERROR(__xludf.DUMMYFUNCTION("""COMPUTED_VALUE"""),4.6386839646000004E8)</f>
        <v>463868396.5</v>
      </c>
      <c r="H56" s="5" t="str">
        <f>IFERROR(__xludf.DUMMYFUNCTION("""COMPUTED_VALUE"""),"463,868,396.46")</f>
        <v>463,868,396.46</v>
      </c>
      <c r="I56" s="5" t="str">
        <f>IFERROR(__xludf.DUMMYFUNCTION("""COMPUTED_VALUE"""),"PRODUKSI")</f>
        <v>PRODUKSI</v>
      </c>
      <c r="J56" s="3"/>
    </row>
    <row r="57">
      <c r="A57" s="9">
        <f>IFERROR(__xludf.DUMMYFUNCTION("""COMPUTED_VALUE"""),46062.0)</f>
        <v>46062</v>
      </c>
      <c r="B57" s="5" t="str">
        <f>IFERROR(__xludf.DUMMYFUNCTION("""COMPUTED_VALUE"""),"TRSF E-BANKING DB")</f>
        <v>TRSF E-BANKING DB</v>
      </c>
      <c r="C57" s="5" t="str">
        <f>IFERROR(__xludf.DUMMYFUNCTION("""COMPUTED_VALUE"""),"0902/FTSCY/WS95011 169314870.00 Fri Feb 06 2026 15:00:00 GMT+0700 (Western Indonesia Time) BROILER MAKMUR TAN")</f>
        <v>0902/FTSCY/WS95011 169314870.00 Fri Feb 06 2026 15:00:00 GMT+0700 (Western Indonesia Time) BROILER MAKMUR TAN</v>
      </c>
      <c r="D57" s="3">
        <f>IFERROR(__xludf.DUMMYFUNCTION("""COMPUTED_VALUE"""),1.6931487E8)</f>
        <v>169314870</v>
      </c>
      <c r="E57" s="5"/>
      <c r="F57" s="5" t="str">
        <f>IFERROR(__xludf.DUMMYFUNCTION("""COMPUTED_VALUE"""),"DB")</f>
        <v>DB</v>
      </c>
      <c r="G57" s="3">
        <f>IFERROR(__xludf.DUMMYFUNCTION("""COMPUTED_VALUE"""),2.9455352646000004E8)</f>
        <v>294553526.5</v>
      </c>
      <c r="H57" s="5"/>
      <c r="I57" s="5" t="str">
        <f>IFERROR(__xludf.DUMMYFUNCTION("""COMPUTED_VALUE"""),"PRODUKSI")</f>
        <v>PRODUKSI</v>
      </c>
      <c r="J57" s="3"/>
    </row>
    <row r="58">
      <c r="A58" s="9">
        <f>IFERROR(__xludf.DUMMYFUNCTION("""COMPUTED_VALUE"""),46062.0)</f>
        <v>46062</v>
      </c>
      <c r="B58" s="5" t="str">
        <f>IFERROR(__xludf.DUMMYFUNCTION("""COMPUTED_VALUE"""),"TRSF E-BANKING DB")</f>
        <v>TRSF E-BANKING DB</v>
      </c>
      <c r="C58" s="5" t="str">
        <f>IFERROR(__xludf.DUMMYFUNCTION("""COMPUTED_VALUE"""),"0902/FTSCY/WS95011 124672350.00 Fri Feb 06 2026 15:00:00 GMT+0700 (Western Indonesia Time) BROILER MAKMUR TAN")</f>
        <v>0902/FTSCY/WS95011 124672350.00 Fri Feb 06 2026 15:00:00 GMT+0700 (Western Indonesia Time) BROILER MAKMUR TAN</v>
      </c>
      <c r="D58" s="3">
        <f>IFERROR(__xludf.DUMMYFUNCTION("""COMPUTED_VALUE"""),1.2467235E8)</f>
        <v>124672350</v>
      </c>
      <c r="E58" s="5"/>
      <c r="F58" s="5" t="str">
        <f>IFERROR(__xludf.DUMMYFUNCTION("""COMPUTED_VALUE"""),"DB")</f>
        <v>DB</v>
      </c>
      <c r="G58" s="3">
        <f>IFERROR(__xludf.DUMMYFUNCTION("""COMPUTED_VALUE"""),1.6988117646000004E8)</f>
        <v>169881176.5</v>
      </c>
      <c r="H58" s="5"/>
      <c r="I58" s="5" t="str">
        <f>IFERROR(__xludf.DUMMYFUNCTION("""COMPUTED_VALUE"""),"PRODUKSI")</f>
        <v>PRODUKSI</v>
      </c>
      <c r="J58" s="3"/>
    </row>
    <row r="59">
      <c r="A59" s="9">
        <f>IFERROR(__xludf.DUMMYFUNCTION("""COMPUTED_VALUE"""),46062.0)</f>
        <v>46062</v>
      </c>
      <c r="B59" s="5" t="str">
        <f>IFERROR(__xludf.DUMMYFUNCTION("""COMPUTED_VALUE"""),"TRSF E-BANKING DB")</f>
        <v>TRSF E-BANKING DB</v>
      </c>
      <c r="C59" s="5" t="str">
        <f>IFERROR(__xludf.DUMMYFUNCTION("""COMPUTED_VALUE"""),"0902/FTSCY/WS95011 144600000.00 pelunasan SUPER UNGGAS JAYA")</f>
        <v>0902/FTSCY/WS95011 144600000.00 pelunasan SUPER UNGGAS JAYA</v>
      </c>
      <c r="D59" s="3">
        <f>IFERROR(__xludf.DUMMYFUNCTION("""COMPUTED_VALUE"""),1.446E8)</f>
        <v>144600000</v>
      </c>
      <c r="E59" s="5"/>
      <c r="F59" s="5" t="str">
        <f>IFERROR(__xludf.DUMMYFUNCTION("""COMPUTED_VALUE"""),"DB")</f>
        <v>DB</v>
      </c>
      <c r="G59" s="3">
        <f>IFERROR(__xludf.DUMMYFUNCTION("""COMPUTED_VALUE"""),2.528117646000004E7)</f>
        <v>25281176.46</v>
      </c>
      <c r="H59" s="5"/>
      <c r="I59" s="5" t="str">
        <f>IFERROR(__xludf.DUMMYFUNCTION("""COMPUTED_VALUE"""),"PRODUKSI")</f>
        <v>PRODUKSI</v>
      </c>
      <c r="J59" s="3"/>
    </row>
    <row r="60">
      <c r="A60" s="9">
        <f>IFERROR(__xludf.DUMMYFUNCTION("""COMPUTED_VALUE"""),46062.0)</f>
        <v>46062</v>
      </c>
      <c r="B60" s="5" t="str">
        <f>IFERROR(__xludf.DUMMYFUNCTION("""COMPUTED_VALUE"""),"TRSF E-BANKING DB")</f>
        <v>TRSF E-BANKING DB</v>
      </c>
      <c r="C60" s="5" t="str">
        <f>IFERROR(__xludf.DUMMYFUNCTION("""COMPUTED_VALUE"""),"0902/FTSCY/WS95271 52500000.00 kd nur salam ANDALAN YASA MITRA")</f>
        <v>0902/FTSCY/WS95271 52500000.00 kd nur salam ANDALAN YASA MITRA</v>
      </c>
      <c r="D60" s="3">
        <f>IFERROR(__xludf.DUMMYFUNCTION("""COMPUTED_VALUE"""),5.25E7)</f>
        <v>52500000</v>
      </c>
      <c r="E60" s="5"/>
      <c r="F60" s="5" t="str">
        <f>IFERROR(__xludf.DUMMYFUNCTION("""COMPUTED_VALUE"""),"DB")</f>
        <v>DB</v>
      </c>
      <c r="G60" s="3">
        <f>IFERROR(__xludf.DUMMYFUNCTION("""COMPUTED_VALUE"""),1.6448402646000004E8)</f>
        <v>164484026.5</v>
      </c>
      <c r="H60" s="5" t="str">
        <f>IFERROR(__xludf.DUMMYFUNCTION("""COMPUTED_VALUE"""),"164,484,026.46")</f>
        <v>164,484,026.46</v>
      </c>
      <c r="I60" s="5" t="str">
        <f>IFERROR(__xludf.DUMMYFUNCTION("""COMPUTED_VALUE"""),"PRODUKSI")</f>
        <v>PRODUKSI</v>
      </c>
      <c r="J60" s="3"/>
    </row>
    <row r="61">
      <c r="A61" s="9">
        <f>IFERROR(__xludf.DUMMYFUNCTION("""COMPUTED_VALUE"""),46062.0)</f>
        <v>46062</v>
      </c>
      <c r="B61" s="5" t="str">
        <f>IFERROR(__xludf.DUMMYFUNCTION("""COMPUTED_VALUE"""),"TRSF E-BANKING DB")</f>
        <v>TRSF E-BANKING DB</v>
      </c>
      <c r="C61" s="5" t="str">
        <f>IFERROR(__xludf.DUMMYFUNCTION("""COMPUTED_VALUE"""),"0902/FTSCY/WS95031 33180000.00 Sat Feb 07 2026 15:00:00 GMT+0700 (Western Indonesia Time) ANUGERAH KARTIKA A")</f>
        <v>0902/FTSCY/WS95031 33180000.00 Sat Feb 07 2026 15:00:00 GMT+0700 (Western Indonesia Time) ANUGERAH KARTIKA A</v>
      </c>
      <c r="D61" s="3">
        <f>IFERROR(__xludf.DUMMYFUNCTION("""COMPUTED_VALUE"""),3.318E7)</f>
        <v>33180000</v>
      </c>
      <c r="E61" s="5"/>
      <c r="F61" s="5" t="str">
        <f>IFERROR(__xludf.DUMMYFUNCTION("""COMPUTED_VALUE"""),"DB")</f>
        <v>DB</v>
      </c>
      <c r="G61" s="3">
        <f>IFERROR(__xludf.DUMMYFUNCTION("""COMPUTED_VALUE"""),1.3080402646000004E8)</f>
        <v>130804026.5</v>
      </c>
      <c r="H61" s="5"/>
      <c r="I61" s="5" t="str">
        <f>IFERROR(__xludf.DUMMYFUNCTION("""COMPUTED_VALUE"""),"PRODUKSI")</f>
        <v>PRODUKSI</v>
      </c>
      <c r="J61" s="3"/>
    </row>
    <row r="62">
      <c r="A62" s="9">
        <f>IFERROR(__xludf.DUMMYFUNCTION("""COMPUTED_VALUE"""),46063.0)</f>
        <v>46063</v>
      </c>
      <c r="B62" s="5" t="str">
        <f>IFERROR(__xludf.DUMMYFUNCTION("""COMPUTED_VALUE"""),"TRSF E-BANKING DB TANGGAL :09/02")</f>
        <v>TRSF E-BANKING DB TANGGAL :09/02</v>
      </c>
      <c r="C62" s="5" t="str">
        <f>IFERROR(__xludf.DUMMYFUNCTION("""COMPUTED_VALUE"""),"0902/FTSCY/WS95011 pelunasan ANUGERAH KARTIKA A")</f>
        <v>0902/FTSCY/WS95011 pelunasan ANUGERAH KARTIKA A</v>
      </c>
      <c r="D62" s="3">
        <f>IFERROR(__xludf.DUMMYFUNCTION("""COMPUTED_VALUE"""),2.0E7)</f>
        <v>20000000</v>
      </c>
      <c r="E62" s="5"/>
      <c r="F62" s="5" t="str">
        <f>IFERROR(__xludf.DUMMYFUNCTION("""COMPUTED_VALUE"""),"DB")</f>
        <v>DB</v>
      </c>
      <c r="G62" s="3">
        <f>IFERROR(__xludf.DUMMYFUNCTION("""COMPUTED_VALUE"""),4.8877402646000004E8)</f>
        <v>488774026.5</v>
      </c>
      <c r="H62" s="5"/>
      <c r="I62" s="5" t="str">
        <f>IFERROR(__xludf.DUMMYFUNCTION("""COMPUTED_VALUE"""),"PRODUKSI")</f>
        <v>PRODUKSI</v>
      </c>
      <c r="J62" s="3"/>
    </row>
    <row r="63">
      <c r="A63" s="9">
        <f>IFERROR(__xludf.DUMMYFUNCTION("""COMPUTED_VALUE"""),46063.0)</f>
        <v>46063</v>
      </c>
      <c r="B63" s="5" t="str">
        <f>IFERROR(__xludf.DUMMYFUNCTION("""COMPUTED_VALUE"""),"TRSF E-BANKING DB")</f>
        <v>TRSF E-BANKING DB</v>
      </c>
      <c r="C63" s="5" t="str">
        <f>IFERROR(__xludf.DUMMYFUNCTION("""COMPUTED_VALUE"""),"1002/FTSCY/WS95031 52500000.00 kd hari isynto kej ayaan pasuruan ANDALAN YASA MITRA")</f>
        <v>1002/FTSCY/WS95031 52500000.00 kd hari isynto kej ayaan pasuruan ANDALAN YASA MITRA</v>
      </c>
      <c r="D63" s="3">
        <f>IFERROR(__xludf.DUMMYFUNCTION("""COMPUTED_VALUE"""),5.25E7)</f>
        <v>52500000</v>
      </c>
      <c r="E63" s="5"/>
      <c r="F63" s="5" t="str">
        <f>IFERROR(__xludf.DUMMYFUNCTION("""COMPUTED_VALUE"""),"DB")</f>
        <v>DB</v>
      </c>
      <c r="G63" s="3">
        <f>IFERROR(__xludf.DUMMYFUNCTION("""COMPUTED_VALUE"""),4.3627402646000004E8)</f>
        <v>436274026.5</v>
      </c>
      <c r="H63" s="5"/>
      <c r="I63" s="5" t="str">
        <f>IFERROR(__xludf.DUMMYFUNCTION("""COMPUTED_VALUE"""),"PRODUKSI")</f>
        <v>PRODUKSI</v>
      </c>
      <c r="J63" s="3"/>
    </row>
    <row r="64">
      <c r="A64" s="9">
        <f>IFERROR(__xludf.DUMMYFUNCTION("""COMPUTED_VALUE"""),46063.0)</f>
        <v>46063</v>
      </c>
      <c r="B64" s="5" t="str">
        <f>IFERROR(__xludf.DUMMYFUNCTION("""COMPUTED_VALUE"""),"TRSF E-BANKING DB")</f>
        <v>TRSF E-BANKING DB</v>
      </c>
      <c r="C64" s="5" t="str">
        <f>IFERROR(__xludf.DUMMYFUNCTION("""COMPUTED_VALUE"""),"1002/FTSCY/WS95271 99960300.00 07/02 lunas BROILER MAKMUR TAN")</f>
        <v>1002/FTSCY/WS95271 99960300.00 07/02 lunas BROILER MAKMUR TAN</v>
      </c>
      <c r="D64" s="3">
        <f>IFERROR(__xludf.DUMMYFUNCTION("""COMPUTED_VALUE"""),9.99603E7)</f>
        <v>99960300</v>
      </c>
      <c r="E64" s="5"/>
      <c r="F64" s="5" t="str">
        <f>IFERROR(__xludf.DUMMYFUNCTION("""COMPUTED_VALUE"""),"DB")</f>
        <v>DB</v>
      </c>
      <c r="G64" s="3">
        <f>IFERROR(__xludf.DUMMYFUNCTION("""COMPUTED_VALUE"""),3.3631372646000004E8)</f>
        <v>336313726.5</v>
      </c>
      <c r="H64" s="5" t="str">
        <f>IFERROR(__xludf.DUMMYFUNCTION("""COMPUTED_VALUE"""),"336,313,726.46")</f>
        <v>336,313,726.46</v>
      </c>
      <c r="I64" s="5" t="str">
        <f>IFERROR(__xludf.DUMMYFUNCTION("""COMPUTED_VALUE"""),"PRODUKSI")</f>
        <v>PRODUKSI</v>
      </c>
      <c r="J64" s="3"/>
    </row>
    <row r="65">
      <c r="A65" s="9">
        <f>IFERROR(__xludf.DUMMYFUNCTION("""COMPUTED_VALUE"""),46063.0)</f>
        <v>46063</v>
      </c>
      <c r="B65" s="5" t="str">
        <f>IFERROR(__xludf.DUMMYFUNCTION("""COMPUTED_VALUE"""),"TRSF E-BANKING DB")</f>
        <v>TRSF E-BANKING DB</v>
      </c>
      <c r="C65" s="5" t="str">
        <f>IFERROR(__xludf.DUMMYFUNCTION("""COMPUTED_VALUE"""),"1002/FTSCY/WS95271 87677500.00 07/02lunas BROILER MAKMUR TAN")</f>
        <v>1002/FTSCY/WS95271 87677500.00 07/02lunas BROILER MAKMUR TAN</v>
      </c>
      <c r="D65" s="3">
        <f>IFERROR(__xludf.DUMMYFUNCTION("""COMPUTED_VALUE"""),8.76775E7)</f>
        <v>87677500</v>
      </c>
      <c r="E65" s="5"/>
      <c r="F65" s="5" t="str">
        <f>IFERROR(__xludf.DUMMYFUNCTION("""COMPUTED_VALUE"""),"DB")</f>
        <v>DB</v>
      </c>
      <c r="G65" s="3">
        <f>IFERROR(__xludf.DUMMYFUNCTION("""COMPUTED_VALUE"""),2.4863622646000004E8)</f>
        <v>248636226.5</v>
      </c>
      <c r="H65" s="5" t="str">
        <f>IFERROR(__xludf.DUMMYFUNCTION("""COMPUTED_VALUE"""),"248,636,226.46")</f>
        <v>248,636,226.46</v>
      </c>
      <c r="I65" s="5" t="str">
        <f>IFERROR(__xludf.DUMMYFUNCTION("""COMPUTED_VALUE"""),"PRODUKSI")</f>
        <v>PRODUKSI</v>
      </c>
      <c r="J65" s="3"/>
    </row>
    <row r="66">
      <c r="A66" s="9">
        <f>IFERROR(__xludf.DUMMYFUNCTION("""COMPUTED_VALUE"""),46063.0)</f>
        <v>46063</v>
      </c>
      <c r="B66" s="5" t="str">
        <f>IFERROR(__xludf.DUMMYFUNCTION("""COMPUTED_VALUE"""),"TRSF E-BANKING DB")</f>
        <v>TRSF E-BANKING DB</v>
      </c>
      <c r="C66" s="5" t="str">
        <f>IFERROR(__xludf.DUMMYFUNCTION("""COMPUTED_VALUE"""),"1002/FTSCY/WS95011 183384620.00 probolinggo PITIK DIGITAL INDO")</f>
        <v>1002/FTSCY/WS95011 183384620.00 probolinggo PITIK DIGITAL INDO</v>
      </c>
      <c r="D66" s="3">
        <f>IFERROR(__xludf.DUMMYFUNCTION("""COMPUTED_VALUE"""),1.8338462E8)</f>
        <v>183384620</v>
      </c>
      <c r="E66" s="5"/>
      <c r="F66" s="5" t="str">
        <f>IFERROR(__xludf.DUMMYFUNCTION("""COMPUTED_VALUE"""),"DB")</f>
        <v>DB</v>
      </c>
      <c r="G66" s="3">
        <f>IFERROR(__xludf.DUMMYFUNCTION("""COMPUTED_VALUE"""),6.525160646000004E7)</f>
        <v>65251606.46</v>
      </c>
      <c r="H66" s="5"/>
      <c r="I66" s="5" t="str">
        <f>IFERROR(__xludf.DUMMYFUNCTION("""COMPUTED_VALUE"""),"PRODUKSI")</f>
        <v>PRODUKSI</v>
      </c>
      <c r="J66" s="3"/>
    </row>
    <row r="67">
      <c r="A67" s="9">
        <f>IFERROR(__xludf.DUMMYFUNCTION("""COMPUTED_VALUE"""),46063.0)</f>
        <v>46063</v>
      </c>
      <c r="B67" s="5" t="str">
        <f>IFERROR(__xludf.DUMMYFUNCTION("""COMPUTED_VALUE"""),"TRSF E-BANKING DB")</f>
        <v>TRSF E-BANKING DB</v>
      </c>
      <c r="C67" s="5" t="str">
        <f>IFERROR(__xludf.DUMMYFUNCTION("""COMPUTED_VALUE"""),"1002/FTSCY/WS95271 64750000.00 titip kd prasetyo kedunggalar ngawi AGUNG MITRA SEJAHT")</f>
        <v>1002/FTSCY/WS95271 64750000.00 titip kd prasetyo kedunggalar ngawi AGUNG MITRA SEJAHT</v>
      </c>
      <c r="D67" s="3">
        <f>IFERROR(__xludf.DUMMYFUNCTION("""COMPUTED_VALUE"""),6.475E7)</f>
        <v>64750000</v>
      </c>
      <c r="E67" s="5"/>
      <c r="F67" s="5" t="str">
        <f>IFERROR(__xludf.DUMMYFUNCTION("""COMPUTED_VALUE"""),"DB")</f>
        <v>DB</v>
      </c>
      <c r="G67" s="3">
        <f>IFERROR(__xludf.DUMMYFUNCTION("""COMPUTED_VALUE"""),501606.46000003815)</f>
        <v>501606.46</v>
      </c>
      <c r="H67" s="5"/>
      <c r="I67" s="5" t="str">
        <f>IFERROR(__xludf.DUMMYFUNCTION("""COMPUTED_VALUE"""),"PRODUKSI")</f>
        <v>PRODUKSI</v>
      </c>
      <c r="J67" s="3"/>
    </row>
    <row r="68">
      <c r="A68" s="9">
        <f>IFERROR(__xludf.DUMMYFUNCTION("""COMPUTED_VALUE"""),46063.0)</f>
        <v>46063</v>
      </c>
      <c r="B68" s="5" t="str">
        <f>IFERROR(__xludf.DUMMYFUNCTION("""COMPUTED_VALUE"""),"TRSF E-BANKING DB")</f>
        <v>TRSF E-BANKING DB</v>
      </c>
      <c r="C68" s="5" t="str">
        <f>IFERROR(__xludf.DUMMYFUNCTION("""COMPUTED_VALUE"""),"1002/FTSCY/WS95271 40929200.00 kd busiri pagelara n mlg SUGENG RIADI")</f>
        <v>1002/FTSCY/WS95271 40929200.00 kd busiri pagelara n mlg SUGENG RIADI</v>
      </c>
      <c r="D68" s="3">
        <f>IFERROR(__xludf.DUMMYFUNCTION("""COMPUTED_VALUE"""),4.09292E7)</f>
        <v>40929200</v>
      </c>
      <c r="E68" s="5"/>
      <c r="F68" s="5" t="str">
        <f>IFERROR(__xludf.DUMMYFUNCTION("""COMPUTED_VALUE"""),"DB")</f>
        <v>DB</v>
      </c>
      <c r="G68" s="3">
        <f>IFERROR(__xludf.DUMMYFUNCTION("""COMPUTED_VALUE"""),4.879488646000004E7)</f>
        <v>48794886.46</v>
      </c>
      <c r="H68" s="5"/>
      <c r="I68" s="5" t="str">
        <f>IFERROR(__xludf.DUMMYFUNCTION("""COMPUTED_VALUE"""),"PRODUKSI")</f>
        <v>PRODUKSI</v>
      </c>
      <c r="J68" s="3"/>
    </row>
    <row r="69">
      <c r="A69" s="9">
        <f>IFERROR(__xludf.DUMMYFUNCTION("""COMPUTED_VALUE"""),46063.0)</f>
        <v>46063</v>
      </c>
      <c r="B69" s="5" t="str">
        <f>IFERROR(__xludf.DUMMYFUNCTION("""COMPUTED_VALUE"""),"TRSF E-BANKING DB")</f>
        <v>TRSF E-BANKING DB</v>
      </c>
      <c r="C69" s="5" t="str">
        <f>IFERROR(__xludf.DUMMYFUNCTION("""COMPUTED_VALUE"""),"1002/FTSCY/WS95031 10000000.00 pelunasan SUGENG RIADI")</f>
        <v>1002/FTSCY/WS95031 10000000.00 pelunasan SUGENG RIADI</v>
      </c>
      <c r="D69" s="3">
        <f>IFERROR(__xludf.DUMMYFUNCTION("""COMPUTED_VALUE"""),1.0E7)</f>
        <v>10000000</v>
      </c>
      <c r="E69" s="5"/>
      <c r="F69" s="5" t="str">
        <f>IFERROR(__xludf.DUMMYFUNCTION("""COMPUTED_VALUE"""),"DB")</f>
        <v>DB</v>
      </c>
      <c r="G69" s="3">
        <f>IFERROR(__xludf.DUMMYFUNCTION("""COMPUTED_VALUE"""),2.0044580646000004E8)</f>
        <v>200445806.5</v>
      </c>
      <c r="H69" s="5"/>
      <c r="I69" s="5" t="str">
        <f>IFERROR(__xludf.DUMMYFUNCTION("""COMPUTED_VALUE"""),"PRODUKSI")</f>
        <v>PRODUKSI</v>
      </c>
      <c r="J69" s="3"/>
    </row>
    <row r="70">
      <c r="A70" s="9">
        <f>IFERROR(__xludf.DUMMYFUNCTION("""COMPUTED_VALUE"""),46063.0)</f>
        <v>46063</v>
      </c>
      <c r="B70" s="5" t="str">
        <f>IFERROR(__xludf.DUMMYFUNCTION("""COMPUTED_VALUE"""),"TRSF E-BANKING DB")</f>
        <v>TRSF E-BANKING DB</v>
      </c>
      <c r="C70" s="5" t="str">
        <f>IFERROR(__xludf.DUMMYFUNCTION("""COMPUTED_VALUE"""),"1002/FTSCY/WS95011 54275000.00 kd muchtar blitar BINTANG TAMA SANTO")</f>
        <v>1002/FTSCY/WS95011 54275000.00 kd muchtar blitar BINTANG TAMA SANTO</v>
      </c>
      <c r="D70" s="3">
        <f>IFERROR(__xludf.DUMMYFUNCTION("""COMPUTED_VALUE"""),5.4275E7)</f>
        <v>54275000</v>
      </c>
      <c r="E70" s="5"/>
      <c r="F70" s="5" t="str">
        <f>IFERROR(__xludf.DUMMYFUNCTION("""COMPUTED_VALUE"""),"DB")</f>
        <v>DB</v>
      </c>
      <c r="G70" s="3">
        <f>IFERROR(__xludf.DUMMYFUNCTION("""COMPUTED_VALUE"""),4.7357910646000004E8)</f>
        <v>473579106.5</v>
      </c>
      <c r="H70" s="5"/>
      <c r="I70" s="5" t="str">
        <f>IFERROR(__xludf.DUMMYFUNCTION("""COMPUTED_VALUE"""),"PRODUKSI")</f>
        <v>PRODUKSI</v>
      </c>
      <c r="J70" s="3"/>
    </row>
    <row r="71">
      <c r="A71" s="9">
        <f>IFERROR(__xludf.DUMMYFUNCTION("""COMPUTED_VALUE"""),46063.0)</f>
        <v>46063</v>
      </c>
      <c r="B71" s="5" t="str">
        <f>IFERROR(__xludf.DUMMYFUNCTION("""COMPUTED_VALUE"""),"TRSF E-BANKING DB")</f>
        <v>TRSF E-BANKING DB</v>
      </c>
      <c r="C71" s="5" t="str">
        <f>IFERROR(__xludf.DUMMYFUNCTION("""COMPUTED_VALUE"""),"1002/FTSCY/WS95011 51600000.00 kd. petrus blitar ANUGERAH KARTIKA A")</f>
        <v>1002/FTSCY/WS95011 51600000.00 kd. petrus blitar ANUGERAH KARTIKA A</v>
      </c>
      <c r="D71" s="3">
        <f>IFERROR(__xludf.DUMMYFUNCTION("""COMPUTED_VALUE"""),5.16E7)</f>
        <v>51600000</v>
      </c>
      <c r="E71" s="5"/>
      <c r="F71" s="5" t="str">
        <f>IFERROR(__xludf.DUMMYFUNCTION("""COMPUTED_VALUE"""),"DB")</f>
        <v>DB</v>
      </c>
      <c r="G71" s="3">
        <f>IFERROR(__xludf.DUMMYFUNCTION("""COMPUTED_VALUE"""),4.2197910646000004E8)</f>
        <v>421979106.5</v>
      </c>
      <c r="H71" s="5"/>
      <c r="I71" s="5" t="str">
        <f>IFERROR(__xludf.DUMMYFUNCTION("""COMPUTED_VALUE"""),"PRODUKSI")</f>
        <v>PRODUKSI</v>
      </c>
      <c r="J71" s="3"/>
    </row>
    <row r="72">
      <c r="A72" s="9">
        <f>IFERROR(__xludf.DUMMYFUNCTION("""COMPUTED_VALUE"""),46063.0)</f>
        <v>46063</v>
      </c>
      <c r="B72" s="5" t="str">
        <f>IFERROR(__xludf.DUMMYFUNCTION("""COMPUTED_VALUE"""),"TRSF E-BANKING DB")</f>
        <v>TRSF E-BANKING DB</v>
      </c>
      <c r="C72" s="5" t="str">
        <f>IFERROR(__xludf.DUMMYFUNCTION("""COMPUTED_VALUE"""),"1002/FTSCY/WS95011 47120500.00 kd galuh t.agung ANUGERAH KARTIKA A")</f>
        <v>1002/FTSCY/WS95011 47120500.00 kd galuh t.agung ANUGERAH KARTIKA A</v>
      </c>
      <c r="D72" s="3">
        <f>IFERROR(__xludf.DUMMYFUNCTION("""COMPUTED_VALUE"""),4.71205E7)</f>
        <v>47120500</v>
      </c>
      <c r="E72" s="5"/>
      <c r="F72" s="5" t="str">
        <f>IFERROR(__xludf.DUMMYFUNCTION("""COMPUTED_VALUE"""),"DB")</f>
        <v>DB</v>
      </c>
      <c r="G72" s="3">
        <f>IFERROR(__xludf.DUMMYFUNCTION("""COMPUTED_VALUE"""),3.7485860646000004E8)</f>
        <v>374858606.5</v>
      </c>
      <c r="H72" s="5"/>
      <c r="I72" s="5" t="str">
        <f>IFERROR(__xludf.DUMMYFUNCTION("""COMPUTED_VALUE"""),"PRODUKSI")</f>
        <v>PRODUKSI</v>
      </c>
      <c r="J72" s="3"/>
    </row>
    <row r="73">
      <c r="A73" s="9">
        <f>IFERROR(__xludf.DUMMYFUNCTION("""COMPUTED_VALUE"""),46063.0)</f>
        <v>46063</v>
      </c>
      <c r="B73" s="5" t="str">
        <f>IFERROR(__xludf.DUMMYFUNCTION("""COMPUTED_VALUE"""),"TRSF E-BANKING DB")</f>
        <v>TRSF E-BANKING DB</v>
      </c>
      <c r="C73" s="5" t="str">
        <f>IFERROR(__xludf.DUMMYFUNCTION("""COMPUTED_VALUE"""),"1002/FTSCY/WS95011 145000000.00 probolinggo PITIK DIGITAL INDO")</f>
        <v>1002/FTSCY/WS95011 145000000.00 probolinggo PITIK DIGITAL INDO</v>
      </c>
      <c r="D73" s="3">
        <f>IFERROR(__xludf.DUMMYFUNCTION("""COMPUTED_VALUE"""),1.45E8)</f>
        <v>145000000</v>
      </c>
      <c r="E73" s="5"/>
      <c r="F73" s="5" t="str">
        <f>IFERROR(__xludf.DUMMYFUNCTION("""COMPUTED_VALUE"""),"DB")</f>
        <v>DB</v>
      </c>
      <c r="G73" s="3">
        <f>IFERROR(__xludf.DUMMYFUNCTION("""COMPUTED_VALUE"""),2.2985860646000004E8)</f>
        <v>229858606.5</v>
      </c>
      <c r="H73" s="5" t="str">
        <f>IFERROR(__xludf.DUMMYFUNCTION("""COMPUTED_VALUE"""),"229,858,606.46")</f>
        <v>229,858,606.46</v>
      </c>
      <c r="I73" s="5" t="str">
        <f>IFERROR(__xludf.DUMMYFUNCTION("""COMPUTED_VALUE"""),"PRODUKSI")</f>
        <v>PRODUKSI</v>
      </c>
      <c r="J73" s="3"/>
    </row>
    <row r="74">
      <c r="A74" s="9">
        <f>IFERROR(__xludf.DUMMYFUNCTION("""COMPUTED_VALUE"""),46064.0)</f>
        <v>46064</v>
      </c>
      <c r="B74" s="5" t="str">
        <f>IFERROR(__xludf.DUMMYFUNCTION("""COMPUTED_VALUE"""),"TRSF E-BANKING DB")</f>
        <v>TRSF E-BANKING DB</v>
      </c>
      <c r="C74" s="5" t="str">
        <f>IFERROR(__xludf.DUMMYFUNCTION("""COMPUTED_VALUE"""),"1102/FTSCY/WS95031 50000000.00 titip BRANTAS ABADI SENT")</f>
        <v>1102/FTSCY/WS95031 50000000.00 titip BRANTAS ABADI SENT</v>
      </c>
      <c r="D74" s="3">
        <f>IFERROR(__xludf.DUMMYFUNCTION("""COMPUTED_VALUE"""),5.0E7)</f>
        <v>50000000</v>
      </c>
      <c r="E74" s="5"/>
      <c r="F74" s="5" t="str">
        <f>IFERROR(__xludf.DUMMYFUNCTION("""COMPUTED_VALUE"""),"DB")</f>
        <v>DB</v>
      </c>
      <c r="G74" s="3">
        <f>IFERROR(__xludf.DUMMYFUNCTION("""COMPUTED_VALUE"""),2.3362662646000004E8)</f>
        <v>233626626.5</v>
      </c>
      <c r="H74" s="5"/>
      <c r="I74" s="5" t="str">
        <f>IFERROR(__xludf.DUMMYFUNCTION("""COMPUTED_VALUE"""),"PRODUKSI")</f>
        <v>PRODUKSI</v>
      </c>
      <c r="J74" s="3"/>
    </row>
    <row r="75">
      <c r="A75" s="9">
        <f>IFERROR(__xludf.DUMMYFUNCTION("""COMPUTED_VALUE"""),46064.0)</f>
        <v>46064</v>
      </c>
      <c r="B75" s="5" t="str">
        <f>IFERROR(__xludf.DUMMYFUNCTION("""COMPUTED_VALUE"""),"TRSF E-BANKING DB")</f>
        <v>TRSF E-BANKING DB</v>
      </c>
      <c r="C75" s="5" t="str">
        <f>IFERROR(__xludf.DUMMYFUNCTION("""COMPUTED_VALUE"""),"1102/FTSCY/WS95271 52146500.00 kd sukarmi magetan RUKUN MITRA BERSAM")</f>
        <v>1102/FTSCY/WS95271 52146500.00 kd sukarmi magetan RUKUN MITRA BERSAM</v>
      </c>
      <c r="D75" s="3">
        <f>IFERROR(__xludf.DUMMYFUNCTION("""COMPUTED_VALUE"""),5.21465E7)</f>
        <v>52146500</v>
      </c>
      <c r="E75" s="5"/>
      <c r="F75" s="5" t="str">
        <f>IFERROR(__xludf.DUMMYFUNCTION("""COMPUTED_VALUE"""),"DB")</f>
        <v>DB</v>
      </c>
      <c r="G75" s="3">
        <f>IFERROR(__xludf.DUMMYFUNCTION("""COMPUTED_VALUE"""),1.8148012646000004E8)</f>
        <v>181480126.5</v>
      </c>
      <c r="H75" s="5"/>
      <c r="I75" s="5" t="str">
        <f>IFERROR(__xludf.DUMMYFUNCTION("""COMPUTED_VALUE"""),"PRODUKSI")</f>
        <v>PRODUKSI</v>
      </c>
      <c r="J75" s="3"/>
    </row>
    <row r="76">
      <c r="A76" s="9">
        <f>IFERROR(__xludf.DUMMYFUNCTION("""COMPUTED_VALUE"""),46064.0)</f>
        <v>46064</v>
      </c>
      <c r="B76" s="5" t="str">
        <f>IFERROR(__xludf.DUMMYFUNCTION("""COMPUTED_VALUE"""),"TRSF E-BANKING DB")</f>
        <v>TRSF E-BANKING DB</v>
      </c>
      <c r="C76" s="5" t="str">
        <f>IFERROR(__xludf.DUMMYFUNCTION("""COMPUTED_VALUE"""),"1102/FTSCY/WS95271 101746700.00 malang PITIK DIGITAL INDO")</f>
        <v>1102/FTSCY/WS95271 101746700.00 malang PITIK DIGITAL INDO</v>
      </c>
      <c r="D76" s="3">
        <f>IFERROR(__xludf.DUMMYFUNCTION("""COMPUTED_VALUE"""),1.017467E8)</f>
        <v>101746700</v>
      </c>
      <c r="E76" s="5"/>
      <c r="F76" s="5" t="str">
        <f>IFERROR(__xludf.DUMMYFUNCTION("""COMPUTED_VALUE"""),"DB")</f>
        <v>DB</v>
      </c>
      <c r="G76" s="3">
        <f>IFERROR(__xludf.DUMMYFUNCTION("""COMPUTED_VALUE"""),7.973342646000004E7)</f>
        <v>79733426.46</v>
      </c>
      <c r="H76" s="5"/>
      <c r="I76" s="5" t="str">
        <f>IFERROR(__xludf.DUMMYFUNCTION("""COMPUTED_VALUE"""),"PRODUKSI")</f>
        <v>PRODUKSI</v>
      </c>
      <c r="J76" s="3"/>
    </row>
    <row r="77">
      <c r="A77" s="9">
        <f>IFERROR(__xludf.DUMMYFUNCTION("""COMPUTED_VALUE"""),46064.0)</f>
        <v>46064</v>
      </c>
      <c r="B77" s="5" t="str">
        <f>IFERROR(__xludf.DUMMYFUNCTION("""COMPUTED_VALUE"""),"TRSF E-BANKING DB")</f>
        <v>TRSF E-BANKING DB</v>
      </c>
      <c r="C77" s="5" t="str">
        <f>IFERROR(__xludf.DUMMYFUNCTION("""COMPUTED_VALUE"""),"1102/FTSCY/WS95271 64750000.00 Sun Feb 08 2026 15:00:00 GMT+0700 (Western Indonesia Time) BROILER MAKMUR TAN")</f>
        <v>1102/FTSCY/WS95271 64750000.00 Sun Feb 08 2026 15:00:00 GMT+0700 (Western Indonesia Time) BROILER MAKMUR TAN</v>
      </c>
      <c r="D77" s="3">
        <f>IFERROR(__xludf.DUMMYFUNCTION("""COMPUTED_VALUE"""),6.475E7)</f>
        <v>64750000</v>
      </c>
      <c r="E77" s="5"/>
      <c r="F77" s="5" t="str">
        <f>IFERROR(__xludf.DUMMYFUNCTION("""COMPUTED_VALUE"""),"DB")</f>
        <v>DB</v>
      </c>
      <c r="G77" s="3">
        <f>IFERROR(__xludf.DUMMYFUNCTION("""COMPUTED_VALUE"""),1.4983426460000038E7)</f>
        <v>14983426.46</v>
      </c>
      <c r="H77" s="5"/>
      <c r="I77" s="5" t="str">
        <f>IFERROR(__xludf.DUMMYFUNCTION("""COMPUTED_VALUE"""),"PRODUKSI")</f>
        <v>PRODUKSI</v>
      </c>
      <c r="J77" s="3"/>
    </row>
    <row r="78">
      <c r="A78" s="9">
        <f>IFERROR(__xludf.DUMMYFUNCTION("""COMPUTED_VALUE"""),46064.0)</f>
        <v>46064</v>
      </c>
      <c r="B78" s="5" t="str">
        <f>IFERROR(__xludf.DUMMYFUNCTION("""COMPUTED_VALUE"""),"TRSF E-BANKING DB")</f>
        <v>TRSF E-BANKING DB</v>
      </c>
      <c r="C78" s="5" t="str">
        <f>IFERROR(__xludf.DUMMYFUNCTION("""COMPUTED_VALUE"""),"1102/FTSCY/WS95271 59160000.00 kd ageng t. agung BINTANG TAMA SANTO")</f>
        <v>1102/FTSCY/WS95271 59160000.00 kd ageng t. agung BINTANG TAMA SANTO</v>
      </c>
      <c r="D78" s="3">
        <f>IFERROR(__xludf.DUMMYFUNCTION("""COMPUTED_VALUE"""),5.916E7)</f>
        <v>59160000</v>
      </c>
      <c r="E78" s="5"/>
      <c r="F78" s="5" t="str">
        <f>IFERROR(__xludf.DUMMYFUNCTION("""COMPUTED_VALUE"""),"DB")</f>
        <v>DB</v>
      </c>
      <c r="G78" s="3">
        <f>IFERROR(__xludf.DUMMYFUNCTION("""COMPUTED_VALUE"""),5.1921550146000004E8)</f>
        <v>519215501.5</v>
      </c>
      <c r="H78" s="5" t="str">
        <f>IFERROR(__xludf.DUMMYFUNCTION("""COMPUTED_VALUE"""),"519,215,501.46")</f>
        <v>519,215,501.46</v>
      </c>
      <c r="I78" s="5" t="str">
        <f>IFERROR(__xludf.DUMMYFUNCTION("""COMPUTED_VALUE"""),"PRODUKSI")</f>
        <v>PRODUKSI</v>
      </c>
      <c r="J78" s="3"/>
    </row>
    <row r="79">
      <c r="A79" s="9">
        <f>IFERROR(__xludf.DUMMYFUNCTION("""COMPUTED_VALUE"""),46064.0)</f>
        <v>46064</v>
      </c>
      <c r="B79" s="5" t="str">
        <f>IFERROR(__xludf.DUMMYFUNCTION("""COMPUTED_VALUE"""),"TRSF E-BANKING DB")</f>
        <v>TRSF E-BANKING DB</v>
      </c>
      <c r="C79" s="5" t="str">
        <f>IFERROR(__xludf.DUMMYFUNCTION("""COMPUTED_VALUE"""),"1102/FTSCY/WS95011 178347300.00 Sun Feb 08 2026 15:00:00 GMT+0700 (Western Indonesia Time) BRANTAS ABADI SENT")</f>
        <v>1102/FTSCY/WS95011 178347300.00 Sun Feb 08 2026 15:00:00 GMT+0700 (Western Indonesia Time) BRANTAS ABADI SENT</v>
      </c>
      <c r="D79" s="3">
        <f>IFERROR(__xludf.DUMMYFUNCTION("""COMPUTED_VALUE"""),1.783473E8)</f>
        <v>178347300</v>
      </c>
      <c r="E79" s="5"/>
      <c r="F79" s="5" t="str">
        <f>IFERROR(__xludf.DUMMYFUNCTION("""COMPUTED_VALUE"""),"DB")</f>
        <v>DB</v>
      </c>
      <c r="G79" s="3">
        <f>IFERROR(__xludf.DUMMYFUNCTION("""COMPUTED_VALUE"""),3.4086820146000004E8)</f>
        <v>340868201.5</v>
      </c>
      <c r="H79" s="5" t="str">
        <f>IFERROR(__xludf.DUMMYFUNCTION("""COMPUTED_VALUE"""),"340,868,201.46")</f>
        <v>340,868,201.46</v>
      </c>
      <c r="I79" s="5" t="str">
        <f>IFERROR(__xludf.DUMMYFUNCTION("""COMPUTED_VALUE"""),"PRODUKSI")</f>
        <v>PRODUKSI</v>
      </c>
      <c r="J79" s="3"/>
    </row>
    <row r="80">
      <c r="A80" s="9">
        <f>IFERROR(__xludf.DUMMYFUNCTION("""COMPUTED_VALUE"""),46064.0)</f>
        <v>46064</v>
      </c>
      <c r="B80" s="5" t="str">
        <f>IFERROR(__xludf.DUMMYFUNCTION("""COMPUTED_VALUE"""),"TRSF E-BANKING DB")</f>
        <v>TRSF E-BANKING DB</v>
      </c>
      <c r="C80" s="5" t="str">
        <f>IFERROR(__xludf.DUMMYFUNCTION("""COMPUTED_VALUE"""),"1102/FTSCY/WS95011 127594600.00 Mon Feb 09 2026 15:00:00 GMT+0700 (Western Indonesia Time) BROILER MAKMUR TAN")</f>
        <v>1102/FTSCY/WS95011 127594600.00 Mon Feb 09 2026 15:00:00 GMT+0700 (Western Indonesia Time) BROILER MAKMUR TAN</v>
      </c>
      <c r="D80" s="3">
        <f>IFERROR(__xludf.DUMMYFUNCTION("""COMPUTED_VALUE"""),1.275946E8)</f>
        <v>127594600</v>
      </c>
      <c r="E80" s="5"/>
      <c r="F80" s="5" t="str">
        <f>IFERROR(__xludf.DUMMYFUNCTION("""COMPUTED_VALUE"""),"DB")</f>
        <v>DB</v>
      </c>
      <c r="G80" s="3">
        <f>IFERROR(__xludf.DUMMYFUNCTION("""COMPUTED_VALUE"""),3.2245605146000004E8)</f>
        <v>322456051.5</v>
      </c>
      <c r="H80" s="5"/>
      <c r="I80" s="5" t="str">
        <f>IFERROR(__xludf.DUMMYFUNCTION("""COMPUTED_VALUE"""),"PRODUKSI")</f>
        <v>PRODUKSI</v>
      </c>
      <c r="J80" s="3"/>
    </row>
    <row r="81">
      <c r="A81" s="9">
        <f>IFERROR(__xludf.DUMMYFUNCTION("""COMPUTED_VALUE"""),46064.0)</f>
        <v>46064</v>
      </c>
      <c r="B81" s="5" t="str">
        <f>IFERROR(__xludf.DUMMYFUNCTION("""COMPUTED_VALUE"""),"TRSF E-BANKING DB")</f>
        <v>TRSF E-BANKING DB</v>
      </c>
      <c r="C81" s="5" t="str">
        <f>IFERROR(__xludf.DUMMYFUNCTION("""COMPUTED_VALUE"""),"1102/FTSCY/WS95011 121499000.00 kd. zaenal sragen RUKUN MITRA BERSAM")</f>
        <v>1102/FTSCY/WS95011 121499000.00 kd. zaenal sragen RUKUN MITRA BERSAM</v>
      </c>
      <c r="D81" s="3">
        <f>IFERROR(__xludf.DUMMYFUNCTION("""COMPUTED_VALUE"""),1.21499E8)</f>
        <v>121499000</v>
      </c>
      <c r="E81" s="5"/>
      <c r="F81" s="5" t="str">
        <f>IFERROR(__xludf.DUMMYFUNCTION("""COMPUTED_VALUE"""),"DB")</f>
        <v>DB</v>
      </c>
      <c r="G81" s="3">
        <f>IFERROR(__xludf.DUMMYFUNCTION("""COMPUTED_VALUE"""),2.0095705146000004E8)</f>
        <v>200957051.5</v>
      </c>
      <c r="H81" s="5"/>
      <c r="I81" s="5" t="str">
        <f>IFERROR(__xludf.DUMMYFUNCTION("""COMPUTED_VALUE"""),"PRODUKSI")</f>
        <v>PRODUKSI</v>
      </c>
      <c r="J81" s="3"/>
    </row>
    <row r="82">
      <c r="A82" s="9">
        <f>IFERROR(__xludf.DUMMYFUNCTION("""COMPUTED_VALUE"""),46064.0)</f>
        <v>46064</v>
      </c>
      <c r="B82" s="5" t="str">
        <f>IFERROR(__xludf.DUMMYFUNCTION("""COMPUTED_VALUE"""),"TRSF E-BANKING DB")</f>
        <v>TRSF E-BANKING DB</v>
      </c>
      <c r="C82" s="5" t="str">
        <f>IFERROR(__xludf.DUMMYFUNCTION("""COMPUTED_VALUE"""),"1102/FTSCY/WS95011 50100000.00 kd ikhsan kaliori rembang TUMBUH OPTIMAL PRI")</f>
        <v>1102/FTSCY/WS95011 50100000.00 kd ikhsan kaliori rembang TUMBUH OPTIMAL PRI</v>
      </c>
      <c r="D82" s="3">
        <f>IFERROR(__xludf.DUMMYFUNCTION("""COMPUTED_VALUE"""),5.01E7)</f>
        <v>50100000</v>
      </c>
      <c r="E82" s="5"/>
      <c r="F82" s="5" t="str">
        <f>IFERROR(__xludf.DUMMYFUNCTION("""COMPUTED_VALUE"""),"DB")</f>
        <v>DB</v>
      </c>
      <c r="G82" s="3">
        <f>IFERROR(__xludf.DUMMYFUNCTION("""COMPUTED_VALUE"""),1.5085705146000004E8)</f>
        <v>150857051.5</v>
      </c>
      <c r="H82" s="5"/>
      <c r="I82" s="5" t="str">
        <f>IFERROR(__xludf.DUMMYFUNCTION("""COMPUTED_VALUE"""),"PRODUKSI")</f>
        <v>PRODUKSI</v>
      </c>
      <c r="J82" s="3"/>
    </row>
    <row r="83">
      <c r="A83" s="9">
        <f>IFERROR(__xludf.DUMMYFUNCTION("""COMPUTED_VALUE"""),46065.0)</f>
        <v>46065</v>
      </c>
      <c r="B83" s="5" t="str">
        <f>IFERROR(__xludf.DUMMYFUNCTION("""COMPUTED_VALUE"""),"TRSF E-BANKING DB")</f>
        <v>TRSF E-BANKING DB</v>
      </c>
      <c r="C83" s="5" t="str">
        <f>IFERROR(__xludf.DUMMYFUNCTION("""COMPUTED_VALUE"""),"1202/FTSCY/WS95031 56925000.00 Tue Feb 10 2026 15:00:00 GMT+0700 (Western Indonesia Time) GANESHA SATRIA NUS")</f>
        <v>1202/FTSCY/WS95031 56925000.00 Tue Feb 10 2026 15:00:00 GMT+0700 (Western Indonesia Time) GANESHA SATRIA NUS</v>
      </c>
      <c r="D83" s="3">
        <f>IFERROR(__xludf.DUMMYFUNCTION("""COMPUTED_VALUE"""),5.6925E7)</f>
        <v>56925000</v>
      </c>
      <c r="E83" s="5"/>
      <c r="F83" s="5" t="str">
        <f>IFERROR(__xludf.DUMMYFUNCTION("""COMPUTED_VALUE"""),"DB")</f>
        <v>DB</v>
      </c>
      <c r="G83" s="3">
        <f>IFERROR(__xludf.DUMMYFUNCTION("""COMPUTED_VALUE"""),1.4653205146000004E8)</f>
        <v>146532051.5</v>
      </c>
      <c r="H83" s="5"/>
      <c r="I83" s="5" t="str">
        <f>IFERROR(__xludf.DUMMYFUNCTION("""COMPUTED_VALUE"""),"PRODUKSI")</f>
        <v>PRODUKSI</v>
      </c>
      <c r="J83" s="3"/>
    </row>
    <row r="84">
      <c r="A84" s="9">
        <f>IFERROR(__xludf.DUMMYFUNCTION("""COMPUTED_VALUE"""),46065.0)</f>
        <v>46065</v>
      </c>
      <c r="B84" s="5" t="str">
        <f>IFERROR(__xludf.DUMMYFUNCTION("""COMPUTED_VALUE"""),"TRSF E-BANKING DB")</f>
        <v>TRSF E-BANKING DB</v>
      </c>
      <c r="C84" s="5" t="str">
        <f>IFERROR(__xludf.DUMMYFUNCTION("""COMPUTED_VALUE"""),"1202/FTSCY/WS95271 76586160.00 probolinggo PITIK DIGITAL INDO")</f>
        <v>1202/FTSCY/WS95271 76586160.00 probolinggo PITIK DIGITAL INDO</v>
      </c>
      <c r="D84" s="3">
        <f>IFERROR(__xludf.DUMMYFUNCTION("""COMPUTED_VALUE"""),7.658616E7)</f>
        <v>76586160</v>
      </c>
      <c r="E84" s="5"/>
      <c r="F84" s="5" t="str">
        <f>IFERROR(__xludf.DUMMYFUNCTION("""COMPUTED_VALUE"""),"DB")</f>
        <v>DB</v>
      </c>
      <c r="G84" s="3">
        <f>IFERROR(__xludf.DUMMYFUNCTION("""COMPUTED_VALUE"""),6.994589146000004E7)</f>
        <v>69945891.46</v>
      </c>
      <c r="H84" s="5"/>
      <c r="I84" s="5" t="str">
        <f>IFERROR(__xludf.DUMMYFUNCTION("""COMPUTED_VALUE"""),"PRODUKSI")</f>
        <v>PRODUKSI</v>
      </c>
      <c r="J84" s="3"/>
    </row>
    <row r="85">
      <c r="A85" s="9">
        <f>IFERROR(__xludf.DUMMYFUNCTION("""COMPUTED_VALUE"""),46066.0)</f>
        <v>46066</v>
      </c>
      <c r="B85" s="5" t="str">
        <f>IFERROR(__xludf.DUMMYFUNCTION("""COMPUTED_VALUE"""),"TRSF E-BANKING DB")</f>
        <v>TRSF E-BANKING DB</v>
      </c>
      <c r="C85" s="5" t="str">
        <f>IFERROR(__xludf.DUMMYFUNCTION("""COMPUTED_VALUE"""),"1302/FTSCY/WS95271 102000000.00 Mon Feb 09 2026 15:00:00 GMT+0700 (Western Indonesia Time) SUPER UNGGAS JAYA")</f>
        <v>1302/FTSCY/WS95271 102000000.00 Mon Feb 09 2026 15:00:00 GMT+0700 (Western Indonesia Time) SUPER UNGGAS JAYA</v>
      </c>
      <c r="D85" s="3">
        <f>IFERROR(__xludf.DUMMYFUNCTION("""COMPUTED_VALUE"""),1.02E8)</f>
        <v>102000000</v>
      </c>
      <c r="E85" s="5"/>
      <c r="F85" s="5" t="str">
        <f>IFERROR(__xludf.DUMMYFUNCTION("""COMPUTED_VALUE"""),"DB")</f>
        <v>DB</v>
      </c>
      <c r="G85" s="3">
        <f>IFERROR(__xludf.DUMMYFUNCTION("""COMPUTED_VALUE"""),2.9650736146000004E8)</f>
        <v>296507361.5</v>
      </c>
      <c r="H85" s="5"/>
      <c r="I85" s="5" t="str">
        <f>IFERROR(__xludf.DUMMYFUNCTION("""COMPUTED_VALUE"""),"PRODUKSI")</f>
        <v>PRODUKSI</v>
      </c>
      <c r="J85" s="3"/>
    </row>
    <row r="86">
      <c r="A86" s="9">
        <f>IFERROR(__xludf.DUMMYFUNCTION("""COMPUTED_VALUE"""),46066.0)</f>
        <v>46066</v>
      </c>
      <c r="B86" s="5" t="str">
        <f>IFERROR(__xludf.DUMMYFUNCTION("""COMPUTED_VALUE"""),"TRSF E-BANKING DB")</f>
        <v>TRSF E-BANKING DB</v>
      </c>
      <c r="C86" s="5" t="str">
        <f>IFERROR(__xludf.DUMMYFUNCTION("""COMPUTED_VALUE"""),"1302/FTSCY/WS95031 60726210.00 kd invano magetan ANUGERAH KARTIKA A")</f>
        <v>1302/FTSCY/WS95031 60726210.00 kd invano magetan ANUGERAH KARTIKA A</v>
      </c>
      <c r="D86" s="3">
        <f>IFERROR(__xludf.DUMMYFUNCTION("""COMPUTED_VALUE"""),6.072621E7)</f>
        <v>60726210</v>
      </c>
      <c r="E86" s="5"/>
      <c r="F86" s="5" t="str">
        <f>IFERROR(__xludf.DUMMYFUNCTION("""COMPUTED_VALUE"""),"DB")</f>
        <v>DB</v>
      </c>
      <c r="G86" s="3">
        <f>IFERROR(__xludf.DUMMYFUNCTION("""COMPUTED_VALUE"""),2.3578115146000004E8)</f>
        <v>235781151.5</v>
      </c>
      <c r="H86" s="5"/>
      <c r="I86" s="5" t="str">
        <f>IFERROR(__xludf.DUMMYFUNCTION("""COMPUTED_VALUE"""),"PRODUKSI")</f>
        <v>PRODUKSI</v>
      </c>
      <c r="J86" s="3"/>
    </row>
    <row r="87">
      <c r="A87" s="9">
        <f>IFERROR(__xludf.DUMMYFUNCTION("""COMPUTED_VALUE"""),46066.0)</f>
        <v>46066</v>
      </c>
      <c r="B87" s="5" t="str">
        <f>IFERROR(__xludf.DUMMYFUNCTION("""COMPUTED_VALUE"""),"TRSF E-BANKING DB")</f>
        <v>TRSF E-BANKING DB</v>
      </c>
      <c r="C87" s="5" t="str">
        <f>IFERROR(__xludf.DUMMYFUNCTION("""COMPUTED_VALUE"""),"1302/FTSCY/WS95271 49920000.00 Tue Feb 10 2026 15:00:00 GMT+0700 (Western Indonesia Time) ANUGERAH KARTIKA A")</f>
        <v>1302/FTSCY/WS95271 49920000.00 Tue Feb 10 2026 15:00:00 GMT+0700 (Western Indonesia Time) ANUGERAH KARTIKA A</v>
      </c>
      <c r="D87" s="3">
        <f>IFERROR(__xludf.DUMMYFUNCTION("""COMPUTED_VALUE"""),4.992E7)</f>
        <v>49920000</v>
      </c>
      <c r="E87" s="5"/>
      <c r="F87" s="5" t="str">
        <f>IFERROR(__xludf.DUMMYFUNCTION("""COMPUTED_VALUE"""),"DB")</f>
        <v>DB</v>
      </c>
      <c r="G87" s="3">
        <f>IFERROR(__xludf.DUMMYFUNCTION("""COMPUTED_VALUE"""),1.8586115146000004E8)</f>
        <v>185861151.5</v>
      </c>
      <c r="H87" s="5"/>
      <c r="I87" s="5" t="str">
        <f>IFERROR(__xludf.DUMMYFUNCTION("""COMPUTED_VALUE"""),"PRODUKSI")</f>
        <v>PRODUKSI</v>
      </c>
      <c r="J87" s="3"/>
    </row>
    <row r="88">
      <c r="A88" s="9">
        <f>IFERROR(__xludf.DUMMYFUNCTION("""COMPUTED_VALUE"""),46066.0)</f>
        <v>46066</v>
      </c>
      <c r="B88" s="5" t="str">
        <f>IFERROR(__xludf.DUMMYFUNCTION("""COMPUTED_VALUE"""),"TRSF E-BANKING DB")</f>
        <v>TRSF E-BANKING DB</v>
      </c>
      <c r="C88" s="5" t="str">
        <f>IFERROR(__xludf.DUMMYFUNCTION("""COMPUTED_VALUE"""),"1302/FTSCY/WS95271 50241200.00 Mon Feb 09 2026 15:00:00 GMT+0700 (Western Indonesia Time) ANUGERAH KARTIKA A")</f>
        <v>1302/FTSCY/WS95271 50241200.00 Mon Feb 09 2026 15:00:00 GMT+0700 (Western Indonesia Time) ANUGERAH KARTIKA A</v>
      </c>
      <c r="D88" s="3">
        <f>IFERROR(__xludf.DUMMYFUNCTION("""COMPUTED_VALUE"""),5.02412E7)</f>
        <v>50241200</v>
      </c>
      <c r="E88" s="5"/>
      <c r="F88" s="5" t="str">
        <f>IFERROR(__xludf.DUMMYFUNCTION("""COMPUTED_VALUE"""),"DB")</f>
        <v>DB</v>
      </c>
      <c r="G88" s="3">
        <f>IFERROR(__xludf.DUMMYFUNCTION("""COMPUTED_VALUE"""),1.3561995146000004E8)</f>
        <v>135619951.5</v>
      </c>
      <c r="H88" s="5"/>
      <c r="I88" s="5" t="str">
        <f>IFERROR(__xludf.DUMMYFUNCTION("""COMPUTED_VALUE"""),"PRODUKSI")</f>
        <v>PRODUKSI</v>
      </c>
      <c r="J88" s="3"/>
    </row>
    <row r="89">
      <c r="A89" s="9">
        <f>IFERROR(__xludf.DUMMYFUNCTION("""COMPUTED_VALUE"""),46066.0)</f>
        <v>46066</v>
      </c>
      <c r="B89" s="5" t="str">
        <f>IFERROR(__xludf.DUMMYFUNCTION("""COMPUTED_VALUE"""),"TRSF E-BANKING DB")</f>
        <v>TRSF E-BANKING DB</v>
      </c>
      <c r="C89" s="5" t="str">
        <f>IFERROR(__xludf.DUMMYFUNCTION("""COMPUTED_VALUE"""),"1302/FTSCY/WS95271 92747400.00 Tue Feb 10 2026 15:00:00 GMT+0700 (Western Indonesia Time) ANDALAN YASA MITRA")</f>
        <v>1302/FTSCY/WS95271 92747400.00 Tue Feb 10 2026 15:00:00 GMT+0700 (Western Indonesia Time) ANDALAN YASA MITRA</v>
      </c>
      <c r="D89" s="3">
        <f>IFERROR(__xludf.DUMMYFUNCTION("""COMPUTED_VALUE"""),9.27474E7)</f>
        <v>92747400</v>
      </c>
      <c r="E89" s="5"/>
      <c r="F89" s="5" t="str">
        <f>IFERROR(__xludf.DUMMYFUNCTION("""COMPUTED_VALUE"""),"DB")</f>
        <v>DB</v>
      </c>
      <c r="G89" s="3">
        <f>IFERROR(__xludf.DUMMYFUNCTION("""COMPUTED_VALUE"""),4.287255146000004E7)</f>
        <v>42872551.46</v>
      </c>
      <c r="H89" s="5"/>
      <c r="I89" s="5" t="str">
        <f>IFERROR(__xludf.DUMMYFUNCTION("""COMPUTED_VALUE"""),"PRODUKSI")</f>
        <v>PRODUKSI</v>
      </c>
      <c r="J89" s="3"/>
    </row>
    <row r="90">
      <c r="A90" s="9">
        <f>IFERROR(__xludf.DUMMYFUNCTION("""COMPUTED_VALUE"""),46066.0)</f>
        <v>46066</v>
      </c>
      <c r="B90" s="5" t="str">
        <f>IFERROR(__xludf.DUMMYFUNCTION("""COMPUTED_VALUE"""),"TRSF E-BANKING DB")</f>
        <v>TRSF E-BANKING DB</v>
      </c>
      <c r="C90" s="5" t="str">
        <f>IFERROR(__xludf.DUMMYFUNCTION("""COMPUTED_VALUE"""),"1302/FTSCY/WS95031 10000000.00 pelunasan ANDALAN YASA MITRA")</f>
        <v>1302/FTSCY/WS95031 10000000.00 pelunasan ANDALAN YASA MITRA</v>
      </c>
      <c r="D90" s="3">
        <f>IFERROR(__xludf.DUMMYFUNCTION("""COMPUTED_VALUE"""),1.0E7)</f>
        <v>10000000</v>
      </c>
      <c r="E90" s="5"/>
      <c r="F90" s="5" t="str">
        <f>IFERROR(__xludf.DUMMYFUNCTION("""COMPUTED_VALUE"""),"DB")</f>
        <v>DB</v>
      </c>
      <c r="G90" s="3">
        <f>IFERROR(__xludf.DUMMYFUNCTION("""COMPUTED_VALUE"""),3.287255146000004E7)</f>
        <v>32872551.46</v>
      </c>
      <c r="H90" s="5"/>
      <c r="I90" s="5" t="str">
        <f>IFERROR(__xludf.DUMMYFUNCTION("""COMPUTED_VALUE"""),"PRODUKSI")</f>
        <v>PRODUKSI</v>
      </c>
      <c r="J90" s="3"/>
    </row>
    <row r="91">
      <c r="A91" s="9">
        <f>IFERROR(__xludf.DUMMYFUNCTION("""COMPUTED_VALUE"""),46066.0)</f>
        <v>46066</v>
      </c>
      <c r="B91" s="5" t="str">
        <f>IFERROR(__xludf.DUMMYFUNCTION("""COMPUTED_VALUE"""),"TRSF E-BANKING DB")</f>
        <v>TRSF E-BANKING DB</v>
      </c>
      <c r="C91" s="5" t="str">
        <f>IFERROR(__xludf.DUMMYFUNCTION("""COMPUTED_VALUE"""),"1302/FTSCY/WS95011 98076600.00 Tue Feb 10 2026 15:00:00 GMT+0700 (Western Indonesia Time) SUPER UNGGAS JAYA")</f>
        <v>1302/FTSCY/WS95011 98076600.00 Tue Feb 10 2026 15:00:00 GMT+0700 (Western Indonesia Time) SUPER UNGGAS JAYA</v>
      </c>
      <c r="D91" s="3">
        <f>IFERROR(__xludf.DUMMYFUNCTION("""COMPUTED_VALUE"""),9.80766E7)</f>
        <v>98076600</v>
      </c>
      <c r="E91" s="5"/>
      <c r="F91" s="5" t="str">
        <f>IFERROR(__xludf.DUMMYFUNCTION("""COMPUTED_VALUE"""),"DB")</f>
        <v>DB</v>
      </c>
      <c r="G91" s="3">
        <f>IFERROR(__xludf.DUMMYFUNCTION("""COMPUTED_VALUE"""),2.1536095146000004E8)</f>
        <v>215360951.5</v>
      </c>
      <c r="H91" s="5"/>
      <c r="I91" s="5" t="str">
        <f>IFERROR(__xludf.DUMMYFUNCTION("""COMPUTED_VALUE"""),"PRODUKSI")</f>
        <v>PRODUKSI</v>
      </c>
      <c r="J91" s="3"/>
    </row>
    <row r="92">
      <c r="A92" s="9">
        <f>IFERROR(__xludf.DUMMYFUNCTION("""COMPUTED_VALUE"""),46066.0)</f>
        <v>46066</v>
      </c>
      <c r="B92" s="5" t="str">
        <f>IFERROR(__xludf.DUMMYFUNCTION("""COMPUTED_VALUE"""),"TRSF E-BANKING DB")</f>
        <v>TRSF E-BANKING DB</v>
      </c>
      <c r="C92" s="5" t="str">
        <f>IFERROR(__xludf.DUMMYFUNCTION("""COMPUTED_VALUE"""),"1302/FTSCY/WS95011 57902250.00 kd suhantono bojonegoro PITIK DIGITAL INDO")</f>
        <v>1302/FTSCY/WS95011 57902250.00 kd suhantono bojonegoro PITIK DIGITAL INDO</v>
      </c>
      <c r="D92" s="3">
        <f>IFERROR(__xludf.DUMMYFUNCTION("""COMPUTED_VALUE"""),5.790225E7)</f>
        <v>57902250</v>
      </c>
      <c r="E92" s="5"/>
      <c r="F92" s="5" t="str">
        <f>IFERROR(__xludf.DUMMYFUNCTION("""COMPUTED_VALUE"""),"DB")</f>
        <v>DB</v>
      </c>
      <c r="G92" s="3">
        <f>IFERROR(__xludf.DUMMYFUNCTION("""COMPUTED_VALUE"""),1.5745870146000004E8)</f>
        <v>157458701.5</v>
      </c>
      <c r="H92" s="5"/>
      <c r="I92" s="5" t="str">
        <f>IFERROR(__xludf.DUMMYFUNCTION("""COMPUTED_VALUE"""),"PRODUKSI")</f>
        <v>PRODUKSI</v>
      </c>
      <c r="J92" s="3"/>
    </row>
    <row r="93">
      <c r="A93" s="9">
        <f>IFERROR(__xludf.DUMMYFUNCTION("""COMPUTED_VALUE"""),46066.0)</f>
        <v>46066</v>
      </c>
      <c r="B93" s="5" t="str">
        <f>IFERROR(__xludf.DUMMYFUNCTION("""COMPUTED_VALUE"""),"TRSF E-BANKING DB")</f>
        <v>TRSF E-BANKING DB</v>
      </c>
      <c r="C93" s="5" t="str">
        <f>IFERROR(__xludf.DUMMYFUNCTION("""COMPUTED_VALUE"""),"1302/FTSCY/WS95011 52500000.00 kd m yusuf f kedir PITIK DIGITAL INDO")</f>
        <v>1302/FTSCY/WS95011 52500000.00 kd m yusuf f kedir PITIK DIGITAL INDO</v>
      </c>
      <c r="D93" s="3">
        <f>IFERROR(__xludf.DUMMYFUNCTION("""COMPUTED_VALUE"""),5.25E7)</f>
        <v>52500000</v>
      </c>
      <c r="E93" s="5"/>
      <c r="F93" s="5" t="str">
        <f>IFERROR(__xludf.DUMMYFUNCTION("""COMPUTED_VALUE"""),"DB")</f>
        <v>DB</v>
      </c>
      <c r="G93" s="3">
        <f>IFERROR(__xludf.DUMMYFUNCTION("""COMPUTED_VALUE"""),1.0495870146000004E8)</f>
        <v>104958701.5</v>
      </c>
      <c r="H93" s="5"/>
      <c r="I93" s="5" t="str">
        <f>IFERROR(__xludf.DUMMYFUNCTION("""COMPUTED_VALUE"""),"PRODUKSI")</f>
        <v>PRODUKSI</v>
      </c>
      <c r="J93" s="3"/>
    </row>
    <row r="94">
      <c r="A94" s="9">
        <f>IFERROR(__xludf.DUMMYFUNCTION("""COMPUTED_VALUE"""),46066.0)</f>
        <v>46066</v>
      </c>
      <c r="B94" s="5" t="str">
        <f>IFERROR(__xludf.DUMMYFUNCTION("""COMPUTED_VALUE"""),"TRSF E-BANKING DB")</f>
        <v>TRSF E-BANKING DB</v>
      </c>
      <c r="C94" s="5" t="str">
        <f>IFERROR(__xludf.DUMMYFUNCTION("""COMPUTED_VALUE"""),"1302/FTSCY/WS95011 48600000.00 Wed Feb 11 2026 15:00:00 GMT+0700 (Western Indonesia Time) GANESHA SATRIA NUS")</f>
        <v>1302/FTSCY/WS95011 48600000.00 Wed Feb 11 2026 15:00:00 GMT+0700 (Western Indonesia Time) GANESHA SATRIA NUS</v>
      </c>
      <c r="D94" s="3">
        <f>IFERROR(__xludf.DUMMYFUNCTION("""COMPUTED_VALUE"""),4.86E7)</f>
        <v>48600000</v>
      </c>
      <c r="E94" s="5"/>
      <c r="F94" s="5" t="str">
        <f>IFERROR(__xludf.DUMMYFUNCTION("""COMPUTED_VALUE"""),"DB")</f>
        <v>DB</v>
      </c>
      <c r="G94" s="3">
        <f>IFERROR(__xludf.DUMMYFUNCTION("""COMPUTED_VALUE"""),5.635870146000004E7)</f>
        <v>56358701.46</v>
      </c>
      <c r="H94" s="5"/>
      <c r="I94" s="5" t="str">
        <f>IFERROR(__xludf.DUMMYFUNCTION("""COMPUTED_VALUE"""),"PRODUKSI")</f>
        <v>PRODUKSI</v>
      </c>
      <c r="J94" s="3"/>
    </row>
    <row r="95">
      <c r="A95" s="9">
        <f>IFERROR(__xludf.DUMMYFUNCTION("""COMPUTED_VALUE"""),46067.0)</f>
        <v>46067</v>
      </c>
      <c r="B95" s="5" t="str">
        <f>IFERROR(__xludf.DUMMYFUNCTION("""COMPUTED_VALUE"""),"TRSF E-BANKING DB TANGGAL :13/02")</f>
        <v>TRSF E-BANKING DB TANGGAL :13/02</v>
      </c>
      <c r="C95" s="5" t="str">
        <f>IFERROR(__xludf.DUMMYFUNCTION("""COMPUTED_VALUE"""),"1302/FTSCY/WS95011 Wed Feb 11 2026 15:00:00 GMT+0700 (Western Indonesia Time) GANESHA SATRIA NUS")</f>
        <v>1302/FTSCY/WS95011 Wed Feb 11 2026 15:00:00 GMT+0700 (Western Indonesia Time) GANESHA SATRIA NUS</v>
      </c>
      <c r="D95" s="3">
        <f>IFERROR(__xludf.DUMMYFUNCTION("""COMPUTED_VALUE"""),8.709532E7)</f>
        <v>87095320</v>
      </c>
      <c r="E95" s="5"/>
      <c r="F95" s="5" t="str">
        <f>IFERROR(__xludf.DUMMYFUNCTION("""COMPUTED_VALUE"""),"DB")</f>
        <v>DB</v>
      </c>
      <c r="G95" s="3">
        <f>IFERROR(__xludf.DUMMYFUNCTION("""COMPUTED_VALUE"""),3.980966146000004E7)</f>
        <v>39809661.46</v>
      </c>
      <c r="H95" s="5" t="str">
        <f>IFERROR(__xludf.DUMMYFUNCTION("""COMPUTED_VALUE"""),"39,809,661.46")</f>
        <v>39,809,661.46</v>
      </c>
      <c r="I95" s="5" t="str">
        <f>IFERROR(__xludf.DUMMYFUNCTION("""COMPUTED_VALUE"""),"PRODUKSI")</f>
        <v>PRODUKSI</v>
      </c>
      <c r="J95" s="3"/>
    </row>
    <row r="96">
      <c r="A96" s="9">
        <f>IFERROR(__xludf.DUMMYFUNCTION("""COMPUTED_VALUE"""),46067.0)</f>
        <v>46067</v>
      </c>
      <c r="B96" s="5" t="str">
        <f>IFERROR(__xludf.DUMMYFUNCTION("""COMPUTED_VALUE"""),"TRSF E-BANKING DB")</f>
        <v>TRSF E-BANKING DB</v>
      </c>
      <c r="C96" s="5" t="str">
        <f>IFERROR(__xludf.DUMMYFUNCTION("""COMPUTED_VALUE"""),"1402/FTSCY/WS95031 49533000.00 kd lilik nuryani ANUGERAH KARTIKA A")</f>
        <v>1402/FTSCY/WS95031 49533000.00 kd lilik nuryani ANUGERAH KARTIKA A</v>
      </c>
      <c r="D96" s="3">
        <f>IFERROR(__xludf.DUMMYFUNCTION("""COMPUTED_VALUE"""),4.9533E7)</f>
        <v>49533000</v>
      </c>
      <c r="E96" s="5"/>
      <c r="F96" s="5" t="str">
        <f>IFERROR(__xludf.DUMMYFUNCTION("""COMPUTED_VALUE"""),"DB")</f>
        <v>DB</v>
      </c>
      <c r="G96" s="3">
        <f>IFERROR(__xludf.DUMMYFUNCTION("""COMPUTED_VALUE"""),1.9430921146000004E8)</f>
        <v>194309211.5</v>
      </c>
      <c r="H96" s="5"/>
      <c r="I96" s="5" t="str">
        <f>IFERROR(__xludf.DUMMYFUNCTION("""COMPUTED_VALUE"""),"PRODUKSI")</f>
        <v>PRODUKSI</v>
      </c>
      <c r="J96" s="3"/>
    </row>
    <row r="97">
      <c r="A97" s="9">
        <f>IFERROR(__xludf.DUMMYFUNCTION("""COMPUTED_VALUE"""),46067.0)</f>
        <v>46067</v>
      </c>
      <c r="B97" s="5" t="str">
        <f>IFERROR(__xludf.DUMMYFUNCTION("""COMPUTED_VALUE"""),"TRSF E-BANKING DB")</f>
        <v>TRSF E-BANKING DB</v>
      </c>
      <c r="C97" s="5" t="str">
        <f>IFERROR(__xludf.DUMMYFUNCTION("""COMPUTED_VALUE"""),"1402/FTSCY/WS95271 245834900.00 Fri Feb 13 2026 15:00:00 GMT+0700 (Western Indonesia Time) GANESHA SATRIA NUS")</f>
        <v>1402/FTSCY/WS95271 245834900.00 Fri Feb 13 2026 15:00:00 GMT+0700 (Western Indonesia Time) GANESHA SATRIA NUS</v>
      </c>
      <c r="D97" s="3">
        <f>IFERROR(__xludf.DUMMYFUNCTION("""COMPUTED_VALUE"""),2.458349E8)</f>
        <v>245834900</v>
      </c>
      <c r="E97" s="5"/>
      <c r="F97" s="5" t="str">
        <f>IFERROR(__xludf.DUMMYFUNCTION("""COMPUTED_VALUE"""),"DB")</f>
        <v>DB</v>
      </c>
      <c r="G97" s="3">
        <f>IFERROR(__xludf.DUMMYFUNCTION("""COMPUTED_VALUE"""),2.4880785146000004E8)</f>
        <v>248807851.5</v>
      </c>
      <c r="H97" s="5"/>
      <c r="I97" s="5" t="str">
        <f>IFERROR(__xludf.DUMMYFUNCTION("""COMPUTED_VALUE"""),"PRODUKSI")</f>
        <v>PRODUKSI</v>
      </c>
      <c r="J97" s="3"/>
    </row>
    <row r="98">
      <c r="A98" s="9">
        <f>IFERROR(__xludf.DUMMYFUNCTION("""COMPUTED_VALUE"""),46067.0)</f>
        <v>46067</v>
      </c>
      <c r="B98" s="5" t="str">
        <f>IFERROR(__xludf.DUMMYFUNCTION("""COMPUTED_VALUE"""),"TRSF E-BANKING DB")</f>
        <v>TRSF E-BANKING DB</v>
      </c>
      <c r="C98" s="5" t="str">
        <f>IFERROR(__xludf.DUMMYFUNCTION("""COMPUTED_VALUE"""),"1402/FTSCY/WS95271 52932300.00 kd sukarmi magetan RUKUN MITRA BERSAM")</f>
        <v>1402/FTSCY/WS95271 52932300.00 kd sukarmi magetan RUKUN MITRA BERSAM</v>
      </c>
      <c r="D98" s="3">
        <f>IFERROR(__xludf.DUMMYFUNCTION("""COMPUTED_VALUE"""),5.29323E7)</f>
        <v>52932300</v>
      </c>
      <c r="E98" s="5"/>
      <c r="F98" s="5" t="str">
        <f>IFERROR(__xludf.DUMMYFUNCTION("""COMPUTED_VALUE"""),"DB")</f>
        <v>DB</v>
      </c>
      <c r="G98" s="3">
        <f>IFERROR(__xludf.DUMMYFUNCTION("""COMPUTED_VALUE"""),1.9587555146000004E8)</f>
        <v>195875551.5</v>
      </c>
      <c r="H98" s="5" t="str">
        <f>IFERROR(__xludf.DUMMYFUNCTION("""COMPUTED_VALUE"""),"195,875,551.46")</f>
        <v>195,875,551.46</v>
      </c>
      <c r="I98" s="5" t="str">
        <f>IFERROR(__xludf.DUMMYFUNCTION("""COMPUTED_VALUE"""),"PRODUKSI")</f>
        <v>PRODUKSI</v>
      </c>
      <c r="J98" s="3"/>
    </row>
    <row r="99">
      <c r="A99" s="9">
        <f>IFERROR(__xludf.DUMMYFUNCTION("""COMPUTED_VALUE"""),46067.0)</f>
        <v>46067</v>
      </c>
      <c r="B99" s="5" t="str">
        <f>IFERROR(__xludf.DUMMYFUNCTION("""COMPUTED_VALUE"""),"TRSF E-BANKING DB")</f>
        <v>TRSF E-BANKING DB</v>
      </c>
      <c r="C99" s="5" t="str">
        <f>IFERROR(__xludf.DUMMYFUNCTION("""COMPUTED_VALUE"""),"1402/FTSCY/WS95031 10000000.00 pelunasan RUKUN MITRA BERSAM")</f>
        <v>1402/FTSCY/WS95031 10000000.00 pelunasan RUKUN MITRA BERSAM</v>
      </c>
      <c r="D99" s="3">
        <f>IFERROR(__xludf.DUMMYFUNCTION("""COMPUTED_VALUE"""),1.0E7)</f>
        <v>10000000</v>
      </c>
      <c r="E99" s="5"/>
      <c r="F99" s="5" t="str">
        <f>IFERROR(__xludf.DUMMYFUNCTION("""COMPUTED_VALUE"""),"DB")</f>
        <v>DB</v>
      </c>
      <c r="G99" s="3">
        <f>IFERROR(__xludf.DUMMYFUNCTION("""COMPUTED_VALUE"""),1.8587555146000004E8)</f>
        <v>185875551.5</v>
      </c>
      <c r="H99" s="5" t="str">
        <f>IFERROR(__xludf.DUMMYFUNCTION("""COMPUTED_VALUE"""),"185,875,551.46")</f>
        <v>185,875,551.46</v>
      </c>
      <c r="I99" s="5" t="str">
        <f>IFERROR(__xludf.DUMMYFUNCTION("""COMPUTED_VALUE"""),"PRODUKSI")</f>
        <v>PRODUKSI</v>
      </c>
      <c r="J99" s="3"/>
    </row>
    <row r="100">
      <c r="A100" s="9">
        <f>IFERROR(__xludf.DUMMYFUNCTION("""COMPUTED_VALUE"""),46068.0)</f>
        <v>46068</v>
      </c>
      <c r="B100" s="5" t="str">
        <f>IFERROR(__xludf.DUMMYFUNCTION("""COMPUTED_VALUE"""),"TRSF E-BANKING DB TANGGAL :14/02")</f>
        <v>TRSF E-BANKING DB TANGGAL :14/02</v>
      </c>
      <c r="C100" s="5" t="str">
        <f>IFERROR(__xludf.DUMMYFUNCTION("""COMPUTED_VALUE"""),"1402/FTSCY/WS95011 Sun Feb 08 2026 15:00:00 GMT+0700 (Western Indonesia Time) BROILER MAKMUR TAN")</f>
        <v>1402/FTSCY/WS95011 Sun Feb 08 2026 15:00:00 GMT+0700 (Western Indonesia Time) BROILER MAKMUR TAN</v>
      </c>
      <c r="D100" s="3">
        <f>IFERROR(__xludf.DUMMYFUNCTION("""COMPUTED_VALUE"""),1.783473E8)</f>
        <v>178347300</v>
      </c>
      <c r="E100" s="5"/>
      <c r="F100" s="5" t="str">
        <f>IFERROR(__xludf.DUMMYFUNCTION("""COMPUTED_VALUE"""),"DB")</f>
        <v>DB</v>
      </c>
      <c r="G100" s="3">
        <f>IFERROR(__xludf.DUMMYFUNCTION("""COMPUTED_VALUE"""),1.6494500146000004E8)</f>
        <v>164945001.5</v>
      </c>
      <c r="H100" s="5"/>
      <c r="I100" s="5" t="str">
        <f>IFERROR(__xludf.DUMMYFUNCTION("""COMPUTED_VALUE"""),"PRODUKSI")</f>
        <v>PRODUKSI</v>
      </c>
      <c r="J100" s="3"/>
    </row>
    <row r="101">
      <c r="A101" s="9">
        <f>IFERROR(__xludf.DUMMYFUNCTION("""COMPUTED_VALUE"""),46068.0)</f>
        <v>46068</v>
      </c>
      <c r="B101" s="5" t="str">
        <f>IFERROR(__xludf.DUMMYFUNCTION("""COMPUTED_VALUE"""),"TRSF E-BANKING DB TANGGAL :14/02")</f>
        <v>TRSF E-BANKING DB TANGGAL :14/02</v>
      </c>
      <c r="C101" s="5" t="str">
        <f>IFERROR(__xludf.DUMMYFUNCTION("""COMPUTED_VALUE"""),"1402/FTSCY/WS95011 kd ika garum blita BINTANG TAMA SANTO")</f>
        <v>1402/FTSCY/WS95011 kd ika garum blita BINTANG TAMA SANTO</v>
      </c>
      <c r="D101" s="3">
        <f>IFERROR(__xludf.DUMMYFUNCTION("""COMPUTED_VALUE"""),5.0264E7)</f>
        <v>50264000</v>
      </c>
      <c r="E101" s="5"/>
      <c r="F101" s="5" t="str">
        <f>IFERROR(__xludf.DUMMYFUNCTION("""COMPUTED_VALUE"""),"DB")</f>
        <v>DB</v>
      </c>
      <c r="G101" s="3">
        <f>IFERROR(__xludf.DUMMYFUNCTION("""COMPUTED_VALUE"""),1.1468100146000004E8)</f>
        <v>114681001.5</v>
      </c>
      <c r="H101" s="5"/>
      <c r="I101" s="5" t="str">
        <f>IFERROR(__xludf.DUMMYFUNCTION("""COMPUTED_VALUE"""),"PRODUKSI")</f>
        <v>PRODUKSI</v>
      </c>
      <c r="J101" s="3"/>
    </row>
    <row r="102">
      <c r="A102" s="9">
        <f>IFERROR(__xludf.DUMMYFUNCTION("""COMPUTED_VALUE"""),46068.0)</f>
        <v>46068</v>
      </c>
      <c r="B102" s="5" t="str">
        <f>IFERROR(__xludf.DUMMYFUNCTION("""COMPUTED_VALUE"""),"TRSF E-BANKING DB TANGGAL :14/02")</f>
        <v>TRSF E-BANKING DB TANGGAL :14/02</v>
      </c>
      <c r="C102" s="5" t="str">
        <f>IFERROR(__xludf.DUMMYFUNCTION("""COMPUTED_VALUE"""),"1402/FTSCY/WS95011 ROZAL NUR SYAHBANA")</f>
        <v>1402/FTSCY/WS95011 ROZAL NUR SYAHBANA</v>
      </c>
      <c r="D102" s="3">
        <f>IFERROR(__xludf.DUMMYFUNCTION("""COMPUTED_VALUE"""),5.0E7)</f>
        <v>50000000</v>
      </c>
      <c r="E102" s="5"/>
      <c r="F102" s="5" t="str">
        <f>IFERROR(__xludf.DUMMYFUNCTION("""COMPUTED_VALUE"""),"DB")</f>
        <v>DB</v>
      </c>
      <c r="G102" s="3">
        <f>IFERROR(__xludf.DUMMYFUNCTION("""COMPUTED_VALUE"""),6.468100146000004E7)</f>
        <v>64681001.46</v>
      </c>
      <c r="H102" s="5"/>
      <c r="I102" s="5" t="str">
        <f>IFERROR(__xludf.DUMMYFUNCTION("""COMPUTED_VALUE"""),"PRODUKSI")</f>
        <v>PRODUKSI</v>
      </c>
      <c r="J102" s="3"/>
    </row>
    <row r="103">
      <c r="A103" s="9">
        <f>IFERROR(__xludf.DUMMYFUNCTION("""COMPUTED_VALUE"""),46068.0)</f>
        <v>46068</v>
      </c>
      <c r="B103" s="5" t="str">
        <f>IFERROR(__xludf.DUMMYFUNCTION("""COMPUTED_VALUE"""),"TRSF E-BANKING DB")</f>
        <v>TRSF E-BANKING DB</v>
      </c>
      <c r="C103" s="5" t="str">
        <f>IFERROR(__xludf.DUMMYFUNCTION("""COMPUTED_VALUE"""),"1502/FTSCY/WS95271 51000000.00 jombang PITIK DIGITAL INDO")</f>
        <v>1502/FTSCY/WS95271 51000000.00 jombang PITIK DIGITAL INDO</v>
      </c>
      <c r="D103" s="3">
        <f>IFERROR(__xludf.DUMMYFUNCTION("""COMPUTED_VALUE"""),5.1E7)</f>
        <v>51000000</v>
      </c>
      <c r="E103" s="5"/>
      <c r="F103" s="5" t="str">
        <f>IFERROR(__xludf.DUMMYFUNCTION("""COMPUTED_VALUE"""),"DB")</f>
        <v>DB</v>
      </c>
      <c r="G103" s="3">
        <f>IFERROR(__xludf.DUMMYFUNCTION("""COMPUTED_VALUE"""),1.2844594146000004E8)</f>
        <v>128445941.5</v>
      </c>
      <c r="H103" s="5"/>
      <c r="I103" s="5" t="str">
        <f>IFERROR(__xludf.DUMMYFUNCTION("""COMPUTED_VALUE"""),"PRODUKSI")</f>
        <v>PRODUKSI</v>
      </c>
      <c r="J103" s="3"/>
    </row>
    <row r="104">
      <c r="A104" s="9">
        <f>IFERROR(__xludf.DUMMYFUNCTION("""COMPUTED_VALUE"""),46068.0)</f>
        <v>46068</v>
      </c>
      <c r="B104" s="5" t="str">
        <f>IFERROR(__xludf.DUMMYFUNCTION("""COMPUTED_VALUE"""),"TRSF E-BANKING DB")</f>
        <v>TRSF E-BANKING DB</v>
      </c>
      <c r="C104" s="5" t="str">
        <f>IFERROR(__xludf.DUMMYFUNCTION("""COMPUTED_VALUE"""),"1502/FTSCY/WS95271 51000000.00 Cv. bmu nganjuk SUPER UNGGAS JAYA")</f>
        <v>1502/FTSCY/WS95271 51000000.00 Cv. bmu nganjuk SUPER UNGGAS JAYA</v>
      </c>
      <c r="D104" s="3">
        <f>IFERROR(__xludf.DUMMYFUNCTION("""COMPUTED_VALUE"""),5.1E7)</f>
        <v>51000000</v>
      </c>
      <c r="E104" s="5"/>
      <c r="F104" s="5" t="str">
        <f>IFERROR(__xludf.DUMMYFUNCTION("""COMPUTED_VALUE"""),"DB")</f>
        <v>DB</v>
      </c>
      <c r="G104" s="3">
        <f>IFERROR(__xludf.DUMMYFUNCTION("""COMPUTED_VALUE"""),7.744594146000004E7)</f>
        <v>77445941.46</v>
      </c>
      <c r="H104" s="5"/>
      <c r="I104" s="5" t="str">
        <f>IFERROR(__xludf.DUMMYFUNCTION("""COMPUTED_VALUE"""),"PRODUKSI")</f>
        <v>PRODUKSI</v>
      </c>
      <c r="J104" s="3"/>
    </row>
    <row r="105">
      <c r="A105" s="9">
        <f>IFERROR(__xludf.DUMMYFUNCTION("""COMPUTED_VALUE"""),46068.0)</f>
        <v>46068</v>
      </c>
      <c r="B105" s="5" t="str">
        <f>IFERROR(__xludf.DUMMYFUNCTION("""COMPUTED_VALUE"""),"TRSF E-BANKING DB")</f>
        <v>TRSF E-BANKING DB</v>
      </c>
      <c r="C105" s="5" t="str">
        <f>IFERROR(__xludf.DUMMYFUNCTION("""COMPUTED_VALUE"""),"1502/FTSCY/WS95271 64600000.00 kd rofit madiun AGUNG MITRA SEJAHT")</f>
        <v>1502/FTSCY/WS95271 64600000.00 kd rofit madiun AGUNG MITRA SEJAHT</v>
      </c>
      <c r="D105" s="3">
        <f>IFERROR(__xludf.DUMMYFUNCTION("""COMPUTED_VALUE"""),6.46E7)</f>
        <v>64600000</v>
      </c>
      <c r="E105" s="5"/>
      <c r="F105" s="5" t="str">
        <f>IFERROR(__xludf.DUMMYFUNCTION("""COMPUTED_VALUE"""),"DB")</f>
        <v>DB</v>
      </c>
      <c r="G105" s="3">
        <f>IFERROR(__xludf.DUMMYFUNCTION("""COMPUTED_VALUE"""),74291.46000003815)</f>
        <v>74291.46</v>
      </c>
      <c r="H105" s="5"/>
      <c r="I105" s="5" t="str">
        <f>IFERROR(__xludf.DUMMYFUNCTION("""COMPUTED_VALUE"""),"PRODUKSI")</f>
        <v>PRODUKSI</v>
      </c>
      <c r="J105" s="3"/>
    </row>
    <row r="106">
      <c r="A106" s="9">
        <f>IFERROR(__xludf.DUMMYFUNCTION("""COMPUTED_VALUE"""),46069.0)</f>
        <v>46069</v>
      </c>
      <c r="B106" s="5" t="str">
        <f>IFERROR(__xludf.DUMMYFUNCTION("""COMPUTED_VALUE"""),"TRSF E-BANKING DB TANGGAL :15/02")</f>
        <v>TRSF E-BANKING DB TANGGAL :15/02</v>
      </c>
      <c r="C106" s="5" t="str">
        <f>IFERROR(__xludf.DUMMYFUNCTION("""COMPUTED_VALUE"""),"1502/FTSCY/WS95271 13/02 krg 45 jt SUPER UNGGAS JAYA")</f>
        <v>1502/FTSCY/WS95271 13/02 krg 45 jt SUPER UNGGAS JAYA</v>
      </c>
      <c r="D106" s="3">
        <f>IFERROR(__xludf.DUMMYFUNCTION("""COMPUTED_VALUE"""),1.320953E8)</f>
        <v>132095300</v>
      </c>
      <c r="E106" s="5"/>
      <c r="F106" s="5" t="str">
        <f>IFERROR(__xludf.DUMMYFUNCTION("""COMPUTED_VALUE"""),"DB")</f>
        <v>DB</v>
      </c>
      <c r="G106" s="3">
        <f>IFERROR(__xludf.DUMMYFUNCTION("""COMPUTED_VALUE"""),6.6266911146E8)</f>
        <v>662669111.5</v>
      </c>
      <c r="H106" s="5" t="str">
        <f>IFERROR(__xludf.DUMMYFUNCTION("""COMPUTED_VALUE"""),"662,669,111.46")</f>
        <v>662,669,111.46</v>
      </c>
      <c r="I106" s="5" t="str">
        <f>IFERROR(__xludf.DUMMYFUNCTION("""COMPUTED_VALUE"""),"PRODUKSI")</f>
        <v>PRODUKSI</v>
      </c>
      <c r="J106" s="3"/>
    </row>
    <row r="107">
      <c r="A107" s="9">
        <f>IFERROR(__xludf.DUMMYFUNCTION("""COMPUTED_VALUE"""),46069.0)</f>
        <v>46069</v>
      </c>
      <c r="B107" s="5" t="str">
        <f>IFERROR(__xludf.DUMMYFUNCTION("""COMPUTED_VALUE"""),"TRSF E-BANKING DB TANGGAL :15/02")</f>
        <v>TRSF E-BANKING DB TANGGAL :15/02</v>
      </c>
      <c r="C107" s="5" t="str">
        <f>IFERROR(__xludf.DUMMYFUNCTION("""COMPUTED_VALUE"""),"1502/FTSCY/WS95031 pelunasan 13.02 SUPER UNGGAS JAYA")</f>
        <v>1502/FTSCY/WS95031 pelunasan 13.02 SUPER UNGGAS JAYA</v>
      </c>
      <c r="D107" s="3">
        <f>IFERROR(__xludf.DUMMYFUNCTION("""COMPUTED_VALUE"""),4.5E7)</f>
        <v>45000000</v>
      </c>
      <c r="E107" s="5"/>
      <c r="F107" s="5" t="str">
        <f>IFERROR(__xludf.DUMMYFUNCTION("""COMPUTED_VALUE"""),"DB")</f>
        <v>DB</v>
      </c>
      <c r="G107" s="3">
        <f>IFERROR(__xludf.DUMMYFUNCTION("""COMPUTED_VALUE"""),6.1766911146E8)</f>
        <v>617669111.5</v>
      </c>
      <c r="H107" s="5"/>
      <c r="I107" s="5" t="str">
        <f>IFERROR(__xludf.DUMMYFUNCTION("""COMPUTED_VALUE"""),"PRODUKSI")</f>
        <v>PRODUKSI</v>
      </c>
      <c r="J107" s="3"/>
    </row>
    <row r="108">
      <c r="A108" s="9">
        <f>IFERROR(__xludf.DUMMYFUNCTION("""COMPUTED_VALUE"""),46069.0)</f>
        <v>46069</v>
      </c>
      <c r="B108" s="5" t="str">
        <f>IFERROR(__xludf.DUMMYFUNCTION("""COMPUTED_VALUE"""),"TRSF E-BANKING DB TANGGAL :15/02")</f>
        <v>TRSF E-BANKING DB TANGGAL :15/02</v>
      </c>
      <c r="C108" s="5" t="str">
        <f>IFERROR(__xludf.DUMMYFUNCTION("""COMPUTED_VALUE"""),"1502/FTSCY/WS95011 tgl 12 dan 13 luna BROILER MAKMUR TAN")</f>
        <v>1502/FTSCY/WS95011 tgl 12 dan 13 luna BROILER MAKMUR TAN</v>
      </c>
      <c r="D108" s="3">
        <f>IFERROR(__xludf.DUMMYFUNCTION("""COMPUTED_VALUE"""),8.566132E7)</f>
        <v>85661320</v>
      </c>
      <c r="E108" s="5"/>
      <c r="F108" s="5" t="str">
        <f>IFERROR(__xludf.DUMMYFUNCTION("""COMPUTED_VALUE"""),"DB")</f>
        <v>DB</v>
      </c>
      <c r="G108" s="3">
        <f>IFERROR(__xludf.DUMMYFUNCTION("""COMPUTED_VALUE"""),5.3200779146000004E8)</f>
        <v>532007791.5</v>
      </c>
      <c r="H108" s="5"/>
      <c r="I108" s="5" t="str">
        <f>IFERROR(__xludf.DUMMYFUNCTION("""COMPUTED_VALUE"""),"PRODUKSI")</f>
        <v>PRODUKSI</v>
      </c>
      <c r="J108" s="3"/>
    </row>
    <row r="109">
      <c r="A109" s="9">
        <f>IFERROR(__xludf.DUMMYFUNCTION("""COMPUTED_VALUE"""),46069.0)</f>
        <v>46069</v>
      </c>
      <c r="B109" s="5" t="str">
        <f>IFERROR(__xludf.DUMMYFUNCTION("""COMPUTED_VALUE"""),"TRSF E-BANKING DB TANGGAL :15/02")</f>
        <v>TRSF E-BANKING DB TANGGAL :15/02</v>
      </c>
      <c r="C109" s="5" t="str">
        <f>IFERROR(__xludf.DUMMYFUNCTION("""COMPUTED_VALUE"""),"1502/FTSCY/WS95011 kd abdul blitar lunas CV SURYA INTI TERN")</f>
        <v>1502/FTSCY/WS95011 kd abdul blitar lunas CV SURYA INTI TERN</v>
      </c>
      <c r="D109" s="3">
        <f>IFERROR(__xludf.DUMMYFUNCTION("""COMPUTED_VALUE"""),1.1547335E8)</f>
        <v>115473350</v>
      </c>
      <c r="E109" s="5"/>
      <c r="F109" s="5" t="str">
        <f>IFERROR(__xludf.DUMMYFUNCTION("""COMPUTED_VALUE"""),"DB")</f>
        <v>DB</v>
      </c>
      <c r="G109" s="3">
        <f>IFERROR(__xludf.DUMMYFUNCTION("""COMPUTED_VALUE"""),4.1653444146000004E8)</f>
        <v>416534441.5</v>
      </c>
      <c r="H109" s="5"/>
      <c r="I109" s="5" t="str">
        <f>IFERROR(__xludf.DUMMYFUNCTION("""COMPUTED_VALUE"""),"PRODUKSI")</f>
        <v>PRODUKSI</v>
      </c>
      <c r="J109" s="3"/>
    </row>
    <row r="110">
      <c r="A110" s="9">
        <f>IFERROR(__xludf.DUMMYFUNCTION("""COMPUTED_VALUE"""),46069.0)</f>
        <v>46069</v>
      </c>
      <c r="B110" s="5" t="str">
        <f>IFERROR(__xludf.DUMMYFUNCTION("""COMPUTED_VALUE"""),"TRSF E-BANKING DB TANGGAL :15/02")</f>
        <v>TRSF E-BANKING DB TANGGAL :15/02</v>
      </c>
      <c r="C110" s="5" t="str">
        <f>IFERROR(__xludf.DUMMYFUNCTION("""COMPUTED_VALUE"""),"1502/FTSCY/WS95011 Thu Feb 12 2026 15:00:00 GMT+0700 (Western Indonesia Time) ANDALAN YASA MITRA")</f>
        <v>1502/FTSCY/WS95011 Thu Feb 12 2026 15:00:00 GMT+0700 (Western Indonesia Time) ANDALAN YASA MITRA</v>
      </c>
      <c r="D110" s="3">
        <f>IFERROR(__xludf.DUMMYFUNCTION("""COMPUTED_VALUE"""),5.1E7)</f>
        <v>51000000</v>
      </c>
      <c r="E110" s="5"/>
      <c r="F110" s="5" t="str">
        <f>IFERROR(__xludf.DUMMYFUNCTION("""COMPUTED_VALUE"""),"DB")</f>
        <v>DB</v>
      </c>
      <c r="G110" s="3">
        <f>IFERROR(__xludf.DUMMYFUNCTION("""COMPUTED_VALUE"""),3.6553444146000004E8)</f>
        <v>365534441.5</v>
      </c>
      <c r="H110" s="5"/>
      <c r="I110" s="5" t="str">
        <f>IFERROR(__xludf.DUMMYFUNCTION("""COMPUTED_VALUE"""),"PRODUKSI")</f>
        <v>PRODUKSI</v>
      </c>
      <c r="J110" s="3"/>
    </row>
    <row r="111">
      <c r="A111" s="9">
        <f>IFERROR(__xludf.DUMMYFUNCTION("""COMPUTED_VALUE"""),46069.0)</f>
        <v>46069</v>
      </c>
      <c r="B111" s="5" t="str">
        <f>IFERROR(__xludf.DUMMYFUNCTION("""COMPUTED_VALUE"""),"TRSF E-BANKING DB TANGGAL :15/02")</f>
        <v>TRSF E-BANKING DB TANGGAL :15/02</v>
      </c>
      <c r="C111" s="5" t="str">
        <f>IFERROR(__xludf.DUMMYFUNCTION("""COMPUTED_VALUE"""),"1502/FTSCY/WS95011 t. agung PITIK DIGITAL INDO")</f>
        <v>1502/FTSCY/WS95011 t. agung PITIK DIGITAL INDO</v>
      </c>
      <c r="D111" s="3">
        <f>IFERROR(__xludf.DUMMYFUNCTION("""COMPUTED_VALUE"""),5.8216E7)</f>
        <v>58216000</v>
      </c>
      <c r="E111" s="5"/>
      <c r="F111" s="5" t="str">
        <f>IFERROR(__xludf.DUMMYFUNCTION("""COMPUTED_VALUE"""),"DB")</f>
        <v>DB</v>
      </c>
      <c r="G111" s="3">
        <f>IFERROR(__xludf.DUMMYFUNCTION("""COMPUTED_VALUE"""),3.0731844146000004E8)</f>
        <v>307318441.5</v>
      </c>
      <c r="H111" s="5"/>
      <c r="I111" s="5" t="str">
        <f>IFERROR(__xludf.DUMMYFUNCTION("""COMPUTED_VALUE"""),"PRODUKSI")</f>
        <v>PRODUKSI</v>
      </c>
      <c r="J111" s="3"/>
    </row>
    <row r="112">
      <c r="A112" s="9">
        <f>IFERROR(__xludf.DUMMYFUNCTION("""COMPUTED_VALUE"""),46069.0)</f>
        <v>46069</v>
      </c>
      <c r="B112" s="5" t="str">
        <f>IFERROR(__xludf.DUMMYFUNCTION("""COMPUTED_VALUE"""),"TRSF E-BANKING DB TANGGAL :15/02")</f>
        <v>TRSF E-BANKING DB TANGGAL :15/02</v>
      </c>
      <c r="C112" s="5" t="str">
        <f>IFERROR(__xludf.DUMMYFUNCTION("""COMPUTED_VALUE"""),"1502/FTSCY/WS95011 Fri Feb 13 2026 15:00:00 GMT+0700 (Western Indonesia Time) BROILER MAKMUR TAN")</f>
        <v>1502/FTSCY/WS95011 Fri Feb 13 2026 15:00:00 GMT+0700 (Western Indonesia Time) BROILER MAKMUR TAN</v>
      </c>
      <c r="D112" s="3">
        <f>IFERROR(__xludf.DUMMYFUNCTION("""COMPUTED_VALUE"""),1.428028E8)</f>
        <v>142802800</v>
      </c>
      <c r="E112" s="5"/>
      <c r="F112" s="5" t="str">
        <f>IFERROR(__xludf.DUMMYFUNCTION("""COMPUTED_VALUE"""),"DB")</f>
        <v>DB</v>
      </c>
      <c r="G112" s="3">
        <f>IFERROR(__xludf.DUMMYFUNCTION("""COMPUTED_VALUE"""),1.6451564146000004E8)</f>
        <v>164515641.5</v>
      </c>
      <c r="H112" s="5"/>
      <c r="I112" s="5" t="str">
        <f>IFERROR(__xludf.DUMMYFUNCTION("""COMPUTED_VALUE"""),"PRODUKSI")</f>
        <v>PRODUKSI</v>
      </c>
      <c r="J112" s="3"/>
    </row>
    <row r="113">
      <c r="A113" s="9">
        <f>IFERROR(__xludf.DUMMYFUNCTION("""COMPUTED_VALUE"""),46069.0)</f>
        <v>46069</v>
      </c>
      <c r="B113" s="5" t="str">
        <f>IFERROR(__xludf.DUMMYFUNCTION("""COMPUTED_VALUE"""),"TRSF E-BANKING DB")</f>
        <v>TRSF E-BANKING DB</v>
      </c>
      <c r="C113" s="5" t="str">
        <f>IFERROR(__xludf.DUMMYFUNCTION("""COMPUTED_VALUE"""),"1602/FTSCY/WS95031 96149600.00 pemb. kd abdul wah id gurah kedir BINTANG TAMA SANTO")</f>
        <v>1602/FTSCY/WS95031 96149600.00 pemb. kd abdul wah id gurah kedir BINTANG TAMA SANTO</v>
      </c>
      <c r="D113" s="3">
        <f>IFERROR(__xludf.DUMMYFUNCTION("""COMPUTED_VALUE"""),9.61496E7)</f>
        <v>96149600</v>
      </c>
      <c r="E113" s="5"/>
      <c r="F113" s="5" t="str">
        <f>IFERROR(__xludf.DUMMYFUNCTION("""COMPUTED_VALUE"""),"DB")</f>
        <v>DB</v>
      </c>
      <c r="G113" s="3">
        <f>IFERROR(__xludf.DUMMYFUNCTION("""COMPUTED_VALUE"""),2.2606689146000004E8)</f>
        <v>226066891.5</v>
      </c>
      <c r="H113" s="5"/>
      <c r="I113" s="5" t="str">
        <f>IFERROR(__xludf.DUMMYFUNCTION("""COMPUTED_VALUE"""),"PRODUKSI")</f>
        <v>PRODUKSI</v>
      </c>
      <c r="J113" s="3"/>
    </row>
    <row r="114">
      <c r="A114" s="9">
        <f>IFERROR(__xludf.DUMMYFUNCTION("""COMPUTED_VALUE"""),46069.0)</f>
        <v>46069</v>
      </c>
      <c r="B114" s="5" t="str">
        <f>IFERROR(__xludf.DUMMYFUNCTION("""COMPUTED_VALUE"""),"TRSF E-BANKING DB")</f>
        <v>TRSF E-BANKING DB</v>
      </c>
      <c r="C114" s="5" t="str">
        <f>IFERROR(__xludf.DUMMYFUNCTION("""COMPUTED_VALUE"""),"1602/FTSCY/WS95271 56000000.00 pemb. kd supriyant o mlg BINTANG TAMA SANTO")</f>
        <v>1602/FTSCY/WS95271 56000000.00 pemb. kd supriyant o mlg BINTANG TAMA SANTO</v>
      </c>
      <c r="D114" s="3">
        <f>IFERROR(__xludf.DUMMYFUNCTION("""COMPUTED_VALUE"""),5.6E7)</f>
        <v>56000000</v>
      </c>
      <c r="E114" s="5"/>
      <c r="F114" s="5" t="str">
        <f>IFERROR(__xludf.DUMMYFUNCTION("""COMPUTED_VALUE"""),"DB")</f>
        <v>DB</v>
      </c>
      <c r="G114" s="3">
        <f>IFERROR(__xludf.DUMMYFUNCTION("""COMPUTED_VALUE"""),1.7006689146000004E8)</f>
        <v>170066891.5</v>
      </c>
      <c r="H114" s="5"/>
      <c r="I114" s="5" t="str">
        <f>IFERROR(__xludf.DUMMYFUNCTION("""COMPUTED_VALUE"""),"PRODUKSI")</f>
        <v>PRODUKSI</v>
      </c>
      <c r="J114" s="3"/>
    </row>
    <row r="115">
      <c r="A115" s="9">
        <f>IFERROR(__xludf.DUMMYFUNCTION("""COMPUTED_VALUE"""),46069.0)</f>
        <v>46069</v>
      </c>
      <c r="B115" s="5" t="str">
        <f>IFERROR(__xludf.DUMMYFUNCTION("""COMPUTED_VALUE"""),"TRSF E-BANKING DB")</f>
        <v>TRSF E-BANKING DB</v>
      </c>
      <c r="C115" s="5" t="str">
        <f>IFERROR(__xludf.DUMMYFUNCTION("""COMPUTED_VALUE"""),"1602/FTSCY/WS95271 124755040.00 pemb. kd eko kejay aan pasuruan ANDALAN YASA MITRA")</f>
        <v>1602/FTSCY/WS95271 124755040.00 pemb. kd eko kejay aan pasuruan ANDALAN YASA MITRA</v>
      </c>
      <c r="D115" s="3">
        <f>IFERROR(__xludf.DUMMYFUNCTION("""COMPUTED_VALUE"""),1.2475504E8)</f>
        <v>124755040</v>
      </c>
      <c r="E115" s="5"/>
      <c r="F115" s="5" t="str">
        <f>IFERROR(__xludf.DUMMYFUNCTION("""COMPUTED_VALUE"""),"DB")</f>
        <v>DB</v>
      </c>
      <c r="G115" s="3">
        <f>IFERROR(__xludf.DUMMYFUNCTION("""COMPUTED_VALUE"""),4.531185146000004E7)</f>
        <v>45311851.46</v>
      </c>
      <c r="H115" s="5" t="str">
        <f>IFERROR(__xludf.DUMMYFUNCTION("""COMPUTED_VALUE"""),"45,311,851.46")</f>
        <v>45,311,851.46</v>
      </c>
      <c r="I115" s="5" t="str">
        <f>IFERROR(__xludf.DUMMYFUNCTION("""COMPUTED_VALUE"""),"PRODUKSI")</f>
        <v>PRODUKSI</v>
      </c>
      <c r="J115" s="3"/>
    </row>
    <row r="116">
      <c r="A116" s="9">
        <f>IFERROR(__xludf.DUMMYFUNCTION("""COMPUTED_VALUE"""),46069.0)</f>
        <v>46069</v>
      </c>
      <c r="B116" s="5" t="str">
        <f>IFERROR(__xludf.DUMMYFUNCTION("""COMPUTED_VALUE"""),"TRSF E-BANKING DB")</f>
        <v>TRSF E-BANKING DB</v>
      </c>
      <c r="C116" s="5" t="str">
        <f>IFERROR(__xludf.DUMMYFUNCTION("""COMPUTED_VALUE"""),"1602/FTSCY/WS95271 44069900.00 pemb. kd suhartini jember BROILER MAKMUR TAN")</f>
        <v>1602/FTSCY/WS95271 44069900.00 pemb. kd suhartini jember BROILER MAKMUR TAN</v>
      </c>
      <c r="D116" s="3">
        <f>IFERROR(__xludf.DUMMYFUNCTION("""COMPUTED_VALUE"""),4.40699E7)</f>
        <v>44069900</v>
      </c>
      <c r="E116" s="5"/>
      <c r="F116" s="5" t="str">
        <f>IFERROR(__xludf.DUMMYFUNCTION("""COMPUTED_VALUE"""),"DB")</f>
        <v>DB</v>
      </c>
      <c r="G116" s="3">
        <f>IFERROR(__xludf.DUMMYFUNCTION("""COMPUTED_VALUE"""),1241951.4600000381)</f>
        <v>1241951.46</v>
      </c>
      <c r="H116" s="5" t="str">
        <f>IFERROR(__xludf.DUMMYFUNCTION("""COMPUTED_VALUE"""),"1,241,951.46")</f>
        <v>1,241,951.46</v>
      </c>
      <c r="I116" s="5" t="str">
        <f>IFERROR(__xludf.DUMMYFUNCTION("""COMPUTED_VALUE"""),"PRODUKSI")</f>
        <v>PRODUKSI</v>
      </c>
      <c r="J116" s="3"/>
    </row>
    <row r="117">
      <c r="A117" s="9">
        <f>IFERROR(__xludf.DUMMYFUNCTION("""COMPUTED_VALUE"""),46069.0)</f>
        <v>46069</v>
      </c>
      <c r="B117" s="5" t="str">
        <f>IFERROR(__xludf.DUMMYFUNCTION("""COMPUTED_VALUE"""),"TRSF E-BANKING DB")</f>
        <v>TRSF E-BANKING DB</v>
      </c>
      <c r="C117" s="5" t="str">
        <f>IFERROR(__xludf.DUMMYFUNCTION("""COMPUTED_VALUE"""),"1602/FTFVA/WS95031 55569/PT PRIMA FAJ titip rahmat taufi k probolinggo 40190")</f>
        <v>1602/FTFVA/WS95031 55569/PT PRIMA FAJ titip rahmat taufi k probolinggo 40190</v>
      </c>
      <c r="D117" s="3">
        <f>IFERROR(__xludf.DUMMYFUNCTION("""COMPUTED_VALUE"""),9.6E7)</f>
        <v>96000000</v>
      </c>
      <c r="E117" s="5"/>
      <c r="F117" s="5" t="str">
        <f>IFERROR(__xludf.DUMMYFUNCTION("""COMPUTED_VALUE"""),"DB")</f>
        <v>DB</v>
      </c>
      <c r="G117" s="3">
        <f>IFERROR(__xludf.DUMMYFUNCTION("""COMPUTED_VALUE"""),1.7300385146000004E8)</f>
        <v>173003851.5</v>
      </c>
      <c r="H117" s="5"/>
      <c r="I117" s="5" t="str">
        <f>IFERROR(__xludf.DUMMYFUNCTION("""COMPUTED_VALUE"""),"PRODUKSI")</f>
        <v>PRODUKSI</v>
      </c>
      <c r="J117" s="3"/>
    </row>
    <row r="118">
      <c r="A118" s="9">
        <f>IFERROR(__xludf.DUMMYFUNCTION("""COMPUTED_VALUE"""),46070.0)</f>
        <v>46070</v>
      </c>
      <c r="B118" s="5" t="str">
        <f>IFERROR(__xludf.DUMMYFUNCTION("""COMPUTED_VALUE"""),"TRSF E-BANKING DB TANGGAL :16/02")</f>
        <v>TRSF E-BANKING DB TANGGAL :16/02</v>
      </c>
      <c r="C118" s="5" t="str">
        <f>IFERROR(__xludf.DUMMYFUNCTION("""COMPUTED_VALUE"""),"1602/FTSCY/WS95011 titip kd mashudi tanggul TERNAK SEJATI TABA")</f>
        <v>1602/FTSCY/WS95011 titip kd mashudi tanggul TERNAK SEJATI TABA</v>
      </c>
      <c r="D118" s="3">
        <f>IFERROR(__xludf.DUMMYFUNCTION("""COMPUTED_VALUE"""),9.145E7)</f>
        <v>91450000</v>
      </c>
      <c r="E118" s="5"/>
      <c r="F118" s="5" t="str">
        <f>IFERROR(__xludf.DUMMYFUNCTION("""COMPUTED_VALUE"""),"DB")</f>
        <v>DB</v>
      </c>
      <c r="G118" s="3">
        <f>IFERROR(__xludf.DUMMYFUNCTION("""COMPUTED_VALUE"""),1.7547635146000004E8)</f>
        <v>175476351.5</v>
      </c>
      <c r="H118" s="5" t="str">
        <f>IFERROR(__xludf.DUMMYFUNCTION("""COMPUTED_VALUE"""),"175,476,351.46")</f>
        <v>175,476,351.46</v>
      </c>
      <c r="I118" s="5" t="str">
        <f>IFERROR(__xludf.DUMMYFUNCTION("""COMPUTED_VALUE"""),"PRODUKSI")</f>
        <v>PRODUKSI</v>
      </c>
      <c r="J118" s="3"/>
    </row>
    <row r="119">
      <c r="A119" s="9">
        <f>IFERROR(__xludf.DUMMYFUNCTION("""COMPUTED_VALUE"""),46070.0)</f>
        <v>46070</v>
      </c>
      <c r="B119" s="5" t="str">
        <f>IFERROR(__xludf.DUMMYFUNCTION("""COMPUTED_VALUE"""),"TRSF E-BANKING DB TANGGAL :16/02")</f>
        <v>TRSF E-BANKING DB TANGGAL :16/02</v>
      </c>
      <c r="C119" s="5" t="str">
        <f>IFERROR(__xludf.DUMMYFUNCTION("""COMPUTED_VALUE"""),"1602/FTSCY/WS95011 Sat Feb 14 2026 15:00:00 GMT+0700 (Western Indonesia Time) ANDALAN YASA MITRA")</f>
        <v>1602/FTSCY/WS95011 Sat Feb 14 2026 15:00:00 GMT+0700 (Western Indonesia Time) ANDALAN YASA MITRA</v>
      </c>
      <c r="D119" s="3">
        <f>IFERROR(__xludf.DUMMYFUNCTION("""COMPUTED_VALUE"""),6.364426E7)</f>
        <v>63644260</v>
      </c>
      <c r="E119" s="5"/>
      <c r="F119" s="5" t="str">
        <f>IFERROR(__xludf.DUMMYFUNCTION("""COMPUTED_VALUE"""),"DB")</f>
        <v>DB</v>
      </c>
      <c r="G119" s="3">
        <f>IFERROR(__xludf.DUMMYFUNCTION("""COMPUTED_VALUE"""),1.0794340146000004E8)</f>
        <v>107943401.5</v>
      </c>
      <c r="H119" s="5"/>
      <c r="I119" s="5" t="str">
        <f>IFERROR(__xludf.DUMMYFUNCTION("""COMPUTED_VALUE"""),"PRODUKSI")</f>
        <v>PRODUKSI</v>
      </c>
      <c r="J119" s="3"/>
    </row>
    <row r="120">
      <c r="A120" s="9">
        <f>IFERROR(__xludf.DUMMYFUNCTION("""COMPUTED_VALUE"""),46070.0)</f>
        <v>46070</v>
      </c>
      <c r="B120" s="5" t="str">
        <f>IFERROR(__xludf.DUMMYFUNCTION("""COMPUTED_VALUE"""),"TRSF E-BANKING DB TANGGAL :16/02")</f>
        <v>TRSF E-BANKING DB TANGGAL :16/02</v>
      </c>
      <c r="C120" s="5" t="str">
        <f>IFERROR(__xludf.DUMMYFUNCTION("""COMPUTED_VALUE"""),"1602/FTSCY/WS95011 t.agung 14/02 PITIK DIGITAL INDO")</f>
        <v>1602/FTSCY/WS95011 t.agung 14/02 PITIK DIGITAL INDO</v>
      </c>
      <c r="D120" s="3">
        <f>IFERROR(__xludf.DUMMYFUNCTION("""COMPUTED_VALUE"""),5.059075E7)</f>
        <v>50590750</v>
      </c>
      <c r="E120" s="5"/>
      <c r="F120" s="5" t="str">
        <f>IFERROR(__xludf.DUMMYFUNCTION("""COMPUTED_VALUE"""),"DB")</f>
        <v>DB</v>
      </c>
      <c r="G120" s="3">
        <f>IFERROR(__xludf.DUMMYFUNCTION("""COMPUTED_VALUE"""),5.735265146000004E7)</f>
        <v>57352651.46</v>
      </c>
      <c r="H120" s="5"/>
      <c r="I120" s="5" t="str">
        <f>IFERROR(__xludf.DUMMYFUNCTION("""COMPUTED_VALUE"""),"PRODUKSI")</f>
        <v>PRODUKSI</v>
      </c>
      <c r="J120" s="3"/>
    </row>
    <row r="121">
      <c r="A121" s="9">
        <f>IFERROR(__xludf.DUMMYFUNCTION("""COMPUTED_VALUE"""),46070.0)</f>
        <v>46070</v>
      </c>
      <c r="B121" s="5" t="str">
        <f>IFERROR(__xludf.DUMMYFUNCTION("""COMPUTED_VALUE"""),"TRSF E-BANKING DB")</f>
        <v>TRSF E-BANKING DB</v>
      </c>
      <c r="C121" s="5" t="str">
        <f>IFERROR(__xludf.DUMMYFUNCTION("""COMPUTED_VALUE"""),"1702/FTSCY/WS95011 215003600.00 farm jaka p Sat Feb 14 2026 15:00:00 GMT+0700 (Western Indonesia Time) SUPER UNGGAS JAYA")</f>
        <v>1702/FTSCY/WS95011 215003600.00 farm jaka p Sat Feb 14 2026 15:00:00 GMT+0700 (Western Indonesia Time) SUPER UNGGAS JAYA</v>
      </c>
      <c r="D121" s="3">
        <f>IFERROR(__xludf.DUMMYFUNCTION("""COMPUTED_VALUE"""),2.150036E8)</f>
        <v>215003600</v>
      </c>
      <c r="E121" s="5"/>
      <c r="F121" s="5" t="str">
        <f>IFERROR(__xludf.DUMMYFUNCTION("""COMPUTED_VALUE"""),"DB")</f>
        <v>DB</v>
      </c>
      <c r="G121" s="3">
        <f>IFERROR(__xludf.DUMMYFUNCTION("""COMPUTED_VALUE"""),9.080155146000004E7)</f>
        <v>90801551.46</v>
      </c>
      <c r="H121" s="5"/>
      <c r="I121" s="5" t="str">
        <f>IFERROR(__xludf.DUMMYFUNCTION("""COMPUTED_VALUE"""),"PRODUKSI")</f>
        <v>PRODUKSI</v>
      </c>
      <c r="J121" s="3"/>
    </row>
    <row r="122">
      <c r="A122" s="9">
        <f>IFERROR(__xludf.DUMMYFUNCTION("""COMPUTED_VALUE"""),46070.0)</f>
        <v>46070</v>
      </c>
      <c r="B122" s="5" t="str">
        <f>IFERROR(__xludf.DUMMYFUNCTION("""COMPUTED_VALUE"""),"TRSF E-BANKING DB")</f>
        <v>TRSF E-BANKING DB</v>
      </c>
      <c r="C122" s="5" t="str">
        <f>IFERROR(__xludf.DUMMYFUNCTION("""COMPUTED_VALUE"""),"1702/FTSCY/WS95011 72000000.00 14/02 lunas ANDALAN YASA MITRA")</f>
        <v>1702/FTSCY/WS95011 72000000.00 14/02 lunas ANDALAN YASA MITRA</v>
      </c>
      <c r="D122" s="3">
        <f>IFERROR(__xludf.DUMMYFUNCTION("""COMPUTED_VALUE"""),7.2E7)</f>
        <v>72000000</v>
      </c>
      <c r="E122" s="5"/>
      <c r="F122" s="5" t="str">
        <f>IFERROR(__xludf.DUMMYFUNCTION("""COMPUTED_VALUE"""),"DB")</f>
        <v>DB</v>
      </c>
      <c r="G122" s="3">
        <f>IFERROR(__xludf.DUMMYFUNCTION("""COMPUTED_VALUE"""),1.880155146000004E7)</f>
        <v>18801551.46</v>
      </c>
      <c r="H122" s="5"/>
      <c r="I122" s="5" t="str">
        <f>IFERROR(__xludf.DUMMYFUNCTION("""COMPUTED_VALUE"""),"PRODUKSI")</f>
        <v>PRODUKSI</v>
      </c>
      <c r="J122" s="3"/>
    </row>
    <row r="123">
      <c r="A123" s="9">
        <f>IFERROR(__xludf.DUMMYFUNCTION("""COMPUTED_VALUE"""),46070.0)</f>
        <v>46070</v>
      </c>
      <c r="B123" s="5" t="str">
        <f>IFERROR(__xludf.DUMMYFUNCTION("""COMPUTED_VALUE"""),"TRSF E-BANKING DB")</f>
        <v>TRSF E-BANKING DB</v>
      </c>
      <c r="C123" s="5" t="str">
        <f>IFERROR(__xludf.DUMMYFUNCTION("""COMPUTED_VALUE"""),"1702/FTSCY/WS95031 2091000.00 pelunasan CV SURYA INTI TERN")</f>
        <v>1702/FTSCY/WS95031 2091000.00 pelunasan CV SURYA INTI TERN</v>
      </c>
      <c r="D123" s="3">
        <f>IFERROR(__xludf.DUMMYFUNCTION("""COMPUTED_VALUE"""),2091000.0)</f>
        <v>2091000</v>
      </c>
      <c r="E123" s="5"/>
      <c r="F123" s="5" t="str">
        <f>IFERROR(__xludf.DUMMYFUNCTION("""COMPUTED_VALUE"""),"DB")</f>
        <v>DB</v>
      </c>
      <c r="G123" s="3">
        <f>IFERROR(__xludf.DUMMYFUNCTION("""COMPUTED_VALUE"""),1.6710551460000038E7)</f>
        <v>16710551.46</v>
      </c>
      <c r="H123" s="5"/>
      <c r="I123" s="5" t="str">
        <f>IFERROR(__xludf.DUMMYFUNCTION("""COMPUTED_VALUE"""),"PRODUKSI")</f>
        <v>PRODUKSI</v>
      </c>
      <c r="J123" s="3"/>
    </row>
    <row r="124">
      <c r="A124" s="9">
        <f>IFERROR(__xludf.DUMMYFUNCTION("""COMPUTED_VALUE"""),46070.0)</f>
        <v>46070</v>
      </c>
      <c r="B124" s="5" t="str">
        <f>IFERROR(__xludf.DUMMYFUNCTION("""COMPUTED_VALUE"""),"TRSF E-BANKING DB")</f>
        <v>TRSF E-BANKING DB</v>
      </c>
      <c r="C124" s="5" t="str">
        <f>IFERROR(__xludf.DUMMYFUNCTION("""COMPUTED_VALUE"""),"1702/FTSCY/WS95271 149565000.00 kd purwito mlg PITIK DIGITAL INDO")</f>
        <v>1702/FTSCY/WS95271 149565000.00 kd purwito mlg PITIK DIGITAL INDO</v>
      </c>
      <c r="D124" s="3">
        <f>IFERROR(__xludf.DUMMYFUNCTION("""COMPUTED_VALUE"""),1.49565E8)</f>
        <v>149565000</v>
      </c>
      <c r="E124" s="5"/>
      <c r="F124" s="5" t="str">
        <f>IFERROR(__xludf.DUMMYFUNCTION("""COMPUTED_VALUE"""),"DB")</f>
        <v>DB</v>
      </c>
      <c r="G124" s="3">
        <f>IFERROR(__xludf.DUMMYFUNCTION("""COMPUTED_VALUE"""),7.796815146000004E7)</f>
        <v>77968151.46</v>
      </c>
      <c r="H124" s="5" t="str">
        <f>IFERROR(__xludf.DUMMYFUNCTION("""COMPUTED_VALUE"""),"77,968,151.46")</f>
        <v>77,968,151.46</v>
      </c>
      <c r="I124" s="5" t="str">
        <f>IFERROR(__xludf.DUMMYFUNCTION("""COMPUTED_VALUE"""),"PRODUKSI")</f>
        <v>PRODUKSI</v>
      </c>
      <c r="J124" s="3"/>
    </row>
    <row r="125">
      <c r="A125" s="9">
        <f>IFERROR(__xludf.DUMMYFUNCTION("""COMPUTED_VALUE"""),46070.0)</f>
        <v>46070</v>
      </c>
      <c r="B125" s="5" t="str">
        <f>IFERROR(__xludf.DUMMYFUNCTION("""COMPUTED_VALUE"""),"TRSF E-BANKING DB")</f>
        <v>TRSF E-BANKING DB</v>
      </c>
      <c r="C125" s="5" t="str">
        <f>IFERROR(__xludf.DUMMYFUNCTION("""COMPUTED_VALUE"""),"1702/FTSCY/WS95271 46400000.00 Mon Feb 16 2026 15:00:00 GMT+0700 (Western Indonesia Time) GANESHA SATRIA NUS")</f>
        <v>1702/FTSCY/WS95271 46400000.00 Mon Feb 16 2026 15:00:00 GMT+0700 (Western Indonesia Time) GANESHA SATRIA NUS</v>
      </c>
      <c r="D125" s="3">
        <f>IFERROR(__xludf.DUMMYFUNCTION("""COMPUTED_VALUE"""),4.64E7)</f>
        <v>46400000</v>
      </c>
      <c r="E125" s="5"/>
      <c r="F125" s="5" t="str">
        <f>IFERROR(__xludf.DUMMYFUNCTION("""COMPUTED_VALUE"""),"DB")</f>
        <v>DB</v>
      </c>
      <c r="G125" s="3">
        <f>IFERROR(__xludf.DUMMYFUNCTION("""COMPUTED_VALUE"""),1.8096815146000004E8)</f>
        <v>180968151.5</v>
      </c>
      <c r="H125" s="5"/>
      <c r="I125" s="5" t="str">
        <f>IFERROR(__xludf.DUMMYFUNCTION("""COMPUTED_VALUE"""),"PRODUKSI")</f>
        <v>PRODUKSI</v>
      </c>
      <c r="J125" s="3"/>
    </row>
    <row r="126">
      <c r="A126" s="9">
        <f>IFERROR(__xludf.DUMMYFUNCTION("""COMPUTED_VALUE"""),46070.0)</f>
        <v>46070</v>
      </c>
      <c r="B126" s="5" t="str">
        <f>IFERROR(__xludf.DUMMYFUNCTION("""COMPUTED_VALUE"""),"TRSF E-BANKING DB")</f>
        <v>TRSF E-BANKING DB</v>
      </c>
      <c r="C126" s="5" t="str">
        <f>IFERROR(__xludf.DUMMYFUNCTION("""COMPUTED_VALUE"""),"1702/FTSCY/WS95271 54415200.00 kd saiful anam jem ber PITIK DIGITAL INDO")</f>
        <v>1702/FTSCY/WS95271 54415200.00 kd saiful anam jem ber PITIK DIGITAL INDO</v>
      </c>
      <c r="D126" s="3">
        <f>IFERROR(__xludf.DUMMYFUNCTION("""COMPUTED_VALUE"""),5.44152E7)</f>
        <v>54415200</v>
      </c>
      <c r="E126" s="5"/>
      <c r="F126" s="5" t="str">
        <f>IFERROR(__xludf.DUMMYFUNCTION("""COMPUTED_VALUE"""),"DB")</f>
        <v>DB</v>
      </c>
      <c r="G126" s="3">
        <f>IFERROR(__xludf.DUMMYFUNCTION("""COMPUTED_VALUE"""),1.2655295146000004E8)</f>
        <v>126552951.5</v>
      </c>
      <c r="H126" s="5"/>
      <c r="I126" s="5" t="str">
        <f>IFERROR(__xludf.DUMMYFUNCTION("""COMPUTED_VALUE"""),"PRODUKSI")</f>
        <v>PRODUKSI</v>
      </c>
      <c r="J126" s="3"/>
    </row>
    <row r="127">
      <c r="A127" s="9">
        <f>IFERROR(__xludf.DUMMYFUNCTION("""COMPUTED_VALUE"""),46070.0)</f>
        <v>46070</v>
      </c>
      <c r="B127" s="5" t="str">
        <f>IFERROR(__xludf.DUMMYFUNCTION("""COMPUTED_VALUE"""),"TRSF E-BANKING DB")</f>
        <v>TRSF E-BANKING DB</v>
      </c>
      <c r="C127" s="5" t="str">
        <f>IFERROR(__xludf.DUMMYFUNCTION("""COMPUTED_VALUE"""),"1702/FTSCY/WS95031 61050000.00 kd darmaji mjk ANDALAN YASA MITRA")</f>
        <v>1702/FTSCY/WS95031 61050000.00 kd darmaji mjk ANDALAN YASA MITRA</v>
      </c>
      <c r="D127" s="3">
        <f>IFERROR(__xludf.DUMMYFUNCTION("""COMPUTED_VALUE"""),6.105E7)</f>
        <v>61050000</v>
      </c>
      <c r="E127" s="5"/>
      <c r="F127" s="5" t="str">
        <f>IFERROR(__xludf.DUMMYFUNCTION("""COMPUTED_VALUE"""),"DB")</f>
        <v>DB</v>
      </c>
      <c r="G127" s="3">
        <f>IFERROR(__xludf.DUMMYFUNCTION("""COMPUTED_VALUE"""),6.550295146000004E7)</f>
        <v>65502951.46</v>
      </c>
      <c r="H127" s="5"/>
      <c r="I127" s="5" t="str">
        <f>IFERROR(__xludf.DUMMYFUNCTION("""COMPUTED_VALUE"""),"PRODUKSI")</f>
        <v>PRODUKSI</v>
      </c>
      <c r="J127" s="3"/>
    </row>
    <row r="128">
      <c r="A128" s="9">
        <f>IFERROR(__xludf.DUMMYFUNCTION("""COMPUTED_VALUE"""),46071.0)</f>
        <v>46071</v>
      </c>
      <c r="B128" s="5" t="str">
        <f>IFERROR(__xludf.DUMMYFUNCTION("""COMPUTED_VALUE"""),"TRSF E-BANKING DB")</f>
        <v>TRSF E-BANKING DB</v>
      </c>
      <c r="C128" s="5" t="str">
        <f>IFERROR(__xludf.DUMMYFUNCTION("""COMPUTED_VALUE"""),"1802/FTSCY/WS95271 51782000.00 pemb. kd hendra pa suruan BROILER MAKMUR TAN")</f>
        <v>1802/FTSCY/WS95271 51782000.00 pemb. kd hendra pa suruan BROILER MAKMUR TAN</v>
      </c>
      <c r="D128" s="3">
        <f>IFERROR(__xludf.DUMMYFUNCTION("""COMPUTED_VALUE"""),5.1782E7)</f>
        <v>51782000</v>
      </c>
      <c r="E128" s="5"/>
      <c r="F128" s="5" t="str">
        <f>IFERROR(__xludf.DUMMYFUNCTION("""COMPUTED_VALUE"""),"DB")</f>
        <v>DB</v>
      </c>
      <c r="G128" s="3">
        <f>IFERROR(__xludf.DUMMYFUNCTION("""COMPUTED_VALUE"""),6.173415146000004E7)</f>
        <v>61734151.46</v>
      </c>
      <c r="H128" s="5"/>
      <c r="I128" s="5" t="str">
        <f>IFERROR(__xludf.DUMMYFUNCTION("""COMPUTED_VALUE"""),"PRODUKSI")</f>
        <v>PRODUKSI</v>
      </c>
      <c r="J128" s="3"/>
    </row>
    <row r="129">
      <c r="A129" s="9">
        <f>IFERROR(__xludf.DUMMYFUNCTION("""COMPUTED_VALUE"""),46071.0)</f>
        <v>46071</v>
      </c>
      <c r="B129" s="5" t="str">
        <f>IFERROR(__xludf.DUMMYFUNCTION("""COMPUTED_VALUE"""),"TRSF E-BANKING DB")</f>
        <v>TRSF E-BANKING DB</v>
      </c>
      <c r="C129" s="5" t="str">
        <f>IFERROR(__xludf.DUMMYFUNCTION("""COMPUTED_VALUE"""),"1802/FTSCY/WS95271 61050000.00 tuban PITIK DIGITAL INDO")</f>
        <v>1802/FTSCY/WS95271 61050000.00 tuban PITIK DIGITAL INDO</v>
      </c>
      <c r="D129" s="3">
        <f>IFERROR(__xludf.DUMMYFUNCTION("""COMPUTED_VALUE"""),6.105E7)</f>
        <v>61050000</v>
      </c>
      <c r="E129" s="5"/>
      <c r="F129" s="5" t="str">
        <f>IFERROR(__xludf.DUMMYFUNCTION("""COMPUTED_VALUE"""),"DB")</f>
        <v>DB</v>
      </c>
      <c r="G129" s="3">
        <f>IFERROR(__xludf.DUMMYFUNCTION("""COMPUTED_VALUE"""),684151.4600000381)</f>
        <v>684151.46</v>
      </c>
      <c r="H129" s="5" t="str">
        <f>IFERROR(__xludf.DUMMYFUNCTION("""COMPUTED_VALUE"""),"684,151.46")</f>
        <v>684,151.46</v>
      </c>
      <c r="I129" s="5" t="str">
        <f>IFERROR(__xludf.DUMMYFUNCTION("""COMPUTED_VALUE"""),"PRODUKSI")</f>
        <v>PRODUKSI</v>
      </c>
      <c r="J129" s="3"/>
    </row>
    <row r="130">
      <c r="A130" s="9">
        <f>IFERROR(__xludf.DUMMYFUNCTION("""COMPUTED_VALUE"""),46071.0)</f>
        <v>46071</v>
      </c>
      <c r="B130" s="5" t="str">
        <f>IFERROR(__xludf.DUMMYFUNCTION("""COMPUTED_VALUE"""),"TRSF E-BANKING DB")</f>
        <v>TRSF E-BANKING DB</v>
      </c>
      <c r="C130" s="5" t="str">
        <f>IFERROR(__xludf.DUMMYFUNCTION("""COMPUTED_VALUE"""),"1802/FTSCY/WS95031 86959200.00 Sun Feb 15 2026 15:00:00 GMT+0700 (Western Indonesia Time) BROILER MAKMUR TAN")</f>
        <v>1802/FTSCY/WS95031 86959200.00 Sun Feb 15 2026 15:00:00 GMT+0700 (Western Indonesia Time) BROILER MAKMUR TAN</v>
      </c>
      <c r="D130" s="3">
        <f>IFERROR(__xludf.DUMMYFUNCTION("""COMPUTED_VALUE"""),8.69592E7)</f>
        <v>86959200</v>
      </c>
      <c r="E130" s="5"/>
      <c r="F130" s="5" t="str">
        <f>IFERROR(__xludf.DUMMYFUNCTION("""COMPUTED_VALUE"""),"DB")</f>
        <v>DB</v>
      </c>
      <c r="G130" s="3">
        <f>IFERROR(__xludf.DUMMYFUNCTION("""COMPUTED_VALUE"""),3724951.460000038)</f>
        <v>3724951.46</v>
      </c>
      <c r="H130" s="5" t="str">
        <f>IFERROR(__xludf.DUMMYFUNCTION("""COMPUTED_VALUE"""),"3,724,951.46")</f>
        <v>3,724,951.46</v>
      </c>
      <c r="I130" s="5" t="str">
        <f>IFERROR(__xludf.DUMMYFUNCTION("""COMPUTED_VALUE"""),"PRODUKSI")</f>
        <v>PRODUKSI</v>
      </c>
      <c r="J130" s="3"/>
    </row>
    <row r="131">
      <c r="A131" s="9">
        <f>IFERROR(__xludf.DUMMYFUNCTION("""COMPUTED_VALUE"""),46072.0)</f>
        <v>46072</v>
      </c>
      <c r="B131" s="5" t="str">
        <f>IFERROR(__xludf.DUMMYFUNCTION("""COMPUTED_VALUE"""),"TRSF E-BANKING DB")</f>
        <v>TRSF E-BANKING DB</v>
      </c>
      <c r="C131" s="5" t="str">
        <f>IFERROR(__xludf.DUMMYFUNCTION("""COMPUTED_VALUE"""),"1902/FTSCY/WS95031 45000000.00 kd nurwakid 3000kg UNGGAS MANDIRI BER")</f>
        <v>1902/FTSCY/WS95031 45000000.00 kd nurwakid 3000kg UNGGAS MANDIRI BER</v>
      </c>
      <c r="D131" s="3">
        <f>IFERROR(__xludf.DUMMYFUNCTION("""COMPUTED_VALUE"""),4.5E7)</f>
        <v>45000000</v>
      </c>
      <c r="E131" s="5"/>
      <c r="F131" s="5" t="str">
        <f>IFERROR(__xludf.DUMMYFUNCTION("""COMPUTED_VALUE"""),"DB")</f>
        <v>DB</v>
      </c>
      <c r="G131" s="3">
        <f>IFERROR(__xludf.DUMMYFUNCTION("""COMPUTED_VALUE"""),5.719007146000004E7)</f>
        <v>57190071.46</v>
      </c>
      <c r="H131" s="5"/>
      <c r="I131" s="5" t="str">
        <f>IFERROR(__xludf.DUMMYFUNCTION("""COMPUTED_VALUE"""),"PRODUKSI")</f>
        <v>PRODUKSI</v>
      </c>
      <c r="J131" s="3"/>
    </row>
    <row r="132">
      <c r="A132" s="9">
        <f>IFERROR(__xludf.DUMMYFUNCTION("""COMPUTED_VALUE"""),46072.0)</f>
        <v>46072</v>
      </c>
      <c r="B132" s="5" t="str">
        <f>IFERROR(__xludf.DUMMYFUNCTION("""COMPUTED_VALUE"""),"TRSF E-BANKING DB")</f>
        <v>TRSF E-BANKING DB</v>
      </c>
      <c r="C132" s="5" t="str">
        <f>IFERROR(__xludf.DUMMYFUNCTION("""COMPUTED_VALUE"""),"1902/FTSCY/WS95271 59636000.00 15/02 lunas BROILER MAKMUR TAN")</f>
        <v>1902/FTSCY/WS95271 59636000.00 15/02 lunas BROILER MAKMUR TAN</v>
      </c>
      <c r="D132" s="3">
        <f>IFERROR(__xludf.DUMMYFUNCTION("""COMPUTED_VALUE"""),5.9636E7)</f>
        <v>59636000</v>
      </c>
      <c r="E132" s="5"/>
      <c r="F132" s="5" t="str">
        <f>IFERROR(__xludf.DUMMYFUNCTION("""COMPUTED_VALUE"""),"DB")</f>
        <v>DB</v>
      </c>
      <c r="G132" s="3">
        <f>IFERROR(__xludf.DUMMYFUNCTION("""COMPUTED_VALUE"""),554071.4600000381)</f>
        <v>554071.46</v>
      </c>
      <c r="H132" s="5"/>
      <c r="I132" s="5" t="str">
        <f>IFERROR(__xludf.DUMMYFUNCTION("""COMPUTED_VALUE"""),"PRODUKSI")</f>
        <v>PRODUKSI</v>
      </c>
      <c r="J132" s="3"/>
    </row>
    <row r="133">
      <c r="A133" s="9">
        <f>IFERROR(__xludf.DUMMYFUNCTION("""COMPUTED_VALUE"""),46073.0)</f>
        <v>46073</v>
      </c>
      <c r="B133" s="5" t="str">
        <f>IFERROR(__xludf.DUMMYFUNCTION("""COMPUTED_VALUE"""),"TRSF E-BANKING DB")</f>
        <v>TRSF E-BANKING DB</v>
      </c>
      <c r="C133" s="5" t="str">
        <f>IFERROR(__xludf.DUMMYFUNCTION("""COMPUTED_VALUE"""),"2002/FTSCY/WS95271 97172600.00 Mon Feb 16 2026 15:00:00 GMT+0700 (Western Indonesia Time) RUKUN MITRA BERSAM")</f>
        <v>2002/FTSCY/WS95271 97172600.00 Mon Feb 16 2026 15:00:00 GMT+0700 (Western Indonesia Time) RUKUN MITRA BERSAM</v>
      </c>
      <c r="D133" s="3">
        <f>IFERROR(__xludf.DUMMYFUNCTION("""COMPUTED_VALUE"""),9.71726E7)</f>
        <v>97172600</v>
      </c>
      <c r="E133" s="5"/>
      <c r="F133" s="5" t="str">
        <f>IFERROR(__xludf.DUMMYFUNCTION("""COMPUTED_VALUE"""),"DB")</f>
        <v>DB</v>
      </c>
      <c r="G133" s="3">
        <f>IFERROR(__xludf.DUMMYFUNCTION("""COMPUTED_VALUE"""),9.109377146000004E7)</f>
        <v>91093771.46</v>
      </c>
      <c r="H133" s="5"/>
      <c r="I133" s="5" t="str">
        <f>IFERROR(__xludf.DUMMYFUNCTION("""COMPUTED_VALUE"""),"PRODUKSI")</f>
        <v>PRODUKSI</v>
      </c>
      <c r="J133" s="3"/>
    </row>
    <row r="134">
      <c r="A134" s="9">
        <f>IFERROR(__xludf.DUMMYFUNCTION("""COMPUTED_VALUE"""),46073.0)</f>
        <v>46073</v>
      </c>
      <c r="B134" s="5" t="str">
        <f>IFERROR(__xludf.DUMMYFUNCTION("""COMPUTED_VALUE"""),"TRSF E-BANKING DB")</f>
        <v>TRSF E-BANKING DB</v>
      </c>
      <c r="C134" s="5" t="str">
        <f>IFERROR(__xludf.DUMMYFUNCTION("""COMPUTED_VALUE"""),"2002/FTSCY/WS95031 129000.00 pelunasan UNGGAS MANDIRI BER")</f>
        <v>2002/FTSCY/WS95031 129000.00 pelunasan UNGGAS MANDIRI BER</v>
      </c>
      <c r="D134" s="3">
        <f>IFERROR(__xludf.DUMMYFUNCTION("""COMPUTED_VALUE"""),129000.0)</f>
        <v>129000</v>
      </c>
      <c r="E134" s="5"/>
      <c r="F134" s="5" t="str">
        <f>IFERROR(__xludf.DUMMYFUNCTION("""COMPUTED_VALUE"""),"DB")</f>
        <v>DB</v>
      </c>
      <c r="G134" s="3">
        <f>IFERROR(__xludf.DUMMYFUNCTION("""COMPUTED_VALUE"""),8.906477146000004E7)</f>
        <v>89064771.46</v>
      </c>
      <c r="H134" s="5" t="str">
        <f>IFERROR(__xludf.DUMMYFUNCTION("""COMPUTED_VALUE"""),"89,064,771.46")</f>
        <v>89,064,771.46</v>
      </c>
      <c r="I134" s="5" t="str">
        <f>IFERROR(__xludf.DUMMYFUNCTION("""COMPUTED_VALUE"""),"PRODUKSI")</f>
        <v>PRODUKSI</v>
      </c>
      <c r="J134" s="3"/>
    </row>
    <row r="135">
      <c r="A135" s="9">
        <f>IFERROR(__xludf.DUMMYFUNCTION("""COMPUTED_VALUE"""),46073.0)</f>
        <v>46073</v>
      </c>
      <c r="B135" s="5" t="str">
        <f>IFERROR(__xludf.DUMMYFUNCTION("""COMPUTED_VALUE"""),"TRSF E-BANKING DB")</f>
        <v>TRSF E-BANKING DB</v>
      </c>
      <c r="C135" s="5" t="str">
        <f>IFERROR(__xludf.DUMMYFUNCTION("""COMPUTED_VALUE"""),"2002/FTSCY/WS95271 141819550.00 mlg PITIK DIGITAL INDO")</f>
        <v>2002/FTSCY/WS95271 141819550.00 mlg PITIK DIGITAL INDO</v>
      </c>
      <c r="D135" s="3">
        <f>IFERROR(__xludf.DUMMYFUNCTION("""COMPUTED_VALUE"""),1.4181955E8)</f>
        <v>141819550</v>
      </c>
      <c r="E135" s="5"/>
      <c r="F135" s="5" t="str">
        <f>IFERROR(__xludf.DUMMYFUNCTION("""COMPUTED_VALUE"""),"DB")</f>
        <v>DB</v>
      </c>
      <c r="G135" s="3">
        <f>IFERROR(__xludf.DUMMYFUNCTION("""COMPUTED_VALUE"""),5.352664146000004E7)</f>
        <v>53526641.46</v>
      </c>
      <c r="H135" s="5"/>
      <c r="I135" s="5" t="str">
        <f>IFERROR(__xludf.DUMMYFUNCTION("""COMPUTED_VALUE"""),"PRODUKSI")</f>
        <v>PRODUKSI</v>
      </c>
      <c r="J135" s="3"/>
    </row>
    <row r="136">
      <c r="A136" s="9">
        <f>IFERROR(__xludf.DUMMYFUNCTION("""COMPUTED_VALUE"""),46073.0)</f>
        <v>46073</v>
      </c>
      <c r="B136" s="5" t="str">
        <f>IFERROR(__xludf.DUMMYFUNCTION("""COMPUTED_VALUE"""),"TRSF E-BANKING DB")</f>
        <v>TRSF E-BANKING DB</v>
      </c>
      <c r="C136" s="5" t="str">
        <f>IFERROR(__xludf.DUMMYFUNCTION("""COMPUTED_VALUE"""),"2002/FTSCY/WS95031 91280000.00 Sun Feb 15 2026 15:00:00 GMT+0700 (Western Indonesia Time) SUPER UNGGAS JAYA")</f>
        <v>2002/FTSCY/WS95031 91280000.00 Sun Feb 15 2026 15:00:00 GMT+0700 (Western Indonesia Time) SUPER UNGGAS JAYA</v>
      </c>
      <c r="D136" s="3">
        <f>IFERROR(__xludf.DUMMYFUNCTION("""COMPUTED_VALUE"""),9.128E7)</f>
        <v>91280000</v>
      </c>
      <c r="E136" s="5"/>
      <c r="F136" s="5" t="str">
        <f>IFERROR(__xludf.DUMMYFUNCTION("""COMPUTED_VALUE"""),"DB")</f>
        <v>DB</v>
      </c>
      <c r="G136" s="3">
        <f>IFERROR(__xludf.DUMMYFUNCTION("""COMPUTED_VALUE"""),6.224664146000004E7)</f>
        <v>62246641.46</v>
      </c>
      <c r="H136" s="5"/>
      <c r="I136" s="5" t="str">
        <f>IFERROR(__xludf.DUMMYFUNCTION("""COMPUTED_VALUE"""),"PRODUKSI")</f>
        <v>PRODUKSI</v>
      </c>
      <c r="J136" s="3"/>
    </row>
    <row r="137">
      <c r="A137" s="9">
        <f>IFERROR(__xludf.DUMMYFUNCTION("""COMPUTED_VALUE"""),46073.0)</f>
        <v>46073</v>
      </c>
      <c r="B137" s="5" t="str">
        <f>IFERROR(__xludf.DUMMYFUNCTION("""COMPUTED_VALUE"""),"TRSF E-BANKING DB")</f>
        <v>TRSF E-BANKING DB</v>
      </c>
      <c r="C137" s="5" t="str">
        <f>IFERROR(__xludf.DUMMYFUNCTION("""COMPUTED_VALUE"""),"2002/FTSCY/WS95011 184249250.00 pelunasan BROILER MAKMUR TAN")</f>
        <v>2002/FTSCY/WS95011 184249250.00 pelunasan BROILER MAKMUR TAN</v>
      </c>
      <c r="D137" s="3">
        <f>IFERROR(__xludf.DUMMYFUNCTION("""COMPUTED_VALUE"""),1.8424925E8)</f>
        <v>184249250</v>
      </c>
      <c r="E137" s="5"/>
      <c r="F137" s="5" t="str">
        <f>IFERROR(__xludf.DUMMYFUNCTION("""COMPUTED_VALUE"""),"DB")</f>
        <v>DB</v>
      </c>
      <c r="G137" s="3">
        <f>IFERROR(__xludf.DUMMYFUNCTION("""COMPUTED_VALUE"""),1.7109574146000004E8)</f>
        <v>171095741.5</v>
      </c>
      <c r="H137" s="5"/>
      <c r="I137" s="5" t="str">
        <f>IFERROR(__xludf.DUMMYFUNCTION("""COMPUTED_VALUE"""),"PRODUKSI")</f>
        <v>PRODUKSI</v>
      </c>
      <c r="J137" s="3"/>
    </row>
    <row r="138">
      <c r="A138" s="9">
        <f>IFERROR(__xludf.DUMMYFUNCTION("""COMPUTED_VALUE"""),46073.0)</f>
        <v>46073</v>
      </c>
      <c r="B138" s="5" t="str">
        <f>IFERROR(__xludf.DUMMYFUNCTION("""COMPUTED_VALUE"""),"TRSF E-BANKING DB")</f>
        <v>TRSF E-BANKING DB</v>
      </c>
      <c r="C138" s="5" t="str">
        <f>IFERROR(__xludf.DUMMYFUNCTION("""COMPUTED_VALUE"""),"2002/FTSCY/WS95011 106515000.00 tuban PITIK DIGITAL INDO")</f>
        <v>2002/FTSCY/WS95011 106515000.00 tuban PITIK DIGITAL INDO</v>
      </c>
      <c r="D138" s="3">
        <f>IFERROR(__xludf.DUMMYFUNCTION("""COMPUTED_VALUE"""),1.06515E8)</f>
        <v>106515000</v>
      </c>
      <c r="E138" s="5"/>
      <c r="F138" s="5" t="str">
        <f>IFERROR(__xludf.DUMMYFUNCTION("""COMPUTED_VALUE"""),"DB")</f>
        <v>DB</v>
      </c>
      <c r="G138" s="3">
        <f>IFERROR(__xludf.DUMMYFUNCTION("""COMPUTED_VALUE"""),6.458074146000004E7)</f>
        <v>64580741.46</v>
      </c>
      <c r="H138" s="5" t="str">
        <f>IFERROR(__xludf.DUMMYFUNCTION("""COMPUTED_VALUE"""),"64,580,741.46")</f>
        <v>64,580,741.46</v>
      </c>
      <c r="I138" s="5" t="str">
        <f>IFERROR(__xludf.DUMMYFUNCTION("""COMPUTED_VALUE"""),"PRODUKSI")</f>
        <v>PRODUKSI</v>
      </c>
      <c r="J138" s="3"/>
    </row>
    <row r="139">
      <c r="A139" s="9">
        <f>IFERROR(__xludf.DUMMYFUNCTION("""COMPUTED_VALUE"""),46074.0)</f>
        <v>46074</v>
      </c>
      <c r="B139" s="5" t="str">
        <f>IFERROR(__xludf.DUMMYFUNCTION("""COMPUTED_VALUE"""),"TRSF E-BANKING DB")</f>
        <v>TRSF E-BANKING DB</v>
      </c>
      <c r="C139" s="5" t="str">
        <f>IFERROR(__xludf.DUMMYFUNCTION("""COMPUTED_VALUE"""),"2102/FTSCY/WS95271 176452250.00 tuiung agung PITIK DIGITAL INDO")</f>
        <v>2102/FTSCY/WS95271 176452250.00 tuiung agung PITIK DIGITAL INDO</v>
      </c>
      <c r="D139" s="3">
        <f>IFERROR(__xludf.DUMMYFUNCTION("""COMPUTED_VALUE"""),1.7645225E8)</f>
        <v>176452250</v>
      </c>
      <c r="E139" s="5"/>
      <c r="F139" s="5" t="str">
        <f>IFERROR(__xludf.DUMMYFUNCTION("""COMPUTED_VALUE"""),"DB")</f>
        <v>DB</v>
      </c>
      <c r="G139" s="3">
        <f>IFERROR(__xludf.DUMMYFUNCTION("""COMPUTED_VALUE"""),100201.46000003815)</f>
        <v>100201.46</v>
      </c>
      <c r="H139" s="5"/>
      <c r="I139" s="5" t="str">
        <f>IFERROR(__xludf.DUMMYFUNCTION("""COMPUTED_VALUE"""),"PRODUKSI")</f>
        <v>PRODUKSI</v>
      </c>
      <c r="J139" s="3"/>
    </row>
    <row r="140">
      <c r="A140" s="9">
        <f>IFERROR(__xludf.DUMMYFUNCTION("""COMPUTED_VALUE"""),46074.0)</f>
        <v>46074</v>
      </c>
      <c r="B140" s="5" t="str">
        <f>IFERROR(__xludf.DUMMYFUNCTION("""COMPUTED_VALUE"""),"TRSF E-BANKING DB")</f>
        <v>TRSF E-BANKING DB</v>
      </c>
      <c r="C140" s="5" t="str">
        <f>IFERROR(__xludf.DUMMYFUNCTION("""COMPUTED_VALUE"""),"2102/FTSCY/WS95031 20500000.00 pelunasan t. agung PITIK DIGITAL INDO")</f>
        <v>2102/FTSCY/WS95031 20500000.00 pelunasan t. agung PITIK DIGITAL INDO</v>
      </c>
      <c r="D140" s="3">
        <f>IFERROR(__xludf.DUMMYFUNCTION("""COMPUTED_VALUE"""),2.05E7)</f>
        <v>20500000</v>
      </c>
      <c r="E140" s="5"/>
      <c r="F140" s="5" t="str">
        <f>IFERROR(__xludf.DUMMYFUNCTION("""COMPUTED_VALUE"""),"DB")</f>
        <v>DB</v>
      </c>
      <c r="G140" s="3">
        <f>IFERROR(__xludf.DUMMYFUNCTION("""COMPUTED_VALUE"""),5.961716146000004E7)</f>
        <v>59617161.46</v>
      </c>
      <c r="H140" s="5"/>
      <c r="I140" s="5" t="str">
        <f>IFERROR(__xludf.DUMMYFUNCTION("""COMPUTED_VALUE"""),"PRODUKSI")</f>
        <v>PRODUKSI</v>
      </c>
      <c r="J140" s="3"/>
    </row>
    <row r="141">
      <c r="A141" s="9">
        <f>IFERROR(__xludf.DUMMYFUNCTION("""COMPUTED_VALUE"""),46074.0)</f>
        <v>46074</v>
      </c>
      <c r="B141" s="5" t="str">
        <f>IFERROR(__xludf.DUMMYFUNCTION("""COMPUTED_VALUE"""),"TRSF E-BANKING DB")</f>
        <v>TRSF E-BANKING DB</v>
      </c>
      <c r="C141" s="5" t="str">
        <f>IFERROR(__xludf.DUMMYFUNCTION("""COMPUTED_VALUE"""),"2102/FTSCY/WS95031 45471600.00 Fri Feb 20 2026 15:00:00 GMT+0700 (Western Indonesia Time) ANUGERAH KARTIKA A")</f>
        <v>2102/FTSCY/WS95031 45471600.00 Fri Feb 20 2026 15:00:00 GMT+0700 (Western Indonesia Time) ANUGERAH KARTIKA A</v>
      </c>
      <c r="D141" s="3">
        <f>IFERROR(__xludf.DUMMYFUNCTION("""COMPUTED_VALUE"""),4.54716E7)</f>
        <v>45471600</v>
      </c>
      <c r="E141" s="5"/>
      <c r="F141" s="5" t="str">
        <f>IFERROR(__xludf.DUMMYFUNCTION("""COMPUTED_VALUE"""),"DB")</f>
        <v>DB</v>
      </c>
      <c r="G141" s="3">
        <f>IFERROR(__xludf.DUMMYFUNCTION("""COMPUTED_VALUE"""),5.2218776746000004E8)</f>
        <v>522187767.5</v>
      </c>
      <c r="H141" s="5" t="str">
        <f>IFERROR(__xludf.DUMMYFUNCTION("""COMPUTED_VALUE"""),"522,187,767.46")</f>
        <v>522,187,767.46</v>
      </c>
      <c r="I141" s="5" t="str">
        <f>IFERROR(__xludf.DUMMYFUNCTION("""COMPUTED_VALUE"""),"PRODUKSI")</f>
        <v>PRODUKSI</v>
      </c>
      <c r="J141" s="3"/>
    </row>
    <row r="142">
      <c r="A142" s="9">
        <f>IFERROR(__xludf.DUMMYFUNCTION("""COMPUTED_VALUE"""),46074.0)</f>
        <v>46074</v>
      </c>
      <c r="B142" s="5" t="str">
        <f>IFERROR(__xludf.DUMMYFUNCTION("""COMPUTED_VALUE"""),"TRSF E-BANKING DB")</f>
        <v>TRSF E-BANKING DB</v>
      </c>
      <c r="C142" s="5" t="str">
        <f>IFERROR(__xludf.DUMMYFUNCTION("""COMPUTED_VALUE"""),"2102/FTSCY/WS95271 103341500.00 Thu Feb 19 2026 15:00:00 GMT+0700 (Western Indonesia Time) SUPER UNGGAS JAYA")</f>
        <v>2102/FTSCY/WS95271 103341500.00 Thu Feb 19 2026 15:00:00 GMT+0700 (Western Indonesia Time) SUPER UNGGAS JAYA</v>
      </c>
      <c r="D142" s="3">
        <f>IFERROR(__xludf.DUMMYFUNCTION("""COMPUTED_VALUE"""),1.033415E8)</f>
        <v>103341500</v>
      </c>
      <c r="E142" s="5"/>
      <c r="F142" s="5" t="str">
        <f>IFERROR(__xludf.DUMMYFUNCTION("""COMPUTED_VALUE"""),"DB")</f>
        <v>DB</v>
      </c>
      <c r="G142" s="3">
        <f>IFERROR(__xludf.DUMMYFUNCTION("""COMPUTED_VALUE"""),4.1884626746000004E8)</f>
        <v>418846267.5</v>
      </c>
      <c r="H142" s="5"/>
      <c r="I142" s="5" t="str">
        <f>IFERROR(__xludf.DUMMYFUNCTION("""COMPUTED_VALUE"""),"PRODUKSI")</f>
        <v>PRODUKSI</v>
      </c>
      <c r="J142" s="3"/>
    </row>
    <row r="143">
      <c r="A143" s="9">
        <f>IFERROR(__xludf.DUMMYFUNCTION("""COMPUTED_VALUE"""),46074.0)</f>
        <v>46074</v>
      </c>
      <c r="B143" s="5" t="str">
        <f>IFERROR(__xludf.DUMMYFUNCTION("""COMPUTED_VALUE"""),"TRSF E-BANKING DB")</f>
        <v>TRSF E-BANKING DB</v>
      </c>
      <c r="C143" s="5" t="str">
        <f>IFERROR(__xludf.DUMMYFUNCTION("""COMPUTED_VALUE"""),"2102/FTSCY/WS95011 46336050.00 kd ritawati T.A ANUGERAH KARTIKA A")</f>
        <v>2102/FTSCY/WS95011 46336050.00 kd ritawati T.A ANUGERAH KARTIKA A</v>
      </c>
      <c r="D143" s="3">
        <f>IFERROR(__xludf.DUMMYFUNCTION("""COMPUTED_VALUE"""),4.633605E7)</f>
        <v>46336050</v>
      </c>
      <c r="E143" s="5"/>
      <c r="F143" s="5" t="str">
        <f>IFERROR(__xludf.DUMMYFUNCTION("""COMPUTED_VALUE"""),"DB")</f>
        <v>DB</v>
      </c>
      <c r="G143" s="3">
        <f>IFERROR(__xludf.DUMMYFUNCTION("""COMPUTED_VALUE"""),3.7251021746000004E8)</f>
        <v>372510217.5</v>
      </c>
      <c r="H143" s="5"/>
      <c r="I143" s="5" t="str">
        <f>IFERROR(__xludf.DUMMYFUNCTION("""COMPUTED_VALUE"""),"PRODUKSI")</f>
        <v>PRODUKSI</v>
      </c>
      <c r="J143" s="3"/>
    </row>
    <row r="144">
      <c r="A144" s="9">
        <f>IFERROR(__xludf.DUMMYFUNCTION("""COMPUTED_VALUE"""),46074.0)</f>
        <v>46074</v>
      </c>
      <c r="B144" s="5" t="str">
        <f>IFERROR(__xludf.DUMMYFUNCTION("""COMPUTED_VALUE"""),"TRSF E-BANKING DB")</f>
        <v>TRSF E-BANKING DB</v>
      </c>
      <c r="C144" s="5" t="str">
        <f>IFERROR(__xludf.DUMMYFUNCTION("""COMPUTED_VALUE"""),"2102/FTSCY/WS95011 31421750.00 pemb. kd sunawan t. agung BINTANG TAMA SANTO")</f>
        <v>2102/FTSCY/WS95011 31421750.00 pemb. kd sunawan t. agung BINTANG TAMA SANTO</v>
      </c>
      <c r="D144" s="3">
        <f>IFERROR(__xludf.DUMMYFUNCTION("""COMPUTED_VALUE"""),3.142175E7)</f>
        <v>31421750</v>
      </c>
      <c r="E144" s="5"/>
      <c r="F144" s="5" t="str">
        <f>IFERROR(__xludf.DUMMYFUNCTION("""COMPUTED_VALUE"""),"DB")</f>
        <v>DB</v>
      </c>
      <c r="G144" s="3">
        <f>IFERROR(__xludf.DUMMYFUNCTION("""COMPUTED_VALUE"""),3.4108846746000004E8)</f>
        <v>341088467.5</v>
      </c>
      <c r="H144" s="5"/>
      <c r="I144" s="5" t="str">
        <f>IFERROR(__xludf.DUMMYFUNCTION("""COMPUTED_VALUE"""),"PRODUKSI")</f>
        <v>PRODUKSI</v>
      </c>
      <c r="J144" s="3"/>
    </row>
    <row r="145">
      <c r="A145" s="9">
        <f>IFERROR(__xludf.DUMMYFUNCTION("""COMPUTED_VALUE"""),46074.0)</f>
        <v>46074</v>
      </c>
      <c r="B145" s="5" t="str">
        <f>IFERROR(__xludf.DUMMYFUNCTION("""COMPUTED_VALUE"""),"TRSF E-BANKING DB")</f>
        <v>TRSF E-BANKING DB</v>
      </c>
      <c r="C145" s="5" t="str">
        <f>IFERROR(__xludf.DUMMYFUNCTION("""COMPUTED_VALUE"""),"2102/FTSCY/WS95011 94894500.00 jombang PITIK DIGITAL INDO")</f>
        <v>2102/FTSCY/WS95011 94894500.00 jombang PITIK DIGITAL INDO</v>
      </c>
      <c r="D145" s="3">
        <f>IFERROR(__xludf.DUMMYFUNCTION("""COMPUTED_VALUE"""),9.48945E7)</f>
        <v>94894500</v>
      </c>
      <c r="E145" s="5"/>
      <c r="F145" s="5" t="str">
        <f>IFERROR(__xludf.DUMMYFUNCTION("""COMPUTED_VALUE"""),"DB")</f>
        <v>DB</v>
      </c>
      <c r="G145" s="3">
        <f>IFERROR(__xludf.DUMMYFUNCTION("""COMPUTED_VALUE"""),2.4619396746000004E8)</f>
        <v>246193967.5</v>
      </c>
      <c r="H145" s="5"/>
      <c r="I145" s="5" t="str">
        <f>IFERROR(__xludf.DUMMYFUNCTION("""COMPUTED_VALUE"""),"PRODUKSI")</f>
        <v>PRODUKSI</v>
      </c>
      <c r="J145" s="3"/>
    </row>
    <row r="146">
      <c r="A146" s="9">
        <f>IFERROR(__xludf.DUMMYFUNCTION("""COMPUTED_VALUE"""),46074.0)</f>
        <v>46074</v>
      </c>
      <c r="B146" s="5" t="str">
        <f>IFERROR(__xludf.DUMMYFUNCTION("""COMPUTED_VALUE"""),"TRSF E-BANKING DB")</f>
        <v>TRSF E-BANKING DB</v>
      </c>
      <c r="C146" s="5" t="str">
        <f>IFERROR(__xludf.DUMMYFUNCTION("""COMPUTED_VALUE"""),"2102/FTSCY/WS95011 44219810.00 pelunasan + titip 20 jt BRANTAS ABADI SENT")</f>
        <v>2102/FTSCY/WS95011 44219810.00 pelunasan + titip 20 jt BRANTAS ABADI SENT</v>
      </c>
      <c r="D146" s="3">
        <f>IFERROR(__xludf.DUMMYFUNCTION("""COMPUTED_VALUE"""),4.421981E7)</f>
        <v>44219810</v>
      </c>
      <c r="E146" s="5"/>
      <c r="F146" s="5" t="str">
        <f>IFERROR(__xludf.DUMMYFUNCTION("""COMPUTED_VALUE"""),"DB")</f>
        <v>DB</v>
      </c>
      <c r="G146" s="3">
        <f>IFERROR(__xludf.DUMMYFUNCTION("""COMPUTED_VALUE"""),2.0197415746000004E8)</f>
        <v>201974157.5</v>
      </c>
      <c r="H146" s="5" t="str">
        <f>IFERROR(__xludf.DUMMYFUNCTION("""COMPUTED_VALUE"""),"201,974,157.46")</f>
        <v>201,974,157.46</v>
      </c>
      <c r="I146" s="5" t="str">
        <f>IFERROR(__xludf.DUMMYFUNCTION("""COMPUTED_VALUE"""),"PRODUKSI")</f>
        <v>PRODUKSI</v>
      </c>
      <c r="J146" s="3"/>
    </row>
    <row r="147">
      <c r="A147" s="9">
        <f>IFERROR(__xludf.DUMMYFUNCTION("""COMPUTED_VALUE"""),46075.0)</f>
        <v>46075</v>
      </c>
      <c r="B147" s="5" t="str">
        <f>IFERROR(__xludf.DUMMYFUNCTION("""COMPUTED_VALUE"""),"TRSF E-BANKING DB")</f>
        <v>TRSF E-BANKING DB</v>
      </c>
      <c r="C147" s="5" t="str">
        <f>IFERROR(__xludf.DUMMYFUNCTION("""COMPUTED_VALUE"""),"2202/FTSCY/WS95031 86633400.00 titip 90 jt TERNAK SEJATI TABA")</f>
        <v>2202/FTSCY/WS95031 86633400.00 titip 90 jt TERNAK SEJATI TABA</v>
      </c>
      <c r="D147" s="3">
        <f>IFERROR(__xludf.DUMMYFUNCTION("""COMPUTED_VALUE"""),8.66334E7)</f>
        <v>86633400</v>
      </c>
      <c r="E147" s="5"/>
      <c r="F147" s="5" t="str">
        <f>IFERROR(__xludf.DUMMYFUNCTION("""COMPUTED_VALUE"""),"DB")</f>
        <v>DB</v>
      </c>
      <c r="G147" s="3">
        <f>IFERROR(__xludf.DUMMYFUNCTION("""COMPUTED_VALUE"""),1.1523875746000004E8)</f>
        <v>115238757.5</v>
      </c>
      <c r="H147" s="5"/>
      <c r="I147" s="5" t="str">
        <f>IFERROR(__xludf.DUMMYFUNCTION("""COMPUTED_VALUE"""),"PRODUKSI")</f>
        <v>PRODUKSI</v>
      </c>
      <c r="J147" s="3"/>
    </row>
    <row r="148">
      <c r="A148" s="9">
        <f>IFERROR(__xludf.DUMMYFUNCTION("""COMPUTED_VALUE"""),46075.0)</f>
        <v>46075</v>
      </c>
      <c r="B148" s="5" t="str">
        <f>IFERROR(__xludf.DUMMYFUNCTION("""COMPUTED_VALUE"""),"TRSF E-BANKING DB")</f>
        <v>TRSF E-BANKING DB</v>
      </c>
      <c r="C148" s="5" t="str">
        <f>IFERROR(__xludf.DUMMYFUNCTION("""COMPUTED_VALUE"""),"2202/FTSCY/WS95271 54250000.00 titip 3500kg kd wi di magetan AGUNG MITRA SEJAHT")</f>
        <v>2202/FTSCY/WS95271 54250000.00 titip 3500kg kd wi di magetan AGUNG MITRA SEJAHT</v>
      </c>
      <c r="D148" s="3">
        <f>IFERROR(__xludf.DUMMYFUNCTION("""COMPUTED_VALUE"""),5.425E7)</f>
        <v>54250000</v>
      </c>
      <c r="E148" s="5"/>
      <c r="F148" s="5" t="str">
        <f>IFERROR(__xludf.DUMMYFUNCTION("""COMPUTED_VALUE"""),"DB")</f>
        <v>DB</v>
      </c>
      <c r="G148" s="3">
        <f>IFERROR(__xludf.DUMMYFUNCTION("""COMPUTED_VALUE"""),6.098875746000004E7)</f>
        <v>60988757.46</v>
      </c>
      <c r="H148" s="5"/>
      <c r="I148" s="5" t="str">
        <f>IFERROR(__xludf.DUMMYFUNCTION("""COMPUTED_VALUE"""),"PRODUKSI")</f>
        <v>PRODUKSI</v>
      </c>
      <c r="J148" s="3"/>
    </row>
    <row r="149">
      <c r="A149" s="9">
        <f>IFERROR(__xludf.DUMMYFUNCTION("""COMPUTED_VALUE"""),46075.0)</f>
        <v>46075</v>
      </c>
      <c r="B149" s="5" t="str">
        <f>IFERROR(__xludf.DUMMYFUNCTION("""COMPUTED_VALUE"""),"TRSF E-BANKING DB")</f>
        <v>TRSF E-BANKING DB</v>
      </c>
      <c r="C149" s="5" t="str">
        <f>IFERROR(__xludf.DUMMYFUNCTION("""COMPUTED_VALUE"""),"2202/FTSCY/WS95271 14326680.00 pelunasan TERNAK SEJATI TABA")</f>
        <v>2202/FTSCY/WS95271 14326680.00 pelunasan TERNAK SEJATI TABA</v>
      </c>
      <c r="D149" s="3">
        <f>IFERROR(__xludf.DUMMYFUNCTION("""COMPUTED_VALUE"""),1.432668E7)</f>
        <v>14326680</v>
      </c>
      <c r="E149" s="5"/>
      <c r="F149" s="5" t="str">
        <f>IFERROR(__xludf.DUMMYFUNCTION("""COMPUTED_VALUE"""),"DB")</f>
        <v>DB</v>
      </c>
      <c r="G149" s="3">
        <f>IFERROR(__xludf.DUMMYFUNCTION("""COMPUTED_VALUE"""),4.666207746000004E7)</f>
        <v>46662077.46</v>
      </c>
      <c r="H149" s="5"/>
      <c r="I149" s="5" t="str">
        <f>IFERROR(__xludf.DUMMYFUNCTION("""COMPUTED_VALUE"""),"PRODUKSI")</f>
        <v>PRODUKSI</v>
      </c>
      <c r="J149" s="3"/>
    </row>
    <row r="150">
      <c r="A150" s="9">
        <f>IFERROR(__xludf.DUMMYFUNCTION("""COMPUTED_VALUE"""),46075.0)</f>
        <v>46075</v>
      </c>
      <c r="B150" s="5" t="str">
        <f>IFERROR(__xludf.DUMMYFUNCTION("""COMPUTED_VALUE"""),"TRSF E-BANKING DB")</f>
        <v>TRSF E-BANKING DB</v>
      </c>
      <c r="C150" s="5" t="str">
        <f>IFERROR(__xludf.DUMMYFUNCTION("""COMPUTED_VALUE"""),"2202/FTSCY/WS95271 93000000.00 Thu Feb 19 2026 15:00:00 GMT+0700 (Western Indonesia Time) BROILER MAKMUR TAN")</f>
        <v>2202/FTSCY/WS95271 93000000.00 Thu Feb 19 2026 15:00:00 GMT+0700 (Western Indonesia Time) BROILER MAKMUR TAN</v>
      </c>
      <c r="D150" s="3">
        <f>IFERROR(__xludf.DUMMYFUNCTION("""COMPUTED_VALUE"""),9.3E7)</f>
        <v>93000000</v>
      </c>
      <c r="E150" s="5"/>
      <c r="F150" s="5" t="str">
        <f>IFERROR(__xludf.DUMMYFUNCTION("""COMPUTED_VALUE"""),"DB")</f>
        <v>DB</v>
      </c>
      <c r="G150" s="3">
        <f>IFERROR(__xludf.DUMMYFUNCTION("""COMPUTED_VALUE"""),2.6565662646000004E8)</f>
        <v>265656626.5</v>
      </c>
      <c r="H150" s="5"/>
      <c r="I150" s="5" t="str">
        <f>IFERROR(__xludf.DUMMYFUNCTION("""COMPUTED_VALUE"""),"PRODUKSI")</f>
        <v>PRODUKSI</v>
      </c>
      <c r="J150" s="3"/>
    </row>
    <row r="151">
      <c r="A151" s="9">
        <f>IFERROR(__xludf.DUMMYFUNCTION("""COMPUTED_VALUE"""),46075.0)</f>
        <v>46075</v>
      </c>
      <c r="B151" s="5" t="str">
        <f>IFERROR(__xludf.DUMMYFUNCTION("""COMPUTED_VALUE"""),"TRSF E-BANKING DB")</f>
        <v>TRSF E-BANKING DB</v>
      </c>
      <c r="C151" s="5" t="str">
        <f>IFERROR(__xludf.DUMMYFUNCTION("""COMPUTED_VALUE"""),"2202/FTSCY/WS95011 205251690.00 pemb. kd darmaji ANDALAN YASA MITRA")</f>
        <v>2202/FTSCY/WS95011 205251690.00 pemb. kd darmaji ANDALAN YASA MITRA</v>
      </c>
      <c r="D151" s="3">
        <f>IFERROR(__xludf.DUMMYFUNCTION("""COMPUTED_VALUE"""),2.0525169E8)</f>
        <v>205251690</v>
      </c>
      <c r="E151" s="5"/>
      <c r="F151" s="5" t="str">
        <f>IFERROR(__xludf.DUMMYFUNCTION("""COMPUTED_VALUE"""),"DB")</f>
        <v>DB</v>
      </c>
      <c r="G151" s="3">
        <f>IFERROR(__xludf.DUMMYFUNCTION("""COMPUTED_VALUE"""),6.040493646000004E7)</f>
        <v>60404936.46</v>
      </c>
      <c r="H151" s="5"/>
      <c r="I151" s="5" t="str">
        <f>IFERROR(__xludf.DUMMYFUNCTION("""COMPUTED_VALUE"""),"PRODUKSI")</f>
        <v>PRODUKSI</v>
      </c>
      <c r="J151" s="3"/>
    </row>
    <row r="152">
      <c r="A152" s="9">
        <f>IFERROR(__xludf.DUMMYFUNCTION("""COMPUTED_VALUE"""),46075.0)</f>
        <v>46075</v>
      </c>
      <c r="B152" s="5" t="str">
        <f>IFERROR(__xludf.DUMMYFUNCTION("""COMPUTED_VALUE"""),"TRSF E-BANKING DB")</f>
        <v>TRSF E-BANKING DB</v>
      </c>
      <c r="C152" s="5" t="str">
        <f>IFERROR(__xludf.DUMMYFUNCTION("""COMPUTED_VALUE"""),"2202/FTSCY/WS95271 49319970.00 pemb. kd harto s j ember BRANTAS ABADI SENT")</f>
        <v>2202/FTSCY/WS95271 49319970.00 pemb. kd harto s j ember BRANTAS ABADI SENT</v>
      </c>
      <c r="D152" s="3">
        <f>IFERROR(__xludf.DUMMYFUNCTION("""COMPUTED_VALUE"""),4.931997E7)</f>
        <v>49319970</v>
      </c>
      <c r="E152" s="5"/>
      <c r="F152" s="5" t="str">
        <f>IFERROR(__xludf.DUMMYFUNCTION("""COMPUTED_VALUE"""),"DB")</f>
        <v>DB</v>
      </c>
      <c r="G152" s="3">
        <f>IFERROR(__xludf.DUMMYFUNCTION("""COMPUTED_VALUE"""),1.1084966460000038E7)</f>
        <v>11084966.46</v>
      </c>
      <c r="H152" s="5"/>
      <c r="I152" s="5" t="str">
        <f>IFERROR(__xludf.DUMMYFUNCTION("""COMPUTED_VALUE"""),"PRODUKSI")</f>
        <v>PRODUKSI</v>
      </c>
      <c r="J152" s="3"/>
    </row>
    <row r="153">
      <c r="A153" s="9">
        <f>IFERROR(__xludf.DUMMYFUNCTION("""COMPUTED_VALUE"""),46075.0)</f>
        <v>46075</v>
      </c>
      <c r="B153" s="5" t="str">
        <f>IFERROR(__xludf.DUMMYFUNCTION("""COMPUTED_VALUE"""),"TRSF E-BANKING DB")</f>
        <v>TRSF E-BANKING DB</v>
      </c>
      <c r="C153" s="5" t="str">
        <f>IFERROR(__xludf.DUMMYFUNCTION("""COMPUTED_VALUE"""),"2202/FTSCY/WS95271 71116750.00 pemb. siti umayah kediri lunas BRANTAS ABADI SENT")</f>
        <v>2202/FTSCY/WS95271 71116750.00 pemb. siti umayah kediri lunas BRANTAS ABADI SENT</v>
      </c>
      <c r="D153" s="3">
        <f>IFERROR(__xludf.DUMMYFUNCTION("""COMPUTED_VALUE"""),7.111675E7)</f>
        <v>71116750</v>
      </c>
      <c r="E153" s="5"/>
      <c r="F153" s="5" t="str">
        <f>IFERROR(__xludf.DUMMYFUNCTION("""COMPUTED_VALUE"""),"DB")</f>
        <v>DB</v>
      </c>
      <c r="G153" s="3">
        <f>IFERROR(__xludf.DUMMYFUNCTION("""COMPUTED_VALUE"""),1.872812646000004E7)</f>
        <v>18728126.46</v>
      </c>
      <c r="H153" s="5"/>
      <c r="I153" s="5" t="str">
        <f>IFERROR(__xludf.DUMMYFUNCTION("""COMPUTED_VALUE"""),"PRODUKSI")</f>
        <v>PRODUKSI</v>
      </c>
      <c r="J153" s="3"/>
    </row>
    <row r="154">
      <c r="A154" s="9">
        <f>IFERROR(__xludf.DUMMYFUNCTION("""COMPUTED_VALUE"""),46075.0)</f>
        <v>46075</v>
      </c>
      <c r="B154" s="5" t="str">
        <f>IFERROR(__xludf.DUMMYFUNCTION("""COMPUTED_VALUE"""),"TRSF E-BANKING DB")</f>
        <v>TRSF E-BANKING DB</v>
      </c>
      <c r="C154" s="5" t="str">
        <f>IFERROR(__xludf.DUMMYFUNCTION("""COMPUTED_VALUE"""),"2202/FTSCY/WS95011 90902850.00 Fri Feb 20 2026 15:00:00 GMT+0700 (Western Indonesia Time) ANDALAN YASA MITRA")</f>
        <v>2202/FTSCY/WS95011 90902850.00 Fri Feb 20 2026 15:00:00 GMT+0700 (Western Indonesia Time) ANDALAN YASA MITRA</v>
      </c>
      <c r="D154" s="3">
        <f>IFERROR(__xludf.DUMMYFUNCTION("""COMPUTED_VALUE"""),9.090285E7)</f>
        <v>90902850</v>
      </c>
      <c r="E154" s="5"/>
      <c r="F154" s="5" t="str">
        <f>IFERROR(__xludf.DUMMYFUNCTION("""COMPUTED_VALUE"""),"DB")</f>
        <v>DB</v>
      </c>
      <c r="G154" s="3">
        <f>IFERROR(__xludf.DUMMYFUNCTION("""COMPUTED_VALUE"""),1.6820868646000004E8)</f>
        <v>168208686.5</v>
      </c>
      <c r="H154" s="5"/>
      <c r="I154" s="5" t="str">
        <f>IFERROR(__xludf.DUMMYFUNCTION("""COMPUTED_VALUE"""),"PRODUKSI")</f>
        <v>PRODUKSI</v>
      </c>
      <c r="J154" s="3"/>
    </row>
    <row r="155">
      <c r="A155" s="9">
        <f>IFERROR(__xludf.DUMMYFUNCTION("""COMPUTED_VALUE"""),46075.0)</f>
        <v>46075</v>
      </c>
      <c r="B155" s="5" t="str">
        <f>IFERROR(__xludf.DUMMYFUNCTION("""COMPUTED_VALUE"""),"TRSF E-BANKING DB")</f>
        <v>TRSF E-BANKING DB</v>
      </c>
      <c r="C155" s="5" t="str">
        <f>IFERROR(__xludf.DUMMYFUNCTION("""COMPUTED_VALUE"""),"2202/FTSCY/WS95011 132649440.00 Fri Feb 20 2026 15:00:00 GMT+0700 (Western Indonesia Time) SUPER UNGGAS JAYA")</f>
        <v>2202/FTSCY/WS95011 132649440.00 Fri Feb 20 2026 15:00:00 GMT+0700 (Western Indonesia Time) SUPER UNGGAS JAYA</v>
      </c>
      <c r="D155" s="3">
        <f>IFERROR(__xludf.DUMMYFUNCTION("""COMPUTED_VALUE"""),1.3264944E8)</f>
        <v>132649440</v>
      </c>
      <c r="E155" s="5"/>
      <c r="F155" s="5" t="str">
        <f>IFERROR(__xludf.DUMMYFUNCTION("""COMPUTED_VALUE"""),"DB")</f>
        <v>DB</v>
      </c>
      <c r="G155" s="3">
        <f>IFERROR(__xludf.DUMMYFUNCTION("""COMPUTED_VALUE"""),3.555924646000004E7)</f>
        <v>35559246.46</v>
      </c>
      <c r="H155" s="5"/>
      <c r="I155" s="5" t="str">
        <f>IFERROR(__xludf.DUMMYFUNCTION("""COMPUTED_VALUE"""),"PRODUKSI")</f>
        <v>PRODUKSI</v>
      </c>
      <c r="J155" s="3"/>
    </row>
    <row r="156">
      <c r="A156" s="9">
        <f>IFERROR(__xludf.DUMMYFUNCTION("""COMPUTED_VALUE"""),46075.0)</f>
        <v>46075</v>
      </c>
      <c r="B156" s="5" t="str">
        <f>IFERROR(__xludf.DUMMYFUNCTION("""COMPUTED_VALUE"""),"TRSF E-BANKING DB")</f>
        <v>TRSF E-BANKING DB</v>
      </c>
      <c r="C156" s="5" t="str">
        <f>IFERROR(__xludf.DUMMYFUNCTION("""COMPUTED_VALUE"""),"2202/FTSCY/WS95011 52884000.00 jombang PITIK DIGITAL INDO")</f>
        <v>2202/FTSCY/WS95011 52884000.00 jombang PITIK DIGITAL INDO</v>
      </c>
      <c r="D156" s="3">
        <f>IFERROR(__xludf.DUMMYFUNCTION("""COMPUTED_VALUE"""),5.2884E7)</f>
        <v>52884000</v>
      </c>
      <c r="E156" s="5"/>
      <c r="F156" s="5" t="str">
        <f>IFERROR(__xludf.DUMMYFUNCTION("""COMPUTED_VALUE"""),"DB")</f>
        <v>DB</v>
      </c>
      <c r="G156" s="3">
        <f>IFERROR(__xludf.DUMMYFUNCTION("""COMPUTED_VALUE"""),8.088024646000004E7)</f>
        <v>80880246.46</v>
      </c>
      <c r="H156" s="5"/>
      <c r="I156" s="5" t="str">
        <f>IFERROR(__xludf.DUMMYFUNCTION("""COMPUTED_VALUE"""),"PRODUKSI")</f>
        <v>PRODUKSI</v>
      </c>
      <c r="J156" s="3"/>
    </row>
    <row r="157">
      <c r="A157" s="9">
        <f>IFERROR(__xludf.DUMMYFUNCTION("""COMPUTED_VALUE"""),46076.0)</f>
        <v>46076</v>
      </c>
      <c r="B157" s="5" t="str">
        <f>IFERROR(__xludf.DUMMYFUNCTION("""COMPUTED_VALUE"""),"TRSF E-BANKING DB")</f>
        <v>TRSF E-BANKING DB</v>
      </c>
      <c r="C157" s="5" t="str">
        <f>IFERROR(__xludf.DUMMYFUNCTION("""COMPUTED_VALUE"""),"2302/FTSCY/WS95031 52550900.00 kd wawan edi blora TUMBUH OPTIMAL PRI")</f>
        <v>2302/FTSCY/WS95031 52550900.00 kd wawan edi blora TUMBUH OPTIMAL PRI</v>
      </c>
      <c r="D157" s="3">
        <f>IFERROR(__xludf.DUMMYFUNCTION("""COMPUTED_VALUE"""),5.25509E7)</f>
        <v>52550900</v>
      </c>
      <c r="E157" s="5"/>
      <c r="F157" s="5" t="str">
        <f>IFERROR(__xludf.DUMMYFUNCTION("""COMPUTED_VALUE"""),"DB")</f>
        <v>DB</v>
      </c>
      <c r="G157" s="3">
        <f>IFERROR(__xludf.DUMMYFUNCTION("""COMPUTED_VALUE"""),1.8252069646000004E8)</f>
        <v>182520696.5</v>
      </c>
      <c r="H157" s="5" t="str">
        <f>IFERROR(__xludf.DUMMYFUNCTION("""COMPUTED_VALUE"""),"182,520,696.46")</f>
        <v>182,520,696.46</v>
      </c>
      <c r="I157" s="5" t="str">
        <f>IFERROR(__xludf.DUMMYFUNCTION("""COMPUTED_VALUE"""),"PRODUKSI")</f>
        <v>PRODUKSI</v>
      </c>
      <c r="J157" s="3"/>
    </row>
    <row r="158">
      <c r="A158" s="9">
        <f>IFERROR(__xludf.DUMMYFUNCTION("""COMPUTED_VALUE"""),46076.0)</f>
        <v>46076</v>
      </c>
      <c r="B158" s="5" t="str">
        <f>IFERROR(__xludf.DUMMYFUNCTION("""COMPUTED_VALUE"""),"TRSF E-BANKING DB")</f>
        <v>TRSF E-BANKING DB</v>
      </c>
      <c r="C158" s="5" t="str">
        <f>IFERROR(__xludf.DUMMYFUNCTION("""COMPUTED_VALUE"""),"2302/FTSCY/WS95271 95423050.00 farm SIM jember PITIK DIGITAL INDO")</f>
        <v>2302/FTSCY/WS95271 95423050.00 farm SIM jember PITIK DIGITAL INDO</v>
      </c>
      <c r="D158" s="3">
        <f>IFERROR(__xludf.DUMMYFUNCTION("""COMPUTED_VALUE"""),9.542305E7)</f>
        <v>95423050</v>
      </c>
      <c r="E158" s="5"/>
      <c r="F158" s="5" t="str">
        <f>IFERROR(__xludf.DUMMYFUNCTION("""COMPUTED_VALUE"""),"DB")</f>
        <v>DB</v>
      </c>
      <c r="G158" s="3">
        <f>IFERROR(__xludf.DUMMYFUNCTION("""COMPUTED_VALUE"""),8.709764646000004E7)</f>
        <v>87097646.46</v>
      </c>
      <c r="H158" s="5" t="str">
        <f>IFERROR(__xludf.DUMMYFUNCTION("""COMPUTED_VALUE"""),"87,097,646.46")</f>
        <v>87,097,646.46</v>
      </c>
      <c r="I158" s="5" t="str">
        <f>IFERROR(__xludf.DUMMYFUNCTION("""COMPUTED_VALUE"""),"PRODUKSI")</f>
        <v>PRODUKSI</v>
      </c>
      <c r="J158" s="3"/>
    </row>
    <row r="159">
      <c r="A159" s="9">
        <f>IFERROR(__xludf.DUMMYFUNCTION("""COMPUTED_VALUE"""),46076.0)</f>
        <v>46076</v>
      </c>
      <c r="B159" s="5" t="str">
        <f>IFERROR(__xludf.DUMMYFUNCTION("""COMPUTED_VALUE"""),"TRSF E-BANKING DB")</f>
        <v>TRSF E-BANKING DB</v>
      </c>
      <c r="C159" s="5" t="str">
        <f>IFERROR(__xludf.DUMMYFUNCTION("""COMPUTED_VALUE"""),"2302/FTSCY/WS95271 44487300.00 kd mahmud magetan AGUNG MITRA SEJAHT")</f>
        <v>2302/FTSCY/WS95271 44487300.00 kd mahmud magetan AGUNG MITRA SEJAHT</v>
      </c>
      <c r="D159" s="3">
        <f>IFERROR(__xludf.DUMMYFUNCTION("""COMPUTED_VALUE"""),4.44873E7)</f>
        <v>44487300</v>
      </c>
      <c r="E159" s="5"/>
      <c r="F159" s="5" t="str">
        <f>IFERROR(__xludf.DUMMYFUNCTION("""COMPUTED_VALUE"""),"DB")</f>
        <v>DB</v>
      </c>
      <c r="G159" s="3">
        <f>IFERROR(__xludf.DUMMYFUNCTION("""COMPUTED_VALUE"""),7.749924646000004E7)</f>
        <v>77499246.46</v>
      </c>
      <c r="H159" s="5"/>
      <c r="I159" s="5" t="str">
        <f>IFERROR(__xludf.DUMMYFUNCTION("""COMPUTED_VALUE"""),"PRODUKSI")</f>
        <v>PRODUKSI</v>
      </c>
      <c r="J159" s="3"/>
    </row>
    <row r="160">
      <c r="A160" s="9">
        <f>IFERROR(__xludf.DUMMYFUNCTION("""COMPUTED_VALUE"""),46076.0)</f>
        <v>46076</v>
      </c>
      <c r="B160" s="5" t="str">
        <f>IFERROR(__xludf.DUMMYFUNCTION("""COMPUTED_VALUE"""),"TRSF E-BANKING DB")</f>
        <v>TRSF E-BANKING DB</v>
      </c>
      <c r="C160" s="5" t="str">
        <f>IFERROR(__xludf.DUMMYFUNCTION("""COMPUTED_VALUE"""),"2302/FTSCY/WS95271 64755850.00 Sat Feb 21 2026 15:00:00 GMT+0700 (Western Indonesia Time) BINTANG TAMA SANTO")</f>
        <v>2302/FTSCY/WS95271 64755850.00 Sat Feb 21 2026 15:00:00 GMT+0700 (Western Indonesia Time) BINTANG TAMA SANTO</v>
      </c>
      <c r="D160" s="3">
        <f>IFERROR(__xludf.DUMMYFUNCTION("""COMPUTED_VALUE"""),6.475585E7)</f>
        <v>64755850</v>
      </c>
      <c r="E160" s="5"/>
      <c r="F160" s="5" t="str">
        <f>IFERROR(__xludf.DUMMYFUNCTION("""COMPUTED_VALUE"""),"DB")</f>
        <v>DB</v>
      </c>
      <c r="G160" s="3">
        <f>IFERROR(__xludf.DUMMYFUNCTION("""COMPUTED_VALUE"""),3.2155679646000004E8)</f>
        <v>321556796.5</v>
      </c>
      <c r="H160" s="5"/>
      <c r="I160" s="5" t="str">
        <f>IFERROR(__xludf.DUMMYFUNCTION("""COMPUTED_VALUE"""),"PRODUKSI")</f>
        <v>PRODUKSI</v>
      </c>
      <c r="J160" s="3"/>
    </row>
    <row r="161">
      <c r="A161" s="9">
        <f>IFERROR(__xludf.DUMMYFUNCTION("""COMPUTED_VALUE"""),46076.0)</f>
        <v>46076</v>
      </c>
      <c r="B161" s="5" t="str">
        <f>IFERROR(__xludf.DUMMYFUNCTION("""COMPUTED_VALUE"""),"TRSF E-BANKING DB")</f>
        <v>TRSF E-BANKING DB</v>
      </c>
      <c r="C161" s="5" t="str">
        <f>IFERROR(__xludf.DUMMYFUNCTION("""COMPUTED_VALUE"""),"2302/FTSCY/WS95011 106372500.00 Sat Feb 21 2026 15:00:00 GMT+0700 (Western Indonesia Time) BINTANG TAMA SANTO")</f>
        <v>2302/FTSCY/WS95011 106372500.00 Sat Feb 21 2026 15:00:00 GMT+0700 (Western Indonesia Time) BINTANG TAMA SANTO</v>
      </c>
      <c r="D161" s="3">
        <f>IFERROR(__xludf.DUMMYFUNCTION("""COMPUTED_VALUE"""),1.063725E8)</f>
        <v>106372500</v>
      </c>
      <c r="E161" s="5"/>
      <c r="F161" s="5" t="str">
        <f>IFERROR(__xludf.DUMMYFUNCTION("""COMPUTED_VALUE"""),"DB")</f>
        <v>DB</v>
      </c>
      <c r="G161" s="3">
        <f>IFERROR(__xludf.DUMMYFUNCTION("""COMPUTED_VALUE"""),2.1518429646000004E8)</f>
        <v>215184296.5</v>
      </c>
      <c r="H161" s="5"/>
      <c r="I161" s="5" t="str">
        <f>IFERROR(__xludf.DUMMYFUNCTION("""COMPUTED_VALUE"""),"PRODUKSI")</f>
        <v>PRODUKSI</v>
      </c>
      <c r="J161" s="3"/>
    </row>
    <row r="162">
      <c r="A162" s="9">
        <f>IFERROR(__xludf.DUMMYFUNCTION("""COMPUTED_VALUE"""),46076.0)</f>
        <v>46076</v>
      </c>
      <c r="B162" s="5" t="str">
        <f>IFERROR(__xludf.DUMMYFUNCTION("""COMPUTED_VALUE"""),"TRSF E-BANKING DB")</f>
        <v>TRSF E-BANKING DB</v>
      </c>
      <c r="C162" s="5" t="str">
        <f>IFERROR(__xludf.DUMMYFUNCTION("""COMPUTED_VALUE"""),"2302/FTSCY/WS95271 46234500.00 jombang PITIK DIGITAL INDO")</f>
        <v>2302/FTSCY/WS95271 46234500.00 jombang PITIK DIGITAL INDO</v>
      </c>
      <c r="D162" s="3">
        <f>IFERROR(__xludf.DUMMYFUNCTION("""COMPUTED_VALUE"""),4.62345E7)</f>
        <v>46234500</v>
      </c>
      <c r="E162" s="5"/>
      <c r="F162" s="5" t="str">
        <f>IFERROR(__xludf.DUMMYFUNCTION("""COMPUTED_VALUE"""),"DB")</f>
        <v>DB</v>
      </c>
      <c r="G162" s="3">
        <f>IFERROR(__xludf.DUMMYFUNCTION("""COMPUTED_VALUE"""),2.2294135646000004E8)</f>
        <v>222941356.5</v>
      </c>
      <c r="H162" s="5" t="str">
        <f>IFERROR(__xludf.DUMMYFUNCTION("""COMPUTED_VALUE"""),"222,941,356.46")</f>
        <v>222,941,356.46</v>
      </c>
      <c r="I162" s="5" t="str">
        <f>IFERROR(__xludf.DUMMYFUNCTION("""COMPUTED_VALUE"""),"PRODUKSI")</f>
        <v>PRODUKSI</v>
      </c>
      <c r="J162" s="3"/>
    </row>
    <row r="163">
      <c r="A163" s="9">
        <f>IFERROR(__xludf.DUMMYFUNCTION("""COMPUTED_VALUE"""),46076.0)</f>
        <v>46076</v>
      </c>
      <c r="B163" s="5" t="str">
        <f>IFERROR(__xludf.DUMMYFUNCTION("""COMPUTED_VALUE"""),"TRSF E-BANKING DB")</f>
        <v>TRSF E-BANKING DB</v>
      </c>
      <c r="C163" s="5" t="str">
        <f>IFERROR(__xludf.DUMMYFUNCTION("""COMPUTED_VALUE"""),"2302/FTSCY/WS95011 139221000.00 Fri Feb 20 2026 15:00:00 GMT+0700 (Western Indonesia Time) BROILER MAKMUR TAN")</f>
        <v>2302/FTSCY/WS95011 139221000.00 Fri Feb 20 2026 15:00:00 GMT+0700 (Western Indonesia Time) BROILER MAKMUR TAN</v>
      </c>
      <c r="D163" s="3">
        <f>IFERROR(__xludf.DUMMYFUNCTION("""COMPUTED_VALUE"""),1.39221E8)</f>
        <v>139221000</v>
      </c>
      <c r="E163" s="5"/>
      <c r="F163" s="5" t="str">
        <f>IFERROR(__xludf.DUMMYFUNCTION("""COMPUTED_VALUE"""),"DB")</f>
        <v>DB</v>
      </c>
      <c r="G163" s="3">
        <f>IFERROR(__xludf.DUMMYFUNCTION("""COMPUTED_VALUE"""),2.9653581646000004E8)</f>
        <v>296535816.5</v>
      </c>
      <c r="H163" s="5"/>
      <c r="I163" s="5" t="str">
        <f>IFERROR(__xludf.DUMMYFUNCTION("""COMPUTED_VALUE"""),"PRODUKSI")</f>
        <v>PRODUKSI</v>
      </c>
      <c r="J163" s="3"/>
    </row>
    <row r="164">
      <c r="A164" s="9">
        <f>IFERROR(__xludf.DUMMYFUNCTION("""COMPUTED_VALUE"""),46076.0)</f>
        <v>46076</v>
      </c>
      <c r="B164" s="5" t="str">
        <f>IFERROR(__xludf.DUMMYFUNCTION("""COMPUTED_VALUE"""),"TRSF E-BANKING DB")</f>
        <v>TRSF E-BANKING DB</v>
      </c>
      <c r="C164" s="5" t="str">
        <f>IFERROR(__xludf.DUMMYFUNCTION("""COMPUTED_VALUE"""),"2302/FTSCY/WS95011 82162500.00 Fri Feb 20 2026 15:00:00 GMT+0700 (Western Indonesia Time) BROILER MAKMUR TAN")</f>
        <v>2302/FTSCY/WS95011 82162500.00 Fri Feb 20 2026 15:00:00 GMT+0700 (Western Indonesia Time) BROILER MAKMUR TAN</v>
      </c>
      <c r="D164" s="3">
        <f>IFERROR(__xludf.DUMMYFUNCTION("""COMPUTED_VALUE"""),8.21625E7)</f>
        <v>82162500</v>
      </c>
      <c r="E164" s="5"/>
      <c r="F164" s="5" t="str">
        <f>IFERROR(__xludf.DUMMYFUNCTION("""COMPUTED_VALUE"""),"DB")</f>
        <v>DB</v>
      </c>
      <c r="G164" s="3">
        <f>IFERROR(__xludf.DUMMYFUNCTION("""COMPUTED_VALUE"""),2.1437331646000004E8)</f>
        <v>214373316.5</v>
      </c>
      <c r="H164" s="5"/>
      <c r="I164" s="5" t="str">
        <f>IFERROR(__xludf.DUMMYFUNCTION("""COMPUTED_VALUE"""),"PRODUKSI")</f>
        <v>PRODUKSI</v>
      </c>
      <c r="J164" s="3"/>
    </row>
    <row r="165">
      <c r="A165" s="9">
        <f>IFERROR(__xludf.DUMMYFUNCTION("""COMPUTED_VALUE"""),46076.0)</f>
        <v>46076</v>
      </c>
      <c r="B165" s="5" t="str">
        <f>IFERROR(__xludf.DUMMYFUNCTION("""COMPUTED_VALUE"""),"TRSF E-BANKING DB")</f>
        <v>TRSF E-BANKING DB</v>
      </c>
      <c r="C165" s="5" t="str">
        <f>IFERROR(__xludf.DUMMYFUNCTION("""COMPUTED_VALUE"""),"2302/FTSCY/WS95011 170372500.00 Sat Feb 21 2026 15:00:00 GMT+0700 (Western Indonesia Time) BINTANG TAMA SANTO")</f>
        <v>2302/FTSCY/WS95011 170372500.00 Sat Feb 21 2026 15:00:00 GMT+0700 (Western Indonesia Time) BINTANG TAMA SANTO</v>
      </c>
      <c r="D165" s="3">
        <f>IFERROR(__xludf.DUMMYFUNCTION("""COMPUTED_VALUE"""),1.703725E8)</f>
        <v>170372500</v>
      </c>
      <c r="E165" s="5"/>
      <c r="F165" s="5" t="str">
        <f>IFERROR(__xludf.DUMMYFUNCTION("""COMPUTED_VALUE"""),"DB")</f>
        <v>DB</v>
      </c>
      <c r="G165" s="3">
        <f>IFERROR(__xludf.DUMMYFUNCTION("""COMPUTED_VALUE"""),4.400081646000004E7)</f>
        <v>44000816.46</v>
      </c>
      <c r="H165" s="5"/>
      <c r="I165" s="5" t="str">
        <f>IFERROR(__xludf.DUMMYFUNCTION("""COMPUTED_VALUE"""),"PRODUKSI")</f>
        <v>PRODUKSI</v>
      </c>
      <c r="J165" s="3"/>
    </row>
    <row r="166">
      <c r="A166" s="9">
        <f>IFERROR(__xludf.DUMMYFUNCTION("""COMPUTED_VALUE"""),46076.0)</f>
        <v>46076</v>
      </c>
      <c r="B166" s="5" t="str">
        <f>IFERROR(__xludf.DUMMYFUNCTION("""COMPUTED_VALUE"""),"TRSF E-BANKING DB")</f>
        <v>TRSF E-BANKING DB</v>
      </c>
      <c r="C166" s="5" t="str">
        <f>IFERROR(__xludf.DUMMYFUNCTION("""COMPUTED_VALUE"""),"2302/FTSCY/WS95031 8000000.00 pelunasan BINTANG TAMA SANTO")</f>
        <v>2302/FTSCY/WS95031 8000000.00 pelunasan BINTANG TAMA SANTO</v>
      </c>
      <c r="D166" s="3">
        <f>IFERROR(__xludf.DUMMYFUNCTION("""COMPUTED_VALUE"""),8000000.0)</f>
        <v>8000000</v>
      </c>
      <c r="E166" s="5"/>
      <c r="F166" s="5" t="str">
        <f>IFERROR(__xludf.DUMMYFUNCTION("""COMPUTED_VALUE"""),"DB")</f>
        <v>DB</v>
      </c>
      <c r="G166" s="3">
        <f>IFERROR(__xludf.DUMMYFUNCTION("""COMPUTED_VALUE"""),3.600081646000004E7)</f>
        <v>36000816.46</v>
      </c>
      <c r="H166" s="5"/>
      <c r="I166" s="5" t="str">
        <f>IFERROR(__xludf.DUMMYFUNCTION("""COMPUTED_VALUE"""),"PRODUKSI")</f>
        <v>PRODUKSI</v>
      </c>
      <c r="J166" s="3"/>
    </row>
    <row r="167">
      <c r="A167" s="9">
        <f>IFERROR(__xludf.DUMMYFUNCTION("""COMPUTED_VALUE"""),46076.0)</f>
        <v>46076</v>
      </c>
      <c r="B167" s="5" t="str">
        <f>IFERROR(__xludf.DUMMYFUNCTION("""COMPUTED_VALUE"""),"TRSF E-BANKING DB")</f>
        <v>TRSF E-BANKING DB</v>
      </c>
      <c r="C167" s="5" t="str">
        <f>IFERROR(__xludf.DUMMYFUNCTION("""COMPUTED_VALUE"""),"2302/FTSCY/WS95271 43519500.00 malang PITIK DIGITAL INDO")</f>
        <v>2302/FTSCY/WS95271 43519500.00 malang PITIK DIGITAL INDO</v>
      </c>
      <c r="D167" s="3">
        <f>IFERROR(__xludf.DUMMYFUNCTION("""COMPUTED_VALUE"""),4.35195E7)</f>
        <v>43519500</v>
      </c>
      <c r="E167" s="5"/>
      <c r="F167" s="5" t="str">
        <f>IFERROR(__xludf.DUMMYFUNCTION("""COMPUTED_VALUE"""),"DB")</f>
        <v>DB</v>
      </c>
      <c r="G167" s="3">
        <f>IFERROR(__xludf.DUMMYFUNCTION("""COMPUTED_VALUE"""),1.3971387646000004E8)</f>
        <v>139713876.5</v>
      </c>
      <c r="H167" s="5" t="str">
        <f>IFERROR(__xludf.DUMMYFUNCTION("""COMPUTED_VALUE"""),"139,713,876.46")</f>
        <v>139,713,876.46</v>
      </c>
      <c r="I167" s="5" t="str">
        <f>IFERROR(__xludf.DUMMYFUNCTION("""COMPUTED_VALUE"""),"PRODUKSI")</f>
        <v>PRODUKSI</v>
      </c>
      <c r="J167" s="3"/>
    </row>
    <row r="168">
      <c r="A168" s="9">
        <f>IFERROR(__xludf.DUMMYFUNCTION("""COMPUTED_VALUE"""),46077.0)</f>
        <v>46077</v>
      </c>
      <c r="B168" s="5" t="str">
        <f>IFERROR(__xludf.DUMMYFUNCTION("""COMPUTED_VALUE"""),"TRSF E-BANKING DB")</f>
        <v>TRSF E-BANKING DB</v>
      </c>
      <c r="C168" s="5" t="str">
        <f>IFERROR(__xludf.DUMMYFUNCTION("""COMPUTED_VALUE"""),"2402/FTSCY/WS95031 92460200.00 tuban PITIK DIGITAL INDO")</f>
        <v>2402/FTSCY/WS95031 92460200.00 tuban PITIK DIGITAL INDO</v>
      </c>
      <c r="D168" s="3">
        <f>IFERROR(__xludf.DUMMYFUNCTION("""COMPUTED_VALUE"""),9.24602E7)</f>
        <v>92460200</v>
      </c>
      <c r="E168" s="5"/>
      <c r="F168" s="5" t="str">
        <f>IFERROR(__xludf.DUMMYFUNCTION("""COMPUTED_VALUE"""),"DB")</f>
        <v>DB</v>
      </c>
      <c r="G168" s="3">
        <f>IFERROR(__xludf.DUMMYFUNCTION("""COMPUTED_VALUE"""),3.889342646000004E7)</f>
        <v>38893426.46</v>
      </c>
      <c r="H168" s="5"/>
      <c r="I168" s="5" t="str">
        <f>IFERROR(__xludf.DUMMYFUNCTION("""COMPUTED_VALUE"""),"PRODUKSI")</f>
        <v>PRODUKSI</v>
      </c>
      <c r="J168" s="3"/>
    </row>
    <row r="169">
      <c r="A169" s="9">
        <f>IFERROR(__xludf.DUMMYFUNCTION("""COMPUTED_VALUE"""),46077.0)</f>
        <v>46077</v>
      </c>
      <c r="B169" s="5" t="str">
        <f>IFERROR(__xludf.DUMMYFUNCTION("""COMPUTED_VALUE"""),"TRSF E-BANKING DB")</f>
        <v>TRSF E-BANKING DB</v>
      </c>
      <c r="C169" s="5" t="str">
        <f>IFERROR(__xludf.DUMMYFUNCTION("""COMPUTED_VALUE"""),"2402/FTSCY/WS95271 38524800.00 Sun Feb 22 2026 15:00:00 GMT+0700 (Western Indonesia Time) GANESHA SATRIA NUS")</f>
        <v>2402/FTSCY/WS95271 38524800.00 Sun Feb 22 2026 15:00:00 GMT+0700 (Western Indonesia Time) GANESHA SATRIA NUS</v>
      </c>
      <c r="D169" s="3">
        <f>IFERROR(__xludf.DUMMYFUNCTION("""COMPUTED_VALUE"""),3.85248E7)</f>
        <v>38524800</v>
      </c>
      <c r="E169" s="5"/>
      <c r="F169" s="5" t="str">
        <f>IFERROR(__xludf.DUMMYFUNCTION("""COMPUTED_VALUE"""),"DB")</f>
        <v>DB</v>
      </c>
      <c r="G169" s="3">
        <f>IFERROR(__xludf.DUMMYFUNCTION("""COMPUTED_VALUE"""),368626.46000003815)</f>
        <v>368626.46</v>
      </c>
      <c r="H169" s="5"/>
      <c r="I169" s="5" t="str">
        <f>IFERROR(__xludf.DUMMYFUNCTION("""COMPUTED_VALUE"""),"PRODUKSI")</f>
        <v>PRODUKSI</v>
      </c>
      <c r="J169" s="3"/>
    </row>
    <row r="170">
      <c r="A170" s="9">
        <f>IFERROR(__xludf.DUMMYFUNCTION("""COMPUTED_VALUE"""),46077.0)</f>
        <v>46077</v>
      </c>
      <c r="B170" s="5" t="str">
        <f>IFERROR(__xludf.DUMMYFUNCTION("""COMPUTED_VALUE"""),"TRSF E-BANKING DB")</f>
        <v>TRSF E-BANKING DB</v>
      </c>
      <c r="C170" s="5" t="str">
        <f>IFERROR(__xludf.DUMMYFUNCTION("""COMPUTED_VALUE"""),"2402/FTSCY/WS95271 120000000.00 pelunasan GANESHA SATRIA NUS")</f>
        <v>2402/FTSCY/WS95271 120000000.00 pelunasan GANESHA SATRIA NUS</v>
      </c>
      <c r="D170" s="3">
        <f>IFERROR(__xludf.DUMMYFUNCTION("""COMPUTED_VALUE"""),1.2E8)</f>
        <v>120000000</v>
      </c>
      <c r="E170" s="5"/>
      <c r="F170" s="5" t="str">
        <f>IFERROR(__xludf.DUMMYFUNCTION("""COMPUTED_VALUE"""),"DB")</f>
        <v>DB</v>
      </c>
      <c r="G170" s="3">
        <f>IFERROR(__xludf.DUMMYFUNCTION("""COMPUTED_VALUE"""),1.5458787646000004E8)</f>
        <v>154587876.5</v>
      </c>
      <c r="H170" s="5"/>
      <c r="I170" s="5" t="str">
        <f>IFERROR(__xludf.DUMMYFUNCTION("""COMPUTED_VALUE"""),"PRODUKSI")</f>
        <v>PRODUKSI</v>
      </c>
      <c r="J170" s="3"/>
    </row>
    <row r="171">
      <c r="A171" s="9">
        <f>IFERROR(__xludf.DUMMYFUNCTION("""COMPUTED_VALUE"""),46077.0)</f>
        <v>46077</v>
      </c>
      <c r="B171" s="5" t="str">
        <f>IFERROR(__xludf.DUMMYFUNCTION("""COMPUTED_VALUE"""),"TRSF E-BANKING DB")</f>
        <v>TRSF E-BANKING DB</v>
      </c>
      <c r="C171" s="5" t="str">
        <f>IFERROR(__xludf.DUMMYFUNCTION("""COMPUTED_VALUE"""),"2402/FTSCY/WS95271 98772000.00 malang PITIK DIGITAL INDO")</f>
        <v>2402/FTSCY/WS95271 98772000.00 malang PITIK DIGITAL INDO</v>
      </c>
      <c r="D171" s="3">
        <f>IFERROR(__xludf.DUMMYFUNCTION("""COMPUTED_VALUE"""),9.8772E7)</f>
        <v>98772000</v>
      </c>
      <c r="E171" s="5"/>
      <c r="F171" s="5" t="str">
        <f>IFERROR(__xludf.DUMMYFUNCTION("""COMPUTED_VALUE"""),"DB")</f>
        <v>DB</v>
      </c>
      <c r="G171" s="3">
        <f>IFERROR(__xludf.DUMMYFUNCTION("""COMPUTED_VALUE"""),4.5557721646000004E8)</f>
        <v>455577216.5</v>
      </c>
      <c r="H171" s="5"/>
      <c r="I171" s="5" t="str">
        <f>IFERROR(__xludf.DUMMYFUNCTION("""COMPUTED_VALUE"""),"PRODUKSI")</f>
        <v>PRODUKSI</v>
      </c>
      <c r="J171" s="3"/>
    </row>
    <row r="172">
      <c r="A172" s="9">
        <f>IFERROR(__xludf.DUMMYFUNCTION("""COMPUTED_VALUE"""),46077.0)</f>
        <v>46077</v>
      </c>
      <c r="B172" s="5" t="str">
        <f>IFERROR(__xludf.DUMMYFUNCTION("""COMPUTED_VALUE"""),"TRSF E-BANKING DB")</f>
        <v>TRSF E-BANKING DB</v>
      </c>
      <c r="C172" s="5" t="str">
        <f>IFERROR(__xludf.DUMMYFUNCTION("""COMPUTED_VALUE"""),"2402/FTSCY/WS95271 33389750.00 kd supriyanto BINTANG TAMA SANTO")</f>
        <v>2402/FTSCY/WS95271 33389750.00 kd supriyanto BINTANG TAMA SANTO</v>
      </c>
      <c r="D172" s="3">
        <f>IFERROR(__xludf.DUMMYFUNCTION("""COMPUTED_VALUE"""),3.338975E7)</f>
        <v>33389750</v>
      </c>
      <c r="E172" s="5"/>
      <c r="F172" s="5" t="str">
        <f>IFERROR(__xludf.DUMMYFUNCTION("""COMPUTED_VALUE"""),"DB")</f>
        <v>DB</v>
      </c>
      <c r="G172" s="3">
        <f>IFERROR(__xludf.DUMMYFUNCTION("""COMPUTED_VALUE"""),4.2218746646000004E8)</f>
        <v>422187466.5</v>
      </c>
      <c r="H172" s="5"/>
      <c r="I172" s="5" t="str">
        <f>IFERROR(__xludf.DUMMYFUNCTION("""COMPUTED_VALUE"""),"PRODUKSI")</f>
        <v>PRODUKSI</v>
      </c>
      <c r="J172" s="3"/>
    </row>
    <row r="173">
      <c r="A173" s="9">
        <f>IFERROR(__xludf.DUMMYFUNCTION("""COMPUTED_VALUE"""),46077.0)</f>
        <v>46077</v>
      </c>
      <c r="B173" s="5" t="str">
        <f>IFERROR(__xludf.DUMMYFUNCTION("""COMPUTED_VALUE"""),"TRSF E-BANKING DB")</f>
        <v>TRSF E-BANKING DB</v>
      </c>
      <c r="C173" s="5" t="str">
        <f>IFERROR(__xludf.DUMMYFUNCTION("""COMPUTED_VALUE"""),"2402/FTSCY/WS95011 20000000.00 pelunasan BINTANG TAMA SANTO")</f>
        <v>2402/FTSCY/WS95011 20000000.00 pelunasan BINTANG TAMA SANTO</v>
      </c>
      <c r="D173" s="3">
        <f>IFERROR(__xludf.DUMMYFUNCTION("""COMPUTED_VALUE"""),2.0E7)</f>
        <v>20000000</v>
      </c>
      <c r="E173" s="5"/>
      <c r="F173" s="5" t="str">
        <f>IFERROR(__xludf.DUMMYFUNCTION("""COMPUTED_VALUE"""),"DB")</f>
        <v>DB</v>
      </c>
      <c r="G173" s="3">
        <f>IFERROR(__xludf.DUMMYFUNCTION("""COMPUTED_VALUE"""),4.0218746646000004E8)</f>
        <v>402187466.5</v>
      </c>
      <c r="H173" s="5"/>
      <c r="I173" s="5" t="str">
        <f>IFERROR(__xludf.DUMMYFUNCTION("""COMPUTED_VALUE"""),"PRODUKSI")</f>
        <v>PRODUKSI</v>
      </c>
      <c r="J173" s="3"/>
    </row>
    <row r="174">
      <c r="A174" s="9">
        <f>IFERROR(__xludf.DUMMYFUNCTION("""COMPUTED_VALUE"""),46077.0)</f>
        <v>46077</v>
      </c>
      <c r="B174" s="5" t="str">
        <f>IFERROR(__xludf.DUMMYFUNCTION("""COMPUTED_VALUE"""),"TRSF E-BANKING DB")</f>
        <v>TRSF E-BANKING DB</v>
      </c>
      <c r="C174" s="5" t="str">
        <f>IFERROR(__xludf.DUMMYFUNCTION("""COMPUTED_VALUE"""),"2402/FTSCY/WS95011 100149000.00 Sun Feb 22 2026 15:00:00 GMT+0700 (Western Indonesia Time) SUPER UNGGAS JAYA")</f>
        <v>2402/FTSCY/WS95011 100149000.00 Sun Feb 22 2026 15:00:00 GMT+0700 (Western Indonesia Time) SUPER UNGGAS JAYA</v>
      </c>
      <c r="D174" s="3">
        <f>IFERROR(__xludf.DUMMYFUNCTION("""COMPUTED_VALUE"""),1.00149E8)</f>
        <v>100149000</v>
      </c>
      <c r="E174" s="5"/>
      <c r="F174" s="5" t="str">
        <f>IFERROR(__xludf.DUMMYFUNCTION("""COMPUTED_VALUE"""),"DB")</f>
        <v>DB</v>
      </c>
      <c r="G174" s="3">
        <f>IFERROR(__xludf.DUMMYFUNCTION("""COMPUTED_VALUE"""),3.0203846646000004E8)</f>
        <v>302038466.5</v>
      </c>
      <c r="H174" s="5"/>
      <c r="I174" s="5" t="str">
        <f>IFERROR(__xludf.DUMMYFUNCTION("""COMPUTED_VALUE"""),"PRODUKSI")</f>
        <v>PRODUKSI</v>
      </c>
      <c r="J174" s="3"/>
    </row>
    <row r="175">
      <c r="A175" s="9">
        <f>IFERROR(__xludf.DUMMYFUNCTION("""COMPUTED_VALUE"""),46077.0)</f>
        <v>46077</v>
      </c>
      <c r="B175" s="5" t="str">
        <f>IFERROR(__xludf.DUMMYFUNCTION("""COMPUTED_VALUE"""),"TRSF E-BANKING DB")</f>
        <v>TRSF E-BANKING DB</v>
      </c>
      <c r="C175" s="5" t="str">
        <f>IFERROR(__xludf.DUMMYFUNCTION("""COMPUTED_VALUE"""),"2402/FTSCY/WS95011 90954880.00 jombang ANDALAN YASA MITRA")</f>
        <v>2402/FTSCY/WS95011 90954880.00 jombang ANDALAN YASA MITRA</v>
      </c>
      <c r="D175" s="3">
        <f>IFERROR(__xludf.DUMMYFUNCTION("""COMPUTED_VALUE"""),9.095488E7)</f>
        <v>90954880</v>
      </c>
      <c r="E175" s="5"/>
      <c r="F175" s="5" t="str">
        <f>IFERROR(__xludf.DUMMYFUNCTION("""COMPUTED_VALUE"""),"DB")</f>
        <v>DB</v>
      </c>
      <c r="G175" s="3">
        <f>IFERROR(__xludf.DUMMYFUNCTION("""COMPUTED_VALUE"""),2.1108358646000004E8)</f>
        <v>211083586.5</v>
      </c>
      <c r="H175" s="5"/>
      <c r="I175" s="5" t="str">
        <f>IFERROR(__xludf.DUMMYFUNCTION("""COMPUTED_VALUE"""),"PRODUKSI")</f>
        <v>PRODUKSI</v>
      </c>
      <c r="J175" s="3"/>
    </row>
    <row r="176">
      <c r="A176" s="9">
        <f>IFERROR(__xludf.DUMMYFUNCTION("""COMPUTED_VALUE"""),46077.0)</f>
        <v>46077</v>
      </c>
      <c r="B176" s="5" t="str">
        <f>IFERROR(__xludf.DUMMYFUNCTION("""COMPUTED_VALUE"""),"TRSF E-BANKING DB")</f>
        <v>TRSF E-BANKING DB</v>
      </c>
      <c r="C176" s="5" t="str">
        <f>IFERROR(__xludf.DUMMYFUNCTION("""COMPUTED_VALUE"""),"2402/FTSCY/WS95011 40000000.00 titip jember TERNAK SEJATI TABA")</f>
        <v>2402/FTSCY/WS95011 40000000.00 titip jember TERNAK SEJATI TABA</v>
      </c>
      <c r="D176" s="3">
        <f>IFERROR(__xludf.DUMMYFUNCTION("""COMPUTED_VALUE"""),4.0E7)</f>
        <v>40000000</v>
      </c>
      <c r="E176" s="5"/>
      <c r="F176" s="5" t="str">
        <f>IFERROR(__xludf.DUMMYFUNCTION("""COMPUTED_VALUE"""),"DB")</f>
        <v>DB</v>
      </c>
      <c r="G176" s="3">
        <f>IFERROR(__xludf.DUMMYFUNCTION("""COMPUTED_VALUE"""),1.7039468646000004E8)</f>
        <v>170394686.5</v>
      </c>
      <c r="H176" s="5" t="str">
        <f>IFERROR(__xludf.DUMMYFUNCTION("""COMPUTED_VALUE"""),"170,394,686.46")</f>
        <v>170,394,686.46</v>
      </c>
      <c r="I176" s="5" t="str">
        <f>IFERROR(__xludf.DUMMYFUNCTION("""COMPUTED_VALUE"""),"PRODUKSI")</f>
        <v>PRODUKSI</v>
      </c>
      <c r="J176" s="3"/>
    </row>
    <row r="177">
      <c r="A177" s="9">
        <f>IFERROR(__xludf.DUMMYFUNCTION("""COMPUTED_VALUE"""),46078.0)</f>
        <v>46078</v>
      </c>
      <c r="B177" s="5" t="str">
        <f>IFERROR(__xludf.DUMMYFUNCTION("""COMPUTED_VALUE"""),"TRSF E-BANKING DB TANGGAL :24/02")</f>
        <v>TRSF E-BANKING DB TANGGAL :24/02</v>
      </c>
      <c r="C177" s="5" t="str">
        <f>IFERROR(__xludf.DUMMYFUNCTION("""COMPUTED_VALUE"""),"2402/FTSCY/WS95011 titip mlg , t.a 60 jt TABASSAM AL HATTAK")</f>
        <v>2402/FTSCY/WS95011 titip mlg , t.a 60 jt TABASSAM AL HATTAK</v>
      </c>
      <c r="D177" s="3">
        <f>IFERROR(__xludf.DUMMYFUNCTION("""COMPUTED_VALUE"""),5.969E7)</f>
        <v>59690000</v>
      </c>
      <c r="E177" s="5"/>
      <c r="F177" s="5" t="str">
        <f>IFERROR(__xludf.DUMMYFUNCTION("""COMPUTED_VALUE"""),"DB")</f>
        <v>DB</v>
      </c>
      <c r="G177" s="3">
        <f>IFERROR(__xludf.DUMMYFUNCTION("""COMPUTED_VALUE"""),1.1070468646000004E8)</f>
        <v>110704686.5</v>
      </c>
      <c r="H177" s="5"/>
      <c r="I177" s="5" t="str">
        <f>IFERROR(__xludf.DUMMYFUNCTION("""COMPUTED_VALUE"""),"PRODUKSI")</f>
        <v>PRODUKSI</v>
      </c>
      <c r="J177" s="3"/>
    </row>
    <row r="178">
      <c r="A178" s="9">
        <f>IFERROR(__xludf.DUMMYFUNCTION("""COMPUTED_VALUE"""),46078.0)</f>
        <v>46078</v>
      </c>
      <c r="B178" s="5" t="str">
        <f>IFERROR(__xludf.DUMMYFUNCTION("""COMPUTED_VALUE"""),"TRSF E-BANKING DB TANGGAL :24/02")</f>
        <v>TRSF E-BANKING DB TANGGAL :24/02</v>
      </c>
      <c r="C178" s="5" t="str">
        <f>IFERROR(__xludf.DUMMYFUNCTION("""COMPUTED_VALUE"""),"2402/FTSCY/WS95011 22/23 BROILER MAKMUR TAN")</f>
        <v>2402/FTSCY/WS95011 22/23 BROILER MAKMUR TAN</v>
      </c>
      <c r="D178" s="3">
        <f>IFERROR(__xludf.DUMMYFUNCTION("""COMPUTED_VALUE"""),7.64875E7)</f>
        <v>76487500</v>
      </c>
      <c r="E178" s="5"/>
      <c r="F178" s="5" t="str">
        <f>IFERROR(__xludf.DUMMYFUNCTION("""COMPUTED_VALUE"""),"DB")</f>
        <v>DB</v>
      </c>
      <c r="G178" s="3">
        <f>IFERROR(__xludf.DUMMYFUNCTION("""COMPUTED_VALUE"""),3.421718646000004E7)</f>
        <v>34217186.46</v>
      </c>
      <c r="H178" s="5" t="str">
        <f>IFERROR(__xludf.DUMMYFUNCTION("""COMPUTED_VALUE"""),"34,217,186.46")</f>
        <v>34,217,186.46</v>
      </c>
      <c r="I178" s="5" t="str">
        <f>IFERROR(__xludf.DUMMYFUNCTION("""COMPUTED_VALUE"""),"PRODUKSI")</f>
        <v>PRODUKSI</v>
      </c>
      <c r="J178" s="3"/>
    </row>
    <row r="179">
      <c r="A179" s="9">
        <f>IFERROR(__xludf.DUMMYFUNCTION("""COMPUTED_VALUE"""),46078.0)</f>
        <v>46078</v>
      </c>
      <c r="B179" s="5" t="str">
        <f>IFERROR(__xludf.DUMMYFUNCTION("""COMPUTED_VALUE"""),"TRSF E-BANKING DB TANGGAL :24/02")</f>
        <v>TRSF E-BANKING DB TANGGAL :24/02</v>
      </c>
      <c r="C179" s="5" t="str">
        <f>IFERROR(__xludf.DUMMYFUNCTION("""COMPUTED_VALUE"""),"2402/FTSCY/WS95011 titip BRANTAS ABADI SENT")</f>
        <v>2402/FTSCY/WS95011 titip BRANTAS ABADI SENT</v>
      </c>
      <c r="D179" s="3">
        <f>IFERROR(__xludf.DUMMYFUNCTION("""COMPUTED_VALUE"""),2.5E7)</f>
        <v>25000000</v>
      </c>
      <c r="E179" s="5"/>
      <c r="F179" s="5" t="str">
        <f>IFERROR(__xludf.DUMMYFUNCTION("""COMPUTED_VALUE"""),"DB")</f>
        <v>DB</v>
      </c>
      <c r="G179" s="3">
        <f>IFERROR(__xludf.DUMMYFUNCTION("""COMPUTED_VALUE"""),9217186.460000038)</f>
        <v>9217186.46</v>
      </c>
      <c r="H179" s="5" t="str">
        <f>IFERROR(__xludf.DUMMYFUNCTION("""COMPUTED_VALUE"""),"9,217,186.46")</f>
        <v>9,217,186.46</v>
      </c>
      <c r="I179" s="5" t="str">
        <f>IFERROR(__xludf.DUMMYFUNCTION("""COMPUTED_VALUE"""),"PRODUKSI")</f>
        <v>PRODUKSI</v>
      </c>
      <c r="J179" s="3"/>
    </row>
    <row r="180">
      <c r="A180" s="9">
        <f>IFERROR(__xludf.DUMMYFUNCTION("""COMPUTED_VALUE"""),46078.0)</f>
        <v>46078</v>
      </c>
      <c r="B180" s="5" t="str">
        <f>IFERROR(__xludf.DUMMYFUNCTION("""COMPUTED_VALUE"""),"TRSF E-BANKING DB")</f>
        <v>TRSF E-BANKING DB</v>
      </c>
      <c r="C180" s="5" t="str">
        <f>IFERROR(__xludf.DUMMYFUNCTION("""COMPUTED_VALUE"""),"2502/FTSCY/WS95031 8632400.00 pelunasan jember TERNAK SEJATI TABA")</f>
        <v>2502/FTSCY/WS95031 8632400.00 pelunasan jember TERNAK SEJATI TABA</v>
      </c>
      <c r="D180" s="3">
        <f>IFERROR(__xludf.DUMMYFUNCTION("""COMPUTED_VALUE"""),8632400.0)</f>
        <v>8632400</v>
      </c>
      <c r="E180" s="5"/>
      <c r="F180" s="5" t="str">
        <f>IFERROR(__xludf.DUMMYFUNCTION("""COMPUTED_VALUE"""),"DB")</f>
        <v>DB</v>
      </c>
      <c r="G180" s="3">
        <f>IFERROR(__xludf.DUMMYFUNCTION("""COMPUTED_VALUE"""),8.682283646000004E7)</f>
        <v>86822836.46</v>
      </c>
      <c r="H180" s="5"/>
      <c r="I180" s="5" t="str">
        <f>IFERROR(__xludf.DUMMYFUNCTION("""COMPUTED_VALUE"""),"PRODUKSI")</f>
        <v>PRODUKSI</v>
      </c>
      <c r="J180" s="3"/>
    </row>
    <row r="181">
      <c r="A181" s="9">
        <f>IFERROR(__xludf.DUMMYFUNCTION("""COMPUTED_VALUE"""),46078.0)</f>
        <v>46078</v>
      </c>
      <c r="B181" s="5" t="str">
        <f>IFERROR(__xludf.DUMMYFUNCTION("""COMPUTED_VALUE"""),"TRSF E-BANKING DB")</f>
        <v>TRSF E-BANKING DB</v>
      </c>
      <c r="C181" s="5" t="str">
        <f>IFERROR(__xludf.DUMMYFUNCTION("""COMPUTED_VALUE"""),"2502/FTSCY/WS95031 70000000.00 pelunasan BROILER MAKMUR TAN")</f>
        <v>2502/FTSCY/WS95031 70000000.00 pelunasan BROILER MAKMUR TAN</v>
      </c>
      <c r="D181" s="3">
        <f>IFERROR(__xludf.DUMMYFUNCTION("""COMPUTED_VALUE"""),7.0E7)</f>
        <v>70000000</v>
      </c>
      <c r="E181" s="5"/>
      <c r="F181" s="5" t="str">
        <f>IFERROR(__xludf.DUMMYFUNCTION("""COMPUTED_VALUE"""),"DB")</f>
        <v>DB</v>
      </c>
      <c r="G181" s="3">
        <f>IFERROR(__xludf.DUMMYFUNCTION("""COMPUTED_VALUE"""),3.0130469146000004E8)</f>
        <v>301304691.5</v>
      </c>
      <c r="H181" s="5"/>
      <c r="I181" s="5" t="str">
        <f>IFERROR(__xludf.DUMMYFUNCTION("""COMPUTED_VALUE"""),"PRODUKSI")</f>
        <v>PRODUKSI</v>
      </c>
      <c r="J181" s="3"/>
    </row>
    <row r="182">
      <c r="A182" s="9">
        <f>IFERROR(__xludf.DUMMYFUNCTION("""COMPUTED_VALUE"""),46078.0)</f>
        <v>46078</v>
      </c>
      <c r="B182" s="5" t="str">
        <f>IFERROR(__xludf.DUMMYFUNCTION("""COMPUTED_VALUE"""),"TRSF E-BANKING DB")</f>
        <v>TRSF E-BANKING DB</v>
      </c>
      <c r="C182" s="5" t="str">
        <f>IFERROR(__xludf.DUMMYFUNCTION("""COMPUTED_VALUE"""),"2502/FTSCY/WS95271 111320350.00 Mon Feb 23 2026 15:00:00 GMT+0700 (Western Indonesia Time) RUKUN MITRA BERSAM")</f>
        <v>2502/FTSCY/WS95271 111320350.00 Mon Feb 23 2026 15:00:00 GMT+0700 (Western Indonesia Time) RUKUN MITRA BERSAM</v>
      </c>
      <c r="D182" s="3">
        <f>IFERROR(__xludf.DUMMYFUNCTION("""COMPUTED_VALUE"""),1.1132035E8)</f>
        <v>111320350</v>
      </c>
      <c r="E182" s="5"/>
      <c r="F182" s="5" t="str">
        <f>IFERROR(__xludf.DUMMYFUNCTION("""COMPUTED_VALUE"""),"DB")</f>
        <v>DB</v>
      </c>
      <c r="G182" s="3">
        <f>IFERROR(__xludf.DUMMYFUNCTION("""COMPUTED_VALUE"""),1.8998434146000004E8)</f>
        <v>189984341.5</v>
      </c>
      <c r="H182" s="5"/>
      <c r="I182" s="5" t="str">
        <f>IFERROR(__xludf.DUMMYFUNCTION("""COMPUTED_VALUE"""),"PRODUKSI")</f>
        <v>PRODUKSI</v>
      </c>
      <c r="J182" s="3"/>
    </row>
    <row r="183">
      <c r="A183" s="9">
        <f>IFERROR(__xludf.DUMMYFUNCTION("""COMPUTED_VALUE"""),46078.0)</f>
        <v>46078</v>
      </c>
      <c r="B183" s="5" t="str">
        <f>IFERROR(__xludf.DUMMYFUNCTION("""COMPUTED_VALUE"""),"TRSF E-BANKING DB")</f>
        <v>TRSF E-BANKING DB</v>
      </c>
      <c r="C183" s="5" t="str">
        <f>IFERROR(__xludf.DUMMYFUNCTION("""COMPUTED_VALUE"""),"2502/FTSCY/WS95271 50549400.00 Mon Feb 23 2026 15:00:00 GMT+0700 (Western Indonesia Time) ANDALAN YASA MITRA")</f>
        <v>2502/FTSCY/WS95271 50549400.00 Mon Feb 23 2026 15:00:00 GMT+0700 (Western Indonesia Time) ANDALAN YASA MITRA</v>
      </c>
      <c r="D183" s="3">
        <f>IFERROR(__xludf.DUMMYFUNCTION("""COMPUTED_VALUE"""),5.05494E7)</f>
        <v>50549400</v>
      </c>
      <c r="E183" s="5"/>
      <c r="F183" s="5" t="str">
        <f>IFERROR(__xludf.DUMMYFUNCTION("""COMPUTED_VALUE"""),"DB")</f>
        <v>DB</v>
      </c>
      <c r="G183" s="3">
        <f>IFERROR(__xludf.DUMMYFUNCTION("""COMPUTED_VALUE"""),1.3943494146000004E8)</f>
        <v>139434941.5</v>
      </c>
      <c r="H183" s="5"/>
      <c r="I183" s="5" t="str">
        <f>IFERROR(__xludf.DUMMYFUNCTION("""COMPUTED_VALUE"""),"PRODUKSI")</f>
        <v>PRODUKSI</v>
      </c>
      <c r="J183" s="3"/>
    </row>
    <row r="184">
      <c r="A184" s="9">
        <f>IFERROR(__xludf.DUMMYFUNCTION("""COMPUTED_VALUE"""),46078.0)</f>
        <v>46078</v>
      </c>
      <c r="B184" s="5" t="str">
        <f>IFERROR(__xludf.DUMMYFUNCTION("""COMPUTED_VALUE"""),"TRSF E-BANKING DB")</f>
        <v>TRSF E-BANKING DB</v>
      </c>
      <c r="C184" s="5" t="str">
        <f>IFERROR(__xludf.DUMMYFUNCTION("""COMPUTED_VALUE"""),"2502/FTSCY/WS95011 46711500.00 pelunasan TABASSAM AL HATTAK")</f>
        <v>2502/FTSCY/WS95011 46711500.00 pelunasan TABASSAM AL HATTAK</v>
      </c>
      <c r="D184" s="3">
        <f>IFERROR(__xludf.DUMMYFUNCTION("""COMPUTED_VALUE"""),4.67115E7)</f>
        <v>46711500</v>
      </c>
      <c r="E184" s="5"/>
      <c r="F184" s="5" t="str">
        <f>IFERROR(__xludf.DUMMYFUNCTION("""COMPUTED_VALUE"""),"DB")</f>
        <v>DB</v>
      </c>
      <c r="G184" s="3">
        <f>IFERROR(__xludf.DUMMYFUNCTION("""COMPUTED_VALUE"""),9.272344146000004E7)</f>
        <v>92723441.46</v>
      </c>
      <c r="H184" s="5"/>
      <c r="I184" s="5" t="str">
        <f>IFERROR(__xludf.DUMMYFUNCTION("""COMPUTED_VALUE"""),"PRODUKSI")</f>
        <v>PRODUKSI</v>
      </c>
      <c r="J184" s="3"/>
    </row>
    <row r="185">
      <c r="A185" s="9">
        <f>IFERROR(__xludf.DUMMYFUNCTION("""COMPUTED_VALUE"""),46078.0)</f>
        <v>46078</v>
      </c>
      <c r="B185" s="5" t="str">
        <f>IFERROR(__xludf.DUMMYFUNCTION("""COMPUTED_VALUE"""),"TRSF E-BANKING DB")</f>
        <v>TRSF E-BANKING DB</v>
      </c>
      <c r="C185" s="5" t="str">
        <f>IFERROR(__xludf.DUMMYFUNCTION("""COMPUTED_VALUE"""),"2502/FTSCY/WS95271 23015000.00 pelunasan BRANTAS ABADI SENT")</f>
        <v>2502/FTSCY/WS95271 23015000.00 pelunasan BRANTAS ABADI SENT</v>
      </c>
      <c r="D185" s="3">
        <f>IFERROR(__xludf.DUMMYFUNCTION("""COMPUTED_VALUE"""),2.3015E7)</f>
        <v>23015000</v>
      </c>
      <c r="E185" s="5"/>
      <c r="F185" s="5" t="str">
        <f>IFERROR(__xludf.DUMMYFUNCTION("""COMPUTED_VALUE"""),"DB")</f>
        <v>DB</v>
      </c>
      <c r="G185" s="3">
        <f>IFERROR(__xludf.DUMMYFUNCTION("""COMPUTED_VALUE"""),1.6904344146000004E8)</f>
        <v>169043441.5</v>
      </c>
      <c r="H185" s="5" t="str">
        <f>IFERROR(__xludf.DUMMYFUNCTION("""COMPUTED_VALUE"""),"169,043,441.46")</f>
        <v>169,043,441.46</v>
      </c>
      <c r="I185" s="5" t="str">
        <f>IFERROR(__xludf.DUMMYFUNCTION("""COMPUTED_VALUE"""),"PRODUKSI")</f>
        <v>PRODUKSI</v>
      </c>
      <c r="J185" s="3"/>
    </row>
    <row r="186">
      <c r="A186" s="9">
        <f>IFERROR(__xludf.DUMMYFUNCTION("""COMPUTED_VALUE"""),46078.0)</f>
        <v>46078</v>
      </c>
      <c r="B186" s="5" t="str">
        <f>IFERROR(__xludf.DUMMYFUNCTION("""COMPUTED_VALUE"""),"TRSF E-BANKING DB")</f>
        <v>TRSF E-BANKING DB</v>
      </c>
      <c r="C186" s="5" t="str">
        <f>IFERROR(__xludf.DUMMYFUNCTION("""COMPUTED_VALUE"""),"2502/FTSCY/WS95011 106671250.00 kd nanang prasetyo kediri BRANTAS ABADI SENT")</f>
        <v>2502/FTSCY/WS95011 106671250.00 kd nanang prasetyo kediri BRANTAS ABADI SENT</v>
      </c>
      <c r="D186" s="3">
        <f>IFERROR(__xludf.DUMMYFUNCTION("""COMPUTED_VALUE"""),1.0667125E8)</f>
        <v>106671250</v>
      </c>
      <c r="E186" s="5"/>
      <c r="F186" s="5" t="str">
        <f>IFERROR(__xludf.DUMMYFUNCTION("""COMPUTED_VALUE"""),"DB")</f>
        <v>DB</v>
      </c>
      <c r="G186" s="3">
        <f>IFERROR(__xludf.DUMMYFUNCTION("""COMPUTED_VALUE"""),1.7376925246000004E8)</f>
        <v>173769252.5</v>
      </c>
      <c r="H186" s="5"/>
      <c r="I186" s="5" t="str">
        <f>IFERROR(__xludf.DUMMYFUNCTION("""COMPUTED_VALUE"""),"PRODUKSI")</f>
        <v>PRODUKSI</v>
      </c>
      <c r="J186" s="3"/>
    </row>
    <row r="187">
      <c r="A187" s="9">
        <f>IFERROR(__xludf.DUMMYFUNCTION("""COMPUTED_VALUE"""),46078.0)</f>
        <v>46078</v>
      </c>
      <c r="B187" s="5" t="str">
        <f>IFERROR(__xludf.DUMMYFUNCTION("""COMPUTED_VALUE"""),"TRSF E-BANKING DB")</f>
        <v>TRSF E-BANKING DB</v>
      </c>
      <c r="C187" s="5" t="str">
        <f>IFERROR(__xludf.DUMMYFUNCTION("""COMPUTED_VALUE"""),"2502/FTSCY/WS95011 95586150.00 Mon Feb 23 2026 15:00:00 GMT+0700 (Western Indonesia Time) BROILER MAKMUR TAN")</f>
        <v>2502/FTSCY/WS95011 95586150.00 Mon Feb 23 2026 15:00:00 GMT+0700 (Western Indonesia Time) BROILER MAKMUR TAN</v>
      </c>
      <c r="D187" s="3">
        <f>IFERROR(__xludf.DUMMYFUNCTION("""COMPUTED_VALUE"""),9.558615E7)</f>
        <v>95586150</v>
      </c>
      <c r="E187" s="5"/>
      <c r="F187" s="5" t="str">
        <f>IFERROR(__xludf.DUMMYFUNCTION("""COMPUTED_VALUE"""),"DB")</f>
        <v>DB</v>
      </c>
      <c r="G187" s="3">
        <f>IFERROR(__xludf.DUMMYFUNCTION("""COMPUTED_VALUE"""),7.818310246000004E7)</f>
        <v>78183102.46</v>
      </c>
      <c r="H187" s="5"/>
      <c r="I187" s="5" t="str">
        <f>IFERROR(__xludf.DUMMYFUNCTION("""COMPUTED_VALUE"""),"PRODUKSI")</f>
        <v>PRODUKSI</v>
      </c>
      <c r="J187" s="3"/>
    </row>
    <row r="188">
      <c r="A188" s="9">
        <f>IFERROR(__xludf.DUMMYFUNCTION("""COMPUTED_VALUE"""),46078.0)</f>
        <v>46078</v>
      </c>
      <c r="B188" s="5" t="str">
        <f>IFERROR(__xludf.DUMMYFUNCTION("""COMPUTED_VALUE"""),"TRSF E-BANKING DB")</f>
        <v>TRSF E-BANKING DB</v>
      </c>
      <c r="C188" s="5" t="str">
        <f>IFERROR(__xludf.DUMMYFUNCTION("""COMPUTED_VALUE"""),"2502/FTSCY/WS95011 54478500.00 t. agung PITIK DIGITAL INDO")</f>
        <v>2502/FTSCY/WS95011 54478500.00 t. agung PITIK DIGITAL INDO</v>
      </c>
      <c r="D188" s="3">
        <f>IFERROR(__xludf.DUMMYFUNCTION("""COMPUTED_VALUE"""),5.44785E7)</f>
        <v>54478500</v>
      </c>
      <c r="E188" s="5"/>
      <c r="F188" s="5" t="str">
        <f>IFERROR(__xludf.DUMMYFUNCTION("""COMPUTED_VALUE"""),"DB")</f>
        <v>DB</v>
      </c>
      <c r="G188" s="3">
        <f>IFERROR(__xludf.DUMMYFUNCTION("""COMPUTED_VALUE"""),2.370460246000004E7)</f>
        <v>23704602.46</v>
      </c>
      <c r="H188" s="5" t="str">
        <f>IFERROR(__xludf.DUMMYFUNCTION("""COMPUTED_VALUE"""),"23,704,602.46")</f>
        <v>23,704,602.46</v>
      </c>
      <c r="I188" s="5" t="str">
        <f>IFERROR(__xludf.DUMMYFUNCTION("""COMPUTED_VALUE"""),"PRODUKSI")</f>
        <v>PRODUKSI</v>
      </c>
      <c r="J188" s="3"/>
    </row>
    <row r="189">
      <c r="A189" s="9">
        <f>IFERROR(__xludf.DUMMYFUNCTION("""COMPUTED_VALUE"""),46080.0)</f>
        <v>46080</v>
      </c>
      <c r="B189" s="5" t="str">
        <f>IFERROR(__xludf.DUMMYFUNCTION("""COMPUTED_VALUE"""),"TRSF E-BANKING DB")</f>
        <v>TRSF E-BANKING DB</v>
      </c>
      <c r="C189" s="5" t="str">
        <f>IFERROR(__xludf.DUMMYFUNCTION("""COMPUTED_VALUE"""),"2702/FTSCY/WS95271 97536450.00 mlg lunas TABASSAM AL HATTAK")</f>
        <v>2702/FTSCY/WS95271 97536450.00 mlg lunas TABASSAM AL HATTAK</v>
      </c>
      <c r="D189" s="3">
        <f>IFERROR(__xludf.DUMMYFUNCTION("""COMPUTED_VALUE"""),9.753645E7)</f>
        <v>97536450</v>
      </c>
      <c r="E189" s="5"/>
      <c r="F189" s="5" t="str">
        <f>IFERROR(__xludf.DUMMYFUNCTION("""COMPUTED_VALUE"""),"DB")</f>
        <v>DB</v>
      </c>
      <c r="G189" s="3">
        <f>IFERROR(__xludf.DUMMYFUNCTION("""COMPUTED_VALUE"""),4.3672432246000004E8)</f>
        <v>436724322.5</v>
      </c>
      <c r="H189" s="5" t="str">
        <f>IFERROR(__xludf.DUMMYFUNCTION("""COMPUTED_VALUE"""),"436,724,322.46")</f>
        <v>436,724,322.46</v>
      </c>
      <c r="I189" s="5" t="str">
        <f>IFERROR(__xludf.DUMMYFUNCTION("""COMPUTED_VALUE"""),"PRODUKSI")</f>
        <v>PRODUKSI</v>
      </c>
      <c r="J189" s="3"/>
    </row>
    <row r="190">
      <c r="A190" s="9">
        <f>IFERROR(__xludf.DUMMYFUNCTION("""COMPUTED_VALUE"""),46080.0)</f>
        <v>46080</v>
      </c>
      <c r="B190" s="5" t="str">
        <f>IFERROR(__xludf.DUMMYFUNCTION("""COMPUTED_VALUE"""),"TRSF E-BANKING DB")</f>
        <v>TRSF E-BANKING DB</v>
      </c>
      <c r="C190" s="5" t="str">
        <f>IFERROR(__xludf.DUMMYFUNCTION("""COMPUTED_VALUE"""),"2702/FTSCY/WS95011 141174580.00 pemb. 23/02 SUPER UNGGAS JAYA")</f>
        <v>2702/FTSCY/WS95011 141174580.00 pemb. 23/02 SUPER UNGGAS JAYA</v>
      </c>
      <c r="D190" s="3">
        <f>IFERROR(__xludf.DUMMYFUNCTION("""COMPUTED_VALUE"""),1.4117458E8)</f>
        <v>141174580</v>
      </c>
      <c r="E190" s="5"/>
      <c r="F190" s="5" t="str">
        <f>IFERROR(__xludf.DUMMYFUNCTION("""COMPUTED_VALUE"""),"DB")</f>
        <v>DB</v>
      </c>
      <c r="G190" s="3">
        <f>IFERROR(__xludf.DUMMYFUNCTION("""COMPUTED_VALUE"""),4.4464974246000004E8)</f>
        <v>444649742.5</v>
      </c>
      <c r="H190" s="5"/>
      <c r="I190" s="5" t="str">
        <f>IFERROR(__xludf.DUMMYFUNCTION("""COMPUTED_VALUE"""),"PRODUKSI")</f>
        <v>PRODUKSI</v>
      </c>
      <c r="J190" s="3"/>
    </row>
    <row r="191">
      <c r="A191" s="9">
        <f>IFERROR(__xludf.DUMMYFUNCTION("""COMPUTED_VALUE"""),46080.0)</f>
        <v>46080</v>
      </c>
      <c r="B191" s="5" t="str">
        <f>IFERROR(__xludf.DUMMYFUNCTION("""COMPUTED_VALUE"""),"TRSF E-BANKING DB")</f>
        <v>TRSF E-BANKING DB</v>
      </c>
      <c r="C191" s="5" t="str">
        <f>IFERROR(__xludf.DUMMYFUNCTION("""COMPUTED_VALUE"""),"2702/FTSCY/WS95011 90096850.00 mlg PITIK DIGITAL INDO")</f>
        <v>2702/FTSCY/WS95011 90096850.00 mlg PITIK DIGITAL INDO</v>
      </c>
      <c r="D191" s="3">
        <f>IFERROR(__xludf.DUMMYFUNCTION("""COMPUTED_VALUE"""),9.009685E7)</f>
        <v>90096850</v>
      </c>
      <c r="E191" s="5"/>
      <c r="F191" s="5" t="str">
        <f>IFERROR(__xludf.DUMMYFUNCTION("""COMPUTED_VALUE"""),"DB")</f>
        <v>DB</v>
      </c>
      <c r="G191" s="3">
        <f>IFERROR(__xludf.DUMMYFUNCTION("""COMPUTED_VALUE"""),3.5455289246000004E8)</f>
        <v>354552892.5</v>
      </c>
      <c r="H191" s="5"/>
      <c r="I191" s="5" t="str">
        <f>IFERROR(__xludf.DUMMYFUNCTION("""COMPUTED_VALUE"""),"PRODUKSI")</f>
        <v>PRODUKSI</v>
      </c>
      <c r="J191" s="3"/>
    </row>
    <row r="192">
      <c r="A192" s="9">
        <f>IFERROR(__xludf.DUMMYFUNCTION("""COMPUTED_VALUE"""),46080.0)</f>
        <v>46080</v>
      </c>
      <c r="B192" s="5" t="str">
        <f>IFERROR(__xludf.DUMMYFUNCTION("""COMPUTED_VALUE"""),"TRSF E-BANKING DB")</f>
        <v>TRSF E-BANKING DB</v>
      </c>
      <c r="C192" s="5" t="str">
        <f>IFERROR(__xludf.DUMMYFUNCTION("""COMPUTED_VALUE"""),"2702/FTSCY/WS95011 110742200.00 jember PITIK DIGITAL INDO")</f>
        <v>2702/FTSCY/WS95011 110742200.00 jember PITIK DIGITAL INDO</v>
      </c>
      <c r="D192" s="3">
        <f>IFERROR(__xludf.DUMMYFUNCTION("""COMPUTED_VALUE"""),1.107422E8)</f>
        <v>110742200</v>
      </c>
      <c r="E192" s="5"/>
      <c r="F192" s="5" t="str">
        <f>IFERROR(__xludf.DUMMYFUNCTION("""COMPUTED_VALUE"""),"DB")</f>
        <v>DB</v>
      </c>
      <c r="G192" s="3">
        <f>IFERROR(__xludf.DUMMYFUNCTION("""COMPUTED_VALUE"""),2.4381069246000004E8)</f>
        <v>243810692.5</v>
      </c>
      <c r="H192" s="5"/>
      <c r="I192" s="5" t="str">
        <f>IFERROR(__xludf.DUMMYFUNCTION("""COMPUTED_VALUE"""),"PRODUKSI")</f>
        <v>PRODUKSI</v>
      </c>
      <c r="J192" s="3"/>
    </row>
    <row r="193">
      <c r="A193" s="9">
        <f>IFERROR(__xludf.DUMMYFUNCTION("""COMPUTED_VALUE"""),46080.0)</f>
        <v>46080</v>
      </c>
      <c r="B193" s="5" t="str">
        <f>IFERROR(__xludf.DUMMYFUNCTION("""COMPUTED_VALUE"""),"TRSF E-BANKING DB")</f>
        <v>TRSF E-BANKING DB</v>
      </c>
      <c r="C193" s="5" t="str">
        <f>IFERROR(__xludf.DUMMYFUNCTION("""COMPUTED_VALUE"""),"2702/FTSCY/WS95011 63200000.00 Mon Feb 23 2026 15:00:00 GMT+0700 (Western Indonesia Time) BROILER MAKMUR TAN")</f>
        <v>2702/FTSCY/WS95011 63200000.00 Mon Feb 23 2026 15:00:00 GMT+0700 (Western Indonesia Time) BROILER MAKMUR TAN</v>
      </c>
      <c r="D193" s="3">
        <f>IFERROR(__xludf.DUMMYFUNCTION("""COMPUTED_VALUE"""),6.32E7)</f>
        <v>63200000</v>
      </c>
      <c r="E193" s="5"/>
      <c r="F193" s="5" t="str">
        <f>IFERROR(__xludf.DUMMYFUNCTION("""COMPUTED_VALUE"""),"DB")</f>
        <v>DB</v>
      </c>
      <c r="G193" s="3">
        <f>IFERROR(__xludf.DUMMYFUNCTION("""COMPUTED_VALUE"""),1.7570439246000004E8)</f>
        <v>175704392.5</v>
      </c>
      <c r="H193" s="5"/>
      <c r="I193" s="5" t="str">
        <f>IFERROR(__xludf.DUMMYFUNCTION("""COMPUTED_VALUE"""),"PRODUKSI")</f>
        <v>PRODUKSI</v>
      </c>
      <c r="J193" s="3"/>
    </row>
    <row r="194">
      <c r="A194" s="9">
        <f>IFERROR(__xludf.DUMMYFUNCTION("""COMPUTED_VALUE"""),46080.0)</f>
        <v>46080</v>
      </c>
      <c r="B194" s="5" t="str">
        <f>IFERROR(__xludf.DUMMYFUNCTION("""COMPUTED_VALUE"""),"TRSF E-BANKING DB")</f>
        <v>TRSF E-BANKING DB</v>
      </c>
      <c r="C194" s="5" t="str">
        <f>IFERROR(__xludf.DUMMYFUNCTION("""COMPUTED_VALUE"""),"2702/FTSCY/WS95011 53466720.00 Mon Feb 23 2026 15:00:00 GMT+0700 (Western Indonesia Time) BROILER MAKMUR TAN")</f>
        <v>2702/FTSCY/WS95011 53466720.00 Mon Feb 23 2026 15:00:00 GMT+0700 (Western Indonesia Time) BROILER MAKMUR TAN</v>
      </c>
      <c r="D194" s="3">
        <f>IFERROR(__xludf.DUMMYFUNCTION("""COMPUTED_VALUE"""),5.346672E7)</f>
        <v>53466720</v>
      </c>
      <c r="E194" s="5"/>
      <c r="F194" s="5" t="str">
        <f>IFERROR(__xludf.DUMMYFUNCTION("""COMPUTED_VALUE"""),"DB")</f>
        <v>DB</v>
      </c>
      <c r="G194" s="3">
        <f>IFERROR(__xludf.DUMMYFUNCTION("""COMPUTED_VALUE"""),1.2223767246000004E8)</f>
        <v>122237672.5</v>
      </c>
      <c r="H194" s="5"/>
      <c r="I194" s="5" t="str">
        <f>IFERROR(__xludf.DUMMYFUNCTION("""COMPUTED_VALUE"""),"PRODUKSI")</f>
        <v>PRODUKSI</v>
      </c>
      <c r="J194" s="3"/>
    </row>
    <row r="195">
      <c r="A195" s="9">
        <f>IFERROR(__xludf.DUMMYFUNCTION("""COMPUTED_VALUE"""),46081.0)</f>
        <v>46081</v>
      </c>
      <c r="B195" s="5" t="str">
        <f>IFERROR(__xludf.DUMMYFUNCTION("""COMPUTED_VALUE"""),"TRSF E-BANKING DB")</f>
        <v>TRSF E-BANKING DB</v>
      </c>
      <c r="C195" s="5" t="str">
        <f>IFERROR(__xludf.DUMMYFUNCTION("""COMPUTED_VALUE"""),"2802/FTSCY/WS95031 44376500.00 Mon Feb 23 2026 15:00:00 GMT+0700 (Western Indonesia Time) SUPER UNGGAS JAYA")</f>
        <v>2802/FTSCY/WS95031 44376500.00 Mon Feb 23 2026 15:00:00 GMT+0700 (Western Indonesia Time) SUPER UNGGAS JAYA</v>
      </c>
      <c r="D195" s="3">
        <f>IFERROR(__xludf.DUMMYFUNCTION("""COMPUTED_VALUE"""),4.43765E7)</f>
        <v>44376500</v>
      </c>
      <c r="E195" s="5"/>
      <c r="F195" s="5" t="str">
        <f>IFERROR(__xludf.DUMMYFUNCTION("""COMPUTED_VALUE"""),"DB")</f>
        <v>DB</v>
      </c>
      <c r="G195" s="3">
        <f>IFERROR(__xludf.DUMMYFUNCTION("""COMPUTED_VALUE"""),7.571117246000004E7)</f>
        <v>75711172.46</v>
      </c>
      <c r="H195" s="5"/>
      <c r="I195" s="5" t="str">
        <f>IFERROR(__xludf.DUMMYFUNCTION("""COMPUTED_VALUE"""),"PRODUKSI")</f>
        <v>PRODUKSI</v>
      </c>
      <c r="J195" s="3"/>
    </row>
    <row r="196">
      <c r="A196" s="9">
        <f>IFERROR(__xludf.DUMMYFUNCTION("""COMPUTED_VALUE"""),46081.0)</f>
        <v>46081</v>
      </c>
      <c r="B196" s="5" t="str">
        <f>IFERROR(__xludf.DUMMYFUNCTION("""COMPUTED_VALUE"""),"TRSF E-BANKING DB")</f>
        <v>TRSF E-BANKING DB</v>
      </c>
      <c r="C196" s="5" t="str">
        <f>IFERROR(__xludf.DUMMYFUNCTION("""COMPUTED_VALUE"""),"2802/FTSCY/WS95031 47780700.00 mlg PITIK DIGITAL INDO")</f>
        <v>2802/FTSCY/WS95031 47780700.00 mlg PITIK DIGITAL INDO</v>
      </c>
      <c r="D196" s="3">
        <f>IFERROR(__xludf.DUMMYFUNCTION("""COMPUTED_VALUE"""),4.77807E7)</f>
        <v>47780700</v>
      </c>
      <c r="E196" s="5"/>
      <c r="F196" s="5" t="str">
        <f>IFERROR(__xludf.DUMMYFUNCTION("""COMPUTED_VALUE"""),"DB")</f>
        <v>DB</v>
      </c>
      <c r="G196" s="3">
        <f>IFERROR(__xludf.DUMMYFUNCTION("""COMPUTED_VALUE"""),2.485461246000004E7)</f>
        <v>24854612.46</v>
      </c>
      <c r="H196" s="5" t="str">
        <f>IFERROR(__xludf.DUMMYFUNCTION("""COMPUTED_VALUE"""),"24,854,612.46")</f>
        <v>24,854,612.46</v>
      </c>
      <c r="I196" s="5" t="str">
        <f>IFERROR(__xludf.DUMMYFUNCTION("""COMPUTED_VALUE"""),"PRODUKSI")</f>
        <v>PRODUKSI</v>
      </c>
      <c r="J196" s="3"/>
    </row>
    <row r="197">
      <c r="A197" s="9">
        <f>IFERROR(__xludf.DUMMYFUNCTION("""COMPUTED_VALUE"""),46081.0)</f>
        <v>46081</v>
      </c>
      <c r="B197" s="5" t="str">
        <f>IFERROR(__xludf.DUMMYFUNCTION("""COMPUTED_VALUE"""),"TRSF E-BANKING DB")</f>
        <v>TRSF E-BANKING DB</v>
      </c>
      <c r="C197" s="5" t="str">
        <f>IFERROR(__xludf.DUMMYFUNCTION("""COMPUTED_VALUE"""),"2802/FTSCY/WS95271 46566300.00 Thu Feb 26 2026 15:00:00 GMT+0700 (Western Indonesia Time) GANESHA SATRIA NUS")</f>
        <v>2802/FTSCY/WS95271 46566300.00 Thu Feb 26 2026 15:00:00 GMT+0700 (Western Indonesia Time) GANESHA SATRIA NUS</v>
      </c>
      <c r="D197" s="3">
        <f>IFERROR(__xludf.DUMMYFUNCTION("""COMPUTED_VALUE"""),4.65663E7)</f>
        <v>46566300</v>
      </c>
      <c r="E197" s="5"/>
      <c r="F197" s="5" t="str">
        <f>IFERROR(__xludf.DUMMYFUNCTION("""COMPUTED_VALUE"""),"DB")</f>
        <v>DB</v>
      </c>
      <c r="G197" s="3">
        <f>IFERROR(__xludf.DUMMYFUNCTION("""COMPUTED_VALUE"""),2.808831246000004E7)</f>
        <v>28088312.46</v>
      </c>
      <c r="H197" s="5"/>
      <c r="I197" s="5" t="str">
        <f>IFERROR(__xludf.DUMMYFUNCTION("""COMPUTED_VALUE"""),"PRODUKSI")</f>
        <v>PRODUKSI</v>
      </c>
      <c r="J197" s="3"/>
    </row>
    <row r="198">
      <c r="A198" s="9">
        <f>IFERROR(__xludf.DUMMYFUNCTION("""COMPUTED_VALUE"""),46081.0)</f>
        <v>46081</v>
      </c>
      <c r="B198" s="5" t="str">
        <f>IFERROR(__xludf.DUMMYFUNCTION("""COMPUTED_VALUE"""),"TRSF E-BANKING DB")</f>
        <v>TRSF E-BANKING DB</v>
      </c>
      <c r="C198" s="5" t="str">
        <f>IFERROR(__xludf.DUMMYFUNCTION("""COMPUTED_VALUE"""),"2802/FTSCY/WS95271 143923290.00 pelunasan ANDALAN YASA MITRA")</f>
        <v>2802/FTSCY/WS95271 143923290.00 pelunasan ANDALAN YASA MITRA</v>
      </c>
      <c r="D198" s="3">
        <f>IFERROR(__xludf.DUMMYFUNCTION("""COMPUTED_VALUE"""),1.4392329E8)</f>
        <v>143923290</v>
      </c>
      <c r="E198" s="5"/>
      <c r="F198" s="5" t="str">
        <f>IFERROR(__xludf.DUMMYFUNCTION("""COMPUTED_VALUE"""),"DB")</f>
        <v>DB</v>
      </c>
      <c r="G198" s="3">
        <f>IFERROR(__xludf.DUMMYFUNCTION("""COMPUTED_VALUE"""),1.7052144246000004E8)</f>
        <v>170521442.5</v>
      </c>
      <c r="H198" s="5"/>
      <c r="I198" s="5" t="str">
        <f>IFERROR(__xludf.DUMMYFUNCTION("""COMPUTED_VALUE"""),"PRODUKSI")</f>
        <v>PRODUKSI</v>
      </c>
      <c r="J198" s="3"/>
    </row>
    <row r="199">
      <c r="A199" s="9">
        <f>IFERROR(__xludf.DUMMYFUNCTION("""COMPUTED_VALUE"""),46081.0)</f>
        <v>46081</v>
      </c>
      <c r="B199" s="5" t="str">
        <f>IFERROR(__xludf.DUMMYFUNCTION("""COMPUTED_VALUE"""),"TRSF E-BANKING DB")</f>
        <v>TRSF E-BANKING DB</v>
      </c>
      <c r="C199" s="5" t="str">
        <f>IFERROR(__xludf.DUMMYFUNCTION("""COMPUTED_VALUE"""),"2802/FTSCY/WS95271 49500000.00 Thu Feb 26 2026 15:00:00 GMT+0700 (Western Indonesia Time) ANDALAN YASA MITRA")</f>
        <v>2802/FTSCY/WS95271 49500000.00 Thu Feb 26 2026 15:00:00 GMT+0700 (Western Indonesia Time) ANDALAN YASA MITRA</v>
      </c>
      <c r="D199" s="3">
        <f>IFERROR(__xludf.DUMMYFUNCTION("""COMPUTED_VALUE"""),4.95E7)</f>
        <v>49500000</v>
      </c>
      <c r="E199" s="5"/>
      <c r="F199" s="5" t="str">
        <f>IFERROR(__xludf.DUMMYFUNCTION("""COMPUTED_VALUE"""),"DB")</f>
        <v>DB</v>
      </c>
      <c r="G199" s="3">
        <f>IFERROR(__xludf.DUMMYFUNCTION("""COMPUTED_VALUE"""),1.2102144246000004E8)</f>
        <v>121021442.5</v>
      </c>
      <c r="H199" s="5"/>
      <c r="I199" s="5" t="str">
        <f>IFERROR(__xludf.DUMMYFUNCTION("""COMPUTED_VALUE"""),"PRODUKSI")</f>
        <v>PRODUKSI</v>
      </c>
      <c r="J199" s="3"/>
    </row>
    <row r="200">
      <c r="A200" s="9">
        <f>IFERROR(__xludf.DUMMYFUNCTION("""COMPUTED_VALUE"""),46081.0)</f>
        <v>46081</v>
      </c>
      <c r="B200" s="5" t="str">
        <f>IFERROR(__xludf.DUMMYFUNCTION("""COMPUTED_VALUE"""),"TRSF E-BANKING DB")</f>
        <v>TRSF E-BANKING DB</v>
      </c>
      <c r="C200" s="5" t="str">
        <f>IFERROR(__xludf.DUMMYFUNCTION("""COMPUTED_VALUE"""),"2802/FTSCY/WS95271 47368100.00 Thu Feb 26 2026 15:00:00 GMT+0700 (Western Indonesia Time) ANUGERAH KARTIKA A")</f>
        <v>2802/FTSCY/WS95271 47368100.00 Thu Feb 26 2026 15:00:00 GMT+0700 (Western Indonesia Time) ANUGERAH KARTIKA A</v>
      </c>
      <c r="D200" s="3">
        <f>IFERROR(__xludf.DUMMYFUNCTION("""COMPUTED_VALUE"""),4.73681E7)</f>
        <v>47368100</v>
      </c>
      <c r="E200" s="5"/>
      <c r="F200" s="5" t="str">
        <f>IFERROR(__xludf.DUMMYFUNCTION("""COMPUTED_VALUE"""),"DB")</f>
        <v>DB</v>
      </c>
      <c r="G200" s="3">
        <f>IFERROR(__xludf.DUMMYFUNCTION("""COMPUTED_VALUE"""),7.365334246000004E7)</f>
        <v>73653342.46</v>
      </c>
      <c r="H200" s="5"/>
      <c r="I200" s="5" t="str">
        <f>IFERROR(__xludf.DUMMYFUNCTION("""COMPUTED_VALUE"""),"PRODUKSI")</f>
        <v>PRODUKSI</v>
      </c>
      <c r="J200" s="3"/>
    </row>
    <row r="201">
      <c r="A201" s="9">
        <f>IFERROR(__xludf.DUMMYFUNCTION("""COMPUTED_VALUE"""),46081.0)</f>
        <v>46081</v>
      </c>
      <c r="B201" s="5" t="str">
        <f>IFERROR(__xludf.DUMMYFUNCTION("""COMPUTED_VALUE"""),"TRSF E-BANKING DB")</f>
        <v>TRSF E-BANKING DB</v>
      </c>
      <c r="C201" s="5" t="str">
        <f>IFERROR(__xludf.DUMMYFUNCTION("""COMPUTED_VALUE"""),"2802/FTSCY/WS95011 48807000.00 Thu Feb 26 2026 15:00:00 GMT+0700 (Western Indonesia Time) BINTANG TAMA SANTO")</f>
        <v>2802/FTSCY/WS95011 48807000.00 Thu Feb 26 2026 15:00:00 GMT+0700 (Western Indonesia Time) BINTANG TAMA SANTO</v>
      </c>
      <c r="D201" s="3">
        <f>IFERROR(__xludf.DUMMYFUNCTION("""COMPUTED_VALUE"""),4.8807E7)</f>
        <v>48807000</v>
      </c>
      <c r="E201" s="5"/>
      <c r="F201" s="5" t="str">
        <f>IFERROR(__xludf.DUMMYFUNCTION("""COMPUTED_VALUE"""),"DB")</f>
        <v>DB</v>
      </c>
      <c r="G201" s="3">
        <f>IFERROR(__xludf.DUMMYFUNCTION("""COMPUTED_VALUE"""),4.1412576246000004E8)</f>
        <v>414125762.5</v>
      </c>
      <c r="H201" s="5" t="str">
        <f>IFERROR(__xludf.DUMMYFUNCTION("""COMPUTED_VALUE"""),"414,125,762.46")</f>
        <v>414,125,762.46</v>
      </c>
      <c r="I201" s="5" t="str">
        <f>IFERROR(__xludf.DUMMYFUNCTION("""COMPUTED_VALUE"""),"PRODUKSI")</f>
        <v>PRODUKSI</v>
      </c>
      <c r="J201" s="3"/>
    </row>
    <row r="202">
      <c r="A202" s="9">
        <f>IFERROR(__xludf.DUMMYFUNCTION("""COMPUTED_VALUE"""),46081.0)</f>
        <v>46081</v>
      </c>
      <c r="B202" s="5" t="str">
        <f>IFERROR(__xludf.DUMMYFUNCTION("""COMPUTED_VALUE"""),"TRSF E-BANKING DB")</f>
        <v>TRSF E-BANKING DB</v>
      </c>
      <c r="C202" s="5" t="str">
        <f>IFERROR(__xludf.DUMMYFUNCTION("""COMPUTED_VALUE"""),"2802/FTSCY/WS95011 41624500.00 Thu Feb 26 2026 15:00:00 GMT+0700 (Western Indonesia Time) BRANTAS ABADI SENT")</f>
        <v>2802/FTSCY/WS95011 41624500.00 Thu Feb 26 2026 15:00:00 GMT+0700 (Western Indonesia Time) BRANTAS ABADI SENT</v>
      </c>
      <c r="D202" s="3">
        <f>IFERROR(__xludf.DUMMYFUNCTION("""COMPUTED_VALUE"""),4.16245E7)</f>
        <v>41624500</v>
      </c>
      <c r="E202" s="5"/>
      <c r="F202" s="5" t="str">
        <f>IFERROR(__xludf.DUMMYFUNCTION("""COMPUTED_VALUE"""),"DB")</f>
        <v>DB</v>
      </c>
      <c r="G202" s="3">
        <f>IFERROR(__xludf.DUMMYFUNCTION("""COMPUTED_VALUE"""),3.7250126246000004E8)</f>
        <v>372501262.5</v>
      </c>
      <c r="H202" s="5" t="str">
        <f>IFERROR(__xludf.DUMMYFUNCTION("""COMPUTED_VALUE"""),"372,501,262.46")</f>
        <v>372,501,262.46</v>
      </c>
      <c r="I202" s="5" t="str">
        <f>IFERROR(__xludf.DUMMYFUNCTION("""COMPUTED_VALUE"""),"PRODUKSI")</f>
        <v>PRODUKSI</v>
      </c>
      <c r="J202" s="3"/>
    </row>
    <row r="203">
      <c r="A203" s="9">
        <f>IFERROR(__xludf.DUMMYFUNCTION("""COMPUTED_VALUE"""),46081.0)</f>
        <v>46081</v>
      </c>
      <c r="B203" s="5" t="str">
        <f>IFERROR(__xludf.DUMMYFUNCTION("""COMPUTED_VALUE"""),"TRSF E-BANKING DB")</f>
        <v>TRSF E-BANKING DB</v>
      </c>
      <c r="C203" s="5" t="str">
        <f>IFERROR(__xludf.DUMMYFUNCTION("""COMPUTED_VALUE"""),"2802/FTSCY/WS95011 250370950.00 Tue Feb 24 2026 15:00:00 GMT+0700 (Western Indonesia Time) SUPER UNGGAS JAYA")</f>
        <v>2802/FTSCY/WS95011 250370950.00 Tue Feb 24 2026 15:00:00 GMT+0700 (Western Indonesia Time) SUPER UNGGAS JAYA</v>
      </c>
      <c r="D203" s="3">
        <f>IFERROR(__xludf.DUMMYFUNCTION("""COMPUTED_VALUE"""),2.5037095E8)</f>
        <v>250370950</v>
      </c>
      <c r="E203" s="5"/>
      <c r="F203" s="5" t="str">
        <f>IFERROR(__xludf.DUMMYFUNCTION("""COMPUTED_VALUE"""),"DB")</f>
        <v>DB</v>
      </c>
      <c r="G203" s="3">
        <f>IFERROR(__xludf.DUMMYFUNCTION("""COMPUTED_VALUE"""),1.2213031246000004E8)</f>
        <v>122130312.5</v>
      </c>
      <c r="H203" s="5"/>
      <c r="I203" s="5" t="str">
        <f>IFERROR(__xludf.DUMMYFUNCTION("""COMPUTED_VALUE"""),"PRODUKSI")</f>
        <v>PRODUKSI</v>
      </c>
      <c r="J203" s="3"/>
    </row>
    <row r="204">
      <c r="A204" s="9">
        <f>IFERROR(__xludf.DUMMYFUNCTION("""COMPUTED_VALUE"""),46081.0)</f>
        <v>46081</v>
      </c>
      <c r="B204" s="5" t="str">
        <f>IFERROR(__xludf.DUMMYFUNCTION("""COMPUTED_VALUE"""),"TRSF E-BANKING DB")</f>
        <v>TRSF E-BANKING DB</v>
      </c>
      <c r="C204" s="5" t="str">
        <f>IFERROR(__xludf.DUMMYFUNCTION("""COMPUTED_VALUE"""),"2802/FTSCY/WS95011 45008000.00 kd. husnudin maget BINTANG TAMA SANTO")</f>
        <v>2802/FTSCY/WS95011 45008000.00 kd. husnudin maget BINTANG TAMA SANTO</v>
      </c>
      <c r="D204" s="3">
        <f>IFERROR(__xludf.DUMMYFUNCTION("""COMPUTED_VALUE"""),4.5008E7)</f>
        <v>45008000</v>
      </c>
      <c r="E204" s="5"/>
      <c r="F204" s="5" t="str">
        <f>IFERROR(__xludf.DUMMYFUNCTION("""COMPUTED_VALUE"""),"DB")</f>
        <v>DB</v>
      </c>
      <c r="G204" s="3">
        <f>IFERROR(__xludf.DUMMYFUNCTION("""COMPUTED_VALUE"""),7.712231246000004E7)</f>
        <v>77122312.46</v>
      </c>
      <c r="H204" s="5"/>
      <c r="I204" s="5" t="str">
        <f>IFERROR(__xludf.DUMMYFUNCTION("""COMPUTED_VALUE"""),"PRODUKSI")</f>
        <v>PRODUKSI</v>
      </c>
      <c r="J204" s="3"/>
    </row>
    <row r="205">
      <c r="A205" s="9"/>
      <c r="D205" s="3"/>
      <c r="G205" s="3"/>
      <c r="J205" s="3"/>
    </row>
    <row r="206">
      <c r="A206" s="9"/>
      <c r="D206" s="3"/>
      <c r="G206" s="3"/>
      <c r="J206" s="3"/>
    </row>
    <row r="207">
      <c r="A207" s="9"/>
      <c r="D207" s="3"/>
      <c r="G207" s="3"/>
      <c r="J207" s="3"/>
    </row>
    <row r="208">
      <c r="A208" s="9"/>
      <c r="D208" s="3"/>
      <c r="G208" s="3"/>
      <c r="J208" s="3"/>
    </row>
    <row r="209">
      <c r="A209" s="9"/>
      <c r="D209" s="3"/>
      <c r="G209" s="3"/>
      <c r="J209" s="3"/>
    </row>
    <row r="210">
      <c r="A210" s="9"/>
      <c r="D210" s="3"/>
      <c r="G210" s="3"/>
      <c r="J210" s="3"/>
    </row>
    <row r="211">
      <c r="A211" s="9"/>
      <c r="D211" s="3"/>
      <c r="G211" s="3"/>
      <c r="J211" s="3"/>
    </row>
    <row r="212">
      <c r="A212" s="9"/>
      <c r="D212" s="3"/>
      <c r="G212" s="3"/>
      <c r="J212" s="3"/>
    </row>
    <row r="213">
      <c r="A213" s="9"/>
      <c r="D213" s="3"/>
      <c r="G213" s="3"/>
      <c r="J213" s="3"/>
    </row>
    <row r="214">
      <c r="A214" s="9"/>
      <c r="D214" s="3"/>
      <c r="G214" s="3"/>
      <c r="J214" s="3"/>
    </row>
    <row r="215">
      <c r="A215" s="9"/>
      <c r="D215" s="3"/>
      <c r="G215" s="3"/>
      <c r="J215" s="3"/>
    </row>
    <row r="216">
      <c r="A216" s="9"/>
      <c r="D216" s="3"/>
      <c r="G216" s="3"/>
      <c r="J216" s="3"/>
    </row>
    <row r="217">
      <c r="A217" s="9"/>
      <c r="D217" s="3"/>
      <c r="G217" s="3"/>
      <c r="J217" s="3"/>
    </row>
    <row r="218">
      <c r="A218" s="9"/>
      <c r="D218" s="3"/>
      <c r="G218" s="3"/>
      <c r="J218" s="3"/>
    </row>
    <row r="219">
      <c r="A219" s="9"/>
      <c r="D219" s="3"/>
      <c r="G219" s="3"/>
      <c r="J219" s="3"/>
    </row>
    <row r="220">
      <c r="A220" s="9"/>
      <c r="D220" s="3"/>
      <c r="G220" s="3"/>
      <c r="J220" s="3"/>
    </row>
    <row r="221">
      <c r="A221" s="9"/>
      <c r="D221" s="3"/>
      <c r="G221" s="3"/>
      <c r="J221" s="3"/>
    </row>
    <row r="222">
      <c r="A222" s="9"/>
      <c r="D222" s="3"/>
      <c r="G222" s="3"/>
      <c r="J222" s="3"/>
    </row>
    <row r="223">
      <c r="A223" s="9"/>
      <c r="D223" s="3"/>
      <c r="G223" s="3"/>
      <c r="J223" s="3"/>
    </row>
    <row r="224">
      <c r="A224" s="9"/>
      <c r="D224" s="3"/>
      <c r="G224" s="3"/>
      <c r="J224" s="3"/>
    </row>
    <row r="225">
      <c r="A225" s="9"/>
      <c r="D225" s="3"/>
      <c r="G225" s="3"/>
      <c r="J225" s="3"/>
    </row>
    <row r="226">
      <c r="A226" s="9"/>
      <c r="D226" s="3"/>
      <c r="G226" s="3"/>
      <c r="J226" s="3"/>
    </row>
    <row r="227">
      <c r="A227" s="9"/>
      <c r="D227" s="3"/>
      <c r="G227" s="3"/>
      <c r="J227" s="3"/>
    </row>
    <row r="228">
      <c r="A228" s="9"/>
      <c r="D228" s="3"/>
      <c r="G228" s="3"/>
      <c r="J228" s="3"/>
    </row>
    <row r="229">
      <c r="A229" s="9"/>
      <c r="D229" s="3"/>
      <c r="G229" s="3"/>
      <c r="J229" s="3"/>
    </row>
    <row r="230">
      <c r="A230" s="9"/>
      <c r="D230" s="3"/>
      <c r="G230" s="3"/>
      <c r="J230" s="3"/>
    </row>
    <row r="231">
      <c r="A231" s="9"/>
      <c r="D231" s="3"/>
      <c r="G231" s="3"/>
      <c r="J231" s="3"/>
    </row>
    <row r="232">
      <c r="A232" s="9"/>
      <c r="D232" s="3"/>
      <c r="G232" s="3"/>
      <c r="J232" s="3"/>
    </row>
    <row r="233">
      <c r="A233" s="9"/>
      <c r="D233" s="3"/>
      <c r="G233" s="3"/>
      <c r="J233" s="3"/>
    </row>
    <row r="234">
      <c r="A234" s="9"/>
      <c r="D234" s="3"/>
      <c r="G234" s="3"/>
      <c r="J234" s="3"/>
    </row>
    <row r="235">
      <c r="A235" s="9"/>
      <c r="D235" s="3"/>
      <c r="G235" s="3"/>
      <c r="J235" s="3"/>
    </row>
    <row r="236">
      <c r="A236" s="9"/>
      <c r="D236" s="3"/>
      <c r="G236" s="3"/>
      <c r="J236" s="3"/>
    </row>
    <row r="237">
      <c r="A237" s="9"/>
      <c r="D237" s="3"/>
      <c r="G237" s="3"/>
      <c r="J237" s="3"/>
    </row>
    <row r="238">
      <c r="A238" s="9"/>
      <c r="D238" s="3"/>
      <c r="G238" s="3"/>
      <c r="J238" s="3"/>
    </row>
    <row r="239">
      <c r="A239" s="9"/>
      <c r="D239" s="3"/>
      <c r="G239" s="3"/>
      <c r="J239" s="3"/>
    </row>
    <row r="240">
      <c r="A240" s="9"/>
      <c r="D240" s="3"/>
      <c r="G240" s="3"/>
      <c r="J240" s="3"/>
    </row>
    <row r="241">
      <c r="A241" s="9"/>
      <c r="D241" s="3"/>
      <c r="G241" s="3"/>
      <c r="J241" s="3"/>
    </row>
    <row r="242">
      <c r="A242" s="9"/>
      <c r="D242" s="3"/>
      <c r="G242" s="3"/>
      <c r="J242" s="3"/>
    </row>
    <row r="243">
      <c r="A243" s="9"/>
      <c r="D243" s="3"/>
      <c r="G243" s="3"/>
      <c r="J243" s="3"/>
    </row>
    <row r="244">
      <c r="A244" s="9"/>
      <c r="D244" s="3"/>
      <c r="G244" s="3"/>
      <c r="J244" s="3"/>
    </row>
    <row r="245">
      <c r="A245" s="9"/>
      <c r="D245" s="3"/>
      <c r="G245" s="3"/>
      <c r="J245" s="3"/>
    </row>
    <row r="246">
      <c r="A246" s="9"/>
      <c r="D246" s="3"/>
      <c r="G246" s="3"/>
      <c r="J246" s="3"/>
    </row>
    <row r="247">
      <c r="A247" s="9"/>
      <c r="D247" s="3"/>
      <c r="G247" s="3"/>
      <c r="J247" s="3"/>
    </row>
    <row r="248">
      <c r="A248" s="9"/>
      <c r="D248" s="3"/>
      <c r="G248" s="3"/>
      <c r="J248" s="3"/>
    </row>
    <row r="249">
      <c r="A249" s="9"/>
      <c r="D249" s="3"/>
      <c r="G249" s="3"/>
      <c r="J249" s="3"/>
    </row>
    <row r="250">
      <c r="A250" s="9"/>
      <c r="D250" s="3"/>
      <c r="G250" s="3"/>
      <c r="J250" s="3"/>
    </row>
    <row r="251">
      <c r="A251" s="9"/>
      <c r="D251" s="3"/>
      <c r="G251" s="3"/>
      <c r="J251" s="3"/>
    </row>
    <row r="252">
      <c r="A252" s="9"/>
      <c r="D252" s="3"/>
      <c r="G252" s="3"/>
      <c r="J252" s="3"/>
    </row>
    <row r="253">
      <c r="A253" s="9"/>
      <c r="D253" s="3"/>
      <c r="G253" s="3"/>
      <c r="J253" s="3"/>
    </row>
    <row r="254">
      <c r="A254" s="9"/>
      <c r="D254" s="3"/>
      <c r="G254" s="3"/>
      <c r="J254" s="3"/>
    </row>
    <row r="255">
      <c r="A255" s="9"/>
      <c r="D255" s="3"/>
      <c r="G255" s="3"/>
      <c r="J255" s="3"/>
    </row>
    <row r="256">
      <c r="A256" s="9"/>
      <c r="D256" s="3"/>
      <c r="G256" s="3"/>
      <c r="J256" s="3"/>
    </row>
    <row r="257">
      <c r="A257" s="9"/>
      <c r="D257" s="3"/>
      <c r="G257" s="3"/>
      <c r="J257" s="3"/>
    </row>
    <row r="258">
      <c r="A258" s="9"/>
      <c r="D258" s="3"/>
      <c r="G258" s="3"/>
      <c r="J258" s="3"/>
    </row>
    <row r="259">
      <c r="A259" s="9"/>
      <c r="D259" s="3"/>
      <c r="G259" s="3"/>
      <c r="J259" s="3"/>
    </row>
    <row r="260">
      <c r="A260" s="9"/>
      <c r="D260" s="3"/>
      <c r="G260" s="3"/>
      <c r="J260" s="3"/>
    </row>
    <row r="261">
      <c r="A261" s="9"/>
      <c r="D261" s="3"/>
      <c r="G261" s="3"/>
      <c r="J261" s="3"/>
    </row>
    <row r="262">
      <c r="A262" s="9"/>
      <c r="D262" s="3"/>
      <c r="G262" s="3"/>
      <c r="J262" s="3"/>
    </row>
    <row r="263">
      <c r="A263" s="9"/>
      <c r="D263" s="3"/>
      <c r="G263" s="3"/>
      <c r="J263" s="3"/>
    </row>
    <row r="264">
      <c r="A264" s="9"/>
      <c r="D264" s="3"/>
      <c r="G264" s="3"/>
      <c r="J264" s="3"/>
    </row>
    <row r="265">
      <c r="A265" s="9"/>
      <c r="D265" s="3"/>
      <c r="G265" s="3"/>
      <c r="J265" s="3"/>
    </row>
    <row r="266">
      <c r="A266" s="9"/>
      <c r="D266" s="3"/>
      <c r="G266" s="3"/>
      <c r="J266" s="3"/>
    </row>
    <row r="267">
      <c r="A267" s="9"/>
      <c r="D267" s="3"/>
      <c r="G267" s="3"/>
      <c r="J267" s="3"/>
    </row>
    <row r="268">
      <c r="A268" s="9"/>
      <c r="D268" s="3"/>
      <c r="G268" s="3"/>
      <c r="J268" s="3"/>
    </row>
    <row r="269">
      <c r="A269" s="9"/>
      <c r="D269" s="3"/>
      <c r="G269" s="3"/>
      <c r="J269" s="3"/>
    </row>
    <row r="270">
      <c r="A270" s="9"/>
      <c r="D270" s="3"/>
      <c r="G270" s="3"/>
      <c r="J270" s="3"/>
    </row>
    <row r="271">
      <c r="A271" s="9"/>
      <c r="D271" s="3"/>
      <c r="G271" s="3"/>
      <c r="J271" s="3"/>
    </row>
    <row r="272">
      <c r="A272" s="9"/>
      <c r="D272" s="3"/>
      <c r="G272" s="3"/>
      <c r="J272" s="3"/>
    </row>
    <row r="273">
      <c r="A273" s="9"/>
      <c r="D273" s="3"/>
      <c r="G273" s="3"/>
      <c r="J273" s="3"/>
    </row>
    <row r="274">
      <c r="A274" s="9"/>
      <c r="D274" s="3"/>
      <c r="G274" s="3"/>
      <c r="J274" s="3"/>
    </row>
    <row r="275">
      <c r="A275" s="9"/>
      <c r="D275" s="3"/>
      <c r="G275" s="3"/>
      <c r="J275" s="3"/>
    </row>
    <row r="276">
      <c r="A276" s="9"/>
      <c r="D276" s="3"/>
      <c r="G276" s="3"/>
      <c r="J276" s="3"/>
    </row>
    <row r="277">
      <c r="A277" s="9"/>
      <c r="D277" s="3"/>
      <c r="G277" s="3"/>
      <c r="J277" s="3"/>
    </row>
    <row r="278">
      <c r="A278" s="9"/>
      <c r="D278" s="3"/>
      <c r="G278" s="3"/>
      <c r="J278" s="3"/>
    </row>
    <row r="279">
      <c r="A279" s="9"/>
      <c r="D279" s="3"/>
      <c r="G279" s="3"/>
      <c r="J279" s="3"/>
    </row>
    <row r="280">
      <c r="A280" s="9"/>
      <c r="D280" s="3"/>
      <c r="G280" s="3"/>
      <c r="J280" s="3"/>
    </row>
    <row r="281">
      <c r="A281" s="9"/>
      <c r="D281" s="3"/>
      <c r="G281" s="3"/>
      <c r="J281" s="3"/>
    </row>
    <row r="282">
      <c r="A282" s="9"/>
      <c r="D282" s="3"/>
      <c r="G282" s="3"/>
      <c r="J282" s="3"/>
    </row>
    <row r="283">
      <c r="A283" s="9"/>
      <c r="D283" s="3"/>
      <c r="G283" s="3"/>
      <c r="J283" s="3"/>
    </row>
    <row r="284">
      <c r="A284" s="9"/>
      <c r="D284" s="3"/>
      <c r="G284" s="3"/>
      <c r="J284" s="3"/>
    </row>
    <row r="285">
      <c r="A285" s="9"/>
      <c r="D285" s="3"/>
      <c r="G285" s="3"/>
      <c r="J285" s="3"/>
    </row>
    <row r="286">
      <c r="A286" s="9"/>
      <c r="D286" s="3"/>
      <c r="G286" s="3"/>
      <c r="J286" s="3"/>
    </row>
    <row r="287">
      <c r="A287" s="9"/>
      <c r="D287" s="3"/>
      <c r="G287" s="3"/>
      <c r="J287" s="3"/>
    </row>
    <row r="288">
      <c r="A288" s="9"/>
      <c r="D288" s="3"/>
      <c r="G288" s="3"/>
      <c r="J288" s="3"/>
    </row>
    <row r="289">
      <c r="A289" s="9"/>
      <c r="D289" s="3"/>
      <c r="G289" s="3"/>
      <c r="J289" s="3"/>
    </row>
    <row r="290">
      <c r="A290" s="9"/>
      <c r="D290" s="3"/>
      <c r="G290" s="3"/>
      <c r="J290" s="3"/>
    </row>
    <row r="291">
      <c r="A291" s="9"/>
      <c r="D291" s="3"/>
      <c r="G291" s="3"/>
      <c r="J291" s="3"/>
    </row>
    <row r="292">
      <c r="A292" s="9"/>
      <c r="D292" s="3"/>
      <c r="G292" s="3"/>
      <c r="J292" s="3"/>
    </row>
    <row r="293">
      <c r="A293" s="9"/>
      <c r="D293" s="3"/>
      <c r="G293" s="3"/>
      <c r="J293" s="3"/>
    </row>
    <row r="294">
      <c r="A294" s="9"/>
      <c r="D294" s="3"/>
      <c r="G294" s="3"/>
      <c r="J294" s="3"/>
    </row>
    <row r="295">
      <c r="A295" s="9"/>
      <c r="D295" s="3"/>
      <c r="G295" s="3"/>
      <c r="J295" s="3"/>
    </row>
    <row r="296">
      <c r="A296" s="9"/>
      <c r="D296" s="3"/>
      <c r="G296" s="3"/>
      <c r="J296" s="3"/>
    </row>
    <row r="297">
      <c r="A297" s="9"/>
      <c r="D297" s="3"/>
      <c r="G297" s="3"/>
      <c r="J297" s="3"/>
    </row>
    <row r="298">
      <c r="A298" s="9"/>
      <c r="D298" s="3"/>
      <c r="G298" s="3"/>
      <c r="J298" s="3"/>
    </row>
    <row r="299">
      <c r="A299" s="9"/>
      <c r="D299" s="3"/>
      <c r="G299" s="3"/>
      <c r="J299" s="3"/>
    </row>
    <row r="300">
      <c r="A300" s="9"/>
      <c r="D300" s="3"/>
      <c r="G300" s="3"/>
      <c r="J300" s="3"/>
    </row>
    <row r="301">
      <c r="A301" s="9"/>
      <c r="D301" s="3"/>
      <c r="G301" s="3"/>
      <c r="J301" s="3"/>
    </row>
    <row r="302">
      <c r="A302" s="9"/>
      <c r="D302" s="3"/>
      <c r="G302" s="3"/>
      <c r="J302" s="3"/>
    </row>
    <row r="303">
      <c r="A303" s="9"/>
      <c r="D303" s="3"/>
      <c r="G303" s="3"/>
      <c r="J303" s="3"/>
    </row>
    <row r="304">
      <c r="A304" s="9"/>
      <c r="D304" s="3"/>
      <c r="G304" s="3"/>
      <c r="J304" s="3"/>
    </row>
    <row r="305">
      <c r="A305" s="9"/>
      <c r="D305" s="3"/>
      <c r="G305" s="3"/>
      <c r="J305" s="3"/>
    </row>
    <row r="306">
      <c r="A306" s="9"/>
      <c r="D306" s="3"/>
      <c r="G306" s="3"/>
      <c r="J306" s="3"/>
    </row>
    <row r="307">
      <c r="A307" s="9"/>
      <c r="D307" s="3"/>
      <c r="G307" s="3"/>
      <c r="J307" s="3"/>
    </row>
    <row r="308">
      <c r="A308" s="9"/>
      <c r="D308" s="3"/>
      <c r="G308" s="3"/>
      <c r="J308" s="3"/>
    </row>
    <row r="309">
      <c r="A309" s="9"/>
      <c r="D309" s="3"/>
      <c r="G309" s="3"/>
      <c r="J309" s="3"/>
    </row>
    <row r="310">
      <c r="A310" s="9"/>
      <c r="D310" s="3"/>
      <c r="G310" s="3"/>
      <c r="J310" s="3"/>
    </row>
    <row r="311">
      <c r="A311" s="9"/>
      <c r="D311" s="3"/>
      <c r="G311" s="3"/>
      <c r="J311" s="3"/>
    </row>
    <row r="312">
      <c r="A312" s="9"/>
      <c r="D312" s="3"/>
      <c r="G312" s="3"/>
      <c r="J312" s="3"/>
    </row>
    <row r="313">
      <c r="A313" s="9"/>
      <c r="D313" s="3"/>
      <c r="G313" s="3"/>
      <c r="J313" s="3"/>
    </row>
    <row r="314">
      <c r="A314" s="9"/>
      <c r="D314" s="3"/>
      <c r="G314" s="3"/>
      <c r="J314" s="3"/>
    </row>
    <row r="315">
      <c r="A315" s="9"/>
      <c r="D315" s="3"/>
      <c r="G315" s="3"/>
      <c r="J315" s="3"/>
    </row>
    <row r="316">
      <c r="A316" s="9"/>
      <c r="D316" s="3"/>
      <c r="G316" s="3"/>
      <c r="J316" s="3"/>
    </row>
    <row r="317">
      <c r="A317" s="9"/>
      <c r="D317" s="3"/>
      <c r="G317" s="3"/>
      <c r="J317" s="3"/>
    </row>
    <row r="318">
      <c r="A318" s="9"/>
      <c r="D318" s="3"/>
      <c r="G318" s="3"/>
      <c r="J318" s="3"/>
    </row>
    <row r="319">
      <c r="A319" s="9"/>
      <c r="D319" s="3"/>
      <c r="G319" s="3"/>
      <c r="J319" s="3"/>
    </row>
    <row r="320">
      <c r="A320" s="9"/>
      <c r="D320" s="3"/>
      <c r="G320" s="3"/>
      <c r="J320" s="3"/>
    </row>
    <row r="321">
      <c r="A321" s="9"/>
      <c r="D321" s="3"/>
      <c r="G321" s="3"/>
      <c r="J321" s="3"/>
    </row>
    <row r="322">
      <c r="A322" s="9"/>
      <c r="D322" s="3"/>
      <c r="G322" s="3"/>
      <c r="J322" s="3"/>
    </row>
    <row r="323">
      <c r="A323" s="9"/>
      <c r="D323" s="3"/>
      <c r="G323" s="3"/>
      <c r="J323" s="3"/>
    </row>
    <row r="324">
      <c r="A324" s="9"/>
      <c r="D324" s="3"/>
      <c r="G324" s="3"/>
      <c r="J324" s="3"/>
    </row>
    <row r="325">
      <c r="A325" s="9"/>
      <c r="D325" s="3"/>
      <c r="G325" s="3"/>
      <c r="J325" s="3"/>
    </row>
    <row r="326">
      <c r="A326" s="9"/>
      <c r="D326" s="3"/>
      <c r="G326" s="3"/>
      <c r="J326" s="3"/>
    </row>
    <row r="327">
      <c r="A327" s="9"/>
      <c r="D327" s="3"/>
      <c r="G327" s="3"/>
      <c r="J327" s="3"/>
    </row>
    <row r="328">
      <c r="A328" s="9"/>
      <c r="D328" s="3"/>
      <c r="G328" s="3"/>
      <c r="J328" s="3"/>
    </row>
    <row r="329">
      <c r="A329" s="9"/>
      <c r="D329" s="3"/>
      <c r="G329" s="3"/>
      <c r="J329" s="3"/>
    </row>
    <row r="330">
      <c r="A330" s="9"/>
      <c r="D330" s="3"/>
      <c r="G330" s="3"/>
      <c r="J330" s="3"/>
    </row>
    <row r="331">
      <c r="A331" s="9"/>
      <c r="D331" s="3"/>
      <c r="G331" s="3"/>
      <c r="J331" s="3"/>
    </row>
    <row r="332">
      <c r="A332" s="9"/>
      <c r="D332" s="3"/>
      <c r="G332" s="3"/>
      <c r="J332" s="3"/>
    </row>
    <row r="333">
      <c r="A333" s="9"/>
      <c r="D333" s="3"/>
      <c r="G333" s="3"/>
      <c r="J333" s="3"/>
    </row>
    <row r="334">
      <c r="A334" s="9"/>
      <c r="D334" s="3"/>
      <c r="G334" s="3"/>
      <c r="J334" s="3"/>
    </row>
    <row r="335">
      <c r="A335" s="9"/>
      <c r="D335" s="3"/>
      <c r="G335" s="3"/>
      <c r="J335" s="3"/>
    </row>
    <row r="336">
      <c r="A336" s="9"/>
      <c r="D336" s="3"/>
      <c r="G336" s="3"/>
      <c r="J336" s="3"/>
    </row>
    <row r="337">
      <c r="A337" s="9"/>
      <c r="D337" s="3"/>
      <c r="G337" s="3"/>
      <c r="J337" s="3"/>
    </row>
    <row r="338">
      <c r="A338" s="9"/>
      <c r="D338" s="3"/>
      <c r="G338" s="3"/>
      <c r="J338" s="3"/>
    </row>
    <row r="339">
      <c r="A339" s="9"/>
      <c r="D339" s="3"/>
      <c r="G339" s="3"/>
      <c r="J339" s="3"/>
    </row>
    <row r="340">
      <c r="A340" s="9"/>
      <c r="D340" s="3"/>
      <c r="G340" s="3"/>
      <c r="J340" s="3"/>
    </row>
    <row r="341">
      <c r="A341" s="9"/>
      <c r="D341" s="3"/>
      <c r="G341" s="3"/>
      <c r="J341" s="3"/>
    </row>
    <row r="342">
      <c r="A342" s="9"/>
      <c r="D342" s="3"/>
      <c r="G342" s="3"/>
      <c r="J342" s="3"/>
    </row>
    <row r="343">
      <c r="A343" s="9"/>
      <c r="D343" s="3"/>
      <c r="G343" s="3"/>
      <c r="J343" s="3"/>
    </row>
    <row r="344">
      <c r="A344" s="9"/>
      <c r="D344" s="3"/>
      <c r="G344" s="3"/>
      <c r="J344" s="3"/>
    </row>
    <row r="345">
      <c r="A345" s="9"/>
      <c r="D345" s="3"/>
      <c r="G345" s="3"/>
      <c r="J345" s="3"/>
    </row>
    <row r="346">
      <c r="A346" s="9"/>
      <c r="D346" s="3"/>
      <c r="G346" s="3"/>
      <c r="J346" s="3"/>
    </row>
    <row r="347">
      <c r="A347" s="9"/>
      <c r="D347" s="3"/>
      <c r="G347" s="3"/>
      <c r="J347" s="3"/>
    </row>
    <row r="348">
      <c r="A348" s="9"/>
      <c r="D348" s="3"/>
      <c r="G348" s="3"/>
      <c r="J348" s="3"/>
    </row>
    <row r="349">
      <c r="A349" s="9"/>
      <c r="D349" s="3"/>
      <c r="G349" s="3"/>
      <c r="J349" s="3"/>
    </row>
    <row r="350">
      <c r="A350" s="9"/>
      <c r="D350" s="3"/>
      <c r="G350" s="3"/>
      <c r="J350" s="3"/>
    </row>
    <row r="351">
      <c r="A351" s="9"/>
      <c r="D351" s="3"/>
      <c r="G351" s="3"/>
      <c r="J351" s="3"/>
    </row>
    <row r="352">
      <c r="A352" s="9"/>
      <c r="D352" s="3"/>
      <c r="G352" s="3"/>
      <c r="J352" s="3"/>
    </row>
    <row r="353">
      <c r="A353" s="9"/>
      <c r="D353" s="3"/>
      <c r="G353" s="3"/>
      <c r="J353" s="3"/>
    </row>
    <row r="354">
      <c r="A354" s="9"/>
      <c r="D354" s="3"/>
      <c r="G354" s="3"/>
      <c r="J354" s="3"/>
    </row>
    <row r="355">
      <c r="A355" s="9"/>
      <c r="D355" s="3"/>
      <c r="G355" s="3"/>
      <c r="J355" s="3"/>
    </row>
    <row r="356">
      <c r="A356" s="9"/>
      <c r="D356" s="3"/>
      <c r="G356" s="3"/>
      <c r="J356" s="3"/>
    </row>
    <row r="357">
      <c r="A357" s="9"/>
      <c r="D357" s="3"/>
      <c r="G357" s="3"/>
      <c r="J357" s="3"/>
    </row>
    <row r="358">
      <c r="A358" s="9"/>
      <c r="D358" s="3"/>
      <c r="G358" s="3"/>
      <c r="J358" s="3"/>
    </row>
    <row r="359">
      <c r="A359" s="9"/>
      <c r="D359" s="3"/>
      <c r="G359" s="3"/>
      <c r="J359" s="3"/>
    </row>
    <row r="360">
      <c r="A360" s="9"/>
      <c r="D360" s="3"/>
      <c r="G360" s="3"/>
      <c r="J360" s="3"/>
    </row>
    <row r="361">
      <c r="A361" s="9"/>
      <c r="D361" s="3"/>
      <c r="G361" s="3"/>
      <c r="J361" s="3"/>
    </row>
    <row r="362">
      <c r="A362" s="9"/>
      <c r="D362" s="3"/>
      <c r="G362" s="3"/>
      <c r="J362" s="3"/>
    </row>
    <row r="363">
      <c r="A363" s="9"/>
      <c r="D363" s="3"/>
      <c r="G363" s="3"/>
      <c r="J363" s="3"/>
    </row>
    <row r="364">
      <c r="A364" s="9"/>
      <c r="D364" s="3"/>
      <c r="G364" s="3"/>
      <c r="J364" s="3"/>
    </row>
    <row r="365">
      <c r="A365" s="9"/>
      <c r="D365" s="3"/>
      <c r="G365" s="3"/>
      <c r="J365" s="3"/>
    </row>
    <row r="366">
      <c r="A366" s="9"/>
      <c r="D366" s="3"/>
      <c r="G366" s="3"/>
      <c r="J366" s="3"/>
    </row>
    <row r="367">
      <c r="A367" s="9"/>
      <c r="D367" s="3"/>
      <c r="G367" s="3"/>
      <c r="J367" s="3"/>
    </row>
    <row r="368">
      <c r="A368" s="9"/>
      <c r="D368" s="3"/>
      <c r="G368" s="3"/>
      <c r="J368" s="3"/>
    </row>
    <row r="369">
      <c r="A369" s="9"/>
      <c r="D369" s="3"/>
      <c r="G369" s="3"/>
      <c r="J369" s="3"/>
    </row>
    <row r="370">
      <c r="A370" s="9"/>
      <c r="D370" s="3"/>
      <c r="G370" s="3"/>
      <c r="J370" s="3"/>
    </row>
    <row r="371">
      <c r="A371" s="9"/>
      <c r="D371" s="3"/>
      <c r="G371" s="3"/>
      <c r="J371" s="3"/>
    </row>
    <row r="372">
      <c r="A372" s="9"/>
      <c r="D372" s="3"/>
      <c r="G372" s="3"/>
      <c r="J372" s="3"/>
    </row>
    <row r="373">
      <c r="A373" s="9"/>
      <c r="D373" s="3"/>
      <c r="G373" s="3"/>
      <c r="J373" s="3"/>
    </row>
    <row r="374">
      <c r="A374" s="9"/>
      <c r="D374" s="3"/>
      <c r="G374" s="3"/>
      <c r="J374" s="3"/>
    </row>
    <row r="375">
      <c r="A375" s="9"/>
      <c r="D375" s="3"/>
      <c r="G375" s="3"/>
      <c r="J375" s="3"/>
    </row>
    <row r="376">
      <c r="A376" s="9"/>
      <c r="D376" s="3"/>
      <c r="G376" s="3"/>
      <c r="J376" s="3"/>
    </row>
    <row r="377">
      <c r="A377" s="9"/>
      <c r="D377" s="3"/>
      <c r="G377" s="3"/>
      <c r="J377" s="3"/>
    </row>
    <row r="378">
      <c r="A378" s="9"/>
      <c r="D378" s="3"/>
      <c r="G378" s="3"/>
      <c r="J378" s="3"/>
    </row>
    <row r="379">
      <c r="A379" s="9"/>
      <c r="D379" s="3"/>
      <c r="G379" s="3"/>
      <c r="J379" s="3"/>
    </row>
    <row r="380">
      <c r="A380" s="9"/>
      <c r="D380" s="3"/>
      <c r="G380" s="3"/>
      <c r="J380" s="3"/>
    </row>
    <row r="381">
      <c r="A381" s="9"/>
      <c r="D381" s="3"/>
      <c r="G381" s="3"/>
      <c r="J381" s="3"/>
    </row>
    <row r="382">
      <c r="A382" s="9"/>
      <c r="D382" s="3"/>
      <c r="G382" s="3"/>
      <c r="J382" s="3"/>
    </row>
    <row r="383">
      <c r="A383" s="9"/>
      <c r="D383" s="3"/>
      <c r="G383" s="3"/>
      <c r="J383" s="3"/>
    </row>
    <row r="384">
      <c r="A384" s="9"/>
      <c r="D384" s="3"/>
      <c r="G384" s="3"/>
      <c r="J384" s="3"/>
    </row>
    <row r="385">
      <c r="A385" s="9"/>
      <c r="D385" s="3"/>
      <c r="G385" s="3"/>
      <c r="J385" s="3"/>
    </row>
    <row r="386">
      <c r="A386" s="9"/>
      <c r="D386" s="3"/>
      <c r="G386" s="3"/>
      <c r="J386" s="3"/>
    </row>
    <row r="387">
      <c r="A387" s="9"/>
      <c r="D387" s="3"/>
      <c r="G387" s="3"/>
      <c r="J387" s="3"/>
    </row>
    <row r="388">
      <c r="A388" s="9"/>
      <c r="D388" s="3"/>
      <c r="G388" s="3"/>
      <c r="J388" s="3"/>
    </row>
    <row r="389">
      <c r="A389" s="9"/>
      <c r="D389" s="3"/>
      <c r="G389" s="3"/>
      <c r="J389" s="3"/>
    </row>
    <row r="390">
      <c r="A390" s="9"/>
      <c r="D390" s="3"/>
      <c r="G390" s="3"/>
      <c r="J390" s="3"/>
    </row>
    <row r="391">
      <c r="A391" s="9"/>
      <c r="D391" s="3"/>
      <c r="G391" s="3"/>
      <c r="J391" s="3"/>
    </row>
    <row r="392">
      <c r="A392" s="9"/>
      <c r="D392" s="3"/>
      <c r="G392" s="3"/>
      <c r="J392" s="3"/>
    </row>
    <row r="393">
      <c r="A393" s="9"/>
      <c r="D393" s="3"/>
      <c r="G393" s="3"/>
      <c r="J393" s="3"/>
    </row>
    <row r="394">
      <c r="A394" s="9"/>
      <c r="D394" s="3"/>
      <c r="G394" s="3"/>
      <c r="J394" s="3"/>
    </row>
    <row r="395">
      <c r="A395" s="9"/>
      <c r="D395" s="3"/>
      <c r="G395" s="3"/>
      <c r="J395" s="3"/>
    </row>
    <row r="396">
      <c r="A396" s="9"/>
      <c r="D396" s="3"/>
      <c r="G396" s="3"/>
      <c r="J396" s="3"/>
    </row>
    <row r="397">
      <c r="A397" s="9"/>
      <c r="D397" s="3"/>
      <c r="G397" s="3"/>
      <c r="J397" s="3"/>
    </row>
    <row r="398">
      <c r="A398" s="9"/>
      <c r="D398" s="3"/>
      <c r="G398" s="3"/>
      <c r="J398" s="3"/>
    </row>
    <row r="399">
      <c r="A399" s="9"/>
      <c r="D399" s="3"/>
      <c r="G399" s="3"/>
      <c r="J399" s="3"/>
    </row>
    <row r="400">
      <c r="A400" s="9"/>
      <c r="D400" s="3"/>
      <c r="G400" s="3"/>
      <c r="J400" s="3"/>
    </row>
    <row r="401">
      <c r="A401" s="9"/>
      <c r="D401" s="3"/>
      <c r="G401" s="3"/>
      <c r="J401" s="3"/>
    </row>
    <row r="402">
      <c r="A402" s="9"/>
      <c r="D402" s="3"/>
      <c r="G402" s="3"/>
      <c r="J402" s="3"/>
    </row>
    <row r="403">
      <c r="A403" s="9"/>
      <c r="D403" s="3"/>
      <c r="G403" s="3"/>
      <c r="J403" s="3"/>
    </row>
    <row r="404">
      <c r="A404" s="9"/>
      <c r="D404" s="3"/>
      <c r="G404" s="3"/>
      <c r="J404" s="3"/>
    </row>
    <row r="405">
      <c r="A405" s="9"/>
      <c r="D405" s="3"/>
      <c r="G405" s="3"/>
      <c r="J405" s="3"/>
    </row>
    <row r="406">
      <c r="A406" s="9"/>
      <c r="D406" s="3"/>
      <c r="G406" s="3"/>
      <c r="J406" s="3"/>
    </row>
    <row r="407">
      <c r="A407" s="9"/>
      <c r="D407" s="3"/>
      <c r="G407" s="3"/>
      <c r="J407" s="3"/>
    </row>
    <row r="408">
      <c r="A408" s="9"/>
      <c r="D408" s="3"/>
      <c r="G408" s="3"/>
      <c r="J408" s="3"/>
    </row>
    <row r="409">
      <c r="A409" s="9"/>
      <c r="D409" s="3"/>
      <c r="G409" s="3"/>
      <c r="J409" s="3"/>
    </row>
    <row r="410">
      <c r="A410" s="9"/>
      <c r="D410" s="3"/>
      <c r="G410" s="3"/>
      <c r="J410" s="3"/>
    </row>
    <row r="411">
      <c r="A411" s="9"/>
      <c r="D411" s="3"/>
      <c r="G411" s="3"/>
      <c r="J411" s="3"/>
    </row>
    <row r="412">
      <c r="A412" s="9"/>
      <c r="D412" s="3"/>
      <c r="G412" s="3"/>
      <c r="J412" s="3"/>
    </row>
    <row r="413">
      <c r="A413" s="9"/>
      <c r="D413" s="3"/>
      <c r="G413" s="3"/>
      <c r="J413" s="3"/>
    </row>
    <row r="414">
      <c r="A414" s="9"/>
      <c r="D414" s="3"/>
      <c r="G414" s="3"/>
      <c r="J414" s="3"/>
    </row>
    <row r="415">
      <c r="A415" s="9"/>
      <c r="D415" s="3"/>
      <c r="G415" s="3"/>
      <c r="J415" s="3"/>
    </row>
    <row r="416">
      <c r="A416" s="9"/>
      <c r="D416" s="3"/>
      <c r="G416" s="3"/>
      <c r="J416" s="3"/>
    </row>
    <row r="417">
      <c r="A417" s="9"/>
      <c r="D417" s="3"/>
      <c r="G417" s="3"/>
      <c r="J417" s="3"/>
    </row>
    <row r="418">
      <c r="A418" s="9"/>
      <c r="D418" s="3"/>
      <c r="G418" s="3"/>
      <c r="J418" s="3"/>
    </row>
    <row r="419">
      <c r="A419" s="9"/>
      <c r="D419" s="3"/>
      <c r="G419" s="3"/>
      <c r="J419" s="3"/>
    </row>
    <row r="420">
      <c r="A420" s="9"/>
      <c r="D420" s="3"/>
      <c r="G420" s="3"/>
      <c r="J420" s="3"/>
    </row>
    <row r="421">
      <c r="A421" s="9"/>
      <c r="D421" s="3"/>
      <c r="G421" s="3"/>
      <c r="J421" s="3"/>
    </row>
    <row r="422">
      <c r="A422" s="9"/>
      <c r="D422" s="3"/>
      <c r="G422" s="3"/>
      <c r="J422" s="3"/>
    </row>
    <row r="423">
      <c r="A423" s="9"/>
      <c r="D423" s="3"/>
      <c r="G423" s="3"/>
      <c r="J423" s="3"/>
    </row>
    <row r="424">
      <c r="A424" s="9"/>
      <c r="D424" s="3"/>
      <c r="G424" s="3"/>
      <c r="J424" s="3"/>
    </row>
    <row r="425">
      <c r="A425" s="9"/>
      <c r="D425" s="3"/>
      <c r="G425" s="3"/>
      <c r="J425" s="3"/>
    </row>
    <row r="426">
      <c r="A426" s="9"/>
      <c r="D426" s="3"/>
      <c r="G426" s="3"/>
      <c r="J426" s="3"/>
    </row>
    <row r="427">
      <c r="A427" s="9"/>
      <c r="D427" s="3"/>
      <c r="G427" s="3"/>
      <c r="J427" s="3"/>
    </row>
    <row r="428">
      <c r="A428" s="9"/>
      <c r="D428" s="3"/>
      <c r="G428" s="3"/>
      <c r="J428" s="3"/>
    </row>
    <row r="429">
      <c r="A429" s="9"/>
      <c r="D429" s="3"/>
      <c r="G429" s="3"/>
      <c r="J429" s="3"/>
    </row>
    <row r="430">
      <c r="A430" s="9"/>
      <c r="D430" s="3"/>
      <c r="G430" s="3"/>
      <c r="J430" s="3"/>
    </row>
    <row r="431">
      <c r="A431" s="9"/>
      <c r="D431" s="3"/>
      <c r="G431" s="3"/>
      <c r="J431" s="3"/>
    </row>
    <row r="432">
      <c r="A432" s="9"/>
      <c r="D432" s="3"/>
      <c r="G432" s="3"/>
      <c r="J432" s="3"/>
    </row>
    <row r="433">
      <c r="A433" s="9"/>
      <c r="D433" s="3"/>
      <c r="G433" s="3"/>
      <c r="J433" s="3"/>
    </row>
    <row r="434">
      <c r="A434" s="9"/>
      <c r="D434" s="3"/>
      <c r="G434" s="3"/>
      <c r="J434" s="3"/>
    </row>
    <row r="435">
      <c r="A435" s="9"/>
      <c r="D435" s="3"/>
      <c r="G435" s="3"/>
      <c r="J435" s="3"/>
    </row>
    <row r="436">
      <c r="A436" s="9"/>
      <c r="D436" s="3"/>
      <c r="G436" s="3"/>
      <c r="J436" s="3"/>
    </row>
    <row r="437">
      <c r="A437" s="9"/>
      <c r="D437" s="3"/>
      <c r="G437" s="3"/>
      <c r="J437" s="3"/>
    </row>
    <row r="438">
      <c r="A438" s="9"/>
      <c r="D438" s="3"/>
      <c r="G438" s="3"/>
      <c r="J438" s="3"/>
    </row>
    <row r="439">
      <c r="A439" s="9"/>
      <c r="D439" s="3"/>
      <c r="G439" s="3"/>
      <c r="J439" s="3"/>
    </row>
    <row r="440">
      <c r="A440" s="9"/>
      <c r="D440" s="3"/>
      <c r="G440" s="3"/>
      <c r="J440" s="3"/>
    </row>
    <row r="441">
      <c r="A441" s="9"/>
      <c r="D441" s="3"/>
      <c r="G441" s="3"/>
      <c r="J441" s="3"/>
    </row>
    <row r="442">
      <c r="A442" s="9"/>
      <c r="D442" s="3"/>
      <c r="G442" s="3"/>
      <c r="J442" s="3"/>
    </row>
    <row r="443">
      <c r="A443" s="9"/>
      <c r="D443" s="3"/>
      <c r="G443" s="3"/>
      <c r="J443" s="3"/>
    </row>
    <row r="444">
      <c r="A444" s="9"/>
      <c r="D444" s="3"/>
      <c r="G444" s="3"/>
      <c r="J444" s="3"/>
    </row>
    <row r="445">
      <c r="A445" s="9"/>
      <c r="D445" s="3"/>
      <c r="G445" s="3"/>
      <c r="J445" s="3"/>
    </row>
    <row r="446">
      <c r="A446" s="9"/>
      <c r="D446" s="3"/>
      <c r="G446" s="3"/>
      <c r="J446" s="3"/>
    </row>
    <row r="447">
      <c r="A447" s="9"/>
      <c r="D447" s="3"/>
      <c r="G447" s="3"/>
      <c r="J447" s="3"/>
    </row>
    <row r="448">
      <c r="A448" s="9"/>
      <c r="D448" s="3"/>
      <c r="G448" s="3"/>
      <c r="J448" s="3"/>
    </row>
    <row r="449">
      <c r="A449" s="9"/>
      <c r="D449" s="3"/>
      <c r="G449" s="3"/>
      <c r="J449" s="3"/>
    </row>
    <row r="450">
      <c r="A450" s="9"/>
      <c r="D450" s="3"/>
      <c r="G450" s="3"/>
      <c r="J450" s="3"/>
    </row>
    <row r="451">
      <c r="A451" s="9"/>
      <c r="D451" s="3"/>
      <c r="G451" s="3"/>
      <c r="J451" s="3"/>
    </row>
    <row r="452">
      <c r="A452" s="9"/>
      <c r="D452" s="3"/>
      <c r="G452" s="3"/>
      <c r="J452" s="3"/>
    </row>
    <row r="453">
      <c r="A453" s="9"/>
      <c r="D453" s="3"/>
      <c r="G453" s="3"/>
      <c r="J453" s="3"/>
    </row>
    <row r="454">
      <c r="A454" s="9"/>
      <c r="D454" s="3"/>
      <c r="G454" s="3"/>
      <c r="J454" s="3"/>
    </row>
    <row r="455">
      <c r="A455" s="9"/>
      <c r="D455" s="3"/>
      <c r="G455" s="3"/>
      <c r="J455" s="3"/>
    </row>
    <row r="456">
      <c r="A456" s="9"/>
      <c r="D456" s="3"/>
      <c r="G456" s="3"/>
      <c r="J456" s="3"/>
    </row>
    <row r="457">
      <c r="A457" s="9"/>
      <c r="D457" s="3"/>
      <c r="G457" s="3"/>
      <c r="J457" s="3"/>
    </row>
    <row r="458">
      <c r="A458" s="9"/>
      <c r="D458" s="3"/>
      <c r="G458" s="3"/>
      <c r="J458" s="3"/>
    </row>
    <row r="459">
      <c r="A459" s="9"/>
      <c r="D459" s="3"/>
      <c r="G459" s="3"/>
      <c r="J459" s="3"/>
    </row>
    <row r="460">
      <c r="A460" s="9"/>
      <c r="D460" s="3"/>
      <c r="G460" s="3"/>
      <c r="J460" s="3"/>
    </row>
    <row r="461">
      <c r="A461" s="9"/>
      <c r="D461" s="3"/>
      <c r="G461" s="3"/>
      <c r="J461" s="3"/>
    </row>
    <row r="462">
      <c r="A462" s="9"/>
      <c r="D462" s="3"/>
      <c r="G462" s="3"/>
      <c r="J462" s="3"/>
    </row>
    <row r="463">
      <c r="A463" s="9"/>
      <c r="D463" s="3"/>
      <c r="G463" s="3"/>
      <c r="J463" s="3"/>
    </row>
    <row r="464">
      <c r="A464" s="9"/>
      <c r="D464" s="3"/>
      <c r="G464" s="3"/>
      <c r="J464" s="3"/>
    </row>
    <row r="465">
      <c r="A465" s="9"/>
      <c r="D465" s="3"/>
      <c r="G465" s="3"/>
      <c r="J465" s="3"/>
    </row>
    <row r="466">
      <c r="A466" s="9"/>
      <c r="D466" s="3"/>
      <c r="G466" s="3"/>
      <c r="J466" s="3"/>
    </row>
    <row r="467">
      <c r="A467" s="9"/>
      <c r="D467" s="3"/>
      <c r="G467" s="3"/>
      <c r="J467" s="3"/>
    </row>
    <row r="468">
      <c r="A468" s="9"/>
      <c r="D468" s="3"/>
      <c r="G468" s="3"/>
      <c r="J468" s="3"/>
    </row>
    <row r="469">
      <c r="A469" s="9"/>
      <c r="D469" s="3"/>
      <c r="G469" s="3"/>
      <c r="J469" s="3"/>
    </row>
    <row r="470">
      <c r="A470" s="9"/>
      <c r="D470" s="3"/>
      <c r="G470" s="3"/>
      <c r="J470" s="3"/>
    </row>
    <row r="471">
      <c r="A471" s="9"/>
      <c r="D471" s="3"/>
      <c r="G471" s="3"/>
      <c r="J471" s="3"/>
    </row>
    <row r="472">
      <c r="A472" s="9"/>
      <c r="D472" s="3"/>
      <c r="G472" s="3"/>
      <c r="J472" s="3"/>
    </row>
    <row r="473">
      <c r="A473" s="9"/>
      <c r="D473" s="3"/>
      <c r="G473" s="3"/>
      <c r="J473" s="3"/>
    </row>
    <row r="474">
      <c r="A474" s="9"/>
      <c r="D474" s="3"/>
      <c r="G474" s="3"/>
      <c r="J474" s="3"/>
    </row>
    <row r="475">
      <c r="A475" s="9"/>
      <c r="D475" s="3"/>
      <c r="G475" s="3"/>
      <c r="J475" s="3"/>
    </row>
    <row r="476">
      <c r="A476" s="9"/>
      <c r="D476" s="3"/>
      <c r="G476" s="3"/>
      <c r="J476" s="3"/>
    </row>
    <row r="477">
      <c r="A477" s="9"/>
      <c r="D477" s="3"/>
      <c r="G477" s="3"/>
      <c r="J477" s="3"/>
    </row>
    <row r="478">
      <c r="A478" s="9"/>
      <c r="D478" s="3"/>
      <c r="G478" s="3"/>
      <c r="J478" s="3"/>
    </row>
    <row r="479">
      <c r="A479" s="9"/>
      <c r="D479" s="3"/>
      <c r="G479" s="3"/>
      <c r="J479" s="3"/>
    </row>
    <row r="480">
      <c r="A480" s="9"/>
      <c r="D480" s="3"/>
      <c r="G480" s="3"/>
      <c r="J480" s="3"/>
    </row>
    <row r="481">
      <c r="A481" s="9"/>
      <c r="D481" s="3"/>
      <c r="G481" s="3"/>
      <c r="J481" s="3"/>
    </row>
    <row r="482">
      <c r="A482" s="9"/>
      <c r="D482" s="3"/>
      <c r="G482" s="3"/>
      <c r="J482" s="3"/>
    </row>
    <row r="483">
      <c r="A483" s="9"/>
      <c r="D483" s="3"/>
      <c r="G483" s="3"/>
      <c r="J483" s="3"/>
    </row>
    <row r="484">
      <c r="A484" s="9"/>
      <c r="D484" s="3"/>
      <c r="G484" s="3"/>
      <c r="J484" s="3"/>
    </row>
    <row r="485">
      <c r="A485" s="9"/>
      <c r="D485" s="3"/>
      <c r="G485" s="3"/>
      <c r="J485" s="3"/>
    </row>
    <row r="486">
      <c r="A486" s="9"/>
      <c r="D486" s="3"/>
      <c r="G486" s="3"/>
      <c r="J486" s="3"/>
    </row>
    <row r="487">
      <c r="A487" s="9"/>
      <c r="D487" s="3"/>
      <c r="G487" s="3"/>
      <c r="J487" s="3"/>
    </row>
    <row r="488">
      <c r="A488" s="9"/>
      <c r="D488" s="3"/>
      <c r="G488" s="3"/>
      <c r="J488" s="3"/>
    </row>
    <row r="489">
      <c r="A489" s="9"/>
      <c r="D489" s="3"/>
      <c r="G489" s="3"/>
      <c r="J489" s="3"/>
    </row>
    <row r="490">
      <c r="A490" s="9"/>
      <c r="D490" s="3"/>
      <c r="G490" s="3"/>
      <c r="J490" s="3"/>
    </row>
    <row r="491">
      <c r="A491" s="9"/>
      <c r="D491" s="3"/>
      <c r="G491" s="3"/>
      <c r="J491" s="3"/>
    </row>
    <row r="492">
      <c r="A492" s="9"/>
      <c r="D492" s="3"/>
      <c r="G492" s="3"/>
      <c r="J492" s="3"/>
    </row>
    <row r="493">
      <c r="A493" s="9"/>
      <c r="D493" s="3"/>
      <c r="G493" s="3"/>
      <c r="J493" s="3"/>
    </row>
    <row r="494">
      <c r="A494" s="9"/>
      <c r="D494" s="3"/>
      <c r="G494" s="3"/>
      <c r="J494" s="3"/>
    </row>
    <row r="495">
      <c r="A495" s="9"/>
      <c r="D495" s="3"/>
      <c r="G495" s="3"/>
      <c r="J495" s="3"/>
    </row>
    <row r="496">
      <c r="A496" s="9"/>
      <c r="D496" s="3"/>
      <c r="G496" s="3"/>
      <c r="J496" s="3"/>
    </row>
    <row r="497">
      <c r="A497" s="9"/>
      <c r="D497" s="3"/>
      <c r="G497" s="3"/>
      <c r="J497" s="3"/>
    </row>
    <row r="498">
      <c r="A498" s="9"/>
      <c r="D498" s="3"/>
      <c r="G498" s="3"/>
      <c r="J498" s="3"/>
    </row>
    <row r="499">
      <c r="A499" s="9"/>
      <c r="D499" s="3"/>
      <c r="G499" s="3"/>
      <c r="J499" s="3"/>
    </row>
    <row r="500">
      <c r="A500" s="9"/>
      <c r="D500" s="3"/>
      <c r="G500" s="3"/>
      <c r="J500" s="3"/>
    </row>
    <row r="501">
      <c r="A501" s="9"/>
      <c r="D501" s="3"/>
      <c r="G501" s="3"/>
      <c r="J501" s="3"/>
    </row>
    <row r="502">
      <c r="A502" s="9"/>
      <c r="D502" s="3"/>
      <c r="G502" s="3"/>
      <c r="J502" s="3"/>
    </row>
    <row r="503">
      <c r="A503" s="9"/>
      <c r="D503" s="3"/>
      <c r="G503" s="3"/>
      <c r="J503" s="3"/>
    </row>
    <row r="504">
      <c r="A504" s="9"/>
      <c r="D504" s="3"/>
      <c r="G504" s="3"/>
      <c r="J504" s="3"/>
    </row>
    <row r="505">
      <c r="A505" s="9"/>
      <c r="D505" s="3"/>
      <c r="G505" s="3"/>
      <c r="J505" s="3"/>
    </row>
    <row r="506">
      <c r="A506" s="9"/>
      <c r="D506" s="3"/>
      <c r="G506" s="3"/>
      <c r="J506" s="3"/>
    </row>
    <row r="507">
      <c r="A507" s="9"/>
      <c r="D507" s="3"/>
      <c r="G507" s="3"/>
      <c r="J507" s="3"/>
    </row>
    <row r="508">
      <c r="A508" s="9"/>
      <c r="D508" s="3"/>
      <c r="G508" s="3"/>
      <c r="J508" s="3"/>
    </row>
    <row r="509">
      <c r="A509" s="9"/>
      <c r="D509" s="3"/>
      <c r="G509" s="3"/>
      <c r="J509" s="3"/>
    </row>
    <row r="510">
      <c r="A510" s="9"/>
      <c r="D510" s="3"/>
      <c r="G510" s="3"/>
      <c r="J510" s="3"/>
    </row>
    <row r="511">
      <c r="A511" s="9"/>
      <c r="D511" s="3"/>
      <c r="G511" s="3"/>
      <c r="J511" s="3"/>
    </row>
    <row r="512">
      <c r="A512" s="9"/>
      <c r="D512" s="3"/>
      <c r="G512" s="3"/>
      <c r="J512" s="3"/>
    </row>
    <row r="513">
      <c r="A513" s="9"/>
      <c r="D513" s="3"/>
      <c r="G513" s="3"/>
      <c r="J513" s="3"/>
    </row>
    <row r="514">
      <c r="A514" s="9"/>
      <c r="D514" s="3"/>
      <c r="G514" s="3"/>
      <c r="J514" s="3"/>
    </row>
    <row r="515">
      <c r="A515" s="9"/>
      <c r="D515" s="3"/>
      <c r="G515" s="3"/>
      <c r="J515" s="3"/>
    </row>
    <row r="516">
      <c r="A516" s="9"/>
      <c r="D516" s="3"/>
      <c r="G516" s="3"/>
      <c r="J516" s="3"/>
    </row>
    <row r="517">
      <c r="A517" s="9"/>
      <c r="D517" s="3"/>
      <c r="G517" s="3"/>
      <c r="J517" s="3"/>
    </row>
    <row r="518">
      <c r="A518" s="9"/>
      <c r="D518" s="3"/>
      <c r="G518" s="3"/>
      <c r="J518" s="3"/>
    </row>
    <row r="519">
      <c r="A519" s="9"/>
      <c r="D519" s="3"/>
      <c r="G519" s="3"/>
      <c r="J519" s="3"/>
    </row>
    <row r="520">
      <c r="A520" s="9"/>
      <c r="D520" s="3"/>
      <c r="G520" s="3"/>
      <c r="J520" s="3"/>
    </row>
    <row r="521">
      <c r="A521" s="9"/>
      <c r="D521" s="3"/>
      <c r="G521" s="3"/>
      <c r="J521" s="3"/>
    </row>
    <row r="522">
      <c r="A522" s="9"/>
      <c r="D522" s="3"/>
      <c r="G522" s="3"/>
      <c r="J522" s="3"/>
    </row>
    <row r="523">
      <c r="A523" s="9"/>
      <c r="D523" s="3"/>
      <c r="G523" s="3"/>
      <c r="J523" s="3"/>
    </row>
    <row r="524">
      <c r="A524" s="9"/>
      <c r="D524" s="3"/>
      <c r="G524" s="3"/>
      <c r="J524" s="3"/>
    </row>
    <row r="525">
      <c r="A525" s="9"/>
      <c r="D525" s="3"/>
      <c r="G525" s="3"/>
      <c r="J525" s="3"/>
    </row>
    <row r="526">
      <c r="A526" s="9"/>
      <c r="D526" s="3"/>
      <c r="G526" s="3"/>
      <c r="J526" s="3"/>
    </row>
    <row r="527">
      <c r="A527" s="9"/>
      <c r="D527" s="3"/>
      <c r="G527" s="3"/>
      <c r="J527" s="3"/>
    </row>
    <row r="528">
      <c r="A528" s="9"/>
      <c r="D528" s="3"/>
      <c r="G528" s="3"/>
      <c r="J528" s="3"/>
    </row>
    <row r="529">
      <c r="A529" s="9"/>
      <c r="D529" s="3"/>
      <c r="G529" s="3"/>
      <c r="J529" s="3"/>
    </row>
    <row r="530">
      <c r="A530" s="9"/>
      <c r="D530" s="3"/>
      <c r="G530" s="3"/>
      <c r="J530" s="3"/>
    </row>
    <row r="531">
      <c r="A531" s="9"/>
      <c r="D531" s="3"/>
      <c r="G531" s="3"/>
      <c r="J531" s="3"/>
    </row>
    <row r="532">
      <c r="A532" s="9"/>
      <c r="D532" s="3"/>
      <c r="G532" s="3"/>
      <c r="J532" s="3"/>
    </row>
    <row r="533">
      <c r="A533" s="9"/>
      <c r="D533" s="3"/>
      <c r="G533" s="3"/>
      <c r="J533" s="3"/>
    </row>
    <row r="534">
      <c r="A534" s="9"/>
      <c r="D534" s="3"/>
      <c r="G534" s="3"/>
      <c r="J534" s="3"/>
    </row>
    <row r="535">
      <c r="A535" s="9"/>
      <c r="D535" s="3"/>
      <c r="G535" s="3"/>
      <c r="J535" s="3"/>
    </row>
    <row r="536">
      <c r="A536" s="9"/>
      <c r="D536" s="3"/>
      <c r="G536" s="3"/>
      <c r="J536" s="3"/>
    </row>
    <row r="537">
      <c r="A537" s="9"/>
      <c r="D537" s="3"/>
      <c r="G537" s="3"/>
      <c r="J537" s="3"/>
    </row>
    <row r="538">
      <c r="A538" s="9"/>
      <c r="D538" s="3"/>
      <c r="G538" s="3"/>
      <c r="J538" s="3"/>
    </row>
    <row r="539">
      <c r="A539" s="9"/>
      <c r="D539" s="3"/>
      <c r="G539" s="3"/>
      <c r="J539" s="3"/>
    </row>
    <row r="540">
      <c r="A540" s="9"/>
      <c r="D540" s="3"/>
      <c r="G540" s="3"/>
      <c r="J540" s="3"/>
    </row>
    <row r="541">
      <c r="A541" s="9"/>
      <c r="D541" s="3"/>
      <c r="G541" s="3"/>
      <c r="J541" s="3"/>
    </row>
    <row r="542">
      <c r="A542" s="9"/>
      <c r="D542" s="3"/>
      <c r="G542" s="3"/>
      <c r="J542" s="3"/>
    </row>
    <row r="543">
      <c r="A543" s="9"/>
      <c r="D543" s="3"/>
      <c r="G543" s="3"/>
      <c r="J543" s="3"/>
    </row>
    <row r="544">
      <c r="A544" s="9"/>
      <c r="D544" s="3"/>
      <c r="G544" s="3"/>
      <c r="J544" s="3"/>
    </row>
    <row r="545">
      <c r="A545" s="9"/>
      <c r="D545" s="3"/>
      <c r="G545" s="3"/>
      <c r="J545" s="3"/>
    </row>
    <row r="546">
      <c r="A546" s="9"/>
      <c r="D546" s="3"/>
      <c r="G546" s="3"/>
      <c r="J546" s="3"/>
    </row>
    <row r="547">
      <c r="A547" s="9"/>
      <c r="D547" s="3"/>
      <c r="G547" s="3"/>
      <c r="J547" s="3"/>
    </row>
    <row r="548">
      <c r="A548" s="9"/>
      <c r="D548" s="3"/>
      <c r="G548" s="3"/>
      <c r="J548" s="3"/>
    </row>
    <row r="549">
      <c r="A549" s="9"/>
      <c r="D549" s="3"/>
      <c r="G549" s="3"/>
      <c r="J549" s="3"/>
    </row>
    <row r="550">
      <c r="A550" s="9"/>
      <c r="D550" s="3"/>
      <c r="G550" s="3"/>
      <c r="J550" s="3"/>
    </row>
    <row r="551">
      <c r="A551" s="9"/>
      <c r="D551" s="3"/>
      <c r="G551" s="3"/>
      <c r="J551" s="3"/>
    </row>
    <row r="552">
      <c r="A552" s="9"/>
      <c r="D552" s="3"/>
      <c r="G552" s="3"/>
      <c r="J552" s="3"/>
    </row>
    <row r="553">
      <c r="A553" s="9"/>
      <c r="D553" s="3"/>
      <c r="G553" s="3"/>
      <c r="J553" s="3"/>
    </row>
    <row r="554">
      <c r="A554" s="9"/>
      <c r="D554" s="3"/>
      <c r="G554" s="3"/>
      <c r="J554" s="3"/>
    </row>
    <row r="555">
      <c r="A555" s="9"/>
      <c r="D555" s="3"/>
      <c r="G555" s="3"/>
      <c r="J555" s="3"/>
    </row>
    <row r="556">
      <c r="A556" s="9"/>
      <c r="D556" s="3"/>
      <c r="G556" s="3"/>
      <c r="J556" s="3"/>
    </row>
    <row r="557">
      <c r="A557" s="9"/>
      <c r="D557" s="3"/>
      <c r="G557" s="3"/>
      <c r="J557" s="3"/>
    </row>
    <row r="558">
      <c r="A558" s="9"/>
      <c r="D558" s="3"/>
      <c r="G558" s="3"/>
      <c r="J558" s="3"/>
    </row>
    <row r="559">
      <c r="A559" s="9"/>
      <c r="D559" s="3"/>
      <c r="G559" s="3"/>
      <c r="J559" s="3"/>
    </row>
    <row r="560">
      <c r="A560" s="9"/>
      <c r="D560" s="3"/>
      <c r="G560" s="3"/>
      <c r="J560" s="3"/>
    </row>
    <row r="561">
      <c r="A561" s="9"/>
      <c r="D561" s="3"/>
      <c r="G561" s="3"/>
      <c r="J561" s="3"/>
    </row>
    <row r="562">
      <c r="A562" s="9"/>
      <c r="D562" s="3"/>
      <c r="G562" s="3"/>
      <c r="J562" s="3"/>
    </row>
    <row r="563">
      <c r="A563" s="9"/>
      <c r="D563" s="3"/>
      <c r="G563" s="3"/>
      <c r="J563" s="3"/>
    </row>
    <row r="564">
      <c r="A564" s="9"/>
      <c r="D564" s="3"/>
      <c r="G564" s="3"/>
      <c r="J564" s="3"/>
    </row>
    <row r="565">
      <c r="A565" s="9"/>
      <c r="D565" s="3"/>
      <c r="G565" s="3"/>
      <c r="J565" s="3"/>
    </row>
    <row r="566">
      <c r="A566" s="9"/>
      <c r="D566" s="3"/>
      <c r="G566" s="3"/>
      <c r="J566" s="3"/>
    </row>
    <row r="567">
      <c r="A567" s="9"/>
      <c r="D567" s="3"/>
      <c r="G567" s="3"/>
      <c r="J567" s="3"/>
    </row>
    <row r="568">
      <c r="A568" s="9"/>
      <c r="D568" s="3"/>
      <c r="G568" s="3"/>
      <c r="J568" s="3"/>
    </row>
    <row r="569">
      <c r="A569" s="9"/>
      <c r="D569" s="3"/>
      <c r="G569" s="3"/>
      <c r="J569" s="3"/>
    </row>
    <row r="570">
      <c r="A570" s="9"/>
      <c r="D570" s="3"/>
      <c r="G570" s="3"/>
      <c r="J570" s="3"/>
    </row>
    <row r="571">
      <c r="A571" s="9"/>
      <c r="D571" s="3"/>
      <c r="G571" s="3"/>
      <c r="J571" s="3"/>
    </row>
    <row r="572">
      <c r="A572" s="9"/>
      <c r="D572" s="3"/>
      <c r="G572" s="3"/>
      <c r="J572" s="3"/>
    </row>
    <row r="573">
      <c r="A573" s="9"/>
      <c r="D573" s="3"/>
      <c r="G573" s="3"/>
      <c r="J573" s="3"/>
    </row>
    <row r="574">
      <c r="A574" s="9"/>
      <c r="D574" s="3"/>
      <c r="G574" s="3"/>
      <c r="J574" s="3"/>
    </row>
    <row r="575">
      <c r="A575" s="9"/>
      <c r="D575" s="3"/>
      <c r="G575" s="3"/>
      <c r="J575" s="3"/>
    </row>
    <row r="576">
      <c r="A576" s="9"/>
      <c r="D576" s="3"/>
      <c r="G576" s="3"/>
      <c r="J576" s="3"/>
    </row>
    <row r="577">
      <c r="A577" s="9"/>
      <c r="D577" s="3"/>
      <c r="G577" s="3"/>
      <c r="J577" s="3"/>
    </row>
    <row r="578">
      <c r="A578" s="9"/>
      <c r="D578" s="3"/>
      <c r="G578" s="3"/>
      <c r="J578" s="3"/>
    </row>
    <row r="579">
      <c r="A579" s="9"/>
      <c r="D579" s="3"/>
      <c r="G579" s="3"/>
      <c r="J579" s="3"/>
    </row>
    <row r="580">
      <c r="A580" s="9"/>
      <c r="D580" s="3"/>
      <c r="G580" s="3"/>
      <c r="J580" s="3"/>
    </row>
    <row r="581">
      <c r="A581" s="9"/>
      <c r="D581" s="3"/>
      <c r="G581" s="3"/>
      <c r="J581" s="3"/>
    </row>
    <row r="582">
      <c r="A582" s="9"/>
      <c r="D582" s="3"/>
      <c r="G582" s="3"/>
      <c r="J582" s="3"/>
    </row>
    <row r="583">
      <c r="A583" s="9"/>
      <c r="D583" s="3"/>
      <c r="G583" s="3"/>
      <c r="J583" s="3"/>
    </row>
    <row r="584">
      <c r="A584" s="9"/>
      <c r="D584" s="3"/>
      <c r="G584" s="3"/>
      <c r="J584" s="3"/>
    </row>
    <row r="585">
      <c r="A585" s="9"/>
      <c r="D585" s="3"/>
      <c r="G585" s="3"/>
      <c r="J585" s="3"/>
    </row>
    <row r="586">
      <c r="A586" s="9"/>
      <c r="D586" s="3"/>
      <c r="G586" s="3"/>
      <c r="J586" s="3"/>
    </row>
    <row r="587">
      <c r="A587" s="9"/>
      <c r="D587" s="3"/>
      <c r="G587" s="3"/>
      <c r="J587" s="3"/>
    </row>
    <row r="588">
      <c r="A588" s="9"/>
      <c r="D588" s="3"/>
      <c r="G588" s="3"/>
      <c r="J588" s="3"/>
    </row>
    <row r="589">
      <c r="A589" s="9"/>
      <c r="D589" s="3"/>
      <c r="G589" s="3"/>
      <c r="J589" s="3"/>
    </row>
    <row r="590">
      <c r="A590" s="9"/>
      <c r="D590" s="3"/>
      <c r="G590" s="3"/>
      <c r="J590" s="3"/>
    </row>
    <row r="591">
      <c r="A591" s="9"/>
      <c r="D591" s="3"/>
      <c r="G591" s="3"/>
      <c r="J591" s="3"/>
    </row>
    <row r="592">
      <c r="A592" s="9"/>
      <c r="D592" s="3"/>
      <c r="G592" s="3"/>
      <c r="J592" s="3"/>
    </row>
    <row r="593">
      <c r="A593" s="9"/>
      <c r="D593" s="3"/>
      <c r="G593" s="3"/>
      <c r="J593" s="3"/>
    </row>
    <row r="594">
      <c r="A594" s="9"/>
      <c r="D594" s="3"/>
      <c r="G594" s="3"/>
      <c r="J594" s="3"/>
    </row>
    <row r="595">
      <c r="A595" s="9"/>
      <c r="D595" s="3"/>
      <c r="G595" s="3"/>
      <c r="J595" s="3"/>
    </row>
    <row r="596">
      <c r="A596" s="9"/>
      <c r="D596" s="3"/>
      <c r="G596" s="3"/>
      <c r="J596" s="3"/>
    </row>
    <row r="597">
      <c r="A597" s="9"/>
      <c r="D597" s="3"/>
      <c r="G597" s="3"/>
      <c r="J597" s="3"/>
    </row>
    <row r="598">
      <c r="A598" s="9"/>
      <c r="D598" s="3"/>
      <c r="G598" s="3"/>
      <c r="J598" s="3"/>
    </row>
    <row r="599">
      <c r="A599" s="9"/>
      <c r="D599" s="3"/>
      <c r="G599" s="3"/>
      <c r="J599" s="3"/>
    </row>
    <row r="600">
      <c r="A600" s="9"/>
      <c r="D600" s="3"/>
      <c r="G600" s="3"/>
      <c r="J600" s="3"/>
    </row>
    <row r="601">
      <c r="A601" s="9"/>
      <c r="D601" s="3"/>
      <c r="G601" s="3"/>
      <c r="J601" s="3"/>
    </row>
    <row r="602">
      <c r="A602" s="9"/>
      <c r="D602" s="3"/>
      <c r="G602" s="3"/>
      <c r="J602" s="3"/>
    </row>
    <row r="603">
      <c r="A603" s="9"/>
      <c r="D603" s="3"/>
      <c r="G603" s="3"/>
      <c r="J603" s="3"/>
    </row>
    <row r="604">
      <c r="A604" s="9"/>
      <c r="D604" s="3"/>
      <c r="G604" s="3"/>
      <c r="J604" s="3"/>
    </row>
    <row r="605">
      <c r="A605" s="9"/>
      <c r="D605" s="3"/>
      <c r="G605" s="3"/>
      <c r="J605" s="3"/>
    </row>
    <row r="606">
      <c r="A606" s="9"/>
      <c r="D606" s="3"/>
      <c r="G606" s="3"/>
      <c r="J606" s="3"/>
    </row>
    <row r="607">
      <c r="A607" s="9"/>
      <c r="D607" s="3"/>
      <c r="G607" s="3"/>
      <c r="J607" s="3"/>
    </row>
    <row r="608">
      <c r="A608" s="9"/>
      <c r="D608" s="3"/>
      <c r="G608" s="3"/>
      <c r="J608" s="3"/>
    </row>
    <row r="609">
      <c r="A609" s="9"/>
      <c r="D609" s="3"/>
      <c r="G609" s="3"/>
      <c r="J609" s="3"/>
    </row>
    <row r="610">
      <c r="A610" s="9"/>
      <c r="D610" s="3"/>
      <c r="G610" s="3"/>
      <c r="J610" s="3"/>
    </row>
    <row r="611">
      <c r="A611" s="9"/>
      <c r="D611" s="3"/>
      <c r="G611" s="3"/>
      <c r="J611" s="3"/>
    </row>
    <row r="612">
      <c r="A612" s="9"/>
      <c r="D612" s="3"/>
      <c r="G612" s="3"/>
      <c r="J612" s="3"/>
    </row>
    <row r="613">
      <c r="A613" s="9"/>
      <c r="D613" s="3"/>
      <c r="G613" s="3"/>
      <c r="J613" s="3"/>
    </row>
    <row r="614">
      <c r="A614" s="9"/>
      <c r="D614" s="3"/>
      <c r="G614" s="3"/>
      <c r="J614" s="3"/>
    </row>
    <row r="615">
      <c r="A615" s="9"/>
      <c r="D615" s="3"/>
      <c r="G615" s="3"/>
      <c r="J615" s="3"/>
    </row>
    <row r="616">
      <c r="A616" s="9"/>
      <c r="D616" s="3"/>
      <c r="G616" s="3"/>
      <c r="J616" s="3"/>
    </row>
    <row r="617">
      <c r="A617" s="9"/>
      <c r="D617" s="3"/>
      <c r="G617" s="3"/>
      <c r="J617" s="3"/>
    </row>
    <row r="618">
      <c r="A618" s="9"/>
      <c r="D618" s="3"/>
      <c r="G618" s="3"/>
      <c r="J618" s="3"/>
    </row>
    <row r="619">
      <c r="A619" s="9"/>
      <c r="D619" s="3"/>
      <c r="G619" s="3"/>
      <c r="J619" s="3"/>
    </row>
    <row r="620">
      <c r="A620" s="9"/>
      <c r="D620" s="3"/>
      <c r="G620" s="3"/>
      <c r="J620" s="3"/>
    </row>
    <row r="621">
      <c r="A621" s="9"/>
      <c r="D621" s="3"/>
      <c r="G621" s="3"/>
      <c r="J621" s="3"/>
    </row>
    <row r="622">
      <c r="A622" s="9"/>
      <c r="D622" s="3"/>
      <c r="G622" s="3"/>
      <c r="J622" s="3"/>
    </row>
    <row r="623">
      <c r="A623" s="9"/>
      <c r="D623" s="3"/>
      <c r="G623" s="3"/>
      <c r="J623" s="3"/>
    </row>
    <row r="624">
      <c r="A624" s="9"/>
      <c r="D624" s="3"/>
      <c r="G624" s="3"/>
      <c r="J624" s="3"/>
    </row>
    <row r="625">
      <c r="A625" s="9"/>
      <c r="D625" s="3"/>
      <c r="G625" s="3"/>
      <c r="J625" s="3"/>
    </row>
    <row r="626">
      <c r="A626" s="9"/>
      <c r="D626" s="3"/>
      <c r="G626" s="3"/>
      <c r="J626" s="3"/>
    </row>
    <row r="627">
      <c r="A627" s="9"/>
      <c r="D627" s="3"/>
      <c r="G627" s="3"/>
      <c r="J627" s="3"/>
    </row>
    <row r="628">
      <c r="A628" s="9"/>
      <c r="D628" s="3"/>
      <c r="G628" s="3"/>
      <c r="J628" s="3"/>
    </row>
    <row r="629">
      <c r="A629" s="9"/>
      <c r="D629" s="3"/>
      <c r="G629" s="3"/>
      <c r="J629" s="3"/>
    </row>
    <row r="630">
      <c r="A630" s="9"/>
      <c r="D630" s="3"/>
      <c r="G630" s="3"/>
      <c r="J630" s="3"/>
    </row>
    <row r="631">
      <c r="A631" s="9"/>
      <c r="D631" s="3"/>
      <c r="G631" s="3"/>
      <c r="J631" s="3"/>
    </row>
    <row r="632">
      <c r="A632" s="9"/>
      <c r="D632" s="3"/>
      <c r="G632" s="3"/>
      <c r="J632" s="3"/>
    </row>
    <row r="633">
      <c r="A633" s="9"/>
      <c r="D633" s="3"/>
      <c r="G633" s="3"/>
      <c r="J633" s="3"/>
    </row>
    <row r="634">
      <c r="A634" s="9"/>
      <c r="D634" s="3"/>
      <c r="G634" s="3"/>
      <c r="J634" s="3"/>
    </row>
    <row r="635">
      <c r="A635" s="9"/>
      <c r="D635" s="3"/>
      <c r="G635" s="3"/>
      <c r="J635" s="3"/>
    </row>
    <row r="636">
      <c r="A636" s="9"/>
      <c r="D636" s="3"/>
      <c r="G636" s="3"/>
      <c r="J636" s="3"/>
    </row>
    <row r="637">
      <c r="A637" s="9"/>
      <c r="D637" s="3"/>
      <c r="G637" s="3"/>
      <c r="J637" s="3"/>
    </row>
    <row r="638">
      <c r="A638" s="9"/>
      <c r="D638" s="3"/>
      <c r="G638" s="3"/>
      <c r="J638" s="3"/>
    </row>
    <row r="639">
      <c r="A639" s="9"/>
      <c r="D639" s="3"/>
      <c r="G639" s="3"/>
      <c r="J639" s="3"/>
    </row>
    <row r="640">
      <c r="A640" s="9"/>
      <c r="D640" s="3"/>
      <c r="G640" s="3"/>
      <c r="J640" s="3"/>
    </row>
    <row r="641">
      <c r="A641" s="9"/>
      <c r="D641" s="3"/>
      <c r="G641" s="3"/>
      <c r="J641" s="3"/>
    </row>
    <row r="642">
      <c r="A642" s="9"/>
      <c r="D642" s="3"/>
      <c r="G642" s="3"/>
      <c r="J642" s="3"/>
    </row>
    <row r="643">
      <c r="A643" s="9"/>
      <c r="D643" s="3"/>
      <c r="G643" s="3"/>
      <c r="J643" s="3"/>
    </row>
    <row r="644">
      <c r="A644" s="9"/>
      <c r="D644" s="3"/>
      <c r="G644" s="3"/>
      <c r="J644" s="3"/>
    </row>
    <row r="645">
      <c r="A645" s="9"/>
      <c r="D645" s="3"/>
      <c r="G645" s="3"/>
      <c r="J645" s="3"/>
    </row>
    <row r="646">
      <c r="A646" s="9"/>
      <c r="D646" s="3"/>
      <c r="G646" s="3"/>
      <c r="J646" s="3"/>
    </row>
    <row r="647">
      <c r="A647" s="9"/>
      <c r="D647" s="3"/>
      <c r="G647" s="3"/>
      <c r="J647" s="3"/>
    </row>
    <row r="648">
      <c r="A648" s="9"/>
      <c r="D648" s="3"/>
      <c r="G648" s="3"/>
      <c r="J648" s="3"/>
    </row>
    <row r="649">
      <c r="A649" s="9"/>
      <c r="D649" s="3"/>
      <c r="G649" s="3"/>
      <c r="J649" s="3"/>
    </row>
    <row r="650">
      <c r="A650" s="9"/>
      <c r="D650" s="3"/>
      <c r="G650" s="3"/>
      <c r="J650" s="3"/>
    </row>
    <row r="651">
      <c r="A651" s="9"/>
      <c r="D651" s="3"/>
      <c r="G651" s="3"/>
      <c r="J651" s="3"/>
    </row>
    <row r="652">
      <c r="A652" s="9"/>
      <c r="D652" s="3"/>
      <c r="G652" s="3"/>
      <c r="J652" s="3"/>
    </row>
    <row r="653">
      <c r="A653" s="9"/>
      <c r="D653" s="3"/>
      <c r="G653" s="3"/>
      <c r="J653" s="3"/>
    </row>
    <row r="654">
      <c r="A654" s="9"/>
      <c r="D654" s="3"/>
      <c r="G654" s="3"/>
      <c r="J654" s="3"/>
    </row>
    <row r="655">
      <c r="A655" s="9"/>
      <c r="D655" s="3"/>
      <c r="G655" s="3"/>
      <c r="J655" s="3"/>
    </row>
    <row r="656">
      <c r="A656" s="9"/>
      <c r="D656" s="3"/>
      <c r="G656" s="3"/>
      <c r="J656" s="3"/>
    </row>
    <row r="657">
      <c r="A657" s="9"/>
      <c r="D657" s="3"/>
      <c r="G657" s="3"/>
      <c r="J657" s="3"/>
    </row>
    <row r="658">
      <c r="A658" s="9"/>
      <c r="D658" s="3"/>
      <c r="G658" s="3"/>
      <c r="J658" s="3"/>
    </row>
    <row r="659">
      <c r="A659" s="9"/>
      <c r="D659" s="3"/>
      <c r="G659" s="3"/>
      <c r="J659" s="3"/>
    </row>
    <row r="660">
      <c r="A660" s="9"/>
      <c r="D660" s="3"/>
      <c r="G660" s="3"/>
      <c r="J660" s="3"/>
    </row>
    <row r="661">
      <c r="A661" s="9"/>
      <c r="D661" s="3"/>
      <c r="G661" s="3"/>
      <c r="J661" s="3"/>
    </row>
    <row r="662">
      <c r="A662" s="9"/>
      <c r="D662" s="3"/>
      <c r="G662" s="3"/>
      <c r="J662" s="3"/>
    </row>
    <row r="663">
      <c r="A663" s="9"/>
      <c r="D663" s="3"/>
      <c r="G663" s="3"/>
      <c r="J663" s="3"/>
    </row>
    <row r="664">
      <c r="A664" s="9"/>
      <c r="D664" s="3"/>
      <c r="G664" s="3"/>
      <c r="J664" s="3"/>
    </row>
    <row r="665">
      <c r="A665" s="9"/>
      <c r="D665" s="3"/>
      <c r="G665" s="3"/>
      <c r="J665" s="3"/>
    </row>
    <row r="666">
      <c r="A666" s="9"/>
      <c r="D666" s="3"/>
      <c r="G666" s="3"/>
      <c r="J666" s="3"/>
    </row>
    <row r="667">
      <c r="A667" s="9"/>
      <c r="D667" s="3"/>
      <c r="G667" s="3"/>
      <c r="J667" s="3"/>
    </row>
    <row r="668">
      <c r="A668" s="9"/>
      <c r="D668" s="3"/>
      <c r="G668" s="3"/>
      <c r="J668" s="3"/>
    </row>
    <row r="669">
      <c r="A669" s="9"/>
      <c r="D669" s="3"/>
      <c r="G669" s="3"/>
      <c r="J669" s="3"/>
    </row>
    <row r="670">
      <c r="A670" s="9"/>
      <c r="D670" s="3"/>
      <c r="G670" s="3"/>
      <c r="J670" s="3"/>
    </row>
    <row r="671">
      <c r="A671" s="9"/>
      <c r="D671" s="3"/>
      <c r="G671" s="3"/>
      <c r="J671" s="3"/>
    </row>
    <row r="672">
      <c r="A672" s="9"/>
      <c r="D672" s="3"/>
      <c r="G672" s="3"/>
      <c r="J672" s="3"/>
    </row>
    <row r="673">
      <c r="A673" s="9"/>
      <c r="D673" s="3"/>
      <c r="G673" s="3"/>
      <c r="J673" s="3"/>
    </row>
    <row r="674">
      <c r="A674" s="9"/>
      <c r="D674" s="3"/>
      <c r="G674" s="3"/>
      <c r="J674" s="3"/>
    </row>
    <row r="675">
      <c r="A675" s="9"/>
      <c r="D675" s="3"/>
      <c r="G675" s="3"/>
      <c r="J675" s="3"/>
    </row>
    <row r="676">
      <c r="A676" s="9"/>
      <c r="D676" s="3"/>
      <c r="G676" s="3"/>
      <c r="J676" s="3"/>
    </row>
    <row r="677">
      <c r="A677" s="9"/>
      <c r="D677" s="3"/>
      <c r="G677" s="3"/>
      <c r="J677" s="3"/>
    </row>
    <row r="678">
      <c r="A678" s="9"/>
      <c r="D678" s="3"/>
      <c r="G678" s="3"/>
      <c r="J678" s="3"/>
    </row>
    <row r="679">
      <c r="A679" s="9"/>
      <c r="D679" s="3"/>
      <c r="G679" s="3"/>
      <c r="J679" s="3"/>
    </row>
    <row r="680">
      <c r="A680" s="9"/>
      <c r="D680" s="3"/>
      <c r="G680" s="3"/>
      <c r="J680" s="3"/>
    </row>
    <row r="681">
      <c r="A681" s="9"/>
      <c r="D681" s="3"/>
      <c r="G681" s="3"/>
      <c r="J681" s="3"/>
    </row>
    <row r="682">
      <c r="A682" s="9"/>
      <c r="D682" s="3"/>
      <c r="G682" s="3"/>
      <c r="J682" s="3"/>
    </row>
    <row r="683">
      <c r="A683" s="9"/>
      <c r="D683" s="3"/>
      <c r="G683" s="3"/>
      <c r="J683" s="3"/>
    </row>
    <row r="684">
      <c r="A684" s="9"/>
      <c r="D684" s="3"/>
      <c r="G684" s="3"/>
      <c r="J684" s="3"/>
    </row>
    <row r="685">
      <c r="A685" s="9"/>
      <c r="D685" s="3"/>
      <c r="G685" s="3"/>
      <c r="J685" s="3"/>
    </row>
    <row r="686">
      <c r="A686" s="9"/>
      <c r="D686" s="3"/>
      <c r="G686" s="3"/>
      <c r="J686" s="3"/>
    </row>
    <row r="687">
      <c r="A687" s="9"/>
      <c r="D687" s="3"/>
      <c r="G687" s="3"/>
      <c r="J687" s="3"/>
    </row>
    <row r="688">
      <c r="A688" s="9"/>
      <c r="D688" s="3"/>
      <c r="G688" s="3"/>
      <c r="J688" s="3"/>
    </row>
    <row r="689">
      <c r="A689" s="9"/>
      <c r="D689" s="3"/>
      <c r="G689" s="3"/>
      <c r="J689" s="3"/>
    </row>
    <row r="690">
      <c r="A690" s="9"/>
      <c r="D690" s="3"/>
      <c r="G690" s="3"/>
      <c r="J690" s="3"/>
    </row>
    <row r="691">
      <c r="A691" s="9"/>
      <c r="D691" s="3"/>
      <c r="G691" s="3"/>
      <c r="J691" s="3"/>
    </row>
    <row r="692">
      <c r="A692" s="9"/>
      <c r="D692" s="3"/>
      <c r="G692" s="3"/>
      <c r="J692" s="3"/>
    </row>
    <row r="693">
      <c r="A693" s="9"/>
      <c r="D693" s="3"/>
      <c r="G693" s="3"/>
      <c r="J693" s="3"/>
    </row>
    <row r="694">
      <c r="A694" s="9"/>
      <c r="D694" s="3"/>
      <c r="G694" s="3"/>
      <c r="J694" s="3"/>
    </row>
    <row r="695">
      <c r="A695" s="9"/>
      <c r="D695" s="3"/>
      <c r="G695" s="3"/>
      <c r="J695" s="3"/>
    </row>
    <row r="696">
      <c r="A696" s="9"/>
      <c r="D696" s="3"/>
      <c r="G696" s="3"/>
      <c r="J696" s="3"/>
    </row>
    <row r="697">
      <c r="A697" s="9"/>
      <c r="D697" s="3"/>
      <c r="G697" s="3"/>
      <c r="J697" s="3"/>
    </row>
    <row r="698">
      <c r="A698" s="9"/>
      <c r="D698" s="3"/>
      <c r="G698" s="3"/>
      <c r="J698" s="3"/>
    </row>
    <row r="699">
      <c r="A699" s="9"/>
      <c r="D699" s="3"/>
      <c r="G699" s="3"/>
      <c r="J699" s="3"/>
    </row>
    <row r="700">
      <c r="A700" s="9"/>
      <c r="D700" s="3"/>
      <c r="G700" s="3"/>
      <c r="J700" s="3"/>
    </row>
    <row r="701">
      <c r="A701" s="9"/>
      <c r="D701" s="3"/>
      <c r="G701" s="3"/>
      <c r="J701" s="3"/>
    </row>
    <row r="702">
      <c r="A702" s="9"/>
      <c r="D702" s="3"/>
      <c r="G702" s="3"/>
      <c r="J702" s="3"/>
    </row>
    <row r="703">
      <c r="A703" s="9"/>
      <c r="D703" s="3"/>
      <c r="G703" s="3"/>
      <c r="J703" s="3"/>
    </row>
    <row r="704">
      <c r="A704" s="9"/>
      <c r="D704" s="3"/>
      <c r="G704" s="3"/>
      <c r="J704" s="3"/>
    </row>
    <row r="705">
      <c r="A705" s="9"/>
      <c r="D705" s="3"/>
      <c r="G705" s="3"/>
      <c r="J705" s="3"/>
    </row>
    <row r="706">
      <c r="A706" s="9"/>
      <c r="D706" s="3"/>
      <c r="G706" s="3"/>
      <c r="J706" s="3"/>
    </row>
    <row r="707">
      <c r="A707" s="9"/>
      <c r="D707" s="3"/>
      <c r="G707" s="3"/>
      <c r="J707" s="3"/>
    </row>
    <row r="708">
      <c r="A708" s="9"/>
      <c r="D708" s="3"/>
      <c r="G708" s="3"/>
      <c r="J708" s="3"/>
    </row>
    <row r="709">
      <c r="A709" s="9"/>
      <c r="D709" s="3"/>
      <c r="G709" s="3"/>
      <c r="J709" s="3"/>
    </row>
    <row r="710">
      <c r="A710" s="9"/>
      <c r="D710" s="3"/>
      <c r="G710" s="3"/>
      <c r="J710" s="3"/>
    </row>
    <row r="711">
      <c r="A711" s="9"/>
      <c r="D711" s="3"/>
      <c r="G711" s="3"/>
      <c r="J711" s="3"/>
    </row>
    <row r="712">
      <c r="A712" s="9"/>
      <c r="D712" s="3"/>
      <c r="G712" s="3"/>
      <c r="J712" s="3"/>
    </row>
    <row r="713">
      <c r="A713" s="9"/>
      <c r="D713" s="3"/>
      <c r="G713" s="3"/>
      <c r="J713" s="3"/>
    </row>
    <row r="714">
      <c r="A714" s="9"/>
      <c r="D714" s="3"/>
      <c r="G714" s="3"/>
      <c r="J714" s="3"/>
    </row>
    <row r="715">
      <c r="A715" s="9"/>
      <c r="D715" s="3"/>
      <c r="G715" s="3"/>
      <c r="J715" s="3"/>
    </row>
    <row r="716">
      <c r="A716" s="9"/>
      <c r="D716" s="3"/>
      <c r="G716" s="3"/>
      <c r="J716" s="3"/>
    </row>
    <row r="717">
      <c r="A717" s="9"/>
      <c r="D717" s="3"/>
      <c r="G717" s="3"/>
      <c r="J717" s="3"/>
    </row>
    <row r="718">
      <c r="A718" s="9"/>
      <c r="D718" s="3"/>
      <c r="G718" s="3"/>
      <c r="J718" s="3"/>
    </row>
    <row r="719">
      <c r="A719" s="9"/>
      <c r="D719" s="3"/>
      <c r="G719" s="3"/>
      <c r="J719" s="3"/>
    </row>
    <row r="720">
      <c r="A720" s="9"/>
      <c r="D720" s="3"/>
      <c r="G720" s="3"/>
      <c r="J720" s="3"/>
    </row>
    <row r="721">
      <c r="A721" s="9"/>
      <c r="D721" s="3"/>
      <c r="G721" s="3"/>
      <c r="J721" s="3"/>
    </row>
    <row r="722">
      <c r="A722" s="9"/>
      <c r="D722" s="3"/>
      <c r="G722" s="3"/>
      <c r="J722" s="3"/>
    </row>
    <row r="723">
      <c r="A723" s="9"/>
      <c r="D723" s="3"/>
      <c r="G723" s="3"/>
      <c r="J723" s="3"/>
    </row>
    <row r="724">
      <c r="A724" s="9"/>
      <c r="D724" s="3"/>
      <c r="G724" s="3"/>
      <c r="J724" s="3"/>
    </row>
    <row r="725">
      <c r="A725" s="9"/>
      <c r="D725" s="3"/>
      <c r="G725" s="3"/>
      <c r="J725" s="3"/>
    </row>
    <row r="726">
      <c r="A726" s="9"/>
      <c r="D726" s="3"/>
      <c r="G726" s="3"/>
      <c r="J726" s="3"/>
    </row>
    <row r="727">
      <c r="A727" s="9"/>
      <c r="D727" s="3"/>
      <c r="G727" s="3"/>
      <c r="J727" s="3"/>
    </row>
    <row r="728">
      <c r="A728" s="9"/>
      <c r="D728" s="3"/>
      <c r="G728" s="3"/>
      <c r="J728" s="3"/>
    </row>
    <row r="729">
      <c r="A729" s="9"/>
      <c r="D729" s="3"/>
      <c r="G729" s="3"/>
      <c r="J729" s="3"/>
    </row>
    <row r="730">
      <c r="A730" s="9"/>
      <c r="D730" s="3"/>
      <c r="G730" s="3"/>
      <c r="J730" s="3"/>
    </row>
    <row r="731">
      <c r="A731" s="9"/>
      <c r="D731" s="3"/>
      <c r="G731" s="3"/>
      <c r="J731" s="3"/>
    </row>
    <row r="732">
      <c r="A732" s="9"/>
      <c r="D732" s="3"/>
      <c r="G732" s="3"/>
      <c r="J732" s="3"/>
    </row>
    <row r="733">
      <c r="A733" s="9"/>
      <c r="D733" s="3"/>
      <c r="G733" s="3"/>
      <c r="J733" s="3"/>
    </row>
    <row r="734">
      <c r="A734" s="9"/>
      <c r="D734" s="3"/>
      <c r="G734" s="3"/>
      <c r="J734" s="3"/>
    </row>
    <row r="735">
      <c r="A735" s="9"/>
      <c r="D735" s="3"/>
      <c r="G735" s="3"/>
      <c r="J735" s="3"/>
    </row>
    <row r="736">
      <c r="A736" s="9"/>
      <c r="D736" s="3"/>
      <c r="G736" s="3"/>
      <c r="J736" s="3"/>
    </row>
    <row r="737">
      <c r="A737" s="9"/>
      <c r="D737" s="3"/>
      <c r="G737" s="3"/>
      <c r="J737" s="3"/>
    </row>
    <row r="738">
      <c r="A738" s="9"/>
      <c r="D738" s="3"/>
      <c r="G738" s="3"/>
      <c r="J738" s="3"/>
    </row>
    <row r="739">
      <c r="A739" s="9"/>
      <c r="D739" s="3"/>
      <c r="G739" s="3"/>
      <c r="J739" s="3"/>
    </row>
    <row r="740">
      <c r="A740" s="9"/>
      <c r="D740" s="3"/>
      <c r="G740" s="3"/>
      <c r="J740" s="3"/>
    </row>
    <row r="741">
      <c r="A741" s="9"/>
      <c r="D741" s="3"/>
      <c r="G741" s="3"/>
      <c r="J741" s="3"/>
    </row>
    <row r="742">
      <c r="A742" s="9"/>
      <c r="D742" s="3"/>
      <c r="G742" s="3"/>
      <c r="J742" s="3"/>
    </row>
    <row r="743">
      <c r="A743" s="9"/>
      <c r="D743" s="3"/>
      <c r="G743" s="3"/>
      <c r="J743" s="3"/>
    </row>
    <row r="744">
      <c r="A744" s="9"/>
      <c r="D744" s="3"/>
      <c r="G744" s="3"/>
      <c r="J744" s="3"/>
    </row>
    <row r="745">
      <c r="A745" s="9"/>
      <c r="D745" s="3"/>
      <c r="G745" s="3"/>
      <c r="J745" s="3"/>
    </row>
    <row r="746">
      <c r="A746" s="9"/>
      <c r="D746" s="3"/>
      <c r="G746" s="3"/>
      <c r="J746" s="3"/>
    </row>
    <row r="747">
      <c r="A747" s="9"/>
      <c r="D747" s="3"/>
      <c r="G747" s="3"/>
      <c r="J747" s="3"/>
    </row>
    <row r="748">
      <c r="A748" s="9"/>
      <c r="D748" s="3"/>
      <c r="G748" s="3"/>
      <c r="J748" s="3"/>
    </row>
    <row r="749">
      <c r="A749" s="9"/>
      <c r="D749" s="3"/>
      <c r="G749" s="3"/>
      <c r="J749" s="3"/>
    </row>
    <row r="750">
      <c r="A750" s="9"/>
      <c r="D750" s="3"/>
      <c r="G750" s="3"/>
      <c r="J750" s="3"/>
    </row>
    <row r="751">
      <c r="A751" s="9"/>
      <c r="D751" s="3"/>
      <c r="G751" s="3"/>
      <c r="J751" s="3"/>
    </row>
    <row r="752">
      <c r="A752" s="9"/>
      <c r="D752" s="3"/>
      <c r="G752" s="3"/>
      <c r="J752" s="3"/>
    </row>
    <row r="753">
      <c r="A753" s="9"/>
      <c r="D753" s="3"/>
      <c r="G753" s="3"/>
      <c r="J753" s="3"/>
    </row>
    <row r="754">
      <c r="A754" s="9"/>
      <c r="D754" s="3"/>
      <c r="G754" s="3"/>
      <c r="J754" s="3"/>
    </row>
    <row r="755">
      <c r="A755" s="9"/>
      <c r="D755" s="3"/>
      <c r="G755" s="3"/>
      <c r="J755" s="3"/>
    </row>
    <row r="756">
      <c r="A756" s="9"/>
      <c r="D756" s="3"/>
      <c r="G756" s="3"/>
      <c r="J756" s="3"/>
    </row>
    <row r="757">
      <c r="A757" s="9"/>
      <c r="D757" s="3"/>
      <c r="G757" s="3"/>
      <c r="J757" s="3"/>
    </row>
    <row r="758">
      <c r="A758" s="9"/>
      <c r="D758" s="3"/>
      <c r="G758" s="3"/>
      <c r="J758" s="3"/>
    </row>
    <row r="759">
      <c r="A759" s="9"/>
      <c r="D759" s="3"/>
      <c r="G759" s="3"/>
      <c r="J759" s="3"/>
    </row>
    <row r="760">
      <c r="A760" s="9"/>
      <c r="D760" s="3"/>
      <c r="G760" s="3"/>
      <c r="J760" s="3"/>
    </row>
    <row r="761">
      <c r="A761" s="9"/>
      <c r="D761" s="3"/>
      <c r="G761" s="3"/>
      <c r="J761" s="3"/>
    </row>
    <row r="762">
      <c r="A762" s="9"/>
      <c r="D762" s="3"/>
      <c r="G762" s="3"/>
      <c r="J762" s="3"/>
    </row>
    <row r="763">
      <c r="A763" s="9"/>
      <c r="D763" s="3"/>
      <c r="G763" s="3"/>
      <c r="J763" s="3"/>
    </row>
    <row r="764">
      <c r="A764" s="9"/>
      <c r="D764" s="3"/>
      <c r="G764" s="3"/>
      <c r="J764" s="3"/>
    </row>
    <row r="765">
      <c r="A765" s="9"/>
      <c r="D765" s="3"/>
      <c r="G765" s="3"/>
      <c r="J765" s="3"/>
    </row>
    <row r="766">
      <c r="A766" s="9"/>
      <c r="D766" s="3"/>
      <c r="G766" s="3"/>
      <c r="J766" s="3"/>
    </row>
    <row r="767">
      <c r="A767" s="9"/>
      <c r="D767" s="3"/>
      <c r="G767" s="3"/>
      <c r="J767" s="3"/>
    </row>
    <row r="768">
      <c r="A768" s="9"/>
      <c r="D768" s="3"/>
      <c r="G768" s="3"/>
      <c r="J768" s="3"/>
    </row>
    <row r="769">
      <c r="A769" s="9"/>
      <c r="D769" s="3"/>
      <c r="G769" s="3"/>
      <c r="J769" s="3"/>
    </row>
    <row r="770">
      <c r="A770" s="9"/>
      <c r="D770" s="3"/>
      <c r="G770" s="3"/>
      <c r="J770" s="3"/>
    </row>
    <row r="771">
      <c r="A771" s="9"/>
      <c r="D771" s="3"/>
      <c r="G771" s="3"/>
      <c r="J771" s="3"/>
    </row>
    <row r="772">
      <c r="A772" s="9"/>
      <c r="D772" s="3"/>
      <c r="G772" s="3"/>
      <c r="J772" s="3"/>
    </row>
    <row r="773">
      <c r="A773" s="9"/>
      <c r="D773" s="3"/>
      <c r="G773" s="3"/>
      <c r="J773" s="3"/>
    </row>
    <row r="774">
      <c r="A774" s="9"/>
      <c r="D774" s="3"/>
      <c r="G774" s="3"/>
      <c r="J774" s="3"/>
    </row>
    <row r="775">
      <c r="A775" s="9"/>
      <c r="D775" s="3"/>
      <c r="G775" s="3"/>
      <c r="J775" s="3"/>
    </row>
    <row r="776">
      <c r="A776" s="9"/>
      <c r="D776" s="3"/>
      <c r="G776" s="3"/>
      <c r="J776" s="3"/>
    </row>
    <row r="777">
      <c r="A777" s="9"/>
      <c r="D777" s="3"/>
      <c r="G777" s="3"/>
      <c r="J777" s="3"/>
    </row>
    <row r="778">
      <c r="A778" s="9"/>
      <c r="D778" s="3"/>
      <c r="G778" s="3"/>
      <c r="J778" s="3"/>
    </row>
    <row r="779">
      <c r="A779" s="9"/>
      <c r="D779" s="3"/>
      <c r="G779" s="3"/>
      <c r="J779" s="3"/>
    </row>
    <row r="780">
      <c r="A780" s="9"/>
      <c r="D780" s="3"/>
      <c r="G780" s="3"/>
      <c r="J780" s="3"/>
    </row>
    <row r="781">
      <c r="A781" s="9"/>
      <c r="D781" s="3"/>
      <c r="G781" s="3"/>
      <c r="J781" s="3"/>
    </row>
    <row r="782">
      <c r="A782" s="9"/>
      <c r="D782" s="3"/>
      <c r="G782" s="3"/>
      <c r="J782" s="3"/>
    </row>
    <row r="783">
      <c r="A783" s="9"/>
      <c r="D783" s="3"/>
      <c r="G783" s="3"/>
      <c r="J783" s="3"/>
    </row>
    <row r="784">
      <c r="A784" s="9"/>
      <c r="D784" s="3"/>
      <c r="G784" s="3"/>
      <c r="J784" s="3"/>
    </row>
    <row r="785">
      <c r="A785" s="9"/>
      <c r="D785" s="3"/>
      <c r="G785" s="3"/>
      <c r="J785" s="3"/>
    </row>
    <row r="786">
      <c r="A786" s="9"/>
      <c r="D786" s="3"/>
      <c r="G786" s="3"/>
      <c r="J786" s="3"/>
    </row>
    <row r="787">
      <c r="A787" s="9"/>
      <c r="D787" s="3"/>
      <c r="G787" s="3"/>
      <c r="J787" s="3"/>
    </row>
    <row r="788">
      <c r="A788" s="9"/>
      <c r="D788" s="3"/>
      <c r="G788" s="3"/>
      <c r="J788" s="3"/>
    </row>
    <row r="789">
      <c r="A789" s="9"/>
      <c r="D789" s="3"/>
      <c r="G789" s="3"/>
      <c r="J789" s="3"/>
    </row>
    <row r="790">
      <c r="A790" s="9"/>
      <c r="D790" s="3"/>
      <c r="G790" s="3"/>
      <c r="J790" s="3"/>
    </row>
    <row r="791">
      <c r="A791" s="9"/>
      <c r="D791" s="3"/>
      <c r="G791" s="3"/>
      <c r="J791" s="3"/>
    </row>
    <row r="792">
      <c r="A792" s="9"/>
      <c r="D792" s="3"/>
      <c r="G792" s="3"/>
      <c r="J792" s="3"/>
    </row>
    <row r="793">
      <c r="A793" s="9"/>
      <c r="D793" s="3"/>
      <c r="G793" s="3"/>
      <c r="J793" s="3"/>
    </row>
    <row r="794">
      <c r="A794" s="9"/>
      <c r="D794" s="3"/>
      <c r="G794" s="3"/>
      <c r="J794" s="3"/>
    </row>
    <row r="795">
      <c r="A795" s="9"/>
      <c r="D795" s="3"/>
      <c r="G795" s="3"/>
      <c r="J795" s="3"/>
    </row>
    <row r="796">
      <c r="A796" s="9"/>
      <c r="D796" s="3"/>
      <c r="G796" s="3"/>
      <c r="J796" s="3"/>
    </row>
    <row r="797">
      <c r="A797" s="9"/>
      <c r="D797" s="3"/>
      <c r="G797" s="3"/>
      <c r="J797" s="3"/>
    </row>
    <row r="798">
      <c r="A798" s="9"/>
      <c r="D798" s="3"/>
      <c r="G798" s="3"/>
      <c r="J798" s="3"/>
    </row>
    <row r="799">
      <c r="A799" s="9"/>
      <c r="D799" s="3"/>
      <c r="G799" s="3"/>
      <c r="J799" s="3"/>
    </row>
    <row r="800">
      <c r="A800" s="9"/>
      <c r="D800" s="3"/>
      <c r="G800" s="3"/>
      <c r="J800" s="3"/>
    </row>
    <row r="801">
      <c r="A801" s="9"/>
      <c r="D801" s="3"/>
      <c r="G801" s="3"/>
      <c r="J801" s="3"/>
    </row>
    <row r="802">
      <c r="A802" s="9"/>
      <c r="D802" s="3"/>
      <c r="G802" s="3"/>
      <c r="J802" s="3"/>
    </row>
    <row r="803">
      <c r="A803" s="9"/>
      <c r="D803" s="3"/>
      <c r="G803" s="3"/>
      <c r="J803" s="3"/>
    </row>
    <row r="804">
      <c r="A804" s="9"/>
      <c r="D804" s="3"/>
      <c r="G804" s="3"/>
      <c r="J804" s="3"/>
    </row>
    <row r="805">
      <c r="A805" s="9"/>
      <c r="D805" s="3"/>
      <c r="G805" s="3"/>
      <c r="J805" s="3"/>
    </row>
    <row r="806">
      <c r="A806" s="9"/>
      <c r="D806" s="3"/>
      <c r="G806" s="3"/>
      <c r="J806" s="3"/>
    </row>
    <row r="807">
      <c r="A807" s="9"/>
      <c r="D807" s="3"/>
      <c r="G807" s="3"/>
      <c r="J807" s="3"/>
    </row>
    <row r="808">
      <c r="A808" s="9"/>
      <c r="D808" s="3"/>
      <c r="G808" s="3"/>
      <c r="J808" s="3"/>
    </row>
    <row r="809">
      <c r="A809" s="9"/>
      <c r="D809" s="3"/>
      <c r="G809" s="3"/>
      <c r="J809" s="3"/>
    </row>
    <row r="810">
      <c r="A810" s="9"/>
      <c r="D810" s="3"/>
      <c r="G810" s="3"/>
      <c r="J810" s="3"/>
    </row>
    <row r="811">
      <c r="A811" s="9"/>
      <c r="D811" s="3"/>
      <c r="G811" s="3"/>
      <c r="J811" s="3"/>
    </row>
    <row r="812">
      <c r="A812" s="9"/>
      <c r="D812" s="3"/>
      <c r="G812" s="3"/>
      <c r="J812" s="3"/>
    </row>
    <row r="813">
      <c r="A813" s="9"/>
      <c r="D813" s="3"/>
      <c r="G813" s="3"/>
      <c r="J813" s="3"/>
    </row>
    <row r="814">
      <c r="A814" s="9"/>
      <c r="D814" s="3"/>
      <c r="G814" s="3"/>
      <c r="J814" s="3"/>
    </row>
    <row r="815">
      <c r="A815" s="9"/>
      <c r="D815" s="3"/>
      <c r="G815" s="3"/>
      <c r="J815" s="3"/>
    </row>
    <row r="816">
      <c r="A816" s="9"/>
      <c r="D816" s="3"/>
      <c r="G816" s="3"/>
      <c r="J816" s="3"/>
    </row>
    <row r="817">
      <c r="A817" s="9"/>
      <c r="D817" s="3"/>
      <c r="G817" s="3"/>
      <c r="J817" s="3"/>
    </row>
    <row r="818">
      <c r="A818" s="9"/>
      <c r="D818" s="3"/>
      <c r="G818" s="3"/>
      <c r="J818" s="3"/>
    </row>
    <row r="819">
      <c r="A819" s="9"/>
      <c r="D819" s="3"/>
      <c r="G819" s="3"/>
      <c r="J819" s="3"/>
    </row>
    <row r="820">
      <c r="A820" s="9"/>
      <c r="D820" s="3"/>
      <c r="G820" s="3"/>
      <c r="J820" s="3"/>
    </row>
    <row r="821">
      <c r="A821" s="9"/>
      <c r="D821" s="3"/>
      <c r="G821" s="3"/>
      <c r="J821" s="3"/>
    </row>
    <row r="822">
      <c r="A822" s="9"/>
      <c r="D822" s="3"/>
      <c r="G822" s="3"/>
      <c r="J822" s="3"/>
    </row>
    <row r="823">
      <c r="A823" s="9"/>
      <c r="D823" s="3"/>
      <c r="G823" s="3"/>
      <c r="J823" s="3"/>
    </row>
    <row r="824">
      <c r="A824" s="9"/>
      <c r="D824" s="3"/>
      <c r="G824" s="3"/>
      <c r="J824" s="3"/>
    </row>
    <row r="825">
      <c r="A825" s="9"/>
      <c r="D825" s="3"/>
      <c r="G825" s="3"/>
      <c r="J825" s="3"/>
    </row>
    <row r="826">
      <c r="A826" s="9"/>
      <c r="D826" s="3"/>
      <c r="G826" s="3"/>
      <c r="J826" s="3"/>
    </row>
    <row r="827">
      <c r="A827" s="9"/>
      <c r="D827" s="3"/>
      <c r="G827" s="3"/>
      <c r="J827" s="3"/>
    </row>
    <row r="828">
      <c r="A828" s="9"/>
      <c r="D828" s="3"/>
      <c r="G828" s="3"/>
      <c r="J828" s="3"/>
    </row>
    <row r="829">
      <c r="A829" s="9"/>
      <c r="D829" s="3"/>
      <c r="G829" s="3"/>
      <c r="J829" s="3"/>
    </row>
    <row r="830">
      <c r="A830" s="9"/>
      <c r="D830" s="3"/>
      <c r="G830" s="3"/>
      <c r="J830" s="3"/>
    </row>
    <row r="831">
      <c r="A831" s="9"/>
      <c r="D831" s="3"/>
      <c r="G831" s="3"/>
      <c r="J831" s="3"/>
    </row>
    <row r="832">
      <c r="A832" s="9"/>
      <c r="D832" s="3"/>
      <c r="G832" s="3"/>
      <c r="J832" s="3"/>
    </row>
    <row r="833">
      <c r="A833" s="9"/>
      <c r="D833" s="3"/>
      <c r="G833" s="3"/>
      <c r="J833" s="3"/>
    </row>
    <row r="834">
      <c r="A834" s="9"/>
      <c r="D834" s="3"/>
      <c r="G834" s="3"/>
      <c r="J834" s="3"/>
    </row>
    <row r="835">
      <c r="A835" s="9"/>
      <c r="D835" s="3"/>
      <c r="G835" s="3"/>
      <c r="J835" s="3"/>
    </row>
    <row r="836">
      <c r="A836" s="9"/>
      <c r="D836" s="3"/>
      <c r="G836" s="3"/>
      <c r="J836" s="3"/>
    </row>
    <row r="837">
      <c r="A837" s="9"/>
      <c r="D837" s="3"/>
      <c r="G837" s="3"/>
      <c r="J837" s="3"/>
    </row>
    <row r="838">
      <c r="A838" s="9"/>
      <c r="D838" s="3"/>
      <c r="G838" s="3"/>
      <c r="J838" s="3"/>
    </row>
    <row r="839">
      <c r="A839" s="9"/>
      <c r="D839" s="3"/>
      <c r="G839" s="3"/>
      <c r="J839" s="3"/>
    </row>
    <row r="840">
      <c r="A840" s="9"/>
      <c r="D840" s="3"/>
      <c r="G840" s="3"/>
      <c r="J840" s="3"/>
    </row>
    <row r="841">
      <c r="A841" s="9"/>
      <c r="D841" s="3"/>
      <c r="G841" s="3"/>
      <c r="J841" s="3"/>
    </row>
    <row r="842">
      <c r="A842" s="9"/>
      <c r="D842" s="3"/>
      <c r="G842" s="3"/>
      <c r="J842" s="3"/>
    </row>
    <row r="843">
      <c r="A843" s="9"/>
      <c r="D843" s="3"/>
      <c r="G843" s="3"/>
      <c r="J843" s="3"/>
    </row>
    <row r="844">
      <c r="A844" s="9"/>
      <c r="D844" s="3"/>
      <c r="G844" s="3"/>
      <c r="J844" s="3"/>
    </row>
    <row r="845">
      <c r="A845" s="9"/>
      <c r="D845" s="3"/>
      <c r="G845" s="3"/>
      <c r="J845" s="3"/>
    </row>
    <row r="846">
      <c r="A846" s="9"/>
      <c r="D846" s="3"/>
      <c r="G846" s="3"/>
      <c r="J846" s="3"/>
    </row>
    <row r="847">
      <c r="A847" s="9"/>
      <c r="D847" s="3"/>
      <c r="G847" s="3"/>
      <c r="J847" s="3"/>
    </row>
    <row r="848">
      <c r="A848" s="9"/>
      <c r="D848" s="3"/>
      <c r="G848" s="3"/>
      <c r="J848" s="3"/>
    </row>
    <row r="849">
      <c r="A849" s="9"/>
      <c r="D849" s="3"/>
      <c r="G849" s="3"/>
      <c r="J849" s="3"/>
    </row>
    <row r="850">
      <c r="A850" s="9"/>
      <c r="D850" s="3"/>
      <c r="G850" s="3"/>
      <c r="J850" s="3"/>
    </row>
    <row r="851">
      <c r="A851" s="9"/>
      <c r="D851" s="3"/>
      <c r="G851" s="3"/>
      <c r="J851" s="3"/>
    </row>
    <row r="852">
      <c r="A852" s="9"/>
      <c r="D852" s="3"/>
      <c r="G852" s="3"/>
      <c r="J852" s="3"/>
    </row>
    <row r="853">
      <c r="A853" s="9"/>
      <c r="D853" s="3"/>
      <c r="G853" s="3"/>
      <c r="J853" s="3"/>
    </row>
    <row r="854">
      <c r="A854" s="9"/>
      <c r="D854" s="3"/>
      <c r="G854" s="3"/>
      <c r="J854" s="3"/>
    </row>
    <row r="855">
      <c r="A855" s="9"/>
      <c r="D855" s="3"/>
      <c r="G855" s="3"/>
      <c r="J855" s="3"/>
    </row>
    <row r="856">
      <c r="A856" s="9"/>
      <c r="D856" s="3"/>
      <c r="G856" s="3"/>
      <c r="J856" s="3"/>
    </row>
    <row r="857">
      <c r="A857" s="9"/>
      <c r="D857" s="3"/>
      <c r="G857" s="3"/>
      <c r="J857" s="3"/>
    </row>
    <row r="858">
      <c r="A858" s="9"/>
      <c r="D858" s="3"/>
      <c r="G858" s="3"/>
      <c r="J858" s="3"/>
    </row>
    <row r="859">
      <c r="A859" s="9"/>
      <c r="D859" s="3"/>
      <c r="G859" s="3"/>
      <c r="J859" s="3"/>
    </row>
    <row r="860">
      <c r="A860" s="9"/>
      <c r="D860" s="3"/>
      <c r="G860" s="3"/>
      <c r="J860" s="3"/>
    </row>
    <row r="861">
      <c r="A861" s="9"/>
      <c r="D861" s="3"/>
      <c r="G861" s="3"/>
      <c r="J861" s="3"/>
    </row>
    <row r="862">
      <c r="A862" s="9"/>
      <c r="D862" s="3"/>
      <c r="G862" s="3"/>
      <c r="J862" s="3"/>
    </row>
    <row r="863">
      <c r="A863" s="9"/>
      <c r="D863" s="3"/>
      <c r="G863" s="3"/>
      <c r="J863" s="3"/>
    </row>
    <row r="864">
      <c r="A864" s="9"/>
      <c r="D864" s="3"/>
      <c r="G864" s="3"/>
      <c r="J864" s="3"/>
    </row>
    <row r="865">
      <c r="A865" s="9"/>
      <c r="D865" s="3"/>
      <c r="G865" s="3"/>
      <c r="J865" s="3"/>
    </row>
    <row r="866">
      <c r="A866" s="9"/>
      <c r="D866" s="3"/>
      <c r="G866" s="3"/>
      <c r="J866" s="3"/>
    </row>
    <row r="867">
      <c r="A867" s="9"/>
      <c r="D867" s="3"/>
      <c r="G867" s="3"/>
      <c r="J867" s="3"/>
    </row>
    <row r="868">
      <c r="A868" s="9"/>
      <c r="D868" s="3"/>
      <c r="G868" s="3"/>
      <c r="J868" s="3"/>
    </row>
    <row r="869">
      <c r="A869" s="9"/>
      <c r="D869" s="3"/>
      <c r="G869" s="3"/>
      <c r="J869" s="3"/>
    </row>
    <row r="870">
      <c r="A870" s="9"/>
      <c r="D870" s="3"/>
      <c r="G870" s="3"/>
      <c r="J870" s="3"/>
    </row>
    <row r="871">
      <c r="A871" s="9"/>
      <c r="D871" s="3"/>
      <c r="G871" s="3"/>
      <c r="J871" s="3"/>
    </row>
    <row r="872">
      <c r="A872" s="9"/>
      <c r="D872" s="3"/>
      <c r="G872" s="3"/>
      <c r="J872" s="3"/>
    </row>
    <row r="873">
      <c r="A873" s="9"/>
      <c r="D873" s="3"/>
      <c r="G873" s="3"/>
      <c r="J873" s="3"/>
    </row>
    <row r="874">
      <c r="A874" s="9"/>
      <c r="D874" s="3"/>
      <c r="G874" s="3"/>
      <c r="J874" s="3"/>
    </row>
    <row r="875">
      <c r="A875" s="9"/>
      <c r="D875" s="3"/>
      <c r="G875" s="3"/>
      <c r="J875" s="3"/>
    </row>
    <row r="876">
      <c r="A876" s="9"/>
      <c r="D876" s="3"/>
      <c r="G876" s="3"/>
      <c r="J876" s="3"/>
    </row>
    <row r="877">
      <c r="A877" s="9"/>
      <c r="D877" s="3"/>
      <c r="G877" s="3"/>
      <c r="J877" s="3"/>
    </row>
    <row r="878">
      <c r="A878" s="9"/>
      <c r="D878" s="3"/>
      <c r="G878" s="3"/>
      <c r="J878" s="3"/>
    </row>
    <row r="879">
      <c r="A879" s="9"/>
      <c r="D879" s="3"/>
      <c r="G879" s="3"/>
      <c r="J879" s="3"/>
    </row>
    <row r="880">
      <c r="A880" s="9"/>
      <c r="D880" s="3"/>
      <c r="G880" s="3"/>
      <c r="J880" s="3"/>
    </row>
    <row r="881">
      <c r="A881" s="9"/>
      <c r="D881" s="3"/>
      <c r="G881" s="3"/>
      <c r="J881" s="3"/>
    </row>
    <row r="882">
      <c r="A882" s="9"/>
      <c r="D882" s="3"/>
      <c r="G882" s="3"/>
      <c r="J882" s="3"/>
    </row>
    <row r="883">
      <c r="A883" s="9"/>
      <c r="D883" s="3"/>
      <c r="G883" s="3"/>
      <c r="J883" s="3"/>
    </row>
    <row r="884">
      <c r="A884" s="9"/>
      <c r="D884" s="3"/>
      <c r="G884" s="3"/>
      <c r="J884" s="3"/>
    </row>
    <row r="885">
      <c r="A885" s="9"/>
      <c r="D885" s="3"/>
      <c r="G885" s="3"/>
      <c r="J885" s="3"/>
    </row>
    <row r="886">
      <c r="A886" s="9"/>
      <c r="D886" s="3"/>
      <c r="G886" s="3"/>
      <c r="J886" s="3"/>
    </row>
    <row r="887">
      <c r="A887" s="9"/>
      <c r="D887" s="3"/>
      <c r="G887" s="3"/>
      <c r="J887" s="3"/>
    </row>
    <row r="888">
      <c r="A888" s="9"/>
      <c r="D888" s="3"/>
      <c r="G888" s="3"/>
      <c r="J888" s="3"/>
    </row>
    <row r="889">
      <c r="A889" s="9"/>
      <c r="D889" s="3"/>
      <c r="G889" s="3"/>
      <c r="J889" s="3"/>
    </row>
    <row r="890">
      <c r="A890" s="9"/>
      <c r="D890" s="3"/>
      <c r="G890" s="3"/>
      <c r="J890" s="3"/>
    </row>
    <row r="891">
      <c r="A891" s="9"/>
      <c r="D891" s="3"/>
      <c r="G891" s="3"/>
      <c r="J891" s="3"/>
    </row>
    <row r="892">
      <c r="A892" s="9"/>
      <c r="D892" s="3"/>
      <c r="G892" s="3"/>
      <c r="J892" s="3"/>
    </row>
    <row r="893">
      <c r="A893" s="9"/>
      <c r="D893" s="3"/>
      <c r="G893" s="3"/>
      <c r="J893" s="3"/>
    </row>
    <row r="894">
      <c r="A894" s="9"/>
      <c r="D894" s="3"/>
      <c r="G894" s="3"/>
      <c r="J894" s="3"/>
    </row>
    <row r="895">
      <c r="A895" s="9"/>
      <c r="D895" s="3"/>
      <c r="G895" s="3"/>
      <c r="J895" s="3"/>
    </row>
    <row r="896">
      <c r="A896" s="9"/>
      <c r="D896" s="3"/>
      <c r="G896" s="3"/>
      <c r="J896" s="3"/>
    </row>
    <row r="897">
      <c r="A897" s="9"/>
      <c r="D897" s="3"/>
      <c r="G897" s="3"/>
      <c r="J897" s="3"/>
    </row>
    <row r="898">
      <c r="A898" s="9"/>
      <c r="D898" s="3"/>
      <c r="G898" s="3"/>
      <c r="J898" s="3"/>
    </row>
    <row r="899">
      <c r="A899" s="9"/>
      <c r="D899" s="3"/>
      <c r="G899" s="3"/>
      <c r="J899" s="3"/>
    </row>
    <row r="900">
      <c r="A900" s="9"/>
      <c r="D900" s="3"/>
      <c r="G900" s="3"/>
      <c r="J900" s="3"/>
    </row>
    <row r="901">
      <c r="A901" s="9"/>
      <c r="D901" s="3"/>
      <c r="G901" s="3"/>
      <c r="J901" s="3"/>
    </row>
    <row r="902">
      <c r="A902" s="9"/>
      <c r="D902" s="3"/>
      <c r="G902" s="3"/>
      <c r="J902" s="3"/>
    </row>
    <row r="903">
      <c r="A903" s="9"/>
      <c r="D903" s="3"/>
      <c r="G903" s="3"/>
      <c r="J903" s="3"/>
    </row>
    <row r="904">
      <c r="A904" s="9"/>
      <c r="D904" s="3"/>
      <c r="G904" s="3"/>
      <c r="J904" s="3"/>
    </row>
    <row r="905">
      <c r="A905" s="9"/>
      <c r="D905" s="3"/>
      <c r="G905" s="3"/>
      <c r="J905" s="3"/>
    </row>
    <row r="906">
      <c r="A906" s="9"/>
      <c r="D906" s="3"/>
      <c r="G906" s="3"/>
      <c r="J906" s="3"/>
    </row>
    <row r="907">
      <c r="A907" s="9"/>
      <c r="D907" s="3"/>
      <c r="G907" s="3"/>
      <c r="J907" s="3"/>
    </row>
    <row r="908">
      <c r="A908" s="9"/>
      <c r="D908" s="3"/>
      <c r="G908" s="3"/>
      <c r="J908" s="3"/>
    </row>
    <row r="909">
      <c r="A909" s="9"/>
      <c r="D909" s="3"/>
      <c r="G909" s="3"/>
      <c r="J909" s="3"/>
    </row>
    <row r="910">
      <c r="A910" s="9"/>
      <c r="D910" s="3"/>
      <c r="G910" s="3"/>
      <c r="J910" s="3"/>
    </row>
    <row r="911">
      <c r="A911" s="9"/>
      <c r="D911" s="3"/>
      <c r="G911" s="3"/>
      <c r="J911" s="3"/>
    </row>
    <row r="912">
      <c r="A912" s="9"/>
      <c r="D912" s="3"/>
      <c r="G912" s="3"/>
      <c r="J912" s="3"/>
    </row>
    <row r="913">
      <c r="A913" s="9"/>
      <c r="D913" s="3"/>
      <c r="G913" s="3"/>
      <c r="J913" s="3"/>
    </row>
    <row r="914">
      <c r="A914" s="9"/>
      <c r="D914" s="3"/>
      <c r="G914" s="3"/>
      <c r="J914" s="3"/>
    </row>
    <row r="915">
      <c r="A915" s="9"/>
      <c r="D915" s="3"/>
      <c r="G915" s="3"/>
      <c r="J915" s="3"/>
    </row>
    <row r="916">
      <c r="A916" s="9"/>
      <c r="D916" s="3"/>
      <c r="G916" s="3"/>
      <c r="J916" s="3"/>
    </row>
    <row r="917">
      <c r="A917" s="9"/>
      <c r="D917" s="3"/>
      <c r="G917" s="3"/>
      <c r="J917" s="3"/>
    </row>
    <row r="918">
      <c r="A918" s="9"/>
      <c r="D918" s="3"/>
      <c r="G918" s="3"/>
      <c r="J918" s="3"/>
    </row>
    <row r="919">
      <c r="A919" s="9"/>
      <c r="D919" s="3"/>
      <c r="G919" s="3"/>
      <c r="J919" s="3"/>
    </row>
    <row r="920">
      <c r="A920" s="9"/>
      <c r="D920" s="3"/>
      <c r="G920" s="3"/>
      <c r="J920" s="3"/>
    </row>
    <row r="921">
      <c r="A921" s="9"/>
      <c r="D921" s="3"/>
      <c r="G921" s="3"/>
      <c r="J921" s="3"/>
    </row>
    <row r="922">
      <c r="A922" s="9"/>
      <c r="D922" s="3"/>
      <c r="G922" s="3"/>
      <c r="J922" s="3"/>
    </row>
    <row r="923">
      <c r="A923" s="9"/>
      <c r="D923" s="3"/>
      <c r="G923" s="3"/>
      <c r="J923" s="3"/>
    </row>
    <row r="924">
      <c r="A924" s="9"/>
      <c r="D924" s="3"/>
      <c r="G924" s="3"/>
      <c r="J924" s="3"/>
    </row>
    <row r="925">
      <c r="A925" s="9"/>
      <c r="D925" s="3"/>
      <c r="G925" s="3"/>
      <c r="J925" s="3"/>
    </row>
    <row r="926">
      <c r="A926" s="9"/>
      <c r="D926" s="3"/>
      <c r="G926" s="3"/>
      <c r="J926" s="3"/>
    </row>
    <row r="927">
      <c r="A927" s="9"/>
      <c r="D927" s="3"/>
      <c r="G927" s="3"/>
      <c r="J927" s="3"/>
    </row>
    <row r="928">
      <c r="A928" s="9"/>
      <c r="D928" s="3"/>
      <c r="G928" s="3"/>
      <c r="J928" s="3"/>
    </row>
    <row r="929">
      <c r="A929" s="9"/>
      <c r="D929" s="3"/>
      <c r="G929" s="3"/>
      <c r="J929" s="3"/>
    </row>
    <row r="930">
      <c r="A930" s="9"/>
      <c r="D930" s="3"/>
      <c r="G930" s="3"/>
      <c r="J930" s="3"/>
    </row>
    <row r="931">
      <c r="A931" s="9"/>
      <c r="D931" s="3"/>
      <c r="G931" s="3"/>
      <c r="J931" s="3"/>
    </row>
    <row r="932">
      <c r="A932" s="9"/>
      <c r="D932" s="3"/>
      <c r="G932" s="3"/>
      <c r="J932" s="3"/>
    </row>
    <row r="933">
      <c r="A933" s="9"/>
      <c r="D933" s="3"/>
      <c r="G933" s="3"/>
      <c r="J933" s="3"/>
    </row>
    <row r="934">
      <c r="A934" s="9"/>
      <c r="D934" s="3"/>
      <c r="G934" s="3"/>
      <c r="J934" s="3"/>
    </row>
    <row r="935">
      <c r="A935" s="9"/>
      <c r="D935" s="3"/>
      <c r="G935" s="3"/>
      <c r="J935" s="3"/>
    </row>
    <row r="936">
      <c r="A936" s="9"/>
      <c r="D936" s="3"/>
      <c r="G936" s="3"/>
      <c r="J936" s="3"/>
    </row>
    <row r="937">
      <c r="A937" s="9"/>
      <c r="D937" s="3"/>
      <c r="G937" s="3"/>
      <c r="J937" s="3"/>
    </row>
    <row r="938">
      <c r="A938" s="9"/>
      <c r="D938" s="3"/>
      <c r="G938" s="3"/>
      <c r="J938" s="3"/>
    </row>
    <row r="939">
      <c r="A939" s="9"/>
      <c r="D939" s="3"/>
      <c r="G939" s="3"/>
      <c r="J939" s="3"/>
    </row>
    <row r="940">
      <c r="A940" s="9"/>
      <c r="D940" s="3"/>
      <c r="G940" s="3"/>
      <c r="J940" s="3"/>
    </row>
    <row r="941">
      <c r="A941" s="9"/>
      <c r="D941" s="3"/>
      <c r="G941" s="3"/>
      <c r="J941" s="3"/>
    </row>
    <row r="942">
      <c r="A942" s="9"/>
      <c r="D942" s="3"/>
      <c r="G942" s="3"/>
      <c r="J942" s="3"/>
    </row>
    <row r="943">
      <c r="A943" s="9"/>
      <c r="D943" s="3"/>
      <c r="G943" s="3"/>
      <c r="J943" s="3"/>
    </row>
    <row r="944">
      <c r="A944" s="9"/>
      <c r="D944" s="3"/>
      <c r="G944" s="3"/>
      <c r="J944" s="3"/>
    </row>
    <row r="945">
      <c r="A945" s="9"/>
      <c r="D945" s="3"/>
      <c r="G945" s="3"/>
      <c r="J945" s="3"/>
    </row>
    <row r="946">
      <c r="A946" s="9"/>
      <c r="D946" s="3"/>
      <c r="G946" s="3"/>
      <c r="J946" s="3"/>
    </row>
    <row r="947">
      <c r="A947" s="9"/>
      <c r="D947" s="3"/>
      <c r="G947" s="3"/>
      <c r="J947" s="3"/>
    </row>
    <row r="948">
      <c r="A948" s="9"/>
      <c r="D948" s="3"/>
      <c r="G948" s="3"/>
      <c r="J948" s="3"/>
    </row>
    <row r="949">
      <c r="A949" s="9"/>
      <c r="D949" s="3"/>
      <c r="G949" s="3"/>
      <c r="J949" s="3"/>
    </row>
    <row r="950">
      <c r="A950" s="9"/>
      <c r="D950" s="3"/>
      <c r="G950" s="3"/>
      <c r="J950" s="3"/>
    </row>
    <row r="951">
      <c r="A951" s="9"/>
      <c r="D951" s="3"/>
      <c r="G951" s="3"/>
      <c r="J951" s="3"/>
    </row>
    <row r="952">
      <c r="A952" s="9"/>
      <c r="D952" s="3"/>
      <c r="G952" s="3"/>
      <c r="J952" s="3"/>
    </row>
    <row r="953">
      <c r="A953" s="9"/>
      <c r="D953" s="3"/>
      <c r="G953" s="3"/>
      <c r="J953" s="3"/>
    </row>
    <row r="954">
      <c r="A954" s="9"/>
      <c r="D954" s="3"/>
      <c r="G954" s="3"/>
      <c r="J954" s="3"/>
    </row>
    <row r="955">
      <c r="A955" s="9"/>
      <c r="D955" s="3"/>
      <c r="G955" s="3"/>
      <c r="J955" s="3"/>
    </row>
    <row r="956">
      <c r="A956" s="9"/>
      <c r="D956" s="3"/>
      <c r="G956" s="3"/>
      <c r="J956" s="3"/>
    </row>
    <row r="957">
      <c r="A957" s="9"/>
      <c r="D957" s="3"/>
      <c r="G957" s="3"/>
      <c r="J957" s="3"/>
    </row>
    <row r="958">
      <c r="A958" s="9"/>
      <c r="D958" s="3"/>
      <c r="G958" s="3"/>
      <c r="J958" s="3"/>
    </row>
    <row r="959">
      <c r="A959" s="9"/>
      <c r="D959" s="3"/>
      <c r="G959" s="3"/>
      <c r="J959" s="3"/>
    </row>
    <row r="960">
      <c r="A960" s="9"/>
      <c r="D960" s="3"/>
      <c r="G960" s="3"/>
      <c r="J960" s="3"/>
    </row>
    <row r="961">
      <c r="A961" s="9"/>
      <c r="D961" s="3"/>
      <c r="G961" s="3"/>
      <c r="J961" s="3"/>
    </row>
    <row r="962">
      <c r="A962" s="9"/>
      <c r="D962" s="3"/>
      <c r="G962" s="3"/>
      <c r="J962" s="3"/>
    </row>
    <row r="963">
      <c r="A963" s="9"/>
      <c r="D963" s="3"/>
      <c r="G963" s="3"/>
      <c r="J963" s="3"/>
    </row>
    <row r="964">
      <c r="A964" s="9"/>
      <c r="D964" s="3"/>
      <c r="G964" s="3"/>
      <c r="J964" s="3"/>
    </row>
    <row r="965">
      <c r="A965" s="9"/>
      <c r="D965" s="3"/>
      <c r="G965" s="3"/>
      <c r="J965" s="3"/>
    </row>
    <row r="966">
      <c r="A966" s="9"/>
      <c r="D966" s="3"/>
      <c r="G966" s="3"/>
      <c r="J966" s="3"/>
    </row>
    <row r="967">
      <c r="A967" s="9"/>
      <c r="D967" s="3"/>
      <c r="G967" s="3"/>
      <c r="J967" s="3"/>
    </row>
    <row r="968">
      <c r="A968" s="9"/>
      <c r="D968" s="3"/>
      <c r="G968" s="3"/>
      <c r="J968" s="3"/>
    </row>
    <row r="969">
      <c r="A969" s="9"/>
      <c r="D969" s="3"/>
      <c r="G969" s="3"/>
      <c r="J969" s="3"/>
    </row>
    <row r="970">
      <c r="A970" s="9"/>
      <c r="D970" s="3"/>
      <c r="G970" s="3"/>
      <c r="J970" s="3"/>
    </row>
    <row r="971">
      <c r="A971" s="9"/>
      <c r="D971" s="3"/>
      <c r="G971" s="3"/>
      <c r="J971" s="3"/>
    </row>
    <row r="972">
      <c r="A972" s="9"/>
      <c r="D972" s="3"/>
      <c r="G972" s="3"/>
      <c r="J972" s="3"/>
    </row>
    <row r="973">
      <c r="A973" s="9"/>
      <c r="D973" s="3"/>
      <c r="G973" s="3"/>
      <c r="J973" s="3"/>
    </row>
    <row r="974">
      <c r="A974" s="9"/>
      <c r="D974" s="3"/>
      <c r="G974" s="3"/>
      <c r="J974" s="3"/>
    </row>
    <row r="975">
      <c r="A975" s="9"/>
      <c r="D975" s="3"/>
      <c r="G975" s="3"/>
      <c r="J975" s="3"/>
    </row>
    <row r="976">
      <c r="A976" s="9"/>
      <c r="D976" s="3"/>
      <c r="G976" s="3"/>
      <c r="J976" s="3"/>
    </row>
    <row r="977">
      <c r="A977" s="9"/>
      <c r="D977" s="3"/>
      <c r="G977" s="3"/>
      <c r="J977" s="3"/>
    </row>
    <row r="978">
      <c r="A978" s="9"/>
      <c r="D978" s="3"/>
      <c r="G978" s="3"/>
      <c r="J978" s="3"/>
    </row>
    <row r="979">
      <c r="A979" s="9"/>
      <c r="D979" s="3"/>
      <c r="G979" s="3"/>
      <c r="J979" s="3"/>
    </row>
    <row r="980">
      <c r="A980" s="9"/>
      <c r="D980" s="3"/>
      <c r="G980" s="3"/>
      <c r="J980" s="3"/>
    </row>
    <row r="981">
      <c r="A981" s="9"/>
      <c r="D981" s="3"/>
      <c r="G981" s="3"/>
      <c r="J981" s="3"/>
    </row>
    <row r="982">
      <c r="A982" s="9"/>
      <c r="D982" s="3"/>
      <c r="G982" s="3"/>
      <c r="J982" s="3"/>
    </row>
    <row r="983">
      <c r="A983" s="9"/>
      <c r="D983" s="3"/>
      <c r="G983" s="3"/>
      <c r="J983" s="3"/>
    </row>
    <row r="984">
      <c r="A984" s="9"/>
      <c r="D984" s="3"/>
      <c r="G984" s="3"/>
      <c r="J984" s="3"/>
    </row>
    <row r="985">
      <c r="A985" s="9"/>
      <c r="D985" s="3"/>
      <c r="G985" s="3"/>
      <c r="J985" s="3"/>
    </row>
    <row r="986">
      <c r="A986" s="9"/>
      <c r="D986" s="3"/>
      <c r="G986" s="3"/>
      <c r="J986" s="3"/>
    </row>
    <row r="987">
      <c r="A987" s="9"/>
      <c r="D987" s="3"/>
      <c r="G987" s="3"/>
      <c r="J987" s="3"/>
    </row>
    <row r="988">
      <c r="A988" s="9"/>
      <c r="D988" s="3"/>
      <c r="G988" s="3"/>
      <c r="J988" s="3"/>
    </row>
    <row r="989">
      <c r="A989" s="9"/>
      <c r="D989" s="3"/>
      <c r="G989" s="3"/>
      <c r="J989" s="3"/>
    </row>
    <row r="990">
      <c r="A990" s="9"/>
      <c r="D990" s="3"/>
      <c r="G990" s="3"/>
      <c r="J990" s="3"/>
    </row>
    <row r="991">
      <c r="A991" s="9"/>
      <c r="D991" s="3"/>
      <c r="G991" s="3"/>
      <c r="J991" s="3"/>
    </row>
    <row r="992">
      <c r="A992" s="9"/>
      <c r="D992" s="3"/>
      <c r="G992" s="3"/>
      <c r="J992" s="3"/>
    </row>
    <row r="993">
      <c r="A993" s="9"/>
      <c r="D993" s="3"/>
      <c r="G993" s="3"/>
      <c r="J993" s="3"/>
    </row>
    <row r="994">
      <c r="A994" s="9"/>
      <c r="D994" s="3"/>
      <c r="G994" s="3"/>
      <c r="J994" s="3"/>
    </row>
    <row r="995">
      <c r="A995" s="9"/>
      <c r="D995" s="3"/>
      <c r="G995" s="3"/>
      <c r="J995" s="3"/>
    </row>
    <row r="996">
      <c r="A996" s="9"/>
      <c r="D996" s="3"/>
      <c r="G996" s="3"/>
      <c r="J996" s="3"/>
    </row>
    <row r="997">
      <c r="A997" s="9"/>
      <c r="D997" s="3"/>
      <c r="G997" s="3"/>
      <c r="J997" s="3"/>
    </row>
    <row r="998">
      <c r="A998" s="9"/>
      <c r="D998" s="3"/>
      <c r="G998" s="3"/>
      <c r="J998" s="3"/>
    </row>
    <row r="999">
      <c r="A999" s="9"/>
      <c r="D999" s="3"/>
      <c r="G999" s="3"/>
      <c r="J999" s="3"/>
    </row>
    <row r="1000">
      <c r="A1000" s="9"/>
      <c r="D1000" s="3"/>
      <c r="G1000" s="3"/>
      <c r="J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>
        <f>IFERROR(__xludf.DUMMYFUNCTION("IFERROR(QUERY(FEB_2023!A:I, ""SELECT * WHERE D IS NOT NULL AND UPPER(I) = 'PRIBADI'"", 1), ""Data PRIBADI belum ditemukan"")"),46054.0)</f>
        <v>46054</v>
      </c>
      <c r="B1" s="5" t="str">
        <f>IFERROR(__xludf.DUMMYFUNCTION("""COMPUTED_VALUE"""),"TARIKAN ATM 01/02")</f>
        <v>TARIKAN ATM 01/02</v>
      </c>
      <c r="C1" s="5" t="str">
        <f>IFERROR(__xludf.DUMMYFUNCTION("""COMPUTED_VALUE"""),"TARIKAN ATM 01/02")</f>
        <v>TARIKAN ATM 01/02</v>
      </c>
      <c r="D1" s="3">
        <f>IFERROR(__xludf.DUMMYFUNCTION("""COMPUTED_VALUE"""),500000.0)</f>
        <v>500000</v>
      </c>
      <c r="E1" s="5"/>
      <c r="F1" s="5"/>
      <c r="G1" s="3">
        <f>IFERROR(__xludf.DUMMYFUNCTION("""COMPUTED_VALUE"""),1.9932653245999998E8)</f>
        <v>199326532.5</v>
      </c>
      <c r="H1" s="5" t="str">
        <f>IFERROR(__xludf.DUMMYFUNCTION("""COMPUTED_VALUE"""),"199,326,532.46")</f>
        <v>199,326,532.46</v>
      </c>
      <c r="I1" s="5" t="str">
        <f>IFERROR(__xludf.DUMMYFUNCTION("""COMPUTED_VALUE"""),"PRIBADI")</f>
        <v>PRIBADI</v>
      </c>
      <c r="J1" s="3">
        <f>SUM(D2:D1000)</f>
        <v>34219410</v>
      </c>
    </row>
    <row r="2">
      <c r="A2" s="9">
        <f>IFERROR(__xludf.DUMMYFUNCTION("""COMPUTED_VALUE"""),46055.0)</f>
        <v>46055</v>
      </c>
      <c r="B2" s="5" t="str">
        <f>IFERROR(__xludf.DUMMYFUNCTION("""COMPUTED_VALUE"""),"BYR VIA E-BANKING")</f>
        <v>BYR VIA E-BANKING</v>
      </c>
      <c r="C2" s="5" t="str">
        <f>IFERROR(__xludf.DUMMYFUNCTION("""COMPUTED_VALUE"""),"02/02  WSID9503100 1220 TELKOMSEL 82318368518 MUHAMMAD HAIRUL MA")</f>
        <v>02/02  WSID9503100 1220 TELKOMSEL 82318368518 MUHAMMAD HAIRUL MA</v>
      </c>
      <c r="D2" s="3">
        <f>IFERROR(__xludf.DUMMYFUNCTION("""COMPUTED_VALUE"""),102000.0)</f>
        <v>102000</v>
      </c>
      <c r="E2" s="5"/>
      <c r="F2" s="5"/>
      <c r="G2" s="3">
        <f>IFERROR(__xludf.DUMMYFUNCTION("""COMPUTED_VALUE"""),1.1048777246000004E8)</f>
        <v>110487772.5</v>
      </c>
      <c r="H2" s="5"/>
      <c r="I2" s="5" t="str">
        <f>IFERROR(__xludf.DUMMYFUNCTION("""COMPUTED_VALUE"""),"PRIBADI")</f>
        <v>PRIBADI</v>
      </c>
      <c r="J2" s="3"/>
    </row>
    <row r="3">
      <c r="A3" s="9">
        <f>IFERROR(__xludf.DUMMYFUNCTION("""COMPUTED_VALUE"""),46055.0)</f>
        <v>46055</v>
      </c>
      <c r="B3" s="5" t="str">
        <f>IFERROR(__xludf.DUMMYFUNCTION("""COMPUTED_VALUE"""),"TRSF E-BANKING DB")</f>
        <v>TRSF E-BANKING DB</v>
      </c>
      <c r="C3" s="5" t="str">
        <f>IFERROR(__xludf.DUMMYFUNCTION("""COMPUTED_VALUE"""),"0202/FTSCY/WS95031 50000.00 byr uang bongkar k otrek BELLA SAGITA SARI")</f>
        <v>0202/FTSCY/WS95031 50000.00 byr uang bongkar k otrek BELLA SAGITA SARI</v>
      </c>
      <c r="D3" s="3">
        <f>IFERROR(__xludf.DUMMYFUNCTION("""COMPUTED_VALUE"""),50000.0)</f>
        <v>50000</v>
      </c>
      <c r="E3" s="5"/>
      <c r="F3" s="5" t="str">
        <f>IFERROR(__xludf.DUMMYFUNCTION("""COMPUTED_VALUE"""),"DB")</f>
        <v>DB</v>
      </c>
      <c r="G3" s="3">
        <f>IFERROR(__xludf.DUMMYFUNCTION("""COMPUTED_VALUE"""),4.878481246000004E7)</f>
        <v>48784812.46</v>
      </c>
      <c r="H3" s="5"/>
      <c r="I3" s="5" t="str">
        <f>IFERROR(__xludf.DUMMYFUNCTION("""COMPUTED_VALUE"""),"PRIBADI")</f>
        <v>PRIBADI</v>
      </c>
      <c r="J3" s="3"/>
    </row>
    <row r="4">
      <c r="A4" s="9">
        <f>IFERROR(__xludf.DUMMYFUNCTION("""COMPUTED_VALUE"""),46055.0)</f>
        <v>46055</v>
      </c>
      <c r="B4" s="5" t="str">
        <f>IFERROR(__xludf.DUMMYFUNCTION("""COMPUTED_VALUE"""),"BI-FAST DB")</f>
        <v>BI-FAST DB</v>
      </c>
      <c r="C4" s="5" t="str">
        <f>IFERROR(__xludf.DUMMYFUNCTION("""COMPUTED_VALUE"""),"BIF TRANSFER KE 8 MISWATI M-BCA")</f>
        <v>BIF TRANSFER KE 8 MISWATI M-BCA</v>
      </c>
      <c r="D4" s="3">
        <f>IFERROR(__xludf.DUMMYFUNCTION("""COMPUTED_VALUE"""),1700000.0)</f>
        <v>1700000</v>
      </c>
      <c r="E4" s="5"/>
      <c r="F4" s="5" t="str">
        <f>IFERROR(__xludf.DUMMYFUNCTION("""COMPUTED_VALUE"""),"DB")</f>
        <v>DB</v>
      </c>
      <c r="G4" s="3">
        <f>IFERROR(__xludf.DUMMYFUNCTION("""COMPUTED_VALUE"""),2.2435958746000004E8)</f>
        <v>224359587.5</v>
      </c>
      <c r="H4" s="5"/>
      <c r="I4" s="5" t="str">
        <f>IFERROR(__xludf.DUMMYFUNCTION("""COMPUTED_VALUE"""),"PRIBADI")</f>
        <v>PRIBADI</v>
      </c>
      <c r="J4" s="3"/>
    </row>
    <row r="5">
      <c r="A5" s="9">
        <f>IFERROR(__xludf.DUMMYFUNCTION("""COMPUTED_VALUE"""),46055.0)</f>
        <v>46055</v>
      </c>
      <c r="B5" s="5" t="str">
        <f>IFERROR(__xludf.DUMMYFUNCTION("""COMPUTED_VALUE"""),"TARIKAN ATM 02/02")</f>
        <v>TARIKAN ATM 02/02</v>
      </c>
      <c r="C5" s="5" t="str">
        <f>IFERROR(__xludf.DUMMYFUNCTION("""COMPUTED_VALUE"""),"TARIKAN ATM 02/02")</f>
        <v>TARIKAN ATM 02/02</v>
      </c>
      <c r="D5" s="3">
        <f>IFERROR(__xludf.DUMMYFUNCTION("""COMPUTED_VALUE"""),200000.0)</f>
        <v>200000</v>
      </c>
      <c r="E5" s="5"/>
      <c r="F5" s="5"/>
      <c r="G5" s="3">
        <f>IFERROR(__xludf.DUMMYFUNCTION("""COMPUTED_VALUE"""),9.207293746000004E7)</f>
        <v>92072937.46</v>
      </c>
      <c r="H5" s="5"/>
      <c r="I5" s="5" t="str">
        <f>IFERROR(__xludf.DUMMYFUNCTION("""COMPUTED_VALUE"""),"PRIBADI")</f>
        <v>PRIBADI</v>
      </c>
      <c r="J5" s="3"/>
    </row>
    <row r="6">
      <c r="A6" s="9">
        <f>IFERROR(__xludf.DUMMYFUNCTION("""COMPUTED_VALUE"""),46056.0)</f>
        <v>46056</v>
      </c>
      <c r="B6" s="5" t="str">
        <f>IFERROR(__xludf.DUMMYFUNCTION("""COMPUTED_VALUE"""),"TRSF E-BANKING DB TANGGAL :02/02")</f>
        <v>TRSF E-BANKING DB TANGGAL :02/02</v>
      </c>
      <c r="C6" s="5" t="str">
        <f>IFERROR(__xludf.DUMMYFUNCTION("""COMPUTED_VALUE"""),"0202/FTSCY/WS95031 setoran SANDI FAJAR PRASET")</f>
        <v>0202/FTSCY/WS95031 setoran SANDI FAJAR PRASET</v>
      </c>
      <c r="D6" s="3">
        <f>IFERROR(__xludf.DUMMYFUNCTION("""COMPUTED_VALUE"""),500000.0)</f>
        <v>500000</v>
      </c>
      <c r="E6" s="5"/>
      <c r="F6" s="5" t="str">
        <f>IFERROR(__xludf.DUMMYFUNCTION("""COMPUTED_VALUE"""),"DB")</f>
        <v>DB</v>
      </c>
      <c r="G6" s="3">
        <f>IFERROR(__xludf.DUMMYFUNCTION("""COMPUTED_VALUE"""),1026497.4600000381)</f>
        <v>1026497.46</v>
      </c>
      <c r="H6" s="5"/>
      <c r="I6" s="5" t="str">
        <f>IFERROR(__xludf.DUMMYFUNCTION("""COMPUTED_VALUE"""),"PRIBADI")</f>
        <v>PRIBADI</v>
      </c>
      <c r="J6" s="3"/>
    </row>
    <row r="7">
      <c r="A7" s="9">
        <f>IFERROR(__xludf.DUMMYFUNCTION("""COMPUTED_VALUE"""),46056.0)</f>
        <v>46056</v>
      </c>
      <c r="B7" s="5" t="str">
        <f>IFERROR(__xludf.DUMMYFUNCTION("""COMPUTED_VALUE"""),"TARIKAN ATM 03/02")</f>
        <v>TARIKAN ATM 03/02</v>
      </c>
      <c r="C7" s="5" t="str">
        <f>IFERROR(__xludf.DUMMYFUNCTION("""COMPUTED_VALUE"""),"TARIKAN ATM 03/02")</f>
        <v>TARIKAN ATM 03/02</v>
      </c>
      <c r="D7" s="3">
        <f>IFERROR(__xludf.DUMMYFUNCTION("""COMPUTED_VALUE"""),250000.0)</f>
        <v>250000</v>
      </c>
      <c r="E7" s="5"/>
      <c r="F7" s="5"/>
      <c r="G7" s="3">
        <f>IFERROR(__xludf.DUMMYFUNCTION("""COMPUTED_VALUE"""),8.1511094746E8)</f>
        <v>815110947.5</v>
      </c>
      <c r="H7" s="5"/>
      <c r="I7" s="5" t="str">
        <f>IFERROR(__xludf.DUMMYFUNCTION("""COMPUTED_VALUE"""),"PRIBADI")</f>
        <v>PRIBADI</v>
      </c>
      <c r="J7" s="3"/>
    </row>
    <row r="8">
      <c r="A8" s="9">
        <f>IFERROR(__xludf.DUMMYFUNCTION("""COMPUTED_VALUE"""),46057.0)</f>
        <v>46057</v>
      </c>
      <c r="B8" s="5" t="str">
        <f>IFERROR(__xludf.DUMMYFUNCTION("""COMPUTED_VALUE"""),"TARIKAN ATM 04/02")</f>
        <v>TARIKAN ATM 04/02</v>
      </c>
      <c r="C8" s="5" t="str">
        <f>IFERROR(__xludf.DUMMYFUNCTION("""COMPUTED_VALUE"""),"TARIKAN ATM 04/02")</f>
        <v>TARIKAN ATM 04/02</v>
      </c>
      <c r="D8" s="3">
        <f>IFERROR(__xludf.DUMMYFUNCTION("""COMPUTED_VALUE"""),200000.0)</f>
        <v>200000</v>
      </c>
      <c r="E8" s="5"/>
      <c r="F8" s="5"/>
      <c r="G8" s="3">
        <f>IFERROR(__xludf.DUMMYFUNCTION("""COMPUTED_VALUE"""),96847.46000003815)</f>
        <v>96847.46</v>
      </c>
      <c r="H8" s="5"/>
      <c r="I8" s="5" t="str">
        <f>IFERROR(__xludf.DUMMYFUNCTION("""COMPUTED_VALUE"""),"PRIBADI")</f>
        <v>PRIBADI</v>
      </c>
      <c r="J8" s="3"/>
    </row>
    <row r="9">
      <c r="A9" s="9">
        <f>IFERROR(__xludf.DUMMYFUNCTION("""COMPUTED_VALUE"""),46058.0)</f>
        <v>46058</v>
      </c>
      <c r="B9" s="5" t="str">
        <f>IFERROR(__xludf.DUMMYFUNCTION("""COMPUTED_VALUE"""),"BI-FAST DB")</f>
        <v>BI-FAST DB</v>
      </c>
      <c r="C9" s="5" t="str">
        <f>IFERROR(__xludf.DUMMYFUNCTION("""COMPUTED_VALUE"""),"BIF TRANSFER KE 8 SEMBILAN BINTANG L M-BCA")</f>
        <v>BIF TRANSFER KE 8 SEMBILAN BINTANG L M-BCA</v>
      </c>
      <c r="D9" s="3">
        <f>IFERROR(__xludf.DUMMYFUNCTION("""COMPUTED_VALUE"""),1.025E7)</f>
        <v>10250000</v>
      </c>
      <c r="E9" s="5"/>
      <c r="F9" s="5" t="str">
        <f>IFERROR(__xludf.DUMMYFUNCTION("""COMPUTED_VALUE"""),"DB")</f>
        <v>DB</v>
      </c>
      <c r="G9" s="3">
        <f>IFERROR(__xludf.DUMMYFUNCTION("""COMPUTED_VALUE"""),4.119105746000004E7)</f>
        <v>41191057.46</v>
      </c>
      <c r="H9" s="5"/>
      <c r="I9" s="5" t="str">
        <f>IFERROR(__xludf.DUMMYFUNCTION("""COMPUTED_VALUE"""),"PRIBADI")</f>
        <v>PRIBADI</v>
      </c>
      <c r="J9" s="3"/>
    </row>
    <row r="10">
      <c r="A10" s="9">
        <f>IFERROR(__xludf.DUMMYFUNCTION("""COMPUTED_VALUE"""),46059.0)</f>
        <v>46059</v>
      </c>
      <c r="B10" s="5" t="str">
        <f>IFERROR(__xludf.DUMMYFUNCTION("""COMPUTED_VALUE"""),"KARTU DEBIT TANGGAL :05/02")</f>
        <v>KARTU DEBIT TANGGAL :05/02</v>
      </c>
      <c r="C10" s="5" t="str">
        <f>IFERROR(__xludf.DUMMYFUNCTION("""COMPUTED_VALUE"""),"ALFAMRT Y207 BRTN")</f>
        <v>ALFAMRT Y207 BRTN</v>
      </c>
      <c r="D10" s="3">
        <f>IFERROR(__xludf.DUMMYFUNCTION("""COMPUTED_VALUE"""),293100.0)</f>
        <v>293100</v>
      </c>
      <c r="E10" s="5"/>
      <c r="F10" s="5"/>
      <c r="G10" s="3">
        <f>IFERROR(__xludf.DUMMYFUNCTION("""COMPUTED_VALUE"""),9.569195746000004E7)</f>
        <v>95691957.46</v>
      </c>
      <c r="H10" s="5"/>
      <c r="I10" s="5" t="str">
        <f>IFERROR(__xludf.DUMMYFUNCTION("""COMPUTED_VALUE"""),"PRIBADI")</f>
        <v>PRIBADI</v>
      </c>
      <c r="J10" s="3"/>
    </row>
    <row r="11">
      <c r="A11" s="9">
        <f>IFERROR(__xludf.DUMMYFUNCTION("""COMPUTED_VALUE"""),46059.0)</f>
        <v>46059</v>
      </c>
      <c r="B11" s="5" t="str">
        <f>IFERROR(__xludf.DUMMYFUNCTION("""COMPUTED_VALUE"""),"BI-FAST DB")</f>
        <v>BI-FAST DB</v>
      </c>
      <c r="C11" s="5" t="str">
        <f>IFERROR(__xludf.DUMMYFUNCTION("""COMPUTED_VALUE"""),"BIF TRANSFER KE 9 NOUVAL HOLQI RISKU M-BCA")</f>
        <v>BIF TRANSFER KE 9 NOUVAL HOLQI RISKU M-BCA</v>
      </c>
      <c r="D11" s="3">
        <f>IFERROR(__xludf.DUMMYFUNCTION("""COMPUTED_VALUE"""),100000.0)</f>
        <v>100000</v>
      </c>
      <c r="E11" s="5"/>
      <c r="F11" s="5" t="str">
        <f>IFERROR(__xludf.DUMMYFUNCTION("""COMPUTED_VALUE"""),"DB")</f>
        <v>DB</v>
      </c>
      <c r="G11" s="3">
        <f>IFERROR(__xludf.DUMMYFUNCTION("""COMPUTED_VALUE"""),3.042245746000004E7)</f>
        <v>30422457.46</v>
      </c>
      <c r="H11" s="5"/>
      <c r="I11" s="5" t="str">
        <f>IFERROR(__xludf.DUMMYFUNCTION("""COMPUTED_VALUE"""),"PRIBADI")</f>
        <v>PRIBADI</v>
      </c>
      <c r="J11" s="3"/>
    </row>
    <row r="12">
      <c r="A12" s="9">
        <f>IFERROR(__xludf.DUMMYFUNCTION("""COMPUTED_VALUE"""),46059.0)</f>
        <v>46059</v>
      </c>
      <c r="B12" s="5" t="str">
        <f>IFERROR(__xludf.DUMMYFUNCTION("""COMPUTED_VALUE"""),"TARIKAN ATM 06/02")</f>
        <v>TARIKAN ATM 06/02</v>
      </c>
      <c r="C12" s="5" t="str">
        <f>IFERROR(__xludf.DUMMYFUNCTION("""COMPUTED_VALUE"""),"TARIKAN ATM 06/02")</f>
        <v>TARIKAN ATM 06/02</v>
      </c>
      <c r="D12" s="3">
        <f>IFERROR(__xludf.DUMMYFUNCTION("""COMPUTED_VALUE"""),250000.0)</f>
        <v>250000</v>
      </c>
      <c r="E12" s="5"/>
      <c r="F12" s="5"/>
      <c r="G12" s="3">
        <f>IFERROR(__xludf.DUMMYFUNCTION("""COMPUTED_VALUE"""),1.9326331746000004E8)</f>
        <v>193263317.5</v>
      </c>
      <c r="H12" s="5" t="str">
        <f>IFERROR(__xludf.DUMMYFUNCTION("""COMPUTED_VALUE"""),"193,263,317.46")</f>
        <v>193,263,317.46</v>
      </c>
      <c r="I12" s="5" t="str">
        <f>IFERROR(__xludf.DUMMYFUNCTION("""COMPUTED_VALUE"""),"PRIBADI")</f>
        <v>PRIBADI</v>
      </c>
      <c r="J12" s="3"/>
    </row>
    <row r="13">
      <c r="A13" s="9">
        <f>IFERROR(__xludf.DUMMYFUNCTION("""COMPUTED_VALUE"""),46061.0)</f>
        <v>46061</v>
      </c>
      <c r="B13" s="5" t="str">
        <f>IFERROR(__xludf.DUMMYFUNCTION("""COMPUTED_VALUE"""),"TARIKAN ATM 08/02")</f>
        <v>TARIKAN ATM 08/02</v>
      </c>
      <c r="C13" s="5" t="str">
        <f>IFERROR(__xludf.DUMMYFUNCTION("""COMPUTED_VALUE"""),"TARIKAN ATM 08/02")</f>
        <v>TARIKAN ATM 08/02</v>
      </c>
      <c r="D13" s="3">
        <f>IFERROR(__xludf.DUMMYFUNCTION("""COMPUTED_VALUE"""),150000.0)</f>
        <v>150000</v>
      </c>
      <c r="E13" s="5"/>
      <c r="F13" s="5"/>
      <c r="G13" s="3">
        <f>IFERROR(__xludf.DUMMYFUNCTION("""COMPUTED_VALUE"""),1.5550255646000004E8)</f>
        <v>155502556.5</v>
      </c>
      <c r="H13" s="5"/>
      <c r="I13" s="5" t="str">
        <f>IFERROR(__xludf.DUMMYFUNCTION("""COMPUTED_VALUE"""),"PRIBADI")</f>
        <v>PRIBADI</v>
      </c>
      <c r="J13" s="3"/>
    </row>
    <row r="14">
      <c r="A14" s="9">
        <f>IFERROR(__xludf.DUMMYFUNCTION("""COMPUTED_VALUE"""),46061.0)</f>
        <v>46061</v>
      </c>
      <c r="B14" s="5" t="str">
        <f>IFERROR(__xludf.DUMMYFUNCTION("""COMPUTED_VALUE"""),"TARIKAN ATM 08/02")</f>
        <v>TARIKAN ATM 08/02</v>
      </c>
      <c r="C14" s="5" t="str">
        <f>IFERROR(__xludf.DUMMYFUNCTION("""COMPUTED_VALUE"""),"TARIKAN ATM 08/02")</f>
        <v>TARIKAN ATM 08/02</v>
      </c>
      <c r="D14" s="3">
        <f>IFERROR(__xludf.DUMMYFUNCTION("""COMPUTED_VALUE"""),150000.0)</f>
        <v>150000</v>
      </c>
      <c r="E14" s="5"/>
      <c r="F14" s="5"/>
      <c r="G14" s="3">
        <f>IFERROR(__xludf.DUMMYFUNCTION("""COMPUTED_VALUE"""),7.0387831646E8)</f>
        <v>703878316.5</v>
      </c>
      <c r="H14" s="5" t="str">
        <f>IFERROR(__xludf.DUMMYFUNCTION("""COMPUTED_VALUE"""),"703,878,316.46")</f>
        <v>703,878,316.46</v>
      </c>
      <c r="I14" s="5" t="str">
        <f>IFERROR(__xludf.DUMMYFUNCTION("""COMPUTED_VALUE"""),"PRIBADI")</f>
        <v>PRIBADI</v>
      </c>
      <c r="J14" s="3"/>
    </row>
    <row r="15">
      <c r="A15" s="9">
        <f>IFERROR(__xludf.DUMMYFUNCTION("""COMPUTED_VALUE"""),46062.0)</f>
        <v>46062</v>
      </c>
      <c r="B15" s="5" t="str">
        <f>IFERROR(__xludf.DUMMYFUNCTION("""COMPUTED_VALUE"""),"BI-FAST DB")</f>
        <v>BI-FAST DB</v>
      </c>
      <c r="C15" s="5" t="str">
        <f>IFERROR(__xludf.DUMMYFUNCTION("""COMPUTED_VALUE"""),"BIF TRANSFER KE 9 AHMAD LUTHFI FADHI M-BCA")</f>
        <v>BIF TRANSFER KE 9 AHMAD LUTHFI FADHI M-BCA</v>
      </c>
      <c r="D15" s="3">
        <f>IFERROR(__xludf.DUMMYFUNCTION("""COMPUTED_VALUE"""),208000.0)</f>
        <v>208000</v>
      </c>
      <c r="E15" s="5"/>
      <c r="F15" s="5" t="str">
        <f>IFERROR(__xludf.DUMMYFUNCTION("""COMPUTED_VALUE"""),"DB")</f>
        <v>DB</v>
      </c>
      <c r="G15" s="3">
        <f>IFERROR(__xludf.DUMMYFUNCTION("""COMPUTED_VALUE"""),2.507317646000004E7)</f>
        <v>25073176.46</v>
      </c>
      <c r="H15" s="5"/>
      <c r="I15" s="5" t="str">
        <f>IFERROR(__xludf.DUMMYFUNCTION("""COMPUTED_VALUE"""),"PRIBADI")</f>
        <v>PRIBADI</v>
      </c>
      <c r="J15" s="3"/>
    </row>
    <row r="16">
      <c r="A16" s="9">
        <f>IFERROR(__xludf.DUMMYFUNCTION("""COMPUTED_VALUE"""),46062.0)</f>
        <v>46062</v>
      </c>
      <c r="B16" s="5" t="str">
        <f>IFERROR(__xludf.DUMMYFUNCTION("""COMPUTED_VALUE"""),"TARIKAN ATM 09/02")</f>
        <v>TARIKAN ATM 09/02</v>
      </c>
      <c r="C16" s="5" t="str">
        <f>IFERROR(__xludf.DUMMYFUNCTION("""COMPUTED_VALUE"""),"TARIKAN ATM 09/02")</f>
        <v>TARIKAN ATM 09/02</v>
      </c>
      <c r="D16" s="3">
        <f>IFERROR(__xludf.DUMMYFUNCTION("""COMPUTED_VALUE"""),500000.0)</f>
        <v>500000</v>
      </c>
      <c r="E16" s="5"/>
      <c r="F16" s="5"/>
      <c r="G16" s="3">
        <f>IFERROR(__xludf.DUMMYFUNCTION("""COMPUTED_VALUE"""),1.6398402646000004E8)</f>
        <v>163984026.5</v>
      </c>
      <c r="H16" s="5"/>
      <c r="I16" s="5" t="str">
        <f>IFERROR(__xludf.DUMMYFUNCTION("""COMPUTED_VALUE"""),"PRIBADI")</f>
        <v>PRIBADI</v>
      </c>
      <c r="J16" s="3"/>
    </row>
    <row r="17">
      <c r="A17" s="9">
        <f>IFERROR(__xludf.DUMMYFUNCTION("""COMPUTED_VALUE"""),46064.0)</f>
        <v>46064</v>
      </c>
      <c r="B17" s="5" t="str">
        <f>IFERROR(__xludf.DUMMYFUNCTION("""COMPUTED_VALUE"""),"BI-FAST DB")</f>
        <v>BI-FAST DB</v>
      </c>
      <c r="C17" s="5" t="str">
        <f>IFERROR(__xludf.DUMMYFUNCTION("""COMPUTED_VALUE"""),"BIF TRANSFER KE 11 ADIRA MUHAMMAD HAI M-BCA")</f>
        <v>BIF TRANSFER KE 11 ADIRA MUHAMMAD HAI M-BCA</v>
      </c>
      <c r="D17" s="3">
        <f>IFERROR(__xludf.DUMMYFUNCTION("""COMPUTED_VALUE"""),2641000.0)</f>
        <v>2641000</v>
      </c>
      <c r="E17" s="5"/>
      <c r="F17" s="5" t="str">
        <f>IFERROR(__xludf.DUMMYFUNCTION("""COMPUTED_VALUE"""),"DB")</f>
        <v>DB</v>
      </c>
      <c r="G17" s="3">
        <f>IFERROR(__xludf.DUMMYFUNCTION("""COMPUTED_VALUE"""),6244986.460000038)</f>
        <v>6244986.46</v>
      </c>
      <c r="H17" s="5" t="str">
        <f>IFERROR(__xludf.DUMMYFUNCTION("""COMPUTED_VALUE"""),"6,244,986.46")</f>
        <v>6,244,986.46</v>
      </c>
      <c r="I17" s="5" t="str">
        <f>IFERROR(__xludf.DUMMYFUNCTION("""COMPUTED_VALUE"""),"PRIBADI")</f>
        <v>PRIBADI</v>
      </c>
      <c r="J17" s="3"/>
    </row>
    <row r="18">
      <c r="A18" s="9">
        <f>IFERROR(__xludf.DUMMYFUNCTION("""COMPUTED_VALUE"""),46064.0)</f>
        <v>46064</v>
      </c>
      <c r="B18" s="5" t="str">
        <f>IFERROR(__xludf.DUMMYFUNCTION("""COMPUTED_VALUE"""),"BYR VIA E-BANKING")</f>
        <v>BYR VIA E-BANKING</v>
      </c>
      <c r="C18" s="5" t="str">
        <f>IFERROR(__xludf.DUMMYFUNCTION("""COMPUTED_VALUE"""),"11/02  WSID9503101 0507 FIF 803001249921 MUHAMMAD HAIRUL MA")</f>
        <v>11/02  WSID9503101 0507 FIF 803001249921 MUHAMMAD HAIRUL MA</v>
      </c>
      <c r="D18" s="3">
        <f>IFERROR(__xludf.DUMMYFUNCTION("""COMPUTED_VALUE"""),750000.0)</f>
        <v>750000</v>
      </c>
      <c r="E18" s="5"/>
      <c r="F18" s="5"/>
      <c r="G18" s="3">
        <f>IFERROR(__xludf.DUMMYFUNCTION("""COMPUTED_VALUE"""),5492486.460000038)</f>
        <v>5492486.46</v>
      </c>
      <c r="H18" s="5"/>
      <c r="I18" s="5" t="str">
        <f>IFERROR(__xludf.DUMMYFUNCTION("""COMPUTED_VALUE"""),"PRIBADI")</f>
        <v>PRIBADI</v>
      </c>
      <c r="J18" s="3"/>
    </row>
    <row r="19">
      <c r="A19" s="9">
        <f>IFERROR(__xludf.DUMMYFUNCTION("""COMPUTED_VALUE"""),46064.0)</f>
        <v>46064</v>
      </c>
      <c r="B19" s="5" t="str">
        <f>IFERROR(__xludf.DUMMYFUNCTION("""COMPUTED_VALUE"""),"BI-FAST DB")</f>
        <v>BI-FAST DB</v>
      </c>
      <c r="C19" s="5" t="str">
        <f>IFERROR(__xludf.DUMMYFUNCTION("""COMPUTED_VALUE"""),"BIF TRANSFER KE 2 TURYADI M-BCA")</f>
        <v>BIF TRANSFER KE 2 TURYADI M-BCA</v>
      </c>
      <c r="D19" s="3">
        <f>IFERROR(__xludf.DUMMYFUNCTION("""COMPUTED_VALUE"""),1525000.0)</f>
        <v>1525000</v>
      </c>
      <c r="E19" s="5"/>
      <c r="F19" s="5" t="str">
        <f>IFERROR(__xludf.DUMMYFUNCTION("""COMPUTED_VALUE"""),"DB")</f>
        <v>DB</v>
      </c>
      <c r="G19" s="3">
        <f>IFERROR(__xludf.DUMMYFUNCTION("""COMPUTED_VALUE"""),3967486.460000038)</f>
        <v>3967486.46</v>
      </c>
      <c r="H19" s="5"/>
      <c r="I19" s="5" t="str">
        <f>IFERROR(__xludf.DUMMYFUNCTION("""COMPUTED_VALUE"""),"PRIBADI")</f>
        <v>PRIBADI</v>
      </c>
      <c r="J19" s="3"/>
    </row>
    <row r="20">
      <c r="A20" s="9">
        <f>IFERROR(__xludf.DUMMYFUNCTION("""COMPUTED_VALUE"""),46064.0)</f>
        <v>46064</v>
      </c>
      <c r="B20" s="5" t="str">
        <f>IFERROR(__xludf.DUMMYFUNCTION("""COMPUTED_VALUE"""),"TRSF E-BANKING DB")</f>
        <v>TRSF E-BANKING DB</v>
      </c>
      <c r="C20" s="5" t="str">
        <f>IFERROR(__xludf.DUMMYFUNCTION("""COMPUTED_VALUE"""),"1102/FTSCY/WS95031 50000.00 MUKLIS")</f>
        <v>1102/FTSCY/WS95031 50000.00 MUKLIS</v>
      </c>
      <c r="D20" s="3">
        <f>IFERROR(__xludf.DUMMYFUNCTION("""COMPUTED_VALUE"""),50000.0)</f>
        <v>50000</v>
      </c>
      <c r="E20" s="5"/>
      <c r="F20" s="5" t="str">
        <f>IFERROR(__xludf.DUMMYFUNCTION("""COMPUTED_VALUE"""),"DB")</f>
        <v>DB</v>
      </c>
      <c r="G20" s="3">
        <f>IFERROR(__xludf.DUMMYFUNCTION("""COMPUTED_VALUE"""),2.8161625146000004E8)</f>
        <v>281616251.5</v>
      </c>
      <c r="H20" s="5"/>
      <c r="I20" s="5" t="str">
        <f>IFERROR(__xludf.DUMMYFUNCTION("""COMPUTED_VALUE"""),"PRIBADI")</f>
        <v>PRIBADI</v>
      </c>
      <c r="J20" s="3"/>
    </row>
    <row r="21">
      <c r="A21" s="9">
        <f>IFERROR(__xludf.DUMMYFUNCTION("""COMPUTED_VALUE"""),46064.0)</f>
        <v>46064</v>
      </c>
      <c r="B21" s="5" t="str">
        <f>IFERROR(__xludf.DUMMYFUNCTION("""COMPUTED_VALUE"""),"BI-FAST DB")</f>
        <v>BI-FAST DB</v>
      </c>
      <c r="C21" s="5" t="str">
        <f>IFERROR(__xludf.DUMMYFUNCTION("""COMPUTED_VALUE"""),"BIF TRANSFER KE 9 NOUVAL HOLQI RISKU M-BCA")</f>
        <v>BIF TRANSFER KE 9 NOUVAL HOLQI RISKU M-BCA</v>
      </c>
      <c r="D21" s="3">
        <f>IFERROR(__xludf.DUMMYFUNCTION("""COMPUTED_VALUE"""),135000.0)</f>
        <v>135000</v>
      </c>
      <c r="E21" s="5"/>
      <c r="F21" s="5" t="str">
        <f>IFERROR(__xludf.DUMMYFUNCTION("""COMPUTED_VALUE"""),"DB")</f>
        <v>DB</v>
      </c>
      <c r="G21" s="3">
        <f>IFERROR(__xludf.DUMMYFUNCTION("""COMPUTED_VALUE"""),2.8148125146000004E8)</f>
        <v>281481251.5</v>
      </c>
      <c r="H21" s="5"/>
      <c r="I21" s="5" t="str">
        <f>IFERROR(__xludf.DUMMYFUNCTION("""COMPUTED_VALUE"""),"PRIBADI")</f>
        <v>PRIBADI</v>
      </c>
      <c r="J21" s="3"/>
    </row>
    <row r="22">
      <c r="A22" s="9">
        <f>IFERROR(__xludf.DUMMYFUNCTION("""COMPUTED_VALUE"""),46064.0)</f>
        <v>46064</v>
      </c>
      <c r="B22" s="5" t="str">
        <f>IFERROR(__xludf.DUMMYFUNCTION("""COMPUTED_VALUE"""),"TARIKAN ATM 11/02")</f>
        <v>TARIKAN ATM 11/02</v>
      </c>
      <c r="C22" s="5" t="str">
        <f>IFERROR(__xludf.DUMMYFUNCTION("""COMPUTED_VALUE"""),"TARIKAN ATM 11/02")</f>
        <v>TARIKAN ATM 11/02</v>
      </c>
      <c r="D22" s="3">
        <f>IFERROR(__xludf.DUMMYFUNCTION("""COMPUTED_VALUE"""),500000.0)</f>
        <v>500000</v>
      </c>
      <c r="E22" s="5"/>
      <c r="F22" s="5"/>
      <c r="G22" s="3">
        <f>IFERROR(__xludf.DUMMYFUNCTION("""COMPUTED_VALUE"""),2.8097875146000004E8)</f>
        <v>280978751.5</v>
      </c>
      <c r="H22" s="5"/>
      <c r="I22" s="5" t="str">
        <f>IFERROR(__xludf.DUMMYFUNCTION("""COMPUTED_VALUE"""),"PRIBADI")</f>
        <v>PRIBADI</v>
      </c>
      <c r="J22" s="3"/>
    </row>
    <row r="23">
      <c r="A23" s="9">
        <f>IFERROR(__xludf.DUMMYFUNCTION("""COMPUTED_VALUE"""),46064.0)</f>
        <v>46064</v>
      </c>
      <c r="B23" s="5" t="str">
        <f>IFERROR(__xludf.DUMMYFUNCTION("""COMPUTED_VALUE"""),"KARTU DEBIT")</f>
        <v>KARTU DEBIT</v>
      </c>
      <c r="C23" s="5" t="str">
        <f>IFERROR(__xludf.DUMMYFUNCTION("""COMPUTED_VALUE"""),"ALFAMRT Y073 SUDI 6019009510239343")</f>
        <v>ALFAMRT Y073 SUDI 6019009510239343</v>
      </c>
      <c r="D23" s="3">
        <f>IFERROR(__xludf.DUMMYFUNCTION("""COMPUTED_VALUE"""),218500.0)</f>
        <v>218500</v>
      </c>
      <c r="E23" s="5"/>
      <c r="F23" s="5"/>
      <c r="G23" s="3">
        <f>IFERROR(__xludf.DUMMYFUNCTION("""COMPUTED_VALUE"""),5.1003850146000004E8)</f>
        <v>510038501.5</v>
      </c>
      <c r="H23" s="5"/>
      <c r="I23" s="5" t="str">
        <f>IFERROR(__xludf.DUMMYFUNCTION("""COMPUTED_VALUE"""),"PRIBADI")</f>
        <v>PRIBADI</v>
      </c>
      <c r="J23" s="3"/>
    </row>
    <row r="24">
      <c r="A24" s="9">
        <f>IFERROR(__xludf.DUMMYFUNCTION("""COMPUTED_VALUE"""),46066.0)</f>
        <v>46066</v>
      </c>
      <c r="B24" s="5" t="str">
        <f>IFERROR(__xludf.DUMMYFUNCTION("""COMPUTED_VALUE"""),"TRSF E-BANKING DB")</f>
        <v>TRSF E-BANKING DB</v>
      </c>
      <c r="C24" s="5" t="str">
        <f>IFERROR(__xludf.DUMMYFUNCTION("""COMPUTED_VALUE"""),"1302/FTFVA/WS95031 26689/TIKTOK SHOP - -2753633888715")</f>
        <v>1302/FTFVA/WS95031 26689/TIKTOK SHOP - -2753633888715</v>
      </c>
      <c r="D24" s="3">
        <f>IFERROR(__xludf.DUMMYFUNCTION("""COMPUTED_VALUE"""),105000.0)</f>
        <v>105000</v>
      </c>
      <c r="E24" s="5"/>
      <c r="F24" s="5" t="str">
        <f>IFERROR(__xludf.DUMMYFUNCTION("""COMPUTED_VALUE"""),"DB")</f>
        <v>DB</v>
      </c>
      <c r="G24" s="3">
        <f>IFERROR(__xludf.DUMMYFUNCTION("""COMPUTED_VALUE"""),3.1343755146000004E8)</f>
        <v>313437551.5</v>
      </c>
      <c r="H24" s="5"/>
      <c r="I24" s="5" t="str">
        <f>IFERROR(__xludf.DUMMYFUNCTION("""COMPUTED_VALUE"""),"PRIBADI")</f>
        <v>PRIBADI</v>
      </c>
      <c r="J24" s="3"/>
    </row>
    <row r="25">
      <c r="A25" s="9">
        <f>IFERROR(__xludf.DUMMYFUNCTION("""COMPUTED_VALUE"""),46066.0)</f>
        <v>46066</v>
      </c>
      <c r="B25" s="5" t="str">
        <f>IFERROR(__xludf.DUMMYFUNCTION("""COMPUTED_VALUE"""),"TRSF E-BANKING DB")</f>
        <v>TRSF E-BANKING DB</v>
      </c>
      <c r="C25" s="5" t="str">
        <f>IFERROR(__xludf.DUMMYFUNCTION("""COMPUTED_VALUE"""),"1302/FTSCY/WS95031 32000.00 aini DESI NOURMA EKA WU")</f>
        <v>1302/FTSCY/WS95031 32000.00 aini DESI NOURMA EKA WU</v>
      </c>
      <c r="D25" s="3">
        <f>IFERROR(__xludf.DUMMYFUNCTION("""COMPUTED_VALUE"""),32000.0)</f>
        <v>32000</v>
      </c>
      <c r="E25" s="5"/>
      <c r="F25" s="5" t="str">
        <f>IFERROR(__xludf.DUMMYFUNCTION("""COMPUTED_VALUE"""),"DB")</f>
        <v>DB</v>
      </c>
      <c r="G25" s="3">
        <f>IFERROR(__xludf.DUMMYFUNCTION("""COMPUTED_VALUE"""),5.632670146000004E7)</f>
        <v>56326701.46</v>
      </c>
      <c r="H25" s="5"/>
      <c r="I25" s="5" t="str">
        <f>IFERROR(__xludf.DUMMYFUNCTION("""COMPUTED_VALUE"""),"PRIBADI")</f>
        <v>PRIBADI</v>
      </c>
      <c r="J25" s="3"/>
    </row>
    <row r="26">
      <c r="A26" s="9">
        <f>IFERROR(__xludf.DUMMYFUNCTION("""COMPUTED_VALUE"""),46068.0)</f>
        <v>46068</v>
      </c>
      <c r="B26" s="5" t="str">
        <f>IFERROR(__xludf.DUMMYFUNCTION("""COMPUTED_VALUE"""),"BI-FAST DB")</f>
        <v>BI-FAST DB</v>
      </c>
      <c r="C26" s="5" t="str">
        <f>IFERROR(__xludf.DUMMYFUNCTION("""COMPUTED_VALUE"""),"BIF TRANSFER KE 8 MISWATI M-BCA")</f>
        <v>BIF TRANSFER KE 8 MISWATI M-BCA</v>
      </c>
      <c r="D26" s="3">
        <f>IFERROR(__xludf.DUMMYFUNCTION("""COMPUTED_VALUE"""),4300000.0)</f>
        <v>4300000</v>
      </c>
      <c r="E26" s="5"/>
      <c r="F26" s="5" t="str">
        <f>IFERROR(__xludf.DUMMYFUNCTION("""COMPUTED_VALUE"""),"DB")</f>
        <v>DB</v>
      </c>
      <c r="G26" s="3">
        <f>IFERROR(__xludf.DUMMYFUNCTION("""COMPUTED_VALUE"""),6.467679146000004E7)</f>
        <v>64676791.46</v>
      </c>
      <c r="H26" s="5"/>
      <c r="I26" s="5" t="str">
        <f>IFERROR(__xludf.DUMMYFUNCTION("""COMPUTED_VALUE"""),"PRIBADI")</f>
        <v>PRIBADI</v>
      </c>
      <c r="J26" s="3"/>
    </row>
    <row r="27">
      <c r="A27" s="9">
        <f>IFERROR(__xludf.DUMMYFUNCTION("""COMPUTED_VALUE"""),46069.0)</f>
        <v>46069</v>
      </c>
      <c r="B27" s="5" t="str">
        <f>IFERROR(__xludf.DUMMYFUNCTION("""COMPUTED_VALUE"""),"TARIKAN ATM 16/02")</f>
        <v>TARIKAN ATM 16/02</v>
      </c>
      <c r="C27" s="5" t="str">
        <f>IFERROR(__xludf.DUMMYFUNCTION("""COMPUTED_VALUE"""),"TARIKAN ATM 16/02")</f>
        <v>TARIKAN ATM 16/02</v>
      </c>
      <c r="D27" s="3">
        <f>IFERROR(__xludf.DUMMYFUNCTION("""COMPUTED_VALUE"""),250000.0)</f>
        <v>250000</v>
      </c>
      <c r="E27" s="5"/>
      <c r="F27" s="5"/>
      <c r="G27" s="3">
        <f>IFERROR(__xludf.DUMMYFUNCTION("""COMPUTED_VALUE"""),2.1775385146000004E8)</f>
        <v>217753851.5</v>
      </c>
      <c r="H27" s="5"/>
      <c r="I27" s="5" t="str">
        <f>IFERROR(__xludf.DUMMYFUNCTION("""COMPUTED_VALUE"""),"PRIBADI")</f>
        <v>PRIBADI</v>
      </c>
      <c r="J27" s="3"/>
    </row>
    <row r="28">
      <c r="A28" s="9">
        <f>IFERROR(__xludf.DUMMYFUNCTION("""COMPUTED_VALUE"""),46070.0)</f>
        <v>46070</v>
      </c>
      <c r="B28" s="5" t="str">
        <f>IFERROR(__xludf.DUMMYFUNCTION("""COMPUTED_VALUE"""),"BYR VIA E-BANKING")</f>
        <v>BYR VIA E-BANKING</v>
      </c>
      <c r="C28" s="5" t="str">
        <f>IFERROR(__xludf.DUMMYFUNCTION("""COMPUTED_VALUE"""),"17/02  WSID9503100 0865 PLN PREPAID 32104859353 MUHAMMAD HAIRUL MA")</f>
        <v>17/02  WSID9503100 0865 PLN PREPAID 32104859353 MUHAMMAD HAIRUL MA</v>
      </c>
      <c r="D28" s="3">
        <f>IFERROR(__xludf.DUMMYFUNCTION("""COMPUTED_VALUE"""),102500.0)</f>
        <v>102500</v>
      </c>
      <c r="E28" s="5"/>
      <c r="F28" s="5"/>
      <c r="G28" s="3">
        <f>IFERROR(__xludf.DUMMYFUNCTION("""COMPUTED_VALUE"""),1.6608051460000038E7)</f>
        <v>16608051.46</v>
      </c>
      <c r="H28" s="5"/>
      <c r="I28" s="5" t="str">
        <f>IFERROR(__xludf.DUMMYFUNCTION("""COMPUTED_VALUE"""),"PRIBADI")</f>
        <v>PRIBADI</v>
      </c>
      <c r="J28" s="3"/>
    </row>
    <row r="29">
      <c r="A29" s="9">
        <f>IFERROR(__xludf.DUMMYFUNCTION("""COMPUTED_VALUE"""),46071.0)</f>
        <v>46071</v>
      </c>
      <c r="B29" s="5" t="str">
        <f>IFERROR(__xludf.DUMMYFUNCTION("""COMPUTED_VALUE"""),"TARIKAN ATM 17/02")</f>
        <v>TARIKAN ATM 17/02</v>
      </c>
      <c r="C29" s="5" t="str">
        <f>IFERROR(__xludf.DUMMYFUNCTION("""COMPUTED_VALUE"""),"TARIKAN ATM 17/02")</f>
        <v>TARIKAN ATM 17/02</v>
      </c>
      <c r="D29" s="3">
        <f>IFERROR(__xludf.DUMMYFUNCTION("""COMPUTED_VALUE"""),300000.0)</f>
        <v>300000</v>
      </c>
      <c r="E29" s="5"/>
      <c r="F29" s="5"/>
      <c r="G29" s="3">
        <f>IFERROR(__xludf.DUMMYFUNCTION("""COMPUTED_VALUE"""),1.1371615146000004E8)</f>
        <v>113716151.5</v>
      </c>
      <c r="H29" s="5"/>
      <c r="I29" s="5" t="str">
        <f>IFERROR(__xludf.DUMMYFUNCTION("""COMPUTED_VALUE"""),"PRIBADI")</f>
        <v>PRIBADI</v>
      </c>
      <c r="J29" s="3"/>
    </row>
    <row r="30">
      <c r="A30" s="9">
        <f>IFERROR(__xludf.DUMMYFUNCTION("""COMPUTED_VALUE"""),46071.0)</f>
        <v>46071</v>
      </c>
      <c r="B30" s="5" t="str">
        <f>IFERROR(__xludf.DUMMYFUNCTION("""COMPUTED_VALUE"""),"TARIKAN ATM 18/02")</f>
        <v>TARIKAN ATM 18/02</v>
      </c>
      <c r="C30" s="5" t="str">
        <f>IFERROR(__xludf.DUMMYFUNCTION("""COMPUTED_VALUE"""),"TARIKAN ATM 18/02")</f>
        <v>TARIKAN ATM 18/02</v>
      </c>
      <c r="D30" s="3">
        <f>IFERROR(__xludf.DUMMYFUNCTION("""COMPUTED_VALUE"""),200000.0)</f>
        <v>200000</v>
      </c>
      <c r="E30" s="5"/>
      <c r="F30" s="5"/>
      <c r="G30" s="3">
        <f>IFERROR(__xludf.DUMMYFUNCTION("""COMPUTED_VALUE"""),1.1351615146000004E8)</f>
        <v>113516151.5</v>
      </c>
      <c r="H30" s="5"/>
      <c r="I30" s="5" t="str">
        <f>IFERROR(__xludf.DUMMYFUNCTION("""COMPUTED_VALUE"""),"PRIBADI")</f>
        <v>PRIBADI</v>
      </c>
      <c r="J30" s="3"/>
    </row>
    <row r="31">
      <c r="A31" s="9">
        <f>IFERROR(__xludf.DUMMYFUNCTION("""COMPUTED_VALUE"""),46072.0)</f>
        <v>46072</v>
      </c>
      <c r="B31" s="5" t="str">
        <f>IFERROR(__xludf.DUMMYFUNCTION("""COMPUTED_VALUE"""),"TARIKAN ATM 19/02")</f>
        <v>TARIKAN ATM 19/02</v>
      </c>
      <c r="C31" s="5" t="str">
        <f>IFERROR(__xludf.DUMMYFUNCTION("""COMPUTED_VALUE"""),"TARIKAN ATM 19/02")</f>
        <v>TARIKAN ATM 19/02</v>
      </c>
      <c r="D31" s="3">
        <f>IFERROR(__xludf.DUMMYFUNCTION("""COMPUTED_VALUE"""),400000.0)</f>
        <v>400000</v>
      </c>
      <c r="E31" s="5"/>
      <c r="F31" s="5"/>
      <c r="G31" s="3">
        <f>IFERROR(__xludf.DUMMYFUNCTION("""COMPUTED_VALUE"""),154071.46000003815)</f>
        <v>154071.46</v>
      </c>
      <c r="H31" s="5" t="str">
        <f>IFERROR(__xludf.DUMMYFUNCTION("""COMPUTED_VALUE"""),"154,071.46")</f>
        <v>154,071.46</v>
      </c>
      <c r="I31" s="5" t="str">
        <f>IFERROR(__xludf.DUMMYFUNCTION("""COMPUTED_VALUE"""),"PRIBADI")</f>
        <v>PRIBADI</v>
      </c>
      <c r="J31" s="3"/>
    </row>
    <row r="32">
      <c r="A32" s="9">
        <f>IFERROR(__xludf.DUMMYFUNCTION("""COMPUTED_VALUE"""),46073.0)</f>
        <v>46073</v>
      </c>
      <c r="B32" s="5" t="str">
        <f>IFERROR(__xludf.DUMMYFUNCTION("""COMPUTED_VALUE"""),"TARIKAN ATM 20/02")</f>
        <v>TARIKAN ATM 20/02</v>
      </c>
      <c r="C32" s="5" t="str">
        <f>IFERROR(__xludf.DUMMYFUNCTION("""COMPUTED_VALUE"""),"TARIKAN ATM 20/02")</f>
        <v>TARIKAN ATM 20/02</v>
      </c>
      <c r="D32" s="3">
        <f>IFERROR(__xludf.DUMMYFUNCTION("""COMPUTED_VALUE"""),200000.0)</f>
        <v>200000</v>
      </c>
      <c r="E32" s="5"/>
      <c r="F32" s="5"/>
      <c r="G32" s="3">
        <f>IFERROR(__xludf.DUMMYFUNCTION("""COMPUTED_VALUE"""),1.8826637146000004E8)</f>
        <v>188266371.5</v>
      </c>
      <c r="H32" s="5"/>
      <c r="I32" s="5" t="str">
        <f>IFERROR(__xludf.DUMMYFUNCTION("""COMPUTED_VALUE"""),"PRIBADI")</f>
        <v>PRIBADI</v>
      </c>
      <c r="J32" s="3"/>
    </row>
    <row r="33">
      <c r="A33" s="9">
        <f>IFERROR(__xludf.DUMMYFUNCTION("""COMPUTED_VALUE"""),46073.0)</f>
        <v>46073</v>
      </c>
      <c r="B33" s="5" t="str">
        <f>IFERROR(__xludf.DUMMYFUNCTION("""COMPUTED_VALUE"""),"TARIKAN ATM 20/02")</f>
        <v>TARIKAN ATM 20/02</v>
      </c>
      <c r="C33" s="5" t="str">
        <f>IFERROR(__xludf.DUMMYFUNCTION("""COMPUTED_VALUE"""),"TARIKAN ATM 20/02")</f>
        <v>TARIKAN ATM 20/02</v>
      </c>
      <c r="D33" s="3">
        <f>IFERROR(__xludf.DUMMYFUNCTION("""COMPUTED_VALUE"""),1000000.0)</f>
        <v>1000000</v>
      </c>
      <c r="E33" s="5"/>
      <c r="F33" s="5"/>
      <c r="G33" s="3">
        <f>IFERROR(__xludf.DUMMYFUNCTION("""COMPUTED_VALUE"""),9.009377146000004E7)</f>
        <v>90093771.46</v>
      </c>
      <c r="H33" s="5"/>
      <c r="I33" s="5" t="str">
        <f>IFERROR(__xludf.DUMMYFUNCTION("""COMPUTED_VALUE"""),"PRIBADI")</f>
        <v>PRIBADI</v>
      </c>
      <c r="J33" s="3"/>
    </row>
    <row r="34">
      <c r="A34" s="9">
        <f>IFERROR(__xludf.DUMMYFUNCTION("""COMPUTED_VALUE"""),46073.0)</f>
        <v>46073</v>
      </c>
      <c r="B34" s="5" t="str">
        <f>IFERROR(__xludf.DUMMYFUNCTION("""COMPUTED_VALUE"""),"TARIKAN ATM 20/02")</f>
        <v>TARIKAN ATM 20/02</v>
      </c>
      <c r="C34" s="5" t="str">
        <f>IFERROR(__xludf.DUMMYFUNCTION("""COMPUTED_VALUE"""),"TARIKAN ATM 20/02")</f>
        <v>TARIKAN ATM 20/02</v>
      </c>
      <c r="D34" s="3">
        <f>IFERROR(__xludf.DUMMYFUNCTION("""COMPUTED_VALUE"""),900000.0)</f>
        <v>900000</v>
      </c>
      <c r="E34" s="5"/>
      <c r="F34" s="5"/>
      <c r="G34" s="3">
        <f>IFERROR(__xludf.DUMMYFUNCTION("""COMPUTED_VALUE"""),8.919377146000004E7)</f>
        <v>89193771.46</v>
      </c>
      <c r="H34" s="5"/>
      <c r="I34" s="5" t="str">
        <f>IFERROR(__xludf.DUMMYFUNCTION("""COMPUTED_VALUE"""),"PRIBADI")</f>
        <v>PRIBADI</v>
      </c>
      <c r="J34" s="3"/>
    </row>
    <row r="35">
      <c r="A35" s="9">
        <f>IFERROR(__xludf.DUMMYFUNCTION("""COMPUTED_VALUE"""),46074.0)</f>
        <v>46074</v>
      </c>
      <c r="B35" s="5" t="str">
        <f>IFERROR(__xludf.DUMMYFUNCTION("""COMPUTED_VALUE"""),"TARIKAN ATM 21/02")</f>
        <v>TARIKAN ATM 21/02</v>
      </c>
      <c r="C35" s="5" t="str">
        <f>IFERROR(__xludf.DUMMYFUNCTION("""COMPUTED_VALUE"""),"TARIKAN ATM 21/02")</f>
        <v>TARIKAN ATM 21/02</v>
      </c>
      <c r="D35" s="3">
        <f>IFERROR(__xludf.DUMMYFUNCTION("""COMPUTED_VALUE"""),1100000.0)</f>
        <v>1100000</v>
      </c>
      <c r="E35" s="5"/>
      <c r="F35" s="5"/>
      <c r="G35" s="3">
        <f>IFERROR(__xludf.DUMMYFUNCTION("""COMPUTED_VALUE"""),5.1817117846000004E8)</f>
        <v>518171178.5</v>
      </c>
      <c r="H35" s="5"/>
      <c r="I35" s="5" t="str">
        <f>IFERROR(__xludf.DUMMYFUNCTION("""COMPUTED_VALUE"""),"PRIBADI")</f>
        <v>PRIBADI</v>
      </c>
      <c r="J35" s="3"/>
    </row>
    <row r="36">
      <c r="A36" s="9">
        <f>IFERROR(__xludf.DUMMYFUNCTION("""COMPUTED_VALUE"""),46075.0)</f>
        <v>46075</v>
      </c>
      <c r="B36" s="5" t="str">
        <f>IFERROR(__xludf.DUMMYFUNCTION("""COMPUTED_VALUE"""),"BYR VIA E-BANKING")</f>
        <v>BYR VIA E-BANKING</v>
      </c>
      <c r="C36" s="5" t="str">
        <f>IFERROR(__xludf.DUMMYFUNCTION("""COMPUTED_VALUE"""),"22/02  WSID9503102 1220 TELKOMSEL 82318368518 MUHAMMAD HAIRUL MA")</f>
        <v>22/02  WSID9503102 1220 TELKOMSEL 82318368518 MUHAMMAD HAIRUL MA</v>
      </c>
      <c r="D36" s="3">
        <f>IFERROR(__xludf.DUMMYFUNCTION("""COMPUTED_VALUE"""),102000.0)</f>
        <v>102000</v>
      </c>
      <c r="E36" s="5"/>
      <c r="F36" s="5"/>
      <c r="G36" s="3">
        <f>IFERROR(__xludf.DUMMYFUNCTION("""COMPUTED_VALUE"""),2.0187215746000004E8)</f>
        <v>201872157.5</v>
      </c>
      <c r="H36" s="5"/>
      <c r="I36" s="5" t="str">
        <f>IFERROR(__xludf.DUMMYFUNCTION("""COMPUTED_VALUE"""),"PRIBADI")</f>
        <v>PRIBADI</v>
      </c>
      <c r="J36" s="3"/>
    </row>
    <row r="37">
      <c r="A37" s="9">
        <f>IFERROR(__xludf.DUMMYFUNCTION("""COMPUTED_VALUE"""),46075.0)</f>
        <v>46075</v>
      </c>
      <c r="B37" s="5" t="str">
        <f>IFERROR(__xludf.DUMMYFUNCTION("""COMPUTED_VALUE"""),"TRSF E-BANKING DB")</f>
        <v>TRSF E-BANKING DB</v>
      </c>
      <c r="C37" s="5" t="str">
        <f>IFERROR(__xludf.DUMMYFUNCTION("""COMPUTED_VALUE"""),"2202/FTFVA/WS95031 26689/TIKTOK SHOP - -6467420713000")</f>
        <v>2202/FTFVA/WS95031 26689/TIKTOK SHOP - -6467420713000</v>
      </c>
      <c r="D37" s="3">
        <f>IFERROR(__xludf.DUMMYFUNCTION("""COMPUTED_VALUE"""),70941.0)</f>
        <v>70941</v>
      </c>
      <c r="E37" s="5"/>
      <c r="F37" s="5" t="str">
        <f>IFERROR(__xludf.DUMMYFUNCTION("""COMPUTED_VALUE"""),"DB")</f>
        <v>DB</v>
      </c>
      <c r="G37" s="3">
        <f>IFERROR(__xludf.DUMMYFUNCTION("""COMPUTED_VALUE"""),4.064598646000004E7)</f>
        <v>40645986.46</v>
      </c>
      <c r="H37" s="5" t="str">
        <f>IFERROR(__xludf.DUMMYFUNCTION("""COMPUTED_VALUE"""),"40,645,986.46")</f>
        <v>40,645,986.46</v>
      </c>
      <c r="I37" s="5" t="str">
        <f>IFERROR(__xludf.DUMMYFUNCTION("""COMPUTED_VALUE"""),"PRIBADI")</f>
        <v>PRIBADI</v>
      </c>
      <c r="J37" s="3"/>
    </row>
    <row r="38">
      <c r="A38" s="9">
        <f>IFERROR(__xludf.DUMMYFUNCTION("""COMPUTED_VALUE"""),46076.0)</f>
        <v>46076</v>
      </c>
      <c r="B38" s="5" t="str">
        <f>IFERROR(__xludf.DUMMYFUNCTION("""COMPUTED_VALUE"""),"BI-FAST DB")</f>
        <v>BI-FAST DB</v>
      </c>
      <c r="C38" s="5" t="str">
        <f>IFERROR(__xludf.DUMMYFUNCTION("""COMPUTED_VALUE"""),"BIF TRANSFER KE 9 AHMAD LUTHFI FADHI M-BCA")</f>
        <v>BIF TRANSFER KE 9 AHMAD LUTHFI FADHI M-BCA</v>
      </c>
      <c r="D38" s="3">
        <f>IFERROR(__xludf.DUMMYFUNCTION("""COMPUTED_VALUE"""),120000.0)</f>
        <v>120000</v>
      </c>
      <c r="E38" s="5"/>
      <c r="F38" s="5" t="str">
        <f>IFERROR(__xludf.DUMMYFUNCTION("""COMPUTED_VALUE"""),"DB")</f>
        <v>DB</v>
      </c>
      <c r="G38" s="3">
        <f>IFERROR(__xludf.DUMMYFUNCTION("""COMPUTED_VALUE"""),4.3605931646000004E8)</f>
        <v>436059316.5</v>
      </c>
      <c r="H38" s="5"/>
      <c r="I38" s="5" t="str">
        <f>IFERROR(__xludf.DUMMYFUNCTION("""COMPUTED_VALUE"""),"PRIBADI")</f>
        <v>PRIBADI</v>
      </c>
      <c r="J38" s="3"/>
    </row>
    <row r="39">
      <c r="A39" s="9">
        <f>IFERROR(__xludf.DUMMYFUNCTION("""COMPUTED_VALUE"""),46077.0)</f>
        <v>46077</v>
      </c>
      <c r="B39" s="5" t="str">
        <f>IFERROR(__xludf.DUMMYFUNCTION("""COMPUTED_VALUE"""),"TARIKAN ATM 24/02")</f>
        <v>TARIKAN ATM 24/02</v>
      </c>
      <c r="C39" s="5" t="str">
        <f>IFERROR(__xludf.DUMMYFUNCTION("""COMPUTED_VALUE"""),"TARIKAN ATM 24/02")</f>
        <v>TARIKAN ATM 24/02</v>
      </c>
      <c r="D39" s="3">
        <f>IFERROR(__xludf.DUMMYFUNCTION("""COMPUTED_VALUE"""),1250000.0)</f>
        <v>1250000</v>
      </c>
      <c r="E39" s="5"/>
      <c r="F39" s="5"/>
      <c r="G39" s="3">
        <f>IFERROR(__xludf.DUMMYFUNCTION("""COMPUTED_VALUE"""),5.5444921646E8)</f>
        <v>554449216.5</v>
      </c>
      <c r="H39" s="5"/>
      <c r="I39" s="5" t="str">
        <f>IFERROR(__xludf.DUMMYFUNCTION("""COMPUTED_VALUE"""),"PRIBADI")</f>
        <v>PRIBADI</v>
      </c>
      <c r="J39" s="3"/>
    </row>
    <row r="40">
      <c r="A40" s="9">
        <f>IFERROR(__xludf.DUMMYFUNCTION("""COMPUTED_VALUE"""),46077.0)</f>
        <v>46077</v>
      </c>
      <c r="B40" s="5" t="str">
        <f>IFERROR(__xludf.DUMMYFUNCTION("""COMPUTED_VALUE"""),"TARIKAN ATM 24/02")</f>
        <v>TARIKAN ATM 24/02</v>
      </c>
      <c r="C40" s="5" t="str">
        <f>IFERROR(__xludf.DUMMYFUNCTION("""COMPUTED_VALUE"""),"TARIKAN ATM 24/02")</f>
        <v>TARIKAN ATM 24/02</v>
      </c>
      <c r="D40" s="3">
        <f>IFERROR(__xludf.DUMMYFUNCTION("""COMPUTED_VALUE"""),100000.0)</f>
        <v>100000</v>
      </c>
      <c r="E40" s="5"/>
      <c r="F40" s="5"/>
      <c r="G40" s="3">
        <f>IFERROR(__xludf.DUMMYFUNCTION("""COMPUTED_VALUE"""),5.5434921646E8)</f>
        <v>554349216.5</v>
      </c>
      <c r="H40" s="5"/>
      <c r="I40" s="5" t="str">
        <f>IFERROR(__xludf.DUMMYFUNCTION("""COMPUTED_VALUE"""),"PRIBADI")</f>
        <v>PRIBADI</v>
      </c>
      <c r="J40" s="3"/>
    </row>
    <row r="41">
      <c r="A41" s="9">
        <f>IFERROR(__xludf.DUMMYFUNCTION("""COMPUTED_VALUE"""),46078.0)</f>
        <v>46078</v>
      </c>
      <c r="B41" s="5" t="str">
        <f>IFERROR(__xludf.DUMMYFUNCTION("""COMPUTED_VALUE"""),"TRSF E-BANKING DB")</f>
        <v>TRSF E-BANKING DB</v>
      </c>
      <c r="C41" s="5" t="str">
        <f>IFERROR(__xludf.DUMMYFUNCTION("""COMPUTED_VALUE"""),"2502/FTSCY/WS95031 665000.00 vios DIDIK HARYADI")</f>
        <v>2502/FTSCY/WS95031 665000.00 vios DIDIK HARYADI</v>
      </c>
      <c r="D41" s="3">
        <f>IFERROR(__xludf.DUMMYFUNCTION("""COMPUTED_VALUE"""),665000.0)</f>
        <v>665000</v>
      </c>
      <c r="E41" s="5"/>
      <c r="F41" s="5" t="str">
        <f>IFERROR(__xludf.DUMMYFUNCTION("""COMPUTED_VALUE"""),"DB")</f>
        <v>DB</v>
      </c>
      <c r="G41" s="3">
        <f>IFERROR(__xludf.DUMMYFUNCTION("""COMPUTED_VALUE"""),9.205844146000004E7)</f>
        <v>92058441.46</v>
      </c>
      <c r="H41" s="5"/>
      <c r="I41" s="5" t="str">
        <f>IFERROR(__xludf.DUMMYFUNCTION("""COMPUTED_VALUE"""),"PRIBADI")</f>
        <v>PRIBADI</v>
      </c>
      <c r="J41" s="3"/>
    </row>
    <row r="42">
      <c r="A42" s="9">
        <f>IFERROR(__xludf.DUMMYFUNCTION("""COMPUTED_VALUE"""),46078.0)</f>
        <v>46078</v>
      </c>
      <c r="B42" s="5" t="str">
        <f>IFERROR(__xludf.DUMMYFUNCTION("""COMPUTED_VALUE"""),"TRSF E-BANKING DB")</f>
        <v>TRSF E-BANKING DB</v>
      </c>
      <c r="C42" s="5" t="str">
        <f>IFERROR(__xludf.DUMMYFUNCTION("""COMPUTED_VALUE"""),"2502/FTFVA/WS95031 12208/SHOPEEPAY - -5335263590")</f>
        <v>2502/FTFVA/WS95031 12208/SHOPEEPAY - -5335263590</v>
      </c>
      <c r="D42" s="3">
        <f>IFERROR(__xludf.DUMMYFUNCTION("""COMPUTED_VALUE"""),124369.0)</f>
        <v>124369</v>
      </c>
      <c r="E42" s="5"/>
      <c r="F42" s="5" t="str">
        <f>IFERROR(__xludf.DUMMYFUNCTION("""COMPUTED_VALUE"""),"DB")</f>
        <v>DB</v>
      </c>
      <c r="G42" s="3">
        <f>IFERROR(__xludf.DUMMYFUNCTION("""COMPUTED_VALUE"""),2.8044050246000004E8)</f>
        <v>280440502.5</v>
      </c>
      <c r="H42" s="5"/>
      <c r="I42" s="5" t="str">
        <f>IFERROR(__xludf.DUMMYFUNCTION("""COMPUTED_VALUE"""),"PRIBADI")</f>
        <v>PRIBADI</v>
      </c>
      <c r="J42" s="3"/>
    </row>
    <row r="43">
      <c r="A43" s="9">
        <f>IFERROR(__xludf.DUMMYFUNCTION("""COMPUTED_VALUE"""),46079.0)</f>
        <v>46079</v>
      </c>
      <c r="B43" s="5" t="str">
        <f>IFERROR(__xludf.DUMMYFUNCTION("""COMPUTED_VALUE"""),"TARIKAN ATM 26/02")</f>
        <v>TARIKAN ATM 26/02</v>
      </c>
      <c r="C43" s="5" t="str">
        <f>IFERROR(__xludf.DUMMYFUNCTION("""COMPUTED_VALUE"""),"TARIKAN ATM 26/02")</f>
        <v>TARIKAN ATM 26/02</v>
      </c>
      <c r="D43" s="3">
        <f>IFERROR(__xludf.DUMMYFUNCTION("""COMPUTED_VALUE"""),400000.0)</f>
        <v>400000</v>
      </c>
      <c r="E43" s="5"/>
      <c r="F43" s="5"/>
      <c r="G43" s="3">
        <f>IFERROR(__xludf.DUMMYFUNCTION("""COMPUTED_VALUE"""),1.853090246000004E7)</f>
        <v>18530902.46</v>
      </c>
      <c r="H43" s="5"/>
      <c r="I43" s="5" t="str">
        <f>IFERROR(__xludf.DUMMYFUNCTION("""COMPUTED_VALUE"""),"PRIBADI")</f>
        <v>PRIBADI</v>
      </c>
      <c r="J43" s="3"/>
    </row>
    <row r="44">
      <c r="A44" s="9">
        <f>IFERROR(__xludf.DUMMYFUNCTION("""COMPUTED_VALUE"""),46079.0)</f>
        <v>46079</v>
      </c>
      <c r="B44" s="5" t="str">
        <f>IFERROR(__xludf.DUMMYFUNCTION("""COMPUTED_VALUE"""),"TARIKAN ATM 26/02")</f>
        <v>TARIKAN ATM 26/02</v>
      </c>
      <c r="C44" s="5" t="str">
        <f>IFERROR(__xludf.DUMMYFUNCTION("""COMPUTED_VALUE"""),"TARIKAN ATM 26/02")</f>
        <v>TARIKAN ATM 26/02</v>
      </c>
      <c r="D44" s="3">
        <f>IFERROR(__xludf.DUMMYFUNCTION("""COMPUTED_VALUE"""),300000.0)</f>
        <v>300000</v>
      </c>
      <c r="E44" s="5"/>
      <c r="F44" s="5"/>
      <c r="G44" s="3">
        <f>IFERROR(__xludf.DUMMYFUNCTION("""COMPUTED_VALUE"""),1.823090246000004E7)</f>
        <v>18230902.46</v>
      </c>
      <c r="H44" s="5"/>
      <c r="I44" s="5" t="str">
        <f>IFERROR(__xludf.DUMMYFUNCTION("""COMPUTED_VALUE"""),"PRIBADI")</f>
        <v>PRIBADI</v>
      </c>
      <c r="J44" s="3"/>
    </row>
    <row r="45">
      <c r="A45" s="9">
        <f>IFERROR(__xludf.DUMMYFUNCTION("""COMPUTED_VALUE"""),46079.0)</f>
        <v>46079</v>
      </c>
      <c r="B45" s="5" t="str">
        <f>IFERROR(__xludf.DUMMYFUNCTION("""COMPUTED_VALUE"""),"TARIKAN ATM 26/02")</f>
        <v>TARIKAN ATM 26/02</v>
      </c>
      <c r="C45" s="5" t="str">
        <f>IFERROR(__xludf.DUMMYFUNCTION("""COMPUTED_VALUE"""),"TARIKAN ATM 26/02")</f>
        <v>TARIKAN ATM 26/02</v>
      </c>
      <c r="D45" s="3">
        <f>IFERROR(__xludf.DUMMYFUNCTION("""COMPUTED_VALUE"""),150000.0)</f>
        <v>150000</v>
      </c>
      <c r="E45" s="5"/>
      <c r="F45" s="5"/>
      <c r="G45" s="3">
        <f>IFERROR(__xludf.DUMMYFUNCTION("""COMPUTED_VALUE"""),1.808090246000004E7)</f>
        <v>18080902.46</v>
      </c>
      <c r="H45" s="5" t="str">
        <f>IFERROR(__xludf.DUMMYFUNCTION("""COMPUTED_VALUE"""),"18,080,902.46")</f>
        <v>18,080,902.46</v>
      </c>
      <c r="I45" s="5" t="str">
        <f>IFERROR(__xludf.DUMMYFUNCTION("""COMPUTED_VALUE"""),"PRIBADI")</f>
        <v>PRIBADI</v>
      </c>
      <c r="J45" s="3"/>
    </row>
    <row r="46">
      <c r="A46" s="9">
        <f>IFERROR(__xludf.DUMMYFUNCTION("""COMPUTED_VALUE"""),46080.0)</f>
        <v>46080</v>
      </c>
      <c r="B46" s="5" t="str">
        <f>IFERROR(__xludf.DUMMYFUNCTION("""COMPUTED_VALUE"""),"TARIKAN ATM 27/02")</f>
        <v>TARIKAN ATM 27/02</v>
      </c>
      <c r="C46" s="5" t="str">
        <f>IFERROR(__xludf.DUMMYFUNCTION("""COMPUTED_VALUE"""),"TARIKAN ATM 27/02")</f>
        <v>TARIKAN ATM 27/02</v>
      </c>
      <c r="D46" s="3">
        <f>IFERROR(__xludf.DUMMYFUNCTION("""COMPUTED_VALUE"""),300000.0)</f>
        <v>300000</v>
      </c>
      <c r="E46" s="5"/>
      <c r="F46" s="5"/>
      <c r="G46" s="3">
        <f>IFERROR(__xludf.DUMMYFUNCTION("""COMPUTED_VALUE"""),7.439240246000004E7)</f>
        <v>74392402.46</v>
      </c>
      <c r="H46" s="5"/>
      <c r="I46" s="5" t="str">
        <f>IFERROR(__xludf.DUMMYFUNCTION("""COMPUTED_VALUE"""),"PRIBADI")</f>
        <v>PRIBADI</v>
      </c>
      <c r="J46" s="3"/>
    </row>
    <row r="47">
      <c r="A47" s="9">
        <f>IFERROR(__xludf.DUMMYFUNCTION("""COMPUTED_VALUE"""),46080.0)</f>
        <v>46080</v>
      </c>
      <c r="B47" s="5" t="str">
        <f>IFERROR(__xludf.DUMMYFUNCTION("""COMPUTED_VALUE"""),"TARIKAN ATM 27/02")</f>
        <v>TARIKAN ATM 27/02</v>
      </c>
      <c r="C47" s="5" t="str">
        <f>IFERROR(__xludf.DUMMYFUNCTION("""COMPUTED_VALUE"""),"TARIKAN ATM 27/02")</f>
        <v>TARIKAN ATM 27/02</v>
      </c>
      <c r="D47" s="3">
        <f>IFERROR(__xludf.DUMMYFUNCTION("""COMPUTED_VALUE"""),400000.0)</f>
        <v>400000</v>
      </c>
      <c r="E47" s="5"/>
      <c r="F47" s="5"/>
      <c r="G47" s="3">
        <f>IFERROR(__xludf.DUMMYFUNCTION("""COMPUTED_VALUE"""),1.2183767246000004E8)</f>
        <v>121837672.5</v>
      </c>
      <c r="H47" s="5"/>
      <c r="I47" s="5" t="str">
        <f>IFERROR(__xludf.DUMMYFUNCTION("""COMPUTED_VALUE"""),"PRIBADI")</f>
        <v>PRIBADI</v>
      </c>
      <c r="J47" s="3"/>
    </row>
    <row r="48">
      <c r="A48" s="9">
        <f>IFERROR(__xludf.DUMMYFUNCTION("""COMPUTED_VALUE"""),46081.0)</f>
        <v>46081</v>
      </c>
      <c r="B48" s="5" t="str">
        <f>IFERROR(__xludf.DUMMYFUNCTION("""COMPUTED_VALUE"""),"TRSF E-BANKING DB")</f>
        <v>TRSF E-BANKING DB</v>
      </c>
      <c r="C48" s="5" t="str">
        <f>IFERROR(__xludf.DUMMYFUNCTION("""COMPUTED_VALUE"""),"2802/FTSCY/WS95271 625000.00 DIDIK HARYADI")</f>
        <v>2802/FTSCY/WS95271 625000.00 DIDIK HARYADI</v>
      </c>
      <c r="D48" s="3">
        <f>IFERROR(__xludf.DUMMYFUNCTION("""COMPUTED_VALUE"""),625000.0)</f>
        <v>625000</v>
      </c>
      <c r="E48" s="5"/>
      <c r="F48" s="5" t="str">
        <f>IFERROR(__xludf.DUMMYFUNCTION("""COMPUTED_VALUE"""),"DB")</f>
        <v>DB</v>
      </c>
      <c r="G48" s="3">
        <f>IFERROR(__xludf.DUMMYFUNCTION("""COMPUTED_VALUE"""),7.302834246000004E7)</f>
        <v>73028342.46</v>
      </c>
      <c r="H48" s="5"/>
      <c r="I48" s="5" t="str">
        <f>IFERROR(__xludf.DUMMYFUNCTION("""COMPUTED_VALUE"""),"PRIBADI")</f>
        <v>PRIBADI</v>
      </c>
      <c r="J48" s="3"/>
    </row>
    <row r="49">
      <c r="A49" s="9"/>
      <c r="D49" s="3"/>
      <c r="G49" s="3"/>
      <c r="J49" s="3"/>
    </row>
    <row r="50">
      <c r="A50" s="9"/>
      <c r="D50" s="3"/>
      <c r="G50" s="3"/>
      <c r="J50" s="3"/>
    </row>
    <row r="51">
      <c r="A51" s="9"/>
      <c r="D51" s="3"/>
      <c r="G51" s="3"/>
      <c r="J51" s="3"/>
    </row>
    <row r="52">
      <c r="A52" s="9"/>
      <c r="D52" s="3"/>
      <c r="G52" s="3"/>
      <c r="J52" s="3"/>
    </row>
    <row r="53">
      <c r="A53" s="9"/>
      <c r="D53" s="3"/>
      <c r="G53" s="3"/>
      <c r="J53" s="3"/>
    </row>
    <row r="54">
      <c r="A54" s="9"/>
      <c r="D54" s="3"/>
      <c r="G54" s="3"/>
      <c r="J54" s="3"/>
    </row>
    <row r="55">
      <c r="A55" s="9"/>
      <c r="D55" s="3"/>
      <c r="G55" s="3"/>
      <c r="J55" s="3"/>
    </row>
    <row r="56">
      <c r="A56" s="9"/>
      <c r="D56" s="3"/>
      <c r="G56" s="3"/>
      <c r="J56" s="3"/>
    </row>
    <row r="57">
      <c r="A57" s="9"/>
      <c r="D57" s="3"/>
      <c r="G57" s="3"/>
      <c r="J57" s="3"/>
    </row>
    <row r="58">
      <c r="A58" s="9"/>
      <c r="D58" s="3"/>
      <c r="G58" s="3"/>
      <c r="J58" s="3"/>
    </row>
    <row r="59">
      <c r="A59" s="9"/>
      <c r="D59" s="3"/>
      <c r="G59" s="3"/>
      <c r="J59" s="3"/>
    </row>
    <row r="60">
      <c r="A60" s="9"/>
      <c r="D60" s="3"/>
      <c r="G60" s="3"/>
      <c r="J60" s="3"/>
    </row>
    <row r="61">
      <c r="A61" s="9"/>
      <c r="D61" s="3"/>
      <c r="G61" s="3"/>
      <c r="J61" s="3"/>
    </row>
    <row r="62">
      <c r="A62" s="9"/>
      <c r="D62" s="3"/>
      <c r="G62" s="3"/>
      <c r="J62" s="3"/>
    </row>
    <row r="63">
      <c r="A63" s="9"/>
      <c r="D63" s="3"/>
      <c r="G63" s="3"/>
      <c r="J63" s="3"/>
    </row>
    <row r="64">
      <c r="A64" s="9"/>
      <c r="D64" s="3"/>
      <c r="G64" s="3"/>
      <c r="J64" s="3"/>
    </row>
    <row r="65">
      <c r="A65" s="9"/>
      <c r="D65" s="3"/>
      <c r="G65" s="3"/>
      <c r="J65" s="3"/>
    </row>
    <row r="66">
      <c r="A66" s="9"/>
      <c r="D66" s="3"/>
      <c r="G66" s="3"/>
      <c r="J66" s="3"/>
    </row>
    <row r="67">
      <c r="A67" s="9"/>
      <c r="D67" s="3"/>
      <c r="G67" s="3"/>
      <c r="J67" s="3"/>
    </row>
    <row r="68">
      <c r="A68" s="9"/>
      <c r="D68" s="3"/>
      <c r="G68" s="3"/>
      <c r="J68" s="3"/>
    </row>
    <row r="69">
      <c r="A69" s="9"/>
      <c r="D69" s="3"/>
      <c r="G69" s="3"/>
      <c r="J69" s="3"/>
    </row>
    <row r="70">
      <c r="A70" s="9"/>
      <c r="D70" s="3"/>
      <c r="G70" s="3"/>
      <c r="J70" s="3"/>
    </row>
    <row r="71">
      <c r="A71" s="9"/>
      <c r="D71" s="3"/>
      <c r="G71" s="3"/>
      <c r="J71" s="3"/>
    </row>
    <row r="72">
      <c r="A72" s="9"/>
      <c r="D72" s="3"/>
      <c r="G72" s="3"/>
      <c r="J72" s="3"/>
    </row>
    <row r="73">
      <c r="A73" s="9"/>
      <c r="D73" s="3"/>
      <c r="G73" s="3"/>
      <c r="J73" s="3"/>
    </row>
    <row r="74">
      <c r="A74" s="9"/>
      <c r="D74" s="3"/>
      <c r="G74" s="3"/>
      <c r="J74" s="3"/>
    </row>
    <row r="75">
      <c r="A75" s="9"/>
      <c r="D75" s="3"/>
      <c r="G75" s="3"/>
      <c r="J75" s="3"/>
    </row>
    <row r="76">
      <c r="A76" s="9"/>
      <c r="D76" s="3"/>
      <c r="G76" s="3"/>
      <c r="J76" s="3"/>
    </row>
    <row r="77">
      <c r="A77" s="9"/>
      <c r="D77" s="3"/>
      <c r="G77" s="3"/>
      <c r="J77" s="3"/>
    </row>
    <row r="78">
      <c r="A78" s="9"/>
      <c r="D78" s="3"/>
      <c r="G78" s="3"/>
      <c r="J78" s="3"/>
    </row>
    <row r="79">
      <c r="A79" s="9"/>
      <c r="D79" s="3"/>
      <c r="G79" s="3"/>
      <c r="J79" s="3"/>
    </row>
    <row r="80">
      <c r="A80" s="9"/>
      <c r="D80" s="3"/>
      <c r="G80" s="3"/>
      <c r="J80" s="3"/>
    </row>
    <row r="81">
      <c r="A81" s="9"/>
      <c r="D81" s="3"/>
      <c r="G81" s="3"/>
      <c r="J81" s="3"/>
    </row>
    <row r="82">
      <c r="A82" s="9"/>
      <c r="D82" s="3"/>
      <c r="G82" s="3"/>
      <c r="J82" s="3"/>
    </row>
    <row r="83">
      <c r="A83" s="9"/>
      <c r="D83" s="3"/>
      <c r="G83" s="3"/>
      <c r="J83" s="3"/>
    </row>
    <row r="84">
      <c r="A84" s="9"/>
      <c r="D84" s="3"/>
      <c r="G84" s="3"/>
      <c r="J84" s="3"/>
    </row>
    <row r="85">
      <c r="A85" s="9"/>
      <c r="D85" s="3"/>
      <c r="G85" s="3"/>
      <c r="J85" s="3"/>
    </row>
    <row r="86">
      <c r="A86" s="9"/>
      <c r="D86" s="3"/>
      <c r="G86" s="3"/>
      <c r="J86" s="3"/>
    </row>
    <row r="87">
      <c r="A87" s="9"/>
      <c r="D87" s="3"/>
      <c r="G87" s="3"/>
      <c r="J87" s="3"/>
    </row>
    <row r="88">
      <c r="A88" s="9"/>
      <c r="D88" s="3"/>
      <c r="G88" s="3"/>
      <c r="J88" s="3"/>
    </row>
    <row r="89">
      <c r="A89" s="9"/>
      <c r="D89" s="3"/>
      <c r="G89" s="3"/>
      <c r="J89" s="3"/>
    </row>
    <row r="90">
      <c r="A90" s="9"/>
      <c r="D90" s="3"/>
      <c r="G90" s="3"/>
      <c r="J90" s="3"/>
    </row>
    <row r="91">
      <c r="A91" s="9"/>
      <c r="D91" s="3"/>
      <c r="G91" s="3"/>
      <c r="J91" s="3"/>
    </row>
    <row r="92">
      <c r="A92" s="9"/>
      <c r="D92" s="3"/>
      <c r="G92" s="3"/>
      <c r="J92" s="3"/>
    </row>
    <row r="93">
      <c r="A93" s="9"/>
      <c r="D93" s="3"/>
      <c r="G93" s="3"/>
      <c r="J93" s="3"/>
    </row>
    <row r="94">
      <c r="A94" s="9"/>
      <c r="D94" s="3"/>
      <c r="G94" s="3"/>
      <c r="J94" s="3"/>
    </row>
    <row r="95">
      <c r="A95" s="9"/>
      <c r="D95" s="3"/>
      <c r="G95" s="3"/>
      <c r="J95" s="3"/>
    </row>
    <row r="96">
      <c r="A96" s="9"/>
      <c r="D96" s="3"/>
      <c r="G96" s="3"/>
      <c r="J96" s="3"/>
    </row>
    <row r="97">
      <c r="A97" s="9"/>
      <c r="D97" s="3"/>
      <c r="G97" s="3"/>
      <c r="J97" s="3"/>
    </row>
    <row r="98">
      <c r="A98" s="9"/>
      <c r="D98" s="3"/>
      <c r="G98" s="3"/>
      <c r="J98" s="3"/>
    </row>
    <row r="99">
      <c r="A99" s="9"/>
      <c r="D99" s="3"/>
      <c r="G99" s="3"/>
      <c r="J99" s="3"/>
    </row>
    <row r="100">
      <c r="A100" s="9"/>
      <c r="D100" s="3"/>
      <c r="G100" s="3"/>
      <c r="J100" s="3"/>
    </row>
    <row r="101">
      <c r="A101" s="9"/>
      <c r="D101" s="3"/>
      <c r="G101" s="3"/>
      <c r="J101" s="3"/>
    </row>
    <row r="102">
      <c r="A102" s="9"/>
      <c r="D102" s="3"/>
      <c r="G102" s="3"/>
      <c r="J102" s="3"/>
    </row>
    <row r="103">
      <c r="A103" s="9"/>
      <c r="D103" s="3"/>
      <c r="G103" s="3"/>
      <c r="J103" s="3"/>
    </row>
    <row r="104">
      <c r="A104" s="9"/>
      <c r="D104" s="3"/>
      <c r="G104" s="3"/>
      <c r="J104" s="3"/>
    </row>
    <row r="105">
      <c r="A105" s="9"/>
      <c r="D105" s="3"/>
      <c r="G105" s="3"/>
      <c r="J105" s="3"/>
    </row>
    <row r="106">
      <c r="A106" s="9"/>
      <c r="D106" s="3"/>
      <c r="G106" s="3"/>
      <c r="J106" s="3"/>
    </row>
    <row r="107">
      <c r="A107" s="9"/>
      <c r="D107" s="3"/>
      <c r="G107" s="3"/>
      <c r="J107" s="3"/>
    </row>
    <row r="108">
      <c r="A108" s="9"/>
      <c r="D108" s="3"/>
      <c r="G108" s="3"/>
      <c r="J108" s="3"/>
    </row>
    <row r="109">
      <c r="A109" s="9"/>
      <c r="D109" s="3"/>
      <c r="G109" s="3"/>
      <c r="J109" s="3"/>
    </row>
    <row r="110">
      <c r="A110" s="9"/>
      <c r="D110" s="3"/>
      <c r="G110" s="3"/>
      <c r="J110" s="3"/>
    </row>
    <row r="111">
      <c r="A111" s="9"/>
      <c r="D111" s="3"/>
      <c r="G111" s="3"/>
      <c r="J111" s="3"/>
    </row>
    <row r="112">
      <c r="A112" s="9"/>
      <c r="D112" s="3"/>
      <c r="G112" s="3"/>
      <c r="J112" s="3"/>
    </row>
    <row r="113">
      <c r="A113" s="9"/>
      <c r="D113" s="3"/>
      <c r="G113" s="3"/>
      <c r="J113" s="3"/>
    </row>
    <row r="114">
      <c r="A114" s="9"/>
      <c r="D114" s="3"/>
      <c r="G114" s="3"/>
      <c r="J114" s="3"/>
    </row>
    <row r="115">
      <c r="A115" s="9"/>
      <c r="D115" s="3"/>
      <c r="G115" s="3"/>
      <c r="J115" s="3"/>
    </row>
    <row r="116">
      <c r="A116" s="9"/>
      <c r="D116" s="3"/>
      <c r="G116" s="3"/>
      <c r="J116" s="3"/>
    </row>
    <row r="117">
      <c r="A117" s="9"/>
      <c r="D117" s="3"/>
      <c r="G117" s="3"/>
      <c r="J117" s="3"/>
    </row>
    <row r="118">
      <c r="A118" s="9"/>
      <c r="D118" s="3"/>
      <c r="G118" s="3"/>
      <c r="J118" s="3"/>
    </row>
    <row r="119">
      <c r="A119" s="9"/>
      <c r="D119" s="3"/>
      <c r="G119" s="3"/>
      <c r="J119" s="3"/>
    </row>
    <row r="120">
      <c r="A120" s="9"/>
      <c r="D120" s="3"/>
      <c r="G120" s="3"/>
      <c r="J120" s="3"/>
    </row>
    <row r="121">
      <c r="A121" s="9"/>
      <c r="D121" s="3"/>
      <c r="G121" s="3"/>
      <c r="J121" s="3"/>
    </row>
    <row r="122">
      <c r="A122" s="9"/>
      <c r="D122" s="3"/>
      <c r="G122" s="3"/>
      <c r="J122" s="3"/>
    </row>
    <row r="123">
      <c r="A123" s="9"/>
      <c r="D123" s="3"/>
      <c r="G123" s="3"/>
      <c r="J123" s="3"/>
    </row>
    <row r="124">
      <c r="A124" s="9"/>
      <c r="D124" s="3"/>
      <c r="G124" s="3"/>
      <c r="J124" s="3"/>
    </row>
    <row r="125">
      <c r="A125" s="9"/>
      <c r="D125" s="3"/>
      <c r="G125" s="3"/>
      <c r="J125" s="3"/>
    </row>
    <row r="126">
      <c r="A126" s="9"/>
      <c r="D126" s="3"/>
      <c r="G126" s="3"/>
      <c r="J126" s="3"/>
    </row>
    <row r="127">
      <c r="A127" s="9"/>
      <c r="D127" s="3"/>
      <c r="G127" s="3"/>
      <c r="J127" s="3"/>
    </row>
    <row r="128">
      <c r="A128" s="9"/>
      <c r="D128" s="3"/>
      <c r="G128" s="3"/>
      <c r="J128" s="3"/>
    </row>
    <row r="129">
      <c r="A129" s="9"/>
      <c r="D129" s="3"/>
      <c r="G129" s="3"/>
      <c r="J129" s="3"/>
    </row>
    <row r="130">
      <c r="A130" s="9"/>
      <c r="D130" s="3"/>
      <c r="G130" s="3"/>
      <c r="J130" s="3"/>
    </row>
    <row r="131">
      <c r="A131" s="9"/>
      <c r="D131" s="3"/>
      <c r="G131" s="3"/>
      <c r="J131" s="3"/>
    </row>
    <row r="132">
      <c r="A132" s="9"/>
      <c r="D132" s="3"/>
      <c r="G132" s="3"/>
      <c r="J132" s="3"/>
    </row>
    <row r="133">
      <c r="A133" s="9"/>
      <c r="D133" s="3"/>
      <c r="G133" s="3"/>
      <c r="J133" s="3"/>
    </row>
    <row r="134">
      <c r="A134" s="9"/>
      <c r="D134" s="3"/>
      <c r="G134" s="3"/>
      <c r="J134" s="3"/>
    </row>
    <row r="135">
      <c r="A135" s="9"/>
      <c r="D135" s="3"/>
      <c r="G135" s="3"/>
      <c r="J135" s="3"/>
    </row>
    <row r="136">
      <c r="A136" s="9"/>
      <c r="D136" s="3"/>
      <c r="G136" s="3"/>
      <c r="J136" s="3"/>
    </row>
    <row r="137">
      <c r="A137" s="9"/>
      <c r="D137" s="3"/>
      <c r="G137" s="3"/>
      <c r="J137" s="3"/>
    </row>
    <row r="138">
      <c r="A138" s="9"/>
      <c r="D138" s="3"/>
      <c r="G138" s="3"/>
      <c r="J138" s="3"/>
    </row>
    <row r="139">
      <c r="A139" s="9"/>
      <c r="D139" s="3"/>
      <c r="G139" s="3"/>
      <c r="J139" s="3"/>
    </row>
    <row r="140">
      <c r="A140" s="9"/>
      <c r="D140" s="3"/>
      <c r="G140" s="3"/>
      <c r="J140" s="3"/>
    </row>
    <row r="141">
      <c r="A141" s="9"/>
      <c r="D141" s="3"/>
      <c r="G141" s="3"/>
      <c r="J141" s="3"/>
    </row>
    <row r="142">
      <c r="A142" s="9"/>
      <c r="D142" s="3"/>
      <c r="G142" s="3"/>
      <c r="J142" s="3"/>
    </row>
    <row r="143">
      <c r="A143" s="9"/>
      <c r="D143" s="3"/>
      <c r="G143" s="3"/>
      <c r="J143" s="3"/>
    </row>
    <row r="144">
      <c r="A144" s="9"/>
      <c r="D144" s="3"/>
      <c r="G144" s="3"/>
      <c r="J144" s="3"/>
    </row>
    <row r="145">
      <c r="A145" s="9"/>
      <c r="D145" s="3"/>
      <c r="G145" s="3"/>
      <c r="J145" s="3"/>
    </row>
    <row r="146">
      <c r="A146" s="9"/>
      <c r="D146" s="3"/>
      <c r="G146" s="3"/>
      <c r="J146" s="3"/>
    </row>
    <row r="147">
      <c r="A147" s="9"/>
      <c r="D147" s="3"/>
      <c r="G147" s="3"/>
      <c r="J147" s="3"/>
    </row>
    <row r="148">
      <c r="A148" s="9"/>
      <c r="D148" s="3"/>
      <c r="G148" s="3"/>
      <c r="J148" s="3"/>
    </row>
    <row r="149">
      <c r="A149" s="9"/>
      <c r="D149" s="3"/>
      <c r="G149" s="3"/>
      <c r="J149" s="3"/>
    </row>
    <row r="150">
      <c r="A150" s="9"/>
      <c r="D150" s="3"/>
      <c r="G150" s="3"/>
      <c r="J150" s="3"/>
    </row>
    <row r="151">
      <c r="A151" s="9"/>
      <c r="D151" s="3"/>
      <c r="G151" s="3"/>
      <c r="J151" s="3"/>
    </row>
    <row r="152">
      <c r="A152" s="9"/>
      <c r="D152" s="3"/>
      <c r="G152" s="3"/>
      <c r="J152" s="3"/>
    </row>
    <row r="153">
      <c r="A153" s="9"/>
      <c r="D153" s="3"/>
      <c r="G153" s="3"/>
      <c r="J153" s="3"/>
    </row>
    <row r="154">
      <c r="A154" s="9"/>
      <c r="D154" s="3"/>
      <c r="G154" s="3"/>
      <c r="J154" s="3"/>
    </row>
    <row r="155">
      <c r="A155" s="9"/>
      <c r="D155" s="3"/>
      <c r="G155" s="3"/>
      <c r="J155" s="3"/>
    </row>
    <row r="156">
      <c r="A156" s="9"/>
      <c r="D156" s="3"/>
      <c r="G156" s="3"/>
      <c r="J156" s="3"/>
    </row>
    <row r="157">
      <c r="A157" s="9"/>
      <c r="D157" s="3"/>
      <c r="G157" s="3"/>
      <c r="J157" s="3"/>
    </row>
    <row r="158">
      <c r="A158" s="9"/>
      <c r="D158" s="3"/>
      <c r="G158" s="3"/>
      <c r="J158" s="3"/>
    </row>
    <row r="159">
      <c r="A159" s="9"/>
      <c r="D159" s="3"/>
      <c r="G159" s="3"/>
      <c r="J159" s="3"/>
    </row>
    <row r="160">
      <c r="A160" s="9"/>
      <c r="D160" s="3"/>
      <c r="G160" s="3"/>
      <c r="J160" s="3"/>
    </row>
    <row r="161">
      <c r="A161" s="9"/>
      <c r="D161" s="3"/>
      <c r="G161" s="3"/>
      <c r="J161" s="3"/>
    </row>
    <row r="162">
      <c r="A162" s="9"/>
      <c r="D162" s="3"/>
      <c r="G162" s="3"/>
      <c r="J162" s="3"/>
    </row>
    <row r="163">
      <c r="A163" s="9"/>
      <c r="D163" s="3"/>
      <c r="G163" s="3"/>
      <c r="J163" s="3"/>
    </row>
    <row r="164">
      <c r="A164" s="9"/>
      <c r="D164" s="3"/>
      <c r="G164" s="3"/>
      <c r="J164" s="3"/>
    </row>
    <row r="165">
      <c r="A165" s="9"/>
      <c r="D165" s="3"/>
      <c r="G165" s="3"/>
      <c r="J165" s="3"/>
    </row>
    <row r="166">
      <c r="A166" s="9"/>
      <c r="D166" s="3"/>
      <c r="G166" s="3"/>
      <c r="J166" s="3"/>
    </row>
    <row r="167">
      <c r="A167" s="9"/>
      <c r="D167" s="3"/>
      <c r="G167" s="3"/>
      <c r="J167" s="3"/>
    </row>
    <row r="168">
      <c r="A168" s="9"/>
      <c r="D168" s="3"/>
      <c r="G168" s="3"/>
      <c r="J168" s="3"/>
    </row>
    <row r="169">
      <c r="A169" s="9"/>
      <c r="D169" s="3"/>
      <c r="G169" s="3"/>
      <c r="J169" s="3"/>
    </row>
    <row r="170">
      <c r="A170" s="9"/>
      <c r="D170" s="3"/>
      <c r="G170" s="3"/>
      <c r="J170" s="3"/>
    </row>
    <row r="171">
      <c r="A171" s="9"/>
      <c r="D171" s="3"/>
      <c r="G171" s="3"/>
      <c r="J171" s="3"/>
    </row>
    <row r="172">
      <c r="A172" s="9"/>
      <c r="D172" s="3"/>
      <c r="G172" s="3"/>
      <c r="J172" s="3"/>
    </row>
    <row r="173">
      <c r="A173" s="9"/>
      <c r="D173" s="3"/>
      <c r="G173" s="3"/>
      <c r="J173" s="3"/>
    </row>
    <row r="174">
      <c r="A174" s="9"/>
      <c r="D174" s="3"/>
      <c r="G174" s="3"/>
      <c r="J174" s="3"/>
    </row>
    <row r="175">
      <c r="A175" s="9"/>
      <c r="D175" s="3"/>
      <c r="G175" s="3"/>
      <c r="J175" s="3"/>
    </row>
    <row r="176">
      <c r="A176" s="9"/>
      <c r="D176" s="3"/>
      <c r="G176" s="3"/>
      <c r="J176" s="3"/>
    </row>
    <row r="177">
      <c r="A177" s="9"/>
      <c r="D177" s="3"/>
      <c r="G177" s="3"/>
      <c r="J177" s="3"/>
    </row>
    <row r="178">
      <c r="A178" s="9"/>
      <c r="D178" s="3"/>
      <c r="G178" s="3"/>
      <c r="J178" s="3"/>
    </row>
    <row r="179">
      <c r="A179" s="9"/>
      <c r="D179" s="3"/>
      <c r="G179" s="3"/>
      <c r="J179" s="3"/>
    </row>
    <row r="180">
      <c r="A180" s="9"/>
      <c r="D180" s="3"/>
      <c r="G180" s="3"/>
      <c r="J180" s="3"/>
    </row>
    <row r="181">
      <c r="A181" s="9"/>
      <c r="D181" s="3"/>
      <c r="G181" s="3"/>
      <c r="J181" s="3"/>
    </row>
    <row r="182">
      <c r="A182" s="9"/>
      <c r="D182" s="3"/>
      <c r="G182" s="3"/>
      <c r="J182" s="3"/>
    </row>
    <row r="183">
      <c r="A183" s="9"/>
      <c r="D183" s="3"/>
      <c r="G183" s="3"/>
      <c r="J183" s="3"/>
    </row>
    <row r="184">
      <c r="A184" s="9"/>
      <c r="D184" s="3"/>
      <c r="G184" s="3"/>
      <c r="J184" s="3"/>
    </row>
    <row r="185">
      <c r="A185" s="9"/>
      <c r="D185" s="3"/>
      <c r="G185" s="3"/>
      <c r="J185" s="3"/>
    </row>
    <row r="186">
      <c r="A186" s="9"/>
      <c r="D186" s="3"/>
      <c r="G186" s="3"/>
      <c r="J186" s="3"/>
    </row>
    <row r="187">
      <c r="A187" s="9"/>
      <c r="D187" s="3"/>
      <c r="G187" s="3"/>
      <c r="J187" s="3"/>
    </row>
    <row r="188">
      <c r="A188" s="9"/>
      <c r="D188" s="3"/>
      <c r="G188" s="3"/>
      <c r="J188" s="3"/>
    </row>
    <row r="189">
      <c r="A189" s="9"/>
      <c r="D189" s="3"/>
      <c r="G189" s="3"/>
      <c r="J189" s="3"/>
    </row>
    <row r="190">
      <c r="A190" s="9"/>
      <c r="D190" s="3"/>
      <c r="G190" s="3"/>
      <c r="J190" s="3"/>
    </row>
    <row r="191">
      <c r="A191" s="9"/>
      <c r="D191" s="3"/>
      <c r="G191" s="3"/>
      <c r="J191" s="3"/>
    </row>
    <row r="192">
      <c r="A192" s="9"/>
      <c r="D192" s="3"/>
      <c r="G192" s="3"/>
      <c r="J192" s="3"/>
    </row>
    <row r="193">
      <c r="A193" s="9"/>
      <c r="D193" s="3"/>
      <c r="G193" s="3"/>
      <c r="J193" s="3"/>
    </row>
    <row r="194">
      <c r="A194" s="9"/>
      <c r="D194" s="3"/>
      <c r="G194" s="3"/>
      <c r="J194" s="3"/>
    </row>
    <row r="195">
      <c r="A195" s="9"/>
      <c r="D195" s="3"/>
      <c r="G195" s="3"/>
      <c r="J195" s="3"/>
    </row>
    <row r="196">
      <c r="A196" s="9"/>
      <c r="D196" s="3"/>
      <c r="G196" s="3"/>
      <c r="J196" s="3"/>
    </row>
    <row r="197">
      <c r="A197" s="9"/>
      <c r="D197" s="3"/>
      <c r="G197" s="3"/>
      <c r="J197" s="3"/>
    </row>
    <row r="198">
      <c r="A198" s="9"/>
      <c r="D198" s="3"/>
      <c r="G198" s="3"/>
      <c r="J198" s="3"/>
    </row>
    <row r="199">
      <c r="A199" s="9"/>
      <c r="D199" s="3"/>
      <c r="G199" s="3"/>
      <c r="J199" s="3"/>
    </row>
    <row r="200">
      <c r="A200" s="9"/>
      <c r="D200" s="3"/>
      <c r="G200" s="3"/>
      <c r="J200" s="3"/>
    </row>
    <row r="201">
      <c r="A201" s="9"/>
      <c r="D201" s="3"/>
      <c r="G201" s="3"/>
      <c r="J201" s="3"/>
    </row>
    <row r="202">
      <c r="A202" s="9"/>
      <c r="D202" s="3"/>
      <c r="G202" s="3"/>
      <c r="J202" s="3"/>
    </row>
    <row r="203">
      <c r="A203" s="9"/>
      <c r="D203" s="3"/>
      <c r="G203" s="3"/>
      <c r="J203" s="3"/>
    </row>
    <row r="204">
      <c r="A204" s="9"/>
      <c r="D204" s="3"/>
      <c r="G204" s="3"/>
      <c r="J204" s="3"/>
    </row>
    <row r="205">
      <c r="A205" s="9"/>
      <c r="D205" s="3"/>
      <c r="G205" s="3"/>
      <c r="J205" s="3"/>
    </row>
    <row r="206">
      <c r="A206" s="9"/>
      <c r="D206" s="3"/>
      <c r="G206" s="3"/>
      <c r="J206" s="3"/>
    </row>
    <row r="207">
      <c r="A207" s="9"/>
      <c r="D207" s="3"/>
      <c r="G207" s="3"/>
      <c r="J207" s="3"/>
    </row>
    <row r="208">
      <c r="A208" s="9"/>
      <c r="D208" s="3"/>
      <c r="G208" s="3"/>
      <c r="J208" s="3"/>
    </row>
    <row r="209">
      <c r="A209" s="9"/>
      <c r="D209" s="3"/>
      <c r="G209" s="3"/>
      <c r="J209" s="3"/>
    </row>
    <row r="210">
      <c r="A210" s="9"/>
      <c r="D210" s="3"/>
      <c r="G210" s="3"/>
      <c r="J210" s="3"/>
    </row>
    <row r="211">
      <c r="A211" s="9"/>
      <c r="D211" s="3"/>
      <c r="G211" s="3"/>
      <c r="J211" s="3"/>
    </row>
    <row r="212">
      <c r="A212" s="9"/>
      <c r="D212" s="3"/>
      <c r="G212" s="3"/>
      <c r="J212" s="3"/>
    </row>
    <row r="213">
      <c r="A213" s="9"/>
      <c r="D213" s="3"/>
      <c r="G213" s="3"/>
      <c r="J213" s="3"/>
    </row>
    <row r="214">
      <c r="A214" s="9"/>
      <c r="D214" s="3"/>
      <c r="G214" s="3"/>
      <c r="J214" s="3"/>
    </row>
    <row r="215">
      <c r="A215" s="9"/>
      <c r="D215" s="3"/>
      <c r="G215" s="3"/>
      <c r="J215" s="3"/>
    </row>
    <row r="216">
      <c r="A216" s="9"/>
      <c r="D216" s="3"/>
      <c r="G216" s="3"/>
      <c r="J216" s="3"/>
    </row>
    <row r="217">
      <c r="A217" s="9"/>
      <c r="D217" s="3"/>
      <c r="G217" s="3"/>
      <c r="J217" s="3"/>
    </row>
    <row r="218">
      <c r="A218" s="9"/>
      <c r="D218" s="3"/>
      <c r="G218" s="3"/>
      <c r="J218" s="3"/>
    </row>
    <row r="219">
      <c r="A219" s="9"/>
      <c r="D219" s="3"/>
      <c r="G219" s="3"/>
      <c r="J219" s="3"/>
    </row>
    <row r="220">
      <c r="A220" s="9"/>
      <c r="D220" s="3"/>
      <c r="G220" s="3"/>
      <c r="J220" s="3"/>
    </row>
    <row r="221">
      <c r="A221" s="9"/>
      <c r="D221" s="3"/>
      <c r="G221" s="3"/>
      <c r="J221" s="3"/>
    </row>
    <row r="222">
      <c r="A222" s="9"/>
      <c r="D222" s="3"/>
      <c r="G222" s="3"/>
      <c r="J222" s="3"/>
    </row>
    <row r="223">
      <c r="A223" s="9"/>
      <c r="D223" s="3"/>
      <c r="G223" s="3"/>
      <c r="J223" s="3"/>
    </row>
    <row r="224">
      <c r="A224" s="9"/>
      <c r="D224" s="3"/>
      <c r="G224" s="3"/>
      <c r="J224" s="3"/>
    </row>
    <row r="225">
      <c r="A225" s="9"/>
      <c r="D225" s="3"/>
      <c r="G225" s="3"/>
      <c r="J225" s="3"/>
    </row>
    <row r="226">
      <c r="A226" s="9"/>
      <c r="D226" s="3"/>
      <c r="G226" s="3"/>
      <c r="J226" s="3"/>
    </row>
    <row r="227">
      <c r="A227" s="9"/>
      <c r="D227" s="3"/>
      <c r="G227" s="3"/>
      <c r="J227" s="3"/>
    </row>
    <row r="228">
      <c r="A228" s="9"/>
      <c r="D228" s="3"/>
      <c r="G228" s="3"/>
      <c r="J228" s="3"/>
    </row>
    <row r="229">
      <c r="A229" s="9"/>
      <c r="D229" s="3"/>
      <c r="G229" s="3"/>
      <c r="J229" s="3"/>
    </row>
    <row r="230">
      <c r="A230" s="9"/>
      <c r="D230" s="3"/>
      <c r="G230" s="3"/>
      <c r="J230" s="3"/>
    </row>
    <row r="231">
      <c r="A231" s="9"/>
      <c r="D231" s="3"/>
      <c r="G231" s="3"/>
      <c r="J231" s="3"/>
    </row>
    <row r="232">
      <c r="A232" s="9"/>
      <c r="D232" s="3"/>
      <c r="G232" s="3"/>
      <c r="J232" s="3"/>
    </row>
    <row r="233">
      <c r="A233" s="9"/>
      <c r="D233" s="3"/>
      <c r="G233" s="3"/>
      <c r="J233" s="3"/>
    </row>
    <row r="234">
      <c r="A234" s="9"/>
      <c r="D234" s="3"/>
      <c r="G234" s="3"/>
      <c r="J234" s="3"/>
    </row>
    <row r="235">
      <c r="A235" s="9"/>
      <c r="D235" s="3"/>
      <c r="G235" s="3"/>
      <c r="J235" s="3"/>
    </row>
    <row r="236">
      <c r="A236" s="9"/>
      <c r="D236" s="3"/>
      <c r="G236" s="3"/>
      <c r="J236" s="3"/>
    </row>
    <row r="237">
      <c r="A237" s="9"/>
      <c r="D237" s="3"/>
      <c r="G237" s="3"/>
      <c r="J237" s="3"/>
    </row>
    <row r="238">
      <c r="A238" s="9"/>
      <c r="D238" s="3"/>
      <c r="G238" s="3"/>
      <c r="J238" s="3"/>
    </row>
    <row r="239">
      <c r="A239" s="9"/>
      <c r="D239" s="3"/>
      <c r="G239" s="3"/>
      <c r="J239" s="3"/>
    </row>
    <row r="240">
      <c r="A240" s="9"/>
      <c r="D240" s="3"/>
      <c r="G240" s="3"/>
      <c r="J240" s="3"/>
    </row>
    <row r="241">
      <c r="A241" s="9"/>
      <c r="D241" s="3"/>
      <c r="G241" s="3"/>
      <c r="J241" s="3"/>
    </row>
    <row r="242">
      <c r="A242" s="9"/>
      <c r="D242" s="3"/>
      <c r="G242" s="3"/>
      <c r="J242" s="3"/>
    </row>
    <row r="243">
      <c r="A243" s="9"/>
      <c r="D243" s="3"/>
      <c r="G243" s="3"/>
      <c r="J243" s="3"/>
    </row>
    <row r="244">
      <c r="A244" s="9"/>
      <c r="D244" s="3"/>
      <c r="G244" s="3"/>
      <c r="J244" s="3"/>
    </row>
    <row r="245">
      <c r="A245" s="9"/>
      <c r="D245" s="3"/>
      <c r="G245" s="3"/>
      <c r="J245" s="3"/>
    </row>
    <row r="246">
      <c r="A246" s="9"/>
      <c r="D246" s="3"/>
      <c r="G246" s="3"/>
      <c r="J246" s="3"/>
    </row>
    <row r="247">
      <c r="A247" s="9"/>
      <c r="D247" s="3"/>
      <c r="G247" s="3"/>
      <c r="J247" s="3"/>
    </row>
    <row r="248">
      <c r="A248" s="9"/>
      <c r="D248" s="3"/>
      <c r="G248" s="3"/>
      <c r="J248" s="3"/>
    </row>
    <row r="249">
      <c r="A249" s="9"/>
      <c r="D249" s="3"/>
      <c r="G249" s="3"/>
      <c r="J249" s="3"/>
    </row>
    <row r="250">
      <c r="A250" s="9"/>
      <c r="D250" s="3"/>
      <c r="G250" s="3"/>
      <c r="J250" s="3"/>
    </row>
    <row r="251">
      <c r="A251" s="9"/>
      <c r="D251" s="3"/>
      <c r="G251" s="3"/>
      <c r="J251" s="3"/>
    </row>
    <row r="252">
      <c r="A252" s="9"/>
      <c r="D252" s="3"/>
      <c r="G252" s="3"/>
      <c r="J252" s="3"/>
    </row>
    <row r="253">
      <c r="A253" s="9"/>
      <c r="D253" s="3"/>
      <c r="G253" s="3"/>
      <c r="J253" s="3"/>
    </row>
    <row r="254">
      <c r="A254" s="9"/>
      <c r="D254" s="3"/>
      <c r="G254" s="3"/>
      <c r="J254" s="3"/>
    </row>
    <row r="255">
      <c r="A255" s="9"/>
      <c r="D255" s="3"/>
      <c r="G255" s="3"/>
      <c r="J255" s="3"/>
    </row>
    <row r="256">
      <c r="A256" s="9"/>
      <c r="D256" s="3"/>
      <c r="G256" s="3"/>
      <c r="J256" s="3"/>
    </row>
    <row r="257">
      <c r="A257" s="9"/>
      <c r="D257" s="3"/>
      <c r="G257" s="3"/>
      <c r="J257" s="3"/>
    </row>
    <row r="258">
      <c r="A258" s="9"/>
      <c r="D258" s="3"/>
      <c r="G258" s="3"/>
      <c r="J258" s="3"/>
    </row>
    <row r="259">
      <c r="A259" s="9"/>
      <c r="D259" s="3"/>
      <c r="G259" s="3"/>
      <c r="J259" s="3"/>
    </row>
    <row r="260">
      <c r="A260" s="9"/>
      <c r="D260" s="3"/>
      <c r="G260" s="3"/>
      <c r="J260" s="3"/>
    </row>
    <row r="261">
      <c r="A261" s="9"/>
      <c r="D261" s="3"/>
      <c r="G261" s="3"/>
      <c r="J261" s="3"/>
    </row>
    <row r="262">
      <c r="A262" s="9"/>
      <c r="D262" s="3"/>
      <c r="G262" s="3"/>
      <c r="J262" s="3"/>
    </row>
    <row r="263">
      <c r="A263" s="9"/>
      <c r="D263" s="3"/>
      <c r="G263" s="3"/>
      <c r="J263" s="3"/>
    </row>
    <row r="264">
      <c r="A264" s="9"/>
      <c r="D264" s="3"/>
      <c r="G264" s="3"/>
      <c r="J264" s="3"/>
    </row>
    <row r="265">
      <c r="A265" s="9"/>
      <c r="D265" s="3"/>
      <c r="G265" s="3"/>
      <c r="J265" s="3"/>
    </row>
    <row r="266">
      <c r="A266" s="9"/>
      <c r="D266" s="3"/>
      <c r="G266" s="3"/>
      <c r="J266" s="3"/>
    </row>
    <row r="267">
      <c r="A267" s="9"/>
      <c r="D267" s="3"/>
      <c r="G267" s="3"/>
      <c r="J267" s="3"/>
    </row>
    <row r="268">
      <c r="A268" s="9"/>
      <c r="D268" s="3"/>
      <c r="G268" s="3"/>
      <c r="J268" s="3"/>
    </row>
    <row r="269">
      <c r="A269" s="9"/>
      <c r="D269" s="3"/>
      <c r="G269" s="3"/>
      <c r="J269" s="3"/>
    </row>
    <row r="270">
      <c r="A270" s="9"/>
      <c r="D270" s="3"/>
      <c r="G270" s="3"/>
      <c r="J270" s="3"/>
    </row>
    <row r="271">
      <c r="A271" s="9"/>
      <c r="D271" s="3"/>
      <c r="G271" s="3"/>
      <c r="J271" s="3"/>
    </row>
    <row r="272">
      <c r="A272" s="9"/>
      <c r="D272" s="3"/>
      <c r="G272" s="3"/>
      <c r="J272" s="3"/>
    </row>
    <row r="273">
      <c r="A273" s="9"/>
      <c r="D273" s="3"/>
      <c r="G273" s="3"/>
      <c r="J273" s="3"/>
    </row>
    <row r="274">
      <c r="A274" s="9"/>
      <c r="D274" s="3"/>
      <c r="G274" s="3"/>
      <c r="J274" s="3"/>
    </row>
    <row r="275">
      <c r="A275" s="9"/>
      <c r="D275" s="3"/>
      <c r="G275" s="3"/>
      <c r="J275" s="3"/>
    </row>
    <row r="276">
      <c r="A276" s="9"/>
      <c r="D276" s="3"/>
      <c r="G276" s="3"/>
      <c r="J276" s="3"/>
    </row>
    <row r="277">
      <c r="A277" s="9"/>
      <c r="D277" s="3"/>
      <c r="G277" s="3"/>
      <c r="J277" s="3"/>
    </row>
    <row r="278">
      <c r="A278" s="9"/>
      <c r="D278" s="3"/>
      <c r="G278" s="3"/>
      <c r="J278" s="3"/>
    </row>
    <row r="279">
      <c r="A279" s="9"/>
      <c r="D279" s="3"/>
      <c r="G279" s="3"/>
      <c r="J279" s="3"/>
    </row>
    <row r="280">
      <c r="A280" s="9"/>
      <c r="D280" s="3"/>
      <c r="G280" s="3"/>
      <c r="J280" s="3"/>
    </row>
    <row r="281">
      <c r="A281" s="9"/>
      <c r="D281" s="3"/>
      <c r="G281" s="3"/>
      <c r="J281" s="3"/>
    </row>
    <row r="282">
      <c r="A282" s="9"/>
      <c r="D282" s="3"/>
      <c r="G282" s="3"/>
      <c r="J282" s="3"/>
    </row>
    <row r="283">
      <c r="A283" s="9"/>
      <c r="D283" s="3"/>
      <c r="G283" s="3"/>
      <c r="J283" s="3"/>
    </row>
    <row r="284">
      <c r="A284" s="9"/>
      <c r="D284" s="3"/>
      <c r="G284" s="3"/>
      <c r="J284" s="3"/>
    </row>
    <row r="285">
      <c r="A285" s="9"/>
      <c r="D285" s="3"/>
      <c r="G285" s="3"/>
      <c r="J285" s="3"/>
    </row>
    <row r="286">
      <c r="A286" s="9"/>
      <c r="D286" s="3"/>
      <c r="G286" s="3"/>
      <c r="J286" s="3"/>
    </row>
    <row r="287">
      <c r="A287" s="9"/>
      <c r="D287" s="3"/>
      <c r="G287" s="3"/>
      <c r="J287" s="3"/>
    </row>
    <row r="288">
      <c r="A288" s="9"/>
      <c r="D288" s="3"/>
      <c r="G288" s="3"/>
      <c r="J288" s="3"/>
    </row>
    <row r="289">
      <c r="A289" s="9"/>
      <c r="D289" s="3"/>
      <c r="G289" s="3"/>
      <c r="J289" s="3"/>
    </row>
    <row r="290">
      <c r="A290" s="9"/>
      <c r="D290" s="3"/>
      <c r="G290" s="3"/>
      <c r="J290" s="3"/>
    </row>
    <row r="291">
      <c r="A291" s="9"/>
      <c r="D291" s="3"/>
      <c r="G291" s="3"/>
      <c r="J291" s="3"/>
    </row>
    <row r="292">
      <c r="A292" s="9"/>
      <c r="D292" s="3"/>
      <c r="G292" s="3"/>
      <c r="J292" s="3"/>
    </row>
    <row r="293">
      <c r="A293" s="9"/>
      <c r="D293" s="3"/>
      <c r="G293" s="3"/>
      <c r="J293" s="3"/>
    </row>
    <row r="294">
      <c r="A294" s="9"/>
      <c r="D294" s="3"/>
      <c r="G294" s="3"/>
      <c r="J294" s="3"/>
    </row>
    <row r="295">
      <c r="A295" s="9"/>
      <c r="D295" s="3"/>
      <c r="G295" s="3"/>
      <c r="J295" s="3"/>
    </row>
    <row r="296">
      <c r="A296" s="9"/>
      <c r="D296" s="3"/>
      <c r="G296" s="3"/>
      <c r="J296" s="3"/>
    </row>
    <row r="297">
      <c r="A297" s="9"/>
      <c r="D297" s="3"/>
      <c r="G297" s="3"/>
      <c r="J297" s="3"/>
    </row>
    <row r="298">
      <c r="A298" s="9"/>
      <c r="D298" s="3"/>
      <c r="G298" s="3"/>
      <c r="J298" s="3"/>
    </row>
    <row r="299">
      <c r="A299" s="9"/>
      <c r="D299" s="3"/>
      <c r="G299" s="3"/>
      <c r="J299" s="3"/>
    </row>
    <row r="300">
      <c r="A300" s="9"/>
      <c r="D300" s="3"/>
      <c r="G300" s="3"/>
      <c r="J300" s="3"/>
    </row>
    <row r="301">
      <c r="A301" s="9"/>
      <c r="D301" s="3"/>
      <c r="G301" s="3"/>
      <c r="J301" s="3"/>
    </row>
    <row r="302">
      <c r="A302" s="9"/>
      <c r="D302" s="3"/>
      <c r="G302" s="3"/>
      <c r="J302" s="3"/>
    </row>
    <row r="303">
      <c r="A303" s="9"/>
      <c r="D303" s="3"/>
      <c r="G303" s="3"/>
      <c r="J303" s="3"/>
    </row>
    <row r="304">
      <c r="A304" s="9"/>
      <c r="D304" s="3"/>
      <c r="G304" s="3"/>
      <c r="J304" s="3"/>
    </row>
    <row r="305">
      <c r="A305" s="9"/>
      <c r="D305" s="3"/>
      <c r="G305" s="3"/>
      <c r="J305" s="3"/>
    </row>
    <row r="306">
      <c r="A306" s="9"/>
      <c r="D306" s="3"/>
      <c r="G306" s="3"/>
      <c r="J306" s="3"/>
    </row>
    <row r="307">
      <c r="A307" s="9"/>
      <c r="D307" s="3"/>
      <c r="G307" s="3"/>
      <c r="J307" s="3"/>
    </row>
    <row r="308">
      <c r="A308" s="9"/>
      <c r="D308" s="3"/>
      <c r="G308" s="3"/>
      <c r="J308" s="3"/>
    </row>
    <row r="309">
      <c r="A309" s="9"/>
      <c r="D309" s="3"/>
      <c r="G309" s="3"/>
      <c r="J309" s="3"/>
    </row>
    <row r="310">
      <c r="A310" s="9"/>
      <c r="D310" s="3"/>
      <c r="G310" s="3"/>
      <c r="J310" s="3"/>
    </row>
    <row r="311">
      <c r="A311" s="9"/>
      <c r="D311" s="3"/>
      <c r="G311" s="3"/>
      <c r="J311" s="3"/>
    </row>
    <row r="312">
      <c r="A312" s="9"/>
      <c r="D312" s="3"/>
      <c r="G312" s="3"/>
      <c r="J312" s="3"/>
    </row>
    <row r="313">
      <c r="A313" s="9"/>
      <c r="D313" s="3"/>
      <c r="G313" s="3"/>
      <c r="J313" s="3"/>
    </row>
    <row r="314">
      <c r="A314" s="9"/>
      <c r="D314" s="3"/>
      <c r="G314" s="3"/>
      <c r="J314" s="3"/>
    </row>
    <row r="315">
      <c r="A315" s="9"/>
      <c r="D315" s="3"/>
      <c r="G315" s="3"/>
      <c r="J315" s="3"/>
    </row>
    <row r="316">
      <c r="A316" s="9"/>
      <c r="D316" s="3"/>
      <c r="G316" s="3"/>
      <c r="J316" s="3"/>
    </row>
    <row r="317">
      <c r="A317" s="9"/>
      <c r="D317" s="3"/>
      <c r="G317" s="3"/>
      <c r="J317" s="3"/>
    </row>
    <row r="318">
      <c r="A318" s="9"/>
      <c r="D318" s="3"/>
      <c r="G318" s="3"/>
      <c r="J318" s="3"/>
    </row>
    <row r="319">
      <c r="A319" s="9"/>
      <c r="D319" s="3"/>
      <c r="G319" s="3"/>
      <c r="J319" s="3"/>
    </row>
    <row r="320">
      <c r="A320" s="9"/>
      <c r="D320" s="3"/>
      <c r="G320" s="3"/>
      <c r="J320" s="3"/>
    </row>
    <row r="321">
      <c r="A321" s="9"/>
      <c r="D321" s="3"/>
      <c r="G321" s="3"/>
      <c r="J321" s="3"/>
    </row>
    <row r="322">
      <c r="A322" s="9"/>
      <c r="D322" s="3"/>
      <c r="G322" s="3"/>
      <c r="J322" s="3"/>
    </row>
    <row r="323">
      <c r="A323" s="9"/>
      <c r="D323" s="3"/>
      <c r="G323" s="3"/>
      <c r="J323" s="3"/>
    </row>
    <row r="324">
      <c r="A324" s="9"/>
      <c r="D324" s="3"/>
      <c r="G324" s="3"/>
      <c r="J324" s="3"/>
    </row>
    <row r="325">
      <c r="A325" s="9"/>
      <c r="D325" s="3"/>
      <c r="G325" s="3"/>
      <c r="J325" s="3"/>
    </row>
    <row r="326">
      <c r="A326" s="9"/>
      <c r="D326" s="3"/>
      <c r="G326" s="3"/>
      <c r="J326" s="3"/>
    </row>
    <row r="327">
      <c r="A327" s="9"/>
      <c r="D327" s="3"/>
      <c r="G327" s="3"/>
      <c r="J327" s="3"/>
    </row>
    <row r="328">
      <c r="A328" s="9"/>
      <c r="D328" s="3"/>
      <c r="G328" s="3"/>
      <c r="J328" s="3"/>
    </row>
    <row r="329">
      <c r="A329" s="9"/>
      <c r="D329" s="3"/>
      <c r="G329" s="3"/>
      <c r="J329" s="3"/>
    </row>
    <row r="330">
      <c r="A330" s="9"/>
      <c r="D330" s="3"/>
      <c r="G330" s="3"/>
      <c r="J330" s="3"/>
    </row>
    <row r="331">
      <c r="A331" s="9"/>
      <c r="D331" s="3"/>
      <c r="G331" s="3"/>
      <c r="J331" s="3"/>
    </row>
    <row r="332">
      <c r="A332" s="9"/>
      <c r="D332" s="3"/>
      <c r="G332" s="3"/>
      <c r="J332" s="3"/>
    </row>
    <row r="333">
      <c r="A333" s="9"/>
      <c r="D333" s="3"/>
      <c r="G333" s="3"/>
      <c r="J333" s="3"/>
    </row>
    <row r="334">
      <c r="A334" s="9"/>
      <c r="D334" s="3"/>
      <c r="G334" s="3"/>
      <c r="J334" s="3"/>
    </row>
    <row r="335">
      <c r="A335" s="9"/>
      <c r="D335" s="3"/>
      <c r="G335" s="3"/>
      <c r="J335" s="3"/>
    </row>
    <row r="336">
      <c r="A336" s="9"/>
      <c r="D336" s="3"/>
      <c r="G336" s="3"/>
      <c r="J336" s="3"/>
    </row>
    <row r="337">
      <c r="A337" s="9"/>
      <c r="D337" s="3"/>
      <c r="G337" s="3"/>
      <c r="J337" s="3"/>
    </row>
    <row r="338">
      <c r="A338" s="9"/>
      <c r="D338" s="3"/>
      <c r="G338" s="3"/>
      <c r="J338" s="3"/>
    </row>
    <row r="339">
      <c r="A339" s="9"/>
      <c r="D339" s="3"/>
      <c r="G339" s="3"/>
      <c r="J339" s="3"/>
    </row>
    <row r="340">
      <c r="A340" s="9"/>
      <c r="D340" s="3"/>
      <c r="G340" s="3"/>
      <c r="J340" s="3"/>
    </row>
    <row r="341">
      <c r="A341" s="9"/>
      <c r="D341" s="3"/>
      <c r="G341" s="3"/>
      <c r="J341" s="3"/>
    </row>
    <row r="342">
      <c r="A342" s="9"/>
      <c r="D342" s="3"/>
      <c r="G342" s="3"/>
      <c r="J342" s="3"/>
    </row>
    <row r="343">
      <c r="A343" s="9"/>
      <c r="D343" s="3"/>
      <c r="G343" s="3"/>
      <c r="J343" s="3"/>
    </row>
    <row r="344">
      <c r="A344" s="9"/>
      <c r="D344" s="3"/>
      <c r="G344" s="3"/>
      <c r="J344" s="3"/>
    </row>
    <row r="345">
      <c r="A345" s="9"/>
      <c r="D345" s="3"/>
      <c r="G345" s="3"/>
      <c r="J345" s="3"/>
    </row>
    <row r="346">
      <c r="A346" s="9"/>
      <c r="D346" s="3"/>
      <c r="G346" s="3"/>
      <c r="J346" s="3"/>
    </row>
    <row r="347">
      <c r="A347" s="9"/>
      <c r="D347" s="3"/>
      <c r="G347" s="3"/>
      <c r="J347" s="3"/>
    </row>
    <row r="348">
      <c r="A348" s="9"/>
      <c r="D348" s="3"/>
      <c r="G348" s="3"/>
      <c r="J348" s="3"/>
    </row>
    <row r="349">
      <c r="A349" s="9"/>
      <c r="D349" s="3"/>
      <c r="G349" s="3"/>
      <c r="J349" s="3"/>
    </row>
    <row r="350">
      <c r="A350" s="9"/>
      <c r="D350" s="3"/>
      <c r="G350" s="3"/>
      <c r="J350" s="3"/>
    </row>
    <row r="351">
      <c r="A351" s="9"/>
      <c r="D351" s="3"/>
      <c r="G351" s="3"/>
      <c r="J351" s="3"/>
    </row>
    <row r="352">
      <c r="A352" s="9"/>
      <c r="D352" s="3"/>
      <c r="G352" s="3"/>
      <c r="J352" s="3"/>
    </row>
    <row r="353">
      <c r="A353" s="9"/>
      <c r="D353" s="3"/>
      <c r="G353" s="3"/>
      <c r="J353" s="3"/>
    </row>
    <row r="354">
      <c r="A354" s="9"/>
      <c r="D354" s="3"/>
      <c r="G354" s="3"/>
      <c r="J354" s="3"/>
    </row>
    <row r="355">
      <c r="A355" s="9"/>
      <c r="D355" s="3"/>
      <c r="G355" s="3"/>
      <c r="J355" s="3"/>
    </row>
    <row r="356">
      <c r="A356" s="9"/>
      <c r="D356" s="3"/>
      <c r="G356" s="3"/>
      <c r="J356" s="3"/>
    </row>
    <row r="357">
      <c r="A357" s="9"/>
      <c r="D357" s="3"/>
      <c r="G357" s="3"/>
      <c r="J357" s="3"/>
    </row>
    <row r="358">
      <c r="A358" s="9"/>
      <c r="D358" s="3"/>
      <c r="G358" s="3"/>
      <c r="J358" s="3"/>
    </row>
    <row r="359">
      <c r="A359" s="9"/>
      <c r="D359" s="3"/>
      <c r="G359" s="3"/>
      <c r="J359" s="3"/>
    </row>
    <row r="360">
      <c r="A360" s="9"/>
      <c r="D360" s="3"/>
      <c r="G360" s="3"/>
      <c r="J360" s="3"/>
    </row>
    <row r="361">
      <c r="A361" s="9"/>
      <c r="D361" s="3"/>
      <c r="G361" s="3"/>
      <c r="J361" s="3"/>
    </row>
    <row r="362">
      <c r="A362" s="9"/>
      <c r="D362" s="3"/>
      <c r="G362" s="3"/>
      <c r="J362" s="3"/>
    </row>
    <row r="363">
      <c r="A363" s="9"/>
      <c r="D363" s="3"/>
      <c r="G363" s="3"/>
      <c r="J363" s="3"/>
    </row>
    <row r="364">
      <c r="A364" s="9"/>
      <c r="D364" s="3"/>
      <c r="G364" s="3"/>
      <c r="J364" s="3"/>
    </row>
    <row r="365">
      <c r="A365" s="9"/>
      <c r="D365" s="3"/>
      <c r="G365" s="3"/>
      <c r="J365" s="3"/>
    </row>
    <row r="366">
      <c r="A366" s="9"/>
      <c r="D366" s="3"/>
      <c r="G366" s="3"/>
      <c r="J366" s="3"/>
    </row>
    <row r="367">
      <c r="A367" s="9"/>
      <c r="D367" s="3"/>
      <c r="G367" s="3"/>
      <c r="J367" s="3"/>
    </row>
    <row r="368">
      <c r="A368" s="9"/>
      <c r="D368" s="3"/>
      <c r="G368" s="3"/>
      <c r="J368" s="3"/>
    </row>
    <row r="369">
      <c r="A369" s="9"/>
      <c r="D369" s="3"/>
      <c r="G369" s="3"/>
      <c r="J369" s="3"/>
    </row>
    <row r="370">
      <c r="A370" s="9"/>
      <c r="D370" s="3"/>
      <c r="G370" s="3"/>
      <c r="J370" s="3"/>
    </row>
    <row r="371">
      <c r="A371" s="9"/>
      <c r="D371" s="3"/>
      <c r="G371" s="3"/>
      <c r="J371" s="3"/>
    </row>
    <row r="372">
      <c r="A372" s="9"/>
      <c r="D372" s="3"/>
      <c r="G372" s="3"/>
      <c r="J372" s="3"/>
    </row>
    <row r="373">
      <c r="A373" s="9"/>
      <c r="D373" s="3"/>
      <c r="G373" s="3"/>
      <c r="J373" s="3"/>
    </row>
    <row r="374">
      <c r="A374" s="9"/>
      <c r="D374" s="3"/>
      <c r="G374" s="3"/>
      <c r="J374" s="3"/>
    </row>
    <row r="375">
      <c r="A375" s="9"/>
      <c r="D375" s="3"/>
      <c r="G375" s="3"/>
      <c r="J375" s="3"/>
    </row>
    <row r="376">
      <c r="A376" s="9"/>
      <c r="D376" s="3"/>
      <c r="G376" s="3"/>
      <c r="J376" s="3"/>
    </row>
    <row r="377">
      <c r="A377" s="9"/>
      <c r="D377" s="3"/>
      <c r="G377" s="3"/>
      <c r="J377" s="3"/>
    </row>
    <row r="378">
      <c r="A378" s="9"/>
      <c r="D378" s="3"/>
      <c r="G378" s="3"/>
      <c r="J378" s="3"/>
    </row>
    <row r="379">
      <c r="A379" s="9"/>
      <c r="D379" s="3"/>
      <c r="G379" s="3"/>
      <c r="J379" s="3"/>
    </row>
    <row r="380">
      <c r="A380" s="9"/>
      <c r="D380" s="3"/>
      <c r="G380" s="3"/>
      <c r="J380" s="3"/>
    </row>
    <row r="381">
      <c r="A381" s="9"/>
      <c r="D381" s="3"/>
      <c r="G381" s="3"/>
      <c r="J381" s="3"/>
    </row>
    <row r="382">
      <c r="A382" s="9"/>
      <c r="D382" s="3"/>
      <c r="G382" s="3"/>
      <c r="J382" s="3"/>
    </row>
    <row r="383">
      <c r="A383" s="9"/>
      <c r="D383" s="3"/>
      <c r="G383" s="3"/>
      <c r="J383" s="3"/>
    </row>
    <row r="384">
      <c r="A384" s="9"/>
      <c r="D384" s="3"/>
      <c r="G384" s="3"/>
      <c r="J384" s="3"/>
    </row>
    <row r="385">
      <c r="A385" s="9"/>
      <c r="D385" s="3"/>
      <c r="G385" s="3"/>
      <c r="J385" s="3"/>
    </row>
    <row r="386">
      <c r="A386" s="9"/>
      <c r="D386" s="3"/>
      <c r="G386" s="3"/>
      <c r="J386" s="3"/>
    </row>
    <row r="387">
      <c r="A387" s="9"/>
      <c r="D387" s="3"/>
      <c r="G387" s="3"/>
      <c r="J387" s="3"/>
    </row>
    <row r="388">
      <c r="A388" s="9"/>
      <c r="D388" s="3"/>
      <c r="G388" s="3"/>
      <c r="J388" s="3"/>
    </row>
    <row r="389">
      <c r="A389" s="9"/>
      <c r="D389" s="3"/>
      <c r="G389" s="3"/>
      <c r="J389" s="3"/>
    </row>
    <row r="390">
      <c r="A390" s="9"/>
      <c r="D390" s="3"/>
      <c r="G390" s="3"/>
      <c r="J390" s="3"/>
    </row>
    <row r="391">
      <c r="A391" s="9"/>
      <c r="D391" s="3"/>
      <c r="G391" s="3"/>
      <c r="J391" s="3"/>
    </row>
    <row r="392">
      <c r="A392" s="9"/>
      <c r="D392" s="3"/>
      <c r="G392" s="3"/>
      <c r="J392" s="3"/>
    </row>
    <row r="393">
      <c r="A393" s="9"/>
      <c r="D393" s="3"/>
      <c r="G393" s="3"/>
      <c r="J393" s="3"/>
    </row>
    <row r="394">
      <c r="A394" s="9"/>
      <c r="D394" s="3"/>
      <c r="G394" s="3"/>
      <c r="J394" s="3"/>
    </row>
    <row r="395">
      <c r="A395" s="9"/>
      <c r="D395" s="3"/>
      <c r="G395" s="3"/>
      <c r="J395" s="3"/>
    </row>
    <row r="396">
      <c r="A396" s="9"/>
      <c r="D396" s="3"/>
      <c r="G396" s="3"/>
      <c r="J396" s="3"/>
    </row>
    <row r="397">
      <c r="A397" s="9"/>
      <c r="D397" s="3"/>
      <c r="G397" s="3"/>
      <c r="J397" s="3"/>
    </row>
    <row r="398">
      <c r="A398" s="9"/>
      <c r="D398" s="3"/>
      <c r="G398" s="3"/>
      <c r="J398" s="3"/>
    </row>
    <row r="399">
      <c r="A399" s="9"/>
      <c r="D399" s="3"/>
      <c r="G399" s="3"/>
      <c r="J399" s="3"/>
    </row>
    <row r="400">
      <c r="A400" s="9"/>
      <c r="D400" s="3"/>
      <c r="G400" s="3"/>
      <c r="J400" s="3"/>
    </row>
    <row r="401">
      <c r="A401" s="9"/>
      <c r="D401" s="3"/>
      <c r="G401" s="3"/>
      <c r="J401" s="3"/>
    </row>
    <row r="402">
      <c r="A402" s="9"/>
      <c r="D402" s="3"/>
      <c r="G402" s="3"/>
      <c r="J402" s="3"/>
    </row>
    <row r="403">
      <c r="A403" s="9"/>
      <c r="D403" s="3"/>
      <c r="G403" s="3"/>
      <c r="J403" s="3"/>
    </row>
    <row r="404">
      <c r="A404" s="9"/>
      <c r="D404" s="3"/>
      <c r="G404" s="3"/>
      <c r="J404" s="3"/>
    </row>
    <row r="405">
      <c r="A405" s="9"/>
      <c r="D405" s="3"/>
      <c r="G405" s="3"/>
      <c r="J405" s="3"/>
    </row>
    <row r="406">
      <c r="A406" s="9"/>
      <c r="D406" s="3"/>
      <c r="G406" s="3"/>
      <c r="J406" s="3"/>
    </row>
    <row r="407">
      <c r="A407" s="9"/>
      <c r="D407" s="3"/>
      <c r="G407" s="3"/>
      <c r="J407" s="3"/>
    </row>
    <row r="408">
      <c r="A408" s="9"/>
      <c r="D408" s="3"/>
      <c r="G408" s="3"/>
      <c r="J408" s="3"/>
    </row>
    <row r="409">
      <c r="A409" s="9"/>
      <c r="D409" s="3"/>
      <c r="G409" s="3"/>
      <c r="J409" s="3"/>
    </row>
    <row r="410">
      <c r="A410" s="9"/>
      <c r="D410" s="3"/>
      <c r="G410" s="3"/>
      <c r="J410" s="3"/>
    </row>
    <row r="411">
      <c r="A411" s="9"/>
      <c r="D411" s="3"/>
      <c r="G411" s="3"/>
      <c r="J411" s="3"/>
    </row>
    <row r="412">
      <c r="A412" s="9"/>
      <c r="D412" s="3"/>
      <c r="G412" s="3"/>
      <c r="J412" s="3"/>
    </row>
    <row r="413">
      <c r="A413" s="9"/>
      <c r="D413" s="3"/>
      <c r="G413" s="3"/>
      <c r="J413" s="3"/>
    </row>
    <row r="414">
      <c r="A414" s="9"/>
      <c r="D414" s="3"/>
      <c r="G414" s="3"/>
      <c r="J414" s="3"/>
    </row>
    <row r="415">
      <c r="A415" s="9"/>
      <c r="D415" s="3"/>
      <c r="G415" s="3"/>
      <c r="J415" s="3"/>
    </row>
    <row r="416">
      <c r="A416" s="9"/>
      <c r="D416" s="3"/>
      <c r="G416" s="3"/>
      <c r="J416" s="3"/>
    </row>
    <row r="417">
      <c r="A417" s="9"/>
      <c r="D417" s="3"/>
      <c r="G417" s="3"/>
      <c r="J417" s="3"/>
    </row>
    <row r="418">
      <c r="A418" s="9"/>
      <c r="D418" s="3"/>
      <c r="G418" s="3"/>
      <c r="J418" s="3"/>
    </row>
    <row r="419">
      <c r="A419" s="9"/>
      <c r="D419" s="3"/>
      <c r="G419" s="3"/>
      <c r="J419" s="3"/>
    </row>
    <row r="420">
      <c r="A420" s="9"/>
      <c r="D420" s="3"/>
      <c r="G420" s="3"/>
      <c r="J420" s="3"/>
    </row>
    <row r="421">
      <c r="A421" s="9"/>
      <c r="D421" s="3"/>
      <c r="G421" s="3"/>
      <c r="J421" s="3"/>
    </row>
    <row r="422">
      <c r="A422" s="9"/>
      <c r="D422" s="3"/>
      <c r="G422" s="3"/>
      <c r="J422" s="3"/>
    </row>
    <row r="423">
      <c r="A423" s="9"/>
      <c r="D423" s="3"/>
      <c r="G423" s="3"/>
      <c r="J423" s="3"/>
    </row>
    <row r="424">
      <c r="A424" s="9"/>
      <c r="D424" s="3"/>
      <c r="G424" s="3"/>
      <c r="J424" s="3"/>
    </row>
    <row r="425">
      <c r="A425" s="9"/>
      <c r="D425" s="3"/>
      <c r="G425" s="3"/>
      <c r="J425" s="3"/>
    </row>
    <row r="426">
      <c r="A426" s="9"/>
      <c r="D426" s="3"/>
      <c r="G426" s="3"/>
      <c r="J426" s="3"/>
    </row>
    <row r="427">
      <c r="A427" s="9"/>
      <c r="D427" s="3"/>
      <c r="G427" s="3"/>
      <c r="J427" s="3"/>
    </row>
    <row r="428">
      <c r="A428" s="9"/>
      <c r="D428" s="3"/>
      <c r="G428" s="3"/>
      <c r="J428" s="3"/>
    </row>
    <row r="429">
      <c r="A429" s="9"/>
      <c r="D429" s="3"/>
      <c r="G429" s="3"/>
      <c r="J429" s="3"/>
    </row>
    <row r="430">
      <c r="A430" s="9"/>
      <c r="D430" s="3"/>
      <c r="G430" s="3"/>
      <c r="J430" s="3"/>
    </row>
    <row r="431">
      <c r="A431" s="9"/>
      <c r="D431" s="3"/>
      <c r="G431" s="3"/>
      <c r="J431" s="3"/>
    </row>
    <row r="432">
      <c r="A432" s="9"/>
      <c r="D432" s="3"/>
      <c r="G432" s="3"/>
      <c r="J432" s="3"/>
    </row>
    <row r="433">
      <c r="A433" s="9"/>
      <c r="D433" s="3"/>
      <c r="G433" s="3"/>
      <c r="J433" s="3"/>
    </row>
    <row r="434">
      <c r="A434" s="9"/>
      <c r="D434" s="3"/>
      <c r="G434" s="3"/>
      <c r="J434" s="3"/>
    </row>
    <row r="435">
      <c r="A435" s="9"/>
      <c r="D435" s="3"/>
      <c r="G435" s="3"/>
      <c r="J435" s="3"/>
    </row>
    <row r="436">
      <c r="A436" s="9"/>
      <c r="D436" s="3"/>
      <c r="G436" s="3"/>
      <c r="J436" s="3"/>
    </row>
    <row r="437">
      <c r="A437" s="9"/>
      <c r="D437" s="3"/>
      <c r="G437" s="3"/>
      <c r="J437" s="3"/>
    </row>
    <row r="438">
      <c r="A438" s="9"/>
      <c r="D438" s="3"/>
      <c r="G438" s="3"/>
      <c r="J438" s="3"/>
    </row>
    <row r="439">
      <c r="A439" s="9"/>
      <c r="D439" s="3"/>
      <c r="G439" s="3"/>
      <c r="J439" s="3"/>
    </row>
    <row r="440">
      <c r="A440" s="9"/>
      <c r="D440" s="3"/>
      <c r="G440" s="3"/>
      <c r="J440" s="3"/>
    </row>
    <row r="441">
      <c r="A441" s="9"/>
      <c r="D441" s="3"/>
      <c r="G441" s="3"/>
      <c r="J441" s="3"/>
    </row>
    <row r="442">
      <c r="A442" s="9"/>
      <c r="D442" s="3"/>
      <c r="G442" s="3"/>
      <c r="J442" s="3"/>
    </row>
    <row r="443">
      <c r="A443" s="9"/>
      <c r="D443" s="3"/>
      <c r="G443" s="3"/>
      <c r="J443" s="3"/>
    </row>
    <row r="444">
      <c r="A444" s="9"/>
      <c r="D444" s="3"/>
      <c r="G444" s="3"/>
      <c r="J444" s="3"/>
    </row>
    <row r="445">
      <c r="A445" s="9"/>
      <c r="D445" s="3"/>
      <c r="G445" s="3"/>
      <c r="J445" s="3"/>
    </row>
    <row r="446">
      <c r="A446" s="9"/>
      <c r="D446" s="3"/>
      <c r="G446" s="3"/>
      <c r="J446" s="3"/>
    </row>
    <row r="447">
      <c r="A447" s="9"/>
      <c r="D447" s="3"/>
      <c r="G447" s="3"/>
      <c r="J447" s="3"/>
    </row>
    <row r="448">
      <c r="A448" s="9"/>
      <c r="D448" s="3"/>
      <c r="G448" s="3"/>
      <c r="J448" s="3"/>
    </row>
    <row r="449">
      <c r="A449" s="9"/>
      <c r="D449" s="3"/>
      <c r="G449" s="3"/>
      <c r="J449" s="3"/>
    </row>
    <row r="450">
      <c r="A450" s="9"/>
      <c r="D450" s="3"/>
      <c r="G450" s="3"/>
      <c r="J450" s="3"/>
    </row>
    <row r="451">
      <c r="A451" s="9"/>
      <c r="D451" s="3"/>
      <c r="G451" s="3"/>
      <c r="J451" s="3"/>
    </row>
    <row r="452">
      <c r="A452" s="9"/>
      <c r="D452" s="3"/>
      <c r="G452" s="3"/>
      <c r="J452" s="3"/>
    </row>
    <row r="453">
      <c r="A453" s="9"/>
      <c r="D453" s="3"/>
      <c r="G453" s="3"/>
      <c r="J453" s="3"/>
    </row>
    <row r="454">
      <c r="A454" s="9"/>
      <c r="D454" s="3"/>
      <c r="G454" s="3"/>
      <c r="J454" s="3"/>
    </row>
    <row r="455">
      <c r="A455" s="9"/>
      <c r="D455" s="3"/>
      <c r="G455" s="3"/>
      <c r="J455" s="3"/>
    </row>
    <row r="456">
      <c r="A456" s="9"/>
      <c r="D456" s="3"/>
      <c r="G456" s="3"/>
      <c r="J456" s="3"/>
    </row>
    <row r="457">
      <c r="A457" s="9"/>
      <c r="D457" s="3"/>
      <c r="G457" s="3"/>
      <c r="J457" s="3"/>
    </row>
    <row r="458">
      <c r="A458" s="9"/>
      <c r="D458" s="3"/>
      <c r="G458" s="3"/>
      <c r="J458" s="3"/>
    </row>
    <row r="459">
      <c r="A459" s="9"/>
      <c r="D459" s="3"/>
      <c r="G459" s="3"/>
      <c r="J459" s="3"/>
    </row>
    <row r="460">
      <c r="A460" s="9"/>
      <c r="D460" s="3"/>
      <c r="G460" s="3"/>
      <c r="J460" s="3"/>
    </row>
    <row r="461">
      <c r="A461" s="9"/>
      <c r="D461" s="3"/>
      <c r="G461" s="3"/>
      <c r="J461" s="3"/>
    </row>
    <row r="462">
      <c r="A462" s="9"/>
      <c r="D462" s="3"/>
      <c r="G462" s="3"/>
      <c r="J462" s="3"/>
    </row>
    <row r="463">
      <c r="A463" s="9"/>
      <c r="D463" s="3"/>
      <c r="G463" s="3"/>
      <c r="J463" s="3"/>
    </row>
    <row r="464">
      <c r="A464" s="9"/>
      <c r="D464" s="3"/>
      <c r="G464" s="3"/>
      <c r="J464" s="3"/>
    </row>
    <row r="465">
      <c r="A465" s="9"/>
      <c r="D465" s="3"/>
      <c r="G465" s="3"/>
      <c r="J465" s="3"/>
    </row>
    <row r="466">
      <c r="A466" s="9"/>
      <c r="D466" s="3"/>
      <c r="G466" s="3"/>
      <c r="J466" s="3"/>
    </row>
    <row r="467">
      <c r="A467" s="9"/>
      <c r="D467" s="3"/>
      <c r="G467" s="3"/>
      <c r="J467" s="3"/>
    </row>
    <row r="468">
      <c r="A468" s="9"/>
      <c r="D468" s="3"/>
      <c r="G468" s="3"/>
      <c r="J468" s="3"/>
    </row>
    <row r="469">
      <c r="A469" s="9"/>
      <c r="D469" s="3"/>
      <c r="G469" s="3"/>
      <c r="J469" s="3"/>
    </row>
    <row r="470">
      <c r="A470" s="9"/>
      <c r="D470" s="3"/>
      <c r="G470" s="3"/>
      <c r="J470" s="3"/>
    </row>
    <row r="471">
      <c r="A471" s="9"/>
      <c r="D471" s="3"/>
      <c r="G471" s="3"/>
      <c r="J471" s="3"/>
    </row>
    <row r="472">
      <c r="A472" s="9"/>
      <c r="D472" s="3"/>
      <c r="G472" s="3"/>
      <c r="J472" s="3"/>
    </row>
    <row r="473">
      <c r="A473" s="9"/>
      <c r="D473" s="3"/>
      <c r="G473" s="3"/>
      <c r="J473" s="3"/>
    </row>
    <row r="474">
      <c r="A474" s="9"/>
      <c r="D474" s="3"/>
      <c r="G474" s="3"/>
      <c r="J474" s="3"/>
    </row>
    <row r="475">
      <c r="A475" s="9"/>
      <c r="D475" s="3"/>
      <c r="G475" s="3"/>
      <c r="J475" s="3"/>
    </row>
    <row r="476">
      <c r="A476" s="9"/>
      <c r="D476" s="3"/>
      <c r="G476" s="3"/>
      <c r="J476" s="3"/>
    </row>
    <row r="477">
      <c r="A477" s="9"/>
      <c r="D477" s="3"/>
      <c r="G477" s="3"/>
      <c r="J477" s="3"/>
    </row>
    <row r="478">
      <c r="A478" s="9"/>
      <c r="D478" s="3"/>
      <c r="G478" s="3"/>
      <c r="J478" s="3"/>
    </row>
    <row r="479">
      <c r="A479" s="9"/>
      <c r="D479" s="3"/>
      <c r="G479" s="3"/>
      <c r="J479" s="3"/>
    </row>
    <row r="480">
      <c r="A480" s="9"/>
      <c r="D480" s="3"/>
      <c r="G480" s="3"/>
      <c r="J480" s="3"/>
    </row>
    <row r="481">
      <c r="A481" s="9"/>
      <c r="D481" s="3"/>
      <c r="G481" s="3"/>
      <c r="J481" s="3"/>
    </row>
    <row r="482">
      <c r="A482" s="9"/>
      <c r="D482" s="3"/>
      <c r="G482" s="3"/>
      <c r="J482" s="3"/>
    </row>
    <row r="483">
      <c r="A483" s="9"/>
      <c r="D483" s="3"/>
      <c r="G483" s="3"/>
      <c r="J483" s="3"/>
    </row>
    <row r="484">
      <c r="A484" s="9"/>
      <c r="D484" s="3"/>
      <c r="G484" s="3"/>
      <c r="J484" s="3"/>
    </row>
    <row r="485">
      <c r="A485" s="9"/>
      <c r="D485" s="3"/>
      <c r="G485" s="3"/>
      <c r="J485" s="3"/>
    </row>
    <row r="486">
      <c r="A486" s="9"/>
      <c r="D486" s="3"/>
      <c r="G486" s="3"/>
      <c r="J486" s="3"/>
    </row>
    <row r="487">
      <c r="A487" s="9"/>
      <c r="D487" s="3"/>
      <c r="G487" s="3"/>
      <c r="J487" s="3"/>
    </row>
    <row r="488">
      <c r="A488" s="9"/>
      <c r="D488" s="3"/>
      <c r="G488" s="3"/>
      <c r="J488" s="3"/>
    </row>
    <row r="489">
      <c r="A489" s="9"/>
      <c r="D489" s="3"/>
      <c r="G489" s="3"/>
      <c r="J489" s="3"/>
    </row>
    <row r="490">
      <c r="A490" s="9"/>
      <c r="D490" s="3"/>
      <c r="G490" s="3"/>
      <c r="J490" s="3"/>
    </row>
    <row r="491">
      <c r="A491" s="9"/>
      <c r="D491" s="3"/>
      <c r="G491" s="3"/>
      <c r="J491" s="3"/>
    </row>
    <row r="492">
      <c r="A492" s="9"/>
      <c r="D492" s="3"/>
      <c r="G492" s="3"/>
      <c r="J492" s="3"/>
    </row>
    <row r="493">
      <c r="A493" s="9"/>
      <c r="D493" s="3"/>
      <c r="G493" s="3"/>
      <c r="J493" s="3"/>
    </row>
    <row r="494">
      <c r="A494" s="9"/>
      <c r="D494" s="3"/>
      <c r="G494" s="3"/>
      <c r="J494" s="3"/>
    </row>
    <row r="495">
      <c r="A495" s="9"/>
      <c r="D495" s="3"/>
      <c r="G495" s="3"/>
      <c r="J495" s="3"/>
    </row>
    <row r="496">
      <c r="A496" s="9"/>
      <c r="D496" s="3"/>
      <c r="G496" s="3"/>
      <c r="J496" s="3"/>
    </row>
    <row r="497">
      <c r="A497" s="9"/>
      <c r="D497" s="3"/>
      <c r="G497" s="3"/>
      <c r="J497" s="3"/>
    </row>
    <row r="498">
      <c r="A498" s="9"/>
      <c r="D498" s="3"/>
      <c r="G498" s="3"/>
      <c r="J498" s="3"/>
    </row>
    <row r="499">
      <c r="A499" s="9"/>
      <c r="D499" s="3"/>
      <c r="G499" s="3"/>
      <c r="J499" s="3"/>
    </row>
    <row r="500">
      <c r="A500" s="9"/>
      <c r="D500" s="3"/>
      <c r="G500" s="3"/>
      <c r="J500" s="3"/>
    </row>
    <row r="501">
      <c r="A501" s="9"/>
      <c r="D501" s="3"/>
      <c r="G501" s="3"/>
      <c r="J501" s="3"/>
    </row>
    <row r="502">
      <c r="A502" s="9"/>
      <c r="D502" s="3"/>
      <c r="G502" s="3"/>
      <c r="J502" s="3"/>
    </row>
    <row r="503">
      <c r="A503" s="9"/>
      <c r="D503" s="3"/>
      <c r="G503" s="3"/>
      <c r="J503" s="3"/>
    </row>
    <row r="504">
      <c r="A504" s="9"/>
      <c r="D504" s="3"/>
      <c r="G504" s="3"/>
      <c r="J504" s="3"/>
    </row>
    <row r="505">
      <c r="A505" s="9"/>
      <c r="D505" s="3"/>
      <c r="G505" s="3"/>
      <c r="J505" s="3"/>
    </row>
    <row r="506">
      <c r="A506" s="9"/>
      <c r="D506" s="3"/>
      <c r="G506" s="3"/>
      <c r="J506" s="3"/>
    </row>
    <row r="507">
      <c r="A507" s="9"/>
      <c r="D507" s="3"/>
      <c r="G507" s="3"/>
      <c r="J507" s="3"/>
    </row>
    <row r="508">
      <c r="A508" s="9"/>
      <c r="D508" s="3"/>
      <c r="G508" s="3"/>
      <c r="J508" s="3"/>
    </row>
    <row r="509">
      <c r="A509" s="9"/>
      <c r="D509" s="3"/>
      <c r="G509" s="3"/>
      <c r="J509" s="3"/>
    </row>
    <row r="510">
      <c r="A510" s="9"/>
      <c r="D510" s="3"/>
      <c r="G510" s="3"/>
      <c r="J510" s="3"/>
    </row>
    <row r="511">
      <c r="A511" s="9"/>
      <c r="D511" s="3"/>
      <c r="G511" s="3"/>
      <c r="J511" s="3"/>
    </row>
    <row r="512">
      <c r="A512" s="9"/>
      <c r="D512" s="3"/>
      <c r="G512" s="3"/>
      <c r="J512" s="3"/>
    </row>
    <row r="513">
      <c r="A513" s="9"/>
      <c r="D513" s="3"/>
      <c r="G513" s="3"/>
      <c r="J513" s="3"/>
    </row>
    <row r="514">
      <c r="A514" s="9"/>
      <c r="D514" s="3"/>
      <c r="G514" s="3"/>
      <c r="J514" s="3"/>
    </row>
    <row r="515">
      <c r="A515" s="9"/>
      <c r="D515" s="3"/>
      <c r="G515" s="3"/>
      <c r="J515" s="3"/>
    </row>
    <row r="516">
      <c r="A516" s="9"/>
      <c r="D516" s="3"/>
      <c r="G516" s="3"/>
      <c r="J516" s="3"/>
    </row>
    <row r="517">
      <c r="A517" s="9"/>
      <c r="D517" s="3"/>
      <c r="G517" s="3"/>
      <c r="J517" s="3"/>
    </row>
    <row r="518">
      <c r="A518" s="9"/>
      <c r="D518" s="3"/>
      <c r="G518" s="3"/>
      <c r="J518" s="3"/>
    </row>
    <row r="519">
      <c r="A519" s="9"/>
      <c r="D519" s="3"/>
      <c r="G519" s="3"/>
      <c r="J519" s="3"/>
    </row>
    <row r="520">
      <c r="A520" s="9"/>
      <c r="D520" s="3"/>
      <c r="G520" s="3"/>
      <c r="J520" s="3"/>
    </row>
    <row r="521">
      <c r="A521" s="9"/>
      <c r="D521" s="3"/>
      <c r="G521" s="3"/>
      <c r="J521" s="3"/>
    </row>
    <row r="522">
      <c r="A522" s="9"/>
      <c r="D522" s="3"/>
      <c r="G522" s="3"/>
      <c r="J522" s="3"/>
    </row>
    <row r="523">
      <c r="A523" s="9"/>
      <c r="D523" s="3"/>
      <c r="G523" s="3"/>
      <c r="J523" s="3"/>
    </row>
    <row r="524">
      <c r="A524" s="9"/>
      <c r="D524" s="3"/>
      <c r="G524" s="3"/>
      <c r="J524" s="3"/>
    </row>
    <row r="525">
      <c r="A525" s="9"/>
      <c r="D525" s="3"/>
      <c r="G525" s="3"/>
      <c r="J525" s="3"/>
    </row>
    <row r="526">
      <c r="A526" s="9"/>
      <c r="D526" s="3"/>
      <c r="G526" s="3"/>
      <c r="J526" s="3"/>
    </row>
    <row r="527">
      <c r="A527" s="9"/>
      <c r="D527" s="3"/>
      <c r="G527" s="3"/>
      <c r="J527" s="3"/>
    </row>
    <row r="528">
      <c r="A528" s="9"/>
      <c r="D528" s="3"/>
      <c r="G528" s="3"/>
      <c r="J528" s="3"/>
    </row>
    <row r="529">
      <c r="A529" s="9"/>
      <c r="D529" s="3"/>
      <c r="G529" s="3"/>
      <c r="J529" s="3"/>
    </row>
    <row r="530">
      <c r="A530" s="9"/>
      <c r="D530" s="3"/>
      <c r="G530" s="3"/>
      <c r="J530" s="3"/>
    </row>
    <row r="531">
      <c r="A531" s="9"/>
      <c r="D531" s="3"/>
      <c r="G531" s="3"/>
      <c r="J531" s="3"/>
    </row>
    <row r="532">
      <c r="A532" s="9"/>
      <c r="D532" s="3"/>
      <c r="G532" s="3"/>
      <c r="J532" s="3"/>
    </row>
    <row r="533">
      <c r="A533" s="9"/>
      <c r="D533" s="3"/>
      <c r="G533" s="3"/>
      <c r="J533" s="3"/>
    </row>
    <row r="534">
      <c r="A534" s="9"/>
      <c r="D534" s="3"/>
      <c r="G534" s="3"/>
      <c r="J534" s="3"/>
    </row>
    <row r="535">
      <c r="A535" s="9"/>
      <c r="D535" s="3"/>
      <c r="G535" s="3"/>
      <c r="J535" s="3"/>
    </row>
    <row r="536">
      <c r="A536" s="9"/>
      <c r="D536" s="3"/>
      <c r="G536" s="3"/>
      <c r="J536" s="3"/>
    </row>
    <row r="537">
      <c r="A537" s="9"/>
      <c r="D537" s="3"/>
      <c r="G537" s="3"/>
      <c r="J537" s="3"/>
    </row>
    <row r="538">
      <c r="A538" s="9"/>
      <c r="D538" s="3"/>
      <c r="G538" s="3"/>
      <c r="J538" s="3"/>
    </row>
    <row r="539">
      <c r="A539" s="9"/>
      <c r="D539" s="3"/>
      <c r="G539" s="3"/>
      <c r="J539" s="3"/>
    </row>
    <row r="540">
      <c r="A540" s="9"/>
      <c r="D540" s="3"/>
      <c r="G540" s="3"/>
      <c r="J540" s="3"/>
    </row>
    <row r="541">
      <c r="A541" s="9"/>
      <c r="D541" s="3"/>
      <c r="G541" s="3"/>
      <c r="J541" s="3"/>
    </row>
    <row r="542">
      <c r="A542" s="9"/>
      <c r="D542" s="3"/>
      <c r="G542" s="3"/>
      <c r="J542" s="3"/>
    </row>
    <row r="543">
      <c r="A543" s="9"/>
      <c r="D543" s="3"/>
      <c r="G543" s="3"/>
      <c r="J543" s="3"/>
    </row>
    <row r="544">
      <c r="A544" s="9"/>
      <c r="D544" s="3"/>
      <c r="G544" s="3"/>
      <c r="J544" s="3"/>
    </row>
    <row r="545">
      <c r="A545" s="9"/>
      <c r="D545" s="3"/>
      <c r="G545" s="3"/>
      <c r="J545" s="3"/>
    </row>
    <row r="546">
      <c r="A546" s="9"/>
      <c r="D546" s="3"/>
      <c r="G546" s="3"/>
      <c r="J546" s="3"/>
    </row>
    <row r="547">
      <c r="A547" s="9"/>
      <c r="D547" s="3"/>
      <c r="G547" s="3"/>
      <c r="J547" s="3"/>
    </row>
    <row r="548">
      <c r="A548" s="9"/>
      <c r="D548" s="3"/>
      <c r="G548" s="3"/>
      <c r="J548" s="3"/>
    </row>
    <row r="549">
      <c r="A549" s="9"/>
      <c r="D549" s="3"/>
      <c r="G549" s="3"/>
      <c r="J549" s="3"/>
    </row>
    <row r="550">
      <c r="A550" s="9"/>
      <c r="D550" s="3"/>
      <c r="G550" s="3"/>
      <c r="J550" s="3"/>
    </row>
    <row r="551">
      <c r="A551" s="9"/>
      <c r="D551" s="3"/>
      <c r="G551" s="3"/>
      <c r="J551" s="3"/>
    </row>
    <row r="552">
      <c r="A552" s="9"/>
      <c r="D552" s="3"/>
      <c r="G552" s="3"/>
      <c r="J552" s="3"/>
    </row>
    <row r="553">
      <c r="A553" s="9"/>
      <c r="D553" s="3"/>
      <c r="G553" s="3"/>
      <c r="J553" s="3"/>
    </row>
    <row r="554">
      <c r="A554" s="9"/>
      <c r="D554" s="3"/>
      <c r="G554" s="3"/>
      <c r="J554" s="3"/>
    </row>
    <row r="555">
      <c r="A555" s="9"/>
      <c r="D555" s="3"/>
      <c r="G555" s="3"/>
      <c r="J555" s="3"/>
    </row>
    <row r="556">
      <c r="A556" s="9"/>
      <c r="D556" s="3"/>
      <c r="G556" s="3"/>
      <c r="J556" s="3"/>
    </row>
    <row r="557">
      <c r="A557" s="9"/>
      <c r="D557" s="3"/>
      <c r="G557" s="3"/>
      <c r="J557" s="3"/>
    </row>
    <row r="558">
      <c r="A558" s="9"/>
      <c r="D558" s="3"/>
      <c r="G558" s="3"/>
      <c r="J558" s="3"/>
    </row>
    <row r="559">
      <c r="A559" s="9"/>
      <c r="D559" s="3"/>
      <c r="G559" s="3"/>
      <c r="J559" s="3"/>
    </row>
    <row r="560">
      <c r="A560" s="9"/>
      <c r="D560" s="3"/>
      <c r="G560" s="3"/>
      <c r="J560" s="3"/>
    </row>
    <row r="561">
      <c r="A561" s="9"/>
      <c r="D561" s="3"/>
      <c r="G561" s="3"/>
      <c r="J561" s="3"/>
    </row>
    <row r="562">
      <c r="A562" s="9"/>
      <c r="D562" s="3"/>
      <c r="G562" s="3"/>
      <c r="J562" s="3"/>
    </row>
    <row r="563">
      <c r="A563" s="9"/>
      <c r="D563" s="3"/>
      <c r="G563" s="3"/>
      <c r="J563" s="3"/>
    </row>
    <row r="564">
      <c r="A564" s="9"/>
      <c r="D564" s="3"/>
      <c r="G564" s="3"/>
      <c r="J564" s="3"/>
    </row>
    <row r="565">
      <c r="A565" s="9"/>
      <c r="D565" s="3"/>
      <c r="G565" s="3"/>
      <c r="J565" s="3"/>
    </row>
    <row r="566">
      <c r="A566" s="9"/>
      <c r="D566" s="3"/>
      <c r="G566" s="3"/>
      <c r="J566" s="3"/>
    </row>
    <row r="567">
      <c r="A567" s="9"/>
      <c r="D567" s="3"/>
      <c r="G567" s="3"/>
      <c r="J567" s="3"/>
    </row>
    <row r="568">
      <c r="A568" s="9"/>
      <c r="D568" s="3"/>
      <c r="G568" s="3"/>
      <c r="J568" s="3"/>
    </row>
    <row r="569">
      <c r="A569" s="9"/>
      <c r="D569" s="3"/>
      <c r="G569" s="3"/>
      <c r="J569" s="3"/>
    </row>
    <row r="570">
      <c r="A570" s="9"/>
      <c r="D570" s="3"/>
      <c r="G570" s="3"/>
      <c r="J570" s="3"/>
    </row>
    <row r="571">
      <c r="A571" s="9"/>
      <c r="D571" s="3"/>
      <c r="G571" s="3"/>
      <c r="J571" s="3"/>
    </row>
    <row r="572">
      <c r="A572" s="9"/>
      <c r="D572" s="3"/>
      <c r="G572" s="3"/>
      <c r="J572" s="3"/>
    </row>
    <row r="573">
      <c r="A573" s="9"/>
      <c r="D573" s="3"/>
      <c r="G573" s="3"/>
      <c r="J573" s="3"/>
    </row>
    <row r="574">
      <c r="A574" s="9"/>
      <c r="D574" s="3"/>
      <c r="G574" s="3"/>
      <c r="J574" s="3"/>
    </row>
    <row r="575">
      <c r="A575" s="9"/>
      <c r="D575" s="3"/>
      <c r="G575" s="3"/>
      <c r="J575" s="3"/>
    </row>
    <row r="576">
      <c r="A576" s="9"/>
      <c r="D576" s="3"/>
      <c r="G576" s="3"/>
      <c r="J576" s="3"/>
    </row>
    <row r="577">
      <c r="A577" s="9"/>
      <c r="D577" s="3"/>
      <c r="G577" s="3"/>
      <c r="J577" s="3"/>
    </row>
    <row r="578">
      <c r="A578" s="9"/>
      <c r="D578" s="3"/>
      <c r="G578" s="3"/>
      <c r="J578" s="3"/>
    </row>
    <row r="579">
      <c r="A579" s="9"/>
      <c r="D579" s="3"/>
      <c r="G579" s="3"/>
      <c r="J579" s="3"/>
    </row>
    <row r="580">
      <c r="A580" s="9"/>
      <c r="D580" s="3"/>
      <c r="G580" s="3"/>
      <c r="J580" s="3"/>
    </row>
    <row r="581">
      <c r="A581" s="9"/>
      <c r="D581" s="3"/>
      <c r="G581" s="3"/>
      <c r="J581" s="3"/>
    </row>
    <row r="582">
      <c r="A582" s="9"/>
      <c r="D582" s="3"/>
      <c r="G582" s="3"/>
      <c r="J582" s="3"/>
    </row>
    <row r="583">
      <c r="A583" s="9"/>
      <c r="D583" s="3"/>
      <c r="G583" s="3"/>
      <c r="J583" s="3"/>
    </row>
    <row r="584">
      <c r="A584" s="9"/>
      <c r="D584" s="3"/>
      <c r="G584" s="3"/>
      <c r="J584" s="3"/>
    </row>
    <row r="585">
      <c r="A585" s="9"/>
      <c r="D585" s="3"/>
      <c r="G585" s="3"/>
      <c r="J585" s="3"/>
    </row>
    <row r="586">
      <c r="A586" s="9"/>
      <c r="D586" s="3"/>
      <c r="G586" s="3"/>
      <c r="J586" s="3"/>
    </row>
    <row r="587">
      <c r="A587" s="9"/>
      <c r="D587" s="3"/>
      <c r="G587" s="3"/>
      <c r="J587" s="3"/>
    </row>
    <row r="588">
      <c r="A588" s="9"/>
      <c r="D588" s="3"/>
      <c r="G588" s="3"/>
      <c r="J588" s="3"/>
    </row>
    <row r="589">
      <c r="A589" s="9"/>
      <c r="D589" s="3"/>
      <c r="G589" s="3"/>
      <c r="J589" s="3"/>
    </row>
    <row r="590">
      <c r="A590" s="9"/>
      <c r="D590" s="3"/>
      <c r="G590" s="3"/>
      <c r="J590" s="3"/>
    </row>
    <row r="591">
      <c r="A591" s="9"/>
      <c r="D591" s="3"/>
      <c r="G591" s="3"/>
      <c r="J591" s="3"/>
    </row>
    <row r="592">
      <c r="A592" s="9"/>
      <c r="D592" s="3"/>
      <c r="G592" s="3"/>
      <c r="J592" s="3"/>
    </row>
    <row r="593">
      <c r="A593" s="9"/>
      <c r="D593" s="3"/>
      <c r="G593" s="3"/>
      <c r="J593" s="3"/>
    </row>
    <row r="594">
      <c r="A594" s="9"/>
      <c r="D594" s="3"/>
      <c r="G594" s="3"/>
      <c r="J594" s="3"/>
    </row>
    <row r="595">
      <c r="A595" s="9"/>
      <c r="D595" s="3"/>
      <c r="G595" s="3"/>
      <c r="J595" s="3"/>
    </row>
    <row r="596">
      <c r="A596" s="9"/>
      <c r="D596" s="3"/>
      <c r="G596" s="3"/>
      <c r="J596" s="3"/>
    </row>
    <row r="597">
      <c r="A597" s="9"/>
      <c r="D597" s="3"/>
      <c r="G597" s="3"/>
      <c r="J597" s="3"/>
    </row>
    <row r="598">
      <c r="A598" s="9"/>
      <c r="D598" s="3"/>
      <c r="G598" s="3"/>
      <c r="J598" s="3"/>
    </row>
    <row r="599">
      <c r="A599" s="9"/>
      <c r="D599" s="3"/>
      <c r="G599" s="3"/>
      <c r="J599" s="3"/>
    </row>
    <row r="600">
      <c r="A600" s="9"/>
      <c r="D600" s="3"/>
      <c r="G600" s="3"/>
      <c r="J600" s="3"/>
    </row>
    <row r="601">
      <c r="A601" s="9"/>
      <c r="D601" s="3"/>
      <c r="G601" s="3"/>
      <c r="J601" s="3"/>
    </row>
    <row r="602">
      <c r="A602" s="9"/>
      <c r="D602" s="3"/>
      <c r="G602" s="3"/>
      <c r="J602" s="3"/>
    </row>
    <row r="603">
      <c r="A603" s="9"/>
      <c r="D603" s="3"/>
      <c r="G603" s="3"/>
      <c r="J603" s="3"/>
    </row>
    <row r="604">
      <c r="A604" s="9"/>
      <c r="D604" s="3"/>
      <c r="G604" s="3"/>
      <c r="J604" s="3"/>
    </row>
    <row r="605">
      <c r="A605" s="9"/>
      <c r="D605" s="3"/>
      <c r="G605" s="3"/>
      <c r="J605" s="3"/>
    </row>
    <row r="606">
      <c r="A606" s="9"/>
      <c r="D606" s="3"/>
      <c r="G606" s="3"/>
      <c r="J606" s="3"/>
    </row>
    <row r="607">
      <c r="A607" s="9"/>
      <c r="D607" s="3"/>
      <c r="G607" s="3"/>
      <c r="J607" s="3"/>
    </row>
    <row r="608">
      <c r="A608" s="9"/>
      <c r="D608" s="3"/>
      <c r="G608" s="3"/>
      <c r="J608" s="3"/>
    </row>
    <row r="609">
      <c r="A609" s="9"/>
      <c r="D609" s="3"/>
      <c r="G609" s="3"/>
      <c r="J609" s="3"/>
    </row>
    <row r="610">
      <c r="A610" s="9"/>
      <c r="D610" s="3"/>
      <c r="G610" s="3"/>
      <c r="J610" s="3"/>
    </row>
    <row r="611">
      <c r="A611" s="9"/>
      <c r="D611" s="3"/>
      <c r="G611" s="3"/>
      <c r="J611" s="3"/>
    </row>
    <row r="612">
      <c r="A612" s="9"/>
      <c r="D612" s="3"/>
      <c r="G612" s="3"/>
      <c r="J612" s="3"/>
    </row>
    <row r="613">
      <c r="A613" s="9"/>
      <c r="D613" s="3"/>
      <c r="G613" s="3"/>
      <c r="J613" s="3"/>
    </row>
    <row r="614">
      <c r="A614" s="9"/>
      <c r="D614" s="3"/>
      <c r="G614" s="3"/>
      <c r="J614" s="3"/>
    </row>
    <row r="615">
      <c r="A615" s="9"/>
      <c r="D615" s="3"/>
      <c r="G615" s="3"/>
      <c r="J615" s="3"/>
    </row>
    <row r="616">
      <c r="A616" s="9"/>
      <c r="D616" s="3"/>
      <c r="G616" s="3"/>
      <c r="J616" s="3"/>
    </row>
    <row r="617">
      <c r="A617" s="9"/>
      <c r="D617" s="3"/>
      <c r="G617" s="3"/>
      <c r="J617" s="3"/>
    </row>
    <row r="618">
      <c r="A618" s="9"/>
      <c r="D618" s="3"/>
      <c r="G618" s="3"/>
      <c r="J618" s="3"/>
    </row>
    <row r="619">
      <c r="A619" s="9"/>
      <c r="D619" s="3"/>
      <c r="G619" s="3"/>
      <c r="J619" s="3"/>
    </row>
    <row r="620">
      <c r="A620" s="9"/>
      <c r="D620" s="3"/>
      <c r="G620" s="3"/>
      <c r="J620" s="3"/>
    </row>
    <row r="621">
      <c r="A621" s="9"/>
      <c r="D621" s="3"/>
      <c r="G621" s="3"/>
      <c r="J621" s="3"/>
    </row>
    <row r="622">
      <c r="A622" s="9"/>
      <c r="D622" s="3"/>
      <c r="G622" s="3"/>
      <c r="J622" s="3"/>
    </row>
    <row r="623">
      <c r="A623" s="9"/>
      <c r="D623" s="3"/>
      <c r="G623" s="3"/>
      <c r="J623" s="3"/>
    </row>
    <row r="624">
      <c r="A624" s="9"/>
      <c r="D624" s="3"/>
      <c r="G624" s="3"/>
      <c r="J624" s="3"/>
    </row>
    <row r="625">
      <c r="A625" s="9"/>
      <c r="D625" s="3"/>
      <c r="G625" s="3"/>
      <c r="J625" s="3"/>
    </row>
    <row r="626">
      <c r="A626" s="9"/>
      <c r="D626" s="3"/>
      <c r="G626" s="3"/>
      <c r="J626" s="3"/>
    </row>
    <row r="627">
      <c r="A627" s="9"/>
      <c r="D627" s="3"/>
      <c r="G627" s="3"/>
      <c r="J627" s="3"/>
    </row>
    <row r="628">
      <c r="A628" s="9"/>
      <c r="D628" s="3"/>
      <c r="G628" s="3"/>
      <c r="J628" s="3"/>
    </row>
    <row r="629">
      <c r="A629" s="9"/>
      <c r="D629" s="3"/>
      <c r="G629" s="3"/>
      <c r="J629" s="3"/>
    </row>
    <row r="630">
      <c r="A630" s="9"/>
      <c r="D630" s="3"/>
      <c r="G630" s="3"/>
      <c r="J630" s="3"/>
    </row>
    <row r="631">
      <c r="A631" s="9"/>
      <c r="D631" s="3"/>
      <c r="G631" s="3"/>
      <c r="J631" s="3"/>
    </row>
    <row r="632">
      <c r="A632" s="9"/>
      <c r="D632" s="3"/>
      <c r="G632" s="3"/>
      <c r="J632" s="3"/>
    </row>
    <row r="633">
      <c r="A633" s="9"/>
      <c r="D633" s="3"/>
      <c r="G633" s="3"/>
      <c r="J633" s="3"/>
    </row>
    <row r="634">
      <c r="A634" s="9"/>
      <c r="D634" s="3"/>
      <c r="G634" s="3"/>
      <c r="J634" s="3"/>
    </row>
    <row r="635">
      <c r="A635" s="9"/>
      <c r="D635" s="3"/>
      <c r="G635" s="3"/>
      <c r="J635" s="3"/>
    </row>
    <row r="636">
      <c r="A636" s="9"/>
      <c r="D636" s="3"/>
      <c r="G636" s="3"/>
      <c r="J636" s="3"/>
    </row>
    <row r="637">
      <c r="A637" s="9"/>
      <c r="D637" s="3"/>
      <c r="G637" s="3"/>
      <c r="J637" s="3"/>
    </row>
    <row r="638">
      <c r="A638" s="9"/>
      <c r="D638" s="3"/>
      <c r="G638" s="3"/>
      <c r="J638" s="3"/>
    </row>
    <row r="639">
      <c r="A639" s="9"/>
      <c r="D639" s="3"/>
      <c r="G639" s="3"/>
      <c r="J639" s="3"/>
    </row>
    <row r="640">
      <c r="A640" s="9"/>
      <c r="D640" s="3"/>
      <c r="G640" s="3"/>
      <c r="J640" s="3"/>
    </row>
    <row r="641">
      <c r="A641" s="9"/>
      <c r="D641" s="3"/>
      <c r="G641" s="3"/>
      <c r="J641" s="3"/>
    </row>
    <row r="642">
      <c r="A642" s="9"/>
      <c r="D642" s="3"/>
      <c r="G642" s="3"/>
      <c r="J642" s="3"/>
    </row>
    <row r="643">
      <c r="A643" s="9"/>
      <c r="D643" s="3"/>
      <c r="G643" s="3"/>
      <c r="J643" s="3"/>
    </row>
    <row r="644">
      <c r="A644" s="9"/>
      <c r="D644" s="3"/>
      <c r="G644" s="3"/>
      <c r="J644" s="3"/>
    </row>
    <row r="645">
      <c r="A645" s="9"/>
      <c r="D645" s="3"/>
      <c r="G645" s="3"/>
      <c r="J645" s="3"/>
    </row>
    <row r="646">
      <c r="A646" s="9"/>
      <c r="D646" s="3"/>
      <c r="G646" s="3"/>
      <c r="J646" s="3"/>
    </row>
    <row r="647">
      <c r="A647" s="9"/>
      <c r="D647" s="3"/>
      <c r="G647" s="3"/>
      <c r="J647" s="3"/>
    </row>
    <row r="648">
      <c r="A648" s="9"/>
      <c r="D648" s="3"/>
      <c r="G648" s="3"/>
      <c r="J648" s="3"/>
    </row>
    <row r="649">
      <c r="A649" s="9"/>
      <c r="D649" s="3"/>
      <c r="G649" s="3"/>
      <c r="J649" s="3"/>
    </row>
    <row r="650">
      <c r="A650" s="9"/>
      <c r="D650" s="3"/>
      <c r="G650" s="3"/>
      <c r="J650" s="3"/>
    </row>
    <row r="651">
      <c r="A651" s="9"/>
      <c r="D651" s="3"/>
      <c r="G651" s="3"/>
      <c r="J651" s="3"/>
    </row>
    <row r="652">
      <c r="A652" s="9"/>
      <c r="D652" s="3"/>
      <c r="G652" s="3"/>
      <c r="J652" s="3"/>
    </row>
    <row r="653">
      <c r="A653" s="9"/>
      <c r="D653" s="3"/>
      <c r="G653" s="3"/>
      <c r="J653" s="3"/>
    </row>
    <row r="654">
      <c r="A654" s="9"/>
      <c r="D654" s="3"/>
      <c r="G654" s="3"/>
      <c r="J654" s="3"/>
    </row>
    <row r="655">
      <c r="A655" s="9"/>
      <c r="D655" s="3"/>
      <c r="G655" s="3"/>
      <c r="J655" s="3"/>
    </row>
    <row r="656">
      <c r="A656" s="9"/>
      <c r="D656" s="3"/>
      <c r="G656" s="3"/>
      <c r="J656" s="3"/>
    </row>
    <row r="657">
      <c r="A657" s="9"/>
      <c r="D657" s="3"/>
      <c r="G657" s="3"/>
      <c r="J657" s="3"/>
    </row>
    <row r="658">
      <c r="A658" s="9"/>
      <c r="D658" s="3"/>
      <c r="G658" s="3"/>
      <c r="J658" s="3"/>
    </row>
    <row r="659">
      <c r="A659" s="9"/>
      <c r="D659" s="3"/>
      <c r="G659" s="3"/>
      <c r="J659" s="3"/>
    </row>
    <row r="660">
      <c r="A660" s="9"/>
      <c r="D660" s="3"/>
      <c r="G660" s="3"/>
      <c r="J660" s="3"/>
    </row>
    <row r="661">
      <c r="A661" s="9"/>
      <c r="D661" s="3"/>
      <c r="G661" s="3"/>
      <c r="J661" s="3"/>
    </row>
    <row r="662">
      <c r="A662" s="9"/>
      <c r="D662" s="3"/>
      <c r="G662" s="3"/>
      <c r="J662" s="3"/>
    </row>
    <row r="663">
      <c r="A663" s="9"/>
      <c r="D663" s="3"/>
      <c r="G663" s="3"/>
      <c r="J663" s="3"/>
    </row>
    <row r="664">
      <c r="A664" s="9"/>
      <c r="D664" s="3"/>
      <c r="G664" s="3"/>
      <c r="J664" s="3"/>
    </row>
    <row r="665">
      <c r="A665" s="9"/>
      <c r="D665" s="3"/>
      <c r="G665" s="3"/>
      <c r="J665" s="3"/>
    </row>
    <row r="666">
      <c r="A666" s="9"/>
      <c r="D666" s="3"/>
      <c r="G666" s="3"/>
      <c r="J666" s="3"/>
    </row>
    <row r="667">
      <c r="A667" s="9"/>
      <c r="D667" s="3"/>
      <c r="G667" s="3"/>
      <c r="J667" s="3"/>
    </row>
    <row r="668">
      <c r="A668" s="9"/>
      <c r="D668" s="3"/>
      <c r="G668" s="3"/>
      <c r="J668" s="3"/>
    </row>
    <row r="669">
      <c r="A669" s="9"/>
      <c r="D669" s="3"/>
      <c r="G669" s="3"/>
      <c r="J669" s="3"/>
    </row>
    <row r="670">
      <c r="A670" s="9"/>
      <c r="D670" s="3"/>
      <c r="G670" s="3"/>
      <c r="J670" s="3"/>
    </row>
    <row r="671">
      <c r="A671" s="9"/>
      <c r="D671" s="3"/>
      <c r="G671" s="3"/>
      <c r="J671" s="3"/>
    </row>
    <row r="672">
      <c r="A672" s="9"/>
      <c r="D672" s="3"/>
      <c r="G672" s="3"/>
      <c r="J672" s="3"/>
    </row>
    <row r="673">
      <c r="A673" s="9"/>
      <c r="D673" s="3"/>
      <c r="G673" s="3"/>
      <c r="J673" s="3"/>
    </row>
    <row r="674">
      <c r="A674" s="9"/>
      <c r="D674" s="3"/>
      <c r="G674" s="3"/>
      <c r="J674" s="3"/>
    </row>
    <row r="675">
      <c r="A675" s="9"/>
      <c r="D675" s="3"/>
      <c r="G675" s="3"/>
      <c r="J675" s="3"/>
    </row>
    <row r="676">
      <c r="A676" s="9"/>
      <c r="D676" s="3"/>
      <c r="G676" s="3"/>
      <c r="J676" s="3"/>
    </row>
    <row r="677">
      <c r="A677" s="9"/>
      <c r="D677" s="3"/>
      <c r="G677" s="3"/>
      <c r="J677" s="3"/>
    </row>
    <row r="678">
      <c r="A678" s="9"/>
      <c r="D678" s="3"/>
      <c r="G678" s="3"/>
      <c r="J678" s="3"/>
    </row>
    <row r="679">
      <c r="A679" s="9"/>
      <c r="D679" s="3"/>
      <c r="G679" s="3"/>
      <c r="J679" s="3"/>
    </row>
    <row r="680">
      <c r="A680" s="9"/>
      <c r="D680" s="3"/>
      <c r="G680" s="3"/>
      <c r="J680" s="3"/>
    </row>
    <row r="681">
      <c r="A681" s="9"/>
      <c r="D681" s="3"/>
      <c r="G681" s="3"/>
      <c r="J681" s="3"/>
    </row>
    <row r="682">
      <c r="A682" s="9"/>
      <c r="D682" s="3"/>
      <c r="G682" s="3"/>
      <c r="J682" s="3"/>
    </row>
    <row r="683">
      <c r="A683" s="9"/>
      <c r="D683" s="3"/>
      <c r="G683" s="3"/>
      <c r="J683" s="3"/>
    </row>
    <row r="684">
      <c r="A684" s="9"/>
      <c r="D684" s="3"/>
      <c r="G684" s="3"/>
      <c r="J684" s="3"/>
    </row>
    <row r="685">
      <c r="A685" s="9"/>
      <c r="D685" s="3"/>
      <c r="G685" s="3"/>
      <c r="J685" s="3"/>
    </row>
    <row r="686">
      <c r="A686" s="9"/>
      <c r="D686" s="3"/>
      <c r="G686" s="3"/>
      <c r="J686" s="3"/>
    </row>
    <row r="687">
      <c r="A687" s="9"/>
      <c r="D687" s="3"/>
      <c r="G687" s="3"/>
      <c r="J687" s="3"/>
    </row>
    <row r="688">
      <c r="A688" s="9"/>
      <c r="D688" s="3"/>
      <c r="G688" s="3"/>
      <c r="J688" s="3"/>
    </row>
    <row r="689">
      <c r="A689" s="9"/>
      <c r="D689" s="3"/>
      <c r="G689" s="3"/>
      <c r="J689" s="3"/>
    </row>
    <row r="690">
      <c r="A690" s="9"/>
      <c r="D690" s="3"/>
      <c r="G690" s="3"/>
      <c r="J690" s="3"/>
    </row>
    <row r="691">
      <c r="A691" s="9"/>
      <c r="D691" s="3"/>
      <c r="G691" s="3"/>
      <c r="J691" s="3"/>
    </row>
    <row r="692">
      <c r="A692" s="9"/>
      <c r="D692" s="3"/>
      <c r="G692" s="3"/>
      <c r="J692" s="3"/>
    </row>
    <row r="693">
      <c r="A693" s="9"/>
      <c r="D693" s="3"/>
      <c r="G693" s="3"/>
      <c r="J693" s="3"/>
    </row>
    <row r="694">
      <c r="A694" s="9"/>
      <c r="D694" s="3"/>
      <c r="G694" s="3"/>
      <c r="J694" s="3"/>
    </row>
    <row r="695">
      <c r="A695" s="9"/>
      <c r="D695" s="3"/>
      <c r="G695" s="3"/>
      <c r="J695" s="3"/>
    </row>
    <row r="696">
      <c r="A696" s="9"/>
      <c r="D696" s="3"/>
      <c r="G696" s="3"/>
      <c r="J696" s="3"/>
    </row>
    <row r="697">
      <c r="A697" s="9"/>
      <c r="D697" s="3"/>
      <c r="G697" s="3"/>
      <c r="J697" s="3"/>
    </row>
    <row r="698">
      <c r="A698" s="9"/>
      <c r="D698" s="3"/>
      <c r="G698" s="3"/>
      <c r="J698" s="3"/>
    </row>
    <row r="699">
      <c r="A699" s="9"/>
      <c r="D699" s="3"/>
      <c r="G699" s="3"/>
      <c r="J699" s="3"/>
    </row>
    <row r="700">
      <c r="A700" s="9"/>
      <c r="D700" s="3"/>
      <c r="G700" s="3"/>
      <c r="J700" s="3"/>
    </row>
    <row r="701">
      <c r="A701" s="9"/>
      <c r="D701" s="3"/>
      <c r="G701" s="3"/>
      <c r="J701" s="3"/>
    </row>
    <row r="702">
      <c r="A702" s="9"/>
      <c r="D702" s="3"/>
      <c r="G702" s="3"/>
      <c r="J702" s="3"/>
    </row>
    <row r="703">
      <c r="A703" s="9"/>
      <c r="D703" s="3"/>
      <c r="G703" s="3"/>
      <c r="J703" s="3"/>
    </row>
    <row r="704">
      <c r="A704" s="9"/>
      <c r="D704" s="3"/>
      <c r="G704" s="3"/>
      <c r="J704" s="3"/>
    </row>
    <row r="705">
      <c r="A705" s="9"/>
      <c r="D705" s="3"/>
      <c r="G705" s="3"/>
      <c r="J705" s="3"/>
    </row>
    <row r="706">
      <c r="A706" s="9"/>
      <c r="D706" s="3"/>
      <c r="G706" s="3"/>
      <c r="J706" s="3"/>
    </row>
    <row r="707">
      <c r="A707" s="9"/>
      <c r="D707" s="3"/>
      <c r="G707" s="3"/>
      <c r="J707" s="3"/>
    </row>
    <row r="708">
      <c r="A708" s="9"/>
      <c r="D708" s="3"/>
      <c r="G708" s="3"/>
      <c r="J708" s="3"/>
    </row>
    <row r="709">
      <c r="A709" s="9"/>
      <c r="D709" s="3"/>
      <c r="G709" s="3"/>
      <c r="J709" s="3"/>
    </row>
    <row r="710">
      <c r="A710" s="9"/>
      <c r="D710" s="3"/>
      <c r="G710" s="3"/>
      <c r="J710" s="3"/>
    </row>
    <row r="711">
      <c r="A711" s="9"/>
      <c r="D711" s="3"/>
      <c r="G711" s="3"/>
      <c r="J711" s="3"/>
    </row>
    <row r="712">
      <c r="A712" s="9"/>
      <c r="D712" s="3"/>
      <c r="G712" s="3"/>
      <c r="J712" s="3"/>
    </row>
    <row r="713">
      <c r="A713" s="9"/>
      <c r="D713" s="3"/>
      <c r="G713" s="3"/>
      <c r="J713" s="3"/>
    </row>
    <row r="714">
      <c r="A714" s="9"/>
      <c r="D714" s="3"/>
      <c r="G714" s="3"/>
      <c r="J714" s="3"/>
    </row>
    <row r="715">
      <c r="A715" s="9"/>
      <c r="D715" s="3"/>
      <c r="G715" s="3"/>
      <c r="J715" s="3"/>
    </row>
    <row r="716">
      <c r="A716" s="9"/>
      <c r="D716" s="3"/>
      <c r="G716" s="3"/>
      <c r="J716" s="3"/>
    </row>
    <row r="717">
      <c r="A717" s="9"/>
      <c r="D717" s="3"/>
      <c r="G717" s="3"/>
      <c r="J717" s="3"/>
    </row>
    <row r="718">
      <c r="A718" s="9"/>
      <c r="D718" s="3"/>
      <c r="G718" s="3"/>
      <c r="J718" s="3"/>
    </row>
    <row r="719">
      <c r="A719" s="9"/>
      <c r="D719" s="3"/>
      <c r="G719" s="3"/>
      <c r="J719" s="3"/>
    </row>
    <row r="720">
      <c r="A720" s="9"/>
      <c r="D720" s="3"/>
      <c r="G720" s="3"/>
      <c r="J720" s="3"/>
    </row>
    <row r="721">
      <c r="A721" s="9"/>
      <c r="D721" s="3"/>
      <c r="G721" s="3"/>
      <c r="J721" s="3"/>
    </row>
    <row r="722">
      <c r="A722" s="9"/>
      <c r="D722" s="3"/>
      <c r="G722" s="3"/>
      <c r="J722" s="3"/>
    </row>
    <row r="723">
      <c r="A723" s="9"/>
      <c r="D723" s="3"/>
      <c r="G723" s="3"/>
      <c r="J723" s="3"/>
    </row>
    <row r="724">
      <c r="A724" s="9"/>
      <c r="D724" s="3"/>
      <c r="G724" s="3"/>
      <c r="J724" s="3"/>
    </row>
    <row r="725">
      <c r="A725" s="9"/>
      <c r="D725" s="3"/>
      <c r="G725" s="3"/>
      <c r="J725" s="3"/>
    </row>
    <row r="726">
      <c r="A726" s="9"/>
      <c r="D726" s="3"/>
      <c r="G726" s="3"/>
      <c r="J726" s="3"/>
    </row>
    <row r="727">
      <c r="A727" s="9"/>
      <c r="D727" s="3"/>
      <c r="G727" s="3"/>
      <c r="J727" s="3"/>
    </row>
    <row r="728">
      <c r="A728" s="9"/>
      <c r="D728" s="3"/>
      <c r="G728" s="3"/>
      <c r="J728" s="3"/>
    </row>
    <row r="729">
      <c r="A729" s="9"/>
      <c r="D729" s="3"/>
      <c r="G729" s="3"/>
      <c r="J729" s="3"/>
    </row>
    <row r="730">
      <c r="A730" s="9"/>
      <c r="D730" s="3"/>
      <c r="G730" s="3"/>
      <c r="J730" s="3"/>
    </row>
    <row r="731">
      <c r="A731" s="9"/>
      <c r="D731" s="3"/>
      <c r="G731" s="3"/>
      <c r="J731" s="3"/>
    </row>
    <row r="732">
      <c r="A732" s="9"/>
      <c r="D732" s="3"/>
      <c r="G732" s="3"/>
      <c r="J732" s="3"/>
    </row>
    <row r="733">
      <c r="A733" s="9"/>
      <c r="D733" s="3"/>
      <c r="G733" s="3"/>
      <c r="J733" s="3"/>
    </row>
    <row r="734">
      <c r="A734" s="9"/>
      <c r="D734" s="3"/>
      <c r="G734" s="3"/>
      <c r="J734" s="3"/>
    </row>
    <row r="735">
      <c r="A735" s="9"/>
      <c r="D735" s="3"/>
      <c r="G735" s="3"/>
      <c r="J735" s="3"/>
    </row>
    <row r="736">
      <c r="A736" s="9"/>
      <c r="D736" s="3"/>
      <c r="G736" s="3"/>
      <c r="J736" s="3"/>
    </row>
    <row r="737">
      <c r="A737" s="9"/>
      <c r="D737" s="3"/>
      <c r="G737" s="3"/>
      <c r="J737" s="3"/>
    </row>
    <row r="738">
      <c r="A738" s="9"/>
      <c r="D738" s="3"/>
      <c r="G738" s="3"/>
      <c r="J738" s="3"/>
    </row>
    <row r="739">
      <c r="A739" s="9"/>
      <c r="D739" s="3"/>
      <c r="G739" s="3"/>
      <c r="J739" s="3"/>
    </row>
    <row r="740">
      <c r="A740" s="9"/>
      <c r="D740" s="3"/>
      <c r="G740" s="3"/>
      <c r="J740" s="3"/>
    </row>
    <row r="741">
      <c r="A741" s="9"/>
      <c r="D741" s="3"/>
      <c r="G741" s="3"/>
      <c r="J741" s="3"/>
    </row>
    <row r="742">
      <c r="A742" s="9"/>
      <c r="D742" s="3"/>
      <c r="G742" s="3"/>
      <c r="J742" s="3"/>
    </row>
    <row r="743">
      <c r="A743" s="9"/>
      <c r="D743" s="3"/>
      <c r="G743" s="3"/>
      <c r="J743" s="3"/>
    </row>
    <row r="744">
      <c r="A744" s="9"/>
      <c r="D744" s="3"/>
      <c r="G744" s="3"/>
      <c r="J744" s="3"/>
    </row>
    <row r="745">
      <c r="A745" s="9"/>
      <c r="D745" s="3"/>
      <c r="G745" s="3"/>
      <c r="J745" s="3"/>
    </row>
    <row r="746">
      <c r="A746" s="9"/>
      <c r="D746" s="3"/>
      <c r="G746" s="3"/>
      <c r="J746" s="3"/>
    </row>
    <row r="747">
      <c r="A747" s="9"/>
      <c r="D747" s="3"/>
      <c r="G747" s="3"/>
      <c r="J747" s="3"/>
    </row>
    <row r="748">
      <c r="A748" s="9"/>
      <c r="D748" s="3"/>
      <c r="G748" s="3"/>
      <c r="J748" s="3"/>
    </row>
    <row r="749">
      <c r="A749" s="9"/>
      <c r="D749" s="3"/>
      <c r="G749" s="3"/>
      <c r="J749" s="3"/>
    </row>
    <row r="750">
      <c r="A750" s="9"/>
      <c r="D750" s="3"/>
      <c r="G750" s="3"/>
      <c r="J750" s="3"/>
    </row>
    <row r="751">
      <c r="A751" s="9"/>
      <c r="D751" s="3"/>
      <c r="G751" s="3"/>
      <c r="J751" s="3"/>
    </row>
    <row r="752">
      <c r="A752" s="9"/>
      <c r="D752" s="3"/>
      <c r="G752" s="3"/>
      <c r="J752" s="3"/>
    </row>
    <row r="753">
      <c r="A753" s="9"/>
      <c r="D753" s="3"/>
      <c r="G753" s="3"/>
      <c r="J753" s="3"/>
    </row>
    <row r="754">
      <c r="A754" s="9"/>
      <c r="D754" s="3"/>
      <c r="G754" s="3"/>
      <c r="J754" s="3"/>
    </row>
    <row r="755">
      <c r="A755" s="9"/>
      <c r="D755" s="3"/>
      <c r="G755" s="3"/>
      <c r="J755" s="3"/>
    </row>
    <row r="756">
      <c r="A756" s="9"/>
      <c r="D756" s="3"/>
      <c r="G756" s="3"/>
      <c r="J756" s="3"/>
    </row>
    <row r="757">
      <c r="A757" s="9"/>
      <c r="D757" s="3"/>
      <c r="G757" s="3"/>
      <c r="J757" s="3"/>
    </row>
    <row r="758">
      <c r="A758" s="9"/>
      <c r="D758" s="3"/>
      <c r="G758" s="3"/>
      <c r="J758" s="3"/>
    </row>
    <row r="759">
      <c r="A759" s="9"/>
      <c r="D759" s="3"/>
      <c r="G759" s="3"/>
      <c r="J759" s="3"/>
    </row>
    <row r="760">
      <c r="A760" s="9"/>
      <c r="D760" s="3"/>
      <c r="G760" s="3"/>
      <c r="J760" s="3"/>
    </row>
    <row r="761">
      <c r="A761" s="9"/>
      <c r="D761" s="3"/>
      <c r="G761" s="3"/>
      <c r="J761" s="3"/>
    </row>
    <row r="762">
      <c r="A762" s="9"/>
      <c r="D762" s="3"/>
      <c r="G762" s="3"/>
      <c r="J762" s="3"/>
    </row>
    <row r="763">
      <c r="A763" s="9"/>
      <c r="D763" s="3"/>
      <c r="G763" s="3"/>
      <c r="J763" s="3"/>
    </row>
    <row r="764">
      <c r="A764" s="9"/>
      <c r="D764" s="3"/>
      <c r="G764" s="3"/>
      <c r="J764" s="3"/>
    </row>
    <row r="765">
      <c r="A765" s="9"/>
      <c r="D765" s="3"/>
      <c r="G765" s="3"/>
      <c r="J765" s="3"/>
    </row>
    <row r="766">
      <c r="A766" s="9"/>
      <c r="D766" s="3"/>
      <c r="G766" s="3"/>
      <c r="J766" s="3"/>
    </row>
    <row r="767">
      <c r="A767" s="9"/>
      <c r="D767" s="3"/>
      <c r="G767" s="3"/>
      <c r="J767" s="3"/>
    </row>
    <row r="768">
      <c r="A768" s="9"/>
      <c r="D768" s="3"/>
      <c r="G768" s="3"/>
      <c r="J768" s="3"/>
    </row>
    <row r="769">
      <c r="A769" s="9"/>
      <c r="D769" s="3"/>
      <c r="G769" s="3"/>
      <c r="J769" s="3"/>
    </row>
    <row r="770">
      <c r="A770" s="9"/>
      <c r="D770" s="3"/>
      <c r="G770" s="3"/>
      <c r="J770" s="3"/>
    </row>
    <row r="771">
      <c r="A771" s="9"/>
      <c r="D771" s="3"/>
      <c r="G771" s="3"/>
      <c r="J771" s="3"/>
    </row>
    <row r="772">
      <c r="A772" s="9"/>
      <c r="D772" s="3"/>
      <c r="G772" s="3"/>
      <c r="J772" s="3"/>
    </row>
    <row r="773">
      <c r="A773" s="9"/>
      <c r="D773" s="3"/>
      <c r="G773" s="3"/>
      <c r="J773" s="3"/>
    </row>
    <row r="774">
      <c r="A774" s="9"/>
      <c r="D774" s="3"/>
      <c r="G774" s="3"/>
      <c r="J774" s="3"/>
    </row>
    <row r="775">
      <c r="A775" s="9"/>
      <c r="D775" s="3"/>
      <c r="G775" s="3"/>
      <c r="J775" s="3"/>
    </row>
    <row r="776">
      <c r="A776" s="9"/>
      <c r="D776" s="3"/>
      <c r="G776" s="3"/>
      <c r="J776" s="3"/>
    </row>
    <row r="777">
      <c r="A777" s="9"/>
      <c r="D777" s="3"/>
      <c r="G777" s="3"/>
      <c r="J777" s="3"/>
    </row>
    <row r="778">
      <c r="A778" s="9"/>
      <c r="D778" s="3"/>
      <c r="G778" s="3"/>
      <c r="J778" s="3"/>
    </row>
    <row r="779">
      <c r="A779" s="9"/>
      <c r="D779" s="3"/>
      <c r="G779" s="3"/>
      <c r="J779" s="3"/>
    </row>
    <row r="780">
      <c r="A780" s="9"/>
      <c r="D780" s="3"/>
      <c r="G780" s="3"/>
      <c r="J780" s="3"/>
    </row>
    <row r="781">
      <c r="A781" s="9"/>
      <c r="D781" s="3"/>
      <c r="G781" s="3"/>
      <c r="J781" s="3"/>
    </row>
    <row r="782">
      <c r="A782" s="9"/>
      <c r="D782" s="3"/>
      <c r="G782" s="3"/>
      <c r="J782" s="3"/>
    </row>
    <row r="783">
      <c r="A783" s="9"/>
      <c r="D783" s="3"/>
      <c r="G783" s="3"/>
      <c r="J783" s="3"/>
    </row>
    <row r="784">
      <c r="A784" s="9"/>
      <c r="D784" s="3"/>
      <c r="G784" s="3"/>
      <c r="J784" s="3"/>
    </row>
    <row r="785">
      <c r="A785" s="9"/>
      <c r="D785" s="3"/>
      <c r="G785" s="3"/>
      <c r="J785" s="3"/>
    </row>
    <row r="786">
      <c r="A786" s="9"/>
      <c r="D786" s="3"/>
      <c r="G786" s="3"/>
      <c r="J786" s="3"/>
    </row>
    <row r="787">
      <c r="A787" s="9"/>
      <c r="D787" s="3"/>
      <c r="G787" s="3"/>
      <c r="J787" s="3"/>
    </row>
    <row r="788">
      <c r="A788" s="9"/>
      <c r="D788" s="3"/>
      <c r="G788" s="3"/>
      <c r="J788" s="3"/>
    </row>
    <row r="789">
      <c r="A789" s="9"/>
      <c r="D789" s="3"/>
      <c r="G789" s="3"/>
      <c r="J789" s="3"/>
    </row>
    <row r="790">
      <c r="A790" s="9"/>
      <c r="D790" s="3"/>
      <c r="G790" s="3"/>
      <c r="J790" s="3"/>
    </row>
    <row r="791">
      <c r="A791" s="9"/>
      <c r="D791" s="3"/>
      <c r="G791" s="3"/>
      <c r="J791" s="3"/>
    </row>
    <row r="792">
      <c r="A792" s="9"/>
      <c r="D792" s="3"/>
      <c r="G792" s="3"/>
      <c r="J792" s="3"/>
    </row>
    <row r="793">
      <c r="A793" s="9"/>
      <c r="D793" s="3"/>
      <c r="G793" s="3"/>
      <c r="J793" s="3"/>
    </row>
    <row r="794">
      <c r="A794" s="9"/>
      <c r="D794" s="3"/>
      <c r="G794" s="3"/>
      <c r="J794" s="3"/>
    </row>
    <row r="795">
      <c r="A795" s="9"/>
      <c r="D795" s="3"/>
      <c r="G795" s="3"/>
      <c r="J795" s="3"/>
    </row>
    <row r="796">
      <c r="A796" s="9"/>
      <c r="D796" s="3"/>
      <c r="G796" s="3"/>
      <c r="J796" s="3"/>
    </row>
    <row r="797">
      <c r="A797" s="9"/>
      <c r="D797" s="3"/>
      <c r="G797" s="3"/>
      <c r="J797" s="3"/>
    </row>
    <row r="798">
      <c r="A798" s="9"/>
      <c r="D798" s="3"/>
      <c r="G798" s="3"/>
      <c r="J798" s="3"/>
    </row>
    <row r="799">
      <c r="A799" s="9"/>
      <c r="D799" s="3"/>
      <c r="G799" s="3"/>
      <c r="J799" s="3"/>
    </row>
    <row r="800">
      <c r="A800" s="9"/>
      <c r="D800" s="3"/>
      <c r="G800" s="3"/>
      <c r="J800" s="3"/>
    </row>
    <row r="801">
      <c r="A801" s="9"/>
      <c r="D801" s="3"/>
      <c r="G801" s="3"/>
      <c r="J801" s="3"/>
    </row>
    <row r="802">
      <c r="A802" s="9"/>
      <c r="D802" s="3"/>
      <c r="G802" s="3"/>
      <c r="J802" s="3"/>
    </row>
    <row r="803">
      <c r="A803" s="9"/>
      <c r="D803" s="3"/>
      <c r="G803" s="3"/>
      <c r="J803" s="3"/>
    </row>
    <row r="804">
      <c r="A804" s="9"/>
      <c r="D804" s="3"/>
      <c r="G804" s="3"/>
      <c r="J804" s="3"/>
    </row>
    <row r="805">
      <c r="A805" s="9"/>
      <c r="D805" s="3"/>
      <c r="G805" s="3"/>
      <c r="J805" s="3"/>
    </row>
    <row r="806">
      <c r="A806" s="9"/>
      <c r="D806" s="3"/>
      <c r="G806" s="3"/>
      <c r="J806" s="3"/>
    </row>
    <row r="807">
      <c r="A807" s="9"/>
      <c r="D807" s="3"/>
      <c r="G807" s="3"/>
      <c r="J807" s="3"/>
    </row>
    <row r="808">
      <c r="A808" s="9"/>
      <c r="D808" s="3"/>
      <c r="G808" s="3"/>
      <c r="J808" s="3"/>
    </row>
    <row r="809">
      <c r="A809" s="9"/>
      <c r="D809" s="3"/>
      <c r="G809" s="3"/>
      <c r="J809" s="3"/>
    </row>
    <row r="810">
      <c r="A810" s="9"/>
      <c r="D810" s="3"/>
      <c r="G810" s="3"/>
      <c r="J810" s="3"/>
    </row>
    <row r="811">
      <c r="A811" s="9"/>
      <c r="D811" s="3"/>
      <c r="G811" s="3"/>
      <c r="J811" s="3"/>
    </row>
    <row r="812">
      <c r="A812" s="9"/>
      <c r="D812" s="3"/>
      <c r="G812" s="3"/>
      <c r="J812" s="3"/>
    </row>
    <row r="813">
      <c r="A813" s="9"/>
      <c r="D813" s="3"/>
      <c r="G813" s="3"/>
      <c r="J813" s="3"/>
    </row>
    <row r="814">
      <c r="A814" s="9"/>
      <c r="D814" s="3"/>
      <c r="G814" s="3"/>
      <c r="J814" s="3"/>
    </row>
    <row r="815">
      <c r="A815" s="9"/>
      <c r="D815" s="3"/>
      <c r="G815" s="3"/>
      <c r="J815" s="3"/>
    </row>
    <row r="816">
      <c r="A816" s="9"/>
      <c r="D816" s="3"/>
      <c r="G816" s="3"/>
      <c r="J816" s="3"/>
    </row>
    <row r="817">
      <c r="A817" s="9"/>
      <c r="D817" s="3"/>
      <c r="G817" s="3"/>
      <c r="J817" s="3"/>
    </row>
    <row r="818">
      <c r="A818" s="9"/>
      <c r="D818" s="3"/>
      <c r="G818" s="3"/>
      <c r="J818" s="3"/>
    </row>
    <row r="819">
      <c r="A819" s="9"/>
      <c r="D819" s="3"/>
      <c r="G819" s="3"/>
      <c r="J819" s="3"/>
    </row>
    <row r="820">
      <c r="A820" s="9"/>
      <c r="D820" s="3"/>
      <c r="G820" s="3"/>
      <c r="J820" s="3"/>
    </row>
    <row r="821">
      <c r="A821" s="9"/>
      <c r="D821" s="3"/>
      <c r="G821" s="3"/>
      <c r="J821" s="3"/>
    </row>
    <row r="822">
      <c r="A822" s="9"/>
      <c r="D822" s="3"/>
      <c r="G822" s="3"/>
      <c r="J822" s="3"/>
    </row>
    <row r="823">
      <c r="A823" s="9"/>
      <c r="D823" s="3"/>
      <c r="G823" s="3"/>
      <c r="J823" s="3"/>
    </row>
    <row r="824">
      <c r="A824" s="9"/>
      <c r="D824" s="3"/>
      <c r="G824" s="3"/>
      <c r="J824" s="3"/>
    </row>
    <row r="825">
      <c r="A825" s="9"/>
      <c r="D825" s="3"/>
      <c r="G825" s="3"/>
      <c r="J825" s="3"/>
    </row>
    <row r="826">
      <c r="A826" s="9"/>
      <c r="D826" s="3"/>
      <c r="G826" s="3"/>
      <c r="J826" s="3"/>
    </row>
    <row r="827">
      <c r="A827" s="9"/>
      <c r="D827" s="3"/>
      <c r="G827" s="3"/>
      <c r="J827" s="3"/>
    </row>
    <row r="828">
      <c r="A828" s="9"/>
      <c r="D828" s="3"/>
      <c r="G828" s="3"/>
      <c r="J828" s="3"/>
    </row>
    <row r="829">
      <c r="A829" s="9"/>
      <c r="D829" s="3"/>
      <c r="G829" s="3"/>
      <c r="J829" s="3"/>
    </row>
    <row r="830">
      <c r="A830" s="9"/>
      <c r="D830" s="3"/>
      <c r="G830" s="3"/>
      <c r="J830" s="3"/>
    </row>
    <row r="831">
      <c r="A831" s="9"/>
      <c r="D831" s="3"/>
      <c r="G831" s="3"/>
      <c r="J831" s="3"/>
    </row>
    <row r="832">
      <c r="A832" s="9"/>
      <c r="D832" s="3"/>
      <c r="G832" s="3"/>
      <c r="J832" s="3"/>
    </row>
    <row r="833">
      <c r="A833" s="9"/>
      <c r="D833" s="3"/>
      <c r="G833" s="3"/>
      <c r="J833" s="3"/>
    </row>
    <row r="834">
      <c r="A834" s="9"/>
      <c r="D834" s="3"/>
      <c r="G834" s="3"/>
      <c r="J834" s="3"/>
    </row>
    <row r="835">
      <c r="A835" s="9"/>
      <c r="D835" s="3"/>
      <c r="G835" s="3"/>
      <c r="J835" s="3"/>
    </row>
    <row r="836">
      <c r="A836" s="9"/>
      <c r="D836" s="3"/>
      <c r="G836" s="3"/>
      <c r="J836" s="3"/>
    </row>
    <row r="837">
      <c r="A837" s="9"/>
      <c r="D837" s="3"/>
      <c r="G837" s="3"/>
      <c r="J837" s="3"/>
    </row>
    <row r="838">
      <c r="A838" s="9"/>
      <c r="D838" s="3"/>
      <c r="G838" s="3"/>
      <c r="J838" s="3"/>
    </row>
    <row r="839">
      <c r="A839" s="9"/>
      <c r="D839" s="3"/>
      <c r="G839" s="3"/>
      <c r="J839" s="3"/>
    </row>
    <row r="840">
      <c r="A840" s="9"/>
      <c r="D840" s="3"/>
      <c r="G840" s="3"/>
      <c r="J840" s="3"/>
    </row>
    <row r="841">
      <c r="A841" s="9"/>
      <c r="D841" s="3"/>
      <c r="G841" s="3"/>
      <c r="J841" s="3"/>
    </row>
    <row r="842">
      <c r="A842" s="9"/>
      <c r="D842" s="3"/>
      <c r="G842" s="3"/>
      <c r="J842" s="3"/>
    </row>
    <row r="843">
      <c r="A843" s="9"/>
      <c r="D843" s="3"/>
      <c r="G843" s="3"/>
      <c r="J843" s="3"/>
    </row>
    <row r="844">
      <c r="A844" s="9"/>
      <c r="D844" s="3"/>
      <c r="G844" s="3"/>
      <c r="J844" s="3"/>
    </row>
    <row r="845">
      <c r="A845" s="9"/>
      <c r="D845" s="3"/>
      <c r="G845" s="3"/>
      <c r="J845" s="3"/>
    </row>
    <row r="846">
      <c r="A846" s="9"/>
      <c r="D846" s="3"/>
      <c r="G846" s="3"/>
      <c r="J846" s="3"/>
    </row>
    <row r="847">
      <c r="A847" s="9"/>
      <c r="D847" s="3"/>
      <c r="G847" s="3"/>
      <c r="J847" s="3"/>
    </row>
    <row r="848">
      <c r="A848" s="9"/>
      <c r="D848" s="3"/>
      <c r="G848" s="3"/>
      <c r="J848" s="3"/>
    </row>
    <row r="849">
      <c r="A849" s="9"/>
      <c r="D849" s="3"/>
      <c r="G849" s="3"/>
      <c r="J849" s="3"/>
    </row>
    <row r="850">
      <c r="A850" s="9"/>
      <c r="D850" s="3"/>
      <c r="G850" s="3"/>
      <c r="J850" s="3"/>
    </row>
    <row r="851">
      <c r="A851" s="9"/>
      <c r="D851" s="3"/>
      <c r="G851" s="3"/>
      <c r="J851" s="3"/>
    </row>
    <row r="852">
      <c r="A852" s="9"/>
      <c r="D852" s="3"/>
      <c r="G852" s="3"/>
      <c r="J852" s="3"/>
    </row>
    <row r="853">
      <c r="A853" s="9"/>
      <c r="D853" s="3"/>
      <c r="G853" s="3"/>
      <c r="J853" s="3"/>
    </row>
    <row r="854">
      <c r="A854" s="9"/>
      <c r="D854" s="3"/>
      <c r="G854" s="3"/>
      <c r="J854" s="3"/>
    </row>
    <row r="855">
      <c r="A855" s="9"/>
      <c r="D855" s="3"/>
      <c r="G855" s="3"/>
      <c r="J855" s="3"/>
    </row>
    <row r="856">
      <c r="A856" s="9"/>
      <c r="D856" s="3"/>
      <c r="G856" s="3"/>
      <c r="J856" s="3"/>
    </row>
    <row r="857">
      <c r="A857" s="9"/>
      <c r="D857" s="3"/>
      <c r="G857" s="3"/>
      <c r="J857" s="3"/>
    </row>
    <row r="858">
      <c r="A858" s="9"/>
      <c r="D858" s="3"/>
      <c r="G858" s="3"/>
      <c r="J858" s="3"/>
    </row>
    <row r="859">
      <c r="A859" s="9"/>
      <c r="D859" s="3"/>
      <c r="G859" s="3"/>
      <c r="J859" s="3"/>
    </row>
    <row r="860">
      <c r="A860" s="9"/>
      <c r="D860" s="3"/>
      <c r="G860" s="3"/>
      <c r="J860" s="3"/>
    </row>
    <row r="861">
      <c r="A861" s="9"/>
      <c r="D861" s="3"/>
      <c r="G861" s="3"/>
      <c r="J861" s="3"/>
    </row>
    <row r="862">
      <c r="A862" s="9"/>
      <c r="D862" s="3"/>
      <c r="G862" s="3"/>
      <c r="J862" s="3"/>
    </row>
    <row r="863">
      <c r="A863" s="9"/>
      <c r="D863" s="3"/>
      <c r="G863" s="3"/>
      <c r="J863" s="3"/>
    </row>
    <row r="864">
      <c r="A864" s="9"/>
      <c r="D864" s="3"/>
      <c r="G864" s="3"/>
      <c r="J864" s="3"/>
    </row>
    <row r="865">
      <c r="A865" s="9"/>
      <c r="D865" s="3"/>
      <c r="G865" s="3"/>
      <c r="J865" s="3"/>
    </row>
    <row r="866">
      <c r="A866" s="9"/>
      <c r="D866" s="3"/>
      <c r="G866" s="3"/>
      <c r="J866" s="3"/>
    </row>
    <row r="867">
      <c r="A867" s="9"/>
      <c r="D867" s="3"/>
      <c r="G867" s="3"/>
      <c r="J867" s="3"/>
    </row>
    <row r="868">
      <c r="A868" s="9"/>
      <c r="D868" s="3"/>
      <c r="G868" s="3"/>
      <c r="J868" s="3"/>
    </row>
    <row r="869">
      <c r="A869" s="9"/>
      <c r="D869" s="3"/>
      <c r="G869" s="3"/>
      <c r="J869" s="3"/>
    </row>
    <row r="870">
      <c r="A870" s="9"/>
      <c r="D870" s="3"/>
      <c r="G870" s="3"/>
      <c r="J870" s="3"/>
    </row>
    <row r="871">
      <c r="A871" s="9"/>
      <c r="D871" s="3"/>
      <c r="G871" s="3"/>
      <c r="J871" s="3"/>
    </row>
    <row r="872">
      <c r="A872" s="9"/>
      <c r="D872" s="3"/>
      <c r="G872" s="3"/>
      <c r="J872" s="3"/>
    </row>
    <row r="873">
      <c r="A873" s="9"/>
      <c r="D873" s="3"/>
      <c r="G873" s="3"/>
      <c r="J873" s="3"/>
    </row>
    <row r="874">
      <c r="A874" s="9"/>
      <c r="D874" s="3"/>
      <c r="G874" s="3"/>
      <c r="J874" s="3"/>
    </row>
    <row r="875">
      <c r="A875" s="9"/>
      <c r="D875" s="3"/>
      <c r="G875" s="3"/>
      <c r="J875" s="3"/>
    </row>
    <row r="876">
      <c r="A876" s="9"/>
      <c r="D876" s="3"/>
      <c r="G876" s="3"/>
      <c r="J876" s="3"/>
    </row>
    <row r="877">
      <c r="A877" s="9"/>
      <c r="D877" s="3"/>
      <c r="G877" s="3"/>
      <c r="J877" s="3"/>
    </row>
    <row r="878">
      <c r="A878" s="9"/>
      <c r="D878" s="3"/>
      <c r="G878" s="3"/>
      <c r="J878" s="3"/>
    </row>
    <row r="879">
      <c r="A879" s="9"/>
      <c r="D879" s="3"/>
      <c r="G879" s="3"/>
      <c r="J879" s="3"/>
    </row>
    <row r="880">
      <c r="A880" s="9"/>
      <c r="D880" s="3"/>
      <c r="G880" s="3"/>
      <c r="J880" s="3"/>
    </row>
    <row r="881">
      <c r="A881" s="9"/>
      <c r="D881" s="3"/>
      <c r="G881" s="3"/>
      <c r="J881" s="3"/>
    </row>
    <row r="882">
      <c r="A882" s="9"/>
      <c r="D882" s="3"/>
      <c r="G882" s="3"/>
      <c r="J882" s="3"/>
    </row>
    <row r="883">
      <c r="A883" s="9"/>
      <c r="D883" s="3"/>
      <c r="G883" s="3"/>
      <c r="J883" s="3"/>
    </row>
    <row r="884">
      <c r="A884" s="9"/>
      <c r="D884" s="3"/>
      <c r="G884" s="3"/>
      <c r="J884" s="3"/>
    </row>
    <row r="885">
      <c r="A885" s="9"/>
      <c r="D885" s="3"/>
      <c r="G885" s="3"/>
      <c r="J885" s="3"/>
    </row>
    <row r="886">
      <c r="A886" s="9"/>
      <c r="D886" s="3"/>
      <c r="G886" s="3"/>
      <c r="J886" s="3"/>
    </row>
    <row r="887">
      <c r="A887" s="9"/>
      <c r="D887" s="3"/>
      <c r="G887" s="3"/>
      <c r="J887" s="3"/>
    </row>
    <row r="888">
      <c r="A888" s="9"/>
      <c r="D888" s="3"/>
      <c r="G888" s="3"/>
      <c r="J888" s="3"/>
    </row>
    <row r="889">
      <c r="A889" s="9"/>
      <c r="D889" s="3"/>
      <c r="G889" s="3"/>
      <c r="J889" s="3"/>
    </row>
    <row r="890">
      <c r="A890" s="9"/>
      <c r="D890" s="3"/>
      <c r="G890" s="3"/>
      <c r="J890" s="3"/>
    </row>
    <row r="891">
      <c r="A891" s="9"/>
      <c r="D891" s="3"/>
      <c r="G891" s="3"/>
      <c r="J891" s="3"/>
    </row>
    <row r="892">
      <c r="A892" s="9"/>
      <c r="D892" s="3"/>
      <c r="G892" s="3"/>
      <c r="J892" s="3"/>
    </row>
    <row r="893">
      <c r="A893" s="9"/>
      <c r="D893" s="3"/>
      <c r="G893" s="3"/>
      <c r="J893" s="3"/>
    </row>
    <row r="894">
      <c r="A894" s="9"/>
      <c r="D894" s="3"/>
      <c r="G894" s="3"/>
      <c r="J894" s="3"/>
    </row>
    <row r="895">
      <c r="A895" s="9"/>
      <c r="D895" s="3"/>
      <c r="G895" s="3"/>
      <c r="J895" s="3"/>
    </row>
    <row r="896">
      <c r="A896" s="9"/>
      <c r="D896" s="3"/>
      <c r="G896" s="3"/>
      <c r="J896" s="3"/>
    </row>
    <row r="897">
      <c r="A897" s="9"/>
      <c r="D897" s="3"/>
      <c r="G897" s="3"/>
      <c r="J897" s="3"/>
    </row>
    <row r="898">
      <c r="A898" s="9"/>
      <c r="D898" s="3"/>
      <c r="G898" s="3"/>
      <c r="J898" s="3"/>
    </row>
    <row r="899">
      <c r="A899" s="9"/>
      <c r="D899" s="3"/>
      <c r="G899" s="3"/>
      <c r="J899" s="3"/>
    </row>
    <row r="900">
      <c r="A900" s="9"/>
      <c r="D900" s="3"/>
      <c r="G900" s="3"/>
      <c r="J900" s="3"/>
    </row>
    <row r="901">
      <c r="A901" s="9"/>
      <c r="D901" s="3"/>
      <c r="G901" s="3"/>
      <c r="J901" s="3"/>
    </row>
    <row r="902">
      <c r="A902" s="9"/>
      <c r="D902" s="3"/>
      <c r="G902" s="3"/>
      <c r="J902" s="3"/>
    </row>
    <row r="903">
      <c r="A903" s="9"/>
      <c r="D903" s="3"/>
      <c r="G903" s="3"/>
      <c r="J903" s="3"/>
    </row>
    <row r="904">
      <c r="A904" s="9"/>
      <c r="D904" s="3"/>
      <c r="G904" s="3"/>
      <c r="J904" s="3"/>
    </row>
    <row r="905">
      <c r="A905" s="9"/>
      <c r="D905" s="3"/>
      <c r="G905" s="3"/>
      <c r="J905" s="3"/>
    </row>
    <row r="906">
      <c r="A906" s="9"/>
      <c r="D906" s="3"/>
      <c r="G906" s="3"/>
      <c r="J906" s="3"/>
    </row>
    <row r="907">
      <c r="A907" s="9"/>
      <c r="D907" s="3"/>
      <c r="G907" s="3"/>
      <c r="J907" s="3"/>
    </row>
    <row r="908">
      <c r="A908" s="9"/>
      <c r="D908" s="3"/>
      <c r="G908" s="3"/>
      <c r="J908" s="3"/>
    </row>
    <row r="909">
      <c r="A909" s="9"/>
      <c r="D909" s="3"/>
      <c r="G909" s="3"/>
      <c r="J909" s="3"/>
    </row>
    <row r="910">
      <c r="A910" s="9"/>
      <c r="D910" s="3"/>
      <c r="G910" s="3"/>
      <c r="J910" s="3"/>
    </row>
    <row r="911">
      <c r="A911" s="9"/>
      <c r="D911" s="3"/>
      <c r="G911" s="3"/>
      <c r="J911" s="3"/>
    </row>
    <row r="912">
      <c r="A912" s="9"/>
      <c r="D912" s="3"/>
      <c r="G912" s="3"/>
      <c r="J912" s="3"/>
    </row>
    <row r="913">
      <c r="A913" s="9"/>
      <c r="D913" s="3"/>
      <c r="G913" s="3"/>
      <c r="J913" s="3"/>
    </row>
    <row r="914">
      <c r="A914" s="9"/>
      <c r="D914" s="3"/>
      <c r="G914" s="3"/>
      <c r="J914" s="3"/>
    </row>
    <row r="915">
      <c r="A915" s="9"/>
      <c r="D915" s="3"/>
      <c r="G915" s="3"/>
      <c r="J915" s="3"/>
    </row>
    <row r="916">
      <c r="A916" s="9"/>
      <c r="D916" s="3"/>
      <c r="G916" s="3"/>
      <c r="J916" s="3"/>
    </row>
    <row r="917">
      <c r="A917" s="9"/>
      <c r="D917" s="3"/>
      <c r="G917" s="3"/>
      <c r="J917" s="3"/>
    </row>
    <row r="918">
      <c r="A918" s="9"/>
      <c r="D918" s="3"/>
      <c r="G918" s="3"/>
      <c r="J918" s="3"/>
    </row>
    <row r="919">
      <c r="A919" s="9"/>
      <c r="D919" s="3"/>
      <c r="G919" s="3"/>
      <c r="J919" s="3"/>
    </row>
    <row r="920">
      <c r="A920" s="9"/>
      <c r="D920" s="3"/>
      <c r="G920" s="3"/>
      <c r="J920" s="3"/>
    </row>
    <row r="921">
      <c r="A921" s="9"/>
      <c r="D921" s="3"/>
      <c r="G921" s="3"/>
      <c r="J921" s="3"/>
    </row>
    <row r="922">
      <c r="A922" s="9"/>
      <c r="D922" s="3"/>
      <c r="G922" s="3"/>
      <c r="J922" s="3"/>
    </row>
    <row r="923">
      <c r="A923" s="9"/>
      <c r="D923" s="3"/>
      <c r="G923" s="3"/>
      <c r="J923" s="3"/>
    </row>
    <row r="924">
      <c r="A924" s="9"/>
      <c r="D924" s="3"/>
      <c r="G924" s="3"/>
      <c r="J924" s="3"/>
    </row>
    <row r="925">
      <c r="A925" s="9"/>
      <c r="D925" s="3"/>
      <c r="G925" s="3"/>
      <c r="J925" s="3"/>
    </row>
    <row r="926">
      <c r="A926" s="9"/>
      <c r="D926" s="3"/>
      <c r="G926" s="3"/>
      <c r="J926" s="3"/>
    </row>
    <row r="927">
      <c r="A927" s="9"/>
      <c r="D927" s="3"/>
      <c r="G927" s="3"/>
      <c r="J927" s="3"/>
    </row>
    <row r="928">
      <c r="A928" s="9"/>
      <c r="D928" s="3"/>
      <c r="G928" s="3"/>
      <c r="J928" s="3"/>
    </row>
    <row r="929">
      <c r="A929" s="9"/>
      <c r="D929" s="3"/>
      <c r="G929" s="3"/>
      <c r="J929" s="3"/>
    </row>
    <row r="930">
      <c r="A930" s="9"/>
      <c r="D930" s="3"/>
      <c r="G930" s="3"/>
      <c r="J930" s="3"/>
    </row>
    <row r="931">
      <c r="A931" s="9"/>
      <c r="D931" s="3"/>
      <c r="G931" s="3"/>
      <c r="J931" s="3"/>
    </row>
    <row r="932">
      <c r="A932" s="9"/>
      <c r="D932" s="3"/>
      <c r="G932" s="3"/>
      <c r="J932" s="3"/>
    </row>
    <row r="933">
      <c r="A933" s="9"/>
      <c r="D933" s="3"/>
      <c r="G933" s="3"/>
      <c r="J933" s="3"/>
    </row>
    <row r="934">
      <c r="A934" s="9"/>
      <c r="D934" s="3"/>
      <c r="G934" s="3"/>
      <c r="J934" s="3"/>
    </row>
    <row r="935">
      <c r="A935" s="9"/>
      <c r="D935" s="3"/>
      <c r="G935" s="3"/>
      <c r="J935" s="3"/>
    </row>
    <row r="936">
      <c r="A936" s="9"/>
      <c r="D936" s="3"/>
      <c r="G936" s="3"/>
      <c r="J936" s="3"/>
    </row>
    <row r="937">
      <c r="A937" s="9"/>
      <c r="D937" s="3"/>
      <c r="G937" s="3"/>
      <c r="J937" s="3"/>
    </row>
    <row r="938">
      <c r="A938" s="9"/>
      <c r="D938" s="3"/>
      <c r="G938" s="3"/>
      <c r="J938" s="3"/>
    </row>
    <row r="939">
      <c r="A939" s="9"/>
      <c r="D939" s="3"/>
      <c r="G939" s="3"/>
      <c r="J939" s="3"/>
    </row>
    <row r="940">
      <c r="A940" s="9"/>
      <c r="D940" s="3"/>
      <c r="G940" s="3"/>
      <c r="J940" s="3"/>
    </row>
    <row r="941">
      <c r="A941" s="9"/>
      <c r="D941" s="3"/>
      <c r="G941" s="3"/>
      <c r="J941" s="3"/>
    </row>
    <row r="942">
      <c r="A942" s="9"/>
      <c r="D942" s="3"/>
      <c r="G942" s="3"/>
      <c r="J942" s="3"/>
    </row>
    <row r="943">
      <c r="A943" s="9"/>
      <c r="D943" s="3"/>
      <c r="G943" s="3"/>
      <c r="J943" s="3"/>
    </row>
    <row r="944">
      <c r="A944" s="9"/>
      <c r="D944" s="3"/>
      <c r="G944" s="3"/>
      <c r="J944" s="3"/>
    </row>
    <row r="945">
      <c r="A945" s="9"/>
      <c r="D945" s="3"/>
      <c r="G945" s="3"/>
      <c r="J945" s="3"/>
    </row>
    <row r="946">
      <c r="A946" s="9"/>
      <c r="D946" s="3"/>
      <c r="G946" s="3"/>
      <c r="J946" s="3"/>
    </row>
    <row r="947">
      <c r="A947" s="9"/>
      <c r="D947" s="3"/>
      <c r="G947" s="3"/>
      <c r="J947" s="3"/>
    </row>
    <row r="948">
      <c r="A948" s="9"/>
      <c r="D948" s="3"/>
      <c r="G948" s="3"/>
      <c r="J948" s="3"/>
    </row>
    <row r="949">
      <c r="A949" s="9"/>
      <c r="D949" s="3"/>
      <c r="G949" s="3"/>
      <c r="J949" s="3"/>
    </row>
    <row r="950">
      <c r="A950" s="9"/>
      <c r="D950" s="3"/>
      <c r="G950" s="3"/>
      <c r="J950" s="3"/>
    </row>
    <row r="951">
      <c r="A951" s="9"/>
      <c r="D951" s="3"/>
      <c r="G951" s="3"/>
      <c r="J951" s="3"/>
    </row>
    <row r="952">
      <c r="A952" s="9"/>
      <c r="D952" s="3"/>
      <c r="G952" s="3"/>
      <c r="J952" s="3"/>
    </row>
    <row r="953">
      <c r="A953" s="9"/>
      <c r="D953" s="3"/>
      <c r="G953" s="3"/>
      <c r="J953" s="3"/>
    </row>
    <row r="954">
      <c r="A954" s="9"/>
      <c r="D954" s="3"/>
      <c r="G954" s="3"/>
      <c r="J954" s="3"/>
    </row>
    <row r="955">
      <c r="A955" s="9"/>
      <c r="D955" s="3"/>
      <c r="G955" s="3"/>
      <c r="J955" s="3"/>
    </row>
    <row r="956">
      <c r="A956" s="9"/>
      <c r="D956" s="3"/>
      <c r="G956" s="3"/>
      <c r="J956" s="3"/>
    </row>
    <row r="957">
      <c r="A957" s="9"/>
      <c r="D957" s="3"/>
      <c r="G957" s="3"/>
      <c r="J957" s="3"/>
    </row>
    <row r="958">
      <c r="A958" s="9"/>
      <c r="D958" s="3"/>
      <c r="G958" s="3"/>
      <c r="J958" s="3"/>
    </row>
    <row r="959">
      <c r="A959" s="9"/>
      <c r="D959" s="3"/>
      <c r="G959" s="3"/>
      <c r="J959" s="3"/>
    </row>
    <row r="960">
      <c r="A960" s="9"/>
      <c r="D960" s="3"/>
      <c r="G960" s="3"/>
      <c r="J960" s="3"/>
    </row>
    <row r="961">
      <c r="A961" s="9"/>
      <c r="D961" s="3"/>
      <c r="G961" s="3"/>
      <c r="J961" s="3"/>
    </row>
    <row r="962">
      <c r="A962" s="9"/>
      <c r="D962" s="3"/>
      <c r="G962" s="3"/>
      <c r="J962" s="3"/>
    </row>
    <row r="963">
      <c r="A963" s="9"/>
      <c r="D963" s="3"/>
      <c r="G963" s="3"/>
      <c r="J963" s="3"/>
    </row>
    <row r="964">
      <c r="A964" s="9"/>
      <c r="D964" s="3"/>
      <c r="G964" s="3"/>
      <c r="J964" s="3"/>
    </row>
    <row r="965">
      <c r="A965" s="9"/>
      <c r="D965" s="3"/>
      <c r="G965" s="3"/>
      <c r="J965" s="3"/>
    </row>
    <row r="966">
      <c r="A966" s="9"/>
      <c r="D966" s="3"/>
      <c r="G966" s="3"/>
      <c r="J966" s="3"/>
    </row>
    <row r="967">
      <c r="A967" s="9"/>
      <c r="D967" s="3"/>
      <c r="G967" s="3"/>
      <c r="J967" s="3"/>
    </row>
    <row r="968">
      <c r="A968" s="9"/>
      <c r="D968" s="3"/>
      <c r="G968" s="3"/>
      <c r="J968" s="3"/>
    </row>
    <row r="969">
      <c r="A969" s="9"/>
      <c r="D969" s="3"/>
      <c r="G969" s="3"/>
      <c r="J969" s="3"/>
    </row>
    <row r="970">
      <c r="A970" s="9"/>
      <c r="D970" s="3"/>
      <c r="G970" s="3"/>
      <c r="J970" s="3"/>
    </row>
    <row r="971">
      <c r="A971" s="9"/>
      <c r="D971" s="3"/>
      <c r="G971" s="3"/>
      <c r="J971" s="3"/>
    </row>
    <row r="972">
      <c r="A972" s="9"/>
      <c r="D972" s="3"/>
      <c r="G972" s="3"/>
      <c r="J972" s="3"/>
    </row>
    <row r="973">
      <c r="A973" s="9"/>
      <c r="D973" s="3"/>
      <c r="G973" s="3"/>
      <c r="J973" s="3"/>
    </row>
    <row r="974">
      <c r="A974" s="9"/>
      <c r="D974" s="3"/>
      <c r="G974" s="3"/>
      <c r="J974" s="3"/>
    </row>
    <row r="975">
      <c r="A975" s="9"/>
      <c r="D975" s="3"/>
      <c r="G975" s="3"/>
      <c r="J975" s="3"/>
    </row>
    <row r="976">
      <c r="A976" s="9"/>
      <c r="D976" s="3"/>
      <c r="G976" s="3"/>
      <c r="J976" s="3"/>
    </row>
    <row r="977">
      <c r="A977" s="9"/>
      <c r="D977" s="3"/>
      <c r="G977" s="3"/>
      <c r="J977" s="3"/>
    </row>
    <row r="978">
      <c r="A978" s="9"/>
      <c r="D978" s="3"/>
      <c r="G978" s="3"/>
      <c r="J978" s="3"/>
    </row>
    <row r="979">
      <c r="A979" s="9"/>
      <c r="D979" s="3"/>
      <c r="G979" s="3"/>
      <c r="J979" s="3"/>
    </row>
    <row r="980">
      <c r="A980" s="9"/>
      <c r="D980" s="3"/>
      <c r="G980" s="3"/>
      <c r="J980" s="3"/>
    </row>
    <row r="981">
      <c r="A981" s="9"/>
      <c r="D981" s="3"/>
      <c r="G981" s="3"/>
      <c r="J981" s="3"/>
    </row>
    <row r="982">
      <c r="A982" s="9"/>
      <c r="D982" s="3"/>
      <c r="G982" s="3"/>
      <c r="J982" s="3"/>
    </row>
    <row r="983">
      <c r="A983" s="9"/>
      <c r="D983" s="3"/>
      <c r="G983" s="3"/>
      <c r="J983" s="3"/>
    </row>
    <row r="984">
      <c r="A984" s="9"/>
      <c r="D984" s="3"/>
      <c r="G984" s="3"/>
      <c r="J984" s="3"/>
    </row>
    <row r="985">
      <c r="A985" s="9"/>
      <c r="D985" s="3"/>
      <c r="G985" s="3"/>
      <c r="J985" s="3"/>
    </row>
    <row r="986">
      <c r="A986" s="9"/>
      <c r="D986" s="3"/>
      <c r="G986" s="3"/>
      <c r="J986" s="3"/>
    </row>
    <row r="987">
      <c r="A987" s="9"/>
      <c r="D987" s="3"/>
      <c r="G987" s="3"/>
      <c r="J987" s="3"/>
    </row>
    <row r="988">
      <c r="A988" s="9"/>
      <c r="D988" s="3"/>
      <c r="G988" s="3"/>
      <c r="J988" s="3"/>
    </row>
    <row r="989">
      <c r="A989" s="9"/>
      <c r="D989" s="3"/>
      <c r="G989" s="3"/>
      <c r="J989" s="3"/>
    </row>
    <row r="990">
      <c r="A990" s="9"/>
      <c r="D990" s="3"/>
      <c r="G990" s="3"/>
      <c r="J990" s="3"/>
    </row>
    <row r="991">
      <c r="A991" s="9"/>
      <c r="D991" s="3"/>
      <c r="G991" s="3"/>
      <c r="J991" s="3"/>
    </row>
    <row r="992">
      <c r="A992" s="9"/>
      <c r="D992" s="3"/>
      <c r="G992" s="3"/>
      <c r="J992" s="3"/>
    </row>
    <row r="993">
      <c r="A993" s="9"/>
      <c r="D993" s="3"/>
      <c r="G993" s="3"/>
      <c r="J993" s="3"/>
    </row>
    <row r="994">
      <c r="A994" s="9"/>
      <c r="D994" s="3"/>
      <c r="G994" s="3"/>
      <c r="J994" s="3"/>
    </row>
    <row r="995">
      <c r="A995" s="9"/>
      <c r="D995" s="3"/>
      <c r="G995" s="3"/>
      <c r="J995" s="3"/>
    </row>
    <row r="996">
      <c r="A996" s="9"/>
      <c r="D996" s="3"/>
      <c r="G996" s="3"/>
      <c r="J996" s="3"/>
    </row>
    <row r="997">
      <c r="A997" s="9"/>
      <c r="D997" s="3"/>
      <c r="G997" s="3"/>
      <c r="J997" s="3"/>
    </row>
    <row r="998">
      <c r="A998" s="9"/>
      <c r="D998" s="3"/>
      <c r="G998" s="3"/>
      <c r="J998" s="3"/>
    </row>
    <row r="999">
      <c r="A999" s="9"/>
      <c r="D999" s="3"/>
      <c r="G999" s="3"/>
      <c r="J999" s="3"/>
    </row>
    <row r="1000">
      <c r="A1000" s="9"/>
      <c r="D1000" s="3"/>
      <c r="G1000" s="3"/>
      <c r="J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IFERROR(__xludf.DUMMYFUNCTION("IFERROR(QUERY(FEB_2023!A:I, ""SELECT * WHERE D IS NOT NULL AND UPPER(I) = ''"", 1), ""Data KOSONG belum ditemukan"")"),"Data KOSONG belum ditemukan")</f>
        <v>Data KOSONG belum ditemukan</v>
      </c>
      <c r="D1" s="3"/>
      <c r="G1" s="3"/>
      <c r="J1" s="3">
        <f>SUM(D2:D1000)</f>
        <v>0</v>
      </c>
    </row>
    <row r="2">
      <c r="A2" s="9"/>
      <c r="D2" s="3"/>
      <c r="G2" s="3"/>
      <c r="J2" s="3"/>
    </row>
    <row r="3">
      <c r="A3" s="9"/>
      <c r="D3" s="3"/>
      <c r="G3" s="3"/>
      <c r="J3" s="3"/>
    </row>
    <row r="4">
      <c r="A4" s="9"/>
      <c r="D4" s="3"/>
      <c r="G4" s="3"/>
      <c r="J4" s="3"/>
    </row>
    <row r="5">
      <c r="A5" s="9"/>
      <c r="D5" s="3"/>
      <c r="G5" s="3"/>
      <c r="J5" s="3"/>
    </row>
    <row r="6">
      <c r="A6" s="9"/>
      <c r="D6" s="3"/>
      <c r="G6" s="3"/>
      <c r="J6" s="3"/>
    </row>
    <row r="7">
      <c r="A7" s="9"/>
      <c r="D7" s="3"/>
      <c r="G7" s="3"/>
      <c r="J7" s="3"/>
    </row>
    <row r="8">
      <c r="A8" s="9"/>
      <c r="D8" s="3"/>
      <c r="G8" s="3"/>
      <c r="J8" s="3"/>
    </row>
    <row r="9">
      <c r="A9" s="9"/>
      <c r="D9" s="3"/>
      <c r="G9" s="3"/>
      <c r="J9" s="3"/>
    </row>
    <row r="10">
      <c r="A10" s="9"/>
      <c r="D10" s="3"/>
      <c r="G10" s="3"/>
      <c r="J10" s="3"/>
    </row>
    <row r="11">
      <c r="A11" s="9"/>
      <c r="D11" s="3"/>
      <c r="G11" s="3"/>
      <c r="J11" s="3"/>
    </row>
    <row r="12">
      <c r="A12" s="9"/>
      <c r="D12" s="3"/>
      <c r="G12" s="3"/>
      <c r="J12" s="3"/>
    </row>
    <row r="13">
      <c r="A13" s="9"/>
      <c r="D13" s="3"/>
      <c r="G13" s="3"/>
      <c r="J13" s="3"/>
    </row>
    <row r="14">
      <c r="A14" s="9"/>
      <c r="D14" s="3"/>
      <c r="G14" s="3"/>
      <c r="J14" s="3"/>
    </row>
    <row r="15">
      <c r="A15" s="9"/>
      <c r="D15" s="3"/>
      <c r="G15" s="3"/>
      <c r="J15" s="3"/>
    </row>
    <row r="16">
      <c r="A16" s="9"/>
      <c r="D16" s="3"/>
      <c r="G16" s="3"/>
      <c r="J16" s="3"/>
    </row>
    <row r="17">
      <c r="A17" s="9"/>
      <c r="D17" s="3"/>
      <c r="G17" s="3"/>
      <c r="J17" s="3"/>
    </row>
    <row r="18">
      <c r="A18" s="9"/>
      <c r="D18" s="3"/>
      <c r="G18" s="3"/>
      <c r="J18" s="3"/>
    </row>
    <row r="19">
      <c r="A19" s="9"/>
      <c r="D19" s="3"/>
      <c r="G19" s="3"/>
      <c r="J19" s="3"/>
    </row>
    <row r="20">
      <c r="A20" s="9"/>
      <c r="D20" s="3"/>
      <c r="G20" s="3"/>
      <c r="J20" s="3"/>
    </row>
    <row r="21">
      <c r="A21" s="9"/>
      <c r="D21" s="3"/>
      <c r="G21" s="3"/>
      <c r="J21" s="3"/>
    </row>
    <row r="22">
      <c r="A22" s="9"/>
      <c r="D22" s="3"/>
      <c r="G22" s="3"/>
      <c r="J22" s="3"/>
    </row>
    <row r="23">
      <c r="A23" s="9"/>
      <c r="D23" s="3"/>
      <c r="G23" s="3"/>
      <c r="J23" s="3"/>
    </row>
    <row r="24">
      <c r="A24" s="9"/>
      <c r="D24" s="3"/>
      <c r="G24" s="3"/>
      <c r="J24" s="3"/>
    </row>
    <row r="25">
      <c r="A25" s="9"/>
      <c r="D25" s="3"/>
      <c r="G25" s="3"/>
      <c r="J25" s="3"/>
    </row>
    <row r="26">
      <c r="A26" s="9"/>
      <c r="D26" s="3"/>
      <c r="G26" s="3"/>
      <c r="J26" s="3"/>
    </row>
    <row r="27">
      <c r="A27" s="9"/>
      <c r="D27" s="3"/>
      <c r="G27" s="3"/>
      <c r="J27" s="3"/>
    </row>
    <row r="28">
      <c r="A28" s="9"/>
      <c r="D28" s="3"/>
      <c r="G28" s="3"/>
      <c r="J28" s="3"/>
    </row>
    <row r="29">
      <c r="A29" s="9"/>
      <c r="D29" s="3"/>
      <c r="G29" s="3"/>
      <c r="J29" s="3"/>
    </row>
    <row r="30">
      <c r="A30" s="9"/>
      <c r="D30" s="3"/>
      <c r="G30" s="3"/>
      <c r="J30" s="3"/>
    </row>
    <row r="31">
      <c r="A31" s="9"/>
      <c r="D31" s="3"/>
      <c r="G31" s="3"/>
      <c r="J31" s="3"/>
    </row>
    <row r="32">
      <c r="A32" s="9"/>
      <c r="D32" s="3"/>
      <c r="G32" s="3"/>
      <c r="J32" s="3"/>
    </row>
    <row r="33">
      <c r="A33" s="9"/>
      <c r="D33" s="3"/>
      <c r="G33" s="3"/>
      <c r="J33" s="3"/>
    </row>
    <row r="34">
      <c r="A34" s="9"/>
      <c r="D34" s="3"/>
      <c r="G34" s="3"/>
      <c r="J34" s="3"/>
    </row>
    <row r="35">
      <c r="A35" s="9"/>
      <c r="D35" s="3"/>
      <c r="G35" s="3"/>
      <c r="J35" s="3"/>
    </row>
    <row r="36">
      <c r="A36" s="9"/>
      <c r="D36" s="3"/>
      <c r="G36" s="3"/>
      <c r="J36" s="3"/>
    </row>
    <row r="37">
      <c r="A37" s="9"/>
      <c r="D37" s="3"/>
      <c r="G37" s="3"/>
      <c r="J37" s="3"/>
    </row>
    <row r="38">
      <c r="A38" s="9"/>
      <c r="D38" s="3"/>
      <c r="G38" s="3"/>
      <c r="J38" s="3"/>
    </row>
    <row r="39">
      <c r="A39" s="9"/>
      <c r="D39" s="3"/>
      <c r="G39" s="3"/>
      <c r="J39" s="3"/>
    </row>
    <row r="40">
      <c r="A40" s="9"/>
      <c r="D40" s="3"/>
      <c r="G40" s="3"/>
      <c r="J40" s="3"/>
    </row>
    <row r="41">
      <c r="A41" s="9"/>
      <c r="D41" s="3"/>
      <c r="G41" s="3"/>
      <c r="J41" s="3"/>
    </row>
    <row r="42">
      <c r="A42" s="9"/>
      <c r="D42" s="3"/>
      <c r="G42" s="3"/>
      <c r="J42" s="3"/>
    </row>
    <row r="43">
      <c r="A43" s="9"/>
      <c r="D43" s="3"/>
      <c r="G43" s="3"/>
      <c r="J43" s="3"/>
    </row>
    <row r="44">
      <c r="A44" s="9"/>
      <c r="D44" s="3"/>
      <c r="G44" s="3"/>
      <c r="J44" s="3"/>
    </row>
    <row r="45">
      <c r="A45" s="9"/>
      <c r="D45" s="3"/>
      <c r="G45" s="3"/>
      <c r="J45" s="3"/>
    </row>
    <row r="46">
      <c r="A46" s="9"/>
      <c r="D46" s="3"/>
      <c r="G46" s="3"/>
      <c r="J46" s="3"/>
    </row>
    <row r="47">
      <c r="A47" s="9"/>
      <c r="D47" s="3"/>
      <c r="G47" s="3"/>
      <c r="J47" s="3"/>
    </row>
    <row r="48">
      <c r="A48" s="9"/>
      <c r="D48" s="3"/>
      <c r="G48" s="3"/>
      <c r="J48" s="3"/>
    </row>
    <row r="49">
      <c r="A49" s="9"/>
      <c r="D49" s="3"/>
      <c r="G49" s="3"/>
      <c r="J49" s="3"/>
    </row>
    <row r="50">
      <c r="A50" s="9"/>
      <c r="D50" s="3"/>
      <c r="G50" s="3"/>
      <c r="J50" s="3"/>
    </row>
    <row r="51">
      <c r="A51" s="9"/>
      <c r="D51" s="3"/>
      <c r="G51" s="3"/>
      <c r="J51" s="3"/>
    </row>
    <row r="52">
      <c r="A52" s="9"/>
      <c r="D52" s="3"/>
      <c r="G52" s="3"/>
      <c r="J52" s="3"/>
    </row>
    <row r="53">
      <c r="A53" s="9"/>
      <c r="D53" s="3"/>
      <c r="G53" s="3"/>
      <c r="J53" s="3"/>
    </row>
    <row r="54">
      <c r="A54" s="9"/>
      <c r="D54" s="3"/>
      <c r="G54" s="3"/>
      <c r="J54" s="3"/>
    </row>
    <row r="55">
      <c r="A55" s="9"/>
      <c r="D55" s="3"/>
      <c r="G55" s="3"/>
      <c r="J55" s="3"/>
    </row>
    <row r="56">
      <c r="A56" s="9"/>
      <c r="D56" s="3"/>
      <c r="G56" s="3"/>
      <c r="J56" s="3"/>
    </row>
    <row r="57">
      <c r="A57" s="9"/>
      <c r="D57" s="3"/>
      <c r="G57" s="3"/>
      <c r="J57" s="3"/>
    </row>
    <row r="58">
      <c r="A58" s="9"/>
      <c r="D58" s="3"/>
      <c r="G58" s="3"/>
      <c r="J58" s="3"/>
    </row>
    <row r="59">
      <c r="A59" s="9"/>
      <c r="D59" s="3"/>
      <c r="G59" s="3"/>
      <c r="J59" s="3"/>
    </row>
    <row r="60">
      <c r="A60" s="9"/>
      <c r="D60" s="3"/>
      <c r="G60" s="3"/>
      <c r="J60" s="3"/>
    </row>
    <row r="61">
      <c r="A61" s="9"/>
      <c r="D61" s="3"/>
      <c r="G61" s="3"/>
      <c r="J61" s="3"/>
    </row>
    <row r="62">
      <c r="A62" s="9"/>
      <c r="D62" s="3"/>
      <c r="G62" s="3"/>
      <c r="J62" s="3"/>
    </row>
    <row r="63">
      <c r="A63" s="9"/>
      <c r="D63" s="3"/>
      <c r="G63" s="3"/>
      <c r="J63" s="3"/>
    </row>
    <row r="64">
      <c r="A64" s="9"/>
      <c r="D64" s="3"/>
      <c r="G64" s="3"/>
      <c r="J64" s="3"/>
    </row>
    <row r="65">
      <c r="A65" s="9"/>
      <c r="D65" s="3"/>
      <c r="G65" s="3"/>
      <c r="J65" s="3"/>
    </row>
    <row r="66">
      <c r="A66" s="9"/>
      <c r="D66" s="3"/>
      <c r="G66" s="3"/>
      <c r="J66" s="3"/>
    </row>
    <row r="67">
      <c r="A67" s="9"/>
      <c r="D67" s="3"/>
      <c r="G67" s="3"/>
      <c r="J67" s="3"/>
    </row>
    <row r="68">
      <c r="A68" s="9"/>
      <c r="D68" s="3"/>
      <c r="G68" s="3"/>
      <c r="J68" s="3"/>
    </row>
    <row r="69">
      <c r="A69" s="9"/>
      <c r="D69" s="3"/>
      <c r="G69" s="3"/>
      <c r="J69" s="3"/>
    </row>
    <row r="70">
      <c r="A70" s="9"/>
      <c r="D70" s="3"/>
      <c r="G70" s="3"/>
      <c r="J70" s="3"/>
    </row>
    <row r="71">
      <c r="A71" s="9"/>
      <c r="D71" s="3"/>
      <c r="G71" s="3"/>
      <c r="J71" s="3"/>
    </row>
    <row r="72">
      <c r="A72" s="9"/>
      <c r="D72" s="3"/>
      <c r="G72" s="3"/>
      <c r="J72" s="3"/>
    </row>
    <row r="73">
      <c r="A73" s="9"/>
      <c r="D73" s="3"/>
      <c r="G73" s="3"/>
      <c r="J73" s="3"/>
    </row>
    <row r="74">
      <c r="A74" s="9"/>
      <c r="D74" s="3"/>
      <c r="G74" s="3"/>
      <c r="J74" s="3"/>
    </row>
    <row r="75">
      <c r="A75" s="9"/>
      <c r="D75" s="3"/>
      <c r="G75" s="3"/>
      <c r="J75" s="3"/>
    </row>
    <row r="76">
      <c r="A76" s="9"/>
      <c r="D76" s="3"/>
      <c r="G76" s="3"/>
      <c r="J76" s="3"/>
    </row>
    <row r="77">
      <c r="A77" s="9"/>
      <c r="D77" s="3"/>
      <c r="G77" s="3"/>
      <c r="J77" s="3"/>
    </row>
    <row r="78">
      <c r="A78" s="9"/>
      <c r="D78" s="3"/>
      <c r="G78" s="3"/>
      <c r="J78" s="3"/>
    </row>
    <row r="79">
      <c r="A79" s="9"/>
      <c r="D79" s="3"/>
      <c r="G79" s="3"/>
      <c r="J79" s="3"/>
    </row>
    <row r="80">
      <c r="A80" s="9"/>
      <c r="D80" s="3"/>
      <c r="G80" s="3"/>
      <c r="J80" s="3"/>
    </row>
    <row r="81">
      <c r="A81" s="9"/>
      <c r="D81" s="3"/>
      <c r="G81" s="3"/>
      <c r="J81" s="3"/>
    </row>
    <row r="82">
      <c r="A82" s="9"/>
      <c r="D82" s="3"/>
      <c r="G82" s="3"/>
      <c r="J82" s="3"/>
    </row>
    <row r="83">
      <c r="A83" s="9"/>
      <c r="D83" s="3"/>
      <c r="G83" s="3"/>
      <c r="J83" s="3"/>
    </row>
    <row r="84">
      <c r="A84" s="9"/>
      <c r="D84" s="3"/>
      <c r="G84" s="3"/>
      <c r="J84" s="3"/>
    </row>
    <row r="85">
      <c r="A85" s="9"/>
      <c r="D85" s="3"/>
      <c r="G85" s="3"/>
      <c r="J85" s="3"/>
    </row>
    <row r="86">
      <c r="A86" s="9"/>
      <c r="D86" s="3"/>
      <c r="G86" s="3"/>
      <c r="J86" s="3"/>
    </row>
    <row r="87">
      <c r="A87" s="9"/>
      <c r="D87" s="3"/>
      <c r="G87" s="3"/>
      <c r="J87" s="3"/>
    </row>
    <row r="88">
      <c r="A88" s="9"/>
      <c r="D88" s="3"/>
      <c r="G88" s="3"/>
      <c r="J88" s="3"/>
    </row>
    <row r="89">
      <c r="A89" s="9"/>
      <c r="D89" s="3"/>
      <c r="G89" s="3"/>
      <c r="J89" s="3"/>
    </row>
    <row r="90">
      <c r="A90" s="9"/>
      <c r="D90" s="3"/>
      <c r="G90" s="3"/>
      <c r="J90" s="3"/>
    </row>
    <row r="91">
      <c r="A91" s="9"/>
      <c r="D91" s="3"/>
      <c r="G91" s="3"/>
      <c r="J91" s="3"/>
    </row>
    <row r="92">
      <c r="A92" s="9"/>
      <c r="D92" s="3"/>
      <c r="G92" s="3"/>
      <c r="J92" s="3"/>
    </row>
    <row r="93">
      <c r="A93" s="9"/>
      <c r="D93" s="3"/>
      <c r="G93" s="3"/>
      <c r="J93" s="3"/>
    </row>
    <row r="94">
      <c r="A94" s="9"/>
      <c r="D94" s="3"/>
      <c r="G94" s="3"/>
      <c r="J94" s="3"/>
    </row>
    <row r="95">
      <c r="A95" s="9"/>
      <c r="D95" s="3"/>
      <c r="G95" s="3"/>
      <c r="J95" s="3"/>
    </row>
    <row r="96">
      <c r="A96" s="9"/>
      <c r="D96" s="3"/>
      <c r="G96" s="3"/>
      <c r="J96" s="3"/>
    </row>
    <row r="97">
      <c r="A97" s="9"/>
      <c r="D97" s="3"/>
      <c r="G97" s="3"/>
      <c r="J97" s="3"/>
    </row>
    <row r="98">
      <c r="A98" s="9"/>
      <c r="D98" s="3"/>
      <c r="G98" s="3"/>
      <c r="J98" s="3"/>
    </row>
    <row r="99">
      <c r="A99" s="9"/>
      <c r="D99" s="3"/>
      <c r="G99" s="3"/>
      <c r="J99" s="3"/>
    </row>
    <row r="100">
      <c r="A100" s="9"/>
      <c r="D100" s="3"/>
      <c r="G100" s="3"/>
      <c r="J100" s="3"/>
    </row>
    <row r="101">
      <c r="A101" s="9"/>
      <c r="D101" s="3"/>
      <c r="G101" s="3"/>
      <c r="J101" s="3"/>
    </row>
    <row r="102">
      <c r="A102" s="9"/>
      <c r="D102" s="3"/>
      <c r="G102" s="3"/>
      <c r="J102" s="3"/>
    </row>
    <row r="103">
      <c r="A103" s="9"/>
      <c r="D103" s="3"/>
      <c r="G103" s="3"/>
      <c r="J103" s="3"/>
    </row>
    <row r="104">
      <c r="A104" s="9"/>
      <c r="D104" s="3"/>
      <c r="G104" s="3"/>
      <c r="J104" s="3"/>
    </row>
    <row r="105">
      <c r="A105" s="9"/>
      <c r="D105" s="3"/>
      <c r="G105" s="3"/>
      <c r="J105" s="3"/>
    </row>
    <row r="106">
      <c r="A106" s="9"/>
      <c r="D106" s="3"/>
      <c r="G106" s="3"/>
      <c r="J106" s="3"/>
    </row>
    <row r="107">
      <c r="A107" s="9"/>
      <c r="D107" s="3"/>
      <c r="G107" s="3"/>
      <c r="J107" s="3"/>
    </row>
    <row r="108">
      <c r="A108" s="9"/>
      <c r="D108" s="3"/>
      <c r="G108" s="3"/>
      <c r="J108" s="3"/>
    </row>
    <row r="109">
      <c r="A109" s="9"/>
      <c r="D109" s="3"/>
      <c r="G109" s="3"/>
      <c r="J109" s="3"/>
    </row>
    <row r="110">
      <c r="A110" s="9"/>
      <c r="D110" s="3"/>
      <c r="G110" s="3"/>
      <c r="J110" s="3"/>
    </row>
    <row r="111">
      <c r="A111" s="9"/>
      <c r="D111" s="3"/>
      <c r="G111" s="3"/>
      <c r="J111" s="3"/>
    </row>
    <row r="112">
      <c r="A112" s="9"/>
      <c r="D112" s="3"/>
      <c r="G112" s="3"/>
      <c r="J112" s="3"/>
    </row>
    <row r="113">
      <c r="A113" s="9"/>
      <c r="D113" s="3"/>
      <c r="G113" s="3"/>
      <c r="J113" s="3"/>
    </row>
    <row r="114">
      <c r="A114" s="9"/>
      <c r="D114" s="3"/>
      <c r="G114" s="3"/>
      <c r="J114" s="3"/>
    </row>
    <row r="115">
      <c r="A115" s="9"/>
      <c r="D115" s="3"/>
      <c r="G115" s="3"/>
      <c r="J115" s="3"/>
    </row>
    <row r="116">
      <c r="A116" s="9"/>
      <c r="D116" s="3"/>
      <c r="G116" s="3"/>
      <c r="J116" s="3"/>
    </row>
    <row r="117">
      <c r="A117" s="9"/>
      <c r="D117" s="3"/>
      <c r="G117" s="3"/>
      <c r="J117" s="3"/>
    </row>
    <row r="118">
      <c r="A118" s="9"/>
      <c r="D118" s="3"/>
      <c r="G118" s="3"/>
      <c r="J118" s="3"/>
    </row>
    <row r="119">
      <c r="A119" s="9"/>
      <c r="D119" s="3"/>
      <c r="G119" s="3"/>
      <c r="J119" s="3"/>
    </row>
    <row r="120">
      <c r="A120" s="9"/>
      <c r="D120" s="3"/>
      <c r="G120" s="3"/>
      <c r="J120" s="3"/>
    </row>
    <row r="121">
      <c r="A121" s="9"/>
      <c r="D121" s="3"/>
      <c r="G121" s="3"/>
      <c r="J121" s="3"/>
    </row>
    <row r="122">
      <c r="A122" s="9"/>
      <c r="D122" s="3"/>
      <c r="G122" s="3"/>
      <c r="J122" s="3"/>
    </row>
    <row r="123">
      <c r="A123" s="9"/>
      <c r="D123" s="3"/>
      <c r="G123" s="3"/>
      <c r="J123" s="3"/>
    </row>
    <row r="124">
      <c r="A124" s="9"/>
      <c r="D124" s="3"/>
      <c r="G124" s="3"/>
      <c r="J124" s="3"/>
    </row>
    <row r="125">
      <c r="A125" s="9"/>
      <c r="D125" s="3"/>
      <c r="G125" s="3"/>
      <c r="J125" s="3"/>
    </row>
    <row r="126">
      <c r="A126" s="9"/>
      <c r="D126" s="3"/>
      <c r="G126" s="3"/>
      <c r="J126" s="3"/>
    </row>
    <row r="127">
      <c r="A127" s="9"/>
      <c r="D127" s="3"/>
      <c r="G127" s="3"/>
      <c r="J127" s="3"/>
    </row>
    <row r="128">
      <c r="A128" s="9"/>
      <c r="D128" s="3"/>
      <c r="G128" s="3"/>
      <c r="J128" s="3"/>
    </row>
    <row r="129">
      <c r="A129" s="9"/>
      <c r="D129" s="3"/>
      <c r="G129" s="3"/>
      <c r="J129" s="3"/>
    </row>
    <row r="130">
      <c r="A130" s="9"/>
      <c r="D130" s="3"/>
      <c r="G130" s="3"/>
      <c r="J130" s="3"/>
    </row>
    <row r="131">
      <c r="A131" s="9"/>
      <c r="D131" s="3"/>
      <c r="G131" s="3"/>
      <c r="J131" s="3"/>
    </row>
    <row r="132">
      <c r="A132" s="9"/>
      <c r="D132" s="3"/>
      <c r="G132" s="3"/>
      <c r="J132" s="3"/>
    </row>
    <row r="133">
      <c r="A133" s="9"/>
      <c r="D133" s="3"/>
      <c r="G133" s="3"/>
      <c r="J133" s="3"/>
    </row>
    <row r="134">
      <c r="A134" s="9"/>
      <c r="D134" s="3"/>
      <c r="G134" s="3"/>
      <c r="J134" s="3"/>
    </row>
    <row r="135">
      <c r="A135" s="9"/>
      <c r="D135" s="3"/>
      <c r="G135" s="3"/>
      <c r="J135" s="3"/>
    </row>
    <row r="136">
      <c r="A136" s="9"/>
      <c r="D136" s="3"/>
      <c r="G136" s="3"/>
      <c r="J136" s="3"/>
    </row>
    <row r="137">
      <c r="A137" s="9"/>
      <c r="D137" s="3"/>
      <c r="G137" s="3"/>
      <c r="J137" s="3"/>
    </row>
    <row r="138">
      <c r="A138" s="9"/>
      <c r="D138" s="3"/>
      <c r="G138" s="3"/>
      <c r="J138" s="3"/>
    </row>
    <row r="139">
      <c r="A139" s="9"/>
      <c r="D139" s="3"/>
      <c r="G139" s="3"/>
      <c r="J139" s="3"/>
    </row>
    <row r="140">
      <c r="A140" s="9"/>
      <c r="D140" s="3"/>
      <c r="G140" s="3"/>
      <c r="J140" s="3"/>
    </row>
    <row r="141">
      <c r="A141" s="9"/>
      <c r="D141" s="3"/>
      <c r="G141" s="3"/>
      <c r="J141" s="3"/>
    </row>
    <row r="142">
      <c r="A142" s="9"/>
      <c r="D142" s="3"/>
      <c r="G142" s="3"/>
      <c r="J142" s="3"/>
    </row>
    <row r="143">
      <c r="A143" s="9"/>
      <c r="D143" s="3"/>
      <c r="G143" s="3"/>
      <c r="J143" s="3"/>
    </row>
    <row r="144">
      <c r="A144" s="9"/>
      <c r="D144" s="3"/>
      <c r="G144" s="3"/>
      <c r="J144" s="3"/>
    </row>
    <row r="145">
      <c r="A145" s="9"/>
      <c r="D145" s="3"/>
      <c r="G145" s="3"/>
      <c r="J145" s="3"/>
    </row>
    <row r="146">
      <c r="A146" s="9"/>
      <c r="D146" s="3"/>
      <c r="G146" s="3"/>
      <c r="J146" s="3"/>
    </row>
    <row r="147">
      <c r="A147" s="9"/>
      <c r="D147" s="3"/>
      <c r="G147" s="3"/>
      <c r="J147" s="3"/>
    </row>
    <row r="148">
      <c r="A148" s="9"/>
      <c r="D148" s="3"/>
      <c r="G148" s="3"/>
      <c r="J148" s="3"/>
    </row>
    <row r="149">
      <c r="A149" s="9"/>
      <c r="D149" s="3"/>
      <c r="G149" s="3"/>
      <c r="J149" s="3"/>
    </row>
    <row r="150">
      <c r="A150" s="9"/>
      <c r="D150" s="3"/>
      <c r="G150" s="3"/>
      <c r="J150" s="3"/>
    </row>
    <row r="151">
      <c r="A151" s="9"/>
      <c r="D151" s="3"/>
      <c r="G151" s="3"/>
      <c r="J151" s="3"/>
    </row>
    <row r="152">
      <c r="A152" s="9"/>
      <c r="D152" s="3"/>
      <c r="G152" s="3"/>
      <c r="J152" s="3"/>
    </row>
    <row r="153">
      <c r="A153" s="9"/>
      <c r="D153" s="3"/>
      <c r="G153" s="3"/>
      <c r="J153" s="3"/>
    </row>
    <row r="154">
      <c r="A154" s="9"/>
      <c r="D154" s="3"/>
      <c r="G154" s="3"/>
      <c r="J154" s="3"/>
    </row>
    <row r="155">
      <c r="A155" s="9"/>
      <c r="D155" s="3"/>
      <c r="G155" s="3"/>
      <c r="J155" s="3"/>
    </row>
    <row r="156">
      <c r="A156" s="9"/>
      <c r="D156" s="3"/>
      <c r="G156" s="3"/>
      <c r="J156" s="3"/>
    </row>
    <row r="157">
      <c r="A157" s="9"/>
      <c r="D157" s="3"/>
      <c r="G157" s="3"/>
      <c r="J157" s="3"/>
    </row>
    <row r="158">
      <c r="A158" s="9"/>
      <c r="D158" s="3"/>
      <c r="G158" s="3"/>
      <c r="J158" s="3"/>
    </row>
    <row r="159">
      <c r="A159" s="9"/>
      <c r="D159" s="3"/>
      <c r="G159" s="3"/>
      <c r="J159" s="3"/>
    </row>
    <row r="160">
      <c r="A160" s="9"/>
      <c r="D160" s="3"/>
      <c r="G160" s="3"/>
      <c r="J160" s="3"/>
    </row>
    <row r="161">
      <c r="A161" s="9"/>
      <c r="D161" s="3"/>
      <c r="G161" s="3"/>
      <c r="J161" s="3"/>
    </row>
    <row r="162">
      <c r="A162" s="9"/>
      <c r="D162" s="3"/>
      <c r="G162" s="3"/>
      <c r="J162" s="3"/>
    </row>
    <row r="163">
      <c r="A163" s="9"/>
      <c r="D163" s="3"/>
      <c r="G163" s="3"/>
      <c r="J163" s="3"/>
    </row>
    <row r="164">
      <c r="A164" s="9"/>
      <c r="D164" s="3"/>
      <c r="G164" s="3"/>
      <c r="J164" s="3"/>
    </row>
    <row r="165">
      <c r="A165" s="9"/>
      <c r="D165" s="3"/>
      <c r="G165" s="3"/>
      <c r="J165" s="3"/>
    </row>
    <row r="166">
      <c r="A166" s="9"/>
      <c r="D166" s="3"/>
      <c r="G166" s="3"/>
      <c r="J166" s="3"/>
    </row>
    <row r="167">
      <c r="A167" s="9"/>
      <c r="D167" s="3"/>
      <c r="G167" s="3"/>
      <c r="J167" s="3"/>
    </row>
    <row r="168">
      <c r="A168" s="9"/>
      <c r="D168" s="3"/>
      <c r="G168" s="3"/>
      <c r="J168" s="3"/>
    </row>
    <row r="169">
      <c r="A169" s="9"/>
      <c r="D169" s="3"/>
      <c r="G169" s="3"/>
      <c r="J169" s="3"/>
    </row>
    <row r="170">
      <c r="A170" s="9"/>
      <c r="D170" s="3"/>
      <c r="G170" s="3"/>
      <c r="J170" s="3"/>
    </row>
    <row r="171">
      <c r="A171" s="9"/>
      <c r="D171" s="3"/>
      <c r="G171" s="3"/>
      <c r="J171" s="3"/>
    </row>
    <row r="172">
      <c r="A172" s="9"/>
      <c r="D172" s="3"/>
      <c r="G172" s="3"/>
      <c r="J172" s="3"/>
    </row>
    <row r="173">
      <c r="A173" s="9"/>
      <c r="D173" s="3"/>
      <c r="G173" s="3"/>
      <c r="J173" s="3"/>
    </row>
    <row r="174">
      <c r="A174" s="9"/>
      <c r="D174" s="3"/>
      <c r="G174" s="3"/>
      <c r="J174" s="3"/>
    </row>
    <row r="175">
      <c r="A175" s="9"/>
      <c r="D175" s="3"/>
      <c r="G175" s="3"/>
      <c r="J175" s="3"/>
    </row>
    <row r="176">
      <c r="A176" s="9"/>
      <c r="D176" s="3"/>
      <c r="G176" s="3"/>
      <c r="J176" s="3"/>
    </row>
    <row r="177">
      <c r="A177" s="9"/>
      <c r="D177" s="3"/>
      <c r="G177" s="3"/>
      <c r="J177" s="3"/>
    </row>
    <row r="178">
      <c r="A178" s="9"/>
      <c r="D178" s="3"/>
      <c r="G178" s="3"/>
      <c r="J178" s="3"/>
    </row>
    <row r="179">
      <c r="A179" s="9"/>
      <c r="D179" s="3"/>
      <c r="G179" s="3"/>
      <c r="J179" s="3"/>
    </row>
    <row r="180">
      <c r="A180" s="9"/>
      <c r="D180" s="3"/>
      <c r="G180" s="3"/>
      <c r="J180" s="3"/>
    </row>
    <row r="181">
      <c r="A181" s="9"/>
      <c r="D181" s="3"/>
      <c r="G181" s="3"/>
      <c r="J181" s="3"/>
    </row>
    <row r="182">
      <c r="A182" s="9"/>
      <c r="D182" s="3"/>
      <c r="G182" s="3"/>
      <c r="J182" s="3"/>
    </row>
    <row r="183">
      <c r="A183" s="9"/>
      <c r="D183" s="3"/>
      <c r="G183" s="3"/>
      <c r="J183" s="3"/>
    </row>
    <row r="184">
      <c r="A184" s="9"/>
      <c r="D184" s="3"/>
      <c r="G184" s="3"/>
      <c r="J184" s="3"/>
    </row>
    <row r="185">
      <c r="A185" s="9"/>
      <c r="D185" s="3"/>
      <c r="G185" s="3"/>
      <c r="J185" s="3"/>
    </row>
    <row r="186">
      <c r="A186" s="9"/>
      <c r="D186" s="3"/>
      <c r="G186" s="3"/>
      <c r="J186" s="3"/>
    </row>
    <row r="187">
      <c r="A187" s="9"/>
      <c r="D187" s="3"/>
      <c r="G187" s="3"/>
      <c r="J187" s="3"/>
    </row>
    <row r="188">
      <c r="A188" s="9"/>
      <c r="D188" s="3"/>
      <c r="G188" s="3"/>
      <c r="J188" s="3"/>
    </row>
    <row r="189">
      <c r="A189" s="9"/>
      <c r="D189" s="3"/>
      <c r="G189" s="3"/>
      <c r="J189" s="3"/>
    </row>
    <row r="190">
      <c r="A190" s="9"/>
      <c r="D190" s="3"/>
      <c r="G190" s="3"/>
      <c r="J190" s="3"/>
    </row>
    <row r="191">
      <c r="A191" s="9"/>
      <c r="D191" s="3"/>
      <c r="G191" s="3"/>
      <c r="J191" s="3"/>
    </row>
    <row r="192">
      <c r="A192" s="9"/>
      <c r="D192" s="3"/>
      <c r="G192" s="3"/>
      <c r="J192" s="3"/>
    </row>
    <row r="193">
      <c r="A193" s="9"/>
      <c r="D193" s="3"/>
      <c r="G193" s="3"/>
      <c r="J193" s="3"/>
    </row>
    <row r="194">
      <c r="A194" s="9"/>
      <c r="D194" s="3"/>
      <c r="G194" s="3"/>
      <c r="J194" s="3"/>
    </row>
    <row r="195">
      <c r="A195" s="9"/>
      <c r="D195" s="3"/>
      <c r="G195" s="3"/>
      <c r="J195" s="3"/>
    </row>
    <row r="196">
      <c r="A196" s="9"/>
      <c r="D196" s="3"/>
      <c r="G196" s="3"/>
      <c r="J196" s="3"/>
    </row>
    <row r="197">
      <c r="A197" s="9"/>
      <c r="D197" s="3"/>
      <c r="G197" s="3"/>
      <c r="J197" s="3"/>
    </row>
    <row r="198">
      <c r="A198" s="9"/>
      <c r="D198" s="3"/>
      <c r="G198" s="3"/>
      <c r="J198" s="3"/>
    </row>
    <row r="199">
      <c r="A199" s="9"/>
      <c r="D199" s="3"/>
      <c r="G199" s="3"/>
      <c r="J199" s="3"/>
    </row>
    <row r="200">
      <c r="A200" s="9"/>
      <c r="D200" s="3"/>
      <c r="G200" s="3"/>
      <c r="J200" s="3"/>
    </row>
    <row r="201">
      <c r="A201" s="9"/>
      <c r="D201" s="3"/>
      <c r="G201" s="3"/>
      <c r="J201" s="3"/>
    </row>
    <row r="202">
      <c r="A202" s="9"/>
      <c r="D202" s="3"/>
      <c r="G202" s="3"/>
      <c r="J202" s="3"/>
    </row>
    <row r="203">
      <c r="A203" s="9"/>
      <c r="D203" s="3"/>
      <c r="G203" s="3"/>
      <c r="J203" s="3"/>
    </row>
    <row r="204">
      <c r="A204" s="9"/>
      <c r="D204" s="3"/>
      <c r="G204" s="3"/>
      <c r="J204" s="3"/>
    </row>
    <row r="205">
      <c r="A205" s="9"/>
      <c r="D205" s="3"/>
      <c r="G205" s="3"/>
      <c r="J205" s="3"/>
    </row>
    <row r="206">
      <c r="A206" s="9"/>
      <c r="D206" s="3"/>
      <c r="G206" s="3"/>
      <c r="J206" s="3"/>
    </row>
    <row r="207">
      <c r="A207" s="9"/>
      <c r="D207" s="3"/>
      <c r="G207" s="3"/>
      <c r="J207" s="3"/>
    </row>
    <row r="208">
      <c r="A208" s="9"/>
      <c r="D208" s="3"/>
      <c r="G208" s="3"/>
      <c r="J208" s="3"/>
    </row>
    <row r="209">
      <c r="A209" s="9"/>
      <c r="D209" s="3"/>
      <c r="G209" s="3"/>
      <c r="J209" s="3"/>
    </row>
    <row r="210">
      <c r="A210" s="9"/>
      <c r="D210" s="3"/>
      <c r="G210" s="3"/>
      <c r="J210" s="3"/>
    </row>
    <row r="211">
      <c r="A211" s="9"/>
      <c r="D211" s="3"/>
      <c r="G211" s="3"/>
      <c r="J211" s="3"/>
    </row>
    <row r="212">
      <c r="A212" s="9"/>
      <c r="D212" s="3"/>
      <c r="G212" s="3"/>
      <c r="J212" s="3"/>
    </row>
    <row r="213">
      <c r="A213" s="9"/>
      <c r="D213" s="3"/>
      <c r="G213" s="3"/>
      <c r="J213" s="3"/>
    </row>
    <row r="214">
      <c r="A214" s="9"/>
      <c r="D214" s="3"/>
      <c r="G214" s="3"/>
      <c r="J214" s="3"/>
    </row>
    <row r="215">
      <c r="A215" s="9"/>
      <c r="D215" s="3"/>
      <c r="G215" s="3"/>
      <c r="J215" s="3"/>
    </row>
    <row r="216">
      <c r="A216" s="9"/>
      <c r="D216" s="3"/>
      <c r="G216" s="3"/>
      <c r="J216" s="3"/>
    </row>
    <row r="217">
      <c r="A217" s="9"/>
      <c r="D217" s="3"/>
      <c r="G217" s="3"/>
      <c r="J217" s="3"/>
    </row>
    <row r="218">
      <c r="A218" s="9"/>
      <c r="D218" s="3"/>
      <c r="G218" s="3"/>
      <c r="J218" s="3"/>
    </row>
    <row r="219">
      <c r="A219" s="9"/>
      <c r="D219" s="3"/>
      <c r="G219" s="3"/>
      <c r="J219" s="3"/>
    </row>
    <row r="220">
      <c r="A220" s="9"/>
      <c r="D220" s="3"/>
      <c r="G220" s="3"/>
      <c r="J220" s="3"/>
    </row>
    <row r="221">
      <c r="A221" s="9"/>
      <c r="D221" s="3"/>
      <c r="G221" s="3"/>
      <c r="J221" s="3"/>
    </row>
    <row r="222">
      <c r="A222" s="9"/>
      <c r="D222" s="3"/>
      <c r="G222" s="3"/>
      <c r="J222" s="3"/>
    </row>
    <row r="223">
      <c r="A223" s="9"/>
      <c r="D223" s="3"/>
      <c r="G223" s="3"/>
      <c r="J223" s="3"/>
    </row>
    <row r="224">
      <c r="A224" s="9"/>
      <c r="D224" s="3"/>
      <c r="G224" s="3"/>
      <c r="J224" s="3"/>
    </row>
    <row r="225">
      <c r="A225" s="9"/>
      <c r="D225" s="3"/>
      <c r="G225" s="3"/>
      <c r="J225" s="3"/>
    </row>
    <row r="226">
      <c r="A226" s="9"/>
      <c r="D226" s="3"/>
      <c r="G226" s="3"/>
      <c r="J226" s="3"/>
    </row>
    <row r="227">
      <c r="A227" s="9"/>
      <c r="D227" s="3"/>
      <c r="G227" s="3"/>
      <c r="J227" s="3"/>
    </row>
    <row r="228">
      <c r="A228" s="9"/>
      <c r="D228" s="3"/>
      <c r="G228" s="3"/>
      <c r="J228" s="3"/>
    </row>
    <row r="229">
      <c r="A229" s="9"/>
      <c r="D229" s="3"/>
      <c r="G229" s="3"/>
      <c r="J229" s="3"/>
    </row>
    <row r="230">
      <c r="A230" s="9"/>
      <c r="D230" s="3"/>
      <c r="G230" s="3"/>
      <c r="J230" s="3"/>
    </row>
    <row r="231">
      <c r="A231" s="9"/>
      <c r="D231" s="3"/>
      <c r="G231" s="3"/>
      <c r="J231" s="3"/>
    </row>
    <row r="232">
      <c r="A232" s="9"/>
      <c r="D232" s="3"/>
      <c r="G232" s="3"/>
      <c r="J232" s="3"/>
    </row>
    <row r="233">
      <c r="A233" s="9"/>
      <c r="D233" s="3"/>
      <c r="G233" s="3"/>
      <c r="J233" s="3"/>
    </row>
    <row r="234">
      <c r="A234" s="9"/>
      <c r="D234" s="3"/>
      <c r="G234" s="3"/>
      <c r="J234" s="3"/>
    </row>
    <row r="235">
      <c r="A235" s="9"/>
      <c r="D235" s="3"/>
      <c r="G235" s="3"/>
      <c r="J235" s="3"/>
    </row>
    <row r="236">
      <c r="A236" s="9"/>
      <c r="D236" s="3"/>
      <c r="G236" s="3"/>
      <c r="J236" s="3"/>
    </row>
    <row r="237">
      <c r="A237" s="9"/>
      <c r="D237" s="3"/>
      <c r="G237" s="3"/>
      <c r="J237" s="3"/>
    </row>
    <row r="238">
      <c r="A238" s="9"/>
      <c r="D238" s="3"/>
      <c r="G238" s="3"/>
      <c r="J238" s="3"/>
    </row>
    <row r="239">
      <c r="A239" s="9"/>
      <c r="D239" s="3"/>
      <c r="G239" s="3"/>
      <c r="J239" s="3"/>
    </row>
    <row r="240">
      <c r="A240" s="9"/>
      <c r="D240" s="3"/>
      <c r="G240" s="3"/>
      <c r="J240" s="3"/>
    </row>
    <row r="241">
      <c r="A241" s="9"/>
      <c r="D241" s="3"/>
      <c r="G241" s="3"/>
      <c r="J241" s="3"/>
    </row>
    <row r="242">
      <c r="A242" s="9"/>
      <c r="D242" s="3"/>
      <c r="G242" s="3"/>
      <c r="J242" s="3"/>
    </row>
    <row r="243">
      <c r="A243" s="9"/>
      <c r="D243" s="3"/>
      <c r="G243" s="3"/>
      <c r="J243" s="3"/>
    </row>
    <row r="244">
      <c r="A244" s="9"/>
      <c r="D244" s="3"/>
      <c r="G244" s="3"/>
      <c r="J244" s="3"/>
    </row>
    <row r="245">
      <c r="A245" s="9"/>
      <c r="D245" s="3"/>
      <c r="G245" s="3"/>
      <c r="J245" s="3"/>
    </row>
    <row r="246">
      <c r="A246" s="9"/>
      <c r="D246" s="3"/>
      <c r="G246" s="3"/>
      <c r="J246" s="3"/>
    </row>
    <row r="247">
      <c r="A247" s="9"/>
      <c r="D247" s="3"/>
      <c r="G247" s="3"/>
      <c r="J247" s="3"/>
    </row>
    <row r="248">
      <c r="A248" s="9"/>
      <c r="D248" s="3"/>
      <c r="G248" s="3"/>
      <c r="J248" s="3"/>
    </row>
    <row r="249">
      <c r="A249" s="9"/>
      <c r="D249" s="3"/>
      <c r="G249" s="3"/>
      <c r="J249" s="3"/>
    </row>
    <row r="250">
      <c r="A250" s="9"/>
      <c r="D250" s="3"/>
      <c r="G250" s="3"/>
      <c r="J250" s="3"/>
    </row>
    <row r="251">
      <c r="A251" s="9"/>
      <c r="D251" s="3"/>
      <c r="G251" s="3"/>
      <c r="J251" s="3"/>
    </row>
    <row r="252">
      <c r="A252" s="9"/>
      <c r="D252" s="3"/>
      <c r="G252" s="3"/>
      <c r="J252" s="3"/>
    </row>
    <row r="253">
      <c r="A253" s="9"/>
      <c r="D253" s="3"/>
      <c r="G253" s="3"/>
      <c r="J253" s="3"/>
    </row>
    <row r="254">
      <c r="A254" s="9"/>
      <c r="D254" s="3"/>
      <c r="G254" s="3"/>
      <c r="J254" s="3"/>
    </row>
    <row r="255">
      <c r="A255" s="9"/>
      <c r="D255" s="3"/>
      <c r="G255" s="3"/>
      <c r="J255" s="3"/>
    </row>
    <row r="256">
      <c r="A256" s="9"/>
      <c r="D256" s="3"/>
      <c r="G256" s="3"/>
      <c r="J256" s="3"/>
    </row>
    <row r="257">
      <c r="A257" s="9"/>
      <c r="D257" s="3"/>
      <c r="G257" s="3"/>
      <c r="J257" s="3"/>
    </row>
    <row r="258">
      <c r="A258" s="9"/>
      <c r="D258" s="3"/>
      <c r="G258" s="3"/>
      <c r="J258" s="3"/>
    </row>
    <row r="259">
      <c r="A259" s="9"/>
      <c r="D259" s="3"/>
      <c r="G259" s="3"/>
      <c r="J259" s="3"/>
    </row>
    <row r="260">
      <c r="A260" s="9"/>
      <c r="D260" s="3"/>
      <c r="G260" s="3"/>
      <c r="J260" s="3"/>
    </row>
    <row r="261">
      <c r="A261" s="9"/>
      <c r="D261" s="3"/>
      <c r="G261" s="3"/>
      <c r="J261" s="3"/>
    </row>
    <row r="262">
      <c r="A262" s="9"/>
      <c r="D262" s="3"/>
      <c r="G262" s="3"/>
      <c r="J262" s="3"/>
    </row>
    <row r="263">
      <c r="A263" s="9"/>
      <c r="D263" s="3"/>
      <c r="G263" s="3"/>
      <c r="J263" s="3"/>
    </row>
    <row r="264">
      <c r="A264" s="9"/>
      <c r="D264" s="3"/>
      <c r="G264" s="3"/>
      <c r="J264" s="3"/>
    </row>
    <row r="265">
      <c r="A265" s="9"/>
      <c r="D265" s="3"/>
      <c r="G265" s="3"/>
      <c r="J265" s="3"/>
    </row>
    <row r="266">
      <c r="A266" s="9"/>
      <c r="D266" s="3"/>
      <c r="G266" s="3"/>
      <c r="J266" s="3"/>
    </row>
    <row r="267">
      <c r="A267" s="9"/>
      <c r="D267" s="3"/>
      <c r="G267" s="3"/>
      <c r="J267" s="3"/>
    </row>
    <row r="268">
      <c r="A268" s="9"/>
      <c r="D268" s="3"/>
      <c r="G268" s="3"/>
      <c r="J268" s="3"/>
    </row>
    <row r="269">
      <c r="A269" s="9"/>
      <c r="D269" s="3"/>
      <c r="G269" s="3"/>
      <c r="J269" s="3"/>
    </row>
    <row r="270">
      <c r="A270" s="9"/>
      <c r="D270" s="3"/>
      <c r="G270" s="3"/>
      <c r="J270" s="3"/>
    </row>
    <row r="271">
      <c r="A271" s="9"/>
      <c r="D271" s="3"/>
      <c r="G271" s="3"/>
      <c r="J271" s="3"/>
    </row>
    <row r="272">
      <c r="A272" s="9"/>
      <c r="D272" s="3"/>
      <c r="G272" s="3"/>
      <c r="J272" s="3"/>
    </row>
    <row r="273">
      <c r="A273" s="9"/>
      <c r="D273" s="3"/>
      <c r="G273" s="3"/>
      <c r="J273" s="3"/>
    </row>
    <row r="274">
      <c r="A274" s="9"/>
      <c r="D274" s="3"/>
      <c r="G274" s="3"/>
      <c r="J274" s="3"/>
    </row>
    <row r="275">
      <c r="A275" s="9"/>
      <c r="D275" s="3"/>
      <c r="G275" s="3"/>
      <c r="J275" s="3"/>
    </row>
    <row r="276">
      <c r="A276" s="9"/>
      <c r="D276" s="3"/>
      <c r="G276" s="3"/>
      <c r="J276" s="3"/>
    </row>
    <row r="277">
      <c r="A277" s="9"/>
      <c r="D277" s="3"/>
      <c r="G277" s="3"/>
      <c r="J277" s="3"/>
    </row>
    <row r="278">
      <c r="A278" s="9"/>
      <c r="D278" s="3"/>
      <c r="G278" s="3"/>
      <c r="J278" s="3"/>
    </row>
    <row r="279">
      <c r="A279" s="9"/>
      <c r="D279" s="3"/>
      <c r="G279" s="3"/>
      <c r="J279" s="3"/>
    </row>
    <row r="280">
      <c r="A280" s="9"/>
      <c r="D280" s="3"/>
      <c r="G280" s="3"/>
      <c r="J280" s="3"/>
    </row>
    <row r="281">
      <c r="A281" s="9"/>
      <c r="D281" s="3"/>
      <c r="G281" s="3"/>
      <c r="J281" s="3"/>
    </row>
    <row r="282">
      <c r="A282" s="9"/>
      <c r="D282" s="3"/>
      <c r="G282" s="3"/>
      <c r="J282" s="3"/>
    </row>
    <row r="283">
      <c r="A283" s="9"/>
      <c r="D283" s="3"/>
      <c r="G283" s="3"/>
      <c r="J283" s="3"/>
    </row>
    <row r="284">
      <c r="A284" s="9"/>
      <c r="D284" s="3"/>
      <c r="G284" s="3"/>
      <c r="J284" s="3"/>
    </row>
    <row r="285">
      <c r="A285" s="9"/>
      <c r="D285" s="3"/>
      <c r="G285" s="3"/>
      <c r="J285" s="3"/>
    </row>
    <row r="286">
      <c r="A286" s="9"/>
      <c r="D286" s="3"/>
      <c r="G286" s="3"/>
      <c r="J286" s="3"/>
    </row>
    <row r="287">
      <c r="A287" s="9"/>
      <c r="D287" s="3"/>
      <c r="G287" s="3"/>
      <c r="J287" s="3"/>
    </row>
    <row r="288">
      <c r="A288" s="9"/>
      <c r="D288" s="3"/>
      <c r="G288" s="3"/>
      <c r="J288" s="3"/>
    </row>
    <row r="289">
      <c r="A289" s="9"/>
      <c r="D289" s="3"/>
      <c r="G289" s="3"/>
      <c r="J289" s="3"/>
    </row>
    <row r="290">
      <c r="A290" s="9"/>
      <c r="D290" s="3"/>
      <c r="G290" s="3"/>
      <c r="J290" s="3"/>
    </row>
    <row r="291">
      <c r="A291" s="9"/>
      <c r="D291" s="3"/>
      <c r="G291" s="3"/>
      <c r="J291" s="3"/>
    </row>
    <row r="292">
      <c r="A292" s="9"/>
      <c r="D292" s="3"/>
      <c r="G292" s="3"/>
      <c r="J292" s="3"/>
    </row>
    <row r="293">
      <c r="A293" s="9"/>
      <c r="D293" s="3"/>
      <c r="G293" s="3"/>
      <c r="J293" s="3"/>
    </row>
    <row r="294">
      <c r="A294" s="9"/>
      <c r="D294" s="3"/>
      <c r="G294" s="3"/>
      <c r="J294" s="3"/>
    </row>
    <row r="295">
      <c r="A295" s="9"/>
      <c r="D295" s="3"/>
      <c r="G295" s="3"/>
      <c r="J295" s="3"/>
    </row>
    <row r="296">
      <c r="A296" s="9"/>
      <c r="D296" s="3"/>
      <c r="G296" s="3"/>
      <c r="J296" s="3"/>
    </row>
    <row r="297">
      <c r="A297" s="9"/>
      <c r="D297" s="3"/>
      <c r="G297" s="3"/>
      <c r="J297" s="3"/>
    </row>
    <row r="298">
      <c r="A298" s="9"/>
      <c r="D298" s="3"/>
      <c r="G298" s="3"/>
      <c r="J298" s="3"/>
    </row>
    <row r="299">
      <c r="A299" s="9"/>
      <c r="D299" s="3"/>
      <c r="G299" s="3"/>
      <c r="J299" s="3"/>
    </row>
    <row r="300">
      <c r="A300" s="9"/>
      <c r="D300" s="3"/>
      <c r="G300" s="3"/>
      <c r="J300" s="3"/>
    </row>
    <row r="301">
      <c r="A301" s="9"/>
      <c r="D301" s="3"/>
      <c r="G301" s="3"/>
      <c r="J301" s="3"/>
    </row>
    <row r="302">
      <c r="A302" s="9"/>
      <c r="D302" s="3"/>
      <c r="G302" s="3"/>
      <c r="J302" s="3"/>
    </row>
    <row r="303">
      <c r="A303" s="9"/>
      <c r="D303" s="3"/>
      <c r="G303" s="3"/>
      <c r="J303" s="3"/>
    </row>
    <row r="304">
      <c r="A304" s="9"/>
      <c r="D304" s="3"/>
      <c r="G304" s="3"/>
      <c r="J304" s="3"/>
    </row>
    <row r="305">
      <c r="A305" s="9"/>
      <c r="D305" s="3"/>
      <c r="G305" s="3"/>
      <c r="J305" s="3"/>
    </row>
    <row r="306">
      <c r="A306" s="9"/>
      <c r="D306" s="3"/>
      <c r="G306" s="3"/>
      <c r="J306" s="3"/>
    </row>
    <row r="307">
      <c r="A307" s="9"/>
      <c r="D307" s="3"/>
      <c r="G307" s="3"/>
      <c r="J307" s="3"/>
    </row>
    <row r="308">
      <c r="A308" s="9"/>
      <c r="D308" s="3"/>
      <c r="G308" s="3"/>
      <c r="J308" s="3"/>
    </row>
    <row r="309">
      <c r="A309" s="9"/>
      <c r="D309" s="3"/>
      <c r="G309" s="3"/>
      <c r="J309" s="3"/>
    </row>
    <row r="310">
      <c r="A310" s="9"/>
      <c r="D310" s="3"/>
      <c r="G310" s="3"/>
      <c r="J310" s="3"/>
    </row>
    <row r="311">
      <c r="A311" s="9"/>
      <c r="D311" s="3"/>
      <c r="G311" s="3"/>
      <c r="J311" s="3"/>
    </row>
    <row r="312">
      <c r="A312" s="9"/>
      <c r="D312" s="3"/>
      <c r="G312" s="3"/>
      <c r="J312" s="3"/>
    </row>
    <row r="313">
      <c r="A313" s="9"/>
      <c r="D313" s="3"/>
      <c r="G313" s="3"/>
      <c r="J313" s="3"/>
    </row>
    <row r="314">
      <c r="A314" s="9"/>
      <c r="D314" s="3"/>
      <c r="G314" s="3"/>
      <c r="J314" s="3"/>
    </row>
    <row r="315">
      <c r="A315" s="9"/>
      <c r="D315" s="3"/>
      <c r="G315" s="3"/>
      <c r="J315" s="3"/>
    </row>
    <row r="316">
      <c r="A316" s="9"/>
      <c r="D316" s="3"/>
      <c r="G316" s="3"/>
      <c r="J316" s="3"/>
    </row>
    <row r="317">
      <c r="A317" s="9"/>
      <c r="D317" s="3"/>
      <c r="G317" s="3"/>
      <c r="J317" s="3"/>
    </row>
    <row r="318">
      <c r="A318" s="9"/>
      <c r="D318" s="3"/>
      <c r="G318" s="3"/>
      <c r="J318" s="3"/>
    </row>
    <row r="319">
      <c r="A319" s="9"/>
      <c r="D319" s="3"/>
      <c r="G319" s="3"/>
      <c r="J319" s="3"/>
    </row>
    <row r="320">
      <c r="A320" s="9"/>
      <c r="D320" s="3"/>
      <c r="G320" s="3"/>
      <c r="J320" s="3"/>
    </row>
    <row r="321">
      <c r="A321" s="9"/>
      <c r="D321" s="3"/>
      <c r="G321" s="3"/>
      <c r="J321" s="3"/>
    </row>
    <row r="322">
      <c r="A322" s="9"/>
      <c r="D322" s="3"/>
      <c r="G322" s="3"/>
      <c r="J322" s="3"/>
    </row>
    <row r="323">
      <c r="A323" s="9"/>
      <c r="D323" s="3"/>
      <c r="G323" s="3"/>
      <c r="J323" s="3"/>
    </row>
    <row r="324">
      <c r="A324" s="9"/>
      <c r="D324" s="3"/>
      <c r="G324" s="3"/>
      <c r="J324" s="3"/>
    </row>
    <row r="325">
      <c r="A325" s="9"/>
      <c r="D325" s="3"/>
      <c r="G325" s="3"/>
      <c r="J325" s="3"/>
    </row>
    <row r="326">
      <c r="A326" s="9"/>
      <c r="D326" s="3"/>
      <c r="G326" s="3"/>
      <c r="J326" s="3"/>
    </row>
    <row r="327">
      <c r="A327" s="9"/>
      <c r="D327" s="3"/>
      <c r="G327" s="3"/>
      <c r="J327" s="3"/>
    </row>
    <row r="328">
      <c r="A328" s="9"/>
      <c r="D328" s="3"/>
      <c r="G328" s="3"/>
      <c r="J328" s="3"/>
    </row>
    <row r="329">
      <c r="A329" s="9"/>
      <c r="D329" s="3"/>
      <c r="G329" s="3"/>
      <c r="J329" s="3"/>
    </row>
    <row r="330">
      <c r="A330" s="9"/>
      <c r="D330" s="3"/>
      <c r="G330" s="3"/>
      <c r="J330" s="3"/>
    </row>
    <row r="331">
      <c r="A331" s="9"/>
      <c r="D331" s="3"/>
      <c r="G331" s="3"/>
      <c r="J331" s="3"/>
    </row>
    <row r="332">
      <c r="A332" s="9"/>
      <c r="D332" s="3"/>
      <c r="G332" s="3"/>
      <c r="J332" s="3"/>
    </row>
    <row r="333">
      <c r="A333" s="9"/>
      <c r="D333" s="3"/>
      <c r="G333" s="3"/>
      <c r="J333" s="3"/>
    </row>
    <row r="334">
      <c r="A334" s="9"/>
      <c r="D334" s="3"/>
      <c r="G334" s="3"/>
      <c r="J334" s="3"/>
    </row>
    <row r="335">
      <c r="A335" s="9"/>
      <c r="D335" s="3"/>
      <c r="G335" s="3"/>
      <c r="J335" s="3"/>
    </row>
    <row r="336">
      <c r="A336" s="9"/>
      <c r="D336" s="3"/>
      <c r="G336" s="3"/>
      <c r="J336" s="3"/>
    </row>
    <row r="337">
      <c r="A337" s="9"/>
      <c r="D337" s="3"/>
      <c r="G337" s="3"/>
      <c r="J337" s="3"/>
    </row>
    <row r="338">
      <c r="A338" s="9"/>
      <c r="D338" s="3"/>
      <c r="G338" s="3"/>
      <c r="J338" s="3"/>
    </row>
    <row r="339">
      <c r="A339" s="9"/>
      <c r="D339" s="3"/>
      <c r="G339" s="3"/>
      <c r="J339" s="3"/>
    </row>
    <row r="340">
      <c r="A340" s="9"/>
      <c r="D340" s="3"/>
      <c r="G340" s="3"/>
      <c r="J340" s="3"/>
    </row>
    <row r="341">
      <c r="A341" s="9"/>
      <c r="D341" s="3"/>
      <c r="G341" s="3"/>
      <c r="J341" s="3"/>
    </row>
    <row r="342">
      <c r="A342" s="9"/>
      <c r="D342" s="3"/>
      <c r="G342" s="3"/>
      <c r="J342" s="3"/>
    </row>
    <row r="343">
      <c r="A343" s="9"/>
      <c r="D343" s="3"/>
      <c r="G343" s="3"/>
      <c r="J343" s="3"/>
    </row>
    <row r="344">
      <c r="A344" s="9"/>
      <c r="D344" s="3"/>
      <c r="G344" s="3"/>
      <c r="J344" s="3"/>
    </row>
    <row r="345">
      <c r="A345" s="9"/>
      <c r="D345" s="3"/>
      <c r="G345" s="3"/>
      <c r="J345" s="3"/>
    </row>
    <row r="346">
      <c r="A346" s="9"/>
      <c r="D346" s="3"/>
      <c r="G346" s="3"/>
      <c r="J346" s="3"/>
    </row>
    <row r="347">
      <c r="A347" s="9"/>
      <c r="D347" s="3"/>
      <c r="G347" s="3"/>
      <c r="J347" s="3"/>
    </row>
    <row r="348">
      <c r="A348" s="9"/>
      <c r="D348" s="3"/>
      <c r="G348" s="3"/>
      <c r="J348" s="3"/>
    </row>
    <row r="349">
      <c r="A349" s="9"/>
      <c r="D349" s="3"/>
      <c r="G349" s="3"/>
      <c r="J349" s="3"/>
    </row>
    <row r="350">
      <c r="A350" s="9"/>
      <c r="D350" s="3"/>
      <c r="G350" s="3"/>
      <c r="J350" s="3"/>
    </row>
    <row r="351">
      <c r="A351" s="9"/>
      <c r="D351" s="3"/>
      <c r="G351" s="3"/>
      <c r="J351" s="3"/>
    </row>
    <row r="352">
      <c r="A352" s="9"/>
      <c r="D352" s="3"/>
      <c r="G352" s="3"/>
      <c r="J352" s="3"/>
    </row>
    <row r="353">
      <c r="A353" s="9"/>
      <c r="D353" s="3"/>
      <c r="G353" s="3"/>
      <c r="J353" s="3"/>
    </row>
    <row r="354">
      <c r="A354" s="9"/>
      <c r="D354" s="3"/>
      <c r="G354" s="3"/>
      <c r="J354" s="3"/>
    </row>
    <row r="355">
      <c r="A355" s="9"/>
      <c r="D355" s="3"/>
      <c r="G355" s="3"/>
      <c r="J355" s="3"/>
    </row>
    <row r="356">
      <c r="A356" s="9"/>
      <c r="D356" s="3"/>
      <c r="G356" s="3"/>
      <c r="J356" s="3"/>
    </row>
    <row r="357">
      <c r="A357" s="9"/>
      <c r="D357" s="3"/>
      <c r="G357" s="3"/>
      <c r="J357" s="3"/>
    </row>
    <row r="358">
      <c r="A358" s="9"/>
      <c r="D358" s="3"/>
      <c r="G358" s="3"/>
      <c r="J358" s="3"/>
    </row>
    <row r="359">
      <c r="A359" s="9"/>
      <c r="D359" s="3"/>
      <c r="G359" s="3"/>
      <c r="J359" s="3"/>
    </row>
    <row r="360">
      <c r="A360" s="9"/>
      <c r="D360" s="3"/>
      <c r="G360" s="3"/>
      <c r="J360" s="3"/>
    </row>
    <row r="361">
      <c r="A361" s="9"/>
      <c r="D361" s="3"/>
      <c r="G361" s="3"/>
      <c r="J361" s="3"/>
    </row>
    <row r="362">
      <c r="A362" s="9"/>
      <c r="D362" s="3"/>
      <c r="G362" s="3"/>
      <c r="J362" s="3"/>
    </row>
    <row r="363">
      <c r="A363" s="9"/>
      <c r="D363" s="3"/>
      <c r="G363" s="3"/>
      <c r="J363" s="3"/>
    </row>
    <row r="364">
      <c r="A364" s="9"/>
      <c r="D364" s="3"/>
      <c r="G364" s="3"/>
      <c r="J364" s="3"/>
    </row>
    <row r="365">
      <c r="A365" s="9"/>
      <c r="D365" s="3"/>
      <c r="G365" s="3"/>
      <c r="J365" s="3"/>
    </row>
    <row r="366">
      <c r="A366" s="9"/>
      <c r="D366" s="3"/>
      <c r="G366" s="3"/>
      <c r="J366" s="3"/>
    </row>
    <row r="367">
      <c r="A367" s="9"/>
      <c r="D367" s="3"/>
      <c r="G367" s="3"/>
      <c r="J367" s="3"/>
    </row>
    <row r="368">
      <c r="A368" s="9"/>
      <c r="D368" s="3"/>
      <c r="G368" s="3"/>
      <c r="J368" s="3"/>
    </row>
    <row r="369">
      <c r="A369" s="9"/>
      <c r="D369" s="3"/>
      <c r="G369" s="3"/>
      <c r="J369" s="3"/>
    </row>
    <row r="370">
      <c r="A370" s="9"/>
      <c r="D370" s="3"/>
      <c r="G370" s="3"/>
      <c r="J370" s="3"/>
    </row>
    <row r="371">
      <c r="A371" s="9"/>
      <c r="D371" s="3"/>
      <c r="G371" s="3"/>
      <c r="J371" s="3"/>
    </row>
    <row r="372">
      <c r="A372" s="9"/>
      <c r="D372" s="3"/>
      <c r="G372" s="3"/>
      <c r="J372" s="3"/>
    </row>
    <row r="373">
      <c r="A373" s="9"/>
      <c r="D373" s="3"/>
      <c r="G373" s="3"/>
      <c r="J373" s="3"/>
    </row>
    <row r="374">
      <c r="A374" s="9"/>
      <c r="D374" s="3"/>
      <c r="G374" s="3"/>
      <c r="J374" s="3"/>
    </row>
    <row r="375">
      <c r="A375" s="9"/>
      <c r="D375" s="3"/>
      <c r="G375" s="3"/>
      <c r="J375" s="3"/>
    </row>
    <row r="376">
      <c r="A376" s="9"/>
      <c r="D376" s="3"/>
      <c r="G376" s="3"/>
      <c r="J376" s="3"/>
    </row>
    <row r="377">
      <c r="A377" s="9"/>
      <c r="D377" s="3"/>
      <c r="G377" s="3"/>
      <c r="J377" s="3"/>
    </row>
    <row r="378">
      <c r="A378" s="9"/>
      <c r="D378" s="3"/>
      <c r="G378" s="3"/>
      <c r="J378" s="3"/>
    </row>
    <row r="379">
      <c r="A379" s="9"/>
      <c r="D379" s="3"/>
      <c r="G379" s="3"/>
      <c r="J379" s="3"/>
    </row>
    <row r="380">
      <c r="A380" s="9"/>
      <c r="D380" s="3"/>
      <c r="G380" s="3"/>
      <c r="J380" s="3"/>
    </row>
    <row r="381">
      <c r="A381" s="9"/>
      <c r="D381" s="3"/>
      <c r="G381" s="3"/>
      <c r="J381" s="3"/>
    </row>
    <row r="382">
      <c r="A382" s="9"/>
      <c r="D382" s="3"/>
      <c r="G382" s="3"/>
      <c r="J382" s="3"/>
    </row>
    <row r="383">
      <c r="A383" s="9"/>
      <c r="D383" s="3"/>
      <c r="G383" s="3"/>
      <c r="J383" s="3"/>
    </row>
    <row r="384">
      <c r="A384" s="9"/>
      <c r="D384" s="3"/>
      <c r="G384" s="3"/>
      <c r="J384" s="3"/>
    </row>
    <row r="385">
      <c r="A385" s="9"/>
      <c r="D385" s="3"/>
      <c r="G385" s="3"/>
      <c r="J385" s="3"/>
    </row>
    <row r="386">
      <c r="A386" s="9"/>
      <c r="D386" s="3"/>
      <c r="G386" s="3"/>
      <c r="J386" s="3"/>
    </row>
    <row r="387">
      <c r="A387" s="9"/>
      <c r="D387" s="3"/>
      <c r="G387" s="3"/>
      <c r="J387" s="3"/>
    </row>
    <row r="388">
      <c r="A388" s="9"/>
      <c r="D388" s="3"/>
      <c r="G388" s="3"/>
      <c r="J388" s="3"/>
    </row>
    <row r="389">
      <c r="A389" s="9"/>
      <c r="D389" s="3"/>
      <c r="G389" s="3"/>
      <c r="J389" s="3"/>
    </row>
    <row r="390">
      <c r="A390" s="9"/>
      <c r="D390" s="3"/>
      <c r="G390" s="3"/>
      <c r="J390" s="3"/>
    </row>
    <row r="391">
      <c r="A391" s="9"/>
      <c r="D391" s="3"/>
      <c r="G391" s="3"/>
      <c r="J391" s="3"/>
    </row>
    <row r="392">
      <c r="A392" s="9"/>
      <c r="D392" s="3"/>
      <c r="G392" s="3"/>
      <c r="J392" s="3"/>
    </row>
    <row r="393">
      <c r="A393" s="9"/>
      <c r="D393" s="3"/>
      <c r="G393" s="3"/>
      <c r="J393" s="3"/>
    </row>
    <row r="394">
      <c r="A394" s="9"/>
      <c r="D394" s="3"/>
      <c r="G394" s="3"/>
      <c r="J394" s="3"/>
    </row>
    <row r="395">
      <c r="A395" s="9"/>
      <c r="D395" s="3"/>
      <c r="G395" s="3"/>
      <c r="J395" s="3"/>
    </row>
    <row r="396">
      <c r="A396" s="9"/>
      <c r="D396" s="3"/>
      <c r="G396" s="3"/>
      <c r="J396" s="3"/>
    </row>
    <row r="397">
      <c r="A397" s="9"/>
      <c r="D397" s="3"/>
      <c r="G397" s="3"/>
      <c r="J397" s="3"/>
    </row>
    <row r="398">
      <c r="A398" s="9"/>
      <c r="D398" s="3"/>
      <c r="G398" s="3"/>
      <c r="J398" s="3"/>
    </row>
    <row r="399">
      <c r="A399" s="9"/>
      <c r="D399" s="3"/>
      <c r="G399" s="3"/>
      <c r="J399" s="3"/>
    </row>
    <row r="400">
      <c r="A400" s="9"/>
      <c r="D400" s="3"/>
      <c r="G400" s="3"/>
      <c r="J400" s="3"/>
    </row>
    <row r="401">
      <c r="A401" s="9"/>
      <c r="D401" s="3"/>
      <c r="G401" s="3"/>
      <c r="J401" s="3"/>
    </row>
    <row r="402">
      <c r="A402" s="9"/>
      <c r="D402" s="3"/>
      <c r="G402" s="3"/>
      <c r="J402" s="3"/>
    </row>
    <row r="403">
      <c r="A403" s="9"/>
      <c r="D403" s="3"/>
      <c r="G403" s="3"/>
      <c r="J403" s="3"/>
    </row>
    <row r="404">
      <c r="A404" s="9"/>
      <c r="D404" s="3"/>
      <c r="G404" s="3"/>
      <c r="J404" s="3"/>
    </row>
    <row r="405">
      <c r="A405" s="9"/>
      <c r="D405" s="3"/>
      <c r="G405" s="3"/>
      <c r="J405" s="3"/>
    </row>
    <row r="406">
      <c r="A406" s="9"/>
      <c r="D406" s="3"/>
      <c r="G406" s="3"/>
      <c r="J406" s="3"/>
    </row>
    <row r="407">
      <c r="A407" s="9"/>
      <c r="D407" s="3"/>
      <c r="G407" s="3"/>
      <c r="J407" s="3"/>
    </row>
    <row r="408">
      <c r="A408" s="9"/>
      <c r="D408" s="3"/>
      <c r="G408" s="3"/>
      <c r="J408" s="3"/>
    </row>
    <row r="409">
      <c r="A409" s="9"/>
      <c r="D409" s="3"/>
      <c r="G409" s="3"/>
      <c r="J409" s="3"/>
    </row>
    <row r="410">
      <c r="A410" s="9"/>
      <c r="D410" s="3"/>
      <c r="G410" s="3"/>
      <c r="J410" s="3"/>
    </row>
    <row r="411">
      <c r="A411" s="9"/>
      <c r="D411" s="3"/>
      <c r="G411" s="3"/>
      <c r="J411" s="3"/>
    </row>
    <row r="412">
      <c r="A412" s="9"/>
      <c r="D412" s="3"/>
      <c r="G412" s="3"/>
      <c r="J412" s="3"/>
    </row>
    <row r="413">
      <c r="A413" s="9"/>
      <c r="D413" s="3"/>
      <c r="G413" s="3"/>
      <c r="J413" s="3"/>
    </row>
    <row r="414">
      <c r="A414" s="9"/>
      <c r="D414" s="3"/>
      <c r="G414" s="3"/>
      <c r="J414" s="3"/>
    </row>
    <row r="415">
      <c r="A415" s="9"/>
      <c r="D415" s="3"/>
      <c r="G415" s="3"/>
      <c r="J415" s="3"/>
    </row>
    <row r="416">
      <c r="A416" s="9"/>
      <c r="D416" s="3"/>
      <c r="G416" s="3"/>
      <c r="J416" s="3"/>
    </row>
    <row r="417">
      <c r="A417" s="9"/>
      <c r="D417" s="3"/>
      <c r="G417" s="3"/>
      <c r="J417" s="3"/>
    </row>
    <row r="418">
      <c r="A418" s="9"/>
      <c r="D418" s="3"/>
      <c r="G418" s="3"/>
      <c r="J418" s="3"/>
    </row>
    <row r="419">
      <c r="A419" s="9"/>
      <c r="D419" s="3"/>
      <c r="G419" s="3"/>
      <c r="J419" s="3"/>
    </row>
    <row r="420">
      <c r="A420" s="9"/>
      <c r="D420" s="3"/>
      <c r="G420" s="3"/>
      <c r="J420" s="3"/>
    </row>
    <row r="421">
      <c r="A421" s="9"/>
      <c r="D421" s="3"/>
      <c r="G421" s="3"/>
      <c r="J421" s="3"/>
    </row>
    <row r="422">
      <c r="A422" s="9"/>
      <c r="D422" s="3"/>
      <c r="G422" s="3"/>
      <c r="J422" s="3"/>
    </row>
    <row r="423">
      <c r="A423" s="9"/>
      <c r="D423" s="3"/>
      <c r="G423" s="3"/>
      <c r="J423" s="3"/>
    </row>
    <row r="424">
      <c r="A424" s="9"/>
      <c r="D424" s="3"/>
      <c r="G424" s="3"/>
      <c r="J424" s="3"/>
    </row>
    <row r="425">
      <c r="A425" s="9"/>
      <c r="D425" s="3"/>
      <c r="G425" s="3"/>
      <c r="J425" s="3"/>
    </row>
    <row r="426">
      <c r="A426" s="9"/>
      <c r="D426" s="3"/>
      <c r="G426" s="3"/>
      <c r="J426" s="3"/>
    </row>
    <row r="427">
      <c r="A427" s="9"/>
      <c r="D427" s="3"/>
      <c r="G427" s="3"/>
      <c r="J427" s="3"/>
    </row>
    <row r="428">
      <c r="A428" s="9"/>
      <c r="D428" s="3"/>
      <c r="G428" s="3"/>
      <c r="J428" s="3"/>
    </row>
    <row r="429">
      <c r="A429" s="9"/>
      <c r="D429" s="3"/>
      <c r="G429" s="3"/>
      <c r="J429" s="3"/>
    </row>
    <row r="430">
      <c r="A430" s="9"/>
      <c r="D430" s="3"/>
      <c r="G430" s="3"/>
      <c r="J430" s="3"/>
    </row>
    <row r="431">
      <c r="A431" s="9"/>
      <c r="D431" s="3"/>
      <c r="G431" s="3"/>
      <c r="J431" s="3"/>
    </row>
    <row r="432">
      <c r="A432" s="9"/>
      <c r="D432" s="3"/>
      <c r="G432" s="3"/>
      <c r="J432" s="3"/>
    </row>
    <row r="433">
      <c r="A433" s="9"/>
      <c r="D433" s="3"/>
      <c r="G433" s="3"/>
      <c r="J433" s="3"/>
    </row>
    <row r="434">
      <c r="A434" s="9"/>
      <c r="D434" s="3"/>
      <c r="G434" s="3"/>
      <c r="J434" s="3"/>
    </row>
    <row r="435">
      <c r="A435" s="9"/>
      <c r="D435" s="3"/>
      <c r="G435" s="3"/>
      <c r="J435" s="3"/>
    </row>
    <row r="436">
      <c r="A436" s="9"/>
      <c r="D436" s="3"/>
      <c r="G436" s="3"/>
      <c r="J436" s="3"/>
    </row>
    <row r="437">
      <c r="A437" s="9"/>
      <c r="D437" s="3"/>
      <c r="G437" s="3"/>
      <c r="J437" s="3"/>
    </row>
    <row r="438">
      <c r="A438" s="9"/>
      <c r="D438" s="3"/>
      <c r="G438" s="3"/>
      <c r="J438" s="3"/>
    </row>
    <row r="439">
      <c r="A439" s="9"/>
      <c r="D439" s="3"/>
      <c r="G439" s="3"/>
      <c r="J439" s="3"/>
    </row>
    <row r="440">
      <c r="A440" s="9"/>
      <c r="D440" s="3"/>
      <c r="G440" s="3"/>
      <c r="J440" s="3"/>
    </row>
    <row r="441">
      <c r="A441" s="9"/>
      <c r="D441" s="3"/>
      <c r="G441" s="3"/>
      <c r="J441" s="3"/>
    </row>
    <row r="442">
      <c r="A442" s="9"/>
      <c r="D442" s="3"/>
      <c r="G442" s="3"/>
      <c r="J442" s="3"/>
    </row>
    <row r="443">
      <c r="A443" s="9"/>
      <c r="D443" s="3"/>
      <c r="G443" s="3"/>
      <c r="J443" s="3"/>
    </row>
    <row r="444">
      <c r="A444" s="9"/>
      <c r="D444" s="3"/>
      <c r="G444" s="3"/>
      <c r="J444" s="3"/>
    </row>
    <row r="445">
      <c r="A445" s="9"/>
      <c r="D445" s="3"/>
      <c r="G445" s="3"/>
      <c r="J445" s="3"/>
    </row>
    <row r="446">
      <c r="A446" s="9"/>
      <c r="D446" s="3"/>
      <c r="G446" s="3"/>
      <c r="J446" s="3"/>
    </row>
    <row r="447">
      <c r="A447" s="9"/>
      <c r="D447" s="3"/>
      <c r="G447" s="3"/>
      <c r="J447" s="3"/>
    </row>
    <row r="448">
      <c r="A448" s="9"/>
      <c r="D448" s="3"/>
      <c r="G448" s="3"/>
      <c r="J448" s="3"/>
    </row>
    <row r="449">
      <c r="A449" s="9"/>
      <c r="D449" s="3"/>
      <c r="G449" s="3"/>
      <c r="J449" s="3"/>
    </row>
    <row r="450">
      <c r="A450" s="9"/>
      <c r="D450" s="3"/>
      <c r="G450" s="3"/>
      <c r="J450" s="3"/>
    </row>
    <row r="451">
      <c r="A451" s="9"/>
      <c r="D451" s="3"/>
      <c r="G451" s="3"/>
      <c r="J451" s="3"/>
    </row>
    <row r="452">
      <c r="A452" s="9"/>
      <c r="D452" s="3"/>
      <c r="G452" s="3"/>
      <c r="J452" s="3"/>
    </row>
    <row r="453">
      <c r="A453" s="9"/>
      <c r="D453" s="3"/>
      <c r="G453" s="3"/>
      <c r="J453" s="3"/>
    </row>
    <row r="454">
      <c r="A454" s="9"/>
      <c r="D454" s="3"/>
      <c r="G454" s="3"/>
      <c r="J454" s="3"/>
    </row>
    <row r="455">
      <c r="A455" s="9"/>
      <c r="D455" s="3"/>
      <c r="G455" s="3"/>
      <c r="J455" s="3"/>
    </row>
    <row r="456">
      <c r="A456" s="9"/>
      <c r="D456" s="3"/>
      <c r="G456" s="3"/>
      <c r="J456" s="3"/>
    </row>
    <row r="457">
      <c r="A457" s="9"/>
      <c r="D457" s="3"/>
      <c r="G457" s="3"/>
      <c r="J457" s="3"/>
    </row>
    <row r="458">
      <c r="A458" s="9"/>
      <c r="D458" s="3"/>
      <c r="G458" s="3"/>
      <c r="J458" s="3"/>
    </row>
    <row r="459">
      <c r="A459" s="9"/>
      <c r="D459" s="3"/>
      <c r="G459" s="3"/>
      <c r="J459" s="3"/>
    </row>
    <row r="460">
      <c r="A460" s="9"/>
      <c r="D460" s="3"/>
      <c r="G460" s="3"/>
      <c r="J460" s="3"/>
    </row>
    <row r="461">
      <c r="A461" s="9"/>
      <c r="D461" s="3"/>
      <c r="G461" s="3"/>
      <c r="J461" s="3"/>
    </row>
    <row r="462">
      <c r="A462" s="9"/>
      <c r="D462" s="3"/>
      <c r="G462" s="3"/>
      <c r="J462" s="3"/>
    </row>
    <row r="463">
      <c r="A463" s="9"/>
      <c r="D463" s="3"/>
      <c r="G463" s="3"/>
      <c r="J463" s="3"/>
    </row>
    <row r="464">
      <c r="A464" s="9"/>
      <c r="D464" s="3"/>
      <c r="G464" s="3"/>
      <c r="J464" s="3"/>
    </row>
    <row r="465">
      <c r="A465" s="9"/>
      <c r="D465" s="3"/>
      <c r="G465" s="3"/>
      <c r="J465" s="3"/>
    </row>
    <row r="466">
      <c r="A466" s="9"/>
      <c r="D466" s="3"/>
      <c r="G466" s="3"/>
      <c r="J466" s="3"/>
    </row>
    <row r="467">
      <c r="A467" s="9"/>
      <c r="D467" s="3"/>
      <c r="G467" s="3"/>
      <c r="J467" s="3"/>
    </row>
    <row r="468">
      <c r="A468" s="9"/>
      <c r="D468" s="3"/>
      <c r="G468" s="3"/>
      <c r="J468" s="3"/>
    </row>
    <row r="469">
      <c r="A469" s="9"/>
      <c r="D469" s="3"/>
      <c r="G469" s="3"/>
      <c r="J469" s="3"/>
    </row>
    <row r="470">
      <c r="A470" s="9"/>
      <c r="D470" s="3"/>
      <c r="G470" s="3"/>
      <c r="J470" s="3"/>
    </row>
    <row r="471">
      <c r="A471" s="9"/>
      <c r="D471" s="3"/>
      <c r="G471" s="3"/>
      <c r="J471" s="3"/>
    </row>
    <row r="472">
      <c r="A472" s="9"/>
      <c r="D472" s="3"/>
      <c r="G472" s="3"/>
      <c r="J472" s="3"/>
    </row>
    <row r="473">
      <c r="A473" s="9"/>
      <c r="D473" s="3"/>
      <c r="G473" s="3"/>
      <c r="J473" s="3"/>
    </row>
    <row r="474">
      <c r="A474" s="9"/>
      <c r="D474" s="3"/>
      <c r="G474" s="3"/>
      <c r="J474" s="3"/>
    </row>
    <row r="475">
      <c r="A475" s="9"/>
      <c r="D475" s="3"/>
      <c r="G475" s="3"/>
      <c r="J475" s="3"/>
    </row>
    <row r="476">
      <c r="A476" s="9"/>
      <c r="D476" s="3"/>
      <c r="G476" s="3"/>
      <c r="J476" s="3"/>
    </row>
    <row r="477">
      <c r="A477" s="9"/>
      <c r="D477" s="3"/>
      <c r="G477" s="3"/>
      <c r="J477" s="3"/>
    </row>
    <row r="478">
      <c r="A478" s="9"/>
      <c r="D478" s="3"/>
      <c r="G478" s="3"/>
      <c r="J478" s="3"/>
    </row>
    <row r="479">
      <c r="A479" s="9"/>
      <c r="D479" s="3"/>
      <c r="G479" s="3"/>
      <c r="J479" s="3"/>
    </row>
    <row r="480">
      <c r="A480" s="9"/>
      <c r="D480" s="3"/>
      <c r="G480" s="3"/>
      <c r="J480" s="3"/>
    </row>
    <row r="481">
      <c r="A481" s="9"/>
      <c r="D481" s="3"/>
      <c r="G481" s="3"/>
      <c r="J481" s="3"/>
    </row>
    <row r="482">
      <c r="A482" s="9"/>
      <c r="D482" s="3"/>
      <c r="G482" s="3"/>
      <c r="J482" s="3"/>
    </row>
    <row r="483">
      <c r="A483" s="9"/>
      <c r="D483" s="3"/>
      <c r="G483" s="3"/>
      <c r="J483" s="3"/>
    </row>
    <row r="484">
      <c r="A484" s="9"/>
      <c r="D484" s="3"/>
      <c r="G484" s="3"/>
      <c r="J484" s="3"/>
    </row>
    <row r="485">
      <c r="A485" s="9"/>
      <c r="D485" s="3"/>
      <c r="G485" s="3"/>
      <c r="J485" s="3"/>
    </row>
    <row r="486">
      <c r="A486" s="9"/>
      <c r="D486" s="3"/>
      <c r="G486" s="3"/>
      <c r="J486" s="3"/>
    </row>
    <row r="487">
      <c r="A487" s="9"/>
      <c r="D487" s="3"/>
      <c r="G487" s="3"/>
      <c r="J487" s="3"/>
    </row>
    <row r="488">
      <c r="A488" s="9"/>
      <c r="D488" s="3"/>
      <c r="G488" s="3"/>
      <c r="J488" s="3"/>
    </row>
    <row r="489">
      <c r="A489" s="9"/>
      <c r="D489" s="3"/>
      <c r="G489" s="3"/>
      <c r="J489" s="3"/>
    </row>
    <row r="490">
      <c r="A490" s="9"/>
      <c r="D490" s="3"/>
      <c r="G490" s="3"/>
      <c r="J490" s="3"/>
    </row>
    <row r="491">
      <c r="A491" s="9"/>
      <c r="D491" s="3"/>
      <c r="G491" s="3"/>
      <c r="J491" s="3"/>
    </row>
    <row r="492">
      <c r="A492" s="9"/>
      <c r="D492" s="3"/>
      <c r="G492" s="3"/>
      <c r="J492" s="3"/>
    </row>
    <row r="493">
      <c r="A493" s="9"/>
      <c r="D493" s="3"/>
      <c r="G493" s="3"/>
      <c r="J493" s="3"/>
    </row>
    <row r="494">
      <c r="A494" s="9"/>
      <c r="D494" s="3"/>
      <c r="G494" s="3"/>
      <c r="J494" s="3"/>
    </row>
    <row r="495">
      <c r="A495" s="9"/>
      <c r="D495" s="3"/>
      <c r="G495" s="3"/>
      <c r="J495" s="3"/>
    </row>
    <row r="496">
      <c r="A496" s="9"/>
      <c r="D496" s="3"/>
      <c r="G496" s="3"/>
      <c r="J496" s="3"/>
    </row>
    <row r="497">
      <c r="A497" s="9"/>
      <c r="D497" s="3"/>
      <c r="G497" s="3"/>
      <c r="J497" s="3"/>
    </row>
    <row r="498">
      <c r="A498" s="9"/>
      <c r="D498" s="3"/>
      <c r="G498" s="3"/>
      <c r="J498" s="3"/>
    </row>
    <row r="499">
      <c r="A499" s="9"/>
      <c r="D499" s="3"/>
      <c r="G499" s="3"/>
      <c r="J499" s="3"/>
    </row>
    <row r="500">
      <c r="A500" s="9"/>
      <c r="D500" s="3"/>
      <c r="G500" s="3"/>
      <c r="J500" s="3"/>
    </row>
    <row r="501">
      <c r="A501" s="9"/>
      <c r="D501" s="3"/>
      <c r="G501" s="3"/>
      <c r="J501" s="3"/>
    </row>
    <row r="502">
      <c r="A502" s="9"/>
      <c r="D502" s="3"/>
      <c r="G502" s="3"/>
      <c r="J502" s="3"/>
    </row>
    <row r="503">
      <c r="A503" s="9"/>
      <c r="D503" s="3"/>
      <c r="G503" s="3"/>
      <c r="J503" s="3"/>
    </row>
    <row r="504">
      <c r="A504" s="9"/>
      <c r="D504" s="3"/>
      <c r="G504" s="3"/>
      <c r="J504" s="3"/>
    </row>
    <row r="505">
      <c r="A505" s="9"/>
      <c r="D505" s="3"/>
      <c r="G505" s="3"/>
      <c r="J505" s="3"/>
    </row>
    <row r="506">
      <c r="A506" s="9"/>
      <c r="D506" s="3"/>
      <c r="G506" s="3"/>
      <c r="J506" s="3"/>
    </row>
    <row r="507">
      <c r="A507" s="9"/>
      <c r="D507" s="3"/>
      <c r="G507" s="3"/>
      <c r="J507" s="3"/>
    </row>
    <row r="508">
      <c r="A508" s="9"/>
      <c r="D508" s="3"/>
      <c r="G508" s="3"/>
      <c r="J508" s="3"/>
    </row>
    <row r="509">
      <c r="A509" s="9"/>
      <c r="D509" s="3"/>
      <c r="G509" s="3"/>
      <c r="J509" s="3"/>
    </row>
    <row r="510">
      <c r="A510" s="9"/>
      <c r="D510" s="3"/>
      <c r="G510" s="3"/>
      <c r="J510" s="3"/>
    </row>
    <row r="511">
      <c r="A511" s="9"/>
      <c r="D511" s="3"/>
      <c r="G511" s="3"/>
      <c r="J511" s="3"/>
    </row>
    <row r="512">
      <c r="A512" s="9"/>
      <c r="D512" s="3"/>
      <c r="G512" s="3"/>
      <c r="J512" s="3"/>
    </row>
    <row r="513">
      <c r="A513" s="9"/>
      <c r="D513" s="3"/>
      <c r="G513" s="3"/>
      <c r="J513" s="3"/>
    </row>
    <row r="514">
      <c r="A514" s="9"/>
      <c r="D514" s="3"/>
      <c r="G514" s="3"/>
      <c r="J514" s="3"/>
    </row>
    <row r="515">
      <c r="A515" s="9"/>
      <c r="D515" s="3"/>
      <c r="G515" s="3"/>
      <c r="J515" s="3"/>
    </row>
    <row r="516">
      <c r="A516" s="9"/>
      <c r="D516" s="3"/>
      <c r="G516" s="3"/>
      <c r="J516" s="3"/>
    </row>
    <row r="517">
      <c r="A517" s="9"/>
      <c r="D517" s="3"/>
      <c r="G517" s="3"/>
      <c r="J517" s="3"/>
    </row>
    <row r="518">
      <c r="A518" s="9"/>
      <c r="D518" s="3"/>
      <c r="G518" s="3"/>
      <c r="J518" s="3"/>
    </row>
    <row r="519">
      <c r="A519" s="9"/>
      <c r="D519" s="3"/>
      <c r="G519" s="3"/>
      <c r="J519" s="3"/>
    </row>
    <row r="520">
      <c r="A520" s="9"/>
      <c r="D520" s="3"/>
      <c r="G520" s="3"/>
      <c r="J520" s="3"/>
    </row>
    <row r="521">
      <c r="A521" s="9"/>
      <c r="D521" s="3"/>
      <c r="G521" s="3"/>
      <c r="J521" s="3"/>
    </row>
    <row r="522">
      <c r="A522" s="9"/>
      <c r="D522" s="3"/>
      <c r="G522" s="3"/>
      <c r="J522" s="3"/>
    </row>
    <row r="523">
      <c r="A523" s="9"/>
      <c r="D523" s="3"/>
      <c r="G523" s="3"/>
      <c r="J523" s="3"/>
    </row>
    <row r="524">
      <c r="A524" s="9"/>
      <c r="D524" s="3"/>
      <c r="G524" s="3"/>
      <c r="J524" s="3"/>
    </row>
    <row r="525">
      <c r="A525" s="9"/>
      <c r="D525" s="3"/>
      <c r="G525" s="3"/>
      <c r="J525" s="3"/>
    </row>
    <row r="526">
      <c r="A526" s="9"/>
      <c r="D526" s="3"/>
      <c r="G526" s="3"/>
      <c r="J526" s="3"/>
    </row>
    <row r="527">
      <c r="A527" s="9"/>
      <c r="D527" s="3"/>
      <c r="G527" s="3"/>
      <c r="J527" s="3"/>
    </row>
    <row r="528">
      <c r="A528" s="9"/>
      <c r="D528" s="3"/>
      <c r="G528" s="3"/>
      <c r="J528" s="3"/>
    </row>
    <row r="529">
      <c r="A529" s="9"/>
      <c r="D529" s="3"/>
      <c r="G529" s="3"/>
      <c r="J529" s="3"/>
    </row>
    <row r="530">
      <c r="A530" s="9"/>
      <c r="D530" s="3"/>
      <c r="G530" s="3"/>
      <c r="J530" s="3"/>
    </row>
    <row r="531">
      <c r="A531" s="9"/>
      <c r="D531" s="3"/>
      <c r="G531" s="3"/>
      <c r="J531" s="3"/>
    </row>
    <row r="532">
      <c r="A532" s="9"/>
      <c r="D532" s="3"/>
      <c r="G532" s="3"/>
      <c r="J532" s="3"/>
    </row>
    <row r="533">
      <c r="A533" s="9"/>
      <c r="D533" s="3"/>
      <c r="G533" s="3"/>
      <c r="J533" s="3"/>
    </row>
    <row r="534">
      <c r="A534" s="9"/>
      <c r="D534" s="3"/>
      <c r="G534" s="3"/>
      <c r="J534" s="3"/>
    </row>
    <row r="535">
      <c r="A535" s="9"/>
      <c r="D535" s="3"/>
      <c r="G535" s="3"/>
      <c r="J535" s="3"/>
    </row>
    <row r="536">
      <c r="A536" s="9"/>
      <c r="D536" s="3"/>
      <c r="G536" s="3"/>
      <c r="J536" s="3"/>
    </row>
    <row r="537">
      <c r="A537" s="9"/>
      <c r="D537" s="3"/>
      <c r="G537" s="3"/>
      <c r="J537" s="3"/>
    </row>
    <row r="538">
      <c r="A538" s="9"/>
      <c r="D538" s="3"/>
      <c r="G538" s="3"/>
      <c r="J538" s="3"/>
    </row>
    <row r="539">
      <c r="A539" s="9"/>
      <c r="D539" s="3"/>
      <c r="G539" s="3"/>
      <c r="J539" s="3"/>
    </row>
    <row r="540">
      <c r="A540" s="9"/>
      <c r="D540" s="3"/>
      <c r="G540" s="3"/>
      <c r="J540" s="3"/>
    </row>
    <row r="541">
      <c r="A541" s="9"/>
      <c r="D541" s="3"/>
      <c r="G541" s="3"/>
      <c r="J541" s="3"/>
    </row>
    <row r="542">
      <c r="A542" s="9"/>
      <c r="D542" s="3"/>
      <c r="G542" s="3"/>
      <c r="J542" s="3"/>
    </row>
    <row r="543">
      <c r="A543" s="9"/>
      <c r="D543" s="3"/>
      <c r="G543" s="3"/>
      <c r="J543" s="3"/>
    </row>
    <row r="544">
      <c r="A544" s="9"/>
      <c r="D544" s="3"/>
      <c r="G544" s="3"/>
      <c r="J544" s="3"/>
    </row>
    <row r="545">
      <c r="A545" s="9"/>
      <c r="D545" s="3"/>
      <c r="G545" s="3"/>
      <c r="J545" s="3"/>
    </row>
    <row r="546">
      <c r="A546" s="9"/>
      <c r="D546" s="3"/>
      <c r="G546" s="3"/>
      <c r="J546" s="3"/>
    </row>
    <row r="547">
      <c r="A547" s="9"/>
      <c r="D547" s="3"/>
      <c r="G547" s="3"/>
      <c r="J547" s="3"/>
    </row>
    <row r="548">
      <c r="A548" s="9"/>
      <c r="D548" s="3"/>
      <c r="G548" s="3"/>
      <c r="J548" s="3"/>
    </row>
    <row r="549">
      <c r="A549" s="9"/>
      <c r="D549" s="3"/>
      <c r="G549" s="3"/>
      <c r="J549" s="3"/>
    </row>
    <row r="550">
      <c r="A550" s="9"/>
      <c r="D550" s="3"/>
      <c r="G550" s="3"/>
      <c r="J550" s="3"/>
    </row>
    <row r="551">
      <c r="A551" s="9"/>
      <c r="D551" s="3"/>
      <c r="G551" s="3"/>
      <c r="J551" s="3"/>
    </row>
    <row r="552">
      <c r="A552" s="9"/>
      <c r="D552" s="3"/>
      <c r="G552" s="3"/>
      <c r="J552" s="3"/>
    </row>
    <row r="553">
      <c r="A553" s="9"/>
      <c r="D553" s="3"/>
      <c r="G553" s="3"/>
      <c r="J553" s="3"/>
    </row>
    <row r="554">
      <c r="A554" s="9"/>
      <c r="D554" s="3"/>
      <c r="G554" s="3"/>
      <c r="J554" s="3"/>
    </row>
    <row r="555">
      <c r="A555" s="9"/>
      <c r="D555" s="3"/>
      <c r="G555" s="3"/>
      <c r="J555" s="3"/>
    </row>
    <row r="556">
      <c r="A556" s="9"/>
      <c r="D556" s="3"/>
      <c r="G556" s="3"/>
      <c r="J556" s="3"/>
    </row>
    <row r="557">
      <c r="A557" s="9"/>
      <c r="D557" s="3"/>
      <c r="G557" s="3"/>
      <c r="J557" s="3"/>
    </row>
    <row r="558">
      <c r="A558" s="9"/>
      <c r="D558" s="3"/>
      <c r="G558" s="3"/>
      <c r="J558" s="3"/>
    </row>
    <row r="559">
      <c r="A559" s="9"/>
      <c r="D559" s="3"/>
      <c r="G559" s="3"/>
      <c r="J559" s="3"/>
    </row>
    <row r="560">
      <c r="A560" s="9"/>
      <c r="D560" s="3"/>
      <c r="G560" s="3"/>
      <c r="J560" s="3"/>
    </row>
    <row r="561">
      <c r="A561" s="9"/>
      <c r="D561" s="3"/>
      <c r="G561" s="3"/>
      <c r="J561" s="3"/>
    </row>
    <row r="562">
      <c r="A562" s="9"/>
      <c r="D562" s="3"/>
      <c r="G562" s="3"/>
      <c r="J562" s="3"/>
    </row>
    <row r="563">
      <c r="A563" s="9"/>
      <c r="D563" s="3"/>
      <c r="G563" s="3"/>
      <c r="J563" s="3"/>
    </row>
    <row r="564">
      <c r="A564" s="9"/>
      <c r="D564" s="3"/>
      <c r="G564" s="3"/>
      <c r="J564" s="3"/>
    </row>
    <row r="565">
      <c r="A565" s="9"/>
      <c r="D565" s="3"/>
      <c r="G565" s="3"/>
      <c r="J565" s="3"/>
    </row>
    <row r="566">
      <c r="A566" s="9"/>
      <c r="D566" s="3"/>
      <c r="G566" s="3"/>
      <c r="J566" s="3"/>
    </row>
    <row r="567">
      <c r="A567" s="9"/>
      <c r="D567" s="3"/>
      <c r="G567" s="3"/>
      <c r="J567" s="3"/>
    </row>
    <row r="568">
      <c r="A568" s="9"/>
      <c r="D568" s="3"/>
      <c r="G568" s="3"/>
      <c r="J568" s="3"/>
    </row>
    <row r="569">
      <c r="A569" s="9"/>
      <c r="D569" s="3"/>
      <c r="G569" s="3"/>
      <c r="J569" s="3"/>
    </row>
    <row r="570">
      <c r="A570" s="9"/>
      <c r="D570" s="3"/>
      <c r="G570" s="3"/>
      <c r="J570" s="3"/>
    </row>
    <row r="571">
      <c r="A571" s="9"/>
      <c r="D571" s="3"/>
      <c r="G571" s="3"/>
      <c r="J571" s="3"/>
    </row>
    <row r="572">
      <c r="A572" s="9"/>
      <c r="D572" s="3"/>
      <c r="G572" s="3"/>
      <c r="J572" s="3"/>
    </row>
    <row r="573">
      <c r="A573" s="9"/>
      <c r="D573" s="3"/>
      <c r="G573" s="3"/>
      <c r="J573" s="3"/>
    </row>
    <row r="574">
      <c r="A574" s="9"/>
      <c r="D574" s="3"/>
      <c r="G574" s="3"/>
      <c r="J574" s="3"/>
    </row>
    <row r="575">
      <c r="A575" s="9"/>
      <c r="D575" s="3"/>
      <c r="G575" s="3"/>
      <c r="J575" s="3"/>
    </row>
    <row r="576">
      <c r="A576" s="9"/>
      <c r="D576" s="3"/>
      <c r="G576" s="3"/>
      <c r="J576" s="3"/>
    </row>
    <row r="577">
      <c r="A577" s="9"/>
      <c r="D577" s="3"/>
      <c r="G577" s="3"/>
      <c r="J577" s="3"/>
    </row>
    <row r="578">
      <c r="A578" s="9"/>
      <c r="D578" s="3"/>
      <c r="G578" s="3"/>
      <c r="J578" s="3"/>
    </row>
    <row r="579">
      <c r="A579" s="9"/>
      <c r="D579" s="3"/>
      <c r="G579" s="3"/>
      <c r="J579" s="3"/>
    </row>
    <row r="580">
      <c r="A580" s="9"/>
      <c r="D580" s="3"/>
      <c r="G580" s="3"/>
      <c r="J580" s="3"/>
    </row>
    <row r="581">
      <c r="A581" s="9"/>
      <c r="D581" s="3"/>
      <c r="G581" s="3"/>
      <c r="J581" s="3"/>
    </row>
    <row r="582">
      <c r="A582" s="9"/>
      <c r="D582" s="3"/>
      <c r="G582" s="3"/>
      <c r="J582" s="3"/>
    </row>
    <row r="583">
      <c r="A583" s="9"/>
      <c r="D583" s="3"/>
      <c r="G583" s="3"/>
      <c r="J583" s="3"/>
    </row>
    <row r="584">
      <c r="A584" s="9"/>
      <c r="D584" s="3"/>
      <c r="G584" s="3"/>
      <c r="J584" s="3"/>
    </row>
    <row r="585">
      <c r="A585" s="9"/>
      <c r="D585" s="3"/>
      <c r="G585" s="3"/>
      <c r="J585" s="3"/>
    </row>
    <row r="586">
      <c r="A586" s="9"/>
      <c r="D586" s="3"/>
      <c r="G586" s="3"/>
      <c r="J586" s="3"/>
    </row>
    <row r="587">
      <c r="A587" s="9"/>
      <c r="D587" s="3"/>
      <c r="G587" s="3"/>
      <c r="J587" s="3"/>
    </row>
    <row r="588">
      <c r="A588" s="9"/>
      <c r="D588" s="3"/>
      <c r="G588" s="3"/>
      <c r="J588" s="3"/>
    </row>
    <row r="589">
      <c r="A589" s="9"/>
      <c r="D589" s="3"/>
      <c r="G589" s="3"/>
      <c r="J589" s="3"/>
    </row>
    <row r="590">
      <c r="A590" s="9"/>
      <c r="D590" s="3"/>
      <c r="G590" s="3"/>
      <c r="J590" s="3"/>
    </row>
    <row r="591">
      <c r="A591" s="9"/>
      <c r="D591" s="3"/>
      <c r="G591" s="3"/>
      <c r="J591" s="3"/>
    </row>
    <row r="592">
      <c r="A592" s="9"/>
      <c r="D592" s="3"/>
      <c r="G592" s="3"/>
      <c r="J592" s="3"/>
    </row>
    <row r="593">
      <c r="A593" s="9"/>
      <c r="D593" s="3"/>
      <c r="G593" s="3"/>
      <c r="J593" s="3"/>
    </row>
    <row r="594">
      <c r="A594" s="9"/>
      <c r="D594" s="3"/>
      <c r="G594" s="3"/>
      <c r="J594" s="3"/>
    </row>
    <row r="595">
      <c r="A595" s="9"/>
      <c r="D595" s="3"/>
      <c r="G595" s="3"/>
      <c r="J595" s="3"/>
    </row>
    <row r="596">
      <c r="A596" s="9"/>
      <c r="D596" s="3"/>
      <c r="G596" s="3"/>
      <c r="J596" s="3"/>
    </row>
    <row r="597">
      <c r="A597" s="9"/>
      <c r="D597" s="3"/>
      <c r="G597" s="3"/>
      <c r="J597" s="3"/>
    </row>
    <row r="598">
      <c r="A598" s="9"/>
      <c r="D598" s="3"/>
      <c r="G598" s="3"/>
      <c r="J598" s="3"/>
    </row>
    <row r="599">
      <c r="A599" s="9"/>
      <c r="D599" s="3"/>
      <c r="G599" s="3"/>
      <c r="J599" s="3"/>
    </row>
    <row r="600">
      <c r="A600" s="9"/>
      <c r="D600" s="3"/>
      <c r="G600" s="3"/>
      <c r="J600" s="3"/>
    </row>
    <row r="601">
      <c r="A601" s="9"/>
      <c r="D601" s="3"/>
      <c r="G601" s="3"/>
      <c r="J601" s="3"/>
    </row>
    <row r="602">
      <c r="A602" s="9"/>
      <c r="D602" s="3"/>
      <c r="G602" s="3"/>
      <c r="J602" s="3"/>
    </row>
    <row r="603">
      <c r="A603" s="9"/>
      <c r="D603" s="3"/>
      <c r="G603" s="3"/>
      <c r="J603" s="3"/>
    </row>
    <row r="604">
      <c r="A604" s="9"/>
      <c r="D604" s="3"/>
      <c r="G604" s="3"/>
      <c r="J604" s="3"/>
    </row>
    <row r="605">
      <c r="A605" s="9"/>
      <c r="D605" s="3"/>
      <c r="G605" s="3"/>
      <c r="J605" s="3"/>
    </row>
    <row r="606">
      <c r="A606" s="9"/>
      <c r="D606" s="3"/>
      <c r="G606" s="3"/>
      <c r="J606" s="3"/>
    </row>
    <row r="607">
      <c r="A607" s="9"/>
      <c r="D607" s="3"/>
      <c r="G607" s="3"/>
      <c r="J607" s="3"/>
    </row>
    <row r="608">
      <c r="A608" s="9"/>
      <c r="D608" s="3"/>
      <c r="G608" s="3"/>
      <c r="J608" s="3"/>
    </row>
    <row r="609">
      <c r="A609" s="9"/>
      <c r="D609" s="3"/>
      <c r="G609" s="3"/>
      <c r="J609" s="3"/>
    </row>
    <row r="610">
      <c r="A610" s="9"/>
      <c r="D610" s="3"/>
      <c r="G610" s="3"/>
      <c r="J610" s="3"/>
    </row>
    <row r="611">
      <c r="A611" s="9"/>
      <c r="D611" s="3"/>
      <c r="G611" s="3"/>
      <c r="J611" s="3"/>
    </row>
    <row r="612">
      <c r="A612" s="9"/>
      <c r="D612" s="3"/>
      <c r="G612" s="3"/>
      <c r="J612" s="3"/>
    </row>
    <row r="613">
      <c r="A613" s="9"/>
      <c r="D613" s="3"/>
      <c r="G613" s="3"/>
      <c r="J613" s="3"/>
    </row>
    <row r="614">
      <c r="A614" s="9"/>
      <c r="D614" s="3"/>
      <c r="G614" s="3"/>
      <c r="J614" s="3"/>
    </row>
    <row r="615">
      <c r="A615" s="9"/>
      <c r="D615" s="3"/>
      <c r="G615" s="3"/>
      <c r="J615" s="3"/>
    </row>
    <row r="616">
      <c r="A616" s="9"/>
      <c r="D616" s="3"/>
      <c r="G616" s="3"/>
      <c r="J616" s="3"/>
    </row>
    <row r="617">
      <c r="A617" s="9"/>
      <c r="D617" s="3"/>
      <c r="G617" s="3"/>
      <c r="J617" s="3"/>
    </row>
    <row r="618">
      <c r="A618" s="9"/>
      <c r="D618" s="3"/>
      <c r="G618" s="3"/>
      <c r="J618" s="3"/>
    </row>
    <row r="619">
      <c r="A619" s="9"/>
      <c r="D619" s="3"/>
      <c r="G619" s="3"/>
      <c r="J619" s="3"/>
    </row>
    <row r="620">
      <c r="A620" s="9"/>
      <c r="D620" s="3"/>
      <c r="G620" s="3"/>
      <c r="J620" s="3"/>
    </row>
    <row r="621">
      <c r="A621" s="9"/>
      <c r="D621" s="3"/>
      <c r="G621" s="3"/>
      <c r="J621" s="3"/>
    </row>
    <row r="622">
      <c r="A622" s="9"/>
      <c r="D622" s="3"/>
      <c r="G622" s="3"/>
      <c r="J622" s="3"/>
    </row>
    <row r="623">
      <c r="A623" s="9"/>
      <c r="D623" s="3"/>
      <c r="G623" s="3"/>
      <c r="J623" s="3"/>
    </row>
    <row r="624">
      <c r="A624" s="9"/>
      <c r="D624" s="3"/>
      <c r="G624" s="3"/>
      <c r="J624" s="3"/>
    </row>
    <row r="625">
      <c r="A625" s="9"/>
      <c r="D625" s="3"/>
      <c r="G625" s="3"/>
      <c r="J625" s="3"/>
    </row>
    <row r="626">
      <c r="A626" s="9"/>
      <c r="D626" s="3"/>
      <c r="G626" s="3"/>
      <c r="J626" s="3"/>
    </row>
    <row r="627">
      <c r="A627" s="9"/>
      <c r="D627" s="3"/>
      <c r="G627" s="3"/>
      <c r="J627" s="3"/>
    </row>
    <row r="628">
      <c r="A628" s="9"/>
      <c r="D628" s="3"/>
      <c r="G628" s="3"/>
      <c r="J628" s="3"/>
    </row>
    <row r="629">
      <c r="A629" s="9"/>
      <c r="D629" s="3"/>
      <c r="G629" s="3"/>
      <c r="J629" s="3"/>
    </row>
    <row r="630">
      <c r="A630" s="9"/>
      <c r="D630" s="3"/>
      <c r="G630" s="3"/>
      <c r="J630" s="3"/>
    </row>
    <row r="631">
      <c r="A631" s="9"/>
      <c r="D631" s="3"/>
      <c r="G631" s="3"/>
      <c r="J631" s="3"/>
    </row>
    <row r="632">
      <c r="A632" s="9"/>
      <c r="D632" s="3"/>
      <c r="G632" s="3"/>
      <c r="J632" s="3"/>
    </row>
    <row r="633">
      <c r="A633" s="9"/>
      <c r="D633" s="3"/>
      <c r="G633" s="3"/>
      <c r="J633" s="3"/>
    </row>
    <row r="634">
      <c r="A634" s="9"/>
      <c r="D634" s="3"/>
      <c r="G634" s="3"/>
      <c r="J634" s="3"/>
    </row>
    <row r="635">
      <c r="A635" s="9"/>
      <c r="D635" s="3"/>
      <c r="G635" s="3"/>
      <c r="J635" s="3"/>
    </row>
    <row r="636">
      <c r="A636" s="9"/>
      <c r="D636" s="3"/>
      <c r="G636" s="3"/>
      <c r="J636" s="3"/>
    </row>
    <row r="637">
      <c r="A637" s="9"/>
      <c r="D637" s="3"/>
      <c r="G637" s="3"/>
      <c r="J637" s="3"/>
    </row>
    <row r="638">
      <c r="A638" s="9"/>
      <c r="D638" s="3"/>
      <c r="G638" s="3"/>
      <c r="J638" s="3"/>
    </row>
    <row r="639">
      <c r="A639" s="9"/>
      <c r="D639" s="3"/>
      <c r="G639" s="3"/>
      <c r="J639" s="3"/>
    </row>
    <row r="640">
      <c r="A640" s="9"/>
      <c r="D640" s="3"/>
      <c r="G640" s="3"/>
      <c r="J640" s="3"/>
    </row>
    <row r="641">
      <c r="A641" s="9"/>
      <c r="D641" s="3"/>
      <c r="G641" s="3"/>
      <c r="J641" s="3"/>
    </row>
    <row r="642">
      <c r="A642" s="9"/>
      <c r="D642" s="3"/>
      <c r="G642" s="3"/>
      <c r="J642" s="3"/>
    </row>
    <row r="643">
      <c r="A643" s="9"/>
      <c r="D643" s="3"/>
      <c r="G643" s="3"/>
      <c r="J643" s="3"/>
    </row>
    <row r="644">
      <c r="A644" s="9"/>
      <c r="D644" s="3"/>
      <c r="G644" s="3"/>
      <c r="J644" s="3"/>
    </row>
    <row r="645">
      <c r="A645" s="9"/>
      <c r="D645" s="3"/>
      <c r="G645" s="3"/>
      <c r="J645" s="3"/>
    </row>
    <row r="646">
      <c r="A646" s="9"/>
      <c r="D646" s="3"/>
      <c r="G646" s="3"/>
      <c r="J646" s="3"/>
    </row>
    <row r="647">
      <c r="A647" s="9"/>
      <c r="D647" s="3"/>
      <c r="G647" s="3"/>
      <c r="J647" s="3"/>
    </row>
    <row r="648">
      <c r="A648" s="9"/>
      <c r="D648" s="3"/>
      <c r="G648" s="3"/>
      <c r="J648" s="3"/>
    </row>
    <row r="649">
      <c r="A649" s="9"/>
      <c r="D649" s="3"/>
      <c r="G649" s="3"/>
      <c r="J649" s="3"/>
    </row>
    <row r="650">
      <c r="A650" s="9"/>
      <c r="D650" s="3"/>
      <c r="G650" s="3"/>
      <c r="J650" s="3"/>
    </row>
    <row r="651">
      <c r="A651" s="9"/>
      <c r="D651" s="3"/>
      <c r="G651" s="3"/>
      <c r="J651" s="3"/>
    </row>
    <row r="652">
      <c r="A652" s="9"/>
      <c r="D652" s="3"/>
      <c r="G652" s="3"/>
      <c r="J652" s="3"/>
    </row>
    <row r="653">
      <c r="A653" s="9"/>
      <c r="D653" s="3"/>
      <c r="G653" s="3"/>
      <c r="J653" s="3"/>
    </row>
    <row r="654">
      <c r="A654" s="9"/>
      <c r="D654" s="3"/>
      <c r="G654" s="3"/>
      <c r="J654" s="3"/>
    </row>
    <row r="655">
      <c r="A655" s="9"/>
      <c r="D655" s="3"/>
      <c r="G655" s="3"/>
      <c r="J655" s="3"/>
    </row>
    <row r="656">
      <c r="A656" s="9"/>
      <c r="D656" s="3"/>
      <c r="G656" s="3"/>
      <c r="J656" s="3"/>
    </row>
    <row r="657">
      <c r="A657" s="9"/>
      <c r="D657" s="3"/>
      <c r="G657" s="3"/>
      <c r="J657" s="3"/>
    </row>
    <row r="658">
      <c r="A658" s="9"/>
      <c r="D658" s="3"/>
      <c r="G658" s="3"/>
      <c r="J658" s="3"/>
    </row>
    <row r="659">
      <c r="A659" s="9"/>
      <c r="D659" s="3"/>
      <c r="G659" s="3"/>
      <c r="J659" s="3"/>
    </row>
    <row r="660">
      <c r="A660" s="9"/>
      <c r="D660" s="3"/>
      <c r="G660" s="3"/>
      <c r="J660" s="3"/>
    </row>
    <row r="661">
      <c r="A661" s="9"/>
      <c r="D661" s="3"/>
      <c r="G661" s="3"/>
      <c r="J661" s="3"/>
    </row>
    <row r="662">
      <c r="A662" s="9"/>
      <c r="D662" s="3"/>
      <c r="G662" s="3"/>
      <c r="J662" s="3"/>
    </row>
    <row r="663">
      <c r="A663" s="9"/>
      <c r="D663" s="3"/>
      <c r="G663" s="3"/>
      <c r="J663" s="3"/>
    </row>
    <row r="664">
      <c r="A664" s="9"/>
      <c r="D664" s="3"/>
      <c r="G664" s="3"/>
      <c r="J664" s="3"/>
    </row>
    <row r="665">
      <c r="A665" s="9"/>
      <c r="D665" s="3"/>
      <c r="G665" s="3"/>
      <c r="J665" s="3"/>
    </row>
    <row r="666">
      <c r="A666" s="9"/>
      <c r="D666" s="3"/>
      <c r="G666" s="3"/>
      <c r="J666" s="3"/>
    </row>
    <row r="667">
      <c r="A667" s="9"/>
      <c r="D667" s="3"/>
      <c r="G667" s="3"/>
      <c r="J667" s="3"/>
    </row>
    <row r="668">
      <c r="A668" s="9"/>
      <c r="D668" s="3"/>
      <c r="G668" s="3"/>
      <c r="J668" s="3"/>
    </row>
    <row r="669">
      <c r="A669" s="9"/>
      <c r="D669" s="3"/>
      <c r="G669" s="3"/>
      <c r="J669" s="3"/>
    </row>
    <row r="670">
      <c r="A670" s="9"/>
      <c r="D670" s="3"/>
      <c r="G670" s="3"/>
      <c r="J670" s="3"/>
    </row>
    <row r="671">
      <c r="A671" s="9"/>
      <c r="D671" s="3"/>
      <c r="G671" s="3"/>
      <c r="J671" s="3"/>
    </row>
    <row r="672">
      <c r="A672" s="9"/>
      <c r="D672" s="3"/>
      <c r="G672" s="3"/>
      <c r="J672" s="3"/>
    </row>
    <row r="673">
      <c r="A673" s="9"/>
      <c r="D673" s="3"/>
      <c r="G673" s="3"/>
      <c r="J673" s="3"/>
    </row>
    <row r="674">
      <c r="A674" s="9"/>
      <c r="D674" s="3"/>
      <c r="G674" s="3"/>
      <c r="J674" s="3"/>
    </row>
    <row r="675">
      <c r="A675" s="9"/>
      <c r="D675" s="3"/>
      <c r="G675" s="3"/>
      <c r="J675" s="3"/>
    </row>
    <row r="676">
      <c r="A676" s="9"/>
      <c r="D676" s="3"/>
      <c r="G676" s="3"/>
      <c r="J676" s="3"/>
    </row>
    <row r="677">
      <c r="A677" s="9"/>
      <c r="D677" s="3"/>
      <c r="G677" s="3"/>
      <c r="J677" s="3"/>
    </row>
    <row r="678">
      <c r="A678" s="9"/>
      <c r="D678" s="3"/>
      <c r="G678" s="3"/>
      <c r="J678" s="3"/>
    </row>
    <row r="679">
      <c r="A679" s="9"/>
      <c r="D679" s="3"/>
      <c r="G679" s="3"/>
      <c r="J679" s="3"/>
    </row>
    <row r="680">
      <c r="A680" s="9"/>
      <c r="D680" s="3"/>
      <c r="G680" s="3"/>
      <c r="J680" s="3"/>
    </row>
    <row r="681">
      <c r="A681" s="9"/>
      <c r="D681" s="3"/>
      <c r="G681" s="3"/>
      <c r="J681" s="3"/>
    </row>
    <row r="682">
      <c r="A682" s="9"/>
      <c r="D682" s="3"/>
      <c r="G682" s="3"/>
      <c r="J682" s="3"/>
    </row>
    <row r="683">
      <c r="A683" s="9"/>
      <c r="D683" s="3"/>
      <c r="G683" s="3"/>
      <c r="J683" s="3"/>
    </row>
    <row r="684">
      <c r="A684" s="9"/>
      <c r="D684" s="3"/>
      <c r="G684" s="3"/>
      <c r="J684" s="3"/>
    </row>
    <row r="685">
      <c r="A685" s="9"/>
      <c r="D685" s="3"/>
      <c r="G685" s="3"/>
      <c r="J685" s="3"/>
    </row>
    <row r="686">
      <c r="A686" s="9"/>
      <c r="D686" s="3"/>
      <c r="G686" s="3"/>
      <c r="J686" s="3"/>
    </row>
    <row r="687">
      <c r="A687" s="9"/>
      <c r="D687" s="3"/>
      <c r="G687" s="3"/>
      <c r="J687" s="3"/>
    </row>
    <row r="688">
      <c r="A688" s="9"/>
      <c r="D688" s="3"/>
      <c r="G688" s="3"/>
      <c r="J688" s="3"/>
    </row>
    <row r="689">
      <c r="A689" s="9"/>
      <c r="D689" s="3"/>
      <c r="G689" s="3"/>
      <c r="J689" s="3"/>
    </row>
    <row r="690">
      <c r="A690" s="9"/>
      <c r="D690" s="3"/>
      <c r="G690" s="3"/>
      <c r="J690" s="3"/>
    </row>
    <row r="691">
      <c r="A691" s="9"/>
      <c r="D691" s="3"/>
      <c r="G691" s="3"/>
      <c r="J691" s="3"/>
    </row>
    <row r="692">
      <c r="A692" s="9"/>
      <c r="D692" s="3"/>
      <c r="G692" s="3"/>
      <c r="J692" s="3"/>
    </row>
    <row r="693">
      <c r="A693" s="9"/>
      <c r="D693" s="3"/>
      <c r="G693" s="3"/>
      <c r="J693" s="3"/>
    </row>
    <row r="694">
      <c r="A694" s="9"/>
      <c r="D694" s="3"/>
      <c r="G694" s="3"/>
      <c r="J694" s="3"/>
    </row>
    <row r="695">
      <c r="A695" s="9"/>
      <c r="D695" s="3"/>
      <c r="G695" s="3"/>
      <c r="J695" s="3"/>
    </row>
    <row r="696">
      <c r="A696" s="9"/>
      <c r="D696" s="3"/>
      <c r="G696" s="3"/>
      <c r="J696" s="3"/>
    </row>
    <row r="697">
      <c r="A697" s="9"/>
      <c r="D697" s="3"/>
      <c r="G697" s="3"/>
      <c r="J697" s="3"/>
    </row>
    <row r="698">
      <c r="A698" s="9"/>
      <c r="D698" s="3"/>
      <c r="G698" s="3"/>
      <c r="J698" s="3"/>
    </row>
    <row r="699">
      <c r="A699" s="9"/>
      <c r="D699" s="3"/>
      <c r="G699" s="3"/>
      <c r="J699" s="3"/>
    </row>
    <row r="700">
      <c r="A700" s="9"/>
      <c r="D700" s="3"/>
      <c r="G700" s="3"/>
      <c r="J700" s="3"/>
    </row>
    <row r="701">
      <c r="A701" s="9"/>
      <c r="D701" s="3"/>
      <c r="G701" s="3"/>
      <c r="J701" s="3"/>
    </row>
    <row r="702">
      <c r="A702" s="9"/>
      <c r="D702" s="3"/>
      <c r="G702" s="3"/>
      <c r="J702" s="3"/>
    </row>
    <row r="703">
      <c r="A703" s="9"/>
      <c r="D703" s="3"/>
      <c r="G703" s="3"/>
      <c r="J703" s="3"/>
    </row>
    <row r="704">
      <c r="A704" s="9"/>
      <c r="D704" s="3"/>
      <c r="G704" s="3"/>
      <c r="J704" s="3"/>
    </row>
    <row r="705">
      <c r="A705" s="9"/>
      <c r="D705" s="3"/>
      <c r="G705" s="3"/>
      <c r="J705" s="3"/>
    </row>
    <row r="706">
      <c r="A706" s="9"/>
      <c r="D706" s="3"/>
      <c r="G706" s="3"/>
      <c r="J706" s="3"/>
    </row>
    <row r="707">
      <c r="A707" s="9"/>
      <c r="D707" s="3"/>
      <c r="G707" s="3"/>
      <c r="J707" s="3"/>
    </row>
    <row r="708">
      <c r="A708" s="9"/>
      <c r="D708" s="3"/>
      <c r="G708" s="3"/>
      <c r="J708" s="3"/>
    </row>
    <row r="709">
      <c r="A709" s="9"/>
      <c r="D709" s="3"/>
      <c r="G709" s="3"/>
      <c r="J709" s="3"/>
    </row>
    <row r="710">
      <c r="A710" s="9"/>
      <c r="D710" s="3"/>
      <c r="G710" s="3"/>
      <c r="J710" s="3"/>
    </row>
    <row r="711">
      <c r="A711" s="9"/>
      <c r="D711" s="3"/>
      <c r="G711" s="3"/>
      <c r="J711" s="3"/>
    </row>
    <row r="712">
      <c r="A712" s="9"/>
      <c r="D712" s="3"/>
      <c r="G712" s="3"/>
      <c r="J712" s="3"/>
    </row>
    <row r="713">
      <c r="A713" s="9"/>
      <c r="D713" s="3"/>
      <c r="G713" s="3"/>
      <c r="J713" s="3"/>
    </row>
    <row r="714">
      <c r="A714" s="9"/>
      <c r="D714" s="3"/>
      <c r="G714" s="3"/>
      <c r="J714" s="3"/>
    </row>
    <row r="715">
      <c r="A715" s="9"/>
      <c r="D715" s="3"/>
      <c r="G715" s="3"/>
      <c r="J715" s="3"/>
    </row>
    <row r="716">
      <c r="A716" s="9"/>
      <c r="D716" s="3"/>
      <c r="G716" s="3"/>
      <c r="J716" s="3"/>
    </row>
    <row r="717">
      <c r="A717" s="9"/>
      <c r="D717" s="3"/>
      <c r="G717" s="3"/>
      <c r="J717" s="3"/>
    </row>
    <row r="718">
      <c r="A718" s="9"/>
      <c r="D718" s="3"/>
      <c r="G718" s="3"/>
      <c r="J718" s="3"/>
    </row>
    <row r="719">
      <c r="A719" s="9"/>
      <c r="D719" s="3"/>
      <c r="G719" s="3"/>
      <c r="J719" s="3"/>
    </row>
    <row r="720">
      <c r="A720" s="9"/>
      <c r="D720" s="3"/>
      <c r="G720" s="3"/>
      <c r="J720" s="3"/>
    </row>
    <row r="721">
      <c r="A721" s="9"/>
      <c r="D721" s="3"/>
      <c r="G721" s="3"/>
      <c r="J721" s="3"/>
    </row>
    <row r="722">
      <c r="A722" s="9"/>
      <c r="D722" s="3"/>
      <c r="G722" s="3"/>
      <c r="J722" s="3"/>
    </row>
    <row r="723">
      <c r="A723" s="9"/>
      <c r="D723" s="3"/>
      <c r="G723" s="3"/>
      <c r="J723" s="3"/>
    </row>
    <row r="724">
      <c r="A724" s="9"/>
      <c r="D724" s="3"/>
      <c r="G724" s="3"/>
      <c r="J724" s="3"/>
    </row>
    <row r="725">
      <c r="A725" s="9"/>
      <c r="D725" s="3"/>
      <c r="G725" s="3"/>
      <c r="J725" s="3"/>
    </row>
    <row r="726">
      <c r="A726" s="9"/>
      <c r="D726" s="3"/>
      <c r="G726" s="3"/>
      <c r="J726" s="3"/>
    </row>
    <row r="727">
      <c r="A727" s="9"/>
      <c r="D727" s="3"/>
      <c r="G727" s="3"/>
      <c r="J727" s="3"/>
    </row>
    <row r="728">
      <c r="A728" s="9"/>
      <c r="D728" s="3"/>
      <c r="G728" s="3"/>
      <c r="J728" s="3"/>
    </row>
    <row r="729">
      <c r="A729" s="9"/>
      <c r="D729" s="3"/>
      <c r="G729" s="3"/>
      <c r="J729" s="3"/>
    </row>
    <row r="730">
      <c r="A730" s="9"/>
      <c r="D730" s="3"/>
      <c r="G730" s="3"/>
      <c r="J730" s="3"/>
    </row>
    <row r="731">
      <c r="A731" s="9"/>
      <c r="D731" s="3"/>
      <c r="G731" s="3"/>
      <c r="J731" s="3"/>
    </row>
    <row r="732">
      <c r="A732" s="9"/>
      <c r="D732" s="3"/>
      <c r="G732" s="3"/>
      <c r="J732" s="3"/>
    </row>
    <row r="733">
      <c r="A733" s="9"/>
      <c r="D733" s="3"/>
      <c r="G733" s="3"/>
      <c r="J733" s="3"/>
    </row>
    <row r="734">
      <c r="A734" s="9"/>
      <c r="D734" s="3"/>
      <c r="G734" s="3"/>
      <c r="J734" s="3"/>
    </row>
    <row r="735">
      <c r="A735" s="9"/>
      <c r="D735" s="3"/>
      <c r="G735" s="3"/>
      <c r="J735" s="3"/>
    </row>
    <row r="736">
      <c r="A736" s="9"/>
      <c r="D736" s="3"/>
      <c r="G736" s="3"/>
      <c r="J736" s="3"/>
    </row>
    <row r="737">
      <c r="A737" s="9"/>
      <c r="D737" s="3"/>
      <c r="G737" s="3"/>
      <c r="J737" s="3"/>
    </row>
    <row r="738">
      <c r="A738" s="9"/>
      <c r="D738" s="3"/>
      <c r="G738" s="3"/>
      <c r="J738" s="3"/>
    </row>
    <row r="739">
      <c r="A739" s="9"/>
      <c r="D739" s="3"/>
      <c r="G739" s="3"/>
      <c r="J739" s="3"/>
    </row>
    <row r="740">
      <c r="A740" s="9"/>
      <c r="D740" s="3"/>
      <c r="G740" s="3"/>
      <c r="J740" s="3"/>
    </row>
    <row r="741">
      <c r="A741" s="9"/>
      <c r="D741" s="3"/>
      <c r="G741" s="3"/>
      <c r="J741" s="3"/>
    </row>
    <row r="742">
      <c r="A742" s="9"/>
      <c r="D742" s="3"/>
      <c r="G742" s="3"/>
      <c r="J742" s="3"/>
    </row>
    <row r="743">
      <c r="A743" s="9"/>
      <c r="D743" s="3"/>
      <c r="G743" s="3"/>
      <c r="J743" s="3"/>
    </row>
    <row r="744">
      <c r="A744" s="9"/>
      <c r="D744" s="3"/>
      <c r="G744" s="3"/>
      <c r="J744" s="3"/>
    </row>
    <row r="745">
      <c r="A745" s="9"/>
      <c r="D745" s="3"/>
      <c r="G745" s="3"/>
      <c r="J745" s="3"/>
    </row>
    <row r="746">
      <c r="A746" s="9"/>
      <c r="D746" s="3"/>
      <c r="G746" s="3"/>
      <c r="J746" s="3"/>
    </row>
    <row r="747">
      <c r="A747" s="9"/>
      <c r="D747" s="3"/>
      <c r="G747" s="3"/>
      <c r="J747" s="3"/>
    </row>
    <row r="748">
      <c r="A748" s="9"/>
      <c r="D748" s="3"/>
      <c r="G748" s="3"/>
      <c r="J748" s="3"/>
    </row>
    <row r="749">
      <c r="A749" s="9"/>
      <c r="D749" s="3"/>
      <c r="G749" s="3"/>
      <c r="J749" s="3"/>
    </row>
    <row r="750">
      <c r="A750" s="9"/>
      <c r="D750" s="3"/>
      <c r="G750" s="3"/>
      <c r="J750" s="3"/>
    </row>
    <row r="751">
      <c r="A751" s="9"/>
      <c r="D751" s="3"/>
      <c r="G751" s="3"/>
      <c r="J751" s="3"/>
    </row>
    <row r="752">
      <c r="A752" s="9"/>
      <c r="D752" s="3"/>
      <c r="G752" s="3"/>
      <c r="J752" s="3"/>
    </row>
    <row r="753">
      <c r="A753" s="9"/>
      <c r="D753" s="3"/>
      <c r="G753" s="3"/>
      <c r="J753" s="3"/>
    </row>
    <row r="754">
      <c r="A754" s="9"/>
      <c r="D754" s="3"/>
      <c r="G754" s="3"/>
      <c r="J754" s="3"/>
    </row>
    <row r="755">
      <c r="A755" s="9"/>
      <c r="D755" s="3"/>
      <c r="G755" s="3"/>
      <c r="J755" s="3"/>
    </row>
    <row r="756">
      <c r="A756" s="9"/>
      <c r="D756" s="3"/>
      <c r="G756" s="3"/>
      <c r="J756" s="3"/>
    </row>
    <row r="757">
      <c r="A757" s="9"/>
      <c r="D757" s="3"/>
      <c r="G757" s="3"/>
      <c r="J757" s="3"/>
    </row>
    <row r="758">
      <c r="A758" s="9"/>
      <c r="D758" s="3"/>
      <c r="G758" s="3"/>
      <c r="J758" s="3"/>
    </row>
    <row r="759">
      <c r="A759" s="9"/>
      <c r="D759" s="3"/>
      <c r="G759" s="3"/>
      <c r="J759" s="3"/>
    </row>
    <row r="760">
      <c r="A760" s="9"/>
      <c r="D760" s="3"/>
      <c r="G760" s="3"/>
      <c r="J760" s="3"/>
    </row>
    <row r="761">
      <c r="A761" s="9"/>
      <c r="D761" s="3"/>
      <c r="G761" s="3"/>
      <c r="J761" s="3"/>
    </row>
    <row r="762">
      <c r="A762" s="9"/>
      <c r="D762" s="3"/>
      <c r="G762" s="3"/>
      <c r="J762" s="3"/>
    </row>
    <row r="763">
      <c r="A763" s="9"/>
      <c r="D763" s="3"/>
      <c r="G763" s="3"/>
      <c r="J763" s="3"/>
    </row>
    <row r="764">
      <c r="A764" s="9"/>
      <c r="D764" s="3"/>
      <c r="G764" s="3"/>
      <c r="J764" s="3"/>
    </row>
    <row r="765">
      <c r="A765" s="9"/>
      <c r="D765" s="3"/>
      <c r="G765" s="3"/>
      <c r="J765" s="3"/>
    </row>
    <row r="766">
      <c r="A766" s="9"/>
      <c r="D766" s="3"/>
      <c r="G766" s="3"/>
      <c r="J766" s="3"/>
    </row>
    <row r="767">
      <c r="A767" s="9"/>
      <c r="D767" s="3"/>
      <c r="G767" s="3"/>
      <c r="J767" s="3"/>
    </row>
    <row r="768">
      <c r="A768" s="9"/>
      <c r="D768" s="3"/>
      <c r="G768" s="3"/>
      <c r="J768" s="3"/>
    </row>
    <row r="769">
      <c r="A769" s="9"/>
      <c r="D769" s="3"/>
      <c r="G769" s="3"/>
      <c r="J769" s="3"/>
    </row>
    <row r="770">
      <c r="A770" s="9"/>
      <c r="D770" s="3"/>
      <c r="G770" s="3"/>
      <c r="J770" s="3"/>
    </row>
    <row r="771">
      <c r="A771" s="9"/>
      <c r="D771" s="3"/>
      <c r="G771" s="3"/>
      <c r="J771" s="3"/>
    </row>
    <row r="772">
      <c r="A772" s="9"/>
      <c r="D772" s="3"/>
      <c r="G772" s="3"/>
      <c r="J772" s="3"/>
    </row>
    <row r="773">
      <c r="A773" s="9"/>
      <c r="D773" s="3"/>
      <c r="G773" s="3"/>
      <c r="J773" s="3"/>
    </row>
    <row r="774">
      <c r="A774" s="9"/>
      <c r="D774" s="3"/>
      <c r="G774" s="3"/>
      <c r="J774" s="3"/>
    </row>
    <row r="775">
      <c r="A775" s="9"/>
      <c r="D775" s="3"/>
      <c r="G775" s="3"/>
      <c r="J775" s="3"/>
    </row>
    <row r="776">
      <c r="A776" s="9"/>
      <c r="D776" s="3"/>
      <c r="G776" s="3"/>
      <c r="J776" s="3"/>
    </row>
    <row r="777">
      <c r="A777" s="9"/>
      <c r="D777" s="3"/>
      <c r="G777" s="3"/>
      <c r="J777" s="3"/>
    </row>
    <row r="778">
      <c r="A778" s="9"/>
      <c r="D778" s="3"/>
      <c r="G778" s="3"/>
      <c r="J778" s="3"/>
    </row>
    <row r="779">
      <c r="A779" s="9"/>
      <c r="D779" s="3"/>
      <c r="G779" s="3"/>
      <c r="J779" s="3"/>
    </row>
    <row r="780">
      <c r="A780" s="9"/>
      <c r="D780" s="3"/>
      <c r="G780" s="3"/>
      <c r="J780" s="3"/>
    </row>
    <row r="781">
      <c r="A781" s="9"/>
      <c r="D781" s="3"/>
      <c r="G781" s="3"/>
      <c r="J781" s="3"/>
    </row>
    <row r="782">
      <c r="A782" s="9"/>
      <c r="D782" s="3"/>
      <c r="G782" s="3"/>
      <c r="J782" s="3"/>
    </row>
    <row r="783">
      <c r="A783" s="9"/>
      <c r="D783" s="3"/>
      <c r="G783" s="3"/>
      <c r="J783" s="3"/>
    </row>
    <row r="784">
      <c r="A784" s="9"/>
      <c r="D784" s="3"/>
      <c r="G784" s="3"/>
      <c r="J784" s="3"/>
    </row>
    <row r="785">
      <c r="A785" s="9"/>
      <c r="D785" s="3"/>
      <c r="G785" s="3"/>
      <c r="J785" s="3"/>
    </row>
    <row r="786">
      <c r="A786" s="9"/>
      <c r="D786" s="3"/>
      <c r="G786" s="3"/>
      <c r="J786" s="3"/>
    </row>
    <row r="787">
      <c r="A787" s="9"/>
      <c r="D787" s="3"/>
      <c r="G787" s="3"/>
      <c r="J787" s="3"/>
    </row>
    <row r="788">
      <c r="A788" s="9"/>
      <c r="D788" s="3"/>
      <c r="G788" s="3"/>
      <c r="J788" s="3"/>
    </row>
    <row r="789">
      <c r="A789" s="9"/>
      <c r="D789" s="3"/>
      <c r="G789" s="3"/>
      <c r="J789" s="3"/>
    </row>
    <row r="790">
      <c r="A790" s="9"/>
      <c r="D790" s="3"/>
      <c r="G790" s="3"/>
      <c r="J790" s="3"/>
    </row>
    <row r="791">
      <c r="A791" s="9"/>
      <c r="D791" s="3"/>
      <c r="G791" s="3"/>
      <c r="J791" s="3"/>
    </row>
    <row r="792">
      <c r="A792" s="9"/>
      <c r="D792" s="3"/>
      <c r="G792" s="3"/>
      <c r="J792" s="3"/>
    </row>
    <row r="793">
      <c r="A793" s="9"/>
      <c r="D793" s="3"/>
      <c r="G793" s="3"/>
      <c r="J793" s="3"/>
    </row>
    <row r="794">
      <c r="A794" s="9"/>
      <c r="D794" s="3"/>
      <c r="G794" s="3"/>
      <c r="J794" s="3"/>
    </row>
    <row r="795">
      <c r="A795" s="9"/>
      <c r="D795" s="3"/>
      <c r="G795" s="3"/>
      <c r="J795" s="3"/>
    </row>
    <row r="796">
      <c r="A796" s="9"/>
      <c r="D796" s="3"/>
      <c r="G796" s="3"/>
      <c r="J796" s="3"/>
    </row>
    <row r="797">
      <c r="A797" s="9"/>
      <c r="D797" s="3"/>
      <c r="G797" s="3"/>
      <c r="J797" s="3"/>
    </row>
    <row r="798">
      <c r="A798" s="9"/>
      <c r="D798" s="3"/>
      <c r="G798" s="3"/>
      <c r="J798" s="3"/>
    </row>
    <row r="799">
      <c r="A799" s="9"/>
      <c r="D799" s="3"/>
      <c r="G799" s="3"/>
      <c r="J799" s="3"/>
    </row>
    <row r="800">
      <c r="A800" s="9"/>
      <c r="D800" s="3"/>
      <c r="G800" s="3"/>
      <c r="J800" s="3"/>
    </row>
    <row r="801">
      <c r="A801" s="9"/>
      <c r="D801" s="3"/>
      <c r="G801" s="3"/>
      <c r="J801" s="3"/>
    </row>
    <row r="802">
      <c r="A802" s="9"/>
      <c r="D802" s="3"/>
      <c r="G802" s="3"/>
      <c r="J802" s="3"/>
    </row>
    <row r="803">
      <c r="A803" s="9"/>
      <c r="D803" s="3"/>
      <c r="G803" s="3"/>
      <c r="J803" s="3"/>
    </row>
    <row r="804">
      <c r="A804" s="9"/>
      <c r="D804" s="3"/>
      <c r="G804" s="3"/>
      <c r="J804" s="3"/>
    </row>
    <row r="805">
      <c r="A805" s="9"/>
      <c r="D805" s="3"/>
      <c r="G805" s="3"/>
      <c r="J805" s="3"/>
    </row>
    <row r="806">
      <c r="A806" s="9"/>
      <c r="D806" s="3"/>
      <c r="G806" s="3"/>
      <c r="J806" s="3"/>
    </row>
    <row r="807">
      <c r="A807" s="9"/>
      <c r="D807" s="3"/>
      <c r="G807" s="3"/>
      <c r="J807" s="3"/>
    </row>
    <row r="808">
      <c r="A808" s="9"/>
      <c r="D808" s="3"/>
      <c r="G808" s="3"/>
      <c r="J808" s="3"/>
    </row>
    <row r="809">
      <c r="A809" s="9"/>
      <c r="D809" s="3"/>
      <c r="G809" s="3"/>
      <c r="J809" s="3"/>
    </row>
    <row r="810">
      <c r="A810" s="9"/>
      <c r="D810" s="3"/>
      <c r="G810" s="3"/>
      <c r="J810" s="3"/>
    </row>
    <row r="811">
      <c r="A811" s="9"/>
      <c r="D811" s="3"/>
      <c r="G811" s="3"/>
      <c r="J811" s="3"/>
    </row>
    <row r="812">
      <c r="A812" s="9"/>
      <c r="D812" s="3"/>
      <c r="G812" s="3"/>
      <c r="J812" s="3"/>
    </row>
    <row r="813">
      <c r="A813" s="9"/>
      <c r="D813" s="3"/>
      <c r="G813" s="3"/>
      <c r="J813" s="3"/>
    </row>
    <row r="814">
      <c r="A814" s="9"/>
      <c r="D814" s="3"/>
      <c r="G814" s="3"/>
      <c r="J814" s="3"/>
    </row>
    <row r="815">
      <c r="A815" s="9"/>
      <c r="D815" s="3"/>
      <c r="G815" s="3"/>
      <c r="J815" s="3"/>
    </row>
    <row r="816">
      <c r="A816" s="9"/>
      <c r="D816" s="3"/>
      <c r="G816" s="3"/>
      <c r="J816" s="3"/>
    </row>
    <row r="817">
      <c r="A817" s="9"/>
      <c r="D817" s="3"/>
      <c r="G817" s="3"/>
      <c r="J817" s="3"/>
    </row>
    <row r="818">
      <c r="A818" s="9"/>
      <c r="D818" s="3"/>
      <c r="G818" s="3"/>
      <c r="J818" s="3"/>
    </row>
    <row r="819">
      <c r="A819" s="9"/>
      <c r="D819" s="3"/>
      <c r="G819" s="3"/>
      <c r="J819" s="3"/>
    </row>
    <row r="820">
      <c r="A820" s="9"/>
      <c r="D820" s="3"/>
      <c r="G820" s="3"/>
      <c r="J820" s="3"/>
    </row>
    <row r="821">
      <c r="A821" s="9"/>
      <c r="D821" s="3"/>
      <c r="G821" s="3"/>
      <c r="J821" s="3"/>
    </row>
    <row r="822">
      <c r="A822" s="9"/>
      <c r="D822" s="3"/>
      <c r="G822" s="3"/>
      <c r="J822" s="3"/>
    </row>
    <row r="823">
      <c r="A823" s="9"/>
      <c r="D823" s="3"/>
      <c r="G823" s="3"/>
      <c r="J823" s="3"/>
    </row>
    <row r="824">
      <c r="A824" s="9"/>
      <c r="D824" s="3"/>
      <c r="G824" s="3"/>
      <c r="J824" s="3"/>
    </row>
    <row r="825">
      <c r="A825" s="9"/>
      <c r="D825" s="3"/>
      <c r="G825" s="3"/>
      <c r="J825" s="3"/>
    </row>
    <row r="826">
      <c r="A826" s="9"/>
      <c r="D826" s="3"/>
      <c r="G826" s="3"/>
      <c r="J826" s="3"/>
    </row>
    <row r="827">
      <c r="A827" s="9"/>
      <c r="D827" s="3"/>
      <c r="G827" s="3"/>
      <c r="J827" s="3"/>
    </row>
    <row r="828">
      <c r="A828" s="9"/>
      <c r="D828" s="3"/>
      <c r="G828" s="3"/>
      <c r="J828" s="3"/>
    </row>
    <row r="829">
      <c r="A829" s="9"/>
      <c r="D829" s="3"/>
      <c r="G829" s="3"/>
      <c r="J829" s="3"/>
    </row>
    <row r="830">
      <c r="A830" s="9"/>
      <c r="D830" s="3"/>
      <c r="G830" s="3"/>
      <c r="J830" s="3"/>
    </row>
    <row r="831">
      <c r="A831" s="9"/>
      <c r="D831" s="3"/>
      <c r="G831" s="3"/>
      <c r="J831" s="3"/>
    </row>
    <row r="832">
      <c r="A832" s="9"/>
      <c r="D832" s="3"/>
      <c r="G832" s="3"/>
      <c r="J832" s="3"/>
    </row>
    <row r="833">
      <c r="A833" s="9"/>
      <c r="D833" s="3"/>
      <c r="G833" s="3"/>
      <c r="J833" s="3"/>
    </row>
    <row r="834">
      <c r="A834" s="9"/>
      <c r="D834" s="3"/>
      <c r="G834" s="3"/>
      <c r="J834" s="3"/>
    </row>
    <row r="835">
      <c r="A835" s="9"/>
      <c r="D835" s="3"/>
      <c r="G835" s="3"/>
      <c r="J835" s="3"/>
    </row>
    <row r="836">
      <c r="A836" s="9"/>
      <c r="D836" s="3"/>
      <c r="G836" s="3"/>
      <c r="J836" s="3"/>
    </row>
    <row r="837">
      <c r="A837" s="9"/>
      <c r="D837" s="3"/>
      <c r="G837" s="3"/>
      <c r="J837" s="3"/>
    </row>
    <row r="838">
      <c r="A838" s="9"/>
      <c r="D838" s="3"/>
      <c r="G838" s="3"/>
      <c r="J838" s="3"/>
    </row>
    <row r="839">
      <c r="A839" s="9"/>
      <c r="D839" s="3"/>
      <c r="G839" s="3"/>
      <c r="J839" s="3"/>
    </row>
    <row r="840">
      <c r="A840" s="9"/>
      <c r="D840" s="3"/>
      <c r="G840" s="3"/>
      <c r="J840" s="3"/>
    </row>
    <row r="841">
      <c r="A841" s="9"/>
      <c r="D841" s="3"/>
      <c r="G841" s="3"/>
      <c r="J841" s="3"/>
    </row>
    <row r="842">
      <c r="A842" s="9"/>
      <c r="D842" s="3"/>
      <c r="G842" s="3"/>
      <c r="J842" s="3"/>
    </row>
    <row r="843">
      <c r="A843" s="9"/>
      <c r="D843" s="3"/>
      <c r="G843" s="3"/>
      <c r="J843" s="3"/>
    </row>
    <row r="844">
      <c r="A844" s="9"/>
      <c r="D844" s="3"/>
      <c r="G844" s="3"/>
      <c r="J844" s="3"/>
    </row>
    <row r="845">
      <c r="A845" s="9"/>
      <c r="D845" s="3"/>
      <c r="G845" s="3"/>
      <c r="J845" s="3"/>
    </row>
    <row r="846">
      <c r="A846" s="9"/>
      <c r="D846" s="3"/>
      <c r="G846" s="3"/>
      <c r="J846" s="3"/>
    </row>
    <row r="847">
      <c r="A847" s="9"/>
      <c r="D847" s="3"/>
      <c r="G847" s="3"/>
      <c r="J847" s="3"/>
    </row>
    <row r="848">
      <c r="A848" s="9"/>
      <c r="D848" s="3"/>
      <c r="G848" s="3"/>
      <c r="J848" s="3"/>
    </row>
    <row r="849">
      <c r="A849" s="9"/>
      <c r="D849" s="3"/>
      <c r="G849" s="3"/>
      <c r="J849" s="3"/>
    </row>
    <row r="850">
      <c r="A850" s="9"/>
      <c r="D850" s="3"/>
      <c r="G850" s="3"/>
      <c r="J850" s="3"/>
    </row>
    <row r="851">
      <c r="A851" s="9"/>
      <c r="D851" s="3"/>
      <c r="G851" s="3"/>
      <c r="J851" s="3"/>
    </row>
    <row r="852">
      <c r="A852" s="9"/>
      <c r="D852" s="3"/>
      <c r="G852" s="3"/>
      <c r="J852" s="3"/>
    </row>
    <row r="853">
      <c r="A853" s="9"/>
      <c r="D853" s="3"/>
      <c r="G853" s="3"/>
      <c r="J853" s="3"/>
    </row>
    <row r="854">
      <c r="A854" s="9"/>
      <c r="D854" s="3"/>
      <c r="G854" s="3"/>
      <c r="J854" s="3"/>
    </row>
    <row r="855">
      <c r="A855" s="9"/>
      <c r="D855" s="3"/>
      <c r="G855" s="3"/>
      <c r="J855" s="3"/>
    </row>
    <row r="856">
      <c r="A856" s="9"/>
      <c r="D856" s="3"/>
      <c r="G856" s="3"/>
      <c r="J856" s="3"/>
    </row>
    <row r="857">
      <c r="A857" s="9"/>
      <c r="D857" s="3"/>
      <c r="G857" s="3"/>
      <c r="J857" s="3"/>
    </row>
    <row r="858">
      <c r="A858" s="9"/>
      <c r="D858" s="3"/>
      <c r="G858" s="3"/>
      <c r="J858" s="3"/>
    </row>
    <row r="859">
      <c r="A859" s="9"/>
      <c r="D859" s="3"/>
      <c r="G859" s="3"/>
      <c r="J859" s="3"/>
    </row>
    <row r="860">
      <c r="A860" s="9"/>
      <c r="D860" s="3"/>
      <c r="G860" s="3"/>
      <c r="J860" s="3"/>
    </row>
    <row r="861">
      <c r="A861" s="9"/>
      <c r="D861" s="3"/>
      <c r="G861" s="3"/>
      <c r="J861" s="3"/>
    </row>
    <row r="862">
      <c r="A862" s="9"/>
      <c r="D862" s="3"/>
      <c r="G862" s="3"/>
      <c r="J862" s="3"/>
    </row>
    <row r="863">
      <c r="A863" s="9"/>
      <c r="D863" s="3"/>
      <c r="G863" s="3"/>
      <c r="J863" s="3"/>
    </row>
    <row r="864">
      <c r="A864" s="9"/>
      <c r="D864" s="3"/>
      <c r="G864" s="3"/>
      <c r="J864" s="3"/>
    </row>
    <row r="865">
      <c r="A865" s="9"/>
      <c r="D865" s="3"/>
      <c r="G865" s="3"/>
      <c r="J865" s="3"/>
    </row>
    <row r="866">
      <c r="A866" s="9"/>
      <c r="D866" s="3"/>
      <c r="G866" s="3"/>
      <c r="J866" s="3"/>
    </row>
    <row r="867">
      <c r="A867" s="9"/>
      <c r="D867" s="3"/>
      <c r="G867" s="3"/>
      <c r="J867" s="3"/>
    </row>
    <row r="868">
      <c r="A868" s="9"/>
      <c r="D868" s="3"/>
      <c r="G868" s="3"/>
      <c r="J868" s="3"/>
    </row>
    <row r="869">
      <c r="A869" s="9"/>
      <c r="D869" s="3"/>
      <c r="G869" s="3"/>
      <c r="J869" s="3"/>
    </row>
    <row r="870">
      <c r="A870" s="9"/>
      <c r="D870" s="3"/>
      <c r="G870" s="3"/>
      <c r="J870" s="3"/>
    </row>
    <row r="871">
      <c r="A871" s="9"/>
      <c r="D871" s="3"/>
      <c r="G871" s="3"/>
      <c r="J871" s="3"/>
    </row>
    <row r="872">
      <c r="A872" s="9"/>
      <c r="D872" s="3"/>
      <c r="G872" s="3"/>
      <c r="J872" s="3"/>
    </row>
    <row r="873">
      <c r="A873" s="9"/>
      <c r="D873" s="3"/>
      <c r="G873" s="3"/>
      <c r="J873" s="3"/>
    </row>
    <row r="874">
      <c r="A874" s="9"/>
      <c r="D874" s="3"/>
      <c r="G874" s="3"/>
      <c r="J874" s="3"/>
    </row>
    <row r="875">
      <c r="A875" s="9"/>
      <c r="D875" s="3"/>
      <c r="G875" s="3"/>
      <c r="J875" s="3"/>
    </row>
    <row r="876">
      <c r="A876" s="9"/>
      <c r="D876" s="3"/>
      <c r="G876" s="3"/>
      <c r="J876" s="3"/>
    </row>
    <row r="877">
      <c r="A877" s="9"/>
      <c r="D877" s="3"/>
      <c r="G877" s="3"/>
      <c r="J877" s="3"/>
    </row>
    <row r="878">
      <c r="A878" s="9"/>
      <c r="D878" s="3"/>
      <c r="G878" s="3"/>
      <c r="J878" s="3"/>
    </row>
    <row r="879">
      <c r="A879" s="9"/>
      <c r="D879" s="3"/>
      <c r="G879" s="3"/>
      <c r="J879" s="3"/>
    </row>
    <row r="880">
      <c r="A880" s="9"/>
      <c r="D880" s="3"/>
      <c r="G880" s="3"/>
      <c r="J880" s="3"/>
    </row>
    <row r="881">
      <c r="A881" s="9"/>
      <c r="D881" s="3"/>
      <c r="G881" s="3"/>
      <c r="J881" s="3"/>
    </row>
    <row r="882">
      <c r="A882" s="9"/>
      <c r="D882" s="3"/>
      <c r="G882" s="3"/>
      <c r="J882" s="3"/>
    </row>
    <row r="883">
      <c r="A883" s="9"/>
      <c r="D883" s="3"/>
      <c r="G883" s="3"/>
      <c r="J883" s="3"/>
    </row>
    <row r="884">
      <c r="A884" s="9"/>
      <c r="D884" s="3"/>
      <c r="G884" s="3"/>
      <c r="J884" s="3"/>
    </row>
    <row r="885">
      <c r="A885" s="9"/>
      <c r="D885" s="3"/>
      <c r="G885" s="3"/>
      <c r="J885" s="3"/>
    </row>
    <row r="886">
      <c r="A886" s="9"/>
      <c r="D886" s="3"/>
      <c r="G886" s="3"/>
      <c r="J886" s="3"/>
    </row>
    <row r="887">
      <c r="A887" s="9"/>
      <c r="D887" s="3"/>
      <c r="G887" s="3"/>
      <c r="J887" s="3"/>
    </row>
    <row r="888">
      <c r="A888" s="9"/>
      <c r="D888" s="3"/>
      <c r="G888" s="3"/>
      <c r="J888" s="3"/>
    </row>
    <row r="889">
      <c r="A889" s="9"/>
      <c r="D889" s="3"/>
      <c r="G889" s="3"/>
      <c r="J889" s="3"/>
    </row>
    <row r="890">
      <c r="A890" s="9"/>
      <c r="D890" s="3"/>
      <c r="G890" s="3"/>
      <c r="J890" s="3"/>
    </row>
    <row r="891">
      <c r="A891" s="9"/>
      <c r="D891" s="3"/>
      <c r="G891" s="3"/>
      <c r="J891" s="3"/>
    </row>
    <row r="892">
      <c r="A892" s="9"/>
      <c r="D892" s="3"/>
      <c r="G892" s="3"/>
      <c r="J892" s="3"/>
    </row>
    <row r="893">
      <c r="A893" s="9"/>
      <c r="D893" s="3"/>
      <c r="G893" s="3"/>
      <c r="J893" s="3"/>
    </row>
    <row r="894">
      <c r="A894" s="9"/>
      <c r="D894" s="3"/>
      <c r="G894" s="3"/>
      <c r="J894" s="3"/>
    </row>
    <row r="895">
      <c r="A895" s="9"/>
      <c r="D895" s="3"/>
      <c r="G895" s="3"/>
      <c r="J895" s="3"/>
    </row>
    <row r="896">
      <c r="A896" s="9"/>
      <c r="D896" s="3"/>
      <c r="G896" s="3"/>
      <c r="J896" s="3"/>
    </row>
    <row r="897">
      <c r="A897" s="9"/>
      <c r="D897" s="3"/>
      <c r="G897" s="3"/>
      <c r="J897" s="3"/>
    </row>
    <row r="898">
      <c r="A898" s="9"/>
      <c r="D898" s="3"/>
      <c r="G898" s="3"/>
      <c r="J898" s="3"/>
    </row>
    <row r="899">
      <c r="A899" s="9"/>
      <c r="D899" s="3"/>
      <c r="G899" s="3"/>
      <c r="J899" s="3"/>
    </row>
    <row r="900">
      <c r="A900" s="9"/>
      <c r="D900" s="3"/>
      <c r="G900" s="3"/>
      <c r="J900" s="3"/>
    </row>
    <row r="901">
      <c r="A901" s="9"/>
      <c r="D901" s="3"/>
      <c r="G901" s="3"/>
      <c r="J901" s="3"/>
    </row>
    <row r="902">
      <c r="A902" s="9"/>
      <c r="D902" s="3"/>
      <c r="G902" s="3"/>
      <c r="J902" s="3"/>
    </row>
    <row r="903">
      <c r="A903" s="9"/>
      <c r="D903" s="3"/>
      <c r="G903" s="3"/>
      <c r="J903" s="3"/>
    </row>
    <row r="904">
      <c r="A904" s="9"/>
      <c r="D904" s="3"/>
      <c r="G904" s="3"/>
      <c r="J904" s="3"/>
    </row>
    <row r="905">
      <c r="A905" s="9"/>
      <c r="D905" s="3"/>
      <c r="G905" s="3"/>
      <c r="J905" s="3"/>
    </row>
    <row r="906">
      <c r="A906" s="9"/>
      <c r="D906" s="3"/>
      <c r="G906" s="3"/>
      <c r="J906" s="3"/>
    </row>
    <row r="907">
      <c r="A907" s="9"/>
      <c r="D907" s="3"/>
      <c r="G907" s="3"/>
      <c r="J907" s="3"/>
    </row>
    <row r="908">
      <c r="A908" s="9"/>
      <c r="D908" s="3"/>
      <c r="G908" s="3"/>
      <c r="J908" s="3"/>
    </row>
    <row r="909">
      <c r="A909" s="9"/>
      <c r="D909" s="3"/>
      <c r="G909" s="3"/>
      <c r="J909" s="3"/>
    </row>
    <row r="910">
      <c r="A910" s="9"/>
      <c r="D910" s="3"/>
      <c r="G910" s="3"/>
      <c r="J910" s="3"/>
    </row>
    <row r="911">
      <c r="A911" s="9"/>
      <c r="D911" s="3"/>
      <c r="G911" s="3"/>
      <c r="J911" s="3"/>
    </row>
    <row r="912">
      <c r="A912" s="9"/>
      <c r="D912" s="3"/>
      <c r="G912" s="3"/>
      <c r="J912" s="3"/>
    </row>
    <row r="913">
      <c r="A913" s="9"/>
      <c r="D913" s="3"/>
      <c r="G913" s="3"/>
      <c r="J913" s="3"/>
    </row>
    <row r="914">
      <c r="A914" s="9"/>
      <c r="D914" s="3"/>
      <c r="G914" s="3"/>
      <c r="J914" s="3"/>
    </row>
    <row r="915">
      <c r="A915" s="9"/>
      <c r="D915" s="3"/>
      <c r="G915" s="3"/>
      <c r="J915" s="3"/>
    </row>
    <row r="916">
      <c r="A916" s="9"/>
      <c r="D916" s="3"/>
      <c r="G916" s="3"/>
      <c r="J916" s="3"/>
    </row>
    <row r="917">
      <c r="A917" s="9"/>
      <c r="D917" s="3"/>
      <c r="G917" s="3"/>
      <c r="J917" s="3"/>
    </row>
    <row r="918">
      <c r="A918" s="9"/>
      <c r="D918" s="3"/>
      <c r="G918" s="3"/>
      <c r="J918" s="3"/>
    </row>
    <row r="919">
      <c r="A919" s="9"/>
      <c r="D919" s="3"/>
      <c r="G919" s="3"/>
      <c r="J919" s="3"/>
    </row>
    <row r="920">
      <c r="A920" s="9"/>
      <c r="D920" s="3"/>
      <c r="G920" s="3"/>
      <c r="J920" s="3"/>
    </row>
    <row r="921">
      <c r="A921" s="9"/>
      <c r="D921" s="3"/>
      <c r="G921" s="3"/>
      <c r="J921" s="3"/>
    </row>
    <row r="922">
      <c r="A922" s="9"/>
      <c r="D922" s="3"/>
      <c r="G922" s="3"/>
      <c r="J922" s="3"/>
    </row>
    <row r="923">
      <c r="A923" s="9"/>
      <c r="D923" s="3"/>
      <c r="G923" s="3"/>
      <c r="J923" s="3"/>
    </row>
    <row r="924">
      <c r="A924" s="9"/>
      <c r="D924" s="3"/>
      <c r="G924" s="3"/>
      <c r="J924" s="3"/>
    </row>
    <row r="925">
      <c r="A925" s="9"/>
      <c r="D925" s="3"/>
      <c r="G925" s="3"/>
      <c r="J925" s="3"/>
    </row>
    <row r="926">
      <c r="A926" s="9"/>
      <c r="D926" s="3"/>
      <c r="G926" s="3"/>
      <c r="J926" s="3"/>
    </row>
    <row r="927">
      <c r="A927" s="9"/>
      <c r="D927" s="3"/>
      <c r="G927" s="3"/>
      <c r="J927" s="3"/>
    </row>
    <row r="928">
      <c r="A928" s="9"/>
      <c r="D928" s="3"/>
      <c r="G928" s="3"/>
      <c r="J928" s="3"/>
    </row>
    <row r="929">
      <c r="A929" s="9"/>
      <c r="D929" s="3"/>
      <c r="G929" s="3"/>
      <c r="J929" s="3"/>
    </row>
    <row r="930">
      <c r="A930" s="9"/>
      <c r="D930" s="3"/>
      <c r="G930" s="3"/>
      <c r="J930" s="3"/>
    </row>
    <row r="931">
      <c r="A931" s="9"/>
      <c r="D931" s="3"/>
      <c r="G931" s="3"/>
      <c r="J931" s="3"/>
    </row>
    <row r="932">
      <c r="A932" s="9"/>
      <c r="D932" s="3"/>
      <c r="G932" s="3"/>
      <c r="J932" s="3"/>
    </row>
    <row r="933">
      <c r="A933" s="9"/>
      <c r="D933" s="3"/>
      <c r="G933" s="3"/>
      <c r="J933" s="3"/>
    </row>
    <row r="934">
      <c r="A934" s="9"/>
      <c r="D934" s="3"/>
      <c r="G934" s="3"/>
      <c r="J934" s="3"/>
    </row>
    <row r="935">
      <c r="A935" s="9"/>
      <c r="D935" s="3"/>
      <c r="G935" s="3"/>
      <c r="J935" s="3"/>
    </row>
    <row r="936">
      <c r="A936" s="9"/>
      <c r="D936" s="3"/>
      <c r="G936" s="3"/>
      <c r="J936" s="3"/>
    </row>
    <row r="937">
      <c r="A937" s="9"/>
      <c r="D937" s="3"/>
      <c r="G937" s="3"/>
      <c r="J937" s="3"/>
    </row>
    <row r="938">
      <c r="A938" s="9"/>
      <c r="D938" s="3"/>
      <c r="G938" s="3"/>
      <c r="J938" s="3"/>
    </row>
    <row r="939">
      <c r="A939" s="9"/>
      <c r="D939" s="3"/>
      <c r="G939" s="3"/>
      <c r="J939" s="3"/>
    </row>
    <row r="940">
      <c r="A940" s="9"/>
      <c r="D940" s="3"/>
      <c r="G940" s="3"/>
      <c r="J940" s="3"/>
    </row>
    <row r="941">
      <c r="A941" s="9"/>
      <c r="D941" s="3"/>
      <c r="G941" s="3"/>
      <c r="J941" s="3"/>
    </row>
    <row r="942">
      <c r="A942" s="9"/>
      <c r="D942" s="3"/>
      <c r="G942" s="3"/>
      <c r="J942" s="3"/>
    </row>
    <row r="943">
      <c r="A943" s="9"/>
      <c r="D943" s="3"/>
      <c r="G943" s="3"/>
      <c r="J943" s="3"/>
    </row>
    <row r="944">
      <c r="A944" s="9"/>
      <c r="D944" s="3"/>
      <c r="G944" s="3"/>
      <c r="J944" s="3"/>
    </row>
    <row r="945">
      <c r="A945" s="9"/>
      <c r="D945" s="3"/>
      <c r="G945" s="3"/>
      <c r="J945" s="3"/>
    </row>
    <row r="946">
      <c r="A946" s="9"/>
      <c r="D946" s="3"/>
      <c r="G946" s="3"/>
      <c r="J946" s="3"/>
    </row>
    <row r="947">
      <c r="A947" s="9"/>
      <c r="D947" s="3"/>
      <c r="G947" s="3"/>
      <c r="J947" s="3"/>
    </row>
    <row r="948">
      <c r="A948" s="9"/>
      <c r="D948" s="3"/>
      <c r="G948" s="3"/>
      <c r="J948" s="3"/>
    </row>
    <row r="949">
      <c r="A949" s="9"/>
      <c r="D949" s="3"/>
      <c r="G949" s="3"/>
      <c r="J949" s="3"/>
    </row>
    <row r="950">
      <c r="A950" s="9"/>
      <c r="D950" s="3"/>
      <c r="G950" s="3"/>
      <c r="J950" s="3"/>
    </row>
    <row r="951">
      <c r="A951" s="9"/>
      <c r="D951" s="3"/>
      <c r="G951" s="3"/>
      <c r="J951" s="3"/>
    </row>
    <row r="952">
      <c r="A952" s="9"/>
      <c r="D952" s="3"/>
      <c r="G952" s="3"/>
      <c r="J952" s="3"/>
    </row>
    <row r="953">
      <c r="A953" s="9"/>
      <c r="D953" s="3"/>
      <c r="G953" s="3"/>
      <c r="J953" s="3"/>
    </row>
    <row r="954">
      <c r="A954" s="9"/>
      <c r="D954" s="3"/>
      <c r="G954" s="3"/>
      <c r="J954" s="3"/>
    </row>
    <row r="955">
      <c r="A955" s="9"/>
      <c r="D955" s="3"/>
      <c r="G955" s="3"/>
      <c r="J955" s="3"/>
    </row>
    <row r="956">
      <c r="A956" s="9"/>
      <c r="D956" s="3"/>
      <c r="G956" s="3"/>
      <c r="J956" s="3"/>
    </row>
    <row r="957">
      <c r="A957" s="9"/>
      <c r="D957" s="3"/>
      <c r="G957" s="3"/>
      <c r="J957" s="3"/>
    </row>
    <row r="958">
      <c r="A958" s="9"/>
      <c r="D958" s="3"/>
      <c r="G958" s="3"/>
      <c r="J958" s="3"/>
    </row>
    <row r="959">
      <c r="A959" s="9"/>
      <c r="D959" s="3"/>
      <c r="G959" s="3"/>
      <c r="J959" s="3"/>
    </row>
    <row r="960">
      <c r="A960" s="9"/>
      <c r="D960" s="3"/>
      <c r="G960" s="3"/>
      <c r="J960" s="3"/>
    </row>
    <row r="961">
      <c r="A961" s="9"/>
      <c r="D961" s="3"/>
      <c r="G961" s="3"/>
      <c r="J961" s="3"/>
    </row>
    <row r="962">
      <c r="A962" s="9"/>
      <c r="D962" s="3"/>
      <c r="G962" s="3"/>
      <c r="J962" s="3"/>
    </row>
    <row r="963">
      <c r="A963" s="9"/>
      <c r="D963" s="3"/>
      <c r="G963" s="3"/>
      <c r="J963" s="3"/>
    </row>
    <row r="964">
      <c r="A964" s="9"/>
      <c r="D964" s="3"/>
      <c r="G964" s="3"/>
      <c r="J964" s="3"/>
    </row>
    <row r="965">
      <c r="A965" s="9"/>
      <c r="D965" s="3"/>
      <c r="G965" s="3"/>
      <c r="J965" s="3"/>
    </row>
    <row r="966">
      <c r="A966" s="9"/>
      <c r="D966" s="3"/>
      <c r="G966" s="3"/>
      <c r="J966" s="3"/>
    </row>
    <row r="967">
      <c r="A967" s="9"/>
      <c r="D967" s="3"/>
      <c r="G967" s="3"/>
      <c r="J967" s="3"/>
    </row>
    <row r="968">
      <c r="A968" s="9"/>
      <c r="D968" s="3"/>
      <c r="G968" s="3"/>
      <c r="J968" s="3"/>
    </row>
    <row r="969">
      <c r="A969" s="9"/>
      <c r="D969" s="3"/>
      <c r="G969" s="3"/>
      <c r="J969" s="3"/>
    </row>
    <row r="970">
      <c r="A970" s="9"/>
      <c r="D970" s="3"/>
      <c r="G970" s="3"/>
      <c r="J970" s="3"/>
    </row>
    <row r="971">
      <c r="A971" s="9"/>
      <c r="D971" s="3"/>
      <c r="G971" s="3"/>
      <c r="J971" s="3"/>
    </row>
    <row r="972">
      <c r="A972" s="9"/>
      <c r="D972" s="3"/>
      <c r="G972" s="3"/>
      <c r="J972" s="3"/>
    </row>
    <row r="973">
      <c r="A973" s="9"/>
      <c r="D973" s="3"/>
      <c r="G973" s="3"/>
      <c r="J973" s="3"/>
    </row>
    <row r="974">
      <c r="A974" s="9"/>
      <c r="D974" s="3"/>
      <c r="G974" s="3"/>
      <c r="J974" s="3"/>
    </row>
    <row r="975">
      <c r="A975" s="9"/>
      <c r="D975" s="3"/>
      <c r="G975" s="3"/>
      <c r="J975" s="3"/>
    </row>
    <row r="976">
      <c r="A976" s="9"/>
      <c r="D976" s="3"/>
      <c r="G976" s="3"/>
      <c r="J976" s="3"/>
    </row>
    <row r="977">
      <c r="A977" s="9"/>
      <c r="D977" s="3"/>
      <c r="G977" s="3"/>
      <c r="J977" s="3"/>
    </row>
    <row r="978">
      <c r="A978" s="9"/>
      <c r="D978" s="3"/>
      <c r="G978" s="3"/>
      <c r="J978" s="3"/>
    </row>
    <row r="979">
      <c r="A979" s="9"/>
      <c r="D979" s="3"/>
      <c r="G979" s="3"/>
      <c r="J979" s="3"/>
    </row>
    <row r="980">
      <c r="A980" s="9"/>
      <c r="D980" s="3"/>
      <c r="G980" s="3"/>
      <c r="J980" s="3"/>
    </row>
    <row r="981">
      <c r="A981" s="9"/>
      <c r="D981" s="3"/>
      <c r="G981" s="3"/>
      <c r="J981" s="3"/>
    </row>
    <row r="982">
      <c r="A982" s="9"/>
      <c r="D982" s="3"/>
      <c r="G982" s="3"/>
      <c r="J982" s="3"/>
    </row>
    <row r="983">
      <c r="A983" s="9"/>
      <c r="D983" s="3"/>
      <c r="G983" s="3"/>
      <c r="J983" s="3"/>
    </row>
    <row r="984">
      <c r="A984" s="9"/>
      <c r="D984" s="3"/>
      <c r="G984" s="3"/>
      <c r="J984" s="3"/>
    </row>
    <row r="985">
      <c r="A985" s="9"/>
      <c r="D985" s="3"/>
      <c r="G985" s="3"/>
      <c r="J985" s="3"/>
    </row>
    <row r="986">
      <c r="A986" s="9"/>
      <c r="D986" s="3"/>
      <c r="G986" s="3"/>
      <c r="J986" s="3"/>
    </row>
    <row r="987">
      <c r="A987" s="9"/>
      <c r="D987" s="3"/>
      <c r="G987" s="3"/>
      <c r="J987" s="3"/>
    </row>
    <row r="988">
      <c r="A988" s="9"/>
      <c r="D988" s="3"/>
      <c r="G988" s="3"/>
      <c r="J988" s="3"/>
    </row>
    <row r="989">
      <c r="A989" s="9"/>
      <c r="D989" s="3"/>
      <c r="G989" s="3"/>
      <c r="J989" s="3"/>
    </row>
    <row r="990">
      <c r="A990" s="9"/>
      <c r="D990" s="3"/>
      <c r="G990" s="3"/>
      <c r="J990" s="3"/>
    </row>
    <row r="991">
      <c r="A991" s="9"/>
      <c r="D991" s="3"/>
      <c r="G991" s="3"/>
      <c r="J991" s="3"/>
    </row>
    <row r="992">
      <c r="A992" s="9"/>
      <c r="D992" s="3"/>
      <c r="G992" s="3"/>
      <c r="J992" s="3"/>
    </row>
    <row r="993">
      <c r="A993" s="9"/>
      <c r="D993" s="3"/>
      <c r="G993" s="3"/>
      <c r="J993" s="3"/>
    </row>
    <row r="994">
      <c r="A994" s="9"/>
      <c r="D994" s="3"/>
      <c r="G994" s="3"/>
      <c r="J994" s="3"/>
    </row>
    <row r="995">
      <c r="A995" s="9"/>
      <c r="D995" s="3"/>
      <c r="G995" s="3"/>
      <c r="J995" s="3"/>
    </row>
    <row r="996">
      <c r="A996" s="9"/>
      <c r="D996" s="3"/>
      <c r="G996" s="3"/>
      <c r="J996" s="3"/>
    </row>
    <row r="997">
      <c r="A997" s="9"/>
      <c r="D997" s="3"/>
      <c r="G997" s="3"/>
      <c r="J997" s="3"/>
    </row>
    <row r="998">
      <c r="A998" s="9"/>
      <c r="D998" s="3"/>
      <c r="G998" s="3"/>
      <c r="J998" s="3"/>
    </row>
    <row r="999">
      <c r="A999" s="9"/>
      <c r="D999" s="3"/>
      <c r="G999" s="3"/>
      <c r="J999" s="3"/>
    </row>
    <row r="1000">
      <c r="A1000" s="9"/>
      <c r="D1000" s="3"/>
      <c r="G1000" s="3"/>
      <c r="J1000" s="3"/>
    </row>
  </sheetData>
  <drawing r:id="rId1"/>
</worksheet>
</file>