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5"/>
  </sheets>
  <definedNames/>
  <calcPr/>
</workbook>
</file>

<file path=xl/sharedStrings.xml><?xml version="1.0" encoding="utf-8"?>
<sst xmlns="http://schemas.openxmlformats.org/spreadsheetml/2006/main" count="22" uniqueCount="22">
  <si>
    <t>KOSONG</t>
  </si>
  <si>
    <t>PRIBADI</t>
  </si>
  <si>
    <t>PRODUKSI</t>
  </si>
  <si>
    <t>EXSPEDISI</t>
  </si>
  <si>
    <t>V_SALES</t>
  </si>
  <si>
    <t>OPERASIONAL</t>
  </si>
  <si>
    <t>NURUL_AINI</t>
  </si>
  <si>
    <t>TOTAL DEBIT</t>
  </si>
  <si>
    <t>KREDIT</t>
  </si>
  <si>
    <t>SELISIH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</si>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</sst>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7.25"/>
    <col customWidth="1" min="3" max="3" width="17.0"/>
    <col customWidth="1" min="4" max="7" width="19.25"/>
    <col customWidth="1" min="8" max="9" width="19.75"/>
    <col customWidth="1" min="10" max="11" width="23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1" t="s">
        <v>10</v>
      </c>
      <c r="B2" s="3">
        <f>IFERROR(__xludf.DUMMYFUNCTION("IMPORTRANGE(""1e8Og97M5gTTlR7NUWk6YDLocZEZJg6ypCFLp_2mtl6w"", ""KOSONG!J1"")"),0.0)</f>
        <v>0</v>
      </c>
      <c r="C2" s="3">
        <f>IFERROR(__xludf.DUMMYFUNCTION("IMPORTRANGE(""1e8Og97M5gTTlR7NUWk6YDLocZEZJg6ypCFLp_2mtl6w"", ""PRIBADI!J1"")"),1.809265E7)</f>
        <v>18092650</v>
      </c>
      <c r="D2" s="3">
        <f>IFERROR(__xludf.DUMMYFUNCTION("IMPORTRANGE(""1e8Og97M5gTTlR7NUWk6YDLocZEZJg6ypCFLp_2mtl6w"", ""PRODUKSI!J1"")"),2.039603024E10)</f>
        <v>20396030240</v>
      </c>
      <c r="E2" s="3">
        <f>IFERROR(__xludf.DUMMYFUNCTION("IMPORTRANGE(""1e8Og97M5gTTlR7NUWk6YDLocZEZJg6ypCFLp_2mtl6w"", ""EXSPEDISI!J1"")"),3.1569612E8)</f>
        <v>315696120</v>
      </c>
      <c r="F2" s="3">
        <f>IFERROR(__xludf.DUMMYFUNCTION("IMPORTRANGE(""1e8Og97M5gTTlR7NUWk6YDLocZEZJg6ypCFLp_2mtl6w"", ""V_SALES!J1"")"),5.607391E7)</f>
        <v>56073910</v>
      </c>
      <c r="G2" s="3">
        <f>IFERROR(__xludf.DUMMYFUNCTION("IMPORTRANGE(""1e8Og97M5gTTlR7NUWk6YDLocZEZJg6ypCFLp_2mtl6w"", ""OPERASIONAL!J1"")"),0.0)</f>
        <v>0</v>
      </c>
      <c r="H2" s="3">
        <f>IFERROR(__xludf.DUMMYFUNCTION("IMPORTRANGE(""1e8Og97M5gTTlR7NUWk6YDLocZEZJg6ypCFLp_2mtl6w"", ""NURUL_AINI!J1"")"),3.7749E7)</f>
        <v>37749000</v>
      </c>
      <c r="I2" s="3">
        <f t="shared" ref="I2:I13" si="1">SUM(B2:D2)</f>
        <v>20414122890</v>
      </c>
      <c r="J2" s="3">
        <f>IFERROR(__xludf.DUMMYFUNCTION("IMPORTRANGE(""1e8Og97M5gTTlR7NUWk6YDLocZEZJg6ypCFLp_2mtl6w"", ""JAN_2023!E2"")"),1.9994920021E10)</f>
        <v>19994920021</v>
      </c>
      <c r="K2" s="3">
        <f t="shared" ref="K2:K13" si="2">J2-I2</f>
        <v>-419202869</v>
      </c>
    </row>
    <row r="3">
      <c r="A3" s="1" t="s">
        <v>11</v>
      </c>
      <c r="B3" s="3">
        <f>IFERROR(__xludf.DUMMYFUNCTION("IMPORTRANGE(""1Usdw8EMDpJBlDv1zkcteoj8tEgRmocNHuPmOeSm0s5Q"", ""KOSONG!J1"")"),0.0)</f>
        <v>0</v>
      </c>
      <c r="C3" s="3">
        <f>IFERROR(__xludf.DUMMYFUNCTION("IMPORTRANGE(""1Usdw8EMDpJBlDv1zkcteoj8tEgRmocNHuPmOeSm0s5Q"", ""PRIBADI!J1"")"),3.421941E7)</f>
        <v>34219410</v>
      </c>
      <c r="D3" s="3">
        <f>IFERROR(__xludf.DUMMYFUNCTION("IMPORTRANGE(""1Usdw8EMDpJBlDv1zkcteoj8tEgRmocNHuPmOeSm0s5Q"", ""PRODUKSI!J1"")"),1.569559414E10)</f>
        <v>15695594140</v>
      </c>
      <c r="E3" s="3">
        <f>IFERROR(__xludf.DUMMYFUNCTION("IMPORTRANGE(""1Usdw8EMDpJBlDv1zkcteoj8tEgRmocNHuPmOeSm0s5Q"", ""EXSPEDISI!J1"")"),1.9044025E8)</f>
        <v>190440250</v>
      </c>
      <c r="F3" s="3">
        <f>IFERROR(__xludf.DUMMYFUNCTION("IMPORTRANGE(""1Usdw8EMDpJBlDv1zkcteoj8tEgRmocNHuPmOeSm0s5Q"", ""V_SALES!J1"")"),3.985494E7)</f>
        <v>39854940</v>
      </c>
      <c r="G3" s="3">
        <f>IFERROR(__xludf.DUMMYFUNCTION("IMPORTRANGE(""1Usdw8EMDpJBlDv1zkcteoj8tEgRmocNHuPmOeSm0s5Q"", ""OPERASIONAL!J1"")"),0.0)</f>
        <v>0</v>
      </c>
      <c r="H3" s="3">
        <f>IFERROR(__xludf.DUMMYFUNCTION("IMPORTRANGE(""1Usdw8EMDpJBlDv1zkcteoj8tEgRmocNHuPmOeSm0s5Q"", ""NURUL_AINI!J1"")"),3160000.0)</f>
        <v>3160000</v>
      </c>
      <c r="I3" s="3">
        <f t="shared" si="1"/>
        <v>15729813550</v>
      </c>
      <c r="J3" s="3">
        <f>IFERROR(__xludf.DUMMYFUNCTION("IMPORTRANGE(""1Usdw8EMDpJBlDv1zkcteoj8tEgRmocNHuPmOeSm0s5Q"", ""FEB_2023!E2"")"),1.6211810577E10)</f>
        <v>16211810577</v>
      </c>
      <c r="K3" s="3">
        <f t="shared" si="2"/>
        <v>481997027</v>
      </c>
    </row>
    <row r="4">
      <c r="A4" s="1" t="s">
        <v>12</v>
      </c>
      <c r="B4" s="3">
        <f>IFERROR(__xludf.DUMMYFUNCTION("IMPORTRANGE(""14VmCTjGRZ4jkWWz2LcnttoLb-kaUPgo86bjOezQBlV4"", ""KOSONG!J1"")"),0.0)</f>
        <v>0</v>
      </c>
      <c r="C4" s="3">
        <f>IFERROR(__xludf.DUMMYFUNCTION("IMPORTRANGE(""14VmCTjGRZ4jkWWz2LcnttoLb-kaUPgo86bjOezQBlV4"", ""PRIBADI!J1"")"),1.54147E7)</f>
        <v>15414700</v>
      </c>
      <c r="D4" s="3">
        <f>IFERROR(__xludf.DUMMYFUNCTION("IMPORTRANGE(""14VmCTjGRZ4jkWWz2LcnttoLb-kaUPgo86bjOezQBlV4"", ""PRODUKSI!J1"")"),1.633993432979E10)</f>
        <v>16339934330</v>
      </c>
      <c r="E4" s="3">
        <f>IFERROR(__xludf.DUMMYFUNCTION("IMPORTRANGE(""14VmCTjGRZ4jkWWz2LcnttoLb-kaUPgo86bjOezQBlV4"", ""EXSPEDISI!J1"")"),3.0785707E8)</f>
        <v>307857070</v>
      </c>
      <c r="F4" s="3">
        <f>IFERROR(__xludf.DUMMYFUNCTION("IMPORTRANGE(""14VmCTjGRZ4jkWWz2LcnttoLb-kaUPgo86bjOezQBlV4"", ""V_SALES!J1"")"),1.045326E7)</f>
        <v>10453260</v>
      </c>
      <c r="G4" s="3">
        <f>IFERROR(__xludf.DUMMYFUNCTION("IMPORTRANGE(""14VmCTjGRZ4jkWWz2LcnttoLb-kaUPgo86bjOezQBlV4"", ""OPERASIONAL!J1"")"),0.0)</f>
        <v>0</v>
      </c>
      <c r="H4" s="3">
        <f>IFERROR(__xludf.DUMMYFUNCTION("IMPORTRANGE(""14VmCTjGRZ4jkWWz2LcnttoLb-kaUPgo86bjOezQBlV4"", ""NURUL_AINI!J1"")"),2855000.0)</f>
        <v>2855000</v>
      </c>
      <c r="I4" s="3">
        <f t="shared" si="1"/>
        <v>16355349030</v>
      </c>
      <c r="J4" s="3">
        <f>IFERROR(__xludf.DUMMYFUNCTION("IMPORTRANGE(""14VmCTjGRZ4jkWWz2LcnttoLb-kaUPgo86bjOezQBlV4"", ""MAR_2023!E2"")"),1.6688531845E10)</f>
        <v>16688531845</v>
      </c>
      <c r="K4" s="3">
        <f t="shared" si="2"/>
        <v>333182815.2</v>
      </c>
    </row>
    <row r="5">
      <c r="A5" s="1" t="s">
        <v>13</v>
      </c>
      <c r="B5" s="3">
        <f>IFERROR(__xludf.DUMMYFUNCTION("IMPORTRANGE(""1k6aOukMobmd-kJdoNI1uMNLSTH67-63xOByr2mlT7To"", ""KOSONG!J1"")"),5.172872759E9)</f>
        <v>5172872759</v>
      </c>
      <c r="C5" s="3">
        <f>IFERROR(__xludf.DUMMYFUNCTION("IMPORTRANGE(""1k6aOukMobmd-kJdoNI1uMNLSTH67-63xOByr2mlT7To"", ""PRIBADI!J1"")"),7.6157111218E8)</f>
        <v>761571112.2</v>
      </c>
      <c r="D5" s="3">
        <f>IFERROR(__xludf.DUMMYFUNCTION("IMPORTRANGE(""1k6aOukMobmd-kJdoNI1uMNLSTH67-63xOByr2mlT7To"", ""PRODUKSI!J1"")"),3.46065548E9)</f>
        <v>3460655480</v>
      </c>
      <c r="E5" s="3">
        <f>IFERROR(__xludf.DUMMYFUNCTION("IMPORTRANGE(""1k6aOukMobmd-kJdoNI1uMNLSTH67-63xOByr2mlT7To"", ""EXSPEDISI!J1"")"),3.56216E7)</f>
        <v>35621600</v>
      </c>
      <c r="F5" s="3">
        <f>IFERROR(__xludf.DUMMYFUNCTION("IMPORTRANGE(""1k6aOukMobmd-kJdoNI1uMNLSTH67-63xOByr2mlT7To"", ""V_SALES!J1"")"),4.73511E7)</f>
        <v>47351100</v>
      </c>
      <c r="G5" s="3">
        <f>IFERROR(__xludf.DUMMYFUNCTION("IMPORTRANGE(""1k6aOukMobmd-kJdoNI1uMNLSTH67-63xOByr2mlT7To"", ""OPERASIONAL!J1"")"),5.18035E7)</f>
        <v>51803500</v>
      </c>
      <c r="H5" s="3">
        <f>IFERROR(__xludf.DUMMYFUNCTION("IMPORTRANGE(""1k6aOukMobmd-kJdoNI1uMNLSTH67-63xOByr2mlT7To"", ""NURUL_AINI!J1"")"),5799280.0)</f>
        <v>5799280</v>
      </c>
      <c r="I5" s="3">
        <f t="shared" si="1"/>
        <v>9395099351</v>
      </c>
      <c r="J5" s="3">
        <f>IFERROR(__xludf.DUMMYFUNCTION("IMPORTRANGE(""1k6aOukMobmd-kJdoNI1uMNLSTH67-63xOByr2mlT7To"", ""APR_2023!E2"")"),9.780783245E9)</f>
        <v>9780783245</v>
      </c>
      <c r="K5" s="3">
        <f t="shared" si="2"/>
        <v>385683893.8</v>
      </c>
    </row>
    <row r="6">
      <c r="A6" s="1" t="s">
        <v>14</v>
      </c>
      <c r="B6" s="3">
        <f>IFERROR(__xludf.DUMMYFUNCTION("IMPORTRANGE(""1--0ZS9CxyYGA0moxG8xUiywvORuaMLbBDv3w3aSx-Og"", ""KOSONG!J1"")"),6.99701532E9)</f>
        <v>6997015320</v>
      </c>
      <c r="C6" s="3">
        <f>IFERROR(__xludf.DUMMYFUNCTION("IMPORTRANGE(""1--0ZS9CxyYGA0moxG8xUiywvORuaMLbBDv3w3aSx-Og"", ""PRIBADI!J1"")"),5.65104155E9)</f>
        <v>5651041550</v>
      </c>
      <c r="D6" s="3">
        <f>IFERROR(__xludf.DUMMYFUNCTION("IMPORTRANGE(""1--0ZS9CxyYGA0moxG8xUiywvORuaMLbBDv3w3aSx-Og"", ""PRODUKSI!J1"")"),4.27212463E9)</f>
        <v>4272124630</v>
      </c>
      <c r="E6" s="3">
        <f>IFERROR(__xludf.DUMMYFUNCTION("IMPORTRANGE(""1--0ZS9CxyYGA0moxG8xUiywvORuaMLbBDv3w3aSx-Og"", ""EXSPEDISI!J1"")"),1.0E8)</f>
        <v>100000000</v>
      </c>
      <c r="F6" s="3">
        <f>IFERROR(__xludf.DUMMYFUNCTION("IMPORTRANGE(""1--0ZS9CxyYGA0moxG8xUiywvORuaMLbBDv3w3aSx-Og"", ""V_SALES!J1"")"),1.49053E7)</f>
        <v>14905300</v>
      </c>
      <c r="G6" s="3">
        <f>IFERROR(__xludf.DUMMYFUNCTION("IMPORTRANGE(""1--0ZS9CxyYGA0moxG8xUiywvORuaMLbBDv3w3aSx-Og"", ""OPERASIONAL!J1"")"),1000000.0)</f>
        <v>1000000</v>
      </c>
      <c r="H6" s="3">
        <f>IFERROR(__xludf.DUMMYFUNCTION("IMPORTRANGE(""1--0ZS9CxyYGA0moxG8xUiywvORuaMLbBDv3w3aSx-Og"", ""NURUL_AINI!J1"")"),200000.0)</f>
        <v>200000</v>
      </c>
      <c r="I6" s="3">
        <f t="shared" si="1"/>
        <v>16920181500</v>
      </c>
      <c r="J6" s="3">
        <f>IFERROR(__xludf.DUMMYFUNCTION("IMPORTRANGE(""1--0ZS9CxyYGA0moxG8xUiywvORuaMLbBDv3w3aSx-Og"", ""MEI_2023!E2"")"),1.703726555277E10)</f>
        <v>17037265553</v>
      </c>
      <c r="K6" s="3">
        <f t="shared" si="2"/>
        <v>117084052.8</v>
      </c>
    </row>
    <row r="7">
      <c r="A7" s="1" t="s">
        <v>15</v>
      </c>
      <c r="B7" s="3">
        <f>IFERROR(__xludf.DUMMYFUNCTION("IMPORTRANGE(""1JjCM1NiVYyoRVdG7XrbdLV5j4TxqhRcJ5dfISwsJbM4"", ""KOSONG!J1"")"),0.0)</f>
        <v>0</v>
      </c>
      <c r="C7" s="3">
        <f>IFERROR(__xludf.DUMMYFUNCTION("IMPORTRANGE(""1JjCM1NiVYyoRVdG7XrbdLV5j4TxqhRcJ5dfISwsJbM4"", ""PRIBADI!J1"")"),2.6886826E7)</f>
        <v>26886826</v>
      </c>
      <c r="D7" s="3">
        <f>IFERROR(__xludf.DUMMYFUNCTION("IMPORTRANGE(""1JjCM1NiVYyoRVdG7XrbdLV5j4TxqhRcJ5dfISwsJbM4"", ""PRODUKSI!J1"")"),2.289230305E10)</f>
        <v>22892303050</v>
      </c>
      <c r="E7" s="3">
        <f>IFERROR(__xludf.DUMMYFUNCTION("IMPORTRANGE(""1JjCM1NiVYyoRVdG7XrbdLV5j4TxqhRcJ5dfISwsJbM4"", ""EXSPEDISI!J1"")"),4.50012965E8)</f>
        <v>450012965</v>
      </c>
      <c r="F7" s="3">
        <f>IFERROR(__xludf.DUMMYFUNCTION("IMPORTRANGE(""1JjCM1NiVYyoRVdG7XrbdLV5j4TxqhRcJ5dfISwsJbM4"", ""V_SALES!J1"")"),1.6949405E7)</f>
        <v>16949405</v>
      </c>
      <c r="G7" s="3">
        <f>IFERROR(__xludf.DUMMYFUNCTION("IMPORTRANGE(""1JjCM1NiVYyoRVdG7XrbdLV5j4TxqhRcJ5dfISwsJbM4"", ""OPERASIONAL!J1"")"),0.0)</f>
        <v>0</v>
      </c>
      <c r="H7" s="3">
        <f>IFERROR(__xludf.DUMMYFUNCTION("IMPORTRANGE(""1JjCM1NiVYyoRVdG7XrbdLV5j4TxqhRcJ5dfISwsJbM4"", ""NURUL_AINI!J1"")"),4755000.0)</f>
        <v>4755000</v>
      </c>
      <c r="I7" s="3">
        <f t="shared" si="1"/>
        <v>22919189876</v>
      </c>
      <c r="J7" s="3">
        <f>IFERROR(__xludf.DUMMYFUNCTION("IMPORTRANGE(""1JjCM1NiVYyoRVdG7XrbdLV5j4TxqhRcJ5dfISwsJbM4"", ""JUN_2023!E2"")"),2.367482470569E10)</f>
        <v>23674824706</v>
      </c>
      <c r="K7" s="3">
        <f t="shared" si="2"/>
        <v>755634829.7</v>
      </c>
    </row>
    <row r="8">
      <c r="A8" s="1" t="s">
        <v>16</v>
      </c>
      <c r="B8" s="3">
        <f>IFERROR(__xludf.DUMMYFUNCTION("IMPORTRANGE(""1HrDJRSKH7asVVlOGn4Op1MH4Rr8itXoJpVId6WGUERA"", ""KOSONG!J1"")"),8.527061155E9)</f>
        <v>8527061155</v>
      </c>
      <c r="C8" s="3">
        <f>IFERROR(__xludf.DUMMYFUNCTION("IMPORTRANGE(""1HrDJRSKH7asVVlOGn4Op1MH4Rr8itXoJpVId6WGUERA"", ""PRIBADI!J1"")"),1.156303066257E10)</f>
        <v>11563030663</v>
      </c>
      <c r="D8" s="3">
        <f>IFERROR(__xludf.DUMMYFUNCTION("IMPORTRANGE(""1HrDJRSKH7asVVlOGn4Op1MH4Rr8itXoJpVId6WGUERA"", ""PRODUKSI!J1"")"),6.0993207E9)</f>
        <v>6099320700</v>
      </c>
      <c r="E8" s="3">
        <f>IFERROR(__xludf.DUMMYFUNCTION("IMPORTRANGE(""1HrDJRSKH7asVVlOGn4Op1MH4Rr8itXoJpVId6WGUERA"", ""EXSPEDISI!J1"")"),0.0)</f>
        <v>0</v>
      </c>
      <c r="F8" s="3">
        <f>IFERROR(__xludf.DUMMYFUNCTION("IMPORTRANGE(""1HrDJRSKH7asVVlOGn4Op1MH4Rr8itXoJpVId6WGUERA"", ""V_SALES!J1"")"),0.0)</f>
        <v>0</v>
      </c>
      <c r="G8" s="3">
        <f>IFERROR(__xludf.DUMMYFUNCTION("IMPORTRANGE(""1HrDJRSKH7asVVlOGn4Op1MH4Rr8itXoJpVId6WGUERA"", ""OPERASIONAL!J1"")"),0.0)</f>
        <v>0</v>
      </c>
      <c r="H8" s="3">
        <f>IFERROR(__xludf.DUMMYFUNCTION("IMPORTRANGE(""1HrDJRSKH7asVVlOGn4Op1MH4Rr8itXoJpVId6WGUERA"", ""NURUL_AINI!J1"")"),0.0)</f>
        <v>0</v>
      </c>
      <c r="I8" s="3">
        <f t="shared" si="1"/>
        <v>26189412518</v>
      </c>
      <c r="J8" s="3">
        <f>IFERROR(__xludf.DUMMYFUNCTION("IMPORTRANGE(""1HrDJRSKH7asVVlOGn4Op1MH4Rr8itXoJpVId6WGUERA"", ""JUL_2023!E2"")"),2.668652787783E10)</f>
        <v>26686527878</v>
      </c>
      <c r="K8" s="3">
        <f t="shared" si="2"/>
        <v>497115360.3</v>
      </c>
    </row>
    <row r="9">
      <c r="A9" s="1" t="s">
        <v>17</v>
      </c>
      <c r="B9" s="3">
        <f>IFERROR(__xludf.DUMMYFUNCTION("IMPORTRANGE(""11NzCKoEjr0JvWkTopOqkOxqi8yw3M1aAKzPnbsX3nfo"", ""KOSONG!J1"")"),7.667137393E9)</f>
        <v>7667137393</v>
      </c>
      <c r="C9" s="3">
        <f>IFERROR(__xludf.DUMMYFUNCTION("IMPORTRANGE(""11NzCKoEjr0JvWkTopOqkOxqi8yw3M1aAKzPnbsX3nfo"", ""PRIBADI!J1"")"),1.2150447045E10)</f>
        <v>12150447045</v>
      </c>
      <c r="D9" s="3">
        <f>IFERROR(__xludf.DUMMYFUNCTION("IMPORTRANGE(""11NzCKoEjr0JvWkTopOqkOxqi8yw3M1aAKzPnbsX3nfo"", ""PRODUKSI!J1"")"),5.778595567E9)</f>
        <v>5778595567</v>
      </c>
      <c r="E9" s="3">
        <f>IFERROR(__xludf.DUMMYFUNCTION("IMPORTRANGE(""11NzCKoEjr0JvWkTopOqkOxqi8yw3M1aAKzPnbsX3nfo"", ""EXSPEDISI!J1"")"),0.0)</f>
        <v>0</v>
      </c>
      <c r="F9" s="3">
        <f>IFERROR(__xludf.DUMMYFUNCTION("IMPORTRANGE(""11NzCKoEjr0JvWkTopOqkOxqi8yw3M1aAKzPnbsX3nfo"", ""V_SALES!J1"")"),0.0)</f>
        <v>0</v>
      </c>
      <c r="G9" s="3">
        <f>IFERROR(__xludf.DUMMYFUNCTION("IMPORTRANGE(""11NzCKoEjr0JvWkTopOqkOxqi8yw3M1aAKzPnbsX3nfo"", ""OPERASIONAL!J1"")"),0.0)</f>
        <v>0</v>
      </c>
      <c r="H9" s="3">
        <f>IFERROR(__xludf.DUMMYFUNCTION("IMPORTRANGE(""11NzCKoEjr0JvWkTopOqkOxqi8yw3M1aAKzPnbsX3nfo"", ""NURUL_AINI!J1"")"),0.0)</f>
        <v>0</v>
      </c>
      <c r="I9" s="3">
        <f t="shared" si="1"/>
        <v>25596180005</v>
      </c>
      <c r="J9" s="3">
        <f>IFERROR(__xludf.DUMMYFUNCTION("IMPORTRANGE(""11NzCKoEjr0JvWkTopOqkOxqi8yw3M1aAKzPnbsX3nfo"", ""AGU_2023!E2"")"),2.5551500679E10)</f>
        <v>25551500679</v>
      </c>
      <c r="K9" s="3">
        <f t="shared" si="2"/>
        <v>-44679326</v>
      </c>
    </row>
    <row r="10">
      <c r="A10" s="1" t="s">
        <v>18</v>
      </c>
      <c r="B10" s="3">
        <f>IFERROR(__xludf.DUMMYFUNCTION("IMPORTRANGE(""1cA4rBuF5tSFYz1SbMBcJlIZBZ2Iy75jK3A9WReeHZew"", ""KOSONG!J1"")"),7.518808889E9)</f>
        <v>7518808889</v>
      </c>
      <c r="C10" s="3">
        <f>IFERROR(__xludf.DUMMYFUNCTION("IMPORTRANGE(""1cA4rBuF5tSFYz1SbMBcJlIZBZ2Iy75jK3A9WReeHZew"", ""PRIBADI!J1"")"),1.136508525238E10)</f>
        <v>11365085252</v>
      </c>
      <c r="D10" s="3">
        <f>IFERROR(__xludf.DUMMYFUNCTION("IMPORTRANGE(""1cA4rBuF5tSFYz1SbMBcJlIZBZ2Iy75jK3A9WReeHZew"", ""PRODUKSI!J1"")"),4.09824317E9)</f>
        <v>4098243170</v>
      </c>
      <c r="E10" s="3">
        <f>IFERROR(__xludf.DUMMYFUNCTION("IMPORTRANGE(""1cA4rBuF5tSFYz1SbMBcJlIZBZ2Iy75jK3A9WReeHZew"", ""EXSPEDISI!J1"")"),0.0)</f>
        <v>0</v>
      </c>
      <c r="F10" s="3">
        <f>IFERROR(__xludf.DUMMYFUNCTION("IMPORTRANGE(""1cA4rBuF5tSFYz1SbMBcJlIZBZ2Iy75jK3A9WReeHZew"", ""V_SALES!J1"")"),0.0)</f>
        <v>0</v>
      </c>
      <c r="G10" s="3">
        <f>IFERROR(__xludf.DUMMYFUNCTION("IMPORTRANGE(""1cA4rBuF5tSFYz1SbMBcJlIZBZ2Iy75jK3A9WReeHZew"", ""OPERASIONAL!J1"")"),0.0)</f>
        <v>0</v>
      </c>
      <c r="H10" s="3">
        <f>IFERROR(__xludf.DUMMYFUNCTION("IMPORTRANGE(""1cA4rBuF5tSFYz1SbMBcJlIZBZ2Iy75jK3A9WReeHZew"", ""NURUL_AINI!J1"")"),0.0)</f>
        <v>0</v>
      </c>
      <c r="I10" s="3">
        <f t="shared" si="1"/>
        <v>22982137311</v>
      </c>
      <c r="J10" s="3" t="str">
        <f>IFERROR(__xludf.DUMMYFUNCTION("IMPORTRANGE(""1cA4rBuF5tSFYz1SbMBcJlIZBZ2Iy75jK3A9WReeHZew"", ""SEP_2023!E2"")"),"")</f>
        <v/>
      </c>
      <c r="K10" s="3">
        <f t="shared" si="2"/>
        <v>-22982137311</v>
      </c>
    </row>
    <row r="11">
      <c r="A11" s="1" t="s">
        <v>19</v>
      </c>
      <c r="B11" s="3">
        <f>IFERROR(__xludf.DUMMYFUNCTION("IMPORTRANGE(""1kLaUw3mazHJr0c-BcP7JXPVSKmx54dH8JfgbwYZDaNo"", ""KOSONG!J1"")"),6.683315546E9)</f>
        <v>6683315546</v>
      </c>
      <c r="C11" s="3">
        <f>IFERROR(__xludf.DUMMYFUNCTION("IMPORTRANGE(""1kLaUw3mazHJr0c-BcP7JXPVSKmx54dH8JfgbwYZDaNo"", ""PRIBADI!J1"")"),8.97023804752E9)</f>
        <v>8970238048</v>
      </c>
      <c r="D11" s="3">
        <f>IFERROR(__xludf.DUMMYFUNCTION("IMPORTRANGE(""1kLaUw3mazHJr0c-BcP7JXPVSKmx54dH8JfgbwYZDaNo"", ""PRODUKSI!J1"")"),4.2126348E9)</f>
        <v>4212634800</v>
      </c>
      <c r="E11" s="3">
        <f>IFERROR(__xludf.DUMMYFUNCTION("IMPORTRANGE(""1kLaUw3mazHJr0c-BcP7JXPVSKmx54dH8JfgbwYZDaNo"", ""EXSPEDISI!J1"")"),0.0)</f>
        <v>0</v>
      </c>
      <c r="F11" s="3">
        <f>IFERROR(__xludf.DUMMYFUNCTION("IMPORTRANGE(""1kLaUw3mazHJr0c-BcP7JXPVSKmx54dH8JfgbwYZDaNo"", ""V_SALES!J1"")"),0.0)</f>
        <v>0</v>
      </c>
      <c r="G11" s="3">
        <f>IFERROR(__xludf.DUMMYFUNCTION("IMPORTRANGE(""1kLaUw3mazHJr0c-BcP7JXPVSKmx54dH8JfgbwYZDaNo"", ""OPERASIONAL!J1"")"),0.0)</f>
        <v>0</v>
      </c>
      <c r="H11" s="3">
        <f>IFERROR(__xludf.DUMMYFUNCTION("IMPORTRANGE(""1kLaUw3mazHJr0c-BcP7JXPVSKmx54dH8JfgbwYZDaNo"", ""NURUL_AINI!J1"")"),0.0)</f>
        <v>0</v>
      </c>
      <c r="I11" s="3">
        <f t="shared" si="1"/>
        <v>19866188394</v>
      </c>
      <c r="J11" s="3">
        <f>IFERROR(__xludf.DUMMYFUNCTION("IMPORTRANGE(""1kLaUw3mazHJr0c-BcP7JXPVSKmx54dH8JfgbwYZDaNo"", ""OKT_2023!E2"")"),1.994808443362E10)</f>
        <v>19948084434</v>
      </c>
      <c r="K11" s="3">
        <f t="shared" si="2"/>
        <v>81896040.1</v>
      </c>
    </row>
    <row r="12">
      <c r="A12" s="1" t="s">
        <v>20</v>
      </c>
      <c r="B12" s="3">
        <f>IFERROR(__xludf.DUMMYFUNCTION("IMPORTRANGE(""1W1z_Jz1FMdBB4DbqLI3QQfmLHBAAA1NEA2-iarT1F-c"", ""KOSONG!J1"")"),6.209773025E9)</f>
        <v>6209773025</v>
      </c>
      <c r="C12" s="3">
        <f>IFERROR(__xludf.DUMMYFUNCTION("IMPORTRANGE(""1W1z_Jz1FMdBB4DbqLI3QQfmLHBAAA1NEA2-iarT1F-c"", ""PRIBADI!J1"")"),9.7978730201E9)</f>
        <v>9797873020</v>
      </c>
      <c r="D12" s="3">
        <f>IFERROR(__xludf.DUMMYFUNCTION("IMPORTRANGE(""1W1z_Jz1FMdBB4DbqLI3QQfmLHBAAA1NEA2-iarT1F-c"", ""PRODUKSI!J1"")"),4.339884646E9)</f>
        <v>4339884646</v>
      </c>
      <c r="E12" s="3">
        <f>IFERROR(__xludf.DUMMYFUNCTION("IMPORTRANGE(""1W1z_Jz1FMdBB4DbqLI3QQfmLHBAAA1NEA2-iarT1F-c"", ""EXSPEDISI!J1"")"),0.0)</f>
        <v>0</v>
      </c>
      <c r="F12" s="3">
        <f>IFERROR(__xludf.DUMMYFUNCTION("IMPORTRANGE(""1W1z_Jz1FMdBB4DbqLI3QQfmLHBAAA1NEA2-iarT1F-c"", ""V_SALES!J1"")"),0.0)</f>
        <v>0</v>
      </c>
      <c r="G12" s="3">
        <f>IFERROR(__xludf.DUMMYFUNCTION("IMPORTRANGE(""1W1z_Jz1FMdBB4DbqLI3QQfmLHBAAA1NEA2-iarT1F-c"", ""OPERASIONAL!J1"")"),0.0)</f>
        <v>0</v>
      </c>
      <c r="H12" s="3">
        <f>IFERROR(__xludf.DUMMYFUNCTION("IMPORTRANGE(""1W1z_Jz1FMdBB4DbqLI3QQfmLHBAAA1NEA2-iarT1F-c"", ""NURUL_AINI!J1"")"),0.0)</f>
        <v>0</v>
      </c>
      <c r="I12" s="3">
        <f t="shared" si="1"/>
        <v>20347530691</v>
      </c>
      <c r="J12" s="3">
        <f>IFERROR(__xludf.DUMMYFUNCTION("IMPORTRANGE(""1W1z_Jz1FMdBB4DbqLI3QQfmLHBAAA1NEA2-iarT1F-c"", ""NOV_2023!E2"")"),2.046562833286E10)</f>
        <v>20465628333</v>
      </c>
      <c r="K12" s="3">
        <f t="shared" si="2"/>
        <v>118097641.8</v>
      </c>
    </row>
    <row r="13">
      <c r="A13" s="1" t="s">
        <v>21</v>
      </c>
      <c r="B13" s="3">
        <f>IFERROR(__xludf.DUMMYFUNCTION("IMPORTRANGE(""1jLLM7RowyAlqW8_utve-PxKKawTbcRuWVtKmI2wg8Ww"", ""KOSONG!J1"")"),5.277720987E9)</f>
        <v>5277720987</v>
      </c>
      <c r="C13" s="3">
        <f>IFERROR(__xludf.DUMMYFUNCTION("IMPORTRANGE(""1jLLM7RowyAlqW8_utve-PxKKawTbcRuWVtKmI2wg8Ww"", ""PRIBADI!J1"")"),8.78460836073E9)</f>
        <v>8784608361</v>
      </c>
      <c r="D13" s="3">
        <f>IFERROR(__xludf.DUMMYFUNCTION("IMPORTRANGE(""1jLLM7RowyAlqW8_utve-PxKKawTbcRuWVtKmI2wg8Ww"", ""PRODUKSI!J1"")"),4.44653443E9)</f>
        <v>4446534430</v>
      </c>
      <c r="E13" s="3">
        <f>IFERROR(__xludf.DUMMYFUNCTION("IMPORTRANGE(""1jLLM7RowyAlqW8_utve-PxKKawTbcRuWVtKmI2wg8Ww"", ""EXSPEDISI!J1"")"),0.0)</f>
        <v>0</v>
      </c>
      <c r="F13" s="3">
        <f>IFERROR(__xludf.DUMMYFUNCTION("IMPORTRANGE(""1jLLM7RowyAlqW8_utve-PxKKawTbcRuWVtKmI2wg8Ww"", ""V_SALES!J1"")"),0.0)</f>
        <v>0</v>
      </c>
      <c r="G13" s="3">
        <f>IFERROR(__xludf.DUMMYFUNCTION("IMPORTRANGE(""1jLLM7RowyAlqW8_utve-PxKKawTbcRuWVtKmI2wg8Ww"", ""OPERASIONAL!J1"")"),0.0)</f>
        <v>0</v>
      </c>
      <c r="H13" s="3">
        <f>IFERROR(__xludf.DUMMYFUNCTION("IMPORTRANGE(""1jLLM7RowyAlqW8_utve-PxKKawTbcRuWVtKmI2wg8Ww"", ""NURUL_AINI!J1"")"),0.0)</f>
        <v>0</v>
      </c>
      <c r="I13" s="3">
        <f t="shared" si="1"/>
        <v>18508863778</v>
      </c>
      <c r="J13" s="3">
        <f>IFERROR(__xludf.DUMMYFUNCTION("IMPORTRANGE(""1jLLM7RowyAlqW8_utve-PxKKawTbcRuWVtKmI2wg8Ww"", ""DES_2023!E2"")"),1.845302437867E10)</f>
        <v>18453024379</v>
      </c>
      <c r="K13" s="3">
        <f t="shared" si="2"/>
        <v>-55839399.06</v>
      </c>
    </row>
  </sheetData>
  <drawing r:id="rId1"/>
</worksheet>
</file>