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_2023" sheetId="1" r:id="rId5"/>
    <sheet state="visible" name="PRODUKSI" sheetId="2" r:id="rId6"/>
    <sheet state="visible" name="PRIBADI" sheetId="3" r:id="rId7"/>
    <sheet state="visible" name="KOSONG" sheetId="4" r:id="rId8"/>
    <sheet state="visible" name="EXSPEDISI" sheetId="5" r:id="rId9"/>
    <sheet state="visible" name="V_SALES" sheetId="6" r:id="rId10"/>
    <sheet state="visible" name="OPERASIONAL" sheetId="7" r:id="rId11"/>
    <sheet state="visible" name="NURUL_AINI" sheetId="8" r:id="rId12"/>
  </sheets>
  <definedNames/>
  <calcPr/>
</workbook>
</file>

<file path=xl/sharedStrings.xml><?xml version="1.0" encoding="utf-8"?>
<sst xmlns="http://schemas.openxmlformats.org/spreadsheetml/2006/main" count="2146" uniqueCount="595">
  <si>
    <t>SALDO AWAL</t>
  </si>
  <si>
    <t>TRSF E-BANKING DB TANGGAL :28/02</t>
  </si>
  <si>
    <t>2802/FTSCY/WS95011 jombang PITIK DIGITAL INDO</t>
  </si>
  <si>
    <t>DB</t>
  </si>
  <si>
    <t>PRODUKSI</t>
  </si>
  <si>
    <t>TRSF E-BANKING CR TANGGAL :28/02</t>
  </si>
  <si>
    <t>2802/FTSCY/WS95031 3500kg PRASTYO HADI WIBOW</t>
  </si>
  <si>
    <t>CR</t>
  </si>
  <si>
    <t>TRSF E-BANKING DB</t>
  </si>
  <si>
    <t>0103/FTSCY/WS95031 1435000.00 HERMAWAN</t>
  </si>
  <si>
    <t>BANK</t>
  </si>
  <si>
    <t>0103/FTSCY/WS95031 49500000.00 kd siti holipah t. a ANUGERAH KARTIKA A</t>
  </si>
  <si>
    <t>0103/FTSCY/WS95031 18002000.00 krg 50 jt EKO SETIYAWAN</t>
  </si>
  <si>
    <t>EXSPEDISI</t>
  </si>
  <si>
    <t>TRSF E-BANKING CR</t>
  </si>
  <si>
    <t>0103/FTSCY/WS95031 810950.00 Claim RPA Hairul TRI RETNO WIDHIYAN</t>
  </si>
  <si>
    <t>0103/FTSCY/WS95051 107527530.00 ah fm hairul 15/2 PHALOSARI UNGGUL J</t>
  </si>
  <si>
    <t>0103/FTSCY/WS95271 53100000.00 DO Phalosari ROZAL NUR SYAHBANA</t>
  </si>
  <si>
    <t>0103/FTSCY/WS95271 96712600.00 Thu Feb 26 2026 15:00:00 GMT+0700 (Western Indonesia Time) BROILER MAKMUR TAN</t>
  </si>
  <si>
    <t>0103/FTSCY/WS95031 2148900.00 MUJIANTO</t>
  </si>
  <si>
    <t>0103/FTSCY/WS95051 86385520.00 SIDO RAYA UTAMA CV</t>
  </si>
  <si>
    <t>0103/FTSCY/WS95271 48000000.00 kd ayu sajidah lmj g SURYA INTI TERNAK</t>
  </si>
  <si>
    <t>0103/FTSCY/WS95271 74117340.00 Thu Feb 26 2026 15:00:00 GMT+0700 (Western Indonesia Time) BROILER MAKMUR TAN</t>
  </si>
  <si>
    <t>0103/FTSCY/WS95031 52451500.00 lunas GATUT SETYO WIBOWO</t>
  </si>
  <si>
    <t>TARIKAN ATM 01/03</t>
  </si>
  <si>
    <t>PRIBADI</t>
  </si>
  <si>
    <t>TRSF E-BANKING DB TANGGAL :01/03</t>
  </si>
  <si>
    <t>0103/FTSCY/WS95271 Fri Feb 27 2026 15:00:00 GMT+0700 (Western Indonesia Time) BINTANG TAMA SANTO</t>
  </si>
  <si>
    <t>TRSF E-BANKING CR TANGGAL :01/03</t>
  </si>
  <si>
    <t>0103/FTSCY/WS95011 Bayar Ayam JT 03.03 RPA SBU ALDINI MARIA GUMIL</t>
  </si>
  <si>
    <t>0203/FTSCY/WS95031 47177640.00 Fri Feb 27 2026 15:00:00 GMT+0700 (Western Indonesia Time) ANDALAN YASA MITRA</t>
  </si>
  <si>
    <t>0203/FTSCY/WS95031 31900000.00 krg 14 jt TABASSAM AZ ZUFAR</t>
  </si>
  <si>
    <t>0203/FTSCY/WS95031 15000000.00 titip buat pengamb ln hr ini GATUT SETYO WIBOWO</t>
  </si>
  <si>
    <t>0203/FTSCY/WS95031 14000000.00 pelunasan TABASSAM AZ ZUFAR</t>
  </si>
  <si>
    <t>0203/FTSCY/WS95051 48556620.00 Hoirul pas 26 feb SENTRAL NIAGA UNGG</t>
  </si>
  <si>
    <t>0203/FTSCY/WS95051 50100000.00 Hoirul pas 26 des SENTRAL NIAGA UNGG</t>
  </si>
  <si>
    <t>0203/FTSCY/WS95051 50100000.00 Hoirul bojo 26 feb SENTRAL NIAGA UNGG</t>
  </si>
  <si>
    <t>0203/FTSCY/WS95051 143741910.00 ah fm hairul 17/2 PHALOSARI UNGGUL J</t>
  </si>
  <si>
    <t>0203/FTSCY/WS95011 96000000.00 WAHYU MEGA ARSITA</t>
  </si>
  <si>
    <t>0203/FTSCY/WS95031 34350000.00 lunas GATUT SETYO WIBOWO</t>
  </si>
  <si>
    <t>0203/FTSCY/WS95271 50250000.00 pemb. kd dwi p bli tar ANDALAN YASA MITRA</t>
  </si>
  <si>
    <t>0203/FTSCY/WS95271 143904000.00 Fri Mar 27 2026 14:00:00 GMT+0700 (Western Indonesia Time) BROILER MAKMUR TAN</t>
  </si>
  <si>
    <t>0203/FTSCY/WS95271 88446320.00 mlg PITIK DIGITAL INDO</t>
  </si>
  <si>
    <t>0203/FTSCY/WS95011 92518800.00 Fri Feb 27 2026 15:00:00 GMT+0700 (Western Indonesia Time) BROILER MAKMUR TAN</t>
  </si>
  <si>
    <t>TRSF E-BANKING DB TANGGAL :02/03</t>
  </si>
  <si>
    <t>0203/FTSCY/WS95031 blitar HERMAWAN</t>
  </si>
  <si>
    <t>0203/FTSCY/WS95031 HERMAWAN</t>
  </si>
  <si>
    <t>0203/FTSCY/WS95031 MUJIANTO</t>
  </si>
  <si>
    <t>0203/FTSCY/WS95271 krg 50 jt EKO SETIYAWAN</t>
  </si>
  <si>
    <t>0303/FTSCY/WS95271 80000000.00 Titip Byr Ayam P M unib SBU ALDINI MARIA GUMIL</t>
  </si>
  <si>
    <t>0303/FTSCY/WS95051 192116635.00 krmn 2/3 TERA MAKMURINDO CV</t>
  </si>
  <si>
    <t>TARIKAN ATM 03/03</t>
  </si>
  <si>
    <t>0303/FTSCY/WS95031 334370.00 bbit 3343.7 MOHAMMAD FAIZIN</t>
  </si>
  <si>
    <t>KR OTOMATIS CR</t>
  </si>
  <si>
    <t>LLG-MANDIRI SUPER FAMOUS CHICK Muhammad Hairul PO -4</t>
  </si>
  <si>
    <t>0303/FTSCY/WS95271 26345500.00 Pelunasan Ayam JT 04.03 RPA SBU ALDINI MARIA GUMIL</t>
  </si>
  <si>
    <t>0303/FTSCY/WS95051 48903260.00 hoirul mlg 27 feb SENTRAL NIAGA UNGG</t>
  </si>
  <si>
    <t>0303/FTSCY/WS95051 48300000.00 hoirul mlg 27 feb SENTRAL NIAGA UNGG</t>
  </si>
  <si>
    <t>0303/FTSCY/WS95031 43906000.00 Sun Mar 01 2026 15:00:00 GMT+0700 (Western Indonesia Time) BINTANG TAMA SANTO</t>
  </si>
  <si>
    <t>0303/FTSCY/WS95031 52795500.00 Sun Mar 01 2026 15:00:00 GMT+0700 (Western Indonesia Time) BINTANG TAMA SANTO</t>
  </si>
  <si>
    <t>0303/FTSCY/WS95271 48000000.00 Sun Mar 01 2026 15:00:00 GMT+0700 (Western Indonesia Time) ANDALAN YASA MITRA</t>
  </si>
  <si>
    <t>0303/FTSCY/WS95271 81304020.00 Sat Feb 28 2026 15:00:00 GMT+0700 (Western Indonesia Time) BROILER MAKMUR TAN</t>
  </si>
  <si>
    <t>0303/FTSCY/WS95271 105983880.00 Wed Jan 28 2026 15:00:00 GMT+0700 (Western Indonesia Time) BROILER MAKMUR TAN</t>
  </si>
  <si>
    <t>0303/FTSCY/WS95271 44951550.00 Sun Mar 01 2026 15:00:00 GMT+0700 (Western Indonesia Time) RUKUN MITRA BERSAM</t>
  </si>
  <si>
    <t>0303/FTSCY/WS95011 102997500.00 t.agung PITIK DIGITAL INDO</t>
  </si>
  <si>
    <t>0303/FTSCY/WS95031 47600000.00 lunas GATUT SETYO WIBOWO</t>
  </si>
  <si>
    <t>0303/FTSCY/WS95031 48100000.00 Pemb ayam an Amart ha GABRIEL HENDRA KUR</t>
  </si>
  <si>
    <t>0303/FTSCY/WS95011 37647000.00 pelunasan SUGENG RIADI</t>
  </si>
  <si>
    <t>BYR VIA E-BANKING</t>
  </si>
  <si>
    <t>03/03  WSID9503100 0865 PLN PREPAID 32104859353 MUHAMMAD HAIRUL MA</t>
  </si>
  <si>
    <t>TRSF E-BANKING DB TANGGAL :03/03</t>
  </si>
  <si>
    <t>0303/FTFVA/WS95031 titip kd wahyudi p asuruan 40190</t>
  </si>
  <si>
    <t>TRSF E-BANKING CR TANGGAL :03/03</t>
  </si>
  <si>
    <t>0303/FTSCY/WS95051 SIDO RAYA UTAMA CV</t>
  </si>
  <si>
    <t>0403/FTSCY/WS95031 48000000.00 Sun Mar 01 2026 15:00:00 GMT+0700 (Western Indonesia Time) ANDALAN YASA MITRA</t>
  </si>
  <si>
    <t>0403/FTSCY/WS95031 1989540.00 pasuruan sidoraya HERMAWAN</t>
  </si>
  <si>
    <t>0403/FTSCY/WS95031 45444000.00 pemb. kd suyanto t .a TABASSAM AL HATTAK</t>
  </si>
  <si>
    <t>0403/FTSCY/WS95271 46400000.00 pemb. farm haraka 3200kg LAJU SATWA WISESA</t>
  </si>
  <si>
    <t>0403/FTFVA/WS95031 55569/PT PRIMA FAJ pelunasan - 40190</t>
  </si>
  <si>
    <t>0403/FTSCY/WS95051 85544390.00 krmn 3/3 TERA MAKMURINDO CV</t>
  </si>
  <si>
    <t>0403/FTSCY/WS95051 84200475.00 krmn 3/3 TERA MULIA KORPORI</t>
  </si>
  <si>
    <t>0403/FTSCY/WS95051 96908400.00 ah fm hairul 21/2 PHALOSARI UNGGUL J</t>
  </si>
  <si>
    <t>0403/FTSCY/WS95271 151806500.00 do 01&amp;02 / 03 SUPER UNGGAS JAYA</t>
  </si>
  <si>
    <t>0403/FTSCY/WS95031 2089800.00 NURHAYATI</t>
  </si>
  <si>
    <t>V_SALES</t>
  </si>
  <si>
    <t>0403/FTSCY/WS95271 54448110.00 jombang PITIK DIGITAL INDO</t>
  </si>
  <si>
    <t>0403/FTSCY/WS95011 42202500.00 02/03 lunas ANUGERAH KARTIKA A</t>
  </si>
  <si>
    <t>TARIKAN ATM 04/03</t>
  </si>
  <si>
    <t>0403/FTSCY/WS95051 94032400.00 Clossing 3 maret 6622Kg/2Ret SUGENG MARIONO</t>
  </si>
  <si>
    <t>0403/FTSCY/WS95011 85405000.00 Sun Mar 01 2026 15:00:00 GMT+0700 (Western Indonesia Time) BROILER MAKMUR TAN</t>
  </si>
  <si>
    <t>0403/FTSCY/WS95011 93732600.00 WAHYU MEGA ARSITA</t>
  </si>
  <si>
    <t>0403/FTSCY/WS95051 56032554.00 AH 3973.94 14100 GEMILANG INTI SUKS</t>
  </si>
  <si>
    <t>0403/FTSCY/WS95011 42331300.00 Mon Mar 02 2026 15:00:00 GMT+0700 (Western Indonesia Time) ANDALAN YASA MITRA</t>
  </si>
  <si>
    <t>0403/FTSCY/WS95011 88161200.00 01+02 / 03 GANESHA SATRIA NUS</t>
  </si>
  <si>
    <t>0403/FTSCY/WS95051 50943800.00 SIDO RAYA UTAMA CV</t>
  </si>
  <si>
    <t>BI-FAST DB</t>
  </si>
  <si>
    <t>BIF TRANSFER KE 9 NOUVAL HOLQI RISKU M-BCA</t>
  </si>
  <si>
    <t>BIF BIAYA TXN KE 9 NOUVAL HOLQI RISKU M-BCA</t>
  </si>
  <si>
    <t>BIF TRANSFER KE 2 PT BPR LESTARI NUS M-BCA</t>
  </si>
  <si>
    <t>BIF BIAYA TXN KE 2 PT BPR LESTARI NUS M-BCA</t>
  </si>
  <si>
    <t>0403/FTSCY/WS95011 81618700.00 Mon Mar 02 2026 15:00:00 GMT+0700 (Western Indonesia Time) BINTANG TAMA SANTO</t>
  </si>
  <si>
    <t>0403/FTSCY/WS95271 24660000.00 krg 2 jt ROZAL NUR SYAHBANA</t>
  </si>
  <si>
    <t>0503/FTSCY/WS95031 30000.00 SANDI FAJAR PRASET</t>
  </si>
  <si>
    <t>0503/FTSCY/WS95011 222892800.00 WAHYU MEGA ARSITA</t>
  </si>
  <si>
    <t>0503/FTSCY/WS95271 2000000.00 pelunasan ROZAL NUR SYAHBANA</t>
  </si>
  <si>
    <t>0503/FTSCY/WS95271 134287620.00 Mon Mar 02 2026 15:00:00 GMT+0700 (Western Indonesia Time) BROILER MAKMUR TAN</t>
  </si>
  <si>
    <t>0503/FTSCY/WS95031 1700000.00 HERMAWAN</t>
  </si>
  <si>
    <t>0503/FTSCY/WS95031 1401000.00 t. agung lidia MUJIANTO</t>
  </si>
  <si>
    <t>0503/FTSCY/WS95031 14665100.00 krg 60 EKO SETIYAWAN</t>
  </si>
  <si>
    <t>0503/FTSCY/WS95031 318600.00 EKO SETIYAWAN</t>
  </si>
  <si>
    <t>0603/FTSCY/WS95031 43400000.00 pemb. kd teguh jem ber LAWU ABADI NUSA PT</t>
  </si>
  <si>
    <t>0603/FTSCY/WS95051 291545880.00 krmn 4/3 TERA MULIA KORPORI</t>
  </si>
  <si>
    <t>0603/FTSCY/WS95271 78059700.00 Tue Mar 03 2026 15:00:00 GMT+0700 (Western Indonesia Time) BINTANG TAMA SANTO</t>
  </si>
  <si>
    <t>0603/FTSCY/WS95271 232700.00 pelunasan DO 4 Mar 23 Amartha ROZAL NUR SYAHBANA</t>
  </si>
  <si>
    <t>0603/FTSCY/WS95271 82360000.00 Tue Mar 03 2026 15:00:00 GMT+0700 (Western Indonesia Time) ANDALAN YASA MITRA</t>
  </si>
  <si>
    <t>0603/FTSCY/WS95271 97800900.00 pelunasan RUKUN MITRA BERSAM</t>
  </si>
  <si>
    <t>0603/FTSCY/WS95031 45631300.00 kd nanik riyati ng awi BINTANG TAMA SANTO</t>
  </si>
  <si>
    <t>0603/FTSCY/WS95051 46591200.00 ah hairul 22/2 PHALOSARI UNGGUL J</t>
  </si>
  <si>
    <t>0603/FTSCY/WS95051 42900000.00 hoirul pas 3 mrt SENTRAL NIAGA UNGG</t>
  </si>
  <si>
    <t>0603/FTSCY/WS95051 52170000.00 Ah 3700x14100 GEMILANG INTI SUKS</t>
  </si>
  <si>
    <t>0603/FTSCY/WS95011 93613000.00 pemb. 04/03 BINTANG TAMA SANTO</t>
  </si>
  <si>
    <t>0603/FTFVA/WS95031 55569/PT PRIMA FAJ farm wahyudi pasur uan 3500kg 40190</t>
  </si>
  <si>
    <t>0703/FTSCY/WS95031 610950.00 claim RPA unit Jem ber IMAM MUSTAKIM</t>
  </si>
  <si>
    <t>0703/FTSCY/WS95051 42313975.00 krmn 6/3 TERA MULIA KORPORI</t>
  </si>
  <si>
    <t>0703/FTSCY/WS95031 40510800.00 Wed Mar 04 2026 15:00:00 GMT+0700 (Western Indonesia Time) TUMBUH OPTIMAL PRI</t>
  </si>
  <si>
    <t>0703/FTSCY/WS95031 300000.00 ANDE DOSO ANGGORO</t>
  </si>
  <si>
    <t>0703/FTSCY/WS95031 19000.00 byr paket ACHMAD SYAIFUL RIZ</t>
  </si>
  <si>
    <t>0703/FTSCY/WS95051 254877770.00 ah fm hairul 16/2 PHALOSARI UNGGUL J</t>
  </si>
  <si>
    <t>0703/FTSCY/WS95031 46871500.00 pemb. kd totok mag etan BINTANG TAMA SANTO</t>
  </si>
  <si>
    <t>0703/FTSCY/WS95271 122462730.00 kd agus papar kedi ri ANUGERAH KARTIKA A</t>
  </si>
  <si>
    <t>0703/FTSCY/WS95271 84184000.00 Tue Mar 03 2026 15:00:00 GMT+0700 (Western Indonesia Time) GANESHA SATRIA NUS</t>
  </si>
  <si>
    <t>0703/FTSCY/WS95051 44971500.00 UNGGAS BERKAH ABAD</t>
  </si>
  <si>
    <t>0703/FTSCY/WS95051 100000000.00 krmn 7/3 TERA MULIA KORPORI</t>
  </si>
  <si>
    <t>0703/FTSCY/WS95271 87790000.00 Tue Mar 03 2026 15:00:00 GMT+0700 (Western Indonesia Time) BROILER MAKMUR TAN</t>
  </si>
  <si>
    <t>0703/FTSCY/WS95011 40000000.00 pelunasan 03/03 BROILER MAKMUR TAN</t>
  </si>
  <si>
    <t>0703/FTSCY/WS95031 10000000.00 ZAINAL ARIFIN</t>
  </si>
  <si>
    <t>0703/FTSCY/WS95011 40098500.00 pemb. 03/03 SUPER UNGGAS JAYA</t>
  </si>
  <si>
    <t>0703/FTSCY/WS95031 1281200.00 HALIM IBRAHIM</t>
  </si>
  <si>
    <t>TRSF E-BANKING CR TANGGAL :07/03</t>
  </si>
  <si>
    <t>0703/FTSCY/WS95051 Titip Byr Ayam JT 05.03 RPA SBU ALDINI MARIA GUMIL</t>
  </si>
  <si>
    <t>0803/FTSCY/WS95031 41296400.00 Tue Mar 03 2026 15:00:00 GMT+0700 (Western Indonesia Time) ANDALAN YASA MITRA</t>
  </si>
  <si>
    <t>0803/FTSCY/WS95031 1542250.00 NURHAYATI</t>
  </si>
  <si>
    <t>0803/FTSCY/WS95031 973500.00 MUJIANTO</t>
  </si>
  <si>
    <t>0803/FTFVA/WS95031 80777/TOKOPEDIA - - 82318368518</t>
  </si>
  <si>
    <t>0803/FTSCY/WS95051 140510080.00 krmn 7/3 TERA MULIA KORPORI</t>
  </si>
  <si>
    <t>0803/FTSCY/WS95271 48332700.00 mlg PITIK DIGITAL INDO</t>
  </si>
  <si>
    <t>0803/FTSCY/WS95271 43726200.00 jombang PITIK DIGITAL INDO</t>
  </si>
  <si>
    <t>0803/FTSCY/WS95271 40176500.00 t.agung PITIK DIGITAL INDO</t>
  </si>
  <si>
    <t>KR OTOMATIS 0938</t>
  </si>
  <si>
    <t>LLG-MANDIRI SUPER FAMOUS CHICK Hairul PO-4685</t>
  </si>
  <si>
    <t>LLG-MANDIRI SUPER FAMOUS CHICK -391324696 Clearing433574</t>
  </si>
  <si>
    <t>0803/FTSCY/WS95271 84050000.00 kd rustam hadi pas uruan ANDALAN YASA MITRA</t>
  </si>
  <si>
    <t>0803/FTSCY/WS95031 51800000.00 05.03 lunas ANDALAN YASA MITRA</t>
  </si>
  <si>
    <t>0803/FTSCY/WS95271 41639000.00 jember PITIK DIGITAL INDO</t>
  </si>
  <si>
    <t>0803/FTSCY/WS95011 42521250.00 kd supriyanto lamongan BINTANG TAMA SANTO</t>
  </si>
  <si>
    <t>0803/FTSCY/WS95011 104696510.00 Mon Mar 02 2026 15:00:00 GMT+0700 (Western Indonesia Time) BROILER MAKMUR TAN</t>
  </si>
  <si>
    <t>0803/FTSCY/WS95051 191765880.00 ah hairul tg 20/2 PHALOSARI UNGGUL J</t>
  </si>
  <si>
    <t>0803/FTSCY/WS95011 43644300.00 pemb. 06/03 GANESHA SATRIA NUS</t>
  </si>
  <si>
    <t>0803/FTSCY/WS95011 125075600.00 Wed Mar 04 2026 15:00:00 GMT+0700 (Western Indonesia Time) BROILER MAKMUR TAN</t>
  </si>
  <si>
    <t>0803/FTSCY/WS95051 42900000.00 hoirul pas 5 mrt SENTRAL NIAGA UNGG</t>
  </si>
  <si>
    <t>0803/FTSCY/WS95011 86473440.00 malang PITIK DIGITAL INDO</t>
  </si>
  <si>
    <t>0803/FTSCY/WS95031 38392480.00 Pelunasan Ayam JT 05.03 RPA SBU ALDINI MARIA GUMIL</t>
  </si>
  <si>
    <t>0803/FTSCY/WS95011 268473470.00 WAHYU MEGA ARSITA</t>
  </si>
  <si>
    <t>0803/FTSCY/WS95011 82112290.00 Fri Mar 06 2026 15:00:00 GMT+0700 (Western Indonesia Time) krg 100 jt BROILER MAKMUR TAN</t>
  </si>
  <si>
    <t>0803/FTFVA/WS95031 55569/PT PRIMA FAJ titip 3000kg farm wahyudi pas 40190</t>
  </si>
  <si>
    <t>TARIKAN ATM 08/03</t>
  </si>
  <si>
    <t>0803/FTSCY/WS95051 97835840.00 SIDO RAYA UTAMA CV</t>
  </si>
  <si>
    <t>0803/FTSCY/WS95031 61160720.00 Pemb titip DO amar tha GABRIEL HENDRA KUR</t>
  </si>
  <si>
    <t>0803/FTSCY/WS95031 50000000.00 titip 50jt GATUT SETYO WIBOWO</t>
  </si>
  <si>
    <t>0803/FTSCY/WS95271 12897000.00 pemb. lokal plasma jhoni mlg SUPER UNGGAS JAYA</t>
  </si>
  <si>
    <t>TRSF E-BANKING DB TANGGAL :08/03</t>
  </si>
  <si>
    <t>0803/FTFVA/WS95031 - - 5335263590</t>
  </si>
  <si>
    <t>TRSF E-BANKING CR TANGGAL :08/03</t>
  </si>
  <si>
    <t>0803/FTSCY/WS95031 ZAINAL ARIFIN</t>
  </si>
  <si>
    <t>0903/FTSCY/WS95271 50000000.00 titip LAJU SATWA WISESA</t>
  </si>
  <si>
    <t>0903/FTSCY/WS95271 46500000.00 pemb kd arif kenco ng jbr LAWU ABADI NUSA PT</t>
  </si>
  <si>
    <t>0903/FTSCY/WS95271 96000000.00 Sat Mar 07 2026 15:00:00 GMT+0700 (Western Indonesia Time) ANDALAN YASA MITRA</t>
  </si>
  <si>
    <t>0903/FTSCY/WS95271 100000000.00 06/03 lunas BROILER MAKMUR TAN</t>
  </si>
  <si>
    <t>0903/FTSCY/WS95031 61160720.00 pengembalian dana ROZAL NUR SYAHBANA</t>
  </si>
  <si>
    <t>0903/FTSCY/WS95031 1557050.00 MUJIANTO</t>
  </si>
  <si>
    <t>0903/FTSCY/WS95031 10486870.00 lunas HERMAWAN</t>
  </si>
  <si>
    <t>0903/FTSCY/WS95031 22760400.00 krg 57 jt EKO SETIYAWAN</t>
  </si>
  <si>
    <t>0903/FTSCY/WS95051 372102918.00 krmn 9/3 TERA MULIA KORPORI</t>
  </si>
  <si>
    <t>09/03  WSID9503100 1220 TELKOMSEL 82318368518 MUHAMMAD HAIRUL MA</t>
  </si>
  <si>
    <t>0903/FTSCY/WS95011 37759840.00 pemb. kd riyem magetan BINTANG TAMA SANTO</t>
  </si>
  <si>
    <t>0903/FTSCY/WS95011 54649000.00 pemb. kd elip ponorogo ANUGERAH KARTIKA A</t>
  </si>
  <si>
    <t>0903/FTSCY/WS95011 83738400.00 Sun Mar 08 2026 15:00:00 GMT+0700 (Western Indonesia Time) SURYA INTI TERNAK</t>
  </si>
  <si>
    <t>0903/FTSCY/WS95011 48109500.00 t.agung PITIK DIGITAL INDO</t>
  </si>
  <si>
    <t>0903/FTSCY/WS95011 46004040.00 kd subur kediri ANUGERAH KARTIKA A</t>
  </si>
  <si>
    <t>0903/FTSCY/WS95011 77484210.00 krg 150 do 07/03 BROILER MAKMUR TAN</t>
  </si>
  <si>
    <t>0903/FTSCY/WS95051 43655100.00 Pembelian ayam TRIJAYA LESTARI FO</t>
  </si>
  <si>
    <t>0903/FTSCY/WS95011 67409450.00 pemb. plama kasini krg 24 jt SURYA INTI TERNAK</t>
  </si>
  <si>
    <t>BIF TRANSFER KE 9 AHMAD LUTHFI FADHI M-BCA</t>
  </si>
  <si>
    <t>BIF BIAYA TXN KE 9 AHMAD LUTHFI FADHI M-BCA</t>
  </si>
  <si>
    <t>0903/FTSCY/WS95051 100000000.00 krmn 9/3 HENDY BENEDICT LEO</t>
  </si>
  <si>
    <t>TARIKAN ATM 09/03</t>
  </si>
  <si>
    <t>0903/FTSCY/WS95051 48401100.00 SIDO RAYA UTAMA CV</t>
  </si>
  <si>
    <t>0903/FTSCY/WS95011 43583400.00 plunasan farm budi kediri LAJU SATWA WISESA</t>
  </si>
  <si>
    <t>0903/FTSCY/WS95011 24000000.00 pelunasan bwi SURYA INTI TERNAK</t>
  </si>
  <si>
    <t>TRSF E-BANKING DB TANGGAL :09/03</t>
  </si>
  <si>
    <t>0903/FTSCY/WS95031 HALIM IBRAHIM</t>
  </si>
  <si>
    <t>BI-FAST DB TANGGAL :09/03</t>
  </si>
  <si>
    <t>BIF TRANSFER KE ADIRA MUHAMMAD HAI M-BCA</t>
  </si>
  <si>
    <t>BIF BIAYA TXN KE ADIRA MUHAMMAD HAI M-BCA</t>
  </si>
  <si>
    <t>BIF TRANSFER KE TURYADI M-BCA</t>
  </si>
  <si>
    <t>BIF BIAYA TXN KE TURYADI M-BCA</t>
  </si>
  <si>
    <t>TRSF E-BANKING CR TANGGAL :09/03</t>
  </si>
  <si>
    <t>0903/FTSCY/WS95031 lunas GATUT SETYO WIBOWO</t>
  </si>
  <si>
    <t>10/03  WSID9503101 0507 FIF 803001249921 MUHAMMAD HAIRUL MA</t>
  </si>
  <si>
    <t>1003/FTSCY/WS95031 41133600.00 probolinggo PITIK DIGITAL INDO</t>
  </si>
  <si>
    <t>1003/FTSCY/WS95031 1350000.00 kdr lidia HERMAWAN</t>
  </si>
  <si>
    <t>1003/FTSCY/WS95031 2670430.00 ngawi lidia MUJIANTO</t>
  </si>
  <si>
    <t>1003/FTSCY/WS95031 4526000.00 krg 64.550.000 EKO SETIYAWAN</t>
  </si>
  <si>
    <t>1003/FTSCY/WS95051 138238510.00 krmn 9/3 TERA MULIA KORPORI</t>
  </si>
  <si>
    <t>LLG-MANDIRI SUPER FAMOUS CHICK Hairul PO-4716</t>
  </si>
  <si>
    <t>1003/FTSCY/WS95271 122586000.00 Sat Mar 07 2026 15:00:00 GMT+0700 (Western Indonesia Time) ANDALAN YASA MITRA</t>
  </si>
  <si>
    <t>1003/FTSCY/WS95271 43610800.00 Sun Mar 08 2026 15:00:00 GMT+0700 (Western Indonesia Time) RUKUN MITRA BERSAM</t>
  </si>
  <si>
    <t>1003/FTSCY/WS95271 37397790.00 kd subur lunas ANUGERAH KARTIKA A</t>
  </si>
  <si>
    <t>1003/FTFVA/WS95031 39010/DANA - - 81326518324</t>
  </si>
  <si>
    <t>1003/FTSCY/WS95051 46800000.00 hoirul jbr 8 mrt SENTRAL NIAGA UNGG</t>
  </si>
  <si>
    <t>1003/FTSCY/WS95011 227429160.00 WAHYU MEGA ARSITA</t>
  </si>
  <si>
    <t>1003/FTSCY/WS95031 1500000.00 mlg lidia BELA PRAMUDITA</t>
  </si>
  <si>
    <t>1003/FTSCY/WS95011 201507500.00 Do. 07 dan 08 krg 100 jt BROILER MAKMUR TAN</t>
  </si>
  <si>
    <t>1003/FTSCY/WS95011 47794250.00 pemb. kd jianto mojo kediri PT BERLIAN INDOMIT</t>
  </si>
  <si>
    <t>1003/FTSCY/WS95011 53445000.00 pembm kd ismanto t.galek BINTANG TAMA SANTO</t>
  </si>
  <si>
    <t>1003/FTSCY/WS95011 44319000.00 pemb. kd warsono magetan BINTANG TAMA SANTO</t>
  </si>
  <si>
    <t>1003/FTSCY/WS95031 53801300.00 lunas GATUT SETYO WIBOWO</t>
  </si>
  <si>
    <t>1003/FTSCY/WS95011 79657800.00 krg 100 Kd. Faturrahman B SURYA INTI TERNAK</t>
  </si>
  <si>
    <t>TRSF E-BANKING CR TANGGAL :10/03</t>
  </si>
  <si>
    <t>1003/FTSCY/WS95051 SIDO RAYA UTAMA CV</t>
  </si>
  <si>
    <t>TRSF E-BANKING DB TANGGAL :10/03</t>
  </si>
  <si>
    <t>1003/FTSCY/WS95011 Kd. lucki mlg BINTANG TAMA SANTO</t>
  </si>
  <si>
    <t>1003/FTSCY/WS95031 MUJIANTO</t>
  </si>
  <si>
    <t>1003/FTSCY/WS95031 HERMAWAN</t>
  </si>
  <si>
    <t>1003/FTSCY/WS95031 krg 62.300.000 EKO SETIYAWAN</t>
  </si>
  <si>
    <t>1003/FTSCY/WS95031 ZAINAL ARIFIN</t>
  </si>
  <si>
    <t>1103/FTSCY/WS95271 594000.00 ZAINAL ARIFIN</t>
  </si>
  <si>
    <t>1103/FTSCY/WS95051 336315754.00 krmn 10/3 HENDY BENEDICT LEO</t>
  </si>
  <si>
    <t>1103/FTSCY/WS95271 100000000.00 pelunasan jember SURYA INTI TERNAK</t>
  </si>
  <si>
    <t>1103/FTSCY/WS95271 100000000.00 Sun Mar 08 2026 15:00:00 GMT+0700 (Western Indonesia Time) BROILER MAKMUR TAN</t>
  </si>
  <si>
    <t>1103/FTSCY/WS95031 500000.00 YESI PURNAMASARI</t>
  </si>
  <si>
    <t>1103/FTSCY/WS95051 136522000.00 SIDO RAYA UTAMA CV</t>
  </si>
  <si>
    <t>1103/FTSCY/WS95031 94800000.00 Mon Feb 09 2026 15:00:00 GMT+0700 (Western Indonesia Time) BINTANG TAMA SANTO</t>
  </si>
  <si>
    <t>1103/FTSCY/WS95031 50000.00 ANTON IMRONI</t>
  </si>
  <si>
    <t>TRSF E-BANKING DB TANGGAL :11/03</t>
  </si>
  <si>
    <t>1103/FTSCY/WS95271 Mon Feb 09 2026 15:00:00 GMT+0700 (Western Indonesia Time) ANDALAN YASA MITRA</t>
  </si>
  <si>
    <t>1203/FTSCY/WS95271 175192480.00 09/03 krg 315 jt ANDALAN YASA MITRA</t>
  </si>
  <si>
    <t>1203/FTSCY/WS95031 55000.00 NURUL AINI</t>
  </si>
  <si>
    <t>NURUL_AINI</t>
  </si>
  <si>
    <t>1203/FTSCY/WS95031 70000000.00 titip 70jt GATUT SETYO WIBOWO</t>
  </si>
  <si>
    <t>TRSF E-BANKING DB TANGGAL :12/03</t>
  </si>
  <si>
    <t>1203/FTSCY/WS95031 Mon Mar 09 2026 14:00:00 GMT+0700 (Western Indonesia Time) BROILER MAKMUR TAN</t>
  </si>
  <si>
    <t>1303/FTSCY/WS95031 2605200.00 HERMAWAN</t>
  </si>
  <si>
    <t>1303/FTSCY/WS95031 8780700.00 krg 66.5 jt EKO SETIYAWAN</t>
  </si>
  <si>
    <t>1303/FTSCY/WS95051 332452355.00 krmn 11/3 TERA MULIA KORPORI</t>
  </si>
  <si>
    <t>1303/FTSCY/WS95271 54064000.00 Tue Mar 10 2026 14:00:00 GMT+0700 (Western Indonesia Time) GANESHA SATRIA NUS</t>
  </si>
  <si>
    <t>1303/FTSCY/WS95271 41929500.00 pemb. plasma jumat i bwi SURYA INTI TERNAK</t>
  </si>
  <si>
    <t>1303/FTSCY/WS95271 43570500.00 pemb kd edi santos o ANUGERAH KARTIKA A</t>
  </si>
  <si>
    <t>1303/FTSCY/WS95271 48000000.00 Tue Mar 10 2026 14:00:00 GMT+0700 (Western Indonesia Time) ANUGERAH KARTIKA A</t>
  </si>
  <si>
    <t>1303/FTSCY/WS95271 46408000.00 Tue Mar 10 2026 14:00:00 GMT+0700 (Western Indonesia Time) ANDALAN YASA MITRA</t>
  </si>
  <si>
    <t>1303/FTSCY/WS95271 47024000.00 Mon Mar 09 2026 14:00:00 GMT+0700 (Western Indonesia Time) BROILER MAKMUR TAN</t>
  </si>
  <si>
    <t>KR OTOMATIS 938</t>
  </si>
  <si>
    <t>LLG-MANDIRI SUPER FAMOUS CHICK Hairul PO-4727 Hairul PO-4727</t>
  </si>
  <si>
    <t>1303/FTSCY/WS95051 47357480.00 ah hairul tgl 23/2 PHALOSARI UNGGUL J 47357480.00 ah hairul tgl 23/2 PHALOSARI UNGGUL J</t>
  </si>
  <si>
    <t>1303/FTSCY/WS95051 47700000.00 hoirul mlg 9 mrt SENTRAL NIAGA UNGG 47700000.00 hoirul mlg 9 mrt SENTRAL NIAGA UNGG</t>
  </si>
  <si>
    <t>1303/FTSCY/WS95051 47700000.00 hairul mlmg 9 mrt SENTRAL NIAGA UNGG 47700000.00 hairul mlmg 9 mrt SENTRAL NIAGA UNGG</t>
  </si>
  <si>
    <t>1303/FTSCY/WS95051 48300000.00 hoirul blt 10 mrt SENTRAL NIAGA UNGG 48300000.00 hoirul blt 10 mrt SENTRAL NIAGA UNGG</t>
  </si>
  <si>
    <t>1303/FTSCY/WS95051 48300000.00 hoirul pas 10 mrt SENTRAL NIAGA UNGG 48300000.00 hoirul pas 10 mrt SENTRAL NIAGA UNGG</t>
  </si>
  <si>
    <t>1303/FTSCY/WS95031 84175410.00 krg 65 ANDALAN YASA MITRA 84175410.00 krg 65 ANDALAN YASA MITRA</t>
  </si>
  <si>
    <t>1303/FTSCY/WS95051 89014400.00 UNGGAS BERKAH ABAD 89014400.00 UNGGAS BERKAH ABAD</t>
  </si>
  <si>
    <t>TARIKAN ATM 13/03</t>
  </si>
  <si>
    <t>1303/FTSCY/WS95011 315000000.00 pelunasan ANDALAN YASA MITRA 315000000.00 pelunasan ANDALAN YASA MITRA</t>
  </si>
  <si>
    <t>1303/FTSCY/WS95031 430000.00 SLAMET RAHARJO 430000.00 SLAMET RAHARJO</t>
  </si>
  <si>
    <t>1303/FTSCY/WS95031 24990000.00 lunas GATUT SETYO WIBOWO 24990000.00 lunas GATUT SETYO WIBOWO</t>
  </si>
  <si>
    <t>TRSF E-BANKING DB TANGGAL :13/03</t>
  </si>
  <si>
    <t>1303/FTSCY/WS95011 12/03 krg 30 jt BINTANG TAMA SANTO 12/03 krg 30 jt BINTANG TAMA SANTO</t>
  </si>
  <si>
    <t>1303/FTSCY/WS95031 INDRIYANA NABILLA INDRIYANA NABILLA</t>
  </si>
  <si>
    <t>1403/FTSCY/WS95031 3000000.00 klaim batal NURIYANTO 3000000.00 klaim batal NURIYANTO</t>
  </si>
  <si>
    <t>1403/FTSCY/WS95031 3000000.00 NURIYANTO 3000000.00 NURIYANTO</t>
  </si>
  <si>
    <t>1403/FTSCY/WS95051 95227360.00 krmn 13/3 TERA MAKMURINDO CV 95227360.00 krmn 13/3 TERA MAKMURINDO CV</t>
  </si>
  <si>
    <t>1403/FTSCY/WS95051 258723660.00 krmn 13/3 TERA MULIA KORPORI 258723660.00 krmn 13/3 TERA MULIA KORPORI</t>
  </si>
  <si>
    <t>1403/FTSCY/WS95031 60619270.00 kd jalal blora TUMBUH OPTIMAL PRI 60619270.00 kd jalal blora TUMBUH OPTIMAL PRI</t>
  </si>
  <si>
    <t>1403/FTSCY/WS95271 65000000.00 kd anton madiun ANDALAN YASA MITRA 65000000.00 kd anton madiun ANDALAN YASA MITRA</t>
  </si>
  <si>
    <t>1403/FTSCY/WS95271 104022100.00 Thu Mar 12 2026 14:00:00 GMT+0700 (Western Indonesia Time) ANDALAN YASA MITRA 104022100.00 Thu Mar 12 2026 14:00:00 GMT+0700 (Western Indonesia Time) ANDALAN YASA MITRA</t>
  </si>
  <si>
    <t>1403/FTSCY/WS95271 30000000.00 pelunasan BINTANG TAMA SANTO 30000000.00 pelunasan BINTANG TAMA SANTO</t>
  </si>
  <si>
    <t>1403/FTSCY/WS95271 800000.00 pelunasan ANDALAN YASA MITRA 800000.00 pelunasan ANDALAN YASA MITRA</t>
  </si>
  <si>
    <t>1403/FTSCY/WS95271 45892800.00 Thu Mar 12 2026 14:00:00 GMT+0700 (Western Indonesia Time) BINTANG TAMA SANTO 45892800.00 Thu Mar 12 2026 14:00:00 GMT+0700 (Western Indonesia Time) BINTANG TAMA SANTO</t>
  </si>
  <si>
    <t>1403/FTSCY/WS95271 43351200.00 Thu Mar 12 2026 14:00:00 GMT+0700 (Western Indonesia Time) ANUGERAH KARTIKA A 43351200.00 Thu Mar 12 2026 14:00:00 GMT+0700 (Western Indonesia Time) ANUGERAH KARTIKA A</t>
  </si>
  <si>
    <t>1403/FTSCY/WS95051 109000000.00 UNGGAS BERKAH ABAD 109000000.00 UNGGAS BERKAH ABAD</t>
  </si>
  <si>
    <t>TARIKAN ATM 14/03</t>
  </si>
  <si>
    <t>1403/FTSCY/WS95011 142942600.00 WAHYU MEGA ARSITA 142942600.00 WAHYU MEGA ARSITA</t>
  </si>
  <si>
    <t>1403/FTSCY/WS95051 25259600.00 SIDO RAYA UTAMA CV 25259600.00 SIDO RAYA UTAMA CV</t>
  </si>
  <si>
    <t>TRSF E-BANKING CR TANGGAL :14/03</t>
  </si>
  <si>
    <t>1403/FTSCY/WS95031 titip 45jt GATUT SETYO WIBOWO titip 45jt GATUT SETYO WIBOWO</t>
  </si>
  <si>
    <t>TARIKAN ATM 15/03</t>
  </si>
  <si>
    <t>1503/FTSCY/WS95271 101760000.00 Wed Mar 11 2026 14:00:00 GMT+0700 (Western Indonesia Time) BINTANG TAMA SANTO 101760000.00 Wed Mar 11 2026 14:00:00 GMT+0700 (Western Indonesia Time) BINTANG TAMA SANTO</t>
  </si>
  <si>
    <t>1503/FTSCY/WS95271 91534400.00 Thu Mar 12 2026 14:00:00 GMT+0700 (Western Indonesia Time) BROILER MAKMUR TAN 91534400.00 Thu Mar 12 2026 14:00:00 GMT+0700 (Western Indonesia Time) BROILER MAKMUR TAN</t>
  </si>
  <si>
    <t>1503/FTSCY/WS95271 44286400.00 Fri Feb 13 2026 15:00:00 GMT+0700 (Western Indonesia Time) SURYA INTI TERNAK 44286400.00 Fri Feb 13 2026 15:00:00 GMT+0700 (Western Indonesia Time) SURYA INTI TERNAK</t>
  </si>
  <si>
    <t>1503/FTSCY/WS95031 340000.00 SITI RAHMA IFTITAH 340000.00 SITI RAHMA IFTITAH</t>
  </si>
  <si>
    <t>1503/FTSCY/WS95031 1596420.00 MUJIANTO 1596420.00 MUJIANTO</t>
  </si>
  <si>
    <t>1503/FTSCY/WS95031 2250440.00 HERMAWAN 2250440.00 HERMAWAN</t>
  </si>
  <si>
    <t>1503/FTSCY/WS95031 10825100.00 krg 70 jt EKO SETIYAWAN 10825100.00 krg 70 jt EKO SETIYAWAN</t>
  </si>
  <si>
    <t>1503/FTSCY/WS95031 50787500.00 Sat Mar 14 2026 14:00:00 GMT+0700 (Western Indonesia Time) ANUGERAH KARTIKA A 50787500.00 Sat Mar 14 2026 14:00:00 GMT+0700 (Western Indonesia Time) ANUGERAH KARTIKA A</t>
  </si>
  <si>
    <t>1503/FTSCY/WS95031 190000.00 NURUL AINI 190000.00 NURUL AINI</t>
  </si>
  <si>
    <t>LLG-MANDIRI SUPER FAMOUS CHICK Pembelian ayam hid up SUPER FAMOUS CHICK Pembelian ayam hid up</t>
  </si>
  <si>
    <t>1503/FTSCY/WS95051 47396270.00 ah fm hairul 24/2 PHALOSARI UNGGUL J 47396270.00 ah fm hairul 24/2 PHALOSARI UNGGUL J</t>
  </si>
  <si>
    <t>1503/FTSCY/WS95051 48300000.00 hoirul pas 10 mrt SENTRAL NIAGA UNGG 48300000.00 hoirul pas 10 mrt SENTRAL NIAGA UNGG</t>
  </si>
  <si>
    <t>1503/FTFVA/WS95031 39010/DANA - - 81326518324 39010/DANA - - 81326518324</t>
  </si>
  <si>
    <t>1503/FTSCY/WS95051 42000000.00 UNGGAS BERKAH ABAD 42000000.00 UNGGAS BERKAH ABAD</t>
  </si>
  <si>
    <t>1503/FTSCY/WS95051 209364000.00 SIDO RAYA UTAMA CV 209364000.00 SIDO RAYA UTAMA CV</t>
  </si>
  <si>
    <t>1503/FTSCY/WS95271 51900000.00 kd bayu ponorogo30 00kg UNGGAS MANDIRI BER 51900000.00 kd bayu ponorogo30 00kg UNGGAS MANDIRI BER</t>
  </si>
  <si>
    <t>1503/FTSCY/WS95011 359892140.00 Tue Mar 10 2026 14:00:00 GMT+0700 (Western Indonesia Time) ANDALAN YASA MITRA 359892140.00 Tue Mar 10 2026 14:00:00 GMT+0700 (Western Indonesia Time) ANDALAN YASA MITRA</t>
  </si>
  <si>
    <t>1503/FTSCY/WS95011 47495280.00 Fri Mar 13 2026 14:00:00 GMT+0700 (Western Indonesia Time) SUPER UNGGAS JAYA 47495280.00 Fri Mar 13 2026 14:00:00 GMT+0700 (Western Indonesia Time) SUPER UNGGAS JAYA</t>
  </si>
  <si>
    <t>1503/FTSCY/WS95031 1165420.00 565.420  dan 600.0 NURHAYATI 1165420.00 565.420  dan 600.0 NURHAYATI</t>
  </si>
  <si>
    <t>1603/FTSCY/WS95031 1044000.00 MUJIANTO 1044000.00 MUJIANTO</t>
  </si>
  <si>
    <t>1603/FTSCY/WS95031 800000.00 HERMAWAN 800000.00 HERMAWAN</t>
  </si>
  <si>
    <t>TARIKAN ATM 16/03</t>
  </si>
  <si>
    <t>1603/FTSCY/WS95051 125349330.00 ah hairul tgl 27/2 PHALOSARI UNGGUL J 125349330.00 ah hairul tgl 27/2 PHALOSARI UNGGUL J</t>
  </si>
  <si>
    <t>1603/FTSCY/WS95271 114330100.00 kd nawir pasuruan lunas ANUGERAH KARTIKA A 114330100.00 kd nawir pasuruan lunas ANUGERAH KARTIKA A</t>
  </si>
  <si>
    <t>1603/FTSCY/WS95051 51300000.00 hoirul ngjk 14 mrt SENTRAL NIAGA UNGG 51300000.00 hoirul ngjk 14 mrt SENTRAL NIAGA UNGG</t>
  </si>
  <si>
    <t>1603/FTSCY/WS95051 51308550.00 hoirul blt 14 mrt SENTRAL NIAGA UNGG 51308550.00 hoirul blt 14 mrt SENTRAL NIAGA UNGG</t>
  </si>
  <si>
    <t>1603/FTSCY/WS95271 64615680.00 Byr Ayam JT 12.03 RPA SBU ALDINI MARIA GUMIL 64615680.00 Byr Ayam JT 12.03 RPA SBU ALDINI MARIA GUMIL</t>
  </si>
  <si>
    <t>1603/FTSCY/WS95271 120198630.00 Fri Mar 13 2026 14:00:00 GMT+0700 (Western Indonesia Time) ANDALAN YASA MITRA 120198630.00 Fri Mar 13 2026 14:00:00 GMT+0700 (Western Indonesia Time) ANDALAN YASA MITRA</t>
  </si>
  <si>
    <t>1603/FTSCY/WS95271 40884080.00 plasma adik bwi SURYA INTI TERNAK 40884080.00 plasma adik bwi SURYA INTI TERNAK</t>
  </si>
  <si>
    <t>1603/FTSCY/WS95051 156637000.00 SIDO RAYA UTAMA CV 156637000.00 SIDO RAYA UTAMA CV</t>
  </si>
  <si>
    <t>1603/FTSCY/WS95031 51008500.00 Sat Mar 14 2026 14:00:00 GMT+0700 (Western Indonesia Time) ANDALAN YASA MITRA 51008500.00 Sat Mar 14 2026 14:00:00 GMT+0700 (Western Indonesia Time) ANDALAN YASA MITRA</t>
  </si>
  <si>
    <t>1603/FTSCY/WS95031 57940570.00 GATUT SETYO WIBOWO 57940570.00 GATUT SETYO WIBOWO</t>
  </si>
  <si>
    <t>TRSF E-BANKING DB TANGGAL :16/03</t>
  </si>
  <si>
    <t>1603/FTSCY/WS95011 Sat Mar 14 2026 14:00:00 GMT+0700 (Western Indonesia Time) BROILER MAKMUR TAN Sat Mar 14 2026 14:00:00 GMT+0700 (Western Indonesia Time) BROILER MAKMUR TAN</t>
  </si>
  <si>
    <t>1703/FTSCY/WS95031 1507210.00 MUJIANTO 1507210.00 MUJIANTO</t>
  </si>
  <si>
    <t>1703/FTSCY/WS95031 1067450.00 HERMAWAN 1067450.00 HERMAWAN</t>
  </si>
  <si>
    <t>1703/FTSCY/WS95031 11742000.00 krg 65 jt EKO SETIYAWAN 11742000.00 krg 65 jt EKO SETIYAWAN</t>
  </si>
  <si>
    <t>1703/FTSCY/WS95051 53096500.00 Pembelian ayam TRIJAYA LESTARI FO 53096500.00 Pembelian ayam TRIJAYA LESTARI FO</t>
  </si>
  <si>
    <t>1703/FTSCY/WS95051 182740580.00 ah fm hairul 28/2 PHALOSARI UNGGUL J 182740580.00 ah fm hairul 28/2 PHALOSARI UNGGUL J</t>
  </si>
  <si>
    <t>1703/FTSCY/WS95051 306610410.00 SIDO RAYA UTAMA CV 306610410.00 SIDO RAYA UTAMA CV</t>
  </si>
  <si>
    <t>1703/FTSCY/WS95031 46188450.00 Fri Mar 13 2026 14:00:00 GMT+0700 (Western Indonesia Time) ANDALAN YASA MITRA 46188450.00 Fri Mar 13 2026 14:00:00 GMT+0700 (Western Indonesia Time) ANDALAN YASA MITRA</t>
  </si>
  <si>
    <t>1703/FTSCY/WS95271 102206840.00 Sat Mar 14 2026 14:00:00 GMT+0700 (Western Indonesia Time) SUPER UNGGAS JAYA 102206840.00 Sat Mar 14 2026 14:00:00 GMT+0700 (Western Indonesia Time) SUPER UNGGAS JAYA</t>
  </si>
  <si>
    <t>1703/FTSCY/WS95271 105516250.00 Sun Feb 15 2026 15:00:00 GMT+0700 (Western Indonesia Time) BROILER MAKMUR TAN 105516250.00 Sun Feb 15 2026 15:00:00 GMT+0700 (Western Indonesia Time) BROILER MAKMUR TAN</t>
  </si>
  <si>
    <t>1703/FTSCY/WS95271 47016200.00 Sat Mar 14 2026 14:00:00 GMT+0700 (Western Indonesia Time) ANUGERAH KARTIKA A 47016200.00 Sat Mar 14 2026 14:00:00 GMT+0700 (Western Indonesia Time) ANUGERAH KARTIKA A</t>
  </si>
  <si>
    <t>1703/FTSCY/WS95011 133206660.00 Mon Mar 16 2026 14:00:00 GMT+0700 (Western Indonesia Time) BINTANG TAMA SANTO 133206660.00 Mon Mar 16 2026 14:00:00 GMT+0700 (Western Indonesia Time) BINTANG TAMA SANTO</t>
  </si>
  <si>
    <t>1703/FTSCY/WS95011 113382400.00 probolinggo PITIK DIGITAL INDO 113382400.00 probolinggo PITIK DIGITAL INDO</t>
  </si>
  <si>
    <t>1703/FTSCY/WS95031 3069160.00 HALIM IBRAHIM 3069160.00 HALIM IBRAHIM</t>
  </si>
  <si>
    <t>BIAYA ADM</t>
  </si>
  <si>
    <t>TRSF E-BANKING DB TANGGAL :17/03</t>
  </si>
  <si>
    <t>1703/FTSCY/WS95031 MUJIANTO MUJIANTO</t>
  </si>
  <si>
    <t>1703/FTSCY/WS95031 HERMAWAN HERMAWAN</t>
  </si>
  <si>
    <t>TRSF E-BANKING CR TANGGAL :17/03</t>
  </si>
  <si>
    <t>1703/FTSCY/WS95031 lunas GATUT SETYO WIBOWO lunas GATUT SETYO WIBOWO</t>
  </si>
  <si>
    <t>1703/FTSCY/WS95011 Sat Mar 14 2026 14:00:00 GMT+0700 (Western Indonesia Time) ANDALAN YASA MITRA Sat Mar 14 2026 14:00:00 GMT+0700 (Western Indonesia Time) ANDALAN YASA MITRA</t>
  </si>
  <si>
    <t>TARIKAN ATM 18/03</t>
  </si>
  <si>
    <t>1803/FTSCY/WS95051 181901640.00 SIDO RAYA UTAMA CV 181901640.00 SIDO RAYA UTAMA CV</t>
  </si>
  <si>
    <t>1803/FTSCY/WS95031 200000.00 SAIFUL BAHRI 200000.00 SAIFUL BAHRI</t>
  </si>
  <si>
    <t>1803/FTSCY/WS95031 51171750.00 Mon Mar 16 2026 14:00:00 GMT+0700 (Western Indonesia Time) GANESHA SATRIA NUS 51171750.00 Mon Mar 16 2026 14:00:00 GMT+0700 (Western Indonesia Time) GANESHA SATRIA NUS</t>
  </si>
  <si>
    <t>1803/FTSCY/WS95271 61250000.00 Mon Mar 16 2026 14:00:00 GMT+0700 (Western Indonesia Time) RUKUN MITRA BERSAM 61250000.00 Mon Mar 16 2026 14:00:00 GMT+0700 (Western Indonesia Time) RUKUN MITRA BERSAM</t>
  </si>
  <si>
    <t>1803/FTSCY/WS95271 56454150.00 Mon Mar 16 2026 14:00:00 GMT+0700 (Western Indonesia Time) BINTANG TAMA SANTO 56454150.00 Mon Mar 16 2026 14:00:00 GMT+0700 (Western Indonesia Time) BINTANG TAMA SANTO</t>
  </si>
  <si>
    <t>TRSF E-BANKING CR TANGGAL :18/03</t>
  </si>
  <si>
    <t>1803/FTSCY/WS95031 ZAINAL ARIFIN ZAINAL ARIFIN</t>
  </si>
  <si>
    <t>1903/FTSCY/WS95031 47829250.00 Sun Mar 15 2026 14:00:00 GMT+0700 (Western Indonesia Time) ANDALAN YASA MITRA 47829250.00 Sun Mar 15 2026 14:00:00 GMT+0700 (Western Indonesia Time) ANDALAN YASA MITRA</t>
  </si>
  <si>
    <t>1903/FTSCY/WS95031 1750000.00 NURHAYATI 1750000.00 NURHAYATI</t>
  </si>
  <si>
    <t>1903/FTSCY/WS95031 1836000.00 pasuruan sidoraya HERMAWAN 1836000.00 pasuruan sidoraya HERMAWAN</t>
  </si>
  <si>
    <t>1903/FTSCY/WS95031 1721340.00 pasuruan sidoraya MUJIANTO 1721340.00 pasuruan sidoraya MUJIANTO</t>
  </si>
  <si>
    <t>1903/FTSCY/WS95031 8628500.00 krg 63 jt EKO SETIYAWAN 8628500.00 krg 63 jt EKO SETIYAWAN</t>
  </si>
  <si>
    <t>1903/FTSCY/WS95031 600000.00 NURUL AINI 600000.00 NURUL AINI</t>
  </si>
  <si>
    <t>TARIKAN ATM 19/03</t>
  </si>
  <si>
    <t>1903/FTSCY/WS95031 12500000.00 pembayaran kandang Pasuruan RUDIONO 12500000.00 pembayaran kandang Pasuruan RUDIONO</t>
  </si>
  <si>
    <t>2003/FTSCY/WS95031 400000.00 NURUL AINI 400000.00 NURUL AINI</t>
  </si>
  <si>
    <t>2003/FTSCY/WS95031 100000.00 NURUL AINI 100000.00 NURUL AINI</t>
  </si>
  <si>
    <t>2003/FTSCY/WS95051 138423220.00 ah fm  hairul 2/3 PHALOSARI UNGGUL J 138423220.00 ah fm  hairul 2/3 PHALOSARI UNGGUL J</t>
  </si>
  <si>
    <t>2003/FTSCY/WS95051 105154000.00 Pembelian ayam TRIJAYA LESTARI FO 105154000.00 Pembelian ayam TRIJAYA LESTARI FO</t>
  </si>
  <si>
    <t>2003/FTSCY/WS95051 51900000.00 Hoirul jbr 17 mrt SENTRAL NIAGA UNGG 51900000.00 Hoirul jbr 17 mrt SENTRAL NIAGA UNGG</t>
  </si>
  <si>
    <t>2003/FTSCY/WS95051 51600000.00 Hoirul jbr 17 mrt SENTRAL NIAGA UNGG 51600000.00 Hoirul jbr 17 mrt SENTRAL NIAGA UNGG</t>
  </si>
  <si>
    <t>2003/FTSCY/WS95031 47693500.00 Wed Mar 18 2026 14:00:00 GMT+0700 (Western Indonesia Time) BINTANG TAMA SANTO 47693500.00 Wed Mar 18 2026 14:00:00 GMT+0700 (Western Indonesia Time) BINTANG TAMA SANTO</t>
  </si>
  <si>
    <t>2003/FTSCY/WS95031 57750000.00 3500kg GATUT SETYO WIBOWO 57750000.00 3500kg GATUT SETYO WIBOWO</t>
  </si>
  <si>
    <t>2003/FTSCY/WS95271 52530000.00 Tue Mar 17 2026 14:00:00 GMT+0700 (Western Indonesia Time) GANESHA SATRIA NUS 52530000.00 Tue Mar 17 2026 14:00:00 GMT+0700 (Western Indonesia Time) GANESHA SATRIA NUS</t>
  </si>
  <si>
    <t>2003/FTSCY/WS95271 102508300.00 Tue Mar 17 2026 14:00:00 GMT+0700 (Western Indonesia Time) BINTANG TAMA SANTO 102508300.00 Tue Mar 17 2026 14:00:00 GMT+0700 (Western Indonesia Time) BINTANG TAMA SANTO</t>
  </si>
  <si>
    <t>2003/FTSCY/WS95271 51025500.00 Tue Mar 17 2026 14:00:00 GMT+0700 (Western Indonesia Time) ANUGERAH KARTIKA A 51025500.00 Tue Mar 17 2026 14:00:00 GMT+0700 (Western Indonesia Time) ANUGERAH KARTIKA A</t>
  </si>
  <si>
    <t>2003/FTSCY/WS95031 41861900.00 1703 ANDALAN YASA MITRA 41861900.00 1703 ANDALAN YASA MITRA</t>
  </si>
  <si>
    <t>2003/FTSCY/WS95271 10000000.00 Tue Mar 17 2026 14:00:00 GMT+0700 (Western Indonesia Time) ANDALAN YASA MITRA 10000000.00 Tue Mar 17 2026 14:00:00 GMT+0700 (Western Indonesia Time) ANDALAN YASA MITRA</t>
  </si>
  <si>
    <t>2003/FTSCY/WS95011 104800000.00 Tue Mar 17 2026 14:00:00 GMT+0700 (Western Indonesia Time) BROILER MAKMUR TAN 104800000.00 Tue Mar 17 2026 14:00:00 GMT+0700 (Western Indonesia Time) BROILER MAKMUR TAN</t>
  </si>
  <si>
    <t>TARIKAN ATM 20/03</t>
  </si>
  <si>
    <t>2103/FTFVA/WS95031 55569/PT PRIMA FAJ kd wahyudi pasurua n 40190 55569/PT PRIMA FAJ kd wahyudi pasurua n 40190</t>
  </si>
  <si>
    <t>2103/FTSCY/WS95031 15406250.00 swun bos RUDIONO 15406250.00 swun bos RUDIONO</t>
  </si>
  <si>
    <t>2103/FTSCY/WS95031 15490000.00 kd panji pasuruan BRANTAS ABADI SENT 15490000.00 kd panji pasuruan BRANTAS ABADI SENT</t>
  </si>
  <si>
    <t>2103/FTSCY/WS95051 121624560.00 ah fm hairul 3/3 PHALOSARI UNGGUL J 121624560.00 ah fm hairul 3/3 PHALOSARI UNGGUL J</t>
  </si>
  <si>
    <t>2103/FTSCY/WS95051 50100000.00 hoirul pas 19 mrt SENTRAL NIAGA UNGG 50100000.00 hoirul pas 19 mrt SENTRAL NIAGA UNGG</t>
  </si>
  <si>
    <t>2103/FTSCY/WS95051 100000000.00 krmn 21/3 TERA MULIA KORPORI 100000000.00 krmn 21/3 TERA MULIA KORPORI</t>
  </si>
  <si>
    <t>2103/FTSCY/WS95031 51246500.00 kd bromax perkasa tuban ANDALAN YASA MITRA 51246500.00 kd bromax perkasa tuban ANDALAN YASA MITRA</t>
  </si>
  <si>
    <t>2103/FTSCY/WS95031 11300000.00 pelunasan BRANTAS ABADI SENT 11300000.00 pelunasan BRANTAS ABADI SENT</t>
  </si>
  <si>
    <t>2103/FTSCY/WS95271 43250000.00 Tue Mar 17 2026 14:00:00 GMT+0700 (Western Indonesia Time) SUPER UNGGAS JAYA 43250000.00 Tue Mar 17 2026 14:00:00 GMT+0700 (Western Indonesia Time) SUPER UNGGAS JAYA</t>
  </si>
  <si>
    <t>2103/FTSCY/WS95271 50000000.00 pelunasan BROILER MAKMUR TAN 50000000.00 pelunasan BROILER MAKMUR TAN</t>
  </si>
  <si>
    <t>2103/FTSCY/WS95031 1054300.00 MUJIANTO 1054300.00 MUJIANTO</t>
  </si>
  <si>
    <t>2103/FTSCY/WS95031 2500000.00 HERMAWAN 2500000.00 HERMAWAN</t>
  </si>
  <si>
    <t>2103/FTSCY/WS95031 16700000.00 ZAINAL ARIFIN 16700000.00 ZAINAL ARIFIN</t>
  </si>
  <si>
    <t>2103/FTSCY/WS95031 1700000.00 NURUL AINI 1700000.00 NURUL AINI</t>
  </si>
  <si>
    <t>2103/FTSCY/WS95271 176436960.00 Tue Mar 17 2026 14:00:00 GMT+0700 (Western Indonesia Time) ANDALAN YASA MITRA 176436960.00 Tue Mar 17 2026 14:00:00 GMT+0700 (Western Indonesia Time) ANDALAN YASA MITRA</t>
  </si>
  <si>
    <t>21/03  WSID9503100 0865 PLN PREPAID 32104859353 MUHAMMAD HAIRUL MA 0865 PLN PREPAID 32104859353 MUHAMMAD HAIRUL MA</t>
  </si>
  <si>
    <t>2103/FTSCY/WS95031 56000000.00 lunas GATUT SETYO WIBOWO 56000000.00 lunas GATUT SETYO WIBOWO</t>
  </si>
  <si>
    <t>TRSF E-BANKING DB TANGGAL :21/03</t>
  </si>
  <si>
    <t>2103/FTSCY/WS95271 Thu Mar 19 2026 14:00:00 GMT+0700 (Western Indonesia Time) ANDALAN YASA MITRA Thu Mar 19 2026 14:00:00 GMT+0700 (Western Indonesia Time) ANDALAN YASA MITRA</t>
  </si>
  <si>
    <t>2103/FTSCY/WS95011 pelunasan 19/03 ANDALAN YASA MITRA pelunasan 19/03 ANDALAN YASA MITRA</t>
  </si>
  <si>
    <t>2103/FTSCY/WS95031 ktg 68 EKO SETIYAWAN ktg 68 EKO SETIYAWAN</t>
  </si>
  <si>
    <t>2203/FTSCY/WS95031 710000.00 MAYA NATIFAH 710000.00 MAYA NATIFAH</t>
  </si>
  <si>
    <t>TARIKAN ATM 22/03</t>
  </si>
  <si>
    <t>TRSF E-BANKING CR TANGGAL :22/03</t>
  </si>
  <si>
    <t>2203/FTSCY/WS95031 lunas GATUT SETYO WIBOWO lunas GATUT SETYO WIBOWO</t>
  </si>
  <si>
    <t>2303/FTSCY/WS95051 142690830.00 krmn 21/3 TERA MAKMURINDO CV 142690830.00 krmn 21/3 TERA MAKMURINDO CV</t>
  </si>
  <si>
    <t>2303/FTSCY/WS95051 351752440.00 krmn 21/3 TERA MULIA KORPORI 351752440.00 krmn 21/3 TERA MULIA KORPORI</t>
  </si>
  <si>
    <t>2303/FTSCY/WS95031 56000000.00 Fri Mar 20 2026 14:00:00 GMT+0700 (Western Indonesia Time) ANDALAN YASA MITRA 56000000.00 Fri Mar 20 2026 14:00:00 GMT+0700 (Western Indonesia Time) ANDALAN YASA MITRA</t>
  </si>
  <si>
    <t>2303/FTSCY/WS95271 109612000.00 Fri Mar 20 2026 14:00:00 GMT+0700 (Western Indonesia Time) LAJU SATWA WISESA 109612000.00 Fri Mar 20 2026 14:00:00 GMT+0700 (Western Indonesia Time) LAJU SATWA WISESA</t>
  </si>
  <si>
    <t>SETORAN VIA CDM</t>
  </si>
  <si>
    <t>23/03  WSID:ZQ4E1 MUHAMMAD HAIRUL MA MUHAMMAD HAIRUL MA</t>
  </si>
  <si>
    <t>2303/FTSCY/WS95031 8150000.00 SANDI FAJAR PRASET 8150000.00 SANDI FAJAR PRASET</t>
  </si>
  <si>
    <t>2303/FTSCY/WS95051 45342150.00 ah hairul tgl 4/3 PHALOSARI UNGGUL J 45342150.00 ah hairul tgl 4/3 PHALOSARI UNGGUL J</t>
  </si>
  <si>
    <t>2303/FTSCY/WS95031 1500000.00 BELA PRAMUDITA 1500000.00 BELA PRAMUDITA</t>
  </si>
  <si>
    <t>2303/FTSCY/WS95051 100000000.00 krmn 23/3 TERA MAKMURINDO CV 100000000.00 krmn 23/3 TERA MAKMURINDO CV</t>
  </si>
  <si>
    <t>2303/FTFVA/WS95031 55569/PT PRIMA FAJ Kd. Darimen mlg - 40190 55569/PT PRIMA FAJ Kd. Darimen mlg - 40190</t>
  </si>
  <si>
    <t>2303/FTSCY/WS95271 56680000.00 Fri Mar 20 2026 14:00:00 GMT+0700 (Western Indonesia Time) ANUGERAH KARTIKA A 56680000.00 Fri Mar 20 2026 14:00:00 GMT+0700 (Western Indonesia Time) ANUGERAH KARTIKA A</t>
  </si>
  <si>
    <t>2303/FTSCY/WS95271 86049600.00 Fri Mar 20 2026 14:00:00 GMT+0700 (Western Indonesia Time) BROILER MAKMUR TAN 86049600.00 Fri Mar 20 2026 14:00:00 GMT+0700 (Western Indonesia Time) BROILER MAKMUR TAN</t>
  </si>
  <si>
    <t>2303/FTSCY/WS95011 249062400.00 Fri Mar 20 2026 14:00:00 GMT+0700 (Western Indonesia Time) ANDALAN YASA MITRA 249062400.00 Fri Mar 20 2026 14:00:00 GMT+0700 (Western Indonesia Time) ANDALAN YASA MITRA</t>
  </si>
  <si>
    <t>2303/FTSCY/WS95011 48307050.00 Fri Mar 20 2026 14:00:00 GMT+0700 (Western Indonesia Time) BRANTAS ABADI SENT 48307050.00 Fri Mar 20 2026 14:00:00 GMT+0700 (Western Indonesia Time) BRANTAS ABADI SENT</t>
  </si>
  <si>
    <t>2303/FTFVA/WS95031 39010/DANA - - 81326518324 39010/DANA - - 81326518324</t>
  </si>
  <si>
    <t>2303/FTSCY/WS95031 16000000.00 Fri Mar 20 2026 14:00:00 GMT+0700 (Western Indonesia Time) ANDALAN YASA MITRA 16000000.00 Fri Mar 20 2026 14:00:00 GMT+0700 (Western Indonesia Time) ANDALAN YASA MITRA</t>
  </si>
  <si>
    <t>2303/FTSCY/WS95031 10000000.00 krg 58 EKO SETIYAWAN 10000000.00 krg 58 EKO SETIYAWAN</t>
  </si>
  <si>
    <t>2403/FTSCY/WS95051 93018510.00 ah hairul tgl 4/3 PHALOSARI UNGGUL J 93018510.00 ah hairul tgl 4/3 PHALOSARI UNGGUL J</t>
  </si>
  <si>
    <t>2403/FTSCY/WS95031 44800000.00 Fri Mar 20 2026 14:00:00 GMT+0700 (Western Indonesia Time) SUPER UNGGAS JAYA 44800000.00 Fri Mar 20 2026 14:00:00 GMT+0700 (Western Indonesia Time) SUPER UNGGAS JAYA</t>
  </si>
  <si>
    <t>2403/FTSCY/WS95051 46897250.00 krmn 23/3 TERA MAKMURINDO CV 46897250.00 krmn 23/3 TERA MAKMURINDO CV</t>
  </si>
  <si>
    <t>2403/FTSCY/WS95051 229295725.00 krmn 23/3 TERA MULIA KORPORI 229295725.00 krmn 23/3 TERA MULIA KORPORI</t>
  </si>
  <si>
    <t>2403/FTSCY/WS95271 61131200.00 Sun Mar 22 2026 14:00:00 GMT+0700 (Western Indonesia Time) LAJU SATWA WISESA 61131200.00 Sun Mar 22 2026 14:00:00 GMT+0700 (Western Indonesia Time) LAJU SATWA WISESA</t>
  </si>
  <si>
    <t>2403/FTSCY/WS95271 94373600.00 Sun Mar 22 2026 14:00:00 GMT+0700 (Western Indonesia Time) BINTANG TAMA SANTO 94373600.00 Sun Mar 22 2026 14:00:00 GMT+0700 (Western Indonesia Time) BINTANG TAMA SANTO</t>
  </si>
  <si>
    <t>2403/FTSCY/WS95271 44405900.00 Sun Mar 22 2026 14:00:00 GMT+0700 (Western Indonesia Time) BINTANG TAMA SANTO 44405900.00 Sun Mar 22 2026 14:00:00 GMT+0700 (Western Indonesia Time) BINTANG TAMA SANTO</t>
  </si>
  <si>
    <t>2403/FTSCY/WS95271 56000000.00 Sat Mar 21 2026 14:00:00 GMT+0700 (Western Indonesia Time) ANDALAN YASA MITRA 56000000.00 Sat Mar 21 2026 14:00:00 GMT+0700 (Western Indonesia Time) ANDALAN YASA MITRA</t>
  </si>
  <si>
    <t>2403/FTSCY/WS95271 38307050.00 Fri Mar 20 2026 14:00:00 GMT+0700 (Western Indonesia Time) BROILER MAKMUR TAN 38307050.00 Fri Mar 20 2026 14:00:00 GMT+0700 (Western Indonesia Time) BROILER MAKMUR TAN</t>
  </si>
  <si>
    <t>2403/FTSCY/WS95031 10000000.00 Fri Mar 20 2026 14:00:00 GMT+0700 (Western Indonesia Time) BROILER MAKMUR TAN 10000000.00 Fri Mar 20 2026 14:00:00 GMT+0700 (Western Indonesia Time) BROILER MAKMUR TAN</t>
  </si>
  <si>
    <t>BIF TRANSFER KE 2 PT BPR LESTARI NUS M-BCA 2 PT BPR LESTARI NUS M-BCA</t>
  </si>
  <si>
    <t>BIF BIAYA TXN KE 2 PT BPR LESTARI NUS M-BCA 2 PT BPR LESTARI NUS M-BCA</t>
  </si>
  <si>
    <t>2403/FTSCY/WS95051 47400000.00 hoirul jbr 20 mrt SENTRAL NIAGA UNGG 47400000.00 hoirul jbr 20 mrt SENTRAL NIAGA UNGG</t>
  </si>
  <si>
    <t>2403/FTSCY/WS95051 46200000.00 hoirul pas 22 mrt SENTRAL NIAGA UNGG 46200000.00 hoirul pas 22 mrt SENTRAL NIAGA UNGG</t>
  </si>
  <si>
    <t>2403/FTSCY/WS95051 117834600.00 ah 3800+3753.5x 15600 GEMILANG INTI SUKS 117834600.00 ah 3800+3753.5x 15600 GEMILANG INTI SUKS</t>
  </si>
  <si>
    <t>2403/FTSCY/WS95051 100000000.00 krmn 24/3 TERA MULIA KORPORI 100000000.00 krmn 24/3 TERA MULIA KORPORI</t>
  </si>
  <si>
    <t>2403/FTSCY/WS95011 243565080.00 Fri Mar 20 2026 14:00:00 GMT+0700 (Western Indonesia Time) ANDALAN YASA MITRA 243565080.00 Fri Mar 20 2026 14:00:00 GMT+0700 (Western Indonesia Time) ANDALAN YASA MITRA</t>
  </si>
  <si>
    <t>2403/FTFVA/WS95031 55569/PT PRIMA FAJ kd sodik proboling go 40190 55569/PT PRIMA FAJ kd sodik proboling go 40190</t>
  </si>
  <si>
    <t>2403/FTSCY/WS95031 15000000.00 pinjam GATUT SETYO WIBOWO 15000000.00 pinjam GATUT SETYO WIBOWO</t>
  </si>
  <si>
    <t>2403/FTFVA/WS95031 55569/PT PRIMA FAJ 6.7 ton - 40190 55569/PT PRIMA FAJ 6.7 ton - 40190</t>
  </si>
  <si>
    <t>2503/FTSCY/WS95051 194114200.00 krmn 24/3 TERA MULIA KORPORI 194114200.00 krmn 24/3 TERA MULIA KORPORI</t>
  </si>
  <si>
    <t>2503/FTSCY/WS95051 135981120.00 ah fm hairul 6/3 PHALOSARI UNGGUL J 135981120.00 ah fm hairul 6/3 PHALOSARI UNGGUL J</t>
  </si>
  <si>
    <t>2503/FTSCY/WS95051 98515570.00 krmn 24/3 TERA MAKMURINDO CV 98515570.00 krmn 24/3</t>
  </si>
  <si>
    <t>2503/FTSCY/WS95031 30004830.00 Mon Mar 23 2026 14:00:00 GMT+0700 (Western Indonesia Time) BINTANG TAMA SANTO 30004830.00 Mon Mar 23 2026 14:00:00 GMT+0700 (Western Indonesia Time) BINTANG TAMA SANTO</t>
  </si>
  <si>
    <t>2503/FTSCY/WS95031 46200000.00 Tue Mar 24 2026 14:00:00 GMT+0700 (Western Indonesia Time) ANUGERAH KARTIKA A 46200000.00 Tue Mar 24 2026 14:00:00 GMT+0700 (Western Indonesia Time) ANUGERAH KARTIKA A</t>
  </si>
  <si>
    <t>2503/FTSCY/WS95271 54250000.00 Mon Mar 23 2026 14:00:00 GMT+0700 (Western Indonesia Time) LAJU SATWA WISESA 54250000.00 Mon Mar 23 2026 14:00:00 GMT+0700 (Western Indonesia Time) LAJU SATWA WISESA</t>
  </si>
  <si>
    <t>2503/FTSCY/WS95271 90836200.00 Sun Mar 22 2026 14:00:00 GMT+0700 (Western Indonesia Time) ANDALAN YASA MITRA 90836200.00 Sun Mar 22 2026 14:00:00 GMT+0700 (Western Indonesia Time) ANDALAN YASA MITRA</t>
  </si>
  <si>
    <t>2503/FTSCY/WS95271 94748000.00 Sun Mar 22 2026 14:00:00 GMT+0700 (Western Indonesia Time) BROILER MAKMUR TAN 94748000.00 Sun Mar 22 2026 14:00:00 GMT+0700 (Western Indonesia Time) BROILER MAKMUR TAN</t>
  </si>
  <si>
    <t>2503/FTSCY/WS95271 59826400.00 Mon Mar 23 2026 14:00:00 GMT+0700 (Western Indonesia Time) ANDALAN YASA MITRA 59826400.00 Mon Mar 23 2026 14:00:00 GMT+0700 (Western Indonesia Time) ANDALAN YASA MITRA</t>
  </si>
  <si>
    <t>TARIKAN ATM 25/03</t>
  </si>
  <si>
    <t>2503/FTSCY/WS95051 59280000.00 AH 3800 15600 GEMILANG INTI SUKS 59280000.00 AH 3800 15600 GEMILANG INTI SUKS</t>
  </si>
  <si>
    <t>2503/FTSCY/WS95051 100000000.00 krmn 25/3 TERA MULIA KORPORI 100000000.00 krmn 25/3 TERA MULIA KORPORI</t>
  </si>
  <si>
    <t>2503/FTSCY/WS95011 93599280.00 Sun Mar 22 2026 14:00:00 GMT+0700 (Western Indonesia Time) SUPER UNGGAS JAYA 93599280.00 Sun Mar 22 2026 14:00:00 GMT+0700 (Western Indonesia Time) SUPER UNGGAS JAYA</t>
  </si>
  <si>
    <t>2503/FTSCY/WS95031 1223520.00 NURHAYATI 1223520.00 NURHAYATI</t>
  </si>
  <si>
    <t>2503/FTSCY/WS95051 93144900.00 SIDO RAYA UTAMA CV 93144900.00 SIDO RAYA UTAMA CV</t>
  </si>
  <si>
    <t>2503/FTSCY/WS95011 130169250.00 Sun Mar 22 2026 14:00:00 GMT+0700 (Western Indonesia Time) BROILER MAKMUR TAN 130169250.00 Sun Mar 22 2026 14:00:00 GMT+0700 (Western Indonesia Time) BROILER MAKMUR TAN</t>
  </si>
  <si>
    <t>2603/FTSCY/WS95031 43400000.00 Mon Mar 23 2026 14:00:00 GMT+0700 (Western Indonesia Time) BINTANG TAMA SANTO 43400000.00 Mon Mar 23 2026 14:00:00 GMT+0700 (Western Indonesia Time) BINTANG TAMA SANTO</t>
  </si>
  <si>
    <t>26/03  WSID9503102 1220 TELKOMSEL 82318368518 MUHAMMAD HAIRUL MA 1220 TELKOMSEL 82318368518 MUHAMMAD HAIRUL MA</t>
  </si>
  <si>
    <t>2603/FTSCY/WS95031 868000.00 HALIM IBRAHIM 868000.00 HALIM IBRAHIM</t>
  </si>
  <si>
    <t>2603/FTSCY/WS95051 54020000.00 pembayaran ayam an Amartha ANUGERAH MAKMUR AR 54020000.00 pembayaran ayam an Amartha ANUGERAH MAKMUR AR</t>
  </si>
  <si>
    <t>2603/FTSCY/WS95051 40000000.00 pembayaran ayam an Amartha ANUGERAH MAKMUR AR 40000000.00 pembayaran ayam an Amartha ANUGERAH MAKMUR AR</t>
  </si>
  <si>
    <t>BI-FAST CR</t>
  </si>
  <si>
    <t>BIF TRANSFER DR 494 GABRIEL HENDRA KUR 494 GABRIEL HENDRA KUR</t>
  </si>
  <si>
    <t>2603/FTSCY/WS95271 108040000.00 pemb. an. amartha BAMBANG SUSILO 108040000.00 pemb. an. amartha BAMBANG SUSILO</t>
  </si>
  <si>
    <t>2603/FTSCY/WS95271 75700000.00 kd. matraji jbr PITIK DIGITAL INDO 75700000.00 kd. matraji jbr PITIK DIGITAL INDO</t>
  </si>
  <si>
    <t>2603/FTSCY/WS95031 69715400.00 lunas GATUT SETYO WIBOWO 69715400.00 lunas GATUT SETYO WIBOWO</t>
  </si>
  <si>
    <t>26/03 /Z8KB1/00000 ZAINAL ARIFIN ZAINAL ARIFIN</t>
  </si>
  <si>
    <t>2603/FTSCY/WS95271 95000000.00 Mon Mar 23 2026 14:00:00 GMT+0700 (Western Indonesia Time) ANDALAN YASA MITRA 95000000.00 Mon Mar 23 2026 14:00:00 GMT+0700 (Western Indonesia Time) ANDALAN YASA MITRA</t>
  </si>
  <si>
    <t>2603/FTSCY/WS95271 5148090.00 NURHAYATI 5148090.00 NURHAYATI</t>
  </si>
  <si>
    <t>2603/FTSCY/WS95271 2000000.00 HERMAWAN 2000000.00 HERMAWAN</t>
  </si>
  <si>
    <t>2703/FTSCY/WS95051 45128800.00 ah hairul tg 7/3 PHALOSARI UNGGUL J 45128800.00 ah hairul tg 7/3 PHALOSARI UNGGUL J</t>
  </si>
  <si>
    <t>2703/FTSCY/WS95051 201308325.00 krmn 25/3 TERA MULIA KORPORI 201308325.00 krmn 25/3 TERA MULIA KORPORI</t>
  </si>
  <si>
    <t>2703/FTSCY/WS95031 89977580.00 Wed Mar 25 2026 14:00:00 GMT+0700 (Western Indonesia Time) BINTANG TAMA SANTO 89977580.00 Wed Mar 25 2026 14:00:00 GMT+0700 (Western Indonesia Time) BINTANG TAMA SANTO</t>
  </si>
  <si>
    <t>2703/FTSCY/WS95271 101789450.00 Mon Mar 23 2026 14:00:00 GMT+0700 (Western Indonesia Time) BROILER MAKMUR TAN 101789450.00 Mon Mar 23 2026 14:00:00 GMT+0700 (Western Indonesia Time) BROILER MAKMUR TAN</t>
  </si>
  <si>
    <t>2703/FTSCY/WS95271 57077400.00 Tue Mar 24 2026 14:00:00 GMT+0700 (Western Indonesia Time) GANESHA SATRIA NUS 57077400.00 Tue Mar 24 2026 14:00:00 GMT+0700 (Western Indonesia Time) GANESHA SATRIA NUS</t>
  </si>
  <si>
    <t>2703/FTSCY/WS95051 46800000.00 Hoirul mlg 23 mrt SENTRAL NIAGA UNGG 46800000.00 Hoirul mlg 23 mrt SENTRAL NIAGA UNGG</t>
  </si>
  <si>
    <t>2703/FTSCY/WS95051 46800000.00 Hoirul ngw 24 mrt SENTRAL NIAGA UNGG 46800000.00 Hoirul ngw 24 mrt SENTRAL NIAGA UNGG</t>
  </si>
  <si>
    <t>2703/FTSCY/WS95031 5000000.00 pelunasan GANESHA SATRIA NUS 5000000.00 pelunasan GANESHA SATRIA NUS</t>
  </si>
  <si>
    <t>2703/FTSCY/WS95271 36960000.00 kd suto jbr SURYA INTI TERNAK 36960000.00 kd suto jbr SURYA INTI TERNAK</t>
  </si>
  <si>
    <t>2703/FTSCY/WS95271 33144750.00 Mon Mar 23 2026 14:00:00 GMT+0700 (Western Indonesia Time) ANDALAN YASA MITRA 33144750.00 Mon Mar 23 2026 14:00:00 GMT+0700 (Western Indonesia Time) ANDALAN YASA MITRA</t>
  </si>
  <si>
    <t>2703/FTSCY/WS95271 15795000.00 Wed Feb 25 2026 15:00:00 GMT+0700 (Western Indonesia Time) PITIK DIGITAL INDO 15795000.00 Wed Feb 25 2026 15:00:00 GMT+0700 (Western Indonesia Time) PITIK DIGITAL INDO</t>
  </si>
  <si>
    <t>2703/FTSCY/WS95051 106593920.00 Clossing 26 maret 7059.2Kg/2Ret SUGENG MARIONO 106593920.00 Clossing 26 maret 7059.2Kg/2Ret SUGENG MARIONO</t>
  </si>
  <si>
    <t>2703/FTFVA/WS95031 55574/GUNA MITRA S Kd. Rusni rembang jtg 7 ton 200177 55574/GUNA MITRA S Kd. Rusni rembang jtg 7 ton 200177</t>
  </si>
  <si>
    <t>2703/FTSCY/WS95271 5170900.00 krg 79.6 jt EKO SETIYAWAN 5170900.00 krg 79.6 jt EKO SETIYAWAN</t>
  </si>
  <si>
    <t>2703/FTSCY/WS95051 48900000.00 UM AYAM HAIRUL TGL 27/3/2023 SUCI RAHARJO PT 48900000.00 UM AYAM HAIRUL TGL 27/3/2023 SUCI RAHARJO PT</t>
  </si>
  <si>
    <t>2703/FTSCY/WS95051 100000000.00 krmn 27/3 TERA MULIA KORPORI 100000000.00 krmn 27/3 TERA MULIA KORPORI</t>
  </si>
  <si>
    <t>2703/FTSCY/WS95011 134816760.00 Tue Mar 24 2026 14:00:00 GMT+0700 (Western Indonesia Time) SUPER UNGGAS JAYA 134816760.00 Tue Mar 24 2026 14:00:00 GMT+0700 (Western Indonesia Time) SUPER UNGGAS JAYA</t>
  </si>
  <si>
    <t>2703/FTSCY/WS95271 8008050.00 MUJIANTO 8008050.00 MUJIANTO</t>
  </si>
  <si>
    <t>2703/FTSCY/WS95271 6000000.00 EKO SETIYAWAN 6000000.00 EKO SETIYAWAN</t>
  </si>
  <si>
    <t>2703/FTSCY/WS95051 54115050.00 SIDO RAYA UTAMA CV 54115050.00 SIDO RAYA UTAMA CV</t>
  </si>
  <si>
    <t>2703/FTSCY/WS95271 3000000.00 SANDI FAJAR PRASET 3000000.00 SANDI FAJAR PRASET</t>
  </si>
  <si>
    <t>2703/FTSCY/WS95031 47740000.00 lunas GATUT SETYO WIBOWO 47740000.00 lunas GATUT SETYO WIBOWO</t>
  </si>
  <si>
    <t>2703/FTSCY/WS95011 60637500.00 Tue Mar 24 2026 14:00:00 GMT+0700 (Western Indonesia Time) DINA WIRANTI 60637500.00 Tue Mar 24 2026 14:00:00 GMT+0700 (Western Indonesia Time) DINA WIRANTI</t>
  </si>
  <si>
    <t>2703/FTSCY/WS95011 43706900.00 Tue Mar 24 2026 14:00:00 GMT+0700 (Western Indonesia Time) BROILER MAKMUR TAN 43706900.00 Tue Mar 24 2026 14:00:00 GMT+0700 (Western Indonesia Time) BROILER MAKMUR TAN</t>
  </si>
  <si>
    <t>2703/FTSCY/WS95031 150000.00 DANIEL FARIZ 150000.00 DANIEL FARIZ</t>
  </si>
  <si>
    <t>2803/FTSCY/WS95051 111208500.00 krmn 27/3 TERA MAKMURINDO CV 111208500.00 krmn 27/3 TERA MAKMURINDO CV</t>
  </si>
  <si>
    <t>2803/FTSCY/WS95031 49764000.00 farm jude bws LAWU ABADI NUSA PT 49764000.00 farm jude bws LAWU ABADI NUSA PT</t>
  </si>
  <si>
    <t>2803/FTSCY/WS95031 3732100.00 pelunasan BRANTAS ABADI SENT 3732100.00 pelunasan BRANTAS ABADI SENT</t>
  </si>
  <si>
    <t>2803/FTSCY/WS95031 1028250.00 ANDE DOSO ANGGORO 1028250.00 ANDE DOSO ANGGORO</t>
  </si>
  <si>
    <t>2803/FTSCY/WS95271 49698750.00 kd sukipto blora TUMBUH OPTIMAL PRI 49698750.00 kd sukipto blora TUMBUH OPTIMAL PRI</t>
  </si>
  <si>
    <t>2803/FTSCY/WS95051 262228240.00 krmn 27/3 TERA MULIA KORPORI 262228240.00 krmn 27/3 TERA MULIA KORPORI</t>
  </si>
  <si>
    <t>2803/FTSCY/WS95271 101499860.00 Thu Mar 26 2026 14:00:00 GMT+0700 (Western Indonesia Time) BINTANG TAMA SANTO 101499860.00 Thu Mar 26 2026 14:00:00 GMT+0700 (Western Indonesia Time) BINTANG TAMA SANTO</t>
  </si>
  <si>
    <t>2803/FTSCY/WS95271 100750000.00 Tue Mar 24 2026 14:00:00 GMT+0700 (Western Indonesia Time) BROILER MAKMUR TAN 100750000.00 Tue Mar 24 2026 14:00:00 GMT+0700 (Western Indonesia Time) BROILER MAKMUR TAN</t>
  </si>
  <si>
    <t>2803/FTSCY/WS95051 108752220.00 ah fm hairul 10/3 PHALOSARI UNGGUL J 108752220.00 ah fm hairul 10/3 PHALOSARI UNGGUL J</t>
  </si>
  <si>
    <t>2803/FTSCY/WS95271 43550000.00 Thu Mar 26 2026 14:00:00 GMT+0700 (Western Indonesia Time) BINTANG TAMA SANTO 43550000.00 Thu Mar 26 2026 14:00:00 GMT+0700 (Western Indonesia Time) BINTANG TAMA SANTO</t>
  </si>
  <si>
    <t>2803/FTSCY/WS95031 10000000.00 pelunasan 26.3 BINTANG TAMA SANTO 10000000.00 pelunasan 26.3 BINTANG TAMA SANTO</t>
  </si>
  <si>
    <t>2803/FTSCY/WS95031 3581970.00 ANDALAN YASA MITRA 3581970.00 ANDALAN YASA MITRA</t>
  </si>
  <si>
    <t>2803/FTSCY/WS95031 122400.00 pelunasan BINTANG TAMA SANTO 122400.00 pelunasan BINTANG TAMA SANTO</t>
  </si>
  <si>
    <t>2803/FTSCY/WS95031 3000000.00 SANDI FAJAR PRASET 3000000.00 SANDI FAJAR PRASET</t>
  </si>
  <si>
    <t>BIF TRANSFER KE 9 NOUVAL HOLQI RISKU M-BCA 9 NOUVAL HOLQI RISKU M-BCA</t>
  </si>
  <si>
    <t>BIF BIAYA TXN KE 9 NOUVAL HOLQI RISKU M-BCA 9 NOUVAL HOLQI RISKU M-BCA</t>
  </si>
  <si>
    <t>2803/FTSCY/WS95031 15669800.00 krg 77 jt EKO SETIYAWAN 15669800.00 krg 77 jt EKO SETIYAWAN</t>
  </si>
  <si>
    <t>2803/FTSCY/WS95051 6493639.00 AYAM HAIRUL TGL 27/3/2023 SUCI RAHARJO PT 6493639.00 AYAM HAIRUL TGL 27/3/2023 SUCI RAHARJO PT</t>
  </si>
  <si>
    <t>2803/FTSCY/WS95051 100000000.00 krmn 28/3 TERA MULIA KORPORI 100000000.00 krmn 28/3 TERA MULIA KORPORI</t>
  </si>
  <si>
    <t>2803/FTSCY/WS95011 166234400.00 Thu Mar 26 2026 14:00:00 GMT+0700 (Western Indonesia Time) ANDALAN YASA MITRA 166234400.00 Thu Mar 26 2026 14:00:00 GMT+0700 (Western Indonesia Time) ANDALAN YASA MITRA</t>
  </si>
  <si>
    <t>2803/FTSCY/WS95051 211467900.00 SIDO RAYA UTAMA CV 211467900.00 SIDO RAYA UTAMA CV</t>
  </si>
  <si>
    <t>2803/FTSCY/WS95031 46200000.00 lunas GATUT SETYO WIBOWO 46200000.00 lunas GATUT SETYO WIBOWO</t>
  </si>
  <si>
    <t>2803/FTSCY/WS95271 2706840.00 Pengembalian untuk Amartha ROZAL NUR SYAHBANA 2706840.00 Pengembalian untuk Amartha ROZAL NUR SYAHBANA</t>
  </si>
  <si>
    <t>2803/FTSCY/WS95031 6114870.00 DWI HERMANSYAH 6114870.00 DWI HERMANSYAH</t>
  </si>
  <si>
    <t>2803/FTSCY/WS95031 4191000.00 HERMAWAN 4191000.00 HERMAWAN</t>
  </si>
  <si>
    <t>2803/FTSCY/WS95031 2404320.00 blitar lidia MUJIANTO 2404320.00 blitar lidia MUJIANTO</t>
  </si>
  <si>
    <t>2803/FTSCY/WS95011 44712850.00 Thu Mar 26 2026 14:00:00 GMT+0700 (Western Indonesia Time) ANDALAN YASA MITRA 44712850.00 Thu Mar 26 2026 14:00:00 GMT+0700 (Western Indonesia Time) ANDALAN YASA MITRA</t>
  </si>
  <si>
    <t>2803/FTSCY/WS95011 7516190.00 pengembalian dana ANUGERAH MAKMUR AR 7516190.00 pengembalian dana ANUGERAH MAKMUR AR</t>
  </si>
  <si>
    <t>2803/FTSCY/WS95011 3612510.00 NURHAYATI 3612510.00 NURHAYATI</t>
  </si>
  <si>
    <t>2803/FTSCY/WS95011 227528500.00 Thu Mar 26 2026 14:00:00 GMT+0700 (Western Indonesia Time) krg 50 jt SUPER UNGGAS JAYA 227528500.00 Thu Mar 26 2026 14:00:00 GMT+0700 (Western Indonesia Time) krg 50 jt SUPER UNGGAS JAYA</t>
  </si>
  <si>
    <t>TARIKAN ATM 28/03</t>
  </si>
  <si>
    <t>2903/FTSCY/WS95051 46206100.00 krmn 28/3 TERA MAKMURINDO CV 46206100.00 krmn 28/3 TERA MAKMURINDO CV</t>
  </si>
  <si>
    <t>2903/FTSCY/WS95051 167089725.00 krmn 28/3 TERA MULIA KORPORI 167089725.00 krmn 28/3 TERA MULIA KORPORI</t>
  </si>
  <si>
    <t>2903/FTSCY/WS95051 674180.00 kekurangan 27/3 TERA MAKMURINDO CV 674180.00 kekurangan 27/3 TERA MAKMURINDO CV</t>
  </si>
  <si>
    <t>2903/FTSCY/WS95271 152221300.00 Fri Mar 27 2026 14:00:00 GMT+0700 (Western Indonesia Time) ANDALAN YASA MITRA 152221300.00 Fri Mar 27 2026 14:00:00 GMT+0700 (Western Indonesia Time) ANDALAN YASA MITRA</t>
  </si>
  <si>
    <t>2903/FTSCY/WS95271 96500000.00 pelunasan 26/03 SUPER UNGGAS JAYA 96500000.00 pelunasan 26/03 SUPER UNGGAS JAYA</t>
  </si>
  <si>
    <t>2903/FTSCY/WS95271 36936500.00 Sat Mar 28 2026 14:00:00 GMT+0700 (Western Indonesia Time) BINTANG TAMA SANTO 36936500.00 Sat Mar 28 2026 14:00:00 GMT+0700 (Western Indonesia Time) BINTANG TAMA SANTO</t>
  </si>
  <si>
    <t>2903/FTSCY/WS95051 100000000.00 krmn 29/3 TERA MULIA KORPORI 100000000.00 krmn 29/3 TERA MULIA KORPORI</t>
  </si>
  <si>
    <t>2903/FTSCY/WS95051 47914740.00 ah hairul tg 13/3 PHALOSARI UNGGUL J 47914740.00 ah hairul tg 13/3 PHALOSARI UNGGUL J</t>
  </si>
  <si>
    <t>2903/FTSCY/WS95051 118692600.00 ah 3808.5+3800x 15600 GEMILANG INTI SUKS 118692600.00 ah 3808.5+3800x 15600 GEMILANG INTI SUKS</t>
  </si>
  <si>
    <t>2903/FTFVA/WS95031 55569/PT PRIMA FAJ kd totok B mlg 380 0kg 40190 55569/PT PRIMA FAJ kd totok B mlg 380 0kg 40190</t>
  </si>
  <si>
    <t>2903/FTSCY/WS95011 157276950.00 Fri Mar 27 2026 14:00:00 GMT+0700 (Western Indonesia Time) BINTANG TAMA SANTO 157276950.00 Fri Mar 27 2026 14:00:00 GMT+0700 (Western Indonesia Time) BINTANG TAMA SANTO</t>
  </si>
  <si>
    <t>2903/FTSCY/WS95031 44553000.00 Fri Mar 27 2026 14:00:00 GMT+0700 (Western Indonesia Time) BROILER MAKMUR TAN 44553000.00 Fri Mar 27 2026 14:00:00 GMT+0700 (Western Indonesia Time) BROILER MAKMUR TAN</t>
  </si>
  <si>
    <t>2903/FTSCY/WS95011 93148800.00 WAHYU MEGA ARSITA 93148800.00 WAHYU MEGA ARSITA</t>
  </si>
  <si>
    <t>2903/FTSCY/WS95031 15000000.00 EKO SETIYAWAN 15000000.00 EKO SETIYAWAN</t>
  </si>
  <si>
    <t>2903/FTSCY/WS95031 4660860.00 DWI HERMANSYAH 4660860.00 DWI HERMANSYAH</t>
  </si>
  <si>
    <t>2903/FTSCY/WS95031 1400000.00 HERMAWAN 1400000.00 HERMAWAN</t>
  </si>
  <si>
    <t>2903/FTSCY/WS95051 143645700.00 SIDO RAYA UTAMA CV 143645700.00 SIDO RAYA UTAMA CV</t>
  </si>
  <si>
    <t>2903/FTSCY/WS95031 3408300.00 MUJIANTO 3408300.00 MUJIANTO</t>
  </si>
  <si>
    <t>2903/FTSCY/WS95011 90784780.00 Fri Mar 27 2026 14:00:00 GMT+0700 (Western Indonesia Time) BROILER MAKMUR TAN 90784780.00 Fri Mar 27 2026 14:00:00 GMT+0700 (Western Indonesia Time) BROILER MAKMUR TAN</t>
  </si>
  <si>
    <t>2903/FTSCY/WS95011 74084150.00 Sat Mar 28 2026 14:00:00 GMT+0700 (Western Indonesia Time) ANUGERAH KARTIKA A 74084150.00 Sat Mar 28 2026 14:00:00 GMT+0700 (Western Indonesia Time) ANUGERAH KARTIKA A</t>
  </si>
  <si>
    <t>2903/FTSCY/WS95271 10384800.00 krg 90 jt EKO SETIYAWAN 10384800.00 krg 90 jt EKO SETIYAWAN</t>
  </si>
  <si>
    <t>TRSF E-BANKING DB TANGGAL :29/03</t>
  </si>
  <si>
    <t>2903/FTSCY/WS95011 kd eko w sragen 3500kg PRIMA JAYA BERSATU kd eko w sragen 3500kg PRIMA JAYA BERSATU</t>
  </si>
  <si>
    <t>3003/FTSCY/WS95051 98812680.00 krmn 29/3 TERA MAKMURINDO CV 98812680.00 krmn 29/3 TERA MAKMURINDO CV</t>
  </si>
  <si>
    <t>3003/FTSCY/WS95051 343212025.00 krmn 29/3 TERA MULIA KORPORI 343212025.00 krmn 29/3 TERA MULIA KORPORI</t>
  </si>
  <si>
    <t>3003/FTSCY/WS95051 46815600.00 hoirul mlg 28 mrt SENTRAL NIAGA UNGG 46815600.00 hoirul mlg 28 mrt SENTRAL NIAGA UNGG</t>
  </si>
  <si>
    <t>3003/FTSCY/WS95271 155227850.00 Sat Mar 28 2026 14:00:00 GMT+0700 (Western Indonesia Time) ANDALAN YASA MITRA 155227850.00 Sat Mar 28 2026 14:00:00 GMT+0700 (Western Indonesia Time) ANDALAN YASA MITRA</t>
  </si>
  <si>
    <t>3003/FTSCY/WS95271 40741750.00 Sat Mar 28 2026 14:00:00 GMT+0700 (Western Indonesia Time) BINTANG TAMA SANTO 40741750.00 Sat Mar 28 2026 14:00:00 GMT+0700 (Western Indonesia Time) BINTANG TAMA SANTO</t>
  </si>
  <si>
    <t>3003/FTSCY/WS95271 94635250.00 Sat Mar 28 2026 14:00:00 GMT+0700 (Western Indonesia Time) PITIK DIGITAL INDO 94635250.00 Sat Mar 28 2026 14:00:00 GMT+0700 (Western Indonesia Time) PITIK DIGITAL INDO</t>
  </si>
  <si>
    <t>3003/FTSCY/WS95051 72167380.00 ah hairul tg 14/3 PHALOSARI UNGGUL J 72167380.00 ah hairul tg 14/3 PHALOSARI UNGGUL J</t>
  </si>
  <si>
    <t>3003/FTSCY/WS95051 61180000.00 ah 3800x16100 GEMILANG INTI SUKS 61180000.00 ah 3800x16100 GEMILANG INTI SUKS</t>
  </si>
  <si>
    <t>3003/FTSCY/WS95031 60800000.00 kd bayu aji ponoro go 3800kg UNGGAS MANDIRI BER 60800000.00 kd bayu aji ponoro go 3800kg UNGGAS MANDIRI BER</t>
  </si>
  <si>
    <t>3003/FTSCY/WS95011 137792520.00 Sat Mar 28 2026 14:00:00 GMT+0700 (Western Indonesia Time) BROILER MAKMUR TAN 137792520.00 Sat Mar 28 2026 14:00:00 GMT+0700 (Western Indonesia Time) BROILER MAKMUR TAN</t>
  </si>
  <si>
    <t>3003/FTSCY/WS95011 142218700.00 Sat Mar 28 2026 14:00:00 GMT+0700 (Western Indonesia Time) krg 200 jt SUPER UNGGAS JAYA</t>
  </si>
  <si>
    <t>3003/FTSCY/WS95011 47742240.00 WAHYU MEGA ARSITA</t>
  </si>
  <si>
    <t>TRSF E-BANKING DB TANGGAL :30/03</t>
  </si>
  <si>
    <t>3003/FTSCY/WS95271 MUHAMMAD HAIRUL MA</t>
  </si>
  <si>
    <t>3003/FTSCY/WS95031 NURHAYATI</t>
  </si>
  <si>
    <t>TRSF E-BANKING CR TANGGAL :30/03</t>
  </si>
  <si>
    <t>3003/FTSCY/WS95051 SIDO RAYA UTAMA CV</t>
  </si>
  <si>
    <t>3103/FTSCY/WS95271 101070900.00 Sat Mar 28 2026 14:00:00 GMT+0700 (Western Indonesia Time) ANDALAN YASA MITRA</t>
  </si>
  <si>
    <t>LLG-MANDIRI SUPER FAMOUS CHICK Pembelian ayam hid up</t>
  </si>
  <si>
    <t>3103/FTSCY/WS95051 49773360.00 krmn 30/3 HENDY BENEDICT LEO</t>
  </si>
  <si>
    <t>3103/FTSCY/WS95051 359244520.00 krmn 30/3 TERA MULIA KORPORI</t>
  </si>
  <si>
    <t>3103/FTSCY/WS95031 45723000.00 Sun Mar 29 2026 14:00:00 GMT+0700 (Western Indonesia Time) TUMBUH OPTIMAL PRI</t>
  </si>
  <si>
    <t>3103/FTSCY/WS95031 44933400.00 Sun Mar 29 2026 14:00:00 GMT+0700 (Western Indonesia Time) PT BERLIAN INDOMIT</t>
  </si>
  <si>
    <t>3103/FTSCY/WS95271 48000000.00 Sun Mar 29 2026 14:00:00 GMT+0700 (Western Indonesia Time) GANESHA SATRIA NUS</t>
  </si>
  <si>
    <t>3103/FTSCY/WS95271 70000000.00 pelunasan ANDALAN YASA MITRA</t>
  </si>
  <si>
    <t>3103/FTSCY/WS95271 44905140.00 Sun Mar 29 2026 14:00:00 GMT+0700 (Western Indonesia Time) BINTANG TAMA SANTO</t>
  </si>
  <si>
    <t>3103/FTSCY/WS95051 100011120.00 ah hairul tgl 14/3 PHALOSARI UNGGUL J</t>
  </si>
  <si>
    <t>3103/FTSCY/WS95051 61180000.00 ah 3800x16100 GEMILANG INTI SUKS</t>
  </si>
  <si>
    <t>OPERASIONAL</t>
  </si>
  <si>
    <t>3103/FTSCY/WS95031 654000.00 FERLINDA ANGGI KUS</t>
  </si>
  <si>
    <t>3103/FTSCY/WS95011 262306900.00 pemb. 28 dan 29/03 SUPER UNGGAS JAYA</t>
  </si>
  <si>
    <t>3103/FTFVA/WS95031 55569/PT PRIMA FAJ kd suwarno mlg 3 t on 40190</t>
  </si>
  <si>
    <t>3103/FTSCY/WS95011 83089380.00 Sun Mar 29 2026 14:00:00 GMT+0700 (Western Indonesia Time) BROILER MAKMUR TAN</t>
  </si>
  <si>
    <t>3103/FTSCY/WS95051 100000000.00 krmn 31/3 TERA MULIA KORPORI</t>
  </si>
  <si>
    <t>3103/FTSCY/WS95271 19193800.00 krg 90 jt EKO SETIYAWAN</t>
  </si>
  <si>
    <t>3103/FTSCY/WS95031 1600000.00 SUNARTO</t>
  </si>
  <si>
    <t>3103/FTSCY/WS95031 4476050.00 HERMAWAN</t>
  </si>
  <si>
    <t>3103/FTSCY/WS95051 48300000.00 hoirul mlg 29 mrt SENTRAL NIAGA UNGG</t>
  </si>
  <si>
    <t>3103/FTSCY/WS95051 42098850.00 SIDO RAYA UTAMA CV</t>
  </si>
  <si>
    <t>3103/FTSCY/WS95011 154142160.00 Sun Mar 29 2026 14:00:00 GMT+0700 (Western Indonesia Time) BINTANG TAMA SANTO</t>
  </si>
  <si>
    <t>DR KOREKSI BUNGA</t>
  </si>
  <si>
    <t>BUNGA</t>
  </si>
  <si>
    <t>PAJAK BUNGA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</si>
</sst>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&quot;/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2" numFmtId="2" xfId="0" applyAlignment="1" applyFont="1" applyNumberFormat="1">
      <alignment vertical="bottom"/>
    </xf>
    <xf borderId="0" fillId="0" fontId="1" numFmtId="165" xfId="0" applyFont="1" applyNumberFormat="1"/>
    <xf borderId="0" fillId="0" fontId="2" numFmtId="2" xfId="0" applyAlignment="1" applyFont="1" applyNumberFormat="1">
      <alignment readingOrder="0" vertical="bottom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16.5"/>
    <col customWidth="1" min="4" max="4" width="16.88"/>
    <col customWidth="1" min="6" max="6" width="5.88"/>
  </cols>
  <sheetData>
    <row r="1">
      <c r="A1" s="1"/>
      <c r="B1" s="2"/>
      <c r="D1" s="3"/>
      <c r="E1" s="3"/>
      <c r="F1" s="6"/>
      <c r="G1" s="6"/>
      <c r="H1" s="3"/>
      <c r="I1" s="8"/>
    </row>
    <row r="2">
      <c r="A2" s="1">
        <v>46082.0</v>
      </c>
      <c r="B2" s="2" t="s">
        <v>0</v>
      </c>
      <c r="D2" s="3"/>
      <c r="E2" s="3">
        <f>SUM(E3:E563) </f>
        <v>16688531845</v>
      </c>
      <c r="F2" s="6"/>
      <c r="G2" s="6">
        <v>7.712326984E7</v>
      </c>
      <c r="H2" s="3"/>
      <c r="I2" s="8"/>
    </row>
    <row r="3">
      <c r="A3" s="1">
        <v>46082.0</v>
      </c>
      <c r="B3" s="2" t="s">
        <v>1</v>
      </c>
      <c r="C3" s="2" t="s">
        <v>2</v>
      </c>
      <c r="D3" s="6">
        <v>5.845E7</v>
      </c>
      <c r="E3" s="3"/>
      <c r="F3" s="6" t="s">
        <v>3</v>
      </c>
      <c r="G3" s="3">
        <f>G2-D3+E3</f>
        <v>18673269.84</v>
      </c>
      <c r="H3" s="6">
        <v>1.867326984E7</v>
      </c>
      <c r="I3" s="10" t="s">
        <v>4</v>
      </c>
    </row>
    <row r="4">
      <c r="A4" s="1">
        <v>46082.0</v>
      </c>
      <c r="B4" s="2" t="s">
        <v>5</v>
      </c>
      <c r="C4" s="2" t="s">
        <v>6</v>
      </c>
      <c r="D4" s="6"/>
      <c r="E4" s="6">
        <v>5.285E7</v>
      </c>
      <c r="F4" s="6" t="s">
        <v>7</v>
      </c>
      <c r="G4" s="3">
        <f t="array" ref="G4:G563">SCAN(G3, MAP(D4:D563, E4:E563, LAMBDA(d, c, IF(AND(d="", c=""), "", N(c) - N(d)))), LAMBDA(saldo, mutasi, IF(mutasi="", "", saldo + mutasi)))</f>
        <v>71523269.84</v>
      </c>
      <c r="H4" s="3"/>
      <c r="I4" s="8" t="s">
        <v>4</v>
      </c>
    </row>
    <row r="5">
      <c r="A5" s="1">
        <v>46082.0</v>
      </c>
      <c r="B5" s="2" t="s">
        <v>8</v>
      </c>
      <c r="C5" s="2" t="s">
        <v>9</v>
      </c>
      <c r="D5" s="6">
        <v>1435000.0</v>
      </c>
      <c r="E5" s="3"/>
      <c r="F5" s="6" t="s">
        <v>3</v>
      </c>
      <c r="G5" s="3">
        <v>7.008826984E7</v>
      </c>
      <c r="H5" s="6"/>
      <c r="I5" s="8" t="s">
        <v>10</v>
      </c>
    </row>
    <row r="6">
      <c r="A6" s="1">
        <v>46082.0</v>
      </c>
      <c r="B6" s="2" t="s">
        <v>8</v>
      </c>
      <c r="C6" s="2" t="s">
        <v>11</v>
      </c>
      <c r="D6" s="6">
        <v>4.95E7</v>
      </c>
      <c r="E6" s="3"/>
      <c r="F6" s="6" t="s">
        <v>3</v>
      </c>
      <c r="G6" s="3">
        <v>2.0588269840000004E7</v>
      </c>
      <c r="H6" s="6"/>
      <c r="I6" s="10" t="s">
        <v>4</v>
      </c>
    </row>
    <row r="7">
      <c r="A7" s="1">
        <v>46082.0</v>
      </c>
      <c r="B7" s="2" t="s">
        <v>8</v>
      </c>
      <c r="C7" s="2" t="s">
        <v>12</v>
      </c>
      <c r="D7" s="6">
        <v>1.8002E7</v>
      </c>
      <c r="E7" s="3"/>
      <c r="F7" s="6" t="s">
        <v>3</v>
      </c>
      <c r="G7" s="3">
        <v>2586269.8400000036</v>
      </c>
      <c r="H7" s="6"/>
      <c r="I7" s="10" t="s">
        <v>13</v>
      </c>
    </row>
    <row r="8">
      <c r="A8" s="1">
        <v>46082.0</v>
      </c>
      <c r="B8" s="2" t="s">
        <v>14</v>
      </c>
      <c r="C8" s="2" t="s">
        <v>15</v>
      </c>
      <c r="D8" s="6"/>
      <c r="E8" s="6">
        <v>810950.0</v>
      </c>
      <c r="F8" s="6" t="s">
        <v>7</v>
      </c>
      <c r="G8" s="3">
        <v>3397219.8400000036</v>
      </c>
      <c r="H8" s="3"/>
      <c r="I8" s="8" t="s">
        <v>4</v>
      </c>
    </row>
    <row r="9">
      <c r="A9" s="1">
        <v>46082.0</v>
      </c>
      <c r="B9" s="2" t="s">
        <v>14</v>
      </c>
      <c r="C9" s="2" t="s">
        <v>16</v>
      </c>
      <c r="D9" s="6"/>
      <c r="E9" s="6">
        <v>1.0752753E8</v>
      </c>
      <c r="F9" s="6" t="s">
        <v>7</v>
      </c>
      <c r="G9" s="3">
        <v>1.1092474984E8</v>
      </c>
      <c r="H9" s="3"/>
      <c r="I9" s="8" t="s">
        <v>4</v>
      </c>
    </row>
    <row r="10">
      <c r="A10" s="1">
        <v>46082.0</v>
      </c>
      <c r="B10" s="2" t="s">
        <v>14</v>
      </c>
      <c r="C10" s="2" t="s">
        <v>17</v>
      </c>
      <c r="D10" s="6"/>
      <c r="E10" s="6">
        <v>5.31E7</v>
      </c>
      <c r="F10" s="6" t="s">
        <v>7</v>
      </c>
      <c r="G10" s="3">
        <v>1.6402474984E8</v>
      </c>
      <c r="H10" s="3"/>
      <c r="I10" s="8" t="s">
        <v>4</v>
      </c>
    </row>
    <row r="11">
      <c r="A11" s="1">
        <v>46082.0</v>
      </c>
      <c r="B11" s="2" t="s">
        <v>8</v>
      </c>
      <c r="C11" s="2" t="s">
        <v>18</v>
      </c>
      <c r="D11" s="6">
        <v>9.67126E7</v>
      </c>
      <c r="E11" s="3"/>
      <c r="F11" s="6" t="s">
        <v>3</v>
      </c>
      <c r="G11" s="3">
        <v>6.731214984E7</v>
      </c>
      <c r="H11" s="6"/>
      <c r="I11" s="8" t="s">
        <v>4</v>
      </c>
    </row>
    <row r="12">
      <c r="A12" s="1">
        <v>46082.0</v>
      </c>
      <c r="B12" s="2" t="s">
        <v>8</v>
      </c>
      <c r="C12" s="2" t="s">
        <v>19</v>
      </c>
      <c r="D12" s="6">
        <v>2148900.0</v>
      </c>
      <c r="E12" s="3"/>
      <c r="F12" s="6" t="s">
        <v>3</v>
      </c>
      <c r="G12" s="3">
        <v>6.516324984E7</v>
      </c>
      <c r="H12" s="6"/>
      <c r="I12" s="10" t="s">
        <v>13</v>
      </c>
    </row>
    <row r="13">
      <c r="A13" s="1">
        <v>46082.0</v>
      </c>
      <c r="B13" s="2" t="s">
        <v>14</v>
      </c>
      <c r="C13" s="2" t="s">
        <v>20</v>
      </c>
      <c r="D13" s="6"/>
      <c r="E13" s="6">
        <v>8.638552E7</v>
      </c>
      <c r="F13" s="6" t="s">
        <v>7</v>
      </c>
      <c r="G13" s="3">
        <v>1.5154876984E8</v>
      </c>
      <c r="H13" s="3"/>
      <c r="I13" s="8" t="s">
        <v>4</v>
      </c>
    </row>
    <row r="14">
      <c r="A14" s="1">
        <v>46082.0</v>
      </c>
      <c r="B14" s="2" t="s">
        <v>8</v>
      </c>
      <c r="C14" s="2" t="s">
        <v>21</v>
      </c>
      <c r="D14" s="6">
        <v>4.8E7</v>
      </c>
      <c r="E14" s="3"/>
      <c r="F14" s="6" t="s">
        <v>3</v>
      </c>
      <c r="G14" s="3">
        <v>1.0354876984E8</v>
      </c>
      <c r="H14" s="6"/>
      <c r="I14" s="8" t="s">
        <v>4</v>
      </c>
    </row>
    <row r="15">
      <c r="A15" s="1">
        <v>46082.0</v>
      </c>
      <c r="B15" s="2" t="s">
        <v>8</v>
      </c>
      <c r="C15" s="2" t="s">
        <v>22</v>
      </c>
      <c r="D15" s="6">
        <v>7.411734E7</v>
      </c>
      <c r="E15" s="3"/>
      <c r="F15" s="6" t="s">
        <v>3</v>
      </c>
      <c r="G15" s="3">
        <v>2.9431429840000004E7</v>
      </c>
      <c r="H15" s="6">
        <v>2.943142984E7</v>
      </c>
      <c r="I15" s="8" t="s">
        <v>4</v>
      </c>
    </row>
    <row r="16">
      <c r="A16" s="1">
        <v>46082.0</v>
      </c>
      <c r="B16" s="2" t="s">
        <v>14</v>
      </c>
      <c r="C16" s="2" t="s">
        <v>23</v>
      </c>
      <c r="D16" s="6"/>
      <c r="E16" s="6">
        <v>5.24515E7</v>
      </c>
      <c r="F16" s="6" t="s">
        <v>7</v>
      </c>
      <c r="G16" s="3">
        <v>8.188292984E7</v>
      </c>
      <c r="H16" s="6">
        <v>8.188292984E7</v>
      </c>
      <c r="I16" s="8" t="s">
        <v>4</v>
      </c>
    </row>
    <row r="17">
      <c r="A17" s="1">
        <v>46082.0</v>
      </c>
      <c r="B17" s="2" t="s">
        <v>24</v>
      </c>
      <c r="C17" s="2" t="s">
        <v>24</v>
      </c>
      <c r="D17" s="6">
        <v>250000.0</v>
      </c>
      <c r="E17" s="3"/>
      <c r="F17" s="6"/>
      <c r="G17" s="3">
        <v>8.163292984E7</v>
      </c>
      <c r="H17" s="6">
        <v>8.163292984E7</v>
      </c>
      <c r="I17" s="10" t="s">
        <v>25</v>
      </c>
    </row>
    <row r="18">
      <c r="A18" s="1">
        <v>46083.0</v>
      </c>
      <c r="B18" s="2" t="s">
        <v>26</v>
      </c>
      <c r="C18" s="2" t="s">
        <v>27</v>
      </c>
      <c r="D18" s="6">
        <v>5.22678E7</v>
      </c>
      <c r="E18" s="3"/>
      <c r="F18" s="6" t="s">
        <v>3</v>
      </c>
      <c r="G18" s="3">
        <v>2.9365129840000004E7</v>
      </c>
      <c r="H18" s="3"/>
      <c r="I18" s="8" t="s">
        <v>4</v>
      </c>
    </row>
    <row r="19">
      <c r="A19" s="1">
        <v>46083.0</v>
      </c>
      <c r="B19" s="2" t="s">
        <v>28</v>
      </c>
      <c r="C19" s="2" t="s">
        <v>29</v>
      </c>
      <c r="D19" s="6"/>
      <c r="E19" s="6">
        <v>5.01555E7</v>
      </c>
      <c r="F19" s="6" t="s">
        <v>7</v>
      </c>
      <c r="G19" s="3">
        <v>7.952062984E7</v>
      </c>
      <c r="H19" s="3"/>
      <c r="I19" s="8"/>
    </row>
    <row r="20">
      <c r="A20" s="1">
        <v>46083.0</v>
      </c>
      <c r="B20" s="2" t="s">
        <v>8</v>
      </c>
      <c r="C20" s="2" t="s">
        <v>30</v>
      </c>
      <c r="D20" s="6">
        <v>4.717764E7</v>
      </c>
      <c r="E20" s="3"/>
      <c r="F20" s="6" t="s">
        <v>3</v>
      </c>
      <c r="G20" s="3">
        <v>3.2342989840000004E7</v>
      </c>
      <c r="H20" s="3"/>
      <c r="I20" s="10" t="s">
        <v>4</v>
      </c>
    </row>
    <row r="21">
      <c r="A21" s="1">
        <v>46083.0</v>
      </c>
      <c r="B21" s="2" t="s">
        <v>8</v>
      </c>
      <c r="C21" s="2" t="s">
        <v>31</v>
      </c>
      <c r="D21" s="6">
        <v>3.19E7</v>
      </c>
      <c r="E21" s="3"/>
      <c r="F21" s="6" t="s">
        <v>3</v>
      </c>
      <c r="G21" s="3">
        <v>442989.8400000036</v>
      </c>
      <c r="H21" s="3"/>
      <c r="I21" s="8" t="s">
        <v>4</v>
      </c>
    </row>
    <row r="22">
      <c r="A22" s="1">
        <v>46083.0</v>
      </c>
      <c r="B22" s="2" t="s">
        <v>14</v>
      </c>
      <c r="C22" s="2" t="s">
        <v>32</v>
      </c>
      <c r="D22" s="6"/>
      <c r="E22" s="6">
        <v>1.5E7</v>
      </c>
      <c r="F22" s="6" t="s">
        <v>7</v>
      </c>
      <c r="G22" s="3">
        <v>1.5442989840000004E7</v>
      </c>
      <c r="H22" s="3"/>
      <c r="I22" s="8"/>
    </row>
    <row r="23">
      <c r="A23" s="1">
        <v>46083.0</v>
      </c>
      <c r="B23" s="2" t="s">
        <v>8</v>
      </c>
      <c r="C23" s="2" t="s">
        <v>33</v>
      </c>
      <c r="D23" s="6">
        <v>1.4E7</v>
      </c>
      <c r="E23" s="3"/>
      <c r="F23" s="6" t="s">
        <v>3</v>
      </c>
      <c r="G23" s="3">
        <v>1442989.8400000036</v>
      </c>
      <c r="H23" s="3"/>
      <c r="I23" s="10" t="s">
        <v>4</v>
      </c>
    </row>
    <row r="24">
      <c r="A24" s="1">
        <v>46083.0</v>
      </c>
      <c r="B24" s="2" t="s">
        <v>14</v>
      </c>
      <c r="C24" s="2" t="s">
        <v>34</v>
      </c>
      <c r="D24" s="6"/>
      <c r="E24" s="6">
        <v>4.855662E7</v>
      </c>
      <c r="F24" s="6" t="s">
        <v>7</v>
      </c>
      <c r="G24" s="3">
        <v>4.999960984E7</v>
      </c>
      <c r="H24" s="3"/>
      <c r="I24" s="8" t="s">
        <v>4</v>
      </c>
    </row>
    <row r="25">
      <c r="A25" s="1">
        <v>46083.0</v>
      </c>
      <c r="B25" s="2" t="s">
        <v>14</v>
      </c>
      <c r="C25" s="2" t="s">
        <v>35</v>
      </c>
      <c r="D25" s="6"/>
      <c r="E25" s="6">
        <v>5.01E7</v>
      </c>
      <c r="F25" s="6" t="s">
        <v>7</v>
      </c>
      <c r="G25" s="3">
        <v>1.0009960984E8</v>
      </c>
      <c r="H25" s="3"/>
      <c r="I25" s="8" t="s">
        <v>4</v>
      </c>
    </row>
    <row r="26">
      <c r="A26" s="1">
        <v>46083.0</v>
      </c>
      <c r="B26" s="2" t="s">
        <v>14</v>
      </c>
      <c r="C26" s="2" t="s">
        <v>36</v>
      </c>
      <c r="D26" s="6"/>
      <c r="E26" s="6">
        <v>5.01E7</v>
      </c>
      <c r="F26" s="6" t="s">
        <v>7</v>
      </c>
      <c r="G26" s="3">
        <v>1.5019960984E8</v>
      </c>
      <c r="H26" s="3"/>
      <c r="I26" s="8"/>
    </row>
    <row r="27">
      <c r="A27" s="1">
        <v>46083.0</v>
      </c>
      <c r="B27" s="2" t="s">
        <v>14</v>
      </c>
      <c r="C27" s="2" t="s">
        <v>37</v>
      </c>
      <c r="D27" s="6"/>
      <c r="E27" s="6">
        <v>1.4374191E8</v>
      </c>
      <c r="F27" s="6" t="s">
        <v>7</v>
      </c>
      <c r="G27" s="3">
        <v>2.9394151984000003E8</v>
      </c>
      <c r="H27" s="3"/>
      <c r="I27" s="8" t="s">
        <v>4</v>
      </c>
    </row>
    <row r="28">
      <c r="A28" s="11">
        <v>46083.0</v>
      </c>
      <c r="B28" s="12" t="s">
        <v>14</v>
      </c>
      <c r="C28" s="2" t="s">
        <v>38</v>
      </c>
      <c r="D28" s="13"/>
      <c r="E28" s="13">
        <v>9.6E7</v>
      </c>
      <c r="F28" s="13" t="s">
        <v>7</v>
      </c>
      <c r="G28" s="14">
        <v>3.8994151984000003E8</v>
      </c>
      <c r="H28" s="13">
        <v>3.8994151984E8</v>
      </c>
      <c r="I28" s="8" t="s">
        <v>4</v>
      </c>
    </row>
    <row r="29">
      <c r="A29" s="1">
        <v>46083.0</v>
      </c>
      <c r="B29" s="2" t="s">
        <v>14</v>
      </c>
      <c r="C29" s="2" t="s">
        <v>39</v>
      </c>
      <c r="D29" s="6"/>
      <c r="E29" s="6">
        <v>3.435E7</v>
      </c>
      <c r="F29" s="6" t="s">
        <v>7</v>
      </c>
      <c r="G29" s="3">
        <v>4.2429151984000003E8</v>
      </c>
      <c r="H29" s="6">
        <v>4.2429151984E8</v>
      </c>
      <c r="I29" s="8"/>
    </row>
    <row r="30">
      <c r="A30" s="1">
        <v>46083.0</v>
      </c>
      <c r="B30" s="2" t="s">
        <v>8</v>
      </c>
      <c r="C30" s="2" t="s">
        <v>40</v>
      </c>
      <c r="D30" s="6">
        <v>5.025E7</v>
      </c>
      <c r="E30" s="3"/>
      <c r="F30" s="6" t="s">
        <v>3</v>
      </c>
      <c r="G30" s="3">
        <v>3.7404151984000003E8</v>
      </c>
      <c r="H30" s="3"/>
      <c r="I30" s="10" t="s">
        <v>4</v>
      </c>
    </row>
    <row r="31">
      <c r="A31" s="1">
        <v>46083.0</v>
      </c>
      <c r="B31" s="2" t="s">
        <v>8</v>
      </c>
      <c r="C31" s="2" t="s">
        <v>41</v>
      </c>
      <c r="D31" s="6">
        <v>1.43904E8</v>
      </c>
      <c r="E31" s="3"/>
      <c r="F31" s="6" t="s">
        <v>3</v>
      </c>
      <c r="G31" s="3">
        <v>2.3013751984000003E8</v>
      </c>
      <c r="H31" s="3"/>
      <c r="I31" s="10" t="s">
        <v>4</v>
      </c>
    </row>
    <row r="32">
      <c r="A32" s="1">
        <v>46083.0</v>
      </c>
      <c r="B32" s="2" t="s">
        <v>8</v>
      </c>
      <c r="C32" s="2" t="s">
        <v>42</v>
      </c>
      <c r="D32" s="6">
        <v>8.844632E7</v>
      </c>
      <c r="E32" s="3"/>
      <c r="F32" s="6" t="s">
        <v>3</v>
      </c>
      <c r="G32" s="3">
        <v>1.4169119984000003E8</v>
      </c>
      <c r="H32" s="3"/>
      <c r="I32" s="10" t="s">
        <v>4</v>
      </c>
    </row>
    <row r="33">
      <c r="A33" s="1">
        <v>46083.0</v>
      </c>
      <c r="B33" s="2" t="s">
        <v>8</v>
      </c>
      <c r="C33" s="2" t="s">
        <v>43</v>
      </c>
      <c r="D33" s="6">
        <v>9.25188E7</v>
      </c>
      <c r="E33" s="3"/>
      <c r="F33" s="6" t="s">
        <v>3</v>
      </c>
      <c r="G33" s="3">
        <v>4.917239984000003E7</v>
      </c>
      <c r="H33" s="6">
        <v>4.917239984E7</v>
      </c>
      <c r="I33" s="8" t="s">
        <v>4</v>
      </c>
    </row>
    <row r="34">
      <c r="A34" s="1">
        <v>46084.0</v>
      </c>
      <c r="B34" s="2" t="s">
        <v>44</v>
      </c>
      <c r="C34" s="2" t="s">
        <v>45</v>
      </c>
      <c r="D34" s="6">
        <v>2592200.0</v>
      </c>
      <c r="E34" s="3"/>
      <c r="F34" s="6" t="s">
        <v>3</v>
      </c>
      <c r="G34" s="3">
        <v>4.658019984000003E7</v>
      </c>
      <c r="H34" s="3"/>
      <c r="I34" s="10" t="s">
        <v>13</v>
      </c>
    </row>
    <row r="35">
      <c r="A35" s="1">
        <v>46084.0</v>
      </c>
      <c r="B35" s="2" t="s">
        <v>44</v>
      </c>
      <c r="C35" s="2" t="s">
        <v>46</v>
      </c>
      <c r="D35" s="6">
        <v>1469500.0</v>
      </c>
      <c r="E35" s="3"/>
      <c r="F35" s="6" t="s">
        <v>3</v>
      </c>
      <c r="G35" s="3">
        <v>4.511069984000003E7</v>
      </c>
      <c r="H35" s="3"/>
      <c r="I35" s="10" t="s">
        <v>13</v>
      </c>
    </row>
    <row r="36">
      <c r="A36" s="1">
        <v>46084.0</v>
      </c>
      <c r="B36" s="2" t="s">
        <v>44</v>
      </c>
      <c r="C36" s="2" t="s">
        <v>47</v>
      </c>
      <c r="D36" s="6">
        <v>1225470.0</v>
      </c>
      <c r="E36" s="3"/>
      <c r="F36" s="6" t="s">
        <v>3</v>
      </c>
      <c r="G36" s="3">
        <v>4.388522984000003E7</v>
      </c>
      <c r="H36" s="3"/>
      <c r="I36" s="10" t="s">
        <v>13</v>
      </c>
    </row>
    <row r="37">
      <c r="A37" s="1">
        <v>46084.0</v>
      </c>
      <c r="B37" s="2" t="s">
        <v>44</v>
      </c>
      <c r="C37" s="2" t="s">
        <v>48</v>
      </c>
      <c r="D37" s="6">
        <v>1.338465E7</v>
      </c>
      <c r="E37" s="3"/>
      <c r="F37" s="6" t="s">
        <v>3</v>
      </c>
      <c r="G37" s="3">
        <v>3.0500579840000033E7</v>
      </c>
      <c r="H37" s="3"/>
      <c r="I37" s="10" t="s">
        <v>13</v>
      </c>
    </row>
    <row r="38">
      <c r="A38" s="1">
        <v>46084.0</v>
      </c>
      <c r="B38" s="2" t="s">
        <v>14</v>
      </c>
      <c r="C38" s="2" t="s">
        <v>49</v>
      </c>
      <c r="D38" s="6"/>
      <c r="E38" s="6">
        <v>8.0E7</v>
      </c>
      <c r="F38" s="6" t="s">
        <v>7</v>
      </c>
      <c r="G38" s="3">
        <v>1.1050057984000003E8</v>
      </c>
      <c r="H38" s="3"/>
      <c r="I38" s="8"/>
    </row>
    <row r="39">
      <c r="A39" s="1">
        <v>46084.0</v>
      </c>
      <c r="B39" s="2" t="s">
        <v>14</v>
      </c>
      <c r="C39" s="2" t="s">
        <v>50</v>
      </c>
      <c r="D39" s="6"/>
      <c r="E39" s="6">
        <v>1.92116635E8</v>
      </c>
      <c r="F39" s="6" t="s">
        <v>7</v>
      </c>
      <c r="G39" s="3">
        <v>3.0261721484000003E8</v>
      </c>
      <c r="H39" s="3"/>
      <c r="I39" s="8" t="s">
        <v>4</v>
      </c>
    </row>
    <row r="40">
      <c r="A40" s="1">
        <v>46084.0</v>
      </c>
      <c r="B40" s="2" t="s">
        <v>51</v>
      </c>
      <c r="C40" s="2" t="s">
        <v>51</v>
      </c>
      <c r="D40" s="6">
        <v>250000.0</v>
      </c>
      <c r="E40" s="3"/>
      <c r="F40" s="3"/>
      <c r="G40" s="3">
        <v>3.0236721484000003E8</v>
      </c>
      <c r="H40" s="3"/>
      <c r="I40" s="10" t="s">
        <v>25</v>
      </c>
    </row>
    <row r="41">
      <c r="A41" s="1">
        <v>46084.0</v>
      </c>
      <c r="B41" s="2" t="s">
        <v>14</v>
      </c>
      <c r="C41" s="2" t="s">
        <v>52</v>
      </c>
      <c r="D41" s="6"/>
      <c r="E41" s="6">
        <v>334370.0</v>
      </c>
      <c r="F41" s="6" t="s">
        <v>7</v>
      </c>
      <c r="G41" s="3">
        <v>3.0270158484000003E8</v>
      </c>
      <c r="H41" s="6">
        <v>3.0270158484E8</v>
      </c>
      <c r="I41" s="8"/>
    </row>
    <row r="42">
      <c r="A42" s="1">
        <v>46084.0</v>
      </c>
      <c r="B42" s="2" t="s">
        <v>53</v>
      </c>
      <c r="C42" s="2" t="s">
        <v>54</v>
      </c>
      <c r="D42" s="6"/>
      <c r="E42" s="6">
        <v>1.673414E8</v>
      </c>
      <c r="F42" s="6"/>
      <c r="G42" s="3">
        <v>4.7004298484000003E8</v>
      </c>
      <c r="H42" s="6">
        <v>4.7004298484E8</v>
      </c>
      <c r="I42" s="8" t="s">
        <v>4</v>
      </c>
    </row>
    <row r="43">
      <c r="A43" s="1">
        <v>46084.0</v>
      </c>
      <c r="B43" s="2" t="s">
        <v>14</v>
      </c>
      <c r="C43" s="2" t="s">
        <v>55</v>
      </c>
      <c r="D43" s="6"/>
      <c r="E43" s="6">
        <v>2.63455E7</v>
      </c>
      <c r="F43" s="6" t="s">
        <v>7</v>
      </c>
      <c r="G43" s="3">
        <v>4.9638848484000003E8</v>
      </c>
      <c r="H43" s="3"/>
      <c r="I43" s="8" t="s">
        <v>4</v>
      </c>
    </row>
    <row r="44">
      <c r="A44" s="1">
        <v>46084.0</v>
      </c>
      <c r="B44" s="2" t="s">
        <v>14</v>
      </c>
      <c r="C44" s="2" t="s">
        <v>56</v>
      </c>
      <c r="D44" s="6"/>
      <c r="E44" s="6">
        <v>4.890326E7</v>
      </c>
      <c r="F44" s="6" t="s">
        <v>7</v>
      </c>
      <c r="G44" s="3">
        <v>5.4529174484E8</v>
      </c>
      <c r="H44" s="3"/>
      <c r="I44" s="8" t="s">
        <v>4</v>
      </c>
    </row>
    <row r="45">
      <c r="A45" s="1">
        <v>46084.0</v>
      </c>
      <c r="B45" s="2" t="s">
        <v>14</v>
      </c>
      <c r="C45" s="2" t="s">
        <v>57</v>
      </c>
      <c r="D45" s="6"/>
      <c r="E45" s="6">
        <v>4.83E7</v>
      </c>
      <c r="F45" s="6" t="s">
        <v>7</v>
      </c>
      <c r="G45" s="3">
        <v>5.9359174484E8</v>
      </c>
      <c r="H45" s="3"/>
      <c r="I45" s="8" t="s">
        <v>4</v>
      </c>
    </row>
    <row r="46">
      <c r="A46" s="1">
        <v>46084.0</v>
      </c>
      <c r="B46" s="2" t="s">
        <v>8</v>
      </c>
      <c r="C46" s="2" t="s">
        <v>58</v>
      </c>
      <c r="D46" s="6">
        <v>4.3906E7</v>
      </c>
      <c r="E46" s="3"/>
      <c r="F46" s="6" t="s">
        <v>3</v>
      </c>
      <c r="G46" s="3">
        <v>5.4968574484E8</v>
      </c>
      <c r="H46" s="3"/>
      <c r="I46" s="8" t="s">
        <v>4</v>
      </c>
    </row>
    <row r="47">
      <c r="A47" s="1">
        <v>46084.0</v>
      </c>
      <c r="B47" s="2" t="s">
        <v>8</v>
      </c>
      <c r="C47" s="2" t="s">
        <v>59</v>
      </c>
      <c r="D47" s="6">
        <v>5.27955E7</v>
      </c>
      <c r="E47" s="3"/>
      <c r="F47" s="6" t="s">
        <v>3</v>
      </c>
      <c r="G47" s="3">
        <v>4.9689024484000003E8</v>
      </c>
      <c r="H47" s="3"/>
      <c r="I47" s="10" t="s">
        <v>4</v>
      </c>
    </row>
    <row r="48">
      <c r="A48" s="1">
        <v>46084.0</v>
      </c>
      <c r="B48" s="2" t="s">
        <v>8</v>
      </c>
      <c r="C48" s="2" t="s">
        <v>60</v>
      </c>
      <c r="D48" s="6">
        <v>4.8E7</v>
      </c>
      <c r="E48" s="3"/>
      <c r="F48" s="6" t="s">
        <v>3</v>
      </c>
      <c r="G48" s="3">
        <v>4.4889024484000003E8</v>
      </c>
      <c r="H48" s="3"/>
      <c r="I48" s="8" t="s">
        <v>4</v>
      </c>
    </row>
    <row r="49">
      <c r="A49" s="1">
        <v>46084.0</v>
      </c>
      <c r="B49" s="2" t="s">
        <v>8</v>
      </c>
      <c r="C49" s="2" t="s">
        <v>61</v>
      </c>
      <c r="D49" s="6">
        <v>8.130402E7</v>
      </c>
      <c r="E49" s="3"/>
      <c r="F49" s="6" t="s">
        <v>3</v>
      </c>
      <c r="G49" s="3">
        <v>3.6758622484000003E8</v>
      </c>
      <c r="H49" s="3"/>
      <c r="I49" s="10" t="s">
        <v>4</v>
      </c>
    </row>
    <row r="50">
      <c r="A50" s="1">
        <v>46084.0</v>
      </c>
      <c r="B50" s="2" t="s">
        <v>8</v>
      </c>
      <c r="C50" s="2" t="s">
        <v>62</v>
      </c>
      <c r="D50" s="6">
        <v>1.0598388E8</v>
      </c>
      <c r="E50" s="3"/>
      <c r="F50" s="6" t="s">
        <v>3</v>
      </c>
      <c r="G50" s="3">
        <v>2.6160234484000003E8</v>
      </c>
      <c r="H50" s="3"/>
      <c r="I50" s="8" t="s">
        <v>4</v>
      </c>
    </row>
    <row r="51">
      <c r="A51" s="1">
        <v>46084.0</v>
      </c>
      <c r="B51" s="2" t="s">
        <v>8</v>
      </c>
      <c r="C51" s="2" t="s">
        <v>63</v>
      </c>
      <c r="D51" s="6">
        <v>4.495155E7</v>
      </c>
      <c r="E51" s="3"/>
      <c r="F51" s="6" t="s">
        <v>3</v>
      </c>
      <c r="G51" s="3">
        <v>2.1665079484000003E8</v>
      </c>
      <c r="H51" s="3"/>
      <c r="I51" s="8" t="s">
        <v>4</v>
      </c>
    </row>
    <row r="52">
      <c r="A52" s="1">
        <v>46084.0</v>
      </c>
      <c r="B52" s="2" t="s">
        <v>8</v>
      </c>
      <c r="C52" s="2" t="s">
        <v>64</v>
      </c>
      <c r="D52" s="6">
        <v>1.029975E8</v>
      </c>
      <c r="E52" s="3"/>
      <c r="F52" s="6" t="s">
        <v>3</v>
      </c>
      <c r="G52" s="3">
        <v>1.1365329484000003E8</v>
      </c>
      <c r="H52" s="3"/>
      <c r="I52" s="8" t="s">
        <v>4</v>
      </c>
    </row>
    <row r="53">
      <c r="A53" s="1">
        <v>46084.0</v>
      </c>
      <c r="B53" s="2" t="s">
        <v>14</v>
      </c>
      <c r="C53" s="2" t="s">
        <v>65</v>
      </c>
      <c r="D53" s="6"/>
      <c r="E53" s="6">
        <v>4.76E7</v>
      </c>
      <c r="F53" s="6" t="s">
        <v>7</v>
      </c>
      <c r="G53" s="3">
        <v>1.6125329484000003E8</v>
      </c>
      <c r="H53" s="6">
        <v>1.6125329484E8</v>
      </c>
      <c r="I53" s="8"/>
    </row>
    <row r="54">
      <c r="A54" s="1">
        <v>46084.0</v>
      </c>
      <c r="B54" s="2" t="s">
        <v>14</v>
      </c>
      <c r="C54" s="2" t="s">
        <v>66</v>
      </c>
      <c r="D54" s="6"/>
      <c r="E54" s="6">
        <v>4.81E7</v>
      </c>
      <c r="F54" s="6" t="s">
        <v>7</v>
      </c>
      <c r="G54" s="3">
        <v>2.0935329484000003E8</v>
      </c>
      <c r="H54" s="6">
        <v>2.0935329484E8</v>
      </c>
      <c r="I54" s="8" t="s">
        <v>4</v>
      </c>
    </row>
    <row r="55">
      <c r="A55" s="1">
        <v>46084.0</v>
      </c>
      <c r="B55" s="2" t="s">
        <v>8</v>
      </c>
      <c r="C55" s="2" t="s">
        <v>67</v>
      </c>
      <c r="D55" s="6">
        <v>3.7647E7</v>
      </c>
      <c r="E55" s="3"/>
      <c r="F55" s="6" t="s">
        <v>3</v>
      </c>
      <c r="G55" s="3">
        <v>1.7170629484000003E8</v>
      </c>
      <c r="H55" s="3"/>
      <c r="I55" s="8" t="s">
        <v>4</v>
      </c>
    </row>
    <row r="56">
      <c r="A56" s="1">
        <v>46084.0</v>
      </c>
      <c r="B56" s="2" t="s">
        <v>68</v>
      </c>
      <c r="C56" s="2" t="s">
        <v>69</v>
      </c>
      <c r="D56" s="6">
        <v>102500.0</v>
      </c>
      <c r="E56" s="3"/>
      <c r="F56" s="6"/>
      <c r="G56" s="3">
        <v>1.7160379484000003E8</v>
      </c>
      <c r="H56" s="6">
        <v>1.7160379484E8</v>
      </c>
      <c r="I56" s="10" t="s">
        <v>25</v>
      </c>
    </row>
    <row r="57">
      <c r="A57" s="1">
        <v>46085.0</v>
      </c>
      <c r="B57" s="2" t="s">
        <v>70</v>
      </c>
      <c r="C57" s="2" t="s">
        <v>71</v>
      </c>
      <c r="D57" s="6">
        <v>5.18E7</v>
      </c>
      <c r="E57" s="3"/>
      <c r="F57" s="6" t="s">
        <v>3</v>
      </c>
      <c r="G57" s="3">
        <v>1.1980379484000003E8</v>
      </c>
      <c r="H57" s="3"/>
      <c r="I57" s="8" t="s">
        <v>4</v>
      </c>
    </row>
    <row r="58">
      <c r="A58" s="1">
        <v>46085.0</v>
      </c>
      <c r="B58" s="2" t="s">
        <v>72</v>
      </c>
      <c r="C58" s="2" t="s">
        <v>73</v>
      </c>
      <c r="D58" s="6"/>
      <c r="E58" s="6">
        <v>3.899886E7</v>
      </c>
      <c r="F58" s="6" t="s">
        <v>7</v>
      </c>
      <c r="G58" s="3">
        <v>1.5880265484000003E8</v>
      </c>
      <c r="H58" s="3"/>
      <c r="I58" s="8"/>
    </row>
    <row r="59">
      <c r="A59" s="1">
        <v>46085.0</v>
      </c>
      <c r="B59" s="2" t="s">
        <v>8</v>
      </c>
      <c r="C59" s="2" t="s">
        <v>74</v>
      </c>
      <c r="D59" s="6">
        <v>4.8E7</v>
      </c>
      <c r="E59" s="3"/>
      <c r="F59" s="6" t="s">
        <v>3</v>
      </c>
      <c r="G59" s="3">
        <v>1.1080265484000003E8</v>
      </c>
      <c r="H59" s="3"/>
      <c r="I59" s="8" t="s">
        <v>4</v>
      </c>
    </row>
    <row r="60">
      <c r="A60" s="1">
        <v>46085.0</v>
      </c>
      <c r="B60" s="2" t="s">
        <v>8</v>
      </c>
      <c r="C60" s="2" t="s">
        <v>75</v>
      </c>
      <c r="D60" s="6">
        <v>1989540.0</v>
      </c>
      <c r="E60" s="3"/>
      <c r="F60" s="6" t="s">
        <v>3</v>
      </c>
      <c r="G60" s="3">
        <v>1.0881311484000003E8</v>
      </c>
      <c r="H60" s="3"/>
      <c r="I60" s="10" t="s">
        <v>13</v>
      </c>
    </row>
    <row r="61">
      <c r="A61" s="1">
        <v>46085.0</v>
      </c>
      <c r="B61" s="2" t="s">
        <v>8</v>
      </c>
      <c r="C61" s="2" t="s">
        <v>76</v>
      </c>
      <c r="D61" s="6">
        <v>4.5444E7</v>
      </c>
      <c r="E61" s="3"/>
      <c r="F61" s="6" t="s">
        <v>3</v>
      </c>
      <c r="G61" s="3">
        <v>6.336911484000003E7</v>
      </c>
      <c r="H61" s="3"/>
      <c r="I61" s="10" t="s">
        <v>4</v>
      </c>
    </row>
    <row r="62">
      <c r="A62" s="1">
        <v>46085.0</v>
      </c>
      <c r="B62" s="2" t="s">
        <v>8</v>
      </c>
      <c r="C62" s="2" t="s">
        <v>77</v>
      </c>
      <c r="D62" s="6">
        <v>4.64E7</v>
      </c>
      <c r="E62" s="3"/>
      <c r="F62" s="6" t="s">
        <v>3</v>
      </c>
      <c r="G62" s="3">
        <v>1.6969114840000033E7</v>
      </c>
      <c r="H62" s="3"/>
      <c r="I62" s="10" t="s">
        <v>4</v>
      </c>
    </row>
    <row r="63">
      <c r="A63" s="1">
        <v>46085.0</v>
      </c>
      <c r="B63" s="2" t="s">
        <v>8</v>
      </c>
      <c r="C63" s="2" t="s">
        <v>78</v>
      </c>
      <c r="D63" s="6">
        <v>3835160.0</v>
      </c>
      <c r="E63" s="3"/>
      <c r="F63" s="6" t="s">
        <v>3</v>
      </c>
      <c r="G63" s="3">
        <v>1.3133954840000033E7</v>
      </c>
      <c r="H63" s="3"/>
      <c r="I63" s="10" t="s">
        <v>4</v>
      </c>
    </row>
    <row r="64">
      <c r="A64" s="1">
        <v>46085.0</v>
      </c>
      <c r="B64" s="2" t="s">
        <v>14</v>
      </c>
      <c r="C64" s="2" t="s">
        <v>79</v>
      </c>
      <c r="D64" s="6"/>
      <c r="E64" s="6">
        <v>8.554439E7</v>
      </c>
      <c r="F64" s="6" t="s">
        <v>7</v>
      </c>
      <c r="G64" s="3">
        <v>9.867834484000003E7</v>
      </c>
      <c r="H64" s="6">
        <v>9.867834484E7</v>
      </c>
      <c r="I64" s="8"/>
    </row>
    <row r="65">
      <c r="A65" s="1">
        <v>46085.0</v>
      </c>
      <c r="B65" s="2" t="s">
        <v>14</v>
      </c>
      <c r="C65" s="2" t="s">
        <v>80</v>
      </c>
      <c r="D65" s="6"/>
      <c r="E65" s="6">
        <v>8.4200475E7</v>
      </c>
      <c r="F65" s="6" t="s">
        <v>7</v>
      </c>
      <c r="G65" s="3">
        <v>1.8287881984000003E8</v>
      </c>
      <c r="H65" s="6">
        <v>1.8287881984E8</v>
      </c>
      <c r="I65" s="8"/>
    </row>
    <row r="66">
      <c r="A66" s="1">
        <v>46085.0</v>
      </c>
      <c r="B66" s="2" t="s">
        <v>14</v>
      </c>
      <c r="C66" s="2" t="s">
        <v>81</v>
      </c>
      <c r="D66" s="6"/>
      <c r="E66" s="6">
        <v>9.69084E7</v>
      </c>
      <c r="F66" s="6" t="s">
        <v>7</v>
      </c>
      <c r="G66" s="3">
        <v>2.7978721984000003E8</v>
      </c>
      <c r="H66" s="3"/>
      <c r="I66" s="8"/>
    </row>
    <row r="67">
      <c r="A67" s="1">
        <v>46085.0</v>
      </c>
      <c r="B67" s="2" t="s">
        <v>8</v>
      </c>
      <c r="C67" s="2" t="s">
        <v>82</v>
      </c>
      <c r="D67" s="6">
        <v>1.518065E8</v>
      </c>
      <c r="E67" s="3"/>
      <c r="F67" s="6" t="s">
        <v>3</v>
      </c>
      <c r="G67" s="3">
        <v>1.2798071984000003E8</v>
      </c>
      <c r="H67" s="3"/>
      <c r="I67" s="10" t="s">
        <v>4</v>
      </c>
    </row>
    <row r="68">
      <c r="A68" s="1">
        <v>46085.0</v>
      </c>
      <c r="B68" s="2" t="s">
        <v>8</v>
      </c>
      <c r="C68" s="2" t="s">
        <v>83</v>
      </c>
      <c r="D68" s="6">
        <v>2089800.0</v>
      </c>
      <c r="E68" s="3"/>
      <c r="F68" s="6" t="s">
        <v>3</v>
      </c>
      <c r="G68" s="3">
        <v>1.2589091984000003E8</v>
      </c>
      <c r="H68" s="3"/>
      <c r="I68" s="10" t="s">
        <v>84</v>
      </c>
    </row>
    <row r="69">
      <c r="A69" s="1">
        <v>46085.0</v>
      </c>
      <c r="B69" s="2" t="s">
        <v>8</v>
      </c>
      <c r="C69" s="2" t="s">
        <v>85</v>
      </c>
      <c r="D69" s="6">
        <v>5.444811E7</v>
      </c>
      <c r="E69" s="3"/>
      <c r="F69" s="6" t="s">
        <v>3</v>
      </c>
      <c r="G69" s="3">
        <v>7.144280984000003E7</v>
      </c>
      <c r="H69" s="3"/>
      <c r="I69" s="10" t="s">
        <v>4</v>
      </c>
    </row>
    <row r="70">
      <c r="A70" s="1">
        <v>46085.0</v>
      </c>
      <c r="B70" s="2" t="s">
        <v>8</v>
      </c>
      <c r="C70" s="2" t="s">
        <v>86</v>
      </c>
      <c r="D70" s="6">
        <v>4.22025E7</v>
      </c>
      <c r="E70" s="3"/>
      <c r="F70" s="6" t="s">
        <v>3</v>
      </c>
      <c r="G70" s="3">
        <v>2.9240309840000033E7</v>
      </c>
      <c r="H70" s="3"/>
      <c r="I70" s="10" t="s">
        <v>4</v>
      </c>
    </row>
    <row r="71">
      <c r="A71" s="1">
        <v>46085.0</v>
      </c>
      <c r="B71" s="2" t="s">
        <v>87</v>
      </c>
      <c r="C71" s="2" t="s">
        <v>87</v>
      </c>
      <c r="D71" s="6">
        <v>400000.0</v>
      </c>
      <c r="E71" s="3"/>
      <c r="F71" s="3"/>
      <c r="G71" s="3">
        <v>2.8840309840000033E7</v>
      </c>
      <c r="H71" s="3"/>
      <c r="I71" s="10" t="s">
        <v>25</v>
      </c>
    </row>
    <row r="72">
      <c r="A72" s="1">
        <v>46085.0</v>
      </c>
      <c r="B72" s="2" t="s">
        <v>14</v>
      </c>
      <c r="C72" s="2" t="s">
        <v>88</v>
      </c>
      <c r="D72" s="6"/>
      <c r="E72" s="6">
        <v>9.40324E7</v>
      </c>
      <c r="F72" s="6" t="s">
        <v>7</v>
      </c>
      <c r="G72" s="3">
        <v>1.2287270984000003E8</v>
      </c>
      <c r="H72" s="3"/>
      <c r="I72" s="8"/>
    </row>
    <row r="73">
      <c r="A73" s="1">
        <v>46085.0</v>
      </c>
      <c r="B73" s="2" t="s">
        <v>8</v>
      </c>
      <c r="C73" s="2" t="s">
        <v>89</v>
      </c>
      <c r="D73" s="6">
        <v>8.5405E7</v>
      </c>
      <c r="E73" s="3"/>
      <c r="F73" s="6" t="s">
        <v>3</v>
      </c>
      <c r="G73" s="3">
        <v>3.746770984000003E7</v>
      </c>
      <c r="H73" s="3"/>
      <c r="I73" s="10" t="s">
        <v>4</v>
      </c>
    </row>
    <row r="74">
      <c r="A74" s="1">
        <v>46085.0</v>
      </c>
      <c r="B74" s="2" t="s">
        <v>14</v>
      </c>
      <c r="C74" s="2" t="s">
        <v>90</v>
      </c>
      <c r="D74" s="6"/>
      <c r="E74" s="6">
        <v>9.37326E7</v>
      </c>
      <c r="F74" s="6" t="s">
        <v>7</v>
      </c>
      <c r="G74" s="3">
        <v>1.3120030984000003E8</v>
      </c>
      <c r="H74" s="3"/>
      <c r="I74" s="8"/>
    </row>
    <row r="75">
      <c r="A75" s="1">
        <v>46085.0</v>
      </c>
      <c r="B75" s="2" t="s">
        <v>14</v>
      </c>
      <c r="C75" s="2" t="s">
        <v>91</v>
      </c>
      <c r="D75" s="6"/>
      <c r="E75" s="6">
        <v>5.6032554E7</v>
      </c>
      <c r="F75" s="6" t="s">
        <v>7</v>
      </c>
      <c r="G75" s="3">
        <v>1.8723286384000003E8</v>
      </c>
      <c r="H75" s="3"/>
      <c r="I75" s="8"/>
    </row>
    <row r="76">
      <c r="A76" s="1">
        <v>46085.0</v>
      </c>
      <c r="B76" s="2" t="s">
        <v>8</v>
      </c>
      <c r="C76" s="2" t="s">
        <v>92</v>
      </c>
      <c r="D76" s="6">
        <v>4.23313E7</v>
      </c>
      <c r="E76" s="3"/>
      <c r="F76" s="6" t="s">
        <v>3</v>
      </c>
      <c r="G76" s="3">
        <v>1.4490156384000003E8</v>
      </c>
      <c r="H76" s="3"/>
      <c r="I76" s="10" t="s">
        <v>4</v>
      </c>
    </row>
    <row r="77">
      <c r="A77" s="1">
        <v>46085.0</v>
      </c>
      <c r="B77" s="2" t="s">
        <v>8</v>
      </c>
      <c r="C77" s="2" t="s">
        <v>93</v>
      </c>
      <c r="D77" s="6">
        <v>8.81612E7</v>
      </c>
      <c r="E77" s="3"/>
      <c r="F77" s="6" t="s">
        <v>3</v>
      </c>
      <c r="G77" s="3">
        <v>5.674036384000003E7</v>
      </c>
      <c r="H77" s="6">
        <v>5.674036384E7</v>
      </c>
      <c r="I77" s="10" t="s">
        <v>4</v>
      </c>
    </row>
    <row r="78">
      <c r="A78" s="1">
        <v>46085.0</v>
      </c>
      <c r="B78" s="2" t="s">
        <v>14</v>
      </c>
      <c r="C78" s="2" t="s">
        <v>94</v>
      </c>
      <c r="D78" s="6"/>
      <c r="E78" s="6">
        <v>5.09438E7</v>
      </c>
      <c r="F78" s="6" t="s">
        <v>7</v>
      </c>
      <c r="G78" s="3">
        <v>1.0768416384000003E8</v>
      </c>
      <c r="H78" s="6">
        <v>1.0768416384E8</v>
      </c>
      <c r="I78" s="8"/>
    </row>
    <row r="79">
      <c r="A79" s="1">
        <v>46085.0</v>
      </c>
      <c r="B79" s="2" t="s">
        <v>95</v>
      </c>
      <c r="C79" s="2" t="s">
        <v>96</v>
      </c>
      <c r="D79" s="6">
        <v>71000.0</v>
      </c>
      <c r="E79" s="3"/>
      <c r="F79" s="6" t="s">
        <v>3</v>
      </c>
      <c r="G79" s="3">
        <v>1.0761316384000003E8</v>
      </c>
      <c r="H79" s="3"/>
      <c r="I79" s="10" t="s">
        <v>25</v>
      </c>
    </row>
    <row r="80">
      <c r="A80" s="1">
        <v>46085.0</v>
      </c>
      <c r="B80" s="2" t="s">
        <v>95</v>
      </c>
      <c r="C80" s="2" t="s">
        <v>97</v>
      </c>
      <c r="D80" s="6">
        <v>2500.0</v>
      </c>
      <c r="E80" s="3"/>
      <c r="F80" s="6" t="s">
        <v>3</v>
      </c>
      <c r="G80" s="3">
        <v>1.0761066384000003E8</v>
      </c>
      <c r="H80" s="3"/>
      <c r="I80" s="10" t="s">
        <v>10</v>
      </c>
    </row>
    <row r="81">
      <c r="A81" s="1">
        <v>46085.0</v>
      </c>
      <c r="B81" s="2" t="s">
        <v>95</v>
      </c>
      <c r="C81" s="2" t="s">
        <v>98</v>
      </c>
      <c r="D81" s="6">
        <v>714000.0</v>
      </c>
      <c r="E81" s="3"/>
      <c r="F81" s="6" t="s">
        <v>3</v>
      </c>
      <c r="G81" s="3">
        <v>1.0689666384000003E8</v>
      </c>
      <c r="H81" s="3"/>
      <c r="I81" s="10" t="s">
        <v>25</v>
      </c>
    </row>
    <row r="82">
      <c r="A82" s="1">
        <v>46085.0</v>
      </c>
      <c r="B82" s="2" t="s">
        <v>95</v>
      </c>
      <c r="C82" s="2" t="s">
        <v>99</v>
      </c>
      <c r="D82" s="6">
        <v>2500.0</v>
      </c>
      <c r="E82" s="3"/>
      <c r="F82" s="6" t="s">
        <v>3</v>
      </c>
      <c r="G82" s="3">
        <v>1.0689416384000003E8</v>
      </c>
      <c r="H82" s="3"/>
      <c r="I82" s="10" t="s">
        <v>25</v>
      </c>
    </row>
    <row r="83">
      <c r="A83" s="1">
        <v>46085.0</v>
      </c>
      <c r="B83" s="2" t="s">
        <v>8</v>
      </c>
      <c r="C83" s="2" t="s">
        <v>100</v>
      </c>
      <c r="D83" s="6">
        <v>8.16187E7</v>
      </c>
      <c r="E83" s="3"/>
      <c r="F83" s="6" t="s">
        <v>3</v>
      </c>
      <c r="G83" s="3">
        <v>2.5275463840000033E7</v>
      </c>
      <c r="H83" s="3"/>
      <c r="I83" s="10" t="s">
        <v>4</v>
      </c>
    </row>
    <row r="84">
      <c r="A84" s="1">
        <v>46085.0</v>
      </c>
      <c r="B84" s="2" t="s">
        <v>8</v>
      </c>
      <c r="C84" s="2" t="s">
        <v>101</v>
      </c>
      <c r="D84" s="6">
        <v>2.466E7</v>
      </c>
      <c r="E84" s="3"/>
      <c r="F84" s="6" t="s">
        <v>3</v>
      </c>
      <c r="G84" s="3">
        <v>615463.8400000334</v>
      </c>
      <c r="H84" s="6">
        <v>615463.84</v>
      </c>
      <c r="I84" s="10" t="s">
        <v>4</v>
      </c>
    </row>
    <row r="85">
      <c r="A85" s="1">
        <v>46086.0</v>
      </c>
      <c r="B85" s="2" t="s">
        <v>8</v>
      </c>
      <c r="C85" s="2" t="s">
        <v>102</v>
      </c>
      <c r="D85" s="6">
        <v>30000.0</v>
      </c>
      <c r="E85" s="3"/>
      <c r="F85" s="6" t="s">
        <v>3</v>
      </c>
      <c r="G85" s="3">
        <v>585463.8400000334</v>
      </c>
      <c r="H85" s="3"/>
      <c r="I85" s="10" t="s">
        <v>25</v>
      </c>
    </row>
    <row r="86">
      <c r="A86" s="1">
        <v>46086.0</v>
      </c>
      <c r="B86" s="2" t="s">
        <v>14</v>
      </c>
      <c r="C86" s="2" t="s">
        <v>103</v>
      </c>
      <c r="D86" s="6"/>
      <c r="E86" s="6">
        <v>2.228928E8</v>
      </c>
      <c r="F86" s="6" t="s">
        <v>7</v>
      </c>
      <c r="G86" s="3">
        <v>2.2347826384000003E8</v>
      </c>
      <c r="H86" s="3"/>
      <c r="I86" s="8"/>
    </row>
    <row r="87">
      <c r="A87" s="1">
        <v>46086.0</v>
      </c>
      <c r="B87" s="2" t="s">
        <v>8</v>
      </c>
      <c r="C87" s="2" t="s">
        <v>104</v>
      </c>
      <c r="D87" s="6">
        <v>2000000.0</v>
      </c>
      <c r="E87" s="3"/>
      <c r="F87" s="6" t="s">
        <v>3</v>
      </c>
      <c r="G87" s="3">
        <v>2.2147826384000003E8</v>
      </c>
      <c r="H87" s="3"/>
      <c r="I87" s="10" t="s">
        <v>4</v>
      </c>
    </row>
    <row r="88">
      <c r="A88" s="1">
        <v>46086.0</v>
      </c>
      <c r="B88" s="2" t="s">
        <v>8</v>
      </c>
      <c r="C88" s="2" t="s">
        <v>105</v>
      </c>
      <c r="D88" s="6">
        <v>1.3428762E8</v>
      </c>
      <c r="E88" s="3"/>
      <c r="F88" s="6" t="s">
        <v>3</v>
      </c>
      <c r="G88" s="3">
        <v>8.719064384000003E7</v>
      </c>
      <c r="H88" s="3"/>
      <c r="I88" s="10" t="s">
        <v>4</v>
      </c>
    </row>
    <row r="89">
      <c r="A89" s="1">
        <v>46086.0</v>
      </c>
      <c r="B89" s="2" t="s">
        <v>8</v>
      </c>
      <c r="C89" s="2" t="s">
        <v>106</v>
      </c>
      <c r="D89" s="6">
        <v>1700000.0</v>
      </c>
      <c r="E89" s="3"/>
      <c r="F89" s="6" t="s">
        <v>3</v>
      </c>
      <c r="G89" s="3">
        <v>8.549064384000003E7</v>
      </c>
      <c r="H89" s="3"/>
      <c r="I89" s="10" t="s">
        <v>13</v>
      </c>
    </row>
    <row r="90">
      <c r="A90" s="1">
        <v>46086.0</v>
      </c>
      <c r="B90" s="2" t="s">
        <v>8</v>
      </c>
      <c r="C90" s="2" t="s">
        <v>107</v>
      </c>
      <c r="D90" s="6">
        <v>1401000.0</v>
      </c>
      <c r="E90" s="3"/>
      <c r="F90" s="6" t="s">
        <v>3</v>
      </c>
      <c r="G90" s="3">
        <v>8.408964384000003E7</v>
      </c>
      <c r="H90" s="6">
        <v>8.408964384E7</v>
      </c>
      <c r="I90" s="10" t="s">
        <v>13</v>
      </c>
    </row>
    <row r="91">
      <c r="A91" s="1">
        <v>46086.0</v>
      </c>
      <c r="B91" s="2" t="s">
        <v>8</v>
      </c>
      <c r="C91" s="2" t="s">
        <v>108</v>
      </c>
      <c r="D91" s="6">
        <v>1.46651E7</v>
      </c>
      <c r="E91" s="3"/>
      <c r="F91" s="6" t="s">
        <v>3</v>
      </c>
      <c r="G91" s="3">
        <v>6.942454384000003E7</v>
      </c>
      <c r="H91" s="6">
        <v>6.942454384E7</v>
      </c>
      <c r="I91" s="10" t="s">
        <v>13</v>
      </c>
    </row>
    <row r="92">
      <c r="A92" s="1">
        <v>46086.0</v>
      </c>
      <c r="B92" s="2" t="s">
        <v>8</v>
      </c>
      <c r="C92" s="2" t="s">
        <v>109</v>
      </c>
      <c r="D92" s="6">
        <v>318600.0</v>
      </c>
      <c r="E92" s="3"/>
      <c r="F92" s="6" t="s">
        <v>3</v>
      </c>
      <c r="G92" s="3">
        <v>6.910594384000003E7</v>
      </c>
      <c r="H92" s="6">
        <v>6.910594384E7</v>
      </c>
      <c r="I92" s="10" t="s">
        <v>13</v>
      </c>
    </row>
    <row r="93">
      <c r="A93" s="1">
        <v>46087.0</v>
      </c>
      <c r="B93" s="2" t="s">
        <v>8</v>
      </c>
      <c r="C93" s="2" t="s">
        <v>110</v>
      </c>
      <c r="D93" s="6">
        <v>4.34E7</v>
      </c>
      <c r="E93" s="3"/>
      <c r="F93" s="6" t="s">
        <v>3</v>
      </c>
      <c r="G93" s="3">
        <v>2.5705943840000033E7</v>
      </c>
      <c r="H93" s="3"/>
      <c r="I93" s="10" t="s">
        <v>4</v>
      </c>
    </row>
    <row r="94">
      <c r="A94" s="1">
        <v>46087.0</v>
      </c>
      <c r="B94" s="2" t="s">
        <v>14</v>
      </c>
      <c r="C94" s="2" t="s">
        <v>111</v>
      </c>
      <c r="D94" s="6"/>
      <c r="E94" s="6">
        <v>2.9154588E8</v>
      </c>
      <c r="F94" s="6" t="s">
        <v>7</v>
      </c>
      <c r="G94" s="3">
        <v>3.1725182384000003E8</v>
      </c>
      <c r="H94" s="3"/>
      <c r="I94" s="8"/>
    </row>
    <row r="95">
      <c r="A95" s="1">
        <v>46087.0</v>
      </c>
      <c r="B95" s="2" t="s">
        <v>8</v>
      </c>
      <c r="C95" s="2" t="s">
        <v>112</v>
      </c>
      <c r="D95" s="6">
        <v>7.80597E7</v>
      </c>
      <c r="E95" s="3"/>
      <c r="F95" s="6" t="s">
        <v>3</v>
      </c>
      <c r="G95" s="3">
        <v>2.3919212384000003E8</v>
      </c>
      <c r="H95" s="3"/>
      <c r="I95" s="10" t="s">
        <v>4</v>
      </c>
    </row>
    <row r="96">
      <c r="A96" s="1">
        <v>46087.0</v>
      </c>
      <c r="B96" s="2" t="s">
        <v>14</v>
      </c>
      <c r="C96" s="2" t="s">
        <v>113</v>
      </c>
      <c r="D96" s="6"/>
      <c r="E96" s="6">
        <v>232700.0</v>
      </c>
      <c r="F96" s="6" t="s">
        <v>7</v>
      </c>
      <c r="G96" s="3">
        <v>2.3942482384000003E8</v>
      </c>
      <c r="H96" s="3"/>
      <c r="I96" s="8"/>
    </row>
    <row r="97">
      <c r="A97" s="1">
        <v>46087.0</v>
      </c>
      <c r="B97" s="2" t="s">
        <v>8</v>
      </c>
      <c r="C97" s="2" t="s">
        <v>114</v>
      </c>
      <c r="D97" s="6">
        <v>8.236E7</v>
      </c>
      <c r="E97" s="3"/>
      <c r="F97" s="6" t="s">
        <v>3</v>
      </c>
      <c r="G97" s="3">
        <v>1.5706482384000003E8</v>
      </c>
      <c r="H97" s="3"/>
      <c r="I97" s="10" t="s">
        <v>4</v>
      </c>
    </row>
    <row r="98">
      <c r="A98" s="1">
        <v>46087.0</v>
      </c>
      <c r="B98" s="2" t="s">
        <v>8</v>
      </c>
      <c r="C98" s="2" t="s">
        <v>115</v>
      </c>
      <c r="D98" s="6">
        <v>9.78009E7</v>
      </c>
      <c r="E98" s="3"/>
      <c r="F98" s="6" t="s">
        <v>3</v>
      </c>
      <c r="G98" s="3">
        <v>5.926392384000003E7</v>
      </c>
      <c r="H98" s="3"/>
      <c r="I98" s="10" t="s">
        <v>4</v>
      </c>
    </row>
    <row r="99">
      <c r="A99" s="1">
        <v>46087.0</v>
      </c>
      <c r="B99" s="2" t="s">
        <v>8</v>
      </c>
      <c r="C99" s="2" t="s">
        <v>116</v>
      </c>
      <c r="D99" s="6">
        <v>4.56313E7</v>
      </c>
      <c r="E99" s="3"/>
      <c r="F99" s="6" t="s">
        <v>3</v>
      </c>
      <c r="G99" s="3">
        <v>1.3632623840000033E7</v>
      </c>
      <c r="H99" s="3"/>
      <c r="I99" s="10" t="s">
        <v>4</v>
      </c>
    </row>
    <row r="100">
      <c r="A100" s="1">
        <v>46087.0</v>
      </c>
      <c r="B100" s="2" t="s">
        <v>14</v>
      </c>
      <c r="C100" s="2" t="s">
        <v>117</v>
      </c>
      <c r="D100" s="6"/>
      <c r="E100" s="6">
        <v>4.65912E7</v>
      </c>
      <c r="F100" s="6" t="s">
        <v>7</v>
      </c>
      <c r="G100" s="3">
        <v>6.022382384000003E7</v>
      </c>
      <c r="H100" s="3"/>
      <c r="I100" s="8"/>
    </row>
    <row r="101">
      <c r="A101" s="1">
        <v>46087.0</v>
      </c>
      <c r="B101" s="2" t="s">
        <v>14</v>
      </c>
      <c r="C101" s="2" t="s">
        <v>118</v>
      </c>
      <c r="D101" s="6"/>
      <c r="E101" s="6">
        <v>4.29E7</v>
      </c>
      <c r="F101" s="6" t="s">
        <v>7</v>
      </c>
      <c r="G101" s="3">
        <v>1.0312382384000003E8</v>
      </c>
      <c r="H101" s="3"/>
      <c r="I101" s="8"/>
    </row>
    <row r="102">
      <c r="A102" s="1">
        <v>46087.0</v>
      </c>
      <c r="B102" s="2" t="s">
        <v>14</v>
      </c>
      <c r="C102" s="2" t="s">
        <v>119</v>
      </c>
      <c r="D102" s="6"/>
      <c r="E102" s="6">
        <v>5.217E7</v>
      </c>
      <c r="F102" s="6" t="s">
        <v>7</v>
      </c>
      <c r="G102" s="3">
        <v>1.5529382384000003E8</v>
      </c>
      <c r="H102" s="6">
        <v>1.5529382384E8</v>
      </c>
      <c r="I102" s="8"/>
    </row>
    <row r="103">
      <c r="A103" s="1">
        <v>46087.0</v>
      </c>
      <c r="B103" s="2" t="s">
        <v>8</v>
      </c>
      <c r="C103" s="2" t="s">
        <v>120</v>
      </c>
      <c r="D103" s="6">
        <v>9.3613E7</v>
      </c>
      <c r="E103" s="3"/>
      <c r="F103" s="6" t="s">
        <v>3</v>
      </c>
      <c r="G103" s="3">
        <v>6.168082384000003E7</v>
      </c>
      <c r="H103" s="6">
        <v>6.168082384E7</v>
      </c>
      <c r="I103" s="10" t="s">
        <v>4</v>
      </c>
    </row>
    <row r="104">
      <c r="A104" s="1">
        <v>46087.0</v>
      </c>
      <c r="B104" s="2" t="s">
        <v>8</v>
      </c>
      <c r="C104" s="2" t="s">
        <v>121</v>
      </c>
      <c r="D104" s="6">
        <v>5.075E7</v>
      </c>
      <c r="E104" s="3"/>
      <c r="F104" s="6" t="s">
        <v>3</v>
      </c>
      <c r="G104" s="3">
        <v>1.0930823840000033E7</v>
      </c>
      <c r="H104" s="6">
        <v>1.093082384E7</v>
      </c>
      <c r="I104" s="10" t="s">
        <v>4</v>
      </c>
    </row>
    <row r="105">
      <c r="A105" s="1">
        <v>46088.0</v>
      </c>
      <c r="B105" s="2" t="s">
        <v>14</v>
      </c>
      <c r="C105" s="2" t="s">
        <v>122</v>
      </c>
      <c r="D105" s="6"/>
      <c r="E105" s="6">
        <v>610950.0</v>
      </c>
      <c r="F105" s="6" t="s">
        <v>7</v>
      </c>
      <c r="G105" s="3">
        <v>1.1541773840000033E7</v>
      </c>
      <c r="H105" s="3"/>
      <c r="I105" s="8"/>
    </row>
    <row r="106">
      <c r="A106" s="1">
        <v>46088.0</v>
      </c>
      <c r="B106" s="2" t="s">
        <v>14</v>
      </c>
      <c r="C106" s="2" t="s">
        <v>123</v>
      </c>
      <c r="D106" s="6"/>
      <c r="E106" s="6">
        <v>4.2313975E7</v>
      </c>
      <c r="F106" s="6" t="s">
        <v>7</v>
      </c>
      <c r="G106" s="3">
        <v>5.385574884000003E7</v>
      </c>
      <c r="H106" s="3"/>
      <c r="I106" s="8"/>
    </row>
    <row r="107">
      <c r="A107" s="1">
        <v>46088.0</v>
      </c>
      <c r="B107" s="2" t="s">
        <v>8</v>
      </c>
      <c r="C107" s="2" t="s">
        <v>124</v>
      </c>
      <c r="D107" s="6">
        <v>4.05108E7</v>
      </c>
      <c r="E107" s="3"/>
      <c r="F107" s="6" t="s">
        <v>3</v>
      </c>
      <c r="G107" s="3">
        <v>1.3344948840000033E7</v>
      </c>
      <c r="H107" s="3"/>
      <c r="I107" s="10" t="s">
        <v>4</v>
      </c>
    </row>
    <row r="108">
      <c r="A108" s="1">
        <v>46088.0</v>
      </c>
      <c r="B108" s="2" t="s">
        <v>8</v>
      </c>
      <c r="C108" s="2" t="s">
        <v>125</v>
      </c>
      <c r="D108" s="6">
        <v>300000.0</v>
      </c>
      <c r="E108" s="3"/>
      <c r="F108" s="6" t="s">
        <v>3</v>
      </c>
      <c r="G108" s="3">
        <v>1.3044948840000033E7</v>
      </c>
      <c r="H108" s="3"/>
      <c r="I108" s="10" t="s">
        <v>84</v>
      </c>
    </row>
    <row r="109">
      <c r="A109" s="1">
        <v>46088.0</v>
      </c>
      <c r="B109" s="2" t="s">
        <v>8</v>
      </c>
      <c r="C109" s="2" t="s">
        <v>126</v>
      </c>
      <c r="D109" s="6">
        <v>19000.0</v>
      </c>
      <c r="E109" s="3"/>
      <c r="F109" s="6" t="s">
        <v>3</v>
      </c>
      <c r="G109" s="3">
        <v>1.3025948840000033E7</v>
      </c>
      <c r="H109" s="3"/>
      <c r="I109" s="10" t="s">
        <v>25</v>
      </c>
    </row>
    <row r="110">
      <c r="A110" s="1">
        <v>46088.0</v>
      </c>
      <c r="B110" s="2" t="s">
        <v>14</v>
      </c>
      <c r="C110" s="2" t="s">
        <v>127</v>
      </c>
      <c r="D110" s="6"/>
      <c r="E110" s="6">
        <v>2.5487777E8</v>
      </c>
      <c r="F110" s="6" t="s">
        <v>7</v>
      </c>
      <c r="G110" s="3">
        <v>2.6790371884000003E8</v>
      </c>
      <c r="H110" s="3"/>
      <c r="I110" s="8"/>
    </row>
    <row r="111">
      <c r="A111" s="1">
        <v>46088.0</v>
      </c>
      <c r="B111" s="2" t="s">
        <v>8</v>
      </c>
      <c r="C111" s="2" t="s">
        <v>128</v>
      </c>
      <c r="D111" s="6">
        <v>4.68715E7</v>
      </c>
      <c r="E111" s="3"/>
      <c r="F111" s="6" t="s">
        <v>3</v>
      </c>
      <c r="G111" s="3">
        <v>2.2103221884000003E8</v>
      </c>
      <c r="H111" s="3"/>
      <c r="I111" s="10" t="s">
        <v>4</v>
      </c>
    </row>
    <row r="112">
      <c r="A112" s="1">
        <v>46088.0</v>
      </c>
      <c r="B112" s="2" t="s">
        <v>8</v>
      </c>
      <c r="C112" s="2" t="s">
        <v>129</v>
      </c>
      <c r="D112" s="6">
        <v>1.2246273E8</v>
      </c>
      <c r="E112" s="3"/>
      <c r="F112" s="6" t="s">
        <v>3</v>
      </c>
      <c r="G112" s="3">
        <v>9.856948884000003E7</v>
      </c>
      <c r="H112" s="3"/>
      <c r="I112" s="10" t="s">
        <v>4</v>
      </c>
    </row>
    <row r="113">
      <c r="A113" s="1">
        <v>46088.0</v>
      </c>
      <c r="B113" s="2" t="s">
        <v>8</v>
      </c>
      <c r="C113" s="2" t="s">
        <v>130</v>
      </c>
      <c r="D113" s="6">
        <v>8.4184E7</v>
      </c>
      <c r="E113" s="3"/>
      <c r="F113" s="6" t="s">
        <v>3</v>
      </c>
      <c r="G113" s="3">
        <v>1.4385488840000033E7</v>
      </c>
      <c r="H113" s="3"/>
      <c r="I113" s="10" t="s">
        <v>4</v>
      </c>
    </row>
    <row r="114">
      <c r="A114" s="1">
        <v>46088.0</v>
      </c>
      <c r="B114" s="2" t="s">
        <v>14</v>
      </c>
      <c r="C114" s="2" t="s">
        <v>131</v>
      </c>
      <c r="D114" s="6"/>
      <c r="E114" s="6">
        <v>4.49715E7</v>
      </c>
      <c r="F114" s="6" t="s">
        <v>7</v>
      </c>
      <c r="G114" s="3">
        <v>5.935698884000003E7</v>
      </c>
      <c r="H114" s="6">
        <v>5.935698884E7</v>
      </c>
      <c r="I114" s="8"/>
    </row>
    <row r="115">
      <c r="A115" s="1">
        <v>46088.0</v>
      </c>
      <c r="B115" s="2" t="s">
        <v>14</v>
      </c>
      <c r="C115" s="2" t="s">
        <v>132</v>
      </c>
      <c r="D115" s="6"/>
      <c r="E115" s="6">
        <v>1.0E8</v>
      </c>
      <c r="F115" s="6" t="s">
        <v>7</v>
      </c>
      <c r="G115" s="3">
        <v>1.5935698884000003E8</v>
      </c>
      <c r="H115" s="6">
        <v>1.5935698884E8</v>
      </c>
      <c r="I115" s="8"/>
    </row>
    <row r="116">
      <c r="A116" s="1">
        <v>46088.0</v>
      </c>
      <c r="B116" s="2" t="s">
        <v>8</v>
      </c>
      <c r="C116" s="2" t="s">
        <v>133</v>
      </c>
      <c r="D116" s="6">
        <v>8.779E7</v>
      </c>
      <c r="E116" s="3"/>
      <c r="F116" s="6" t="s">
        <v>3</v>
      </c>
      <c r="G116" s="3">
        <v>7.156698884000003E7</v>
      </c>
      <c r="H116" s="3"/>
      <c r="I116" s="10" t="s">
        <v>4</v>
      </c>
    </row>
    <row r="117">
      <c r="A117" s="1">
        <v>46088.0</v>
      </c>
      <c r="B117" s="2" t="s">
        <v>8</v>
      </c>
      <c r="C117" s="2" t="s">
        <v>134</v>
      </c>
      <c r="D117" s="6">
        <v>4.0E7</v>
      </c>
      <c r="E117" s="3"/>
      <c r="F117" s="6" t="s">
        <v>3</v>
      </c>
      <c r="G117" s="3">
        <v>3.1566988840000033E7</v>
      </c>
      <c r="H117" s="3"/>
      <c r="I117" s="10" t="s">
        <v>4</v>
      </c>
    </row>
    <row r="118">
      <c r="A118" s="1">
        <v>46088.0</v>
      </c>
      <c r="B118" s="2" t="s">
        <v>14</v>
      </c>
      <c r="C118" s="2" t="s">
        <v>135</v>
      </c>
      <c r="D118" s="6"/>
      <c r="E118" s="6">
        <v>1.0E7</v>
      </c>
      <c r="F118" s="6" t="s">
        <v>7</v>
      </c>
      <c r="G118" s="3">
        <v>4.156698884000003E7</v>
      </c>
      <c r="H118" s="3"/>
      <c r="I118" s="8"/>
    </row>
    <row r="119">
      <c r="A119" s="1">
        <v>46088.0</v>
      </c>
      <c r="B119" s="2" t="s">
        <v>8</v>
      </c>
      <c r="C119" s="2" t="s">
        <v>136</v>
      </c>
      <c r="D119" s="6">
        <v>4.00985E7</v>
      </c>
      <c r="E119" s="3"/>
      <c r="F119" s="6" t="s">
        <v>3</v>
      </c>
      <c r="G119" s="3">
        <v>1468488.8400000334</v>
      </c>
      <c r="H119" s="3"/>
      <c r="I119" s="10" t="s">
        <v>4</v>
      </c>
    </row>
    <row r="120">
      <c r="A120" s="1">
        <v>46088.0</v>
      </c>
      <c r="B120" s="2" t="s">
        <v>8</v>
      </c>
      <c r="C120" s="2" t="s">
        <v>137</v>
      </c>
      <c r="D120" s="6">
        <v>1281200.0</v>
      </c>
      <c r="E120" s="3"/>
      <c r="F120" s="6" t="s">
        <v>3</v>
      </c>
      <c r="G120" s="3">
        <v>187288.84000003338</v>
      </c>
      <c r="H120" s="6">
        <v>187288.84</v>
      </c>
      <c r="I120" s="10" t="s">
        <v>84</v>
      </c>
    </row>
    <row r="121">
      <c r="A121" s="1">
        <v>46089.0</v>
      </c>
      <c r="B121" s="2" t="s">
        <v>138</v>
      </c>
      <c r="C121" s="2" t="s">
        <v>139</v>
      </c>
      <c r="D121" s="6"/>
      <c r="E121" s="6">
        <v>5.0E7</v>
      </c>
      <c r="F121" s="6" t="s">
        <v>7</v>
      </c>
      <c r="G121" s="3">
        <v>5.018728884000003E7</v>
      </c>
      <c r="H121" s="3"/>
      <c r="I121" s="8"/>
    </row>
    <row r="122">
      <c r="A122" s="1">
        <v>46089.0</v>
      </c>
      <c r="B122" s="2" t="s">
        <v>8</v>
      </c>
      <c r="C122" s="2" t="s">
        <v>140</v>
      </c>
      <c r="D122" s="6">
        <v>4.12964E7</v>
      </c>
      <c r="E122" s="3"/>
      <c r="F122" s="6" t="s">
        <v>3</v>
      </c>
      <c r="G122" s="3">
        <v>8890888.840000033</v>
      </c>
      <c r="H122" s="3"/>
      <c r="I122" s="10" t="s">
        <v>4</v>
      </c>
    </row>
    <row r="123">
      <c r="A123" s="1">
        <v>46089.0</v>
      </c>
      <c r="B123" s="2" t="s">
        <v>8</v>
      </c>
      <c r="C123" s="2" t="s">
        <v>141</v>
      </c>
      <c r="D123" s="6">
        <v>1542250.0</v>
      </c>
      <c r="E123" s="3"/>
      <c r="F123" s="6" t="s">
        <v>3</v>
      </c>
      <c r="G123" s="3">
        <v>7348638.840000033</v>
      </c>
      <c r="H123" s="3"/>
      <c r="I123" s="10" t="s">
        <v>84</v>
      </c>
    </row>
    <row r="124">
      <c r="A124" s="1">
        <v>46089.0</v>
      </c>
      <c r="B124" s="2" t="s">
        <v>8</v>
      </c>
      <c r="C124" s="2" t="s">
        <v>142</v>
      </c>
      <c r="D124" s="6">
        <v>973500.0</v>
      </c>
      <c r="E124" s="3"/>
      <c r="F124" s="6" t="s">
        <v>3</v>
      </c>
      <c r="G124" s="3">
        <v>6375138.840000033</v>
      </c>
      <c r="H124" s="3"/>
      <c r="I124" s="10" t="s">
        <v>13</v>
      </c>
    </row>
    <row r="125">
      <c r="A125" s="1">
        <v>46089.0</v>
      </c>
      <c r="B125" s="2" t="s">
        <v>8</v>
      </c>
      <c r="C125" s="2" t="s">
        <v>143</v>
      </c>
      <c r="D125" s="6">
        <v>57400.0</v>
      </c>
      <c r="E125" s="3"/>
      <c r="F125" s="6" t="s">
        <v>3</v>
      </c>
      <c r="G125" s="3">
        <v>6317738.840000033</v>
      </c>
      <c r="H125" s="3"/>
      <c r="I125" s="10" t="s">
        <v>25</v>
      </c>
    </row>
    <row r="126">
      <c r="A126" s="1">
        <v>46089.0</v>
      </c>
      <c r="B126" s="2" t="s">
        <v>14</v>
      </c>
      <c r="C126" s="2" t="s">
        <v>144</v>
      </c>
      <c r="D126" s="6"/>
      <c r="E126" s="6">
        <v>1.4051008E8</v>
      </c>
      <c r="F126" s="6" t="s">
        <v>7</v>
      </c>
      <c r="G126" s="3">
        <v>1.4682781884000003E8</v>
      </c>
      <c r="H126" s="3"/>
      <c r="I126" s="8"/>
    </row>
    <row r="127">
      <c r="A127" s="1">
        <v>46089.0</v>
      </c>
      <c r="B127" s="2" t="s">
        <v>8</v>
      </c>
      <c r="C127" s="2" t="s">
        <v>145</v>
      </c>
      <c r="D127" s="6">
        <v>4.83327E7</v>
      </c>
      <c r="E127" s="3"/>
      <c r="F127" s="6" t="s">
        <v>3</v>
      </c>
      <c r="G127" s="3">
        <v>9.849511884000003E7</v>
      </c>
      <c r="H127" s="6">
        <v>9.849511884E7</v>
      </c>
      <c r="I127" s="10" t="s">
        <v>4</v>
      </c>
    </row>
    <row r="128">
      <c r="A128" s="1">
        <v>46089.0</v>
      </c>
      <c r="B128" s="2" t="s">
        <v>8</v>
      </c>
      <c r="C128" s="2" t="s">
        <v>146</v>
      </c>
      <c r="D128" s="6">
        <v>4.37262E7</v>
      </c>
      <c r="E128" s="3"/>
      <c r="F128" s="6" t="s">
        <v>3</v>
      </c>
      <c r="G128" s="3">
        <v>5.476891884000003E7</v>
      </c>
      <c r="H128" s="6">
        <v>5.476891884E7</v>
      </c>
      <c r="I128" s="10" t="s">
        <v>4</v>
      </c>
    </row>
    <row r="129">
      <c r="A129" s="1">
        <v>46089.0</v>
      </c>
      <c r="B129" s="2" t="s">
        <v>8</v>
      </c>
      <c r="C129" s="2" t="s">
        <v>147</v>
      </c>
      <c r="D129" s="6">
        <v>4.01765E7</v>
      </c>
      <c r="E129" s="3"/>
      <c r="F129" s="6" t="s">
        <v>3</v>
      </c>
      <c r="G129" s="3">
        <v>1.4592418840000033E7</v>
      </c>
      <c r="H129" s="3"/>
      <c r="I129" s="10" t="s">
        <v>4</v>
      </c>
    </row>
    <row r="130">
      <c r="A130" s="1">
        <v>46089.0</v>
      </c>
      <c r="B130" s="2" t="s">
        <v>148</v>
      </c>
      <c r="C130" s="2" t="s">
        <v>149</v>
      </c>
      <c r="E130" s="6">
        <v>9.00705E7</v>
      </c>
      <c r="F130" s="3"/>
      <c r="G130" s="3">
        <v>1.0466291884000003E8</v>
      </c>
      <c r="H130" s="3"/>
      <c r="I130" s="8"/>
    </row>
    <row r="131">
      <c r="A131" s="1">
        <v>46089.0</v>
      </c>
      <c r="B131" s="2" t="s">
        <v>148</v>
      </c>
      <c r="C131" s="2" t="s">
        <v>150</v>
      </c>
      <c r="E131" s="6">
        <v>2.522366E8</v>
      </c>
      <c r="F131" s="3"/>
      <c r="G131" s="3">
        <v>3.5689951884000003E8</v>
      </c>
      <c r="H131" s="3"/>
      <c r="I131" s="8"/>
    </row>
    <row r="132">
      <c r="A132" s="1">
        <v>46089.0</v>
      </c>
      <c r="B132" s="2" t="s">
        <v>8</v>
      </c>
      <c r="C132" s="2" t="s">
        <v>151</v>
      </c>
      <c r="D132" s="6">
        <v>8.405E7</v>
      </c>
      <c r="E132" s="3"/>
      <c r="F132" s="6" t="s">
        <v>3</v>
      </c>
      <c r="G132" s="3">
        <v>2.7284951884000003E8</v>
      </c>
      <c r="H132" s="3"/>
      <c r="I132" s="10" t="s">
        <v>4</v>
      </c>
    </row>
    <row r="133">
      <c r="A133" s="1">
        <v>46089.0</v>
      </c>
      <c r="B133" s="2" t="s">
        <v>8</v>
      </c>
      <c r="C133" s="2" t="s">
        <v>152</v>
      </c>
      <c r="D133" s="6">
        <v>5.18E7</v>
      </c>
      <c r="E133" s="3"/>
      <c r="F133" s="6" t="s">
        <v>3</v>
      </c>
      <c r="G133" s="3">
        <v>2.2104951884000003E8</v>
      </c>
      <c r="H133" s="3"/>
      <c r="I133" s="10" t="s">
        <v>4</v>
      </c>
    </row>
    <row r="134">
      <c r="A134" s="1">
        <v>46089.0</v>
      </c>
      <c r="B134" s="2" t="s">
        <v>8</v>
      </c>
      <c r="C134" s="2" t="s">
        <v>153</v>
      </c>
      <c r="D134" s="6">
        <v>4.1639E7</v>
      </c>
      <c r="E134" s="3"/>
      <c r="F134" s="6" t="s">
        <v>3</v>
      </c>
      <c r="G134" s="3">
        <v>1.7941051884000003E8</v>
      </c>
      <c r="H134" s="3"/>
      <c r="I134" s="10" t="s">
        <v>4</v>
      </c>
    </row>
    <row r="135">
      <c r="A135" s="1">
        <v>46089.0</v>
      </c>
      <c r="B135" s="2" t="s">
        <v>8</v>
      </c>
      <c r="C135" s="2" t="s">
        <v>154</v>
      </c>
      <c r="D135" s="6">
        <v>4.252125E7</v>
      </c>
      <c r="E135" s="3"/>
      <c r="F135" s="6" t="s">
        <v>3</v>
      </c>
      <c r="G135" s="3">
        <v>1.3688926884000003E8</v>
      </c>
      <c r="H135" s="3"/>
      <c r="I135" s="10" t="s">
        <v>4</v>
      </c>
    </row>
    <row r="136">
      <c r="A136" s="1">
        <v>46089.0</v>
      </c>
      <c r="B136" s="2" t="s">
        <v>8</v>
      </c>
      <c r="C136" s="2" t="s">
        <v>155</v>
      </c>
      <c r="D136" s="6">
        <v>1.0469651E8</v>
      </c>
      <c r="E136" s="3"/>
      <c r="F136" s="6" t="s">
        <v>3</v>
      </c>
      <c r="G136" s="3">
        <v>3.2192758840000033E7</v>
      </c>
      <c r="H136" s="3"/>
      <c r="I136" s="10" t="s">
        <v>4</v>
      </c>
    </row>
    <row r="137">
      <c r="A137" s="1">
        <v>46089.0</v>
      </c>
      <c r="B137" s="2" t="s">
        <v>14</v>
      </c>
      <c r="C137" s="2" t="s">
        <v>156</v>
      </c>
      <c r="D137" s="6"/>
      <c r="E137" s="6">
        <v>1.9176588E8</v>
      </c>
      <c r="F137" s="6" t="s">
        <v>7</v>
      </c>
      <c r="G137" s="3">
        <v>2.2395863884000003E8</v>
      </c>
      <c r="H137" s="3"/>
      <c r="I137" s="8"/>
    </row>
    <row r="138">
      <c r="A138" s="1">
        <v>46089.0</v>
      </c>
      <c r="B138" s="2" t="s">
        <v>8</v>
      </c>
      <c r="C138" s="2" t="s">
        <v>157</v>
      </c>
      <c r="D138" s="6">
        <v>4.36443E7</v>
      </c>
      <c r="E138" s="3"/>
      <c r="F138" s="6" t="s">
        <v>3</v>
      </c>
      <c r="G138" s="3">
        <v>1.8031433884000003E8</v>
      </c>
      <c r="H138" s="3"/>
      <c r="I138" s="10" t="s">
        <v>4</v>
      </c>
    </row>
    <row r="139">
      <c r="A139" s="1">
        <v>46089.0</v>
      </c>
      <c r="B139" s="2" t="s">
        <v>8</v>
      </c>
      <c r="C139" s="2" t="s">
        <v>158</v>
      </c>
      <c r="D139" s="6">
        <v>1.250756E8</v>
      </c>
      <c r="E139" s="3"/>
      <c r="F139" s="6" t="s">
        <v>3</v>
      </c>
      <c r="G139" s="3">
        <v>5.523873884000003E7</v>
      </c>
      <c r="H139" s="6">
        <v>5.523873884E7</v>
      </c>
      <c r="I139" s="10" t="s">
        <v>4</v>
      </c>
    </row>
    <row r="140">
      <c r="A140" s="1">
        <v>46089.0</v>
      </c>
      <c r="B140" s="2" t="s">
        <v>14</v>
      </c>
      <c r="C140" s="2" t="s">
        <v>159</v>
      </c>
      <c r="D140" s="6"/>
      <c r="E140" s="6">
        <v>4.29E7</v>
      </c>
      <c r="F140" s="6" t="s">
        <v>7</v>
      </c>
      <c r="G140" s="3">
        <v>9.813873884000003E7</v>
      </c>
      <c r="H140" s="6">
        <v>9.813873884E7</v>
      </c>
      <c r="I140" s="8" t="s">
        <v>25</v>
      </c>
    </row>
    <row r="141">
      <c r="A141" s="1">
        <v>46089.0</v>
      </c>
      <c r="B141" s="2" t="s">
        <v>8</v>
      </c>
      <c r="C141" s="2" t="s">
        <v>160</v>
      </c>
      <c r="D141" s="6">
        <v>8.647344E7</v>
      </c>
      <c r="E141" s="3"/>
      <c r="F141" s="6" t="s">
        <v>3</v>
      </c>
      <c r="G141" s="3">
        <v>1.1665298840000033E7</v>
      </c>
      <c r="H141" s="3"/>
      <c r="I141" s="10" t="s">
        <v>4</v>
      </c>
    </row>
    <row r="142">
      <c r="A142" s="1">
        <v>46089.0</v>
      </c>
      <c r="B142" s="2" t="s">
        <v>14</v>
      </c>
      <c r="C142" s="2" t="s">
        <v>161</v>
      </c>
      <c r="D142" s="6"/>
      <c r="E142" s="6">
        <v>3.839248E7</v>
      </c>
      <c r="F142" s="6" t="s">
        <v>7</v>
      </c>
      <c r="G142" s="3">
        <v>5.005777884000003E7</v>
      </c>
      <c r="H142" s="3"/>
      <c r="I142" s="8"/>
    </row>
    <row r="143">
      <c r="A143" s="1">
        <v>46089.0</v>
      </c>
      <c r="B143" s="2" t="s">
        <v>14</v>
      </c>
      <c r="C143" s="2" t="s">
        <v>162</v>
      </c>
      <c r="D143" s="6"/>
      <c r="E143" s="6">
        <v>2.6847347E8</v>
      </c>
      <c r="F143" s="6" t="s">
        <v>7</v>
      </c>
      <c r="G143" s="3">
        <v>3.1853124884000003E8</v>
      </c>
      <c r="H143" s="3"/>
      <c r="I143" s="8"/>
    </row>
    <row r="144">
      <c r="A144" s="1">
        <v>46089.0</v>
      </c>
      <c r="B144" s="2" t="s">
        <v>8</v>
      </c>
      <c r="C144" s="2" t="s">
        <v>163</v>
      </c>
      <c r="D144" s="6">
        <v>8.211229E7</v>
      </c>
      <c r="E144" s="3"/>
      <c r="F144" s="6" t="s">
        <v>3</v>
      </c>
      <c r="G144" s="3">
        <v>2.3641895884000003E8</v>
      </c>
      <c r="H144" s="3"/>
      <c r="I144" s="10" t="s">
        <v>4</v>
      </c>
    </row>
    <row r="145">
      <c r="A145" s="1">
        <v>46089.0</v>
      </c>
      <c r="B145" s="2" t="s">
        <v>8</v>
      </c>
      <c r="C145" s="2" t="s">
        <v>164</v>
      </c>
      <c r="D145" s="6">
        <v>4.65E7</v>
      </c>
      <c r="E145" s="3"/>
      <c r="F145" s="6" t="s">
        <v>3</v>
      </c>
      <c r="G145" s="3">
        <v>1.8991895884000003E8</v>
      </c>
      <c r="H145" s="3"/>
      <c r="I145" s="10" t="s">
        <v>4</v>
      </c>
    </row>
    <row r="146">
      <c r="A146" s="1">
        <v>46089.0</v>
      </c>
      <c r="B146" s="2" t="s">
        <v>165</v>
      </c>
      <c r="C146" s="2" t="s">
        <v>165</v>
      </c>
      <c r="D146" s="6">
        <v>400000.0</v>
      </c>
      <c r="E146" s="3"/>
      <c r="F146" s="3"/>
      <c r="G146" s="3">
        <v>1.8951895884000003E8</v>
      </c>
      <c r="H146" s="3"/>
      <c r="I146" s="10" t="s">
        <v>25</v>
      </c>
    </row>
    <row r="147">
      <c r="A147" s="1">
        <v>46089.0</v>
      </c>
      <c r="B147" s="2" t="s">
        <v>14</v>
      </c>
      <c r="C147" s="2" t="s">
        <v>166</v>
      </c>
      <c r="D147" s="6"/>
      <c r="E147" s="6">
        <v>9.783584E7</v>
      </c>
      <c r="F147" s="6" t="s">
        <v>7</v>
      </c>
      <c r="G147" s="3">
        <v>2.8735479884000003E8</v>
      </c>
      <c r="H147" s="3"/>
      <c r="I147" s="8"/>
    </row>
    <row r="148">
      <c r="A148" s="1">
        <v>46089.0</v>
      </c>
      <c r="B148" s="2" t="s">
        <v>14</v>
      </c>
      <c r="C148" s="2" t="s">
        <v>167</v>
      </c>
      <c r="D148" s="6"/>
      <c r="E148" s="6">
        <v>6.116072E7</v>
      </c>
      <c r="F148" s="6" t="s">
        <v>7</v>
      </c>
      <c r="G148" s="3">
        <v>3.4851551884000003E8</v>
      </c>
      <c r="H148" s="3"/>
      <c r="I148" s="8"/>
    </row>
    <row r="149">
      <c r="A149" s="1">
        <v>46089.0</v>
      </c>
      <c r="B149" s="2" t="s">
        <v>14</v>
      </c>
      <c r="C149" s="2" t="s">
        <v>168</v>
      </c>
      <c r="D149" s="6"/>
      <c r="E149" s="6">
        <v>5.0E7</v>
      </c>
      <c r="F149" s="6" t="s">
        <v>7</v>
      </c>
      <c r="G149" s="3">
        <v>3.9851551884000003E8</v>
      </c>
      <c r="H149" s="3"/>
      <c r="I149" s="8"/>
    </row>
    <row r="150">
      <c r="A150" s="1">
        <v>46089.0</v>
      </c>
      <c r="B150" s="2" t="s">
        <v>8</v>
      </c>
      <c r="C150" s="2" t="s">
        <v>169</v>
      </c>
      <c r="D150" s="6">
        <v>1.2897E7</v>
      </c>
      <c r="E150" s="3"/>
      <c r="F150" s="6" t="s">
        <v>3</v>
      </c>
      <c r="G150" s="3">
        <v>3.8561851884000003E8</v>
      </c>
      <c r="H150" s="6">
        <v>3.8561851884E8</v>
      </c>
      <c r="I150" s="10" t="s">
        <v>4</v>
      </c>
    </row>
    <row r="151">
      <c r="A151" s="1">
        <v>46090.0</v>
      </c>
      <c r="B151" s="2" t="s">
        <v>170</v>
      </c>
      <c r="C151" s="2" t="s">
        <v>171</v>
      </c>
      <c r="D151" s="6">
        <v>119300.0</v>
      </c>
      <c r="E151" s="3"/>
      <c r="F151" s="6" t="s">
        <v>3</v>
      </c>
      <c r="G151" s="3">
        <v>3.8549921884000003E8</v>
      </c>
      <c r="H151" s="6">
        <v>3.8549921884E8</v>
      </c>
      <c r="I151" s="10" t="s">
        <v>25</v>
      </c>
    </row>
    <row r="152">
      <c r="A152" s="1">
        <v>46090.0</v>
      </c>
      <c r="B152" s="2" t="s">
        <v>172</v>
      </c>
      <c r="C152" s="2" t="s">
        <v>173</v>
      </c>
      <c r="D152" s="6"/>
      <c r="E152" s="6">
        <v>3068960.0</v>
      </c>
      <c r="F152" s="6" t="s">
        <v>7</v>
      </c>
      <c r="G152" s="3">
        <v>3.8856817884000003E8</v>
      </c>
      <c r="H152" s="6">
        <v>3.8856817884E8</v>
      </c>
      <c r="I152" s="8"/>
    </row>
    <row r="153">
      <c r="A153" s="1">
        <v>46090.0</v>
      </c>
      <c r="B153" s="2" t="s">
        <v>8</v>
      </c>
      <c r="C153" s="2" t="s">
        <v>174</v>
      </c>
      <c r="D153" s="6">
        <v>5.0E7</v>
      </c>
      <c r="E153" s="3"/>
      <c r="F153" s="6" t="s">
        <v>3</v>
      </c>
      <c r="G153" s="3">
        <v>3.3856817884000003E8</v>
      </c>
      <c r="H153" s="3"/>
      <c r="I153" s="10" t="s">
        <v>4</v>
      </c>
    </row>
    <row r="154">
      <c r="A154" s="1">
        <v>46090.0</v>
      </c>
      <c r="B154" s="2" t="s">
        <v>8</v>
      </c>
      <c r="C154" s="2" t="s">
        <v>175</v>
      </c>
      <c r="D154" s="6">
        <v>4.65E7</v>
      </c>
      <c r="E154" s="3"/>
      <c r="F154" s="6" t="s">
        <v>3</v>
      </c>
      <c r="G154" s="3">
        <v>2.9206817884000003E8</v>
      </c>
      <c r="H154" s="3"/>
      <c r="I154" s="10" t="s">
        <v>4</v>
      </c>
    </row>
    <row r="155">
      <c r="A155" s="1">
        <v>46090.0</v>
      </c>
      <c r="B155" s="2" t="s">
        <v>8</v>
      </c>
      <c r="C155" s="2" t="s">
        <v>176</v>
      </c>
      <c r="D155" s="6">
        <v>9.6E7</v>
      </c>
      <c r="E155" s="3"/>
      <c r="F155" s="6" t="s">
        <v>3</v>
      </c>
      <c r="G155" s="3">
        <v>1.9606817884000003E8</v>
      </c>
      <c r="H155" s="3"/>
      <c r="I155" s="10" t="s">
        <v>4</v>
      </c>
    </row>
    <row r="156">
      <c r="A156" s="1">
        <v>46090.0</v>
      </c>
      <c r="B156" s="2" t="s">
        <v>8</v>
      </c>
      <c r="C156" s="2" t="s">
        <v>177</v>
      </c>
      <c r="D156" s="6">
        <v>1.0E8</v>
      </c>
      <c r="E156" s="3"/>
      <c r="F156" s="6" t="s">
        <v>3</v>
      </c>
      <c r="G156" s="3">
        <v>9.606817884000003E7</v>
      </c>
      <c r="H156" s="3"/>
      <c r="I156" s="10" t="s">
        <v>4</v>
      </c>
    </row>
    <row r="157">
      <c r="A157" s="1">
        <v>46090.0</v>
      </c>
      <c r="B157" s="2" t="s">
        <v>8</v>
      </c>
      <c r="C157" s="2" t="s">
        <v>178</v>
      </c>
      <c r="D157" s="6">
        <v>6.116072E7</v>
      </c>
      <c r="E157" s="3"/>
      <c r="F157" s="6" t="s">
        <v>3</v>
      </c>
      <c r="G157" s="3">
        <v>3.490745884000003E7</v>
      </c>
      <c r="H157" s="3"/>
      <c r="I157" s="10" t="s">
        <v>4</v>
      </c>
    </row>
    <row r="158">
      <c r="A158" s="1">
        <v>46090.0</v>
      </c>
      <c r="B158" s="2" t="s">
        <v>8</v>
      </c>
      <c r="C158" s="2" t="s">
        <v>179</v>
      </c>
      <c r="D158" s="6">
        <v>1557050.0</v>
      </c>
      <c r="E158" s="3"/>
      <c r="F158" s="6" t="s">
        <v>3</v>
      </c>
      <c r="G158" s="3">
        <v>3.3350408840000033E7</v>
      </c>
      <c r="H158" s="3"/>
      <c r="I158" s="10" t="s">
        <v>13</v>
      </c>
    </row>
    <row r="159">
      <c r="A159" s="1">
        <v>46090.0</v>
      </c>
      <c r="B159" s="2" t="s">
        <v>8</v>
      </c>
      <c r="C159" s="2" t="s">
        <v>180</v>
      </c>
      <c r="D159" s="6">
        <v>1.048687E7</v>
      </c>
      <c r="E159" s="3"/>
      <c r="F159" s="6" t="s">
        <v>3</v>
      </c>
      <c r="G159" s="3">
        <v>2.2863538840000033E7</v>
      </c>
      <c r="H159" s="3"/>
      <c r="I159" s="10" t="s">
        <v>13</v>
      </c>
    </row>
    <row r="160">
      <c r="A160" s="1">
        <v>46090.0</v>
      </c>
      <c r="B160" s="2" t="s">
        <v>8</v>
      </c>
      <c r="C160" s="2" t="s">
        <v>181</v>
      </c>
      <c r="D160" s="6">
        <v>2.27604E7</v>
      </c>
      <c r="E160" s="3"/>
      <c r="F160" s="6" t="s">
        <v>3</v>
      </c>
      <c r="G160" s="3">
        <v>103138.84000003338</v>
      </c>
      <c r="H160" s="3"/>
      <c r="I160" s="10" t="s">
        <v>13</v>
      </c>
    </row>
    <row r="161">
      <c r="A161" s="1">
        <v>46090.0</v>
      </c>
      <c r="B161" s="2" t="s">
        <v>14</v>
      </c>
      <c r="C161" s="2" t="s">
        <v>182</v>
      </c>
      <c r="D161" s="6"/>
      <c r="E161" s="6">
        <v>3.72102918E8</v>
      </c>
      <c r="F161" s="6" t="s">
        <v>7</v>
      </c>
      <c r="G161" s="3">
        <v>3.7220605684000003E8</v>
      </c>
      <c r="H161" s="3"/>
      <c r="I161" s="8"/>
    </row>
    <row r="162">
      <c r="A162" s="1">
        <v>46090.0</v>
      </c>
      <c r="B162" s="2" t="s">
        <v>68</v>
      </c>
      <c r="C162" s="2" t="s">
        <v>183</v>
      </c>
      <c r="D162" s="6">
        <v>52000.0</v>
      </c>
      <c r="E162" s="3"/>
      <c r="F162" s="3"/>
      <c r="G162" s="3">
        <v>3.7215405684000003E8</v>
      </c>
      <c r="H162" s="3"/>
      <c r="I162" s="10" t="s">
        <v>25</v>
      </c>
    </row>
    <row r="163">
      <c r="A163" s="1">
        <v>46090.0</v>
      </c>
      <c r="B163" s="2" t="s">
        <v>68</v>
      </c>
      <c r="C163" s="12" t="s">
        <v>183</v>
      </c>
      <c r="D163" s="6">
        <v>27000.0</v>
      </c>
      <c r="E163" s="3"/>
      <c r="F163" s="3"/>
      <c r="G163" s="3">
        <v>3.7212705684000003E8</v>
      </c>
      <c r="H163" s="3"/>
      <c r="I163" s="10" t="s">
        <v>25</v>
      </c>
    </row>
    <row r="164">
      <c r="A164" s="1">
        <v>46090.0</v>
      </c>
      <c r="B164" s="2" t="s">
        <v>8</v>
      </c>
      <c r="C164" s="2" t="s">
        <v>184</v>
      </c>
      <c r="D164" s="6">
        <v>3.775984E7</v>
      </c>
      <c r="E164" s="3"/>
      <c r="F164" s="6" t="s">
        <v>3</v>
      </c>
      <c r="G164" s="3">
        <v>3.3436721684000003E8</v>
      </c>
      <c r="H164" s="6">
        <v>3.3436721684E8</v>
      </c>
      <c r="I164" s="10" t="s">
        <v>4</v>
      </c>
    </row>
    <row r="165">
      <c r="A165" s="1">
        <v>46090.0</v>
      </c>
      <c r="B165" s="2" t="s">
        <v>8</v>
      </c>
      <c r="C165" s="2" t="s">
        <v>185</v>
      </c>
      <c r="D165" s="6">
        <v>5.4649E7</v>
      </c>
      <c r="E165" s="3"/>
      <c r="F165" s="6" t="s">
        <v>3</v>
      </c>
      <c r="G165" s="3">
        <v>2.7971821684000003E8</v>
      </c>
      <c r="H165" s="6">
        <v>2.7971821684E8</v>
      </c>
      <c r="I165" s="10" t="s">
        <v>4</v>
      </c>
    </row>
    <row r="166">
      <c r="A166" s="1">
        <v>46090.0</v>
      </c>
      <c r="B166" s="2" t="s">
        <v>8</v>
      </c>
      <c r="C166" s="2" t="s">
        <v>186</v>
      </c>
      <c r="D166" s="6">
        <v>8.37384E7</v>
      </c>
      <c r="E166" s="3"/>
      <c r="F166" s="6" t="s">
        <v>3</v>
      </c>
      <c r="G166" s="3">
        <v>1.9597981684000003E8</v>
      </c>
      <c r="H166" s="3"/>
      <c r="I166" s="10" t="s">
        <v>4</v>
      </c>
    </row>
    <row r="167">
      <c r="A167" s="1">
        <v>46090.0</v>
      </c>
      <c r="B167" s="2" t="s">
        <v>8</v>
      </c>
      <c r="C167" s="2" t="s">
        <v>187</v>
      </c>
      <c r="D167" s="6">
        <v>4.81095E7</v>
      </c>
      <c r="E167" s="3"/>
      <c r="F167" s="6" t="s">
        <v>3</v>
      </c>
      <c r="G167" s="3">
        <v>1.4787031684000003E8</v>
      </c>
      <c r="H167" s="3"/>
      <c r="I167" s="10" t="s">
        <v>4</v>
      </c>
    </row>
    <row r="168">
      <c r="A168" s="1">
        <v>46090.0</v>
      </c>
      <c r="B168" s="2" t="s">
        <v>8</v>
      </c>
      <c r="C168" s="2" t="s">
        <v>188</v>
      </c>
      <c r="D168" s="6">
        <v>4.600404E7</v>
      </c>
      <c r="E168" s="3"/>
      <c r="F168" s="6" t="s">
        <v>3</v>
      </c>
      <c r="G168" s="3">
        <v>1.0186627684000003E8</v>
      </c>
      <c r="H168" s="3"/>
      <c r="I168" s="10" t="s">
        <v>4</v>
      </c>
    </row>
    <row r="169">
      <c r="A169" s="1">
        <v>46090.0</v>
      </c>
      <c r="B169" s="2" t="s">
        <v>8</v>
      </c>
      <c r="C169" s="2" t="s">
        <v>189</v>
      </c>
      <c r="D169" s="6">
        <v>7.748421E7</v>
      </c>
      <c r="E169" s="3"/>
      <c r="F169" s="6" t="s">
        <v>3</v>
      </c>
      <c r="G169" s="3">
        <v>2.4382066840000033E7</v>
      </c>
      <c r="H169" s="3"/>
      <c r="I169" s="10" t="s">
        <v>4</v>
      </c>
    </row>
    <row r="170">
      <c r="A170" s="1">
        <v>46090.0</v>
      </c>
      <c r="B170" s="2" t="s">
        <v>14</v>
      </c>
      <c r="C170" s="2" t="s">
        <v>190</v>
      </c>
      <c r="D170" s="6"/>
      <c r="E170" s="6">
        <v>4.36551E7</v>
      </c>
      <c r="F170" s="6" t="s">
        <v>7</v>
      </c>
      <c r="G170" s="3">
        <v>6.803716684000003E7</v>
      </c>
      <c r="H170" s="3"/>
      <c r="I170" s="8"/>
    </row>
    <row r="171">
      <c r="A171" s="1">
        <v>46090.0</v>
      </c>
      <c r="B171" s="2" t="s">
        <v>8</v>
      </c>
      <c r="C171" s="2" t="s">
        <v>191</v>
      </c>
      <c r="D171" s="6">
        <v>6.740945E7</v>
      </c>
      <c r="E171" s="3"/>
      <c r="F171" s="6" t="s">
        <v>3</v>
      </c>
      <c r="G171" s="3">
        <v>627716.8400000334</v>
      </c>
      <c r="H171" s="3"/>
      <c r="I171" s="10" t="s">
        <v>4</v>
      </c>
    </row>
    <row r="172">
      <c r="A172" s="1">
        <v>46090.0</v>
      </c>
      <c r="B172" s="2" t="s">
        <v>95</v>
      </c>
      <c r="C172" s="2" t="s">
        <v>192</v>
      </c>
      <c r="D172" s="6">
        <v>210000.0</v>
      </c>
      <c r="E172" s="3"/>
      <c r="F172" s="6" t="s">
        <v>3</v>
      </c>
      <c r="G172" s="3">
        <v>417716.8400000334</v>
      </c>
      <c r="H172" s="3"/>
      <c r="I172" s="10" t="s">
        <v>25</v>
      </c>
    </row>
    <row r="173">
      <c r="A173" s="1">
        <v>46090.0</v>
      </c>
      <c r="B173" s="2" t="s">
        <v>95</v>
      </c>
      <c r="C173" s="2" t="s">
        <v>193</v>
      </c>
      <c r="D173" s="6">
        <v>2500.0</v>
      </c>
      <c r="E173" s="3"/>
      <c r="F173" s="6" t="s">
        <v>3</v>
      </c>
      <c r="G173" s="3">
        <v>415216.8400000334</v>
      </c>
      <c r="H173" s="3"/>
      <c r="I173" s="10" t="s">
        <v>10</v>
      </c>
    </row>
    <row r="174">
      <c r="A174" s="1">
        <v>46090.0</v>
      </c>
      <c r="B174" s="2" t="s">
        <v>14</v>
      </c>
      <c r="C174" s="2" t="s">
        <v>194</v>
      </c>
      <c r="D174" s="6"/>
      <c r="E174" s="6">
        <v>1.0E8</v>
      </c>
      <c r="F174" s="6" t="s">
        <v>7</v>
      </c>
      <c r="G174" s="3">
        <v>1.0041521684000003E8</v>
      </c>
      <c r="H174" s="3"/>
      <c r="I174" s="8" t="s">
        <v>25</v>
      </c>
    </row>
    <row r="175">
      <c r="A175" s="1">
        <v>46090.0</v>
      </c>
      <c r="B175" s="2" t="s">
        <v>195</v>
      </c>
      <c r="C175" s="2" t="s">
        <v>195</v>
      </c>
      <c r="D175" s="6">
        <v>300000.0</v>
      </c>
      <c r="E175" s="3"/>
      <c r="F175" s="3"/>
      <c r="G175" s="3">
        <v>1.0011521684000003E8</v>
      </c>
      <c r="H175" s="3"/>
      <c r="I175" s="10" t="s">
        <v>25</v>
      </c>
    </row>
    <row r="176">
      <c r="A176" s="1">
        <v>46090.0</v>
      </c>
      <c r="B176" s="2" t="s">
        <v>14</v>
      </c>
      <c r="C176" s="2" t="s">
        <v>196</v>
      </c>
      <c r="D176" s="6"/>
      <c r="E176" s="6">
        <v>4.84011E7</v>
      </c>
      <c r="F176" s="6" t="s">
        <v>7</v>
      </c>
      <c r="G176" s="3">
        <v>1.4851631684000003E8</v>
      </c>
      <c r="H176" s="3"/>
      <c r="I176" s="8"/>
    </row>
    <row r="177">
      <c r="A177" s="1">
        <v>46090.0</v>
      </c>
      <c r="B177" s="2" t="s">
        <v>8</v>
      </c>
      <c r="C177" s="2" t="s">
        <v>197</v>
      </c>
      <c r="D177" s="6">
        <v>4.35834E7</v>
      </c>
      <c r="E177" s="3"/>
      <c r="F177" s="6" t="s">
        <v>3</v>
      </c>
      <c r="G177" s="3">
        <v>1.0493291684000003E8</v>
      </c>
      <c r="H177" s="6">
        <v>1.0493291684E8</v>
      </c>
      <c r="I177" s="10" t="s">
        <v>4</v>
      </c>
    </row>
    <row r="178">
      <c r="A178" s="1">
        <v>46090.0</v>
      </c>
      <c r="B178" s="2" t="s">
        <v>8</v>
      </c>
      <c r="C178" s="2" t="s">
        <v>198</v>
      </c>
      <c r="D178" s="6">
        <v>2.4E7</v>
      </c>
      <c r="E178" s="3"/>
      <c r="F178" s="6" t="s">
        <v>3</v>
      </c>
      <c r="G178" s="3">
        <v>8.093291684000003E7</v>
      </c>
      <c r="H178" s="6">
        <v>8.093291684E7</v>
      </c>
      <c r="I178" s="10" t="s">
        <v>4</v>
      </c>
    </row>
    <row r="179">
      <c r="A179" s="1">
        <v>46091.0</v>
      </c>
      <c r="B179" s="2" t="s">
        <v>199</v>
      </c>
      <c r="C179" s="2" t="s">
        <v>200</v>
      </c>
      <c r="D179" s="6">
        <v>1142600.0</v>
      </c>
      <c r="E179" s="3"/>
      <c r="F179" s="6" t="s">
        <v>3</v>
      </c>
      <c r="G179" s="3">
        <v>7.979031684000003E7</v>
      </c>
      <c r="H179" s="3"/>
      <c r="I179" s="10" t="s">
        <v>84</v>
      </c>
    </row>
    <row r="180">
      <c r="A180" s="1">
        <v>46091.0</v>
      </c>
      <c r="B180" s="2" t="s">
        <v>201</v>
      </c>
      <c r="C180" s="2" t="s">
        <v>202</v>
      </c>
      <c r="D180" s="6">
        <v>2641000.0</v>
      </c>
      <c r="E180" s="3"/>
      <c r="F180" s="6" t="s">
        <v>3</v>
      </c>
      <c r="G180" s="3">
        <v>7.714931684000003E7</v>
      </c>
      <c r="H180" s="3"/>
      <c r="I180" s="10" t="s">
        <v>25</v>
      </c>
    </row>
    <row r="181">
      <c r="A181" s="1">
        <v>46091.0</v>
      </c>
      <c r="B181" s="2" t="s">
        <v>201</v>
      </c>
      <c r="C181" s="2" t="s">
        <v>203</v>
      </c>
      <c r="D181" s="6">
        <v>2500.0</v>
      </c>
      <c r="E181" s="3"/>
      <c r="F181" s="6" t="s">
        <v>3</v>
      </c>
      <c r="G181" s="3">
        <v>7.714681684000003E7</v>
      </c>
      <c r="H181" s="3"/>
      <c r="I181" s="10" t="s">
        <v>10</v>
      </c>
    </row>
    <row r="182">
      <c r="A182" s="1">
        <v>46091.0</v>
      </c>
      <c r="B182" s="2" t="s">
        <v>201</v>
      </c>
      <c r="C182" s="2" t="s">
        <v>204</v>
      </c>
      <c r="D182" s="6">
        <v>1525000.0</v>
      </c>
      <c r="E182" s="3"/>
      <c r="F182" s="6" t="s">
        <v>3</v>
      </c>
      <c r="G182" s="3">
        <v>7.562181684000003E7</v>
      </c>
      <c r="H182" s="3"/>
      <c r="I182" s="10" t="s">
        <v>25</v>
      </c>
    </row>
    <row r="183">
      <c r="A183" s="1">
        <v>46091.0</v>
      </c>
      <c r="B183" s="2" t="s">
        <v>201</v>
      </c>
      <c r="C183" s="2" t="s">
        <v>205</v>
      </c>
      <c r="D183" s="6">
        <v>2500.0</v>
      </c>
      <c r="E183" s="3"/>
      <c r="F183" s="6" t="s">
        <v>3</v>
      </c>
      <c r="G183" s="3">
        <v>7.561931684000003E7</v>
      </c>
      <c r="H183" s="3"/>
      <c r="I183" s="10" t="s">
        <v>10</v>
      </c>
    </row>
    <row r="184">
      <c r="A184" s="1">
        <v>46091.0</v>
      </c>
      <c r="B184" s="2" t="s">
        <v>206</v>
      </c>
      <c r="C184" s="2" t="s">
        <v>207</v>
      </c>
      <c r="D184" s="6"/>
      <c r="E184" s="6">
        <v>2850000.0</v>
      </c>
      <c r="F184" s="6" t="s">
        <v>7</v>
      </c>
      <c r="G184" s="3">
        <v>7.846931684000003E7</v>
      </c>
      <c r="H184" s="3"/>
      <c r="I184" s="8"/>
    </row>
    <row r="185">
      <c r="A185" s="1">
        <v>46091.0</v>
      </c>
      <c r="B185" s="2" t="s">
        <v>68</v>
      </c>
      <c r="C185" s="2" t="s">
        <v>208</v>
      </c>
      <c r="D185" s="6">
        <v>750000.0</v>
      </c>
      <c r="E185" s="3"/>
      <c r="F185" s="3"/>
      <c r="G185" s="3">
        <v>7.771931684000003E7</v>
      </c>
      <c r="H185" s="3"/>
      <c r="I185" s="10" t="s">
        <v>25</v>
      </c>
    </row>
    <row r="186">
      <c r="A186" s="1">
        <v>46091.0</v>
      </c>
      <c r="B186" s="2" t="s">
        <v>8</v>
      </c>
      <c r="C186" s="2" t="s">
        <v>209</v>
      </c>
      <c r="D186" s="6">
        <v>4.11336E7</v>
      </c>
      <c r="E186" s="3"/>
      <c r="F186" s="6" t="s">
        <v>3</v>
      </c>
      <c r="G186" s="3">
        <v>3.658571684000003E7</v>
      </c>
      <c r="H186" s="3"/>
      <c r="I186" s="10" t="s">
        <v>4</v>
      </c>
    </row>
    <row r="187">
      <c r="A187" s="1">
        <v>46091.0</v>
      </c>
      <c r="B187" s="2" t="s">
        <v>8</v>
      </c>
      <c r="C187" s="2" t="s">
        <v>210</v>
      </c>
      <c r="D187" s="6">
        <v>1350000.0</v>
      </c>
      <c r="E187" s="3"/>
      <c r="F187" s="6" t="s">
        <v>3</v>
      </c>
      <c r="G187" s="3">
        <v>3.523571684000003E7</v>
      </c>
      <c r="H187" s="3"/>
      <c r="I187" s="10" t="s">
        <v>13</v>
      </c>
    </row>
    <row r="188">
      <c r="A188" s="1">
        <v>46091.0</v>
      </c>
      <c r="B188" s="2" t="s">
        <v>8</v>
      </c>
      <c r="C188" s="2" t="s">
        <v>211</v>
      </c>
      <c r="D188" s="6">
        <v>2670430.0</v>
      </c>
      <c r="E188" s="3"/>
      <c r="F188" s="6" t="s">
        <v>3</v>
      </c>
      <c r="G188" s="3">
        <v>3.2565286840000033E7</v>
      </c>
      <c r="H188" s="3"/>
      <c r="I188" s="10" t="s">
        <v>13</v>
      </c>
    </row>
    <row r="189">
      <c r="A189" s="1">
        <v>46091.0</v>
      </c>
      <c r="B189" s="2" t="s">
        <v>8</v>
      </c>
      <c r="C189" s="2" t="s">
        <v>212</v>
      </c>
      <c r="D189" s="6">
        <v>4526000.0</v>
      </c>
      <c r="E189" s="3"/>
      <c r="F189" s="6" t="s">
        <v>3</v>
      </c>
      <c r="G189" s="3">
        <v>2.8039286840000033E7</v>
      </c>
      <c r="H189" s="3"/>
      <c r="I189" s="10" t="s">
        <v>13</v>
      </c>
    </row>
    <row r="190">
      <c r="A190" s="1">
        <v>46091.0</v>
      </c>
      <c r="B190" s="2" t="s">
        <v>14</v>
      </c>
      <c r="C190" s="2" t="s">
        <v>213</v>
      </c>
      <c r="D190" s="6"/>
      <c r="E190" s="6">
        <v>1.3823851E8</v>
      </c>
      <c r="F190" s="6" t="s">
        <v>7</v>
      </c>
      <c r="G190" s="3">
        <v>1.6627779684000003E8</v>
      </c>
      <c r="H190" s="6">
        <v>1.6627779684E8</v>
      </c>
      <c r="I190" s="8"/>
    </row>
    <row r="191">
      <c r="A191" s="1">
        <v>46091.0</v>
      </c>
      <c r="B191" s="2" t="s">
        <v>148</v>
      </c>
      <c r="C191" s="2" t="s">
        <v>214</v>
      </c>
      <c r="E191" s="6">
        <v>9.65916E7</v>
      </c>
      <c r="F191" s="6"/>
      <c r="G191" s="3">
        <v>2.6286939684000003E8</v>
      </c>
      <c r="H191" s="6">
        <v>2.6286939684E8</v>
      </c>
      <c r="I191" s="8"/>
    </row>
    <row r="192">
      <c r="A192" s="1">
        <v>46091.0</v>
      </c>
      <c r="B192" s="2" t="s">
        <v>8</v>
      </c>
      <c r="C192" s="2" t="s">
        <v>215</v>
      </c>
      <c r="D192" s="6">
        <v>1.22586E8</v>
      </c>
      <c r="E192" s="3"/>
      <c r="F192" s="6" t="s">
        <v>3</v>
      </c>
      <c r="G192" s="3">
        <v>1.4028339684000003E8</v>
      </c>
      <c r="H192" s="3"/>
      <c r="I192" s="10" t="s">
        <v>4</v>
      </c>
    </row>
    <row r="193">
      <c r="A193" s="1">
        <v>46091.0</v>
      </c>
      <c r="B193" s="2" t="s">
        <v>8</v>
      </c>
      <c r="C193" s="2" t="s">
        <v>216</v>
      </c>
      <c r="D193" s="6">
        <v>4.36108E7</v>
      </c>
      <c r="E193" s="3"/>
      <c r="F193" s="6" t="s">
        <v>3</v>
      </c>
      <c r="G193" s="3">
        <v>9.667259684000003E7</v>
      </c>
      <c r="H193" s="3"/>
      <c r="I193" s="10" t="s">
        <v>4</v>
      </c>
    </row>
    <row r="194">
      <c r="A194" s="1">
        <v>46091.0</v>
      </c>
      <c r="B194" s="2" t="s">
        <v>8</v>
      </c>
      <c r="C194" s="2" t="s">
        <v>217</v>
      </c>
      <c r="D194" s="6">
        <v>3.739779E7</v>
      </c>
      <c r="E194" s="3"/>
      <c r="F194" s="6" t="s">
        <v>3</v>
      </c>
      <c r="G194" s="3">
        <v>5.927480684000003E7</v>
      </c>
      <c r="H194" s="3"/>
      <c r="I194" s="10" t="s">
        <v>4</v>
      </c>
    </row>
    <row r="195">
      <c r="A195" s="1">
        <v>46091.0</v>
      </c>
      <c r="B195" s="2" t="s">
        <v>8</v>
      </c>
      <c r="C195" s="2" t="s">
        <v>218</v>
      </c>
      <c r="D195" s="6">
        <v>400000.0</v>
      </c>
      <c r="E195" s="3"/>
      <c r="F195" s="6" t="s">
        <v>3</v>
      </c>
      <c r="G195" s="3">
        <v>5.887480684000003E7</v>
      </c>
      <c r="H195" s="3"/>
      <c r="I195" s="10" t="s">
        <v>25</v>
      </c>
    </row>
    <row r="196">
      <c r="A196" s="1">
        <v>46091.0</v>
      </c>
      <c r="B196" s="2" t="s">
        <v>14</v>
      </c>
      <c r="C196" s="2" t="s">
        <v>219</v>
      </c>
      <c r="D196" s="6"/>
      <c r="E196" s="6">
        <v>4.68E7</v>
      </c>
      <c r="F196" s="6" t="s">
        <v>7</v>
      </c>
      <c r="G196" s="3">
        <v>1.0567480684000003E8</v>
      </c>
      <c r="H196" s="3"/>
      <c r="I196" s="8"/>
    </row>
    <row r="197">
      <c r="A197" s="1">
        <v>46091.0</v>
      </c>
      <c r="B197" s="2" t="s">
        <v>14</v>
      </c>
      <c r="C197" s="12" t="s">
        <v>219</v>
      </c>
      <c r="D197" s="6"/>
      <c r="E197" s="6">
        <v>4.68E7</v>
      </c>
      <c r="F197" s="6" t="s">
        <v>7</v>
      </c>
      <c r="G197" s="3">
        <v>1.5247480684000003E8</v>
      </c>
      <c r="H197" s="3"/>
      <c r="I197" s="8"/>
    </row>
    <row r="198">
      <c r="A198" s="1">
        <v>46091.0</v>
      </c>
      <c r="B198" s="2" t="s">
        <v>14</v>
      </c>
      <c r="C198" s="2" t="s">
        <v>220</v>
      </c>
      <c r="D198" s="6"/>
      <c r="E198" s="6">
        <v>2.2742916E8</v>
      </c>
      <c r="F198" s="6" t="s">
        <v>7</v>
      </c>
      <c r="G198" s="3">
        <v>3.7990396684000003E8</v>
      </c>
      <c r="H198" s="3"/>
      <c r="I198" s="8"/>
    </row>
    <row r="199">
      <c r="A199" s="1">
        <v>46091.0</v>
      </c>
      <c r="B199" s="2" t="s">
        <v>8</v>
      </c>
      <c r="C199" s="2" t="s">
        <v>221</v>
      </c>
      <c r="D199" s="6">
        <v>1500000.0</v>
      </c>
      <c r="E199" s="3"/>
      <c r="F199" s="6" t="s">
        <v>3</v>
      </c>
      <c r="G199" s="3">
        <v>3.7840396684000003E8</v>
      </c>
      <c r="H199" s="3"/>
      <c r="I199" s="10" t="s">
        <v>13</v>
      </c>
    </row>
    <row r="200">
      <c r="A200" s="1">
        <v>46091.0</v>
      </c>
      <c r="B200" s="2" t="s">
        <v>8</v>
      </c>
      <c r="C200" s="2" t="s">
        <v>222</v>
      </c>
      <c r="D200" s="6">
        <v>2.015075E8</v>
      </c>
      <c r="E200" s="3"/>
      <c r="F200" s="6" t="s">
        <v>3</v>
      </c>
      <c r="G200" s="3">
        <v>1.7689646684000003E8</v>
      </c>
      <c r="H200" s="3"/>
      <c r="I200" s="10" t="s">
        <v>4</v>
      </c>
    </row>
    <row r="201">
      <c r="A201" s="1">
        <v>46091.0</v>
      </c>
      <c r="B201" s="2" t="s">
        <v>8</v>
      </c>
      <c r="C201" s="2" t="s">
        <v>223</v>
      </c>
      <c r="D201" s="6">
        <v>4.779425E7</v>
      </c>
      <c r="E201" s="3"/>
      <c r="F201" s="6" t="s">
        <v>3</v>
      </c>
      <c r="G201" s="3">
        <v>1.2910221684000003E8</v>
      </c>
      <c r="H201" s="3"/>
      <c r="I201" s="10" t="s">
        <v>4</v>
      </c>
    </row>
    <row r="202">
      <c r="A202" s="1">
        <v>46091.0</v>
      </c>
      <c r="B202" s="2" t="s">
        <v>8</v>
      </c>
      <c r="C202" s="2" t="s">
        <v>224</v>
      </c>
      <c r="D202" s="6">
        <v>5.3445E7</v>
      </c>
      <c r="E202" s="3"/>
      <c r="F202" s="6" t="s">
        <v>3</v>
      </c>
      <c r="G202" s="3">
        <v>7.565721684000003E7</v>
      </c>
      <c r="H202" s="6">
        <v>7.565721684E7</v>
      </c>
      <c r="I202" s="10" t="s">
        <v>4</v>
      </c>
    </row>
    <row r="203">
      <c r="A203" s="1">
        <v>46091.0</v>
      </c>
      <c r="B203" s="2" t="s">
        <v>8</v>
      </c>
      <c r="C203" s="2" t="s">
        <v>225</v>
      </c>
      <c r="D203" s="6">
        <v>4.4319E7</v>
      </c>
      <c r="E203" s="3"/>
      <c r="F203" s="6" t="s">
        <v>3</v>
      </c>
      <c r="G203" s="3">
        <v>3.1338216840000033E7</v>
      </c>
      <c r="H203" s="6">
        <v>3.133821684E7</v>
      </c>
      <c r="I203" s="10" t="s">
        <v>4</v>
      </c>
    </row>
    <row r="204">
      <c r="A204" s="1">
        <v>46091.0</v>
      </c>
      <c r="B204" s="2" t="s">
        <v>14</v>
      </c>
      <c r="C204" s="2" t="s">
        <v>226</v>
      </c>
      <c r="D204" s="6"/>
      <c r="E204" s="6">
        <v>5.38013E7</v>
      </c>
      <c r="F204" s="6" t="s">
        <v>7</v>
      </c>
      <c r="G204" s="3">
        <v>8.513951684000003E7</v>
      </c>
      <c r="H204" s="3"/>
      <c r="I204" s="8" t="s">
        <v>25</v>
      </c>
    </row>
    <row r="205">
      <c r="A205" s="1">
        <v>46091.0</v>
      </c>
      <c r="B205" s="2" t="s">
        <v>8</v>
      </c>
      <c r="C205" s="2" t="s">
        <v>227</v>
      </c>
      <c r="D205" s="6">
        <v>7.96578E7</v>
      </c>
      <c r="E205" s="3"/>
      <c r="F205" s="6" t="s">
        <v>3</v>
      </c>
      <c r="G205" s="3">
        <v>5481716.840000033</v>
      </c>
      <c r="H205" s="6">
        <v>5481716.84</v>
      </c>
      <c r="I205" s="10" t="s">
        <v>4</v>
      </c>
    </row>
    <row r="206">
      <c r="A206" s="1">
        <v>46092.0</v>
      </c>
      <c r="B206" s="2" t="s">
        <v>228</v>
      </c>
      <c r="C206" s="2" t="s">
        <v>229</v>
      </c>
      <c r="D206" s="6"/>
      <c r="E206" s="6">
        <v>5.672487E7</v>
      </c>
      <c r="F206" s="6" t="s">
        <v>7</v>
      </c>
      <c r="G206" s="3">
        <v>6.220658684000003E7</v>
      </c>
      <c r="H206" s="3"/>
      <c r="I206" s="8" t="s">
        <v>25</v>
      </c>
    </row>
    <row r="207">
      <c r="A207" s="1">
        <v>46092.0</v>
      </c>
      <c r="B207" s="2" t="s">
        <v>230</v>
      </c>
      <c r="C207" s="2" t="s">
        <v>231</v>
      </c>
      <c r="D207" s="6">
        <v>4.842045E7</v>
      </c>
      <c r="E207" s="3"/>
      <c r="F207" s="6" t="s">
        <v>3</v>
      </c>
      <c r="G207" s="3">
        <v>1.3786136840000033E7</v>
      </c>
      <c r="H207" s="3"/>
      <c r="I207" s="10" t="s">
        <v>4</v>
      </c>
    </row>
    <row r="208">
      <c r="A208" s="1">
        <v>46092.0</v>
      </c>
      <c r="B208" s="2" t="s">
        <v>230</v>
      </c>
      <c r="C208" s="2" t="s">
        <v>232</v>
      </c>
      <c r="D208" s="6">
        <v>2038150.0</v>
      </c>
      <c r="E208" s="3"/>
      <c r="F208" s="6" t="s">
        <v>3</v>
      </c>
      <c r="G208" s="3">
        <v>1.1747986840000033E7</v>
      </c>
      <c r="H208" s="3"/>
      <c r="I208" s="10" t="s">
        <v>13</v>
      </c>
    </row>
    <row r="209">
      <c r="A209" s="1">
        <v>46092.0</v>
      </c>
      <c r="B209" s="2" t="s">
        <v>230</v>
      </c>
      <c r="C209" s="2" t="s">
        <v>233</v>
      </c>
      <c r="D209" s="6">
        <v>1171000.0</v>
      </c>
      <c r="E209" s="3"/>
      <c r="F209" s="6" t="s">
        <v>3</v>
      </c>
      <c r="G209" s="3">
        <v>1.0576986840000033E7</v>
      </c>
      <c r="H209" s="3"/>
      <c r="I209" s="10" t="s">
        <v>13</v>
      </c>
    </row>
    <row r="210">
      <c r="A210" s="1">
        <v>46092.0</v>
      </c>
      <c r="B210" s="2" t="s">
        <v>230</v>
      </c>
      <c r="C210" s="2" t="s">
        <v>234</v>
      </c>
      <c r="D210" s="6">
        <v>1.05101E7</v>
      </c>
      <c r="E210" s="3"/>
      <c r="F210" s="6" t="s">
        <v>3</v>
      </c>
      <c r="G210" s="3">
        <v>66886.84000003338</v>
      </c>
      <c r="H210" s="3"/>
      <c r="I210" s="10" t="s">
        <v>13</v>
      </c>
    </row>
    <row r="211">
      <c r="A211" s="1">
        <v>46092.0</v>
      </c>
      <c r="B211" s="2" t="s">
        <v>228</v>
      </c>
      <c r="C211" s="2" t="s">
        <v>235</v>
      </c>
      <c r="D211" s="6"/>
      <c r="E211" s="6">
        <v>2.2E7</v>
      </c>
      <c r="F211" s="6" t="s">
        <v>7</v>
      </c>
      <c r="G211" s="3">
        <v>2.2066886840000033E7</v>
      </c>
      <c r="H211" s="3"/>
      <c r="I211" s="8" t="s">
        <v>25</v>
      </c>
    </row>
    <row r="212">
      <c r="A212" s="1">
        <v>46092.0</v>
      </c>
      <c r="B212" s="2" t="s">
        <v>14</v>
      </c>
      <c r="C212" s="2" t="s">
        <v>236</v>
      </c>
      <c r="D212" s="6"/>
      <c r="E212" s="6">
        <v>594000.0</v>
      </c>
      <c r="F212" s="6" t="s">
        <v>7</v>
      </c>
      <c r="G212" s="3">
        <v>2.2660886840000033E7</v>
      </c>
      <c r="H212" s="3"/>
      <c r="I212" s="8"/>
    </row>
    <row r="213">
      <c r="A213" s="1">
        <v>46092.0</v>
      </c>
      <c r="B213" s="2" t="s">
        <v>14</v>
      </c>
      <c r="C213" s="2" t="s">
        <v>237</v>
      </c>
      <c r="D213" s="6"/>
      <c r="E213" s="6">
        <v>3.36315754E8</v>
      </c>
      <c r="F213" s="6" t="s">
        <v>7</v>
      </c>
      <c r="G213" s="3">
        <v>3.5897664084000003E8</v>
      </c>
      <c r="H213" s="3"/>
      <c r="I213" s="8"/>
    </row>
    <row r="214">
      <c r="A214" s="1">
        <v>46092.0</v>
      </c>
      <c r="B214" s="2" t="s">
        <v>8</v>
      </c>
      <c r="C214" s="2" t="s">
        <v>238</v>
      </c>
      <c r="D214" s="6">
        <v>1.0E8</v>
      </c>
      <c r="E214" s="3"/>
      <c r="F214" s="6" t="s">
        <v>3</v>
      </c>
      <c r="G214" s="3">
        <v>2.5897664084000003E8</v>
      </c>
      <c r="H214" s="3"/>
      <c r="I214" s="10" t="s">
        <v>4</v>
      </c>
    </row>
    <row r="215">
      <c r="A215" s="1">
        <v>46092.0</v>
      </c>
      <c r="B215" s="2" t="s">
        <v>8</v>
      </c>
      <c r="C215" s="2" t="s">
        <v>239</v>
      </c>
      <c r="D215" s="6">
        <v>1.0E8</v>
      </c>
      <c r="E215" s="3"/>
      <c r="F215" s="6" t="s">
        <v>3</v>
      </c>
      <c r="G215" s="3">
        <v>1.5897664084000003E8</v>
      </c>
      <c r="H215" s="6">
        <v>1.5897664084E8</v>
      </c>
      <c r="I215" s="10" t="s">
        <v>4</v>
      </c>
    </row>
    <row r="216">
      <c r="A216" s="1">
        <v>46092.0</v>
      </c>
      <c r="B216" s="2" t="s">
        <v>14</v>
      </c>
      <c r="C216" s="2" t="s">
        <v>240</v>
      </c>
      <c r="D216" s="6"/>
      <c r="E216" s="6">
        <v>500000.0</v>
      </c>
      <c r="F216" s="6" t="s">
        <v>7</v>
      </c>
      <c r="G216" s="3">
        <v>1.5947664084000003E8</v>
      </c>
      <c r="H216" s="6">
        <v>1.5947664084E8</v>
      </c>
      <c r="I216" s="8"/>
    </row>
    <row r="217">
      <c r="A217" s="1">
        <v>46092.0</v>
      </c>
      <c r="B217" s="2" t="s">
        <v>14</v>
      </c>
      <c r="C217" s="2" t="s">
        <v>241</v>
      </c>
      <c r="D217" s="6"/>
      <c r="E217" s="6">
        <v>1.36522E8</v>
      </c>
      <c r="F217" s="6" t="s">
        <v>7</v>
      </c>
      <c r="G217" s="3">
        <v>2.9599864084000003E8</v>
      </c>
      <c r="H217" s="3"/>
      <c r="I217" s="8" t="s">
        <v>25</v>
      </c>
    </row>
    <row r="218">
      <c r="A218" s="1">
        <v>46092.0</v>
      </c>
      <c r="B218" s="2" t="s">
        <v>8</v>
      </c>
      <c r="C218" s="2" t="s">
        <v>242</v>
      </c>
      <c r="D218" s="6">
        <v>9.48E7</v>
      </c>
      <c r="E218" s="3"/>
      <c r="F218" s="6" t="s">
        <v>3</v>
      </c>
      <c r="G218" s="3">
        <v>2.0119864084000003E8</v>
      </c>
      <c r="H218" s="3"/>
      <c r="I218" s="10" t="s">
        <v>4</v>
      </c>
    </row>
    <row r="219">
      <c r="A219" s="1">
        <v>46092.0</v>
      </c>
      <c r="B219" s="2" t="s">
        <v>8</v>
      </c>
      <c r="C219" s="2" t="s">
        <v>243</v>
      </c>
      <c r="D219" s="6">
        <v>50000.0</v>
      </c>
      <c r="E219" s="3"/>
      <c r="F219" s="6" t="s">
        <v>3</v>
      </c>
      <c r="G219" s="3">
        <v>2.0114864084000003E8</v>
      </c>
      <c r="H219" s="6">
        <v>2.0114864084E8</v>
      </c>
      <c r="I219" s="8" t="s">
        <v>25</v>
      </c>
    </row>
    <row r="220">
      <c r="A220" s="1">
        <v>46093.0</v>
      </c>
      <c r="B220" s="2" t="s">
        <v>244</v>
      </c>
      <c r="C220" s="2" t="s">
        <v>245</v>
      </c>
      <c r="D220" s="6">
        <v>2.2594E7</v>
      </c>
      <c r="E220" s="3"/>
      <c r="F220" s="6" t="s">
        <v>3</v>
      </c>
      <c r="G220" s="3">
        <v>1.7855464084000003E8</v>
      </c>
      <c r="H220" s="3"/>
      <c r="I220" s="10" t="s">
        <v>4</v>
      </c>
    </row>
    <row r="221">
      <c r="A221" s="1">
        <v>46093.0</v>
      </c>
      <c r="B221" s="2" t="s">
        <v>8</v>
      </c>
      <c r="C221" s="2" t="s">
        <v>246</v>
      </c>
      <c r="D221" s="6">
        <v>1.7519248E8</v>
      </c>
      <c r="E221" s="3"/>
      <c r="F221" s="6" t="s">
        <v>3</v>
      </c>
      <c r="G221" s="3">
        <v>3362160.8400000334</v>
      </c>
      <c r="H221" s="3"/>
      <c r="I221" s="10" t="s">
        <v>4</v>
      </c>
    </row>
    <row r="222">
      <c r="A222" s="1">
        <v>46093.0</v>
      </c>
      <c r="B222" s="2" t="s">
        <v>8</v>
      </c>
      <c r="C222" s="2" t="s">
        <v>247</v>
      </c>
      <c r="D222" s="6">
        <v>55000.0</v>
      </c>
      <c r="E222" s="3"/>
      <c r="F222" s="6" t="s">
        <v>3</v>
      </c>
      <c r="G222" s="3">
        <v>3307160.8400000334</v>
      </c>
      <c r="H222" s="3"/>
      <c r="I222" s="10" t="s">
        <v>248</v>
      </c>
    </row>
    <row r="223">
      <c r="A223" s="1">
        <v>46093.0</v>
      </c>
      <c r="B223" s="2" t="s">
        <v>14</v>
      </c>
      <c r="C223" s="2" t="s">
        <v>249</v>
      </c>
      <c r="D223" s="6"/>
      <c r="E223" s="6">
        <v>7.0E7</v>
      </c>
      <c r="F223" s="6" t="s">
        <v>7</v>
      </c>
      <c r="G223" s="3">
        <v>7.330716084000003E7</v>
      </c>
      <c r="H223" s="6">
        <v>7.330716084E7</v>
      </c>
      <c r="I223" s="8"/>
    </row>
    <row r="224">
      <c r="A224" s="1">
        <v>46094.0</v>
      </c>
      <c r="B224" s="2" t="s">
        <v>250</v>
      </c>
      <c r="C224" s="2" t="s">
        <v>251</v>
      </c>
      <c r="D224" s="6">
        <v>6.03856E7</v>
      </c>
      <c r="E224" s="3"/>
      <c r="F224" s="6" t="s">
        <v>3</v>
      </c>
      <c r="G224" s="3">
        <v>1.2921560840000033E7</v>
      </c>
      <c r="H224" s="3"/>
      <c r="I224" s="10" t="s">
        <v>4</v>
      </c>
    </row>
    <row r="225">
      <c r="A225" s="1">
        <v>46094.0</v>
      </c>
      <c r="B225" s="2" t="s">
        <v>8</v>
      </c>
      <c r="C225" s="2" t="s">
        <v>252</v>
      </c>
      <c r="D225" s="6">
        <v>2605200.0</v>
      </c>
      <c r="E225" s="3"/>
      <c r="F225" s="6" t="s">
        <v>3</v>
      </c>
      <c r="G225" s="3">
        <v>1.0316360840000033E7</v>
      </c>
      <c r="H225" s="3"/>
      <c r="I225" s="10" t="s">
        <v>13</v>
      </c>
    </row>
    <row r="226">
      <c r="A226" s="1">
        <v>46094.0</v>
      </c>
      <c r="B226" s="2" t="s">
        <v>8</v>
      </c>
      <c r="C226" s="2" t="s">
        <v>253</v>
      </c>
      <c r="D226" s="6">
        <v>8780700.0</v>
      </c>
      <c r="E226" s="3"/>
      <c r="F226" s="6" t="s">
        <v>3</v>
      </c>
      <c r="G226" s="3">
        <v>1535660.8400000334</v>
      </c>
      <c r="H226" s="3"/>
      <c r="I226" s="10" t="s">
        <v>13</v>
      </c>
    </row>
    <row r="227">
      <c r="A227" s="1">
        <v>46094.0</v>
      </c>
      <c r="B227" s="2" t="s">
        <v>14</v>
      </c>
      <c r="C227" s="2" t="s">
        <v>254</v>
      </c>
      <c r="D227" s="6"/>
      <c r="E227" s="6">
        <v>3.32452355E8</v>
      </c>
      <c r="F227" s="6" t="s">
        <v>7</v>
      </c>
      <c r="G227" s="3">
        <v>3.3398801584000003E8</v>
      </c>
      <c r="H227" s="3"/>
      <c r="I227" s="8" t="s">
        <v>25</v>
      </c>
    </row>
    <row r="228">
      <c r="A228" s="1">
        <v>46094.0</v>
      </c>
      <c r="B228" s="2" t="s">
        <v>8</v>
      </c>
      <c r="C228" s="2" t="s">
        <v>255</v>
      </c>
      <c r="D228" s="6">
        <v>5.4064E7</v>
      </c>
      <c r="E228" s="3"/>
      <c r="F228" s="6" t="s">
        <v>3</v>
      </c>
      <c r="G228" s="3">
        <v>2.7992401584000003E8</v>
      </c>
      <c r="H228" s="3"/>
      <c r="I228" s="10" t="s">
        <v>4</v>
      </c>
    </row>
    <row r="229">
      <c r="A229" s="1">
        <v>46094.0</v>
      </c>
      <c r="B229" s="2" t="s">
        <v>8</v>
      </c>
      <c r="C229" s="2" t="s">
        <v>256</v>
      </c>
      <c r="D229" s="6">
        <v>4.19295E7</v>
      </c>
      <c r="E229" s="3"/>
      <c r="F229" s="6" t="s">
        <v>3</v>
      </c>
      <c r="G229" s="3">
        <v>2.3799451584000003E8</v>
      </c>
      <c r="H229" s="6">
        <v>2.3799451584E8</v>
      </c>
      <c r="I229" s="10" t="s">
        <v>4</v>
      </c>
    </row>
    <row r="230">
      <c r="A230" s="1">
        <v>46094.0</v>
      </c>
      <c r="B230" s="2" t="s">
        <v>8</v>
      </c>
      <c r="C230" s="2" t="s">
        <v>257</v>
      </c>
      <c r="D230" s="6">
        <v>4.35705E7</v>
      </c>
      <c r="E230" s="3"/>
      <c r="F230" s="6" t="s">
        <v>3</v>
      </c>
      <c r="G230" s="3">
        <v>1.9442401584000003E8</v>
      </c>
      <c r="H230" s="6">
        <v>1.9442401584E8</v>
      </c>
      <c r="I230" s="10" t="s">
        <v>4</v>
      </c>
    </row>
    <row r="231">
      <c r="A231" s="1">
        <v>46094.0</v>
      </c>
      <c r="B231" s="2" t="s">
        <v>8</v>
      </c>
      <c r="C231" s="2" t="s">
        <v>258</v>
      </c>
      <c r="D231" s="6">
        <v>4.8E7</v>
      </c>
      <c r="E231" s="3"/>
      <c r="F231" s="6" t="s">
        <v>3</v>
      </c>
      <c r="G231" s="3">
        <v>1.4642401584000003E8</v>
      </c>
      <c r="H231" s="3"/>
      <c r="I231" s="10" t="s">
        <v>4</v>
      </c>
    </row>
    <row r="232">
      <c r="A232" s="1">
        <v>46094.0</v>
      </c>
      <c r="B232" s="2" t="s">
        <v>8</v>
      </c>
      <c r="C232" s="2" t="s">
        <v>259</v>
      </c>
      <c r="D232" s="6">
        <v>4.6408E7</v>
      </c>
      <c r="E232" s="3"/>
      <c r="F232" s="6" t="s">
        <v>3</v>
      </c>
      <c r="G232" s="3">
        <v>1.0001601584000003E8</v>
      </c>
      <c r="H232" s="3"/>
      <c r="I232" s="10" t="s">
        <v>4</v>
      </c>
    </row>
    <row r="233">
      <c r="A233" s="1">
        <v>46094.0</v>
      </c>
      <c r="B233" s="2" t="s">
        <v>8</v>
      </c>
      <c r="C233" s="2" t="s">
        <v>260</v>
      </c>
      <c r="D233" s="6">
        <v>4.7024E7</v>
      </c>
      <c r="E233" s="3"/>
      <c r="F233" s="6" t="s">
        <v>3</v>
      </c>
      <c r="G233" s="3">
        <v>5.299201584000003E7</v>
      </c>
      <c r="H233" s="3"/>
      <c r="I233" s="10" t="s">
        <v>4</v>
      </c>
    </row>
    <row r="234">
      <c r="A234" s="1">
        <v>46094.0</v>
      </c>
      <c r="B234" s="2" t="s">
        <v>261</v>
      </c>
      <c r="C234" s="2" t="s">
        <v>262</v>
      </c>
      <c r="D234" s="6"/>
      <c r="E234" s="6">
        <v>4.742064E7</v>
      </c>
      <c r="F234" s="3"/>
      <c r="G234" s="3">
        <v>1.0041265584000003E8</v>
      </c>
      <c r="H234" s="3"/>
      <c r="I234" s="8"/>
    </row>
    <row r="235">
      <c r="A235" s="1">
        <v>46094.0</v>
      </c>
      <c r="B235" s="2" t="s">
        <v>14</v>
      </c>
      <c r="C235" s="2" t="s">
        <v>263</v>
      </c>
      <c r="D235" s="6"/>
      <c r="E235" s="6">
        <v>4.735748E7</v>
      </c>
      <c r="F235" s="6" t="s">
        <v>7</v>
      </c>
      <c r="G235" s="3">
        <v>1.4777013584000003E8</v>
      </c>
      <c r="H235" s="3"/>
      <c r="I235" s="8"/>
    </row>
    <row r="236">
      <c r="A236" s="1">
        <v>46094.0</v>
      </c>
      <c r="B236" s="2" t="s">
        <v>14</v>
      </c>
      <c r="C236" s="2" t="s">
        <v>264</v>
      </c>
      <c r="D236" s="6"/>
      <c r="E236" s="6">
        <v>4.77E7</v>
      </c>
      <c r="F236" s="6" t="s">
        <v>7</v>
      </c>
      <c r="G236" s="3">
        <v>1.9547013584000003E8</v>
      </c>
      <c r="H236" s="3"/>
      <c r="I236" s="8"/>
    </row>
    <row r="237">
      <c r="A237" s="1">
        <v>46094.0</v>
      </c>
      <c r="B237" s="2" t="s">
        <v>14</v>
      </c>
      <c r="C237" s="2" t="s">
        <v>265</v>
      </c>
      <c r="D237" s="6"/>
      <c r="E237" s="6">
        <v>4.77E7</v>
      </c>
      <c r="F237" s="6" t="s">
        <v>7</v>
      </c>
      <c r="G237" s="3">
        <v>2.4317013584000003E8</v>
      </c>
      <c r="H237" s="3"/>
      <c r="I237" s="8" t="s">
        <v>10</v>
      </c>
    </row>
    <row r="238">
      <c r="A238" s="1">
        <v>46094.0</v>
      </c>
      <c r="B238" s="2" t="s">
        <v>14</v>
      </c>
      <c r="C238" s="2" t="s">
        <v>266</v>
      </c>
      <c r="D238" s="6"/>
      <c r="E238" s="6">
        <v>4.83E7</v>
      </c>
      <c r="F238" s="6" t="s">
        <v>7</v>
      </c>
      <c r="G238" s="3">
        <v>2.9147013584000003E8</v>
      </c>
      <c r="H238" s="3"/>
      <c r="I238" s="8"/>
    </row>
    <row r="239">
      <c r="A239" s="1">
        <v>46094.0</v>
      </c>
      <c r="B239" s="2" t="s">
        <v>14</v>
      </c>
      <c r="C239" s="2" t="s">
        <v>267</v>
      </c>
      <c r="D239" s="6"/>
      <c r="E239" s="6">
        <v>4.83E7</v>
      </c>
      <c r="F239" s="6" t="s">
        <v>7</v>
      </c>
      <c r="G239" s="3">
        <v>3.3977013584000003E8</v>
      </c>
      <c r="H239" s="3"/>
      <c r="I239" s="8"/>
    </row>
    <row r="240">
      <c r="A240" s="1">
        <v>46094.0</v>
      </c>
      <c r="B240" s="2" t="s">
        <v>8</v>
      </c>
      <c r="C240" s="2" t="s">
        <v>268</v>
      </c>
      <c r="D240" s="6">
        <v>8.417541E7</v>
      </c>
      <c r="E240" s="3"/>
      <c r="F240" s="6" t="s">
        <v>3</v>
      </c>
      <c r="G240" s="3">
        <v>2.5559472584000003E8</v>
      </c>
      <c r="H240" s="3"/>
      <c r="I240" s="10" t="s">
        <v>4</v>
      </c>
    </row>
    <row r="241">
      <c r="A241" s="1">
        <v>46094.0</v>
      </c>
      <c r="B241" s="2" t="s">
        <v>14</v>
      </c>
      <c r="C241" s="2" t="s">
        <v>269</v>
      </c>
      <c r="D241" s="6"/>
      <c r="E241" s="6">
        <v>8.90144E7</v>
      </c>
      <c r="F241" s="6" t="s">
        <v>7</v>
      </c>
      <c r="G241" s="3">
        <v>3.4460912584000003E8</v>
      </c>
      <c r="H241" s="3"/>
      <c r="I241" s="8" t="s">
        <v>25</v>
      </c>
    </row>
    <row r="242">
      <c r="A242" s="1">
        <v>46094.0</v>
      </c>
      <c r="B242" s="2" t="s">
        <v>270</v>
      </c>
      <c r="C242" s="2" t="s">
        <v>270</v>
      </c>
      <c r="D242" s="6">
        <v>500000.0</v>
      </c>
      <c r="E242" s="3"/>
      <c r="F242" s="6"/>
      <c r="G242" s="3">
        <v>3.4410912584000003E8</v>
      </c>
      <c r="H242" s="6">
        <v>3.4410912584E8</v>
      </c>
      <c r="I242" s="10" t="s">
        <v>25</v>
      </c>
    </row>
    <row r="243">
      <c r="A243" s="1">
        <v>46094.0</v>
      </c>
      <c r="B243" s="2" t="s">
        <v>8</v>
      </c>
      <c r="C243" s="2" t="s">
        <v>271</v>
      </c>
      <c r="D243" s="6">
        <v>3.15E8</v>
      </c>
      <c r="E243" s="3"/>
      <c r="F243" s="6" t="s">
        <v>3</v>
      </c>
      <c r="G243" s="3">
        <v>2.9109125840000033E7</v>
      </c>
      <c r="H243" s="6">
        <v>2.910912584E7</v>
      </c>
      <c r="I243" s="10" t="s">
        <v>4</v>
      </c>
    </row>
    <row r="244">
      <c r="A244" s="1">
        <v>46094.0</v>
      </c>
      <c r="B244" s="2" t="s">
        <v>8</v>
      </c>
      <c r="C244" s="2" t="s">
        <v>272</v>
      </c>
      <c r="D244" s="6">
        <v>430000.0</v>
      </c>
      <c r="E244" s="3"/>
      <c r="F244" s="6" t="s">
        <v>3</v>
      </c>
      <c r="G244" s="3">
        <v>2.8679125840000033E7</v>
      </c>
      <c r="H244" s="3"/>
      <c r="I244" s="10" t="s">
        <v>13</v>
      </c>
    </row>
    <row r="245">
      <c r="A245" s="1">
        <v>46094.0</v>
      </c>
      <c r="B245" s="2" t="s">
        <v>14</v>
      </c>
      <c r="C245" s="2" t="s">
        <v>273</v>
      </c>
      <c r="D245" s="6"/>
      <c r="E245" s="6">
        <v>2.499E7</v>
      </c>
      <c r="F245" s="6" t="s">
        <v>7</v>
      </c>
      <c r="G245" s="3">
        <v>5.366912584000003E7</v>
      </c>
      <c r="H245" s="6">
        <v>5.366912584E7</v>
      </c>
      <c r="I245" s="8"/>
    </row>
    <row r="246">
      <c r="A246" s="1">
        <v>46095.0</v>
      </c>
      <c r="B246" s="2" t="s">
        <v>270</v>
      </c>
      <c r="C246" s="2" t="s">
        <v>270</v>
      </c>
      <c r="D246" s="6">
        <v>250000.0</v>
      </c>
      <c r="E246" s="3"/>
      <c r="F246" s="3"/>
      <c r="G246" s="3">
        <v>5.341912584000003E7</v>
      </c>
      <c r="H246" s="3"/>
      <c r="I246" s="10" t="s">
        <v>25</v>
      </c>
    </row>
    <row r="247">
      <c r="A247" s="1">
        <v>46095.0</v>
      </c>
      <c r="B247" s="2" t="s">
        <v>274</v>
      </c>
      <c r="C247" s="2" t="s">
        <v>275</v>
      </c>
      <c r="D247" s="6">
        <v>5.28906E7</v>
      </c>
      <c r="E247" s="3"/>
      <c r="F247" s="6" t="s">
        <v>3</v>
      </c>
      <c r="G247" s="3">
        <v>528525.8400000334</v>
      </c>
      <c r="H247" s="3"/>
      <c r="I247" s="10" t="s">
        <v>4</v>
      </c>
    </row>
    <row r="248">
      <c r="A248" s="1">
        <v>46095.0</v>
      </c>
      <c r="B248" s="2" t="s">
        <v>274</v>
      </c>
      <c r="C248" s="2" t="s">
        <v>276</v>
      </c>
      <c r="D248" s="6">
        <v>440000.0</v>
      </c>
      <c r="E248" s="3"/>
      <c r="F248" s="6" t="s">
        <v>3</v>
      </c>
      <c r="G248" s="3">
        <v>88525.84000003338</v>
      </c>
      <c r="H248" s="3"/>
      <c r="I248" s="10" t="s">
        <v>25</v>
      </c>
    </row>
    <row r="249">
      <c r="A249" s="1">
        <v>46095.0</v>
      </c>
      <c r="B249" s="2" t="s">
        <v>14</v>
      </c>
      <c r="C249" s="2" t="s">
        <v>277</v>
      </c>
      <c r="D249" s="6"/>
      <c r="E249" s="6">
        <v>3000000.0</v>
      </c>
      <c r="F249" s="6" t="s">
        <v>7</v>
      </c>
      <c r="G249" s="3">
        <v>3088525.8400000334</v>
      </c>
      <c r="H249" s="3"/>
      <c r="I249" s="8"/>
    </row>
    <row r="250">
      <c r="A250" s="1">
        <v>46095.0</v>
      </c>
      <c r="B250" s="2" t="s">
        <v>8</v>
      </c>
      <c r="C250" s="2" t="s">
        <v>278</v>
      </c>
      <c r="D250" s="6">
        <v>3000000.0</v>
      </c>
      <c r="E250" s="3"/>
      <c r="F250" s="6" t="s">
        <v>3</v>
      </c>
      <c r="G250" s="3">
        <v>88525.84000003338</v>
      </c>
      <c r="H250" s="3"/>
      <c r="I250" s="10" t="s">
        <v>13</v>
      </c>
    </row>
    <row r="251">
      <c r="A251" s="1">
        <v>46095.0</v>
      </c>
      <c r="B251" s="2" t="s">
        <v>14</v>
      </c>
      <c r="C251" s="2" t="s">
        <v>279</v>
      </c>
      <c r="D251" s="6"/>
      <c r="E251" s="6">
        <v>9.522736E7</v>
      </c>
      <c r="F251" s="6" t="s">
        <v>7</v>
      </c>
      <c r="G251" s="3">
        <v>9.531588584000003E7</v>
      </c>
      <c r="H251" s="3"/>
      <c r="I251" s="8"/>
    </row>
    <row r="252">
      <c r="A252" s="1">
        <v>46095.0</v>
      </c>
      <c r="B252" s="2" t="s">
        <v>14</v>
      </c>
      <c r="C252" s="2" t="s">
        <v>280</v>
      </c>
      <c r="D252" s="6"/>
      <c r="E252" s="6">
        <v>2.5872366E8</v>
      </c>
      <c r="F252" s="6" t="s">
        <v>7</v>
      </c>
      <c r="G252" s="3">
        <v>3.5403954584000003E8</v>
      </c>
      <c r="H252" s="3"/>
      <c r="I252" s="8"/>
    </row>
    <row r="253">
      <c r="A253" s="1">
        <v>46095.0</v>
      </c>
      <c r="B253" s="2" t="s">
        <v>8</v>
      </c>
      <c r="C253" s="2" t="s">
        <v>281</v>
      </c>
      <c r="D253" s="6">
        <v>6.061927E7</v>
      </c>
      <c r="E253" s="3"/>
      <c r="F253" s="6" t="s">
        <v>3</v>
      </c>
      <c r="G253" s="3">
        <v>2.9342027584000003E8</v>
      </c>
      <c r="H253" s="3"/>
      <c r="I253" s="10" t="s">
        <v>4</v>
      </c>
    </row>
    <row r="254">
      <c r="A254" s="1">
        <v>46095.0</v>
      </c>
      <c r="B254" s="2" t="s">
        <v>8</v>
      </c>
      <c r="C254" s="2" t="s">
        <v>282</v>
      </c>
      <c r="D254" s="6">
        <v>6.5E7</v>
      </c>
      <c r="E254" s="3"/>
      <c r="F254" s="6" t="s">
        <v>3</v>
      </c>
      <c r="G254" s="3">
        <v>2.2842027584000003E8</v>
      </c>
      <c r="H254" s="3"/>
      <c r="I254" s="10" t="s">
        <v>4</v>
      </c>
    </row>
    <row r="255">
      <c r="A255" s="1">
        <v>46095.0</v>
      </c>
      <c r="B255" s="2" t="s">
        <v>8</v>
      </c>
      <c r="C255" s="2" t="s">
        <v>283</v>
      </c>
      <c r="D255" s="6">
        <v>1.040221E8</v>
      </c>
      <c r="E255" s="3"/>
      <c r="F255" s="6" t="s">
        <v>3</v>
      </c>
      <c r="G255" s="3">
        <v>1.2439817584000003E8</v>
      </c>
      <c r="H255" s="3"/>
      <c r="I255" s="10" t="s">
        <v>4</v>
      </c>
    </row>
    <row r="256">
      <c r="A256" s="1">
        <v>46095.0</v>
      </c>
      <c r="B256" s="2" t="s">
        <v>8</v>
      </c>
      <c r="C256" s="2" t="s">
        <v>284</v>
      </c>
      <c r="D256" s="6">
        <v>3.0E7</v>
      </c>
      <c r="E256" s="3"/>
      <c r="F256" s="6" t="s">
        <v>3</v>
      </c>
      <c r="G256" s="3">
        <v>9.439817584000003E7</v>
      </c>
      <c r="H256" s="6">
        <v>9.439817584E7</v>
      </c>
      <c r="I256" s="10" t="s">
        <v>4</v>
      </c>
    </row>
    <row r="257">
      <c r="A257" s="1">
        <v>46095.0</v>
      </c>
      <c r="B257" s="2" t="s">
        <v>8</v>
      </c>
      <c r="C257" s="2" t="s">
        <v>285</v>
      </c>
      <c r="D257" s="6">
        <v>800000.0</v>
      </c>
      <c r="E257" s="3"/>
      <c r="F257" s="6" t="s">
        <v>3</v>
      </c>
      <c r="G257" s="3">
        <v>9.359817584000003E7</v>
      </c>
      <c r="H257" s="6">
        <v>9.359817584E7</v>
      </c>
      <c r="I257" s="10" t="s">
        <v>4</v>
      </c>
    </row>
    <row r="258">
      <c r="A258" s="1">
        <v>46095.0</v>
      </c>
      <c r="B258" s="2" t="s">
        <v>8</v>
      </c>
      <c r="C258" s="2" t="s">
        <v>286</v>
      </c>
      <c r="D258" s="6">
        <v>4.58928E7</v>
      </c>
      <c r="E258" s="3"/>
      <c r="F258" s="6" t="s">
        <v>3</v>
      </c>
      <c r="G258" s="3">
        <v>4.770537584000003E7</v>
      </c>
      <c r="H258" s="3"/>
      <c r="I258" s="8" t="s">
        <v>4</v>
      </c>
    </row>
    <row r="259">
      <c r="A259" s="1">
        <v>46095.0</v>
      </c>
      <c r="B259" s="2" t="s">
        <v>8</v>
      </c>
      <c r="C259" s="2" t="s">
        <v>287</v>
      </c>
      <c r="D259" s="6">
        <v>4.33512E7</v>
      </c>
      <c r="E259" s="3"/>
      <c r="F259" s="6" t="s">
        <v>3</v>
      </c>
      <c r="G259" s="3">
        <v>4354175.840000033</v>
      </c>
      <c r="H259" s="3"/>
      <c r="I259" s="8" t="s">
        <v>4</v>
      </c>
    </row>
    <row r="260">
      <c r="A260" s="1">
        <v>46095.0</v>
      </c>
      <c r="B260" s="2" t="s">
        <v>14</v>
      </c>
      <c r="C260" s="2" t="s">
        <v>288</v>
      </c>
      <c r="D260" s="6"/>
      <c r="E260" s="6">
        <v>1.09E8</v>
      </c>
      <c r="F260" s="6" t="s">
        <v>7</v>
      </c>
      <c r="G260" s="3">
        <v>1.1335417584000003E8</v>
      </c>
      <c r="H260" s="3"/>
      <c r="I260" s="8" t="s">
        <v>4</v>
      </c>
    </row>
    <row r="261">
      <c r="A261" s="1">
        <v>46095.0</v>
      </c>
      <c r="B261" s="2" t="s">
        <v>289</v>
      </c>
      <c r="C261" s="2" t="s">
        <v>289</v>
      </c>
      <c r="D261" s="6">
        <v>500000.0</v>
      </c>
      <c r="E261" s="3"/>
      <c r="F261" s="3"/>
      <c r="G261" s="3">
        <v>1.1285417584000003E8</v>
      </c>
      <c r="H261" s="3"/>
      <c r="I261" s="10" t="s">
        <v>25</v>
      </c>
    </row>
    <row r="262">
      <c r="A262" s="1">
        <v>46095.0</v>
      </c>
      <c r="B262" s="2" t="s">
        <v>14</v>
      </c>
      <c r="C262" s="2" t="s">
        <v>290</v>
      </c>
      <c r="D262" s="6"/>
      <c r="E262" s="6">
        <v>1.429426E8</v>
      </c>
      <c r="F262" s="6" t="s">
        <v>7</v>
      </c>
      <c r="G262" s="3">
        <v>2.5579677584000003E8</v>
      </c>
      <c r="H262" s="3"/>
      <c r="I262" s="8" t="s">
        <v>4</v>
      </c>
    </row>
    <row r="263">
      <c r="A263" s="1">
        <v>46095.0</v>
      </c>
      <c r="B263" s="2" t="s">
        <v>14</v>
      </c>
      <c r="C263" s="2" t="s">
        <v>291</v>
      </c>
      <c r="D263" s="6"/>
      <c r="E263" s="6">
        <v>2.52596E7</v>
      </c>
      <c r="F263" s="6" t="s">
        <v>7</v>
      </c>
      <c r="G263" s="3">
        <v>2.8105637584000003E8</v>
      </c>
      <c r="H263" s="6">
        <v>2.8105637584E8</v>
      </c>
      <c r="I263" s="8" t="s">
        <v>4</v>
      </c>
    </row>
    <row r="264">
      <c r="A264" s="1">
        <v>46096.0</v>
      </c>
      <c r="B264" s="2" t="s">
        <v>292</v>
      </c>
      <c r="C264" s="2" t="s">
        <v>293</v>
      </c>
      <c r="D264" s="6"/>
      <c r="E264" s="6">
        <v>4.5E7</v>
      </c>
      <c r="F264" s="6" t="s">
        <v>7</v>
      </c>
      <c r="G264" s="3">
        <v>3.2605637584000003E8</v>
      </c>
      <c r="H264" s="3"/>
      <c r="I264" s="8" t="s">
        <v>10</v>
      </c>
    </row>
    <row r="265">
      <c r="A265" s="1">
        <v>46096.0</v>
      </c>
      <c r="B265" s="2" t="s">
        <v>294</v>
      </c>
      <c r="C265" s="2" t="s">
        <v>294</v>
      </c>
      <c r="D265" s="6">
        <v>500000.0</v>
      </c>
      <c r="E265" s="3"/>
      <c r="F265" s="3"/>
      <c r="G265" s="3">
        <v>3.2555637584000003E8</v>
      </c>
      <c r="H265" s="3"/>
      <c r="I265" s="10" t="s">
        <v>25</v>
      </c>
    </row>
    <row r="266">
      <c r="A266" s="1">
        <v>46096.0</v>
      </c>
      <c r="B266" s="2" t="s">
        <v>8</v>
      </c>
      <c r="C266" s="2" t="s">
        <v>295</v>
      </c>
      <c r="D266" s="6">
        <v>1.0176E8</v>
      </c>
      <c r="E266" s="3"/>
      <c r="F266" s="6" t="s">
        <v>3</v>
      </c>
      <c r="G266" s="3">
        <v>2.2379637584000003E8</v>
      </c>
      <c r="H266" s="3"/>
      <c r="I266" s="8" t="s">
        <v>4</v>
      </c>
    </row>
    <row r="267">
      <c r="A267" s="1">
        <v>46096.0</v>
      </c>
      <c r="B267" s="2" t="s">
        <v>8</v>
      </c>
      <c r="C267" s="2" t="s">
        <v>296</v>
      </c>
      <c r="D267" s="6">
        <v>9.15344E7</v>
      </c>
      <c r="E267" s="3"/>
      <c r="F267" s="6" t="s">
        <v>3</v>
      </c>
      <c r="G267" s="3">
        <v>1.3226197584000003E8</v>
      </c>
      <c r="H267" s="3"/>
      <c r="I267" s="8" t="s">
        <v>4</v>
      </c>
    </row>
    <row r="268">
      <c r="A268" s="1">
        <v>46096.0</v>
      </c>
      <c r="B268" s="2" t="s">
        <v>8</v>
      </c>
      <c r="C268" s="2" t="s">
        <v>297</v>
      </c>
      <c r="D268" s="6">
        <v>4.42864E7</v>
      </c>
      <c r="E268" s="3"/>
      <c r="F268" s="6" t="s">
        <v>3</v>
      </c>
      <c r="G268" s="3">
        <v>8.797557584000003E7</v>
      </c>
      <c r="H268" s="3"/>
      <c r="I268" s="8" t="s">
        <v>4</v>
      </c>
    </row>
    <row r="269">
      <c r="A269" s="1">
        <v>46096.0</v>
      </c>
      <c r="B269" s="2" t="s">
        <v>8</v>
      </c>
      <c r="C269" s="2" t="s">
        <v>298</v>
      </c>
      <c r="D269" s="6">
        <v>340000.0</v>
      </c>
      <c r="E269" s="3"/>
      <c r="F269" s="6" t="s">
        <v>3</v>
      </c>
      <c r="G269" s="3">
        <v>8.763557584000003E7</v>
      </c>
      <c r="H269" s="3"/>
      <c r="I269" s="8" t="s">
        <v>4</v>
      </c>
    </row>
    <row r="270">
      <c r="A270" s="1">
        <v>46096.0</v>
      </c>
      <c r="B270" s="2" t="s">
        <v>8</v>
      </c>
      <c r="C270" s="2" t="s">
        <v>299</v>
      </c>
      <c r="D270" s="6">
        <v>1596420.0</v>
      </c>
      <c r="E270" s="3"/>
      <c r="F270" s="6" t="s">
        <v>3</v>
      </c>
      <c r="G270" s="3">
        <v>8.603915584000003E7</v>
      </c>
      <c r="H270" s="3"/>
      <c r="I270" s="10" t="s">
        <v>13</v>
      </c>
    </row>
    <row r="271">
      <c r="A271" s="1">
        <v>46096.0</v>
      </c>
      <c r="B271" s="2" t="s">
        <v>8</v>
      </c>
      <c r="C271" s="2" t="s">
        <v>300</v>
      </c>
      <c r="D271" s="6">
        <v>2250440.0</v>
      </c>
      <c r="E271" s="3"/>
      <c r="F271" s="6" t="s">
        <v>3</v>
      </c>
      <c r="G271" s="3">
        <v>8.378871584000003E7</v>
      </c>
      <c r="H271" s="6">
        <v>8.378871584E7</v>
      </c>
      <c r="I271" s="10" t="s">
        <v>13</v>
      </c>
    </row>
    <row r="272">
      <c r="A272" s="1">
        <v>46096.0</v>
      </c>
      <c r="B272" s="2" t="s">
        <v>8</v>
      </c>
      <c r="C272" s="2" t="s">
        <v>301</v>
      </c>
      <c r="D272" s="6">
        <v>1.08251E7</v>
      </c>
      <c r="E272" s="3"/>
      <c r="F272" s="6" t="s">
        <v>3</v>
      </c>
      <c r="G272" s="3">
        <v>7.296361584000003E7</v>
      </c>
      <c r="H272" s="6">
        <v>7.296361584E7</v>
      </c>
      <c r="I272" s="10" t="s">
        <v>13</v>
      </c>
    </row>
    <row r="273">
      <c r="A273" s="1">
        <v>46096.0</v>
      </c>
      <c r="B273" s="2" t="s">
        <v>8</v>
      </c>
      <c r="C273" s="2" t="s">
        <v>302</v>
      </c>
      <c r="D273" s="6">
        <v>5.07875E7</v>
      </c>
      <c r="E273" s="3"/>
      <c r="F273" s="6" t="s">
        <v>3</v>
      </c>
      <c r="G273" s="3">
        <v>2.2176115840000033E7</v>
      </c>
      <c r="H273" s="3"/>
      <c r="I273" s="8" t="s">
        <v>4</v>
      </c>
    </row>
    <row r="274">
      <c r="A274" s="1">
        <v>46096.0</v>
      </c>
      <c r="B274" s="2" t="s">
        <v>14</v>
      </c>
      <c r="C274" s="2" t="s">
        <v>303</v>
      </c>
      <c r="D274" s="6"/>
      <c r="E274" s="6">
        <v>190000.0</v>
      </c>
      <c r="F274" s="6" t="s">
        <v>7</v>
      </c>
      <c r="G274" s="3">
        <v>2.2366115840000033E7</v>
      </c>
      <c r="H274" s="3"/>
      <c r="I274" s="8" t="s">
        <v>4</v>
      </c>
    </row>
    <row r="275">
      <c r="A275" s="1">
        <v>46096.0</v>
      </c>
      <c r="B275" s="2" t="s">
        <v>261</v>
      </c>
      <c r="C275" s="2" t="s">
        <v>304</v>
      </c>
      <c r="E275" s="6">
        <v>9.755375E7</v>
      </c>
      <c r="F275" s="3"/>
      <c r="G275" s="3">
        <v>1.1991986584000003E8</v>
      </c>
      <c r="H275" s="3"/>
      <c r="I275" s="8" t="s">
        <v>4</v>
      </c>
    </row>
    <row r="276">
      <c r="A276" s="1">
        <v>46096.0</v>
      </c>
      <c r="B276" s="2" t="s">
        <v>14</v>
      </c>
      <c r="C276" s="2" t="s">
        <v>305</v>
      </c>
      <c r="D276" s="6"/>
      <c r="E276" s="6">
        <v>4.739627E7</v>
      </c>
      <c r="F276" s="6" t="s">
        <v>7</v>
      </c>
      <c r="G276" s="3">
        <v>1.6731613584000003E8</v>
      </c>
      <c r="H276" s="3"/>
      <c r="I276" s="8" t="s">
        <v>4</v>
      </c>
    </row>
    <row r="277">
      <c r="A277" s="1">
        <v>46096.0</v>
      </c>
      <c r="B277" s="2" t="s">
        <v>14</v>
      </c>
      <c r="C277" s="2" t="s">
        <v>306</v>
      </c>
      <c r="D277" s="6"/>
      <c r="E277" s="6">
        <v>4.83E7</v>
      </c>
      <c r="F277" s="6" t="s">
        <v>7</v>
      </c>
      <c r="G277" s="3">
        <v>2.1561613584000003E8</v>
      </c>
      <c r="H277" s="3"/>
      <c r="I277" s="8" t="s">
        <v>4</v>
      </c>
    </row>
    <row r="278">
      <c r="A278" s="1">
        <v>46096.0</v>
      </c>
      <c r="B278" s="2" t="s">
        <v>8</v>
      </c>
      <c r="C278" s="2" t="s">
        <v>307</v>
      </c>
      <c r="D278" s="6">
        <v>600000.0</v>
      </c>
      <c r="E278" s="3"/>
      <c r="F278" s="6" t="s">
        <v>3</v>
      </c>
      <c r="G278" s="3">
        <v>2.1501613584000003E8</v>
      </c>
      <c r="H278" s="3"/>
      <c r="I278" s="8" t="s">
        <v>4</v>
      </c>
    </row>
    <row r="279">
      <c r="A279" s="1">
        <v>46096.0</v>
      </c>
      <c r="B279" s="2" t="s">
        <v>14</v>
      </c>
      <c r="C279" s="2" t="s">
        <v>308</v>
      </c>
      <c r="D279" s="6"/>
      <c r="E279" s="6">
        <v>4.2E7</v>
      </c>
      <c r="F279" s="6" t="s">
        <v>7</v>
      </c>
      <c r="G279" s="3">
        <v>2.5701613584000003E8</v>
      </c>
      <c r="H279" s="3"/>
      <c r="I279" s="8" t="s">
        <v>4</v>
      </c>
    </row>
    <row r="280">
      <c r="A280" s="1">
        <v>46096.0</v>
      </c>
      <c r="B280" s="2" t="s">
        <v>14</v>
      </c>
      <c r="C280" s="2" t="s">
        <v>309</v>
      </c>
      <c r="D280" s="6"/>
      <c r="E280" s="6">
        <v>2.09364E8</v>
      </c>
      <c r="F280" s="6" t="s">
        <v>7</v>
      </c>
      <c r="G280" s="3">
        <v>4.6638013584000003E8</v>
      </c>
      <c r="H280" s="3"/>
      <c r="I280" s="8" t="s">
        <v>4</v>
      </c>
    </row>
    <row r="281">
      <c r="A281" s="1">
        <v>46096.0</v>
      </c>
      <c r="B281" s="2" t="s">
        <v>8</v>
      </c>
      <c r="C281" s="2" t="s">
        <v>310</v>
      </c>
      <c r="D281" s="6">
        <v>5.19E7</v>
      </c>
      <c r="E281" s="3"/>
      <c r="F281" s="6" t="s">
        <v>3</v>
      </c>
      <c r="G281" s="3">
        <v>4.1448013584000003E8</v>
      </c>
      <c r="H281" s="3"/>
      <c r="I281" s="8" t="s">
        <v>4</v>
      </c>
    </row>
    <row r="282">
      <c r="A282" s="1">
        <v>46096.0</v>
      </c>
      <c r="B282" s="2" t="s">
        <v>8</v>
      </c>
      <c r="C282" s="2" t="s">
        <v>311</v>
      </c>
      <c r="D282" s="6">
        <v>3.5989214E8</v>
      </c>
      <c r="E282" s="3"/>
      <c r="F282" s="6" t="s">
        <v>3</v>
      </c>
      <c r="G282" s="3">
        <v>5.458799584000003E7</v>
      </c>
      <c r="H282" s="3"/>
      <c r="I282" s="8" t="s">
        <v>4</v>
      </c>
    </row>
    <row r="283">
      <c r="A283" s="1">
        <v>46096.0</v>
      </c>
      <c r="B283" s="2" t="s">
        <v>8</v>
      </c>
      <c r="C283" s="2" t="s">
        <v>312</v>
      </c>
      <c r="D283" s="6">
        <v>4.749528E7</v>
      </c>
      <c r="E283" s="3"/>
      <c r="F283" s="6" t="s">
        <v>3</v>
      </c>
      <c r="G283" s="3">
        <v>7092715.840000033</v>
      </c>
      <c r="H283" s="3"/>
      <c r="I283" s="8" t="s">
        <v>4</v>
      </c>
    </row>
    <row r="284">
      <c r="A284" s="11">
        <v>46096.0</v>
      </c>
      <c r="B284" s="12" t="s">
        <v>8</v>
      </c>
      <c r="C284" s="12" t="s">
        <v>313</v>
      </c>
      <c r="D284" s="13">
        <v>1165420.0</v>
      </c>
      <c r="E284" s="14"/>
      <c r="F284" s="13" t="s">
        <v>3</v>
      </c>
      <c r="G284" s="14">
        <v>5927295.840000033</v>
      </c>
      <c r="H284" s="13">
        <v>5927295.84</v>
      </c>
      <c r="I284" s="8" t="s">
        <v>4</v>
      </c>
    </row>
    <row r="285">
      <c r="A285" s="1">
        <v>46097.0</v>
      </c>
      <c r="B285" s="2" t="s">
        <v>8</v>
      </c>
      <c r="C285" s="2" t="s">
        <v>314</v>
      </c>
      <c r="D285" s="6">
        <v>1044000.0</v>
      </c>
      <c r="E285" s="3"/>
      <c r="F285" s="6" t="s">
        <v>3</v>
      </c>
      <c r="G285" s="3">
        <v>4883295.840000033</v>
      </c>
      <c r="H285" s="6">
        <v>4883295.84</v>
      </c>
      <c r="I285" s="10" t="s">
        <v>13</v>
      </c>
    </row>
    <row r="286">
      <c r="A286" s="1">
        <v>46097.0</v>
      </c>
      <c r="B286" s="2" t="s">
        <v>8</v>
      </c>
      <c r="C286" s="2" t="s">
        <v>315</v>
      </c>
      <c r="D286" s="6">
        <v>800000.0</v>
      </c>
      <c r="E286" s="3"/>
      <c r="F286" s="6" t="s">
        <v>3</v>
      </c>
      <c r="G286" s="3">
        <v>4083295.8400000334</v>
      </c>
      <c r="H286" s="3"/>
      <c r="I286" s="10" t="s">
        <v>13</v>
      </c>
    </row>
    <row r="287">
      <c r="A287" s="1">
        <v>46097.0</v>
      </c>
      <c r="B287" s="2" t="s">
        <v>316</v>
      </c>
      <c r="C287" s="2" t="s">
        <v>316</v>
      </c>
      <c r="D287" s="6">
        <v>500000.0</v>
      </c>
      <c r="E287" s="3"/>
      <c r="F287" s="3"/>
      <c r="G287" s="3">
        <v>3583295.8400000334</v>
      </c>
      <c r="H287" s="3"/>
      <c r="I287" s="10" t="s">
        <v>25</v>
      </c>
    </row>
    <row r="288">
      <c r="A288" s="1">
        <v>46097.0</v>
      </c>
      <c r="B288" s="2" t="s">
        <v>14</v>
      </c>
      <c r="C288" s="2" t="s">
        <v>317</v>
      </c>
      <c r="D288" s="6"/>
      <c r="E288" s="6">
        <v>1.2534933E8</v>
      </c>
      <c r="F288" s="6" t="s">
        <v>7</v>
      </c>
      <c r="G288" s="3">
        <v>1.2893262584000003E8</v>
      </c>
      <c r="H288" s="3"/>
      <c r="I288" s="8" t="s">
        <v>4</v>
      </c>
    </row>
    <row r="289">
      <c r="A289" s="1">
        <v>46097.0</v>
      </c>
      <c r="B289" s="2" t="s">
        <v>8</v>
      </c>
      <c r="C289" s="2" t="s">
        <v>318</v>
      </c>
      <c r="D289" s="6">
        <v>1.143301E8</v>
      </c>
      <c r="E289" s="3"/>
      <c r="F289" s="6" t="s">
        <v>3</v>
      </c>
      <c r="G289" s="3">
        <v>1.4602525840000033E7</v>
      </c>
      <c r="H289" s="3"/>
      <c r="I289" s="8" t="s">
        <v>4</v>
      </c>
    </row>
    <row r="290">
      <c r="A290" s="1">
        <v>46097.0</v>
      </c>
      <c r="B290" s="2" t="s">
        <v>14</v>
      </c>
      <c r="C290" s="2" t="s">
        <v>319</v>
      </c>
      <c r="D290" s="6"/>
      <c r="E290" s="6">
        <v>5.13E7</v>
      </c>
      <c r="F290" s="6" t="s">
        <v>7</v>
      </c>
      <c r="G290" s="3">
        <v>6.590252584000003E7</v>
      </c>
      <c r="H290" s="3"/>
      <c r="I290" s="8" t="s">
        <v>4</v>
      </c>
    </row>
    <row r="291">
      <c r="A291" s="1">
        <v>46097.0</v>
      </c>
      <c r="B291" s="2" t="s">
        <v>14</v>
      </c>
      <c r="C291" s="2" t="s">
        <v>320</v>
      </c>
      <c r="D291" s="6"/>
      <c r="E291" s="6">
        <v>5.130855E7</v>
      </c>
      <c r="F291" s="6" t="s">
        <v>7</v>
      </c>
      <c r="G291" s="3">
        <v>1.1721107584000003E8</v>
      </c>
      <c r="H291" s="3"/>
      <c r="I291" s="8" t="s">
        <v>4</v>
      </c>
    </row>
    <row r="292">
      <c r="A292" s="1">
        <v>46097.0</v>
      </c>
      <c r="B292" s="2" t="s">
        <v>14</v>
      </c>
      <c r="C292" s="2" t="s">
        <v>321</v>
      </c>
      <c r="D292" s="6"/>
      <c r="E292" s="6">
        <v>6.461568E7</v>
      </c>
      <c r="F292" s="6" t="s">
        <v>7</v>
      </c>
      <c r="G292" s="3">
        <v>1.8182675584000003E8</v>
      </c>
      <c r="H292" s="3"/>
      <c r="I292" s="8" t="s">
        <v>4</v>
      </c>
    </row>
    <row r="293">
      <c r="A293" s="1">
        <v>46097.0</v>
      </c>
      <c r="B293" s="2" t="s">
        <v>8</v>
      </c>
      <c r="C293" s="2" t="s">
        <v>322</v>
      </c>
      <c r="D293" s="6">
        <v>1.2019863E8</v>
      </c>
      <c r="E293" s="3"/>
      <c r="F293" s="6" t="s">
        <v>3</v>
      </c>
      <c r="G293" s="3">
        <v>6.162812584000003E7</v>
      </c>
      <c r="H293" s="3"/>
      <c r="I293" s="8" t="s">
        <v>4</v>
      </c>
    </row>
    <row r="294">
      <c r="A294" s="1">
        <v>46097.0</v>
      </c>
      <c r="B294" s="2" t="s">
        <v>8</v>
      </c>
      <c r="C294" s="2" t="s">
        <v>323</v>
      </c>
      <c r="D294" s="6">
        <v>4.088408E7</v>
      </c>
      <c r="E294" s="3"/>
      <c r="F294" s="6" t="s">
        <v>3</v>
      </c>
      <c r="G294" s="3">
        <v>2.0744045840000033E7</v>
      </c>
      <c r="H294" s="3"/>
      <c r="I294" s="8" t="s">
        <v>4</v>
      </c>
    </row>
    <row r="295">
      <c r="A295" s="1">
        <v>46097.0</v>
      </c>
      <c r="B295" s="2" t="s">
        <v>14</v>
      </c>
      <c r="C295" s="2" t="s">
        <v>324</v>
      </c>
      <c r="D295" s="6"/>
      <c r="E295" s="6">
        <v>1.56637E8</v>
      </c>
      <c r="F295" s="6" t="s">
        <v>7</v>
      </c>
      <c r="G295" s="3">
        <v>1.7738104584000003E8</v>
      </c>
      <c r="H295" s="3"/>
      <c r="I295" s="8" t="s">
        <v>4</v>
      </c>
    </row>
    <row r="296">
      <c r="A296" s="1">
        <v>46097.0</v>
      </c>
      <c r="B296" s="2" t="s">
        <v>8</v>
      </c>
      <c r="C296" s="2" t="s">
        <v>325</v>
      </c>
      <c r="D296" s="6">
        <v>5.10085E7</v>
      </c>
      <c r="E296" s="3"/>
      <c r="F296" s="6" t="s">
        <v>3</v>
      </c>
      <c r="G296" s="3">
        <v>1.2637254584000003E8</v>
      </c>
      <c r="H296" s="3"/>
      <c r="I296" s="8" t="s">
        <v>4</v>
      </c>
    </row>
    <row r="297">
      <c r="A297" s="1">
        <v>46097.0</v>
      </c>
      <c r="B297" s="2" t="s">
        <v>14</v>
      </c>
      <c r="C297" s="2" t="s">
        <v>326</v>
      </c>
      <c r="D297" s="6"/>
      <c r="E297" s="6">
        <v>5.794057E7</v>
      </c>
      <c r="F297" s="6" t="s">
        <v>7</v>
      </c>
      <c r="G297" s="3">
        <v>1.8431311584000003E8</v>
      </c>
      <c r="H297" s="6">
        <v>1.8431311584E8</v>
      </c>
      <c r="I297" s="8" t="s">
        <v>4</v>
      </c>
    </row>
    <row r="298">
      <c r="A298" s="1">
        <v>46098.0</v>
      </c>
      <c r="B298" s="2" t="s">
        <v>327</v>
      </c>
      <c r="C298" s="2" t="s">
        <v>328</v>
      </c>
      <c r="D298" s="6">
        <v>1.55972E8</v>
      </c>
      <c r="E298" s="3"/>
      <c r="F298" s="6" t="s">
        <v>3</v>
      </c>
      <c r="G298" s="3">
        <v>2.8341115840000033E7</v>
      </c>
      <c r="H298" s="6">
        <v>2.834111584E7</v>
      </c>
      <c r="I298" s="8" t="s">
        <v>4</v>
      </c>
    </row>
    <row r="299">
      <c r="A299" s="1">
        <v>46098.0</v>
      </c>
      <c r="B299" s="2" t="s">
        <v>8</v>
      </c>
      <c r="C299" s="2" t="s">
        <v>329</v>
      </c>
      <c r="D299" s="6">
        <v>1507210.0</v>
      </c>
      <c r="E299" s="3"/>
      <c r="F299" s="6" t="s">
        <v>3</v>
      </c>
      <c r="G299" s="3">
        <v>2.6833905840000033E7</v>
      </c>
      <c r="H299" s="6">
        <v>2.683390584E7</v>
      </c>
      <c r="I299" s="10" t="s">
        <v>13</v>
      </c>
    </row>
    <row r="300">
      <c r="A300" s="1">
        <v>46098.0</v>
      </c>
      <c r="B300" s="2" t="s">
        <v>8</v>
      </c>
      <c r="C300" s="2" t="s">
        <v>330</v>
      </c>
      <c r="D300" s="6">
        <v>1067450.0</v>
      </c>
      <c r="E300" s="3"/>
      <c r="F300" s="6" t="s">
        <v>3</v>
      </c>
      <c r="G300" s="3">
        <v>2.5766455840000033E7</v>
      </c>
      <c r="H300" s="3"/>
      <c r="I300" s="10" t="s">
        <v>13</v>
      </c>
    </row>
    <row r="301">
      <c r="A301" s="1">
        <v>46098.0</v>
      </c>
      <c r="B301" s="2" t="s">
        <v>8</v>
      </c>
      <c r="C301" s="2" t="s">
        <v>331</v>
      </c>
      <c r="D301" s="6">
        <v>1.1742E7</v>
      </c>
      <c r="E301" s="3"/>
      <c r="F301" s="6" t="s">
        <v>3</v>
      </c>
      <c r="G301" s="3">
        <v>1.4024455840000033E7</v>
      </c>
      <c r="H301" s="3"/>
      <c r="I301" s="10" t="s">
        <v>13</v>
      </c>
    </row>
    <row r="302">
      <c r="A302" s="1">
        <v>46098.0</v>
      </c>
      <c r="B302" s="2" t="s">
        <v>14</v>
      </c>
      <c r="C302" s="2" t="s">
        <v>332</v>
      </c>
      <c r="D302" s="6"/>
      <c r="E302" s="6">
        <v>5.30965E7</v>
      </c>
      <c r="F302" s="6" t="s">
        <v>7</v>
      </c>
      <c r="G302" s="3">
        <v>6.712095584000003E7</v>
      </c>
      <c r="H302" s="3"/>
      <c r="I302" s="8" t="s">
        <v>4</v>
      </c>
    </row>
    <row r="303">
      <c r="A303" s="1">
        <v>46098.0</v>
      </c>
      <c r="B303" s="2" t="s">
        <v>14</v>
      </c>
      <c r="C303" s="2" t="s">
        <v>333</v>
      </c>
      <c r="D303" s="6"/>
      <c r="E303" s="6">
        <v>1.8274058E8</v>
      </c>
      <c r="F303" s="6" t="s">
        <v>7</v>
      </c>
      <c r="G303" s="3">
        <v>2.4986153584000003E8</v>
      </c>
      <c r="H303" s="3"/>
      <c r="I303" s="8" t="s">
        <v>4</v>
      </c>
    </row>
    <row r="304">
      <c r="A304" s="1">
        <v>46098.0</v>
      </c>
      <c r="B304" s="2" t="s">
        <v>14</v>
      </c>
      <c r="C304" s="2" t="s">
        <v>334</v>
      </c>
      <c r="D304" s="6"/>
      <c r="E304" s="6">
        <v>3.0661041E8</v>
      </c>
      <c r="F304" s="6" t="s">
        <v>7</v>
      </c>
      <c r="G304" s="3">
        <v>5.5647194584E8</v>
      </c>
      <c r="H304" s="3"/>
      <c r="I304" s="8" t="s">
        <v>4</v>
      </c>
    </row>
    <row r="305">
      <c r="A305" s="1">
        <v>46098.0</v>
      </c>
      <c r="B305" s="2" t="s">
        <v>8</v>
      </c>
      <c r="C305" s="2" t="s">
        <v>335</v>
      </c>
      <c r="D305" s="6">
        <v>4.618845E7</v>
      </c>
      <c r="E305" s="3"/>
      <c r="F305" s="6" t="s">
        <v>3</v>
      </c>
      <c r="G305" s="3">
        <v>5.1028349584000003E8</v>
      </c>
      <c r="H305" s="3"/>
      <c r="I305" s="8" t="s">
        <v>4</v>
      </c>
    </row>
    <row r="306">
      <c r="A306" s="1">
        <v>46098.0</v>
      </c>
      <c r="B306" s="2" t="s">
        <v>8</v>
      </c>
      <c r="C306" s="2" t="s">
        <v>336</v>
      </c>
      <c r="D306" s="6">
        <v>1.0220684E8</v>
      </c>
      <c r="E306" s="3"/>
      <c r="F306" s="6" t="s">
        <v>3</v>
      </c>
      <c r="G306" s="3">
        <v>4.0807665584000003E8</v>
      </c>
      <c r="H306" s="3"/>
      <c r="I306" s="8" t="s">
        <v>4</v>
      </c>
    </row>
    <row r="307">
      <c r="A307" s="1">
        <v>46098.0</v>
      </c>
      <c r="B307" s="2" t="s">
        <v>8</v>
      </c>
      <c r="C307" s="2" t="s">
        <v>337</v>
      </c>
      <c r="D307" s="6">
        <v>1.0551625E8</v>
      </c>
      <c r="E307" s="3"/>
      <c r="F307" s="6" t="s">
        <v>3</v>
      </c>
      <c r="G307" s="3">
        <v>3.0256040584000003E8</v>
      </c>
      <c r="H307" s="3"/>
      <c r="I307" s="8" t="s">
        <v>4</v>
      </c>
    </row>
    <row r="308">
      <c r="A308" s="1">
        <v>46098.0</v>
      </c>
      <c r="B308" s="2" t="s">
        <v>8</v>
      </c>
      <c r="C308" s="2" t="s">
        <v>338</v>
      </c>
      <c r="D308" s="6">
        <v>4.70162E7</v>
      </c>
      <c r="E308" s="3"/>
      <c r="F308" s="6" t="s">
        <v>3</v>
      </c>
      <c r="G308" s="3">
        <v>2.5554420584000003E8</v>
      </c>
      <c r="H308" s="3"/>
      <c r="I308" s="8" t="s">
        <v>4</v>
      </c>
    </row>
    <row r="309">
      <c r="A309" s="1">
        <v>46098.0</v>
      </c>
      <c r="B309" s="2" t="s">
        <v>8</v>
      </c>
      <c r="C309" s="2" t="s">
        <v>339</v>
      </c>
      <c r="D309" s="6">
        <v>1.3320666E8</v>
      </c>
      <c r="E309" s="3"/>
      <c r="F309" s="6" t="s">
        <v>3</v>
      </c>
      <c r="G309" s="3">
        <v>1.2233754584000003E8</v>
      </c>
      <c r="H309" s="3"/>
      <c r="I309" s="8" t="s">
        <v>4</v>
      </c>
    </row>
    <row r="310">
      <c r="A310" s="1">
        <v>46098.0</v>
      </c>
      <c r="B310" s="2" t="s">
        <v>8</v>
      </c>
      <c r="C310" s="2" t="s">
        <v>340</v>
      </c>
      <c r="D310" s="6">
        <v>1.133824E8</v>
      </c>
      <c r="E310" s="3"/>
      <c r="F310" s="6" t="s">
        <v>3</v>
      </c>
      <c r="G310" s="3">
        <v>8955145.840000033</v>
      </c>
      <c r="H310" s="3"/>
      <c r="I310" s="8" t="s">
        <v>4</v>
      </c>
    </row>
    <row r="311">
      <c r="A311" s="1">
        <v>46098.0</v>
      </c>
      <c r="B311" s="2" t="s">
        <v>8</v>
      </c>
      <c r="C311" s="2" t="s">
        <v>341</v>
      </c>
      <c r="D311" s="6">
        <v>3069160.0</v>
      </c>
      <c r="E311" s="3"/>
      <c r="F311" s="6" t="s">
        <v>3</v>
      </c>
      <c r="G311" s="3">
        <v>5885985.840000033</v>
      </c>
      <c r="H311" s="6">
        <v>5885985.84</v>
      </c>
      <c r="I311" s="10" t="s">
        <v>84</v>
      </c>
    </row>
    <row r="312">
      <c r="A312" s="1">
        <v>46098.0</v>
      </c>
      <c r="B312" s="2" t="s">
        <v>342</v>
      </c>
      <c r="C312" s="2" t="s">
        <v>342</v>
      </c>
      <c r="D312" s="6">
        <v>19000.0</v>
      </c>
      <c r="E312" s="3"/>
      <c r="F312" s="6"/>
      <c r="G312" s="3">
        <v>5866985.840000033</v>
      </c>
      <c r="H312" s="6">
        <v>5866985.84</v>
      </c>
      <c r="I312" s="8" t="s">
        <v>4</v>
      </c>
    </row>
    <row r="313">
      <c r="A313" s="1">
        <v>46099.0</v>
      </c>
      <c r="B313" s="2" t="s">
        <v>343</v>
      </c>
      <c r="C313" s="2" t="s">
        <v>344</v>
      </c>
      <c r="D313" s="6">
        <v>2522370.0</v>
      </c>
      <c r="E313" s="3"/>
      <c r="F313" s="6" t="s">
        <v>3</v>
      </c>
      <c r="G313" s="3">
        <v>3344615.8400000334</v>
      </c>
      <c r="H313" s="3"/>
      <c r="I313" s="10" t="s">
        <v>13</v>
      </c>
    </row>
    <row r="314">
      <c r="A314" s="1">
        <v>46099.0</v>
      </c>
      <c r="B314" s="2" t="s">
        <v>343</v>
      </c>
      <c r="C314" s="2" t="s">
        <v>345</v>
      </c>
      <c r="D314" s="6">
        <v>2011430.0</v>
      </c>
      <c r="E314" s="3"/>
      <c r="F314" s="6" t="s">
        <v>3</v>
      </c>
      <c r="G314" s="3">
        <v>1333185.8400000334</v>
      </c>
      <c r="H314" s="3"/>
      <c r="I314" s="10" t="s">
        <v>13</v>
      </c>
    </row>
    <row r="315">
      <c r="A315" s="1">
        <v>46099.0</v>
      </c>
      <c r="B315" s="2" t="s">
        <v>346</v>
      </c>
      <c r="C315" s="2" t="s">
        <v>347</v>
      </c>
      <c r="D315" s="6"/>
      <c r="E315" s="6">
        <v>5.31E7</v>
      </c>
      <c r="F315" s="6" t="s">
        <v>7</v>
      </c>
      <c r="G315" s="3">
        <v>5.443318584000003E7</v>
      </c>
      <c r="H315" s="3"/>
      <c r="I315" s="8" t="s">
        <v>4</v>
      </c>
    </row>
    <row r="316">
      <c r="A316" s="1">
        <v>46099.0</v>
      </c>
      <c r="B316" s="2" t="s">
        <v>343</v>
      </c>
      <c r="C316" s="2" t="s">
        <v>348</v>
      </c>
      <c r="D316" s="6">
        <v>4.936925E7</v>
      </c>
      <c r="E316" s="3"/>
      <c r="F316" s="6" t="s">
        <v>3</v>
      </c>
      <c r="G316" s="3">
        <v>5063935.840000033</v>
      </c>
      <c r="H316" s="3"/>
      <c r="I316" s="8" t="s">
        <v>4</v>
      </c>
    </row>
    <row r="317">
      <c r="A317" s="1">
        <v>46099.0</v>
      </c>
      <c r="B317" s="2" t="s">
        <v>349</v>
      </c>
      <c r="C317" s="2" t="s">
        <v>349</v>
      </c>
      <c r="D317" s="6">
        <v>500000.0</v>
      </c>
      <c r="E317" s="3"/>
      <c r="F317" s="3"/>
      <c r="G317" s="3">
        <v>4563935.840000033</v>
      </c>
      <c r="H317" s="3"/>
      <c r="I317" s="10" t="s">
        <v>25</v>
      </c>
    </row>
    <row r="318">
      <c r="A318" s="1">
        <v>46099.0</v>
      </c>
      <c r="B318" s="2" t="s">
        <v>14</v>
      </c>
      <c r="C318" s="2" t="s">
        <v>350</v>
      </c>
      <c r="D318" s="6"/>
      <c r="E318" s="6">
        <v>1.8190164E8</v>
      </c>
      <c r="F318" s="6" t="s">
        <v>7</v>
      </c>
      <c r="G318" s="3">
        <v>1.8646557584000003E8</v>
      </c>
      <c r="H318" s="3"/>
      <c r="I318" s="8" t="s">
        <v>4</v>
      </c>
    </row>
    <row r="319">
      <c r="A319" s="1">
        <v>46099.0</v>
      </c>
      <c r="B319" s="2" t="s">
        <v>8</v>
      </c>
      <c r="C319" s="2" t="s">
        <v>351</v>
      </c>
      <c r="D319" s="6">
        <v>200000.0</v>
      </c>
      <c r="E319" s="3"/>
      <c r="F319" s="6" t="s">
        <v>3</v>
      </c>
      <c r="G319" s="3">
        <v>1.8626557584000003E8</v>
      </c>
      <c r="H319" s="3"/>
      <c r="I319" s="8" t="s">
        <v>4</v>
      </c>
    </row>
    <row r="320">
      <c r="A320" s="1">
        <v>46099.0</v>
      </c>
      <c r="B320" s="2" t="s">
        <v>8</v>
      </c>
      <c r="C320" s="2" t="s">
        <v>352</v>
      </c>
      <c r="D320" s="6">
        <v>5.117175E7</v>
      </c>
      <c r="E320" s="3"/>
      <c r="F320" s="6" t="s">
        <v>3</v>
      </c>
      <c r="G320" s="3">
        <v>1.3509382584000003E8</v>
      </c>
      <c r="H320" s="3"/>
      <c r="I320" s="8" t="s">
        <v>4</v>
      </c>
    </row>
    <row r="321">
      <c r="A321" s="1">
        <v>46099.0</v>
      </c>
      <c r="B321" s="2" t="s">
        <v>8</v>
      </c>
      <c r="C321" s="2" t="s">
        <v>353</v>
      </c>
      <c r="D321" s="6">
        <v>6.125E7</v>
      </c>
      <c r="E321" s="3"/>
      <c r="F321" s="6" t="s">
        <v>3</v>
      </c>
      <c r="G321" s="3">
        <v>7.384382584000003E7</v>
      </c>
      <c r="H321" s="3"/>
      <c r="I321" s="8" t="s">
        <v>4</v>
      </c>
    </row>
    <row r="322">
      <c r="A322" s="1">
        <v>46099.0</v>
      </c>
      <c r="B322" s="2" t="s">
        <v>8</v>
      </c>
      <c r="C322" s="2" t="s">
        <v>354</v>
      </c>
      <c r="D322" s="6">
        <v>5.645415E7</v>
      </c>
      <c r="E322" s="3"/>
      <c r="F322" s="6" t="s">
        <v>3</v>
      </c>
      <c r="G322" s="3">
        <v>1.7389675840000033E7</v>
      </c>
      <c r="H322" s="6">
        <v>1.738967584E7</v>
      </c>
      <c r="I322" s="8" t="s">
        <v>4</v>
      </c>
    </row>
    <row r="323">
      <c r="A323" s="1">
        <v>46100.0</v>
      </c>
      <c r="B323" s="2" t="s">
        <v>355</v>
      </c>
      <c r="C323" s="2" t="s">
        <v>356</v>
      </c>
      <c r="D323" s="6"/>
      <c r="E323" s="6">
        <v>4.55E7</v>
      </c>
      <c r="F323" s="6" t="s">
        <v>7</v>
      </c>
      <c r="G323" s="3">
        <v>6.288967584000003E7</v>
      </c>
      <c r="H323" s="3"/>
      <c r="I323" s="8" t="s">
        <v>4</v>
      </c>
    </row>
    <row r="324">
      <c r="A324" s="1">
        <v>46100.0</v>
      </c>
      <c r="B324" s="2" t="s">
        <v>8</v>
      </c>
      <c r="C324" s="2" t="s">
        <v>357</v>
      </c>
      <c r="D324" s="6">
        <v>4.782925E7</v>
      </c>
      <c r="E324" s="3"/>
      <c r="F324" s="6" t="s">
        <v>3</v>
      </c>
      <c r="G324" s="3">
        <v>1.5060425840000033E7</v>
      </c>
      <c r="H324" s="3"/>
      <c r="I324" s="8" t="s">
        <v>4</v>
      </c>
    </row>
    <row r="325">
      <c r="A325" s="1">
        <v>46100.0</v>
      </c>
      <c r="B325" s="2" t="s">
        <v>8</v>
      </c>
      <c r="C325" s="2" t="s">
        <v>358</v>
      </c>
      <c r="D325" s="6">
        <v>1750000.0</v>
      </c>
      <c r="E325" s="3"/>
      <c r="F325" s="6" t="s">
        <v>3</v>
      </c>
      <c r="G325" s="3">
        <v>1.3310425840000033E7</v>
      </c>
      <c r="H325" s="3"/>
      <c r="I325" s="8" t="s">
        <v>4</v>
      </c>
    </row>
    <row r="326">
      <c r="A326" s="1">
        <v>46100.0</v>
      </c>
      <c r="B326" s="2" t="s">
        <v>8</v>
      </c>
      <c r="C326" s="2" t="s">
        <v>359</v>
      </c>
      <c r="D326" s="6">
        <v>1836000.0</v>
      </c>
      <c r="E326" s="3"/>
      <c r="F326" s="6" t="s">
        <v>3</v>
      </c>
      <c r="G326" s="3">
        <v>1.1474425840000033E7</v>
      </c>
      <c r="H326" s="6">
        <v>1.147442584E7</v>
      </c>
      <c r="I326" s="10" t="s">
        <v>13</v>
      </c>
    </row>
    <row r="327">
      <c r="A327" s="1">
        <v>46100.0</v>
      </c>
      <c r="B327" s="2" t="s">
        <v>8</v>
      </c>
      <c r="C327" s="2" t="s">
        <v>360</v>
      </c>
      <c r="D327" s="6">
        <v>1721340.0</v>
      </c>
      <c r="E327" s="3"/>
      <c r="F327" s="6" t="s">
        <v>3</v>
      </c>
      <c r="G327" s="3">
        <v>9753085.840000033</v>
      </c>
      <c r="H327" s="6">
        <v>9753085.84</v>
      </c>
      <c r="I327" s="10" t="s">
        <v>13</v>
      </c>
    </row>
    <row r="328">
      <c r="A328" s="1">
        <v>46100.0</v>
      </c>
      <c r="B328" s="2" t="s">
        <v>8</v>
      </c>
      <c r="C328" s="2" t="s">
        <v>361</v>
      </c>
      <c r="D328" s="6">
        <v>8628500.0</v>
      </c>
      <c r="E328" s="3"/>
      <c r="F328" s="6" t="s">
        <v>3</v>
      </c>
      <c r="G328" s="3">
        <v>1124585.8400000334</v>
      </c>
      <c r="H328" s="3"/>
      <c r="I328" s="10" t="s">
        <v>13</v>
      </c>
    </row>
    <row r="329">
      <c r="A329" s="1">
        <v>46100.0</v>
      </c>
      <c r="B329" s="2" t="s">
        <v>8</v>
      </c>
      <c r="C329" s="2" t="s">
        <v>362</v>
      </c>
      <c r="D329" s="6">
        <v>600000.0</v>
      </c>
      <c r="E329" s="3"/>
      <c r="F329" s="6" t="s">
        <v>3</v>
      </c>
      <c r="G329" s="3">
        <v>524585.8400000334</v>
      </c>
      <c r="H329" s="3"/>
      <c r="I329" s="10" t="s">
        <v>248</v>
      </c>
    </row>
    <row r="330">
      <c r="A330" s="1">
        <v>46100.0</v>
      </c>
      <c r="B330" s="2" t="s">
        <v>363</v>
      </c>
      <c r="C330" s="2" t="s">
        <v>363</v>
      </c>
      <c r="D330" s="6">
        <v>250000.0</v>
      </c>
      <c r="E330" s="3"/>
      <c r="F330" s="3"/>
      <c r="G330" s="3">
        <v>274585.8400000334</v>
      </c>
      <c r="H330" s="3"/>
      <c r="I330" s="10" t="s">
        <v>25</v>
      </c>
    </row>
    <row r="331">
      <c r="A331" s="1">
        <v>46100.0</v>
      </c>
      <c r="B331" s="2" t="s">
        <v>14</v>
      </c>
      <c r="C331" s="2" t="s">
        <v>364</v>
      </c>
      <c r="D331" s="6"/>
      <c r="E331" s="6">
        <v>1.25E7</v>
      </c>
      <c r="F331" s="6" t="s">
        <v>7</v>
      </c>
      <c r="G331" s="3">
        <v>1.2774585840000033E7</v>
      </c>
      <c r="H331" s="3"/>
      <c r="I331" s="8" t="s">
        <v>4</v>
      </c>
    </row>
    <row r="332">
      <c r="A332" s="1">
        <v>46100.0</v>
      </c>
      <c r="B332" s="2" t="s">
        <v>363</v>
      </c>
      <c r="C332" s="2" t="s">
        <v>363</v>
      </c>
      <c r="D332" s="6">
        <v>200000.0</v>
      </c>
      <c r="E332" s="3"/>
      <c r="F332" s="6"/>
      <c r="G332" s="3">
        <v>1.2574585840000033E7</v>
      </c>
      <c r="H332" s="6">
        <v>1.257458584E7</v>
      </c>
      <c r="I332" s="10" t="s">
        <v>25</v>
      </c>
    </row>
    <row r="333">
      <c r="A333" s="1">
        <v>46101.0</v>
      </c>
      <c r="B333" s="2" t="s">
        <v>8</v>
      </c>
      <c r="C333" s="2" t="s">
        <v>365</v>
      </c>
      <c r="D333" s="6">
        <v>400000.0</v>
      </c>
      <c r="E333" s="3"/>
      <c r="F333" s="6" t="s">
        <v>3</v>
      </c>
      <c r="G333" s="3">
        <v>1.2174585840000033E7</v>
      </c>
      <c r="H333" s="3"/>
      <c r="I333" s="10" t="s">
        <v>248</v>
      </c>
    </row>
    <row r="334">
      <c r="A334" s="1">
        <v>46101.0</v>
      </c>
      <c r="B334" s="2" t="s">
        <v>8</v>
      </c>
      <c r="C334" s="2" t="s">
        <v>366</v>
      </c>
      <c r="D334" s="6">
        <v>100000.0</v>
      </c>
      <c r="E334" s="3"/>
      <c r="F334" s="6" t="s">
        <v>3</v>
      </c>
      <c r="G334" s="3">
        <v>1.2074585840000033E7</v>
      </c>
      <c r="H334" s="3"/>
      <c r="I334" s="10" t="s">
        <v>248</v>
      </c>
    </row>
    <row r="335">
      <c r="A335" s="1">
        <v>46101.0</v>
      </c>
      <c r="B335" s="2" t="s">
        <v>14</v>
      </c>
      <c r="C335" s="2" t="s">
        <v>367</v>
      </c>
      <c r="D335" s="6"/>
      <c r="E335" s="6">
        <v>1.3842322E8</v>
      </c>
      <c r="F335" s="6" t="s">
        <v>7</v>
      </c>
      <c r="G335" s="3">
        <v>1.5049780584000003E8</v>
      </c>
      <c r="H335" s="3"/>
      <c r="I335" s="8" t="s">
        <v>4</v>
      </c>
    </row>
    <row r="336">
      <c r="A336" s="1">
        <v>46101.0</v>
      </c>
      <c r="B336" s="2" t="s">
        <v>14</v>
      </c>
      <c r="C336" s="2" t="s">
        <v>368</v>
      </c>
      <c r="D336" s="6"/>
      <c r="E336" s="6">
        <v>1.05154E8</v>
      </c>
      <c r="F336" s="6" t="s">
        <v>7</v>
      </c>
      <c r="G336" s="3">
        <v>2.5565180584000003E8</v>
      </c>
      <c r="H336" s="3"/>
      <c r="I336" s="8" t="s">
        <v>4</v>
      </c>
    </row>
    <row r="337">
      <c r="A337" s="1">
        <v>46101.0</v>
      </c>
      <c r="B337" s="2" t="s">
        <v>14</v>
      </c>
      <c r="C337" s="2" t="s">
        <v>369</v>
      </c>
      <c r="D337" s="6"/>
      <c r="E337" s="6">
        <v>5.19E7</v>
      </c>
      <c r="F337" s="6" t="s">
        <v>7</v>
      </c>
      <c r="G337" s="3">
        <v>3.0755180584000003E8</v>
      </c>
      <c r="H337" s="3"/>
      <c r="I337" s="8" t="s">
        <v>4</v>
      </c>
    </row>
    <row r="338">
      <c r="A338" s="1">
        <v>46101.0</v>
      </c>
      <c r="B338" s="2" t="s">
        <v>14</v>
      </c>
      <c r="C338" s="2" t="s">
        <v>370</v>
      </c>
      <c r="D338" s="6"/>
      <c r="E338" s="6">
        <v>5.16E7</v>
      </c>
      <c r="F338" s="6" t="s">
        <v>7</v>
      </c>
      <c r="G338" s="3">
        <v>3.5915180584000003E8</v>
      </c>
      <c r="H338" s="3"/>
      <c r="I338" s="8" t="s">
        <v>4</v>
      </c>
    </row>
    <row r="339">
      <c r="A339" s="1">
        <v>46101.0</v>
      </c>
      <c r="B339" s="2" t="s">
        <v>14</v>
      </c>
      <c r="C339" s="12" t="s">
        <v>370</v>
      </c>
      <c r="D339" s="6"/>
      <c r="E339" s="6">
        <v>5.16E7</v>
      </c>
      <c r="F339" s="6" t="s">
        <v>7</v>
      </c>
      <c r="G339" s="3">
        <v>4.1075180584000003E8</v>
      </c>
      <c r="H339" s="3"/>
      <c r="I339" s="8" t="s">
        <v>4</v>
      </c>
    </row>
    <row r="340">
      <c r="A340" s="1">
        <v>46101.0</v>
      </c>
      <c r="B340" s="2" t="s">
        <v>8</v>
      </c>
      <c r="C340" s="2" t="s">
        <v>371</v>
      </c>
      <c r="D340" s="6">
        <v>4.76935E7</v>
      </c>
      <c r="E340" s="3"/>
      <c r="F340" s="6" t="s">
        <v>3</v>
      </c>
      <c r="G340" s="3">
        <v>3.6305830584000003E8</v>
      </c>
      <c r="H340" s="6">
        <v>3.6305830584E8</v>
      </c>
      <c r="I340" s="8" t="s">
        <v>4</v>
      </c>
    </row>
    <row r="341">
      <c r="A341" s="1">
        <v>46101.0</v>
      </c>
      <c r="B341" s="2" t="s">
        <v>14</v>
      </c>
      <c r="C341" s="2" t="s">
        <v>372</v>
      </c>
      <c r="D341" s="6"/>
      <c r="E341" s="6">
        <v>5.775E7</v>
      </c>
      <c r="F341" s="6" t="s">
        <v>7</v>
      </c>
      <c r="G341" s="3">
        <v>4.2080830584000003E8</v>
      </c>
      <c r="H341" s="6">
        <v>4.2080830584E8</v>
      </c>
      <c r="I341" s="8" t="s">
        <v>4</v>
      </c>
    </row>
    <row r="342">
      <c r="A342" s="1">
        <v>46101.0</v>
      </c>
      <c r="B342" s="2" t="s">
        <v>8</v>
      </c>
      <c r="C342" s="2" t="s">
        <v>373</v>
      </c>
      <c r="D342" s="6">
        <v>5.253E7</v>
      </c>
      <c r="E342" s="3"/>
      <c r="F342" s="6" t="s">
        <v>3</v>
      </c>
      <c r="G342" s="3">
        <v>3.6827830584000003E8</v>
      </c>
      <c r="H342" s="3"/>
      <c r="I342" s="8" t="s">
        <v>4</v>
      </c>
    </row>
    <row r="343">
      <c r="A343" s="1">
        <v>46101.0</v>
      </c>
      <c r="B343" s="2" t="s">
        <v>8</v>
      </c>
      <c r="C343" s="2" t="s">
        <v>374</v>
      </c>
      <c r="D343" s="6">
        <v>1.025083E8</v>
      </c>
      <c r="E343" s="3"/>
      <c r="F343" s="6" t="s">
        <v>3</v>
      </c>
      <c r="G343" s="3">
        <v>2.6577000584000003E8</v>
      </c>
      <c r="H343" s="3"/>
      <c r="I343" s="8" t="s">
        <v>4</v>
      </c>
    </row>
    <row r="344">
      <c r="A344" s="1">
        <v>46101.0</v>
      </c>
      <c r="B344" s="2" t="s">
        <v>8</v>
      </c>
      <c r="C344" s="2" t="s">
        <v>375</v>
      </c>
      <c r="D344" s="6">
        <v>5.10255E7</v>
      </c>
      <c r="E344" s="3"/>
      <c r="F344" s="6" t="s">
        <v>3</v>
      </c>
      <c r="G344" s="3">
        <v>2.1474450584000003E8</v>
      </c>
      <c r="H344" s="3"/>
      <c r="I344" s="8" t="s">
        <v>4</v>
      </c>
    </row>
    <row r="345">
      <c r="A345" s="1">
        <v>46101.0</v>
      </c>
      <c r="B345" s="2" t="s">
        <v>8</v>
      </c>
      <c r="C345" s="2" t="s">
        <v>376</v>
      </c>
      <c r="D345" s="6">
        <v>4.18619E7</v>
      </c>
      <c r="E345" s="3"/>
      <c r="F345" s="6" t="s">
        <v>3</v>
      </c>
      <c r="G345" s="3">
        <v>1.7288260584000003E8</v>
      </c>
      <c r="H345" s="3"/>
      <c r="I345" s="8" t="s">
        <v>4</v>
      </c>
    </row>
    <row r="346">
      <c r="A346" s="1">
        <v>46101.0</v>
      </c>
      <c r="B346" s="2" t="s">
        <v>8</v>
      </c>
      <c r="C346" s="2" t="s">
        <v>377</v>
      </c>
      <c r="D346" s="6">
        <v>1.0E7</v>
      </c>
      <c r="E346" s="3"/>
      <c r="F346" s="6" t="s">
        <v>3</v>
      </c>
      <c r="G346" s="3">
        <v>1.6288260584000003E8</v>
      </c>
      <c r="H346" s="3"/>
      <c r="I346" s="8" t="s">
        <v>4</v>
      </c>
    </row>
    <row r="347">
      <c r="A347" s="1">
        <v>46101.0</v>
      </c>
      <c r="B347" s="2" t="s">
        <v>8</v>
      </c>
      <c r="C347" s="2" t="s">
        <v>378</v>
      </c>
      <c r="D347" s="6">
        <v>1.048E8</v>
      </c>
      <c r="E347" s="3"/>
      <c r="F347" s="6" t="s">
        <v>3</v>
      </c>
      <c r="G347" s="3">
        <v>5.808260584000003E7</v>
      </c>
      <c r="H347" s="6">
        <v>5.808260584E7</v>
      </c>
      <c r="I347" s="8" t="s">
        <v>4</v>
      </c>
    </row>
    <row r="348">
      <c r="A348" s="1">
        <v>46102.0</v>
      </c>
      <c r="B348" s="2" t="s">
        <v>379</v>
      </c>
      <c r="C348" s="2" t="s">
        <v>379</v>
      </c>
      <c r="D348" s="6">
        <v>150000.0</v>
      </c>
      <c r="E348" s="3"/>
      <c r="F348" s="3"/>
      <c r="G348" s="3">
        <v>5.793260584000003E7</v>
      </c>
      <c r="H348" s="3"/>
      <c r="I348" s="10" t="s">
        <v>25</v>
      </c>
    </row>
    <row r="349">
      <c r="A349" s="1">
        <v>46102.0</v>
      </c>
      <c r="B349" s="2" t="s">
        <v>8</v>
      </c>
      <c r="C349" s="2" t="s">
        <v>380</v>
      </c>
      <c r="D349" s="6">
        <v>5.775E7</v>
      </c>
      <c r="E349" s="3"/>
      <c r="F349" s="6" t="s">
        <v>3</v>
      </c>
      <c r="G349" s="3">
        <v>182605.84000003338</v>
      </c>
      <c r="H349" s="3"/>
      <c r="I349" s="8" t="s">
        <v>4</v>
      </c>
    </row>
    <row r="350">
      <c r="A350" s="1">
        <v>46102.0</v>
      </c>
      <c r="B350" s="2" t="s">
        <v>14</v>
      </c>
      <c r="C350" s="2" t="s">
        <v>381</v>
      </c>
      <c r="D350" s="6"/>
      <c r="E350" s="6">
        <v>1.540625E7</v>
      </c>
      <c r="F350" s="6" t="s">
        <v>7</v>
      </c>
      <c r="G350" s="3">
        <v>1.5588855840000033E7</v>
      </c>
      <c r="H350" s="3"/>
      <c r="I350" s="8" t="s">
        <v>4</v>
      </c>
    </row>
    <row r="351">
      <c r="A351" s="1">
        <v>46102.0</v>
      </c>
      <c r="B351" s="2" t="s">
        <v>8</v>
      </c>
      <c r="C351" s="2" t="s">
        <v>382</v>
      </c>
      <c r="D351" s="6">
        <v>1.549E7</v>
      </c>
      <c r="E351" s="3"/>
      <c r="F351" s="6" t="s">
        <v>3</v>
      </c>
      <c r="G351" s="3">
        <v>98855.84000003338</v>
      </c>
      <c r="H351" s="3"/>
      <c r="I351" s="8" t="s">
        <v>4</v>
      </c>
    </row>
    <row r="352">
      <c r="A352" s="1">
        <v>46102.0</v>
      </c>
      <c r="B352" s="2" t="s">
        <v>14</v>
      </c>
      <c r="C352" s="2" t="s">
        <v>383</v>
      </c>
      <c r="D352" s="6"/>
      <c r="E352" s="6">
        <v>1.2162456E8</v>
      </c>
      <c r="F352" s="6" t="s">
        <v>7</v>
      </c>
      <c r="G352" s="3">
        <v>1.2172341584000003E8</v>
      </c>
      <c r="H352" s="3"/>
      <c r="I352" s="8" t="s">
        <v>4</v>
      </c>
    </row>
    <row r="353">
      <c r="A353" s="11">
        <v>46102.0</v>
      </c>
      <c r="B353" s="12" t="s">
        <v>14</v>
      </c>
      <c r="C353" s="12" t="s">
        <v>384</v>
      </c>
      <c r="D353" s="13"/>
      <c r="E353" s="13">
        <v>5.01E7</v>
      </c>
      <c r="F353" s="13" t="s">
        <v>7</v>
      </c>
      <c r="G353" s="14">
        <v>1.7182341584000003E8</v>
      </c>
      <c r="H353" s="13">
        <v>1.7182341584E8</v>
      </c>
      <c r="I353" s="8" t="s">
        <v>4</v>
      </c>
    </row>
    <row r="354">
      <c r="A354" s="1">
        <v>46102.0</v>
      </c>
      <c r="B354" s="2" t="s">
        <v>14</v>
      </c>
      <c r="C354" s="12" t="s">
        <v>384</v>
      </c>
      <c r="D354" s="6"/>
      <c r="E354" s="6">
        <v>5.01E7</v>
      </c>
      <c r="F354" s="6" t="s">
        <v>7</v>
      </c>
      <c r="G354" s="3">
        <v>2.2192341584000003E8</v>
      </c>
      <c r="H354" s="6">
        <v>2.2192341584E8</v>
      </c>
      <c r="I354" s="8" t="s">
        <v>25</v>
      </c>
    </row>
    <row r="355">
      <c r="A355" s="1">
        <v>46102.0</v>
      </c>
      <c r="B355" s="2" t="s">
        <v>14</v>
      </c>
      <c r="C355" s="2" t="s">
        <v>385</v>
      </c>
      <c r="D355" s="6"/>
      <c r="E355" s="6">
        <v>1.0E8</v>
      </c>
      <c r="F355" s="6" t="s">
        <v>7</v>
      </c>
      <c r="G355" s="3">
        <v>3.2192341584000003E8</v>
      </c>
      <c r="H355" s="3"/>
      <c r="I355" s="8" t="s">
        <v>25</v>
      </c>
    </row>
    <row r="356">
      <c r="A356" s="1">
        <v>46102.0</v>
      </c>
      <c r="B356" s="2" t="s">
        <v>8</v>
      </c>
      <c r="C356" s="2" t="s">
        <v>386</v>
      </c>
      <c r="D356" s="6">
        <v>5.12465E7</v>
      </c>
      <c r="E356" s="3"/>
      <c r="F356" s="6" t="s">
        <v>3</v>
      </c>
      <c r="G356" s="3">
        <v>2.7067691584000003E8</v>
      </c>
      <c r="H356" s="3"/>
      <c r="I356" s="10" t="s">
        <v>4</v>
      </c>
    </row>
    <row r="357">
      <c r="A357" s="1">
        <v>46102.0</v>
      </c>
      <c r="B357" s="2" t="s">
        <v>8</v>
      </c>
      <c r="C357" s="2" t="s">
        <v>387</v>
      </c>
      <c r="D357" s="6">
        <v>1.13E7</v>
      </c>
      <c r="E357" s="3"/>
      <c r="F357" s="6" t="s">
        <v>3</v>
      </c>
      <c r="G357" s="3">
        <v>2.5937691584000003E8</v>
      </c>
      <c r="H357" s="3"/>
      <c r="I357" s="10" t="s">
        <v>4</v>
      </c>
    </row>
    <row r="358">
      <c r="A358" s="1">
        <v>46102.0</v>
      </c>
      <c r="B358" s="2" t="s">
        <v>8</v>
      </c>
      <c r="C358" s="2" t="s">
        <v>388</v>
      </c>
      <c r="D358" s="6">
        <v>4.325E7</v>
      </c>
      <c r="E358" s="3"/>
      <c r="F358" s="6" t="s">
        <v>3</v>
      </c>
      <c r="G358" s="3">
        <v>2.1612691584000003E8</v>
      </c>
      <c r="H358" s="3"/>
      <c r="I358" s="10" t="s">
        <v>4</v>
      </c>
    </row>
    <row r="359">
      <c r="A359" s="1">
        <v>46102.0</v>
      </c>
      <c r="B359" s="2" t="s">
        <v>8</v>
      </c>
      <c r="C359" s="2" t="s">
        <v>389</v>
      </c>
      <c r="D359" s="6">
        <v>5.0E7</v>
      </c>
      <c r="E359" s="3"/>
      <c r="F359" s="6" t="s">
        <v>3</v>
      </c>
      <c r="G359" s="3">
        <v>1.6612691584000003E8</v>
      </c>
      <c r="H359" s="3"/>
      <c r="I359" s="10" t="s">
        <v>4</v>
      </c>
    </row>
    <row r="360">
      <c r="A360" s="1">
        <v>46102.0</v>
      </c>
      <c r="B360" s="2" t="s">
        <v>8</v>
      </c>
      <c r="C360" s="2" t="s">
        <v>390</v>
      </c>
      <c r="D360" s="6">
        <v>1054300.0</v>
      </c>
      <c r="E360" s="3"/>
      <c r="F360" s="6" t="s">
        <v>3</v>
      </c>
      <c r="G360" s="3">
        <v>1.6507261584000003E8</v>
      </c>
      <c r="H360" s="3"/>
      <c r="I360" s="10" t="s">
        <v>13</v>
      </c>
    </row>
    <row r="361">
      <c r="A361" s="1">
        <v>46102.0</v>
      </c>
      <c r="B361" s="2" t="s">
        <v>8</v>
      </c>
      <c r="C361" s="2" t="s">
        <v>391</v>
      </c>
      <c r="D361" s="6">
        <v>2500000.0</v>
      </c>
      <c r="E361" s="3"/>
      <c r="F361" s="6" t="s">
        <v>3</v>
      </c>
      <c r="G361" s="3">
        <v>1.6257261584000003E8</v>
      </c>
      <c r="H361" s="3"/>
      <c r="I361" s="10" t="s">
        <v>13</v>
      </c>
    </row>
    <row r="362">
      <c r="A362" s="1">
        <v>46102.0</v>
      </c>
      <c r="B362" s="2" t="s">
        <v>14</v>
      </c>
      <c r="C362" s="2" t="s">
        <v>392</v>
      </c>
      <c r="D362" s="6"/>
      <c r="E362" s="6">
        <v>1.67E7</v>
      </c>
      <c r="F362" s="6" t="s">
        <v>7</v>
      </c>
      <c r="G362" s="3">
        <v>1.7927261584000003E8</v>
      </c>
      <c r="H362" s="3"/>
      <c r="I362" s="8" t="s">
        <v>25</v>
      </c>
    </row>
    <row r="363">
      <c r="A363" s="1">
        <v>46102.0</v>
      </c>
      <c r="B363" s="2" t="s">
        <v>8</v>
      </c>
      <c r="C363" s="2" t="s">
        <v>393</v>
      </c>
      <c r="D363" s="6">
        <v>1700000.0</v>
      </c>
      <c r="E363" s="3"/>
      <c r="F363" s="6" t="s">
        <v>3</v>
      </c>
      <c r="G363" s="3">
        <v>1.7757261584000003E8</v>
      </c>
      <c r="H363" s="3"/>
      <c r="I363" s="10" t="s">
        <v>248</v>
      </c>
    </row>
    <row r="364">
      <c r="A364" s="1">
        <v>46102.0</v>
      </c>
      <c r="B364" s="2" t="s">
        <v>8</v>
      </c>
      <c r="C364" s="2" t="s">
        <v>394</v>
      </c>
      <c r="D364" s="6">
        <v>1.7643696E8</v>
      </c>
      <c r="E364" s="3"/>
      <c r="F364" s="6" t="s">
        <v>3</v>
      </c>
      <c r="G364" s="3">
        <v>1135655.8400000334</v>
      </c>
      <c r="H364" s="3"/>
      <c r="I364" s="8" t="s">
        <v>4</v>
      </c>
    </row>
    <row r="365">
      <c r="A365" s="1">
        <v>46102.0</v>
      </c>
      <c r="B365" s="2" t="s">
        <v>68</v>
      </c>
      <c r="C365" s="2" t="s">
        <v>395</v>
      </c>
      <c r="D365" s="6">
        <v>102500.0</v>
      </c>
      <c r="E365" s="3"/>
      <c r="F365" s="3"/>
      <c r="G365" s="3">
        <v>1033155.8400000334</v>
      </c>
      <c r="H365" s="3"/>
      <c r="I365" s="8" t="s">
        <v>25</v>
      </c>
    </row>
    <row r="366">
      <c r="A366" s="1">
        <v>46102.0</v>
      </c>
      <c r="B366" s="2" t="s">
        <v>14</v>
      </c>
      <c r="C366" s="2" t="s">
        <v>396</v>
      </c>
      <c r="D366" s="6"/>
      <c r="E366" s="6">
        <v>5.6E7</v>
      </c>
      <c r="F366" s="6" t="s">
        <v>7</v>
      </c>
      <c r="G366" s="3">
        <v>5.703315584000003E7</v>
      </c>
      <c r="H366" s="6">
        <v>5.703315584E7</v>
      </c>
      <c r="I366" s="8" t="s">
        <v>4</v>
      </c>
    </row>
    <row r="367">
      <c r="A367" s="1">
        <v>46103.0</v>
      </c>
      <c r="B367" s="2" t="s">
        <v>397</v>
      </c>
      <c r="C367" s="2" t="s">
        <v>398</v>
      </c>
      <c r="D367" s="6">
        <v>2.20846E7</v>
      </c>
      <c r="E367" s="3"/>
      <c r="F367" s="6" t="s">
        <v>3</v>
      </c>
      <c r="G367" s="3">
        <v>3.494855584000003E7</v>
      </c>
      <c r="H367" s="6">
        <v>3.494855584E7</v>
      </c>
      <c r="I367" s="10" t="s">
        <v>4</v>
      </c>
    </row>
    <row r="368">
      <c r="A368" s="1">
        <v>46103.0</v>
      </c>
      <c r="B368" s="2" t="s">
        <v>397</v>
      </c>
      <c r="C368" s="2" t="s">
        <v>399</v>
      </c>
      <c r="D368" s="6">
        <v>3.0E7</v>
      </c>
      <c r="E368" s="3"/>
      <c r="F368" s="6" t="s">
        <v>3</v>
      </c>
      <c r="G368" s="3">
        <v>4948555.840000033</v>
      </c>
      <c r="H368" s="3"/>
      <c r="I368" s="10" t="s">
        <v>4</v>
      </c>
    </row>
    <row r="369">
      <c r="A369" s="1">
        <v>46103.0</v>
      </c>
      <c r="B369" s="2" t="s">
        <v>397</v>
      </c>
      <c r="C369" s="2" t="s">
        <v>400</v>
      </c>
      <c r="D369" s="6">
        <v>3911400.0</v>
      </c>
      <c r="E369" s="3"/>
      <c r="F369" s="6" t="s">
        <v>3</v>
      </c>
      <c r="G369" s="3">
        <v>1037155.8400000334</v>
      </c>
      <c r="H369" s="3"/>
      <c r="I369" s="10" t="s">
        <v>13</v>
      </c>
    </row>
    <row r="370">
      <c r="A370" s="1">
        <v>46103.0</v>
      </c>
      <c r="B370" s="2" t="s">
        <v>8</v>
      </c>
      <c r="C370" s="2" t="s">
        <v>401</v>
      </c>
      <c r="D370" s="6">
        <v>710000.0</v>
      </c>
      <c r="E370" s="3"/>
      <c r="F370" s="6" t="s">
        <v>3</v>
      </c>
      <c r="G370" s="3">
        <v>327155.8400000334</v>
      </c>
      <c r="H370" s="3"/>
      <c r="I370" s="8" t="s">
        <v>25</v>
      </c>
    </row>
    <row r="371">
      <c r="A371" s="1">
        <v>46103.0</v>
      </c>
      <c r="B371" s="2" t="s">
        <v>402</v>
      </c>
      <c r="C371" s="2" t="s">
        <v>402</v>
      </c>
      <c r="D371" s="6">
        <v>250000.0</v>
      </c>
      <c r="E371" s="3"/>
      <c r="F371" s="6"/>
      <c r="G371" s="3">
        <v>77155.84000003338</v>
      </c>
      <c r="H371" s="6">
        <v>77155.84</v>
      </c>
      <c r="I371" s="10" t="s">
        <v>25</v>
      </c>
    </row>
    <row r="372">
      <c r="A372" s="1">
        <v>46104.0</v>
      </c>
      <c r="B372" s="2" t="s">
        <v>403</v>
      </c>
      <c r="C372" s="2" t="s">
        <v>404</v>
      </c>
      <c r="D372" s="6"/>
      <c r="E372" s="6">
        <v>5.46E7</v>
      </c>
      <c r="F372" s="6" t="s">
        <v>7</v>
      </c>
      <c r="G372" s="3">
        <v>5.467715584000003E7</v>
      </c>
      <c r="H372" s="3"/>
      <c r="I372" s="8" t="s">
        <v>4</v>
      </c>
    </row>
    <row r="373">
      <c r="A373" s="1">
        <v>46104.0</v>
      </c>
      <c r="B373" s="2" t="s">
        <v>14</v>
      </c>
      <c r="C373" s="2" t="s">
        <v>405</v>
      </c>
      <c r="D373" s="6"/>
      <c r="E373" s="6">
        <v>1.4269083E8</v>
      </c>
      <c r="F373" s="6" t="s">
        <v>7</v>
      </c>
      <c r="G373" s="3">
        <v>1.9736798584000003E8</v>
      </c>
      <c r="H373" s="3"/>
      <c r="I373" s="8" t="s">
        <v>4</v>
      </c>
    </row>
    <row r="374">
      <c r="A374" s="1">
        <v>46104.0</v>
      </c>
      <c r="B374" s="2" t="s">
        <v>14</v>
      </c>
      <c r="C374" s="2" t="s">
        <v>406</v>
      </c>
      <c r="D374" s="6"/>
      <c r="E374" s="6">
        <v>3.5175244E8</v>
      </c>
      <c r="F374" s="6" t="s">
        <v>7</v>
      </c>
      <c r="G374" s="3">
        <v>5.4912042584E8</v>
      </c>
      <c r="H374" s="3"/>
      <c r="I374" s="8" t="s">
        <v>4</v>
      </c>
    </row>
    <row r="375">
      <c r="A375" s="1">
        <v>46104.0</v>
      </c>
      <c r="B375" s="2" t="s">
        <v>8</v>
      </c>
      <c r="C375" s="2" t="s">
        <v>407</v>
      </c>
      <c r="D375" s="6">
        <v>5.6E7</v>
      </c>
      <c r="E375" s="3"/>
      <c r="F375" s="6" t="s">
        <v>3</v>
      </c>
      <c r="G375" s="3">
        <v>4.9312042584000003E8</v>
      </c>
      <c r="H375" s="3"/>
      <c r="I375" s="10" t="s">
        <v>4</v>
      </c>
    </row>
    <row r="376">
      <c r="A376" s="1">
        <v>46104.0</v>
      </c>
      <c r="B376" s="2" t="s">
        <v>8</v>
      </c>
      <c r="C376" s="2" t="s">
        <v>408</v>
      </c>
      <c r="D376" s="6">
        <v>1.09612E8</v>
      </c>
      <c r="E376" s="3"/>
      <c r="F376" s="6" t="s">
        <v>3</v>
      </c>
      <c r="G376" s="3">
        <v>3.8350842584000003E8</v>
      </c>
      <c r="H376" s="3"/>
      <c r="I376" s="8" t="s">
        <v>4</v>
      </c>
    </row>
    <row r="377">
      <c r="A377" s="1">
        <v>46104.0</v>
      </c>
      <c r="B377" s="2" t="s">
        <v>409</v>
      </c>
      <c r="C377" s="2" t="s">
        <v>410</v>
      </c>
      <c r="D377" s="6"/>
      <c r="E377" s="6">
        <v>4600000.0</v>
      </c>
      <c r="F377" s="3"/>
      <c r="G377" s="3">
        <v>3.8810842584000003E8</v>
      </c>
      <c r="H377" s="3"/>
      <c r="I377" s="8" t="s">
        <v>25</v>
      </c>
    </row>
    <row r="378">
      <c r="A378" s="1">
        <v>46104.0</v>
      </c>
      <c r="B378" s="2" t="s">
        <v>409</v>
      </c>
      <c r="C378" s="12" t="s">
        <v>410</v>
      </c>
      <c r="E378" s="6">
        <v>2550000.0</v>
      </c>
      <c r="F378" s="3"/>
      <c r="G378" s="3">
        <v>3.9065842584000003E8</v>
      </c>
      <c r="H378" s="3"/>
      <c r="I378" s="8" t="s">
        <v>25</v>
      </c>
    </row>
    <row r="379">
      <c r="A379" s="1">
        <v>46104.0</v>
      </c>
      <c r="B379" s="2" t="s">
        <v>409</v>
      </c>
      <c r="C379" s="12" t="s">
        <v>410</v>
      </c>
      <c r="E379" s="6">
        <v>1000000.0</v>
      </c>
      <c r="F379" s="3"/>
      <c r="G379" s="3">
        <v>3.9165842584000003E8</v>
      </c>
      <c r="H379" s="3"/>
      <c r="I379" s="8" t="s">
        <v>25</v>
      </c>
    </row>
    <row r="380">
      <c r="A380" s="1">
        <v>46104.0</v>
      </c>
      <c r="B380" s="2" t="s">
        <v>8</v>
      </c>
      <c r="C380" s="2" t="s">
        <v>411</v>
      </c>
      <c r="D380" s="6">
        <v>8150000.0</v>
      </c>
      <c r="E380" s="3"/>
      <c r="F380" s="6" t="s">
        <v>3</v>
      </c>
      <c r="G380" s="3">
        <v>3.8350842584000003E8</v>
      </c>
      <c r="H380" s="3"/>
      <c r="I380" s="8" t="s">
        <v>4</v>
      </c>
    </row>
    <row r="381">
      <c r="A381" s="1">
        <v>46104.0</v>
      </c>
      <c r="B381" s="2" t="s">
        <v>14</v>
      </c>
      <c r="C381" s="2" t="s">
        <v>412</v>
      </c>
      <c r="D381" s="6"/>
      <c r="E381" s="6">
        <v>4.534215E7</v>
      </c>
      <c r="F381" s="6" t="s">
        <v>7</v>
      </c>
      <c r="G381" s="3">
        <v>4.2885057584000003E8</v>
      </c>
      <c r="H381" s="6">
        <v>4.2885057584E8</v>
      </c>
      <c r="I381" s="8" t="s">
        <v>25</v>
      </c>
    </row>
    <row r="382">
      <c r="A382" s="1">
        <v>46104.0</v>
      </c>
      <c r="B382" s="2" t="s">
        <v>8</v>
      </c>
      <c r="C382" s="2" t="s">
        <v>413</v>
      </c>
      <c r="D382" s="6">
        <v>1500000.0</v>
      </c>
      <c r="E382" s="3"/>
      <c r="F382" s="6" t="s">
        <v>3</v>
      </c>
      <c r="G382" s="3">
        <v>4.2735057584000003E8</v>
      </c>
      <c r="H382" s="6">
        <v>4.2735057584E8</v>
      </c>
      <c r="I382" s="10" t="s">
        <v>13</v>
      </c>
    </row>
    <row r="383">
      <c r="A383" s="1">
        <v>46104.0</v>
      </c>
      <c r="B383" s="2" t="s">
        <v>14</v>
      </c>
      <c r="C383" s="2" t="s">
        <v>414</v>
      </c>
      <c r="D383" s="6"/>
      <c r="E383" s="6">
        <v>1.0E8</v>
      </c>
      <c r="F383" s="6" t="s">
        <v>7</v>
      </c>
      <c r="G383" s="3">
        <v>5.2735057584000003E8</v>
      </c>
      <c r="H383" s="3"/>
      <c r="I383" s="8" t="s">
        <v>25</v>
      </c>
    </row>
    <row r="384">
      <c r="A384" s="1">
        <v>46104.0</v>
      </c>
      <c r="B384" s="2" t="s">
        <v>8</v>
      </c>
      <c r="C384" s="2" t="s">
        <v>415</v>
      </c>
      <c r="D384" s="6">
        <v>5.89E7</v>
      </c>
      <c r="E384" s="3"/>
      <c r="F384" s="6" t="s">
        <v>3</v>
      </c>
      <c r="G384" s="3">
        <v>4.6845057584000003E8</v>
      </c>
      <c r="H384" s="3"/>
      <c r="I384" s="8" t="s">
        <v>4</v>
      </c>
    </row>
    <row r="385">
      <c r="A385" s="1">
        <v>46104.0</v>
      </c>
      <c r="B385" s="2" t="s">
        <v>8</v>
      </c>
      <c r="C385" s="2" t="s">
        <v>416</v>
      </c>
      <c r="D385" s="6">
        <v>5.668E7</v>
      </c>
      <c r="E385" s="3"/>
      <c r="F385" s="6" t="s">
        <v>3</v>
      </c>
      <c r="G385" s="3">
        <v>4.1177057584000003E8</v>
      </c>
      <c r="H385" s="3"/>
      <c r="I385" s="10" t="s">
        <v>4</v>
      </c>
    </row>
    <row r="386">
      <c r="A386" s="1">
        <v>46104.0</v>
      </c>
      <c r="B386" s="2" t="s">
        <v>8</v>
      </c>
      <c r="C386" s="2" t="s">
        <v>417</v>
      </c>
      <c r="D386" s="6">
        <v>8.60496E7</v>
      </c>
      <c r="E386" s="3"/>
      <c r="F386" s="6" t="s">
        <v>3</v>
      </c>
      <c r="G386" s="3">
        <v>3.2572097584000003E8</v>
      </c>
      <c r="H386" s="3"/>
      <c r="I386" s="10" t="s">
        <v>4</v>
      </c>
    </row>
    <row r="387">
      <c r="A387" s="1">
        <v>46104.0</v>
      </c>
      <c r="B387" s="2" t="s">
        <v>8</v>
      </c>
      <c r="C387" s="2" t="s">
        <v>418</v>
      </c>
      <c r="D387" s="6">
        <v>2.490624E8</v>
      </c>
      <c r="E387" s="3"/>
      <c r="F387" s="6" t="s">
        <v>3</v>
      </c>
      <c r="G387" s="3">
        <v>7.665857584000003E7</v>
      </c>
      <c r="H387" s="3"/>
      <c r="I387" s="10" t="s">
        <v>4</v>
      </c>
    </row>
    <row r="388">
      <c r="A388" s="1">
        <v>46104.0</v>
      </c>
      <c r="B388" s="2" t="s">
        <v>8</v>
      </c>
      <c r="C388" s="2" t="s">
        <v>419</v>
      </c>
      <c r="D388" s="6">
        <v>4.830705E7</v>
      </c>
      <c r="E388" s="3"/>
      <c r="F388" s="6" t="s">
        <v>3</v>
      </c>
      <c r="G388" s="3">
        <v>2.8351525840000033E7</v>
      </c>
      <c r="H388" s="3"/>
      <c r="I388" s="10" t="s">
        <v>4</v>
      </c>
    </row>
    <row r="389">
      <c r="A389" s="1">
        <v>46104.0</v>
      </c>
      <c r="B389" s="2" t="s">
        <v>8</v>
      </c>
      <c r="C389" s="2" t="s">
        <v>420</v>
      </c>
      <c r="D389" s="6">
        <v>20000.0</v>
      </c>
      <c r="E389" s="3"/>
      <c r="F389" s="6" t="s">
        <v>3</v>
      </c>
      <c r="G389" s="3">
        <v>2.8331525840000033E7</v>
      </c>
      <c r="H389" s="3"/>
      <c r="I389" s="8" t="s">
        <v>25</v>
      </c>
    </row>
    <row r="390">
      <c r="A390" s="1">
        <v>46104.0</v>
      </c>
      <c r="B390" s="2" t="s">
        <v>8</v>
      </c>
      <c r="C390" s="2" t="s">
        <v>421</v>
      </c>
      <c r="D390" s="6">
        <v>1.6E7</v>
      </c>
      <c r="E390" s="3"/>
      <c r="F390" s="6" t="s">
        <v>3</v>
      </c>
      <c r="G390" s="3">
        <v>1.2331525840000033E7</v>
      </c>
      <c r="H390" s="3"/>
      <c r="I390" s="10" t="s">
        <v>4</v>
      </c>
    </row>
    <row r="391">
      <c r="A391" s="1">
        <v>46104.0</v>
      </c>
      <c r="B391" s="2" t="s">
        <v>8</v>
      </c>
      <c r="C391" s="2" t="s">
        <v>422</v>
      </c>
      <c r="D391" s="6">
        <v>1.0E7</v>
      </c>
      <c r="E391" s="3"/>
      <c r="F391" s="6" t="s">
        <v>3</v>
      </c>
      <c r="G391" s="3">
        <v>2331525.8400000334</v>
      </c>
      <c r="H391" s="6">
        <v>2331525.84</v>
      </c>
      <c r="I391" s="10" t="s">
        <v>13</v>
      </c>
    </row>
    <row r="392">
      <c r="A392" s="1">
        <v>46105.0</v>
      </c>
      <c r="B392" s="2" t="s">
        <v>14</v>
      </c>
      <c r="C392" s="2" t="s">
        <v>423</v>
      </c>
      <c r="D392" s="6"/>
      <c r="E392" s="6">
        <v>9.301851E7</v>
      </c>
      <c r="F392" s="6" t="s">
        <v>7</v>
      </c>
      <c r="G392" s="3">
        <v>9.535003584000003E7</v>
      </c>
      <c r="H392" s="3"/>
      <c r="I392" s="8" t="s">
        <v>25</v>
      </c>
    </row>
    <row r="393">
      <c r="A393" s="1">
        <v>46105.0</v>
      </c>
      <c r="B393" s="2" t="s">
        <v>8</v>
      </c>
      <c r="C393" s="2" t="s">
        <v>424</v>
      </c>
      <c r="D393" s="6">
        <v>4.48E7</v>
      </c>
      <c r="E393" s="3"/>
      <c r="F393" s="6" t="s">
        <v>3</v>
      </c>
      <c r="G393" s="3">
        <v>5.055003584000003E7</v>
      </c>
      <c r="H393" s="6">
        <v>5.055003584E7</v>
      </c>
      <c r="I393" s="8" t="s">
        <v>4</v>
      </c>
    </row>
    <row r="394">
      <c r="A394" s="1">
        <v>46105.0</v>
      </c>
      <c r="B394" s="2" t="s">
        <v>14</v>
      </c>
      <c r="C394" s="2" t="s">
        <v>425</v>
      </c>
      <c r="D394" s="6"/>
      <c r="E394" s="6">
        <v>4.689725E7</v>
      </c>
      <c r="F394" s="6" t="s">
        <v>7</v>
      </c>
      <c r="G394" s="3">
        <v>9.744728584000003E7</v>
      </c>
      <c r="H394" s="6">
        <v>9.744728584E7</v>
      </c>
      <c r="I394" s="8" t="s">
        <v>4</v>
      </c>
    </row>
    <row r="395">
      <c r="A395" s="1">
        <v>46105.0</v>
      </c>
      <c r="B395" s="2" t="s">
        <v>14</v>
      </c>
      <c r="C395" s="2" t="s">
        <v>426</v>
      </c>
      <c r="D395" s="6"/>
      <c r="E395" s="6">
        <v>2.29295725E8</v>
      </c>
      <c r="F395" s="6" t="s">
        <v>7</v>
      </c>
      <c r="G395" s="3">
        <v>3.2674301084000003E8</v>
      </c>
      <c r="H395" s="3"/>
      <c r="I395" s="8" t="s">
        <v>4</v>
      </c>
    </row>
    <row r="396">
      <c r="A396" s="1">
        <v>46105.0</v>
      </c>
      <c r="B396" s="2" t="s">
        <v>8</v>
      </c>
      <c r="C396" s="2" t="s">
        <v>427</v>
      </c>
      <c r="D396" s="6">
        <v>6.11312E7</v>
      </c>
      <c r="E396" s="3"/>
      <c r="F396" s="6" t="s">
        <v>3</v>
      </c>
      <c r="G396" s="3">
        <v>2.6561181084000003E8</v>
      </c>
      <c r="H396" s="3"/>
      <c r="I396" s="8" t="s">
        <v>4</v>
      </c>
    </row>
    <row r="397">
      <c r="A397" s="1">
        <v>46105.0</v>
      </c>
      <c r="B397" s="2" t="s">
        <v>8</v>
      </c>
      <c r="C397" s="2" t="s">
        <v>428</v>
      </c>
      <c r="D397" s="6">
        <v>9.43736E7</v>
      </c>
      <c r="E397" s="3"/>
      <c r="F397" s="6" t="s">
        <v>3</v>
      </c>
      <c r="G397" s="3">
        <v>1.7123821084000003E8</v>
      </c>
      <c r="H397" s="3"/>
      <c r="I397" s="8" t="s">
        <v>4</v>
      </c>
    </row>
    <row r="398">
      <c r="A398" s="1">
        <v>46105.0</v>
      </c>
      <c r="B398" s="2" t="s">
        <v>8</v>
      </c>
      <c r="C398" s="2" t="s">
        <v>429</v>
      </c>
      <c r="D398" s="6">
        <v>4.44059E7</v>
      </c>
      <c r="E398" s="3"/>
      <c r="F398" s="6" t="s">
        <v>3</v>
      </c>
      <c r="G398" s="3">
        <v>1.2683231084000003E8</v>
      </c>
      <c r="H398" s="3"/>
      <c r="I398" s="8" t="s">
        <v>4</v>
      </c>
    </row>
    <row r="399">
      <c r="A399" s="1">
        <v>46105.0</v>
      </c>
      <c r="B399" s="2" t="s">
        <v>8</v>
      </c>
      <c r="C399" s="2" t="s">
        <v>430</v>
      </c>
      <c r="D399" s="6">
        <v>5.6E7</v>
      </c>
      <c r="E399" s="3"/>
      <c r="F399" s="6" t="s">
        <v>3</v>
      </c>
      <c r="G399" s="3">
        <v>7.083231084000003E7</v>
      </c>
      <c r="H399" s="3"/>
      <c r="I399" s="8" t="s">
        <v>4</v>
      </c>
    </row>
    <row r="400">
      <c r="A400" s="1">
        <v>46105.0</v>
      </c>
      <c r="B400" s="2" t="s">
        <v>8</v>
      </c>
      <c r="C400" s="2" t="s">
        <v>431</v>
      </c>
      <c r="D400" s="6">
        <v>3.830705E7</v>
      </c>
      <c r="E400" s="3"/>
      <c r="F400" s="6" t="s">
        <v>3</v>
      </c>
      <c r="G400" s="3">
        <v>3.2525260840000033E7</v>
      </c>
      <c r="H400" s="3"/>
      <c r="I400" s="8" t="s">
        <v>4</v>
      </c>
    </row>
    <row r="401">
      <c r="A401" s="1">
        <v>46105.0</v>
      </c>
      <c r="B401" s="2" t="s">
        <v>8</v>
      </c>
      <c r="C401" s="2" t="s">
        <v>432</v>
      </c>
      <c r="D401" s="6">
        <v>1.0E7</v>
      </c>
      <c r="E401" s="3"/>
      <c r="F401" s="6" t="s">
        <v>3</v>
      </c>
      <c r="G401" s="3">
        <v>2.2525260840000033E7</v>
      </c>
      <c r="H401" s="3"/>
      <c r="I401" s="8" t="s">
        <v>4</v>
      </c>
    </row>
    <row r="402">
      <c r="A402" s="1">
        <v>46105.0</v>
      </c>
      <c r="B402" s="2" t="s">
        <v>95</v>
      </c>
      <c r="C402" s="2" t="s">
        <v>433</v>
      </c>
      <c r="D402" s="6">
        <v>717000.0</v>
      </c>
      <c r="E402" s="3"/>
      <c r="F402" s="6" t="s">
        <v>3</v>
      </c>
      <c r="G402" s="3">
        <v>2.1808260840000033E7</v>
      </c>
      <c r="H402" s="3"/>
      <c r="I402" s="10" t="s">
        <v>25</v>
      </c>
    </row>
    <row r="403">
      <c r="A403" s="1">
        <v>46105.0</v>
      </c>
      <c r="B403" s="2" t="s">
        <v>95</v>
      </c>
      <c r="C403" s="2" t="s">
        <v>434</v>
      </c>
      <c r="D403" s="6">
        <v>2500.0</v>
      </c>
      <c r="E403" s="3"/>
      <c r="F403" s="6" t="s">
        <v>3</v>
      </c>
      <c r="G403" s="3">
        <v>2.1805760840000033E7</v>
      </c>
      <c r="H403" s="3"/>
      <c r="I403" s="10" t="s">
        <v>25</v>
      </c>
    </row>
    <row r="404">
      <c r="A404" s="1">
        <v>46105.0</v>
      </c>
      <c r="B404" s="2" t="s">
        <v>14</v>
      </c>
      <c r="C404" s="2" t="s">
        <v>435</v>
      </c>
      <c r="D404" s="6"/>
      <c r="E404" s="6">
        <v>4.74E7</v>
      </c>
      <c r="F404" s="6" t="s">
        <v>7</v>
      </c>
      <c r="G404" s="3">
        <v>6.920576084000003E7</v>
      </c>
      <c r="H404" s="3"/>
      <c r="I404" s="8" t="s">
        <v>4</v>
      </c>
    </row>
    <row r="405">
      <c r="A405" s="1">
        <v>46105.0</v>
      </c>
      <c r="B405" s="2" t="s">
        <v>14</v>
      </c>
      <c r="C405" s="2" t="s">
        <v>436</v>
      </c>
      <c r="D405" s="6"/>
      <c r="E405" s="6">
        <v>4.62E7</v>
      </c>
      <c r="F405" s="6" t="s">
        <v>7</v>
      </c>
      <c r="G405" s="3">
        <v>1.1540576084000003E8</v>
      </c>
      <c r="H405" s="6">
        <v>1.1540576084E8</v>
      </c>
      <c r="I405" s="8" t="s">
        <v>4</v>
      </c>
    </row>
    <row r="406">
      <c r="A406" s="1">
        <v>46105.0</v>
      </c>
      <c r="B406" s="2" t="s">
        <v>14</v>
      </c>
      <c r="C406" s="2" t="s">
        <v>437</v>
      </c>
      <c r="D406" s="6"/>
      <c r="E406" s="6">
        <v>1.178346E8</v>
      </c>
      <c r="F406" s="6" t="s">
        <v>7</v>
      </c>
      <c r="G406" s="3">
        <v>2.3324036084000003E8</v>
      </c>
      <c r="H406" s="6">
        <v>2.3324036084E8</v>
      </c>
      <c r="I406" s="8" t="s">
        <v>4</v>
      </c>
    </row>
    <row r="407">
      <c r="A407" s="1">
        <v>46105.0</v>
      </c>
      <c r="B407" s="2" t="s">
        <v>14</v>
      </c>
      <c r="C407" s="2" t="s">
        <v>438</v>
      </c>
      <c r="D407" s="6"/>
      <c r="E407" s="6">
        <v>1.0E8</v>
      </c>
      <c r="F407" s="6" t="s">
        <v>7</v>
      </c>
      <c r="G407" s="3">
        <v>3.3324036084000003E8</v>
      </c>
      <c r="H407" s="3"/>
      <c r="I407" s="8" t="s">
        <v>4</v>
      </c>
    </row>
    <row r="408">
      <c r="A408" s="1">
        <v>46105.0</v>
      </c>
      <c r="B408" s="2" t="s">
        <v>8</v>
      </c>
      <c r="C408" s="2" t="s">
        <v>439</v>
      </c>
      <c r="D408" s="6">
        <v>2.4356508E8</v>
      </c>
      <c r="E408" s="3"/>
      <c r="F408" s="6" t="s">
        <v>3</v>
      </c>
      <c r="G408" s="3">
        <v>8.967528084000003E7</v>
      </c>
      <c r="H408" s="3"/>
      <c r="I408" s="8" t="s">
        <v>4</v>
      </c>
    </row>
    <row r="409">
      <c r="A409" s="1">
        <v>46105.0</v>
      </c>
      <c r="B409" s="2" t="s">
        <v>8</v>
      </c>
      <c r="C409" s="2" t="s">
        <v>440</v>
      </c>
      <c r="D409" s="6">
        <v>8.9E7</v>
      </c>
      <c r="E409" s="3"/>
      <c r="F409" s="6" t="s">
        <v>3</v>
      </c>
      <c r="G409" s="3">
        <v>675280.8400000334</v>
      </c>
      <c r="H409" s="3"/>
      <c r="I409" s="8" t="s">
        <v>4</v>
      </c>
    </row>
    <row r="410">
      <c r="A410" s="1">
        <v>46105.0</v>
      </c>
      <c r="B410" s="2" t="s">
        <v>14</v>
      </c>
      <c r="C410" s="2" t="s">
        <v>441</v>
      </c>
      <c r="D410" s="6"/>
      <c r="E410" s="6">
        <v>1.5E7</v>
      </c>
      <c r="F410" s="6" t="s">
        <v>7</v>
      </c>
      <c r="G410" s="3">
        <v>1.5675280840000033E7</v>
      </c>
      <c r="H410" s="3"/>
      <c r="I410" s="8" t="s">
        <v>4</v>
      </c>
    </row>
    <row r="411">
      <c r="A411" s="1">
        <v>46105.0</v>
      </c>
      <c r="B411" s="2" t="s">
        <v>8</v>
      </c>
      <c r="C411" s="2" t="s">
        <v>442</v>
      </c>
      <c r="D411" s="6">
        <v>1.485E7</v>
      </c>
      <c r="E411" s="3"/>
      <c r="F411" s="6" t="s">
        <v>3</v>
      </c>
      <c r="G411" s="3">
        <v>825280.8400000334</v>
      </c>
      <c r="H411" s="6">
        <v>825280.84</v>
      </c>
      <c r="I411" s="8" t="s">
        <v>4</v>
      </c>
    </row>
    <row r="412">
      <c r="A412" s="1">
        <v>46106.0</v>
      </c>
      <c r="B412" s="2" t="s">
        <v>14</v>
      </c>
      <c r="C412" s="2" t="s">
        <v>443</v>
      </c>
      <c r="D412" s="6"/>
      <c r="E412" s="6">
        <v>1.941142E8</v>
      </c>
      <c r="F412" s="6" t="s">
        <v>7</v>
      </c>
      <c r="G412" s="3">
        <v>1.9493948084000003E8</v>
      </c>
      <c r="H412" s="3"/>
      <c r="I412" s="8" t="s">
        <v>4</v>
      </c>
    </row>
    <row r="413">
      <c r="A413" s="1">
        <v>46106.0</v>
      </c>
      <c r="B413" s="2" t="s">
        <v>14</v>
      </c>
      <c r="C413" s="2" t="s">
        <v>444</v>
      </c>
      <c r="D413" s="6"/>
      <c r="E413" s="6">
        <v>1.3598112E8</v>
      </c>
      <c r="F413" s="6" t="s">
        <v>7</v>
      </c>
      <c r="G413" s="3">
        <v>3.3092060084000003E8</v>
      </c>
      <c r="H413" s="3"/>
      <c r="I413" s="8" t="s">
        <v>4</v>
      </c>
    </row>
    <row r="414">
      <c r="A414" s="1">
        <v>46106.0</v>
      </c>
      <c r="B414" s="2" t="s">
        <v>14</v>
      </c>
      <c r="C414" s="2" t="s">
        <v>445</v>
      </c>
      <c r="D414" s="6"/>
      <c r="E414" s="6">
        <v>9.851557E7</v>
      </c>
      <c r="F414" s="6" t="s">
        <v>7</v>
      </c>
      <c r="G414" s="3">
        <v>4.2943617084000003E8</v>
      </c>
      <c r="H414" s="3"/>
      <c r="I414" s="8" t="s">
        <v>4</v>
      </c>
    </row>
    <row r="415">
      <c r="A415" s="1">
        <v>46106.0</v>
      </c>
      <c r="B415" s="2" t="s">
        <v>8</v>
      </c>
      <c r="C415" s="2" t="s">
        <v>446</v>
      </c>
      <c r="D415" s="6">
        <v>3.000483E7</v>
      </c>
      <c r="E415" s="3"/>
      <c r="F415" s="6" t="s">
        <v>3</v>
      </c>
      <c r="G415" s="3">
        <v>3.9943134084000003E8</v>
      </c>
      <c r="H415" s="3"/>
      <c r="I415" s="8" t="s">
        <v>4</v>
      </c>
    </row>
    <row r="416">
      <c r="A416" s="1">
        <v>46106.0</v>
      </c>
      <c r="B416" s="2" t="s">
        <v>8</v>
      </c>
      <c r="C416" s="2" t="s">
        <v>447</v>
      </c>
      <c r="D416" s="6">
        <v>4.62E7</v>
      </c>
      <c r="E416" s="3"/>
      <c r="F416" s="6" t="s">
        <v>3</v>
      </c>
      <c r="G416" s="3">
        <v>3.5323134084000003E8</v>
      </c>
      <c r="H416" s="3"/>
      <c r="I416" s="8" t="s">
        <v>4</v>
      </c>
    </row>
    <row r="417">
      <c r="A417" s="1">
        <v>46106.0</v>
      </c>
      <c r="B417" s="2" t="s">
        <v>8</v>
      </c>
      <c r="C417" s="2" t="s">
        <v>448</v>
      </c>
      <c r="D417" s="6">
        <v>5.425E7</v>
      </c>
      <c r="E417" s="3"/>
      <c r="F417" s="6" t="s">
        <v>3</v>
      </c>
      <c r="G417" s="3">
        <v>2.9898134084000003E8</v>
      </c>
      <c r="H417" s="6">
        <v>2.9898134084E8</v>
      </c>
      <c r="I417" s="8" t="s">
        <v>4</v>
      </c>
    </row>
    <row r="418">
      <c r="A418" s="1">
        <v>46106.0</v>
      </c>
      <c r="B418" s="2" t="s">
        <v>8</v>
      </c>
      <c r="C418" s="2" t="s">
        <v>449</v>
      </c>
      <c r="D418" s="6">
        <v>9.08362E7</v>
      </c>
      <c r="E418" s="3"/>
      <c r="F418" s="6" t="s">
        <v>3</v>
      </c>
      <c r="G418" s="3">
        <v>2.0814514084000003E8</v>
      </c>
      <c r="H418" s="6">
        <v>2.0814514084E8</v>
      </c>
      <c r="I418" s="8" t="s">
        <v>4</v>
      </c>
    </row>
    <row r="419">
      <c r="A419" s="1">
        <v>46106.0</v>
      </c>
      <c r="B419" s="2" t="s">
        <v>8</v>
      </c>
      <c r="C419" s="2" t="s">
        <v>450</v>
      </c>
      <c r="D419" s="6">
        <v>9.4748E7</v>
      </c>
      <c r="E419" s="3"/>
      <c r="F419" s="6" t="s">
        <v>3</v>
      </c>
      <c r="G419" s="3">
        <v>1.1339714084000003E8</v>
      </c>
      <c r="H419" s="3"/>
      <c r="I419" s="8" t="s">
        <v>4</v>
      </c>
    </row>
    <row r="420">
      <c r="A420" s="1">
        <v>46106.0</v>
      </c>
      <c r="B420" s="2" t="s">
        <v>8</v>
      </c>
      <c r="C420" s="2" t="s">
        <v>451</v>
      </c>
      <c r="D420" s="6">
        <v>5.98264E7</v>
      </c>
      <c r="E420" s="3"/>
      <c r="F420" s="6" t="s">
        <v>3</v>
      </c>
      <c r="G420" s="3">
        <v>5.357074084000003E7</v>
      </c>
      <c r="H420" s="3"/>
      <c r="I420" s="8" t="s">
        <v>4</v>
      </c>
    </row>
    <row r="421">
      <c r="A421" s="1">
        <v>46106.0</v>
      </c>
      <c r="B421" s="2" t="s">
        <v>452</v>
      </c>
      <c r="C421" s="2" t="s">
        <v>452</v>
      </c>
      <c r="D421" s="6">
        <v>200000.0</v>
      </c>
      <c r="E421" s="3"/>
      <c r="F421" s="3"/>
      <c r="G421" s="3">
        <v>5.337074084000003E7</v>
      </c>
      <c r="H421" s="3"/>
      <c r="I421" s="10" t="s">
        <v>25</v>
      </c>
    </row>
    <row r="422">
      <c r="A422" s="1">
        <v>46106.0</v>
      </c>
      <c r="B422" s="2" t="s">
        <v>14</v>
      </c>
      <c r="C422" s="2" t="s">
        <v>453</v>
      </c>
      <c r="D422" s="6"/>
      <c r="E422" s="6">
        <v>5.928E7</v>
      </c>
      <c r="F422" s="6" t="s">
        <v>7</v>
      </c>
      <c r="G422" s="3">
        <v>1.1265074084000003E8</v>
      </c>
      <c r="H422" s="3"/>
      <c r="I422" s="8" t="s">
        <v>4</v>
      </c>
    </row>
    <row r="423">
      <c r="A423" s="1">
        <v>46106.0</v>
      </c>
      <c r="B423" s="2" t="s">
        <v>14</v>
      </c>
      <c r="C423" s="2" t="s">
        <v>454</v>
      </c>
      <c r="D423" s="6"/>
      <c r="E423" s="6">
        <v>1.0E8</v>
      </c>
      <c r="F423" s="6" t="s">
        <v>7</v>
      </c>
      <c r="G423" s="3">
        <v>2.1265074084000003E8</v>
      </c>
      <c r="H423" s="3"/>
      <c r="I423" s="8" t="s">
        <v>4</v>
      </c>
    </row>
    <row r="424">
      <c r="A424" s="1">
        <v>46106.0</v>
      </c>
      <c r="B424" s="2" t="s">
        <v>8</v>
      </c>
      <c r="C424" s="2" t="s">
        <v>455</v>
      </c>
      <c r="D424" s="6">
        <v>9.359928E7</v>
      </c>
      <c r="E424" s="3"/>
      <c r="F424" s="6" t="s">
        <v>3</v>
      </c>
      <c r="G424" s="3">
        <v>1.1905146084000003E8</v>
      </c>
      <c r="H424" s="3"/>
      <c r="I424" s="8" t="s">
        <v>4</v>
      </c>
    </row>
    <row r="425">
      <c r="A425" s="1">
        <v>46106.0</v>
      </c>
      <c r="B425" s="2" t="s">
        <v>8</v>
      </c>
      <c r="C425" s="2" t="s">
        <v>456</v>
      </c>
      <c r="D425" s="6">
        <v>1223520.0</v>
      </c>
      <c r="E425" s="3"/>
      <c r="F425" s="6" t="s">
        <v>3</v>
      </c>
      <c r="G425" s="3">
        <v>1.1782794084000003E8</v>
      </c>
      <c r="H425" s="3"/>
      <c r="I425" s="8" t="s">
        <v>4</v>
      </c>
    </row>
    <row r="426">
      <c r="A426" s="1">
        <v>46106.0</v>
      </c>
      <c r="B426" s="2" t="s">
        <v>14</v>
      </c>
      <c r="C426" s="2" t="s">
        <v>457</v>
      </c>
      <c r="D426" s="6"/>
      <c r="E426" s="6">
        <v>9.31449E7</v>
      </c>
      <c r="F426" s="6" t="s">
        <v>7</v>
      </c>
      <c r="G426" s="3">
        <v>2.1097284084000003E8</v>
      </c>
      <c r="H426" s="3"/>
      <c r="I426" s="8" t="s">
        <v>25</v>
      </c>
    </row>
    <row r="427">
      <c r="A427" s="1">
        <v>46106.0</v>
      </c>
      <c r="B427" s="2" t="s">
        <v>8</v>
      </c>
      <c r="C427" s="2" t="s">
        <v>458</v>
      </c>
      <c r="D427" s="6">
        <v>1.3016925E8</v>
      </c>
      <c r="E427" s="3"/>
      <c r="F427" s="6" t="s">
        <v>3</v>
      </c>
      <c r="G427" s="3">
        <v>8.080359084000003E7</v>
      </c>
      <c r="H427" s="6">
        <v>8.080359084E7</v>
      </c>
      <c r="I427" s="8" t="s">
        <v>4</v>
      </c>
    </row>
    <row r="428">
      <c r="A428" s="1">
        <v>46107.0</v>
      </c>
      <c r="B428" s="2" t="s">
        <v>8</v>
      </c>
      <c r="C428" s="2" t="s">
        <v>459</v>
      </c>
      <c r="D428" s="6">
        <v>4.34E7</v>
      </c>
      <c r="E428" s="3"/>
      <c r="F428" s="6" t="s">
        <v>3</v>
      </c>
      <c r="G428" s="3">
        <v>3.740359084000003E7</v>
      </c>
      <c r="H428" s="3"/>
      <c r="I428" s="8" t="s">
        <v>4</v>
      </c>
    </row>
    <row r="429">
      <c r="A429" s="1">
        <v>46107.0</v>
      </c>
      <c r="B429" s="2" t="s">
        <v>68</v>
      </c>
      <c r="C429" s="2" t="s">
        <v>460</v>
      </c>
      <c r="D429" s="6">
        <v>102000.0</v>
      </c>
      <c r="E429" s="3"/>
      <c r="F429" s="3"/>
      <c r="G429" s="3">
        <v>3.730159084000003E7</v>
      </c>
      <c r="H429" s="3"/>
      <c r="I429" s="10" t="s">
        <v>25</v>
      </c>
    </row>
    <row r="430">
      <c r="A430" s="1">
        <v>46107.0</v>
      </c>
      <c r="B430" s="2" t="s">
        <v>14</v>
      </c>
      <c r="C430" s="2" t="s">
        <v>461</v>
      </c>
      <c r="D430" s="6"/>
      <c r="E430" s="6">
        <v>868000.0</v>
      </c>
      <c r="F430" s="6" t="s">
        <v>7</v>
      </c>
      <c r="G430" s="3">
        <v>3.816959084000003E7</v>
      </c>
      <c r="H430" s="3"/>
      <c r="I430" s="8" t="s">
        <v>4</v>
      </c>
    </row>
    <row r="431">
      <c r="A431" s="1">
        <v>46107.0</v>
      </c>
      <c r="B431" s="2" t="s">
        <v>14</v>
      </c>
      <c r="C431" s="2" t="s">
        <v>462</v>
      </c>
      <c r="D431" s="6"/>
      <c r="E431" s="6">
        <v>5.402E7</v>
      </c>
      <c r="F431" s="6" t="s">
        <v>7</v>
      </c>
      <c r="G431" s="3">
        <v>9.218959084000003E7</v>
      </c>
      <c r="H431" s="6">
        <v>9.218959084E7</v>
      </c>
      <c r="I431" s="8" t="s">
        <v>4</v>
      </c>
    </row>
    <row r="432">
      <c r="A432" s="1">
        <v>46107.0</v>
      </c>
      <c r="B432" s="2" t="s">
        <v>14</v>
      </c>
      <c r="C432" s="12" t="s">
        <v>462</v>
      </c>
      <c r="D432" s="6"/>
      <c r="E432" s="6">
        <v>5.402E7</v>
      </c>
      <c r="F432" s="6" t="s">
        <v>7</v>
      </c>
      <c r="G432" s="3">
        <v>1.4620959084000003E8</v>
      </c>
      <c r="H432" s="6">
        <v>1.4620959084E8</v>
      </c>
      <c r="I432" s="8" t="s">
        <v>4</v>
      </c>
    </row>
    <row r="433">
      <c r="A433" s="1">
        <v>46107.0</v>
      </c>
      <c r="B433" s="2" t="s">
        <v>14</v>
      </c>
      <c r="C433" s="2" t="s">
        <v>463</v>
      </c>
      <c r="D433" s="6"/>
      <c r="E433" s="6">
        <v>4.0E7</v>
      </c>
      <c r="F433" s="6" t="s">
        <v>7</v>
      </c>
      <c r="G433" s="3">
        <v>1.8620959084000003E8</v>
      </c>
      <c r="H433" s="3"/>
      <c r="I433" s="8" t="s">
        <v>4</v>
      </c>
    </row>
    <row r="434">
      <c r="A434" s="1">
        <v>46107.0</v>
      </c>
      <c r="B434" s="2" t="s">
        <v>464</v>
      </c>
      <c r="C434" s="2" t="s">
        <v>465</v>
      </c>
      <c r="D434" s="6"/>
      <c r="E434" s="6">
        <v>1.738E7</v>
      </c>
      <c r="F434" s="6" t="s">
        <v>7</v>
      </c>
      <c r="G434" s="3">
        <v>2.0358959084000003E8</v>
      </c>
      <c r="H434" s="3"/>
      <c r="I434" s="8" t="s">
        <v>4</v>
      </c>
    </row>
    <row r="435">
      <c r="A435" s="1">
        <v>46107.0</v>
      </c>
      <c r="B435" s="2" t="s">
        <v>8</v>
      </c>
      <c r="C435" s="2" t="s">
        <v>466</v>
      </c>
      <c r="D435" s="6">
        <v>1.0804E8</v>
      </c>
      <c r="E435" s="3"/>
      <c r="F435" s="6" t="s">
        <v>3</v>
      </c>
      <c r="G435" s="3">
        <v>9.554959084000003E7</v>
      </c>
      <c r="H435" s="3"/>
      <c r="I435" s="8" t="s">
        <v>4</v>
      </c>
    </row>
    <row r="436">
      <c r="A436" s="1">
        <v>46107.0</v>
      </c>
      <c r="B436" s="2" t="s">
        <v>8</v>
      </c>
      <c r="C436" s="2" t="s">
        <v>467</v>
      </c>
      <c r="D436" s="6">
        <v>7.57E7</v>
      </c>
      <c r="E436" s="3"/>
      <c r="F436" s="6" t="s">
        <v>3</v>
      </c>
      <c r="G436" s="3">
        <v>1.9849590840000033E7</v>
      </c>
      <c r="H436" s="3"/>
      <c r="I436" s="8" t="s">
        <v>4</v>
      </c>
    </row>
    <row r="437">
      <c r="A437" s="1">
        <v>46107.0</v>
      </c>
      <c r="B437" s="2" t="s">
        <v>14</v>
      </c>
      <c r="C437" s="2" t="s">
        <v>468</v>
      </c>
      <c r="D437" s="6"/>
      <c r="E437" s="6">
        <v>6.97154E7</v>
      </c>
      <c r="F437" s="6" t="s">
        <v>7</v>
      </c>
      <c r="G437" s="3">
        <v>8.956499084000003E7</v>
      </c>
      <c r="H437" s="3"/>
      <c r="I437" s="8" t="s">
        <v>4</v>
      </c>
    </row>
    <row r="438">
      <c r="A438" s="1">
        <v>46107.0</v>
      </c>
      <c r="B438" s="2" t="s">
        <v>14</v>
      </c>
      <c r="C438" s="2" t="s">
        <v>469</v>
      </c>
      <c r="D438" s="6"/>
      <c r="E438" s="6">
        <v>1.60056E7</v>
      </c>
      <c r="F438" s="6" t="s">
        <v>7</v>
      </c>
      <c r="G438" s="3">
        <v>1.0557059084000003E8</v>
      </c>
      <c r="H438" s="3"/>
      <c r="I438" s="8" t="s">
        <v>4</v>
      </c>
    </row>
    <row r="439">
      <c r="A439" s="1">
        <v>46107.0</v>
      </c>
      <c r="B439" s="2" t="s">
        <v>8</v>
      </c>
      <c r="C439" s="2" t="s">
        <v>470</v>
      </c>
      <c r="D439" s="6">
        <v>9.5E7</v>
      </c>
      <c r="E439" s="3"/>
      <c r="F439" s="6" t="s">
        <v>3</v>
      </c>
      <c r="G439" s="3">
        <v>1.0570590840000033E7</v>
      </c>
      <c r="H439" s="3"/>
      <c r="I439" s="8" t="s">
        <v>4</v>
      </c>
    </row>
    <row r="440">
      <c r="A440" s="1">
        <v>46107.0</v>
      </c>
      <c r="B440" s="2" t="s">
        <v>8</v>
      </c>
      <c r="C440" s="2" t="s">
        <v>471</v>
      </c>
      <c r="D440" s="6">
        <v>5148090.0</v>
      </c>
      <c r="E440" s="3"/>
      <c r="F440" s="6" t="s">
        <v>3</v>
      </c>
      <c r="G440" s="3">
        <v>5422500.840000033</v>
      </c>
      <c r="H440" s="3"/>
      <c r="I440" s="8" t="s">
        <v>4</v>
      </c>
    </row>
    <row r="441">
      <c r="A441" s="1">
        <v>46107.0</v>
      </c>
      <c r="B441" s="2" t="s">
        <v>8</v>
      </c>
      <c r="C441" s="2" t="s">
        <v>472</v>
      </c>
      <c r="D441" s="6">
        <v>2000000.0</v>
      </c>
      <c r="E441" s="3"/>
      <c r="F441" s="6" t="s">
        <v>3</v>
      </c>
      <c r="G441" s="3">
        <v>3422500.8400000334</v>
      </c>
      <c r="H441" s="6">
        <v>3422500.84</v>
      </c>
      <c r="I441" s="10" t="s">
        <v>13</v>
      </c>
    </row>
    <row r="442">
      <c r="A442" s="1">
        <v>46108.0</v>
      </c>
      <c r="B442" s="2" t="s">
        <v>14</v>
      </c>
      <c r="C442" s="2" t="s">
        <v>473</v>
      </c>
      <c r="D442" s="6"/>
      <c r="E442" s="6">
        <v>4.51288E7</v>
      </c>
      <c r="F442" s="6" t="s">
        <v>7</v>
      </c>
      <c r="G442" s="3">
        <v>4.855130084000003E7</v>
      </c>
      <c r="H442" s="3"/>
      <c r="I442" s="8" t="s">
        <v>4</v>
      </c>
    </row>
    <row r="443">
      <c r="A443" s="1">
        <v>46108.0</v>
      </c>
      <c r="B443" s="2" t="s">
        <v>14</v>
      </c>
      <c r="C443" s="2" t="s">
        <v>474</v>
      </c>
      <c r="D443" s="6"/>
      <c r="E443" s="6">
        <v>2.01308325E8</v>
      </c>
      <c r="F443" s="6" t="s">
        <v>7</v>
      </c>
      <c r="G443" s="3">
        <v>2.4985962584000003E8</v>
      </c>
      <c r="H443" s="3"/>
      <c r="I443" s="8" t="s">
        <v>4</v>
      </c>
    </row>
    <row r="444">
      <c r="A444" s="1">
        <v>46108.0</v>
      </c>
      <c r="B444" s="2" t="s">
        <v>8</v>
      </c>
      <c r="C444" s="2" t="s">
        <v>475</v>
      </c>
      <c r="D444" s="6">
        <v>8.997758E7</v>
      </c>
      <c r="E444" s="3"/>
      <c r="F444" s="6" t="s">
        <v>3</v>
      </c>
      <c r="G444" s="3">
        <v>1.5988204584000003E8</v>
      </c>
      <c r="H444" s="6">
        <v>1.5988204584E8</v>
      </c>
      <c r="I444" s="8" t="s">
        <v>4</v>
      </c>
    </row>
    <row r="445">
      <c r="A445" s="1">
        <v>46108.0</v>
      </c>
      <c r="B445" s="2" t="s">
        <v>8</v>
      </c>
      <c r="C445" s="2" t="s">
        <v>476</v>
      </c>
      <c r="D445" s="6">
        <v>1.0178945E8</v>
      </c>
      <c r="E445" s="3"/>
      <c r="F445" s="6" t="s">
        <v>3</v>
      </c>
      <c r="G445" s="3">
        <v>5.809259584000003E7</v>
      </c>
      <c r="H445" s="6">
        <v>5.809259584E7</v>
      </c>
      <c r="I445" s="8" t="s">
        <v>4</v>
      </c>
    </row>
    <row r="446">
      <c r="A446" s="1">
        <v>46108.0</v>
      </c>
      <c r="B446" s="2" t="s">
        <v>8</v>
      </c>
      <c r="C446" s="2" t="s">
        <v>477</v>
      </c>
      <c r="D446" s="6">
        <v>5.70774E7</v>
      </c>
      <c r="E446" s="3"/>
      <c r="F446" s="6" t="s">
        <v>3</v>
      </c>
      <c r="G446" s="3">
        <v>1015195.8400000334</v>
      </c>
      <c r="H446" s="3"/>
      <c r="I446" s="8" t="s">
        <v>4</v>
      </c>
    </row>
    <row r="447">
      <c r="A447" s="1">
        <v>46108.0</v>
      </c>
      <c r="B447" s="2" t="s">
        <v>14</v>
      </c>
      <c r="C447" s="2" t="s">
        <v>478</v>
      </c>
      <c r="D447" s="6"/>
      <c r="E447" s="6">
        <v>4.68E7</v>
      </c>
      <c r="F447" s="6" t="s">
        <v>7</v>
      </c>
      <c r="G447" s="3">
        <v>4.781519584000003E7</v>
      </c>
      <c r="H447" s="3"/>
      <c r="I447" s="8" t="s">
        <v>4</v>
      </c>
    </row>
    <row r="448">
      <c r="A448" s="1">
        <v>46108.0</v>
      </c>
      <c r="B448" s="2" t="s">
        <v>14</v>
      </c>
      <c r="C448" s="2" t="s">
        <v>479</v>
      </c>
      <c r="D448" s="6"/>
      <c r="E448" s="6">
        <v>4.68E7</v>
      </c>
      <c r="F448" s="6" t="s">
        <v>7</v>
      </c>
      <c r="G448" s="3">
        <v>9.461519584000003E7</v>
      </c>
      <c r="H448" s="3"/>
      <c r="I448" s="8" t="s">
        <v>4</v>
      </c>
    </row>
    <row r="449">
      <c r="A449" s="1">
        <v>46108.0</v>
      </c>
      <c r="B449" s="2" t="s">
        <v>8</v>
      </c>
      <c r="C449" s="2" t="s">
        <v>480</v>
      </c>
      <c r="D449" s="6">
        <v>5000000.0</v>
      </c>
      <c r="E449" s="3"/>
      <c r="F449" s="6" t="s">
        <v>3</v>
      </c>
      <c r="G449" s="3">
        <v>8.961519584000003E7</v>
      </c>
      <c r="H449" s="3"/>
      <c r="I449" s="8" t="s">
        <v>4</v>
      </c>
    </row>
    <row r="450">
      <c r="A450" s="1">
        <v>46108.0</v>
      </c>
      <c r="B450" s="2" t="s">
        <v>8</v>
      </c>
      <c r="C450" s="2" t="s">
        <v>481</v>
      </c>
      <c r="D450" s="6">
        <v>3.696E7</v>
      </c>
      <c r="E450" s="3"/>
      <c r="F450" s="6" t="s">
        <v>3</v>
      </c>
      <c r="G450" s="3">
        <v>5.265519584000003E7</v>
      </c>
      <c r="H450" s="3"/>
      <c r="I450" s="8" t="s">
        <v>4</v>
      </c>
    </row>
    <row r="451">
      <c r="A451" s="1">
        <v>46108.0</v>
      </c>
      <c r="B451" s="2" t="s">
        <v>8</v>
      </c>
      <c r="C451" s="2" t="s">
        <v>482</v>
      </c>
      <c r="D451" s="6">
        <v>3.314475E7</v>
      </c>
      <c r="E451" s="3"/>
      <c r="F451" s="6" t="s">
        <v>3</v>
      </c>
      <c r="G451" s="3">
        <v>1.9510445840000033E7</v>
      </c>
      <c r="H451" s="3"/>
      <c r="I451" s="8" t="s">
        <v>4</v>
      </c>
    </row>
    <row r="452">
      <c r="A452" s="1">
        <v>46108.0</v>
      </c>
      <c r="B452" s="2" t="s">
        <v>8</v>
      </c>
      <c r="C452" s="2" t="s">
        <v>483</v>
      </c>
      <c r="D452" s="6">
        <v>1.5795E7</v>
      </c>
      <c r="E452" s="3"/>
      <c r="F452" s="6" t="s">
        <v>3</v>
      </c>
      <c r="G452" s="3">
        <v>3715445.8400000334</v>
      </c>
      <c r="H452" s="3"/>
      <c r="I452" s="8" t="s">
        <v>4</v>
      </c>
    </row>
    <row r="453">
      <c r="A453" s="1">
        <v>46108.0</v>
      </c>
      <c r="B453" s="2" t="s">
        <v>14</v>
      </c>
      <c r="C453" s="2" t="s">
        <v>484</v>
      </c>
      <c r="D453" s="6"/>
      <c r="E453" s="6">
        <v>1.0659392E8</v>
      </c>
      <c r="F453" s="6" t="s">
        <v>7</v>
      </c>
      <c r="G453" s="3">
        <v>1.1030936584000003E8</v>
      </c>
      <c r="H453" s="3"/>
      <c r="I453" s="8" t="s">
        <v>4</v>
      </c>
    </row>
    <row r="454">
      <c r="A454" s="1">
        <v>46108.0</v>
      </c>
      <c r="B454" s="2" t="s">
        <v>8</v>
      </c>
      <c r="C454" s="2" t="s">
        <v>485</v>
      </c>
      <c r="D454" s="6">
        <v>1.05E8</v>
      </c>
      <c r="E454" s="3"/>
      <c r="F454" s="6" t="s">
        <v>3</v>
      </c>
      <c r="G454" s="3">
        <v>5309365.840000033</v>
      </c>
      <c r="H454" s="3"/>
      <c r="I454" s="8" t="s">
        <v>4</v>
      </c>
    </row>
    <row r="455">
      <c r="A455" s="1">
        <v>46108.0</v>
      </c>
      <c r="B455" s="2" t="s">
        <v>8</v>
      </c>
      <c r="C455" s="2" t="s">
        <v>486</v>
      </c>
      <c r="D455" s="6">
        <v>5170900.0</v>
      </c>
      <c r="E455" s="3"/>
      <c r="F455" s="6" t="s">
        <v>3</v>
      </c>
      <c r="G455" s="3">
        <v>138465.84000003338</v>
      </c>
      <c r="H455" s="3"/>
      <c r="I455" s="10" t="s">
        <v>13</v>
      </c>
    </row>
    <row r="456">
      <c r="A456" s="1">
        <v>46108.0</v>
      </c>
      <c r="B456" s="2" t="s">
        <v>14</v>
      </c>
      <c r="C456" s="2" t="s">
        <v>487</v>
      </c>
      <c r="D456" s="6"/>
      <c r="E456" s="6">
        <v>4.89E7</v>
      </c>
      <c r="F456" s="6" t="s">
        <v>7</v>
      </c>
      <c r="G456" s="3">
        <v>4.903846584000003E7</v>
      </c>
      <c r="H456" s="6">
        <v>4.903846584E7</v>
      </c>
      <c r="I456" s="8" t="s">
        <v>4</v>
      </c>
    </row>
    <row r="457">
      <c r="A457" s="1">
        <v>46108.0</v>
      </c>
      <c r="B457" s="2" t="s">
        <v>14</v>
      </c>
      <c r="C457" s="2" t="s">
        <v>488</v>
      </c>
      <c r="D457" s="6"/>
      <c r="E457" s="6">
        <v>1.0E8</v>
      </c>
      <c r="F457" s="6" t="s">
        <v>7</v>
      </c>
      <c r="G457" s="3">
        <v>1.4903846584000003E8</v>
      </c>
      <c r="H457" s="6">
        <v>1.4903846584E8</v>
      </c>
      <c r="I457" s="8" t="s">
        <v>4</v>
      </c>
    </row>
    <row r="458">
      <c r="A458" s="1">
        <v>46108.0</v>
      </c>
      <c r="B458" s="2" t="s">
        <v>8</v>
      </c>
      <c r="C458" s="2" t="s">
        <v>489</v>
      </c>
      <c r="D458" s="6">
        <v>1.3481676E8</v>
      </c>
      <c r="E458" s="3"/>
      <c r="F458" s="6" t="s">
        <v>3</v>
      </c>
      <c r="G458" s="3">
        <v>1.4221705840000033E7</v>
      </c>
      <c r="H458" s="3"/>
      <c r="I458" s="8" t="s">
        <v>4</v>
      </c>
    </row>
    <row r="459">
      <c r="A459" s="1">
        <v>46108.0</v>
      </c>
      <c r="B459" s="2" t="s">
        <v>8</v>
      </c>
      <c r="C459" s="2" t="s">
        <v>490</v>
      </c>
      <c r="D459" s="6">
        <v>8008050.0</v>
      </c>
      <c r="E459" s="3"/>
      <c r="F459" s="6" t="s">
        <v>3</v>
      </c>
      <c r="G459" s="3">
        <v>6213655.840000033</v>
      </c>
      <c r="H459" s="3"/>
      <c r="I459" s="10" t="s">
        <v>13</v>
      </c>
    </row>
    <row r="460">
      <c r="A460" s="1">
        <v>46108.0</v>
      </c>
      <c r="B460" s="2" t="s">
        <v>8</v>
      </c>
      <c r="C460" s="2" t="s">
        <v>491</v>
      </c>
      <c r="D460" s="6">
        <v>6000000.0</v>
      </c>
      <c r="E460" s="3"/>
      <c r="F460" s="6" t="s">
        <v>3</v>
      </c>
      <c r="G460" s="3">
        <v>213655.84000003338</v>
      </c>
      <c r="H460" s="3"/>
      <c r="I460" s="10" t="s">
        <v>13</v>
      </c>
    </row>
    <row r="461">
      <c r="A461" s="1">
        <v>46108.0</v>
      </c>
      <c r="B461" s="2" t="s">
        <v>14</v>
      </c>
      <c r="C461" s="2" t="s">
        <v>492</v>
      </c>
      <c r="D461" s="6"/>
      <c r="E461" s="6">
        <v>5.411505E7</v>
      </c>
      <c r="F461" s="6" t="s">
        <v>7</v>
      </c>
      <c r="G461" s="3">
        <v>5.432870584000003E7</v>
      </c>
      <c r="H461" s="3"/>
      <c r="I461" s="8" t="s">
        <v>4</v>
      </c>
    </row>
    <row r="462">
      <c r="A462" s="1">
        <v>46108.0</v>
      </c>
      <c r="B462" s="2" t="s">
        <v>14</v>
      </c>
      <c r="C462" s="2" t="s">
        <v>493</v>
      </c>
      <c r="D462" s="6"/>
      <c r="E462" s="6">
        <v>3000000.0</v>
      </c>
      <c r="F462" s="6" t="s">
        <v>7</v>
      </c>
      <c r="G462" s="3">
        <v>5.732870584000003E7</v>
      </c>
      <c r="H462" s="3"/>
      <c r="I462" s="8" t="s">
        <v>4</v>
      </c>
    </row>
    <row r="463">
      <c r="A463" s="1">
        <v>46108.0</v>
      </c>
      <c r="B463" s="2" t="s">
        <v>14</v>
      </c>
      <c r="C463" s="2" t="s">
        <v>494</v>
      </c>
      <c r="D463" s="6"/>
      <c r="E463" s="6">
        <v>4.774E7</v>
      </c>
      <c r="F463" s="6" t="s">
        <v>7</v>
      </c>
      <c r="G463" s="3">
        <v>1.0506870584000003E8</v>
      </c>
      <c r="H463" s="3"/>
      <c r="I463" s="8" t="s">
        <v>4</v>
      </c>
    </row>
    <row r="464">
      <c r="A464" s="1">
        <v>46108.0</v>
      </c>
      <c r="B464" s="2" t="s">
        <v>8</v>
      </c>
      <c r="C464" s="2" t="s">
        <v>495</v>
      </c>
      <c r="D464" s="6">
        <v>6.06375E7</v>
      </c>
      <c r="E464" s="3"/>
      <c r="F464" s="6" t="s">
        <v>3</v>
      </c>
      <c r="G464" s="3">
        <v>4.443120584000003E7</v>
      </c>
      <c r="H464" s="3"/>
      <c r="I464" s="8" t="s">
        <v>4</v>
      </c>
    </row>
    <row r="465">
      <c r="A465" s="1">
        <v>46108.0</v>
      </c>
      <c r="B465" s="2" t="s">
        <v>8</v>
      </c>
      <c r="C465" s="2" t="s">
        <v>496</v>
      </c>
      <c r="D465" s="6">
        <v>4.37069E7</v>
      </c>
      <c r="E465" s="3"/>
      <c r="F465" s="6" t="s">
        <v>3</v>
      </c>
      <c r="G465" s="3">
        <v>724305.8400000334</v>
      </c>
      <c r="H465" s="3"/>
      <c r="I465" s="8" t="s">
        <v>4</v>
      </c>
    </row>
    <row r="466">
      <c r="A466" s="1">
        <v>46108.0</v>
      </c>
      <c r="B466" s="2" t="s">
        <v>8</v>
      </c>
      <c r="C466" s="2" t="s">
        <v>497</v>
      </c>
      <c r="D466" s="6">
        <v>150000.0</v>
      </c>
      <c r="E466" s="3"/>
      <c r="F466" s="6" t="s">
        <v>3</v>
      </c>
      <c r="G466" s="3">
        <v>574305.8400000334</v>
      </c>
      <c r="H466" s="6">
        <v>574305.84</v>
      </c>
      <c r="I466" s="8" t="s">
        <v>4</v>
      </c>
    </row>
    <row r="467">
      <c r="A467" s="1">
        <v>46109.0</v>
      </c>
      <c r="B467" s="2" t="s">
        <v>14</v>
      </c>
      <c r="C467" s="2" t="s">
        <v>498</v>
      </c>
      <c r="D467" s="6"/>
      <c r="E467" s="6">
        <v>1.112085E8</v>
      </c>
      <c r="F467" s="6" t="s">
        <v>7</v>
      </c>
      <c r="G467" s="3">
        <v>1.1178280584000003E8</v>
      </c>
      <c r="H467" s="3"/>
      <c r="I467" s="8" t="s">
        <v>4</v>
      </c>
    </row>
    <row r="468">
      <c r="A468" s="1">
        <v>46109.0</v>
      </c>
      <c r="B468" s="2" t="s">
        <v>8</v>
      </c>
      <c r="C468" s="2" t="s">
        <v>499</v>
      </c>
      <c r="D468" s="6">
        <v>4.9764E7</v>
      </c>
      <c r="E468" s="3"/>
      <c r="F468" s="6" t="s">
        <v>3</v>
      </c>
      <c r="G468" s="3">
        <v>6.201880584000003E7</v>
      </c>
      <c r="H468" s="3"/>
      <c r="I468" s="8" t="s">
        <v>4</v>
      </c>
    </row>
    <row r="469">
      <c r="A469" s="1">
        <v>46109.0</v>
      </c>
      <c r="B469" s="2" t="s">
        <v>8</v>
      </c>
      <c r="C469" s="2" t="s">
        <v>500</v>
      </c>
      <c r="D469" s="6">
        <v>3732100.0</v>
      </c>
      <c r="E469" s="3"/>
      <c r="F469" s="6" t="s">
        <v>3</v>
      </c>
      <c r="G469" s="3">
        <v>5.828670584000003E7</v>
      </c>
      <c r="H469" s="3"/>
      <c r="I469" s="8" t="s">
        <v>4</v>
      </c>
    </row>
    <row r="470">
      <c r="A470" s="1">
        <v>46109.0</v>
      </c>
      <c r="B470" s="2" t="s">
        <v>8</v>
      </c>
      <c r="C470" s="2" t="s">
        <v>501</v>
      </c>
      <c r="D470" s="6">
        <v>1028250.0</v>
      </c>
      <c r="E470" s="3"/>
      <c r="F470" s="6" t="s">
        <v>3</v>
      </c>
      <c r="G470" s="3">
        <v>5.725845584000003E7</v>
      </c>
      <c r="H470" s="6">
        <v>5.725845584E7</v>
      </c>
      <c r="I470" s="10" t="s">
        <v>84</v>
      </c>
    </row>
    <row r="471">
      <c r="A471" s="1">
        <v>46109.0</v>
      </c>
      <c r="B471" s="2" t="s">
        <v>8</v>
      </c>
      <c r="C471" s="2" t="s">
        <v>502</v>
      </c>
      <c r="D471" s="6">
        <v>4.969875E7</v>
      </c>
      <c r="E471" s="3"/>
      <c r="F471" s="6" t="s">
        <v>3</v>
      </c>
      <c r="G471" s="3">
        <v>7559705.840000033</v>
      </c>
      <c r="H471" s="6">
        <v>7559705.84</v>
      </c>
      <c r="I471" s="8" t="s">
        <v>4</v>
      </c>
    </row>
    <row r="472">
      <c r="A472" s="1">
        <v>46109.0</v>
      </c>
      <c r="B472" s="2" t="s">
        <v>14</v>
      </c>
      <c r="C472" s="2" t="s">
        <v>503</v>
      </c>
      <c r="D472" s="6"/>
      <c r="E472" s="6">
        <v>2.6222824E8</v>
      </c>
      <c r="F472" s="6" t="s">
        <v>7</v>
      </c>
      <c r="G472" s="3">
        <v>2.6978794584000003E8</v>
      </c>
      <c r="H472" s="3"/>
      <c r="I472" s="8" t="s">
        <v>4</v>
      </c>
    </row>
    <row r="473">
      <c r="A473" s="1">
        <v>46109.0</v>
      </c>
      <c r="B473" s="2" t="s">
        <v>8</v>
      </c>
      <c r="C473" s="2" t="s">
        <v>504</v>
      </c>
      <c r="D473" s="6">
        <v>1.0149986E8</v>
      </c>
      <c r="E473" s="3"/>
      <c r="F473" s="6" t="s">
        <v>3</v>
      </c>
      <c r="G473" s="3">
        <v>1.6828808584000003E8</v>
      </c>
      <c r="H473" s="3"/>
      <c r="I473" s="8" t="s">
        <v>4</v>
      </c>
    </row>
    <row r="474">
      <c r="A474" s="1">
        <v>46109.0</v>
      </c>
      <c r="B474" s="2" t="s">
        <v>8</v>
      </c>
      <c r="C474" s="2" t="s">
        <v>505</v>
      </c>
      <c r="D474" s="6">
        <v>1.0075E8</v>
      </c>
      <c r="E474" s="3"/>
      <c r="F474" s="6" t="s">
        <v>3</v>
      </c>
      <c r="G474" s="3">
        <v>6.753808584000003E7</v>
      </c>
      <c r="H474" s="3"/>
      <c r="I474" s="8" t="s">
        <v>4</v>
      </c>
    </row>
    <row r="475">
      <c r="A475" s="1">
        <v>46109.0</v>
      </c>
      <c r="B475" s="2" t="s">
        <v>14</v>
      </c>
      <c r="C475" s="2" t="s">
        <v>506</v>
      </c>
      <c r="D475" s="6"/>
      <c r="E475" s="6">
        <v>1.0875222E8</v>
      </c>
      <c r="F475" s="6" t="s">
        <v>7</v>
      </c>
      <c r="G475" s="3">
        <v>1.7629030584000003E8</v>
      </c>
      <c r="H475" s="3"/>
      <c r="I475" s="8" t="s">
        <v>4</v>
      </c>
    </row>
    <row r="476">
      <c r="A476" s="1">
        <v>46109.0</v>
      </c>
      <c r="B476" s="2" t="s">
        <v>8</v>
      </c>
      <c r="C476" s="2" t="s">
        <v>507</v>
      </c>
      <c r="D476" s="6">
        <v>4.355E7</v>
      </c>
      <c r="E476" s="3"/>
      <c r="F476" s="6" t="s">
        <v>3</v>
      </c>
      <c r="G476" s="3">
        <v>1.3274030584000003E8</v>
      </c>
      <c r="H476" s="3"/>
      <c r="I476" s="8" t="s">
        <v>4</v>
      </c>
    </row>
    <row r="477">
      <c r="A477" s="1">
        <v>46109.0</v>
      </c>
      <c r="B477" s="2" t="s">
        <v>8</v>
      </c>
      <c r="C477" s="2" t="s">
        <v>508</v>
      </c>
      <c r="D477" s="6">
        <v>1.0E7</v>
      </c>
      <c r="E477" s="3"/>
      <c r="F477" s="6" t="s">
        <v>3</v>
      </c>
      <c r="G477" s="3">
        <v>1.2274030584000003E8</v>
      </c>
      <c r="H477" s="3"/>
      <c r="I477" s="8" t="s">
        <v>4</v>
      </c>
    </row>
    <row r="478">
      <c r="A478" s="1">
        <v>46109.0</v>
      </c>
      <c r="B478" s="2" t="s">
        <v>8</v>
      </c>
      <c r="C478" s="2" t="s">
        <v>509</v>
      </c>
      <c r="D478" s="6">
        <v>3581970.0</v>
      </c>
      <c r="E478" s="3"/>
      <c r="F478" s="6" t="s">
        <v>3</v>
      </c>
      <c r="G478" s="3">
        <v>1.1915833584000003E8</v>
      </c>
      <c r="H478" s="3"/>
      <c r="I478" s="8" t="s">
        <v>4</v>
      </c>
    </row>
    <row r="479">
      <c r="A479" s="1">
        <v>46109.0</v>
      </c>
      <c r="B479" s="2" t="s">
        <v>8</v>
      </c>
      <c r="C479" s="2" t="s">
        <v>510</v>
      </c>
      <c r="D479" s="6">
        <v>122400.0</v>
      </c>
      <c r="E479" s="3"/>
      <c r="F479" s="6" t="s">
        <v>3</v>
      </c>
      <c r="G479" s="3">
        <v>1.1903593584000003E8</v>
      </c>
      <c r="H479" s="3"/>
      <c r="I479" s="8" t="s">
        <v>4</v>
      </c>
    </row>
    <row r="480">
      <c r="A480" s="1">
        <v>46109.0</v>
      </c>
      <c r="B480" s="2" t="s">
        <v>8</v>
      </c>
      <c r="C480" s="2" t="s">
        <v>511</v>
      </c>
      <c r="D480" s="6">
        <v>3000000.0</v>
      </c>
      <c r="E480" s="3"/>
      <c r="F480" s="6" t="s">
        <v>3</v>
      </c>
      <c r="G480" s="3">
        <v>1.1603593584000003E8</v>
      </c>
      <c r="H480" s="3"/>
      <c r="I480" s="8" t="s">
        <v>4</v>
      </c>
    </row>
    <row r="481">
      <c r="A481" s="1">
        <v>46109.0</v>
      </c>
      <c r="B481" s="2" t="s">
        <v>95</v>
      </c>
      <c r="C481" s="2" t="s">
        <v>512</v>
      </c>
      <c r="D481" s="6">
        <v>130000.0</v>
      </c>
      <c r="E481" s="3"/>
      <c r="F481" s="6" t="s">
        <v>3</v>
      </c>
      <c r="G481" s="3">
        <v>1.1590593584000003E8</v>
      </c>
      <c r="H481" s="3"/>
      <c r="I481" s="8" t="s">
        <v>4</v>
      </c>
    </row>
    <row r="482">
      <c r="A482" s="1">
        <v>46109.0</v>
      </c>
      <c r="B482" s="2" t="s">
        <v>95</v>
      </c>
      <c r="C482" s="2" t="s">
        <v>513</v>
      </c>
      <c r="D482" s="6">
        <v>2500.0</v>
      </c>
      <c r="E482" s="3"/>
      <c r="F482" s="6" t="s">
        <v>3</v>
      </c>
      <c r="G482" s="3">
        <v>1.1590343584000003E8</v>
      </c>
      <c r="H482" s="3"/>
      <c r="I482" s="8" t="s">
        <v>4</v>
      </c>
    </row>
    <row r="483">
      <c r="A483" s="1">
        <v>46109.0</v>
      </c>
      <c r="B483" s="2" t="s">
        <v>8</v>
      </c>
      <c r="C483" s="2" t="s">
        <v>514</v>
      </c>
      <c r="D483" s="6">
        <v>1.56698E7</v>
      </c>
      <c r="E483" s="3"/>
      <c r="F483" s="6" t="s">
        <v>3</v>
      </c>
      <c r="G483" s="3">
        <v>1.0023363584000003E8</v>
      </c>
      <c r="H483" s="6">
        <v>1.0023363584E8</v>
      </c>
      <c r="I483" s="10" t="s">
        <v>13</v>
      </c>
    </row>
    <row r="484">
      <c r="A484" s="1">
        <v>46109.0</v>
      </c>
      <c r="B484" s="2" t="s">
        <v>14</v>
      </c>
      <c r="C484" s="2" t="s">
        <v>515</v>
      </c>
      <c r="D484" s="6"/>
      <c r="E484" s="6">
        <v>6493639.0</v>
      </c>
      <c r="F484" s="6" t="s">
        <v>7</v>
      </c>
      <c r="G484" s="3">
        <v>1.0672727484000003E8</v>
      </c>
      <c r="H484" s="6">
        <v>1.0672727484E8</v>
      </c>
      <c r="I484" s="8" t="s">
        <v>4</v>
      </c>
    </row>
    <row r="485">
      <c r="A485" s="1">
        <v>46109.0</v>
      </c>
      <c r="B485" s="2" t="s">
        <v>14</v>
      </c>
      <c r="C485" s="2" t="s">
        <v>516</v>
      </c>
      <c r="D485" s="6"/>
      <c r="E485" s="6">
        <v>1.0E8</v>
      </c>
      <c r="F485" s="6" t="s">
        <v>7</v>
      </c>
      <c r="G485" s="3">
        <v>2.0672727484000003E8</v>
      </c>
      <c r="H485" s="3"/>
      <c r="I485" s="8" t="s">
        <v>4</v>
      </c>
    </row>
    <row r="486">
      <c r="A486" s="1">
        <v>46109.0</v>
      </c>
      <c r="B486" s="2" t="s">
        <v>8</v>
      </c>
      <c r="C486" s="2" t="s">
        <v>517</v>
      </c>
      <c r="D486" s="6">
        <v>1.662344E8</v>
      </c>
      <c r="E486" s="3"/>
      <c r="F486" s="6" t="s">
        <v>3</v>
      </c>
      <c r="G486" s="3">
        <v>4.049287484000003E7</v>
      </c>
      <c r="H486" s="3"/>
      <c r="I486" s="8" t="s">
        <v>4</v>
      </c>
    </row>
    <row r="487">
      <c r="A487" s="1">
        <v>46109.0</v>
      </c>
      <c r="B487" s="2" t="s">
        <v>14</v>
      </c>
      <c r="C487" s="2" t="s">
        <v>518</v>
      </c>
      <c r="D487" s="6"/>
      <c r="E487" s="6">
        <v>2.114679E8</v>
      </c>
      <c r="F487" s="6" t="s">
        <v>7</v>
      </c>
      <c r="G487" s="3">
        <v>2.5196077484000003E8</v>
      </c>
      <c r="H487" s="3"/>
      <c r="I487" s="8" t="s">
        <v>4</v>
      </c>
    </row>
    <row r="488">
      <c r="A488" s="1">
        <v>46109.0</v>
      </c>
      <c r="B488" s="2" t="s">
        <v>14</v>
      </c>
      <c r="C488" s="2" t="s">
        <v>519</v>
      </c>
      <c r="D488" s="6"/>
      <c r="E488" s="6">
        <v>4.62E7</v>
      </c>
      <c r="F488" s="6" t="s">
        <v>7</v>
      </c>
      <c r="G488" s="3">
        <v>2.9816077484000003E8</v>
      </c>
      <c r="H488" s="3"/>
      <c r="I488" s="8" t="s">
        <v>4</v>
      </c>
    </row>
    <row r="489">
      <c r="A489" s="1">
        <v>46109.0</v>
      </c>
      <c r="B489" s="2" t="s">
        <v>14</v>
      </c>
      <c r="C489" s="2" t="s">
        <v>520</v>
      </c>
      <c r="D489" s="6"/>
      <c r="E489" s="6">
        <v>2706840.0</v>
      </c>
      <c r="F489" s="6" t="s">
        <v>7</v>
      </c>
      <c r="G489" s="3">
        <v>3.0086761484000003E8</v>
      </c>
      <c r="H489" s="3"/>
      <c r="I489" s="8" t="s">
        <v>4</v>
      </c>
    </row>
    <row r="490">
      <c r="A490" s="1">
        <v>46109.0</v>
      </c>
      <c r="B490" s="2" t="s">
        <v>8</v>
      </c>
      <c r="C490" s="2" t="s">
        <v>521</v>
      </c>
      <c r="D490" s="6">
        <v>6114870.0</v>
      </c>
      <c r="E490" s="3"/>
      <c r="F490" s="6" t="s">
        <v>3</v>
      </c>
      <c r="G490" s="3">
        <v>2.9475274484000003E8</v>
      </c>
      <c r="H490" s="3"/>
      <c r="I490" s="10" t="s">
        <v>13</v>
      </c>
    </row>
    <row r="491">
      <c r="A491" s="1">
        <v>46109.0</v>
      </c>
      <c r="B491" s="2" t="s">
        <v>8</v>
      </c>
      <c r="C491" s="2" t="s">
        <v>522</v>
      </c>
      <c r="D491" s="6">
        <v>4191000.0</v>
      </c>
      <c r="E491" s="3"/>
      <c r="F491" s="6" t="s">
        <v>3</v>
      </c>
      <c r="G491" s="3">
        <v>2.9056174484000003E8</v>
      </c>
      <c r="H491" s="3"/>
      <c r="I491" s="10" t="s">
        <v>13</v>
      </c>
    </row>
    <row r="492">
      <c r="A492" s="1">
        <v>46109.0</v>
      </c>
      <c r="B492" s="2" t="s">
        <v>8</v>
      </c>
      <c r="C492" s="2" t="s">
        <v>523</v>
      </c>
      <c r="D492" s="6">
        <v>2404320.0</v>
      </c>
      <c r="E492" s="3"/>
      <c r="F492" s="6" t="s">
        <v>3</v>
      </c>
      <c r="G492" s="3">
        <v>2.8815742484000003E8</v>
      </c>
      <c r="H492" s="3"/>
      <c r="I492" s="10" t="s">
        <v>13</v>
      </c>
    </row>
    <row r="493">
      <c r="A493" s="1">
        <v>46109.0</v>
      </c>
      <c r="B493" s="2" t="s">
        <v>8</v>
      </c>
      <c r="C493" s="2" t="s">
        <v>524</v>
      </c>
      <c r="D493" s="6">
        <v>4.471285E7</v>
      </c>
      <c r="E493" s="3"/>
      <c r="F493" s="6" t="s">
        <v>3</v>
      </c>
      <c r="G493" s="3">
        <v>2.4344457484000003E8</v>
      </c>
      <c r="H493" s="3"/>
      <c r="I493" s="8" t="s">
        <v>4</v>
      </c>
    </row>
    <row r="494">
      <c r="A494" s="1">
        <v>46109.0</v>
      </c>
      <c r="B494" s="2" t="s">
        <v>8</v>
      </c>
      <c r="C494" s="2" t="s">
        <v>525</v>
      </c>
      <c r="D494" s="6">
        <v>7516190.0</v>
      </c>
      <c r="E494" s="3"/>
      <c r="F494" s="6" t="s">
        <v>3</v>
      </c>
      <c r="G494" s="3">
        <v>2.3592838484000003E8</v>
      </c>
      <c r="H494" s="3"/>
      <c r="I494" s="8" t="s">
        <v>4</v>
      </c>
    </row>
    <row r="495">
      <c r="A495" s="1">
        <v>46109.0</v>
      </c>
      <c r="B495" s="2" t="s">
        <v>8</v>
      </c>
      <c r="C495" s="2" t="s">
        <v>526</v>
      </c>
      <c r="D495" s="6">
        <v>3612510.0</v>
      </c>
      <c r="E495" s="3"/>
      <c r="F495" s="6" t="s">
        <v>3</v>
      </c>
      <c r="G495" s="3">
        <v>2.3231587484000003E8</v>
      </c>
      <c r="H495" s="3"/>
      <c r="I495" s="8" t="s">
        <v>4</v>
      </c>
    </row>
    <row r="496">
      <c r="A496" s="11">
        <v>46109.0</v>
      </c>
      <c r="B496" s="12" t="s">
        <v>8</v>
      </c>
      <c r="C496" s="12" t="s">
        <v>527</v>
      </c>
      <c r="D496" s="13">
        <v>2.275285E8</v>
      </c>
      <c r="E496" s="14"/>
      <c r="F496" s="13" t="s">
        <v>3</v>
      </c>
      <c r="G496" s="14">
        <v>4787374.840000033</v>
      </c>
      <c r="H496" s="13">
        <v>4787374.84</v>
      </c>
      <c r="I496" s="8" t="s">
        <v>4</v>
      </c>
    </row>
    <row r="497">
      <c r="A497" s="1">
        <v>46109.0</v>
      </c>
      <c r="B497" s="2" t="s">
        <v>528</v>
      </c>
      <c r="C497" s="2" t="s">
        <v>528</v>
      </c>
      <c r="D497" s="6">
        <v>200000.0</v>
      </c>
      <c r="E497" s="3"/>
      <c r="F497" s="6"/>
      <c r="G497" s="3">
        <v>4587374.840000033</v>
      </c>
      <c r="H497" s="6">
        <v>4587374.84</v>
      </c>
      <c r="I497" s="10" t="s">
        <v>25</v>
      </c>
    </row>
    <row r="498">
      <c r="A498" s="1">
        <v>46109.0</v>
      </c>
      <c r="B498" s="2" t="s">
        <v>528</v>
      </c>
      <c r="C498" s="2" t="s">
        <v>528</v>
      </c>
      <c r="D498" s="6">
        <v>150000.0</v>
      </c>
      <c r="E498" s="3"/>
      <c r="F498" s="6"/>
      <c r="G498" s="3">
        <v>4437374.840000033</v>
      </c>
      <c r="H498" s="6">
        <v>4437374.84</v>
      </c>
      <c r="I498" s="10" t="s">
        <v>25</v>
      </c>
    </row>
    <row r="499">
      <c r="A499" s="1">
        <v>46110.0</v>
      </c>
      <c r="B499" s="2" t="s">
        <v>14</v>
      </c>
      <c r="C499" s="2" t="s">
        <v>529</v>
      </c>
      <c r="D499" s="6"/>
      <c r="E499" s="6">
        <v>4.62061E7</v>
      </c>
      <c r="F499" s="6" t="s">
        <v>7</v>
      </c>
      <c r="G499" s="3">
        <v>5.064347484000003E7</v>
      </c>
      <c r="H499" s="3"/>
      <c r="I499" s="8" t="s">
        <v>4</v>
      </c>
    </row>
    <row r="500">
      <c r="A500" s="1">
        <v>46110.0</v>
      </c>
      <c r="B500" s="2" t="s">
        <v>14</v>
      </c>
      <c r="C500" s="2" t="s">
        <v>530</v>
      </c>
      <c r="D500" s="6"/>
      <c r="E500" s="6">
        <v>1.67089725E8</v>
      </c>
      <c r="F500" s="6" t="s">
        <v>7</v>
      </c>
      <c r="G500" s="3">
        <v>2.1773319984000003E8</v>
      </c>
      <c r="H500" s="3"/>
      <c r="I500" s="8" t="s">
        <v>4</v>
      </c>
    </row>
    <row r="501">
      <c r="A501" s="1">
        <v>46110.0</v>
      </c>
      <c r="B501" s="2" t="s">
        <v>14</v>
      </c>
      <c r="C501" s="2" t="s">
        <v>531</v>
      </c>
      <c r="D501" s="6"/>
      <c r="E501" s="6">
        <v>674180.0</v>
      </c>
      <c r="F501" s="6" t="s">
        <v>7</v>
      </c>
      <c r="G501" s="3">
        <v>2.1840737984000003E8</v>
      </c>
      <c r="H501" s="3"/>
      <c r="I501" s="8" t="s">
        <v>4</v>
      </c>
    </row>
    <row r="502">
      <c r="A502" s="1">
        <v>46110.0</v>
      </c>
      <c r="B502" s="2" t="s">
        <v>261</v>
      </c>
      <c r="C502" s="12" t="s">
        <v>304</v>
      </c>
      <c r="D502" s="6"/>
      <c r="E502" s="6">
        <v>1.031882E8</v>
      </c>
      <c r="F502" s="3"/>
      <c r="G502" s="3">
        <v>3.2159557984000003E8</v>
      </c>
      <c r="H502" s="3"/>
      <c r="I502" s="8" t="s">
        <v>4</v>
      </c>
    </row>
    <row r="503">
      <c r="A503" s="1">
        <v>46110.0</v>
      </c>
      <c r="B503" s="2" t="s">
        <v>8</v>
      </c>
      <c r="C503" s="2" t="s">
        <v>532</v>
      </c>
      <c r="D503" s="6">
        <v>1.522213E8</v>
      </c>
      <c r="E503" s="3"/>
      <c r="F503" s="6" t="s">
        <v>3</v>
      </c>
      <c r="G503" s="3">
        <v>1.6937427984000003E8</v>
      </c>
      <c r="H503" s="3"/>
      <c r="I503" s="8" t="s">
        <v>4</v>
      </c>
    </row>
    <row r="504">
      <c r="A504" s="1">
        <v>46110.0</v>
      </c>
      <c r="B504" s="2" t="s">
        <v>8</v>
      </c>
      <c r="C504" s="2" t="s">
        <v>533</v>
      </c>
      <c r="D504" s="6">
        <v>9.65E7</v>
      </c>
      <c r="E504" s="3"/>
      <c r="F504" s="6" t="s">
        <v>3</v>
      </c>
      <c r="G504" s="3">
        <v>7.287427984000003E7</v>
      </c>
      <c r="H504" s="3"/>
      <c r="I504" s="8" t="s">
        <v>4</v>
      </c>
    </row>
    <row r="505">
      <c r="A505" s="1">
        <v>46110.0</v>
      </c>
      <c r="B505" s="2" t="s">
        <v>8</v>
      </c>
      <c r="C505" s="2" t="s">
        <v>534</v>
      </c>
      <c r="D505" s="6">
        <v>3.69365E7</v>
      </c>
      <c r="E505" s="3"/>
      <c r="F505" s="6" t="s">
        <v>3</v>
      </c>
      <c r="G505" s="3">
        <v>3.593777984000003E7</v>
      </c>
      <c r="H505" s="3"/>
      <c r="I505" s="8" t="s">
        <v>4</v>
      </c>
    </row>
    <row r="506">
      <c r="A506" s="1">
        <v>46110.0</v>
      </c>
      <c r="B506" s="2" t="s">
        <v>14</v>
      </c>
      <c r="C506" s="2" t="s">
        <v>535</v>
      </c>
      <c r="D506" s="6"/>
      <c r="E506" s="6">
        <v>1.0E8</v>
      </c>
      <c r="F506" s="6" t="s">
        <v>7</v>
      </c>
      <c r="G506" s="3">
        <v>1.3593777984000003E8</v>
      </c>
      <c r="H506" s="3"/>
      <c r="I506" s="8" t="s">
        <v>4</v>
      </c>
    </row>
    <row r="507">
      <c r="A507" s="1">
        <v>46110.0</v>
      </c>
      <c r="B507" s="2" t="s">
        <v>14</v>
      </c>
      <c r="C507" s="2" t="s">
        <v>536</v>
      </c>
      <c r="D507" s="6"/>
      <c r="E507" s="6">
        <v>4.791474E7</v>
      </c>
      <c r="F507" s="6" t="s">
        <v>7</v>
      </c>
      <c r="G507" s="3">
        <v>1.8385251984000003E8</v>
      </c>
      <c r="H507" s="3"/>
      <c r="I507" s="8" t="s">
        <v>4</v>
      </c>
    </row>
    <row r="508">
      <c r="A508" s="1">
        <v>46110.0</v>
      </c>
      <c r="B508" s="2" t="s">
        <v>14</v>
      </c>
      <c r="C508" s="2" t="s">
        <v>537</v>
      </c>
      <c r="D508" s="6"/>
      <c r="E508" s="6">
        <v>1.186926E8</v>
      </c>
      <c r="F508" s="6" t="s">
        <v>7</v>
      </c>
      <c r="G508" s="3">
        <v>3.0254511984000003E8</v>
      </c>
      <c r="H508" s="3"/>
      <c r="I508" s="8" t="s">
        <v>4</v>
      </c>
    </row>
    <row r="509">
      <c r="A509" s="1">
        <v>46110.0</v>
      </c>
      <c r="B509" s="2" t="s">
        <v>8</v>
      </c>
      <c r="C509" s="2" t="s">
        <v>538</v>
      </c>
      <c r="D509" s="6">
        <v>6.004E7</v>
      </c>
      <c r="E509" s="3"/>
      <c r="F509" s="6" t="s">
        <v>3</v>
      </c>
      <c r="G509" s="3">
        <v>2.4250511984000003E8</v>
      </c>
      <c r="H509" s="6">
        <v>2.4250511984E8</v>
      </c>
      <c r="I509" s="8" t="s">
        <v>4</v>
      </c>
    </row>
    <row r="510">
      <c r="A510" s="1">
        <v>46110.0</v>
      </c>
      <c r="B510" s="2" t="s">
        <v>8</v>
      </c>
      <c r="C510" s="2" t="s">
        <v>539</v>
      </c>
      <c r="D510" s="6">
        <v>1.5727695E8</v>
      </c>
      <c r="E510" s="3"/>
      <c r="F510" s="6" t="s">
        <v>3</v>
      </c>
      <c r="G510" s="3">
        <v>8.522816984000003E7</v>
      </c>
      <c r="H510" s="6">
        <v>8.522816984E7</v>
      </c>
      <c r="I510" s="8" t="s">
        <v>4</v>
      </c>
    </row>
    <row r="511">
      <c r="A511" s="1">
        <v>46110.0</v>
      </c>
      <c r="B511" s="2" t="s">
        <v>8</v>
      </c>
      <c r="C511" s="2" t="s">
        <v>540</v>
      </c>
      <c r="D511" s="6">
        <v>4.4553E7</v>
      </c>
      <c r="E511" s="3"/>
      <c r="F511" s="6" t="s">
        <v>3</v>
      </c>
      <c r="G511" s="3">
        <v>4.067516984000003E7</v>
      </c>
      <c r="H511" s="3"/>
      <c r="I511" s="8" t="s">
        <v>4</v>
      </c>
    </row>
    <row r="512">
      <c r="A512" s="1">
        <v>46110.0</v>
      </c>
      <c r="B512" s="2" t="s">
        <v>14</v>
      </c>
      <c r="C512" s="2" t="s">
        <v>541</v>
      </c>
      <c r="D512" s="6"/>
      <c r="E512" s="6">
        <v>9.31488E7</v>
      </c>
      <c r="F512" s="6" t="s">
        <v>7</v>
      </c>
      <c r="G512" s="3">
        <v>1.3382396984000003E8</v>
      </c>
      <c r="H512" s="3"/>
      <c r="I512" s="8" t="s">
        <v>4</v>
      </c>
    </row>
    <row r="513">
      <c r="A513" s="1">
        <v>46110.0</v>
      </c>
      <c r="B513" s="2" t="s">
        <v>8</v>
      </c>
      <c r="C513" s="2" t="s">
        <v>542</v>
      </c>
      <c r="D513" s="6">
        <v>1.5E7</v>
      </c>
      <c r="E513" s="3"/>
      <c r="F513" s="6" t="s">
        <v>3</v>
      </c>
      <c r="G513" s="3">
        <v>1.1882396984000003E8</v>
      </c>
      <c r="H513" s="3"/>
      <c r="I513" s="10" t="s">
        <v>13</v>
      </c>
    </row>
    <row r="514">
      <c r="A514" s="1">
        <v>46110.0</v>
      </c>
      <c r="B514" s="2" t="s">
        <v>8</v>
      </c>
      <c r="C514" s="2" t="s">
        <v>543</v>
      </c>
      <c r="D514" s="6">
        <v>4660860.0</v>
      </c>
      <c r="E514" s="3"/>
      <c r="F514" s="6" t="s">
        <v>3</v>
      </c>
      <c r="G514" s="3">
        <v>1.1416310984000003E8</v>
      </c>
      <c r="H514" s="3"/>
      <c r="I514" s="10" t="s">
        <v>13</v>
      </c>
    </row>
    <row r="515">
      <c r="A515" s="1">
        <v>46110.0</v>
      </c>
      <c r="B515" s="2" t="s">
        <v>8</v>
      </c>
      <c r="C515" s="2" t="s">
        <v>544</v>
      </c>
      <c r="D515" s="6">
        <v>1400000.0</v>
      </c>
      <c r="E515" s="3"/>
      <c r="F515" s="6" t="s">
        <v>3</v>
      </c>
      <c r="G515" s="3">
        <v>1.1276310984000003E8</v>
      </c>
      <c r="H515" s="3"/>
      <c r="I515" s="10" t="s">
        <v>13</v>
      </c>
    </row>
    <row r="516">
      <c r="A516" s="1">
        <v>46110.0</v>
      </c>
      <c r="B516" s="2" t="s">
        <v>14</v>
      </c>
      <c r="C516" s="2" t="s">
        <v>545</v>
      </c>
      <c r="D516" s="6"/>
      <c r="E516" s="6">
        <v>1.436457E8</v>
      </c>
      <c r="F516" s="6" t="s">
        <v>7</v>
      </c>
      <c r="G516" s="3">
        <v>2.5640880984000003E8</v>
      </c>
      <c r="H516" s="3"/>
      <c r="I516" s="8" t="s">
        <v>4</v>
      </c>
    </row>
    <row r="517">
      <c r="A517" s="1">
        <v>46110.0</v>
      </c>
      <c r="B517" s="2" t="s">
        <v>8</v>
      </c>
      <c r="C517" s="2" t="s">
        <v>546</v>
      </c>
      <c r="D517" s="6">
        <v>3408300.0</v>
      </c>
      <c r="E517" s="3"/>
      <c r="F517" s="6" t="s">
        <v>3</v>
      </c>
      <c r="G517" s="3">
        <v>2.5300050984000003E8</v>
      </c>
      <c r="H517" s="3"/>
      <c r="I517" s="10" t="s">
        <v>13</v>
      </c>
    </row>
    <row r="518">
      <c r="A518" s="1">
        <v>46110.0</v>
      </c>
      <c r="B518" s="2" t="s">
        <v>8</v>
      </c>
      <c r="C518" s="2" t="s">
        <v>547</v>
      </c>
      <c r="D518" s="6">
        <v>9.078478E7</v>
      </c>
      <c r="E518" s="3"/>
      <c r="F518" s="6" t="s">
        <v>3</v>
      </c>
      <c r="G518" s="3">
        <v>1.6221572984000003E8</v>
      </c>
      <c r="H518" s="3"/>
      <c r="I518" s="8" t="s">
        <v>4</v>
      </c>
    </row>
    <row r="519">
      <c r="A519" s="1">
        <v>46110.0</v>
      </c>
      <c r="B519" s="2" t="s">
        <v>8</v>
      </c>
      <c r="C519" s="2" t="s">
        <v>548</v>
      </c>
      <c r="D519" s="6">
        <v>7.408415E7</v>
      </c>
      <c r="E519" s="3"/>
      <c r="F519" s="6" t="s">
        <v>3</v>
      </c>
      <c r="G519" s="3">
        <v>8.813157984000003E7</v>
      </c>
      <c r="H519" s="3"/>
      <c r="I519" s="8" t="s">
        <v>4</v>
      </c>
    </row>
    <row r="520">
      <c r="A520" s="1">
        <v>46110.0</v>
      </c>
      <c r="B520" s="2" t="s">
        <v>8</v>
      </c>
      <c r="C520" s="2" t="s">
        <v>549</v>
      </c>
      <c r="D520" s="6">
        <v>1.03848E7</v>
      </c>
      <c r="E520" s="3"/>
      <c r="F520" s="6" t="s">
        <v>3</v>
      </c>
      <c r="G520" s="3">
        <v>7.774677984000003E7</v>
      </c>
      <c r="H520" s="6">
        <v>7.774677984E7</v>
      </c>
      <c r="I520" s="10" t="s">
        <v>13</v>
      </c>
    </row>
    <row r="521">
      <c r="A521" s="1">
        <v>46111.0</v>
      </c>
      <c r="B521" s="2" t="s">
        <v>550</v>
      </c>
      <c r="C521" s="2" t="s">
        <v>551</v>
      </c>
      <c r="D521" s="6">
        <v>5.425E7</v>
      </c>
      <c r="E521" s="3"/>
      <c r="F521" s="6" t="s">
        <v>3</v>
      </c>
      <c r="G521" s="3">
        <v>2.3496779840000033E7</v>
      </c>
      <c r="H521" s="3"/>
      <c r="I521" s="10" t="s">
        <v>4</v>
      </c>
    </row>
    <row r="522">
      <c r="A522" s="1">
        <v>46111.0</v>
      </c>
      <c r="B522" s="2" t="s">
        <v>14</v>
      </c>
      <c r="C522" s="2" t="s">
        <v>552</v>
      </c>
      <c r="D522" s="6"/>
      <c r="E522" s="6">
        <v>9.881268E7</v>
      </c>
      <c r="F522" s="6" t="s">
        <v>7</v>
      </c>
      <c r="G522" s="3">
        <v>1.2230945984000003E8</v>
      </c>
      <c r="H522" s="3"/>
      <c r="I522" s="8" t="s">
        <v>4</v>
      </c>
    </row>
    <row r="523">
      <c r="A523" s="1">
        <v>46111.0</v>
      </c>
      <c r="B523" s="2" t="s">
        <v>14</v>
      </c>
      <c r="C523" s="2" t="s">
        <v>553</v>
      </c>
      <c r="D523" s="6"/>
      <c r="E523" s="6">
        <v>3.43212025E8</v>
      </c>
      <c r="F523" s="6" t="s">
        <v>7</v>
      </c>
      <c r="G523" s="3">
        <v>4.6552148484000003E8</v>
      </c>
      <c r="H523" s="6">
        <v>4.6552148484E8</v>
      </c>
      <c r="I523" s="8" t="s">
        <v>4</v>
      </c>
    </row>
    <row r="524">
      <c r="A524" s="1">
        <v>46111.0</v>
      </c>
      <c r="B524" s="2" t="s">
        <v>14</v>
      </c>
      <c r="C524" s="2" t="s">
        <v>554</v>
      </c>
      <c r="D524" s="6"/>
      <c r="E524" s="6">
        <v>4.68156E7</v>
      </c>
      <c r="F524" s="6" t="s">
        <v>7</v>
      </c>
      <c r="G524" s="3">
        <v>5.1233708484000003E8</v>
      </c>
      <c r="H524" s="6">
        <v>5.1233708484E8</v>
      </c>
      <c r="I524" s="8" t="s">
        <v>4</v>
      </c>
    </row>
    <row r="525">
      <c r="A525" s="1">
        <v>46111.0</v>
      </c>
      <c r="B525" s="2" t="s">
        <v>8</v>
      </c>
      <c r="C525" s="2" t="s">
        <v>555</v>
      </c>
      <c r="D525" s="6">
        <v>1.5522785E8</v>
      </c>
      <c r="E525" s="3"/>
      <c r="F525" s="6" t="s">
        <v>3</v>
      </c>
      <c r="G525" s="3">
        <v>3.5710923484000003E8</v>
      </c>
      <c r="H525" s="3"/>
      <c r="I525" s="8" t="s">
        <v>4</v>
      </c>
    </row>
    <row r="526">
      <c r="A526" s="1">
        <v>46111.0</v>
      </c>
      <c r="B526" s="2" t="s">
        <v>8</v>
      </c>
      <c r="C526" s="2" t="s">
        <v>556</v>
      </c>
      <c r="D526" s="6">
        <v>4.074175E7</v>
      </c>
      <c r="E526" s="3"/>
      <c r="F526" s="6" t="s">
        <v>3</v>
      </c>
      <c r="G526" s="3">
        <v>3.1636748484000003E8</v>
      </c>
      <c r="H526" s="3"/>
      <c r="I526" s="8" t="s">
        <v>4</v>
      </c>
    </row>
    <row r="527">
      <c r="A527" s="1">
        <v>46111.0</v>
      </c>
      <c r="B527" s="2" t="s">
        <v>8</v>
      </c>
      <c r="C527" s="2" t="s">
        <v>557</v>
      </c>
      <c r="D527" s="6">
        <v>9.463525E7</v>
      </c>
      <c r="E527" s="3"/>
      <c r="F527" s="6" t="s">
        <v>3</v>
      </c>
      <c r="G527" s="3">
        <v>2.2173223484000003E8</v>
      </c>
      <c r="H527" s="3"/>
      <c r="I527" s="8" t="s">
        <v>4</v>
      </c>
    </row>
    <row r="528">
      <c r="A528" s="1">
        <v>46111.0</v>
      </c>
      <c r="B528" s="2" t="s">
        <v>14</v>
      </c>
      <c r="C528" s="2" t="s">
        <v>558</v>
      </c>
      <c r="D528" s="6"/>
      <c r="E528" s="6">
        <v>7.216738E7</v>
      </c>
      <c r="F528" s="6" t="s">
        <v>7</v>
      </c>
      <c r="G528" s="3">
        <v>2.9389961484000003E8</v>
      </c>
      <c r="H528" s="3"/>
      <c r="I528" s="8" t="s">
        <v>4</v>
      </c>
    </row>
    <row r="529">
      <c r="A529" s="1">
        <v>46111.0</v>
      </c>
      <c r="B529" s="2" t="s">
        <v>14</v>
      </c>
      <c r="C529" s="2" t="s">
        <v>559</v>
      </c>
      <c r="D529" s="6"/>
      <c r="E529" s="6">
        <v>6.118E7</v>
      </c>
      <c r="F529" s="6" t="s">
        <v>7</v>
      </c>
      <c r="G529" s="3">
        <v>3.5507961484000003E8</v>
      </c>
      <c r="H529" s="3"/>
      <c r="I529" s="8" t="s">
        <v>4</v>
      </c>
    </row>
    <row r="530">
      <c r="A530" s="1">
        <v>46111.0</v>
      </c>
      <c r="B530" s="2" t="s">
        <v>8</v>
      </c>
      <c r="C530" s="2" t="s">
        <v>560</v>
      </c>
      <c r="D530" s="6">
        <v>6.08E7</v>
      </c>
      <c r="E530" s="3"/>
      <c r="F530" s="6" t="s">
        <v>3</v>
      </c>
      <c r="G530" s="3">
        <v>2.9427961484000003E8</v>
      </c>
      <c r="H530" s="3"/>
      <c r="I530" s="8" t="s">
        <v>4</v>
      </c>
    </row>
    <row r="531">
      <c r="A531" s="1">
        <v>46111.0</v>
      </c>
      <c r="B531" s="2" t="s">
        <v>8</v>
      </c>
      <c r="C531" s="2" t="s">
        <v>561</v>
      </c>
      <c r="D531" s="6">
        <v>1.3779252E8</v>
      </c>
      <c r="E531" s="3"/>
      <c r="F531" s="6" t="s">
        <v>3</v>
      </c>
      <c r="G531" s="3">
        <v>1.5648709484000003E8</v>
      </c>
      <c r="H531" s="3"/>
      <c r="I531" s="8" t="s">
        <v>4</v>
      </c>
    </row>
    <row r="532">
      <c r="A532" s="1">
        <v>46111.0</v>
      </c>
      <c r="B532" s="2" t="s">
        <v>95</v>
      </c>
      <c r="C532" s="12" t="s">
        <v>512</v>
      </c>
      <c r="D532" s="6">
        <v>123000.0</v>
      </c>
      <c r="E532" s="3"/>
      <c r="F532" s="6" t="s">
        <v>3</v>
      </c>
      <c r="G532" s="3">
        <v>1.5636409484000003E8</v>
      </c>
      <c r="H532" s="3"/>
      <c r="I532" s="8" t="s">
        <v>4</v>
      </c>
    </row>
    <row r="533">
      <c r="A533" s="1">
        <v>46111.0</v>
      </c>
      <c r="B533" s="2" t="s">
        <v>95</v>
      </c>
      <c r="C533" s="12" t="s">
        <v>513</v>
      </c>
      <c r="D533" s="6">
        <v>2500.0</v>
      </c>
      <c r="E533" s="3"/>
      <c r="F533" s="6" t="s">
        <v>3</v>
      </c>
      <c r="G533" s="3">
        <v>1.5636159484000003E8</v>
      </c>
      <c r="H533" s="3"/>
      <c r="I533" s="8" t="s">
        <v>4</v>
      </c>
    </row>
    <row r="534">
      <c r="A534" s="1">
        <v>46111.0</v>
      </c>
      <c r="B534" s="2" t="s">
        <v>8</v>
      </c>
      <c r="C534" s="2" t="s">
        <v>562</v>
      </c>
      <c r="D534" s="6">
        <v>1.422187E8</v>
      </c>
      <c r="E534" s="3"/>
      <c r="F534" s="6" t="s">
        <v>3</v>
      </c>
      <c r="G534" s="3">
        <v>1.4142894840000033E7</v>
      </c>
      <c r="H534" s="3"/>
      <c r="I534" s="8" t="s">
        <v>4</v>
      </c>
    </row>
    <row r="535">
      <c r="A535" s="11">
        <v>46111.0</v>
      </c>
      <c r="B535" s="12" t="s">
        <v>14</v>
      </c>
      <c r="C535" s="12" t="s">
        <v>563</v>
      </c>
      <c r="D535" s="13"/>
      <c r="E535" s="13">
        <v>4.774224E7</v>
      </c>
      <c r="F535" s="13" t="s">
        <v>7</v>
      </c>
      <c r="G535" s="14">
        <v>6.188513484000003E7</v>
      </c>
      <c r="H535" s="13">
        <v>6.188513484E7</v>
      </c>
      <c r="I535" s="8" t="s">
        <v>4</v>
      </c>
    </row>
    <row r="536">
      <c r="A536" s="1">
        <v>46112.0</v>
      </c>
      <c r="B536" s="2" t="s">
        <v>564</v>
      </c>
      <c r="C536" s="2" t="s">
        <v>565</v>
      </c>
      <c r="D536" s="6">
        <v>800000.0</v>
      </c>
      <c r="E536" s="3"/>
      <c r="F536" s="6" t="s">
        <v>3</v>
      </c>
      <c r="G536" s="3">
        <v>6.108513484000003E7</v>
      </c>
      <c r="H536" s="6">
        <v>6.108513484E7</v>
      </c>
      <c r="I536" s="10" t="s">
        <v>25</v>
      </c>
    </row>
    <row r="537">
      <c r="A537" s="1">
        <v>46112.0</v>
      </c>
      <c r="B537" s="2" t="s">
        <v>564</v>
      </c>
      <c r="C537" s="2" t="s">
        <v>566</v>
      </c>
      <c r="D537" s="6">
        <v>1703960.0</v>
      </c>
      <c r="E537" s="3"/>
      <c r="F537" s="6" t="s">
        <v>3</v>
      </c>
      <c r="G537" s="3">
        <v>5.938117484000003E7</v>
      </c>
      <c r="H537" s="3"/>
      <c r="I537" s="8" t="s">
        <v>4</v>
      </c>
    </row>
    <row r="538">
      <c r="A538" s="1">
        <v>46112.0</v>
      </c>
      <c r="B538" s="2" t="s">
        <v>567</v>
      </c>
      <c r="C538" s="2" t="s">
        <v>568</v>
      </c>
      <c r="D538" s="6"/>
      <c r="E538" s="6">
        <v>4.431E7</v>
      </c>
      <c r="F538" s="6" t="s">
        <v>7</v>
      </c>
      <c r="G538" s="3">
        <v>1.0369117484000003E8</v>
      </c>
      <c r="H538" s="3"/>
      <c r="I538" s="8" t="s">
        <v>4</v>
      </c>
    </row>
    <row r="539">
      <c r="A539" s="1">
        <v>46112.0</v>
      </c>
      <c r="B539" s="2" t="s">
        <v>8</v>
      </c>
      <c r="C539" s="2" t="s">
        <v>569</v>
      </c>
      <c r="D539" s="6">
        <v>1.010709E8</v>
      </c>
      <c r="E539" s="3"/>
      <c r="F539" s="6" t="s">
        <v>3</v>
      </c>
      <c r="G539" s="3">
        <v>2620274.8400000334</v>
      </c>
      <c r="H539" s="3"/>
      <c r="I539" s="8" t="s">
        <v>4</v>
      </c>
    </row>
    <row r="540">
      <c r="A540" s="1">
        <v>46112.0</v>
      </c>
      <c r="B540" s="2" t="s">
        <v>261</v>
      </c>
      <c r="C540" s="2" t="s">
        <v>570</v>
      </c>
      <c r="D540" s="6"/>
      <c r="E540" s="6">
        <v>1.508921E8</v>
      </c>
      <c r="F540" s="3"/>
      <c r="G540" s="3">
        <v>1.5351237484000003E8</v>
      </c>
      <c r="H540" s="3"/>
      <c r="I540" s="8" t="s">
        <v>4</v>
      </c>
    </row>
    <row r="541">
      <c r="A541" s="1">
        <v>46112.0</v>
      </c>
      <c r="B541" s="2" t="s">
        <v>14</v>
      </c>
      <c r="C541" s="2" t="s">
        <v>571</v>
      </c>
      <c r="D541" s="6"/>
      <c r="E541" s="6">
        <v>4.977336E7</v>
      </c>
      <c r="F541" s="6" t="s">
        <v>7</v>
      </c>
      <c r="G541" s="3">
        <v>2.0328573484000003E8</v>
      </c>
      <c r="H541" s="3"/>
      <c r="I541" s="8" t="s">
        <v>4</v>
      </c>
    </row>
    <row r="542">
      <c r="A542" s="1">
        <v>46112.0</v>
      </c>
      <c r="B542" s="2" t="s">
        <v>14</v>
      </c>
      <c r="C542" s="2" t="s">
        <v>572</v>
      </c>
      <c r="D542" s="6"/>
      <c r="E542" s="6">
        <v>3.5924452E8</v>
      </c>
      <c r="F542" s="6" t="s">
        <v>7</v>
      </c>
      <c r="G542" s="3">
        <v>5.6253025484E8</v>
      </c>
      <c r="H542" s="3"/>
      <c r="I542" s="8" t="s">
        <v>4</v>
      </c>
    </row>
    <row r="543">
      <c r="A543" s="1">
        <v>46112.0</v>
      </c>
      <c r="B543" s="2" t="s">
        <v>8</v>
      </c>
      <c r="C543" s="2" t="s">
        <v>573</v>
      </c>
      <c r="D543" s="6">
        <v>4.5723E7</v>
      </c>
      <c r="E543" s="3"/>
      <c r="F543" s="6" t="s">
        <v>3</v>
      </c>
      <c r="G543" s="3">
        <v>5.1680725484000003E8</v>
      </c>
      <c r="H543" s="3"/>
      <c r="I543" s="8" t="s">
        <v>4</v>
      </c>
    </row>
    <row r="544">
      <c r="A544" s="1">
        <v>46112.0</v>
      </c>
      <c r="B544" s="2" t="s">
        <v>8</v>
      </c>
      <c r="C544" s="2" t="s">
        <v>574</v>
      </c>
      <c r="D544" s="6">
        <v>4.49334E7</v>
      </c>
      <c r="E544" s="3"/>
      <c r="F544" s="6" t="s">
        <v>3</v>
      </c>
      <c r="G544" s="3">
        <v>4.7187385484000003E8</v>
      </c>
      <c r="H544" s="3"/>
      <c r="I544" s="8" t="s">
        <v>4</v>
      </c>
    </row>
    <row r="545">
      <c r="A545" s="1">
        <v>46112.0</v>
      </c>
      <c r="B545" s="2" t="s">
        <v>8</v>
      </c>
      <c r="C545" s="2" t="s">
        <v>575</v>
      </c>
      <c r="D545" s="6">
        <v>4.8E7</v>
      </c>
      <c r="E545" s="3"/>
      <c r="F545" s="6" t="s">
        <v>3</v>
      </c>
      <c r="G545" s="3">
        <v>4.2387385484000003E8</v>
      </c>
      <c r="H545" s="3"/>
      <c r="I545" s="8" t="s">
        <v>4</v>
      </c>
    </row>
    <row r="546">
      <c r="A546" s="1">
        <v>46112.0</v>
      </c>
      <c r="B546" s="2" t="s">
        <v>8</v>
      </c>
      <c r="C546" s="2" t="s">
        <v>576</v>
      </c>
      <c r="D546" s="6">
        <v>7.0E7</v>
      </c>
      <c r="E546" s="3"/>
      <c r="F546" s="6" t="s">
        <v>3</v>
      </c>
      <c r="G546" s="3">
        <v>3.5387385484000003E8</v>
      </c>
      <c r="H546" s="3"/>
      <c r="I546" s="8" t="s">
        <v>4</v>
      </c>
    </row>
    <row r="547">
      <c r="A547" s="1">
        <v>46112.0</v>
      </c>
      <c r="B547" s="2" t="s">
        <v>8</v>
      </c>
      <c r="C547" s="2" t="s">
        <v>577</v>
      </c>
      <c r="D547" s="6">
        <v>4.490514E7</v>
      </c>
      <c r="E547" s="3"/>
      <c r="F547" s="6" t="s">
        <v>3</v>
      </c>
      <c r="G547" s="3">
        <v>3.0896871484000003E8</v>
      </c>
      <c r="H547" s="3"/>
      <c r="I547" s="8" t="s">
        <v>4</v>
      </c>
    </row>
    <row r="548">
      <c r="A548" s="1">
        <v>46112.0</v>
      </c>
      <c r="B548" s="2" t="s">
        <v>14</v>
      </c>
      <c r="C548" s="2" t="s">
        <v>578</v>
      </c>
      <c r="D548" s="6"/>
      <c r="E548" s="6">
        <v>1.0001112E8</v>
      </c>
      <c r="F548" s="6" t="s">
        <v>7</v>
      </c>
      <c r="G548" s="3">
        <v>4.0897983484000003E8</v>
      </c>
      <c r="H548" s="6">
        <v>4.0897983484E8</v>
      </c>
      <c r="I548" s="8" t="s">
        <v>4</v>
      </c>
    </row>
    <row r="549">
      <c r="A549" s="1">
        <v>46112.0</v>
      </c>
      <c r="B549" s="2" t="s">
        <v>14</v>
      </c>
      <c r="C549" s="2" t="s">
        <v>579</v>
      </c>
      <c r="D549" s="6"/>
      <c r="E549" s="6">
        <v>6.118E7</v>
      </c>
      <c r="F549" s="6" t="s">
        <v>7</v>
      </c>
      <c r="G549" s="3">
        <v>4.7015983484000003E8</v>
      </c>
      <c r="H549" s="6">
        <v>4.7015983484E8</v>
      </c>
      <c r="I549" s="10" t="s">
        <v>580</v>
      </c>
    </row>
    <row r="550">
      <c r="A550" s="1">
        <v>46112.0</v>
      </c>
      <c r="B550" s="2" t="s">
        <v>8</v>
      </c>
      <c r="C550" s="2" t="s">
        <v>581</v>
      </c>
      <c r="D550" s="6">
        <v>654000.0</v>
      </c>
      <c r="E550" s="3"/>
      <c r="F550" s="6" t="s">
        <v>3</v>
      </c>
      <c r="G550" s="3">
        <v>4.6950583484000003E8</v>
      </c>
      <c r="H550" s="6"/>
      <c r="I550" s="8" t="s">
        <v>4</v>
      </c>
    </row>
    <row r="551">
      <c r="A551" s="1">
        <v>46112.0</v>
      </c>
      <c r="B551" s="2" t="s">
        <v>8</v>
      </c>
      <c r="C551" s="2" t="s">
        <v>582</v>
      </c>
      <c r="D551" s="6">
        <v>2.623069E8</v>
      </c>
      <c r="E551" s="3"/>
      <c r="F551" s="6" t="s">
        <v>3</v>
      </c>
      <c r="G551" s="3">
        <v>2.0719893484000003E8</v>
      </c>
      <c r="H551" s="6"/>
      <c r="I551" s="8" t="s">
        <v>4</v>
      </c>
    </row>
    <row r="552">
      <c r="A552" s="1">
        <v>46112.0</v>
      </c>
      <c r="B552" s="2" t="s">
        <v>8</v>
      </c>
      <c r="C552" s="2" t="s">
        <v>583</v>
      </c>
      <c r="D552" s="6">
        <v>4.74E7</v>
      </c>
      <c r="E552" s="3"/>
      <c r="F552" s="6" t="s">
        <v>3</v>
      </c>
      <c r="G552" s="3">
        <v>1.5979893484000003E8</v>
      </c>
      <c r="H552" s="6"/>
      <c r="I552" s="8" t="s">
        <v>4</v>
      </c>
    </row>
    <row r="553">
      <c r="A553" s="1">
        <v>46112.0</v>
      </c>
      <c r="B553" s="2" t="s">
        <v>8</v>
      </c>
      <c r="C553" s="2" t="s">
        <v>584</v>
      </c>
      <c r="D553" s="6">
        <v>8.308938E7</v>
      </c>
      <c r="E553" s="3"/>
      <c r="F553" s="6" t="s">
        <v>3</v>
      </c>
      <c r="G553" s="3">
        <v>7.670955484000003E7</v>
      </c>
      <c r="H553" s="6"/>
      <c r="I553" s="8" t="s">
        <v>4</v>
      </c>
    </row>
    <row r="554">
      <c r="A554" s="1">
        <v>46112.0</v>
      </c>
      <c r="B554" s="2" t="s">
        <v>14</v>
      </c>
      <c r="C554" s="2" t="s">
        <v>585</v>
      </c>
      <c r="D554" s="6"/>
      <c r="E554" s="6">
        <v>1.0E8</v>
      </c>
      <c r="F554" s="6" t="s">
        <v>7</v>
      </c>
      <c r="G554" s="3">
        <v>1.7670955484000003E8</v>
      </c>
      <c r="H554" s="3"/>
      <c r="I554" s="8" t="s">
        <v>4</v>
      </c>
    </row>
    <row r="555">
      <c r="A555" s="1">
        <v>46112.0</v>
      </c>
      <c r="B555" s="2" t="s">
        <v>8</v>
      </c>
      <c r="C555" s="2" t="s">
        <v>586</v>
      </c>
      <c r="D555" s="6">
        <v>1.91938E7</v>
      </c>
      <c r="E555" s="3"/>
      <c r="F555" s="6" t="s">
        <v>3</v>
      </c>
      <c r="G555" s="3">
        <v>1.5751575484000003E8</v>
      </c>
      <c r="H555" s="6"/>
      <c r="I555" s="10" t="s">
        <v>13</v>
      </c>
    </row>
    <row r="556">
      <c r="A556" s="1">
        <v>46112.0</v>
      </c>
      <c r="B556" s="2" t="s">
        <v>8</v>
      </c>
      <c r="C556" s="2" t="s">
        <v>587</v>
      </c>
      <c r="D556" s="6">
        <v>1600000.0</v>
      </c>
      <c r="E556" s="3"/>
      <c r="F556" s="6" t="s">
        <v>3</v>
      </c>
      <c r="G556" s="3">
        <v>1.5591575484000003E8</v>
      </c>
      <c r="H556" s="6"/>
      <c r="I556" s="8" t="s">
        <v>4</v>
      </c>
    </row>
    <row r="557">
      <c r="A557" s="1">
        <v>46112.0</v>
      </c>
      <c r="B557" s="2" t="s">
        <v>8</v>
      </c>
      <c r="C557" s="2" t="s">
        <v>588</v>
      </c>
      <c r="D557" s="6">
        <v>4476050.0</v>
      </c>
      <c r="E557" s="3"/>
      <c r="F557" s="6" t="s">
        <v>3</v>
      </c>
      <c r="G557" s="3">
        <v>1.5143970484000003E8</v>
      </c>
      <c r="H557" s="6"/>
      <c r="I557" s="10" t="s">
        <v>13</v>
      </c>
    </row>
    <row r="558">
      <c r="A558" s="1">
        <v>46112.0</v>
      </c>
      <c r="B558" s="2" t="s">
        <v>14</v>
      </c>
      <c r="C558" s="2" t="s">
        <v>589</v>
      </c>
      <c r="D558" s="6"/>
      <c r="E558" s="6">
        <v>4.83E7</v>
      </c>
      <c r="F558" s="6" t="s">
        <v>7</v>
      </c>
      <c r="G558" s="3">
        <v>1.9973970484000003E8</v>
      </c>
      <c r="H558" s="3"/>
      <c r="I558" s="8" t="s">
        <v>4</v>
      </c>
    </row>
    <row r="559">
      <c r="A559" s="1">
        <v>46112.0</v>
      </c>
      <c r="B559" s="2" t="s">
        <v>14</v>
      </c>
      <c r="C559" s="2" t="s">
        <v>590</v>
      </c>
      <c r="D559" s="6"/>
      <c r="E559" s="6">
        <v>4.209885E7</v>
      </c>
      <c r="F559" s="6" t="s">
        <v>7</v>
      </c>
      <c r="G559" s="3">
        <v>2.4183855484000003E8</v>
      </c>
      <c r="H559" s="3"/>
      <c r="I559" s="8" t="s">
        <v>4</v>
      </c>
    </row>
    <row r="560">
      <c r="A560" s="1">
        <v>46112.0</v>
      </c>
      <c r="B560" s="2" t="s">
        <v>8</v>
      </c>
      <c r="C560" s="2" t="s">
        <v>591</v>
      </c>
      <c r="D560" s="6">
        <v>1.5414216E8</v>
      </c>
      <c r="E560" s="3"/>
      <c r="F560" s="6" t="s">
        <v>3</v>
      </c>
      <c r="G560" s="3">
        <v>8.769639484000003E7</v>
      </c>
      <c r="H560" s="6"/>
      <c r="I560" s="8" t="s">
        <v>4</v>
      </c>
    </row>
    <row r="561">
      <c r="A561" s="1">
        <v>46112.0</v>
      </c>
      <c r="B561" s="2" t="s">
        <v>592</v>
      </c>
      <c r="C561" s="2" t="s">
        <v>592</v>
      </c>
      <c r="D561" s="6">
        <v>1.53</v>
      </c>
      <c r="E561" s="3"/>
      <c r="F561" s="6"/>
      <c r="G561" s="3">
        <v>8.769639331000003E7</v>
      </c>
      <c r="H561" s="6"/>
      <c r="I561" s="8" t="s">
        <v>4</v>
      </c>
    </row>
    <row r="562">
      <c r="A562" s="1">
        <v>46112.0</v>
      </c>
      <c r="B562" s="2" t="s">
        <v>593</v>
      </c>
      <c r="C562" s="2" t="s">
        <v>593</v>
      </c>
      <c r="D562" s="6">
        <v>532.14</v>
      </c>
      <c r="E562" s="3"/>
      <c r="F562" s="3"/>
      <c r="G562" s="3">
        <v>8.769586117000003E7</v>
      </c>
      <c r="H562" s="3"/>
      <c r="I562" s="8" t="s">
        <v>4</v>
      </c>
    </row>
    <row r="563">
      <c r="A563" s="1">
        <v>46112.0</v>
      </c>
      <c r="B563" s="2" t="s">
        <v>594</v>
      </c>
      <c r="C563" s="2" t="s">
        <v>594</v>
      </c>
      <c r="D563" s="6">
        <v>106.12</v>
      </c>
      <c r="E563" s="3"/>
      <c r="F563" s="6"/>
      <c r="G563" s="3">
        <v>8.769575505000003E7</v>
      </c>
      <c r="H563" s="6">
        <v>8.769681933E7</v>
      </c>
      <c r="I563" s="8" t="s">
        <v>4</v>
      </c>
    </row>
  </sheetData>
  <dataValidations>
    <dataValidation type="list" allowBlank="1" showErrorMessage="1" sqref="I1:I563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f>IFERROR(__xludf.DUMMYFUNCTION("IFERROR(QUERY(MAR_2023!A:I, ""SELECT * WHERE D IS NOT NULL AND UPPER(I) = 'PRODUKSI'"", 1), ""Data KOSONG belum ditemukan"") "),46082.0)</f>
        <v>46082</v>
      </c>
      <c r="B1" s="7" t="str">
        <f>IFERROR(__xludf.DUMMYFUNCTION("""COMPUTED_VALUE"""),"TRSF E-BANKING DB TANGGAL :28/02")</f>
        <v>TRSF E-BANKING DB TANGGAL :28/02</v>
      </c>
      <c r="C1" s="7" t="str">
        <f>IFERROR(__xludf.DUMMYFUNCTION("""COMPUTED_VALUE"""),"2802/FTSCY/WS95011 jombang PITIK DIGITAL INDO")</f>
        <v>2802/FTSCY/WS95011 jombang PITIK DIGITAL INDO</v>
      </c>
      <c r="D1" s="7">
        <f>IFERROR(__xludf.DUMMYFUNCTION("""COMPUTED_VALUE"""),5.845E7)</f>
        <v>58450000</v>
      </c>
      <c r="E1" s="7"/>
      <c r="F1" s="7" t="str">
        <f>IFERROR(__xludf.DUMMYFUNCTION("""COMPUTED_VALUE"""),"DB")</f>
        <v>DB</v>
      </c>
      <c r="G1" s="7">
        <f>IFERROR(__xludf.DUMMYFUNCTION("""COMPUTED_VALUE"""),1.8673269840000004E7)</f>
        <v>18673269.84</v>
      </c>
      <c r="H1" s="7">
        <f>IFERROR(__xludf.DUMMYFUNCTION("""COMPUTED_VALUE"""),1.867326984E7)</f>
        <v>18673269.84</v>
      </c>
      <c r="I1" s="7" t="str">
        <f>IFERROR(__xludf.DUMMYFUNCTION("""COMPUTED_VALUE"""),"PRODUKSI")</f>
        <v>PRODUKSI</v>
      </c>
      <c r="J1" s="7">
        <f>SUM(D1:D1000)</f>
        <v>16339934330</v>
      </c>
    </row>
    <row r="2">
      <c r="A2" s="9">
        <f>IFERROR(__xludf.DUMMYFUNCTION("""COMPUTED_VALUE"""),46082.0)</f>
        <v>46082</v>
      </c>
      <c r="B2" s="7" t="str">
        <f>IFERROR(__xludf.DUMMYFUNCTION("""COMPUTED_VALUE"""),"TRSF E-BANKING DB")</f>
        <v>TRSF E-BANKING DB</v>
      </c>
      <c r="C2" s="7" t="str">
        <f>IFERROR(__xludf.DUMMYFUNCTION("""COMPUTED_VALUE"""),"0103/FTSCY/WS95031 49500000.00 kd siti holipah t. a ANUGERAH KARTIKA A")</f>
        <v>0103/FTSCY/WS95031 49500000.00 kd siti holipah t. a ANUGERAH KARTIKA A</v>
      </c>
      <c r="D2" s="7">
        <f>IFERROR(__xludf.DUMMYFUNCTION("""COMPUTED_VALUE"""),4.95E7)</f>
        <v>49500000</v>
      </c>
      <c r="E2" s="7"/>
      <c r="F2" s="7" t="str">
        <f>IFERROR(__xludf.DUMMYFUNCTION("""COMPUTED_VALUE"""),"DB")</f>
        <v>DB</v>
      </c>
      <c r="G2" s="7">
        <f>IFERROR(__xludf.DUMMYFUNCTION("""COMPUTED_VALUE"""),2.0588269840000004E7)</f>
        <v>20588269.84</v>
      </c>
      <c r="H2" s="7"/>
      <c r="I2" s="7" t="str">
        <f>IFERROR(__xludf.DUMMYFUNCTION("""COMPUTED_VALUE"""),"PRODUKSI")</f>
        <v>PRODUKSI</v>
      </c>
    </row>
    <row r="3">
      <c r="A3" s="9">
        <f>IFERROR(__xludf.DUMMYFUNCTION("""COMPUTED_VALUE"""),46082.0)</f>
        <v>46082</v>
      </c>
      <c r="B3" s="7" t="str">
        <f>IFERROR(__xludf.DUMMYFUNCTION("""COMPUTED_VALUE"""),"TRSF E-BANKING DB")</f>
        <v>TRSF E-BANKING DB</v>
      </c>
      <c r="C3" s="7" t="str">
        <f>IFERROR(__xludf.DUMMYFUNCTION("""COMPUTED_VALUE"""),"0103/FTSCY/WS95271 96712600.00 Thu Feb 26 2026 15:00:00 GMT+0700 (Western Indonesia Time) BROILER MAKMUR TAN")</f>
        <v>0103/FTSCY/WS95271 96712600.00 Thu Feb 26 2026 15:00:00 GMT+0700 (Western Indonesia Time) BROILER MAKMUR TAN</v>
      </c>
      <c r="D3" s="7">
        <f>IFERROR(__xludf.DUMMYFUNCTION("""COMPUTED_VALUE"""),9.67126E7)</f>
        <v>96712600</v>
      </c>
      <c r="E3" s="7"/>
      <c r="F3" s="7" t="str">
        <f>IFERROR(__xludf.DUMMYFUNCTION("""COMPUTED_VALUE"""),"DB")</f>
        <v>DB</v>
      </c>
      <c r="G3" s="7">
        <f>IFERROR(__xludf.DUMMYFUNCTION("""COMPUTED_VALUE"""),6.731214984E7)</f>
        <v>67312149.84</v>
      </c>
      <c r="H3" s="7"/>
      <c r="I3" s="7" t="str">
        <f>IFERROR(__xludf.DUMMYFUNCTION("""COMPUTED_VALUE"""),"PRODUKSI")</f>
        <v>PRODUKSI</v>
      </c>
    </row>
    <row r="4">
      <c r="A4" s="9">
        <f>IFERROR(__xludf.DUMMYFUNCTION("""COMPUTED_VALUE"""),46082.0)</f>
        <v>46082</v>
      </c>
      <c r="B4" s="7" t="str">
        <f>IFERROR(__xludf.DUMMYFUNCTION("""COMPUTED_VALUE"""),"TRSF E-BANKING DB")</f>
        <v>TRSF E-BANKING DB</v>
      </c>
      <c r="C4" s="7" t="str">
        <f>IFERROR(__xludf.DUMMYFUNCTION("""COMPUTED_VALUE"""),"0103/FTSCY/WS95271 48000000.00 kd ayu sajidah lmj g SURYA INTI TERNAK")</f>
        <v>0103/FTSCY/WS95271 48000000.00 kd ayu sajidah lmj g SURYA INTI TERNAK</v>
      </c>
      <c r="D4" s="7">
        <f>IFERROR(__xludf.DUMMYFUNCTION("""COMPUTED_VALUE"""),4.8E7)</f>
        <v>48000000</v>
      </c>
      <c r="E4" s="7"/>
      <c r="F4" s="7" t="str">
        <f>IFERROR(__xludf.DUMMYFUNCTION("""COMPUTED_VALUE"""),"DB")</f>
        <v>DB</v>
      </c>
      <c r="G4" s="7">
        <f>IFERROR(__xludf.DUMMYFUNCTION("""COMPUTED_VALUE"""),1.0354876984E8)</f>
        <v>103548769.8</v>
      </c>
      <c r="H4" s="7"/>
      <c r="I4" s="7" t="str">
        <f>IFERROR(__xludf.DUMMYFUNCTION("""COMPUTED_VALUE"""),"PRODUKSI")</f>
        <v>PRODUKSI</v>
      </c>
    </row>
    <row r="5">
      <c r="A5" s="9">
        <f>IFERROR(__xludf.DUMMYFUNCTION("""COMPUTED_VALUE"""),46082.0)</f>
        <v>46082</v>
      </c>
      <c r="B5" s="7" t="str">
        <f>IFERROR(__xludf.DUMMYFUNCTION("""COMPUTED_VALUE"""),"TRSF E-BANKING DB")</f>
        <v>TRSF E-BANKING DB</v>
      </c>
      <c r="C5" s="7" t="str">
        <f>IFERROR(__xludf.DUMMYFUNCTION("""COMPUTED_VALUE"""),"0103/FTSCY/WS95271 74117340.00 Thu Feb 26 2026 15:00:00 GMT+0700 (Western Indonesia Time) BROILER MAKMUR TAN")</f>
        <v>0103/FTSCY/WS95271 74117340.00 Thu Feb 26 2026 15:00:00 GMT+0700 (Western Indonesia Time) BROILER MAKMUR TAN</v>
      </c>
      <c r="D5" s="7">
        <f>IFERROR(__xludf.DUMMYFUNCTION("""COMPUTED_VALUE"""),7.411734E7)</f>
        <v>74117340</v>
      </c>
      <c r="E5" s="7"/>
      <c r="F5" s="7" t="str">
        <f>IFERROR(__xludf.DUMMYFUNCTION("""COMPUTED_VALUE"""),"DB")</f>
        <v>DB</v>
      </c>
      <c r="G5" s="7">
        <f>IFERROR(__xludf.DUMMYFUNCTION("""COMPUTED_VALUE"""),2.9431429840000004E7)</f>
        <v>29431429.84</v>
      </c>
      <c r="H5" s="7">
        <f>IFERROR(__xludf.DUMMYFUNCTION("""COMPUTED_VALUE"""),2.943142984E7)</f>
        <v>29431429.84</v>
      </c>
      <c r="I5" s="7" t="str">
        <f>IFERROR(__xludf.DUMMYFUNCTION("""COMPUTED_VALUE"""),"PRODUKSI")</f>
        <v>PRODUKSI</v>
      </c>
    </row>
    <row r="6">
      <c r="A6" s="9">
        <f>IFERROR(__xludf.DUMMYFUNCTION("""COMPUTED_VALUE"""),46083.0)</f>
        <v>46083</v>
      </c>
      <c r="B6" s="7" t="str">
        <f>IFERROR(__xludf.DUMMYFUNCTION("""COMPUTED_VALUE"""),"TRSF E-BANKING DB TANGGAL :01/03")</f>
        <v>TRSF E-BANKING DB TANGGAL :01/03</v>
      </c>
      <c r="C6" s="7" t="str">
        <f>IFERROR(__xludf.DUMMYFUNCTION("""COMPUTED_VALUE"""),"0103/FTSCY/WS95271 Fri Feb 27 2026 15:00:00 GMT+0700 (Western Indonesia Time) BINTANG TAMA SANTO")</f>
        <v>0103/FTSCY/WS95271 Fri Feb 27 2026 15:00:00 GMT+0700 (Western Indonesia Time) BINTANG TAMA SANTO</v>
      </c>
      <c r="D6" s="7">
        <f>IFERROR(__xludf.DUMMYFUNCTION("""COMPUTED_VALUE"""),5.22678E7)</f>
        <v>52267800</v>
      </c>
      <c r="E6" s="7"/>
      <c r="F6" s="7" t="str">
        <f>IFERROR(__xludf.DUMMYFUNCTION("""COMPUTED_VALUE"""),"DB")</f>
        <v>DB</v>
      </c>
      <c r="G6" s="7">
        <f>IFERROR(__xludf.DUMMYFUNCTION("""COMPUTED_VALUE"""),2.9365129840000004E7)</f>
        <v>29365129.84</v>
      </c>
      <c r="H6" s="7"/>
      <c r="I6" s="7" t="str">
        <f>IFERROR(__xludf.DUMMYFUNCTION("""COMPUTED_VALUE"""),"PRODUKSI")</f>
        <v>PRODUKSI</v>
      </c>
    </row>
    <row r="7">
      <c r="A7" s="9">
        <f>IFERROR(__xludf.DUMMYFUNCTION("""COMPUTED_VALUE"""),46083.0)</f>
        <v>46083</v>
      </c>
      <c r="B7" s="7" t="str">
        <f>IFERROR(__xludf.DUMMYFUNCTION("""COMPUTED_VALUE"""),"TRSF E-BANKING DB")</f>
        <v>TRSF E-BANKING DB</v>
      </c>
      <c r="C7" s="7" t="str">
        <f>IFERROR(__xludf.DUMMYFUNCTION("""COMPUTED_VALUE"""),"0203/FTSCY/WS95031 47177640.00 Fri Feb 27 2026 15:00:00 GMT+0700 (Western Indonesia Time) ANDALAN YASA MITRA")</f>
        <v>0203/FTSCY/WS95031 47177640.00 Fri Feb 27 2026 15:00:00 GMT+0700 (Western Indonesia Time) ANDALAN YASA MITRA</v>
      </c>
      <c r="D7" s="7">
        <f>IFERROR(__xludf.DUMMYFUNCTION("""COMPUTED_VALUE"""),4.717764E7)</f>
        <v>47177640</v>
      </c>
      <c r="E7" s="7"/>
      <c r="F7" s="7" t="str">
        <f>IFERROR(__xludf.DUMMYFUNCTION("""COMPUTED_VALUE"""),"DB")</f>
        <v>DB</v>
      </c>
      <c r="G7" s="7">
        <f>IFERROR(__xludf.DUMMYFUNCTION("""COMPUTED_VALUE"""),3.2342989840000004E7)</f>
        <v>32342989.84</v>
      </c>
      <c r="H7" s="7"/>
      <c r="I7" s="7" t="str">
        <f>IFERROR(__xludf.DUMMYFUNCTION("""COMPUTED_VALUE"""),"PRODUKSI")</f>
        <v>PRODUKSI</v>
      </c>
    </row>
    <row r="8">
      <c r="A8" s="9">
        <f>IFERROR(__xludf.DUMMYFUNCTION("""COMPUTED_VALUE"""),46083.0)</f>
        <v>46083</v>
      </c>
      <c r="B8" s="7" t="str">
        <f>IFERROR(__xludf.DUMMYFUNCTION("""COMPUTED_VALUE"""),"TRSF E-BANKING DB")</f>
        <v>TRSF E-BANKING DB</v>
      </c>
      <c r="C8" s="7" t="str">
        <f>IFERROR(__xludf.DUMMYFUNCTION("""COMPUTED_VALUE"""),"0203/FTSCY/WS95031 31900000.00 krg 14 jt TABASSAM AZ ZUFAR")</f>
        <v>0203/FTSCY/WS95031 31900000.00 krg 14 jt TABASSAM AZ ZUFAR</v>
      </c>
      <c r="D8" s="7">
        <f>IFERROR(__xludf.DUMMYFUNCTION("""COMPUTED_VALUE"""),3.19E7)</f>
        <v>31900000</v>
      </c>
      <c r="E8" s="7"/>
      <c r="F8" s="7" t="str">
        <f>IFERROR(__xludf.DUMMYFUNCTION("""COMPUTED_VALUE"""),"DB")</f>
        <v>DB</v>
      </c>
      <c r="G8" s="7">
        <f>IFERROR(__xludf.DUMMYFUNCTION("""COMPUTED_VALUE"""),442989.8400000036)</f>
        <v>442989.84</v>
      </c>
      <c r="H8" s="7"/>
      <c r="I8" s="7" t="str">
        <f>IFERROR(__xludf.DUMMYFUNCTION("""COMPUTED_VALUE"""),"PRODUKSI")</f>
        <v>PRODUKSI</v>
      </c>
    </row>
    <row r="9">
      <c r="A9" s="9">
        <f>IFERROR(__xludf.DUMMYFUNCTION("""COMPUTED_VALUE"""),46083.0)</f>
        <v>46083</v>
      </c>
      <c r="B9" s="7" t="str">
        <f>IFERROR(__xludf.DUMMYFUNCTION("""COMPUTED_VALUE"""),"TRSF E-BANKING DB")</f>
        <v>TRSF E-BANKING DB</v>
      </c>
      <c r="C9" s="7" t="str">
        <f>IFERROR(__xludf.DUMMYFUNCTION("""COMPUTED_VALUE"""),"0203/FTSCY/WS95031 14000000.00 pelunasan TABASSAM AZ ZUFAR")</f>
        <v>0203/FTSCY/WS95031 14000000.00 pelunasan TABASSAM AZ ZUFAR</v>
      </c>
      <c r="D9" s="7">
        <f>IFERROR(__xludf.DUMMYFUNCTION("""COMPUTED_VALUE"""),1.4E7)</f>
        <v>14000000</v>
      </c>
      <c r="E9" s="7"/>
      <c r="F9" s="7" t="str">
        <f>IFERROR(__xludf.DUMMYFUNCTION("""COMPUTED_VALUE"""),"DB")</f>
        <v>DB</v>
      </c>
      <c r="G9" s="7">
        <f>IFERROR(__xludf.DUMMYFUNCTION("""COMPUTED_VALUE"""),1442989.8400000036)</f>
        <v>1442989.84</v>
      </c>
      <c r="H9" s="7"/>
      <c r="I9" s="7" t="str">
        <f>IFERROR(__xludf.DUMMYFUNCTION("""COMPUTED_VALUE"""),"PRODUKSI")</f>
        <v>PRODUKSI</v>
      </c>
    </row>
    <row r="10">
      <c r="A10" s="9">
        <f>IFERROR(__xludf.DUMMYFUNCTION("""COMPUTED_VALUE"""),46083.0)</f>
        <v>46083</v>
      </c>
      <c r="B10" s="7" t="str">
        <f>IFERROR(__xludf.DUMMYFUNCTION("""COMPUTED_VALUE"""),"TRSF E-BANKING DB")</f>
        <v>TRSF E-BANKING DB</v>
      </c>
      <c r="C10" s="7" t="str">
        <f>IFERROR(__xludf.DUMMYFUNCTION("""COMPUTED_VALUE"""),"0203/FTSCY/WS95271 50250000.00 pemb. kd dwi p bli tar ANDALAN YASA MITRA")</f>
        <v>0203/FTSCY/WS95271 50250000.00 pemb. kd dwi p bli tar ANDALAN YASA MITRA</v>
      </c>
      <c r="D10" s="7">
        <f>IFERROR(__xludf.DUMMYFUNCTION("""COMPUTED_VALUE"""),5.025E7)</f>
        <v>50250000</v>
      </c>
      <c r="E10" s="7"/>
      <c r="F10" s="7" t="str">
        <f>IFERROR(__xludf.DUMMYFUNCTION("""COMPUTED_VALUE"""),"DB")</f>
        <v>DB</v>
      </c>
      <c r="G10" s="7">
        <f>IFERROR(__xludf.DUMMYFUNCTION("""COMPUTED_VALUE"""),3.7404151984000003E8)</f>
        <v>374041519.8</v>
      </c>
      <c r="H10" s="7"/>
      <c r="I10" s="7" t="str">
        <f>IFERROR(__xludf.DUMMYFUNCTION("""COMPUTED_VALUE"""),"PRODUKSI")</f>
        <v>PRODUKSI</v>
      </c>
    </row>
    <row r="11">
      <c r="A11" s="9">
        <f>IFERROR(__xludf.DUMMYFUNCTION("""COMPUTED_VALUE"""),46083.0)</f>
        <v>46083</v>
      </c>
      <c r="B11" s="7" t="str">
        <f>IFERROR(__xludf.DUMMYFUNCTION("""COMPUTED_VALUE"""),"TRSF E-BANKING DB")</f>
        <v>TRSF E-BANKING DB</v>
      </c>
      <c r="C11" s="7" t="str">
        <f>IFERROR(__xludf.DUMMYFUNCTION("""COMPUTED_VALUE"""),"0203/FTSCY/WS95271 143904000.00 Fri Mar 27 2026 14:00:00 GMT+0700 (Western Indonesia Time) BROILER MAKMUR TAN")</f>
        <v>0203/FTSCY/WS95271 143904000.00 Fri Mar 27 2026 14:00:00 GMT+0700 (Western Indonesia Time) BROILER MAKMUR TAN</v>
      </c>
      <c r="D11" s="7">
        <f>IFERROR(__xludf.DUMMYFUNCTION("""COMPUTED_VALUE"""),1.43904E8)</f>
        <v>143904000</v>
      </c>
      <c r="E11" s="7"/>
      <c r="F11" s="7" t="str">
        <f>IFERROR(__xludf.DUMMYFUNCTION("""COMPUTED_VALUE"""),"DB")</f>
        <v>DB</v>
      </c>
      <c r="G11" s="7">
        <f>IFERROR(__xludf.DUMMYFUNCTION("""COMPUTED_VALUE"""),2.3013751984000003E8)</f>
        <v>230137519.8</v>
      </c>
      <c r="H11" s="7"/>
      <c r="I11" s="7" t="str">
        <f>IFERROR(__xludf.DUMMYFUNCTION("""COMPUTED_VALUE"""),"PRODUKSI")</f>
        <v>PRODUKSI</v>
      </c>
    </row>
    <row r="12">
      <c r="A12" s="9">
        <f>IFERROR(__xludf.DUMMYFUNCTION("""COMPUTED_VALUE"""),46083.0)</f>
        <v>46083</v>
      </c>
      <c r="B12" s="7" t="str">
        <f>IFERROR(__xludf.DUMMYFUNCTION("""COMPUTED_VALUE"""),"TRSF E-BANKING DB")</f>
        <v>TRSF E-BANKING DB</v>
      </c>
      <c r="C12" s="7" t="str">
        <f>IFERROR(__xludf.DUMMYFUNCTION("""COMPUTED_VALUE"""),"0203/FTSCY/WS95271 88446320.00 mlg PITIK DIGITAL INDO")</f>
        <v>0203/FTSCY/WS95271 88446320.00 mlg PITIK DIGITAL INDO</v>
      </c>
      <c r="D12" s="7">
        <f>IFERROR(__xludf.DUMMYFUNCTION("""COMPUTED_VALUE"""),8.844632E7)</f>
        <v>88446320</v>
      </c>
      <c r="E12" s="7"/>
      <c r="F12" s="7" t="str">
        <f>IFERROR(__xludf.DUMMYFUNCTION("""COMPUTED_VALUE"""),"DB")</f>
        <v>DB</v>
      </c>
      <c r="G12" s="7">
        <f>IFERROR(__xludf.DUMMYFUNCTION("""COMPUTED_VALUE"""),1.4169119984000003E8)</f>
        <v>141691199.8</v>
      </c>
      <c r="H12" s="7"/>
      <c r="I12" s="7" t="str">
        <f>IFERROR(__xludf.DUMMYFUNCTION("""COMPUTED_VALUE"""),"PRODUKSI")</f>
        <v>PRODUKSI</v>
      </c>
    </row>
    <row r="13">
      <c r="A13" s="9">
        <f>IFERROR(__xludf.DUMMYFUNCTION("""COMPUTED_VALUE"""),46083.0)</f>
        <v>46083</v>
      </c>
      <c r="B13" s="7" t="str">
        <f>IFERROR(__xludf.DUMMYFUNCTION("""COMPUTED_VALUE"""),"TRSF E-BANKING DB")</f>
        <v>TRSF E-BANKING DB</v>
      </c>
      <c r="C13" s="7" t="str">
        <f>IFERROR(__xludf.DUMMYFUNCTION("""COMPUTED_VALUE"""),"0203/FTSCY/WS95011 92518800.00 Fri Feb 27 2026 15:00:00 GMT+0700 (Western Indonesia Time) BROILER MAKMUR TAN")</f>
        <v>0203/FTSCY/WS95011 92518800.00 Fri Feb 27 2026 15:00:00 GMT+0700 (Western Indonesia Time) BROILER MAKMUR TAN</v>
      </c>
      <c r="D13" s="7">
        <f>IFERROR(__xludf.DUMMYFUNCTION("""COMPUTED_VALUE"""),9.25188E7)</f>
        <v>92518800</v>
      </c>
      <c r="E13" s="7"/>
      <c r="F13" s="7" t="str">
        <f>IFERROR(__xludf.DUMMYFUNCTION("""COMPUTED_VALUE"""),"DB")</f>
        <v>DB</v>
      </c>
      <c r="G13" s="7">
        <f>IFERROR(__xludf.DUMMYFUNCTION("""COMPUTED_VALUE"""),4.917239984000003E7)</f>
        <v>49172399.84</v>
      </c>
      <c r="H13" s="7">
        <f>IFERROR(__xludf.DUMMYFUNCTION("""COMPUTED_VALUE"""),4.917239984E7)</f>
        <v>49172399.84</v>
      </c>
      <c r="I13" s="7" t="str">
        <f>IFERROR(__xludf.DUMMYFUNCTION("""COMPUTED_VALUE"""),"PRODUKSI")</f>
        <v>PRODUKSI</v>
      </c>
    </row>
    <row r="14">
      <c r="A14" s="9">
        <f>IFERROR(__xludf.DUMMYFUNCTION("""COMPUTED_VALUE"""),46084.0)</f>
        <v>46084</v>
      </c>
      <c r="B14" s="7" t="str">
        <f>IFERROR(__xludf.DUMMYFUNCTION("""COMPUTED_VALUE"""),"TRSF E-BANKING DB")</f>
        <v>TRSF E-BANKING DB</v>
      </c>
      <c r="C14" s="7" t="str">
        <f>IFERROR(__xludf.DUMMYFUNCTION("""COMPUTED_VALUE"""),"0303/FTSCY/WS95031 43906000.00 Sun Mar 01 2026 15:00:00 GMT+0700 (Western Indonesia Time) BINTANG TAMA SANTO")</f>
        <v>0303/FTSCY/WS95031 43906000.00 Sun Mar 01 2026 15:00:00 GMT+0700 (Western Indonesia Time) BINTANG TAMA SANTO</v>
      </c>
      <c r="D14" s="7">
        <f>IFERROR(__xludf.DUMMYFUNCTION("""COMPUTED_VALUE"""),4.3906E7)</f>
        <v>43906000</v>
      </c>
      <c r="E14" s="7"/>
      <c r="F14" s="7" t="str">
        <f>IFERROR(__xludf.DUMMYFUNCTION("""COMPUTED_VALUE"""),"DB")</f>
        <v>DB</v>
      </c>
      <c r="G14" s="7">
        <f>IFERROR(__xludf.DUMMYFUNCTION("""COMPUTED_VALUE"""),5.4968574484E8)</f>
        <v>549685744.8</v>
      </c>
      <c r="H14" s="7"/>
      <c r="I14" s="7" t="str">
        <f>IFERROR(__xludf.DUMMYFUNCTION("""COMPUTED_VALUE"""),"PRODUKSI")</f>
        <v>PRODUKSI</v>
      </c>
    </row>
    <row r="15">
      <c r="A15" s="9">
        <f>IFERROR(__xludf.DUMMYFUNCTION("""COMPUTED_VALUE"""),46084.0)</f>
        <v>46084</v>
      </c>
      <c r="B15" s="7" t="str">
        <f>IFERROR(__xludf.DUMMYFUNCTION("""COMPUTED_VALUE"""),"TRSF E-BANKING DB")</f>
        <v>TRSF E-BANKING DB</v>
      </c>
      <c r="C15" s="7" t="str">
        <f>IFERROR(__xludf.DUMMYFUNCTION("""COMPUTED_VALUE"""),"0303/FTSCY/WS95031 52795500.00 Sun Mar 01 2026 15:00:00 GMT+0700 (Western Indonesia Time) BINTANG TAMA SANTO")</f>
        <v>0303/FTSCY/WS95031 52795500.00 Sun Mar 01 2026 15:00:00 GMT+0700 (Western Indonesia Time) BINTANG TAMA SANTO</v>
      </c>
      <c r="D15" s="7">
        <f>IFERROR(__xludf.DUMMYFUNCTION("""COMPUTED_VALUE"""),5.27955E7)</f>
        <v>52795500</v>
      </c>
      <c r="E15" s="7"/>
      <c r="F15" s="7" t="str">
        <f>IFERROR(__xludf.DUMMYFUNCTION("""COMPUTED_VALUE"""),"DB")</f>
        <v>DB</v>
      </c>
      <c r="G15" s="7">
        <f>IFERROR(__xludf.DUMMYFUNCTION("""COMPUTED_VALUE"""),4.9689024484000003E8)</f>
        <v>496890244.8</v>
      </c>
      <c r="H15" s="7"/>
      <c r="I15" s="7" t="str">
        <f>IFERROR(__xludf.DUMMYFUNCTION("""COMPUTED_VALUE"""),"PRODUKSI")</f>
        <v>PRODUKSI</v>
      </c>
    </row>
    <row r="16">
      <c r="A16" s="9">
        <f>IFERROR(__xludf.DUMMYFUNCTION("""COMPUTED_VALUE"""),46084.0)</f>
        <v>46084</v>
      </c>
      <c r="B16" s="7" t="str">
        <f>IFERROR(__xludf.DUMMYFUNCTION("""COMPUTED_VALUE"""),"TRSF E-BANKING DB")</f>
        <v>TRSF E-BANKING DB</v>
      </c>
      <c r="C16" s="7" t="str">
        <f>IFERROR(__xludf.DUMMYFUNCTION("""COMPUTED_VALUE"""),"0303/FTSCY/WS95271 48000000.00 Sun Mar 01 2026 15:00:00 GMT+0700 (Western Indonesia Time) ANDALAN YASA MITRA")</f>
        <v>0303/FTSCY/WS95271 48000000.00 Sun Mar 01 2026 15:00:00 GMT+0700 (Western Indonesia Time) ANDALAN YASA MITRA</v>
      </c>
      <c r="D16" s="7">
        <f>IFERROR(__xludf.DUMMYFUNCTION("""COMPUTED_VALUE"""),4.8E7)</f>
        <v>48000000</v>
      </c>
      <c r="E16" s="7"/>
      <c r="F16" s="7" t="str">
        <f>IFERROR(__xludf.DUMMYFUNCTION("""COMPUTED_VALUE"""),"DB")</f>
        <v>DB</v>
      </c>
      <c r="G16" s="7">
        <f>IFERROR(__xludf.DUMMYFUNCTION("""COMPUTED_VALUE"""),4.4889024484000003E8)</f>
        <v>448890244.8</v>
      </c>
      <c r="H16" s="7"/>
      <c r="I16" s="7" t="str">
        <f>IFERROR(__xludf.DUMMYFUNCTION("""COMPUTED_VALUE"""),"PRODUKSI")</f>
        <v>PRODUKSI</v>
      </c>
    </row>
    <row r="17">
      <c r="A17" s="9">
        <f>IFERROR(__xludf.DUMMYFUNCTION("""COMPUTED_VALUE"""),46084.0)</f>
        <v>46084</v>
      </c>
      <c r="B17" s="7" t="str">
        <f>IFERROR(__xludf.DUMMYFUNCTION("""COMPUTED_VALUE"""),"TRSF E-BANKING DB")</f>
        <v>TRSF E-BANKING DB</v>
      </c>
      <c r="C17" s="7" t="str">
        <f>IFERROR(__xludf.DUMMYFUNCTION("""COMPUTED_VALUE"""),"0303/FTSCY/WS95271 81304020.00 Sat Feb 28 2026 15:00:00 GMT+0700 (Western Indonesia Time) BROILER MAKMUR TAN")</f>
        <v>0303/FTSCY/WS95271 81304020.00 Sat Feb 28 2026 15:00:00 GMT+0700 (Western Indonesia Time) BROILER MAKMUR TAN</v>
      </c>
      <c r="D17" s="7">
        <f>IFERROR(__xludf.DUMMYFUNCTION("""COMPUTED_VALUE"""),8.130402E7)</f>
        <v>81304020</v>
      </c>
      <c r="E17" s="7"/>
      <c r="F17" s="7" t="str">
        <f>IFERROR(__xludf.DUMMYFUNCTION("""COMPUTED_VALUE"""),"DB")</f>
        <v>DB</v>
      </c>
      <c r="G17" s="7">
        <f>IFERROR(__xludf.DUMMYFUNCTION("""COMPUTED_VALUE"""),3.6758622484000003E8)</f>
        <v>367586224.8</v>
      </c>
      <c r="H17" s="7"/>
      <c r="I17" s="7" t="str">
        <f>IFERROR(__xludf.DUMMYFUNCTION("""COMPUTED_VALUE"""),"PRODUKSI")</f>
        <v>PRODUKSI</v>
      </c>
    </row>
    <row r="18">
      <c r="A18" s="9">
        <f>IFERROR(__xludf.DUMMYFUNCTION("""COMPUTED_VALUE"""),46084.0)</f>
        <v>46084</v>
      </c>
      <c r="B18" s="7" t="str">
        <f>IFERROR(__xludf.DUMMYFUNCTION("""COMPUTED_VALUE"""),"TRSF E-BANKING DB")</f>
        <v>TRSF E-BANKING DB</v>
      </c>
      <c r="C18" s="7" t="str">
        <f>IFERROR(__xludf.DUMMYFUNCTION("""COMPUTED_VALUE"""),"0303/FTSCY/WS95271 105983880.00 Wed Jan 28 2026 15:00:00 GMT+0700 (Western Indonesia Time) BROILER MAKMUR TAN")</f>
        <v>0303/FTSCY/WS95271 105983880.00 Wed Jan 28 2026 15:00:00 GMT+0700 (Western Indonesia Time) BROILER MAKMUR TAN</v>
      </c>
      <c r="D18" s="7">
        <f>IFERROR(__xludf.DUMMYFUNCTION("""COMPUTED_VALUE"""),1.0598388E8)</f>
        <v>105983880</v>
      </c>
      <c r="E18" s="7"/>
      <c r="F18" s="7" t="str">
        <f>IFERROR(__xludf.DUMMYFUNCTION("""COMPUTED_VALUE"""),"DB")</f>
        <v>DB</v>
      </c>
      <c r="G18" s="7">
        <f>IFERROR(__xludf.DUMMYFUNCTION("""COMPUTED_VALUE"""),2.6160234484000003E8)</f>
        <v>261602344.8</v>
      </c>
      <c r="H18" s="7"/>
      <c r="I18" s="7" t="str">
        <f>IFERROR(__xludf.DUMMYFUNCTION("""COMPUTED_VALUE"""),"PRODUKSI")</f>
        <v>PRODUKSI</v>
      </c>
    </row>
    <row r="19">
      <c r="A19" s="9">
        <f>IFERROR(__xludf.DUMMYFUNCTION("""COMPUTED_VALUE"""),46084.0)</f>
        <v>46084</v>
      </c>
      <c r="B19" s="7" t="str">
        <f>IFERROR(__xludf.DUMMYFUNCTION("""COMPUTED_VALUE"""),"TRSF E-BANKING DB")</f>
        <v>TRSF E-BANKING DB</v>
      </c>
      <c r="C19" s="7" t="str">
        <f>IFERROR(__xludf.DUMMYFUNCTION("""COMPUTED_VALUE"""),"0303/FTSCY/WS95271 44951550.00 Sun Mar 01 2026 15:00:00 GMT+0700 (Western Indonesia Time) RUKUN MITRA BERSAM")</f>
        <v>0303/FTSCY/WS95271 44951550.00 Sun Mar 01 2026 15:00:00 GMT+0700 (Western Indonesia Time) RUKUN MITRA BERSAM</v>
      </c>
      <c r="D19" s="7">
        <f>IFERROR(__xludf.DUMMYFUNCTION("""COMPUTED_VALUE"""),4.495155E7)</f>
        <v>44951550</v>
      </c>
      <c r="E19" s="7"/>
      <c r="F19" s="7" t="str">
        <f>IFERROR(__xludf.DUMMYFUNCTION("""COMPUTED_VALUE"""),"DB")</f>
        <v>DB</v>
      </c>
      <c r="G19" s="7">
        <f>IFERROR(__xludf.DUMMYFUNCTION("""COMPUTED_VALUE"""),2.1665079484000003E8)</f>
        <v>216650794.8</v>
      </c>
      <c r="H19" s="7"/>
      <c r="I19" s="7" t="str">
        <f>IFERROR(__xludf.DUMMYFUNCTION("""COMPUTED_VALUE"""),"PRODUKSI")</f>
        <v>PRODUKSI</v>
      </c>
    </row>
    <row r="20">
      <c r="A20" s="9">
        <f>IFERROR(__xludf.DUMMYFUNCTION("""COMPUTED_VALUE"""),46084.0)</f>
        <v>46084</v>
      </c>
      <c r="B20" s="7" t="str">
        <f>IFERROR(__xludf.DUMMYFUNCTION("""COMPUTED_VALUE"""),"TRSF E-BANKING DB")</f>
        <v>TRSF E-BANKING DB</v>
      </c>
      <c r="C20" s="7" t="str">
        <f>IFERROR(__xludf.DUMMYFUNCTION("""COMPUTED_VALUE"""),"0303/FTSCY/WS95011 102997500.00 t.agung PITIK DIGITAL INDO")</f>
        <v>0303/FTSCY/WS95011 102997500.00 t.agung PITIK DIGITAL INDO</v>
      </c>
      <c r="D20" s="7">
        <f>IFERROR(__xludf.DUMMYFUNCTION("""COMPUTED_VALUE"""),1.029975E8)</f>
        <v>102997500</v>
      </c>
      <c r="E20" s="7"/>
      <c r="F20" s="7" t="str">
        <f>IFERROR(__xludf.DUMMYFUNCTION("""COMPUTED_VALUE"""),"DB")</f>
        <v>DB</v>
      </c>
      <c r="G20" s="7">
        <f>IFERROR(__xludf.DUMMYFUNCTION("""COMPUTED_VALUE"""),1.1365329484000003E8)</f>
        <v>113653294.8</v>
      </c>
      <c r="H20" s="7"/>
      <c r="I20" s="7" t="str">
        <f>IFERROR(__xludf.DUMMYFUNCTION("""COMPUTED_VALUE"""),"PRODUKSI")</f>
        <v>PRODUKSI</v>
      </c>
    </row>
    <row r="21">
      <c r="A21" s="9">
        <f>IFERROR(__xludf.DUMMYFUNCTION("""COMPUTED_VALUE"""),46084.0)</f>
        <v>46084</v>
      </c>
      <c r="B21" s="7" t="str">
        <f>IFERROR(__xludf.DUMMYFUNCTION("""COMPUTED_VALUE"""),"TRSF E-BANKING DB")</f>
        <v>TRSF E-BANKING DB</v>
      </c>
      <c r="C21" s="7" t="str">
        <f>IFERROR(__xludf.DUMMYFUNCTION("""COMPUTED_VALUE"""),"0303/FTSCY/WS95011 37647000.00 pelunasan SUGENG RIADI")</f>
        <v>0303/FTSCY/WS95011 37647000.00 pelunasan SUGENG RIADI</v>
      </c>
      <c r="D21" s="7">
        <f>IFERROR(__xludf.DUMMYFUNCTION("""COMPUTED_VALUE"""),3.7647E7)</f>
        <v>37647000</v>
      </c>
      <c r="E21" s="7"/>
      <c r="F21" s="7" t="str">
        <f>IFERROR(__xludf.DUMMYFUNCTION("""COMPUTED_VALUE"""),"DB")</f>
        <v>DB</v>
      </c>
      <c r="G21" s="7">
        <f>IFERROR(__xludf.DUMMYFUNCTION("""COMPUTED_VALUE"""),1.7170629484000003E8)</f>
        <v>171706294.8</v>
      </c>
      <c r="H21" s="7"/>
      <c r="I21" s="7" t="str">
        <f>IFERROR(__xludf.DUMMYFUNCTION("""COMPUTED_VALUE"""),"PRODUKSI")</f>
        <v>PRODUKSI</v>
      </c>
    </row>
    <row r="22">
      <c r="A22" s="9">
        <f>IFERROR(__xludf.DUMMYFUNCTION("""COMPUTED_VALUE"""),46085.0)</f>
        <v>46085</v>
      </c>
      <c r="B22" s="7" t="str">
        <f>IFERROR(__xludf.DUMMYFUNCTION("""COMPUTED_VALUE"""),"TRSF E-BANKING DB TANGGAL :03/03")</f>
        <v>TRSF E-BANKING DB TANGGAL :03/03</v>
      </c>
      <c r="C22" s="7" t="str">
        <f>IFERROR(__xludf.DUMMYFUNCTION("""COMPUTED_VALUE"""),"0303/FTFVA/WS95031 titip kd wahyudi p asuruan 40190")</f>
        <v>0303/FTFVA/WS95031 titip kd wahyudi p asuruan 40190</v>
      </c>
      <c r="D22" s="7">
        <f>IFERROR(__xludf.DUMMYFUNCTION("""COMPUTED_VALUE"""),5.18E7)</f>
        <v>51800000</v>
      </c>
      <c r="E22" s="7"/>
      <c r="F22" s="7" t="str">
        <f>IFERROR(__xludf.DUMMYFUNCTION("""COMPUTED_VALUE"""),"DB")</f>
        <v>DB</v>
      </c>
      <c r="G22" s="7">
        <f>IFERROR(__xludf.DUMMYFUNCTION("""COMPUTED_VALUE"""),1.1980379484000003E8)</f>
        <v>119803794.8</v>
      </c>
      <c r="H22" s="7"/>
      <c r="I22" s="7" t="str">
        <f>IFERROR(__xludf.DUMMYFUNCTION("""COMPUTED_VALUE"""),"PRODUKSI")</f>
        <v>PRODUKSI</v>
      </c>
    </row>
    <row r="23">
      <c r="A23" s="9">
        <f>IFERROR(__xludf.DUMMYFUNCTION("""COMPUTED_VALUE"""),46085.0)</f>
        <v>46085</v>
      </c>
      <c r="B23" s="7" t="str">
        <f>IFERROR(__xludf.DUMMYFUNCTION("""COMPUTED_VALUE"""),"TRSF E-BANKING DB")</f>
        <v>TRSF E-BANKING DB</v>
      </c>
      <c r="C23" s="7" t="str">
        <f>IFERROR(__xludf.DUMMYFUNCTION("""COMPUTED_VALUE"""),"0403/FTSCY/WS95031 48000000.00 Sun Mar 01 2026 15:00:00 GMT+0700 (Western Indonesia Time) ANDALAN YASA MITRA")</f>
        <v>0403/FTSCY/WS95031 48000000.00 Sun Mar 01 2026 15:00:00 GMT+0700 (Western Indonesia Time) ANDALAN YASA MITRA</v>
      </c>
      <c r="D23" s="7">
        <f>IFERROR(__xludf.DUMMYFUNCTION("""COMPUTED_VALUE"""),4.8E7)</f>
        <v>48000000</v>
      </c>
      <c r="E23" s="7"/>
      <c r="F23" s="7" t="str">
        <f>IFERROR(__xludf.DUMMYFUNCTION("""COMPUTED_VALUE"""),"DB")</f>
        <v>DB</v>
      </c>
      <c r="G23" s="7">
        <f>IFERROR(__xludf.DUMMYFUNCTION("""COMPUTED_VALUE"""),1.1080265484000003E8)</f>
        <v>110802654.8</v>
      </c>
      <c r="H23" s="7"/>
      <c r="I23" s="7" t="str">
        <f>IFERROR(__xludf.DUMMYFUNCTION("""COMPUTED_VALUE"""),"PRODUKSI")</f>
        <v>PRODUKSI</v>
      </c>
    </row>
    <row r="24">
      <c r="A24" s="9">
        <f>IFERROR(__xludf.DUMMYFUNCTION("""COMPUTED_VALUE"""),46085.0)</f>
        <v>46085</v>
      </c>
      <c r="B24" s="7" t="str">
        <f>IFERROR(__xludf.DUMMYFUNCTION("""COMPUTED_VALUE"""),"TRSF E-BANKING DB")</f>
        <v>TRSF E-BANKING DB</v>
      </c>
      <c r="C24" s="7" t="str">
        <f>IFERROR(__xludf.DUMMYFUNCTION("""COMPUTED_VALUE"""),"0403/FTSCY/WS95031 45444000.00 pemb. kd suyanto t .a TABASSAM AL HATTAK")</f>
        <v>0403/FTSCY/WS95031 45444000.00 pemb. kd suyanto t .a TABASSAM AL HATTAK</v>
      </c>
      <c r="D24" s="7">
        <f>IFERROR(__xludf.DUMMYFUNCTION("""COMPUTED_VALUE"""),4.5444E7)</f>
        <v>45444000</v>
      </c>
      <c r="E24" s="7"/>
      <c r="F24" s="7" t="str">
        <f>IFERROR(__xludf.DUMMYFUNCTION("""COMPUTED_VALUE"""),"DB")</f>
        <v>DB</v>
      </c>
      <c r="G24" s="7">
        <f>IFERROR(__xludf.DUMMYFUNCTION("""COMPUTED_VALUE"""),6.336911484000003E7)</f>
        <v>63369114.84</v>
      </c>
      <c r="H24" s="7"/>
      <c r="I24" s="7" t="str">
        <f>IFERROR(__xludf.DUMMYFUNCTION("""COMPUTED_VALUE"""),"PRODUKSI")</f>
        <v>PRODUKSI</v>
      </c>
    </row>
    <row r="25">
      <c r="A25" s="9">
        <f>IFERROR(__xludf.DUMMYFUNCTION("""COMPUTED_VALUE"""),46085.0)</f>
        <v>46085</v>
      </c>
      <c r="B25" s="7" t="str">
        <f>IFERROR(__xludf.DUMMYFUNCTION("""COMPUTED_VALUE"""),"TRSF E-BANKING DB")</f>
        <v>TRSF E-BANKING DB</v>
      </c>
      <c r="C25" s="7" t="str">
        <f>IFERROR(__xludf.DUMMYFUNCTION("""COMPUTED_VALUE"""),"0403/FTSCY/WS95271 46400000.00 pemb. farm haraka 3200kg LAJU SATWA WISESA")</f>
        <v>0403/FTSCY/WS95271 46400000.00 pemb. farm haraka 3200kg LAJU SATWA WISESA</v>
      </c>
      <c r="D25" s="7">
        <f>IFERROR(__xludf.DUMMYFUNCTION("""COMPUTED_VALUE"""),4.64E7)</f>
        <v>46400000</v>
      </c>
      <c r="E25" s="7"/>
      <c r="F25" s="7" t="str">
        <f>IFERROR(__xludf.DUMMYFUNCTION("""COMPUTED_VALUE"""),"DB")</f>
        <v>DB</v>
      </c>
      <c r="G25" s="7">
        <f>IFERROR(__xludf.DUMMYFUNCTION("""COMPUTED_VALUE"""),1.6969114840000033E7)</f>
        <v>16969114.84</v>
      </c>
      <c r="H25" s="7"/>
      <c r="I25" s="7" t="str">
        <f>IFERROR(__xludf.DUMMYFUNCTION("""COMPUTED_VALUE"""),"PRODUKSI")</f>
        <v>PRODUKSI</v>
      </c>
    </row>
    <row r="26">
      <c r="A26" s="9">
        <f>IFERROR(__xludf.DUMMYFUNCTION("""COMPUTED_VALUE"""),46085.0)</f>
        <v>46085</v>
      </c>
      <c r="B26" s="7" t="str">
        <f>IFERROR(__xludf.DUMMYFUNCTION("""COMPUTED_VALUE"""),"TRSF E-BANKING DB")</f>
        <v>TRSF E-BANKING DB</v>
      </c>
      <c r="C26" s="7" t="str">
        <f>IFERROR(__xludf.DUMMYFUNCTION("""COMPUTED_VALUE"""),"0403/FTFVA/WS95031 55569/PT PRIMA FAJ pelunasan - 40190")</f>
        <v>0403/FTFVA/WS95031 55569/PT PRIMA FAJ pelunasan - 40190</v>
      </c>
      <c r="D26" s="7">
        <f>IFERROR(__xludf.DUMMYFUNCTION("""COMPUTED_VALUE"""),3835160.0)</f>
        <v>3835160</v>
      </c>
      <c r="E26" s="7"/>
      <c r="F26" s="7" t="str">
        <f>IFERROR(__xludf.DUMMYFUNCTION("""COMPUTED_VALUE"""),"DB")</f>
        <v>DB</v>
      </c>
      <c r="G26" s="7">
        <f>IFERROR(__xludf.DUMMYFUNCTION("""COMPUTED_VALUE"""),1.3133954840000033E7)</f>
        <v>13133954.84</v>
      </c>
      <c r="H26" s="7"/>
      <c r="I26" s="7" t="str">
        <f>IFERROR(__xludf.DUMMYFUNCTION("""COMPUTED_VALUE"""),"PRODUKSI")</f>
        <v>PRODUKSI</v>
      </c>
    </row>
    <row r="27">
      <c r="A27" s="9">
        <f>IFERROR(__xludf.DUMMYFUNCTION("""COMPUTED_VALUE"""),46085.0)</f>
        <v>46085</v>
      </c>
      <c r="B27" s="7" t="str">
        <f>IFERROR(__xludf.DUMMYFUNCTION("""COMPUTED_VALUE"""),"TRSF E-BANKING DB")</f>
        <v>TRSF E-BANKING DB</v>
      </c>
      <c r="C27" s="7" t="str">
        <f>IFERROR(__xludf.DUMMYFUNCTION("""COMPUTED_VALUE"""),"0403/FTSCY/WS95271 151806500.00 do 01&amp;02 / 03 SUPER UNGGAS JAYA")</f>
        <v>0403/FTSCY/WS95271 151806500.00 do 01&amp;02 / 03 SUPER UNGGAS JAYA</v>
      </c>
      <c r="D27" s="7">
        <f>IFERROR(__xludf.DUMMYFUNCTION("""COMPUTED_VALUE"""),1.518065E8)</f>
        <v>151806500</v>
      </c>
      <c r="E27" s="7"/>
      <c r="F27" s="7" t="str">
        <f>IFERROR(__xludf.DUMMYFUNCTION("""COMPUTED_VALUE"""),"DB")</f>
        <v>DB</v>
      </c>
      <c r="G27" s="7">
        <f>IFERROR(__xludf.DUMMYFUNCTION("""COMPUTED_VALUE"""),1.2798071984000003E8)</f>
        <v>127980719.8</v>
      </c>
      <c r="H27" s="7"/>
      <c r="I27" s="7" t="str">
        <f>IFERROR(__xludf.DUMMYFUNCTION("""COMPUTED_VALUE"""),"PRODUKSI")</f>
        <v>PRODUKSI</v>
      </c>
    </row>
    <row r="28">
      <c r="A28" s="9">
        <f>IFERROR(__xludf.DUMMYFUNCTION("""COMPUTED_VALUE"""),46085.0)</f>
        <v>46085</v>
      </c>
      <c r="B28" s="7" t="str">
        <f>IFERROR(__xludf.DUMMYFUNCTION("""COMPUTED_VALUE"""),"TRSF E-BANKING DB")</f>
        <v>TRSF E-BANKING DB</v>
      </c>
      <c r="C28" s="7" t="str">
        <f>IFERROR(__xludf.DUMMYFUNCTION("""COMPUTED_VALUE"""),"0403/FTSCY/WS95271 54448110.00 jombang PITIK DIGITAL INDO")</f>
        <v>0403/FTSCY/WS95271 54448110.00 jombang PITIK DIGITAL INDO</v>
      </c>
      <c r="D28" s="7">
        <f>IFERROR(__xludf.DUMMYFUNCTION("""COMPUTED_VALUE"""),5.444811E7)</f>
        <v>54448110</v>
      </c>
      <c r="E28" s="7"/>
      <c r="F28" s="7" t="str">
        <f>IFERROR(__xludf.DUMMYFUNCTION("""COMPUTED_VALUE"""),"DB")</f>
        <v>DB</v>
      </c>
      <c r="G28" s="7">
        <f>IFERROR(__xludf.DUMMYFUNCTION("""COMPUTED_VALUE"""),7.144280984000003E7)</f>
        <v>71442809.84</v>
      </c>
      <c r="H28" s="7"/>
      <c r="I28" s="7" t="str">
        <f>IFERROR(__xludf.DUMMYFUNCTION("""COMPUTED_VALUE"""),"PRODUKSI")</f>
        <v>PRODUKSI</v>
      </c>
    </row>
    <row r="29">
      <c r="A29" s="9">
        <f>IFERROR(__xludf.DUMMYFUNCTION("""COMPUTED_VALUE"""),46085.0)</f>
        <v>46085</v>
      </c>
      <c r="B29" s="7" t="str">
        <f>IFERROR(__xludf.DUMMYFUNCTION("""COMPUTED_VALUE"""),"TRSF E-BANKING DB")</f>
        <v>TRSF E-BANKING DB</v>
      </c>
      <c r="C29" s="7" t="str">
        <f>IFERROR(__xludf.DUMMYFUNCTION("""COMPUTED_VALUE"""),"0403/FTSCY/WS95011 42202500.00 02/03 lunas ANUGERAH KARTIKA A")</f>
        <v>0403/FTSCY/WS95011 42202500.00 02/03 lunas ANUGERAH KARTIKA A</v>
      </c>
      <c r="D29" s="7">
        <f>IFERROR(__xludf.DUMMYFUNCTION("""COMPUTED_VALUE"""),4.22025E7)</f>
        <v>42202500</v>
      </c>
      <c r="E29" s="7"/>
      <c r="F29" s="7" t="str">
        <f>IFERROR(__xludf.DUMMYFUNCTION("""COMPUTED_VALUE"""),"DB")</f>
        <v>DB</v>
      </c>
      <c r="G29" s="7">
        <f>IFERROR(__xludf.DUMMYFUNCTION("""COMPUTED_VALUE"""),2.9240309840000033E7)</f>
        <v>29240309.84</v>
      </c>
      <c r="H29" s="7"/>
      <c r="I29" s="7" t="str">
        <f>IFERROR(__xludf.DUMMYFUNCTION("""COMPUTED_VALUE"""),"PRODUKSI")</f>
        <v>PRODUKSI</v>
      </c>
    </row>
    <row r="30">
      <c r="A30" s="9">
        <f>IFERROR(__xludf.DUMMYFUNCTION("""COMPUTED_VALUE"""),46085.0)</f>
        <v>46085</v>
      </c>
      <c r="B30" s="7" t="str">
        <f>IFERROR(__xludf.DUMMYFUNCTION("""COMPUTED_VALUE"""),"TRSF E-BANKING DB")</f>
        <v>TRSF E-BANKING DB</v>
      </c>
      <c r="C30" s="7" t="str">
        <f>IFERROR(__xludf.DUMMYFUNCTION("""COMPUTED_VALUE"""),"0403/FTSCY/WS95011 85405000.00 Sun Mar 01 2026 15:00:00 GMT+0700 (Western Indonesia Time) BROILER MAKMUR TAN")</f>
        <v>0403/FTSCY/WS95011 85405000.00 Sun Mar 01 2026 15:00:00 GMT+0700 (Western Indonesia Time) BROILER MAKMUR TAN</v>
      </c>
      <c r="D30" s="7">
        <f>IFERROR(__xludf.DUMMYFUNCTION("""COMPUTED_VALUE"""),8.5405E7)</f>
        <v>85405000</v>
      </c>
      <c r="E30" s="7"/>
      <c r="F30" s="7" t="str">
        <f>IFERROR(__xludf.DUMMYFUNCTION("""COMPUTED_VALUE"""),"DB")</f>
        <v>DB</v>
      </c>
      <c r="G30" s="7">
        <f>IFERROR(__xludf.DUMMYFUNCTION("""COMPUTED_VALUE"""),3.746770984000003E7)</f>
        <v>37467709.84</v>
      </c>
      <c r="H30" s="7"/>
      <c r="I30" s="7" t="str">
        <f>IFERROR(__xludf.DUMMYFUNCTION("""COMPUTED_VALUE"""),"PRODUKSI")</f>
        <v>PRODUKSI</v>
      </c>
    </row>
    <row r="31">
      <c r="A31" s="9">
        <f>IFERROR(__xludf.DUMMYFUNCTION("""COMPUTED_VALUE"""),46085.0)</f>
        <v>46085</v>
      </c>
      <c r="B31" s="7" t="str">
        <f>IFERROR(__xludf.DUMMYFUNCTION("""COMPUTED_VALUE"""),"TRSF E-BANKING DB")</f>
        <v>TRSF E-BANKING DB</v>
      </c>
      <c r="C31" s="7" t="str">
        <f>IFERROR(__xludf.DUMMYFUNCTION("""COMPUTED_VALUE"""),"0403/FTSCY/WS95011 42331300.00 Mon Mar 02 2026 15:00:00 GMT+0700 (Western Indonesia Time) ANDALAN YASA MITRA")</f>
        <v>0403/FTSCY/WS95011 42331300.00 Mon Mar 02 2026 15:00:00 GMT+0700 (Western Indonesia Time) ANDALAN YASA MITRA</v>
      </c>
      <c r="D31" s="7">
        <f>IFERROR(__xludf.DUMMYFUNCTION("""COMPUTED_VALUE"""),4.23313E7)</f>
        <v>42331300</v>
      </c>
      <c r="E31" s="7"/>
      <c r="F31" s="7" t="str">
        <f>IFERROR(__xludf.DUMMYFUNCTION("""COMPUTED_VALUE"""),"DB")</f>
        <v>DB</v>
      </c>
      <c r="G31" s="7">
        <f>IFERROR(__xludf.DUMMYFUNCTION("""COMPUTED_VALUE"""),1.4490156384000003E8)</f>
        <v>144901563.8</v>
      </c>
      <c r="H31" s="7"/>
      <c r="I31" s="7" t="str">
        <f>IFERROR(__xludf.DUMMYFUNCTION("""COMPUTED_VALUE"""),"PRODUKSI")</f>
        <v>PRODUKSI</v>
      </c>
    </row>
    <row r="32">
      <c r="A32" s="9">
        <f>IFERROR(__xludf.DUMMYFUNCTION("""COMPUTED_VALUE"""),46085.0)</f>
        <v>46085</v>
      </c>
      <c r="B32" s="7" t="str">
        <f>IFERROR(__xludf.DUMMYFUNCTION("""COMPUTED_VALUE"""),"TRSF E-BANKING DB")</f>
        <v>TRSF E-BANKING DB</v>
      </c>
      <c r="C32" s="7" t="str">
        <f>IFERROR(__xludf.DUMMYFUNCTION("""COMPUTED_VALUE"""),"0403/FTSCY/WS95011 88161200.00 01+02 / 03 GANESHA SATRIA NUS")</f>
        <v>0403/FTSCY/WS95011 88161200.00 01+02 / 03 GANESHA SATRIA NUS</v>
      </c>
      <c r="D32" s="7">
        <f>IFERROR(__xludf.DUMMYFUNCTION("""COMPUTED_VALUE"""),8.81612E7)</f>
        <v>88161200</v>
      </c>
      <c r="E32" s="7"/>
      <c r="F32" s="7" t="str">
        <f>IFERROR(__xludf.DUMMYFUNCTION("""COMPUTED_VALUE"""),"DB")</f>
        <v>DB</v>
      </c>
      <c r="G32" s="7">
        <f>IFERROR(__xludf.DUMMYFUNCTION("""COMPUTED_VALUE"""),5.674036384000003E7)</f>
        <v>56740363.84</v>
      </c>
      <c r="H32" s="7">
        <f>IFERROR(__xludf.DUMMYFUNCTION("""COMPUTED_VALUE"""),5.674036384E7)</f>
        <v>56740363.84</v>
      </c>
      <c r="I32" s="7" t="str">
        <f>IFERROR(__xludf.DUMMYFUNCTION("""COMPUTED_VALUE"""),"PRODUKSI")</f>
        <v>PRODUKSI</v>
      </c>
    </row>
    <row r="33">
      <c r="A33" s="9">
        <f>IFERROR(__xludf.DUMMYFUNCTION("""COMPUTED_VALUE"""),46085.0)</f>
        <v>46085</v>
      </c>
      <c r="B33" s="7" t="str">
        <f>IFERROR(__xludf.DUMMYFUNCTION("""COMPUTED_VALUE"""),"TRSF E-BANKING DB")</f>
        <v>TRSF E-BANKING DB</v>
      </c>
      <c r="C33" s="7" t="str">
        <f>IFERROR(__xludf.DUMMYFUNCTION("""COMPUTED_VALUE"""),"0403/FTSCY/WS95011 81618700.00 Mon Mar 02 2026 15:00:00 GMT+0700 (Western Indonesia Time) BINTANG TAMA SANTO")</f>
        <v>0403/FTSCY/WS95011 81618700.00 Mon Mar 02 2026 15:00:00 GMT+0700 (Western Indonesia Time) BINTANG TAMA SANTO</v>
      </c>
      <c r="D33" s="7">
        <f>IFERROR(__xludf.DUMMYFUNCTION("""COMPUTED_VALUE"""),8.16187E7)</f>
        <v>81618700</v>
      </c>
      <c r="E33" s="7"/>
      <c r="F33" s="7" t="str">
        <f>IFERROR(__xludf.DUMMYFUNCTION("""COMPUTED_VALUE"""),"DB")</f>
        <v>DB</v>
      </c>
      <c r="G33" s="7">
        <f>IFERROR(__xludf.DUMMYFUNCTION("""COMPUTED_VALUE"""),2.5275463840000033E7)</f>
        <v>25275463.84</v>
      </c>
      <c r="H33" s="7"/>
      <c r="I33" s="7" t="str">
        <f>IFERROR(__xludf.DUMMYFUNCTION("""COMPUTED_VALUE"""),"PRODUKSI")</f>
        <v>PRODUKSI</v>
      </c>
    </row>
    <row r="34">
      <c r="A34" s="9">
        <f>IFERROR(__xludf.DUMMYFUNCTION("""COMPUTED_VALUE"""),46085.0)</f>
        <v>46085</v>
      </c>
      <c r="B34" s="7" t="str">
        <f>IFERROR(__xludf.DUMMYFUNCTION("""COMPUTED_VALUE"""),"TRSF E-BANKING DB")</f>
        <v>TRSF E-BANKING DB</v>
      </c>
      <c r="C34" s="7" t="str">
        <f>IFERROR(__xludf.DUMMYFUNCTION("""COMPUTED_VALUE"""),"0403/FTSCY/WS95271 24660000.00 krg 2 jt ROZAL NUR SYAHBANA")</f>
        <v>0403/FTSCY/WS95271 24660000.00 krg 2 jt ROZAL NUR SYAHBANA</v>
      </c>
      <c r="D34" s="7">
        <f>IFERROR(__xludf.DUMMYFUNCTION("""COMPUTED_VALUE"""),2.466E7)</f>
        <v>24660000</v>
      </c>
      <c r="E34" s="7"/>
      <c r="F34" s="7" t="str">
        <f>IFERROR(__xludf.DUMMYFUNCTION("""COMPUTED_VALUE"""),"DB")</f>
        <v>DB</v>
      </c>
      <c r="G34" s="7">
        <f>IFERROR(__xludf.DUMMYFUNCTION("""COMPUTED_VALUE"""),615463.8400000334)</f>
        <v>615463.84</v>
      </c>
      <c r="H34" s="7">
        <f>IFERROR(__xludf.DUMMYFUNCTION("""COMPUTED_VALUE"""),615463.84)</f>
        <v>615463.84</v>
      </c>
      <c r="I34" s="7" t="str">
        <f>IFERROR(__xludf.DUMMYFUNCTION("""COMPUTED_VALUE"""),"PRODUKSI")</f>
        <v>PRODUKSI</v>
      </c>
    </row>
    <row r="35">
      <c r="A35" s="9">
        <f>IFERROR(__xludf.DUMMYFUNCTION("""COMPUTED_VALUE"""),46086.0)</f>
        <v>46086</v>
      </c>
      <c r="B35" s="7" t="str">
        <f>IFERROR(__xludf.DUMMYFUNCTION("""COMPUTED_VALUE"""),"TRSF E-BANKING DB")</f>
        <v>TRSF E-BANKING DB</v>
      </c>
      <c r="C35" s="7" t="str">
        <f>IFERROR(__xludf.DUMMYFUNCTION("""COMPUTED_VALUE"""),"0503/FTSCY/WS95271 2000000.00 pelunasan ROZAL NUR SYAHBANA")</f>
        <v>0503/FTSCY/WS95271 2000000.00 pelunasan ROZAL NUR SYAHBANA</v>
      </c>
      <c r="D35" s="7">
        <f>IFERROR(__xludf.DUMMYFUNCTION("""COMPUTED_VALUE"""),2000000.0)</f>
        <v>2000000</v>
      </c>
      <c r="E35" s="7"/>
      <c r="F35" s="7" t="str">
        <f>IFERROR(__xludf.DUMMYFUNCTION("""COMPUTED_VALUE"""),"DB")</f>
        <v>DB</v>
      </c>
      <c r="G35" s="7">
        <f>IFERROR(__xludf.DUMMYFUNCTION("""COMPUTED_VALUE"""),2.2147826384000003E8)</f>
        <v>221478263.8</v>
      </c>
      <c r="H35" s="7"/>
      <c r="I35" s="7" t="str">
        <f>IFERROR(__xludf.DUMMYFUNCTION("""COMPUTED_VALUE"""),"PRODUKSI")</f>
        <v>PRODUKSI</v>
      </c>
    </row>
    <row r="36">
      <c r="A36" s="9">
        <f>IFERROR(__xludf.DUMMYFUNCTION("""COMPUTED_VALUE"""),46086.0)</f>
        <v>46086</v>
      </c>
      <c r="B36" s="7" t="str">
        <f>IFERROR(__xludf.DUMMYFUNCTION("""COMPUTED_VALUE"""),"TRSF E-BANKING DB")</f>
        <v>TRSF E-BANKING DB</v>
      </c>
      <c r="C36" s="7" t="str">
        <f>IFERROR(__xludf.DUMMYFUNCTION("""COMPUTED_VALUE"""),"0503/FTSCY/WS95271 134287620.00 Mon Mar 02 2026 15:00:00 GMT+0700 (Western Indonesia Time) BROILER MAKMUR TAN")</f>
        <v>0503/FTSCY/WS95271 134287620.00 Mon Mar 02 2026 15:00:00 GMT+0700 (Western Indonesia Time) BROILER MAKMUR TAN</v>
      </c>
      <c r="D36" s="7">
        <f>IFERROR(__xludf.DUMMYFUNCTION("""COMPUTED_VALUE"""),1.3428762E8)</f>
        <v>134287620</v>
      </c>
      <c r="E36" s="7"/>
      <c r="F36" s="7" t="str">
        <f>IFERROR(__xludf.DUMMYFUNCTION("""COMPUTED_VALUE"""),"DB")</f>
        <v>DB</v>
      </c>
      <c r="G36" s="7">
        <f>IFERROR(__xludf.DUMMYFUNCTION("""COMPUTED_VALUE"""),8.719064384000003E7)</f>
        <v>87190643.84</v>
      </c>
      <c r="H36" s="7"/>
      <c r="I36" s="7" t="str">
        <f>IFERROR(__xludf.DUMMYFUNCTION("""COMPUTED_VALUE"""),"PRODUKSI")</f>
        <v>PRODUKSI</v>
      </c>
    </row>
    <row r="37">
      <c r="A37" s="9">
        <f>IFERROR(__xludf.DUMMYFUNCTION("""COMPUTED_VALUE"""),46087.0)</f>
        <v>46087</v>
      </c>
      <c r="B37" s="7" t="str">
        <f>IFERROR(__xludf.DUMMYFUNCTION("""COMPUTED_VALUE"""),"TRSF E-BANKING DB")</f>
        <v>TRSF E-BANKING DB</v>
      </c>
      <c r="C37" s="7" t="str">
        <f>IFERROR(__xludf.DUMMYFUNCTION("""COMPUTED_VALUE"""),"0603/FTSCY/WS95031 43400000.00 pemb. kd teguh jem ber LAWU ABADI NUSA PT")</f>
        <v>0603/FTSCY/WS95031 43400000.00 pemb. kd teguh jem ber LAWU ABADI NUSA PT</v>
      </c>
      <c r="D37" s="7">
        <f>IFERROR(__xludf.DUMMYFUNCTION("""COMPUTED_VALUE"""),4.34E7)</f>
        <v>43400000</v>
      </c>
      <c r="E37" s="7"/>
      <c r="F37" s="7" t="str">
        <f>IFERROR(__xludf.DUMMYFUNCTION("""COMPUTED_VALUE"""),"DB")</f>
        <v>DB</v>
      </c>
      <c r="G37" s="7">
        <f>IFERROR(__xludf.DUMMYFUNCTION("""COMPUTED_VALUE"""),2.5705943840000033E7)</f>
        <v>25705943.84</v>
      </c>
      <c r="H37" s="7"/>
      <c r="I37" s="7" t="str">
        <f>IFERROR(__xludf.DUMMYFUNCTION("""COMPUTED_VALUE"""),"PRODUKSI")</f>
        <v>PRODUKSI</v>
      </c>
    </row>
    <row r="38">
      <c r="A38" s="9">
        <f>IFERROR(__xludf.DUMMYFUNCTION("""COMPUTED_VALUE"""),46087.0)</f>
        <v>46087</v>
      </c>
      <c r="B38" s="7" t="str">
        <f>IFERROR(__xludf.DUMMYFUNCTION("""COMPUTED_VALUE"""),"TRSF E-BANKING DB")</f>
        <v>TRSF E-BANKING DB</v>
      </c>
      <c r="C38" s="7" t="str">
        <f>IFERROR(__xludf.DUMMYFUNCTION("""COMPUTED_VALUE"""),"0603/FTSCY/WS95271 78059700.00 Tue Mar 03 2026 15:00:00 GMT+0700 (Western Indonesia Time) BINTANG TAMA SANTO")</f>
        <v>0603/FTSCY/WS95271 78059700.00 Tue Mar 03 2026 15:00:00 GMT+0700 (Western Indonesia Time) BINTANG TAMA SANTO</v>
      </c>
      <c r="D38" s="7">
        <f>IFERROR(__xludf.DUMMYFUNCTION("""COMPUTED_VALUE"""),7.80597E7)</f>
        <v>78059700</v>
      </c>
      <c r="E38" s="7"/>
      <c r="F38" s="7" t="str">
        <f>IFERROR(__xludf.DUMMYFUNCTION("""COMPUTED_VALUE"""),"DB")</f>
        <v>DB</v>
      </c>
      <c r="G38" s="7">
        <f>IFERROR(__xludf.DUMMYFUNCTION("""COMPUTED_VALUE"""),2.3919212384000003E8)</f>
        <v>239192123.8</v>
      </c>
      <c r="H38" s="7"/>
      <c r="I38" s="7" t="str">
        <f>IFERROR(__xludf.DUMMYFUNCTION("""COMPUTED_VALUE"""),"PRODUKSI")</f>
        <v>PRODUKSI</v>
      </c>
    </row>
    <row r="39">
      <c r="A39" s="9">
        <f>IFERROR(__xludf.DUMMYFUNCTION("""COMPUTED_VALUE"""),46087.0)</f>
        <v>46087</v>
      </c>
      <c r="B39" s="7" t="str">
        <f>IFERROR(__xludf.DUMMYFUNCTION("""COMPUTED_VALUE"""),"TRSF E-BANKING DB")</f>
        <v>TRSF E-BANKING DB</v>
      </c>
      <c r="C39" s="7" t="str">
        <f>IFERROR(__xludf.DUMMYFUNCTION("""COMPUTED_VALUE"""),"0603/FTSCY/WS95271 82360000.00 Tue Mar 03 2026 15:00:00 GMT+0700 (Western Indonesia Time) ANDALAN YASA MITRA")</f>
        <v>0603/FTSCY/WS95271 82360000.00 Tue Mar 03 2026 15:00:00 GMT+0700 (Western Indonesia Time) ANDALAN YASA MITRA</v>
      </c>
      <c r="D39" s="7">
        <f>IFERROR(__xludf.DUMMYFUNCTION("""COMPUTED_VALUE"""),8.236E7)</f>
        <v>82360000</v>
      </c>
      <c r="E39" s="7"/>
      <c r="F39" s="7" t="str">
        <f>IFERROR(__xludf.DUMMYFUNCTION("""COMPUTED_VALUE"""),"DB")</f>
        <v>DB</v>
      </c>
      <c r="G39" s="7">
        <f>IFERROR(__xludf.DUMMYFUNCTION("""COMPUTED_VALUE"""),1.5706482384000003E8)</f>
        <v>157064823.8</v>
      </c>
      <c r="H39" s="7"/>
      <c r="I39" s="7" t="str">
        <f>IFERROR(__xludf.DUMMYFUNCTION("""COMPUTED_VALUE"""),"PRODUKSI")</f>
        <v>PRODUKSI</v>
      </c>
    </row>
    <row r="40">
      <c r="A40" s="9">
        <f>IFERROR(__xludf.DUMMYFUNCTION("""COMPUTED_VALUE"""),46087.0)</f>
        <v>46087</v>
      </c>
      <c r="B40" s="7" t="str">
        <f>IFERROR(__xludf.DUMMYFUNCTION("""COMPUTED_VALUE"""),"TRSF E-BANKING DB")</f>
        <v>TRSF E-BANKING DB</v>
      </c>
      <c r="C40" s="7" t="str">
        <f>IFERROR(__xludf.DUMMYFUNCTION("""COMPUTED_VALUE"""),"0603/FTSCY/WS95271 97800900.00 pelunasan RUKUN MITRA BERSAM")</f>
        <v>0603/FTSCY/WS95271 97800900.00 pelunasan RUKUN MITRA BERSAM</v>
      </c>
      <c r="D40" s="7">
        <f>IFERROR(__xludf.DUMMYFUNCTION("""COMPUTED_VALUE"""),9.78009E7)</f>
        <v>97800900</v>
      </c>
      <c r="E40" s="7"/>
      <c r="F40" s="7" t="str">
        <f>IFERROR(__xludf.DUMMYFUNCTION("""COMPUTED_VALUE"""),"DB")</f>
        <v>DB</v>
      </c>
      <c r="G40" s="7">
        <f>IFERROR(__xludf.DUMMYFUNCTION("""COMPUTED_VALUE"""),5.926392384000003E7)</f>
        <v>59263923.84</v>
      </c>
      <c r="H40" s="7"/>
      <c r="I40" s="7" t="str">
        <f>IFERROR(__xludf.DUMMYFUNCTION("""COMPUTED_VALUE"""),"PRODUKSI")</f>
        <v>PRODUKSI</v>
      </c>
    </row>
    <row r="41">
      <c r="A41" s="9">
        <f>IFERROR(__xludf.DUMMYFUNCTION("""COMPUTED_VALUE"""),46087.0)</f>
        <v>46087</v>
      </c>
      <c r="B41" s="7" t="str">
        <f>IFERROR(__xludf.DUMMYFUNCTION("""COMPUTED_VALUE"""),"TRSF E-BANKING DB")</f>
        <v>TRSF E-BANKING DB</v>
      </c>
      <c r="C41" s="7" t="str">
        <f>IFERROR(__xludf.DUMMYFUNCTION("""COMPUTED_VALUE"""),"0603/FTSCY/WS95031 45631300.00 kd nanik riyati ng awi BINTANG TAMA SANTO")</f>
        <v>0603/FTSCY/WS95031 45631300.00 kd nanik riyati ng awi BINTANG TAMA SANTO</v>
      </c>
      <c r="D41" s="7">
        <f>IFERROR(__xludf.DUMMYFUNCTION("""COMPUTED_VALUE"""),4.56313E7)</f>
        <v>45631300</v>
      </c>
      <c r="E41" s="7"/>
      <c r="F41" s="7" t="str">
        <f>IFERROR(__xludf.DUMMYFUNCTION("""COMPUTED_VALUE"""),"DB")</f>
        <v>DB</v>
      </c>
      <c r="G41" s="7">
        <f>IFERROR(__xludf.DUMMYFUNCTION("""COMPUTED_VALUE"""),1.3632623840000033E7)</f>
        <v>13632623.84</v>
      </c>
      <c r="H41" s="7"/>
      <c r="I41" s="7" t="str">
        <f>IFERROR(__xludf.DUMMYFUNCTION("""COMPUTED_VALUE"""),"PRODUKSI")</f>
        <v>PRODUKSI</v>
      </c>
    </row>
    <row r="42">
      <c r="A42" s="9">
        <f>IFERROR(__xludf.DUMMYFUNCTION("""COMPUTED_VALUE"""),46087.0)</f>
        <v>46087</v>
      </c>
      <c r="B42" s="7" t="str">
        <f>IFERROR(__xludf.DUMMYFUNCTION("""COMPUTED_VALUE"""),"TRSF E-BANKING DB")</f>
        <v>TRSF E-BANKING DB</v>
      </c>
      <c r="C42" s="7" t="str">
        <f>IFERROR(__xludf.DUMMYFUNCTION("""COMPUTED_VALUE"""),"0603/FTSCY/WS95011 93613000.00 pemb. 04/03 BINTANG TAMA SANTO")</f>
        <v>0603/FTSCY/WS95011 93613000.00 pemb. 04/03 BINTANG TAMA SANTO</v>
      </c>
      <c r="D42" s="7">
        <f>IFERROR(__xludf.DUMMYFUNCTION("""COMPUTED_VALUE"""),9.3613E7)</f>
        <v>93613000</v>
      </c>
      <c r="E42" s="7"/>
      <c r="F42" s="7" t="str">
        <f>IFERROR(__xludf.DUMMYFUNCTION("""COMPUTED_VALUE"""),"DB")</f>
        <v>DB</v>
      </c>
      <c r="G42" s="7">
        <f>IFERROR(__xludf.DUMMYFUNCTION("""COMPUTED_VALUE"""),6.168082384000003E7)</f>
        <v>61680823.84</v>
      </c>
      <c r="H42" s="7">
        <f>IFERROR(__xludf.DUMMYFUNCTION("""COMPUTED_VALUE"""),6.168082384E7)</f>
        <v>61680823.84</v>
      </c>
      <c r="I42" s="7" t="str">
        <f>IFERROR(__xludf.DUMMYFUNCTION("""COMPUTED_VALUE"""),"PRODUKSI")</f>
        <v>PRODUKSI</v>
      </c>
    </row>
    <row r="43">
      <c r="A43" s="9">
        <f>IFERROR(__xludf.DUMMYFUNCTION("""COMPUTED_VALUE"""),46087.0)</f>
        <v>46087</v>
      </c>
      <c r="B43" s="7" t="str">
        <f>IFERROR(__xludf.DUMMYFUNCTION("""COMPUTED_VALUE"""),"TRSF E-BANKING DB")</f>
        <v>TRSF E-BANKING DB</v>
      </c>
      <c r="C43" s="7" t="str">
        <f>IFERROR(__xludf.DUMMYFUNCTION("""COMPUTED_VALUE"""),"0603/FTFVA/WS95031 55569/PT PRIMA FAJ farm wahyudi pasur uan 3500kg 40190")</f>
        <v>0603/FTFVA/WS95031 55569/PT PRIMA FAJ farm wahyudi pasur uan 3500kg 40190</v>
      </c>
      <c r="D43" s="7">
        <f>IFERROR(__xludf.DUMMYFUNCTION("""COMPUTED_VALUE"""),5.075E7)</f>
        <v>50750000</v>
      </c>
      <c r="E43" s="7"/>
      <c r="F43" s="7" t="str">
        <f>IFERROR(__xludf.DUMMYFUNCTION("""COMPUTED_VALUE"""),"DB")</f>
        <v>DB</v>
      </c>
      <c r="G43" s="7">
        <f>IFERROR(__xludf.DUMMYFUNCTION("""COMPUTED_VALUE"""),1.0930823840000033E7)</f>
        <v>10930823.84</v>
      </c>
      <c r="H43" s="7">
        <f>IFERROR(__xludf.DUMMYFUNCTION("""COMPUTED_VALUE"""),1.093082384E7)</f>
        <v>10930823.84</v>
      </c>
      <c r="I43" s="7" t="str">
        <f>IFERROR(__xludf.DUMMYFUNCTION("""COMPUTED_VALUE"""),"PRODUKSI")</f>
        <v>PRODUKSI</v>
      </c>
    </row>
    <row r="44">
      <c r="A44" s="9">
        <f>IFERROR(__xludf.DUMMYFUNCTION("""COMPUTED_VALUE"""),46088.0)</f>
        <v>46088</v>
      </c>
      <c r="B44" s="7" t="str">
        <f>IFERROR(__xludf.DUMMYFUNCTION("""COMPUTED_VALUE"""),"TRSF E-BANKING DB")</f>
        <v>TRSF E-BANKING DB</v>
      </c>
      <c r="C44" s="7" t="str">
        <f>IFERROR(__xludf.DUMMYFUNCTION("""COMPUTED_VALUE"""),"0703/FTSCY/WS95031 40510800.00 Wed Mar 04 2026 15:00:00 GMT+0700 (Western Indonesia Time) TUMBUH OPTIMAL PRI")</f>
        <v>0703/FTSCY/WS95031 40510800.00 Wed Mar 04 2026 15:00:00 GMT+0700 (Western Indonesia Time) TUMBUH OPTIMAL PRI</v>
      </c>
      <c r="D44" s="7">
        <f>IFERROR(__xludf.DUMMYFUNCTION("""COMPUTED_VALUE"""),4.05108E7)</f>
        <v>40510800</v>
      </c>
      <c r="E44" s="7"/>
      <c r="F44" s="7" t="str">
        <f>IFERROR(__xludf.DUMMYFUNCTION("""COMPUTED_VALUE"""),"DB")</f>
        <v>DB</v>
      </c>
      <c r="G44" s="7">
        <f>IFERROR(__xludf.DUMMYFUNCTION("""COMPUTED_VALUE"""),1.3344948840000033E7)</f>
        <v>13344948.84</v>
      </c>
      <c r="H44" s="7"/>
      <c r="I44" s="7" t="str">
        <f>IFERROR(__xludf.DUMMYFUNCTION("""COMPUTED_VALUE"""),"PRODUKSI")</f>
        <v>PRODUKSI</v>
      </c>
    </row>
    <row r="45">
      <c r="A45" s="9">
        <f>IFERROR(__xludf.DUMMYFUNCTION("""COMPUTED_VALUE"""),46088.0)</f>
        <v>46088</v>
      </c>
      <c r="B45" s="7" t="str">
        <f>IFERROR(__xludf.DUMMYFUNCTION("""COMPUTED_VALUE"""),"TRSF E-BANKING DB")</f>
        <v>TRSF E-BANKING DB</v>
      </c>
      <c r="C45" s="7" t="str">
        <f>IFERROR(__xludf.DUMMYFUNCTION("""COMPUTED_VALUE"""),"0703/FTSCY/WS95031 46871500.00 pemb. kd totok mag etan BINTANG TAMA SANTO")</f>
        <v>0703/FTSCY/WS95031 46871500.00 pemb. kd totok mag etan BINTANG TAMA SANTO</v>
      </c>
      <c r="D45" s="7">
        <f>IFERROR(__xludf.DUMMYFUNCTION("""COMPUTED_VALUE"""),4.68715E7)</f>
        <v>46871500</v>
      </c>
      <c r="E45" s="7"/>
      <c r="F45" s="7" t="str">
        <f>IFERROR(__xludf.DUMMYFUNCTION("""COMPUTED_VALUE"""),"DB")</f>
        <v>DB</v>
      </c>
      <c r="G45" s="7">
        <f>IFERROR(__xludf.DUMMYFUNCTION("""COMPUTED_VALUE"""),2.2103221884000003E8)</f>
        <v>221032218.8</v>
      </c>
      <c r="H45" s="7"/>
      <c r="I45" s="7" t="str">
        <f>IFERROR(__xludf.DUMMYFUNCTION("""COMPUTED_VALUE"""),"PRODUKSI")</f>
        <v>PRODUKSI</v>
      </c>
    </row>
    <row r="46">
      <c r="A46" s="9">
        <f>IFERROR(__xludf.DUMMYFUNCTION("""COMPUTED_VALUE"""),46088.0)</f>
        <v>46088</v>
      </c>
      <c r="B46" s="7" t="str">
        <f>IFERROR(__xludf.DUMMYFUNCTION("""COMPUTED_VALUE"""),"TRSF E-BANKING DB")</f>
        <v>TRSF E-BANKING DB</v>
      </c>
      <c r="C46" s="7" t="str">
        <f>IFERROR(__xludf.DUMMYFUNCTION("""COMPUTED_VALUE"""),"0703/FTSCY/WS95271 122462730.00 kd agus papar kedi ri ANUGERAH KARTIKA A")</f>
        <v>0703/FTSCY/WS95271 122462730.00 kd agus papar kedi ri ANUGERAH KARTIKA A</v>
      </c>
      <c r="D46" s="7">
        <f>IFERROR(__xludf.DUMMYFUNCTION("""COMPUTED_VALUE"""),1.2246273E8)</f>
        <v>122462730</v>
      </c>
      <c r="E46" s="7"/>
      <c r="F46" s="7" t="str">
        <f>IFERROR(__xludf.DUMMYFUNCTION("""COMPUTED_VALUE"""),"DB")</f>
        <v>DB</v>
      </c>
      <c r="G46" s="7">
        <f>IFERROR(__xludf.DUMMYFUNCTION("""COMPUTED_VALUE"""),9.856948884000003E7)</f>
        <v>98569488.84</v>
      </c>
      <c r="H46" s="7"/>
      <c r="I46" s="7" t="str">
        <f>IFERROR(__xludf.DUMMYFUNCTION("""COMPUTED_VALUE"""),"PRODUKSI")</f>
        <v>PRODUKSI</v>
      </c>
    </row>
    <row r="47">
      <c r="A47" s="9">
        <f>IFERROR(__xludf.DUMMYFUNCTION("""COMPUTED_VALUE"""),46088.0)</f>
        <v>46088</v>
      </c>
      <c r="B47" s="7" t="str">
        <f>IFERROR(__xludf.DUMMYFUNCTION("""COMPUTED_VALUE"""),"TRSF E-BANKING DB")</f>
        <v>TRSF E-BANKING DB</v>
      </c>
      <c r="C47" s="7" t="str">
        <f>IFERROR(__xludf.DUMMYFUNCTION("""COMPUTED_VALUE"""),"0703/FTSCY/WS95271 84184000.00 Tue Mar 03 2026 15:00:00 GMT+0700 (Western Indonesia Time) GANESHA SATRIA NUS")</f>
        <v>0703/FTSCY/WS95271 84184000.00 Tue Mar 03 2026 15:00:00 GMT+0700 (Western Indonesia Time) GANESHA SATRIA NUS</v>
      </c>
      <c r="D47" s="7">
        <f>IFERROR(__xludf.DUMMYFUNCTION("""COMPUTED_VALUE"""),8.4184E7)</f>
        <v>84184000</v>
      </c>
      <c r="E47" s="7"/>
      <c r="F47" s="7" t="str">
        <f>IFERROR(__xludf.DUMMYFUNCTION("""COMPUTED_VALUE"""),"DB")</f>
        <v>DB</v>
      </c>
      <c r="G47" s="7">
        <f>IFERROR(__xludf.DUMMYFUNCTION("""COMPUTED_VALUE"""),1.4385488840000033E7)</f>
        <v>14385488.84</v>
      </c>
      <c r="H47" s="7"/>
      <c r="I47" s="7" t="str">
        <f>IFERROR(__xludf.DUMMYFUNCTION("""COMPUTED_VALUE"""),"PRODUKSI")</f>
        <v>PRODUKSI</v>
      </c>
    </row>
    <row r="48">
      <c r="A48" s="9">
        <f>IFERROR(__xludf.DUMMYFUNCTION("""COMPUTED_VALUE"""),46088.0)</f>
        <v>46088</v>
      </c>
      <c r="B48" s="7" t="str">
        <f>IFERROR(__xludf.DUMMYFUNCTION("""COMPUTED_VALUE"""),"TRSF E-BANKING DB")</f>
        <v>TRSF E-BANKING DB</v>
      </c>
      <c r="C48" s="7" t="str">
        <f>IFERROR(__xludf.DUMMYFUNCTION("""COMPUTED_VALUE"""),"0703/FTSCY/WS95271 87790000.00 Tue Mar 03 2026 15:00:00 GMT+0700 (Western Indonesia Time) BROILER MAKMUR TAN")</f>
        <v>0703/FTSCY/WS95271 87790000.00 Tue Mar 03 2026 15:00:00 GMT+0700 (Western Indonesia Time) BROILER MAKMUR TAN</v>
      </c>
      <c r="D48" s="7">
        <f>IFERROR(__xludf.DUMMYFUNCTION("""COMPUTED_VALUE"""),8.779E7)</f>
        <v>87790000</v>
      </c>
      <c r="E48" s="7"/>
      <c r="F48" s="7" t="str">
        <f>IFERROR(__xludf.DUMMYFUNCTION("""COMPUTED_VALUE"""),"DB")</f>
        <v>DB</v>
      </c>
      <c r="G48" s="7">
        <f>IFERROR(__xludf.DUMMYFUNCTION("""COMPUTED_VALUE"""),7.156698884000003E7)</f>
        <v>71566988.84</v>
      </c>
      <c r="H48" s="7"/>
      <c r="I48" s="7" t="str">
        <f>IFERROR(__xludf.DUMMYFUNCTION("""COMPUTED_VALUE"""),"PRODUKSI")</f>
        <v>PRODUKSI</v>
      </c>
    </row>
    <row r="49">
      <c r="A49" s="9">
        <f>IFERROR(__xludf.DUMMYFUNCTION("""COMPUTED_VALUE"""),46088.0)</f>
        <v>46088</v>
      </c>
      <c r="B49" s="7" t="str">
        <f>IFERROR(__xludf.DUMMYFUNCTION("""COMPUTED_VALUE"""),"TRSF E-BANKING DB")</f>
        <v>TRSF E-BANKING DB</v>
      </c>
      <c r="C49" s="7" t="str">
        <f>IFERROR(__xludf.DUMMYFUNCTION("""COMPUTED_VALUE"""),"0703/FTSCY/WS95011 40000000.00 pelunasan 03/03 BROILER MAKMUR TAN")</f>
        <v>0703/FTSCY/WS95011 40000000.00 pelunasan 03/03 BROILER MAKMUR TAN</v>
      </c>
      <c r="D49" s="7">
        <f>IFERROR(__xludf.DUMMYFUNCTION("""COMPUTED_VALUE"""),4.0E7)</f>
        <v>40000000</v>
      </c>
      <c r="E49" s="7"/>
      <c r="F49" s="7" t="str">
        <f>IFERROR(__xludf.DUMMYFUNCTION("""COMPUTED_VALUE"""),"DB")</f>
        <v>DB</v>
      </c>
      <c r="G49" s="7">
        <f>IFERROR(__xludf.DUMMYFUNCTION("""COMPUTED_VALUE"""),3.1566988840000033E7)</f>
        <v>31566988.84</v>
      </c>
      <c r="H49" s="7"/>
      <c r="I49" s="7" t="str">
        <f>IFERROR(__xludf.DUMMYFUNCTION("""COMPUTED_VALUE"""),"PRODUKSI")</f>
        <v>PRODUKSI</v>
      </c>
    </row>
    <row r="50">
      <c r="A50" s="9">
        <f>IFERROR(__xludf.DUMMYFUNCTION("""COMPUTED_VALUE"""),46088.0)</f>
        <v>46088</v>
      </c>
      <c r="B50" s="7" t="str">
        <f>IFERROR(__xludf.DUMMYFUNCTION("""COMPUTED_VALUE"""),"TRSF E-BANKING DB")</f>
        <v>TRSF E-BANKING DB</v>
      </c>
      <c r="C50" s="7" t="str">
        <f>IFERROR(__xludf.DUMMYFUNCTION("""COMPUTED_VALUE"""),"0703/FTSCY/WS95011 40098500.00 pemb. 03/03 SUPER UNGGAS JAYA")</f>
        <v>0703/FTSCY/WS95011 40098500.00 pemb. 03/03 SUPER UNGGAS JAYA</v>
      </c>
      <c r="D50" s="7">
        <f>IFERROR(__xludf.DUMMYFUNCTION("""COMPUTED_VALUE"""),4.00985E7)</f>
        <v>40098500</v>
      </c>
      <c r="E50" s="7"/>
      <c r="F50" s="7" t="str">
        <f>IFERROR(__xludf.DUMMYFUNCTION("""COMPUTED_VALUE"""),"DB")</f>
        <v>DB</v>
      </c>
      <c r="G50" s="7">
        <f>IFERROR(__xludf.DUMMYFUNCTION("""COMPUTED_VALUE"""),1468488.8400000334)</f>
        <v>1468488.84</v>
      </c>
      <c r="H50" s="7"/>
      <c r="I50" s="7" t="str">
        <f>IFERROR(__xludf.DUMMYFUNCTION("""COMPUTED_VALUE"""),"PRODUKSI")</f>
        <v>PRODUKSI</v>
      </c>
    </row>
    <row r="51">
      <c r="A51" s="9">
        <f>IFERROR(__xludf.DUMMYFUNCTION("""COMPUTED_VALUE"""),46089.0)</f>
        <v>46089</v>
      </c>
      <c r="B51" s="7" t="str">
        <f>IFERROR(__xludf.DUMMYFUNCTION("""COMPUTED_VALUE"""),"TRSF E-BANKING DB")</f>
        <v>TRSF E-BANKING DB</v>
      </c>
      <c r="C51" s="7" t="str">
        <f>IFERROR(__xludf.DUMMYFUNCTION("""COMPUTED_VALUE"""),"0803/FTSCY/WS95031 41296400.00 Tue Mar 03 2026 15:00:00 GMT+0700 (Western Indonesia Time) ANDALAN YASA MITRA")</f>
        <v>0803/FTSCY/WS95031 41296400.00 Tue Mar 03 2026 15:00:00 GMT+0700 (Western Indonesia Time) ANDALAN YASA MITRA</v>
      </c>
      <c r="D51" s="7">
        <f>IFERROR(__xludf.DUMMYFUNCTION("""COMPUTED_VALUE"""),4.12964E7)</f>
        <v>41296400</v>
      </c>
      <c r="E51" s="7"/>
      <c r="F51" s="7" t="str">
        <f>IFERROR(__xludf.DUMMYFUNCTION("""COMPUTED_VALUE"""),"DB")</f>
        <v>DB</v>
      </c>
      <c r="G51" s="7">
        <f>IFERROR(__xludf.DUMMYFUNCTION("""COMPUTED_VALUE"""),8890888.840000033)</f>
        <v>8890888.84</v>
      </c>
      <c r="H51" s="7"/>
      <c r="I51" s="7" t="str">
        <f>IFERROR(__xludf.DUMMYFUNCTION("""COMPUTED_VALUE"""),"PRODUKSI")</f>
        <v>PRODUKSI</v>
      </c>
    </row>
    <row r="52">
      <c r="A52" s="9">
        <f>IFERROR(__xludf.DUMMYFUNCTION("""COMPUTED_VALUE"""),46089.0)</f>
        <v>46089</v>
      </c>
      <c r="B52" s="7" t="str">
        <f>IFERROR(__xludf.DUMMYFUNCTION("""COMPUTED_VALUE"""),"TRSF E-BANKING DB")</f>
        <v>TRSF E-BANKING DB</v>
      </c>
      <c r="C52" s="7" t="str">
        <f>IFERROR(__xludf.DUMMYFUNCTION("""COMPUTED_VALUE"""),"0803/FTSCY/WS95271 48332700.00 mlg PITIK DIGITAL INDO")</f>
        <v>0803/FTSCY/WS95271 48332700.00 mlg PITIK DIGITAL INDO</v>
      </c>
      <c r="D52" s="7">
        <f>IFERROR(__xludf.DUMMYFUNCTION("""COMPUTED_VALUE"""),4.83327E7)</f>
        <v>48332700</v>
      </c>
      <c r="E52" s="7"/>
      <c r="F52" s="7" t="str">
        <f>IFERROR(__xludf.DUMMYFUNCTION("""COMPUTED_VALUE"""),"DB")</f>
        <v>DB</v>
      </c>
      <c r="G52" s="7">
        <f>IFERROR(__xludf.DUMMYFUNCTION("""COMPUTED_VALUE"""),9.849511884000003E7)</f>
        <v>98495118.84</v>
      </c>
      <c r="H52" s="7">
        <f>IFERROR(__xludf.DUMMYFUNCTION("""COMPUTED_VALUE"""),9.849511884E7)</f>
        <v>98495118.84</v>
      </c>
      <c r="I52" s="7" t="str">
        <f>IFERROR(__xludf.DUMMYFUNCTION("""COMPUTED_VALUE"""),"PRODUKSI")</f>
        <v>PRODUKSI</v>
      </c>
    </row>
    <row r="53">
      <c r="A53" s="9">
        <f>IFERROR(__xludf.DUMMYFUNCTION("""COMPUTED_VALUE"""),46089.0)</f>
        <v>46089</v>
      </c>
      <c r="B53" s="7" t="str">
        <f>IFERROR(__xludf.DUMMYFUNCTION("""COMPUTED_VALUE"""),"TRSF E-BANKING DB")</f>
        <v>TRSF E-BANKING DB</v>
      </c>
      <c r="C53" s="7" t="str">
        <f>IFERROR(__xludf.DUMMYFUNCTION("""COMPUTED_VALUE"""),"0803/FTSCY/WS95271 43726200.00 jombang PITIK DIGITAL INDO")</f>
        <v>0803/FTSCY/WS95271 43726200.00 jombang PITIK DIGITAL INDO</v>
      </c>
      <c r="D53" s="7">
        <f>IFERROR(__xludf.DUMMYFUNCTION("""COMPUTED_VALUE"""),4.37262E7)</f>
        <v>43726200</v>
      </c>
      <c r="E53" s="7"/>
      <c r="F53" s="7" t="str">
        <f>IFERROR(__xludf.DUMMYFUNCTION("""COMPUTED_VALUE"""),"DB")</f>
        <v>DB</v>
      </c>
      <c r="G53" s="7">
        <f>IFERROR(__xludf.DUMMYFUNCTION("""COMPUTED_VALUE"""),5.476891884000003E7)</f>
        <v>54768918.84</v>
      </c>
      <c r="H53" s="7">
        <f>IFERROR(__xludf.DUMMYFUNCTION("""COMPUTED_VALUE"""),5.476891884E7)</f>
        <v>54768918.84</v>
      </c>
      <c r="I53" s="7" t="str">
        <f>IFERROR(__xludf.DUMMYFUNCTION("""COMPUTED_VALUE"""),"PRODUKSI")</f>
        <v>PRODUKSI</v>
      </c>
    </row>
    <row r="54">
      <c r="A54" s="9">
        <f>IFERROR(__xludf.DUMMYFUNCTION("""COMPUTED_VALUE"""),46089.0)</f>
        <v>46089</v>
      </c>
      <c r="B54" s="7" t="str">
        <f>IFERROR(__xludf.DUMMYFUNCTION("""COMPUTED_VALUE"""),"TRSF E-BANKING DB")</f>
        <v>TRSF E-BANKING DB</v>
      </c>
      <c r="C54" s="7" t="str">
        <f>IFERROR(__xludf.DUMMYFUNCTION("""COMPUTED_VALUE"""),"0803/FTSCY/WS95271 40176500.00 t.agung PITIK DIGITAL INDO")</f>
        <v>0803/FTSCY/WS95271 40176500.00 t.agung PITIK DIGITAL INDO</v>
      </c>
      <c r="D54" s="7">
        <f>IFERROR(__xludf.DUMMYFUNCTION("""COMPUTED_VALUE"""),4.01765E7)</f>
        <v>40176500</v>
      </c>
      <c r="E54" s="7"/>
      <c r="F54" s="7" t="str">
        <f>IFERROR(__xludf.DUMMYFUNCTION("""COMPUTED_VALUE"""),"DB")</f>
        <v>DB</v>
      </c>
      <c r="G54" s="7">
        <f>IFERROR(__xludf.DUMMYFUNCTION("""COMPUTED_VALUE"""),1.4592418840000033E7)</f>
        <v>14592418.84</v>
      </c>
      <c r="H54" s="7"/>
      <c r="I54" s="7" t="str">
        <f>IFERROR(__xludf.DUMMYFUNCTION("""COMPUTED_VALUE"""),"PRODUKSI")</f>
        <v>PRODUKSI</v>
      </c>
    </row>
    <row r="55">
      <c r="A55" s="9">
        <f>IFERROR(__xludf.DUMMYFUNCTION("""COMPUTED_VALUE"""),46089.0)</f>
        <v>46089</v>
      </c>
      <c r="B55" s="7" t="str">
        <f>IFERROR(__xludf.DUMMYFUNCTION("""COMPUTED_VALUE"""),"TRSF E-BANKING DB")</f>
        <v>TRSF E-BANKING DB</v>
      </c>
      <c r="C55" s="7" t="str">
        <f>IFERROR(__xludf.DUMMYFUNCTION("""COMPUTED_VALUE"""),"0803/FTSCY/WS95271 84050000.00 kd rustam hadi pas uruan ANDALAN YASA MITRA")</f>
        <v>0803/FTSCY/WS95271 84050000.00 kd rustam hadi pas uruan ANDALAN YASA MITRA</v>
      </c>
      <c r="D55" s="7">
        <f>IFERROR(__xludf.DUMMYFUNCTION("""COMPUTED_VALUE"""),8.405E7)</f>
        <v>84050000</v>
      </c>
      <c r="E55" s="7"/>
      <c r="F55" s="7" t="str">
        <f>IFERROR(__xludf.DUMMYFUNCTION("""COMPUTED_VALUE"""),"DB")</f>
        <v>DB</v>
      </c>
      <c r="G55" s="7">
        <f>IFERROR(__xludf.DUMMYFUNCTION("""COMPUTED_VALUE"""),2.7284951884000003E8)</f>
        <v>272849518.8</v>
      </c>
      <c r="H55" s="7"/>
      <c r="I55" s="7" t="str">
        <f>IFERROR(__xludf.DUMMYFUNCTION("""COMPUTED_VALUE"""),"PRODUKSI")</f>
        <v>PRODUKSI</v>
      </c>
    </row>
    <row r="56">
      <c r="A56" s="9">
        <f>IFERROR(__xludf.DUMMYFUNCTION("""COMPUTED_VALUE"""),46089.0)</f>
        <v>46089</v>
      </c>
      <c r="B56" s="7" t="str">
        <f>IFERROR(__xludf.DUMMYFUNCTION("""COMPUTED_VALUE"""),"TRSF E-BANKING DB")</f>
        <v>TRSF E-BANKING DB</v>
      </c>
      <c r="C56" s="7" t="str">
        <f>IFERROR(__xludf.DUMMYFUNCTION("""COMPUTED_VALUE"""),"0803/FTSCY/WS95031 51800000.00 05.03 lunas ANDALAN YASA MITRA")</f>
        <v>0803/FTSCY/WS95031 51800000.00 05.03 lunas ANDALAN YASA MITRA</v>
      </c>
      <c r="D56" s="7">
        <f>IFERROR(__xludf.DUMMYFUNCTION("""COMPUTED_VALUE"""),5.18E7)</f>
        <v>51800000</v>
      </c>
      <c r="E56" s="7"/>
      <c r="F56" s="7" t="str">
        <f>IFERROR(__xludf.DUMMYFUNCTION("""COMPUTED_VALUE"""),"DB")</f>
        <v>DB</v>
      </c>
      <c r="G56" s="7">
        <f>IFERROR(__xludf.DUMMYFUNCTION("""COMPUTED_VALUE"""),2.2104951884000003E8)</f>
        <v>221049518.8</v>
      </c>
      <c r="H56" s="7"/>
      <c r="I56" s="7" t="str">
        <f>IFERROR(__xludf.DUMMYFUNCTION("""COMPUTED_VALUE"""),"PRODUKSI")</f>
        <v>PRODUKSI</v>
      </c>
    </row>
    <row r="57">
      <c r="A57" s="9">
        <f>IFERROR(__xludf.DUMMYFUNCTION("""COMPUTED_VALUE"""),46089.0)</f>
        <v>46089</v>
      </c>
      <c r="B57" s="7" t="str">
        <f>IFERROR(__xludf.DUMMYFUNCTION("""COMPUTED_VALUE"""),"TRSF E-BANKING DB")</f>
        <v>TRSF E-BANKING DB</v>
      </c>
      <c r="C57" s="7" t="str">
        <f>IFERROR(__xludf.DUMMYFUNCTION("""COMPUTED_VALUE"""),"0803/FTSCY/WS95271 41639000.00 jember PITIK DIGITAL INDO")</f>
        <v>0803/FTSCY/WS95271 41639000.00 jember PITIK DIGITAL INDO</v>
      </c>
      <c r="D57" s="7">
        <f>IFERROR(__xludf.DUMMYFUNCTION("""COMPUTED_VALUE"""),4.1639E7)</f>
        <v>41639000</v>
      </c>
      <c r="E57" s="7"/>
      <c r="F57" s="7" t="str">
        <f>IFERROR(__xludf.DUMMYFUNCTION("""COMPUTED_VALUE"""),"DB")</f>
        <v>DB</v>
      </c>
      <c r="G57" s="7">
        <f>IFERROR(__xludf.DUMMYFUNCTION("""COMPUTED_VALUE"""),1.7941051884000003E8)</f>
        <v>179410518.8</v>
      </c>
      <c r="H57" s="7"/>
      <c r="I57" s="7" t="str">
        <f>IFERROR(__xludf.DUMMYFUNCTION("""COMPUTED_VALUE"""),"PRODUKSI")</f>
        <v>PRODUKSI</v>
      </c>
    </row>
    <row r="58">
      <c r="A58" s="9">
        <f>IFERROR(__xludf.DUMMYFUNCTION("""COMPUTED_VALUE"""),46089.0)</f>
        <v>46089</v>
      </c>
      <c r="B58" s="7" t="str">
        <f>IFERROR(__xludf.DUMMYFUNCTION("""COMPUTED_VALUE"""),"TRSF E-BANKING DB")</f>
        <v>TRSF E-BANKING DB</v>
      </c>
      <c r="C58" s="7" t="str">
        <f>IFERROR(__xludf.DUMMYFUNCTION("""COMPUTED_VALUE"""),"0803/FTSCY/WS95011 42521250.00 kd supriyanto lamongan BINTANG TAMA SANTO")</f>
        <v>0803/FTSCY/WS95011 42521250.00 kd supriyanto lamongan BINTANG TAMA SANTO</v>
      </c>
      <c r="D58" s="7">
        <f>IFERROR(__xludf.DUMMYFUNCTION("""COMPUTED_VALUE"""),4.252125E7)</f>
        <v>42521250</v>
      </c>
      <c r="E58" s="7"/>
      <c r="F58" s="7" t="str">
        <f>IFERROR(__xludf.DUMMYFUNCTION("""COMPUTED_VALUE"""),"DB")</f>
        <v>DB</v>
      </c>
      <c r="G58" s="7">
        <f>IFERROR(__xludf.DUMMYFUNCTION("""COMPUTED_VALUE"""),1.3688926884000003E8)</f>
        <v>136889268.8</v>
      </c>
      <c r="H58" s="7"/>
      <c r="I58" s="7" t="str">
        <f>IFERROR(__xludf.DUMMYFUNCTION("""COMPUTED_VALUE"""),"PRODUKSI")</f>
        <v>PRODUKSI</v>
      </c>
    </row>
    <row r="59">
      <c r="A59" s="9">
        <f>IFERROR(__xludf.DUMMYFUNCTION("""COMPUTED_VALUE"""),46089.0)</f>
        <v>46089</v>
      </c>
      <c r="B59" s="7" t="str">
        <f>IFERROR(__xludf.DUMMYFUNCTION("""COMPUTED_VALUE"""),"TRSF E-BANKING DB")</f>
        <v>TRSF E-BANKING DB</v>
      </c>
      <c r="C59" s="7" t="str">
        <f>IFERROR(__xludf.DUMMYFUNCTION("""COMPUTED_VALUE"""),"0803/FTSCY/WS95011 104696510.00 Mon Mar 02 2026 15:00:00 GMT+0700 (Western Indonesia Time) BROILER MAKMUR TAN")</f>
        <v>0803/FTSCY/WS95011 104696510.00 Mon Mar 02 2026 15:00:00 GMT+0700 (Western Indonesia Time) BROILER MAKMUR TAN</v>
      </c>
      <c r="D59" s="7">
        <f>IFERROR(__xludf.DUMMYFUNCTION("""COMPUTED_VALUE"""),1.0469651E8)</f>
        <v>104696510</v>
      </c>
      <c r="E59" s="7"/>
      <c r="F59" s="7" t="str">
        <f>IFERROR(__xludf.DUMMYFUNCTION("""COMPUTED_VALUE"""),"DB")</f>
        <v>DB</v>
      </c>
      <c r="G59" s="7">
        <f>IFERROR(__xludf.DUMMYFUNCTION("""COMPUTED_VALUE"""),3.2192758840000033E7)</f>
        <v>32192758.84</v>
      </c>
      <c r="H59" s="7"/>
      <c r="I59" s="7" t="str">
        <f>IFERROR(__xludf.DUMMYFUNCTION("""COMPUTED_VALUE"""),"PRODUKSI")</f>
        <v>PRODUKSI</v>
      </c>
    </row>
    <row r="60">
      <c r="A60" s="9">
        <f>IFERROR(__xludf.DUMMYFUNCTION("""COMPUTED_VALUE"""),46089.0)</f>
        <v>46089</v>
      </c>
      <c r="B60" s="7" t="str">
        <f>IFERROR(__xludf.DUMMYFUNCTION("""COMPUTED_VALUE"""),"TRSF E-BANKING DB")</f>
        <v>TRSF E-BANKING DB</v>
      </c>
      <c r="C60" s="7" t="str">
        <f>IFERROR(__xludf.DUMMYFUNCTION("""COMPUTED_VALUE"""),"0803/FTSCY/WS95011 43644300.00 pemb. 06/03 GANESHA SATRIA NUS")</f>
        <v>0803/FTSCY/WS95011 43644300.00 pemb. 06/03 GANESHA SATRIA NUS</v>
      </c>
      <c r="D60" s="7">
        <f>IFERROR(__xludf.DUMMYFUNCTION("""COMPUTED_VALUE"""),4.36443E7)</f>
        <v>43644300</v>
      </c>
      <c r="E60" s="7"/>
      <c r="F60" s="7" t="str">
        <f>IFERROR(__xludf.DUMMYFUNCTION("""COMPUTED_VALUE"""),"DB")</f>
        <v>DB</v>
      </c>
      <c r="G60" s="7">
        <f>IFERROR(__xludf.DUMMYFUNCTION("""COMPUTED_VALUE"""),1.8031433884000003E8)</f>
        <v>180314338.8</v>
      </c>
      <c r="H60" s="7"/>
      <c r="I60" s="7" t="str">
        <f>IFERROR(__xludf.DUMMYFUNCTION("""COMPUTED_VALUE"""),"PRODUKSI")</f>
        <v>PRODUKSI</v>
      </c>
    </row>
    <row r="61">
      <c r="A61" s="9">
        <f>IFERROR(__xludf.DUMMYFUNCTION("""COMPUTED_VALUE"""),46089.0)</f>
        <v>46089</v>
      </c>
      <c r="B61" s="7" t="str">
        <f>IFERROR(__xludf.DUMMYFUNCTION("""COMPUTED_VALUE"""),"TRSF E-BANKING DB")</f>
        <v>TRSF E-BANKING DB</v>
      </c>
      <c r="C61" s="7" t="str">
        <f>IFERROR(__xludf.DUMMYFUNCTION("""COMPUTED_VALUE"""),"0803/FTSCY/WS95011 125075600.00 Wed Mar 04 2026 15:00:00 GMT+0700 (Western Indonesia Time) BROILER MAKMUR TAN")</f>
        <v>0803/FTSCY/WS95011 125075600.00 Wed Mar 04 2026 15:00:00 GMT+0700 (Western Indonesia Time) BROILER MAKMUR TAN</v>
      </c>
      <c r="D61" s="7">
        <f>IFERROR(__xludf.DUMMYFUNCTION("""COMPUTED_VALUE"""),1.250756E8)</f>
        <v>125075600</v>
      </c>
      <c r="E61" s="7"/>
      <c r="F61" s="7" t="str">
        <f>IFERROR(__xludf.DUMMYFUNCTION("""COMPUTED_VALUE"""),"DB")</f>
        <v>DB</v>
      </c>
      <c r="G61" s="7">
        <f>IFERROR(__xludf.DUMMYFUNCTION("""COMPUTED_VALUE"""),5.523873884000003E7)</f>
        <v>55238738.84</v>
      </c>
      <c r="H61" s="7">
        <f>IFERROR(__xludf.DUMMYFUNCTION("""COMPUTED_VALUE"""),5.523873884E7)</f>
        <v>55238738.84</v>
      </c>
      <c r="I61" s="7" t="str">
        <f>IFERROR(__xludf.DUMMYFUNCTION("""COMPUTED_VALUE"""),"PRODUKSI")</f>
        <v>PRODUKSI</v>
      </c>
    </row>
    <row r="62">
      <c r="A62" s="9">
        <f>IFERROR(__xludf.DUMMYFUNCTION("""COMPUTED_VALUE"""),46089.0)</f>
        <v>46089</v>
      </c>
      <c r="B62" s="7" t="str">
        <f>IFERROR(__xludf.DUMMYFUNCTION("""COMPUTED_VALUE"""),"TRSF E-BANKING DB")</f>
        <v>TRSF E-BANKING DB</v>
      </c>
      <c r="C62" s="7" t="str">
        <f>IFERROR(__xludf.DUMMYFUNCTION("""COMPUTED_VALUE"""),"0803/FTSCY/WS95011 86473440.00 malang PITIK DIGITAL INDO")</f>
        <v>0803/FTSCY/WS95011 86473440.00 malang PITIK DIGITAL INDO</v>
      </c>
      <c r="D62" s="7">
        <f>IFERROR(__xludf.DUMMYFUNCTION("""COMPUTED_VALUE"""),8.647344E7)</f>
        <v>86473440</v>
      </c>
      <c r="E62" s="7"/>
      <c r="F62" s="7" t="str">
        <f>IFERROR(__xludf.DUMMYFUNCTION("""COMPUTED_VALUE"""),"DB")</f>
        <v>DB</v>
      </c>
      <c r="G62" s="7">
        <f>IFERROR(__xludf.DUMMYFUNCTION("""COMPUTED_VALUE"""),1.1665298840000033E7)</f>
        <v>11665298.84</v>
      </c>
      <c r="H62" s="7"/>
      <c r="I62" s="7" t="str">
        <f>IFERROR(__xludf.DUMMYFUNCTION("""COMPUTED_VALUE"""),"PRODUKSI")</f>
        <v>PRODUKSI</v>
      </c>
    </row>
    <row r="63">
      <c r="A63" s="9">
        <f>IFERROR(__xludf.DUMMYFUNCTION("""COMPUTED_VALUE"""),46089.0)</f>
        <v>46089</v>
      </c>
      <c r="B63" s="7" t="str">
        <f>IFERROR(__xludf.DUMMYFUNCTION("""COMPUTED_VALUE"""),"TRSF E-BANKING DB")</f>
        <v>TRSF E-BANKING DB</v>
      </c>
      <c r="C63" s="7" t="str">
        <f>IFERROR(__xludf.DUMMYFUNCTION("""COMPUTED_VALUE"""),"0803/FTSCY/WS95011 82112290.00 Fri Mar 06 2026 15:00:00 GMT+0700 (Western Indonesia Time) krg 100 jt BROILER MAKMUR TAN")</f>
        <v>0803/FTSCY/WS95011 82112290.00 Fri Mar 06 2026 15:00:00 GMT+0700 (Western Indonesia Time) krg 100 jt BROILER MAKMUR TAN</v>
      </c>
      <c r="D63" s="7">
        <f>IFERROR(__xludf.DUMMYFUNCTION("""COMPUTED_VALUE"""),8.211229E7)</f>
        <v>82112290</v>
      </c>
      <c r="E63" s="7"/>
      <c r="F63" s="7" t="str">
        <f>IFERROR(__xludf.DUMMYFUNCTION("""COMPUTED_VALUE"""),"DB")</f>
        <v>DB</v>
      </c>
      <c r="G63" s="7">
        <f>IFERROR(__xludf.DUMMYFUNCTION("""COMPUTED_VALUE"""),2.3641895884000003E8)</f>
        <v>236418958.8</v>
      </c>
      <c r="H63" s="7"/>
      <c r="I63" s="7" t="str">
        <f>IFERROR(__xludf.DUMMYFUNCTION("""COMPUTED_VALUE"""),"PRODUKSI")</f>
        <v>PRODUKSI</v>
      </c>
    </row>
    <row r="64">
      <c r="A64" s="9">
        <f>IFERROR(__xludf.DUMMYFUNCTION("""COMPUTED_VALUE"""),46089.0)</f>
        <v>46089</v>
      </c>
      <c r="B64" s="7" t="str">
        <f>IFERROR(__xludf.DUMMYFUNCTION("""COMPUTED_VALUE"""),"TRSF E-BANKING DB")</f>
        <v>TRSF E-BANKING DB</v>
      </c>
      <c r="C64" s="7" t="str">
        <f>IFERROR(__xludf.DUMMYFUNCTION("""COMPUTED_VALUE"""),"0803/FTFVA/WS95031 55569/PT PRIMA FAJ titip 3000kg farm wahyudi pas 40190")</f>
        <v>0803/FTFVA/WS95031 55569/PT PRIMA FAJ titip 3000kg farm wahyudi pas 40190</v>
      </c>
      <c r="D64" s="7">
        <f>IFERROR(__xludf.DUMMYFUNCTION("""COMPUTED_VALUE"""),4.65E7)</f>
        <v>46500000</v>
      </c>
      <c r="E64" s="7"/>
      <c r="F64" s="7" t="str">
        <f>IFERROR(__xludf.DUMMYFUNCTION("""COMPUTED_VALUE"""),"DB")</f>
        <v>DB</v>
      </c>
      <c r="G64" s="7">
        <f>IFERROR(__xludf.DUMMYFUNCTION("""COMPUTED_VALUE"""),1.8991895884000003E8)</f>
        <v>189918958.8</v>
      </c>
      <c r="H64" s="7"/>
      <c r="I64" s="7" t="str">
        <f>IFERROR(__xludf.DUMMYFUNCTION("""COMPUTED_VALUE"""),"PRODUKSI")</f>
        <v>PRODUKSI</v>
      </c>
    </row>
    <row r="65">
      <c r="A65" s="9">
        <f>IFERROR(__xludf.DUMMYFUNCTION("""COMPUTED_VALUE"""),46089.0)</f>
        <v>46089</v>
      </c>
      <c r="B65" s="7" t="str">
        <f>IFERROR(__xludf.DUMMYFUNCTION("""COMPUTED_VALUE"""),"TRSF E-BANKING DB")</f>
        <v>TRSF E-BANKING DB</v>
      </c>
      <c r="C65" s="7" t="str">
        <f>IFERROR(__xludf.DUMMYFUNCTION("""COMPUTED_VALUE"""),"0803/FTSCY/WS95271 12897000.00 pemb. lokal plasma jhoni mlg SUPER UNGGAS JAYA")</f>
        <v>0803/FTSCY/WS95271 12897000.00 pemb. lokal plasma jhoni mlg SUPER UNGGAS JAYA</v>
      </c>
      <c r="D65" s="7">
        <f>IFERROR(__xludf.DUMMYFUNCTION("""COMPUTED_VALUE"""),1.2897E7)</f>
        <v>12897000</v>
      </c>
      <c r="E65" s="7"/>
      <c r="F65" s="7" t="str">
        <f>IFERROR(__xludf.DUMMYFUNCTION("""COMPUTED_VALUE"""),"DB")</f>
        <v>DB</v>
      </c>
      <c r="G65" s="7">
        <f>IFERROR(__xludf.DUMMYFUNCTION("""COMPUTED_VALUE"""),3.8561851884000003E8)</f>
        <v>385618518.8</v>
      </c>
      <c r="H65" s="7">
        <f>IFERROR(__xludf.DUMMYFUNCTION("""COMPUTED_VALUE"""),3.8561851884E8)</f>
        <v>385618518.8</v>
      </c>
      <c r="I65" s="7" t="str">
        <f>IFERROR(__xludf.DUMMYFUNCTION("""COMPUTED_VALUE"""),"PRODUKSI")</f>
        <v>PRODUKSI</v>
      </c>
    </row>
    <row r="66">
      <c r="A66" s="9">
        <f>IFERROR(__xludf.DUMMYFUNCTION("""COMPUTED_VALUE"""),46090.0)</f>
        <v>46090</v>
      </c>
      <c r="B66" s="7" t="str">
        <f>IFERROR(__xludf.DUMMYFUNCTION("""COMPUTED_VALUE"""),"TRSF E-BANKING DB")</f>
        <v>TRSF E-BANKING DB</v>
      </c>
      <c r="C66" s="7" t="str">
        <f>IFERROR(__xludf.DUMMYFUNCTION("""COMPUTED_VALUE"""),"0903/FTSCY/WS95271 50000000.00 titip LAJU SATWA WISESA")</f>
        <v>0903/FTSCY/WS95271 50000000.00 titip LAJU SATWA WISESA</v>
      </c>
      <c r="D66" s="7">
        <f>IFERROR(__xludf.DUMMYFUNCTION("""COMPUTED_VALUE"""),5.0E7)</f>
        <v>50000000</v>
      </c>
      <c r="E66" s="7"/>
      <c r="F66" s="7" t="str">
        <f>IFERROR(__xludf.DUMMYFUNCTION("""COMPUTED_VALUE"""),"DB")</f>
        <v>DB</v>
      </c>
      <c r="G66" s="7">
        <f>IFERROR(__xludf.DUMMYFUNCTION("""COMPUTED_VALUE"""),3.3856817884000003E8)</f>
        <v>338568178.8</v>
      </c>
      <c r="H66" s="7"/>
      <c r="I66" s="7" t="str">
        <f>IFERROR(__xludf.DUMMYFUNCTION("""COMPUTED_VALUE"""),"PRODUKSI")</f>
        <v>PRODUKSI</v>
      </c>
    </row>
    <row r="67">
      <c r="A67" s="9">
        <f>IFERROR(__xludf.DUMMYFUNCTION("""COMPUTED_VALUE"""),46090.0)</f>
        <v>46090</v>
      </c>
      <c r="B67" s="7" t="str">
        <f>IFERROR(__xludf.DUMMYFUNCTION("""COMPUTED_VALUE"""),"TRSF E-BANKING DB")</f>
        <v>TRSF E-BANKING DB</v>
      </c>
      <c r="C67" s="7" t="str">
        <f>IFERROR(__xludf.DUMMYFUNCTION("""COMPUTED_VALUE"""),"0903/FTSCY/WS95271 46500000.00 pemb kd arif kenco ng jbr LAWU ABADI NUSA PT")</f>
        <v>0903/FTSCY/WS95271 46500000.00 pemb kd arif kenco ng jbr LAWU ABADI NUSA PT</v>
      </c>
      <c r="D67" s="7">
        <f>IFERROR(__xludf.DUMMYFUNCTION("""COMPUTED_VALUE"""),4.65E7)</f>
        <v>46500000</v>
      </c>
      <c r="E67" s="7"/>
      <c r="F67" s="7" t="str">
        <f>IFERROR(__xludf.DUMMYFUNCTION("""COMPUTED_VALUE"""),"DB")</f>
        <v>DB</v>
      </c>
      <c r="G67" s="7">
        <f>IFERROR(__xludf.DUMMYFUNCTION("""COMPUTED_VALUE"""),2.9206817884000003E8)</f>
        <v>292068178.8</v>
      </c>
      <c r="H67" s="7"/>
      <c r="I67" s="7" t="str">
        <f>IFERROR(__xludf.DUMMYFUNCTION("""COMPUTED_VALUE"""),"PRODUKSI")</f>
        <v>PRODUKSI</v>
      </c>
    </row>
    <row r="68">
      <c r="A68" s="9">
        <f>IFERROR(__xludf.DUMMYFUNCTION("""COMPUTED_VALUE"""),46090.0)</f>
        <v>46090</v>
      </c>
      <c r="B68" s="7" t="str">
        <f>IFERROR(__xludf.DUMMYFUNCTION("""COMPUTED_VALUE"""),"TRSF E-BANKING DB")</f>
        <v>TRSF E-BANKING DB</v>
      </c>
      <c r="C68" s="7" t="str">
        <f>IFERROR(__xludf.DUMMYFUNCTION("""COMPUTED_VALUE"""),"0903/FTSCY/WS95271 96000000.00 Sat Mar 07 2026 15:00:00 GMT+0700 (Western Indonesia Time) ANDALAN YASA MITRA")</f>
        <v>0903/FTSCY/WS95271 96000000.00 Sat Mar 07 2026 15:00:00 GMT+0700 (Western Indonesia Time) ANDALAN YASA MITRA</v>
      </c>
      <c r="D68" s="7">
        <f>IFERROR(__xludf.DUMMYFUNCTION("""COMPUTED_VALUE"""),9.6E7)</f>
        <v>96000000</v>
      </c>
      <c r="E68" s="7"/>
      <c r="F68" s="7" t="str">
        <f>IFERROR(__xludf.DUMMYFUNCTION("""COMPUTED_VALUE"""),"DB")</f>
        <v>DB</v>
      </c>
      <c r="G68" s="7">
        <f>IFERROR(__xludf.DUMMYFUNCTION("""COMPUTED_VALUE"""),1.9606817884000003E8)</f>
        <v>196068178.8</v>
      </c>
      <c r="H68" s="7"/>
      <c r="I68" s="7" t="str">
        <f>IFERROR(__xludf.DUMMYFUNCTION("""COMPUTED_VALUE"""),"PRODUKSI")</f>
        <v>PRODUKSI</v>
      </c>
    </row>
    <row r="69">
      <c r="A69" s="9">
        <f>IFERROR(__xludf.DUMMYFUNCTION("""COMPUTED_VALUE"""),46090.0)</f>
        <v>46090</v>
      </c>
      <c r="B69" s="7" t="str">
        <f>IFERROR(__xludf.DUMMYFUNCTION("""COMPUTED_VALUE"""),"TRSF E-BANKING DB")</f>
        <v>TRSF E-BANKING DB</v>
      </c>
      <c r="C69" s="7" t="str">
        <f>IFERROR(__xludf.DUMMYFUNCTION("""COMPUTED_VALUE"""),"0903/FTSCY/WS95271 100000000.00 06/03 lunas BROILER MAKMUR TAN")</f>
        <v>0903/FTSCY/WS95271 100000000.00 06/03 lunas BROILER MAKMUR TAN</v>
      </c>
      <c r="D69" s="7">
        <f>IFERROR(__xludf.DUMMYFUNCTION("""COMPUTED_VALUE"""),1.0E8)</f>
        <v>100000000</v>
      </c>
      <c r="E69" s="7"/>
      <c r="F69" s="7" t="str">
        <f>IFERROR(__xludf.DUMMYFUNCTION("""COMPUTED_VALUE"""),"DB")</f>
        <v>DB</v>
      </c>
      <c r="G69" s="7">
        <f>IFERROR(__xludf.DUMMYFUNCTION("""COMPUTED_VALUE"""),9.606817884000003E7)</f>
        <v>96068178.84</v>
      </c>
      <c r="H69" s="7"/>
      <c r="I69" s="7" t="str">
        <f>IFERROR(__xludf.DUMMYFUNCTION("""COMPUTED_VALUE"""),"PRODUKSI")</f>
        <v>PRODUKSI</v>
      </c>
    </row>
    <row r="70">
      <c r="A70" s="9">
        <f>IFERROR(__xludf.DUMMYFUNCTION("""COMPUTED_VALUE"""),46090.0)</f>
        <v>46090</v>
      </c>
      <c r="B70" s="7" t="str">
        <f>IFERROR(__xludf.DUMMYFUNCTION("""COMPUTED_VALUE"""),"TRSF E-BANKING DB")</f>
        <v>TRSF E-BANKING DB</v>
      </c>
      <c r="C70" s="7" t="str">
        <f>IFERROR(__xludf.DUMMYFUNCTION("""COMPUTED_VALUE"""),"0903/FTSCY/WS95031 61160720.00 pengembalian dana ROZAL NUR SYAHBANA")</f>
        <v>0903/FTSCY/WS95031 61160720.00 pengembalian dana ROZAL NUR SYAHBANA</v>
      </c>
      <c r="D70" s="7">
        <f>IFERROR(__xludf.DUMMYFUNCTION("""COMPUTED_VALUE"""),6.116072E7)</f>
        <v>61160720</v>
      </c>
      <c r="E70" s="7"/>
      <c r="F70" s="7" t="str">
        <f>IFERROR(__xludf.DUMMYFUNCTION("""COMPUTED_VALUE"""),"DB")</f>
        <v>DB</v>
      </c>
      <c r="G70" s="7">
        <f>IFERROR(__xludf.DUMMYFUNCTION("""COMPUTED_VALUE"""),3.490745884000003E7)</f>
        <v>34907458.84</v>
      </c>
      <c r="H70" s="7"/>
      <c r="I70" s="7" t="str">
        <f>IFERROR(__xludf.DUMMYFUNCTION("""COMPUTED_VALUE"""),"PRODUKSI")</f>
        <v>PRODUKSI</v>
      </c>
    </row>
    <row r="71">
      <c r="A71" s="9">
        <f>IFERROR(__xludf.DUMMYFUNCTION("""COMPUTED_VALUE"""),46090.0)</f>
        <v>46090</v>
      </c>
      <c r="B71" s="7" t="str">
        <f>IFERROR(__xludf.DUMMYFUNCTION("""COMPUTED_VALUE"""),"TRSF E-BANKING DB")</f>
        <v>TRSF E-BANKING DB</v>
      </c>
      <c r="C71" s="7" t="str">
        <f>IFERROR(__xludf.DUMMYFUNCTION("""COMPUTED_VALUE"""),"0903/FTSCY/WS95011 37759840.00 pemb. kd riyem magetan BINTANG TAMA SANTO")</f>
        <v>0903/FTSCY/WS95011 37759840.00 pemb. kd riyem magetan BINTANG TAMA SANTO</v>
      </c>
      <c r="D71" s="7">
        <f>IFERROR(__xludf.DUMMYFUNCTION("""COMPUTED_VALUE"""),3.775984E7)</f>
        <v>37759840</v>
      </c>
      <c r="E71" s="7"/>
      <c r="F71" s="7" t="str">
        <f>IFERROR(__xludf.DUMMYFUNCTION("""COMPUTED_VALUE"""),"DB")</f>
        <v>DB</v>
      </c>
      <c r="G71" s="7">
        <f>IFERROR(__xludf.DUMMYFUNCTION("""COMPUTED_VALUE"""),3.3436721684000003E8)</f>
        <v>334367216.8</v>
      </c>
      <c r="H71" s="7">
        <f>IFERROR(__xludf.DUMMYFUNCTION("""COMPUTED_VALUE"""),3.3436721684E8)</f>
        <v>334367216.8</v>
      </c>
      <c r="I71" s="7" t="str">
        <f>IFERROR(__xludf.DUMMYFUNCTION("""COMPUTED_VALUE"""),"PRODUKSI")</f>
        <v>PRODUKSI</v>
      </c>
    </row>
    <row r="72">
      <c r="A72" s="9">
        <f>IFERROR(__xludf.DUMMYFUNCTION("""COMPUTED_VALUE"""),46090.0)</f>
        <v>46090</v>
      </c>
      <c r="B72" s="7" t="str">
        <f>IFERROR(__xludf.DUMMYFUNCTION("""COMPUTED_VALUE"""),"TRSF E-BANKING DB")</f>
        <v>TRSF E-BANKING DB</v>
      </c>
      <c r="C72" s="7" t="str">
        <f>IFERROR(__xludf.DUMMYFUNCTION("""COMPUTED_VALUE"""),"0903/FTSCY/WS95011 54649000.00 pemb. kd elip ponorogo ANUGERAH KARTIKA A")</f>
        <v>0903/FTSCY/WS95011 54649000.00 pemb. kd elip ponorogo ANUGERAH KARTIKA A</v>
      </c>
      <c r="D72" s="7">
        <f>IFERROR(__xludf.DUMMYFUNCTION("""COMPUTED_VALUE"""),5.4649E7)</f>
        <v>54649000</v>
      </c>
      <c r="E72" s="7"/>
      <c r="F72" s="7" t="str">
        <f>IFERROR(__xludf.DUMMYFUNCTION("""COMPUTED_VALUE"""),"DB")</f>
        <v>DB</v>
      </c>
      <c r="G72" s="7">
        <f>IFERROR(__xludf.DUMMYFUNCTION("""COMPUTED_VALUE"""),2.7971821684000003E8)</f>
        <v>279718216.8</v>
      </c>
      <c r="H72" s="7">
        <f>IFERROR(__xludf.DUMMYFUNCTION("""COMPUTED_VALUE"""),2.7971821684E8)</f>
        <v>279718216.8</v>
      </c>
      <c r="I72" s="7" t="str">
        <f>IFERROR(__xludf.DUMMYFUNCTION("""COMPUTED_VALUE"""),"PRODUKSI")</f>
        <v>PRODUKSI</v>
      </c>
    </row>
    <row r="73">
      <c r="A73" s="9">
        <f>IFERROR(__xludf.DUMMYFUNCTION("""COMPUTED_VALUE"""),46090.0)</f>
        <v>46090</v>
      </c>
      <c r="B73" s="7" t="str">
        <f>IFERROR(__xludf.DUMMYFUNCTION("""COMPUTED_VALUE"""),"TRSF E-BANKING DB")</f>
        <v>TRSF E-BANKING DB</v>
      </c>
      <c r="C73" s="7" t="str">
        <f>IFERROR(__xludf.DUMMYFUNCTION("""COMPUTED_VALUE"""),"0903/FTSCY/WS95011 83738400.00 Sun Mar 08 2026 15:00:00 GMT+0700 (Western Indonesia Time) SURYA INTI TERNAK")</f>
        <v>0903/FTSCY/WS95011 83738400.00 Sun Mar 08 2026 15:00:00 GMT+0700 (Western Indonesia Time) SURYA INTI TERNAK</v>
      </c>
      <c r="D73" s="7">
        <f>IFERROR(__xludf.DUMMYFUNCTION("""COMPUTED_VALUE"""),8.37384E7)</f>
        <v>83738400</v>
      </c>
      <c r="E73" s="7"/>
      <c r="F73" s="7" t="str">
        <f>IFERROR(__xludf.DUMMYFUNCTION("""COMPUTED_VALUE"""),"DB")</f>
        <v>DB</v>
      </c>
      <c r="G73" s="7">
        <f>IFERROR(__xludf.DUMMYFUNCTION("""COMPUTED_VALUE"""),1.9597981684000003E8)</f>
        <v>195979816.8</v>
      </c>
      <c r="H73" s="7"/>
      <c r="I73" s="7" t="str">
        <f>IFERROR(__xludf.DUMMYFUNCTION("""COMPUTED_VALUE"""),"PRODUKSI")</f>
        <v>PRODUKSI</v>
      </c>
    </row>
    <row r="74">
      <c r="A74" s="9">
        <f>IFERROR(__xludf.DUMMYFUNCTION("""COMPUTED_VALUE"""),46090.0)</f>
        <v>46090</v>
      </c>
      <c r="B74" s="7" t="str">
        <f>IFERROR(__xludf.DUMMYFUNCTION("""COMPUTED_VALUE"""),"TRSF E-BANKING DB")</f>
        <v>TRSF E-BANKING DB</v>
      </c>
      <c r="C74" s="7" t="str">
        <f>IFERROR(__xludf.DUMMYFUNCTION("""COMPUTED_VALUE"""),"0903/FTSCY/WS95011 48109500.00 t.agung PITIK DIGITAL INDO")</f>
        <v>0903/FTSCY/WS95011 48109500.00 t.agung PITIK DIGITAL INDO</v>
      </c>
      <c r="D74" s="7">
        <f>IFERROR(__xludf.DUMMYFUNCTION("""COMPUTED_VALUE"""),4.81095E7)</f>
        <v>48109500</v>
      </c>
      <c r="E74" s="7"/>
      <c r="F74" s="7" t="str">
        <f>IFERROR(__xludf.DUMMYFUNCTION("""COMPUTED_VALUE"""),"DB")</f>
        <v>DB</v>
      </c>
      <c r="G74" s="7">
        <f>IFERROR(__xludf.DUMMYFUNCTION("""COMPUTED_VALUE"""),1.4787031684000003E8)</f>
        <v>147870316.8</v>
      </c>
      <c r="H74" s="7"/>
      <c r="I74" s="7" t="str">
        <f>IFERROR(__xludf.DUMMYFUNCTION("""COMPUTED_VALUE"""),"PRODUKSI")</f>
        <v>PRODUKSI</v>
      </c>
    </row>
    <row r="75">
      <c r="A75" s="9">
        <f>IFERROR(__xludf.DUMMYFUNCTION("""COMPUTED_VALUE"""),46090.0)</f>
        <v>46090</v>
      </c>
      <c r="B75" s="7" t="str">
        <f>IFERROR(__xludf.DUMMYFUNCTION("""COMPUTED_VALUE"""),"TRSF E-BANKING DB")</f>
        <v>TRSF E-BANKING DB</v>
      </c>
      <c r="C75" s="7" t="str">
        <f>IFERROR(__xludf.DUMMYFUNCTION("""COMPUTED_VALUE"""),"0903/FTSCY/WS95011 46004040.00 kd subur kediri ANUGERAH KARTIKA A")</f>
        <v>0903/FTSCY/WS95011 46004040.00 kd subur kediri ANUGERAH KARTIKA A</v>
      </c>
      <c r="D75" s="7">
        <f>IFERROR(__xludf.DUMMYFUNCTION("""COMPUTED_VALUE"""),4.600404E7)</f>
        <v>46004040</v>
      </c>
      <c r="E75" s="7"/>
      <c r="F75" s="7" t="str">
        <f>IFERROR(__xludf.DUMMYFUNCTION("""COMPUTED_VALUE"""),"DB")</f>
        <v>DB</v>
      </c>
      <c r="G75" s="7">
        <f>IFERROR(__xludf.DUMMYFUNCTION("""COMPUTED_VALUE"""),1.0186627684000003E8)</f>
        <v>101866276.8</v>
      </c>
      <c r="H75" s="7"/>
      <c r="I75" s="7" t="str">
        <f>IFERROR(__xludf.DUMMYFUNCTION("""COMPUTED_VALUE"""),"PRODUKSI")</f>
        <v>PRODUKSI</v>
      </c>
    </row>
    <row r="76">
      <c r="A76" s="9">
        <f>IFERROR(__xludf.DUMMYFUNCTION("""COMPUTED_VALUE"""),46090.0)</f>
        <v>46090</v>
      </c>
      <c r="B76" s="7" t="str">
        <f>IFERROR(__xludf.DUMMYFUNCTION("""COMPUTED_VALUE"""),"TRSF E-BANKING DB")</f>
        <v>TRSF E-BANKING DB</v>
      </c>
      <c r="C76" s="7" t="str">
        <f>IFERROR(__xludf.DUMMYFUNCTION("""COMPUTED_VALUE"""),"0903/FTSCY/WS95011 77484210.00 krg 150 do 07/03 BROILER MAKMUR TAN")</f>
        <v>0903/FTSCY/WS95011 77484210.00 krg 150 do 07/03 BROILER MAKMUR TAN</v>
      </c>
      <c r="D76" s="7">
        <f>IFERROR(__xludf.DUMMYFUNCTION("""COMPUTED_VALUE"""),7.748421E7)</f>
        <v>77484210</v>
      </c>
      <c r="E76" s="7"/>
      <c r="F76" s="7" t="str">
        <f>IFERROR(__xludf.DUMMYFUNCTION("""COMPUTED_VALUE"""),"DB")</f>
        <v>DB</v>
      </c>
      <c r="G76" s="7">
        <f>IFERROR(__xludf.DUMMYFUNCTION("""COMPUTED_VALUE"""),2.4382066840000033E7)</f>
        <v>24382066.84</v>
      </c>
      <c r="H76" s="7"/>
      <c r="I76" s="7" t="str">
        <f>IFERROR(__xludf.DUMMYFUNCTION("""COMPUTED_VALUE"""),"PRODUKSI")</f>
        <v>PRODUKSI</v>
      </c>
    </row>
    <row r="77">
      <c r="A77" s="9">
        <f>IFERROR(__xludf.DUMMYFUNCTION("""COMPUTED_VALUE"""),46090.0)</f>
        <v>46090</v>
      </c>
      <c r="B77" s="7" t="str">
        <f>IFERROR(__xludf.DUMMYFUNCTION("""COMPUTED_VALUE"""),"TRSF E-BANKING DB")</f>
        <v>TRSF E-BANKING DB</v>
      </c>
      <c r="C77" s="7" t="str">
        <f>IFERROR(__xludf.DUMMYFUNCTION("""COMPUTED_VALUE"""),"0903/FTSCY/WS95011 67409450.00 pemb. plama kasini krg 24 jt SURYA INTI TERNAK")</f>
        <v>0903/FTSCY/WS95011 67409450.00 pemb. plama kasini krg 24 jt SURYA INTI TERNAK</v>
      </c>
      <c r="D77" s="7">
        <f>IFERROR(__xludf.DUMMYFUNCTION("""COMPUTED_VALUE"""),6.740945E7)</f>
        <v>67409450</v>
      </c>
      <c r="E77" s="7"/>
      <c r="F77" s="7" t="str">
        <f>IFERROR(__xludf.DUMMYFUNCTION("""COMPUTED_VALUE"""),"DB")</f>
        <v>DB</v>
      </c>
      <c r="G77" s="7">
        <f>IFERROR(__xludf.DUMMYFUNCTION("""COMPUTED_VALUE"""),627716.8400000334)</f>
        <v>627716.84</v>
      </c>
      <c r="H77" s="7"/>
      <c r="I77" s="7" t="str">
        <f>IFERROR(__xludf.DUMMYFUNCTION("""COMPUTED_VALUE"""),"PRODUKSI")</f>
        <v>PRODUKSI</v>
      </c>
    </row>
    <row r="78">
      <c r="A78" s="9">
        <f>IFERROR(__xludf.DUMMYFUNCTION("""COMPUTED_VALUE"""),46090.0)</f>
        <v>46090</v>
      </c>
      <c r="B78" s="7" t="str">
        <f>IFERROR(__xludf.DUMMYFUNCTION("""COMPUTED_VALUE"""),"TRSF E-BANKING DB")</f>
        <v>TRSF E-BANKING DB</v>
      </c>
      <c r="C78" s="7" t="str">
        <f>IFERROR(__xludf.DUMMYFUNCTION("""COMPUTED_VALUE"""),"0903/FTSCY/WS95011 43583400.00 plunasan farm budi kediri LAJU SATWA WISESA")</f>
        <v>0903/FTSCY/WS95011 43583400.00 plunasan farm budi kediri LAJU SATWA WISESA</v>
      </c>
      <c r="D78" s="7">
        <f>IFERROR(__xludf.DUMMYFUNCTION("""COMPUTED_VALUE"""),4.35834E7)</f>
        <v>43583400</v>
      </c>
      <c r="E78" s="7"/>
      <c r="F78" s="7" t="str">
        <f>IFERROR(__xludf.DUMMYFUNCTION("""COMPUTED_VALUE"""),"DB")</f>
        <v>DB</v>
      </c>
      <c r="G78" s="7">
        <f>IFERROR(__xludf.DUMMYFUNCTION("""COMPUTED_VALUE"""),1.0493291684000003E8)</f>
        <v>104932916.8</v>
      </c>
      <c r="H78" s="7">
        <f>IFERROR(__xludf.DUMMYFUNCTION("""COMPUTED_VALUE"""),1.0493291684E8)</f>
        <v>104932916.8</v>
      </c>
      <c r="I78" s="7" t="str">
        <f>IFERROR(__xludf.DUMMYFUNCTION("""COMPUTED_VALUE"""),"PRODUKSI")</f>
        <v>PRODUKSI</v>
      </c>
    </row>
    <row r="79">
      <c r="A79" s="9">
        <f>IFERROR(__xludf.DUMMYFUNCTION("""COMPUTED_VALUE"""),46090.0)</f>
        <v>46090</v>
      </c>
      <c r="B79" s="7" t="str">
        <f>IFERROR(__xludf.DUMMYFUNCTION("""COMPUTED_VALUE"""),"TRSF E-BANKING DB")</f>
        <v>TRSF E-BANKING DB</v>
      </c>
      <c r="C79" s="7" t="str">
        <f>IFERROR(__xludf.DUMMYFUNCTION("""COMPUTED_VALUE"""),"0903/FTSCY/WS95011 24000000.00 pelunasan bwi SURYA INTI TERNAK")</f>
        <v>0903/FTSCY/WS95011 24000000.00 pelunasan bwi SURYA INTI TERNAK</v>
      </c>
      <c r="D79" s="7">
        <f>IFERROR(__xludf.DUMMYFUNCTION("""COMPUTED_VALUE"""),2.4E7)</f>
        <v>24000000</v>
      </c>
      <c r="E79" s="7"/>
      <c r="F79" s="7" t="str">
        <f>IFERROR(__xludf.DUMMYFUNCTION("""COMPUTED_VALUE"""),"DB")</f>
        <v>DB</v>
      </c>
      <c r="G79" s="7">
        <f>IFERROR(__xludf.DUMMYFUNCTION("""COMPUTED_VALUE"""),8.093291684000003E7)</f>
        <v>80932916.84</v>
      </c>
      <c r="H79" s="7">
        <f>IFERROR(__xludf.DUMMYFUNCTION("""COMPUTED_VALUE"""),8.093291684E7)</f>
        <v>80932916.84</v>
      </c>
      <c r="I79" s="7" t="str">
        <f>IFERROR(__xludf.DUMMYFUNCTION("""COMPUTED_VALUE"""),"PRODUKSI")</f>
        <v>PRODUKSI</v>
      </c>
    </row>
    <row r="80">
      <c r="A80" s="9">
        <f>IFERROR(__xludf.DUMMYFUNCTION("""COMPUTED_VALUE"""),46091.0)</f>
        <v>46091</v>
      </c>
      <c r="B80" s="7" t="str">
        <f>IFERROR(__xludf.DUMMYFUNCTION("""COMPUTED_VALUE"""),"TRSF E-BANKING DB")</f>
        <v>TRSF E-BANKING DB</v>
      </c>
      <c r="C80" s="7" t="str">
        <f>IFERROR(__xludf.DUMMYFUNCTION("""COMPUTED_VALUE"""),"1003/FTSCY/WS95031 41133600.00 probolinggo PITIK DIGITAL INDO")</f>
        <v>1003/FTSCY/WS95031 41133600.00 probolinggo PITIK DIGITAL INDO</v>
      </c>
      <c r="D80" s="7">
        <f>IFERROR(__xludf.DUMMYFUNCTION("""COMPUTED_VALUE"""),4.11336E7)</f>
        <v>41133600</v>
      </c>
      <c r="E80" s="7"/>
      <c r="F80" s="7" t="str">
        <f>IFERROR(__xludf.DUMMYFUNCTION("""COMPUTED_VALUE"""),"DB")</f>
        <v>DB</v>
      </c>
      <c r="G80" s="7">
        <f>IFERROR(__xludf.DUMMYFUNCTION("""COMPUTED_VALUE"""),3.658571684000003E7)</f>
        <v>36585716.84</v>
      </c>
      <c r="H80" s="7"/>
      <c r="I80" s="7" t="str">
        <f>IFERROR(__xludf.DUMMYFUNCTION("""COMPUTED_VALUE"""),"PRODUKSI")</f>
        <v>PRODUKSI</v>
      </c>
    </row>
    <row r="81">
      <c r="A81" s="9">
        <f>IFERROR(__xludf.DUMMYFUNCTION("""COMPUTED_VALUE"""),46091.0)</f>
        <v>46091</v>
      </c>
      <c r="B81" s="7" t="str">
        <f>IFERROR(__xludf.DUMMYFUNCTION("""COMPUTED_VALUE"""),"TRSF E-BANKING DB")</f>
        <v>TRSF E-BANKING DB</v>
      </c>
      <c r="C81" s="7" t="str">
        <f>IFERROR(__xludf.DUMMYFUNCTION("""COMPUTED_VALUE"""),"1003/FTSCY/WS95271 122586000.00 Sat Mar 07 2026 15:00:00 GMT+0700 (Western Indonesia Time) ANDALAN YASA MITRA")</f>
        <v>1003/FTSCY/WS95271 122586000.00 Sat Mar 07 2026 15:00:00 GMT+0700 (Western Indonesia Time) ANDALAN YASA MITRA</v>
      </c>
      <c r="D81" s="7">
        <f>IFERROR(__xludf.DUMMYFUNCTION("""COMPUTED_VALUE"""),1.22586E8)</f>
        <v>122586000</v>
      </c>
      <c r="E81" s="7"/>
      <c r="F81" s="7" t="str">
        <f>IFERROR(__xludf.DUMMYFUNCTION("""COMPUTED_VALUE"""),"DB")</f>
        <v>DB</v>
      </c>
      <c r="G81" s="7">
        <f>IFERROR(__xludf.DUMMYFUNCTION("""COMPUTED_VALUE"""),1.4028339684000003E8)</f>
        <v>140283396.8</v>
      </c>
      <c r="H81" s="7"/>
      <c r="I81" s="7" t="str">
        <f>IFERROR(__xludf.DUMMYFUNCTION("""COMPUTED_VALUE"""),"PRODUKSI")</f>
        <v>PRODUKSI</v>
      </c>
    </row>
    <row r="82">
      <c r="A82" s="9">
        <f>IFERROR(__xludf.DUMMYFUNCTION("""COMPUTED_VALUE"""),46091.0)</f>
        <v>46091</v>
      </c>
      <c r="B82" s="7" t="str">
        <f>IFERROR(__xludf.DUMMYFUNCTION("""COMPUTED_VALUE"""),"TRSF E-BANKING DB")</f>
        <v>TRSF E-BANKING DB</v>
      </c>
      <c r="C82" s="7" t="str">
        <f>IFERROR(__xludf.DUMMYFUNCTION("""COMPUTED_VALUE"""),"1003/FTSCY/WS95271 43610800.00 Sun Mar 08 2026 15:00:00 GMT+0700 (Western Indonesia Time) RUKUN MITRA BERSAM")</f>
        <v>1003/FTSCY/WS95271 43610800.00 Sun Mar 08 2026 15:00:00 GMT+0700 (Western Indonesia Time) RUKUN MITRA BERSAM</v>
      </c>
      <c r="D82" s="7">
        <f>IFERROR(__xludf.DUMMYFUNCTION("""COMPUTED_VALUE"""),4.36108E7)</f>
        <v>43610800</v>
      </c>
      <c r="E82" s="7"/>
      <c r="F82" s="7" t="str">
        <f>IFERROR(__xludf.DUMMYFUNCTION("""COMPUTED_VALUE"""),"DB")</f>
        <v>DB</v>
      </c>
      <c r="G82" s="7">
        <f>IFERROR(__xludf.DUMMYFUNCTION("""COMPUTED_VALUE"""),9.667259684000003E7)</f>
        <v>96672596.84</v>
      </c>
      <c r="H82" s="7"/>
      <c r="I82" s="7" t="str">
        <f>IFERROR(__xludf.DUMMYFUNCTION("""COMPUTED_VALUE"""),"PRODUKSI")</f>
        <v>PRODUKSI</v>
      </c>
    </row>
    <row r="83">
      <c r="A83" s="9">
        <f>IFERROR(__xludf.DUMMYFUNCTION("""COMPUTED_VALUE"""),46091.0)</f>
        <v>46091</v>
      </c>
      <c r="B83" s="7" t="str">
        <f>IFERROR(__xludf.DUMMYFUNCTION("""COMPUTED_VALUE"""),"TRSF E-BANKING DB")</f>
        <v>TRSF E-BANKING DB</v>
      </c>
      <c r="C83" s="7" t="str">
        <f>IFERROR(__xludf.DUMMYFUNCTION("""COMPUTED_VALUE"""),"1003/FTSCY/WS95271 37397790.00 kd subur lunas ANUGERAH KARTIKA A")</f>
        <v>1003/FTSCY/WS95271 37397790.00 kd subur lunas ANUGERAH KARTIKA A</v>
      </c>
      <c r="D83" s="7">
        <f>IFERROR(__xludf.DUMMYFUNCTION("""COMPUTED_VALUE"""),3.739779E7)</f>
        <v>37397790</v>
      </c>
      <c r="E83" s="7"/>
      <c r="F83" s="7" t="str">
        <f>IFERROR(__xludf.DUMMYFUNCTION("""COMPUTED_VALUE"""),"DB")</f>
        <v>DB</v>
      </c>
      <c r="G83" s="7">
        <f>IFERROR(__xludf.DUMMYFUNCTION("""COMPUTED_VALUE"""),5.927480684000003E7)</f>
        <v>59274806.84</v>
      </c>
      <c r="H83" s="7"/>
      <c r="I83" s="7" t="str">
        <f>IFERROR(__xludf.DUMMYFUNCTION("""COMPUTED_VALUE"""),"PRODUKSI")</f>
        <v>PRODUKSI</v>
      </c>
    </row>
    <row r="84">
      <c r="A84" s="9">
        <f>IFERROR(__xludf.DUMMYFUNCTION("""COMPUTED_VALUE"""),46091.0)</f>
        <v>46091</v>
      </c>
      <c r="B84" s="7" t="str">
        <f>IFERROR(__xludf.DUMMYFUNCTION("""COMPUTED_VALUE"""),"TRSF E-BANKING DB")</f>
        <v>TRSF E-BANKING DB</v>
      </c>
      <c r="C84" s="7" t="str">
        <f>IFERROR(__xludf.DUMMYFUNCTION("""COMPUTED_VALUE"""),"1003/FTSCY/WS95011 201507500.00 Do. 07 dan 08 krg 100 jt BROILER MAKMUR TAN")</f>
        <v>1003/FTSCY/WS95011 201507500.00 Do. 07 dan 08 krg 100 jt BROILER MAKMUR TAN</v>
      </c>
      <c r="D84" s="7">
        <f>IFERROR(__xludf.DUMMYFUNCTION("""COMPUTED_VALUE"""),2.015075E8)</f>
        <v>201507500</v>
      </c>
      <c r="E84" s="7"/>
      <c r="F84" s="7" t="str">
        <f>IFERROR(__xludf.DUMMYFUNCTION("""COMPUTED_VALUE"""),"DB")</f>
        <v>DB</v>
      </c>
      <c r="G84" s="7">
        <f>IFERROR(__xludf.DUMMYFUNCTION("""COMPUTED_VALUE"""),1.7689646684000003E8)</f>
        <v>176896466.8</v>
      </c>
      <c r="H84" s="7"/>
      <c r="I84" s="7" t="str">
        <f>IFERROR(__xludf.DUMMYFUNCTION("""COMPUTED_VALUE"""),"PRODUKSI")</f>
        <v>PRODUKSI</v>
      </c>
    </row>
    <row r="85">
      <c r="A85" s="9">
        <f>IFERROR(__xludf.DUMMYFUNCTION("""COMPUTED_VALUE"""),46091.0)</f>
        <v>46091</v>
      </c>
      <c r="B85" s="7" t="str">
        <f>IFERROR(__xludf.DUMMYFUNCTION("""COMPUTED_VALUE"""),"TRSF E-BANKING DB")</f>
        <v>TRSF E-BANKING DB</v>
      </c>
      <c r="C85" s="7" t="str">
        <f>IFERROR(__xludf.DUMMYFUNCTION("""COMPUTED_VALUE"""),"1003/FTSCY/WS95011 47794250.00 pemb. kd jianto mojo kediri PT BERLIAN INDOMIT")</f>
        <v>1003/FTSCY/WS95011 47794250.00 pemb. kd jianto mojo kediri PT BERLIAN INDOMIT</v>
      </c>
      <c r="D85" s="7">
        <f>IFERROR(__xludf.DUMMYFUNCTION("""COMPUTED_VALUE"""),4.779425E7)</f>
        <v>47794250</v>
      </c>
      <c r="E85" s="7"/>
      <c r="F85" s="7" t="str">
        <f>IFERROR(__xludf.DUMMYFUNCTION("""COMPUTED_VALUE"""),"DB")</f>
        <v>DB</v>
      </c>
      <c r="G85" s="7">
        <f>IFERROR(__xludf.DUMMYFUNCTION("""COMPUTED_VALUE"""),1.2910221684000003E8)</f>
        <v>129102216.8</v>
      </c>
      <c r="H85" s="7"/>
      <c r="I85" s="7" t="str">
        <f>IFERROR(__xludf.DUMMYFUNCTION("""COMPUTED_VALUE"""),"PRODUKSI")</f>
        <v>PRODUKSI</v>
      </c>
    </row>
    <row r="86">
      <c r="A86" s="9">
        <f>IFERROR(__xludf.DUMMYFUNCTION("""COMPUTED_VALUE"""),46091.0)</f>
        <v>46091</v>
      </c>
      <c r="B86" s="7" t="str">
        <f>IFERROR(__xludf.DUMMYFUNCTION("""COMPUTED_VALUE"""),"TRSF E-BANKING DB")</f>
        <v>TRSF E-BANKING DB</v>
      </c>
      <c r="C86" s="7" t="str">
        <f>IFERROR(__xludf.DUMMYFUNCTION("""COMPUTED_VALUE"""),"1003/FTSCY/WS95011 53445000.00 pembm kd ismanto t.galek BINTANG TAMA SANTO")</f>
        <v>1003/FTSCY/WS95011 53445000.00 pembm kd ismanto t.galek BINTANG TAMA SANTO</v>
      </c>
      <c r="D86" s="7">
        <f>IFERROR(__xludf.DUMMYFUNCTION("""COMPUTED_VALUE"""),5.3445E7)</f>
        <v>53445000</v>
      </c>
      <c r="E86" s="7"/>
      <c r="F86" s="7" t="str">
        <f>IFERROR(__xludf.DUMMYFUNCTION("""COMPUTED_VALUE"""),"DB")</f>
        <v>DB</v>
      </c>
      <c r="G86" s="7">
        <f>IFERROR(__xludf.DUMMYFUNCTION("""COMPUTED_VALUE"""),7.565721684000003E7)</f>
        <v>75657216.84</v>
      </c>
      <c r="H86" s="7">
        <f>IFERROR(__xludf.DUMMYFUNCTION("""COMPUTED_VALUE"""),7.565721684E7)</f>
        <v>75657216.84</v>
      </c>
      <c r="I86" s="7" t="str">
        <f>IFERROR(__xludf.DUMMYFUNCTION("""COMPUTED_VALUE"""),"PRODUKSI")</f>
        <v>PRODUKSI</v>
      </c>
    </row>
    <row r="87">
      <c r="A87" s="9">
        <f>IFERROR(__xludf.DUMMYFUNCTION("""COMPUTED_VALUE"""),46091.0)</f>
        <v>46091</v>
      </c>
      <c r="B87" s="7" t="str">
        <f>IFERROR(__xludf.DUMMYFUNCTION("""COMPUTED_VALUE"""),"TRSF E-BANKING DB")</f>
        <v>TRSF E-BANKING DB</v>
      </c>
      <c r="C87" s="7" t="str">
        <f>IFERROR(__xludf.DUMMYFUNCTION("""COMPUTED_VALUE"""),"1003/FTSCY/WS95011 44319000.00 pemb. kd warsono magetan BINTANG TAMA SANTO")</f>
        <v>1003/FTSCY/WS95011 44319000.00 pemb. kd warsono magetan BINTANG TAMA SANTO</v>
      </c>
      <c r="D87" s="7">
        <f>IFERROR(__xludf.DUMMYFUNCTION("""COMPUTED_VALUE"""),4.4319E7)</f>
        <v>44319000</v>
      </c>
      <c r="E87" s="7"/>
      <c r="F87" s="7" t="str">
        <f>IFERROR(__xludf.DUMMYFUNCTION("""COMPUTED_VALUE"""),"DB")</f>
        <v>DB</v>
      </c>
      <c r="G87" s="7">
        <f>IFERROR(__xludf.DUMMYFUNCTION("""COMPUTED_VALUE"""),3.1338216840000033E7)</f>
        <v>31338216.84</v>
      </c>
      <c r="H87" s="7">
        <f>IFERROR(__xludf.DUMMYFUNCTION("""COMPUTED_VALUE"""),3.133821684E7)</f>
        <v>31338216.84</v>
      </c>
      <c r="I87" s="7" t="str">
        <f>IFERROR(__xludf.DUMMYFUNCTION("""COMPUTED_VALUE"""),"PRODUKSI")</f>
        <v>PRODUKSI</v>
      </c>
    </row>
    <row r="88">
      <c r="A88" s="9">
        <f>IFERROR(__xludf.DUMMYFUNCTION("""COMPUTED_VALUE"""),46091.0)</f>
        <v>46091</v>
      </c>
      <c r="B88" s="7" t="str">
        <f>IFERROR(__xludf.DUMMYFUNCTION("""COMPUTED_VALUE"""),"TRSF E-BANKING DB")</f>
        <v>TRSF E-BANKING DB</v>
      </c>
      <c r="C88" s="7" t="str">
        <f>IFERROR(__xludf.DUMMYFUNCTION("""COMPUTED_VALUE"""),"1003/FTSCY/WS95011 79657800.00 krg 100 Kd. Faturrahman B SURYA INTI TERNAK")</f>
        <v>1003/FTSCY/WS95011 79657800.00 krg 100 Kd. Faturrahman B SURYA INTI TERNAK</v>
      </c>
      <c r="D88" s="7">
        <f>IFERROR(__xludf.DUMMYFUNCTION("""COMPUTED_VALUE"""),7.96578E7)</f>
        <v>79657800</v>
      </c>
      <c r="E88" s="7"/>
      <c r="F88" s="7" t="str">
        <f>IFERROR(__xludf.DUMMYFUNCTION("""COMPUTED_VALUE"""),"DB")</f>
        <v>DB</v>
      </c>
      <c r="G88" s="7">
        <f>IFERROR(__xludf.DUMMYFUNCTION("""COMPUTED_VALUE"""),5481716.840000033)</f>
        <v>5481716.84</v>
      </c>
      <c r="H88" s="7">
        <f>IFERROR(__xludf.DUMMYFUNCTION("""COMPUTED_VALUE"""),5481716.84)</f>
        <v>5481716.84</v>
      </c>
      <c r="I88" s="7" t="str">
        <f>IFERROR(__xludf.DUMMYFUNCTION("""COMPUTED_VALUE"""),"PRODUKSI")</f>
        <v>PRODUKSI</v>
      </c>
    </row>
    <row r="89">
      <c r="A89" s="9">
        <f>IFERROR(__xludf.DUMMYFUNCTION("""COMPUTED_VALUE"""),46092.0)</f>
        <v>46092</v>
      </c>
      <c r="B89" s="7" t="str">
        <f>IFERROR(__xludf.DUMMYFUNCTION("""COMPUTED_VALUE"""),"TRSF E-BANKING DB TANGGAL :10/03")</f>
        <v>TRSF E-BANKING DB TANGGAL :10/03</v>
      </c>
      <c r="C89" s="7" t="str">
        <f>IFERROR(__xludf.DUMMYFUNCTION("""COMPUTED_VALUE"""),"1003/FTSCY/WS95011 Kd. lucki mlg BINTANG TAMA SANTO")</f>
        <v>1003/FTSCY/WS95011 Kd. lucki mlg BINTANG TAMA SANTO</v>
      </c>
      <c r="D89" s="7">
        <f>IFERROR(__xludf.DUMMYFUNCTION("""COMPUTED_VALUE"""),4.842045E7)</f>
        <v>48420450</v>
      </c>
      <c r="E89" s="7"/>
      <c r="F89" s="7" t="str">
        <f>IFERROR(__xludf.DUMMYFUNCTION("""COMPUTED_VALUE"""),"DB")</f>
        <v>DB</v>
      </c>
      <c r="G89" s="7">
        <f>IFERROR(__xludf.DUMMYFUNCTION("""COMPUTED_VALUE"""),1.3786136840000033E7)</f>
        <v>13786136.84</v>
      </c>
      <c r="H89" s="7"/>
      <c r="I89" s="7" t="str">
        <f>IFERROR(__xludf.DUMMYFUNCTION("""COMPUTED_VALUE"""),"PRODUKSI")</f>
        <v>PRODUKSI</v>
      </c>
    </row>
    <row r="90">
      <c r="A90" s="9">
        <f>IFERROR(__xludf.DUMMYFUNCTION("""COMPUTED_VALUE"""),46092.0)</f>
        <v>46092</v>
      </c>
      <c r="B90" s="7" t="str">
        <f>IFERROR(__xludf.DUMMYFUNCTION("""COMPUTED_VALUE"""),"TRSF E-BANKING DB")</f>
        <v>TRSF E-BANKING DB</v>
      </c>
      <c r="C90" s="7" t="str">
        <f>IFERROR(__xludf.DUMMYFUNCTION("""COMPUTED_VALUE"""),"1103/FTSCY/WS95271 100000000.00 pelunasan jember SURYA INTI TERNAK")</f>
        <v>1103/FTSCY/WS95271 100000000.00 pelunasan jember SURYA INTI TERNAK</v>
      </c>
      <c r="D90" s="7">
        <f>IFERROR(__xludf.DUMMYFUNCTION("""COMPUTED_VALUE"""),1.0E8)</f>
        <v>100000000</v>
      </c>
      <c r="E90" s="7"/>
      <c r="F90" s="7" t="str">
        <f>IFERROR(__xludf.DUMMYFUNCTION("""COMPUTED_VALUE"""),"DB")</f>
        <v>DB</v>
      </c>
      <c r="G90" s="7">
        <f>IFERROR(__xludf.DUMMYFUNCTION("""COMPUTED_VALUE"""),2.5897664084000003E8)</f>
        <v>258976640.8</v>
      </c>
      <c r="H90" s="7"/>
      <c r="I90" s="7" t="str">
        <f>IFERROR(__xludf.DUMMYFUNCTION("""COMPUTED_VALUE"""),"PRODUKSI")</f>
        <v>PRODUKSI</v>
      </c>
    </row>
    <row r="91">
      <c r="A91" s="9">
        <f>IFERROR(__xludf.DUMMYFUNCTION("""COMPUTED_VALUE"""),46092.0)</f>
        <v>46092</v>
      </c>
      <c r="B91" s="7" t="str">
        <f>IFERROR(__xludf.DUMMYFUNCTION("""COMPUTED_VALUE"""),"TRSF E-BANKING DB")</f>
        <v>TRSF E-BANKING DB</v>
      </c>
      <c r="C91" s="7" t="str">
        <f>IFERROR(__xludf.DUMMYFUNCTION("""COMPUTED_VALUE"""),"1103/FTSCY/WS95271 100000000.00 Sun Mar 08 2026 15:00:00 GMT+0700 (Western Indonesia Time) BROILER MAKMUR TAN")</f>
        <v>1103/FTSCY/WS95271 100000000.00 Sun Mar 08 2026 15:00:00 GMT+0700 (Western Indonesia Time) BROILER MAKMUR TAN</v>
      </c>
      <c r="D91" s="7">
        <f>IFERROR(__xludf.DUMMYFUNCTION("""COMPUTED_VALUE"""),1.0E8)</f>
        <v>100000000</v>
      </c>
      <c r="E91" s="7"/>
      <c r="F91" s="7" t="str">
        <f>IFERROR(__xludf.DUMMYFUNCTION("""COMPUTED_VALUE"""),"DB")</f>
        <v>DB</v>
      </c>
      <c r="G91" s="7">
        <f>IFERROR(__xludf.DUMMYFUNCTION("""COMPUTED_VALUE"""),1.5897664084000003E8)</f>
        <v>158976640.8</v>
      </c>
      <c r="H91" s="7">
        <f>IFERROR(__xludf.DUMMYFUNCTION("""COMPUTED_VALUE"""),1.5897664084E8)</f>
        <v>158976640.8</v>
      </c>
      <c r="I91" s="7" t="str">
        <f>IFERROR(__xludf.DUMMYFUNCTION("""COMPUTED_VALUE"""),"PRODUKSI")</f>
        <v>PRODUKSI</v>
      </c>
    </row>
    <row r="92">
      <c r="A92" s="9">
        <f>IFERROR(__xludf.DUMMYFUNCTION("""COMPUTED_VALUE"""),46092.0)</f>
        <v>46092</v>
      </c>
      <c r="B92" s="7" t="str">
        <f>IFERROR(__xludf.DUMMYFUNCTION("""COMPUTED_VALUE"""),"TRSF E-BANKING DB")</f>
        <v>TRSF E-BANKING DB</v>
      </c>
      <c r="C92" s="7" t="str">
        <f>IFERROR(__xludf.DUMMYFUNCTION("""COMPUTED_VALUE"""),"1103/FTSCY/WS95031 94800000.00 Mon Feb 09 2026 15:00:00 GMT+0700 (Western Indonesia Time) BINTANG TAMA SANTO")</f>
        <v>1103/FTSCY/WS95031 94800000.00 Mon Feb 09 2026 15:00:00 GMT+0700 (Western Indonesia Time) BINTANG TAMA SANTO</v>
      </c>
      <c r="D92" s="7">
        <f>IFERROR(__xludf.DUMMYFUNCTION("""COMPUTED_VALUE"""),9.48E7)</f>
        <v>94800000</v>
      </c>
      <c r="E92" s="7"/>
      <c r="F92" s="7" t="str">
        <f>IFERROR(__xludf.DUMMYFUNCTION("""COMPUTED_VALUE"""),"DB")</f>
        <v>DB</v>
      </c>
      <c r="G92" s="7">
        <f>IFERROR(__xludf.DUMMYFUNCTION("""COMPUTED_VALUE"""),2.0119864084000003E8)</f>
        <v>201198640.8</v>
      </c>
      <c r="H92" s="7"/>
      <c r="I92" s="7" t="str">
        <f>IFERROR(__xludf.DUMMYFUNCTION("""COMPUTED_VALUE"""),"PRODUKSI")</f>
        <v>PRODUKSI</v>
      </c>
    </row>
    <row r="93">
      <c r="A93" s="9">
        <f>IFERROR(__xludf.DUMMYFUNCTION("""COMPUTED_VALUE"""),46093.0)</f>
        <v>46093</v>
      </c>
      <c r="B93" s="7" t="str">
        <f>IFERROR(__xludf.DUMMYFUNCTION("""COMPUTED_VALUE"""),"TRSF E-BANKING DB TANGGAL :11/03")</f>
        <v>TRSF E-BANKING DB TANGGAL :11/03</v>
      </c>
      <c r="C93" s="7" t="str">
        <f>IFERROR(__xludf.DUMMYFUNCTION("""COMPUTED_VALUE"""),"1103/FTSCY/WS95271 Mon Feb 09 2026 15:00:00 GMT+0700 (Western Indonesia Time) ANDALAN YASA MITRA")</f>
        <v>1103/FTSCY/WS95271 Mon Feb 09 2026 15:00:00 GMT+0700 (Western Indonesia Time) ANDALAN YASA MITRA</v>
      </c>
      <c r="D93" s="7">
        <f>IFERROR(__xludf.DUMMYFUNCTION("""COMPUTED_VALUE"""),2.2594E7)</f>
        <v>22594000</v>
      </c>
      <c r="E93" s="7"/>
      <c r="F93" s="7" t="str">
        <f>IFERROR(__xludf.DUMMYFUNCTION("""COMPUTED_VALUE"""),"DB")</f>
        <v>DB</v>
      </c>
      <c r="G93" s="7">
        <f>IFERROR(__xludf.DUMMYFUNCTION("""COMPUTED_VALUE"""),1.7855464084000003E8)</f>
        <v>178554640.8</v>
      </c>
      <c r="H93" s="7"/>
      <c r="I93" s="7" t="str">
        <f>IFERROR(__xludf.DUMMYFUNCTION("""COMPUTED_VALUE"""),"PRODUKSI")</f>
        <v>PRODUKSI</v>
      </c>
    </row>
    <row r="94">
      <c r="A94" s="9">
        <f>IFERROR(__xludf.DUMMYFUNCTION("""COMPUTED_VALUE"""),46093.0)</f>
        <v>46093</v>
      </c>
      <c r="B94" s="7" t="str">
        <f>IFERROR(__xludf.DUMMYFUNCTION("""COMPUTED_VALUE"""),"TRSF E-BANKING DB")</f>
        <v>TRSF E-BANKING DB</v>
      </c>
      <c r="C94" s="7" t="str">
        <f>IFERROR(__xludf.DUMMYFUNCTION("""COMPUTED_VALUE"""),"1203/FTSCY/WS95271 175192480.00 09/03 krg 315 jt ANDALAN YASA MITRA")</f>
        <v>1203/FTSCY/WS95271 175192480.00 09/03 krg 315 jt ANDALAN YASA MITRA</v>
      </c>
      <c r="D94" s="7">
        <f>IFERROR(__xludf.DUMMYFUNCTION("""COMPUTED_VALUE"""),1.7519248E8)</f>
        <v>175192480</v>
      </c>
      <c r="E94" s="7"/>
      <c r="F94" s="7" t="str">
        <f>IFERROR(__xludf.DUMMYFUNCTION("""COMPUTED_VALUE"""),"DB")</f>
        <v>DB</v>
      </c>
      <c r="G94" s="7">
        <f>IFERROR(__xludf.DUMMYFUNCTION("""COMPUTED_VALUE"""),3362160.8400000334)</f>
        <v>3362160.84</v>
      </c>
      <c r="H94" s="7"/>
      <c r="I94" s="7" t="str">
        <f>IFERROR(__xludf.DUMMYFUNCTION("""COMPUTED_VALUE"""),"PRODUKSI")</f>
        <v>PRODUKSI</v>
      </c>
    </row>
    <row r="95">
      <c r="A95" s="9">
        <f>IFERROR(__xludf.DUMMYFUNCTION("""COMPUTED_VALUE"""),46094.0)</f>
        <v>46094</v>
      </c>
      <c r="B95" s="7" t="str">
        <f>IFERROR(__xludf.DUMMYFUNCTION("""COMPUTED_VALUE"""),"TRSF E-BANKING DB TANGGAL :12/03")</f>
        <v>TRSF E-BANKING DB TANGGAL :12/03</v>
      </c>
      <c r="C95" s="7" t="str">
        <f>IFERROR(__xludf.DUMMYFUNCTION("""COMPUTED_VALUE"""),"1203/FTSCY/WS95031 Mon Mar 09 2026 14:00:00 GMT+0700 (Western Indonesia Time) BROILER MAKMUR TAN")</f>
        <v>1203/FTSCY/WS95031 Mon Mar 09 2026 14:00:00 GMT+0700 (Western Indonesia Time) BROILER MAKMUR TAN</v>
      </c>
      <c r="D95" s="7">
        <f>IFERROR(__xludf.DUMMYFUNCTION("""COMPUTED_VALUE"""),6.03856E7)</f>
        <v>60385600</v>
      </c>
      <c r="E95" s="7"/>
      <c r="F95" s="7" t="str">
        <f>IFERROR(__xludf.DUMMYFUNCTION("""COMPUTED_VALUE"""),"DB")</f>
        <v>DB</v>
      </c>
      <c r="G95" s="7">
        <f>IFERROR(__xludf.DUMMYFUNCTION("""COMPUTED_VALUE"""),1.2921560840000033E7)</f>
        <v>12921560.84</v>
      </c>
      <c r="H95" s="7"/>
      <c r="I95" s="7" t="str">
        <f>IFERROR(__xludf.DUMMYFUNCTION("""COMPUTED_VALUE"""),"PRODUKSI")</f>
        <v>PRODUKSI</v>
      </c>
    </row>
    <row r="96">
      <c r="A96" s="9">
        <f>IFERROR(__xludf.DUMMYFUNCTION("""COMPUTED_VALUE"""),46094.0)</f>
        <v>46094</v>
      </c>
      <c r="B96" s="7" t="str">
        <f>IFERROR(__xludf.DUMMYFUNCTION("""COMPUTED_VALUE"""),"TRSF E-BANKING DB")</f>
        <v>TRSF E-BANKING DB</v>
      </c>
      <c r="C96" s="7" t="str">
        <f>IFERROR(__xludf.DUMMYFUNCTION("""COMPUTED_VALUE"""),"1303/FTSCY/WS95271 54064000.00 Tue Mar 10 2026 14:00:00 GMT+0700 (Western Indonesia Time) GANESHA SATRIA NUS")</f>
        <v>1303/FTSCY/WS95271 54064000.00 Tue Mar 10 2026 14:00:00 GMT+0700 (Western Indonesia Time) GANESHA SATRIA NUS</v>
      </c>
      <c r="D96" s="7">
        <f>IFERROR(__xludf.DUMMYFUNCTION("""COMPUTED_VALUE"""),5.4064E7)</f>
        <v>54064000</v>
      </c>
      <c r="E96" s="7"/>
      <c r="F96" s="7" t="str">
        <f>IFERROR(__xludf.DUMMYFUNCTION("""COMPUTED_VALUE"""),"DB")</f>
        <v>DB</v>
      </c>
      <c r="G96" s="7">
        <f>IFERROR(__xludf.DUMMYFUNCTION("""COMPUTED_VALUE"""),2.7992401584000003E8)</f>
        <v>279924015.8</v>
      </c>
      <c r="H96" s="7"/>
      <c r="I96" s="7" t="str">
        <f>IFERROR(__xludf.DUMMYFUNCTION("""COMPUTED_VALUE"""),"PRODUKSI")</f>
        <v>PRODUKSI</v>
      </c>
    </row>
    <row r="97">
      <c r="A97" s="9">
        <f>IFERROR(__xludf.DUMMYFUNCTION("""COMPUTED_VALUE"""),46094.0)</f>
        <v>46094</v>
      </c>
      <c r="B97" s="7" t="str">
        <f>IFERROR(__xludf.DUMMYFUNCTION("""COMPUTED_VALUE"""),"TRSF E-BANKING DB")</f>
        <v>TRSF E-BANKING DB</v>
      </c>
      <c r="C97" s="7" t="str">
        <f>IFERROR(__xludf.DUMMYFUNCTION("""COMPUTED_VALUE"""),"1303/FTSCY/WS95271 41929500.00 pemb. plasma jumat i bwi SURYA INTI TERNAK")</f>
        <v>1303/FTSCY/WS95271 41929500.00 pemb. plasma jumat i bwi SURYA INTI TERNAK</v>
      </c>
      <c r="D97" s="7">
        <f>IFERROR(__xludf.DUMMYFUNCTION("""COMPUTED_VALUE"""),4.19295E7)</f>
        <v>41929500</v>
      </c>
      <c r="E97" s="7"/>
      <c r="F97" s="7" t="str">
        <f>IFERROR(__xludf.DUMMYFUNCTION("""COMPUTED_VALUE"""),"DB")</f>
        <v>DB</v>
      </c>
      <c r="G97" s="7">
        <f>IFERROR(__xludf.DUMMYFUNCTION("""COMPUTED_VALUE"""),2.3799451584000003E8)</f>
        <v>237994515.8</v>
      </c>
      <c r="H97" s="7">
        <f>IFERROR(__xludf.DUMMYFUNCTION("""COMPUTED_VALUE"""),2.3799451584E8)</f>
        <v>237994515.8</v>
      </c>
      <c r="I97" s="7" t="str">
        <f>IFERROR(__xludf.DUMMYFUNCTION("""COMPUTED_VALUE"""),"PRODUKSI")</f>
        <v>PRODUKSI</v>
      </c>
    </row>
    <row r="98">
      <c r="A98" s="9">
        <f>IFERROR(__xludf.DUMMYFUNCTION("""COMPUTED_VALUE"""),46094.0)</f>
        <v>46094</v>
      </c>
      <c r="B98" s="7" t="str">
        <f>IFERROR(__xludf.DUMMYFUNCTION("""COMPUTED_VALUE"""),"TRSF E-BANKING DB")</f>
        <v>TRSF E-BANKING DB</v>
      </c>
      <c r="C98" s="7" t="str">
        <f>IFERROR(__xludf.DUMMYFUNCTION("""COMPUTED_VALUE"""),"1303/FTSCY/WS95271 43570500.00 pemb kd edi santos o ANUGERAH KARTIKA A")</f>
        <v>1303/FTSCY/WS95271 43570500.00 pemb kd edi santos o ANUGERAH KARTIKA A</v>
      </c>
      <c r="D98" s="7">
        <f>IFERROR(__xludf.DUMMYFUNCTION("""COMPUTED_VALUE"""),4.35705E7)</f>
        <v>43570500</v>
      </c>
      <c r="E98" s="7"/>
      <c r="F98" s="7" t="str">
        <f>IFERROR(__xludf.DUMMYFUNCTION("""COMPUTED_VALUE"""),"DB")</f>
        <v>DB</v>
      </c>
      <c r="G98" s="7">
        <f>IFERROR(__xludf.DUMMYFUNCTION("""COMPUTED_VALUE"""),1.9442401584000003E8)</f>
        <v>194424015.8</v>
      </c>
      <c r="H98" s="7">
        <f>IFERROR(__xludf.DUMMYFUNCTION("""COMPUTED_VALUE"""),1.9442401584E8)</f>
        <v>194424015.8</v>
      </c>
      <c r="I98" s="7" t="str">
        <f>IFERROR(__xludf.DUMMYFUNCTION("""COMPUTED_VALUE"""),"PRODUKSI")</f>
        <v>PRODUKSI</v>
      </c>
    </row>
    <row r="99">
      <c r="A99" s="9">
        <f>IFERROR(__xludf.DUMMYFUNCTION("""COMPUTED_VALUE"""),46094.0)</f>
        <v>46094</v>
      </c>
      <c r="B99" s="7" t="str">
        <f>IFERROR(__xludf.DUMMYFUNCTION("""COMPUTED_VALUE"""),"TRSF E-BANKING DB")</f>
        <v>TRSF E-BANKING DB</v>
      </c>
      <c r="C99" s="7" t="str">
        <f>IFERROR(__xludf.DUMMYFUNCTION("""COMPUTED_VALUE"""),"1303/FTSCY/WS95271 48000000.00 Tue Mar 10 2026 14:00:00 GMT+0700 (Western Indonesia Time) ANUGERAH KARTIKA A")</f>
        <v>1303/FTSCY/WS95271 48000000.00 Tue Mar 10 2026 14:00:00 GMT+0700 (Western Indonesia Time) ANUGERAH KARTIKA A</v>
      </c>
      <c r="D99" s="7">
        <f>IFERROR(__xludf.DUMMYFUNCTION("""COMPUTED_VALUE"""),4.8E7)</f>
        <v>48000000</v>
      </c>
      <c r="E99" s="7"/>
      <c r="F99" s="7" t="str">
        <f>IFERROR(__xludf.DUMMYFUNCTION("""COMPUTED_VALUE"""),"DB")</f>
        <v>DB</v>
      </c>
      <c r="G99" s="7">
        <f>IFERROR(__xludf.DUMMYFUNCTION("""COMPUTED_VALUE"""),1.4642401584000003E8)</f>
        <v>146424015.8</v>
      </c>
      <c r="H99" s="7"/>
      <c r="I99" s="7" t="str">
        <f>IFERROR(__xludf.DUMMYFUNCTION("""COMPUTED_VALUE"""),"PRODUKSI")</f>
        <v>PRODUKSI</v>
      </c>
    </row>
    <row r="100">
      <c r="A100" s="9">
        <f>IFERROR(__xludf.DUMMYFUNCTION("""COMPUTED_VALUE"""),46094.0)</f>
        <v>46094</v>
      </c>
      <c r="B100" s="7" t="str">
        <f>IFERROR(__xludf.DUMMYFUNCTION("""COMPUTED_VALUE"""),"TRSF E-BANKING DB")</f>
        <v>TRSF E-BANKING DB</v>
      </c>
      <c r="C100" s="7" t="str">
        <f>IFERROR(__xludf.DUMMYFUNCTION("""COMPUTED_VALUE"""),"1303/FTSCY/WS95271 46408000.00 Tue Mar 10 2026 14:00:00 GMT+0700 (Western Indonesia Time) ANDALAN YASA MITRA")</f>
        <v>1303/FTSCY/WS95271 46408000.00 Tue Mar 10 2026 14:00:00 GMT+0700 (Western Indonesia Time) ANDALAN YASA MITRA</v>
      </c>
      <c r="D100" s="7">
        <f>IFERROR(__xludf.DUMMYFUNCTION("""COMPUTED_VALUE"""),4.6408E7)</f>
        <v>46408000</v>
      </c>
      <c r="E100" s="7"/>
      <c r="F100" s="7" t="str">
        <f>IFERROR(__xludf.DUMMYFUNCTION("""COMPUTED_VALUE"""),"DB")</f>
        <v>DB</v>
      </c>
      <c r="G100" s="7">
        <f>IFERROR(__xludf.DUMMYFUNCTION("""COMPUTED_VALUE"""),1.0001601584000003E8)</f>
        <v>100016015.8</v>
      </c>
      <c r="H100" s="7"/>
      <c r="I100" s="7" t="str">
        <f>IFERROR(__xludf.DUMMYFUNCTION("""COMPUTED_VALUE"""),"PRODUKSI")</f>
        <v>PRODUKSI</v>
      </c>
    </row>
    <row r="101">
      <c r="A101" s="9">
        <f>IFERROR(__xludf.DUMMYFUNCTION("""COMPUTED_VALUE"""),46094.0)</f>
        <v>46094</v>
      </c>
      <c r="B101" s="7" t="str">
        <f>IFERROR(__xludf.DUMMYFUNCTION("""COMPUTED_VALUE"""),"TRSF E-BANKING DB")</f>
        <v>TRSF E-BANKING DB</v>
      </c>
      <c r="C101" s="7" t="str">
        <f>IFERROR(__xludf.DUMMYFUNCTION("""COMPUTED_VALUE"""),"1303/FTSCY/WS95271 47024000.00 Mon Mar 09 2026 14:00:00 GMT+0700 (Western Indonesia Time) BROILER MAKMUR TAN")</f>
        <v>1303/FTSCY/WS95271 47024000.00 Mon Mar 09 2026 14:00:00 GMT+0700 (Western Indonesia Time) BROILER MAKMUR TAN</v>
      </c>
      <c r="D101" s="7">
        <f>IFERROR(__xludf.DUMMYFUNCTION("""COMPUTED_VALUE"""),4.7024E7)</f>
        <v>47024000</v>
      </c>
      <c r="E101" s="7"/>
      <c r="F101" s="7" t="str">
        <f>IFERROR(__xludf.DUMMYFUNCTION("""COMPUTED_VALUE"""),"DB")</f>
        <v>DB</v>
      </c>
      <c r="G101" s="7">
        <f>IFERROR(__xludf.DUMMYFUNCTION("""COMPUTED_VALUE"""),5.299201584000003E7)</f>
        <v>52992015.84</v>
      </c>
      <c r="H101" s="7"/>
      <c r="I101" s="7" t="str">
        <f>IFERROR(__xludf.DUMMYFUNCTION("""COMPUTED_VALUE"""),"PRODUKSI")</f>
        <v>PRODUKSI</v>
      </c>
    </row>
    <row r="102">
      <c r="A102" s="9">
        <f>IFERROR(__xludf.DUMMYFUNCTION("""COMPUTED_VALUE"""),46094.0)</f>
        <v>46094</v>
      </c>
      <c r="B102" s="7" t="str">
        <f>IFERROR(__xludf.DUMMYFUNCTION("""COMPUTED_VALUE"""),"TRSF E-BANKING DB")</f>
        <v>TRSF E-BANKING DB</v>
      </c>
      <c r="C102" s="7" t="str">
        <f>IFERROR(__xludf.DUMMYFUNCTION("""COMPUTED_VALUE"""),"1303/FTSCY/WS95031 84175410.00 krg 65 ANDALAN YASA MITRA 84175410.00 krg 65 ANDALAN YASA MITRA")</f>
        <v>1303/FTSCY/WS95031 84175410.00 krg 65 ANDALAN YASA MITRA 84175410.00 krg 65 ANDALAN YASA MITRA</v>
      </c>
      <c r="D102" s="7">
        <f>IFERROR(__xludf.DUMMYFUNCTION("""COMPUTED_VALUE"""),8.417541E7)</f>
        <v>84175410</v>
      </c>
      <c r="E102" s="7"/>
      <c r="F102" s="7" t="str">
        <f>IFERROR(__xludf.DUMMYFUNCTION("""COMPUTED_VALUE"""),"DB")</f>
        <v>DB</v>
      </c>
      <c r="G102" s="7">
        <f>IFERROR(__xludf.DUMMYFUNCTION("""COMPUTED_VALUE"""),2.5559472584000003E8)</f>
        <v>255594725.8</v>
      </c>
      <c r="H102" s="7"/>
      <c r="I102" s="7" t="str">
        <f>IFERROR(__xludf.DUMMYFUNCTION("""COMPUTED_VALUE"""),"PRODUKSI")</f>
        <v>PRODUKSI</v>
      </c>
    </row>
    <row r="103">
      <c r="A103" s="9">
        <f>IFERROR(__xludf.DUMMYFUNCTION("""COMPUTED_VALUE"""),46094.0)</f>
        <v>46094</v>
      </c>
      <c r="B103" s="7" t="str">
        <f>IFERROR(__xludf.DUMMYFUNCTION("""COMPUTED_VALUE"""),"TRSF E-BANKING DB")</f>
        <v>TRSF E-BANKING DB</v>
      </c>
      <c r="C103" s="7" t="str">
        <f>IFERROR(__xludf.DUMMYFUNCTION("""COMPUTED_VALUE"""),"1303/FTSCY/WS95011 315000000.00 pelunasan ANDALAN YASA MITRA 315000000.00 pelunasan ANDALAN YASA MITRA")</f>
        <v>1303/FTSCY/WS95011 315000000.00 pelunasan ANDALAN YASA MITRA 315000000.00 pelunasan ANDALAN YASA MITRA</v>
      </c>
      <c r="D103" s="7">
        <f>IFERROR(__xludf.DUMMYFUNCTION("""COMPUTED_VALUE"""),3.15E8)</f>
        <v>315000000</v>
      </c>
      <c r="E103" s="7"/>
      <c r="F103" s="7" t="str">
        <f>IFERROR(__xludf.DUMMYFUNCTION("""COMPUTED_VALUE"""),"DB")</f>
        <v>DB</v>
      </c>
      <c r="G103" s="7">
        <f>IFERROR(__xludf.DUMMYFUNCTION("""COMPUTED_VALUE"""),2.9109125840000033E7)</f>
        <v>29109125.84</v>
      </c>
      <c r="H103" s="7">
        <f>IFERROR(__xludf.DUMMYFUNCTION("""COMPUTED_VALUE"""),2.910912584E7)</f>
        <v>29109125.84</v>
      </c>
      <c r="I103" s="7" t="str">
        <f>IFERROR(__xludf.DUMMYFUNCTION("""COMPUTED_VALUE"""),"PRODUKSI")</f>
        <v>PRODUKSI</v>
      </c>
    </row>
    <row r="104">
      <c r="A104" s="9">
        <f>IFERROR(__xludf.DUMMYFUNCTION("""COMPUTED_VALUE"""),46095.0)</f>
        <v>46095</v>
      </c>
      <c r="B104" s="7" t="str">
        <f>IFERROR(__xludf.DUMMYFUNCTION("""COMPUTED_VALUE"""),"TRSF E-BANKING DB TANGGAL :13/03")</f>
        <v>TRSF E-BANKING DB TANGGAL :13/03</v>
      </c>
      <c r="C104" s="7" t="str">
        <f>IFERROR(__xludf.DUMMYFUNCTION("""COMPUTED_VALUE"""),"1303/FTSCY/WS95011 12/03 krg 30 jt BINTANG TAMA SANTO 12/03 krg 30 jt BINTANG TAMA SANTO")</f>
        <v>1303/FTSCY/WS95011 12/03 krg 30 jt BINTANG TAMA SANTO 12/03 krg 30 jt BINTANG TAMA SANTO</v>
      </c>
      <c r="D104" s="7">
        <f>IFERROR(__xludf.DUMMYFUNCTION("""COMPUTED_VALUE"""),5.28906E7)</f>
        <v>52890600</v>
      </c>
      <c r="E104" s="7"/>
      <c r="F104" s="7" t="str">
        <f>IFERROR(__xludf.DUMMYFUNCTION("""COMPUTED_VALUE"""),"DB")</f>
        <v>DB</v>
      </c>
      <c r="G104" s="7">
        <f>IFERROR(__xludf.DUMMYFUNCTION("""COMPUTED_VALUE"""),528525.8400000334)</f>
        <v>528525.84</v>
      </c>
      <c r="H104" s="7"/>
      <c r="I104" s="7" t="str">
        <f>IFERROR(__xludf.DUMMYFUNCTION("""COMPUTED_VALUE"""),"PRODUKSI")</f>
        <v>PRODUKSI</v>
      </c>
    </row>
    <row r="105">
      <c r="A105" s="9">
        <f>IFERROR(__xludf.DUMMYFUNCTION("""COMPUTED_VALUE"""),46095.0)</f>
        <v>46095</v>
      </c>
      <c r="B105" s="7" t="str">
        <f>IFERROR(__xludf.DUMMYFUNCTION("""COMPUTED_VALUE"""),"TRSF E-BANKING DB")</f>
        <v>TRSF E-BANKING DB</v>
      </c>
      <c r="C105" s="7" t="str">
        <f>IFERROR(__xludf.DUMMYFUNCTION("""COMPUTED_VALUE"""),"1403/FTSCY/WS95031 60619270.00 kd jalal blora TUMBUH OPTIMAL PRI 60619270.00 kd jalal blora TUMBUH OPTIMAL PRI")</f>
        <v>1403/FTSCY/WS95031 60619270.00 kd jalal blora TUMBUH OPTIMAL PRI 60619270.00 kd jalal blora TUMBUH OPTIMAL PRI</v>
      </c>
      <c r="D105" s="7">
        <f>IFERROR(__xludf.DUMMYFUNCTION("""COMPUTED_VALUE"""),6.061927E7)</f>
        <v>60619270</v>
      </c>
      <c r="E105" s="7"/>
      <c r="F105" s="7" t="str">
        <f>IFERROR(__xludf.DUMMYFUNCTION("""COMPUTED_VALUE"""),"DB")</f>
        <v>DB</v>
      </c>
      <c r="G105" s="7">
        <f>IFERROR(__xludf.DUMMYFUNCTION("""COMPUTED_VALUE"""),2.9342027584000003E8)</f>
        <v>293420275.8</v>
      </c>
      <c r="H105" s="7"/>
      <c r="I105" s="7" t="str">
        <f>IFERROR(__xludf.DUMMYFUNCTION("""COMPUTED_VALUE"""),"PRODUKSI")</f>
        <v>PRODUKSI</v>
      </c>
    </row>
    <row r="106">
      <c r="A106" s="9">
        <f>IFERROR(__xludf.DUMMYFUNCTION("""COMPUTED_VALUE"""),46095.0)</f>
        <v>46095</v>
      </c>
      <c r="B106" s="7" t="str">
        <f>IFERROR(__xludf.DUMMYFUNCTION("""COMPUTED_VALUE"""),"TRSF E-BANKING DB")</f>
        <v>TRSF E-BANKING DB</v>
      </c>
      <c r="C106" s="7" t="str">
        <f>IFERROR(__xludf.DUMMYFUNCTION("""COMPUTED_VALUE"""),"1403/FTSCY/WS95271 65000000.00 kd anton madiun ANDALAN YASA MITRA 65000000.00 kd anton madiun ANDALAN YASA MITRA")</f>
        <v>1403/FTSCY/WS95271 65000000.00 kd anton madiun ANDALAN YASA MITRA 65000000.00 kd anton madiun ANDALAN YASA MITRA</v>
      </c>
      <c r="D106" s="7">
        <f>IFERROR(__xludf.DUMMYFUNCTION("""COMPUTED_VALUE"""),6.5E7)</f>
        <v>65000000</v>
      </c>
      <c r="E106" s="7"/>
      <c r="F106" s="7" t="str">
        <f>IFERROR(__xludf.DUMMYFUNCTION("""COMPUTED_VALUE"""),"DB")</f>
        <v>DB</v>
      </c>
      <c r="G106" s="7">
        <f>IFERROR(__xludf.DUMMYFUNCTION("""COMPUTED_VALUE"""),2.2842027584000003E8)</f>
        <v>228420275.8</v>
      </c>
      <c r="H106" s="7"/>
      <c r="I106" s="7" t="str">
        <f>IFERROR(__xludf.DUMMYFUNCTION("""COMPUTED_VALUE"""),"PRODUKSI")</f>
        <v>PRODUKSI</v>
      </c>
    </row>
    <row r="107">
      <c r="A107" s="9">
        <f>IFERROR(__xludf.DUMMYFUNCTION("""COMPUTED_VALUE"""),46095.0)</f>
        <v>46095</v>
      </c>
      <c r="B107" s="7" t="str">
        <f>IFERROR(__xludf.DUMMYFUNCTION("""COMPUTED_VALUE"""),"TRSF E-BANKING DB")</f>
        <v>TRSF E-BANKING DB</v>
      </c>
      <c r="C107" s="7" t="str">
        <f>IFERROR(__xludf.DUMMYFUNCTION("""COMPUTED_VALUE"""),"1403/FTSCY/WS95271 104022100.00 Thu Mar 12 2026 14:00:00 GMT+0700 (Western Indonesia Time) ANDALAN YASA MITRA 104022100.00 Thu Mar 12 2026 14:00:00 GMT+0700 (Western Indonesia Time) ANDALAN YASA MITRA")</f>
        <v>1403/FTSCY/WS95271 104022100.00 Thu Mar 12 2026 14:00:00 GMT+0700 (Western Indonesia Time) ANDALAN YASA MITRA 104022100.00 Thu Mar 12 2026 14:00:00 GMT+0700 (Western Indonesia Time) ANDALAN YASA MITRA</v>
      </c>
      <c r="D107" s="7">
        <f>IFERROR(__xludf.DUMMYFUNCTION("""COMPUTED_VALUE"""),1.040221E8)</f>
        <v>104022100</v>
      </c>
      <c r="E107" s="7"/>
      <c r="F107" s="7" t="str">
        <f>IFERROR(__xludf.DUMMYFUNCTION("""COMPUTED_VALUE"""),"DB")</f>
        <v>DB</v>
      </c>
      <c r="G107" s="7">
        <f>IFERROR(__xludf.DUMMYFUNCTION("""COMPUTED_VALUE"""),1.2439817584000003E8)</f>
        <v>124398175.8</v>
      </c>
      <c r="H107" s="7"/>
      <c r="I107" s="7" t="str">
        <f>IFERROR(__xludf.DUMMYFUNCTION("""COMPUTED_VALUE"""),"PRODUKSI")</f>
        <v>PRODUKSI</v>
      </c>
    </row>
    <row r="108">
      <c r="A108" s="9">
        <f>IFERROR(__xludf.DUMMYFUNCTION("""COMPUTED_VALUE"""),46095.0)</f>
        <v>46095</v>
      </c>
      <c r="B108" s="7" t="str">
        <f>IFERROR(__xludf.DUMMYFUNCTION("""COMPUTED_VALUE"""),"TRSF E-BANKING DB")</f>
        <v>TRSF E-BANKING DB</v>
      </c>
      <c r="C108" s="7" t="str">
        <f>IFERROR(__xludf.DUMMYFUNCTION("""COMPUTED_VALUE"""),"1403/FTSCY/WS95271 30000000.00 pelunasan BINTANG TAMA SANTO 30000000.00 pelunasan BINTANG TAMA SANTO")</f>
        <v>1403/FTSCY/WS95271 30000000.00 pelunasan BINTANG TAMA SANTO 30000000.00 pelunasan BINTANG TAMA SANTO</v>
      </c>
      <c r="D108" s="7">
        <f>IFERROR(__xludf.DUMMYFUNCTION("""COMPUTED_VALUE"""),3.0E7)</f>
        <v>30000000</v>
      </c>
      <c r="E108" s="7"/>
      <c r="F108" s="7" t="str">
        <f>IFERROR(__xludf.DUMMYFUNCTION("""COMPUTED_VALUE"""),"DB")</f>
        <v>DB</v>
      </c>
      <c r="G108" s="7">
        <f>IFERROR(__xludf.DUMMYFUNCTION("""COMPUTED_VALUE"""),9.439817584000003E7)</f>
        <v>94398175.84</v>
      </c>
      <c r="H108" s="7">
        <f>IFERROR(__xludf.DUMMYFUNCTION("""COMPUTED_VALUE"""),9.439817584E7)</f>
        <v>94398175.84</v>
      </c>
      <c r="I108" s="7" t="str">
        <f>IFERROR(__xludf.DUMMYFUNCTION("""COMPUTED_VALUE"""),"PRODUKSI")</f>
        <v>PRODUKSI</v>
      </c>
    </row>
    <row r="109">
      <c r="A109" s="9">
        <f>IFERROR(__xludf.DUMMYFUNCTION("""COMPUTED_VALUE"""),46095.0)</f>
        <v>46095</v>
      </c>
      <c r="B109" s="7" t="str">
        <f>IFERROR(__xludf.DUMMYFUNCTION("""COMPUTED_VALUE"""),"TRSF E-BANKING DB")</f>
        <v>TRSF E-BANKING DB</v>
      </c>
      <c r="C109" s="7" t="str">
        <f>IFERROR(__xludf.DUMMYFUNCTION("""COMPUTED_VALUE"""),"1403/FTSCY/WS95271 800000.00 pelunasan ANDALAN YASA MITRA 800000.00 pelunasan ANDALAN YASA MITRA")</f>
        <v>1403/FTSCY/WS95271 800000.00 pelunasan ANDALAN YASA MITRA 800000.00 pelunasan ANDALAN YASA MITRA</v>
      </c>
      <c r="D109" s="7">
        <f>IFERROR(__xludf.DUMMYFUNCTION("""COMPUTED_VALUE"""),800000.0)</f>
        <v>800000</v>
      </c>
      <c r="E109" s="7"/>
      <c r="F109" s="7" t="str">
        <f>IFERROR(__xludf.DUMMYFUNCTION("""COMPUTED_VALUE"""),"DB")</f>
        <v>DB</v>
      </c>
      <c r="G109" s="7">
        <f>IFERROR(__xludf.DUMMYFUNCTION("""COMPUTED_VALUE"""),9.359817584000003E7)</f>
        <v>93598175.84</v>
      </c>
      <c r="H109" s="7">
        <f>IFERROR(__xludf.DUMMYFUNCTION("""COMPUTED_VALUE"""),9.359817584E7)</f>
        <v>93598175.84</v>
      </c>
      <c r="I109" s="7" t="str">
        <f>IFERROR(__xludf.DUMMYFUNCTION("""COMPUTED_VALUE"""),"PRODUKSI")</f>
        <v>PRODUKSI</v>
      </c>
    </row>
    <row r="110">
      <c r="A110" s="9">
        <f>IFERROR(__xludf.DUMMYFUNCTION("""COMPUTED_VALUE"""),46095.0)</f>
        <v>46095</v>
      </c>
      <c r="B110" s="7" t="str">
        <f>IFERROR(__xludf.DUMMYFUNCTION("""COMPUTED_VALUE"""),"TRSF E-BANKING DB")</f>
        <v>TRSF E-BANKING DB</v>
      </c>
      <c r="C110" s="7" t="str">
        <f>IFERROR(__xludf.DUMMYFUNCTION("""COMPUTED_VALUE"""),"1403/FTSCY/WS95271 45892800.00 Thu Mar 12 2026 14:00:00 GMT+0700 (Western Indonesia Time) BINTANG TAMA SANTO 45892800.00 Thu Mar 12 2026 14:00:00 GMT+0700 (Western Indonesia Time) BINTANG TAMA SANTO")</f>
        <v>1403/FTSCY/WS95271 45892800.00 Thu Mar 12 2026 14:00:00 GMT+0700 (Western Indonesia Time) BINTANG TAMA SANTO 45892800.00 Thu Mar 12 2026 14:00:00 GMT+0700 (Western Indonesia Time) BINTANG TAMA SANTO</v>
      </c>
      <c r="D110" s="7">
        <f>IFERROR(__xludf.DUMMYFUNCTION("""COMPUTED_VALUE"""),4.58928E7)</f>
        <v>45892800</v>
      </c>
      <c r="E110" s="7"/>
      <c r="F110" s="7" t="str">
        <f>IFERROR(__xludf.DUMMYFUNCTION("""COMPUTED_VALUE"""),"DB")</f>
        <v>DB</v>
      </c>
      <c r="G110" s="7">
        <f>IFERROR(__xludf.DUMMYFUNCTION("""COMPUTED_VALUE"""),4.770537584000003E7)</f>
        <v>47705375.84</v>
      </c>
      <c r="H110" s="7"/>
      <c r="I110" s="7" t="str">
        <f>IFERROR(__xludf.DUMMYFUNCTION("""COMPUTED_VALUE"""),"PRODUKSI")</f>
        <v>PRODUKSI</v>
      </c>
    </row>
    <row r="111">
      <c r="A111" s="9">
        <f>IFERROR(__xludf.DUMMYFUNCTION("""COMPUTED_VALUE"""),46095.0)</f>
        <v>46095</v>
      </c>
      <c r="B111" s="7" t="str">
        <f>IFERROR(__xludf.DUMMYFUNCTION("""COMPUTED_VALUE"""),"TRSF E-BANKING DB")</f>
        <v>TRSF E-BANKING DB</v>
      </c>
      <c r="C111" s="7" t="str">
        <f>IFERROR(__xludf.DUMMYFUNCTION("""COMPUTED_VALUE"""),"1403/FTSCY/WS95271 43351200.00 Thu Mar 12 2026 14:00:00 GMT+0700 (Western Indonesia Time) ANUGERAH KARTIKA A 43351200.00 Thu Mar 12 2026 14:00:00 GMT+0700 (Western Indonesia Time) ANUGERAH KARTIKA A")</f>
        <v>1403/FTSCY/WS95271 43351200.00 Thu Mar 12 2026 14:00:00 GMT+0700 (Western Indonesia Time) ANUGERAH KARTIKA A 43351200.00 Thu Mar 12 2026 14:00:00 GMT+0700 (Western Indonesia Time) ANUGERAH KARTIKA A</v>
      </c>
      <c r="D111" s="7">
        <f>IFERROR(__xludf.DUMMYFUNCTION("""COMPUTED_VALUE"""),4.33512E7)</f>
        <v>43351200</v>
      </c>
      <c r="E111" s="7"/>
      <c r="F111" s="7" t="str">
        <f>IFERROR(__xludf.DUMMYFUNCTION("""COMPUTED_VALUE"""),"DB")</f>
        <v>DB</v>
      </c>
      <c r="G111" s="7">
        <f>IFERROR(__xludf.DUMMYFUNCTION("""COMPUTED_VALUE"""),4354175.840000033)</f>
        <v>4354175.84</v>
      </c>
      <c r="H111" s="7"/>
      <c r="I111" s="7" t="str">
        <f>IFERROR(__xludf.DUMMYFUNCTION("""COMPUTED_VALUE"""),"PRODUKSI")</f>
        <v>PRODUKSI</v>
      </c>
    </row>
    <row r="112">
      <c r="A112" s="9">
        <f>IFERROR(__xludf.DUMMYFUNCTION("""COMPUTED_VALUE"""),46096.0)</f>
        <v>46096</v>
      </c>
      <c r="B112" s="7" t="str">
        <f>IFERROR(__xludf.DUMMYFUNCTION("""COMPUTED_VALUE"""),"TRSF E-BANKING DB")</f>
        <v>TRSF E-BANKING DB</v>
      </c>
      <c r="C112" s="7" t="str">
        <f>IFERROR(__xludf.DUMMYFUNCTION("""COMPUTED_VALUE"""),"1503/FTSCY/WS95271 101760000.00 Wed Mar 11 2026 14:00:00 GMT+0700 (Western Indonesia Time) BINTANG TAMA SANTO 101760000.00 Wed Mar 11 2026 14:00:00 GMT+0700 (Western Indonesia Time) BINTANG TAMA SANTO")</f>
        <v>1503/FTSCY/WS95271 101760000.00 Wed Mar 11 2026 14:00:00 GMT+0700 (Western Indonesia Time) BINTANG TAMA SANTO 101760000.00 Wed Mar 11 2026 14:00:00 GMT+0700 (Western Indonesia Time) BINTANG TAMA SANTO</v>
      </c>
      <c r="D112" s="7">
        <f>IFERROR(__xludf.DUMMYFUNCTION("""COMPUTED_VALUE"""),1.0176E8)</f>
        <v>101760000</v>
      </c>
      <c r="E112" s="7"/>
      <c r="F112" s="7" t="str">
        <f>IFERROR(__xludf.DUMMYFUNCTION("""COMPUTED_VALUE"""),"DB")</f>
        <v>DB</v>
      </c>
      <c r="G112" s="7">
        <f>IFERROR(__xludf.DUMMYFUNCTION("""COMPUTED_VALUE"""),2.2379637584000003E8)</f>
        <v>223796375.8</v>
      </c>
      <c r="H112" s="7"/>
      <c r="I112" s="7" t="str">
        <f>IFERROR(__xludf.DUMMYFUNCTION("""COMPUTED_VALUE"""),"PRODUKSI")</f>
        <v>PRODUKSI</v>
      </c>
    </row>
    <row r="113">
      <c r="A113" s="9">
        <f>IFERROR(__xludf.DUMMYFUNCTION("""COMPUTED_VALUE"""),46096.0)</f>
        <v>46096</v>
      </c>
      <c r="B113" s="7" t="str">
        <f>IFERROR(__xludf.DUMMYFUNCTION("""COMPUTED_VALUE"""),"TRSF E-BANKING DB")</f>
        <v>TRSF E-BANKING DB</v>
      </c>
      <c r="C113" s="7" t="str">
        <f>IFERROR(__xludf.DUMMYFUNCTION("""COMPUTED_VALUE"""),"1503/FTSCY/WS95271 91534400.00 Thu Mar 12 2026 14:00:00 GMT+0700 (Western Indonesia Time) BROILER MAKMUR TAN 91534400.00 Thu Mar 12 2026 14:00:00 GMT+0700 (Western Indonesia Time) BROILER MAKMUR TAN")</f>
        <v>1503/FTSCY/WS95271 91534400.00 Thu Mar 12 2026 14:00:00 GMT+0700 (Western Indonesia Time) BROILER MAKMUR TAN 91534400.00 Thu Mar 12 2026 14:00:00 GMT+0700 (Western Indonesia Time) BROILER MAKMUR TAN</v>
      </c>
      <c r="D113" s="7">
        <f>IFERROR(__xludf.DUMMYFUNCTION("""COMPUTED_VALUE"""),9.15344E7)</f>
        <v>91534400</v>
      </c>
      <c r="E113" s="7"/>
      <c r="F113" s="7" t="str">
        <f>IFERROR(__xludf.DUMMYFUNCTION("""COMPUTED_VALUE"""),"DB")</f>
        <v>DB</v>
      </c>
      <c r="G113" s="7">
        <f>IFERROR(__xludf.DUMMYFUNCTION("""COMPUTED_VALUE"""),1.3226197584000003E8)</f>
        <v>132261975.8</v>
      </c>
      <c r="H113" s="7"/>
      <c r="I113" s="7" t="str">
        <f>IFERROR(__xludf.DUMMYFUNCTION("""COMPUTED_VALUE"""),"PRODUKSI")</f>
        <v>PRODUKSI</v>
      </c>
    </row>
    <row r="114">
      <c r="A114" s="9">
        <f>IFERROR(__xludf.DUMMYFUNCTION("""COMPUTED_VALUE"""),46096.0)</f>
        <v>46096</v>
      </c>
      <c r="B114" s="7" t="str">
        <f>IFERROR(__xludf.DUMMYFUNCTION("""COMPUTED_VALUE"""),"TRSF E-BANKING DB")</f>
        <v>TRSF E-BANKING DB</v>
      </c>
      <c r="C114" s="7" t="str">
        <f>IFERROR(__xludf.DUMMYFUNCTION("""COMPUTED_VALUE"""),"1503/FTSCY/WS95271 44286400.00 Fri Feb 13 2026 15:00:00 GMT+0700 (Western Indonesia Time) SURYA INTI TERNAK 44286400.00 Fri Feb 13 2026 15:00:00 GMT+0700 (Western Indonesia Time) SURYA INTI TERNAK")</f>
        <v>1503/FTSCY/WS95271 44286400.00 Fri Feb 13 2026 15:00:00 GMT+0700 (Western Indonesia Time) SURYA INTI TERNAK 44286400.00 Fri Feb 13 2026 15:00:00 GMT+0700 (Western Indonesia Time) SURYA INTI TERNAK</v>
      </c>
      <c r="D114" s="7">
        <f>IFERROR(__xludf.DUMMYFUNCTION("""COMPUTED_VALUE"""),4.42864E7)</f>
        <v>44286400</v>
      </c>
      <c r="E114" s="7"/>
      <c r="F114" s="7" t="str">
        <f>IFERROR(__xludf.DUMMYFUNCTION("""COMPUTED_VALUE"""),"DB")</f>
        <v>DB</v>
      </c>
      <c r="G114" s="7">
        <f>IFERROR(__xludf.DUMMYFUNCTION("""COMPUTED_VALUE"""),8.797557584000003E7)</f>
        <v>87975575.84</v>
      </c>
      <c r="H114" s="7"/>
      <c r="I114" s="7" t="str">
        <f>IFERROR(__xludf.DUMMYFUNCTION("""COMPUTED_VALUE"""),"PRODUKSI")</f>
        <v>PRODUKSI</v>
      </c>
    </row>
    <row r="115">
      <c r="A115" s="9">
        <f>IFERROR(__xludf.DUMMYFUNCTION("""COMPUTED_VALUE"""),46096.0)</f>
        <v>46096</v>
      </c>
      <c r="B115" s="7" t="str">
        <f>IFERROR(__xludf.DUMMYFUNCTION("""COMPUTED_VALUE"""),"TRSF E-BANKING DB")</f>
        <v>TRSF E-BANKING DB</v>
      </c>
      <c r="C115" s="7" t="str">
        <f>IFERROR(__xludf.DUMMYFUNCTION("""COMPUTED_VALUE"""),"1503/FTSCY/WS95031 340000.00 SITI RAHMA IFTITAH 340000.00 SITI RAHMA IFTITAH")</f>
        <v>1503/FTSCY/WS95031 340000.00 SITI RAHMA IFTITAH 340000.00 SITI RAHMA IFTITAH</v>
      </c>
      <c r="D115" s="7">
        <f>IFERROR(__xludf.DUMMYFUNCTION("""COMPUTED_VALUE"""),340000.0)</f>
        <v>340000</v>
      </c>
      <c r="E115" s="7"/>
      <c r="F115" s="7" t="str">
        <f>IFERROR(__xludf.DUMMYFUNCTION("""COMPUTED_VALUE"""),"DB")</f>
        <v>DB</v>
      </c>
      <c r="G115" s="7">
        <f>IFERROR(__xludf.DUMMYFUNCTION("""COMPUTED_VALUE"""),8.763557584000003E7)</f>
        <v>87635575.84</v>
      </c>
      <c r="H115" s="7"/>
      <c r="I115" s="7" t="str">
        <f>IFERROR(__xludf.DUMMYFUNCTION("""COMPUTED_VALUE"""),"PRODUKSI")</f>
        <v>PRODUKSI</v>
      </c>
    </row>
    <row r="116">
      <c r="A116" s="9">
        <f>IFERROR(__xludf.DUMMYFUNCTION("""COMPUTED_VALUE"""),46096.0)</f>
        <v>46096</v>
      </c>
      <c r="B116" s="7" t="str">
        <f>IFERROR(__xludf.DUMMYFUNCTION("""COMPUTED_VALUE"""),"TRSF E-BANKING DB")</f>
        <v>TRSF E-BANKING DB</v>
      </c>
      <c r="C116" s="7" t="str">
        <f>IFERROR(__xludf.DUMMYFUNCTION("""COMPUTED_VALUE"""),"1503/FTSCY/WS95031 50787500.00 Sat Mar 14 2026 14:00:00 GMT+0700 (Western Indonesia Time) ANUGERAH KARTIKA A 50787500.00 Sat Mar 14 2026 14:00:00 GMT+0700 (Western Indonesia Time) ANUGERAH KARTIKA A")</f>
        <v>1503/FTSCY/WS95031 50787500.00 Sat Mar 14 2026 14:00:00 GMT+0700 (Western Indonesia Time) ANUGERAH KARTIKA A 50787500.00 Sat Mar 14 2026 14:00:00 GMT+0700 (Western Indonesia Time) ANUGERAH KARTIKA A</v>
      </c>
      <c r="D116" s="7">
        <f>IFERROR(__xludf.DUMMYFUNCTION("""COMPUTED_VALUE"""),5.07875E7)</f>
        <v>50787500</v>
      </c>
      <c r="E116" s="7"/>
      <c r="F116" s="7" t="str">
        <f>IFERROR(__xludf.DUMMYFUNCTION("""COMPUTED_VALUE"""),"DB")</f>
        <v>DB</v>
      </c>
      <c r="G116" s="7">
        <f>IFERROR(__xludf.DUMMYFUNCTION("""COMPUTED_VALUE"""),2.2176115840000033E7)</f>
        <v>22176115.84</v>
      </c>
      <c r="H116" s="7"/>
      <c r="I116" s="7" t="str">
        <f>IFERROR(__xludf.DUMMYFUNCTION("""COMPUTED_VALUE"""),"PRODUKSI")</f>
        <v>PRODUKSI</v>
      </c>
    </row>
    <row r="117">
      <c r="A117" s="9">
        <f>IFERROR(__xludf.DUMMYFUNCTION("""COMPUTED_VALUE"""),46096.0)</f>
        <v>46096</v>
      </c>
      <c r="B117" s="7" t="str">
        <f>IFERROR(__xludf.DUMMYFUNCTION("""COMPUTED_VALUE"""),"TRSF E-BANKING DB")</f>
        <v>TRSF E-BANKING DB</v>
      </c>
      <c r="C117" s="7" t="str">
        <f>IFERROR(__xludf.DUMMYFUNCTION("""COMPUTED_VALUE"""),"1503/FTFVA/WS95031 39010/DANA - - 81326518324 39010/DANA - - 81326518324")</f>
        <v>1503/FTFVA/WS95031 39010/DANA - - 81326518324 39010/DANA - - 81326518324</v>
      </c>
      <c r="D117" s="7">
        <f>IFERROR(__xludf.DUMMYFUNCTION("""COMPUTED_VALUE"""),600000.0)</f>
        <v>600000</v>
      </c>
      <c r="E117" s="7"/>
      <c r="F117" s="7" t="str">
        <f>IFERROR(__xludf.DUMMYFUNCTION("""COMPUTED_VALUE"""),"DB")</f>
        <v>DB</v>
      </c>
      <c r="G117" s="7">
        <f>IFERROR(__xludf.DUMMYFUNCTION("""COMPUTED_VALUE"""),2.1501613584000003E8)</f>
        <v>215016135.8</v>
      </c>
      <c r="H117" s="7"/>
      <c r="I117" s="7" t="str">
        <f>IFERROR(__xludf.DUMMYFUNCTION("""COMPUTED_VALUE"""),"PRODUKSI")</f>
        <v>PRODUKSI</v>
      </c>
    </row>
    <row r="118">
      <c r="A118" s="9">
        <f>IFERROR(__xludf.DUMMYFUNCTION("""COMPUTED_VALUE"""),46096.0)</f>
        <v>46096</v>
      </c>
      <c r="B118" s="7" t="str">
        <f>IFERROR(__xludf.DUMMYFUNCTION("""COMPUTED_VALUE"""),"TRSF E-BANKING DB")</f>
        <v>TRSF E-BANKING DB</v>
      </c>
      <c r="C118" s="7" t="str">
        <f>IFERROR(__xludf.DUMMYFUNCTION("""COMPUTED_VALUE"""),"1503/FTSCY/WS95271 51900000.00 kd bayu ponorogo30 00kg UNGGAS MANDIRI BER 51900000.00 kd bayu ponorogo30 00kg UNGGAS MANDIRI BER")</f>
        <v>1503/FTSCY/WS95271 51900000.00 kd bayu ponorogo30 00kg UNGGAS MANDIRI BER 51900000.00 kd bayu ponorogo30 00kg UNGGAS MANDIRI BER</v>
      </c>
      <c r="D118" s="7">
        <f>IFERROR(__xludf.DUMMYFUNCTION("""COMPUTED_VALUE"""),5.19E7)</f>
        <v>51900000</v>
      </c>
      <c r="E118" s="7"/>
      <c r="F118" s="7" t="str">
        <f>IFERROR(__xludf.DUMMYFUNCTION("""COMPUTED_VALUE"""),"DB")</f>
        <v>DB</v>
      </c>
      <c r="G118" s="7">
        <f>IFERROR(__xludf.DUMMYFUNCTION("""COMPUTED_VALUE"""),4.1448013584000003E8)</f>
        <v>414480135.8</v>
      </c>
      <c r="H118" s="7"/>
      <c r="I118" s="7" t="str">
        <f>IFERROR(__xludf.DUMMYFUNCTION("""COMPUTED_VALUE"""),"PRODUKSI")</f>
        <v>PRODUKSI</v>
      </c>
    </row>
    <row r="119">
      <c r="A119" s="9">
        <f>IFERROR(__xludf.DUMMYFUNCTION("""COMPUTED_VALUE"""),46096.0)</f>
        <v>46096</v>
      </c>
      <c r="B119" s="7" t="str">
        <f>IFERROR(__xludf.DUMMYFUNCTION("""COMPUTED_VALUE"""),"TRSF E-BANKING DB")</f>
        <v>TRSF E-BANKING DB</v>
      </c>
      <c r="C119" s="7" t="str">
        <f>IFERROR(__xludf.DUMMYFUNCTION("""COMPUTED_VALUE"""),"1503/FTSCY/WS95011 359892140.00 Tue Mar 10 2026 14:00:00 GMT+0700 (Western Indonesia Time) ANDALAN YASA MITRA 359892140.00 Tue Mar 10 2026 14:00:00 GMT+0700 (Western Indonesia Time) ANDALAN YASA MITRA")</f>
        <v>1503/FTSCY/WS95011 359892140.00 Tue Mar 10 2026 14:00:00 GMT+0700 (Western Indonesia Time) ANDALAN YASA MITRA 359892140.00 Tue Mar 10 2026 14:00:00 GMT+0700 (Western Indonesia Time) ANDALAN YASA MITRA</v>
      </c>
      <c r="D119" s="7">
        <f>IFERROR(__xludf.DUMMYFUNCTION("""COMPUTED_VALUE"""),3.5989214E8)</f>
        <v>359892140</v>
      </c>
      <c r="E119" s="7"/>
      <c r="F119" s="7" t="str">
        <f>IFERROR(__xludf.DUMMYFUNCTION("""COMPUTED_VALUE"""),"DB")</f>
        <v>DB</v>
      </c>
      <c r="G119" s="7">
        <f>IFERROR(__xludf.DUMMYFUNCTION("""COMPUTED_VALUE"""),5.458799584000003E7)</f>
        <v>54587995.84</v>
      </c>
      <c r="H119" s="7"/>
      <c r="I119" s="7" t="str">
        <f>IFERROR(__xludf.DUMMYFUNCTION("""COMPUTED_VALUE"""),"PRODUKSI")</f>
        <v>PRODUKSI</v>
      </c>
    </row>
    <row r="120">
      <c r="A120" s="9">
        <f>IFERROR(__xludf.DUMMYFUNCTION("""COMPUTED_VALUE"""),46096.0)</f>
        <v>46096</v>
      </c>
      <c r="B120" s="7" t="str">
        <f>IFERROR(__xludf.DUMMYFUNCTION("""COMPUTED_VALUE"""),"TRSF E-BANKING DB")</f>
        <v>TRSF E-BANKING DB</v>
      </c>
      <c r="C120" s="7" t="str">
        <f>IFERROR(__xludf.DUMMYFUNCTION("""COMPUTED_VALUE"""),"1503/FTSCY/WS95011 47495280.00 Fri Mar 13 2026 14:00:00 GMT+0700 (Western Indonesia Time) SUPER UNGGAS JAYA 47495280.00 Fri Mar 13 2026 14:00:00 GMT+0700 (Western Indonesia Time) SUPER UNGGAS JAYA")</f>
        <v>1503/FTSCY/WS95011 47495280.00 Fri Mar 13 2026 14:00:00 GMT+0700 (Western Indonesia Time) SUPER UNGGAS JAYA 47495280.00 Fri Mar 13 2026 14:00:00 GMT+0700 (Western Indonesia Time) SUPER UNGGAS JAYA</v>
      </c>
      <c r="D120" s="7">
        <f>IFERROR(__xludf.DUMMYFUNCTION("""COMPUTED_VALUE"""),4.749528E7)</f>
        <v>47495280</v>
      </c>
      <c r="E120" s="7"/>
      <c r="F120" s="7" t="str">
        <f>IFERROR(__xludf.DUMMYFUNCTION("""COMPUTED_VALUE"""),"DB")</f>
        <v>DB</v>
      </c>
      <c r="G120" s="7">
        <f>IFERROR(__xludf.DUMMYFUNCTION("""COMPUTED_VALUE"""),7092715.840000033)</f>
        <v>7092715.84</v>
      </c>
      <c r="H120" s="7"/>
      <c r="I120" s="7" t="str">
        <f>IFERROR(__xludf.DUMMYFUNCTION("""COMPUTED_VALUE"""),"PRODUKSI")</f>
        <v>PRODUKSI</v>
      </c>
    </row>
    <row r="121">
      <c r="A121" s="9">
        <f>IFERROR(__xludf.DUMMYFUNCTION("""COMPUTED_VALUE"""),46096.0)</f>
        <v>46096</v>
      </c>
      <c r="B121" s="7" t="str">
        <f>IFERROR(__xludf.DUMMYFUNCTION("""COMPUTED_VALUE"""),"TRSF E-BANKING DB")</f>
        <v>TRSF E-BANKING DB</v>
      </c>
      <c r="C121" s="7" t="str">
        <f>IFERROR(__xludf.DUMMYFUNCTION("""COMPUTED_VALUE"""),"1503/FTSCY/WS95031 1165420.00 565.420  dan 600.0 NURHAYATI 1165420.00 565.420  dan 600.0 NURHAYATI")</f>
        <v>1503/FTSCY/WS95031 1165420.00 565.420  dan 600.0 NURHAYATI 1165420.00 565.420  dan 600.0 NURHAYATI</v>
      </c>
      <c r="D121" s="7">
        <f>IFERROR(__xludf.DUMMYFUNCTION("""COMPUTED_VALUE"""),1165420.0)</f>
        <v>1165420</v>
      </c>
      <c r="E121" s="7"/>
      <c r="F121" s="7" t="str">
        <f>IFERROR(__xludf.DUMMYFUNCTION("""COMPUTED_VALUE"""),"DB")</f>
        <v>DB</v>
      </c>
      <c r="G121" s="7">
        <f>IFERROR(__xludf.DUMMYFUNCTION("""COMPUTED_VALUE"""),5927295.840000033)</f>
        <v>5927295.84</v>
      </c>
      <c r="H121" s="7">
        <f>IFERROR(__xludf.DUMMYFUNCTION("""COMPUTED_VALUE"""),5927295.84)</f>
        <v>5927295.84</v>
      </c>
      <c r="I121" s="7" t="str">
        <f>IFERROR(__xludf.DUMMYFUNCTION("""COMPUTED_VALUE"""),"PRODUKSI")</f>
        <v>PRODUKSI</v>
      </c>
    </row>
    <row r="122">
      <c r="A122" s="9">
        <f>IFERROR(__xludf.DUMMYFUNCTION("""COMPUTED_VALUE"""),46097.0)</f>
        <v>46097</v>
      </c>
      <c r="B122" s="7" t="str">
        <f>IFERROR(__xludf.DUMMYFUNCTION("""COMPUTED_VALUE"""),"TRSF E-BANKING DB")</f>
        <v>TRSF E-BANKING DB</v>
      </c>
      <c r="C122" s="7" t="str">
        <f>IFERROR(__xludf.DUMMYFUNCTION("""COMPUTED_VALUE"""),"1603/FTSCY/WS95271 114330100.00 kd nawir pasuruan lunas ANUGERAH KARTIKA A 114330100.00 kd nawir pasuruan lunas ANUGERAH KARTIKA A")</f>
        <v>1603/FTSCY/WS95271 114330100.00 kd nawir pasuruan lunas ANUGERAH KARTIKA A 114330100.00 kd nawir pasuruan lunas ANUGERAH KARTIKA A</v>
      </c>
      <c r="D122" s="7">
        <f>IFERROR(__xludf.DUMMYFUNCTION("""COMPUTED_VALUE"""),1.143301E8)</f>
        <v>114330100</v>
      </c>
      <c r="E122" s="7"/>
      <c r="F122" s="7" t="str">
        <f>IFERROR(__xludf.DUMMYFUNCTION("""COMPUTED_VALUE"""),"DB")</f>
        <v>DB</v>
      </c>
      <c r="G122" s="7">
        <f>IFERROR(__xludf.DUMMYFUNCTION("""COMPUTED_VALUE"""),1.4602525840000033E7)</f>
        <v>14602525.84</v>
      </c>
      <c r="H122" s="7"/>
      <c r="I122" s="7" t="str">
        <f>IFERROR(__xludf.DUMMYFUNCTION("""COMPUTED_VALUE"""),"PRODUKSI")</f>
        <v>PRODUKSI</v>
      </c>
    </row>
    <row r="123">
      <c r="A123" s="9">
        <f>IFERROR(__xludf.DUMMYFUNCTION("""COMPUTED_VALUE"""),46097.0)</f>
        <v>46097</v>
      </c>
      <c r="B123" s="7" t="str">
        <f>IFERROR(__xludf.DUMMYFUNCTION("""COMPUTED_VALUE"""),"TRSF E-BANKING DB")</f>
        <v>TRSF E-BANKING DB</v>
      </c>
      <c r="C123" s="7" t="str">
        <f>IFERROR(__xludf.DUMMYFUNCTION("""COMPUTED_VALUE"""),"1603/FTSCY/WS95271 120198630.00 Fri Mar 13 2026 14:00:00 GMT+0700 (Western Indonesia Time) ANDALAN YASA MITRA 120198630.00 Fri Mar 13 2026 14:00:00 GMT+0700 (Western Indonesia Time) ANDALAN YASA MITRA")</f>
        <v>1603/FTSCY/WS95271 120198630.00 Fri Mar 13 2026 14:00:00 GMT+0700 (Western Indonesia Time) ANDALAN YASA MITRA 120198630.00 Fri Mar 13 2026 14:00:00 GMT+0700 (Western Indonesia Time) ANDALAN YASA MITRA</v>
      </c>
      <c r="D123" s="7">
        <f>IFERROR(__xludf.DUMMYFUNCTION("""COMPUTED_VALUE"""),1.2019863E8)</f>
        <v>120198630</v>
      </c>
      <c r="E123" s="7"/>
      <c r="F123" s="7" t="str">
        <f>IFERROR(__xludf.DUMMYFUNCTION("""COMPUTED_VALUE"""),"DB")</f>
        <v>DB</v>
      </c>
      <c r="G123" s="7">
        <f>IFERROR(__xludf.DUMMYFUNCTION("""COMPUTED_VALUE"""),6.162812584000003E7)</f>
        <v>61628125.84</v>
      </c>
      <c r="H123" s="7"/>
      <c r="I123" s="7" t="str">
        <f>IFERROR(__xludf.DUMMYFUNCTION("""COMPUTED_VALUE"""),"PRODUKSI")</f>
        <v>PRODUKSI</v>
      </c>
    </row>
    <row r="124">
      <c r="A124" s="9">
        <f>IFERROR(__xludf.DUMMYFUNCTION("""COMPUTED_VALUE"""),46097.0)</f>
        <v>46097</v>
      </c>
      <c r="B124" s="7" t="str">
        <f>IFERROR(__xludf.DUMMYFUNCTION("""COMPUTED_VALUE"""),"TRSF E-BANKING DB")</f>
        <v>TRSF E-BANKING DB</v>
      </c>
      <c r="C124" s="7" t="str">
        <f>IFERROR(__xludf.DUMMYFUNCTION("""COMPUTED_VALUE"""),"1603/FTSCY/WS95271 40884080.00 plasma adik bwi SURYA INTI TERNAK 40884080.00 plasma adik bwi SURYA INTI TERNAK")</f>
        <v>1603/FTSCY/WS95271 40884080.00 plasma adik bwi SURYA INTI TERNAK 40884080.00 plasma adik bwi SURYA INTI TERNAK</v>
      </c>
      <c r="D124" s="7">
        <f>IFERROR(__xludf.DUMMYFUNCTION("""COMPUTED_VALUE"""),4.088408E7)</f>
        <v>40884080</v>
      </c>
      <c r="E124" s="7"/>
      <c r="F124" s="7" t="str">
        <f>IFERROR(__xludf.DUMMYFUNCTION("""COMPUTED_VALUE"""),"DB")</f>
        <v>DB</v>
      </c>
      <c r="G124" s="7">
        <f>IFERROR(__xludf.DUMMYFUNCTION("""COMPUTED_VALUE"""),2.0744045840000033E7)</f>
        <v>20744045.84</v>
      </c>
      <c r="H124" s="7"/>
      <c r="I124" s="7" t="str">
        <f>IFERROR(__xludf.DUMMYFUNCTION("""COMPUTED_VALUE"""),"PRODUKSI")</f>
        <v>PRODUKSI</v>
      </c>
    </row>
    <row r="125">
      <c r="A125" s="9">
        <f>IFERROR(__xludf.DUMMYFUNCTION("""COMPUTED_VALUE"""),46097.0)</f>
        <v>46097</v>
      </c>
      <c r="B125" s="7" t="str">
        <f>IFERROR(__xludf.DUMMYFUNCTION("""COMPUTED_VALUE"""),"TRSF E-BANKING DB")</f>
        <v>TRSF E-BANKING DB</v>
      </c>
      <c r="C125" s="7" t="str">
        <f>IFERROR(__xludf.DUMMYFUNCTION("""COMPUTED_VALUE"""),"1603/FTSCY/WS95031 51008500.00 Sat Mar 14 2026 14:00:00 GMT+0700 (Western Indonesia Time) ANDALAN YASA MITRA 51008500.00 Sat Mar 14 2026 14:00:00 GMT+0700 (Western Indonesia Time) ANDALAN YASA MITRA")</f>
        <v>1603/FTSCY/WS95031 51008500.00 Sat Mar 14 2026 14:00:00 GMT+0700 (Western Indonesia Time) ANDALAN YASA MITRA 51008500.00 Sat Mar 14 2026 14:00:00 GMT+0700 (Western Indonesia Time) ANDALAN YASA MITRA</v>
      </c>
      <c r="D125" s="7">
        <f>IFERROR(__xludf.DUMMYFUNCTION("""COMPUTED_VALUE"""),5.10085E7)</f>
        <v>51008500</v>
      </c>
      <c r="E125" s="7"/>
      <c r="F125" s="7" t="str">
        <f>IFERROR(__xludf.DUMMYFUNCTION("""COMPUTED_VALUE"""),"DB")</f>
        <v>DB</v>
      </c>
      <c r="G125" s="7">
        <f>IFERROR(__xludf.DUMMYFUNCTION("""COMPUTED_VALUE"""),1.2637254584000003E8)</f>
        <v>126372545.8</v>
      </c>
      <c r="H125" s="7"/>
      <c r="I125" s="7" t="str">
        <f>IFERROR(__xludf.DUMMYFUNCTION("""COMPUTED_VALUE"""),"PRODUKSI")</f>
        <v>PRODUKSI</v>
      </c>
    </row>
    <row r="126">
      <c r="A126" s="9">
        <f>IFERROR(__xludf.DUMMYFUNCTION("""COMPUTED_VALUE"""),46098.0)</f>
        <v>46098</v>
      </c>
      <c r="B126" s="7" t="str">
        <f>IFERROR(__xludf.DUMMYFUNCTION("""COMPUTED_VALUE"""),"TRSF E-BANKING DB TANGGAL :16/03")</f>
        <v>TRSF E-BANKING DB TANGGAL :16/03</v>
      </c>
      <c r="C126" s="7" t="str">
        <f>IFERROR(__xludf.DUMMYFUNCTION("""COMPUTED_VALUE"""),"1603/FTSCY/WS95011 Sat Mar 14 2026 14:00:00 GMT+0700 (Western Indonesia Time) BROILER MAKMUR TAN Sat Mar 14 2026 14:00:00 GMT+0700 (Western Indonesia Time) BROILER MAKMUR TAN")</f>
        <v>1603/FTSCY/WS95011 Sat Mar 14 2026 14:00:00 GMT+0700 (Western Indonesia Time) BROILER MAKMUR TAN Sat Mar 14 2026 14:00:00 GMT+0700 (Western Indonesia Time) BROILER MAKMUR TAN</v>
      </c>
      <c r="D126" s="7">
        <f>IFERROR(__xludf.DUMMYFUNCTION("""COMPUTED_VALUE"""),1.55972E8)</f>
        <v>155972000</v>
      </c>
      <c r="E126" s="7"/>
      <c r="F126" s="7" t="str">
        <f>IFERROR(__xludf.DUMMYFUNCTION("""COMPUTED_VALUE"""),"DB")</f>
        <v>DB</v>
      </c>
      <c r="G126" s="7">
        <f>IFERROR(__xludf.DUMMYFUNCTION("""COMPUTED_VALUE"""),2.8341115840000033E7)</f>
        <v>28341115.84</v>
      </c>
      <c r="H126" s="7">
        <f>IFERROR(__xludf.DUMMYFUNCTION("""COMPUTED_VALUE"""),2.834111584E7)</f>
        <v>28341115.84</v>
      </c>
      <c r="I126" s="7" t="str">
        <f>IFERROR(__xludf.DUMMYFUNCTION("""COMPUTED_VALUE"""),"PRODUKSI")</f>
        <v>PRODUKSI</v>
      </c>
    </row>
    <row r="127">
      <c r="A127" s="9">
        <f>IFERROR(__xludf.DUMMYFUNCTION("""COMPUTED_VALUE"""),46098.0)</f>
        <v>46098</v>
      </c>
      <c r="B127" s="7" t="str">
        <f>IFERROR(__xludf.DUMMYFUNCTION("""COMPUTED_VALUE"""),"TRSF E-BANKING DB")</f>
        <v>TRSF E-BANKING DB</v>
      </c>
      <c r="C127" s="7" t="str">
        <f>IFERROR(__xludf.DUMMYFUNCTION("""COMPUTED_VALUE"""),"1703/FTSCY/WS95031 46188450.00 Fri Mar 13 2026 14:00:00 GMT+0700 (Western Indonesia Time) ANDALAN YASA MITRA 46188450.00 Fri Mar 13 2026 14:00:00 GMT+0700 (Western Indonesia Time) ANDALAN YASA MITRA")</f>
        <v>1703/FTSCY/WS95031 46188450.00 Fri Mar 13 2026 14:00:00 GMT+0700 (Western Indonesia Time) ANDALAN YASA MITRA 46188450.00 Fri Mar 13 2026 14:00:00 GMT+0700 (Western Indonesia Time) ANDALAN YASA MITRA</v>
      </c>
      <c r="D127" s="7">
        <f>IFERROR(__xludf.DUMMYFUNCTION("""COMPUTED_VALUE"""),4.618845E7)</f>
        <v>46188450</v>
      </c>
      <c r="E127" s="7"/>
      <c r="F127" s="7" t="str">
        <f>IFERROR(__xludf.DUMMYFUNCTION("""COMPUTED_VALUE"""),"DB")</f>
        <v>DB</v>
      </c>
      <c r="G127" s="7">
        <f>IFERROR(__xludf.DUMMYFUNCTION("""COMPUTED_VALUE"""),5.1028349584000003E8)</f>
        <v>510283495.8</v>
      </c>
      <c r="H127" s="7"/>
      <c r="I127" s="7" t="str">
        <f>IFERROR(__xludf.DUMMYFUNCTION("""COMPUTED_VALUE"""),"PRODUKSI")</f>
        <v>PRODUKSI</v>
      </c>
    </row>
    <row r="128">
      <c r="A128" s="9">
        <f>IFERROR(__xludf.DUMMYFUNCTION("""COMPUTED_VALUE"""),46098.0)</f>
        <v>46098</v>
      </c>
      <c r="B128" s="7" t="str">
        <f>IFERROR(__xludf.DUMMYFUNCTION("""COMPUTED_VALUE"""),"TRSF E-BANKING DB")</f>
        <v>TRSF E-BANKING DB</v>
      </c>
      <c r="C128" s="7" t="str">
        <f>IFERROR(__xludf.DUMMYFUNCTION("""COMPUTED_VALUE"""),"1703/FTSCY/WS95271 102206840.00 Sat Mar 14 2026 14:00:00 GMT+0700 (Western Indonesia Time) SUPER UNGGAS JAYA 102206840.00 Sat Mar 14 2026 14:00:00 GMT+0700 (Western Indonesia Time) SUPER UNGGAS JAYA")</f>
        <v>1703/FTSCY/WS95271 102206840.00 Sat Mar 14 2026 14:00:00 GMT+0700 (Western Indonesia Time) SUPER UNGGAS JAYA 102206840.00 Sat Mar 14 2026 14:00:00 GMT+0700 (Western Indonesia Time) SUPER UNGGAS JAYA</v>
      </c>
      <c r="D128" s="7">
        <f>IFERROR(__xludf.DUMMYFUNCTION("""COMPUTED_VALUE"""),1.0220684E8)</f>
        <v>102206840</v>
      </c>
      <c r="E128" s="7"/>
      <c r="F128" s="7" t="str">
        <f>IFERROR(__xludf.DUMMYFUNCTION("""COMPUTED_VALUE"""),"DB")</f>
        <v>DB</v>
      </c>
      <c r="G128" s="7">
        <f>IFERROR(__xludf.DUMMYFUNCTION("""COMPUTED_VALUE"""),4.0807665584000003E8)</f>
        <v>408076655.8</v>
      </c>
      <c r="H128" s="7"/>
      <c r="I128" s="7" t="str">
        <f>IFERROR(__xludf.DUMMYFUNCTION("""COMPUTED_VALUE"""),"PRODUKSI")</f>
        <v>PRODUKSI</v>
      </c>
    </row>
    <row r="129">
      <c r="A129" s="9">
        <f>IFERROR(__xludf.DUMMYFUNCTION("""COMPUTED_VALUE"""),46098.0)</f>
        <v>46098</v>
      </c>
      <c r="B129" s="7" t="str">
        <f>IFERROR(__xludf.DUMMYFUNCTION("""COMPUTED_VALUE"""),"TRSF E-BANKING DB")</f>
        <v>TRSF E-BANKING DB</v>
      </c>
      <c r="C129" s="7" t="str">
        <f>IFERROR(__xludf.DUMMYFUNCTION("""COMPUTED_VALUE"""),"1703/FTSCY/WS95271 105516250.00 Sun Feb 15 2026 15:00:00 GMT+0700 (Western Indonesia Time) BROILER MAKMUR TAN 105516250.00 Sun Feb 15 2026 15:00:00 GMT+0700 (Western Indonesia Time) BROILER MAKMUR TAN")</f>
        <v>1703/FTSCY/WS95271 105516250.00 Sun Feb 15 2026 15:00:00 GMT+0700 (Western Indonesia Time) BROILER MAKMUR TAN 105516250.00 Sun Feb 15 2026 15:00:00 GMT+0700 (Western Indonesia Time) BROILER MAKMUR TAN</v>
      </c>
      <c r="D129" s="7">
        <f>IFERROR(__xludf.DUMMYFUNCTION("""COMPUTED_VALUE"""),1.0551625E8)</f>
        <v>105516250</v>
      </c>
      <c r="E129" s="7"/>
      <c r="F129" s="7" t="str">
        <f>IFERROR(__xludf.DUMMYFUNCTION("""COMPUTED_VALUE"""),"DB")</f>
        <v>DB</v>
      </c>
      <c r="G129" s="7">
        <f>IFERROR(__xludf.DUMMYFUNCTION("""COMPUTED_VALUE"""),3.0256040584000003E8)</f>
        <v>302560405.8</v>
      </c>
      <c r="H129" s="7"/>
      <c r="I129" s="7" t="str">
        <f>IFERROR(__xludf.DUMMYFUNCTION("""COMPUTED_VALUE"""),"PRODUKSI")</f>
        <v>PRODUKSI</v>
      </c>
    </row>
    <row r="130">
      <c r="A130" s="9">
        <f>IFERROR(__xludf.DUMMYFUNCTION("""COMPUTED_VALUE"""),46098.0)</f>
        <v>46098</v>
      </c>
      <c r="B130" s="7" t="str">
        <f>IFERROR(__xludf.DUMMYFUNCTION("""COMPUTED_VALUE"""),"TRSF E-BANKING DB")</f>
        <v>TRSF E-BANKING DB</v>
      </c>
      <c r="C130" s="7" t="str">
        <f>IFERROR(__xludf.DUMMYFUNCTION("""COMPUTED_VALUE"""),"1703/FTSCY/WS95271 47016200.00 Sat Mar 14 2026 14:00:00 GMT+0700 (Western Indonesia Time) ANUGERAH KARTIKA A 47016200.00 Sat Mar 14 2026 14:00:00 GMT+0700 (Western Indonesia Time) ANUGERAH KARTIKA A")</f>
        <v>1703/FTSCY/WS95271 47016200.00 Sat Mar 14 2026 14:00:00 GMT+0700 (Western Indonesia Time) ANUGERAH KARTIKA A 47016200.00 Sat Mar 14 2026 14:00:00 GMT+0700 (Western Indonesia Time) ANUGERAH KARTIKA A</v>
      </c>
      <c r="D130" s="7">
        <f>IFERROR(__xludf.DUMMYFUNCTION("""COMPUTED_VALUE"""),4.70162E7)</f>
        <v>47016200</v>
      </c>
      <c r="E130" s="7"/>
      <c r="F130" s="7" t="str">
        <f>IFERROR(__xludf.DUMMYFUNCTION("""COMPUTED_VALUE"""),"DB")</f>
        <v>DB</v>
      </c>
      <c r="G130" s="7">
        <f>IFERROR(__xludf.DUMMYFUNCTION("""COMPUTED_VALUE"""),2.5554420584000003E8)</f>
        <v>255544205.8</v>
      </c>
      <c r="H130" s="7"/>
      <c r="I130" s="7" t="str">
        <f>IFERROR(__xludf.DUMMYFUNCTION("""COMPUTED_VALUE"""),"PRODUKSI")</f>
        <v>PRODUKSI</v>
      </c>
    </row>
    <row r="131">
      <c r="A131" s="9">
        <f>IFERROR(__xludf.DUMMYFUNCTION("""COMPUTED_VALUE"""),46098.0)</f>
        <v>46098</v>
      </c>
      <c r="B131" s="7" t="str">
        <f>IFERROR(__xludf.DUMMYFUNCTION("""COMPUTED_VALUE"""),"TRSF E-BANKING DB")</f>
        <v>TRSF E-BANKING DB</v>
      </c>
      <c r="C131" s="7" t="str">
        <f>IFERROR(__xludf.DUMMYFUNCTION("""COMPUTED_VALUE"""),"1703/FTSCY/WS95011 133206660.00 Mon Mar 16 2026 14:00:00 GMT+0700 (Western Indonesia Time) BINTANG TAMA SANTO 133206660.00 Mon Mar 16 2026 14:00:00 GMT+0700 (Western Indonesia Time) BINTANG TAMA SANTO")</f>
        <v>1703/FTSCY/WS95011 133206660.00 Mon Mar 16 2026 14:00:00 GMT+0700 (Western Indonesia Time) BINTANG TAMA SANTO 133206660.00 Mon Mar 16 2026 14:00:00 GMT+0700 (Western Indonesia Time) BINTANG TAMA SANTO</v>
      </c>
      <c r="D131" s="7">
        <f>IFERROR(__xludf.DUMMYFUNCTION("""COMPUTED_VALUE"""),1.3320666E8)</f>
        <v>133206660</v>
      </c>
      <c r="E131" s="7"/>
      <c r="F131" s="7" t="str">
        <f>IFERROR(__xludf.DUMMYFUNCTION("""COMPUTED_VALUE"""),"DB")</f>
        <v>DB</v>
      </c>
      <c r="G131" s="7">
        <f>IFERROR(__xludf.DUMMYFUNCTION("""COMPUTED_VALUE"""),1.2233754584000003E8)</f>
        <v>122337545.8</v>
      </c>
      <c r="H131" s="7"/>
      <c r="I131" s="7" t="str">
        <f>IFERROR(__xludf.DUMMYFUNCTION("""COMPUTED_VALUE"""),"PRODUKSI")</f>
        <v>PRODUKSI</v>
      </c>
    </row>
    <row r="132">
      <c r="A132" s="9">
        <f>IFERROR(__xludf.DUMMYFUNCTION("""COMPUTED_VALUE"""),46098.0)</f>
        <v>46098</v>
      </c>
      <c r="B132" s="7" t="str">
        <f>IFERROR(__xludf.DUMMYFUNCTION("""COMPUTED_VALUE"""),"TRSF E-BANKING DB")</f>
        <v>TRSF E-BANKING DB</v>
      </c>
      <c r="C132" s="7" t="str">
        <f>IFERROR(__xludf.DUMMYFUNCTION("""COMPUTED_VALUE"""),"1703/FTSCY/WS95011 113382400.00 probolinggo PITIK DIGITAL INDO 113382400.00 probolinggo PITIK DIGITAL INDO")</f>
        <v>1703/FTSCY/WS95011 113382400.00 probolinggo PITIK DIGITAL INDO 113382400.00 probolinggo PITIK DIGITAL INDO</v>
      </c>
      <c r="D132" s="7">
        <f>IFERROR(__xludf.DUMMYFUNCTION("""COMPUTED_VALUE"""),1.133824E8)</f>
        <v>113382400</v>
      </c>
      <c r="E132" s="7"/>
      <c r="F132" s="7" t="str">
        <f>IFERROR(__xludf.DUMMYFUNCTION("""COMPUTED_VALUE"""),"DB")</f>
        <v>DB</v>
      </c>
      <c r="G132" s="7">
        <f>IFERROR(__xludf.DUMMYFUNCTION("""COMPUTED_VALUE"""),8955145.840000033)</f>
        <v>8955145.84</v>
      </c>
      <c r="H132" s="7"/>
      <c r="I132" s="7" t="str">
        <f>IFERROR(__xludf.DUMMYFUNCTION("""COMPUTED_VALUE"""),"PRODUKSI")</f>
        <v>PRODUKSI</v>
      </c>
    </row>
    <row r="133">
      <c r="A133" s="9">
        <f>IFERROR(__xludf.DUMMYFUNCTION("""COMPUTED_VALUE"""),46098.0)</f>
        <v>46098</v>
      </c>
      <c r="B133" s="7" t="str">
        <f>IFERROR(__xludf.DUMMYFUNCTION("""COMPUTED_VALUE"""),"BIAYA ADM")</f>
        <v>BIAYA ADM</v>
      </c>
      <c r="C133" s="7" t="str">
        <f>IFERROR(__xludf.DUMMYFUNCTION("""COMPUTED_VALUE"""),"BIAYA ADM")</f>
        <v>BIAYA ADM</v>
      </c>
      <c r="D133" s="7">
        <f>IFERROR(__xludf.DUMMYFUNCTION("""COMPUTED_VALUE"""),19000.0)</f>
        <v>19000</v>
      </c>
      <c r="E133" s="7"/>
      <c r="F133" s="7"/>
      <c r="G133" s="7">
        <f>IFERROR(__xludf.DUMMYFUNCTION("""COMPUTED_VALUE"""),5866985.840000033)</f>
        <v>5866985.84</v>
      </c>
      <c r="H133" s="7">
        <f>IFERROR(__xludf.DUMMYFUNCTION("""COMPUTED_VALUE"""),5866985.84)</f>
        <v>5866985.84</v>
      </c>
      <c r="I133" s="7" t="str">
        <f>IFERROR(__xludf.DUMMYFUNCTION("""COMPUTED_VALUE"""),"PRODUKSI")</f>
        <v>PRODUKSI</v>
      </c>
    </row>
    <row r="134">
      <c r="A134" s="9">
        <f>IFERROR(__xludf.DUMMYFUNCTION("""COMPUTED_VALUE"""),46099.0)</f>
        <v>46099</v>
      </c>
      <c r="B134" s="7" t="str">
        <f>IFERROR(__xludf.DUMMYFUNCTION("""COMPUTED_VALUE"""),"TRSF E-BANKING DB TANGGAL :17/03")</f>
        <v>TRSF E-BANKING DB TANGGAL :17/03</v>
      </c>
      <c r="C134" s="7" t="str">
        <f>IFERROR(__xludf.DUMMYFUNCTION("""COMPUTED_VALUE"""),"1703/FTSCY/WS95011 Sat Mar 14 2026 14:00:00 GMT+0700 (Western Indonesia Time) ANDALAN YASA MITRA Sat Mar 14 2026 14:00:00 GMT+0700 (Western Indonesia Time) ANDALAN YASA MITRA")</f>
        <v>1703/FTSCY/WS95011 Sat Mar 14 2026 14:00:00 GMT+0700 (Western Indonesia Time) ANDALAN YASA MITRA Sat Mar 14 2026 14:00:00 GMT+0700 (Western Indonesia Time) ANDALAN YASA MITRA</v>
      </c>
      <c r="D134" s="7">
        <f>IFERROR(__xludf.DUMMYFUNCTION("""COMPUTED_VALUE"""),4.936925E7)</f>
        <v>49369250</v>
      </c>
      <c r="E134" s="7"/>
      <c r="F134" s="7" t="str">
        <f>IFERROR(__xludf.DUMMYFUNCTION("""COMPUTED_VALUE"""),"DB")</f>
        <v>DB</v>
      </c>
      <c r="G134" s="7">
        <f>IFERROR(__xludf.DUMMYFUNCTION("""COMPUTED_VALUE"""),5063935.840000033)</f>
        <v>5063935.84</v>
      </c>
      <c r="H134" s="7"/>
      <c r="I134" s="7" t="str">
        <f>IFERROR(__xludf.DUMMYFUNCTION("""COMPUTED_VALUE"""),"PRODUKSI")</f>
        <v>PRODUKSI</v>
      </c>
    </row>
    <row r="135">
      <c r="A135" s="9">
        <f>IFERROR(__xludf.DUMMYFUNCTION("""COMPUTED_VALUE"""),46099.0)</f>
        <v>46099</v>
      </c>
      <c r="B135" s="7" t="str">
        <f>IFERROR(__xludf.DUMMYFUNCTION("""COMPUTED_VALUE"""),"TRSF E-BANKING DB")</f>
        <v>TRSF E-BANKING DB</v>
      </c>
      <c r="C135" s="7" t="str">
        <f>IFERROR(__xludf.DUMMYFUNCTION("""COMPUTED_VALUE"""),"1803/FTSCY/WS95031 200000.00 SAIFUL BAHRI 200000.00 SAIFUL BAHRI")</f>
        <v>1803/FTSCY/WS95031 200000.00 SAIFUL BAHRI 200000.00 SAIFUL BAHRI</v>
      </c>
      <c r="D135" s="7">
        <f>IFERROR(__xludf.DUMMYFUNCTION("""COMPUTED_VALUE"""),200000.0)</f>
        <v>200000</v>
      </c>
      <c r="E135" s="7"/>
      <c r="F135" s="7" t="str">
        <f>IFERROR(__xludf.DUMMYFUNCTION("""COMPUTED_VALUE"""),"DB")</f>
        <v>DB</v>
      </c>
      <c r="G135" s="7">
        <f>IFERROR(__xludf.DUMMYFUNCTION("""COMPUTED_VALUE"""),1.8626557584000003E8)</f>
        <v>186265575.8</v>
      </c>
      <c r="H135" s="7"/>
      <c r="I135" s="7" t="str">
        <f>IFERROR(__xludf.DUMMYFUNCTION("""COMPUTED_VALUE"""),"PRODUKSI")</f>
        <v>PRODUKSI</v>
      </c>
    </row>
    <row r="136">
      <c r="A136" s="9">
        <f>IFERROR(__xludf.DUMMYFUNCTION("""COMPUTED_VALUE"""),46099.0)</f>
        <v>46099</v>
      </c>
      <c r="B136" s="7" t="str">
        <f>IFERROR(__xludf.DUMMYFUNCTION("""COMPUTED_VALUE"""),"TRSF E-BANKING DB")</f>
        <v>TRSF E-BANKING DB</v>
      </c>
      <c r="C136" s="7" t="str">
        <f>IFERROR(__xludf.DUMMYFUNCTION("""COMPUTED_VALUE"""),"1803/FTSCY/WS95031 51171750.00 Mon Mar 16 2026 14:00:00 GMT+0700 (Western Indonesia Time) GANESHA SATRIA NUS 51171750.00 Mon Mar 16 2026 14:00:00 GMT+0700 (Western Indonesia Time) GANESHA SATRIA NUS")</f>
        <v>1803/FTSCY/WS95031 51171750.00 Mon Mar 16 2026 14:00:00 GMT+0700 (Western Indonesia Time) GANESHA SATRIA NUS 51171750.00 Mon Mar 16 2026 14:00:00 GMT+0700 (Western Indonesia Time) GANESHA SATRIA NUS</v>
      </c>
      <c r="D136" s="7">
        <f>IFERROR(__xludf.DUMMYFUNCTION("""COMPUTED_VALUE"""),5.117175E7)</f>
        <v>51171750</v>
      </c>
      <c r="E136" s="7"/>
      <c r="F136" s="7" t="str">
        <f>IFERROR(__xludf.DUMMYFUNCTION("""COMPUTED_VALUE"""),"DB")</f>
        <v>DB</v>
      </c>
      <c r="G136" s="7">
        <f>IFERROR(__xludf.DUMMYFUNCTION("""COMPUTED_VALUE"""),1.3509382584000003E8)</f>
        <v>135093825.8</v>
      </c>
      <c r="H136" s="7"/>
      <c r="I136" s="7" t="str">
        <f>IFERROR(__xludf.DUMMYFUNCTION("""COMPUTED_VALUE"""),"PRODUKSI")</f>
        <v>PRODUKSI</v>
      </c>
    </row>
    <row r="137">
      <c r="A137" s="9">
        <f>IFERROR(__xludf.DUMMYFUNCTION("""COMPUTED_VALUE"""),46099.0)</f>
        <v>46099</v>
      </c>
      <c r="B137" s="7" t="str">
        <f>IFERROR(__xludf.DUMMYFUNCTION("""COMPUTED_VALUE"""),"TRSF E-BANKING DB")</f>
        <v>TRSF E-BANKING DB</v>
      </c>
      <c r="C137" s="7" t="str">
        <f>IFERROR(__xludf.DUMMYFUNCTION("""COMPUTED_VALUE"""),"1803/FTSCY/WS95271 61250000.00 Mon Mar 16 2026 14:00:00 GMT+0700 (Western Indonesia Time) RUKUN MITRA BERSAM 61250000.00 Mon Mar 16 2026 14:00:00 GMT+0700 (Western Indonesia Time) RUKUN MITRA BERSAM")</f>
        <v>1803/FTSCY/WS95271 61250000.00 Mon Mar 16 2026 14:00:00 GMT+0700 (Western Indonesia Time) RUKUN MITRA BERSAM 61250000.00 Mon Mar 16 2026 14:00:00 GMT+0700 (Western Indonesia Time) RUKUN MITRA BERSAM</v>
      </c>
      <c r="D137" s="7">
        <f>IFERROR(__xludf.DUMMYFUNCTION("""COMPUTED_VALUE"""),6.125E7)</f>
        <v>61250000</v>
      </c>
      <c r="E137" s="7"/>
      <c r="F137" s="7" t="str">
        <f>IFERROR(__xludf.DUMMYFUNCTION("""COMPUTED_VALUE"""),"DB")</f>
        <v>DB</v>
      </c>
      <c r="G137" s="7">
        <f>IFERROR(__xludf.DUMMYFUNCTION("""COMPUTED_VALUE"""),7.384382584000003E7)</f>
        <v>73843825.84</v>
      </c>
      <c r="H137" s="7"/>
      <c r="I137" s="7" t="str">
        <f>IFERROR(__xludf.DUMMYFUNCTION("""COMPUTED_VALUE"""),"PRODUKSI")</f>
        <v>PRODUKSI</v>
      </c>
    </row>
    <row r="138">
      <c r="A138" s="9">
        <f>IFERROR(__xludf.DUMMYFUNCTION("""COMPUTED_VALUE"""),46099.0)</f>
        <v>46099</v>
      </c>
      <c r="B138" s="7" t="str">
        <f>IFERROR(__xludf.DUMMYFUNCTION("""COMPUTED_VALUE"""),"TRSF E-BANKING DB")</f>
        <v>TRSF E-BANKING DB</v>
      </c>
      <c r="C138" s="7" t="str">
        <f>IFERROR(__xludf.DUMMYFUNCTION("""COMPUTED_VALUE"""),"1803/FTSCY/WS95271 56454150.00 Mon Mar 16 2026 14:00:00 GMT+0700 (Western Indonesia Time) BINTANG TAMA SANTO 56454150.00 Mon Mar 16 2026 14:00:00 GMT+0700 (Western Indonesia Time) BINTANG TAMA SANTO")</f>
        <v>1803/FTSCY/WS95271 56454150.00 Mon Mar 16 2026 14:00:00 GMT+0700 (Western Indonesia Time) BINTANG TAMA SANTO 56454150.00 Mon Mar 16 2026 14:00:00 GMT+0700 (Western Indonesia Time) BINTANG TAMA SANTO</v>
      </c>
      <c r="D138" s="7">
        <f>IFERROR(__xludf.DUMMYFUNCTION("""COMPUTED_VALUE"""),5.645415E7)</f>
        <v>56454150</v>
      </c>
      <c r="E138" s="7"/>
      <c r="F138" s="7" t="str">
        <f>IFERROR(__xludf.DUMMYFUNCTION("""COMPUTED_VALUE"""),"DB")</f>
        <v>DB</v>
      </c>
      <c r="G138" s="7">
        <f>IFERROR(__xludf.DUMMYFUNCTION("""COMPUTED_VALUE"""),1.7389675840000033E7)</f>
        <v>17389675.84</v>
      </c>
      <c r="H138" s="7">
        <f>IFERROR(__xludf.DUMMYFUNCTION("""COMPUTED_VALUE"""),1.738967584E7)</f>
        <v>17389675.84</v>
      </c>
      <c r="I138" s="7" t="str">
        <f>IFERROR(__xludf.DUMMYFUNCTION("""COMPUTED_VALUE"""),"PRODUKSI")</f>
        <v>PRODUKSI</v>
      </c>
    </row>
    <row r="139">
      <c r="A139" s="9">
        <f>IFERROR(__xludf.DUMMYFUNCTION("""COMPUTED_VALUE"""),46100.0)</f>
        <v>46100</v>
      </c>
      <c r="B139" s="7" t="str">
        <f>IFERROR(__xludf.DUMMYFUNCTION("""COMPUTED_VALUE"""),"TRSF E-BANKING DB")</f>
        <v>TRSF E-BANKING DB</v>
      </c>
      <c r="C139" s="7" t="str">
        <f>IFERROR(__xludf.DUMMYFUNCTION("""COMPUTED_VALUE"""),"1903/FTSCY/WS95031 47829250.00 Sun Mar 15 2026 14:00:00 GMT+0700 (Western Indonesia Time) ANDALAN YASA MITRA 47829250.00 Sun Mar 15 2026 14:00:00 GMT+0700 (Western Indonesia Time) ANDALAN YASA MITRA")</f>
        <v>1903/FTSCY/WS95031 47829250.00 Sun Mar 15 2026 14:00:00 GMT+0700 (Western Indonesia Time) ANDALAN YASA MITRA 47829250.00 Sun Mar 15 2026 14:00:00 GMT+0700 (Western Indonesia Time) ANDALAN YASA MITRA</v>
      </c>
      <c r="D139" s="7">
        <f>IFERROR(__xludf.DUMMYFUNCTION("""COMPUTED_VALUE"""),4.782925E7)</f>
        <v>47829250</v>
      </c>
      <c r="E139" s="7"/>
      <c r="F139" s="7" t="str">
        <f>IFERROR(__xludf.DUMMYFUNCTION("""COMPUTED_VALUE"""),"DB")</f>
        <v>DB</v>
      </c>
      <c r="G139" s="7">
        <f>IFERROR(__xludf.DUMMYFUNCTION("""COMPUTED_VALUE"""),1.5060425840000033E7)</f>
        <v>15060425.84</v>
      </c>
      <c r="H139" s="7"/>
      <c r="I139" s="7" t="str">
        <f>IFERROR(__xludf.DUMMYFUNCTION("""COMPUTED_VALUE"""),"PRODUKSI")</f>
        <v>PRODUKSI</v>
      </c>
    </row>
    <row r="140">
      <c r="A140" s="9">
        <f>IFERROR(__xludf.DUMMYFUNCTION("""COMPUTED_VALUE"""),46100.0)</f>
        <v>46100</v>
      </c>
      <c r="B140" s="7" t="str">
        <f>IFERROR(__xludf.DUMMYFUNCTION("""COMPUTED_VALUE"""),"TRSF E-BANKING DB")</f>
        <v>TRSF E-BANKING DB</v>
      </c>
      <c r="C140" s="7" t="str">
        <f>IFERROR(__xludf.DUMMYFUNCTION("""COMPUTED_VALUE"""),"1903/FTSCY/WS95031 1750000.00 NURHAYATI 1750000.00 NURHAYATI")</f>
        <v>1903/FTSCY/WS95031 1750000.00 NURHAYATI 1750000.00 NURHAYATI</v>
      </c>
      <c r="D140" s="7">
        <f>IFERROR(__xludf.DUMMYFUNCTION("""COMPUTED_VALUE"""),1750000.0)</f>
        <v>1750000</v>
      </c>
      <c r="E140" s="7"/>
      <c r="F140" s="7" t="str">
        <f>IFERROR(__xludf.DUMMYFUNCTION("""COMPUTED_VALUE"""),"DB")</f>
        <v>DB</v>
      </c>
      <c r="G140" s="7">
        <f>IFERROR(__xludf.DUMMYFUNCTION("""COMPUTED_VALUE"""),1.3310425840000033E7)</f>
        <v>13310425.84</v>
      </c>
      <c r="H140" s="7"/>
      <c r="I140" s="7" t="str">
        <f>IFERROR(__xludf.DUMMYFUNCTION("""COMPUTED_VALUE"""),"PRODUKSI")</f>
        <v>PRODUKSI</v>
      </c>
    </row>
    <row r="141">
      <c r="A141" s="9">
        <f>IFERROR(__xludf.DUMMYFUNCTION("""COMPUTED_VALUE"""),46101.0)</f>
        <v>46101</v>
      </c>
      <c r="B141" s="7" t="str">
        <f>IFERROR(__xludf.DUMMYFUNCTION("""COMPUTED_VALUE"""),"TRSF E-BANKING DB")</f>
        <v>TRSF E-BANKING DB</v>
      </c>
      <c r="C141" s="7" t="str">
        <f>IFERROR(__xludf.DUMMYFUNCTION("""COMPUTED_VALUE"""),"2003/FTSCY/WS95031 47693500.00 Wed Mar 18 2026 14:00:00 GMT+0700 (Western Indonesia Time) BINTANG TAMA SANTO 47693500.00 Wed Mar 18 2026 14:00:00 GMT+0700 (Western Indonesia Time) BINTANG TAMA SANTO")</f>
        <v>2003/FTSCY/WS95031 47693500.00 Wed Mar 18 2026 14:00:00 GMT+0700 (Western Indonesia Time) BINTANG TAMA SANTO 47693500.00 Wed Mar 18 2026 14:00:00 GMT+0700 (Western Indonesia Time) BINTANG TAMA SANTO</v>
      </c>
      <c r="D141" s="7">
        <f>IFERROR(__xludf.DUMMYFUNCTION("""COMPUTED_VALUE"""),4.76935E7)</f>
        <v>47693500</v>
      </c>
      <c r="E141" s="7"/>
      <c r="F141" s="7" t="str">
        <f>IFERROR(__xludf.DUMMYFUNCTION("""COMPUTED_VALUE"""),"DB")</f>
        <v>DB</v>
      </c>
      <c r="G141" s="7">
        <f>IFERROR(__xludf.DUMMYFUNCTION("""COMPUTED_VALUE"""),3.6305830584000003E8)</f>
        <v>363058305.8</v>
      </c>
      <c r="H141" s="7">
        <f>IFERROR(__xludf.DUMMYFUNCTION("""COMPUTED_VALUE"""),3.6305830584E8)</f>
        <v>363058305.8</v>
      </c>
      <c r="I141" s="7" t="str">
        <f>IFERROR(__xludf.DUMMYFUNCTION("""COMPUTED_VALUE"""),"PRODUKSI")</f>
        <v>PRODUKSI</v>
      </c>
    </row>
    <row r="142">
      <c r="A142" s="9">
        <f>IFERROR(__xludf.DUMMYFUNCTION("""COMPUTED_VALUE"""),46101.0)</f>
        <v>46101</v>
      </c>
      <c r="B142" s="7" t="str">
        <f>IFERROR(__xludf.DUMMYFUNCTION("""COMPUTED_VALUE"""),"TRSF E-BANKING DB")</f>
        <v>TRSF E-BANKING DB</v>
      </c>
      <c r="C142" s="7" t="str">
        <f>IFERROR(__xludf.DUMMYFUNCTION("""COMPUTED_VALUE"""),"2003/FTSCY/WS95271 52530000.00 Tue Mar 17 2026 14:00:00 GMT+0700 (Western Indonesia Time) GANESHA SATRIA NUS 52530000.00 Tue Mar 17 2026 14:00:00 GMT+0700 (Western Indonesia Time) GANESHA SATRIA NUS")</f>
        <v>2003/FTSCY/WS95271 52530000.00 Tue Mar 17 2026 14:00:00 GMT+0700 (Western Indonesia Time) GANESHA SATRIA NUS 52530000.00 Tue Mar 17 2026 14:00:00 GMT+0700 (Western Indonesia Time) GANESHA SATRIA NUS</v>
      </c>
      <c r="D142" s="7">
        <f>IFERROR(__xludf.DUMMYFUNCTION("""COMPUTED_VALUE"""),5.253E7)</f>
        <v>52530000</v>
      </c>
      <c r="E142" s="7"/>
      <c r="F142" s="7" t="str">
        <f>IFERROR(__xludf.DUMMYFUNCTION("""COMPUTED_VALUE"""),"DB")</f>
        <v>DB</v>
      </c>
      <c r="G142" s="7">
        <f>IFERROR(__xludf.DUMMYFUNCTION("""COMPUTED_VALUE"""),3.6827830584000003E8)</f>
        <v>368278305.8</v>
      </c>
      <c r="H142" s="7"/>
      <c r="I142" s="7" t="str">
        <f>IFERROR(__xludf.DUMMYFUNCTION("""COMPUTED_VALUE"""),"PRODUKSI")</f>
        <v>PRODUKSI</v>
      </c>
    </row>
    <row r="143">
      <c r="A143" s="9">
        <f>IFERROR(__xludf.DUMMYFUNCTION("""COMPUTED_VALUE"""),46101.0)</f>
        <v>46101</v>
      </c>
      <c r="B143" s="7" t="str">
        <f>IFERROR(__xludf.DUMMYFUNCTION("""COMPUTED_VALUE"""),"TRSF E-BANKING DB")</f>
        <v>TRSF E-BANKING DB</v>
      </c>
      <c r="C143" s="7" t="str">
        <f>IFERROR(__xludf.DUMMYFUNCTION("""COMPUTED_VALUE"""),"2003/FTSCY/WS95271 102508300.00 Tue Mar 17 2026 14:00:00 GMT+0700 (Western Indonesia Time) BINTANG TAMA SANTO 102508300.00 Tue Mar 17 2026 14:00:00 GMT+0700 (Western Indonesia Time) BINTANG TAMA SANTO")</f>
        <v>2003/FTSCY/WS95271 102508300.00 Tue Mar 17 2026 14:00:00 GMT+0700 (Western Indonesia Time) BINTANG TAMA SANTO 102508300.00 Tue Mar 17 2026 14:00:00 GMT+0700 (Western Indonesia Time) BINTANG TAMA SANTO</v>
      </c>
      <c r="D143" s="7">
        <f>IFERROR(__xludf.DUMMYFUNCTION("""COMPUTED_VALUE"""),1.025083E8)</f>
        <v>102508300</v>
      </c>
      <c r="E143" s="7"/>
      <c r="F143" s="7" t="str">
        <f>IFERROR(__xludf.DUMMYFUNCTION("""COMPUTED_VALUE"""),"DB")</f>
        <v>DB</v>
      </c>
      <c r="G143" s="7">
        <f>IFERROR(__xludf.DUMMYFUNCTION("""COMPUTED_VALUE"""),2.6577000584000003E8)</f>
        <v>265770005.8</v>
      </c>
      <c r="H143" s="7"/>
      <c r="I143" s="7" t="str">
        <f>IFERROR(__xludf.DUMMYFUNCTION("""COMPUTED_VALUE"""),"PRODUKSI")</f>
        <v>PRODUKSI</v>
      </c>
    </row>
    <row r="144">
      <c r="A144" s="9">
        <f>IFERROR(__xludf.DUMMYFUNCTION("""COMPUTED_VALUE"""),46101.0)</f>
        <v>46101</v>
      </c>
      <c r="B144" s="7" t="str">
        <f>IFERROR(__xludf.DUMMYFUNCTION("""COMPUTED_VALUE"""),"TRSF E-BANKING DB")</f>
        <v>TRSF E-BANKING DB</v>
      </c>
      <c r="C144" s="7" t="str">
        <f>IFERROR(__xludf.DUMMYFUNCTION("""COMPUTED_VALUE"""),"2003/FTSCY/WS95271 51025500.00 Tue Mar 17 2026 14:00:00 GMT+0700 (Western Indonesia Time) ANUGERAH KARTIKA A 51025500.00 Tue Mar 17 2026 14:00:00 GMT+0700 (Western Indonesia Time) ANUGERAH KARTIKA A")</f>
        <v>2003/FTSCY/WS95271 51025500.00 Tue Mar 17 2026 14:00:00 GMT+0700 (Western Indonesia Time) ANUGERAH KARTIKA A 51025500.00 Tue Mar 17 2026 14:00:00 GMT+0700 (Western Indonesia Time) ANUGERAH KARTIKA A</v>
      </c>
      <c r="D144" s="7">
        <f>IFERROR(__xludf.DUMMYFUNCTION("""COMPUTED_VALUE"""),5.10255E7)</f>
        <v>51025500</v>
      </c>
      <c r="E144" s="7"/>
      <c r="F144" s="7" t="str">
        <f>IFERROR(__xludf.DUMMYFUNCTION("""COMPUTED_VALUE"""),"DB")</f>
        <v>DB</v>
      </c>
      <c r="G144" s="7">
        <f>IFERROR(__xludf.DUMMYFUNCTION("""COMPUTED_VALUE"""),2.1474450584000003E8)</f>
        <v>214744505.8</v>
      </c>
      <c r="H144" s="7"/>
      <c r="I144" s="7" t="str">
        <f>IFERROR(__xludf.DUMMYFUNCTION("""COMPUTED_VALUE"""),"PRODUKSI")</f>
        <v>PRODUKSI</v>
      </c>
    </row>
    <row r="145">
      <c r="A145" s="9">
        <f>IFERROR(__xludf.DUMMYFUNCTION("""COMPUTED_VALUE"""),46101.0)</f>
        <v>46101</v>
      </c>
      <c r="B145" s="7" t="str">
        <f>IFERROR(__xludf.DUMMYFUNCTION("""COMPUTED_VALUE"""),"TRSF E-BANKING DB")</f>
        <v>TRSF E-BANKING DB</v>
      </c>
      <c r="C145" s="7" t="str">
        <f>IFERROR(__xludf.DUMMYFUNCTION("""COMPUTED_VALUE"""),"2003/FTSCY/WS95031 41861900.00 1703 ANDALAN YASA MITRA 41861900.00 1703 ANDALAN YASA MITRA")</f>
        <v>2003/FTSCY/WS95031 41861900.00 1703 ANDALAN YASA MITRA 41861900.00 1703 ANDALAN YASA MITRA</v>
      </c>
      <c r="D145" s="7">
        <f>IFERROR(__xludf.DUMMYFUNCTION("""COMPUTED_VALUE"""),4.18619E7)</f>
        <v>41861900</v>
      </c>
      <c r="E145" s="7"/>
      <c r="F145" s="7" t="str">
        <f>IFERROR(__xludf.DUMMYFUNCTION("""COMPUTED_VALUE"""),"DB")</f>
        <v>DB</v>
      </c>
      <c r="G145" s="7">
        <f>IFERROR(__xludf.DUMMYFUNCTION("""COMPUTED_VALUE"""),1.7288260584000003E8)</f>
        <v>172882605.8</v>
      </c>
      <c r="H145" s="7"/>
      <c r="I145" s="7" t="str">
        <f>IFERROR(__xludf.DUMMYFUNCTION("""COMPUTED_VALUE"""),"PRODUKSI")</f>
        <v>PRODUKSI</v>
      </c>
    </row>
    <row r="146">
      <c r="A146" s="9">
        <f>IFERROR(__xludf.DUMMYFUNCTION("""COMPUTED_VALUE"""),46101.0)</f>
        <v>46101</v>
      </c>
      <c r="B146" s="7" t="str">
        <f>IFERROR(__xludf.DUMMYFUNCTION("""COMPUTED_VALUE"""),"TRSF E-BANKING DB")</f>
        <v>TRSF E-BANKING DB</v>
      </c>
      <c r="C146" s="7" t="str">
        <f>IFERROR(__xludf.DUMMYFUNCTION("""COMPUTED_VALUE"""),"2003/FTSCY/WS95271 10000000.00 Tue Mar 17 2026 14:00:00 GMT+0700 (Western Indonesia Time) ANDALAN YASA MITRA 10000000.00 Tue Mar 17 2026 14:00:00 GMT+0700 (Western Indonesia Time) ANDALAN YASA MITRA")</f>
        <v>2003/FTSCY/WS95271 10000000.00 Tue Mar 17 2026 14:00:00 GMT+0700 (Western Indonesia Time) ANDALAN YASA MITRA 10000000.00 Tue Mar 17 2026 14:00:00 GMT+0700 (Western Indonesia Time) ANDALAN YASA MITRA</v>
      </c>
      <c r="D146" s="7">
        <f>IFERROR(__xludf.DUMMYFUNCTION("""COMPUTED_VALUE"""),1.0E7)</f>
        <v>10000000</v>
      </c>
      <c r="E146" s="7"/>
      <c r="F146" s="7" t="str">
        <f>IFERROR(__xludf.DUMMYFUNCTION("""COMPUTED_VALUE"""),"DB")</f>
        <v>DB</v>
      </c>
      <c r="G146" s="7">
        <f>IFERROR(__xludf.DUMMYFUNCTION("""COMPUTED_VALUE"""),1.6288260584000003E8)</f>
        <v>162882605.8</v>
      </c>
      <c r="H146" s="7"/>
      <c r="I146" s="7" t="str">
        <f>IFERROR(__xludf.DUMMYFUNCTION("""COMPUTED_VALUE"""),"PRODUKSI")</f>
        <v>PRODUKSI</v>
      </c>
    </row>
    <row r="147">
      <c r="A147" s="9">
        <f>IFERROR(__xludf.DUMMYFUNCTION("""COMPUTED_VALUE"""),46101.0)</f>
        <v>46101</v>
      </c>
      <c r="B147" s="7" t="str">
        <f>IFERROR(__xludf.DUMMYFUNCTION("""COMPUTED_VALUE"""),"TRSF E-BANKING DB")</f>
        <v>TRSF E-BANKING DB</v>
      </c>
      <c r="C147" s="7" t="str">
        <f>IFERROR(__xludf.DUMMYFUNCTION("""COMPUTED_VALUE"""),"2003/FTSCY/WS95011 104800000.00 Tue Mar 17 2026 14:00:00 GMT+0700 (Western Indonesia Time) BROILER MAKMUR TAN 104800000.00 Tue Mar 17 2026 14:00:00 GMT+0700 (Western Indonesia Time) BROILER MAKMUR TAN")</f>
        <v>2003/FTSCY/WS95011 104800000.00 Tue Mar 17 2026 14:00:00 GMT+0700 (Western Indonesia Time) BROILER MAKMUR TAN 104800000.00 Tue Mar 17 2026 14:00:00 GMT+0700 (Western Indonesia Time) BROILER MAKMUR TAN</v>
      </c>
      <c r="D147" s="7">
        <f>IFERROR(__xludf.DUMMYFUNCTION("""COMPUTED_VALUE"""),1.048E8)</f>
        <v>104800000</v>
      </c>
      <c r="E147" s="7"/>
      <c r="F147" s="7" t="str">
        <f>IFERROR(__xludf.DUMMYFUNCTION("""COMPUTED_VALUE"""),"DB")</f>
        <v>DB</v>
      </c>
      <c r="G147" s="7">
        <f>IFERROR(__xludf.DUMMYFUNCTION("""COMPUTED_VALUE"""),5.808260584000003E7)</f>
        <v>58082605.84</v>
      </c>
      <c r="H147" s="7">
        <f>IFERROR(__xludf.DUMMYFUNCTION("""COMPUTED_VALUE"""),5.808260584E7)</f>
        <v>58082605.84</v>
      </c>
      <c r="I147" s="7" t="str">
        <f>IFERROR(__xludf.DUMMYFUNCTION("""COMPUTED_VALUE"""),"PRODUKSI")</f>
        <v>PRODUKSI</v>
      </c>
    </row>
    <row r="148">
      <c r="A148" s="9">
        <f>IFERROR(__xludf.DUMMYFUNCTION("""COMPUTED_VALUE"""),46102.0)</f>
        <v>46102</v>
      </c>
      <c r="B148" s="7" t="str">
        <f>IFERROR(__xludf.DUMMYFUNCTION("""COMPUTED_VALUE"""),"TRSF E-BANKING DB")</f>
        <v>TRSF E-BANKING DB</v>
      </c>
      <c r="C148" s="7" t="str">
        <f>IFERROR(__xludf.DUMMYFUNCTION("""COMPUTED_VALUE"""),"2103/FTFVA/WS95031 55569/PT PRIMA FAJ kd wahyudi pasurua n 40190 55569/PT PRIMA FAJ kd wahyudi pasurua n 40190")</f>
        <v>2103/FTFVA/WS95031 55569/PT PRIMA FAJ kd wahyudi pasurua n 40190 55569/PT PRIMA FAJ kd wahyudi pasurua n 40190</v>
      </c>
      <c r="D148" s="7">
        <f>IFERROR(__xludf.DUMMYFUNCTION("""COMPUTED_VALUE"""),5.775E7)</f>
        <v>57750000</v>
      </c>
      <c r="E148" s="7"/>
      <c r="F148" s="7" t="str">
        <f>IFERROR(__xludf.DUMMYFUNCTION("""COMPUTED_VALUE"""),"DB")</f>
        <v>DB</v>
      </c>
      <c r="G148" s="7">
        <f>IFERROR(__xludf.DUMMYFUNCTION("""COMPUTED_VALUE"""),182605.84000003338)</f>
        <v>182605.84</v>
      </c>
      <c r="H148" s="7"/>
      <c r="I148" s="7" t="str">
        <f>IFERROR(__xludf.DUMMYFUNCTION("""COMPUTED_VALUE"""),"PRODUKSI")</f>
        <v>PRODUKSI</v>
      </c>
    </row>
    <row r="149">
      <c r="A149" s="9">
        <f>IFERROR(__xludf.DUMMYFUNCTION("""COMPUTED_VALUE"""),46102.0)</f>
        <v>46102</v>
      </c>
      <c r="B149" s="7" t="str">
        <f>IFERROR(__xludf.DUMMYFUNCTION("""COMPUTED_VALUE"""),"TRSF E-BANKING DB")</f>
        <v>TRSF E-BANKING DB</v>
      </c>
      <c r="C149" s="7" t="str">
        <f>IFERROR(__xludf.DUMMYFUNCTION("""COMPUTED_VALUE"""),"2103/FTSCY/WS95031 15490000.00 kd panji pasuruan BRANTAS ABADI SENT 15490000.00 kd panji pasuruan BRANTAS ABADI SENT")</f>
        <v>2103/FTSCY/WS95031 15490000.00 kd panji pasuruan BRANTAS ABADI SENT 15490000.00 kd panji pasuruan BRANTAS ABADI SENT</v>
      </c>
      <c r="D149" s="7">
        <f>IFERROR(__xludf.DUMMYFUNCTION("""COMPUTED_VALUE"""),1.549E7)</f>
        <v>15490000</v>
      </c>
      <c r="E149" s="7"/>
      <c r="F149" s="7" t="str">
        <f>IFERROR(__xludf.DUMMYFUNCTION("""COMPUTED_VALUE"""),"DB")</f>
        <v>DB</v>
      </c>
      <c r="G149" s="7">
        <f>IFERROR(__xludf.DUMMYFUNCTION("""COMPUTED_VALUE"""),98855.84000003338)</f>
        <v>98855.84</v>
      </c>
      <c r="H149" s="7"/>
      <c r="I149" s="7" t="str">
        <f>IFERROR(__xludf.DUMMYFUNCTION("""COMPUTED_VALUE"""),"PRODUKSI")</f>
        <v>PRODUKSI</v>
      </c>
    </row>
    <row r="150">
      <c r="A150" s="9">
        <f>IFERROR(__xludf.DUMMYFUNCTION("""COMPUTED_VALUE"""),46102.0)</f>
        <v>46102</v>
      </c>
      <c r="B150" s="7" t="str">
        <f>IFERROR(__xludf.DUMMYFUNCTION("""COMPUTED_VALUE"""),"TRSF E-BANKING DB")</f>
        <v>TRSF E-BANKING DB</v>
      </c>
      <c r="C150" s="7" t="str">
        <f>IFERROR(__xludf.DUMMYFUNCTION("""COMPUTED_VALUE"""),"2103/FTSCY/WS95031 51246500.00 kd bromax perkasa tuban ANDALAN YASA MITRA 51246500.00 kd bromax perkasa tuban ANDALAN YASA MITRA")</f>
        <v>2103/FTSCY/WS95031 51246500.00 kd bromax perkasa tuban ANDALAN YASA MITRA 51246500.00 kd bromax perkasa tuban ANDALAN YASA MITRA</v>
      </c>
      <c r="D150" s="7">
        <f>IFERROR(__xludf.DUMMYFUNCTION("""COMPUTED_VALUE"""),5.12465E7)</f>
        <v>51246500</v>
      </c>
      <c r="E150" s="7"/>
      <c r="F150" s="7" t="str">
        <f>IFERROR(__xludf.DUMMYFUNCTION("""COMPUTED_VALUE"""),"DB")</f>
        <v>DB</v>
      </c>
      <c r="G150" s="7">
        <f>IFERROR(__xludf.DUMMYFUNCTION("""COMPUTED_VALUE"""),2.7067691584000003E8)</f>
        <v>270676915.8</v>
      </c>
      <c r="H150" s="7"/>
      <c r="I150" s="7" t="str">
        <f>IFERROR(__xludf.DUMMYFUNCTION("""COMPUTED_VALUE"""),"PRODUKSI")</f>
        <v>PRODUKSI</v>
      </c>
    </row>
    <row r="151">
      <c r="A151" s="9">
        <f>IFERROR(__xludf.DUMMYFUNCTION("""COMPUTED_VALUE"""),46102.0)</f>
        <v>46102</v>
      </c>
      <c r="B151" s="7" t="str">
        <f>IFERROR(__xludf.DUMMYFUNCTION("""COMPUTED_VALUE"""),"TRSF E-BANKING DB")</f>
        <v>TRSF E-BANKING DB</v>
      </c>
      <c r="C151" s="7" t="str">
        <f>IFERROR(__xludf.DUMMYFUNCTION("""COMPUTED_VALUE"""),"2103/FTSCY/WS95031 11300000.00 pelunasan BRANTAS ABADI SENT 11300000.00 pelunasan BRANTAS ABADI SENT")</f>
        <v>2103/FTSCY/WS95031 11300000.00 pelunasan BRANTAS ABADI SENT 11300000.00 pelunasan BRANTAS ABADI SENT</v>
      </c>
      <c r="D151" s="7">
        <f>IFERROR(__xludf.DUMMYFUNCTION("""COMPUTED_VALUE"""),1.13E7)</f>
        <v>11300000</v>
      </c>
      <c r="E151" s="7"/>
      <c r="F151" s="7" t="str">
        <f>IFERROR(__xludf.DUMMYFUNCTION("""COMPUTED_VALUE"""),"DB")</f>
        <v>DB</v>
      </c>
      <c r="G151" s="7">
        <f>IFERROR(__xludf.DUMMYFUNCTION("""COMPUTED_VALUE"""),2.5937691584000003E8)</f>
        <v>259376915.8</v>
      </c>
      <c r="H151" s="7"/>
      <c r="I151" s="7" t="str">
        <f>IFERROR(__xludf.DUMMYFUNCTION("""COMPUTED_VALUE"""),"PRODUKSI")</f>
        <v>PRODUKSI</v>
      </c>
    </row>
    <row r="152">
      <c r="A152" s="9">
        <f>IFERROR(__xludf.DUMMYFUNCTION("""COMPUTED_VALUE"""),46102.0)</f>
        <v>46102</v>
      </c>
      <c r="B152" s="7" t="str">
        <f>IFERROR(__xludf.DUMMYFUNCTION("""COMPUTED_VALUE"""),"TRSF E-BANKING DB")</f>
        <v>TRSF E-BANKING DB</v>
      </c>
      <c r="C152" s="7" t="str">
        <f>IFERROR(__xludf.DUMMYFUNCTION("""COMPUTED_VALUE"""),"2103/FTSCY/WS95271 43250000.00 Tue Mar 17 2026 14:00:00 GMT+0700 (Western Indonesia Time) SUPER UNGGAS JAYA 43250000.00 Tue Mar 17 2026 14:00:00 GMT+0700 (Western Indonesia Time) SUPER UNGGAS JAYA")</f>
        <v>2103/FTSCY/WS95271 43250000.00 Tue Mar 17 2026 14:00:00 GMT+0700 (Western Indonesia Time) SUPER UNGGAS JAYA 43250000.00 Tue Mar 17 2026 14:00:00 GMT+0700 (Western Indonesia Time) SUPER UNGGAS JAYA</v>
      </c>
      <c r="D152" s="7">
        <f>IFERROR(__xludf.DUMMYFUNCTION("""COMPUTED_VALUE"""),4.325E7)</f>
        <v>43250000</v>
      </c>
      <c r="E152" s="7"/>
      <c r="F152" s="7" t="str">
        <f>IFERROR(__xludf.DUMMYFUNCTION("""COMPUTED_VALUE"""),"DB")</f>
        <v>DB</v>
      </c>
      <c r="G152" s="7">
        <f>IFERROR(__xludf.DUMMYFUNCTION("""COMPUTED_VALUE"""),2.1612691584000003E8)</f>
        <v>216126915.8</v>
      </c>
      <c r="H152" s="7"/>
      <c r="I152" s="7" t="str">
        <f>IFERROR(__xludf.DUMMYFUNCTION("""COMPUTED_VALUE"""),"PRODUKSI")</f>
        <v>PRODUKSI</v>
      </c>
    </row>
    <row r="153">
      <c r="A153" s="9">
        <f>IFERROR(__xludf.DUMMYFUNCTION("""COMPUTED_VALUE"""),46102.0)</f>
        <v>46102</v>
      </c>
      <c r="B153" s="7" t="str">
        <f>IFERROR(__xludf.DUMMYFUNCTION("""COMPUTED_VALUE"""),"TRSF E-BANKING DB")</f>
        <v>TRSF E-BANKING DB</v>
      </c>
      <c r="C153" s="7" t="str">
        <f>IFERROR(__xludf.DUMMYFUNCTION("""COMPUTED_VALUE"""),"2103/FTSCY/WS95271 50000000.00 pelunasan BROILER MAKMUR TAN 50000000.00 pelunasan BROILER MAKMUR TAN")</f>
        <v>2103/FTSCY/WS95271 50000000.00 pelunasan BROILER MAKMUR TAN 50000000.00 pelunasan BROILER MAKMUR TAN</v>
      </c>
      <c r="D153" s="7">
        <f>IFERROR(__xludf.DUMMYFUNCTION("""COMPUTED_VALUE"""),5.0E7)</f>
        <v>50000000</v>
      </c>
      <c r="E153" s="7"/>
      <c r="F153" s="7" t="str">
        <f>IFERROR(__xludf.DUMMYFUNCTION("""COMPUTED_VALUE"""),"DB")</f>
        <v>DB</v>
      </c>
      <c r="G153" s="7">
        <f>IFERROR(__xludf.DUMMYFUNCTION("""COMPUTED_VALUE"""),1.6612691584000003E8)</f>
        <v>166126915.8</v>
      </c>
      <c r="H153" s="7"/>
      <c r="I153" s="7" t="str">
        <f>IFERROR(__xludf.DUMMYFUNCTION("""COMPUTED_VALUE"""),"PRODUKSI")</f>
        <v>PRODUKSI</v>
      </c>
    </row>
    <row r="154">
      <c r="A154" s="9">
        <f>IFERROR(__xludf.DUMMYFUNCTION("""COMPUTED_VALUE"""),46102.0)</f>
        <v>46102</v>
      </c>
      <c r="B154" s="7" t="str">
        <f>IFERROR(__xludf.DUMMYFUNCTION("""COMPUTED_VALUE"""),"TRSF E-BANKING DB")</f>
        <v>TRSF E-BANKING DB</v>
      </c>
      <c r="C154" s="7" t="str">
        <f>IFERROR(__xludf.DUMMYFUNCTION("""COMPUTED_VALUE"""),"2103/FTSCY/WS95271 176436960.00 Tue Mar 17 2026 14:00:00 GMT+0700 (Western Indonesia Time) ANDALAN YASA MITRA 176436960.00 Tue Mar 17 2026 14:00:00 GMT+0700 (Western Indonesia Time) ANDALAN YASA MITRA")</f>
        <v>2103/FTSCY/WS95271 176436960.00 Tue Mar 17 2026 14:00:00 GMT+0700 (Western Indonesia Time) ANDALAN YASA MITRA 176436960.00 Tue Mar 17 2026 14:00:00 GMT+0700 (Western Indonesia Time) ANDALAN YASA MITRA</v>
      </c>
      <c r="D154" s="7">
        <f>IFERROR(__xludf.DUMMYFUNCTION("""COMPUTED_VALUE"""),1.7643696E8)</f>
        <v>176436960</v>
      </c>
      <c r="E154" s="7"/>
      <c r="F154" s="7" t="str">
        <f>IFERROR(__xludf.DUMMYFUNCTION("""COMPUTED_VALUE"""),"DB")</f>
        <v>DB</v>
      </c>
      <c r="G154" s="7">
        <f>IFERROR(__xludf.DUMMYFUNCTION("""COMPUTED_VALUE"""),1135655.8400000334)</f>
        <v>1135655.84</v>
      </c>
      <c r="H154" s="7"/>
      <c r="I154" s="7" t="str">
        <f>IFERROR(__xludf.DUMMYFUNCTION("""COMPUTED_VALUE"""),"PRODUKSI")</f>
        <v>PRODUKSI</v>
      </c>
    </row>
    <row r="155">
      <c r="A155" s="9">
        <f>IFERROR(__xludf.DUMMYFUNCTION("""COMPUTED_VALUE"""),46103.0)</f>
        <v>46103</v>
      </c>
      <c r="B155" s="7" t="str">
        <f>IFERROR(__xludf.DUMMYFUNCTION("""COMPUTED_VALUE"""),"TRSF E-BANKING DB TANGGAL :21/03")</f>
        <v>TRSF E-BANKING DB TANGGAL :21/03</v>
      </c>
      <c r="C155" s="7" t="str">
        <f>IFERROR(__xludf.DUMMYFUNCTION("""COMPUTED_VALUE"""),"2103/FTSCY/WS95271 Thu Mar 19 2026 14:00:00 GMT+0700 (Western Indonesia Time) ANDALAN YASA MITRA Thu Mar 19 2026 14:00:00 GMT+0700 (Western Indonesia Time) ANDALAN YASA MITRA")</f>
        <v>2103/FTSCY/WS95271 Thu Mar 19 2026 14:00:00 GMT+0700 (Western Indonesia Time) ANDALAN YASA MITRA Thu Mar 19 2026 14:00:00 GMT+0700 (Western Indonesia Time) ANDALAN YASA MITRA</v>
      </c>
      <c r="D155" s="7">
        <f>IFERROR(__xludf.DUMMYFUNCTION("""COMPUTED_VALUE"""),2.20846E7)</f>
        <v>22084600</v>
      </c>
      <c r="E155" s="7"/>
      <c r="F155" s="7" t="str">
        <f>IFERROR(__xludf.DUMMYFUNCTION("""COMPUTED_VALUE"""),"DB")</f>
        <v>DB</v>
      </c>
      <c r="G155" s="7">
        <f>IFERROR(__xludf.DUMMYFUNCTION("""COMPUTED_VALUE"""),3.494855584000003E7)</f>
        <v>34948555.84</v>
      </c>
      <c r="H155" s="7">
        <f>IFERROR(__xludf.DUMMYFUNCTION("""COMPUTED_VALUE"""),3.494855584E7)</f>
        <v>34948555.84</v>
      </c>
      <c r="I155" s="7" t="str">
        <f>IFERROR(__xludf.DUMMYFUNCTION("""COMPUTED_VALUE"""),"PRODUKSI")</f>
        <v>PRODUKSI</v>
      </c>
    </row>
    <row r="156">
      <c r="A156" s="9">
        <f>IFERROR(__xludf.DUMMYFUNCTION("""COMPUTED_VALUE"""),46103.0)</f>
        <v>46103</v>
      </c>
      <c r="B156" s="7" t="str">
        <f>IFERROR(__xludf.DUMMYFUNCTION("""COMPUTED_VALUE"""),"TRSF E-BANKING DB TANGGAL :21/03")</f>
        <v>TRSF E-BANKING DB TANGGAL :21/03</v>
      </c>
      <c r="C156" s="7" t="str">
        <f>IFERROR(__xludf.DUMMYFUNCTION("""COMPUTED_VALUE"""),"2103/FTSCY/WS95011 pelunasan 19/03 ANDALAN YASA MITRA pelunasan 19/03 ANDALAN YASA MITRA")</f>
        <v>2103/FTSCY/WS95011 pelunasan 19/03 ANDALAN YASA MITRA pelunasan 19/03 ANDALAN YASA MITRA</v>
      </c>
      <c r="D156" s="7">
        <f>IFERROR(__xludf.DUMMYFUNCTION("""COMPUTED_VALUE"""),3.0E7)</f>
        <v>30000000</v>
      </c>
      <c r="E156" s="7"/>
      <c r="F156" s="7" t="str">
        <f>IFERROR(__xludf.DUMMYFUNCTION("""COMPUTED_VALUE"""),"DB")</f>
        <v>DB</v>
      </c>
      <c r="G156" s="7">
        <f>IFERROR(__xludf.DUMMYFUNCTION("""COMPUTED_VALUE"""),4948555.840000033)</f>
        <v>4948555.84</v>
      </c>
      <c r="H156" s="7"/>
      <c r="I156" s="7" t="str">
        <f>IFERROR(__xludf.DUMMYFUNCTION("""COMPUTED_VALUE"""),"PRODUKSI")</f>
        <v>PRODUKSI</v>
      </c>
    </row>
    <row r="157">
      <c r="A157" s="9">
        <f>IFERROR(__xludf.DUMMYFUNCTION("""COMPUTED_VALUE"""),46104.0)</f>
        <v>46104</v>
      </c>
      <c r="B157" s="7" t="str">
        <f>IFERROR(__xludf.DUMMYFUNCTION("""COMPUTED_VALUE"""),"TRSF E-BANKING DB")</f>
        <v>TRSF E-BANKING DB</v>
      </c>
      <c r="C157" s="7" t="str">
        <f>IFERROR(__xludf.DUMMYFUNCTION("""COMPUTED_VALUE"""),"2303/FTSCY/WS95031 56000000.00 Fri Mar 20 2026 14:00:00 GMT+0700 (Western Indonesia Time) ANDALAN YASA MITRA 56000000.00 Fri Mar 20 2026 14:00:00 GMT+0700 (Western Indonesia Time) ANDALAN YASA MITRA")</f>
        <v>2303/FTSCY/WS95031 56000000.00 Fri Mar 20 2026 14:00:00 GMT+0700 (Western Indonesia Time) ANDALAN YASA MITRA 56000000.00 Fri Mar 20 2026 14:00:00 GMT+0700 (Western Indonesia Time) ANDALAN YASA MITRA</v>
      </c>
      <c r="D157" s="7">
        <f>IFERROR(__xludf.DUMMYFUNCTION("""COMPUTED_VALUE"""),5.6E7)</f>
        <v>56000000</v>
      </c>
      <c r="E157" s="7"/>
      <c r="F157" s="7" t="str">
        <f>IFERROR(__xludf.DUMMYFUNCTION("""COMPUTED_VALUE"""),"DB")</f>
        <v>DB</v>
      </c>
      <c r="G157" s="7">
        <f>IFERROR(__xludf.DUMMYFUNCTION("""COMPUTED_VALUE"""),4.9312042584000003E8)</f>
        <v>493120425.8</v>
      </c>
      <c r="H157" s="7"/>
      <c r="I157" s="7" t="str">
        <f>IFERROR(__xludf.DUMMYFUNCTION("""COMPUTED_VALUE"""),"PRODUKSI")</f>
        <v>PRODUKSI</v>
      </c>
    </row>
    <row r="158">
      <c r="A158" s="9">
        <f>IFERROR(__xludf.DUMMYFUNCTION("""COMPUTED_VALUE"""),46104.0)</f>
        <v>46104</v>
      </c>
      <c r="B158" s="7" t="str">
        <f>IFERROR(__xludf.DUMMYFUNCTION("""COMPUTED_VALUE"""),"TRSF E-BANKING DB")</f>
        <v>TRSF E-BANKING DB</v>
      </c>
      <c r="C158" s="7" t="str">
        <f>IFERROR(__xludf.DUMMYFUNCTION("""COMPUTED_VALUE"""),"2303/FTSCY/WS95271 109612000.00 Fri Mar 20 2026 14:00:00 GMT+0700 (Western Indonesia Time) LAJU SATWA WISESA 109612000.00 Fri Mar 20 2026 14:00:00 GMT+0700 (Western Indonesia Time) LAJU SATWA WISESA")</f>
        <v>2303/FTSCY/WS95271 109612000.00 Fri Mar 20 2026 14:00:00 GMT+0700 (Western Indonesia Time) LAJU SATWA WISESA 109612000.00 Fri Mar 20 2026 14:00:00 GMT+0700 (Western Indonesia Time) LAJU SATWA WISESA</v>
      </c>
      <c r="D158" s="7">
        <f>IFERROR(__xludf.DUMMYFUNCTION("""COMPUTED_VALUE"""),1.09612E8)</f>
        <v>109612000</v>
      </c>
      <c r="E158" s="7"/>
      <c r="F158" s="7" t="str">
        <f>IFERROR(__xludf.DUMMYFUNCTION("""COMPUTED_VALUE"""),"DB")</f>
        <v>DB</v>
      </c>
      <c r="G158" s="7">
        <f>IFERROR(__xludf.DUMMYFUNCTION("""COMPUTED_VALUE"""),3.8350842584000003E8)</f>
        <v>383508425.8</v>
      </c>
      <c r="H158" s="7"/>
      <c r="I158" s="7" t="str">
        <f>IFERROR(__xludf.DUMMYFUNCTION("""COMPUTED_VALUE"""),"PRODUKSI")</f>
        <v>PRODUKSI</v>
      </c>
    </row>
    <row r="159">
      <c r="A159" s="9">
        <f>IFERROR(__xludf.DUMMYFUNCTION("""COMPUTED_VALUE"""),46104.0)</f>
        <v>46104</v>
      </c>
      <c r="B159" s="7" t="str">
        <f>IFERROR(__xludf.DUMMYFUNCTION("""COMPUTED_VALUE"""),"TRSF E-BANKING DB")</f>
        <v>TRSF E-BANKING DB</v>
      </c>
      <c r="C159" s="7" t="str">
        <f>IFERROR(__xludf.DUMMYFUNCTION("""COMPUTED_VALUE"""),"2303/FTSCY/WS95031 8150000.00 SANDI FAJAR PRASET 8150000.00 SANDI FAJAR PRASET")</f>
        <v>2303/FTSCY/WS95031 8150000.00 SANDI FAJAR PRASET 8150000.00 SANDI FAJAR PRASET</v>
      </c>
      <c r="D159" s="7">
        <f>IFERROR(__xludf.DUMMYFUNCTION("""COMPUTED_VALUE"""),8150000.0)</f>
        <v>8150000</v>
      </c>
      <c r="E159" s="7"/>
      <c r="F159" s="7" t="str">
        <f>IFERROR(__xludf.DUMMYFUNCTION("""COMPUTED_VALUE"""),"DB")</f>
        <v>DB</v>
      </c>
      <c r="G159" s="7">
        <f>IFERROR(__xludf.DUMMYFUNCTION("""COMPUTED_VALUE"""),3.8350842584000003E8)</f>
        <v>383508425.8</v>
      </c>
      <c r="H159" s="7"/>
      <c r="I159" s="7" t="str">
        <f>IFERROR(__xludf.DUMMYFUNCTION("""COMPUTED_VALUE"""),"PRODUKSI")</f>
        <v>PRODUKSI</v>
      </c>
    </row>
    <row r="160">
      <c r="A160" s="9">
        <f>IFERROR(__xludf.DUMMYFUNCTION("""COMPUTED_VALUE"""),46104.0)</f>
        <v>46104</v>
      </c>
      <c r="B160" s="7" t="str">
        <f>IFERROR(__xludf.DUMMYFUNCTION("""COMPUTED_VALUE"""),"TRSF E-BANKING DB")</f>
        <v>TRSF E-BANKING DB</v>
      </c>
      <c r="C160" s="7" t="str">
        <f>IFERROR(__xludf.DUMMYFUNCTION("""COMPUTED_VALUE"""),"2303/FTFVA/WS95031 55569/PT PRIMA FAJ Kd. Darimen mlg - 40190 55569/PT PRIMA FAJ Kd. Darimen mlg - 40190")</f>
        <v>2303/FTFVA/WS95031 55569/PT PRIMA FAJ Kd. Darimen mlg - 40190 55569/PT PRIMA FAJ Kd. Darimen mlg - 40190</v>
      </c>
      <c r="D160" s="7">
        <f>IFERROR(__xludf.DUMMYFUNCTION("""COMPUTED_VALUE"""),5.89E7)</f>
        <v>58900000</v>
      </c>
      <c r="E160" s="7"/>
      <c r="F160" s="7" t="str">
        <f>IFERROR(__xludf.DUMMYFUNCTION("""COMPUTED_VALUE"""),"DB")</f>
        <v>DB</v>
      </c>
      <c r="G160" s="7">
        <f>IFERROR(__xludf.DUMMYFUNCTION("""COMPUTED_VALUE"""),4.6845057584000003E8)</f>
        <v>468450575.8</v>
      </c>
      <c r="H160" s="7"/>
      <c r="I160" s="7" t="str">
        <f>IFERROR(__xludf.DUMMYFUNCTION("""COMPUTED_VALUE"""),"PRODUKSI")</f>
        <v>PRODUKSI</v>
      </c>
    </row>
    <row r="161">
      <c r="A161" s="9">
        <f>IFERROR(__xludf.DUMMYFUNCTION("""COMPUTED_VALUE"""),46104.0)</f>
        <v>46104</v>
      </c>
      <c r="B161" s="7" t="str">
        <f>IFERROR(__xludf.DUMMYFUNCTION("""COMPUTED_VALUE"""),"TRSF E-BANKING DB")</f>
        <v>TRSF E-BANKING DB</v>
      </c>
      <c r="C161" s="7" t="str">
        <f>IFERROR(__xludf.DUMMYFUNCTION("""COMPUTED_VALUE"""),"2303/FTSCY/WS95271 56680000.00 Fri Mar 20 2026 14:00:00 GMT+0700 (Western Indonesia Time) ANUGERAH KARTIKA A 56680000.00 Fri Mar 20 2026 14:00:00 GMT+0700 (Western Indonesia Time) ANUGERAH KARTIKA A")</f>
        <v>2303/FTSCY/WS95271 56680000.00 Fri Mar 20 2026 14:00:00 GMT+0700 (Western Indonesia Time) ANUGERAH KARTIKA A 56680000.00 Fri Mar 20 2026 14:00:00 GMT+0700 (Western Indonesia Time) ANUGERAH KARTIKA A</v>
      </c>
      <c r="D161" s="7">
        <f>IFERROR(__xludf.DUMMYFUNCTION("""COMPUTED_VALUE"""),5.668E7)</f>
        <v>56680000</v>
      </c>
      <c r="E161" s="7"/>
      <c r="F161" s="7" t="str">
        <f>IFERROR(__xludf.DUMMYFUNCTION("""COMPUTED_VALUE"""),"DB")</f>
        <v>DB</v>
      </c>
      <c r="G161" s="7">
        <f>IFERROR(__xludf.DUMMYFUNCTION("""COMPUTED_VALUE"""),4.1177057584000003E8)</f>
        <v>411770575.8</v>
      </c>
      <c r="H161" s="7"/>
      <c r="I161" s="7" t="str">
        <f>IFERROR(__xludf.DUMMYFUNCTION("""COMPUTED_VALUE"""),"PRODUKSI")</f>
        <v>PRODUKSI</v>
      </c>
    </row>
    <row r="162">
      <c r="A162" s="9">
        <f>IFERROR(__xludf.DUMMYFUNCTION("""COMPUTED_VALUE"""),46104.0)</f>
        <v>46104</v>
      </c>
      <c r="B162" s="7" t="str">
        <f>IFERROR(__xludf.DUMMYFUNCTION("""COMPUTED_VALUE"""),"TRSF E-BANKING DB")</f>
        <v>TRSF E-BANKING DB</v>
      </c>
      <c r="C162" s="7" t="str">
        <f>IFERROR(__xludf.DUMMYFUNCTION("""COMPUTED_VALUE"""),"2303/FTSCY/WS95271 86049600.00 Fri Mar 20 2026 14:00:00 GMT+0700 (Western Indonesia Time) BROILER MAKMUR TAN 86049600.00 Fri Mar 20 2026 14:00:00 GMT+0700 (Western Indonesia Time) BROILER MAKMUR TAN")</f>
        <v>2303/FTSCY/WS95271 86049600.00 Fri Mar 20 2026 14:00:00 GMT+0700 (Western Indonesia Time) BROILER MAKMUR TAN 86049600.00 Fri Mar 20 2026 14:00:00 GMT+0700 (Western Indonesia Time) BROILER MAKMUR TAN</v>
      </c>
      <c r="D162" s="7">
        <f>IFERROR(__xludf.DUMMYFUNCTION("""COMPUTED_VALUE"""),8.60496E7)</f>
        <v>86049600</v>
      </c>
      <c r="E162" s="7"/>
      <c r="F162" s="7" t="str">
        <f>IFERROR(__xludf.DUMMYFUNCTION("""COMPUTED_VALUE"""),"DB")</f>
        <v>DB</v>
      </c>
      <c r="G162" s="7">
        <f>IFERROR(__xludf.DUMMYFUNCTION("""COMPUTED_VALUE"""),3.2572097584000003E8)</f>
        <v>325720975.8</v>
      </c>
      <c r="H162" s="7"/>
      <c r="I162" s="7" t="str">
        <f>IFERROR(__xludf.DUMMYFUNCTION("""COMPUTED_VALUE"""),"PRODUKSI")</f>
        <v>PRODUKSI</v>
      </c>
    </row>
    <row r="163">
      <c r="A163" s="9">
        <f>IFERROR(__xludf.DUMMYFUNCTION("""COMPUTED_VALUE"""),46104.0)</f>
        <v>46104</v>
      </c>
      <c r="B163" s="7" t="str">
        <f>IFERROR(__xludf.DUMMYFUNCTION("""COMPUTED_VALUE"""),"TRSF E-BANKING DB")</f>
        <v>TRSF E-BANKING DB</v>
      </c>
      <c r="C163" s="7" t="str">
        <f>IFERROR(__xludf.DUMMYFUNCTION("""COMPUTED_VALUE"""),"2303/FTSCY/WS95011 249062400.00 Fri Mar 20 2026 14:00:00 GMT+0700 (Western Indonesia Time) ANDALAN YASA MITRA 249062400.00 Fri Mar 20 2026 14:00:00 GMT+0700 (Western Indonesia Time) ANDALAN YASA MITRA")</f>
        <v>2303/FTSCY/WS95011 249062400.00 Fri Mar 20 2026 14:00:00 GMT+0700 (Western Indonesia Time) ANDALAN YASA MITRA 249062400.00 Fri Mar 20 2026 14:00:00 GMT+0700 (Western Indonesia Time) ANDALAN YASA MITRA</v>
      </c>
      <c r="D163" s="7">
        <f>IFERROR(__xludf.DUMMYFUNCTION("""COMPUTED_VALUE"""),2.490624E8)</f>
        <v>249062400</v>
      </c>
      <c r="E163" s="7"/>
      <c r="F163" s="7" t="str">
        <f>IFERROR(__xludf.DUMMYFUNCTION("""COMPUTED_VALUE"""),"DB")</f>
        <v>DB</v>
      </c>
      <c r="G163" s="7">
        <f>IFERROR(__xludf.DUMMYFUNCTION("""COMPUTED_VALUE"""),7.665857584000003E7)</f>
        <v>76658575.84</v>
      </c>
      <c r="H163" s="7"/>
      <c r="I163" s="7" t="str">
        <f>IFERROR(__xludf.DUMMYFUNCTION("""COMPUTED_VALUE"""),"PRODUKSI")</f>
        <v>PRODUKSI</v>
      </c>
    </row>
    <row r="164">
      <c r="A164" s="9">
        <f>IFERROR(__xludf.DUMMYFUNCTION("""COMPUTED_VALUE"""),46104.0)</f>
        <v>46104</v>
      </c>
      <c r="B164" s="7" t="str">
        <f>IFERROR(__xludf.DUMMYFUNCTION("""COMPUTED_VALUE"""),"TRSF E-BANKING DB")</f>
        <v>TRSF E-BANKING DB</v>
      </c>
      <c r="C164" s="7" t="str">
        <f>IFERROR(__xludf.DUMMYFUNCTION("""COMPUTED_VALUE"""),"2303/FTSCY/WS95011 48307050.00 Fri Mar 20 2026 14:00:00 GMT+0700 (Western Indonesia Time) BRANTAS ABADI SENT 48307050.00 Fri Mar 20 2026 14:00:00 GMT+0700 (Western Indonesia Time) BRANTAS ABADI SENT")</f>
        <v>2303/FTSCY/WS95011 48307050.00 Fri Mar 20 2026 14:00:00 GMT+0700 (Western Indonesia Time) BRANTAS ABADI SENT 48307050.00 Fri Mar 20 2026 14:00:00 GMT+0700 (Western Indonesia Time) BRANTAS ABADI SENT</v>
      </c>
      <c r="D164" s="7">
        <f>IFERROR(__xludf.DUMMYFUNCTION("""COMPUTED_VALUE"""),4.830705E7)</f>
        <v>48307050</v>
      </c>
      <c r="E164" s="7"/>
      <c r="F164" s="7" t="str">
        <f>IFERROR(__xludf.DUMMYFUNCTION("""COMPUTED_VALUE"""),"DB")</f>
        <v>DB</v>
      </c>
      <c r="G164" s="7">
        <f>IFERROR(__xludf.DUMMYFUNCTION("""COMPUTED_VALUE"""),2.8351525840000033E7)</f>
        <v>28351525.84</v>
      </c>
      <c r="H164" s="7"/>
      <c r="I164" s="7" t="str">
        <f>IFERROR(__xludf.DUMMYFUNCTION("""COMPUTED_VALUE"""),"PRODUKSI")</f>
        <v>PRODUKSI</v>
      </c>
    </row>
    <row r="165">
      <c r="A165" s="9">
        <f>IFERROR(__xludf.DUMMYFUNCTION("""COMPUTED_VALUE"""),46104.0)</f>
        <v>46104</v>
      </c>
      <c r="B165" s="7" t="str">
        <f>IFERROR(__xludf.DUMMYFUNCTION("""COMPUTED_VALUE"""),"TRSF E-BANKING DB")</f>
        <v>TRSF E-BANKING DB</v>
      </c>
      <c r="C165" s="7" t="str">
        <f>IFERROR(__xludf.DUMMYFUNCTION("""COMPUTED_VALUE"""),"2303/FTSCY/WS95031 16000000.00 Fri Mar 20 2026 14:00:00 GMT+0700 (Western Indonesia Time) ANDALAN YASA MITRA 16000000.00 Fri Mar 20 2026 14:00:00 GMT+0700 (Western Indonesia Time) ANDALAN YASA MITRA")</f>
        <v>2303/FTSCY/WS95031 16000000.00 Fri Mar 20 2026 14:00:00 GMT+0700 (Western Indonesia Time) ANDALAN YASA MITRA 16000000.00 Fri Mar 20 2026 14:00:00 GMT+0700 (Western Indonesia Time) ANDALAN YASA MITRA</v>
      </c>
      <c r="D165" s="7">
        <f>IFERROR(__xludf.DUMMYFUNCTION("""COMPUTED_VALUE"""),1.6E7)</f>
        <v>16000000</v>
      </c>
      <c r="E165" s="7"/>
      <c r="F165" s="7" t="str">
        <f>IFERROR(__xludf.DUMMYFUNCTION("""COMPUTED_VALUE"""),"DB")</f>
        <v>DB</v>
      </c>
      <c r="G165" s="7">
        <f>IFERROR(__xludf.DUMMYFUNCTION("""COMPUTED_VALUE"""),1.2331525840000033E7)</f>
        <v>12331525.84</v>
      </c>
      <c r="H165" s="7"/>
      <c r="I165" s="7" t="str">
        <f>IFERROR(__xludf.DUMMYFUNCTION("""COMPUTED_VALUE"""),"PRODUKSI")</f>
        <v>PRODUKSI</v>
      </c>
    </row>
    <row r="166">
      <c r="A166" s="9">
        <f>IFERROR(__xludf.DUMMYFUNCTION("""COMPUTED_VALUE"""),46105.0)</f>
        <v>46105</v>
      </c>
      <c r="B166" s="7" t="str">
        <f>IFERROR(__xludf.DUMMYFUNCTION("""COMPUTED_VALUE"""),"TRSF E-BANKING DB")</f>
        <v>TRSF E-BANKING DB</v>
      </c>
      <c r="C166" s="7" t="str">
        <f>IFERROR(__xludf.DUMMYFUNCTION("""COMPUTED_VALUE"""),"2403/FTSCY/WS95031 44800000.00 Fri Mar 20 2026 14:00:00 GMT+0700 (Western Indonesia Time) SUPER UNGGAS JAYA 44800000.00 Fri Mar 20 2026 14:00:00 GMT+0700 (Western Indonesia Time) SUPER UNGGAS JAYA")</f>
        <v>2403/FTSCY/WS95031 44800000.00 Fri Mar 20 2026 14:00:00 GMT+0700 (Western Indonesia Time) SUPER UNGGAS JAYA 44800000.00 Fri Mar 20 2026 14:00:00 GMT+0700 (Western Indonesia Time) SUPER UNGGAS JAYA</v>
      </c>
      <c r="D166" s="7">
        <f>IFERROR(__xludf.DUMMYFUNCTION("""COMPUTED_VALUE"""),4.48E7)</f>
        <v>44800000</v>
      </c>
      <c r="E166" s="7"/>
      <c r="F166" s="7" t="str">
        <f>IFERROR(__xludf.DUMMYFUNCTION("""COMPUTED_VALUE"""),"DB")</f>
        <v>DB</v>
      </c>
      <c r="G166" s="7">
        <f>IFERROR(__xludf.DUMMYFUNCTION("""COMPUTED_VALUE"""),5.055003584000003E7)</f>
        <v>50550035.84</v>
      </c>
      <c r="H166" s="7">
        <f>IFERROR(__xludf.DUMMYFUNCTION("""COMPUTED_VALUE"""),5.055003584E7)</f>
        <v>50550035.84</v>
      </c>
      <c r="I166" s="7" t="str">
        <f>IFERROR(__xludf.DUMMYFUNCTION("""COMPUTED_VALUE"""),"PRODUKSI")</f>
        <v>PRODUKSI</v>
      </c>
    </row>
    <row r="167">
      <c r="A167" s="9">
        <f>IFERROR(__xludf.DUMMYFUNCTION("""COMPUTED_VALUE"""),46105.0)</f>
        <v>46105</v>
      </c>
      <c r="B167" s="7" t="str">
        <f>IFERROR(__xludf.DUMMYFUNCTION("""COMPUTED_VALUE"""),"TRSF E-BANKING DB")</f>
        <v>TRSF E-BANKING DB</v>
      </c>
      <c r="C167" s="7" t="str">
        <f>IFERROR(__xludf.DUMMYFUNCTION("""COMPUTED_VALUE"""),"2403/FTSCY/WS95271 61131200.00 Sun Mar 22 2026 14:00:00 GMT+0700 (Western Indonesia Time) LAJU SATWA WISESA 61131200.00 Sun Mar 22 2026 14:00:00 GMT+0700 (Western Indonesia Time) LAJU SATWA WISESA")</f>
        <v>2403/FTSCY/WS95271 61131200.00 Sun Mar 22 2026 14:00:00 GMT+0700 (Western Indonesia Time) LAJU SATWA WISESA 61131200.00 Sun Mar 22 2026 14:00:00 GMT+0700 (Western Indonesia Time) LAJU SATWA WISESA</v>
      </c>
      <c r="D167" s="7">
        <f>IFERROR(__xludf.DUMMYFUNCTION("""COMPUTED_VALUE"""),6.11312E7)</f>
        <v>61131200</v>
      </c>
      <c r="E167" s="7"/>
      <c r="F167" s="7" t="str">
        <f>IFERROR(__xludf.DUMMYFUNCTION("""COMPUTED_VALUE"""),"DB")</f>
        <v>DB</v>
      </c>
      <c r="G167" s="7">
        <f>IFERROR(__xludf.DUMMYFUNCTION("""COMPUTED_VALUE"""),2.6561181084000003E8)</f>
        <v>265611810.8</v>
      </c>
      <c r="H167" s="7"/>
      <c r="I167" s="7" t="str">
        <f>IFERROR(__xludf.DUMMYFUNCTION("""COMPUTED_VALUE"""),"PRODUKSI")</f>
        <v>PRODUKSI</v>
      </c>
    </row>
    <row r="168">
      <c r="A168" s="9">
        <f>IFERROR(__xludf.DUMMYFUNCTION("""COMPUTED_VALUE"""),46105.0)</f>
        <v>46105</v>
      </c>
      <c r="B168" s="7" t="str">
        <f>IFERROR(__xludf.DUMMYFUNCTION("""COMPUTED_VALUE"""),"TRSF E-BANKING DB")</f>
        <v>TRSF E-BANKING DB</v>
      </c>
      <c r="C168" s="7" t="str">
        <f>IFERROR(__xludf.DUMMYFUNCTION("""COMPUTED_VALUE"""),"2403/FTSCY/WS95271 94373600.00 Sun Mar 22 2026 14:00:00 GMT+0700 (Western Indonesia Time) BINTANG TAMA SANTO 94373600.00 Sun Mar 22 2026 14:00:00 GMT+0700 (Western Indonesia Time) BINTANG TAMA SANTO")</f>
        <v>2403/FTSCY/WS95271 94373600.00 Sun Mar 22 2026 14:00:00 GMT+0700 (Western Indonesia Time) BINTANG TAMA SANTO 94373600.00 Sun Mar 22 2026 14:00:00 GMT+0700 (Western Indonesia Time) BINTANG TAMA SANTO</v>
      </c>
      <c r="D168" s="7">
        <f>IFERROR(__xludf.DUMMYFUNCTION("""COMPUTED_VALUE"""),9.43736E7)</f>
        <v>94373600</v>
      </c>
      <c r="E168" s="7"/>
      <c r="F168" s="7" t="str">
        <f>IFERROR(__xludf.DUMMYFUNCTION("""COMPUTED_VALUE"""),"DB")</f>
        <v>DB</v>
      </c>
      <c r="G168" s="7">
        <f>IFERROR(__xludf.DUMMYFUNCTION("""COMPUTED_VALUE"""),1.7123821084000003E8)</f>
        <v>171238210.8</v>
      </c>
      <c r="H168" s="7"/>
      <c r="I168" s="7" t="str">
        <f>IFERROR(__xludf.DUMMYFUNCTION("""COMPUTED_VALUE"""),"PRODUKSI")</f>
        <v>PRODUKSI</v>
      </c>
    </row>
    <row r="169">
      <c r="A169" s="9">
        <f>IFERROR(__xludf.DUMMYFUNCTION("""COMPUTED_VALUE"""),46105.0)</f>
        <v>46105</v>
      </c>
      <c r="B169" s="7" t="str">
        <f>IFERROR(__xludf.DUMMYFUNCTION("""COMPUTED_VALUE"""),"TRSF E-BANKING DB")</f>
        <v>TRSF E-BANKING DB</v>
      </c>
      <c r="C169" s="7" t="str">
        <f>IFERROR(__xludf.DUMMYFUNCTION("""COMPUTED_VALUE"""),"2403/FTSCY/WS95271 44405900.00 Sun Mar 22 2026 14:00:00 GMT+0700 (Western Indonesia Time) BINTANG TAMA SANTO 44405900.00 Sun Mar 22 2026 14:00:00 GMT+0700 (Western Indonesia Time) BINTANG TAMA SANTO")</f>
        <v>2403/FTSCY/WS95271 44405900.00 Sun Mar 22 2026 14:00:00 GMT+0700 (Western Indonesia Time) BINTANG TAMA SANTO 44405900.00 Sun Mar 22 2026 14:00:00 GMT+0700 (Western Indonesia Time) BINTANG TAMA SANTO</v>
      </c>
      <c r="D169" s="7">
        <f>IFERROR(__xludf.DUMMYFUNCTION("""COMPUTED_VALUE"""),4.44059E7)</f>
        <v>44405900</v>
      </c>
      <c r="E169" s="7"/>
      <c r="F169" s="7" t="str">
        <f>IFERROR(__xludf.DUMMYFUNCTION("""COMPUTED_VALUE"""),"DB")</f>
        <v>DB</v>
      </c>
      <c r="G169" s="7">
        <f>IFERROR(__xludf.DUMMYFUNCTION("""COMPUTED_VALUE"""),1.2683231084000003E8)</f>
        <v>126832310.8</v>
      </c>
      <c r="H169" s="7"/>
      <c r="I169" s="7" t="str">
        <f>IFERROR(__xludf.DUMMYFUNCTION("""COMPUTED_VALUE"""),"PRODUKSI")</f>
        <v>PRODUKSI</v>
      </c>
    </row>
    <row r="170">
      <c r="A170" s="9">
        <f>IFERROR(__xludf.DUMMYFUNCTION("""COMPUTED_VALUE"""),46105.0)</f>
        <v>46105</v>
      </c>
      <c r="B170" s="7" t="str">
        <f>IFERROR(__xludf.DUMMYFUNCTION("""COMPUTED_VALUE"""),"TRSF E-BANKING DB")</f>
        <v>TRSF E-BANKING DB</v>
      </c>
      <c r="C170" s="7" t="str">
        <f>IFERROR(__xludf.DUMMYFUNCTION("""COMPUTED_VALUE"""),"2403/FTSCY/WS95271 56000000.00 Sat Mar 21 2026 14:00:00 GMT+0700 (Western Indonesia Time) ANDALAN YASA MITRA 56000000.00 Sat Mar 21 2026 14:00:00 GMT+0700 (Western Indonesia Time) ANDALAN YASA MITRA")</f>
        <v>2403/FTSCY/WS95271 56000000.00 Sat Mar 21 2026 14:00:00 GMT+0700 (Western Indonesia Time) ANDALAN YASA MITRA 56000000.00 Sat Mar 21 2026 14:00:00 GMT+0700 (Western Indonesia Time) ANDALAN YASA MITRA</v>
      </c>
      <c r="D170" s="7">
        <f>IFERROR(__xludf.DUMMYFUNCTION("""COMPUTED_VALUE"""),5.6E7)</f>
        <v>56000000</v>
      </c>
      <c r="E170" s="7"/>
      <c r="F170" s="7" t="str">
        <f>IFERROR(__xludf.DUMMYFUNCTION("""COMPUTED_VALUE"""),"DB")</f>
        <v>DB</v>
      </c>
      <c r="G170" s="7">
        <f>IFERROR(__xludf.DUMMYFUNCTION("""COMPUTED_VALUE"""),7.083231084000003E7)</f>
        <v>70832310.84</v>
      </c>
      <c r="H170" s="7"/>
      <c r="I170" s="7" t="str">
        <f>IFERROR(__xludf.DUMMYFUNCTION("""COMPUTED_VALUE"""),"PRODUKSI")</f>
        <v>PRODUKSI</v>
      </c>
    </row>
    <row r="171">
      <c r="A171" s="9">
        <f>IFERROR(__xludf.DUMMYFUNCTION("""COMPUTED_VALUE"""),46105.0)</f>
        <v>46105</v>
      </c>
      <c r="B171" s="7" t="str">
        <f>IFERROR(__xludf.DUMMYFUNCTION("""COMPUTED_VALUE"""),"TRSF E-BANKING DB")</f>
        <v>TRSF E-BANKING DB</v>
      </c>
      <c r="C171" s="7" t="str">
        <f>IFERROR(__xludf.DUMMYFUNCTION("""COMPUTED_VALUE"""),"2403/FTSCY/WS95271 38307050.00 Fri Mar 20 2026 14:00:00 GMT+0700 (Western Indonesia Time) BROILER MAKMUR TAN 38307050.00 Fri Mar 20 2026 14:00:00 GMT+0700 (Western Indonesia Time) BROILER MAKMUR TAN")</f>
        <v>2403/FTSCY/WS95271 38307050.00 Fri Mar 20 2026 14:00:00 GMT+0700 (Western Indonesia Time) BROILER MAKMUR TAN 38307050.00 Fri Mar 20 2026 14:00:00 GMT+0700 (Western Indonesia Time) BROILER MAKMUR TAN</v>
      </c>
      <c r="D171" s="7">
        <f>IFERROR(__xludf.DUMMYFUNCTION("""COMPUTED_VALUE"""),3.830705E7)</f>
        <v>38307050</v>
      </c>
      <c r="E171" s="7"/>
      <c r="F171" s="7" t="str">
        <f>IFERROR(__xludf.DUMMYFUNCTION("""COMPUTED_VALUE"""),"DB")</f>
        <v>DB</v>
      </c>
      <c r="G171" s="7">
        <f>IFERROR(__xludf.DUMMYFUNCTION("""COMPUTED_VALUE"""),3.2525260840000033E7)</f>
        <v>32525260.84</v>
      </c>
      <c r="H171" s="7"/>
      <c r="I171" s="7" t="str">
        <f>IFERROR(__xludf.DUMMYFUNCTION("""COMPUTED_VALUE"""),"PRODUKSI")</f>
        <v>PRODUKSI</v>
      </c>
    </row>
    <row r="172">
      <c r="A172" s="9">
        <f>IFERROR(__xludf.DUMMYFUNCTION("""COMPUTED_VALUE"""),46105.0)</f>
        <v>46105</v>
      </c>
      <c r="B172" s="7" t="str">
        <f>IFERROR(__xludf.DUMMYFUNCTION("""COMPUTED_VALUE"""),"TRSF E-BANKING DB")</f>
        <v>TRSF E-BANKING DB</v>
      </c>
      <c r="C172" s="7" t="str">
        <f>IFERROR(__xludf.DUMMYFUNCTION("""COMPUTED_VALUE"""),"2403/FTSCY/WS95031 10000000.00 Fri Mar 20 2026 14:00:00 GMT+0700 (Western Indonesia Time) BROILER MAKMUR TAN 10000000.00 Fri Mar 20 2026 14:00:00 GMT+0700 (Western Indonesia Time) BROILER MAKMUR TAN")</f>
        <v>2403/FTSCY/WS95031 10000000.00 Fri Mar 20 2026 14:00:00 GMT+0700 (Western Indonesia Time) BROILER MAKMUR TAN 10000000.00 Fri Mar 20 2026 14:00:00 GMT+0700 (Western Indonesia Time) BROILER MAKMUR TAN</v>
      </c>
      <c r="D172" s="7">
        <f>IFERROR(__xludf.DUMMYFUNCTION("""COMPUTED_VALUE"""),1.0E7)</f>
        <v>10000000</v>
      </c>
      <c r="E172" s="7"/>
      <c r="F172" s="7" t="str">
        <f>IFERROR(__xludf.DUMMYFUNCTION("""COMPUTED_VALUE"""),"DB")</f>
        <v>DB</v>
      </c>
      <c r="G172" s="7">
        <f>IFERROR(__xludf.DUMMYFUNCTION("""COMPUTED_VALUE"""),2.2525260840000033E7)</f>
        <v>22525260.84</v>
      </c>
      <c r="H172" s="7"/>
      <c r="I172" s="7" t="str">
        <f>IFERROR(__xludf.DUMMYFUNCTION("""COMPUTED_VALUE"""),"PRODUKSI")</f>
        <v>PRODUKSI</v>
      </c>
    </row>
    <row r="173">
      <c r="A173" s="9">
        <f>IFERROR(__xludf.DUMMYFUNCTION("""COMPUTED_VALUE"""),46105.0)</f>
        <v>46105</v>
      </c>
      <c r="B173" s="7" t="str">
        <f>IFERROR(__xludf.DUMMYFUNCTION("""COMPUTED_VALUE"""),"TRSF E-BANKING DB")</f>
        <v>TRSF E-BANKING DB</v>
      </c>
      <c r="C173" s="7" t="str">
        <f>IFERROR(__xludf.DUMMYFUNCTION("""COMPUTED_VALUE"""),"2403/FTSCY/WS95011 243565080.00 Fri Mar 20 2026 14:00:00 GMT+0700 (Western Indonesia Time) ANDALAN YASA MITRA 243565080.00 Fri Mar 20 2026 14:00:00 GMT+0700 (Western Indonesia Time) ANDALAN YASA MITRA")</f>
        <v>2403/FTSCY/WS95011 243565080.00 Fri Mar 20 2026 14:00:00 GMT+0700 (Western Indonesia Time) ANDALAN YASA MITRA 243565080.00 Fri Mar 20 2026 14:00:00 GMT+0700 (Western Indonesia Time) ANDALAN YASA MITRA</v>
      </c>
      <c r="D173" s="7">
        <f>IFERROR(__xludf.DUMMYFUNCTION("""COMPUTED_VALUE"""),2.4356508E8)</f>
        <v>243565080</v>
      </c>
      <c r="E173" s="7"/>
      <c r="F173" s="7" t="str">
        <f>IFERROR(__xludf.DUMMYFUNCTION("""COMPUTED_VALUE"""),"DB")</f>
        <v>DB</v>
      </c>
      <c r="G173" s="7">
        <f>IFERROR(__xludf.DUMMYFUNCTION("""COMPUTED_VALUE"""),8.967528084000003E7)</f>
        <v>89675280.84</v>
      </c>
      <c r="H173" s="7"/>
      <c r="I173" s="7" t="str">
        <f>IFERROR(__xludf.DUMMYFUNCTION("""COMPUTED_VALUE"""),"PRODUKSI")</f>
        <v>PRODUKSI</v>
      </c>
    </row>
    <row r="174">
      <c r="A174" s="9">
        <f>IFERROR(__xludf.DUMMYFUNCTION("""COMPUTED_VALUE"""),46105.0)</f>
        <v>46105</v>
      </c>
      <c r="B174" s="7" t="str">
        <f>IFERROR(__xludf.DUMMYFUNCTION("""COMPUTED_VALUE"""),"TRSF E-BANKING DB")</f>
        <v>TRSF E-BANKING DB</v>
      </c>
      <c r="C174" s="7" t="str">
        <f>IFERROR(__xludf.DUMMYFUNCTION("""COMPUTED_VALUE"""),"2403/FTFVA/WS95031 55569/PT PRIMA FAJ kd sodik proboling go 40190 55569/PT PRIMA FAJ kd sodik proboling go 40190")</f>
        <v>2403/FTFVA/WS95031 55569/PT PRIMA FAJ kd sodik proboling go 40190 55569/PT PRIMA FAJ kd sodik proboling go 40190</v>
      </c>
      <c r="D174" s="7">
        <f>IFERROR(__xludf.DUMMYFUNCTION("""COMPUTED_VALUE"""),8.9E7)</f>
        <v>89000000</v>
      </c>
      <c r="E174" s="7"/>
      <c r="F174" s="7" t="str">
        <f>IFERROR(__xludf.DUMMYFUNCTION("""COMPUTED_VALUE"""),"DB")</f>
        <v>DB</v>
      </c>
      <c r="G174" s="7">
        <f>IFERROR(__xludf.DUMMYFUNCTION("""COMPUTED_VALUE"""),675280.8400000334)</f>
        <v>675280.84</v>
      </c>
      <c r="H174" s="7"/>
      <c r="I174" s="7" t="str">
        <f>IFERROR(__xludf.DUMMYFUNCTION("""COMPUTED_VALUE"""),"PRODUKSI")</f>
        <v>PRODUKSI</v>
      </c>
    </row>
    <row r="175">
      <c r="A175" s="9">
        <f>IFERROR(__xludf.DUMMYFUNCTION("""COMPUTED_VALUE"""),46105.0)</f>
        <v>46105</v>
      </c>
      <c r="B175" s="7" t="str">
        <f>IFERROR(__xludf.DUMMYFUNCTION("""COMPUTED_VALUE"""),"TRSF E-BANKING DB")</f>
        <v>TRSF E-BANKING DB</v>
      </c>
      <c r="C175" s="7" t="str">
        <f>IFERROR(__xludf.DUMMYFUNCTION("""COMPUTED_VALUE"""),"2403/FTFVA/WS95031 55569/PT PRIMA FAJ 6.7 ton - 40190 55569/PT PRIMA FAJ 6.7 ton - 40190")</f>
        <v>2403/FTFVA/WS95031 55569/PT PRIMA FAJ 6.7 ton - 40190 55569/PT PRIMA FAJ 6.7 ton - 40190</v>
      </c>
      <c r="D175" s="7">
        <f>IFERROR(__xludf.DUMMYFUNCTION("""COMPUTED_VALUE"""),1.485E7)</f>
        <v>14850000</v>
      </c>
      <c r="E175" s="7"/>
      <c r="F175" s="7" t="str">
        <f>IFERROR(__xludf.DUMMYFUNCTION("""COMPUTED_VALUE"""),"DB")</f>
        <v>DB</v>
      </c>
      <c r="G175" s="7">
        <f>IFERROR(__xludf.DUMMYFUNCTION("""COMPUTED_VALUE"""),825280.8400000334)</f>
        <v>825280.84</v>
      </c>
      <c r="H175" s="7">
        <f>IFERROR(__xludf.DUMMYFUNCTION("""COMPUTED_VALUE"""),825280.84)</f>
        <v>825280.84</v>
      </c>
      <c r="I175" s="7" t="str">
        <f>IFERROR(__xludf.DUMMYFUNCTION("""COMPUTED_VALUE"""),"PRODUKSI")</f>
        <v>PRODUKSI</v>
      </c>
    </row>
    <row r="176">
      <c r="A176" s="9">
        <f>IFERROR(__xludf.DUMMYFUNCTION("""COMPUTED_VALUE"""),46106.0)</f>
        <v>46106</v>
      </c>
      <c r="B176" s="7" t="str">
        <f>IFERROR(__xludf.DUMMYFUNCTION("""COMPUTED_VALUE"""),"TRSF E-BANKING DB")</f>
        <v>TRSF E-BANKING DB</v>
      </c>
      <c r="C176" s="7" t="str">
        <f>IFERROR(__xludf.DUMMYFUNCTION("""COMPUTED_VALUE"""),"2503/FTSCY/WS95031 30004830.00 Mon Mar 23 2026 14:00:00 GMT+0700 (Western Indonesia Time) BINTANG TAMA SANTO 30004830.00 Mon Mar 23 2026 14:00:00 GMT+0700 (Western Indonesia Time) BINTANG TAMA SANTO")</f>
        <v>2503/FTSCY/WS95031 30004830.00 Mon Mar 23 2026 14:00:00 GMT+0700 (Western Indonesia Time) BINTANG TAMA SANTO 30004830.00 Mon Mar 23 2026 14:00:00 GMT+0700 (Western Indonesia Time) BINTANG TAMA SANTO</v>
      </c>
      <c r="D176" s="7">
        <f>IFERROR(__xludf.DUMMYFUNCTION("""COMPUTED_VALUE"""),3.000483E7)</f>
        <v>30004830</v>
      </c>
      <c r="E176" s="7"/>
      <c r="F176" s="7" t="str">
        <f>IFERROR(__xludf.DUMMYFUNCTION("""COMPUTED_VALUE"""),"DB")</f>
        <v>DB</v>
      </c>
      <c r="G176" s="7">
        <f>IFERROR(__xludf.DUMMYFUNCTION("""COMPUTED_VALUE"""),3.9943134084000003E8)</f>
        <v>399431340.8</v>
      </c>
      <c r="H176" s="7"/>
      <c r="I176" s="7" t="str">
        <f>IFERROR(__xludf.DUMMYFUNCTION("""COMPUTED_VALUE"""),"PRODUKSI")</f>
        <v>PRODUKSI</v>
      </c>
    </row>
    <row r="177">
      <c r="A177" s="9">
        <f>IFERROR(__xludf.DUMMYFUNCTION("""COMPUTED_VALUE"""),46106.0)</f>
        <v>46106</v>
      </c>
      <c r="B177" s="7" t="str">
        <f>IFERROR(__xludf.DUMMYFUNCTION("""COMPUTED_VALUE"""),"TRSF E-BANKING DB")</f>
        <v>TRSF E-BANKING DB</v>
      </c>
      <c r="C177" s="7" t="str">
        <f>IFERROR(__xludf.DUMMYFUNCTION("""COMPUTED_VALUE"""),"2503/FTSCY/WS95031 46200000.00 Tue Mar 24 2026 14:00:00 GMT+0700 (Western Indonesia Time) ANUGERAH KARTIKA A 46200000.00 Tue Mar 24 2026 14:00:00 GMT+0700 (Western Indonesia Time) ANUGERAH KARTIKA A")</f>
        <v>2503/FTSCY/WS95031 46200000.00 Tue Mar 24 2026 14:00:00 GMT+0700 (Western Indonesia Time) ANUGERAH KARTIKA A 46200000.00 Tue Mar 24 2026 14:00:00 GMT+0700 (Western Indonesia Time) ANUGERAH KARTIKA A</v>
      </c>
      <c r="D177" s="7">
        <f>IFERROR(__xludf.DUMMYFUNCTION("""COMPUTED_VALUE"""),4.62E7)</f>
        <v>46200000</v>
      </c>
      <c r="E177" s="7"/>
      <c r="F177" s="7" t="str">
        <f>IFERROR(__xludf.DUMMYFUNCTION("""COMPUTED_VALUE"""),"DB")</f>
        <v>DB</v>
      </c>
      <c r="G177" s="7">
        <f>IFERROR(__xludf.DUMMYFUNCTION("""COMPUTED_VALUE"""),3.5323134084000003E8)</f>
        <v>353231340.8</v>
      </c>
      <c r="H177" s="7"/>
      <c r="I177" s="7" t="str">
        <f>IFERROR(__xludf.DUMMYFUNCTION("""COMPUTED_VALUE"""),"PRODUKSI")</f>
        <v>PRODUKSI</v>
      </c>
    </row>
    <row r="178">
      <c r="A178" s="9">
        <f>IFERROR(__xludf.DUMMYFUNCTION("""COMPUTED_VALUE"""),46106.0)</f>
        <v>46106</v>
      </c>
      <c r="B178" s="7" t="str">
        <f>IFERROR(__xludf.DUMMYFUNCTION("""COMPUTED_VALUE"""),"TRSF E-BANKING DB")</f>
        <v>TRSF E-BANKING DB</v>
      </c>
      <c r="C178" s="7" t="str">
        <f>IFERROR(__xludf.DUMMYFUNCTION("""COMPUTED_VALUE"""),"2503/FTSCY/WS95271 54250000.00 Mon Mar 23 2026 14:00:00 GMT+0700 (Western Indonesia Time) LAJU SATWA WISESA 54250000.00 Mon Mar 23 2026 14:00:00 GMT+0700 (Western Indonesia Time) LAJU SATWA WISESA")</f>
        <v>2503/FTSCY/WS95271 54250000.00 Mon Mar 23 2026 14:00:00 GMT+0700 (Western Indonesia Time) LAJU SATWA WISESA 54250000.00 Mon Mar 23 2026 14:00:00 GMT+0700 (Western Indonesia Time) LAJU SATWA WISESA</v>
      </c>
      <c r="D178" s="7">
        <f>IFERROR(__xludf.DUMMYFUNCTION("""COMPUTED_VALUE"""),5.425E7)</f>
        <v>54250000</v>
      </c>
      <c r="E178" s="7"/>
      <c r="F178" s="7" t="str">
        <f>IFERROR(__xludf.DUMMYFUNCTION("""COMPUTED_VALUE"""),"DB")</f>
        <v>DB</v>
      </c>
      <c r="G178" s="7">
        <f>IFERROR(__xludf.DUMMYFUNCTION("""COMPUTED_VALUE"""),2.9898134084000003E8)</f>
        <v>298981340.8</v>
      </c>
      <c r="H178" s="7">
        <f>IFERROR(__xludf.DUMMYFUNCTION("""COMPUTED_VALUE"""),2.9898134084E8)</f>
        <v>298981340.8</v>
      </c>
      <c r="I178" s="7" t="str">
        <f>IFERROR(__xludf.DUMMYFUNCTION("""COMPUTED_VALUE"""),"PRODUKSI")</f>
        <v>PRODUKSI</v>
      </c>
    </row>
    <row r="179">
      <c r="A179" s="9">
        <f>IFERROR(__xludf.DUMMYFUNCTION("""COMPUTED_VALUE"""),46106.0)</f>
        <v>46106</v>
      </c>
      <c r="B179" s="7" t="str">
        <f>IFERROR(__xludf.DUMMYFUNCTION("""COMPUTED_VALUE"""),"TRSF E-BANKING DB")</f>
        <v>TRSF E-BANKING DB</v>
      </c>
      <c r="C179" s="7" t="str">
        <f>IFERROR(__xludf.DUMMYFUNCTION("""COMPUTED_VALUE"""),"2503/FTSCY/WS95271 90836200.00 Sun Mar 22 2026 14:00:00 GMT+0700 (Western Indonesia Time) ANDALAN YASA MITRA 90836200.00 Sun Mar 22 2026 14:00:00 GMT+0700 (Western Indonesia Time) ANDALAN YASA MITRA")</f>
        <v>2503/FTSCY/WS95271 90836200.00 Sun Mar 22 2026 14:00:00 GMT+0700 (Western Indonesia Time) ANDALAN YASA MITRA 90836200.00 Sun Mar 22 2026 14:00:00 GMT+0700 (Western Indonesia Time) ANDALAN YASA MITRA</v>
      </c>
      <c r="D179" s="7">
        <f>IFERROR(__xludf.DUMMYFUNCTION("""COMPUTED_VALUE"""),9.08362E7)</f>
        <v>90836200</v>
      </c>
      <c r="E179" s="7"/>
      <c r="F179" s="7" t="str">
        <f>IFERROR(__xludf.DUMMYFUNCTION("""COMPUTED_VALUE"""),"DB")</f>
        <v>DB</v>
      </c>
      <c r="G179" s="7">
        <f>IFERROR(__xludf.DUMMYFUNCTION("""COMPUTED_VALUE"""),2.0814514084000003E8)</f>
        <v>208145140.8</v>
      </c>
      <c r="H179" s="7">
        <f>IFERROR(__xludf.DUMMYFUNCTION("""COMPUTED_VALUE"""),2.0814514084E8)</f>
        <v>208145140.8</v>
      </c>
      <c r="I179" s="7" t="str">
        <f>IFERROR(__xludf.DUMMYFUNCTION("""COMPUTED_VALUE"""),"PRODUKSI")</f>
        <v>PRODUKSI</v>
      </c>
    </row>
    <row r="180">
      <c r="A180" s="9">
        <f>IFERROR(__xludf.DUMMYFUNCTION("""COMPUTED_VALUE"""),46106.0)</f>
        <v>46106</v>
      </c>
      <c r="B180" s="7" t="str">
        <f>IFERROR(__xludf.DUMMYFUNCTION("""COMPUTED_VALUE"""),"TRSF E-BANKING DB")</f>
        <v>TRSF E-BANKING DB</v>
      </c>
      <c r="C180" s="7" t="str">
        <f>IFERROR(__xludf.DUMMYFUNCTION("""COMPUTED_VALUE"""),"2503/FTSCY/WS95271 94748000.00 Sun Mar 22 2026 14:00:00 GMT+0700 (Western Indonesia Time) BROILER MAKMUR TAN 94748000.00 Sun Mar 22 2026 14:00:00 GMT+0700 (Western Indonesia Time) BROILER MAKMUR TAN")</f>
        <v>2503/FTSCY/WS95271 94748000.00 Sun Mar 22 2026 14:00:00 GMT+0700 (Western Indonesia Time) BROILER MAKMUR TAN 94748000.00 Sun Mar 22 2026 14:00:00 GMT+0700 (Western Indonesia Time) BROILER MAKMUR TAN</v>
      </c>
      <c r="D180" s="7">
        <f>IFERROR(__xludf.DUMMYFUNCTION("""COMPUTED_VALUE"""),9.4748E7)</f>
        <v>94748000</v>
      </c>
      <c r="E180" s="7"/>
      <c r="F180" s="7" t="str">
        <f>IFERROR(__xludf.DUMMYFUNCTION("""COMPUTED_VALUE"""),"DB")</f>
        <v>DB</v>
      </c>
      <c r="G180" s="7">
        <f>IFERROR(__xludf.DUMMYFUNCTION("""COMPUTED_VALUE"""),1.1339714084000003E8)</f>
        <v>113397140.8</v>
      </c>
      <c r="H180" s="7"/>
      <c r="I180" s="7" t="str">
        <f>IFERROR(__xludf.DUMMYFUNCTION("""COMPUTED_VALUE"""),"PRODUKSI")</f>
        <v>PRODUKSI</v>
      </c>
    </row>
    <row r="181">
      <c r="A181" s="9">
        <f>IFERROR(__xludf.DUMMYFUNCTION("""COMPUTED_VALUE"""),46106.0)</f>
        <v>46106</v>
      </c>
      <c r="B181" s="7" t="str">
        <f>IFERROR(__xludf.DUMMYFUNCTION("""COMPUTED_VALUE"""),"TRSF E-BANKING DB")</f>
        <v>TRSF E-BANKING DB</v>
      </c>
      <c r="C181" s="7" t="str">
        <f>IFERROR(__xludf.DUMMYFUNCTION("""COMPUTED_VALUE"""),"2503/FTSCY/WS95271 59826400.00 Mon Mar 23 2026 14:00:00 GMT+0700 (Western Indonesia Time) ANDALAN YASA MITRA 59826400.00 Mon Mar 23 2026 14:00:00 GMT+0700 (Western Indonesia Time) ANDALAN YASA MITRA")</f>
        <v>2503/FTSCY/WS95271 59826400.00 Mon Mar 23 2026 14:00:00 GMT+0700 (Western Indonesia Time) ANDALAN YASA MITRA 59826400.00 Mon Mar 23 2026 14:00:00 GMT+0700 (Western Indonesia Time) ANDALAN YASA MITRA</v>
      </c>
      <c r="D181" s="7">
        <f>IFERROR(__xludf.DUMMYFUNCTION("""COMPUTED_VALUE"""),5.98264E7)</f>
        <v>59826400</v>
      </c>
      <c r="E181" s="7"/>
      <c r="F181" s="7" t="str">
        <f>IFERROR(__xludf.DUMMYFUNCTION("""COMPUTED_VALUE"""),"DB")</f>
        <v>DB</v>
      </c>
      <c r="G181" s="7">
        <f>IFERROR(__xludf.DUMMYFUNCTION("""COMPUTED_VALUE"""),5.357074084000003E7)</f>
        <v>53570740.84</v>
      </c>
      <c r="H181" s="7"/>
      <c r="I181" s="7" t="str">
        <f>IFERROR(__xludf.DUMMYFUNCTION("""COMPUTED_VALUE"""),"PRODUKSI")</f>
        <v>PRODUKSI</v>
      </c>
    </row>
    <row r="182">
      <c r="A182" s="9">
        <f>IFERROR(__xludf.DUMMYFUNCTION("""COMPUTED_VALUE"""),46106.0)</f>
        <v>46106</v>
      </c>
      <c r="B182" s="7" t="str">
        <f>IFERROR(__xludf.DUMMYFUNCTION("""COMPUTED_VALUE"""),"TRSF E-BANKING DB")</f>
        <v>TRSF E-BANKING DB</v>
      </c>
      <c r="C182" s="7" t="str">
        <f>IFERROR(__xludf.DUMMYFUNCTION("""COMPUTED_VALUE"""),"2503/FTSCY/WS95011 93599280.00 Sun Mar 22 2026 14:00:00 GMT+0700 (Western Indonesia Time) SUPER UNGGAS JAYA 93599280.00 Sun Mar 22 2026 14:00:00 GMT+0700 (Western Indonesia Time) SUPER UNGGAS JAYA")</f>
        <v>2503/FTSCY/WS95011 93599280.00 Sun Mar 22 2026 14:00:00 GMT+0700 (Western Indonesia Time) SUPER UNGGAS JAYA 93599280.00 Sun Mar 22 2026 14:00:00 GMT+0700 (Western Indonesia Time) SUPER UNGGAS JAYA</v>
      </c>
      <c r="D182" s="7">
        <f>IFERROR(__xludf.DUMMYFUNCTION("""COMPUTED_VALUE"""),9.359928E7)</f>
        <v>93599280</v>
      </c>
      <c r="E182" s="7"/>
      <c r="F182" s="7" t="str">
        <f>IFERROR(__xludf.DUMMYFUNCTION("""COMPUTED_VALUE"""),"DB")</f>
        <v>DB</v>
      </c>
      <c r="G182" s="7">
        <f>IFERROR(__xludf.DUMMYFUNCTION("""COMPUTED_VALUE"""),1.1905146084000003E8)</f>
        <v>119051460.8</v>
      </c>
      <c r="H182" s="7"/>
      <c r="I182" s="7" t="str">
        <f>IFERROR(__xludf.DUMMYFUNCTION("""COMPUTED_VALUE"""),"PRODUKSI")</f>
        <v>PRODUKSI</v>
      </c>
    </row>
    <row r="183">
      <c r="A183" s="9">
        <f>IFERROR(__xludf.DUMMYFUNCTION("""COMPUTED_VALUE"""),46106.0)</f>
        <v>46106</v>
      </c>
      <c r="B183" s="7" t="str">
        <f>IFERROR(__xludf.DUMMYFUNCTION("""COMPUTED_VALUE"""),"TRSF E-BANKING DB")</f>
        <v>TRSF E-BANKING DB</v>
      </c>
      <c r="C183" s="7" t="str">
        <f>IFERROR(__xludf.DUMMYFUNCTION("""COMPUTED_VALUE"""),"2503/FTSCY/WS95031 1223520.00 NURHAYATI 1223520.00 NURHAYATI")</f>
        <v>2503/FTSCY/WS95031 1223520.00 NURHAYATI 1223520.00 NURHAYATI</v>
      </c>
      <c r="D183" s="7">
        <f>IFERROR(__xludf.DUMMYFUNCTION("""COMPUTED_VALUE"""),1223520.0)</f>
        <v>1223520</v>
      </c>
      <c r="E183" s="7"/>
      <c r="F183" s="7" t="str">
        <f>IFERROR(__xludf.DUMMYFUNCTION("""COMPUTED_VALUE"""),"DB")</f>
        <v>DB</v>
      </c>
      <c r="G183" s="7">
        <f>IFERROR(__xludf.DUMMYFUNCTION("""COMPUTED_VALUE"""),1.1782794084000003E8)</f>
        <v>117827940.8</v>
      </c>
      <c r="H183" s="7"/>
      <c r="I183" s="7" t="str">
        <f>IFERROR(__xludf.DUMMYFUNCTION("""COMPUTED_VALUE"""),"PRODUKSI")</f>
        <v>PRODUKSI</v>
      </c>
    </row>
    <row r="184">
      <c r="A184" s="9">
        <f>IFERROR(__xludf.DUMMYFUNCTION("""COMPUTED_VALUE"""),46106.0)</f>
        <v>46106</v>
      </c>
      <c r="B184" s="7" t="str">
        <f>IFERROR(__xludf.DUMMYFUNCTION("""COMPUTED_VALUE"""),"TRSF E-BANKING DB")</f>
        <v>TRSF E-BANKING DB</v>
      </c>
      <c r="C184" s="7" t="str">
        <f>IFERROR(__xludf.DUMMYFUNCTION("""COMPUTED_VALUE"""),"2503/FTSCY/WS95011 130169250.00 Sun Mar 22 2026 14:00:00 GMT+0700 (Western Indonesia Time) BROILER MAKMUR TAN 130169250.00 Sun Mar 22 2026 14:00:00 GMT+0700 (Western Indonesia Time) BROILER MAKMUR TAN")</f>
        <v>2503/FTSCY/WS95011 130169250.00 Sun Mar 22 2026 14:00:00 GMT+0700 (Western Indonesia Time) BROILER MAKMUR TAN 130169250.00 Sun Mar 22 2026 14:00:00 GMT+0700 (Western Indonesia Time) BROILER MAKMUR TAN</v>
      </c>
      <c r="D184" s="7">
        <f>IFERROR(__xludf.DUMMYFUNCTION("""COMPUTED_VALUE"""),1.3016925E8)</f>
        <v>130169250</v>
      </c>
      <c r="E184" s="7"/>
      <c r="F184" s="7" t="str">
        <f>IFERROR(__xludf.DUMMYFUNCTION("""COMPUTED_VALUE"""),"DB")</f>
        <v>DB</v>
      </c>
      <c r="G184" s="7">
        <f>IFERROR(__xludf.DUMMYFUNCTION("""COMPUTED_VALUE"""),8.080359084000003E7)</f>
        <v>80803590.84</v>
      </c>
      <c r="H184" s="7">
        <f>IFERROR(__xludf.DUMMYFUNCTION("""COMPUTED_VALUE"""),8.080359084E7)</f>
        <v>80803590.84</v>
      </c>
      <c r="I184" s="7" t="str">
        <f>IFERROR(__xludf.DUMMYFUNCTION("""COMPUTED_VALUE"""),"PRODUKSI")</f>
        <v>PRODUKSI</v>
      </c>
    </row>
    <row r="185">
      <c r="A185" s="9">
        <f>IFERROR(__xludf.DUMMYFUNCTION("""COMPUTED_VALUE"""),46107.0)</f>
        <v>46107</v>
      </c>
      <c r="B185" s="7" t="str">
        <f>IFERROR(__xludf.DUMMYFUNCTION("""COMPUTED_VALUE"""),"TRSF E-BANKING DB")</f>
        <v>TRSF E-BANKING DB</v>
      </c>
      <c r="C185" s="7" t="str">
        <f>IFERROR(__xludf.DUMMYFUNCTION("""COMPUTED_VALUE"""),"2603/FTSCY/WS95031 43400000.00 Mon Mar 23 2026 14:00:00 GMT+0700 (Western Indonesia Time) BINTANG TAMA SANTO 43400000.00 Mon Mar 23 2026 14:00:00 GMT+0700 (Western Indonesia Time) BINTANG TAMA SANTO")</f>
        <v>2603/FTSCY/WS95031 43400000.00 Mon Mar 23 2026 14:00:00 GMT+0700 (Western Indonesia Time) BINTANG TAMA SANTO 43400000.00 Mon Mar 23 2026 14:00:00 GMT+0700 (Western Indonesia Time) BINTANG TAMA SANTO</v>
      </c>
      <c r="D185" s="7">
        <f>IFERROR(__xludf.DUMMYFUNCTION("""COMPUTED_VALUE"""),4.34E7)</f>
        <v>43400000</v>
      </c>
      <c r="E185" s="7"/>
      <c r="F185" s="7" t="str">
        <f>IFERROR(__xludf.DUMMYFUNCTION("""COMPUTED_VALUE"""),"DB")</f>
        <v>DB</v>
      </c>
      <c r="G185" s="7">
        <f>IFERROR(__xludf.DUMMYFUNCTION("""COMPUTED_VALUE"""),3.740359084000003E7)</f>
        <v>37403590.84</v>
      </c>
      <c r="H185" s="7"/>
      <c r="I185" s="7" t="str">
        <f>IFERROR(__xludf.DUMMYFUNCTION("""COMPUTED_VALUE"""),"PRODUKSI")</f>
        <v>PRODUKSI</v>
      </c>
    </row>
    <row r="186">
      <c r="A186" s="9">
        <f>IFERROR(__xludf.DUMMYFUNCTION("""COMPUTED_VALUE"""),46107.0)</f>
        <v>46107</v>
      </c>
      <c r="B186" s="7" t="str">
        <f>IFERROR(__xludf.DUMMYFUNCTION("""COMPUTED_VALUE"""),"TRSF E-BANKING DB")</f>
        <v>TRSF E-BANKING DB</v>
      </c>
      <c r="C186" s="7" t="str">
        <f>IFERROR(__xludf.DUMMYFUNCTION("""COMPUTED_VALUE"""),"2603/FTSCY/WS95271 108040000.00 pemb. an. amartha BAMBANG SUSILO 108040000.00 pemb. an. amartha BAMBANG SUSILO")</f>
        <v>2603/FTSCY/WS95271 108040000.00 pemb. an. amartha BAMBANG SUSILO 108040000.00 pemb. an. amartha BAMBANG SUSILO</v>
      </c>
      <c r="D186" s="7">
        <f>IFERROR(__xludf.DUMMYFUNCTION("""COMPUTED_VALUE"""),1.0804E8)</f>
        <v>108040000</v>
      </c>
      <c r="E186" s="7"/>
      <c r="F186" s="7" t="str">
        <f>IFERROR(__xludf.DUMMYFUNCTION("""COMPUTED_VALUE"""),"DB")</f>
        <v>DB</v>
      </c>
      <c r="G186" s="7">
        <f>IFERROR(__xludf.DUMMYFUNCTION("""COMPUTED_VALUE"""),9.554959084000003E7)</f>
        <v>95549590.84</v>
      </c>
      <c r="H186" s="7"/>
      <c r="I186" s="7" t="str">
        <f>IFERROR(__xludf.DUMMYFUNCTION("""COMPUTED_VALUE"""),"PRODUKSI")</f>
        <v>PRODUKSI</v>
      </c>
    </row>
    <row r="187">
      <c r="A187" s="9">
        <f>IFERROR(__xludf.DUMMYFUNCTION("""COMPUTED_VALUE"""),46107.0)</f>
        <v>46107</v>
      </c>
      <c r="B187" s="7" t="str">
        <f>IFERROR(__xludf.DUMMYFUNCTION("""COMPUTED_VALUE"""),"TRSF E-BANKING DB")</f>
        <v>TRSF E-BANKING DB</v>
      </c>
      <c r="C187" s="7" t="str">
        <f>IFERROR(__xludf.DUMMYFUNCTION("""COMPUTED_VALUE"""),"2603/FTSCY/WS95271 75700000.00 kd. matraji jbr PITIK DIGITAL INDO 75700000.00 kd. matraji jbr PITIK DIGITAL INDO")</f>
        <v>2603/FTSCY/WS95271 75700000.00 kd. matraji jbr PITIK DIGITAL INDO 75700000.00 kd. matraji jbr PITIK DIGITAL INDO</v>
      </c>
      <c r="D187" s="7">
        <f>IFERROR(__xludf.DUMMYFUNCTION("""COMPUTED_VALUE"""),7.57E7)</f>
        <v>75700000</v>
      </c>
      <c r="E187" s="7"/>
      <c r="F187" s="7" t="str">
        <f>IFERROR(__xludf.DUMMYFUNCTION("""COMPUTED_VALUE"""),"DB")</f>
        <v>DB</v>
      </c>
      <c r="G187" s="7">
        <f>IFERROR(__xludf.DUMMYFUNCTION("""COMPUTED_VALUE"""),1.9849590840000033E7)</f>
        <v>19849590.84</v>
      </c>
      <c r="H187" s="7"/>
      <c r="I187" s="7" t="str">
        <f>IFERROR(__xludf.DUMMYFUNCTION("""COMPUTED_VALUE"""),"PRODUKSI")</f>
        <v>PRODUKSI</v>
      </c>
    </row>
    <row r="188">
      <c r="A188" s="9">
        <f>IFERROR(__xludf.DUMMYFUNCTION("""COMPUTED_VALUE"""),46107.0)</f>
        <v>46107</v>
      </c>
      <c r="B188" s="7" t="str">
        <f>IFERROR(__xludf.DUMMYFUNCTION("""COMPUTED_VALUE"""),"TRSF E-BANKING DB")</f>
        <v>TRSF E-BANKING DB</v>
      </c>
      <c r="C188" s="7" t="str">
        <f>IFERROR(__xludf.DUMMYFUNCTION("""COMPUTED_VALUE"""),"2603/FTSCY/WS95271 95000000.00 Mon Mar 23 2026 14:00:00 GMT+0700 (Western Indonesia Time) ANDALAN YASA MITRA 95000000.00 Mon Mar 23 2026 14:00:00 GMT+0700 (Western Indonesia Time) ANDALAN YASA MITRA")</f>
        <v>2603/FTSCY/WS95271 95000000.00 Mon Mar 23 2026 14:00:00 GMT+0700 (Western Indonesia Time) ANDALAN YASA MITRA 95000000.00 Mon Mar 23 2026 14:00:00 GMT+0700 (Western Indonesia Time) ANDALAN YASA MITRA</v>
      </c>
      <c r="D188" s="7">
        <f>IFERROR(__xludf.DUMMYFUNCTION("""COMPUTED_VALUE"""),9.5E7)</f>
        <v>95000000</v>
      </c>
      <c r="E188" s="7"/>
      <c r="F188" s="7" t="str">
        <f>IFERROR(__xludf.DUMMYFUNCTION("""COMPUTED_VALUE"""),"DB")</f>
        <v>DB</v>
      </c>
      <c r="G188" s="7">
        <f>IFERROR(__xludf.DUMMYFUNCTION("""COMPUTED_VALUE"""),1.0570590840000033E7)</f>
        <v>10570590.84</v>
      </c>
      <c r="H188" s="7"/>
      <c r="I188" s="7" t="str">
        <f>IFERROR(__xludf.DUMMYFUNCTION("""COMPUTED_VALUE"""),"PRODUKSI")</f>
        <v>PRODUKSI</v>
      </c>
    </row>
    <row r="189">
      <c r="A189" s="9">
        <f>IFERROR(__xludf.DUMMYFUNCTION("""COMPUTED_VALUE"""),46107.0)</f>
        <v>46107</v>
      </c>
      <c r="B189" s="7" t="str">
        <f>IFERROR(__xludf.DUMMYFUNCTION("""COMPUTED_VALUE"""),"TRSF E-BANKING DB")</f>
        <v>TRSF E-BANKING DB</v>
      </c>
      <c r="C189" s="7" t="str">
        <f>IFERROR(__xludf.DUMMYFUNCTION("""COMPUTED_VALUE"""),"2603/FTSCY/WS95271 5148090.00 NURHAYATI 5148090.00 NURHAYATI")</f>
        <v>2603/FTSCY/WS95271 5148090.00 NURHAYATI 5148090.00 NURHAYATI</v>
      </c>
      <c r="D189" s="7">
        <f>IFERROR(__xludf.DUMMYFUNCTION("""COMPUTED_VALUE"""),5148090.0)</f>
        <v>5148090</v>
      </c>
      <c r="E189" s="7"/>
      <c r="F189" s="7" t="str">
        <f>IFERROR(__xludf.DUMMYFUNCTION("""COMPUTED_VALUE"""),"DB")</f>
        <v>DB</v>
      </c>
      <c r="G189" s="7">
        <f>IFERROR(__xludf.DUMMYFUNCTION("""COMPUTED_VALUE"""),5422500.840000033)</f>
        <v>5422500.84</v>
      </c>
      <c r="H189" s="7"/>
      <c r="I189" s="7" t="str">
        <f>IFERROR(__xludf.DUMMYFUNCTION("""COMPUTED_VALUE"""),"PRODUKSI")</f>
        <v>PRODUKSI</v>
      </c>
    </row>
    <row r="190">
      <c r="A190" s="9">
        <f>IFERROR(__xludf.DUMMYFUNCTION("""COMPUTED_VALUE"""),46108.0)</f>
        <v>46108</v>
      </c>
      <c r="B190" s="7" t="str">
        <f>IFERROR(__xludf.DUMMYFUNCTION("""COMPUTED_VALUE"""),"TRSF E-BANKING DB")</f>
        <v>TRSF E-BANKING DB</v>
      </c>
      <c r="C190" s="7" t="str">
        <f>IFERROR(__xludf.DUMMYFUNCTION("""COMPUTED_VALUE"""),"2703/FTSCY/WS95031 89977580.00 Wed Mar 25 2026 14:00:00 GMT+0700 (Western Indonesia Time) BINTANG TAMA SANTO 89977580.00 Wed Mar 25 2026 14:00:00 GMT+0700 (Western Indonesia Time) BINTANG TAMA SANTO")</f>
        <v>2703/FTSCY/WS95031 89977580.00 Wed Mar 25 2026 14:00:00 GMT+0700 (Western Indonesia Time) BINTANG TAMA SANTO 89977580.00 Wed Mar 25 2026 14:00:00 GMT+0700 (Western Indonesia Time) BINTANG TAMA SANTO</v>
      </c>
      <c r="D190" s="7">
        <f>IFERROR(__xludf.DUMMYFUNCTION("""COMPUTED_VALUE"""),8.997758E7)</f>
        <v>89977580</v>
      </c>
      <c r="E190" s="7"/>
      <c r="F190" s="7" t="str">
        <f>IFERROR(__xludf.DUMMYFUNCTION("""COMPUTED_VALUE"""),"DB")</f>
        <v>DB</v>
      </c>
      <c r="G190" s="7">
        <f>IFERROR(__xludf.DUMMYFUNCTION("""COMPUTED_VALUE"""),1.5988204584000003E8)</f>
        <v>159882045.8</v>
      </c>
      <c r="H190" s="7">
        <f>IFERROR(__xludf.DUMMYFUNCTION("""COMPUTED_VALUE"""),1.5988204584E8)</f>
        <v>159882045.8</v>
      </c>
      <c r="I190" s="7" t="str">
        <f>IFERROR(__xludf.DUMMYFUNCTION("""COMPUTED_VALUE"""),"PRODUKSI")</f>
        <v>PRODUKSI</v>
      </c>
    </row>
    <row r="191">
      <c r="A191" s="9">
        <f>IFERROR(__xludf.DUMMYFUNCTION("""COMPUTED_VALUE"""),46108.0)</f>
        <v>46108</v>
      </c>
      <c r="B191" s="7" t="str">
        <f>IFERROR(__xludf.DUMMYFUNCTION("""COMPUTED_VALUE"""),"TRSF E-BANKING DB")</f>
        <v>TRSF E-BANKING DB</v>
      </c>
      <c r="C191" s="7" t="str">
        <f>IFERROR(__xludf.DUMMYFUNCTION("""COMPUTED_VALUE"""),"2703/FTSCY/WS95271 101789450.00 Mon Mar 23 2026 14:00:00 GMT+0700 (Western Indonesia Time) BROILER MAKMUR TAN 101789450.00 Mon Mar 23 2026 14:00:00 GMT+0700 (Western Indonesia Time) BROILER MAKMUR TAN")</f>
        <v>2703/FTSCY/WS95271 101789450.00 Mon Mar 23 2026 14:00:00 GMT+0700 (Western Indonesia Time) BROILER MAKMUR TAN 101789450.00 Mon Mar 23 2026 14:00:00 GMT+0700 (Western Indonesia Time) BROILER MAKMUR TAN</v>
      </c>
      <c r="D191" s="7">
        <f>IFERROR(__xludf.DUMMYFUNCTION("""COMPUTED_VALUE"""),1.0178945E8)</f>
        <v>101789450</v>
      </c>
      <c r="E191" s="7"/>
      <c r="F191" s="7" t="str">
        <f>IFERROR(__xludf.DUMMYFUNCTION("""COMPUTED_VALUE"""),"DB")</f>
        <v>DB</v>
      </c>
      <c r="G191" s="7">
        <f>IFERROR(__xludf.DUMMYFUNCTION("""COMPUTED_VALUE"""),5.809259584000003E7)</f>
        <v>58092595.84</v>
      </c>
      <c r="H191" s="7">
        <f>IFERROR(__xludf.DUMMYFUNCTION("""COMPUTED_VALUE"""),5.809259584E7)</f>
        <v>58092595.84</v>
      </c>
      <c r="I191" s="7" t="str">
        <f>IFERROR(__xludf.DUMMYFUNCTION("""COMPUTED_VALUE"""),"PRODUKSI")</f>
        <v>PRODUKSI</v>
      </c>
    </row>
    <row r="192">
      <c r="A192" s="9">
        <f>IFERROR(__xludf.DUMMYFUNCTION("""COMPUTED_VALUE"""),46108.0)</f>
        <v>46108</v>
      </c>
      <c r="B192" s="7" t="str">
        <f>IFERROR(__xludf.DUMMYFUNCTION("""COMPUTED_VALUE"""),"TRSF E-BANKING DB")</f>
        <v>TRSF E-BANKING DB</v>
      </c>
      <c r="C192" s="7" t="str">
        <f>IFERROR(__xludf.DUMMYFUNCTION("""COMPUTED_VALUE"""),"2703/FTSCY/WS95271 57077400.00 Tue Mar 24 2026 14:00:00 GMT+0700 (Western Indonesia Time) GANESHA SATRIA NUS 57077400.00 Tue Mar 24 2026 14:00:00 GMT+0700 (Western Indonesia Time) GANESHA SATRIA NUS")</f>
        <v>2703/FTSCY/WS95271 57077400.00 Tue Mar 24 2026 14:00:00 GMT+0700 (Western Indonesia Time) GANESHA SATRIA NUS 57077400.00 Tue Mar 24 2026 14:00:00 GMT+0700 (Western Indonesia Time) GANESHA SATRIA NUS</v>
      </c>
      <c r="D192" s="7">
        <f>IFERROR(__xludf.DUMMYFUNCTION("""COMPUTED_VALUE"""),5.70774E7)</f>
        <v>57077400</v>
      </c>
      <c r="E192" s="7"/>
      <c r="F192" s="7" t="str">
        <f>IFERROR(__xludf.DUMMYFUNCTION("""COMPUTED_VALUE"""),"DB")</f>
        <v>DB</v>
      </c>
      <c r="G192" s="7">
        <f>IFERROR(__xludf.DUMMYFUNCTION("""COMPUTED_VALUE"""),1015195.8400000334)</f>
        <v>1015195.84</v>
      </c>
      <c r="H192" s="7"/>
      <c r="I192" s="7" t="str">
        <f>IFERROR(__xludf.DUMMYFUNCTION("""COMPUTED_VALUE"""),"PRODUKSI")</f>
        <v>PRODUKSI</v>
      </c>
    </row>
    <row r="193">
      <c r="A193" s="9">
        <f>IFERROR(__xludf.DUMMYFUNCTION("""COMPUTED_VALUE"""),46108.0)</f>
        <v>46108</v>
      </c>
      <c r="B193" s="7" t="str">
        <f>IFERROR(__xludf.DUMMYFUNCTION("""COMPUTED_VALUE"""),"TRSF E-BANKING DB")</f>
        <v>TRSF E-BANKING DB</v>
      </c>
      <c r="C193" s="7" t="str">
        <f>IFERROR(__xludf.DUMMYFUNCTION("""COMPUTED_VALUE"""),"2703/FTSCY/WS95031 5000000.00 pelunasan GANESHA SATRIA NUS 5000000.00 pelunasan GANESHA SATRIA NUS")</f>
        <v>2703/FTSCY/WS95031 5000000.00 pelunasan GANESHA SATRIA NUS 5000000.00 pelunasan GANESHA SATRIA NUS</v>
      </c>
      <c r="D193" s="7">
        <f>IFERROR(__xludf.DUMMYFUNCTION("""COMPUTED_VALUE"""),5000000.0)</f>
        <v>5000000</v>
      </c>
      <c r="E193" s="7"/>
      <c r="F193" s="7" t="str">
        <f>IFERROR(__xludf.DUMMYFUNCTION("""COMPUTED_VALUE"""),"DB")</f>
        <v>DB</v>
      </c>
      <c r="G193" s="7">
        <f>IFERROR(__xludf.DUMMYFUNCTION("""COMPUTED_VALUE"""),8.961519584000003E7)</f>
        <v>89615195.84</v>
      </c>
      <c r="H193" s="7"/>
      <c r="I193" s="7" t="str">
        <f>IFERROR(__xludf.DUMMYFUNCTION("""COMPUTED_VALUE"""),"PRODUKSI")</f>
        <v>PRODUKSI</v>
      </c>
    </row>
    <row r="194">
      <c r="A194" s="9">
        <f>IFERROR(__xludf.DUMMYFUNCTION("""COMPUTED_VALUE"""),46108.0)</f>
        <v>46108</v>
      </c>
      <c r="B194" s="7" t="str">
        <f>IFERROR(__xludf.DUMMYFUNCTION("""COMPUTED_VALUE"""),"TRSF E-BANKING DB")</f>
        <v>TRSF E-BANKING DB</v>
      </c>
      <c r="C194" s="7" t="str">
        <f>IFERROR(__xludf.DUMMYFUNCTION("""COMPUTED_VALUE"""),"2703/FTSCY/WS95271 36960000.00 kd suto jbr SURYA INTI TERNAK 36960000.00 kd suto jbr SURYA INTI TERNAK")</f>
        <v>2703/FTSCY/WS95271 36960000.00 kd suto jbr SURYA INTI TERNAK 36960000.00 kd suto jbr SURYA INTI TERNAK</v>
      </c>
      <c r="D194" s="7">
        <f>IFERROR(__xludf.DUMMYFUNCTION("""COMPUTED_VALUE"""),3.696E7)</f>
        <v>36960000</v>
      </c>
      <c r="E194" s="7"/>
      <c r="F194" s="7" t="str">
        <f>IFERROR(__xludf.DUMMYFUNCTION("""COMPUTED_VALUE"""),"DB")</f>
        <v>DB</v>
      </c>
      <c r="G194" s="7">
        <f>IFERROR(__xludf.DUMMYFUNCTION("""COMPUTED_VALUE"""),5.265519584000003E7)</f>
        <v>52655195.84</v>
      </c>
      <c r="H194" s="7"/>
      <c r="I194" s="7" t="str">
        <f>IFERROR(__xludf.DUMMYFUNCTION("""COMPUTED_VALUE"""),"PRODUKSI")</f>
        <v>PRODUKSI</v>
      </c>
    </row>
    <row r="195">
      <c r="A195" s="9">
        <f>IFERROR(__xludf.DUMMYFUNCTION("""COMPUTED_VALUE"""),46108.0)</f>
        <v>46108</v>
      </c>
      <c r="B195" s="7" t="str">
        <f>IFERROR(__xludf.DUMMYFUNCTION("""COMPUTED_VALUE"""),"TRSF E-BANKING DB")</f>
        <v>TRSF E-BANKING DB</v>
      </c>
      <c r="C195" s="7" t="str">
        <f>IFERROR(__xludf.DUMMYFUNCTION("""COMPUTED_VALUE"""),"2703/FTSCY/WS95271 33144750.00 Mon Mar 23 2026 14:00:00 GMT+0700 (Western Indonesia Time) ANDALAN YASA MITRA 33144750.00 Mon Mar 23 2026 14:00:00 GMT+0700 (Western Indonesia Time) ANDALAN YASA MITRA")</f>
        <v>2703/FTSCY/WS95271 33144750.00 Mon Mar 23 2026 14:00:00 GMT+0700 (Western Indonesia Time) ANDALAN YASA MITRA 33144750.00 Mon Mar 23 2026 14:00:00 GMT+0700 (Western Indonesia Time) ANDALAN YASA MITRA</v>
      </c>
      <c r="D195" s="7">
        <f>IFERROR(__xludf.DUMMYFUNCTION("""COMPUTED_VALUE"""),3.314475E7)</f>
        <v>33144750</v>
      </c>
      <c r="E195" s="7"/>
      <c r="F195" s="7" t="str">
        <f>IFERROR(__xludf.DUMMYFUNCTION("""COMPUTED_VALUE"""),"DB")</f>
        <v>DB</v>
      </c>
      <c r="G195" s="7">
        <f>IFERROR(__xludf.DUMMYFUNCTION("""COMPUTED_VALUE"""),1.9510445840000033E7)</f>
        <v>19510445.84</v>
      </c>
      <c r="H195" s="7"/>
      <c r="I195" s="7" t="str">
        <f>IFERROR(__xludf.DUMMYFUNCTION("""COMPUTED_VALUE"""),"PRODUKSI")</f>
        <v>PRODUKSI</v>
      </c>
    </row>
    <row r="196">
      <c r="A196" s="9">
        <f>IFERROR(__xludf.DUMMYFUNCTION("""COMPUTED_VALUE"""),46108.0)</f>
        <v>46108</v>
      </c>
      <c r="B196" s="7" t="str">
        <f>IFERROR(__xludf.DUMMYFUNCTION("""COMPUTED_VALUE"""),"TRSF E-BANKING DB")</f>
        <v>TRSF E-BANKING DB</v>
      </c>
      <c r="C196" s="7" t="str">
        <f>IFERROR(__xludf.DUMMYFUNCTION("""COMPUTED_VALUE"""),"2703/FTSCY/WS95271 15795000.00 Wed Feb 25 2026 15:00:00 GMT+0700 (Western Indonesia Time) PITIK DIGITAL INDO 15795000.00 Wed Feb 25 2026 15:00:00 GMT+0700 (Western Indonesia Time) PITIK DIGITAL INDO")</f>
        <v>2703/FTSCY/WS95271 15795000.00 Wed Feb 25 2026 15:00:00 GMT+0700 (Western Indonesia Time) PITIK DIGITAL INDO 15795000.00 Wed Feb 25 2026 15:00:00 GMT+0700 (Western Indonesia Time) PITIK DIGITAL INDO</v>
      </c>
      <c r="D196" s="7">
        <f>IFERROR(__xludf.DUMMYFUNCTION("""COMPUTED_VALUE"""),1.5795E7)</f>
        <v>15795000</v>
      </c>
      <c r="E196" s="7"/>
      <c r="F196" s="7" t="str">
        <f>IFERROR(__xludf.DUMMYFUNCTION("""COMPUTED_VALUE"""),"DB")</f>
        <v>DB</v>
      </c>
      <c r="G196" s="7">
        <f>IFERROR(__xludf.DUMMYFUNCTION("""COMPUTED_VALUE"""),3715445.8400000334)</f>
        <v>3715445.84</v>
      </c>
      <c r="H196" s="7"/>
      <c r="I196" s="7" t="str">
        <f>IFERROR(__xludf.DUMMYFUNCTION("""COMPUTED_VALUE"""),"PRODUKSI")</f>
        <v>PRODUKSI</v>
      </c>
    </row>
    <row r="197">
      <c r="A197" s="9">
        <f>IFERROR(__xludf.DUMMYFUNCTION("""COMPUTED_VALUE"""),46108.0)</f>
        <v>46108</v>
      </c>
      <c r="B197" s="7" t="str">
        <f>IFERROR(__xludf.DUMMYFUNCTION("""COMPUTED_VALUE"""),"TRSF E-BANKING DB")</f>
        <v>TRSF E-BANKING DB</v>
      </c>
      <c r="C197" s="7" t="str">
        <f>IFERROR(__xludf.DUMMYFUNCTION("""COMPUTED_VALUE"""),"2703/FTFVA/WS95031 55574/GUNA MITRA S Kd. Rusni rembang jtg 7 ton 200177 55574/GUNA MITRA S Kd. Rusni rembang jtg 7 ton 200177")</f>
        <v>2703/FTFVA/WS95031 55574/GUNA MITRA S Kd. Rusni rembang jtg 7 ton 200177 55574/GUNA MITRA S Kd. Rusni rembang jtg 7 ton 200177</v>
      </c>
      <c r="D197" s="7">
        <f>IFERROR(__xludf.DUMMYFUNCTION("""COMPUTED_VALUE"""),1.05E8)</f>
        <v>105000000</v>
      </c>
      <c r="E197" s="7"/>
      <c r="F197" s="7" t="str">
        <f>IFERROR(__xludf.DUMMYFUNCTION("""COMPUTED_VALUE"""),"DB")</f>
        <v>DB</v>
      </c>
      <c r="G197" s="7">
        <f>IFERROR(__xludf.DUMMYFUNCTION("""COMPUTED_VALUE"""),5309365.840000033)</f>
        <v>5309365.84</v>
      </c>
      <c r="H197" s="7"/>
      <c r="I197" s="7" t="str">
        <f>IFERROR(__xludf.DUMMYFUNCTION("""COMPUTED_VALUE"""),"PRODUKSI")</f>
        <v>PRODUKSI</v>
      </c>
    </row>
    <row r="198">
      <c r="A198" s="9">
        <f>IFERROR(__xludf.DUMMYFUNCTION("""COMPUTED_VALUE"""),46108.0)</f>
        <v>46108</v>
      </c>
      <c r="B198" s="7" t="str">
        <f>IFERROR(__xludf.DUMMYFUNCTION("""COMPUTED_VALUE"""),"TRSF E-BANKING DB")</f>
        <v>TRSF E-BANKING DB</v>
      </c>
      <c r="C198" s="7" t="str">
        <f>IFERROR(__xludf.DUMMYFUNCTION("""COMPUTED_VALUE"""),"2703/FTSCY/WS95011 134816760.00 Tue Mar 24 2026 14:00:00 GMT+0700 (Western Indonesia Time) SUPER UNGGAS JAYA 134816760.00 Tue Mar 24 2026 14:00:00 GMT+0700 (Western Indonesia Time) SUPER UNGGAS JAYA")</f>
        <v>2703/FTSCY/WS95011 134816760.00 Tue Mar 24 2026 14:00:00 GMT+0700 (Western Indonesia Time) SUPER UNGGAS JAYA 134816760.00 Tue Mar 24 2026 14:00:00 GMT+0700 (Western Indonesia Time) SUPER UNGGAS JAYA</v>
      </c>
      <c r="D198" s="7">
        <f>IFERROR(__xludf.DUMMYFUNCTION("""COMPUTED_VALUE"""),1.3481676E8)</f>
        <v>134816760</v>
      </c>
      <c r="E198" s="7"/>
      <c r="F198" s="7" t="str">
        <f>IFERROR(__xludf.DUMMYFUNCTION("""COMPUTED_VALUE"""),"DB")</f>
        <v>DB</v>
      </c>
      <c r="G198" s="7">
        <f>IFERROR(__xludf.DUMMYFUNCTION("""COMPUTED_VALUE"""),1.4221705840000033E7)</f>
        <v>14221705.84</v>
      </c>
      <c r="H198" s="7"/>
      <c r="I198" s="7" t="str">
        <f>IFERROR(__xludf.DUMMYFUNCTION("""COMPUTED_VALUE"""),"PRODUKSI")</f>
        <v>PRODUKSI</v>
      </c>
    </row>
    <row r="199">
      <c r="A199" s="9">
        <f>IFERROR(__xludf.DUMMYFUNCTION("""COMPUTED_VALUE"""),46108.0)</f>
        <v>46108</v>
      </c>
      <c r="B199" s="7" t="str">
        <f>IFERROR(__xludf.DUMMYFUNCTION("""COMPUTED_VALUE"""),"TRSF E-BANKING DB")</f>
        <v>TRSF E-BANKING DB</v>
      </c>
      <c r="C199" s="7" t="str">
        <f>IFERROR(__xludf.DUMMYFUNCTION("""COMPUTED_VALUE"""),"2703/FTSCY/WS95011 60637500.00 Tue Mar 24 2026 14:00:00 GMT+0700 (Western Indonesia Time) DINA WIRANTI 60637500.00 Tue Mar 24 2026 14:00:00 GMT+0700 (Western Indonesia Time) DINA WIRANTI")</f>
        <v>2703/FTSCY/WS95011 60637500.00 Tue Mar 24 2026 14:00:00 GMT+0700 (Western Indonesia Time) DINA WIRANTI 60637500.00 Tue Mar 24 2026 14:00:00 GMT+0700 (Western Indonesia Time) DINA WIRANTI</v>
      </c>
      <c r="D199" s="7">
        <f>IFERROR(__xludf.DUMMYFUNCTION("""COMPUTED_VALUE"""),6.06375E7)</f>
        <v>60637500</v>
      </c>
      <c r="E199" s="7"/>
      <c r="F199" s="7" t="str">
        <f>IFERROR(__xludf.DUMMYFUNCTION("""COMPUTED_VALUE"""),"DB")</f>
        <v>DB</v>
      </c>
      <c r="G199" s="7">
        <f>IFERROR(__xludf.DUMMYFUNCTION("""COMPUTED_VALUE"""),4.443120584000003E7)</f>
        <v>44431205.84</v>
      </c>
      <c r="H199" s="7"/>
      <c r="I199" s="7" t="str">
        <f>IFERROR(__xludf.DUMMYFUNCTION("""COMPUTED_VALUE"""),"PRODUKSI")</f>
        <v>PRODUKSI</v>
      </c>
    </row>
    <row r="200">
      <c r="A200" s="9">
        <f>IFERROR(__xludf.DUMMYFUNCTION("""COMPUTED_VALUE"""),46108.0)</f>
        <v>46108</v>
      </c>
      <c r="B200" s="7" t="str">
        <f>IFERROR(__xludf.DUMMYFUNCTION("""COMPUTED_VALUE"""),"TRSF E-BANKING DB")</f>
        <v>TRSF E-BANKING DB</v>
      </c>
      <c r="C200" s="7" t="str">
        <f>IFERROR(__xludf.DUMMYFUNCTION("""COMPUTED_VALUE"""),"2703/FTSCY/WS95011 43706900.00 Tue Mar 24 2026 14:00:00 GMT+0700 (Western Indonesia Time) BROILER MAKMUR TAN 43706900.00 Tue Mar 24 2026 14:00:00 GMT+0700 (Western Indonesia Time) BROILER MAKMUR TAN")</f>
        <v>2703/FTSCY/WS95011 43706900.00 Tue Mar 24 2026 14:00:00 GMT+0700 (Western Indonesia Time) BROILER MAKMUR TAN 43706900.00 Tue Mar 24 2026 14:00:00 GMT+0700 (Western Indonesia Time) BROILER MAKMUR TAN</v>
      </c>
      <c r="D200" s="7">
        <f>IFERROR(__xludf.DUMMYFUNCTION("""COMPUTED_VALUE"""),4.37069E7)</f>
        <v>43706900</v>
      </c>
      <c r="E200" s="7"/>
      <c r="F200" s="7" t="str">
        <f>IFERROR(__xludf.DUMMYFUNCTION("""COMPUTED_VALUE"""),"DB")</f>
        <v>DB</v>
      </c>
      <c r="G200" s="7">
        <f>IFERROR(__xludf.DUMMYFUNCTION("""COMPUTED_VALUE"""),724305.8400000334)</f>
        <v>724305.84</v>
      </c>
      <c r="H200" s="7"/>
      <c r="I200" s="7" t="str">
        <f>IFERROR(__xludf.DUMMYFUNCTION("""COMPUTED_VALUE"""),"PRODUKSI")</f>
        <v>PRODUKSI</v>
      </c>
    </row>
    <row r="201">
      <c r="A201" s="9">
        <f>IFERROR(__xludf.DUMMYFUNCTION("""COMPUTED_VALUE"""),46108.0)</f>
        <v>46108</v>
      </c>
      <c r="B201" s="7" t="str">
        <f>IFERROR(__xludf.DUMMYFUNCTION("""COMPUTED_VALUE"""),"TRSF E-BANKING DB")</f>
        <v>TRSF E-BANKING DB</v>
      </c>
      <c r="C201" s="7" t="str">
        <f>IFERROR(__xludf.DUMMYFUNCTION("""COMPUTED_VALUE"""),"2703/FTSCY/WS95031 150000.00 DANIEL FARIZ 150000.00 DANIEL FARIZ")</f>
        <v>2703/FTSCY/WS95031 150000.00 DANIEL FARIZ 150000.00 DANIEL FARIZ</v>
      </c>
      <c r="D201" s="7">
        <f>IFERROR(__xludf.DUMMYFUNCTION("""COMPUTED_VALUE"""),150000.0)</f>
        <v>150000</v>
      </c>
      <c r="E201" s="7"/>
      <c r="F201" s="7" t="str">
        <f>IFERROR(__xludf.DUMMYFUNCTION("""COMPUTED_VALUE"""),"DB")</f>
        <v>DB</v>
      </c>
      <c r="G201" s="7">
        <f>IFERROR(__xludf.DUMMYFUNCTION("""COMPUTED_VALUE"""),574305.8400000334)</f>
        <v>574305.84</v>
      </c>
      <c r="H201" s="7">
        <f>IFERROR(__xludf.DUMMYFUNCTION("""COMPUTED_VALUE"""),574305.84)</f>
        <v>574305.84</v>
      </c>
      <c r="I201" s="7" t="str">
        <f>IFERROR(__xludf.DUMMYFUNCTION("""COMPUTED_VALUE"""),"PRODUKSI")</f>
        <v>PRODUKSI</v>
      </c>
    </row>
    <row r="202">
      <c r="A202" s="9">
        <f>IFERROR(__xludf.DUMMYFUNCTION("""COMPUTED_VALUE"""),46109.0)</f>
        <v>46109</v>
      </c>
      <c r="B202" s="7" t="str">
        <f>IFERROR(__xludf.DUMMYFUNCTION("""COMPUTED_VALUE"""),"TRSF E-BANKING DB")</f>
        <v>TRSF E-BANKING DB</v>
      </c>
      <c r="C202" s="7" t="str">
        <f>IFERROR(__xludf.DUMMYFUNCTION("""COMPUTED_VALUE"""),"2803/FTSCY/WS95031 49764000.00 farm jude bws LAWU ABADI NUSA PT 49764000.00 farm jude bws LAWU ABADI NUSA PT")</f>
        <v>2803/FTSCY/WS95031 49764000.00 farm jude bws LAWU ABADI NUSA PT 49764000.00 farm jude bws LAWU ABADI NUSA PT</v>
      </c>
      <c r="D202" s="7">
        <f>IFERROR(__xludf.DUMMYFUNCTION("""COMPUTED_VALUE"""),4.9764E7)</f>
        <v>49764000</v>
      </c>
      <c r="E202" s="7"/>
      <c r="F202" s="7" t="str">
        <f>IFERROR(__xludf.DUMMYFUNCTION("""COMPUTED_VALUE"""),"DB")</f>
        <v>DB</v>
      </c>
      <c r="G202" s="7">
        <f>IFERROR(__xludf.DUMMYFUNCTION("""COMPUTED_VALUE"""),6.201880584000003E7)</f>
        <v>62018805.84</v>
      </c>
      <c r="H202" s="7"/>
      <c r="I202" s="7" t="str">
        <f>IFERROR(__xludf.DUMMYFUNCTION("""COMPUTED_VALUE"""),"PRODUKSI")</f>
        <v>PRODUKSI</v>
      </c>
    </row>
    <row r="203">
      <c r="A203" s="9">
        <f>IFERROR(__xludf.DUMMYFUNCTION("""COMPUTED_VALUE"""),46109.0)</f>
        <v>46109</v>
      </c>
      <c r="B203" s="7" t="str">
        <f>IFERROR(__xludf.DUMMYFUNCTION("""COMPUTED_VALUE"""),"TRSF E-BANKING DB")</f>
        <v>TRSF E-BANKING DB</v>
      </c>
      <c r="C203" s="7" t="str">
        <f>IFERROR(__xludf.DUMMYFUNCTION("""COMPUTED_VALUE"""),"2803/FTSCY/WS95031 3732100.00 pelunasan BRANTAS ABADI SENT 3732100.00 pelunasan BRANTAS ABADI SENT")</f>
        <v>2803/FTSCY/WS95031 3732100.00 pelunasan BRANTAS ABADI SENT 3732100.00 pelunasan BRANTAS ABADI SENT</v>
      </c>
      <c r="D203" s="7">
        <f>IFERROR(__xludf.DUMMYFUNCTION("""COMPUTED_VALUE"""),3732100.0)</f>
        <v>3732100</v>
      </c>
      <c r="E203" s="7"/>
      <c r="F203" s="7" t="str">
        <f>IFERROR(__xludf.DUMMYFUNCTION("""COMPUTED_VALUE"""),"DB")</f>
        <v>DB</v>
      </c>
      <c r="G203" s="7">
        <f>IFERROR(__xludf.DUMMYFUNCTION("""COMPUTED_VALUE"""),5.828670584000003E7)</f>
        <v>58286705.84</v>
      </c>
      <c r="H203" s="7"/>
      <c r="I203" s="7" t="str">
        <f>IFERROR(__xludf.DUMMYFUNCTION("""COMPUTED_VALUE"""),"PRODUKSI")</f>
        <v>PRODUKSI</v>
      </c>
    </row>
    <row r="204">
      <c r="A204" s="9">
        <f>IFERROR(__xludf.DUMMYFUNCTION("""COMPUTED_VALUE"""),46109.0)</f>
        <v>46109</v>
      </c>
      <c r="B204" s="7" t="str">
        <f>IFERROR(__xludf.DUMMYFUNCTION("""COMPUTED_VALUE"""),"TRSF E-BANKING DB")</f>
        <v>TRSF E-BANKING DB</v>
      </c>
      <c r="C204" s="7" t="str">
        <f>IFERROR(__xludf.DUMMYFUNCTION("""COMPUTED_VALUE"""),"2803/FTSCY/WS95271 49698750.00 kd sukipto blora TUMBUH OPTIMAL PRI 49698750.00 kd sukipto blora TUMBUH OPTIMAL PRI")</f>
        <v>2803/FTSCY/WS95271 49698750.00 kd sukipto blora TUMBUH OPTIMAL PRI 49698750.00 kd sukipto blora TUMBUH OPTIMAL PRI</v>
      </c>
      <c r="D204" s="7">
        <f>IFERROR(__xludf.DUMMYFUNCTION("""COMPUTED_VALUE"""),4.969875E7)</f>
        <v>49698750</v>
      </c>
      <c r="E204" s="7"/>
      <c r="F204" s="7" t="str">
        <f>IFERROR(__xludf.DUMMYFUNCTION("""COMPUTED_VALUE"""),"DB")</f>
        <v>DB</v>
      </c>
      <c r="G204" s="7">
        <f>IFERROR(__xludf.DUMMYFUNCTION("""COMPUTED_VALUE"""),7559705.840000033)</f>
        <v>7559705.84</v>
      </c>
      <c r="H204" s="7">
        <f>IFERROR(__xludf.DUMMYFUNCTION("""COMPUTED_VALUE"""),7559705.84)</f>
        <v>7559705.84</v>
      </c>
      <c r="I204" s="7" t="str">
        <f>IFERROR(__xludf.DUMMYFUNCTION("""COMPUTED_VALUE"""),"PRODUKSI")</f>
        <v>PRODUKSI</v>
      </c>
    </row>
    <row r="205">
      <c r="A205" s="9">
        <f>IFERROR(__xludf.DUMMYFUNCTION("""COMPUTED_VALUE"""),46109.0)</f>
        <v>46109</v>
      </c>
      <c r="B205" s="7" t="str">
        <f>IFERROR(__xludf.DUMMYFUNCTION("""COMPUTED_VALUE"""),"TRSF E-BANKING DB")</f>
        <v>TRSF E-BANKING DB</v>
      </c>
      <c r="C205" s="7" t="str">
        <f>IFERROR(__xludf.DUMMYFUNCTION("""COMPUTED_VALUE"""),"2803/FTSCY/WS95271 101499860.00 Thu Mar 26 2026 14:00:00 GMT+0700 (Western Indonesia Time) BINTANG TAMA SANTO 101499860.00 Thu Mar 26 2026 14:00:00 GMT+0700 (Western Indonesia Time) BINTANG TAMA SANTO")</f>
        <v>2803/FTSCY/WS95271 101499860.00 Thu Mar 26 2026 14:00:00 GMT+0700 (Western Indonesia Time) BINTANG TAMA SANTO 101499860.00 Thu Mar 26 2026 14:00:00 GMT+0700 (Western Indonesia Time) BINTANG TAMA SANTO</v>
      </c>
      <c r="D205" s="7">
        <f>IFERROR(__xludf.DUMMYFUNCTION("""COMPUTED_VALUE"""),1.0149986E8)</f>
        <v>101499860</v>
      </c>
      <c r="E205" s="7"/>
      <c r="F205" s="7" t="str">
        <f>IFERROR(__xludf.DUMMYFUNCTION("""COMPUTED_VALUE"""),"DB")</f>
        <v>DB</v>
      </c>
      <c r="G205" s="7">
        <f>IFERROR(__xludf.DUMMYFUNCTION("""COMPUTED_VALUE"""),1.6828808584000003E8)</f>
        <v>168288085.8</v>
      </c>
      <c r="H205" s="7"/>
      <c r="I205" s="7" t="str">
        <f>IFERROR(__xludf.DUMMYFUNCTION("""COMPUTED_VALUE"""),"PRODUKSI")</f>
        <v>PRODUKSI</v>
      </c>
    </row>
    <row r="206">
      <c r="A206" s="9">
        <f>IFERROR(__xludf.DUMMYFUNCTION("""COMPUTED_VALUE"""),46109.0)</f>
        <v>46109</v>
      </c>
      <c r="B206" s="7" t="str">
        <f>IFERROR(__xludf.DUMMYFUNCTION("""COMPUTED_VALUE"""),"TRSF E-BANKING DB")</f>
        <v>TRSF E-BANKING DB</v>
      </c>
      <c r="C206" s="7" t="str">
        <f>IFERROR(__xludf.DUMMYFUNCTION("""COMPUTED_VALUE"""),"2803/FTSCY/WS95271 100750000.00 Tue Mar 24 2026 14:00:00 GMT+0700 (Western Indonesia Time) BROILER MAKMUR TAN 100750000.00 Tue Mar 24 2026 14:00:00 GMT+0700 (Western Indonesia Time) BROILER MAKMUR TAN")</f>
        <v>2803/FTSCY/WS95271 100750000.00 Tue Mar 24 2026 14:00:00 GMT+0700 (Western Indonesia Time) BROILER MAKMUR TAN 100750000.00 Tue Mar 24 2026 14:00:00 GMT+0700 (Western Indonesia Time) BROILER MAKMUR TAN</v>
      </c>
      <c r="D206" s="7">
        <f>IFERROR(__xludf.DUMMYFUNCTION("""COMPUTED_VALUE"""),1.0075E8)</f>
        <v>100750000</v>
      </c>
      <c r="E206" s="7"/>
      <c r="F206" s="7" t="str">
        <f>IFERROR(__xludf.DUMMYFUNCTION("""COMPUTED_VALUE"""),"DB")</f>
        <v>DB</v>
      </c>
      <c r="G206" s="7">
        <f>IFERROR(__xludf.DUMMYFUNCTION("""COMPUTED_VALUE"""),6.753808584000003E7)</f>
        <v>67538085.84</v>
      </c>
      <c r="H206" s="7"/>
      <c r="I206" s="7" t="str">
        <f>IFERROR(__xludf.DUMMYFUNCTION("""COMPUTED_VALUE"""),"PRODUKSI")</f>
        <v>PRODUKSI</v>
      </c>
    </row>
    <row r="207">
      <c r="A207" s="9">
        <f>IFERROR(__xludf.DUMMYFUNCTION("""COMPUTED_VALUE"""),46109.0)</f>
        <v>46109</v>
      </c>
      <c r="B207" s="7" t="str">
        <f>IFERROR(__xludf.DUMMYFUNCTION("""COMPUTED_VALUE"""),"TRSF E-BANKING DB")</f>
        <v>TRSF E-BANKING DB</v>
      </c>
      <c r="C207" s="7" t="str">
        <f>IFERROR(__xludf.DUMMYFUNCTION("""COMPUTED_VALUE"""),"2803/FTSCY/WS95271 43550000.00 Thu Mar 26 2026 14:00:00 GMT+0700 (Western Indonesia Time) BINTANG TAMA SANTO 43550000.00 Thu Mar 26 2026 14:00:00 GMT+0700 (Western Indonesia Time) BINTANG TAMA SANTO")</f>
        <v>2803/FTSCY/WS95271 43550000.00 Thu Mar 26 2026 14:00:00 GMT+0700 (Western Indonesia Time) BINTANG TAMA SANTO 43550000.00 Thu Mar 26 2026 14:00:00 GMT+0700 (Western Indonesia Time) BINTANG TAMA SANTO</v>
      </c>
      <c r="D207" s="7">
        <f>IFERROR(__xludf.DUMMYFUNCTION("""COMPUTED_VALUE"""),4.355E7)</f>
        <v>43550000</v>
      </c>
      <c r="E207" s="7"/>
      <c r="F207" s="7" t="str">
        <f>IFERROR(__xludf.DUMMYFUNCTION("""COMPUTED_VALUE"""),"DB")</f>
        <v>DB</v>
      </c>
      <c r="G207" s="7">
        <f>IFERROR(__xludf.DUMMYFUNCTION("""COMPUTED_VALUE"""),1.3274030584000003E8)</f>
        <v>132740305.8</v>
      </c>
      <c r="H207" s="7"/>
      <c r="I207" s="7" t="str">
        <f>IFERROR(__xludf.DUMMYFUNCTION("""COMPUTED_VALUE"""),"PRODUKSI")</f>
        <v>PRODUKSI</v>
      </c>
    </row>
    <row r="208">
      <c r="A208" s="9">
        <f>IFERROR(__xludf.DUMMYFUNCTION("""COMPUTED_VALUE"""),46109.0)</f>
        <v>46109</v>
      </c>
      <c r="B208" s="7" t="str">
        <f>IFERROR(__xludf.DUMMYFUNCTION("""COMPUTED_VALUE"""),"TRSF E-BANKING DB")</f>
        <v>TRSF E-BANKING DB</v>
      </c>
      <c r="C208" s="7" t="str">
        <f>IFERROR(__xludf.DUMMYFUNCTION("""COMPUTED_VALUE"""),"2803/FTSCY/WS95031 10000000.00 pelunasan 26.3 BINTANG TAMA SANTO 10000000.00 pelunasan 26.3 BINTANG TAMA SANTO")</f>
        <v>2803/FTSCY/WS95031 10000000.00 pelunasan 26.3 BINTANG TAMA SANTO 10000000.00 pelunasan 26.3 BINTANG TAMA SANTO</v>
      </c>
      <c r="D208" s="7">
        <f>IFERROR(__xludf.DUMMYFUNCTION("""COMPUTED_VALUE"""),1.0E7)</f>
        <v>10000000</v>
      </c>
      <c r="E208" s="7"/>
      <c r="F208" s="7" t="str">
        <f>IFERROR(__xludf.DUMMYFUNCTION("""COMPUTED_VALUE"""),"DB")</f>
        <v>DB</v>
      </c>
      <c r="G208" s="7">
        <f>IFERROR(__xludf.DUMMYFUNCTION("""COMPUTED_VALUE"""),1.2274030584000003E8)</f>
        <v>122740305.8</v>
      </c>
      <c r="H208" s="7"/>
      <c r="I208" s="7" t="str">
        <f>IFERROR(__xludf.DUMMYFUNCTION("""COMPUTED_VALUE"""),"PRODUKSI")</f>
        <v>PRODUKSI</v>
      </c>
    </row>
    <row r="209">
      <c r="A209" s="9">
        <f>IFERROR(__xludf.DUMMYFUNCTION("""COMPUTED_VALUE"""),46109.0)</f>
        <v>46109</v>
      </c>
      <c r="B209" s="7" t="str">
        <f>IFERROR(__xludf.DUMMYFUNCTION("""COMPUTED_VALUE"""),"TRSF E-BANKING DB")</f>
        <v>TRSF E-BANKING DB</v>
      </c>
      <c r="C209" s="7" t="str">
        <f>IFERROR(__xludf.DUMMYFUNCTION("""COMPUTED_VALUE"""),"2803/FTSCY/WS95031 3581970.00 ANDALAN YASA MITRA 3581970.00 ANDALAN YASA MITRA")</f>
        <v>2803/FTSCY/WS95031 3581970.00 ANDALAN YASA MITRA 3581970.00 ANDALAN YASA MITRA</v>
      </c>
      <c r="D209" s="7">
        <f>IFERROR(__xludf.DUMMYFUNCTION("""COMPUTED_VALUE"""),3581970.0)</f>
        <v>3581970</v>
      </c>
      <c r="E209" s="7"/>
      <c r="F209" s="7" t="str">
        <f>IFERROR(__xludf.DUMMYFUNCTION("""COMPUTED_VALUE"""),"DB")</f>
        <v>DB</v>
      </c>
      <c r="G209" s="7">
        <f>IFERROR(__xludf.DUMMYFUNCTION("""COMPUTED_VALUE"""),1.1915833584000003E8)</f>
        <v>119158335.8</v>
      </c>
      <c r="H209" s="7"/>
      <c r="I209" s="7" t="str">
        <f>IFERROR(__xludf.DUMMYFUNCTION("""COMPUTED_VALUE"""),"PRODUKSI")</f>
        <v>PRODUKSI</v>
      </c>
    </row>
    <row r="210">
      <c r="A210" s="9">
        <f>IFERROR(__xludf.DUMMYFUNCTION("""COMPUTED_VALUE"""),46109.0)</f>
        <v>46109</v>
      </c>
      <c r="B210" s="7" t="str">
        <f>IFERROR(__xludf.DUMMYFUNCTION("""COMPUTED_VALUE"""),"TRSF E-BANKING DB")</f>
        <v>TRSF E-BANKING DB</v>
      </c>
      <c r="C210" s="7" t="str">
        <f>IFERROR(__xludf.DUMMYFUNCTION("""COMPUTED_VALUE"""),"2803/FTSCY/WS95031 122400.00 pelunasan BINTANG TAMA SANTO 122400.00 pelunasan BINTANG TAMA SANTO")</f>
        <v>2803/FTSCY/WS95031 122400.00 pelunasan BINTANG TAMA SANTO 122400.00 pelunasan BINTANG TAMA SANTO</v>
      </c>
      <c r="D210" s="7">
        <f>IFERROR(__xludf.DUMMYFUNCTION("""COMPUTED_VALUE"""),122400.0)</f>
        <v>122400</v>
      </c>
      <c r="E210" s="7"/>
      <c r="F210" s="7" t="str">
        <f>IFERROR(__xludf.DUMMYFUNCTION("""COMPUTED_VALUE"""),"DB")</f>
        <v>DB</v>
      </c>
      <c r="G210" s="7">
        <f>IFERROR(__xludf.DUMMYFUNCTION("""COMPUTED_VALUE"""),1.1903593584000003E8)</f>
        <v>119035935.8</v>
      </c>
      <c r="H210" s="7"/>
      <c r="I210" s="7" t="str">
        <f>IFERROR(__xludf.DUMMYFUNCTION("""COMPUTED_VALUE"""),"PRODUKSI")</f>
        <v>PRODUKSI</v>
      </c>
    </row>
    <row r="211">
      <c r="A211" s="9">
        <f>IFERROR(__xludf.DUMMYFUNCTION("""COMPUTED_VALUE"""),46109.0)</f>
        <v>46109</v>
      </c>
      <c r="B211" s="7" t="str">
        <f>IFERROR(__xludf.DUMMYFUNCTION("""COMPUTED_VALUE"""),"TRSF E-BANKING DB")</f>
        <v>TRSF E-BANKING DB</v>
      </c>
      <c r="C211" s="7" t="str">
        <f>IFERROR(__xludf.DUMMYFUNCTION("""COMPUTED_VALUE"""),"2803/FTSCY/WS95031 3000000.00 SANDI FAJAR PRASET 3000000.00 SANDI FAJAR PRASET")</f>
        <v>2803/FTSCY/WS95031 3000000.00 SANDI FAJAR PRASET 3000000.00 SANDI FAJAR PRASET</v>
      </c>
      <c r="D211" s="7">
        <f>IFERROR(__xludf.DUMMYFUNCTION("""COMPUTED_VALUE"""),3000000.0)</f>
        <v>3000000</v>
      </c>
      <c r="E211" s="7"/>
      <c r="F211" s="7" t="str">
        <f>IFERROR(__xludf.DUMMYFUNCTION("""COMPUTED_VALUE"""),"DB")</f>
        <v>DB</v>
      </c>
      <c r="G211" s="7">
        <f>IFERROR(__xludf.DUMMYFUNCTION("""COMPUTED_VALUE"""),1.1603593584000003E8)</f>
        <v>116035935.8</v>
      </c>
      <c r="H211" s="7"/>
      <c r="I211" s="7" t="str">
        <f>IFERROR(__xludf.DUMMYFUNCTION("""COMPUTED_VALUE"""),"PRODUKSI")</f>
        <v>PRODUKSI</v>
      </c>
    </row>
    <row r="212">
      <c r="A212" s="9">
        <f>IFERROR(__xludf.DUMMYFUNCTION("""COMPUTED_VALUE"""),46109.0)</f>
        <v>46109</v>
      </c>
      <c r="B212" s="7" t="str">
        <f>IFERROR(__xludf.DUMMYFUNCTION("""COMPUTED_VALUE"""),"BI-FAST DB")</f>
        <v>BI-FAST DB</v>
      </c>
      <c r="C212" s="7" t="str">
        <f>IFERROR(__xludf.DUMMYFUNCTION("""COMPUTED_VALUE"""),"BIF TRANSFER KE 9 NOUVAL HOLQI RISKU M-BCA 9 NOUVAL HOLQI RISKU M-BCA")</f>
        <v>BIF TRANSFER KE 9 NOUVAL HOLQI RISKU M-BCA 9 NOUVAL HOLQI RISKU M-BCA</v>
      </c>
      <c r="D212" s="7">
        <f>IFERROR(__xludf.DUMMYFUNCTION("""COMPUTED_VALUE"""),130000.0)</f>
        <v>130000</v>
      </c>
      <c r="E212" s="7"/>
      <c r="F212" s="7" t="str">
        <f>IFERROR(__xludf.DUMMYFUNCTION("""COMPUTED_VALUE"""),"DB")</f>
        <v>DB</v>
      </c>
      <c r="G212" s="7">
        <f>IFERROR(__xludf.DUMMYFUNCTION("""COMPUTED_VALUE"""),1.1590593584000003E8)</f>
        <v>115905935.8</v>
      </c>
      <c r="H212" s="7"/>
      <c r="I212" s="7" t="str">
        <f>IFERROR(__xludf.DUMMYFUNCTION("""COMPUTED_VALUE"""),"PRODUKSI")</f>
        <v>PRODUKSI</v>
      </c>
    </row>
    <row r="213">
      <c r="A213" s="9">
        <f>IFERROR(__xludf.DUMMYFUNCTION("""COMPUTED_VALUE"""),46109.0)</f>
        <v>46109</v>
      </c>
      <c r="B213" s="7" t="str">
        <f>IFERROR(__xludf.DUMMYFUNCTION("""COMPUTED_VALUE"""),"BI-FAST DB")</f>
        <v>BI-FAST DB</v>
      </c>
      <c r="C213" s="7" t="str">
        <f>IFERROR(__xludf.DUMMYFUNCTION("""COMPUTED_VALUE"""),"BIF BIAYA TXN KE 9 NOUVAL HOLQI RISKU M-BCA 9 NOUVAL HOLQI RISKU M-BCA")</f>
        <v>BIF BIAYA TXN KE 9 NOUVAL HOLQI RISKU M-BCA 9 NOUVAL HOLQI RISKU M-BCA</v>
      </c>
      <c r="D213" s="7">
        <f>IFERROR(__xludf.DUMMYFUNCTION("""COMPUTED_VALUE"""),2500.0)</f>
        <v>2500</v>
      </c>
      <c r="E213" s="7"/>
      <c r="F213" s="7" t="str">
        <f>IFERROR(__xludf.DUMMYFUNCTION("""COMPUTED_VALUE"""),"DB")</f>
        <v>DB</v>
      </c>
      <c r="G213" s="7">
        <f>IFERROR(__xludf.DUMMYFUNCTION("""COMPUTED_VALUE"""),1.1590343584000003E8)</f>
        <v>115903435.8</v>
      </c>
      <c r="H213" s="7"/>
      <c r="I213" s="7" t="str">
        <f>IFERROR(__xludf.DUMMYFUNCTION("""COMPUTED_VALUE"""),"PRODUKSI")</f>
        <v>PRODUKSI</v>
      </c>
    </row>
    <row r="214">
      <c r="A214" s="9">
        <f>IFERROR(__xludf.DUMMYFUNCTION("""COMPUTED_VALUE"""),46109.0)</f>
        <v>46109</v>
      </c>
      <c r="B214" s="7" t="str">
        <f>IFERROR(__xludf.DUMMYFUNCTION("""COMPUTED_VALUE"""),"TRSF E-BANKING DB")</f>
        <v>TRSF E-BANKING DB</v>
      </c>
      <c r="C214" s="7" t="str">
        <f>IFERROR(__xludf.DUMMYFUNCTION("""COMPUTED_VALUE"""),"2803/FTSCY/WS95011 166234400.00 Thu Mar 26 2026 14:00:00 GMT+0700 (Western Indonesia Time) ANDALAN YASA MITRA 166234400.00 Thu Mar 26 2026 14:00:00 GMT+0700 (Western Indonesia Time) ANDALAN YASA MITRA")</f>
        <v>2803/FTSCY/WS95011 166234400.00 Thu Mar 26 2026 14:00:00 GMT+0700 (Western Indonesia Time) ANDALAN YASA MITRA 166234400.00 Thu Mar 26 2026 14:00:00 GMT+0700 (Western Indonesia Time) ANDALAN YASA MITRA</v>
      </c>
      <c r="D214" s="7">
        <f>IFERROR(__xludf.DUMMYFUNCTION("""COMPUTED_VALUE"""),1.662344E8)</f>
        <v>166234400</v>
      </c>
      <c r="E214" s="7"/>
      <c r="F214" s="7" t="str">
        <f>IFERROR(__xludf.DUMMYFUNCTION("""COMPUTED_VALUE"""),"DB")</f>
        <v>DB</v>
      </c>
      <c r="G214" s="7">
        <f>IFERROR(__xludf.DUMMYFUNCTION("""COMPUTED_VALUE"""),4.049287484000003E7)</f>
        <v>40492874.84</v>
      </c>
      <c r="H214" s="7"/>
      <c r="I214" s="7" t="str">
        <f>IFERROR(__xludf.DUMMYFUNCTION("""COMPUTED_VALUE"""),"PRODUKSI")</f>
        <v>PRODUKSI</v>
      </c>
    </row>
    <row r="215">
      <c r="A215" s="9">
        <f>IFERROR(__xludf.DUMMYFUNCTION("""COMPUTED_VALUE"""),46109.0)</f>
        <v>46109</v>
      </c>
      <c r="B215" s="7" t="str">
        <f>IFERROR(__xludf.DUMMYFUNCTION("""COMPUTED_VALUE"""),"TRSF E-BANKING DB")</f>
        <v>TRSF E-BANKING DB</v>
      </c>
      <c r="C215" s="7" t="str">
        <f>IFERROR(__xludf.DUMMYFUNCTION("""COMPUTED_VALUE"""),"2803/FTSCY/WS95011 44712850.00 Thu Mar 26 2026 14:00:00 GMT+0700 (Western Indonesia Time) ANDALAN YASA MITRA 44712850.00 Thu Mar 26 2026 14:00:00 GMT+0700 (Western Indonesia Time) ANDALAN YASA MITRA")</f>
        <v>2803/FTSCY/WS95011 44712850.00 Thu Mar 26 2026 14:00:00 GMT+0700 (Western Indonesia Time) ANDALAN YASA MITRA 44712850.00 Thu Mar 26 2026 14:00:00 GMT+0700 (Western Indonesia Time) ANDALAN YASA MITRA</v>
      </c>
      <c r="D215" s="7">
        <f>IFERROR(__xludf.DUMMYFUNCTION("""COMPUTED_VALUE"""),4.471285E7)</f>
        <v>44712850</v>
      </c>
      <c r="E215" s="7"/>
      <c r="F215" s="7" t="str">
        <f>IFERROR(__xludf.DUMMYFUNCTION("""COMPUTED_VALUE"""),"DB")</f>
        <v>DB</v>
      </c>
      <c r="G215" s="7">
        <f>IFERROR(__xludf.DUMMYFUNCTION("""COMPUTED_VALUE"""),2.4344457484000003E8)</f>
        <v>243444574.8</v>
      </c>
      <c r="H215" s="7"/>
      <c r="I215" s="7" t="str">
        <f>IFERROR(__xludf.DUMMYFUNCTION("""COMPUTED_VALUE"""),"PRODUKSI")</f>
        <v>PRODUKSI</v>
      </c>
    </row>
    <row r="216">
      <c r="A216" s="9">
        <f>IFERROR(__xludf.DUMMYFUNCTION("""COMPUTED_VALUE"""),46109.0)</f>
        <v>46109</v>
      </c>
      <c r="B216" s="7" t="str">
        <f>IFERROR(__xludf.DUMMYFUNCTION("""COMPUTED_VALUE"""),"TRSF E-BANKING DB")</f>
        <v>TRSF E-BANKING DB</v>
      </c>
      <c r="C216" s="7" t="str">
        <f>IFERROR(__xludf.DUMMYFUNCTION("""COMPUTED_VALUE"""),"2803/FTSCY/WS95011 7516190.00 pengembalian dana ANUGERAH MAKMUR AR 7516190.00 pengembalian dana ANUGERAH MAKMUR AR")</f>
        <v>2803/FTSCY/WS95011 7516190.00 pengembalian dana ANUGERAH MAKMUR AR 7516190.00 pengembalian dana ANUGERAH MAKMUR AR</v>
      </c>
      <c r="D216" s="7">
        <f>IFERROR(__xludf.DUMMYFUNCTION("""COMPUTED_VALUE"""),7516190.0)</f>
        <v>7516190</v>
      </c>
      <c r="E216" s="7"/>
      <c r="F216" s="7" t="str">
        <f>IFERROR(__xludf.DUMMYFUNCTION("""COMPUTED_VALUE"""),"DB")</f>
        <v>DB</v>
      </c>
      <c r="G216" s="7">
        <f>IFERROR(__xludf.DUMMYFUNCTION("""COMPUTED_VALUE"""),2.3592838484000003E8)</f>
        <v>235928384.8</v>
      </c>
      <c r="H216" s="7"/>
      <c r="I216" s="7" t="str">
        <f>IFERROR(__xludf.DUMMYFUNCTION("""COMPUTED_VALUE"""),"PRODUKSI")</f>
        <v>PRODUKSI</v>
      </c>
    </row>
    <row r="217">
      <c r="A217" s="9">
        <f>IFERROR(__xludf.DUMMYFUNCTION("""COMPUTED_VALUE"""),46109.0)</f>
        <v>46109</v>
      </c>
      <c r="B217" s="7" t="str">
        <f>IFERROR(__xludf.DUMMYFUNCTION("""COMPUTED_VALUE"""),"TRSF E-BANKING DB")</f>
        <v>TRSF E-BANKING DB</v>
      </c>
      <c r="C217" s="7" t="str">
        <f>IFERROR(__xludf.DUMMYFUNCTION("""COMPUTED_VALUE"""),"2803/FTSCY/WS95011 3612510.00 NURHAYATI 3612510.00 NURHAYATI")</f>
        <v>2803/FTSCY/WS95011 3612510.00 NURHAYATI 3612510.00 NURHAYATI</v>
      </c>
      <c r="D217" s="7">
        <f>IFERROR(__xludf.DUMMYFUNCTION("""COMPUTED_VALUE"""),3612510.0)</f>
        <v>3612510</v>
      </c>
      <c r="E217" s="7"/>
      <c r="F217" s="7" t="str">
        <f>IFERROR(__xludf.DUMMYFUNCTION("""COMPUTED_VALUE"""),"DB")</f>
        <v>DB</v>
      </c>
      <c r="G217" s="7">
        <f>IFERROR(__xludf.DUMMYFUNCTION("""COMPUTED_VALUE"""),2.3231587484000003E8)</f>
        <v>232315874.8</v>
      </c>
      <c r="H217" s="7"/>
      <c r="I217" s="7" t="str">
        <f>IFERROR(__xludf.DUMMYFUNCTION("""COMPUTED_VALUE"""),"PRODUKSI")</f>
        <v>PRODUKSI</v>
      </c>
    </row>
    <row r="218">
      <c r="A218" s="9">
        <f>IFERROR(__xludf.DUMMYFUNCTION("""COMPUTED_VALUE"""),46109.0)</f>
        <v>46109</v>
      </c>
      <c r="B218" s="7" t="str">
        <f>IFERROR(__xludf.DUMMYFUNCTION("""COMPUTED_VALUE"""),"TRSF E-BANKING DB")</f>
        <v>TRSF E-BANKING DB</v>
      </c>
      <c r="C218" s="7" t="str">
        <f>IFERROR(__xludf.DUMMYFUNCTION("""COMPUTED_VALUE"""),"2803/FTSCY/WS95011 227528500.00 Thu Mar 26 2026 14:00:00 GMT+0700 (Western Indonesia Time) krg 50 jt SUPER UNGGAS JAYA 227528500.00 Thu Mar 26 2026 14:00:00 GMT+0700 (Western Indonesia Time) krg 50 jt SUPER UNGGAS JAYA")</f>
        <v>2803/FTSCY/WS95011 227528500.00 Thu Mar 26 2026 14:00:00 GMT+0700 (Western Indonesia Time) krg 50 jt SUPER UNGGAS JAYA 227528500.00 Thu Mar 26 2026 14:00:00 GMT+0700 (Western Indonesia Time) krg 50 jt SUPER UNGGAS JAYA</v>
      </c>
      <c r="D218" s="7">
        <f>IFERROR(__xludf.DUMMYFUNCTION("""COMPUTED_VALUE"""),2.275285E8)</f>
        <v>227528500</v>
      </c>
      <c r="E218" s="7"/>
      <c r="F218" s="7" t="str">
        <f>IFERROR(__xludf.DUMMYFUNCTION("""COMPUTED_VALUE"""),"DB")</f>
        <v>DB</v>
      </c>
      <c r="G218" s="7">
        <f>IFERROR(__xludf.DUMMYFUNCTION("""COMPUTED_VALUE"""),4787374.840000033)</f>
        <v>4787374.84</v>
      </c>
      <c r="H218" s="7">
        <f>IFERROR(__xludf.DUMMYFUNCTION("""COMPUTED_VALUE"""),4787374.84)</f>
        <v>4787374.84</v>
      </c>
      <c r="I218" s="7" t="str">
        <f>IFERROR(__xludf.DUMMYFUNCTION("""COMPUTED_VALUE"""),"PRODUKSI")</f>
        <v>PRODUKSI</v>
      </c>
    </row>
    <row r="219">
      <c r="A219" s="9">
        <f>IFERROR(__xludf.DUMMYFUNCTION("""COMPUTED_VALUE"""),46110.0)</f>
        <v>46110</v>
      </c>
      <c r="B219" s="7" t="str">
        <f>IFERROR(__xludf.DUMMYFUNCTION("""COMPUTED_VALUE"""),"TRSF E-BANKING DB")</f>
        <v>TRSF E-BANKING DB</v>
      </c>
      <c r="C219" s="7" t="str">
        <f>IFERROR(__xludf.DUMMYFUNCTION("""COMPUTED_VALUE"""),"2903/FTSCY/WS95271 152221300.00 Fri Mar 27 2026 14:00:00 GMT+0700 (Western Indonesia Time) ANDALAN YASA MITRA 152221300.00 Fri Mar 27 2026 14:00:00 GMT+0700 (Western Indonesia Time) ANDALAN YASA MITRA")</f>
        <v>2903/FTSCY/WS95271 152221300.00 Fri Mar 27 2026 14:00:00 GMT+0700 (Western Indonesia Time) ANDALAN YASA MITRA 152221300.00 Fri Mar 27 2026 14:00:00 GMT+0700 (Western Indonesia Time) ANDALAN YASA MITRA</v>
      </c>
      <c r="D219" s="7">
        <f>IFERROR(__xludf.DUMMYFUNCTION("""COMPUTED_VALUE"""),1.522213E8)</f>
        <v>152221300</v>
      </c>
      <c r="E219" s="7"/>
      <c r="F219" s="7" t="str">
        <f>IFERROR(__xludf.DUMMYFUNCTION("""COMPUTED_VALUE"""),"DB")</f>
        <v>DB</v>
      </c>
      <c r="G219" s="7">
        <f>IFERROR(__xludf.DUMMYFUNCTION("""COMPUTED_VALUE"""),1.6937427984000003E8)</f>
        <v>169374279.8</v>
      </c>
      <c r="H219" s="7"/>
      <c r="I219" s="7" t="str">
        <f>IFERROR(__xludf.DUMMYFUNCTION("""COMPUTED_VALUE"""),"PRODUKSI")</f>
        <v>PRODUKSI</v>
      </c>
    </row>
    <row r="220">
      <c r="A220" s="9">
        <f>IFERROR(__xludf.DUMMYFUNCTION("""COMPUTED_VALUE"""),46110.0)</f>
        <v>46110</v>
      </c>
      <c r="B220" s="7" t="str">
        <f>IFERROR(__xludf.DUMMYFUNCTION("""COMPUTED_VALUE"""),"TRSF E-BANKING DB")</f>
        <v>TRSF E-BANKING DB</v>
      </c>
      <c r="C220" s="7" t="str">
        <f>IFERROR(__xludf.DUMMYFUNCTION("""COMPUTED_VALUE"""),"2903/FTSCY/WS95271 96500000.00 pelunasan 26/03 SUPER UNGGAS JAYA 96500000.00 pelunasan 26/03 SUPER UNGGAS JAYA")</f>
        <v>2903/FTSCY/WS95271 96500000.00 pelunasan 26/03 SUPER UNGGAS JAYA 96500000.00 pelunasan 26/03 SUPER UNGGAS JAYA</v>
      </c>
      <c r="D220" s="7">
        <f>IFERROR(__xludf.DUMMYFUNCTION("""COMPUTED_VALUE"""),9.65E7)</f>
        <v>96500000</v>
      </c>
      <c r="E220" s="7"/>
      <c r="F220" s="7" t="str">
        <f>IFERROR(__xludf.DUMMYFUNCTION("""COMPUTED_VALUE"""),"DB")</f>
        <v>DB</v>
      </c>
      <c r="G220" s="7">
        <f>IFERROR(__xludf.DUMMYFUNCTION("""COMPUTED_VALUE"""),7.287427984000003E7)</f>
        <v>72874279.84</v>
      </c>
      <c r="H220" s="7"/>
      <c r="I220" s="7" t="str">
        <f>IFERROR(__xludf.DUMMYFUNCTION("""COMPUTED_VALUE"""),"PRODUKSI")</f>
        <v>PRODUKSI</v>
      </c>
    </row>
    <row r="221">
      <c r="A221" s="9">
        <f>IFERROR(__xludf.DUMMYFUNCTION("""COMPUTED_VALUE"""),46110.0)</f>
        <v>46110</v>
      </c>
      <c r="B221" s="7" t="str">
        <f>IFERROR(__xludf.DUMMYFUNCTION("""COMPUTED_VALUE"""),"TRSF E-BANKING DB")</f>
        <v>TRSF E-BANKING DB</v>
      </c>
      <c r="C221" s="7" t="str">
        <f>IFERROR(__xludf.DUMMYFUNCTION("""COMPUTED_VALUE"""),"2903/FTSCY/WS95271 36936500.00 Sat Mar 28 2026 14:00:00 GMT+0700 (Western Indonesia Time) BINTANG TAMA SANTO 36936500.00 Sat Mar 28 2026 14:00:00 GMT+0700 (Western Indonesia Time) BINTANG TAMA SANTO")</f>
        <v>2903/FTSCY/WS95271 36936500.00 Sat Mar 28 2026 14:00:00 GMT+0700 (Western Indonesia Time) BINTANG TAMA SANTO 36936500.00 Sat Mar 28 2026 14:00:00 GMT+0700 (Western Indonesia Time) BINTANG TAMA SANTO</v>
      </c>
      <c r="D221" s="7">
        <f>IFERROR(__xludf.DUMMYFUNCTION("""COMPUTED_VALUE"""),3.69365E7)</f>
        <v>36936500</v>
      </c>
      <c r="E221" s="7"/>
      <c r="F221" s="7" t="str">
        <f>IFERROR(__xludf.DUMMYFUNCTION("""COMPUTED_VALUE"""),"DB")</f>
        <v>DB</v>
      </c>
      <c r="G221" s="7">
        <f>IFERROR(__xludf.DUMMYFUNCTION("""COMPUTED_VALUE"""),3.593777984000003E7)</f>
        <v>35937779.84</v>
      </c>
      <c r="H221" s="7"/>
      <c r="I221" s="7" t="str">
        <f>IFERROR(__xludf.DUMMYFUNCTION("""COMPUTED_VALUE"""),"PRODUKSI")</f>
        <v>PRODUKSI</v>
      </c>
    </row>
    <row r="222">
      <c r="A222" s="9">
        <f>IFERROR(__xludf.DUMMYFUNCTION("""COMPUTED_VALUE"""),46110.0)</f>
        <v>46110</v>
      </c>
      <c r="B222" s="7" t="str">
        <f>IFERROR(__xludf.DUMMYFUNCTION("""COMPUTED_VALUE"""),"TRSF E-BANKING DB")</f>
        <v>TRSF E-BANKING DB</v>
      </c>
      <c r="C222" s="7" t="str">
        <f>IFERROR(__xludf.DUMMYFUNCTION("""COMPUTED_VALUE"""),"2903/FTFVA/WS95031 55569/PT PRIMA FAJ kd totok B mlg 380 0kg 40190 55569/PT PRIMA FAJ kd totok B mlg 380 0kg 40190")</f>
        <v>2903/FTFVA/WS95031 55569/PT PRIMA FAJ kd totok B mlg 380 0kg 40190 55569/PT PRIMA FAJ kd totok B mlg 380 0kg 40190</v>
      </c>
      <c r="D222" s="7">
        <f>IFERROR(__xludf.DUMMYFUNCTION("""COMPUTED_VALUE"""),6.004E7)</f>
        <v>60040000</v>
      </c>
      <c r="E222" s="7"/>
      <c r="F222" s="7" t="str">
        <f>IFERROR(__xludf.DUMMYFUNCTION("""COMPUTED_VALUE"""),"DB")</f>
        <v>DB</v>
      </c>
      <c r="G222" s="7">
        <f>IFERROR(__xludf.DUMMYFUNCTION("""COMPUTED_VALUE"""),2.4250511984000003E8)</f>
        <v>242505119.8</v>
      </c>
      <c r="H222" s="7">
        <f>IFERROR(__xludf.DUMMYFUNCTION("""COMPUTED_VALUE"""),2.4250511984E8)</f>
        <v>242505119.8</v>
      </c>
      <c r="I222" s="7" t="str">
        <f>IFERROR(__xludf.DUMMYFUNCTION("""COMPUTED_VALUE"""),"PRODUKSI")</f>
        <v>PRODUKSI</v>
      </c>
    </row>
    <row r="223">
      <c r="A223" s="9">
        <f>IFERROR(__xludf.DUMMYFUNCTION("""COMPUTED_VALUE"""),46110.0)</f>
        <v>46110</v>
      </c>
      <c r="B223" s="7" t="str">
        <f>IFERROR(__xludf.DUMMYFUNCTION("""COMPUTED_VALUE"""),"TRSF E-BANKING DB")</f>
        <v>TRSF E-BANKING DB</v>
      </c>
      <c r="C223" s="7" t="str">
        <f>IFERROR(__xludf.DUMMYFUNCTION("""COMPUTED_VALUE"""),"2903/FTSCY/WS95011 157276950.00 Fri Mar 27 2026 14:00:00 GMT+0700 (Western Indonesia Time) BINTANG TAMA SANTO 157276950.00 Fri Mar 27 2026 14:00:00 GMT+0700 (Western Indonesia Time) BINTANG TAMA SANTO")</f>
        <v>2903/FTSCY/WS95011 157276950.00 Fri Mar 27 2026 14:00:00 GMT+0700 (Western Indonesia Time) BINTANG TAMA SANTO 157276950.00 Fri Mar 27 2026 14:00:00 GMT+0700 (Western Indonesia Time) BINTANG TAMA SANTO</v>
      </c>
      <c r="D223" s="7">
        <f>IFERROR(__xludf.DUMMYFUNCTION("""COMPUTED_VALUE"""),1.5727695E8)</f>
        <v>157276950</v>
      </c>
      <c r="E223" s="7"/>
      <c r="F223" s="7" t="str">
        <f>IFERROR(__xludf.DUMMYFUNCTION("""COMPUTED_VALUE"""),"DB")</f>
        <v>DB</v>
      </c>
      <c r="G223" s="7">
        <f>IFERROR(__xludf.DUMMYFUNCTION("""COMPUTED_VALUE"""),8.522816984000003E7)</f>
        <v>85228169.84</v>
      </c>
      <c r="H223" s="7">
        <f>IFERROR(__xludf.DUMMYFUNCTION("""COMPUTED_VALUE"""),8.522816984E7)</f>
        <v>85228169.84</v>
      </c>
      <c r="I223" s="7" t="str">
        <f>IFERROR(__xludf.DUMMYFUNCTION("""COMPUTED_VALUE"""),"PRODUKSI")</f>
        <v>PRODUKSI</v>
      </c>
    </row>
    <row r="224">
      <c r="A224" s="9">
        <f>IFERROR(__xludf.DUMMYFUNCTION("""COMPUTED_VALUE"""),46110.0)</f>
        <v>46110</v>
      </c>
      <c r="B224" s="7" t="str">
        <f>IFERROR(__xludf.DUMMYFUNCTION("""COMPUTED_VALUE"""),"TRSF E-BANKING DB")</f>
        <v>TRSF E-BANKING DB</v>
      </c>
      <c r="C224" s="7" t="str">
        <f>IFERROR(__xludf.DUMMYFUNCTION("""COMPUTED_VALUE"""),"2903/FTSCY/WS95031 44553000.00 Fri Mar 27 2026 14:00:00 GMT+0700 (Western Indonesia Time) BROILER MAKMUR TAN 44553000.00 Fri Mar 27 2026 14:00:00 GMT+0700 (Western Indonesia Time) BROILER MAKMUR TAN")</f>
        <v>2903/FTSCY/WS95031 44553000.00 Fri Mar 27 2026 14:00:00 GMT+0700 (Western Indonesia Time) BROILER MAKMUR TAN 44553000.00 Fri Mar 27 2026 14:00:00 GMT+0700 (Western Indonesia Time) BROILER MAKMUR TAN</v>
      </c>
      <c r="D224" s="7">
        <f>IFERROR(__xludf.DUMMYFUNCTION("""COMPUTED_VALUE"""),4.4553E7)</f>
        <v>44553000</v>
      </c>
      <c r="E224" s="7"/>
      <c r="F224" s="7" t="str">
        <f>IFERROR(__xludf.DUMMYFUNCTION("""COMPUTED_VALUE"""),"DB")</f>
        <v>DB</v>
      </c>
      <c r="G224" s="7">
        <f>IFERROR(__xludf.DUMMYFUNCTION("""COMPUTED_VALUE"""),4.067516984000003E7)</f>
        <v>40675169.84</v>
      </c>
      <c r="H224" s="7"/>
      <c r="I224" s="7" t="str">
        <f>IFERROR(__xludf.DUMMYFUNCTION("""COMPUTED_VALUE"""),"PRODUKSI")</f>
        <v>PRODUKSI</v>
      </c>
    </row>
    <row r="225">
      <c r="A225" s="9">
        <f>IFERROR(__xludf.DUMMYFUNCTION("""COMPUTED_VALUE"""),46110.0)</f>
        <v>46110</v>
      </c>
      <c r="B225" s="7" t="str">
        <f>IFERROR(__xludf.DUMMYFUNCTION("""COMPUTED_VALUE"""),"TRSF E-BANKING DB")</f>
        <v>TRSF E-BANKING DB</v>
      </c>
      <c r="C225" s="7" t="str">
        <f>IFERROR(__xludf.DUMMYFUNCTION("""COMPUTED_VALUE"""),"2903/FTSCY/WS95011 90784780.00 Fri Mar 27 2026 14:00:00 GMT+0700 (Western Indonesia Time) BROILER MAKMUR TAN 90784780.00 Fri Mar 27 2026 14:00:00 GMT+0700 (Western Indonesia Time) BROILER MAKMUR TAN")</f>
        <v>2903/FTSCY/WS95011 90784780.00 Fri Mar 27 2026 14:00:00 GMT+0700 (Western Indonesia Time) BROILER MAKMUR TAN 90784780.00 Fri Mar 27 2026 14:00:00 GMT+0700 (Western Indonesia Time) BROILER MAKMUR TAN</v>
      </c>
      <c r="D225" s="7">
        <f>IFERROR(__xludf.DUMMYFUNCTION("""COMPUTED_VALUE"""),9.078478E7)</f>
        <v>90784780</v>
      </c>
      <c r="E225" s="7"/>
      <c r="F225" s="7" t="str">
        <f>IFERROR(__xludf.DUMMYFUNCTION("""COMPUTED_VALUE"""),"DB")</f>
        <v>DB</v>
      </c>
      <c r="G225" s="7">
        <f>IFERROR(__xludf.DUMMYFUNCTION("""COMPUTED_VALUE"""),1.6221572984000003E8)</f>
        <v>162215729.8</v>
      </c>
      <c r="H225" s="7"/>
      <c r="I225" s="7" t="str">
        <f>IFERROR(__xludf.DUMMYFUNCTION("""COMPUTED_VALUE"""),"PRODUKSI")</f>
        <v>PRODUKSI</v>
      </c>
    </row>
    <row r="226">
      <c r="A226" s="9">
        <f>IFERROR(__xludf.DUMMYFUNCTION("""COMPUTED_VALUE"""),46110.0)</f>
        <v>46110</v>
      </c>
      <c r="B226" s="7" t="str">
        <f>IFERROR(__xludf.DUMMYFUNCTION("""COMPUTED_VALUE"""),"TRSF E-BANKING DB")</f>
        <v>TRSF E-BANKING DB</v>
      </c>
      <c r="C226" s="7" t="str">
        <f>IFERROR(__xludf.DUMMYFUNCTION("""COMPUTED_VALUE"""),"2903/FTSCY/WS95011 74084150.00 Sat Mar 28 2026 14:00:00 GMT+0700 (Western Indonesia Time) ANUGERAH KARTIKA A 74084150.00 Sat Mar 28 2026 14:00:00 GMT+0700 (Western Indonesia Time) ANUGERAH KARTIKA A")</f>
        <v>2903/FTSCY/WS95011 74084150.00 Sat Mar 28 2026 14:00:00 GMT+0700 (Western Indonesia Time) ANUGERAH KARTIKA A 74084150.00 Sat Mar 28 2026 14:00:00 GMT+0700 (Western Indonesia Time) ANUGERAH KARTIKA A</v>
      </c>
      <c r="D226" s="7">
        <f>IFERROR(__xludf.DUMMYFUNCTION("""COMPUTED_VALUE"""),7.408415E7)</f>
        <v>74084150</v>
      </c>
      <c r="E226" s="7"/>
      <c r="F226" s="7" t="str">
        <f>IFERROR(__xludf.DUMMYFUNCTION("""COMPUTED_VALUE"""),"DB")</f>
        <v>DB</v>
      </c>
      <c r="G226" s="7">
        <f>IFERROR(__xludf.DUMMYFUNCTION("""COMPUTED_VALUE"""),8.813157984000003E7)</f>
        <v>88131579.84</v>
      </c>
      <c r="H226" s="7"/>
      <c r="I226" s="7" t="str">
        <f>IFERROR(__xludf.DUMMYFUNCTION("""COMPUTED_VALUE"""),"PRODUKSI")</f>
        <v>PRODUKSI</v>
      </c>
    </row>
    <row r="227">
      <c r="A227" s="9">
        <f>IFERROR(__xludf.DUMMYFUNCTION("""COMPUTED_VALUE"""),46111.0)</f>
        <v>46111</v>
      </c>
      <c r="B227" s="7" t="str">
        <f>IFERROR(__xludf.DUMMYFUNCTION("""COMPUTED_VALUE"""),"TRSF E-BANKING DB TANGGAL :29/03")</f>
        <v>TRSF E-BANKING DB TANGGAL :29/03</v>
      </c>
      <c r="C227" s="7" t="str">
        <f>IFERROR(__xludf.DUMMYFUNCTION("""COMPUTED_VALUE"""),"2903/FTSCY/WS95011 kd eko w sragen 3500kg PRIMA JAYA BERSATU kd eko w sragen 3500kg PRIMA JAYA BERSATU")</f>
        <v>2903/FTSCY/WS95011 kd eko w sragen 3500kg PRIMA JAYA BERSATU kd eko w sragen 3500kg PRIMA JAYA BERSATU</v>
      </c>
      <c r="D227" s="7">
        <f>IFERROR(__xludf.DUMMYFUNCTION("""COMPUTED_VALUE"""),5.425E7)</f>
        <v>54250000</v>
      </c>
      <c r="E227" s="7"/>
      <c r="F227" s="7" t="str">
        <f>IFERROR(__xludf.DUMMYFUNCTION("""COMPUTED_VALUE"""),"DB")</f>
        <v>DB</v>
      </c>
      <c r="G227" s="7">
        <f>IFERROR(__xludf.DUMMYFUNCTION("""COMPUTED_VALUE"""),2.3496779840000033E7)</f>
        <v>23496779.84</v>
      </c>
      <c r="H227" s="7"/>
      <c r="I227" s="7" t="str">
        <f>IFERROR(__xludf.DUMMYFUNCTION("""COMPUTED_VALUE"""),"PRODUKSI")</f>
        <v>PRODUKSI</v>
      </c>
    </row>
    <row r="228">
      <c r="A228" s="9">
        <f>IFERROR(__xludf.DUMMYFUNCTION("""COMPUTED_VALUE"""),46111.0)</f>
        <v>46111</v>
      </c>
      <c r="B228" s="7" t="str">
        <f>IFERROR(__xludf.DUMMYFUNCTION("""COMPUTED_VALUE"""),"TRSF E-BANKING DB")</f>
        <v>TRSF E-BANKING DB</v>
      </c>
      <c r="C228" s="7" t="str">
        <f>IFERROR(__xludf.DUMMYFUNCTION("""COMPUTED_VALUE"""),"3003/FTSCY/WS95271 155227850.00 Sat Mar 28 2026 14:00:00 GMT+0700 (Western Indonesia Time) ANDALAN YASA MITRA 155227850.00 Sat Mar 28 2026 14:00:00 GMT+0700 (Western Indonesia Time) ANDALAN YASA MITRA")</f>
        <v>3003/FTSCY/WS95271 155227850.00 Sat Mar 28 2026 14:00:00 GMT+0700 (Western Indonesia Time) ANDALAN YASA MITRA 155227850.00 Sat Mar 28 2026 14:00:00 GMT+0700 (Western Indonesia Time) ANDALAN YASA MITRA</v>
      </c>
      <c r="D228" s="7">
        <f>IFERROR(__xludf.DUMMYFUNCTION("""COMPUTED_VALUE"""),1.5522785E8)</f>
        <v>155227850</v>
      </c>
      <c r="E228" s="7"/>
      <c r="F228" s="7" t="str">
        <f>IFERROR(__xludf.DUMMYFUNCTION("""COMPUTED_VALUE"""),"DB")</f>
        <v>DB</v>
      </c>
      <c r="G228" s="7">
        <f>IFERROR(__xludf.DUMMYFUNCTION("""COMPUTED_VALUE"""),3.5710923484000003E8)</f>
        <v>357109234.8</v>
      </c>
      <c r="H228" s="7"/>
      <c r="I228" s="7" t="str">
        <f>IFERROR(__xludf.DUMMYFUNCTION("""COMPUTED_VALUE"""),"PRODUKSI")</f>
        <v>PRODUKSI</v>
      </c>
    </row>
    <row r="229">
      <c r="A229" s="9">
        <f>IFERROR(__xludf.DUMMYFUNCTION("""COMPUTED_VALUE"""),46111.0)</f>
        <v>46111</v>
      </c>
      <c r="B229" s="7" t="str">
        <f>IFERROR(__xludf.DUMMYFUNCTION("""COMPUTED_VALUE"""),"TRSF E-BANKING DB")</f>
        <v>TRSF E-BANKING DB</v>
      </c>
      <c r="C229" s="7" t="str">
        <f>IFERROR(__xludf.DUMMYFUNCTION("""COMPUTED_VALUE"""),"3003/FTSCY/WS95271 40741750.00 Sat Mar 28 2026 14:00:00 GMT+0700 (Western Indonesia Time) BINTANG TAMA SANTO 40741750.00 Sat Mar 28 2026 14:00:00 GMT+0700 (Western Indonesia Time) BINTANG TAMA SANTO")</f>
        <v>3003/FTSCY/WS95271 40741750.00 Sat Mar 28 2026 14:00:00 GMT+0700 (Western Indonesia Time) BINTANG TAMA SANTO 40741750.00 Sat Mar 28 2026 14:00:00 GMT+0700 (Western Indonesia Time) BINTANG TAMA SANTO</v>
      </c>
      <c r="D229" s="7">
        <f>IFERROR(__xludf.DUMMYFUNCTION("""COMPUTED_VALUE"""),4.074175E7)</f>
        <v>40741750</v>
      </c>
      <c r="E229" s="7"/>
      <c r="F229" s="7" t="str">
        <f>IFERROR(__xludf.DUMMYFUNCTION("""COMPUTED_VALUE"""),"DB")</f>
        <v>DB</v>
      </c>
      <c r="G229" s="7">
        <f>IFERROR(__xludf.DUMMYFUNCTION("""COMPUTED_VALUE"""),3.1636748484000003E8)</f>
        <v>316367484.8</v>
      </c>
      <c r="H229" s="7"/>
      <c r="I229" s="7" t="str">
        <f>IFERROR(__xludf.DUMMYFUNCTION("""COMPUTED_VALUE"""),"PRODUKSI")</f>
        <v>PRODUKSI</v>
      </c>
    </row>
    <row r="230">
      <c r="A230" s="9">
        <f>IFERROR(__xludf.DUMMYFUNCTION("""COMPUTED_VALUE"""),46111.0)</f>
        <v>46111</v>
      </c>
      <c r="B230" s="7" t="str">
        <f>IFERROR(__xludf.DUMMYFUNCTION("""COMPUTED_VALUE"""),"TRSF E-BANKING DB")</f>
        <v>TRSF E-BANKING DB</v>
      </c>
      <c r="C230" s="7" t="str">
        <f>IFERROR(__xludf.DUMMYFUNCTION("""COMPUTED_VALUE"""),"3003/FTSCY/WS95271 94635250.00 Sat Mar 28 2026 14:00:00 GMT+0700 (Western Indonesia Time) PITIK DIGITAL INDO 94635250.00 Sat Mar 28 2026 14:00:00 GMT+0700 (Western Indonesia Time) PITIK DIGITAL INDO")</f>
        <v>3003/FTSCY/WS95271 94635250.00 Sat Mar 28 2026 14:00:00 GMT+0700 (Western Indonesia Time) PITIK DIGITAL INDO 94635250.00 Sat Mar 28 2026 14:00:00 GMT+0700 (Western Indonesia Time) PITIK DIGITAL INDO</v>
      </c>
      <c r="D230" s="7">
        <f>IFERROR(__xludf.DUMMYFUNCTION("""COMPUTED_VALUE"""),9.463525E7)</f>
        <v>94635250</v>
      </c>
      <c r="E230" s="7"/>
      <c r="F230" s="7" t="str">
        <f>IFERROR(__xludf.DUMMYFUNCTION("""COMPUTED_VALUE"""),"DB")</f>
        <v>DB</v>
      </c>
      <c r="G230" s="7">
        <f>IFERROR(__xludf.DUMMYFUNCTION("""COMPUTED_VALUE"""),2.2173223484000003E8)</f>
        <v>221732234.8</v>
      </c>
      <c r="H230" s="7"/>
      <c r="I230" s="7" t="str">
        <f>IFERROR(__xludf.DUMMYFUNCTION("""COMPUTED_VALUE"""),"PRODUKSI")</f>
        <v>PRODUKSI</v>
      </c>
    </row>
    <row r="231">
      <c r="A231" s="9">
        <f>IFERROR(__xludf.DUMMYFUNCTION("""COMPUTED_VALUE"""),46111.0)</f>
        <v>46111</v>
      </c>
      <c r="B231" s="7" t="str">
        <f>IFERROR(__xludf.DUMMYFUNCTION("""COMPUTED_VALUE"""),"TRSF E-BANKING DB")</f>
        <v>TRSF E-BANKING DB</v>
      </c>
      <c r="C231" s="7" t="str">
        <f>IFERROR(__xludf.DUMMYFUNCTION("""COMPUTED_VALUE"""),"3003/FTSCY/WS95031 60800000.00 kd bayu aji ponoro go 3800kg UNGGAS MANDIRI BER 60800000.00 kd bayu aji ponoro go 3800kg UNGGAS MANDIRI BER")</f>
        <v>3003/FTSCY/WS95031 60800000.00 kd bayu aji ponoro go 3800kg UNGGAS MANDIRI BER 60800000.00 kd bayu aji ponoro go 3800kg UNGGAS MANDIRI BER</v>
      </c>
      <c r="D231" s="7">
        <f>IFERROR(__xludf.DUMMYFUNCTION("""COMPUTED_VALUE"""),6.08E7)</f>
        <v>60800000</v>
      </c>
      <c r="E231" s="7"/>
      <c r="F231" s="7" t="str">
        <f>IFERROR(__xludf.DUMMYFUNCTION("""COMPUTED_VALUE"""),"DB")</f>
        <v>DB</v>
      </c>
      <c r="G231" s="7">
        <f>IFERROR(__xludf.DUMMYFUNCTION("""COMPUTED_VALUE"""),2.9427961484000003E8)</f>
        <v>294279614.8</v>
      </c>
      <c r="H231" s="7"/>
      <c r="I231" s="7" t="str">
        <f>IFERROR(__xludf.DUMMYFUNCTION("""COMPUTED_VALUE"""),"PRODUKSI")</f>
        <v>PRODUKSI</v>
      </c>
    </row>
    <row r="232">
      <c r="A232" s="9">
        <f>IFERROR(__xludf.DUMMYFUNCTION("""COMPUTED_VALUE"""),46111.0)</f>
        <v>46111</v>
      </c>
      <c r="B232" s="7" t="str">
        <f>IFERROR(__xludf.DUMMYFUNCTION("""COMPUTED_VALUE"""),"TRSF E-BANKING DB")</f>
        <v>TRSF E-BANKING DB</v>
      </c>
      <c r="C232" s="7" t="str">
        <f>IFERROR(__xludf.DUMMYFUNCTION("""COMPUTED_VALUE"""),"3003/FTSCY/WS95011 137792520.00 Sat Mar 28 2026 14:00:00 GMT+0700 (Western Indonesia Time) BROILER MAKMUR TAN 137792520.00 Sat Mar 28 2026 14:00:00 GMT+0700 (Western Indonesia Time) BROILER MAKMUR TAN")</f>
        <v>3003/FTSCY/WS95011 137792520.00 Sat Mar 28 2026 14:00:00 GMT+0700 (Western Indonesia Time) BROILER MAKMUR TAN 137792520.00 Sat Mar 28 2026 14:00:00 GMT+0700 (Western Indonesia Time) BROILER MAKMUR TAN</v>
      </c>
      <c r="D232" s="7">
        <f>IFERROR(__xludf.DUMMYFUNCTION("""COMPUTED_VALUE"""),1.3779252E8)</f>
        <v>137792520</v>
      </c>
      <c r="E232" s="7"/>
      <c r="F232" s="7" t="str">
        <f>IFERROR(__xludf.DUMMYFUNCTION("""COMPUTED_VALUE"""),"DB")</f>
        <v>DB</v>
      </c>
      <c r="G232" s="7">
        <f>IFERROR(__xludf.DUMMYFUNCTION("""COMPUTED_VALUE"""),1.5648709484000003E8)</f>
        <v>156487094.8</v>
      </c>
      <c r="H232" s="7"/>
      <c r="I232" s="7" t="str">
        <f>IFERROR(__xludf.DUMMYFUNCTION("""COMPUTED_VALUE"""),"PRODUKSI")</f>
        <v>PRODUKSI</v>
      </c>
    </row>
    <row r="233">
      <c r="A233" s="9">
        <f>IFERROR(__xludf.DUMMYFUNCTION("""COMPUTED_VALUE"""),46111.0)</f>
        <v>46111</v>
      </c>
      <c r="B233" s="7" t="str">
        <f>IFERROR(__xludf.DUMMYFUNCTION("""COMPUTED_VALUE"""),"BI-FAST DB")</f>
        <v>BI-FAST DB</v>
      </c>
      <c r="C233" s="7" t="str">
        <f>IFERROR(__xludf.DUMMYFUNCTION("""COMPUTED_VALUE"""),"BIF TRANSFER KE 9 NOUVAL HOLQI RISKU M-BCA 9 NOUVAL HOLQI RISKU M-BCA")</f>
        <v>BIF TRANSFER KE 9 NOUVAL HOLQI RISKU M-BCA 9 NOUVAL HOLQI RISKU M-BCA</v>
      </c>
      <c r="D233" s="7">
        <f>IFERROR(__xludf.DUMMYFUNCTION("""COMPUTED_VALUE"""),123000.0)</f>
        <v>123000</v>
      </c>
      <c r="E233" s="7"/>
      <c r="F233" s="7" t="str">
        <f>IFERROR(__xludf.DUMMYFUNCTION("""COMPUTED_VALUE"""),"DB")</f>
        <v>DB</v>
      </c>
      <c r="G233" s="7">
        <f>IFERROR(__xludf.DUMMYFUNCTION("""COMPUTED_VALUE"""),1.5636409484000003E8)</f>
        <v>156364094.8</v>
      </c>
      <c r="H233" s="7"/>
      <c r="I233" s="7" t="str">
        <f>IFERROR(__xludf.DUMMYFUNCTION("""COMPUTED_VALUE"""),"PRODUKSI")</f>
        <v>PRODUKSI</v>
      </c>
    </row>
    <row r="234">
      <c r="A234" s="9">
        <f>IFERROR(__xludf.DUMMYFUNCTION("""COMPUTED_VALUE"""),46111.0)</f>
        <v>46111</v>
      </c>
      <c r="B234" s="7" t="str">
        <f>IFERROR(__xludf.DUMMYFUNCTION("""COMPUTED_VALUE"""),"BI-FAST DB")</f>
        <v>BI-FAST DB</v>
      </c>
      <c r="C234" s="7" t="str">
        <f>IFERROR(__xludf.DUMMYFUNCTION("""COMPUTED_VALUE"""),"BIF BIAYA TXN KE 9 NOUVAL HOLQI RISKU M-BCA 9 NOUVAL HOLQI RISKU M-BCA")</f>
        <v>BIF BIAYA TXN KE 9 NOUVAL HOLQI RISKU M-BCA 9 NOUVAL HOLQI RISKU M-BCA</v>
      </c>
      <c r="D234" s="7">
        <f>IFERROR(__xludf.DUMMYFUNCTION("""COMPUTED_VALUE"""),2500.0)</f>
        <v>2500</v>
      </c>
      <c r="E234" s="7"/>
      <c r="F234" s="7" t="str">
        <f>IFERROR(__xludf.DUMMYFUNCTION("""COMPUTED_VALUE"""),"DB")</f>
        <v>DB</v>
      </c>
      <c r="G234" s="7">
        <f>IFERROR(__xludf.DUMMYFUNCTION("""COMPUTED_VALUE"""),1.5636159484000003E8)</f>
        <v>156361594.8</v>
      </c>
      <c r="H234" s="7"/>
      <c r="I234" s="7" t="str">
        <f>IFERROR(__xludf.DUMMYFUNCTION("""COMPUTED_VALUE"""),"PRODUKSI")</f>
        <v>PRODUKSI</v>
      </c>
    </row>
    <row r="235">
      <c r="A235" s="9">
        <f>IFERROR(__xludf.DUMMYFUNCTION("""COMPUTED_VALUE"""),46111.0)</f>
        <v>46111</v>
      </c>
      <c r="B235" s="7" t="str">
        <f>IFERROR(__xludf.DUMMYFUNCTION("""COMPUTED_VALUE"""),"TRSF E-BANKING DB")</f>
        <v>TRSF E-BANKING DB</v>
      </c>
      <c r="C235" s="7" t="str">
        <f>IFERROR(__xludf.DUMMYFUNCTION("""COMPUTED_VALUE"""),"3003/FTSCY/WS95011 142218700.00 Sat Mar 28 2026 14:00:00 GMT+0700 (Western Indonesia Time) krg 200 jt SUPER UNGGAS JAYA")</f>
        <v>3003/FTSCY/WS95011 142218700.00 Sat Mar 28 2026 14:00:00 GMT+0700 (Western Indonesia Time) krg 200 jt SUPER UNGGAS JAYA</v>
      </c>
      <c r="D235" s="7">
        <f>IFERROR(__xludf.DUMMYFUNCTION("""COMPUTED_VALUE"""),1.422187E8)</f>
        <v>142218700</v>
      </c>
      <c r="E235" s="7"/>
      <c r="F235" s="7" t="str">
        <f>IFERROR(__xludf.DUMMYFUNCTION("""COMPUTED_VALUE"""),"DB")</f>
        <v>DB</v>
      </c>
      <c r="G235" s="7">
        <f>IFERROR(__xludf.DUMMYFUNCTION("""COMPUTED_VALUE"""),1.4142894840000033E7)</f>
        <v>14142894.84</v>
      </c>
      <c r="H235" s="7"/>
      <c r="I235" s="7" t="str">
        <f>IFERROR(__xludf.DUMMYFUNCTION("""COMPUTED_VALUE"""),"PRODUKSI")</f>
        <v>PRODUKSI</v>
      </c>
    </row>
    <row r="236">
      <c r="A236" s="9">
        <f>IFERROR(__xludf.DUMMYFUNCTION("""COMPUTED_VALUE"""),46112.0)</f>
        <v>46112</v>
      </c>
      <c r="B236" s="7" t="str">
        <f>IFERROR(__xludf.DUMMYFUNCTION("""COMPUTED_VALUE"""),"TRSF E-BANKING DB TANGGAL :30/03")</f>
        <v>TRSF E-BANKING DB TANGGAL :30/03</v>
      </c>
      <c r="C236" s="7" t="str">
        <f>IFERROR(__xludf.DUMMYFUNCTION("""COMPUTED_VALUE"""),"3003/FTSCY/WS95031 NURHAYATI")</f>
        <v>3003/FTSCY/WS95031 NURHAYATI</v>
      </c>
      <c r="D236" s="7">
        <f>IFERROR(__xludf.DUMMYFUNCTION("""COMPUTED_VALUE"""),1703960.0)</f>
        <v>1703960</v>
      </c>
      <c r="E236" s="7"/>
      <c r="F236" s="7" t="str">
        <f>IFERROR(__xludf.DUMMYFUNCTION("""COMPUTED_VALUE"""),"DB")</f>
        <v>DB</v>
      </c>
      <c r="G236" s="7">
        <f>IFERROR(__xludf.DUMMYFUNCTION("""COMPUTED_VALUE"""),5.938117484000003E7)</f>
        <v>59381174.84</v>
      </c>
      <c r="H236" s="7"/>
      <c r="I236" s="7" t="str">
        <f>IFERROR(__xludf.DUMMYFUNCTION("""COMPUTED_VALUE"""),"PRODUKSI")</f>
        <v>PRODUKSI</v>
      </c>
    </row>
    <row r="237">
      <c r="A237" s="9">
        <f>IFERROR(__xludf.DUMMYFUNCTION("""COMPUTED_VALUE"""),46112.0)</f>
        <v>46112</v>
      </c>
      <c r="B237" s="7" t="str">
        <f>IFERROR(__xludf.DUMMYFUNCTION("""COMPUTED_VALUE"""),"TRSF E-BANKING DB")</f>
        <v>TRSF E-BANKING DB</v>
      </c>
      <c r="C237" s="7" t="str">
        <f>IFERROR(__xludf.DUMMYFUNCTION("""COMPUTED_VALUE"""),"3103/FTSCY/WS95271 101070900.00 Sat Mar 28 2026 14:00:00 GMT+0700 (Western Indonesia Time) ANDALAN YASA MITRA")</f>
        <v>3103/FTSCY/WS95271 101070900.00 Sat Mar 28 2026 14:00:00 GMT+0700 (Western Indonesia Time) ANDALAN YASA MITRA</v>
      </c>
      <c r="D237" s="7">
        <f>IFERROR(__xludf.DUMMYFUNCTION("""COMPUTED_VALUE"""),1.010709E8)</f>
        <v>101070900</v>
      </c>
      <c r="E237" s="7"/>
      <c r="F237" s="7" t="str">
        <f>IFERROR(__xludf.DUMMYFUNCTION("""COMPUTED_VALUE"""),"DB")</f>
        <v>DB</v>
      </c>
      <c r="G237" s="7">
        <f>IFERROR(__xludf.DUMMYFUNCTION("""COMPUTED_VALUE"""),2620274.8400000334)</f>
        <v>2620274.84</v>
      </c>
      <c r="H237" s="7"/>
      <c r="I237" s="7" t="str">
        <f>IFERROR(__xludf.DUMMYFUNCTION("""COMPUTED_VALUE"""),"PRODUKSI")</f>
        <v>PRODUKSI</v>
      </c>
    </row>
    <row r="238">
      <c r="A238" s="9">
        <f>IFERROR(__xludf.DUMMYFUNCTION("""COMPUTED_VALUE"""),46112.0)</f>
        <v>46112</v>
      </c>
      <c r="B238" s="7" t="str">
        <f>IFERROR(__xludf.DUMMYFUNCTION("""COMPUTED_VALUE"""),"TRSF E-BANKING DB")</f>
        <v>TRSF E-BANKING DB</v>
      </c>
      <c r="C238" s="7" t="str">
        <f>IFERROR(__xludf.DUMMYFUNCTION("""COMPUTED_VALUE"""),"3103/FTSCY/WS95031 45723000.00 Sun Mar 29 2026 14:00:00 GMT+0700 (Western Indonesia Time) TUMBUH OPTIMAL PRI")</f>
        <v>3103/FTSCY/WS95031 45723000.00 Sun Mar 29 2026 14:00:00 GMT+0700 (Western Indonesia Time) TUMBUH OPTIMAL PRI</v>
      </c>
      <c r="D238" s="7">
        <f>IFERROR(__xludf.DUMMYFUNCTION("""COMPUTED_VALUE"""),4.5723E7)</f>
        <v>45723000</v>
      </c>
      <c r="E238" s="7"/>
      <c r="F238" s="7" t="str">
        <f>IFERROR(__xludf.DUMMYFUNCTION("""COMPUTED_VALUE"""),"DB")</f>
        <v>DB</v>
      </c>
      <c r="G238" s="7">
        <f>IFERROR(__xludf.DUMMYFUNCTION("""COMPUTED_VALUE"""),5.1680725484000003E8)</f>
        <v>516807254.8</v>
      </c>
      <c r="H238" s="7"/>
      <c r="I238" s="7" t="str">
        <f>IFERROR(__xludf.DUMMYFUNCTION("""COMPUTED_VALUE"""),"PRODUKSI")</f>
        <v>PRODUKSI</v>
      </c>
    </row>
    <row r="239">
      <c r="A239" s="9">
        <f>IFERROR(__xludf.DUMMYFUNCTION("""COMPUTED_VALUE"""),46112.0)</f>
        <v>46112</v>
      </c>
      <c r="B239" s="7" t="str">
        <f>IFERROR(__xludf.DUMMYFUNCTION("""COMPUTED_VALUE"""),"TRSF E-BANKING DB")</f>
        <v>TRSF E-BANKING DB</v>
      </c>
      <c r="C239" s="7" t="str">
        <f>IFERROR(__xludf.DUMMYFUNCTION("""COMPUTED_VALUE"""),"3103/FTSCY/WS95031 44933400.00 Sun Mar 29 2026 14:00:00 GMT+0700 (Western Indonesia Time) PT BERLIAN INDOMIT")</f>
        <v>3103/FTSCY/WS95031 44933400.00 Sun Mar 29 2026 14:00:00 GMT+0700 (Western Indonesia Time) PT BERLIAN INDOMIT</v>
      </c>
      <c r="D239" s="7">
        <f>IFERROR(__xludf.DUMMYFUNCTION("""COMPUTED_VALUE"""),4.49334E7)</f>
        <v>44933400</v>
      </c>
      <c r="E239" s="7"/>
      <c r="F239" s="7" t="str">
        <f>IFERROR(__xludf.DUMMYFUNCTION("""COMPUTED_VALUE"""),"DB")</f>
        <v>DB</v>
      </c>
      <c r="G239" s="7">
        <f>IFERROR(__xludf.DUMMYFUNCTION("""COMPUTED_VALUE"""),4.7187385484000003E8)</f>
        <v>471873854.8</v>
      </c>
      <c r="H239" s="7"/>
      <c r="I239" s="7" t="str">
        <f>IFERROR(__xludf.DUMMYFUNCTION("""COMPUTED_VALUE"""),"PRODUKSI")</f>
        <v>PRODUKSI</v>
      </c>
    </row>
    <row r="240">
      <c r="A240" s="9">
        <f>IFERROR(__xludf.DUMMYFUNCTION("""COMPUTED_VALUE"""),46112.0)</f>
        <v>46112</v>
      </c>
      <c r="B240" s="7" t="str">
        <f>IFERROR(__xludf.DUMMYFUNCTION("""COMPUTED_VALUE"""),"TRSF E-BANKING DB")</f>
        <v>TRSF E-BANKING DB</v>
      </c>
      <c r="C240" s="7" t="str">
        <f>IFERROR(__xludf.DUMMYFUNCTION("""COMPUTED_VALUE"""),"3103/FTSCY/WS95271 48000000.00 Sun Mar 29 2026 14:00:00 GMT+0700 (Western Indonesia Time) GANESHA SATRIA NUS")</f>
        <v>3103/FTSCY/WS95271 48000000.00 Sun Mar 29 2026 14:00:00 GMT+0700 (Western Indonesia Time) GANESHA SATRIA NUS</v>
      </c>
      <c r="D240" s="7">
        <f>IFERROR(__xludf.DUMMYFUNCTION("""COMPUTED_VALUE"""),4.8E7)</f>
        <v>48000000</v>
      </c>
      <c r="E240" s="7"/>
      <c r="F240" s="7" t="str">
        <f>IFERROR(__xludf.DUMMYFUNCTION("""COMPUTED_VALUE"""),"DB")</f>
        <v>DB</v>
      </c>
      <c r="G240" s="7">
        <f>IFERROR(__xludf.DUMMYFUNCTION("""COMPUTED_VALUE"""),4.2387385484000003E8)</f>
        <v>423873854.8</v>
      </c>
      <c r="H240" s="7"/>
      <c r="I240" s="7" t="str">
        <f>IFERROR(__xludf.DUMMYFUNCTION("""COMPUTED_VALUE"""),"PRODUKSI")</f>
        <v>PRODUKSI</v>
      </c>
    </row>
    <row r="241">
      <c r="A241" s="9">
        <f>IFERROR(__xludf.DUMMYFUNCTION("""COMPUTED_VALUE"""),46112.0)</f>
        <v>46112</v>
      </c>
      <c r="B241" s="7" t="str">
        <f>IFERROR(__xludf.DUMMYFUNCTION("""COMPUTED_VALUE"""),"TRSF E-BANKING DB")</f>
        <v>TRSF E-BANKING DB</v>
      </c>
      <c r="C241" s="7" t="str">
        <f>IFERROR(__xludf.DUMMYFUNCTION("""COMPUTED_VALUE"""),"3103/FTSCY/WS95271 70000000.00 pelunasan ANDALAN YASA MITRA")</f>
        <v>3103/FTSCY/WS95271 70000000.00 pelunasan ANDALAN YASA MITRA</v>
      </c>
      <c r="D241" s="7">
        <f>IFERROR(__xludf.DUMMYFUNCTION("""COMPUTED_VALUE"""),7.0E7)</f>
        <v>70000000</v>
      </c>
      <c r="E241" s="7"/>
      <c r="F241" s="7" t="str">
        <f>IFERROR(__xludf.DUMMYFUNCTION("""COMPUTED_VALUE"""),"DB")</f>
        <v>DB</v>
      </c>
      <c r="G241" s="7">
        <f>IFERROR(__xludf.DUMMYFUNCTION("""COMPUTED_VALUE"""),3.5387385484000003E8)</f>
        <v>353873854.8</v>
      </c>
      <c r="H241" s="7"/>
      <c r="I241" s="7" t="str">
        <f>IFERROR(__xludf.DUMMYFUNCTION("""COMPUTED_VALUE"""),"PRODUKSI")</f>
        <v>PRODUKSI</v>
      </c>
    </row>
    <row r="242">
      <c r="A242" s="9">
        <f>IFERROR(__xludf.DUMMYFUNCTION("""COMPUTED_VALUE"""),46112.0)</f>
        <v>46112</v>
      </c>
      <c r="B242" s="7" t="str">
        <f>IFERROR(__xludf.DUMMYFUNCTION("""COMPUTED_VALUE"""),"TRSF E-BANKING DB")</f>
        <v>TRSF E-BANKING DB</v>
      </c>
      <c r="C242" s="7" t="str">
        <f>IFERROR(__xludf.DUMMYFUNCTION("""COMPUTED_VALUE"""),"3103/FTSCY/WS95271 44905140.00 Sun Mar 29 2026 14:00:00 GMT+0700 (Western Indonesia Time) BINTANG TAMA SANTO")</f>
        <v>3103/FTSCY/WS95271 44905140.00 Sun Mar 29 2026 14:00:00 GMT+0700 (Western Indonesia Time) BINTANG TAMA SANTO</v>
      </c>
      <c r="D242" s="7">
        <f>IFERROR(__xludf.DUMMYFUNCTION("""COMPUTED_VALUE"""),4.490514E7)</f>
        <v>44905140</v>
      </c>
      <c r="E242" s="7"/>
      <c r="F242" s="7" t="str">
        <f>IFERROR(__xludf.DUMMYFUNCTION("""COMPUTED_VALUE"""),"DB")</f>
        <v>DB</v>
      </c>
      <c r="G242" s="7">
        <f>IFERROR(__xludf.DUMMYFUNCTION("""COMPUTED_VALUE"""),3.0896871484000003E8)</f>
        <v>308968714.8</v>
      </c>
      <c r="H242" s="7"/>
      <c r="I242" s="7" t="str">
        <f>IFERROR(__xludf.DUMMYFUNCTION("""COMPUTED_VALUE"""),"PRODUKSI")</f>
        <v>PRODUKSI</v>
      </c>
    </row>
    <row r="243">
      <c r="A243" s="9">
        <f>IFERROR(__xludf.DUMMYFUNCTION("""COMPUTED_VALUE"""),46112.0)</f>
        <v>46112</v>
      </c>
      <c r="B243" s="7" t="str">
        <f>IFERROR(__xludf.DUMMYFUNCTION("""COMPUTED_VALUE"""),"TRSF E-BANKING DB")</f>
        <v>TRSF E-BANKING DB</v>
      </c>
      <c r="C243" s="7" t="str">
        <f>IFERROR(__xludf.DUMMYFUNCTION("""COMPUTED_VALUE"""),"3103/FTSCY/WS95031 654000.00 FERLINDA ANGGI KUS")</f>
        <v>3103/FTSCY/WS95031 654000.00 FERLINDA ANGGI KUS</v>
      </c>
      <c r="D243" s="7">
        <f>IFERROR(__xludf.DUMMYFUNCTION("""COMPUTED_VALUE"""),654000.0)</f>
        <v>654000</v>
      </c>
      <c r="E243" s="7"/>
      <c r="F243" s="7" t="str">
        <f>IFERROR(__xludf.DUMMYFUNCTION("""COMPUTED_VALUE"""),"DB")</f>
        <v>DB</v>
      </c>
      <c r="G243" s="7">
        <f>IFERROR(__xludf.DUMMYFUNCTION("""COMPUTED_VALUE"""),4.6950583484000003E8)</f>
        <v>469505834.8</v>
      </c>
      <c r="H243" s="7"/>
      <c r="I243" s="7" t="str">
        <f>IFERROR(__xludf.DUMMYFUNCTION("""COMPUTED_VALUE"""),"PRODUKSI")</f>
        <v>PRODUKSI</v>
      </c>
    </row>
    <row r="244">
      <c r="A244" s="9">
        <f>IFERROR(__xludf.DUMMYFUNCTION("""COMPUTED_VALUE"""),46112.0)</f>
        <v>46112</v>
      </c>
      <c r="B244" s="7" t="str">
        <f>IFERROR(__xludf.DUMMYFUNCTION("""COMPUTED_VALUE"""),"TRSF E-BANKING DB")</f>
        <v>TRSF E-BANKING DB</v>
      </c>
      <c r="C244" s="7" t="str">
        <f>IFERROR(__xludf.DUMMYFUNCTION("""COMPUTED_VALUE"""),"3103/FTSCY/WS95011 262306900.00 pemb. 28 dan 29/03 SUPER UNGGAS JAYA")</f>
        <v>3103/FTSCY/WS95011 262306900.00 pemb. 28 dan 29/03 SUPER UNGGAS JAYA</v>
      </c>
      <c r="D244" s="7">
        <f>IFERROR(__xludf.DUMMYFUNCTION("""COMPUTED_VALUE"""),2.623069E8)</f>
        <v>262306900</v>
      </c>
      <c r="E244" s="7"/>
      <c r="F244" s="7" t="str">
        <f>IFERROR(__xludf.DUMMYFUNCTION("""COMPUTED_VALUE"""),"DB")</f>
        <v>DB</v>
      </c>
      <c r="G244" s="7">
        <f>IFERROR(__xludf.DUMMYFUNCTION("""COMPUTED_VALUE"""),2.0719893484000003E8)</f>
        <v>207198934.8</v>
      </c>
      <c r="H244" s="7"/>
      <c r="I244" s="7" t="str">
        <f>IFERROR(__xludf.DUMMYFUNCTION("""COMPUTED_VALUE"""),"PRODUKSI")</f>
        <v>PRODUKSI</v>
      </c>
    </row>
    <row r="245">
      <c r="A245" s="9">
        <f>IFERROR(__xludf.DUMMYFUNCTION("""COMPUTED_VALUE"""),46112.0)</f>
        <v>46112</v>
      </c>
      <c r="B245" s="7" t="str">
        <f>IFERROR(__xludf.DUMMYFUNCTION("""COMPUTED_VALUE"""),"TRSF E-BANKING DB")</f>
        <v>TRSF E-BANKING DB</v>
      </c>
      <c r="C245" s="7" t="str">
        <f>IFERROR(__xludf.DUMMYFUNCTION("""COMPUTED_VALUE"""),"3103/FTFVA/WS95031 55569/PT PRIMA FAJ kd suwarno mlg 3 t on 40190")</f>
        <v>3103/FTFVA/WS95031 55569/PT PRIMA FAJ kd suwarno mlg 3 t on 40190</v>
      </c>
      <c r="D245" s="7">
        <f>IFERROR(__xludf.DUMMYFUNCTION("""COMPUTED_VALUE"""),4.74E7)</f>
        <v>47400000</v>
      </c>
      <c r="E245" s="7"/>
      <c r="F245" s="7" t="str">
        <f>IFERROR(__xludf.DUMMYFUNCTION("""COMPUTED_VALUE"""),"DB")</f>
        <v>DB</v>
      </c>
      <c r="G245" s="7">
        <f>IFERROR(__xludf.DUMMYFUNCTION("""COMPUTED_VALUE"""),1.5979893484000003E8)</f>
        <v>159798934.8</v>
      </c>
      <c r="H245" s="7"/>
      <c r="I245" s="7" t="str">
        <f>IFERROR(__xludf.DUMMYFUNCTION("""COMPUTED_VALUE"""),"PRODUKSI")</f>
        <v>PRODUKSI</v>
      </c>
    </row>
    <row r="246">
      <c r="A246" s="9">
        <f>IFERROR(__xludf.DUMMYFUNCTION("""COMPUTED_VALUE"""),46112.0)</f>
        <v>46112</v>
      </c>
      <c r="B246" s="7" t="str">
        <f>IFERROR(__xludf.DUMMYFUNCTION("""COMPUTED_VALUE"""),"TRSF E-BANKING DB")</f>
        <v>TRSF E-BANKING DB</v>
      </c>
      <c r="C246" s="7" t="str">
        <f>IFERROR(__xludf.DUMMYFUNCTION("""COMPUTED_VALUE"""),"3103/FTSCY/WS95011 83089380.00 Sun Mar 29 2026 14:00:00 GMT+0700 (Western Indonesia Time) BROILER MAKMUR TAN")</f>
        <v>3103/FTSCY/WS95011 83089380.00 Sun Mar 29 2026 14:00:00 GMT+0700 (Western Indonesia Time) BROILER MAKMUR TAN</v>
      </c>
      <c r="D246" s="7">
        <f>IFERROR(__xludf.DUMMYFUNCTION("""COMPUTED_VALUE"""),8.308938E7)</f>
        <v>83089380</v>
      </c>
      <c r="E246" s="7"/>
      <c r="F246" s="7" t="str">
        <f>IFERROR(__xludf.DUMMYFUNCTION("""COMPUTED_VALUE"""),"DB")</f>
        <v>DB</v>
      </c>
      <c r="G246" s="7">
        <f>IFERROR(__xludf.DUMMYFUNCTION("""COMPUTED_VALUE"""),7.670955484000003E7)</f>
        <v>76709554.84</v>
      </c>
      <c r="H246" s="7"/>
      <c r="I246" s="7" t="str">
        <f>IFERROR(__xludf.DUMMYFUNCTION("""COMPUTED_VALUE"""),"PRODUKSI")</f>
        <v>PRODUKSI</v>
      </c>
    </row>
    <row r="247">
      <c r="A247" s="9">
        <f>IFERROR(__xludf.DUMMYFUNCTION("""COMPUTED_VALUE"""),46112.0)</f>
        <v>46112</v>
      </c>
      <c r="B247" s="7" t="str">
        <f>IFERROR(__xludf.DUMMYFUNCTION("""COMPUTED_VALUE"""),"TRSF E-BANKING DB")</f>
        <v>TRSF E-BANKING DB</v>
      </c>
      <c r="C247" s="7" t="str">
        <f>IFERROR(__xludf.DUMMYFUNCTION("""COMPUTED_VALUE"""),"3103/FTSCY/WS95031 1600000.00 SUNARTO")</f>
        <v>3103/FTSCY/WS95031 1600000.00 SUNARTO</v>
      </c>
      <c r="D247" s="7">
        <f>IFERROR(__xludf.DUMMYFUNCTION("""COMPUTED_VALUE"""),1600000.0)</f>
        <v>1600000</v>
      </c>
      <c r="E247" s="7"/>
      <c r="F247" s="7" t="str">
        <f>IFERROR(__xludf.DUMMYFUNCTION("""COMPUTED_VALUE"""),"DB")</f>
        <v>DB</v>
      </c>
      <c r="G247" s="7">
        <f>IFERROR(__xludf.DUMMYFUNCTION("""COMPUTED_VALUE"""),1.5591575484000003E8)</f>
        <v>155915754.8</v>
      </c>
      <c r="H247" s="7"/>
      <c r="I247" s="7" t="str">
        <f>IFERROR(__xludf.DUMMYFUNCTION("""COMPUTED_VALUE"""),"PRODUKSI")</f>
        <v>PRODUKSI</v>
      </c>
    </row>
    <row r="248">
      <c r="A248" s="9">
        <f>IFERROR(__xludf.DUMMYFUNCTION("""COMPUTED_VALUE"""),46112.0)</f>
        <v>46112</v>
      </c>
      <c r="B248" s="7" t="str">
        <f>IFERROR(__xludf.DUMMYFUNCTION("""COMPUTED_VALUE"""),"TRSF E-BANKING DB")</f>
        <v>TRSF E-BANKING DB</v>
      </c>
      <c r="C248" s="7" t="str">
        <f>IFERROR(__xludf.DUMMYFUNCTION("""COMPUTED_VALUE"""),"3103/FTSCY/WS95011 154142160.00 Sun Mar 29 2026 14:00:00 GMT+0700 (Western Indonesia Time) BINTANG TAMA SANTO")</f>
        <v>3103/FTSCY/WS95011 154142160.00 Sun Mar 29 2026 14:00:00 GMT+0700 (Western Indonesia Time) BINTANG TAMA SANTO</v>
      </c>
      <c r="D248" s="7">
        <f>IFERROR(__xludf.DUMMYFUNCTION("""COMPUTED_VALUE"""),1.5414216E8)</f>
        <v>154142160</v>
      </c>
      <c r="E248" s="7"/>
      <c r="F248" s="7" t="str">
        <f>IFERROR(__xludf.DUMMYFUNCTION("""COMPUTED_VALUE"""),"DB")</f>
        <v>DB</v>
      </c>
      <c r="G248" s="7">
        <f>IFERROR(__xludf.DUMMYFUNCTION("""COMPUTED_VALUE"""),8.769639484000003E7)</f>
        <v>87696394.84</v>
      </c>
      <c r="H248" s="7"/>
      <c r="I248" s="7" t="str">
        <f>IFERROR(__xludf.DUMMYFUNCTION("""COMPUTED_VALUE"""),"PRODUKSI")</f>
        <v>PRODUKSI</v>
      </c>
    </row>
    <row r="249">
      <c r="A249" s="9">
        <f>IFERROR(__xludf.DUMMYFUNCTION("""COMPUTED_VALUE"""),46112.0)</f>
        <v>46112</v>
      </c>
      <c r="B249" s="7" t="str">
        <f>IFERROR(__xludf.DUMMYFUNCTION("""COMPUTED_VALUE"""),"DR KOREKSI BUNGA")</f>
        <v>DR KOREKSI BUNGA</v>
      </c>
      <c r="C249" s="7" t="str">
        <f>IFERROR(__xludf.DUMMYFUNCTION("""COMPUTED_VALUE"""),"DR KOREKSI BUNGA")</f>
        <v>DR KOREKSI BUNGA</v>
      </c>
      <c r="D249" s="7">
        <f>IFERROR(__xludf.DUMMYFUNCTION("""COMPUTED_VALUE"""),1.53)</f>
        <v>1.53</v>
      </c>
      <c r="E249" s="7"/>
      <c r="F249" s="7"/>
      <c r="G249" s="7">
        <f>IFERROR(__xludf.DUMMYFUNCTION("""COMPUTED_VALUE"""),8.769639331000003E7)</f>
        <v>87696393.31</v>
      </c>
      <c r="H249" s="7"/>
      <c r="I249" s="7" t="str">
        <f>IFERROR(__xludf.DUMMYFUNCTION("""COMPUTED_VALUE"""),"PRODUKSI")</f>
        <v>PRODUKSI</v>
      </c>
    </row>
    <row r="250">
      <c r="A250" s="9">
        <f>IFERROR(__xludf.DUMMYFUNCTION("""COMPUTED_VALUE"""),46112.0)</f>
        <v>46112</v>
      </c>
      <c r="B250" s="7" t="str">
        <f>IFERROR(__xludf.DUMMYFUNCTION("""COMPUTED_VALUE"""),"BUNGA")</f>
        <v>BUNGA</v>
      </c>
      <c r="C250" s="7" t="str">
        <f>IFERROR(__xludf.DUMMYFUNCTION("""COMPUTED_VALUE"""),"BUNGA")</f>
        <v>BUNGA</v>
      </c>
      <c r="D250" s="7">
        <f>IFERROR(__xludf.DUMMYFUNCTION("""COMPUTED_VALUE"""),532.14)</f>
        <v>532.14</v>
      </c>
      <c r="E250" s="7"/>
      <c r="F250" s="7"/>
      <c r="G250" s="7">
        <f>IFERROR(__xludf.DUMMYFUNCTION("""COMPUTED_VALUE"""),8.769586117000003E7)</f>
        <v>87695861.17</v>
      </c>
      <c r="H250" s="7"/>
      <c r="I250" s="7" t="str">
        <f>IFERROR(__xludf.DUMMYFUNCTION("""COMPUTED_VALUE"""),"PRODUKSI")</f>
        <v>PRODUKSI</v>
      </c>
    </row>
    <row r="251">
      <c r="A251" s="9">
        <f>IFERROR(__xludf.DUMMYFUNCTION("""COMPUTED_VALUE"""),46112.0)</f>
        <v>46112</v>
      </c>
      <c r="B251" s="7" t="str">
        <f>IFERROR(__xludf.DUMMYFUNCTION("""COMPUTED_VALUE"""),"PAJAK BUNGA")</f>
        <v>PAJAK BUNGA</v>
      </c>
      <c r="C251" s="7" t="str">
        <f>IFERROR(__xludf.DUMMYFUNCTION("""COMPUTED_VALUE"""),"PAJAK BUNGA")</f>
        <v>PAJAK BUNGA</v>
      </c>
      <c r="D251" s="7">
        <f>IFERROR(__xludf.DUMMYFUNCTION("""COMPUTED_VALUE"""),106.12)</f>
        <v>106.12</v>
      </c>
      <c r="E251" s="7"/>
      <c r="F251" s="7"/>
      <c r="G251" s="7">
        <f>IFERROR(__xludf.DUMMYFUNCTION("""COMPUTED_VALUE"""),8.769575505000003E7)</f>
        <v>87695755.05</v>
      </c>
      <c r="H251" s="7">
        <f>IFERROR(__xludf.DUMMYFUNCTION("""COMPUTED_VALUE"""),8.769681933E7)</f>
        <v>87696819.33</v>
      </c>
      <c r="I251" s="7" t="str">
        <f>IFERROR(__xludf.DUMMYFUNCTION("""COMPUTED_VALUE"""),"PRODUKSI")</f>
        <v>PRODUKSI</v>
      </c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f>IFERROR(__xludf.DUMMYFUNCTION("IFERROR(QUERY(MAR_2023!A:I, ""SELECT * WHERE D IS NOT NULL AND UPPER(I) = 'PRIBADI'"", 1), ""Data PRIBADI belum ditemukan"") "),46082.0)</f>
        <v>46082</v>
      </c>
      <c r="B1" s="7" t="str">
        <f>IFERROR(__xludf.DUMMYFUNCTION("""COMPUTED_VALUE"""),"TARIKAN ATM 01/03")</f>
        <v>TARIKAN ATM 01/03</v>
      </c>
      <c r="C1" s="7" t="str">
        <f>IFERROR(__xludf.DUMMYFUNCTION("""COMPUTED_VALUE"""),"TARIKAN ATM 01/03")</f>
        <v>TARIKAN ATM 01/03</v>
      </c>
      <c r="D1" s="7">
        <f>IFERROR(__xludf.DUMMYFUNCTION("""COMPUTED_VALUE"""),250000.0)</f>
        <v>250000</v>
      </c>
      <c r="E1" s="7"/>
      <c r="F1" s="7"/>
      <c r="G1" s="7">
        <f>IFERROR(__xludf.DUMMYFUNCTION("""COMPUTED_VALUE"""),8.163292984E7)</f>
        <v>81632929.84</v>
      </c>
      <c r="H1" s="7">
        <f>IFERROR(__xludf.DUMMYFUNCTION("""COMPUTED_VALUE"""),8.163292984E7)</f>
        <v>81632929.84</v>
      </c>
      <c r="I1" s="7" t="str">
        <f>IFERROR(__xludf.DUMMYFUNCTION("""COMPUTED_VALUE"""),"PRIBADI")</f>
        <v>PRIBADI</v>
      </c>
      <c r="J1" s="7">
        <f>SUM(D1:D1000)</f>
        <v>15414700</v>
      </c>
    </row>
    <row r="2">
      <c r="A2" s="4">
        <f>IFERROR(__xludf.DUMMYFUNCTION("""COMPUTED_VALUE"""),46084.0)</f>
        <v>46084</v>
      </c>
      <c r="B2" s="7" t="str">
        <f>IFERROR(__xludf.DUMMYFUNCTION("""COMPUTED_VALUE"""),"TARIKAN ATM 03/03")</f>
        <v>TARIKAN ATM 03/03</v>
      </c>
      <c r="C2" s="7" t="str">
        <f>IFERROR(__xludf.DUMMYFUNCTION("""COMPUTED_VALUE"""),"TARIKAN ATM 03/03")</f>
        <v>TARIKAN ATM 03/03</v>
      </c>
      <c r="D2" s="7">
        <f>IFERROR(__xludf.DUMMYFUNCTION("""COMPUTED_VALUE"""),250000.0)</f>
        <v>250000</v>
      </c>
      <c r="E2" s="7"/>
      <c r="F2" s="7"/>
      <c r="G2" s="7">
        <f>IFERROR(__xludf.DUMMYFUNCTION("""COMPUTED_VALUE"""),3.0236721484000003E8)</f>
        <v>302367214.8</v>
      </c>
      <c r="H2" s="7"/>
      <c r="I2" s="7" t="str">
        <f>IFERROR(__xludf.DUMMYFUNCTION("""COMPUTED_VALUE"""),"PRIBADI")</f>
        <v>PRIBADI</v>
      </c>
    </row>
    <row r="3">
      <c r="A3" s="4">
        <f>IFERROR(__xludf.DUMMYFUNCTION("""COMPUTED_VALUE"""),46084.0)</f>
        <v>46084</v>
      </c>
      <c r="B3" s="7" t="str">
        <f>IFERROR(__xludf.DUMMYFUNCTION("""COMPUTED_VALUE"""),"BYR VIA E-BANKING")</f>
        <v>BYR VIA E-BANKING</v>
      </c>
      <c r="C3" s="7" t="str">
        <f>IFERROR(__xludf.DUMMYFUNCTION("""COMPUTED_VALUE"""),"03/03  WSID9503100 0865 PLN PREPAID 32104859353 MUHAMMAD HAIRUL MA")</f>
        <v>03/03  WSID9503100 0865 PLN PREPAID 32104859353 MUHAMMAD HAIRUL MA</v>
      </c>
      <c r="D3" s="7">
        <f>IFERROR(__xludf.DUMMYFUNCTION("""COMPUTED_VALUE"""),102500.0)</f>
        <v>102500</v>
      </c>
      <c r="E3" s="7"/>
      <c r="F3" s="7"/>
      <c r="G3" s="7">
        <f>IFERROR(__xludf.DUMMYFUNCTION("""COMPUTED_VALUE"""),1.7160379484000003E8)</f>
        <v>171603794.8</v>
      </c>
      <c r="H3" s="7">
        <f>IFERROR(__xludf.DUMMYFUNCTION("""COMPUTED_VALUE"""),1.7160379484E8)</f>
        <v>171603794.8</v>
      </c>
      <c r="I3" s="7" t="str">
        <f>IFERROR(__xludf.DUMMYFUNCTION("""COMPUTED_VALUE"""),"PRIBADI")</f>
        <v>PRIBADI</v>
      </c>
    </row>
    <row r="4">
      <c r="A4" s="4">
        <f>IFERROR(__xludf.DUMMYFUNCTION("""COMPUTED_VALUE"""),46085.0)</f>
        <v>46085</v>
      </c>
      <c r="B4" s="7" t="str">
        <f>IFERROR(__xludf.DUMMYFUNCTION("""COMPUTED_VALUE"""),"TARIKAN ATM 04/03")</f>
        <v>TARIKAN ATM 04/03</v>
      </c>
      <c r="C4" s="7" t="str">
        <f>IFERROR(__xludf.DUMMYFUNCTION("""COMPUTED_VALUE"""),"TARIKAN ATM 04/03")</f>
        <v>TARIKAN ATM 04/03</v>
      </c>
      <c r="D4" s="7">
        <f>IFERROR(__xludf.DUMMYFUNCTION("""COMPUTED_VALUE"""),400000.0)</f>
        <v>400000</v>
      </c>
      <c r="E4" s="7"/>
      <c r="F4" s="7"/>
      <c r="G4" s="7">
        <f>IFERROR(__xludf.DUMMYFUNCTION("""COMPUTED_VALUE"""),2.8840309840000033E7)</f>
        <v>28840309.84</v>
      </c>
      <c r="H4" s="7"/>
      <c r="I4" s="7" t="str">
        <f>IFERROR(__xludf.DUMMYFUNCTION("""COMPUTED_VALUE"""),"PRIBADI")</f>
        <v>PRIBADI</v>
      </c>
    </row>
    <row r="5">
      <c r="A5" s="4">
        <f>IFERROR(__xludf.DUMMYFUNCTION("""COMPUTED_VALUE"""),46085.0)</f>
        <v>46085</v>
      </c>
      <c r="B5" s="7" t="str">
        <f>IFERROR(__xludf.DUMMYFUNCTION("""COMPUTED_VALUE"""),"BI-FAST DB")</f>
        <v>BI-FAST DB</v>
      </c>
      <c r="C5" s="7" t="str">
        <f>IFERROR(__xludf.DUMMYFUNCTION("""COMPUTED_VALUE"""),"BIF TRANSFER KE 9 NOUVAL HOLQI RISKU M-BCA")</f>
        <v>BIF TRANSFER KE 9 NOUVAL HOLQI RISKU M-BCA</v>
      </c>
      <c r="D5" s="7">
        <f>IFERROR(__xludf.DUMMYFUNCTION("""COMPUTED_VALUE"""),71000.0)</f>
        <v>71000</v>
      </c>
      <c r="E5" s="7"/>
      <c r="F5" s="7" t="str">
        <f>IFERROR(__xludf.DUMMYFUNCTION("""COMPUTED_VALUE"""),"DB")</f>
        <v>DB</v>
      </c>
      <c r="G5" s="7">
        <f>IFERROR(__xludf.DUMMYFUNCTION("""COMPUTED_VALUE"""),1.0761316384000003E8)</f>
        <v>107613163.8</v>
      </c>
      <c r="H5" s="7"/>
      <c r="I5" s="7" t="str">
        <f>IFERROR(__xludf.DUMMYFUNCTION("""COMPUTED_VALUE"""),"PRIBADI")</f>
        <v>PRIBADI</v>
      </c>
    </row>
    <row r="6">
      <c r="A6" s="4">
        <f>IFERROR(__xludf.DUMMYFUNCTION("""COMPUTED_VALUE"""),46085.0)</f>
        <v>46085</v>
      </c>
      <c r="B6" s="7" t="str">
        <f>IFERROR(__xludf.DUMMYFUNCTION("""COMPUTED_VALUE"""),"BI-FAST DB")</f>
        <v>BI-FAST DB</v>
      </c>
      <c r="C6" s="7" t="str">
        <f>IFERROR(__xludf.DUMMYFUNCTION("""COMPUTED_VALUE"""),"BIF TRANSFER KE 2 PT BPR LESTARI NUS M-BCA")</f>
        <v>BIF TRANSFER KE 2 PT BPR LESTARI NUS M-BCA</v>
      </c>
      <c r="D6" s="7">
        <f>IFERROR(__xludf.DUMMYFUNCTION("""COMPUTED_VALUE"""),714000.0)</f>
        <v>714000</v>
      </c>
      <c r="E6" s="7"/>
      <c r="F6" s="7" t="str">
        <f>IFERROR(__xludf.DUMMYFUNCTION("""COMPUTED_VALUE"""),"DB")</f>
        <v>DB</v>
      </c>
      <c r="G6" s="7">
        <f>IFERROR(__xludf.DUMMYFUNCTION("""COMPUTED_VALUE"""),1.0689666384000003E8)</f>
        <v>106896663.8</v>
      </c>
      <c r="H6" s="7"/>
      <c r="I6" s="7" t="str">
        <f>IFERROR(__xludf.DUMMYFUNCTION("""COMPUTED_VALUE"""),"PRIBADI")</f>
        <v>PRIBADI</v>
      </c>
    </row>
    <row r="7">
      <c r="A7" s="4">
        <f>IFERROR(__xludf.DUMMYFUNCTION("""COMPUTED_VALUE"""),46085.0)</f>
        <v>46085</v>
      </c>
      <c r="B7" s="7" t="str">
        <f>IFERROR(__xludf.DUMMYFUNCTION("""COMPUTED_VALUE"""),"BI-FAST DB")</f>
        <v>BI-FAST DB</v>
      </c>
      <c r="C7" s="7" t="str">
        <f>IFERROR(__xludf.DUMMYFUNCTION("""COMPUTED_VALUE"""),"BIF BIAYA TXN KE 2 PT BPR LESTARI NUS M-BCA")</f>
        <v>BIF BIAYA TXN KE 2 PT BPR LESTARI NUS M-BCA</v>
      </c>
      <c r="D7" s="7">
        <f>IFERROR(__xludf.DUMMYFUNCTION("""COMPUTED_VALUE"""),2500.0)</f>
        <v>2500</v>
      </c>
      <c r="E7" s="7"/>
      <c r="F7" s="7" t="str">
        <f>IFERROR(__xludf.DUMMYFUNCTION("""COMPUTED_VALUE"""),"DB")</f>
        <v>DB</v>
      </c>
      <c r="G7" s="7">
        <f>IFERROR(__xludf.DUMMYFUNCTION("""COMPUTED_VALUE"""),1.0689416384000003E8)</f>
        <v>106894163.8</v>
      </c>
      <c r="H7" s="7"/>
      <c r="I7" s="7" t="str">
        <f>IFERROR(__xludf.DUMMYFUNCTION("""COMPUTED_VALUE"""),"PRIBADI")</f>
        <v>PRIBADI</v>
      </c>
    </row>
    <row r="8">
      <c r="A8" s="4">
        <f>IFERROR(__xludf.DUMMYFUNCTION("""COMPUTED_VALUE"""),46086.0)</f>
        <v>46086</v>
      </c>
      <c r="B8" s="7" t="str">
        <f>IFERROR(__xludf.DUMMYFUNCTION("""COMPUTED_VALUE"""),"TRSF E-BANKING DB")</f>
        <v>TRSF E-BANKING DB</v>
      </c>
      <c r="C8" s="7" t="str">
        <f>IFERROR(__xludf.DUMMYFUNCTION("""COMPUTED_VALUE"""),"0503/FTSCY/WS95031 30000.00 SANDI FAJAR PRASET")</f>
        <v>0503/FTSCY/WS95031 30000.00 SANDI FAJAR PRASET</v>
      </c>
      <c r="D8" s="7">
        <f>IFERROR(__xludf.DUMMYFUNCTION("""COMPUTED_VALUE"""),30000.0)</f>
        <v>30000</v>
      </c>
      <c r="E8" s="7"/>
      <c r="F8" s="7" t="str">
        <f>IFERROR(__xludf.DUMMYFUNCTION("""COMPUTED_VALUE"""),"DB")</f>
        <v>DB</v>
      </c>
      <c r="G8" s="7">
        <f>IFERROR(__xludf.DUMMYFUNCTION("""COMPUTED_VALUE"""),585463.8400000334)</f>
        <v>585463.84</v>
      </c>
      <c r="H8" s="7"/>
      <c r="I8" s="7" t="str">
        <f>IFERROR(__xludf.DUMMYFUNCTION("""COMPUTED_VALUE"""),"PRIBADI")</f>
        <v>PRIBADI</v>
      </c>
    </row>
    <row r="9">
      <c r="A9" s="4">
        <f>IFERROR(__xludf.DUMMYFUNCTION("""COMPUTED_VALUE"""),46088.0)</f>
        <v>46088</v>
      </c>
      <c r="B9" s="7" t="str">
        <f>IFERROR(__xludf.DUMMYFUNCTION("""COMPUTED_VALUE"""),"TRSF E-BANKING DB")</f>
        <v>TRSF E-BANKING DB</v>
      </c>
      <c r="C9" s="7" t="str">
        <f>IFERROR(__xludf.DUMMYFUNCTION("""COMPUTED_VALUE"""),"0703/FTSCY/WS95031 19000.00 byr paket ACHMAD SYAIFUL RIZ")</f>
        <v>0703/FTSCY/WS95031 19000.00 byr paket ACHMAD SYAIFUL RIZ</v>
      </c>
      <c r="D9" s="7">
        <f>IFERROR(__xludf.DUMMYFUNCTION("""COMPUTED_VALUE"""),19000.0)</f>
        <v>19000</v>
      </c>
      <c r="E9" s="7"/>
      <c r="F9" s="7" t="str">
        <f>IFERROR(__xludf.DUMMYFUNCTION("""COMPUTED_VALUE"""),"DB")</f>
        <v>DB</v>
      </c>
      <c r="G9" s="7">
        <f>IFERROR(__xludf.DUMMYFUNCTION("""COMPUTED_VALUE"""),1.3025948840000033E7)</f>
        <v>13025948.84</v>
      </c>
      <c r="H9" s="7"/>
      <c r="I9" s="7" t="str">
        <f>IFERROR(__xludf.DUMMYFUNCTION("""COMPUTED_VALUE"""),"PRIBADI")</f>
        <v>PRIBADI</v>
      </c>
    </row>
    <row r="10">
      <c r="A10" s="4">
        <f>IFERROR(__xludf.DUMMYFUNCTION("""COMPUTED_VALUE"""),46089.0)</f>
        <v>46089</v>
      </c>
      <c r="B10" s="7" t="str">
        <f>IFERROR(__xludf.DUMMYFUNCTION("""COMPUTED_VALUE"""),"TRSF E-BANKING DB")</f>
        <v>TRSF E-BANKING DB</v>
      </c>
      <c r="C10" s="7" t="str">
        <f>IFERROR(__xludf.DUMMYFUNCTION("""COMPUTED_VALUE"""),"0803/FTFVA/WS95031 80777/TOKOPEDIA - - 82318368518")</f>
        <v>0803/FTFVA/WS95031 80777/TOKOPEDIA - - 82318368518</v>
      </c>
      <c r="D10" s="7">
        <f>IFERROR(__xludf.DUMMYFUNCTION("""COMPUTED_VALUE"""),57400.0)</f>
        <v>57400</v>
      </c>
      <c r="E10" s="7"/>
      <c r="F10" s="7" t="str">
        <f>IFERROR(__xludf.DUMMYFUNCTION("""COMPUTED_VALUE"""),"DB")</f>
        <v>DB</v>
      </c>
      <c r="G10" s="7">
        <f>IFERROR(__xludf.DUMMYFUNCTION("""COMPUTED_VALUE"""),6317738.840000033)</f>
        <v>6317738.84</v>
      </c>
      <c r="H10" s="7"/>
      <c r="I10" s="7" t="str">
        <f>IFERROR(__xludf.DUMMYFUNCTION("""COMPUTED_VALUE"""),"PRIBADI")</f>
        <v>PRIBADI</v>
      </c>
    </row>
    <row r="11">
      <c r="A11" s="4">
        <f>IFERROR(__xludf.DUMMYFUNCTION("""COMPUTED_VALUE"""),46089.0)</f>
        <v>46089</v>
      </c>
      <c r="B11" s="7" t="str">
        <f>IFERROR(__xludf.DUMMYFUNCTION("""COMPUTED_VALUE"""),"TARIKAN ATM 08/03")</f>
        <v>TARIKAN ATM 08/03</v>
      </c>
      <c r="C11" s="7" t="str">
        <f>IFERROR(__xludf.DUMMYFUNCTION("""COMPUTED_VALUE"""),"TARIKAN ATM 08/03")</f>
        <v>TARIKAN ATM 08/03</v>
      </c>
      <c r="D11" s="7">
        <f>IFERROR(__xludf.DUMMYFUNCTION("""COMPUTED_VALUE"""),400000.0)</f>
        <v>400000</v>
      </c>
      <c r="E11" s="7"/>
      <c r="F11" s="7"/>
      <c r="G11" s="7">
        <f>IFERROR(__xludf.DUMMYFUNCTION("""COMPUTED_VALUE"""),1.8951895884000003E8)</f>
        <v>189518958.8</v>
      </c>
      <c r="H11" s="7"/>
      <c r="I11" s="7" t="str">
        <f>IFERROR(__xludf.DUMMYFUNCTION("""COMPUTED_VALUE"""),"PRIBADI")</f>
        <v>PRIBADI</v>
      </c>
    </row>
    <row r="12">
      <c r="A12" s="4">
        <f>IFERROR(__xludf.DUMMYFUNCTION("""COMPUTED_VALUE"""),46090.0)</f>
        <v>46090</v>
      </c>
      <c r="B12" s="7" t="str">
        <f>IFERROR(__xludf.DUMMYFUNCTION("""COMPUTED_VALUE"""),"TRSF E-BANKING DB TANGGAL :08/03")</f>
        <v>TRSF E-BANKING DB TANGGAL :08/03</v>
      </c>
      <c r="C12" s="7" t="str">
        <f>IFERROR(__xludf.DUMMYFUNCTION("""COMPUTED_VALUE"""),"0803/FTFVA/WS95031 - - 5335263590")</f>
        <v>0803/FTFVA/WS95031 - - 5335263590</v>
      </c>
      <c r="D12" s="7">
        <f>IFERROR(__xludf.DUMMYFUNCTION("""COMPUTED_VALUE"""),119300.0)</f>
        <v>119300</v>
      </c>
      <c r="E12" s="7"/>
      <c r="F12" s="7" t="str">
        <f>IFERROR(__xludf.DUMMYFUNCTION("""COMPUTED_VALUE"""),"DB")</f>
        <v>DB</v>
      </c>
      <c r="G12" s="7">
        <f>IFERROR(__xludf.DUMMYFUNCTION("""COMPUTED_VALUE"""),3.8549921884000003E8)</f>
        <v>385499218.8</v>
      </c>
      <c r="H12" s="7">
        <f>IFERROR(__xludf.DUMMYFUNCTION("""COMPUTED_VALUE"""),3.8549921884E8)</f>
        <v>385499218.8</v>
      </c>
      <c r="I12" s="7" t="str">
        <f>IFERROR(__xludf.DUMMYFUNCTION("""COMPUTED_VALUE"""),"PRIBADI")</f>
        <v>PRIBADI</v>
      </c>
    </row>
    <row r="13">
      <c r="A13" s="4">
        <f>IFERROR(__xludf.DUMMYFUNCTION("""COMPUTED_VALUE"""),46090.0)</f>
        <v>46090</v>
      </c>
      <c r="B13" s="7" t="str">
        <f>IFERROR(__xludf.DUMMYFUNCTION("""COMPUTED_VALUE"""),"BYR VIA E-BANKING")</f>
        <v>BYR VIA E-BANKING</v>
      </c>
      <c r="C13" s="7" t="str">
        <f>IFERROR(__xludf.DUMMYFUNCTION("""COMPUTED_VALUE"""),"09/03  WSID9503100 1220 TELKOMSEL 82318368518 MUHAMMAD HAIRUL MA")</f>
        <v>09/03  WSID9503100 1220 TELKOMSEL 82318368518 MUHAMMAD HAIRUL MA</v>
      </c>
      <c r="D13" s="7">
        <f>IFERROR(__xludf.DUMMYFUNCTION("""COMPUTED_VALUE"""),52000.0)</f>
        <v>52000</v>
      </c>
      <c r="E13" s="7"/>
      <c r="F13" s="7"/>
      <c r="G13" s="7">
        <f>IFERROR(__xludf.DUMMYFUNCTION("""COMPUTED_VALUE"""),3.7215405684000003E8)</f>
        <v>372154056.8</v>
      </c>
      <c r="H13" s="7"/>
      <c r="I13" s="7" t="str">
        <f>IFERROR(__xludf.DUMMYFUNCTION("""COMPUTED_VALUE"""),"PRIBADI")</f>
        <v>PRIBADI</v>
      </c>
    </row>
    <row r="14">
      <c r="A14" s="4">
        <f>IFERROR(__xludf.DUMMYFUNCTION("""COMPUTED_VALUE"""),46090.0)</f>
        <v>46090</v>
      </c>
      <c r="B14" s="7" t="str">
        <f>IFERROR(__xludf.DUMMYFUNCTION("""COMPUTED_VALUE"""),"BYR VIA E-BANKING")</f>
        <v>BYR VIA E-BANKING</v>
      </c>
      <c r="C14" s="7" t="str">
        <f>IFERROR(__xludf.DUMMYFUNCTION("""COMPUTED_VALUE"""),"09/03  WSID9503100 1220 TELKOMSEL 82318368518 MUHAMMAD HAIRUL MA")</f>
        <v>09/03  WSID9503100 1220 TELKOMSEL 82318368518 MUHAMMAD HAIRUL MA</v>
      </c>
      <c r="D14" s="7">
        <f>IFERROR(__xludf.DUMMYFUNCTION("""COMPUTED_VALUE"""),27000.0)</f>
        <v>27000</v>
      </c>
      <c r="E14" s="7"/>
      <c r="F14" s="7"/>
      <c r="G14" s="7">
        <f>IFERROR(__xludf.DUMMYFUNCTION("""COMPUTED_VALUE"""),3.7212705684000003E8)</f>
        <v>372127056.8</v>
      </c>
      <c r="H14" s="7"/>
      <c r="I14" s="7" t="str">
        <f>IFERROR(__xludf.DUMMYFUNCTION("""COMPUTED_VALUE"""),"PRIBADI")</f>
        <v>PRIBADI</v>
      </c>
    </row>
    <row r="15">
      <c r="A15" s="4">
        <f>IFERROR(__xludf.DUMMYFUNCTION("""COMPUTED_VALUE"""),46090.0)</f>
        <v>46090</v>
      </c>
      <c r="B15" s="7" t="str">
        <f>IFERROR(__xludf.DUMMYFUNCTION("""COMPUTED_VALUE"""),"BI-FAST DB")</f>
        <v>BI-FAST DB</v>
      </c>
      <c r="C15" s="7" t="str">
        <f>IFERROR(__xludf.DUMMYFUNCTION("""COMPUTED_VALUE"""),"BIF TRANSFER KE 9 AHMAD LUTHFI FADHI M-BCA")</f>
        <v>BIF TRANSFER KE 9 AHMAD LUTHFI FADHI M-BCA</v>
      </c>
      <c r="D15" s="7">
        <f>IFERROR(__xludf.DUMMYFUNCTION("""COMPUTED_VALUE"""),210000.0)</f>
        <v>210000</v>
      </c>
      <c r="E15" s="7"/>
      <c r="F15" s="7" t="str">
        <f>IFERROR(__xludf.DUMMYFUNCTION("""COMPUTED_VALUE"""),"DB")</f>
        <v>DB</v>
      </c>
      <c r="G15" s="7">
        <f>IFERROR(__xludf.DUMMYFUNCTION("""COMPUTED_VALUE"""),417716.8400000334)</f>
        <v>417716.84</v>
      </c>
      <c r="H15" s="7"/>
      <c r="I15" s="7" t="str">
        <f>IFERROR(__xludf.DUMMYFUNCTION("""COMPUTED_VALUE"""),"PRIBADI")</f>
        <v>PRIBADI</v>
      </c>
    </row>
    <row r="16">
      <c r="A16" s="4">
        <f>IFERROR(__xludf.DUMMYFUNCTION("""COMPUTED_VALUE"""),46090.0)</f>
        <v>46090</v>
      </c>
      <c r="B16" s="7" t="str">
        <f>IFERROR(__xludf.DUMMYFUNCTION("""COMPUTED_VALUE"""),"TARIKAN ATM 09/03")</f>
        <v>TARIKAN ATM 09/03</v>
      </c>
      <c r="C16" s="7" t="str">
        <f>IFERROR(__xludf.DUMMYFUNCTION("""COMPUTED_VALUE"""),"TARIKAN ATM 09/03")</f>
        <v>TARIKAN ATM 09/03</v>
      </c>
      <c r="D16" s="7">
        <f>IFERROR(__xludf.DUMMYFUNCTION("""COMPUTED_VALUE"""),300000.0)</f>
        <v>300000</v>
      </c>
      <c r="E16" s="7"/>
      <c r="F16" s="7"/>
      <c r="G16" s="7">
        <f>IFERROR(__xludf.DUMMYFUNCTION("""COMPUTED_VALUE"""),1.0011521684000003E8)</f>
        <v>100115216.8</v>
      </c>
      <c r="H16" s="7"/>
      <c r="I16" s="7" t="str">
        <f>IFERROR(__xludf.DUMMYFUNCTION("""COMPUTED_VALUE"""),"PRIBADI")</f>
        <v>PRIBADI</v>
      </c>
    </row>
    <row r="17">
      <c r="A17" s="4">
        <f>IFERROR(__xludf.DUMMYFUNCTION("""COMPUTED_VALUE"""),46091.0)</f>
        <v>46091</v>
      </c>
      <c r="B17" s="7" t="str">
        <f>IFERROR(__xludf.DUMMYFUNCTION("""COMPUTED_VALUE"""),"BI-FAST DB TANGGAL :09/03")</f>
        <v>BI-FAST DB TANGGAL :09/03</v>
      </c>
      <c r="C17" s="7" t="str">
        <f>IFERROR(__xludf.DUMMYFUNCTION("""COMPUTED_VALUE"""),"BIF TRANSFER KE ADIRA MUHAMMAD HAI M-BCA")</f>
        <v>BIF TRANSFER KE ADIRA MUHAMMAD HAI M-BCA</v>
      </c>
      <c r="D17" s="7">
        <f>IFERROR(__xludf.DUMMYFUNCTION("""COMPUTED_VALUE"""),2641000.0)</f>
        <v>2641000</v>
      </c>
      <c r="E17" s="7"/>
      <c r="F17" s="7" t="str">
        <f>IFERROR(__xludf.DUMMYFUNCTION("""COMPUTED_VALUE"""),"DB")</f>
        <v>DB</v>
      </c>
      <c r="G17" s="7">
        <f>IFERROR(__xludf.DUMMYFUNCTION("""COMPUTED_VALUE"""),7.714931684000003E7)</f>
        <v>77149316.84</v>
      </c>
      <c r="H17" s="7"/>
      <c r="I17" s="7" t="str">
        <f>IFERROR(__xludf.DUMMYFUNCTION("""COMPUTED_VALUE"""),"PRIBADI")</f>
        <v>PRIBADI</v>
      </c>
    </row>
    <row r="18">
      <c r="A18" s="4">
        <f>IFERROR(__xludf.DUMMYFUNCTION("""COMPUTED_VALUE"""),46091.0)</f>
        <v>46091</v>
      </c>
      <c r="B18" s="7" t="str">
        <f>IFERROR(__xludf.DUMMYFUNCTION("""COMPUTED_VALUE"""),"BI-FAST DB TANGGAL :09/03")</f>
        <v>BI-FAST DB TANGGAL :09/03</v>
      </c>
      <c r="C18" s="7" t="str">
        <f>IFERROR(__xludf.DUMMYFUNCTION("""COMPUTED_VALUE"""),"BIF TRANSFER KE TURYADI M-BCA")</f>
        <v>BIF TRANSFER KE TURYADI M-BCA</v>
      </c>
      <c r="D18" s="7">
        <f>IFERROR(__xludf.DUMMYFUNCTION("""COMPUTED_VALUE"""),1525000.0)</f>
        <v>1525000</v>
      </c>
      <c r="E18" s="7"/>
      <c r="F18" s="7" t="str">
        <f>IFERROR(__xludf.DUMMYFUNCTION("""COMPUTED_VALUE"""),"DB")</f>
        <v>DB</v>
      </c>
      <c r="G18" s="7">
        <f>IFERROR(__xludf.DUMMYFUNCTION("""COMPUTED_VALUE"""),7.562181684000003E7)</f>
        <v>75621816.84</v>
      </c>
      <c r="H18" s="7"/>
      <c r="I18" s="7" t="str">
        <f>IFERROR(__xludf.DUMMYFUNCTION("""COMPUTED_VALUE"""),"PRIBADI")</f>
        <v>PRIBADI</v>
      </c>
    </row>
    <row r="19">
      <c r="A19" s="4">
        <f>IFERROR(__xludf.DUMMYFUNCTION("""COMPUTED_VALUE"""),46091.0)</f>
        <v>46091</v>
      </c>
      <c r="B19" s="7" t="str">
        <f>IFERROR(__xludf.DUMMYFUNCTION("""COMPUTED_VALUE"""),"BYR VIA E-BANKING")</f>
        <v>BYR VIA E-BANKING</v>
      </c>
      <c r="C19" s="7" t="str">
        <f>IFERROR(__xludf.DUMMYFUNCTION("""COMPUTED_VALUE"""),"10/03  WSID9503101 0507 FIF 803001249921 MUHAMMAD HAIRUL MA")</f>
        <v>10/03  WSID9503101 0507 FIF 803001249921 MUHAMMAD HAIRUL MA</v>
      </c>
      <c r="D19" s="7">
        <f>IFERROR(__xludf.DUMMYFUNCTION("""COMPUTED_VALUE"""),750000.0)</f>
        <v>750000</v>
      </c>
      <c r="E19" s="7"/>
      <c r="F19" s="7"/>
      <c r="G19" s="7">
        <f>IFERROR(__xludf.DUMMYFUNCTION("""COMPUTED_VALUE"""),7.771931684000003E7)</f>
        <v>77719316.84</v>
      </c>
      <c r="H19" s="7"/>
      <c r="I19" s="7" t="str">
        <f>IFERROR(__xludf.DUMMYFUNCTION("""COMPUTED_VALUE"""),"PRIBADI")</f>
        <v>PRIBADI</v>
      </c>
    </row>
    <row r="20">
      <c r="A20" s="4">
        <f>IFERROR(__xludf.DUMMYFUNCTION("""COMPUTED_VALUE"""),46091.0)</f>
        <v>46091</v>
      </c>
      <c r="B20" s="7" t="str">
        <f>IFERROR(__xludf.DUMMYFUNCTION("""COMPUTED_VALUE"""),"TRSF E-BANKING DB")</f>
        <v>TRSF E-BANKING DB</v>
      </c>
      <c r="C20" s="7" t="str">
        <f>IFERROR(__xludf.DUMMYFUNCTION("""COMPUTED_VALUE"""),"1003/FTFVA/WS95031 39010/DANA - - 81326518324")</f>
        <v>1003/FTFVA/WS95031 39010/DANA - - 81326518324</v>
      </c>
      <c r="D20" s="7">
        <f>IFERROR(__xludf.DUMMYFUNCTION("""COMPUTED_VALUE"""),400000.0)</f>
        <v>400000</v>
      </c>
      <c r="E20" s="7"/>
      <c r="F20" s="7" t="str">
        <f>IFERROR(__xludf.DUMMYFUNCTION("""COMPUTED_VALUE"""),"DB")</f>
        <v>DB</v>
      </c>
      <c r="G20" s="7">
        <f>IFERROR(__xludf.DUMMYFUNCTION("""COMPUTED_VALUE"""),5.887480684000003E7)</f>
        <v>58874806.84</v>
      </c>
      <c r="H20" s="7"/>
      <c r="I20" s="7" t="str">
        <f>IFERROR(__xludf.DUMMYFUNCTION("""COMPUTED_VALUE"""),"PRIBADI")</f>
        <v>PRIBADI</v>
      </c>
    </row>
    <row r="21">
      <c r="A21" s="4">
        <f>IFERROR(__xludf.DUMMYFUNCTION("""COMPUTED_VALUE"""),46092.0)</f>
        <v>46092</v>
      </c>
      <c r="B21" s="7" t="str">
        <f>IFERROR(__xludf.DUMMYFUNCTION("""COMPUTED_VALUE"""),"TRSF E-BANKING DB")</f>
        <v>TRSF E-BANKING DB</v>
      </c>
      <c r="C21" s="7" t="str">
        <f>IFERROR(__xludf.DUMMYFUNCTION("""COMPUTED_VALUE"""),"1103/FTSCY/WS95031 50000.00 ANTON IMRONI")</f>
        <v>1103/FTSCY/WS95031 50000.00 ANTON IMRONI</v>
      </c>
      <c r="D21" s="7">
        <f>IFERROR(__xludf.DUMMYFUNCTION("""COMPUTED_VALUE"""),50000.0)</f>
        <v>50000</v>
      </c>
      <c r="E21" s="7"/>
      <c r="F21" s="7" t="str">
        <f>IFERROR(__xludf.DUMMYFUNCTION("""COMPUTED_VALUE"""),"DB")</f>
        <v>DB</v>
      </c>
      <c r="G21" s="7">
        <f>IFERROR(__xludf.DUMMYFUNCTION("""COMPUTED_VALUE"""),2.0114864084000003E8)</f>
        <v>201148640.8</v>
      </c>
      <c r="H21" s="7">
        <f>IFERROR(__xludf.DUMMYFUNCTION("""COMPUTED_VALUE"""),2.0114864084E8)</f>
        <v>201148640.8</v>
      </c>
      <c r="I21" s="7" t="str">
        <f>IFERROR(__xludf.DUMMYFUNCTION("""COMPUTED_VALUE"""),"PRIBADI")</f>
        <v>PRIBADI</v>
      </c>
    </row>
    <row r="22">
      <c r="A22" s="4">
        <f>IFERROR(__xludf.DUMMYFUNCTION("""COMPUTED_VALUE"""),46094.0)</f>
        <v>46094</v>
      </c>
      <c r="B22" s="7" t="str">
        <f>IFERROR(__xludf.DUMMYFUNCTION("""COMPUTED_VALUE"""),"TARIKAN ATM 13/03")</f>
        <v>TARIKAN ATM 13/03</v>
      </c>
      <c r="C22" s="7" t="str">
        <f>IFERROR(__xludf.DUMMYFUNCTION("""COMPUTED_VALUE"""),"TARIKAN ATM 13/03")</f>
        <v>TARIKAN ATM 13/03</v>
      </c>
      <c r="D22" s="7">
        <f>IFERROR(__xludf.DUMMYFUNCTION("""COMPUTED_VALUE"""),500000.0)</f>
        <v>500000</v>
      </c>
      <c r="E22" s="7"/>
      <c r="F22" s="7"/>
      <c r="G22" s="7">
        <f>IFERROR(__xludf.DUMMYFUNCTION("""COMPUTED_VALUE"""),3.4410912584000003E8)</f>
        <v>344109125.8</v>
      </c>
      <c r="H22" s="7">
        <f>IFERROR(__xludf.DUMMYFUNCTION("""COMPUTED_VALUE"""),3.4410912584E8)</f>
        <v>344109125.8</v>
      </c>
      <c r="I22" s="7" t="str">
        <f>IFERROR(__xludf.DUMMYFUNCTION("""COMPUTED_VALUE"""),"PRIBADI")</f>
        <v>PRIBADI</v>
      </c>
    </row>
    <row r="23">
      <c r="A23" s="4">
        <f>IFERROR(__xludf.DUMMYFUNCTION("""COMPUTED_VALUE"""),46095.0)</f>
        <v>46095</v>
      </c>
      <c r="B23" s="7" t="str">
        <f>IFERROR(__xludf.DUMMYFUNCTION("""COMPUTED_VALUE"""),"TARIKAN ATM 13/03")</f>
        <v>TARIKAN ATM 13/03</v>
      </c>
      <c r="C23" s="7" t="str">
        <f>IFERROR(__xludf.DUMMYFUNCTION("""COMPUTED_VALUE"""),"TARIKAN ATM 13/03")</f>
        <v>TARIKAN ATM 13/03</v>
      </c>
      <c r="D23" s="7">
        <f>IFERROR(__xludf.DUMMYFUNCTION("""COMPUTED_VALUE"""),250000.0)</f>
        <v>250000</v>
      </c>
      <c r="E23" s="7"/>
      <c r="F23" s="7"/>
      <c r="G23" s="7">
        <f>IFERROR(__xludf.DUMMYFUNCTION("""COMPUTED_VALUE"""),5.341912584000003E7)</f>
        <v>53419125.84</v>
      </c>
      <c r="H23" s="7"/>
      <c r="I23" s="7" t="str">
        <f>IFERROR(__xludf.DUMMYFUNCTION("""COMPUTED_VALUE"""),"PRIBADI")</f>
        <v>PRIBADI</v>
      </c>
    </row>
    <row r="24">
      <c r="A24" s="4">
        <f>IFERROR(__xludf.DUMMYFUNCTION("""COMPUTED_VALUE"""),46095.0)</f>
        <v>46095</v>
      </c>
      <c r="B24" s="7" t="str">
        <f>IFERROR(__xludf.DUMMYFUNCTION("""COMPUTED_VALUE"""),"TRSF E-BANKING DB TANGGAL :13/03")</f>
        <v>TRSF E-BANKING DB TANGGAL :13/03</v>
      </c>
      <c r="C24" s="7" t="str">
        <f>IFERROR(__xludf.DUMMYFUNCTION("""COMPUTED_VALUE"""),"1303/FTSCY/WS95031 INDRIYANA NABILLA INDRIYANA NABILLA")</f>
        <v>1303/FTSCY/WS95031 INDRIYANA NABILLA INDRIYANA NABILLA</v>
      </c>
      <c r="D24" s="7">
        <f>IFERROR(__xludf.DUMMYFUNCTION("""COMPUTED_VALUE"""),440000.0)</f>
        <v>440000</v>
      </c>
      <c r="E24" s="7"/>
      <c r="F24" s="7" t="str">
        <f>IFERROR(__xludf.DUMMYFUNCTION("""COMPUTED_VALUE"""),"DB")</f>
        <v>DB</v>
      </c>
      <c r="G24" s="7">
        <f>IFERROR(__xludf.DUMMYFUNCTION("""COMPUTED_VALUE"""),88525.84000003338)</f>
        <v>88525.84</v>
      </c>
      <c r="H24" s="7"/>
      <c r="I24" s="7" t="str">
        <f>IFERROR(__xludf.DUMMYFUNCTION("""COMPUTED_VALUE"""),"PRIBADI")</f>
        <v>PRIBADI</v>
      </c>
    </row>
    <row r="25">
      <c r="A25" s="4">
        <f>IFERROR(__xludf.DUMMYFUNCTION("""COMPUTED_VALUE"""),46095.0)</f>
        <v>46095</v>
      </c>
      <c r="B25" s="7" t="str">
        <f>IFERROR(__xludf.DUMMYFUNCTION("""COMPUTED_VALUE"""),"TARIKAN ATM 14/03")</f>
        <v>TARIKAN ATM 14/03</v>
      </c>
      <c r="C25" s="7" t="str">
        <f>IFERROR(__xludf.DUMMYFUNCTION("""COMPUTED_VALUE"""),"TARIKAN ATM 14/03")</f>
        <v>TARIKAN ATM 14/03</v>
      </c>
      <c r="D25" s="7">
        <f>IFERROR(__xludf.DUMMYFUNCTION("""COMPUTED_VALUE"""),500000.0)</f>
        <v>500000</v>
      </c>
      <c r="E25" s="7"/>
      <c r="F25" s="7"/>
      <c r="G25" s="7">
        <f>IFERROR(__xludf.DUMMYFUNCTION("""COMPUTED_VALUE"""),1.1285417584000003E8)</f>
        <v>112854175.8</v>
      </c>
      <c r="H25" s="7"/>
      <c r="I25" s="7" t="str">
        <f>IFERROR(__xludf.DUMMYFUNCTION("""COMPUTED_VALUE"""),"PRIBADI")</f>
        <v>PRIBADI</v>
      </c>
    </row>
    <row r="26">
      <c r="A26" s="4">
        <f>IFERROR(__xludf.DUMMYFUNCTION("""COMPUTED_VALUE"""),46096.0)</f>
        <v>46096</v>
      </c>
      <c r="B26" s="7" t="str">
        <f>IFERROR(__xludf.DUMMYFUNCTION("""COMPUTED_VALUE"""),"TARIKAN ATM 15/03")</f>
        <v>TARIKAN ATM 15/03</v>
      </c>
      <c r="C26" s="7" t="str">
        <f>IFERROR(__xludf.DUMMYFUNCTION("""COMPUTED_VALUE"""),"TARIKAN ATM 15/03")</f>
        <v>TARIKAN ATM 15/03</v>
      </c>
      <c r="D26" s="7">
        <f>IFERROR(__xludf.DUMMYFUNCTION("""COMPUTED_VALUE"""),500000.0)</f>
        <v>500000</v>
      </c>
      <c r="E26" s="7"/>
      <c r="F26" s="7"/>
      <c r="G26" s="7">
        <f>IFERROR(__xludf.DUMMYFUNCTION("""COMPUTED_VALUE"""),3.2555637584000003E8)</f>
        <v>325556375.8</v>
      </c>
      <c r="H26" s="7"/>
      <c r="I26" s="7" t="str">
        <f>IFERROR(__xludf.DUMMYFUNCTION("""COMPUTED_VALUE"""),"PRIBADI")</f>
        <v>PRIBADI</v>
      </c>
    </row>
    <row r="27">
      <c r="A27" s="4">
        <f>IFERROR(__xludf.DUMMYFUNCTION("""COMPUTED_VALUE"""),46097.0)</f>
        <v>46097</v>
      </c>
      <c r="B27" s="7" t="str">
        <f>IFERROR(__xludf.DUMMYFUNCTION("""COMPUTED_VALUE"""),"TARIKAN ATM 16/03")</f>
        <v>TARIKAN ATM 16/03</v>
      </c>
      <c r="C27" s="7" t="str">
        <f>IFERROR(__xludf.DUMMYFUNCTION("""COMPUTED_VALUE"""),"TARIKAN ATM 16/03")</f>
        <v>TARIKAN ATM 16/03</v>
      </c>
      <c r="D27" s="7">
        <f>IFERROR(__xludf.DUMMYFUNCTION("""COMPUTED_VALUE"""),500000.0)</f>
        <v>500000</v>
      </c>
      <c r="E27" s="7"/>
      <c r="F27" s="7"/>
      <c r="G27" s="7">
        <f>IFERROR(__xludf.DUMMYFUNCTION("""COMPUTED_VALUE"""),3583295.8400000334)</f>
        <v>3583295.84</v>
      </c>
      <c r="H27" s="7"/>
      <c r="I27" s="7" t="str">
        <f>IFERROR(__xludf.DUMMYFUNCTION("""COMPUTED_VALUE"""),"PRIBADI")</f>
        <v>PRIBADI</v>
      </c>
    </row>
    <row r="28">
      <c r="A28" s="4">
        <f>IFERROR(__xludf.DUMMYFUNCTION("""COMPUTED_VALUE"""),46099.0)</f>
        <v>46099</v>
      </c>
      <c r="B28" s="7" t="str">
        <f>IFERROR(__xludf.DUMMYFUNCTION("""COMPUTED_VALUE"""),"TARIKAN ATM 18/03")</f>
        <v>TARIKAN ATM 18/03</v>
      </c>
      <c r="C28" s="7" t="str">
        <f>IFERROR(__xludf.DUMMYFUNCTION("""COMPUTED_VALUE"""),"TARIKAN ATM 18/03")</f>
        <v>TARIKAN ATM 18/03</v>
      </c>
      <c r="D28" s="7">
        <f>IFERROR(__xludf.DUMMYFUNCTION("""COMPUTED_VALUE"""),500000.0)</f>
        <v>500000</v>
      </c>
      <c r="E28" s="7"/>
      <c r="F28" s="7"/>
      <c r="G28" s="7">
        <f>IFERROR(__xludf.DUMMYFUNCTION("""COMPUTED_VALUE"""),4563935.840000033)</f>
        <v>4563935.84</v>
      </c>
      <c r="H28" s="7"/>
      <c r="I28" s="7" t="str">
        <f>IFERROR(__xludf.DUMMYFUNCTION("""COMPUTED_VALUE"""),"PRIBADI")</f>
        <v>PRIBADI</v>
      </c>
    </row>
    <row r="29">
      <c r="A29" s="4">
        <f>IFERROR(__xludf.DUMMYFUNCTION("""COMPUTED_VALUE"""),46100.0)</f>
        <v>46100</v>
      </c>
      <c r="B29" s="7" t="str">
        <f>IFERROR(__xludf.DUMMYFUNCTION("""COMPUTED_VALUE"""),"TARIKAN ATM 19/03")</f>
        <v>TARIKAN ATM 19/03</v>
      </c>
      <c r="C29" s="7" t="str">
        <f>IFERROR(__xludf.DUMMYFUNCTION("""COMPUTED_VALUE"""),"TARIKAN ATM 19/03")</f>
        <v>TARIKAN ATM 19/03</v>
      </c>
      <c r="D29" s="7">
        <f>IFERROR(__xludf.DUMMYFUNCTION("""COMPUTED_VALUE"""),250000.0)</f>
        <v>250000</v>
      </c>
      <c r="E29" s="7"/>
      <c r="F29" s="7"/>
      <c r="G29" s="7">
        <f>IFERROR(__xludf.DUMMYFUNCTION("""COMPUTED_VALUE"""),274585.8400000334)</f>
        <v>274585.84</v>
      </c>
      <c r="H29" s="7"/>
      <c r="I29" s="7" t="str">
        <f>IFERROR(__xludf.DUMMYFUNCTION("""COMPUTED_VALUE"""),"PRIBADI")</f>
        <v>PRIBADI</v>
      </c>
    </row>
    <row r="30">
      <c r="A30" s="4">
        <f>IFERROR(__xludf.DUMMYFUNCTION("""COMPUTED_VALUE"""),46100.0)</f>
        <v>46100</v>
      </c>
      <c r="B30" s="7" t="str">
        <f>IFERROR(__xludf.DUMMYFUNCTION("""COMPUTED_VALUE"""),"TARIKAN ATM 19/03")</f>
        <v>TARIKAN ATM 19/03</v>
      </c>
      <c r="C30" s="7" t="str">
        <f>IFERROR(__xludf.DUMMYFUNCTION("""COMPUTED_VALUE"""),"TARIKAN ATM 19/03")</f>
        <v>TARIKAN ATM 19/03</v>
      </c>
      <c r="D30" s="7">
        <f>IFERROR(__xludf.DUMMYFUNCTION("""COMPUTED_VALUE"""),200000.0)</f>
        <v>200000</v>
      </c>
      <c r="E30" s="7"/>
      <c r="F30" s="7"/>
      <c r="G30" s="7">
        <f>IFERROR(__xludf.DUMMYFUNCTION("""COMPUTED_VALUE"""),1.2574585840000033E7)</f>
        <v>12574585.84</v>
      </c>
      <c r="H30" s="7">
        <f>IFERROR(__xludf.DUMMYFUNCTION("""COMPUTED_VALUE"""),1.257458584E7)</f>
        <v>12574585.84</v>
      </c>
      <c r="I30" s="7" t="str">
        <f>IFERROR(__xludf.DUMMYFUNCTION("""COMPUTED_VALUE"""),"PRIBADI")</f>
        <v>PRIBADI</v>
      </c>
    </row>
    <row r="31">
      <c r="A31" s="4">
        <f>IFERROR(__xludf.DUMMYFUNCTION("""COMPUTED_VALUE"""),46102.0)</f>
        <v>46102</v>
      </c>
      <c r="B31" s="7" t="str">
        <f>IFERROR(__xludf.DUMMYFUNCTION("""COMPUTED_VALUE"""),"TARIKAN ATM 20/03")</f>
        <v>TARIKAN ATM 20/03</v>
      </c>
      <c r="C31" s="7" t="str">
        <f>IFERROR(__xludf.DUMMYFUNCTION("""COMPUTED_VALUE"""),"TARIKAN ATM 20/03")</f>
        <v>TARIKAN ATM 20/03</v>
      </c>
      <c r="D31" s="7">
        <f>IFERROR(__xludf.DUMMYFUNCTION("""COMPUTED_VALUE"""),150000.0)</f>
        <v>150000</v>
      </c>
      <c r="E31" s="7"/>
      <c r="F31" s="7"/>
      <c r="G31" s="7">
        <f>IFERROR(__xludf.DUMMYFUNCTION("""COMPUTED_VALUE"""),5.793260584000003E7)</f>
        <v>57932605.84</v>
      </c>
      <c r="H31" s="7"/>
      <c r="I31" s="7" t="str">
        <f>IFERROR(__xludf.DUMMYFUNCTION("""COMPUTED_VALUE"""),"PRIBADI")</f>
        <v>PRIBADI</v>
      </c>
    </row>
    <row r="32">
      <c r="A32" s="4">
        <f>IFERROR(__xludf.DUMMYFUNCTION("""COMPUTED_VALUE"""),46102.0)</f>
        <v>46102</v>
      </c>
      <c r="B32" s="7" t="str">
        <f>IFERROR(__xludf.DUMMYFUNCTION("""COMPUTED_VALUE"""),"BYR VIA E-BANKING")</f>
        <v>BYR VIA E-BANKING</v>
      </c>
      <c r="C32" s="7" t="str">
        <f>IFERROR(__xludf.DUMMYFUNCTION("""COMPUTED_VALUE"""),"21/03  WSID9503100 0865 PLN PREPAID 32104859353 MUHAMMAD HAIRUL MA 0865 PLN PREPAID 32104859353 MUHAMMAD HAIRUL MA")</f>
        <v>21/03  WSID9503100 0865 PLN PREPAID 32104859353 MUHAMMAD HAIRUL MA 0865 PLN PREPAID 32104859353 MUHAMMAD HAIRUL MA</v>
      </c>
      <c r="D32" s="7">
        <f>IFERROR(__xludf.DUMMYFUNCTION("""COMPUTED_VALUE"""),102500.0)</f>
        <v>102500</v>
      </c>
      <c r="E32" s="7"/>
      <c r="F32" s="7"/>
      <c r="G32" s="7">
        <f>IFERROR(__xludf.DUMMYFUNCTION("""COMPUTED_VALUE"""),1033155.8400000334)</f>
        <v>1033155.84</v>
      </c>
      <c r="H32" s="7"/>
      <c r="I32" s="7" t="str">
        <f>IFERROR(__xludf.DUMMYFUNCTION("""COMPUTED_VALUE"""),"PRIBADI")</f>
        <v>PRIBADI</v>
      </c>
    </row>
    <row r="33">
      <c r="A33" s="4">
        <f>IFERROR(__xludf.DUMMYFUNCTION("""COMPUTED_VALUE"""),46103.0)</f>
        <v>46103</v>
      </c>
      <c r="B33" s="7" t="str">
        <f>IFERROR(__xludf.DUMMYFUNCTION("""COMPUTED_VALUE"""),"TRSF E-BANKING DB")</f>
        <v>TRSF E-BANKING DB</v>
      </c>
      <c r="C33" s="7" t="str">
        <f>IFERROR(__xludf.DUMMYFUNCTION("""COMPUTED_VALUE"""),"2203/FTSCY/WS95031 710000.00 MAYA NATIFAH 710000.00 MAYA NATIFAH")</f>
        <v>2203/FTSCY/WS95031 710000.00 MAYA NATIFAH 710000.00 MAYA NATIFAH</v>
      </c>
      <c r="D33" s="7">
        <f>IFERROR(__xludf.DUMMYFUNCTION("""COMPUTED_VALUE"""),710000.0)</f>
        <v>710000</v>
      </c>
      <c r="E33" s="7"/>
      <c r="F33" s="7" t="str">
        <f>IFERROR(__xludf.DUMMYFUNCTION("""COMPUTED_VALUE"""),"DB")</f>
        <v>DB</v>
      </c>
      <c r="G33" s="7">
        <f>IFERROR(__xludf.DUMMYFUNCTION("""COMPUTED_VALUE"""),327155.8400000334)</f>
        <v>327155.84</v>
      </c>
      <c r="H33" s="7"/>
      <c r="I33" s="7" t="str">
        <f>IFERROR(__xludf.DUMMYFUNCTION("""COMPUTED_VALUE"""),"PRIBADI")</f>
        <v>PRIBADI</v>
      </c>
    </row>
    <row r="34">
      <c r="A34" s="4">
        <f>IFERROR(__xludf.DUMMYFUNCTION("""COMPUTED_VALUE"""),46103.0)</f>
        <v>46103</v>
      </c>
      <c r="B34" s="7" t="str">
        <f>IFERROR(__xludf.DUMMYFUNCTION("""COMPUTED_VALUE"""),"TARIKAN ATM 22/03")</f>
        <v>TARIKAN ATM 22/03</v>
      </c>
      <c r="C34" s="7" t="str">
        <f>IFERROR(__xludf.DUMMYFUNCTION("""COMPUTED_VALUE"""),"TARIKAN ATM 22/03")</f>
        <v>TARIKAN ATM 22/03</v>
      </c>
      <c r="D34" s="7">
        <f>IFERROR(__xludf.DUMMYFUNCTION("""COMPUTED_VALUE"""),250000.0)</f>
        <v>250000</v>
      </c>
      <c r="E34" s="7"/>
      <c r="F34" s="7"/>
      <c r="G34" s="7">
        <f>IFERROR(__xludf.DUMMYFUNCTION("""COMPUTED_VALUE"""),77155.84000003338)</f>
        <v>77155.84</v>
      </c>
      <c r="H34" s="7">
        <f>IFERROR(__xludf.DUMMYFUNCTION("""COMPUTED_VALUE"""),77155.84)</f>
        <v>77155.84</v>
      </c>
      <c r="I34" s="7" t="str">
        <f>IFERROR(__xludf.DUMMYFUNCTION("""COMPUTED_VALUE"""),"PRIBADI")</f>
        <v>PRIBADI</v>
      </c>
    </row>
    <row r="35">
      <c r="A35" s="4">
        <f>IFERROR(__xludf.DUMMYFUNCTION("""COMPUTED_VALUE"""),46104.0)</f>
        <v>46104</v>
      </c>
      <c r="B35" s="7" t="str">
        <f>IFERROR(__xludf.DUMMYFUNCTION("""COMPUTED_VALUE"""),"TRSF E-BANKING DB")</f>
        <v>TRSF E-BANKING DB</v>
      </c>
      <c r="C35" s="7" t="str">
        <f>IFERROR(__xludf.DUMMYFUNCTION("""COMPUTED_VALUE"""),"2303/FTFVA/WS95031 39010/DANA - - 81326518324 39010/DANA - - 81326518324")</f>
        <v>2303/FTFVA/WS95031 39010/DANA - - 81326518324 39010/DANA - - 81326518324</v>
      </c>
      <c r="D35" s="7">
        <f>IFERROR(__xludf.DUMMYFUNCTION("""COMPUTED_VALUE"""),20000.0)</f>
        <v>20000</v>
      </c>
      <c r="E35" s="7"/>
      <c r="F35" s="7" t="str">
        <f>IFERROR(__xludf.DUMMYFUNCTION("""COMPUTED_VALUE"""),"DB")</f>
        <v>DB</v>
      </c>
      <c r="G35" s="7">
        <f>IFERROR(__xludf.DUMMYFUNCTION("""COMPUTED_VALUE"""),2.8331525840000033E7)</f>
        <v>28331525.84</v>
      </c>
      <c r="H35" s="7"/>
      <c r="I35" s="7" t="str">
        <f>IFERROR(__xludf.DUMMYFUNCTION("""COMPUTED_VALUE"""),"PRIBADI")</f>
        <v>PRIBADI</v>
      </c>
    </row>
    <row r="36">
      <c r="A36" s="4">
        <f>IFERROR(__xludf.DUMMYFUNCTION("""COMPUTED_VALUE"""),46105.0)</f>
        <v>46105</v>
      </c>
      <c r="B36" s="7" t="str">
        <f>IFERROR(__xludf.DUMMYFUNCTION("""COMPUTED_VALUE"""),"BI-FAST DB")</f>
        <v>BI-FAST DB</v>
      </c>
      <c r="C36" s="7" t="str">
        <f>IFERROR(__xludf.DUMMYFUNCTION("""COMPUTED_VALUE"""),"BIF TRANSFER KE 2 PT BPR LESTARI NUS M-BCA 2 PT BPR LESTARI NUS M-BCA")</f>
        <v>BIF TRANSFER KE 2 PT BPR LESTARI NUS M-BCA 2 PT BPR LESTARI NUS M-BCA</v>
      </c>
      <c r="D36" s="7">
        <f>IFERROR(__xludf.DUMMYFUNCTION("""COMPUTED_VALUE"""),717000.0)</f>
        <v>717000</v>
      </c>
      <c r="E36" s="7"/>
      <c r="F36" s="7" t="str">
        <f>IFERROR(__xludf.DUMMYFUNCTION("""COMPUTED_VALUE"""),"DB")</f>
        <v>DB</v>
      </c>
      <c r="G36" s="7">
        <f>IFERROR(__xludf.DUMMYFUNCTION("""COMPUTED_VALUE"""),2.1808260840000033E7)</f>
        <v>21808260.84</v>
      </c>
      <c r="H36" s="7"/>
      <c r="I36" s="7" t="str">
        <f>IFERROR(__xludf.DUMMYFUNCTION("""COMPUTED_VALUE"""),"PRIBADI")</f>
        <v>PRIBADI</v>
      </c>
    </row>
    <row r="37">
      <c r="A37" s="4">
        <f>IFERROR(__xludf.DUMMYFUNCTION("""COMPUTED_VALUE"""),46105.0)</f>
        <v>46105</v>
      </c>
      <c r="B37" s="7" t="str">
        <f>IFERROR(__xludf.DUMMYFUNCTION("""COMPUTED_VALUE"""),"BI-FAST DB")</f>
        <v>BI-FAST DB</v>
      </c>
      <c r="C37" s="7" t="str">
        <f>IFERROR(__xludf.DUMMYFUNCTION("""COMPUTED_VALUE"""),"BIF BIAYA TXN KE 2 PT BPR LESTARI NUS M-BCA 2 PT BPR LESTARI NUS M-BCA")</f>
        <v>BIF BIAYA TXN KE 2 PT BPR LESTARI NUS M-BCA 2 PT BPR LESTARI NUS M-BCA</v>
      </c>
      <c r="D37" s="7">
        <f>IFERROR(__xludf.DUMMYFUNCTION("""COMPUTED_VALUE"""),2500.0)</f>
        <v>2500</v>
      </c>
      <c r="E37" s="7"/>
      <c r="F37" s="7" t="str">
        <f>IFERROR(__xludf.DUMMYFUNCTION("""COMPUTED_VALUE"""),"DB")</f>
        <v>DB</v>
      </c>
      <c r="G37" s="7">
        <f>IFERROR(__xludf.DUMMYFUNCTION("""COMPUTED_VALUE"""),2.1805760840000033E7)</f>
        <v>21805760.84</v>
      </c>
      <c r="H37" s="7"/>
      <c r="I37" s="7" t="str">
        <f>IFERROR(__xludf.DUMMYFUNCTION("""COMPUTED_VALUE"""),"PRIBADI")</f>
        <v>PRIBADI</v>
      </c>
    </row>
    <row r="38">
      <c r="A38" s="4">
        <f>IFERROR(__xludf.DUMMYFUNCTION("""COMPUTED_VALUE"""),46106.0)</f>
        <v>46106</v>
      </c>
      <c r="B38" s="7" t="str">
        <f>IFERROR(__xludf.DUMMYFUNCTION("""COMPUTED_VALUE"""),"TARIKAN ATM 25/03")</f>
        <v>TARIKAN ATM 25/03</v>
      </c>
      <c r="C38" s="7" t="str">
        <f>IFERROR(__xludf.DUMMYFUNCTION("""COMPUTED_VALUE"""),"TARIKAN ATM 25/03")</f>
        <v>TARIKAN ATM 25/03</v>
      </c>
      <c r="D38" s="7">
        <f>IFERROR(__xludf.DUMMYFUNCTION("""COMPUTED_VALUE"""),200000.0)</f>
        <v>200000</v>
      </c>
      <c r="E38" s="7"/>
      <c r="F38" s="7"/>
      <c r="G38" s="7">
        <f>IFERROR(__xludf.DUMMYFUNCTION("""COMPUTED_VALUE"""),5.337074084000003E7)</f>
        <v>53370740.84</v>
      </c>
      <c r="H38" s="7"/>
      <c r="I38" s="7" t="str">
        <f>IFERROR(__xludf.DUMMYFUNCTION("""COMPUTED_VALUE"""),"PRIBADI")</f>
        <v>PRIBADI</v>
      </c>
    </row>
    <row r="39">
      <c r="A39" s="4">
        <f>IFERROR(__xludf.DUMMYFUNCTION("""COMPUTED_VALUE"""),46107.0)</f>
        <v>46107</v>
      </c>
      <c r="B39" s="7" t="str">
        <f>IFERROR(__xludf.DUMMYFUNCTION("""COMPUTED_VALUE"""),"BYR VIA E-BANKING")</f>
        <v>BYR VIA E-BANKING</v>
      </c>
      <c r="C39" s="7" t="str">
        <f>IFERROR(__xludf.DUMMYFUNCTION("""COMPUTED_VALUE"""),"26/03  WSID9503102 1220 TELKOMSEL 82318368518 MUHAMMAD HAIRUL MA 1220 TELKOMSEL 82318368518 MUHAMMAD HAIRUL MA")</f>
        <v>26/03  WSID9503102 1220 TELKOMSEL 82318368518 MUHAMMAD HAIRUL MA 1220 TELKOMSEL 82318368518 MUHAMMAD HAIRUL MA</v>
      </c>
      <c r="D39" s="7">
        <f>IFERROR(__xludf.DUMMYFUNCTION("""COMPUTED_VALUE"""),102000.0)</f>
        <v>102000</v>
      </c>
      <c r="E39" s="7"/>
      <c r="F39" s="7"/>
      <c r="G39" s="7">
        <f>IFERROR(__xludf.DUMMYFUNCTION("""COMPUTED_VALUE"""),3.730159084000003E7)</f>
        <v>37301590.84</v>
      </c>
      <c r="H39" s="7"/>
      <c r="I39" s="7" t="str">
        <f>IFERROR(__xludf.DUMMYFUNCTION("""COMPUTED_VALUE"""),"PRIBADI")</f>
        <v>PRIBADI</v>
      </c>
    </row>
    <row r="40">
      <c r="A40" s="4">
        <f>IFERROR(__xludf.DUMMYFUNCTION("""COMPUTED_VALUE"""),46109.0)</f>
        <v>46109</v>
      </c>
      <c r="B40" s="7" t="str">
        <f>IFERROR(__xludf.DUMMYFUNCTION("""COMPUTED_VALUE"""),"TARIKAN ATM 28/03")</f>
        <v>TARIKAN ATM 28/03</v>
      </c>
      <c r="C40" s="7" t="str">
        <f>IFERROR(__xludf.DUMMYFUNCTION("""COMPUTED_VALUE"""),"TARIKAN ATM 28/03")</f>
        <v>TARIKAN ATM 28/03</v>
      </c>
      <c r="D40" s="7">
        <f>IFERROR(__xludf.DUMMYFUNCTION("""COMPUTED_VALUE"""),200000.0)</f>
        <v>200000</v>
      </c>
      <c r="E40" s="7"/>
      <c r="F40" s="7"/>
      <c r="G40" s="7">
        <f>IFERROR(__xludf.DUMMYFUNCTION("""COMPUTED_VALUE"""),4587374.840000033)</f>
        <v>4587374.84</v>
      </c>
      <c r="H40" s="7">
        <f>IFERROR(__xludf.DUMMYFUNCTION("""COMPUTED_VALUE"""),4587374.84)</f>
        <v>4587374.84</v>
      </c>
      <c r="I40" s="7" t="str">
        <f>IFERROR(__xludf.DUMMYFUNCTION("""COMPUTED_VALUE"""),"PRIBADI")</f>
        <v>PRIBADI</v>
      </c>
    </row>
    <row r="41">
      <c r="A41" s="4">
        <f>IFERROR(__xludf.DUMMYFUNCTION("""COMPUTED_VALUE"""),46109.0)</f>
        <v>46109</v>
      </c>
      <c r="B41" s="7" t="str">
        <f>IFERROR(__xludf.DUMMYFUNCTION("""COMPUTED_VALUE"""),"TARIKAN ATM 28/03")</f>
        <v>TARIKAN ATM 28/03</v>
      </c>
      <c r="C41" s="7" t="str">
        <f>IFERROR(__xludf.DUMMYFUNCTION("""COMPUTED_VALUE"""),"TARIKAN ATM 28/03")</f>
        <v>TARIKAN ATM 28/03</v>
      </c>
      <c r="D41" s="7">
        <f>IFERROR(__xludf.DUMMYFUNCTION("""COMPUTED_VALUE"""),150000.0)</f>
        <v>150000</v>
      </c>
      <c r="E41" s="7"/>
      <c r="F41" s="7"/>
      <c r="G41" s="7">
        <f>IFERROR(__xludf.DUMMYFUNCTION("""COMPUTED_VALUE"""),4437374.840000033)</f>
        <v>4437374.84</v>
      </c>
      <c r="H41" s="7">
        <f>IFERROR(__xludf.DUMMYFUNCTION("""COMPUTED_VALUE"""),4437374.84)</f>
        <v>4437374.84</v>
      </c>
      <c r="I41" s="7" t="str">
        <f>IFERROR(__xludf.DUMMYFUNCTION("""COMPUTED_VALUE"""),"PRIBADI")</f>
        <v>PRIBADI</v>
      </c>
    </row>
    <row r="42">
      <c r="A42" s="4">
        <f>IFERROR(__xludf.DUMMYFUNCTION("""COMPUTED_VALUE"""),46112.0)</f>
        <v>46112</v>
      </c>
      <c r="B42" s="7" t="str">
        <f>IFERROR(__xludf.DUMMYFUNCTION("""COMPUTED_VALUE"""),"TRSF E-BANKING DB TANGGAL :30/03")</f>
        <v>TRSF E-BANKING DB TANGGAL :30/03</v>
      </c>
      <c r="C42" s="7" t="str">
        <f>IFERROR(__xludf.DUMMYFUNCTION("""COMPUTED_VALUE"""),"3003/FTSCY/WS95271 MUHAMMAD HAIRUL MA")</f>
        <v>3003/FTSCY/WS95271 MUHAMMAD HAIRUL MA</v>
      </c>
      <c r="D42" s="7">
        <f>IFERROR(__xludf.DUMMYFUNCTION("""COMPUTED_VALUE"""),800000.0)</f>
        <v>800000</v>
      </c>
      <c r="E42" s="7"/>
      <c r="F42" s="7" t="str">
        <f>IFERROR(__xludf.DUMMYFUNCTION("""COMPUTED_VALUE"""),"DB")</f>
        <v>DB</v>
      </c>
      <c r="G42" s="7">
        <f>IFERROR(__xludf.DUMMYFUNCTION("""COMPUTED_VALUE"""),6.108513484000003E7)</f>
        <v>61085134.84</v>
      </c>
      <c r="H42" s="7">
        <f>IFERROR(__xludf.DUMMYFUNCTION("""COMPUTED_VALUE"""),6.108513484E7)</f>
        <v>61085134.84</v>
      </c>
      <c r="I42" s="7" t="str">
        <f>IFERROR(__xludf.DUMMYFUNCTION("""COMPUTED_VALUE"""),"PRIBADI")</f>
        <v>PRIBADI</v>
      </c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IFERROR(__xludf.DUMMYFUNCTION("IFERROR(QUERY(MAR_2023!A:I, ""SELECT * WHERE D IS NOT NULL AND UPPER(I) = ''"", 1), ""Data KOSONG belum ditemukan"") "),"Data KOSONG belum ditemukan")</f>
        <v>Data KOSONG belum ditemukan</v>
      </c>
      <c r="J1" s="7">
        <f>SUM(D1:D1000)</f>
        <v>0</v>
      </c>
    </row>
    <row r="2">
      <c r="A2" s="4"/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IFERROR(__xludf.DUMMYFUNCTION("IFERROR(QUERY(MAR_2023!A:I, ""SELECT * WHERE D IS NOT NULL AND UPPER(I) = 'EXSPEDISI'"", 1), ""Data EXSPEDISI belum ditemukan"")"),46082.0)</f>
        <v>46082</v>
      </c>
      <c r="B1" s="7" t="str">
        <f>IFERROR(__xludf.DUMMYFUNCTION("""COMPUTED_VALUE"""),"TRSF E-BANKING DB")</f>
        <v>TRSF E-BANKING DB</v>
      </c>
      <c r="C1" s="7" t="str">
        <f>IFERROR(__xludf.DUMMYFUNCTION("""COMPUTED_VALUE"""),"0103/FTSCY/WS95031 18002000.00 krg 50 jt EKO SETIYAWAN")</f>
        <v>0103/FTSCY/WS95031 18002000.00 krg 50 jt EKO SETIYAWAN</v>
      </c>
      <c r="D1" s="7">
        <f>IFERROR(__xludf.DUMMYFUNCTION("""COMPUTED_VALUE"""),1.8002E7)</f>
        <v>18002000</v>
      </c>
      <c r="E1" s="7"/>
      <c r="F1" s="7" t="str">
        <f>IFERROR(__xludf.DUMMYFUNCTION("""COMPUTED_VALUE"""),"DB")</f>
        <v>DB</v>
      </c>
      <c r="G1" s="7">
        <f>IFERROR(__xludf.DUMMYFUNCTION("""COMPUTED_VALUE"""),2586269.8400000036)</f>
        <v>2586269.84</v>
      </c>
      <c r="H1" s="7"/>
      <c r="I1" s="7" t="str">
        <f>IFERROR(__xludf.DUMMYFUNCTION("""COMPUTED_VALUE"""),"EXSPEDISI")</f>
        <v>EXSPEDISI</v>
      </c>
      <c r="J1" s="7">
        <f>SUM(D1:D1000)</f>
        <v>307857070</v>
      </c>
    </row>
    <row r="2">
      <c r="A2" s="7">
        <f>IFERROR(__xludf.DUMMYFUNCTION("""COMPUTED_VALUE"""),46082.0)</f>
        <v>46082</v>
      </c>
      <c r="B2" s="7" t="str">
        <f>IFERROR(__xludf.DUMMYFUNCTION("""COMPUTED_VALUE"""),"TRSF E-BANKING DB")</f>
        <v>TRSF E-BANKING DB</v>
      </c>
      <c r="C2" s="7" t="str">
        <f>IFERROR(__xludf.DUMMYFUNCTION("""COMPUTED_VALUE"""),"0103/FTSCY/WS95031 2148900.00 MUJIANTO")</f>
        <v>0103/FTSCY/WS95031 2148900.00 MUJIANTO</v>
      </c>
      <c r="D2" s="7">
        <f>IFERROR(__xludf.DUMMYFUNCTION("""COMPUTED_VALUE"""),2148900.0)</f>
        <v>2148900</v>
      </c>
      <c r="E2" s="7"/>
      <c r="F2" s="7" t="str">
        <f>IFERROR(__xludf.DUMMYFUNCTION("""COMPUTED_VALUE"""),"DB")</f>
        <v>DB</v>
      </c>
      <c r="G2" s="7">
        <f>IFERROR(__xludf.DUMMYFUNCTION("""COMPUTED_VALUE"""),6.516324984E7)</f>
        <v>65163249.84</v>
      </c>
      <c r="H2" s="7"/>
      <c r="I2" s="7" t="str">
        <f>IFERROR(__xludf.DUMMYFUNCTION("""COMPUTED_VALUE"""),"EXSPEDISI")</f>
        <v>EXSPEDISI</v>
      </c>
    </row>
    <row r="3">
      <c r="A3" s="7">
        <f>IFERROR(__xludf.DUMMYFUNCTION("""COMPUTED_VALUE"""),46084.0)</f>
        <v>46084</v>
      </c>
      <c r="B3" s="7" t="str">
        <f>IFERROR(__xludf.DUMMYFUNCTION("""COMPUTED_VALUE"""),"TRSF E-BANKING DB TANGGAL :02/03")</f>
        <v>TRSF E-BANKING DB TANGGAL :02/03</v>
      </c>
      <c r="C3" s="7" t="str">
        <f>IFERROR(__xludf.DUMMYFUNCTION("""COMPUTED_VALUE"""),"0203/FTSCY/WS95031 blitar HERMAWAN")</f>
        <v>0203/FTSCY/WS95031 blitar HERMAWAN</v>
      </c>
      <c r="D3" s="7">
        <f>IFERROR(__xludf.DUMMYFUNCTION("""COMPUTED_VALUE"""),2592200.0)</f>
        <v>2592200</v>
      </c>
      <c r="E3" s="7"/>
      <c r="F3" s="7" t="str">
        <f>IFERROR(__xludf.DUMMYFUNCTION("""COMPUTED_VALUE"""),"DB")</f>
        <v>DB</v>
      </c>
      <c r="G3" s="7">
        <f>IFERROR(__xludf.DUMMYFUNCTION("""COMPUTED_VALUE"""),4.658019984000003E7)</f>
        <v>46580199.84</v>
      </c>
      <c r="H3" s="7"/>
      <c r="I3" s="7" t="str">
        <f>IFERROR(__xludf.DUMMYFUNCTION("""COMPUTED_VALUE"""),"EXSPEDISI")</f>
        <v>EXSPEDISI</v>
      </c>
    </row>
    <row r="4">
      <c r="A4" s="7">
        <f>IFERROR(__xludf.DUMMYFUNCTION("""COMPUTED_VALUE"""),46084.0)</f>
        <v>46084</v>
      </c>
      <c r="B4" s="7" t="str">
        <f>IFERROR(__xludf.DUMMYFUNCTION("""COMPUTED_VALUE"""),"TRSF E-BANKING DB TANGGAL :02/03")</f>
        <v>TRSF E-BANKING DB TANGGAL :02/03</v>
      </c>
      <c r="C4" s="7" t="str">
        <f>IFERROR(__xludf.DUMMYFUNCTION("""COMPUTED_VALUE"""),"0203/FTSCY/WS95031 HERMAWAN")</f>
        <v>0203/FTSCY/WS95031 HERMAWAN</v>
      </c>
      <c r="D4" s="7">
        <f>IFERROR(__xludf.DUMMYFUNCTION("""COMPUTED_VALUE"""),1469500.0)</f>
        <v>1469500</v>
      </c>
      <c r="E4" s="7"/>
      <c r="F4" s="7" t="str">
        <f>IFERROR(__xludf.DUMMYFUNCTION("""COMPUTED_VALUE"""),"DB")</f>
        <v>DB</v>
      </c>
      <c r="G4" s="7">
        <f>IFERROR(__xludf.DUMMYFUNCTION("""COMPUTED_VALUE"""),4.511069984000003E7)</f>
        <v>45110699.84</v>
      </c>
      <c r="H4" s="7"/>
      <c r="I4" s="7" t="str">
        <f>IFERROR(__xludf.DUMMYFUNCTION("""COMPUTED_VALUE"""),"EXSPEDISI")</f>
        <v>EXSPEDISI</v>
      </c>
    </row>
    <row r="5">
      <c r="A5" s="7">
        <f>IFERROR(__xludf.DUMMYFUNCTION("""COMPUTED_VALUE"""),46084.0)</f>
        <v>46084</v>
      </c>
      <c r="B5" s="7" t="str">
        <f>IFERROR(__xludf.DUMMYFUNCTION("""COMPUTED_VALUE"""),"TRSF E-BANKING DB TANGGAL :02/03")</f>
        <v>TRSF E-BANKING DB TANGGAL :02/03</v>
      </c>
      <c r="C5" s="7" t="str">
        <f>IFERROR(__xludf.DUMMYFUNCTION("""COMPUTED_VALUE"""),"0203/FTSCY/WS95031 MUJIANTO")</f>
        <v>0203/FTSCY/WS95031 MUJIANTO</v>
      </c>
      <c r="D5" s="7">
        <f>IFERROR(__xludf.DUMMYFUNCTION("""COMPUTED_VALUE"""),1225470.0)</f>
        <v>1225470</v>
      </c>
      <c r="E5" s="7"/>
      <c r="F5" s="7" t="str">
        <f>IFERROR(__xludf.DUMMYFUNCTION("""COMPUTED_VALUE"""),"DB")</f>
        <v>DB</v>
      </c>
      <c r="G5" s="7">
        <f>IFERROR(__xludf.DUMMYFUNCTION("""COMPUTED_VALUE"""),4.388522984000003E7)</f>
        <v>43885229.84</v>
      </c>
      <c r="H5" s="7"/>
      <c r="I5" s="7" t="str">
        <f>IFERROR(__xludf.DUMMYFUNCTION("""COMPUTED_VALUE"""),"EXSPEDISI")</f>
        <v>EXSPEDISI</v>
      </c>
    </row>
    <row r="6">
      <c r="A6" s="7">
        <f>IFERROR(__xludf.DUMMYFUNCTION("""COMPUTED_VALUE"""),46084.0)</f>
        <v>46084</v>
      </c>
      <c r="B6" s="7" t="str">
        <f>IFERROR(__xludf.DUMMYFUNCTION("""COMPUTED_VALUE"""),"TRSF E-BANKING DB TANGGAL :02/03")</f>
        <v>TRSF E-BANKING DB TANGGAL :02/03</v>
      </c>
      <c r="C6" s="7" t="str">
        <f>IFERROR(__xludf.DUMMYFUNCTION("""COMPUTED_VALUE"""),"0203/FTSCY/WS95271 krg 50 jt EKO SETIYAWAN")</f>
        <v>0203/FTSCY/WS95271 krg 50 jt EKO SETIYAWAN</v>
      </c>
      <c r="D6" s="7">
        <f>IFERROR(__xludf.DUMMYFUNCTION("""COMPUTED_VALUE"""),1.338465E7)</f>
        <v>13384650</v>
      </c>
      <c r="E6" s="7"/>
      <c r="F6" s="7" t="str">
        <f>IFERROR(__xludf.DUMMYFUNCTION("""COMPUTED_VALUE"""),"DB")</f>
        <v>DB</v>
      </c>
      <c r="G6" s="7">
        <f>IFERROR(__xludf.DUMMYFUNCTION("""COMPUTED_VALUE"""),3.0500579840000033E7)</f>
        <v>30500579.84</v>
      </c>
      <c r="H6" s="7"/>
      <c r="I6" s="7" t="str">
        <f>IFERROR(__xludf.DUMMYFUNCTION("""COMPUTED_VALUE"""),"EXSPEDISI")</f>
        <v>EXSPEDISI</v>
      </c>
    </row>
    <row r="7">
      <c r="A7" s="7">
        <f>IFERROR(__xludf.DUMMYFUNCTION("""COMPUTED_VALUE"""),46085.0)</f>
        <v>46085</v>
      </c>
      <c r="B7" s="7" t="str">
        <f>IFERROR(__xludf.DUMMYFUNCTION("""COMPUTED_VALUE"""),"TRSF E-BANKING DB")</f>
        <v>TRSF E-BANKING DB</v>
      </c>
      <c r="C7" s="7" t="str">
        <f>IFERROR(__xludf.DUMMYFUNCTION("""COMPUTED_VALUE"""),"0403/FTSCY/WS95031 1989540.00 pasuruan sidoraya HERMAWAN")</f>
        <v>0403/FTSCY/WS95031 1989540.00 pasuruan sidoraya HERMAWAN</v>
      </c>
      <c r="D7" s="7">
        <f>IFERROR(__xludf.DUMMYFUNCTION("""COMPUTED_VALUE"""),1989540.0)</f>
        <v>1989540</v>
      </c>
      <c r="E7" s="7"/>
      <c r="F7" s="7" t="str">
        <f>IFERROR(__xludf.DUMMYFUNCTION("""COMPUTED_VALUE"""),"DB")</f>
        <v>DB</v>
      </c>
      <c r="G7" s="7">
        <f>IFERROR(__xludf.DUMMYFUNCTION("""COMPUTED_VALUE"""),1.0881311484000003E8)</f>
        <v>108813114.8</v>
      </c>
      <c r="H7" s="7"/>
      <c r="I7" s="7" t="str">
        <f>IFERROR(__xludf.DUMMYFUNCTION("""COMPUTED_VALUE"""),"EXSPEDISI")</f>
        <v>EXSPEDISI</v>
      </c>
    </row>
    <row r="8">
      <c r="A8" s="7">
        <f>IFERROR(__xludf.DUMMYFUNCTION("""COMPUTED_VALUE"""),46086.0)</f>
        <v>46086</v>
      </c>
      <c r="B8" s="7" t="str">
        <f>IFERROR(__xludf.DUMMYFUNCTION("""COMPUTED_VALUE"""),"TRSF E-BANKING DB")</f>
        <v>TRSF E-BANKING DB</v>
      </c>
      <c r="C8" s="7" t="str">
        <f>IFERROR(__xludf.DUMMYFUNCTION("""COMPUTED_VALUE"""),"0503/FTSCY/WS95031 1700000.00 HERMAWAN")</f>
        <v>0503/FTSCY/WS95031 1700000.00 HERMAWAN</v>
      </c>
      <c r="D8" s="7">
        <f>IFERROR(__xludf.DUMMYFUNCTION("""COMPUTED_VALUE"""),1700000.0)</f>
        <v>1700000</v>
      </c>
      <c r="E8" s="7"/>
      <c r="F8" s="7" t="str">
        <f>IFERROR(__xludf.DUMMYFUNCTION("""COMPUTED_VALUE"""),"DB")</f>
        <v>DB</v>
      </c>
      <c r="G8" s="7">
        <f>IFERROR(__xludf.DUMMYFUNCTION("""COMPUTED_VALUE"""),8.549064384000003E7)</f>
        <v>85490643.84</v>
      </c>
      <c r="H8" s="7"/>
      <c r="I8" s="7" t="str">
        <f>IFERROR(__xludf.DUMMYFUNCTION("""COMPUTED_VALUE"""),"EXSPEDISI")</f>
        <v>EXSPEDISI</v>
      </c>
    </row>
    <row r="9">
      <c r="A9" s="7">
        <f>IFERROR(__xludf.DUMMYFUNCTION("""COMPUTED_VALUE"""),46086.0)</f>
        <v>46086</v>
      </c>
      <c r="B9" s="7" t="str">
        <f>IFERROR(__xludf.DUMMYFUNCTION("""COMPUTED_VALUE"""),"TRSF E-BANKING DB")</f>
        <v>TRSF E-BANKING DB</v>
      </c>
      <c r="C9" s="7" t="str">
        <f>IFERROR(__xludf.DUMMYFUNCTION("""COMPUTED_VALUE"""),"0503/FTSCY/WS95031 1401000.00 t. agung lidia MUJIANTO")</f>
        <v>0503/FTSCY/WS95031 1401000.00 t. agung lidia MUJIANTO</v>
      </c>
      <c r="D9" s="7">
        <f>IFERROR(__xludf.DUMMYFUNCTION("""COMPUTED_VALUE"""),1401000.0)</f>
        <v>1401000</v>
      </c>
      <c r="E9" s="7"/>
      <c r="F9" s="7" t="str">
        <f>IFERROR(__xludf.DUMMYFUNCTION("""COMPUTED_VALUE"""),"DB")</f>
        <v>DB</v>
      </c>
      <c r="G9" s="7">
        <f>IFERROR(__xludf.DUMMYFUNCTION("""COMPUTED_VALUE"""),8.408964384000003E7)</f>
        <v>84089643.84</v>
      </c>
      <c r="H9" s="7">
        <f>IFERROR(__xludf.DUMMYFUNCTION("""COMPUTED_VALUE"""),8.408964384E7)</f>
        <v>84089643.84</v>
      </c>
      <c r="I9" s="7" t="str">
        <f>IFERROR(__xludf.DUMMYFUNCTION("""COMPUTED_VALUE"""),"EXSPEDISI")</f>
        <v>EXSPEDISI</v>
      </c>
    </row>
    <row r="10">
      <c r="A10" s="7">
        <f>IFERROR(__xludf.DUMMYFUNCTION("""COMPUTED_VALUE"""),46086.0)</f>
        <v>46086</v>
      </c>
      <c r="B10" s="7" t="str">
        <f>IFERROR(__xludf.DUMMYFUNCTION("""COMPUTED_VALUE"""),"TRSF E-BANKING DB")</f>
        <v>TRSF E-BANKING DB</v>
      </c>
      <c r="C10" s="7" t="str">
        <f>IFERROR(__xludf.DUMMYFUNCTION("""COMPUTED_VALUE"""),"0503/FTSCY/WS95031 14665100.00 krg 60 EKO SETIYAWAN")</f>
        <v>0503/FTSCY/WS95031 14665100.00 krg 60 EKO SETIYAWAN</v>
      </c>
      <c r="D10" s="7">
        <f>IFERROR(__xludf.DUMMYFUNCTION("""COMPUTED_VALUE"""),1.46651E7)</f>
        <v>14665100</v>
      </c>
      <c r="E10" s="7"/>
      <c r="F10" s="7" t="str">
        <f>IFERROR(__xludf.DUMMYFUNCTION("""COMPUTED_VALUE"""),"DB")</f>
        <v>DB</v>
      </c>
      <c r="G10" s="7">
        <f>IFERROR(__xludf.DUMMYFUNCTION("""COMPUTED_VALUE"""),6.942454384000003E7)</f>
        <v>69424543.84</v>
      </c>
      <c r="H10" s="7">
        <f>IFERROR(__xludf.DUMMYFUNCTION("""COMPUTED_VALUE"""),6.942454384E7)</f>
        <v>69424543.84</v>
      </c>
      <c r="I10" s="7" t="str">
        <f>IFERROR(__xludf.DUMMYFUNCTION("""COMPUTED_VALUE"""),"EXSPEDISI")</f>
        <v>EXSPEDISI</v>
      </c>
    </row>
    <row r="11">
      <c r="A11" s="7">
        <f>IFERROR(__xludf.DUMMYFUNCTION("""COMPUTED_VALUE"""),46086.0)</f>
        <v>46086</v>
      </c>
      <c r="B11" s="7" t="str">
        <f>IFERROR(__xludf.DUMMYFUNCTION("""COMPUTED_VALUE"""),"TRSF E-BANKING DB")</f>
        <v>TRSF E-BANKING DB</v>
      </c>
      <c r="C11" s="7" t="str">
        <f>IFERROR(__xludf.DUMMYFUNCTION("""COMPUTED_VALUE"""),"0503/FTSCY/WS95031 318600.00 EKO SETIYAWAN")</f>
        <v>0503/FTSCY/WS95031 318600.00 EKO SETIYAWAN</v>
      </c>
      <c r="D11" s="7">
        <f>IFERROR(__xludf.DUMMYFUNCTION("""COMPUTED_VALUE"""),318600.0)</f>
        <v>318600</v>
      </c>
      <c r="E11" s="7"/>
      <c r="F11" s="7" t="str">
        <f>IFERROR(__xludf.DUMMYFUNCTION("""COMPUTED_VALUE"""),"DB")</f>
        <v>DB</v>
      </c>
      <c r="G11" s="7">
        <f>IFERROR(__xludf.DUMMYFUNCTION("""COMPUTED_VALUE"""),6.910594384000003E7)</f>
        <v>69105943.84</v>
      </c>
      <c r="H11" s="7">
        <f>IFERROR(__xludf.DUMMYFUNCTION("""COMPUTED_VALUE"""),6.910594384E7)</f>
        <v>69105943.84</v>
      </c>
      <c r="I11" s="7" t="str">
        <f>IFERROR(__xludf.DUMMYFUNCTION("""COMPUTED_VALUE"""),"EXSPEDISI")</f>
        <v>EXSPEDISI</v>
      </c>
    </row>
    <row r="12">
      <c r="A12" s="7">
        <f>IFERROR(__xludf.DUMMYFUNCTION("""COMPUTED_VALUE"""),46089.0)</f>
        <v>46089</v>
      </c>
      <c r="B12" s="7" t="str">
        <f>IFERROR(__xludf.DUMMYFUNCTION("""COMPUTED_VALUE"""),"TRSF E-BANKING DB")</f>
        <v>TRSF E-BANKING DB</v>
      </c>
      <c r="C12" s="7" t="str">
        <f>IFERROR(__xludf.DUMMYFUNCTION("""COMPUTED_VALUE"""),"0803/FTSCY/WS95031 973500.00 MUJIANTO")</f>
        <v>0803/FTSCY/WS95031 973500.00 MUJIANTO</v>
      </c>
      <c r="D12" s="7">
        <f>IFERROR(__xludf.DUMMYFUNCTION("""COMPUTED_VALUE"""),973500.0)</f>
        <v>973500</v>
      </c>
      <c r="E12" s="7"/>
      <c r="F12" s="7" t="str">
        <f>IFERROR(__xludf.DUMMYFUNCTION("""COMPUTED_VALUE"""),"DB")</f>
        <v>DB</v>
      </c>
      <c r="G12" s="7">
        <f>IFERROR(__xludf.DUMMYFUNCTION("""COMPUTED_VALUE"""),6375138.840000033)</f>
        <v>6375138.84</v>
      </c>
      <c r="H12" s="7"/>
      <c r="I12" s="7" t="str">
        <f>IFERROR(__xludf.DUMMYFUNCTION("""COMPUTED_VALUE"""),"EXSPEDISI")</f>
        <v>EXSPEDISI</v>
      </c>
    </row>
    <row r="13">
      <c r="A13" s="7">
        <f>IFERROR(__xludf.DUMMYFUNCTION("""COMPUTED_VALUE"""),46090.0)</f>
        <v>46090</v>
      </c>
      <c r="B13" s="7" t="str">
        <f>IFERROR(__xludf.DUMMYFUNCTION("""COMPUTED_VALUE"""),"TRSF E-BANKING DB")</f>
        <v>TRSF E-BANKING DB</v>
      </c>
      <c r="C13" s="7" t="str">
        <f>IFERROR(__xludf.DUMMYFUNCTION("""COMPUTED_VALUE"""),"0903/FTSCY/WS95031 1557050.00 MUJIANTO")</f>
        <v>0903/FTSCY/WS95031 1557050.00 MUJIANTO</v>
      </c>
      <c r="D13" s="7">
        <f>IFERROR(__xludf.DUMMYFUNCTION("""COMPUTED_VALUE"""),1557050.0)</f>
        <v>1557050</v>
      </c>
      <c r="E13" s="7"/>
      <c r="F13" s="7" t="str">
        <f>IFERROR(__xludf.DUMMYFUNCTION("""COMPUTED_VALUE"""),"DB")</f>
        <v>DB</v>
      </c>
      <c r="G13" s="7">
        <f>IFERROR(__xludf.DUMMYFUNCTION("""COMPUTED_VALUE"""),3.3350408840000033E7)</f>
        <v>33350408.84</v>
      </c>
      <c r="H13" s="7"/>
      <c r="I13" s="7" t="str">
        <f>IFERROR(__xludf.DUMMYFUNCTION("""COMPUTED_VALUE"""),"EXSPEDISI")</f>
        <v>EXSPEDISI</v>
      </c>
    </row>
    <row r="14">
      <c r="A14" s="7">
        <f>IFERROR(__xludf.DUMMYFUNCTION("""COMPUTED_VALUE"""),46090.0)</f>
        <v>46090</v>
      </c>
      <c r="B14" s="7" t="str">
        <f>IFERROR(__xludf.DUMMYFUNCTION("""COMPUTED_VALUE"""),"TRSF E-BANKING DB")</f>
        <v>TRSF E-BANKING DB</v>
      </c>
      <c r="C14" s="7" t="str">
        <f>IFERROR(__xludf.DUMMYFUNCTION("""COMPUTED_VALUE"""),"0903/FTSCY/WS95031 10486870.00 lunas HERMAWAN")</f>
        <v>0903/FTSCY/WS95031 10486870.00 lunas HERMAWAN</v>
      </c>
      <c r="D14" s="7">
        <f>IFERROR(__xludf.DUMMYFUNCTION("""COMPUTED_VALUE"""),1.048687E7)</f>
        <v>10486870</v>
      </c>
      <c r="E14" s="7"/>
      <c r="F14" s="7" t="str">
        <f>IFERROR(__xludf.DUMMYFUNCTION("""COMPUTED_VALUE"""),"DB")</f>
        <v>DB</v>
      </c>
      <c r="G14" s="7">
        <f>IFERROR(__xludf.DUMMYFUNCTION("""COMPUTED_VALUE"""),2.2863538840000033E7)</f>
        <v>22863538.84</v>
      </c>
      <c r="H14" s="7"/>
      <c r="I14" s="7" t="str">
        <f>IFERROR(__xludf.DUMMYFUNCTION("""COMPUTED_VALUE"""),"EXSPEDISI")</f>
        <v>EXSPEDISI</v>
      </c>
    </row>
    <row r="15">
      <c r="A15" s="7">
        <f>IFERROR(__xludf.DUMMYFUNCTION("""COMPUTED_VALUE"""),46090.0)</f>
        <v>46090</v>
      </c>
      <c r="B15" s="7" t="str">
        <f>IFERROR(__xludf.DUMMYFUNCTION("""COMPUTED_VALUE"""),"TRSF E-BANKING DB")</f>
        <v>TRSF E-BANKING DB</v>
      </c>
      <c r="C15" s="7" t="str">
        <f>IFERROR(__xludf.DUMMYFUNCTION("""COMPUTED_VALUE"""),"0903/FTSCY/WS95031 22760400.00 krg 57 jt EKO SETIYAWAN")</f>
        <v>0903/FTSCY/WS95031 22760400.00 krg 57 jt EKO SETIYAWAN</v>
      </c>
      <c r="D15" s="7">
        <f>IFERROR(__xludf.DUMMYFUNCTION("""COMPUTED_VALUE"""),2.27604E7)</f>
        <v>22760400</v>
      </c>
      <c r="E15" s="7"/>
      <c r="F15" s="7" t="str">
        <f>IFERROR(__xludf.DUMMYFUNCTION("""COMPUTED_VALUE"""),"DB")</f>
        <v>DB</v>
      </c>
      <c r="G15" s="7">
        <f>IFERROR(__xludf.DUMMYFUNCTION("""COMPUTED_VALUE"""),103138.84000003338)</f>
        <v>103138.84</v>
      </c>
      <c r="H15" s="7"/>
      <c r="I15" s="7" t="str">
        <f>IFERROR(__xludf.DUMMYFUNCTION("""COMPUTED_VALUE"""),"EXSPEDISI")</f>
        <v>EXSPEDISI</v>
      </c>
    </row>
    <row r="16">
      <c r="A16" s="7">
        <f>IFERROR(__xludf.DUMMYFUNCTION("""COMPUTED_VALUE"""),46091.0)</f>
        <v>46091</v>
      </c>
      <c r="B16" s="7" t="str">
        <f>IFERROR(__xludf.DUMMYFUNCTION("""COMPUTED_VALUE"""),"TRSF E-BANKING DB")</f>
        <v>TRSF E-BANKING DB</v>
      </c>
      <c r="C16" s="7" t="str">
        <f>IFERROR(__xludf.DUMMYFUNCTION("""COMPUTED_VALUE"""),"1003/FTSCY/WS95031 1350000.00 kdr lidia HERMAWAN")</f>
        <v>1003/FTSCY/WS95031 1350000.00 kdr lidia HERMAWAN</v>
      </c>
      <c r="D16" s="7">
        <f>IFERROR(__xludf.DUMMYFUNCTION("""COMPUTED_VALUE"""),1350000.0)</f>
        <v>1350000</v>
      </c>
      <c r="E16" s="7"/>
      <c r="F16" s="7" t="str">
        <f>IFERROR(__xludf.DUMMYFUNCTION("""COMPUTED_VALUE"""),"DB")</f>
        <v>DB</v>
      </c>
      <c r="G16" s="7">
        <f>IFERROR(__xludf.DUMMYFUNCTION("""COMPUTED_VALUE"""),3.523571684000003E7)</f>
        <v>35235716.84</v>
      </c>
      <c r="H16" s="7"/>
      <c r="I16" s="7" t="str">
        <f>IFERROR(__xludf.DUMMYFUNCTION("""COMPUTED_VALUE"""),"EXSPEDISI")</f>
        <v>EXSPEDISI</v>
      </c>
    </row>
    <row r="17">
      <c r="A17" s="7">
        <f>IFERROR(__xludf.DUMMYFUNCTION("""COMPUTED_VALUE"""),46091.0)</f>
        <v>46091</v>
      </c>
      <c r="B17" s="7" t="str">
        <f>IFERROR(__xludf.DUMMYFUNCTION("""COMPUTED_VALUE"""),"TRSF E-BANKING DB")</f>
        <v>TRSF E-BANKING DB</v>
      </c>
      <c r="C17" s="7" t="str">
        <f>IFERROR(__xludf.DUMMYFUNCTION("""COMPUTED_VALUE"""),"1003/FTSCY/WS95031 2670430.00 ngawi lidia MUJIANTO")</f>
        <v>1003/FTSCY/WS95031 2670430.00 ngawi lidia MUJIANTO</v>
      </c>
      <c r="D17" s="7">
        <f>IFERROR(__xludf.DUMMYFUNCTION("""COMPUTED_VALUE"""),2670430.0)</f>
        <v>2670430</v>
      </c>
      <c r="E17" s="7"/>
      <c r="F17" s="7" t="str">
        <f>IFERROR(__xludf.DUMMYFUNCTION("""COMPUTED_VALUE"""),"DB")</f>
        <v>DB</v>
      </c>
      <c r="G17" s="7">
        <f>IFERROR(__xludf.DUMMYFUNCTION("""COMPUTED_VALUE"""),3.2565286840000033E7)</f>
        <v>32565286.84</v>
      </c>
      <c r="H17" s="7"/>
      <c r="I17" s="7" t="str">
        <f>IFERROR(__xludf.DUMMYFUNCTION("""COMPUTED_VALUE"""),"EXSPEDISI")</f>
        <v>EXSPEDISI</v>
      </c>
    </row>
    <row r="18">
      <c r="A18" s="7">
        <f>IFERROR(__xludf.DUMMYFUNCTION("""COMPUTED_VALUE"""),46091.0)</f>
        <v>46091</v>
      </c>
      <c r="B18" s="7" t="str">
        <f>IFERROR(__xludf.DUMMYFUNCTION("""COMPUTED_VALUE"""),"TRSF E-BANKING DB")</f>
        <v>TRSF E-BANKING DB</v>
      </c>
      <c r="C18" s="7" t="str">
        <f>IFERROR(__xludf.DUMMYFUNCTION("""COMPUTED_VALUE"""),"1003/FTSCY/WS95031 4526000.00 krg 64.550.000 EKO SETIYAWAN")</f>
        <v>1003/FTSCY/WS95031 4526000.00 krg 64.550.000 EKO SETIYAWAN</v>
      </c>
      <c r="D18" s="7">
        <f>IFERROR(__xludf.DUMMYFUNCTION("""COMPUTED_VALUE"""),4526000.0)</f>
        <v>4526000</v>
      </c>
      <c r="E18" s="7"/>
      <c r="F18" s="7" t="str">
        <f>IFERROR(__xludf.DUMMYFUNCTION("""COMPUTED_VALUE"""),"DB")</f>
        <v>DB</v>
      </c>
      <c r="G18" s="7">
        <f>IFERROR(__xludf.DUMMYFUNCTION("""COMPUTED_VALUE"""),2.8039286840000033E7)</f>
        <v>28039286.84</v>
      </c>
      <c r="H18" s="7"/>
      <c r="I18" s="7" t="str">
        <f>IFERROR(__xludf.DUMMYFUNCTION("""COMPUTED_VALUE"""),"EXSPEDISI")</f>
        <v>EXSPEDISI</v>
      </c>
    </row>
    <row r="19">
      <c r="A19" s="7">
        <f>IFERROR(__xludf.DUMMYFUNCTION("""COMPUTED_VALUE"""),46091.0)</f>
        <v>46091</v>
      </c>
      <c r="B19" s="7" t="str">
        <f>IFERROR(__xludf.DUMMYFUNCTION("""COMPUTED_VALUE"""),"TRSF E-BANKING DB")</f>
        <v>TRSF E-BANKING DB</v>
      </c>
      <c r="C19" s="7" t="str">
        <f>IFERROR(__xludf.DUMMYFUNCTION("""COMPUTED_VALUE"""),"1003/FTSCY/WS95031 1500000.00 mlg lidia BELA PRAMUDITA")</f>
        <v>1003/FTSCY/WS95031 1500000.00 mlg lidia BELA PRAMUDITA</v>
      </c>
      <c r="D19" s="7">
        <f>IFERROR(__xludf.DUMMYFUNCTION("""COMPUTED_VALUE"""),1500000.0)</f>
        <v>1500000</v>
      </c>
      <c r="E19" s="7"/>
      <c r="F19" s="7" t="str">
        <f>IFERROR(__xludf.DUMMYFUNCTION("""COMPUTED_VALUE"""),"DB")</f>
        <v>DB</v>
      </c>
      <c r="G19" s="7">
        <f>IFERROR(__xludf.DUMMYFUNCTION("""COMPUTED_VALUE"""),3.7840396684000003E8)</f>
        <v>378403966.8</v>
      </c>
      <c r="H19" s="7"/>
      <c r="I19" s="7" t="str">
        <f>IFERROR(__xludf.DUMMYFUNCTION("""COMPUTED_VALUE"""),"EXSPEDISI")</f>
        <v>EXSPEDISI</v>
      </c>
    </row>
    <row r="20">
      <c r="A20" s="7">
        <f>IFERROR(__xludf.DUMMYFUNCTION("""COMPUTED_VALUE"""),46092.0)</f>
        <v>46092</v>
      </c>
      <c r="B20" s="7" t="str">
        <f>IFERROR(__xludf.DUMMYFUNCTION("""COMPUTED_VALUE"""),"TRSF E-BANKING DB TANGGAL :10/03")</f>
        <v>TRSF E-BANKING DB TANGGAL :10/03</v>
      </c>
      <c r="C20" s="7" t="str">
        <f>IFERROR(__xludf.DUMMYFUNCTION("""COMPUTED_VALUE"""),"1003/FTSCY/WS95031 MUJIANTO")</f>
        <v>1003/FTSCY/WS95031 MUJIANTO</v>
      </c>
      <c r="D20" s="7">
        <f>IFERROR(__xludf.DUMMYFUNCTION("""COMPUTED_VALUE"""),2038150.0)</f>
        <v>2038150</v>
      </c>
      <c r="E20" s="7"/>
      <c r="F20" s="7" t="str">
        <f>IFERROR(__xludf.DUMMYFUNCTION("""COMPUTED_VALUE"""),"DB")</f>
        <v>DB</v>
      </c>
      <c r="G20" s="7">
        <f>IFERROR(__xludf.DUMMYFUNCTION("""COMPUTED_VALUE"""),1.1747986840000033E7)</f>
        <v>11747986.84</v>
      </c>
      <c r="H20" s="7"/>
      <c r="I20" s="7" t="str">
        <f>IFERROR(__xludf.DUMMYFUNCTION("""COMPUTED_VALUE"""),"EXSPEDISI")</f>
        <v>EXSPEDISI</v>
      </c>
    </row>
    <row r="21">
      <c r="A21" s="7">
        <f>IFERROR(__xludf.DUMMYFUNCTION("""COMPUTED_VALUE"""),46092.0)</f>
        <v>46092</v>
      </c>
      <c r="B21" s="7" t="str">
        <f>IFERROR(__xludf.DUMMYFUNCTION("""COMPUTED_VALUE"""),"TRSF E-BANKING DB TANGGAL :10/03")</f>
        <v>TRSF E-BANKING DB TANGGAL :10/03</v>
      </c>
      <c r="C21" s="7" t="str">
        <f>IFERROR(__xludf.DUMMYFUNCTION("""COMPUTED_VALUE"""),"1003/FTSCY/WS95031 HERMAWAN")</f>
        <v>1003/FTSCY/WS95031 HERMAWAN</v>
      </c>
      <c r="D21" s="7">
        <f>IFERROR(__xludf.DUMMYFUNCTION("""COMPUTED_VALUE"""),1171000.0)</f>
        <v>1171000</v>
      </c>
      <c r="E21" s="7"/>
      <c r="F21" s="7" t="str">
        <f>IFERROR(__xludf.DUMMYFUNCTION("""COMPUTED_VALUE"""),"DB")</f>
        <v>DB</v>
      </c>
      <c r="G21" s="7">
        <f>IFERROR(__xludf.DUMMYFUNCTION("""COMPUTED_VALUE"""),1.0576986840000033E7)</f>
        <v>10576986.84</v>
      </c>
      <c r="H21" s="7"/>
      <c r="I21" s="7" t="str">
        <f>IFERROR(__xludf.DUMMYFUNCTION("""COMPUTED_VALUE"""),"EXSPEDISI")</f>
        <v>EXSPEDISI</v>
      </c>
    </row>
    <row r="22">
      <c r="A22" s="7">
        <f>IFERROR(__xludf.DUMMYFUNCTION("""COMPUTED_VALUE"""),46092.0)</f>
        <v>46092</v>
      </c>
      <c r="B22" s="7" t="str">
        <f>IFERROR(__xludf.DUMMYFUNCTION("""COMPUTED_VALUE"""),"TRSF E-BANKING DB TANGGAL :10/03")</f>
        <v>TRSF E-BANKING DB TANGGAL :10/03</v>
      </c>
      <c r="C22" s="7" t="str">
        <f>IFERROR(__xludf.DUMMYFUNCTION("""COMPUTED_VALUE"""),"1003/FTSCY/WS95031 krg 62.300.000 EKO SETIYAWAN")</f>
        <v>1003/FTSCY/WS95031 krg 62.300.000 EKO SETIYAWAN</v>
      </c>
      <c r="D22" s="7">
        <f>IFERROR(__xludf.DUMMYFUNCTION("""COMPUTED_VALUE"""),1.05101E7)</f>
        <v>10510100</v>
      </c>
      <c r="E22" s="7"/>
      <c r="F22" s="7" t="str">
        <f>IFERROR(__xludf.DUMMYFUNCTION("""COMPUTED_VALUE"""),"DB")</f>
        <v>DB</v>
      </c>
      <c r="G22" s="7">
        <f>IFERROR(__xludf.DUMMYFUNCTION("""COMPUTED_VALUE"""),66886.84000003338)</f>
        <v>66886.84</v>
      </c>
      <c r="H22" s="7"/>
      <c r="I22" s="7" t="str">
        <f>IFERROR(__xludf.DUMMYFUNCTION("""COMPUTED_VALUE"""),"EXSPEDISI")</f>
        <v>EXSPEDISI</v>
      </c>
    </row>
    <row r="23">
      <c r="A23" s="7">
        <f>IFERROR(__xludf.DUMMYFUNCTION("""COMPUTED_VALUE"""),46094.0)</f>
        <v>46094</v>
      </c>
      <c r="B23" s="7" t="str">
        <f>IFERROR(__xludf.DUMMYFUNCTION("""COMPUTED_VALUE"""),"TRSF E-BANKING DB")</f>
        <v>TRSF E-BANKING DB</v>
      </c>
      <c r="C23" s="7" t="str">
        <f>IFERROR(__xludf.DUMMYFUNCTION("""COMPUTED_VALUE"""),"1303/FTSCY/WS95031 2605200.00 HERMAWAN")</f>
        <v>1303/FTSCY/WS95031 2605200.00 HERMAWAN</v>
      </c>
      <c r="D23" s="7">
        <f>IFERROR(__xludf.DUMMYFUNCTION("""COMPUTED_VALUE"""),2605200.0)</f>
        <v>2605200</v>
      </c>
      <c r="E23" s="7"/>
      <c r="F23" s="7" t="str">
        <f>IFERROR(__xludf.DUMMYFUNCTION("""COMPUTED_VALUE"""),"DB")</f>
        <v>DB</v>
      </c>
      <c r="G23" s="7">
        <f>IFERROR(__xludf.DUMMYFUNCTION("""COMPUTED_VALUE"""),1.0316360840000033E7)</f>
        <v>10316360.84</v>
      </c>
      <c r="H23" s="7"/>
      <c r="I23" s="7" t="str">
        <f>IFERROR(__xludf.DUMMYFUNCTION("""COMPUTED_VALUE"""),"EXSPEDISI")</f>
        <v>EXSPEDISI</v>
      </c>
    </row>
    <row r="24">
      <c r="A24" s="7">
        <f>IFERROR(__xludf.DUMMYFUNCTION("""COMPUTED_VALUE"""),46094.0)</f>
        <v>46094</v>
      </c>
      <c r="B24" s="7" t="str">
        <f>IFERROR(__xludf.DUMMYFUNCTION("""COMPUTED_VALUE"""),"TRSF E-BANKING DB")</f>
        <v>TRSF E-BANKING DB</v>
      </c>
      <c r="C24" s="7" t="str">
        <f>IFERROR(__xludf.DUMMYFUNCTION("""COMPUTED_VALUE"""),"1303/FTSCY/WS95031 8780700.00 krg 66.5 jt EKO SETIYAWAN")</f>
        <v>1303/FTSCY/WS95031 8780700.00 krg 66.5 jt EKO SETIYAWAN</v>
      </c>
      <c r="D24" s="7">
        <f>IFERROR(__xludf.DUMMYFUNCTION("""COMPUTED_VALUE"""),8780700.0)</f>
        <v>8780700</v>
      </c>
      <c r="E24" s="7"/>
      <c r="F24" s="7" t="str">
        <f>IFERROR(__xludf.DUMMYFUNCTION("""COMPUTED_VALUE"""),"DB")</f>
        <v>DB</v>
      </c>
      <c r="G24" s="7">
        <f>IFERROR(__xludf.DUMMYFUNCTION("""COMPUTED_VALUE"""),1535660.8400000334)</f>
        <v>1535660.84</v>
      </c>
      <c r="H24" s="7"/>
      <c r="I24" s="7" t="str">
        <f>IFERROR(__xludf.DUMMYFUNCTION("""COMPUTED_VALUE"""),"EXSPEDISI")</f>
        <v>EXSPEDISI</v>
      </c>
    </row>
    <row r="25">
      <c r="A25" s="7">
        <f>IFERROR(__xludf.DUMMYFUNCTION("""COMPUTED_VALUE"""),46094.0)</f>
        <v>46094</v>
      </c>
      <c r="B25" s="7" t="str">
        <f>IFERROR(__xludf.DUMMYFUNCTION("""COMPUTED_VALUE"""),"TRSF E-BANKING DB")</f>
        <v>TRSF E-BANKING DB</v>
      </c>
      <c r="C25" s="7" t="str">
        <f>IFERROR(__xludf.DUMMYFUNCTION("""COMPUTED_VALUE"""),"1303/FTSCY/WS95031 430000.00 SLAMET RAHARJO 430000.00 SLAMET RAHARJO")</f>
        <v>1303/FTSCY/WS95031 430000.00 SLAMET RAHARJO 430000.00 SLAMET RAHARJO</v>
      </c>
      <c r="D25" s="7">
        <f>IFERROR(__xludf.DUMMYFUNCTION("""COMPUTED_VALUE"""),430000.0)</f>
        <v>430000</v>
      </c>
      <c r="E25" s="7"/>
      <c r="F25" s="7" t="str">
        <f>IFERROR(__xludf.DUMMYFUNCTION("""COMPUTED_VALUE"""),"DB")</f>
        <v>DB</v>
      </c>
      <c r="G25" s="7">
        <f>IFERROR(__xludf.DUMMYFUNCTION("""COMPUTED_VALUE"""),2.8679125840000033E7)</f>
        <v>28679125.84</v>
      </c>
      <c r="H25" s="7"/>
      <c r="I25" s="7" t="str">
        <f>IFERROR(__xludf.DUMMYFUNCTION("""COMPUTED_VALUE"""),"EXSPEDISI")</f>
        <v>EXSPEDISI</v>
      </c>
    </row>
    <row r="26">
      <c r="A26" s="7">
        <f>IFERROR(__xludf.DUMMYFUNCTION("""COMPUTED_VALUE"""),46095.0)</f>
        <v>46095</v>
      </c>
      <c r="B26" s="7" t="str">
        <f>IFERROR(__xludf.DUMMYFUNCTION("""COMPUTED_VALUE"""),"TRSF E-BANKING DB")</f>
        <v>TRSF E-BANKING DB</v>
      </c>
      <c r="C26" s="7" t="str">
        <f>IFERROR(__xludf.DUMMYFUNCTION("""COMPUTED_VALUE"""),"1403/FTSCY/WS95031 3000000.00 NURIYANTO 3000000.00 NURIYANTO")</f>
        <v>1403/FTSCY/WS95031 3000000.00 NURIYANTO 3000000.00 NURIYANTO</v>
      </c>
      <c r="D26" s="7">
        <f>IFERROR(__xludf.DUMMYFUNCTION("""COMPUTED_VALUE"""),3000000.0)</f>
        <v>3000000</v>
      </c>
      <c r="E26" s="7"/>
      <c r="F26" s="7" t="str">
        <f>IFERROR(__xludf.DUMMYFUNCTION("""COMPUTED_VALUE"""),"DB")</f>
        <v>DB</v>
      </c>
      <c r="G26" s="7">
        <f>IFERROR(__xludf.DUMMYFUNCTION("""COMPUTED_VALUE"""),88525.84000003338)</f>
        <v>88525.84</v>
      </c>
      <c r="H26" s="7"/>
      <c r="I26" s="7" t="str">
        <f>IFERROR(__xludf.DUMMYFUNCTION("""COMPUTED_VALUE"""),"EXSPEDISI")</f>
        <v>EXSPEDISI</v>
      </c>
    </row>
    <row r="27">
      <c r="A27" s="7">
        <f>IFERROR(__xludf.DUMMYFUNCTION("""COMPUTED_VALUE"""),46096.0)</f>
        <v>46096</v>
      </c>
      <c r="B27" s="7" t="str">
        <f>IFERROR(__xludf.DUMMYFUNCTION("""COMPUTED_VALUE"""),"TRSF E-BANKING DB")</f>
        <v>TRSF E-BANKING DB</v>
      </c>
      <c r="C27" s="7" t="str">
        <f>IFERROR(__xludf.DUMMYFUNCTION("""COMPUTED_VALUE"""),"1503/FTSCY/WS95031 1596420.00 MUJIANTO 1596420.00 MUJIANTO")</f>
        <v>1503/FTSCY/WS95031 1596420.00 MUJIANTO 1596420.00 MUJIANTO</v>
      </c>
      <c r="D27" s="7">
        <f>IFERROR(__xludf.DUMMYFUNCTION("""COMPUTED_VALUE"""),1596420.0)</f>
        <v>1596420</v>
      </c>
      <c r="E27" s="7"/>
      <c r="F27" s="7" t="str">
        <f>IFERROR(__xludf.DUMMYFUNCTION("""COMPUTED_VALUE"""),"DB")</f>
        <v>DB</v>
      </c>
      <c r="G27" s="7">
        <f>IFERROR(__xludf.DUMMYFUNCTION("""COMPUTED_VALUE"""),8.603915584000003E7)</f>
        <v>86039155.84</v>
      </c>
      <c r="H27" s="7"/>
      <c r="I27" s="7" t="str">
        <f>IFERROR(__xludf.DUMMYFUNCTION("""COMPUTED_VALUE"""),"EXSPEDISI")</f>
        <v>EXSPEDISI</v>
      </c>
    </row>
    <row r="28">
      <c r="A28" s="7">
        <f>IFERROR(__xludf.DUMMYFUNCTION("""COMPUTED_VALUE"""),46096.0)</f>
        <v>46096</v>
      </c>
      <c r="B28" s="7" t="str">
        <f>IFERROR(__xludf.DUMMYFUNCTION("""COMPUTED_VALUE"""),"TRSF E-BANKING DB")</f>
        <v>TRSF E-BANKING DB</v>
      </c>
      <c r="C28" s="7" t="str">
        <f>IFERROR(__xludf.DUMMYFUNCTION("""COMPUTED_VALUE"""),"1503/FTSCY/WS95031 2250440.00 HERMAWAN 2250440.00 HERMAWAN")</f>
        <v>1503/FTSCY/WS95031 2250440.00 HERMAWAN 2250440.00 HERMAWAN</v>
      </c>
      <c r="D28" s="7">
        <f>IFERROR(__xludf.DUMMYFUNCTION("""COMPUTED_VALUE"""),2250440.0)</f>
        <v>2250440</v>
      </c>
      <c r="E28" s="7"/>
      <c r="F28" s="7" t="str">
        <f>IFERROR(__xludf.DUMMYFUNCTION("""COMPUTED_VALUE"""),"DB")</f>
        <v>DB</v>
      </c>
      <c r="G28" s="7">
        <f>IFERROR(__xludf.DUMMYFUNCTION("""COMPUTED_VALUE"""),8.378871584000003E7)</f>
        <v>83788715.84</v>
      </c>
      <c r="H28" s="7">
        <f>IFERROR(__xludf.DUMMYFUNCTION("""COMPUTED_VALUE"""),8.378871584E7)</f>
        <v>83788715.84</v>
      </c>
      <c r="I28" s="7" t="str">
        <f>IFERROR(__xludf.DUMMYFUNCTION("""COMPUTED_VALUE"""),"EXSPEDISI")</f>
        <v>EXSPEDISI</v>
      </c>
    </row>
    <row r="29">
      <c r="A29" s="7">
        <f>IFERROR(__xludf.DUMMYFUNCTION("""COMPUTED_VALUE"""),46096.0)</f>
        <v>46096</v>
      </c>
      <c r="B29" s="7" t="str">
        <f>IFERROR(__xludf.DUMMYFUNCTION("""COMPUTED_VALUE"""),"TRSF E-BANKING DB")</f>
        <v>TRSF E-BANKING DB</v>
      </c>
      <c r="C29" s="7" t="str">
        <f>IFERROR(__xludf.DUMMYFUNCTION("""COMPUTED_VALUE"""),"1503/FTSCY/WS95031 10825100.00 krg 70 jt EKO SETIYAWAN 10825100.00 krg 70 jt EKO SETIYAWAN")</f>
        <v>1503/FTSCY/WS95031 10825100.00 krg 70 jt EKO SETIYAWAN 10825100.00 krg 70 jt EKO SETIYAWAN</v>
      </c>
      <c r="D29" s="7">
        <f>IFERROR(__xludf.DUMMYFUNCTION("""COMPUTED_VALUE"""),1.08251E7)</f>
        <v>10825100</v>
      </c>
      <c r="E29" s="7"/>
      <c r="F29" s="7" t="str">
        <f>IFERROR(__xludf.DUMMYFUNCTION("""COMPUTED_VALUE"""),"DB")</f>
        <v>DB</v>
      </c>
      <c r="G29" s="7">
        <f>IFERROR(__xludf.DUMMYFUNCTION("""COMPUTED_VALUE"""),7.296361584000003E7)</f>
        <v>72963615.84</v>
      </c>
      <c r="H29" s="7">
        <f>IFERROR(__xludf.DUMMYFUNCTION("""COMPUTED_VALUE"""),7.296361584E7)</f>
        <v>72963615.84</v>
      </c>
      <c r="I29" s="7" t="str">
        <f>IFERROR(__xludf.DUMMYFUNCTION("""COMPUTED_VALUE"""),"EXSPEDISI")</f>
        <v>EXSPEDISI</v>
      </c>
    </row>
    <row r="30">
      <c r="A30" s="7">
        <f>IFERROR(__xludf.DUMMYFUNCTION("""COMPUTED_VALUE"""),46097.0)</f>
        <v>46097</v>
      </c>
      <c r="B30" s="7" t="str">
        <f>IFERROR(__xludf.DUMMYFUNCTION("""COMPUTED_VALUE"""),"TRSF E-BANKING DB")</f>
        <v>TRSF E-BANKING DB</v>
      </c>
      <c r="C30" s="7" t="str">
        <f>IFERROR(__xludf.DUMMYFUNCTION("""COMPUTED_VALUE"""),"1603/FTSCY/WS95031 1044000.00 MUJIANTO 1044000.00 MUJIANTO")</f>
        <v>1603/FTSCY/WS95031 1044000.00 MUJIANTO 1044000.00 MUJIANTO</v>
      </c>
      <c r="D30" s="7">
        <f>IFERROR(__xludf.DUMMYFUNCTION("""COMPUTED_VALUE"""),1044000.0)</f>
        <v>1044000</v>
      </c>
      <c r="E30" s="7"/>
      <c r="F30" s="7" t="str">
        <f>IFERROR(__xludf.DUMMYFUNCTION("""COMPUTED_VALUE"""),"DB")</f>
        <v>DB</v>
      </c>
      <c r="G30" s="7">
        <f>IFERROR(__xludf.DUMMYFUNCTION("""COMPUTED_VALUE"""),4883295.840000033)</f>
        <v>4883295.84</v>
      </c>
      <c r="H30" s="7">
        <f>IFERROR(__xludf.DUMMYFUNCTION("""COMPUTED_VALUE"""),4883295.84)</f>
        <v>4883295.84</v>
      </c>
      <c r="I30" s="7" t="str">
        <f>IFERROR(__xludf.DUMMYFUNCTION("""COMPUTED_VALUE"""),"EXSPEDISI")</f>
        <v>EXSPEDISI</v>
      </c>
    </row>
    <row r="31">
      <c r="A31" s="7">
        <f>IFERROR(__xludf.DUMMYFUNCTION("""COMPUTED_VALUE"""),46097.0)</f>
        <v>46097</v>
      </c>
      <c r="B31" s="7" t="str">
        <f>IFERROR(__xludf.DUMMYFUNCTION("""COMPUTED_VALUE"""),"TRSF E-BANKING DB")</f>
        <v>TRSF E-BANKING DB</v>
      </c>
      <c r="C31" s="7" t="str">
        <f>IFERROR(__xludf.DUMMYFUNCTION("""COMPUTED_VALUE"""),"1603/FTSCY/WS95031 800000.00 HERMAWAN 800000.00 HERMAWAN")</f>
        <v>1603/FTSCY/WS95031 800000.00 HERMAWAN 800000.00 HERMAWAN</v>
      </c>
      <c r="D31" s="7">
        <f>IFERROR(__xludf.DUMMYFUNCTION("""COMPUTED_VALUE"""),800000.0)</f>
        <v>800000</v>
      </c>
      <c r="E31" s="7"/>
      <c r="F31" s="7" t="str">
        <f>IFERROR(__xludf.DUMMYFUNCTION("""COMPUTED_VALUE"""),"DB")</f>
        <v>DB</v>
      </c>
      <c r="G31" s="7">
        <f>IFERROR(__xludf.DUMMYFUNCTION("""COMPUTED_VALUE"""),4083295.8400000334)</f>
        <v>4083295.84</v>
      </c>
      <c r="H31" s="7"/>
      <c r="I31" s="7" t="str">
        <f>IFERROR(__xludf.DUMMYFUNCTION("""COMPUTED_VALUE"""),"EXSPEDISI")</f>
        <v>EXSPEDISI</v>
      </c>
    </row>
    <row r="32">
      <c r="A32" s="7">
        <f>IFERROR(__xludf.DUMMYFUNCTION("""COMPUTED_VALUE"""),46098.0)</f>
        <v>46098</v>
      </c>
      <c r="B32" s="7" t="str">
        <f>IFERROR(__xludf.DUMMYFUNCTION("""COMPUTED_VALUE"""),"TRSF E-BANKING DB")</f>
        <v>TRSF E-BANKING DB</v>
      </c>
      <c r="C32" s="7" t="str">
        <f>IFERROR(__xludf.DUMMYFUNCTION("""COMPUTED_VALUE"""),"1703/FTSCY/WS95031 1507210.00 MUJIANTO 1507210.00 MUJIANTO")</f>
        <v>1703/FTSCY/WS95031 1507210.00 MUJIANTO 1507210.00 MUJIANTO</v>
      </c>
      <c r="D32" s="7">
        <f>IFERROR(__xludf.DUMMYFUNCTION("""COMPUTED_VALUE"""),1507210.0)</f>
        <v>1507210</v>
      </c>
      <c r="E32" s="7"/>
      <c r="F32" s="7" t="str">
        <f>IFERROR(__xludf.DUMMYFUNCTION("""COMPUTED_VALUE"""),"DB")</f>
        <v>DB</v>
      </c>
      <c r="G32" s="7">
        <f>IFERROR(__xludf.DUMMYFUNCTION("""COMPUTED_VALUE"""),2.6833905840000033E7)</f>
        <v>26833905.84</v>
      </c>
      <c r="H32" s="7">
        <f>IFERROR(__xludf.DUMMYFUNCTION("""COMPUTED_VALUE"""),2.683390584E7)</f>
        <v>26833905.84</v>
      </c>
      <c r="I32" s="7" t="str">
        <f>IFERROR(__xludf.DUMMYFUNCTION("""COMPUTED_VALUE"""),"EXSPEDISI")</f>
        <v>EXSPEDISI</v>
      </c>
    </row>
    <row r="33">
      <c r="A33" s="7">
        <f>IFERROR(__xludf.DUMMYFUNCTION("""COMPUTED_VALUE"""),46098.0)</f>
        <v>46098</v>
      </c>
      <c r="B33" s="7" t="str">
        <f>IFERROR(__xludf.DUMMYFUNCTION("""COMPUTED_VALUE"""),"TRSF E-BANKING DB")</f>
        <v>TRSF E-BANKING DB</v>
      </c>
      <c r="C33" s="7" t="str">
        <f>IFERROR(__xludf.DUMMYFUNCTION("""COMPUTED_VALUE"""),"1703/FTSCY/WS95031 1067450.00 HERMAWAN 1067450.00 HERMAWAN")</f>
        <v>1703/FTSCY/WS95031 1067450.00 HERMAWAN 1067450.00 HERMAWAN</v>
      </c>
      <c r="D33" s="7">
        <f>IFERROR(__xludf.DUMMYFUNCTION("""COMPUTED_VALUE"""),1067450.0)</f>
        <v>1067450</v>
      </c>
      <c r="E33" s="7"/>
      <c r="F33" s="7" t="str">
        <f>IFERROR(__xludf.DUMMYFUNCTION("""COMPUTED_VALUE"""),"DB")</f>
        <v>DB</v>
      </c>
      <c r="G33" s="7">
        <f>IFERROR(__xludf.DUMMYFUNCTION("""COMPUTED_VALUE"""),2.5766455840000033E7)</f>
        <v>25766455.84</v>
      </c>
      <c r="H33" s="7"/>
      <c r="I33" s="7" t="str">
        <f>IFERROR(__xludf.DUMMYFUNCTION("""COMPUTED_VALUE"""),"EXSPEDISI")</f>
        <v>EXSPEDISI</v>
      </c>
    </row>
    <row r="34">
      <c r="A34" s="7">
        <f>IFERROR(__xludf.DUMMYFUNCTION("""COMPUTED_VALUE"""),46098.0)</f>
        <v>46098</v>
      </c>
      <c r="B34" s="7" t="str">
        <f>IFERROR(__xludf.DUMMYFUNCTION("""COMPUTED_VALUE"""),"TRSF E-BANKING DB")</f>
        <v>TRSF E-BANKING DB</v>
      </c>
      <c r="C34" s="7" t="str">
        <f>IFERROR(__xludf.DUMMYFUNCTION("""COMPUTED_VALUE"""),"1703/FTSCY/WS95031 11742000.00 krg 65 jt EKO SETIYAWAN 11742000.00 krg 65 jt EKO SETIYAWAN")</f>
        <v>1703/FTSCY/WS95031 11742000.00 krg 65 jt EKO SETIYAWAN 11742000.00 krg 65 jt EKO SETIYAWAN</v>
      </c>
      <c r="D34" s="7">
        <f>IFERROR(__xludf.DUMMYFUNCTION("""COMPUTED_VALUE"""),1.1742E7)</f>
        <v>11742000</v>
      </c>
      <c r="E34" s="7"/>
      <c r="F34" s="7" t="str">
        <f>IFERROR(__xludf.DUMMYFUNCTION("""COMPUTED_VALUE"""),"DB")</f>
        <v>DB</v>
      </c>
      <c r="G34" s="7">
        <f>IFERROR(__xludf.DUMMYFUNCTION("""COMPUTED_VALUE"""),1.4024455840000033E7)</f>
        <v>14024455.84</v>
      </c>
      <c r="H34" s="7"/>
      <c r="I34" s="7" t="str">
        <f>IFERROR(__xludf.DUMMYFUNCTION("""COMPUTED_VALUE"""),"EXSPEDISI")</f>
        <v>EXSPEDISI</v>
      </c>
    </row>
    <row r="35">
      <c r="A35" s="7">
        <f>IFERROR(__xludf.DUMMYFUNCTION("""COMPUTED_VALUE"""),46099.0)</f>
        <v>46099</v>
      </c>
      <c r="B35" s="7" t="str">
        <f>IFERROR(__xludf.DUMMYFUNCTION("""COMPUTED_VALUE"""),"TRSF E-BANKING DB TANGGAL :17/03")</f>
        <v>TRSF E-BANKING DB TANGGAL :17/03</v>
      </c>
      <c r="C35" s="7" t="str">
        <f>IFERROR(__xludf.DUMMYFUNCTION("""COMPUTED_VALUE"""),"1703/FTSCY/WS95031 MUJIANTO MUJIANTO")</f>
        <v>1703/FTSCY/WS95031 MUJIANTO MUJIANTO</v>
      </c>
      <c r="D35" s="7">
        <f>IFERROR(__xludf.DUMMYFUNCTION("""COMPUTED_VALUE"""),2522370.0)</f>
        <v>2522370</v>
      </c>
      <c r="E35" s="7"/>
      <c r="F35" s="7" t="str">
        <f>IFERROR(__xludf.DUMMYFUNCTION("""COMPUTED_VALUE"""),"DB")</f>
        <v>DB</v>
      </c>
      <c r="G35" s="7">
        <f>IFERROR(__xludf.DUMMYFUNCTION("""COMPUTED_VALUE"""),3344615.8400000334)</f>
        <v>3344615.84</v>
      </c>
      <c r="H35" s="7"/>
      <c r="I35" s="7" t="str">
        <f>IFERROR(__xludf.DUMMYFUNCTION("""COMPUTED_VALUE"""),"EXSPEDISI")</f>
        <v>EXSPEDISI</v>
      </c>
    </row>
    <row r="36">
      <c r="A36" s="7">
        <f>IFERROR(__xludf.DUMMYFUNCTION("""COMPUTED_VALUE"""),46099.0)</f>
        <v>46099</v>
      </c>
      <c r="B36" s="7" t="str">
        <f>IFERROR(__xludf.DUMMYFUNCTION("""COMPUTED_VALUE"""),"TRSF E-BANKING DB TANGGAL :17/03")</f>
        <v>TRSF E-BANKING DB TANGGAL :17/03</v>
      </c>
      <c r="C36" s="7" t="str">
        <f>IFERROR(__xludf.DUMMYFUNCTION("""COMPUTED_VALUE"""),"1703/FTSCY/WS95031 HERMAWAN HERMAWAN")</f>
        <v>1703/FTSCY/WS95031 HERMAWAN HERMAWAN</v>
      </c>
      <c r="D36" s="7">
        <f>IFERROR(__xludf.DUMMYFUNCTION("""COMPUTED_VALUE"""),2011430.0)</f>
        <v>2011430</v>
      </c>
      <c r="E36" s="7"/>
      <c r="F36" s="7" t="str">
        <f>IFERROR(__xludf.DUMMYFUNCTION("""COMPUTED_VALUE"""),"DB")</f>
        <v>DB</v>
      </c>
      <c r="G36" s="7">
        <f>IFERROR(__xludf.DUMMYFUNCTION("""COMPUTED_VALUE"""),1333185.8400000334)</f>
        <v>1333185.84</v>
      </c>
      <c r="H36" s="7"/>
      <c r="I36" s="7" t="str">
        <f>IFERROR(__xludf.DUMMYFUNCTION("""COMPUTED_VALUE"""),"EXSPEDISI")</f>
        <v>EXSPEDISI</v>
      </c>
    </row>
    <row r="37">
      <c r="A37" s="7">
        <f>IFERROR(__xludf.DUMMYFUNCTION("""COMPUTED_VALUE"""),46100.0)</f>
        <v>46100</v>
      </c>
      <c r="B37" s="7" t="str">
        <f>IFERROR(__xludf.DUMMYFUNCTION("""COMPUTED_VALUE"""),"TRSF E-BANKING DB")</f>
        <v>TRSF E-BANKING DB</v>
      </c>
      <c r="C37" s="7" t="str">
        <f>IFERROR(__xludf.DUMMYFUNCTION("""COMPUTED_VALUE"""),"1903/FTSCY/WS95031 1836000.00 pasuruan sidoraya HERMAWAN 1836000.00 pasuruan sidoraya HERMAWAN")</f>
        <v>1903/FTSCY/WS95031 1836000.00 pasuruan sidoraya HERMAWAN 1836000.00 pasuruan sidoraya HERMAWAN</v>
      </c>
      <c r="D37" s="7">
        <f>IFERROR(__xludf.DUMMYFUNCTION("""COMPUTED_VALUE"""),1836000.0)</f>
        <v>1836000</v>
      </c>
      <c r="E37" s="7"/>
      <c r="F37" s="7" t="str">
        <f>IFERROR(__xludf.DUMMYFUNCTION("""COMPUTED_VALUE"""),"DB")</f>
        <v>DB</v>
      </c>
      <c r="G37" s="7">
        <f>IFERROR(__xludf.DUMMYFUNCTION("""COMPUTED_VALUE"""),1.1474425840000033E7)</f>
        <v>11474425.84</v>
      </c>
      <c r="H37" s="7">
        <f>IFERROR(__xludf.DUMMYFUNCTION("""COMPUTED_VALUE"""),1.147442584E7)</f>
        <v>11474425.84</v>
      </c>
      <c r="I37" s="7" t="str">
        <f>IFERROR(__xludf.DUMMYFUNCTION("""COMPUTED_VALUE"""),"EXSPEDISI")</f>
        <v>EXSPEDISI</v>
      </c>
    </row>
    <row r="38">
      <c r="A38" s="7">
        <f>IFERROR(__xludf.DUMMYFUNCTION("""COMPUTED_VALUE"""),46100.0)</f>
        <v>46100</v>
      </c>
      <c r="B38" s="7" t="str">
        <f>IFERROR(__xludf.DUMMYFUNCTION("""COMPUTED_VALUE"""),"TRSF E-BANKING DB")</f>
        <v>TRSF E-BANKING DB</v>
      </c>
      <c r="C38" s="7" t="str">
        <f>IFERROR(__xludf.DUMMYFUNCTION("""COMPUTED_VALUE"""),"1903/FTSCY/WS95031 1721340.00 pasuruan sidoraya MUJIANTO 1721340.00 pasuruan sidoraya MUJIANTO")</f>
        <v>1903/FTSCY/WS95031 1721340.00 pasuruan sidoraya MUJIANTO 1721340.00 pasuruan sidoraya MUJIANTO</v>
      </c>
      <c r="D38" s="7">
        <f>IFERROR(__xludf.DUMMYFUNCTION("""COMPUTED_VALUE"""),1721340.0)</f>
        <v>1721340</v>
      </c>
      <c r="E38" s="7"/>
      <c r="F38" s="7" t="str">
        <f>IFERROR(__xludf.DUMMYFUNCTION("""COMPUTED_VALUE"""),"DB")</f>
        <v>DB</v>
      </c>
      <c r="G38" s="7">
        <f>IFERROR(__xludf.DUMMYFUNCTION("""COMPUTED_VALUE"""),9753085.840000033)</f>
        <v>9753085.84</v>
      </c>
      <c r="H38" s="7">
        <f>IFERROR(__xludf.DUMMYFUNCTION("""COMPUTED_VALUE"""),9753085.84)</f>
        <v>9753085.84</v>
      </c>
      <c r="I38" s="7" t="str">
        <f>IFERROR(__xludf.DUMMYFUNCTION("""COMPUTED_VALUE"""),"EXSPEDISI")</f>
        <v>EXSPEDISI</v>
      </c>
    </row>
    <row r="39">
      <c r="A39" s="7">
        <f>IFERROR(__xludf.DUMMYFUNCTION("""COMPUTED_VALUE"""),46100.0)</f>
        <v>46100</v>
      </c>
      <c r="B39" s="7" t="str">
        <f>IFERROR(__xludf.DUMMYFUNCTION("""COMPUTED_VALUE"""),"TRSF E-BANKING DB")</f>
        <v>TRSF E-BANKING DB</v>
      </c>
      <c r="C39" s="7" t="str">
        <f>IFERROR(__xludf.DUMMYFUNCTION("""COMPUTED_VALUE"""),"1903/FTSCY/WS95031 8628500.00 krg 63 jt EKO SETIYAWAN 8628500.00 krg 63 jt EKO SETIYAWAN")</f>
        <v>1903/FTSCY/WS95031 8628500.00 krg 63 jt EKO SETIYAWAN 8628500.00 krg 63 jt EKO SETIYAWAN</v>
      </c>
      <c r="D39" s="7">
        <f>IFERROR(__xludf.DUMMYFUNCTION("""COMPUTED_VALUE"""),8628500.0)</f>
        <v>8628500</v>
      </c>
      <c r="E39" s="7"/>
      <c r="F39" s="7" t="str">
        <f>IFERROR(__xludf.DUMMYFUNCTION("""COMPUTED_VALUE"""),"DB")</f>
        <v>DB</v>
      </c>
      <c r="G39" s="7">
        <f>IFERROR(__xludf.DUMMYFUNCTION("""COMPUTED_VALUE"""),1124585.8400000334)</f>
        <v>1124585.84</v>
      </c>
      <c r="H39" s="7"/>
      <c r="I39" s="7" t="str">
        <f>IFERROR(__xludf.DUMMYFUNCTION("""COMPUTED_VALUE"""),"EXSPEDISI")</f>
        <v>EXSPEDISI</v>
      </c>
    </row>
    <row r="40">
      <c r="A40" s="7">
        <f>IFERROR(__xludf.DUMMYFUNCTION("""COMPUTED_VALUE"""),46102.0)</f>
        <v>46102</v>
      </c>
      <c r="B40" s="7" t="str">
        <f>IFERROR(__xludf.DUMMYFUNCTION("""COMPUTED_VALUE"""),"TRSF E-BANKING DB")</f>
        <v>TRSF E-BANKING DB</v>
      </c>
      <c r="C40" s="7" t="str">
        <f>IFERROR(__xludf.DUMMYFUNCTION("""COMPUTED_VALUE"""),"2103/FTSCY/WS95031 1054300.00 MUJIANTO 1054300.00 MUJIANTO")</f>
        <v>2103/FTSCY/WS95031 1054300.00 MUJIANTO 1054300.00 MUJIANTO</v>
      </c>
      <c r="D40" s="7">
        <f>IFERROR(__xludf.DUMMYFUNCTION("""COMPUTED_VALUE"""),1054300.0)</f>
        <v>1054300</v>
      </c>
      <c r="E40" s="7"/>
      <c r="F40" s="7" t="str">
        <f>IFERROR(__xludf.DUMMYFUNCTION("""COMPUTED_VALUE"""),"DB")</f>
        <v>DB</v>
      </c>
      <c r="G40" s="7">
        <f>IFERROR(__xludf.DUMMYFUNCTION("""COMPUTED_VALUE"""),1.6507261584000003E8)</f>
        <v>165072615.8</v>
      </c>
      <c r="H40" s="7"/>
      <c r="I40" s="7" t="str">
        <f>IFERROR(__xludf.DUMMYFUNCTION("""COMPUTED_VALUE"""),"EXSPEDISI")</f>
        <v>EXSPEDISI</v>
      </c>
    </row>
    <row r="41">
      <c r="A41" s="7">
        <f>IFERROR(__xludf.DUMMYFUNCTION("""COMPUTED_VALUE"""),46102.0)</f>
        <v>46102</v>
      </c>
      <c r="B41" s="7" t="str">
        <f>IFERROR(__xludf.DUMMYFUNCTION("""COMPUTED_VALUE"""),"TRSF E-BANKING DB")</f>
        <v>TRSF E-BANKING DB</v>
      </c>
      <c r="C41" s="7" t="str">
        <f>IFERROR(__xludf.DUMMYFUNCTION("""COMPUTED_VALUE"""),"2103/FTSCY/WS95031 2500000.00 HERMAWAN 2500000.00 HERMAWAN")</f>
        <v>2103/FTSCY/WS95031 2500000.00 HERMAWAN 2500000.00 HERMAWAN</v>
      </c>
      <c r="D41" s="7">
        <f>IFERROR(__xludf.DUMMYFUNCTION("""COMPUTED_VALUE"""),2500000.0)</f>
        <v>2500000</v>
      </c>
      <c r="E41" s="7"/>
      <c r="F41" s="7" t="str">
        <f>IFERROR(__xludf.DUMMYFUNCTION("""COMPUTED_VALUE"""),"DB")</f>
        <v>DB</v>
      </c>
      <c r="G41" s="7">
        <f>IFERROR(__xludf.DUMMYFUNCTION("""COMPUTED_VALUE"""),1.6257261584000003E8)</f>
        <v>162572615.8</v>
      </c>
      <c r="H41" s="7"/>
      <c r="I41" s="7" t="str">
        <f>IFERROR(__xludf.DUMMYFUNCTION("""COMPUTED_VALUE"""),"EXSPEDISI")</f>
        <v>EXSPEDISI</v>
      </c>
    </row>
    <row r="42">
      <c r="A42" s="7">
        <f>IFERROR(__xludf.DUMMYFUNCTION("""COMPUTED_VALUE"""),46103.0)</f>
        <v>46103</v>
      </c>
      <c r="B42" s="7" t="str">
        <f>IFERROR(__xludf.DUMMYFUNCTION("""COMPUTED_VALUE"""),"TRSF E-BANKING DB TANGGAL :21/03")</f>
        <v>TRSF E-BANKING DB TANGGAL :21/03</v>
      </c>
      <c r="C42" s="7" t="str">
        <f>IFERROR(__xludf.DUMMYFUNCTION("""COMPUTED_VALUE"""),"2103/FTSCY/WS95031 ktg 68 EKO SETIYAWAN ktg 68 EKO SETIYAWAN")</f>
        <v>2103/FTSCY/WS95031 ktg 68 EKO SETIYAWAN ktg 68 EKO SETIYAWAN</v>
      </c>
      <c r="D42" s="7">
        <f>IFERROR(__xludf.DUMMYFUNCTION("""COMPUTED_VALUE"""),3911400.0)</f>
        <v>3911400</v>
      </c>
      <c r="E42" s="7"/>
      <c r="F42" s="7" t="str">
        <f>IFERROR(__xludf.DUMMYFUNCTION("""COMPUTED_VALUE"""),"DB")</f>
        <v>DB</v>
      </c>
      <c r="G42" s="7">
        <f>IFERROR(__xludf.DUMMYFUNCTION("""COMPUTED_VALUE"""),1037155.8400000334)</f>
        <v>1037155.84</v>
      </c>
      <c r="H42" s="7"/>
      <c r="I42" s="7" t="str">
        <f>IFERROR(__xludf.DUMMYFUNCTION("""COMPUTED_VALUE"""),"EXSPEDISI")</f>
        <v>EXSPEDISI</v>
      </c>
    </row>
    <row r="43">
      <c r="A43" s="7">
        <f>IFERROR(__xludf.DUMMYFUNCTION("""COMPUTED_VALUE"""),46104.0)</f>
        <v>46104</v>
      </c>
      <c r="B43" s="7" t="str">
        <f>IFERROR(__xludf.DUMMYFUNCTION("""COMPUTED_VALUE"""),"TRSF E-BANKING DB")</f>
        <v>TRSF E-BANKING DB</v>
      </c>
      <c r="C43" s="7" t="str">
        <f>IFERROR(__xludf.DUMMYFUNCTION("""COMPUTED_VALUE"""),"2303/FTSCY/WS95031 1500000.00 BELA PRAMUDITA 1500000.00 BELA PRAMUDITA")</f>
        <v>2303/FTSCY/WS95031 1500000.00 BELA PRAMUDITA 1500000.00 BELA PRAMUDITA</v>
      </c>
      <c r="D43" s="7">
        <f>IFERROR(__xludf.DUMMYFUNCTION("""COMPUTED_VALUE"""),1500000.0)</f>
        <v>1500000</v>
      </c>
      <c r="E43" s="7"/>
      <c r="F43" s="7" t="str">
        <f>IFERROR(__xludf.DUMMYFUNCTION("""COMPUTED_VALUE"""),"DB")</f>
        <v>DB</v>
      </c>
      <c r="G43" s="7">
        <f>IFERROR(__xludf.DUMMYFUNCTION("""COMPUTED_VALUE"""),4.2735057584000003E8)</f>
        <v>427350575.8</v>
      </c>
      <c r="H43" s="7">
        <f>IFERROR(__xludf.DUMMYFUNCTION("""COMPUTED_VALUE"""),4.2735057584E8)</f>
        <v>427350575.8</v>
      </c>
      <c r="I43" s="7" t="str">
        <f>IFERROR(__xludf.DUMMYFUNCTION("""COMPUTED_VALUE"""),"EXSPEDISI")</f>
        <v>EXSPEDISI</v>
      </c>
    </row>
    <row r="44">
      <c r="A44" s="7">
        <f>IFERROR(__xludf.DUMMYFUNCTION("""COMPUTED_VALUE"""),46104.0)</f>
        <v>46104</v>
      </c>
      <c r="B44" s="7" t="str">
        <f>IFERROR(__xludf.DUMMYFUNCTION("""COMPUTED_VALUE"""),"TRSF E-BANKING DB")</f>
        <v>TRSF E-BANKING DB</v>
      </c>
      <c r="C44" s="7" t="str">
        <f>IFERROR(__xludf.DUMMYFUNCTION("""COMPUTED_VALUE"""),"2303/FTSCY/WS95031 10000000.00 krg 58 EKO SETIYAWAN 10000000.00 krg 58 EKO SETIYAWAN")</f>
        <v>2303/FTSCY/WS95031 10000000.00 krg 58 EKO SETIYAWAN 10000000.00 krg 58 EKO SETIYAWAN</v>
      </c>
      <c r="D44" s="7">
        <f>IFERROR(__xludf.DUMMYFUNCTION("""COMPUTED_VALUE"""),1.0E7)</f>
        <v>10000000</v>
      </c>
      <c r="E44" s="7"/>
      <c r="F44" s="7" t="str">
        <f>IFERROR(__xludf.DUMMYFUNCTION("""COMPUTED_VALUE"""),"DB")</f>
        <v>DB</v>
      </c>
      <c r="G44" s="7">
        <f>IFERROR(__xludf.DUMMYFUNCTION("""COMPUTED_VALUE"""),2331525.8400000334)</f>
        <v>2331525.84</v>
      </c>
      <c r="H44" s="7">
        <f>IFERROR(__xludf.DUMMYFUNCTION("""COMPUTED_VALUE"""),2331525.84)</f>
        <v>2331525.84</v>
      </c>
      <c r="I44" s="7" t="str">
        <f>IFERROR(__xludf.DUMMYFUNCTION("""COMPUTED_VALUE"""),"EXSPEDISI")</f>
        <v>EXSPEDISI</v>
      </c>
    </row>
    <row r="45">
      <c r="A45" s="7">
        <f>IFERROR(__xludf.DUMMYFUNCTION("""COMPUTED_VALUE"""),46107.0)</f>
        <v>46107</v>
      </c>
      <c r="B45" s="7" t="str">
        <f>IFERROR(__xludf.DUMMYFUNCTION("""COMPUTED_VALUE"""),"TRSF E-BANKING DB")</f>
        <v>TRSF E-BANKING DB</v>
      </c>
      <c r="C45" s="7" t="str">
        <f>IFERROR(__xludf.DUMMYFUNCTION("""COMPUTED_VALUE"""),"2603/FTSCY/WS95271 2000000.00 HERMAWAN 2000000.00 HERMAWAN")</f>
        <v>2603/FTSCY/WS95271 2000000.00 HERMAWAN 2000000.00 HERMAWAN</v>
      </c>
      <c r="D45" s="7">
        <f>IFERROR(__xludf.DUMMYFUNCTION("""COMPUTED_VALUE"""),2000000.0)</f>
        <v>2000000</v>
      </c>
      <c r="E45" s="7"/>
      <c r="F45" s="7" t="str">
        <f>IFERROR(__xludf.DUMMYFUNCTION("""COMPUTED_VALUE"""),"DB")</f>
        <v>DB</v>
      </c>
      <c r="G45" s="7">
        <f>IFERROR(__xludf.DUMMYFUNCTION("""COMPUTED_VALUE"""),3422500.8400000334)</f>
        <v>3422500.84</v>
      </c>
      <c r="H45" s="7">
        <f>IFERROR(__xludf.DUMMYFUNCTION("""COMPUTED_VALUE"""),3422500.84)</f>
        <v>3422500.84</v>
      </c>
      <c r="I45" s="7" t="str">
        <f>IFERROR(__xludf.DUMMYFUNCTION("""COMPUTED_VALUE"""),"EXSPEDISI")</f>
        <v>EXSPEDISI</v>
      </c>
    </row>
    <row r="46">
      <c r="A46" s="7">
        <f>IFERROR(__xludf.DUMMYFUNCTION("""COMPUTED_VALUE"""),46108.0)</f>
        <v>46108</v>
      </c>
      <c r="B46" s="7" t="str">
        <f>IFERROR(__xludf.DUMMYFUNCTION("""COMPUTED_VALUE"""),"TRSF E-BANKING DB")</f>
        <v>TRSF E-BANKING DB</v>
      </c>
      <c r="C46" s="7" t="str">
        <f>IFERROR(__xludf.DUMMYFUNCTION("""COMPUTED_VALUE"""),"2703/FTSCY/WS95271 5170900.00 krg 79.6 jt EKO SETIYAWAN 5170900.00 krg 79.6 jt EKO SETIYAWAN")</f>
        <v>2703/FTSCY/WS95271 5170900.00 krg 79.6 jt EKO SETIYAWAN 5170900.00 krg 79.6 jt EKO SETIYAWAN</v>
      </c>
      <c r="D46" s="7">
        <f>IFERROR(__xludf.DUMMYFUNCTION("""COMPUTED_VALUE"""),5170900.0)</f>
        <v>5170900</v>
      </c>
      <c r="E46" s="7"/>
      <c r="F46" s="7" t="str">
        <f>IFERROR(__xludf.DUMMYFUNCTION("""COMPUTED_VALUE"""),"DB")</f>
        <v>DB</v>
      </c>
      <c r="G46" s="7">
        <f>IFERROR(__xludf.DUMMYFUNCTION("""COMPUTED_VALUE"""),138465.84000003338)</f>
        <v>138465.84</v>
      </c>
      <c r="H46" s="7"/>
      <c r="I46" s="7" t="str">
        <f>IFERROR(__xludf.DUMMYFUNCTION("""COMPUTED_VALUE"""),"EXSPEDISI")</f>
        <v>EXSPEDISI</v>
      </c>
    </row>
    <row r="47">
      <c r="A47" s="7">
        <f>IFERROR(__xludf.DUMMYFUNCTION("""COMPUTED_VALUE"""),46108.0)</f>
        <v>46108</v>
      </c>
      <c r="B47" s="7" t="str">
        <f>IFERROR(__xludf.DUMMYFUNCTION("""COMPUTED_VALUE"""),"TRSF E-BANKING DB")</f>
        <v>TRSF E-BANKING DB</v>
      </c>
      <c r="C47" s="7" t="str">
        <f>IFERROR(__xludf.DUMMYFUNCTION("""COMPUTED_VALUE"""),"2703/FTSCY/WS95271 8008050.00 MUJIANTO 8008050.00 MUJIANTO")</f>
        <v>2703/FTSCY/WS95271 8008050.00 MUJIANTO 8008050.00 MUJIANTO</v>
      </c>
      <c r="D47" s="7">
        <f>IFERROR(__xludf.DUMMYFUNCTION("""COMPUTED_VALUE"""),8008050.0)</f>
        <v>8008050</v>
      </c>
      <c r="E47" s="7"/>
      <c r="F47" s="7" t="str">
        <f>IFERROR(__xludf.DUMMYFUNCTION("""COMPUTED_VALUE"""),"DB")</f>
        <v>DB</v>
      </c>
      <c r="G47" s="7">
        <f>IFERROR(__xludf.DUMMYFUNCTION("""COMPUTED_VALUE"""),6213655.840000033)</f>
        <v>6213655.84</v>
      </c>
      <c r="H47" s="7"/>
      <c r="I47" s="7" t="str">
        <f>IFERROR(__xludf.DUMMYFUNCTION("""COMPUTED_VALUE"""),"EXSPEDISI")</f>
        <v>EXSPEDISI</v>
      </c>
    </row>
    <row r="48">
      <c r="A48" s="7">
        <f>IFERROR(__xludf.DUMMYFUNCTION("""COMPUTED_VALUE"""),46108.0)</f>
        <v>46108</v>
      </c>
      <c r="B48" s="7" t="str">
        <f>IFERROR(__xludf.DUMMYFUNCTION("""COMPUTED_VALUE"""),"TRSF E-BANKING DB")</f>
        <v>TRSF E-BANKING DB</v>
      </c>
      <c r="C48" s="7" t="str">
        <f>IFERROR(__xludf.DUMMYFUNCTION("""COMPUTED_VALUE"""),"2703/FTSCY/WS95271 6000000.00 EKO SETIYAWAN 6000000.00 EKO SETIYAWAN")</f>
        <v>2703/FTSCY/WS95271 6000000.00 EKO SETIYAWAN 6000000.00 EKO SETIYAWAN</v>
      </c>
      <c r="D48" s="7">
        <f>IFERROR(__xludf.DUMMYFUNCTION("""COMPUTED_VALUE"""),6000000.0)</f>
        <v>6000000</v>
      </c>
      <c r="E48" s="7"/>
      <c r="F48" s="7" t="str">
        <f>IFERROR(__xludf.DUMMYFUNCTION("""COMPUTED_VALUE"""),"DB")</f>
        <v>DB</v>
      </c>
      <c r="G48" s="7">
        <f>IFERROR(__xludf.DUMMYFUNCTION("""COMPUTED_VALUE"""),213655.84000003338)</f>
        <v>213655.84</v>
      </c>
      <c r="H48" s="7"/>
      <c r="I48" s="7" t="str">
        <f>IFERROR(__xludf.DUMMYFUNCTION("""COMPUTED_VALUE"""),"EXSPEDISI")</f>
        <v>EXSPEDISI</v>
      </c>
    </row>
    <row r="49">
      <c r="A49" s="7">
        <f>IFERROR(__xludf.DUMMYFUNCTION("""COMPUTED_VALUE"""),46109.0)</f>
        <v>46109</v>
      </c>
      <c r="B49" s="7" t="str">
        <f>IFERROR(__xludf.DUMMYFUNCTION("""COMPUTED_VALUE"""),"TRSF E-BANKING DB")</f>
        <v>TRSF E-BANKING DB</v>
      </c>
      <c r="C49" s="7" t="str">
        <f>IFERROR(__xludf.DUMMYFUNCTION("""COMPUTED_VALUE"""),"2803/FTSCY/WS95031 15669800.00 krg 77 jt EKO SETIYAWAN 15669800.00 krg 77 jt EKO SETIYAWAN")</f>
        <v>2803/FTSCY/WS95031 15669800.00 krg 77 jt EKO SETIYAWAN 15669800.00 krg 77 jt EKO SETIYAWAN</v>
      </c>
      <c r="D49" s="7">
        <f>IFERROR(__xludf.DUMMYFUNCTION("""COMPUTED_VALUE"""),1.56698E7)</f>
        <v>15669800</v>
      </c>
      <c r="E49" s="7"/>
      <c r="F49" s="7" t="str">
        <f>IFERROR(__xludf.DUMMYFUNCTION("""COMPUTED_VALUE"""),"DB")</f>
        <v>DB</v>
      </c>
      <c r="G49" s="7">
        <f>IFERROR(__xludf.DUMMYFUNCTION("""COMPUTED_VALUE"""),1.0023363584000003E8)</f>
        <v>100233635.8</v>
      </c>
      <c r="H49" s="7">
        <f>IFERROR(__xludf.DUMMYFUNCTION("""COMPUTED_VALUE"""),1.0023363584E8)</f>
        <v>100233635.8</v>
      </c>
      <c r="I49" s="7" t="str">
        <f>IFERROR(__xludf.DUMMYFUNCTION("""COMPUTED_VALUE"""),"EXSPEDISI")</f>
        <v>EXSPEDISI</v>
      </c>
    </row>
    <row r="50">
      <c r="A50" s="7">
        <f>IFERROR(__xludf.DUMMYFUNCTION("""COMPUTED_VALUE"""),46109.0)</f>
        <v>46109</v>
      </c>
      <c r="B50" s="7" t="str">
        <f>IFERROR(__xludf.DUMMYFUNCTION("""COMPUTED_VALUE"""),"TRSF E-BANKING DB")</f>
        <v>TRSF E-BANKING DB</v>
      </c>
      <c r="C50" s="7" t="str">
        <f>IFERROR(__xludf.DUMMYFUNCTION("""COMPUTED_VALUE"""),"2803/FTSCY/WS95031 6114870.00 DWI HERMANSYAH 6114870.00 DWI HERMANSYAH")</f>
        <v>2803/FTSCY/WS95031 6114870.00 DWI HERMANSYAH 6114870.00 DWI HERMANSYAH</v>
      </c>
      <c r="D50" s="7">
        <f>IFERROR(__xludf.DUMMYFUNCTION("""COMPUTED_VALUE"""),6114870.0)</f>
        <v>6114870</v>
      </c>
      <c r="E50" s="7"/>
      <c r="F50" s="7" t="str">
        <f>IFERROR(__xludf.DUMMYFUNCTION("""COMPUTED_VALUE"""),"DB")</f>
        <v>DB</v>
      </c>
      <c r="G50" s="7">
        <f>IFERROR(__xludf.DUMMYFUNCTION("""COMPUTED_VALUE"""),2.9475274484000003E8)</f>
        <v>294752744.8</v>
      </c>
      <c r="H50" s="7"/>
      <c r="I50" s="7" t="str">
        <f>IFERROR(__xludf.DUMMYFUNCTION("""COMPUTED_VALUE"""),"EXSPEDISI")</f>
        <v>EXSPEDISI</v>
      </c>
    </row>
    <row r="51">
      <c r="A51" s="7">
        <f>IFERROR(__xludf.DUMMYFUNCTION("""COMPUTED_VALUE"""),46109.0)</f>
        <v>46109</v>
      </c>
      <c r="B51" s="7" t="str">
        <f>IFERROR(__xludf.DUMMYFUNCTION("""COMPUTED_VALUE"""),"TRSF E-BANKING DB")</f>
        <v>TRSF E-BANKING DB</v>
      </c>
      <c r="C51" s="7" t="str">
        <f>IFERROR(__xludf.DUMMYFUNCTION("""COMPUTED_VALUE"""),"2803/FTSCY/WS95031 4191000.00 HERMAWAN 4191000.00 HERMAWAN")</f>
        <v>2803/FTSCY/WS95031 4191000.00 HERMAWAN 4191000.00 HERMAWAN</v>
      </c>
      <c r="D51" s="7">
        <f>IFERROR(__xludf.DUMMYFUNCTION("""COMPUTED_VALUE"""),4191000.0)</f>
        <v>4191000</v>
      </c>
      <c r="E51" s="7"/>
      <c r="F51" s="7" t="str">
        <f>IFERROR(__xludf.DUMMYFUNCTION("""COMPUTED_VALUE"""),"DB")</f>
        <v>DB</v>
      </c>
      <c r="G51" s="7">
        <f>IFERROR(__xludf.DUMMYFUNCTION("""COMPUTED_VALUE"""),2.9056174484000003E8)</f>
        <v>290561744.8</v>
      </c>
      <c r="H51" s="7"/>
      <c r="I51" s="7" t="str">
        <f>IFERROR(__xludf.DUMMYFUNCTION("""COMPUTED_VALUE"""),"EXSPEDISI")</f>
        <v>EXSPEDISI</v>
      </c>
    </row>
    <row r="52">
      <c r="A52" s="7">
        <f>IFERROR(__xludf.DUMMYFUNCTION("""COMPUTED_VALUE"""),46109.0)</f>
        <v>46109</v>
      </c>
      <c r="B52" s="7" t="str">
        <f>IFERROR(__xludf.DUMMYFUNCTION("""COMPUTED_VALUE"""),"TRSF E-BANKING DB")</f>
        <v>TRSF E-BANKING DB</v>
      </c>
      <c r="C52" s="7" t="str">
        <f>IFERROR(__xludf.DUMMYFUNCTION("""COMPUTED_VALUE"""),"2803/FTSCY/WS95031 2404320.00 blitar lidia MUJIANTO 2404320.00 blitar lidia MUJIANTO")</f>
        <v>2803/FTSCY/WS95031 2404320.00 blitar lidia MUJIANTO 2404320.00 blitar lidia MUJIANTO</v>
      </c>
      <c r="D52" s="7">
        <f>IFERROR(__xludf.DUMMYFUNCTION("""COMPUTED_VALUE"""),2404320.0)</f>
        <v>2404320</v>
      </c>
      <c r="E52" s="7"/>
      <c r="F52" s="7" t="str">
        <f>IFERROR(__xludf.DUMMYFUNCTION("""COMPUTED_VALUE"""),"DB")</f>
        <v>DB</v>
      </c>
      <c r="G52" s="7">
        <f>IFERROR(__xludf.DUMMYFUNCTION("""COMPUTED_VALUE"""),2.8815742484000003E8)</f>
        <v>288157424.8</v>
      </c>
      <c r="H52" s="7"/>
      <c r="I52" s="7" t="str">
        <f>IFERROR(__xludf.DUMMYFUNCTION("""COMPUTED_VALUE"""),"EXSPEDISI")</f>
        <v>EXSPEDISI</v>
      </c>
    </row>
    <row r="53">
      <c r="A53" s="7">
        <f>IFERROR(__xludf.DUMMYFUNCTION("""COMPUTED_VALUE"""),46110.0)</f>
        <v>46110</v>
      </c>
      <c r="B53" s="7" t="str">
        <f>IFERROR(__xludf.DUMMYFUNCTION("""COMPUTED_VALUE"""),"TRSF E-BANKING DB")</f>
        <v>TRSF E-BANKING DB</v>
      </c>
      <c r="C53" s="7" t="str">
        <f>IFERROR(__xludf.DUMMYFUNCTION("""COMPUTED_VALUE"""),"2903/FTSCY/WS95031 15000000.00 EKO SETIYAWAN 15000000.00 EKO SETIYAWAN")</f>
        <v>2903/FTSCY/WS95031 15000000.00 EKO SETIYAWAN 15000000.00 EKO SETIYAWAN</v>
      </c>
      <c r="D53" s="7">
        <f>IFERROR(__xludf.DUMMYFUNCTION("""COMPUTED_VALUE"""),1.5E7)</f>
        <v>15000000</v>
      </c>
      <c r="E53" s="7"/>
      <c r="F53" s="7" t="str">
        <f>IFERROR(__xludf.DUMMYFUNCTION("""COMPUTED_VALUE"""),"DB")</f>
        <v>DB</v>
      </c>
      <c r="G53" s="7">
        <f>IFERROR(__xludf.DUMMYFUNCTION("""COMPUTED_VALUE"""),1.1882396984000003E8)</f>
        <v>118823969.8</v>
      </c>
      <c r="H53" s="7"/>
      <c r="I53" s="7" t="str">
        <f>IFERROR(__xludf.DUMMYFUNCTION("""COMPUTED_VALUE"""),"EXSPEDISI")</f>
        <v>EXSPEDISI</v>
      </c>
    </row>
    <row r="54">
      <c r="A54" s="7">
        <f>IFERROR(__xludf.DUMMYFUNCTION("""COMPUTED_VALUE"""),46110.0)</f>
        <v>46110</v>
      </c>
      <c r="B54" s="7" t="str">
        <f>IFERROR(__xludf.DUMMYFUNCTION("""COMPUTED_VALUE"""),"TRSF E-BANKING DB")</f>
        <v>TRSF E-BANKING DB</v>
      </c>
      <c r="C54" s="7" t="str">
        <f>IFERROR(__xludf.DUMMYFUNCTION("""COMPUTED_VALUE"""),"2903/FTSCY/WS95031 4660860.00 DWI HERMANSYAH 4660860.00 DWI HERMANSYAH")</f>
        <v>2903/FTSCY/WS95031 4660860.00 DWI HERMANSYAH 4660860.00 DWI HERMANSYAH</v>
      </c>
      <c r="D54" s="7">
        <f>IFERROR(__xludf.DUMMYFUNCTION("""COMPUTED_VALUE"""),4660860.0)</f>
        <v>4660860</v>
      </c>
      <c r="E54" s="7"/>
      <c r="F54" s="7" t="str">
        <f>IFERROR(__xludf.DUMMYFUNCTION("""COMPUTED_VALUE"""),"DB")</f>
        <v>DB</v>
      </c>
      <c r="G54" s="7">
        <f>IFERROR(__xludf.DUMMYFUNCTION("""COMPUTED_VALUE"""),1.1416310984000003E8)</f>
        <v>114163109.8</v>
      </c>
      <c r="H54" s="7"/>
      <c r="I54" s="7" t="str">
        <f>IFERROR(__xludf.DUMMYFUNCTION("""COMPUTED_VALUE"""),"EXSPEDISI")</f>
        <v>EXSPEDISI</v>
      </c>
    </row>
    <row r="55">
      <c r="A55" s="7">
        <f>IFERROR(__xludf.DUMMYFUNCTION("""COMPUTED_VALUE"""),46110.0)</f>
        <v>46110</v>
      </c>
      <c r="B55" s="7" t="str">
        <f>IFERROR(__xludf.DUMMYFUNCTION("""COMPUTED_VALUE"""),"TRSF E-BANKING DB")</f>
        <v>TRSF E-BANKING DB</v>
      </c>
      <c r="C55" s="7" t="str">
        <f>IFERROR(__xludf.DUMMYFUNCTION("""COMPUTED_VALUE"""),"2903/FTSCY/WS95031 1400000.00 HERMAWAN 1400000.00 HERMAWAN")</f>
        <v>2903/FTSCY/WS95031 1400000.00 HERMAWAN 1400000.00 HERMAWAN</v>
      </c>
      <c r="D55" s="7">
        <f>IFERROR(__xludf.DUMMYFUNCTION("""COMPUTED_VALUE"""),1400000.0)</f>
        <v>1400000</v>
      </c>
      <c r="E55" s="7"/>
      <c r="F55" s="7" t="str">
        <f>IFERROR(__xludf.DUMMYFUNCTION("""COMPUTED_VALUE"""),"DB")</f>
        <v>DB</v>
      </c>
      <c r="G55" s="7">
        <f>IFERROR(__xludf.DUMMYFUNCTION("""COMPUTED_VALUE"""),1.1276310984000003E8)</f>
        <v>112763109.8</v>
      </c>
      <c r="H55" s="7"/>
      <c r="I55" s="7" t="str">
        <f>IFERROR(__xludf.DUMMYFUNCTION("""COMPUTED_VALUE"""),"EXSPEDISI")</f>
        <v>EXSPEDISI</v>
      </c>
    </row>
    <row r="56">
      <c r="A56" s="7">
        <f>IFERROR(__xludf.DUMMYFUNCTION("""COMPUTED_VALUE"""),46110.0)</f>
        <v>46110</v>
      </c>
      <c r="B56" s="7" t="str">
        <f>IFERROR(__xludf.DUMMYFUNCTION("""COMPUTED_VALUE"""),"TRSF E-BANKING DB")</f>
        <v>TRSF E-BANKING DB</v>
      </c>
      <c r="C56" s="7" t="str">
        <f>IFERROR(__xludf.DUMMYFUNCTION("""COMPUTED_VALUE"""),"2903/FTSCY/WS95031 3408300.00 MUJIANTO 3408300.00 MUJIANTO")</f>
        <v>2903/FTSCY/WS95031 3408300.00 MUJIANTO 3408300.00 MUJIANTO</v>
      </c>
      <c r="D56" s="7">
        <f>IFERROR(__xludf.DUMMYFUNCTION("""COMPUTED_VALUE"""),3408300.0)</f>
        <v>3408300</v>
      </c>
      <c r="E56" s="7"/>
      <c r="F56" s="7" t="str">
        <f>IFERROR(__xludf.DUMMYFUNCTION("""COMPUTED_VALUE"""),"DB")</f>
        <v>DB</v>
      </c>
      <c r="G56" s="7">
        <f>IFERROR(__xludf.DUMMYFUNCTION("""COMPUTED_VALUE"""),2.5300050984000003E8)</f>
        <v>253000509.8</v>
      </c>
      <c r="H56" s="7"/>
      <c r="I56" s="7" t="str">
        <f>IFERROR(__xludf.DUMMYFUNCTION("""COMPUTED_VALUE"""),"EXSPEDISI")</f>
        <v>EXSPEDISI</v>
      </c>
    </row>
    <row r="57">
      <c r="A57" s="7">
        <f>IFERROR(__xludf.DUMMYFUNCTION("""COMPUTED_VALUE"""),46110.0)</f>
        <v>46110</v>
      </c>
      <c r="B57" s="7" t="str">
        <f>IFERROR(__xludf.DUMMYFUNCTION("""COMPUTED_VALUE"""),"TRSF E-BANKING DB")</f>
        <v>TRSF E-BANKING DB</v>
      </c>
      <c r="C57" s="7" t="str">
        <f>IFERROR(__xludf.DUMMYFUNCTION("""COMPUTED_VALUE"""),"2903/FTSCY/WS95271 10384800.00 krg 90 jt EKO SETIYAWAN 10384800.00 krg 90 jt EKO SETIYAWAN")</f>
        <v>2903/FTSCY/WS95271 10384800.00 krg 90 jt EKO SETIYAWAN 10384800.00 krg 90 jt EKO SETIYAWAN</v>
      </c>
      <c r="D57" s="7">
        <f>IFERROR(__xludf.DUMMYFUNCTION("""COMPUTED_VALUE"""),1.03848E7)</f>
        <v>10384800</v>
      </c>
      <c r="E57" s="7"/>
      <c r="F57" s="7" t="str">
        <f>IFERROR(__xludf.DUMMYFUNCTION("""COMPUTED_VALUE"""),"DB")</f>
        <v>DB</v>
      </c>
      <c r="G57" s="7">
        <f>IFERROR(__xludf.DUMMYFUNCTION("""COMPUTED_VALUE"""),7.774677984000003E7)</f>
        <v>77746779.84</v>
      </c>
      <c r="H57" s="7">
        <f>IFERROR(__xludf.DUMMYFUNCTION("""COMPUTED_VALUE"""),7.774677984E7)</f>
        <v>77746779.84</v>
      </c>
      <c r="I57" s="7" t="str">
        <f>IFERROR(__xludf.DUMMYFUNCTION("""COMPUTED_VALUE"""),"EXSPEDISI")</f>
        <v>EXSPEDISI</v>
      </c>
    </row>
    <row r="58">
      <c r="A58" s="7">
        <f>IFERROR(__xludf.DUMMYFUNCTION("""COMPUTED_VALUE"""),46112.0)</f>
        <v>46112</v>
      </c>
      <c r="B58" s="7" t="str">
        <f>IFERROR(__xludf.DUMMYFUNCTION("""COMPUTED_VALUE"""),"TRSF E-BANKING DB")</f>
        <v>TRSF E-BANKING DB</v>
      </c>
      <c r="C58" s="7" t="str">
        <f>IFERROR(__xludf.DUMMYFUNCTION("""COMPUTED_VALUE"""),"3103/FTSCY/WS95271 19193800.00 krg 90 jt EKO SETIYAWAN")</f>
        <v>3103/FTSCY/WS95271 19193800.00 krg 90 jt EKO SETIYAWAN</v>
      </c>
      <c r="D58" s="7">
        <f>IFERROR(__xludf.DUMMYFUNCTION("""COMPUTED_VALUE"""),1.91938E7)</f>
        <v>19193800</v>
      </c>
      <c r="E58" s="7"/>
      <c r="F58" s="7" t="str">
        <f>IFERROR(__xludf.DUMMYFUNCTION("""COMPUTED_VALUE"""),"DB")</f>
        <v>DB</v>
      </c>
      <c r="G58" s="7">
        <f>IFERROR(__xludf.DUMMYFUNCTION("""COMPUTED_VALUE"""),1.5751575484000003E8)</f>
        <v>157515754.8</v>
      </c>
      <c r="H58" s="7"/>
      <c r="I58" s="7" t="str">
        <f>IFERROR(__xludf.DUMMYFUNCTION("""COMPUTED_VALUE"""),"EXSPEDISI")</f>
        <v>EXSPEDISI</v>
      </c>
    </row>
    <row r="59">
      <c r="A59" s="7">
        <f>IFERROR(__xludf.DUMMYFUNCTION("""COMPUTED_VALUE"""),46112.0)</f>
        <v>46112</v>
      </c>
      <c r="B59" s="7" t="str">
        <f>IFERROR(__xludf.DUMMYFUNCTION("""COMPUTED_VALUE"""),"TRSF E-BANKING DB")</f>
        <v>TRSF E-BANKING DB</v>
      </c>
      <c r="C59" s="7" t="str">
        <f>IFERROR(__xludf.DUMMYFUNCTION("""COMPUTED_VALUE"""),"3103/FTSCY/WS95031 4476050.00 HERMAWAN")</f>
        <v>3103/FTSCY/WS95031 4476050.00 HERMAWAN</v>
      </c>
      <c r="D59" s="7">
        <f>IFERROR(__xludf.DUMMYFUNCTION("""COMPUTED_VALUE"""),4476050.0)</f>
        <v>4476050</v>
      </c>
      <c r="E59" s="7"/>
      <c r="F59" s="7" t="str">
        <f>IFERROR(__xludf.DUMMYFUNCTION("""COMPUTED_VALUE"""),"DB")</f>
        <v>DB</v>
      </c>
      <c r="G59" s="7">
        <f>IFERROR(__xludf.DUMMYFUNCTION("""COMPUTED_VALUE"""),1.5143970484000003E8)</f>
        <v>151439704.8</v>
      </c>
      <c r="H59" s="7"/>
      <c r="I59" s="7" t="str">
        <f>IFERROR(__xludf.DUMMYFUNCTION("""COMPUTED_VALUE"""),"EXSPEDISI")</f>
        <v>EXSPEDISI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IFERROR(__xludf.DUMMYFUNCTION("IFERROR(QUERY(MAR_2023!A:I, ""SELECT * WHERE D IS NOT NULL AND UPPER(I) = 'V_SALES'"", 1), ""Data V_SALES belum ditemukan"")"),46085.0)</f>
        <v>46085</v>
      </c>
      <c r="B1" s="7" t="str">
        <f>IFERROR(__xludf.DUMMYFUNCTION("""COMPUTED_VALUE"""),"TRSF E-BANKING DB")</f>
        <v>TRSF E-BANKING DB</v>
      </c>
      <c r="C1" s="7" t="str">
        <f>IFERROR(__xludf.DUMMYFUNCTION("""COMPUTED_VALUE"""),"0403/FTSCY/WS95031 2089800.00 NURHAYATI")</f>
        <v>0403/FTSCY/WS95031 2089800.00 NURHAYATI</v>
      </c>
      <c r="D1" s="7">
        <f>IFERROR(__xludf.DUMMYFUNCTION("""COMPUTED_VALUE"""),2089800.0)</f>
        <v>2089800</v>
      </c>
      <c r="E1" s="7"/>
      <c r="F1" s="7" t="str">
        <f>IFERROR(__xludf.DUMMYFUNCTION("""COMPUTED_VALUE"""),"DB")</f>
        <v>DB</v>
      </c>
      <c r="G1" s="7">
        <f>IFERROR(__xludf.DUMMYFUNCTION("""COMPUTED_VALUE"""),1.2589091984000003E8)</f>
        <v>125890919.8</v>
      </c>
      <c r="H1" s="7"/>
      <c r="I1" s="7" t="str">
        <f>IFERROR(__xludf.DUMMYFUNCTION("""COMPUTED_VALUE"""),"V_SALES")</f>
        <v>V_SALES</v>
      </c>
      <c r="J1" s="7">
        <f>SUM(D1:D1000)</f>
        <v>10453260</v>
      </c>
    </row>
    <row r="2">
      <c r="A2" s="7">
        <f>IFERROR(__xludf.DUMMYFUNCTION("""COMPUTED_VALUE"""),46088.0)</f>
        <v>46088</v>
      </c>
      <c r="B2" s="7" t="str">
        <f>IFERROR(__xludf.DUMMYFUNCTION("""COMPUTED_VALUE"""),"TRSF E-BANKING DB")</f>
        <v>TRSF E-BANKING DB</v>
      </c>
      <c r="C2" s="7" t="str">
        <f>IFERROR(__xludf.DUMMYFUNCTION("""COMPUTED_VALUE"""),"0703/FTSCY/WS95031 300000.00 ANDE DOSO ANGGORO")</f>
        <v>0703/FTSCY/WS95031 300000.00 ANDE DOSO ANGGORO</v>
      </c>
      <c r="D2" s="7">
        <f>IFERROR(__xludf.DUMMYFUNCTION("""COMPUTED_VALUE"""),300000.0)</f>
        <v>300000</v>
      </c>
      <c r="E2" s="7"/>
      <c r="F2" s="7" t="str">
        <f>IFERROR(__xludf.DUMMYFUNCTION("""COMPUTED_VALUE"""),"DB")</f>
        <v>DB</v>
      </c>
      <c r="G2" s="7">
        <f>IFERROR(__xludf.DUMMYFUNCTION("""COMPUTED_VALUE"""),1.3044948840000033E7)</f>
        <v>13044948.84</v>
      </c>
      <c r="H2" s="7"/>
      <c r="I2" s="7" t="str">
        <f>IFERROR(__xludf.DUMMYFUNCTION("""COMPUTED_VALUE"""),"V_SALES")</f>
        <v>V_SALES</v>
      </c>
    </row>
    <row r="3">
      <c r="A3" s="7">
        <f>IFERROR(__xludf.DUMMYFUNCTION("""COMPUTED_VALUE"""),46088.0)</f>
        <v>46088</v>
      </c>
      <c r="B3" s="7" t="str">
        <f>IFERROR(__xludf.DUMMYFUNCTION("""COMPUTED_VALUE"""),"TRSF E-BANKING DB")</f>
        <v>TRSF E-BANKING DB</v>
      </c>
      <c r="C3" s="7" t="str">
        <f>IFERROR(__xludf.DUMMYFUNCTION("""COMPUTED_VALUE"""),"0703/FTSCY/WS95031 1281200.00 HALIM IBRAHIM")</f>
        <v>0703/FTSCY/WS95031 1281200.00 HALIM IBRAHIM</v>
      </c>
      <c r="D3" s="7">
        <f>IFERROR(__xludf.DUMMYFUNCTION("""COMPUTED_VALUE"""),1281200.0)</f>
        <v>1281200</v>
      </c>
      <c r="E3" s="7"/>
      <c r="F3" s="7" t="str">
        <f>IFERROR(__xludf.DUMMYFUNCTION("""COMPUTED_VALUE"""),"DB")</f>
        <v>DB</v>
      </c>
      <c r="G3" s="7">
        <f>IFERROR(__xludf.DUMMYFUNCTION("""COMPUTED_VALUE"""),187288.84000003338)</f>
        <v>187288.84</v>
      </c>
      <c r="H3" s="7">
        <f>IFERROR(__xludf.DUMMYFUNCTION("""COMPUTED_VALUE"""),187288.84)</f>
        <v>187288.84</v>
      </c>
      <c r="I3" s="7" t="str">
        <f>IFERROR(__xludf.DUMMYFUNCTION("""COMPUTED_VALUE"""),"V_SALES")</f>
        <v>V_SALES</v>
      </c>
    </row>
    <row r="4">
      <c r="A4" s="7">
        <f>IFERROR(__xludf.DUMMYFUNCTION("""COMPUTED_VALUE"""),46089.0)</f>
        <v>46089</v>
      </c>
      <c r="B4" s="7" t="str">
        <f>IFERROR(__xludf.DUMMYFUNCTION("""COMPUTED_VALUE"""),"TRSF E-BANKING DB")</f>
        <v>TRSF E-BANKING DB</v>
      </c>
      <c r="C4" s="7" t="str">
        <f>IFERROR(__xludf.DUMMYFUNCTION("""COMPUTED_VALUE"""),"0803/FTSCY/WS95031 1542250.00 NURHAYATI")</f>
        <v>0803/FTSCY/WS95031 1542250.00 NURHAYATI</v>
      </c>
      <c r="D4" s="7">
        <f>IFERROR(__xludf.DUMMYFUNCTION("""COMPUTED_VALUE"""),1542250.0)</f>
        <v>1542250</v>
      </c>
      <c r="E4" s="7"/>
      <c r="F4" s="7" t="str">
        <f>IFERROR(__xludf.DUMMYFUNCTION("""COMPUTED_VALUE"""),"DB")</f>
        <v>DB</v>
      </c>
      <c r="G4" s="7">
        <f>IFERROR(__xludf.DUMMYFUNCTION("""COMPUTED_VALUE"""),7348638.840000033)</f>
        <v>7348638.84</v>
      </c>
      <c r="H4" s="7"/>
      <c r="I4" s="7" t="str">
        <f>IFERROR(__xludf.DUMMYFUNCTION("""COMPUTED_VALUE"""),"V_SALES")</f>
        <v>V_SALES</v>
      </c>
    </row>
    <row r="5">
      <c r="A5" s="7">
        <f>IFERROR(__xludf.DUMMYFUNCTION("""COMPUTED_VALUE"""),46091.0)</f>
        <v>46091</v>
      </c>
      <c r="B5" s="7" t="str">
        <f>IFERROR(__xludf.DUMMYFUNCTION("""COMPUTED_VALUE"""),"TRSF E-BANKING DB TANGGAL :09/03")</f>
        <v>TRSF E-BANKING DB TANGGAL :09/03</v>
      </c>
      <c r="C5" s="7" t="str">
        <f>IFERROR(__xludf.DUMMYFUNCTION("""COMPUTED_VALUE"""),"0903/FTSCY/WS95031 HALIM IBRAHIM")</f>
        <v>0903/FTSCY/WS95031 HALIM IBRAHIM</v>
      </c>
      <c r="D5" s="7">
        <f>IFERROR(__xludf.DUMMYFUNCTION("""COMPUTED_VALUE"""),1142600.0)</f>
        <v>1142600</v>
      </c>
      <c r="E5" s="7"/>
      <c r="F5" s="7" t="str">
        <f>IFERROR(__xludf.DUMMYFUNCTION("""COMPUTED_VALUE"""),"DB")</f>
        <v>DB</v>
      </c>
      <c r="G5" s="7">
        <f>IFERROR(__xludf.DUMMYFUNCTION("""COMPUTED_VALUE"""),7.979031684000003E7)</f>
        <v>79790316.84</v>
      </c>
      <c r="H5" s="7"/>
      <c r="I5" s="7" t="str">
        <f>IFERROR(__xludf.DUMMYFUNCTION("""COMPUTED_VALUE"""),"V_SALES")</f>
        <v>V_SALES</v>
      </c>
    </row>
    <row r="6">
      <c r="A6" s="7">
        <f>IFERROR(__xludf.DUMMYFUNCTION("""COMPUTED_VALUE"""),46098.0)</f>
        <v>46098</v>
      </c>
      <c r="B6" s="7" t="str">
        <f>IFERROR(__xludf.DUMMYFUNCTION("""COMPUTED_VALUE"""),"TRSF E-BANKING DB")</f>
        <v>TRSF E-BANKING DB</v>
      </c>
      <c r="C6" s="7" t="str">
        <f>IFERROR(__xludf.DUMMYFUNCTION("""COMPUTED_VALUE"""),"1703/FTSCY/WS95031 3069160.00 HALIM IBRAHIM 3069160.00 HALIM IBRAHIM")</f>
        <v>1703/FTSCY/WS95031 3069160.00 HALIM IBRAHIM 3069160.00 HALIM IBRAHIM</v>
      </c>
      <c r="D6" s="7">
        <f>IFERROR(__xludf.DUMMYFUNCTION("""COMPUTED_VALUE"""),3069160.0)</f>
        <v>3069160</v>
      </c>
      <c r="E6" s="7"/>
      <c r="F6" s="7" t="str">
        <f>IFERROR(__xludf.DUMMYFUNCTION("""COMPUTED_VALUE"""),"DB")</f>
        <v>DB</v>
      </c>
      <c r="G6" s="7">
        <f>IFERROR(__xludf.DUMMYFUNCTION("""COMPUTED_VALUE"""),5885985.840000033)</f>
        <v>5885985.84</v>
      </c>
      <c r="H6" s="7">
        <f>IFERROR(__xludf.DUMMYFUNCTION("""COMPUTED_VALUE"""),5885985.84)</f>
        <v>5885985.84</v>
      </c>
      <c r="I6" s="7" t="str">
        <f>IFERROR(__xludf.DUMMYFUNCTION("""COMPUTED_VALUE"""),"V_SALES")</f>
        <v>V_SALES</v>
      </c>
    </row>
    <row r="7">
      <c r="A7" s="7">
        <f>IFERROR(__xludf.DUMMYFUNCTION("""COMPUTED_VALUE"""),46109.0)</f>
        <v>46109</v>
      </c>
      <c r="B7" s="7" t="str">
        <f>IFERROR(__xludf.DUMMYFUNCTION("""COMPUTED_VALUE"""),"TRSF E-BANKING DB")</f>
        <v>TRSF E-BANKING DB</v>
      </c>
      <c r="C7" s="7" t="str">
        <f>IFERROR(__xludf.DUMMYFUNCTION("""COMPUTED_VALUE"""),"2803/FTSCY/WS95031 1028250.00 ANDE DOSO ANGGORO 1028250.00 ANDE DOSO ANGGORO")</f>
        <v>2803/FTSCY/WS95031 1028250.00 ANDE DOSO ANGGORO 1028250.00 ANDE DOSO ANGGORO</v>
      </c>
      <c r="D7" s="7">
        <f>IFERROR(__xludf.DUMMYFUNCTION("""COMPUTED_VALUE"""),1028250.0)</f>
        <v>1028250</v>
      </c>
      <c r="E7" s="7"/>
      <c r="F7" s="7" t="str">
        <f>IFERROR(__xludf.DUMMYFUNCTION("""COMPUTED_VALUE"""),"DB")</f>
        <v>DB</v>
      </c>
      <c r="G7" s="7">
        <f>IFERROR(__xludf.DUMMYFUNCTION("""COMPUTED_VALUE"""),5.725845584000003E7)</f>
        <v>57258455.84</v>
      </c>
      <c r="H7" s="7">
        <f>IFERROR(__xludf.DUMMYFUNCTION("""COMPUTED_VALUE"""),5.725845584E7)</f>
        <v>57258455.84</v>
      </c>
      <c r="I7" s="7" t="str">
        <f>IFERROR(__xludf.DUMMYFUNCTION("""COMPUTED_VALUE"""),"V_SALES")</f>
        <v>V_SALES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IFERROR(__xludf.DUMMYFUNCTION("IFERROR(QUERY(MAR_2023!A:I, ""SELECT * WHERE D IS NOT NULL AND UPPER(I) = 'OPERASIONAL'"", 1), ""Data OPERASIONAL belum ditemukan"")"),"Data OPERASIONAL belum ditemukan")</f>
        <v>Data OPERASIONAL belum ditemukan</v>
      </c>
      <c r="J1" s="7">
        <f>SUM(D1:D1000)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IFERROR(__xludf.DUMMYFUNCTION("IFERROR(QUERY(MAR_2023!A:I, ""SELECT * WHERE D IS NOT NULL AND UPPER(I) = 'NURUL_AINI'"", 1), ""Data NURUL_AINI belum ditemukan"")"),46093.0)</f>
        <v>46093</v>
      </c>
      <c r="B1" s="7" t="str">
        <f>IFERROR(__xludf.DUMMYFUNCTION("""COMPUTED_VALUE"""),"TRSF E-BANKING DB")</f>
        <v>TRSF E-BANKING DB</v>
      </c>
      <c r="C1" s="7" t="str">
        <f>IFERROR(__xludf.DUMMYFUNCTION("""COMPUTED_VALUE"""),"1203/FTSCY/WS95031 55000.00 NURUL AINI")</f>
        <v>1203/FTSCY/WS95031 55000.00 NURUL AINI</v>
      </c>
      <c r="D1" s="7">
        <f>IFERROR(__xludf.DUMMYFUNCTION("""COMPUTED_VALUE"""),55000.0)</f>
        <v>55000</v>
      </c>
      <c r="E1" s="7"/>
      <c r="F1" s="7" t="str">
        <f>IFERROR(__xludf.DUMMYFUNCTION("""COMPUTED_VALUE"""),"DB")</f>
        <v>DB</v>
      </c>
      <c r="G1" s="7">
        <f>IFERROR(__xludf.DUMMYFUNCTION("""COMPUTED_VALUE"""),3307160.8400000334)</f>
        <v>3307160.84</v>
      </c>
      <c r="H1" s="7"/>
      <c r="I1" s="7" t="str">
        <f>IFERROR(__xludf.DUMMYFUNCTION("""COMPUTED_VALUE"""),"NURUL_AINI")</f>
        <v>NURUL_AINI</v>
      </c>
      <c r="J1" s="7">
        <f>SUM(D1:D1000)</f>
        <v>2855000</v>
      </c>
    </row>
    <row r="2">
      <c r="A2" s="7">
        <f>IFERROR(__xludf.DUMMYFUNCTION("""COMPUTED_VALUE"""),46100.0)</f>
        <v>46100</v>
      </c>
      <c r="B2" s="7" t="str">
        <f>IFERROR(__xludf.DUMMYFUNCTION("""COMPUTED_VALUE"""),"TRSF E-BANKING DB")</f>
        <v>TRSF E-BANKING DB</v>
      </c>
      <c r="C2" s="7" t="str">
        <f>IFERROR(__xludf.DUMMYFUNCTION("""COMPUTED_VALUE"""),"1903/FTSCY/WS95031 600000.00 NURUL AINI 600000.00 NURUL AINI")</f>
        <v>1903/FTSCY/WS95031 600000.00 NURUL AINI 600000.00 NURUL AINI</v>
      </c>
      <c r="D2" s="7">
        <f>IFERROR(__xludf.DUMMYFUNCTION("""COMPUTED_VALUE"""),600000.0)</f>
        <v>600000</v>
      </c>
      <c r="E2" s="7"/>
      <c r="F2" s="7" t="str">
        <f>IFERROR(__xludf.DUMMYFUNCTION("""COMPUTED_VALUE"""),"DB")</f>
        <v>DB</v>
      </c>
      <c r="G2" s="7">
        <f>IFERROR(__xludf.DUMMYFUNCTION("""COMPUTED_VALUE"""),524585.8400000334)</f>
        <v>524585.84</v>
      </c>
      <c r="H2" s="7"/>
      <c r="I2" s="7" t="str">
        <f>IFERROR(__xludf.DUMMYFUNCTION("""COMPUTED_VALUE"""),"NURUL_AINI")</f>
        <v>NURUL_AINI</v>
      </c>
    </row>
    <row r="3">
      <c r="A3" s="7">
        <f>IFERROR(__xludf.DUMMYFUNCTION("""COMPUTED_VALUE"""),46101.0)</f>
        <v>46101</v>
      </c>
      <c r="B3" s="7" t="str">
        <f>IFERROR(__xludf.DUMMYFUNCTION("""COMPUTED_VALUE"""),"TRSF E-BANKING DB")</f>
        <v>TRSF E-BANKING DB</v>
      </c>
      <c r="C3" s="7" t="str">
        <f>IFERROR(__xludf.DUMMYFUNCTION("""COMPUTED_VALUE"""),"2003/FTSCY/WS95031 400000.00 NURUL AINI 400000.00 NURUL AINI")</f>
        <v>2003/FTSCY/WS95031 400000.00 NURUL AINI 400000.00 NURUL AINI</v>
      </c>
      <c r="D3" s="7">
        <f>IFERROR(__xludf.DUMMYFUNCTION("""COMPUTED_VALUE"""),400000.0)</f>
        <v>400000</v>
      </c>
      <c r="E3" s="7"/>
      <c r="F3" s="7" t="str">
        <f>IFERROR(__xludf.DUMMYFUNCTION("""COMPUTED_VALUE"""),"DB")</f>
        <v>DB</v>
      </c>
      <c r="G3" s="7">
        <f>IFERROR(__xludf.DUMMYFUNCTION("""COMPUTED_VALUE"""),1.2174585840000033E7)</f>
        <v>12174585.84</v>
      </c>
      <c r="H3" s="7"/>
      <c r="I3" s="7" t="str">
        <f>IFERROR(__xludf.DUMMYFUNCTION("""COMPUTED_VALUE"""),"NURUL_AINI")</f>
        <v>NURUL_AINI</v>
      </c>
    </row>
    <row r="4">
      <c r="A4" s="7">
        <f>IFERROR(__xludf.DUMMYFUNCTION("""COMPUTED_VALUE"""),46101.0)</f>
        <v>46101</v>
      </c>
      <c r="B4" s="7" t="str">
        <f>IFERROR(__xludf.DUMMYFUNCTION("""COMPUTED_VALUE"""),"TRSF E-BANKING DB")</f>
        <v>TRSF E-BANKING DB</v>
      </c>
      <c r="C4" s="7" t="str">
        <f>IFERROR(__xludf.DUMMYFUNCTION("""COMPUTED_VALUE"""),"2003/FTSCY/WS95031 100000.00 NURUL AINI 100000.00 NURUL AINI")</f>
        <v>2003/FTSCY/WS95031 100000.00 NURUL AINI 100000.00 NURUL AINI</v>
      </c>
      <c r="D4" s="7">
        <f>IFERROR(__xludf.DUMMYFUNCTION("""COMPUTED_VALUE"""),100000.0)</f>
        <v>100000</v>
      </c>
      <c r="E4" s="7"/>
      <c r="F4" s="7" t="str">
        <f>IFERROR(__xludf.DUMMYFUNCTION("""COMPUTED_VALUE"""),"DB")</f>
        <v>DB</v>
      </c>
      <c r="G4" s="7">
        <f>IFERROR(__xludf.DUMMYFUNCTION("""COMPUTED_VALUE"""),1.2074585840000033E7)</f>
        <v>12074585.84</v>
      </c>
      <c r="H4" s="7"/>
      <c r="I4" s="7" t="str">
        <f>IFERROR(__xludf.DUMMYFUNCTION("""COMPUTED_VALUE"""),"NURUL_AINI")</f>
        <v>NURUL_AINI</v>
      </c>
    </row>
    <row r="5">
      <c r="A5" s="7">
        <f>IFERROR(__xludf.DUMMYFUNCTION("""COMPUTED_VALUE"""),46102.0)</f>
        <v>46102</v>
      </c>
      <c r="B5" s="7" t="str">
        <f>IFERROR(__xludf.DUMMYFUNCTION("""COMPUTED_VALUE"""),"TRSF E-BANKING DB")</f>
        <v>TRSF E-BANKING DB</v>
      </c>
      <c r="C5" s="7" t="str">
        <f>IFERROR(__xludf.DUMMYFUNCTION("""COMPUTED_VALUE"""),"2103/FTSCY/WS95031 1700000.00 NURUL AINI 1700000.00 NURUL AINI")</f>
        <v>2103/FTSCY/WS95031 1700000.00 NURUL AINI 1700000.00 NURUL AINI</v>
      </c>
      <c r="D5" s="7">
        <f>IFERROR(__xludf.DUMMYFUNCTION("""COMPUTED_VALUE"""),1700000.0)</f>
        <v>1700000</v>
      </c>
      <c r="E5" s="7"/>
      <c r="F5" s="7" t="str">
        <f>IFERROR(__xludf.DUMMYFUNCTION("""COMPUTED_VALUE"""),"DB")</f>
        <v>DB</v>
      </c>
      <c r="G5" s="7">
        <f>IFERROR(__xludf.DUMMYFUNCTION("""COMPUTED_VALUE"""),1.7757261584000003E8)</f>
        <v>177572615.8</v>
      </c>
      <c r="H5" s="7"/>
      <c r="I5" s="7" t="str">
        <f>IFERROR(__xludf.DUMMYFUNCTION("""COMPUTED_VALUE"""),"NURUL_AINI")</f>
        <v>NURUL_AINI</v>
      </c>
    </row>
  </sheetData>
  <drawing r:id="rId1"/>
</worksheet>
</file>