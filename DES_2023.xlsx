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KOSONG" sheetId="6" r:id="rId10"/>
    <sheet state="visible" name="PRIBADI" sheetId="7" r:id="rId11"/>
    <sheet state="visible" name="PRODUKSI" sheetId="8" r:id="rId12"/>
  </sheets>
  <definedNames/>
  <calcPr/>
</workbook>
</file>

<file path=xl/sharedStrings.xml><?xml version="1.0" encoding="utf-8"?>
<sst xmlns="http://schemas.openxmlformats.org/spreadsheetml/2006/main" count="2126" uniqueCount="613">
  <si>
    <t>SALDO AWAL</t>
  </si>
  <si>
    <t>TRSF E-BANKING DB</t>
  </si>
  <si>
    <t>0112/FTSCY/WS95271 50000000.00 BRANTAS ABADI SENT</t>
  </si>
  <si>
    <t>DB</t>
  </si>
  <si>
    <t>0112/FTSCY/WS95271 144775950.00 Sun Nov 29 2026 15:00:00 GMT+0700 (Western Indonesia Time) ADNAN</t>
  </si>
  <si>
    <t>0112/FTSCY/WS95271 10319800.00 EKO SETIYAWAN</t>
  </si>
  <si>
    <t>0112/FTSCY/WS95271 1400000.00 MUJIANTO</t>
  </si>
  <si>
    <t>0112/FTSCY/WS95271 1350000.00 HERMAWAN</t>
  </si>
  <si>
    <t>PRODUKSI</t>
  </si>
  <si>
    <t>0112/FTSCY/WS95271 3884560.00 FAJAR ANDREANZAH</t>
  </si>
  <si>
    <t>TRSF E-BANKING CR</t>
  </si>
  <si>
    <t>0112/FTSCY/WS95051 170130400.00 Pembayaran LB tgl 30/11 MANDALA MAJU MAPAN</t>
  </si>
  <si>
    <t>CR</t>
  </si>
  <si>
    <t>BANK</t>
  </si>
  <si>
    <t>BI-FAST DB</t>
  </si>
  <si>
    <t>BIF TRANSFER KE 2 DEDY KURNIAWAN MyBCA</t>
  </si>
  <si>
    <t>BIF BIAYA TXN KE 2 DEDY KURNIAWAN MyBCA</t>
  </si>
  <si>
    <t>0112/FTFVA/WS95031 55569/PT PRIMA FAJ pelunasan - 40190</t>
  </si>
  <si>
    <t>0112/FTSCY/WS95051 57143034.00 AYAM HAIRUL TGL 1/12/2023 SUCI RAHARJO PT</t>
  </si>
  <si>
    <t>0112/FTSCY/WS95051 214298450.00 SIDO RAYA UTAMA CV</t>
  </si>
  <si>
    <t>0112/FTSCY/WS95011 98008800.00 Pelunasan BROILER MAKMUR TAN</t>
  </si>
  <si>
    <t>0112/FTSCY/WS95011 98735440.00 Pelunasan BRANTAS ABADI SENT</t>
  </si>
  <si>
    <t>0112/FTSCY/WS95011 58760680.00 30/11 tuban PITIK DIGITAL INDO</t>
  </si>
  <si>
    <t>0112/FTSCY/WS95011 49500000.00 Mon Nov 30 2026 15:00:00 GMT+0700 (Western Indonesia Time) INTEGRASI TEKNOLOG</t>
  </si>
  <si>
    <t>0112/FTSCY/WS95011 49500000.00 Titip BERLIAN UNGGUL JAY</t>
  </si>
  <si>
    <t>0112/FTSCY/WS95011 50013150.00 Mon Nov 30 2026 15:00:00 GMT+0700 (Western Indonesia Time) TERNAK SEJATI TABA</t>
  </si>
  <si>
    <t>0112/FTSCY/WS95011 49871200.00 Mon Nov 30 2026 15:00:00 GMT+0700 (Western Indonesia Time) PT BERLIAN INDOMIT</t>
  </si>
  <si>
    <t>0112/FTSCY/WS95271 1150000.00 MUHAMMAD HAIRUL MA</t>
  </si>
  <si>
    <t>0112/FTSCY/WS95031 55000000.00 Dari Pak Gatut Set yo Wibowo SEFI HANA KRISNAWA</t>
  </si>
  <si>
    <t>02/12 /Z76Z1/00000 ZAINAL ARIFIN</t>
  </si>
  <si>
    <t>0212/FTSCY/WS95271 72906840.00 Mon Nov 30 2026 15:00:00 GMT+0700 (Western Indonesia Time) ANDALAN YASA MITRA</t>
  </si>
  <si>
    <t>0212/FTSCY/WS95271 400000.00 MUHAMMAD HAIRUL MA</t>
  </si>
  <si>
    <t>0212/FTSCY/WS95051 166457613.00 AH BUA 15 NOV 23 PHALOSARI UNGGUL J</t>
  </si>
  <si>
    <t>0212/FTSCY/WS95051 109470947.00 AH BUA 16 NOV 23 PHALOSARI UNGGUL J</t>
  </si>
  <si>
    <t>0212/FTSCY/WS95051 97470755.00 AH BUA 24 NOV 23 PO 29789 PHALOSARI UNGGUL J</t>
  </si>
  <si>
    <t>0212/FTSCY/WS95051 41415300.00 AH BUA 24 NOV 23 PO 29789 PHALOSARI UNGGUL J</t>
  </si>
  <si>
    <t>0212/FTSCY/WS95051 48297514.00 AH BUA 28 NOV 23 PHALOSARI UNGGUL J</t>
  </si>
  <si>
    <t>BIF TRANSFER KE 8 HARIS HAMDANI MyBCA</t>
  </si>
  <si>
    <t>BIF BIAYA TXN KE 8 HARIS HAMDANI MyBCA</t>
  </si>
  <si>
    <t>PRIBADI</t>
  </si>
  <si>
    <t>0212/FTSCY/WS95271 45985500.00 pelunasan BERLIAN UNGGUL JAY</t>
  </si>
  <si>
    <t>KARTU DEBIT</t>
  </si>
  <si>
    <t>JADI FASHION TOKO 6019009510239343</t>
  </si>
  <si>
    <t>0212/FTSCY/WS95031 4039750.00 SUNARTO</t>
  </si>
  <si>
    <t>0212/FTSCY/WS95011 102303300.00 Mon Nov 30 2026 15:00:00 GMT+0700 (Western Indonesia Time) RUKUN MITRA BERSAM</t>
  </si>
  <si>
    <t>0212/FTSCY/WS95011 55400100.00 Mon Nov 30 2026 15:00:00 GMT+0700 (Western Indonesia Time) SUPER UNGGAS JAYA</t>
  </si>
  <si>
    <t>0212/FTSCY/WS95011 153379100.00 Mon Nov 30 2026 15:00:00 GMT+0700 (Western Indonesia Time) ANDALAN YASA MITRA</t>
  </si>
  <si>
    <t>0212/FTSCY/WS95271 11471000.00 MUHAMMAD HAIRUL MA</t>
  </si>
  <si>
    <t>TRSF E-BANKING CR TANGGAL :02/12</t>
  </si>
  <si>
    <t>0212/FTSCY/WS95051 SIDO RAYA UTAMA CV</t>
  </si>
  <si>
    <t>TRANSAKSI DEBIT</t>
  </si>
  <si>
    <t>TGL: 03/12 QR 008 00000.00V2 cafe</t>
  </si>
  <si>
    <t>TRSF E-BANKING CR TANGGAL :03/12</t>
  </si>
  <si>
    <t>0312/FTSCY/WS95031 titip 40jt GATUT SETYO WIBOWO</t>
  </si>
  <si>
    <t>TRSF E-BANKING DB TANGGAL :03/12</t>
  </si>
  <si>
    <t>0312/FTSCY/WS95011 Mon Nov 30 2026 15:00:00 GMT+0700 (Western Indonesia Time) BROILER MAKMUR TAN</t>
  </si>
  <si>
    <t>0312/FTSCY/WS95011 Tue Dec 01 2026 15:00:00 GMT+0700 (Western Indonesia Time) RUKUN MITRA BERSAM</t>
  </si>
  <si>
    <t>0312/FTSCY/WS95011 Tue Dec 01 2026 15:00:00 GMT+0700 (Western Indonesia Time) PITIK DIGITAL INDO</t>
  </si>
  <si>
    <t>0312/FTSCY/WS95011 Tue Dec 01 2026 15:00:00 GMT+0700 (Western Indonesia Time) BINTANG TAMA SANTO</t>
  </si>
  <si>
    <t>0312/FTSCY/WS95011 Sun Nov 01 2026 14:00:00 GMT+0700 (Western Indonesia Time) BRANTAS ABADI SENT</t>
  </si>
  <si>
    <t>0312/FTSCY/WS95271 Tue Dec 01 2026 15:00:00 GMT+0700 (Western Indonesia Time) ANDALAN YASA MITRA</t>
  </si>
  <si>
    <t>0312/FTFVA/WS95031 dp - 40190</t>
  </si>
  <si>
    <t>0312/FTSCY/WS95031 Sun Nov 01 2026 14:00:00 GMT+0700 (Western Indonesia Time) SUPER UNGGAS JAYA</t>
  </si>
  <si>
    <t>ALFAMRT Y207 BRTN 6019009510239343</t>
  </si>
  <si>
    <t>0412/FTSCY/WS95031 100000.00 ANTON</t>
  </si>
  <si>
    <t>TARIKAN ATM 04/12</t>
  </si>
  <si>
    <t>0412/FTSCY/WS95051 139504470.00 AH BUA 27 NOV 23 PHALOSARI UNGGUL J</t>
  </si>
  <si>
    <t>0412/FTSCY/WS95051 104566828.00 AH BUA 27 NOV 23 PHALOSARI UNGGUL J</t>
  </si>
  <si>
    <t>BI-FAST CR</t>
  </si>
  <si>
    <t>BIF TRANSFER DR 2 MUHAMMAD SOKHIBUL</t>
  </si>
  <si>
    <t>0412/FTSCY/WS95271 20000000.00 MUHAMMAD SOKHIBUL</t>
  </si>
  <si>
    <t>0412/FTSCY/WS95031 12591260.00 lunas GATUT SETYO WIBOWO</t>
  </si>
  <si>
    <t>TRSF E-BANKING DB TANGGAL :04/12</t>
  </si>
  <si>
    <t>0412/FTSCY/WS95271 Thu Dec 03 2026 15:00:00 GMT+0700 (Western Indonesia Time) PT BERLIAN INDOMIT</t>
  </si>
  <si>
    <t>0412/FTSCY/WS95271 Tue Dec 01 2026 15:00:00 GMT+0700 (Western Indonesia Time) BROILER MAKMUR TAN</t>
  </si>
  <si>
    <t>0412/FTSCY/WS95271 Tue Dec 01 2026 15:00:00 GMT+0700 (Western Indonesia Time) TABASSAM AL HATTAK</t>
  </si>
  <si>
    <t>0412/FTSCY/WS95271 pelunasan GANESHA SATRIA NUS</t>
  </si>
  <si>
    <t>0412/FTSCY/WS95271 IMAM KUSAENI</t>
  </si>
  <si>
    <t>0412/FTSCY/WS95271 HERMAWAN</t>
  </si>
  <si>
    <t>0412/FTSCY/WS95271 krg 5 jt MUJIANTO</t>
  </si>
  <si>
    <t>TARIKAN TUNAI</t>
  </si>
  <si>
    <t>0512/FTFVA/WS95031 55569/PT PRIMA FAJ malang - 40190</t>
  </si>
  <si>
    <t>0512/FTSCY/WS95051 49225129.00 AH BUA 22 NOV 23 PHALOSARI UNGGUL J</t>
  </si>
  <si>
    <t>0512/FTSCY/WS95051 45645201.00 AH BUA 24 NOV 23 PHALOSARI UNGGUL J</t>
  </si>
  <si>
    <t>0512/FTSCY/WS95051 139788328.00 AH BUA 27 NOV 23 PHALOSARI UNGGUL J</t>
  </si>
  <si>
    <t>0512/FTSCY/WS95051 91190981.00 AH BUA 28 NOV 23 PHALOSARI UNGGUL J</t>
  </si>
  <si>
    <t>0512/FTSCY/WS95051 142260996.00 AH BUA 29 NOV 23 PHALOSARI UNGGUL J</t>
  </si>
  <si>
    <t>TARIKAN ATM 05/12</t>
  </si>
  <si>
    <t>0512/FTFVA/WS95031 55569/PT PRIMA FAJ pelunasan - 40190</t>
  </si>
  <si>
    <t>0512/FTSCY/WS95051 228952340.00 SIDO RAYA UTAMA CV</t>
  </si>
  <si>
    <t>0512/FTFVA/WS95031 12608/SHOPEE - - 5335263590</t>
  </si>
  <si>
    <t>TRSF E-BANKING DB TANGGAL :05/12</t>
  </si>
  <si>
    <t>0512/FTSCY/WS95271 Thu Dec 03 2026 15:00:00 GMT+0700 (Western Indonesia Time) ANDALAN YASA MITRA</t>
  </si>
  <si>
    <t>0512/FTSCY/WS95271 03 dan 04 / 12 ANDALAN YASA MITRA</t>
  </si>
  <si>
    <t>0512/FTSCY/WS95271 Thu Dec 03 2026 15:00:00 GMT+0700 (Western Indonesia Time) BROILER MAKMUR TAN</t>
  </si>
  <si>
    <t>0512/FTSCY/WS95271 Wed Nov 04 2026 15:00:00 GMT+0700 (Western Indonesia Time) INTEGRASI TEKNOLOG</t>
  </si>
  <si>
    <t>0512/FTSCY/WS95271 Fri Dec 04 2026 15:00:00 GMT+0700 (Western Indonesia Time) PITIK DIGITAL INDO</t>
  </si>
  <si>
    <t>0512/FTSCY/WS95031 pelunasan PITIK DIGITAL INDO</t>
  </si>
  <si>
    <t>0512/FTFVA/WS95031 titip - 200043</t>
  </si>
  <si>
    <t>0512/FTSCY/WS95031 EKO SETIYAWAN</t>
  </si>
  <si>
    <t>0512/FTSCY/WS95011 Fri Dec 04 2026 15:00:00 GMT+0700 (Western Indonesia Time) BROILER MAKMUR TAN</t>
  </si>
  <si>
    <t>0512/FTSCY/WS95011 Fri Dec 04 2026 15:00:00 GMT+0700 (Western Indonesia Time) RUKUN MITRA BERSAM</t>
  </si>
  <si>
    <t>0512/FTFVA/WS95031 titip - 40190</t>
  </si>
  <si>
    <t>0612/FTSCY/WS95031 2200000.00 krg 5 jt MUJIANTO</t>
  </si>
  <si>
    <t>0612/FTFVA/WS95031 67847/UNGGAS MANDI pelunasan - 200043</t>
  </si>
  <si>
    <t>0612/FTSCY/WS95051 98909090.00 AH BUA 30 NOV 23 PHALOSARI UNGGUL J</t>
  </si>
  <si>
    <t>0612/FTSCY/WS95051 144151096.00 AH BUA 30 NOV 23 PO 29833 PHALOSARI UNGGUL J</t>
  </si>
  <si>
    <t>0612/FTSCY/WS95051 106827480.00 AH BUA 1 DES 23 PHALOSARI UNGGUL J</t>
  </si>
  <si>
    <t>0612/FTSCY/WS95051 145926699.00 AH BUA 30 NOV 23 PO 6717 PHALOSARI UNGGUL J</t>
  </si>
  <si>
    <t>0612/FTSCY/WS95051 89962879.00 AH BUA 23 NOV 23 PHALOSARI UNGGUL J</t>
  </si>
  <si>
    <t>0612/FTSCY/WS95051 95113440.00 AH BUA 30 NOV 23 PO 6717 PHALOSARI UNGGUL J</t>
  </si>
  <si>
    <t>0612/FTSCY/WS95051 177653493.00 AYAM HAIRUL TGL 6/12/2023 SUCI RAHARJO PT</t>
  </si>
  <si>
    <t>TARIKAN ATM 06/12</t>
  </si>
  <si>
    <t>0612/FTSCY/WS95051 67600000.00 ah 4000x16900 GEMILANG INTI SUKS</t>
  </si>
  <si>
    <t>0612/FTSCY/WS95031 40000000.00 RUKUN MITRA BERSAM</t>
  </si>
  <si>
    <t>0612/FTSCY/WS95271 35000000.00 Titip Byr Ayam RPA SBUG ALDINI MARIA GUMIL</t>
  </si>
  <si>
    <t>0612/FTFVA/WS95031 55569/PT PRIMA FAJ pelunasan - 40190</t>
  </si>
  <si>
    <t>0612/FTSCY/WS95271 50053600.00 Sat Dec 05 2026 15:00:00 GMT+0700 (Western Indonesia Time) BRANTAS ABADI SENT</t>
  </si>
  <si>
    <t>0612/FTSCY/WS95271 57054030.00 Sat Dec 05 2026 15:00:00 GMT+0700 (Western Indonesia Time) PITIK DIGITAL INDO</t>
  </si>
  <si>
    <t>0612/FTSCY/WS95271 99605200.00 Sat Dec 05 2026 15:00:00 GMT+0700 (Western Indonesia Time) BINTANG TAMA SANTO</t>
  </si>
  <si>
    <t>0612/FTSCY/WS95271 56059920.00 Sat Dec 05 2026 15:00:00 GMT+0700 (Western Indonesia Time) GANESHA SATRIA NUS</t>
  </si>
  <si>
    <t>0612/FTSCY/WS95271 30943600.00 Sat Dec 05 2026 15:00:00 GMT+0700 (Western Indonesia Time) ANUGERAH KARTIKA A</t>
  </si>
  <si>
    <t>0612/FTSCY/WS95031 20000000.00 pelunasan ANUGERAH KARTIKA A</t>
  </si>
  <si>
    <t>0612/FTSCY/WS95011 118188000.00 Sat Dec 05 2026 15:00:00 GMT+0700 (Western Indonesia Time) SUPER UNGGAS JAYA</t>
  </si>
  <si>
    <t>0612/FTSCY/WS95011 120041250.00 Sat Dec 05 2026 15:00:00 GMT+0700 (Western Indonesia Time) ANUGERAH KARTIKA A</t>
  </si>
  <si>
    <t>0612/FTSCY/WS95011 261311500.00 Krg 90 jt BROILER MAKMUR TAN</t>
  </si>
  <si>
    <t>0612/FTFVA/WS95031 67847/UNGGAS MANDI titip - 200043</t>
  </si>
  <si>
    <t>TRSF E-BANKING CR TANGGAL :06/12</t>
  </si>
  <si>
    <t>0612/FTSCY/WS95051 SIDO RAYA UTAMA CV</t>
  </si>
  <si>
    <t>0612/FTSCY/WS95031 titip 55jt GATUT SETYO WIBOWO</t>
  </si>
  <si>
    <t>0712/FTSCY/WS95271 80000000.00 titip PRIMA JAYA BERSATU</t>
  </si>
  <si>
    <t>0712/FTSCY/WS95271 90000000.00 pelunasan BROILER MAKMUR TAN</t>
  </si>
  <si>
    <t>0712/FTSCY/WS95271 17888740.00 krg 90 jt EKO SETIYAWAN</t>
  </si>
  <si>
    <t>0712/FTSCY/WS95271 2643250.00 jember SUNARTO</t>
  </si>
  <si>
    <t>0712/FTSCY/WS95271 28872390.00 pelunasan PRIMA JAYA BERSATU</t>
  </si>
  <si>
    <t>TGL: 07/12 QR 014 00000.00MUNDU TERA</t>
  </si>
  <si>
    <t>BYR VIA E-BANKING</t>
  </si>
  <si>
    <t>07/12  WSID9503100 1220 TELKOMSEL 82318368518 MUHAMMAD HAIRUL MA</t>
  </si>
  <si>
    <t>0712/FTSCY/WS95051 105608000.00 AH BUA 1 DES 23 PO 6726 PHALOSARI UNGGUL J</t>
  </si>
  <si>
    <t>0712/FTSCY/WS95051 150179967.00 AH BUA 1 DES 23 PHALOSARI UNGGUL J</t>
  </si>
  <si>
    <t>0712/FTSCY/WS95051 163724660.00 AH BUA 4 DES 23 PO 6731 PHALOSARI UNGGUL J</t>
  </si>
  <si>
    <t>0712/FTSCY/WS95051 151487365.00 AH BUA 4 DES 23 PHALOSARI UNGGUL J</t>
  </si>
  <si>
    <t>0712/FTSCY/WS95051 103868677.00 AH BUA 5 DES 23 PHALOSARI UNGGUL J</t>
  </si>
  <si>
    <t>0712/FTSCY/WS95051 64980000.00 ah 3800x17100 GEMILANG INTI SUKS</t>
  </si>
  <si>
    <t>0712/FTSCY/WS95051 151943640.00 SIDO RAYA UTAMA CV</t>
  </si>
  <si>
    <t>0712/FTFVA/WS95031 67847/UNGGAS MANDI pelunasan - 200043</t>
  </si>
  <si>
    <t>0712/FTSCY/WS95271 64600000.00 Sun Dec 06 2026 15:00:00 GMT+0700 (Western Indonesia Time) TUMBUH OPTIMAL PRI</t>
  </si>
  <si>
    <t>0712/FTSCY/WS95271 190000.00 ANDE DOSO ANGGORO</t>
  </si>
  <si>
    <t>0712/FTSCY/WS95271 15445220.00 pelunasan RUKUN MITRA BERSAM</t>
  </si>
  <si>
    <t>0712/FTSCY/WS95031 52820250.00 Sun Dec 06 2026 15:00:00 GMT+0700 (Western Indonesia Time) ANDALAN YASA MITRA</t>
  </si>
  <si>
    <t>TRSF E-BANKING DB TANGGAL :07/12</t>
  </si>
  <si>
    <t>0712/FTSCY/WS95011 Sun Dec 06 2026 15:00:00 GMT+0700 (Western Indonesia Time) RUKUN MITRA BERSAM</t>
  </si>
  <si>
    <t>0712/FTSCY/WS95011 06_12 GANESHA SATRIA NUS</t>
  </si>
  <si>
    <t>0712/FTSCY/WS95011 Sun Dec 06 2026 15:00:00 GMT+0700 (Western Indonesia Time) BINTANG TAMA SANTO</t>
  </si>
  <si>
    <t>0712/FTSCY/WS95011 Wed Dec 16 2026 15:00:00 GMT+0700 (Western Indonesia Time) BINTANG TAMA SANTO</t>
  </si>
  <si>
    <t>0712/FTSCY/WS95011 Sun Dec 06 2026 15:00:00 GMT+0700 (Western Indonesia Time) TABASSAM AZ ZUFAR</t>
  </si>
  <si>
    <t>0712/FTSCY/WS95011 Sun Dec 06 2026 15:00:00 GMT+0700 (Western Indonesia Time) PITIK DIGITAL INDO</t>
  </si>
  <si>
    <t>0712/FTSCY/WS95011 Sun Dec 06 2026 15:00:00 GMT+0700 (Western Indonesia Time) SUPER UNGGAS JAYA</t>
  </si>
  <si>
    <t>0712/FTSCY/WS95011 Krg 116.5 jt ANUGERAH KARTIKA A</t>
  </si>
  <si>
    <t>TRSF E-BANKING CR TANGGAL :07/12</t>
  </si>
  <si>
    <t>0712/FTSCY/WS95271 Byr Ayam RPA SBUG ALDINI MARIA GUMIL</t>
  </si>
  <si>
    <t>0812/FTSCY/WS95031 56350000.00 3500 kg PRASTYO HADI WIBOW</t>
  </si>
  <si>
    <t>BIF TRANSFER KE 2 FAIQOTUL HASANAH MyBCA</t>
  </si>
  <si>
    <t>BIF BIAYA TXN KE 2 FAIQOTUL HASANAH MyBCA</t>
  </si>
  <si>
    <t>0812/FTSCY/WS95011 116500000.00 Pelunasan ANUGERAH KARTIKA A</t>
  </si>
  <si>
    <t>0812/FTSCY/WS95011 90000000.00 Mon Dec 07 2026 15:00:00 GMT+0700 (Western Indonesia Time) SURYA INTI TERNAK</t>
  </si>
  <si>
    <t>0812/FTSCY/WS95031 1348905.00 pelunasan SURYA INTI TERNAK</t>
  </si>
  <si>
    <t>0812/FTSCY/WS95031 1500000.00 HERMAWAN</t>
  </si>
  <si>
    <t>0812/FTSCY/WS95031 1900000.00 IMAM KUSAENI</t>
  </si>
  <si>
    <t>0812/FTSCY/WS95031 2300000.00 EKO SETIYAWAN</t>
  </si>
  <si>
    <t>0812/FTSCY/WS95031 47230200.00 Mon Dec 07 2026 15:00:00 GMT+0700 (Western Indonesia Time) SUGENG RIADI</t>
  </si>
  <si>
    <t>ALFAMRT Y073 SUDI 6019009510239343</t>
  </si>
  <si>
    <t>0812/FTSCY/WS95031 13290170.00 krg 90 jt EKO SETIYAWAN</t>
  </si>
  <si>
    <t>0812/FTSCY/WS95051 240971100.00 SIDO RAYA UTAMA CV</t>
  </si>
  <si>
    <t>0812/FTSCY/WS95031 3088380.00 lunas GATUT SETYO WIBOWO</t>
  </si>
  <si>
    <t>0812/FTSCY/WS95031 50000000.00 titip 50jt GATUT SETYO WIBOWO</t>
  </si>
  <si>
    <t>TRSF E-BANKING DB TANGGAL :08/12</t>
  </si>
  <si>
    <t>0812/FTSCY/WS95031 nov RISKY ARISHANDY PR</t>
  </si>
  <si>
    <t>0812/FTSCY/WS95031 ANTON</t>
  </si>
  <si>
    <t>0812/FTSCY/WS95271 Mon Dec 07 2026 15:00:00 GMT+0700 (Western Indonesia Time) RUKUN MITRA BERSAM</t>
  </si>
  <si>
    <t>0812/FTSCY/WS95271 kd sujadi ngawi SUPER UNGGAS JAYA</t>
  </si>
  <si>
    <t>0812/FTSCY/WS95271 NURHAYATI</t>
  </si>
  <si>
    <t>0812/FTSCY/WS95271 Mon Dec 07 2026 15:00:00 GMT+0700 (Western Indonesia Time) ANUGERAH KARTIKA A</t>
  </si>
  <si>
    <t>0812/FTSCY/WS95271 Mon Dec 07 2026 15:00:00 GMT+0700 (Western Indonesia Time) ANDALAN YASA MITRA</t>
  </si>
  <si>
    <t>0812/FTSCY/WS95271 SUNARTO</t>
  </si>
  <si>
    <t>0812/FTSCY/WS95031 pelunasan ANDALAN YASA MITRA</t>
  </si>
  <si>
    <t>0812/FTSCY/WS95011 Mon Dec 07 2026 15:00:00 GMT+0700 (Western Indonesia Time) PITIK DIGITAL INDO</t>
  </si>
  <si>
    <t>0812/FTSCY/WS95011 Mon Dec 07 2026 15:00:00 GMT+0700 (Western Indonesia Time) TUMBUH OPTIMAL PRI</t>
  </si>
  <si>
    <t>0812/FTSCY/WS95031 ANDE DOSO ANGGORO</t>
  </si>
  <si>
    <t>TRSF E-BANKING CR TANGGAL :08/12</t>
  </si>
  <si>
    <t>0812/FTSCY/WS95271 Pelunasan Ayam 07. 12 RPA SBUG ALDINI MARIA GUMIL</t>
  </si>
  <si>
    <t>0812/FTSCY/WS95031 1170.1 kg RODHIATUS SOLEHA</t>
  </si>
  <si>
    <t>0912/FTSCY/WS95271 17551500.00 lokal MARIA ELDA PURWANT</t>
  </si>
  <si>
    <t>0912/FTSCY/WS95271 4858240.00 MUJIANTO</t>
  </si>
  <si>
    <t>0912/FTSCY/WS95271 2733730.00 magetan IMAM KUSAENI</t>
  </si>
  <si>
    <t>0912/FTSCY/WS95271 2097700.00 lunas HERMAWAN</t>
  </si>
  <si>
    <t>0912/FTSCY/WS95271 4648160.00 jember FAJAR ANDREANZAH</t>
  </si>
  <si>
    <t>0912/FTSCY/WS95271 10420000.00 MUHAMMAD HAIRUL MA</t>
  </si>
  <si>
    <t>0912/FTSCY/WS95051 109870200.00 AH BUA 7 DES 23 PHALOSARI UNGGUL J</t>
  </si>
  <si>
    <t>0912/FTSCY/WS95051 209664800.00 AH BUA 6 DES 23 PHALOSARI UNGGUL J</t>
  </si>
  <si>
    <t>0912/FTSCY/WS95051 209815670.00 AH BUA 6 DES 23 PHALOSARI UNGGUL J</t>
  </si>
  <si>
    <t>0912/FTSCY/WS95271 1000000.00 pelunasan MUHAMMAD IDRIS</t>
  </si>
  <si>
    <t>0912/FTSCY/WS95031 1000000.00 MUHAMMAD IDRIS</t>
  </si>
  <si>
    <t>TARIKAN ATM 09/12</t>
  </si>
  <si>
    <t>BIF TRANSFER KE 451 FITRIYATUL QOMARIA MyBCA</t>
  </si>
  <si>
    <t>BIF BIAYA TXN KE 451 FITRIYATUL QOMARIA MyBCA</t>
  </si>
  <si>
    <t>0912/FTSCY/WS95271 1700000.00 magetan RUKHAILAH</t>
  </si>
  <si>
    <t>TRSF E-BANKING CR TANGGAL :09/12</t>
  </si>
  <si>
    <t>0912/FTSCY/WS95051 SIDO RAYA UTAMA CV</t>
  </si>
  <si>
    <t>1012/FTSCY/WS95031 17350440.00 EKO SETIYAWAN</t>
  </si>
  <si>
    <t>1012/FTSCY/WS95031 500000.00 EKO SETIYAWAN</t>
  </si>
  <si>
    <t>1012/FTSCY/WS95271 1484000.00 MUHAMMAD HAIRUL MA</t>
  </si>
  <si>
    <t>1012/FTSCY/WS95271 100000000.00 pelunasan TUMBUH OPTIMAL PRI</t>
  </si>
  <si>
    <t>1012/FTSCY/WS95271 52601940.00 Mon Dec 07 2026 15:00:00 GMT+0700 (Western Indonesia Time) ANUGERAH KARTIKA A</t>
  </si>
  <si>
    <t>1012/FTSCY/WS95011 103475780.00 Mon Dec 07 2026 15:00:00 GMT+0700 (Western Indonesia Time) TABASSAM AZ ZUFAR</t>
  </si>
  <si>
    <t>1012/FTSCY/WS95271 56120000.00 Mon Dec 07 2026 15:00:00 GMT+0700 (Western Indonesia Time) TABASSAM AL HATTAK</t>
  </si>
  <si>
    <t>1012/FTSCY/WS95011 147823500.00 Mon Dec 07 2026 15:00:00 GMT+0700 (Western Indonesia Time) ANUGERAH KARTIKA A</t>
  </si>
  <si>
    <t>1012/FTSCY/WS95031 5773230.00 MUJIANTO</t>
  </si>
  <si>
    <t>1012/FTSCY/WS95031 2000000.00 SUNARTO</t>
  </si>
  <si>
    <t>1012/FTSCY/WS95031 2222400.00 IMAM KUSAENI</t>
  </si>
  <si>
    <t>1012/FTSCY/WS95271 325000.00 byr penginapan FARUQ ALFARISY</t>
  </si>
  <si>
    <t>TARIKAN ATM 10/12</t>
  </si>
  <si>
    <t>TRSF E-BANKING CR TANGGAL :10/12</t>
  </si>
  <si>
    <t>1012/FTSCY/WS95031 Dari Pak Gatut Set yo Wibowo SEFI HANA KRISNAWA</t>
  </si>
  <si>
    <t>1112/FTSCY/WS95031 20455000.00 1401 kg RODHIATUS SOLEHA</t>
  </si>
  <si>
    <t>1112/FTSCY/WS95271 56555400.00 Tue Dec 08 2026 15:00:00 GMT+0700 (Western Indonesia Time) BINTANG TAMA SANTO</t>
  </si>
  <si>
    <t>1112/FTFVA/WS95031 67847/UNGGAS MANDI ponorogo - 200043</t>
  </si>
  <si>
    <t>1112/FTSCY/WS95031 58629600.00 Tue Dec 08 2026 15:00:00 GMT+0700 (Western Indonesia Time) RUKUN MITRA BERSAM</t>
  </si>
  <si>
    <t>KR OTOMATIS</t>
  </si>
  <si>
    <t>LLG-MANDIRI SUPER FAMOUS CHICK Pembelian ayam hid up</t>
  </si>
  <si>
    <t>1112/FTSCY/WS95271 46200000.00 PRIMA JAYA BERSATU</t>
  </si>
  <si>
    <t>1112/FTSCY/WS95051 99949500.00 AH BUA 7 DES 23 PHALOSARI UNGGUL J</t>
  </si>
  <si>
    <t>1112/FTSCY/WS95051 156776099.00 AH BUA 1 DES 23 PO 29842 PHALOSARI UNGGUL J</t>
  </si>
  <si>
    <t>1112/FTSCY/WS95051 197529040.00 AH BUA 4 DES 23 PHALOSARI UNGGUL J</t>
  </si>
  <si>
    <t>1112/FTSCY/WS95271 50847000.00 Tue Dec 08 2026 15:00:00 GMT+0700 (Western Indonesia Time) PT BERLIAN INDOMIT</t>
  </si>
  <si>
    <t>1112/FTSCY/WS95271 49395200.00 Thu Dec 10 2026 15:00:00 GMT+0700 (Western Indonesia Time) INTEGRASI TEKNOLOG</t>
  </si>
  <si>
    <t>1112/FTSCY/WS95031 2000000.00 ngawi lunas RIRIN</t>
  </si>
  <si>
    <t>1112/FTSCY/WS95271 54250000.00 Tue Dec 08 2026 15:00:00 GMT+0700 (Western Indonesia Time) TUMBUH OPTIMAL PRI</t>
  </si>
  <si>
    <t>1112/FTSCY/WS95031 14724300.00 lunas GATUT SETYO WIBOWO</t>
  </si>
  <si>
    <t>1112/FTSCY/WS95031 52850000.00 PRASTYO HADI WIBOW</t>
  </si>
  <si>
    <t>1112/FTSCY/WS95011 52677900.00 Wed Dec 09 2026 15:00:00 GMT+0700 (Western Indonesia Time) ANUGERAH KARTIKA A</t>
  </si>
  <si>
    <t>1112/FTSCY/WS95011 101056900.00 Tue Dec 08 2026 15:00:00 GMT+0700 (Western Indonesia Time) SUPER UNGGAS JAYA</t>
  </si>
  <si>
    <t>1112/FTSCY/WS95031 36806000.00 lokalan bws MARIA ELDA PURWANT</t>
  </si>
  <si>
    <t>1112/FTSCY/WS95011 102773780.00 Thu Dec 10 2026 15:00:00 GMT+0700 (Western Indonesia Time) RUKUN MITRA BERSAM</t>
  </si>
  <si>
    <t>1112/FTSCY/WS95011 194297600.00 Thu Dec 10 2026 15:00:00 GMT+0700 (Western Indonesia Time) PITIK DIGITAL INDO</t>
  </si>
  <si>
    <t>TRSF E-BANKING CR TANGGAL :11/12</t>
  </si>
  <si>
    <t>1112/FTSCY/WS95031 titip 45jt GATUT SETYO WIBOWO</t>
  </si>
  <si>
    <t>1112/FTSCY/WS95051 SIDO RAYA UTAMA CV</t>
  </si>
  <si>
    <t>1212/FTSCY/WS95271 46810000.00 Wed Dec 09 2026 15:00:00 GMT+0700 (Western Indonesia Time) BINTANG TAMA SANTO</t>
  </si>
  <si>
    <t>1212/FTSCY/WS95271 62094850.00 Wed Dec 09 2026 15:00:00 GMT+0700 (Western Indonesia Time) BINTANG TAMA SANTO</t>
  </si>
  <si>
    <t>1212/FTSCY/WS95271 20640000.00 pelunasan LAJU SATWA WISESA</t>
  </si>
  <si>
    <t>1212/FTSCY/WS95271 53486820.00 Thu Dec 10 2026 15:00:00 GMT+0700 (Western Indonesia Time) ADNAN</t>
  </si>
  <si>
    <t>1212/FTSCY/WS95271 3200000.00 lunas HERMAWAN</t>
  </si>
  <si>
    <t>1212/FTSCY/WS95271 1870280.00 lunas IMAM KUSAENI</t>
  </si>
  <si>
    <t>1212/FTSCY/WS95271 5525440.00 krg 2.250 jt FAJAR ANDREANZAH</t>
  </si>
  <si>
    <t>1212/FTSCY/WS95031 17915000.00 kg 1227 RODHIATUS SOLEHA</t>
  </si>
  <si>
    <t>1212/FTSCY/WS95031 2900000.00 krg 5 jt MUJIANTO</t>
  </si>
  <si>
    <t>1212/FTSCY/WS95051 448613270.00 krmn 11/12 TERA MULIA KORPORI</t>
  </si>
  <si>
    <t>12/12  WSID9503101 1220 TELKOMSEL 82131900513 MUHAMMAD HAIRUL MA</t>
  </si>
  <si>
    <t>1212/FTFVA/WS95031 55569/PT PRIMA FAJ pelunasan jmbr - 40190</t>
  </si>
  <si>
    <t>1212/FTSCY/WS95051 101643490.00 AH BUA 7 DES 23 PHALOSARI UNGGUL J</t>
  </si>
  <si>
    <t>1212/FTSCY/WS95051 159825830.00 AH BUA 7 DES 23 PHALOSARI UNGGUL J</t>
  </si>
  <si>
    <t>1212/FTSCY/WS95051 108058576.00 AH BUA 7 DES 23 PHALOSARI UNGGUL J</t>
  </si>
  <si>
    <t>12/12  WSID9503101 1220 TELKOMSEL 81326518324 MUHAMMAD HAIRUL MA</t>
  </si>
  <si>
    <t>1212/FTSCY/WS95051 222150830.00 SIDO RAYA UTAMA CV</t>
  </si>
  <si>
    <t>TARIKAN ATM 12/12</t>
  </si>
  <si>
    <t>1212/FTSCY/WS95271 13500000.00 ANITA DWI NOVIES S</t>
  </si>
  <si>
    <t>TRSF E-BANKING DB TANGGAL :12/12</t>
  </si>
  <si>
    <t>1212/FTSCY/WS95271 Fri Dec 11 2026 15:00:00 GMT+0700 (Western Indonesia Time) RUKUN MITRA BERSAM</t>
  </si>
  <si>
    <t>1212/FTSCY/WS95031 Fri Dec 11 2026 15:00:00 GMT+0700 (Western Indonesia Time) INTEGRASI TEKNOLOG</t>
  </si>
  <si>
    <t>1212/FTSCY/WS95031 SUNARTO</t>
  </si>
  <si>
    <t>1212/FTSCY/WS95031 HERMAWAN</t>
  </si>
  <si>
    <t>1212/FTSCY/WS95031 MUJIANTO</t>
  </si>
  <si>
    <t>1212/FTSCY/WS95031 IMAM KUSAENI</t>
  </si>
  <si>
    <t>1212/FTSCY/WS95031 lunas FAJAR ANDREANZAH</t>
  </si>
  <si>
    <t>1312/FTSCY/WS95271 41175650.00 l2/12 PRIMA JAYA BERSATU</t>
  </si>
  <si>
    <t>1312/FTSCY/WS95031 100000000.00 GANESHA SATRIA NUS</t>
  </si>
  <si>
    <t>1312/FTSCY/WS95271 96640000.00 Fri Dec 11 2026 15:00:00 GMT+0700 (Western Indonesia Time) RUKUN MITRA BERSAM</t>
  </si>
  <si>
    <t>1312/FTSCY/WS95271 49476900.00 Thu Dec 10 2026 15:00:00 GMT+0700 (Western Indonesia Time) TABASSAM JAYA FARM</t>
  </si>
  <si>
    <t>1312/FTSCY/WS95271 62115000.00 Fri Dec 11 2026 15:00:00 GMT+0700 (Western Indonesia Time) ANUGERAH KARTIKA A</t>
  </si>
  <si>
    <t>1312/FTSCY/WS95271 45721600.00 Fri Dec 11 2026 15:00:00 GMT+0700 (Western Indonesia Time) TUMBUH OPTIMAL PRI</t>
  </si>
  <si>
    <t>1312/FTSCY/WS95271 1952400.00 ANDE DOSO ANGGORO</t>
  </si>
  <si>
    <t>1312/FTSCY/WS95051 198538136.00 AH BUA 8 DES 23 PHALOSARI UNGGUL J</t>
  </si>
  <si>
    <t>1312/FTSCY/WS95051 201391364.00 AH BUA 7 DES 23 PHALOSARI UNGGUL J</t>
  </si>
  <si>
    <t>1312/FTSCY/WS95051 125004680.00 ah 4000x15800+ 3838.8x16100 GEMILANG INTI SUKS</t>
  </si>
  <si>
    <t>1312/FTSCY/WS95011 169291150.00 Pelunasan BROILER MAKMUR TAN</t>
  </si>
  <si>
    <t>1312/FTSCY/WS95011 105581850.00 Tue Nov 10 2026 15:00:00 GMT+0700 (Western Indonesia Time) ANDALAN YASA MITRA</t>
  </si>
  <si>
    <t>1312/FTSCY/WS95011 96299200.00 Fri Dec 11 2026 15:00:00 GMT+0700 (Western Indonesia Time) ADNAN</t>
  </si>
  <si>
    <t>1312/FTSCY/WS95011 39514520.00 Fri Dec 11 2026 15:00:00 GMT+0700 (Western Indonesia Time) BINTANG TAMA SANTO</t>
  </si>
  <si>
    <t>1312/FTSCY/WS95011 53195200.00 Fri Dec 11 2026 15:00:00 GMT+0700 (Western Indonesia Time) ANDALAN YASA MITRA</t>
  </si>
  <si>
    <t>1312/FTSCY/WS95051 277779250.00 SIDO RAYA UTAMA CV</t>
  </si>
  <si>
    <t>1312/FTSCY/WS95031 1100000.00 YESI PURNAMASARI</t>
  </si>
  <si>
    <t>TRSF E-BANKING CR TANGGAL :13/12</t>
  </si>
  <si>
    <t>1312/FTSCY/WS95031 kurang 20 PRASTYO HADI WIBOW</t>
  </si>
  <si>
    <t>1412/FTSCY/WS95031 55000000.00 Dari Pak Gatut Set yo Wibowo SEFI HANA KRISNAWA</t>
  </si>
  <si>
    <t>1412/FTSCY/WS95011 217842780.00 11 dan 13/12 PITIK DIGITAL INDO</t>
  </si>
  <si>
    <t>1412/FTSCY/WS95271 64000000.00 Sat Dec 12 2026 15:00:00 GMT+0700 (Western Indonesia Time) INTEGRASI TEKNOLOG</t>
  </si>
  <si>
    <t>1412/FTSCY/WS95011 95905940.00 Sat Dec 12 2026 15:00:00 GMT+0700 (Western Indonesia Time) BRANTAS ABADI SENT</t>
  </si>
  <si>
    <t>1412/FTSCY/WS95011 150000000.00 Sat Dec 12 2026 15:00:00 GMT+0700 (Western Indonesia Time) GANESHA SATRIA NUS</t>
  </si>
  <si>
    <t>1412/FTSCY/WS95011 36079840.00 Krg 10.7 jt DINA LUKMIANINGRUM</t>
  </si>
  <si>
    <t>1412/FTFVA/WS95031 14453/PITIK - - 1082318368518</t>
  </si>
  <si>
    <t>1412/FTSCY/WS95271 76000000.00 pelunasan ADNAN</t>
  </si>
  <si>
    <t>1412/FTSCY/WS95031 91848000.00 Sat Dec 12 2026 15:00:00 GMT+0700 (Western Indonesia Time) TUMBUH OPTIMAL PRI</t>
  </si>
  <si>
    <t>1412/FTSCY/WS95031 1224640.00 ANDE DOSO ANGGORO</t>
  </si>
  <si>
    <t>1412/FTSCY/WS95271 2468750.00 FAJAR ANDREANZAH</t>
  </si>
  <si>
    <t>1412/FTSCY/WS95271 5267150.00 krg 5 jt MUJIANTO</t>
  </si>
  <si>
    <t>1412/FTSCY/WS95271 2876500.00 HERMAWAN</t>
  </si>
  <si>
    <t>1412/FTSCY/WS95271 1207430.00 IMAM KUSAENI</t>
  </si>
  <si>
    <t>TARIKAN ATM 14/12</t>
  </si>
  <si>
    <t>1412/FTSCY/WS95031 16980000.00 PRASTYO HADI WIBOW</t>
  </si>
  <si>
    <t>BIF TRANSFER KE 2 RAMADIKA MyBCA</t>
  </si>
  <si>
    <t>BIF BIAYA TXN KE 2 RAMADIKA MyBCA</t>
  </si>
  <si>
    <t>1412/FTSCY/WS95271 128000.00 arisan RATNAWATI</t>
  </si>
  <si>
    <t>1412/FTSCY/WS95051 201921643.00 AH BUA 11 DES 23 PHALOSARI UNGGUL J</t>
  </si>
  <si>
    <t>1412/FTSCY/WS95051 9231909.00 ayam hairul tgl 14/12/2023 SUCI RAHARJO PT</t>
  </si>
  <si>
    <t>1412/FTSCY/WS95051 226383410.00 SIDO RAYA UTAMA CV</t>
  </si>
  <si>
    <t>1412/FTFVA/WS95031 55569/PT PRIMA FAJ lunas - 40190</t>
  </si>
  <si>
    <t>1412/FTSCY/WS95031 1400000.00 lunas GATUT SETYO WIBOWO</t>
  </si>
  <si>
    <t>1412/FTSCY/WS95031 3486350.00 SUNARTO</t>
  </si>
  <si>
    <t>1412/FTSCY/WS95271 12230720.00 krg 90 jt ANITA DWI NOVIES S</t>
  </si>
  <si>
    <t>1412/FTSCY/WS95271 2221820.00 HERMAWAN</t>
  </si>
  <si>
    <t>1412/FTSCY/WS95271 1800000.00 IMAM KUSAENI</t>
  </si>
  <si>
    <t>1512/FTSCY/WS95011 124318560.00 Sun Dec 13 2026 15:00:00 GMT+0700 (Western Indonesia Time) RUKUN MITRA BERSAM</t>
  </si>
  <si>
    <t>1512/FTSCY/WS95011 56000000.00 Sun Dec 13 2026 15:00:00 GMT+0700 (Western Indonesia Time) TUMBUH OPTIMAL PRI</t>
  </si>
  <si>
    <t>1512/FTSCY/WS95011 145303500.00 Sat Dec 12 2026 15:00:00 GMT+0700 (Western Indonesia Time) BROILER MAKMUR TAN</t>
  </si>
  <si>
    <t>1512/FTSCY/WS95011 57114750.00 Sun Dec 13 2026 15:00:00 GMT+0700 (Western Indonesia Time) ANDALAN YASA MITRA</t>
  </si>
  <si>
    <t>1512/FTSCY/WS95271 669900.00 PRIMA JAYA BERSATU</t>
  </si>
  <si>
    <t>1512/FTSCY/WS95051 14100000.00 BERKAH UNGGAS AGUN</t>
  </si>
  <si>
    <t>1512/FTSCY/WS95051 161428940.00 SIDO RAYA UTAMA CV</t>
  </si>
  <si>
    <t>BIAYA ADM</t>
  </si>
  <si>
    <t>TRSF E-BANKING DB TANGGAL :15/12</t>
  </si>
  <si>
    <t>1512/FTSCY/WS95271 Sun Dec 13 2026 15:00:00 GMT+0700 (Western Indonesia Time) ANDALAN YASA MITRA</t>
  </si>
  <si>
    <t>1512/FTSCY/WS95271 13/12 krg 100 jt BROILER MAKMUR TAN</t>
  </si>
  <si>
    <t>1512/FTSCY/WS95271 MUHAMMAD HAIRUL MA</t>
  </si>
  <si>
    <t>1612/FTSCY/WS95051 201283380.00 AH BUA 12 DES 23 PHALOSARI UNGGUL J</t>
  </si>
  <si>
    <t>1612/FTSCY/WS95051 318082100.00 SIDO RAYA UTAMA CV</t>
  </si>
  <si>
    <t>BIF TRANSFER KE 451 EMELYDA ALIFQIH M-BCA</t>
  </si>
  <si>
    <t>BIF BIAYA TXN KE 451 EMELYDA ALIFQIH M-BCA</t>
  </si>
  <si>
    <t>BIF TRANSFER KE 9 NOUVAL HOLQI RISKU M-BCA</t>
  </si>
  <si>
    <t>BIF BIAYA TXN KE 9 NOUVAL HOLQI RISKU M-BCA</t>
  </si>
  <si>
    <t>1712/FTFVA/WS95031 55569/PT PRIMA FAJ pelunasan - 40190</t>
  </si>
  <si>
    <t>1712/FTSCY/WS95271 51302400.00 Mon Dec 14 2026 15:00:00 GMT+0700 (Western Indonesia Time) ANDALAN YASA MITRA</t>
  </si>
  <si>
    <t>1712/FTSCY/WS95271 47686700.00 Mon Dec 14 2026 15:00:00 GMT+0700 (Western Indonesia Time) ANDALAN YASA MITRA</t>
  </si>
  <si>
    <t>1712/FTSCY/WS95031 100000000.00 krg 44.571.750 BROILER MAKMUR TAN</t>
  </si>
  <si>
    <t>1712/FTSCY/WS95271 44571750.00 pelunasan BROILER MAKMUR TAN</t>
  </si>
  <si>
    <t>1712/FTSCY/WS95271 13467880.00 Tue Dec 15 2026 15:00:00 GMT+0700 (Western Indonesia Time) BRANTAS ABADI SENT</t>
  </si>
  <si>
    <t>1712/FTSCY/WS95031 30000000.00 WAHYUDI</t>
  </si>
  <si>
    <t>1712/FTSCY/WS95011 55931700.00 Tue Dec 15 2026 15:00:00 GMT+0700 (Western Indonesia Time) LAJU SATWA WISESA</t>
  </si>
  <si>
    <t>1712/FTSCY/WS95011 59528900.00 Tue Dec 15 2026 15:00:00 GMT+0700 (Western Indonesia Time) LAJU SATWA WISESA</t>
  </si>
  <si>
    <t>1712/FTSCY/WS95051 12100000.00 BERKAH UNGGAS AGUN</t>
  </si>
  <si>
    <t>1712/FTSCY/WS95011 77244800.00 Krg 140 jt 15/12 ANDALAN YASA MITRA</t>
  </si>
  <si>
    <t>TRSF E-BANKING DB TANGGAL :17/12</t>
  </si>
  <si>
    <t>1712/FTSCY/WS95271 SUNARTO</t>
  </si>
  <si>
    <t>1712/FTSCY/WS95271 IMAM KUSAENI</t>
  </si>
  <si>
    <t>1712/FTSCY/WS95271 krg 6.603.000 FAJAR ANDREANZAH</t>
  </si>
  <si>
    <t>1812/FTSCY/WS95051 109510200.00 AH BUA 6 DES 23 PO 29866 PHALOSARI UNGGUL J</t>
  </si>
  <si>
    <t>1812/FTSCY/WS95051 157892230.00 AH BUA 8 DES 23 PO 29884 PHALOSARI UNGGUL J</t>
  </si>
  <si>
    <t>1812/FTSCY/WS95031 23769200.00 WAHYUDI</t>
  </si>
  <si>
    <t>1812/FTFVA/WS95031 14453/PITIK - - 1082318368518</t>
  </si>
  <si>
    <t>1812/FTSCY/WS95271 55692760.00 Tue Dec 15 2026 15:00:00 GMT+0700 (Western Indonesia Time) TABASSAM JAYA FARM</t>
  </si>
  <si>
    <t>1812/FTSCY/WS95031 14000000.00 krg 85 jt EKO SETIYAWAN</t>
  </si>
  <si>
    <t>1812/FTSCY/WS95051 95467620.00 SIDO RAYA UTAMA CV</t>
  </si>
  <si>
    <t>1812/FTSCY/WS95051 7450000.00 BERKAH UNGGAS AGUN</t>
  </si>
  <si>
    <t>1812/FTSCY/WS95271 130000.00 AGUS BUDI SANTOSO</t>
  </si>
  <si>
    <t>TRSF E-BANKING DB TANGGAL :18/12</t>
  </si>
  <si>
    <t>1812/FTSCY/WS95271 Thu Dec 17 2026 15:00:00 GMT+0700 (Western Indonesia Time) ANUGERAH KARTIKA A</t>
  </si>
  <si>
    <t>1812/FTSCY/WS95271 Thu Dec 17 2026 15:00:00 GMT+0700 (Western Indonesia Time) TUMBUH OPTIMAL PRI</t>
  </si>
  <si>
    <t>1812/FTSCY/WS95271 ANDE DOSO ANGGORO</t>
  </si>
  <si>
    <t>TRSF E-BANKING CR TANGGAL :18/12</t>
  </si>
  <si>
    <t>18/12 /Z77A1/00000 ZAINAL ARIFIN</t>
  </si>
  <si>
    <t>1912/FTSCY/WS95031 2426180.00 lunas HERMAWAN</t>
  </si>
  <si>
    <t>1912/FTSCY/WS95031 4691090.00 krg 5 jt MUJIANTO</t>
  </si>
  <si>
    <t>1912/FTSCY/WS95051 1000000.00 BERKAH UNGGAS AGUN</t>
  </si>
  <si>
    <t>1912/FTFVA/WS95031 55574/GUNA MITRA S t.agung - 200177</t>
  </si>
  <si>
    <t>1912/FTSCY/WS95051 104080684.00 AH BUA 6 DES 23 PHALOSARI UNGGUL J</t>
  </si>
  <si>
    <t>1912/FTSCY/WS95051 148448399.00 AH BUA 11 DES 23 PHALOSARI UNGGUL J</t>
  </si>
  <si>
    <t>1912/FTSCY/WS95051 98947850.00 AH BUA 13 DES 23 PHALOSARI UNGGUL J</t>
  </si>
  <si>
    <t>1912/FTSCY/WS95031 35000000.00 WAHYUDI</t>
  </si>
  <si>
    <t>1912/FTSCY/WS95051 181483180.00 SIDO RAYA UTAMA CV</t>
  </si>
  <si>
    <t>1912/FTSCY/WS95031 15603760.00 krg 85 EKO SETIYAWAN</t>
  </si>
  <si>
    <t>1912/FTSCY/WS95271 37820000.00 pelunasan 17/12 BROILER MAKMUR TAN</t>
  </si>
  <si>
    <t>1912/FTFVA/WS95031 55574/GUNA MITRA S titip - 200177</t>
  </si>
  <si>
    <t>1912/FTFVA/WS95031 14453/PITIK - - 1082318368518</t>
  </si>
  <si>
    <t>1912/FTSCY/WS95011 93675800.00 Fri Dec 18 2026 15:00:00 GMT+0700 (Western Indonesia Time) BINTANG TAMA SANTO</t>
  </si>
  <si>
    <t>1912/FTSCY/WS95011 42955150.00 Fri Dec 18 2026 15:00:00 GMT+0700 (Western Indonesia Time) ANDALAN YASA MITRA</t>
  </si>
  <si>
    <t>1912/FTSCY/WS95011 48980700.00 Fri Dec 18 2026 15:00:00 GMT+0700 (Western Indonesia Time) ANUGERAH KARTIKA A</t>
  </si>
  <si>
    <t>1912/FTSCY/WS95011 56471250.00 Fri Dec 18 2026 15:00:00 GMT+0700 (Western Indonesia Time) TERNAK SEJATI TABA</t>
  </si>
  <si>
    <t>TRSF E-BANKING CR TANGGAL :19/12</t>
  </si>
  <si>
    <t>1912/FTSCY/WS95031 titip 55jt GATUT SETYO WIBOWO</t>
  </si>
  <si>
    <t>20/12 /Z77A1/00000 ZAINAL ARIFIN</t>
  </si>
  <si>
    <t>BIF TRANSFER KE 9 AHMAD LUTHFI FADHI M-BCA</t>
  </si>
  <si>
    <t>BIF BIAYA TXN KE 9 AHMAD LUTHFI FADHI M-BCA</t>
  </si>
  <si>
    <t>2012/FTSCY/WS95031 8434500.00 krg 5 jt FAJAR ANDREANZAH</t>
  </si>
  <si>
    <t>2012/FTSCY/WS95031 1400000.00 IMAM KUSAENI</t>
  </si>
  <si>
    <t>2012/FTSCY/WS95031 6311700.00 MUJIANTO</t>
  </si>
  <si>
    <t>2012/FTSCY/WS95031 53435200.00 Thu Dec 17 2026 15:00:00 GMT+0700 (Western Indonesia Time) ANUGERAH KARTIKA A</t>
  </si>
  <si>
    <t>2012/FTSCY/WS95051 141004720.00 AH BUA 14 DES 23 PHALOSARI UNGGUL J</t>
  </si>
  <si>
    <t>2012/FTSCY/WS95051 151777960.00 AH BUA 18 DES 23 PHALOSARI UNGGUL J</t>
  </si>
  <si>
    <t>2012/FTSCY/WS95051 198383742.00 AH BUA 18 DES 23 PHALOSARI UNGGUL J</t>
  </si>
  <si>
    <t>2012/FTSCY/WS95031 18387400.00 WAHYUDI</t>
  </si>
  <si>
    <t>2012/FTSCY/WS95271 180000.00 ANTON IMRONI</t>
  </si>
  <si>
    <t>2012/FTSCY/WS95271 53059860.00 Sun Dec 20 2026 15:00:00 GMT+0700 (Western Indonesia Time) SURYA INTI TERNAK</t>
  </si>
  <si>
    <t>2012/FTSCY/WS95271 24041000.00 Sun Dec 20 2026 15:00:00 GMT+0700 (Western Indonesia Time) ANUGERAH KARTIKA A</t>
  </si>
  <si>
    <t>2012/FTSCY/WS95051 201448450.00 SIDO RAYA UTAMA CV</t>
  </si>
  <si>
    <t>2012/FTSCY/WS95011 90136580.00 Sat Dec 19 2026 15:00:00 GMT+0700 (Western Indonesia Time) PT BERLIAN INDOMIT</t>
  </si>
  <si>
    <t>2012/FTSCY/WS95011 225774970.00 Fri Dec 18 2026 15:00:00 GMT+0700 (Western Indonesia Time) BROILER MAKMUR TAN</t>
  </si>
  <si>
    <t>2012/FTSCY/WS95011 101919100.00 Sat Dec 19 2026 15:00:00 GMT+0700 (Western Indonesia Time) LAJU SATWA WISESA</t>
  </si>
  <si>
    <t>2012/FTSCY/WS95011 82138230.00 Sat Dec 19 2026 15:00:00 GMT+0700 (Western Indonesia Time) ANDALAN YASA MITRA</t>
  </si>
  <si>
    <t>2012/FTSCY/WS95271 37400000.00 pelunasan ANDALAN YASA MITRA</t>
  </si>
  <si>
    <t>2012/FTSCY/WS95271 107250000.00 Sat Dec 19 2026 15:00:00 GMT+0700 (Western Indonesia Time) TUMBUH OPTIMAL PRI</t>
  </si>
  <si>
    <t>2112/FTSCY/WS95031 2054070.00 SUNARTO</t>
  </si>
  <si>
    <t>2112/FTSCY/WS95031 2931260.00 IMAM KUSAENI</t>
  </si>
  <si>
    <t>2112/FTSCY/WS95031 2460510.00 krg 4 jt FAJAR ANDREANZAH</t>
  </si>
  <si>
    <t>2112/FTSCY/WS95031 1400000.00 MUJIANTO</t>
  </si>
  <si>
    <t>2112/FTSCY/WS95271 2840000.00 MUHAMMAD HAIRUL MA</t>
  </si>
  <si>
    <t>2112/FTSCY/WS95051 219797020.00 krmn 20/12 ERICKO HERMAWAN</t>
  </si>
  <si>
    <t>2112/FTFVA/WS95031 55569/PT PRIMA FAJ lunas - 40190</t>
  </si>
  <si>
    <t>2112/FTSCY/WS95051 103268800.00 AH BUA 8 DES 23 PHALOSARI UNGGUL J</t>
  </si>
  <si>
    <t>2112/FTSCY/WS95051 147792600.00 AH BUA 11 DES 23 PHALOSARI UNGGUL J</t>
  </si>
  <si>
    <t>2112/FTSCY/WS95051 145092701.00 AH BUA 13 DES 23 PHALOSARI UNGGUL J</t>
  </si>
  <si>
    <t>2112/FTSCY/WS95051 96940801.00 AH BUA 14 DES 23 PHALOSARI UNGGUL J</t>
  </si>
  <si>
    <t>TGL: 21/12 QR 002 00000.00TOKO DELIM</t>
  </si>
  <si>
    <t>2112/FTSCY/WS95051 95450575.00 AYAM HAIRUL TGL 21/12/2023 SUCI RAHARJO PT</t>
  </si>
  <si>
    <t>2112/FTSCY/WS95031 10000000.00 krg 75 jt EKO SETIYAWAN</t>
  </si>
  <si>
    <t>2112/FTFVA/WS95031 55569/PT PRIMA FAJ dp - 40190</t>
  </si>
  <si>
    <t>TRSF E-BANKING DB TANGGAL :21/12</t>
  </si>
  <si>
    <t>2112/FTSCY/WS95011 Sat Dec 19 2026 15:00:00 GMT+0700 (Western Indonesia Time) ANDALAN YASA MITRA</t>
  </si>
  <si>
    <t>2112/FTSCY/WS95011 Sat Dec 19 2026 15:00:00 GMT+0700 (Western Indonesia Time) SUPER UNGGAS JAYA</t>
  </si>
  <si>
    <t>2112/FTSCY/WS95011 19 dan 20/12 TABASSAM AL HATTAK</t>
  </si>
  <si>
    <t>2112/FTSCY/WS95011 Sun Dec 20 2026 15:00:00 GMT+0700 (Western Indonesia Time) GANESHA SATRIA NUS</t>
  </si>
  <si>
    <t>2112/FTSCY/WS95011 Sun Dec 20 2026 15:00:00 GMT+0700 (Western Indonesia Time) BINTANG TAMA SANTO</t>
  </si>
  <si>
    <t>TRSF E-BANKING CR TANGGAL :21/12</t>
  </si>
  <si>
    <t>2112/FTSCY/WS95271 MUHAMMAD HAIRUL MA</t>
  </si>
  <si>
    <t>2112/FTSCY/WS95271 pelunasan 19/12 BROILER MAKMUR TAN</t>
  </si>
  <si>
    <t>2112/FTFVA/WS95031 - - 1082318368518</t>
  </si>
  <si>
    <t>2112/FTSCY/WS95031 krg 80 jt EKO SETIYAWAN</t>
  </si>
  <si>
    <t>2112/FTSCY/WS95031 SUNARTO</t>
  </si>
  <si>
    <t>2112/FTSCY/WS95031 IMAM KUSAENI</t>
  </si>
  <si>
    <t>2112/FTSCY/WS95031 krg 5 jt FAJAR ANDREANZAH</t>
  </si>
  <si>
    <t>2112/FTSCY/WS95031 HERMAWAN</t>
  </si>
  <si>
    <t>2112/FTSCY/WS95271 Sun Dec 20 2026 15:00:00 GMT+0700 (Western Indonesia Time) TUMBUH OPTIMAL PRI</t>
  </si>
  <si>
    <t>2112/FTSCY/WS95051 SIDO RAYA UTAMA CV</t>
  </si>
  <si>
    <t>IDM TWUN-JELBUK 6019009510239343</t>
  </si>
  <si>
    <t>2212/FTSCY/WS95031 1500000.00 NURUL AINI</t>
  </si>
  <si>
    <t>2212/FTSCY/WS95051 151059000.00 AH BUA 8 DES 23 PHALOSARI UNGGUL J</t>
  </si>
  <si>
    <t>2212/FTSCY/WS95051 150575602.00 AH BUA 14 DES 23 PHALOSARI UNGGUL J</t>
  </si>
  <si>
    <t>2212/FTFVA/WS95031 55569/PT PRIMA FAJ lunas - 40190</t>
  </si>
  <si>
    <t>BIF TRANSFER KE 9 DEWI RATNASARI MyBCA</t>
  </si>
  <si>
    <t>BIF BIAYA TXN KE 9 DEWI RATNASARI MyBCA</t>
  </si>
  <si>
    <t>2212/FTSCY/WS95031 2654200.00 lunas GATUT SETYO WIBOWO</t>
  </si>
  <si>
    <t>TRSF E-BANKING DB TANGGAL :22/12</t>
  </si>
  <si>
    <t>2212/FTSCY/WS95031 EKO SETIYAWAN</t>
  </si>
  <si>
    <t>TRSF E-BANKING CR TANGGAL :22/12</t>
  </si>
  <si>
    <t>2212/FTSCY/WS95051 SIDO RAYA UTAMA CV</t>
  </si>
  <si>
    <t>2212/FTSCY/WS95271 Sun Dec 20 2026 15:00:00 GMT+0700 (Western Indonesia Time) TABASSAM AZ ZUFAR</t>
  </si>
  <si>
    <t>2212/FTSCY/WS95271 Sun Dec 20 2026 15:00:00 GMT+0700 (Western Indonesia Time) TABASSAM JAYA FARM</t>
  </si>
  <si>
    <t>2212/FTSCY/WS95271 pelunasan TUMBUH OPTIMAL PRI</t>
  </si>
  <si>
    <t>2212/FTSCY/WS95271 Sun Dec 20 2026 15:00:00 GMT+0700 (Western Indonesia Time) ANUGERAH KARTIKA A</t>
  </si>
  <si>
    <t>2212/FTSCY/WS95271 Sun Dec 20 2026 15:00:00 GMT+0700 (Western Indonesia Time) BROILER MAKMUR TAN</t>
  </si>
  <si>
    <t>2212/FTFVA/WS95031 - - 1082318368518</t>
  </si>
  <si>
    <t>2212/FTSCY/WS95031 Sun Dec 20 2026 15:00:00 GMT+0700 (Western Indonesia Time) BROILER MAKMUR TAN</t>
  </si>
  <si>
    <t>2312/FTSCY/WS95031 24277940.00 pelunasan BROILER MAKMUR TAN</t>
  </si>
  <si>
    <t>2312/FTSCY/WS95271 6086910.00 krg 10 jt MUJIANTO</t>
  </si>
  <si>
    <t>2312/FTSCY/WS95271 2803090.00 lunas HERMAWAN</t>
  </si>
  <si>
    <t>2312/FTSCY/WS95271 2000000.00 SUNARTO</t>
  </si>
  <si>
    <t>2312/FTSCY/WS95271 2906900.00 krg 5 jt FAJAR ANDREANZAH</t>
  </si>
  <si>
    <t>2312/FTSCY/WS95051 350495170.00 SIDO RAYA UTAMA CV</t>
  </si>
  <si>
    <t>2312/FTSCY/WS95031 100000000.00 Dari Pak Gatut Set yo Wibowo SEFI HANA KRISNAWA</t>
  </si>
  <si>
    <t>2312/FTSCY/WS95271 18260000.00 pelunasan 21/12 BROILER MAKMUR TAN</t>
  </si>
  <si>
    <t>2312/FTFVA/WS95031 14453/PITIK - - 1082318368518</t>
  </si>
  <si>
    <t>2412/FTFVA/WS95031 13043/TOPUP SAFECA - - 230260</t>
  </si>
  <si>
    <t>24/12  WSID9503102 0507 FIF 803001249921 MUHAMMAD HAIRUL MA</t>
  </si>
  <si>
    <t>24/12 /Z5PN1/00000 EKO SETIYAWAN</t>
  </si>
  <si>
    <t>BIF TRANSFER KE 2 HALIK MyBCA</t>
  </si>
  <si>
    <t>BIF BIAYA TXN KE 2 HALIK MyBCA</t>
  </si>
  <si>
    <t>2412/FTSCY/WS95031 1000000.00 SUNARTO</t>
  </si>
  <si>
    <t>2412/FTSCY/WS95271 58088000.00 Tue Dec 22 2026 15:00:00 GMT+0700 (Western Indonesia Time) BINTANG TAMA SANTO</t>
  </si>
  <si>
    <t>2412/FTFVA/WS95031 55569/PT PRIMA FAJ malang - 40190</t>
  </si>
  <si>
    <t>2412/FTSCY/WS95271 54876600.00 Tue Dec 22 2026 15:00:00 GMT+0700 (Western Indonesia Time) BINTANG TAMA SANTO</t>
  </si>
  <si>
    <t>2412/FTSCY/WS95271 56100000.00 Tue Dec 22 2026 15:00:00 GMT+0700 (Western Indonesia Time) LAJU SATWA WISESA</t>
  </si>
  <si>
    <t>2412/FTSCY/WS95031 2762440.00 tuban AGUS SUSANTO</t>
  </si>
  <si>
    <t>2412/FTSCY/WS95031 1230080.00 HERMAWAN</t>
  </si>
  <si>
    <t>2412/FTSCY/WS95031 3079650.00 IMAM KUSAENI</t>
  </si>
  <si>
    <t>TARIKAN ATM 24/12</t>
  </si>
  <si>
    <t>24/12  WSID9503102 1220 TELKOMSEL 82318368518 MUHAMMAD HAIRUL MA</t>
  </si>
  <si>
    <t>TRSF E-BANKING DB TANGGAL :24/12</t>
  </si>
  <si>
    <t>2412/FTSCY/WS95271 MUHAMMAD SOKHIBUL</t>
  </si>
  <si>
    <t>2412/FTSCY/WS95271 EKO SETIYAWAN</t>
  </si>
  <si>
    <t>2412/FTSCY/WS95271 krg 50 jt ADNAN</t>
  </si>
  <si>
    <t>2412/FTSCY/WS95031 Tue Dec 22 2026 15:00:00 GMT+0700 (Western Indonesia Time) TABASSAM AZ ZUFAR</t>
  </si>
  <si>
    <t>2512/FTSCY/WS95271 48175480.00 Wed Dec 23 2026 15:00:00 GMT+0700 (Western Indonesia Time) TABASSAM JAYA FARM</t>
  </si>
  <si>
    <t>2512/FTSCY/WS95031 35484960.00 SULISWANTO</t>
  </si>
  <si>
    <t>2512/FTSCY/WS95031 100000000.00 Dari Pak Gatut Set yo Wibowo SEFI HANA KRISNAWA</t>
  </si>
  <si>
    <t>2512/FTSCY/WS95271 50000000.00 pelunasan ADNAN</t>
  </si>
  <si>
    <t>2512/FTSCY/WS95271 57213370.00 Tue Dec 22 2026 15:00:00 GMT+0700 (Western Indonesia Time) ANDALAN YASA MITRA</t>
  </si>
  <si>
    <t>2512/FTSCY/WS95271 47557500.00 Tue Dec 22 2026 15:00:00 GMT+0700 (Western Indonesia Time) TABASSAM AL HATTAK</t>
  </si>
  <si>
    <t>2612/FTSCY/WS95051 95906114.00 AYAM HAIRUL TGL 24/12/2023 SUCI RAHARJO PT</t>
  </si>
  <si>
    <t>2612/FTSCY/WS95051 157820900.00 AH BUA 8 DES 23 PHALOSARI UNGGUL J</t>
  </si>
  <si>
    <t>2612/FTSCY/WS95051 141644110.00 AH BUA 13 DES 23 PO 6776 PHALOSARI UNGGUL J</t>
  </si>
  <si>
    <t>2612/FTSCY/WS95051 49751529.00 AH BUA 14 DES 23 PHALOSARI UNGGUL J</t>
  </si>
  <si>
    <t>2612/FTFVA/WS95031 55574/GUNA MITRA S t. galek - 200177</t>
  </si>
  <si>
    <t>2612/FTSCY/WS95051 288303150.00 SIDO RAYA UTAMA CV</t>
  </si>
  <si>
    <t>2612/FTSCY/WS95271 46604250.00 Tue Dec 22 2026 15:00:00 GMT+0700 (Western Indonesia Time) ANUGERAH KARTIKA A</t>
  </si>
  <si>
    <t>2612/FTSCY/WS95011 110437760.00 Thu Oct 22 2026 14:00:00 GMT+0700 (Western Indonesia Time) ANDALAN YASA MITRA</t>
  </si>
  <si>
    <t>2612/FTSCY/WS95011 112954500.00 Wed Dec 23 2026 15:00:00 GMT+0700 (Western Indonesia Time) TABASSAM JAYA FARM</t>
  </si>
  <si>
    <t>2612/FTSCY/WS95011 50000000.00 Pelunasan 22/12 ANDALAN YASA MITRA</t>
  </si>
  <si>
    <t>2612/FTSCY/WS95011 108463460.00 22/12 krg 100 jt TABASSAM JAYA FARM</t>
  </si>
  <si>
    <t>2612/FTFVA/WS95031 14453/PITIK - - 1082318368518</t>
  </si>
  <si>
    <t>2612/FTSCY/WS95031 10152200.00 EKO SETIYAWAN</t>
  </si>
  <si>
    <t>2612/FTSCY/WS95011 32744880.00 Fri Dec 25 2026 15:00:00 GMT+0700 (Western Indonesia Time) ANUGERAH KARTIKA A</t>
  </si>
  <si>
    <t>2612/FTSCY/WS95031 7094150.00 krg 5 jt FAJAR ANDREANZAH</t>
  </si>
  <si>
    <t>2612/FTSCY/WS95031 10257600.00 krg 5 jt MUJIANTO</t>
  </si>
  <si>
    <t>2612/FTSCY/WS95031 1451400.00 SUNARTO</t>
  </si>
  <si>
    <t>TRSF E-BANKING CR TANGGAL :26/12</t>
  </si>
  <si>
    <t>2612/FTSCY/WS95031 titip 65jt GATUT SETYO WIBOWO</t>
  </si>
  <si>
    <t>2712/FTSCY/WS95031 87310310.00 Thu Dec 24 2026 15:00:00 GMT+0700 (Western Indonesia Time) SUPER UNGGAS JAYA</t>
  </si>
  <si>
    <t>LLG-BRI SIDO RAYA UTAMA SRU ke Hairul</t>
  </si>
  <si>
    <t>2712/FTSCY/WS95051 181653389.00 AH BUA 12 DES 23 PHALOSARI UNGGUL J</t>
  </si>
  <si>
    <t>2712/FTSCY/WS95051 90086898.00 AH BUA 19 DES 23 PHALOSARI UNGGUL J</t>
  </si>
  <si>
    <t>2712/FTSCY/WS95051 104446660.00 AH BUA 19 DES 23 PHALOSARI UNGGUL J</t>
  </si>
  <si>
    <t>2712/FTSCY/WS95051 50366219.00 AH BUA 19 DES 23 PHALOSARI UNGGUL J</t>
  </si>
  <si>
    <t>2712/FTSCY/WS95051 100702400.00 AH BUA 20 DES 23 PHALOSARI UNGGUL J</t>
  </si>
  <si>
    <t>2712/FTSCY/WS95051 103068222.00 AH BUA 21 DES 23 PHALOSARI UNGGUL J</t>
  </si>
  <si>
    <t>2712/FTFVA/WS95031 55569/PT PRIMA FAJ Sat Dec 26 2026 15:00:00 GMT+0700 (Western Indonesia Time) - 40190</t>
  </si>
  <si>
    <t>2712/FTSCY/WS95271 95340300.00 Fri Dec 25 2026 15:00:00 GMT+0700 (Western Indonesia Time) ADNAN</t>
  </si>
  <si>
    <t>2712/FTSCY/WS95271 95200000.00 Fri Dec 25 2026 15:00:00 GMT+0700 (Western Indonesia Time) ANDALAN YASA MITRA</t>
  </si>
  <si>
    <t>2712/FTSCY/WS95031 10330380.00 EKO SETIYAWAN</t>
  </si>
  <si>
    <t>2712/FTSCY/WS95031 1920020.00 HERMAWAN</t>
  </si>
  <si>
    <t>2712/FTSCY/WS95031 7817900.00 lunas GATUT SETYO WIBOWO</t>
  </si>
  <si>
    <t>TRSF E-BANKING DB TANGGAL :27/12</t>
  </si>
  <si>
    <t>2712/FTSCY/WS95271 Fri Dec 25 2026 15:00:00 GMT+0700 (Western Indonesia Time) ANUGERAH KARTIKA A</t>
  </si>
  <si>
    <t>2712/FTSCY/WS95011 Fri Dec 25 2026 15:00:00 GMT+0700 (Western Indonesia Time) SUPER UNGGAS JAYA</t>
  </si>
  <si>
    <t>2712/FTSCY/WS95011 Fri Dec 25 2026 15:00:00 GMT+0700 (Western Indonesia Time) ANDALAN YASA MITRA</t>
  </si>
  <si>
    <t>2712/FTSCY/WS95011 Fri Dec 25 2026 15:00:00 GMT+0700 (Western Indonesia Time) ANUGERAH KARTIKA A</t>
  </si>
  <si>
    <t>2712/FTSCY/WS95011 Fri Dec 25 2026 15:00:00 GMT+0700 (Western Indonesia Time) BROILER MAKMUR TAN</t>
  </si>
  <si>
    <t>2712/FTSCY/WS95011 Fri Dec 25 2026 15:00:00 GMT+0700 (Western Indonesia Time) BINTANG TAMA SANTO</t>
  </si>
  <si>
    <t>2712/FTSCY/WS95011 Fri Dec 25 2026 15:00:00 GMT+0700 (Western Indonesia Time) TABASSAM JAYA FARM</t>
  </si>
  <si>
    <t>TRSF E-BANKING CR TANGGAL :27/12</t>
  </si>
  <si>
    <t>2712/FTSCY/WS95051 SIDO RAYA UTAMA CV</t>
  </si>
  <si>
    <t>2812/FTSCY/WS95031 10500000.00 pelunasan TABASSAM JAYA FARM</t>
  </si>
  <si>
    <t>2812/FTSCY/WS95031 40000000.00 titip RUKUN MITRA BERSAM</t>
  </si>
  <si>
    <t>28/12  WSID9503102 1220 TELKOMSEL 82131900513 MUHAMMAD HAIRUL MA</t>
  </si>
  <si>
    <t>2812/FTSCY/WS95051 154135456.00 AH BUA 20 DES 23 PHALOSARI UNGGUL J</t>
  </si>
  <si>
    <t>2812/FTSCY/WS95051 103773117.00 AH BUA 21 DES 23 PHALOSARI UNGGUL J</t>
  </si>
  <si>
    <t>2812/FTSCY/WS95051 159834839.00 AH BUA 22 DES 23 PO 6820 PHALOSARI UNGGUL J</t>
  </si>
  <si>
    <t>2812/FTSCY/WS95051 157932280.00 AH BUA 22 DES 23 PO 6820 PHALOSARI UNGGUL J</t>
  </si>
  <si>
    <t>2812/FTFVA/WS95031 55569/PT PRIMA FAJ blitr - 40190</t>
  </si>
  <si>
    <t>IDM TROJ LANGSEP 6019009510239343</t>
  </si>
  <si>
    <t>2812/FTSCY/WS95031 30501670.00 EKO SETIYAWAN</t>
  </si>
  <si>
    <t>TRSF E-BANKING DB TANGGAL :28/12</t>
  </si>
  <si>
    <t>2812/FTSCY/WS95271 Sun Dec 27 2026 15:00:00 GMT+0700 (Western Indonesia Time) BRANTAS ABADI SENT</t>
  </si>
  <si>
    <t>2812/FTSCY/WS95271 Sun Dec 27 2026 15:00:00 GMT+0700 (Western Indonesia Time) BINTANG TAMA SANTO</t>
  </si>
  <si>
    <t>2812/FTSCY/WS95271 pelunasan RUKUN MITRA BERSAM</t>
  </si>
  <si>
    <t>2812/FTSCY/WS95271 Sun Dec 27 2026 15:00:00 GMT+0700 (Western Indonesia Time) GANESHA SATRIA NUS</t>
  </si>
  <si>
    <t>2812/FTSCY/WS95271 ANDALAN YASA MITRA</t>
  </si>
  <si>
    <t>2812/FTSCY/WS95011 Pelunasan 27/12 ANDALAN YASA MITRA</t>
  </si>
  <si>
    <t>2812/FTSCY/WS95011 Sun Dec 27 2026 15:00:00 GMT+0700 (Western Indonesia Time) TABASSAM AL HATTAK</t>
  </si>
  <si>
    <t>2812/FTSCY/WS95011 Sun Dec 27 2026 15:00:00 GMT+0700 (Western Indonesia Time) SUPER UNGGAS JAYA</t>
  </si>
  <si>
    <t>2812/FTFVA/WS95031 - - 1082318368518</t>
  </si>
  <si>
    <t>2812/FTSCY/WS95011 Pelunasan 27/12 TABASSAM AZ ZUFAR</t>
  </si>
  <si>
    <t>2812/FTSCY/WS95011 Krg 182 jt BROILER MAKMUR TAN</t>
  </si>
  <si>
    <t>2912/FTSCY/WS95051 5000000.00 BERKAH UNGGAS AGUN</t>
  </si>
  <si>
    <t>2912/FTSCY/WS95271 4200000.00 velg advan rgd2 lu nas IJAIFAT</t>
  </si>
  <si>
    <t>2912/FTSCY/WS95051 459294100.00 SIDO RAYA UTAMA CV</t>
  </si>
  <si>
    <t>2912/FTSCY/WS95031 22728720.00 krg 90 jt EKO SETIYAWAN</t>
  </si>
  <si>
    <t>29/12  WSID9503100 0865 PLN PREPAID 32104859957 MUHAMMAD HAIRUL MA</t>
  </si>
  <si>
    <t>TRSF E-BANKING DB TANGGAL :29/12</t>
  </si>
  <si>
    <t>2912/FTSCY/WS95271 Mon Dec 28 2026 15:00:00 GMT+0700 (Western Indonesia Time) GANESHA SATRIA NUS</t>
  </si>
  <si>
    <t>2912/FTSCY/WS95271 Mon Dec 28 2026 15:00:00 GMT+0700 (Western Indonesia Time) ANDALAN YASA MITRA</t>
  </si>
  <si>
    <t>2912/FTSCY/WS95271 Mon Dec 28 2026 15:00:00 GMT+0700 (Western Indonesia Time) SURYA INTI TERNAK</t>
  </si>
  <si>
    <t>2912/FTSCY/WS95031 pelunasan TABASSAM AZ ZUFAR</t>
  </si>
  <si>
    <t>2912/FTSCY/WS95271 pelunasan LAJU SATWA WISESA</t>
  </si>
  <si>
    <t>2912/FTFVA/WS95031 mlg - 40190</t>
  </si>
  <si>
    <t>2912/FTFVA/WS95031 t.agung - 200177</t>
  </si>
  <si>
    <t>3012/FTSCY/WS95031 4462190.00 lunas HERMAWAN</t>
  </si>
  <si>
    <t>3012/FTSCY/WS95031 5150500.00 krg 5 jt MUJIANTO</t>
  </si>
  <si>
    <t>3012/FTSCY/WS95031 1400000.00 SUNARTO</t>
  </si>
  <si>
    <t>ALFAMRT Y237 MNSO 6019009510239343</t>
  </si>
  <si>
    <t>3012/FTSCY/WS95271 50000000.00 SUGENG RIADI</t>
  </si>
  <si>
    <t>3012/FTSCY/WS95051 98637400.00 AH BUA 21 DES 23 PO 29966 PHALOSARI UNGGUL J</t>
  </si>
  <si>
    <t>3012/FTSCY/WS95051 87883080.00 AH BUA 22 DES 23 PO 29972 PHALOSARI UNGGUL J</t>
  </si>
  <si>
    <t>3012/FTSCY/WS95051 192736202.00 AH BUA 21 DES 23 PHALOSARI UNGGUL J</t>
  </si>
  <si>
    <t>3012/FTSCY/WS95051 98663483.00 AH BUA 23 DES 23 PHALOSARI UNGGUL J</t>
  </si>
  <si>
    <t>3012/FTSCY/WS95051 95892189.00 AH BUA 23 DES 23 PHALOSARI UNGGUL J</t>
  </si>
  <si>
    <t>3012/FTSCY/WS95051 183956985.00 AH BUA 26 DES 23 PHALOSARI UNGGUL J</t>
  </si>
  <si>
    <t>3012/FTSCY/WS95271 11221000.00 BERKAH UNGGAS AGUN</t>
  </si>
  <si>
    <t>3012/FTSCY/WS95051 423784570.00 SIDO RAYA UTAMA CV</t>
  </si>
  <si>
    <t>3012/FTSCY/WS95011 47600000.00 Mon Dec 28 2026 15:00:00 GMT+0700 (Western Indonesia Time) ANDALAN YASA MITRA</t>
  </si>
  <si>
    <t>3012/FTSCY/WS95011 97365800.00 Mon Dec 28 2026 15:00:00 GMT+0700 (Western Indonesia Time) ADNAN</t>
  </si>
  <si>
    <t>3012/FTSCY/WS95011 50364400.00 Mon Dec 28 2026 15:00:00 GMT+0700 (Western Indonesia Time) TABASSAM AZ ZUFAR</t>
  </si>
  <si>
    <t>3012/FTSCY/WS95011 49602300.00 Mon Dec 28 2026 15:00:00 GMT+0700 (Western Indonesia Time) TABASSAM AL HATTAK</t>
  </si>
  <si>
    <t>3012/FTSCY/WS95011 49845600.00 28/12 malang SURYA INTI TERNAK</t>
  </si>
  <si>
    <t>3012/FTSCY/WS95011 104208300.00 Mon Dec 28 2026 15:00:00 GMT+0700 (Western Indonesia Time) ANDALAN YASA MITRA</t>
  </si>
  <si>
    <t>3012/FTSCY/WS95011 101013000.00 Mon Dec 28 2026 15:00:00 GMT+0700 (Western Indonesia Time) SUPER UNGGAS JAYA</t>
  </si>
  <si>
    <t>3012/FTFVA/WS95031 14453/PITIK - - 1082318368518</t>
  </si>
  <si>
    <t>3012/FTSCY/WS95271 180000000.00 Mon Dec 28 2026 15:00:00 GMT+0700 (Western Indonesia Time) BROILER MAKMUR TAN</t>
  </si>
  <si>
    <t>31/12 /Z77A1/00000 ZAINAL ARIFIN</t>
  </si>
  <si>
    <t>3112/FTSCY/WS95271 89921400.00 Mon Dec 28 2026 15:00:00 GMT+0700 (Western Indonesia Time) RUKUN MITRA BERSAM</t>
  </si>
  <si>
    <t>3112/FTSCY/WS95271 48545600.00 pelunasan SUGENG RIADI</t>
  </si>
  <si>
    <t>3112/FTSCY/WS95271 117832420.00 pelunasan 28/12 BROILER MAKMUR TAN</t>
  </si>
  <si>
    <t>3112/FTSCY/WS95271 15071540.00 FAJAR ANDREANZAH</t>
  </si>
  <si>
    <t>3112/FTSCY/WS95271 3364780.00 ALI ARIFIN</t>
  </si>
  <si>
    <t>3112/FTSCY/WS95271 2000000.00 SUNARTO</t>
  </si>
  <si>
    <t>3112/FTSCY/WS95031 15774080.00 krg 80 jt EKO SETIYAWAN</t>
  </si>
  <si>
    <t>3112/FTSCY/WS95271 5670860.00 krg 5 jt MUJIANTO</t>
  </si>
  <si>
    <t>3112/FTSCY/WS95271 3673800.00 HERMAWAN</t>
  </si>
  <si>
    <t>3112/FTSCY/WS95011 151317600.00 Pelunasan 28/12 SUPER UNGGAS JAYA</t>
  </si>
  <si>
    <t>3112/FTSCY/WS95011 67353000.00 Krg 100 jt TUMBUH OPTIMAL PRI</t>
  </si>
  <si>
    <t>3112/FTSCY/WS95031 754020.00 ANDE DOSO ANGGORO</t>
  </si>
  <si>
    <t>3112/FTSCY/WS95271 197000.00 byr daging HAMIM TEJA PERMANA</t>
  </si>
  <si>
    <t>BUNGA</t>
  </si>
  <si>
    <t>PAJAK BUNGA</t>
  </si>
  <si>
    <t xml:space="preserve"> SALDO AWAL : MUTASI CR : MUTASI DB : SALDO AKHIR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</si>
</sst>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&quot;/&quot;mm"/>
    <numFmt numFmtId="166" formatCode="d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2" xfId="0" applyAlignment="1" applyFont="1" applyNumberFormat="1">
      <alignment vertical="bottom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2" fontId="1" numFmtId="166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6" max="6" width="12.63"/>
  </cols>
  <sheetData>
    <row r="1">
      <c r="A1" s="1"/>
      <c r="B1" s="3"/>
      <c r="D1" s="4"/>
      <c r="E1" s="4"/>
      <c r="F1" s="4"/>
      <c r="G1" s="5"/>
      <c r="H1" s="5"/>
      <c r="I1" s="6"/>
    </row>
    <row r="2">
      <c r="A2" s="1">
        <v>46357.0</v>
      </c>
      <c r="B2" s="3" t="s">
        <v>0</v>
      </c>
      <c r="C2" s="3" t="s">
        <v>0</v>
      </c>
      <c r="D2" s="4"/>
      <c r="E2" s="4">
        <f>SUM(E3:E590) </f>
        <v>18453024379</v>
      </c>
      <c r="F2" s="4"/>
      <c r="G2" s="5">
        <v>2.3923196095E8</v>
      </c>
      <c r="H2" s="5">
        <v>2.3923196095E8</v>
      </c>
      <c r="I2" s="6"/>
    </row>
    <row r="3">
      <c r="A3" s="1">
        <v>46357.0</v>
      </c>
      <c r="B3" s="3" t="s">
        <v>1</v>
      </c>
      <c r="C3" s="3" t="s">
        <v>2</v>
      </c>
      <c r="D3" s="5">
        <v>5.0E7</v>
      </c>
      <c r="E3" s="4"/>
      <c r="F3" s="5" t="s">
        <v>3</v>
      </c>
      <c r="G3" s="4">
        <f>G2-D3+E3</f>
        <v>189231961</v>
      </c>
      <c r="H3" s="5">
        <v>1.8923196095E8</v>
      </c>
      <c r="I3" s="6"/>
    </row>
    <row r="4">
      <c r="A4" s="1">
        <v>46357.0</v>
      </c>
      <c r="B4" s="3" t="s">
        <v>1</v>
      </c>
      <c r="C4" s="3" t="s">
        <v>4</v>
      </c>
      <c r="D4" s="5">
        <v>1.4477595E8</v>
      </c>
      <c r="E4" s="4"/>
      <c r="F4" s="5" t="s">
        <v>3</v>
      </c>
      <c r="G4" s="4">
        <f t="array" ref="G4:G590">SCAN(G3, MAP(D4:D590, E4:E590, LAMBDA(d, c, IF(AND(d="", c=""), "", N(c) - N(d)))), LAMBDA(saldo, mutasi, IF(mutasi="", "", saldo + mutasi)))</f>
        <v>44456010.95</v>
      </c>
      <c r="H4" s="4"/>
      <c r="I4" s="6"/>
    </row>
    <row r="5">
      <c r="A5" s="1">
        <v>46357.0</v>
      </c>
      <c r="B5" s="3" t="s">
        <v>1</v>
      </c>
      <c r="C5" s="3" t="s">
        <v>5</v>
      </c>
      <c r="D5" s="5">
        <v>1.03198E7</v>
      </c>
      <c r="E5" s="4"/>
      <c r="F5" s="5" t="s">
        <v>3</v>
      </c>
      <c r="G5" s="4">
        <v>3.413621094999999E7</v>
      </c>
      <c r="H5" s="4"/>
      <c r="I5" s="6"/>
    </row>
    <row r="6">
      <c r="A6" s="1">
        <v>46357.0</v>
      </c>
      <c r="B6" s="3" t="s">
        <v>1</v>
      </c>
      <c r="C6" s="3" t="s">
        <v>6</v>
      </c>
      <c r="D6" s="5">
        <v>1400000.0</v>
      </c>
      <c r="E6" s="4"/>
      <c r="F6" s="5" t="s">
        <v>3</v>
      </c>
      <c r="G6" s="4">
        <v>3.2736210949999988E7</v>
      </c>
      <c r="H6" s="4"/>
      <c r="I6" s="6"/>
    </row>
    <row r="7">
      <c r="A7" s="1">
        <v>46357.0</v>
      </c>
      <c r="B7" s="3" t="s">
        <v>1</v>
      </c>
      <c r="C7" s="3" t="s">
        <v>7</v>
      </c>
      <c r="D7" s="5">
        <v>1350000.0</v>
      </c>
      <c r="E7" s="4"/>
      <c r="F7" s="5" t="s">
        <v>3</v>
      </c>
      <c r="G7" s="4">
        <v>3.1386210949999988E7</v>
      </c>
      <c r="H7" s="4"/>
      <c r="I7" s="6" t="s">
        <v>8</v>
      </c>
    </row>
    <row r="8">
      <c r="A8" s="1">
        <v>46357.0</v>
      </c>
      <c r="B8" s="3" t="s">
        <v>1</v>
      </c>
      <c r="C8" s="3" t="s">
        <v>9</v>
      </c>
      <c r="D8" s="5">
        <v>3884560.0</v>
      </c>
      <c r="E8" s="4"/>
      <c r="F8" s="5" t="s">
        <v>3</v>
      </c>
      <c r="G8" s="4">
        <v>2.7501650949999988E7</v>
      </c>
      <c r="H8" s="4"/>
      <c r="I8" s="6" t="s">
        <v>8</v>
      </c>
    </row>
    <row r="9">
      <c r="A9" s="1">
        <v>46357.0</v>
      </c>
      <c r="B9" s="3" t="s">
        <v>10</v>
      </c>
      <c r="C9" s="3" t="s">
        <v>11</v>
      </c>
      <c r="D9" s="5"/>
      <c r="E9" s="5">
        <v>1.701304E8</v>
      </c>
      <c r="F9" s="5" t="s">
        <v>12</v>
      </c>
      <c r="G9" s="4">
        <v>1.9763205095E8</v>
      </c>
      <c r="H9" s="4"/>
      <c r="I9" s="6" t="s">
        <v>13</v>
      </c>
    </row>
    <row r="10">
      <c r="A10" s="1">
        <v>46357.0</v>
      </c>
      <c r="B10" s="3" t="s">
        <v>14</v>
      </c>
      <c r="C10" s="3" t="s">
        <v>15</v>
      </c>
      <c r="D10" s="5">
        <v>100000.0</v>
      </c>
      <c r="E10" s="4"/>
      <c r="F10" s="5" t="s">
        <v>3</v>
      </c>
      <c r="G10" s="4">
        <v>1.9753205095E8</v>
      </c>
      <c r="H10" s="4"/>
      <c r="I10" s="6" t="s">
        <v>8</v>
      </c>
    </row>
    <row r="11">
      <c r="A11" s="1">
        <v>46357.0</v>
      </c>
      <c r="B11" s="3" t="s">
        <v>14</v>
      </c>
      <c r="C11" s="3" t="s">
        <v>16</v>
      </c>
      <c r="D11" s="5">
        <v>2500.0</v>
      </c>
      <c r="E11" s="4"/>
      <c r="F11" s="5" t="s">
        <v>3</v>
      </c>
      <c r="G11" s="4">
        <v>1.9752955095E8</v>
      </c>
      <c r="H11" s="4"/>
      <c r="I11" s="6" t="s">
        <v>8</v>
      </c>
    </row>
    <row r="12">
      <c r="A12" s="1">
        <v>46357.0</v>
      </c>
      <c r="B12" s="3" t="s">
        <v>1</v>
      </c>
      <c r="C12" s="3" t="s">
        <v>17</v>
      </c>
      <c r="D12" s="5">
        <v>1.338E7</v>
      </c>
      <c r="E12" s="4"/>
      <c r="F12" s="5" t="s">
        <v>3</v>
      </c>
      <c r="G12" s="4">
        <v>1.8414955095E8</v>
      </c>
      <c r="H12" s="4"/>
      <c r="I12" s="6" t="s">
        <v>8</v>
      </c>
    </row>
    <row r="13">
      <c r="A13" s="1">
        <v>46357.0</v>
      </c>
      <c r="B13" s="3" t="s">
        <v>10</v>
      </c>
      <c r="C13" s="3" t="s">
        <v>18</v>
      </c>
      <c r="D13" s="5"/>
      <c r="E13" s="5">
        <v>5.7143034E7</v>
      </c>
      <c r="F13" s="5" t="s">
        <v>12</v>
      </c>
      <c r="G13" s="4">
        <v>2.4129258495E8</v>
      </c>
      <c r="H13" s="4"/>
      <c r="I13" s="6" t="s">
        <v>8</v>
      </c>
    </row>
    <row r="14">
      <c r="A14" s="1">
        <v>46357.0</v>
      </c>
      <c r="B14" s="3" t="s">
        <v>10</v>
      </c>
      <c r="C14" s="3" t="s">
        <v>19</v>
      </c>
      <c r="D14" s="5"/>
      <c r="E14" s="5">
        <v>2.1429845E8</v>
      </c>
      <c r="F14" s="5" t="s">
        <v>12</v>
      </c>
      <c r="G14" s="4">
        <v>4.5559103495E8</v>
      </c>
      <c r="H14" s="4"/>
      <c r="I14" s="6" t="s">
        <v>8</v>
      </c>
    </row>
    <row r="15">
      <c r="A15" s="1">
        <v>46357.0</v>
      </c>
      <c r="B15" s="3" t="s">
        <v>1</v>
      </c>
      <c r="C15" s="3" t="s">
        <v>20</v>
      </c>
      <c r="D15" s="5">
        <v>9.80088E7</v>
      </c>
      <c r="E15" s="4"/>
      <c r="F15" s="5" t="s">
        <v>3</v>
      </c>
      <c r="G15" s="4">
        <v>3.5758223495E8</v>
      </c>
      <c r="H15" s="5">
        <v>3.5758223495E8</v>
      </c>
      <c r="I15" s="6" t="s">
        <v>8</v>
      </c>
    </row>
    <row r="16">
      <c r="A16" s="1">
        <v>46357.0</v>
      </c>
      <c r="B16" s="3" t="s">
        <v>1</v>
      </c>
      <c r="C16" s="3" t="s">
        <v>21</v>
      </c>
      <c r="D16" s="5">
        <v>9.873544E7</v>
      </c>
      <c r="E16" s="4"/>
      <c r="F16" s="5" t="s">
        <v>3</v>
      </c>
      <c r="G16" s="4">
        <v>2.5884679495E8</v>
      </c>
      <c r="H16" s="5">
        <v>2.5884679495E8</v>
      </c>
      <c r="I16" s="6" t="s">
        <v>8</v>
      </c>
    </row>
    <row r="17">
      <c r="A17" s="1">
        <v>46357.0</v>
      </c>
      <c r="B17" s="3" t="s">
        <v>1</v>
      </c>
      <c r="C17" s="3" t="s">
        <v>22</v>
      </c>
      <c r="D17" s="5">
        <v>5.876068E7</v>
      </c>
      <c r="E17" s="4"/>
      <c r="F17" s="5" t="s">
        <v>3</v>
      </c>
      <c r="G17" s="4">
        <v>2.0008611495E8</v>
      </c>
      <c r="H17" s="4"/>
      <c r="I17" s="6" t="s">
        <v>8</v>
      </c>
    </row>
    <row r="18">
      <c r="A18" s="1">
        <v>46357.0</v>
      </c>
      <c r="B18" s="3" t="s">
        <v>1</v>
      </c>
      <c r="C18" s="3" t="s">
        <v>23</v>
      </c>
      <c r="D18" s="5">
        <v>4.95E7</v>
      </c>
      <c r="E18" s="4"/>
      <c r="F18" s="5" t="s">
        <v>3</v>
      </c>
      <c r="G18" s="4">
        <v>1.5058611495E8</v>
      </c>
      <c r="H18" s="4"/>
      <c r="I18" s="6" t="s">
        <v>8</v>
      </c>
    </row>
    <row r="19">
      <c r="A19" s="1">
        <v>46357.0</v>
      </c>
      <c r="B19" s="3" t="s">
        <v>1</v>
      </c>
      <c r="C19" s="3" t="s">
        <v>24</v>
      </c>
      <c r="D19" s="5">
        <v>4.95E7</v>
      </c>
      <c r="E19" s="4"/>
      <c r="F19" s="5" t="s">
        <v>3</v>
      </c>
      <c r="G19" s="4">
        <v>1.0108611494999999E8</v>
      </c>
      <c r="H19" s="4"/>
      <c r="I19" s="6" t="s">
        <v>8</v>
      </c>
    </row>
    <row r="20">
      <c r="A20" s="1">
        <v>46357.0</v>
      </c>
      <c r="B20" s="3" t="s">
        <v>1</v>
      </c>
      <c r="C20" s="3" t="s">
        <v>25</v>
      </c>
      <c r="D20" s="5">
        <v>5.001315E7</v>
      </c>
      <c r="E20" s="4"/>
      <c r="F20" s="5" t="s">
        <v>3</v>
      </c>
      <c r="G20" s="4">
        <v>5.107296494999999E7</v>
      </c>
      <c r="H20" s="4"/>
      <c r="I20" s="6" t="s">
        <v>8</v>
      </c>
    </row>
    <row r="21">
      <c r="A21" s="1">
        <v>46357.0</v>
      </c>
      <c r="B21" s="3" t="s">
        <v>1</v>
      </c>
      <c r="C21" s="3" t="s">
        <v>26</v>
      </c>
      <c r="D21" s="5">
        <v>4.98712E7</v>
      </c>
      <c r="E21" s="4"/>
      <c r="F21" s="5" t="s">
        <v>3</v>
      </c>
      <c r="G21" s="4">
        <v>1201764.949999988</v>
      </c>
      <c r="H21" s="4"/>
      <c r="I21" s="6" t="s">
        <v>8</v>
      </c>
    </row>
    <row r="22">
      <c r="A22" s="1">
        <v>46357.0</v>
      </c>
      <c r="B22" s="3" t="s">
        <v>1</v>
      </c>
      <c r="C22" s="3" t="s">
        <v>27</v>
      </c>
      <c r="D22" s="5">
        <v>1150000.0</v>
      </c>
      <c r="E22" s="4"/>
      <c r="F22" s="5" t="s">
        <v>3</v>
      </c>
      <c r="G22" s="4">
        <v>51764.94999998808</v>
      </c>
      <c r="H22" s="4"/>
      <c r="I22" s="6" t="s">
        <v>8</v>
      </c>
    </row>
    <row r="23">
      <c r="A23" s="1">
        <v>46357.0</v>
      </c>
      <c r="B23" s="3" t="s">
        <v>10</v>
      </c>
      <c r="C23" s="3" t="s">
        <v>28</v>
      </c>
      <c r="D23" s="5"/>
      <c r="E23" s="5">
        <v>5.5E7</v>
      </c>
      <c r="F23" s="5" t="s">
        <v>12</v>
      </c>
      <c r="G23" s="4">
        <v>5.505176494999999E7</v>
      </c>
      <c r="H23" s="5">
        <v>5.505176495E7</v>
      </c>
      <c r="I23" s="6"/>
    </row>
    <row r="24">
      <c r="A24" s="1">
        <v>46358.0</v>
      </c>
      <c r="B24" s="3" t="s">
        <v>10</v>
      </c>
      <c r="C24" s="3" t="s">
        <v>29</v>
      </c>
      <c r="D24" s="5"/>
      <c r="E24" s="5">
        <v>1.833146E7</v>
      </c>
      <c r="F24" s="5" t="s">
        <v>12</v>
      </c>
      <c r="G24" s="4">
        <v>7.338322494999999E7</v>
      </c>
      <c r="H24" s="4"/>
      <c r="I24" s="6"/>
    </row>
    <row r="25">
      <c r="A25" s="1">
        <v>46358.0</v>
      </c>
      <c r="B25" s="3" t="s">
        <v>1</v>
      </c>
      <c r="C25" s="3" t="s">
        <v>30</v>
      </c>
      <c r="D25" s="5">
        <v>7.290684E7</v>
      </c>
      <c r="E25" s="4"/>
      <c r="F25" s="5" t="s">
        <v>3</v>
      </c>
      <c r="G25" s="4">
        <v>476384.9499999881</v>
      </c>
      <c r="H25" s="4"/>
      <c r="I25" s="6" t="s">
        <v>8</v>
      </c>
    </row>
    <row r="26">
      <c r="A26" s="1">
        <v>46358.0</v>
      </c>
      <c r="B26" s="3" t="s">
        <v>1</v>
      </c>
      <c r="C26" s="3" t="s">
        <v>31</v>
      </c>
      <c r="D26" s="5">
        <v>400000.0</v>
      </c>
      <c r="E26" s="4"/>
      <c r="F26" s="5" t="s">
        <v>3</v>
      </c>
      <c r="G26" s="4">
        <v>76384.94999998808</v>
      </c>
      <c r="H26" s="4"/>
      <c r="I26" s="6"/>
    </row>
    <row r="27">
      <c r="A27" s="1">
        <v>46358.0</v>
      </c>
      <c r="B27" s="3" t="s">
        <v>10</v>
      </c>
      <c r="C27" s="3" t="s">
        <v>32</v>
      </c>
      <c r="D27" s="5"/>
      <c r="E27" s="5">
        <v>1.66457613E8</v>
      </c>
      <c r="F27" s="5" t="s">
        <v>12</v>
      </c>
      <c r="G27" s="4">
        <v>1.6653399795E8</v>
      </c>
      <c r="H27" s="4"/>
      <c r="I27" s="6"/>
    </row>
    <row r="28">
      <c r="A28" s="1">
        <v>46358.0</v>
      </c>
      <c r="B28" s="3" t="s">
        <v>10</v>
      </c>
      <c r="C28" s="3" t="s">
        <v>33</v>
      </c>
      <c r="D28" s="5"/>
      <c r="E28" s="5">
        <v>1.09470947E8</v>
      </c>
      <c r="F28" s="5" t="s">
        <v>12</v>
      </c>
      <c r="G28" s="4">
        <v>2.7600494495E8</v>
      </c>
      <c r="H28" s="5">
        <v>2.7600494495E8</v>
      </c>
      <c r="I28" s="6" t="s">
        <v>8</v>
      </c>
    </row>
    <row r="29">
      <c r="A29" s="1">
        <v>46358.0</v>
      </c>
      <c r="B29" s="3" t="s">
        <v>10</v>
      </c>
      <c r="C29" s="3" t="s">
        <v>34</v>
      </c>
      <c r="D29" s="5"/>
      <c r="E29" s="5">
        <v>9.7470755E7</v>
      </c>
      <c r="F29" s="5" t="s">
        <v>12</v>
      </c>
      <c r="G29" s="4">
        <v>3.7347569995E8</v>
      </c>
      <c r="H29" s="5">
        <v>3.7347569995E8</v>
      </c>
      <c r="I29" s="6" t="s">
        <v>8</v>
      </c>
    </row>
    <row r="30">
      <c r="A30" s="1">
        <v>46358.0</v>
      </c>
      <c r="B30" s="3" t="s">
        <v>10</v>
      </c>
      <c r="C30" s="3" t="s">
        <v>35</v>
      </c>
      <c r="D30" s="5"/>
      <c r="E30" s="5">
        <v>4.14153E7</v>
      </c>
      <c r="F30" s="5" t="s">
        <v>12</v>
      </c>
      <c r="G30" s="4">
        <v>4.1489099995E8</v>
      </c>
      <c r="H30" s="4"/>
      <c r="I30" s="6"/>
    </row>
    <row r="31">
      <c r="A31" s="1">
        <v>46358.0</v>
      </c>
      <c r="B31" s="3" t="s">
        <v>10</v>
      </c>
      <c r="C31" s="3" t="s">
        <v>36</v>
      </c>
      <c r="D31" s="5"/>
      <c r="E31" s="5">
        <v>4.8297514E7</v>
      </c>
      <c r="F31" s="5" t="s">
        <v>12</v>
      </c>
      <c r="G31" s="4">
        <v>4.6318851395E8</v>
      </c>
      <c r="H31" s="4"/>
      <c r="I31" s="6" t="s">
        <v>8</v>
      </c>
    </row>
    <row r="32">
      <c r="A32" s="1">
        <v>46358.0</v>
      </c>
      <c r="B32" s="3" t="s">
        <v>14</v>
      </c>
      <c r="C32" s="3" t="s">
        <v>37</v>
      </c>
      <c r="D32" s="5">
        <v>4.5E7</v>
      </c>
      <c r="E32" s="4"/>
      <c r="F32" s="5" t="s">
        <v>3</v>
      </c>
      <c r="G32" s="4">
        <v>4.1818851395E8</v>
      </c>
      <c r="H32" s="4"/>
      <c r="I32" s="6" t="s">
        <v>8</v>
      </c>
    </row>
    <row r="33">
      <c r="A33" s="1">
        <v>46358.0</v>
      </c>
      <c r="B33" s="3" t="s">
        <v>14</v>
      </c>
      <c r="C33" s="3" t="s">
        <v>38</v>
      </c>
      <c r="D33" s="5">
        <v>2500.0</v>
      </c>
      <c r="E33" s="4"/>
      <c r="F33" s="5" t="s">
        <v>3</v>
      </c>
      <c r="G33" s="4">
        <v>4.1818601395E8</v>
      </c>
      <c r="H33" s="4"/>
      <c r="I33" s="6"/>
    </row>
    <row r="34">
      <c r="A34" s="1">
        <v>46358.0</v>
      </c>
      <c r="B34" s="3" t="s">
        <v>14</v>
      </c>
      <c r="C34" s="3" t="s">
        <v>37</v>
      </c>
      <c r="D34" s="5">
        <v>4.5E7</v>
      </c>
      <c r="E34" s="4"/>
      <c r="F34" s="5" t="s">
        <v>3</v>
      </c>
      <c r="G34" s="4">
        <v>3.7318601395E8</v>
      </c>
      <c r="H34" s="4"/>
      <c r="I34" s="6"/>
    </row>
    <row r="35">
      <c r="A35" s="1">
        <v>46358.0</v>
      </c>
      <c r="B35" s="3" t="s">
        <v>14</v>
      </c>
      <c r="C35" s="3" t="s">
        <v>38</v>
      </c>
      <c r="D35" s="5">
        <v>2500.0</v>
      </c>
      <c r="E35" s="4"/>
      <c r="F35" s="5" t="s">
        <v>3</v>
      </c>
      <c r="G35" s="4">
        <v>3.7318351395E8</v>
      </c>
      <c r="H35" s="4"/>
      <c r="I35" s="6" t="s">
        <v>39</v>
      </c>
    </row>
    <row r="36">
      <c r="A36" s="1">
        <v>46358.0</v>
      </c>
      <c r="B36" s="3" t="s">
        <v>1</v>
      </c>
      <c r="C36" s="3" t="s">
        <v>40</v>
      </c>
      <c r="D36" s="5">
        <v>4.59855E7</v>
      </c>
      <c r="E36" s="4"/>
      <c r="F36" s="5" t="s">
        <v>3</v>
      </c>
      <c r="G36" s="4">
        <v>3.2719801395E8</v>
      </c>
      <c r="H36" s="4"/>
      <c r="I36" s="6" t="s">
        <v>39</v>
      </c>
    </row>
    <row r="37">
      <c r="A37" s="1">
        <v>46358.0</v>
      </c>
      <c r="B37" s="3" t="s">
        <v>41</v>
      </c>
      <c r="C37" s="3" t="s">
        <v>42</v>
      </c>
      <c r="D37" s="5">
        <v>346000.0</v>
      </c>
      <c r="E37" s="4"/>
      <c r="F37" s="4"/>
      <c r="G37" s="4">
        <v>3.2685201395E8</v>
      </c>
      <c r="H37" s="4"/>
      <c r="I37" s="6" t="s">
        <v>8</v>
      </c>
    </row>
    <row r="38">
      <c r="A38" s="1">
        <v>46358.0</v>
      </c>
      <c r="B38" s="3" t="s">
        <v>41</v>
      </c>
      <c r="C38" s="3" t="s">
        <v>42</v>
      </c>
      <c r="D38" s="5">
        <v>208000.0</v>
      </c>
      <c r="E38" s="4"/>
      <c r="F38" s="4"/>
      <c r="G38" s="4">
        <v>3.2664401395E8</v>
      </c>
      <c r="H38" s="4"/>
      <c r="I38" s="6" t="s">
        <v>8</v>
      </c>
    </row>
    <row r="39">
      <c r="A39" s="1">
        <v>46358.0</v>
      </c>
      <c r="B39" s="3" t="s">
        <v>1</v>
      </c>
      <c r="C39" s="3" t="s">
        <v>43</v>
      </c>
      <c r="D39" s="5">
        <v>4039750.0</v>
      </c>
      <c r="E39" s="4"/>
      <c r="F39" s="5" t="s">
        <v>3</v>
      </c>
      <c r="G39" s="4">
        <v>3.2260426395E8</v>
      </c>
      <c r="H39" s="4"/>
      <c r="I39" s="6" t="s">
        <v>39</v>
      </c>
    </row>
    <row r="40">
      <c r="A40" s="1">
        <v>46358.0</v>
      </c>
      <c r="B40" s="3" t="s">
        <v>1</v>
      </c>
      <c r="C40" s="3" t="s">
        <v>44</v>
      </c>
      <c r="D40" s="5">
        <v>1.023033E8</v>
      </c>
      <c r="E40" s="4"/>
      <c r="F40" s="5" t="s">
        <v>3</v>
      </c>
      <c r="G40" s="4">
        <v>2.2030096395E8</v>
      </c>
      <c r="H40" s="4"/>
      <c r="I40" s="6" t="s">
        <v>8</v>
      </c>
    </row>
    <row r="41">
      <c r="A41" s="1">
        <v>46358.0</v>
      </c>
      <c r="B41" s="3" t="s">
        <v>1</v>
      </c>
      <c r="C41" s="3" t="s">
        <v>45</v>
      </c>
      <c r="D41" s="5">
        <v>5.54001E7</v>
      </c>
      <c r="E41" s="4"/>
      <c r="F41" s="5" t="s">
        <v>3</v>
      </c>
      <c r="G41" s="4">
        <v>1.6490086395E8</v>
      </c>
      <c r="H41" s="5">
        <v>1.6490086395E8</v>
      </c>
      <c r="I41" s="6"/>
    </row>
    <row r="42">
      <c r="A42" s="1">
        <v>46358.0</v>
      </c>
      <c r="B42" s="3" t="s">
        <v>1</v>
      </c>
      <c r="C42" s="3" t="s">
        <v>46</v>
      </c>
      <c r="D42" s="5">
        <v>1.533791E8</v>
      </c>
      <c r="E42" s="4"/>
      <c r="F42" s="5" t="s">
        <v>3</v>
      </c>
      <c r="G42" s="4">
        <v>1.1521763949999988E7</v>
      </c>
      <c r="H42" s="5">
        <v>1.152176395E7</v>
      </c>
      <c r="I42" s="6"/>
    </row>
    <row r="43">
      <c r="A43" s="1">
        <v>46358.0</v>
      </c>
      <c r="B43" s="3" t="s">
        <v>1</v>
      </c>
      <c r="C43" s="3" t="s">
        <v>47</v>
      </c>
      <c r="D43" s="5">
        <v>1.1471E7</v>
      </c>
      <c r="E43" s="4"/>
      <c r="F43" s="5" t="s">
        <v>3</v>
      </c>
      <c r="G43" s="4">
        <v>50763.94999998808</v>
      </c>
      <c r="H43" s="5">
        <v>50763.95</v>
      </c>
      <c r="I43" s="6" t="s">
        <v>8</v>
      </c>
    </row>
    <row r="44">
      <c r="A44" s="1">
        <v>46359.0</v>
      </c>
      <c r="B44" s="3" t="s">
        <v>48</v>
      </c>
      <c r="C44" s="3" t="s">
        <v>49</v>
      </c>
      <c r="D44" s="5"/>
      <c r="E44" s="5">
        <v>6.2979388E8</v>
      </c>
      <c r="F44" s="5" t="s">
        <v>12</v>
      </c>
      <c r="G44" s="4">
        <v>6.2984464395E8</v>
      </c>
      <c r="H44" s="4"/>
      <c r="I44" s="6" t="s">
        <v>8</v>
      </c>
    </row>
    <row r="45">
      <c r="A45" s="1">
        <v>46359.0</v>
      </c>
      <c r="B45" s="3" t="s">
        <v>50</v>
      </c>
      <c r="C45" s="3" t="s">
        <v>51</v>
      </c>
      <c r="D45" s="5">
        <v>92500.0</v>
      </c>
      <c r="E45" s="4"/>
      <c r="F45" s="4"/>
      <c r="G45" s="4">
        <v>6.2975214395E8</v>
      </c>
      <c r="H45" s="5">
        <v>6.2975214395E8</v>
      </c>
      <c r="I45" s="6"/>
    </row>
    <row r="46">
      <c r="A46" s="1">
        <v>46360.0</v>
      </c>
      <c r="B46" s="3" t="s">
        <v>52</v>
      </c>
      <c r="C46" s="3" t="s">
        <v>53</v>
      </c>
      <c r="D46" s="5"/>
      <c r="E46" s="5">
        <v>4.0E7</v>
      </c>
      <c r="F46" s="5" t="s">
        <v>12</v>
      </c>
      <c r="G46" s="4">
        <v>6.6975214395E8</v>
      </c>
      <c r="H46" s="4"/>
      <c r="I46" s="6" t="s">
        <v>8</v>
      </c>
    </row>
    <row r="47">
      <c r="A47" s="1">
        <v>46360.0</v>
      </c>
      <c r="B47" s="3" t="s">
        <v>54</v>
      </c>
      <c r="C47" s="3" t="s">
        <v>55</v>
      </c>
      <c r="D47" s="5">
        <v>1.455E8</v>
      </c>
      <c r="E47" s="4"/>
      <c r="F47" s="5" t="s">
        <v>3</v>
      </c>
      <c r="G47" s="4">
        <v>5.2425214395000005E8</v>
      </c>
      <c r="H47" s="4"/>
      <c r="I47" s="6" t="s">
        <v>8</v>
      </c>
    </row>
    <row r="48">
      <c r="A48" s="1">
        <v>46360.0</v>
      </c>
      <c r="B48" s="3" t="s">
        <v>54</v>
      </c>
      <c r="C48" s="3" t="s">
        <v>56</v>
      </c>
      <c r="D48" s="5">
        <v>1.55278E8</v>
      </c>
      <c r="E48" s="4"/>
      <c r="F48" s="5" t="s">
        <v>3</v>
      </c>
      <c r="G48" s="4">
        <v>3.6897414395000005E8</v>
      </c>
      <c r="H48" s="4"/>
      <c r="I48" s="6" t="s">
        <v>8</v>
      </c>
    </row>
    <row r="49">
      <c r="A49" s="1">
        <v>46360.0</v>
      </c>
      <c r="B49" s="3" t="s">
        <v>54</v>
      </c>
      <c r="C49" s="3" t="s">
        <v>57</v>
      </c>
      <c r="D49" s="5">
        <v>6.34848E7</v>
      </c>
      <c r="E49" s="4"/>
      <c r="F49" s="5" t="s">
        <v>3</v>
      </c>
      <c r="G49" s="4">
        <v>3.0548934395000005E8</v>
      </c>
      <c r="H49" s="4"/>
      <c r="I49" s="6" t="s">
        <v>8</v>
      </c>
    </row>
    <row r="50">
      <c r="A50" s="1">
        <v>46360.0</v>
      </c>
      <c r="B50" s="3" t="s">
        <v>54</v>
      </c>
      <c r="C50" s="3" t="s">
        <v>58</v>
      </c>
      <c r="D50" s="5">
        <v>5.847338E7</v>
      </c>
      <c r="E50" s="4"/>
      <c r="F50" s="5" t="s">
        <v>3</v>
      </c>
      <c r="G50" s="4">
        <v>2.4701596395000005E8</v>
      </c>
      <c r="H50" s="4"/>
      <c r="I50" s="6" t="s">
        <v>8</v>
      </c>
    </row>
    <row r="51">
      <c r="A51" s="1">
        <v>46360.0</v>
      </c>
      <c r="B51" s="3" t="s">
        <v>54</v>
      </c>
      <c r="C51" s="3" t="s">
        <v>59</v>
      </c>
      <c r="D51" s="5">
        <v>5.706788E7</v>
      </c>
      <c r="E51" s="4"/>
      <c r="F51" s="5" t="s">
        <v>3</v>
      </c>
      <c r="G51" s="4">
        <v>1.8994808395000005E8</v>
      </c>
      <c r="H51" s="4"/>
      <c r="I51" s="6"/>
    </row>
    <row r="52">
      <c r="A52" s="1">
        <v>46360.0</v>
      </c>
      <c r="B52" s="3" t="s">
        <v>54</v>
      </c>
      <c r="C52" s="3" t="s">
        <v>60</v>
      </c>
      <c r="D52" s="5">
        <v>6.38945E7</v>
      </c>
      <c r="E52" s="4"/>
      <c r="F52" s="5" t="s">
        <v>3</v>
      </c>
      <c r="G52" s="4">
        <v>1.2605358395000005E8</v>
      </c>
      <c r="H52" s="4"/>
      <c r="I52" s="6" t="s">
        <v>8</v>
      </c>
    </row>
    <row r="53">
      <c r="A53" s="1">
        <v>46360.0</v>
      </c>
      <c r="B53" s="3" t="s">
        <v>54</v>
      </c>
      <c r="C53" s="3" t="s">
        <v>61</v>
      </c>
      <c r="D53" s="5">
        <v>6.5E7</v>
      </c>
      <c r="E53" s="4"/>
      <c r="F53" s="5" t="s">
        <v>3</v>
      </c>
      <c r="G53" s="4">
        <v>6.105358395000005E7</v>
      </c>
      <c r="H53" s="4"/>
      <c r="I53" s="6"/>
    </row>
    <row r="54">
      <c r="A54" s="1">
        <v>46360.0</v>
      </c>
      <c r="B54" s="3" t="s">
        <v>54</v>
      </c>
      <c r="C54" s="3" t="s">
        <v>62</v>
      </c>
      <c r="D54" s="5">
        <v>5.96819E7</v>
      </c>
      <c r="E54" s="4"/>
      <c r="F54" s="5" t="s">
        <v>3</v>
      </c>
      <c r="G54" s="4">
        <v>1371683.9500000477</v>
      </c>
      <c r="H54" s="5">
        <v>1371683.95</v>
      </c>
      <c r="I54" s="6" t="s">
        <v>8</v>
      </c>
    </row>
    <row r="55">
      <c r="A55" s="1">
        <v>46360.0</v>
      </c>
      <c r="B55" s="3" t="s">
        <v>41</v>
      </c>
      <c r="C55" s="3" t="s">
        <v>63</v>
      </c>
      <c r="D55" s="5">
        <v>225700.0</v>
      </c>
      <c r="E55" s="4"/>
      <c r="F55" s="4"/>
      <c r="G55" s="4">
        <v>1145983.9500000477</v>
      </c>
      <c r="H55" s="5">
        <v>1145983.95</v>
      </c>
      <c r="I55" s="6" t="s">
        <v>8</v>
      </c>
    </row>
    <row r="56">
      <c r="A56" s="1">
        <v>46360.0</v>
      </c>
      <c r="B56" s="3" t="s">
        <v>1</v>
      </c>
      <c r="C56" s="3" t="s">
        <v>64</v>
      </c>
      <c r="D56" s="5">
        <v>100000.0</v>
      </c>
      <c r="E56" s="4"/>
      <c r="F56" s="5" t="s">
        <v>3</v>
      </c>
      <c r="G56" s="4">
        <v>1045983.9500000477</v>
      </c>
      <c r="H56" s="4"/>
      <c r="I56" s="6" t="s">
        <v>8</v>
      </c>
    </row>
    <row r="57">
      <c r="A57" s="1">
        <v>46360.0</v>
      </c>
      <c r="B57" s="3" t="s">
        <v>65</v>
      </c>
      <c r="C57" s="3" t="s">
        <v>65</v>
      </c>
      <c r="D57" s="5">
        <v>100000.0</v>
      </c>
      <c r="E57" s="4"/>
      <c r="F57" s="4"/>
      <c r="G57" s="4">
        <v>945983.9500000477</v>
      </c>
      <c r="H57" s="4"/>
      <c r="I57" s="6"/>
    </row>
    <row r="58">
      <c r="A58" s="1">
        <v>46360.0</v>
      </c>
      <c r="B58" s="3" t="s">
        <v>10</v>
      </c>
      <c r="C58" s="3" t="s">
        <v>66</v>
      </c>
      <c r="D58" s="5"/>
      <c r="E58" s="5">
        <v>1.3950447E8</v>
      </c>
      <c r="F58" s="5" t="s">
        <v>12</v>
      </c>
      <c r="G58" s="4">
        <v>1.4045045395000005E8</v>
      </c>
      <c r="H58" s="4"/>
      <c r="I58" s="6" t="s">
        <v>8</v>
      </c>
    </row>
    <row r="59">
      <c r="A59" s="1">
        <v>46360.0</v>
      </c>
      <c r="B59" s="3" t="s">
        <v>10</v>
      </c>
      <c r="C59" s="3" t="s">
        <v>67</v>
      </c>
      <c r="D59" s="5"/>
      <c r="E59" s="5">
        <v>1.04566828E8</v>
      </c>
      <c r="F59" s="5" t="s">
        <v>12</v>
      </c>
      <c r="G59" s="4">
        <v>2.4501728195000005E8</v>
      </c>
      <c r="H59" s="4"/>
      <c r="I59" s="6" t="s">
        <v>8</v>
      </c>
    </row>
    <row r="60">
      <c r="A60" s="1">
        <v>46360.0</v>
      </c>
      <c r="B60" s="3" t="s">
        <v>68</v>
      </c>
      <c r="C60" s="3" t="s">
        <v>69</v>
      </c>
      <c r="D60" s="5"/>
      <c r="E60" s="5">
        <v>4.327E7</v>
      </c>
      <c r="F60" s="5" t="s">
        <v>12</v>
      </c>
      <c r="G60" s="4">
        <v>2.8828728195000005E8</v>
      </c>
      <c r="H60" s="4"/>
      <c r="I60" s="6" t="s">
        <v>8</v>
      </c>
    </row>
    <row r="61">
      <c r="A61" s="1">
        <v>46360.0</v>
      </c>
      <c r="B61" s="3" t="s">
        <v>10</v>
      </c>
      <c r="C61" s="3" t="s">
        <v>70</v>
      </c>
      <c r="D61" s="5"/>
      <c r="E61" s="5">
        <v>2.0E7</v>
      </c>
      <c r="F61" s="5" t="s">
        <v>12</v>
      </c>
      <c r="G61" s="4">
        <v>3.0828728195000005E8</v>
      </c>
      <c r="H61" s="4"/>
      <c r="I61" s="6" t="s">
        <v>8</v>
      </c>
    </row>
    <row r="62">
      <c r="A62" s="1">
        <v>46360.0</v>
      </c>
      <c r="B62" s="3" t="s">
        <v>10</v>
      </c>
      <c r="C62" s="3" t="s">
        <v>71</v>
      </c>
      <c r="D62" s="5"/>
      <c r="E62" s="5">
        <v>1.259126E7</v>
      </c>
      <c r="F62" s="5" t="s">
        <v>12</v>
      </c>
      <c r="G62" s="4">
        <v>3.2087854195000005E8</v>
      </c>
      <c r="H62" s="5">
        <v>3.2087854195E8</v>
      </c>
      <c r="I62" s="6"/>
    </row>
    <row r="63">
      <c r="A63" s="1">
        <v>46361.0</v>
      </c>
      <c r="B63" s="3" t="s">
        <v>72</v>
      </c>
      <c r="C63" s="3" t="s">
        <v>73</v>
      </c>
      <c r="D63" s="5">
        <v>8.48657E7</v>
      </c>
      <c r="E63" s="4"/>
      <c r="F63" s="5" t="s">
        <v>3</v>
      </c>
      <c r="G63" s="4">
        <v>2.3601284195000005E8</v>
      </c>
      <c r="H63" s="4"/>
      <c r="I63" s="6" t="s">
        <v>8</v>
      </c>
    </row>
    <row r="64">
      <c r="A64" s="1">
        <v>46361.0</v>
      </c>
      <c r="B64" s="3" t="s">
        <v>72</v>
      </c>
      <c r="C64" s="3" t="s">
        <v>74</v>
      </c>
      <c r="D64" s="5">
        <v>4.76E7</v>
      </c>
      <c r="E64" s="4"/>
      <c r="F64" s="5" t="s">
        <v>3</v>
      </c>
      <c r="G64" s="4">
        <v>1.8841284195000005E8</v>
      </c>
      <c r="H64" s="4"/>
      <c r="I64" s="6" t="s">
        <v>8</v>
      </c>
    </row>
    <row r="65">
      <c r="A65" s="1">
        <v>46361.0</v>
      </c>
      <c r="B65" s="3" t="s">
        <v>72</v>
      </c>
      <c r="C65" s="3" t="s">
        <v>75</v>
      </c>
      <c r="D65" s="5">
        <v>5.850511E7</v>
      </c>
      <c r="E65" s="4"/>
      <c r="F65" s="5" t="s">
        <v>3</v>
      </c>
      <c r="G65" s="4">
        <v>1.2990773195000005E8</v>
      </c>
      <c r="H65" s="4"/>
      <c r="I65" s="6"/>
    </row>
    <row r="66">
      <c r="A66" s="1">
        <v>46361.0</v>
      </c>
      <c r="B66" s="3" t="s">
        <v>72</v>
      </c>
      <c r="C66" s="3" t="s">
        <v>76</v>
      </c>
      <c r="D66" s="5">
        <v>9380560.0</v>
      </c>
      <c r="E66" s="4"/>
      <c r="F66" s="5" t="s">
        <v>3</v>
      </c>
      <c r="G66" s="4">
        <v>1.2052717195000005E8</v>
      </c>
      <c r="H66" s="4"/>
      <c r="I66" s="6"/>
    </row>
    <row r="67">
      <c r="A67" s="1">
        <v>46361.0</v>
      </c>
      <c r="B67" s="3" t="s">
        <v>72</v>
      </c>
      <c r="C67" s="3" t="s">
        <v>77</v>
      </c>
      <c r="D67" s="5">
        <v>1000000.0</v>
      </c>
      <c r="E67" s="4"/>
      <c r="F67" s="5" t="s">
        <v>3</v>
      </c>
      <c r="G67" s="4">
        <v>1.1952717195000005E8</v>
      </c>
      <c r="H67" s="4"/>
      <c r="I67" s="6"/>
    </row>
    <row r="68">
      <c r="A68" s="1">
        <v>46361.0</v>
      </c>
      <c r="B68" s="3" t="s">
        <v>72</v>
      </c>
      <c r="C68" s="3" t="s">
        <v>78</v>
      </c>
      <c r="D68" s="5">
        <v>1000000.0</v>
      </c>
      <c r="E68" s="4"/>
      <c r="F68" s="5" t="s">
        <v>3</v>
      </c>
      <c r="G68" s="4">
        <v>1.1852717195000005E8</v>
      </c>
      <c r="H68" s="4"/>
      <c r="I68" s="6"/>
    </row>
    <row r="69">
      <c r="A69" s="1">
        <v>46361.0</v>
      </c>
      <c r="B69" s="3" t="s">
        <v>72</v>
      </c>
      <c r="C69" s="3" t="s">
        <v>79</v>
      </c>
      <c r="D69" s="5">
        <v>2664100.0</v>
      </c>
      <c r="E69" s="4"/>
      <c r="F69" s="5" t="s">
        <v>3</v>
      </c>
      <c r="G69" s="4">
        <v>1.1586307195000005E8</v>
      </c>
      <c r="H69" s="5">
        <v>1.1586307195E8</v>
      </c>
      <c r="I69" s="6"/>
    </row>
    <row r="70">
      <c r="A70" s="1">
        <v>46361.0</v>
      </c>
      <c r="B70" s="3" t="s">
        <v>80</v>
      </c>
      <c r="C70" s="3" t="s">
        <v>80</v>
      </c>
      <c r="D70" s="5">
        <v>7.38E7</v>
      </c>
      <c r="E70" s="4"/>
      <c r="F70" s="4"/>
      <c r="G70" s="4">
        <v>4.206307195000005E7</v>
      </c>
      <c r="H70" s="5">
        <v>4.206307195E7</v>
      </c>
      <c r="I70" s="6"/>
    </row>
    <row r="71">
      <c r="A71" s="1">
        <v>46361.0</v>
      </c>
      <c r="B71" s="3" t="s">
        <v>1</v>
      </c>
      <c r="C71" s="3" t="s">
        <v>81</v>
      </c>
      <c r="D71" s="5">
        <v>4.2E7</v>
      </c>
      <c r="E71" s="4"/>
      <c r="F71" s="5" t="s">
        <v>3</v>
      </c>
      <c r="G71" s="4">
        <v>63071.950000047684</v>
      </c>
      <c r="H71" s="4"/>
      <c r="I71" s="6"/>
    </row>
    <row r="72">
      <c r="A72" s="1">
        <v>46361.0</v>
      </c>
      <c r="B72" s="3" t="s">
        <v>10</v>
      </c>
      <c r="C72" s="3" t="s">
        <v>82</v>
      </c>
      <c r="D72" s="5"/>
      <c r="E72" s="5">
        <v>4.9225129E7</v>
      </c>
      <c r="F72" s="5" t="s">
        <v>12</v>
      </c>
      <c r="G72" s="4">
        <v>4.928820095000005E7</v>
      </c>
      <c r="H72" s="4"/>
      <c r="I72" s="6"/>
    </row>
    <row r="73">
      <c r="A73" s="1">
        <v>46361.0</v>
      </c>
      <c r="B73" s="3" t="s">
        <v>10</v>
      </c>
      <c r="C73" s="3" t="s">
        <v>83</v>
      </c>
      <c r="D73" s="5"/>
      <c r="E73" s="5">
        <v>4.5645201E7</v>
      </c>
      <c r="F73" s="5" t="s">
        <v>12</v>
      </c>
      <c r="G73" s="4">
        <v>9.493340195000005E7</v>
      </c>
      <c r="H73" s="4"/>
      <c r="I73" s="6"/>
    </row>
    <row r="74">
      <c r="A74" s="1">
        <v>46361.0</v>
      </c>
      <c r="B74" s="3" t="s">
        <v>10</v>
      </c>
      <c r="C74" s="3" t="s">
        <v>84</v>
      </c>
      <c r="D74" s="5"/>
      <c r="E74" s="5">
        <v>1.39788328E8</v>
      </c>
      <c r="F74" s="5" t="s">
        <v>12</v>
      </c>
      <c r="G74" s="4">
        <v>2.3472172995000005E8</v>
      </c>
      <c r="H74" s="4"/>
      <c r="I74" s="6"/>
    </row>
    <row r="75">
      <c r="A75" s="1">
        <v>46361.0</v>
      </c>
      <c r="B75" s="3" t="s">
        <v>10</v>
      </c>
      <c r="C75" s="3" t="s">
        <v>85</v>
      </c>
      <c r="D75" s="5"/>
      <c r="E75" s="5">
        <v>9.1190981E7</v>
      </c>
      <c r="F75" s="5" t="s">
        <v>12</v>
      </c>
      <c r="G75" s="4">
        <v>3.2591271095000005E8</v>
      </c>
      <c r="H75" s="4"/>
      <c r="I75" s="6"/>
    </row>
    <row r="76">
      <c r="A76" s="1">
        <v>46361.0</v>
      </c>
      <c r="B76" s="3" t="s">
        <v>10</v>
      </c>
      <c r="C76" s="3" t="s">
        <v>86</v>
      </c>
      <c r="D76" s="5"/>
      <c r="E76" s="5">
        <v>1.42260996E8</v>
      </c>
      <c r="F76" s="5" t="s">
        <v>12</v>
      </c>
      <c r="G76" s="4">
        <v>4.6817370695000005E8</v>
      </c>
      <c r="H76" s="4"/>
      <c r="I76" s="6"/>
    </row>
    <row r="77">
      <c r="A77" s="1">
        <v>46361.0</v>
      </c>
      <c r="B77" s="3" t="s">
        <v>87</v>
      </c>
      <c r="C77" s="3" t="s">
        <v>87</v>
      </c>
      <c r="D77" s="5">
        <v>500000.0</v>
      </c>
      <c r="E77" s="4"/>
      <c r="F77" s="4"/>
      <c r="G77" s="4">
        <v>4.6767370695000005E8</v>
      </c>
      <c r="H77" s="4"/>
      <c r="I77" s="6"/>
    </row>
    <row r="78">
      <c r="A78" s="1">
        <v>46361.0</v>
      </c>
      <c r="B78" s="3" t="s">
        <v>1</v>
      </c>
      <c r="C78" s="3" t="s">
        <v>88</v>
      </c>
      <c r="D78" s="5">
        <v>2.09E7</v>
      </c>
      <c r="E78" s="4"/>
      <c r="F78" s="5" t="s">
        <v>3</v>
      </c>
      <c r="G78" s="4">
        <v>4.4677370695000005E8</v>
      </c>
      <c r="H78" s="4"/>
      <c r="I78" s="6"/>
    </row>
    <row r="79">
      <c r="A79" s="1">
        <v>46361.0</v>
      </c>
      <c r="B79" s="3" t="s">
        <v>10</v>
      </c>
      <c r="C79" s="3" t="s">
        <v>89</v>
      </c>
      <c r="D79" s="5"/>
      <c r="E79" s="5">
        <v>2.2895234E8</v>
      </c>
      <c r="F79" s="5" t="s">
        <v>12</v>
      </c>
      <c r="G79" s="4">
        <v>6.7572604695E8</v>
      </c>
      <c r="H79" s="4"/>
      <c r="I79" s="6"/>
    </row>
    <row r="80">
      <c r="A80" s="1">
        <v>46361.0</v>
      </c>
      <c r="B80" s="3" t="s">
        <v>1</v>
      </c>
      <c r="C80" s="3" t="s">
        <v>90</v>
      </c>
      <c r="D80" s="5">
        <v>157962.0</v>
      </c>
      <c r="E80" s="4"/>
      <c r="F80" s="5" t="s">
        <v>3</v>
      </c>
      <c r="G80" s="4">
        <v>6.7556808495E8</v>
      </c>
      <c r="H80" s="4"/>
      <c r="I80" s="6"/>
    </row>
    <row r="81">
      <c r="A81" s="1">
        <v>46361.0</v>
      </c>
      <c r="B81" s="3" t="s">
        <v>41</v>
      </c>
      <c r="C81" s="3" t="s">
        <v>63</v>
      </c>
      <c r="D81" s="5">
        <v>48800.0</v>
      </c>
      <c r="E81" s="4"/>
      <c r="F81" s="4"/>
      <c r="G81" s="4">
        <v>6.7551928495E8</v>
      </c>
      <c r="H81" s="5">
        <v>6.7551928495E8</v>
      </c>
      <c r="I81" s="6"/>
    </row>
    <row r="82">
      <c r="A82" s="1">
        <v>46362.0</v>
      </c>
      <c r="B82" s="3" t="s">
        <v>91</v>
      </c>
      <c r="C82" s="3" t="s">
        <v>92</v>
      </c>
      <c r="D82" s="5">
        <v>5.332096E7</v>
      </c>
      <c r="E82" s="4"/>
      <c r="F82" s="5" t="s">
        <v>3</v>
      </c>
      <c r="G82" s="4">
        <v>6.2219832495E8</v>
      </c>
      <c r="H82" s="4"/>
      <c r="I82" s="6"/>
    </row>
    <row r="83">
      <c r="A83" s="1">
        <v>46362.0</v>
      </c>
      <c r="B83" s="3" t="s">
        <v>91</v>
      </c>
      <c r="C83" s="3" t="s">
        <v>93</v>
      </c>
      <c r="D83" s="5">
        <v>1.0243368E8</v>
      </c>
      <c r="E83" s="4"/>
      <c r="F83" s="5" t="s">
        <v>3</v>
      </c>
      <c r="G83" s="4">
        <v>5.1976464495000005E8</v>
      </c>
      <c r="H83" s="5">
        <v>5.1976464495E8</v>
      </c>
      <c r="I83" s="6"/>
    </row>
    <row r="84">
      <c r="A84" s="1">
        <v>46362.0</v>
      </c>
      <c r="B84" s="3" t="s">
        <v>91</v>
      </c>
      <c r="C84" s="3" t="s">
        <v>94</v>
      </c>
      <c r="D84" s="5">
        <v>5.330675E7</v>
      </c>
      <c r="E84" s="4"/>
      <c r="F84" s="5" t="s">
        <v>3</v>
      </c>
      <c r="G84" s="4">
        <v>4.6645789495000005E8</v>
      </c>
      <c r="H84" s="5">
        <v>4.6645789495E8</v>
      </c>
      <c r="I84" s="6"/>
    </row>
    <row r="85">
      <c r="A85" s="1">
        <v>46362.0</v>
      </c>
      <c r="B85" s="3" t="s">
        <v>91</v>
      </c>
      <c r="C85" s="3" t="s">
        <v>95</v>
      </c>
      <c r="D85" s="5">
        <v>6.18765E7</v>
      </c>
      <c r="E85" s="4"/>
      <c r="F85" s="5" t="s">
        <v>3</v>
      </c>
      <c r="G85" s="4">
        <v>4.0458139495000005E8</v>
      </c>
      <c r="H85" s="4"/>
      <c r="I85" s="6"/>
    </row>
    <row r="86">
      <c r="A86" s="1">
        <v>46362.0</v>
      </c>
      <c r="B86" s="3" t="s">
        <v>91</v>
      </c>
      <c r="C86" s="3" t="s">
        <v>96</v>
      </c>
      <c r="D86" s="5">
        <v>2.8152E7</v>
      </c>
      <c r="E86" s="4"/>
      <c r="F86" s="5" t="s">
        <v>3</v>
      </c>
      <c r="G86" s="4">
        <v>3.7642939495000005E8</v>
      </c>
      <c r="H86" s="4"/>
      <c r="I86" s="6"/>
    </row>
    <row r="87">
      <c r="A87" s="1">
        <v>46362.0</v>
      </c>
      <c r="B87" s="3" t="s">
        <v>91</v>
      </c>
      <c r="C87" s="3" t="s">
        <v>97</v>
      </c>
      <c r="D87" s="5">
        <v>8.0E7</v>
      </c>
      <c r="E87" s="4"/>
      <c r="F87" s="5" t="s">
        <v>3</v>
      </c>
      <c r="G87" s="4">
        <v>2.9642939495000005E8</v>
      </c>
      <c r="H87" s="4"/>
      <c r="I87" s="6"/>
    </row>
    <row r="88">
      <c r="A88" s="1">
        <v>46362.0</v>
      </c>
      <c r="B88" s="3" t="s">
        <v>91</v>
      </c>
      <c r="C88" s="3" t="s">
        <v>98</v>
      </c>
      <c r="D88" s="5">
        <v>4.0E7</v>
      </c>
      <c r="E88" s="4"/>
      <c r="F88" s="5" t="s">
        <v>3</v>
      </c>
      <c r="G88" s="4">
        <v>2.5642939495000005E8</v>
      </c>
      <c r="H88" s="4"/>
      <c r="I88" s="6"/>
    </row>
    <row r="89">
      <c r="A89" s="1">
        <v>46362.0</v>
      </c>
      <c r="B89" s="3" t="s">
        <v>91</v>
      </c>
      <c r="C89" s="3" t="s">
        <v>99</v>
      </c>
      <c r="D89" s="5">
        <v>2.0E7</v>
      </c>
      <c r="E89" s="4"/>
      <c r="F89" s="5" t="s">
        <v>3</v>
      </c>
      <c r="G89" s="4">
        <v>2.3642939495000005E8</v>
      </c>
      <c r="H89" s="4"/>
      <c r="I89" s="6"/>
    </row>
    <row r="90">
      <c r="A90" s="1">
        <v>46362.0</v>
      </c>
      <c r="B90" s="3" t="s">
        <v>91</v>
      </c>
      <c r="C90" s="3" t="s">
        <v>100</v>
      </c>
      <c r="D90" s="5">
        <v>5.264E7</v>
      </c>
      <c r="E90" s="4"/>
      <c r="F90" s="5" t="s">
        <v>3</v>
      </c>
      <c r="G90" s="4">
        <v>1.8378939495000005E8</v>
      </c>
      <c r="H90" s="4"/>
      <c r="I90" s="6"/>
    </row>
    <row r="91">
      <c r="A91" s="1">
        <v>46362.0</v>
      </c>
      <c r="B91" s="3" t="s">
        <v>91</v>
      </c>
      <c r="C91" s="3" t="s">
        <v>101</v>
      </c>
      <c r="D91" s="5">
        <v>4.8586E7</v>
      </c>
      <c r="E91" s="4"/>
      <c r="F91" s="5" t="s">
        <v>3</v>
      </c>
      <c r="G91" s="4">
        <v>1.3520339495000005E8</v>
      </c>
      <c r="H91" s="4"/>
      <c r="I91" s="6"/>
    </row>
    <row r="92">
      <c r="A92" s="1">
        <v>46362.0</v>
      </c>
      <c r="B92" s="3" t="s">
        <v>91</v>
      </c>
      <c r="C92" s="3" t="s">
        <v>102</v>
      </c>
      <c r="D92" s="5">
        <v>8.0E7</v>
      </c>
      <c r="E92" s="4"/>
      <c r="F92" s="5" t="s">
        <v>3</v>
      </c>
      <c r="G92" s="4">
        <v>5.520339495000005E7</v>
      </c>
      <c r="H92" s="4"/>
      <c r="I92" s="6"/>
    </row>
    <row r="93">
      <c r="A93" s="1">
        <v>46362.0</v>
      </c>
      <c r="B93" s="3" t="s">
        <v>1</v>
      </c>
      <c r="C93" s="3" t="s">
        <v>103</v>
      </c>
      <c r="D93" s="5">
        <v>2200000.0</v>
      </c>
      <c r="E93" s="4"/>
      <c r="F93" s="5" t="s">
        <v>3</v>
      </c>
      <c r="G93" s="4">
        <v>5.300339495000005E7</v>
      </c>
      <c r="H93" s="4"/>
      <c r="I93" s="6"/>
    </row>
    <row r="94">
      <c r="A94" s="1">
        <v>46362.0</v>
      </c>
      <c r="B94" s="3" t="s">
        <v>1</v>
      </c>
      <c r="C94" s="3" t="s">
        <v>104</v>
      </c>
      <c r="D94" s="5">
        <v>1.34E7</v>
      </c>
      <c r="E94" s="4"/>
      <c r="F94" s="5" t="s">
        <v>3</v>
      </c>
      <c r="G94" s="4">
        <v>3.960339495000005E7</v>
      </c>
      <c r="H94" s="4"/>
      <c r="I94" s="6"/>
    </row>
    <row r="95">
      <c r="A95" s="1">
        <v>46362.0</v>
      </c>
      <c r="B95" s="3" t="s">
        <v>10</v>
      </c>
      <c r="C95" s="3" t="s">
        <v>105</v>
      </c>
      <c r="D95" s="5"/>
      <c r="E95" s="5">
        <v>9.890909E7</v>
      </c>
      <c r="F95" s="5" t="s">
        <v>12</v>
      </c>
      <c r="G95" s="4">
        <v>1.3851248495000005E8</v>
      </c>
      <c r="H95" s="5">
        <v>1.3851248495E8</v>
      </c>
      <c r="I95" s="6"/>
    </row>
    <row r="96">
      <c r="A96" s="1">
        <v>46362.0</v>
      </c>
      <c r="B96" s="3" t="s">
        <v>10</v>
      </c>
      <c r="C96" s="3" t="s">
        <v>106</v>
      </c>
      <c r="D96" s="5"/>
      <c r="E96" s="5">
        <v>1.44151096E8</v>
      </c>
      <c r="F96" s="5" t="s">
        <v>12</v>
      </c>
      <c r="G96" s="4">
        <v>2.8266358095000005E8</v>
      </c>
      <c r="H96" s="5">
        <v>2.8266358095E8</v>
      </c>
      <c r="I96" s="6"/>
    </row>
    <row r="97">
      <c r="A97" s="1">
        <v>46362.0</v>
      </c>
      <c r="B97" s="3" t="s">
        <v>10</v>
      </c>
      <c r="C97" s="3" t="s">
        <v>107</v>
      </c>
      <c r="D97" s="5"/>
      <c r="E97" s="5">
        <v>1.0682748E8</v>
      </c>
      <c r="F97" s="5" t="s">
        <v>12</v>
      </c>
      <c r="G97" s="4">
        <v>3.8949106095000005E8</v>
      </c>
      <c r="H97" s="4"/>
      <c r="I97" s="6"/>
    </row>
    <row r="98">
      <c r="A98" s="1">
        <v>46362.0</v>
      </c>
      <c r="B98" s="3" t="s">
        <v>10</v>
      </c>
      <c r="C98" s="3" t="s">
        <v>108</v>
      </c>
      <c r="D98" s="5"/>
      <c r="E98" s="5">
        <v>1.45926699E8</v>
      </c>
      <c r="F98" s="5" t="s">
        <v>12</v>
      </c>
      <c r="G98" s="4">
        <v>5.3541775995000005E8</v>
      </c>
      <c r="H98" s="4"/>
      <c r="I98" s="6"/>
    </row>
    <row r="99">
      <c r="A99" s="1">
        <v>46362.0</v>
      </c>
      <c r="B99" s="3" t="s">
        <v>10</v>
      </c>
      <c r="C99" s="3" t="s">
        <v>109</v>
      </c>
      <c r="D99" s="5"/>
      <c r="E99" s="5">
        <v>8.9962879E7</v>
      </c>
      <c r="F99" s="5" t="s">
        <v>12</v>
      </c>
      <c r="G99" s="4">
        <v>6.2538063895E8</v>
      </c>
      <c r="H99" s="4"/>
      <c r="I99" s="6"/>
    </row>
    <row r="100">
      <c r="A100" s="1">
        <v>46362.0</v>
      </c>
      <c r="B100" s="3" t="s">
        <v>10</v>
      </c>
      <c r="C100" s="3" t="s">
        <v>110</v>
      </c>
      <c r="D100" s="5"/>
      <c r="E100" s="5">
        <v>9.511344E7</v>
      </c>
      <c r="F100" s="5" t="s">
        <v>12</v>
      </c>
      <c r="G100" s="4">
        <v>7.2049407895E8</v>
      </c>
      <c r="H100" s="4"/>
      <c r="I100" s="6"/>
    </row>
    <row r="101">
      <c r="A101" s="1">
        <v>46362.0</v>
      </c>
      <c r="B101" s="3" t="s">
        <v>10</v>
      </c>
      <c r="C101" s="3" t="s">
        <v>111</v>
      </c>
      <c r="D101" s="5"/>
      <c r="E101" s="5">
        <v>1.77653493E8</v>
      </c>
      <c r="F101" s="5" t="s">
        <v>12</v>
      </c>
      <c r="G101" s="4">
        <v>8.9814757195E8</v>
      </c>
      <c r="H101" s="4"/>
      <c r="I101" s="6"/>
    </row>
    <row r="102">
      <c r="A102" s="1">
        <v>46362.0</v>
      </c>
      <c r="B102" s="3" t="s">
        <v>112</v>
      </c>
      <c r="C102" s="3" t="s">
        <v>112</v>
      </c>
      <c r="D102" s="5">
        <v>100000.0</v>
      </c>
      <c r="E102" s="4"/>
      <c r="F102" s="4"/>
      <c r="G102" s="4">
        <v>8.9804757195E8</v>
      </c>
      <c r="H102" s="4"/>
      <c r="I102" s="6"/>
    </row>
    <row r="103">
      <c r="A103" s="1">
        <v>46362.0</v>
      </c>
      <c r="B103" s="3" t="s">
        <v>10</v>
      </c>
      <c r="C103" s="3" t="s">
        <v>113</v>
      </c>
      <c r="D103" s="5"/>
      <c r="E103" s="5">
        <v>6.76E7</v>
      </c>
      <c r="F103" s="5" t="s">
        <v>12</v>
      </c>
      <c r="G103" s="4">
        <v>9.6564757195E8</v>
      </c>
      <c r="H103" s="4"/>
      <c r="I103" s="6"/>
    </row>
    <row r="104">
      <c r="A104" s="1">
        <v>46362.0</v>
      </c>
      <c r="B104" s="3" t="s">
        <v>1</v>
      </c>
      <c r="C104" s="3" t="s">
        <v>114</v>
      </c>
      <c r="D104" s="5">
        <v>4.0E7</v>
      </c>
      <c r="E104" s="4"/>
      <c r="F104" s="5" t="s">
        <v>3</v>
      </c>
      <c r="G104" s="4">
        <v>9.2564757195E8</v>
      </c>
      <c r="H104" s="4"/>
      <c r="I104" s="6"/>
    </row>
    <row r="105">
      <c r="A105" s="1">
        <v>46362.0</v>
      </c>
      <c r="B105" s="3" t="s">
        <v>10</v>
      </c>
      <c r="C105" s="3" t="s">
        <v>115</v>
      </c>
      <c r="D105" s="5"/>
      <c r="E105" s="5">
        <v>3.5E7</v>
      </c>
      <c r="F105" s="5" t="s">
        <v>12</v>
      </c>
      <c r="G105" s="4">
        <v>9.6064757195E8</v>
      </c>
      <c r="H105" s="4"/>
      <c r="I105" s="6"/>
    </row>
    <row r="106">
      <c r="A106" s="1">
        <v>46362.0</v>
      </c>
      <c r="B106" s="3" t="s">
        <v>1</v>
      </c>
      <c r="C106" s="3" t="s">
        <v>116</v>
      </c>
      <c r="D106" s="5">
        <v>2.742478E7</v>
      </c>
      <c r="E106" s="4"/>
      <c r="F106" s="5" t="s">
        <v>3</v>
      </c>
      <c r="G106" s="4">
        <v>9.3322279195E8</v>
      </c>
      <c r="H106" s="4"/>
      <c r="I106" s="6"/>
    </row>
    <row r="107">
      <c r="A107" s="1">
        <v>46362.0</v>
      </c>
      <c r="B107" s="3" t="s">
        <v>1</v>
      </c>
      <c r="C107" s="3" t="s">
        <v>117</v>
      </c>
      <c r="D107" s="5">
        <v>5.00536E7</v>
      </c>
      <c r="E107" s="4"/>
      <c r="F107" s="5" t="s">
        <v>3</v>
      </c>
      <c r="G107" s="4">
        <v>8.8316919195E8</v>
      </c>
      <c r="H107" s="5">
        <v>8.8316919195E8</v>
      </c>
      <c r="I107" s="6"/>
    </row>
    <row r="108">
      <c r="A108" s="1">
        <v>46362.0</v>
      </c>
      <c r="B108" s="3" t="s">
        <v>1</v>
      </c>
      <c r="C108" s="3" t="s">
        <v>118</v>
      </c>
      <c r="D108" s="5">
        <v>5.705403E7</v>
      </c>
      <c r="E108" s="4"/>
      <c r="F108" s="5" t="s">
        <v>3</v>
      </c>
      <c r="G108" s="4">
        <v>8.2611516195E8</v>
      </c>
      <c r="H108" s="5">
        <v>8.2611516195E8</v>
      </c>
      <c r="I108" s="6"/>
    </row>
    <row r="109">
      <c r="A109" s="1">
        <v>46362.0</v>
      </c>
      <c r="B109" s="3" t="s">
        <v>1</v>
      </c>
      <c r="C109" s="3" t="s">
        <v>119</v>
      </c>
      <c r="D109" s="5">
        <v>9.96052E7</v>
      </c>
      <c r="E109" s="4"/>
      <c r="F109" s="5" t="s">
        <v>3</v>
      </c>
      <c r="G109" s="4">
        <v>7.2650996195E8</v>
      </c>
      <c r="H109" s="4"/>
      <c r="I109" s="6"/>
    </row>
    <row r="110">
      <c r="A110" s="1">
        <v>46362.0</v>
      </c>
      <c r="B110" s="3" t="s">
        <v>1</v>
      </c>
      <c r="C110" s="3" t="s">
        <v>120</v>
      </c>
      <c r="D110" s="5">
        <v>5.605992E7</v>
      </c>
      <c r="E110" s="4"/>
      <c r="F110" s="5" t="s">
        <v>3</v>
      </c>
      <c r="G110" s="4">
        <v>6.7045004195E8</v>
      </c>
      <c r="H110" s="4"/>
      <c r="I110" s="6"/>
    </row>
    <row r="111">
      <c r="A111" s="1">
        <v>46362.0</v>
      </c>
      <c r="B111" s="3" t="s">
        <v>1</v>
      </c>
      <c r="C111" s="3" t="s">
        <v>121</v>
      </c>
      <c r="D111" s="5">
        <v>3.09436E7</v>
      </c>
      <c r="E111" s="4"/>
      <c r="F111" s="5" t="s">
        <v>3</v>
      </c>
      <c r="G111" s="4">
        <v>6.3950644195E8</v>
      </c>
      <c r="H111" s="4"/>
      <c r="I111" s="6"/>
    </row>
    <row r="112">
      <c r="A112" s="1">
        <v>46362.0</v>
      </c>
      <c r="B112" s="3" t="s">
        <v>1</v>
      </c>
      <c r="C112" s="3" t="s">
        <v>122</v>
      </c>
      <c r="D112" s="5">
        <v>2.0E7</v>
      </c>
      <c r="E112" s="4"/>
      <c r="F112" s="5" t="s">
        <v>3</v>
      </c>
      <c r="G112" s="4">
        <v>6.1950644195E8</v>
      </c>
      <c r="H112" s="4"/>
      <c r="I112" s="6"/>
    </row>
    <row r="113">
      <c r="A113" s="1">
        <v>46362.0</v>
      </c>
      <c r="B113" s="3" t="s">
        <v>1</v>
      </c>
      <c r="C113" s="3" t="s">
        <v>123</v>
      </c>
      <c r="D113" s="5">
        <v>1.18188E8</v>
      </c>
      <c r="E113" s="4"/>
      <c r="F113" s="5" t="s">
        <v>3</v>
      </c>
      <c r="G113" s="4">
        <v>5.0131844195000005E8</v>
      </c>
      <c r="H113" s="4"/>
      <c r="I113" s="6"/>
    </row>
    <row r="114">
      <c r="A114" s="1">
        <v>46362.0</v>
      </c>
      <c r="B114" s="3" t="s">
        <v>1</v>
      </c>
      <c r="C114" s="3" t="s">
        <v>124</v>
      </c>
      <c r="D114" s="5">
        <v>1.2004125E8</v>
      </c>
      <c r="E114" s="4"/>
      <c r="F114" s="5" t="s">
        <v>3</v>
      </c>
      <c r="G114" s="4">
        <v>3.8127719195000005E8</v>
      </c>
      <c r="H114" s="4"/>
      <c r="I114" s="6"/>
    </row>
    <row r="115">
      <c r="A115" s="1">
        <v>46362.0</v>
      </c>
      <c r="B115" s="3" t="s">
        <v>1</v>
      </c>
      <c r="C115" s="3" t="s">
        <v>125</v>
      </c>
      <c r="D115" s="5">
        <v>2.613115E8</v>
      </c>
      <c r="E115" s="4"/>
      <c r="F115" s="5" t="s">
        <v>3</v>
      </c>
      <c r="G115" s="4">
        <v>1.1996569195000005E8</v>
      </c>
      <c r="H115" s="4"/>
      <c r="I115" s="6"/>
    </row>
    <row r="116">
      <c r="A116" s="1">
        <v>46362.0</v>
      </c>
      <c r="B116" s="3" t="s">
        <v>1</v>
      </c>
      <c r="C116" s="3" t="s">
        <v>126</v>
      </c>
      <c r="D116" s="5">
        <v>5.0E7</v>
      </c>
      <c r="E116" s="4"/>
      <c r="F116" s="5" t="s">
        <v>3</v>
      </c>
      <c r="G116" s="4">
        <v>6.996569195000005E7</v>
      </c>
      <c r="H116" s="5">
        <v>6.996569195E7</v>
      </c>
      <c r="I116" s="6"/>
    </row>
    <row r="117">
      <c r="A117" s="1">
        <v>46363.0</v>
      </c>
      <c r="B117" s="3" t="s">
        <v>127</v>
      </c>
      <c r="C117" s="3" t="s">
        <v>128</v>
      </c>
      <c r="D117" s="5"/>
      <c r="E117" s="5">
        <v>2.077868E8</v>
      </c>
      <c r="F117" s="5" t="s">
        <v>12</v>
      </c>
      <c r="G117" s="4">
        <v>2.7775249195000005E8</v>
      </c>
      <c r="H117" s="4"/>
      <c r="I117" s="6"/>
    </row>
    <row r="118">
      <c r="A118" s="1">
        <v>46363.0</v>
      </c>
      <c r="B118" s="3" t="s">
        <v>127</v>
      </c>
      <c r="C118" s="3" t="s">
        <v>129</v>
      </c>
      <c r="D118" s="5"/>
      <c r="E118" s="5">
        <v>5.5E7</v>
      </c>
      <c r="F118" s="5" t="s">
        <v>12</v>
      </c>
      <c r="G118" s="4">
        <v>3.3275249195000005E8</v>
      </c>
      <c r="H118" s="4"/>
      <c r="I118" s="6"/>
    </row>
    <row r="119">
      <c r="A119" s="1">
        <v>46363.0</v>
      </c>
      <c r="B119" s="3" t="s">
        <v>1</v>
      </c>
      <c r="C119" s="3" t="s">
        <v>130</v>
      </c>
      <c r="D119" s="5">
        <v>8.0E7</v>
      </c>
      <c r="E119" s="4"/>
      <c r="F119" s="5" t="s">
        <v>3</v>
      </c>
      <c r="G119" s="4">
        <v>2.5275249195000005E8</v>
      </c>
      <c r="H119" s="5">
        <v>2.5275249195E8</v>
      </c>
      <c r="I119" s="6"/>
    </row>
    <row r="120">
      <c r="A120" s="1">
        <v>46363.0</v>
      </c>
      <c r="B120" s="3" t="s">
        <v>1</v>
      </c>
      <c r="C120" s="3" t="s">
        <v>131</v>
      </c>
      <c r="D120" s="5">
        <v>9.0E7</v>
      </c>
      <c r="E120" s="4"/>
      <c r="F120" s="5" t="s">
        <v>3</v>
      </c>
      <c r="G120" s="4">
        <v>1.6275249195000005E8</v>
      </c>
      <c r="H120" s="5">
        <v>1.6275249195E8</v>
      </c>
      <c r="I120" s="6"/>
    </row>
    <row r="121">
      <c r="A121" s="1">
        <v>46363.0</v>
      </c>
      <c r="B121" s="3" t="s">
        <v>1</v>
      </c>
      <c r="C121" s="3" t="s">
        <v>132</v>
      </c>
      <c r="D121" s="5">
        <v>1.788874E7</v>
      </c>
      <c r="E121" s="4"/>
      <c r="F121" s="5" t="s">
        <v>3</v>
      </c>
      <c r="G121" s="4">
        <v>1.4486375195000005E8</v>
      </c>
      <c r="H121" s="4"/>
      <c r="I121" s="6"/>
    </row>
    <row r="122">
      <c r="A122" s="1">
        <v>46363.0</v>
      </c>
      <c r="B122" s="3" t="s">
        <v>1</v>
      </c>
      <c r="C122" s="3" t="s">
        <v>133</v>
      </c>
      <c r="D122" s="5">
        <v>2643250.0</v>
      </c>
      <c r="E122" s="4"/>
      <c r="F122" s="5" t="s">
        <v>3</v>
      </c>
      <c r="G122" s="4">
        <v>1.4222050195000005E8</v>
      </c>
      <c r="H122" s="4"/>
      <c r="I122" s="6"/>
    </row>
    <row r="123">
      <c r="A123" s="1">
        <v>46363.0</v>
      </c>
      <c r="B123" s="3" t="s">
        <v>1</v>
      </c>
      <c r="C123" s="3" t="s">
        <v>134</v>
      </c>
      <c r="D123" s="5">
        <v>2.887239E7</v>
      </c>
      <c r="E123" s="4"/>
      <c r="F123" s="5" t="s">
        <v>3</v>
      </c>
      <c r="G123" s="4">
        <v>1.1334811195000005E8</v>
      </c>
      <c r="H123" s="4"/>
      <c r="I123" s="6"/>
    </row>
    <row r="124">
      <c r="A124" s="1">
        <v>46363.0</v>
      </c>
      <c r="B124" s="3" t="s">
        <v>50</v>
      </c>
      <c r="C124" s="3" t="s">
        <v>135</v>
      </c>
      <c r="D124" s="5">
        <v>116000.0</v>
      </c>
      <c r="E124" s="4"/>
      <c r="F124" s="4"/>
      <c r="G124" s="4">
        <v>1.1323211195000005E8</v>
      </c>
      <c r="H124" s="4"/>
      <c r="I124" s="6"/>
    </row>
    <row r="125">
      <c r="A125" s="1">
        <v>46363.0</v>
      </c>
      <c r="B125" s="3" t="s">
        <v>136</v>
      </c>
      <c r="C125" s="3" t="s">
        <v>137</v>
      </c>
      <c r="D125" s="5">
        <v>102000.0</v>
      </c>
      <c r="E125" s="4"/>
      <c r="F125" s="4"/>
      <c r="G125" s="4">
        <v>1.1313011195000005E8</v>
      </c>
      <c r="H125" s="4"/>
      <c r="I125" s="6"/>
    </row>
    <row r="126">
      <c r="A126" s="1">
        <v>46363.0</v>
      </c>
      <c r="B126" s="3" t="s">
        <v>10</v>
      </c>
      <c r="C126" s="3" t="s">
        <v>138</v>
      </c>
      <c r="D126" s="5"/>
      <c r="E126" s="5">
        <v>1.05608E8</v>
      </c>
      <c r="F126" s="5" t="s">
        <v>12</v>
      </c>
      <c r="G126" s="4">
        <v>2.1873811195000005E8</v>
      </c>
      <c r="H126" s="4"/>
      <c r="I126" s="6"/>
    </row>
    <row r="127">
      <c r="A127" s="1">
        <v>46363.0</v>
      </c>
      <c r="B127" s="3" t="s">
        <v>10</v>
      </c>
      <c r="C127" s="3" t="s">
        <v>139</v>
      </c>
      <c r="D127" s="5"/>
      <c r="E127" s="5">
        <v>1.50179967E8</v>
      </c>
      <c r="F127" s="5" t="s">
        <v>12</v>
      </c>
      <c r="G127" s="4">
        <v>3.6891807895000005E8</v>
      </c>
      <c r="H127" s="4"/>
      <c r="I127" s="6"/>
    </row>
    <row r="128">
      <c r="A128" s="1">
        <v>46363.0</v>
      </c>
      <c r="B128" s="3" t="s">
        <v>10</v>
      </c>
      <c r="C128" s="3" t="s">
        <v>140</v>
      </c>
      <c r="D128" s="5"/>
      <c r="E128" s="5">
        <v>1.6372466E8</v>
      </c>
      <c r="F128" s="5" t="s">
        <v>12</v>
      </c>
      <c r="G128" s="4">
        <v>5.3264273895000005E8</v>
      </c>
      <c r="H128" s="4"/>
      <c r="I128" s="6"/>
    </row>
    <row r="129">
      <c r="A129" s="1">
        <v>46363.0</v>
      </c>
      <c r="B129" s="3" t="s">
        <v>10</v>
      </c>
      <c r="C129" s="3" t="s">
        <v>141</v>
      </c>
      <c r="D129" s="5"/>
      <c r="E129" s="5">
        <v>1.51487365E8</v>
      </c>
      <c r="F129" s="5" t="s">
        <v>12</v>
      </c>
      <c r="G129" s="4">
        <v>6.8413010395E8</v>
      </c>
      <c r="H129" s="4"/>
      <c r="I129" s="6"/>
    </row>
    <row r="130">
      <c r="A130" s="1">
        <v>46363.0</v>
      </c>
      <c r="B130" s="3" t="s">
        <v>10</v>
      </c>
      <c r="C130" s="3" t="s">
        <v>142</v>
      </c>
      <c r="D130" s="5"/>
      <c r="E130" s="5">
        <v>1.03868677E8</v>
      </c>
      <c r="F130" s="5" t="s">
        <v>12</v>
      </c>
      <c r="G130" s="4">
        <v>7.8799878095E8</v>
      </c>
      <c r="H130" s="4"/>
      <c r="I130" s="6"/>
    </row>
    <row r="131">
      <c r="A131" s="1">
        <v>46363.0</v>
      </c>
      <c r="B131" s="3" t="s">
        <v>10</v>
      </c>
      <c r="C131" s="3" t="s">
        <v>143</v>
      </c>
      <c r="D131" s="5"/>
      <c r="E131" s="5">
        <v>6.498E7</v>
      </c>
      <c r="F131" s="5" t="s">
        <v>12</v>
      </c>
      <c r="G131" s="4">
        <v>8.5297878095E8</v>
      </c>
      <c r="H131" s="5">
        <v>8.5297878095E8</v>
      </c>
      <c r="I131" s="6"/>
    </row>
    <row r="132">
      <c r="A132" s="1">
        <v>46363.0</v>
      </c>
      <c r="B132" s="3" t="s">
        <v>10</v>
      </c>
      <c r="C132" s="3" t="s">
        <v>144</v>
      </c>
      <c r="D132" s="5"/>
      <c r="E132" s="5">
        <v>1.5194364E8</v>
      </c>
      <c r="F132" s="5" t="s">
        <v>12</v>
      </c>
      <c r="G132" s="4">
        <v>1.00492242095E9</v>
      </c>
      <c r="H132" s="5">
        <v>1.00492242095E9</v>
      </c>
      <c r="I132" s="6"/>
    </row>
    <row r="133">
      <c r="A133" s="1">
        <v>46363.0</v>
      </c>
      <c r="B133" s="3" t="s">
        <v>1</v>
      </c>
      <c r="C133" s="3" t="s">
        <v>145</v>
      </c>
      <c r="D133" s="5">
        <v>3400000.0</v>
      </c>
      <c r="E133" s="4"/>
      <c r="F133" s="5" t="s">
        <v>3</v>
      </c>
      <c r="G133" s="4">
        <v>1.00152242095E9</v>
      </c>
      <c r="H133" s="4"/>
      <c r="I133" s="6"/>
    </row>
    <row r="134">
      <c r="A134" s="1">
        <v>46363.0</v>
      </c>
      <c r="B134" s="3" t="s">
        <v>1</v>
      </c>
      <c r="C134" s="3" t="s">
        <v>146</v>
      </c>
      <c r="D134" s="5">
        <v>6.46E7</v>
      </c>
      <c r="E134" s="4"/>
      <c r="F134" s="5" t="s">
        <v>3</v>
      </c>
      <c r="G134" s="4">
        <v>9.3692242095E8</v>
      </c>
      <c r="H134" s="4"/>
      <c r="I134" s="6"/>
    </row>
    <row r="135">
      <c r="A135" s="1">
        <v>46363.0</v>
      </c>
      <c r="B135" s="3" t="s">
        <v>1</v>
      </c>
      <c r="C135" s="3" t="s">
        <v>147</v>
      </c>
      <c r="D135" s="5">
        <v>190000.0</v>
      </c>
      <c r="E135" s="4"/>
      <c r="F135" s="5" t="s">
        <v>3</v>
      </c>
      <c r="G135" s="4">
        <v>9.3673242095E8</v>
      </c>
      <c r="H135" s="4"/>
      <c r="I135" s="6"/>
    </row>
    <row r="136">
      <c r="A136" s="1">
        <v>46363.0</v>
      </c>
      <c r="B136" s="3" t="s">
        <v>1</v>
      </c>
      <c r="C136" s="3" t="s">
        <v>148</v>
      </c>
      <c r="D136" s="5">
        <v>1.544522E7</v>
      </c>
      <c r="E136" s="4"/>
      <c r="F136" s="5" t="s">
        <v>3</v>
      </c>
      <c r="G136" s="4">
        <v>9.2128720095E8</v>
      </c>
      <c r="H136" s="4"/>
      <c r="I136" s="6"/>
    </row>
    <row r="137">
      <c r="A137" s="1">
        <v>46363.0</v>
      </c>
      <c r="B137" s="3" t="s">
        <v>1</v>
      </c>
      <c r="C137" s="3" t="s">
        <v>149</v>
      </c>
      <c r="D137" s="5">
        <v>5.282025E7</v>
      </c>
      <c r="E137" s="4"/>
      <c r="F137" s="5" t="s">
        <v>3</v>
      </c>
      <c r="G137" s="4">
        <v>8.6846695095E8</v>
      </c>
      <c r="H137" s="5">
        <v>8.6846695095E8</v>
      </c>
      <c r="I137" s="6"/>
    </row>
    <row r="138">
      <c r="A138" s="1">
        <v>46364.0</v>
      </c>
      <c r="B138" s="3" t="s">
        <v>150</v>
      </c>
      <c r="C138" s="3" t="s">
        <v>151</v>
      </c>
      <c r="D138" s="5">
        <v>1.0078785E8</v>
      </c>
      <c r="E138" s="4"/>
      <c r="F138" s="5" t="s">
        <v>3</v>
      </c>
      <c r="G138" s="4">
        <v>7.6767910095E8</v>
      </c>
      <c r="H138" s="4"/>
      <c r="I138" s="6"/>
    </row>
    <row r="139">
      <c r="A139" s="1">
        <v>46364.0</v>
      </c>
      <c r="B139" s="3" t="s">
        <v>150</v>
      </c>
      <c r="C139" s="3" t="s">
        <v>152</v>
      </c>
      <c r="D139" s="5">
        <v>4.74852E7</v>
      </c>
      <c r="E139" s="4"/>
      <c r="F139" s="5" t="s">
        <v>3</v>
      </c>
      <c r="G139" s="4">
        <v>7.2019390095E8</v>
      </c>
      <c r="H139" s="4"/>
      <c r="I139" s="6"/>
    </row>
    <row r="140">
      <c r="A140" s="1">
        <v>46364.0</v>
      </c>
      <c r="B140" s="3" t="s">
        <v>150</v>
      </c>
      <c r="C140" s="3" t="s">
        <v>153</v>
      </c>
      <c r="D140" s="5">
        <v>5.808838E7</v>
      </c>
      <c r="E140" s="4"/>
      <c r="F140" s="5" t="s">
        <v>3</v>
      </c>
      <c r="G140" s="4">
        <v>6.6210552095E8</v>
      </c>
      <c r="H140" s="4"/>
      <c r="I140" s="6"/>
    </row>
    <row r="141">
      <c r="A141" s="1">
        <v>46364.0</v>
      </c>
      <c r="B141" s="3" t="s">
        <v>150</v>
      </c>
      <c r="C141" s="3" t="s">
        <v>154</v>
      </c>
      <c r="D141" s="5">
        <v>5.545097E7</v>
      </c>
      <c r="E141" s="4"/>
      <c r="F141" s="5" t="s">
        <v>3</v>
      </c>
      <c r="G141" s="4">
        <v>6.0665455095E8</v>
      </c>
      <c r="H141" s="4"/>
      <c r="I141" s="6"/>
    </row>
    <row r="142">
      <c r="A142" s="1">
        <v>46364.0</v>
      </c>
      <c r="B142" s="3" t="s">
        <v>150</v>
      </c>
      <c r="C142" s="3" t="s">
        <v>155</v>
      </c>
      <c r="D142" s="5">
        <v>9.96E7</v>
      </c>
      <c r="E142" s="4"/>
      <c r="F142" s="5" t="s">
        <v>3</v>
      </c>
      <c r="G142" s="4">
        <v>5.0705455095000005E8</v>
      </c>
      <c r="H142" s="4"/>
      <c r="I142" s="6"/>
    </row>
    <row r="143">
      <c r="A143" s="1">
        <v>46364.0</v>
      </c>
      <c r="B143" s="3" t="s">
        <v>150</v>
      </c>
      <c r="C143" s="3" t="s">
        <v>156</v>
      </c>
      <c r="D143" s="5">
        <v>5.31E7</v>
      </c>
      <c r="E143" s="4"/>
      <c r="F143" s="5" t="s">
        <v>3</v>
      </c>
      <c r="G143" s="4">
        <v>4.5395455095000005E8</v>
      </c>
      <c r="H143" s="4"/>
      <c r="I143" s="6" t="s">
        <v>39</v>
      </c>
    </row>
    <row r="144">
      <c r="A144" s="1">
        <v>46364.0</v>
      </c>
      <c r="B144" s="3" t="s">
        <v>150</v>
      </c>
      <c r="C144" s="3" t="s">
        <v>157</v>
      </c>
      <c r="D144" s="5">
        <v>4.85184E7</v>
      </c>
      <c r="E144" s="4"/>
      <c r="F144" s="5" t="s">
        <v>3</v>
      </c>
      <c r="G144" s="4">
        <v>4.0543615095000005E8</v>
      </c>
      <c r="H144" s="5">
        <v>4.0543615095E8</v>
      </c>
      <c r="I144" s="6" t="s">
        <v>39</v>
      </c>
    </row>
    <row r="145">
      <c r="A145" s="1">
        <v>46364.0</v>
      </c>
      <c r="B145" s="3" t="s">
        <v>150</v>
      </c>
      <c r="C145" s="3" t="s">
        <v>158</v>
      </c>
      <c r="D145" s="5">
        <v>3.67907E7</v>
      </c>
      <c r="E145" s="4"/>
      <c r="F145" s="5" t="s">
        <v>3</v>
      </c>
      <c r="G145" s="4">
        <v>3.6864545095000005E8</v>
      </c>
      <c r="H145" s="5">
        <v>3.6864545095E8</v>
      </c>
      <c r="I145" s="6"/>
    </row>
    <row r="146">
      <c r="A146" s="1">
        <v>46364.0</v>
      </c>
      <c r="B146" s="3" t="s">
        <v>159</v>
      </c>
      <c r="C146" s="3" t="s">
        <v>160</v>
      </c>
      <c r="D146" s="5"/>
      <c r="E146" s="5">
        <v>1.0E8</v>
      </c>
      <c r="F146" s="5" t="s">
        <v>12</v>
      </c>
      <c r="G146" s="4">
        <v>4.6864545095000005E8</v>
      </c>
      <c r="H146" s="4"/>
      <c r="I146" s="6"/>
    </row>
    <row r="147">
      <c r="A147" s="1">
        <v>46364.0</v>
      </c>
      <c r="B147" s="3" t="s">
        <v>10</v>
      </c>
      <c r="C147" s="3" t="s">
        <v>161</v>
      </c>
      <c r="D147" s="5"/>
      <c r="E147" s="5">
        <v>5.635E7</v>
      </c>
      <c r="F147" s="5" t="s">
        <v>12</v>
      </c>
      <c r="G147" s="4">
        <v>5.2499545095000005E8</v>
      </c>
      <c r="H147" s="4"/>
      <c r="I147" s="6"/>
    </row>
    <row r="148">
      <c r="A148" s="1">
        <v>46364.0</v>
      </c>
      <c r="B148" s="3" t="s">
        <v>14</v>
      </c>
      <c r="C148" s="3" t="s">
        <v>162</v>
      </c>
      <c r="D148" s="5">
        <v>1500000.0</v>
      </c>
      <c r="E148" s="4"/>
      <c r="F148" s="5" t="s">
        <v>3</v>
      </c>
      <c r="G148" s="4">
        <v>5.2349545095000005E8</v>
      </c>
      <c r="H148" s="4"/>
      <c r="I148" s="6"/>
    </row>
    <row r="149">
      <c r="A149" s="1">
        <v>46364.0</v>
      </c>
      <c r="B149" s="3" t="s">
        <v>14</v>
      </c>
      <c r="C149" s="3" t="s">
        <v>163</v>
      </c>
      <c r="D149" s="5">
        <v>2500.0</v>
      </c>
      <c r="E149" s="4"/>
      <c r="F149" s="5" t="s">
        <v>3</v>
      </c>
      <c r="G149" s="4">
        <v>5.2349295095000005E8</v>
      </c>
      <c r="H149" s="4"/>
      <c r="I149" s="6"/>
    </row>
    <row r="150">
      <c r="A150" s="1">
        <v>46364.0</v>
      </c>
      <c r="B150" s="3" t="s">
        <v>1</v>
      </c>
      <c r="C150" s="3" t="s">
        <v>164</v>
      </c>
      <c r="D150" s="5">
        <v>1.165E8</v>
      </c>
      <c r="E150" s="4"/>
      <c r="F150" s="5" t="s">
        <v>3</v>
      </c>
      <c r="G150" s="4">
        <v>4.0699295095000005E8</v>
      </c>
      <c r="H150" s="4"/>
      <c r="I150" s="6"/>
    </row>
    <row r="151">
      <c r="A151" s="1">
        <v>46364.0</v>
      </c>
      <c r="B151" s="3" t="s">
        <v>1</v>
      </c>
      <c r="C151" s="3" t="s">
        <v>165</v>
      </c>
      <c r="D151" s="5">
        <v>9.0E7</v>
      </c>
      <c r="E151" s="4"/>
      <c r="F151" s="5" t="s">
        <v>3</v>
      </c>
      <c r="G151" s="4">
        <v>3.1699295095000005E8</v>
      </c>
      <c r="H151" s="4"/>
      <c r="I151" s="6"/>
    </row>
    <row r="152">
      <c r="A152" s="1">
        <v>46364.0</v>
      </c>
      <c r="B152" s="3" t="s">
        <v>1</v>
      </c>
      <c r="C152" s="3" t="s">
        <v>166</v>
      </c>
      <c r="D152" s="5">
        <v>1348905.0</v>
      </c>
      <c r="E152" s="4"/>
      <c r="F152" s="5" t="s">
        <v>3</v>
      </c>
      <c r="G152" s="4">
        <v>3.1564404595000005E8</v>
      </c>
      <c r="H152" s="4"/>
      <c r="I152" s="6"/>
    </row>
    <row r="153">
      <c r="A153" s="1">
        <v>46364.0</v>
      </c>
      <c r="B153" s="3" t="s">
        <v>1</v>
      </c>
      <c r="C153" s="3" t="s">
        <v>167</v>
      </c>
      <c r="D153" s="5">
        <v>1500000.0</v>
      </c>
      <c r="E153" s="4"/>
      <c r="F153" s="5" t="s">
        <v>3</v>
      </c>
      <c r="G153" s="4">
        <v>3.1414404595000005E8</v>
      </c>
      <c r="H153" s="4"/>
      <c r="I153" s="6"/>
    </row>
    <row r="154">
      <c r="A154" s="1">
        <v>46364.0</v>
      </c>
      <c r="B154" s="3" t="s">
        <v>1</v>
      </c>
      <c r="C154" s="3" t="s">
        <v>168</v>
      </c>
      <c r="D154" s="5">
        <v>1900000.0</v>
      </c>
      <c r="E154" s="4"/>
      <c r="F154" s="5" t="s">
        <v>3</v>
      </c>
      <c r="G154" s="4">
        <v>3.1224404595000005E8</v>
      </c>
      <c r="H154" s="4"/>
      <c r="I154" s="6"/>
    </row>
    <row r="155">
      <c r="A155" s="1">
        <v>46364.0</v>
      </c>
      <c r="B155" s="3" t="s">
        <v>1</v>
      </c>
      <c r="C155" s="3" t="s">
        <v>169</v>
      </c>
      <c r="D155" s="5">
        <v>2300000.0</v>
      </c>
      <c r="E155" s="4"/>
      <c r="F155" s="5" t="s">
        <v>3</v>
      </c>
      <c r="G155" s="4">
        <v>3.0994404595000005E8</v>
      </c>
      <c r="H155" s="4"/>
      <c r="I155" s="6"/>
    </row>
    <row r="156">
      <c r="A156" s="1">
        <v>46364.0</v>
      </c>
      <c r="B156" s="3" t="s">
        <v>1</v>
      </c>
      <c r="C156" s="3" t="s">
        <v>170</v>
      </c>
      <c r="D156" s="5">
        <v>4.72302E7</v>
      </c>
      <c r="E156" s="4"/>
      <c r="F156" s="5" t="s">
        <v>3</v>
      </c>
      <c r="G156" s="4">
        <v>2.6271384595000005E8</v>
      </c>
      <c r="H156" s="4"/>
      <c r="I156" s="6"/>
    </row>
    <row r="157">
      <c r="A157" s="1">
        <v>46364.0</v>
      </c>
      <c r="B157" s="3" t="s">
        <v>41</v>
      </c>
      <c r="C157" s="3" t="s">
        <v>171</v>
      </c>
      <c r="D157" s="5">
        <v>64500.0</v>
      </c>
      <c r="E157" s="4"/>
      <c r="F157" s="4"/>
      <c r="G157" s="4">
        <v>2.6264934595000005E8</v>
      </c>
      <c r="H157" s="4"/>
      <c r="I157" s="6"/>
    </row>
    <row r="158">
      <c r="A158" s="1">
        <v>46364.0</v>
      </c>
      <c r="B158" s="3" t="s">
        <v>1</v>
      </c>
      <c r="C158" s="3" t="s">
        <v>172</v>
      </c>
      <c r="D158" s="5">
        <v>1.329017E7</v>
      </c>
      <c r="E158" s="4"/>
      <c r="F158" s="5" t="s">
        <v>3</v>
      </c>
      <c r="G158" s="4">
        <v>2.4935917595000005E8</v>
      </c>
      <c r="H158" s="5">
        <v>2.4935917595E8</v>
      </c>
      <c r="I158" s="6"/>
    </row>
    <row r="159">
      <c r="A159" s="1">
        <v>46364.0</v>
      </c>
      <c r="B159" s="3" t="s">
        <v>10</v>
      </c>
      <c r="C159" s="3" t="s">
        <v>173</v>
      </c>
      <c r="D159" s="5"/>
      <c r="E159" s="5">
        <v>2.409711E8</v>
      </c>
      <c r="F159" s="5" t="s">
        <v>12</v>
      </c>
      <c r="G159" s="4">
        <v>4.9033027595000005E8</v>
      </c>
      <c r="H159" s="5">
        <v>4.9033027595E8</v>
      </c>
      <c r="I159" s="6"/>
    </row>
    <row r="160">
      <c r="A160" s="1">
        <v>46364.0</v>
      </c>
      <c r="B160" s="3" t="s">
        <v>10</v>
      </c>
      <c r="C160" s="3" t="s">
        <v>174</v>
      </c>
      <c r="D160" s="5"/>
      <c r="E160" s="5">
        <v>3088380.0</v>
      </c>
      <c r="F160" s="5" t="s">
        <v>12</v>
      </c>
      <c r="G160" s="4">
        <v>4.9341865595000005E8</v>
      </c>
      <c r="H160" s="4"/>
      <c r="I160" s="6"/>
    </row>
    <row r="161">
      <c r="A161" s="1">
        <v>46364.0</v>
      </c>
      <c r="B161" s="3" t="s">
        <v>10</v>
      </c>
      <c r="C161" s="3" t="s">
        <v>175</v>
      </c>
      <c r="D161" s="5"/>
      <c r="E161" s="5">
        <v>5.0E7</v>
      </c>
      <c r="F161" s="5" t="s">
        <v>12</v>
      </c>
      <c r="G161" s="4">
        <v>5.4341865595E8</v>
      </c>
      <c r="H161" s="5">
        <v>5.4341865595E8</v>
      </c>
      <c r="I161" s="6"/>
    </row>
    <row r="162">
      <c r="A162" s="1">
        <v>46365.0</v>
      </c>
      <c r="B162" s="3" t="s">
        <v>176</v>
      </c>
      <c r="C162" s="3" t="s">
        <v>177</v>
      </c>
      <c r="D162" s="5">
        <v>2500000.0</v>
      </c>
      <c r="E162" s="4"/>
      <c r="F162" s="5" t="s">
        <v>3</v>
      </c>
      <c r="G162" s="4">
        <v>5.4091865595E8</v>
      </c>
      <c r="H162" s="4"/>
      <c r="I162" s="6"/>
    </row>
    <row r="163">
      <c r="A163" s="1">
        <v>46365.0</v>
      </c>
      <c r="B163" s="3" t="s">
        <v>176</v>
      </c>
      <c r="C163" s="3" t="s">
        <v>178</v>
      </c>
      <c r="D163" s="5">
        <v>1800000.0</v>
      </c>
      <c r="E163" s="4"/>
      <c r="F163" s="5" t="s">
        <v>3</v>
      </c>
      <c r="G163" s="4">
        <v>5.3911865595E8</v>
      </c>
      <c r="H163" s="4"/>
      <c r="I163" s="6"/>
    </row>
    <row r="164">
      <c r="A164" s="1">
        <v>46365.0</v>
      </c>
      <c r="B164" s="3" t="s">
        <v>176</v>
      </c>
      <c r="C164" s="3" t="s">
        <v>179</v>
      </c>
      <c r="D164" s="5">
        <v>1.0274875E8</v>
      </c>
      <c r="E164" s="4"/>
      <c r="F164" s="5" t="s">
        <v>3</v>
      </c>
      <c r="G164" s="4">
        <v>4.3636990595000005E8</v>
      </c>
      <c r="H164" s="4"/>
      <c r="I164" s="6"/>
    </row>
    <row r="165">
      <c r="A165" s="1">
        <v>46365.0</v>
      </c>
      <c r="B165" s="3" t="s">
        <v>176</v>
      </c>
      <c r="C165" s="3" t="s">
        <v>180</v>
      </c>
      <c r="D165" s="5">
        <v>9.6E7</v>
      </c>
      <c r="E165" s="4"/>
      <c r="F165" s="5" t="s">
        <v>3</v>
      </c>
      <c r="G165" s="4">
        <v>3.4036990595000005E8</v>
      </c>
      <c r="H165" s="4"/>
      <c r="I165" s="6"/>
    </row>
    <row r="166">
      <c r="A166" s="1">
        <v>46365.0</v>
      </c>
      <c r="B166" s="3" t="s">
        <v>176</v>
      </c>
      <c r="C166" s="3" t="s">
        <v>181</v>
      </c>
      <c r="D166" s="5">
        <v>1800000.0</v>
      </c>
      <c r="E166" s="4"/>
      <c r="F166" s="5" t="s">
        <v>3</v>
      </c>
      <c r="G166" s="4">
        <v>3.3856990595000005E8</v>
      </c>
      <c r="H166" s="4"/>
      <c r="I166" s="6"/>
    </row>
    <row r="167">
      <c r="A167" s="1">
        <v>46365.0</v>
      </c>
      <c r="B167" s="3" t="s">
        <v>176</v>
      </c>
      <c r="C167" s="3" t="s">
        <v>182</v>
      </c>
      <c r="D167" s="5">
        <v>4.7566E7</v>
      </c>
      <c r="E167" s="4"/>
      <c r="F167" s="5" t="s">
        <v>3</v>
      </c>
      <c r="G167" s="4">
        <v>2.9100390595000005E8</v>
      </c>
      <c r="H167" s="4"/>
      <c r="I167" s="6"/>
    </row>
    <row r="168">
      <c r="A168" s="1">
        <v>46365.0</v>
      </c>
      <c r="B168" s="3" t="s">
        <v>176</v>
      </c>
      <c r="C168" s="3" t="s">
        <v>183</v>
      </c>
      <c r="D168" s="5">
        <v>4.1814E7</v>
      </c>
      <c r="E168" s="4"/>
      <c r="F168" s="5" t="s">
        <v>3</v>
      </c>
      <c r="G168" s="4">
        <v>2.4918990595000005E8</v>
      </c>
      <c r="H168" s="4"/>
      <c r="I168" s="6"/>
    </row>
    <row r="169">
      <c r="A169" s="1">
        <v>46365.0</v>
      </c>
      <c r="B169" s="3" t="s">
        <v>176</v>
      </c>
      <c r="C169" s="3" t="s">
        <v>184</v>
      </c>
      <c r="D169" s="5">
        <v>1800000.0</v>
      </c>
      <c r="E169" s="4"/>
      <c r="F169" s="5" t="s">
        <v>3</v>
      </c>
      <c r="G169" s="4">
        <v>2.4738990595000005E8</v>
      </c>
      <c r="H169" s="4"/>
      <c r="I169" s="6"/>
    </row>
    <row r="170">
      <c r="A170" s="1">
        <v>46365.0</v>
      </c>
      <c r="B170" s="3" t="s">
        <v>176</v>
      </c>
      <c r="C170" s="3" t="s">
        <v>185</v>
      </c>
      <c r="D170" s="5">
        <v>1.0E7</v>
      </c>
      <c r="E170" s="4"/>
      <c r="F170" s="5" t="s">
        <v>3</v>
      </c>
      <c r="G170" s="4">
        <v>2.3738990595000005E8</v>
      </c>
      <c r="H170" s="4"/>
      <c r="I170" s="6"/>
    </row>
    <row r="171">
      <c r="A171" s="1">
        <v>46365.0</v>
      </c>
      <c r="B171" s="3" t="s">
        <v>176</v>
      </c>
      <c r="C171" s="3" t="s">
        <v>186</v>
      </c>
      <c r="D171" s="5">
        <v>1.125864E8</v>
      </c>
      <c r="E171" s="4"/>
      <c r="F171" s="5" t="s">
        <v>3</v>
      </c>
      <c r="G171" s="4">
        <v>1.2480350595000005E8</v>
      </c>
      <c r="H171" s="5">
        <v>1.2480350595E8</v>
      </c>
      <c r="I171" s="6"/>
    </row>
    <row r="172">
      <c r="A172" s="1">
        <v>46365.0</v>
      </c>
      <c r="B172" s="3" t="s">
        <v>176</v>
      </c>
      <c r="C172" s="3" t="s">
        <v>187</v>
      </c>
      <c r="D172" s="5">
        <v>1.097711E8</v>
      </c>
      <c r="E172" s="4"/>
      <c r="F172" s="5" t="s">
        <v>3</v>
      </c>
      <c r="G172" s="4">
        <v>1.5032405950000048E7</v>
      </c>
      <c r="H172" s="5">
        <v>1.503240595E7</v>
      </c>
      <c r="I172" s="6"/>
    </row>
    <row r="173">
      <c r="A173" s="1">
        <v>46365.0</v>
      </c>
      <c r="B173" s="3" t="s">
        <v>176</v>
      </c>
      <c r="C173" s="3" t="s">
        <v>188</v>
      </c>
      <c r="D173" s="5">
        <v>4823000.0</v>
      </c>
      <c r="E173" s="4"/>
      <c r="F173" s="5" t="s">
        <v>3</v>
      </c>
      <c r="G173" s="4">
        <v>1.0209405950000048E7</v>
      </c>
      <c r="H173" s="4"/>
      <c r="I173" s="6"/>
    </row>
    <row r="174">
      <c r="A174" s="1">
        <v>46365.0</v>
      </c>
      <c r="B174" s="3" t="s">
        <v>189</v>
      </c>
      <c r="C174" s="3" t="s">
        <v>190</v>
      </c>
      <c r="D174" s="5"/>
      <c r="E174" s="5">
        <v>1.448E7</v>
      </c>
      <c r="F174" s="5" t="s">
        <v>12</v>
      </c>
      <c r="G174" s="4">
        <v>2.4689405950000048E7</v>
      </c>
      <c r="H174" s="4"/>
      <c r="I174" s="6"/>
    </row>
    <row r="175">
      <c r="A175" s="1">
        <v>46365.0</v>
      </c>
      <c r="B175" s="3" t="s">
        <v>189</v>
      </c>
      <c r="C175" s="3" t="s">
        <v>191</v>
      </c>
      <c r="D175" s="5"/>
      <c r="E175" s="5">
        <v>1.767E7</v>
      </c>
      <c r="F175" s="5" t="s">
        <v>12</v>
      </c>
      <c r="G175" s="4">
        <v>4.235940595000005E7</v>
      </c>
      <c r="H175" s="4"/>
      <c r="I175" s="6"/>
    </row>
    <row r="176">
      <c r="A176" s="1">
        <v>46365.0</v>
      </c>
      <c r="B176" s="3" t="s">
        <v>1</v>
      </c>
      <c r="C176" s="3" t="s">
        <v>192</v>
      </c>
      <c r="D176" s="5">
        <v>1.75515E7</v>
      </c>
      <c r="E176" s="4"/>
      <c r="F176" s="5" t="s">
        <v>3</v>
      </c>
      <c r="G176" s="4">
        <v>2.4807905950000048E7</v>
      </c>
      <c r="H176" s="4"/>
      <c r="I176" s="6"/>
    </row>
    <row r="177">
      <c r="A177" s="1">
        <v>46365.0</v>
      </c>
      <c r="B177" s="3" t="s">
        <v>1</v>
      </c>
      <c r="C177" s="3" t="s">
        <v>193</v>
      </c>
      <c r="D177" s="5">
        <v>4858240.0</v>
      </c>
      <c r="E177" s="4"/>
      <c r="F177" s="5" t="s">
        <v>3</v>
      </c>
      <c r="G177" s="4">
        <v>1.9949665950000048E7</v>
      </c>
      <c r="H177" s="4"/>
      <c r="I177" s="6"/>
    </row>
    <row r="178">
      <c r="A178" s="1">
        <v>46365.0</v>
      </c>
      <c r="B178" s="3" t="s">
        <v>1</v>
      </c>
      <c r="C178" s="3" t="s">
        <v>194</v>
      </c>
      <c r="D178" s="5">
        <v>2733730.0</v>
      </c>
      <c r="E178" s="4"/>
      <c r="F178" s="5" t="s">
        <v>3</v>
      </c>
      <c r="G178" s="4">
        <v>1.7215935950000048E7</v>
      </c>
      <c r="H178" s="4"/>
      <c r="I178" s="6" t="s">
        <v>39</v>
      </c>
    </row>
    <row r="179">
      <c r="A179" s="1">
        <v>46365.0</v>
      </c>
      <c r="B179" s="3" t="s">
        <v>1</v>
      </c>
      <c r="C179" s="3" t="s">
        <v>195</v>
      </c>
      <c r="D179" s="5">
        <v>2097700.0</v>
      </c>
      <c r="E179" s="4"/>
      <c r="F179" s="5" t="s">
        <v>3</v>
      </c>
      <c r="G179" s="4">
        <v>1.5118235950000048E7</v>
      </c>
      <c r="H179" s="4"/>
      <c r="I179" s="6"/>
    </row>
    <row r="180">
      <c r="A180" s="1">
        <v>46365.0</v>
      </c>
      <c r="B180" s="3" t="s">
        <v>1</v>
      </c>
      <c r="C180" s="3" t="s">
        <v>196</v>
      </c>
      <c r="D180" s="5">
        <v>4648160.0</v>
      </c>
      <c r="E180" s="4"/>
      <c r="F180" s="5" t="s">
        <v>3</v>
      </c>
      <c r="G180" s="4">
        <v>1.0470075950000048E7</v>
      </c>
      <c r="H180" s="4"/>
      <c r="I180" s="6"/>
    </row>
    <row r="181">
      <c r="A181" s="1">
        <v>46365.0</v>
      </c>
      <c r="B181" s="3" t="s">
        <v>1</v>
      </c>
      <c r="C181" s="3" t="s">
        <v>197</v>
      </c>
      <c r="D181" s="5">
        <v>1.042E7</v>
      </c>
      <c r="E181" s="4"/>
      <c r="F181" s="5" t="s">
        <v>3</v>
      </c>
      <c r="G181" s="4">
        <v>50075.950000047684</v>
      </c>
      <c r="H181" s="4"/>
      <c r="I181" s="6"/>
    </row>
    <row r="182">
      <c r="A182" s="1">
        <v>46365.0</v>
      </c>
      <c r="B182" s="3" t="s">
        <v>10</v>
      </c>
      <c r="C182" s="3" t="s">
        <v>198</v>
      </c>
      <c r="D182" s="5"/>
      <c r="E182" s="5">
        <v>1.098702E8</v>
      </c>
      <c r="F182" s="5" t="s">
        <v>12</v>
      </c>
      <c r="G182" s="4">
        <v>1.0992027595000005E8</v>
      </c>
      <c r="H182" s="4"/>
      <c r="I182" s="6"/>
    </row>
    <row r="183">
      <c r="A183" s="1">
        <v>46365.0</v>
      </c>
      <c r="B183" s="3" t="s">
        <v>10</v>
      </c>
      <c r="C183" s="3" t="s">
        <v>199</v>
      </c>
      <c r="D183" s="5"/>
      <c r="E183" s="5">
        <v>2.096648E8</v>
      </c>
      <c r="F183" s="5" t="s">
        <v>12</v>
      </c>
      <c r="G183" s="4">
        <v>3.1958507595000005E8</v>
      </c>
      <c r="H183" s="4"/>
      <c r="I183" s="6"/>
    </row>
    <row r="184">
      <c r="A184" s="1">
        <v>46365.0</v>
      </c>
      <c r="B184" s="3" t="s">
        <v>10</v>
      </c>
      <c r="C184" s="3" t="s">
        <v>200</v>
      </c>
      <c r="D184" s="5"/>
      <c r="E184" s="5">
        <v>2.0981567E8</v>
      </c>
      <c r="F184" s="5" t="s">
        <v>12</v>
      </c>
      <c r="G184" s="4">
        <v>5.2940074595000005E8</v>
      </c>
      <c r="H184" s="5">
        <v>5.2940074595E8</v>
      </c>
      <c r="I184" s="6"/>
    </row>
    <row r="185">
      <c r="A185" s="1">
        <v>46365.0</v>
      </c>
      <c r="B185" s="3" t="s">
        <v>1</v>
      </c>
      <c r="C185" s="3" t="s">
        <v>201</v>
      </c>
      <c r="D185" s="5">
        <v>1000000.0</v>
      </c>
      <c r="E185" s="4"/>
      <c r="F185" s="5" t="s">
        <v>3</v>
      </c>
      <c r="G185" s="4">
        <v>5.2840074595000005E8</v>
      </c>
      <c r="H185" s="5">
        <v>5.2840074595E8</v>
      </c>
      <c r="I185" s="6"/>
    </row>
    <row r="186">
      <c r="A186" s="1">
        <v>46365.0</v>
      </c>
      <c r="B186" s="3" t="s">
        <v>10</v>
      </c>
      <c r="C186" s="3" t="s">
        <v>202</v>
      </c>
      <c r="D186" s="5"/>
      <c r="E186" s="5">
        <v>1000000.0</v>
      </c>
      <c r="F186" s="5" t="s">
        <v>12</v>
      </c>
      <c r="G186" s="4">
        <v>5.2940074595000005E8</v>
      </c>
      <c r="H186" s="4"/>
      <c r="I186" s="6"/>
    </row>
    <row r="187">
      <c r="A187" s="1">
        <v>46365.0</v>
      </c>
      <c r="B187" s="3" t="s">
        <v>203</v>
      </c>
      <c r="C187" s="3" t="s">
        <v>203</v>
      </c>
      <c r="D187" s="5">
        <v>100000.0</v>
      </c>
      <c r="E187" s="4"/>
      <c r="F187" s="4"/>
      <c r="G187" s="4">
        <v>5.2930074595000005E8</v>
      </c>
      <c r="H187" s="4"/>
      <c r="I187" s="6"/>
    </row>
    <row r="188">
      <c r="A188" s="1">
        <v>46365.0</v>
      </c>
      <c r="B188" s="3" t="s">
        <v>14</v>
      </c>
      <c r="C188" s="3" t="s">
        <v>204</v>
      </c>
      <c r="D188" s="5">
        <v>4650000.0</v>
      </c>
      <c r="E188" s="4"/>
      <c r="F188" s="5" t="s">
        <v>3</v>
      </c>
      <c r="G188" s="4">
        <v>5.2465074595000005E8</v>
      </c>
      <c r="H188" s="4"/>
      <c r="I188" s="6"/>
    </row>
    <row r="189">
      <c r="A189" s="1">
        <v>46365.0</v>
      </c>
      <c r="B189" s="3" t="s">
        <v>14</v>
      </c>
      <c r="C189" s="3" t="s">
        <v>205</v>
      </c>
      <c r="D189" s="5">
        <v>2500.0</v>
      </c>
      <c r="E189" s="4"/>
      <c r="F189" s="5" t="s">
        <v>3</v>
      </c>
      <c r="G189" s="4">
        <v>5.2464824595000005E8</v>
      </c>
      <c r="H189" s="4"/>
      <c r="I189" s="6"/>
    </row>
    <row r="190">
      <c r="A190" s="1">
        <v>46365.0</v>
      </c>
      <c r="B190" s="3" t="s">
        <v>1</v>
      </c>
      <c r="C190" s="3" t="s">
        <v>206</v>
      </c>
      <c r="D190" s="5">
        <v>1700000.0</v>
      </c>
      <c r="E190" s="4"/>
      <c r="F190" s="5" t="s">
        <v>3</v>
      </c>
      <c r="G190" s="4">
        <v>5.2294824595000005E8</v>
      </c>
      <c r="H190" s="5">
        <v>5.2294824595E8</v>
      </c>
      <c r="I190" s="6"/>
    </row>
    <row r="191">
      <c r="A191" s="8">
        <v>46366.0</v>
      </c>
      <c r="B191" s="3" t="s">
        <v>203</v>
      </c>
      <c r="C191" s="3" t="s">
        <v>203</v>
      </c>
      <c r="D191" s="5">
        <v>500000.0</v>
      </c>
      <c r="E191" s="4"/>
      <c r="F191" s="4"/>
      <c r="G191" s="4">
        <v>5.2244824595000005E8</v>
      </c>
      <c r="H191" s="4"/>
      <c r="I191" s="6"/>
    </row>
    <row r="192">
      <c r="A192" s="8">
        <v>46366.0</v>
      </c>
      <c r="B192" s="3" t="s">
        <v>207</v>
      </c>
      <c r="C192" s="3" t="s">
        <v>208</v>
      </c>
      <c r="D192" s="5"/>
      <c r="E192" s="5">
        <v>1.1598796E8</v>
      </c>
      <c r="F192" s="5" t="s">
        <v>12</v>
      </c>
      <c r="G192" s="4">
        <v>6.3843620595E8</v>
      </c>
      <c r="H192" s="4"/>
      <c r="I192" s="6"/>
    </row>
    <row r="193">
      <c r="A193" s="8">
        <v>46366.0</v>
      </c>
      <c r="B193" s="3" t="s">
        <v>1</v>
      </c>
      <c r="C193" s="3" t="s">
        <v>209</v>
      </c>
      <c r="D193" s="5">
        <v>1.735044E7</v>
      </c>
      <c r="E193" s="4"/>
      <c r="F193" s="5" t="s">
        <v>3</v>
      </c>
      <c r="G193" s="4">
        <v>6.2108576595E8</v>
      </c>
      <c r="H193" s="4"/>
      <c r="I193" s="6"/>
    </row>
    <row r="194">
      <c r="A194" s="8">
        <v>46366.0</v>
      </c>
      <c r="B194" s="3" t="s">
        <v>1</v>
      </c>
      <c r="C194" s="3" t="s">
        <v>210</v>
      </c>
      <c r="D194" s="5">
        <v>500000.0</v>
      </c>
      <c r="E194" s="4"/>
      <c r="F194" s="5" t="s">
        <v>3</v>
      </c>
      <c r="G194" s="4">
        <v>6.2058576595E8</v>
      </c>
      <c r="H194" s="4"/>
      <c r="I194" s="6"/>
    </row>
    <row r="195">
      <c r="A195" s="8">
        <v>46366.0</v>
      </c>
      <c r="B195" s="3" t="s">
        <v>10</v>
      </c>
      <c r="C195" s="3" t="s">
        <v>211</v>
      </c>
      <c r="D195" s="5"/>
      <c r="E195" s="5">
        <v>1484000.0</v>
      </c>
      <c r="F195" s="5" t="s">
        <v>12</v>
      </c>
      <c r="G195" s="4">
        <v>6.2206976595E8</v>
      </c>
      <c r="H195" s="4"/>
      <c r="I195" s="6"/>
    </row>
    <row r="196">
      <c r="A196" s="8">
        <v>46366.0</v>
      </c>
      <c r="B196" s="3" t="s">
        <v>1</v>
      </c>
      <c r="C196" s="3" t="s">
        <v>212</v>
      </c>
      <c r="D196" s="5">
        <v>1.0E8</v>
      </c>
      <c r="E196" s="4"/>
      <c r="F196" s="5" t="s">
        <v>3</v>
      </c>
      <c r="G196" s="4">
        <v>5.2206976595000005E8</v>
      </c>
      <c r="H196" s="4"/>
      <c r="I196" s="6" t="s">
        <v>39</v>
      </c>
    </row>
    <row r="197">
      <c r="A197" s="8">
        <v>46366.0</v>
      </c>
      <c r="B197" s="3" t="s">
        <v>1</v>
      </c>
      <c r="C197" s="3" t="s">
        <v>213</v>
      </c>
      <c r="D197" s="5">
        <v>5.260194E7</v>
      </c>
      <c r="E197" s="4"/>
      <c r="F197" s="5" t="s">
        <v>3</v>
      </c>
      <c r="G197" s="4">
        <v>4.6946782595000005E8</v>
      </c>
      <c r="H197" s="4"/>
      <c r="I197" s="6" t="s">
        <v>39</v>
      </c>
    </row>
    <row r="198">
      <c r="A198" s="8">
        <v>46366.0</v>
      </c>
      <c r="B198" s="3" t="s">
        <v>1</v>
      </c>
      <c r="C198" s="3" t="s">
        <v>214</v>
      </c>
      <c r="D198" s="5">
        <v>1.0347578E8</v>
      </c>
      <c r="E198" s="4"/>
      <c r="F198" s="5" t="s">
        <v>3</v>
      </c>
      <c r="G198" s="4">
        <v>3.6599204595000005E8</v>
      </c>
      <c r="H198" s="4"/>
      <c r="I198" s="6" t="s">
        <v>39</v>
      </c>
    </row>
    <row r="199">
      <c r="A199" s="8">
        <v>46366.0</v>
      </c>
      <c r="B199" s="3" t="s">
        <v>1</v>
      </c>
      <c r="C199" s="3" t="s">
        <v>215</v>
      </c>
      <c r="D199" s="5">
        <v>5.612E7</v>
      </c>
      <c r="E199" s="4"/>
      <c r="F199" s="5" t="s">
        <v>3</v>
      </c>
      <c r="G199" s="4">
        <v>3.0987204595000005E8</v>
      </c>
      <c r="H199" s="5">
        <v>3.0987204595E8</v>
      </c>
      <c r="I199" s="6"/>
    </row>
    <row r="200">
      <c r="A200" s="8">
        <v>46366.0</v>
      </c>
      <c r="B200" s="3" t="s">
        <v>1</v>
      </c>
      <c r="C200" s="3" t="s">
        <v>216</v>
      </c>
      <c r="D200" s="5">
        <v>1.478235E8</v>
      </c>
      <c r="E200" s="4"/>
      <c r="F200" s="5" t="s">
        <v>3</v>
      </c>
      <c r="G200" s="4">
        <v>1.6204854595000005E8</v>
      </c>
      <c r="H200" s="5">
        <v>1.6204854595E8</v>
      </c>
      <c r="I200" s="6"/>
    </row>
    <row r="201">
      <c r="A201" s="8">
        <v>46366.0</v>
      </c>
      <c r="B201" s="3" t="s">
        <v>1</v>
      </c>
      <c r="C201" s="3" t="s">
        <v>217</v>
      </c>
      <c r="D201" s="5">
        <v>5773230.0</v>
      </c>
      <c r="E201" s="4"/>
      <c r="F201" s="5" t="s">
        <v>3</v>
      </c>
      <c r="G201" s="4">
        <v>1.5627531595000005E8</v>
      </c>
      <c r="H201" s="4"/>
      <c r="I201" s="6"/>
    </row>
    <row r="202">
      <c r="A202" s="8">
        <v>46366.0</v>
      </c>
      <c r="B202" s="3" t="s">
        <v>1</v>
      </c>
      <c r="C202" s="3" t="s">
        <v>218</v>
      </c>
      <c r="D202" s="5">
        <v>2000000.0</v>
      </c>
      <c r="E202" s="4"/>
      <c r="F202" s="5" t="s">
        <v>3</v>
      </c>
      <c r="G202" s="4">
        <v>1.5427531595000005E8</v>
      </c>
      <c r="H202" s="4"/>
      <c r="I202" s="6"/>
    </row>
    <row r="203">
      <c r="A203" s="8">
        <v>46366.0</v>
      </c>
      <c r="B203" s="3" t="s">
        <v>1</v>
      </c>
      <c r="C203" s="3" t="s">
        <v>219</v>
      </c>
      <c r="D203" s="5">
        <v>2222400.0</v>
      </c>
      <c r="E203" s="4"/>
      <c r="F203" s="5" t="s">
        <v>3</v>
      </c>
      <c r="G203" s="4">
        <v>1.5205291595000005E8</v>
      </c>
      <c r="H203" s="4"/>
      <c r="I203" s="6"/>
    </row>
    <row r="204">
      <c r="A204" s="8">
        <v>46366.0</v>
      </c>
      <c r="B204" s="3" t="s">
        <v>1</v>
      </c>
      <c r="C204" s="3" t="s">
        <v>220</v>
      </c>
      <c r="D204" s="5">
        <v>325000.0</v>
      </c>
      <c r="E204" s="4"/>
      <c r="F204" s="5" t="s">
        <v>3</v>
      </c>
      <c r="G204" s="4">
        <v>1.5172791595000005E8</v>
      </c>
      <c r="H204" s="4"/>
      <c r="I204" s="6"/>
    </row>
    <row r="205">
      <c r="A205" s="9">
        <v>46366.0</v>
      </c>
      <c r="B205" s="10" t="s">
        <v>221</v>
      </c>
      <c r="C205" s="10" t="s">
        <v>221</v>
      </c>
      <c r="D205" s="11">
        <v>500000.0</v>
      </c>
      <c r="E205" s="12"/>
      <c r="F205" s="12"/>
      <c r="G205" s="12">
        <v>1.5122791595000005E8</v>
      </c>
      <c r="H205" s="11">
        <v>1.5122791595E8</v>
      </c>
      <c r="I205" s="6"/>
    </row>
    <row r="206">
      <c r="A206" s="8">
        <v>46367.0</v>
      </c>
      <c r="B206" s="3" t="s">
        <v>222</v>
      </c>
      <c r="C206" s="3" t="s">
        <v>223</v>
      </c>
      <c r="D206" s="5"/>
      <c r="E206" s="5">
        <v>1.0E8</v>
      </c>
      <c r="F206" s="5" t="s">
        <v>12</v>
      </c>
      <c r="G206" s="4">
        <v>2.5122791595000005E8</v>
      </c>
      <c r="H206" s="4"/>
      <c r="I206" s="6"/>
    </row>
    <row r="207">
      <c r="A207" s="8">
        <v>46367.0</v>
      </c>
      <c r="B207" s="3" t="s">
        <v>10</v>
      </c>
      <c r="C207" s="3" t="s">
        <v>224</v>
      </c>
      <c r="D207" s="5"/>
      <c r="E207" s="5">
        <v>2.0455E7</v>
      </c>
      <c r="F207" s="5" t="s">
        <v>12</v>
      </c>
      <c r="G207" s="4">
        <v>2.7168291595000005E8</v>
      </c>
      <c r="H207" s="4"/>
      <c r="I207" s="6"/>
    </row>
    <row r="208">
      <c r="A208" s="8">
        <v>46367.0</v>
      </c>
      <c r="B208" s="3" t="s">
        <v>1</v>
      </c>
      <c r="C208" s="3" t="s">
        <v>225</v>
      </c>
      <c r="D208" s="5">
        <v>5.65554E7</v>
      </c>
      <c r="E208" s="4"/>
      <c r="F208" s="5" t="s">
        <v>3</v>
      </c>
      <c r="G208" s="4">
        <v>2.1512751595000005E8</v>
      </c>
      <c r="H208" s="4"/>
      <c r="I208" s="6" t="s">
        <v>39</v>
      </c>
    </row>
    <row r="209">
      <c r="A209" s="8">
        <v>46367.0</v>
      </c>
      <c r="B209" s="3" t="s">
        <v>1</v>
      </c>
      <c r="C209" s="3" t="s">
        <v>226</v>
      </c>
      <c r="D209" s="5">
        <v>5.775E7</v>
      </c>
      <c r="E209" s="4"/>
      <c r="F209" s="5" t="s">
        <v>3</v>
      </c>
      <c r="G209" s="4">
        <v>1.5737751595000005E8</v>
      </c>
      <c r="H209" s="4"/>
      <c r="I209" s="6" t="s">
        <v>39</v>
      </c>
    </row>
    <row r="210">
      <c r="A210" s="8">
        <v>46367.0</v>
      </c>
      <c r="B210" s="3" t="s">
        <v>1</v>
      </c>
      <c r="C210" s="3" t="s">
        <v>227</v>
      </c>
      <c r="D210" s="5">
        <v>5.86296E7</v>
      </c>
      <c r="E210" s="4"/>
      <c r="F210" s="5" t="s">
        <v>3</v>
      </c>
      <c r="G210" s="4">
        <v>9.874791595000005E7</v>
      </c>
      <c r="H210" s="4"/>
      <c r="I210" s="6" t="s">
        <v>39</v>
      </c>
    </row>
    <row r="211">
      <c r="A211" s="8">
        <v>46367.0</v>
      </c>
      <c r="B211" s="3" t="s">
        <v>228</v>
      </c>
      <c r="C211" s="3" t="s">
        <v>229</v>
      </c>
      <c r="E211" s="5">
        <v>1.1388065E8</v>
      </c>
      <c r="F211" s="4"/>
      <c r="G211" s="4">
        <v>2.1262856595000005E8</v>
      </c>
      <c r="H211" s="4"/>
      <c r="I211" s="6" t="s">
        <v>39</v>
      </c>
    </row>
    <row r="212">
      <c r="A212" s="8">
        <v>46367.0</v>
      </c>
      <c r="B212" s="3" t="s">
        <v>1</v>
      </c>
      <c r="C212" s="3" t="s">
        <v>230</v>
      </c>
      <c r="D212" s="5">
        <v>4.62E7</v>
      </c>
      <c r="E212" s="4"/>
      <c r="F212" s="5" t="s">
        <v>3</v>
      </c>
      <c r="G212" s="4">
        <v>1.6642856595000005E8</v>
      </c>
      <c r="H212" s="4"/>
      <c r="I212" s="6" t="s">
        <v>39</v>
      </c>
    </row>
    <row r="213">
      <c r="A213" s="8">
        <v>46367.0</v>
      </c>
      <c r="B213" s="3" t="s">
        <v>10</v>
      </c>
      <c r="C213" s="3" t="s">
        <v>231</v>
      </c>
      <c r="D213" s="5"/>
      <c r="E213" s="5">
        <v>9.99495E7</v>
      </c>
      <c r="F213" s="5" t="s">
        <v>12</v>
      </c>
      <c r="G213" s="4">
        <v>2.6637806595000005E8</v>
      </c>
      <c r="H213" s="5">
        <v>2.6637806595E8</v>
      </c>
      <c r="I213" s="6" t="s">
        <v>39</v>
      </c>
    </row>
    <row r="214">
      <c r="A214" s="8">
        <v>46367.0</v>
      </c>
      <c r="B214" s="3" t="s">
        <v>10</v>
      </c>
      <c r="C214" s="3" t="s">
        <v>232</v>
      </c>
      <c r="D214" s="5"/>
      <c r="E214" s="5">
        <v>1.56776099E8</v>
      </c>
      <c r="F214" s="5" t="s">
        <v>12</v>
      </c>
      <c r="G214" s="4">
        <v>4.2315416495000005E8</v>
      </c>
      <c r="H214" s="5">
        <v>4.2315416495E8</v>
      </c>
      <c r="I214" s="6" t="s">
        <v>39</v>
      </c>
    </row>
    <row r="215">
      <c r="A215" s="8">
        <v>46367.0</v>
      </c>
      <c r="B215" s="3" t="s">
        <v>10</v>
      </c>
      <c r="C215" s="3" t="s">
        <v>233</v>
      </c>
      <c r="D215" s="5"/>
      <c r="E215" s="5">
        <v>1.9752904E8</v>
      </c>
      <c r="F215" s="5" t="s">
        <v>12</v>
      </c>
      <c r="G215" s="4">
        <v>6.2068320495E8</v>
      </c>
      <c r="H215" s="4"/>
      <c r="I215" s="6" t="s">
        <v>39</v>
      </c>
    </row>
    <row r="216">
      <c r="A216" s="8">
        <v>46367.0</v>
      </c>
      <c r="B216" s="3" t="s">
        <v>1</v>
      </c>
      <c r="C216" s="3" t="s">
        <v>234</v>
      </c>
      <c r="D216" s="5">
        <v>5.0847E7</v>
      </c>
      <c r="E216" s="4"/>
      <c r="F216" s="5" t="s">
        <v>3</v>
      </c>
      <c r="G216" s="4">
        <v>5.6983620495E8</v>
      </c>
      <c r="H216" s="4"/>
      <c r="I216" s="6"/>
    </row>
    <row r="217">
      <c r="A217" s="8">
        <v>46367.0</v>
      </c>
      <c r="B217" s="3" t="s">
        <v>1</v>
      </c>
      <c r="C217" s="3" t="s">
        <v>235</v>
      </c>
      <c r="D217" s="5">
        <v>4.93952E7</v>
      </c>
      <c r="E217" s="4"/>
      <c r="F217" s="5" t="s">
        <v>3</v>
      </c>
      <c r="G217" s="4">
        <v>5.2044100495000005E8</v>
      </c>
      <c r="H217" s="4"/>
      <c r="I217" s="6"/>
    </row>
    <row r="218">
      <c r="A218" s="8">
        <v>46367.0</v>
      </c>
      <c r="B218" s="3" t="s">
        <v>1</v>
      </c>
      <c r="C218" s="3" t="s">
        <v>236</v>
      </c>
      <c r="D218" s="5">
        <v>2000000.0</v>
      </c>
      <c r="E218" s="4"/>
      <c r="F218" s="5" t="s">
        <v>3</v>
      </c>
      <c r="G218" s="4">
        <v>5.1844100495000005E8</v>
      </c>
      <c r="H218" s="4"/>
      <c r="I218" s="6" t="s">
        <v>39</v>
      </c>
    </row>
    <row r="219">
      <c r="A219" s="8">
        <v>46367.0</v>
      </c>
      <c r="B219" s="3" t="s">
        <v>1</v>
      </c>
      <c r="C219" s="3" t="s">
        <v>237</v>
      </c>
      <c r="D219" s="5">
        <v>5.425E7</v>
      </c>
      <c r="E219" s="4"/>
      <c r="F219" s="5" t="s">
        <v>3</v>
      </c>
      <c r="G219" s="4">
        <v>4.6419100495000005E8</v>
      </c>
      <c r="H219" s="4"/>
      <c r="I219" s="6" t="s">
        <v>39</v>
      </c>
    </row>
    <row r="220">
      <c r="A220" s="8">
        <v>46367.0</v>
      </c>
      <c r="B220" s="3" t="s">
        <v>10</v>
      </c>
      <c r="C220" s="3" t="s">
        <v>238</v>
      </c>
      <c r="D220" s="5"/>
      <c r="E220" s="5">
        <v>1.47243E7</v>
      </c>
      <c r="F220" s="5" t="s">
        <v>12</v>
      </c>
      <c r="G220" s="4">
        <v>4.7891530495000005E8</v>
      </c>
      <c r="H220" s="4"/>
      <c r="I220" s="6"/>
    </row>
    <row r="221">
      <c r="A221" s="8">
        <v>46367.0</v>
      </c>
      <c r="B221" s="3" t="s">
        <v>10</v>
      </c>
      <c r="C221" s="3" t="s">
        <v>239</v>
      </c>
      <c r="D221" s="5"/>
      <c r="E221" s="5">
        <v>5.285E7</v>
      </c>
      <c r="F221" s="5" t="s">
        <v>12</v>
      </c>
      <c r="G221" s="4">
        <v>5.3176530495000005E8</v>
      </c>
      <c r="H221" s="4"/>
      <c r="I221" s="6" t="s">
        <v>39</v>
      </c>
    </row>
    <row r="222">
      <c r="A222" s="8">
        <v>46367.0</v>
      </c>
      <c r="B222" s="3" t="s">
        <v>41</v>
      </c>
      <c r="C222" s="3" t="s">
        <v>63</v>
      </c>
      <c r="D222" s="5">
        <v>422800.0</v>
      </c>
      <c r="E222" s="4"/>
      <c r="F222" s="4"/>
      <c r="G222" s="4">
        <v>5.3134250495000005E8</v>
      </c>
      <c r="H222" s="4"/>
      <c r="I222" s="6"/>
    </row>
    <row r="223">
      <c r="A223" s="8">
        <v>46367.0</v>
      </c>
      <c r="B223" s="3" t="s">
        <v>1</v>
      </c>
      <c r="C223" s="3" t="s">
        <v>240</v>
      </c>
      <c r="D223" s="5">
        <v>5.26779E7</v>
      </c>
      <c r="E223" s="4"/>
      <c r="F223" s="5" t="s">
        <v>3</v>
      </c>
      <c r="G223" s="4">
        <v>4.7866460495000005E8</v>
      </c>
      <c r="H223" s="4"/>
      <c r="I223" s="6" t="s">
        <v>39</v>
      </c>
    </row>
    <row r="224">
      <c r="A224" s="8">
        <v>46367.0</v>
      </c>
      <c r="B224" s="3" t="s">
        <v>1</v>
      </c>
      <c r="C224" s="3" t="s">
        <v>241</v>
      </c>
      <c r="D224" s="5">
        <v>1.010569E8</v>
      </c>
      <c r="E224" s="4"/>
      <c r="F224" s="5" t="s">
        <v>3</v>
      </c>
      <c r="G224" s="4">
        <v>3.7760770495000005E8</v>
      </c>
      <c r="H224" s="4"/>
      <c r="I224" s="6"/>
    </row>
    <row r="225">
      <c r="A225" s="8">
        <v>46367.0</v>
      </c>
      <c r="B225" s="3" t="s">
        <v>1</v>
      </c>
      <c r="C225" s="3" t="s">
        <v>242</v>
      </c>
      <c r="D225" s="5">
        <v>3.6806E7</v>
      </c>
      <c r="E225" s="4"/>
      <c r="F225" s="5" t="s">
        <v>3</v>
      </c>
      <c r="G225" s="4">
        <v>3.4080170495000005E8</v>
      </c>
      <c r="H225" s="4"/>
      <c r="I225" s="6"/>
    </row>
    <row r="226">
      <c r="A226" s="8">
        <v>46367.0</v>
      </c>
      <c r="B226" s="3" t="s">
        <v>1</v>
      </c>
      <c r="C226" s="3" t="s">
        <v>243</v>
      </c>
      <c r="D226" s="5">
        <v>1.0277378E8</v>
      </c>
      <c r="E226" s="4"/>
      <c r="F226" s="5" t="s">
        <v>3</v>
      </c>
      <c r="G226" s="4">
        <v>2.3802792495000005E8</v>
      </c>
      <c r="H226" s="5">
        <v>2.3802792495E8</v>
      </c>
      <c r="I226" s="6"/>
    </row>
    <row r="227">
      <c r="A227" s="8">
        <v>46367.0</v>
      </c>
      <c r="B227" s="3" t="s">
        <v>1</v>
      </c>
      <c r="C227" s="3" t="s">
        <v>244</v>
      </c>
      <c r="D227" s="5">
        <v>1.942976E8</v>
      </c>
      <c r="E227" s="4"/>
      <c r="F227" s="5" t="s">
        <v>3</v>
      </c>
      <c r="G227" s="4">
        <v>4.373032495000005E7</v>
      </c>
      <c r="H227" s="5">
        <v>4.373032495E7</v>
      </c>
      <c r="I227" s="6"/>
    </row>
    <row r="228">
      <c r="A228" s="8">
        <v>46368.0</v>
      </c>
      <c r="B228" s="3" t="s">
        <v>245</v>
      </c>
      <c r="C228" s="3" t="s">
        <v>246</v>
      </c>
      <c r="D228" s="5"/>
      <c r="E228" s="5">
        <v>4.5E7</v>
      </c>
      <c r="F228" s="5" t="s">
        <v>12</v>
      </c>
      <c r="G228" s="4">
        <v>8.873032495000005E7</v>
      </c>
      <c r="H228" s="4"/>
      <c r="I228" s="6"/>
    </row>
    <row r="229">
      <c r="A229" s="8">
        <v>46368.0</v>
      </c>
      <c r="B229" s="3" t="s">
        <v>245</v>
      </c>
      <c r="C229" s="3" t="s">
        <v>247</v>
      </c>
      <c r="D229" s="5"/>
      <c r="E229" s="5">
        <v>1.0497055E8</v>
      </c>
      <c r="F229" s="5" t="s">
        <v>12</v>
      </c>
      <c r="G229" s="4">
        <v>1.9370087495000005E8</v>
      </c>
      <c r="H229" s="4"/>
      <c r="I229" s="6"/>
    </row>
    <row r="230">
      <c r="A230" s="8">
        <v>46368.0</v>
      </c>
      <c r="B230" s="3" t="s">
        <v>1</v>
      </c>
      <c r="C230" s="3" t="s">
        <v>248</v>
      </c>
      <c r="D230" s="5">
        <v>4.681E7</v>
      </c>
      <c r="E230" s="4"/>
      <c r="F230" s="5" t="s">
        <v>3</v>
      </c>
      <c r="G230" s="4">
        <v>1.4689087495000005E8</v>
      </c>
      <c r="H230" s="4"/>
      <c r="I230" s="6" t="s">
        <v>39</v>
      </c>
    </row>
    <row r="231">
      <c r="A231" s="8">
        <v>46368.0</v>
      </c>
      <c r="B231" s="3" t="s">
        <v>1</v>
      </c>
      <c r="C231" s="3" t="s">
        <v>249</v>
      </c>
      <c r="D231" s="5">
        <v>6.209485E7</v>
      </c>
      <c r="E231" s="4"/>
      <c r="F231" s="5" t="s">
        <v>3</v>
      </c>
      <c r="G231" s="4">
        <v>8.479602495000005E7</v>
      </c>
      <c r="H231" s="4"/>
      <c r="I231" s="6" t="s">
        <v>39</v>
      </c>
    </row>
    <row r="232">
      <c r="A232" s="8">
        <v>46368.0</v>
      </c>
      <c r="B232" s="3" t="s">
        <v>1</v>
      </c>
      <c r="C232" s="3" t="s">
        <v>250</v>
      </c>
      <c r="D232" s="5">
        <v>2.064E7</v>
      </c>
      <c r="E232" s="4"/>
      <c r="F232" s="5" t="s">
        <v>3</v>
      </c>
      <c r="G232" s="4">
        <v>6.415602495000005E7</v>
      </c>
      <c r="H232" s="4"/>
      <c r="I232" s="6" t="s">
        <v>39</v>
      </c>
    </row>
    <row r="233">
      <c r="A233" s="8">
        <v>46368.0</v>
      </c>
      <c r="B233" s="3" t="s">
        <v>1</v>
      </c>
      <c r="C233" s="3" t="s">
        <v>251</v>
      </c>
      <c r="D233" s="5">
        <v>5.348682E7</v>
      </c>
      <c r="E233" s="4"/>
      <c r="F233" s="5" t="s">
        <v>3</v>
      </c>
      <c r="G233" s="4">
        <v>1.0669204950000048E7</v>
      </c>
      <c r="H233" s="4"/>
      <c r="I233" s="6" t="s">
        <v>39</v>
      </c>
    </row>
    <row r="234">
      <c r="A234" s="8">
        <v>46368.0</v>
      </c>
      <c r="B234" s="3" t="s">
        <v>1</v>
      </c>
      <c r="C234" s="3" t="s">
        <v>252</v>
      </c>
      <c r="D234" s="5">
        <v>3200000.0</v>
      </c>
      <c r="E234" s="4"/>
      <c r="F234" s="5" t="s">
        <v>3</v>
      </c>
      <c r="G234" s="4">
        <v>7469204.950000048</v>
      </c>
      <c r="H234" s="4"/>
      <c r="I234" s="6" t="s">
        <v>39</v>
      </c>
    </row>
    <row r="235">
      <c r="A235" s="8">
        <v>46368.0</v>
      </c>
      <c r="B235" s="3" t="s">
        <v>1</v>
      </c>
      <c r="C235" s="3" t="s">
        <v>253</v>
      </c>
      <c r="D235" s="5">
        <v>1870280.0</v>
      </c>
      <c r="E235" s="4"/>
      <c r="F235" s="5" t="s">
        <v>3</v>
      </c>
      <c r="G235" s="4">
        <v>5598924.950000048</v>
      </c>
      <c r="H235" s="4"/>
      <c r="I235" s="6" t="s">
        <v>39</v>
      </c>
    </row>
    <row r="236">
      <c r="A236" s="8">
        <v>46368.0</v>
      </c>
      <c r="B236" s="3" t="s">
        <v>1</v>
      </c>
      <c r="C236" s="3" t="s">
        <v>254</v>
      </c>
      <c r="D236" s="5">
        <v>5525440.0</v>
      </c>
      <c r="E236" s="4"/>
      <c r="F236" s="5" t="s">
        <v>3</v>
      </c>
      <c r="G236" s="4">
        <v>73484.95000004768</v>
      </c>
      <c r="H236" s="4"/>
      <c r="I236" s="6" t="s">
        <v>39</v>
      </c>
    </row>
    <row r="237">
      <c r="A237" s="8">
        <v>46368.0</v>
      </c>
      <c r="B237" s="3" t="s">
        <v>10</v>
      </c>
      <c r="C237" s="3" t="s">
        <v>255</v>
      </c>
      <c r="D237" s="5"/>
      <c r="E237" s="5">
        <v>1.7915E7</v>
      </c>
      <c r="F237" s="5" t="s">
        <v>12</v>
      </c>
      <c r="G237" s="4">
        <v>1.7988484950000048E7</v>
      </c>
      <c r="H237" s="4"/>
      <c r="I237" s="6"/>
    </row>
    <row r="238">
      <c r="A238" s="8">
        <v>46368.0</v>
      </c>
      <c r="B238" s="3" t="s">
        <v>1</v>
      </c>
      <c r="C238" s="3" t="s">
        <v>256</v>
      </c>
      <c r="D238" s="5">
        <v>2900000.0</v>
      </c>
      <c r="E238" s="4"/>
      <c r="F238" s="5" t="s">
        <v>3</v>
      </c>
      <c r="G238" s="4">
        <v>1.5088484950000048E7</v>
      </c>
      <c r="H238" s="4"/>
      <c r="I238" s="6"/>
    </row>
    <row r="239">
      <c r="A239" s="8">
        <v>46368.0</v>
      </c>
      <c r="B239" s="3" t="s">
        <v>10</v>
      </c>
      <c r="C239" s="3" t="s">
        <v>257</v>
      </c>
      <c r="D239" s="5"/>
      <c r="E239" s="5">
        <v>4.4861327E8</v>
      </c>
      <c r="F239" s="5" t="s">
        <v>12</v>
      </c>
      <c r="G239" s="4">
        <v>4.6370175495000005E8</v>
      </c>
      <c r="H239" s="5">
        <v>4.6370175495E8</v>
      </c>
      <c r="I239" s="6"/>
    </row>
    <row r="240">
      <c r="A240" s="8">
        <v>46368.0</v>
      </c>
      <c r="B240" s="3" t="s">
        <v>136</v>
      </c>
      <c r="C240" s="3" t="s">
        <v>258</v>
      </c>
      <c r="D240" s="5">
        <v>52000.0</v>
      </c>
      <c r="E240" s="4"/>
      <c r="F240" s="4"/>
      <c r="G240" s="4">
        <v>4.6364975495000005E8</v>
      </c>
      <c r="H240" s="5">
        <v>4.6364975495E8</v>
      </c>
      <c r="I240" s="6"/>
    </row>
    <row r="241">
      <c r="A241" s="8">
        <v>46368.0</v>
      </c>
      <c r="B241" s="3" t="s">
        <v>1</v>
      </c>
      <c r="C241" s="3" t="s">
        <v>259</v>
      </c>
      <c r="D241" s="5">
        <v>6.2159095E7</v>
      </c>
      <c r="E241" s="4"/>
      <c r="F241" s="5" t="s">
        <v>3</v>
      </c>
      <c r="G241" s="4">
        <v>4.0149065995000005E8</v>
      </c>
      <c r="H241" s="4"/>
      <c r="I241" s="6" t="s">
        <v>13</v>
      </c>
    </row>
    <row r="242">
      <c r="A242" s="8">
        <v>46368.0</v>
      </c>
      <c r="B242" s="3" t="s">
        <v>10</v>
      </c>
      <c r="C242" s="3" t="s">
        <v>260</v>
      </c>
      <c r="D242" s="5"/>
      <c r="E242" s="5">
        <v>1.0164349E8</v>
      </c>
      <c r="F242" s="5" t="s">
        <v>12</v>
      </c>
      <c r="G242" s="4">
        <v>5.0313414995000005E8</v>
      </c>
      <c r="H242" s="4"/>
      <c r="I242" s="6"/>
    </row>
    <row r="243">
      <c r="A243" s="8">
        <v>46368.0</v>
      </c>
      <c r="B243" s="3" t="s">
        <v>10</v>
      </c>
      <c r="C243" s="3" t="s">
        <v>261</v>
      </c>
      <c r="D243" s="5"/>
      <c r="E243" s="5">
        <v>1.5982583E8</v>
      </c>
      <c r="F243" s="5" t="s">
        <v>12</v>
      </c>
      <c r="G243" s="4">
        <v>6.6295997995E8</v>
      </c>
      <c r="H243" s="4"/>
      <c r="I243" s="6"/>
    </row>
    <row r="244">
      <c r="A244" s="8">
        <v>46368.0</v>
      </c>
      <c r="B244" s="3" t="s">
        <v>10</v>
      </c>
      <c r="C244" s="3" t="s">
        <v>262</v>
      </c>
      <c r="D244" s="5"/>
      <c r="E244" s="5">
        <v>1.08058576E8</v>
      </c>
      <c r="F244" s="5" t="s">
        <v>12</v>
      </c>
      <c r="G244" s="4">
        <v>7.7101855595E8</v>
      </c>
      <c r="H244" s="4"/>
      <c r="I244" s="6"/>
    </row>
    <row r="245">
      <c r="A245" s="8">
        <v>46368.0</v>
      </c>
      <c r="B245" s="3" t="s">
        <v>136</v>
      </c>
      <c r="C245" s="3" t="s">
        <v>263</v>
      </c>
      <c r="D245" s="5">
        <v>27000.0</v>
      </c>
      <c r="E245" s="4"/>
      <c r="F245" s="4"/>
      <c r="G245" s="4">
        <v>7.7099155595E8</v>
      </c>
      <c r="H245" s="4"/>
      <c r="I245" s="6" t="s">
        <v>39</v>
      </c>
    </row>
    <row r="246">
      <c r="A246" s="8">
        <v>46368.0</v>
      </c>
      <c r="B246" s="3" t="s">
        <v>10</v>
      </c>
      <c r="C246" s="3" t="s">
        <v>264</v>
      </c>
      <c r="D246" s="5"/>
      <c r="E246" s="5">
        <v>2.2215083E8</v>
      </c>
      <c r="F246" s="5" t="s">
        <v>12</v>
      </c>
      <c r="G246" s="4">
        <v>9.9314238595E8</v>
      </c>
      <c r="H246" s="4"/>
      <c r="I246" s="6"/>
    </row>
    <row r="247">
      <c r="A247" s="8">
        <v>46368.0</v>
      </c>
      <c r="B247" s="3" t="s">
        <v>265</v>
      </c>
      <c r="C247" s="3" t="s">
        <v>265</v>
      </c>
      <c r="D247" s="5">
        <v>500000.0</v>
      </c>
      <c r="E247" s="4"/>
      <c r="F247" s="4"/>
      <c r="G247" s="4">
        <v>9.9264238595E8</v>
      </c>
      <c r="H247" s="4"/>
      <c r="I247" s="6"/>
    </row>
    <row r="248">
      <c r="A248" s="8">
        <v>46368.0</v>
      </c>
      <c r="B248" s="3" t="s">
        <v>1</v>
      </c>
      <c r="C248" s="3" t="s">
        <v>266</v>
      </c>
      <c r="D248" s="5">
        <v>1.35E7</v>
      </c>
      <c r="E248" s="4"/>
      <c r="F248" s="5" t="s">
        <v>3</v>
      </c>
      <c r="G248" s="4">
        <v>9.7914238595E8</v>
      </c>
      <c r="H248" s="5">
        <v>9.7914238595E8</v>
      </c>
      <c r="I248" s="6"/>
    </row>
    <row r="249">
      <c r="A249" s="8">
        <v>46369.0</v>
      </c>
      <c r="B249" s="3" t="s">
        <v>267</v>
      </c>
      <c r="C249" s="3" t="s">
        <v>268</v>
      </c>
      <c r="D249" s="5">
        <v>5.923665E7</v>
      </c>
      <c r="E249" s="4"/>
      <c r="F249" s="5" t="s">
        <v>3</v>
      </c>
      <c r="G249" s="4">
        <v>9.1990573595E8</v>
      </c>
      <c r="H249" s="4"/>
      <c r="I249" s="6"/>
    </row>
    <row r="250">
      <c r="A250" s="8">
        <v>46369.0</v>
      </c>
      <c r="B250" s="3" t="s">
        <v>267</v>
      </c>
      <c r="C250" s="3" t="s">
        <v>269</v>
      </c>
      <c r="D250" s="5">
        <v>5.151839E7</v>
      </c>
      <c r="E250" s="4"/>
      <c r="F250" s="5" t="s">
        <v>3</v>
      </c>
      <c r="G250" s="4">
        <v>8.6838734595E8</v>
      </c>
      <c r="H250" s="4"/>
      <c r="I250" s="6"/>
    </row>
    <row r="251">
      <c r="A251" s="8">
        <v>46369.0</v>
      </c>
      <c r="B251" s="3" t="s">
        <v>267</v>
      </c>
      <c r="C251" s="3" t="s">
        <v>270</v>
      </c>
      <c r="D251" s="5">
        <v>2000000.0</v>
      </c>
      <c r="E251" s="4"/>
      <c r="F251" s="5" t="s">
        <v>3</v>
      </c>
      <c r="G251" s="4">
        <v>8.6638734595E8</v>
      </c>
      <c r="H251" s="4"/>
      <c r="I251" s="6"/>
    </row>
    <row r="252">
      <c r="A252" s="8">
        <v>46369.0</v>
      </c>
      <c r="B252" s="3" t="s">
        <v>267</v>
      </c>
      <c r="C252" s="3" t="s">
        <v>271</v>
      </c>
      <c r="D252" s="5">
        <v>1000000.0</v>
      </c>
      <c r="E252" s="4"/>
      <c r="F252" s="5" t="s">
        <v>3</v>
      </c>
      <c r="G252" s="4">
        <v>8.6538734595E8</v>
      </c>
      <c r="H252" s="4"/>
      <c r="I252" s="6"/>
    </row>
    <row r="253">
      <c r="A253" s="8">
        <v>46369.0</v>
      </c>
      <c r="B253" s="3" t="s">
        <v>267</v>
      </c>
      <c r="C253" s="3" t="s">
        <v>272</v>
      </c>
      <c r="D253" s="5">
        <v>4488160.0</v>
      </c>
      <c r="E253" s="4"/>
      <c r="F253" s="5" t="s">
        <v>3</v>
      </c>
      <c r="G253" s="4">
        <v>8.6089918595E8</v>
      </c>
      <c r="H253" s="5">
        <v>8.6089918595E8</v>
      </c>
      <c r="I253" s="6"/>
    </row>
    <row r="254">
      <c r="A254" s="8">
        <v>46369.0</v>
      </c>
      <c r="B254" s="3" t="s">
        <v>267</v>
      </c>
      <c r="C254" s="3" t="s">
        <v>273</v>
      </c>
      <c r="D254" s="5">
        <v>2700090.0</v>
      </c>
      <c r="E254" s="4"/>
      <c r="F254" s="5" t="s">
        <v>3</v>
      </c>
      <c r="G254" s="4">
        <v>8.5819909595E8</v>
      </c>
      <c r="H254" s="5">
        <v>8.5819909595E8</v>
      </c>
      <c r="I254" s="6"/>
    </row>
    <row r="255">
      <c r="A255" s="8">
        <v>46369.0</v>
      </c>
      <c r="B255" s="3" t="s">
        <v>267</v>
      </c>
      <c r="C255" s="3" t="s">
        <v>274</v>
      </c>
      <c r="D255" s="5">
        <v>6235990.0</v>
      </c>
      <c r="E255" s="4"/>
      <c r="F255" s="5" t="s">
        <v>3</v>
      </c>
      <c r="G255" s="4">
        <v>8.5196310595E8</v>
      </c>
      <c r="H255" s="4"/>
      <c r="I255" s="6"/>
    </row>
    <row r="256">
      <c r="A256" s="8">
        <v>46369.0</v>
      </c>
      <c r="B256" s="3" t="s">
        <v>1</v>
      </c>
      <c r="C256" s="3" t="s">
        <v>275</v>
      </c>
      <c r="D256" s="5">
        <v>4.117565E7</v>
      </c>
      <c r="E256" s="4"/>
      <c r="F256" s="5" t="s">
        <v>3</v>
      </c>
      <c r="G256" s="4">
        <v>8.1078745595E8</v>
      </c>
      <c r="H256" s="4"/>
      <c r="I256" s="6"/>
    </row>
    <row r="257">
      <c r="A257" s="8">
        <v>46369.0</v>
      </c>
      <c r="B257" s="3" t="s">
        <v>1</v>
      </c>
      <c r="C257" s="3" t="s">
        <v>276</v>
      </c>
      <c r="D257" s="5">
        <v>1.0E8</v>
      </c>
      <c r="E257" s="4"/>
      <c r="F257" s="5" t="s">
        <v>3</v>
      </c>
      <c r="G257" s="4">
        <v>7.1078745595E8</v>
      </c>
      <c r="H257" s="4"/>
      <c r="I257" s="6"/>
    </row>
    <row r="258">
      <c r="A258" s="8">
        <v>46369.0</v>
      </c>
      <c r="B258" s="3" t="s">
        <v>1</v>
      </c>
      <c r="C258" s="3" t="s">
        <v>277</v>
      </c>
      <c r="D258" s="5">
        <v>9.664E7</v>
      </c>
      <c r="E258" s="4"/>
      <c r="F258" s="5" t="s">
        <v>3</v>
      </c>
      <c r="G258" s="4">
        <v>6.1414745595E8</v>
      </c>
      <c r="H258" s="4"/>
      <c r="I258" s="6"/>
    </row>
    <row r="259">
      <c r="A259" s="8">
        <v>46369.0</v>
      </c>
      <c r="B259" s="3" t="s">
        <v>1</v>
      </c>
      <c r="C259" s="3" t="s">
        <v>278</v>
      </c>
      <c r="D259" s="5">
        <v>4.94769E7</v>
      </c>
      <c r="E259" s="4"/>
      <c r="F259" s="5" t="s">
        <v>3</v>
      </c>
      <c r="G259" s="4">
        <v>5.6467055595E8</v>
      </c>
      <c r="H259" s="4"/>
      <c r="I259" s="6"/>
    </row>
    <row r="260">
      <c r="A260" s="8">
        <v>46369.0</v>
      </c>
      <c r="B260" s="3" t="s">
        <v>1</v>
      </c>
      <c r="C260" s="3" t="s">
        <v>279</v>
      </c>
      <c r="D260" s="5">
        <v>6.2115E7</v>
      </c>
      <c r="E260" s="4"/>
      <c r="F260" s="5" t="s">
        <v>3</v>
      </c>
      <c r="G260" s="4">
        <v>5.0255555595000005E8</v>
      </c>
      <c r="H260" s="4"/>
      <c r="I260" s="6"/>
    </row>
    <row r="261">
      <c r="A261" s="8">
        <v>46369.0</v>
      </c>
      <c r="B261" s="3" t="s">
        <v>1</v>
      </c>
      <c r="C261" s="3" t="s">
        <v>280</v>
      </c>
      <c r="D261" s="5">
        <v>4.57216E7</v>
      </c>
      <c r="E261" s="4"/>
      <c r="F261" s="5" t="s">
        <v>3</v>
      </c>
      <c r="G261" s="4">
        <v>4.5683395595000005E8</v>
      </c>
      <c r="H261" s="4"/>
      <c r="I261" s="6"/>
    </row>
    <row r="262">
      <c r="A262" s="8">
        <v>46369.0</v>
      </c>
      <c r="B262" s="3" t="s">
        <v>1</v>
      </c>
      <c r="C262" s="3" t="s">
        <v>281</v>
      </c>
      <c r="D262" s="5">
        <v>1952400.0</v>
      </c>
      <c r="E262" s="4"/>
      <c r="F262" s="5" t="s">
        <v>3</v>
      </c>
      <c r="G262" s="4">
        <v>4.5488155595000005E8</v>
      </c>
      <c r="H262" s="4"/>
      <c r="I262" s="6" t="s">
        <v>8</v>
      </c>
    </row>
    <row r="263">
      <c r="A263" s="8">
        <v>46369.0</v>
      </c>
      <c r="B263" s="3" t="s">
        <v>10</v>
      </c>
      <c r="C263" s="3" t="s">
        <v>282</v>
      </c>
      <c r="D263" s="5"/>
      <c r="E263" s="5">
        <v>1.98538136E8</v>
      </c>
      <c r="F263" s="5" t="s">
        <v>12</v>
      </c>
      <c r="G263" s="4">
        <v>6.5341969195E8</v>
      </c>
      <c r="H263" s="4"/>
      <c r="I263" s="6" t="s">
        <v>8</v>
      </c>
    </row>
    <row r="264">
      <c r="A264" s="8">
        <v>46369.0</v>
      </c>
      <c r="B264" s="3" t="s">
        <v>10</v>
      </c>
      <c r="C264" s="3" t="s">
        <v>283</v>
      </c>
      <c r="D264" s="5"/>
      <c r="E264" s="5">
        <v>2.01391364E8</v>
      </c>
      <c r="F264" s="5" t="s">
        <v>12</v>
      </c>
      <c r="G264" s="4">
        <v>8.5481105595E8</v>
      </c>
      <c r="H264" s="4"/>
      <c r="I264" s="6" t="s">
        <v>8</v>
      </c>
    </row>
    <row r="265">
      <c r="A265" s="8">
        <v>46369.0</v>
      </c>
      <c r="B265" s="3" t="s">
        <v>10</v>
      </c>
      <c r="C265" s="3" t="s">
        <v>284</v>
      </c>
      <c r="D265" s="5"/>
      <c r="E265" s="5">
        <v>1.2500468E8</v>
      </c>
      <c r="F265" s="5" t="s">
        <v>12</v>
      </c>
      <c r="G265" s="4">
        <v>9.7981573595E8</v>
      </c>
      <c r="H265" s="4"/>
      <c r="I265" s="6" t="s">
        <v>8</v>
      </c>
    </row>
    <row r="266">
      <c r="A266" s="8">
        <v>46369.0</v>
      </c>
      <c r="B266" s="3" t="s">
        <v>1</v>
      </c>
      <c r="C266" s="3" t="s">
        <v>285</v>
      </c>
      <c r="D266" s="5">
        <v>1.6929115E8</v>
      </c>
      <c r="E266" s="4"/>
      <c r="F266" s="5" t="s">
        <v>3</v>
      </c>
      <c r="G266" s="4">
        <v>8.1052458595E8</v>
      </c>
      <c r="H266" s="5">
        <v>8.1052458595E8</v>
      </c>
      <c r="I266" s="6" t="s">
        <v>8</v>
      </c>
    </row>
    <row r="267">
      <c r="A267" s="8">
        <v>46369.0</v>
      </c>
      <c r="B267" s="3" t="s">
        <v>1</v>
      </c>
      <c r="C267" s="3" t="s">
        <v>286</v>
      </c>
      <c r="D267" s="5">
        <v>1.0558185E8</v>
      </c>
      <c r="E267" s="4"/>
      <c r="F267" s="5" t="s">
        <v>3</v>
      </c>
      <c r="G267" s="4">
        <v>7.0494273595E8</v>
      </c>
      <c r="H267" s="5">
        <v>7.0494273595E8</v>
      </c>
      <c r="I267" s="6" t="s">
        <v>8</v>
      </c>
    </row>
    <row r="268">
      <c r="A268" s="8">
        <v>46369.0</v>
      </c>
      <c r="B268" s="3" t="s">
        <v>1</v>
      </c>
      <c r="C268" s="3" t="s">
        <v>287</v>
      </c>
      <c r="D268" s="5">
        <v>9.62992E7</v>
      </c>
      <c r="E268" s="4"/>
      <c r="F268" s="5" t="s">
        <v>3</v>
      </c>
      <c r="G268" s="4">
        <v>6.0864353595E8</v>
      </c>
      <c r="H268" s="4"/>
      <c r="I268" s="6" t="s">
        <v>13</v>
      </c>
    </row>
    <row r="269">
      <c r="A269" s="8">
        <v>46369.0</v>
      </c>
      <c r="B269" s="3" t="s">
        <v>1</v>
      </c>
      <c r="C269" s="3" t="s">
        <v>288</v>
      </c>
      <c r="D269" s="5">
        <v>3.951452E7</v>
      </c>
      <c r="E269" s="4"/>
      <c r="F269" s="5" t="s">
        <v>3</v>
      </c>
      <c r="G269" s="4">
        <v>5.6912901595E8</v>
      </c>
      <c r="H269" s="4"/>
      <c r="I269" s="6" t="s">
        <v>8</v>
      </c>
    </row>
    <row r="270">
      <c r="A270" s="8">
        <v>46369.0</v>
      </c>
      <c r="B270" s="3" t="s">
        <v>1</v>
      </c>
      <c r="C270" s="3" t="s">
        <v>289</v>
      </c>
      <c r="D270" s="5">
        <v>5.31952E7</v>
      </c>
      <c r="E270" s="4"/>
      <c r="F270" s="5" t="s">
        <v>3</v>
      </c>
      <c r="G270" s="4">
        <v>5.1593381595000005E8</v>
      </c>
      <c r="H270" s="4"/>
      <c r="I270" s="6" t="s">
        <v>8</v>
      </c>
    </row>
    <row r="271">
      <c r="A271" s="8">
        <v>46369.0</v>
      </c>
      <c r="B271" s="3" t="s">
        <v>10</v>
      </c>
      <c r="C271" s="3" t="s">
        <v>290</v>
      </c>
      <c r="D271" s="5"/>
      <c r="E271" s="5">
        <v>2.7777925E8</v>
      </c>
      <c r="F271" s="5" t="s">
        <v>12</v>
      </c>
      <c r="G271" s="4">
        <v>7.9371306595E8</v>
      </c>
      <c r="H271" s="4"/>
      <c r="I271" s="6" t="s">
        <v>8</v>
      </c>
    </row>
    <row r="272">
      <c r="A272" s="8">
        <v>46369.0</v>
      </c>
      <c r="B272" s="3" t="s">
        <v>10</v>
      </c>
      <c r="C272" s="3" t="s">
        <v>291</v>
      </c>
      <c r="D272" s="5"/>
      <c r="E272" s="5">
        <v>1100000.0</v>
      </c>
      <c r="F272" s="5" t="s">
        <v>12</v>
      </c>
      <c r="G272" s="4">
        <v>7.9481306595E8</v>
      </c>
      <c r="H272" s="5">
        <v>7.9481306595E8</v>
      </c>
      <c r="I272" s="6" t="s">
        <v>8</v>
      </c>
    </row>
    <row r="273">
      <c r="A273" s="8">
        <v>46370.0</v>
      </c>
      <c r="B273" s="3" t="s">
        <v>292</v>
      </c>
      <c r="C273" s="3" t="s">
        <v>293</v>
      </c>
      <c r="D273" s="5"/>
      <c r="E273" s="5">
        <v>3.587E7</v>
      </c>
      <c r="F273" s="5" t="s">
        <v>12</v>
      </c>
      <c r="G273" s="4">
        <v>8.3068306595E8</v>
      </c>
      <c r="H273" s="4"/>
      <c r="I273" s="6" t="s">
        <v>8</v>
      </c>
    </row>
    <row r="274">
      <c r="A274" s="8">
        <v>46370.0</v>
      </c>
      <c r="B274" s="3" t="s">
        <v>10</v>
      </c>
      <c r="C274" s="3" t="s">
        <v>294</v>
      </c>
      <c r="D274" s="5"/>
      <c r="E274" s="5">
        <v>5.5E7</v>
      </c>
      <c r="F274" s="5" t="s">
        <v>12</v>
      </c>
      <c r="G274" s="4">
        <v>8.8568306595E8</v>
      </c>
      <c r="H274" s="4"/>
      <c r="I274" s="6" t="s">
        <v>8</v>
      </c>
    </row>
    <row r="275">
      <c r="A275" s="8">
        <v>46370.0</v>
      </c>
      <c r="B275" s="3" t="s">
        <v>1</v>
      </c>
      <c r="C275" s="3" t="s">
        <v>295</v>
      </c>
      <c r="D275" s="5">
        <v>2.1784278E8</v>
      </c>
      <c r="E275" s="4"/>
      <c r="F275" s="5" t="s">
        <v>3</v>
      </c>
      <c r="G275" s="4">
        <v>6.6784028595E8</v>
      </c>
      <c r="H275" s="4"/>
      <c r="I275" s="6" t="s">
        <v>8</v>
      </c>
    </row>
    <row r="276">
      <c r="A276" s="8">
        <v>46370.0</v>
      </c>
      <c r="B276" s="3" t="s">
        <v>1</v>
      </c>
      <c r="C276" s="3" t="s">
        <v>296</v>
      </c>
      <c r="D276" s="5">
        <v>6.4E7</v>
      </c>
      <c r="E276" s="4"/>
      <c r="F276" s="5" t="s">
        <v>3</v>
      </c>
      <c r="G276" s="4">
        <v>6.0384028595E8</v>
      </c>
      <c r="H276" s="4"/>
      <c r="I276" s="6" t="s">
        <v>8</v>
      </c>
    </row>
    <row r="277">
      <c r="A277" s="8">
        <v>46370.0</v>
      </c>
      <c r="B277" s="3" t="s">
        <v>1</v>
      </c>
      <c r="C277" s="3" t="s">
        <v>297</v>
      </c>
      <c r="D277" s="5">
        <v>9.590594E7</v>
      </c>
      <c r="E277" s="4"/>
      <c r="F277" s="5" t="s">
        <v>3</v>
      </c>
      <c r="G277" s="4">
        <v>5.0793434595000005E8</v>
      </c>
      <c r="H277" s="4"/>
      <c r="I277" s="6" t="s">
        <v>8</v>
      </c>
    </row>
    <row r="278">
      <c r="A278" s="8">
        <v>46370.0</v>
      </c>
      <c r="B278" s="3" t="s">
        <v>1</v>
      </c>
      <c r="C278" s="3" t="s">
        <v>298</v>
      </c>
      <c r="D278" s="5">
        <v>1.5E8</v>
      </c>
      <c r="E278" s="4"/>
      <c r="F278" s="5" t="s">
        <v>3</v>
      </c>
      <c r="G278" s="4">
        <v>3.5793434595000005E8</v>
      </c>
      <c r="H278" s="4"/>
      <c r="I278" s="6" t="s">
        <v>8</v>
      </c>
    </row>
    <row r="279">
      <c r="A279" s="8">
        <v>46370.0</v>
      </c>
      <c r="B279" s="3" t="s">
        <v>1</v>
      </c>
      <c r="C279" s="3" t="s">
        <v>299</v>
      </c>
      <c r="D279" s="5">
        <v>3.607984E7</v>
      </c>
      <c r="E279" s="4"/>
      <c r="F279" s="5" t="s">
        <v>3</v>
      </c>
      <c r="G279" s="4">
        <v>3.2185450595000005E8</v>
      </c>
      <c r="H279" s="5">
        <v>3.2185450595E8</v>
      </c>
      <c r="I279" s="6" t="s">
        <v>8</v>
      </c>
    </row>
    <row r="280">
      <c r="A280" s="8">
        <v>46370.0</v>
      </c>
      <c r="B280" s="3" t="s">
        <v>1</v>
      </c>
      <c r="C280" s="3" t="s">
        <v>300</v>
      </c>
      <c r="D280" s="5">
        <v>6.14208E7</v>
      </c>
      <c r="E280" s="4"/>
      <c r="F280" s="5" t="s">
        <v>3</v>
      </c>
      <c r="G280" s="4">
        <v>2.6043370595000005E8</v>
      </c>
      <c r="H280" s="5">
        <v>2.6043370595E8</v>
      </c>
      <c r="I280" s="6" t="s">
        <v>8</v>
      </c>
    </row>
    <row r="281">
      <c r="A281" s="8">
        <v>46370.0</v>
      </c>
      <c r="B281" s="3" t="s">
        <v>1</v>
      </c>
      <c r="C281" s="3" t="s">
        <v>301</v>
      </c>
      <c r="D281" s="5">
        <v>7.6E7</v>
      </c>
      <c r="E281" s="4"/>
      <c r="F281" s="5" t="s">
        <v>3</v>
      </c>
      <c r="G281" s="4">
        <v>1.8443370595000005E8</v>
      </c>
      <c r="H281" s="4"/>
      <c r="I281" s="6" t="s">
        <v>8</v>
      </c>
    </row>
    <row r="282">
      <c r="A282" s="8">
        <v>46370.0</v>
      </c>
      <c r="B282" s="3" t="s">
        <v>1</v>
      </c>
      <c r="C282" s="3" t="s">
        <v>302</v>
      </c>
      <c r="D282" s="5">
        <v>9.1848E7</v>
      </c>
      <c r="E282" s="4"/>
      <c r="F282" s="5" t="s">
        <v>3</v>
      </c>
      <c r="G282" s="4">
        <v>9.258570595000005E7</v>
      </c>
      <c r="H282" s="4"/>
      <c r="I282" s="6" t="s">
        <v>8</v>
      </c>
    </row>
    <row r="283">
      <c r="A283" s="8">
        <v>46370.0</v>
      </c>
      <c r="B283" s="3" t="s">
        <v>1</v>
      </c>
      <c r="C283" s="3" t="s">
        <v>303</v>
      </c>
      <c r="D283" s="5">
        <v>1224640.0</v>
      </c>
      <c r="E283" s="4"/>
      <c r="F283" s="5" t="s">
        <v>3</v>
      </c>
      <c r="G283" s="4">
        <v>9.136106595000005E7</v>
      </c>
      <c r="H283" s="4"/>
      <c r="I283" s="6" t="s">
        <v>8</v>
      </c>
    </row>
    <row r="284">
      <c r="A284" s="8">
        <v>46370.0</v>
      </c>
      <c r="B284" s="3" t="s">
        <v>1</v>
      </c>
      <c r="C284" s="3" t="s">
        <v>304</v>
      </c>
      <c r="D284" s="5">
        <v>2468750.0</v>
      </c>
      <c r="E284" s="4"/>
      <c r="F284" s="5" t="s">
        <v>3</v>
      </c>
      <c r="G284" s="4">
        <v>8.889231595000005E7</v>
      </c>
      <c r="H284" s="4"/>
      <c r="I284" s="6" t="s">
        <v>8</v>
      </c>
    </row>
    <row r="285">
      <c r="A285" s="8">
        <v>46370.0</v>
      </c>
      <c r="B285" s="3" t="s">
        <v>1</v>
      </c>
      <c r="C285" s="3" t="s">
        <v>305</v>
      </c>
      <c r="D285" s="5">
        <v>5267150.0</v>
      </c>
      <c r="E285" s="4"/>
      <c r="F285" s="5" t="s">
        <v>3</v>
      </c>
      <c r="G285" s="4">
        <v>8.362516595000005E7</v>
      </c>
      <c r="H285" s="4"/>
      <c r="I285" s="6" t="s">
        <v>8</v>
      </c>
    </row>
    <row r="286">
      <c r="A286" s="8">
        <v>46370.0</v>
      </c>
      <c r="B286" s="3" t="s">
        <v>1</v>
      </c>
      <c r="C286" s="3" t="s">
        <v>306</v>
      </c>
      <c r="D286" s="5">
        <v>2876500.0</v>
      </c>
      <c r="E286" s="4"/>
      <c r="F286" s="5" t="s">
        <v>3</v>
      </c>
      <c r="G286" s="4">
        <v>8.074866595000005E7</v>
      </c>
      <c r="H286" s="4"/>
      <c r="I286" s="6" t="s">
        <v>8</v>
      </c>
    </row>
    <row r="287">
      <c r="A287" s="8">
        <v>46370.0</v>
      </c>
      <c r="B287" s="3" t="s">
        <v>1</v>
      </c>
      <c r="C287" s="3" t="s">
        <v>307</v>
      </c>
      <c r="D287" s="5">
        <v>1207430.0</v>
      </c>
      <c r="E287" s="4"/>
      <c r="F287" s="5" t="s">
        <v>3</v>
      </c>
      <c r="G287" s="4">
        <v>7.954123595000005E7</v>
      </c>
      <c r="H287" s="4"/>
      <c r="I287" s="6" t="s">
        <v>8</v>
      </c>
    </row>
    <row r="288">
      <c r="A288" s="8">
        <v>46370.0</v>
      </c>
      <c r="B288" s="3" t="s">
        <v>308</v>
      </c>
      <c r="C288" s="3" t="s">
        <v>308</v>
      </c>
      <c r="D288" s="5">
        <v>1100000.0</v>
      </c>
      <c r="E288" s="4"/>
      <c r="F288" s="4"/>
      <c r="G288" s="4">
        <v>7.844123595000005E7</v>
      </c>
      <c r="H288" s="4"/>
      <c r="I288" s="6" t="s">
        <v>8</v>
      </c>
    </row>
    <row r="289">
      <c r="A289" s="8">
        <v>46370.0</v>
      </c>
      <c r="B289" s="3" t="s">
        <v>10</v>
      </c>
      <c r="C289" s="3" t="s">
        <v>309</v>
      </c>
      <c r="D289" s="5"/>
      <c r="E289" s="5">
        <v>1.698E7</v>
      </c>
      <c r="F289" s="5" t="s">
        <v>12</v>
      </c>
      <c r="G289" s="4">
        <v>9.542123595000005E7</v>
      </c>
      <c r="H289" s="4"/>
      <c r="I289" s="6" t="s">
        <v>8</v>
      </c>
    </row>
    <row r="290">
      <c r="A290" s="8">
        <v>46370.0</v>
      </c>
      <c r="B290" s="3" t="s">
        <v>14</v>
      </c>
      <c r="C290" s="3" t="s">
        <v>310</v>
      </c>
      <c r="D290" s="5">
        <v>200000.0</v>
      </c>
      <c r="E290" s="4"/>
      <c r="F290" s="5" t="s">
        <v>3</v>
      </c>
      <c r="G290" s="4">
        <v>9.522123595000005E7</v>
      </c>
      <c r="H290" s="4"/>
      <c r="I290" s="6" t="s">
        <v>8</v>
      </c>
    </row>
    <row r="291">
      <c r="A291" s="8">
        <v>46370.0</v>
      </c>
      <c r="B291" s="3" t="s">
        <v>14</v>
      </c>
      <c r="C291" s="3" t="s">
        <v>311</v>
      </c>
      <c r="D291" s="5">
        <v>2500.0</v>
      </c>
      <c r="E291" s="4"/>
      <c r="F291" s="5" t="s">
        <v>3</v>
      </c>
      <c r="G291" s="4">
        <v>9.521873595000005E7</v>
      </c>
      <c r="H291" s="4"/>
      <c r="I291" s="6" t="s">
        <v>8</v>
      </c>
    </row>
    <row r="292">
      <c r="A292" s="8">
        <v>46370.0</v>
      </c>
      <c r="B292" s="3" t="s">
        <v>1</v>
      </c>
      <c r="C292" s="3" t="s">
        <v>312</v>
      </c>
      <c r="D292" s="5">
        <v>128000.0</v>
      </c>
      <c r="E292" s="4"/>
      <c r="F292" s="5" t="s">
        <v>3</v>
      </c>
      <c r="G292" s="4">
        <v>9.509073595000005E7</v>
      </c>
      <c r="H292" s="4"/>
      <c r="I292" s="6" t="s">
        <v>8</v>
      </c>
    </row>
    <row r="293">
      <c r="A293" s="8">
        <v>46370.0</v>
      </c>
      <c r="B293" s="3" t="s">
        <v>10</v>
      </c>
      <c r="C293" s="3" t="s">
        <v>313</v>
      </c>
      <c r="D293" s="5"/>
      <c r="E293" s="5">
        <v>2.01921643E8</v>
      </c>
      <c r="F293" s="5" t="s">
        <v>12</v>
      </c>
      <c r="G293" s="4">
        <v>2.9701237895000005E8</v>
      </c>
      <c r="H293" s="5">
        <v>2.9701237895E8</v>
      </c>
      <c r="I293" s="6" t="s">
        <v>8</v>
      </c>
    </row>
    <row r="294">
      <c r="A294" s="8">
        <v>46370.0</v>
      </c>
      <c r="B294" s="3" t="s">
        <v>10</v>
      </c>
      <c r="C294" s="3" t="s">
        <v>314</v>
      </c>
      <c r="D294" s="5"/>
      <c r="E294" s="5">
        <v>9231909.0</v>
      </c>
      <c r="F294" s="5" t="s">
        <v>12</v>
      </c>
      <c r="G294" s="4">
        <v>3.0624428795000005E8</v>
      </c>
      <c r="H294" s="5">
        <v>3.0624428795E8</v>
      </c>
      <c r="I294" s="6" t="s">
        <v>8</v>
      </c>
    </row>
    <row r="295">
      <c r="A295" s="8">
        <v>46370.0</v>
      </c>
      <c r="B295" s="3" t="s">
        <v>10</v>
      </c>
      <c r="C295" s="3" t="s">
        <v>315</v>
      </c>
      <c r="D295" s="5"/>
      <c r="E295" s="5">
        <v>2.2638341E8</v>
      </c>
      <c r="F295" s="5" t="s">
        <v>12</v>
      </c>
      <c r="G295" s="4">
        <v>5.3262769795000005E8</v>
      </c>
      <c r="H295" s="4"/>
      <c r="I295" s="6" t="s">
        <v>8</v>
      </c>
    </row>
    <row r="296">
      <c r="A296" s="8">
        <v>46370.0</v>
      </c>
      <c r="B296" s="3" t="s">
        <v>1</v>
      </c>
      <c r="C296" s="3" t="s">
        <v>316</v>
      </c>
      <c r="D296" s="5">
        <v>1.121079E8</v>
      </c>
      <c r="E296" s="4"/>
      <c r="F296" s="5" t="s">
        <v>3</v>
      </c>
      <c r="G296" s="4">
        <v>4.2051979795000005E8</v>
      </c>
      <c r="H296" s="4"/>
      <c r="I296" s="6" t="s">
        <v>8</v>
      </c>
    </row>
    <row r="297">
      <c r="A297" s="8">
        <v>46370.0</v>
      </c>
      <c r="B297" s="3" t="s">
        <v>10</v>
      </c>
      <c r="C297" s="3" t="s">
        <v>317</v>
      </c>
      <c r="D297" s="5"/>
      <c r="E297" s="5">
        <v>1400000.0</v>
      </c>
      <c r="F297" s="5" t="s">
        <v>12</v>
      </c>
      <c r="G297" s="4">
        <v>4.2191979795000005E8</v>
      </c>
      <c r="H297" s="4"/>
      <c r="I297" s="6" t="s">
        <v>8</v>
      </c>
    </row>
    <row r="298">
      <c r="A298" s="8">
        <v>46370.0</v>
      </c>
      <c r="B298" s="3" t="s">
        <v>1</v>
      </c>
      <c r="C298" s="3" t="s">
        <v>318</v>
      </c>
      <c r="D298" s="5">
        <v>3486350.0</v>
      </c>
      <c r="E298" s="4"/>
      <c r="F298" s="5" t="s">
        <v>3</v>
      </c>
      <c r="G298" s="4">
        <v>4.1843344795000005E8</v>
      </c>
      <c r="H298" s="4"/>
      <c r="I298" s="6" t="s">
        <v>8</v>
      </c>
    </row>
    <row r="299">
      <c r="A299" s="8">
        <v>46370.0</v>
      </c>
      <c r="B299" s="3" t="s">
        <v>1</v>
      </c>
      <c r="C299" s="3" t="s">
        <v>319</v>
      </c>
      <c r="D299" s="5">
        <v>1.223072E7</v>
      </c>
      <c r="E299" s="4"/>
      <c r="F299" s="5" t="s">
        <v>3</v>
      </c>
      <c r="G299" s="4">
        <v>4.0620272795000005E8</v>
      </c>
      <c r="H299" s="4"/>
      <c r="I299" s="6" t="s">
        <v>8</v>
      </c>
    </row>
    <row r="300">
      <c r="A300" s="8">
        <v>46370.0</v>
      </c>
      <c r="B300" s="3" t="s">
        <v>1</v>
      </c>
      <c r="C300" s="3" t="s">
        <v>320</v>
      </c>
      <c r="D300" s="5">
        <v>2221820.0</v>
      </c>
      <c r="E300" s="4"/>
      <c r="F300" s="5" t="s">
        <v>3</v>
      </c>
      <c r="G300" s="4">
        <v>4.0398090795000005E8</v>
      </c>
      <c r="H300" s="4"/>
      <c r="I300" s="6" t="s">
        <v>8</v>
      </c>
    </row>
    <row r="301">
      <c r="A301" s="8">
        <v>46370.0</v>
      </c>
      <c r="B301" s="3" t="s">
        <v>1</v>
      </c>
      <c r="C301" s="3" t="s">
        <v>321</v>
      </c>
      <c r="D301" s="5">
        <v>1800000.0</v>
      </c>
      <c r="E301" s="4"/>
      <c r="F301" s="5" t="s">
        <v>3</v>
      </c>
      <c r="G301" s="4">
        <v>4.0218090795000005E8</v>
      </c>
      <c r="H301" s="5">
        <v>4.0218090795E8</v>
      </c>
      <c r="I301" s="6" t="s">
        <v>8</v>
      </c>
    </row>
    <row r="302">
      <c r="A302" s="8">
        <v>46371.0</v>
      </c>
      <c r="B302" s="3" t="s">
        <v>1</v>
      </c>
      <c r="C302" s="3" t="s">
        <v>322</v>
      </c>
      <c r="D302" s="5">
        <v>1.2431856E8</v>
      </c>
      <c r="E302" s="4"/>
      <c r="F302" s="5" t="s">
        <v>3</v>
      </c>
      <c r="G302" s="4">
        <v>2.7786234795000005E8</v>
      </c>
      <c r="H302" s="4"/>
      <c r="I302" s="6" t="s">
        <v>8</v>
      </c>
    </row>
    <row r="303">
      <c r="A303" s="8">
        <v>46371.0</v>
      </c>
      <c r="B303" s="3" t="s">
        <v>1</v>
      </c>
      <c r="C303" s="3" t="s">
        <v>323</v>
      </c>
      <c r="D303" s="5">
        <v>5.6E7</v>
      </c>
      <c r="E303" s="4"/>
      <c r="F303" s="5" t="s">
        <v>3</v>
      </c>
      <c r="G303" s="4">
        <v>2.2186234795000005E8</v>
      </c>
      <c r="H303" s="4"/>
      <c r="I303" s="6" t="s">
        <v>8</v>
      </c>
    </row>
    <row r="304">
      <c r="A304" s="8">
        <v>46371.0</v>
      </c>
      <c r="B304" s="3" t="s">
        <v>1</v>
      </c>
      <c r="C304" s="3" t="s">
        <v>324</v>
      </c>
      <c r="D304" s="5">
        <v>1.453035E8</v>
      </c>
      <c r="E304" s="4"/>
      <c r="F304" s="5" t="s">
        <v>3</v>
      </c>
      <c r="G304" s="4">
        <v>7.655884795000005E7</v>
      </c>
      <c r="H304" s="4"/>
      <c r="I304" s="6" t="s">
        <v>8</v>
      </c>
    </row>
    <row r="305">
      <c r="A305" s="8">
        <v>46371.0</v>
      </c>
      <c r="B305" s="3" t="s">
        <v>1</v>
      </c>
      <c r="C305" s="3" t="s">
        <v>325</v>
      </c>
      <c r="D305" s="5">
        <v>5.711475E7</v>
      </c>
      <c r="E305" s="4"/>
      <c r="F305" s="5" t="s">
        <v>3</v>
      </c>
      <c r="G305" s="4">
        <v>1.9444097950000048E7</v>
      </c>
      <c r="H305" s="4"/>
      <c r="I305" s="6" t="s">
        <v>8</v>
      </c>
    </row>
    <row r="306">
      <c r="A306" s="8">
        <v>46371.0</v>
      </c>
      <c r="B306" s="3" t="s">
        <v>1</v>
      </c>
      <c r="C306" s="3" t="s">
        <v>326</v>
      </c>
      <c r="D306" s="5">
        <v>669900.0</v>
      </c>
      <c r="E306" s="4"/>
      <c r="F306" s="5" t="s">
        <v>3</v>
      </c>
      <c r="G306" s="4">
        <v>1.8774197950000048E7</v>
      </c>
      <c r="H306" s="5">
        <v>1.877419795E7</v>
      </c>
      <c r="I306" s="6" t="s">
        <v>8</v>
      </c>
    </row>
    <row r="307">
      <c r="A307" s="8">
        <v>46371.0</v>
      </c>
      <c r="B307" s="3" t="s">
        <v>10</v>
      </c>
      <c r="C307" s="3" t="s">
        <v>327</v>
      </c>
      <c r="D307" s="5"/>
      <c r="E307" s="5">
        <v>1.41E7</v>
      </c>
      <c r="F307" s="5" t="s">
        <v>12</v>
      </c>
      <c r="G307" s="4">
        <v>3.2874197950000048E7</v>
      </c>
      <c r="H307" s="5">
        <v>3.287419795E7</v>
      </c>
      <c r="I307" s="6" t="s">
        <v>8</v>
      </c>
    </row>
    <row r="308">
      <c r="A308" s="8">
        <v>46371.0</v>
      </c>
      <c r="B308" s="3" t="s">
        <v>10</v>
      </c>
      <c r="C308" s="3" t="s">
        <v>328</v>
      </c>
      <c r="D308" s="5"/>
      <c r="E308" s="5">
        <v>1.6142894E8</v>
      </c>
      <c r="F308" s="5" t="s">
        <v>12</v>
      </c>
      <c r="G308" s="4">
        <v>1.9430313795000005E8</v>
      </c>
      <c r="H308" s="4"/>
      <c r="I308" s="6" t="s">
        <v>8</v>
      </c>
    </row>
    <row r="309">
      <c r="A309" s="8">
        <v>46371.0</v>
      </c>
      <c r="B309" s="3" t="s">
        <v>329</v>
      </c>
      <c r="C309" s="3" t="s">
        <v>329</v>
      </c>
      <c r="D309" s="5">
        <v>19000.0</v>
      </c>
      <c r="E309" s="4"/>
      <c r="F309" s="4"/>
      <c r="G309" s="4">
        <v>1.9428413795000005E8</v>
      </c>
      <c r="H309" s="5">
        <v>1.9428413795E8</v>
      </c>
      <c r="I309" s="6" t="s">
        <v>8</v>
      </c>
    </row>
    <row r="310">
      <c r="A310" s="8">
        <v>46372.0</v>
      </c>
      <c r="B310" s="3" t="s">
        <v>330</v>
      </c>
      <c r="C310" s="3" t="s">
        <v>331</v>
      </c>
      <c r="D310" s="5">
        <v>1.0999065E8</v>
      </c>
      <c r="E310" s="4"/>
      <c r="F310" s="5" t="s">
        <v>3</v>
      </c>
      <c r="G310" s="4">
        <v>8.429348795000005E7</v>
      </c>
      <c r="H310" s="4"/>
      <c r="I310" s="6" t="s">
        <v>8</v>
      </c>
    </row>
    <row r="311">
      <c r="A311" s="8">
        <v>46372.0</v>
      </c>
      <c r="B311" s="3" t="s">
        <v>330</v>
      </c>
      <c r="C311" s="3" t="s">
        <v>332</v>
      </c>
      <c r="D311" s="5">
        <v>8.34093E7</v>
      </c>
      <c r="E311" s="4"/>
      <c r="F311" s="5" t="s">
        <v>3</v>
      </c>
      <c r="G311" s="4">
        <v>884187.9500000477</v>
      </c>
      <c r="H311" s="4"/>
      <c r="I311" s="6" t="s">
        <v>8</v>
      </c>
    </row>
    <row r="312">
      <c r="A312" s="8">
        <v>46372.0</v>
      </c>
      <c r="B312" s="3" t="s">
        <v>330</v>
      </c>
      <c r="C312" s="3" t="s">
        <v>333</v>
      </c>
      <c r="D312" s="5">
        <v>834000.0</v>
      </c>
      <c r="E312" s="4"/>
      <c r="F312" s="5" t="s">
        <v>3</v>
      </c>
      <c r="G312" s="4">
        <v>50187.950000047684</v>
      </c>
      <c r="H312" s="4"/>
      <c r="I312" s="6" t="s">
        <v>8</v>
      </c>
    </row>
    <row r="313">
      <c r="A313" s="8">
        <v>46372.0</v>
      </c>
      <c r="B313" s="3" t="s">
        <v>10</v>
      </c>
      <c r="C313" s="3" t="s">
        <v>334</v>
      </c>
      <c r="D313" s="5"/>
      <c r="E313" s="5">
        <v>2.0128338E8</v>
      </c>
      <c r="F313" s="5" t="s">
        <v>12</v>
      </c>
      <c r="G313" s="4">
        <v>2.0133356795000005E8</v>
      </c>
      <c r="H313" s="4"/>
      <c r="I313" s="6" t="s">
        <v>8</v>
      </c>
    </row>
    <row r="314">
      <c r="A314" s="8">
        <v>46372.0</v>
      </c>
      <c r="B314" s="3" t="s">
        <v>10</v>
      </c>
      <c r="C314" s="3" t="s">
        <v>335</v>
      </c>
      <c r="D314" s="5"/>
      <c r="E314" s="5">
        <v>3.180821E8</v>
      </c>
      <c r="F314" s="5" t="s">
        <v>12</v>
      </c>
      <c r="G314" s="4">
        <v>5.1941566795000005E8</v>
      </c>
      <c r="H314" s="4"/>
      <c r="I314" s="6" t="s">
        <v>8</v>
      </c>
    </row>
    <row r="315">
      <c r="A315" s="8">
        <v>46372.0</v>
      </c>
      <c r="B315" s="3" t="s">
        <v>14</v>
      </c>
      <c r="C315" s="3" t="s">
        <v>336</v>
      </c>
      <c r="D315" s="5">
        <v>300000.0</v>
      </c>
      <c r="E315" s="4"/>
      <c r="F315" s="5" t="s">
        <v>3</v>
      </c>
      <c r="G315" s="4">
        <v>5.1911566795000005E8</v>
      </c>
      <c r="H315" s="4"/>
      <c r="I315" s="6" t="s">
        <v>8</v>
      </c>
    </row>
    <row r="316">
      <c r="A316" s="8">
        <v>46372.0</v>
      </c>
      <c r="B316" s="3" t="s">
        <v>14</v>
      </c>
      <c r="C316" s="3" t="s">
        <v>337</v>
      </c>
      <c r="D316" s="5">
        <v>2500.0</v>
      </c>
      <c r="E316" s="4"/>
      <c r="F316" s="5" t="s">
        <v>3</v>
      </c>
      <c r="G316" s="4">
        <v>5.1911316795000005E8</v>
      </c>
      <c r="H316" s="5">
        <v>5.1911316795E8</v>
      </c>
      <c r="I316" s="6" t="s">
        <v>8</v>
      </c>
    </row>
    <row r="317">
      <c r="A317" s="8">
        <v>46373.0</v>
      </c>
      <c r="B317" s="3" t="s">
        <v>14</v>
      </c>
      <c r="C317" s="3" t="s">
        <v>338</v>
      </c>
      <c r="D317" s="5">
        <v>80000.0</v>
      </c>
      <c r="E317" s="4"/>
      <c r="F317" s="5" t="s">
        <v>3</v>
      </c>
      <c r="G317" s="4">
        <v>5.1903316795000005E8</v>
      </c>
      <c r="H317" s="4"/>
      <c r="I317" s="6" t="s">
        <v>8</v>
      </c>
    </row>
    <row r="318">
      <c r="A318" s="8">
        <v>46373.0</v>
      </c>
      <c r="B318" s="3" t="s">
        <v>14</v>
      </c>
      <c r="C318" s="3" t="s">
        <v>339</v>
      </c>
      <c r="D318" s="5">
        <v>2500.0</v>
      </c>
      <c r="E318" s="4"/>
      <c r="F318" s="5" t="s">
        <v>3</v>
      </c>
      <c r="G318" s="4">
        <v>5.1903066795000005E8</v>
      </c>
      <c r="H318" s="4"/>
      <c r="I318" s="6" t="s">
        <v>8</v>
      </c>
    </row>
    <row r="319">
      <c r="A319" s="8">
        <v>46373.0</v>
      </c>
      <c r="B319" s="3" t="s">
        <v>1</v>
      </c>
      <c r="C319" s="3" t="s">
        <v>340</v>
      </c>
      <c r="D319" s="5">
        <v>1.051932E8</v>
      </c>
      <c r="E319" s="4"/>
      <c r="F319" s="5" t="s">
        <v>3</v>
      </c>
      <c r="G319" s="4">
        <v>4.1383746795000005E8</v>
      </c>
      <c r="H319" s="4"/>
      <c r="I319" s="6" t="s">
        <v>8</v>
      </c>
    </row>
    <row r="320">
      <c r="A320" s="8">
        <v>46373.0</v>
      </c>
      <c r="B320" s="3" t="s">
        <v>1</v>
      </c>
      <c r="C320" s="3" t="s">
        <v>341</v>
      </c>
      <c r="D320" s="5">
        <v>5.13024E7</v>
      </c>
      <c r="E320" s="4"/>
      <c r="F320" s="5" t="s">
        <v>3</v>
      </c>
      <c r="G320" s="4">
        <v>3.6253506795000005E8</v>
      </c>
      <c r="H320" s="5">
        <v>3.6253506795E8</v>
      </c>
      <c r="I320" s="6" t="s">
        <v>8</v>
      </c>
    </row>
    <row r="321">
      <c r="A321" s="8">
        <v>46373.0</v>
      </c>
      <c r="B321" s="3" t="s">
        <v>1</v>
      </c>
      <c r="C321" s="3" t="s">
        <v>342</v>
      </c>
      <c r="D321" s="5">
        <v>4.76867E7</v>
      </c>
      <c r="E321" s="4"/>
      <c r="F321" s="5" t="s">
        <v>3</v>
      </c>
      <c r="G321" s="4">
        <v>3.1484836795000005E8</v>
      </c>
      <c r="H321" s="5">
        <v>3.1484836795E8</v>
      </c>
      <c r="I321" s="6" t="s">
        <v>8</v>
      </c>
    </row>
    <row r="322">
      <c r="A322" s="8">
        <v>46373.0</v>
      </c>
      <c r="B322" s="3" t="s">
        <v>1</v>
      </c>
      <c r="C322" s="3" t="s">
        <v>343</v>
      </c>
      <c r="D322" s="5">
        <v>1.0E8</v>
      </c>
      <c r="E322" s="4"/>
      <c r="F322" s="5" t="s">
        <v>3</v>
      </c>
      <c r="G322" s="4">
        <v>2.1484836795000005E8</v>
      </c>
      <c r="H322" s="4"/>
      <c r="I322" s="6" t="s">
        <v>8</v>
      </c>
    </row>
    <row r="323">
      <c r="A323" s="8">
        <v>46373.0</v>
      </c>
      <c r="B323" s="3" t="s">
        <v>1</v>
      </c>
      <c r="C323" s="3" t="s">
        <v>344</v>
      </c>
      <c r="D323" s="5">
        <v>4.457175E7</v>
      </c>
      <c r="E323" s="4"/>
      <c r="F323" s="5" t="s">
        <v>3</v>
      </c>
      <c r="G323" s="4">
        <v>1.7027661795000005E8</v>
      </c>
      <c r="H323" s="4"/>
      <c r="I323" s="6" t="s">
        <v>8</v>
      </c>
    </row>
    <row r="324">
      <c r="A324" s="8">
        <v>46373.0</v>
      </c>
      <c r="B324" s="3" t="s">
        <v>1</v>
      </c>
      <c r="C324" s="3" t="s">
        <v>345</v>
      </c>
      <c r="D324" s="5">
        <v>1.346788E7</v>
      </c>
      <c r="E324" s="4"/>
      <c r="F324" s="5" t="s">
        <v>3</v>
      </c>
      <c r="G324" s="4">
        <v>1.5680873795000005E8</v>
      </c>
      <c r="H324" s="4"/>
      <c r="I324" s="6" t="s">
        <v>8</v>
      </c>
    </row>
    <row r="325">
      <c r="A325" s="8">
        <v>46373.0</v>
      </c>
      <c r="B325" s="3" t="s">
        <v>10</v>
      </c>
      <c r="C325" s="3" t="s">
        <v>346</v>
      </c>
      <c r="D325" s="5"/>
      <c r="E325" s="5">
        <v>3.0E7</v>
      </c>
      <c r="F325" s="5" t="s">
        <v>12</v>
      </c>
      <c r="G325" s="4">
        <v>1.8680873795000005E8</v>
      </c>
      <c r="H325" s="4"/>
      <c r="I325" s="6" t="s">
        <v>8</v>
      </c>
    </row>
    <row r="326">
      <c r="A326" s="8">
        <v>46373.0</v>
      </c>
      <c r="B326" s="3" t="s">
        <v>1</v>
      </c>
      <c r="C326" s="3" t="s">
        <v>347</v>
      </c>
      <c r="D326" s="5">
        <v>5.59317E7</v>
      </c>
      <c r="E326" s="4"/>
      <c r="F326" s="5" t="s">
        <v>3</v>
      </c>
      <c r="G326" s="4">
        <v>1.3087703795000005E8</v>
      </c>
      <c r="H326" s="4"/>
      <c r="I326" s="6" t="s">
        <v>8</v>
      </c>
    </row>
    <row r="327">
      <c r="A327" s="8">
        <v>46373.0</v>
      </c>
      <c r="B327" s="3" t="s">
        <v>1</v>
      </c>
      <c r="C327" s="3" t="s">
        <v>348</v>
      </c>
      <c r="D327" s="5">
        <v>5.95289E7</v>
      </c>
      <c r="E327" s="4"/>
      <c r="F327" s="5" t="s">
        <v>3</v>
      </c>
      <c r="G327" s="4">
        <v>7.134813795000005E7</v>
      </c>
      <c r="H327" s="4"/>
      <c r="I327" s="6" t="s">
        <v>8</v>
      </c>
    </row>
    <row r="328">
      <c r="A328" s="8">
        <v>46373.0</v>
      </c>
      <c r="B328" s="3" t="s">
        <v>10</v>
      </c>
      <c r="C328" s="3" t="s">
        <v>349</v>
      </c>
      <c r="D328" s="5"/>
      <c r="E328" s="5">
        <v>1.21E7</v>
      </c>
      <c r="F328" s="5" t="s">
        <v>12</v>
      </c>
      <c r="G328" s="4">
        <v>8.344813795000005E7</v>
      </c>
      <c r="H328" s="4"/>
      <c r="I328" s="6" t="s">
        <v>8</v>
      </c>
    </row>
    <row r="329">
      <c r="A329" s="8">
        <v>46373.0</v>
      </c>
      <c r="B329" s="3" t="s">
        <v>1</v>
      </c>
      <c r="C329" s="3" t="s">
        <v>350</v>
      </c>
      <c r="D329" s="5">
        <v>7.72448E7</v>
      </c>
      <c r="E329" s="4"/>
      <c r="F329" s="5" t="s">
        <v>3</v>
      </c>
      <c r="G329" s="4">
        <v>6203337.950000048</v>
      </c>
      <c r="H329" s="5">
        <v>6203337.95</v>
      </c>
      <c r="I329" s="6" t="s">
        <v>8</v>
      </c>
    </row>
    <row r="330">
      <c r="A330" s="8">
        <v>46374.0</v>
      </c>
      <c r="B330" s="3" t="s">
        <v>351</v>
      </c>
      <c r="C330" s="3" t="s">
        <v>352</v>
      </c>
      <c r="D330" s="5">
        <v>2276800.0</v>
      </c>
      <c r="E330" s="4"/>
      <c r="F330" s="5" t="s">
        <v>3</v>
      </c>
      <c r="G330" s="4">
        <v>3926537.9500000477</v>
      </c>
      <c r="H330" s="4"/>
      <c r="I330" s="6" t="s">
        <v>8</v>
      </c>
    </row>
    <row r="331">
      <c r="A331" s="8">
        <v>46374.0</v>
      </c>
      <c r="B331" s="3" t="s">
        <v>351</v>
      </c>
      <c r="C331" s="3" t="s">
        <v>353</v>
      </c>
      <c r="D331" s="5">
        <v>2495760.0</v>
      </c>
      <c r="E331" s="4"/>
      <c r="F331" s="5" t="s">
        <v>3</v>
      </c>
      <c r="G331" s="4">
        <v>1430777.9500000477</v>
      </c>
      <c r="H331" s="4"/>
      <c r="I331" s="6" t="s">
        <v>8</v>
      </c>
    </row>
    <row r="332">
      <c r="A332" s="8">
        <v>46374.0</v>
      </c>
      <c r="B332" s="3" t="s">
        <v>351</v>
      </c>
      <c r="C332" s="3" t="s">
        <v>354</v>
      </c>
      <c r="D332" s="5">
        <v>1379940.0</v>
      </c>
      <c r="E332" s="4"/>
      <c r="F332" s="5" t="s">
        <v>3</v>
      </c>
      <c r="G332" s="4">
        <v>50837.950000047684</v>
      </c>
      <c r="H332" s="4"/>
      <c r="I332" s="6" t="s">
        <v>8</v>
      </c>
    </row>
    <row r="333">
      <c r="A333" s="8">
        <v>46374.0</v>
      </c>
      <c r="B333" s="3" t="s">
        <v>10</v>
      </c>
      <c r="C333" s="3" t="s">
        <v>355</v>
      </c>
      <c r="D333" s="5"/>
      <c r="E333" s="5">
        <v>1.095102E8</v>
      </c>
      <c r="F333" s="5" t="s">
        <v>12</v>
      </c>
      <c r="G333" s="4">
        <v>1.0956103795000005E8</v>
      </c>
      <c r="H333" s="5">
        <v>1.0956103795E8</v>
      </c>
      <c r="I333" s="6" t="s">
        <v>8</v>
      </c>
    </row>
    <row r="334">
      <c r="A334" s="8">
        <v>46374.0</v>
      </c>
      <c r="B334" s="3" t="s">
        <v>10</v>
      </c>
      <c r="C334" s="3" t="s">
        <v>356</v>
      </c>
      <c r="D334" s="5"/>
      <c r="E334" s="5">
        <v>1.5789223E8</v>
      </c>
      <c r="F334" s="5" t="s">
        <v>12</v>
      </c>
      <c r="G334" s="4">
        <v>2.6745326795000005E8</v>
      </c>
      <c r="H334" s="5">
        <v>2.6745326795E8</v>
      </c>
      <c r="I334" s="6" t="s">
        <v>8</v>
      </c>
    </row>
    <row r="335">
      <c r="A335" s="8">
        <v>46374.0</v>
      </c>
      <c r="B335" s="3" t="s">
        <v>10</v>
      </c>
      <c r="C335" s="3" t="s">
        <v>357</v>
      </c>
      <c r="D335" s="5"/>
      <c r="E335" s="5">
        <v>2.37692E7</v>
      </c>
      <c r="F335" s="5" t="s">
        <v>12</v>
      </c>
      <c r="G335" s="4">
        <v>2.9122246795000005E8</v>
      </c>
      <c r="H335" s="4"/>
      <c r="I335" s="6" t="s">
        <v>8</v>
      </c>
    </row>
    <row r="336">
      <c r="A336" s="8">
        <v>46374.0</v>
      </c>
      <c r="B336" s="3" t="s">
        <v>1</v>
      </c>
      <c r="C336" s="3" t="s">
        <v>358</v>
      </c>
      <c r="D336" s="5">
        <v>1.03168E8</v>
      </c>
      <c r="E336" s="4"/>
      <c r="F336" s="5" t="s">
        <v>3</v>
      </c>
      <c r="G336" s="4">
        <v>1.8805446795000005E8</v>
      </c>
      <c r="H336" s="4"/>
      <c r="I336" s="6" t="s">
        <v>8</v>
      </c>
    </row>
    <row r="337">
      <c r="A337" s="8">
        <v>46374.0</v>
      </c>
      <c r="B337" s="3" t="s">
        <v>1</v>
      </c>
      <c r="C337" s="3" t="s">
        <v>359</v>
      </c>
      <c r="D337" s="5">
        <v>5.569276E7</v>
      </c>
      <c r="E337" s="4"/>
      <c r="F337" s="5" t="s">
        <v>3</v>
      </c>
      <c r="G337" s="4">
        <v>1.3236170795000005E8</v>
      </c>
      <c r="H337" s="4"/>
      <c r="I337" s="6" t="s">
        <v>8</v>
      </c>
    </row>
    <row r="338">
      <c r="A338" s="8">
        <v>46374.0</v>
      </c>
      <c r="B338" s="3" t="s">
        <v>1</v>
      </c>
      <c r="C338" s="3" t="s">
        <v>360</v>
      </c>
      <c r="D338" s="5">
        <v>1.4E7</v>
      </c>
      <c r="E338" s="4"/>
      <c r="F338" s="5" t="s">
        <v>3</v>
      </c>
      <c r="G338" s="4">
        <v>1.1836170795000005E8</v>
      </c>
      <c r="H338" s="4"/>
      <c r="I338" s="6" t="s">
        <v>8</v>
      </c>
    </row>
    <row r="339">
      <c r="A339" s="8">
        <v>46374.0</v>
      </c>
      <c r="B339" s="3" t="s">
        <v>10</v>
      </c>
      <c r="C339" s="3" t="s">
        <v>361</v>
      </c>
      <c r="D339" s="5"/>
      <c r="E339" s="5">
        <v>9.546762E7</v>
      </c>
      <c r="F339" s="5" t="s">
        <v>12</v>
      </c>
      <c r="G339" s="4">
        <v>2.1382932795000005E8</v>
      </c>
      <c r="H339" s="4"/>
      <c r="I339" s="6" t="s">
        <v>8</v>
      </c>
    </row>
    <row r="340">
      <c r="A340" s="8">
        <v>46374.0</v>
      </c>
      <c r="B340" s="3" t="s">
        <v>10</v>
      </c>
      <c r="C340" s="3" t="s">
        <v>362</v>
      </c>
      <c r="D340" s="5"/>
      <c r="E340" s="5">
        <v>7450000.0</v>
      </c>
      <c r="F340" s="5" t="s">
        <v>12</v>
      </c>
      <c r="G340" s="4">
        <v>2.2127932795000005E8</v>
      </c>
      <c r="H340" s="4"/>
      <c r="I340" s="6" t="s">
        <v>8</v>
      </c>
    </row>
    <row r="341">
      <c r="A341" s="8">
        <v>46374.0</v>
      </c>
      <c r="B341" s="3" t="s">
        <v>1</v>
      </c>
      <c r="C341" s="3" t="s">
        <v>363</v>
      </c>
      <c r="D341" s="5">
        <v>130000.0</v>
      </c>
      <c r="E341" s="4"/>
      <c r="F341" s="5" t="s">
        <v>3</v>
      </c>
      <c r="G341" s="4">
        <v>2.2114932795000005E8</v>
      </c>
      <c r="H341" s="5">
        <v>2.2114932795E8</v>
      </c>
      <c r="I341" s="6" t="s">
        <v>8</v>
      </c>
    </row>
    <row r="342">
      <c r="A342" s="8">
        <v>46375.0</v>
      </c>
      <c r="B342" s="3" t="s">
        <v>364</v>
      </c>
      <c r="C342" s="3" t="s">
        <v>365</v>
      </c>
      <c r="D342" s="5">
        <v>1.6367988E8</v>
      </c>
      <c r="E342" s="4"/>
      <c r="F342" s="5" t="s">
        <v>3</v>
      </c>
      <c r="G342" s="4">
        <v>5.746944795000005E7</v>
      </c>
      <c r="H342" s="4"/>
      <c r="I342" s="6" t="s">
        <v>8</v>
      </c>
    </row>
    <row r="343">
      <c r="A343" s="8">
        <v>46375.0</v>
      </c>
      <c r="B343" s="3" t="s">
        <v>364</v>
      </c>
      <c r="C343" s="3" t="s">
        <v>366</v>
      </c>
      <c r="D343" s="5">
        <v>4.90272E7</v>
      </c>
      <c r="E343" s="4"/>
      <c r="F343" s="5" t="s">
        <v>3</v>
      </c>
      <c r="G343" s="4">
        <v>8442247.950000048</v>
      </c>
      <c r="H343" s="4"/>
      <c r="I343" s="6" t="s">
        <v>8</v>
      </c>
    </row>
    <row r="344">
      <c r="A344" s="8">
        <v>46375.0</v>
      </c>
      <c r="B344" s="3" t="s">
        <v>364</v>
      </c>
      <c r="C344" s="3" t="s">
        <v>367</v>
      </c>
      <c r="D344" s="5">
        <v>306420.0</v>
      </c>
      <c r="E344" s="4"/>
      <c r="F344" s="5" t="s">
        <v>3</v>
      </c>
      <c r="G344" s="4">
        <v>8135827.950000048</v>
      </c>
      <c r="H344" s="4"/>
      <c r="I344" s="6" t="s">
        <v>8</v>
      </c>
    </row>
    <row r="345">
      <c r="A345" s="8">
        <v>46375.0</v>
      </c>
      <c r="B345" s="3" t="s">
        <v>368</v>
      </c>
      <c r="C345" s="3" t="s">
        <v>369</v>
      </c>
      <c r="D345" s="5"/>
      <c r="E345" s="5">
        <v>5.0E7</v>
      </c>
      <c r="F345" s="5" t="s">
        <v>12</v>
      </c>
      <c r="G345" s="4">
        <v>5.813582795000005E7</v>
      </c>
      <c r="H345" s="4"/>
      <c r="I345" s="6" t="s">
        <v>8</v>
      </c>
    </row>
    <row r="346">
      <c r="A346" s="8">
        <v>46375.0</v>
      </c>
      <c r="B346" s="3" t="s">
        <v>1</v>
      </c>
      <c r="C346" s="3" t="s">
        <v>370</v>
      </c>
      <c r="D346" s="5">
        <v>2426180.0</v>
      </c>
      <c r="E346" s="4"/>
      <c r="F346" s="5" t="s">
        <v>3</v>
      </c>
      <c r="G346" s="4">
        <v>5.570964795000005E7</v>
      </c>
      <c r="H346" s="5">
        <v>5.570964795E7</v>
      </c>
      <c r="I346" s="6" t="s">
        <v>8</v>
      </c>
    </row>
    <row r="347">
      <c r="A347" s="8">
        <v>46375.0</v>
      </c>
      <c r="B347" s="3" t="s">
        <v>1</v>
      </c>
      <c r="C347" s="3" t="s">
        <v>371</v>
      </c>
      <c r="D347" s="5">
        <v>4691090.0</v>
      </c>
      <c r="E347" s="4"/>
      <c r="F347" s="5" t="s">
        <v>3</v>
      </c>
      <c r="G347" s="4">
        <v>5.101855795000005E7</v>
      </c>
      <c r="H347" s="5">
        <v>5.101855795E7</v>
      </c>
      <c r="I347" s="6" t="s">
        <v>8</v>
      </c>
    </row>
    <row r="348">
      <c r="A348" s="8">
        <v>46375.0</v>
      </c>
      <c r="B348" s="3" t="s">
        <v>10</v>
      </c>
      <c r="C348" s="3" t="s">
        <v>372</v>
      </c>
      <c r="D348" s="5"/>
      <c r="E348" s="5">
        <v>1000000.0</v>
      </c>
      <c r="F348" s="5" t="s">
        <v>12</v>
      </c>
      <c r="G348" s="4">
        <v>5.201855795000005E7</v>
      </c>
      <c r="H348" s="4"/>
      <c r="I348" s="6" t="s">
        <v>8</v>
      </c>
    </row>
    <row r="349">
      <c r="A349" s="8">
        <v>46375.0</v>
      </c>
      <c r="B349" s="3" t="s">
        <v>1</v>
      </c>
      <c r="C349" s="3" t="s">
        <v>373</v>
      </c>
      <c r="D349" s="5">
        <v>5.156626E7</v>
      </c>
      <c r="E349" s="4"/>
      <c r="F349" s="5" t="s">
        <v>3</v>
      </c>
      <c r="G349" s="4">
        <v>452297.9500000477</v>
      </c>
      <c r="H349" s="4"/>
      <c r="I349" s="6" t="s">
        <v>8</v>
      </c>
    </row>
    <row r="350">
      <c r="A350" s="8">
        <v>46375.0</v>
      </c>
      <c r="B350" s="3" t="s">
        <v>10</v>
      </c>
      <c r="C350" s="3" t="s">
        <v>374</v>
      </c>
      <c r="D350" s="5"/>
      <c r="E350" s="5">
        <v>1.04080684E8</v>
      </c>
      <c r="F350" s="5" t="s">
        <v>12</v>
      </c>
      <c r="G350" s="4">
        <v>1.0453298195000005E8</v>
      </c>
      <c r="H350" s="4"/>
      <c r="I350" s="6" t="s">
        <v>8</v>
      </c>
    </row>
    <row r="351">
      <c r="A351" s="8">
        <v>46375.0</v>
      </c>
      <c r="B351" s="3" t="s">
        <v>10</v>
      </c>
      <c r="C351" s="3" t="s">
        <v>375</v>
      </c>
      <c r="D351" s="5"/>
      <c r="E351" s="5">
        <v>1.48448399E8</v>
      </c>
      <c r="F351" s="5" t="s">
        <v>12</v>
      </c>
      <c r="G351" s="4">
        <v>2.5298138095000005E8</v>
      </c>
      <c r="H351" s="4"/>
      <c r="I351" s="6" t="s">
        <v>8</v>
      </c>
    </row>
    <row r="352">
      <c r="A352" s="8">
        <v>46375.0</v>
      </c>
      <c r="B352" s="3" t="s">
        <v>10</v>
      </c>
      <c r="C352" s="3" t="s">
        <v>376</v>
      </c>
      <c r="D352" s="5"/>
      <c r="E352" s="5">
        <v>9.894785E7</v>
      </c>
      <c r="F352" s="5" t="s">
        <v>12</v>
      </c>
      <c r="G352" s="4">
        <v>3.5192923095000005E8</v>
      </c>
      <c r="H352" s="4"/>
      <c r="I352" s="6" t="s">
        <v>8</v>
      </c>
    </row>
    <row r="353">
      <c r="A353" s="8">
        <v>46375.0</v>
      </c>
      <c r="B353" s="3" t="s">
        <v>10</v>
      </c>
      <c r="C353" s="3" t="s">
        <v>377</v>
      </c>
      <c r="D353" s="5"/>
      <c r="E353" s="5">
        <v>3.5E7</v>
      </c>
      <c r="F353" s="5" t="s">
        <v>12</v>
      </c>
      <c r="G353" s="4">
        <v>3.8692923095000005E8</v>
      </c>
      <c r="H353" s="4"/>
      <c r="I353" s="6" t="s">
        <v>8</v>
      </c>
    </row>
    <row r="354">
      <c r="A354" s="8">
        <v>46375.0</v>
      </c>
      <c r="B354" s="3" t="s">
        <v>10</v>
      </c>
      <c r="C354" s="3" t="s">
        <v>378</v>
      </c>
      <c r="D354" s="5"/>
      <c r="E354" s="5">
        <v>1.8148318E8</v>
      </c>
      <c r="F354" s="5" t="s">
        <v>12</v>
      </c>
      <c r="G354" s="4">
        <v>5.6841241095E8</v>
      </c>
      <c r="H354" s="4"/>
      <c r="I354" s="6" t="s">
        <v>8</v>
      </c>
    </row>
    <row r="355">
      <c r="A355" s="8">
        <v>46375.0</v>
      </c>
      <c r="B355" s="3" t="s">
        <v>1</v>
      </c>
      <c r="C355" s="3" t="s">
        <v>379</v>
      </c>
      <c r="D355" s="5">
        <v>1.560376E7</v>
      </c>
      <c r="E355" s="4"/>
      <c r="F355" s="5" t="s">
        <v>3</v>
      </c>
      <c r="G355" s="4">
        <v>5.5280865095E8</v>
      </c>
      <c r="H355" s="4"/>
      <c r="I355" s="6" t="s">
        <v>8</v>
      </c>
    </row>
    <row r="356">
      <c r="A356" s="8">
        <v>46375.0</v>
      </c>
      <c r="B356" s="3" t="s">
        <v>1</v>
      </c>
      <c r="C356" s="3" t="s">
        <v>380</v>
      </c>
      <c r="D356" s="5">
        <v>3.782E7</v>
      </c>
      <c r="E356" s="4"/>
      <c r="F356" s="5" t="s">
        <v>3</v>
      </c>
      <c r="G356" s="4">
        <v>5.1498865095000005E8</v>
      </c>
      <c r="H356" s="4"/>
      <c r="I356" s="6" t="s">
        <v>8</v>
      </c>
    </row>
    <row r="357">
      <c r="A357" s="8">
        <v>46375.0</v>
      </c>
      <c r="B357" s="3" t="s">
        <v>1</v>
      </c>
      <c r="C357" s="3" t="s">
        <v>381</v>
      </c>
      <c r="D357" s="5">
        <v>1.0E8</v>
      </c>
      <c r="E357" s="4"/>
      <c r="F357" s="5" t="s">
        <v>3</v>
      </c>
      <c r="G357" s="4">
        <v>4.1498865095000005E8</v>
      </c>
      <c r="H357" s="4"/>
      <c r="I357" s="6" t="s">
        <v>8</v>
      </c>
    </row>
    <row r="358">
      <c r="A358" s="8">
        <v>46375.0</v>
      </c>
      <c r="B358" s="3" t="s">
        <v>1</v>
      </c>
      <c r="C358" s="3" t="s">
        <v>382</v>
      </c>
      <c r="D358" s="5">
        <v>5.152E7</v>
      </c>
      <c r="E358" s="4"/>
      <c r="F358" s="5" t="s">
        <v>3</v>
      </c>
      <c r="G358" s="4">
        <v>3.6346865095000005E8</v>
      </c>
      <c r="H358" s="5">
        <v>3.6346865095E8</v>
      </c>
      <c r="I358" s="6" t="s">
        <v>39</v>
      </c>
    </row>
    <row r="359">
      <c r="A359" s="8">
        <v>46375.0</v>
      </c>
      <c r="B359" s="3" t="s">
        <v>1</v>
      </c>
      <c r="C359" s="3" t="s">
        <v>383</v>
      </c>
      <c r="D359" s="5">
        <v>9.36758E7</v>
      </c>
      <c r="E359" s="4"/>
      <c r="F359" s="5" t="s">
        <v>3</v>
      </c>
      <c r="G359" s="4">
        <v>2.6979285095000005E8</v>
      </c>
      <c r="H359" s="5">
        <v>2.6979285095E8</v>
      </c>
      <c r="I359" s="6" t="s">
        <v>39</v>
      </c>
    </row>
    <row r="360">
      <c r="A360" s="8">
        <v>46375.0</v>
      </c>
      <c r="B360" s="3" t="s">
        <v>1</v>
      </c>
      <c r="C360" s="3" t="s">
        <v>384</v>
      </c>
      <c r="D360" s="5">
        <v>4.295515E7</v>
      </c>
      <c r="E360" s="4"/>
      <c r="F360" s="5" t="s">
        <v>3</v>
      </c>
      <c r="G360" s="4">
        <v>2.2683770095000005E8</v>
      </c>
      <c r="H360" s="4"/>
      <c r="I360" s="6" t="s">
        <v>39</v>
      </c>
    </row>
    <row r="361">
      <c r="A361" s="8">
        <v>46375.0</v>
      </c>
      <c r="B361" s="3" t="s">
        <v>1</v>
      </c>
      <c r="C361" s="3" t="s">
        <v>382</v>
      </c>
      <c r="D361" s="5">
        <v>9.115337E7</v>
      </c>
      <c r="E361" s="4"/>
      <c r="F361" s="5" t="s">
        <v>3</v>
      </c>
      <c r="G361" s="4">
        <v>1.3568433095000005E8</v>
      </c>
      <c r="H361" s="4"/>
      <c r="I361" s="6" t="s">
        <v>39</v>
      </c>
    </row>
    <row r="362">
      <c r="A362" s="8">
        <v>46375.0</v>
      </c>
      <c r="B362" s="3" t="s">
        <v>1</v>
      </c>
      <c r="C362" s="3" t="s">
        <v>385</v>
      </c>
      <c r="D362" s="5">
        <v>4.89807E7</v>
      </c>
      <c r="E362" s="4"/>
      <c r="F362" s="5" t="s">
        <v>3</v>
      </c>
      <c r="G362" s="4">
        <v>8.670363095000005E7</v>
      </c>
      <c r="H362" s="4"/>
      <c r="I362" s="6" t="s">
        <v>39</v>
      </c>
    </row>
    <row r="363">
      <c r="A363" s="8">
        <v>46375.0</v>
      </c>
      <c r="B363" s="3" t="s">
        <v>1</v>
      </c>
      <c r="C363" s="3" t="s">
        <v>386</v>
      </c>
      <c r="D363" s="5">
        <v>5.647125E7</v>
      </c>
      <c r="E363" s="4"/>
      <c r="F363" s="5" t="s">
        <v>3</v>
      </c>
      <c r="G363" s="4">
        <v>3.0232380950000048E7</v>
      </c>
      <c r="H363" s="5">
        <v>3.023238095E7</v>
      </c>
      <c r="I363" s="6" t="s">
        <v>39</v>
      </c>
    </row>
    <row r="364">
      <c r="A364" s="8">
        <v>46376.0</v>
      </c>
      <c r="B364" s="3" t="s">
        <v>387</v>
      </c>
      <c r="C364" s="3" t="s">
        <v>388</v>
      </c>
      <c r="D364" s="5"/>
      <c r="E364" s="5">
        <v>5.5E7</v>
      </c>
      <c r="F364" s="5" t="s">
        <v>12</v>
      </c>
      <c r="G364" s="4">
        <v>8.523238095000005E7</v>
      </c>
      <c r="H364" s="4"/>
      <c r="I364" s="6" t="s">
        <v>39</v>
      </c>
    </row>
    <row r="365">
      <c r="A365" s="8">
        <v>46376.0</v>
      </c>
      <c r="B365" s="3" t="s">
        <v>10</v>
      </c>
      <c r="C365" s="3" t="s">
        <v>389</v>
      </c>
      <c r="D365" s="5"/>
      <c r="E365" s="5">
        <v>3278000.0</v>
      </c>
      <c r="F365" s="5" t="s">
        <v>12</v>
      </c>
      <c r="G365" s="4">
        <v>8.851038095000005E7</v>
      </c>
      <c r="H365" s="4"/>
      <c r="I365" s="6" t="s">
        <v>39</v>
      </c>
    </row>
    <row r="366">
      <c r="A366" s="8">
        <v>46376.0</v>
      </c>
      <c r="B366" s="3" t="s">
        <v>14</v>
      </c>
      <c r="C366" s="3" t="s">
        <v>390</v>
      </c>
      <c r="D366" s="5">
        <v>75000.0</v>
      </c>
      <c r="E366" s="4"/>
      <c r="F366" s="5" t="s">
        <v>3</v>
      </c>
      <c r="G366" s="4">
        <v>8.843538095000005E7</v>
      </c>
      <c r="H366" s="4"/>
      <c r="I366" s="6" t="s">
        <v>39</v>
      </c>
    </row>
    <row r="367">
      <c r="A367" s="8">
        <v>46376.0</v>
      </c>
      <c r="B367" s="3" t="s">
        <v>14</v>
      </c>
      <c r="C367" s="3" t="s">
        <v>391</v>
      </c>
      <c r="D367" s="5">
        <v>2500.0</v>
      </c>
      <c r="E367" s="4"/>
      <c r="F367" s="5" t="s">
        <v>3</v>
      </c>
      <c r="G367" s="4">
        <v>8.843288095000005E7</v>
      </c>
      <c r="H367" s="4"/>
      <c r="I367" s="6" t="s">
        <v>8</v>
      </c>
    </row>
    <row r="368">
      <c r="A368" s="8">
        <v>46376.0</v>
      </c>
      <c r="B368" s="3" t="s">
        <v>1</v>
      </c>
      <c r="C368" s="3" t="s">
        <v>392</v>
      </c>
      <c r="D368" s="5">
        <v>8434500.0</v>
      </c>
      <c r="E368" s="4"/>
      <c r="F368" s="5" t="s">
        <v>3</v>
      </c>
      <c r="G368" s="4">
        <v>7.999838095000005E7</v>
      </c>
      <c r="H368" s="4"/>
      <c r="I368" s="6" t="s">
        <v>8</v>
      </c>
    </row>
    <row r="369">
      <c r="A369" s="8">
        <v>46376.0</v>
      </c>
      <c r="B369" s="3" t="s">
        <v>1</v>
      </c>
      <c r="C369" s="3" t="s">
        <v>393</v>
      </c>
      <c r="D369" s="5">
        <v>1400000.0</v>
      </c>
      <c r="E369" s="4"/>
      <c r="F369" s="5" t="s">
        <v>3</v>
      </c>
      <c r="G369" s="4">
        <v>7.859838095000005E7</v>
      </c>
      <c r="H369" s="4"/>
      <c r="I369" s="6" t="s">
        <v>39</v>
      </c>
    </row>
    <row r="370">
      <c r="A370" s="8">
        <v>46376.0</v>
      </c>
      <c r="B370" s="3" t="s">
        <v>1</v>
      </c>
      <c r="C370" s="3" t="s">
        <v>394</v>
      </c>
      <c r="D370" s="5">
        <v>6311700.0</v>
      </c>
      <c r="E370" s="4"/>
      <c r="F370" s="5" t="s">
        <v>3</v>
      </c>
      <c r="G370" s="4">
        <v>7.228668095000005E7</v>
      </c>
      <c r="H370" s="4"/>
      <c r="I370" s="6" t="s">
        <v>8</v>
      </c>
    </row>
    <row r="371">
      <c r="A371" s="8">
        <v>46376.0</v>
      </c>
      <c r="B371" s="3" t="s">
        <v>1</v>
      </c>
      <c r="C371" s="3" t="s">
        <v>395</v>
      </c>
      <c r="D371" s="5">
        <v>5.34352E7</v>
      </c>
      <c r="E371" s="4"/>
      <c r="F371" s="5" t="s">
        <v>3</v>
      </c>
      <c r="G371" s="4">
        <v>1.8851480950000048E7</v>
      </c>
      <c r="H371" s="5">
        <v>1.885148095E7</v>
      </c>
      <c r="I371" s="6" t="s">
        <v>39</v>
      </c>
    </row>
    <row r="372">
      <c r="A372" s="8">
        <v>46376.0</v>
      </c>
      <c r="B372" s="3" t="s">
        <v>10</v>
      </c>
      <c r="C372" s="3" t="s">
        <v>396</v>
      </c>
      <c r="D372" s="5"/>
      <c r="E372" s="5">
        <v>1.4100472E8</v>
      </c>
      <c r="F372" s="5" t="s">
        <v>12</v>
      </c>
      <c r="G372" s="4">
        <v>1.5985620095000005E8</v>
      </c>
      <c r="H372" s="5">
        <v>1.5985620095E8</v>
      </c>
      <c r="I372" s="6" t="s">
        <v>39</v>
      </c>
    </row>
    <row r="373">
      <c r="A373" s="8">
        <v>46376.0</v>
      </c>
      <c r="B373" s="3" t="s">
        <v>10</v>
      </c>
      <c r="C373" s="3" t="s">
        <v>397</v>
      </c>
      <c r="D373" s="5"/>
      <c r="E373" s="5">
        <v>1.5177796E8</v>
      </c>
      <c r="F373" s="5" t="s">
        <v>12</v>
      </c>
      <c r="G373" s="4">
        <v>3.1163416095000005E8</v>
      </c>
      <c r="H373" s="4"/>
      <c r="I373" s="6" t="s">
        <v>39</v>
      </c>
    </row>
    <row r="374">
      <c r="A374" s="8">
        <v>46376.0</v>
      </c>
      <c r="B374" s="3" t="s">
        <v>10</v>
      </c>
      <c r="C374" s="3" t="s">
        <v>398</v>
      </c>
      <c r="D374" s="5"/>
      <c r="E374" s="5">
        <v>1.98383742E8</v>
      </c>
      <c r="F374" s="5" t="s">
        <v>12</v>
      </c>
      <c r="G374" s="4">
        <v>5.1001790295000005E8</v>
      </c>
      <c r="H374" s="4"/>
      <c r="I374" s="6" t="s">
        <v>39</v>
      </c>
    </row>
    <row r="375">
      <c r="A375" s="8">
        <v>46376.0</v>
      </c>
      <c r="B375" s="3" t="s">
        <v>10</v>
      </c>
      <c r="C375" s="3" t="s">
        <v>399</v>
      </c>
      <c r="D375" s="5"/>
      <c r="E375" s="5">
        <v>1.83874E7</v>
      </c>
      <c r="F375" s="5" t="s">
        <v>12</v>
      </c>
      <c r="G375" s="4">
        <v>5.2840530295000005E8</v>
      </c>
      <c r="H375" s="4"/>
      <c r="I375" s="6" t="s">
        <v>39</v>
      </c>
    </row>
    <row r="376">
      <c r="A376" s="8">
        <v>46376.0</v>
      </c>
      <c r="B376" s="3" t="s">
        <v>1</v>
      </c>
      <c r="C376" s="3" t="s">
        <v>400</v>
      </c>
      <c r="D376" s="5">
        <v>180000.0</v>
      </c>
      <c r="E376" s="4"/>
      <c r="F376" s="5" t="s">
        <v>3</v>
      </c>
      <c r="G376" s="4">
        <v>5.2822530295000005E8</v>
      </c>
      <c r="H376" s="4"/>
      <c r="I376" s="6" t="s">
        <v>39</v>
      </c>
    </row>
    <row r="377">
      <c r="A377" s="8">
        <v>46376.0</v>
      </c>
      <c r="B377" s="3" t="s">
        <v>68</v>
      </c>
      <c r="C377" s="3" t="s">
        <v>69</v>
      </c>
      <c r="D377" s="5"/>
      <c r="E377" s="5">
        <v>5.796E7</v>
      </c>
      <c r="F377" s="5" t="s">
        <v>12</v>
      </c>
      <c r="G377" s="4">
        <v>5.8618530295E8</v>
      </c>
      <c r="H377" s="4"/>
      <c r="I377" s="6" t="s">
        <v>39</v>
      </c>
    </row>
    <row r="378">
      <c r="A378" s="8">
        <v>46376.0</v>
      </c>
      <c r="B378" s="3" t="s">
        <v>1</v>
      </c>
      <c r="C378" s="3" t="s">
        <v>401</v>
      </c>
      <c r="D378" s="5">
        <v>5.305986E7</v>
      </c>
      <c r="E378" s="4"/>
      <c r="F378" s="5" t="s">
        <v>3</v>
      </c>
      <c r="G378" s="4">
        <v>5.3312544295000005E8</v>
      </c>
      <c r="H378" s="4"/>
      <c r="I378" s="6" t="s">
        <v>39</v>
      </c>
    </row>
    <row r="379">
      <c r="A379" s="8">
        <v>46376.0</v>
      </c>
      <c r="B379" s="3" t="s">
        <v>1</v>
      </c>
      <c r="C379" s="3" t="s">
        <v>402</v>
      </c>
      <c r="D379" s="5">
        <v>2.4041E7</v>
      </c>
      <c r="E379" s="4"/>
      <c r="F379" s="5" t="s">
        <v>3</v>
      </c>
      <c r="G379" s="4">
        <v>5.0908444295000005E8</v>
      </c>
      <c r="H379" s="4"/>
      <c r="I379" s="6" t="s">
        <v>39</v>
      </c>
    </row>
    <row r="380">
      <c r="A380" s="8">
        <v>46376.0</v>
      </c>
      <c r="B380" s="3" t="s">
        <v>10</v>
      </c>
      <c r="C380" s="3" t="s">
        <v>403</v>
      </c>
      <c r="D380" s="5"/>
      <c r="E380" s="5">
        <v>2.0144845E8</v>
      </c>
      <c r="F380" s="5" t="s">
        <v>12</v>
      </c>
      <c r="G380" s="4">
        <v>7.1053289295E8</v>
      </c>
      <c r="H380" s="4"/>
      <c r="I380" s="6" t="s">
        <v>39</v>
      </c>
    </row>
    <row r="381">
      <c r="A381" s="8">
        <v>46376.0</v>
      </c>
      <c r="B381" s="3" t="s">
        <v>1</v>
      </c>
      <c r="C381" s="3" t="s">
        <v>404</v>
      </c>
      <c r="D381" s="5">
        <v>9.013658E7</v>
      </c>
      <c r="E381" s="4"/>
      <c r="F381" s="5" t="s">
        <v>3</v>
      </c>
      <c r="G381" s="4">
        <v>6.2039631295E8</v>
      </c>
      <c r="H381" s="4"/>
      <c r="I381" s="6" t="s">
        <v>39</v>
      </c>
    </row>
    <row r="382">
      <c r="A382" s="8">
        <v>46376.0</v>
      </c>
      <c r="B382" s="3" t="s">
        <v>1</v>
      </c>
      <c r="C382" s="3" t="s">
        <v>405</v>
      </c>
      <c r="D382" s="5">
        <v>2.2577497E8</v>
      </c>
      <c r="E382" s="4"/>
      <c r="F382" s="5" t="s">
        <v>3</v>
      </c>
      <c r="G382" s="4">
        <v>3.9462134295000005E8</v>
      </c>
      <c r="H382" s="4"/>
      <c r="I382" s="6" t="s">
        <v>39</v>
      </c>
    </row>
    <row r="383">
      <c r="A383" s="8">
        <v>46376.0</v>
      </c>
      <c r="B383" s="3" t="s">
        <v>1</v>
      </c>
      <c r="C383" s="3" t="s">
        <v>406</v>
      </c>
      <c r="D383" s="5">
        <v>1.019191E8</v>
      </c>
      <c r="E383" s="4"/>
      <c r="F383" s="5" t="s">
        <v>3</v>
      </c>
      <c r="G383" s="4">
        <v>2.9270224295000005E8</v>
      </c>
      <c r="H383" s="4"/>
      <c r="I383" s="6" t="s">
        <v>39</v>
      </c>
    </row>
    <row r="384">
      <c r="A384" s="8">
        <v>46376.0</v>
      </c>
      <c r="B384" s="3" t="s">
        <v>1</v>
      </c>
      <c r="C384" s="3" t="s">
        <v>407</v>
      </c>
      <c r="D384" s="5">
        <v>8.213823E7</v>
      </c>
      <c r="E384" s="4"/>
      <c r="F384" s="5" t="s">
        <v>3</v>
      </c>
      <c r="G384" s="4">
        <v>2.1056401295000005E8</v>
      </c>
      <c r="H384" s="5">
        <v>2.1056401295E8</v>
      </c>
      <c r="I384" s="6" t="s">
        <v>39</v>
      </c>
    </row>
    <row r="385">
      <c r="A385" s="8">
        <v>46376.0</v>
      </c>
      <c r="B385" s="3" t="s">
        <v>1</v>
      </c>
      <c r="C385" s="3" t="s">
        <v>408</v>
      </c>
      <c r="D385" s="5">
        <v>3.74E7</v>
      </c>
      <c r="E385" s="4"/>
      <c r="F385" s="5" t="s">
        <v>3</v>
      </c>
      <c r="G385" s="4">
        <v>1.7316401295000005E8</v>
      </c>
      <c r="H385" s="5">
        <v>1.7316401295E8</v>
      </c>
      <c r="I385" s="6" t="s">
        <v>39</v>
      </c>
    </row>
    <row r="386">
      <c r="A386" s="8">
        <v>46376.0</v>
      </c>
      <c r="B386" s="3" t="s">
        <v>1</v>
      </c>
      <c r="C386" s="3" t="s">
        <v>409</v>
      </c>
      <c r="D386" s="5">
        <v>1.0725E8</v>
      </c>
      <c r="E386" s="4"/>
      <c r="F386" s="5" t="s">
        <v>3</v>
      </c>
      <c r="G386" s="4">
        <v>6.591401295000005E7</v>
      </c>
      <c r="H386" s="5">
        <v>6.591401295E7</v>
      </c>
      <c r="I386" s="6" t="s">
        <v>39</v>
      </c>
    </row>
    <row r="387">
      <c r="A387" s="8">
        <v>46377.0</v>
      </c>
      <c r="B387" s="3" t="s">
        <v>1</v>
      </c>
      <c r="C387" s="3" t="s">
        <v>410</v>
      </c>
      <c r="D387" s="5">
        <v>2054070.0</v>
      </c>
      <c r="E387" s="4"/>
      <c r="F387" s="5" t="s">
        <v>3</v>
      </c>
      <c r="G387" s="4">
        <v>6.385994295000005E7</v>
      </c>
      <c r="H387" s="4"/>
      <c r="I387" s="6" t="s">
        <v>39</v>
      </c>
    </row>
    <row r="388">
      <c r="A388" s="8">
        <v>46377.0</v>
      </c>
      <c r="B388" s="3" t="s">
        <v>1</v>
      </c>
      <c r="C388" s="3" t="s">
        <v>411</v>
      </c>
      <c r="D388" s="5">
        <v>2931260.0</v>
      </c>
      <c r="E388" s="4"/>
      <c r="F388" s="5" t="s">
        <v>3</v>
      </c>
      <c r="G388" s="4">
        <v>6.092868295000005E7</v>
      </c>
      <c r="H388" s="4"/>
      <c r="I388" s="6" t="s">
        <v>39</v>
      </c>
    </row>
    <row r="389">
      <c r="A389" s="8">
        <v>46377.0</v>
      </c>
      <c r="B389" s="3" t="s">
        <v>1</v>
      </c>
      <c r="C389" s="3" t="s">
        <v>412</v>
      </c>
      <c r="D389" s="5">
        <v>2460510.0</v>
      </c>
      <c r="E389" s="4"/>
      <c r="F389" s="5" t="s">
        <v>3</v>
      </c>
      <c r="G389" s="4">
        <v>5.846817295000005E7</v>
      </c>
      <c r="H389" s="4"/>
      <c r="I389" s="6" t="s">
        <v>39</v>
      </c>
    </row>
    <row r="390">
      <c r="A390" s="8">
        <v>46377.0</v>
      </c>
      <c r="B390" s="3" t="s">
        <v>1</v>
      </c>
      <c r="C390" s="3" t="s">
        <v>413</v>
      </c>
      <c r="D390" s="5">
        <v>1400000.0</v>
      </c>
      <c r="E390" s="4"/>
      <c r="F390" s="5" t="s">
        <v>3</v>
      </c>
      <c r="G390" s="4">
        <v>5.706817295000005E7</v>
      </c>
      <c r="H390" s="4"/>
      <c r="I390" s="6" t="s">
        <v>39</v>
      </c>
    </row>
    <row r="391">
      <c r="A391" s="8">
        <v>46377.0</v>
      </c>
      <c r="B391" s="3" t="s">
        <v>10</v>
      </c>
      <c r="C391" s="3" t="s">
        <v>414</v>
      </c>
      <c r="D391" s="5"/>
      <c r="E391" s="5">
        <v>2840000.0</v>
      </c>
      <c r="F391" s="5" t="s">
        <v>12</v>
      </c>
      <c r="G391" s="4">
        <v>5.990817295000005E7</v>
      </c>
      <c r="H391" s="4"/>
      <c r="I391" s="6" t="s">
        <v>39</v>
      </c>
    </row>
    <row r="392">
      <c r="A392" s="8">
        <v>46377.0</v>
      </c>
      <c r="B392" s="3" t="s">
        <v>10</v>
      </c>
      <c r="C392" s="3" t="s">
        <v>415</v>
      </c>
      <c r="D392" s="5"/>
      <c r="E392" s="5">
        <v>2.1979702E8</v>
      </c>
      <c r="F392" s="5" t="s">
        <v>12</v>
      </c>
      <c r="G392" s="4">
        <v>2.7970519295000005E8</v>
      </c>
      <c r="H392" s="4"/>
      <c r="I392" s="6" t="s">
        <v>39</v>
      </c>
    </row>
    <row r="393">
      <c r="A393" s="8">
        <v>46377.0</v>
      </c>
      <c r="B393" s="3" t="s">
        <v>14</v>
      </c>
      <c r="C393" s="3" t="s">
        <v>390</v>
      </c>
      <c r="D393" s="5">
        <v>426000.0</v>
      </c>
      <c r="E393" s="4"/>
      <c r="F393" s="5" t="s">
        <v>3</v>
      </c>
      <c r="G393" s="4">
        <v>2.7927919295000005E8</v>
      </c>
      <c r="H393" s="4"/>
      <c r="I393" s="6" t="s">
        <v>39</v>
      </c>
    </row>
    <row r="394">
      <c r="A394" s="8">
        <v>46377.0</v>
      </c>
      <c r="B394" s="3" t="s">
        <v>14</v>
      </c>
      <c r="C394" s="3" t="s">
        <v>391</v>
      </c>
      <c r="D394" s="5">
        <v>2500.0</v>
      </c>
      <c r="E394" s="4"/>
      <c r="F394" s="5" t="s">
        <v>3</v>
      </c>
      <c r="G394" s="4">
        <v>2.7927669295000005E8</v>
      </c>
      <c r="H394" s="4"/>
      <c r="I394" s="6" t="s">
        <v>39</v>
      </c>
    </row>
    <row r="395">
      <c r="A395" s="8">
        <v>46377.0</v>
      </c>
      <c r="B395" s="3" t="s">
        <v>1</v>
      </c>
      <c r="C395" s="3" t="s">
        <v>416</v>
      </c>
      <c r="D395" s="5">
        <v>1.113064E8</v>
      </c>
      <c r="E395" s="4"/>
      <c r="F395" s="5" t="s">
        <v>3</v>
      </c>
      <c r="G395" s="4">
        <v>1.6797029295000005E8</v>
      </c>
      <c r="H395" s="4"/>
      <c r="I395" s="6" t="s">
        <v>39</v>
      </c>
    </row>
    <row r="396">
      <c r="A396" s="8">
        <v>46377.0</v>
      </c>
      <c r="B396" s="3" t="s">
        <v>10</v>
      </c>
      <c r="C396" s="3" t="s">
        <v>417</v>
      </c>
      <c r="D396" s="5"/>
      <c r="E396" s="5">
        <v>1.032688E8</v>
      </c>
      <c r="F396" s="5" t="s">
        <v>12</v>
      </c>
      <c r="G396" s="4">
        <v>2.7123909295000005E8</v>
      </c>
      <c r="H396" s="4"/>
      <c r="I396" s="6" t="s">
        <v>39</v>
      </c>
    </row>
    <row r="397">
      <c r="A397" s="8">
        <v>46377.0</v>
      </c>
      <c r="B397" s="3" t="s">
        <v>10</v>
      </c>
      <c r="C397" s="3" t="s">
        <v>418</v>
      </c>
      <c r="D397" s="5"/>
      <c r="E397" s="5">
        <v>1.477926E8</v>
      </c>
      <c r="F397" s="5" t="s">
        <v>12</v>
      </c>
      <c r="G397" s="4">
        <v>4.1903169295000005E8</v>
      </c>
      <c r="H397" s="5">
        <v>4.1903169295E8</v>
      </c>
      <c r="I397" s="6" t="s">
        <v>39</v>
      </c>
    </row>
    <row r="398">
      <c r="A398" s="8">
        <v>46377.0</v>
      </c>
      <c r="B398" s="3" t="s">
        <v>10</v>
      </c>
      <c r="C398" s="3" t="s">
        <v>419</v>
      </c>
      <c r="D398" s="5"/>
      <c r="E398" s="5">
        <v>1.45092701E8</v>
      </c>
      <c r="F398" s="5" t="s">
        <v>12</v>
      </c>
      <c r="G398" s="4">
        <v>5.6412439395E8</v>
      </c>
      <c r="H398" s="5">
        <v>5.6412439395E8</v>
      </c>
      <c r="I398" s="6" t="s">
        <v>39</v>
      </c>
    </row>
    <row r="399">
      <c r="A399" s="8">
        <v>46377.0</v>
      </c>
      <c r="B399" s="3" t="s">
        <v>10</v>
      </c>
      <c r="C399" s="3" t="s">
        <v>420</v>
      </c>
      <c r="D399" s="5"/>
      <c r="E399" s="5">
        <v>9.6940801E7</v>
      </c>
      <c r="F399" s="5" t="s">
        <v>12</v>
      </c>
      <c r="G399" s="4">
        <v>6.6106519495E8</v>
      </c>
      <c r="H399" s="4"/>
      <c r="I399" s="6" t="s">
        <v>39</v>
      </c>
    </row>
    <row r="400">
      <c r="A400" s="8">
        <v>46377.0</v>
      </c>
      <c r="B400" s="3" t="s">
        <v>50</v>
      </c>
      <c r="C400" s="3" t="s">
        <v>421</v>
      </c>
      <c r="D400" s="5">
        <v>41000.0</v>
      </c>
      <c r="E400" s="4"/>
      <c r="F400" s="4"/>
      <c r="G400" s="4">
        <v>6.6102419495E8</v>
      </c>
      <c r="H400" s="4"/>
      <c r="I400" s="6" t="s">
        <v>39</v>
      </c>
    </row>
    <row r="401">
      <c r="A401" s="8">
        <v>46377.0</v>
      </c>
      <c r="B401" s="3" t="s">
        <v>10</v>
      </c>
      <c r="C401" s="3" t="s">
        <v>422</v>
      </c>
      <c r="D401" s="5"/>
      <c r="E401" s="5">
        <v>9.5450575E7</v>
      </c>
      <c r="F401" s="5" t="s">
        <v>12</v>
      </c>
      <c r="G401" s="4">
        <v>7.5647476995E8</v>
      </c>
      <c r="H401" s="4"/>
      <c r="I401" s="6" t="s">
        <v>39</v>
      </c>
    </row>
    <row r="402">
      <c r="A402" s="8">
        <v>46377.0</v>
      </c>
      <c r="B402" s="3" t="s">
        <v>1</v>
      </c>
      <c r="C402" s="3" t="s">
        <v>423</v>
      </c>
      <c r="D402" s="5">
        <v>1.0E7</v>
      </c>
      <c r="E402" s="4"/>
      <c r="F402" s="5" t="s">
        <v>3</v>
      </c>
      <c r="G402" s="4">
        <v>7.4647476995E8</v>
      </c>
      <c r="H402" s="4"/>
      <c r="I402" s="6" t="s">
        <v>39</v>
      </c>
    </row>
    <row r="403">
      <c r="A403" s="8">
        <v>46377.0</v>
      </c>
      <c r="B403" s="3" t="s">
        <v>1</v>
      </c>
      <c r="C403" s="3" t="s">
        <v>424</v>
      </c>
      <c r="D403" s="5">
        <v>6.0E7</v>
      </c>
      <c r="E403" s="4"/>
      <c r="F403" s="5" t="s">
        <v>3</v>
      </c>
      <c r="G403" s="4">
        <v>6.8647476995E8</v>
      </c>
      <c r="H403" s="5">
        <v>6.8647476995E8</v>
      </c>
      <c r="I403" s="6" t="s">
        <v>39</v>
      </c>
    </row>
    <row r="404">
      <c r="A404" s="8">
        <v>46378.0</v>
      </c>
      <c r="B404" s="3" t="s">
        <v>425</v>
      </c>
      <c r="C404" s="3" t="s">
        <v>426</v>
      </c>
      <c r="D404" s="5">
        <v>5.28E7</v>
      </c>
      <c r="E404" s="4"/>
      <c r="F404" s="5" t="s">
        <v>3</v>
      </c>
      <c r="G404" s="4">
        <v>6.3367476995E8</v>
      </c>
      <c r="H404" s="4"/>
      <c r="I404" s="6" t="s">
        <v>39</v>
      </c>
    </row>
    <row r="405">
      <c r="A405" s="8">
        <v>46378.0</v>
      </c>
      <c r="B405" s="3" t="s">
        <v>425</v>
      </c>
      <c r="C405" s="3" t="s">
        <v>427</v>
      </c>
      <c r="D405" s="5">
        <v>5.80191E7</v>
      </c>
      <c r="E405" s="4"/>
      <c r="F405" s="5" t="s">
        <v>3</v>
      </c>
      <c r="G405" s="4">
        <v>5.7565566995E8</v>
      </c>
      <c r="H405" s="4"/>
      <c r="I405" s="6" t="s">
        <v>39</v>
      </c>
    </row>
    <row r="406">
      <c r="A406" s="8">
        <v>46378.0</v>
      </c>
      <c r="B406" s="3" t="s">
        <v>425</v>
      </c>
      <c r="C406" s="3" t="s">
        <v>428</v>
      </c>
      <c r="D406" s="5">
        <v>1.0659E8</v>
      </c>
      <c r="E406" s="4"/>
      <c r="F406" s="5" t="s">
        <v>3</v>
      </c>
      <c r="G406" s="4">
        <v>4.6906566995000005E8</v>
      </c>
      <c r="H406" s="4"/>
      <c r="I406" s="6" t="s">
        <v>39</v>
      </c>
    </row>
    <row r="407">
      <c r="A407" s="8">
        <v>46378.0</v>
      </c>
      <c r="B407" s="3" t="s">
        <v>425</v>
      </c>
      <c r="C407" s="3" t="s">
        <v>429</v>
      </c>
      <c r="D407" s="5">
        <v>1.6178154E8</v>
      </c>
      <c r="E407" s="4"/>
      <c r="F407" s="5" t="s">
        <v>3</v>
      </c>
      <c r="G407" s="4">
        <v>3.0728412995000005E8</v>
      </c>
      <c r="H407" s="4"/>
      <c r="I407" s="6" t="s">
        <v>39</v>
      </c>
    </row>
    <row r="408">
      <c r="A408" s="8">
        <v>46378.0</v>
      </c>
      <c r="B408" s="3" t="s">
        <v>425</v>
      </c>
      <c r="C408" s="3" t="s">
        <v>430</v>
      </c>
      <c r="D408" s="5">
        <v>5.17032E7</v>
      </c>
      <c r="E408" s="4"/>
      <c r="F408" s="5" t="s">
        <v>3</v>
      </c>
      <c r="G408" s="4">
        <v>2.5558092995000005E8</v>
      </c>
      <c r="H408" s="4"/>
      <c r="I408" s="6" t="s">
        <v>39</v>
      </c>
    </row>
    <row r="409">
      <c r="A409" s="8">
        <v>46378.0</v>
      </c>
      <c r="B409" s="3" t="s">
        <v>425</v>
      </c>
      <c r="C409" s="3" t="s">
        <v>430</v>
      </c>
      <c r="D409" s="5">
        <v>3.74892E7</v>
      </c>
      <c r="E409" s="4"/>
      <c r="F409" s="5" t="s">
        <v>3</v>
      </c>
      <c r="G409" s="4">
        <v>2.1809172995000005E8</v>
      </c>
      <c r="H409" s="5">
        <v>2.1809172995E8</v>
      </c>
      <c r="I409" s="6" t="s">
        <v>39</v>
      </c>
    </row>
    <row r="410">
      <c r="A410" s="8">
        <v>46378.0</v>
      </c>
      <c r="B410" s="3" t="s">
        <v>431</v>
      </c>
      <c r="C410" s="3" t="s">
        <v>432</v>
      </c>
      <c r="D410" s="5"/>
      <c r="E410" s="5">
        <v>4642000.0</v>
      </c>
      <c r="F410" s="5" t="s">
        <v>12</v>
      </c>
      <c r="G410" s="4">
        <v>2.2273372995000005E8</v>
      </c>
      <c r="H410" s="5">
        <v>2.2273372995E8</v>
      </c>
      <c r="I410" s="6" t="s">
        <v>39</v>
      </c>
    </row>
    <row r="411">
      <c r="A411" s="8">
        <v>46378.0</v>
      </c>
      <c r="B411" s="3" t="s">
        <v>425</v>
      </c>
      <c r="C411" s="3" t="s">
        <v>433</v>
      </c>
      <c r="D411" s="5">
        <v>3.555493E7</v>
      </c>
      <c r="E411" s="4"/>
      <c r="F411" s="5" t="s">
        <v>3</v>
      </c>
      <c r="G411" s="4">
        <v>1.8717879995000005E8</v>
      </c>
      <c r="H411" s="4"/>
      <c r="I411" s="6" t="s">
        <v>39</v>
      </c>
    </row>
    <row r="412">
      <c r="A412" s="8">
        <v>46378.0</v>
      </c>
      <c r="B412" s="3" t="s">
        <v>425</v>
      </c>
      <c r="C412" s="3" t="s">
        <v>434</v>
      </c>
      <c r="D412" s="5">
        <v>5.910425E7</v>
      </c>
      <c r="E412" s="4"/>
      <c r="F412" s="5" t="s">
        <v>3</v>
      </c>
      <c r="G412" s="4">
        <v>1.2807454995000005E8</v>
      </c>
      <c r="H412" s="4"/>
      <c r="I412" s="6" t="s">
        <v>39</v>
      </c>
    </row>
    <row r="413">
      <c r="A413" s="8">
        <v>46378.0</v>
      </c>
      <c r="B413" s="3" t="s">
        <v>425</v>
      </c>
      <c r="C413" s="3" t="s">
        <v>435</v>
      </c>
      <c r="D413" s="5">
        <v>6484870.0</v>
      </c>
      <c r="E413" s="4"/>
      <c r="F413" s="5" t="s">
        <v>3</v>
      </c>
      <c r="G413" s="4">
        <v>1.2158967995000005E8</v>
      </c>
      <c r="H413" s="4"/>
      <c r="I413" s="6" t="s">
        <v>39</v>
      </c>
    </row>
    <row r="414">
      <c r="A414" s="8">
        <v>46378.0</v>
      </c>
      <c r="B414" s="3" t="s">
        <v>425</v>
      </c>
      <c r="C414" s="3" t="s">
        <v>436</v>
      </c>
      <c r="D414" s="5">
        <v>1872550.0</v>
      </c>
      <c r="E414" s="4"/>
      <c r="F414" s="5" t="s">
        <v>3</v>
      </c>
      <c r="G414" s="4">
        <v>1.1971712995000005E8</v>
      </c>
      <c r="H414" s="4"/>
      <c r="I414" s="6" t="s">
        <v>39</v>
      </c>
    </row>
    <row r="415">
      <c r="A415" s="8">
        <v>46378.0</v>
      </c>
      <c r="B415" s="3" t="s">
        <v>425</v>
      </c>
      <c r="C415" s="3" t="s">
        <v>437</v>
      </c>
      <c r="D415" s="5">
        <v>2182800.0</v>
      </c>
      <c r="E415" s="4"/>
      <c r="F415" s="5" t="s">
        <v>3</v>
      </c>
      <c r="G415" s="4">
        <v>1.1753432995000005E8</v>
      </c>
      <c r="H415" s="4"/>
      <c r="I415" s="6" t="s">
        <v>39</v>
      </c>
    </row>
    <row r="416">
      <c r="A416" s="8">
        <v>46378.0</v>
      </c>
      <c r="B416" s="3" t="s">
        <v>425</v>
      </c>
      <c r="C416" s="3" t="s">
        <v>438</v>
      </c>
      <c r="D416" s="5">
        <v>3305900.0</v>
      </c>
      <c r="E416" s="4"/>
      <c r="F416" s="5" t="s">
        <v>3</v>
      </c>
      <c r="G416" s="4">
        <v>1.1422842995000005E8</v>
      </c>
      <c r="H416" s="4"/>
      <c r="I416" s="6" t="s">
        <v>39</v>
      </c>
    </row>
    <row r="417">
      <c r="A417" s="8">
        <v>46378.0</v>
      </c>
      <c r="B417" s="3" t="s">
        <v>425</v>
      </c>
      <c r="C417" s="3" t="s">
        <v>439</v>
      </c>
      <c r="D417" s="5">
        <v>3619540.0</v>
      </c>
      <c r="E417" s="4"/>
      <c r="F417" s="5" t="s">
        <v>3</v>
      </c>
      <c r="G417" s="4">
        <v>1.1060888995000005E8</v>
      </c>
      <c r="H417" s="4"/>
      <c r="I417" s="6" t="s">
        <v>39</v>
      </c>
    </row>
    <row r="418">
      <c r="A418" s="8">
        <v>46378.0</v>
      </c>
      <c r="B418" s="3" t="s">
        <v>425</v>
      </c>
      <c r="C418" s="3" t="s">
        <v>440</v>
      </c>
      <c r="D418" s="5">
        <v>1.1E8</v>
      </c>
      <c r="E418" s="4"/>
      <c r="F418" s="5" t="s">
        <v>3</v>
      </c>
      <c r="G418" s="4">
        <v>608889.9500000477</v>
      </c>
      <c r="H418" s="4"/>
      <c r="I418" s="6" t="s">
        <v>39</v>
      </c>
    </row>
    <row r="419">
      <c r="A419" s="8">
        <v>46378.0</v>
      </c>
      <c r="B419" s="3" t="s">
        <v>431</v>
      </c>
      <c r="C419" s="3" t="s">
        <v>441</v>
      </c>
      <c r="D419" s="5"/>
      <c r="E419" s="5">
        <v>2.379051E8</v>
      </c>
      <c r="F419" s="5" t="s">
        <v>12</v>
      </c>
      <c r="G419" s="4">
        <v>2.3851398995000005E8</v>
      </c>
      <c r="H419" s="4"/>
      <c r="I419" s="6" t="s">
        <v>39</v>
      </c>
    </row>
    <row r="420">
      <c r="A420" s="8">
        <v>46378.0</v>
      </c>
      <c r="B420" s="3" t="s">
        <v>41</v>
      </c>
      <c r="C420" s="3" t="s">
        <v>442</v>
      </c>
      <c r="D420" s="5">
        <v>261800.0</v>
      </c>
      <c r="E420" s="4"/>
      <c r="F420" s="4"/>
      <c r="G420" s="4">
        <v>2.3825218995000005E8</v>
      </c>
      <c r="H420" s="4"/>
      <c r="I420" s="6" t="s">
        <v>39</v>
      </c>
    </row>
    <row r="421">
      <c r="A421" s="8">
        <v>46378.0</v>
      </c>
      <c r="B421" s="3" t="s">
        <v>41</v>
      </c>
      <c r="C421" s="3" t="s">
        <v>442</v>
      </c>
      <c r="D421" s="5">
        <v>113800.0</v>
      </c>
      <c r="E421" s="4"/>
      <c r="F421" s="4"/>
      <c r="G421" s="4">
        <v>2.3813838995000005E8</v>
      </c>
      <c r="H421" s="4"/>
      <c r="I421" s="6" t="s">
        <v>39</v>
      </c>
    </row>
    <row r="422">
      <c r="A422" s="8">
        <v>46378.0</v>
      </c>
      <c r="B422" s="3" t="s">
        <v>228</v>
      </c>
      <c r="C422" s="3" t="s">
        <v>229</v>
      </c>
      <c r="E422" s="5">
        <v>6.01035E7</v>
      </c>
      <c r="F422" s="4"/>
      <c r="G422" s="4">
        <v>2.9824188995000005E8</v>
      </c>
      <c r="H422" s="4"/>
      <c r="I422" s="6" t="s">
        <v>39</v>
      </c>
    </row>
    <row r="423">
      <c r="A423" s="8">
        <v>46378.0</v>
      </c>
      <c r="B423" s="3" t="s">
        <v>1</v>
      </c>
      <c r="C423" s="3" t="s">
        <v>443</v>
      </c>
      <c r="D423" s="5">
        <v>1500000.0</v>
      </c>
      <c r="E423" s="4"/>
      <c r="F423" s="5" t="s">
        <v>3</v>
      </c>
      <c r="G423" s="4">
        <v>2.9674188995000005E8</v>
      </c>
      <c r="H423" s="4"/>
      <c r="I423" s="6" t="s">
        <v>39</v>
      </c>
    </row>
    <row r="424">
      <c r="A424" s="8">
        <v>46378.0</v>
      </c>
      <c r="B424" s="3" t="s">
        <v>10</v>
      </c>
      <c r="C424" s="3" t="s">
        <v>444</v>
      </c>
      <c r="D424" s="5"/>
      <c r="E424" s="5">
        <v>1.51059E8</v>
      </c>
      <c r="F424" s="5" t="s">
        <v>12</v>
      </c>
      <c r="G424" s="4">
        <v>4.4780088995000005E8</v>
      </c>
      <c r="H424" s="5">
        <v>4.4780088995E8</v>
      </c>
      <c r="I424" s="6" t="s">
        <v>39</v>
      </c>
    </row>
    <row r="425">
      <c r="A425" s="8">
        <v>46378.0</v>
      </c>
      <c r="B425" s="3" t="s">
        <v>10</v>
      </c>
      <c r="C425" s="3" t="s">
        <v>445</v>
      </c>
      <c r="D425" s="5"/>
      <c r="E425" s="5">
        <v>1.50575602E8</v>
      </c>
      <c r="F425" s="5" t="s">
        <v>12</v>
      </c>
      <c r="G425" s="4">
        <v>5.9837649195E8</v>
      </c>
      <c r="H425" s="5">
        <v>5.9837649195E8</v>
      </c>
      <c r="I425" s="6" t="s">
        <v>39</v>
      </c>
    </row>
    <row r="426">
      <c r="A426" s="8">
        <v>46378.0</v>
      </c>
      <c r="B426" s="3" t="s">
        <v>1</v>
      </c>
      <c r="C426" s="3" t="s">
        <v>446</v>
      </c>
      <c r="D426" s="5">
        <v>1.5698796E8</v>
      </c>
      <c r="E426" s="4"/>
      <c r="F426" s="5" t="s">
        <v>3</v>
      </c>
      <c r="G426" s="4">
        <v>4.4138853195000005E8</v>
      </c>
      <c r="H426" s="4"/>
      <c r="I426" s="6" t="s">
        <v>39</v>
      </c>
    </row>
    <row r="427">
      <c r="A427" s="8">
        <v>46378.0</v>
      </c>
      <c r="B427" s="3" t="s">
        <v>14</v>
      </c>
      <c r="C427" s="3" t="s">
        <v>447</v>
      </c>
      <c r="D427" s="5">
        <v>300000.0</v>
      </c>
      <c r="E427" s="4"/>
      <c r="F427" s="5" t="s">
        <v>3</v>
      </c>
      <c r="G427" s="4">
        <v>4.4108853195000005E8</v>
      </c>
      <c r="H427" s="4"/>
      <c r="I427" s="6" t="s">
        <v>39</v>
      </c>
    </row>
    <row r="428">
      <c r="A428" s="8">
        <v>46378.0</v>
      </c>
      <c r="B428" s="3" t="s">
        <v>14</v>
      </c>
      <c r="C428" s="3" t="s">
        <v>448</v>
      </c>
      <c r="D428" s="5">
        <v>2500.0</v>
      </c>
      <c r="E428" s="4"/>
      <c r="F428" s="5" t="s">
        <v>3</v>
      </c>
      <c r="G428" s="4">
        <v>4.4108603195000005E8</v>
      </c>
      <c r="H428" s="4"/>
      <c r="I428" s="6" t="s">
        <v>39</v>
      </c>
    </row>
    <row r="429">
      <c r="A429" s="8">
        <v>46378.0</v>
      </c>
      <c r="B429" s="3" t="s">
        <v>10</v>
      </c>
      <c r="C429" s="3" t="s">
        <v>449</v>
      </c>
      <c r="D429" s="5"/>
      <c r="E429" s="5">
        <v>2654200.0</v>
      </c>
      <c r="F429" s="5" t="s">
        <v>12</v>
      </c>
      <c r="G429" s="4">
        <v>4.4374023195000005E8</v>
      </c>
      <c r="H429" s="5">
        <v>4.4374023195E8</v>
      </c>
      <c r="I429" s="6" t="s">
        <v>39</v>
      </c>
    </row>
    <row r="430">
      <c r="A430" s="8">
        <v>46379.0</v>
      </c>
      <c r="B430" s="3" t="s">
        <v>450</v>
      </c>
      <c r="C430" s="3" t="s">
        <v>451</v>
      </c>
      <c r="D430" s="5">
        <v>2.247434E7</v>
      </c>
      <c r="E430" s="4"/>
      <c r="F430" s="5" t="s">
        <v>3</v>
      </c>
      <c r="G430" s="4">
        <v>4.2126589195000005E8</v>
      </c>
      <c r="H430" s="4"/>
      <c r="I430" s="6" t="s">
        <v>39</v>
      </c>
    </row>
    <row r="431">
      <c r="A431" s="8">
        <v>46379.0</v>
      </c>
      <c r="B431" s="3" t="s">
        <v>452</v>
      </c>
      <c r="C431" s="3" t="s">
        <v>453</v>
      </c>
      <c r="D431" s="5"/>
      <c r="E431" s="5">
        <v>1.1035082E8</v>
      </c>
      <c r="F431" s="5" t="s">
        <v>12</v>
      </c>
      <c r="G431" s="4">
        <v>5.3161671195000005E8</v>
      </c>
      <c r="H431" s="4"/>
      <c r="I431" s="6" t="s">
        <v>39</v>
      </c>
    </row>
    <row r="432">
      <c r="A432" s="8">
        <v>46379.0</v>
      </c>
      <c r="B432" s="3" t="s">
        <v>450</v>
      </c>
      <c r="C432" s="3" t="s">
        <v>454</v>
      </c>
      <c r="D432" s="5">
        <v>9.417082E7</v>
      </c>
      <c r="E432" s="4"/>
      <c r="F432" s="5" t="s">
        <v>3</v>
      </c>
      <c r="G432" s="4">
        <v>4.3744589195000005E8</v>
      </c>
      <c r="H432" s="4"/>
      <c r="I432" s="6" t="s">
        <v>39</v>
      </c>
    </row>
    <row r="433">
      <c r="A433" s="8">
        <v>46379.0</v>
      </c>
      <c r="B433" s="3" t="s">
        <v>450</v>
      </c>
      <c r="C433" s="3" t="s">
        <v>455</v>
      </c>
      <c r="D433" s="5">
        <v>4.48E7</v>
      </c>
      <c r="E433" s="4"/>
      <c r="F433" s="5" t="s">
        <v>3</v>
      </c>
      <c r="G433" s="4">
        <v>3.9264589195000005E8</v>
      </c>
      <c r="H433" s="4"/>
      <c r="I433" s="6" t="s">
        <v>39</v>
      </c>
    </row>
    <row r="434">
      <c r="A434" s="8">
        <v>46379.0</v>
      </c>
      <c r="B434" s="3" t="s">
        <v>450</v>
      </c>
      <c r="C434" s="3" t="s">
        <v>456</v>
      </c>
      <c r="D434" s="5">
        <v>3.66765E7</v>
      </c>
      <c r="E434" s="4"/>
      <c r="F434" s="5" t="s">
        <v>3</v>
      </c>
      <c r="G434" s="4">
        <v>3.5596939195000005E8</v>
      </c>
      <c r="H434" s="4"/>
      <c r="I434" s="6" t="s">
        <v>39</v>
      </c>
    </row>
    <row r="435">
      <c r="A435" s="8">
        <v>46379.0</v>
      </c>
      <c r="B435" s="3" t="s">
        <v>450</v>
      </c>
      <c r="C435" s="3" t="s">
        <v>457</v>
      </c>
      <c r="D435" s="5">
        <v>6.51456E7</v>
      </c>
      <c r="E435" s="4"/>
      <c r="F435" s="5" t="s">
        <v>3</v>
      </c>
      <c r="G435" s="4">
        <v>2.9082379195000005E8</v>
      </c>
      <c r="H435" s="4"/>
      <c r="I435" s="6" t="s">
        <v>39</v>
      </c>
    </row>
    <row r="436">
      <c r="A436" s="8">
        <v>46379.0</v>
      </c>
      <c r="B436" s="3" t="s">
        <v>450</v>
      </c>
      <c r="C436" s="3" t="s">
        <v>458</v>
      </c>
      <c r="D436" s="5">
        <v>5.5E7</v>
      </c>
      <c r="E436" s="4"/>
      <c r="F436" s="5" t="s">
        <v>3</v>
      </c>
      <c r="G436" s="4">
        <v>2.3582379195000005E8</v>
      </c>
      <c r="H436" s="4"/>
      <c r="I436" s="6" t="s">
        <v>39</v>
      </c>
    </row>
    <row r="437">
      <c r="A437" s="8">
        <v>46379.0</v>
      </c>
      <c r="B437" s="3" t="s">
        <v>450</v>
      </c>
      <c r="C437" s="3" t="s">
        <v>459</v>
      </c>
      <c r="D437" s="5">
        <v>1.0680872E8</v>
      </c>
      <c r="E437" s="4"/>
      <c r="F437" s="5" t="s">
        <v>3</v>
      </c>
      <c r="G437" s="4">
        <v>1.2901507195000005E8</v>
      </c>
      <c r="H437" s="5">
        <v>1.2901507195E8</v>
      </c>
      <c r="I437" s="6" t="s">
        <v>39</v>
      </c>
    </row>
    <row r="438">
      <c r="A438" s="8">
        <v>46379.0</v>
      </c>
      <c r="B438" s="3" t="s">
        <v>450</v>
      </c>
      <c r="C438" s="3" t="s">
        <v>460</v>
      </c>
      <c r="D438" s="5">
        <v>7.5E7</v>
      </c>
      <c r="E438" s="4"/>
      <c r="F438" s="5" t="s">
        <v>3</v>
      </c>
      <c r="G438" s="4">
        <v>5.401507195000005E7</v>
      </c>
      <c r="H438" s="5">
        <v>5.401507195E7</v>
      </c>
      <c r="I438" s="6" t="s">
        <v>39</v>
      </c>
    </row>
    <row r="439">
      <c r="A439" s="8">
        <v>46379.0</v>
      </c>
      <c r="B439" s="3" t="s">
        <v>1</v>
      </c>
      <c r="C439" s="3" t="s">
        <v>461</v>
      </c>
      <c r="D439" s="5">
        <v>2.427794E7</v>
      </c>
      <c r="E439" s="4"/>
      <c r="F439" s="5" t="s">
        <v>3</v>
      </c>
      <c r="G439" s="4">
        <v>2.9737131950000048E7</v>
      </c>
      <c r="H439" s="4"/>
      <c r="I439" s="6" t="s">
        <v>39</v>
      </c>
    </row>
    <row r="440">
      <c r="A440" s="8">
        <v>46379.0</v>
      </c>
      <c r="B440" s="3" t="s">
        <v>1</v>
      </c>
      <c r="C440" s="3" t="s">
        <v>462</v>
      </c>
      <c r="D440" s="5">
        <v>6086910.0</v>
      </c>
      <c r="E440" s="4"/>
      <c r="F440" s="5" t="s">
        <v>3</v>
      </c>
      <c r="G440" s="4">
        <v>2.3650221950000048E7</v>
      </c>
      <c r="H440" s="4"/>
      <c r="I440" s="6" t="s">
        <v>39</v>
      </c>
    </row>
    <row r="441">
      <c r="A441" s="8">
        <v>46379.0</v>
      </c>
      <c r="B441" s="3" t="s">
        <v>1</v>
      </c>
      <c r="C441" s="3" t="s">
        <v>463</v>
      </c>
      <c r="D441" s="5">
        <v>2803090.0</v>
      </c>
      <c r="E441" s="4"/>
      <c r="F441" s="5" t="s">
        <v>3</v>
      </c>
      <c r="G441" s="4">
        <v>2.0847131950000048E7</v>
      </c>
      <c r="H441" s="4"/>
      <c r="I441" s="6" t="s">
        <v>39</v>
      </c>
    </row>
    <row r="442">
      <c r="A442" s="8">
        <v>46379.0</v>
      </c>
      <c r="B442" s="3" t="s">
        <v>1</v>
      </c>
      <c r="C442" s="3" t="s">
        <v>464</v>
      </c>
      <c r="D442" s="5">
        <v>2000000.0</v>
      </c>
      <c r="E442" s="4"/>
      <c r="F442" s="5" t="s">
        <v>3</v>
      </c>
      <c r="G442" s="4">
        <v>1.8847131950000048E7</v>
      </c>
      <c r="H442" s="4"/>
      <c r="I442" s="6" t="s">
        <v>39</v>
      </c>
    </row>
    <row r="443">
      <c r="A443" s="8">
        <v>46379.0</v>
      </c>
      <c r="B443" s="3" t="s">
        <v>1</v>
      </c>
      <c r="C443" s="3" t="s">
        <v>465</v>
      </c>
      <c r="D443" s="5">
        <v>2906900.0</v>
      </c>
      <c r="E443" s="4"/>
      <c r="F443" s="5" t="s">
        <v>3</v>
      </c>
      <c r="G443" s="4">
        <v>1.5940231950000048E7</v>
      </c>
      <c r="H443" s="4"/>
      <c r="I443" s="6" t="s">
        <v>39</v>
      </c>
    </row>
    <row r="444">
      <c r="A444" s="8">
        <v>46379.0</v>
      </c>
      <c r="B444" s="3" t="s">
        <v>10</v>
      </c>
      <c r="C444" s="3" t="s">
        <v>466</v>
      </c>
      <c r="D444" s="5"/>
      <c r="E444" s="5">
        <v>3.5049517E8</v>
      </c>
      <c r="F444" s="5" t="s">
        <v>12</v>
      </c>
      <c r="G444" s="4">
        <v>3.6643540195000005E8</v>
      </c>
      <c r="H444" s="4"/>
      <c r="I444" s="6" t="s">
        <v>39</v>
      </c>
    </row>
    <row r="445">
      <c r="A445" s="8">
        <v>46379.0</v>
      </c>
      <c r="B445" s="3" t="s">
        <v>10</v>
      </c>
      <c r="C445" s="3" t="s">
        <v>467</v>
      </c>
      <c r="D445" s="5"/>
      <c r="E445" s="5">
        <v>1.0E8</v>
      </c>
      <c r="F445" s="5" t="s">
        <v>12</v>
      </c>
      <c r="G445" s="4">
        <v>4.6643540195000005E8</v>
      </c>
      <c r="H445" s="4"/>
      <c r="I445" s="6" t="s">
        <v>39</v>
      </c>
    </row>
    <row r="446">
      <c r="A446" s="8">
        <v>46379.0</v>
      </c>
      <c r="B446" s="3" t="s">
        <v>1</v>
      </c>
      <c r="C446" s="3" t="s">
        <v>468</v>
      </c>
      <c r="D446" s="5">
        <v>1.826E7</v>
      </c>
      <c r="E446" s="4"/>
      <c r="F446" s="5" t="s">
        <v>3</v>
      </c>
      <c r="G446" s="4">
        <v>4.4817540195000005E8</v>
      </c>
      <c r="H446" s="4"/>
      <c r="I446" s="6" t="s">
        <v>39</v>
      </c>
    </row>
    <row r="447">
      <c r="A447" s="8">
        <v>46379.0</v>
      </c>
      <c r="B447" s="3" t="s">
        <v>1</v>
      </c>
      <c r="C447" s="3" t="s">
        <v>469</v>
      </c>
      <c r="D447" s="5">
        <v>4.759884E7</v>
      </c>
      <c r="E447" s="4"/>
      <c r="F447" s="5" t="s">
        <v>3</v>
      </c>
      <c r="G447" s="4">
        <v>4.0057656195000005E8</v>
      </c>
      <c r="H447" s="5">
        <v>4.0057656195E8</v>
      </c>
      <c r="I447" s="6" t="s">
        <v>39</v>
      </c>
    </row>
    <row r="448">
      <c r="A448" s="8">
        <v>46380.0</v>
      </c>
      <c r="B448" s="3" t="s">
        <v>1</v>
      </c>
      <c r="C448" s="3" t="s">
        <v>470</v>
      </c>
      <c r="D448" s="5">
        <v>200000.0</v>
      </c>
      <c r="E448" s="4"/>
      <c r="F448" s="5" t="s">
        <v>3</v>
      </c>
      <c r="G448" s="4">
        <v>4.0037656195000005E8</v>
      </c>
      <c r="H448" s="4"/>
      <c r="I448" s="6" t="s">
        <v>39</v>
      </c>
    </row>
    <row r="449">
      <c r="A449" s="8">
        <v>46380.0</v>
      </c>
      <c r="B449" s="3" t="s">
        <v>1</v>
      </c>
      <c r="C449" s="3" t="s">
        <v>470</v>
      </c>
      <c r="D449" s="5">
        <v>10000.0</v>
      </c>
      <c r="E449" s="4"/>
      <c r="F449" s="5" t="s">
        <v>3</v>
      </c>
      <c r="G449" s="4">
        <v>4.0036656195000005E8</v>
      </c>
      <c r="H449" s="5">
        <v>4.0036656195E8</v>
      </c>
      <c r="I449" s="6" t="s">
        <v>39</v>
      </c>
    </row>
    <row r="450">
      <c r="A450" s="8">
        <v>46380.0</v>
      </c>
      <c r="B450" s="3" t="s">
        <v>136</v>
      </c>
      <c r="C450" s="3" t="s">
        <v>471</v>
      </c>
      <c r="D450" s="5">
        <v>753700.0</v>
      </c>
      <c r="E450" s="4"/>
      <c r="F450" s="4"/>
      <c r="G450" s="4">
        <v>3.9961286195000005E8</v>
      </c>
      <c r="H450" s="5">
        <v>3.9961286195E8</v>
      </c>
      <c r="I450" s="6" t="s">
        <v>39</v>
      </c>
    </row>
    <row r="451">
      <c r="A451" s="8">
        <v>46380.0</v>
      </c>
      <c r="B451" s="3" t="s">
        <v>10</v>
      </c>
      <c r="C451" s="3" t="s">
        <v>472</v>
      </c>
      <c r="D451" s="5"/>
      <c r="E451" s="5">
        <v>2.77E7</v>
      </c>
      <c r="F451" s="5" t="s">
        <v>12</v>
      </c>
      <c r="G451" s="4">
        <v>4.2731286195000005E8</v>
      </c>
      <c r="H451" s="4"/>
      <c r="I451" s="6" t="s">
        <v>39</v>
      </c>
    </row>
    <row r="452">
      <c r="A452" s="8">
        <v>46380.0</v>
      </c>
      <c r="B452" s="3" t="s">
        <v>14</v>
      </c>
      <c r="C452" s="3" t="s">
        <v>473</v>
      </c>
      <c r="D452" s="5">
        <v>3054000.0</v>
      </c>
      <c r="E452" s="4"/>
      <c r="F452" s="5" t="s">
        <v>3</v>
      </c>
      <c r="G452" s="4">
        <v>4.2425886195000005E8</v>
      </c>
      <c r="H452" s="4"/>
      <c r="I452" s="6" t="s">
        <v>39</v>
      </c>
    </row>
    <row r="453">
      <c r="A453" s="8">
        <v>46380.0</v>
      </c>
      <c r="B453" s="3" t="s">
        <v>14</v>
      </c>
      <c r="C453" s="3" t="s">
        <v>474</v>
      </c>
      <c r="D453" s="5">
        <v>2500.0</v>
      </c>
      <c r="E453" s="4"/>
      <c r="F453" s="5" t="s">
        <v>3</v>
      </c>
      <c r="G453" s="4">
        <v>4.2425636195000005E8</v>
      </c>
      <c r="H453" s="4"/>
      <c r="I453" s="6" t="s">
        <v>39</v>
      </c>
    </row>
    <row r="454">
      <c r="A454" s="8">
        <v>46380.0</v>
      </c>
      <c r="B454" s="3" t="s">
        <v>1</v>
      </c>
      <c r="C454" s="3" t="s">
        <v>475</v>
      </c>
      <c r="D454" s="5">
        <v>1000000.0</v>
      </c>
      <c r="E454" s="4"/>
      <c r="F454" s="5" t="s">
        <v>3</v>
      </c>
      <c r="G454" s="4">
        <v>4.2325636195000005E8</v>
      </c>
      <c r="H454" s="4"/>
      <c r="I454" s="6" t="s">
        <v>39</v>
      </c>
    </row>
    <row r="455">
      <c r="A455" s="8">
        <v>46380.0</v>
      </c>
      <c r="B455" s="3" t="s">
        <v>1</v>
      </c>
      <c r="C455" s="3" t="s">
        <v>476</v>
      </c>
      <c r="D455" s="5">
        <v>5.8088E7</v>
      </c>
      <c r="E455" s="4"/>
      <c r="F455" s="5" t="s">
        <v>3</v>
      </c>
      <c r="G455" s="4">
        <v>3.6516836195000005E8</v>
      </c>
      <c r="H455" s="4"/>
      <c r="I455" s="6" t="s">
        <v>39</v>
      </c>
    </row>
    <row r="456">
      <c r="A456" s="8">
        <v>46380.0</v>
      </c>
      <c r="B456" s="3" t="s">
        <v>1</v>
      </c>
      <c r="C456" s="3" t="s">
        <v>477</v>
      </c>
      <c r="D456" s="5">
        <v>4.91304E7</v>
      </c>
      <c r="E456" s="4"/>
      <c r="F456" s="5" t="s">
        <v>3</v>
      </c>
      <c r="G456" s="4">
        <v>3.1603796195000005E8</v>
      </c>
      <c r="H456" s="4"/>
      <c r="I456" s="6" t="s">
        <v>39</v>
      </c>
    </row>
    <row r="457">
      <c r="A457" s="8">
        <v>46380.0</v>
      </c>
      <c r="B457" s="3" t="s">
        <v>1</v>
      </c>
      <c r="C457" s="3" t="s">
        <v>478</v>
      </c>
      <c r="D457" s="5">
        <v>5.48766E7</v>
      </c>
      <c r="E457" s="4"/>
      <c r="F457" s="5" t="s">
        <v>3</v>
      </c>
      <c r="G457" s="4">
        <v>2.6116136195000005E8</v>
      </c>
      <c r="H457" s="4"/>
      <c r="I457" s="6" t="s">
        <v>39</v>
      </c>
    </row>
    <row r="458">
      <c r="A458" s="8">
        <v>46380.0</v>
      </c>
      <c r="B458" s="3" t="s">
        <v>1</v>
      </c>
      <c r="C458" s="3" t="s">
        <v>479</v>
      </c>
      <c r="D458" s="5">
        <v>5.61E7</v>
      </c>
      <c r="E458" s="4"/>
      <c r="F458" s="5" t="s">
        <v>3</v>
      </c>
      <c r="G458" s="4">
        <v>2.0506136195000005E8</v>
      </c>
      <c r="H458" s="4"/>
      <c r="I458" s="6" t="s">
        <v>39</v>
      </c>
    </row>
    <row r="459">
      <c r="A459" s="8">
        <v>46380.0</v>
      </c>
      <c r="B459" s="3" t="s">
        <v>1</v>
      </c>
      <c r="C459" s="3" t="s">
        <v>480</v>
      </c>
      <c r="D459" s="5">
        <v>2762440.0</v>
      </c>
      <c r="E459" s="4"/>
      <c r="F459" s="5" t="s">
        <v>3</v>
      </c>
      <c r="G459" s="4">
        <v>2.0229892195000005E8</v>
      </c>
      <c r="H459" s="4"/>
      <c r="I459" s="6" t="s">
        <v>39</v>
      </c>
    </row>
    <row r="460">
      <c r="A460" s="8">
        <v>46380.0</v>
      </c>
      <c r="B460" s="3" t="s">
        <v>1</v>
      </c>
      <c r="C460" s="3" t="s">
        <v>481</v>
      </c>
      <c r="D460" s="5">
        <v>1230080.0</v>
      </c>
      <c r="E460" s="4"/>
      <c r="F460" s="5" t="s">
        <v>3</v>
      </c>
      <c r="G460" s="4">
        <v>2.0106884195000005E8</v>
      </c>
      <c r="H460" s="4"/>
      <c r="I460" s="6" t="s">
        <v>39</v>
      </c>
    </row>
    <row r="461">
      <c r="A461" s="8">
        <v>46380.0</v>
      </c>
      <c r="B461" s="3" t="s">
        <v>1</v>
      </c>
      <c r="C461" s="3" t="s">
        <v>482</v>
      </c>
      <c r="D461" s="5">
        <v>3079650.0</v>
      </c>
      <c r="E461" s="4"/>
      <c r="F461" s="5" t="s">
        <v>3</v>
      </c>
      <c r="G461" s="4">
        <v>1.9798919195000005E8</v>
      </c>
      <c r="H461" s="4"/>
      <c r="I461" s="6" t="s">
        <v>39</v>
      </c>
    </row>
    <row r="462">
      <c r="A462" s="8">
        <v>46380.0</v>
      </c>
      <c r="B462" s="3" t="s">
        <v>483</v>
      </c>
      <c r="C462" s="3" t="s">
        <v>483</v>
      </c>
      <c r="D462" s="5">
        <v>200000.0</v>
      </c>
      <c r="E462" s="4"/>
      <c r="F462" s="4"/>
      <c r="G462" s="4">
        <v>1.9778919195000005E8</v>
      </c>
      <c r="H462" s="4"/>
      <c r="I462" s="6" t="s">
        <v>39</v>
      </c>
    </row>
    <row r="463">
      <c r="A463" s="8">
        <v>46380.0</v>
      </c>
      <c r="B463" s="3" t="s">
        <v>136</v>
      </c>
      <c r="C463" s="3" t="s">
        <v>484</v>
      </c>
      <c r="D463" s="5">
        <v>102000.0</v>
      </c>
      <c r="E463" s="4"/>
      <c r="F463" s="4"/>
      <c r="G463" s="4">
        <v>1.9768719195000005E8</v>
      </c>
      <c r="H463" s="5">
        <v>1.9768719195E8</v>
      </c>
      <c r="I463" s="6" t="s">
        <v>39</v>
      </c>
    </row>
    <row r="464">
      <c r="A464" s="8">
        <v>46381.0</v>
      </c>
      <c r="B464" s="3" t="s">
        <v>485</v>
      </c>
      <c r="C464" s="3" t="s">
        <v>486</v>
      </c>
      <c r="D464" s="5">
        <v>1610000.0</v>
      </c>
      <c r="E464" s="4"/>
      <c r="F464" s="5" t="s">
        <v>3</v>
      </c>
      <c r="G464" s="4">
        <v>1.9607719195000005E8</v>
      </c>
      <c r="H464" s="5">
        <v>1.9607719195E8</v>
      </c>
      <c r="I464" s="6" t="s">
        <v>39</v>
      </c>
    </row>
    <row r="465">
      <c r="A465" s="8">
        <v>46381.0</v>
      </c>
      <c r="B465" s="3" t="s">
        <v>485</v>
      </c>
      <c r="C465" s="3" t="s">
        <v>487</v>
      </c>
      <c r="D465" s="5">
        <v>1.75E7</v>
      </c>
      <c r="E465" s="4"/>
      <c r="F465" s="5" t="s">
        <v>3</v>
      </c>
      <c r="G465" s="4">
        <v>1.7857719195000005E8</v>
      </c>
      <c r="H465" s="4"/>
      <c r="I465" s="6" t="s">
        <v>39</v>
      </c>
    </row>
    <row r="466">
      <c r="A466" s="8">
        <v>46381.0</v>
      </c>
      <c r="B466" s="3" t="s">
        <v>485</v>
      </c>
      <c r="C466" s="3" t="s">
        <v>488</v>
      </c>
      <c r="D466" s="5">
        <v>6.24941E7</v>
      </c>
      <c r="E466" s="4"/>
      <c r="F466" s="5" t="s">
        <v>3</v>
      </c>
      <c r="G466" s="4">
        <v>1.1608309195000005E8</v>
      </c>
      <c r="H466" s="4"/>
      <c r="I466" s="6" t="s">
        <v>39</v>
      </c>
    </row>
    <row r="467">
      <c r="A467" s="8">
        <v>46381.0</v>
      </c>
      <c r="B467" s="3" t="s">
        <v>485</v>
      </c>
      <c r="C467" s="3" t="s">
        <v>489</v>
      </c>
      <c r="D467" s="5">
        <v>4.63318E7</v>
      </c>
      <c r="E467" s="4"/>
      <c r="F467" s="5" t="s">
        <v>3</v>
      </c>
      <c r="G467" s="4">
        <v>6.975129195000005E7</v>
      </c>
      <c r="H467" s="4"/>
      <c r="I467" s="6" t="s">
        <v>39</v>
      </c>
    </row>
    <row r="468">
      <c r="A468" s="8">
        <v>46381.0</v>
      </c>
      <c r="B468" s="3" t="s">
        <v>1</v>
      </c>
      <c r="C468" s="3" t="s">
        <v>490</v>
      </c>
      <c r="D468" s="5">
        <v>4.817548E7</v>
      </c>
      <c r="E468" s="4"/>
      <c r="F468" s="5" t="s">
        <v>3</v>
      </c>
      <c r="G468" s="4">
        <v>2.1575811950000048E7</v>
      </c>
      <c r="H468" s="4"/>
      <c r="I468" s="6" t="s">
        <v>39</v>
      </c>
    </row>
    <row r="469">
      <c r="A469" s="8">
        <v>46381.0</v>
      </c>
      <c r="B469" s="3" t="s">
        <v>10</v>
      </c>
      <c r="C469" s="3" t="s">
        <v>491</v>
      </c>
      <c r="D469" s="5"/>
      <c r="E469" s="5">
        <v>3.548496E7</v>
      </c>
      <c r="F469" s="5" t="s">
        <v>12</v>
      </c>
      <c r="G469" s="4">
        <v>5.706077195000005E7</v>
      </c>
      <c r="H469" s="4"/>
      <c r="I469" s="6" t="s">
        <v>39</v>
      </c>
    </row>
    <row r="470">
      <c r="A470" s="8">
        <v>46381.0</v>
      </c>
      <c r="B470" s="3" t="s">
        <v>10</v>
      </c>
      <c r="C470" s="3" t="s">
        <v>492</v>
      </c>
      <c r="D470" s="5"/>
      <c r="E470" s="5">
        <v>1.0E8</v>
      </c>
      <c r="F470" s="5" t="s">
        <v>12</v>
      </c>
      <c r="G470" s="4">
        <v>1.5706077195000005E8</v>
      </c>
      <c r="H470" s="4"/>
      <c r="I470" s="6" t="s">
        <v>39</v>
      </c>
    </row>
    <row r="471">
      <c r="A471" s="8">
        <v>46381.0</v>
      </c>
      <c r="B471" s="3" t="s">
        <v>1</v>
      </c>
      <c r="C471" s="3" t="s">
        <v>493</v>
      </c>
      <c r="D471" s="5">
        <v>5.0E7</v>
      </c>
      <c r="E471" s="4"/>
      <c r="F471" s="5" t="s">
        <v>3</v>
      </c>
      <c r="G471" s="4">
        <v>1.0706077195000005E8</v>
      </c>
      <c r="H471" s="4"/>
      <c r="I471" s="6" t="s">
        <v>39</v>
      </c>
    </row>
    <row r="472">
      <c r="A472" s="8">
        <v>46381.0</v>
      </c>
      <c r="B472" s="3" t="s">
        <v>1</v>
      </c>
      <c r="C472" s="3" t="s">
        <v>494</v>
      </c>
      <c r="D472" s="5">
        <v>5.721337E7</v>
      </c>
      <c r="E472" s="4"/>
      <c r="F472" s="5" t="s">
        <v>3</v>
      </c>
      <c r="G472" s="4">
        <v>4.984740195000005E7</v>
      </c>
      <c r="H472" s="4"/>
      <c r="I472" s="6" t="s">
        <v>39</v>
      </c>
    </row>
    <row r="473">
      <c r="A473" s="8">
        <v>46381.0</v>
      </c>
      <c r="B473" s="3" t="s">
        <v>1</v>
      </c>
      <c r="C473" s="3" t="s">
        <v>495</v>
      </c>
      <c r="D473" s="5">
        <v>4.75575E7</v>
      </c>
      <c r="E473" s="4"/>
      <c r="F473" s="5" t="s">
        <v>3</v>
      </c>
      <c r="G473" s="4">
        <v>2289901.9500000477</v>
      </c>
      <c r="H473" s="5">
        <v>2289901.95</v>
      </c>
      <c r="I473" s="6" t="s">
        <v>39</v>
      </c>
    </row>
    <row r="474">
      <c r="A474" s="8">
        <v>46382.0</v>
      </c>
      <c r="B474" s="3" t="s">
        <v>10</v>
      </c>
      <c r="C474" s="3" t="s">
        <v>496</v>
      </c>
      <c r="D474" s="5"/>
      <c r="E474" s="5">
        <v>9.5906114E7</v>
      </c>
      <c r="F474" s="5" t="s">
        <v>12</v>
      </c>
      <c r="G474" s="4">
        <v>9.819601595000005E7</v>
      </c>
      <c r="H474" s="4"/>
      <c r="I474" s="6" t="s">
        <v>39</v>
      </c>
    </row>
    <row r="475">
      <c r="A475" s="8">
        <v>46382.0</v>
      </c>
      <c r="B475" s="3" t="s">
        <v>10</v>
      </c>
      <c r="C475" s="3" t="s">
        <v>497</v>
      </c>
      <c r="D475" s="5"/>
      <c r="E475" s="5">
        <v>1.578209E8</v>
      </c>
      <c r="F475" s="5" t="s">
        <v>12</v>
      </c>
      <c r="G475" s="4">
        <v>2.5601691595000005E8</v>
      </c>
      <c r="H475" s="4"/>
      <c r="I475" s="6" t="s">
        <v>39</v>
      </c>
    </row>
    <row r="476">
      <c r="A476" s="8">
        <v>46382.0</v>
      </c>
      <c r="B476" s="3" t="s">
        <v>10</v>
      </c>
      <c r="C476" s="3" t="s">
        <v>498</v>
      </c>
      <c r="D476" s="5"/>
      <c r="E476" s="5">
        <v>1.4164411E8</v>
      </c>
      <c r="F476" s="5" t="s">
        <v>12</v>
      </c>
      <c r="G476" s="4">
        <v>3.9766102595000005E8</v>
      </c>
      <c r="H476" s="5">
        <v>3.9766102595E8</v>
      </c>
      <c r="I476" s="6" t="s">
        <v>39</v>
      </c>
    </row>
    <row r="477">
      <c r="A477" s="8">
        <v>46382.0</v>
      </c>
      <c r="B477" s="3" t="s">
        <v>10</v>
      </c>
      <c r="C477" s="3" t="s">
        <v>499</v>
      </c>
      <c r="D477" s="5"/>
      <c r="E477" s="5">
        <v>4.9751529E7</v>
      </c>
      <c r="F477" s="5" t="s">
        <v>12</v>
      </c>
      <c r="G477" s="4">
        <v>4.4741255495000005E8</v>
      </c>
      <c r="H477" s="5">
        <v>4.4741255495E8</v>
      </c>
      <c r="I477" s="6" t="s">
        <v>39</v>
      </c>
    </row>
    <row r="478">
      <c r="A478" s="8">
        <v>46382.0</v>
      </c>
      <c r="B478" s="3" t="s">
        <v>1</v>
      </c>
      <c r="C478" s="3" t="s">
        <v>500</v>
      </c>
      <c r="D478" s="5">
        <v>1.099135E8</v>
      </c>
      <c r="E478" s="4"/>
      <c r="F478" s="5" t="s">
        <v>3</v>
      </c>
      <c r="G478" s="4">
        <v>3.3749905495000005E8</v>
      </c>
      <c r="H478" s="4"/>
      <c r="I478" s="6" t="s">
        <v>39</v>
      </c>
    </row>
    <row r="479">
      <c r="A479" s="8">
        <v>46382.0</v>
      </c>
      <c r="B479" s="3" t="s">
        <v>10</v>
      </c>
      <c r="C479" s="3" t="s">
        <v>501</v>
      </c>
      <c r="D479" s="5"/>
      <c r="E479" s="5">
        <v>2.8830315E8</v>
      </c>
      <c r="F479" s="5" t="s">
        <v>12</v>
      </c>
      <c r="G479" s="4">
        <v>6.2580220495E8</v>
      </c>
      <c r="H479" s="4"/>
      <c r="I479" s="6" t="s">
        <v>39</v>
      </c>
    </row>
    <row r="480">
      <c r="A480" s="8">
        <v>46382.0</v>
      </c>
      <c r="B480" s="3" t="s">
        <v>1</v>
      </c>
      <c r="C480" s="3" t="s">
        <v>502</v>
      </c>
      <c r="D480" s="5">
        <v>4.660425E7</v>
      </c>
      <c r="E480" s="4"/>
      <c r="F480" s="5" t="s">
        <v>3</v>
      </c>
      <c r="G480" s="4">
        <v>5.7919795495E8</v>
      </c>
      <c r="H480" s="4"/>
      <c r="I480" s="6" t="s">
        <v>39</v>
      </c>
    </row>
    <row r="481">
      <c r="A481" s="8">
        <v>46382.0</v>
      </c>
      <c r="B481" s="3" t="s">
        <v>1</v>
      </c>
      <c r="C481" s="3" t="s">
        <v>503</v>
      </c>
      <c r="D481" s="5">
        <v>1.1043776E8</v>
      </c>
      <c r="E481" s="4"/>
      <c r="F481" s="5" t="s">
        <v>3</v>
      </c>
      <c r="G481" s="4">
        <v>4.6876019495000005E8</v>
      </c>
      <c r="H481" s="4"/>
      <c r="I481" s="6" t="s">
        <v>39</v>
      </c>
    </row>
    <row r="482">
      <c r="A482" s="8">
        <v>46382.0</v>
      </c>
      <c r="B482" s="3" t="s">
        <v>1</v>
      </c>
      <c r="C482" s="3" t="s">
        <v>504</v>
      </c>
      <c r="D482" s="5">
        <v>1.129545E8</v>
      </c>
      <c r="E482" s="4"/>
      <c r="F482" s="5" t="s">
        <v>3</v>
      </c>
      <c r="G482" s="4">
        <v>3.5580569495000005E8</v>
      </c>
      <c r="H482" s="4"/>
      <c r="I482" s="6" t="s">
        <v>39</v>
      </c>
    </row>
    <row r="483">
      <c r="A483" s="8">
        <v>46382.0</v>
      </c>
      <c r="B483" s="3" t="s">
        <v>1</v>
      </c>
      <c r="C483" s="3" t="s">
        <v>505</v>
      </c>
      <c r="D483" s="5">
        <v>5.0E7</v>
      </c>
      <c r="E483" s="4"/>
      <c r="F483" s="5" t="s">
        <v>3</v>
      </c>
      <c r="G483" s="4">
        <v>3.0580569495000005E8</v>
      </c>
      <c r="H483" s="4"/>
      <c r="I483" s="6" t="s">
        <v>39</v>
      </c>
    </row>
    <row r="484">
      <c r="A484" s="8">
        <v>46382.0</v>
      </c>
      <c r="B484" s="3" t="s">
        <v>1</v>
      </c>
      <c r="C484" s="3" t="s">
        <v>506</v>
      </c>
      <c r="D484" s="5">
        <v>1.0846346E8</v>
      </c>
      <c r="E484" s="4"/>
      <c r="F484" s="5" t="s">
        <v>3</v>
      </c>
      <c r="G484" s="4">
        <v>1.9734223495000005E8</v>
      </c>
      <c r="H484" s="4"/>
      <c r="I484" s="6" t="s">
        <v>39</v>
      </c>
    </row>
    <row r="485">
      <c r="A485" s="8">
        <v>46382.0</v>
      </c>
      <c r="B485" s="3" t="s">
        <v>1</v>
      </c>
      <c r="C485" s="3" t="s">
        <v>507</v>
      </c>
      <c r="D485" s="5">
        <v>1.1327404E8</v>
      </c>
      <c r="E485" s="4"/>
      <c r="F485" s="5" t="s">
        <v>3</v>
      </c>
      <c r="G485" s="4">
        <v>8.406819495000005E7</v>
      </c>
      <c r="H485" s="4"/>
      <c r="I485" s="6" t="s">
        <v>39</v>
      </c>
    </row>
    <row r="486">
      <c r="A486" s="8">
        <v>46382.0</v>
      </c>
      <c r="B486" s="3" t="s">
        <v>1</v>
      </c>
      <c r="C486" s="3" t="s">
        <v>508</v>
      </c>
      <c r="D486" s="5">
        <v>1.01522E7</v>
      </c>
      <c r="E486" s="4"/>
      <c r="F486" s="5" t="s">
        <v>3</v>
      </c>
      <c r="G486" s="4">
        <v>7.391599495000005E7</v>
      </c>
      <c r="H486" s="4"/>
      <c r="I486" s="6" t="s">
        <v>39</v>
      </c>
    </row>
    <row r="487">
      <c r="A487" s="8">
        <v>46382.0</v>
      </c>
      <c r="B487" s="3" t="s">
        <v>1</v>
      </c>
      <c r="C487" s="3" t="s">
        <v>509</v>
      </c>
      <c r="D487" s="5">
        <v>3.274488E7</v>
      </c>
      <c r="E487" s="4"/>
      <c r="F487" s="5" t="s">
        <v>3</v>
      </c>
      <c r="G487" s="4">
        <v>4.117111495000005E7</v>
      </c>
      <c r="H487" s="4"/>
      <c r="I487" s="6" t="s">
        <v>39</v>
      </c>
    </row>
    <row r="488">
      <c r="A488" s="8">
        <v>46382.0</v>
      </c>
      <c r="B488" s="3" t="s">
        <v>1</v>
      </c>
      <c r="C488" s="3" t="s">
        <v>510</v>
      </c>
      <c r="D488" s="5">
        <v>7094150.0</v>
      </c>
      <c r="E488" s="4"/>
      <c r="F488" s="5" t="s">
        <v>3</v>
      </c>
      <c r="G488" s="4">
        <v>3.407696495000005E7</v>
      </c>
      <c r="H488" s="5">
        <v>3.407696495E7</v>
      </c>
      <c r="I488" s="6" t="s">
        <v>39</v>
      </c>
    </row>
    <row r="489">
      <c r="A489" s="8">
        <v>46382.0</v>
      </c>
      <c r="B489" s="3" t="s">
        <v>1</v>
      </c>
      <c r="C489" s="3" t="s">
        <v>511</v>
      </c>
      <c r="D489" s="5">
        <v>1.02576E7</v>
      </c>
      <c r="E489" s="4"/>
      <c r="F489" s="5" t="s">
        <v>3</v>
      </c>
      <c r="G489" s="4">
        <v>2.3819364950000048E7</v>
      </c>
      <c r="H489" s="5">
        <v>2.381936495E7</v>
      </c>
      <c r="I489" s="6" t="s">
        <v>39</v>
      </c>
    </row>
    <row r="490">
      <c r="A490" s="8">
        <v>46382.0</v>
      </c>
      <c r="B490" s="3" t="s">
        <v>1</v>
      </c>
      <c r="C490" s="3" t="s">
        <v>512</v>
      </c>
      <c r="D490" s="5">
        <v>1451400.0</v>
      </c>
      <c r="E490" s="4"/>
      <c r="F490" s="5" t="s">
        <v>3</v>
      </c>
      <c r="G490" s="4">
        <v>2.2367964950000048E7</v>
      </c>
      <c r="H490" s="5">
        <v>2.236796495E7</v>
      </c>
      <c r="I490" s="6" t="s">
        <v>39</v>
      </c>
    </row>
    <row r="491">
      <c r="A491" s="8">
        <v>46383.0</v>
      </c>
      <c r="B491" s="3" t="s">
        <v>513</v>
      </c>
      <c r="C491" s="3" t="s">
        <v>514</v>
      </c>
      <c r="D491" s="5"/>
      <c r="E491" s="5">
        <v>6.5E7</v>
      </c>
      <c r="F491" s="5" t="s">
        <v>12</v>
      </c>
      <c r="G491" s="4">
        <v>8.736796495000005E7</v>
      </c>
      <c r="H491" s="4"/>
      <c r="I491" s="6" t="s">
        <v>39</v>
      </c>
    </row>
    <row r="492">
      <c r="A492" s="8">
        <v>46383.0</v>
      </c>
      <c r="B492" s="3" t="s">
        <v>1</v>
      </c>
      <c r="C492" s="3" t="s">
        <v>515</v>
      </c>
      <c r="D492" s="5">
        <v>8.731031E7</v>
      </c>
      <c r="E492" s="4"/>
      <c r="F492" s="5" t="s">
        <v>3</v>
      </c>
      <c r="G492" s="4">
        <v>57654.950000047684</v>
      </c>
      <c r="H492" s="4"/>
      <c r="I492" s="6" t="s">
        <v>39</v>
      </c>
    </row>
    <row r="493">
      <c r="A493" s="8">
        <v>46383.0</v>
      </c>
      <c r="B493" s="3" t="s">
        <v>228</v>
      </c>
      <c r="C493" s="3" t="s">
        <v>229</v>
      </c>
      <c r="E493" s="5">
        <v>1.20683E8</v>
      </c>
      <c r="F493" s="4"/>
      <c r="G493" s="4">
        <v>1.2074065495000005E8</v>
      </c>
      <c r="H493" s="4"/>
      <c r="I493" s="6" t="s">
        <v>39</v>
      </c>
    </row>
    <row r="494">
      <c r="A494" s="8">
        <v>46383.0</v>
      </c>
      <c r="B494" s="3" t="s">
        <v>228</v>
      </c>
      <c r="C494" s="3" t="s">
        <v>516</v>
      </c>
      <c r="E494" s="5">
        <v>2.7E8</v>
      </c>
      <c r="F494" s="4"/>
      <c r="G494" s="4">
        <v>3.9074065495000005E8</v>
      </c>
      <c r="H494" s="4"/>
      <c r="I494" s="6" t="s">
        <v>39</v>
      </c>
    </row>
    <row r="495">
      <c r="A495" s="8">
        <v>46383.0</v>
      </c>
      <c r="B495" s="3" t="s">
        <v>10</v>
      </c>
      <c r="C495" s="3" t="s">
        <v>517</v>
      </c>
      <c r="D495" s="5"/>
      <c r="E495" s="5">
        <v>1.81653389E8</v>
      </c>
      <c r="F495" s="5" t="s">
        <v>12</v>
      </c>
      <c r="G495" s="4">
        <v>5.7239404395E8</v>
      </c>
      <c r="H495" s="4"/>
      <c r="I495" s="6" t="s">
        <v>39</v>
      </c>
    </row>
    <row r="496">
      <c r="A496" s="8">
        <v>46383.0</v>
      </c>
      <c r="B496" s="3" t="s">
        <v>10</v>
      </c>
      <c r="C496" s="3" t="s">
        <v>518</v>
      </c>
      <c r="D496" s="5"/>
      <c r="E496" s="5">
        <v>9.0086898E7</v>
      </c>
      <c r="F496" s="5" t="s">
        <v>12</v>
      </c>
      <c r="G496" s="4">
        <v>6.6248094195E8</v>
      </c>
      <c r="H496" s="4"/>
      <c r="I496" s="6" t="s">
        <v>39</v>
      </c>
    </row>
    <row r="497">
      <c r="A497" s="8">
        <v>46383.0</v>
      </c>
      <c r="B497" s="3" t="s">
        <v>10</v>
      </c>
      <c r="C497" s="3" t="s">
        <v>519</v>
      </c>
      <c r="D497" s="5"/>
      <c r="E497" s="5">
        <v>1.0444666E8</v>
      </c>
      <c r="F497" s="5" t="s">
        <v>12</v>
      </c>
      <c r="G497" s="4">
        <v>7.6692760195E8</v>
      </c>
      <c r="H497" s="4"/>
      <c r="I497" s="6" t="s">
        <v>39</v>
      </c>
    </row>
    <row r="498">
      <c r="A498" s="8">
        <v>46383.0</v>
      </c>
      <c r="B498" s="3" t="s">
        <v>10</v>
      </c>
      <c r="C498" s="3" t="s">
        <v>520</v>
      </c>
      <c r="D498" s="5"/>
      <c r="E498" s="5">
        <v>5.0366219E7</v>
      </c>
      <c r="F498" s="5" t="s">
        <v>12</v>
      </c>
      <c r="G498" s="4">
        <v>8.1729382095E8</v>
      </c>
      <c r="H498" s="4"/>
      <c r="I498" s="6" t="s">
        <v>39</v>
      </c>
    </row>
    <row r="499">
      <c r="A499" s="8">
        <v>46383.0</v>
      </c>
      <c r="B499" s="3" t="s">
        <v>10</v>
      </c>
      <c r="C499" s="3" t="s">
        <v>521</v>
      </c>
      <c r="D499" s="5"/>
      <c r="E499" s="5">
        <v>1.007024E8</v>
      </c>
      <c r="F499" s="5" t="s">
        <v>12</v>
      </c>
      <c r="G499" s="4">
        <v>9.1799622095E8</v>
      </c>
      <c r="H499" s="4"/>
      <c r="I499" s="6" t="s">
        <v>39</v>
      </c>
    </row>
    <row r="500">
      <c r="A500" s="8">
        <v>46383.0</v>
      </c>
      <c r="B500" s="3" t="s">
        <v>10</v>
      </c>
      <c r="C500" s="3" t="s">
        <v>522</v>
      </c>
      <c r="D500" s="5"/>
      <c r="E500" s="5">
        <v>1.03068222E8</v>
      </c>
      <c r="F500" s="5" t="s">
        <v>12</v>
      </c>
      <c r="G500" s="4">
        <v>1.02106444295E9</v>
      </c>
      <c r="H500" s="4"/>
      <c r="I500" s="6" t="s">
        <v>39</v>
      </c>
    </row>
    <row r="501">
      <c r="A501" s="8">
        <v>46383.0</v>
      </c>
      <c r="B501" s="3" t="s">
        <v>1</v>
      </c>
      <c r="C501" s="3" t="s">
        <v>523</v>
      </c>
      <c r="D501" s="5">
        <v>1.105416E8</v>
      </c>
      <c r="E501" s="4"/>
      <c r="F501" s="5" t="s">
        <v>3</v>
      </c>
      <c r="G501" s="4">
        <v>9.1052284295E8</v>
      </c>
      <c r="H501" s="5">
        <v>9.1052284295E8</v>
      </c>
      <c r="I501" s="6" t="s">
        <v>39</v>
      </c>
    </row>
    <row r="502">
      <c r="A502" s="8">
        <v>46383.0</v>
      </c>
      <c r="B502" s="3" t="s">
        <v>1</v>
      </c>
      <c r="C502" s="3" t="s">
        <v>524</v>
      </c>
      <c r="D502" s="5">
        <v>9.53403E7</v>
      </c>
      <c r="E502" s="4"/>
      <c r="F502" s="5" t="s">
        <v>3</v>
      </c>
      <c r="G502" s="4">
        <v>8.1518254295E8</v>
      </c>
      <c r="H502" s="5">
        <v>8.1518254295E8</v>
      </c>
      <c r="I502" s="6" t="s">
        <v>39</v>
      </c>
    </row>
    <row r="503">
      <c r="A503" s="8">
        <v>46383.0</v>
      </c>
      <c r="B503" s="3" t="s">
        <v>1</v>
      </c>
      <c r="C503" s="3" t="s">
        <v>525</v>
      </c>
      <c r="D503" s="5">
        <v>9.52E7</v>
      </c>
      <c r="E503" s="4"/>
      <c r="F503" s="5" t="s">
        <v>3</v>
      </c>
      <c r="G503" s="4">
        <v>7.1998254295E8</v>
      </c>
      <c r="H503" s="4"/>
      <c r="I503" s="6" t="s">
        <v>39</v>
      </c>
    </row>
    <row r="504">
      <c r="A504" s="8">
        <v>46383.0</v>
      </c>
      <c r="B504" s="3" t="s">
        <v>1</v>
      </c>
      <c r="C504" s="3" t="s">
        <v>526</v>
      </c>
      <c r="D504" s="5">
        <v>1.033038E7</v>
      </c>
      <c r="E504" s="4"/>
      <c r="F504" s="5" t="s">
        <v>3</v>
      </c>
      <c r="G504" s="4">
        <v>7.0965216295E8</v>
      </c>
      <c r="H504" s="4"/>
      <c r="I504" s="6" t="s">
        <v>39</v>
      </c>
    </row>
    <row r="505">
      <c r="A505" s="8">
        <v>46383.0</v>
      </c>
      <c r="B505" s="3" t="s">
        <v>1</v>
      </c>
      <c r="C505" s="3" t="s">
        <v>527</v>
      </c>
      <c r="D505" s="5">
        <v>1920020.0</v>
      </c>
      <c r="E505" s="4"/>
      <c r="F505" s="5" t="s">
        <v>3</v>
      </c>
      <c r="G505" s="4">
        <v>7.0773214295E8</v>
      </c>
      <c r="H505" s="4"/>
      <c r="I505" s="6" t="s">
        <v>39</v>
      </c>
    </row>
    <row r="506">
      <c r="A506" s="8">
        <v>46383.0</v>
      </c>
      <c r="B506" s="3" t="s">
        <v>10</v>
      </c>
      <c r="C506" s="3" t="s">
        <v>528</v>
      </c>
      <c r="D506" s="5"/>
      <c r="E506" s="5">
        <v>7817900.0</v>
      </c>
      <c r="F506" s="5" t="s">
        <v>12</v>
      </c>
      <c r="G506" s="4">
        <v>7.1555004295E8</v>
      </c>
      <c r="H506" s="5">
        <v>7.1555004295E8</v>
      </c>
      <c r="I506" s="6" t="s">
        <v>39</v>
      </c>
    </row>
    <row r="507">
      <c r="A507" s="8">
        <v>46384.0</v>
      </c>
      <c r="B507" s="3" t="s">
        <v>529</v>
      </c>
      <c r="C507" s="3" t="s">
        <v>530</v>
      </c>
      <c r="D507" s="5">
        <v>9.928545E7</v>
      </c>
      <c r="E507" s="4"/>
      <c r="F507" s="5" t="s">
        <v>3</v>
      </c>
      <c r="G507" s="4">
        <v>6.1626459295E8</v>
      </c>
      <c r="H507" s="4"/>
      <c r="I507" s="6" t="s">
        <v>39</v>
      </c>
    </row>
    <row r="508">
      <c r="A508" s="8">
        <v>46384.0</v>
      </c>
      <c r="B508" s="3" t="s">
        <v>529</v>
      </c>
      <c r="C508" s="3" t="s">
        <v>531</v>
      </c>
      <c r="D508" s="5">
        <v>1.7492E8</v>
      </c>
      <c r="E508" s="4"/>
      <c r="F508" s="5" t="s">
        <v>3</v>
      </c>
      <c r="G508" s="4">
        <v>4.4134459295000005E8</v>
      </c>
      <c r="H508" s="4"/>
      <c r="I508" s="6" t="s">
        <v>39</v>
      </c>
    </row>
    <row r="509">
      <c r="A509" s="8">
        <v>46384.0</v>
      </c>
      <c r="B509" s="3" t="s">
        <v>529</v>
      </c>
      <c r="C509" s="3" t="s">
        <v>532</v>
      </c>
      <c r="D509" s="5">
        <v>5.14964E7</v>
      </c>
      <c r="E509" s="4"/>
      <c r="F509" s="5" t="s">
        <v>3</v>
      </c>
      <c r="G509" s="4">
        <v>3.8984819295000005E8</v>
      </c>
      <c r="H509" s="4"/>
      <c r="I509" s="6" t="s">
        <v>39</v>
      </c>
    </row>
    <row r="510">
      <c r="A510" s="8">
        <v>46384.0</v>
      </c>
      <c r="B510" s="3" t="s">
        <v>529</v>
      </c>
      <c r="C510" s="3" t="s">
        <v>533</v>
      </c>
      <c r="D510" s="5">
        <v>4.6332E7</v>
      </c>
      <c r="E510" s="4"/>
      <c r="F510" s="5" t="s">
        <v>3</v>
      </c>
      <c r="G510" s="4">
        <v>3.4351619295000005E8</v>
      </c>
      <c r="H510" s="4"/>
      <c r="I510" s="6" t="s">
        <v>39</v>
      </c>
    </row>
    <row r="511">
      <c r="A511" s="8">
        <v>46384.0</v>
      </c>
      <c r="B511" s="3" t="s">
        <v>529</v>
      </c>
      <c r="C511" s="3" t="s">
        <v>534</v>
      </c>
      <c r="D511" s="5">
        <v>7.551702E7</v>
      </c>
      <c r="E511" s="4"/>
      <c r="F511" s="5" t="s">
        <v>3</v>
      </c>
      <c r="G511" s="4">
        <v>2.6799917295000005E8</v>
      </c>
      <c r="H511" s="4"/>
      <c r="I511" s="6" t="s">
        <v>39</v>
      </c>
    </row>
    <row r="512">
      <c r="A512" s="8">
        <v>46384.0</v>
      </c>
      <c r="B512" s="3" t="s">
        <v>529</v>
      </c>
      <c r="C512" s="3" t="s">
        <v>535</v>
      </c>
      <c r="D512" s="5">
        <v>6.19446E7</v>
      </c>
      <c r="E512" s="4"/>
      <c r="F512" s="5" t="s">
        <v>3</v>
      </c>
      <c r="G512" s="4">
        <v>2.0605457295000005E8</v>
      </c>
      <c r="H512" s="4"/>
      <c r="I512" s="6" t="s">
        <v>39</v>
      </c>
    </row>
    <row r="513">
      <c r="A513" s="8">
        <v>46384.0</v>
      </c>
      <c r="B513" s="3" t="s">
        <v>529</v>
      </c>
      <c r="C513" s="3" t="s">
        <v>536</v>
      </c>
      <c r="D513" s="5">
        <v>8.95E7</v>
      </c>
      <c r="E513" s="4"/>
      <c r="F513" s="5" t="s">
        <v>3</v>
      </c>
      <c r="G513" s="4">
        <v>1.1655457295000005E8</v>
      </c>
      <c r="H513" s="4"/>
      <c r="I513" s="6" t="s">
        <v>39</v>
      </c>
    </row>
    <row r="514">
      <c r="A514" s="8">
        <v>46384.0</v>
      </c>
      <c r="B514" s="3" t="s">
        <v>537</v>
      </c>
      <c r="C514" s="3" t="s">
        <v>538</v>
      </c>
      <c r="D514" s="5"/>
      <c r="E514" s="5">
        <v>6444720.0</v>
      </c>
      <c r="F514" s="5" t="s">
        <v>12</v>
      </c>
      <c r="G514" s="4">
        <v>1.2299929295000005E8</v>
      </c>
      <c r="H514" s="5">
        <v>1.2299929295E8</v>
      </c>
      <c r="I514" s="6" t="s">
        <v>39</v>
      </c>
    </row>
    <row r="515">
      <c r="A515" s="8">
        <v>46384.0</v>
      </c>
      <c r="B515" s="3" t="s">
        <v>1</v>
      </c>
      <c r="C515" s="3" t="s">
        <v>539</v>
      </c>
      <c r="D515" s="5">
        <v>1.05E7</v>
      </c>
      <c r="E515" s="4"/>
      <c r="F515" s="5" t="s">
        <v>3</v>
      </c>
      <c r="G515" s="4">
        <v>1.1249929295000005E8</v>
      </c>
      <c r="H515" s="5">
        <v>1.1249929295E8</v>
      </c>
      <c r="I515" s="6" t="s">
        <v>39</v>
      </c>
    </row>
    <row r="516">
      <c r="A516" s="8">
        <v>46384.0</v>
      </c>
      <c r="B516" s="3" t="s">
        <v>1</v>
      </c>
      <c r="C516" s="3" t="s">
        <v>540</v>
      </c>
      <c r="D516" s="5">
        <v>4.0E7</v>
      </c>
      <c r="E516" s="4"/>
      <c r="F516" s="5" t="s">
        <v>3</v>
      </c>
      <c r="G516" s="4">
        <v>7.249929295000005E7</v>
      </c>
      <c r="H516" s="4"/>
      <c r="I516" s="6" t="s">
        <v>39</v>
      </c>
    </row>
    <row r="517">
      <c r="A517" s="8">
        <v>46384.0</v>
      </c>
      <c r="B517" s="3" t="s">
        <v>136</v>
      </c>
      <c r="C517" s="3" t="s">
        <v>541</v>
      </c>
      <c r="D517" s="5">
        <v>52000.0</v>
      </c>
      <c r="E517" s="4"/>
      <c r="F517" s="4"/>
      <c r="G517" s="4">
        <v>7.244729295000005E7</v>
      </c>
      <c r="H517" s="4"/>
      <c r="I517" s="6" t="s">
        <v>39</v>
      </c>
    </row>
    <row r="518">
      <c r="A518" s="8">
        <v>46384.0</v>
      </c>
      <c r="B518" s="3" t="s">
        <v>228</v>
      </c>
      <c r="C518" s="3" t="s">
        <v>516</v>
      </c>
      <c r="E518" s="5">
        <v>3.204E8</v>
      </c>
      <c r="F518" s="4"/>
      <c r="G518" s="4">
        <v>3.9284729295000005E8</v>
      </c>
      <c r="H518" s="4"/>
      <c r="I518" s="6" t="s">
        <v>39</v>
      </c>
    </row>
    <row r="519">
      <c r="A519" s="8">
        <v>46384.0</v>
      </c>
      <c r="B519" s="3" t="s">
        <v>10</v>
      </c>
      <c r="C519" s="3" t="s">
        <v>542</v>
      </c>
      <c r="D519" s="5"/>
      <c r="E519" s="5">
        <v>1.54135456E8</v>
      </c>
      <c r="F519" s="5" t="s">
        <v>12</v>
      </c>
      <c r="G519" s="4">
        <v>5.4698274895E8</v>
      </c>
      <c r="H519" s="4"/>
      <c r="I519" s="6" t="s">
        <v>39</v>
      </c>
    </row>
    <row r="520">
      <c r="A520" s="8">
        <v>46384.0</v>
      </c>
      <c r="B520" s="3" t="s">
        <v>10</v>
      </c>
      <c r="C520" s="3" t="s">
        <v>543</v>
      </c>
      <c r="D520" s="5"/>
      <c r="E520" s="5">
        <v>1.03773117E8</v>
      </c>
      <c r="F520" s="5" t="s">
        <v>12</v>
      </c>
      <c r="G520" s="4">
        <v>6.5075586595E8</v>
      </c>
      <c r="H520" s="4"/>
      <c r="I520" s="6" t="s">
        <v>39</v>
      </c>
    </row>
    <row r="521">
      <c r="A521" s="8">
        <v>46384.0</v>
      </c>
      <c r="B521" s="3" t="s">
        <v>10</v>
      </c>
      <c r="C521" s="3" t="s">
        <v>544</v>
      </c>
      <c r="D521" s="5"/>
      <c r="E521" s="5">
        <v>1.59834839E8</v>
      </c>
      <c r="F521" s="5" t="s">
        <v>12</v>
      </c>
      <c r="G521" s="4">
        <v>8.1059070495E8</v>
      </c>
      <c r="H521" s="4"/>
      <c r="I521" s="6" t="s">
        <v>39</v>
      </c>
    </row>
    <row r="522">
      <c r="A522" s="8">
        <v>46384.0</v>
      </c>
      <c r="B522" s="3" t="s">
        <v>10</v>
      </c>
      <c r="C522" s="3" t="s">
        <v>545</v>
      </c>
      <c r="D522" s="5"/>
      <c r="E522" s="5">
        <v>1.5793228E8</v>
      </c>
      <c r="F522" s="5" t="s">
        <v>12</v>
      </c>
      <c r="G522" s="4">
        <v>9.6852298495E8</v>
      </c>
      <c r="H522" s="4"/>
      <c r="I522" s="6" t="s">
        <v>39</v>
      </c>
    </row>
    <row r="523">
      <c r="A523" s="8">
        <v>46384.0</v>
      </c>
      <c r="B523" s="3" t="s">
        <v>1</v>
      </c>
      <c r="C523" s="3" t="s">
        <v>546</v>
      </c>
      <c r="D523" s="5">
        <v>5.956849E7</v>
      </c>
      <c r="E523" s="4"/>
      <c r="F523" s="5" t="s">
        <v>3</v>
      </c>
      <c r="G523" s="4">
        <v>9.0895449495E8</v>
      </c>
      <c r="H523" s="4"/>
      <c r="I523" s="6" t="s">
        <v>39</v>
      </c>
    </row>
    <row r="524">
      <c r="A524" s="8">
        <v>46384.0</v>
      </c>
      <c r="B524" s="3" t="s">
        <v>41</v>
      </c>
      <c r="C524" s="3" t="s">
        <v>547</v>
      </c>
      <c r="D524" s="5">
        <v>83500.0</v>
      </c>
      <c r="E524" s="4"/>
      <c r="F524" s="4"/>
      <c r="G524" s="4">
        <v>9.0887099495E8</v>
      </c>
      <c r="H524" s="4"/>
      <c r="I524" s="6" t="s">
        <v>39</v>
      </c>
    </row>
    <row r="525">
      <c r="A525" s="8">
        <v>46384.0</v>
      </c>
      <c r="B525" s="3" t="s">
        <v>1</v>
      </c>
      <c r="C525" s="3" t="s">
        <v>548</v>
      </c>
      <c r="D525" s="5">
        <v>3.050167E7</v>
      </c>
      <c r="E525" s="4"/>
      <c r="F525" s="5" t="s">
        <v>3</v>
      </c>
      <c r="G525" s="4">
        <v>8.7836932495E8</v>
      </c>
      <c r="H525" s="5">
        <v>8.7836932495E8</v>
      </c>
      <c r="I525" s="6" t="s">
        <v>39</v>
      </c>
    </row>
    <row r="526">
      <c r="A526" s="8">
        <v>46385.0</v>
      </c>
      <c r="B526" s="3" t="s">
        <v>549</v>
      </c>
      <c r="C526" s="3" t="s">
        <v>550</v>
      </c>
      <c r="D526" s="5">
        <v>4.974853E7</v>
      </c>
      <c r="E526" s="4"/>
      <c r="F526" s="5" t="s">
        <v>3</v>
      </c>
      <c r="G526" s="4">
        <v>8.2862079495E8</v>
      </c>
      <c r="H526" s="4"/>
      <c r="I526" s="6" t="s">
        <v>39</v>
      </c>
    </row>
    <row r="527">
      <c r="A527" s="8">
        <v>46385.0</v>
      </c>
      <c r="B527" s="3" t="s">
        <v>549</v>
      </c>
      <c r="C527" s="3" t="s">
        <v>551</v>
      </c>
      <c r="D527" s="5">
        <v>5.188896E7</v>
      </c>
      <c r="E527" s="4"/>
      <c r="F527" s="5" t="s">
        <v>3</v>
      </c>
      <c r="G527" s="4">
        <v>7.7673183495E8</v>
      </c>
      <c r="H527" s="5">
        <v>7.7673183495E8</v>
      </c>
      <c r="I527" s="6" t="s">
        <v>39</v>
      </c>
    </row>
    <row r="528">
      <c r="A528" s="8">
        <v>46385.0</v>
      </c>
      <c r="B528" s="3" t="s">
        <v>549</v>
      </c>
      <c r="C528" s="3" t="s">
        <v>552</v>
      </c>
      <c r="D528" s="5">
        <v>2.52E7</v>
      </c>
      <c r="E528" s="4"/>
      <c r="F528" s="5" t="s">
        <v>3</v>
      </c>
      <c r="G528" s="4">
        <v>7.5153183495E8</v>
      </c>
      <c r="H528" s="5">
        <v>7.5153183495E8</v>
      </c>
      <c r="I528" s="6" t="s">
        <v>39</v>
      </c>
    </row>
    <row r="529">
      <c r="A529" s="8">
        <v>46385.0</v>
      </c>
      <c r="B529" s="3" t="s">
        <v>549</v>
      </c>
      <c r="C529" s="3" t="s">
        <v>553</v>
      </c>
      <c r="D529" s="5">
        <v>1.029061E8</v>
      </c>
      <c r="E529" s="4"/>
      <c r="F529" s="5" t="s">
        <v>3</v>
      </c>
      <c r="G529" s="4">
        <v>6.4862573495E8</v>
      </c>
      <c r="H529" s="4"/>
      <c r="I529" s="6" t="s">
        <v>39</v>
      </c>
    </row>
    <row r="530">
      <c r="A530" s="8">
        <v>46385.0</v>
      </c>
      <c r="B530" s="3" t="s">
        <v>549</v>
      </c>
      <c r="C530" s="3" t="s">
        <v>554</v>
      </c>
      <c r="D530" s="5">
        <v>6.2612E7</v>
      </c>
      <c r="E530" s="4"/>
      <c r="F530" s="5" t="s">
        <v>3</v>
      </c>
      <c r="G530" s="4">
        <v>5.8601373495E8</v>
      </c>
      <c r="H530" s="4"/>
      <c r="I530" s="6" t="s">
        <v>39</v>
      </c>
    </row>
    <row r="531">
      <c r="A531" s="8">
        <v>46385.0</v>
      </c>
      <c r="B531" s="3" t="s">
        <v>549</v>
      </c>
      <c r="C531" s="3" t="s">
        <v>555</v>
      </c>
      <c r="D531" s="5">
        <v>4.0E7</v>
      </c>
      <c r="E531" s="4"/>
      <c r="F531" s="5" t="s">
        <v>3</v>
      </c>
      <c r="G531" s="4">
        <v>5.4601373495E8</v>
      </c>
      <c r="H531" s="4"/>
      <c r="I531" s="6" t="s">
        <v>39</v>
      </c>
    </row>
    <row r="532">
      <c r="A532" s="8">
        <v>46385.0</v>
      </c>
      <c r="B532" s="3" t="s">
        <v>549</v>
      </c>
      <c r="C532" s="3" t="s">
        <v>556</v>
      </c>
      <c r="D532" s="5">
        <v>9.5832E7</v>
      </c>
      <c r="E532" s="4"/>
      <c r="F532" s="5" t="s">
        <v>3</v>
      </c>
      <c r="G532" s="4">
        <v>4.5018173495000005E8</v>
      </c>
      <c r="H532" s="4"/>
      <c r="I532" s="6" t="s">
        <v>39</v>
      </c>
    </row>
    <row r="533">
      <c r="A533" s="8">
        <v>46385.0</v>
      </c>
      <c r="B533" s="3" t="s">
        <v>549</v>
      </c>
      <c r="C533" s="3" t="s">
        <v>557</v>
      </c>
      <c r="D533" s="5">
        <v>1.0518424E8</v>
      </c>
      <c r="E533" s="4"/>
      <c r="F533" s="5" t="s">
        <v>3</v>
      </c>
      <c r="G533" s="4">
        <v>3.4499749495000005E8</v>
      </c>
      <c r="H533" s="4"/>
      <c r="I533" s="6" t="s">
        <v>39</v>
      </c>
    </row>
    <row r="534">
      <c r="A534" s="8">
        <v>46385.0</v>
      </c>
      <c r="B534" s="3" t="s">
        <v>549</v>
      </c>
      <c r="C534" s="3" t="s">
        <v>558</v>
      </c>
      <c r="D534" s="5">
        <v>1.516624E8</v>
      </c>
      <c r="E534" s="4"/>
      <c r="F534" s="5" t="s">
        <v>3</v>
      </c>
      <c r="G534" s="4">
        <v>1.9333509495000005E8</v>
      </c>
      <c r="H534" s="4"/>
      <c r="I534" s="6" t="s">
        <v>39</v>
      </c>
    </row>
    <row r="535">
      <c r="A535" s="8">
        <v>46385.0</v>
      </c>
      <c r="B535" s="3" t="s">
        <v>549</v>
      </c>
      <c r="C535" s="3" t="s">
        <v>559</v>
      </c>
      <c r="D535" s="5">
        <v>3.085415E7</v>
      </c>
      <c r="E535" s="4"/>
      <c r="F535" s="5" t="s">
        <v>3</v>
      </c>
      <c r="G535" s="4">
        <v>1.6248094495000005E8</v>
      </c>
      <c r="H535" s="4"/>
      <c r="I535" s="6" t="s">
        <v>39</v>
      </c>
    </row>
    <row r="536">
      <c r="A536" s="8">
        <v>46385.0</v>
      </c>
      <c r="B536" s="3" t="s">
        <v>549</v>
      </c>
      <c r="C536" s="3" t="s">
        <v>560</v>
      </c>
      <c r="D536" s="5">
        <v>1.623441E8</v>
      </c>
      <c r="E536" s="4"/>
      <c r="F536" s="5" t="s">
        <v>3</v>
      </c>
      <c r="G536" s="4">
        <v>136844.95000004768</v>
      </c>
      <c r="H536" s="4"/>
      <c r="I536" s="6" t="s">
        <v>39</v>
      </c>
    </row>
    <row r="537">
      <c r="A537" s="8">
        <v>46385.0</v>
      </c>
      <c r="B537" s="3" t="s">
        <v>10</v>
      </c>
      <c r="C537" s="3" t="s">
        <v>561</v>
      </c>
      <c r="D537" s="5"/>
      <c r="E537" s="5">
        <v>5000000.0</v>
      </c>
      <c r="F537" s="5" t="s">
        <v>12</v>
      </c>
      <c r="G537" s="4">
        <v>5136844.950000048</v>
      </c>
      <c r="H537" s="4"/>
      <c r="I537" s="6" t="s">
        <v>39</v>
      </c>
    </row>
    <row r="538">
      <c r="A538" s="8">
        <v>46385.0</v>
      </c>
      <c r="B538" s="3" t="s">
        <v>1</v>
      </c>
      <c r="C538" s="3" t="s">
        <v>562</v>
      </c>
      <c r="D538" s="5">
        <v>4200000.0</v>
      </c>
      <c r="E538" s="4"/>
      <c r="F538" s="5" t="s">
        <v>3</v>
      </c>
      <c r="G538" s="4">
        <v>936844.9500000477</v>
      </c>
      <c r="H538" s="4"/>
      <c r="I538" s="6" t="s">
        <v>39</v>
      </c>
    </row>
    <row r="539">
      <c r="A539" s="8">
        <v>46385.0</v>
      </c>
      <c r="B539" s="3" t="s">
        <v>228</v>
      </c>
      <c r="C539" s="3" t="s">
        <v>229</v>
      </c>
      <c r="E539" s="5">
        <v>1.1211375E8</v>
      </c>
      <c r="F539" s="4"/>
      <c r="G539" s="4">
        <v>1.1305059495000005E8</v>
      </c>
      <c r="H539" s="5">
        <v>1.1305059495E8</v>
      </c>
      <c r="I539" s="6" t="s">
        <v>39</v>
      </c>
    </row>
    <row r="540">
      <c r="A540" s="8">
        <v>46385.0</v>
      </c>
      <c r="B540" s="3" t="s">
        <v>41</v>
      </c>
      <c r="C540" s="3" t="s">
        <v>171</v>
      </c>
      <c r="D540" s="5">
        <v>320800.0</v>
      </c>
      <c r="E540" s="4"/>
      <c r="F540" s="4"/>
      <c r="G540" s="4">
        <v>1.1272979495000005E8</v>
      </c>
      <c r="H540" s="5">
        <v>1.1272979495E8</v>
      </c>
      <c r="I540" s="6" t="s">
        <v>39</v>
      </c>
    </row>
    <row r="541">
      <c r="A541" s="8">
        <v>46385.0</v>
      </c>
      <c r="B541" s="3" t="s">
        <v>10</v>
      </c>
      <c r="C541" s="3" t="s">
        <v>563</v>
      </c>
      <c r="D541" s="5"/>
      <c r="E541" s="5">
        <v>4.592941E8</v>
      </c>
      <c r="F541" s="5" t="s">
        <v>12</v>
      </c>
      <c r="G541" s="4">
        <v>5.7202389495E8</v>
      </c>
      <c r="H541" s="4"/>
      <c r="I541" s="6" t="s">
        <v>39</v>
      </c>
    </row>
    <row r="542">
      <c r="A542" s="8">
        <v>46385.0</v>
      </c>
      <c r="B542" s="3" t="s">
        <v>1</v>
      </c>
      <c r="C542" s="3" t="s">
        <v>564</v>
      </c>
      <c r="D542" s="5">
        <v>2.272872E7</v>
      </c>
      <c r="E542" s="4"/>
      <c r="F542" s="5" t="s">
        <v>3</v>
      </c>
      <c r="G542" s="4">
        <v>5.4929517495E8</v>
      </c>
      <c r="H542" s="4"/>
      <c r="I542" s="6" t="s">
        <v>39</v>
      </c>
    </row>
    <row r="543">
      <c r="A543" s="8">
        <v>46385.0</v>
      </c>
      <c r="B543" s="3" t="s">
        <v>136</v>
      </c>
      <c r="C543" s="3" t="s">
        <v>565</v>
      </c>
      <c r="D543" s="5">
        <v>22500.0</v>
      </c>
      <c r="E543" s="4"/>
      <c r="F543" s="4"/>
      <c r="G543" s="4">
        <v>5.4927267495E8</v>
      </c>
      <c r="H543" s="5">
        <v>5.4927267495E8</v>
      </c>
      <c r="I543" s="6" t="s">
        <v>39</v>
      </c>
    </row>
    <row r="544">
      <c r="A544" s="8">
        <v>46386.0</v>
      </c>
      <c r="B544" s="3" t="s">
        <v>566</v>
      </c>
      <c r="C544" s="3" t="s">
        <v>567</v>
      </c>
      <c r="D544" s="5">
        <v>4.76612E7</v>
      </c>
      <c r="E544" s="4"/>
      <c r="F544" s="5" t="s">
        <v>3</v>
      </c>
      <c r="G544" s="4">
        <v>5.0161147495000005E8</v>
      </c>
      <c r="H544" s="4"/>
      <c r="I544" s="6" t="s">
        <v>39</v>
      </c>
    </row>
    <row r="545">
      <c r="A545" s="8">
        <v>46386.0</v>
      </c>
      <c r="B545" s="3" t="s">
        <v>566</v>
      </c>
      <c r="C545" s="3" t="s">
        <v>568</v>
      </c>
      <c r="D545" s="5">
        <v>5.94972E7</v>
      </c>
      <c r="E545" s="4"/>
      <c r="F545" s="5" t="s">
        <v>3</v>
      </c>
      <c r="G545" s="4">
        <v>4.4211427495000005E8</v>
      </c>
      <c r="H545" s="4"/>
      <c r="I545" s="6" t="s">
        <v>39</v>
      </c>
    </row>
    <row r="546">
      <c r="A546" s="8">
        <v>46386.0</v>
      </c>
      <c r="B546" s="3" t="s">
        <v>566</v>
      </c>
      <c r="C546" s="3" t="s">
        <v>569</v>
      </c>
      <c r="D546" s="5">
        <v>5.490974E7</v>
      </c>
      <c r="E546" s="4"/>
      <c r="F546" s="5" t="s">
        <v>3</v>
      </c>
      <c r="G546" s="4">
        <v>3.8720453495000005E8</v>
      </c>
      <c r="H546" s="4"/>
      <c r="I546" s="6" t="s">
        <v>39</v>
      </c>
    </row>
    <row r="547">
      <c r="A547" s="8">
        <v>46386.0</v>
      </c>
      <c r="B547" s="3" t="s">
        <v>566</v>
      </c>
      <c r="C547" s="3" t="s">
        <v>570</v>
      </c>
      <c r="D547" s="5">
        <v>8.814585E7</v>
      </c>
      <c r="E547" s="4"/>
      <c r="F547" s="5" t="s">
        <v>3</v>
      </c>
      <c r="G547" s="4">
        <v>2.9905868495000005E8</v>
      </c>
      <c r="H547" s="4"/>
      <c r="I547" s="6" t="s">
        <v>39</v>
      </c>
    </row>
    <row r="548">
      <c r="A548" s="8">
        <v>46386.0</v>
      </c>
      <c r="B548" s="3" t="s">
        <v>566</v>
      </c>
      <c r="C548" s="3" t="s">
        <v>571</v>
      </c>
      <c r="D548" s="5">
        <v>1.0456E7</v>
      </c>
      <c r="E548" s="4"/>
      <c r="F548" s="5" t="s">
        <v>3</v>
      </c>
      <c r="G548" s="4">
        <v>2.8860268495000005E8</v>
      </c>
      <c r="H548" s="4"/>
      <c r="I548" s="6" t="s">
        <v>39</v>
      </c>
    </row>
    <row r="549">
      <c r="A549" s="8">
        <v>46386.0</v>
      </c>
      <c r="B549" s="3" t="s">
        <v>566</v>
      </c>
      <c r="C549" s="3" t="s">
        <v>572</v>
      </c>
      <c r="D549" s="5">
        <v>4.95E7</v>
      </c>
      <c r="E549" s="4"/>
      <c r="F549" s="5" t="s">
        <v>3</v>
      </c>
      <c r="G549" s="4">
        <v>2.3910268495000005E8</v>
      </c>
      <c r="H549" s="4"/>
      <c r="I549" s="6" t="s">
        <v>39</v>
      </c>
    </row>
    <row r="550">
      <c r="A550" s="8">
        <v>46386.0</v>
      </c>
      <c r="B550" s="3" t="s">
        <v>566</v>
      </c>
      <c r="C550" s="3" t="s">
        <v>573</v>
      </c>
      <c r="D550" s="5">
        <v>5.1221E7</v>
      </c>
      <c r="E550" s="4"/>
      <c r="F550" s="5" t="s">
        <v>3</v>
      </c>
      <c r="G550" s="4">
        <v>1.8788168495000005E8</v>
      </c>
      <c r="H550" s="4"/>
      <c r="I550" s="6" t="s">
        <v>39</v>
      </c>
    </row>
    <row r="551">
      <c r="A551" s="8">
        <v>46386.0</v>
      </c>
      <c r="B551" s="3" t="s">
        <v>1</v>
      </c>
      <c r="C551" s="3" t="s">
        <v>574</v>
      </c>
      <c r="D551" s="5">
        <v>4462190.0</v>
      </c>
      <c r="E551" s="4"/>
      <c r="F551" s="5" t="s">
        <v>3</v>
      </c>
      <c r="G551" s="4">
        <v>1.8341949495000005E8</v>
      </c>
      <c r="H551" s="4"/>
      <c r="I551" s="6" t="s">
        <v>39</v>
      </c>
    </row>
    <row r="552">
      <c r="A552" s="8">
        <v>46386.0</v>
      </c>
      <c r="B552" s="3" t="s">
        <v>1</v>
      </c>
      <c r="C552" s="3" t="s">
        <v>575</v>
      </c>
      <c r="D552" s="5">
        <v>5150500.0</v>
      </c>
      <c r="E552" s="4"/>
      <c r="F552" s="5" t="s">
        <v>3</v>
      </c>
      <c r="G552" s="4">
        <v>1.7826899495000005E8</v>
      </c>
      <c r="H552" s="5">
        <v>1.7826899495E8</v>
      </c>
      <c r="I552" s="6" t="s">
        <v>39</v>
      </c>
    </row>
    <row r="553">
      <c r="A553" s="8">
        <v>46386.0</v>
      </c>
      <c r="B553" s="3" t="s">
        <v>1</v>
      </c>
      <c r="C553" s="3" t="s">
        <v>576</v>
      </c>
      <c r="D553" s="5">
        <v>1400000.0</v>
      </c>
      <c r="E553" s="4"/>
      <c r="F553" s="5" t="s">
        <v>3</v>
      </c>
      <c r="G553" s="4">
        <v>1.7686899495000005E8</v>
      </c>
      <c r="H553" s="5">
        <v>1.7686899495E8</v>
      </c>
      <c r="I553" s="6" t="s">
        <v>39</v>
      </c>
    </row>
    <row r="554">
      <c r="A554" s="8">
        <v>46386.0</v>
      </c>
      <c r="B554" s="3" t="s">
        <v>41</v>
      </c>
      <c r="C554" s="3" t="s">
        <v>577</v>
      </c>
      <c r="D554" s="5">
        <v>591200.0</v>
      </c>
      <c r="E554" s="4"/>
      <c r="F554" s="4"/>
      <c r="G554" s="4">
        <v>1.7627779495000005E8</v>
      </c>
      <c r="H554" s="4"/>
      <c r="I554" s="6" t="s">
        <v>39</v>
      </c>
    </row>
    <row r="555">
      <c r="A555" s="8">
        <v>46386.0</v>
      </c>
      <c r="B555" s="3" t="s">
        <v>1</v>
      </c>
      <c r="C555" s="3" t="s">
        <v>578</v>
      </c>
      <c r="D555" s="5">
        <v>5.0E7</v>
      </c>
      <c r="E555" s="4"/>
      <c r="F555" s="5" t="s">
        <v>3</v>
      </c>
      <c r="G555" s="4">
        <v>1.2627779495000005E8</v>
      </c>
      <c r="H555" s="4"/>
      <c r="I555" s="6" t="s">
        <v>39</v>
      </c>
    </row>
    <row r="556">
      <c r="A556" s="8">
        <v>46386.0</v>
      </c>
      <c r="B556" s="3" t="s">
        <v>10</v>
      </c>
      <c r="C556" s="3" t="s">
        <v>579</v>
      </c>
      <c r="D556" s="5"/>
      <c r="E556" s="5">
        <v>9.86374E7</v>
      </c>
      <c r="F556" s="5" t="s">
        <v>12</v>
      </c>
      <c r="G556" s="4">
        <v>2.2491519495000005E8</v>
      </c>
      <c r="H556" s="4"/>
      <c r="I556" s="6" t="s">
        <v>39</v>
      </c>
    </row>
    <row r="557">
      <c r="A557" s="8">
        <v>46386.0</v>
      </c>
      <c r="B557" s="3" t="s">
        <v>10</v>
      </c>
      <c r="C557" s="3" t="s">
        <v>580</v>
      </c>
      <c r="D557" s="5"/>
      <c r="E557" s="5">
        <v>8.788308E7</v>
      </c>
      <c r="F557" s="5" t="s">
        <v>12</v>
      </c>
      <c r="G557" s="4">
        <v>3.1279827495000005E8</v>
      </c>
      <c r="H557" s="4"/>
      <c r="I557" s="6" t="s">
        <v>39</v>
      </c>
    </row>
    <row r="558">
      <c r="A558" s="8">
        <v>46386.0</v>
      </c>
      <c r="B558" s="3" t="s">
        <v>10</v>
      </c>
      <c r="C558" s="3" t="s">
        <v>581</v>
      </c>
      <c r="D558" s="5"/>
      <c r="E558" s="5">
        <v>1.92736202E8</v>
      </c>
      <c r="F558" s="5" t="s">
        <v>12</v>
      </c>
      <c r="G558" s="4">
        <v>5.0553447695000005E8</v>
      </c>
      <c r="H558" s="4"/>
      <c r="I558" s="6" t="s">
        <v>39</v>
      </c>
    </row>
    <row r="559">
      <c r="A559" s="8">
        <v>46386.0</v>
      </c>
      <c r="B559" s="3" t="s">
        <v>10</v>
      </c>
      <c r="C559" s="3" t="s">
        <v>582</v>
      </c>
      <c r="D559" s="5"/>
      <c r="E559" s="5">
        <v>9.8663483E7</v>
      </c>
      <c r="F559" s="5" t="s">
        <v>12</v>
      </c>
      <c r="G559" s="4">
        <v>6.0419795995E8</v>
      </c>
      <c r="H559" s="4"/>
      <c r="I559" s="6" t="s">
        <v>39</v>
      </c>
    </row>
    <row r="560">
      <c r="A560" s="8">
        <v>46386.0</v>
      </c>
      <c r="B560" s="3" t="s">
        <v>10</v>
      </c>
      <c r="C560" s="3" t="s">
        <v>583</v>
      </c>
      <c r="D560" s="5"/>
      <c r="E560" s="5">
        <v>9.5892189E7</v>
      </c>
      <c r="F560" s="5" t="s">
        <v>12</v>
      </c>
      <c r="G560" s="4">
        <v>7.0009014895E8</v>
      </c>
      <c r="H560" s="4"/>
      <c r="I560" s="6" t="s">
        <v>39</v>
      </c>
    </row>
    <row r="561">
      <c r="A561" s="8">
        <v>46386.0</v>
      </c>
      <c r="B561" s="3" t="s">
        <v>10</v>
      </c>
      <c r="C561" s="3" t="s">
        <v>584</v>
      </c>
      <c r="D561" s="5"/>
      <c r="E561" s="5">
        <v>1.83956985E8</v>
      </c>
      <c r="F561" s="5" t="s">
        <v>12</v>
      </c>
      <c r="G561" s="4">
        <v>8.8404713395E8</v>
      </c>
      <c r="H561" s="4"/>
      <c r="I561" s="6" t="s">
        <v>39</v>
      </c>
    </row>
    <row r="562">
      <c r="A562" s="8">
        <v>46386.0</v>
      </c>
      <c r="B562" s="3" t="s">
        <v>14</v>
      </c>
      <c r="C562" s="3" t="s">
        <v>338</v>
      </c>
      <c r="D562" s="5">
        <v>105000.0</v>
      </c>
      <c r="E562" s="4"/>
      <c r="F562" s="5" t="s">
        <v>3</v>
      </c>
      <c r="G562" s="4">
        <v>8.8394213395E8</v>
      </c>
      <c r="H562" s="4"/>
      <c r="I562" s="6" t="s">
        <v>39</v>
      </c>
    </row>
    <row r="563">
      <c r="A563" s="8">
        <v>46386.0</v>
      </c>
      <c r="B563" s="3" t="s">
        <v>14</v>
      </c>
      <c r="C563" s="3" t="s">
        <v>339</v>
      </c>
      <c r="D563" s="5">
        <v>2500.0</v>
      </c>
      <c r="E563" s="4"/>
      <c r="F563" s="5" t="s">
        <v>3</v>
      </c>
      <c r="G563" s="4">
        <v>8.8393963395E8</v>
      </c>
      <c r="H563" s="4"/>
      <c r="I563" s="6" t="s">
        <v>39</v>
      </c>
    </row>
    <row r="564">
      <c r="A564" s="8">
        <v>46386.0</v>
      </c>
      <c r="B564" s="3" t="s">
        <v>1</v>
      </c>
      <c r="C564" s="3" t="s">
        <v>585</v>
      </c>
      <c r="D564" s="5">
        <v>1.1221E7</v>
      </c>
      <c r="E564" s="4"/>
      <c r="F564" s="5" t="s">
        <v>3</v>
      </c>
      <c r="G564" s="4">
        <v>8.7271863395E8</v>
      </c>
      <c r="H564" s="4"/>
      <c r="I564" s="6" t="s">
        <v>39</v>
      </c>
    </row>
    <row r="565">
      <c r="A565" s="8">
        <v>46386.0</v>
      </c>
      <c r="B565" s="3" t="s">
        <v>10</v>
      </c>
      <c r="C565" s="3" t="s">
        <v>586</v>
      </c>
      <c r="D565" s="5"/>
      <c r="E565" s="5">
        <v>4.2378457E8</v>
      </c>
      <c r="F565" s="5" t="s">
        <v>12</v>
      </c>
      <c r="G565" s="4">
        <v>1.29650320395E9</v>
      </c>
      <c r="H565" s="5">
        <v>1.29650320395E9</v>
      </c>
      <c r="I565" s="6" t="s">
        <v>39</v>
      </c>
    </row>
    <row r="566">
      <c r="A566" s="8">
        <v>46386.0</v>
      </c>
      <c r="B566" s="3" t="s">
        <v>1</v>
      </c>
      <c r="C566" s="3" t="s">
        <v>587</v>
      </c>
      <c r="D566" s="5">
        <v>4.76E7</v>
      </c>
      <c r="E566" s="4"/>
      <c r="F566" s="5" t="s">
        <v>3</v>
      </c>
      <c r="G566" s="4">
        <v>1.24890320395E9</v>
      </c>
      <c r="H566" s="5">
        <v>1.24890320395E9</v>
      </c>
      <c r="I566" s="6" t="s">
        <v>39</v>
      </c>
    </row>
    <row r="567">
      <c r="A567" s="8">
        <v>46386.0</v>
      </c>
      <c r="B567" s="3" t="s">
        <v>1</v>
      </c>
      <c r="C567" s="3" t="s">
        <v>588</v>
      </c>
      <c r="D567" s="5">
        <v>9.73658E7</v>
      </c>
      <c r="E567" s="4"/>
      <c r="F567" s="5" t="s">
        <v>3</v>
      </c>
      <c r="G567" s="4">
        <v>1.15153740395E9</v>
      </c>
      <c r="H567" s="4"/>
      <c r="I567" s="6" t="s">
        <v>39</v>
      </c>
    </row>
    <row r="568">
      <c r="A568" s="8">
        <v>46386.0</v>
      </c>
      <c r="B568" s="3" t="s">
        <v>1</v>
      </c>
      <c r="C568" s="3" t="s">
        <v>589</v>
      </c>
      <c r="D568" s="5">
        <v>5.03644E7</v>
      </c>
      <c r="E568" s="4"/>
      <c r="F568" s="5" t="s">
        <v>3</v>
      </c>
      <c r="G568" s="4">
        <v>1.10117300395E9</v>
      </c>
      <c r="H568" s="4"/>
      <c r="I568" s="6" t="s">
        <v>39</v>
      </c>
    </row>
    <row r="569">
      <c r="A569" s="8">
        <v>46386.0</v>
      </c>
      <c r="B569" s="3" t="s">
        <v>1</v>
      </c>
      <c r="C569" s="3" t="s">
        <v>590</v>
      </c>
      <c r="D569" s="5">
        <v>4.96023E7</v>
      </c>
      <c r="E569" s="4"/>
      <c r="F569" s="5" t="s">
        <v>3</v>
      </c>
      <c r="G569" s="4">
        <v>1.05157070395E9</v>
      </c>
      <c r="H569" s="4"/>
      <c r="I569" s="6" t="s">
        <v>39</v>
      </c>
    </row>
    <row r="570">
      <c r="A570" s="8">
        <v>46386.0</v>
      </c>
      <c r="B570" s="3" t="s">
        <v>1</v>
      </c>
      <c r="C570" s="3" t="s">
        <v>591</v>
      </c>
      <c r="D570" s="5">
        <v>4.98456E7</v>
      </c>
      <c r="E570" s="4"/>
      <c r="F570" s="5" t="s">
        <v>3</v>
      </c>
      <c r="G570" s="4">
        <v>1.00172510395E9</v>
      </c>
      <c r="H570" s="4"/>
      <c r="I570" s="6" t="s">
        <v>39</v>
      </c>
    </row>
    <row r="571">
      <c r="A571" s="8">
        <v>46386.0</v>
      </c>
      <c r="B571" s="3" t="s">
        <v>1</v>
      </c>
      <c r="C571" s="3" t="s">
        <v>592</v>
      </c>
      <c r="D571" s="5">
        <v>1.042083E8</v>
      </c>
      <c r="E571" s="4"/>
      <c r="F571" s="5" t="s">
        <v>3</v>
      </c>
      <c r="G571" s="4">
        <v>8.9751680395E8</v>
      </c>
      <c r="H571" s="4"/>
      <c r="I571" s="6" t="s">
        <v>39</v>
      </c>
    </row>
    <row r="572">
      <c r="A572" s="8">
        <v>46386.0</v>
      </c>
      <c r="B572" s="3" t="s">
        <v>1</v>
      </c>
      <c r="C572" s="3" t="s">
        <v>593</v>
      </c>
      <c r="D572" s="5">
        <v>1.01013E8</v>
      </c>
      <c r="E572" s="4"/>
      <c r="F572" s="5" t="s">
        <v>3</v>
      </c>
      <c r="G572" s="4">
        <v>7.9650380395E8</v>
      </c>
      <c r="H572" s="4"/>
      <c r="I572" s="6" t="s">
        <v>39</v>
      </c>
    </row>
    <row r="573">
      <c r="A573" s="8">
        <v>46386.0</v>
      </c>
      <c r="B573" s="3" t="s">
        <v>1</v>
      </c>
      <c r="C573" s="3" t="s">
        <v>594</v>
      </c>
      <c r="D573" s="5">
        <v>9.009504E7</v>
      </c>
      <c r="E573" s="4"/>
      <c r="F573" s="5" t="s">
        <v>3</v>
      </c>
      <c r="G573" s="4">
        <v>7.0640876395E8</v>
      </c>
      <c r="H573" s="4"/>
      <c r="I573" s="6" t="s">
        <v>39</v>
      </c>
    </row>
    <row r="574">
      <c r="A574" s="8">
        <v>46386.0</v>
      </c>
      <c r="B574" s="3" t="s">
        <v>1</v>
      </c>
      <c r="C574" s="3" t="s">
        <v>595</v>
      </c>
      <c r="D574" s="5">
        <v>1.8E8</v>
      </c>
      <c r="E574" s="4"/>
      <c r="F574" s="5" t="s">
        <v>3</v>
      </c>
      <c r="G574" s="4">
        <v>5.2640876395000005E8</v>
      </c>
      <c r="H574" s="5">
        <v>5.2640876395E8</v>
      </c>
      <c r="I574" s="6" t="s">
        <v>39</v>
      </c>
    </row>
    <row r="575">
      <c r="A575" s="8">
        <v>46387.0</v>
      </c>
      <c r="B575" s="3" t="s">
        <v>10</v>
      </c>
      <c r="C575" s="3" t="s">
        <v>596</v>
      </c>
      <c r="D575" s="5"/>
      <c r="E575" s="5">
        <v>2.0E7</v>
      </c>
      <c r="F575" s="5" t="s">
        <v>12</v>
      </c>
      <c r="G575" s="4">
        <v>5.4640876395E8</v>
      </c>
      <c r="H575" s="4"/>
      <c r="I575" s="6" t="s">
        <v>39</v>
      </c>
    </row>
    <row r="576">
      <c r="A576" s="8">
        <v>46387.0</v>
      </c>
      <c r="B576" s="3" t="s">
        <v>1</v>
      </c>
      <c r="C576" s="3" t="s">
        <v>597</v>
      </c>
      <c r="D576" s="5">
        <v>8.99214E7</v>
      </c>
      <c r="E576" s="4"/>
      <c r="F576" s="5" t="s">
        <v>3</v>
      </c>
      <c r="G576" s="4">
        <v>4.5648736395000005E8</v>
      </c>
      <c r="H576" s="4"/>
      <c r="I576" s="6" t="s">
        <v>39</v>
      </c>
    </row>
    <row r="577">
      <c r="A577" s="8">
        <v>46387.0</v>
      </c>
      <c r="B577" s="3" t="s">
        <v>1</v>
      </c>
      <c r="C577" s="3" t="s">
        <v>598</v>
      </c>
      <c r="D577" s="5">
        <v>4.85456E7</v>
      </c>
      <c r="E577" s="4"/>
      <c r="F577" s="5" t="s">
        <v>3</v>
      </c>
      <c r="G577" s="4">
        <v>4.0794176395000005E8</v>
      </c>
      <c r="H577" s="4"/>
      <c r="I577" s="6" t="s">
        <v>39</v>
      </c>
    </row>
    <row r="578">
      <c r="A578" s="8">
        <v>46387.0</v>
      </c>
      <c r="B578" s="3" t="s">
        <v>1</v>
      </c>
      <c r="C578" s="3" t="s">
        <v>599</v>
      </c>
      <c r="D578" s="5">
        <v>1.1783242E8</v>
      </c>
      <c r="E578" s="4"/>
      <c r="F578" s="5" t="s">
        <v>3</v>
      </c>
      <c r="G578" s="4">
        <v>2.9010934395000005E8</v>
      </c>
      <c r="H578" s="5">
        <v>2.9010934395E8</v>
      </c>
      <c r="I578" s="6" t="s">
        <v>39</v>
      </c>
    </row>
    <row r="579">
      <c r="A579" s="8">
        <v>46387.0</v>
      </c>
      <c r="B579" s="3" t="s">
        <v>1</v>
      </c>
      <c r="C579" s="3" t="s">
        <v>600</v>
      </c>
      <c r="D579" s="5">
        <v>1.507154E7</v>
      </c>
      <c r="E579" s="4"/>
      <c r="F579" s="5" t="s">
        <v>3</v>
      </c>
      <c r="G579" s="4">
        <v>2.7503780395000005E8</v>
      </c>
      <c r="H579" s="5">
        <v>2.7503780395E8</v>
      </c>
      <c r="I579" s="6" t="s">
        <v>39</v>
      </c>
    </row>
    <row r="580">
      <c r="A580" s="8">
        <v>46387.0</v>
      </c>
      <c r="B580" s="3" t="s">
        <v>1</v>
      </c>
      <c r="C580" s="3" t="s">
        <v>601</v>
      </c>
      <c r="D580" s="5">
        <v>3364780.0</v>
      </c>
      <c r="E580" s="4"/>
      <c r="F580" s="5" t="s">
        <v>3</v>
      </c>
      <c r="G580" s="4">
        <v>2.7167302395000005E8</v>
      </c>
      <c r="H580" s="5"/>
      <c r="I580" s="6" t="s">
        <v>39</v>
      </c>
    </row>
    <row r="581">
      <c r="A581" s="8">
        <v>46387.0</v>
      </c>
      <c r="B581" s="3" t="s">
        <v>1</v>
      </c>
      <c r="C581" s="3" t="s">
        <v>602</v>
      </c>
      <c r="D581" s="5">
        <v>2000000.0</v>
      </c>
      <c r="E581" s="4"/>
      <c r="F581" s="5" t="s">
        <v>3</v>
      </c>
      <c r="G581" s="4">
        <v>2.6967302395000005E8</v>
      </c>
      <c r="H581" s="5"/>
      <c r="I581" s="6" t="s">
        <v>39</v>
      </c>
    </row>
    <row r="582">
      <c r="A582" s="8">
        <v>46387.0</v>
      </c>
      <c r="B582" s="3" t="s">
        <v>1</v>
      </c>
      <c r="C582" s="3" t="s">
        <v>603</v>
      </c>
      <c r="D582" s="5">
        <v>1.577408E7</v>
      </c>
      <c r="E582" s="4"/>
      <c r="F582" s="5" t="s">
        <v>3</v>
      </c>
      <c r="G582" s="4">
        <v>2.5389894395000005E8</v>
      </c>
      <c r="H582" s="5"/>
      <c r="I582" s="6" t="s">
        <v>39</v>
      </c>
    </row>
    <row r="583">
      <c r="A583" s="8">
        <v>46387.0</v>
      </c>
      <c r="B583" s="3" t="s">
        <v>1</v>
      </c>
      <c r="C583" s="3" t="s">
        <v>604</v>
      </c>
      <c r="D583" s="5">
        <v>5670860.0</v>
      </c>
      <c r="E583" s="4"/>
      <c r="F583" s="5" t="s">
        <v>3</v>
      </c>
      <c r="G583" s="4">
        <v>2.4822808395000005E8</v>
      </c>
      <c r="H583" s="5"/>
      <c r="I583" s="6" t="s">
        <v>39</v>
      </c>
    </row>
    <row r="584">
      <c r="A584" s="8">
        <v>46387.0</v>
      </c>
      <c r="B584" s="3" t="s">
        <v>1</v>
      </c>
      <c r="C584" s="3" t="s">
        <v>605</v>
      </c>
      <c r="D584" s="5">
        <v>3673800.0</v>
      </c>
      <c r="E584" s="4"/>
      <c r="F584" s="5" t="s">
        <v>3</v>
      </c>
      <c r="G584" s="4">
        <v>2.4455428395000005E8</v>
      </c>
      <c r="H584" s="5"/>
      <c r="I584" s="6" t="s">
        <v>39</v>
      </c>
    </row>
    <row r="585">
      <c r="A585" s="8">
        <v>46387.0</v>
      </c>
      <c r="B585" s="3" t="s">
        <v>1</v>
      </c>
      <c r="C585" s="3" t="s">
        <v>606</v>
      </c>
      <c r="D585" s="5">
        <v>1.513176E8</v>
      </c>
      <c r="E585" s="4"/>
      <c r="F585" s="5" t="s">
        <v>3</v>
      </c>
      <c r="G585" s="4">
        <v>9.323668395000005E7</v>
      </c>
      <c r="H585" s="5"/>
      <c r="I585" s="6" t="s">
        <v>39</v>
      </c>
    </row>
    <row r="586">
      <c r="A586" s="8">
        <v>46387.0</v>
      </c>
      <c r="B586" s="3" t="s">
        <v>1</v>
      </c>
      <c r="C586" s="3" t="s">
        <v>607</v>
      </c>
      <c r="D586" s="5">
        <v>6.7353E7</v>
      </c>
      <c r="E586" s="4"/>
      <c r="F586" s="5" t="s">
        <v>3</v>
      </c>
      <c r="G586" s="4">
        <v>2.5883683950000048E7</v>
      </c>
      <c r="H586" s="5"/>
      <c r="I586" s="6" t="s">
        <v>39</v>
      </c>
    </row>
    <row r="587">
      <c r="A587" s="8">
        <v>46387.0</v>
      </c>
      <c r="B587" s="3" t="s">
        <v>1</v>
      </c>
      <c r="C587" s="3" t="s">
        <v>608</v>
      </c>
      <c r="D587" s="5">
        <v>754020.0</v>
      </c>
      <c r="E587" s="4"/>
      <c r="F587" s="5" t="s">
        <v>3</v>
      </c>
      <c r="G587" s="4">
        <v>2.5129663950000048E7</v>
      </c>
      <c r="H587" s="5"/>
      <c r="I587" s="6" t="s">
        <v>39</v>
      </c>
    </row>
    <row r="588">
      <c r="A588" s="8">
        <v>46387.0</v>
      </c>
      <c r="B588" s="3" t="s">
        <v>1</v>
      </c>
      <c r="C588" s="3" t="s">
        <v>609</v>
      </c>
      <c r="D588" s="5">
        <v>197000.0</v>
      </c>
      <c r="E588" s="4"/>
      <c r="F588" s="5" t="s">
        <v>3</v>
      </c>
      <c r="G588" s="4">
        <v>2.4932663950000048E7</v>
      </c>
      <c r="H588" s="5"/>
      <c r="I588" s="6" t="s">
        <v>39</v>
      </c>
    </row>
    <row r="589">
      <c r="A589" s="8">
        <v>46387.0</v>
      </c>
      <c r="B589" s="3" t="s">
        <v>610</v>
      </c>
      <c r="C589" s="3" t="s">
        <v>610</v>
      </c>
      <c r="E589" s="5">
        <v>2003.67</v>
      </c>
      <c r="F589" s="4"/>
      <c r="G589" s="4">
        <v>2.493466762000005E7</v>
      </c>
      <c r="H589" s="4"/>
      <c r="I589" s="6" t="s">
        <v>39</v>
      </c>
    </row>
    <row r="590">
      <c r="A590" s="8">
        <v>46387.0</v>
      </c>
      <c r="B590" s="3" t="s">
        <v>611</v>
      </c>
      <c r="C590" s="3" t="s">
        <v>612</v>
      </c>
      <c r="D590" s="5">
        <v>400.73</v>
      </c>
      <c r="E590" s="4"/>
      <c r="F590" s="4"/>
      <c r="G590" s="4">
        <v>2.493426689000005E7</v>
      </c>
      <c r="H590" s="5">
        <v>2.493426689E7</v>
      </c>
      <c r="I590" s="6" t="s">
        <v>39</v>
      </c>
    </row>
  </sheetData>
  <dataValidations>
    <dataValidation type="list" allowBlank="1" showErrorMessage="1" sqref="I1:I590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IFERROR(__xludf.DUMMYFUNCTION("IFERROR(QUERY(DES_2023!A:I, ""SELECT * WHERE D IS NOT NULL AND UPPER(I) = 'EXSPEDISI'"", 1), ""Data EXSPEDISI belum ditemukan"")"),"Data EXSPEDISI belum ditemukan")</f>
        <v>Data EXSPEDISI belum ditemukan</v>
      </c>
      <c r="J1" s="2">
        <f>SUM(D1:D1000)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IFERROR(__xludf.DUMMYFUNCTION("IFERROR(QUERY(DES_2023!A:I, ""SELECT * WHERE D IS NOT NULL AND UPPER(I) = 'V_SALES'"", 1), ""Data V_SALES belum ditemukan"")"),"Data V_SALES belum ditemukan")</f>
        <v>Data V_SALES belum ditemukan</v>
      </c>
      <c r="J1" s="2">
        <f>SUM(D1:D1000)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IFERROR(__xludf.DUMMYFUNCTION("IFERROR(QUERY(DES_2023!A:I, ""SELECT * WHERE D IS NOT NULL AND UPPER(I) = 'OPERASIONAL'"", 1), ""Data OPERASIONAL belum ditemukan"")"),"Data OPERASIONAL belum ditemukan")</f>
        <v>Data OPERASIONAL belum ditemukan</v>
      </c>
      <c r="J1" s="2">
        <f>SUM(D1:D1000)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IFERROR(__xludf.DUMMYFUNCTION("IFERROR(QUERY(DES_2023!A:I, ""SELECT * WHERE D IS NOT NULL AND UPPER(I) = 'NURUL_AINI'"", 1), ""Data NURUL_AINI belum ditemukan"")"),"Data NURUL_AINI belum ditemukan")</f>
        <v>Data NURUL_AINI belum ditemukan</v>
      </c>
      <c r="J1" s="2">
        <f>SUM(D1:D1000)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IFERROR(__xludf.DUMMYFUNCTION("IFERROR(QUERY(DES_2023!A:I, ""SELECT * WHERE D IS NOT NULL AND UPPER(I) = ''"", 1), ""Data KOSONG belum ditemukan"")"),46357.0)</f>
        <v>46357</v>
      </c>
      <c r="B1" s="2" t="str">
        <f>IFERROR(__xludf.DUMMYFUNCTION("""COMPUTED_VALUE"""),"TRSF E-BANKING DB")</f>
        <v>TRSF E-BANKING DB</v>
      </c>
      <c r="C1" s="2" t="str">
        <f>IFERROR(__xludf.DUMMYFUNCTION("""COMPUTED_VALUE"""),"0112/FTSCY/WS95271 50000000.00 BRANTAS ABADI SENT")</f>
        <v>0112/FTSCY/WS95271 50000000.00 BRANTAS ABADI SENT</v>
      </c>
      <c r="D1" s="2">
        <f>IFERROR(__xludf.DUMMYFUNCTION("""COMPUTED_VALUE"""),5.0E7)</f>
        <v>50000000</v>
      </c>
      <c r="E1" s="2"/>
      <c r="F1" s="2" t="str">
        <f>IFERROR(__xludf.DUMMYFUNCTION("""COMPUTED_VALUE"""),"DB")</f>
        <v>DB</v>
      </c>
      <c r="G1" s="2">
        <f>IFERROR(__xludf.DUMMYFUNCTION("""COMPUTED_VALUE"""),1.8923196095E8)</f>
        <v>189231961</v>
      </c>
      <c r="H1" s="2">
        <f>IFERROR(__xludf.DUMMYFUNCTION("""COMPUTED_VALUE"""),1.8923196095E8)</f>
        <v>189231961</v>
      </c>
      <c r="I1" s="2"/>
      <c r="J1" s="2">
        <f>SUM(D1:D1000) </f>
        <v>5277720987</v>
      </c>
    </row>
    <row r="2">
      <c r="A2" s="7">
        <f>IFERROR(__xludf.DUMMYFUNCTION("""COMPUTED_VALUE"""),46357.0)</f>
        <v>46357</v>
      </c>
      <c r="B2" s="2" t="str">
        <f>IFERROR(__xludf.DUMMYFUNCTION("""COMPUTED_VALUE"""),"TRSF E-BANKING DB")</f>
        <v>TRSF E-BANKING DB</v>
      </c>
      <c r="C2" s="2" t="str">
        <f>IFERROR(__xludf.DUMMYFUNCTION("""COMPUTED_VALUE"""),"0112/FTSCY/WS95271 144775950.00 Sun Nov 29 2026 15:00:00 GMT+0700 (Western Indonesia Time) ADNAN")</f>
        <v>0112/FTSCY/WS95271 144775950.00 Sun Nov 29 2026 15:00:00 GMT+0700 (Western Indonesia Time) ADNAN</v>
      </c>
      <c r="D2" s="2">
        <f>IFERROR(__xludf.DUMMYFUNCTION("""COMPUTED_VALUE"""),1.4477595E8)</f>
        <v>144775950</v>
      </c>
      <c r="E2" s="2"/>
      <c r="F2" s="2" t="str">
        <f>IFERROR(__xludf.DUMMYFUNCTION("""COMPUTED_VALUE"""),"DB")</f>
        <v>DB</v>
      </c>
      <c r="G2" s="2">
        <f>IFERROR(__xludf.DUMMYFUNCTION("""COMPUTED_VALUE"""),4.445601094999999E7)</f>
        <v>44456010.95</v>
      </c>
      <c r="H2" s="2"/>
      <c r="I2" s="2"/>
    </row>
    <row r="3">
      <c r="A3" s="7">
        <f>IFERROR(__xludf.DUMMYFUNCTION("""COMPUTED_VALUE"""),46357.0)</f>
        <v>46357</v>
      </c>
      <c r="B3" s="2" t="str">
        <f>IFERROR(__xludf.DUMMYFUNCTION("""COMPUTED_VALUE"""),"TRSF E-BANKING DB")</f>
        <v>TRSF E-BANKING DB</v>
      </c>
      <c r="C3" s="2" t="str">
        <f>IFERROR(__xludf.DUMMYFUNCTION("""COMPUTED_VALUE"""),"0112/FTSCY/WS95271 10319800.00 EKO SETIYAWAN")</f>
        <v>0112/FTSCY/WS95271 10319800.00 EKO SETIYAWAN</v>
      </c>
      <c r="D3" s="2">
        <f>IFERROR(__xludf.DUMMYFUNCTION("""COMPUTED_VALUE"""),1.03198E7)</f>
        <v>10319800</v>
      </c>
      <c r="E3" s="2"/>
      <c r="F3" s="2" t="str">
        <f>IFERROR(__xludf.DUMMYFUNCTION("""COMPUTED_VALUE"""),"DB")</f>
        <v>DB</v>
      </c>
      <c r="G3" s="2">
        <f>IFERROR(__xludf.DUMMYFUNCTION("""COMPUTED_VALUE"""),3.413621094999999E7)</f>
        <v>34136210.95</v>
      </c>
      <c r="H3" s="2"/>
      <c r="I3" s="2"/>
    </row>
    <row r="4">
      <c r="A4" s="7">
        <f>IFERROR(__xludf.DUMMYFUNCTION("""COMPUTED_VALUE"""),46357.0)</f>
        <v>46357</v>
      </c>
      <c r="B4" s="2" t="str">
        <f>IFERROR(__xludf.DUMMYFUNCTION("""COMPUTED_VALUE"""),"TRSF E-BANKING DB")</f>
        <v>TRSF E-BANKING DB</v>
      </c>
      <c r="C4" s="2" t="str">
        <f>IFERROR(__xludf.DUMMYFUNCTION("""COMPUTED_VALUE"""),"0112/FTSCY/WS95271 1400000.00 MUJIANTO")</f>
        <v>0112/FTSCY/WS95271 1400000.00 MUJIANTO</v>
      </c>
      <c r="D4" s="2">
        <f>IFERROR(__xludf.DUMMYFUNCTION("""COMPUTED_VALUE"""),1400000.0)</f>
        <v>1400000</v>
      </c>
      <c r="E4" s="2"/>
      <c r="F4" s="2" t="str">
        <f>IFERROR(__xludf.DUMMYFUNCTION("""COMPUTED_VALUE"""),"DB")</f>
        <v>DB</v>
      </c>
      <c r="G4" s="2">
        <f>IFERROR(__xludf.DUMMYFUNCTION("""COMPUTED_VALUE"""),3.2736210949999988E7)</f>
        <v>32736210.95</v>
      </c>
      <c r="H4" s="2"/>
      <c r="I4" s="2"/>
    </row>
    <row r="5">
      <c r="A5" s="7">
        <f>IFERROR(__xludf.DUMMYFUNCTION("""COMPUTED_VALUE"""),46358.0)</f>
        <v>46358</v>
      </c>
      <c r="B5" s="2" t="str">
        <f>IFERROR(__xludf.DUMMYFUNCTION("""COMPUTED_VALUE"""),"TRSF E-BANKING DB")</f>
        <v>TRSF E-BANKING DB</v>
      </c>
      <c r="C5" s="2" t="str">
        <f>IFERROR(__xludf.DUMMYFUNCTION("""COMPUTED_VALUE"""),"0212/FTSCY/WS95271 400000.00 MUHAMMAD HAIRUL MA")</f>
        <v>0212/FTSCY/WS95271 400000.00 MUHAMMAD HAIRUL MA</v>
      </c>
      <c r="D5" s="2">
        <f>IFERROR(__xludf.DUMMYFUNCTION("""COMPUTED_VALUE"""),400000.0)</f>
        <v>400000</v>
      </c>
      <c r="E5" s="2"/>
      <c r="F5" s="2" t="str">
        <f>IFERROR(__xludf.DUMMYFUNCTION("""COMPUTED_VALUE"""),"DB")</f>
        <v>DB</v>
      </c>
      <c r="G5" s="2">
        <f>IFERROR(__xludf.DUMMYFUNCTION("""COMPUTED_VALUE"""),76384.94999998808)</f>
        <v>76384.95</v>
      </c>
      <c r="H5" s="2"/>
      <c r="I5" s="2"/>
    </row>
    <row r="6">
      <c r="A6" s="7">
        <f>IFERROR(__xludf.DUMMYFUNCTION("""COMPUTED_VALUE"""),46358.0)</f>
        <v>46358</v>
      </c>
      <c r="B6" s="2" t="str">
        <f>IFERROR(__xludf.DUMMYFUNCTION("""COMPUTED_VALUE"""),"BI-FAST DB")</f>
        <v>BI-FAST DB</v>
      </c>
      <c r="C6" s="2" t="str">
        <f>IFERROR(__xludf.DUMMYFUNCTION("""COMPUTED_VALUE"""),"BIF BIAYA TXN KE 8 HARIS HAMDANI MyBCA")</f>
        <v>BIF BIAYA TXN KE 8 HARIS HAMDANI MyBCA</v>
      </c>
      <c r="D6" s="2">
        <f>IFERROR(__xludf.DUMMYFUNCTION("""COMPUTED_VALUE"""),2500.0)</f>
        <v>2500</v>
      </c>
      <c r="E6" s="2"/>
      <c r="F6" s="2" t="str">
        <f>IFERROR(__xludf.DUMMYFUNCTION("""COMPUTED_VALUE"""),"DB")</f>
        <v>DB</v>
      </c>
      <c r="G6" s="2">
        <f>IFERROR(__xludf.DUMMYFUNCTION("""COMPUTED_VALUE"""),4.1818601395E8)</f>
        <v>418186014</v>
      </c>
      <c r="H6" s="2"/>
      <c r="I6" s="2"/>
    </row>
    <row r="7">
      <c r="A7" s="7">
        <f>IFERROR(__xludf.DUMMYFUNCTION("""COMPUTED_VALUE"""),46358.0)</f>
        <v>46358</v>
      </c>
      <c r="B7" s="2" t="str">
        <f>IFERROR(__xludf.DUMMYFUNCTION("""COMPUTED_VALUE"""),"BI-FAST DB")</f>
        <v>BI-FAST DB</v>
      </c>
      <c r="C7" s="2" t="str">
        <f>IFERROR(__xludf.DUMMYFUNCTION("""COMPUTED_VALUE"""),"BIF TRANSFER KE 8 HARIS HAMDANI MyBCA")</f>
        <v>BIF TRANSFER KE 8 HARIS HAMDANI MyBCA</v>
      </c>
      <c r="D7" s="2">
        <f>IFERROR(__xludf.DUMMYFUNCTION("""COMPUTED_VALUE"""),4.5E7)</f>
        <v>45000000</v>
      </c>
      <c r="E7" s="2"/>
      <c r="F7" s="2" t="str">
        <f>IFERROR(__xludf.DUMMYFUNCTION("""COMPUTED_VALUE"""),"DB")</f>
        <v>DB</v>
      </c>
      <c r="G7" s="2">
        <f>IFERROR(__xludf.DUMMYFUNCTION("""COMPUTED_VALUE"""),3.7318601395E8)</f>
        <v>373186014</v>
      </c>
      <c r="H7" s="2"/>
      <c r="I7" s="2"/>
    </row>
    <row r="8">
      <c r="A8" s="7">
        <f>IFERROR(__xludf.DUMMYFUNCTION("""COMPUTED_VALUE"""),46358.0)</f>
        <v>46358</v>
      </c>
      <c r="B8" s="2" t="str">
        <f>IFERROR(__xludf.DUMMYFUNCTION("""COMPUTED_VALUE"""),"TRSF E-BANKING DB")</f>
        <v>TRSF E-BANKING DB</v>
      </c>
      <c r="C8" s="2" t="str">
        <f>IFERROR(__xludf.DUMMYFUNCTION("""COMPUTED_VALUE"""),"0212/FTSCY/WS95011 55400100.00 Mon Nov 30 2026 15:00:00 GMT+0700 (Western Indonesia Time) SUPER UNGGAS JAYA")</f>
        <v>0212/FTSCY/WS95011 55400100.00 Mon Nov 30 2026 15:00:00 GMT+0700 (Western Indonesia Time) SUPER UNGGAS JAYA</v>
      </c>
      <c r="D8" s="2">
        <f>IFERROR(__xludf.DUMMYFUNCTION("""COMPUTED_VALUE"""),5.54001E7)</f>
        <v>55400100</v>
      </c>
      <c r="E8" s="2"/>
      <c r="F8" s="2" t="str">
        <f>IFERROR(__xludf.DUMMYFUNCTION("""COMPUTED_VALUE"""),"DB")</f>
        <v>DB</v>
      </c>
      <c r="G8" s="2">
        <f>IFERROR(__xludf.DUMMYFUNCTION("""COMPUTED_VALUE"""),1.6490086395E8)</f>
        <v>164900864</v>
      </c>
      <c r="H8" s="2">
        <f>IFERROR(__xludf.DUMMYFUNCTION("""COMPUTED_VALUE"""),1.6490086395E8)</f>
        <v>164900864</v>
      </c>
      <c r="I8" s="2"/>
    </row>
    <row r="9">
      <c r="A9" s="7">
        <f>IFERROR(__xludf.DUMMYFUNCTION("""COMPUTED_VALUE"""),46358.0)</f>
        <v>46358</v>
      </c>
      <c r="B9" s="2" t="str">
        <f>IFERROR(__xludf.DUMMYFUNCTION("""COMPUTED_VALUE"""),"TRSF E-BANKING DB")</f>
        <v>TRSF E-BANKING DB</v>
      </c>
      <c r="C9" s="2" t="str">
        <f>IFERROR(__xludf.DUMMYFUNCTION("""COMPUTED_VALUE"""),"0212/FTSCY/WS95011 153379100.00 Mon Nov 30 2026 15:00:00 GMT+0700 (Western Indonesia Time) ANDALAN YASA MITRA")</f>
        <v>0212/FTSCY/WS95011 153379100.00 Mon Nov 30 2026 15:00:00 GMT+0700 (Western Indonesia Time) ANDALAN YASA MITRA</v>
      </c>
      <c r="D9" s="2">
        <f>IFERROR(__xludf.DUMMYFUNCTION("""COMPUTED_VALUE"""),1.533791E8)</f>
        <v>153379100</v>
      </c>
      <c r="E9" s="2"/>
      <c r="F9" s="2" t="str">
        <f>IFERROR(__xludf.DUMMYFUNCTION("""COMPUTED_VALUE"""),"DB")</f>
        <v>DB</v>
      </c>
      <c r="G9" s="2">
        <f>IFERROR(__xludf.DUMMYFUNCTION("""COMPUTED_VALUE"""),1.1521763949999988E7)</f>
        <v>11521763.95</v>
      </c>
      <c r="H9" s="2">
        <f>IFERROR(__xludf.DUMMYFUNCTION("""COMPUTED_VALUE"""),1.152176395E7)</f>
        <v>11521763.95</v>
      </c>
      <c r="I9" s="2"/>
    </row>
    <row r="10">
      <c r="A10" s="7">
        <f>IFERROR(__xludf.DUMMYFUNCTION("""COMPUTED_VALUE"""),46359.0)</f>
        <v>46359</v>
      </c>
      <c r="B10" s="2" t="str">
        <f>IFERROR(__xludf.DUMMYFUNCTION("""COMPUTED_VALUE"""),"TRANSAKSI DEBIT")</f>
        <v>TRANSAKSI DEBIT</v>
      </c>
      <c r="C10" s="2" t="str">
        <f>IFERROR(__xludf.DUMMYFUNCTION("""COMPUTED_VALUE"""),"TGL: 03/12 QR 008 00000.00V2 cafe")</f>
        <v>TGL: 03/12 QR 008 00000.00V2 cafe</v>
      </c>
      <c r="D10" s="2">
        <f>IFERROR(__xludf.DUMMYFUNCTION("""COMPUTED_VALUE"""),92500.0)</f>
        <v>92500</v>
      </c>
      <c r="E10" s="2"/>
      <c r="F10" s="2"/>
      <c r="G10" s="2">
        <f>IFERROR(__xludf.DUMMYFUNCTION("""COMPUTED_VALUE"""),6.2975214395E8)</f>
        <v>629752144</v>
      </c>
      <c r="H10" s="2">
        <f>IFERROR(__xludf.DUMMYFUNCTION("""COMPUTED_VALUE"""),6.2975214395E8)</f>
        <v>629752144</v>
      </c>
      <c r="I10" s="2"/>
    </row>
    <row r="11">
      <c r="A11" s="7">
        <f>IFERROR(__xludf.DUMMYFUNCTION("""COMPUTED_VALUE"""),46360.0)</f>
        <v>46360</v>
      </c>
      <c r="B11" s="2" t="str">
        <f>IFERROR(__xludf.DUMMYFUNCTION("""COMPUTED_VALUE"""),"TRSF E-BANKING DB TANGGAL :03/12")</f>
        <v>TRSF E-BANKING DB TANGGAL :03/12</v>
      </c>
      <c r="C11" s="2" t="str">
        <f>IFERROR(__xludf.DUMMYFUNCTION("""COMPUTED_VALUE"""),"0312/FTSCY/WS95011 Sun Nov 01 2026 14:00:00 GMT+0700 (Western Indonesia Time) BRANTAS ABADI SENT")</f>
        <v>0312/FTSCY/WS95011 Sun Nov 01 2026 14:00:00 GMT+0700 (Western Indonesia Time) BRANTAS ABADI SENT</v>
      </c>
      <c r="D11" s="2">
        <f>IFERROR(__xludf.DUMMYFUNCTION("""COMPUTED_VALUE"""),5.706788E7)</f>
        <v>57067880</v>
      </c>
      <c r="E11" s="2"/>
      <c r="F11" s="2" t="str">
        <f>IFERROR(__xludf.DUMMYFUNCTION("""COMPUTED_VALUE"""),"DB")</f>
        <v>DB</v>
      </c>
      <c r="G11" s="2">
        <f>IFERROR(__xludf.DUMMYFUNCTION("""COMPUTED_VALUE"""),1.8994808395000005E8)</f>
        <v>189948084</v>
      </c>
      <c r="H11" s="2"/>
      <c r="I11" s="2"/>
    </row>
    <row r="12">
      <c r="A12" s="7">
        <f>IFERROR(__xludf.DUMMYFUNCTION("""COMPUTED_VALUE"""),46360.0)</f>
        <v>46360</v>
      </c>
      <c r="B12" s="2" t="str">
        <f>IFERROR(__xludf.DUMMYFUNCTION("""COMPUTED_VALUE"""),"TRSF E-BANKING DB TANGGAL :03/12")</f>
        <v>TRSF E-BANKING DB TANGGAL :03/12</v>
      </c>
      <c r="C12" s="2" t="str">
        <f>IFERROR(__xludf.DUMMYFUNCTION("""COMPUTED_VALUE"""),"0312/FTFVA/WS95031 dp - 40190")</f>
        <v>0312/FTFVA/WS95031 dp - 40190</v>
      </c>
      <c r="D12" s="2">
        <f>IFERROR(__xludf.DUMMYFUNCTION("""COMPUTED_VALUE"""),6.5E7)</f>
        <v>65000000</v>
      </c>
      <c r="E12" s="2"/>
      <c r="F12" s="2" t="str">
        <f>IFERROR(__xludf.DUMMYFUNCTION("""COMPUTED_VALUE"""),"DB")</f>
        <v>DB</v>
      </c>
      <c r="G12" s="2">
        <f>IFERROR(__xludf.DUMMYFUNCTION("""COMPUTED_VALUE"""),6.105358395000005E7)</f>
        <v>61053583.95</v>
      </c>
      <c r="H12" s="2"/>
      <c r="I12" s="2"/>
    </row>
    <row r="13">
      <c r="A13" s="7">
        <f>IFERROR(__xludf.DUMMYFUNCTION("""COMPUTED_VALUE"""),46360.0)</f>
        <v>46360</v>
      </c>
      <c r="B13" s="2" t="str">
        <f>IFERROR(__xludf.DUMMYFUNCTION("""COMPUTED_VALUE"""),"TARIKAN ATM 04/12")</f>
        <v>TARIKAN ATM 04/12</v>
      </c>
      <c r="C13" s="2" t="str">
        <f>IFERROR(__xludf.DUMMYFUNCTION("""COMPUTED_VALUE"""),"TARIKAN ATM 04/12")</f>
        <v>TARIKAN ATM 04/12</v>
      </c>
      <c r="D13" s="2">
        <f>IFERROR(__xludf.DUMMYFUNCTION("""COMPUTED_VALUE"""),100000.0)</f>
        <v>100000</v>
      </c>
      <c r="E13" s="2"/>
      <c r="F13" s="2"/>
      <c r="G13" s="2">
        <f>IFERROR(__xludf.DUMMYFUNCTION("""COMPUTED_VALUE"""),945983.9500000477)</f>
        <v>945983.95</v>
      </c>
      <c r="H13" s="2"/>
      <c r="I13" s="2"/>
    </row>
    <row r="14">
      <c r="A14" s="7">
        <f>IFERROR(__xludf.DUMMYFUNCTION("""COMPUTED_VALUE"""),46361.0)</f>
        <v>46361</v>
      </c>
      <c r="B14" s="2" t="str">
        <f>IFERROR(__xludf.DUMMYFUNCTION("""COMPUTED_VALUE"""),"TRSF E-BANKING DB TANGGAL :04/12")</f>
        <v>TRSF E-BANKING DB TANGGAL :04/12</v>
      </c>
      <c r="C14" s="2" t="str">
        <f>IFERROR(__xludf.DUMMYFUNCTION("""COMPUTED_VALUE"""),"0412/FTSCY/WS95271 Tue Dec 01 2026 15:00:00 GMT+0700 (Western Indonesia Time) TABASSAM AL HATTAK")</f>
        <v>0412/FTSCY/WS95271 Tue Dec 01 2026 15:00:00 GMT+0700 (Western Indonesia Time) TABASSAM AL HATTAK</v>
      </c>
      <c r="D14" s="2">
        <f>IFERROR(__xludf.DUMMYFUNCTION("""COMPUTED_VALUE"""),5.850511E7)</f>
        <v>58505110</v>
      </c>
      <c r="E14" s="2"/>
      <c r="F14" s="2" t="str">
        <f>IFERROR(__xludf.DUMMYFUNCTION("""COMPUTED_VALUE"""),"DB")</f>
        <v>DB</v>
      </c>
      <c r="G14" s="2">
        <f>IFERROR(__xludf.DUMMYFUNCTION("""COMPUTED_VALUE"""),1.2990773195000005E8)</f>
        <v>129907732</v>
      </c>
      <c r="H14" s="2"/>
      <c r="I14" s="2"/>
    </row>
    <row r="15">
      <c r="A15" s="7">
        <f>IFERROR(__xludf.DUMMYFUNCTION("""COMPUTED_VALUE"""),46361.0)</f>
        <v>46361</v>
      </c>
      <c r="B15" s="2" t="str">
        <f>IFERROR(__xludf.DUMMYFUNCTION("""COMPUTED_VALUE"""),"TRSF E-BANKING DB TANGGAL :04/12")</f>
        <v>TRSF E-BANKING DB TANGGAL :04/12</v>
      </c>
      <c r="C15" s="2" t="str">
        <f>IFERROR(__xludf.DUMMYFUNCTION("""COMPUTED_VALUE"""),"0412/FTSCY/WS95271 pelunasan GANESHA SATRIA NUS")</f>
        <v>0412/FTSCY/WS95271 pelunasan GANESHA SATRIA NUS</v>
      </c>
      <c r="D15" s="2">
        <f>IFERROR(__xludf.DUMMYFUNCTION("""COMPUTED_VALUE"""),9380560.0)</f>
        <v>9380560</v>
      </c>
      <c r="E15" s="2"/>
      <c r="F15" s="2" t="str">
        <f>IFERROR(__xludf.DUMMYFUNCTION("""COMPUTED_VALUE"""),"DB")</f>
        <v>DB</v>
      </c>
      <c r="G15" s="2">
        <f>IFERROR(__xludf.DUMMYFUNCTION("""COMPUTED_VALUE"""),1.2052717195000005E8)</f>
        <v>120527172</v>
      </c>
      <c r="H15" s="2"/>
      <c r="I15" s="2"/>
    </row>
    <row r="16">
      <c r="A16" s="7">
        <f>IFERROR(__xludf.DUMMYFUNCTION("""COMPUTED_VALUE"""),46361.0)</f>
        <v>46361</v>
      </c>
      <c r="B16" s="2" t="str">
        <f>IFERROR(__xludf.DUMMYFUNCTION("""COMPUTED_VALUE"""),"TRSF E-BANKING DB TANGGAL :04/12")</f>
        <v>TRSF E-BANKING DB TANGGAL :04/12</v>
      </c>
      <c r="C16" s="2" t="str">
        <f>IFERROR(__xludf.DUMMYFUNCTION("""COMPUTED_VALUE"""),"0412/FTSCY/WS95271 IMAM KUSAENI")</f>
        <v>0412/FTSCY/WS95271 IMAM KUSAENI</v>
      </c>
      <c r="D16" s="2">
        <f>IFERROR(__xludf.DUMMYFUNCTION("""COMPUTED_VALUE"""),1000000.0)</f>
        <v>1000000</v>
      </c>
      <c r="E16" s="2"/>
      <c r="F16" s="2" t="str">
        <f>IFERROR(__xludf.DUMMYFUNCTION("""COMPUTED_VALUE"""),"DB")</f>
        <v>DB</v>
      </c>
      <c r="G16" s="2">
        <f>IFERROR(__xludf.DUMMYFUNCTION("""COMPUTED_VALUE"""),1.1952717195000005E8)</f>
        <v>119527172</v>
      </c>
      <c r="H16" s="2"/>
      <c r="I16" s="2"/>
    </row>
    <row r="17">
      <c r="A17" s="7">
        <f>IFERROR(__xludf.DUMMYFUNCTION("""COMPUTED_VALUE"""),46361.0)</f>
        <v>46361</v>
      </c>
      <c r="B17" s="2" t="str">
        <f>IFERROR(__xludf.DUMMYFUNCTION("""COMPUTED_VALUE"""),"TRSF E-BANKING DB TANGGAL :04/12")</f>
        <v>TRSF E-BANKING DB TANGGAL :04/12</v>
      </c>
      <c r="C17" s="2" t="str">
        <f>IFERROR(__xludf.DUMMYFUNCTION("""COMPUTED_VALUE"""),"0412/FTSCY/WS95271 HERMAWAN")</f>
        <v>0412/FTSCY/WS95271 HERMAWAN</v>
      </c>
      <c r="D17" s="2">
        <f>IFERROR(__xludf.DUMMYFUNCTION("""COMPUTED_VALUE"""),1000000.0)</f>
        <v>1000000</v>
      </c>
      <c r="E17" s="2"/>
      <c r="F17" s="2" t="str">
        <f>IFERROR(__xludf.DUMMYFUNCTION("""COMPUTED_VALUE"""),"DB")</f>
        <v>DB</v>
      </c>
      <c r="G17" s="2">
        <f>IFERROR(__xludf.DUMMYFUNCTION("""COMPUTED_VALUE"""),1.1852717195000005E8)</f>
        <v>118527172</v>
      </c>
      <c r="H17" s="2"/>
      <c r="I17" s="2"/>
    </row>
    <row r="18">
      <c r="A18" s="7">
        <f>IFERROR(__xludf.DUMMYFUNCTION("""COMPUTED_VALUE"""),46361.0)</f>
        <v>46361</v>
      </c>
      <c r="B18" s="2" t="str">
        <f>IFERROR(__xludf.DUMMYFUNCTION("""COMPUTED_VALUE"""),"TRSF E-BANKING DB TANGGAL :04/12")</f>
        <v>TRSF E-BANKING DB TANGGAL :04/12</v>
      </c>
      <c r="C18" s="2" t="str">
        <f>IFERROR(__xludf.DUMMYFUNCTION("""COMPUTED_VALUE"""),"0412/FTSCY/WS95271 krg 5 jt MUJIANTO")</f>
        <v>0412/FTSCY/WS95271 krg 5 jt MUJIANTO</v>
      </c>
      <c r="D18" s="2">
        <f>IFERROR(__xludf.DUMMYFUNCTION("""COMPUTED_VALUE"""),2664100.0)</f>
        <v>2664100</v>
      </c>
      <c r="E18" s="2"/>
      <c r="F18" s="2" t="str">
        <f>IFERROR(__xludf.DUMMYFUNCTION("""COMPUTED_VALUE"""),"DB")</f>
        <v>DB</v>
      </c>
      <c r="G18" s="2">
        <f>IFERROR(__xludf.DUMMYFUNCTION("""COMPUTED_VALUE"""),1.1586307195000005E8)</f>
        <v>115863072</v>
      </c>
      <c r="H18" s="2">
        <f>IFERROR(__xludf.DUMMYFUNCTION("""COMPUTED_VALUE"""),1.1586307195E8)</f>
        <v>115863072</v>
      </c>
      <c r="I18" s="2"/>
    </row>
    <row r="19">
      <c r="A19" s="7">
        <f>IFERROR(__xludf.DUMMYFUNCTION("""COMPUTED_VALUE"""),46361.0)</f>
        <v>46361</v>
      </c>
      <c r="B19" s="2" t="str">
        <f>IFERROR(__xludf.DUMMYFUNCTION("""COMPUTED_VALUE"""),"TARIKAN TUNAI")</f>
        <v>TARIKAN TUNAI</v>
      </c>
      <c r="C19" s="2" t="str">
        <f>IFERROR(__xludf.DUMMYFUNCTION("""COMPUTED_VALUE"""),"TARIKAN TUNAI")</f>
        <v>TARIKAN TUNAI</v>
      </c>
      <c r="D19" s="2">
        <f>IFERROR(__xludf.DUMMYFUNCTION("""COMPUTED_VALUE"""),7.38E7)</f>
        <v>73800000</v>
      </c>
      <c r="E19" s="2"/>
      <c r="F19" s="2"/>
      <c r="G19" s="2">
        <f>IFERROR(__xludf.DUMMYFUNCTION("""COMPUTED_VALUE"""),4.206307195000005E7)</f>
        <v>42063071.95</v>
      </c>
      <c r="H19" s="2">
        <f>IFERROR(__xludf.DUMMYFUNCTION("""COMPUTED_VALUE"""),4.206307195E7)</f>
        <v>42063071.95</v>
      </c>
      <c r="I19" s="2"/>
    </row>
    <row r="20">
      <c r="A20" s="7">
        <f>IFERROR(__xludf.DUMMYFUNCTION("""COMPUTED_VALUE"""),46361.0)</f>
        <v>46361</v>
      </c>
      <c r="B20" s="2" t="str">
        <f>IFERROR(__xludf.DUMMYFUNCTION("""COMPUTED_VALUE"""),"TRSF E-BANKING DB")</f>
        <v>TRSF E-BANKING DB</v>
      </c>
      <c r="C20" s="2" t="str">
        <f>IFERROR(__xludf.DUMMYFUNCTION("""COMPUTED_VALUE"""),"0512/FTFVA/WS95031 55569/PT PRIMA FAJ malang - 40190")</f>
        <v>0512/FTFVA/WS95031 55569/PT PRIMA FAJ malang - 40190</v>
      </c>
      <c r="D20" s="2">
        <f>IFERROR(__xludf.DUMMYFUNCTION("""COMPUTED_VALUE"""),4.2E7)</f>
        <v>42000000</v>
      </c>
      <c r="E20" s="2"/>
      <c r="F20" s="2" t="str">
        <f>IFERROR(__xludf.DUMMYFUNCTION("""COMPUTED_VALUE"""),"DB")</f>
        <v>DB</v>
      </c>
      <c r="G20" s="2">
        <f>IFERROR(__xludf.DUMMYFUNCTION("""COMPUTED_VALUE"""),63071.950000047684)</f>
        <v>63071.95</v>
      </c>
      <c r="H20" s="2"/>
      <c r="I20" s="2"/>
    </row>
    <row r="21">
      <c r="A21" s="7">
        <f>IFERROR(__xludf.DUMMYFUNCTION("""COMPUTED_VALUE"""),46361.0)</f>
        <v>46361</v>
      </c>
      <c r="B21" s="2" t="str">
        <f>IFERROR(__xludf.DUMMYFUNCTION("""COMPUTED_VALUE"""),"TARIKAN ATM 05/12")</f>
        <v>TARIKAN ATM 05/12</v>
      </c>
      <c r="C21" s="2" t="str">
        <f>IFERROR(__xludf.DUMMYFUNCTION("""COMPUTED_VALUE"""),"TARIKAN ATM 05/12")</f>
        <v>TARIKAN ATM 05/12</v>
      </c>
      <c r="D21" s="2">
        <f>IFERROR(__xludf.DUMMYFUNCTION("""COMPUTED_VALUE"""),500000.0)</f>
        <v>500000</v>
      </c>
      <c r="E21" s="2"/>
      <c r="F21" s="2"/>
      <c r="G21" s="2">
        <f>IFERROR(__xludf.DUMMYFUNCTION("""COMPUTED_VALUE"""),4.6767370695000005E8)</f>
        <v>467673707</v>
      </c>
      <c r="H21" s="2"/>
      <c r="I21" s="2"/>
    </row>
    <row r="22">
      <c r="A22" s="7">
        <f>IFERROR(__xludf.DUMMYFUNCTION("""COMPUTED_VALUE"""),46361.0)</f>
        <v>46361</v>
      </c>
      <c r="B22" s="2" t="str">
        <f>IFERROR(__xludf.DUMMYFUNCTION("""COMPUTED_VALUE"""),"TRSF E-BANKING DB")</f>
        <v>TRSF E-BANKING DB</v>
      </c>
      <c r="C22" s="2" t="str">
        <f>IFERROR(__xludf.DUMMYFUNCTION("""COMPUTED_VALUE"""),"0512/FTFVA/WS95031 55569/PT PRIMA FAJ pelunasan - 40190")</f>
        <v>0512/FTFVA/WS95031 55569/PT PRIMA FAJ pelunasan - 40190</v>
      </c>
      <c r="D22" s="2">
        <f>IFERROR(__xludf.DUMMYFUNCTION("""COMPUTED_VALUE"""),2.09E7)</f>
        <v>20900000</v>
      </c>
      <c r="E22" s="2"/>
      <c r="F22" s="2" t="str">
        <f>IFERROR(__xludf.DUMMYFUNCTION("""COMPUTED_VALUE"""),"DB")</f>
        <v>DB</v>
      </c>
      <c r="G22" s="2">
        <f>IFERROR(__xludf.DUMMYFUNCTION("""COMPUTED_VALUE"""),4.4677370695000005E8)</f>
        <v>446773707</v>
      </c>
      <c r="H22" s="2"/>
      <c r="I22" s="2"/>
    </row>
    <row r="23">
      <c r="A23" s="7">
        <f>IFERROR(__xludf.DUMMYFUNCTION("""COMPUTED_VALUE"""),46361.0)</f>
        <v>46361</v>
      </c>
      <c r="B23" s="2" t="str">
        <f>IFERROR(__xludf.DUMMYFUNCTION("""COMPUTED_VALUE"""),"TRSF E-BANKING DB")</f>
        <v>TRSF E-BANKING DB</v>
      </c>
      <c r="C23" s="2" t="str">
        <f>IFERROR(__xludf.DUMMYFUNCTION("""COMPUTED_VALUE"""),"0512/FTFVA/WS95031 12608/SHOPEE - - 5335263590")</f>
        <v>0512/FTFVA/WS95031 12608/SHOPEE - - 5335263590</v>
      </c>
      <c r="D23" s="2">
        <f>IFERROR(__xludf.DUMMYFUNCTION("""COMPUTED_VALUE"""),157962.0)</f>
        <v>157962</v>
      </c>
      <c r="E23" s="2"/>
      <c r="F23" s="2" t="str">
        <f>IFERROR(__xludf.DUMMYFUNCTION("""COMPUTED_VALUE"""),"DB")</f>
        <v>DB</v>
      </c>
      <c r="G23" s="2">
        <f>IFERROR(__xludf.DUMMYFUNCTION("""COMPUTED_VALUE"""),6.7556808495E8)</f>
        <v>675568085</v>
      </c>
      <c r="H23" s="2"/>
      <c r="I23" s="2"/>
    </row>
    <row r="24">
      <c r="A24" s="7">
        <f>IFERROR(__xludf.DUMMYFUNCTION("""COMPUTED_VALUE"""),46361.0)</f>
        <v>46361</v>
      </c>
      <c r="B24" s="2" t="str">
        <f>IFERROR(__xludf.DUMMYFUNCTION("""COMPUTED_VALUE"""),"KARTU DEBIT")</f>
        <v>KARTU DEBIT</v>
      </c>
      <c r="C24" s="2" t="str">
        <f>IFERROR(__xludf.DUMMYFUNCTION("""COMPUTED_VALUE"""),"ALFAMRT Y207 BRTN 6019009510239343")</f>
        <v>ALFAMRT Y207 BRTN 6019009510239343</v>
      </c>
      <c r="D24" s="2">
        <f>IFERROR(__xludf.DUMMYFUNCTION("""COMPUTED_VALUE"""),48800.0)</f>
        <v>48800</v>
      </c>
      <c r="E24" s="2"/>
      <c r="F24" s="2"/>
      <c r="G24" s="2">
        <f>IFERROR(__xludf.DUMMYFUNCTION("""COMPUTED_VALUE"""),6.7551928495E8)</f>
        <v>675519285</v>
      </c>
      <c r="H24" s="2">
        <f>IFERROR(__xludf.DUMMYFUNCTION("""COMPUTED_VALUE"""),6.7551928495E8)</f>
        <v>675519285</v>
      </c>
      <c r="I24" s="2"/>
    </row>
    <row r="25">
      <c r="A25" s="7">
        <f>IFERROR(__xludf.DUMMYFUNCTION("""COMPUTED_VALUE"""),46362.0)</f>
        <v>46362</v>
      </c>
      <c r="B25" s="2" t="str">
        <f>IFERROR(__xludf.DUMMYFUNCTION("""COMPUTED_VALUE"""),"TRSF E-BANKING DB TANGGAL :05/12")</f>
        <v>TRSF E-BANKING DB TANGGAL :05/12</v>
      </c>
      <c r="C25" s="2" t="str">
        <f>IFERROR(__xludf.DUMMYFUNCTION("""COMPUTED_VALUE"""),"0512/FTSCY/WS95271 Thu Dec 03 2026 15:00:00 GMT+0700 (Western Indonesia Time) ANDALAN YASA MITRA")</f>
        <v>0512/FTSCY/WS95271 Thu Dec 03 2026 15:00:00 GMT+0700 (Western Indonesia Time) ANDALAN YASA MITRA</v>
      </c>
      <c r="D25" s="2">
        <f>IFERROR(__xludf.DUMMYFUNCTION("""COMPUTED_VALUE"""),5.332096E7)</f>
        <v>53320960</v>
      </c>
      <c r="E25" s="2"/>
      <c r="F25" s="2" t="str">
        <f>IFERROR(__xludf.DUMMYFUNCTION("""COMPUTED_VALUE"""),"DB")</f>
        <v>DB</v>
      </c>
      <c r="G25" s="2">
        <f>IFERROR(__xludf.DUMMYFUNCTION("""COMPUTED_VALUE"""),6.2219832495E8)</f>
        <v>622198325</v>
      </c>
      <c r="H25" s="2"/>
      <c r="I25" s="2"/>
    </row>
    <row r="26">
      <c r="A26" s="7">
        <f>IFERROR(__xludf.DUMMYFUNCTION("""COMPUTED_VALUE"""),46362.0)</f>
        <v>46362</v>
      </c>
      <c r="B26" s="2" t="str">
        <f>IFERROR(__xludf.DUMMYFUNCTION("""COMPUTED_VALUE"""),"TRSF E-BANKING DB TANGGAL :05/12")</f>
        <v>TRSF E-BANKING DB TANGGAL :05/12</v>
      </c>
      <c r="C26" s="2" t="str">
        <f>IFERROR(__xludf.DUMMYFUNCTION("""COMPUTED_VALUE"""),"0512/FTSCY/WS95271 03 dan 04 / 12 ANDALAN YASA MITRA")</f>
        <v>0512/FTSCY/WS95271 03 dan 04 / 12 ANDALAN YASA MITRA</v>
      </c>
      <c r="D26" s="2">
        <f>IFERROR(__xludf.DUMMYFUNCTION("""COMPUTED_VALUE"""),1.0243368E8)</f>
        <v>102433680</v>
      </c>
      <c r="E26" s="2"/>
      <c r="F26" s="2" t="str">
        <f>IFERROR(__xludf.DUMMYFUNCTION("""COMPUTED_VALUE"""),"DB")</f>
        <v>DB</v>
      </c>
      <c r="G26" s="2">
        <f>IFERROR(__xludf.DUMMYFUNCTION("""COMPUTED_VALUE"""),5.1976464495000005E8)</f>
        <v>519764645</v>
      </c>
      <c r="H26" s="2">
        <f>IFERROR(__xludf.DUMMYFUNCTION("""COMPUTED_VALUE"""),5.1976464495E8)</f>
        <v>519764645</v>
      </c>
      <c r="I26" s="2"/>
    </row>
    <row r="27">
      <c r="A27" s="7">
        <f>IFERROR(__xludf.DUMMYFUNCTION("""COMPUTED_VALUE"""),46362.0)</f>
        <v>46362</v>
      </c>
      <c r="B27" s="2" t="str">
        <f>IFERROR(__xludf.DUMMYFUNCTION("""COMPUTED_VALUE"""),"TRSF E-BANKING DB TANGGAL :05/12")</f>
        <v>TRSF E-BANKING DB TANGGAL :05/12</v>
      </c>
      <c r="C27" s="2" t="str">
        <f>IFERROR(__xludf.DUMMYFUNCTION("""COMPUTED_VALUE"""),"0512/FTSCY/WS95271 Thu Dec 03 2026 15:00:00 GMT+0700 (Western Indonesia Time) BROILER MAKMUR TAN")</f>
        <v>0512/FTSCY/WS95271 Thu Dec 03 2026 15:00:00 GMT+0700 (Western Indonesia Time) BROILER MAKMUR TAN</v>
      </c>
      <c r="D27" s="2">
        <f>IFERROR(__xludf.DUMMYFUNCTION("""COMPUTED_VALUE"""),5.330675E7)</f>
        <v>53306750</v>
      </c>
      <c r="E27" s="2"/>
      <c r="F27" s="2" t="str">
        <f>IFERROR(__xludf.DUMMYFUNCTION("""COMPUTED_VALUE"""),"DB")</f>
        <v>DB</v>
      </c>
      <c r="G27" s="2">
        <f>IFERROR(__xludf.DUMMYFUNCTION("""COMPUTED_VALUE"""),4.6645789495000005E8)</f>
        <v>466457895</v>
      </c>
      <c r="H27" s="2">
        <f>IFERROR(__xludf.DUMMYFUNCTION("""COMPUTED_VALUE"""),4.6645789495E8)</f>
        <v>466457895</v>
      </c>
      <c r="I27" s="2"/>
    </row>
    <row r="28">
      <c r="A28" s="7">
        <f>IFERROR(__xludf.DUMMYFUNCTION("""COMPUTED_VALUE"""),46362.0)</f>
        <v>46362</v>
      </c>
      <c r="B28" s="2" t="str">
        <f>IFERROR(__xludf.DUMMYFUNCTION("""COMPUTED_VALUE"""),"TRSF E-BANKING DB TANGGAL :05/12")</f>
        <v>TRSF E-BANKING DB TANGGAL :05/12</v>
      </c>
      <c r="C28" s="2" t="str">
        <f>IFERROR(__xludf.DUMMYFUNCTION("""COMPUTED_VALUE"""),"0512/FTSCY/WS95271 Wed Nov 04 2026 15:00:00 GMT+0700 (Western Indonesia Time) INTEGRASI TEKNOLOG")</f>
        <v>0512/FTSCY/WS95271 Wed Nov 04 2026 15:00:00 GMT+0700 (Western Indonesia Time) INTEGRASI TEKNOLOG</v>
      </c>
      <c r="D28" s="2">
        <f>IFERROR(__xludf.DUMMYFUNCTION("""COMPUTED_VALUE"""),6.18765E7)</f>
        <v>61876500</v>
      </c>
      <c r="E28" s="2"/>
      <c r="F28" s="2" t="str">
        <f>IFERROR(__xludf.DUMMYFUNCTION("""COMPUTED_VALUE"""),"DB")</f>
        <v>DB</v>
      </c>
      <c r="G28" s="2">
        <f>IFERROR(__xludf.DUMMYFUNCTION("""COMPUTED_VALUE"""),4.0458139495000005E8)</f>
        <v>404581395</v>
      </c>
      <c r="H28" s="2"/>
      <c r="I28" s="2"/>
    </row>
    <row r="29">
      <c r="A29" s="7">
        <f>IFERROR(__xludf.DUMMYFUNCTION("""COMPUTED_VALUE"""),46362.0)</f>
        <v>46362</v>
      </c>
      <c r="B29" s="2" t="str">
        <f>IFERROR(__xludf.DUMMYFUNCTION("""COMPUTED_VALUE"""),"TRSF E-BANKING DB TANGGAL :05/12")</f>
        <v>TRSF E-BANKING DB TANGGAL :05/12</v>
      </c>
      <c r="C29" s="2" t="str">
        <f>IFERROR(__xludf.DUMMYFUNCTION("""COMPUTED_VALUE"""),"0512/FTSCY/WS95271 Fri Dec 04 2026 15:00:00 GMT+0700 (Western Indonesia Time) PITIK DIGITAL INDO")</f>
        <v>0512/FTSCY/WS95271 Fri Dec 04 2026 15:00:00 GMT+0700 (Western Indonesia Time) PITIK DIGITAL INDO</v>
      </c>
      <c r="D29" s="2">
        <f>IFERROR(__xludf.DUMMYFUNCTION("""COMPUTED_VALUE"""),2.8152E7)</f>
        <v>28152000</v>
      </c>
      <c r="E29" s="2"/>
      <c r="F29" s="2" t="str">
        <f>IFERROR(__xludf.DUMMYFUNCTION("""COMPUTED_VALUE"""),"DB")</f>
        <v>DB</v>
      </c>
      <c r="G29" s="2">
        <f>IFERROR(__xludf.DUMMYFUNCTION("""COMPUTED_VALUE"""),3.7642939495000005E8)</f>
        <v>376429395</v>
      </c>
      <c r="H29" s="2"/>
      <c r="I29" s="2"/>
    </row>
    <row r="30">
      <c r="A30" s="7">
        <f>IFERROR(__xludf.DUMMYFUNCTION("""COMPUTED_VALUE"""),46362.0)</f>
        <v>46362</v>
      </c>
      <c r="B30" s="2" t="str">
        <f>IFERROR(__xludf.DUMMYFUNCTION("""COMPUTED_VALUE"""),"TRSF E-BANKING DB TANGGAL :05/12")</f>
        <v>TRSF E-BANKING DB TANGGAL :05/12</v>
      </c>
      <c r="C30" s="2" t="str">
        <f>IFERROR(__xludf.DUMMYFUNCTION("""COMPUTED_VALUE"""),"0512/FTSCY/WS95031 pelunasan PITIK DIGITAL INDO")</f>
        <v>0512/FTSCY/WS95031 pelunasan PITIK DIGITAL INDO</v>
      </c>
      <c r="D30" s="2">
        <f>IFERROR(__xludf.DUMMYFUNCTION("""COMPUTED_VALUE"""),8.0E7)</f>
        <v>80000000</v>
      </c>
      <c r="E30" s="2"/>
      <c r="F30" s="2" t="str">
        <f>IFERROR(__xludf.DUMMYFUNCTION("""COMPUTED_VALUE"""),"DB")</f>
        <v>DB</v>
      </c>
      <c r="G30" s="2">
        <f>IFERROR(__xludf.DUMMYFUNCTION("""COMPUTED_VALUE"""),2.9642939495000005E8)</f>
        <v>296429395</v>
      </c>
      <c r="H30" s="2"/>
      <c r="I30" s="2"/>
    </row>
    <row r="31">
      <c r="A31" s="7">
        <f>IFERROR(__xludf.DUMMYFUNCTION("""COMPUTED_VALUE"""),46362.0)</f>
        <v>46362</v>
      </c>
      <c r="B31" s="2" t="str">
        <f>IFERROR(__xludf.DUMMYFUNCTION("""COMPUTED_VALUE"""),"TRSF E-BANKING DB TANGGAL :05/12")</f>
        <v>TRSF E-BANKING DB TANGGAL :05/12</v>
      </c>
      <c r="C31" s="2" t="str">
        <f>IFERROR(__xludf.DUMMYFUNCTION("""COMPUTED_VALUE"""),"0512/FTFVA/WS95031 titip - 200043")</f>
        <v>0512/FTFVA/WS95031 titip - 200043</v>
      </c>
      <c r="D31" s="2">
        <f>IFERROR(__xludf.DUMMYFUNCTION("""COMPUTED_VALUE"""),4.0E7)</f>
        <v>40000000</v>
      </c>
      <c r="E31" s="2"/>
      <c r="F31" s="2" t="str">
        <f>IFERROR(__xludf.DUMMYFUNCTION("""COMPUTED_VALUE"""),"DB")</f>
        <v>DB</v>
      </c>
      <c r="G31" s="2">
        <f>IFERROR(__xludf.DUMMYFUNCTION("""COMPUTED_VALUE"""),2.5642939495000005E8)</f>
        <v>256429395</v>
      </c>
      <c r="H31" s="2"/>
      <c r="I31" s="2"/>
    </row>
    <row r="32">
      <c r="A32" s="7">
        <f>IFERROR(__xludf.DUMMYFUNCTION("""COMPUTED_VALUE"""),46362.0)</f>
        <v>46362</v>
      </c>
      <c r="B32" s="2" t="str">
        <f>IFERROR(__xludf.DUMMYFUNCTION("""COMPUTED_VALUE"""),"TRSF E-BANKING DB TANGGAL :05/12")</f>
        <v>TRSF E-BANKING DB TANGGAL :05/12</v>
      </c>
      <c r="C32" s="2" t="str">
        <f>IFERROR(__xludf.DUMMYFUNCTION("""COMPUTED_VALUE"""),"0512/FTSCY/WS95031 EKO SETIYAWAN")</f>
        <v>0512/FTSCY/WS95031 EKO SETIYAWAN</v>
      </c>
      <c r="D32" s="2">
        <f>IFERROR(__xludf.DUMMYFUNCTION("""COMPUTED_VALUE"""),2.0E7)</f>
        <v>20000000</v>
      </c>
      <c r="E32" s="2"/>
      <c r="F32" s="2" t="str">
        <f>IFERROR(__xludf.DUMMYFUNCTION("""COMPUTED_VALUE"""),"DB")</f>
        <v>DB</v>
      </c>
      <c r="G32" s="2">
        <f>IFERROR(__xludf.DUMMYFUNCTION("""COMPUTED_VALUE"""),2.3642939495000005E8)</f>
        <v>236429395</v>
      </c>
      <c r="H32" s="2"/>
      <c r="I32" s="2"/>
    </row>
    <row r="33">
      <c r="A33" s="7">
        <f>IFERROR(__xludf.DUMMYFUNCTION("""COMPUTED_VALUE"""),46362.0)</f>
        <v>46362</v>
      </c>
      <c r="B33" s="2" t="str">
        <f>IFERROR(__xludf.DUMMYFUNCTION("""COMPUTED_VALUE"""),"TRSF E-BANKING DB TANGGAL :05/12")</f>
        <v>TRSF E-BANKING DB TANGGAL :05/12</v>
      </c>
      <c r="C33" s="2" t="str">
        <f>IFERROR(__xludf.DUMMYFUNCTION("""COMPUTED_VALUE"""),"0512/FTSCY/WS95011 Fri Dec 04 2026 15:00:00 GMT+0700 (Western Indonesia Time) BROILER MAKMUR TAN")</f>
        <v>0512/FTSCY/WS95011 Fri Dec 04 2026 15:00:00 GMT+0700 (Western Indonesia Time) BROILER MAKMUR TAN</v>
      </c>
      <c r="D33" s="2">
        <f>IFERROR(__xludf.DUMMYFUNCTION("""COMPUTED_VALUE"""),5.264E7)</f>
        <v>52640000</v>
      </c>
      <c r="E33" s="2"/>
      <c r="F33" s="2" t="str">
        <f>IFERROR(__xludf.DUMMYFUNCTION("""COMPUTED_VALUE"""),"DB")</f>
        <v>DB</v>
      </c>
      <c r="G33" s="2">
        <f>IFERROR(__xludf.DUMMYFUNCTION("""COMPUTED_VALUE"""),1.8378939495000005E8)</f>
        <v>183789395</v>
      </c>
      <c r="H33" s="2"/>
      <c r="I33" s="2"/>
    </row>
    <row r="34">
      <c r="A34" s="7">
        <f>IFERROR(__xludf.DUMMYFUNCTION("""COMPUTED_VALUE"""),46362.0)</f>
        <v>46362</v>
      </c>
      <c r="B34" s="2" t="str">
        <f>IFERROR(__xludf.DUMMYFUNCTION("""COMPUTED_VALUE"""),"TRSF E-BANKING DB TANGGAL :05/12")</f>
        <v>TRSF E-BANKING DB TANGGAL :05/12</v>
      </c>
      <c r="C34" s="2" t="str">
        <f>IFERROR(__xludf.DUMMYFUNCTION("""COMPUTED_VALUE"""),"0512/FTSCY/WS95011 Fri Dec 04 2026 15:00:00 GMT+0700 (Western Indonesia Time) RUKUN MITRA BERSAM")</f>
        <v>0512/FTSCY/WS95011 Fri Dec 04 2026 15:00:00 GMT+0700 (Western Indonesia Time) RUKUN MITRA BERSAM</v>
      </c>
      <c r="D34" s="2">
        <f>IFERROR(__xludf.DUMMYFUNCTION("""COMPUTED_VALUE"""),4.8586E7)</f>
        <v>48586000</v>
      </c>
      <c r="E34" s="2"/>
      <c r="F34" s="2" t="str">
        <f>IFERROR(__xludf.DUMMYFUNCTION("""COMPUTED_VALUE"""),"DB")</f>
        <v>DB</v>
      </c>
      <c r="G34" s="2">
        <f>IFERROR(__xludf.DUMMYFUNCTION("""COMPUTED_VALUE"""),1.3520339495000005E8)</f>
        <v>135203395</v>
      </c>
      <c r="H34" s="2"/>
      <c r="I34" s="2"/>
    </row>
    <row r="35">
      <c r="A35" s="7">
        <f>IFERROR(__xludf.DUMMYFUNCTION("""COMPUTED_VALUE"""),46362.0)</f>
        <v>46362</v>
      </c>
      <c r="B35" s="2" t="str">
        <f>IFERROR(__xludf.DUMMYFUNCTION("""COMPUTED_VALUE"""),"TRSF E-BANKING DB TANGGAL :05/12")</f>
        <v>TRSF E-BANKING DB TANGGAL :05/12</v>
      </c>
      <c r="C35" s="2" t="str">
        <f>IFERROR(__xludf.DUMMYFUNCTION("""COMPUTED_VALUE"""),"0512/FTFVA/WS95031 titip - 40190")</f>
        <v>0512/FTFVA/WS95031 titip - 40190</v>
      </c>
      <c r="D35" s="2">
        <f>IFERROR(__xludf.DUMMYFUNCTION("""COMPUTED_VALUE"""),8.0E7)</f>
        <v>80000000</v>
      </c>
      <c r="E35" s="2"/>
      <c r="F35" s="2" t="str">
        <f>IFERROR(__xludf.DUMMYFUNCTION("""COMPUTED_VALUE"""),"DB")</f>
        <v>DB</v>
      </c>
      <c r="G35" s="2">
        <f>IFERROR(__xludf.DUMMYFUNCTION("""COMPUTED_VALUE"""),5.520339495000005E7)</f>
        <v>55203394.95</v>
      </c>
      <c r="H35" s="2"/>
      <c r="I35" s="2"/>
    </row>
    <row r="36">
      <c r="A36" s="7">
        <f>IFERROR(__xludf.DUMMYFUNCTION("""COMPUTED_VALUE"""),46362.0)</f>
        <v>46362</v>
      </c>
      <c r="B36" s="2" t="str">
        <f>IFERROR(__xludf.DUMMYFUNCTION("""COMPUTED_VALUE"""),"TRSF E-BANKING DB")</f>
        <v>TRSF E-BANKING DB</v>
      </c>
      <c r="C36" s="2" t="str">
        <f>IFERROR(__xludf.DUMMYFUNCTION("""COMPUTED_VALUE"""),"0612/FTSCY/WS95031 2200000.00 krg 5 jt MUJIANTO")</f>
        <v>0612/FTSCY/WS95031 2200000.00 krg 5 jt MUJIANTO</v>
      </c>
      <c r="D36" s="2">
        <f>IFERROR(__xludf.DUMMYFUNCTION("""COMPUTED_VALUE"""),2200000.0)</f>
        <v>2200000</v>
      </c>
      <c r="E36" s="2"/>
      <c r="F36" s="2" t="str">
        <f>IFERROR(__xludf.DUMMYFUNCTION("""COMPUTED_VALUE"""),"DB")</f>
        <v>DB</v>
      </c>
      <c r="G36" s="2">
        <f>IFERROR(__xludf.DUMMYFUNCTION("""COMPUTED_VALUE"""),5.300339495000005E7)</f>
        <v>53003394.95</v>
      </c>
      <c r="H36" s="2"/>
      <c r="I36" s="2"/>
    </row>
    <row r="37">
      <c r="A37" s="7">
        <f>IFERROR(__xludf.DUMMYFUNCTION("""COMPUTED_VALUE"""),46362.0)</f>
        <v>46362</v>
      </c>
      <c r="B37" s="2" t="str">
        <f>IFERROR(__xludf.DUMMYFUNCTION("""COMPUTED_VALUE"""),"TRSF E-BANKING DB")</f>
        <v>TRSF E-BANKING DB</v>
      </c>
      <c r="C37" s="2" t="str">
        <f>IFERROR(__xludf.DUMMYFUNCTION("""COMPUTED_VALUE"""),"0612/FTFVA/WS95031 67847/UNGGAS MANDI pelunasan - 200043")</f>
        <v>0612/FTFVA/WS95031 67847/UNGGAS MANDI pelunasan - 200043</v>
      </c>
      <c r="D37" s="2">
        <f>IFERROR(__xludf.DUMMYFUNCTION("""COMPUTED_VALUE"""),1.34E7)</f>
        <v>13400000</v>
      </c>
      <c r="E37" s="2"/>
      <c r="F37" s="2" t="str">
        <f>IFERROR(__xludf.DUMMYFUNCTION("""COMPUTED_VALUE"""),"DB")</f>
        <v>DB</v>
      </c>
      <c r="G37" s="2">
        <f>IFERROR(__xludf.DUMMYFUNCTION("""COMPUTED_VALUE"""),3.960339495000005E7)</f>
        <v>39603394.95</v>
      </c>
      <c r="H37" s="2"/>
      <c r="I37" s="2"/>
    </row>
    <row r="38">
      <c r="A38" s="7">
        <f>IFERROR(__xludf.DUMMYFUNCTION("""COMPUTED_VALUE"""),46362.0)</f>
        <v>46362</v>
      </c>
      <c r="B38" s="2" t="str">
        <f>IFERROR(__xludf.DUMMYFUNCTION("""COMPUTED_VALUE"""),"TARIKAN ATM 06/12")</f>
        <v>TARIKAN ATM 06/12</v>
      </c>
      <c r="C38" s="2" t="str">
        <f>IFERROR(__xludf.DUMMYFUNCTION("""COMPUTED_VALUE"""),"TARIKAN ATM 06/12")</f>
        <v>TARIKAN ATM 06/12</v>
      </c>
      <c r="D38" s="2">
        <f>IFERROR(__xludf.DUMMYFUNCTION("""COMPUTED_VALUE"""),100000.0)</f>
        <v>100000</v>
      </c>
      <c r="E38" s="2"/>
      <c r="F38" s="2"/>
      <c r="G38" s="2">
        <f>IFERROR(__xludf.DUMMYFUNCTION("""COMPUTED_VALUE"""),8.9804757195E8)</f>
        <v>898047572</v>
      </c>
      <c r="H38" s="2"/>
      <c r="I38" s="2"/>
    </row>
    <row r="39">
      <c r="A39" s="7">
        <f>IFERROR(__xludf.DUMMYFUNCTION("""COMPUTED_VALUE"""),46362.0)</f>
        <v>46362</v>
      </c>
      <c r="B39" s="2" t="str">
        <f>IFERROR(__xludf.DUMMYFUNCTION("""COMPUTED_VALUE"""),"TRSF E-BANKING DB")</f>
        <v>TRSF E-BANKING DB</v>
      </c>
      <c r="C39" s="2" t="str">
        <f>IFERROR(__xludf.DUMMYFUNCTION("""COMPUTED_VALUE"""),"0612/FTSCY/WS95031 40000000.00 RUKUN MITRA BERSAM")</f>
        <v>0612/FTSCY/WS95031 40000000.00 RUKUN MITRA BERSAM</v>
      </c>
      <c r="D39" s="2">
        <f>IFERROR(__xludf.DUMMYFUNCTION("""COMPUTED_VALUE"""),4.0E7)</f>
        <v>40000000</v>
      </c>
      <c r="E39" s="2"/>
      <c r="F39" s="2" t="str">
        <f>IFERROR(__xludf.DUMMYFUNCTION("""COMPUTED_VALUE"""),"DB")</f>
        <v>DB</v>
      </c>
      <c r="G39" s="2">
        <f>IFERROR(__xludf.DUMMYFUNCTION("""COMPUTED_VALUE"""),9.2564757195E8)</f>
        <v>925647572</v>
      </c>
      <c r="H39" s="2"/>
      <c r="I39" s="2"/>
    </row>
    <row r="40">
      <c r="A40" s="7">
        <f>IFERROR(__xludf.DUMMYFUNCTION("""COMPUTED_VALUE"""),46362.0)</f>
        <v>46362</v>
      </c>
      <c r="B40" s="2" t="str">
        <f>IFERROR(__xludf.DUMMYFUNCTION("""COMPUTED_VALUE"""),"TRSF E-BANKING DB")</f>
        <v>TRSF E-BANKING DB</v>
      </c>
      <c r="C40" s="2" t="str">
        <f>IFERROR(__xludf.DUMMYFUNCTION("""COMPUTED_VALUE"""),"0612/FTFVA/WS95031 55569/PT PRIMA FAJ pelunasan - 40190")</f>
        <v>0612/FTFVA/WS95031 55569/PT PRIMA FAJ pelunasan - 40190</v>
      </c>
      <c r="D40" s="2">
        <f>IFERROR(__xludf.DUMMYFUNCTION("""COMPUTED_VALUE"""),2.742478E7)</f>
        <v>27424780</v>
      </c>
      <c r="E40" s="2"/>
      <c r="F40" s="2" t="str">
        <f>IFERROR(__xludf.DUMMYFUNCTION("""COMPUTED_VALUE"""),"DB")</f>
        <v>DB</v>
      </c>
      <c r="G40" s="2">
        <f>IFERROR(__xludf.DUMMYFUNCTION("""COMPUTED_VALUE"""),9.3322279195E8)</f>
        <v>933222792</v>
      </c>
      <c r="H40" s="2"/>
      <c r="I40" s="2"/>
    </row>
    <row r="41">
      <c r="A41" s="7">
        <f>IFERROR(__xludf.DUMMYFUNCTION("""COMPUTED_VALUE"""),46362.0)</f>
        <v>46362</v>
      </c>
      <c r="B41" s="2" t="str">
        <f>IFERROR(__xludf.DUMMYFUNCTION("""COMPUTED_VALUE"""),"TRSF E-BANKING DB")</f>
        <v>TRSF E-BANKING DB</v>
      </c>
      <c r="C41" s="2" t="str">
        <f>IFERROR(__xludf.DUMMYFUNCTION("""COMPUTED_VALUE"""),"0612/FTSCY/WS95271 50053600.00 Sat Dec 05 2026 15:00:00 GMT+0700 (Western Indonesia Time) BRANTAS ABADI SENT")</f>
        <v>0612/FTSCY/WS95271 50053600.00 Sat Dec 05 2026 15:00:00 GMT+0700 (Western Indonesia Time) BRANTAS ABADI SENT</v>
      </c>
      <c r="D41" s="2">
        <f>IFERROR(__xludf.DUMMYFUNCTION("""COMPUTED_VALUE"""),5.00536E7)</f>
        <v>50053600</v>
      </c>
      <c r="E41" s="2"/>
      <c r="F41" s="2" t="str">
        <f>IFERROR(__xludf.DUMMYFUNCTION("""COMPUTED_VALUE"""),"DB")</f>
        <v>DB</v>
      </c>
      <c r="G41" s="2">
        <f>IFERROR(__xludf.DUMMYFUNCTION("""COMPUTED_VALUE"""),8.8316919195E8)</f>
        <v>883169192</v>
      </c>
      <c r="H41" s="2">
        <f>IFERROR(__xludf.DUMMYFUNCTION("""COMPUTED_VALUE"""),8.8316919195E8)</f>
        <v>883169192</v>
      </c>
      <c r="I41" s="2"/>
    </row>
    <row r="42">
      <c r="A42" s="7">
        <f>IFERROR(__xludf.DUMMYFUNCTION("""COMPUTED_VALUE"""),46362.0)</f>
        <v>46362</v>
      </c>
      <c r="B42" s="2" t="str">
        <f>IFERROR(__xludf.DUMMYFUNCTION("""COMPUTED_VALUE"""),"TRSF E-BANKING DB")</f>
        <v>TRSF E-BANKING DB</v>
      </c>
      <c r="C42" s="2" t="str">
        <f>IFERROR(__xludf.DUMMYFUNCTION("""COMPUTED_VALUE"""),"0612/FTSCY/WS95271 57054030.00 Sat Dec 05 2026 15:00:00 GMT+0700 (Western Indonesia Time) PITIK DIGITAL INDO")</f>
        <v>0612/FTSCY/WS95271 57054030.00 Sat Dec 05 2026 15:00:00 GMT+0700 (Western Indonesia Time) PITIK DIGITAL INDO</v>
      </c>
      <c r="D42" s="2">
        <f>IFERROR(__xludf.DUMMYFUNCTION("""COMPUTED_VALUE"""),5.705403E7)</f>
        <v>57054030</v>
      </c>
      <c r="E42" s="2"/>
      <c r="F42" s="2" t="str">
        <f>IFERROR(__xludf.DUMMYFUNCTION("""COMPUTED_VALUE"""),"DB")</f>
        <v>DB</v>
      </c>
      <c r="G42" s="2">
        <f>IFERROR(__xludf.DUMMYFUNCTION("""COMPUTED_VALUE"""),8.2611516195E8)</f>
        <v>826115162</v>
      </c>
      <c r="H42" s="2">
        <f>IFERROR(__xludf.DUMMYFUNCTION("""COMPUTED_VALUE"""),8.2611516195E8)</f>
        <v>826115162</v>
      </c>
      <c r="I42" s="2"/>
    </row>
    <row r="43">
      <c r="A43" s="7">
        <f>IFERROR(__xludf.DUMMYFUNCTION("""COMPUTED_VALUE"""),46362.0)</f>
        <v>46362</v>
      </c>
      <c r="B43" s="2" t="str">
        <f>IFERROR(__xludf.DUMMYFUNCTION("""COMPUTED_VALUE"""),"TRSF E-BANKING DB")</f>
        <v>TRSF E-BANKING DB</v>
      </c>
      <c r="C43" s="2" t="str">
        <f>IFERROR(__xludf.DUMMYFUNCTION("""COMPUTED_VALUE"""),"0612/FTSCY/WS95271 99605200.00 Sat Dec 05 2026 15:00:00 GMT+0700 (Western Indonesia Time) BINTANG TAMA SANTO")</f>
        <v>0612/FTSCY/WS95271 99605200.00 Sat Dec 05 2026 15:00:00 GMT+0700 (Western Indonesia Time) BINTANG TAMA SANTO</v>
      </c>
      <c r="D43" s="2">
        <f>IFERROR(__xludf.DUMMYFUNCTION("""COMPUTED_VALUE"""),9.96052E7)</f>
        <v>99605200</v>
      </c>
      <c r="E43" s="2"/>
      <c r="F43" s="2" t="str">
        <f>IFERROR(__xludf.DUMMYFUNCTION("""COMPUTED_VALUE"""),"DB")</f>
        <v>DB</v>
      </c>
      <c r="G43" s="2">
        <f>IFERROR(__xludf.DUMMYFUNCTION("""COMPUTED_VALUE"""),7.2650996195E8)</f>
        <v>726509962</v>
      </c>
      <c r="H43" s="2"/>
      <c r="I43" s="2"/>
    </row>
    <row r="44">
      <c r="A44" s="7">
        <f>IFERROR(__xludf.DUMMYFUNCTION("""COMPUTED_VALUE"""),46362.0)</f>
        <v>46362</v>
      </c>
      <c r="B44" s="2" t="str">
        <f>IFERROR(__xludf.DUMMYFUNCTION("""COMPUTED_VALUE"""),"TRSF E-BANKING DB")</f>
        <v>TRSF E-BANKING DB</v>
      </c>
      <c r="C44" s="2" t="str">
        <f>IFERROR(__xludf.DUMMYFUNCTION("""COMPUTED_VALUE"""),"0612/FTSCY/WS95271 56059920.00 Sat Dec 05 2026 15:00:00 GMT+0700 (Western Indonesia Time) GANESHA SATRIA NUS")</f>
        <v>0612/FTSCY/WS95271 56059920.00 Sat Dec 05 2026 15:00:00 GMT+0700 (Western Indonesia Time) GANESHA SATRIA NUS</v>
      </c>
      <c r="D44" s="2">
        <f>IFERROR(__xludf.DUMMYFUNCTION("""COMPUTED_VALUE"""),5.605992E7)</f>
        <v>56059920</v>
      </c>
      <c r="E44" s="2"/>
      <c r="F44" s="2" t="str">
        <f>IFERROR(__xludf.DUMMYFUNCTION("""COMPUTED_VALUE"""),"DB")</f>
        <v>DB</v>
      </c>
      <c r="G44" s="2">
        <f>IFERROR(__xludf.DUMMYFUNCTION("""COMPUTED_VALUE"""),6.7045004195E8)</f>
        <v>670450042</v>
      </c>
      <c r="H44" s="2"/>
      <c r="I44" s="2"/>
    </row>
    <row r="45">
      <c r="A45" s="7">
        <f>IFERROR(__xludf.DUMMYFUNCTION("""COMPUTED_VALUE"""),46362.0)</f>
        <v>46362</v>
      </c>
      <c r="B45" s="2" t="str">
        <f>IFERROR(__xludf.DUMMYFUNCTION("""COMPUTED_VALUE"""),"TRSF E-BANKING DB")</f>
        <v>TRSF E-BANKING DB</v>
      </c>
      <c r="C45" s="2" t="str">
        <f>IFERROR(__xludf.DUMMYFUNCTION("""COMPUTED_VALUE"""),"0612/FTSCY/WS95271 30943600.00 Sat Dec 05 2026 15:00:00 GMT+0700 (Western Indonesia Time) ANUGERAH KARTIKA A")</f>
        <v>0612/FTSCY/WS95271 30943600.00 Sat Dec 05 2026 15:00:00 GMT+0700 (Western Indonesia Time) ANUGERAH KARTIKA A</v>
      </c>
      <c r="D45" s="2">
        <f>IFERROR(__xludf.DUMMYFUNCTION("""COMPUTED_VALUE"""),3.09436E7)</f>
        <v>30943600</v>
      </c>
      <c r="E45" s="2"/>
      <c r="F45" s="2" t="str">
        <f>IFERROR(__xludf.DUMMYFUNCTION("""COMPUTED_VALUE"""),"DB")</f>
        <v>DB</v>
      </c>
      <c r="G45" s="2">
        <f>IFERROR(__xludf.DUMMYFUNCTION("""COMPUTED_VALUE"""),6.3950644195E8)</f>
        <v>639506442</v>
      </c>
      <c r="H45" s="2"/>
      <c r="I45" s="2"/>
    </row>
    <row r="46">
      <c r="A46" s="7">
        <f>IFERROR(__xludf.DUMMYFUNCTION("""COMPUTED_VALUE"""),46362.0)</f>
        <v>46362</v>
      </c>
      <c r="B46" s="2" t="str">
        <f>IFERROR(__xludf.DUMMYFUNCTION("""COMPUTED_VALUE"""),"TRSF E-BANKING DB")</f>
        <v>TRSF E-BANKING DB</v>
      </c>
      <c r="C46" s="2" t="str">
        <f>IFERROR(__xludf.DUMMYFUNCTION("""COMPUTED_VALUE"""),"0612/FTSCY/WS95031 20000000.00 pelunasan ANUGERAH KARTIKA A")</f>
        <v>0612/FTSCY/WS95031 20000000.00 pelunasan ANUGERAH KARTIKA A</v>
      </c>
      <c r="D46" s="2">
        <f>IFERROR(__xludf.DUMMYFUNCTION("""COMPUTED_VALUE"""),2.0E7)</f>
        <v>20000000</v>
      </c>
      <c r="E46" s="2"/>
      <c r="F46" s="2" t="str">
        <f>IFERROR(__xludf.DUMMYFUNCTION("""COMPUTED_VALUE"""),"DB")</f>
        <v>DB</v>
      </c>
      <c r="G46" s="2">
        <f>IFERROR(__xludf.DUMMYFUNCTION("""COMPUTED_VALUE"""),6.1950644195E8)</f>
        <v>619506442</v>
      </c>
      <c r="H46" s="2"/>
      <c r="I46" s="2"/>
    </row>
    <row r="47">
      <c r="A47" s="7">
        <f>IFERROR(__xludf.DUMMYFUNCTION("""COMPUTED_VALUE"""),46362.0)</f>
        <v>46362</v>
      </c>
      <c r="B47" s="2" t="str">
        <f>IFERROR(__xludf.DUMMYFUNCTION("""COMPUTED_VALUE"""),"TRSF E-BANKING DB")</f>
        <v>TRSF E-BANKING DB</v>
      </c>
      <c r="C47" s="2" t="str">
        <f>IFERROR(__xludf.DUMMYFUNCTION("""COMPUTED_VALUE"""),"0612/FTSCY/WS95011 118188000.00 Sat Dec 05 2026 15:00:00 GMT+0700 (Western Indonesia Time) SUPER UNGGAS JAYA")</f>
        <v>0612/FTSCY/WS95011 118188000.00 Sat Dec 05 2026 15:00:00 GMT+0700 (Western Indonesia Time) SUPER UNGGAS JAYA</v>
      </c>
      <c r="D47" s="2">
        <f>IFERROR(__xludf.DUMMYFUNCTION("""COMPUTED_VALUE"""),1.18188E8)</f>
        <v>118188000</v>
      </c>
      <c r="E47" s="2"/>
      <c r="F47" s="2" t="str">
        <f>IFERROR(__xludf.DUMMYFUNCTION("""COMPUTED_VALUE"""),"DB")</f>
        <v>DB</v>
      </c>
      <c r="G47" s="2">
        <f>IFERROR(__xludf.DUMMYFUNCTION("""COMPUTED_VALUE"""),5.0131844195000005E8)</f>
        <v>501318442</v>
      </c>
      <c r="H47" s="2"/>
      <c r="I47" s="2"/>
    </row>
    <row r="48">
      <c r="A48" s="7">
        <f>IFERROR(__xludf.DUMMYFUNCTION("""COMPUTED_VALUE"""),46362.0)</f>
        <v>46362</v>
      </c>
      <c r="B48" s="2" t="str">
        <f>IFERROR(__xludf.DUMMYFUNCTION("""COMPUTED_VALUE"""),"TRSF E-BANKING DB")</f>
        <v>TRSF E-BANKING DB</v>
      </c>
      <c r="C48" s="2" t="str">
        <f>IFERROR(__xludf.DUMMYFUNCTION("""COMPUTED_VALUE"""),"0612/FTSCY/WS95011 120041250.00 Sat Dec 05 2026 15:00:00 GMT+0700 (Western Indonesia Time) ANUGERAH KARTIKA A")</f>
        <v>0612/FTSCY/WS95011 120041250.00 Sat Dec 05 2026 15:00:00 GMT+0700 (Western Indonesia Time) ANUGERAH KARTIKA A</v>
      </c>
      <c r="D48" s="2">
        <f>IFERROR(__xludf.DUMMYFUNCTION("""COMPUTED_VALUE"""),1.2004125E8)</f>
        <v>120041250</v>
      </c>
      <c r="E48" s="2"/>
      <c r="F48" s="2" t="str">
        <f>IFERROR(__xludf.DUMMYFUNCTION("""COMPUTED_VALUE"""),"DB")</f>
        <v>DB</v>
      </c>
      <c r="G48" s="2">
        <f>IFERROR(__xludf.DUMMYFUNCTION("""COMPUTED_VALUE"""),3.8127719195000005E8)</f>
        <v>381277192</v>
      </c>
      <c r="H48" s="2"/>
      <c r="I48" s="2"/>
    </row>
    <row r="49">
      <c r="A49" s="7">
        <f>IFERROR(__xludf.DUMMYFUNCTION("""COMPUTED_VALUE"""),46362.0)</f>
        <v>46362</v>
      </c>
      <c r="B49" s="2" t="str">
        <f>IFERROR(__xludf.DUMMYFUNCTION("""COMPUTED_VALUE"""),"TRSF E-BANKING DB")</f>
        <v>TRSF E-BANKING DB</v>
      </c>
      <c r="C49" s="2" t="str">
        <f>IFERROR(__xludf.DUMMYFUNCTION("""COMPUTED_VALUE"""),"0612/FTSCY/WS95011 261311500.00 Krg 90 jt BROILER MAKMUR TAN")</f>
        <v>0612/FTSCY/WS95011 261311500.00 Krg 90 jt BROILER MAKMUR TAN</v>
      </c>
      <c r="D49" s="2">
        <f>IFERROR(__xludf.DUMMYFUNCTION("""COMPUTED_VALUE"""),2.613115E8)</f>
        <v>261311500</v>
      </c>
      <c r="E49" s="2"/>
      <c r="F49" s="2" t="str">
        <f>IFERROR(__xludf.DUMMYFUNCTION("""COMPUTED_VALUE"""),"DB")</f>
        <v>DB</v>
      </c>
      <c r="G49" s="2">
        <f>IFERROR(__xludf.DUMMYFUNCTION("""COMPUTED_VALUE"""),1.1996569195000005E8)</f>
        <v>119965692</v>
      </c>
      <c r="H49" s="2"/>
      <c r="I49" s="2"/>
    </row>
    <row r="50">
      <c r="A50" s="7">
        <f>IFERROR(__xludf.DUMMYFUNCTION("""COMPUTED_VALUE"""),46362.0)</f>
        <v>46362</v>
      </c>
      <c r="B50" s="2" t="str">
        <f>IFERROR(__xludf.DUMMYFUNCTION("""COMPUTED_VALUE"""),"TRSF E-BANKING DB")</f>
        <v>TRSF E-BANKING DB</v>
      </c>
      <c r="C50" s="2" t="str">
        <f>IFERROR(__xludf.DUMMYFUNCTION("""COMPUTED_VALUE"""),"0612/FTFVA/WS95031 67847/UNGGAS MANDI titip - 200043")</f>
        <v>0612/FTFVA/WS95031 67847/UNGGAS MANDI titip - 200043</v>
      </c>
      <c r="D50" s="2">
        <f>IFERROR(__xludf.DUMMYFUNCTION("""COMPUTED_VALUE"""),5.0E7)</f>
        <v>50000000</v>
      </c>
      <c r="E50" s="2"/>
      <c r="F50" s="2" t="str">
        <f>IFERROR(__xludf.DUMMYFUNCTION("""COMPUTED_VALUE"""),"DB")</f>
        <v>DB</v>
      </c>
      <c r="G50" s="2">
        <f>IFERROR(__xludf.DUMMYFUNCTION("""COMPUTED_VALUE"""),6.996569195000005E7)</f>
        <v>69965691.95</v>
      </c>
      <c r="H50" s="2">
        <f>IFERROR(__xludf.DUMMYFUNCTION("""COMPUTED_VALUE"""),6.996569195E7)</f>
        <v>69965691.95</v>
      </c>
      <c r="I50" s="2"/>
    </row>
    <row r="51">
      <c r="A51" s="7">
        <f>IFERROR(__xludf.DUMMYFUNCTION("""COMPUTED_VALUE"""),46363.0)</f>
        <v>46363</v>
      </c>
      <c r="B51" s="2" t="str">
        <f>IFERROR(__xludf.DUMMYFUNCTION("""COMPUTED_VALUE"""),"TRSF E-BANKING DB")</f>
        <v>TRSF E-BANKING DB</v>
      </c>
      <c r="C51" s="2" t="str">
        <f>IFERROR(__xludf.DUMMYFUNCTION("""COMPUTED_VALUE"""),"0712/FTSCY/WS95271 80000000.00 titip PRIMA JAYA BERSATU")</f>
        <v>0712/FTSCY/WS95271 80000000.00 titip PRIMA JAYA BERSATU</v>
      </c>
      <c r="D51" s="2">
        <f>IFERROR(__xludf.DUMMYFUNCTION("""COMPUTED_VALUE"""),8.0E7)</f>
        <v>80000000</v>
      </c>
      <c r="E51" s="2"/>
      <c r="F51" s="2" t="str">
        <f>IFERROR(__xludf.DUMMYFUNCTION("""COMPUTED_VALUE"""),"DB")</f>
        <v>DB</v>
      </c>
      <c r="G51" s="2">
        <f>IFERROR(__xludf.DUMMYFUNCTION("""COMPUTED_VALUE"""),2.5275249195000005E8)</f>
        <v>252752492</v>
      </c>
      <c r="H51" s="2">
        <f>IFERROR(__xludf.DUMMYFUNCTION("""COMPUTED_VALUE"""),2.5275249195E8)</f>
        <v>252752492</v>
      </c>
      <c r="I51" s="2"/>
    </row>
    <row r="52">
      <c r="A52" s="7">
        <f>IFERROR(__xludf.DUMMYFUNCTION("""COMPUTED_VALUE"""),46363.0)</f>
        <v>46363</v>
      </c>
      <c r="B52" s="2" t="str">
        <f>IFERROR(__xludf.DUMMYFUNCTION("""COMPUTED_VALUE"""),"TRSF E-BANKING DB")</f>
        <v>TRSF E-BANKING DB</v>
      </c>
      <c r="C52" s="2" t="str">
        <f>IFERROR(__xludf.DUMMYFUNCTION("""COMPUTED_VALUE"""),"0712/FTSCY/WS95271 90000000.00 pelunasan BROILER MAKMUR TAN")</f>
        <v>0712/FTSCY/WS95271 90000000.00 pelunasan BROILER MAKMUR TAN</v>
      </c>
      <c r="D52" s="2">
        <f>IFERROR(__xludf.DUMMYFUNCTION("""COMPUTED_VALUE"""),9.0E7)</f>
        <v>90000000</v>
      </c>
      <c r="E52" s="2"/>
      <c r="F52" s="2" t="str">
        <f>IFERROR(__xludf.DUMMYFUNCTION("""COMPUTED_VALUE"""),"DB")</f>
        <v>DB</v>
      </c>
      <c r="G52" s="2">
        <f>IFERROR(__xludf.DUMMYFUNCTION("""COMPUTED_VALUE"""),1.6275249195000005E8)</f>
        <v>162752492</v>
      </c>
      <c r="H52" s="2">
        <f>IFERROR(__xludf.DUMMYFUNCTION("""COMPUTED_VALUE"""),1.6275249195E8)</f>
        <v>162752492</v>
      </c>
      <c r="I52" s="2"/>
    </row>
    <row r="53">
      <c r="A53" s="7">
        <f>IFERROR(__xludf.DUMMYFUNCTION("""COMPUTED_VALUE"""),46363.0)</f>
        <v>46363</v>
      </c>
      <c r="B53" s="2" t="str">
        <f>IFERROR(__xludf.DUMMYFUNCTION("""COMPUTED_VALUE"""),"TRSF E-BANKING DB")</f>
        <v>TRSF E-BANKING DB</v>
      </c>
      <c r="C53" s="2" t="str">
        <f>IFERROR(__xludf.DUMMYFUNCTION("""COMPUTED_VALUE"""),"0712/FTSCY/WS95271 17888740.00 krg 90 jt EKO SETIYAWAN")</f>
        <v>0712/FTSCY/WS95271 17888740.00 krg 90 jt EKO SETIYAWAN</v>
      </c>
      <c r="D53" s="2">
        <f>IFERROR(__xludf.DUMMYFUNCTION("""COMPUTED_VALUE"""),1.788874E7)</f>
        <v>17888740</v>
      </c>
      <c r="E53" s="2"/>
      <c r="F53" s="2" t="str">
        <f>IFERROR(__xludf.DUMMYFUNCTION("""COMPUTED_VALUE"""),"DB")</f>
        <v>DB</v>
      </c>
      <c r="G53" s="2">
        <f>IFERROR(__xludf.DUMMYFUNCTION("""COMPUTED_VALUE"""),1.4486375195000005E8)</f>
        <v>144863752</v>
      </c>
      <c r="H53" s="2"/>
      <c r="I53" s="2"/>
    </row>
    <row r="54">
      <c r="A54" s="7">
        <f>IFERROR(__xludf.DUMMYFUNCTION("""COMPUTED_VALUE"""),46363.0)</f>
        <v>46363</v>
      </c>
      <c r="B54" s="2" t="str">
        <f>IFERROR(__xludf.DUMMYFUNCTION("""COMPUTED_VALUE"""),"TRSF E-BANKING DB")</f>
        <v>TRSF E-BANKING DB</v>
      </c>
      <c r="C54" s="2" t="str">
        <f>IFERROR(__xludf.DUMMYFUNCTION("""COMPUTED_VALUE"""),"0712/FTSCY/WS95271 2643250.00 jember SUNARTO")</f>
        <v>0712/FTSCY/WS95271 2643250.00 jember SUNARTO</v>
      </c>
      <c r="D54" s="2">
        <f>IFERROR(__xludf.DUMMYFUNCTION("""COMPUTED_VALUE"""),2643250.0)</f>
        <v>2643250</v>
      </c>
      <c r="E54" s="2"/>
      <c r="F54" s="2" t="str">
        <f>IFERROR(__xludf.DUMMYFUNCTION("""COMPUTED_VALUE"""),"DB")</f>
        <v>DB</v>
      </c>
      <c r="G54" s="2">
        <f>IFERROR(__xludf.DUMMYFUNCTION("""COMPUTED_VALUE"""),1.4222050195000005E8)</f>
        <v>142220502</v>
      </c>
      <c r="H54" s="2"/>
      <c r="I54" s="2"/>
    </row>
    <row r="55">
      <c r="A55" s="7">
        <f>IFERROR(__xludf.DUMMYFUNCTION("""COMPUTED_VALUE"""),46363.0)</f>
        <v>46363</v>
      </c>
      <c r="B55" s="2" t="str">
        <f>IFERROR(__xludf.DUMMYFUNCTION("""COMPUTED_VALUE"""),"TRSF E-BANKING DB")</f>
        <v>TRSF E-BANKING DB</v>
      </c>
      <c r="C55" s="2" t="str">
        <f>IFERROR(__xludf.DUMMYFUNCTION("""COMPUTED_VALUE"""),"0712/FTSCY/WS95271 28872390.00 pelunasan PRIMA JAYA BERSATU")</f>
        <v>0712/FTSCY/WS95271 28872390.00 pelunasan PRIMA JAYA BERSATU</v>
      </c>
      <c r="D55" s="2">
        <f>IFERROR(__xludf.DUMMYFUNCTION("""COMPUTED_VALUE"""),2.887239E7)</f>
        <v>28872390</v>
      </c>
      <c r="E55" s="2"/>
      <c r="F55" s="2" t="str">
        <f>IFERROR(__xludf.DUMMYFUNCTION("""COMPUTED_VALUE"""),"DB")</f>
        <v>DB</v>
      </c>
      <c r="G55" s="2">
        <f>IFERROR(__xludf.DUMMYFUNCTION("""COMPUTED_VALUE"""),1.1334811195000005E8)</f>
        <v>113348112</v>
      </c>
      <c r="H55" s="2"/>
      <c r="I55" s="2"/>
    </row>
    <row r="56">
      <c r="A56" s="7">
        <f>IFERROR(__xludf.DUMMYFUNCTION("""COMPUTED_VALUE"""),46363.0)</f>
        <v>46363</v>
      </c>
      <c r="B56" s="2" t="str">
        <f>IFERROR(__xludf.DUMMYFUNCTION("""COMPUTED_VALUE"""),"TRANSAKSI DEBIT")</f>
        <v>TRANSAKSI DEBIT</v>
      </c>
      <c r="C56" s="2" t="str">
        <f>IFERROR(__xludf.DUMMYFUNCTION("""COMPUTED_VALUE"""),"TGL: 07/12 QR 014 00000.00MUNDU TERA")</f>
        <v>TGL: 07/12 QR 014 00000.00MUNDU TERA</v>
      </c>
      <c r="D56" s="2">
        <f>IFERROR(__xludf.DUMMYFUNCTION("""COMPUTED_VALUE"""),116000.0)</f>
        <v>116000</v>
      </c>
      <c r="E56" s="2"/>
      <c r="F56" s="2"/>
      <c r="G56" s="2">
        <f>IFERROR(__xludf.DUMMYFUNCTION("""COMPUTED_VALUE"""),1.1323211195000005E8)</f>
        <v>113232112</v>
      </c>
      <c r="H56" s="2"/>
      <c r="I56" s="2"/>
    </row>
    <row r="57">
      <c r="A57" s="7">
        <f>IFERROR(__xludf.DUMMYFUNCTION("""COMPUTED_VALUE"""),46363.0)</f>
        <v>46363</v>
      </c>
      <c r="B57" s="2" t="str">
        <f>IFERROR(__xludf.DUMMYFUNCTION("""COMPUTED_VALUE"""),"BYR VIA E-BANKING")</f>
        <v>BYR VIA E-BANKING</v>
      </c>
      <c r="C57" s="2" t="str">
        <f>IFERROR(__xludf.DUMMYFUNCTION("""COMPUTED_VALUE"""),"07/12  WSID9503100 1220 TELKOMSEL 82318368518 MUHAMMAD HAIRUL MA")</f>
        <v>07/12  WSID9503100 1220 TELKOMSEL 82318368518 MUHAMMAD HAIRUL MA</v>
      </c>
      <c r="D57" s="2">
        <f>IFERROR(__xludf.DUMMYFUNCTION("""COMPUTED_VALUE"""),102000.0)</f>
        <v>102000</v>
      </c>
      <c r="E57" s="2"/>
      <c r="F57" s="2"/>
      <c r="G57" s="2">
        <f>IFERROR(__xludf.DUMMYFUNCTION("""COMPUTED_VALUE"""),1.1313011195000005E8)</f>
        <v>113130112</v>
      </c>
      <c r="H57" s="2"/>
      <c r="I57" s="2"/>
    </row>
    <row r="58">
      <c r="A58" s="7">
        <f>IFERROR(__xludf.DUMMYFUNCTION("""COMPUTED_VALUE"""),46363.0)</f>
        <v>46363</v>
      </c>
      <c r="B58" s="2" t="str">
        <f>IFERROR(__xludf.DUMMYFUNCTION("""COMPUTED_VALUE"""),"TRSF E-BANKING DB")</f>
        <v>TRSF E-BANKING DB</v>
      </c>
      <c r="C58" s="2" t="str">
        <f>IFERROR(__xludf.DUMMYFUNCTION("""COMPUTED_VALUE"""),"0712/FTFVA/WS95031 67847/UNGGAS MANDI pelunasan - 200043")</f>
        <v>0712/FTFVA/WS95031 67847/UNGGAS MANDI pelunasan - 200043</v>
      </c>
      <c r="D58" s="2">
        <f>IFERROR(__xludf.DUMMYFUNCTION("""COMPUTED_VALUE"""),3400000.0)</f>
        <v>3400000</v>
      </c>
      <c r="E58" s="2"/>
      <c r="F58" s="2" t="str">
        <f>IFERROR(__xludf.DUMMYFUNCTION("""COMPUTED_VALUE"""),"DB")</f>
        <v>DB</v>
      </c>
      <c r="G58" s="2">
        <f>IFERROR(__xludf.DUMMYFUNCTION("""COMPUTED_VALUE"""),1.00152242095E9)</f>
        <v>1001522421</v>
      </c>
      <c r="H58" s="2"/>
      <c r="I58" s="2"/>
    </row>
    <row r="59">
      <c r="A59" s="7">
        <f>IFERROR(__xludf.DUMMYFUNCTION("""COMPUTED_VALUE"""),46363.0)</f>
        <v>46363</v>
      </c>
      <c r="B59" s="2" t="str">
        <f>IFERROR(__xludf.DUMMYFUNCTION("""COMPUTED_VALUE"""),"TRSF E-BANKING DB")</f>
        <v>TRSF E-BANKING DB</v>
      </c>
      <c r="C59" s="2" t="str">
        <f>IFERROR(__xludf.DUMMYFUNCTION("""COMPUTED_VALUE"""),"0712/FTSCY/WS95271 64600000.00 Sun Dec 06 2026 15:00:00 GMT+0700 (Western Indonesia Time) TUMBUH OPTIMAL PRI")</f>
        <v>0712/FTSCY/WS95271 64600000.00 Sun Dec 06 2026 15:00:00 GMT+0700 (Western Indonesia Time) TUMBUH OPTIMAL PRI</v>
      </c>
      <c r="D59" s="2">
        <f>IFERROR(__xludf.DUMMYFUNCTION("""COMPUTED_VALUE"""),6.46E7)</f>
        <v>64600000</v>
      </c>
      <c r="E59" s="2"/>
      <c r="F59" s="2" t="str">
        <f>IFERROR(__xludf.DUMMYFUNCTION("""COMPUTED_VALUE"""),"DB")</f>
        <v>DB</v>
      </c>
      <c r="G59" s="2">
        <f>IFERROR(__xludf.DUMMYFUNCTION("""COMPUTED_VALUE"""),9.3692242095E8)</f>
        <v>936922421</v>
      </c>
      <c r="H59" s="2"/>
      <c r="I59" s="2"/>
    </row>
    <row r="60">
      <c r="A60" s="7">
        <f>IFERROR(__xludf.DUMMYFUNCTION("""COMPUTED_VALUE"""),46363.0)</f>
        <v>46363</v>
      </c>
      <c r="B60" s="2" t="str">
        <f>IFERROR(__xludf.DUMMYFUNCTION("""COMPUTED_VALUE"""),"TRSF E-BANKING DB")</f>
        <v>TRSF E-BANKING DB</v>
      </c>
      <c r="C60" s="2" t="str">
        <f>IFERROR(__xludf.DUMMYFUNCTION("""COMPUTED_VALUE"""),"0712/FTSCY/WS95271 190000.00 ANDE DOSO ANGGORO")</f>
        <v>0712/FTSCY/WS95271 190000.00 ANDE DOSO ANGGORO</v>
      </c>
      <c r="D60" s="2">
        <f>IFERROR(__xludf.DUMMYFUNCTION("""COMPUTED_VALUE"""),190000.0)</f>
        <v>190000</v>
      </c>
      <c r="E60" s="2"/>
      <c r="F60" s="2" t="str">
        <f>IFERROR(__xludf.DUMMYFUNCTION("""COMPUTED_VALUE"""),"DB")</f>
        <v>DB</v>
      </c>
      <c r="G60" s="2">
        <f>IFERROR(__xludf.DUMMYFUNCTION("""COMPUTED_VALUE"""),9.3673242095E8)</f>
        <v>936732421</v>
      </c>
      <c r="H60" s="2"/>
      <c r="I60" s="2"/>
    </row>
    <row r="61">
      <c r="A61" s="7">
        <f>IFERROR(__xludf.DUMMYFUNCTION("""COMPUTED_VALUE"""),46363.0)</f>
        <v>46363</v>
      </c>
      <c r="B61" s="2" t="str">
        <f>IFERROR(__xludf.DUMMYFUNCTION("""COMPUTED_VALUE"""),"TRSF E-BANKING DB")</f>
        <v>TRSF E-BANKING DB</v>
      </c>
      <c r="C61" s="2" t="str">
        <f>IFERROR(__xludf.DUMMYFUNCTION("""COMPUTED_VALUE"""),"0712/FTSCY/WS95271 15445220.00 pelunasan RUKUN MITRA BERSAM")</f>
        <v>0712/FTSCY/WS95271 15445220.00 pelunasan RUKUN MITRA BERSAM</v>
      </c>
      <c r="D61" s="2">
        <f>IFERROR(__xludf.DUMMYFUNCTION("""COMPUTED_VALUE"""),1.544522E7)</f>
        <v>15445220</v>
      </c>
      <c r="E61" s="2"/>
      <c r="F61" s="2" t="str">
        <f>IFERROR(__xludf.DUMMYFUNCTION("""COMPUTED_VALUE"""),"DB")</f>
        <v>DB</v>
      </c>
      <c r="G61" s="2">
        <f>IFERROR(__xludf.DUMMYFUNCTION("""COMPUTED_VALUE"""),9.2128720095E8)</f>
        <v>921287201</v>
      </c>
      <c r="H61" s="2"/>
      <c r="I61" s="2"/>
    </row>
    <row r="62">
      <c r="A62" s="7">
        <f>IFERROR(__xludf.DUMMYFUNCTION("""COMPUTED_VALUE"""),46363.0)</f>
        <v>46363</v>
      </c>
      <c r="B62" s="2" t="str">
        <f>IFERROR(__xludf.DUMMYFUNCTION("""COMPUTED_VALUE"""),"TRSF E-BANKING DB")</f>
        <v>TRSF E-BANKING DB</v>
      </c>
      <c r="C62" s="2" t="str">
        <f>IFERROR(__xludf.DUMMYFUNCTION("""COMPUTED_VALUE"""),"0712/FTSCY/WS95031 52820250.00 Sun Dec 06 2026 15:00:00 GMT+0700 (Western Indonesia Time) ANDALAN YASA MITRA")</f>
        <v>0712/FTSCY/WS95031 52820250.00 Sun Dec 06 2026 15:00:00 GMT+0700 (Western Indonesia Time) ANDALAN YASA MITRA</v>
      </c>
      <c r="D62" s="2">
        <f>IFERROR(__xludf.DUMMYFUNCTION("""COMPUTED_VALUE"""),5.282025E7)</f>
        <v>52820250</v>
      </c>
      <c r="E62" s="2"/>
      <c r="F62" s="2" t="str">
        <f>IFERROR(__xludf.DUMMYFUNCTION("""COMPUTED_VALUE"""),"DB")</f>
        <v>DB</v>
      </c>
      <c r="G62" s="2">
        <f>IFERROR(__xludf.DUMMYFUNCTION("""COMPUTED_VALUE"""),8.6846695095E8)</f>
        <v>868466951</v>
      </c>
      <c r="H62" s="2">
        <f>IFERROR(__xludf.DUMMYFUNCTION("""COMPUTED_VALUE"""),8.6846695095E8)</f>
        <v>868466951</v>
      </c>
      <c r="I62" s="2"/>
    </row>
    <row r="63">
      <c r="A63" s="7">
        <f>IFERROR(__xludf.DUMMYFUNCTION("""COMPUTED_VALUE"""),46364.0)</f>
        <v>46364</v>
      </c>
      <c r="B63" s="2" t="str">
        <f>IFERROR(__xludf.DUMMYFUNCTION("""COMPUTED_VALUE"""),"TRSF E-BANKING DB TANGGAL :07/12")</f>
        <v>TRSF E-BANKING DB TANGGAL :07/12</v>
      </c>
      <c r="C63" s="2" t="str">
        <f>IFERROR(__xludf.DUMMYFUNCTION("""COMPUTED_VALUE"""),"0712/FTSCY/WS95011 Sun Dec 06 2026 15:00:00 GMT+0700 (Western Indonesia Time) RUKUN MITRA BERSAM")</f>
        <v>0712/FTSCY/WS95011 Sun Dec 06 2026 15:00:00 GMT+0700 (Western Indonesia Time) RUKUN MITRA BERSAM</v>
      </c>
      <c r="D63" s="2">
        <f>IFERROR(__xludf.DUMMYFUNCTION("""COMPUTED_VALUE"""),1.0078785E8)</f>
        <v>100787850</v>
      </c>
      <c r="E63" s="2"/>
      <c r="F63" s="2" t="str">
        <f>IFERROR(__xludf.DUMMYFUNCTION("""COMPUTED_VALUE"""),"DB")</f>
        <v>DB</v>
      </c>
      <c r="G63" s="2">
        <f>IFERROR(__xludf.DUMMYFUNCTION("""COMPUTED_VALUE"""),7.6767910095E8)</f>
        <v>767679101</v>
      </c>
      <c r="H63" s="2"/>
      <c r="I63" s="2"/>
    </row>
    <row r="64">
      <c r="A64" s="7">
        <f>IFERROR(__xludf.DUMMYFUNCTION("""COMPUTED_VALUE"""),46364.0)</f>
        <v>46364</v>
      </c>
      <c r="B64" s="2" t="str">
        <f>IFERROR(__xludf.DUMMYFUNCTION("""COMPUTED_VALUE"""),"TRSF E-BANKING DB TANGGAL :07/12")</f>
        <v>TRSF E-BANKING DB TANGGAL :07/12</v>
      </c>
      <c r="C64" s="2" t="str">
        <f>IFERROR(__xludf.DUMMYFUNCTION("""COMPUTED_VALUE"""),"0712/FTSCY/WS95011 06_12 GANESHA SATRIA NUS")</f>
        <v>0712/FTSCY/WS95011 06_12 GANESHA SATRIA NUS</v>
      </c>
      <c r="D64" s="2">
        <f>IFERROR(__xludf.DUMMYFUNCTION("""COMPUTED_VALUE"""),4.74852E7)</f>
        <v>47485200</v>
      </c>
      <c r="E64" s="2"/>
      <c r="F64" s="2" t="str">
        <f>IFERROR(__xludf.DUMMYFUNCTION("""COMPUTED_VALUE"""),"DB")</f>
        <v>DB</v>
      </c>
      <c r="G64" s="2">
        <f>IFERROR(__xludf.DUMMYFUNCTION("""COMPUTED_VALUE"""),7.2019390095E8)</f>
        <v>720193901</v>
      </c>
      <c r="H64" s="2"/>
      <c r="I64" s="2"/>
    </row>
    <row r="65">
      <c r="A65" s="7">
        <f>IFERROR(__xludf.DUMMYFUNCTION("""COMPUTED_VALUE"""),46364.0)</f>
        <v>46364</v>
      </c>
      <c r="B65" s="2" t="str">
        <f>IFERROR(__xludf.DUMMYFUNCTION("""COMPUTED_VALUE"""),"TRSF E-BANKING DB TANGGAL :07/12")</f>
        <v>TRSF E-BANKING DB TANGGAL :07/12</v>
      </c>
      <c r="C65" s="2" t="str">
        <f>IFERROR(__xludf.DUMMYFUNCTION("""COMPUTED_VALUE"""),"0712/FTSCY/WS95011 Sun Dec 06 2026 15:00:00 GMT+0700 (Western Indonesia Time) BINTANG TAMA SANTO")</f>
        <v>0712/FTSCY/WS95011 Sun Dec 06 2026 15:00:00 GMT+0700 (Western Indonesia Time) BINTANG TAMA SANTO</v>
      </c>
      <c r="D65" s="2">
        <f>IFERROR(__xludf.DUMMYFUNCTION("""COMPUTED_VALUE"""),5.808838E7)</f>
        <v>58088380</v>
      </c>
      <c r="E65" s="2"/>
      <c r="F65" s="2" t="str">
        <f>IFERROR(__xludf.DUMMYFUNCTION("""COMPUTED_VALUE"""),"DB")</f>
        <v>DB</v>
      </c>
      <c r="G65" s="2">
        <f>IFERROR(__xludf.DUMMYFUNCTION("""COMPUTED_VALUE"""),6.6210552095E8)</f>
        <v>662105521</v>
      </c>
      <c r="H65" s="2"/>
      <c r="I65" s="2"/>
    </row>
    <row r="66">
      <c r="A66" s="7">
        <f>IFERROR(__xludf.DUMMYFUNCTION("""COMPUTED_VALUE"""),46364.0)</f>
        <v>46364</v>
      </c>
      <c r="B66" s="2" t="str">
        <f>IFERROR(__xludf.DUMMYFUNCTION("""COMPUTED_VALUE"""),"TRSF E-BANKING DB TANGGAL :07/12")</f>
        <v>TRSF E-BANKING DB TANGGAL :07/12</v>
      </c>
      <c r="C66" s="2" t="str">
        <f>IFERROR(__xludf.DUMMYFUNCTION("""COMPUTED_VALUE"""),"0712/FTSCY/WS95011 Wed Dec 16 2026 15:00:00 GMT+0700 (Western Indonesia Time) BINTANG TAMA SANTO")</f>
        <v>0712/FTSCY/WS95011 Wed Dec 16 2026 15:00:00 GMT+0700 (Western Indonesia Time) BINTANG TAMA SANTO</v>
      </c>
      <c r="D66" s="2">
        <f>IFERROR(__xludf.DUMMYFUNCTION("""COMPUTED_VALUE"""),5.545097E7)</f>
        <v>55450970</v>
      </c>
      <c r="E66" s="2"/>
      <c r="F66" s="2" t="str">
        <f>IFERROR(__xludf.DUMMYFUNCTION("""COMPUTED_VALUE"""),"DB")</f>
        <v>DB</v>
      </c>
      <c r="G66" s="2">
        <f>IFERROR(__xludf.DUMMYFUNCTION("""COMPUTED_VALUE"""),6.0665455095E8)</f>
        <v>606654551</v>
      </c>
      <c r="H66" s="2"/>
      <c r="I66" s="2"/>
    </row>
    <row r="67">
      <c r="A67" s="7">
        <f>IFERROR(__xludf.DUMMYFUNCTION("""COMPUTED_VALUE"""),46364.0)</f>
        <v>46364</v>
      </c>
      <c r="B67" s="2" t="str">
        <f>IFERROR(__xludf.DUMMYFUNCTION("""COMPUTED_VALUE"""),"TRSF E-BANKING DB TANGGAL :07/12")</f>
        <v>TRSF E-BANKING DB TANGGAL :07/12</v>
      </c>
      <c r="C67" s="2" t="str">
        <f>IFERROR(__xludf.DUMMYFUNCTION("""COMPUTED_VALUE"""),"0712/FTSCY/WS95011 Sun Dec 06 2026 15:00:00 GMT+0700 (Western Indonesia Time) TABASSAM AZ ZUFAR")</f>
        <v>0712/FTSCY/WS95011 Sun Dec 06 2026 15:00:00 GMT+0700 (Western Indonesia Time) TABASSAM AZ ZUFAR</v>
      </c>
      <c r="D67" s="2">
        <f>IFERROR(__xludf.DUMMYFUNCTION("""COMPUTED_VALUE"""),9.96E7)</f>
        <v>99600000</v>
      </c>
      <c r="E67" s="2"/>
      <c r="F67" s="2" t="str">
        <f>IFERROR(__xludf.DUMMYFUNCTION("""COMPUTED_VALUE"""),"DB")</f>
        <v>DB</v>
      </c>
      <c r="G67" s="2">
        <f>IFERROR(__xludf.DUMMYFUNCTION("""COMPUTED_VALUE"""),5.0705455095000005E8)</f>
        <v>507054551</v>
      </c>
      <c r="H67" s="2"/>
      <c r="I67" s="2"/>
    </row>
    <row r="68">
      <c r="A68" s="7">
        <f>IFERROR(__xludf.DUMMYFUNCTION("""COMPUTED_VALUE"""),46364.0)</f>
        <v>46364</v>
      </c>
      <c r="B68" s="2" t="str">
        <f>IFERROR(__xludf.DUMMYFUNCTION("""COMPUTED_VALUE"""),"TRSF E-BANKING DB TANGGAL :07/12")</f>
        <v>TRSF E-BANKING DB TANGGAL :07/12</v>
      </c>
      <c r="C68" s="2" t="str">
        <f>IFERROR(__xludf.DUMMYFUNCTION("""COMPUTED_VALUE"""),"0712/FTSCY/WS95011 Krg 116.5 jt ANUGERAH KARTIKA A")</f>
        <v>0712/FTSCY/WS95011 Krg 116.5 jt ANUGERAH KARTIKA A</v>
      </c>
      <c r="D68" s="2">
        <f>IFERROR(__xludf.DUMMYFUNCTION("""COMPUTED_VALUE"""),3.67907E7)</f>
        <v>36790700</v>
      </c>
      <c r="E68" s="2"/>
      <c r="F68" s="2" t="str">
        <f>IFERROR(__xludf.DUMMYFUNCTION("""COMPUTED_VALUE"""),"DB")</f>
        <v>DB</v>
      </c>
      <c r="G68" s="2">
        <f>IFERROR(__xludf.DUMMYFUNCTION("""COMPUTED_VALUE"""),3.6864545095000005E8)</f>
        <v>368645451</v>
      </c>
      <c r="H68" s="2">
        <f>IFERROR(__xludf.DUMMYFUNCTION("""COMPUTED_VALUE"""),3.6864545095E8)</f>
        <v>368645451</v>
      </c>
      <c r="I68" s="2"/>
    </row>
    <row r="69">
      <c r="A69" s="7">
        <f>IFERROR(__xludf.DUMMYFUNCTION("""COMPUTED_VALUE"""),46364.0)</f>
        <v>46364</v>
      </c>
      <c r="B69" s="2" t="str">
        <f>IFERROR(__xludf.DUMMYFUNCTION("""COMPUTED_VALUE"""),"BI-FAST DB")</f>
        <v>BI-FAST DB</v>
      </c>
      <c r="C69" s="2" t="str">
        <f>IFERROR(__xludf.DUMMYFUNCTION("""COMPUTED_VALUE"""),"BIF TRANSFER KE 2 FAIQOTUL HASANAH MyBCA")</f>
        <v>BIF TRANSFER KE 2 FAIQOTUL HASANAH MyBCA</v>
      </c>
      <c r="D69" s="2">
        <f>IFERROR(__xludf.DUMMYFUNCTION("""COMPUTED_VALUE"""),1500000.0)</f>
        <v>1500000</v>
      </c>
      <c r="E69" s="2"/>
      <c r="F69" s="2" t="str">
        <f>IFERROR(__xludf.DUMMYFUNCTION("""COMPUTED_VALUE"""),"DB")</f>
        <v>DB</v>
      </c>
      <c r="G69" s="2">
        <f>IFERROR(__xludf.DUMMYFUNCTION("""COMPUTED_VALUE"""),5.2349545095000005E8)</f>
        <v>523495451</v>
      </c>
      <c r="H69" s="2"/>
      <c r="I69" s="2"/>
    </row>
    <row r="70">
      <c r="A70" s="7">
        <f>IFERROR(__xludf.DUMMYFUNCTION("""COMPUTED_VALUE"""),46364.0)</f>
        <v>46364</v>
      </c>
      <c r="B70" s="2" t="str">
        <f>IFERROR(__xludf.DUMMYFUNCTION("""COMPUTED_VALUE"""),"BI-FAST DB")</f>
        <v>BI-FAST DB</v>
      </c>
      <c r="C70" s="2" t="str">
        <f>IFERROR(__xludf.DUMMYFUNCTION("""COMPUTED_VALUE"""),"BIF BIAYA TXN KE 2 FAIQOTUL HASANAH MyBCA")</f>
        <v>BIF BIAYA TXN KE 2 FAIQOTUL HASANAH MyBCA</v>
      </c>
      <c r="D70" s="2">
        <f>IFERROR(__xludf.DUMMYFUNCTION("""COMPUTED_VALUE"""),2500.0)</f>
        <v>2500</v>
      </c>
      <c r="E70" s="2"/>
      <c r="F70" s="2" t="str">
        <f>IFERROR(__xludf.DUMMYFUNCTION("""COMPUTED_VALUE"""),"DB")</f>
        <v>DB</v>
      </c>
      <c r="G70" s="2">
        <f>IFERROR(__xludf.DUMMYFUNCTION("""COMPUTED_VALUE"""),5.2349295095000005E8)</f>
        <v>523492951</v>
      </c>
      <c r="H70" s="2"/>
      <c r="I70" s="2"/>
    </row>
    <row r="71">
      <c r="A71" s="7">
        <f>IFERROR(__xludf.DUMMYFUNCTION("""COMPUTED_VALUE"""),46364.0)</f>
        <v>46364</v>
      </c>
      <c r="B71" s="2" t="str">
        <f>IFERROR(__xludf.DUMMYFUNCTION("""COMPUTED_VALUE"""),"TRSF E-BANKING DB")</f>
        <v>TRSF E-BANKING DB</v>
      </c>
      <c r="C71" s="2" t="str">
        <f>IFERROR(__xludf.DUMMYFUNCTION("""COMPUTED_VALUE"""),"0812/FTSCY/WS95011 116500000.00 Pelunasan ANUGERAH KARTIKA A")</f>
        <v>0812/FTSCY/WS95011 116500000.00 Pelunasan ANUGERAH KARTIKA A</v>
      </c>
      <c r="D71" s="2">
        <f>IFERROR(__xludf.DUMMYFUNCTION("""COMPUTED_VALUE"""),1.165E8)</f>
        <v>116500000</v>
      </c>
      <c r="E71" s="2"/>
      <c r="F71" s="2" t="str">
        <f>IFERROR(__xludf.DUMMYFUNCTION("""COMPUTED_VALUE"""),"DB")</f>
        <v>DB</v>
      </c>
      <c r="G71" s="2">
        <f>IFERROR(__xludf.DUMMYFUNCTION("""COMPUTED_VALUE"""),4.0699295095000005E8)</f>
        <v>406992951</v>
      </c>
      <c r="H71" s="2"/>
      <c r="I71" s="2"/>
    </row>
    <row r="72">
      <c r="A72" s="7">
        <f>IFERROR(__xludf.DUMMYFUNCTION("""COMPUTED_VALUE"""),46364.0)</f>
        <v>46364</v>
      </c>
      <c r="B72" s="2" t="str">
        <f>IFERROR(__xludf.DUMMYFUNCTION("""COMPUTED_VALUE"""),"TRSF E-BANKING DB")</f>
        <v>TRSF E-BANKING DB</v>
      </c>
      <c r="C72" s="2" t="str">
        <f>IFERROR(__xludf.DUMMYFUNCTION("""COMPUTED_VALUE"""),"0812/FTSCY/WS95011 90000000.00 Mon Dec 07 2026 15:00:00 GMT+0700 (Western Indonesia Time) SURYA INTI TERNAK")</f>
        <v>0812/FTSCY/WS95011 90000000.00 Mon Dec 07 2026 15:00:00 GMT+0700 (Western Indonesia Time) SURYA INTI TERNAK</v>
      </c>
      <c r="D72" s="2">
        <f>IFERROR(__xludf.DUMMYFUNCTION("""COMPUTED_VALUE"""),9.0E7)</f>
        <v>90000000</v>
      </c>
      <c r="E72" s="2"/>
      <c r="F72" s="2" t="str">
        <f>IFERROR(__xludf.DUMMYFUNCTION("""COMPUTED_VALUE"""),"DB")</f>
        <v>DB</v>
      </c>
      <c r="G72" s="2">
        <f>IFERROR(__xludf.DUMMYFUNCTION("""COMPUTED_VALUE"""),3.1699295095000005E8)</f>
        <v>316992951</v>
      </c>
      <c r="H72" s="2"/>
      <c r="I72" s="2"/>
    </row>
    <row r="73">
      <c r="A73" s="7">
        <f>IFERROR(__xludf.DUMMYFUNCTION("""COMPUTED_VALUE"""),46364.0)</f>
        <v>46364</v>
      </c>
      <c r="B73" s="2" t="str">
        <f>IFERROR(__xludf.DUMMYFUNCTION("""COMPUTED_VALUE"""),"TRSF E-BANKING DB")</f>
        <v>TRSF E-BANKING DB</v>
      </c>
      <c r="C73" s="2" t="str">
        <f>IFERROR(__xludf.DUMMYFUNCTION("""COMPUTED_VALUE"""),"0812/FTSCY/WS95031 1348905.00 pelunasan SURYA INTI TERNAK")</f>
        <v>0812/FTSCY/WS95031 1348905.00 pelunasan SURYA INTI TERNAK</v>
      </c>
      <c r="D73" s="2">
        <f>IFERROR(__xludf.DUMMYFUNCTION("""COMPUTED_VALUE"""),1348905.0)</f>
        <v>1348905</v>
      </c>
      <c r="E73" s="2"/>
      <c r="F73" s="2" t="str">
        <f>IFERROR(__xludf.DUMMYFUNCTION("""COMPUTED_VALUE"""),"DB")</f>
        <v>DB</v>
      </c>
      <c r="G73" s="2">
        <f>IFERROR(__xludf.DUMMYFUNCTION("""COMPUTED_VALUE"""),3.1564404595000005E8)</f>
        <v>315644046</v>
      </c>
      <c r="H73" s="2"/>
      <c r="I73" s="2"/>
    </row>
    <row r="74">
      <c r="A74" s="7">
        <f>IFERROR(__xludf.DUMMYFUNCTION("""COMPUTED_VALUE"""),46364.0)</f>
        <v>46364</v>
      </c>
      <c r="B74" s="2" t="str">
        <f>IFERROR(__xludf.DUMMYFUNCTION("""COMPUTED_VALUE"""),"TRSF E-BANKING DB")</f>
        <v>TRSF E-BANKING DB</v>
      </c>
      <c r="C74" s="2" t="str">
        <f>IFERROR(__xludf.DUMMYFUNCTION("""COMPUTED_VALUE"""),"0812/FTSCY/WS95031 1500000.00 HERMAWAN")</f>
        <v>0812/FTSCY/WS95031 1500000.00 HERMAWAN</v>
      </c>
      <c r="D74" s="2">
        <f>IFERROR(__xludf.DUMMYFUNCTION("""COMPUTED_VALUE"""),1500000.0)</f>
        <v>1500000</v>
      </c>
      <c r="E74" s="2"/>
      <c r="F74" s="2" t="str">
        <f>IFERROR(__xludf.DUMMYFUNCTION("""COMPUTED_VALUE"""),"DB")</f>
        <v>DB</v>
      </c>
      <c r="G74" s="2">
        <f>IFERROR(__xludf.DUMMYFUNCTION("""COMPUTED_VALUE"""),3.1414404595000005E8)</f>
        <v>314144046</v>
      </c>
      <c r="H74" s="2"/>
      <c r="I74" s="2"/>
    </row>
    <row r="75">
      <c r="A75" s="7">
        <f>IFERROR(__xludf.DUMMYFUNCTION("""COMPUTED_VALUE"""),46364.0)</f>
        <v>46364</v>
      </c>
      <c r="B75" s="2" t="str">
        <f>IFERROR(__xludf.DUMMYFUNCTION("""COMPUTED_VALUE"""),"TRSF E-BANKING DB")</f>
        <v>TRSF E-BANKING DB</v>
      </c>
      <c r="C75" s="2" t="str">
        <f>IFERROR(__xludf.DUMMYFUNCTION("""COMPUTED_VALUE"""),"0812/FTSCY/WS95031 1900000.00 IMAM KUSAENI")</f>
        <v>0812/FTSCY/WS95031 1900000.00 IMAM KUSAENI</v>
      </c>
      <c r="D75" s="2">
        <f>IFERROR(__xludf.DUMMYFUNCTION("""COMPUTED_VALUE"""),1900000.0)</f>
        <v>1900000</v>
      </c>
      <c r="E75" s="2"/>
      <c r="F75" s="2" t="str">
        <f>IFERROR(__xludf.DUMMYFUNCTION("""COMPUTED_VALUE"""),"DB")</f>
        <v>DB</v>
      </c>
      <c r="G75" s="2">
        <f>IFERROR(__xludf.DUMMYFUNCTION("""COMPUTED_VALUE"""),3.1224404595000005E8)</f>
        <v>312244046</v>
      </c>
      <c r="H75" s="2"/>
      <c r="I75" s="2"/>
    </row>
    <row r="76">
      <c r="A76" s="7">
        <f>IFERROR(__xludf.DUMMYFUNCTION("""COMPUTED_VALUE"""),46364.0)</f>
        <v>46364</v>
      </c>
      <c r="B76" s="2" t="str">
        <f>IFERROR(__xludf.DUMMYFUNCTION("""COMPUTED_VALUE"""),"TRSF E-BANKING DB")</f>
        <v>TRSF E-BANKING DB</v>
      </c>
      <c r="C76" s="2" t="str">
        <f>IFERROR(__xludf.DUMMYFUNCTION("""COMPUTED_VALUE"""),"0812/FTSCY/WS95031 2300000.00 EKO SETIYAWAN")</f>
        <v>0812/FTSCY/WS95031 2300000.00 EKO SETIYAWAN</v>
      </c>
      <c r="D76" s="2">
        <f>IFERROR(__xludf.DUMMYFUNCTION("""COMPUTED_VALUE"""),2300000.0)</f>
        <v>2300000</v>
      </c>
      <c r="E76" s="2"/>
      <c r="F76" s="2" t="str">
        <f>IFERROR(__xludf.DUMMYFUNCTION("""COMPUTED_VALUE"""),"DB")</f>
        <v>DB</v>
      </c>
      <c r="G76" s="2">
        <f>IFERROR(__xludf.DUMMYFUNCTION("""COMPUTED_VALUE"""),3.0994404595000005E8)</f>
        <v>309944046</v>
      </c>
      <c r="H76" s="2"/>
      <c r="I76" s="2"/>
    </row>
    <row r="77">
      <c r="A77" s="7">
        <f>IFERROR(__xludf.DUMMYFUNCTION("""COMPUTED_VALUE"""),46364.0)</f>
        <v>46364</v>
      </c>
      <c r="B77" s="2" t="str">
        <f>IFERROR(__xludf.DUMMYFUNCTION("""COMPUTED_VALUE"""),"TRSF E-BANKING DB")</f>
        <v>TRSF E-BANKING DB</v>
      </c>
      <c r="C77" s="2" t="str">
        <f>IFERROR(__xludf.DUMMYFUNCTION("""COMPUTED_VALUE"""),"0812/FTSCY/WS95031 47230200.00 Mon Dec 07 2026 15:00:00 GMT+0700 (Western Indonesia Time) SUGENG RIADI")</f>
        <v>0812/FTSCY/WS95031 47230200.00 Mon Dec 07 2026 15:00:00 GMT+0700 (Western Indonesia Time) SUGENG RIADI</v>
      </c>
      <c r="D77" s="2">
        <f>IFERROR(__xludf.DUMMYFUNCTION("""COMPUTED_VALUE"""),4.72302E7)</f>
        <v>47230200</v>
      </c>
      <c r="E77" s="2"/>
      <c r="F77" s="2" t="str">
        <f>IFERROR(__xludf.DUMMYFUNCTION("""COMPUTED_VALUE"""),"DB")</f>
        <v>DB</v>
      </c>
      <c r="G77" s="2">
        <f>IFERROR(__xludf.DUMMYFUNCTION("""COMPUTED_VALUE"""),2.6271384595000005E8)</f>
        <v>262713846</v>
      </c>
      <c r="H77" s="2"/>
      <c r="I77" s="2"/>
    </row>
    <row r="78">
      <c r="A78" s="7">
        <f>IFERROR(__xludf.DUMMYFUNCTION("""COMPUTED_VALUE"""),46364.0)</f>
        <v>46364</v>
      </c>
      <c r="B78" s="2" t="str">
        <f>IFERROR(__xludf.DUMMYFUNCTION("""COMPUTED_VALUE"""),"KARTU DEBIT")</f>
        <v>KARTU DEBIT</v>
      </c>
      <c r="C78" s="2" t="str">
        <f>IFERROR(__xludf.DUMMYFUNCTION("""COMPUTED_VALUE"""),"ALFAMRT Y073 SUDI 6019009510239343")</f>
        <v>ALFAMRT Y073 SUDI 6019009510239343</v>
      </c>
      <c r="D78" s="2">
        <f>IFERROR(__xludf.DUMMYFUNCTION("""COMPUTED_VALUE"""),64500.0)</f>
        <v>64500</v>
      </c>
      <c r="E78" s="2"/>
      <c r="F78" s="2"/>
      <c r="G78" s="2">
        <f>IFERROR(__xludf.DUMMYFUNCTION("""COMPUTED_VALUE"""),2.6264934595000005E8)</f>
        <v>262649346</v>
      </c>
      <c r="H78" s="2"/>
      <c r="I78" s="2"/>
    </row>
    <row r="79">
      <c r="A79" s="7">
        <f>IFERROR(__xludf.DUMMYFUNCTION("""COMPUTED_VALUE"""),46364.0)</f>
        <v>46364</v>
      </c>
      <c r="B79" s="2" t="str">
        <f>IFERROR(__xludf.DUMMYFUNCTION("""COMPUTED_VALUE"""),"TRSF E-BANKING DB")</f>
        <v>TRSF E-BANKING DB</v>
      </c>
      <c r="C79" s="2" t="str">
        <f>IFERROR(__xludf.DUMMYFUNCTION("""COMPUTED_VALUE"""),"0812/FTSCY/WS95031 13290170.00 krg 90 jt EKO SETIYAWAN")</f>
        <v>0812/FTSCY/WS95031 13290170.00 krg 90 jt EKO SETIYAWAN</v>
      </c>
      <c r="D79" s="2">
        <f>IFERROR(__xludf.DUMMYFUNCTION("""COMPUTED_VALUE"""),1.329017E7)</f>
        <v>13290170</v>
      </c>
      <c r="E79" s="2"/>
      <c r="F79" s="2" t="str">
        <f>IFERROR(__xludf.DUMMYFUNCTION("""COMPUTED_VALUE"""),"DB")</f>
        <v>DB</v>
      </c>
      <c r="G79" s="2">
        <f>IFERROR(__xludf.DUMMYFUNCTION("""COMPUTED_VALUE"""),2.4935917595000005E8)</f>
        <v>249359176</v>
      </c>
      <c r="H79" s="2">
        <f>IFERROR(__xludf.DUMMYFUNCTION("""COMPUTED_VALUE"""),2.4935917595E8)</f>
        <v>249359176</v>
      </c>
      <c r="I79" s="2"/>
    </row>
    <row r="80">
      <c r="A80" s="7">
        <f>IFERROR(__xludf.DUMMYFUNCTION("""COMPUTED_VALUE"""),46365.0)</f>
        <v>46365</v>
      </c>
      <c r="B80" s="2" t="str">
        <f>IFERROR(__xludf.DUMMYFUNCTION("""COMPUTED_VALUE"""),"TRSF E-BANKING DB TANGGAL :08/12")</f>
        <v>TRSF E-BANKING DB TANGGAL :08/12</v>
      </c>
      <c r="C80" s="2" t="str">
        <f>IFERROR(__xludf.DUMMYFUNCTION("""COMPUTED_VALUE"""),"0812/FTSCY/WS95031 nov RISKY ARISHANDY PR")</f>
        <v>0812/FTSCY/WS95031 nov RISKY ARISHANDY PR</v>
      </c>
      <c r="D80" s="2">
        <f>IFERROR(__xludf.DUMMYFUNCTION("""COMPUTED_VALUE"""),2500000.0)</f>
        <v>2500000</v>
      </c>
      <c r="E80" s="2"/>
      <c r="F80" s="2" t="str">
        <f>IFERROR(__xludf.DUMMYFUNCTION("""COMPUTED_VALUE"""),"DB")</f>
        <v>DB</v>
      </c>
      <c r="G80" s="2">
        <f>IFERROR(__xludf.DUMMYFUNCTION("""COMPUTED_VALUE"""),5.4091865595E8)</f>
        <v>540918656</v>
      </c>
      <c r="H80" s="2"/>
      <c r="I80" s="2"/>
    </row>
    <row r="81">
      <c r="A81" s="7">
        <f>IFERROR(__xludf.DUMMYFUNCTION("""COMPUTED_VALUE"""),46365.0)</f>
        <v>46365</v>
      </c>
      <c r="B81" s="2" t="str">
        <f>IFERROR(__xludf.DUMMYFUNCTION("""COMPUTED_VALUE"""),"TRSF E-BANKING DB TANGGAL :08/12")</f>
        <v>TRSF E-BANKING DB TANGGAL :08/12</v>
      </c>
      <c r="C81" s="2" t="str">
        <f>IFERROR(__xludf.DUMMYFUNCTION("""COMPUTED_VALUE"""),"0812/FTSCY/WS95031 ANTON")</f>
        <v>0812/FTSCY/WS95031 ANTON</v>
      </c>
      <c r="D81" s="2">
        <f>IFERROR(__xludf.DUMMYFUNCTION("""COMPUTED_VALUE"""),1800000.0)</f>
        <v>1800000</v>
      </c>
      <c r="E81" s="2"/>
      <c r="F81" s="2" t="str">
        <f>IFERROR(__xludf.DUMMYFUNCTION("""COMPUTED_VALUE"""),"DB")</f>
        <v>DB</v>
      </c>
      <c r="G81" s="2">
        <f>IFERROR(__xludf.DUMMYFUNCTION("""COMPUTED_VALUE"""),5.3911865595E8)</f>
        <v>539118656</v>
      </c>
      <c r="H81" s="2"/>
      <c r="I81" s="2"/>
    </row>
    <row r="82">
      <c r="A82" s="7">
        <f>IFERROR(__xludf.DUMMYFUNCTION("""COMPUTED_VALUE"""),46365.0)</f>
        <v>46365</v>
      </c>
      <c r="B82" s="2" t="str">
        <f>IFERROR(__xludf.DUMMYFUNCTION("""COMPUTED_VALUE"""),"TRSF E-BANKING DB TANGGAL :08/12")</f>
        <v>TRSF E-BANKING DB TANGGAL :08/12</v>
      </c>
      <c r="C82" s="2" t="str">
        <f>IFERROR(__xludf.DUMMYFUNCTION("""COMPUTED_VALUE"""),"0812/FTSCY/WS95271 Mon Dec 07 2026 15:00:00 GMT+0700 (Western Indonesia Time) RUKUN MITRA BERSAM")</f>
        <v>0812/FTSCY/WS95271 Mon Dec 07 2026 15:00:00 GMT+0700 (Western Indonesia Time) RUKUN MITRA BERSAM</v>
      </c>
      <c r="D82" s="2">
        <f>IFERROR(__xludf.DUMMYFUNCTION("""COMPUTED_VALUE"""),1.0274875E8)</f>
        <v>102748750</v>
      </c>
      <c r="E82" s="2"/>
      <c r="F82" s="2" t="str">
        <f>IFERROR(__xludf.DUMMYFUNCTION("""COMPUTED_VALUE"""),"DB")</f>
        <v>DB</v>
      </c>
      <c r="G82" s="2">
        <f>IFERROR(__xludf.DUMMYFUNCTION("""COMPUTED_VALUE"""),4.3636990595000005E8)</f>
        <v>436369906</v>
      </c>
      <c r="H82" s="2"/>
      <c r="I82" s="2"/>
    </row>
    <row r="83">
      <c r="A83" s="7">
        <f>IFERROR(__xludf.DUMMYFUNCTION("""COMPUTED_VALUE"""),46365.0)</f>
        <v>46365</v>
      </c>
      <c r="B83" s="2" t="str">
        <f>IFERROR(__xludf.DUMMYFUNCTION("""COMPUTED_VALUE"""),"TRSF E-BANKING DB TANGGAL :08/12")</f>
        <v>TRSF E-BANKING DB TANGGAL :08/12</v>
      </c>
      <c r="C83" s="2" t="str">
        <f>IFERROR(__xludf.DUMMYFUNCTION("""COMPUTED_VALUE"""),"0812/FTSCY/WS95271 kd sujadi ngawi SUPER UNGGAS JAYA")</f>
        <v>0812/FTSCY/WS95271 kd sujadi ngawi SUPER UNGGAS JAYA</v>
      </c>
      <c r="D83" s="2">
        <f>IFERROR(__xludf.DUMMYFUNCTION("""COMPUTED_VALUE"""),9.6E7)</f>
        <v>96000000</v>
      </c>
      <c r="E83" s="2"/>
      <c r="F83" s="2" t="str">
        <f>IFERROR(__xludf.DUMMYFUNCTION("""COMPUTED_VALUE"""),"DB")</f>
        <v>DB</v>
      </c>
      <c r="G83" s="2">
        <f>IFERROR(__xludf.DUMMYFUNCTION("""COMPUTED_VALUE"""),3.4036990595000005E8)</f>
        <v>340369906</v>
      </c>
      <c r="H83" s="2"/>
      <c r="I83" s="2"/>
    </row>
    <row r="84">
      <c r="A84" s="7">
        <f>IFERROR(__xludf.DUMMYFUNCTION("""COMPUTED_VALUE"""),46365.0)</f>
        <v>46365</v>
      </c>
      <c r="B84" s="2" t="str">
        <f>IFERROR(__xludf.DUMMYFUNCTION("""COMPUTED_VALUE"""),"TRSF E-BANKING DB TANGGAL :08/12")</f>
        <v>TRSF E-BANKING DB TANGGAL :08/12</v>
      </c>
      <c r="C84" s="2" t="str">
        <f>IFERROR(__xludf.DUMMYFUNCTION("""COMPUTED_VALUE"""),"0812/FTSCY/WS95271 NURHAYATI")</f>
        <v>0812/FTSCY/WS95271 NURHAYATI</v>
      </c>
      <c r="D84" s="2">
        <f>IFERROR(__xludf.DUMMYFUNCTION("""COMPUTED_VALUE"""),1800000.0)</f>
        <v>1800000</v>
      </c>
      <c r="E84" s="2"/>
      <c r="F84" s="2" t="str">
        <f>IFERROR(__xludf.DUMMYFUNCTION("""COMPUTED_VALUE"""),"DB")</f>
        <v>DB</v>
      </c>
      <c r="G84" s="2">
        <f>IFERROR(__xludf.DUMMYFUNCTION("""COMPUTED_VALUE"""),3.3856990595000005E8)</f>
        <v>338569906</v>
      </c>
      <c r="H84" s="2"/>
      <c r="I84" s="2"/>
    </row>
    <row r="85">
      <c r="A85" s="7">
        <f>IFERROR(__xludf.DUMMYFUNCTION("""COMPUTED_VALUE"""),46365.0)</f>
        <v>46365</v>
      </c>
      <c r="B85" s="2" t="str">
        <f>IFERROR(__xludf.DUMMYFUNCTION("""COMPUTED_VALUE"""),"TRSF E-BANKING DB TANGGAL :08/12")</f>
        <v>TRSF E-BANKING DB TANGGAL :08/12</v>
      </c>
      <c r="C85" s="2" t="str">
        <f>IFERROR(__xludf.DUMMYFUNCTION("""COMPUTED_VALUE"""),"0812/FTSCY/WS95271 Mon Dec 07 2026 15:00:00 GMT+0700 (Western Indonesia Time) ANUGERAH KARTIKA A")</f>
        <v>0812/FTSCY/WS95271 Mon Dec 07 2026 15:00:00 GMT+0700 (Western Indonesia Time) ANUGERAH KARTIKA A</v>
      </c>
      <c r="D85" s="2">
        <f>IFERROR(__xludf.DUMMYFUNCTION("""COMPUTED_VALUE"""),4.7566E7)</f>
        <v>47566000</v>
      </c>
      <c r="E85" s="2"/>
      <c r="F85" s="2" t="str">
        <f>IFERROR(__xludf.DUMMYFUNCTION("""COMPUTED_VALUE"""),"DB")</f>
        <v>DB</v>
      </c>
      <c r="G85" s="2">
        <f>IFERROR(__xludf.DUMMYFUNCTION("""COMPUTED_VALUE"""),2.9100390595000005E8)</f>
        <v>291003906</v>
      </c>
      <c r="H85" s="2"/>
      <c r="I85" s="2"/>
    </row>
    <row r="86">
      <c r="A86" s="7">
        <f>IFERROR(__xludf.DUMMYFUNCTION("""COMPUTED_VALUE"""),46365.0)</f>
        <v>46365</v>
      </c>
      <c r="B86" s="2" t="str">
        <f>IFERROR(__xludf.DUMMYFUNCTION("""COMPUTED_VALUE"""),"TRSF E-BANKING DB TANGGAL :08/12")</f>
        <v>TRSF E-BANKING DB TANGGAL :08/12</v>
      </c>
      <c r="C86" s="2" t="str">
        <f>IFERROR(__xludf.DUMMYFUNCTION("""COMPUTED_VALUE"""),"0812/FTSCY/WS95271 Mon Dec 07 2026 15:00:00 GMT+0700 (Western Indonesia Time) ANDALAN YASA MITRA")</f>
        <v>0812/FTSCY/WS95271 Mon Dec 07 2026 15:00:00 GMT+0700 (Western Indonesia Time) ANDALAN YASA MITRA</v>
      </c>
      <c r="D86" s="2">
        <f>IFERROR(__xludf.DUMMYFUNCTION("""COMPUTED_VALUE"""),4.1814E7)</f>
        <v>41814000</v>
      </c>
      <c r="E86" s="2"/>
      <c r="F86" s="2" t="str">
        <f>IFERROR(__xludf.DUMMYFUNCTION("""COMPUTED_VALUE"""),"DB")</f>
        <v>DB</v>
      </c>
      <c r="G86" s="2">
        <f>IFERROR(__xludf.DUMMYFUNCTION("""COMPUTED_VALUE"""),2.4918990595000005E8)</f>
        <v>249189906</v>
      </c>
      <c r="H86" s="2"/>
      <c r="I86" s="2"/>
    </row>
    <row r="87">
      <c r="A87" s="7">
        <f>IFERROR(__xludf.DUMMYFUNCTION("""COMPUTED_VALUE"""),46365.0)</f>
        <v>46365</v>
      </c>
      <c r="B87" s="2" t="str">
        <f>IFERROR(__xludf.DUMMYFUNCTION("""COMPUTED_VALUE"""),"TRSF E-BANKING DB TANGGAL :08/12")</f>
        <v>TRSF E-BANKING DB TANGGAL :08/12</v>
      </c>
      <c r="C87" s="2" t="str">
        <f>IFERROR(__xludf.DUMMYFUNCTION("""COMPUTED_VALUE"""),"0812/FTSCY/WS95271 SUNARTO")</f>
        <v>0812/FTSCY/WS95271 SUNARTO</v>
      </c>
      <c r="D87" s="2">
        <f>IFERROR(__xludf.DUMMYFUNCTION("""COMPUTED_VALUE"""),1800000.0)</f>
        <v>1800000</v>
      </c>
      <c r="E87" s="2"/>
      <c r="F87" s="2" t="str">
        <f>IFERROR(__xludf.DUMMYFUNCTION("""COMPUTED_VALUE"""),"DB")</f>
        <v>DB</v>
      </c>
      <c r="G87" s="2">
        <f>IFERROR(__xludf.DUMMYFUNCTION("""COMPUTED_VALUE"""),2.4738990595000005E8)</f>
        <v>247389906</v>
      </c>
      <c r="H87" s="2"/>
      <c r="I87" s="2"/>
    </row>
    <row r="88">
      <c r="A88" s="7">
        <f>IFERROR(__xludf.DUMMYFUNCTION("""COMPUTED_VALUE"""),46365.0)</f>
        <v>46365</v>
      </c>
      <c r="B88" s="2" t="str">
        <f>IFERROR(__xludf.DUMMYFUNCTION("""COMPUTED_VALUE"""),"TRSF E-BANKING DB TANGGAL :08/12")</f>
        <v>TRSF E-BANKING DB TANGGAL :08/12</v>
      </c>
      <c r="C88" s="2" t="str">
        <f>IFERROR(__xludf.DUMMYFUNCTION("""COMPUTED_VALUE"""),"0812/FTSCY/WS95031 pelunasan ANDALAN YASA MITRA")</f>
        <v>0812/FTSCY/WS95031 pelunasan ANDALAN YASA MITRA</v>
      </c>
      <c r="D88" s="2">
        <f>IFERROR(__xludf.DUMMYFUNCTION("""COMPUTED_VALUE"""),1.0E7)</f>
        <v>10000000</v>
      </c>
      <c r="E88" s="2"/>
      <c r="F88" s="2" t="str">
        <f>IFERROR(__xludf.DUMMYFUNCTION("""COMPUTED_VALUE"""),"DB")</f>
        <v>DB</v>
      </c>
      <c r="G88" s="2">
        <f>IFERROR(__xludf.DUMMYFUNCTION("""COMPUTED_VALUE"""),2.3738990595000005E8)</f>
        <v>237389906</v>
      </c>
      <c r="H88" s="2"/>
      <c r="I88" s="2"/>
    </row>
    <row r="89">
      <c r="A89" s="7">
        <f>IFERROR(__xludf.DUMMYFUNCTION("""COMPUTED_VALUE"""),46365.0)</f>
        <v>46365</v>
      </c>
      <c r="B89" s="2" t="str">
        <f>IFERROR(__xludf.DUMMYFUNCTION("""COMPUTED_VALUE"""),"TRSF E-BANKING DB TANGGAL :08/12")</f>
        <v>TRSF E-BANKING DB TANGGAL :08/12</v>
      </c>
      <c r="C89" s="2" t="str">
        <f>IFERROR(__xludf.DUMMYFUNCTION("""COMPUTED_VALUE"""),"0812/FTSCY/WS95011 Mon Dec 07 2026 15:00:00 GMT+0700 (Western Indonesia Time) PITIK DIGITAL INDO")</f>
        <v>0812/FTSCY/WS95011 Mon Dec 07 2026 15:00:00 GMT+0700 (Western Indonesia Time) PITIK DIGITAL INDO</v>
      </c>
      <c r="D89" s="2">
        <f>IFERROR(__xludf.DUMMYFUNCTION("""COMPUTED_VALUE"""),1.125864E8)</f>
        <v>112586400</v>
      </c>
      <c r="E89" s="2"/>
      <c r="F89" s="2" t="str">
        <f>IFERROR(__xludf.DUMMYFUNCTION("""COMPUTED_VALUE"""),"DB")</f>
        <v>DB</v>
      </c>
      <c r="G89" s="2">
        <f>IFERROR(__xludf.DUMMYFUNCTION("""COMPUTED_VALUE"""),1.2480350595000005E8)</f>
        <v>124803506</v>
      </c>
      <c r="H89" s="2">
        <f>IFERROR(__xludf.DUMMYFUNCTION("""COMPUTED_VALUE"""),1.2480350595E8)</f>
        <v>124803506</v>
      </c>
      <c r="I89" s="2"/>
    </row>
    <row r="90">
      <c r="A90" s="7">
        <f>IFERROR(__xludf.DUMMYFUNCTION("""COMPUTED_VALUE"""),46365.0)</f>
        <v>46365</v>
      </c>
      <c r="B90" s="2" t="str">
        <f>IFERROR(__xludf.DUMMYFUNCTION("""COMPUTED_VALUE"""),"TRSF E-BANKING DB TANGGAL :08/12")</f>
        <v>TRSF E-BANKING DB TANGGAL :08/12</v>
      </c>
      <c r="C90" s="2" t="str">
        <f>IFERROR(__xludf.DUMMYFUNCTION("""COMPUTED_VALUE"""),"0812/FTSCY/WS95011 Mon Dec 07 2026 15:00:00 GMT+0700 (Western Indonesia Time) TUMBUH OPTIMAL PRI")</f>
        <v>0812/FTSCY/WS95011 Mon Dec 07 2026 15:00:00 GMT+0700 (Western Indonesia Time) TUMBUH OPTIMAL PRI</v>
      </c>
      <c r="D90" s="2">
        <f>IFERROR(__xludf.DUMMYFUNCTION("""COMPUTED_VALUE"""),1.097711E8)</f>
        <v>109771100</v>
      </c>
      <c r="E90" s="2"/>
      <c r="F90" s="2" t="str">
        <f>IFERROR(__xludf.DUMMYFUNCTION("""COMPUTED_VALUE"""),"DB")</f>
        <v>DB</v>
      </c>
      <c r="G90" s="2">
        <f>IFERROR(__xludf.DUMMYFUNCTION("""COMPUTED_VALUE"""),1.5032405950000048E7)</f>
        <v>15032405.95</v>
      </c>
      <c r="H90" s="2">
        <f>IFERROR(__xludf.DUMMYFUNCTION("""COMPUTED_VALUE"""),1.503240595E7)</f>
        <v>15032405.95</v>
      </c>
      <c r="I90" s="2"/>
    </row>
    <row r="91">
      <c r="A91" s="7">
        <f>IFERROR(__xludf.DUMMYFUNCTION("""COMPUTED_VALUE"""),46365.0)</f>
        <v>46365</v>
      </c>
      <c r="B91" s="2" t="str">
        <f>IFERROR(__xludf.DUMMYFUNCTION("""COMPUTED_VALUE"""),"TRSF E-BANKING DB TANGGAL :08/12")</f>
        <v>TRSF E-BANKING DB TANGGAL :08/12</v>
      </c>
      <c r="C91" s="2" t="str">
        <f>IFERROR(__xludf.DUMMYFUNCTION("""COMPUTED_VALUE"""),"0812/FTSCY/WS95031 ANDE DOSO ANGGORO")</f>
        <v>0812/FTSCY/WS95031 ANDE DOSO ANGGORO</v>
      </c>
      <c r="D91" s="2">
        <f>IFERROR(__xludf.DUMMYFUNCTION("""COMPUTED_VALUE"""),4823000.0)</f>
        <v>4823000</v>
      </c>
      <c r="E91" s="2"/>
      <c r="F91" s="2" t="str">
        <f>IFERROR(__xludf.DUMMYFUNCTION("""COMPUTED_VALUE"""),"DB")</f>
        <v>DB</v>
      </c>
      <c r="G91" s="2">
        <f>IFERROR(__xludf.DUMMYFUNCTION("""COMPUTED_VALUE"""),1.0209405950000048E7)</f>
        <v>10209405.95</v>
      </c>
      <c r="H91" s="2"/>
      <c r="I91" s="2"/>
    </row>
    <row r="92">
      <c r="A92" s="7">
        <f>IFERROR(__xludf.DUMMYFUNCTION("""COMPUTED_VALUE"""),46365.0)</f>
        <v>46365</v>
      </c>
      <c r="B92" s="2" t="str">
        <f>IFERROR(__xludf.DUMMYFUNCTION("""COMPUTED_VALUE"""),"TRSF E-BANKING DB")</f>
        <v>TRSF E-BANKING DB</v>
      </c>
      <c r="C92" s="2" t="str">
        <f>IFERROR(__xludf.DUMMYFUNCTION("""COMPUTED_VALUE"""),"0912/FTSCY/WS95271 17551500.00 lokal MARIA ELDA PURWANT")</f>
        <v>0912/FTSCY/WS95271 17551500.00 lokal MARIA ELDA PURWANT</v>
      </c>
      <c r="D92" s="2">
        <f>IFERROR(__xludf.DUMMYFUNCTION("""COMPUTED_VALUE"""),1.75515E7)</f>
        <v>17551500</v>
      </c>
      <c r="E92" s="2"/>
      <c r="F92" s="2" t="str">
        <f>IFERROR(__xludf.DUMMYFUNCTION("""COMPUTED_VALUE"""),"DB")</f>
        <v>DB</v>
      </c>
      <c r="G92" s="2">
        <f>IFERROR(__xludf.DUMMYFUNCTION("""COMPUTED_VALUE"""),2.4807905950000048E7)</f>
        <v>24807905.95</v>
      </c>
      <c r="H92" s="2"/>
      <c r="I92" s="2"/>
    </row>
    <row r="93">
      <c r="A93" s="7">
        <f>IFERROR(__xludf.DUMMYFUNCTION("""COMPUTED_VALUE"""),46365.0)</f>
        <v>46365</v>
      </c>
      <c r="B93" s="2" t="str">
        <f>IFERROR(__xludf.DUMMYFUNCTION("""COMPUTED_VALUE"""),"TRSF E-BANKING DB")</f>
        <v>TRSF E-BANKING DB</v>
      </c>
      <c r="C93" s="2" t="str">
        <f>IFERROR(__xludf.DUMMYFUNCTION("""COMPUTED_VALUE"""),"0912/FTSCY/WS95271 4858240.00 MUJIANTO")</f>
        <v>0912/FTSCY/WS95271 4858240.00 MUJIANTO</v>
      </c>
      <c r="D93" s="2">
        <f>IFERROR(__xludf.DUMMYFUNCTION("""COMPUTED_VALUE"""),4858240.0)</f>
        <v>4858240</v>
      </c>
      <c r="E93" s="2"/>
      <c r="F93" s="2" t="str">
        <f>IFERROR(__xludf.DUMMYFUNCTION("""COMPUTED_VALUE"""),"DB")</f>
        <v>DB</v>
      </c>
      <c r="G93" s="2">
        <f>IFERROR(__xludf.DUMMYFUNCTION("""COMPUTED_VALUE"""),1.9949665950000048E7)</f>
        <v>19949665.95</v>
      </c>
      <c r="H93" s="2"/>
      <c r="I93" s="2"/>
    </row>
    <row r="94">
      <c r="A94" s="7">
        <f>IFERROR(__xludf.DUMMYFUNCTION("""COMPUTED_VALUE"""),46365.0)</f>
        <v>46365</v>
      </c>
      <c r="B94" s="2" t="str">
        <f>IFERROR(__xludf.DUMMYFUNCTION("""COMPUTED_VALUE"""),"TRSF E-BANKING DB")</f>
        <v>TRSF E-BANKING DB</v>
      </c>
      <c r="C94" s="2" t="str">
        <f>IFERROR(__xludf.DUMMYFUNCTION("""COMPUTED_VALUE"""),"0912/FTSCY/WS95271 2097700.00 lunas HERMAWAN")</f>
        <v>0912/FTSCY/WS95271 2097700.00 lunas HERMAWAN</v>
      </c>
      <c r="D94" s="2">
        <f>IFERROR(__xludf.DUMMYFUNCTION("""COMPUTED_VALUE"""),2097700.0)</f>
        <v>2097700</v>
      </c>
      <c r="E94" s="2"/>
      <c r="F94" s="2" t="str">
        <f>IFERROR(__xludf.DUMMYFUNCTION("""COMPUTED_VALUE"""),"DB")</f>
        <v>DB</v>
      </c>
      <c r="G94" s="2">
        <f>IFERROR(__xludf.DUMMYFUNCTION("""COMPUTED_VALUE"""),1.5118235950000048E7)</f>
        <v>15118235.95</v>
      </c>
      <c r="H94" s="2"/>
      <c r="I94" s="2"/>
    </row>
    <row r="95">
      <c r="A95" s="7">
        <f>IFERROR(__xludf.DUMMYFUNCTION("""COMPUTED_VALUE"""),46365.0)</f>
        <v>46365</v>
      </c>
      <c r="B95" s="2" t="str">
        <f>IFERROR(__xludf.DUMMYFUNCTION("""COMPUTED_VALUE"""),"TRSF E-BANKING DB")</f>
        <v>TRSF E-BANKING DB</v>
      </c>
      <c r="C95" s="2" t="str">
        <f>IFERROR(__xludf.DUMMYFUNCTION("""COMPUTED_VALUE"""),"0912/FTSCY/WS95271 4648160.00 jember FAJAR ANDREANZAH")</f>
        <v>0912/FTSCY/WS95271 4648160.00 jember FAJAR ANDREANZAH</v>
      </c>
      <c r="D95" s="2">
        <f>IFERROR(__xludf.DUMMYFUNCTION("""COMPUTED_VALUE"""),4648160.0)</f>
        <v>4648160</v>
      </c>
      <c r="E95" s="2"/>
      <c r="F95" s="2" t="str">
        <f>IFERROR(__xludf.DUMMYFUNCTION("""COMPUTED_VALUE"""),"DB")</f>
        <v>DB</v>
      </c>
      <c r="G95" s="2">
        <f>IFERROR(__xludf.DUMMYFUNCTION("""COMPUTED_VALUE"""),1.0470075950000048E7)</f>
        <v>10470075.95</v>
      </c>
      <c r="H95" s="2"/>
      <c r="I95" s="2"/>
    </row>
    <row r="96">
      <c r="A96" s="7">
        <f>IFERROR(__xludf.DUMMYFUNCTION("""COMPUTED_VALUE"""),46365.0)</f>
        <v>46365</v>
      </c>
      <c r="B96" s="2" t="str">
        <f>IFERROR(__xludf.DUMMYFUNCTION("""COMPUTED_VALUE"""),"TRSF E-BANKING DB")</f>
        <v>TRSF E-BANKING DB</v>
      </c>
      <c r="C96" s="2" t="str">
        <f>IFERROR(__xludf.DUMMYFUNCTION("""COMPUTED_VALUE"""),"0912/FTSCY/WS95271 10420000.00 MUHAMMAD HAIRUL MA")</f>
        <v>0912/FTSCY/WS95271 10420000.00 MUHAMMAD HAIRUL MA</v>
      </c>
      <c r="D96" s="2">
        <f>IFERROR(__xludf.DUMMYFUNCTION("""COMPUTED_VALUE"""),1.042E7)</f>
        <v>10420000</v>
      </c>
      <c r="E96" s="2"/>
      <c r="F96" s="2" t="str">
        <f>IFERROR(__xludf.DUMMYFUNCTION("""COMPUTED_VALUE"""),"DB")</f>
        <v>DB</v>
      </c>
      <c r="G96" s="2">
        <f>IFERROR(__xludf.DUMMYFUNCTION("""COMPUTED_VALUE"""),50075.950000047684)</f>
        <v>50075.95</v>
      </c>
      <c r="H96" s="2"/>
      <c r="I96" s="2"/>
    </row>
    <row r="97">
      <c r="A97" s="7">
        <f>IFERROR(__xludf.DUMMYFUNCTION("""COMPUTED_VALUE"""),46365.0)</f>
        <v>46365</v>
      </c>
      <c r="B97" s="2" t="str">
        <f>IFERROR(__xludf.DUMMYFUNCTION("""COMPUTED_VALUE"""),"TRSF E-BANKING DB")</f>
        <v>TRSF E-BANKING DB</v>
      </c>
      <c r="C97" s="2" t="str">
        <f>IFERROR(__xludf.DUMMYFUNCTION("""COMPUTED_VALUE"""),"0912/FTSCY/WS95271 1000000.00 pelunasan MUHAMMAD IDRIS")</f>
        <v>0912/FTSCY/WS95271 1000000.00 pelunasan MUHAMMAD IDRIS</v>
      </c>
      <c r="D97" s="2">
        <f>IFERROR(__xludf.DUMMYFUNCTION("""COMPUTED_VALUE"""),1000000.0)</f>
        <v>1000000</v>
      </c>
      <c r="E97" s="2"/>
      <c r="F97" s="2" t="str">
        <f>IFERROR(__xludf.DUMMYFUNCTION("""COMPUTED_VALUE"""),"DB")</f>
        <v>DB</v>
      </c>
      <c r="G97" s="2">
        <f>IFERROR(__xludf.DUMMYFUNCTION("""COMPUTED_VALUE"""),5.2840074595000005E8)</f>
        <v>528400746</v>
      </c>
      <c r="H97" s="2">
        <f>IFERROR(__xludf.DUMMYFUNCTION("""COMPUTED_VALUE"""),5.2840074595E8)</f>
        <v>528400746</v>
      </c>
      <c r="I97" s="2"/>
    </row>
    <row r="98">
      <c r="A98" s="7">
        <f>IFERROR(__xludf.DUMMYFUNCTION("""COMPUTED_VALUE"""),46365.0)</f>
        <v>46365</v>
      </c>
      <c r="B98" s="2" t="str">
        <f>IFERROR(__xludf.DUMMYFUNCTION("""COMPUTED_VALUE"""),"TARIKAN ATM 09/12")</f>
        <v>TARIKAN ATM 09/12</v>
      </c>
      <c r="C98" s="2" t="str">
        <f>IFERROR(__xludf.DUMMYFUNCTION("""COMPUTED_VALUE"""),"TARIKAN ATM 09/12")</f>
        <v>TARIKAN ATM 09/12</v>
      </c>
      <c r="D98" s="2">
        <f>IFERROR(__xludf.DUMMYFUNCTION("""COMPUTED_VALUE"""),100000.0)</f>
        <v>100000</v>
      </c>
      <c r="E98" s="2"/>
      <c r="F98" s="2"/>
      <c r="G98" s="2">
        <f>IFERROR(__xludf.DUMMYFUNCTION("""COMPUTED_VALUE"""),5.2930074595000005E8)</f>
        <v>529300746</v>
      </c>
      <c r="H98" s="2"/>
      <c r="I98" s="2"/>
    </row>
    <row r="99">
      <c r="A99" s="7">
        <f>IFERROR(__xludf.DUMMYFUNCTION("""COMPUTED_VALUE"""),46365.0)</f>
        <v>46365</v>
      </c>
      <c r="B99" s="2" t="str">
        <f>IFERROR(__xludf.DUMMYFUNCTION("""COMPUTED_VALUE"""),"BI-FAST DB")</f>
        <v>BI-FAST DB</v>
      </c>
      <c r="C99" s="2" t="str">
        <f>IFERROR(__xludf.DUMMYFUNCTION("""COMPUTED_VALUE"""),"BIF TRANSFER KE 451 FITRIYATUL QOMARIA MyBCA")</f>
        <v>BIF TRANSFER KE 451 FITRIYATUL QOMARIA MyBCA</v>
      </c>
      <c r="D99" s="2">
        <f>IFERROR(__xludf.DUMMYFUNCTION("""COMPUTED_VALUE"""),4650000.0)</f>
        <v>4650000</v>
      </c>
      <c r="E99" s="2"/>
      <c r="F99" s="2" t="str">
        <f>IFERROR(__xludf.DUMMYFUNCTION("""COMPUTED_VALUE"""),"DB")</f>
        <v>DB</v>
      </c>
      <c r="G99" s="2">
        <f>IFERROR(__xludf.DUMMYFUNCTION("""COMPUTED_VALUE"""),5.2465074595000005E8)</f>
        <v>524650746</v>
      </c>
      <c r="H99" s="2"/>
      <c r="I99" s="2"/>
    </row>
    <row r="100">
      <c r="A100" s="7">
        <f>IFERROR(__xludf.DUMMYFUNCTION("""COMPUTED_VALUE"""),46365.0)</f>
        <v>46365</v>
      </c>
      <c r="B100" s="2" t="str">
        <f>IFERROR(__xludf.DUMMYFUNCTION("""COMPUTED_VALUE"""),"BI-FAST DB")</f>
        <v>BI-FAST DB</v>
      </c>
      <c r="C100" s="2" t="str">
        <f>IFERROR(__xludf.DUMMYFUNCTION("""COMPUTED_VALUE"""),"BIF BIAYA TXN KE 451 FITRIYATUL QOMARIA MyBCA")</f>
        <v>BIF BIAYA TXN KE 451 FITRIYATUL QOMARIA MyBCA</v>
      </c>
      <c r="D100" s="2">
        <f>IFERROR(__xludf.DUMMYFUNCTION("""COMPUTED_VALUE"""),2500.0)</f>
        <v>2500</v>
      </c>
      <c r="E100" s="2"/>
      <c r="F100" s="2" t="str">
        <f>IFERROR(__xludf.DUMMYFUNCTION("""COMPUTED_VALUE"""),"DB")</f>
        <v>DB</v>
      </c>
      <c r="G100" s="2">
        <f>IFERROR(__xludf.DUMMYFUNCTION("""COMPUTED_VALUE"""),5.2464824595000005E8)</f>
        <v>524648246</v>
      </c>
      <c r="H100" s="2"/>
      <c r="I100" s="2"/>
    </row>
    <row r="101">
      <c r="A101" s="7">
        <f>IFERROR(__xludf.DUMMYFUNCTION("""COMPUTED_VALUE"""),46365.0)</f>
        <v>46365</v>
      </c>
      <c r="B101" s="2" t="str">
        <f>IFERROR(__xludf.DUMMYFUNCTION("""COMPUTED_VALUE"""),"TRSF E-BANKING DB")</f>
        <v>TRSF E-BANKING DB</v>
      </c>
      <c r="C101" s="2" t="str">
        <f>IFERROR(__xludf.DUMMYFUNCTION("""COMPUTED_VALUE"""),"0912/FTSCY/WS95271 1700000.00 magetan RUKHAILAH")</f>
        <v>0912/FTSCY/WS95271 1700000.00 magetan RUKHAILAH</v>
      </c>
      <c r="D101" s="2">
        <f>IFERROR(__xludf.DUMMYFUNCTION("""COMPUTED_VALUE"""),1700000.0)</f>
        <v>1700000</v>
      </c>
      <c r="E101" s="2"/>
      <c r="F101" s="2" t="str">
        <f>IFERROR(__xludf.DUMMYFUNCTION("""COMPUTED_VALUE"""),"DB")</f>
        <v>DB</v>
      </c>
      <c r="G101" s="2">
        <f>IFERROR(__xludf.DUMMYFUNCTION("""COMPUTED_VALUE"""),5.2294824595000005E8)</f>
        <v>522948246</v>
      </c>
      <c r="H101" s="2">
        <f>IFERROR(__xludf.DUMMYFUNCTION("""COMPUTED_VALUE"""),5.2294824595E8)</f>
        <v>522948246</v>
      </c>
      <c r="I101" s="2"/>
    </row>
    <row r="102">
      <c r="A102" s="7">
        <f>IFERROR(__xludf.DUMMYFUNCTION("""COMPUTED_VALUE"""),46366.0)</f>
        <v>46366</v>
      </c>
      <c r="B102" s="2" t="str">
        <f>IFERROR(__xludf.DUMMYFUNCTION("""COMPUTED_VALUE"""),"TARIKAN ATM 09/12")</f>
        <v>TARIKAN ATM 09/12</v>
      </c>
      <c r="C102" s="2" t="str">
        <f>IFERROR(__xludf.DUMMYFUNCTION("""COMPUTED_VALUE"""),"TARIKAN ATM 09/12")</f>
        <v>TARIKAN ATM 09/12</v>
      </c>
      <c r="D102" s="2">
        <f>IFERROR(__xludf.DUMMYFUNCTION("""COMPUTED_VALUE"""),500000.0)</f>
        <v>500000</v>
      </c>
      <c r="E102" s="2"/>
      <c r="F102" s="2"/>
      <c r="G102" s="2">
        <f>IFERROR(__xludf.DUMMYFUNCTION("""COMPUTED_VALUE"""),5.2244824595000005E8)</f>
        <v>522448246</v>
      </c>
      <c r="H102" s="2"/>
      <c r="I102" s="2"/>
    </row>
    <row r="103">
      <c r="A103" s="7">
        <f>IFERROR(__xludf.DUMMYFUNCTION("""COMPUTED_VALUE"""),46366.0)</f>
        <v>46366</v>
      </c>
      <c r="B103" s="2" t="str">
        <f>IFERROR(__xludf.DUMMYFUNCTION("""COMPUTED_VALUE"""),"TRSF E-BANKING DB")</f>
        <v>TRSF E-BANKING DB</v>
      </c>
      <c r="C103" s="2" t="str">
        <f>IFERROR(__xludf.DUMMYFUNCTION("""COMPUTED_VALUE"""),"1012/FTSCY/WS95031 17350440.00 EKO SETIYAWAN")</f>
        <v>1012/FTSCY/WS95031 17350440.00 EKO SETIYAWAN</v>
      </c>
      <c r="D103" s="2">
        <f>IFERROR(__xludf.DUMMYFUNCTION("""COMPUTED_VALUE"""),1.735044E7)</f>
        <v>17350440</v>
      </c>
      <c r="E103" s="2"/>
      <c r="F103" s="2" t="str">
        <f>IFERROR(__xludf.DUMMYFUNCTION("""COMPUTED_VALUE"""),"DB")</f>
        <v>DB</v>
      </c>
      <c r="G103" s="2">
        <f>IFERROR(__xludf.DUMMYFUNCTION("""COMPUTED_VALUE"""),6.2108576595E8)</f>
        <v>621085766</v>
      </c>
      <c r="H103" s="2"/>
      <c r="I103" s="2"/>
    </row>
    <row r="104">
      <c r="A104" s="7">
        <f>IFERROR(__xludf.DUMMYFUNCTION("""COMPUTED_VALUE"""),46366.0)</f>
        <v>46366</v>
      </c>
      <c r="B104" s="2" t="str">
        <f>IFERROR(__xludf.DUMMYFUNCTION("""COMPUTED_VALUE"""),"TRSF E-BANKING DB")</f>
        <v>TRSF E-BANKING DB</v>
      </c>
      <c r="C104" s="2" t="str">
        <f>IFERROR(__xludf.DUMMYFUNCTION("""COMPUTED_VALUE"""),"1012/FTSCY/WS95031 500000.00 EKO SETIYAWAN")</f>
        <v>1012/FTSCY/WS95031 500000.00 EKO SETIYAWAN</v>
      </c>
      <c r="D104" s="2">
        <f>IFERROR(__xludf.DUMMYFUNCTION("""COMPUTED_VALUE"""),500000.0)</f>
        <v>500000</v>
      </c>
      <c r="E104" s="2"/>
      <c r="F104" s="2" t="str">
        <f>IFERROR(__xludf.DUMMYFUNCTION("""COMPUTED_VALUE"""),"DB")</f>
        <v>DB</v>
      </c>
      <c r="G104" s="2">
        <f>IFERROR(__xludf.DUMMYFUNCTION("""COMPUTED_VALUE"""),6.2058576595E8)</f>
        <v>620585766</v>
      </c>
      <c r="H104" s="2"/>
      <c r="I104" s="2"/>
    </row>
    <row r="105">
      <c r="A105" s="7">
        <f>IFERROR(__xludf.DUMMYFUNCTION("""COMPUTED_VALUE"""),46366.0)</f>
        <v>46366</v>
      </c>
      <c r="B105" s="2" t="str">
        <f>IFERROR(__xludf.DUMMYFUNCTION("""COMPUTED_VALUE"""),"TRSF E-BANKING DB")</f>
        <v>TRSF E-BANKING DB</v>
      </c>
      <c r="C105" s="2" t="str">
        <f>IFERROR(__xludf.DUMMYFUNCTION("""COMPUTED_VALUE"""),"1012/FTSCY/WS95271 56120000.00 Mon Dec 07 2026 15:00:00 GMT+0700 (Western Indonesia Time) TABASSAM AL HATTAK")</f>
        <v>1012/FTSCY/WS95271 56120000.00 Mon Dec 07 2026 15:00:00 GMT+0700 (Western Indonesia Time) TABASSAM AL HATTAK</v>
      </c>
      <c r="D105" s="2">
        <f>IFERROR(__xludf.DUMMYFUNCTION("""COMPUTED_VALUE"""),5.612E7)</f>
        <v>56120000</v>
      </c>
      <c r="E105" s="2"/>
      <c r="F105" s="2" t="str">
        <f>IFERROR(__xludf.DUMMYFUNCTION("""COMPUTED_VALUE"""),"DB")</f>
        <v>DB</v>
      </c>
      <c r="G105" s="2">
        <f>IFERROR(__xludf.DUMMYFUNCTION("""COMPUTED_VALUE"""),3.0987204595000005E8)</f>
        <v>309872046</v>
      </c>
      <c r="H105" s="2">
        <f>IFERROR(__xludf.DUMMYFUNCTION("""COMPUTED_VALUE"""),3.0987204595E8)</f>
        <v>309872046</v>
      </c>
      <c r="I105" s="2"/>
    </row>
    <row r="106">
      <c r="A106" s="7">
        <f>IFERROR(__xludf.DUMMYFUNCTION("""COMPUTED_VALUE"""),46366.0)</f>
        <v>46366</v>
      </c>
      <c r="B106" s="2" t="str">
        <f>IFERROR(__xludf.DUMMYFUNCTION("""COMPUTED_VALUE"""),"TRSF E-BANKING DB")</f>
        <v>TRSF E-BANKING DB</v>
      </c>
      <c r="C106" s="2" t="str">
        <f>IFERROR(__xludf.DUMMYFUNCTION("""COMPUTED_VALUE"""),"1012/FTSCY/WS95011 147823500.00 Mon Dec 07 2026 15:00:00 GMT+0700 (Western Indonesia Time) ANUGERAH KARTIKA A")</f>
        <v>1012/FTSCY/WS95011 147823500.00 Mon Dec 07 2026 15:00:00 GMT+0700 (Western Indonesia Time) ANUGERAH KARTIKA A</v>
      </c>
      <c r="D106" s="2">
        <f>IFERROR(__xludf.DUMMYFUNCTION("""COMPUTED_VALUE"""),1.478235E8)</f>
        <v>147823500</v>
      </c>
      <c r="E106" s="2"/>
      <c r="F106" s="2" t="str">
        <f>IFERROR(__xludf.DUMMYFUNCTION("""COMPUTED_VALUE"""),"DB")</f>
        <v>DB</v>
      </c>
      <c r="G106" s="2">
        <f>IFERROR(__xludf.DUMMYFUNCTION("""COMPUTED_VALUE"""),1.6204854595000005E8)</f>
        <v>162048546</v>
      </c>
      <c r="H106" s="2">
        <f>IFERROR(__xludf.DUMMYFUNCTION("""COMPUTED_VALUE"""),1.6204854595E8)</f>
        <v>162048546</v>
      </c>
      <c r="I106" s="2"/>
    </row>
    <row r="107">
      <c r="A107" s="7">
        <f>IFERROR(__xludf.DUMMYFUNCTION("""COMPUTED_VALUE"""),46366.0)</f>
        <v>46366</v>
      </c>
      <c r="B107" s="2" t="str">
        <f>IFERROR(__xludf.DUMMYFUNCTION("""COMPUTED_VALUE"""),"TRSF E-BANKING DB")</f>
        <v>TRSF E-BANKING DB</v>
      </c>
      <c r="C107" s="2" t="str">
        <f>IFERROR(__xludf.DUMMYFUNCTION("""COMPUTED_VALUE"""),"1012/FTSCY/WS95031 5773230.00 MUJIANTO")</f>
        <v>1012/FTSCY/WS95031 5773230.00 MUJIANTO</v>
      </c>
      <c r="D107" s="2">
        <f>IFERROR(__xludf.DUMMYFUNCTION("""COMPUTED_VALUE"""),5773230.0)</f>
        <v>5773230</v>
      </c>
      <c r="E107" s="2"/>
      <c r="F107" s="2" t="str">
        <f>IFERROR(__xludf.DUMMYFUNCTION("""COMPUTED_VALUE"""),"DB")</f>
        <v>DB</v>
      </c>
      <c r="G107" s="2">
        <f>IFERROR(__xludf.DUMMYFUNCTION("""COMPUTED_VALUE"""),1.5627531595000005E8)</f>
        <v>156275316</v>
      </c>
      <c r="H107" s="2"/>
      <c r="I107" s="2"/>
    </row>
    <row r="108">
      <c r="A108" s="7">
        <f>IFERROR(__xludf.DUMMYFUNCTION("""COMPUTED_VALUE"""),46366.0)</f>
        <v>46366</v>
      </c>
      <c r="B108" s="2" t="str">
        <f>IFERROR(__xludf.DUMMYFUNCTION("""COMPUTED_VALUE"""),"TRSF E-BANKING DB")</f>
        <v>TRSF E-BANKING DB</v>
      </c>
      <c r="C108" s="2" t="str">
        <f>IFERROR(__xludf.DUMMYFUNCTION("""COMPUTED_VALUE"""),"1012/FTSCY/WS95031 2000000.00 SUNARTO")</f>
        <v>1012/FTSCY/WS95031 2000000.00 SUNARTO</v>
      </c>
      <c r="D108" s="2">
        <f>IFERROR(__xludf.DUMMYFUNCTION("""COMPUTED_VALUE"""),2000000.0)</f>
        <v>2000000</v>
      </c>
      <c r="E108" s="2"/>
      <c r="F108" s="2" t="str">
        <f>IFERROR(__xludf.DUMMYFUNCTION("""COMPUTED_VALUE"""),"DB")</f>
        <v>DB</v>
      </c>
      <c r="G108" s="2">
        <f>IFERROR(__xludf.DUMMYFUNCTION("""COMPUTED_VALUE"""),1.5427531595000005E8)</f>
        <v>154275316</v>
      </c>
      <c r="H108" s="2"/>
      <c r="I108" s="2"/>
    </row>
    <row r="109">
      <c r="A109" s="7">
        <f>IFERROR(__xludf.DUMMYFUNCTION("""COMPUTED_VALUE"""),46366.0)</f>
        <v>46366</v>
      </c>
      <c r="B109" s="2" t="str">
        <f>IFERROR(__xludf.DUMMYFUNCTION("""COMPUTED_VALUE"""),"TRSF E-BANKING DB")</f>
        <v>TRSF E-BANKING DB</v>
      </c>
      <c r="C109" s="2" t="str">
        <f>IFERROR(__xludf.DUMMYFUNCTION("""COMPUTED_VALUE"""),"1012/FTSCY/WS95031 2222400.00 IMAM KUSAENI")</f>
        <v>1012/FTSCY/WS95031 2222400.00 IMAM KUSAENI</v>
      </c>
      <c r="D109" s="2">
        <f>IFERROR(__xludf.DUMMYFUNCTION("""COMPUTED_VALUE"""),2222400.0)</f>
        <v>2222400</v>
      </c>
      <c r="E109" s="2"/>
      <c r="F109" s="2" t="str">
        <f>IFERROR(__xludf.DUMMYFUNCTION("""COMPUTED_VALUE"""),"DB")</f>
        <v>DB</v>
      </c>
      <c r="G109" s="2">
        <f>IFERROR(__xludf.DUMMYFUNCTION("""COMPUTED_VALUE"""),1.5205291595000005E8)</f>
        <v>152052916</v>
      </c>
      <c r="H109" s="2"/>
      <c r="I109" s="2"/>
    </row>
    <row r="110">
      <c r="A110" s="7">
        <f>IFERROR(__xludf.DUMMYFUNCTION("""COMPUTED_VALUE"""),46366.0)</f>
        <v>46366</v>
      </c>
      <c r="B110" s="2" t="str">
        <f>IFERROR(__xludf.DUMMYFUNCTION("""COMPUTED_VALUE"""),"TRSF E-BANKING DB")</f>
        <v>TRSF E-BANKING DB</v>
      </c>
      <c r="C110" s="2" t="str">
        <f>IFERROR(__xludf.DUMMYFUNCTION("""COMPUTED_VALUE"""),"1012/FTSCY/WS95271 325000.00 byr penginapan FARUQ ALFARISY")</f>
        <v>1012/FTSCY/WS95271 325000.00 byr penginapan FARUQ ALFARISY</v>
      </c>
      <c r="D110" s="2">
        <f>IFERROR(__xludf.DUMMYFUNCTION("""COMPUTED_VALUE"""),325000.0)</f>
        <v>325000</v>
      </c>
      <c r="E110" s="2"/>
      <c r="F110" s="2" t="str">
        <f>IFERROR(__xludf.DUMMYFUNCTION("""COMPUTED_VALUE"""),"DB")</f>
        <v>DB</v>
      </c>
      <c r="G110" s="2">
        <f>IFERROR(__xludf.DUMMYFUNCTION("""COMPUTED_VALUE"""),1.5172791595000005E8)</f>
        <v>151727916</v>
      </c>
      <c r="H110" s="2"/>
      <c r="I110" s="2"/>
    </row>
    <row r="111">
      <c r="A111" s="7">
        <f>IFERROR(__xludf.DUMMYFUNCTION("""COMPUTED_VALUE"""),46366.0)</f>
        <v>46366</v>
      </c>
      <c r="B111" s="2" t="str">
        <f>IFERROR(__xludf.DUMMYFUNCTION("""COMPUTED_VALUE"""),"TARIKAN ATM 10/12")</f>
        <v>TARIKAN ATM 10/12</v>
      </c>
      <c r="C111" s="2" t="str">
        <f>IFERROR(__xludf.DUMMYFUNCTION("""COMPUTED_VALUE"""),"TARIKAN ATM 10/12")</f>
        <v>TARIKAN ATM 10/12</v>
      </c>
      <c r="D111" s="2">
        <f>IFERROR(__xludf.DUMMYFUNCTION("""COMPUTED_VALUE"""),500000.0)</f>
        <v>500000</v>
      </c>
      <c r="E111" s="2"/>
      <c r="F111" s="2"/>
      <c r="G111" s="2">
        <f>IFERROR(__xludf.DUMMYFUNCTION("""COMPUTED_VALUE"""),1.5122791595000005E8)</f>
        <v>151227916</v>
      </c>
      <c r="H111" s="2">
        <f>IFERROR(__xludf.DUMMYFUNCTION("""COMPUTED_VALUE"""),1.5122791595E8)</f>
        <v>151227916</v>
      </c>
      <c r="I111" s="2"/>
    </row>
    <row r="112">
      <c r="A112" s="7">
        <f>IFERROR(__xludf.DUMMYFUNCTION("""COMPUTED_VALUE"""),46367.0)</f>
        <v>46367</v>
      </c>
      <c r="B112" s="2" t="str">
        <f>IFERROR(__xludf.DUMMYFUNCTION("""COMPUTED_VALUE"""),"TRSF E-BANKING DB")</f>
        <v>TRSF E-BANKING DB</v>
      </c>
      <c r="C112" s="2" t="str">
        <f>IFERROR(__xludf.DUMMYFUNCTION("""COMPUTED_VALUE"""),"1112/FTSCY/WS95271 50847000.00 Tue Dec 08 2026 15:00:00 GMT+0700 (Western Indonesia Time) PT BERLIAN INDOMIT")</f>
        <v>1112/FTSCY/WS95271 50847000.00 Tue Dec 08 2026 15:00:00 GMT+0700 (Western Indonesia Time) PT BERLIAN INDOMIT</v>
      </c>
      <c r="D112" s="2">
        <f>IFERROR(__xludf.DUMMYFUNCTION("""COMPUTED_VALUE"""),5.0847E7)</f>
        <v>50847000</v>
      </c>
      <c r="E112" s="2"/>
      <c r="F112" s="2" t="str">
        <f>IFERROR(__xludf.DUMMYFUNCTION("""COMPUTED_VALUE"""),"DB")</f>
        <v>DB</v>
      </c>
      <c r="G112" s="2">
        <f>IFERROR(__xludf.DUMMYFUNCTION("""COMPUTED_VALUE"""),5.6983620495E8)</f>
        <v>569836205</v>
      </c>
      <c r="H112" s="2"/>
      <c r="I112" s="2"/>
    </row>
    <row r="113">
      <c r="A113" s="7">
        <f>IFERROR(__xludf.DUMMYFUNCTION("""COMPUTED_VALUE"""),46367.0)</f>
        <v>46367</v>
      </c>
      <c r="B113" s="2" t="str">
        <f>IFERROR(__xludf.DUMMYFUNCTION("""COMPUTED_VALUE"""),"TRSF E-BANKING DB")</f>
        <v>TRSF E-BANKING DB</v>
      </c>
      <c r="C113" s="2" t="str">
        <f>IFERROR(__xludf.DUMMYFUNCTION("""COMPUTED_VALUE"""),"1112/FTSCY/WS95271 49395200.00 Thu Dec 10 2026 15:00:00 GMT+0700 (Western Indonesia Time) INTEGRASI TEKNOLOG")</f>
        <v>1112/FTSCY/WS95271 49395200.00 Thu Dec 10 2026 15:00:00 GMT+0700 (Western Indonesia Time) INTEGRASI TEKNOLOG</v>
      </c>
      <c r="D113" s="2">
        <f>IFERROR(__xludf.DUMMYFUNCTION("""COMPUTED_VALUE"""),4.93952E7)</f>
        <v>49395200</v>
      </c>
      <c r="E113" s="2"/>
      <c r="F113" s="2" t="str">
        <f>IFERROR(__xludf.DUMMYFUNCTION("""COMPUTED_VALUE"""),"DB")</f>
        <v>DB</v>
      </c>
      <c r="G113" s="2">
        <f>IFERROR(__xludf.DUMMYFUNCTION("""COMPUTED_VALUE"""),5.2044100495000005E8)</f>
        <v>520441005</v>
      </c>
      <c r="H113" s="2"/>
      <c r="I113" s="2"/>
    </row>
    <row r="114">
      <c r="A114" s="7">
        <f>IFERROR(__xludf.DUMMYFUNCTION("""COMPUTED_VALUE"""),46367.0)</f>
        <v>46367</v>
      </c>
      <c r="B114" s="2" t="str">
        <f>IFERROR(__xludf.DUMMYFUNCTION("""COMPUTED_VALUE"""),"KARTU DEBIT")</f>
        <v>KARTU DEBIT</v>
      </c>
      <c r="C114" s="2" t="str">
        <f>IFERROR(__xludf.DUMMYFUNCTION("""COMPUTED_VALUE"""),"ALFAMRT Y207 BRTN 6019009510239343")</f>
        <v>ALFAMRT Y207 BRTN 6019009510239343</v>
      </c>
      <c r="D114" s="2">
        <f>IFERROR(__xludf.DUMMYFUNCTION("""COMPUTED_VALUE"""),422800.0)</f>
        <v>422800</v>
      </c>
      <c r="E114" s="2"/>
      <c r="F114" s="2"/>
      <c r="G114" s="2">
        <f>IFERROR(__xludf.DUMMYFUNCTION("""COMPUTED_VALUE"""),5.3134250495000005E8)</f>
        <v>531342505</v>
      </c>
      <c r="H114" s="2"/>
      <c r="I114" s="2"/>
    </row>
    <row r="115">
      <c r="A115" s="7">
        <f>IFERROR(__xludf.DUMMYFUNCTION("""COMPUTED_VALUE"""),46367.0)</f>
        <v>46367</v>
      </c>
      <c r="B115" s="2" t="str">
        <f>IFERROR(__xludf.DUMMYFUNCTION("""COMPUTED_VALUE"""),"TRSF E-BANKING DB")</f>
        <v>TRSF E-BANKING DB</v>
      </c>
      <c r="C115" s="2" t="str">
        <f>IFERROR(__xludf.DUMMYFUNCTION("""COMPUTED_VALUE"""),"1112/FTSCY/WS95011 101056900.00 Tue Dec 08 2026 15:00:00 GMT+0700 (Western Indonesia Time) SUPER UNGGAS JAYA")</f>
        <v>1112/FTSCY/WS95011 101056900.00 Tue Dec 08 2026 15:00:00 GMT+0700 (Western Indonesia Time) SUPER UNGGAS JAYA</v>
      </c>
      <c r="D115" s="2">
        <f>IFERROR(__xludf.DUMMYFUNCTION("""COMPUTED_VALUE"""),1.010569E8)</f>
        <v>101056900</v>
      </c>
      <c r="E115" s="2"/>
      <c r="F115" s="2" t="str">
        <f>IFERROR(__xludf.DUMMYFUNCTION("""COMPUTED_VALUE"""),"DB")</f>
        <v>DB</v>
      </c>
      <c r="G115" s="2">
        <f>IFERROR(__xludf.DUMMYFUNCTION("""COMPUTED_VALUE"""),3.7760770495000005E8)</f>
        <v>377607705</v>
      </c>
      <c r="H115" s="2"/>
      <c r="I115" s="2"/>
    </row>
    <row r="116">
      <c r="A116" s="7">
        <f>IFERROR(__xludf.DUMMYFUNCTION("""COMPUTED_VALUE"""),46367.0)</f>
        <v>46367</v>
      </c>
      <c r="B116" s="2" t="str">
        <f>IFERROR(__xludf.DUMMYFUNCTION("""COMPUTED_VALUE"""),"TRSF E-BANKING DB")</f>
        <v>TRSF E-BANKING DB</v>
      </c>
      <c r="C116" s="2" t="str">
        <f>IFERROR(__xludf.DUMMYFUNCTION("""COMPUTED_VALUE"""),"1112/FTSCY/WS95031 36806000.00 lokalan bws MARIA ELDA PURWANT")</f>
        <v>1112/FTSCY/WS95031 36806000.00 lokalan bws MARIA ELDA PURWANT</v>
      </c>
      <c r="D116" s="2">
        <f>IFERROR(__xludf.DUMMYFUNCTION("""COMPUTED_VALUE"""),3.6806E7)</f>
        <v>36806000</v>
      </c>
      <c r="E116" s="2"/>
      <c r="F116" s="2" t="str">
        <f>IFERROR(__xludf.DUMMYFUNCTION("""COMPUTED_VALUE"""),"DB")</f>
        <v>DB</v>
      </c>
      <c r="G116" s="2">
        <f>IFERROR(__xludf.DUMMYFUNCTION("""COMPUTED_VALUE"""),3.4080170495000005E8)</f>
        <v>340801705</v>
      </c>
      <c r="H116" s="2"/>
      <c r="I116" s="2"/>
    </row>
    <row r="117">
      <c r="A117" s="7">
        <f>IFERROR(__xludf.DUMMYFUNCTION("""COMPUTED_VALUE"""),46367.0)</f>
        <v>46367</v>
      </c>
      <c r="B117" s="2" t="str">
        <f>IFERROR(__xludf.DUMMYFUNCTION("""COMPUTED_VALUE"""),"TRSF E-BANKING DB")</f>
        <v>TRSF E-BANKING DB</v>
      </c>
      <c r="C117" s="2" t="str">
        <f>IFERROR(__xludf.DUMMYFUNCTION("""COMPUTED_VALUE"""),"1112/FTSCY/WS95011 102773780.00 Thu Dec 10 2026 15:00:00 GMT+0700 (Western Indonesia Time) RUKUN MITRA BERSAM")</f>
        <v>1112/FTSCY/WS95011 102773780.00 Thu Dec 10 2026 15:00:00 GMT+0700 (Western Indonesia Time) RUKUN MITRA BERSAM</v>
      </c>
      <c r="D117" s="2">
        <f>IFERROR(__xludf.DUMMYFUNCTION("""COMPUTED_VALUE"""),1.0277378E8)</f>
        <v>102773780</v>
      </c>
      <c r="E117" s="2"/>
      <c r="F117" s="2" t="str">
        <f>IFERROR(__xludf.DUMMYFUNCTION("""COMPUTED_VALUE"""),"DB")</f>
        <v>DB</v>
      </c>
      <c r="G117" s="2">
        <f>IFERROR(__xludf.DUMMYFUNCTION("""COMPUTED_VALUE"""),2.3802792495000005E8)</f>
        <v>238027925</v>
      </c>
      <c r="H117" s="2">
        <f>IFERROR(__xludf.DUMMYFUNCTION("""COMPUTED_VALUE"""),2.3802792495E8)</f>
        <v>238027925</v>
      </c>
      <c r="I117" s="2"/>
    </row>
    <row r="118">
      <c r="A118" s="7">
        <f>IFERROR(__xludf.DUMMYFUNCTION("""COMPUTED_VALUE"""),46367.0)</f>
        <v>46367</v>
      </c>
      <c r="B118" s="2" t="str">
        <f>IFERROR(__xludf.DUMMYFUNCTION("""COMPUTED_VALUE"""),"TRSF E-BANKING DB")</f>
        <v>TRSF E-BANKING DB</v>
      </c>
      <c r="C118" s="2" t="str">
        <f>IFERROR(__xludf.DUMMYFUNCTION("""COMPUTED_VALUE"""),"1112/FTSCY/WS95011 194297600.00 Thu Dec 10 2026 15:00:00 GMT+0700 (Western Indonesia Time) PITIK DIGITAL INDO")</f>
        <v>1112/FTSCY/WS95011 194297600.00 Thu Dec 10 2026 15:00:00 GMT+0700 (Western Indonesia Time) PITIK DIGITAL INDO</v>
      </c>
      <c r="D118" s="2">
        <f>IFERROR(__xludf.DUMMYFUNCTION("""COMPUTED_VALUE"""),1.942976E8)</f>
        <v>194297600</v>
      </c>
      <c r="E118" s="2"/>
      <c r="F118" s="2" t="str">
        <f>IFERROR(__xludf.DUMMYFUNCTION("""COMPUTED_VALUE"""),"DB")</f>
        <v>DB</v>
      </c>
      <c r="G118" s="2">
        <f>IFERROR(__xludf.DUMMYFUNCTION("""COMPUTED_VALUE"""),4.373032495000005E7)</f>
        <v>43730324.95</v>
      </c>
      <c r="H118" s="2">
        <f>IFERROR(__xludf.DUMMYFUNCTION("""COMPUTED_VALUE"""),4.373032495E7)</f>
        <v>43730324.95</v>
      </c>
      <c r="I118" s="2"/>
    </row>
    <row r="119">
      <c r="A119" s="7">
        <f>IFERROR(__xludf.DUMMYFUNCTION("""COMPUTED_VALUE"""),46368.0)</f>
        <v>46368</v>
      </c>
      <c r="B119" s="2" t="str">
        <f>IFERROR(__xludf.DUMMYFUNCTION("""COMPUTED_VALUE"""),"TRSF E-BANKING DB")</f>
        <v>TRSF E-BANKING DB</v>
      </c>
      <c r="C119" s="2" t="str">
        <f>IFERROR(__xludf.DUMMYFUNCTION("""COMPUTED_VALUE"""),"1212/FTSCY/WS95031 2900000.00 krg 5 jt MUJIANTO")</f>
        <v>1212/FTSCY/WS95031 2900000.00 krg 5 jt MUJIANTO</v>
      </c>
      <c r="D119" s="2">
        <f>IFERROR(__xludf.DUMMYFUNCTION("""COMPUTED_VALUE"""),2900000.0)</f>
        <v>2900000</v>
      </c>
      <c r="E119" s="2"/>
      <c r="F119" s="2" t="str">
        <f>IFERROR(__xludf.DUMMYFUNCTION("""COMPUTED_VALUE"""),"DB")</f>
        <v>DB</v>
      </c>
      <c r="G119" s="2">
        <f>IFERROR(__xludf.DUMMYFUNCTION("""COMPUTED_VALUE"""),1.5088484950000048E7)</f>
        <v>15088484.95</v>
      </c>
      <c r="H119" s="2"/>
      <c r="I119" s="2"/>
    </row>
    <row r="120">
      <c r="A120" s="7">
        <f>IFERROR(__xludf.DUMMYFUNCTION("""COMPUTED_VALUE"""),46368.0)</f>
        <v>46368</v>
      </c>
      <c r="B120" s="2" t="str">
        <f>IFERROR(__xludf.DUMMYFUNCTION("""COMPUTED_VALUE"""),"BYR VIA E-BANKING")</f>
        <v>BYR VIA E-BANKING</v>
      </c>
      <c r="C120" s="2" t="str">
        <f>IFERROR(__xludf.DUMMYFUNCTION("""COMPUTED_VALUE"""),"12/12  WSID9503101 1220 TELKOMSEL 82131900513 MUHAMMAD HAIRUL MA")</f>
        <v>12/12  WSID9503101 1220 TELKOMSEL 82131900513 MUHAMMAD HAIRUL MA</v>
      </c>
      <c r="D120" s="2">
        <f>IFERROR(__xludf.DUMMYFUNCTION("""COMPUTED_VALUE"""),52000.0)</f>
        <v>52000</v>
      </c>
      <c r="E120" s="2"/>
      <c r="F120" s="2"/>
      <c r="G120" s="2">
        <f>IFERROR(__xludf.DUMMYFUNCTION("""COMPUTED_VALUE"""),4.6364975495000005E8)</f>
        <v>463649755</v>
      </c>
      <c r="H120" s="2">
        <f>IFERROR(__xludf.DUMMYFUNCTION("""COMPUTED_VALUE"""),4.6364975495E8)</f>
        <v>463649755</v>
      </c>
      <c r="I120" s="2"/>
    </row>
    <row r="121">
      <c r="A121" s="7">
        <f>IFERROR(__xludf.DUMMYFUNCTION("""COMPUTED_VALUE"""),46368.0)</f>
        <v>46368</v>
      </c>
      <c r="B121" s="2" t="str">
        <f>IFERROR(__xludf.DUMMYFUNCTION("""COMPUTED_VALUE"""),"TARIKAN ATM 12/12")</f>
        <v>TARIKAN ATM 12/12</v>
      </c>
      <c r="C121" s="2" t="str">
        <f>IFERROR(__xludf.DUMMYFUNCTION("""COMPUTED_VALUE"""),"TARIKAN ATM 12/12")</f>
        <v>TARIKAN ATM 12/12</v>
      </c>
      <c r="D121" s="2">
        <f>IFERROR(__xludf.DUMMYFUNCTION("""COMPUTED_VALUE"""),500000.0)</f>
        <v>500000</v>
      </c>
      <c r="E121" s="2"/>
      <c r="F121" s="2"/>
      <c r="G121" s="2">
        <f>IFERROR(__xludf.DUMMYFUNCTION("""COMPUTED_VALUE"""),9.9264238595E8)</f>
        <v>992642386</v>
      </c>
      <c r="H121" s="2"/>
      <c r="I121" s="2"/>
    </row>
    <row r="122">
      <c r="A122" s="7">
        <f>IFERROR(__xludf.DUMMYFUNCTION("""COMPUTED_VALUE"""),46368.0)</f>
        <v>46368</v>
      </c>
      <c r="B122" s="2" t="str">
        <f>IFERROR(__xludf.DUMMYFUNCTION("""COMPUTED_VALUE"""),"TRSF E-BANKING DB")</f>
        <v>TRSF E-BANKING DB</v>
      </c>
      <c r="C122" s="2" t="str">
        <f>IFERROR(__xludf.DUMMYFUNCTION("""COMPUTED_VALUE"""),"1212/FTSCY/WS95271 13500000.00 ANITA DWI NOVIES S")</f>
        <v>1212/FTSCY/WS95271 13500000.00 ANITA DWI NOVIES S</v>
      </c>
      <c r="D122" s="2">
        <f>IFERROR(__xludf.DUMMYFUNCTION("""COMPUTED_VALUE"""),1.35E7)</f>
        <v>13500000</v>
      </c>
      <c r="E122" s="2"/>
      <c r="F122" s="2" t="str">
        <f>IFERROR(__xludf.DUMMYFUNCTION("""COMPUTED_VALUE"""),"DB")</f>
        <v>DB</v>
      </c>
      <c r="G122" s="2">
        <f>IFERROR(__xludf.DUMMYFUNCTION("""COMPUTED_VALUE"""),9.7914238595E8)</f>
        <v>979142386</v>
      </c>
      <c r="H122" s="2">
        <f>IFERROR(__xludf.DUMMYFUNCTION("""COMPUTED_VALUE"""),9.7914238595E8)</f>
        <v>979142386</v>
      </c>
      <c r="I122" s="2"/>
    </row>
    <row r="123">
      <c r="A123" s="7">
        <f>IFERROR(__xludf.DUMMYFUNCTION("""COMPUTED_VALUE"""),46369.0)</f>
        <v>46369</v>
      </c>
      <c r="B123" s="2" t="str">
        <f>IFERROR(__xludf.DUMMYFUNCTION("""COMPUTED_VALUE"""),"TRSF E-BANKING DB TANGGAL :12/12")</f>
        <v>TRSF E-BANKING DB TANGGAL :12/12</v>
      </c>
      <c r="C123" s="2" t="str">
        <f>IFERROR(__xludf.DUMMYFUNCTION("""COMPUTED_VALUE"""),"1212/FTSCY/WS95271 Fri Dec 11 2026 15:00:00 GMT+0700 (Western Indonesia Time) RUKUN MITRA BERSAM")</f>
        <v>1212/FTSCY/WS95271 Fri Dec 11 2026 15:00:00 GMT+0700 (Western Indonesia Time) RUKUN MITRA BERSAM</v>
      </c>
      <c r="D123" s="2">
        <f>IFERROR(__xludf.DUMMYFUNCTION("""COMPUTED_VALUE"""),5.923665E7)</f>
        <v>59236650</v>
      </c>
      <c r="E123" s="2"/>
      <c r="F123" s="2" t="str">
        <f>IFERROR(__xludf.DUMMYFUNCTION("""COMPUTED_VALUE"""),"DB")</f>
        <v>DB</v>
      </c>
      <c r="G123" s="2">
        <f>IFERROR(__xludf.DUMMYFUNCTION("""COMPUTED_VALUE"""),9.1990573595E8)</f>
        <v>919905736</v>
      </c>
      <c r="H123" s="2"/>
      <c r="I123" s="2"/>
    </row>
    <row r="124">
      <c r="A124" s="7">
        <f>IFERROR(__xludf.DUMMYFUNCTION("""COMPUTED_VALUE"""),46369.0)</f>
        <v>46369</v>
      </c>
      <c r="B124" s="2" t="str">
        <f>IFERROR(__xludf.DUMMYFUNCTION("""COMPUTED_VALUE"""),"TRSF E-BANKING DB TANGGAL :12/12")</f>
        <v>TRSF E-BANKING DB TANGGAL :12/12</v>
      </c>
      <c r="C124" s="2" t="str">
        <f>IFERROR(__xludf.DUMMYFUNCTION("""COMPUTED_VALUE"""),"1212/FTSCY/WS95031 Fri Dec 11 2026 15:00:00 GMT+0700 (Western Indonesia Time) INTEGRASI TEKNOLOG")</f>
        <v>1212/FTSCY/WS95031 Fri Dec 11 2026 15:00:00 GMT+0700 (Western Indonesia Time) INTEGRASI TEKNOLOG</v>
      </c>
      <c r="D124" s="2">
        <f>IFERROR(__xludf.DUMMYFUNCTION("""COMPUTED_VALUE"""),5.151839E7)</f>
        <v>51518390</v>
      </c>
      <c r="E124" s="2"/>
      <c r="F124" s="2" t="str">
        <f>IFERROR(__xludf.DUMMYFUNCTION("""COMPUTED_VALUE"""),"DB")</f>
        <v>DB</v>
      </c>
      <c r="G124" s="2">
        <f>IFERROR(__xludf.DUMMYFUNCTION("""COMPUTED_VALUE"""),8.6838734595E8)</f>
        <v>868387346</v>
      </c>
      <c r="H124" s="2"/>
      <c r="I124" s="2"/>
    </row>
    <row r="125">
      <c r="A125" s="7">
        <f>IFERROR(__xludf.DUMMYFUNCTION("""COMPUTED_VALUE"""),46369.0)</f>
        <v>46369</v>
      </c>
      <c r="B125" s="2" t="str">
        <f>IFERROR(__xludf.DUMMYFUNCTION("""COMPUTED_VALUE"""),"TRSF E-BANKING DB TANGGAL :12/12")</f>
        <v>TRSF E-BANKING DB TANGGAL :12/12</v>
      </c>
      <c r="C125" s="2" t="str">
        <f>IFERROR(__xludf.DUMMYFUNCTION("""COMPUTED_VALUE"""),"1212/FTSCY/WS95031 SUNARTO")</f>
        <v>1212/FTSCY/WS95031 SUNARTO</v>
      </c>
      <c r="D125" s="2">
        <f>IFERROR(__xludf.DUMMYFUNCTION("""COMPUTED_VALUE"""),2000000.0)</f>
        <v>2000000</v>
      </c>
      <c r="E125" s="2"/>
      <c r="F125" s="2" t="str">
        <f>IFERROR(__xludf.DUMMYFUNCTION("""COMPUTED_VALUE"""),"DB")</f>
        <v>DB</v>
      </c>
      <c r="G125" s="2">
        <f>IFERROR(__xludf.DUMMYFUNCTION("""COMPUTED_VALUE"""),8.6638734595E8)</f>
        <v>866387346</v>
      </c>
      <c r="H125" s="2"/>
      <c r="I125" s="2"/>
    </row>
    <row r="126">
      <c r="A126" s="7">
        <f>IFERROR(__xludf.DUMMYFUNCTION("""COMPUTED_VALUE"""),46369.0)</f>
        <v>46369</v>
      </c>
      <c r="B126" s="2" t="str">
        <f>IFERROR(__xludf.DUMMYFUNCTION("""COMPUTED_VALUE"""),"TRSF E-BANKING DB TANGGAL :12/12")</f>
        <v>TRSF E-BANKING DB TANGGAL :12/12</v>
      </c>
      <c r="C126" s="2" t="str">
        <f>IFERROR(__xludf.DUMMYFUNCTION("""COMPUTED_VALUE"""),"1212/FTSCY/WS95031 HERMAWAN")</f>
        <v>1212/FTSCY/WS95031 HERMAWAN</v>
      </c>
      <c r="D126" s="2">
        <f>IFERROR(__xludf.DUMMYFUNCTION("""COMPUTED_VALUE"""),1000000.0)</f>
        <v>1000000</v>
      </c>
      <c r="E126" s="2"/>
      <c r="F126" s="2" t="str">
        <f>IFERROR(__xludf.DUMMYFUNCTION("""COMPUTED_VALUE"""),"DB")</f>
        <v>DB</v>
      </c>
      <c r="G126" s="2">
        <f>IFERROR(__xludf.DUMMYFUNCTION("""COMPUTED_VALUE"""),8.6538734595E8)</f>
        <v>865387346</v>
      </c>
      <c r="H126" s="2"/>
      <c r="I126" s="2"/>
    </row>
    <row r="127">
      <c r="A127" s="7">
        <f>IFERROR(__xludf.DUMMYFUNCTION("""COMPUTED_VALUE"""),46369.0)</f>
        <v>46369</v>
      </c>
      <c r="B127" s="2" t="str">
        <f>IFERROR(__xludf.DUMMYFUNCTION("""COMPUTED_VALUE"""),"TRSF E-BANKING DB TANGGAL :12/12")</f>
        <v>TRSF E-BANKING DB TANGGAL :12/12</v>
      </c>
      <c r="C127" s="2" t="str">
        <f>IFERROR(__xludf.DUMMYFUNCTION("""COMPUTED_VALUE"""),"1212/FTSCY/WS95031 MUJIANTO")</f>
        <v>1212/FTSCY/WS95031 MUJIANTO</v>
      </c>
      <c r="D127" s="2">
        <f>IFERROR(__xludf.DUMMYFUNCTION("""COMPUTED_VALUE"""),4488160.0)</f>
        <v>4488160</v>
      </c>
      <c r="E127" s="2"/>
      <c r="F127" s="2" t="str">
        <f>IFERROR(__xludf.DUMMYFUNCTION("""COMPUTED_VALUE"""),"DB")</f>
        <v>DB</v>
      </c>
      <c r="G127" s="2">
        <f>IFERROR(__xludf.DUMMYFUNCTION("""COMPUTED_VALUE"""),8.6089918595E8)</f>
        <v>860899186</v>
      </c>
      <c r="H127" s="2">
        <f>IFERROR(__xludf.DUMMYFUNCTION("""COMPUTED_VALUE"""),8.6089918595E8)</f>
        <v>860899186</v>
      </c>
      <c r="I127" s="2"/>
    </row>
    <row r="128">
      <c r="A128" s="7">
        <f>IFERROR(__xludf.DUMMYFUNCTION("""COMPUTED_VALUE"""),46369.0)</f>
        <v>46369</v>
      </c>
      <c r="B128" s="2" t="str">
        <f>IFERROR(__xludf.DUMMYFUNCTION("""COMPUTED_VALUE"""),"TRSF E-BANKING DB TANGGAL :12/12")</f>
        <v>TRSF E-BANKING DB TANGGAL :12/12</v>
      </c>
      <c r="C128" s="2" t="str">
        <f>IFERROR(__xludf.DUMMYFUNCTION("""COMPUTED_VALUE"""),"1212/FTSCY/WS95031 IMAM KUSAENI")</f>
        <v>1212/FTSCY/WS95031 IMAM KUSAENI</v>
      </c>
      <c r="D128" s="2">
        <f>IFERROR(__xludf.DUMMYFUNCTION("""COMPUTED_VALUE"""),2700090.0)</f>
        <v>2700090</v>
      </c>
      <c r="E128" s="2"/>
      <c r="F128" s="2" t="str">
        <f>IFERROR(__xludf.DUMMYFUNCTION("""COMPUTED_VALUE"""),"DB")</f>
        <v>DB</v>
      </c>
      <c r="G128" s="2">
        <f>IFERROR(__xludf.DUMMYFUNCTION("""COMPUTED_VALUE"""),8.5819909595E8)</f>
        <v>858199096</v>
      </c>
      <c r="H128" s="2">
        <f>IFERROR(__xludf.DUMMYFUNCTION("""COMPUTED_VALUE"""),8.5819909595E8)</f>
        <v>858199096</v>
      </c>
      <c r="I128" s="2"/>
    </row>
    <row r="129">
      <c r="A129" s="7">
        <f>IFERROR(__xludf.DUMMYFUNCTION("""COMPUTED_VALUE"""),46369.0)</f>
        <v>46369</v>
      </c>
      <c r="B129" s="2" t="str">
        <f>IFERROR(__xludf.DUMMYFUNCTION("""COMPUTED_VALUE"""),"TRSF E-BANKING DB TANGGAL :12/12")</f>
        <v>TRSF E-BANKING DB TANGGAL :12/12</v>
      </c>
      <c r="C129" s="2" t="str">
        <f>IFERROR(__xludf.DUMMYFUNCTION("""COMPUTED_VALUE"""),"1212/FTSCY/WS95031 lunas FAJAR ANDREANZAH")</f>
        <v>1212/FTSCY/WS95031 lunas FAJAR ANDREANZAH</v>
      </c>
      <c r="D129" s="2">
        <f>IFERROR(__xludf.DUMMYFUNCTION("""COMPUTED_VALUE"""),6235990.0)</f>
        <v>6235990</v>
      </c>
      <c r="E129" s="2"/>
      <c r="F129" s="2" t="str">
        <f>IFERROR(__xludf.DUMMYFUNCTION("""COMPUTED_VALUE"""),"DB")</f>
        <v>DB</v>
      </c>
      <c r="G129" s="2">
        <f>IFERROR(__xludf.DUMMYFUNCTION("""COMPUTED_VALUE"""),8.5196310595E8)</f>
        <v>851963106</v>
      </c>
      <c r="H129" s="2"/>
      <c r="I129" s="2"/>
    </row>
    <row r="130">
      <c r="A130" s="7">
        <f>IFERROR(__xludf.DUMMYFUNCTION("""COMPUTED_VALUE"""),46369.0)</f>
        <v>46369</v>
      </c>
      <c r="B130" s="2" t="str">
        <f>IFERROR(__xludf.DUMMYFUNCTION("""COMPUTED_VALUE"""),"TRSF E-BANKING DB")</f>
        <v>TRSF E-BANKING DB</v>
      </c>
      <c r="C130" s="2" t="str">
        <f>IFERROR(__xludf.DUMMYFUNCTION("""COMPUTED_VALUE"""),"1312/FTSCY/WS95271 41175650.00 l2/12 PRIMA JAYA BERSATU")</f>
        <v>1312/FTSCY/WS95271 41175650.00 l2/12 PRIMA JAYA BERSATU</v>
      </c>
      <c r="D130" s="2">
        <f>IFERROR(__xludf.DUMMYFUNCTION("""COMPUTED_VALUE"""),4.117565E7)</f>
        <v>41175650</v>
      </c>
      <c r="E130" s="2"/>
      <c r="F130" s="2" t="str">
        <f>IFERROR(__xludf.DUMMYFUNCTION("""COMPUTED_VALUE"""),"DB")</f>
        <v>DB</v>
      </c>
      <c r="G130" s="2">
        <f>IFERROR(__xludf.DUMMYFUNCTION("""COMPUTED_VALUE"""),8.1078745595E8)</f>
        <v>810787456</v>
      </c>
      <c r="H130" s="2"/>
      <c r="I130" s="2"/>
    </row>
    <row r="131">
      <c r="A131" s="7">
        <f>IFERROR(__xludf.DUMMYFUNCTION("""COMPUTED_VALUE"""),46369.0)</f>
        <v>46369</v>
      </c>
      <c r="B131" s="2" t="str">
        <f>IFERROR(__xludf.DUMMYFUNCTION("""COMPUTED_VALUE"""),"TRSF E-BANKING DB")</f>
        <v>TRSF E-BANKING DB</v>
      </c>
      <c r="C131" s="2" t="str">
        <f>IFERROR(__xludf.DUMMYFUNCTION("""COMPUTED_VALUE"""),"1312/FTSCY/WS95031 100000000.00 GANESHA SATRIA NUS")</f>
        <v>1312/FTSCY/WS95031 100000000.00 GANESHA SATRIA NUS</v>
      </c>
      <c r="D131" s="2">
        <f>IFERROR(__xludf.DUMMYFUNCTION("""COMPUTED_VALUE"""),1.0E8)</f>
        <v>100000000</v>
      </c>
      <c r="E131" s="2"/>
      <c r="F131" s="2" t="str">
        <f>IFERROR(__xludf.DUMMYFUNCTION("""COMPUTED_VALUE"""),"DB")</f>
        <v>DB</v>
      </c>
      <c r="G131" s="2">
        <f>IFERROR(__xludf.DUMMYFUNCTION("""COMPUTED_VALUE"""),7.1078745595E8)</f>
        <v>710787456</v>
      </c>
      <c r="H131" s="2"/>
      <c r="I131" s="2"/>
    </row>
    <row r="132">
      <c r="A132" s="7">
        <f>IFERROR(__xludf.DUMMYFUNCTION("""COMPUTED_VALUE"""),46369.0)</f>
        <v>46369</v>
      </c>
      <c r="B132" s="2" t="str">
        <f>IFERROR(__xludf.DUMMYFUNCTION("""COMPUTED_VALUE"""),"TRSF E-BANKING DB")</f>
        <v>TRSF E-BANKING DB</v>
      </c>
      <c r="C132" s="2" t="str">
        <f>IFERROR(__xludf.DUMMYFUNCTION("""COMPUTED_VALUE"""),"1312/FTSCY/WS95271 96640000.00 Fri Dec 11 2026 15:00:00 GMT+0700 (Western Indonesia Time) RUKUN MITRA BERSAM")</f>
        <v>1312/FTSCY/WS95271 96640000.00 Fri Dec 11 2026 15:00:00 GMT+0700 (Western Indonesia Time) RUKUN MITRA BERSAM</v>
      </c>
      <c r="D132" s="2">
        <f>IFERROR(__xludf.DUMMYFUNCTION("""COMPUTED_VALUE"""),9.664E7)</f>
        <v>96640000</v>
      </c>
      <c r="E132" s="2"/>
      <c r="F132" s="2" t="str">
        <f>IFERROR(__xludf.DUMMYFUNCTION("""COMPUTED_VALUE"""),"DB")</f>
        <v>DB</v>
      </c>
      <c r="G132" s="2">
        <f>IFERROR(__xludf.DUMMYFUNCTION("""COMPUTED_VALUE"""),6.1414745595E8)</f>
        <v>614147456</v>
      </c>
      <c r="H132" s="2"/>
      <c r="I132" s="2"/>
    </row>
    <row r="133">
      <c r="A133" s="7">
        <f>IFERROR(__xludf.DUMMYFUNCTION("""COMPUTED_VALUE"""),46369.0)</f>
        <v>46369</v>
      </c>
      <c r="B133" s="2" t="str">
        <f>IFERROR(__xludf.DUMMYFUNCTION("""COMPUTED_VALUE"""),"TRSF E-BANKING DB")</f>
        <v>TRSF E-BANKING DB</v>
      </c>
      <c r="C133" s="2" t="str">
        <f>IFERROR(__xludf.DUMMYFUNCTION("""COMPUTED_VALUE"""),"1312/FTSCY/WS95271 49476900.00 Thu Dec 10 2026 15:00:00 GMT+0700 (Western Indonesia Time) TABASSAM JAYA FARM")</f>
        <v>1312/FTSCY/WS95271 49476900.00 Thu Dec 10 2026 15:00:00 GMT+0700 (Western Indonesia Time) TABASSAM JAYA FARM</v>
      </c>
      <c r="D133" s="2">
        <f>IFERROR(__xludf.DUMMYFUNCTION("""COMPUTED_VALUE"""),4.94769E7)</f>
        <v>49476900</v>
      </c>
      <c r="E133" s="2"/>
      <c r="F133" s="2" t="str">
        <f>IFERROR(__xludf.DUMMYFUNCTION("""COMPUTED_VALUE"""),"DB")</f>
        <v>DB</v>
      </c>
      <c r="G133" s="2">
        <f>IFERROR(__xludf.DUMMYFUNCTION("""COMPUTED_VALUE"""),5.6467055595E8)</f>
        <v>564670556</v>
      </c>
      <c r="H133" s="2"/>
      <c r="I133" s="2"/>
    </row>
    <row r="134">
      <c r="A134" s="7">
        <f>IFERROR(__xludf.DUMMYFUNCTION("""COMPUTED_VALUE"""),46369.0)</f>
        <v>46369</v>
      </c>
      <c r="B134" s="2" t="str">
        <f>IFERROR(__xludf.DUMMYFUNCTION("""COMPUTED_VALUE"""),"TRSF E-BANKING DB")</f>
        <v>TRSF E-BANKING DB</v>
      </c>
      <c r="C134" s="2" t="str">
        <f>IFERROR(__xludf.DUMMYFUNCTION("""COMPUTED_VALUE"""),"1312/FTSCY/WS95271 62115000.00 Fri Dec 11 2026 15:00:00 GMT+0700 (Western Indonesia Time) ANUGERAH KARTIKA A")</f>
        <v>1312/FTSCY/WS95271 62115000.00 Fri Dec 11 2026 15:00:00 GMT+0700 (Western Indonesia Time) ANUGERAH KARTIKA A</v>
      </c>
      <c r="D134" s="2">
        <f>IFERROR(__xludf.DUMMYFUNCTION("""COMPUTED_VALUE"""),6.2115E7)</f>
        <v>62115000</v>
      </c>
      <c r="E134" s="2"/>
      <c r="F134" s="2" t="str">
        <f>IFERROR(__xludf.DUMMYFUNCTION("""COMPUTED_VALUE"""),"DB")</f>
        <v>DB</v>
      </c>
      <c r="G134" s="2">
        <f>IFERROR(__xludf.DUMMYFUNCTION("""COMPUTED_VALUE"""),5.0255555595000005E8)</f>
        <v>502555556</v>
      </c>
      <c r="H134" s="2"/>
      <c r="I134" s="2"/>
    </row>
    <row r="135">
      <c r="A135" s="7">
        <f>IFERROR(__xludf.DUMMYFUNCTION("""COMPUTED_VALUE"""),46369.0)</f>
        <v>46369</v>
      </c>
      <c r="B135" s="2" t="str">
        <f>IFERROR(__xludf.DUMMYFUNCTION("""COMPUTED_VALUE"""),"TRSF E-BANKING DB")</f>
        <v>TRSF E-BANKING DB</v>
      </c>
      <c r="C135" s="2" t="str">
        <f>IFERROR(__xludf.DUMMYFUNCTION("""COMPUTED_VALUE"""),"1312/FTSCY/WS95271 45721600.00 Fri Dec 11 2026 15:00:00 GMT+0700 (Western Indonesia Time) TUMBUH OPTIMAL PRI")</f>
        <v>1312/FTSCY/WS95271 45721600.00 Fri Dec 11 2026 15:00:00 GMT+0700 (Western Indonesia Time) TUMBUH OPTIMAL PRI</v>
      </c>
      <c r="D135" s="2">
        <f>IFERROR(__xludf.DUMMYFUNCTION("""COMPUTED_VALUE"""),4.57216E7)</f>
        <v>45721600</v>
      </c>
      <c r="E135" s="2"/>
      <c r="F135" s="2" t="str">
        <f>IFERROR(__xludf.DUMMYFUNCTION("""COMPUTED_VALUE"""),"DB")</f>
        <v>DB</v>
      </c>
      <c r="G135" s="2">
        <f>IFERROR(__xludf.DUMMYFUNCTION("""COMPUTED_VALUE"""),4.5683395595000005E8)</f>
        <v>456833956</v>
      </c>
      <c r="H135" s="2"/>
      <c r="I135" s="2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IFERROR(__xludf.DUMMYFUNCTION("IFERROR(QUERY(DES_2023!A:I, ""SELECT * WHERE D IS NOT NULL AND UPPER(I) = 'PRIBADI'"", 1), ""Data PRIBADI belum ditemukan"")"),46358.0)</f>
        <v>46358</v>
      </c>
      <c r="B1" s="2" t="str">
        <f>IFERROR(__xludf.DUMMYFUNCTION("""COMPUTED_VALUE"""),"BI-FAST DB")</f>
        <v>BI-FAST DB</v>
      </c>
      <c r="C1" s="2" t="str">
        <f>IFERROR(__xludf.DUMMYFUNCTION("""COMPUTED_VALUE"""),"BIF BIAYA TXN KE 8 HARIS HAMDANI MyBCA")</f>
        <v>BIF BIAYA TXN KE 8 HARIS HAMDANI MyBCA</v>
      </c>
      <c r="D1" s="2">
        <f>IFERROR(__xludf.DUMMYFUNCTION("""COMPUTED_VALUE"""),2500.0)</f>
        <v>2500</v>
      </c>
      <c r="E1" s="2"/>
      <c r="F1" s="2" t="str">
        <f>IFERROR(__xludf.DUMMYFUNCTION("""COMPUTED_VALUE"""),"DB")</f>
        <v>DB</v>
      </c>
      <c r="G1" s="2">
        <f>IFERROR(__xludf.DUMMYFUNCTION("""COMPUTED_VALUE"""),3.7318351395E8)</f>
        <v>373183514</v>
      </c>
      <c r="H1" s="2"/>
      <c r="I1" s="2" t="str">
        <f>IFERROR(__xludf.DUMMYFUNCTION("""COMPUTED_VALUE"""),"PRIBADI")</f>
        <v>PRIBADI</v>
      </c>
      <c r="J1" s="2">
        <f>SUM(D1:D1000) </f>
        <v>8784608361</v>
      </c>
    </row>
    <row r="2">
      <c r="A2" s="7">
        <f>IFERROR(__xludf.DUMMYFUNCTION("""COMPUTED_VALUE"""),46358.0)</f>
        <v>46358</v>
      </c>
      <c r="B2" s="2" t="str">
        <f>IFERROR(__xludf.DUMMYFUNCTION("""COMPUTED_VALUE"""),"TRSF E-BANKING DB")</f>
        <v>TRSF E-BANKING DB</v>
      </c>
      <c r="C2" s="2" t="str">
        <f>IFERROR(__xludf.DUMMYFUNCTION("""COMPUTED_VALUE"""),"0212/FTSCY/WS95271 45985500.00 pelunasan BERLIAN UNGGUL JAY")</f>
        <v>0212/FTSCY/WS95271 45985500.00 pelunasan BERLIAN UNGGUL JAY</v>
      </c>
      <c r="D2" s="2">
        <f>IFERROR(__xludf.DUMMYFUNCTION("""COMPUTED_VALUE"""),4.59855E7)</f>
        <v>45985500</v>
      </c>
      <c r="E2" s="2"/>
      <c r="F2" s="2" t="str">
        <f>IFERROR(__xludf.DUMMYFUNCTION("""COMPUTED_VALUE"""),"DB")</f>
        <v>DB</v>
      </c>
      <c r="G2" s="2">
        <f>IFERROR(__xludf.DUMMYFUNCTION("""COMPUTED_VALUE"""),3.2719801395E8)</f>
        <v>327198014</v>
      </c>
      <c r="H2" s="2"/>
      <c r="I2" s="2" t="str">
        <f>IFERROR(__xludf.DUMMYFUNCTION("""COMPUTED_VALUE"""),"PRIBADI")</f>
        <v>PRIBADI</v>
      </c>
    </row>
    <row r="3">
      <c r="A3" s="7">
        <f>IFERROR(__xludf.DUMMYFUNCTION("""COMPUTED_VALUE"""),46358.0)</f>
        <v>46358</v>
      </c>
      <c r="B3" s="2" t="str">
        <f>IFERROR(__xludf.DUMMYFUNCTION("""COMPUTED_VALUE"""),"TRSF E-BANKING DB")</f>
        <v>TRSF E-BANKING DB</v>
      </c>
      <c r="C3" s="2" t="str">
        <f>IFERROR(__xludf.DUMMYFUNCTION("""COMPUTED_VALUE"""),"0212/FTSCY/WS95031 4039750.00 SUNARTO")</f>
        <v>0212/FTSCY/WS95031 4039750.00 SUNARTO</v>
      </c>
      <c r="D3" s="2">
        <f>IFERROR(__xludf.DUMMYFUNCTION("""COMPUTED_VALUE"""),4039750.0)</f>
        <v>4039750</v>
      </c>
      <c r="E3" s="2"/>
      <c r="F3" s="2" t="str">
        <f>IFERROR(__xludf.DUMMYFUNCTION("""COMPUTED_VALUE"""),"DB")</f>
        <v>DB</v>
      </c>
      <c r="G3" s="2">
        <f>IFERROR(__xludf.DUMMYFUNCTION("""COMPUTED_VALUE"""),3.2260426395E8)</f>
        <v>322604264</v>
      </c>
      <c r="H3" s="2"/>
      <c r="I3" s="2" t="str">
        <f>IFERROR(__xludf.DUMMYFUNCTION("""COMPUTED_VALUE"""),"PRIBADI")</f>
        <v>PRIBADI</v>
      </c>
    </row>
    <row r="4">
      <c r="A4" s="7">
        <f>IFERROR(__xludf.DUMMYFUNCTION("""COMPUTED_VALUE"""),46364.0)</f>
        <v>46364</v>
      </c>
      <c r="B4" s="2" t="str">
        <f>IFERROR(__xludf.DUMMYFUNCTION("""COMPUTED_VALUE"""),"TRSF E-BANKING DB TANGGAL :07/12")</f>
        <v>TRSF E-BANKING DB TANGGAL :07/12</v>
      </c>
      <c r="C4" s="2" t="str">
        <f>IFERROR(__xludf.DUMMYFUNCTION("""COMPUTED_VALUE"""),"0712/FTSCY/WS95011 Sun Dec 06 2026 15:00:00 GMT+0700 (Western Indonesia Time) PITIK DIGITAL INDO")</f>
        <v>0712/FTSCY/WS95011 Sun Dec 06 2026 15:00:00 GMT+0700 (Western Indonesia Time) PITIK DIGITAL INDO</v>
      </c>
      <c r="D4" s="2">
        <f>IFERROR(__xludf.DUMMYFUNCTION("""COMPUTED_VALUE"""),5.31E7)</f>
        <v>53100000</v>
      </c>
      <c r="E4" s="2"/>
      <c r="F4" s="2" t="str">
        <f>IFERROR(__xludf.DUMMYFUNCTION("""COMPUTED_VALUE"""),"DB")</f>
        <v>DB</v>
      </c>
      <c r="G4" s="2">
        <f>IFERROR(__xludf.DUMMYFUNCTION("""COMPUTED_VALUE"""),4.5395455095000005E8)</f>
        <v>453954551</v>
      </c>
      <c r="H4" s="2"/>
      <c r="I4" s="2" t="str">
        <f>IFERROR(__xludf.DUMMYFUNCTION("""COMPUTED_VALUE"""),"PRIBADI")</f>
        <v>PRIBADI</v>
      </c>
    </row>
    <row r="5">
      <c r="A5" s="7">
        <f>IFERROR(__xludf.DUMMYFUNCTION("""COMPUTED_VALUE"""),46364.0)</f>
        <v>46364</v>
      </c>
      <c r="B5" s="2" t="str">
        <f>IFERROR(__xludf.DUMMYFUNCTION("""COMPUTED_VALUE"""),"TRSF E-BANKING DB TANGGAL :07/12")</f>
        <v>TRSF E-BANKING DB TANGGAL :07/12</v>
      </c>
      <c r="C5" s="2" t="str">
        <f>IFERROR(__xludf.DUMMYFUNCTION("""COMPUTED_VALUE"""),"0712/FTSCY/WS95011 Sun Dec 06 2026 15:00:00 GMT+0700 (Western Indonesia Time) SUPER UNGGAS JAYA")</f>
        <v>0712/FTSCY/WS95011 Sun Dec 06 2026 15:00:00 GMT+0700 (Western Indonesia Time) SUPER UNGGAS JAYA</v>
      </c>
      <c r="D5" s="2">
        <f>IFERROR(__xludf.DUMMYFUNCTION("""COMPUTED_VALUE"""),4.85184E7)</f>
        <v>48518400</v>
      </c>
      <c r="E5" s="2"/>
      <c r="F5" s="2" t="str">
        <f>IFERROR(__xludf.DUMMYFUNCTION("""COMPUTED_VALUE"""),"DB")</f>
        <v>DB</v>
      </c>
      <c r="G5" s="2">
        <f>IFERROR(__xludf.DUMMYFUNCTION("""COMPUTED_VALUE"""),4.0543615095000005E8)</f>
        <v>405436151</v>
      </c>
      <c r="H5" s="2">
        <f>IFERROR(__xludf.DUMMYFUNCTION("""COMPUTED_VALUE"""),4.0543615095E8)</f>
        <v>405436151</v>
      </c>
      <c r="I5" s="2" t="str">
        <f>IFERROR(__xludf.DUMMYFUNCTION("""COMPUTED_VALUE"""),"PRIBADI")</f>
        <v>PRIBADI</v>
      </c>
    </row>
    <row r="6">
      <c r="A6" s="7">
        <f>IFERROR(__xludf.DUMMYFUNCTION("""COMPUTED_VALUE"""),46365.0)</f>
        <v>46365</v>
      </c>
      <c r="B6" s="2" t="str">
        <f>IFERROR(__xludf.DUMMYFUNCTION("""COMPUTED_VALUE"""),"TRSF E-BANKING DB")</f>
        <v>TRSF E-BANKING DB</v>
      </c>
      <c r="C6" s="2" t="str">
        <f>IFERROR(__xludf.DUMMYFUNCTION("""COMPUTED_VALUE"""),"0912/FTSCY/WS95271 2733730.00 magetan IMAM KUSAENI")</f>
        <v>0912/FTSCY/WS95271 2733730.00 magetan IMAM KUSAENI</v>
      </c>
      <c r="D6" s="2">
        <f>IFERROR(__xludf.DUMMYFUNCTION("""COMPUTED_VALUE"""),2733730.0)</f>
        <v>2733730</v>
      </c>
      <c r="E6" s="2"/>
      <c r="F6" s="2" t="str">
        <f>IFERROR(__xludf.DUMMYFUNCTION("""COMPUTED_VALUE"""),"DB")</f>
        <v>DB</v>
      </c>
      <c r="G6" s="2">
        <f>IFERROR(__xludf.DUMMYFUNCTION("""COMPUTED_VALUE"""),1.7215935950000048E7)</f>
        <v>17215935.95</v>
      </c>
      <c r="H6" s="2"/>
      <c r="I6" s="2" t="str">
        <f>IFERROR(__xludf.DUMMYFUNCTION("""COMPUTED_VALUE"""),"PRIBADI")</f>
        <v>PRIBADI</v>
      </c>
    </row>
    <row r="7">
      <c r="A7" s="7">
        <f>IFERROR(__xludf.DUMMYFUNCTION("""COMPUTED_VALUE"""),46366.0)</f>
        <v>46366</v>
      </c>
      <c r="B7" s="2" t="str">
        <f>IFERROR(__xludf.DUMMYFUNCTION("""COMPUTED_VALUE"""),"TRSF E-BANKING DB")</f>
        <v>TRSF E-BANKING DB</v>
      </c>
      <c r="C7" s="2" t="str">
        <f>IFERROR(__xludf.DUMMYFUNCTION("""COMPUTED_VALUE"""),"1012/FTSCY/WS95271 100000000.00 pelunasan TUMBUH OPTIMAL PRI")</f>
        <v>1012/FTSCY/WS95271 100000000.00 pelunasan TUMBUH OPTIMAL PRI</v>
      </c>
      <c r="D7" s="2">
        <f>IFERROR(__xludf.DUMMYFUNCTION("""COMPUTED_VALUE"""),1.0E8)</f>
        <v>100000000</v>
      </c>
      <c r="E7" s="2"/>
      <c r="F7" s="2" t="str">
        <f>IFERROR(__xludf.DUMMYFUNCTION("""COMPUTED_VALUE"""),"DB")</f>
        <v>DB</v>
      </c>
      <c r="G7" s="2">
        <f>IFERROR(__xludf.DUMMYFUNCTION("""COMPUTED_VALUE"""),5.2206976595000005E8)</f>
        <v>522069766</v>
      </c>
      <c r="H7" s="2"/>
      <c r="I7" s="2" t="str">
        <f>IFERROR(__xludf.DUMMYFUNCTION("""COMPUTED_VALUE"""),"PRIBADI")</f>
        <v>PRIBADI</v>
      </c>
    </row>
    <row r="8">
      <c r="A8" s="7">
        <f>IFERROR(__xludf.DUMMYFUNCTION("""COMPUTED_VALUE"""),46366.0)</f>
        <v>46366</v>
      </c>
      <c r="B8" s="2" t="str">
        <f>IFERROR(__xludf.DUMMYFUNCTION("""COMPUTED_VALUE"""),"TRSF E-BANKING DB")</f>
        <v>TRSF E-BANKING DB</v>
      </c>
      <c r="C8" s="2" t="str">
        <f>IFERROR(__xludf.DUMMYFUNCTION("""COMPUTED_VALUE"""),"1012/FTSCY/WS95271 52601940.00 Mon Dec 07 2026 15:00:00 GMT+0700 (Western Indonesia Time) ANUGERAH KARTIKA A")</f>
        <v>1012/FTSCY/WS95271 52601940.00 Mon Dec 07 2026 15:00:00 GMT+0700 (Western Indonesia Time) ANUGERAH KARTIKA A</v>
      </c>
      <c r="D8" s="2">
        <f>IFERROR(__xludf.DUMMYFUNCTION("""COMPUTED_VALUE"""),5.260194E7)</f>
        <v>52601940</v>
      </c>
      <c r="E8" s="2"/>
      <c r="F8" s="2" t="str">
        <f>IFERROR(__xludf.DUMMYFUNCTION("""COMPUTED_VALUE"""),"DB")</f>
        <v>DB</v>
      </c>
      <c r="G8" s="2">
        <f>IFERROR(__xludf.DUMMYFUNCTION("""COMPUTED_VALUE"""),4.6946782595000005E8)</f>
        <v>469467826</v>
      </c>
      <c r="H8" s="2"/>
      <c r="I8" s="2" t="str">
        <f>IFERROR(__xludf.DUMMYFUNCTION("""COMPUTED_VALUE"""),"PRIBADI")</f>
        <v>PRIBADI</v>
      </c>
    </row>
    <row r="9">
      <c r="A9" s="7">
        <f>IFERROR(__xludf.DUMMYFUNCTION("""COMPUTED_VALUE"""),46366.0)</f>
        <v>46366</v>
      </c>
      <c r="B9" s="2" t="str">
        <f>IFERROR(__xludf.DUMMYFUNCTION("""COMPUTED_VALUE"""),"TRSF E-BANKING DB")</f>
        <v>TRSF E-BANKING DB</v>
      </c>
      <c r="C9" s="2" t="str">
        <f>IFERROR(__xludf.DUMMYFUNCTION("""COMPUTED_VALUE"""),"1012/FTSCY/WS95011 103475780.00 Mon Dec 07 2026 15:00:00 GMT+0700 (Western Indonesia Time) TABASSAM AZ ZUFAR")</f>
        <v>1012/FTSCY/WS95011 103475780.00 Mon Dec 07 2026 15:00:00 GMT+0700 (Western Indonesia Time) TABASSAM AZ ZUFAR</v>
      </c>
      <c r="D9" s="2">
        <f>IFERROR(__xludf.DUMMYFUNCTION("""COMPUTED_VALUE"""),1.0347578E8)</f>
        <v>103475780</v>
      </c>
      <c r="E9" s="2"/>
      <c r="F9" s="2" t="str">
        <f>IFERROR(__xludf.DUMMYFUNCTION("""COMPUTED_VALUE"""),"DB")</f>
        <v>DB</v>
      </c>
      <c r="G9" s="2">
        <f>IFERROR(__xludf.DUMMYFUNCTION("""COMPUTED_VALUE"""),3.6599204595000005E8)</f>
        <v>365992046</v>
      </c>
      <c r="H9" s="2"/>
      <c r="I9" s="2" t="str">
        <f>IFERROR(__xludf.DUMMYFUNCTION("""COMPUTED_VALUE"""),"PRIBADI")</f>
        <v>PRIBADI</v>
      </c>
    </row>
    <row r="10">
      <c r="A10" s="7">
        <f>IFERROR(__xludf.DUMMYFUNCTION("""COMPUTED_VALUE"""),46367.0)</f>
        <v>46367</v>
      </c>
      <c r="B10" s="2" t="str">
        <f>IFERROR(__xludf.DUMMYFUNCTION("""COMPUTED_VALUE"""),"TRSF E-BANKING DB")</f>
        <v>TRSF E-BANKING DB</v>
      </c>
      <c r="C10" s="2" t="str">
        <f>IFERROR(__xludf.DUMMYFUNCTION("""COMPUTED_VALUE"""),"1112/FTSCY/WS95271 56555400.00 Tue Dec 08 2026 15:00:00 GMT+0700 (Western Indonesia Time) BINTANG TAMA SANTO")</f>
        <v>1112/FTSCY/WS95271 56555400.00 Tue Dec 08 2026 15:00:00 GMT+0700 (Western Indonesia Time) BINTANG TAMA SANTO</v>
      </c>
      <c r="D10" s="2">
        <f>IFERROR(__xludf.DUMMYFUNCTION("""COMPUTED_VALUE"""),5.65554E7)</f>
        <v>56555400</v>
      </c>
      <c r="E10" s="2"/>
      <c r="F10" s="2" t="str">
        <f>IFERROR(__xludf.DUMMYFUNCTION("""COMPUTED_VALUE"""),"DB")</f>
        <v>DB</v>
      </c>
      <c r="G10" s="2">
        <f>IFERROR(__xludf.DUMMYFUNCTION("""COMPUTED_VALUE"""),2.1512751595000005E8)</f>
        <v>215127516</v>
      </c>
      <c r="H10" s="2"/>
      <c r="I10" s="2" t="str">
        <f>IFERROR(__xludf.DUMMYFUNCTION("""COMPUTED_VALUE"""),"PRIBADI")</f>
        <v>PRIBADI</v>
      </c>
    </row>
    <row r="11">
      <c r="A11" s="7">
        <f>IFERROR(__xludf.DUMMYFUNCTION("""COMPUTED_VALUE"""),46367.0)</f>
        <v>46367</v>
      </c>
      <c r="B11" s="2" t="str">
        <f>IFERROR(__xludf.DUMMYFUNCTION("""COMPUTED_VALUE"""),"TRSF E-BANKING DB")</f>
        <v>TRSF E-BANKING DB</v>
      </c>
      <c r="C11" s="2" t="str">
        <f>IFERROR(__xludf.DUMMYFUNCTION("""COMPUTED_VALUE"""),"1112/FTFVA/WS95031 67847/UNGGAS MANDI ponorogo - 200043")</f>
        <v>1112/FTFVA/WS95031 67847/UNGGAS MANDI ponorogo - 200043</v>
      </c>
      <c r="D11" s="2">
        <f>IFERROR(__xludf.DUMMYFUNCTION("""COMPUTED_VALUE"""),5.775E7)</f>
        <v>57750000</v>
      </c>
      <c r="E11" s="2"/>
      <c r="F11" s="2" t="str">
        <f>IFERROR(__xludf.DUMMYFUNCTION("""COMPUTED_VALUE"""),"DB")</f>
        <v>DB</v>
      </c>
      <c r="G11" s="2">
        <f>IFERROR(__xludf.DUMMYFUNCTION("""COMPUTED_VALUE"""),1.5737751595000005E8)</f>
        <v>157377516</v>
      </c>
      <c r="H11" s="2"/>
      <c r="I11" s="2" t="str">
        <f>IFERROR(__xludf.DUMMYFUNCTION("""COMPUTED_VALUE"""),"PRIBADI")</f>
        <v>PRIBADI</v>
      </c>
    </row>
    <row r="12">
      <c r="A12" s="7">
        <f>IFERROR(__xludf.DUMMYFUNCTION("""COMPUTED_VALUE"""),46367.0)</f>
        <v>46367</v>
      </c>
      <c r="B12" s="2" t="str">
        <f>IFERROR(__xludf.DUMMYFUNCTION("""COMPUTED_VALUE"""),"TRSF E-BANKING DB")</f>
        <v>TRSF E-BANKING DB</v>
      </c>
      <c r="C12" s="2" t="str">
        <f>IFERROR(__xludf.DUMMYFUNCTION("""COMPUTED_VALUE"""),"1112/FTSCY/WS95031 58629600.00 Tue Dec 08 2026 15:00:00 GMT+0700 (Western Indonesia Time) RUKUN MITRA BERSAM")</f>
        <v>1112/FTSCY/WS95031 58629600.00 Tue Dec 08 2026 15:00:00 GMT+0700 (Western Indonesia Time) RUKUN MITRA BERSAM</v>
      </c>
      <c r="D12" s="2">
        <f>IFERROR(__xludf.DUMMYFUNCTION("""COMPUTED_VALUE"""),5.86296E7)</f>
        <v>58629600</v>
      </c>
      <c r="E12" s="2"/>
      <c r="F12" s="2" t="str">
        <f>IFERROR(__xludf.DUMMYFUNCTION("""COMPUTED_VALUE"""),"DB")</f>
        <v>DB</v>
      </c>
      <c r="G12" s="2">
        <f>IFERROR(__xludf.DUMMYFUNCTION("""COMPUTED_VALUE"""),9.874791595000005E7)</f>
        <v>98747915.95</v>
      </c>
      <c r="H12" s="2"/>
      <c r="I12" s="2" t="str">
        <f>IFERROR(__xludf.DUMMYFUNCTION("""COMPUTED_VALUE"""),"PRIBADI")</f>
        <v>PRIBADI</v>
      </c>
    </row>
    <row r="13">
      <c r="A13" s="7">
        <f>IFERROR(__xludf.DUMMYFUNCTION("""COMPUTED_VALUE"""),46367.0)</f>
        <v>46367</v>
      </c>
      <c r="B13" s="2" t="str">
        <f>IFERROR(__xludf.DUMMYFUNCTION("""COMPUTED_VALUE"""),"TRSF E-BANKING DB")</f>
        <v>TRSF E-BANKING DB</v>
      </c>
      <c r="C13" s="2" t="str">
        <f>IFERROR(__xludf.DUMMYFUNCTION("""COMPUTED_VALUE"""),"1112/FTSCY/WS95271 46200000.00 PRIMA JAYA BERSATU")</f>
        <v>1112/FTSCY/WS95271 46200000.00 PRIMA JAYA BERSATU</v>
      </c>
      <c r="D13" s="2">
        <f>IFERROR(__xludf.DUMMYFUNCTION("""COMPUTED_VALUE"""),4.62E7)</f>
        <v>46200000</v>
      </c>
      <c r="E13" s="2"/>
      <c r="F13" s="2" t="str">
        <f>IFERROR(__xludf.DUMMYFUNCTION("""COMPUTED_VALUE"""),"DB")</f>
        <v>DB</v>
      </c>
      <c r="G13" s="2">
        <f>IFERROR(__xludf.DUMMYFUNCTION("""COMPUTED_VALUE"""),1.6642856595000005E8)</f>
        <v>166428566</v>
      </c>
      <c r="H13" s="2"/>
      <c r="I13" s="2" t="str">
        <f>IFERROR(__xludf.DUMMYFUNCTION("""COMPUTED_VALUE"""),"PRIBADI")</f>
        <v>PRIBADI</v>
      </c>
    </row>
    <row r="14">
      <c r="A14" s="7">
        <f>IFERROR(__xludf.DUMMYFUNCTION("""COMPUTED_VALUE"""),46367.0)</f>
        <v>46367</v>
      </c>
      <c r="B14" s="2" t="str">
        <f>IFERROR(__xludf.DUMMYFUNCTION("""COMPUTED_VALUE"""),"TRSF E-BANKING DB")</f>
        <v>TRSF E-BANKING DB</v>
      </c>
      <c r="C14" s="2" t="str">
        <f>IFERROR(__xludf.DUMMYFUNCTION("""COMPUTED_VALUE"""),"1112/FTSCY/WS95031 2000000.00 ngawi lunas RIRIN")</f>
        <v>1112/FTSCY/WS95031 2000000.00 ngawi lunas RIRIN</v>
      </c>
      <c r="D14" s="2">
        <f>IFERROR(__xludf.DUMMYFUNCTION("""COMPUTED_VALUE"""),2000000.0)</f>
        <v>2000000</v>
      </c>
      <c r="E14" s="2"/>
      <c r="F14" s="2" t="str">
        <f>IFERROR(__xludf.DUMMYFUNCTION("""COMPUTED_VALUE"""),"DB")</f>
        <v>DB</v>
      </c>
      <c r="G14" s="2">
        <f>IFERROR(__xludf.DUMMYFUNCTION("""COMPUTED_VALUE"""),5.1844100495000005E8)</f>
        <v>518441005</v>
      </c>
      <c r="H14" s="2"/>
      <c r="I14" s="2" t="str">
        <f>IFERROR(__xludf.DUMMYFUNCTION("""COMPUTED_VALUE"""),"PRIBADI")</f>
        <v>PRIBADI</v>
      </c>
    </row>
    <row r="15">
      <c r="A15" s="7">
        <f>IFERROR(__xludf.DUMMYFUNCTION("""COMPUTED_VALUE"""),46367.0)</f>
        <v>46367</v>
      </c>
      <c r="B15" s="2" t="str">
        <f>IFERROR(__xludf.DUMMYFUNCTION("""COMPUTED_VALUE"""),"TRSF E-BANKING DB")</f>
        <v>TRSF E-BANKING DB</v>
      </c>
      <c r="C15" s="2" t="str">
        <f>IFERROR(__xludf.DUMMYFUNCTION("""COMPUTED_VALUE"""),"1112/FTSCY/WS95271 54250000.00 Tue Dec 08 2026 15:00:00 GMT+0700 (Western Indonesia Time) TUMBUH OPTIMAL PRI")</f>
        <v>1112/FTSCY/WS95271 54250000.00 Tue Dec 08 2026 15:00:00 GMT+0700 (Western Indonesia Time) TUMBUH OPTIMAL PRI</v>
      </c>
      <c r="D15" s="2">
        <f>IFERROR(__xludf.DUMMYFUNCTION("""COMPUTED_VALUE"""),5.425E7)</f>
        <v>54250000</v>
      </c>
      <c r="E15" s="2"/>
      <c r="F15" s="2" t="str">
        <f>IFERROR(__xludf.DUMMYFUNCTION("""COMPUTED_VALUE"""),"DB")</f>
        <v>DB</v>
      </c>
      <c r="G15" s="2">
        <f>IFERROR(__xludf.DUMMYFUNCTION("""COMPUTED_VALUE"""),4.6419100495000005E8)</f>
        <v>464191005</v>
      </c>
      <c r="H15" s="2"/>
      <c r="I15" s="2" t="str">
        <f>IFERROR(__xludf.DUMMYFUNCTION("""COMPUTED_VALUE"""),"PRIBADI")</f>
        <v>PRIBADI</v>
      </c>
    </row>
    <row r="16">
      <c r="A16" s="7">
        <f>IFERROR(__xludf.DUMMYFUNCTION("""COMPUTED_VALUE"""),46367.0)</f>
        <v>46367</v>
      </c>
      <c r="B16" s="2" t="str">
        <f>IFERROR(__xludf.DUMMYFUNCTION("""COMPUTED_VALUE"""),"TRSF E-BANKING DB")</f>
        <v>TRSF E-BANKING DB</v>
      </c>
      <c r="C16" s="2" t="str">
        <f>IFERROR(__xludf.DUMMYFUNCTION("""COMPUTED_VALUE"""),"1112/FTSCY/WS95011 52677900.00 Wed Dec 09 2026 15:00:00 GMT+0700 (Western Indonesia Time) ANUGERAH KARTIKA A")</f>
        <v>1112/FTSCY/WS95011 52677900.00 Wed Dec 09 2026 15:00:00 GMT+0700 (Western Indonesia Time) ANUGERAH KARTIKA A</v>
      </c>
      <c r="D16" s="2">
        <f>IFERROR(__xludf.DUMMYFUNCTION("""COMPUTED_VALUE"""),5.26779E7)</f>
        <v>52677900</v>
      </c>
      <c r="E16" s="2"/>
      <c r="F16" s="2" t="str">
        <f>IFERROR(__xludf.DUMMYFUNCTION("""COMPUTED_VALUE"""),"DB")</f>
        <v>DB</v>
      </c>
      <c r="G16" s="2">
        <f>IFERROR(__xludf.DUMMYFUNCTION("""COMPUTED_VALUE"""),4.7866460495000005E8)</f>
        <v>478664605</v>
      </c>
      <c r="H16" s="2"/>
      <c r="I16" s="2" t="str">
        <f>IFERROR(__xludf.DUMMYFUNCTION("""COMPUTED_VALUE"""),"PRIBADI")</f>
        <v>PRIBADI</v>
      </c>
    </row>
    <row r="17">
      <c r="A17" s="7">
        <f>IFERROR(__xludf.DUMMYFUNCTION("""COMPUTED_VALUE"""),46368.0)</f>
        <v>46368</v>
      </c>
      <c r="B17" s="2" t="str">
        <f>IFERROR(__xludf.DUMMYFUNCTION("""COMPUTED_VALUE"""),"TRSF E-BANKING DB")</f>
        <v>TRSF E-BANKING DB</v>
      </c>
      <c r="C17" s="2" t="str">
        <f>IFERROR(__xludf.DUMMYFUNCTION("""COMPUTED_VALUE"""),"1212/FTSCY/WS95271 46810000.00 Wed Dec 09 2026 15:00:00 GMT+0700 (Western Indonesia Time) BINTANG TAMA SANTO")</f>
        <v>1212/FTSCY/WS95271 46810000.00 Wed Dec 09 2026 15:00:00 GMT+0700 (Western Indonesia Time) BINTANG TAMA SANTO</v>
      </c>
      <c r="D17" s="2">
        <f>IFERROR(__xludf.DUMMYFUNCTION("""COMPUTED_VALUE"""),4.681E7)</f>
        <v>46810000</v>
      </c>
      <c r="E17" s="2"/>
      <c r="F17" s="2" t="str">
        <f>IFERROR(__xludf.DUMMYFUNCTION("""COMPUTED_VALUE"""),"DB")</f>
        <v>DB</v>
      </c>
      <c r="G17" s="2">
        <f>IFERROR(__xludf.DUMMYFUNCTION("""COMPUTED_VALUE"""),1.4689087495000005E8)</f>
        <v>146890875</v>
      </c>
      <c r="H17" s="2"/>
      <c r="I17" s="2" t="str">
        <f>IFERROR(__xludf.DUMMYFUNCTION("""COMPUTED_VALUE"""),"PRIBADI")</f>
        <v>PRIBADI</v>
      </c>
    </row>
    <row r="18">
      <c r="A18" s="7">
        <f>IFERROR(__xludf.DUMMYFUNCTION("""COMPUTED_VALUE"""),46368.0)</f>
        <v>46368</v>
      </c>
      <c r="B18" s="2" t="str">
        <f>IFERROR(__xludf.DUMMYFUNCTION("""COMPUTED_VALUE"""),"TRSF E-BANKING DB")</f>
        <v>TRSF E-BANKING DB</v>
      </c>
      <c r="C18" s="2" t="str">
        <f>IFERROR(__xludf.DUMMYFUNCTION("""COMPUTED_VALUE"""),"1212/FTSCY/WS95271 62094850.00 Wed Dec 09 2026 15:00:00 GMT+0700 (Western Indonesia Time) BINTANG TAMA SANTO")</f>
        <v>1212/FTSCY/WS95271 62094850.00 Wed Dec 09 2026 15:00:00 GMT+0700 (Western Indonesia Time) BINTANG TAMA SANTO</v>
      </c>
      <c r="D18" s="2">
        <f>IFERROR(__xludf.DUMMYFUNCTION("""COMPUTED_VALUE"""),6.209485E7)</f>
        <v>62094850</v>
      </c>
      <c r="E18" s="2"/>
      <c r="F18" s="2" t="str">
        <f>IFERROR(__xludf.DUMMYFUNCTION("""COMPUTED_VALUE"""),"DB")</f>
        <v>DB</v>
      </c>
      <c r="G18" s="2">
        <f>IFERROR(__xludf.DUMMYFUNCTION("""COMPUTED_VALUE"""),8.479602495000005E7)</f>
        <v>84796024.95</v>
      </c>
      <c r="H18" s="2"/>
      <c r="I18" s="2" t="str">
        <f>IFERROR(__xludf.DUMMYFUNCTION("""COMPUTED_VALUE"""),"PRIBADI")</f>
        <v>PRIBADI</v>
      </c>
    </row>
    <row r="19">
      <c r="A19" s="7">
        <f>IFERROR(__xludf.DUMMYFUNCTION("""COMPUTED_VALUE"""),46368.0)</f>
        <v>46368</v>
      </c>
      <c r="B19" s="2" t="str">
        <f>IFERROR(__xludf.DUMMYFUNCTION("""COMPUTED_VALUE"""),"TRSF E-BANKING DB")</f>
        <v>TRSF E-BANKING DB</v>
      </c>
      <c r="C19" s="2" t="str">
        <f>IFERROR(__xludf.DUMMYFUNCTION("""COMPUTED_VALUE"""),"1212/FTSCY/WS95271 20640000.00 pelunasan LAJU SATWA WISESA")</f>
        <v>1212/FTSCY/WS95271 20640000.00 pelunasan LAJU SATWA WISESA</v>
      </c>
      <c r="D19" s="2">
        <f>IFERROR(__xludf.DUMMYFUNCTION("""COMPUTED_VALUE"""),2.064E7)</f>
        <v>20640000</v>
      </c>
      <c r="E19" s="2"/>
      <c r="F19" s="2" t="str">
        <f>IFERROR(__xludf.DUMMYFUNCTION("""COMPUTED_VALUE"""),"DB")</f>
        <v>DB</v>
      </c>
      <c r="G19" s="2">
        <f>IFERROR(__xludf.DUMMYFUNCTION("""COMPUTED_VALUE"""),6.415602495000005E7)</f>
        <v>64156024.95</v>
      </c>
      <c r="H19" s="2"/>
      <c r="I19" s="2" t="str">
        <f>IFERROR(__xludf.DUMMYFUNCTION("""COMPUTED_VALUE"""),"PRIBADI")</f>
        <v>PRIBADI</v>
      </c>
    </row>
    <row r="20">
      <c r="A20" s="7">
        <f>IFERROR(__xludf.DUMMYFUNCTION("""COMPUTED_VALUE"""),46368.0)</f>
        <v>46368</v>
      </c>
      <c r="B20" s="2" t="str">
        <f>IFERROR(__xludf.DUMMYFUNCTION("""COMPUTED_VALUE"""),"TRSF E-BANKING DB")</f>
        <v>TRSF E-BANKING DB</v>
      </c>
      <c r="C20" s="2" t="str">
        <f>IFERROR(__xludf.DUMMYFUNCTION("""COMPUTED_VALUE"""),"1212/FTSCY/WS95271 53486820.00 Thu Dec 10 2026 15:00:00 GMT+0700 (Western Indonesia Time) ADNAN")</f>
        <v>1212/FTSCY/WS95271 53486820.00 Thu Dec 10 2026 15:00:00 GMT+0700 (Western Indonesia Time) ADNAN</v>
      </c>
      <c r="D20" s="2">
        <f>IFERROR(__xludf.DUMMYFUNCTION("""COMPUTED_VALUE"""),5.348682E7)</f>
        <v>53486820</v>
      </c>
      <c r="E20" s="2"/>
      <c r="F20" s="2" t="str">
        <f>IFERROR(__xludf.DUMMYFUNCTION("""COMPUTED_VALUE"""),"DB")</f>
        <v>DB</v>
      </c>
      <c r="G20" s="2">
        <f>IFERROR(__xludf.DUMMYFUNCTION("""COMPUTED_VALUE"""),1.0669204950000048E7)</f>
        <v>10669204.95</v>
      </c>
      <c r="H20" s="2"/>
      <c r="I20" s="2" t="str">
        <f>IFERROR(__xludf.DUMMYFUNCTION("""COMPUTED_VALUE"""),"PRIBADI")</f>
        <v>PRIBADI</v>
      </c>
    </row>
    <row r="21">
      <c r="A21" s="7">
        <f>IFERROR(__xludf.DUMMYFUNCTION("""COMPUTED_VALUE"""),46368.0)</f>
        <v>46368</v>
      </c>
      <c r="B21" s="2" t="str">
        <f>IFERROR(__xludf.DUMMYFUNCTION("""COMPUTED_VALUE"""),"TRSF E-BANKING DB")</f>
        <v>TRSF E-BANKING DB</v>
      </c>
      <c r="C21" s="2" t="str">
        <f>IFERROR(__xludf.DUMMYFUNCTION("""COMPUTED_VALUE"""),"1212/FTSCY/WS95271 3200000.00 lunas HERMAWAN")</f>
        <v>1212/FTSCY/WS95271 3200000.00 lunas HERMAWAN</v>
      </c>
      <c r="D21" s="2">
        <f>IFERROR(__xludf.DUMMYFUNCTION("""COMPUTED_VALUE"""),3200000.0)</f>
        <v>3200000</v>
      </c>
      <c r="E21" s="2"/>
      <c r="F21" s="2" t="str">
        <f>IFERROR(__xludf.DUMMYFUNCTION("""COMPUTED_VALUE"""),"DB")</f>
        <v>DB</v>
      </c>
      <c r="G21" s="2">
        <f>IFERROR(__xludf.DUMMYFUNCTION("""COMPUTED_VALUE"""),7469204.950000048)</f>
        <v>7469204.95</v>
      </c>
      <c r="H21" s="2"/>
      <c r="I21" s="2" t="str">
        <f>IFERROR(__xludf.DUMMYFUNCTION("""COMPUTED_VALUE"""),"PRIBADI")</f>
        <v>PRIBADI</v>
      </c>
    </row>
    <row r="22">
      <c r="A22" s="7">
        <f>IFERROR(__xludf.DUMMYFUNCTION("""COMPUTED_VALUE"""),46368.0)</f>
        <v>46368</v>
      </c>
      <c r="B22" s="2" t="str">
        <f>IFERROR(__xludf.DUMMYFUNCTION("""COMPUTED_VALUE"""),"TRSF E-BANKING DB")</f>
        <v>TRSF E-BANKING DB</v>
      </c>
      <c r="C22" s="2" t="str">
        <f>IFERROR(__xludf.DUMMYFUNCTION("""COMPUTED_VALUE"""),"1212/FTSCY/WS95271 1870280.00 lunas IMAM KUSAENI")</f>
        <v>1212/FTSCY/WS95271 1870280.00 lunas IMAM KUSAENI</v>
      </c>
      <c r="D22" s="2">
        <f>IFERROR(__xludf.DUMMYFUNCTION("""COMPUTED_VALUE"""),1870280.0)</f>
        <v>1870280</v>
      </c>
      <c r="E22" s="2"/>
      <c r="F22" s="2" t="str">
        <f>IFERROR(__xludf.DUMMYFUNCTION("""COMPUTED_VALUE"""),"DB")</f>
        <v>DB</v>
      </c>
      <c r="G22" s="2">
        <f>IFERROR(__xludf.DUMMYFUNCTION("""COMPUTED_VALUE"""),5598924.950000048)</f>
        <v>5598924.95</v>
      </c>
      <c r="H22" s="2"/>
      <c r="I22" s="2" t="str">
        <f>IFERROR(__xludf.DUMMYFUNCTION("""COMPUTED_VALUE"""),"PRIBADI")</f>
        <v>PRIBADI</v>
      </c>
    </row>
    <row r="23">
      <c r="A23" s="7">
        <f>IFERROR(__xludf.DUMMYFUNCTION("""COMPUTED_VALUE"""),46368.0)</f>
        <v>46368</v>
      </c>
      <c r="B23" s="2" t="str">
        <f>IFERROR(__xludf.DUMMYFUNCTION("""COMPUTED_VALUE"""),"TRSF E-BANKING DB")</f>
        <v>TRSF E-BANKING DB</v>
      </c>
      <c r="C23" s="2" t="str">
        <f>IFERROR(__xludf.DUMMYFUNCTION("""COMPUTED_VALUE"""),"1212/FTSCY/WS95271 5525440.00 krg 2.250 jt FAJAR ANDREANZAH")</f>
        <v>1212/FTSCY/WS95271 5525440.00 krg 2.250 jt FAJAR ANDREANZAH</v>
      </c>
      <c r="D23" s="2">
        <f>IFERROR(__xludf.DUMMYFUNCTION("""COMPUTED_VALUE"""),5525440.0)</f>
        <v>5525440</v>
      </c>
      <c r="E23" s="2"/>
      <c r="F23" s="2" t="str">
        <f>IFERROR(__xludf.DUMMYFUNCTION("""COMPUTED_VALUE"""),"DB")</f>
        <v>DB</v>
      </c>
      <c r="G23" s="2">
        <f>IFERROR(__xludf.DUMMYFUNCTION("""COMPUTED_VALUE"""),73484.95000004768)</f>
        <v>73484.95</v>
      </c>
      <c r="H23" s="2"/>
      <c r="I23" s="2" t="str">
        <f>IFERROR(__xludf.DUMMYFUNCTION("""COMPUTED_VALUE"""),"PRIBADI")</f>
        <v>PRIBADI</v>
      </c>
    </row>
    <row r="24">
      <c r="A24" s="7">
        <f>IFERROR(__xludf.DUMMYFUNCTION("""COMPUTED_VALUE"""),46368.0)</f>
        <v>46368</v>
      </c>
      <c r="B24" s="2" t="str">
        <f>IFERROR(__xludf.DUMMYFUNCTION("""COMPUTED_VALUE"""),"BYR VIA E-BANKING")</f>
        <v>BYR VIA E-BANKING</v>
      </c>
      <c r="C24" s="2" t="str">
        <f>IFERROR(__xludf.DUMMYFUNCTION("""COMPUTED_VALUE"""),"12/12  WSID9503101 1220 TELKOMSEL 81326518324 MUHAMMAD HAIRUL MA")</f>
        <v>12/12  WSID9503101 1220 TELKOMSEL 81326518324 MUHAMMAD HAIRUL MA</v>
      </c>
      <c r="D24" s="2">
        <f>IFERROR(__xludf.DUMMYFUNCTION("""COMPUTED_VALUE"""),27000.0)</f>
        <v>27000</v>
      </c>
      <c r="E24" s="2"/>
      <c r="F24" s="2"/>
      <c r="G24" s="2">
        <f>IFERROR(__xludf.DUMMYFUNCTION("""COMPUTED_VALUE"""),7.7099155595E8)</f>
        <v>770991556</v>
      </c>
      <c r="H24" s="2"/>
      <c r="I24" s="2" t="str">
        <f>IFERROR(__xludf.DUMMYFUNCTION("""COMPUTED_VALUE"""),"PRIBADI")</f>
        <v>PRIBADI</v>
      </c>
    </row>
    <row r="25">
      <c r="A25" s="7">
        <f>IFERROR(__xludf.DUMMYFUNCTION("""COMPUTED_VALUE"""),46375.0)</f>
        <v>46375</v>
      </c>
      <c r="B25" s="2" t="str">
        <f>IFERROR(__xludf.DUMMYFUNCTION("""COMPUTED_VALUE"""),"TRSF E-BANKING DB")</f>
        <v>TRSF E-BANKING DB</v>
      </c>
      <c r="C25" s="2" t="str">
        <f>IFERROR(__xludf.DUMMYFUNCTION("""COMPUTED_VALUE"""),"1912/FTFVA/WS95031 14453/PITIK - - 1082318368518")</f>
        <v>1912/FTFVA/WS95031 14453/PITIK - - 1082318368518</v>
      </c>
      <c r="D25" s="2">
        <f>IFERROR(__xludf.DUMMYFUNCTION("""COMPUTED_VALUE"""),5.152E7)</f>
        <v>51520000</v>
      </c>
      <c r="E25" s="2"/>
      <c r="F25" s="2" t="str">
        <f>IFERROR(__xludf.DUMMYFUNCTION("""COMPUTED_VALUE"""),"DB")</f>
        <v>DB</v>
      </c>
      <c r="G25" s="2">
        <f>IFERROR(__xludf.DUMMYFUNCTION("""COMPUTED_VALUE"""),3.6346865095000005E8)</f>
        <v>363468651</v>
      </c>
      <c r="H25" s="2">
        <f>IFERROR(__xludf.DUMMYFUNCTION("""COMPUTED_VALUE"""),3.6346865095E8)</f>
        <v>363468651</v>
      </c>
      <c r="I25" s="2" t="str">
        <f>IFERROR(__xludf.DUMMYFUNCTION("""COMPUTED_VALUE"""),"PRIBADI")</f>
        <v>PRIBADI</v>
      </c>
    </row>
    <row r="26">
      <c r="A26" s="7">
        <f>IFERROR(__xludf.DUMMYFUNCTION("""COMPUTED_VALUE"""),46375.0)</f>
        <v>46375</v>
      </c>
      <c r="B26" s="2" t="str">
        <f>IFERROR(__xludf.DUMMYFUNCTION("""COMPUTED_VALUE"""),"TRSF E-BANKING DB")</f>
        <v>TRSF E-BANKING DB</v>
      </c>
      <c r="C26" s="2" t="str">
        <f>IFERROR(__xludf.DUMMYFUNCTION("""COMPUTED_VALUE"""),"1912/FTSCY/WS95011 93675800.00 Fri Dec 18 2026 15:00:00 GMT+0700 (Western Indonesia Time) BINTANG TAMA SANTO")</f>
        <v>1912/FTSCY/WS95011 93675800.00 Fri Dec 18 2026 15:00:00 GMT+0700 (Western Indonesia Time) BINTANG TAMA SANTO</v>
      </c>
      <c r="D26" s="2">
        <f>IFERROR(__xludf.DUMMYFUNCTION("""COMPUTED_VALUE"""),9.36758E7)</f>
        <v>93675800</v>
      </c>
      <c r="E26" s="2"/>
      <c r="F26" s="2" t="str">
        <f>IFERROR(__xludf.DUMMYFUNCTION("""COMPUTED_VALUE"""),"DB")</f>
        <v>DB</v>
      </c>
      <c r="G26" s="2">
        <f>IFERROR(__xludf.DUMMYFUNCTION("""COMPUTED_VALUE"""),2.6979285095000005E8)</f>
        <v>269792851</v>
      </c>
      <c r="H26" s="2">
        <f>IFERROR(__xludf.DUMMYFUNCTION("""COMPUTED_VALUE"""),2.6979285095E8)</f>
        <v>269792851</v>
      </c>
      <c r="I26" s="2" t="str">
        <f>IFERROR(__xludf.DUMMYFUNCTION("""COMPUTED_VALUE"""),"PRIBADI")</f>
        <v>PRIBADI</v>
      </c>
    </row>
    <row r="27">
      <c r="A27" s="7">
        <f>IFERROR(__xludf.DUMMYFUNCTION("""COMPUTED_VALUE"""),46375.0)</f>
        <v>46375</v>
      </c>
      <c r="B27" s="2" t="str">
        <f>IFERROR(__xludf.DUMMYFUNCTION("""COMPUTED_VALUE"""),"TRSF E-BANKING DB")</f>
        <v>TRSF E-BANKING DB</v>
      </c>
      <c r="C27" s="2" t="str">
        <f>IFERROR(__xludf.DUMMYFUNCTION("""COMPUTED_VALUE"""),"1912/FTSCY/WS95011 42955150.00 Fri Dec 18 2026 15:00:00 GMT+0700 (Western Indonesia Time) ANDALAN YASA MITRA")</f>
        <v>1912/FTSCY/WS95011 42955150.00 Fri Dec 18 2026 15:00:00 GMT+0700 (Western Indonesia Time) ANDALAN YASA MITRA</v>
      </c>
      <c r="D27" s="2">
        <f>IFERROR(__xludf.DUMMYFUNCTION("""COMPUTED_VALUE"""),4.295515E7)</f>
        <v>42955150</v>
      </c>
      <c r="E27" s="2"/>
      <c r="F27" s="2" t="str">
        <f>IFERROR(__xludf.DUMMYFUNCTION("""COMPUTED_VALUE"""),"DB")</f>
        <v>DB</v>
      </c>
      <c r="G27" s="2">
        <f>IFERROR(__xludf.DUMMYFUNCTION("""COMPUTED_VALUE"""),2.2683770095000005E8)</f>
        <v>226837701</v>
      </c>
      <c r="H27" s="2"/>
      <c r="I27" s="2" t="str">
        <f>IFERROR(__xludf.DUMMYFUNCTION("""COMPUTED_VALUE"""),"PRIBADI")</f>
        <v>PRIBADI</v>
      </c>
    </row>
    <row r="28">
      <c r="A28" s="7">
        <f>IFERROR(__xludf.DUMMYFUNCTION("""COMPUTED_VALUE"""),46375.0)</f>
        <v>46375</v>
      </c>
      <c r="B28" s="2" t="str">
        <f>IFERROR(__xludf.DUMMYFUNCTION("""COMPUTED_VALUE"""),"TRSF E-BANKING DB")</f>
        <v>TRSF E-BANKING DB</v>
      </c>
      <c r="C28" s="2" t="str">
        <f>IFERROR(__xludf.DUMMYFUNCTION("""COMPUTED_VALUE"""),"1912/FTFVA/WS95031 14453/PITIK - - 1082318368518")</f>
        <v>1912/FTFVA/WS95031 14453/PITIK - - 1082318368518</v>
      </c>
      <c r="D28" s="2">
        <f>IFERROR(__xludf.DUMMYFUNCTION("""COMPUTED_VALUE"""),9.115337E7)</f>
        <v>91153370</v>
      </c>
      <c r="E28" s="2"/>
      <c r="F28" s="2" t="str">
        <f>IFERROR(__xludf.DUMMYFUNCTION("""COMPUTED_VALUE"""),"DB")</f>
        <v>DB</v>
      </c>
      <c r="G28" s="2">
        <f>IFERROR(__xludf.DUMMYFUNCTION("""COMPUTED_VALUE"""),1.3568433095000005E8)</f>
        <v>135684331</v>
      </c>
      <c r="H28" s="2"/>
      <c r="I28" s="2" t="str">
        <f>IFERROR(__xludf.DUMMYFUNCTION("""COMPUTED_VALUE"""),"PRIBADI")</f>
        <v>PRIBADI</v>
      </c>
    </row>
    <row r="29">
      <c r="A29" s="7">
        <f>IFERROR(__xludf.DUMMYFUNCTION("""COMPUTED_VALUE"""),46375.0)</f>
        <v>46375</v>
      </c>
      <c r="B29" s="2" t="str">
        <f>IFERROR(__xludf.DUMMYFUNCTION("""COMPUTED_VALUE"""),"TRSF E-BANKING DB")</f>
        <v>TRSF E-BANKING DB</v>
      </c>
      <c r="C29" s="2" t="str">
        <f>IFERROR(__xludf.DUMMYFUNCTION("""COMPUTED_VALUE"""),"1912/FTSCY/WS95011 48980700.00 Fri Dec 18 2026 15:00:00 GMT+0700 (Western Indonesia Time) ANUGERAH KARTIKA A")</f>
        <v>1912/FTSCY/WS95011 48980700.00 Fri Dec 18 2026 15:00:00 GMT+0700 (Western Indonesia Time) ANUGERAH KARTIKA A</v>
      </c>
      <c r="D29" s="2">
        <f>IFERROR(__xludf.DUMMYFUNCTION("""COMPUTED_VALUE"""),4.89807E7)</f>
        <v>48980700</v>
      </c>
      <c r="E29" s="2"/>
      <c r="F29" s="2" t="str">
        <f>IFERROR(__xludf.DUMMYFUNCTION("""COMPUTED_VALUE"""),"DB")</f>
        <v>DB</v>
      </c>
      <c r="G29" s="2">
        <f>IFERROR(__xludf.DUMMYFUNCTION("""COMPUTED_VALUE"""),8.670363095000005E7)</f>
        <v>86703630.95</v>
      </c>
      <c r="H29" s="2"/>
      <c r="I29" s="2" t="str">
        <f>IFERROR(__xludf.DUMMYFUNCTION("""COMPUTED_VALUE"""),"PRIBADI")</f>
        <v>PRIBADI</v>
      </c>
    </row>
    <row r="30">
      <c r="A30" s="7">
        <f>IFERROR(__xludf.DUMMYFUNCTION("""COMPUTED_VALUE"""),46375.0)</f>
        <v>46375</v>
      </c>
      <c r="B30" s="2" t="str">
        <f>IFERROR(__xludf.DUMMYFUNCTION("""COMPUTED_VALUE"""),"TRSF E-BANKING DB")</f>
        <v>TRSF E-BANKING DB</v>
      </c>
      <c r="C30" s="2" t="str">
        <f>IFERROR(__xludf.DUMMYFUNCTION("""COMPUTED_VALUE"""),"1912/FTSCY/WS95011 56471250.00 Fri Dec 18 2026 15:00:00 GMT+0700 (Western Indonesia Time) TERNAK SEJATI TABA")</f>
        <v>1912/FTSCY/WS95011 56471250.00 Fri Dec 18 2026 15:00:00 GMT+0700 (Western Indonesia Time) TERNAK SEJATI TABA</v>
      </c>
      <c r="D30" s="2">
        <f>IFERROR(__xludf.DUMMYFUNCTION("""COMPUTED_VALUE"""),5.647125E7)</f>
        <v>56471250</v>
      </c>
      <c r="E30" s="2"/>
      <c r="F30" s="2" t="str">
        <f>IFERROR(__xludf.DUMMYFUNCTION("""COMPUTED_VALUE"""),"DB")</f>
        <v>DB</v>
      </c>
      <c r="G30" s="2">
        <f>IFERROR(__xludf.DUMMYFUNCTION("""COMPUTED_VALUE"""),3.0232380950000048E7)</f>
        <v>30232380.95</v>
      </c>
      <c r="H30" s="2">
        <f>IFERROR(__xludf.DUMMYFUNCTION("""COMPUTED_VALUE"""),3.023238095E7)</f>
        <v>30232380.95</v>
      </c>
      <c r="I30" s="2" t="str">
        <f>IFERROR(__xludf.DUMMYFUNCTION("""COMPUTED_VALUE"""),"PRIBADI")</f>
        <v>PRIBADI</v>
      </c>
    </row>
    <row r="31">
      <c r="A31" s="7">
        <f>IFERROR(__xludf.DUMMYFUNCTION("""COMPUTED_VALUE"""),46376.0)</f>
        <v>46376</v>
      </c>
      <c r="B31" s="2" t="str">
        <f>IFERROR(__xludf.DUMMYFUNCTION("""COMPUTED_VALUE"""),"BI-FAST DB")</f>
        <v>BI-FAST DB</v>
      </c>
      <c r="C31" s="2" t="str">
        <f>IFERROR(__xludf.DUMMYFUNCTION("""COMPUTED_VALUE"""),"BIF TRANSFER KE 9 AHMAD LUTHFI FADHI M-BCA")</f>
        <v>BIF TRANSFER KE 9 AHMAD LUTHFI FADHI M-BCA</v>
      </c>
      <c r="D31" s="2">
        <f>IFERROR(__xludf.DUMMYFUNCTION("""COMPUTED_VALUE"""),75000.0)</f>
        <v>75000</v>
      </c>
      <c r="E31" s="2"/>
      <c r="F31" s="2" t="str">
        <f>IFERROR(__xludf.DUMMYFUNCTION("""COMPUTED_VALUE"""),"DB")</f>
        <v>DB</v>
      </c>
      <c r="G31" s="2">
        <f>IFERROR(__xludf.DUMMYFUNCTION("""COMPUTED_VALUE"""),8.843538095000005E7)</f>
        <v>88435380.95</v>
      </c>
      <c r="H31" s="2"/>
      <c r="I31" s="2" t="str">
        <f>IFERROR(__xludf.DUMMYFUNCTION("""COMPUTED_VALUE"""),"PRIBADI")</f>
        <v>PRIBADI</v>
      </c>
    </row>
    <row r="32">
      <c r="A32" s="7">
        <f>IFERROR(__xludf.DUMMYFUNCTION("""COMPUTED_VALUE"""),46376.0)</f>
        <v>46376</v>
      </c>
      <c r="B32" s="2" t="str">
        <f>IFERROR(__xludf.DUMMYFUNCTION("""COMPUTED_VALUE"""),"TRSF E-BANKING DB")</f>
        <v>TRSF E-BANKING DB</v>
      </c>
      <c r="C32" s="2" t="str">
        <f>IFERROR(__xludf.DUMMYFUNCTION("""COMPUTED_VALUE"""),"2012/FTSCY/WS95031 1400000.00 IMAM KUSAENI")</f>
        <v>2012/FTSCY/WS95031 1400000.00 IMAM KUSAENI</v>
      </c>
      <c r="D32" s="2">
        <f>IFERROR(__xludf.DUMMYFUNCTION("""COMPUTED_VALUE"""),1400000.0)</f>
        <v>1400000</v>
      </c>
      <c r="E32" s="2"/>
      <c r="F32" s="2" t="str">
        <f>IFERROR(__xludf.DUMMYFUNCTION("""COMPUTED_VALUE"""),"DB")</f>
        <v>DB</v>
      </c>
      <c r="G32" s="2">
        <f>IFERROR(__xludf.DUMMYFUNCTION("""COMPUTED_VALUE"""),7.859838095000005E7)</f>
        <v>78598380.95</v>
      </c>
      <c r="H32" s="2"/>
      <c r="I32" s="2" t="str">
        <f>IFERROR(__xludf.DUMMYFUNCTION("""COMPUTED_VALUE"""),"PRIBADI")</f>
        <v>PRIBADI</v>
      </c>
    </row>
    <row r="33">
      <c r="A33" s="7">
        <f>IFERROR(__xludf.DUMMYFUNCTION("""COMPUTED_VALUE"""),46376.0)</f>
        <v>46376</v>
      </c>
      <c r="B33" s="2" t="str">
        <f>IFERROR(__xludf.DUMMYFUNCTION("""COMPUTED_VALUE"""),"TRSF E-BANKING DB")</f>
        <v>TRSF E-BANKING DB</v>
      </c>
      <c r="C33" s="2" t="str">
        <f>IFERROR(__xludf.DUMMYFUNCTION("""COMPUTED_VALUE"""),"2012/FTSCY/WS95031 53435200.00 Thu Dec 17 2026 15:00:00 GMT+0700 (Western Indonesia Time) ANUGERAH KARTIKA A")</f>
        <v>2012/FTSCY/WS95031 53435200.00 Thu Dec 17 2026 15:00:00 GMT+0700 (Western Indonesia Time) ANUGERAH KARTIKA A</v>
      </c>
      <c r="D33" s="2">
        <f>IFERROR(__xludf.DUMMYFUNCTION("""COMPUTED_VALUE"""),5.34352E7)</f>
        <v>53435200</v>
      </c>
      <c r="E33" s="2"/>
      <c r="F33" s="2" t="str">
        <f>IFERROR(__xludf.DUMMYFUNCTION("""COMPUTED_VALUE"""),"DB")</f>
        <v>DB</v>
      </c>
      <c r="G33" s="2">
        <f>IFERROR(__xludf.DUMMYFUNCTION("""COMPUTED_VALUE"""),1.8851480950000048E7)</f>
        <v>18851480.95</v>
      </c>
      <c r="H33" s="2">
        <f>IFERROR(__xludf.DUMMYFUNCTION("""COMPUTED_VALUE"""),1.885148095E7)</f>
        <v>18851480.95</v>
      </c>
      <c r="I33" s="2" t="str">
        <f>IFERROR(__xludf.DUMMYFUNCTION("""COMPUTED_VALUE"""),"PRIBADI")</f>
        <v>PRIBADI</v>
      </c>
    </row>
    <row r="34">
      <c r="A34" s="7">
        <f>IFERROR(__xludf.DUMMYFUNCTION("""COMPUTED_VALUE"""),46376.0)</f>
        <v>46376</v>
      </c>
      <c r="B34" s="2" t="str">
        <f>IFERROR(__xludf.DUMMYFUNCTION("""COMPUTED_VALUE"""),"TRSF E-BANKING DB")</f>
        <v>TRSF E-BANKING DB</v>
      </c>
      <c r="C34" s="2" t="str">
        <f>IFERROR(__xludf.DUMMYFUNCTION("""COMPUTED_VALUE"""),"2012/FTSCY/WS95271 180000.00 ANTON IMRONI")</f>
        <v>2012/FTSCY/WS95271 180000.00 ANTON IMRONI</v>
      </c>
      <c r="D34" s="2">
        <f>IFERROR(__xludf.DUMMYFUNCTION("""COMPUTED_VALUE"""),180000.0)</f>
        <v>180000</v>
      </c>
      <c r="E34" s="2"/>
      <c r="F34" s="2" t="str">
        <f>IFERROR(__xludf.DUMMYFUNCTION("""COMPUTED_VALUE"""),"DB")</f>
        <v>DB</v>
      </c>
      <c r="G34" s="2">
        <f>IFERROR(__xludf.DUMMYFUNCTION("""COMPUTED_VALUE"""),5.2822530295000005E8)</f>
        <v>528225303</v>
      </c>
      <c r="H34" s="2"/>
      <c r="I34" s="2" t="str">
        <f>IFERROR(__xludf.DUMMYFUNCTION("""COMPUTED_VALUE"""),"PRIBADI")</f>
        <v>PRIBADI</v>
      </c>
    </row>
    <row r="35">
      <c r="A35" s="7">
        <f>IFERROR(__xludf.DUMMYFUNCTION("""COMPUTED_VALUE"""),46376.0)</f>
        <v>46376</v>
      </c>
      <c r="B35" s="2" t="str">
        <f>IFERROR(__xludf.DUMMYFUNCTION("""COMPUTED_VALUE"""),"TRSF E-BANKING DB")</f>
        <v>TRSF E-BANKING DB</v>
      </c>
      <c r="C35" s="2" t="str">
        <f>IFERROR(__xludf.DUMMYFUNCTION("""COMPUTED_VALUE"""),"2012/FTSCY/WS95271 53059860.00 Sun Dec 20 2026 15:00:00 GMT+0700 (Western Indonesia Time) SURYA INTI TERNAK")</f>
        <v>2012/FTSCY/WS95271 53059860.00 Sun Dec 20 2026 15:00:00 GMT+0700 (Western Indonesia Time) SURYA INTI TERNAK</v>
      </c>
      <c r="D35" s="2">
        <f>IFERROR(__xludf.DUMMYFUNCTION("""COMPUTED_VALUE"""),5.305986E7)</f>
        <v>53059860</v>
      </c>
      <c r="E35" s="2"/>
      <c r="F35" s="2" t="str">
        <f>IFERROR(__xludf.DUMMYFUNCTION("""COMPUTED_VALUE"""),"DB")</f>
        <v>DB</v>
      </c>
      <c r="G35" s="2">
        <f>IFERROR(__xludf.DUMMYFUNCTION("""COMPUTED_VALUE"""),5.3312544295000005E8)</f>
        <v>533125443</v>
      </c>
      <c r="H35" s="2"/>
      <c r="I35" s="2" t="str">
        <f>IFERROR(__xludf.DUMMYFUNCTION("""COMPUTED_VALUE"""),"PRIBADI")</f>
        <v>PRIBADI</v>
      </c>
    </row>
    <row r="36">
      <c r="A36" s="7">
        <f>IFERROR(__xludf.DUMMYFUNCTION("""COMPUTED_VALUE"""),46376.0)</f>
        <v>46376</v>
      </c>
      <c r="B36" s="2" t="str">
        <f>IFERROR(__xludf.DUMMYFUNCTION("""COMPUTED_VALUE"""),"TRSF E-BANKING DB")</f>
        <v>TRSF E-BANKING DB</v>
      </c>
      <c r="C36" s="2" t="str">
        <f>IFERROR(__xludf.DUMMYFUNCTION("""COMPUTED_VALUE"""),"2012/FTSCY/WS95271 24041000.00 Sun Dec 20 2026 15:00:00 GMT+0700 (Western Indonesia Time) ANUGERAH KARTIKA A")</f>
        <v>2012/FTSCY/WS95271 24041000.00 Sun Dec 20 2026 15:00:00 GMT+0700 (Western Indonesia Time) ANUGERAH KARTIKA A</v>
      </c>
      <c r="D36" s="2">
        <f>IFERROR(__xludf.DUMMYFUNCTION("""COMPUTED_VALUE"""),2.4041E7)</f>
        <v>24041000</v>
      </c>
      <c r="E36" s="2"/>
      <c r="F36" s="2" t="str">
        <f>IFERROR(__xludf.DUMMYFUNCTION("""COMPUTED_VALUE"""),"DB")</f>
        <v>DB</v>
      </c>
      <c r="G36" s="2">
        <f>IFERROR(__xludf.DUMMYFUNCTION("""COMPUTED_VALUE"""),5.0908444295000005E8)</f>
        <v>509084443</v>
      </c>
      <c r="H36" s="2"/>
      <c r="I36" s="2" t="str">
        <f>IFERROR(__xludf.DUMMYFUNCTION("""COMPUTED_VALUE"""),"PRIBADI")</f>
        <v>PRIBADI</v>
      </c>
    </row>
    <row r="37">
      <c r="A37" s="7">
        <f>IFERROR(__xludf.DUMMYFUNCTION("""COMPUTED_VALUE"""),46376.0)</f>
        <v>46376</v>
      </c>
      <c r="B37" s="2" t="str">
        <f>IFERROR(__xludf.DUMMYFUNCTION("""COMPUTED_VALUE"""),"TRSF E-BANKING DB")</f>
        <v>TRSF E-BANKING DB</v>
      </c>
      <c r="C37" s="2" t="str">
        <f>IFERROR(__xludf.DUMMYFUNCTION("""COMPUTED_VALUE"""),"2012/FTSCY/WS95011 90136580.00 Sat Dec 19 2026 15:00:00 GMT+0700 (Western Indonesia Time) PT BERLIAN INDOMIT")</f>
        <v>2012/FTSCY/WS95011 90136580.00 Sat Dec 19 2026 15:00:00 GMT+0700 (Western Indonesia Time) PT BERLIAN INDOMIT</v>
      </c>
      <c r="D37" s="2">
        <f>IFERROR(__xludf.DUMMYFUNCTION("""COMPUTED_VALUE"""),9.013658E7)</f>
        <v>90136580</v>
      </c>
      <c r="E37" s="2"/>
      <c r="F37" s="2" t="str">
        <f>IFERROR(__xludf.DUMMYFUNCTION("""COMPUTED_VALUE"""),"DB")</f>
        <v>DB</v>
      </c>
      <c r="G37" s="2">
        <f>IFERROR(__xludf.DUMMYFUNCTION("""COMPUTED_VALUE"""),6.2039631295E8)</f>
        <v>620396313</v>
      </c>
      <c r="H37" s="2"/>
      <c r="I37" s="2" t="str">
        <f>IFERROR(__xludf.DUMMYFUNCTION("""COMPUTED_VALUE"""),"PRIBADI")</f>
        <v>PRIBADI</v>
      </c>
    </row>
    <row r="38">
      <c r="A38" s="7">
        <f>IFERROR(__xludf.DUMMYFUNCTION("""COMPUTED_VALUE"""),46376.0)</f>
        <v>46376</v>
      </c>
      <c r="B38" s="2" t="str">
        <f>IFERROR(__xludf.DUMMYFUNCTION("""COMPUTED_VALUE"""),"TRSF E-BANKING DB")</f>
        <v>TRSF E-BANKING DB</v>
      </c>
      <c r="C38" s="2" t="str">
        <f>IFERROR(__xludf.DUMMYFUNCTION("""COMPUTED_VALUE"""),"2012/FTSCY/WS95011 225774970.00 Fri Dec 18 2026 15:00:00 GMT+0700 (Western Indonesia Time) BROILER MAKMUR TAN")</f>
        <v>2012/FTSCY/WS95011 225774970.00 Fri Dec 18 2026 15:00:00 GMT+0700 (Western Indonesia Time) BROILER MAKMUR TAN</v>
      </c>
      <c r="D38" s="2">
        <f>IFERROR(__xludf.DUMMYFUNCTION("""COMPUTED_VALUE"""),2.2577497E8)</f>
        <v>225774970</v>
      </c>
      <c r="E38" s="2"/>
      <c r="F38" s="2" t="str">
        <f>IFERROR(__xludf.DUMMYFUNCTION("""COMPUTED_VALUE"""),"DB")</f>
        <v>DB</v>
      </c>
      <c r="G38" s="2">
        <f>IFERROR(__xludf.DUMMYFUNCTION("""COMPUTED_VALUE"""),3.9462134295000005E8)</f>
        <v>394621343</v>
      </c>
      <c r="H38" s="2"/>
      <c r="I38" s="2" t="str">
        <f>IFERROR(__xludf.DUMMYFUNCTION("""COMPUTED_VALUE"""),"PRIBADI")</f>
        <v>PRIBADI</v>
      </c>
    </row>
    <row r="39">
      <c r="A39" s="7">
        <f>IFERROR(__xludf.DUMMYFUNCTION("""COMPUTED_VALUE"""),46376.0)</f>
        <v>46376</v>
      </c>
      <c r="B39" s="2" t="str">
        <f>IFERROR(__xludf.DUMMYFUNCTION("""COMPUTED_VALUE"""),"TRSF E-BANKING DB")</f>
        <v>TRSF E-BANKING DB</v>
      </c>
      <c r="C39" s="2" t="str">
        <f>IFERROR(__xludf.DUMMYFUNCTION("""COMPUTED_VALUE"""),"2012/FTSCY/WS95011 101919100.00 Sat Dec 19 2026 15:00:00 GMT+0700 (Western Indonesia Time) LAJU SATWA WISESA")</f>
        <v>2012/FTSCY/WS95011 101919100.00 Sat Dec 19 2026 15:00:00 GMT+0700 (Western Indonesia Time) LAJU SATWA WISESA</v>
      </c>
      <c r="D39" s="2">
        <f>IFERROR(__xludf.DUMMYFUNCTION("""COMPUTED_VALUE"""),1.019191E8)</f>
        <v>101919100</v>
      </c>
      <c r="E39" s="2"/>
      <c r="F39" s="2" t="str">
        <f>IFERROR(__xludf.DUMMYFUNCTION("""COMPUTED_VALUE"""),"DB")</f>
        <v>DB</v>
      </c>
      <c r="G39" s="2">
        <f>IFERROR(__xludf.DUMMYFUNCTION("""COMPUTED_VALUE"""),2.9270224295000005E8)</f>
        <v>292702243</v>
      </c>
      <c r="H39" s="2"/>
      <c r="I39" s="2" t="str">
        <f>IFERROR(__xludf.DUMMYFUNCTION("""COMPUTED_VALUE"""),"PRIBADI")</f>
        <v>PRIBADI</v>
      </c>
    </row>
    <row r="40">
      <c r="A40" s="7">
        <f>IFERROR(__xludf.DUMMYFUNCTION("""COMPUTED_VALUE"""),46376.0)</f>
        <v>46376</v>
      </c>
      <c r="B40" s="2" t="str">
        <f>IFERROR(__xludf.DUMMYFUNCTION("""COMPUTED_VALUE"""),"TRSF E-BANKING DB")</f>
        <v>TRSF E-BANKING DB</v>
      </c>
      <c r="C40" s="2" t="str">
        <f>IFERROR(__xludf.DUMMYFUNCTION("""COMPUTED_VALUE"""),"2012/FTSCY/WS95011 82138230.00 Sat Dec 19 2026 15:00:00 GMT+0700 (Western Indonesia Time) ANDALAN YASA MITRA")</f>
        <v>2012/FTSCY/WS95011 82138230.00 Sat Dec 19 2026 15:00:00 GMT+0700 (Western Indonesia Time) ANDALAN YASA MITRA</v>
      </c>
      <c r="D40" s="2">
        <f>IFERROR(__xludf.DUMMYFUNCTION("""COMPUTED_VALUE"""),8.213823E7)</f>
        <v>82138230</v>
      </c>
      <c r="E40" s="2"/>
      <c r="F40" s="2" t="str">
        <f>IFERROR(__xludf.DUMMYFUNCTION("""COMPUTED_VALUE"""),"DB")</f>
        <v>DB</v>
      </c>
      <c r="G40" s="2">
        <f>IFERROR(__xludf.DUMMYFUNCTION("""COMPUTED_VALUE"""),2.1056401295000005E8)</f>
        <v>210564013</v>
      </c>
      <c r="H40" s="2">
        <f>IFERROR(__xludf.DUMMYFUNCTION("""COMPUTED_VALUE"""),2.1056401295E8)</f>
        <v>210564013</v>
      </c>
      <c r="I40" s="2" t="str">
        <f>IFERROR(__xludf.DUMMYFUNCTION("""COMPUTED_VALUE"""),"PRIBADI")</f>
        <v>PRIBADI</v>
      </c>
    </row>
    <row r="41">
      <c r="A41" s="7">
        <f>IFERROR(__xludf.DUMMYFUNCTION("""COMPUTED_VALUE"""),46376.0)</f>
        <v>46376</v>
      </c>
      <c r="B41" s="2" t="str">
        <f>IFERROR(__xludf.DUMMYFUNCTION("""COMPUTED_VALUE"""),"TRSF E-BANKING DB")</f>
        <v>TRSF E-BANKING DB</v>
      </c>
      <c r="C41" s="2" t="str">
        <f>IFERROR(__xludf.DUMMYFUNCTION("""COMPUTED_VALUE"""),"2012/FTSCY/WS95271 37400000.00 pelunasan ANDALAN YASA MITRA")</f>
        <v>2012/FTSCY/WS95271 37400000.00 pelunasan ANDALAN YASA MITRA</v>
      </c>
      <c r="D41" s="2">
        <f>IFERROR(__xludf.DUMMYFUNCTION("""COMPUTED_VALUE"""),3.74E7)</f>
        <v>37400000</v>
      </c>
      <c r="E41" s="2"/>
      <c r="F41" s="2" t="str">
        <f>IFERROR(__xludf.DUMMYFUNCTION("""COMPUTED_VALUE"""),"DB")</f>
        <v>DB</v>
      </c>
      <c r="G41" s="2">
        <f>IFERROR(__xludf.DUMMYFUNCTION("""COMPUTED_VALUE"""),1.7316401295000005E8)</f>
        <v>173164013</v>
      </c>
      <c r="H41" s="2">
        <f>IFERROR(__xludf.DUMMYFUNCTION("""COMPUTED_VALUE"""),1.7316401295E8)</f>
        <v>173164013</v>
      </c>
      <c r="I41" s="2" t="str">
        <f>IFERROR(__xludf.DUMMYFUNCTION("""COMPUTED_VALUE"""),"PRIBADI")</f>
        <v>PRIBADI</v>
      </c>
    </row>
    <row r="42">
      <c r="A42" s="7">
        <f>IFERROR(__xludf.DUMMYFUNCTION("""COMPUTED_VALUE"""),46376.0)</f>
        <v>46376</v>
      </c>
      <c r="B42" s="2" t="str">
        <f>IFERROR(__xludf.DUMMYFUNCTION("""COMPUTED_VALUE"""),"TRSF E-BANKING DB")</f>
        <v>TRSF E-BANKING DB</v>
      </c>
      <c r="C42" s="2" t="str">
        <f>IFERROR(__xludf.DUMMYFUNCTION("""COMPUTED_VALUE"""),"2012/FTSCY/WS95271 107250000.00 Sat Dec 19 2026 15:00:00 GMT+0700 (Western Indonesia Time) TUMBUH OPTIMAL PRI")</f>
        <v>2012/FTSCY/WS95271 107250000.00 Sat Dec 19 2026 15:00:00 GMT+0700 (Western Indonesia Time) TUMBUH OPTIMAL PRI</v>
      </c>
      <c r="D42" s="2">
        <f>IFERROR(__xludf.DUMMYFUNCTION("""COMPUTED_VALUE"""),1.0725E8)</f>
        <v>107250000</v>
      </c>
      <c r="E42" s="2"/>
      <c r="F42" s="2" t="str">
        <f>IFERROR(__xludf.DUMMYFUNCTION("""COMPUTED_VALUE"""),"DB")</f>
        <v>DB</v>
      </c>
      <c r="G42" s="2">
        <f>IFERROR(__xludf.DUMMYFUNCTION("""COMPUTED_VALUE"""),6.591401295000005E7)</f>
        <v>65914012.95</v>
      </c>
      <c r="H42" s="2">
        <f>IFERROR(__xludf.DUMMYFUNCTION("""COMPUTED_VALUE"""),6.591401295E7)</f>
        <v>65914012.95</v>
      </c>
      <c r="I42" s="2" t="str">
        <f>IFERROR(__xludf.DUMMYFUNCTION("""COMPUTED_VALUE"""),"PRIBADI")</f>
        <v>PRIBADI</v>
      </c>
    </row>
    <row r="43">
      <c r="A43" s="7">
        <f>IFERROR(__xludf.DUMMYFUNCTION("""COMPUTED_VALUE"""),46377.0)</f>
        <v>46377</v>
      </c>
      <c r="B43" s="2" t="str">
        <f>IFERROR(__xludf.DUMMYFUNCTION("""COMPUTED_VALUE"""),"TRSF E-BANKING DB")</f>
        <v>TRSF E-BANKING DB</v>
      </c>
      <c r="C43" s="2" t="str">
        <f>IFERROR(__xludf.DUMMYFUNCTION("""COMPUTED_VALUE"""),"2112/FTSCY/WS95031 2054070.00 SUNARTO")</f>
        <v>2112/FTSCY/WS95031 2054070.00 SUNARTO</v>
      </c>
      <c r="D43" s="2">
        <f>IFERROR(__xludf.DUMMYFUNCTION("""COMPUTED_VALUE"""),2054070.0)</f>
        <v>2054070</v>
      </c>
      <c r="E43" s="2"/>
      <c r="F43" s="2" t="str">
        <f>IFERROR(__xludf.DUMMYFUNCTION("""COMPUTED_VALUE"""),"DB")</f>
        <v>DB</v>
      </c>
      <c r="G43" s="2">
        <f>IFERROR(__xludf.DUMMYFUNCTION("""COMPUTED_VALUE"""),6.385994295000005E7)</f>
        <v>63859942.95</v>
      </c>
      <c r="H43" s="2"/>
      <c r="I43" s="2" t="str">
        <f>IFERROR(__xludf.DUMMYFUNCTION("""COMPUTED_VALUE"""),"PRIBADI")</f>
        <v>PRIBADI</v>
      </c>
    </row>
    <row r="44">
      <c r="A44" s="7">
        <f>IFERROR(__xludf.DUMMYFUNCTION("""COMPUTED_VALUE"""),46377.0)</f>
        <v>46377</v>
      </c>
      <c r="B44" s="2" t="str">
        <f>IFERROR(__xludf.DUMMYFUNCTION("""COMPUTED_VALUE"""),"TRSF E-BANKING DB")</f>
        <v>TRSF E-BANKING DB</v>
      </c>
      <c r="C44" s="2" t="str">
        <f>IFERROR(__xludf.DUMMYFUNCTION("""COMPUTED_VALUE"""),"2112/FTSCY/WS95031 2931260.00 IMAM KUSAENI")</f>
        <v>2112/FTSCY/WS95031 2931260.00 IMAM KUSAENI</v>
      </c>
      <c r="D44" s="2">
        <f>IFERROR(__xludf.DUMMYFUNCTION("""COMPUTED_VALUE"""),2931260.0)</f>
        <v>2931260</v>
      </c>
      <c r="E44" s="2"/>
      <c r="F44" s="2" t="str">
        <f>IFERROR(__xludf.DUMMYFUNCTION("""COMPUTED_VALUE"""),"DB")</f>
        <v>DB</v>
      </c>
      <c r="G44" s="2">
        <f>IFERROR(__xludf.DUMMYFUNCTION("""COMPUTED_VALUE"""),6.092868295000005E7)</f>
        <v>60928682.95</v>
      </c>
      <c r="H44" s="2"/>
      <c r="I44" s="2" t="str">
        <f>IFERROR(__xludf.DUMMYFUNCTION("""COMPUTED_VALUE"""),"PRIBADI")</f>
        <v>PRIBADI</v>
      </c>
    </row>
    <row r="45">
      <c r="A45" s="7">
        <f>IFERROR(__xludf.DUMMYFUNCTION("""COMPUTED_VALUE"""),46377.0)</f>
        <v>46377</v>
      </c>
      <c r="B45" s="2" t="str">
        <f>IFERROR(__xludf.DUMMYFUNCTION("""COMPUTED_VALUE"""),"TRSF E-BANKING DB")</f>
        <v>TRSF E-BANKING DB</v>
      </c>
      <c r="C45" s="2" t="str">
        <f>IFERROR(__xludf.DUMMYFUNCTION("""COMPUTED_VALUE"""),"2112/FTSCY/WS95031 2460510.00 krg 4 jt FAJAR ANDREANZAH")</f>
        <v>2112/FTSCY/WS95031 2460510.00 krg 4 jt FAJAR ANDREANZAH</v>
      </c>
      <c r="D45" s="2">
        <f>IFERROR(__xludf.DUMMYFUNCTION("""COMPUTED_VALUE"""),2460510.0)</f>
        <v>2460510</v>
      </c>
      <c r="E45" s="2"/>
      <c r="F45" s="2" t="str">
        <f>IFERROR(__xludf.DUMMYFUNCTION("""COMPUTED_VALUE"""),"DB")</f>
        <v>DB</v>
      </c>
      <c r="G45" s="2">
        <f>IFERROR(__xludf.DUMMYFUNCTION("""COMPUTED_VALUE"""),5.846817295000005E7)</f>
        <v>58468172.95</v>
      </c>
      <c r="H45" s="2"/>
      <c r="I45" s="2" t="str">
        <f>IFERROR(__xludf.DUMMYFUNCTION("""COMPUTED_VALUE"""),"PRIBADI")</f>
        <v>PRIBADI</v>
      </c>
    </row>
    <row r="46">
      <c r="A46" s="7">
        <f>IFERROR(__xludf.DUMMYFUNCTION("""COMPUTED_VALUE"""),46377.0)</f>
        <v>46377</v>
      </c>
      <c r="B46" s="2" t="str">
        <f>IFERROR(__xludf.DUMMYFUNCTION("""COMPUTED_VALUE"""),"TRSF E-BANKING DB")</f>
        <v>TRSF E-BANKING DB</v>
      </c>
      <c r="C46" s="2" t="str">
        <f>IFERROR(__xludf.DUMMYFUNCTION("""COMPUTED_VALUE"""),"2112/FTSCY/WS95031 1400000.00 MUJIANTO")</f>
        <v>2112/FTSCY/WS95031 1400000.00 MUJIANTO</v>
      </c>
      <c r="D46" s="2">
        <f>IFERROR(__xludf.DUMMYFUNCTION("""COMPUTED_VALUE"""),1400000.0)</f>
        <v>1400000</v>
      </c>
      <c r="E46" s="2"/>
      <c r="F46" s="2" t="str">
        <f>IFERROR(__xludf.DUMMYFUNCTION("""COMPUTED_VALUE"""),"DB")</f>
        <v>DB</v>
      </c>
      <c r="G46" s="2">
        <f>IFERROR(__xludf.DUMMYFUNCTION("""COMPUTED_VALUE"""),5.706817295000005E7)</f>
        <v>57068172.95</v>
      </c>
      <c r="H46" s="2"/>
      <c r="I46" s="2" t="str">
        <f>IFERROR(__xludf.DUMMYFUNCTION("""COMPUTED_VALUE"""),"PRIBADI")</f>
        <v>PRIBADI</v>
      </c>
    </row>
    <row r="47">
      <c r="A47" s="7">
        <f>IFERROR(__xludf.DUMMYFUNCTION("""COMPUTED_VALUE"""),46377.0)</f>
        <v>46377</v>
      </c>
      <c r="B47" s="2" t="str">
        <f>IFERROR(__xludf.DUMMYFUNCTION("""COMPUTED_VALUE"""),"BI-FAST DB")</f>
        <v>BI-FAST DB</v>
      </c>
      <c r="C47" s="2" t="str">
        <f>IFERROR(__xludf.DUMMYFUNCTION("""COMPUTED_VALUE"""),"BIF TRANSFER KE 9 AHMAD LUTHFI FADHI M-BCA")</f>
        <v>BIF TRANSFER KE 9 AHMAD LUTHFI FADHI M-BCA</v>
      </c>
      <c r="D47" s="2">
        <f>IFERROR(__xludf.DUMMYFUNCTION("""COMPUTED_VALUE"""),426000.0)</f>
        <v>426000</v>
      </c>
      <c r="E47" s="2"/>
      <c r="F47" s="2" t="str">
        <f>IFERROR(__xludf.DUMMYFUNCTION("""COMPUTED_VALUE"""),"DB")</f>
        <v>DB</v>
      </c>
      <c r="G47" s="2">
        <f>IFERROR(__xludf.DUMMYFUNCTION("""COMPUTED_VALUE"""),2.7927919295000005E8)</f>
        <v>279279193</v>
      </c>
      <c r="H47" s="2"/>
      <c r="I47" s="2" t="str">
        <f>IFERROR(__xludf.DUMMYFUNCTION("""COMPUTED_VALUE"""),"PRIBADI")</f>
        <v>PRIBADI</v>
      </c>
    </row>
    <row r="48">
      <c r="A48" s="7">
        <f>IFERROR(__xludf.DUMMYFUNCTION("""COMPUTED_VALUE"""),46377.0)</f>
        <v>46377</v>
      </c>
      <c r="B48" s="2" t="str">
        <f>IFERROR(__xludf.DUMMYFUNCTION("""COMPUTED_VALUE"""),"BI-FAST DB")</f>
        <v>BI-FAST DB</v>
      </c>
      <c r="C48" s="2" t="str">
        <f>IFERROR(__xludf.DUMMYFUNCTION("""COMPUTED_VALUE"""),"BIF BIAYA TXN KE 9 AHMAD LUTHFI FADHI M-BCA")</f>
        <v>BIF BIAYA TXN KE 9 AHMAD LUTHFI FADHI M-BCA</v>
      </c>
      <c r="D48" s="2">
        <f>IFERROR(__xludf.DUMMYFUNCTION("""COMPUTED_VALUE"""),2500.0)</f>
        <v>2500</v>
      </c>
      <c r="E48" s="2"/>
      <c r="F48" s="2" t="str">
        <f>IFERROR(__xludf.DUMMYFUNCTION("""COMPUTED_VALUE"""),"DB")</f>
        <v>DB</v>
      </c>
      <c r="G48" s="2">
        <f>IFERROR(__xludf.DUMMYFUNCTION("""COMPUTED_VALUE"""),2.7927669295000005E8)</f>
        <v>279276693</v>
      </c>
      <c r="H48" s="2"/>
      <c r="I48" s="2" t="str">
        <f>IFERROR(__xludf.DUMMYFUNCTION("""COMPUTED_VALUE"""),"PRIBADI")</f>
        <v>PRIBADI</v>
      </c>
    </row>
    <row r="49">
      <c r="A49" s="7">
        <f>IFERROR(__xludf.DUMMYFUNCTION("""COMPUTED_VALUE"""),46377.0)</f>
        <v>46377</v>
      </c>
      <c r="B49" s="2" t="str">
        <f>IFERROR(__xludf.DUMMYFUNCTION("""COMPUTED_VALUE"""),"TRSF E-BANKING DB")</f>
        <v>TRSF E-BANKING DB</v>
      </c>
      <c r="C49" s="2" t="str">
        <f>IFERROR(__xludf.DUMMYFUNCTION("""COMPUTED_VALUE"""),"2112/FTFVA/WS95031 55569/PT PRIMA FAJ lunas - 40190")</f>
        <v>2112/FTFVA/WS95031 55569/PT PRIMA FAJ lunas - 40190</v>
      </c>
      <c r="D49" s="2">
        <f>IFERROR(__xludf.DUMMYFUNCTION("""COMPUTED_VALUE"""),1.113064E8)</f>
        <v>111306400</v>
      </c>
      <c r="E49" s="2"/>
      <c r="F49" s="2" t="str">
        <f>IFERROR(__xludf.DUMMYFUNCTION("""COMPUTED_VALUE"""),"DB")</f>
        <v>DB</v>
      </c>
      <c r="G49" s="2">
        <f>IFERROR(__xludf.DUMMYFUNCTION("""COMPUTED_VALUE"""),1.6797029295000005E8)</f>
        <v>167970293</v>
      </c>
      <c r="H49" s="2"/>
      <c r="I49" s="2" t="str">
        <f>IFERROR(__xludf.DUMMYFUNCTION("""COMPUTED_VALUE"""),"PRIBADI")</f>
        <v>PRIBADI</v>
      </c>
    </row>
    <row r="50">
      <c r="A50" s="7">
        <f>IFERROR(__xludf.DUMMYFUNCTION("""COMPUTED_VALUE"""),46377.0)</f>
        <v>46377</v>
      </c>
      <c r="B50" s="2" t="str">
        <f>IFERROR(__xludf.DUMMYFUNCTION("""COMPUTED_VALUE"""),"TRANSAKSI DEBIT")</f>
        <v>TRANSAKSI DEBIT</v>
      </c>
      <c r="C50" s="2" t="str">
        <f>IFERROR(__xludf.DUMMYFUNCTION("""COMPUTED_VALUE"""),"TGL: 21/12 QR 002 00000.00TOKO DELIM")</f>
        <v>TGL: 21/12 QR 002 00000.00TOKO DELIM</v>
      </c>
      <c r="D50" s="2">
        <f>IFERROR(__xludf.DUMMYFUNCTION("""COMPUTED_VALUE"""),41000.0)</f>
        <v>41000</v>
      </c>
      <c r="E50" s="2"/>
      <c r="F50" s="2"/>
      <c r="G50" s="2">
        <f>IFERROR(__xludf.DUMMYFUNCTION("""COMPUTED_VALUE"""),6.6102419495E8)</f>
        <v>661024195</v>
      </c>
      <c r="H50" s="2"/>
      <c r="I50" s="2" t="str">
        <f>IFERROR(__xludf.DUMMYFUNCTION("""COMPUTED_VALUE"""),"PRIBADI")</f>
        <v>PRIBADI</v>
      </c>
    </row>
    <row r="51">
      <c r="A51" s="7">
        <f>IFERROR(__xludf.DUMMYFUNCTION("""COMPUTED_VALUE"""),46377.0)</f>
        <v>46377</v>
      </c>
      <c r="B51" s="2" t="str">
        <f>IFERROR(__xludf.DUMMYFUNCTION("""COMPUTED_VALUE"""),"TRSF E-BANKING DB")</f>
        <v>TRSF E-BANKING DB</v>
      </c>
      <c r="C51" s="2" t="str">
        <f>IFERROR(__xludf.DUMMYFUNCTION("""COMPUTED_VALUE"""),"2112/FTSCY/WS95031 10000000.00 krg 75 jt EKO SETIYAWAN")</f>
        <v>2112/FTSCY/WS95031 10000000.00 krg 75 jt EKO SETIYAWAN</v>
      </c>
      <c r="D51" s="2">
        <f>IFERROR(__xludf.DUMMYFUNCTION("""COMPUTED_VALUE"""),1.0E7)</f>
        <v>10000000</v>
      </c>
      <c r="E51" s="2"/>
      <c r="F51" s="2" t="str">
        <f>IFERROR(__xludf.DUMMYFUNCTION("""COMPUTED_VALUE"""),"DB")</f>
        <v>DB</v>
      </c>
      <c r="G51" s="2">
        <f>IFERROR(__xludf.DUMMYFUNCTION("""COMPUTED_VALUE"""),7.4647476995E8)</f>
        <v>746474770</v>
      </c>
      <c r="H51" s="2"/>
      <c r="I51" s="2" t="str">
        <f>IFERROR(__xludf.DUMMYFUNCTION("""COMPUTED_VALUE"""),"PRIBADI")</f>
        <v>PRIBADI</v>
      </c>
    </row>
    <row r="52">
      <c r="A52" s="7">
        <f>IFERROR(__xludf.DUMMYFUNCTION("""COMPUTED_VALUE"""),46377.0)</f>
        <v>46377</v>
      </c>
      <c r="B52" s="2" t="str">
        <f>IFERROR(__xludf.DUMMYFUNCTION("""COMPUTED_VALUE"""),"TRSF E-BANKING DB")</f>
        <v>TRSF E-BANKING DB</v>
      </c>
      <c r="C52" s="2" t="str">
        <f>IFERROR(__xludf.DUMMYFUNCTION("""COMPUTED_VALUE"""),"2112/FTFVA/WS95031 55569/PT PRIMA FAJ dp - 40190")</f>
        <v>2112/FTFVA/WS95031 55569/PT PRIMA FAJ dp - 40190</v>
      </c>
      <c r="D52" s="2">
        <f>IFERROR(__xludf.DUMMYFUNCTION("""COMPUTED_VALUE"""),6.0E7)</f>
        <v>60000000</v>
      </c>
      <c r="E52" s="2"/>
      <c r="F52" s="2" t="str">
        <f>IFERROR(__xludf.DUMMYFUNCTION("""COMPUTED_VALUE"""),"DB")</f>
        <v>DB</v>
      </c>
      <c r="G52" s="2">
        <f>IFERROR(__xludf.DUMMYFUNCTION("""COMPUTED_VALUE"""),6.8647476995E8)</f>
        <v>686474770</v>
      </c>
      <c r="H52" s="2">
        <f>IFERROR(__xludf.DUMMYFUNCTION("""COMPUTED_VALUE"""),6.8647476995E8)</f>
        <v>686474770</v>
      </c>
      <c r="I52" s="2" t="str">
        <f>IFERROR(__xludf.DUMMYFUNCTION("""COMPUTED_VALUE"""),"PRIBADI")</f>
        <v>PRIBADI</v>
      </c>
    </row>
    <row r="53">
      <c r="A53" s="7">
        <f>IFERROR(__xludf.DUMMYFUNCTION("""COMPUTED_VALUE"""),46378.0)</f>
        <v>46378</v>
      </c>
      <c r="B53" s="2" t="str">
        <f>IFERROR(__xludf.DUMMYFUNCTION("""COMPUTED_VALUE"""),"TRSF E-BANKING DB TANGGAL :21/12")</f>
        <v>TRSF E-BANKING DB TANGGAL :21/12</v>
      </c>
      <c r="C53" s="2" t="str">
        <f>IFERROR(__xludf.DUMMYFUNCTION("""COMPUTED_VALUE"""),"2112/FTSCY/WS95011 Sat Dec 19 2026 15:00:00 GMT+0700 (Western Indonesia Time) ANDALAN YASA MITRA")</f>
        <v>2112/FTSCY/WS95011 Sat Dec 19 2026 15:00:00 GMT+0700 (Western Indonesia Time) ANDALAN YASA MITRA</v>
      </c>
      <c r="D53" s="2">
        <f>IFERROR(__xludf.DUMMYFUNCTION("""COMPUTED_VALUE"""),5.28E7)</f>
        <v>52800000</v>
      </c>
      <c r="E53" s="2"/>
      <c r="F53" s="2" t="str">
        <f>IFERROR(__xludf.DUMMYFUNCTION("""COMPUTED_VALUE"""),"DB")</f>
        <v>DB</v>
      </c>
      <c r="G53" s="2">
        <f>IFERROR(__xludf.DUMMYFUNCTION("""COMPUTED_VALUE"""),6.3367476995E8)</f>
        <v>633674770</v>
      </c>
      <c r="H53" s="2"/>
      <c r="I53" s="2" t="str">
        <f>IFERROR(__xludf.DUMMYFUNCTION("""COMPUTED_VALUE"""),"PRIBADI")</f>
        <v>PRIBADI</v>
      </c>
    </row>
    <row r="54">
      <c r="A54" s="7">
        <f>IFERROR(__xludf.DUMMYFUNCTION("""COMPUTED_VALUE"""),46378.0)</f>
        <v>46378</v>
      </c>
      <c r="B54" s="2" t="str">
        <f>IFERROR(__xludf.DUMMYFUNCTION("""COMPUTED_VALUE"""),"TRSF E-BANKING DB TANGGAL :21/12")</f>
        <v>TRSF E-BANKING DB TANGGAL :21/12</v>
      </c>
      <c r="C54" s="2" t="str">
        <f>IFERROR(__xludf.DUMMYFUNCTION("""COMPUTED_VALUE"""),"2112/FTSCY/WS95011 Sat Dec 19 2026 15:00:00 GMT+0700 (Western Indonesia Time) SUPER UNGGAS JAYA")</f>
        <v>2112/FTSCY/WS95011 Sat Dec 19 2026 15:00:00 GMT+0700 (Western Indonesia Time) SUPER UNGGAS JAYA</v>
      </c>
      <c r="D54" s="2">
        <f>IFERROR(__xludf.DUMMYFUNCTION("""COMPUTED_VALUE"""),5.80191E7)</f>
        <v>58019100</v>
      </c>
      <c r="E54" s="2"/>
      <c r="F54" s="2" t="str">
        <f>IFERROR(__xludf.DUMMYFUNCTION("""COMPUTED_VALUE"""),"DB")</f>
        <v>DB</v>
      </c>
      <c r="G54" s="2">
        <f>IFERROR(__xludf.DUMMYFUNCTION("""COMPUTED_VALUE"""),5.7565566995E8)</f>
        <v>575655670</v>
      </c>
      <c r="H54" s="2"/>
      <c r="I54" s="2" t="str">
        <f>IFERROR(__xludf.DUMMYFUNCTION("""COMPUTED_VALUE"""),"PRIBADI")</f>
        <v>PRIBADI</v>
      </c>
    </row>
    <row r="55">
      <c r="A55" s="7">
        <f>IFERROR(__xludf.DUMMYFUNCTION("""COMPUTED_VALUE"""),46378.0)</f>
        <v>46378</v>
      </c>
      <c r="B55" s="2" t="str">
        <f>IFERROR(__xludf.DUMMYFUNCTION("""COMPUTED_VALUE"""),"TRSF E-BANKING DB TANGGAL :21/12")</f>
        <v>TRSF E-BANKING DB TANGGAL :21/12</v>
      </c>
      <c r="C55" s="2" t="str">
        <f>IFERROR(__xludf.DUMMYFUNCTION("""COMPUTED_VALUE"""),"2112/FTSCY/WS95011 19 dan 20/12 TABASSAM AL HATTAK")</f>
        <v>2112/FTSCY/WS95011 19 dan 20/12 TABASSAM AL HATTAK</v>
      </c>
      <c r="D55" s="2">
        <f>IFERROR(__xludf.DUMMYFUNCTION("""COMPUTED_VALUE"""),1.0659E8)</f>
        <v>106590000</v>
      </c>
      <c r="E55" s="2"/>
      <c r="F55" s="2" t="str">
        <f>IFERROR(__xludf.DUMMYFUNCTION("""COMPUTED_VALUE"""),"DB")</f>
        <v>DB</v>
      </c>
      <c r="G55" s="2">
        <f>IFERROR(__xludf.DUMMYFUNCTION("""COMPUTED_VALUE"""),4.6906566995000005E8)</f>
        <v>469065670</v>
      </c>
      <c r="H55" s="2"/>
      <c r="I55" s="2" t="str">
        <f>IFERROR(__xludf.DUMMYFUNCTION("""COMPUTED_VALUE"""),"PRIBADI")</f>
        <v>PRIBADI</v>
      </c>
    </row>
    <row r="56">
      <c r="A56" s="7">
        <f>IFERROR(__xludf.DUMMYFUNCTION("""COMPUTED_VALUE"""),46378.0)</f>
        <v>46378</v>
      </c>
      <c r="B56" s="2" t="str">
        <f>IFERROR(__xludf.DUMMYFUNCTION("""COMPUTED_VALUE"""),"TRSF E-BANKING DB TANGGAL :21/12")</f>
        <v>TRSF E-BANKING DB TANGGAL :21/12</v>
      </c>
      <c r="C56" s="2" t="str">
        <f>IFERROR(__xludf.DUMMYFUNCTION("""COMPUTED_VALUE"""),"2112/FTSCY/WS95011 Sun Dec 20 2026 15:00:00 GMT+0700 (Western Indonesia Time) GANESHA SATRIA NUS")</f>
        <v>2112/FTSCY/WS95011 Sun Dec 20 2026 15:00:00 GMT+0700 (Western Indonesia Time) GANESHA SATRIA NUS</v>
      </c>
      <c r="D56" s="2">
        <f>IFERROR(__xludf.DUMMYFUNCTION("""COMPUTED_VALUE"""),1.6178154E8)</f>
        <v>161781540</v>
      </c>
      <c r="E56" s="2"/>
      <c r="F56" s="2" t="str">
        <f>IFERROR(__xludf.DUMMYFUNCTION("""COMPUTED_VALUE"""),"DB")</f>
        <v>DB</v>
      </c>
      <c r="G56" s="2">
        <f>IFERROR(__xludf.DUMMYFUNCTION("""COMPUTED_VALUE"""),3.0728412995000005E8)</f>
        <v>307284130</v>
      </c>
      <c r="H56" s="2"/>
      <c r="I56" s="2" t="str">
        <f>IFERROR(__xludf.DUMMYFUNCTION("""COMPUTED_VALUE"""),"PRIBADI")</f>
        <v>PRIBADI</v>
      </c>
    </row>
    <row r="57">
      <c r="A57" s="7">
        <f>IFERROR(__xludf.DUMMYFUNCTION("""COMPUTED_VALUE"""),46378.0)</f>
        <v>46378</v>
      </c>
      <c r="B57" s="2" t="str">
        <f>IFERROR(__xludf.DUMMYFUNCTION("""COMPUTED_VALUE"""),"TRSF E-BANKING DB TANGGAL :21/12")</f>
        <v>TRSF E-BANKING DB TANGGAL :21/12</v>
      </c>
      <c r="C57" s="2" t="str">
        <f>IFERROR(__xludf.DUMMYFUNCTION("""COMPUTED_VALUE"""),"2112/FTSCY/WS95011 Sun Dec 20 2026 15:00:00 GMT+0700 (Western Indonesia Time) BINTANG TAMA SANTO")</f>
        <v>2112/FTSCY/WS95011 Sun Dec 20 2026 15:00:00 GMT+0700 (Western Indonesia Time) BINTANG TAMA SANTO</v>
      </c>
      <c r="D57" s="2">
        <f>IFERROR(__xludf.DUMMYFUNCTION("""COMPUTED_VALUE"""),5.17032E7)</f>
        <v>51703200</v>
      </c>
      <c r="E57" s="2"/>
      <c r="F57" s="2" t="str">
        <f>IFERROR(__xludf.DUMMYFUNCTION("""COMPUTED_VALUE"""),"DB")</f>
        <v>DB</v>
      </c>
      <c r="G57" s="2">
        <f>IFERROR(__xludf.DUMMYFUNCTION("""COMPUTED_VALUE"""),2.5558092995000005E8)</f>
        <v>255580930</v>
      </c>
      <c r="H57" s="2"/>
      <c r="I57" s="2" t="str">
        <f>IFERROR(__xludf.DUMMYFUNCTION("""COMPUTED_VALUE"""),"PRIBADI")</f>
        <v>PRIBADI</v>
      </c>
    </row>
    <row r="58">
      <c r="A58" s="7">
        <f>IFERROR(__xludf.DUMMYFUNCTION("""COMPUTED_VALUE"""),46378.0)</f>
        <v>46378</v>
      </c>
      <c r="B58" s="2" t="str">
        <f>IFERROR(__xludf.DUMMYFUNCTION("""COMPUTED_VALUE"""),"TRSF E-BANKING DB TANGGAL :21/12")</f>
        <v>TRSF E-BANKING DB TANGGAL :21/12</v>
      </c>
      <c r="C58" s="2" t="str">
        <f>IFERROR(__xludf.DUMMYFUNCTION("""COMPUTED_VALUE"""),"2112/FTSCY/WS95011 Sun Dec 20 2026 15:00:00 GMT+0700 (Western Indonesia Time) BINTANG TAMA SANTO")</f>
        <v>2112/FTSCY/WS95011 Sun Dec 20 2026 15:00:00 GMT+0700 (Western Indonesia Time) BINTANG TAMA SANTO</v>
      </c>
      <c r="D58" s="2">
        <f>IFERROR(__xludf.DUMMYFUNCTION("""COMPUTED_VALUE"""),3.74892E7)</f>
        <v>37489200</v>
      </c>
      <c r="E58" s="2"/>
      <c r="F58" s="2" t="str">
        <f>IFERROR(__xludf.DUMMYFUNCTION("""COMPUTED_VALUE"""),"DB")</f>
        <v>DB</v>
      </c>
      <c r="G58" s="2">
        <f>IFERROR(__xludf.DUMMYFUNCTION("""COMPUTED_VALUE"""),2.1809172995000005E8)</f>
        <v>218091730</v>
      </c>
      <c r="H58" s="2">
        <f>IFERROR(__xludf.DUMMYFUNCTION("""COMPUTED_VALUE"""),2.1809172995E8)</f>
        <v>218091730</v>
      </c>
      <c r="I58" s="2" t="str">
        <f>IFERROR(__xludf.DUMMYFUNCTION("""COMPUTED_VALUE"""),"PRIBADI")</f>
        <v>PRIBADI</v>
      </c>
    </row>
    <row r="59">
      <c r="A59" s="7">
        <f>IFERROR(__xludf.DUMMYFUNCTION("""COMPUTED_VALUE"""),46378.0)</f>
        <v>46378</v>
      </c>
      <c r="B59" s="2" t="str">
        <f>IFERROR(__xludf.DUMMYFUNCTION("""COMPUTED_VALUE"""),"TRSF E-BANKING DB TANGGAL :21/12")</f>
        <v>TRSF E-BANKING DB TANGGAL :21/12</v>
      </c>
      <c r="C59" s="2" t="str">
        <f>IFERROR(__xludf.DUMMYFUNCTION("""COMPUTED_VALUE"""),"2112/FTSCY/WS95271 pelunasan 19/12 BROILER MAKMUR TAN")</f>
        <v>2112/FTSCY/WS95271 pelunasan 19/12 BROILER MAKMUR TAN</v>
      </c>
      <c r="D59" s="2">
        <f>IFERROR(__xludf.DUMMYFUNCTION("""COMPUTED_VALUE"""),3.555493E7)</f>
        <v>35554930</v>
      </c>
      <c r="E59" s="2"/>
      <c r="F59" s="2" t="str">
        <f>IFERROR(__xludf.DUMMYFUNCTION("""COMPUTED_VALUE"""),"DB")</f>
        <v>DB</v>
      </c>
      <c r="G59" s="2">
        <f>IFERROR(__xludf.DUMMYFUNCTION("""COMPUTED_VALUE"""),1.8717879995000005E8)</f>
        <v>187178800</v>
      </c>
      <c r="H59" s="2"/>
      <c r="I59" s="2" t="str">
        <f>IFERROR(__xludf.DUMMYFUNCTION("""COMPUTED_VALUE"""),"PRIBADI")</f>
        <v>PRIBADI</v>
      </c>
    </row>
    <row r="60">
      <c r="A60" s="7">
        <f>IFERROR(__xludf.DUMMYFUNCTION("""COMPUTED_VALUE"""),46378.0)</f>
        <v>46378</v>
      </c>
      <c r="B60" s="2" t="str">
        <f>IFERROR(__xludf.DUMMYFUNCTION("""COMPUTED_VALUE"""),"TRSF E-BANKING DB TANGGAL :21/12")</f>
        <v>TRSF E-BANKING DB TANGGAL :21/12</v>
      </c>
      <c r="C60" s="2" t="str">
        <f>IFERROR(__xludf.DUMMYFUNCTION("""COMPUTED_VALUE"""),"2112/FTFVA/WS95031 - - 1082318368518")</f>
        <v>2112/FTFVA/WS95031 - - 1082318368518</v>
      </c>
      <c r="D60" s="2">
        <f>IFERROR(__xludf.DUMMYFUNCTION("""COMPUTED_VALUE"""),5.910425E7)</f>
        <v>59104250</v>
      </c>
      <c r="E60" s="2"/>
      <c r="F60" s="2" t="str">
        <f>IFERROR(__xludf.DUMMYFUNCTION("""COMPUTED_VALUE"""),"DB")</f>
        <v>DB</v>
      </c>
      <c r="G60" s="2">
        <f>IFERROR(__xludf.DUMMYFUNCTION("""COMPUTED_VALUE"""),1.2807454995000005E8)</f>
        <v>128074550</v>
      </c>
      <c r="H60" s="2"/>
      <c r="I60" s="2" t="str">
        <f>IFERROR(__xludf.DUMMYFUNCTION("""COMPUTED_VALUE"""),"PRIBADI")</f>
        <v>PRIBADI</v>
      </c>
    </row>
    <row r="61">
      <c r="A61" s="7">
        <f>IFERROR(__xludf.DUMMYFUNCTION("""COMPUTED_VALUE"""),46378.0)</f>
        <v>46378</v>
      </c>
      <c r="B61" s="2" t="str">
        <f>IFERROR(__xludf.DUMMYFUNCTION("""COMPUTED_VALUE"""),"TRSF E-BANKING DB TANGGAL :21/12")</f>
        <v>TRSF E-BANKING DB TANGGAL :21/12</v>
      </c>
      <c r="C61" s="2" t="str">
        <f>IFERROR(__xludf.DUMMYFUNCTION("""COMPUTED_VALUE"""),"2112/FTSCY/WS95031 krg 80 jt EKO SETIYAWAN")</f>
        <v>2112/FTSCY/WS95031 krg 80 jt EKO SETIYAWAN</v>
      </c>
      <c r="D61" s="2">
        <f>IFERROR(__xludf.DUMMYFUNCTION("""COMPUTED_VALUE"""),6484870.0)</f>
        <v>6484870</v>
      </c>
      <c r="E61" s="2"/>
      <c r="F61" s="2" t="str">
        <f>IFERROR(__xludf.DUMMYFUNCTION("""COMPUTED_VALUE"""),"DB")</f>
        <v>DB</v>
      </c>
      <c r="G61" s="2">
        <f>IFERROR(__xludf.DUMMYFUNCTION("""COMPUTED_VALUE"""),1.2158967995000005E8)</f>
        <v>121589680</v>
      </c>
      <c r="H61" s="2"/>
      <c r="I61" s="2" t="str">
        <f>IFERROR(__xludf.DUMMYFUNCTION("""COMPUTED_VALUE"""),"PRIBADI")</f>
        <v>PRIBADI</v>
      </c>
    </row>
    <row r="62">
      <c r="A62" s="7">
        <f>IFERROR(__xludf.DUMMYFUNCTION("""COMPUTED_VALUE"""),46378.0)</f>
        <v>46378</v>
      </c>
      <c r="B62" s="2" t="str">
        <f>IFERROR(__xludf.DUMMYFUNCTION("""COMPUTED_VALUE"""),"TRSF E-BANKING DB TANGGAL :21/12")</f>
        <v>TRSF E-BANKING DB TANGGAL :21/12</v>
      </c>
      <c r="C62" s="2" t="str">
        <f>IFERROR(__xludf.DUMMYFUNCTION("""COMPUTED_VALUE"""),"2112/FTSCY/WS95031 SUNARTO")</f>
        <v>2112/FTSCY/WS95031 SUNARTO</v>
      </c>
      <c r="D62" s="2">
        <f>IFERROR(__xludf.DUMMYFUNCTION("""COMPUTED_VALUE"""),1872550.0)</f>
        <v>1872550</v>
      </c>
      <c r="E62" s="2"/>
      <c r="F62" s="2" t="str">
        <f>IFERROR(__xludf.DUMMYFUNCTION("""COMPUTED_VALUE"""),"DB")</f>
        <v>DB</v>
      </c>
      <c r="G62" s="2">
        <f>IFERROR(__xludf.DUMMYFUNCTION("""COMPUTED_VALUE"""),1.1971712995000005E8)</f>
        <v>119717130</v>
      </c>
      <c r="H62" s="2"/>
      <c r="I62" s="2" t="str">
        <f>IFERROR(__xludf.DUMMYFUNCTION("""COMPUTED_VALUE"""),"PRIBADI")</f>
        <v>PRIBADI</v>
      </c>
    </row>
    <row r="63">
      <c r="A63" s="7">
        <f>IFERROR(__xludf.DUMMYFUNCTION("""COMPUTED_VALUE"""),46378.0)</f>
        <v>46378</v>
      </c>
      <c r="B63" s="2" t="str">
        <f>IFERROR(__xludf.DUMMYFUNCTION("""COMPUTED_VALUE"""),"TRSF E-BANKING DB TANGGAL :21/12")</f>
        <v>TRSF E-BANKING DB TANGGAL :21/12</v>
      </c>
      <c r="C63" s="2" t="str">
        <f>IFERROR(__xludf.DUMMYFUNCTION("""COMPUTED_VALUE"""),"2112/FTSCY/WS95031 IMAM KUSAENI")</f>
        <v>2112/FTSCY/WS95031 IMAM KUSAENI</v>
      </c>
      <c r="D63" s="2">
        <f>IFERROR(__xludf.DUMMYFUNCTION("""COMPUTED_VALUE"""),2182800.0)</f>
        <v>2182800</v>
      </c>
      <c r="E63" s="2"/>
      <c r="F63" s="2" t="str">
        <f>IFERROR(__xludf.DUMMYFUNCTION("""COMPUTED_VALUE"""),"DB")</f>
        <v>DB</v>
      </c>
      <c r="G63" s="2">
        <f>IFERROR(__xludf.DUMMYFUNCTION("""COMPUTED_VALUE"""),1.1753432995000005E8)</f>
        <v>117534330</v>
      </c>
      <c r="H63" s="2"/>
      <c r="I63" s="2" t="str">
        <f>IFERROR(__xludf.DUMMYFUNCTION("""COMPUTED_VALUE"""),"PRIBADI")</f>
        <v>PRIBADI</v>
      </c>
    </row>
    <row r="64">
      <c r="A64" s="7">
        <f>IFERROR(__xludf.DUMMYFUNCTION("""COMPUTED_VALUE"""),46378.0)</f>
        <v>46378</v>
      </c>
      <c r="B64" s="2" t="str">
        <f>IFERROR(__xludf.DUMMYFUNCTION("""COMPUTED_VALUE"""),"TRSF E-BANKING DB TANGGAL :21/12")</f>
        <v>TRSF E-BANKING DB TANGGAL :21/12</v>
      </c>
      <c r="C64" s="2" t="str">
        <f>IFERROR(__xludf.DUMMYFUNCTION("""COMPUTED_VALUE"""),"2112/FTSCY/WS95031 krg 5 jt FAJAR ANDREANZAH")</f>
        <v>2112/FTSCY/WS95031 krg 5 jt FAJAR ANDREANZAH</v>
      </c>
      <c r="D64" s="2">
        <f>IFERROR(__xludf.DUMMYFUNCTION("""COMPUTED_VALUE"""),3305900.0)</f>
        <v>3305900</v>
      </c>
      <c r="E64" s="2"/>
      <c r="F64" s="2" t="str">
        <f>IFERROR(__xludf.DUMMYFUNCTION("""COMPUTED_VALUE"""),"DB")</f>
        <v>DB</v>
      </c>
      <c r="G64" s="2">
        <f>IFERROR(__xludf.DUMMYFUNCTION("""COMPUTED_VALUE"""),1.1422842995000005E8)</f>
        <v>114228430</v>
      </c>
      <c r="H64" s="2"/>
      <c r="I64" s="2" t="str">
        <f>IFERROR(__xludf.DUMMYFUNCTION("""COMPUTED_VALUE"""),"PRIBADI")</f>
        <v>PRIBADI</v>
      </c>
    </row>
    <row r="65">
      <c r="A65" s="7">
        <f>IFERROR(__xludf.DUMMYFUNCTION("""COMPUTED_VALUE"""),46378.0)</f>
        <v>46378</v>
      </c>
      <c r="B65" s="2" t="str">
        <f>IFERROR(__xludf.DUMMYFUNCTION("""COMPUTED_VALUE"""),"TRSF E-BANKING DB TANGGAL :21/12")</f>
        <v>TRSF E-BANKING DB TANGGAL :21/12</v>
      </c>
      <c r="C65" s="2" t="str">
        <f>IFERROR(__xludf.DUMMYFUNCTION("""COMPUTED_VALUE"""),"2112/FTSCY/WS95031 HERMAWAN")</f>
        <v>2112/FTSCY/WS95031 HERMAWAN</v>
      </c>
      <c r="D65" s="2">
        <f>IFERROR(__xludf.DUMMYFUNCTION("""COMPUTED_VALUE"""),3619540.0)</f>
        <v>3619540</v>
      </c>
      <c r="E65" s="2"/>
      <c r="F65" s="2" t="str">
        <f>IFERROR(__xludf.DUMMYFUNCTION("""COMPUTED_VALUE"""),"DB")</f>
        <v>DB</v>
      </c>
      <c r="G65" s="2">
        <f>IFERROR(__xludf.DUMMYFUNCTION("""COMPUTED_VALUE"""),1.1060888995000005E8)</f>
        <v>110608890</v>
      </c>
      <c r="H65" s="2"/>
      <c r="I65" s="2" t="str">
        <f>IFERROR(__xludf.DUMMYFUNCTION("""COMPUTED_VALUE"""),"PRIBADI")</f>
        <v>PRIBADI</v>
      </c>
    </row>
    <row r="66">
      <c r="A66" s="7">
        <f>IFERROR(__xludf.DUMMYFUNCTION("""COMPUTED_VALUE"""),46378.0)</f>
        <v>46378</v>
      </c>
      <c r="B66" s="2" t="str">
        <f>IFERROR(__xludf.DUMMYFUNCTION("""COMPUTED_VALUE"""),"TRSF E-BANKING DB TANGGAL :21/12")</f>
        <v>TRSF E-BANKING DB TANGGAL :21/12</v>
      </c>
      <c r="C66" s="2" t="str">
        <f>IFERROR(__xludf.DUMMYFUNCTION("""COMPUTED_VALUE"""),"2112/FTSCY/WS95271 Sun Dec 20 2026 15:00:00 GMT+0700 (Western Indonesia Time) TUMBUH OPTIMAL PRI")</f>
        <v>2112/FTSCY/WS95271 Sun Dec 20 2026 15:00:00 GMT+0700 (Western Indonesia Time) TUMBUH OPTIMAL PRI</v>
      </c>
      <c r="D66" s="2">
        <f>IFERROR(__xludf.DUMMYFUNCTION("""COMPUTED_VALUE"""),1.1E8)</f>
        <v>110000000</v>
      </c>
      <c r="E66" s="2"/>
      <c r="F66" s="2" t="str">
        <f>IFERROR(__xludf.DUMMYFUNCTION("""COMPUTED_VALUE"""),"DB")</f>
        <v>DB</v>
      </c>
      <c r="G66" s="2">
        <f>IFERROR(__xludf.DUMMYFUNCTION("""COMPUTED_VALUE"""),608889.9500000477)</f>
        <v>608889.95</v>
      </c>
      <c r="H66" s="2"/>
      <c r="I66" s="2" t="str">
        <f>IFERROR(__xludf.DUMMYFUNCTION("""COMPUTED_VALUE"""),"PRIBADI")</f>
        <v>PRIBADI</v>
      </c>
    </row>
    <row r="67">
      <c r="A67" s="7">
        <f>IFERROR(__xludf.DUMMYFUNCTION("""COMPUTED_VALUE"""),46378.0)</f>
        <v>46378</v>
      </c>
      <c r="B67" s="2" t="str">
        <f>IFERROR(__xludf.DUMMYFUNCTION("""COMPUTED_VALUE"""),"KARTU DEBIT")</f>
        <v>KARTU DEBIT</v>
      </c>
      <c r="C67" s="2" t="str">
        <f>IFERROR(__xludf.DUMMYFUNCTION("""COMPUTED_VALUE"""),"IDM TWUN-JELBUK 6019009510239343")</f>
        <v>IDM TWUN-JELBUK 6019009510239343</v>
      </c>
      <c r="D67" s="2">
        <f>IFERROR(__xludf.DUMMYFUNCTION("""COMPUTED_VALUE"""),261800.0)</f>
        <v>261800</v>
      </c>
      <c r="E67" s="2"/>
      <c r="F67" s="2"/>
      <c r="G67" s="2">
        <f>IFERROR(__xludf.DUMMYFUNCTION("""COMPUTED_VALUE"""),2.3825218995000005E8)</f>
        <v>238252190</v>
      </c>
      <c r="H67" s="2"/>
      <c r="I67" s="2" t="str">
        <f>IFERROR(__xludf.DUMMYFUNCTION("""COMPUTED_VALUE"""),"PRIBADI")</f>
        <v>PRIBADI</v>
      </c>
    </row>
    <row r="68">
      <c r="A68" s="7">
        <f>IFERROR(__xludf.DUMMYFUNCTION("""COMPUTED_VALUE"""),46378.0)</f>
        <v>46378</v>
      </c>
      <c r="B68" s="2" t="str">
        <f>IFERROR(__xludf.DUMMYFUNCTION("""COMPUTED_VALUE"""),"KARTU DEBIT")</f>
        <v>KARTU DEBIT</v>
      </c>
      <c r="C68" s="2" t="str">
        <f>IFERROR(__xludf.DUMMYFUNCTION("""COMPUTED_VALUE"""),"IDM TWUN-JELBUK 6019009510239343")</f>
        <v>IDM TWUN-JELBUK 6019009510239343</v>
      </c>
      <c r="D68" s="2">
        <f>IFERROR(__xludf.DUMMYFUNCTION("""COMPUTED_VALUE"""),113800.0)</f>
        <v>113800</v>
      </c>
      <c r="E68" s="2"/>
      <c r="F68" s="2"/>
      <c r="G68" s="2">
        <f>IFERROR(__xludf.DUMMYFUNCTION("""COMPUTED_VALUE"""),2.3813838995000005E8)</f>
        <v>238138390</v>
      </c>
      <c r="H68" s="2"/>
      <c r="I68" s="2" t="str">
        <f>IFERROR(__xludf.DUMMYFUNCTION("""COMPUTED_VALUE"""),"PRIBADI")</f>
        <v>PRIBADI</v>
      </c>
    </row>
    <row r="69">
      <c r="A69" s="7">
        <f>IFERROR(__xludf.DUMMYFUNCTION("""COMPUTED_VALUE"""),46378.0)</f>
        <v>46378</v>
      </c>
      <c r="B69" s="2" t="str">
        <f>IFERROR(__xludf.DUMMYFUNCTION("""COMPUTED_VALUE"""),"TRSF E-BANKING DB")</f>
        <v>TRSF E-BANKING DB</v>
      </c>
      <c r="C69" s="2" t="str">
        <f>IFERROR(__xludf.DUMMYFUNCTION("""COMPUTED_VALUE"""),"2212/FTSCY/WS95031 1500000.00 NURUL AINI")</f>
        <v>2212/FTSCY/WS95031 1500000.00 NURUL AINI</v>
      </c>
      <c r="D69" s="2">
        <f>IFERROR(__xludf.DUMMYFUNCTION("""COMPUTED_VALUE"""),1500000.0)</f>
        <v>1500000</v>
      </c>
      <c r="E69" s="2"/>
      <c r="F69" s="2" t="str">
        <f>IFERROR(__xludf.DUMMYFUNCTION("""COMPUTED_VALUE"""),"DB")</f>
        <v>DB</v>
      </c>
      <c r="G69" s="2">
        <f>IFERROR(__xludf.DUMMYFUNCTION("""COMPUTED_VALUE"""),2.9674188995000005E8)</f>
        <v>296741890</v>
      </c>
      <c r="H69" s="2"/>
      <c r="I69" s="2" t="str">
        <f>IFERROR(__xludf.DUMMYFUNCTION("""COMPUTED_VALUE"""),"PRIBADI")</f>
        <v>PRIBADI</v>
      </c>
    </row>
    <row r="70">
      <c r="A70" s="7">
        <f>IFERROR(__xludf.DUMMYFUNCTION("""COMPUTED_VALUE"""),46378.0)</f>
        <v>46378</v>
      </c>
      <c r="B70" s="2" t="str">
        <f>IFERROR(__xludf.DUMMYFUNCTION("""COMPUTED_VALUE"""),"TRSF E-BANKING DB")</f>
        <v>TRSF E-BANKING DB</v>
      </c>
      <c r="C70" s="2" t="str">
        <f>IFERROR(__xludf.DUMMYFUNCTION("""COMPUTED_VALUE"""),"2212/FTFVA/WS95031 55569/PT PRIMA FAJ lunas - 40190")</f>
        <v>2212/FTFVA/WS95031 55569/PT PRIMA FAJ lunas - 40190</v>
      </c>
      <c r="D70" s="2">
        <f>IFERROR(__xludf.DUMMYFUNCTION("""COMPUTED_VALUE"""),1.5698796E8)</f>
        <v>156987960</v>
      </c>
      <c r="E70" s="2"/>
      <c r="F70" s="2" t="str">
        <f>IFERROR(__xludf.DUMMYFUNCTION("""COMPUTED_VALUE"""),"DB")</f>
        <v>DB</v>
      </c>
      <c r="G70" s="2">
        <f>IFERROR(__xludf.DUMMYFUNCTION("""COMPUTED_VALUE"""),4.4138853195000005E8)</f>
        <v>441388532</v>
      </c>
      <c r="H70" s="2"/>
      <c r="I70" s="2" t="str">
        <f>IFERROR(__xludf.DUMMYFUNCTION("""COMPUTED_VALUE"""),"PRIBADI")</f>
        <v>PRIBADI</v>
      </c>
    </row>
    <row r="71">
      <c r="A71" s="7">
        <f>IFERROR(__xludf.DUMMYFUNCTION("""COMPUTED_VALUE"""),46378.0)</f>
        <v>46378</v>
      </c>
      <c r="B71" s="2" t="str">
        <f>IFERROR(__xludf.DUMMYFUNCTION("""COMPUTED_VALUE"""),"BI-FAST DB")</f>
        <v>BI-FAST DB</v>
      </c>
      <c r="C71" s="2" t="str">
        <f>IFERROR(__xludf.DUMMYFUNCTION("""COMPUTED_VALUE"""),"BIF TRANSFER KE 9 DEWI RATNASARI MyBCA")</f>
        <v>BIF TRANSFER KE 9 DEWI RATNASARI MyBCA</v>
      </c>
      <c r="D71" s="2">
        <f>IFERROR(__xludf.DUMMYFUNCTION("""COMPUTED_VALUE"""),300000.0)</f>
        <v>300000</v>
      </c>
      <c r="E71" s="2"/>
      <c r="F71" s="2" t="str">
        <f>IFERROR(__xludf.DUMMYFUNCTION("""COMPUTED_VALUE"""),"DB")</f>
        <v>DB</v>
      </c>
      <c r="G71" s="2">
        <f>IFERROR(__xludf.DUMMYFUNCTION("""COMPUTED_VALUE"""),4.4108853195000005E8)</f>
        <v>441088532</v>
      </c>
      <c r="H71" s="2"/>
      <c r="I71" s="2" t="str">
        <f>IFERROR(__xludf.DUMMYFUNCTION("""COMPUTED_VALUE"""),"PRIBADI")</f>
        <v>PRIBADI</v>
      </c>
    </row>
    <row r="72">
      <c r="A72" s="7">
        <f>IFERROR(__xludf.DUMMYFUNCTION("""COMPUTED_VALUE"""),46378.0)</f>
        <v>46378</v>
      </c>
      <c r="B72" s="2" t="str">
        <f>IFERROR(__xludf.DUMMYFUNCTION("""COMPUTED_VALUE"""),"BI-FAST DB")</f>
        <v>BI-FAST DB</v>
      </c>
      <c r="C72" s="2" t="str">
        <f>IFERROR(__xludf.DUMMYFUNCTION("""COMPUTED_VALUE"""),"BIF BIAYA TXN KE 9 DEWI RATNASARI MyBCA")</f>
        <v>BIF BIAYA TXN KE 9 DEWI RATNASARI MyBCA</v>
      </c>
      <c r="D72" s="2">
        <f>IFERROR(__xludf.DUMMYFUNCTION("""COMPUTED_VALUE"""),2500.0)</f>
        <v>2500</v>
      </c>
      <c r="E72" s="2"/>
      <c r="F72" s="2" t="str">
        <f>IFERROR(__xludf.DUMMYFUNCTION("""COMPUTED_VALUE"""),"DB")</f>
        <v>DB</v>
      </c>
      <c r="G72" s="2">
        <f>IFERROR(__xludf.DUMMYFUNCTION("""COMPUTED_VALUE"""),4.4108603195000005E8)</f>
        <v>441086032</v>
      </c>
      <c r="H72" s="2"/>
      <c r="I72" s="2" t="str">
        <f>IFERROR(__xludf.DUMMYFUNCTION("""COMPUTED_VALUE"""),"PRIBADI")</f>
        <v>PRIBADI</v>
      </c>
    </row>
    <row r="73">
      <c r="A73" s="7">
        <f>IFERROR(__xludf.DUMMYFUNCTION("""COMPUTED_VALUE"""),46379.0)</f>
        <v>46379</v>
      </c>
      <c r="B73" s="2" t="str">
        <f>IFERROR(__xludf.DUMMYFUNCTION("""COMPUTED_VALUE"""),"TRSF E-BANKING DB TANGGAL :22/12")</f>
        <v>TRSF E-BANKING DB TANGGAL :22/12</v>
      </c>
      <c r="C73" s="2" t="str">
        <f>IFERROR(__xludf.DUMMYFUNCTION("""COMPUTED_VALUE"""),"2212/FTSCY/WS95031 EKO SETIYAWAN")</f>
        <v>2212/FTSCY/WS95031 EKO SETIYAWAN</v>
      </c>
      <c r="D73" s="2">
        <f>IFERROR(__xludf.DUMMYFUNCTION("""COMPUTED_VALUE"""),2.247434E7)</f>
        <v>22474340</v>
      </c>
      <c r="E73" s="2"/>
      <c r="F73" s="2" t="str">
        <f>IFERROR(__xludf.DUMMYFUNCTION("""COMPUTED_VALUE"""),"DB")</f>
        <v>DB</v>
      </c>
      <c r="G73" s="2">
        <f>IFERROR(__xludf.DUMMYFUNCTION("""COMPUTED_VALUE"""),4.2126589195000005E8)</f>
        <v>421265892</v>
      </c>
      <c r="H73" s="2"/>
      <c r="I73" s="2" t="str">
        <f>IFERROR(__xludf.DUMMYFUNCTION("""COMPUTED_VALUE"""),"PRIBADI")</f>
        <v>PRIBADI</v>
      </c>
    </row>
    <row r="74">
      <c r="A74" s="7">
        <f>IFERROR(__xludf.DUMMYFUNCTION("""COMPUTED_VALUE"""),46379.0)</f>
        <v>46379</v>
      </c>
      <c r="B74" s="2" t="str">
        <f>IFERROR(__xludf.DUMMYFUNCTION("""COMPUTED_VALUE"""),"TRSF E-BANKING DB TANGGAL :22/12")</f>
        <v>TRSF E-BANKING DB TANGGAL :22/12</v>
      </c>
      <c r="C74" s="2" t="str">
        <f>IFERROR(__xludf.DUMMYFUNCTION("""COMPUTED_VALUE"""),"2212/FTSCY/WS95271 Sun Dec 20 2026 15:00:00 GMT+0700 (Western Indonesia Time) TABASSAM AZ ZUFAR")</f>
        <v>2212/FTSCY/WS95271 Sun Dec 20 2026 15:00:00 GMT+0700 (Western Indonesia Time) TABASSAM AZ ZUFAR</v>
      </c>
      <c r="D74" s="2">
        <f>IFERROR(__xludf.DUMMYFUNCTION("""COMPUTED_VALUE"""),9.417082E7)</f>
        <v>94170820</v>
      </c>
      <c r="E74" s="2"/>
      <c r="F74" s="2" t="str">
        <f>IFERROR(__xludf.DUMMYFUNCTION("""COMPUTED_VALUE"""),"DB")</f>
        <v>DB</v>
      </c>
      <c r="G74" s="2">
        <f>IFERROR(__xludf.DUMMYFUNCTION("""COMPUTED_VALUE"""),4.3744589195000005E8)</f>
        <v>437445892</v>
      </c>
      <c r="H74" s="2"/>
      <c r="I74" s="2" t="str">
        <f>IFERROR(__xludf.DUMMYFUNCTION("""COMPUTED_VALUE"""),"PRIBADI")</f>
        <v>PRIBADI</v>
      </c>
    </row>
    <row r="75">
      <c r="A75" s="7">
        <f>IFERROR(__xludf.DUMMYFUNCTION("""COMPUTED_VALUE"""),46379.0)</f>
        <v>46379</v>
      </c>
      <c r="B75" s="2" t="str">
        <f>IFERROR(__xludf.DUMMYFUNCTION("""COMPUTED_VALUE"""),"TRSF E-BANKING DB TANGGAL :22/12")</f>
        <v>TRSF E-BANKING DB TANGGAL :22/12</v>
      </c>
      <c r="C75" s="2" t="str">
        <f>IFERROR(__xludf.DUMMYFUNCTION("""COMPUTED_VALUE"""),"2212/FTSCY/WS95271 Sun Dec 20 2026 15:00:00 GMT+0700 (Western Indonesia Time) TABASSAM JAYA FARM")</f>
        <v>2212/FTSCY/WS95271 Sun Dec 20 2026 15:00:00 GMT+0700 (Western Indonesia Time) TABASSAM JAYA FARM</v>
      </c>
      <c r="D75" s="2">
        <f>IFERROR(__xludf.DUMMYFUNCTION("""COMPUTED_VALUE"""),4.48E7)</f>
        <v>44800000</v>
      </c>
      <c r="E75" s="2"/>
      <c r="F75" s="2" t="str">
        <f>IFERROR(__xludf.DUMMYFUNCTION("""COMPUTED_VALUE"""),"DB")</f>
        <v>DB</v>
      </c>
      <c r="G75" s="2">
        <f>IFERROR(__xludf.DUMMYFUNCTION("""COMPUTED_VALUE"""),3.9264589195000005E8)</f>
        <v>392645892</v>
      </c>
      <c r="H75" s="2"/>
      <c r="I75" s="2" t="str">
        <f>IFERROR(__xludf.DUMMYFUNCTION("""COMPUTED_VALUE"""),"PRIBADI")</f>
        <v>PRIBADI</v>
      </c>
    </row>
    <row r="76">
      <c r="A76" s="7">
        <f>IFERROR(__xludf.DUMMYFUNCTION("""COMPUTED_VALUE"""),46379.0)</f>
        <v>46379</v>
      </c>
      <c r="B76" s="2" t="str">
        <f>IFERROR(__xludf.DUMMYFUNCTION("""COMPUTED_VALUE"""),"TRSF E-BANKING DB TANGGAL :22/12")</f>
        <v>TRSF E-BANKING DB TANGGAL :22/12</v>
      </c>
      <c r="C76" s="2" t="str">
        <f>IFERROR(__xludf.DUMMYFUNCTION("""COMPUTED_VALUE"""),"2212/FTSCY/WS95271 pelunasan TUMBUH OPTIMAL PRI")</f>
        <v>2212/FTSCY/WS95271 pelunasan TUMBUH OPTIMAL PRI</v>
      </c>
      <c r="D76" s="2">
        <f>IFERROR(__xludf.DUMMYFUNCTION("""COMPUTED_VALUE"""),3.66765E7)</f>
        <v>36676500</v>
      </c>
      <c r="E76" s="2"/>
      <c r="F76" s="2" t="str">
        <f>IFERROR(__xludf.DUMMYFUNCTION("""COMPUTED_VALUE"""),"DB")</f>
        <v>DB</v>
      </c>
      <c r="G76" s="2">
        <f>IFERROR(__xludf.DUMMYFUNCTION("""COMPUTED_VALUE"""),3.5596939195000005E8)</f>
        <v>355969392</v>
      </c>
      <c r="H76" s="2"/>
      <c r="I76" s="2" t="str">
        <f>IFERROR(__xludf.DUMMYFUNCTION("""COMPUTED_VALUE"""),"PRIBADI")</f>
        <v>PRIBADI</v>
      </c>
    </row>
    <row r="77">
      <c r="A77" s="7">
        <f>IFERROR(__xludf.DUMMYFUNCTION("""COMPUTED_VALUE"""),46379.0)</f>
        <v>46379</v>
      </c>
      <c r="B77" s="2" t="str">
        <f>IFERROR(__xludf.DUMMYFUNCTION("""COMPUTED_VALUE"""),"TRSF E-BANKING DB TANGGAL :22/12")</f>
        <v>TRSF E-BANKING DB TANGGAL :22/12</v>
      </c>
      <c r="C77" s="2" t="str">
        <f>IFERROR(__xludf.DUMMYFUNCTION("""COMPUTED_VALUE"""),"2212/FTSCY/WS95271 Sun Dec 20 2026 15:00:00 GMT+0700 (Western Indonesia Time) ANUGERAH KARTIKA A")</f>
        <v>2212/FTSCY/WS95271 Sun Dec 20 2026 15:00:00 GMT+0700 (Western Indonesia Time) ANUGERAH KARTIKA A</v>
      </c>
      <c r="D77" s="2">
        <f>IFERROR(__xludf.DUMMYFUNCTION("""COMPUTED_VALUE"""),6.51456E7)</f>
        <v>65145600</v>
      </c>
      <c r="E77" s="2"/>
      <c r="F77" s="2" t="str">
        <f>IFERROR(__xludf.DUMMYFUNCTION("""COMPUTED_VALUE"""),"DB")</f>
        <v>DB</v>
      </c>
      <c r="G77" s="2">
        <f>IFERROR(__xludf.DUMMYFUNCTION("""COMPUTED_VALUE"""),2.9082379195000005E8)</f>
        <v>290823792</v>
      </c>
      <c r="H77" s="2"/>
      <c r="I77" s="2" t="str">
        <f>IFERROR(__xludf.DUMMYFUNCTION("""COMPUTED_VALUE"""),"PRIBADI")</f>
        <v>PRIBADI</v>
      </c>
    </row>
    <row r="78">
      <c r="A78" s="7">
        <f>IFERROR(__xludf.DUMMYFUNCTION("""COMPUTED_VALUE"""),46379.0)</f>
        <v>46379</v>
      </c>
      <c r="B78" s="2" t="str">
        <f>IFERROR(__xludf.DUMMYFUNCTION("""COMPUTED_VALUE"""),"TRSF E-BANKING DB TANGGAL :22/12")</f>
        <v>TRSF E-BANKING DB TANGGAL :22/12</v>
      </c>
      <c r="C78" s="2" t="str">
        <f>IFERROR(__xludf.DUMMYFUNCTION("""COMPUTED_VALUE"""),"2212/FTSCY/WS95271 Sun Dec 20 2026 15:00:00 GMT+0700 (Western Indonesia Time) BROILER MAKMUR TAN")</f>
        <v>2212/FTSCY/WS95271 Sun Dec 20 2026 15:00:00 GMT+0700 (Western Indonesia Time) BROILER MAKMUR TAN</v>
      </c>
      <c r="D78" s="2">
        <f>IFERROR(__xludf.DUMMYFUNCTION("""COMPUTED_VALUE"""),5.5E7)</f>
        <v>55000000</v>
      </c>
      <c r="E78" s="2"/>
      <c r="F78" s="2" t="str">
        <f>IFERROR(__xludf.DUMMYFUNCTION("""COMPUTED_VALUE"""),"DB")</f>
        <v>DB</v>
      </c>
      <c r="G78" s="2">
        <f>IFERROR(__xludf.DUMMYFUNCTION("""COMPUTED_VALUE"""),2.3582379195000005E8)</f>
        <v>235823792</v>
      </c>
      <c r="H78" s="2"/>
      <c r="I78" s="2" t="str">
        <f>IFERROR(__xludf.DUMMYFUNCTION("""COMPUTED_VALUE"""),"PRIBADI")</f>
        <v>PRIBADI</v>
      </c>
    </row>
    <row r="79">
      <c r="A79" s="7">
        <f>IFERROR(__xludf.DUMMYFUNCTION("""COMPUTED_VALUE"""),46379.0)</f>
        <v>46379</v>
      </c>
      <c r="B79" s="2" t="str">
        <f>IFERROR(__xludf.DUMMYFUNCTION("""COMPUTED_VALUE"""),"TRSF E-BANKING DB TANGGAL :22/12")</f>
        <v>TRSF E-BANKING DB TANGGAL :22/12</v>
      </c>
      <c r="C79" s="2" t="str">
        <f>IFERROR(__xludf.DUMMYFUNCTION("""COMPUTED_VALUE"""),"2212/FTFVA/WS95031 - - 1082318368518")</f>
        <v>2212/FTFVA/WS95031 - - 1082318368518</v>
      </c>
      <c r="D79" s="2">
        <f>IFERROR(__xludf.DUMMYFUNCTION("""COMPUTED_VALUE"""),1.0680872E8)</f>
        <v>106808720</v>
      </c>
      <c r="E79" s="2"/>
      <c r="F79" s="2" t="str">
        <f>IFERROR(__xludf.DUMMYFUNCTION("""COMPUTED_VALUE"""),"DB")</f>
        <v>DB</v>
      </c>
      <c r="G79" s="2">
        <f>IFERROR(__xludf.DUMMYFUNCTION("""COMPUTED_VALUE"""),1.2901507195000005E8)</f>
        <v>129015072</v>
      </c>
      <c r="H79" s="2">
        <f>IFERROR(__xludf.DUMMYFUNCTION("""COMPUTED_VALUE"""),1.2901507195E8)</f>
        <v>129015072</v>
      </c>
      <c r="I79" s="2" t="str">
        <f>IFERROR(__xludf.DUMMYFUNCTION("""COMPUTED_VALUE"""),"PRIBADI")</f>
        <v>PRIBADI</v>
      </c>
    </row>
    <row r="80">
      <c r="A80" s="7">
        <f>IFERROR(__xludf.DUMMYFUNCTION("""COMPUTED_VALUE"""),46379.0)</f>
        <v>46379</v>
      </c>
      <c r="B80" s="2" t="str">
        <f>IFERROR(__xludf.DUMMYFUNCTION("""COMPUTED_VALUE"""),"TRSF E-BANKING DB TANGGAL :22/12")</f>
        <v>TRSF E-BANKING DB TANGGAL :22/12</v>
      </c>
      <c r="C80" s="2" t="str">
        <f>IFERROR(__xludf.DUMMYFUNCTION("""COMPUTED_VALUE"""),"2212/FTSCY/WS95031 Sun Dec 20 2026 15:00:00 GMT+0700 (Western Indonesia Time) BROILER MAKMUR TAN")</f>
        <v>2212/FTSCY/WS95031 Sun Dec 20 2026 15:00:00 GMT+0700 (Western Indonesia Time) BROILER MAKMUR TAN</v>
      </c>
      <c r="D80" s="2">
        <f>IFERROR(__xludf.DUMMYFUNCTION("""COMPUTED_VALUE"""),7.5E7)</f>
        <v>75000000</v>
      </c>
      <c r="E80" s="2"/>
      <c r="F80" s="2" t="str">
        <f>IFERROR(__xludf.DUMMYFUNCTION("""COMPUTED_VALUE"""),"DB")</f>
        <v>DB</v>
      </c>
      <c r="G80" s="2">
        <f>IFERROR(__xludf.DUMMYFUNCTION("""COMPUTED_VALUE"""),5.401507195000005E7)</f>
        <v>54015071.95</v>
      </c>
      <c r="H80" s="2">
        <f>IFERROR(__xludf.DUMMYFUNCTION("""COMPUTED_VALUE"""),5.401507195E7)</f>
        <v>54015071.95</v>
      </c>
      <c r="I80" s="2" t="str">
        <f>IFERROR(__xludf.DUMMYFUNCTION("""COMPUTED_VALUE"""),"PRIBADI")</f>
        <v>PRIBADI</v>
      </c>
    </row>
    <row r="81">
      <c r="A81" s="7">
        <f>IFERROR(__xludf.DUMMYFUNCTION("""COMPUTED_VALUE"""),46379.0)</f>
        <v>46379</v>
      </c>
      <c r="B81" s="2" t="str">
        <f>IFERROR(__xludf.DUMMYFUNCTION("""COMPUTED_VALUE"""),"TRSF E-BANKING DB")</f>
        <v>TRSF E-BANKING DB</v>
      </c>
      <c r="C81" s="2" t="str">
        <f>IFERROR(__xludf.DUMMYFUNCTION("""COMPUTED_VALUE"""),"2312/FTSCY/WS95031 24277940.00 pelunasan BROILER MAKMUR TAN")</f>
        <v>2312/FTSCY/WS95031 24277940.00 pelunasan BROILER MAKMUR TAN</v>
      </c>
      <c r="D81" s="2">
        <f>IFERROR(__xludf.DUMMYFUNCTION("""COMPUTED_VALUE"""),2.427794E7)</f>
        <v>24277940</v>
      </c>
      <c r="E81" s="2"/>
      <c r="F81" s="2" t="str">
        <f>IFERROR(__xludf.DUMMYFUNCTION("""COMPUTED_VALUE"""),"DB")</f>
        <v>DB</v>
      </c>
      <c r="G81" s="2">
        <f>IFERROR(__xludf.DUMMYFUNCTION("""COMPUTED_VALUE"""),2.9737131950000048E7)</f>
        <v>29737131.95</v>
      </c>
      <c r="H81" s="2"/>
      <c r="I81" s="2" t="str">
        <f>IFERROR(__xludf.DUMMYFUNCTION("""COMPUTED_VALUE"""),"PRIBADI")</f>
        <v>PRIBADI</v>
      </c>
    </row>
    <row r="82">
      <c r="A82" s="7">
        <f>IFERROR(__xludf.DUMMYFUNCTION("""COMPUTED_VALUE"""),46379.0)</f>
        <v>46379</v>
      </c>
      <c r="B82" s="2" t="str">
        <f>IFERROR(__xludf.DUMMYFUNCTION("""COMPUTED_VALUE"""),"TRSF E-BANKING DB")</f>
        <v>TRSF E-BANKING DB</v>
      </c>
      <c r="C82" s="2" t="str">
        <f>IFERROR(__xludf.DUMMYFUNCTION("""COMPUTED_VALUE"""),"2312/FTSCY/WS95271 6086910.00 krg 10 jt MUJIANTO")</f>
        <v>2312/FTSCY/WS95271 6086910.00 krg 10 jt MUJIANTO</v>
      </c>
      <c r="D82" s="2">
        <f>IFERROR(__xludf.DUMMYFUNCTION("""COMPUTED_VALUE"""),6086910.0)</f>
        <v>6086910</v>
      </c>
      <c r="E82" s="2"/>
      <c r="F82" s="2" t="str">
        <f>IFERROR(__xludf.DUMMYFUNCTION("""COMPUTED_VALUE"""),"DB")</f>
        <v>DB</v>
      </c>
      <c r="G82" s="2">
        <f>IFERROR(__xludf.DUMMYFUNCTION("""COMPUTED_VALUE"""),2.3650221950000048E7)</f>
        <v>23650221.95</v>
      </c>
      <c r="H82" s="2"/>
      <c r="I82" s="2" t="str">
        <f>IFERROR(__xludf.DUMMYFUNCTION("""COMPUTED_VALUE"""),"PRIBADI")</f>
        <v>PRIBADI</v>
      </c>
    </row>
    <row r="83">
      <c r="A83" s="7">
        <f>IFERROR(__xludf.DUMMYFUNCTION("""COMPUTED_VALUE"""),46379.0)</f>
        <v>46379</v>
      </c>
      <c r="B83" s="2" t="str">
        <f>IFERROR(__xludf.DUMMYFUNCTION("""COMPUTED_VALUE"""),"TRSF E-BANKING DB")</f>
        <v>TRSF E-BANKING DB</v>
      </c>
      <c r="C83" s="2" t="str">
        <f>IFERROR(__xludf.DUMMYFUNCTION("""COMPUTED_VALUE"""),"2312/FTSCY/WS95271 2803090.00 lunas HERMAWAN")</f>
        <v>2312/FTSCY/WS95271 2803090.00 lunas HERMAWAN</v>
      </c>
      <c r="D83" s="2">
        <f>IFERROR(__xludf.DUMMYFUNCTION("""COMPUTED_VALUE"""),2803090.0)</f>
        <v>2803090</v>
      </c>
      <c r="E83" s="2"/>
      <c r="F83" s="2" t="str">
        <f>IFERROR(__xludf.DUMMYFUNCTION("""COMPUTED_VALUE"""),"DB")</f>
        <v>DB</v>
      </c>
      <c r="G83" s="2">
        <f>IFERROR(__xludf.DUMMYFUNCTION("""COMPUTED_VALUE"""),2.0847131950000048E7)</f>
        <v>20847131.95</v>
      </c>
      <c r="H83" s="2"/>
      <c r="I83" s="2" t="str">
        <f>IFERROR(__xludf.DUMMYFUNCTION("""COMPUTED_VALUE"""),"PRIBADI")</f>
        <v>PRIBADI</v>
      </c>
    </row>
    <row r="84">
      <c r="A84" s="7">
        <f>IFERROR(__xludf.DUMMYFUNCTION("""COMPUTED_VALUE"""),46379.0)</f>
        <v>46379</v>
      </c>
      <c r="B84" s="2" t="str">
        <f>IFERROR(__xludf.DUMMYFUNCTION("""COMPUTED_VALUE"""),"TRSF E-BANKING DB")</f>
        <v>TRSF E-BANKING DB</v>
      </c>
      <c r="C84" s="2" t="str">
        <f>IFERROR(__xludf.DUMMYFUNCTION("""COMPUTED_VALUE"""),"2312/FTSCY/WS95271 2000000.00 SUNARTO")</f>
        <v>2312/FTSCY/WS95271 2000000.00 SUNARTO</v>
      </c>
      <c r="D84" s="2">
        <f>IFERROR(__xludf.DUMMYFUNCTION("""COMPUTED_VALUE"""),2000000.0)</f>
        <v>2000000</v>
      </c>
      <c r="E84" s="2"/>
      <c r="F84" s="2" t="str">
        <f>IFERROR(__xludf.DUMMYFUNCTION("""COMPUTED_VALUE"""),"DB")</f>
        <v>DB</v>
      </c>
      <c r="G84" s="2">
        <f>IFERROR(__xludf.DUMMYFUNCTION("""COMPUTED_VALUE"""),1.8847131950000048E7)</f>
        <v>18847131.95</v>
      </c>
      <c r="H84" s="2"/>
      <c r="I84" s="2" t="str">
        <f>IFERROR(__xludf.DUMMYFUNCTION("""COMPUTED_VALUE"""),"PRIBADI")</f>
        <v>PRIBADI</v>
      </c>
    </row>
    <row r="85">
      <c r="A85" s="7">
        <f>IFERROR(__xludf.DUMMYFUNCTION("""COMPUTED_VALUE"""),46379.0)</f>
        <v>46379</v>
      </c>
      <c r="B85" s="2" t="str">
        <f>IFERROR(__xludf.DUMMYFUNCTION("""COMPUTED_VALUE"""),"TRSF E-BANKING DB")</f>
        <v>TRSF E-BANKING DB</v>
      </c>
      <c r="C85" s="2" t="str">
        <f>IFERROR(__xludf.DUMMYFUNCTION("""COMPUTED_VALUE"""),"2312/FTSCY/WS95271 2906900.00 krg 5 jt FAJAR ANDREANZAH")</f>
        <v>2312/FTSCY/WS95271 2906900.00 krg 5 jt FAJAR ANDREANZAH</v>
      </c>
      <c r="D85" s="2">
        <f>IFERROR(__xludf.DUMMYFUNCTION("""COMPUTED_VALUE"""),2906900.0)</f>
        <v>2906900</v>
      </c>
      <c r="E85" s="2"/>
      <c r="F85" s="2" t="str">
        <f>IFERROR(__xludf.DUMMYFUNCTION("""COMPUTED_VALUE"""),"DB")</f>
        <v>DB</v>
      </c>
      <c r="G85" s="2">
        <f>IFERROR(__xludf.DUMMYFUNCTION("""COMPUTED_VALUE"""),1.5940231950000048E7)</f>
        <v>15940231.95</v>
      </c>
      <c r="H85" s="2"/>
      <c r="I85" s="2" t="str">
        <f>IFERROR(__xludf.DUMMYFUNCTION("""COMPUTED_VALUE"""),"PRIBADI")</f>
        <v>PRIBADI</v>
      </c>
    </row>
    <row r="86">
      <c r="A86" s="7">
        <f>IFERROR(__xludf.DUMMYFUNCTION("""COMPUTED_VALUE"""),46379.0)</f>
        <v>46379</v>
      </c>
      <c r="B86" s="2" t="str">
        <f>IFERROR(__xludf.DUMMYFUNCTION("""COMPUTED_VALUE"""),"TRSF E-BANKING DB")</f>
        <v>TRSF E-BANKING DB</v>
      </c>
      <c r="C86" s="2" t="str">
        <f>IFERROR(__xludf.DUMMYFUNCTION("""COMPUTED_VALUE"""),"2312/FTSCY/WS95271 18260000.00 pelunasan 21/12 BROILER MAKMUR TAN")</f>
        <v>2312/FTSCY/WS95271 18260000.00 pelunasan 21/12 BROILER MAKMUR TAN</v>
      </c>
      <c r="D86" s="2">
        <f>IFERROR(__xludf.DUMMYFUNCTION("""COMPUTED_VALUE"""),1.826E7)</f>
        <v>18260000</v>
      </c>
      <c r="E86" s="2"/>
      <c r="F86" s="2" t="str">
        <f>IFERROR(__xludf.DUMMYFUNCTION("""COMPUTED_VALUE"""),"DB")</f>
        <v>DB</v>
      </c>
      <c r="G86" s="2">
        <f>IFERROR(__xludf.DUMMYFUNCTION("""COMPUTED_VALUE"""),4.4817540195000005E8)</f>
        <v>448175402</v>
      </c>
      <c r="H86" s="2"/>
      <c r="I86" s="2" t="str">
        <f>IFERROR(__xludf.DUMMYFUNCTION("""COMPUTED_VALUE"""),"PRIBADI")</f>
        <v>PRIBADI</v>
      </c>
    </row>
    <row r="87">
      <c r="A87" s="7">
        <f>IFERROR(__xludf.DUMMYFUNCTION("""COMPUTED_VALUE"""),46379.0)</f>
        <v>46379</v>
      </c>
      <c r="B87" s="2" t="str">
        <f>IFERROR(__xludf.DUMMYFUNCTION("""COMPUTED_VALUE"""),"TRSF E-BANKING DB")</f>
        <v>TRSF E-BANKING DB</v>
      </c>
      <c r="C87" s="2" t="str">
        <f>IFERROR(__xludf.DUMMYFUNCTION("""COMPUTED_VALUE"""),"2312/FTFVA/WS95031 14453/PITIK - - 1082318368518")</f>
        <v>2312/FTFVA/WS95031 14453/PITIK - - 1082318368518</v>
      </c>
      <c r="D87" s="2">
        <f>IFERROR(__xludf.DUMMYFUNCTION("""COMPUTED_VALUE"""),4.759884E7)</f>
        <v>47598840</v>
      </c>
      <c r="E87" s="2"/>
      <c r="F87" s="2" t="str">
        <f>IFERROR(__xludf.DUMMYFUNCTION("""COMPUTED_VALUE"""),"DB")</f>
        <v>DB</v>
      </c>
      <c r="G87" s="2">
        <f>IFERROR(__xludf.DUMMYFUNCTION("""COMPUTED_VALUE"""),4.0057656195000005E8)</f>
        <v>400576562</v>
      </c>
      <c r="H87" s="2">
        <f>IFERROR(__xludf.DUMMYFUNCTION("""COMPUTED_VALUE"""),4.0057656195E8)</f>
        <v>400576562</v>
      </c>
      <c r="I87" s="2" t="str">
        <f>IFERROR(__xludf.DUMMYFUNCTION("""COMPUTED_VALUE"""),"PRIBADI")</f>
        <v>PRIBADI</v>
      </c>
    </row>
    <row r="88">
      <c r="A88" s="7">
        <f>IFERROR(__xludf.DUMMYFUNCTION("""COMPUTED_VALUE"""),46380.0)</f>
        <v>46380</v>
      </c>
      <c r="B88" s="2" t="str">
        <f>IFERROR(__xludf.DUMMYFUNCTION("""COMPUTED_VALUE"""),"TRSF E-BANKING DB")</f>
        <v>TRSF E-BANKING DB</v>
      </c>
      <c r="C88" s="2" t="str">
        <f>IFERROR(__xludf.DUMMYFUNCTION("""COMPUTED_VALUE"""),"2412/FTFVA/WS95031 13043/TOPUP SAFECA - - 230260")</f>
        <v>2412/FTFVA/WS95031 13043/TOPUP SAFECA - - 230260</v>
      </c>
      <c r="D88" s="2">
        <f>IFERROR(__xludf.DUMMYFUNCTION("""COMPUTED_VALUE"""),200000.0)</f>
        <v>200000</v>
      </c>
      <c r="E88" s="2"/>
      <c r="F88" s="2" t="str">
        <f>IFERROR(__xludf.DUMMYFUNCTION("""COMPUTED_VALUE"""),"DB")</f>
        <v>DB</v>
      </c>
      <c r="G88" s="2">
        <f>IFERROR(__xludf.DUMMYFUNCTION("""COMPUTED_VALUE"""),4.0037656195000005E8)</f>
        <v>400376562</v>
      </c>
      <c r="H88" s="2"/>
      <c r="I88" s="2" t="str">
        <f>IFERROR(__xludf.DUMMYFUNCTION("""COMPUTED_VALUE"""),"PRIBADI")</f>
        <v>PRIBADI</v>
      </c>
    </row>
    <row r="89">
      <c r="A89" s="7">
        <f>IFERROR(__xludf.DUMMYFUNCTION("""COMPUTED_VALUE"""),46380.0)</f>
        <v>46380</v>
      </c>
      <c r="B89" s="2" t="str">
        <f>IFERROR(__xludf.DUMMYFUNCTION("""COMPUTED_VALUE"""),"TRSF E-BANKING DB")</f>
        <v>TRSF E-BANKING DB</v>
      </c>
      <c r="C89" s="2" t="str">
        <f>IFERROR(__xludf.DUMMYFUNCTION("""COMPUTED_VALUE"""),"2412/FTFVA/WS95031 13043/TOPUP SAFECA - - 230260")</f>
        <v>2412/FTFVA/WS95031 13043/TOPUP SAFECA - - 230260</v>
      </c>
      <c r="D89" s="2">
        <f>IFERROR(__xludf.DUMMYFUNCTION("""COMPUTED_VALUE"""),10000.0)</f>
        <v>10000</v>
      </c>
      <c r="E89" s="2"/>
      <c r="F89" s="2" t="str">
        <f>IFERROR(__xludf.DUMMYFUNCTION("""COMPUTED_VALUE"""),"DB")</f>
        <v>DB</v>
      </c>
      <c r="G89" s="2">
        <f>IFERROR(__xludf.DUMMYFUNCTION("""COMPUTED_VALUE"""),4.0036656195000005E8)</f>
        <v>400366562</v>
      </c>
      <c r="H89" s="2">
        <f>IFERROR(__xludf.DUMMYFUNCTION("""COMPUTED_VALUE"""),4.0036656195E8)</f>
        <v>400366562</v>
      </c>
      <c r="I89" s="2" t="str">
        <f>IFERROR(__xludf.DUMMYFUNCTION("""COMPUTED_VALUE"""),"PRIBADI")</f>
        <v>PRIBADI</v>
      </c>
    </row>
    <row r="90">
      <c r="A90" s="7">
        <f>IFERROR(__xludf.DUMMYFUNCTION("""COMPUTED_VALUE"""),46380.0)</f>
        <v>46380</v>
      </c>
      <c r="B90" s="2" t="str">
        <f>IFERROR(__xludf.DUMMYFUNCTION("""COMPUTED_VALUE"""),"BYR VIA E-BANKING")</f>
        <v>BYR VIA E-BANKING</v>
      </c>
      <c r="C90" s="2" t="str">
        <f>IFERROR(__xludf.DUMMYFUNCTION("""COMPUTED_VALUE"""),"24/12  WSID9503102 0507 FIF 803001249921 MUHAMMAD HAIRUL MA")</f>
        <v>24/12  WSID9503102 0507 FIF 803001249921 MUHAMMAD HAIRUL MA</v>
      </c>
      <c r="D90" s="2">
        <f>IFERROR(__xludf.DUMMYFUNCTION("""COMPUTED_VALUE"""),753700.0)</f>
        <v>753700</v>
      </c>
      <c r="E90" s="2"/>
      <c r="F90" s="2"/>
      <c r="G90" s="2">
        <f>IFERROR(__xludf.DUMMYFUNCTION("""COMPUTED_VALUE"""),3.9961286195000005E8)</f>
        <v>399612862</v>
      </c>
      <c r="H90" s="2">
        <f>IFERROR(__xludf.DUMMYFUNCTION("""COMPUTED_VALUE"""),3.9961286195E8)</f>
        <v>399612862</v>
      </c>
      <c r="I90" s="2" t="str">
        <f>IFERROR(__xludf.DUMMYFUNCTION("""COMPUTED_VALUE"""),"PRIBADI")</f>
        <v>PRIBADI</v>
      </c>
    </row>
    <row r="91">
      <c r="A91" s="7">
        <f>IFERROR(__xludf.DUMMYFUNCTION("""COMPUTED_VALUE"""),46380.0)</f>
        <v>46380</v>
      </c>
      <c r="B91" s="2" t="str">
        <f>IFERROR(__xludf.DUMMYFUNCTION("""COMPUTED_VALUE"""),"BI-FAST DB")</f>
        <v>BI-FAST DB</v>
      </c>
      <c r="C91" s="2" t="str">
        <f>IFERROR(__xludf.DUMMYFUNCTION("""COMPUTED_VALUE"""),"BIF TRANSFER KE 2 HALIK MyBCA")</f>
        <v>BIF TRANSFER KE 2 HALIK MyBCA</v>
      </c>
      <c r="D91" s="2">
        <f>IFERROR(__xludf.DUMMYFUNCTION("""COMPUTED_VALUE"""),3054000.0)</f>
        <v>3054000</v>
      </c>
      <c r="E91" s="2"/>
      <c r="F91" s="2" t="str">
        <f>IFERROR(__xludf.DUMMYFUNCTION("""COMPUTED_VALUE"""),"DB")</f>
        <v>DB</v>
      </c>
      <c r="G91" s="2">
        <f>IFERROR(__xludf.DUMMYFUNCTION("""COMPUTED_VALUE"""),4.2425886195000005E8)</f>
        <v>424258862</v>
      </c>
      <c r="H91" s="2"/>
      <c r="I91" s="2" t="str">
        <f>IFERROR(__xludf.DUMMYFUNCTION("""COMPUTED_VALUE"""),"PRIBADI")</f>
        <v>PRIBADI</v>
      </c>
    </row>
    <row r="92">
      <c r="A92" s="7">
        <f>IFERROR(__xludf.DUMMYFUNCTION("""COMPUTED_VALUE"""),46380.0)</f>
        <v>46380</v>
      </c>
      <c r="B92" s="2" t="str">
        <f>IFERROR(__xludf.DUMMYFUNCTION("""COMPUTED_VALUE"""),"BI-FAST DB")</f>
        <v>BI-FAST DB</v>
      </c>
      <c r="C92" s="2" t="str">
        <f>IFERROR(__xludf.DUMMYFUNCTION("""COMPUTED_VALUE"""),"BIF BIAYA TXN KE 2 HALIK MyBCA")</f>
        <v>BIF BIAYA TXN KE 2 HALIK MyBCA</v>
      </c>
      <c r="D92" s="2">
        <f>IFERROR(__xludf.DUMMYFUNCTION("""COMPUTED_VALUE"""),2500.0)</f>
        <v>2500</v>
      </c>
      <c r="E92" s="2"/>
      <c r="F92" s="2" t="str">
        <f>IFERROR(__xludf.DUMMYFUNCTION("""COMPUTED_VALUE"""),"DB")</f>
        <v>DB</v>
      </c>
      <c r="G92" s="2">
        <f>IFERROR(__xludf.DUMMYFUNCTION("""COMPUTED_VALUE"""),4.2425636195000005E8)</f>
        <v>424256362</v>
      </c>
      <c r="H92" s="2"/>
      <c r="I92" s="2" t="str">
        <f>IFERROR(__xludf.DUMMYFUNCTION("""COMPUTED_VALUE"""),"PRIBADI")</f>
        <v>PRIBADI</v>
      </c>
    </row>
    <row r="93">
      <c r="A93" s="7">
        <f>IFERROR(__xludf.DUMMYFUNCTION("""COMPUTED_VALUE"""),46380.0)</f>
        <v>46380</v>
      </c>
      <c r="B93" s="2" t="str">
        <f>IFERROR(__xludf.DUMMYFUNCTION("""COMPUTED_VALUE"""),"TRSF E-BANKING DB")</f>
        <v>TRSF E-BANKING DB</v>
      </c>
      <c r="C93" s="2" t="str">
        <f>IFERROR(__xludf.DUMMYFUNCTION("""COMPUTED_VALUE"""),"2412/FTSCY/WS95031 1000000.00 SUNARTO")</f>
        <v>2412/FTSCY/WS95031 1000000.00 SUNARTO</v>
      </c>
      <c r="D93" s="2">
        <f>IFERROR(__xludf.DUMMYFUNCTION("""COMPUTED_VALUE"""),1000000.0)</f>
        <v>1000000</v>
      </c>
      <c r="E93" s="2"/>
      <c r="F93" s="2" t="str">
        <f>IFERROR(__xludf.DUMMYFUNCTION("""COMPUTED_VALUE"""),"DB")</f>
        <v>DB</v>
      </c>
      <c r="G93" s="2">
        <f>IFERROR(__xludf.DUMMYFUNCTION("""COMPUTED_VALUE"""),4.2325636195000005E8)</f>
        <v>423256362</v>
      </c>
      <c r="H93" s="2"/>
      <c r="I93" s="2" t="str">
        <f>IFERROR(__xludf.DUMMYFUNCTION("""COMPUTED_VALUE"""),"PRIBADI")</f>
        <v>PRIBADI</v>
      </c>
    </row>
    <row r="94">
      <c r="A94" s="7">
        <f>IFERROR(__xludf.DUMMYFUNCTION("""COMPUTED_VALUE"""),46380.0)</f>
        <v>46380</v>
      </c>
      <c r="B94" s="2" t="str">
        <f>IFERROR(__xludf.DUMMYFUNCTION("""COMPUTED_VALUE"""),"TRSF E-BANKING DB")</f>
        <v>TRSF E-BANKING DB</v>
      </c>
      <c r="C94" s="2" t="str">
        <f>IFERROR(__xludf.DUMMYFUNCTION("""COMPUTED_VALUE"""),"2412/FTSCY/WS95271 58088000.00 Tue Dec 22 2026 15:00:00 GMT+0700 (Western Indonesia Time) BINTANG TAMA SANTO")</f>
        <v>2412/FTSCY/WS95271 58088000.00 Tue Dec 22 2026 15:00:00 GMT+0700 (Western Indonesia Time) BINTANG TAMA SANTO</v>
      </c>
      <c r="D94" s="2">
        <f>IFERROR(__xludf.DUMMYFUNCTION("""COMPUTED_VALUE"""),5.8088E7)</f>
        <v>58088000</v>
      </c>
      <c r="E94" s="2"/>
      <c r="F94" s="2" t="str">
        <f>IFERROR(__xludf.DUMMYFUNCTION("""COMPUTED_VALUE"""),"DB")</f>
        <v>DB</v>
      </c>
      <c r="G94" s="2">
        <f>IFERROR(__xludf.DUMMYFUNCTION("""COMPUTED_VALUE"""),3.6516836195000005E8)</f>
        <v>365168362</v>
      </c>
      <c r="H94" s="2"/>
      <c r="I94" s="2" t="str">
        <f>IFERROR(__xludf.DUMMYFUNCTION("""COMPUTED_VALUE"""),"PRIBADI")</f>
        <v>PRIBADI</v>
      </c>
    </row>
    <row r="95">
      <c r="A95" s="7">
        <f>IFERROR(__xludf.DUMMYFUNCTION("""COMPUTED_VALUE"""),46380.0)</f>
        <v>46380</v>
      </c>
      <c r="B95" s="2" t="str">
        <f>IFERROR(__xludf.DUMMYFUNCTION("""COMPUTED_VALUE"""),"TRSF E-BANKING DB")</f>
        <v>TRSF E-BANKING DB</v>
      </c>
      <c r="C95" s="2" t="str">
        <f>IFERROR(__xludf.DUMMYFUNCTION("""COMPUTED_VALUE"""),"2412/FTFVA/WS95031 55569/PT PRIMA FAJ malang - 40190")</f>
        <v>2412/FTFVA/WS95031 55569/PT PRIMA FAJ malang - 40190</v>
      </c>
      <c r="D95" s="2">
        <f>IFERROR(__xludf.DUMMYFUNCTION("""COMPUTED_VALUE"""),4.91304E7)</f>
        <v>49130400</v>
      </c>
      <c r="E95" s="2"/>
      <c r="F95" s="2" t="str">
        <f>IFERROR(__xludf.DUMMYFUNCTION("""COMPUTED_VALUE"""),"DB")</f>
        <v>DB</v>
      </c>
      <c r="G95" s="2">
        <f>IFERROR(__xludf.DUMMYFUNCTION("""COMPUTED_VALUE"""),3.1603796195000005E8)</f>
        <v>316037962</v>
      </c>
      <c r="H95" s="2"/>
      <c r="I95" s="2" t="str">
        <f>IFERROR(__xludf.DUMMYFUNCTION("""COMPUTED_VALUE"""),"PRIBADI")</f>
        <v>PRIBADI</v>
      </c>
    </row>
    <row r="96">
      <c r="A96" s="7">
        <f>IFERROR(__xludf.DUMMYFUNCTION("""COMPUTED_VALUE"""),46380.0)</f>
        <v>46380</v>
      </c>
      <c r="B96" s="2" t="str">
        <f>IFERROR(__xludf.DUMMYFUNCTION("""COMPUTED_VALUE"""),"TRSF E-BANKING DB")</f>
        <v>TRSF E-BANKING DB</v>
      </c>
      <c r="C96" s="2" t="str">
        <f>IFERROR(__xludf.DUMMYFUNCTION("""COMPUTED_VALUE"""),"2412/FTSCY/WS95271 54876600.00 Tue Dec 22 2026 15:00:00 GMT+0700 (Western Indonesia Time) BINTANG TAMA SANTO")</f>
        <v>2412/FTSCY/WS95271 54876600.00 Tue Dec 22 2026 15:00:00 GMT+0700 (Western Indonesia Time) BINTANG TAMA SANTO</v>
      </c>
      <c r="D96" s="2">
        <f>IFERROR(__xludf.DUMMYFUNCTION("""COMPUTED_VALUE"""),5.48766E7)</f>
        <v>54876600</v>
      </c>
      <c r="E96" s="2"/>
      <c r="F96" s="2" t="str">
        <f>IFERROR(__xludf.DUMMYFUNCTION("""COMPUTED_VALUE"""),"DB")</f>
        <v>DB</v>
      </c>
      <c r="G96" s="2">
        <f>IFERROR(__xludf.DUMMYFUNCTION("""COMPUTED_VALUE"""),2.6116136195000005E8)</f>
        <v>261161362</v>
      </c>
      <c r="H96" s="2"/>
      <c r="I96" s="2" t="str">
        <f>IFERROR(__xludf.DUMMYFUNCTION("""COMPUTED_VALUE"""),"PRIBADI")</f>
        <v>PRIBADI</v>
      </c>
    </row>
    <row r="97">
      <c r="A97" s="7">
        <f>IFERROR(__xludf.DUMMYFUNCTION("""COMPUTED_VALUE"""),46380.0)</f>
        <v>46380</v>
      </c>
      <c r="B97" s="2" t="str">
        <f>IFERROR(__xludf.DUMMYFUNCTION("""COMPUTED_VALUE"""),"TRSF E-BANKING DB")</f>
        <v>TRSF E-BANKING DB</v>
      </c>
      <c r="C97" s="2" t="str">
        <f>IFERROR(__xludf.DUMMYFUNCTION("""COMPUTED_VALUE"""),"2412/FTSCY/WS95271 56100000.00 Tue Dec 22 2026 15:00:00 GMT+0700 (Western Indonesia Time) LAJU SATWA WISESA")</f>
        <v>2412/FTSCY/WS95271 56100000.00 Tue Dec 22 2026 15:00:00 GMT+0700 (Western Indonesia Time) LAJU SATWA WISESA</v>
      </c>
      <c r="D97" s="2">
        <f>IFERROR(__xludf.DUMMYFUNCTION("""COMPUTED_VALUE"""),5.61E7)</f>
        <v>56100000</v>
      </c>
      <c r="E97" s="2"/>
      <c r="F97" s="2" t="str">
        <f>IFERROR(__xludf.DUMMYFUNCTION("""COMPUTED_VALUE"""),"DB")</f>
        <v>DB</v>
      </c>
      <c r="G97" s="2">
        <f>IFERROR(__xludf.DUMMYFUNCTION("""COMPUTED_VALUE"""),2.0506136195000005E8)</f>
        <v>205061362</v>
      </c>
      <c r="H97" s="2"/>
      <c r="I97" s="2" t="str">
        <f>IFERROR(__xludf.DUMMYFUNCTION("""COMPUTED_VALUE"""),"PRIBADI")</f>
        <v>PRIBADI</v>
      </c>
    </row>
    <row r="98">
      <c r="A98" s="7">
        <f>IFERROR(__xludf.DUMMYFUNCTION("""COMPUTED_VALUE"""),46380.0)</f>
        <v>46380</v>
      </c>
      <c r="B98" s="2" t="str">
        <f>IFERROR(__xludf.DUMMYFUNCTION("""COMPUTED_VALUE"""),"TRSF E-BANKING DB")</f>
        <v>TRSF E-BANKING DB</v>
      </c>
      <c r="C98" s="2" t="str">
        <f>IFERROR(__xludf.DUMMYFUNCTION("""COMPUTED_VALUE"""),"2412/FTSCY/WS95031 2762440.00 tuban AGUS SUSANTO")</f>
        <v>2412/FTSCY/WS95031 2762440.00 tuban AGUS SUSANTO</v>
      </c>
      <c r="D98" s="2">
        <f>IFERROR(__xludf.DUMMYFUNCTION("""COMPUTED_VALUE"""),2762440.0)</f>
        <v>2762440</v>
      </c>
      <c r="E98" s="2"/>
      <c r="F98" s="2" t="str">
        <f>IFERROR(__xludf.DUMMYFUNCTION("""COMPUTED_VALUE"""),"DB")</f>
        <v>DB</v>
      </c>
      <c r="G98" s="2">
        <f>IFERROR(__xludf.DUMMYFUNCTION("""COMPUTED_VALUE"""),2.0229892195000005E8)</f>
        <v>202298922</v>
      </c>
      <c r="H98" s="2"/>
      <c r="I98" s="2" t="str">
        <f>IFERROR(__xludf.DUMMYFUNCTION("""COMPUTED_VALUE"""),"PRIBADI")</f>
        <v>PRIBADI</v>
      </c>
    </row>
    <row r="99">
      <c r="A99" s="7">
        <f>IFERROR(__xludf.DUMMYFUNCTION("""COMPUTED_VALUE"""),46380.0)</f>
        <v>46380</v>
      </c>
      <c r="B99" s="2" t="str">
        <f>IFERROR(__xludf.DUMMYFUNCTION("""COMPUTED_VALUE"""),"TRSF E-BANKING DB")</f>
        <v>TRSF E-BANKING DB</v>
      </c>
      <c r="C99" s="2" t="str">
        <f>IFERROR(__xludf.DUMMYFUNCTION("""COMPUTED_VALUE"""),"2412/FTSCY/WS95031 1230080.00 HERMAWAN")</f>
        <v>2412/FTSCY/WS95031 1230080.00 HERMAWAN</v>
      </c>
      <c r="D99" s="2">
        <f>IFERROR(__xludf.DUMMYFUNCTION("""COMPUTED_VALUE"""),1230080.0)</f>
        <v>1230080</v>
      </c>
      <c r="E99" s="2"/>
      <c r="F99" s="2" t="str">
        <f>IFERROR(__xludf.DUMMYFUNCTION("""COMPUTED_VALUE"""),"DB")</f>
        <v>DB</v>
      </c>
      <c r="G99" s="2">
        <f>IFERROR(__xludf.DUMMYFUNCTION("""COMPUTED_VALUE"""),2.0106884195000005E8)</f>
        <v>201068842</v>
      </c>
      <c r="H99" s="2"/>
      <c r="I99" s="2" t="str">
        <f>IFERROR(__xludf.DUMMYFUNCTION("""COMPUTED_VALUE"""),"PRIBADI")</f>
        <v>PRIBADI</v>
      </c>
    </row>
    <row r="100">
      <c r="A100" s="7">
        <f>IFERROR(__xludf.DUMMYFUNCTION("""COMPUTED_VALUE"""),46380.0)</f>
        <v>46380</v>
      </c>
      <c r="B100" s="2" t="str">
        <f>IFERROR(__xludf.DUMMYFUNCTION("""COMPUTED_VALUE"""),"TRSF E-BANKING DB")</f>
        <v>TRSF E-BANKING DB</v>
      </c>
      <c r="C100" s="2" t="str">
        <f>IFERROR(__xludf.DUMMYFUNCTION("""COMPUTED_VALUE"""),"2412/FTSCY/WS95031 3079650.00 IMAM KUSAENI")</f>
        <v>2412/FTSCY/WS95031 3079650.00 IMAM KUSAENI</v>
      </c>
      <c r="D100" s="2">
        <f>IFERROR(__xludf.DUMMYFUNCTION("""COMPUTED_VALUE"""),3079650.0)</f>
        <v>3079650</v>
      </c>
      <c r="E100" s="2"/>
      <c r="F100" s="2" t="str">
        <f>IFERROR(__xludf.DUMMYFUNCTION("""COMPUTED_VALUE"""),"DB")</f>
        <v>DB</v>
      </c>
      <c r="G100" s="2">
        <f>IFERROR(__xludf.DUMMYFUNCTION("""COMPUTED_VALUE"""),1.9798919195000005E8)</f>
        <v>197989192</v>
      </c>
      <c r="H100" s="2"/>
      <c r="I100" s="2" t="str">
        <f>IFERROR(__xludf.DUMMYFUNCTION("""COMPUTED_VALUE"""),"PRIBADI")</f>
        <v>PRIBADI</v>
      </c>
    </row>
    <row r="101">
      <c r="A101" s="7">
        <f>IFERROR(__xludf.DUMMYFUNCTION("""COMPUTED_VALUE"""),46380.0)</f>
        <v>46380</v>
      </c>
      <c r="B101" s="2" t="str">
        <f>IFERROR(__xludf.DUMMYFUNCTION("""COMPUTED_VALUE"""),"TARIKAN ATM 24/12")</f>
        <v>TARIKAN ATM 24/12</v>
      </c>
      <c r="C101" s="2" t="str">
        <f>IFERROR(__xludf.DUMMYFUNCTION("""COMPUTED_VALUE"""),"TARIKAN ATM 24/12")</f>
        <v>TARIKAN ATM 24/12</v>
      </c>
      <c r="D101" s="2">
        <f>IFERROR(__xludf.DUMMYFUNCTION("""COMPUTED_VALUE"""),200000.0)</f>
        <v>200000</v>
      </c>
      <c r="E101" s="2"/>
      <c r="F101" s="2"/>
      <c r="G101" s="2">
        <f>IFERROR(__xludf.DUMMYFUNCTION("""COMPUTED_VALUE"""),1.9778919195000005E8)</f>
        <v>197789192</v>
      </c>
      <c r="H101" s="2"/>
      <c r="I101" s="2" t="str">
        <f>IFERROR(__xludf.DUMMYFUNCTION("""COMPUTED_VALUE"""),"PRIBADI")</f>
        <v>PRIBADI</v>
      </c>
    </row>
    <row r="102">
      <c r="A102" s="7">
        <f>IFERROR(__xludf.DUMMYFUNCTION("""COMPUTED_VALUE"""),46380.0)</f>
        <v>46380</v>
      </c>
      <c r="B102" s="2" t="str">
        <f>IFERROR(__xludf.DUMMYFUNCTION("""COMPUTED_VALUE"""),"BYR VIA E-BANKING")</f>
        <v>BYR VIA E-BANKING</v>
      </c>
      <c r="C102" s="2" t="str">
        <f>IFERROR(__xludf.DUMMYFUNCTION("""COMPUTED_VALUE"""),"24/12  WSID9503102 1220 TELKOMSEL 82318368518 MUHAMMAD HAIRUL MA")</f>
        <v>24/12  WSID9503102 1220 TELKOMSEL 82318368518 MUHAMMAD HAIRUL MA</v>
      </c>
      <c r="D102" s="2">
        <f>IFERROR(__xludf.DUMMYFUNCTION("""COMPUTED_VALUE"""),102000.0)</f>
        <v>102000</v>
      </c>
      <c r="E102" s="2"/>
      <c r="F102" s="2"/>
      <c r="G102" s="2">
        <f>IFERROR(__xludf.DUMMYFUNCTION("""COMPUTED_VALUE"""),1.9768719195000005E8)</f>
        <v>197687192</v>
      </c>
      <c r="H102" s="2">
        <f>IFERROR(__xludf.DUMMYFUNCTION("""COMPUTED_VALUE"""),1.9768719195E8)</f>
        <v>197687192</v>
      </c>
      <c r="I102" s="2" t="str">
        <f>IFERROR(__xludf.DUMMYFUNCTION("""COMPUTED_VALUE"""),"PRIBADI")</f>
        <v>PRIBADI</v>
      </c>
    </row>
    <row r="103">
      <c r="A103" s="7">
        <f>IFERROR(__xludf.DUMMYFUNCTION("""COMPUTED_VALUE"""),46381.0)</f>
        <v>46381</v>
      </c>
      <c r="B103" s="2" t="str">
        <f>IFERROR(__xludf.DUMMYFUNCTION("""COMPUTED_VALUE"""),"TRSF E-BANKING DB TANGGAL :24/12")</f>
        <v>TRSF E-BANKING DB TANGGAL :24/12</v>
      </c>
      <c r="C103" s="2" t="str">
        <f>IFERROR(__xludf.DUMMYFUNCTION("""COMPUTED_VALUE"""),"2412/FTSCY/WS95271 MUHAMMAD SOKHIBUL")</f>
        <v>2412/FTSCY/WS95271 MUHAMMAD SOKHIBUL</v>
      </c>
      <c r="D103" s="2">
        <f>IFERROR(__xludf.DUMMYFUNCTION("""COMPUTED_VALUE"""),1610000.0)</f>
        <v>1610000</v>
      </c>
      <c r="E103" s="2"/>
      <c r="F103" s="2" t="str">
        <f>IFERROR(__xludf.DUMMYFUNCTION("""COMPUTED_VALUE"""),"DB")</f>
        <v>DB</v>
      </c>
      <c r="G103" s="2">
        <f>IFERROR(__xludf.DUMMYFUNCTION("""COMPUTED_VALUE"""),1.9607719195000005E8)</f>
        <v>196077192</v>
      </c>
      <c r="H103" s="2">
        <f>IFERROR(__xludf.DUMMYFUNCTION("""COMPUTED_VALUE"""),1.9607719195E8)</f>
        <v>196077192</v>
      </c>
      <c r="I103" s="2" t="str">
        <f>IFERROR(__xludf.DUMMYFUNCTION("""COMPUTED_VALUE"""),"PRIBADI")</f>
        <v>PRIBADI</v>
      </c>
    </row>
    <row r="104">
      <c r="A104" s="7">
        <f>IFERROR(__xludf.DUMMYFUNCTION("""COMPUTED_VALUE"""),46381.0)</f>
        <v>46381</v>
      </c>
      <c r="B104" s="2" t="str">
        <f>IFERROR(__xludf.DUMMYFUNCTION("""COMPUTED_VALUE"""),"TRSF E-BANKING DB TANGGAL :24/12")</f>
        <v>TRSF E-BANKING DB TANGGAL :24/12</v>
      </c>
      <c r="C104" s="2" t="str">
        <f>IFERROR(__xludf.DUMMYFUNCTION("""COMPUTED_VALUE"""),"2412/FTSCY/WS95271 EKO SETIYAWAN")</f>
        <v>2412/FTSCY/WS95271 EKO SETIYAWAN</v>
      </c>
      <c r="D104" s="2">
        <f>IFERROR(__xludf.DUMMYFUNCTION("""COMPUTED_VALUE"""),1.75E7)</f>
        <v>17500000</v>
      </c>
      <c r="E104" s="2"/>
      <c r="F104" s="2" t="str">
        <f>IFERROR(__xludf.DUMMYFUNCTION("""COMPUTED_VALUE"""),"DB")</f>
        <v>DB</v>
      </c>
      <c r="G104" s="2">
        <f>IFERROR(__xludf.DUMMYFUNCTION("""COMPUTED_VALUE"""),1.7857719195000005E8)</f>
        <v>178577192</v>
      </c>
      <c r="H104" s="2"/>
      <c r="I104" s="2" t="str">
        <f>IFERROR(__xludf.DUMMYFUNCTION("""COMPUTED_VALUE"""),"PRIBADI")</f>
        <v>PRIBADI</v>
      </c>
    </row>
    <row r="105">
      <c r="A105" s="7">
        <f>IFERROR(__xludf.DUMMYFUNCTION("""COMPUTED_VALUE"""),46381.0)</f>
        <v>46381</v>
      </c>
      <c r="B105" s="2" t="str">
        <f>IFERROR(__xludf.DUMMYFUNCTION("""COMPUTED_VALUE"""),"TRSF E-BANKING DB TANGGAL :24/12")</f>
        <v>TRSF E-BANKING DB TANGGAL :24/12</v>
      </c>
      <c r="C105" s="2" t="str">
        <f>IFERROR(__xludf.DUMMYFUNCTION("""COMPUTED_VALUE"""),"2412/FTSCY/WS95271 krg 50 jt ADNAN")</f>
        <v>2412/FTSCY/WS95271 krg 50 jt ADNAN</v>
      </c>
      <c r="D105" s="2">
        <f>IFERROR(__xludf.DUMMYFUNCTION("""COMPUTED_VALUE"""),6.24941E7)</f>
        <v>62494100</v>
      </c>
      <c r="E105" s="2"/>
      <c r="F105" s="2" t="str">
        <f>IFERROR(__xludf.DUMMYFUNCTION("""COMPUTED_VALUE"""),"DB")</f>
        <v>DB</v>
      </c>
      <c r="G105" s="2">
        <f>IFERROR(__xludf.DUMMYFUNCTION("""COMPUTED_VALUE"""),1.1608309195000005E8)</f>
        <v>116083092</v>
      </c>
      <c r="H105" s="2"/>
      <c r="I105" s="2" t="str">
        <f>IFERROR(__xludf.DUMMYFUNCTION("""COMPUTED_VALUE"""),"PRIBADI")</f>
        <v>PRIBADI</v>
      </c>
    </row>
    <row r="106">
      <c r="A106" s="7">
        <f>IFERROR(__xludf.DUMMYFUNCTION("""COMPUTED_VALUE"""),46381.0)</f>
        <v>46381</v>
      </c>
      <c r="B106" s="2" t="str">
        <f>IFERROR(__xludf.DUMMYFUNCTION("""COMPUTED_VALUE"""),"TRSF E-BANKING DB TANGGAL :24/12")</f>
        <v>TRSF E-BANKING DB TANGGAL :24/12</v>
      </c>
      <c r="C106" s="2" t="str">
        <f>IFERROR(__xludf.DUMMYFUNCTION("""COMPUTED_VALUE"""),"2412/FTSCY/WS95031 Tue Dec 22 2026 15:00:00 GMT+0700 (Western Indonesia Time) TABASSAM AZ ZUFAR")</f>
        <v>2412/FTSCY/WS95031 Tue Dec 22 2026 15:00:00 GMT+0700 (Western Indonesia Time) TABASSAM AZ ZUFAR</v>
      </c>
      <c r="D106" s="2">
        <f>IFERROR(__xludf.DUMMYFUNCTION("""COMPUTED_VALUE"""),4.63318E7)</f>
        <v>46331800</v>
      </c>
      <c r="E106" s="2"/>
      <c r="F106" s="2" t="str">
        <f>IFERROR(__xludf.DUMMYFUNCTION("""COMPUTED_VALUE"""),"DB")</f>
        <v>DB</v>
      </c>
      <c r="G106" s="2">
        <f>IFERROR(__xludf.DUMMYFUNCTION("""COMPUTED_VALUE"""),6.975129195000005E7)</f>
        <v>69751291.95</v>
      </c>
      <c r="H106" s="2"/>
      <c r="I106" s="2" t="str">
        <f>IFERROR(__xludf.DUMMYFUNCTION("""COMPUTED_VALUE"""),"PRIBADI")</f>
        <v>PRIBADI</v>
      </c>
    </row>
    <row r="107">
      <c r="A107" s="7">
        <f>IFERROR(__xludf.DUMMYFUNCTION("""COMPUTED_VALUE"""),46381.0)</f>
        <v>46381</v>
      </c>
      <c r="B107" s="2" t="str">
        <f>IFERROR(__xludf.DUMMYFUNCTION("""COMPUTED_VALUE"""),"TRSF E-BANKING DB")</f>
        <v>TRSF E-BANKING DB</v>
      </c>
      <c r="C107" s="2" t="str">
        <f>IFERROR(__xludf.DUMMYFUNCTION("""COMPUTED_VALUE"""),"2512/FTSCY/WS95271 48175480.00 Wed Dec 23 2026 15:00:00 GMT+0700 (Western Indonesia Time) TABASSAM JAYA FARM")</f>
        <v>2512/FTSCY/WS95271 48175480.00 Wed Dec 23 2026 15:00:00 GMT+0700 (Western Indonesia Time) TABASSAM JAYA FARM</v>
      </c>
      <c r="D107" s="2">
        <f>IFERROR(__xludf.DUMMYFUNCTION("""COMPUTED_VALUE"""),4.817548E7)</f>
        <v>48175480</v>
      </c>
      <c r="E107" s="2"/>
      <c r="F107" s="2" t="str">
        <f>IFERROR(__xludf.DUMMYFUNCTION("""COMPUTED_VALUE"""),"DB")</f>
        <v>DB</v>
      </c>
      <c r="G107" s="2">
        <f>IFERROR(__xludf.DUMMYFUNCTION("""COMPUTED_VALUE"""),2.1575811950000048E7)</f>
        <v>21575811.95</v>
      </c>
      <c r="H107" s="2"/>
      <c r="I107" s="2" t="str">
        <f>IFERROR(__xludf.DUMMYFUNCTION("""COMPUTED_VALUE"""),"PRIBADI")</f>
        <v>PRIBADI</v>
      </c>
    </row>
    <row r="108">
      <c r="A108" s="7">
        <f>IFERROR(__xludf.DUMMYFUNCTION("""COMPUTED_VALUE"""),46381.0)</f>
        <v>46381</v>
      </c>
      <c r="B108" s="2" t="str">
        <f>IFERROR(__xludf.DUMMYFUNCTION("""COMPUTED_VALUE"""),"TRSF E-BANKING DB")</f>
        <v>TRSF E-BANKING DB</v>
      </c>
      <c r="C108" s="2" t="str">
        <f>IFERROR(__xludf.DUMMYFUNCTION("""COMPUTED_VALUE"""),"2512/FTSCY/WS95271 50000000.00 pelunasan ADNAN")</f>
        <v>2512/FTSCY/WS95271 50000000.00 pelunasan ADNAN</v>
      </c>
      <c r="D108" s="2">
        <f>IFERROR(__xludf.DUMMYFUNCTION("""COMPUTED_VALUE"""),5.0E7)</f>
        <v>50000000</v>
      </c>
      <c r="E108" s="2"/>
      <c r="F108" s="2" t="str">
        <f>IFERROR(__xludf.DUMMYFUNCTION("""COMPUTED_VALUE"""),"DB")</f>
        <v>DB</v>
      </c>
      <c r="G108" s="2">
        <f>IFERROR(__xludf.DUMMYFUNCTION("""COMPUTED_VALUE"""),1.0706077195000005E8)</f>
        <v>107060772</v>
      </c>
      <c r="H108" s="2"/>
      <c r="I108" s="2" t="str">
        <f>IFERROR(__xludf.DUMMYFUNCTION("""COMPUTED_VALUE"""),"PRIBADI")</f>
        <v>PRIBADI</v>
      </c>
    </row>
    <row r="109">
      <c r="A109" s="7">
        <f>IFERROR(__xludf.DUMMYFUNCTION("""COMPUTED_VALUE"""),46381.0)</f>
        <v>46381</v>
      </c>
      <c r="B109" s="2" t="str">
        <f>IFERROR(__xludf.DUMMYFUNCTION("""COMPUTED_VALUE"""),"TRSF E-BANKING DB")</f>
        <v>TRSF E-BANKING DB</v>
      </c>
      <c r="C109" s="2" t="str">
        <f>IFERROR(__xludf.DUMMYFUNCTION("""COMPUTED_VALUE"""),"2512/FTSCY/WS95271 57213370.00 Tue Dec 22 2026 15:00:00 GMT+0700 (Western Indonesia Time) ANDALAN YASA MITRA")</f>
        <v>2512/FTSCY/WS95271 57213370.00 Tue Dec 22 2026 15:00:00 GMT+0700 (Western Indonesia Time) ANDALAN YASA MITRA</v>
      </c>
      <c r="D109" s="2">
        <f>IFERROR(__xludf.DUMMYFUNCTION("""COMPUTED_VALUE"""),5.721337E7)</f>
        <v>57213370</v>
      </c>
      <c r="E109" s="2"/>
      <c r="F109" s="2" t="str">
        <f>IFERROR(__xludf.DUMMYFUNCTION("""COMPUTED_VALUE"""),"DB")</f>
        <v>DB</v>
      </c>
      <c r="G109" s="2">
        <f>IFERROR(__xludf.DUMMYFUNCTION("""COMPUTED_VALUE"""),4.984740195000005E7)</f>
        <v>49847401.95</v>
      </c>
      <c r="H109" s="2"/>
      <c r="I109" s="2" t="str">
        <f>IFERROR(__xludf.DUMMYFUNCTION("""COMPUTED_VALUE"""),"PRIBADI")</f>
        <v>PRIBADI</v>
      </c>
    </row>
    <row r="110">
      <c r="A110" s="7">
        <f>IFERROR(__xludf.DUMMYFUNCTION("""COMPUTED_VALUE"""),46381.0)</f>
        <v>46381</v>
      </c>
      <c r="B110" s="2" t="str">
        <f>IFERROR(__xludf.DUMMYFUNCTION("""COMPUTED_VALUE"""),"TRSF E-BANKING DB")</f>
        <v>TRSF E-BANKING DB</v>
      </c>
      <c r="C110" s="2" t="str">
        <f>IFERROR(__xludf.DUMMYFUNCTION("""COMPUTED_VALUE"""),"2512/FTSCY/WS95271 47557500.00 Tue Dec 22 2026 15:00:00 GMT+0700 (Western Indonesia Time) TABASSAM AL HATTAK")</f>
        <v>2512/FTSCY/WS95271 47557500.00 Tue Dec 22 2026 15:00:00 GMT+0700 (Western Indonesia Time) TABASSAM AL HATTAK</v>
      </c>
      <c r="D110" s="2">
        <f>IFERROR(__xludf.DUMMYFUNCTION("""COMPUTED_VALUE"""),4.75575E7)</f>
        <v>47557500</v>
      </c>
      <c r="E110" s="2"/>
      <c r="F110" s="2" t="str">
        <f>IFERROR(__xludf.DUMMYFUNCTION("""COMPUTED_VALUE"""),"DB")</f>
        <v>DB</v>
      </c>
      <c r="G110" s="2">
        <f>IFERROR(__xludf.DUMMYFUNCTION("""COMPUTED_VALUE"""),2289901.9500000477)</f>
        <v>2289901.95</v>
      </c>
      <c r="H110" s="2">
        <f>IFERROR(__xludf.DUMMYFUNCTION("""COMPUTED_VALUE"""),2289901.95)</f>
        <v>2289901.95</v>
      </c>
      <c r="I110" s="2" t="str">
        <f>IFERROR(__xludf.DUMMYFUNCTION("""COMPUTED_VALUE"""),"PRIBADI")</f>
        <v>PRIBADI</v>
      </c>
    </row>
    <row r="111">
      <c r="A111" s="7">
        <f>IFERROR(__xludf.DUMMYFUNCTION("""COMPUTED_VALUE"""),46382.0)</f>
        <v>46382</v>
      </c>
      <c r="B111" s="2" t="str">
        <f>IFERROR(__xludf.DUMMYFUNCTION("""COMPUTED_VALUE"""),"TRSF E-BANKING DB")</f>
        <v>TRSF E-BANKING DB</v>
      </c>
      <c r="C111" s="2" t="str">
        <f>IFERROR(__xludf.DUMMYFUNCTION("""COMPUTED_VALUE"""),"2612/FTFVA/WS95031 55574/GUNA MITRA S t. galek - 200177")</f>
        <v>2612/FTFVA/WS95031 55574/GUNA MITRA S t. galek - 200177</v>
      </c>
      <c r="D111" s="2">
        <f>IFERROR(__xludf.DUMMYFUNCTION("""COMPUTED_VALUE"""),1.099135E8)</f>
        <v>109913500</v>
      </c>
      <c r="E111" s="2"/>
      <c r="F111" s="2" t="str">
        <f>IFERROR(__xludf.DUMMYFUNCTION("""COMPUTED_VALUE"""),"DB")</f>
        <v>DB</v>
      </c>
      <c r="G111" s="2">
        <f>IFERROR(__xludf.DUMMYFUNCTION("""COMPUTED_VALUE"""),3.3749905495000005E8)</f>
        <v>337499055</v>
      </c>
      <c r="H111" s="2"/>
      <c r="I111" s="2" t="str">
        <f>IFERROR(__xludf.DUMMYFUNCTION("""COMPUTED_VALUE"""),"PRIBADI")</f>
        <v>PRIBADI</v>
      </c>
    </row>
    <row r="112">
      <c r="A112" s="7">
        <f>IFERROR(__xludf.DUMMYFUNCTION("""COMPUTED_VALUE"""),46382.0)</f>
        <v>46382</v>
      </c>
      <c r="B112" s="2" t="str">
        <f>IFERROR(__xludf.DUMMYFUNCTION("""COMPUTED_VALUE"""),"TRSF E-BANKING DB")</f>
        <v>TRSF E-BANKING DB</v>
      </c>
      <c r="C112" s="2" t="str">
        <f>IFERROR(__xludf.DUMMYFUNCTION("""COMPUTED_VALUE"""),"2612/FTSCY/WS95271 46604250.00 Tue Dec 22 2026 15:00:00 GMT+0700 (Western Indonesia Time) ANUGERAH KARTIKA A")</f>
        <v>2612/FTSCY/WS95271 46604250.00 Tue Dec 22 2026 15:00:00 GMT+0700 (Western Indonesia Time) ANUGERAH KARTIKA A</v>
      </c>
      <c r="D112" s="2">
        <f>IFERROR(__xludf.DUMMYFUNCTION("""COMPUTED_VALUE"""),4.660425E7)</f>
        <v>46604250</v>
      </c>
      <c r="E112" s="2"/>
      <c r="F112" s="2" t="str">
        <f>IFERROR(__xludf.DUMMYFUNCTION("""COMPUTED_VALUE"""),"DB")</f>
        <v>DB</v>
      </c>
      <c r="G112" s="2">
        <f>IFERROR(__xludf.DUMMYFUNCTION("""COMPUTED_VALUE"""),5.7919795495E8)</f>
        <v>579197955</v>
      </c>
      <c r="H112" s="2"/>
      <c r="I112" s="2" t="str">
        <f>IFERROR(__xludf.DUMMYFUNCTION("""COMPUTED_VALUE"""),"PRIBADI")</f>
        <v>PRIBADI</v>
      </c>
    </row>
    <row r="113">
      <c r="A113" s="7">
        <f>IFERROR(__xludf.DUMMYFUNCTION("""COMPUTED_VALUE"""),46382.0)</f>
        <v>46382</v>
      </c>
      <c r="B113" s="2" t="str">
        <f>IFERROR(__xludf.DUMMYFUNCTION("""COMPUTED_VALUE"""),"TRSF E-BANKING DB")</f>
        <v>TRSF E-BANKING DB</v>
      </c>
      <c r="C113" s="2" t="str">
        <f>IFERROR(__xludf.DUMMYFUNCTION("""COMPUTED_VALUE"""),"2612/FTSCY/WS95011 110437760.00 Thu Oct 22 2026 14:00:00 GMT+0700 (Western Indonesia Time) ANDALAN YASA MITRA")</f>
        <v>2612/FTSCY/WS95011 110437760.00 Thu Oct 22 2026 14:00:00 GMT+0700 (Western Indonesia Time) ANDALAN YASA MITRA</v>
      </c>
      <c r="D113" s="2">
        <f>IFERROR(__xludf.DUMMYFUNCTION("""COMPUTED_VALUE"""),1.1043776E8)</f>
        <v>110437760</v>
      </c>
      <c r="E113" s="2"/>
      <c r="F113" s="2" t="str">
        <f>IFERROR(__xludf.DUMMYFUNCTION("""COMPUTED_VALUE"""),"DB")</f>
        <v>DB</v>
      </c>
      <c r="G113" s="2">
        <f>IFERROR(__xludf.DUMMYFUNCTION("""COMPUTED_VALUE"""),4.6876019495000005E8)</f>
        <v>468760195</v>
      </c>
      <c r="H113" s="2"/>
      <c r="I113" s="2" t="str">
        <f>IFERROR(__xludf.DUMMYFUNCTION("""COMPUTED_VALUE"""),"PRIBADI")</f>
        <v>PRIBADI</v>
      </c>
    </row>
    <row r="114">
      <c r="A114" s="7">
        <f>IFERROR(__xludf.DUMMYFUNCTION("""COMPUTED_VALUE"""),46382.0)</f>
        <v>46382</v>
      </c>
      <c r="B114" s="2" t="str">
        <f>IFERROR(__xludf.DUMMYFUNCTION("""COMPUTED_VALUE"""),"TRSF E-BANKING DB")</f>
        <v>TRSF E-BANKING DB</v>
      </c>
      <c r="C114" s="2" t="str">
        <f>IFERROR(__xludf.DUMMYFUNCTION("""COMPUTED_VALUE"""),"2612/FTSCY/WS95011 112954500.00 Wed Dec 23 2026 15:00:00 GMT+0700 (Western Indonesia Time) TABASSAM JAYA FARM")</f>
        <v>2612/FTSCY/WS95011 112954500.00 Wed Dec 23 2026 15:00:00 GMT+0700 (Western Indonesia Time) TABASSAM JAYA FARM</v>
      </c>
      <c r="D114" s="2">
        <f>IFERROR(__xludf.DUMMYFUNCTION("""COMPUTED_VALUE"""),1.129545E8)</f>
        <v>112954500</v>
      </c>
      <c r="E114" s="2"/>
      <c r="F114" s="2" t="str">
        <f>IFERROR(__xludf.DUMMYFUNCTION("""COMPUTED_VALUE"""),"DB")</f>
        <v>DB</v>
      </c>
      <c r="G114" s="2">
        <f>IFERROR(__xludf.DUMMYFUNCTION("""COMPUTED_VALUE"""),3.5580569495000005E8)</f>
        <v>355805695</v>
      </c>
      <c r="H114" s="2"/>
      <c r="I114" s="2" t="str">
        <f>IFERROR(__xludf.DUMMYFUNCTION("""COMPUTED_VALUE"""),"PRIBADI")</f>
        <v>PRIBADI</v>
      </c>
    </row>
    <row r="115">
      <c r="A115" s="7">
        <f>IFERROR(__xludf.DUMMYFUNCTION("""COMPUTED_VALUE"""),46382.0)</f>
        <v>46382</v>
      </c>
      <c r="B115" s="2" t="str">
        <f>IFERROR(__xludf.DUMMYFUNCTION("""COMPUTED_VALUE"""),"TRSF E-BANKING DB")</f>
        <v>TRSF E-BANKING DB</v>
      </c>
      <c r="C115" s="2" t="str">
        <f>IFERROR(__xludf.DUMMYFUNCTION("""COMPUTED_VALUE"""),"2612/FTSCY/WS95011 50000000.00 Pelunasan 22/12 ANDALAN YASA MITRA")</f>
        <v>2612/FTSCY/WS95011 50000000.00 Pelunasan 22/12 ANDALAN YASA MITRA</v>
      </c>
      <c r="D115" s="2">
        <f>IFERROR(__xludf.DUMMYFUNCTION("""COMPUTED_VALUE"""),5.0E7)</f>
        <v>50000000</v>
      </c>
      <c r="E115" s="2"/>
      <c r="F115" s="2" t="str">
        <f>IFERROR(__xludf.DUMMYFUNCTION("""COMPUTED_VALUE"""),"DB")</f>
        <v>DB</v>
      </c>
      <c r="G115" s="2">
        <f>IFERROR(__xludf.DUMMYFUNCTION("""COMPUTED_VALUE"""),3.0580569495000005E8)</f>
        <v>305805695</v>
      </c>
      <c r="H115" s="2"/>
      <c r="I115" s="2" t="str">
        <f>IFERROR(__xludf.DUMMYFUNCTION("""COMPUTED_VALUE"""),"PRIBADI")</f>
        <v>PRIBADI</v>
      </c>
    </row>
    <row r="116">
      <c r="A116" s="7">
        <f>IFERROR(__xludf.DUMMYFUNCTION("""COMPUTED_VALUE"""),46382.0)</f>
        <v>46382</v>
      </c>
      <c r="B116" s="2" t="str">
        <f>IFERROR(__xludf.DUMMYFUNCTION("""COMPUTED_VALUE"""),"TRSF E-BANKING DB")</f>
        <v>TRSF E-BANKING DB</v>
      </c>
      <c r="C116" s="2" t="str">
        <f>IFERROR(__xludf.DUMMYFUNCTION("""COMPUTED_VALUE"""),"2612/FTSCY/WS95011 108463460.00 22/12 krg 100 jt TABASSAM JAYA FARM")</f>
        <v>2612/FTSCY/WS95011 108463460.00 22/12 krg 100 jt TABASSAM JAYA FARM</v>
      </c>
      <c r="D116" s="2">
        <f>IFERROR(__xludf.DUMMYFUNCTION("""COMPUTED_VALUE"""),1.0846346E8)</f>
        <v>108463460</v>
      </c>
      <c r="E116" s="2"/>
      <c r="F116" s="2" t="str">
        <f>IFERROR(__xludf.DUMMYFUNCTION("""COMPUTED_VALUE"""),"DB")</f>
        <v>DB</v>
      </c>
      <c r="G116" s="2">
        <f>IFERROR(__xludf.DUMMYFUNCTION("""COMPUTED_VALUE"""),1.9734223495000005E8)</f>
        <v>197342235</v>
      </c>
      <c r="H116" s="2"/>
      <c r="I116" s="2" t="str">
        <f>IFERROR(__xludf.DUMMYFUNCTION("""COMPUTED_VALUE"""),"PRIBADI")</f>
        <v>PRIBADI</v>
      </c>
    </row>
    <row r="117">
      <c r="A117" s="7">
        <f>IFERROR(__xludf.DUMMYFUNCTION("""COMPUTED_VALUE"""),46382.0)</f>
        <v>46382</v>
      </c>
      <c r="B117" s="2" t="str">
        <f>IFERROR(__xludf.DUMMYFUNCTION("""COMPUTED_VALUE"""),"TRSF E-BANKING DB")</f>
        <v>TRSF E-BANKING DB</v>
      </c>
      <c r="C117" s="2" t="str">
        <f>IFERROR(__xludf.DUMMYFUNCTION("""COMPUTED_VALUE"""),"2612/FTFVA/WS95031 14453/PITIK - - 1082318368518")</f>
        <v>2612/FTFVA/WS95031 14453/PITIK - - 1082318368518</v>
      </c>
      <c r="D117" s="2">
        <f>IFERROR(__xludf.DUMMYFUNCTION("""COMPUTED_VALUE"""),1.1327404E8)</f>
        <v>113274040</v>
      </c>
      <c r="E117" s="2"/>
      <c r="F117" s="2" t="str">
        <f>IFERROR(__xludf.DUMMYFUNCTION("""COMPUTED_VALUE"""),"DB")</f>
        <v>DB</v>
      </c>
      <c r="G117" s="2">
        <f>IFERROR(__xludf.DUMMYFUNCTION("""COMPUTED_VALUE"""),8.406819495000005E7)</f>
        <v>84068194.95</v>
      </c>
      <c r="H117" s="2"/>
      <c r="I117" s="2" t="str">
        <f>IFERROR(__xludf.DUMMYFUNCTION("""COMPUTED_VALUE"""),"PRIBADI")</f>
        <v>PRIBADI</v>
      </c>
    </row>
    <row r="118">
      <c r="A118" s="7">
        <f>IFERROR(__xludf.DUMMYFUNCTION("""COMPUTED_VALUE"""),46382.0)</f>
        <v>46382</v>
      </c>
      <c r="B118" s="2" t="str">
        <f>IFERROR(__xludf.DUMMYFUNCTION("""COMPUTED_VALUE"""),"TRSF E-BANKING DB")</f>
        <v>TRSF E-BANKING DB</v>
      </c>
      <c r="C118" s="2" t="str">
        <f>IFERROR(__xludf.DUMMYFUNCTION("""COMPUTED_VALUE"""),"2612/FTSCY/WS95031 10152200.00 EKO SETIYAWAN")</f>
        <v>2612/FTSCY/WS95031 10152200.00 EKO SETIYAWAN</v>
      </c>
      <c r="D118" s="2">
        <f>IFERROR(__xludf.DUMMYFUNCTION("""COMPUTED_VALUE"""),1.01522E7)</f>
        <v>10152200</v>
      </c>
      <c r="E118" s="2"/>
      <c r="F118" s="2" t="str">
        <f>IFERROR(__xludf.DUMMYFUNCTION("""COMPUTED_VALUE"""),"DB")</f>
        <v>DB</v>
      </c>
      <c r="G118" s="2">
        <f>IFERROR(__xludf.DUMMYFUNCTION("""COMPUTED_VALUE"""),7.391599495000005E7)</f>
        <v>73915994.95</v>
      </c>
      <c r="H118" s="2"/>
      <c r="I118" s="2" t="str">
        <f>IFERROR(__xludf.DUMMYFUNCTION("""COMPUTED_VALUE"""),"PRIBADI")</f>
        <v>PRIBADI</v>
      </c>
    </row>
    <row r="119">
      <c r="A119" s="7">
        <f>IFERROR(__xludf.DUMMYFUNCTION("""COMPUTED_VALUE"""),46382.0)</f>
        <v>46382</v>
      </c>
      <c r="B119" s="2" t="str">
        <f>IFERROR(__xludf.DUMMYFUNCTION("""COMPUTED_VALUE"""),"TRSF E-BANKING DB")</f>
        <v>TRSF E-BANKING DB</v>
      </c>
      <c r="C119" s="2" t="str">
        <f>IFERROR(__xludf.DUMMYFUNCTION("""COMPUTED_VALUE"""),"2612/FTSCY/WS95011 32744880.00 Fri Dec 25 2026 15:00:00 GMT+0700 (Western Indonesia Time) ANUGERAH KARTIKA A")</f>
        <v>2612/FTSCY/WS95011 32744880.00 Fri Dec 25 2026 15:00:00 GMT+0700 (Western Indonesia Time) ANUGERAH KARTIKA A</v>
      </c>
      <c r="D119" s="2">
        <f>IFERROR(__xludf.DUMMYFUNCTION("""COMPUTED_VALUE"""),3.274488E7)</f>
        <v>32744880</v>
      </c>
      <c r="E119" s="2"/>
      <c r="F119" s="2" t="str">
        <f>IFERROR(__xludf.DUMMYFUNCTION("""COMPUTED_VALUE"""),"DB")</f>
        <v>DB</v>
      </c>
      <c r="G119" s="2">
        <f>IFERROR(__xludf.DUMMYFUNCTION("""COMPUTED_VALUE"""),4.117111495000005E7)</f>
        <v>41171114.95</v>
      </c>
      <c r="H119" s="2"/>
      <c r="I119" s="2" t="str">
        <f>IFERROR(__xludf.DUMMYFUNCTION("""COMPUTED_VALUE"""),"PRIBADI")</f>
        <v>PRIBADI</v>
      </c>
    </row>
    <row r="120">
      <c r="A120" s="7">
        <f>IFERROR(__xludf.DUMMYFUNCTION("""COMPUTED_VALUE"""),46382.0)</f>
        <v>46382</v>
      </c>
      <c r="B120" s="2" t="str">
        <f>IFERROR(__xludf.DUMMYFUNCTION("""COMPUTED_VALUE"""),"TRSF E-BANKING DB")</f>
        <v>TRSF E-BANKING DB</v>
      </c>
      <c r="C120" s="2" t="str">
        <f>IFERROR(__xludf.DUMMYFUNCTION("""COMPUTED_VALUE"""),"2612/FTSCY/WS95031 7094150.00 krg 5 jt FAJAR ANDREANZAH")</f>
        <v>2612/FTSCY/WS95031 7094150.00 krg 5 jt FAJAR ANDREANZAH</v>
      </c>
      <c r="D120" s="2">
        <f>IFERROR(__xludf.DUMMYFUNCTION("""COMPUTED_VALUE"""),7094150.0)</f>
        <v>7094150</v>
      </c>
      <c r="E120" s="2"/>
      <c r="F120" s="2" t="str">
        <f>IFERROR(__xludf.DUMMYFUNCTION("""COMPUTED_VALUE"""),"DB")</f>
        <v>DB</v>
      </c>
      <c r="G120" s="2">
        <f>IFERROR(__xludf.DUMMYFUNCTION("""COMPUTED_VALUE"""),3.407696495000005E7)</f>
        <v>34076964.95</v>
      </c>
      <c r="H120" s="2">
        <f>IFERROR(__xludf.DUMMYFUNCTION("""COMPUTED_VALUE"""),3.407696495E7)</f>
        <v>34076964.95</v>
      </c>
      <c r="I120" s="2" t="str">
        <f>IFERROR(__xludf.DUMMYFUNCTION("""COMPUTED_VALUE"""),"PRIBADI")</f>
        <v>PRIBADI</v>
      </c>
    </row>
    <row r="121">
      <c r="A121" s="7">
        <f>IFERROR(__xludf.DUMMYFUNCTION("""COMPUTED_VALUE"""),46382.0)</f>
        <v>46382</v>
      </c>
      <c r="B121" s="2" t="str">
        <f>IFERROR(__xludf.DUMMYFUNCTION("""COMPUTED_VALUE"""),"TRSF E-BANKING DB")</f>
        <v>TRSF E-BANKING DB</v>
      </c>
      <c r="C121" s="2" t="str">
        <f>IFERROR(__xludf.DUMMYFUNCTION("""COMPUTED_VALUE"""),"2612/FTSCY/WS95031 10257600.00 krg 5 jt MUJIANTO")</f>
        <v>2612/FTSCY/WS95031 10257600.00 krg 5 jt MUJIANTO</v>
      </c>
      <c r="D121" s="2">
        <f>IFERROR(__xludf.DUMMYFUNCTION("""COMPUTED_VALUE"""),1.02576E7)</f>
        <v>10257600</v>
      </c>
      <c r="E121" s="2"/>
      <c r="F121" s="2" t="str">
        <f>IFERROR(__xludf.DUMMYFUNCTION("""COMPUTED_VALUE"""),"DB")</f>
        <v>DB</v>
      </c>
      <c r="G121" s="2">
        <f>IFERROR(__xludf.DUMMYFUNCTION("""COMPUTED_VALUE"""),2.3819364950000048E7)</f>
        <v>23819364.95</v>
      </c>
      <c r="H121" s="2">
        <f>IFERROR(__xludf.DUMMYFUNCTION("""COMPUTED_VALUE"""),2.381936495E7)</f>
        <v>23819364.95</v>
      </c>
      <c r="I121" s="2" t="str">
        <f>IFERROR(__xludf.DUMMYFUNCTION("""COMPUTED_VALUE"""),"PRIBADI")</f>
        <v>PRIBADI</v>
      </c>
    </row>
    <row r="122">
      <c r="A122" s="7">
        <f>IFERROR(__xludf.DUMMYFUNCTION("""COMPUTED_VALUE"""),46382.0)</f>
        <v>46382</v>
      </c>
      <c r="B122" s="2" t="str">
        <f>IFERROR(__xludf.DUMMYFUNCTION("""COMPUTED_VALUE"""),"TRSF E-BANKING DB")</f>
        <v>TRSF E-BANKING DB</v>
      </c>
      <c r="C122" s="2" t="str">
        <f>IFERROR(__xludf.DUMMYFUNCTION("""COMPUTED_VALUE"""),"2612/FTSCY/WS95031 1451400.00 SUNARTO")</f>
        <v>2612/FTSCY/WS95031 1451400.00 SUNARTO</v>
      </c>
      <c r="D122" s="2">
        <f>IFERROR(__xludf.DUMMYFUNCTION("""COMPUTED_VALUE"""),1451400.0)</f>
        <v>1451400</v>
      </c>
      <c r="E122" s="2"/>
      <c r="F122" s="2" t="str">
        <f>IFERROR(__xludf.DUMMYFUNCTION("""COMPUTED_VALUE"""),"DB")</f>
        <v>DB</v>
      </c>
      <c r="G122" s="2">
        <f>IFERROR(__xludf.DUMMYFUNCTION("""COMPUTED_VALUE"""),2.2367964950000048E7)</f>
        <v>22367964.95</v>
      </c>
      <c r="H122" s="2">
        <f>IFERROR(__xludf.DUMMYFUNCTION("""COMPUTED_VALUE"""),2.236796495E7)</f>
        <v>22367964.95</v>
      </c>
      <c r="I122" s="2" t="str">
        <f>IFERROR(__xludf.DUMMYFUNCTION("""COMPUTED_VALUE"""),"PRIBADI")</f>
        <v>PRIBADI</v>
      </c>
    </row>
    <row r="123">
      <c r="A123" s="7">
        <f>IFERROR(__xludf.DUMMYFUNCTION("""COMPUTED_VALUE"""),46383.0)</f>
        <v>46383</v>
      </c>
      <c r="B123" s="2" t="str">
        <f>IFERROR(__xludf.DUMMYFUNCTION("""COMPUTED_VALUE"""),"TRSF E-BANKING DB")</f>
        <v>TRSF E-BANKING DB</v>
      </c>
      <c r="C123" s="2" t="str">
        <f>IFERROR(__xludf.DUMMYFUNCTION("""COMPUTED_VALUE"""),"2712/FTSCY/WS95031 87310310.00 Thu Dec 24 2026 15:00:00 GMT+0700 (Western Indonesia Time) SUPER UNGGAS JAYA")</f>
        <v>2712/FTSCY/WS95031 87310310.00 Thu Dec 24 2026 15:00:00 GMT+0700 (Western Indonesia Time) SUPER UNGGAS JAYA</v>
      </c>
      <c r="D123" s="2">
        <f>IFERROR(__xludf.DUMMYFUNCTION("""COMPUTED_VALUE"""),8.731031E7)</f>
        <v>87310310</v>
      </c>
      <c r="E123" s="2"/>
      <c r="F123" s="2" t="str">
        <f>IFERROR(__xludf.DUMMYFUNCTION("""COMPUTED_VALUE"""),"DB")</f>
        <v>DB</v>
      </c>
      <c r="G123" s="2">
        <f>IFERROR(__xludf.DUMMYFUNCTION("""COMPUTED_VALUE"""),57654.950000047684)</f>
        <v>57654.95</v>
      </c>
      <c r="H123" s="2"/>
      <c r="I123" s="2" t="str">
        <f>IFERROR(__xludf.DUMMYFUNCTION("""COMPUTED_VALUE"""),"PRIBADI")</f>
        <v>PRIBADI</v>
      </c>
    </row>
    <row r="124">
      <c r="A124" s="7">
        <f>IFERROR(__xludf.DUMMYFUNCTION("""COMPUTED_VALUE"""),46383.0)</f>
        <v>46383</v>
      </c>
      <c r="B124" s="2" t="str">
        <f>IFERROR(__xludf.DUMMYFUNCTION("""COMPUTED_VALUE"""),"TRSF E-BANKING DB")</f>
        <v>TRSF E-BANKING DB</v>
      </c>
      <c r="C124" s="2" t="str">
        <f>IFERROR(__xludf.DUMMYFUNCTION("""COMPUTED_VALUE"""),"2712/FTFVA/WS95031 55569/PT PRIMA FAJ Sat Dec 26 2026 15:00:00 GMT+0700 (Western Indonesia Time) - 40190")</f>
        <v>2712/FTFVA/WS95031 55569/PT PRIMA FAJ Sat Dec 26 2026 15:00:00 GMT+0700 (Western Indonesia Time) - 40190</v>
      </c>
      <c r="D124" s="2">
        <f>IFERROR(__xludf.DUMMYFUNCTION("""COMPUTED_VALUE"""),1.105416E8)</f>
        <v>110541600</v>
      </c>
      <c r="E124" s="2"/>
      <c r="F124" s="2" t="str">
        <f>IFERROR(__xludf.DUMMYFUNCTION("""COMPUTED_VALUE"""),"DB")</f>
        <v>DB</v>
      </c>
      <c r="G124" s="2">
        <f>IFERROR(__xludf.DUMMYFUNCTION("""COMPUTED_VALUE"""),9.1052284295E8)</f>
        <v>910522843</v>
      </c>
      <c r="H124" s="2">
        <f>IFERROR(__xludf.DUMMYFUNCTION("""COMPUTED_VALUE"""),9.1052284295E8)</f>
        <v>910522843</v>
      </c>
      <c r="I124" s="2" t="str">
        <f>IFERROR(__xludf.DUMMYFUNCTION("""COMPUTED_VALUE"""),"PRIBADI")</f>
        <v>PRIBADI</v>
      </c>
    </row>
    <row r="125">
      <c r="A125" s="7">
        <f>IFERROR(__xludf.DUMMYFUNCTION("""COMPUTED_VALUE"""),46383.0)</f>
        <v>46383</v>
      </c>
      <c r="B125" s="2" t="str">
        <f>IFERROR(__xludf.DUMMYFUNCTION("""COMPUTED_VALUE"""),"TRSF E-BANKING DB")</f>
        <v>TRSF E-BANKING DB</v>
      </c>
      <c r="C125" s="2" t="str">
        <f>IFERROR(__xludf.DUMMYFUNCTION("""COMPUTED_VALUE"""),"2712/FTSCY/WS95271 95340300.00 Fri Dec 25 2026 15:00:00 GMT+0700 (Western Indonesia Time) ADNAN")</f>
        <v>2712/FTSCY/WS95271 95340300.00 Fri Dec 25 2026 15:00:00 GMT+0700 (Western Indonesia Time) ADNAN</v>
      </c>
      <c r="D125" s="2">
        <f>IFERROR(__xludf.DUMMYFUNCTION("""COMPUTED_VALUE"""),9.53403E7)</f>
        <v>95340300</v>
      </c>
      <c r="E125" s="2"/>
      <c r="F125" s="2" t="str">
        <f>IFERROR(__xludf.DUMMYFUNCTION("""COMPUTED_VALUE"""),"DB")</f>
        <v>DB</v>
      </c>
      <c r="G125" s="2">
        <f>IFERROR(__xludf.DUMMYFUNCTION("""COMPUTED_VALUE"""),8.1518254295E8)</f>
        <v>815182543</v>
      </c>
      <c r="H125" s="2">
        <f>IFERROR(__xludf.DUMMYFUNCTION("""COMPUTED_VALUE"""),8.1518254295E8)</f>
        <v>815182543</v>
      </c>
      <c r="I125" s="2" t="str">
        <f>IFERROR(__xludf.DUMMYFUNCTION("""COMPUTED_VALUE"""),"PRIBADI")</f>
        <v>PRIBADI</v>
      </c>
    </row>
    <row r="126">
      <c r="A126" s="7">
        <f>IFERROR(__xludf.DUMMYFUNCTION("""COMPUTED_VALUE"""),46383.0)</f>
        <v>46383</v>
      </c>
      <c r="B126" s="2" t="str">
        <f>IFERROR(__xludf.DUMMYFUNCTION("""COMPUTED_VALUE"""),"TRSF E-BANKING DB")</f>
        <v>TRSF E-BANKING DB</v>
      </c>
      <c r="C126" s="2" t="str">
        <f>IFERROR(__xludf.DUMMYFUNCTION("""COMPUTED_VALUE"""),"2712/FTSCY/WS95271 95200000.00 Fri Dec 25 2026 15:00:00 GMT+0700 (Western Indonesia Time) ANDALAN YASA MITRA")</f>
        <v>2712/FTSCY/WS95271 95200000.00 Fri Dec 25 2026 15:00:00 GMT+0700 (Western Indonesia Time) ANDALAN YASA MITRA</v>
      </c>
      <c r="D126" s="2">
        <f>IFERROR(__xludf.DUMMYFUNCTION("""COMPUTED_VALUE"""),9.52E7)</f>
        <v>95200000</v>
      </c>
      <c r="E126" s="2"/>
      <c r="F126" s="2" t="str">
        <f>IFERROR(__xludf.DUMMYFUNCTION("""COMPUTED_VALUE"""),"DB")</f>
        <v>DB</v>
      </c>
      <c r="G126" s="2">
        <f>IFERROR(__xludf.DUMMYFUNCTION("""COMPUTED_VALUE"""),7.1998254295E8)</f>
        <v>719982543</v>
      </c>
      <c r="H126" s="2"/>
      <c r="I126" s="2" t="str">
        <f>IFERROR(__xludf.DUMMYFUNCTION("""COMPUTED_VALUE"""),"PRIBADI")</f>
        <v>PRIBADI</v>
      </c>
    </row>
    <row r="127">
      <c r="A127" s="7">
        <f>IFERROR(__xludf.DUMMYFUNCTION("""COMPUTED_VALUE"""),46383.0)</f>
        <v>46383</v>
      </c>
      <c r="B127" s="2" t="str">
        <f>IFERROR(__xludf.DUMMYFUNCTION("""COMPUTED_VALUE"""),"TRSF E-BANKING DB")</f>
        <v>TRSF E-BANKING DB</v>
      </c>
      <c r="C127" s="2" t="str">
        <f>IFERROR(__xludf.DUMMYFUNCTION("""COMPUTED_VALUE"""),"2712/FTSCY/WS95031 10330380.00 EKO SETIYAWAN")</f>
        <v>2712/FTSCY/WS95031 10330380.00 EKO SETIYAWAN</v>
      </c>
      <c r="D127" s="2">
        <f>IFERROR(__xludf.DUMMYFUNCTION("""COMPUTED_VALUE"""),1.033038E7)</f>
        <v>10330380</v>
      </c>
      <c r="E127" s="2"/>
      <c r="F127" s="2" t="str">
        <f>IFERROR(__xludf.DUMMYFUNCTION("""COMPUTED_VALUE"""),"DB")</f>
        <v>DB</v>
      </c>
      <c r="G127" s="2">
        <f>IFERROR(__xludf.DUMMYFUNCTION("""COMPUTED_VALUE"""),7.0965216295E8)</f>
        <v>709652163</v>
      </c>
      <c r="H127" s="2"/>
      <c r="I127" s="2" t="str">
        <f>IFERROR(__xludf.DUMMYFUNCTION("""COMPUTED_VALUE"""),"PRIBADI")</f>
        <v>PRIBADI</v>
      </c>
    </row>
    <row r="128">
      <c r="A128" s="7">
        <f>IFERROR(__xludf.DUMMYFUNCTION("""COMPUTED_VALUE"""),46383.0)</f>
        <v>46383</v>
      </c>
      <c r="B128" s="2" t="str">
        <f>IFERROR(__xludf.DUMMYFUNCTION("""COMPUTED_VALUE"""),"TRSF E-BANKING DB")</f>
        <v>TRSF E-BANKING DB</v>
      </c>
      <c r="C128" s="2" t="str">
        <f>IFERROR(__xludf.DUMMYFUNCTION("""COMPUTED_VALUE"""),"2712/FTSCY/WS95031 1920020.00 HERMAWAN")</f>
        <v>2712/FTSCY/WS95031 1920020.00 HERMAWAN</v>
      </c>
      <c r="D128" s="2">
        <f>IFERROR(__xludf.DUMMYFUNCTION("""COMPUTED_VALUE"""),1920020.0)</f>
        <v>1920020</v>
      </c>
      <c r="E128" s="2"/>
      <c r="F128" s="2" t="str">
        <f>IFERROR(__xludf.DUMMYFUNCTION("""COMPUTED_VALUE"""),"DB")</f>
        <v>DB</v>
      </c>
      <c r="G128" s="2">
        <f>IFERROR(__xludf.DUMMYFUNCTION("""COMPUTED_VALUE"""),7.0773214295E8)</f>
        <v>707732143</v>
      </c>
      <c r="H128" s="2"/>
      <c r="I128" s="2" t="str">
        <f>IFERROR(__xludf.DUMMYFUNCTION("""COMPUTED_VALUE"""),"PRIBADI")</f>
        <v>PRIBADI</v>
      </c>
    </row>
    <row r="129">
      <c r="A129" s="7">
        <f>IFERROR(__xludf.DUMMYFUNCTION("""COMPUTED_VALUE"""),46384.0)</f>
        <v>46384</v>
      </c>
      <c r="B129" s="2" t="str">
        <f>IFERROR(__xludf.DUMMYFUNCTION("""COMPUTED_VALUE"""),"TRSF E-BANKING DB TANGGAL :27/12")</f>
        <v>TRSF E-BANKING DB TANGGAL :27/12</v>
      </c>
      <c r="C129" s="2" t="str">
        <f>IFERROR(__xludf.DUMMYFUNCTION("""COMPUTED_VALUE"""),"2712/FTSCY/WS95271 Fri Dec 25 2026 15:00:00 GMT+0700 (Western Indonesia Time) ANUGERAH KARTIKA A")</f>
        <v>2712/FTSCY/WS95271 Fri Dec 25 2026 15:00:00 GMT+0700 (Western Indonesia Time) ANUGERAH KARTIKA A</v>
      </c>
      <c r="D129" s="2">
        <f>IFERROR(__xludf.DUMMYFUNCTION("""COMPUTED_VALUE"""),9.928545E7)</f>
        <v>99285450</v>
      </c>
      <c r="E129" s="2"/>
      <c r="F129" s="2" t="str">
        <f>IFERROR(__xludf.DUMMYFUNCTION("""COMPUTED_VALUE"""),"DB")</f>
        <v>DB</v>
      </c>
      <c r="G129" s="2">
        <f>IFERROR(__xludf.DUMMYFUNCTION("""COMPUTED_VALUE"""),6.1626459295E8)</f>
        <v>616264593</v>
      </c>
      <c r="H129" s="2"/>
      <c r="I129" s="2" t="str">
        <f>IFERROR(__xludf.DUMMYFUNCTION("""COMPUTED_VALUE"""),"PRIBADI")</f>
        <v>PRIBADI</v>
      </c>
    </row>
    <row r="130">
      <c r="A130" s="7">
        <f>IFERROR(__xludf.DUMMYFUNCTION("""COMPUTED_VALUE"""),46384.0)</f>
        <v>46384</v>
      </c>
      <c r="B130" s="2" t="str">
        <f>IFERROR(__xludf.DUMMYFUNCTION("""COMPUTED_VALUE"""),"TRSF E-BANKING DB TANGGAL :27/12")</f>
        <v>TRSF E-BANKING DB TANGGAL :27/12</v>
      </c>
      <c r="C130" s="2" t="str">
        <f>IFERROR(__xludf.DUMMYFUNCTION("""COMPUTED_VALUE"""),"2712/FTSCY/WS95011 Fri Dec 25 2026 15:00:00 GMT+0700 (Western Indonesia Time) SUPER UNGGAS JAYA")</f>
        <v>2712/FTSCY/WS95011 Fri Dec 25 2026 15:00:00 GMT+0700 (Western Indonesia Time) SUPER UNGGAS JAYA</v>
      </c>
      <c r="D130" s="2">
        <f>IFERROR(__xludf.DUMMYFUNCTION("""COMPUTED_VALUE"""),1.7492E8)</f>
        <v>174920000</v>
      </c>
      <c r="E130" s="2"/>
      <c r="F130" s="2" t="str">
        <f>IFERROR(__xludf.DUMMYFUNCTION("""COMPUTED_VALUE"""),"DB")</f>
        <v>DB</v>
      </c>
      <c r="G130" s="2">
        <f>IFERROR(__xludf.DUMMYFUNCTION("""COMPUTED_VALUE"""),4.4134459295000005E8)</f>
        <v>441344593</v>
      </c>
      <c r="H130" s="2"/>
      <c r="I130" s="2" t="str">
        <f>IFERROR(__xludf.DUMMYFUNCTION("""COMPUTED_VALUE"""),"PRIBADI")</f>
        <v>PRIBADI</v>
      </c>
    </row>
    <row r="131">
      <c r="A131" s="7">
        <f>IFERROR(__xludf.DUMMYFUNCTION("""COMPUTED_VALUE"""),46384.0)</f>
        <v>46384</v>
      </c>
      <c r="B131" s="2" t="str">
        <f>IFERROR(__xludf.DUMMYFUNCTION("""COMPUTED_VALUE"""),"TRSF E-BANKING DB TANGGAL :27/12")</f>
        <v>TRSF E-BANKING DB TANGGAL :27/12</v>
      </c>
      <c r="C131" s="2" t="str">
        <f>IFERROR(__xludf.DUMMYFUNCTION("""COMPUTED_VALUE"""),"2712/FTSCY/WS95011 Fri Dec 25 2026 15:00:00 GMT+0700 (Western Indonesia Time) ANDALAN YASA MITRA")</f>
        <v>2712/FTSCY/WS95011 Fri Dec 25 2026 15:00:00 GMT+0700 (Western Indonesia Time) ANDALAN YASA MITRA</v>
      </c>
      <c r="D131" s="2">
        <f>IFERROR(__xludf.DUMMYFUNCTION("""COMPUTED_VALUE"""),5.14964E7)</f>
        <v>51496400</v>
      </c>
      <c r="E131" s="2"/>
      <c r="F131" s="2" t="str">
        <f>IFERROR(__xludf.DUMMYFUNCTION("""COMPUTED_VALUE"""),"DB")</f>
        <v>DB</v>
      </c>
      <c r="G131" s="2">
        <f>IFERROR(__xludf.DUMMYFUNCTION("""COMPUTED_VALUE"""),3.8984819295000005E8)</f>
        <v>389848193</v>
      </c>
      <c r="H131" s="2"/>
      <c r="I131" s="2" t="str">
        <f>IFERROR(__xludf.DUMMYFUNCTION("""COMPUTED_VALUE"""),"PRIBADI")</f>
        <v>PRIBADI</v>
      </c>
    </row>
    <row r="132">
      <c r="A132" s="7">
        <f>IFERROR(__xludf.DUMMYFUNCTION("""COMPUTED_VALUE"""),46384.0)</f>
        <v>46384</v>
      </c>
      <c r="B132" s="2" t="str">
        <f>IFERROR(__xludf.DUMMYFUNCTION("""COMPUTED_VALUE"""),"TRSF E-BANKING DB TANGGAL :27/12")</f>
        <v>TRSF E-BANKING DB TANGGAL :27/12</v>
      </c>
      <c r="C132" s="2" t="str">
        <f>IFERROR(__xludf.DUMMYFUNCTION("""COMPUTED_VALUE"""),"2712/FTSCY/WS95011 Fri Dec 25 2026 15:00:00 GMT+0700 (Western Indonesia Time) ANUGERAH KARTIKA A")</f>
        <v>2712/FTSCY/WS95011 Fri Dec 25 2026 15:00:00 GMT+0700 (Western Indonesia Time) ANUGERAH KARTIKA A</v>
      </c>
      <c r="D132" s="2">
        <f>IFERROR(__xludf.DUMMYFUNCTION("""COMPUTED_VALUE"""),4.6332E7)</f>
        <v>46332000</v>
      </c>
      <c r="E132" s="2"/>
      <c r="F132" s="2" t="str">
        <f>IFERROR(__xludf.DUMMYFUNCTION("""COMPUTED_VALUE"""),"DB")</f>
        <v>DB</v>
      </c>
      <c r="G132" s="2">
        <f>IFERROR(__xludf.DUMMYFUNCTION("""COMPUTED_VALUE"""),3.4351619295000005E8)</f>
        <v>343516193</v>
      </c>
      <c r="H132" s="2"/>
      <c r="I132" s="2" t="str">
        <f>IFERROR(__xludf.DUMMYFUNCTION("""COMPUTED_VALUE"""),"PRIBADI")</f>
        <v>PRIBADI</v>
      </c>
    </row>
    <row r="133">
      <c r="A133" s="7">
        <f>IFERROR(__xludf.DUMMYFUNCTION("""COMPUTED_VALUE"""),46384.0)</f>
        <v>46384</v>
      </c>
      <c r="B133" s="2" t="str">
        <f>IFERROR(__xludf.DUMMYFUNCTION("""COMPUTED_VALUE"""),"TRSF E-BANKING DB TANGGAL :27/12")</f>
        <v>TRSF E-BANKING DB TANGGAL :27/12</v>
      </c>
      <c r="C133" s="2" t="str">
        <f>IFERROR(__xludf.DUMMYFUNCTION("""COMPUTED_VALUE"""),"2712/FTSCY/WS95011 Fri Dec 25 2026 15:00:00 GMT+0700 (Western Indonesia Time) BROILER MAKMUR TAN")</f>
        <v>2712/FTSCY/WS95011 Fri Dec 25 2026 15:00:00 GMT+0700 (Western Indonesia Time) BROILER MAKMUR TAN</v>
      </c>
      <c r="D133" s="2">
        <f>IFERROR(__xludf.DUMMYFUNCTION("""COMPUTED_VALUE"""),7.551702E7)</f>
        <v>75517020</v>
      </c>
      <c r="E133" s="2"/>
      <c r="F133" s="2" t="str">
        <f>IFERROR(__xludf.DUMMYFUNCTION("""COMPUTED_VALUE"""),"DB")</f>
        <v>DB</v>
      </c>
      <c r="G133" s="2">
        <f>IFERROR(__xludf.DUMMYFUNCTION("""COMPUTED_VALUE"""),2.6799917295000005E8)</f>
        <v>267999173</v>
      </c>
      <c r="H133" s="2"/>
      <c r="I133" s="2" t="str">
        <f>IFERROR(__xludf.DUMMYFUNCTION("""COMPUTED_VALUE"""),"PRIBADI")</f>
        <v>PRIBADI</v>
      </c>
    </row>
    <row r="134">
      <c r="A134" s="7">
        <f>IFERROR(__xludf.DUMMYFUNCTION("""COMPUTED_VALUE"""),46384.0)</f>
        <v>46384</v>
      </c>
      <c r="B134" s="2" t="str">
        <f>IFERROR(__xludf.DUMMYFUNCTION("""COMPUTED_VALUE"""),"TRSF E-BANKING DB TANGGAL :27/12")</f>
        <v>TRSF E-BANKING DB TANGGAL :27/12</v>
      </c>
      <c r="C134" s="2" t="str">
        <f>IFERROR(__xludf.DUMMYFUNCTION("""COMPUTED_VALUE"""),"2712/FTSCY/WS95011 Fri Dec 25 2026 15:00:00 GMT+0700 (Western Indonesia Time) BINTANG TAMA SANTO")</f>
        <v>2712/FTSCY/WS95011 Fri Dec 25 2026 15:00:00 GMT+0700 (Western Indonesia Time) BINTANG TAMA SANTO</v>
      </c>
      <c r="D134" s="2">
        <f>IFERROR(__xludf.DUMMYFUNCTION("""COMPUTED_VALUE"""),6.19446E7)</f>
        <v>61944600</v>
      </c>
      <c r="E134" s="2"/>
      <c r="F134" s="2" t="str">
        <f>IFERROR(__xludf.DUMMYFUNCTION("""COMPUTED_VALUE"""),"DB")</f>
        <v>DB</v>
      </c>
      <c r="G134" s="2">
        <f>IFERROR(__xludf.DUMMYFUNCTION("""COMPUTED_VALUE"""),2.0605457295000005E8)</f>
        <v>206054573</v>
      </c>
      <c r="H134" s="2"/>
      <c r="I134" s="2" t="str">
        <f>IFERROR(__xludf.DUMMYFUNCTION("""COMPUTED_VALUE"""),"PRIBADI")</f>
        <v>PRIBADI</v>
      </c>
    </row>
    <row r="135">
      <c r="A135" s="7">
        <f>IFERROR(__xludf.DUMMYFUNCTION("""COMPUTED_VALUE"""),46384.0)</f>
        <v>46384</v>
      </c>
      <c r="B135" s="2" t="str">
        <f>IFERROR(__xludf.DUMMYFUNCTION("""COMPUTED_VALUE"""),"TRSF E-BANKING DB TANGGAL :27/12")</f>
        <v>TRSF E-BANKING DB TANGGAL :27/12</v>
      </c>
      <c r="C135" s="2" t="str">
        <f>IFERROR(__xludf.DUMMYFUNCTION("""COMPUTED_VALUE"""),"2712/FTSCY/WS95011 Fri Dec 25 2026 15:00:00 GMT+0700 (Western Indonesia Time) TABASSAM JAYA FARM")</f>
        <v>2712/FTSCY/WS95011 Fri Dec 25 2026 15:00:00 GMT+0700 (Western Indonesia Time) TABASSAM JAYA FARM</v>
      </c>
      <c r="D135" s="2">
        <f>IFERROR(__xludf.DUMMYFUNCTION("""COMPUTED_VALUE"""),8.95E7)</f>
        <v>89500000</v>
      </c>
      <c r="E135" s="2"/>
      <c r="F135" s="2" t="str">
        <f>IFERROR(__xludf.DUMMYFUNCTION("""COMPUTED_VALUE"""),"DB")</f>
        <v>DB</v>
      </c>
      <c r="G135" s="2">
        <f>IFERROR(__xludf.DUMMYFUNCTION("""COMPUTED_VALUE"""),1.1655457295000005E8)</f>
        <v>116554573</v>
      </c>
      <c r="H135" s="2"/>
      <c r="I135" s="2" t="str">
        <f>IFERROR(__xludf.DUMMYFUNCTION("""COMPUTED_VALUE"""),"PRIBADI")</f>
        <v>PRIBADI</v>
      </c>
    </row>
    <row r="136">
      <c r="A136" s="7">
        <f>IFERROR(__xludf.DUMMYFUNCTION("""COMPUTED_VALUE"""),46384.0)</f>
        <v>46384</v>
      </c>
      <c r="B136" s="2" t="str">
        <f>IFERROR(__xludf.DUMMYFUNCTION("""COMPUTED_VALUE"""),"TRSF E-BANKING DB")</f>
        <v>TRSF E-BANKING DB</v>
      </c>
      <c r="C136" s="2" t="str">
        <f>IFERROR(__xludf.DUMMYFUNCTION("""COMPUTED_VALUE"""),"2812/FTSCY/WS95031 10500000.00 pelunasan TABASSAM JAYA FARM")</f>
        <v>2812/FTSCY/WS95031 10500000.00 pelunasan TABASSAM JAYA FARM</v>
      </c>
      <c r="D136" s="2">
        <f>IFERROR(__xludf.DUMMYFUNCTION("""COMPUTED_VALUE"""),1.05E7)</f>
        <v>10500000</v>
      </c>
      <c r="E136" s="2"/>
      <c r="F136" s="2" t="str">
        <f>IFERROR(__xludf.DUMMYFUNCTION("""COMPUTED_VALUE"""),"DB")</f>
        <v>DB</v>
      </c>
      <c r="G136" s="2">
        <f>IFERROR(__xludf.DUMMYFUNCTION("""COMPUTED_VALUE"""),1.1249929295000005E8)</f>
        <v>112499293</v>
      </c>
      <c r="H136" s="2">
        <f>IFERROR(__xludf.DUMMYFUNCTION("""COMPUTED_VALUE"""),1.1249929295E8)</f>
        <v>112499293</v>
      </c>
      <c r="I136" s="2" t="str">
        <f>IFERROR(__xludf.DUMMYFUNCTION("""COMPUTED_VALUE"""),"PRIBADI")</f>
        <v>PRIBADI</v>
      </c>
    </row>
    <row r="137">
      <c r="A137" s="7">
        <f>IFERROR(__xludf.DUMMYFUNCTION("""COMPUTED_VALUE"""),46384.0)</f>
        <v>46384</v>
      </c>
      <c r="B137" s="2" t="str">
        <f>IFERROR(__xludf.DUMMYFUNCTION("""COMPUTED_VALUE"""),"TRSF E-BANKING DB")</f>
        <v>TRSF E-BANKING DB</v>
      </c>
      <c r="C137" s="2" t="str">
        <f>IFERROR(__xludf.DUMMYFUNCTION("""COMPUTED_VALUE"""),"2812/FTSCY/WS95031 40000000.00 titip RUKUN MITRA BERSAM")</f>
        <v>2812/FTSCY/WS95031 40000000.00 titip RUKUN MITRA BERSAM</v>
      </c>
      <c r="D137" s="2">
        <f>IFERROR(__xludf.DUMMYFUNCTION("""COMPUTED_VALUE"""),4.0E7)</f>
        <v>40000000</v>
      </c>
      <c r="E137" s="2"/>
      <c r="F137" s="2" t="str">
        <f>IFERROR(__xludf.DUMMYFUNCTION("""COMPUTED_VALUE"""),"DB")</f>
        <v>DB</v>
      </c>
      <c r="G137" s="2">
        <f>IFERROR(__xludf.DUMMYFUNCTION("""COMPUTED_VALUE"""),7.249929295000005E7)</f>
        <v>72499292.95</v>
      </c>
      <c r="H137" s="2"/>
      <c r="I137" s="2" t="str">
        <f>IFERROR(__xludf.DUMMYFUNCTION("""COMPUTED_VALUE"""),"PRIBADI")</f>
        <v>PRIBADI</v>
      </c>
    </row>
    <row r="138">
      <c r="A138" s="7">
        <f>IFERROR(__xludf.DUMMYFUNCTION("""COMPUTED_VALUE"""),46384.0)</f>
        <v>46384</v>
      </c>
      <c r="B138" s="2" t="str">
        <f>IFERROR(__xludf.DUMMYFUNCTION("""COMPUTED_VALUE"""),"BYR VIA E-BANKING")</f>
        <v>BYR VIA E-BANKING</v>
      </c>
      <c r="C138" s="2" t="str">
        <f>IFERROR(__xludf.DUMMYFUNCTION("""COMPUTED_VALUE"""),"28/12  WSID9503102 1220 TELKOMSEL 82131900513 MUHAMMAD HAIRUL MA")</f>
        <v>28/12  WSID9503102 1220 TELKOMSEL 82131900513 MUHAMMAD HAIRUL MA</v>
      </c>
      <c r="D138" s="2">
        <f>IFERROR(__xludf.DUMMYFUNCTION("""COMPUTED_VALUE"""),52000.0)</f>
        <v>52000</v>
      </c>
      <c r="E138" s="2"/>
      <c r="F138" s="2"/>
      <c r="G138" s="2">
        <f>IFERROR(__xludf.DUMMYFUNCTION("""COMPUTED_VALUE"""),7.244729295000005E7)</f>
        <v>72447292.95</v>
      </c>
      <c r="H138" s="2"/>
      <c r="I138" s="2" t="str">
        <f>IFERROR(__xludf.DUMMYFUNCTION("""COMPUTED_VALUE"""),"PRIBADI")</f>
        <v>PRIBADI</v>
      </c>
    </row>
    <row r="139">
      <c r="A139" s="7">
        <f>IFERROR(__xludf.DUMMYFUNCTION("""COMPUTED_VALUE"""),46384.0)</f>
        <v>46384</v>
      </c>
      <c r="B139" s="2" t="str">
        <f>IFERROR(__xludf.DUMMYFUNCTION("""COMPUTED_VALUE"""),"TRSF E-BANKING DB")</f>
        <v>TRSF E-BANKING DB</v>
      </c>
      <c r="C139" s="2" t="str">
        <f>IFERROR(__xludf.DUMMYFUNCTION("""COMPUTED_VALUE"""),"2812/FTFVA/WS95031 55569/PT PRIMA FAJ blitr - 40190")</f>
        <v>2812/FTFVA/WS95031 55569/PT PRIMA FAJ blitr - 40190</v>
      </c>
      <c r="D139" s="2">
        <f>IFERROR(__xludf.DUMMYFUNCTION("""COMPUTED_VALUE"""),5.956849E7)</f>
        <v>59568490</v>
      </c>
      <c r="E139" s="2"/>
      <c r="F139" s="2" t="str">
        <f>IFERROR(__xludf.DUMMYFUNCTION("""COMPUTED_VALUE"""),"DB")</f>
        <v>DB</v>
      </c>
      <c r="G139" s="2">
        <f>IFERROR(__xludf.DUMMYFUNCTION("""COMPUTED_VALUE"""),9.0895449495E8)</f>
        <v>908954495</v>
      </c>
      <c r="H139" s="2"/>
      <c r="I139" s="2" t="str">
        <f>IFERROR(__xludf.DUMMYFUNCTION("""COMPUTED_VALUE"""),"PRIBADI")</f>
        <v>PRIBADI</v>
      </c>
    </row>
    <row r="140">
      <c r="A140" s="7">
        <f>IFERROR(__xludf.DUMMYFUNCTION("""COMPUTED_VALUE"""),46384.0)</f>
        <v>46384</v>
      </c>
      <c r="B140" s="2" t="str">
        <f>IFERROR(__xludf.DUMMYFUNCTION("""COMPUTED_VALUE"""),"KARTU DEBIT")</f>
        <v>KARTU DEBIT</v>
      </c>
      <c r="C140" s="2" t="str">
        <f>IFERROR(__xludf.DUMMYFUNCTION("""COMPUTED_VALUE"""),"IDM TROJ LANGSEP 6019009510239343")</f>
        <v>IDM TROJ LANGSEP 6019009510239343</v>
      </c>
      <c r="D140" s="2">
        <f>IFERROR(__xludf.DUMMYFUNCTION("""COMPUTED_VALUE"""),83500.0)</f>
        <v>83500</v>
      </c>
      <c r="E140" s="2"/>
      <c r="F140" s="2"/>
      <c r="G140" s="2">
        <f>IFERROR(__xludf.DUMMYFUNCTION("""COMPUTED_VALUE"""),9.0887099495E8)</f>
        <v>908870995</v>
      </c>
      <c r="H140" s="2"/>
      <c r="I140" s="2" t="str">
        <f>IFERROR(__xludf.DUMMYFUNCTION("""COMPUTED_VALUE"""),"PRIBADI")</f>
        <v>PRIBADI</v>
      </c>
    </row>
    <row r="141">
      <c r="A141" s="7">
        <f>IFERROR(__xludf.DUMMYFUNCTION("""COMPUTED_VALUE"""),46384.0)</f>
        <v>46384</v>
      </c>
      <c r="B141" s="2" t="str">
        <f>IFERROR(__xludf.DUMMYFUNCTION("""COMPUTED_VALUE"""),"TRSF E-BANKING DB")</f>
        <v>TRSF E-BANKING DB</v>
      </c>
      <c r="C141" s="2" t="str">
        <f>IFERROR(__xludf.DUMMYFUNCTION("""COMPUTED_VALUE"""),"2812/FTSCY/WS95031 30501670.00 EKO SETIYAWAN")</f>
        <v>2812/FTSCY/WS95031 30501670.00 EKO SETIYAWAN</v>
      </c>
      <c r="D141" s="2">
        <f>IFERROR(__xludf.DUMMYFUNCTION("""COMPUTED_VALUE"""),3.050167E7)</f>
        <v>30501670</v>
      </c>
      <c r="E141" s="2"/>
      <c r="F141" s="2" t="str">
        <f>IFERROR(__xludf.DUMMYFUNCTION("""COMPUTED_VALUE"""),"DB")</f>
        <v>DB</v>
      </c>
      <c r="G141" s="2">
        <f>IFERROR(__xludf.DUMMYFUNCTION("""COMPUTED_VALUE"""),8.7836932495E8)</f>
        <v>878369325</v>
      </c>
      <c r="H141" s="2">
        <f>IFERROR(__xludf.DUMMYFUNCTION("""COMPUTED_VALUE"""),8.7836932495E8)</f>
        <v>878369325</v>
      </c>
      <c r="I141" s="2" t="str">
        <f>IFERROR(__xludf.DUMMYFUNCTION("""COMPUTED_VALUE"""),"PRIBADI")</f>
        <v>PRIBADI</v>
      </c>
    </row>
    <row r="142">
      <c r="A142" s="7">
        <f>IFERROR(__xludf.DUMMYFUNCTION("""COMPUTED_VALUE"""),46385.0)</f>
        <v>46385</v>
      </c>
      <c r="B142" s="2" t="str">
        <f>IFERROR(__xludf.DUMMYFUNCTION("""COMPUTED_VALUE"""),"TRSF E-BANKING DB TANGGAL :28/12")</f>
        <v>TRSF E-BANKING DB TANGGAL :28/12</v>
      </c>
      <c r="C142" s="2" t="str">
        <f>IFERROR(__xludf.DUMMYFUNCTION("""COMPUTED_VALUE"""),"2812/FTSCY/WS95271 Sun Dec 27 2026 15:00:00 GMT+0700 (Western Indonesia Time) BRANTAS ABADI SENT")</f>
        <v>2812/FTSCY/WS95271 Sun Dec 27 2026 15:00:00 GMT+0700 (Western Indonesia Time) BRANTAS ABADI SENT</v>
      </c>
      <c r="D142" s="2">
        <f>IFERROR(__xludf.DUMMYFUNCTION("""COMPUTED_VALUE"""),4.974853E7)</f>
        <v>49748530</v>
      </c>
      <c r="E142" s="2"/>
      <c r="F142" s="2" t="str">
        <f>IFERROR(__xludf.DUMMYFUNCTION("""COMPUTED_VALUE"""),"DB")</f>
        <v>DB</v>
      </c>
      <c r="G142" s="2">
        <f>IFERROR(__xludf.DUMMYFUNCTION("""COMPUTED_VALUE"""),8.2862079495E8)</f>
        <v>828620795</v>
      </c>
      <c r="H142" s="2"/>
      <c r="I142" s="2" t="str">
        <f>IFERROR(__xludf.DUMMYFUNCTION("""COMPUTED_VALUE"""),"PRIBADI")</f>
        <v>PRIBADI</v>
      </c>
    </row>
    <row r="143">
      <c r="A143" s="7">
        <f>IFERROR(__xludf.DUMMYFUNCTION("""COMPUTED_VALUE"""),46385.0)</f>
        <v>46385</v>
      </c>
      <c r="B143" s="2" t="str">
        <f>IFERROR(__xludf.DUMMYFUNCTION("""COMPUTED_VALUE"""),"TRSF E-BANKING DB TANGGAL :28/12")</f>
        <v>TRSF E-BANKING DB TANGGAL :28/12</v>
      </c>
      <c r="C143" s="2" t="str">
        <f>IFERROR(__xludf.DUMMYFUNCTION("""COMPUTED_VALUE"""),"2812/FTSCY/WS95271 Sun Dec 27 2026 15:00:00 GMT+0700 (Western Indonesia Time) BINTANG TAMA SANTO")</f>
        <v>2812/FTSCY/WS95271 Sun Dec 27 2026 15:00:00 GMT+0700 (Western Indonesia Time) BINTANG TAMA SANTO</v>
      </c>
      <c r="D143" s="2">
        <f>IFERROR(__xludf.DUMMYFUNCTION("""COMPUTED_VALUE"""),5.188896E7)</f>
        <v>51888960</v>
      </c>
      <c r="E143" s="2"/>
      <c r="F143" s="2" t="str">
        <f>IFERROR(__xludf.DUMMYFUNCTION("""COMPUTED_VALUE"""),"DB")</f>
        <v>DB</v>
      </c>
      <c r="G143" s="2">
        <f>IFERROR(__xludf.DUMMYFUNCTION("""COMPUTED_VALUE"""),7.7673183495E8)</f>
        <v>776731835</v>
      </c>
      <c r="H143" s="2">
        <f>IFERROR(__xludf.DUMMYFUNCTION("""COMPUTED_VALUE"""),7.7673183495E8)</f>
        <v>776731835</v>
      </c>
      <c r="I143" s="2" t="str">
        <f>IFERROR(__xludf.DUMMYFUNCTION("""COMPUTED_VALUE"""),"PRIBADI")</f>
        <v>PRIBADI</v>
      </c>
    </row>
    <row r="144">
      <c r="A144" s="7">
        <f>IFERROR(__xludf.DUMMYFUNCTION("""COMPUTED_VALUE"""),46385.0)</f>
        <v>46385</v>
      </c>
      <c r="B144" s="2" t="str">
        <f>IFERROR(__xludf.DUMMYFUNCTION("""COMPUTED_VALUE"""),"TRSF E-BANKING DB TANGGAL :28/12")</f>
        <v>TRSF E-BANKING DB TANGGAL :28/12</v>
      </c>
      <c r="C144" s="2" t="str">
        <f>IFERROR(__xludf.DUMMYFUNCTION("""COMPUTED_VALUE"""),"2812/FTSCY/WS95271 pelunasan RUKUN MITRA BERSAM")</f>
        <v>2812/FTSCY/WS95271 pelunasan RUKUN MITRA BERSAM</v>
      </c>
      <c r="D144" s="2">
        <f>IFERROR(__xludf.DUMMYFUNCTION("""COMPUTED_VALUE"""),2.52E7)</f>
        <v>25200000</v>
      </c>
      <c r="E144" s="2"/>
      <c r="F144" s="2" t="str">
        <f>IFERROR(__xludf.DUMMYFUNCTION("""COMPUTED_VALUE"""),"DB")</f>
        <v>DB</v>
      </c>
      <c r="G144" s="2">
        <f>IFERROR(__xludf.DUMMYFUNCTION("""COMPUTED_VALUE"""),7.5153183495E8)</f>
        <v>751531835</v>
      </c>
      <c r="H144" s="2">
        <f>IFERROR(__xludf.DUMMYFUNCTION("""COMPUTED_VALUE"""),7.5153183495E8)</f>
        <v>751531835</v>
      </c>
      <c r="I144" s="2" t="str">
        <f>IFERROR(__xludf.DUMMYFUNCTION("""COMPUTED_VALUE"""),"PRIBADI")</f>
        <v>PRIBADI</v>
      </c>
    </row>
    <row r="145">
      <c r="A145" s="7">
        <f>IFERROR(__xludf.DUMMYFUNCTION("""COMPUTED_VALUE"""),46385.0)</f>
        <v>46385</v>
      </c>
      <c r="B145" s="2" t="str">
        <f>IFERROR(__xludf.DUMMYFUNCTION("""COMPUTED_VALUE"""),"TRSF E-BANKING DB TANGGAL :28/12")</f>
        <v>TRSF E-BANKING DB TANGGAL :28/12</v>
      </c>
      <c r="C145" s="2" t="str">
        <f>IFERROR(__xludf.DUMMYFUNCTION("""COMPUTED_VALUE"""),"2812/FTSCY/WS95271 Sun Dec 27 2026 15:00:00 GMT+0700 (Western Indonesia Time) GANESHA SATRIA NUS")</f>
        <v>2812/FTSCY/WS95271 Sun Dec 27 2026 15:00:00 GMT+0700 (Western Indonesia Time) GANESHA SATRIA NUS</v>
      </c>
      <c r="D145" s="2">
        <f>IFERROR(__xludf.DUMMYFUNCTION("""COMPUTED_VALUE"""),1.029061E8)</f>
        <v>102906100</v>
      </c>
      <c r="E145" s="2"/>
      <c r="F145" s="2" t="str">
        <f>IFERROR(__xludf.DUMMYFUNCTION("""COMPUTED_VALUE"""),"DB")</f>
        <v>DB</v>
      </c>
      <c r="G145" s="2">
        <f>IFERROR(__xludf.DUMMYFUNCTION("""COMPUTED_VALUE"""),6.4862573495E8)</f>
        <v>648625735</v>
      </c>
      <c r="H145" s="2"/>
      <c r="I145" s="2" t="str">
        <f>IFERROR(__xludf.DUMMYFUNCTION("""COMPUTED_VALUE"""),"PRIBADI")</f>
        <v>PRIBADI</v>
      </c>
    </row>
    <row r="146">
      <c r="A146" s="7">
        <f>IFERROR(__xludf.DUMMYFUNCTION("""COMPUTED_VALUE"""),46385.0)</f>
        <v>46385</v>
      </c>
      <c r="B146" s="2" t="str">
        <f>IFERROR(__xludf.DUMMYFUNCTION("""COMPUTED_VALUE"""),"TRSF E-BANKING DB TANGGAL :28/12")</f>
        <v>TRSF E-BANKING DB TANGGAL :28/12</v>
      </c>
      <c r="C146" s="2" t="str">
        <f>IFERROR(__xludf.DUMMYFUNCTION("""COMPUTED_VALUE"""),"2812/FTSCY/WS95271 ANDALAN YASA MITRA")</f>
        <v>2812/FTSCY/WS95271 ANDALAN YASA MITRA</v>
      </c>
      <c r="D146" s="2">
        <f>IFERROR(__xludf.DUMMYFUNCTION("""COMPUTED_VALUE"""),6.2612E7)</f>
        <v>62612000</v>
      </c>
      <c r="E146" s="2"/>
      <c r="F146" s="2" t="str">
        <f>IFERROR(__xludf.DUMMYFUNCTION("""COMPUTED_VALUE"""),"DB")</f>
        <v>DB</v>
      </c>
      <c r="G146" s="2">
        <f>IFERROR(__xludf.DUMMYFUNCTION("""COMPUTED_VALUE"""),5.8601373495E8)</f>
        <v>586013735</v>
      </c>
      <c r="H146" s="2"/>
      <c r="I146" s="2" t="str">
        <f>IFERROR(__xludf.DUMMYFUNCTION("""COMPUTED_VALUE"""),"PRIBADI")</f>
        <v>PRIBADI</v>
      </c>
    </row>
    <row r="147">
      <c r="A147" s="7">
        <f>IFERROR(__xludf.DUMMYFUNCTION("""COMPUTED_VALUE"""),46385.0)</f>
        <v>46385</v>
      </c>
      <c r="B147" s="2" t="str">
        <f>IFERROR(__xludf.DUMMYFUNCTION("""COMPUTED_VALUE"""),"TRSF E-BANKING DB TANGGAL :28/12")</f>
        <v>TRSF E-BANKING DB TANGGAL :28/12</v>
      </c>
      <c r="C147" s="2" t="str">
        <f>IFERROR(__xludf.DUMMYFUNCTION("""COMPUTED_VALUE"""),"2812/FTSCY/WS95011 Pelunasan 27/12 ANDALAN YASA MITRA")</f>
        <v>2812/FTSCY/WS95011 Pelunasan 27/12 ANDALAN YASA MITRA</v>
      </c>
      <c r="D147" s="2">
        <f>IFERROR(__xludf.DUMMYFUNCTION("""COMPUTED_VALUE"""),4.0E7)</f>
        <v>40000000</v>
      </c>
      <c r="E147" s="2"/>
      <c r="F147" s="2" t="str">
        <f>IFERROR(__xludf.DUMMYFUNCTION("""COMPUTED_VALUE"""),"DB")</f>
        <v>DB</v>
      </c>
      <c r="G147" s="2">
        <f>IFERROR(__xludf.DUMMYFUNCTION("""COMPUTED_VALUE"""),5.4601373495E8)</f>
        <v>546013735</v>
      </c>
      <c r="H147" s="2"/>
      <c r="I147" s="2" t="str">
        <f>IFERROR(__xludf.DUMMYFUNCTION("""COMPUTED_VALUE"""),"PRIBADI")</f>
        <v>PRIBADI</v>
      </c>
    </row>
    <row r="148">
      <c r="A148" s="7">
        <f>IFERROR(__xludf.DUMMYFUNCTION("""COMPUTED_VALUE"""),46385.0)</f>
        <v>46385</v>
      </c>
      <c r="B148" s="2" t="str">
        <f>IFERROR(__xludf.DUMMYFUNCTION("""COMPUTED_VALUE"""),"TRSF E-BANKING DB TANGGAL :28/12")</f>
        <v>TRSF E-BANKING DB TANGGAL :28/12</v>
      </c>
      <c r="C148" s="2" t="str">
        <f>IFERROR(__xludf.DUMMYFUNCTION("""COMPUTED_VALUE"""),"2812/FTSCY/WS95011 Sun Dec 27 2026 15:00:00 GMT+0700 (Western Indonesia Time) TABASSAM AL HATTAK")</f>
        <v>2812/FTSCY/WS95011 Sun Dec 27 2026 15:00:00 GMT+0700 (Western Indonesia Time) TABASSAM AL HATTAK</v>
      </c>
      <c r="D148" s="2">
        <f>IFERROR(__xludf.DUMMYFUNCTION("""COMPUTED_VALUE"""),9.5832E7)</f>
        <v>95832000</v>
      </c>
      <c r="E148" s="2"/>
      <c r="F148" s="2" t="str">
        <f>IFERROR(__xludf.DUMMYFUNCTION("""COMPUTED_VALUE"""),"DB")</f>
        <v>DB</v>
      </c>
      <c r="G148" s="2">
        <f>IFERROR(__xludf.DUMMYFUNCTION("""COMPUTED_VALUE"""),4.5018173495000005E8)</f>
        <v>450181735</v>
      </c>
      <c r="H148" s="2"/>
      <c r="I148" s="2" t="str">
        <f>IFERROR(__xludf.DUMMYFUNCTION("""COMPUTED_VALUE"""),"PRIBADI")</f>
        <v>PRIBADI</v>
      </c>
    </row>
    <row r="149">
      <c r="A149" s="7">
        <f>IFERROR(__xludf.DUMMYFUNCTION("""COMPUTED_VALUE"""),46385.0)</f>
        <v>46385</v>
      </c>
      <c r="B149" s="2" t="str">
        <f>IFERROR(__xludf.DUMMYFUNCTION("""COMPUTED_VALUE"""),"TRSF E-BANKING DB TANGGAL :28/12")</f>
        <v>TRSF E-BANKING DB TANGGAL :28/12</v>
      </c>
      <c r="C149" s="2" t="str">
        <f>IFERROR(__xludf.DUMMYFUNCTION("""COMPUTED_VALUE"""),"2812/FTSCY/WS95011 Sun Dec 27 2026 15:00:00 GMT+0700 (Western Indonesia Time) SUPER UNGGAS JAYA")</f>
        <v>2812/FTSCY/WS95011 Sun Dec 27 2026 15:00:00 GMT+0700 (Western Indonesia Time) SUPER UNGGAS JAYA</v>
      </c>
      <c r="D149" s="2">
        <f>IFERROR(__xludf.DUMMYFUNCTION("""COMPUTED_VALUE"""),1.0518424E8)</f>
        <v>105184240</v>
      </c>
      <c r="E149" s="2"/>
      <c r="F149" s="2" t="str">
        <f>IFERROR(__xludf.DUMMYFUNCTION("""COMPUTED_VALUE"""),"DB")</f>
        <v>DB</v>
      </c>
      <c r="G149" s="2">
        <f>IFERROR(__xludf.DUMMYFUNCTION("""COMPUTED_VALUE"""),3.4499749495000005E8)</f>
        <v>344997495</v>
      </c>
      <c r="H149" s="2"/>
      <c r="I149" s="2" t="str">
        <f>IFERROR(__xludf.DUMMYFUNCTION("""COMPUTED_VALUE"""),"PRIBADI")</f>
        <v>PRIBADI</v>
      </c>
    </row>
    <row r="150">
      <c r="A150" s="7">
        <f>IFERROR(__xludf.DUMMYFUNCTION("""COMPUTED_VALUE"""),46385.0)</f>
        <v>46385</v>
      </c>
      <c r="B150" s="2" t="str">
        <f>IFERROR(__xludf.DUMMYFUNCTION("""COMPUTED_VALUE"""),"TRSF E-BANKING DB TANGGAL :28/12")</f>
        <v>TRSF E-BANKING DB TANGGAL :28/12</v>
      </c>
      <c r="C150" s="2" t="str">
        <f>IFERROR(__xludf.DUMMYFUNCTION("""COMPUTED_VALUE"""),"2812/FTFVA/WS95031 - - 1082318368518")</f>
        <v>2812/FTFVA/WS95031 - - 1082318368518</v>
      </c>
      <c r="D150" s="2">
        <f>IFERROR(__xludf.DUMMYFUNCTION("""COMPUTED_VALUE"""),1.516624E8)</f>
        <v>151662400</v>
      </c>
      <c r="E150" s="2"/>
      <c r="F150" s="2" t="str">
        <f>IFERROR(__xludf.DUMMYFUNCTION("""COMPUTED_VALUE"""),"DB")</f>
        <v>DB</v>
      </c>
      <c r="G150" s="2">
        <f>IFERROR(__xludf.DUMMYFUNCTION("""COMPUTED_VALUE"""),1.9333509495000005E8)</f>
        <v>193335095</v>
      </c>
      <c r="H150" s="2"/>
      <c r="I150" s="2" t="str">
        <f>IFERROR(__xludf.DUMMYFUNCTION("""COMPUTED_VALUE"""),"PRIBADI")</f>
        <v>PRIBADI</v>
      </c>
    </row>
    <row r="151">
      <c r="A151" s="7">
        <f>IFERROR(__xludf.DUMMYFUNCTION("""COMPUTED_VALUE"""),46385.0)</f>
        <v>46385</v>
      </c>
      <c r="B151" s="2" t="str">
        <f>IFERROR(__xludf.DUMMYFUNCTION("""COMPUTED_VALUE"""),"TRSF E-BANKING DB TANGGAL :28/12")</f>
        <v>TRSF E-BANKING DB TANGGAL :28/12</v>
      </c>
      <c r="C151" s="2" t="str">
        <f>IFERROR(__xludf.DUMMYFUNCTION("""COMPUTED_VALUE"""),"2812/FTSCY/WS95011 Pelunasan 27/12 TABASSAM AZ ZUFAR")</f>
        <v>2812/FTSCY/WS95011 Pelunasan 27/12 TABASSAM AZ ZUFAR</v>
      </c>
      <c r="D151" s="2">
        <f>IFERROR(__xludf.DUMMYFUNCTION("""COMPUTED_VALUE"""),3.085415E7)</f>
        <v>30854150</v>
      </c>
      <c r="E151" s="2"/>
      <c r="F151" s="2" t="str">
        <f>IFERROR(__xludf.DUMMYFUNCTION("""COMPUTED_VALUE"""),"DB")</f>
        <v>DB</v>
      </c>
      <c r="G151" s="2">
        <f>IFERROR(__xludf.DUMMYFUNCTION("""COMPUTED_VALUE"""),1.6248094495000005E8)</f>
        <v>162480945</v>
      </c>
      <c r="H151" s="2"/>
      <c r="I151" s="2" t="str">
        <f>IFERROR(__xludf.DUMMYFUNCTION("""COMPUTED_VALUE"""),"PRIBADI")</f>
        <v>PRIBADI</v>
      </c>
    </row>
    <row r="152">
      <c r="A152" s="7">
        <f>IFERROR(__xludf.DUMMYFUNCTION("""COMPUTED_VALUE"""),46385.0)</f>
        <v>46385</v>
      </c>
      <c r="B152" s="2" t="str">
        <f>IFERROR(__xludf.DUMMYFUNCTION("""COMPUTED_VALUE"""),"TRSF E-BANKING DB TANGGAL :28/12")</f>
        <v>TRSF E-BANKING DB TANGGAL :28/12</v>
      </c>
      <c r="C152" s="2" t="str">
        <f>IFERROR(__xludf.DUMMYFUNCTION("""COMPUTED_VALUE"""),"2812/FTSCY/WS95011 Krg 182 jt BROILER MAKMUR TAN")</f>
        <v>2812/FTSCY/WS95011 Krg 182 jt BROILER MAKMUR TAN</v>
      </c>
      <c r="D152" s="2">
        <f>IFERROR(__xludf.DUMMYFUNCTION("""COMPUTED_VALUE"""),1.623441E8)</f>
        <v>162344100</v>
      </c>
      <c r="E152" s="2"/>
      <c r="F152" s="2" t="str">
        <f>IFERROR(__xludf.DUMMYFUNCTION("""COMPUTED_VALUE"""),"DB")</f>
        <v>DB</v>
      </c>
      <c r="G152" s="2">
        <f>IFERROR(__xludf.DUMMYFUNCTION("""COMPUTED_VALUE"""),136844.95000004768)</f>
        <v>136844.95</v>
      </c>
      <c r="H152" s="2"/>
      <c r="I152" s="2" t="str">
        <f>IFERROR(__xludf.DUMMYFUNCTION("""COMPUTED_VALUE"""),"PRIBADI")</f>
        <v>PRIBADI</v>
      </c>
    </row>
    <row r="153">
      <c r="A153" s="7">
        <f>IFERROR(__xludf.DUMMYFUNCTION("""COMPUTED_VALUE"""),46385.0)</f>
        <v>46385</v>
      </c>
      <c r="B153" s="2" t="str">
        <f>IFERROR(__xludf.DUMMYFUNCTION("""COMPUTED_VALUE"""),"TRSF E-BANKING DB")</f>
        <v>TRSF E-BANKING DB</v>
      </c>
      <c r="C153" s="2" t="str">
        <f>IFERROR(__xludf.DUMMYFUNCTION("""COMPUTED_VALUE"""),"2912/FTSCY/WS95271 4200000.00 velg advan rgd2 lu nas IJAIFAT")</f>
        <v>2912/FTSCY/WS95271 4200000.00 velg advan rgd2 lu nas IJAIFAT</v>
      </c>
      <c r="D153" s="2">
        <f>IFERROR(__xludf.DUMMYFUNCTION("""COMPUTED_VALUE"""),4200000.0)</f>
        <v>4200000</v>
      </c>
      <c r="E153" s="2"/>
      <c r="F153" s="2" t="str">
        <f>IFERROR(__xludf.DUMMYFUNCTION("""COMPUTED_VALUE"""),"DB")</f>
        <v>DB</v>
      </c>
      <c r="G153" s="2">
        <f>IFERROR(__xludf.DUMMYFUNCTION("""COMPUTED_VALUE"""),936844.9500000477)</f>
        <v>936844.95</v>
      </c>
      <c r="H153" s="2"/>
      <c r="I153" s="2" t="str">
        <f>IFERROR(__xludf.DUMMYFUNCTION("""COMPUTED_VALUE"""),"PRIBADI")</f>
        <v>PRIBADI</v>
      </c>
    </row>
    <row r="154">
      <c r="A154" s="7">
        <f>IFERROR(__xludf.DUMMYFUNCTION("""COMPUTED_VALUE"""),46385.0)</f>
        <v>46385</v>
      </c>
      <c r="B154" s="2" t="str">
        <f>IFERROR(__xludf.DUMMYFUNCTION("""COMPUTED_VALUE"""),"KARTU DEBIT")</f>
        <v>KARTU DEBIT</v>
      </c>
      <c r="C154" s="2" t="str">
        <f>IFERROR(__xludf.DUMMYFUNCTION("""COMPUTED_VALUE"""),"ALFAMRT Y073 SUDI 6019009510239343")</f>
        <v>ALFAMRT Y073 SUDI 6019009510239343</v>
      </c>
      <c r="D154" s="2">
        <f>IFERROR(__xludf.DUMMYFUNCTION("""COMPUTED_VALUE"""),320800.0)</f>
        <v>320800</v>
      </c>
      <c r="E154" s="2"/>
      <c r="F154" s="2"/>
      <c r="G154" s="2">
        <f>IFERROR(__xludf.DUMMYFUNCTION("""COMPUTED_VALUE"""),1.1272979495000005E8)</f>
        <v>112729795</v>
      </c>
      <c r="H154" s="2">
        <f>IFERROR(__xludf.DUMMYFUNCTION("""COMPUTED_VALUE"""),1.1272979495E8)</f>
        <v>112729795</v>
      </c>
      <c r="I154" s="2" t="str">
        <f>IFERROR(__xludf.DUMMYFUNCTION("""COMPUTED_VALUE"""),"PRIBADI")</f>
        <v>PRIBADI</v>
      </c>
    </row>
    <row r="155">
      <c r="A155" s="7">
        <f>IFERROR(__xludf.DUMMYFUNCTION("""COMPUTED_VALUE"""),46385.0)</f>
        <v>46385</v>
      </c>
      <c r="B155" s="2" t="str">
        <f>IFERROR(__xludf.DUMMYFUNCTION("""COMPUTED_VALUE"""),"TRSF E-BANKING DB")</f>
        <v>TRSF E-BANKING DB</v>
      </c>
      <c r="C155" s="2" t="str">
        <f>IFERROR(__xludf.DUMMYFUNCTION("""COMPUTED_VALUE"""),"2912/FTSCY/WS95031 22728720.00 krg 90 jt EKO SETIYAWAN")</f>
        <v>2912/FTSCY/WS95031 22728720.00 krg 90 jt EKO SETIYAWAN</v>
      </c>
      <c r="D155" s="2">
        <f>IFERROR(__xludf.DUMMYFUNCTION("""COMPUTED_VALUE"""),2.272872E7)</f>
        <v>22728720</v>
      </c>
      <c r="E155" s="2"/>
      <c r="F155" s="2" t="str">
        <f>IFERROR(__xludf.DUMMYFUNCTION("""COMPUTED_VALUE"""),"DB")</f>
        <v>DB</v>
      </c>
      <c r="G155" s="2">
        <f>IFERROR(__xludf.DUMMYFUNCTION("""COMPUTED_VALUE"""),5.4929517495E8)</f>
        <v>549295175</v>
      </c>
      <c r="H155" s="2"/>
      <c r="I155" s="2" t="str">
        <f>IFERROR(__xludf.DUMMYFUNCTION("""COMPUTED_VALUE"""),"PRIBADI")</f>
        <v>PRIBADI</v>
      </c>
    </row>
    <row r="156">
      <c r="A156" s="7">
        <f>IFERROR(__xludf.DUMMYFUNCTION("""COMPUTED_VALUE"""),46385.0)</f>
        <v>46385</v>
      </c>
      <c r="B156" s="2" t="str">
        <f>IFERROR(__xludf.DUMMYFUNCTION("""COMPUTED_VALUE"""),"BYR VIA E-BANKING")</f>
        <v>BYR VIA E-BANKING</v>
      </c>
      <c r="C156" s="2" t="str">
        <f>IFERROR(__xludf.DUMMYFUNCTION("""COMPUTED_VALUE"""),"29/12  WSID9503100 0865 PLN PREPAID 32104859957 MUHAMMAD HAIRUL MA")</f>
        <v>29/12  WSID9503100 0865 PLN PREPAID 32104859957 MUHAMMAD HAIRUL MA</v>
      </c>
      <c r="D156" s="2">
        <f>IFERROR(__xludf.DUMMYFUNCTION("""COMPUTED_VALUE"""),22500.0)</f>
        <v>22500</v>
      </c>
      <c r="E156" s="2"/>
      <c r="F156" s="2"/>
      <c r="G156" s="2">
        <f>IFERROR(__xludf.DUMMYFUNCTION("""COMPUTED_VALUE"""),5.4927267495E8)</f>
        <v>549272675</v>
      </c>
      <c r="H156" s="2">
        <f>IFERROR(__xludf.DUMMYFUNCTION("""COMPUTED_VALUE"""),5.4927267495E8)</f>
        <v>549272675</v>
      </c>
      <c r="I156" s="2" t="str">
        <f>IFERROR(__xludf.DUMMYFUNCTION("""COMPUTED_VALUE"""),"PRIBADI")</f>
        <v>PRIBADI</v>
      </c>
    </row>
    <row r="157">
      <c r="A157" s="7">
        <f>IFERROR(__xludf.DUMMYFUNCTION("""COMPUTED_VALUE"""),46386.0)</f>
        <v>46386</v>
      </c>
      <c r="B157" s="2" t="str">
        <f>IFERROR(__xludf.DUMMYFUNCTION("""COMPUTED_VALUE"""),"TRSF E-BANKING DB TANGGAL :29/12")</f>
        <v>TRSF E-BANKING DB TANGGAL :29/12</v>
      </c>
      <c r="C157" s="2" t="str">
        <f>IFERROR(__xludf.DUMMYFUNCTION("""COMPUTED_VALUE"""),"2912/FTSCY/WS95271 Mon Dec 28 2026 15:00:00 GMT+0700 (Western Indonesia Time) GANESHA SATRIA NUS")</f>
        <v>2912/FTSCY/WS95271 Mon Dec 28 2026 15:00:00 GMT+0700 (Western Indonesia Time) GANESHA SATRIA NUS</v>
      </c>
      <c r="D157" s="2">
        <f>IFERROR(__xludf.DUMMYFUNCTION("""COMPUTED_VALUE"""),4.76612E7)</f>
        <v>47661200</v>
      </c>
      <c r="E157" s="2"/>
      <c r="F157" s="2" t="str">
        <f>IFERROR(__xludf.DUMMYFUNCTION("""COMPUTED_VALUE"""),"DB")</f>
        <v>DB</v>
      </c>
      <c r="G157" s="2">
        <f>IFERROR(__xludf.DUMMYFUNCTION("""COMPUTED_VALUE"""),5.0161147495000005E8)</f>
        <v>501611475</v>
      </c>
      <c r="H157" s="2"/>
      <c r="I157" s="2" t="str">
        <f>IFERROR(__xludf.DUMMYFUNCTION("""COMPUTED_VALUE"""),"PRIBADI")</f>
        <v>PRIBADI</v>
      </c>
    </row>
    <row r="158">
      <c r="A158" s="7">
        <f>IFERROR(__xludf.DUMMYFUNCTION("""COMPUTED_VALUE"""),46386.0)</f>
        <v>46386</v>
      </c>
      <c r="B158" s="2" t="str">
        <f>IFERROR(__xludf.DUMMYFUNCTION("""COMPUTED_VALUE"""),"TRSF E-BANKING DB TANGGAL :29/12")</f>
        <v>TRSF E-BANKING DB TANGGAL :29/12</v>
      </c>
      <c r="C158" s="2" t="str">
        <f>IFERROR(__xludf.DUMMYFUNCTION("""COMPUTED_VALUE"""),"2912/FTSCY/WS95271 Mon Dec 28 2026 15:00:00 GMT+0700 (Western Indonesia Time) ANDALAN YASA MITRA")</f>
        <v>2912/FTSCY/WS95271 Mon Dec 28 2026 15:00:00 GMT+0700 (Western Indonesia Time) ANDALAN YASA MITRA</v>
      </c>
      <c r="D158" s="2">
        <f>IFERROR(__xludf.DUMMYFUNCTION("""COMPUTED_VALUE"""),5.94972E7)</f>
        <v>59497200</v>
      </c>
      <c r="E158" s="2"/>
      <c r="F158" s="2" t="str">
        <f>IFERROR(__xludf.DUMMYFUNCTION("""COMPUTED_VALUE"""),"DB")</f>
        <v>DB</v>
      </c>
      <c r="G158" s="2">
        <f>IFERROR(__xludf.DUMMYFUNCTION("""COMPUTED_VALUE"""),4.4211427495000005E8)</f>
        <v>442114275</v>
      </c>
      <c r="H158" s="2"/>
      <c r="I158" s="2" t="str">
        <f>IFERROR(__xludf.DUMMYFUNCTION("""COMPUTED_VALUE"""),"PRIBADI")</f>
        <v>PRIBADI</v>
      </c>
    </row>
    <row r="159">
      <c r="A159" s="7">
        <f>IFERROR(__xludf.DUMMYFUNCTION("""COMPUTED_VALUE"""),46386.0)</f>
        <v>46386</v>
      </c>
      <c r="B159" s="2" t="str">
        <f>IFERROR(__xludf.DUMMYFUNCTION("""COMPUTED_VALUE"""),"TRSF E-BANKING DB TANGGAL :29/12")</f>
        <v>TRSF E-BANKING DB TANGGAL :29/12</v>
      </c>
      <c r="C159" s="2" t="str">
        <f>IFERROR(__xludf.DUMMYFUNCTION("""COMPUTED_VALUE"""),"2912/FTSCY/WS95271 Mon Dec 28 2026 15:00:00 GMT+0700 (Western Indonesia Time) SURYA INTI TERNAK")</f>
        <v>2912/FTSCY/WS95271 Mon Dec 28 2026 15:00:00 GMT+0700 (Western Indonesia Time) SURYA INTI TERNAK</v>
      </c>
      <c r="D159" s="2">
        <f>IFERROR(__xludf.DUMMYFUNCTION("""COMPUTED_VALUE"""),5.490974E7)</f>
        <v>54909740</v>
      </c>
      <c r="E159" s="2"/>
      <c r="F159" s="2" t="str">
        <f>IFERROR(__xludf.DUMMYFUNCTION("""COMPUTED_VALUE"""),"DB")</f>
        <v>DB</v>
      </c>
      <c r="G159" s="2">
        <f>IFERROR(__xludf.DUMMYFUNCTION("""COMPUTED_VALUE"""),3.8720453495000005E8)</f>
        <v>387204535</v>
      </c>
      <c r="H159" s="2"/>
      <c r="I159" s="2" t="str">
        <f>IFERROR(__xludf.DUMMYFUNCTION("""COMPUTED_VALUE"""),"PRIBADI")</f>
        <v>PRIBADI</v>
      </c>
    </row>
    <row r="160">
      <c r="A160" s="7">
        <f>IFERROR(__xludf.DUMMYFUNCTION("""COMPUTED_VALUE"""),46386.0)</f>
        <v>46386</v>
      </c>
      <c r="B160" s="2" t="str">
        <f>IFERROR(__xludf.DUMMYFUNCTION("""COMPUTED_VALUE"""),"TRSF E-BANKING DB TANGGAL :29/12")</f>
        <v>TRSF E-BANKING DB TANGGAL :29/12</v>
      </c>
      <c r="C160" s="2" t="str">
        <f>IFERROR(__xludf.DUMMYFUNCTION("""COMPUTED_VALUE"""),"2912/FTSCY/WS95031 pelunasan TABASSAM AZ ZUFAR")</f>
        <v>2912/FTSCY/WS95031 pelunasan TABASSAM AZ ZUFAR</v>
      </c>
      <c r="D160" s="2">
        <f>IFERROR(__xludf.DUMMYFUNCTION("""COMPUTED_VALUE"""),8.814585E7)</f>
        <v>88145850</v>
      </c>
      <c r="E160" s="2"/>
      <c r="F160" s="2" t="str">
        <f>IFERROR(__xludf.DUMMYFUNCTION("""COMPUTED_VALUE"""),"DB")</f>
        <v>DB</v>
      </c>
      <c r="G160" s="2">
        <f>IFERROR(__xludf.DUMMYFUNCTION("""COMPUTED_VALUE"""),2.9905868495000005E8)</f>
        <v>299058685</v>
      </c>
      <c r="H160" s="2"/>
      <c r="I160" s="2" t="str">
        <f>IFERROR(__xludf.DUMMYFUNCTION("""COMPUTED_VALUE"""),"PRIBADI")</f>
        <v>PRIBADI</v>
      </c>
    </row>
    <row r="161">
      <c r="A161" s="7">
        <f>IFERROR(__xludf.DUMMYFUNCTION("""COMPUTED_VALUE"""),46386.0)</f>
        <v>46386</v>
      </c>
      <c r="B161" s="2" t="str">
        <f>IFERROR(__xludf.DUMMYFUNCTION("""COMPUTED_VALUE"""),"TRSF E-BANKING DB TANGGAL :29/12")</f>
        <v>TRSF E-BANKING DB TANGGAL :29/12</v>
      </c>
      <c r="C161" s="2" t="str">
        <f>IFERROR(__xludf.DUMMYFUNCTION("""COMPUTED_VALUE"""),"2912/FTSCY/WS95271 pelunasan LAJU SATWA WISESA")</f>
        <v>2912/FTSCY/WS95271 pelunasan LAJU SATWA WISESA</v>
      </c>
      <c r="D161" s="2">
        <f>IFERROR(__xludf.DUMMYFUNCTION("""COMPUTED_VALUE"""),1.0456E7)</f>
        <v>10456000</v>
      </c>
      <c r="E161" s="2"/>
      <c r="F161" s="2" t="str">
        <f>IFERROR(__xludf.DUMMYFUNCTION("""COMPUTED_VALUE"""),"DB")</f>
        <v>DB</v>
      </c>
      <c r="G161" s="2">
        <f>IFERROR(__xludf.DUMMYFUNCTION("""COMPUTED_VALUE"""),2.8860268495000005E8)</f>
        <v>288602685</v>
      </c>
      <c r="H161" s="2"/>
      <c r="I161" s="2" t="str">
        <f>IFERROR(__xludf.DUMMYFUNCTION("""COMPUTED_VALUE"""),"PRIBADI")</f>
        <v>PRIBADI</v>
      </c>
    </row>
    <row r="162">
      <c r="A162" s="7">
        <f>IFERROR(__xludf.DUMMYFUNCTION("""COMPUTED_VALUE"""),46386.0)</f>
        <v>46386</v>
      </c>
      <c r="B162" s="2" t="str">
        <f>IFERROR(__xludf.DUMMYFUNCTION("""COMPUTED_VALUE"""),"TRSF E-BANKING DB TANGGAL :29/12")</f>
        <v>TRSF E-BANKING DB TANGGAL :29/12</v>
      </c>
      <c r="C162" s="2" t="str">
        <f>IFERROR(__xludf.DUMMYFUNCTION("""COMPUTED_VALUE"""),"2912/FTFVA/WS95031 mlg - 40190")</f>
        <v>2912/FTFVA/WS95031 mlg - 40190</v>
      </c>
      <c r="D162" s="2">
        <f>IFERROR(__xludf.DUMMYFUNCTION("""COMPUTED_VALUE"""),4.95E7)</f>
        <v>49500000</v>
      </c>
      <c r="E162" s="2"/>
      <c r="F162" s="2" t="str">
        <f>IFERROR(__xludf.DUMMYFUNCTION("""COMPUTED_VALUE"""),"DB")</f>
        <v>DB</v>
      </c>
      <c r="G162" s="2">
        <f>IFERROR(__xludf.DUMMYFUNCTION("""COMPUTED_VALUE"""),2.3910268495000005E8)</f>
        <v>239102685</v>
      </c>
      <c r="H162" s="2"/>
      <c r="I162" s="2" t="str">
        <f>IFERROR(__xludf.DUMMYFUNCTION("""COMPUTED_VALUE"""),"PRIBADI")</f>
        <v>PRIBADI</v>
      </c>
    </row>
    <row r="163">
      <c r="A163" s="7">
        <f>IFERROR(__xludf.DUMMYFUNCTION("""COMPUTED_VALUE"""),46386.0)</f>
        <v>46386</v>
      </c>
      <c r="B163" s="2" t="str">
        <f>IFERROR(__xludf.DUMMYFUNCTION("""COMPUTED_VALUE"""),"TRSF E-BANKING DB TANGGAL :29/12")</f>
        <v>TRSF E-BANKING DB TANGGAL :29/12</v>
      </c>
      <c r="C163" s="2" t="str">
        <f>IFERROR(__xludf.DUMMYFUNCTION("""COMPUTED_VALUE"""),"2912/FTFVA/WS95031 t.agung - 200177")</f>
        <v>2912/FTFVA/WS95031 t.agung - 200177</v>
      </c>
      <c r="D163" s="2">
        <f>IFERROR(__xludf.DUMMYFUNCTION("""COMPUTED_VALUE"""),5.1221E7)</f>
        <v>51221000</v>
      </c>
      <c r="E163" s="2"/>
      <c r="F163" s="2" t="str">
        <f>IFERROR(__xludf.DUMMYFUNCTION("""COMPUTED_VALUE"""),"DB")</f>
        <v>DB</v>
      </c>
      <c r="G163" s="2">
        <f>IFERROR(__xludf.DUMMYFUNCTION("""COMPUTED_VALUE"""),1.8788168495000005E8)</f>
        <v>187881685</v>
      </c>
      <c r="H163" s="2"/>
      <c r="I163" s="2" t="str">
        <f>IFERROR(__xludf.DUMMYFUNCTION("""COMPUTED_VALUE"""),"PRIBADI")</f>
        <v>PRIBADI</v>
      </c>
    </row>
    <row r="164">
      <c r="A164" s="7">
        <f>IFERROR(__xludf.DUMMYFUNCTION("""COMPUTED_VALUE"""),46386.0)</f>
        <v>46386</v>
      </c>
      <c r="B164" s="2" t="str">
        <f>IFERROR(__xludf.DUMMYFUNCTION("""COMPUTED_VALUE"""),"TRSF E-BANKING DB")</f>
        <v>TRSF E-BANKING DB</v>
      </c>
      <c r="C164" s="2" t="str">
        <f>IFERROR(__xludf.DUMMYFUNCTION("""COMPUTED_VALUE"""),"3012/FTSCY/WS95031 4462190.00 lunas HERMAWAN")</f>
        <v>3012/FTSCY/WS95031 4462190.00 lunas HERMAWAN</v>
      </c>
      <c r="D164" s="2">
        <f>IFERROR(__xludf.DUMMYFUNCTION("""COMPUTED_VALUE"""),4462190.0)</f>
        <v>4462190</v>
      </c>
      <c r="E164" s="2"/>
      <c r="F164" s="2" t="str">
        <f>IFERROR(__xludf.DUMMYFUNCTION("""COMPUTED_VALUE"""),"DB")</f>
        <v>DB</v>
      </c>
      <c r="G164" s="2">
        <f>IFERROR(__xludf.DUMMYFUNCTION("""COMPUTED_VALUE"""),1.8341949495000005E8)</f>
        <v>183419495</v>
      </c>
      <c r="H164" s="2"/>
      <c r="I164" s="2" t="str">
        <f>IFERROR(__xludf.DUMMYFUNCTION("""COMPUTED_VALUE"""),"PRIBADI")</f>
        <v>PRIBADI</v>
      </c>
    </row>
    <row r="165">
      <c r="A165" s="7">
        <f>IFERROR(__xludf.DUMMYFUNCTION("""COMPUTED_VALUE"""),46386.0)</f>
        <v>46386</v>
      </c>
      <c r="B165" s="2" t="str">
        <f>IFERROR(__xludf.DUMMYFUNCTION("""COMPUTED_VALUE"""),"TRSF E-BANKING DB")</f>
        <v>TRSF E-BANKING DB</v>
      </c>
      <c r="C165" s="2" t="str">
        <f>IFERROR(__xludf.DUMMYFUNCTION("""COMPUTED_VALUE"""),"3012/FTSCY/WS95031 5150500.00 krg 5 jt MUJIANTO")</f>
        <v>3012/FTSCY/WS95031 5150500.00 krg 5 jt MUJIANTO</v>
      </c>
      <c r="D165" s="2">
        <f>IFERROR(__xludf.DUMMYFUNCTION("""COMPUTED_VALUE"""),5150500.0)</f>
        <v>5150500</v>
      </c>
      <c r="E165" s="2"/>
      <c r="F165" s="2" t="str">
        <f>IFERROR(__xludf.DUMMYFUNCTION("""COMPUTED_VALUE"""),"DB")</f>
        <v>DB</v>
      </c>
      <c r="G165" s="2">
        <f>IFERROR(__xludf.DUMMYFUNCTION("""COMPUTED_VALUE"""),1.7826899495000005E8)</f>
        <v>178268995</v>
      </c>
      <c r="H165" s="2">
        <f>IFERROR(__xludf.DUMMYFUNCTION("""COMPUTED_VALUE"""),1.7826899495E8)</f>
        <v>178268995</v>
      </c>
      <c r="I165" s="2" t="str">
        <f>IFERROR(__xludf.DUMMYFUNCTION("""COMPUTED_VALUE"""),"PRIBADI")</f>
        <v>PRIBADI</v>
      </c>
    </row>
    <row r="166">
      <c r="A166" s="7">
        <f>IFERROR(__xludf.DUMMYFUNCTION("""COMPUTED_VALUE"""),46386.0)</f>
        <v>46386</v>
      </c>
      <c r="B166" s="2" t="str">
        <f>IFERROR(__xludf.DUMMYFUNCTION("""COMPUTED_VALUE"""),"TRSF E-BANKING DB")</f>
        <v>TRSF E-BANKING DB</v>
      </c>
      <c r="C166" s="2" t="str">
        <f>IFERROR(__xludf.DUMMYFUNCTION("""COMPUTED_VALUE"""),"3012/FTSCY/WS95031 1400000.00 SUNARTO")</f>
        <v>3012/FTSCY/WS95031 1400000.00 SUNARTO</v>
      </c>
      <c r="D166" s="2">
        <f>IFERROR(__xludf.DUMMYFUNCTION("""COMPUTED_VALUE"""),1400000.0)</f>
        <v>1400000</v>
      </c>
      <c r="E166" s="2"/>
      <c r="F166" s="2" t="str">
        <f>IFERROR(__xludf.DUMMYFUNCTION("""COMPUTED_VALUE"""),"DB")</f>
        <v>DB</v>
      </c>
      <c r="G166" s="2">
        <f>IFERROR(__xludf.DUMMYFUNCTION("""COMPUTED_VALUE"""),1.7686899495000005E8)</f>
        <v>176868995</v>
      </c>
      <c r="H166" s="2">
        <f>IFERROR(__xludf.DUMMYFUNCTION("""COMPUTED_VALUE"""),1.7686899495E8)</f>
        <v>176868995</v>
      </c>
      <c r="I166" s="2" t="str">
        <f>IFERROR(__xludf.DUMMYFUNCTION("""COMPUTED_VALUE"""),"PRIBADI")</f>
        <v>PRIBADI</v>
      </c>
    </row>
    <row r="167">
      <c r="A167" s="7">
        <f>IFERROR(__xludf.DUMMYFUNCTION("""COMPUTED_VALUE"""),46386.0)</f>
        <v>46386</v>
      </c>
      <c r="B167" s="2" t="str">
        <f>IFERROR(__xludf.DUMMYFUNCTION("""COMPUTED_VALUE"""),"KARTU DEBIT")</f>
        <v>KARTU DEBIT</v>
      </c>
      <c r="C167" s="2" t="str">
        <f>IFERROR(__xludf.DUMMYFUNCTION("""COMPUTED_VALUE"""),"ALFAMRT Y237 MNSO 6019009510239343")</f>
        <v>ALFAMRT Y237 MNSO 6019009510239343</v>
      </c>
      <c r="D167" s="2">
        <f>IFERROR(__xludf.DUMMYFUNCTION("""COMPUTED_VALUE"""),591200.0)</f>
        <v>591200</v>
      </c>
      <c r="E167" s="2"/>
      <c r="F167" s="2"/>
      <c r="G167" s="2">
        <f>IFERROR(__xludf.DUMMYFUNCTION("""COMPUTED_VALUE"""),1.7627779495000005E8)</f>
        <v>176277795</v>
      </c>
      <c r="H167" s="2"/>
      <c r="I167" s="2" t="str">
        <f>IFERROR(__xludf.DUMMYFUNCTION("""COMPUTED_VALUE"""),"PRIBADI")</f>
        <v>PRIBADI</v>
      </c>
    </row>
    <row r="168">
      <c r="A168" s="7">
        <f>IFERROR(__xludf.DUMMYFUNCTION("""COMPUTED_VALUE"""),46386.0)</f>
        <v>46386</v>
      </c>
      <c r="B168" s="2" t="str">
        <f>IFERROR(__xludf.DUMMYFUNCTION("""COMPUTED_VALUE"""),"TRSF E-BANKING DB")</f>
        <v>TRSF E-BANKING DB</v>
      </c>
      <c r="C168" s="2" t="str">
        <f>IFERROR(__xludf.DUMMYFUNCTION("""COMPUTED_VALUE"""),"3012/FTSCY/WS95271 50000000.00 SUGENG RIADI")</f>
        <v>3012/FTSCY/WS95271 50000000.00 SUGENG RIADI</v>
      </c>
      <c r="D168" s="2">
        <f>IFERROR(__xludf.DUMMYFUNCTION("""COMPUTED_VALUE"""),5.0E7)</f>
        <v>50000000</v>
      </c>
      <c r="E168" s="2"/>
      <c r="F168" s="2" t="str">
        <f>IFERROR(__xludf.DUMMYFUNCTION("""COMPUTED_VALUE"""),"DB")</f>
        <v>DB</v>
      </c>
      <c r="G168" s="2">
        <f>IFERROR(__xludf.DUMMYFUNCTION("""COMPUTED_VALUE"""),1.2627779495000005E8)</f>
        <v>126277795</v>
      </c>
      <c r="H168" s="2"/>
      <c r="I168" s="2" t="str">
        <f>IFERROR(__xludf.DUMMYFUNCTION("""COMPUTED_VALUE"""),"PRIBADI")</f>
        <v>PRIBADI</v>
      </c>
    </row>
    <row r="169">
      <c r="A169" s="7">
        <f>IFERROR(__xludf.DUMMYFUNCTION("""COMPUTED_VALUE"""),46386.0)</f>
        <v>46386</v>
      </c>
      <c r="B169" s="2" t="str">
        <f>IFERROR(__xludf.DUMMYFUNCTION("""COMPUTED_VALUE"""),"BI-FAST DB")</f>
        <v>BI-FAST DB</v>
      </c>
      <c r="C169" s="2" t="str">
        <f>IFERROR(__xludf.DUMMYFUNCTION("""COMPUTED_VALUE"""),"BIF TRANSFER KE 9 NOUVAL HOLQI RISKU M-BCA")</f>
        <v>BIF TRANSFER KE 9 NOUVAL HOLQI RISKU M-BCA</v>
      </c>
      <c r="D169" s="2">
        <f>IFERROR(__xludf.DUMMYFUNCTION("""COMPUTED_VALUE"""),105000.0)</f>
        <v>105000</v>
      </c>
      <c r="E169" s="2"/>
      <c r="F169" s="2" t="str">
        <f>IFERROR(__xludf.DUMMYFUNCTION("""COMPUTED_VALUE"""),"DB")</f>
        <v>DB</v>
      </c>
      <c r="G169" s="2">
        <f>IFERROR(__xludf.DUMMYFUNCTION("""COMPUTED_VALUE"""),8.8394213395E8)</f>
        <v>883942134</v>
      </c>
      <c r="H169" s="2"/>
      <c r="I169" s="2" t="str">
        <f>IFERROR(__xludf.DUMMYFUNCTION("""COMPUTED_VALUE"""),"PRIBADI")</f>
        <v>PRIBADI</v>
      </c>
    </row>
    <row r="170">
      <c r="A170" s="7">
        <f>IFERROR(__xludf.DUMMYFUNCTION("""COMPUTED_VALUE"""),46386.0)</f>
        <v>46386</v>
      </c>
      <c r="B170" s="2" t="str">
        <f>IFERROR(__xludf.DUMMYFUNCTION("""COMPUTED_VALUE"""),"BI-FAST DB")</f>
        <v>BI-FAST DB</v>
      </c>
      <c r="C170" s="2" t="str">
        <f>IFERROR(__xludf.DUMMYFUNCTION("""COMPUTED_VALUE"""),"BIF BIAYA TXN KE 9 NOUVAL HOLQI RISKU M-BCA")</f>
        <v>BIF BIAYA TXN KE 9 NOUVAL HOLQI RISKU M-BCA</v>
      </c>
      <c r="D170" s="2">
        <f>IFERROR(__xludf.DUMMYFUNCTION("""COMPUTED_VALUE"""),2500.0)</f>
        <v>2500</v>
      </c>
      <c r="E170" s="2"/>
      <c r="F170" s="2" t="str">
        <f>IFERROR(__xludf.DUMMYFUNCTION("""COMPUTED_VALUE"""),"DB")</f>
        <v>DB</v>
      </c>
      <c r="G170" s="2">
        <f>IFERROR(__xludf.DUMMYFUNCTION("""COMPUTED_VALUE"""),8.8393963395E8)</f>
        <v>883939634</v>
      </c>
      <c r="H170" s="2"/>
      <c r="I170" s="2" t="str">
        <f>IFERROR(__xludf.DUMMYFUNCTION("""COMPUTED_VALUE"""),"PRIBADI")</f>
        <v>PRIBADI</v>
      </c>
    </row>
    <row r="171">
      <c r="A171" s="7">
        <f>IFERROR(__xludf.DUMMYFUNCTION("""COMPUTED_VALUE"""),46386.0)</f>
        <v>46386</v>
      </c>
      <c r="B171" s="2" t="str">
        <f>IFERROR(__xludf.DUMMYFUNCTION("""COMPUTED_VALUE"""),"TRSF E-BANKING DB")</f>
        <v>TRSF E-BANKING DB</v>
      </c>
      <c r="C171" s="2" t="str">
        <f>IFERROR(__xludf.DUMMYFUNCTION("""COMPUTED_VALUE"""),"3012/FTSCY/WS95271 11221000.00 BERKAH UNGGAS AGUN")</f>
        <v>3012/FTSCY/WS95271 11221000.00 BERKAH UNGGAS AGUN</v>
      </c>
      <c r="D171" s="2">
        <f>IFERROR(__xludf.DUMMYFUNCTION("""COMPUTED_VALUE"""),1.1221E7)</f>
        <v>11221000</v>
      </c>
      <c r="E171" s="2"/>
      <c r="F171" s="2" t="str">
        <f>IFERROR(__xludf.DUMMYFUNCTION("""COMPUTED_VALUE"""),"DB")</f>
        <v>DB</v>
      </c>
      <c r="G171" s="2">
        <f>IFERROR(__xludf.DUMMYFUNCTION("""COMPUTED_VALUE"""),8.7271863395E8)</f>
        <v>872718634</v>
      </c>
      <c r="H171" s="2"/>
      <c r="I171" s="2" t="str">
        <f>IFERROR(__xludf.DUMMYFUNCTION("""COMPUTED_VALUE"""),"PRIBADI")</f>
        <v>PRIBADI</v>
      </c>
    </row>
    <row r="172">
      <c r="A172" s="7">
        <f>IFERROR(__xludf.DUMMYFUNCTION("""COMPUTED_VALUE"""),46386.0)</f>
        <v>46386</v>
      </c>
      <c r="B172" s="2" t="str">
        <f>IFERROR(__xludf.DUMMYFUNCTION("""COMPUTED_VALUE"""),"TRSF E-BANKING DB")</f>
        <v>TRSF E-BANKING DB</v>
      </c>
      <c r="C172" s="2" t="str">
        <f>IFERROR(__xludf.DUMMYFUNCTION("""COMPUTED_VALUE"""),"3012/FTSCY/WS95011 47600000.00 Mon Dec 28 2026 15:00:00 GMT+0700 (Western Indonesia Time) ANDALAN YASA MITRA")</f>
        <v>3012/FTSCY/WS95011 47600000.00 Mon Dec 28 2026 15:00:00 GMT+0700 (Western Indonesia Time) ANDALAN YASA MITRA</v>
      </c>
      <c r="D172" s="2">
        <f>IFERROR(__xludf.DUMMYFUNCTION("""COMPUTED_VALUE"""),4.76E7)</f>
        <v>47600000</v>
      </c>
      <c r="E172" s="2"/>
      <c r="F172" s="2" t="str">
        <f>IFERROR(__xludf.DUMMYFUNCTION("""COMPUTED_VALUE"""),"DB")</f>
        <v>DB</v>
      </c>
      <c r="G172" s="2">
        <f>IFERROR(__xludf.DUMMYFUNCTION("""COMPUTED_VALUE"""),1.24890320395E9)</f>
        <v>1248903204</v>
      </c>
      <c r="H172" s="2">
        <f>IFERROR(__xludf.DUMMYFUNCTION("""COMPUTED_VALUE"""),1.24890320395E9)</f>
        <v>1248903204</v>
      </c>
      <c r="I172" s="2" t="str">
        <f>IFERROR(__xludf.DUMMYFUNCTION("""COMPUTED_VALUE"""),"PRIBADI")</f>
        <v>PRIBADI</v>
      </c>
    </row>
    <row r="173">
      <c r="A173" s="7">
        <f>IFERROR(__xludf.DUMMYFUNCTION("""COMPUTED_VALUE"""),46386.0)</f>
        <v>46386</v>
      </c>
      <c r="B173" s="2" t="str">
        <f>IFERROR(__xludf.DUMMYFUNCTION("""COMPUTED_VALUE"""),"TRSF E-BANKING DB")</f>
        <v>TRSF E-BANKING DB</v>
      </c>
      <c r="C173" s="2" t="str">
        <f>IFERROR(__xludf.DUMMYFUNCTION("""COMPUTED_VALUE"""),"3012/FTSCY/WS95011 97365800.00 Mon Dec 28 2026 15:00:00 GMT+0700 (Western Indonesia Time) ADNAN")</f>
        <v>3012/FTSCY/WS95011 97365800.00 Mon Dec 28 2026 15:00:00 GMT+0700 (Western Indonesia Time) ADNAN</v>
      </c>
      <c r="D173" s="2">
        <f>IFERROR(__xludf.DUMMYFUNCTION("""COMPUTED_VALUE"""),9.73658E7)</f>
        <v>97365800</v>
      </c>
      <c r="E173" s="2"/>
      <c r="F173" s="2" t="str">
        <f>IFERROR(__xludf.DUMMYFUNCTION("""COMPUTED_VALUE"""),"DB")</f>
        <v>DB</v>
      </c>
      <c r="G173" s="2">
        <f>IFERROR(__xludf.DUMMYFUNCTION("""COMPUTED_VALUE"""),1.15153740395E9)</f>
        <v>1151537404</v>
      </c>
      <c r="H173" s="2"/>
      <c r="I173" s="2" t="str">
        <f>IFERROR(__xludf.DUMMYFUNCTION("""COMPUTED_VALUE"""),"PRIBADI")</f>
        <v>PRIBADI</v>
      </c>
    </row>
    <row r="174">
      <c r="A174" s="7">
        <f>IFERROR(__xludf.DUMMYFUNCTION("""COMPUTED_VALUE"""),46386.0)</f>
        <v>46386</v>
      </c>
      <c r="B174" s="2" t="str">
        <f>IFERROR(__xludf.DUMMYFUNCTION("""COMPUTED_VALUE"""),"TRSF E-BANKING DB")</f>
        <v>TRSF E-BANKING DB</v>
      </c>
      <c r="C174" s="2" t="str">
        <f>IFERROR(__xludf.DUMMYFUNCTION("""COMPUTED_VALUE"""),"3012/FTSCY/WS95011 50364400.00 Mon Dec 28 2026 15:00:00 GMT+0700 (Western Indonesia Time) TABASSAM AZ ZUFAR")</f>
        <v>3012/FTSCY/WS95011 50364400.00 Mon Dec 28 2026 15:00:00 GMT+0700 (Western Indonesia Time) TABASSAM AZ ZUFAR</v>
      </c>
      <c r="D174" s="2">
        <f>IFERROR(__xludf.DUMMYFUNCTION("""COMPUTED_VALUE"""),5.03644E7)</f>
        <v>50364400</v>
      </c>
      <c r="E174" s="2"/>
      <c r="F174" s="2" t="str">
        <f>IFERROR(__xludf.DUMMYFUNCTION("""COMPUTED_VALUE"""),"DB")</f>
        <v>DB</v>
      </c>
      <c r="G174" s="2">
        <f>IFERROR(__xludf.DUMMYFUNCTION("""COMPUTED_VALUE"""),1.10117300395E9)</f>
        <v>1101173004</v>
      </c>
      <c r="H174" s="2"/>
      <c r="I174" s="2" t="str">
        <f>IFERROR(__xludf.DUMMYFUNCTION("""COMPUTED_VALUE"""),"PRIBADI")</f>
        <v>PRIBADI</v>
      </c>
    </row>
    <row r="175">
      <c r="A175" s="7">
        <f>IFERROR(__xludf.DUMMYFUNCTION("""COMPUTED_VALUE"""),46386.0)</f>
        <v>46386</v>
      </c>
      <c r="B175" s="2" t="str">
        <f>IFERROR(__xludf.DUMMYFUNCTION("""COMPUTED_VALUE"""),"TRSF E-BANKING DB")</f>
        <v>TRSF E-BANKING DB</v>
      </c>
      <c r="C175" s="2" t="str">
        <f>IFERROR(__xludf.DUMMYFUNCTION("""COMPUTED_VALUE"""),"3012/FTSCY/WS95011 49602300.00 Mon Dec 28 2026 15:00:00 GMT+0700 (Western Indonesia Time) TABASSAM AL HATTAK")</f>
        <v>3012/FTSCY/WS95011 49602300.00 Mon Dec 28 2026 15:00:00 GMT+0700 (Western Indonesia Time) TABASSAM AL HATTAK</v>
      </c>
      <c r="D175" s="2">
        <f>IFERROR(__xludf.DUMMYFUNCTION("""COMPUTED_VALUE"""),4.96023E7)</f>
        <v>49602300</v>
      </c>
      <c r="E175" s="2"/>
      <c r="F175" s="2" t="str">
        <f>IFERROR(__xludf.DUMMYFUNCTION("""COMPUTED_VALUE"""),"DB")</f>
        <v>DB</v>
      </c>
      <c r="G175" s="2">
        <f>IFERROR(__xludf.DUMMYFUNCTION("""COMPUTED_VALUE"""),1.05157070395E9)</f>
        <v>1051570704</v>
      </c>
      <c r="H175" s="2"/>
      <c r="I175" s="2" t="str">
        <f>IFERROR(__xludf.DUMMYFUNCTION("""COMPUTED_VALUE"""),"PRIBADI")</f>
        <v>PRIBADI</v>
      </c>
    </row>
    <row r="176">
      <c r="A176" s="7">
        <f>IFERROR(__xludf.DUMMYFUNCTION("""COMPUTED_VALUE"""),46386.0)</f>
        <v>46386</v>
      </c>
      <c r="B176" s="2" t="str">
        <f>IFERROR(__xludf.DUMMYFUNCTION("""COMPUTED_VALUE"""),"TRSF E-BANKING DB")</f>
        <v>TRSF E-BANKING DB</v>
      </c>
      <c r="C176" s="2" t="str">
        <f>IFERROR(__xludf.DUMMYFUNCTION("""COMPUTED_VALUE"""),"3012/FTSCY/WS95011 49845600.00 28/12 malang SURYA INTI TERNAK")</f>
        <v>3012/FTSCY/WS95011 49845600.00 28/12 malang SURYA INTI TERNAK</v>
      </c>
      <c r="D176" s="2">
        <f>IFERROR(__xludf.DUMMYFUNCTION("""COMPUTED_VALUE"""),4.98456E7)</f>
        <v>49845600</v>
      </c>
      <c r="E176" s="2"/>
      <c r="F176" s="2" t="str">
        <f>IFERROR(__xludf.DUMMYFUNCTION("""COMPUTED_VALUE"""),"DB")</f>
        <v>DB</v>
      </c>
      <c r="G176" s="2">
        <f>IFERROR(__xludf.DUMMYFUNCTION("""COMPUTED_VALUE"""),1.00172510395E9)</f>
        <v>1001725104</v>
      </c>
      <c r="H176" s="2"/>
      <c r="I176" s="2" t="str">
        <f>IFERROR(__xludf.DUMMYFUNCTION("""COMPUTED_VALUE"""),"PRIBADI")</f>
        <v>PRIBADI</v>
      </c>
    </row>
    <row r="177">
      <c r="A177" s="7">
        <f>IFERROR(__xludf.DUMMYFUNCTION("""COMPUTED_VALUE"""),46386.0)</f>
        <v>46386</v>
      </c>
      <c r="B177" s="2" t="str">
        <f>IFERROR(__xludf.DUMMYFUNCTION("""COMPUTED_VALUE"""),"TRSF E-BANKING DB")</f>
        <v>TRSF E-BANKING DB</v>
      </c>
      <c r="C177" s="2" t="str">
        <f>IFERROR(__xludf.DUMMYFUNCTION("""COMPUTED_VALUE"""),"3012/FTSCY/WS95011 104208300.00 Mon Dec 28 2026 15:00:00 GMT+0700 (Western Indonesia Time) ANDALAN YASA MITRA")</f>
        <v>3012/FTSCY/WS95011 104208300.00 Mon Dec 28 2026 15:00:00 GMT+0700 (Western Indonesia Time) ANDALAN YASA MITRA</v>
      </c>
      <c r="D177" s="2">
        <f>IFERROR(__xludf.DUMMYFUNCTION("""COMPUTED_VALUE"""),1.042083E8)</f>
        <v>104208300</v>
      </c>
      <c r="E177" s="2"/>
      <c r="F177" s="2" t="str">
        <f>IFERROR(__xludf.DUMMYFUNCTION("""COMPUTED_VALUE"""),"DB")</f>
        <v>DB</v>
      </c>
      <c r="G177" s="2">
        <f>IFERROR(__xludf.DUMMYFUNCTION("""COMPUTED_VALUE"""),8.9751680395E8)</f>
        <v>897516804</v>
      </c>
      <c r="H177" s="2"/>
      <c r="I177" s="2" t="str">
        <f>IFERROR(__xludf.DUMMYFUNCTION("""COMPUTED_VALUE"""),"PRIBADI")</f>
        <v>PRIBADI</v>
      </c>
    </row>
    <row r="178">
      <c r="A178" s="7">
        <f>IFERROR(__xludf.DUMMYFUNCTION("""COMPUTED_VALUE"""),46386.0)</f>
        <v>46386</v>
      </c>
      <c r="B178" s="2" t="str">
        <f>IFERROR(__xludf.DUMMYFUNCTION("""COMPUTED_VALUE"""),"TRSF E-BANKING DB")</f>
        <v>TRSF E-BANKING DB</v>
      </c>
      <c r="C178" s="2" t="str">
        <f>IFERROR(__xludf.DUMMYFUNCTION("""COMPUTED_VALUE"""),"3012/FTSCY/WS95011 101013000.00 Mon Dec 28 2026 15:00:00 GMT+0700 (Western Indonesia Time) SUPER UNGGAS JAYA")</f>
        <v>3012/FTSCY/WS95011 101013000.00 Mon Dec 28 2026 15:00:00 GMT+0700 (Western Indonesia Time) SUPER UNGGAS JAYA</v>
      </c>
      <c r="D178" s="2">
        <f>IFERROR(__xludf.DUMMYFUNCTION("""COMPUTED_VALUE"""),1.01013E8)</f>
        <v>101013000</v>
      </c>
      <c r="E178" s="2"/>
      <c r="F178" s="2" t="str">
        <f>IFERROR(__xludf.DUMMYFUNCTION("""COMPUTED_VALUE"""),"DB")</f>
        <v>DB</v>
      </c>
      <c r="G178" s="2">
        <f>IFERROR(__xludf.DUMMYFUNCTION("""COMPUTED_VALUE"""),7.9650380395E8)</f>
        <v>796503804</v>
      </c>
      <c r="H178" s="2"/>
      <c r="I178" s="2" t="str">
        <f>IFERROR(__xludf.DUMMYFUNCTION("""COMPUTED_VALUE"""),"PRIBADI")</f>
        <v>PRIBADI</v>
      </c>
    </row>
    <row r="179">
      <c r="A179" s="7">
        <f>IFERROR(__xludf.DUMMYFUNCTION("""COMPUTED_VALUE"""),46386.0)</f>
        <v>46386</v>
      </c>
      <c r="B179" s="2" t="str">
        <f>IFERROR(__xludf.DUMMYFUNCTION("""COMPUTED_VALUE"""),"TRSF E-BANKING DB")</f>
        <v>TRSF E-BANKING DB</v>
      </c>
      <c r="C179" s="2" t="str">
        <f>IFERROR(__xludf.DUMMYFUNCTION("""COMPUTED_VALUE"""),"3012/FTFVA/WS95031 14453/PITIK - - 1082318368518")</f>
        <v>3012/FTFVA/WS95031 14453/PITIK - - 1082318368518</v>
      </c>
      <c r="D179" s="2">
        <f>IFERROR(__xludf.DUMMYFUNCTION("""COMPUTED_VALUE"""),9.009504E7)</f>
        <v>90095040</v>
      </c>
      <c r="E179" s="2"/>
      <c r="F179" s="2" t="str">
        <f>IFERROR(__xludf.DUMMYFUNCTION("""COMPUTED_VALUE"""),"DB")</f>
        <v>DB</v>
      </c>
      <c r="G179" s="2">
        <f>IFERROR(__xludf.DUMMYFUNCTION("""COMPUTED_VALUE"""),7.0640876395E8)</f>
        <v>706408764</v>
      </c>
      <c r="H179" s="2"/>
      <c r="I179" s="2" t="str">
        <f>IFERROR(__xludf.DUMMYFUNCTION("""COMPUTED_VALUE"""),"PRIBADI")</f>
        <v>PRIBADI</v>
      </c>
    </row>
    <row r="180">
      <c r="A180" s="7">
        <f>IFERROR(__xludf.DUMMYFUNCTION("""COMPUTED_VALUE"""),46386.0)</f>
        <v>46386</v>
      </c>
      <c r="B180" s="2" t="str">
        <f>IFERROR(__xludf.DUMMYFUNCTION("""COMPUTED_VALUE"""),"TRSF E-BANKING DB")</f>
        <v>TRSF E-BANKING DB</v>
      </c>
      <c r="C180" s="2" t="str">
        <f>IFERROR(__xludf.DUMMYFUNCTION("""COMPUTED_VALUE"""),"3012/FTSCY/WS95271 180000000.00 Mon Dec 28 2026 15:00:00 GMT+0700 (Western Indonesia Time) BROILER MAKMUR TAN")</f>
        <v>3012/FTSCY/WS95271 180000000.00 Mon Dec 28 2026 15:00:00 GMT+0700 (Western Indonesia Time) BROILER MAKMUR TAN</v>
      </c>
      <c r="D180" s="2">
        <f>IFERROR(__xludf.DUMMYFUNCTION("""COMPUTED_VALUE"""),1.8E8)</f>
        <v>180000000</v>
      </c>
      <c r="E180" s="2"/>
      <c r="F180" s="2" t="str">
        <f>IFERROR(__xludf.DUMMYFUNCTION("""COMPUTED_VALUE"""),"DB")</f>
        <v>DB</v>
      </c>
      <c r="G180" s="2">
        <f>IFERROR(__xludf.DUMMYFUNCTION("""COMPUTED_VALUE"""),5.2640876395000005E8)</f>
        <v>526408764</v>
      </c>
      <c r="H180" s="2">
        <f>IFERROR(__xludf.DUMMYFUNCTION("""COMPUTED_VALUE"""),5.2640876395E8)</f>
        <v>526408764</v>
      </c>
      <c r="I180" s="2" t="str">
        <f>IFERROR(__xludf.DUMMYFUNCTION("""COMPUTED_VALUE"""),"PRIBADI")</f>
        <v>PRIBADI</v>
      </c>
    </row>
    <row r="181">
      <c r="A181" s="7">
        <f>IFERROR(__xludf.DUMMYFUNCTION("""COMPUTED_VALUE"""),46387.0)</f>
        <v>46387</v>
      </c>
      <c r="B181" s="2" t="str">
        <f>IFERROR(__xludf.DUMMYFUNCTION("""COMPUTED_VALUE"""),"TRSF E-BANKING DB")</f>
        <v>TRSF E-BANKING DB</v>
      </c>
      <c r="C181" s="2" t="str">
        <f>IFERROR(__xludf.DUMMYFUNCTION("""COMPUTED_VALUE"""),"3112/FTSCY/WS95271 89921400.00 Mon Dec 28 2026 15:00:00 GMT+0700 (Western Indonesia Time) RUKUN MITRA BERSAM")</f>
        <v>3112/FTSCY/WS95271 89921400.00 Mon Dec 28 2026 15:00:00 GMT+0700 (Western Indonesia Time) RUKUN MITRA BERSAM</v>
      </c>
      <c r="D181" s="2">
        <f>IFERROR(__xludf.DUMMYFUNCTION("""COMPUTED_VALUE"""),8.99214E7)</f>
        <v>89921400</v>
      </c>
      <c r="E181" s="2"/>
      <c r="F181" s="2" t="str">
        <f>IFERROR(__xludf.DUMMYFUNCTION("""COMPUTED_VALUE"""),"DB")</f>
        <v>DB</v>
      </c>
      <c r="G181" s="2">
        <f>IFERROR(__xludf.DUMMYFUNCTION("""COMPUTED_VALUE"""),4.5648736395000005E8)</f>
        <v>456487364</v>
      </c>
      <c r="H181" s="2"/>
      <c r="I181" s="2" t="str">
        <f>IFERROR(__xludf.DUMMYFUNCTION("""COMPUTED_VALUE"""),"PRIBADI")</f>
        <v>PRIBADI</v>
      </c>
    </row>
    <row r="182">
      <c r="A182" s="7">
        <f>IFERROR(__xludf.DUMMYFUNCTION("""COMPUTED_VALUE"""),46387.0)</f>
        <v>46387</v>
      </c>
      <c r="B182" s="2" t="str">
        <f>IFERROR(__xludf.DUMMYFUNCTION("""COMPUTED_VALUE"""),"TRSF E-BANKING DB")</f>
        <v>TRSF E-BANKING DB</v>
      </c>
      <c r="C182" s="2" t="str">
        <f>IFERROR(__xludf.DUMMYFUNCTION("""COMPUTED_VALUE"""),"3112/FTSCY/WS95271 48545600.00 pelunasan SUGENG RIADI")</f>
        <v>3112/FTSCY/WS95271 48545600.00 pelunasan SUGENG RIADI</v>
      </c>
      <c r="D182" s="2">
        <f>IFERROR(__xludf.DUMMYFUNCTION("""COMPUTED_VALUE"""),4.85456E7)</f>
        <v>48545600</v>
      </c>
      <c r="E182" s="2"/>
      <c r="F182" s="2" t="str">
        <f>IFERROR(__xludf.DUMMYFUNCTION("""COMPUTED_VALUE"""),"DB")</f>
        <v>DB</v>
      </c>
      <c r="G182" s="2">
        <f>IFERROR(__xludf.DUMMYFUNCTION("""COMPUTED_VALUE"""),4.0794176395000005E8)</f>
        <v>407941764</v>
      </c>
      <c r="H182" s="2"/>
      <c r="I182" s="2" t="str">
        <f>IFERROR(__xludf.DUMMYFUNCTION("""COMPUTED_VALUE"""),"PRIBADI")</f>
        <v>PRIBADI</v>
      </c>
    </row>
    <row r="183">
      <c r="A183" s="7">
        <f>IFERROR(__xludf.DUMMYFUNCTION("""COMPUTED_VALUE"""),46387.0)</f>
        <v>46387</v>
      </c>
      <c r="B183" s="2" t="str">
        <f>IFERROR(__xludf.DUMMYFUNCTION("""COMPUTED_VALUE"""),"TRSF E-BANKING DB")</f>
        <v>TRSF E-BANKING DB</v>
      </c>
      <c r="C183" s="2" t="str">
        <f>IFERROR(__xludf.DUMMYFUNCTION("""COMPUTED_VALUE"""),"3112/FTSCY/WS95271 117832420.00 pelunasan 28/12 BROILER MAKMUR TAN")</f>
        <v>3112/FTSCY/WS95271 117832420.00 pelunasan 28/12 BROILER MAKMUR TAN</v>
      </c>
      <c r="D183" s="2">
        <f>IFERROR(__xludf.DUMMYFUNCTION("""COMPUTED_VALUE"""),1.1783242E8)</f>
        <v>117832420</v>
      </c>
      <c r="E183" s="2"/>
      <c r="F183" s="2" t="str">
        <f>IFERROR(__xludf.DUMMYFUNCTION("""COMPUTED_VALUE"""),"DB")</f>
        <v>DB</v>
      </c>
      <c r="G183" s="2">
        <f>IFERROR(__xludf.DUMMYFUNCTION("""COMPUTED_VALUE"""),2.9010934395000005E8)</f>
        <v>290109344</v>
      </c>
      <c r="H183" s="2">
        <f>IFERROR(__xludf.DUMMYFUNCTION("""COMPUTED_VALUE"""),2.9010934395E8)</f>
        <v>290109344</v>
      </c>
      <c r="I183" s="2" t="str">
        <f>IFERROR(__xludf.DUMMYFUNCTION("""COMPUTED_VALUE"""),"PRIBADI")</f>
        <v>PRIBADI</v>
      </c>
    </row>
    <row r="184">
      <c r="A184" s="7">
        <f>IFERROR(__xludf.DUMMYFUNCTION("""COMPUTED_VALUE"""),46387.0)</f>
        <v>46387</v>
      </c>
      <c r="B184" s="2" t="str">
        <f>IFERROR(__xludf.DUMMYFUNCTION("""COMPUTED_VALUE"""),"TRSF E-BANKING DB")</f>
        <v>TRSF E-BANKING DB</v>
      </c>
      <c r="C184" s="2" t="str">
        <f>IFERROR(__xludf.DUMMYFUNCTION("""COMPUTED_VALUE"""),"3112/FTSCY/WS95271 15071540.00 FAJAR ANDREANZAH")</f>
        <v>3112/FTSCY/WS95271 15071540.00 FAJAR ANDREANZAH</v>
      </c>
      <c r="D184" s="2">
        <f>IFERROR(__xludf.DUMMYFUNCTION("""COMPUTED_VALUE"""),1.507154E7)</f>
        <v>15071540</v>
      </c>
      <c r="E184" s="2"/>
      <c r="F184" s="2" t="str">
        <f>IFERROR(__xludf.DUMMYFUNCTION("""COMPUTED_VALUE"""),"DB")</f>
        <v>DB</v>
      </c>
      <c r="G184" s="2">
        <f>IFERROR(__xludf.DUMMYFUNCTION("""COMPUTED_VALUE"""),2.7503780395000005E8)</f>
        <v>275037804</v>
      </c>
      <c r="H184" s="2">
        <f>IFERROR(__xludf.DUMMYFUNCTION("""COMPUTED_VALUE"""),2.7503780395E8)</f>
        <v>275037804</v>
      </c>
      <c r="I184" s="2" t="str">
        <f>IFERROR(__xludf.DUMMYFUNCTION("""COMPUTED_VALUE"""),"PRIBADI")</f>
        <v>PRIBADI</v>
      </c>
    </row>
    <row r="185">
      <c r="A185" s="7">
        <f>IFERROR(__xludf.DUMMYFUNCTION("""COMPUTED_VALUE"""),46387.0)</f>
        <v>46387</v>
      </c>
      <c r="B185" s="2" t="str">
        <f>IFERROR(__xludf.DUMMYFUNCTION("""COMPUTED_VALUE"""),"TRSF E-BANKING DB")</f>
        <v>TRSF E-BANKING DB</v>
      </c>
      <c r="C185" s="2" t="str">
        <f>IFERROR(__xludf.DUMMYFUNCTION("""COMPUTED_VALUE"""),"3112/FTSCY/WS95271 3364780.00 ALI ARIFIN")</f>
        <v>3112/FTSCY/WS95271 3364780.00 ALI ARIFIN</v>
      </c>
      <c r="D185" s="2">
        <f>IFERROR(__xludf.DUMMYFUNCTION("""COMPUTED_VALUE"""),3364780.0)</f>
        <v>3364780</v>
      </c>
      <c r="E185" s="2"/>
      <c r="F185" s="2" t="str">
        <f>IFERROR(__xludf.DUMMYFUNCTION("""COMPUTED_VALUE"""),"DB")</f>
        <v>DB</v>
      </c>
      <c r="G185" s="2">
        <f>IFERROR(__xludf.DUMMYFUNCTION("""COMPUTED_VALUE"""),2.7167302395000005E8)</f>
        <v>271673024</v>
      </c>
      <c r="H185" s="2"/>
      <c r="I185" s="2" t="str">
        <f>IFERROR(__xludf.DUMMYFUNCTION("""COMPUTED_VALUE"""),"PRIBADI")</f>
        <v>PRIBADI</v>
      </c>
    </row>
    <row r="186">
      <c r="A186" s="7">
        <f>IFERROR(__xludf.DUMMYFUNCTION("""COMPUTED_VALUE"""),46387.0)</f>
        <v>46387</v>
      </c>
      <c r="B186" s="2" t="str">
        <f>IFERROR(__xludf.DUMMYFUNCTION("""COMPUTED_VALUE"""),"TRSF E-BANKING DB")</f>
        <v>TRSF E-BANKING DB</v>
      </c>
      <c r="C186" s="2" t="str">
        <f>IFERROR(__xludf.DUMMYFUNCTION("""COMPUTED_VALUE"""),"3112/FTSCY/WS95271 2000000.00 SUNARTO")</f>
        <v>3112/FTSCY/WS95271 2000000.00 SUNARTO</v>
      </c>
      <c r="D186" s="2">
        <f>IFERROR(__xludf.DUMMYFUNCTION("""COMPUTED_VALUE"""),2000000.0)</f>
        <v>2000000</v>
      </c>
      <c r="E186" s="2"/>
      <c r="F186" s="2" t="str">
        <f>IFERROR(__xludf.DUMMYFUNCTION("""COMPUTED_VALUE"""),"DB")</f>
        <v>DB</v>
      </c>
      <c r="G186" s="2">
        <f>IFERROR(__xludf.DUMMYFUNCTION("""COMPUTED_VALUE"""),2.6967302395000005E8)</f>
        <v>269673024</v>
      </c>
      <c r="H186" s="2"/>
      <c r="I186" s="2" t="str">
        <f>IFERROR(__xludf.DUMMYFUNCTION("""COMPUTED_VALUE"""),"PRIBADI")</f>
        <v>PRIBADI</v>
      </c>
    </row>
    <row r="187">
      <c r="A187" s="7">
        <f>IFERROR(__xludf.DUMMYFUNCTION("""COMPUTED_VALUE"""),46387.0)</f>
        <v>46387</v>
      </c>
      <c r="B187" s="2" t="str">
        <f>IFERROR(__xludf.DUMMYFUNCTION("""COMPUTED_VALUE"""),"TRSF E-BANKING DB")</f>
        <v>TRSF E-BANKING DB</v>
      </c>
      <c r="C187" s="2" t="str">
        <f>IFERROR(__xludf.DUMMYFUNCTION("""COMPUTED_VALUE"""),"3112/FTSCY/WS95031 15774080.00 krg 80 jt EKO SETIYAWAN")</f>
        <v>3112/FTSCY/WS95031 15774080.00 krg 80 jt EKO SETIYAWAN</v>
      </c>
      <c r="D187" s="2">
        <f>IFERROR(__xludf.DUMMYFUNCTION("""COMPUTED_VALUE"""),1.577408E7)</f>
        <v>15774080</v>
      </c>
      <c r="E187" s="2"/>
      <c r="F187" s="2" t="str">
        <f>IFERROR(__xludf.DUMMYFUNCTION("""COMPUTED_VALUE"""),"DB")</f>
        <v>DB</v>
      </c>
      <c r="G187" s="2">
        <f>IFERROR(__xludf.DUMMYFUNCTION("""COMPUTED_VALUE"""),2.5389894395000005E8)</f>
        <v>253898944</v>
      </c>
      <c r="H187" s="2"/>
      <c r="I187" s="2" t="str">
        <f>IFERROR(__xludf.DUMMYFUNCTION("""COMPUTED_VALUE"""),"PRIBADI")</f>
        <v>PRIBADI</v>
      </c>
    </row>
    <row r="188">
      <c r="A188" s="7">
        <f>IFERROR(__xludf.DUMMYFUNCTION("""COMPUTED_VALUE"""),46387.0)</f>
        <v>46387</v>
      </c>
      <c r="B188" s="2" t="str">
        <f>IFERROR(__xludf.DUMMYFUNCTION("""COMPUTED_VALUE"""),"TRSF E-BANKING DB")</f>
        <v>TRSF E-BANKING DB</v>
      </c>
      <c r="C188" s="2" t="str">
        <f>IFERROR(__xludf.DUMMYFUNCTION("""COMPUTED_VALUE"""),"3112/FTSCY/WS95271 5670860.00 krg 5 jt MUJIANTO")</f>
        <v>3112/FTSCY/WS95271 5670860.00 krg 5 jt MUJIANTO</v>
      </c>
      <c r="D188" s="2">
        <f>IFERROR(__xludf.DUMMYFUNCTION("""COMPUTED_VALUE"""),5670860.0)</f>
        <v>5670860</v>
      </c>
      <c r="E188" s="2"/>
      <c r="F188" s="2" t="str">
        <f>IFERROR(__xludf.DUMMYFUNCTION("""COMPUTED_VALUE"""),"DB")</f>
        <v>DB</v>
      </c>
      <c r="G188" s="2">
        <f>IFERROR(__xludf.DUMMYFUNCTION("""COMPUTED_VALUE"""),2.4822808395000005E8)</f>
        <v>248228084</v>
      </c>
      <c r="H188" s="2"/>
      <c r="I188" s="2" t="str">
        <f>IFERROR(__xludf.DUMMYFUNCTION("""COMPUTED_VALUE"""),"PRIBADI")</f>
        <v>PRIBADI</v>
      </c>
    </row>
    <row r="189">
      <c r="A189" s="7">
        <f>IFERROR(__xludf.DUMMYFUNCTION("""COMPUTED_VALUE"""),46387.0)</f>
        <v>46387</v>
      </c>
      <c r="B189" s="2" t="str">
        <f>IFERROR(__xludf.DUMMYFUNCTION("""COMPUTED_VALUE"""),"TRSF E-BANKING DB")</f>
        <v>TRSF E-BANKING DB</v>
      </c>
      <c r="C189" s="2" t="str">
        <f>IFERROR(__xludf.DUMMYFUNCTION("""COMPUTED_VALUE"""),"3112/FTSCY/WS95271 3673800.00 HERMAWAN")</f>
        <v>3112/FTSCY/WS95271 3673800.00 HERMAWAN</v>
      </c>
      <c r="D189" s="2">
        <f>IFERROR(__xludf.DUMMYFUNCTION("""COMPUTED_VALUE"""),3673800.0)</f>
        <v>3673800</v>
      </c>
      <c r="E189" s="2"/>
      <c r="F189" s="2" t="str">
        <f>IFERROR(__xludf.DUMMYFUNCTION("""COMPUTED_VALUE"""),"DB")</f>
        <v>DB</v>
      </c>
      <c r="G189" s="2">
        <f>IFERROR(__xludf.DUMMYFUNCTION("""COMPUTED_VALUE"""),2.4455428395000005E8)</f>
        <v>244554284</v>
      </c>
      <c r="H189" s="2"/>
      <c r="I189" s="2" t="str">
        <f>IFERROR(__xludf.DUMMYFUNCTION("""COMPUTED_VALUE"""),"PRIBADI")</f>
        <v>PRIBADI</v>
      </c>
    </row>
    <row r="190">
      <c r="A190" s="7">
        <f>IFERROR(__xludf.DUMMYFUNCTION("""COMPUTED_VALUE"""),46387.0)</f>
        <v>46387</v>
      </c>
      <c r="B190" s="2" t="str">
        <f>IFERROR(__xludf.DUMMYFUNCTION("""COMPUTED_VALUE"""),"TRSF E-BANKING DB")</f>
        <v>TRSF E-BANKING DB</v>
      </c>
      <c r="C190" s="2" t="str">
        <f>IFERROR(__xludf.DUMMYFUNCTION("""COMPUTED_VALUE"""),"3112/FTSCY/WS95011 151317600.00 Pelunasan 28/12 SUPER UNGGAS JAYA")</f>
        <v>3112/FTSCY/WS95011 151317600.00 Pelunasan 28/12 SUPER UNGGAS JAYA</v>
      </c>
      <c r="D190" s="2">
        <f>IFERROR(__xludf.DUMMYFUNCTION("""COMPUTED_VALUE"""),1.513176E8)</f>
        <v>151317600</v>
      </c>
      <c r="E190" s="2"/>
      <c r="F190" s="2" t="str">
        <f>IFERROR(__xludf.DUMMYFUNCTION("""COMPUTED_VALUE"""),"DB")</f>
        <v>DB</v>
      </c>
      <c r="G190" s="2">
        <f>IFERROR(__xludf.DUMMYFUNCTION("""COMPUTED_VALUE"""),9.323668395000005E7)</f>
        <v>93236683.95</v>
      </c>
      <c r="H190" s="2"/>
      <c r="I190" s="2" t="str">
        <f>IFERROR(__xludf.DUMMYFUNCTION("""COMPUTED_VALUE"""),"PRIBADI")</f>
        <v>PRIBADI</v>
      </c>
    </row>
    <row r="191">
      <c r="A191" s="7">
        <f>IFERROR(__xludf.DUMMYFUNCTION("""COMPUTED_VALUE"""),46387.0)</f>
        <v>46387</v>
      </c>
      <c r="B191" s="2" t="str">
        <f>IFERROR(__xludf.DUMMYFUNCTION("""COMPUTED_VALUE"""),"TRSF E-BANKING DB")</f>
        <v>TRSF E-BANKING DB</v>
      </c>
      <c r="C191" s="2" t="str">
        <f>IFERROR(__xludf.DUMMYFUNCTION("""COMPUTED_VALUE"""),"3112/FTSCY/WS95011 67353000.00 Krg 100 jt TUMBUH OPTIMAL PRI")</f>
        <v>3112/FTSCY/WS95011 67353000.00 Krg 100 jt TUMBUH OPTIMAL PRI</v>
      </c>
      <c r="D191" s="2">
        <f>IFERROR(__xludf.DUMMYFUNCTION("""COMPUTED_VALUE"""),6.7353E7)</f>
        <v>67353000</v>
      </c>
      <c r="E191" s="2"/>
      <c r="F191" s="2" t="str">
        <f>IFERROR(__xludf.DUMMYFUNCTION("""COMPUTED_VALUE"""),"DB")</f>
        <v>DB</v>
      </c>
      <c r="G191" s="2">
        <f>IFERROR(__xludf.DUMMYFUNCTION("""COMPUTED_VALUE"""),2.5883683950000048E7)</f>
        <v>25883683.95</v>
      </c>
      <c r="H191" s="2"/>
      <c r="I191" s="2" t="str">
        <f>IFERROR(__xludf.DUMMYFUNCTION("""COMPUTED_VALUE"""),"PRIBADI")</f>
        <v>PRIBADI</v>
      </c>
    </row>
    <row r="192">
      <c r="A192" s="7">
        <f>IFERROR(__xludf.DUMMYFUNCTION("""COMPUTED_VALUE"""),46387.0)</f>
        <v>46387</v>
      </c>
      <c r="B192" s="2" t="str">
        <f>IFERROR(__xludf.DUMMYFUNCTION("""COMPUTED_VALUE"""),"TRSF E-BANKING DB")</f>
        <v>TRSF E-BANKING DB</v>
      </c>
      <c r="C192" s="2" t="str">
        <f>IFERROR(__xludf.DUMMYFUNCTION("""COMPUTED_VALUE"""),"3112/FTSCY/WS95031 754020.00 ANDE DOSO ANGGORO")</f>
        <v>3112/FTSCY/WS95031 754020.00 ANDE DOSO ANGGORO</v>
      </c>
      <c r="D192" s="2">
        <f>IFERROR(__xludf.DUMMYFUNCTION("""COMPUTED_VALUE"""),754020.0)</f>
        <v>754020</v>
      </c>
      <c r="E192" s="2"/>
      <c r="F192" s="2" t="str">
        <f>IFERROR(__xludf.DUMMYFUNCTION("""COMPUTED_VALUE"""),"DB")</f>
        <v>DB</v>
      </c>
      <c r="G192" s="2">
        <f>IFERROR(__xludf.DUMMYFUNCTION("""COMPUTED_VALUE"""),2.5129663950000048E7)</f>
        <v>25129663.95</v>
      </c>
      <c r="H192" s="2"/>
      <c r="I192" s="2" t="str">
        <f>IFERROR(__xludf.DUMMYFUNCTION("""COMPUTED_VALUE"""),"PRIBADI")</f>
        <v>PRIBADI</v>
      </c>
    </row>
    <row r="193">
      <c r="A193" s="7">
        <f>IFERROR(__xludf.DUMMYFUNCTION("""COMPUTED_VALUE"""),46387.0)</f>
        <v>46387</v>
      </c>
      <c r="B193" s="2" t="str">
        <f>IFERROR(__xludf.DUMMYFUNCTION("""COMPUTED_VALUE"""),"TRSF E-BANKING DB")</f>
        <v>TRSF E-BANKING DB</v>
      </c>
      <c r="C193" s="2" t="str">
        <f>IFERROR(__xludf.DUMMYFUNCTION("""COMPUTED_VALUE"""),"3112/FTSCY/WS95271 197000.00 byr daging HAMIM TEJA PERMANA")</f>
        <v>3112/FTSCY/WS95271 197000.00 byr daging HAMIM TEJA PERMANA</v>
      </c>
      <c r="D193" s="2">
        <f>IFERROR(__xludf.DUMMYFUNCTION("""COMPUTED_VALUE"""),197000.0)</f>
        <v>197000</v>
      </c>
      <c r="E193" s="2"/>
      <c r="F193" s="2" t="str">
        <f>IFERROR(__xludf.DUMMYFUNCTION("""COMPUTED_VALUE"""),"DB")</f>
        <v>DB</v>
      </c>
      <c r="G193" s="2">
        <f>IFERROR(__xludf.DUMMYFUNCTION("""COMPUTED_VALUE"""),2.4932663950000048E7)</f>
        <v>24932663.95</v>
      </c>
      <c r="H193" s="2"/>
      <c r="I193" s="2" t="str">
        <f>IFERROR(__xludf.DUMMYFUNCTION("""COMPUTED_VALUE"""),"PRIBADI")</f>
        <v>PRIBADI</v>
      </c>
    </row>
    <row r="194">
      <c r="A194" s="7">
        <f>IFERROR(__xludf.DUMMYFUNCTION("""COMPUTED_VALUE"""),46387.0)</f>
        <v>46387</v>
      </c>
      <c r="B194" s="2" t="str">
        <f>IFERROR(__xludf.DUMMYFUNCTION("""COMPUTED_VALUE"""),"PAJAK BUNGA")</f>
        <v>PAJAK BUNGA</v>
      </c>
      <c r="C194" s="2" t="str">
        <f>IFERROR(__xludf.DUMMYFUNCTION("""COMPUTED_VALUE""")," SALDO AWAL : MUTASI CR : MUTASI DB : SALDO AKHIR :")</f>
        <v> SALDO AWAL : MUTASI CR : MUTASI DB : SALDO AKHIR :</v>
      </c>
      <c r="D194" s="2">
        <f>IFERROR(__xludf.DUMMYFUNCTION("""COMPUTED_VALUE"""),400.73)</f>
        <v>400.73</v>
      </c>
      <c r="E194" s="2"/>
      <c r="F194" s="2"/>
      <c r="G194" s="2">
        <f>IFERROR(__xludf.DUMMYFUNCTION("""COMPUTED_VALUE"""),2.493426689000005E7)</f>
        <v>24934266.89</v>
      </c>
      <c r="H194" s="2">
        <f>IFERROR(__xludf.DUMMYFUNCTION("""COMPUTED_VALUE"""),2.493426689E7)</f>
        <v>24934266.89</v>
      </c>
      <c r="I194" s="2" t="str">
        <f>IFERROR(__xludf.DUMMYFUNCTION("""COMPUTED_VALUE"""),"PRIBADI")</f>
        <v>PRIBADI</v>
      </c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IFERROR(__xludf.DUMMYFUNCTION("IFERROR(QUERY(DES_2023!A:I, ""SELECT * WHERE D IS NOT NULL AND UPPER(I) = 'PRODUKSI'"", 1), ""Data PRODUKSI belum ditemukan"")"),46357.0)</f>
        <v>46357</v>
      </c>
      <c r="B1" s="2" t="str">
        <f>IFERROR(__xludf.DUMMYFUNCTION("""COMPUTED_VALUE"""),"TRSF E-BANKING DB")</f>
        <v>TRSF E-BANKING DB</v>
      </c>
      <c r="C1" s="2" t="str">
        <f>IFERROR(__xludf.DUMMYFUNCTION("""COMPUTED_VALUE"""),"0112/FTSCY/WS95271 1350000.00 HERMAWAN")</f>
        <v>0112/FTSCY/WS95271 1350000.00 HERMAWAN</v>
      </c>
      <c r="D1" s="2">
        <f>IFERROR(__xludf.DUMMYFUNCTION("""COMPUTED_VALUE"""),1350000.0)</f>
        <v>1350000</v>
      </c>
      <c r="E1" s="2"/>
      <c r="F1" s="2" t="str">
        <f>IFERROR(__xludf.DUMMYFUNCTION("""COMPUTED_VALUE"""),"DB")</f>
        <v>DB</v>
      </c>
      <c r="G1" s="2">
        <f>IFERROR(__xludf.DUMMYFUNCTION("""COMPUTED_VALUE"""),3.1386210949999988E7)</f>
        <v>31386210.95</v>
      </c>
      <c r="H1" s="2"/>
      <c r="I1" s="2" t="str">
        <f>IFERROR(__xludf.DUMMYFUNCTION("""COMPUTED_VALUE"""),"PRODUKSI")</f>
        <v>PRODUKSI</v>
      </c>
      <c r="J1" s="2">
        <f>SUM(D1:D1000) </f>
        <v>4446534430</v>
      </c>
    </row>
    <row r="2">
      <c r="A2" s="7">
        <f>IFERROR(__xludf.DUMMYFUNCTION("""COMPUTED_VALUE"""),46357.0)</f>
        <v>46357</v>
      </c>
      <c r="B2" s="2" t="str">
        <f>IFERROR(__xludf.DUMMYFUNCTION("""COMPUTED_VALUE"""),"TRSF E-BANKING DB")</f>
        <v>TRSF E-BANKING DB</v>
      </c>
      <c r="C2" s="2" t="str">
        <f>IFERROR(__xludf.DUMMYFUNCTION("""COMPUTED_VALUE"""),"0112/FTSCY/WS95271 3884560.00 FAJAR ANDREANZAH")</f>
        <v>0112/FTSCY/WS95271 3884560.00 FAJAR ANDREANZAH</v>
      </c>
      <c r="D2" s="2">
        <f>IFERROR(__xludf.DUMMYFUNCTION("""COMPUTED_VALUE"""),3884560.0)</f>
        <v>3884560</v>
      </c>
      <c r="E2" s="2"/>
      <c r="F2" s="2" t="str">
        <f>IFERROR(__xludf.DUMMYFUNCTION("""COMPUTED_VALUE"""),"DB")</f>
        <v>DB</v>
      </c>
      <c r="G2" s="2">
        <f>IFERROR(__xludf.DUMMYFUNCTION("""COMPUTED_VALUE"""),2.7501650949999988E7)</f>
        <v>27501650.95</v>
      </c>
      <c r="H2" s="2"/>
      <c r="I2" s="2" t="str">
        <f>IFERROR(__xludf.DUMMYFUNCTION("""COMPUTED_VALUE"""),"PRODUKSI")</f>
        <v>PRODUKSI</v>
      </c>
    </row>
    <row r="3">
      <c r="A3" s="7">
        <f>IFERROR(__xludf.DUMMYFUNCTION("""COMPUTED_VALUE"""),46357.0)</f>
        <v>46357</v>
      </c>
      <c r="B3" s="2" t="str">
        <f>IFERROR(__xludf.DUMMYFUNCTION("""COMPUTED_VALUE"""),"BI-FAST DB")</f>
        <v>BI-FAST DB</v>
      </c>
      <c r="C3" s="2" t="str">
        <f>IFERROR(__xludf.DUMMYFUNCTION("""COMPUTED_VALUE"""),"BIF TRANSFER KE 2 DEDY KURNIAWAN MyBCA")</f>
        <v>BIF TRANSFER KE 2 DEDY KURNIAWAN MyBCA</v>
      </c>
      <c r="D3" s="2">
        <f>IFERROR(__xludf.DUMMYFUNCTION("""COMPUTED_VALUE"""),100000.0)</f>
        <v>100000</v>
      </c>
      <c r="E3" s="2"/>
      <c r="F3" s="2" t="str">
        <f>IFERROR(__xludf.DUMMYFUNCTION("""COMPUTED_VALUE"""),"DB")</f>
        <v>DB</v>
      </c>
      <c r="G3" s="2">
        <f>IFERROR(__xludf.DUMMYFUNCTION("""COMPUTED_VALUE"""),1.9753205095E8)</f>
        <v>197532051</v>
      </c>
      <c r="H3" s="2"/>
      <c r="I3" s="2" t="str">
        <f>IFERROR(__xludf.DUMMYFUNCTION("""COMPUTED_VALUE"""),"PRODUKSI")</f>
        <v>PRODUKSI</v>
      </c>
    </row>
    <row r="4">
      <c r="A4" s="7">
        <f>IFERROR(__xludf.DUMMYFUNCTION("""COMPUTED_VALUE"""),46357.0)</f>
        <v>46357</v>
      </c>
      <c r="B4" s="2" t="str">
        <f>IFERROR(__xludf.DUMMYFUNCTION("""COMPUTED_VALUE"""),"BI-FAST DB")</f>
        <v>BI-FAST DB</v>
      </c>
      <c r="C4" s="2" t="str">
        <f>IFERROR(__xludf.DUMMYFUNCTION("""COMPUTED_VALUE"""),"BIF BIAYA TXN KE 2 DEDY KURNIAWAN MyBCA")</f>
        <v>BIF BIAYA TXN KE 2 DEDY KURNIAWAN MyBCA</v>
      </c>
      <c r="D4" s="2">
        <f>IFERROR(__xludf.DUMMYFUNCTION("""COMPUTED_VALUE"""),2500.0)</f>
        <v>2500</v>
      </c>
      <c r="E4" s="2"/>
      <c r="F4" s="2" t="str">
        <f>IFERROR(__xludf.DUMMYFUNCTION("""COMPUTED_VALUE"""),"DB")</f>
        <v>DB</v>
      </c>
      <c r="G4" s="2">
        <f>IFERROR(__xludf.DUMMYFUNCTION("""COMPUTED_VALUE"""),1.9752955095E8)</f>
        <v>197529551</v>
      </c>
      <c r="H4" s="2"/>
      <c r="I4" s="2" t="str">
        <f>IFERROR(__xludf.DUMMYFUNCTION("""COMPUTED_VALUE"""),"PRODUKSI")</f>
        <v>PRODUKSI</v>
      </c>
    </row>
    <row r="5">
      <c r="A5" s="7">
        <f>IFERROR(__xludf.DUMMYFUNCTION("""COMPUTED_VALUE"""),46357.0)</f>
        <v>46357</v>
      </c>
      <c r="B5" s="2" t="str">
        <f>IFERROR(__xludf.DUMMYFUNCTION("""COMPUTED_VALUE"""),"TRSF E-BANKING DB")</f>
        <v>TRSF E-BANKING DB</v>
      </c>
      <c r="C5" s="2" t="str">
        <f>IFERROR(__xludf.DUMMYFUNCTION("""COMPUTED_VALUE"""),"0112/FTFVA/WS95031 55569/PT PRIMA FAJ pelunasan - 40190")</f>
        <v>0112/FTFVA/WS95031 55569/PT PRIMA FAJ pelunasan - 40190</v>
      </c>
      <c r="D5" s="2">
        <f>IFERROR(__xludf.DUMMYFUNCTION("""COMPUTED_VALUE"""),1.338E7)</f>
        <v>13380000</v>
      </c>
      <c r="E5" s="2"/>
      <c r="F5" s="2" t="str">
        <f>IFERROR(__xludf.DUMMYFUNCTION("""COMPUTED_VALUE"""),"DB")</f>
        <v>DB</v>
      </c>
      <c r="G5" s="2">
        <f>IFERROR(__xludf.DUMMYFUNCTION("""COMPUTED_VALUE"""),1.8414955095E8)</f>
        <v>184149551</v>
      </c>
      <c r="H5" s="2"/>
      <c r="I5" s="2" t="str">
        <f>IFERROR(__xludf.DUMMYFUNCTION("""COMPUTED_VALUE"""),"PRODUKSI")</f>
        <v>PRODUKSI</v>
      </c>
    </row>
    <row r="6">
      <c r="A6" s="7">
        <f>IFERROR(__xludf.DUMMYFUNCTION("""COMPUTED_VALUE"""),46357.0)</f>
        <v>46357</v>
      </c>
      <c r="B6" s="2" t="str">
        <f>IFERROR(__xludf.DUMMYFUNCTION("""COMPUTED_VALUE"""),"TRSF E-BANKING DB")</f>
        <v>TRSF E-BANKING DB</v>
      </c>
      <c r="C6" s="2" t="str">
        <f>IFERROR(__xludf.DUMMYFUNCTION("""COMPUTED_VALUE"""),"0112/FTSCY/WS95011 98008800.00 Pelunasan BROILER MAKMUR TAN")</f>
        <v>0112/FTSCY/WS95011 98008800.00 Pelunasan BROILER MAKMUR TAN</v>
      </c>
      <c r="D6" s="2">
        <f>IFERROR(__xludf.DUMMYFUNCTION("""COMPUTED_VALUE"""),9.80088E7)</f>
        <v>98008800</v>
      </c>
      <c r="E6" s="2"/>
      <c r="F6" s="2" t="str">
        <f>IFERROR(__xludf.DUMMYFUNCTION("""COMPUTED_VALUE"""),"DB")</f>
        <v>DB</v>
      </c>
      <c r="G6" s="2">
        <f>IFERROR(__xludf.DUMMYFUNCTION("""COMPUTED_VALUE"""),3.5758223495E8)</f>
        <v>357582235</v>
      </c>
      <c r="H6" s="2">
        <f>IFERROR(__xludf.DUMMYFUNCTION("""COMPUTED_VALUE"""),3.5758223495E8)</f>
        <v>357582235</v>
      </c>
      <c r="I6" s="2" t="str">
        <f>IFERROR(__xludf.DUMMYFUNCTION("""COMPUTED_VALUE"""),"PRODUKSI")</f>
        <v>PRODUKSI</v>
      </c>
    </row>
    <row r="7">
      <c r="A7" s="7">
        <f>IFERROR(__xludf.DUMMYFUNCTION("""COMPUTED_VALUE"""),46357.0)</f>
        <v>46357</v>
      </c>
      <c r="B7" s="2" t="str">
        <f>IFERROR(__xludf.DUMMYFUNCTION("""COMPUTED_VALUE"""),"TRSF E-BANKING DB")</f>
        <v>TRSF E-BANKING DB</v>
      </c>
      <c r="C7" s="2" t="str">
        <f>IFERROR(__xludf.DUMMYFUNCTION("""COMPUTED_VALUE"""),"0112/FTSCY/WS95011 98735440.00 Pelunasan BRANTAS ABADI SENT")</f>
        <v>0112/FTSCY/WS95011 98735440.00 Pelunasan BRANTAS ABADI SENT</v>
      </c>
      <c r="D7" s="2">
        <f>IFERROR(__xludf.DUMMYFUNCTION("""COMPUTED_VALUE"""),9.873544E7)</f>
        <v>98735440</v>
      </c>
      <c r="E7" s="2"/>
      <c r="F7" s="2" t="str">
        <f>IFERROR(__xludf.DUMMYFUNCTION("""COMPUTED_VALUE"""),"DB")</f>
        <v>DB</v>
      </c>
      <c r="G7" s="2">
        <f>IFERROR(__xludf.DUMMYFUNCTION("""COMPUTED_VALUE"""),2.5884679495E8)</f>
        <v>258846795</v>
      </c>
      <c r="H7" s="2">
        <f>IFERROR(__xludf.DUMMYFUNCTION("""COMPUTED_VALUE"""),2.5884679495E8)</f>
        <v>258846795</v>
      </c>
      <c r="I7" s="2" t="str">
        <f>IFERROR(__xludf.DUMMYFUNCTION("""COMPUTED_VALUE"""),"PRODUKSI")</f>
        <v>PRODUKSI</v>
      </c>
    </row>
    <row r="8">
      <c r="A8" s="7">
        <f>IFERROR(__xludf.DUMMYFUNCTION("""COMPUTED_VALUE"""),46357.0)</f>
        <v>46357</v>
      </c>
      <c r="B8" s="2" t="str">
        <f>IFERROR(__xludf.DUMMYFUNCTION("""COMPUTED_VALUE"""),"TRSF E-BANKING DB")</f>
        <v>TRSF E-BANKING DB</v>
      </c>
      <c r="C8" s="2" t="str">
        <f>IFERROR(__xludf.DUMMYFUNCTION("""COMPUTED_VALUE"""),"0112/FTSCY/WS95011 58760680.00 30/11 tuban PITIK DIGITAL INDO")</f>
        <v>0112/FTSCY/WS95011 58760680.00 30/11 tuban PITIK DIGITAL INDO</v>
      </c>
      <c r="D8" s="2">
        <f>IFERROR(__xludf.DUMMYFUNCTION("""COMPUTED_VALUE"""),5.876068E7)</f>
        <v>58760680</v>
      </c>
      <c r="E8" s="2"/>
      <c r="F8" s="2" t="str">
        <f>IFERROR(__xludf.DUMMYFUNCTION("""COMPUTED_VALUE"""),"DB")</f>
        <v>DB</v>
      </c>
      <c r="G8" s="2">
        <f>IFERROR(__xludf.DUMMYFUNCTION("""COMPUTED_VALUE"""),2.0008611495E8)</f>
        <v>200086115</v>
      </c>
      <c r="H8" s="2"/>
      <c r="I8" s="2" t="str">
        <f>IFERROR(__xludf.DUMMYFUNCTION("""COMPUTED_VALUE"""),"PRODUKSI")</f>
        <v>PRODUKSI</v>
      </c>
    </row>
    <row r="9">
      <c r="A9" s="7">
        <f>IFERROR(__xludf.DUMMYFUNCTION("""COMPUTED_VALUE"""),46357.0)</f>
        <v>46357</v>
      </c>
      <c r="B9" s="2" t="str">
        <f>IFERROR(__xludf.DUMMYFUNCTION("""COMPUTED_VALUE"""),"TRSF E-BANKING DB")</f>
        <v>TRSF E-BANKING DB</v>
      </c>
      <c r="C9" s="2" t="str">
        <f>IFERROR(__xludf.DUMMYFUNCTION("""COMPUTED_VALUE"""),"0112/FTSCY/WS95011 49500000.00 Mon Nov 30 2026 15:00:00 GMT+0700 (Western Indonesia Time) INTEGRASI TEKNOLOG")</f>
        <v>0112/FTSCY/WS95011 49500000.00 Mon Nov 30 2026 15:00:00 GMT+0700 (Western Indonesia Time) INTEGRASI TEKNOLOG</v>
      </c>
      <c r="D9" s="2">
        <f>IFERROR(__xludf.DUMMYFUNCTION("""COMPUTED_VALUE"""),4.95E7)</f>
        <v>49500000</v>
      </c>
      <c r="E9" s="2"/>
      <c r="F9" s="2" t="str">
        <f>IFERROR(__xludf.DUMMYFUNCTION("""COMPUTED_VALUE"""),"DB")</f>
        <v>DB</v>
      </c>
      <c r="G9" s="2">
        <f>IFERROR(__xludf.DUMMYFUNCTION("""COMPUTED_VALUE"""),1.5058611495E8)</f>
        <v>150586115</v>
      </c>
      <c r="H9" s="2"/>
      <c r="I9" s="2" t="str">
        <f>IFERROR(__xludf.DUMMYFUNCTION("""COMPUTED_VALUE"""),"PRODUKSI")</f>
        <v>PRODUKSI</v>
      </c>
    </row>
    <row r="10">
      <c r="A10" s="7">
        <f>IFERROR(__xludf.DUMMYFUNCTION("""COMPUTED_VALUE"""),46357.0)</f>
        <v>46357</v>
      </c>
      <c r="B10" s="2" t="str">
        <f>IFERROR(__xludf.DUMMYFUNCTION("""COMPUTED_VALUE"""),"TRSF E-BANKING DB")</f>
        <v>TRSF E-BANKING DB</v>
      </c>
      <c r="C10" s="2" t="str">
        <f>IFERROR(__xludf.DUMMYFUNCTION("""COMPUTED_VALUE"""),"0112/FTSCY/WS95011 49500000.00 Titip BERLIAN UNGGUL JAY")</f>
        <v>0112/FTSCY/WS95011 49500000.00 Titip BERLIAN UNGGUL JAY</v>
      </c>
      <c r="D10" s="2">
        <f>IFERROR(__xludf.DUMMYFUNCTION("""COMPUTED_VALUE"""),4.95E7)</f>
        <v>49500000</v>
      </c>
      <c r="E10" s="2"/>
      <c r="F10" s="2" t="str">
        <f>IFERROR(__xludf.DUMMYFUNCTION("""COMPUTED_VALUE"""),"DB")</f>
        <v>DB</v>
      </c>
      <c r="G10" s="2">
        <f>IFERROR(__xludf.DUMMYFUNCTION("""COMPUTED_VALUE"""),1.0108611494999999E8)</f>
        <v>101086115</v>
      </c>
      <c r="H10" s="2"/>
      <c r="I10" s="2" t="str">
        <f>IFERROR(__xludf.DUMMYFUNCTION("""COMPUTED_VALUE"""),"PRODUKSI")</f>
        <v>PRODUKSI</v>
      </c>
    </row>
    <row r="11">
      <c r="A11" s="7">
        <f>IFERROR(__xludf.DUMMYFUNCTION("""COMPUTED_VALUE"""),46357.0)</f>
        <v>46357</v>
      </c>
      <c r="B11" s="2" t="str">
        <f>IFERROR(__xludf.DUMMYFUNCTION("""COMPUTED_VALUE"""),"TRSF E-BANKING DB")</f>
        <v>TRSF E-BANKING DB</v>
      </c>
      <c r="C11" s="2" t="str">
        <f>IFERROR(__xludf.DUMMYFUNCTION("""COMPUTED_VALUE"""),"0112/FTSCY/WS95011 50013150.00 Mon Nov 30 2026 15:00:00 GMT+0700 (Western Indonesia Time) TERNAK SEJATI TABA")</f>
        <v>0112/FTSCY/WS95011 50013150.00 Mon Nov 30 2026 15:00:00 GMT+0700 (Western Indonesia Time) TERNAK SEJATI TABA</v>
      </c>
      <c r="D11" s="2">
        <f>IFERROR(__xludf.DUMMYFUNCTION("""COMPUTED_VALUE"""),5.001315E7)</f>
        <v>50013150</v>
      </c>
      <c r="E11" s="2"/>
      <c r="F11" s="2" t="str">
        <f>IFERROR(__xludf.DUMMYFUNCTION("""COMPUTED_VALUE"""),"DB")</f>
        <v>DB</v>
      </c>
      <c r="G11" s="2">
        <f>IFERROR(__xludf.DUMMYFUNCTION("""COMPUTED_VALUE"""),5.107296494999999E7)</f>
        <v>51072964.95</v>
      </c>
      <c r="H11" s="2"/>
      <c r="I11" s="2" t="str">
        <f>IFERROR(__xludf.DUMMYFUNCTION("""COMPUTED_VALUE"""),"PRODUKSI")</f>
        <v>PRODUKSI</v>
      </c>
    </row>
    <row r="12">
      <c r="A12" s="7">
        <f>IFERROR(__xludf.DUMMYFUNCTION("""COMPUTED_VALUE"""),46357.0)</f>
        <v>46357</v>
      </c>
      <c r="B12" s="2" t="str">
        <f>IFERROR(__xludf.DUMMYFUNCTION("""COMPUTED_VALUE"""),"TRSF E-BANKING DB")</f>
        <v>TRSF E-BANKING DB</v>
      </c>
      <c r="C12" s="2" t="str">
        <f>IFERROR(__xludf.DUMMYFUNCTION("""COMPUTED_VALUE"""),"0112/FTSCY/WS95011 49871200.00 Mon Nov 30 2026 15:00:00 GMT+0700 (Western Indonesia Time) PT BERLIAN INDOMIT")</f>
        <v>0112/FTSCY/WS95011 49871200.00 Mon Nov 30 2026 15:00:00 GMT+0700 (Western Indonesia Time) PT BERLIAN INDOMIT</v>
      </c>
      <c r="D12" s="2">
        <f>IFERROR(__xludf.DUMMYFUNCTION("""COMPUTED_VALUE"""),4.98712E7)</f>
        <v>49871200</v>
      </c>
      <c r="E12" s="2"/>
      <c r="F12" s="2" t="str">
        <f>IFERROR(__xludf.DUMMYFUNCTION("""COMPUTED_VALUE"""),"DB")</f>
        <v>DB</v>
      </c>
      <c r="G12" s="2">
        <f>IFERROR(__xludf.DUMMYFUNCTION("""COMPUTED_VALUE"""),1201764.949999988)</f>
        <v>1201764.95</v>
      </c>
      <c r="H12" s="2"/>
      <c r="I12" s="2" t="str">
        <f>IFERROR(__xludf.DUMMYFUNCTION("""COMPUTED_VALUE"""),"PRODUKSI")</f>
        <v>PRODUKSI</v>
      </c>
    </row>
    <row r="13">
      <c r="A13" s="7">
        <f>IFERROR(__xludf.DUMMYFUNCTION("""COMPUTED_VALUE"""),46357.0)</f>
        <v>46357</v>
      </c>
      <c r="B13" s="2" t="str">
        <f>IFERROR(__xludf.DUMMYFUNCTION("""COMPUTED_VALUE"""),"TRSF E-BANKING DB")</f>
        <v>TRSF E-BANKING DB</v>
      </c>
      <c r="C13" s="2" t="str">
        <f>IFERROR(__xludf.DUMMYFUNCTION("""COMPUTED_VALUE"""),"0112/FTSCY/WS95271 1150000.00 MUHAMMAD HAIRUL MA")</f>
        <v>0112/FTSCY/WS95271 1150000.00 MUHAMMAD HAIRUL MA</v>
      </c>
      <c r="D13" s="2">
        <f>IFERROR(__xludf.DUMMYFUNCTION("""COMPUTED_VALUE"""),1150000.0)</f>
        <v>1150000</v>
      </c>
      <c r="E13" s="2"/>
      <c r="F13" s="2" t="str">
        <f>IFERROR(__xludf.DUMMYFUNCTION("""COMPUTED_VALUE"""),"DB")</f>
        <v>DB</v>
      </c>
      <c r="G13" s="2">
        <f>IFERROR(__xludf.DUMMYFUNCTION("""COMPUTED_VALUE"""),51764.94999998808)</f>
        <v>51764.95</v>
      </c>
      <c r="H13" s="2"/>
      <c r="I13" s="2" t="str">
        <f>IFERROR(__xludf.DUMMYFUNCTION("""COMPUTED_VALUE"""),"PRODUKSI")</f>
        <v>PRODUKSI</v>
      </c>
    </row>
    <row r="14">
      <c r="A14" s="7">
        <f>IFERROR(__xludf.DUMMYFUNCTION("""COMPUTED_VALUE"""),46358.0)</f>
        <v>46358</v>
      </c>
      <c r="B14" s="2" t="str">
        <f>IFERROR(__xludf.DUMMYFUNCTION("""COMPUTED_VALUE"""),"TRSF E-BANKING DB")</f>
        <v>TRSF E-BANKING DB</v>
      </c>
      <c r="C14" s="2" t="str">
        <f>IFERROR(__xludf.DUMMYFUNCTION("""COMPUTED_VALUE"""),"0212/FTSCY/WS95271 72906840.00 Mon Nov 30 2026 15:00:00 GMT+0700 (Western Indonesia Time) ANDALAN YASA MITRA")</f>
        <v>0212/FTSCY/WS95271 72906840.00 Mon Nov 30 2026 15:00:00 GMT+0700 (Western Indonesia Time) ANDALAN YASA MITRA</v>
      </c>
      <c r="D14" s="2">
        <f>IFERROR(__xludf.DUMMYFUNCTION("""COMPUTED_VALUE"""),7.290684E7)</f>
        <v>72906840</v>
      </c>
      <c r="E14" s="2"/>
      <c r="F14" s="2" t="str">
        <f>IFERROR(__xludf.DUMMYFUNCTION("""COMPUTED_VALUE"""),"DB")</f>
        <v>DB</v>
      </c>
      <c r="G14" s="2">
        <f>IFERROR(__xludf.DUMMYFUNCTION("""COMPUTED_VALUE"""),476384.9499999881)</f>
        <v>476384.95</v>
      </c>
      <c r="H14" s="2"/>
      <c r="I14" s="2" t="str">
        <f>IFERROR(__xludf.DUMMYFUNCTION("""COMPUTED_VALUE"""),"PRODUKSI")</f>
        <v>PRODUKSI</v>
      </c>
    </row>
    <row r="15">
      <c r="A15" s="7">
        <f>IFERROR(__xludf.DUMMYFUNCTION("""COMPUTED_VALUE"""),46358.0)</f>
        <v>46358</v>
      </c>
      <c r="B15" s="2" t="str">
        <f>IFERROR(__xludf.DUMMYFUNCTION("""COMPUTED_VALUE"""),"BI-FAST DB")</f>
        <v>BI-FAST DB</v>
      </c>
      <c r="C15" s="2" t="str">
        <f>IFERROR(__xludf.DUMMYFUNCTION("""COMPUTED_VALUE"""),"BIF TRANSFER KE 8 HARIS HAMDANI MyBCA")</f>
        <v>BIF TRANSFER KE 8 HARIS HAMDANI MyBCA</v>
      </c>
      <c r="D15" s="2">
        <f>IFERROR(__xludf.DUMMYFUNCTION("""COMPUTED_VALUE"""),4.5E7)</f>
        <v>45000000</v>
      </c>
      <c r="E15" s="2"/>
      <c r="F15" s="2" t="str">
        <f>IFERROR(__xludf.DUMMYFUNCTION("""COMPUTED_VALUE"""),"DB")</f>
        <v>DB</v>
      </c>
      <c r="G15" s="2">
        <f>IFERROR(__xludf.DUMMYFUNCTION("""COMPUTED_VALUE"""),4.1818851395E8)</f>
        <v>418188514</v>
      </c>
      <c r="H15" s="2"/>
      <c r="I15" s="2" t="str">
        <f>IFERROR(__xludf.DUMMYFUNCTION("""COMPUTED_VALUE"""),"PRODUKSI")</f>
        <v>PRODUKSI</v>
      </c>
    </row>
    <row r="16">
      <c r="A16" s="7">
        <f>IFERROR(__xludf.DUMMYFUNCTION("""COMPUTED_VALUE"""),46358.0)</f>
        <v>46358</v>
      </c>
      <c r="B16" s="2" t="str">
        <f>IFERROR(__xludf.DUMMYFUNCTION("""COMPUTED_VALUE"""),"KARTU DEBIT")</f>
        <v>KARTU DEBIT</v>
      </c>
      <c r="C16" s="2" t="str">
        <f>IFERROR(__xludf.DUMMYFUNCTION("""COMPUTED_VALUE"""),"JADI FASHION TOKO 6019009510239343")</f>
        <v>JADI FASHION TOKO 6019009510239343</v>
      </c>
      <c r="D16" s="2">
        <f>IFERROR(__xludf.DUMMYFUNCTION("""COMPUTED_VALUE"""),346000.0)</f>
        <v>346000</v>
      </c>
      <c r="E16" s="2"/>
      <c r="F16" s="2"/>
      <c r="G16" s="2">
        <f>IFERROR(__xludf.DUMMYFUNCTION("""COMPUTED_VALUE"""),3.2685201395E8)</f>
        <v>326852014</v>
      </c>
      <c r="H16" s="2"/>
      <c r="I16" s="2" t="str">
        <f>IFERROR(__xludf.DUMMYFUNCTION("""COMPUTED_VALUE"""),"PRODUKSI")</f>
        <v>PRODUKSI</v>
      </c>
    </row>
    <row r="17">
      <c r="A17" s="7">
        <f>IFERROR(__xludf.DUMMYFUNCTION("""COMPUTED_VALUE"""),46358.0)</f>
        <v>46358</v>
      </c>
      <c r="B17" s="2" t="str">
        <f>IFERROR(__xludf.DUMMYFUNCTION("""COMPUTED_VALUE"""),"KARTU DEBIT")</f>
        <v>KARTU DEBIT</v>
      </c>
      <c r="C17" s="2" t="str">
        <f>IFERROR(__xludf.DUMMYFUNCTION("""COMPUTED_VALUE"""),"JADI FASHION TOKO 6019009510239343")</f>
        <v>JADI FASHION TOKO 6019009510239343</v>
      </c>
      <c r="D17" s="2">
        <f>IFERROR(__xludf.DUMMYFUNCTION("""COMPUTED_VALUE"""),208000.0)</f>
        <v>208000</v>
      </c>
      <c r="E17" s="2"/>
      <c r="F17" s="2"/>
      <c r="G17" s="2">
        <f>IFERROR(__xludf.DUMMYFUNCTION("""COMPUTED_VALUE"""),3.2664401395E8)</f>
        <v>326644014</v>
      </c>
      <c r="H17" s="2"/>
      <c r="I17" s="2" t="str">
        <f>IFERROR(__xludf.DUMMYFUNCTION("""COMPUTED_VALUE"""),"PRODUKSI")</f>
        <v>PRODUKSI</v>
      </c>
    </row>
    <row r="18">
      <c r="A18" s="7">
        <f>IFERROR(__xludf.DUMMYFUNCTION("""COMPUTED_VALUE"""),46358.0)</f>
        <v>46358</v>
      </c>
      <c r="B18" s="2" t="str">
        <f>IFERROR(__xludf.DUMMYFUNCTION("""COMPUTED_VALUE"""),"TRSF E-BANKING DB")</f>
        <v>TRSF E-BANKING DB</v>
      </c>
      <c r="C18" s="2" t="str">
        <f>IFERROR(__xludf.DUMMYFUNCTION("""COMPUTED_VALUE"""),"0212/FTSCY/WS95011 102303300.00 Mon Nov 30 2026 15:00:00 GMT+0700 (Western Indonesia Time) RUKUN MITRA BERSAM")</f>
        <v>0212/FTSCY/WS95011 102303300.00 Mon Nov 30 2026 15:00:00 GMT+0700 (Western Indonesia Time) RUKUN MITRA BERSAM</v>
      </c>
      <c r="D18" s="2">
        <f>IFERROR(__xludf.DUMMYFUNCTION("""COMPUTED_VALUE"""),1.023033E8)</f>
        <v>102303300</v>
      </c>
      <c r="E18" s="2"/>
      <c r="F18" s="2" t="str">
        <f>IFERROR(__xludf.DUMMYFUNCTION("""COMPUTED_VALUE"""),"DB")</f>
        <v>DB</v>
      </c>
      <c r="G18" s="2">
        <f>IFERROR(__xludf.DUMMYFUNCTION("""COMPUTED_VALUE"""),2.2030096395E8)</f>
        <v>220300964</v>
      </c>
      <c r="H18" s="2"/>
      <c r="I18" s="2" t="str">
        <f>IFERROR(__xludf.DUMMYFUNCTION("""COMPUTED_VALUE"""),"PRODUKSI")</f>
        <v>PRODUKSI</v>
      </c>
    </row>
    <row r="19">
      <c r="A19" s="7">
        <f>IFERROR(__xludf.DUMMYFUNCTION("""COMPUTED_VALUE"""),46358.0)</f>
        <v>46358</v>
      </c>
      <c r="B19" s="2" t="str">
        <f>IFERROR(__xludf.DUMMYFUNCTION("""COMPUTED_VALUE"""),"TRSF E-BANKING DB")</f>
        <v>TRSF E-BANKING DB</v>
      </c>
      <c r="C19" s="2" t="str">
        <f>IFERROR(__xludf.DUMMYFUNCTION("""COMPUTED_VALUE"""),"0212/FTSCY/WS95271 11471000.00 MUHAMMAD HAIRUL MA")</f>
        <v>0212/FTSCY/WS95271 11471000.00 MUHAMMAD HAIRUL MA</v>
      </c>
      <c r="D19" s="2">
        <f>IFERROR(__xludf.DUMMYFUNCTION("""COMPUTED_VALUE"""),1.1471E7)</f>
        <v>11471000</v>
      </c>
      <c r="E19" s="2"/>
      <c r="F19" s="2" t="str">
        <f>IFERROR(__xludf.DUMMYFUNCTION("""COMPUTED_VALUE"""),"DB")</f>
        <v>DB</v>
      </c>
      <c r="G19" s="2">
        <f>IFERROR(__xludf.DUMMYFUNCTION("""COMPUTED_VALUE"""),50763.94999998808)</f>
        <v>50763.95</v>
      </c>
      <c r="H19" s="2">
        <f>IFERROR(__xludf.DUMMYFUNCTION("""COMPUTED_VALUE"""),50763.95)</f>
        <v>50763.95</v>
      </c>
      <c r="I19" s="2" t="str">
        <f>IFERROR(__xludf.DUMMYFUNCTION("""COMPUTED_VALUE"""),"PRODUKSI")</f>
        <v>PRODUKSI</v>
      </c>
    </row>
    <row r="20">
      <c r="A20" s="7">
        <f>IFERROR(__xludf.DUMMYFUNCTION("""COMPUTED_VALUE"""),46360.0)</f>
        <v>46360</v>
      </c>
      <c r="B20" s="2" t="str">
        <f>IFERROR(__xludf.DUMMYFUNCTION("""COMPUTED_VALUE"""),"TRSF E-BANKING DB TANGGAL :03/12")</f>
        <v>TRSF E-BANKING DB TANGGAL :03/12</v>
      </c>
      <c r="C20" s="2" t="str">
        <f>IFERROR(__xludf.DUMMYFUNCTION("""COMPUTED_VALUE"""),"0312/FTSCY/WS95011 Mon Nov 30 2026 15:00:00 GMT+0700 (Western Indonesia Time) BROILER MAKMUR TAN")</f>
        <v>0312/FTSCY/WS95011 Mon Nov 30 2026 15:00:00 GMT+0700 (Western Indonesia Time) BROILER MAKMUR TAN</v>
      </c>
      <c r="D20" s="2">
        <f>IFERROR(__xludf.DUMMYFUNCTION("""COMPUTED_VALUE"""),1.455E8)</f>
        <v>145500000</v>
      </c>
      <c r="E20" s="2"/>
      <c r="F20" s="2" t="str">
        <f>IFERROR(__xludf.DUMMYFUNCTION("""COMPUTED_VALUE"""),"DB")</f>
        <v>DB</v>
      </c>
      <c r="G20" s="2">
        <f>IFERROR(__xludf.DUMMYFUNCTION("""COMPUTED_VALUE"""),5.2425214395000005E8)</f>
        <v>524252144</v>
      </c>
      <c r="H20" s="2"/>
      <c r="I20" s="2" t="str">
        <f>IFERROR(__xludf.DUMMYFUNCTION("""COMPUTED_VALUE"""),"PRODUKSI")</f>
        <v>PRODUKSI</v>
      </c>
    </row>
    <row r="21">
      <c r="A21" s="7">
        <f>IFERROR(__xludf.DUMMYFUNCTION("""COMPUTED_VALUE"""),46360.0)</f>
        <v>46360</v>
      </c>
      <c r="B21" s="2" t="str">
        <f>IFERROR(__xludf.DUMMYFUNCTION("""COMPUTED_VALUE"""),"TRSF E-BANKING DB TANGGAL :03/12")</f>
        <v>TRSF E-BANKING DB TANGGAL :03/12</v>
      </c>
      <c r="C21" s="2" t="str">
        <f>IFERROR(__xludf.DUMMYFUNCTION("""COMPUTED_VALUE"""),"0312/FTSCY/WS95011 Tue Dec 01 2026 15:00:00 GMT+0700 (Western Indonesia Time) RUKUN MITRA BERSAM")</f>
        <v>0312/FTSCY/WS95011 Tue Dec 01 2026 15:00:00 GMT+0700 (Western Indonesia Time) RUKUN MITRA BERSAM</v>
      </c>
      <c r="D21" s="2">
        <f>IFERROR(__xludf.DUMMYFUNCTION("""COMPUTED_VALUE"""),1.55278E8)</f>
        <v>155278000</v>
      </c>
      <c r="E21" s="2"/>
      <c r="F21" s="2" t="str">
        <f>IFERROR(__xludf.DUMMYFUNCTION("""COMPUTED_VALUE"""),"DB")</f>
        <v>DB</v>
      </c>
      <c r="G21" s="2">
        <f>IFERROR(__xludf.DUMMYFUNCTION("""COMPUTED_VALUE"""),3.6897414395000005E8)</f>
        <v>368974144</v>
      </c>
      <c r="H21" s="2"/>
      <c r="I21" s="2" t="str">
        <f>IFERROR(__xludf.DUMMYFUNCTION("""COMPUTED_VALUE"""),"PRODUKSI")</f>
        <v>PRODUKSI</v>
      </c>
    </row>
    <row r="22">
      <c r="A22" s="7">
        <f>IFERROR(__xludf.DUMMYFUNCTION("""COMPUTED_VALUE"""),46360.0)</f>
        <v>46360</v>
      </c>
      <c r="B22" s="2" t="str">
        <f>IFERROR(__xludf.DUMMYFUNCTION("""COMPUTED_VALUE"""),"TRSF E-BANKING DB TANGGAL :03/12")</f>
        <v>TRSF E-BANKING DB TANGGAL :03/12</v>
      </c>
      <c r="C22" s="2" t="str">
        <f>IFERROR(__xludf.DUMMYFUNCTION("""COMPUTED_VALUE"""),"0312/FTSCY/WS95011 Tue Dec 01 2026 15:00:00 GMT+0700 (Western Indonesia Time) PITIK DIGITAL INDO")</f>
        <v>0312/FTSCY/WS95011 Tue Dec 01 2026 15:00:00 GMT+0700 (Western Indonesia Time) PITIK DIGITAL INDO</v>
      </c>
      <c r="D22" s="2">
        <f>IFERROR(__xludf.DUMMYFUNCTION("""COMPUTED_VALUE"""),6.34848E7)</f>
        <v>63484800</v>
      </c>
      <c r="E22" s="2"/>
      <c r="F22" s="2" t="str">
        <f>IFERROR(__xludf.DUMMYFUNCTION("""COMPUTED_VALUE"""),"DB")</f>
        <v>DB</v>
      </c>
      <c r="G22" s="2">
        <f>IFERROR(__xludf.DUMMYFUNCTION("""COMPUTED_VALUE"""),3.0548934395000005E8)</f>
        <v>305489344</v>
      </c>
      <c r="H22" s="2"/>
      <c r="I22" s="2" t="str">
        <f>IFERROR(__xludf.DUMMYFUNCTION("""COMPUTED_VALUE"""),"PRODUKSI")</f>
        <v>PRODUKSI</v>
      </c>
    </row>
    <row r="23">
      <c r="A23" s="7">
        <f>IFERROR(__xludf.DUMMYFUNCTION("""COMPUTED_VALUE"""),46360.0)</f>
        <v>46360</v>
      </c>
      <c r="B23" s="2" t="str">
        <f>IFERROR(__xludf.DUMMYFUNCTION("""COMPUTED_VALUE"""),"TRSF E-BANKING DB TANGGAL :03/12")</f>
        <v>TRSF E-BANKING DB TANGGAL :03/12</v>
      </c>
      <c r="C23" s="2" t="str">
        <f>IFERROR(__xludf.DUMMYFUNCTION("""COMPUTED_VALUE"""),"0312/FTSCY/WS95011 Tue Dec 01 2026 15:00:00 GMT+0700 (Western Indonesia Time) BINTANG TAMA SANTO")</f>
        <v>0312/FTSCY/WS95011 Tue Dec 01 2026 15:00:00 GMT+0700 (Western Indonesia Time) BINTANG TAMA SANTO</v>
      </c>
      <c r="D23" s="2">
        <f>IFERROR(__xludf.DUMMYFUNCTION("""COMPUTED_VALUE"""),5.847338E7)</f>
        <v>58473380</v>
      </c>
      <c r="E23" s="2"/>
      <c r="F23" s="2" t="str">
        <f>IFERROR(__xludf.DUMMYFUNCTION("""COMPUTED_VALUE"""),"DB")</f>
        <v>DB</v>
      </c>
      <c r="G23" s="2">
        <f>IFERROR(__xludf.DUMMYFUNCTION("""COMPUTED_VALUE"""),2.4701596395000005E8)</f>
        <v>247015964</v>
      </c>
      <c r="H23" s="2"/>
      <c r="I23" s="2" t="str">
        <f>IFERROR(__xludf.DUMMYFUNCTION("""COMPUTED_VALUE"""),"PRODUKSI")</f>
        <v>PRODUKSI</v>
      </c>
    </row>
    <row r="24">
      <c r="A24" s="7">
        <f>IFERROR(__xludf.DUMMYFUNCTION("""COMPUTED_VALUE"""),46360.0)</f>
        <v>46360</v>
      </c>
      <c r="B24" s="2" t="str">
        <f>IFERROR(__xludf.DUMMYFUNCTION("""COMPUTED_VALUE"""),"TRSF E-BANKING DB TANGGAL :03/12")</f>
        <v>TRSF E-BANKING DB TANGGAL :03/12</v>
      </c>
      <c r="C24" s="2" t="str">
        <f>IFERROR(__xludf.DUMMYFUNCTION("""COMPUTED_VALUE"""),"0312/FTSCY/WS95271 Tue Dec 01 2026 15:00:00 GMT+0700 (Western Indonesia Time) ANDALAN YASA MITRA")</f>
        <v>0312/FTSCY/WS95271 Tue Dec 01 2026 15:00:00 GMT+0700 (Western Indonesia Time) ANDALAN YASA MITRA</v>
      </c>
      <c r="D24" s="2">
        <f>IFERROR(__xludf.DUMMYFUNCTION("""COMPUTED_VALUE"""),6.38945E7)</f>
        <v>63894500</v>
      </c>
      <c r="E24" s="2"/>
      <c r="F24" s="2" t="str">
        <f>IFERROR(__xludf.DUMMYFUNCTION("""COMPUTED_VALUE"""),"DB")</f>
        <v>DB</v>
      </c>
      <c r="G24" s="2">
        <f>IFERROR(__xludf.DUMMYFUNCTION("""COMPUTED_VALUE"""),1.2605358395000005E8)</f>
        <v>126053584</v>
      </c>
      <c r="H24" s="2"/>
      <c r="I24" s="2" t="str">
        <f>IFERROR(__xludf.DUMMYFUNCTION("""COMPUTED_VALUE"""),"PRODUKSI")</f>
        <v>PRODUKSI</v>
      </c>
    </row>
    <row r="25">
      <c r="A25" s="7">
        <f>IFERROR(__xludf.DUMMYFUNCTION("""COMPUTED_VALUE"""),46360.0)</f>
        <v>46360</v>
      </c>
      <c r="B25" s="2" t="str">
        <f>IFERROR(__xludf.DUMMYFUNCTION("""COMPUTED_VALUE"""),"TRSF E-BANKING DB TANGGAL :03/12")</f>
        <v>TRSF E-BANKING DB TANGGAL :03/12</v>
      </c>
      <c r="C25" s="2" t="str">
        <f>IFERROR(__xludf.DUMMYFUNCTION("""COMPUTED_VALUE"""),"0312/FTSCY/WS95031 Sun Nov 01 2026 14:00:00 GMT+0700 (Western Indonesia Time) SUPER UNGGAS JAYA")</f>
        <v>0312/FTSCY/WS95031 Sun Nov 01 2026 14:00:00 GMT+0700 (Western Indonesia Time) SUPER UNGGAS JAYA</v>
      </c>
      <c r="D25" s="2">
        <f>IFERROR(__xludf.DUMMYFUNCTION("""COMPUTED_VALUE"""),5.96819E7)</f>
        <v>59681900</v>
      </c>
      <c r="E25" s="2"/>
      <c r="F25" s="2" t="str">
        <f>IFERROR(__xludf.DUMMYFUNCTION("""COMPUTED_VALUE"""),"DB")</f>
        <v>DB</v>
      </c>
      <c r="G25" s="2">
        <f>IFERROR(__xludf.DUMMYFUNCTION("""COMPUTED_VALUE"""),1371683.9500000477)</f>
        <v>1371683.95</v>
      </c>
      <c r="H25" s="2">
        <f>IFERROR(__xludf.DUMMYFUNCTION("""COMPUTED_VALUE"""),1371683.95)</f>
        <v>1371683.95</v>
      </c>
      <c r="I25" s="2" t="str">
        <f>IFERROR(__xludf.DUMMYFUNCTION("""COMPUTED_VALUE"""),"PRODUKSI")</f>
        <v>PRODUKSI</v>
      </c>
    </row>
    <row r="26">
      <c r="A26" s="7">
        <f>IFERROR(__xludf.DUMMYFUNCTION("""COMPUTED_VALUE"""),46360.0)</f>
        <v>46360</v>
      </c>
      <c r="B26" s="2" t="str">
        <f>IFERROR(__xludf.DUMMYFUNCTION("""COMPUTED_VALUE"""),"KARTU DEBIT")</f>
        <v>KARTU DEBIT</v>
      </c>
      <c r="C26" s="2" t="str">
        <f>IFERROR(__xludf.DUMMYFUNCTION("""COMPUTED_VALUE"""),"ALFAMRT Y207 BRTN 6019009510239343")</f>
        <v>ALFAMRT Y207 BRTN 6019009510239343</v>
      </c>
      <c r="D26" s="2">
        <f>IFERROR(__xludf.DUMMYFUNCTION("""COMPUTED_VALUE"""),225700.0)</f>
        <v>225700</v>
      </c>
      <c r="E26" s="2"/>
      <c r="F26" s="2"/>
      <c r="G26" s="2">
        <f>IFERROR(__xludf.DUMMYFUNCTION("""COMPUTED_VALUE"""),1145983.9500000477)</f>
        <v>1145983.95</v>
      </c>
      <c r="H26" s="2">
        <f>IFERROR(__xludf.DUMMYFUNCTION("""COMPUTED_VALUE"""),1145983.95)</f>
        <v>1145983.95</v>
      </c>
      <c r="I26" s="2" t="str">
        <f>IFERROR(__xludf.DUMMYFUNCTION("""COMPUTED_VALUE"""),"PRODUKSI")</f>
        <v>PRODUKSI</v>
      </c>
    </row>
    <row r="27">
      <c r="A27" s="7">
        <f>IFERROR(__xludf.DUMMYFUNCTION("""COMPUTED_VALUE"""),46360.0)</f>
        <v>46360</v>
      </c>
      <c r="B27" s="2" t="str">
        <f>IFERROR(__xludf.DUMMYFUNCTION("""COMPUTED_VALUE"""),"TRSF E-BANKING DB")</f>
        <v>TRSF E-BANKING DB</v>
      </c>
      <c r="C27" s="2" t="str">
        <f>IFERROR(__xludf.DUMMYFUNCTION("""COMPUTED_VALUE"""),"0412/FTSCY/WS95031 100000.00 ANTON")</f>
        <v>0412/FTSCY/WS95031 100000.00 ANTON</v>
      </c>
      <c r="D27" s="2">
        <f>IFERROR(__xludf.DUMMYFUNCTION("""COMPUTED_VALUE"""),100000.0)</f>
        <v>100000</v>
      </c>
      <c r="E27" s="2"/>
      <c r="F27" s="2" t="str">
        <f>IFERROR(__xludf.DUMMYFUNCTION("""COMPUTED_VALUE"""),"DB")</f>
        <v>DB</v>
      </c>
      <c r="G27" s="2">
        <f>IFERROR(__xludf.DUMMYFUNCTION("""COMPUTED_VALUE"""),1045983.9500000477)</f>
        <v>1045983.95</v>
      </c>
      <c r="H27" s="2"/>
      <c r="I27" s="2" t="str">
        <f>IFERROR(__xludf.DUMMYFUNCTION("""COMPUTED_VALUE"""),"PRODUKSI")</f>
        <v>PRODUKSI</v>
      </c>
    </row>
    <row r="28">
      <c r="A28" s="7">
        <f>IFERROR(__xludf.DUMMYFUNCTION("""COMPUTED_VALUE"""),46361.0)</f>
        <v>46361</v>
      </c>
      <c r="B28" s="2" t="str">
        <f>IFERROR(__xludf.DUMMYFUNCTION("""COMPUTED_VALUE"""),"TRSF E-BANKING DB TANGGAL :04/12")</f>
        <v>TRSF E-BANKING DB TANGGAL :04/12</v>
      </c>
      <c r="C28" s="2" t="str">
        <f>IFERROR(__xludf.DUMMYFUNCTION("""COMPUTED_VALUE"""),"0412/FTSCY/WS95271 Thu Dec 03 2026 15:00:00 GMT+0700 (Western Indonesia Time) PT BERLIAN INDOMIT")</f>
        <v>0412/FTSCY/WS95271 Thu Dec 03 2026 15:00:00 GMT+0700 (Western Indonesia Time) PT BERLIAN INDOMIT</v>
      </c>
      <c r="D28" s="2">
        <f>IFERROR(__xludf.DUMMYFUNCTION("""COMPUTED_VALUE"""),8.48657E7)</f>
        <v>84865700</v>
      </c>
      <c r="E28" s="2"/>
      <c r="F28" s="2" t="str">
        <f>IFERROR(__xludf.DUMMYFUNCTION("""COMPUTED_VALUE"""),"DB")</f>
        <v>DB</v>
      </c>
      <c r="G28" s="2">
        <f>IFERROR(__xludf.DUMMYFUNCTION("""COMPUTED_VALUE"""),2.3601284195000005E8)</f>
        <v>236012842</v>
      </c>
      <c r="H28" s="2"/>
      <c r="I28" s="2" t="str">
        <f>IFERROR(__xludf.DUMMYFUNCTION("""COMPUTED_VALUE"""),"PRODUKSI")</f>
        <v>PRODUKSI</v>
      </c>
    </row>
    <row r="29">
      <c r="A29" s="7">
        <f>IFERROR(__xludf.DUMMYFUNCTION("""COMPUTED_VALUE"""),46361.0)</f>
        <v>46361</v>
      </c>
      <c r="B29" s="2" t="str">
        <f>IFERROR(__xludf.DUMMYFUNCTION("""COMPUTED_VALUE"""),"TRSF E-BANKING DB TANGGAL :04/12")</f>
        <v>TRSF E-BANKING DB TANGGAL :04/12</v>
      </c>
      <c r="C29" s="2" t="str">
        <f>IFERROR(__xludf.DUMMYFUNCTION("""COMPUTED_VALUE"""),"0412/FTSCY/WS95271 Tue Dec 01 2026 15:00:00 GMT+0700 (Western Indonesia Time) BROILER MAKMUR TAN")</f>
        <v>0412/FTSCY/WS95271 Tue Dec 01 2026 15:00:00 GMT+0700 (Western Indonesia Time) BROILER MAKMUR TAN</v>
      </c>
      <c r="D29" s="2">
        <f>IFERROR(__xludf.DUMMYFUNCTION("""COMPUTED_VALUE"""),4.76E7)</f>
        <v>47600000</v>
      </c>
      <c r="E29" s="2"/>
      <c r="F29" s="2" t="str">
        <f>IFERROR(__xludf.DUMMYFUNCTION("""COMPUTED_VALUE"""),"DB")</f>
        <v>DB</v>
      </c>
      <c r="G29" s="2">
        <f>IFERROR(__xludf.DUMMYFUNCTION("""COMPUTED_VALUE"""),1.8841284195000005E8)</f>
        <v>188412842</v>
      </c>
      <c r="H29" s="2"/>
      <c r="I29" s="2" t="str">
        <f>IFERROR(__xludf.DUMMYFUNCTION("""COMPUTED_VALUE"""),"PRODUKSI")</f>
        <v>PRODUKSI</v>
      </c>
    </row>
    <row r="30">
      <c r="A30" s="7">
        <f>IFERROR(__xludf.DUMMYFUNCTION("""COMPUTED_VALUE"""),46369.0)</f>
        <v>46369</v>
      </c>
      <c r="B30" s="2" t="str">
        <f>IFERROR(__xludf.DUMMYFUNCTION("""COMPUTED_VALUE"""),"TRSF E-BANKING DB")</f>
        <v>TRSF E-BANKING DB</v>
      </c>
      <c r="C30" s="2" t="str">
        <f>IFERROR(__xludf.DUMMYFUNCTION("""COMPUTED_VALUE"""),"1312/FTSCY/WS95271 1952400.00 ANDE DOSO ANGGORO")</f>
        <v>1312/FTSCY/WS95271 1952400.00 ANDE DOSO ANGGORO</v>
      </c>
      <c r="D30" s="2">
        <f>IFERROR(__xludf.DUMMYFUNCTION("""COMPUTED_VALUE"""),1952400.0)</f>
        <v>1952400</v>
      </c>
      <c r="E30" s="2"/>
      <c r="F30" s="2" t="str">
        <f>IFERROR(__xludf.DUMMYFUNCTION("""COMPUTED_VALUE"""),"DB")</f>
        <v>DB</v>
      </c>
      <c r="G30" s="2">
        <f>IFERROR(__xludf.DUMMYFUNCTION("""COMPUTED_VALUE"""),4.5488155595000005E8)</f>
        <v>454881556</v>
      </c>
      <c r="H30" s="2"/>
      <c r="I30" s="2" t="str">
        <f>IFERROR(__xludf.DUMMYFUNCTION("""COMPUTED_VALUE"""),"PRODUKSI")</f>
        <v>PRODUKSI</v>
      </c>
    </row>
    <row r="31">
      <c r="A31" s="7">
        <f>IFERROR(__xludf.DUMMYFUNCTION("""COMPUTED_VALUE"""),46369.0)</f>
        <v>46369</v>
      </c>
      <c r="B31" s="2" t="str">
        <f>IFERROR(__xludf.DUMMYFUNCTION("""COMPUTED_VALUE"""),"TRSF E-BANKING DB")</f>
        <v>TRSF E-BANKING DB</v>
      </c>
      <c r="C31" s="2" t="str">
        <f>IFERROR(__xludf.DUMMYFUNCTION("""COMPUTED_VALUE"""),"1312/FTSCY/WS95011 169291150.00 Pelunasan BROILER MAKMUR TAN")</f>
        <v>1312/FTSCY/WS95011 169291150.00 Pelunasan BROILER MAKMUR TAN</v>
      </c>
      <c r="D31" s="2">
        <f>IFERROR(__xludf.DUMMYFUNCTION("""COMPUTED_VALUE"""),1.6929115E8)</f>
        <v>169291150</v>
      </c>
      <c r="E31" s="2"/>
      <c r="F31" s="2" t="str">
        <f>IFERROR(__xludf.DUMMYFUNCTION("""COMPUTED_VALUE"""),"DB")</f>
        <v>DB</v>
      </c>
      <c r="G31" s="2">
        <f>IFERROR(__xludf.DUMMYFUNCTION("""COMPUTED_VALUE"""),8.1052458595E8)</f>
        <v>810524586</v>
      </c>
      <c r="H31" s="2">
        <f>IFERROR(__xludf.DUMMYFUNCTION("""COMPUTED_VALUE"""),8.1052458595E8)</f>
        <v>810524586</v>
      </c>
      <c r="I31" s="2" t="str">
        <f>IFERROR(__xludf.DUMMYFUNCTION("""COMPUTED_VALUE"""),"PRODUKSI")</f>
        <v>PRODUKSI</v>
      </c>
    </row>
    <row r="32">
      <c r="A32" s="7">
        <f>IFERROR(__xludf.DUMMYFUNCTION("""COMPUTED_VALUE"""),46369.0)</f>
        <v>46369</v>
      </c>
      <c r="B32" s="2" t="str">
        <f>IFERROR(__xludf.DUMMYFUNCTION("""COMPUTED_VALUE"""),"TRSF E-BANKING DB")</f>
        <v>TRSF E-BANKING DB</v>
      </c>
      <c r="C32" s="2" t="str">
        <f>IFERROR(__xludf.DUMMYFUNCTION("""COMPUTED_VALUE"""),"1312/FTSCY/WS95011 105581850.00 Tue Nov 10 2026 15:00:00 GMT+0700 (Western Indonesia Time) ANDALAN YASA MITRA")</f>
        <v>1312/FTSCY/WS95011 105581850.00 Tue Nov 10 2026 15:00:00 GMT+0700 (Western Indonesia Time) ANDALAN YASA MITRA</v>
      </c>
      <c r="D32" s="2">
        <f>IFERROR(__xludf.DUMMYFUNCTION("""COMPUTED_VALUE"""),1.0558185E8)</f>
        <v>105581850</v>
      </c>
      <c r="E32" s="2"/>
      <c r="F32" s="2" t="str">
        <f>IFERROR(__xludf.DUMMYFUNCTION("""COMPUTED_VALUE"""),"DB")</f>
        <v>DB</v>
      </c>
      <c r="G32" s="2">
        <f>IFERROR(__xludf.DUMMYFUNCTION("""COMPUTED_VALUE"""),7.0494273595E8)</f>
        <v>704942736</v>
      </c>
      <c r="H32" s="2">
        <f>IFERROR(__xludf.DUMMYFUNCTION("""COMPUTED_VALUE"""),7.0494273595E8)</f>
        <v>704942736</v>
      </c>
      <c r="I32" s="2" t="str">
        <f>IFERROR(__xludf.DUMMYFUNCTION("""COMPUTED_VALUE"""),"PRODUKSI")</f>
        <v>PRODUKSI</v>
      </c>
    </row>
    <row r="33">
      <c r="A33" s="7">
        <f>IFERROR(__xludf.DUMMYFUNCTION("""COMPUTED_VALUE"""),46369.0)</f>
        <v>46369</v>
      </c>
      <c r="B33" s="2" t="str">
        <f>IFERROR(__xludf.DUMMYFUNCTION("""COMPUTED_VALUE"""),"TRSF E-BANKING DB")</f>
        <v>TRSF E-BANKING DB</v>
      </c>
      <c r="C33" s="2" t="str">
        <f>IFERROR(__xludf.DUMMYFUNCTION("""COMPUTED_VALUE"""),"1312/FTSCY/WS95011 39514520.00 Fri Dec 11 2026 15:00:00 GMT+0700 (Western Indonesia Time) BINTANG TAMA SANTO")</f>
        <v>1312/FTSCY/WS95011 39514520.00 Fri Dec 11 2026 15:00:00 GMT+0700 (Western Indonesia Time) BINTANG TAMA SANTO</v>
      </c>
      <c r="D33" s="2">
        <f>IFERROR(__xludf.DUMMYFUNCTION("""COMPUTED_VALUE"""),3.951452E7)</f>
        <v>39514520</v>
      </c>
      <c r="E33" s="2"/>
      <c r="F33" s="2" t="str">
        <f>IFERROR(__xludf.DUMMYFUNCTION("""COMPUTED_VALUE"""),"DB")</f>
        <v>DB</v>
      </c>
      <c r="G33" s="2">
        <f>IFERROR(__xludf.DUMMYFUNCTION("""COMPUTED_VALUE"""),5.6912901595E8)</f>
        <v>569129016</v>
      </c>
      <c r="H33" s="2"/>
      <c r="I33" s="2" t="str">
        <f>IFERROR(__xludf.DUMMYFUNCTION("""COMPUTED_VALUE"""),"PRODUKSI")</f>
        <v>PRODUKSI</v>
      </c>
    </row>
    <row r="34">
      <c r="A34" s="7">
        <f>IFERROR(__xludf.DUMMYFUNCTION("""COMPUTED_VALUE"""),46369.0)</f>
        <v>46369</v>
      </c>
      <c r="B34" s="2" t="str">
        <f>IFERROR(__xludf.DUMMYFUNCTION("""COMPUTED_VALUE"""),"TRSF E-BANKING DB")</f>
        <v>TRSF E-BANKING DB</v>
      </c>
      <c r="C34" s="2" t="str">
        <f>IFERROR(__xludf.DUMMYFUNCTION("""COMPUTED_VALUE"""),"1312/FTSCY/WS95011 53195200.00 Fri Dec 11 2026 15:00:00 GMT+0700 (Western Indonesia Time) ANDALAN YASA MITRA")</f>
        <v>1312/FTSCY/WS95011 53195200.00 Fri Dec 11 2026 15:00:00 GMT+0700 (Western Indonesia Time) ANDALAN YASA MITRA</v>
      </c>
      <c r="D34" s="2">
        <f>IFERROR(__xludf.DUMMYFUNCTION("""COMPUTED_VALUE"""),5.31952E7)</f>
        <v>53195200</v>
      </c>
      <c r="E34" s="2"/>
      <c r="F34" s="2" t="str">
        <f>IFERROR(__xludf.DUMMYFUNCTION("""COMPUTED_VALUE"""),"DB")</f>
        <v>DB</v>
      </c>
      <c r="G34" s="2">
        <f>IFERROR(__xludf.DUMMYFUNCTION("""COMPUTED_VALUE"""),5.1593381595000005E8)</f>
        <v>515933816</v>
      </c>
      <c r="H34" s="2"/>
      <c r="I34" s="2" t="str">
        <f>IFERROR(__xludf.DUMMYFUNCTION("""COMPUTED_VALUE"""),"PRODUKSI")</f>
        <v>PRODUKSI</v>
      </c>
    </row>
    <row r="35">
      <c r="A35" s="7">
        <f>IFERROR(__xludf.DUMMYFUNCTION("""COMPUTED_VALUE"""),46370.0)</f>
        <v>46370</v>
      </c>
      <c r="B35" s="2" t="str">
        <f>IFERROR(__xludf.DUMMYFUNCTION("""COMPUTED_VALUE"""),"TRSF E-BANKING DB")</f>
        <v>TRSF E-BANKING DB</v>
      </c>
      <c r="C35" s="2" t="str">
        <f>IFERROR(__xludf.DUMMYFUNCTION("""COMPUTED_VALUE"""),"1412/FTSCY/WS95011 217842780.00 11 dan 13/12 PITIK DIGITAL INDO")</f>
        <v>1412/FTSCY/WS95011 217842780.00 11 dan 13/12 PITIK DIGITAL INDO</v>
      </c>
      <c r="D35" s="2">
        <f>IFERROR(__xludf.DUMMYFUNCTION("""COMPUTED_VALUE"""),2.1784278E8)</f>
        <v>217842780</v>
      </c>
      <c r="E35" s="2"/>
      <c r="F35" s="2" t="str">
        <f>IFERROR(__xludf.DUMMYFUNCTION("""COMPUTED_VALUE"""),"DB")</f>
        <v>DB</v>
      </c>
      <c r="G35" s="2">
        <f>IFERROR(__xludf.DUMMYFUNCTION("""COMPUTED_VALUE"""),6.6784028595E8)</f>
        <v>667840286</v>
      </c>
      <c r="H35" s="2"/>
      <c r="I35" s="2" t="str">
        <f>IFERROR(__xludf.DUMMYFUNCTION("""COMPUTED_VALUE"""),"PRODUKSI")</f>
        <v>PRODUKSI</v>
      </c>
    </row>
    <row r="36">
      <c r="A36" s="7">
        <f>IFERROR(__xludf.DUMMYFUNCTION("""COMPUTED_VALUE"""),46370.0)</f>
        <v>46370</v>
      </c>
      <c r="B36" s="2" t="str">
        <f>IFERROR(__xludf.DUMMYFUNCTION("""COMPUTED_VALUE"""),"TRSF E-BANKING DB")</f>
        <v>TRSF E-BANKING DB</v>
      </c>
      <c r="C36" s="2" t="str">
        <f>IFERROR(__xludf.DUMMYFUNCTION("""COMPUTED_VALUE"""),"1412/FTSCY/WS95271 64000000.00 Sat Dec 12 2026 15:00:00 GMT+0700 (Western Indonesia Time) INTEGRASI TEKNOLOG")</f>
        <v>1412/FTSCY/WS95271 64000000.00 Sat Dec 12 2026 15:00:00 GMT+0700 (Western Indonesia Time) INTEGRASI TEKNOLOG</v>
      </c>
      <c r="D36" s="2">
        <f>IFERROR(__xludf.DUMMYFUNCTION("""COMPUTED_VALUE"""),6.4E7)</f>
        <v>64000000</v>
      </c>
      <c r="E36" s="2"/>
      <c r="F36" s="2" t="str">
        <f>IFERROR(__xludf.DUMMYFUNCTION("""COMPUTED_VALUE"""),"DB")</f>
        <v>DB</v>
      </c>
      <c r="G36" s="2">
        <f>IFERROR(__xludf.DUMMYFUNCTION("""COMPUTED_VALUE"""),6.0384028595E8)</f>
        <v>603840286</v>
      </c>
      <c r="H36" s="2"/>
      <c r="I36" s="2" t="str">
        <f>IFERROR(__xludf.DUMMYFUNCTION("""COMPUTED_VALUE"""),"PRODUKSI")</f>
        <v>PRODUKSI</v>
      </c>
    </row>
    <row r="37">
      <c r="A37" s="7">
        <f>IFERROR(__xludf.DUMMYFUNCTION("""COMPUTED_VALUE"""),46370.0)</f>
        <v>46370</v>
      </c>
      <c r="B37" s="2" t="str">
        <f>IFERROR(__xludf.DUMMYFUNCTION("""COMPUTED_VALUE"""),"TRSF E-BANKING DB")</f>
        <v>TRSF E-BANKING DB</v>
      </c>
      <c r="C37" s="2" t="str">
        <f>IFERROR(__xludf.DUMMYFUNCTION("""COMPUTED_VALUE"""),"1412/FTSCY/WS95011 95905940.00 Sat Dec 12 2026 15:00:00 GMT+0700 (Western Indonesia Time) BRANTAS ABADI SENT")</f>
        <v>1412/FTSCY/WS95011 95905940.00 Sat Dec 12 2026 15:00:00 GMT+0700 (Western Indonesia Time) BRANTAS ABADI SENT</v>
      </c>
      <c r="D37" s="2">
        <f>IFERROR(__xludf.DUMMYFUNCTION("""COMPUTED_VALUE"""),9.590594E7)</f>
        <v>95905940</v>
      </c>
      <c r="E37" s="2"/>
      <c r="F37" s="2" t="str">
        <f>IFERROR(__xludf.DUMMYFUNCTION("""COMPUTED_VALUE"""),"DB")</f>
        <v>DB</v>
      </c>
      <c r="G37" s="2">
        <f>IFERROR(__xludf.DUMMYFUNCTION("""COMPUTED_VALUE"""),5.0793434595000005E8)</f>
        <v>507934346</v>
      </c>
      <c r="H37" s="2"/>
      <c r="I37" s="2" t="str">
        <f>IFERROR(__xludf.DUMMYFUNCTION("""COMPUTED_VALUE"""),"PRODUKSI")</f>
        <v>PRODUKSI</v>
      </c>
    </row>
    <row r="38">
      <c r="A38" s="7">
        <f>IFERROR(__xludf.DUMMYFUNCTION("""COMPUTED_VALUE"""),46370.0)</f>
        <v>46370</v>
      </c>
      <c r="B38" s="2" t="str">
        <f>IFERROR(__xludf.DUMMYFUNCTION("""COMPUTED_VALUE"""),"TRSF E-BANKING DB")</f>
        <v>TRSF E-BANKING DB</v>
      </c>
      <c r="C38" s="2" t="str">
        <f>IFERROR(__xludf.DUMMYFUNCTION("""COMPUTED_VALUE"""),"1412/FTSCY/WS95011 150000000.00 Sat Dec 12 2026 15:00:00 GMT+0700 (Western Indonesia Time) GANESHA SATRIA NUS")</f>
        <v>1412/FTSCY/WS95011 150000000.00 Sat Dec 12 2026 15:00:00 GMT+0700 (Western Indonesia Time) GANESHA SATRIA NUS</v>
      </c>
      <c r="D38" s="2">
        <f>IFERROR(__xludf.DUMMYFUNCTION("""COMPUTED_VALUE"""),1.5E8)</f>
        <v>150000000</v>
      </c>
      <c r="E38" s="2"/>
      <c r="F38" s="2" t="str">
        <f>IFERROR(__xludf.DUMMYFUNCTION("""COMPUTED_VALUE"""),"DB")</f>
        <v>DB</v>
      </c>
      <c r="G38" s="2">
        <f>IFERROR(__xludf.DUMMYFUNCTION("""COMPUTED_VALUE"""),3.5793434595000005E8)</f>
        <v>357934346</v>
      </c>
      <c r="H38" s="2"/>
      <c r="I38" s="2" t="str">
        <f>IFERROR(__xludf.DUMMYFUNCTION("""COMPUTED_VALUE"""),"PRODUKSI")</f>
        <v>PRODUKSI</v>
      </c>
    </row>
    <row r="39">
      <c r="A39" s="7">
        <f>IFERROR(__xludf.DUMMYFUNCTION("""COMPUTED_VALUE"""),46370.0)</f>
        <v>46370</v>
      </c>
      <c r="B39" s="2" t="str">
        <f>IFERROR(__xludf.DUMMYFUNCTION("""COMPUTED_VALUE"""),"TRSF E-BANKING DB")</f>
        <v>TRSF E-BANKING DB</v>
      </c>
      <c r="C39" s="2" t="str">
        <f>IFERROR(__xludf.DUMMYFUNCTION("""COMPUTED_VALUE"""),"1412/FTSCY/WS95011 36079840.00 Krg 10.7 jt DINA LUKMIANINGRUM")</f>
        <v>1412/FTSCY/WS95011 36079840.00 Krg 10.7 jt DINA LUKMIANINGRUM</v>
      </c>
      <c r="D39" s="2">
        <f>IFERROR(__xludf.DUMMYFUNCTION("""COMPUTED_VALUE"""),3.607984E7)</f>
        <v>36079840</v>
      </c>
      <c r="E39" s="2"/>
      <c r="F39" s="2" t="str">
        <f>IFERROR(__xludf.DUMMYFUNCTION("""COMPUTED_VALUE"""),"DB")</f>
        <v>DB</v>
      </c>
      <c r="G39" s="2">
        <f>IFERROR(__xludf.DUMMYFUNCTION("""COMPUTED_VALUE"""),3.2185450595000005E8)</f>
        <v>321854506</v>
      </c>
      <c r="H39" s="2">
        <f>IFERROR(__xludf.DUMMYFUNCTION("""COMPUTED_VALUE"""),3.2185450595E8)</f>
        <v>321854506</v>
      </c>
      <c r="I39" s="2" t="str">
        <f>IFERROR(__xludf.DUMMYFUNCTION("""COMPUTED_VALUE"""),"PRODUKSI")</f>
        <v>PRODUKSI</v>
      </c>
    </row>
    <row r="40">
      <c r="A40" s="7">
        <f>IFERROR(__xludf.DUMMYFUNCTION("""COMPUTED_VALUE"""),46370.0)</f>
        <v>46370</v>
      </c>
      <c r="B40" s="2" t="str">
        <f>IFERROR(__xludf.DUMMYFUNCTION("""COMPUTED_VALUE"""),"TRSF E-BANKING DB")</f>
        <v>TRSF E-BANKING DB</v>
      </c>
      <c r="C40" s="2" t="str">
        <f>IFERROR(__xludf.DUMMYFUNCTION("""COMPUTED_VALUE"""),"1412/FTFVA/WS95031 14453/PITIK - - 1082318368518")</f>
        <v>1412/FTFVA/WS95031 14453/PITIK - - 1082318368518</v>
      </c>
      <c r="D40" s="2">
        <f>IFERROR(__xludf.DUMMYFUNCTION("""COMPUTED_VALUE"""),6.14208E7)</f>
        <v>61420800</v>
      </c>
      <c r="E40" s="2"/>
      <c r="F40" s="2" t="str">
        <f>IFERROR(__xludf.DUMMYFUNCTION("""COMPUTED_VALUE"""),"DB")</f>
        <v>DB</v>
      </c>
      <c r="G40" s="2">
        <f>IFERROR(__xludf.DUMMYFUNCTION("""COMPUTED_VALUE"""),2.6043370595000005E8)</f>
        <v>260433706</v>
      </c>
      <c r="H40" s="2">
        <f>IFERROR(__xludf.DUMMYFUNCTION("""COMPUTED_VALUE"""),2.6043370595E8)</f>
        <v>260433706</v>
      </c>
      <c r="I40" s="2" t="str">
        <f>IFERROR(__xludf.DUMMYFUNCTION("""COMPUTED_VALUE"""),"PRODUKSI")</f>
        <v>PRODUKSI</v>
      </c>
    </row>
    <row r="41">
      <c r="A41" s="7">
        <f>IFERROR(__xludf.DUMMYFUNCTION("""COMPUTED_VALUE"""),46370.0)</f>
        <v>46370</v>
      </c>
      <c r="B41" s="2" t="str">
        <f>IFERROR(__xludf.DUMMYFUNCTION("""COMPUTED_VALUE"""),"TRSF E-BANKING DB")</f>
        <v>TRSF E-BANKING DB</v>
      </c>
      <c r="C41" s="2" t="str">
        <f>IFERROR(__xludf.DUMMYFUNCTION("""COMPUTED_VALUE"""),"1412/FTSCY/WS95271 76000000.00 pelunasan ADNAN")</f>
        <v>1412/FTSCY/WS95271 76000000.00 pelunasan ADNAN</v>
      </c>
      <c r="D41" s="2">
        <f>IFERROR(__xludf.DUMMYFUNCTION("""COMPUTED_VALUE"""),7.6E7)</f>
        <v>76000000</v>
      </c>
      <c r="E41" s="2"/>
      <c r="F41" s="2" t="str">
        <f>IFERROR(__xludf.DUMMYFUNCTION("""COMPUTED_VALUE"""),"DB")</f>
        <v>DB</v>
      </c>
      <c r="G41" s="2">
        <f>IFERROR(__xludf.DUMMYFUNCTION("""COMPUTED_VALUE"""),1.8443370595000005E8)</f>
        <v>184433706</v>
      </c>
      <c r="H41" s="2"/>
      <c r="I41" s="2" t="str">
        <f>IFERROR(__xludf.DUMMYFUNCTION("""COMPUTED_VALUE"""),"PRODUKSI")</f>
        <v>PRODUKSI</v>
      </c>
    </row>
    <row r="42">
      <c r="A42" s="7">
        <f>IFERROR(__xludf.DUMMYFUNCTION("""COMPUTED_VALUE"""),46370.0)</f>
        <v>46370</v>
      </c>
      <c r="B42" s="2" t="str">
        <f>IFERROR(__xludf.DUMMYFUNCTION("""COMPUTED_VALUE"""),"TRSF E-BANKING DB")</f>
        <v>TRSF E-BANKING DB</v>
      </c>
      <c r="C42" s="2" t="str">
        <f>IFERROR(__xludf.DUMMYFUNCTION("""COMPUTED_VALUE"""),"1412/FTSCY/WS95031 91848000.00 Sat Dec 12 2026 15:00:00 GMT+0700 (Western Indonesia Time) TUMBUH OPTIMAL PRI")</f>
        <v>1412/FTSCY/WS95031 91848000.00 Sat Dec 12 2026 15:00:00 GMT+0700 (Western Indonesia Time) TUMBUH OPTIMAL PRI</v>
      </c>
      <c r="D42" s="2">
        <f>IFERROR(__xludf.DUMMYFUNCTION("""COMPUTED_VALUE"""),9.1848E7)</f>
        <v>91848000</v>
      </c>
      <c r="E42" s="2"/>
      <c r="F42" s="2" t="str">
        <f>IFERROR(__xludf.DUMMYFUNCTION("""COMPUTED_VALUE"""),"DB")</f>
        <v>DB</v>
      </c>
      <c r="G42" s="2">
        <f>IFERROR(__xludf.DUMMYFUNCTION("""COMPUTED_VALUE"""),9.258570595000005E7)</f>
        <v>92585705.95</v>
      </c>
      <c r="H42" s="2"/>
      <c r="I42" s="2" t="str">
        <f>IFERROR(__xludf.DUMMYFUNCTION("""COMPUTED_VALUE"""),"PRODUKSI")</f>
        <v>PRODUKSI</v>
      </c>
    </row>
    <row r="43">
      <c r="A43" s="7">
        <f>IFERROR(__xludf.DUMMYFUNCTION("""COMPUTED_VALUE"""),46370.0)</f>
        <v>46370</v>
      </c>
      <c r="B43" s="2" t="str">
        <f>IFERROR(__xludf.DUMMYFUNCTION("""COMPUTED_VALUE"""),"TRSF E-BANKING DB")</f>
        <v>TRSF E-BANKING DB</v>
      </c>
      <c r="C43" s="2" t="str">
        <f>IFERROR(__xludf.DUMMYFUNCTION("""COMPUTED_VALUE"""),"1412/FTSCY/WS95031 1224640.00 ANDE DOSO ANGGORO")</f>
        <v>1412/FTSCY/WS95031 1224640.00 ANDE DOSO ANGGORO</v>
      </c>
      <c r="D43" s="2">
        <f>IFERROR(__xludf.DUMMYFUNCTION("""COMPUTED_VALUE"""),1224640.0)</f>
        <v>1224640</v>
      </c>
      <c r="E43" s="2"/>
      <c r="F43" s="2" t="str">
        <f>IFERROR(__xludf.DUMMYFUNCTION("""COMPUTED_VALUE"""),"DB")</f>
        <v>DB</v>
      </c>
      <c r="G43" s="2">
        <f>IFERROR(__xludf.DUMMYFUNCTION("""COMPUTED_VALUE"""),9.136106595000005E7)</f>
        <v>91361065.95</v>
      </c>
      <c r="H43" s="2"/>
      <c r="I43" s="2" t="str">
        <f>IFERROR(__xludf.DUMMYFUNCTION("""COMPUTED_VALUE"""),"PRODUKSI")</f>
        <v>PRODUKSI</v>
      </c>
    </row>
    <row r="44">
      <c r="A44" s="7">
        <f>IFERROR(__xludf.DUMMYFUNCTION("""COMPUTED_VALUE"""),46370.0)</f>
        <v>46370</v>
      </c>
      <c r="B44" s="2" t="str">
        <f>IFERROR(__xludf.DUMMYFUNCTION("""COMPUTED_VALUE"""),"TRSF E-BANKING DB")</f>
        <v>TRSF E-BANKING DB</v>
      </c>
      <c r="C44" s="2" t="str">
        <f>IFERROR(__xludf.DUMMYFUNCTION("""COMPUTED_VALUE"""),"1412/FTSCY/WS95271 2468750.00 FAJAR ANDREANZAH")</f>
        <v>1412/FTSCY/WS95271 2468750.00 FAJAR ANDREANZAH</v>
      </c>
      <c r="D44" s="2">
        <f>IFERROR(__xludf.DUMMYFUNCTION("""COMPUTED_VALUE"""),2468750.0)</f>
        <v>2468750</v>
      </c>
      <c r="E44" s="2"/>
      <c r="F44" s="2" t="str">
        <f>IFERROR(__xludf.DUMMYFUNCTION("""COMPUTED_VALUE"""),"DB")</f>
        <v>DB</v>
      </c>
      <c r="G44" s="2">
        <f>IFERROR(__xludf.DUMMYFUNCTION("""COMPUTED_VALUE"""),8.889231595000005E7)</f>
        <v>88892315.95</v>
      </c>
      <c r="H44" s="2"/>
      <c r="I44" s="2" t="str">
        <f>IFERROR(__xludf.DUMMYFUNCTION("""COMPUTED_VALUE"""),"PRODUKSI")</f>
        <v>PRODUKSI</v>
      </c>
    </row>
    <row r="45">
      <c r="A45" s="7">
        <f>IFERROR(__xludf.DUMMYFUNCTION("""COMPUTED_VALUE"""),46370.0)</f>
        <v>46370</v>
      </c>
      <c r="B45" s="2" t="str">
        <f>IFERROR(__xludf.DUMMYFUNCTION("""COMPUTED_VALUE"""),"TRSF E-BANKING DB")</f>
        <v>TRSF E-BANKING DB</v>
      </c>
      <c r="C45" s="2" t="str">
        <f>IFERROR(__xludf.DUMMYFUNCTION("""COMPUTED_VALUE"""),"1412/FTSCY/WS95271 5267150.00 krg 5 jt MUJIANTO")</f>
        <v>1412/FTSCY/WS95271 5267150.00 krg 5 jt MUJIANTO</v>
      </c>
      <c r="D45" s="2">
        <f>IFERROR(__xludf.DUMMYFUNCTION("""COMPUTED_VALUE"""),5267150.0)</f>
        <v>5267150</v>
      </c>
      <c r="E45" s="2"/>
      <c r="F45" s="2" t="str">
        <f>IFERROR(__xludf.DUMMYFUNCTION("""COMPUTED_VALUE"""),"DB")</f>
        <v>DB</v>
      </c>
      <c r="G45" s="2">
        <f>IFERROR(__xludf.DUMMYFUNCTION("""COMPUTED_VALUE"""),8.362516595000005E7)</f>
        <v>83625165.95</v>
      </c>
      <c r="H45" s="2"/>
      <c r="I45" s="2" t="str">
        <f>IFERROR(__xludf.DUMMYFUNCTION("""COMPUTED_VALUE"""),"PRODUKSI")</f>
        <v>PRODUKSI</v>
      </c>
    </row>
    <row r="46">
      <c r="A46" s="7">
        <f>IFERROR(__xludf.DUMMYFUNCTION("""COMPUTED_VALUE"""),46370.0)</f>
        <v>46370</v>
      </c>
      <c r="B46" s="2" t="str">
        <f>IFERROR(__xludf.DUMMYFUNCTION("""COMPUTED_VALUE"""),"TRSF E-BANKING DB")</f>
        <v>TRSF E-BANKING DB</v>
      </c>
      <c r="C46" s="2" t="str">
        <f>IFERROR(__xludf.DUMMYFUNCTION("""COMPUTED_VALUE"""),"1412/FTSCY/WS95271 2876500.00 HERMAWAN")</f>
        <v>1412/FTSCY/WS95271 2876500.00 HERMAWAN</v>
      </c>
      <c r="D46" s="2">
        <f>IFERROR(__xludf.DUMMYFUNCTION("""COMPUTED_VALUE"""),2876500.0)</f>
        <v>2876500</v>
      </c>
      <c r="E46" s="2"/>
      <c r="F46" s="2" t="str">
        <f>IFERROR(__xludf.DUMMYFUNCTION("""COMPUTED_VALUE"""),"DB")</f>
        <v>DB</v>
      </c>
      <c r="G46" s="2">
        <f>IFERROR(__xludf.DUMMYFUNCTION("""COMPUTED_VALUE"""),8.074866595000005E7)</f>
        <v>80748665.95</v>
      </c>
      <c r="H46" s="2"/>
      <c r="I46" s="2" t="str">
        <f>IFERROR(__xludf.DUMMYFUNCTION("""COMPUTED_VALUE"""),"PRODUKSI")</f>
        <v>PRODUKSI</v>
      </c>
    </row>
    <row r="47">
      <c r="A47" s="7">
        <f>IFERROR(__xludf.DUMMYFUNCTION("""COMPUTED_VALUE"""),46370.0)</f>
        <v>46370</v>
      </c>
      <c r="B47" s="2" t="str">
        <f>IFERROR(__xludf.DUMMYFUNCTION("""COMPUTED_VALUE"""),"TRSF E-BANKING DB")</f>
        <v>TRSF E-BANKING DB</v>
      </c>
      <c r="C47" s="2" t="str">
        <f>IFERROR(__xludf.DUMMYFUNCTION("""COMPUTED_VALUE"""),"1412/FTSCY/WS95271 1207430.00 IMAM KUSAENI")</f>
        <v>1412/FTSCY/WS95271 1207430.00 IMAM KUSAENI</v>
      </c>
      <c r="D47" s="2">
        <f>IFERROR(__xludf.DUMMYFUNCTION("""COMPUTED_VALUE"""),1207430.0)</f>
        <v>1207430</v>
      </c>
      <c r="E47" s="2"/>
      <c r="F47" s="2" t="str">
        <f>IFERROR(__xludf.DUMMYFUNCTION("""COMPUTED_VALUE"""),"DB")</f>
        <v>DB</v>
      </c>
      <c r="G47" s="2">
        <f>IFERROR(__xludf.DUMMYFUNCTION("""COMPUTED_VALUE"""),7.954123595000005E7)</f>
        <v>79541235.95</v>
      </c>
      <c r="H47" s="2"/>
      <c r="I47" s="2" t="str">
        <f>IFERROR(__xludf.DUMMYFUNCTION("""COMPUTED_VALUE"""),"PRODUKSI")</f>
        <v>PRODUKSI</v>
      </c>
    </row>
    <row r="48">
      <c r="A48" s="7">
        <f>IFERROR(__xludf.DUMMYFUNCTION("""COMPUTED_VALUE"""),46370.0)</f>
        <v>46370</v>
      </c>
      <c r="B48" s="2" t="str">
        <f>IFERROR(__xludf.DUMMYFUNCTION("""COMPUTED_VALUE"""),"TARIKAN ATM 14/12")</f>
        <v>TARIKAN ATM 14/12</v>
      </c>
      <c r="C48" s="2" t="str">
        <f>IFERROR(__xludf.DUMMYFUNCTION("""COMPUTED_VALUE"""),"TARIKAN ATM 14/12")</f>
        <v>TARIKAN ATM 14/12</v>
      </c>
      <c r="D48" s="2">
        <f>IFERROR(__xludf.DUMMYFUNCTION("""COMPUTED_VALUE"""),1100000.0)</f>
        <v>1100000</v>
      </c>
      <c r="E48" s="2"/>
      <c r="F48" s="2"/>
      <c r="G48" s="2">
        <f>IFERROR(__xludf.DUMMYFUNCTION("""COMPUTED_VALUE"""),7.844123595000005E7)</f>
        <v>78441235.95</v>
      </c>
      <c r="H48" s="2"/>
      <c r="I48" s="2" t="str">
        <f>IFERROR(__xludf.DUMMYFUNCTION("""COMPUTED_VALUE"""),"PRODUKSI")</f>
        <v>PRODUKSI</v>
      </c>
    </row>
    <row r="49">
      <c r="A49" s="7">
        <f>IFERROR(__xludf.DUMMYFUNCTION("""COMPUTED_VALUE"""),46370.0)</f>
        <v>46370</v>
      </c>
      <c r="B49" s="2" t="str">
        <f>IFERROR(__xludf.DUMMYFUNCTION("""COMPUTED_VALUE"""),"BI-FAST DB")</f>
        <v>BI-FAST DB</v>
      </c>
      <c r="C49" s="2" t="str">
        <f>IFERROR(__xludf.DUMMYFUNCTION("""COMPUTED_VALUE"""),"BIF TRANSFER KE 2 RAMADIKA MyBCA")</f>
        <v>BIF TRANSFER KE 2 RAMADIKA MyBCA</v>
      </c>
      <c r="D49" s="2">
        <f>IFERROR(__xludf.DUMMYFUNCTION("""COMPUTED_VALUE"""),200000.0)</f>
        <v>200000</v>
      </c>
      <c r="E49" s="2"/>
      <c r="F49" s="2" t="str">
        <f>IFERROR(__xludf.DUMMYFUNCTION("""COMPUTED_VALUE"""),"DB")</f>
        <v>DB</v>
      </c>
      <c r="G49" s="2">
        <f>IFERROR(__xludf.DUMMYFUNCTION("""COMPUTED_VALUE"""),9.522123595000005E7)</f>
        <v>95221235.95</v>
      </c>
      <c r="H49" s="2"/>
      <c r="I49" s="2" t="str">
        <f>IFERROR(__xludf.DUMMYFUNCTION("""COMPUTED_VALUE"""),"PRODUKSI")</f>
        <v>PRODUKSI</v>
      </c>
    </row>
    <row r="50">
      <c r="A50" s="7">
        <f>IFERROR(__xludf.DUMMYFUNCTION("""COMPUTED_VALUE"""),46370.0)</f>
        <v>46370</v>
      </c>
      <c r="B50" s="2" t="str">
        <f>IFERROR(__xludf.DUMMYFUNCTION("""COMPUTED_VALUE"""),"BI-FAST DB")</f>
        <v>BI-FAST DB</v>
      </c>
      <c r="C50" s="2" t="str">
        <f>IFERROR(__xludf.DUMMYFUNCTION("""COMPUTED_VALUE"""),"BIF BIAYA TXN KE 2 RAMADIKA MyBCA")</f>
        <v>BIF BIAYA TXN KE 2 RAMADIKA MyBCA</v>
      </c>
      <c r="D50" s="2">
        <f>IFERROR(__xludf.DUMMYFUNCTION("""COMPUTED_VALUE"""),2500.0)</f>
        <v>2500</v>
      </c>
      <c r="E50" s="2"/>
      <c r="F50" s="2" t="str">
        <f>IFERROR(__xludf.DUMMYFUNCTION("""COMPUTED_VALUE"""),"DB")</f>
        <v>DB</v>
      </c>
      <c r="G50" s="2">
        <f>IFERROR(__xludf.DUMMYFUNCTION("""COMPUTED_VALUE"""),9.521873595000005E7)</f>
        <v>95218735.95</v>
      </c>
      <c r="H50" s="2"/>
      <c r="I50" s="2" t="str">
        <f>IFERROR(__xludf.DUMMYFUNCTION("""COMPUTED_VALUE"""),"PRODUKSI")</f>
        <v>PRODUKSI</v>
      </c>
    </row>
    <row r="51">
      <c r="A51" s="7">
        <f>IFERROR(__xludf.DUMMYFUNCTION("""COMPUTED_VALUE"""),46370.0)</f>
        <v>46370</v>
      </c>
      <c r="B51" s="2" t="str">
        <f>IFERROR(__xludf.DUMMYFUNCTION("""COMPUTED_VALUE"""),"TRSF E-BANKING DB")</f>
        <v>TRSF E-BANKING DB</v>
      </c>
      <c r="C51" s="2" t="str">
        <f>IFERROR(__xludf.DUMMYFUNCTION("""COMPUTED_VALUE"""),"1412/FTSCY/WS95271 128000.00 arisan RATNAWATI")</f>
        <v>1412/FTSCY/WS95271 128000.00 arisan RATNAWATI</v>
      </c>
      <c r="D51" s="2">
        <f>IFERROR(__xludf.DUMMYFUNCTION("""COMPUTED_VALUE"""),128000.0)</f>
        <v>128000</v>
      </c>
      <c r="E51" s="2"/>
      <c r="F51" s="2" t="str">
        <f>IFERROR(__xludf.DUMMYFUNCTION("""COMPUTED_VALUE"""),"DB")</f>
        <v>DB</v>
      </c>
      <c r="G51" s="2">
        <f>IFERROR(__xludf.DUMMYFUNCTION("""COMPUTED_VALUE"""),9.509073595000005E7)</f>
        <v>95090735.95</v>
      </c>
      <c r="H51" s="2"/>
      <c r="I51" s="2" t="str">
        <f>IFERROR(__xludf.DUMMYFUNCTION("""COMPUTED_VALUE"""),"PRODUKSI")</f>
        <v>PRODUKSI</v>
      </c>
    </row>
    <row r="52">
      <c r="A52" s="7">
        <f>IFERROR(__xludf.DUMMYFUNCTION("""COMPUTED_VALUE"""),46370.0)</f>
        <v>46370</v>
      </c>
      <c r="B52" s="2" t="str">
        <f>IFERROR(__xludf.DUMMYFUNCTION("""COMPUTED_VALUE"""),"TRSF E-BANKING DB")</f>
        <v>TRSF E-BANKING DB</v>
      </c>
      <c r="C52" s="2" t="str">
        <f>IFERROR(__xludf.DUMMYFUNCTION("""COMPUTED_VALUE"""),"1412/FTFVA/WS95031 55569/PT PRIMA FAJ lunas - 40190")</f>
        <v>1412/FTFVA/WS95031 55569/PT PRIMA FAJ lunas - 40190</v>
      </c>
      <c r="D52" s="2">
        <f>IFERROR(__xludf.DUMMYFUNCTION("""COMPUTED_VALUE"""),1.121079E8)</f>
        <v>112107900</v>
      </c>
      <c r="E52" s="2"/>
      <c r="F52" s="2" t="str">
        <f>IFERROR(__xludf.DUMMYFUNCTION("""COMPUTED_VALUE"""),"DB")</f>
        <v>DB</v>
      </c>
      <c r="G52" s="2">
        <f>IFERROR(__xludf.DUMMYFUNCTION("""COMPUTED_VALUE"""),4.2051979795000005E8)</f>
        <v>420519798</v>
      </c>
      <c r="H52" s="2"/>
      <c r="I52" s="2" t="str">
        <f>IFERROR(__xludf.DUMMYFUNCTION("""COMPUTED_VALUE"""),"PRODUKSI")</f>
        <v>PRODUKSI</v>
      </c>
    </row>
    <row r="53">
      <c r="A53" s="7">
        <f>IFERROR(__xludf.DUMMYFUNCTION("""COMPUTED_VALUE"""),46370.0)</f>
        <v>46370</v>
      </c>
      <c r="B53" s="2" t="str">
        <f>IFERROR(__xludf.DUMMYFUNCTION("""COMPUTED_VALUE"""),"TRSF E-BANKING DB")</f>
        <v>TRSF E-BANKING DB</v>
      </c>
      <c r="C53" s="2" t="str">
        <f>IFERROR(__xludf.DUMMYFUNCTION("""COMPUTED_VALUE"""),"1412/FTSCY/WS95031 3486350.00 SUNARTO")</f>
        <v>1412/FTSCY/WS95031 3486350.00 SUNARTO</v>
      </c>
      <c r="D53" s="2">
        <f>IFERROR(__xludf.DUMMYFUNCTION("""COMPUTED_VALUE"""),3486350.0)</f>
        <v>3486350</v>
      </c>
      <c r="E53" s="2"/>
      <c r="F53" s="2" t="str">
        <f>IFERROR(__xludf.DUMMYFUNCTION("""COMPUTED_VALUE"""),"DB")</f>
        <v>DB</v>
      </c>
      <c r="G53" s="2">
        <f>IFERROR(__xludf.DUMMYFUNCTION("""COMPUTED_VALUE"""),4.1843344795000005E8)</f>
        <v>418433448</v>
      </c>
      <c r="H53" s="2"/>
      <c r="I53" s="2" t="str">
        <f>IFERROR(__xludf.DUMMYFUNCTION("""COMPUTED_VALUE"""),"PRODUKSI")</f>
        <v>PRODUKSI</v>
      </c>
    </row>
    <row r="54">
      <c r="A54" s="7">
        <f>IFERROR(__xludf.DUMMYFUNCTION("""COMPUTED_VALUE"""),46370.0)</f>
        <v>46370</v>
      </c>
      <c r="B54" s="2" t="str">
        <f>IFERROR(__xludf.DUMMYFUNCTION("""COMPUTED_VALUE"""),"TRSF E-BANKING DB")</f>
        <v>TRSF E-BANKING DB</v>
      </c>
      <c r="C54" s="2" t="str">
        <f>IFERROR(__xludf.DUMMYFUNCTION("""COMPUTED_VALUE"""),"1412/FTSCY/WS95271 12230720.00 krg 90 jt ANITA DWI NOVIES S")</f>
        <v>1412/FTSCY/WS95271 12230720.00 krg 90 jt ANITA DWI NOVIES S</v>
      </c>
      <c r="D54" s="2">
        <f>IFERROR(__xludf.DUMMYFUNCTION("""COMPUTED_VALUE"""),1.223072E7)</f>
        <v>12230720</v>
      </c>
      <c r="E54" s="2"/>
      <c r="F54" s="2" t="str">
        <f>IFERROR(__xludf.DUMMYFUNCTION("""COMPUTED_VALUE"""),"DB")</f>
        <v>DB</v>
      </c>
      <c r="G54" s="2">
        <f>IFERROR(__xludf.DUMMYFUNCTION("""COMPUTED_VALUE"""),4.0620272795000005E8)</f>
        <v>406202728</v>
      </c>
      <c r="H54" s="2"/>
      <c r="I54" s="2" t="str">
        <f>IFERROR(__xludf.DUMMYFUNCTION("""COMPUTED_VALUE"""),"PRODUKSI")</f>
        <v>PRODUKSI</v>
      </c>
    </row>
    <row r="55">
      <c r="A55" s="7">
        <f>IFERROR(__xludf.DUMMYFUNCTION("""COMPUTED_VALUE"""),46370.0)</f>
        <v>46370</v>
      </c>
      <c r="B55" s="2" t="str">
        <f>IFERROR(__xludf.DUMMYFUNCTION("""COMPUTED_VALUE"""),"TRSF E-BANKING DB")</f>
        <v>TRSF E-BANKING DB</v>
      </c>
      <c r="C55" s="2" t="str">
        <f>IFERROR(__xludf.DUMMYFUNCTION("""COMPUTED_VALUE"""),"1412/FTSCY/WS95271 2221820.00 HERMAWAN")</f>
        <v>1412/FTSCY/WS95271 2221820.00 HERMAWAN</v>
      </c>
      <c r="D55" s="2">
        <f>IFERROR(__xludf.DUMMYFUNCTION("""COMPUTED_VALUE"""),2221820.0)</f>
        <v>2221820</v>
      </c>
      <c r="E55" s="2"/>
      <c r="F55" s="2" t="str">
        <f>IFERROR(__xludf.DUMMYFUNCTION("""COMPUTED_VALUE"""),"DB")</f>
        <v>DB</v>
      </c>
      <c r="G55" s="2">
        <f>IFERROR(__xludf.DUMMYFUNCTION("""COMPUTED_VALUE"""),4.0398090795000005E8)</f>
        <v>403980908</v>
      </c>
      <c r="H55" s="2"/>
      <c r="I55" s="2" t="str">
        <f>IFERROR(__xludf.DUMMYFUNCTION("""COMPUTED_VALUE"""),"PRODUKSI")</f>
        <v>PRODUKSI</v>
      </c>
    </row>
    <row r="56">
      <c r="A56" s="7">
        <f>IFERROR(__xludf.DUMMYFUNCTION("""COMPUTED_VALUE"""),46370.0)</f>
        <v>46370</v>
      </c>
      <c r="B56" s="2" t="str">
        <f>IFERROR(__xludf.DUMMYFUNCTION("""COMPUTED_VALUE"""),"TRSF E-BANKING DB")</f>
        <v>TRSF E-BANKING DB</v>
      </c>
      <c r="C56" s="2" t="str">
        <f>IFERROR(__xludf.DUMMYFUNCTION("""COMPUTED_VALUE"""),"1412/FTSCY/WS95271 1800000.00 IMAM KUSAENI")</f>
        <v>1412/FTSCY/WS95271 1800000.00 IMAM KUSAENI</v>
      </c>
      <c r="D56" s="2">
        <f>IFERROR(__xludf.DUMMYFUNCTION("""COMPUTED_VALUE"""),1800000.0)</f>
        <v>1800000</v>
      </c>
      <c r="E56" s="2"/>
      <c r="F56" s="2" t="str">
        <f>IFERROR(__xludf.DUMMYFUNCTION("""COMPUTED_VALUE"""),"DB")</f>
        <v>DB</v>
      </c>
      <c r="G56" s="2">
        <f>IFERROR(__xludf.DUMMYFUNCTION("""COMPUTED_VALUE"""),4.0218090795000005E8)</f>
        <v>402180908</v>
      </c>
      <c r="H56" s="2">
        <f>IFERROR(__xludf.DUMMYFUNCTION("""COMPUTED_VALUE"""),4.0218090795E8)</f>
        <v>402180908</v>
      </c>
      <c r="I56" s="2" t="str">
        <f>IFERROR(__xludf.DUMMYFUNCTION("""COMPUTED_VALUE"""),"PRODUKSI")</f>
        <v>PRODUKSI</v>
      </c>
    </row>
    <row r="57">
      <c r="A57" s="7">
        <f>IFERROR(__xludf.DUMMYFUNCTION("""COMPUTED_VALUE"""),46371.0)</f>
        <v>46371</v>
      </c>
      <c r="B57" s="2" t="str">
        <f>IFERROR(__xludf.DUMMYFUNCTION("""COMPUTED_VALUE"""),"TRSF E-BANKING DB")</f>
        <v>TRSF E-BANKING DB</v>
      </c>
      <c r="C57" s="2" t="str">
        <f>IFERROR(__xludf.DUMMYFUNCTION("""COMPUTED_VALUE"""),"1512/FTSCY/WS95011 124318560.00 Sun Dec 13 2026 15:00:00 GMT+0700 (Western Indonesia Time) RUKUN MITRA BERSAM")</f>
        <v>1512/FTSCY/WS95011 124318560.00 Sun Dec 13 2026 15:00:00 GMT+0700 (Western Indonesia Time) RUKUN MITRA BERSAM</v>
      </c>
      <c r="D57" s="2">
        <f>IFERROR(__xludf.DUMMYFUNCTION("""COMPUTED_VALUE"""),1.2431856E8)</f>
        <v>124318560</v>
      </c>
      <c r="E57" s="2"/>
      <c r="F57" s="2" t="str">
        <f>IFERROR(__xludf.DUMMYFUNCTION("""COMPUTED_VALUE"""),"DB")</f>
        <v>DB</v>
      </c>
      <c r="G57" s="2">
        <f>IFERROR(__xludf.DUMMYFUNCTION("""COMPUTED_VALUE"""),2.7786234795000005E8)</f>
        <v>277862348</v>
      </c>
      <c r="H57" s="2"/>
      <c r="I57" s="2" t="str">
        <f>IFERROR(__xludf.DUMMYFUNCTION("""COMPUTED_VALUE"""),"PRODUKSI")</f>
        <v>PRODUKSI</v>
      </c>
    </row>
    <row r="58">
      <c r="A58" s="7">
        <f>IFERROR(__xludf.DUMMYFUNCTION("""COMPUTED_VALUE"""),46371.0)</f>
        <v>46371</v>
      </c>
      <c r="B58" s="2" t="str">
        <f>IFERROR(__xludf.DUMMYFUNCTION("""COMPUTED_VALUE"""),"TRSF E-BANKING DB")</f>
        <v>TRSF E-BANKING DB</v>
      </c>
      <c r="C58" s="2" t="str">
        <f>IFERROR(__xludf.DUMMYFUNCTION("""COMPUTED_VALUE"""),"1512/FTSCY/WS95011 56000000.00 Sun Dec 13 2026 15:00:00 GMT+0700 (Western Indonesia Time) TUMBUH OPTIMAL PRI")</f>
        <v>1512/FTSCY/WS95011 56000000.00 Sun Dec 13 2026 15:00:00 GMT+0700 (Western Indonesia Time) TUMBUH OPTIMAL PRI</v>
      </c>
      <c r="D58" s="2">
        <f>IFERROR(__xludf.DUMMYFUNCTION("""COMPUTED_VALUE"""),5.6E7)</f>
        <v>56000000</v>
      </c>
      <c r="E58" s="2"/>
      <c r="F58" s="2" t="str">
        <f>IFERROR(__xludf.DUMMYFUNCTION("""COMPUTED_VALUE"""),"DB")</f>
        <v>DB</v>
      </c>
      <c r="G58" s="2">
        <f>IFERROR(__xludf.DUMMYFUNCTION("""COMPUTED_VALUE"""),2.2186234795000005E8)</f>
        <v>221862348</v>
      </c>
      <c r="H58" s="2"/>
      <c r="I58" s="2" t="str">
        <f>IFERROR(__xludf.DUMMYFUNCTION("""COMPUTED_VALUE"""),"PRODUKSI")</f>
        <v>PRODUKSI</v>
      </c>
    </row>
    <row r="59">
      <c r="A59" s="7">
        <f>IFERROR(__xludf.DUMMYFUNCTION("""COMPUTED_VALUE"""),46371.0)</f>
        <v>46371</v>
      </c>
      <c r="B59" s="2" t="str">
        <f>IFERROR(__xludf.DUMMYFUNCTION("""COMPUTED_VALUE"""),"TRSF E-BANKING DB")</f>
        <v>TRSF E-BANKING DB</v>
      </c>
      <c r="C59" s="2" t="str">
        <f>IFERROR(__xludf.DUMMYFUNCTION("""COMPUTED_VALUE"""),"1512/FTSCY/WS95011 145303500.00 Sat Dec 12 2026 15:00:00 GMT+0700 (Western Indonesia Time) BROILER MAKMUR TAN")</f>
        <v>1512/FTSCY/WS95011 145303500.00 Sat Dec 12 2026 15:00:00 GMT+0700 (Western Indonesia Time) BROILER MAKMUR TAN</v>
      </c>
      <c r="D59" s="2">
        <f>IFERROR(__xludf.DUMMYFUNCTION("""COMPUTED_VALUE"""),1.453035E8)</f>
        <v>145303500</v>
      </c>
      <c r="E59" s="2"/>
      <c r="F59" s="2" t="str">
        <f>IFERROR(__xludf.DUMMYFUNCTION("""COMPUTED_VALUE"""),"DB")</f>
        <v>DB</v>
      </c>
      <c r="G59" s="2">
        <f>IFERROR(__xludf.DUMMYFUNCTION("""COMPUTED_VALUE"""),7.655884795000005E7)</f>
        <v>76558847.95</v>
      </c>
      <c r="H59" s="2"/>
      <c r="I59" s="2" t="str">
        <f>IFERROR(__xludf.DUMMYFUNCTION("""COMPUTED_VALUE"""),"PRODUKSI")</f>
        <v>PRODUKSI</v>
      </c>
    </row>
    <row r="60">
      <c r="A60" s="7">
        <f>IFERROR(__xludf.DUMMYFUNCTION("""COMPUTED_VALUE"""),46371.0)</f>
        <v>46371</v>
      </c>
      <c r="B60" s="2" t="str">
        <f>IFERROR(__xludf.DUMMYFUNCTION("""COMPUTED_VALUE"""),"TRSF E-BANKING DB")</f>
        <v>TRSF E-BANKING DB</v>
      </c>
      <c r="C60" s="2" t="str">
        <f>IFERROR(__xludf.DUMMYFUNCTION("""COMPUTED_VALUE"""),"1512/FTSCY/WS95011 57114750.00 Sun Dec 13 2026 15:00:00 GMT+0700 (Western Indonesia Time) ANDALAN YASA MITRA")</f>
        <v>1512/FTSCY/WS95011 57114750.00 Sun Dec 13 2026 15:00:00 GMT+0700 (Western Indonesia Time) ANDALAN YASA MITRA</v>
      </c>
      <c r="D60" s="2">
        <f>IFERROR(__xludf.DUMMYFUNCTION("""COMPUTED_VALUE"""),5.711475E7)</f>
        <v>57114750</v>
      </c>
      <c r="E60" s="2"/>
      <c r="F60" s="2" t="str">
        <f>IFERROR(__xludf.DUMMYFUNCTION("""COMPUTED_VALUE"""),"DB")</f>
        <v>DB</v>
      </c>
      <c r="G60" s="2">
        <f>IFERROR(__xludf.DUMMYFUNCTION("""COMPUTED_VALUE"""),1.9444097950000048E7)</f>
        <v>19444097.95</v>
      </c>
      <c r="H60" s="2"/>
      <c r="I60" s="2" t="str">
        <f>IFERROR(__xludf.DUMMYFUNCTION("""COMPUTED_VALUE"""),"PRODUKSI")</f>
        <v>PRODUKSI</v>
      </c>
    </row>
    <row r="61">
      <c r="A61" s="7">
        <f>IFERROR(__xludf.DUMMYFUNCTION("""COMPUTED_VALUE"""),46371.0)</f>
        <v>46371</v>
      </c>
      <c r="B61" s="2" t="str">
        <f>IFERROR(__xludf.DUMMYFUNCTION("""COMPUTED_VALUE"""),"TRSF E-BANKING DB")</f>
        <v>TRSF E-BANKING DB</v>
      </c>
      <c r="C61" s="2" t="str">
        <f>IFERROR(__xludf.DUMMYFUNCTION("""COMPUTED_VALUE"""),"1512/FTSCY/WS95271 669900.00 PRIMA JAYA BERSATU")</f>
        <v>1512/FTSCY/WS95271 669900.00 PRIMA JAYA BERSATU</v>
      </c>
      <c r="D61" s="2">
        <f>IFERROR(__xludf.DUMMYFUNCTION("""COMPUTED_VALUE"""),669900.0)</f>
        <v>669900</v>
      </c>
      <c r="E61" s="2"/>
      <c r="F61" s="2" t="str">
        <f>IFERROR(__xludf.DUMMYFUNCTION("""COMPUTED_VALUE"""),"DB")</f>
        <v>DB</v>
      </c>
      <c r="G61" s="2">
        <f>IFERROR(__xludf.DUMMYFUNCTION("""COMPUTED_VALUE"""),1.8774197950000048E7)</f>
        <v>18774197.95</v>
      </c>
      <c r="H61" s="2">
        <f>IFERROR(__xludf.DUMMYFUNCTION("""COMPUTED_VALUE"""),1.877419795E7)</f>
        <v>18774197.95</v>
      </c>
      <c r="I61" s="2" t="str">
        <f>IFERROR(__xludf.DUMMYFUNCTION("""COMPUTED_VALUE"""),"PRODUKSI")</f>
        <v>PRODUKSI</v>
      </c>
    </row>
    <row r="62">
      <c r="A62" s="7">
        <f>IFERROR(__xludf.DUMMYFUNCTION("""COMPUTED_VALUE"""),46371.0)</f>
        <v>46371</v>
      </c>
      <c r="B62" s="2" t="str">
        <f>IFERROR(__xludf.DUMMYFUNCTION("""COMPUTED_VALUE"""),"BIAYA ADM")</f>
        <v>BIAYA ADM</v>
      </c>
      <c r="C62" s="2" t="str">
        <f>IFERROR(__xludf.DUMMYFUNCTION("""COMPUTED_VALUE"""),"BIAYA ADM")</f>
        <v>BIAYA ADM</v>
      </c>
      <c r="D62" s="2">
        <f>IFERROR(__xludf.DUMMYFUNCTION("""COMPUTED_VALUE"""),19000.0)</f>
        <v>19000</v>
      </c>
      <c r="E62" s="2"/>
      <c r="F62" s="2"/>
      <c r="G62" s="2">
        <f>IFERROR(__xludf.DUMMYFUNCTION("""COMPUTED_VALUE"""),1.9428413795000005E8)</f>
        <v>194284138</v>
      </c>
      <c r="H62" s="2">
        <f>IFERROR(__xludf.DUMMYFUNCTION("""COMPUTED_VALUE"""),1.9428413795E8)</f>
        <v>194284138</v>
      </c>
      <c r="I62" s="2" t="str">
        <f>IFERROR(__xludf.DUMMYFUNCTION("""COMPUTED_VALUE"""),"PRODUKSI")</f>
        <v>PRODUKSI</v>
      </c>
    </row>
    <row r="63">
      <c r="A63" s="7">
        <f>IFERROR(__xludf.DUMMYFUNCTION("""COMPUTED_VALUE"""),46372.0)</f>
        <v>46372</v>
      </c>
      <c r="B63" s="2" t="str">
        <f>IFERROR(__xludf.DUMMYFUNCTION("""COMPUTED_VALUE"""),"TRSF E-BANKING DB TANGGAL :15/12")</f>
        <v>TRSF E-BANKING DB TANGGAL :15/12</v>
      </c>
      <c r="C63" s="2" t="str">
        <f>IFERROR(__xludf.DUMMYFUNCTION("""COMPUTED_VALUE"""),"1512/FTSCY/WS95271 Sun Dec 13 2026 15:00:00 GMT+0700 (Western Indonesia Time) ANDALAN YASA MITRA")</f>
        <v>1512/FTSCY/WS95271 Sun Dec 13 2026 15:00:00 GMT+0700 (Western Indonesia Time) ANDALAN YASA MITRA</v>
      </c>
      <c r="D63" s="2">
        <f>IFERROR(__xludf.DUMMYFUNCTION("""COMPUTED_VALUE"""),1.0999065E8)</f>
        <v>109990650</v>
      </c>
      <c r="E63" s="2"/>
      <c r="F63" s="2" t="str">
        <f>IFERROR(__xludf.DUMMYFUNCTION("""COMPUTED_VALUE"""),"DB")</f>
        <v>DB</v>
      </c>
      <c r="G63" s="2">
        <f>IFERROR(__xludf.DUMMYFUNCTION("""COMPUTED_VALUE"""),8.429348795000005E7)</f>
        <v>84293487.95</v>
      </c>
      <c r="H63" s="2"/>
      <c r="I63" s="2" t="str">
        <f>IFERROR(__xludf.DUMMYFUNCTION("""COMPUTED_VALUE"""),"PRODUKSI")</f>
        <v>PRODUKSI</v>
      </c>
    </row>
    <row r="64">
      <c r="A64" s="7">
        <f>IFERROR(__xludf.DUMMYFUNCTION("""COMPUTED_VALUE"""),46372.0)</f>
        <v>46372</v>
      </c>
      <c r="B64" s="2" t="str">
        <f>IFERROR(__xludf.DUMMYFUNCTION("""COMPUTED_VALUE"""),"TRSF E-BANKING DB TANGGAL :15/12")</f>
        <v>TRSF E-BANKING DB TANGGAL :15/12</v>
      </c>
      <c r="C64" s="2" t="str">
        <f>IFERROR(__xludf.DUMMYFUNCTION("""COMPUTED_VALUE"""),"1512/FTSCY/WS95271 13/12 krg 100 jt BROILER MAKMUR TAN")</f>
        <v>1512/FTSCY/WS95271 13/12 krg 100 jt BROILER MAKMUR TAN</v>
      </c>
      <c r="D64" s="2">
        <f>IFERROR(__xludf.DUMMYFUNCTION("""COMPUTED_VALUE"""),8.34093E7)</f>
        <v>83409300</v>
      </c>
      <c r="E64" s="2"/>
      <c r="F64" s="2" t="str">
        <f>IFERROR(__xludf.DUMMYFUNCTION("""COMPUTED_VALUE"""),"DB")</f>
        <v>DB</v>
      </c>
      <c r="G64" s="2">
        <f>IFERROR(__xludf.DUMMYFUNCTION("""COMPUTED_VALUE"""),884187.9500000477)</f>
        <v>884187.95</v>
      </c>
      <c r="H64" s="2"/>
      <c r="I64" s="2" t="str">
        <f>IFERROR(__xludf.DUMMYFUNCTION("""COMPUTED_VALUE"""),"PRODUKSI")</f>
        <v>PRODUKSI</v>
      </c>
    </row>
    <row r="65">
      <c r="A65" s="7">
        <f>IFERROR(__xludf.DUMMYFUNCTION("""COMPUTED_VALUE"""),46372.0)</f>
        <v>46372</v>
      </c>
      <c r="B65" s="2" t="str">
        <f>IFERROR(__xludf.DUMMYFUNCTION("""COMPUTED_VALUE"""),"TRSF E-BANKING DB TANGGAL :15/12")</f>
        <v>TRSF E-BANKING DB TANGGAL :15/12</v>
      </c>
      <c r="C65" s="2" t="str">
        <f>IFERROR(__xludf.DUMMYFUNCTION("""COMPUTED_VALUE"""),"1512/FTSCY/WS95271 MUHAMMAD HAIRUL MA")</f>
        <v>1512/FTSCY/WS95271 MUHAMMAD HAIRUL MA</v>
      </c>
      <c r="D65" s="2">
        <f>IFERROR(__xludf.DUMMYFUNCTION("""COMPUTED_VALUE"""),834000.0)</f>
        <v>834000</v>
      </c>
      <c r="E65" s="2"/>
      <c r="F65" s="2" t="str">
        <f>IFERROR(__xludf.DUMMYFUNCTION("""COMPUTED_VALUE"""),"DB")</f>
        <v>DB</v>
      </c>
      <c r="G65" s="2">
        <f>IFERROR(__xludf.DUMMYFUNCTION("""COMPUTED_VALUE"""),50187.950000047684)</f>
        <v>50187.95</v>
      </c>
      <c r="H65" s="2"/>
      <c r="I65" s="2" t="str">
        <f>IFERROR(__xludf.DUMMYFUNCTION("""COMPUTED_VALUE"""),"PRODUKSI")</f>
        <v>PRODUKSI</v>
      </c>
    </row>
    <row r="66">
      <c r="A66" s="7">
        <f>IFERROR(__xludf.DUMMYFUNCTION("""COMPUTED_VALUE"""),46372.0)</f>
        <v>46372</v>
      </c>
      <c r="B66" s="2" t="str">
        <f>IFERROR(__xludf.DUMMYFUNCTION("""COMPUTED_VALUE"""),"BI-FAST DB")</f>
        <v>BI-FAST DB</v>
      </c>
      <c r="C66" s="2" t="str">
        <f>IFERROR(__xludf.DUMMYFUNCTION("""COMPUTED_VALUE"""),"BIF TRANSFER KE 451 EMELYDA ALIFQIH M-BCA")</f>
        <v>BIF TRANSFER KE 451 EMELYDA ALIFQIH M-BCA</v>
      </c>
      <c r="D66" s="2">
        <f>IFERROR(__xludf.DUMMYFUNCTION("""COMPUTED_VALUE"""),300000.0)</f>
        <v>300000</v>
      </c>
      <c r="E66" s="2"/>
      <c r="F66" s="2" t="str">
        <f>IFERROR(__xludf.DUMMYFUNCTION("""COMPUTED_VALUE"""),"DB")</f>
        <v>DB</v>
      </c>
      <c r="G66" s="2">
        <f>IFERROR(__xludf.DUMMYFUNCTION("""COMPUTED_VALUE"""),5.1911566795000005E8)</f>
        <v>519115668</v>
      </c>
      <c r="H66" s="2"/>
      <c r="I66" s="2" t="str">
        <f>IFERROR(__xludf.DUMMYFUNCTION("""COMPUTED_VALUE"""),"PRODUKSI")</f>
        <v>PRODUKSI</v>
      </c>
    </row>
    <row r="67">
      <c r="A67" s="7">
        <f>IFERROR(__xludf.DUMMYFUNCTION("""COMPUTED_VALUE"""),46372.0)</f>
        <v>46372</v>
      </c>
      <c r="B67" s="2" t="str">
        <f>IFERROR(__xludf.DUMMYFUNCTION("""COMPUTED_VALUE"""),"BI-FAST DB")</f>
        <v>BI-FAST DB</v>
      </c>
      <c r="C67" s="2" t="str">
        <f>IFERROR(__xludf.DUMMYFUNCTION("""COMPUTED_VALUE"""),"BIF BIAYA TXN KE 451 EMELYDA ALIFQIH M-BCA")</f>
        <v>BIF BIAYA TXN KE 451 EMELYDA ALIFQIH M-BCA</v>
      </c>
      <c r="D67" s="2">
        <f>IFERROR(__xludf.DUMMYFUNCTION("""COMPUTED_VALUE"""),2500.0)</f>
        <v>2500</v>
      </c>
      <c r="E67" s="2"/>
      <c r="F67" s="2" t="str">
        <f>IFERROR(__xludf.DUMMYFUNCTION("""COMPUTED_VALUE"""),"DB")</f>
        <v>DB</v>
      </c>
      <c r="G67" s="2">
        <f>IFERROR(__xludf.DUMMYFUNCTION("""COMPUTED_VALUE"""),5.1911316795000005E8)</f>
        <v>519113168</v>
      </c>
      <c r="H67" s="2">
        <f>IFERROR(__xludf.DUMMYFUNCTION("""COMPUTED_VALUE"""),5.1911316795E8)</f>
        <v>519113168</v>
      </c>
      <c r="I67" s="2" t="str">
        <f>IFERROR(__xludf.DUMMYFUNCTION("""COMPUTED_VALUE"""),"PRODUKSI")</f>
        <v>PRODUKSI</v>
      </c>
    </row>
    <row r="68">
      <c r="A68" s="7">
        <f>IFERROR(__xludf.DUMMYFUNCTION("""COMPUTED_VALUE"""),46373.0)</f>
        <v>46373</v>
      </c>
      <c r="B68" s="2" t="str">
        <f>IFERROR(__xludf.DUMMYFUNCTION("""COMPUTED_VALUE"""),"BI-FAST DB")</f>
        <v>BI-FAST DB</v>
      </c>
      <c r="C68" s="2" t="str">
        <f>IFERROR(__xludf.DUMMYFUNCTION("""COMPUTED_VALUE"""),"BIF TRANSFER KE 9 NOUVAL HOLQI RISKU M-BCA")</f>
        <v>BIF TRANSFER KE 9 NOUVAL HOLQI RISKU M-BCA</v>
      </c>
      <c r="D68" s="2">
        <f>IFERROR(__xludf.DUMMYFUNCTION("""COMPUTED_VALUE"""),80000.0)</f>
        <v>80000</v>
      </c>
      <c r="E68" s="2"/>
      <c r="F68" s="2" t="str">
        <f>IFERROR(__xludf.DUMMYFUNCTION("""COMPUTED_VALUE"""),"DB")</f>
        <v>DB</v>
      </c>
      <c r="G68" s="2">
        <f>IFERROR(__xludf.DUMMYFUNCTION("""COMPUTED_VALUE"""),5.1903316795000005E8)</f>
        <v>519033168</v>
      </c>
      <c r="H68" s="2"/>
      <c r="I68" s="2" t="str">
        <f>IFERROR(__xludf.DUMMYFUNCTION("""COMPUTED_VALUE"""),"PRODUKSI")</f>
        <v>PRODUKSI</v>
      </c>
    </row>
    <row r="69">
      <c r="A69" s="7">
        <f>IFERROR(__xludf.DUMMYFUNCTION("""COMPUTED_VALUE"""),46373.0)</f>
        <v>46373</v>
      </c>
      <c r="B69" s="2" t="str">
        <f>IFERROR(__xludf.DUMMYFUNCTION("""COMPUTED_VALUE"""),"BI-FAST DB")</f>
        <v>BI-FAST DB</v>
      </c>
      <c r="C69" s="2" t="str">
        <f>IFERROR(__xludf.DUMMYFUNCTION("""COMPUTED_VALUE"""),"BIF BIAYA TXN KE 9 NOUVAL HOLQI RISKU M-BCA")</f>
        <v>BIF BIAYA TXN KE 9 NOUVAL HOLQI RISKU M-BCA</v>
      </c>
      <c r="D69" s="2">
        <f>IFERROR(__xludf.DUMMYFUNCTION("""COMPUTED_VALUE"""),2500.0)</f>
        <v>2500</v>
      </c>
      <c r="E69" s="2"/>
      <c r="F69" s="2" t="str">
        <f>IFERROR(__xludf.DUMMYFUNCTION("""COMPUTED_VALUE"""),"DB")</f>
        <v>DB</v>
      </c>
      <c r="G69" s="2">
        <f>IFERROR(__xludf.DUMMYFUNCTION("""COMPUTED_VALUE"""),5.1903066795000005E8)</f>
        <v>519030668</v>
      </c>
      <c r="H69" s="2"/>
      <c r="I69" s="2" t="str">
        <f>IFERROR(__xludf.DUMMYFUNCTION("""COMPUTED_VALUE"""),"PRODUKSI")</f>
        <v>PRODUKSI</v>
      </c>
    </row>
    <row r="70">
      <c r="A70" s="7">
        <f>IFERROR(__xludf.DUMMYFUNCTION("""COMPUTED_VALUE"""),46373.0)</f>
        <v>46373</v>
      </c>
      <c r="B70" s="2" t="str">
        <f>IFERROR(__xludf.DUMMYFUNCTION("""COMPUTED_VALUE"""),"TRSF E-BANKING DB")</f>
        <v>TRSF E-BANKING DB</v>
      </c>
      <c r="C70" s="2" t="str">
        <f>IFERROR(__xludf.DUMMYFUNCTION("""COMPUTED_VALUE"""),"1712/FTFVA/WS95031 55569/PT PRIMA FAJ pelunasan - 40190")</f>
        <v>1712/FTFVA/WS95031 55569/PT PRIMA FAJ pelunasan - 40190</v>
      </c>
      <c r="D70" s="2">
        <f>IFERROR(__xludf.DUMMYFUNCTION("""COMPUTED_VALUE"""),1.051932E8)</f>
        <v>105193200</v>
      </c>
      <c r="E70" s="2"/>
      <c r="F70" s="2" t="str">
        <f>IFERROR(__xludf.DUMMYFUNCTION("""COMPUTED_VALUE"""),"DB")</f>
        <v>DB</v>
      </c>
      <c r="G70" s="2">
        <f>IFERROR(__xludf.DUMMYFUNCTION("""COMPUTED_VALUE"""),4.1383746795000005E8)</f>
        <v>413837468</v>
      </c>
      <c r="H70" s="2"/>
      <c r="I70" s="2" t="str">
        <f>IFERROR(__xludf.DUMMYFUNCTION("""COMPUTED_VALUE"""),"PRODUKSI")</f>
        <v>PRODUKSI</v>
      </c>
    </row>
    <row r="71">
      <c r="A71" s="7">
        <f>IFERROR(__xludf.DUMMYFUNCTION("""COMPUTED_VALUE"""),46373.0)</f>
        <v>46373</v>
      </c>
      <c r="B71" s="2" t="str">
        <f>IFERROR(__xludf.DUMMYFUNCTION("""COMPUTED_VALUE"""),"TRSF E-BANKING DB")</f>
        <v>TRSF E-BANKING DB</v>
      </c>
      <c r="C71" s="2" t="str">
        <f>IFERROR(__xludf.DUMMYFUNCTION("""COMPUTED_VALUE"""),"1712/FTSCY/WS95271 51302400.00 Mon Dec 14 2026 15:00:00 GMT+0700 (Western Indonesia Time) ANDALAN YASA MITRA")</f>
        <v>1712/FTSCY/WS95271 51302400.00 Mon Dec 14 2026 15:00:00 GMT+0700 (Western Indonesia Time) ANDALAN YASA MITRA</v>
      </c>
      <c r="D71" s="2">
        <f>IFERROR(__xludf.DUMMYFUNCTION("""COMPUTED_VALUE"""),5.13024E7)</f>
        <v>51302400</v>
      </c>
      <c r="E71" s="2"/>
      <c r="F71" s="2" t="str">
        <f>IFERROR(__xludf.DUMMYFUNCTION("""COMPUTED_VALUE"""),"DB")</f>
        <v>DB</v>
      </c>
      <c r="G71" s="2">
        <f>IFERROR(__xludf.DUMMYFUNCTION("""COMPUTED_VALUE"""),3.6253506795000005E8)</f>
        <v>362535068</v>
      </c>
      <c r="H71" s="2">
        <f>IFERROR(__xludf.DUMMYFUNCTION("""COMPUTED_VALUE"""),3.6253506795E8)</f>
        <v>362535068</v>
      </c>
      <c r="I71" s="2" t="str">
        <f>IFERROR(__xludf.DUMMYFUNCTION("""COMPUTED_VALUE"""),"PRODUKSI")</f>
        <v>PRODUKSI</v>
      </c>
    </row>
    <row r="72">
      <c r="A72" s="7">
        <f>IFERROR(__xludf.DUMMYFUNCTION("""COMPUTED_VALUE"""),46373.0)</f>
        <v>46373</v>
      </c>
      <c r="B72" s="2" t="str">
        <f>IFERROR(__xludf.DUMMYFUNCTION("""COMPUTED_VALUE"""),"TRSF E-BANKING DB")</f>
        <v>TRSF E-BANKING DB</v>
      </c>
      <c r="C72" s="2" t="str">
        <f>IFERROR(__xludf.DUMMYFUNCTION("""COMPUTED_VALUE"""),"1712/FTSCY/WS95271 47686700.00 Mon Dec 14 2026 15:00:00 GMT+0700 (Western Indonesia Time) ANDALAN YASA MITRA")</f>
        <v>1712/FTSCY/WS95271 47686700.00 Mon Dec 14 2026 15:00:00 GMT+0700 (Western Indonesia Time) ANDALAN YASA MITRA</v>
      </c>
      <c r="D72" s="2">
        <f>IFERROR(__xludf.DUMMYFUNCTION("""COMPUTED_VALUE"""),4.76867E7)</f>
        <v>47686700</v>
      </c>
      <c r="E72" s="2"/>
      <c r="F72" s="2" t="str">
        <f>IFERROR(__xludf.DUMMYFUNCTION("""COMPUTED_VALUE"""),"DB")</f>
        <v>DB</v>
      </c>
      <c r="G72" s="2">
        <f>IFERROR(__xludf.DUMMYFUNCTION("""COMPUTED_VALUE"""),3.1484836795000005E8)</f>
        <v>314848368</v>
      </c>
      <c r="H72" s="2">
        <f>IFERROR(__xludf.DUMMYFUNCTION("""COMPUTED_VALUE"""),3.1484836795E8)</f>
        <v>314848368</v>
      </c>
      <c r="I72" s="2" t="str">
        <f>IFERROR(__xludf.DUMMYFUNCTION("""COMPUTED_VALUE"""),"PRODUKSI")</f>
        <v>PRODUKSI</v>
      </c>
    </row>
    <row r="73">
      <c r="A73" s="7">
        <f>IFERROR(__xludf.DUMMYFUNCTION("""COMPUTED_VALUE"""),46373.0)</f>
        <v>46373</v>
      </c>
      <c r="B73" s="2" t="str">
        <f>IFERROR(__xludf.DUMMYFUNCTION("""COMPUTED_VALUE"""),"TRSF E-BANKING DB")</f>
        <v>TRSF E-BANKING DB</v>
      </c>
      <c r="C73" s="2" t="str">
        <f>IFERROR(__xludf.DUMMYFUNCTION("""COMPUTED_VALUE"""),"1712/FTSCY/WS95031 100000000.00 krg 44.571.750 BROILER MAKMUR TAN")</f>
        <v>1712/FTSCY/WS95031 100000000.00 krg 44.571.750 BROILER MAKMUR TAN</v>
      </c>
      <c r="D73" s="2">
        <f>IFERROR(__xludf.DUMMYFUNCTION("""COMPUTED_VALUE"""),1.0E8)</f>
        <v>100000000</v>
      </c>
      <c r="E73" s="2"/>
      <c r="F73" s="2" t="str">
        <f>IFERROR(__xludf.DUMMYFUNCTION("""COMPUTED_VALUE"""),"DB")</f>
        <v>DB</v>
      </c>
      <c r="G73" s="2">
        <f>IFERROR(__xludf.DUMMYFUNCTION("""COMPUTED_VALUE"""),2.1484836795000005E8)</f>
        <v>214848368</v>
      </c>
      <c r="H73" s="2"/>
      <c r="I73" s="2" t="str">
        <f>IFERROR(__xludf.DUMMYFUNCTION("""COMPUTED_VALUE"""),"PRODUKSI")</f>
        <v>PRODUKSI</v>
      </c>
    </row>
    <row r="74">
      <c r="A74" s="7">
        <f>IFERROR(__xludf.DUMMYFUNCTION("""COMPUTED_VALUE"""),46373.0)</f>
        <v>46373</v>
      </c>
      <c r="B74" s="2" t="str">
        <f>IFERROR(__xludf.DUMMYFUNCTION("""COMPUTED_VALUE"""),"TRSF E-BANKING DB")</f>
        <v>TRSF E-BANKING DB</v>
      </c>
      <c r="C74" s="2" t="str">
        <f>IFERROR(__xludf.DUMMYFUNCTION("""COMPUTED_VALUE"""),"1712/FTSCY/WS95271 44571750.00 pelunasan BROILER MAKMUR TAN")</f>
        <v>1712/FTSCY/WS95271 44571750.00 pelunasan BROILER MAKMUR TAN</v>
      </c>
      <c r="D74" s="2">
        <f>IFERROR(__xludf.DUMMYFUNCTION("""COMPUTED_VALUE"""),4.457175E7)</f>
        <v>44571750</v>
      </c>
      <c r="E74" s="2"/>
      <c r="F74" s="2" t="str">
        <f>IFERROR(__xludf.DUMMYFUNCTION("""COMPUTED_VALUE"""),"DB")</f>
        <v>DB</v>
      </c>
      <c r="G74" s="2">
        <f>IFERROR(__xludf.DUMMYFUNCTION("""COMPUTED_VALUE"""),1.7027661795000005E8)</f>
        <v>170276618</v>
      </c>
      <c r="H74" s="2"/>
      <c r="I74" s="2" t="str">
        <f>IFERROR(__xludf.DUMMYFUNCTION("""COMPUTED_VALUE"""),"PRODUKSI")</f>
        <v>PRODUKSI</v>
      </c>
    </row>
    <row r="75">
      <c r="A75" s="7">
        <f>IFERROR(__xludf.DUMMYFUNCTION("""COMPUTED_VALUE"""),46373.0)</f>
        <v>46373</v>
      </c>
      <c r="B75" s="2" t="str">
        <f>IFERROR(__xludf.DUMMYFUNCTION("""COMPUTED_VALUE"""),"TRSF E-BANKING DB")</f>
        <v>TRSF E-BANKING DB</v>
      </c>
      <c r="C75" s="2" t="str">
        <f>IFERROR(__xludf.DUMMYFUNCTION("""COMPUTED_VALUE"""),"1712/FTSCY/WS95271 13467880.00 Tue Dec 15 2026 15:00:00 GMT+0700 (Western Indonesia Time) BRANTAS ABADI SENT")</f>
        <v>1712/FTSCY/WS95271 13467880.00 Tue Dec 15 2026 15:00:00 GMT+0700 (Western Indonesia Time) BRANTAS ABADI SENT</v>
      </c>
      <c r="D75" s="2">
        <f>IFERROR(__xludf.DUMMYFUNCTION("""COMPUTED_VALUE"""),1.346788E7)</f>
        <v>13467880</v>
      </c>
      <c r="E75" s="2"/>
      <c r="F75" s="2" t="str">
        <f>IFERROR(__xludf.DUMMYFUNCTION("""COMPUTED_VALUE"""),"DB")</f>
        <v>DB</v>
      </c>
      <c r="G75" s="2">
        <f>IFERROR(__xludf.DUMMYFUNCTION("""COMPUTED_VALUE"""),1.5680873795000005E8)</f>
        <v>156808738</v>
      </c>
      <c r="H75" s="2"/>
      <c r="I75" s="2" t="str">
        <f>IFERROR(__xludf.DUMMYFUNCTION("""COMPUTED_VALUE"""),"PRODUKSI")</f>
        <v>PRODUKSI</v>
      </c>
    </row>
    <row r="76">
      <c r="A76" s="7">
        <f>IFERROR(__xludf.DUMMYFUNCTION("""COMPUTED_VALUE"""),46373.0)</f>
        <v>46373</v>
      </c>
      <c r="B76" s="2" t="str">
        <f>IFERROR(__xludf.DUMMYFUNCTION("""COMPUTED_VALUE"""),"TRSF E-BANKING DB")</f>
        <v>TRSF E-BANKING DB</v>
      </c>
      <c r="C76" s="2" t="str">
        <f>IFERROR(__xludf.DUMMYFUNCTION("""COMPUTED_VALUE"""),"1712/FTSCY/WS95011 55931700.00 Tue Dec 15 2026 15:00:00 GMT+0700 (Western Indonesia Time) LAJU SATWA WISESA")</f>
        <v>1712/FTSCY/WS95011 55931700.00 Tue Dec 15 2026 15:00:00 GMT+0700 (Western Indonesia Time) LAJU SATWA WISESA</v>
      </c>
      <c r="D76" s="2">
        <f>IFERROR(__xludf.DUMMYFUNCTION("""COMPUTED_VALUE"""),5.59317E7)</f>
        <v>55931700</v>
      </c>
      <c r="E76" s="2"/>
      <c r="F76" s="2" t="str">
        <f>IFERROR(__xludf.DUMMYFUNCTION("""COMPUTED_VALUE"""),"DB")</f>
        <v>DB</v>
      </c>
      <c r="G76" s="2">
        <f>IFERROR(__xludf.DUMMYFUNCTION("""COMPUTED_VALUE"""),1.3087703795000005E8)</f>
        <v>130877038</v>
      </c>
      <c r="H76" s="2"/>
      <c r="I76" s="2" t="str">
        <f>IFERROR(__xludf.DUMMYFUNCTION("""COMPUTED_VALUE"""),"PRODUKSI")</f>
        <v>PRODUKSI</v>
      </c>
    </row>
    <row r="77">
      <c r="A77" s="7">
        <f>IFERROR(__xludf.DUMMYFUNCTION("""COMPUTED_VALUE"""),46373.0)</f>
        <v>46373</v>
      </c>
      <c r="B77" s="2" t="str">
        <f>IFERROR(__xludf.DUMMYFUNCTION("""COMPUTED_VALUE"""),"TRSF E-BANKING DB")</f>
        <v>TRSF E-BANKING DB</v>
      </c>
      <c r="C77" s="2" t="str">
        <f>IFERROR(__xludf.DUMMYFUNCTION("""COMPUTED_VALUE"""),"1712/FTSCY/WS95011 59528900.00 Tue Dec 15 2026 15:00:00 GMT+0700 (Western Indonesia Time) LAJU SATWA WISESA")</f>
        <v>1712/FTSCY/WS95011 59528900.00 Tue Dec 15 2026 15:00:00 GMT+0700 (Western Indonesia Time) LAJU SATWA WISESA</v>
      </c>
      <c r="D77" s="2">
        <f>IFERROR(__xludf.DUMMYFUNCTION("""COMPUTED_VALUE"""),5.95289E7)</f>
        <v>59528900</v>
      </c>
      <c r="E77" s="2"/>
      <c r="F77" s="2" t="str">
        <f>IFERROR(__xludf.DUMMYFUNCTION("""COMPUTED_VALUE"""),"DB")</f>
        <v>DB</v>
      </c>
      <c r="G77" s="2">
        <f>IFERROR(__xludf.DUMMYFUNCTION("""COMPUTED_VALUE"""),7.134813795000005E7)</f>
        <v>71348137.95</v>
      </c>
      <c r="H77" s="2"/>
      <c r="I77" s="2" t="str">
        <f>IFERROR(__xludf.DUMMYFUNCTION("""COMPUTED_VALUE"""),"PRODUKSI")</f>
        <v>PRODUKSI</v>
      </c>
    </row>
    <row r="78">
      <c r="A78" s="7">
        <f>IFERROR(__xludf.DUMMYFUNCTION("""COMPUTED_VALUE"""),46373.0)</f>
        <v>46373</v>
      </c>
      <c r="B78" s="2" t="str">
        <f>IFERROR(__xludf.DUMMYFUNCTION("""COMPUTED_VALUE"""),"TRSF E-BANKING DB")</f>
        <v>TRSF E-BANKING DB</v>
      </c>
      <c r="C78" s="2" t="str">
        <f>IFERROR(__xludf.DUMMYFUNCTION("""COMPUTED_VALUE"""),"1712/FTSCY/WS95011 77244800.00 Krg 140 jt 15/12 ANDALAN YASA MITRA")</f>
        <v>1712/FTSCY/WS95011 77244800.00 Krg 140 jt 15/12 ANDALAN YASA MITRA</v>
      </c>
      <c r="D78" s="2">
        <f>IFERROR(__xludf.DUMMYFUNCTION("""COMPUTED_VALUE"""),7.72448E7)</f>
        <v>77244800</v>
      </c>
      <c r="E78" s="2"/>
      <c r="F78" s="2" t="str">
        <f>IFERROR(__xludf.DUMMYFUNCTION("""COMPUTED_VALUE"""),"DB")</f>
        <v>DB</v>
      </c>
      <c r="G78" s="2">
        <f>IFERROR(__xludf.DUMMYFUNCTION("""COMPUTED_VALUE"""),6203337.950000048)</f>
        <v>6203337.95</v>
      </c>
      <c r="H78" s="2">
        <f>IFERROR(__xludf.DUMMYFUNCTION("""COMPUTED_VALUE"""),6203337.95)</f>
        <v>6203337.95</v>
      </c>
      <c r="I78" s="2" t="str">
        <f>IFERROR(__xludf.DUMMYFUNCTION("""COMPUTED_VALUE"""),"PRODUKSI")</f>
        <v>PRODUKSI</v>
      </c>
    </row>
    <row r="79">
      <c r="A79" s="7">
        <f>IFERROR(__xludf.DUMMYFUNCTION("""COMPUTED_VALUE"""),46374.0)</f>
        <v>46374</v>
      </c>
      <c r="B79" s="2" t="str">
        <f>IFERROR(__xludf.DUMMYFUNCTION("""COMPUTED_VALUE"""),"TRSF E-BANKING DB TANGGAL :17/12")</f>
        <v>TRSF E-BANKING DB TANGGAL :17/12</v>
      </c>
      <c r="C79" s="2" t="str">
        <f>IFERROR(__xludf.DUMMYFUNCTION("""COMPUTED_VALUE"""),"1712/FTSCY/WS95271 SUNARTO")</f>
        <v>1712/FTSCY/WS95271 SUNARTO</v>
      </c>
      <c r="D79" s="2">
        <f>IFERROR(__xludf.DUMMYFUNCTION("""COMPUTED_VALUE"""),2276800.0)</f>
        <v>2276800</v>
      </c>
      <c r="E79" s="2"/>
      <c r="F79" s="2" t="str">
        <f>IFERROR(__xludf.DUMMYFUNCTION("""COMPUTED_VALUE"""),"DB")</f>
        <v>DB</v>
      </c>
      <c r="G79" s="2">
        <f>IFERROR(__xludf.DUMMYFUNCTION("""COMPUTED_VALUE"""),3926537.9500000477)</f>
        <v>3926537.95</v>
      </c>
      <c r="H79" s="2"/>
      <c r="I79" s="2" t="str">
        <f>IFERROR(__xludf.DUMMYFUNCTION("""COMPUTED_VALUE"""),"PRODUKSI")</f>
        <v>PRODUKSI</v>
      </c>
    </row>
    <row r="80">
      <c r="A80" s="7">
        <f>IFERROR(__xludf.DUMMYFUNCTION("""COMPUTED_VALUE"""),46374.0)</f>
        <v>46374</v>
      </c>
      <c r="B80" s="2" t="str">
        <f>IFERROR(__xludf.DUMMYFUNCTION("""COMPUTED_VALUE"""),"TRSF E-BANKING DB TANGGAL :17/12")</f>
        <v>TRSF E-BANKING DB TANGGAL :17/12</v>
      </c>
      <c r="C80" s="2" t="str">
        <f>IFERROR(__xludf.DUMMYFUNCTION("""COMPUTED_VALUE"""),"1712/FTSCY/WS95271 IMAM KUSAENI")</f>
        <v>1712/FTSCY/WS95271 IMAM KUSAENI</v>
      </c>
      <c r="D80" s="2">
        <f>IFERROR(__xludf.DUMMYFUNCTION("""COMPUTED_VALUE"""),2495760.0)</f>
        <v>2495760</v>
      </c>
      <c r="E80" s="2"/>
      <c r="F80" s="2" t="str">
        <f>IFERROR(__xludf.DUMMYFUNCTION("""COMPUTED_VALUE"""),"DB")</f>
        <v>DB</v>
      </c>
      <c r="G80" s="2">
        <f>IFERROR(__xludf.DUMMYFUNCTION("""COMPUTED_VALUE"""),1430777.9500000477)</f>
        <v>1430777.95</v>
      </c>
      <c r="H80" s="2"/>
      <c r="I80" s="2" t="str">
        <f>IFERROR(__xludf.DUMMYFUNCTION("""COMPUTED_VALUE"""),"PRODUKSI")</f>
        <v>PRODUKSI</v>
      </c>
    </row>
    <row r="81">
      <c r="A81" s="7">
        <f>IFERROR(__xludf.DUMMYFUNCTION("""COMPUTED_VALUE"""),46374.0)</f>
        <v>46374</v>
      </c>
      <c r="B81" s="2" t="str">
        <f>IFERROR(__xludf.DUMMYFUNCTION("""COMPUTED_VALUE"""),"TRSF E-BANKING DB TANGGAL :17/12")</f>
        <v>TRSF E-BANKING DB TANGGAL :17/12</v>
      </c>
      <c r="C81" s="2" t="str">
        <f>IFERROR(__xludf.DUMMYFUNCTION("""COMPUTED_VALUE"""),"1712/FTSCY/WS95271 krg 6.603.000 FAJAR ANDREANZAH")</f>
        <v>1712/FTSCY/WS95271 krg 6.603.000 FAJAR ANDREANZAH</v>
      </c>
      <c r="D81" s="2">
        <f>IFERROR(__xludf.DUMMYFUNCTION("""COMPUTED_VALUE"""),1379940.0)</f>
        <v>1379940</v>
      </c>
      <c r="E81" s="2"/>
      <c r="F81" s="2" t="str">
        <f>IFERROR(__xludf.DUMMYFUNCTION("""COMPUTED_VALUE"""),"DB")</f>
        <v>DB</v>
      </c>
      <c r="G81" s="2">
        <f>IFERROR(__xludf.DUMMYFUNCTION("""COMPUTED_VALUE"""),50837.950000047684)</f>
        <v>50837.95</v>
      </c>
      <c r="H81" s="2"/>
      <c r="I81" s="2" t="str">
        <f>IFERROR(__xludf.DUMMYFUNCTION("""COMPUTED_VALUE"""),"PRODUKSI")</f>
        <v>PRODUKSI</v>
      </c>
    </row>
    <row r="82">
      <c r="A82" s="7">
        <f>IFERROR(__xludf.DUMMYFUNCTION("""COMPUTED_VALUE"""),46374.0)</f>
        <v>46374</v>
      </c>
      <c r="B82" s="2" t="str">
        <f>IFERROR(__xludf.DUMMYFUNCTION("""COMPUTED_VALUE"""),"TRSF E-BANKING DB")</f>
        <v>TRSF E-BANKING DB</v>
      </c>
      <c r="C82" s="2" t="str">
        <f>IFERROR(__xludf.DUMMYFUNCTION("""COMPUTED_VALUE"""),"1812/FTFVA/WS95031 14453/PITIK - - 1082318368518")</f>
        <v>1812/FTFVA/WS95031 14453/PITIK - - 1082318368518</v>
      </c>
      <c r="D82" s="2">
        <f>IFERROR(__xludf.DUMMYFUNCTION("""COMPUTED_VALUE"""),1.03168E8)</f>
        <v>103168000</v>
      </c>
      <c r="E82" s="2"/>
      <c r="F82" s="2" t="str">
        <f>IFERROR(__xludf.DUMMYFUNCTION("""COMPUTED_VALUE"""),"DB")</f>
        <v>DB</v>
      </c>
      <c r="G82" s="2">
        <f>IFERROR(__xludf.DUMMYFUNCTION("""COMPUTED_VALUE"""),1.8805446795000005E8)</f>
        <v>188054468</v>
      </c>
      <c r="H82" s="2"/>
      <c r="I82" s="2" t="str">
        <f>IFERROR(__xludf.DUMMYFUNCTION("""COMPUTED_VALUE"""),"PRODUKSI")</f>
        <v>PRODUKSI</v>
      </c>
    </row>
    <row r="83">
      <c r="A83" s="7">
        <f>IFERROR(__xludf.DUMMYFUNCTION("""COMPUTED_VALUE"""),46374.0)</f>
        <v>46374</v>
      </c>
      <c r="B83" s="2" t="str">
        <f>IFERROR(__xludf.DUMMYFUNCTION("""COMPUTED_VALUE"""),"TRSF E-BANKING DB")</f>
        <v>TRSF E-BANKING DB</v>
      </c>
      <c r="C83" s="2" t="str">
        <f>IFERROR(__xludf.DUMMYFUNCTION("""COMPUTED_VALUE"""),"1812/FTSCY/WS95271 55692760.00 Tue Dec 15 2026 15:00:00 GMT+0700 (Western Indonesia Time) TABASSAM JAYA FARM")</f>
        <v>1812/FTSCY/WS95271 55692760.00 Tue Dec 15 2026 15:00:00 GMT+0700 (Western Indonesia Time) TABASSAM JAYA FARM</v>
      </c>
      <c r="D83" s="2">
        <f>IFERROR(__xludf.DUMMYFUNCTION("""COMPUTED_VALUE"""),5.569276E7)</f>
        <v>55692760</v>
      </c>
      <c r="E83" s="2"/>
      <c r="F83" s="2" t="str">
        <f>IFERROR(__xludf.DUMMYFUNCTION("""COMPUTED_VALUE"""),"DB")</f>
        <v>DB</v>
      </c>
      <c r="G83" s="2">
        <f>IFERROR(__xludf.DUMMYFUNCTION("""COMPUTED_VALUE"""),1.3236170795000005E8)</f>
        <v>132361708</v>
      </c>
      <c r="H83" s="2"/>
      <c r="I83" s="2" t="str">
        <f>IFERROR(__xludf.DUMMYFUNCTION("""COMPUTED_VALUE"""),"PRODUKSI")</f>
        <v>PRODUKSI</v>
      </c>
    </row>
    <row r="84">
      <c r="A84" s="7">
        <f>IFERROR(__xludf.DUMMYFUNCTION("""COMPUTED_VALUE"""),46374.0)</f>
        <v>46374</v>
      </c>
      <c r="B84" s="2" t="str">
        <f>IFERROR(__xludf.DUMMYFUNCTION("""COMPUTED_VALUE"""),"TRSF E-BANKING DB")</f>
        <v>TRSF E-BANKING DB</v>
      </c>
      <c r="C84" s="2" t="str">
        <f>IFERROR(__xludf.DUMMYFUNCTION("""COMPUTED_VALUE"""),"1812/FTSCY/WS95031 14000000.00 krg 85 jt EKO SETIYAWAN")</f>
        <v>1812/FTSCY/WS95031 14000000.00 krg 85 jt EKO SETIYAWAN</v>
      </c>
      <c r="D84" s="2">
        <f>IFERROR(__xludf.DUMMYFUNCTION("""COMPUTED_VALUE"""),1.4E7)</f>
        <v>14000000</v>
      </c>
      <c r="E84" s="2"/>
      <c r="F84" s="2" t="str">
        <f>IFERROR(__xludf.DUMMYFUNCTION("""COMPUTED_VALUE"""),"DB")</f>
        <v>DB</v>
      </c>
      <c r="G84" s="2">
        <f>IFERROR(__xludf.DUMMYFUNCTION("""COMPUTED_VALUE"""),1.1836170795000005E8)</f>
        <v>118361708</v>
      </c>
      <c r="H84" s="2"/>
      <c r="I84" s="2" t="str">
        <f>IFERROR(__xludf.DUMMYFUNCTION("""COMPUTED_VALUE"""),"PRODUKSI")</f>
        <v>PRODUKSI</v>
      </c>
    </row>
    <row r="85">
      <c r="A85" s="7">
        <f>IFERROR(__xludf.DUMMYFUNCTION("""COMPUTED_VALUE"""),46374.0)</f>
        <v>46374</v>
      </c>
      <c r="B85" s="2" t="str">
        <f>IFERROR(__xludf.DUMMYFUNCTION("""COMPUTED_VALUE"""),"TRSF E-BANKING DB")</f>
        <v>TRSF E-BANKING DB</v>
      </c>
      <c r="C85" s="2" t="str">
        <f>IFERROR(__xludf.DUMMYFUNCTION("""COMPUTED_VALUE"""),"1812/FTSCY/WS95271 130000.00 AGUS BUDI SANTOSO")</f>
        <v>1812/FTSCY/WS95271 130000.00 AGUS BUDI SANTOSO</v>
      </c>
      <c r="D85" s="2">
        <f>IFERROR(__xludf.DUMMYFUNCTION("""COMPUTED_VALUE"""),130000.0)</f>
        <v>130000</v>
      </c>
      <c r="E85" s="2"/>
      <c r="F85" s="2" t="str">
        <f>IFERROR(__xludf.DUMMYFUNCTION("""COMPUTED_VALUE"""),"DB")</f>
        <v>DB</v>
      </c>
      <c r="G85" s="2">
        <f>IFERROR(__xludf.DUMMYFUNCTION("""COMPUTED_VALUE"""),2.2114932795000005E8)</f>
        <v>221149328</v>
      </c>
      <c r="H85" s="2">
        <f>IFERROR(__xludf.DUMMYFUNCTION("""COMPUTED_VALUE"""),2.2114932795E8)</f>
        <v>221149328</v>
      </c>
      <c r="I85" s="2" t="str">
        <f>IFERROR(__xludf.DUMMYFUNCTION("""COMPUTED_VALUE"""),"PRODUKSI")</f>
        <v>PRODUKSI</v>
      </c>
    </row>
    <row r="86">
      <c r="A86" s="7">
        <f>IFERROR(__xludf.DUMMYFUNCTION("""COMPUTED_VALUE"""),46375.0)</f>
        <v>46375</v>
      </c>
      <c r="B86" s="2" t="str">
        <f>IFERROR(__xludf.DUMMYFUNCTION("""COMPUTED_VALUE"""),"TRSF E-BANKING DB TANGGAL :18/12")</f>
        <v>TRSF E-BANKING DB TANGGAL :18/12</v>
      </c>
      <c r="C86" s="2" t="str">
        <f>IFERROR(__xludf.DUMMYFUNCTION("""COMPUTED_VALUE"""),"1812/FTSCY/WS95271 Thu Dec 17 2026 15:00:00 GMT+0700 (Western Indonesia Time) ANUGERAH KARTIKA A")</f>
        <v>1812/FTSCY/WS95271 Thu Dec 17 2026 15:00:00 GMT+0700 (Western Indonesia Time) ANUGERAH KARTIKA A</v>
      </c>
      <c r="D86" s="2">
        <f>IFERROR(__xludf.DUMMYFUNCTION("""COMPUTED_VALUE"""),1.6367988E8)</f>
        <v>163679880</v>
      </c>
      <c r="E86" s="2"/>
      <c r="F86" s="2" t="str">
        <f>IFERROR(__xludf.DUMMYFUNCTION("""COMPUTED_VALUE"""),"DB")</f>
        <v>DB</v>
      </c>
      <c r="G86" s="2">
        <f>IFERROR(__xludf.DUMMYFUNCTION("""COMPUTED_VALUE"""),5.746944795000005E7)</f>
        <v>57469447.95</v>
      </c>
      <c r="H86" s="2"/>
      <c r="I86" s="2" t="str">
        <f>IFERROR(__xludf.DUMMYFUNCTION("""COMPUTED_VALUE"""),"PRODUKSI")</f>
        <v>PRODUKSI</v>
      </c>
    </row>
    <row r="87">
      <c r="A87" s="7">
        <f>IFERROR(__xludf.DUMMYFUNCTION("""COMPUTED_VALUE"""),46375.0)</f>
        <v>46375</v>
      </c>
      <c r="B87" s="2" t="str">
        <f>IFERROR(__xludf.DUMMYFUNCTION("""COMPUTED_VALUE"""),"TRSF E-BANKING DB TANGGAL :18/12")</f>
        <v>TRSF E-BANKING DB TANGGAL :18/12</v>
      </c>
      <c r="C87" s="2" t="str">
        <f>IFERROR(__xludf.DUMMYFUNCTION("""COMPUTED_VALUE"""),"1812/FTSCY/WS95271 Thu Dec 17 2026 15:00:00 GMT+0700 (Western Indonesia Time) TUMBUH OPTIMAL PRI")</f>
        <v>1812/FTSCY/WS95271 Thu Dec 17 2026 15:00:00 GMT+0700 (Western Indonesia Time) TUMBUH OPTIMAL PRI</v>
      </c>
      <c r="D87" s="2">
        <f>IFERROR(__xludf.DUMMYFUNCTION("""COMPUTED_VALUE"""),4.90272E7)</f>
        <v>49027200</v>
      </c>
      <c r="E87" s="2"/>
      <c r="F87" s="2" t="str">
        <f>IFERROR(__xludf.DUMMYFUNCTION("""COMPUTED_VALUE"""),"DB")</f>
        <v>DB</v>
      </c>
      <c r="G87" s="2">
        <f>IFERROR(__xludf.DUMMYFUNCTION("""COMPUTED_VALUE"""),8442247.950000048)</f>
        <v>8442247.95</v>
      </c>
      <c r="H87" s="2"/>
      <c r="I87" s="2" t="str">
        <f>IFERROR(__xludf.DUMMYFUNCTION("""COMPUTED_VALUE"""),"PRODUKSI")</f>
        <v>PRODUKSI</v>
      </c>
    </row>
    <row r="88">
      <c r="A88" s="7">
        <f>IFERROR(__xludf.DUMMYFUNCTION("""COMPUTED_VALUE"""),46375.0)</f>
        <v>46375</v>
      </c>
      <c r="B88" s="2" t="str">
        <f>IFERROR(__xludf.DUMMYFUNCTION("""COMPUTED_VALUE"""),"TRSF E-BANKING DB TANGGAL :18/12")</f>
        <v>TRSF E-BANKING DB TANGGAL :18/12</v>
      </c>
      <c r="C88" s="2" t="str">
        <f>IFERROR(__xludf.DUMMYFUNCTION("""COMPUTED_VALUE"""),"1812/FTSCY/WS95271 ANDE DOSO ANGGORO")</f>
        <v>1812/FTSCY/WS95271 ANDE DOSO ANGGORO</v>
      </c>
      <c r="D88" s="2">
        <f>IFERROR(__xludf.DUMMYFUNCTION("""COMPUTED_VALUE"""),306420.0)</f>
        <v>306420</v>
      </c>
      <c r="E88" s="2"/>
      <c r="F88" s="2" t="str">
        <f>IFERROR(__xludf.DUMMYFUNCTION("""COMPUTED_VALUE"""),"DB")</f>
        <v>DB</v>
      </c>
      <c r="G88" s="2">
        <f>IFERROR(__xludf.DUMMYFUNCTION("""COMPUTED_VALUE"""),8135827.950000048)</f>
        <v>8135827.95</v>
      </c>
      <c r="H88" s="2"/>
      <c r="I88" s="2" t="str">
        <f>IFERROR(__xludf.DUMMYFUNCTION("""COMPUTED_VALUE"""),"PRODUKSI")</f>
        <v>PRODUKSI</v>
      </c>
    </row>
    <row r="89">
      <c r="A89" s="7">
        <f>IFERROR(__xludf.DUMMYFUNCTION("""COMPUTED_VALUE"""),46375.0)</f>
        <v>46375</v>
      </c>
      <c r="B89" s="2" t="str">
        <f>IFERROR(__xludf.DUMMYFUNCTION("""COMPUTED_VALUE"""),"TRSF E-BANKING DB")</f>
        <v>TRSF E-BANKING DB</v>
      </c>
      <c r="C89" s="2" t="str">
        <f>IFERROR(__xludf.DUMMYFUNCTION("""COMPUTED_VALUE"""),"1912/FTSCY/WS95031 2426180.00 lunas HERMAWAN")</f>
        <v>1912/FTSCY/WS95031 2426180.00 lunas HERMAWAN</v>
      </c>
      <c r="D89" s="2">
        <f>IFERROR(__xludf.DUMMYFUNCTION("""COMPUTED_VALUE"""),2426180.0)</f>
        <v>2426180</v>
      </c>
      <c r="E89" s="2"/>
      <c r="F89" s="2" t="str">
        <f>IFERROR(__xludf.DUMMYFUNCTION("""COMPUTED_VALUE"""),"DB")</f>
        <v>DB</v>
      </c>
      <c r="G89" s="2">
        <f>IFERROR(__xludf.DUMMYFUNCTION("""COMPUTED_VALUE"""),5.570964795000005E7)</f>
        <v>55709647.95</v>
      </c>
      <c r="H89" s="2">
        <f>IFERROR(__xludf.DUMMYFUNCTION("""COMPUTED_VALUE"""),5.570964795E7)</f>
        <v>55709647.95</v>
      </c>
      <c r="I89" s="2" t="str">
        <f>IFERROR(__xludf.DUMMYFUNCTION("""COMPUTED_VALUE"""),"PRODUKSI")</f>
        <v>PRODUKSI</v>
      </c>
    </row>
    <row r="90">
      <c r="A90" s="7">
        <f>IFERROR(__xludf.DUMMYFUNCTION("""COMPUTED_VALUE"""),46375.0)</f>
        <v>46375</v>
      </c>
      <c r="B90" s="2" t="str">
        <f>IFERROR(__xludf.DUMMYFUNCTION("""COMPUTED_VALUE"""),"TRSF E-BANKING DB")</f>
        <v>TRSF E-BANKING DB</v>
      </c>
      <c r="C90" s="2" t="str">
        <f>IFERROR(__xludf.DUMMYFUNCTION("""COMPUTED_VALUE"""),"1912/FTSCY/WS95031 4691090.00 krg 5 jt MUJIANTO")</f>
        <v>1912/FTSCY/WS95031 4691090.00 krg 5 jt MUJIANTO</v>
      </c>
      <c r="D90" s="2">
        <f>IFERROR(__xludf.DUMMYFUNCTION("""COMPUTED_VALUE"""),4691090.0)</f>
        <v>4691090</v>
      </c>
      <c r="E90" s="2"/>
      <c r="F90" s="2" t="str">
        <f>IFERROR(__xludf.DUMMYFUNCTION("""COMPUTED_VALUE"""),"DB")</f>
        <v>DB</v>
      </c>
      <c r="G90" s="2">
        <f>IFERROR(__xludf.DUMMYFUNCTION("""COMPUTED_VALUE"""),5.101855795000005E7)</f>
        <v>51018557.95</v>
      </c>
      <c r="H90" s="2">
        <f>IFERROR(__xludf.DUMMYFUNCTION("""COMPUTED_VALUE"""),5.101855795E7)</f>
        <v>51018557.95</v>
      </c>
      <c r="I90" s="2" t="str">
        <f>IFERROR(__xludf.DUMMYFUNCTION("""COMPUTED_VALUE"""),"PRODUKSI")</f>
        <v>PRODUKSI</v>
      </c>
    </row>
    <row r="91">
      <c r="A91" s="7">
        <f>IFERROR(__xludf.DUMMYFUNCTION("""COMPUTED_VALUE"""),46375.0)</f>
        <v>46375</v>
      </c>
      <c r="B91" s="2" t="str">
        <f>IFERROR(__xludf.DUMMYFUNCTION("""COMPUTED_VALUE"""),"TRSF E-BANKING DB")</f>
        <v>TRSF E-BANKING DB</v>
      </c>
      <c r="C91" s="2" t="str">
        <f>IFERROR(__xludf.DUMMYFUNCTION("""COMPUTED_VALUE"""),"1912/FTFVA/WS95031 55574/GUNA MITRA S t.agung - 200177")</f>
        <v>1912/FTFVA/WS95031 55574/GUNA MITRA S t.agung - 200177</v>
      </c>
      <c r="D91" s="2">
        <f>IFERROR(__xludf.DUMMYFUNCTION("""COMPUTED_VALUE"""),5.156626E7)</f>
        <v>51566260</v>
      </c>
      <c r="E91" s="2"/>
      <c r="F91" s="2" t="str">
        <f>IFERROR(__xludf.DUMMYFUNCTION("""COMPUTED_VALUE"""),"DB")</f>
        <v>DB</v>
      </c>
      <c r="G91" s="2">
        <f>IFERROR(__xludf.DUMMYFUNCTION("""COMPUTED_VALUE"""),452297.9500000477)</f>
        <v>452297.95</v>
      </c>
      <c r="H91" s="2"/>
      <c r="I91" s="2" t="str">
        <f>IFERROR(__xludf.DUMMYFUNCTION("""COMPUTED_VALUE"""),"PRODUKSI")</f>
        <v>PRODUKSI</v>
      </c>
    </row>
    <row r="92">
      <c r="A92" s="7">
        <f>IFERROR(__xludf.DUMMYFUNCTION("""COMPUTED_VALUE"""),46375.0)</f>
        <v>46375</v>
      </c>
      <c r="B92" s="2" t="str">
        <f>IFERROR(__xludf.DUMMYFUNCTION("""COMPUTED_VALUE"""),"TRSF E-BANKING DB")</f>
        <v>TRSF E-BANKING DB</v>
      </c>
      <c r="C92" s="2" t="str">
        <f>IFERROR(__xludf.DUMMYFUNCTION("""COMPUTED_VALUE"""),"1912/FTSCY/WS95031 15603760.00 krg 85 EKO SETIYAWAN")</f>
        <v>1912/FTSCY/WS95031 15603760.00 krg 85 EKO SETIYAWAN</v>
      </c>
      <c r="D92" s="2">
        <f>IFERROR(__xludf.DUMMYFUNCTION("""COMPUTED_VALUE"""),1.560376E7)</f>
        <v>15603760</v>
      </c>
      <c r="E92" s="2"/>
      <c r="F92" s="2" t="str">
        <f>IFERROR(__xludf.DUMMYFUNCTION("""COMPUTED_VALUE"""),"DB")</f>
        <v>DB</v>
      </c>
      <c r="G92" s="2">
        <f>IFERROR(__xludf.DUMMYFUNCTION("""COMPUTED_VALUE"""),5.5280865095E8)</f>
        <v>552808651</v>
      </c>
      <c r="H92" s="2"/>
      <c r="I92" s="2" t="str">
        <f>IFERROR(__xludf.DUMMYFUNCTION("""COMPUTED_VALUE"""),"PRODUKSI")</f>
        <v>PRODUKSI</v>
      </c>
    </row>
    <row r="93">
      <c r="A93" s="7">
        <f>IFERROR(__xludf.DUMMYFUNCTION("""COMPUTED_VALUE"""),46375.0)</f>
        <v>46375</v>
      </c>
      <c r="B93" s="2" t="str">
        <f>IFERROR(__xludf.DUMMYFUNCTION("""COMPUTED_VALUE"""),"TRSF E-BANKING DB")</f>
        <v>TRSF E-BANKING DB</v>
      </c>
      <c r="C93" s="2" t="str">
        <f>IFERROR(__xludf.DUMMYFUNCTION("""COMPUTED_VALUE"""),"1912/FTSCY/WS95271 37820000.00 pelunasan 17/12 BROILER MAKMUR TAN")</f>
        <v>1912/FTSCY/WS95271 37820000.00 pelunasan 17/12 BROILER MAKMUR TAN</v>
      </c>
      <c r="D93" s="2">
        <f>IFERROR(__xludf.DUMMYFUNCTION("""COMPUTED_VALUE"""),3.782E7)</f>
        <v>37820000</v>
      </c>
      <c r="E93" s="2"/>
      <c r="F93" s="2" t="str">
        <f>IFERROR(__xludf.DUMMYFUNCTION("""COMPUTED_VALUE"""),"DB")</f>
        <v>DB</v>
      </c>
      <c r="G93" s="2">
        <f>IFERROR(__xludf.DUMMYFUNCTION("""COMPUTED_VALUE"""),5.1498865095000005E8)</f>
        <v>514988651</v>
      </c>
      <c r="H93" s="2"/>
      <c r="I93" s="2" t="str">
        <f>IFERROR(__xludf.DUMMYFUNCTION("""COMPUTED_VALUE"""),"PRODUKSI")</f>
        <v>PRODUKSI</v>
      </c>
    </row>
    <row r="94">
      <c r="A94" s="7">
        <f>IFERROR(__xludf.DUMMYFUNCTION("""COMPUTED_VALUE"""),46375.0)</f>
        <v>46375</v>
      </c>
      <c r="B94" s="2" t="str">
        <f>IFERROR(__xludf.DUMMYFUNCTION("""COMPUTED_VALUE"""),"TRSF E-BANKING DB")</f>
        <v>TRSF E-BANKING DB</v>
      </c>
      <c r="C94" s="2" t="str">
        <f>IFERROR(__xludf.DUMMYFUNCTION("""COMPUTED_VALUE"""),"1912/FTFVA/WS95031 55574/GUNA MITRA S titip - 200177")</f>
        <v>1912/FTFVA/WS95031 55574/GUNA MITRA S titip - 200177</v>
      </c>
      <c r="D94" s="2">
        <f>IFERROR(__xludf.DUMMYFUNCTION("""COMPUTED_VALUE"""),1.0E8)</f>
        <v>100000000</v>
      </c>
      <c r="E94" s="2"/>
      <c r="F94" s="2" t="str">
        <f>IFERROR(__xludf.DUMMYFUNCTION("""COMPUTED_VALUE"""),"DB")</f>
        <v>DB</v>
      </c>
      <c r="G94" s="2">
        <f>IFERROR(__xludf.DUMMYFUNCTION("""COMPUTED_VALUE"""),4.1498865095000005E8)</f>
        <v>414988651</v>
      </c>
      <c r="H94" s="2"/>
      <c r="I94" s="2" t="str">
        <f>IFERROR(__xludf.DUMMYFUNCTION("""COMPUTED_VALUE"""),"PRODUKSI")</f>
        <v>PRODUKSI</v>
      </c>
    </row>
    <row r="95">
      <c r="A95" s="7">
        <f>IFERROR(__xludf.DUMMYFUNCTION("""COMPUTED_VALUE"""),46376.0)</f>
        <v>46376</v>
      </c>
      <c r="B95" s="2" t="str">
        <f>IFERROR(__xludf.DUMMYFUNCTION("""COMPUTED_VALUE"""),"BI-FAST DB")</f>
        <v>BI-FAST DB</v>
      </c>
      <c r="C95" s="2" t="str">
        <f>IFERROR(__xludf.DUMMYFUNCTION("""COMPUTED_VALUE"""),"BIF BIAYA TXN KE 9 AHMAD LUTHFI FADHI M-BCA")</f>
        <v>BIF BIAYA TXN KE 9 AHMAD LUTHFI FADHI M-BCA</v>
      </c>
      <c r="D95" s="2">
        <f>IFERROR(__xludf.DUMMYFUNCTION("""COMPUTED_VALUE"""),2500.0)</f>
        <v>2500</v>
      </c>
      <c r="E95" s="2"/>
      <c r="F95" s="2" t="str">
        <f>IFERROR(__xludf.DUMMYFUNCTION("""COMPUTED_VALUE"""),"DB")</f>
        <v>DB</v>
      </c>
      <c r="G95" s="2">
        <f>IFERROR(__xludf.DUMMYFUNCTION("""COMPUTED_VALUE"""),8.843288095000005E7)</f>
        <v>88432880.95</v>
      </c>
      <c r="H95" s="2"/>
      <c r="I95" s="2" t="str">
        <f>IFERROR(__xludf.DUMMYFUNCTION("""COMPUTED_VALUE"""),"PRODUKSI")</f>
        <v>PRODUKSI</v>
      </c>
    </row>
    <row r="96">
      <c r="A96" s="7">
        <f>IFERROR(__xludf.DUMMYFUNCTION("""COMPUTED_VALUE"""),46376.0)</f>
        <v>46376</v>
      </c>
      <c r="B96" s="2" t="str">
        <f>IFERROR(__xludf.DUMMYFUNCTION("""COMPUTED_VALUE"""),"TRSF E-BANKING DB")</f>
        <v>TRSF E-BANKING DB</v>
      </c>
      <c r="C96" s="2" t="str">
        <f>IFERROR(__xludf.DUMMYFUNCTION("""COMPUTED_VALUE"""),"2012/FTSCY/WS95031 8434500.00 krg 5 jt FAJAR ANDREANZAH")</f>
        <v>2012/FTSCY/WS95031 8434500.00 krg 5 jt FAJAR ANDREANZAH</v>
      </c>
      <c r="D96" s="2">
        <f>IFERROR(__xludf.DUMMYFUNCTION("""COMPUTED_VALUE"""),8434500.0)</f>
        <v>8434500</v>
      </c>
      <c r="E96" s="2"/>
      <c r="F96" s="2" t="str">
        <f>IFERROR(__xludf.DUMMYFUNCTION("""COMPUTED_VALUE"""),"DB")</f>
        <v>DB</v>
      </c>
      <c r="G96" s="2">
        <f>IFERROR(__xludf.DUMMYFUNCTION("""COMPUTED_VALUE"""),7.999838095000005E7)</f>
        <v>79998380.95</v>
      </c>
      <c r="H96" s="2"/>
      <c r="I96" s="2" t="str">
        <f>IFERROR(__xludf.DUMMYFUNCTION("""COMPUTED_VALUE"""),"PRODUKSI")</f>
        <v>PRODUKSI</v>
      </c>
    </row>
    <row r="97">
      <c r="A97" s="7">
        <f>IFERROR(__xludf.DUMMYFUNCTION("""COMPUTED_VALUE"""),46376.0)</f>
        <v>46376</v>
      </c>
      <c r="B97" s="2" t="str">
        <f>IFERROR(__xludf.DUMMYFUNCTION("""COMPUTED_VALUE"""),"TRSF E-BANKING DB")</f>
        <v>TRSF E-BANKING DB</v>
      </c>
      <c r="C97" s="2" t="str">
        <f>IFERROR(__xludf.DUMMYFUNCTION("""COMPUTED_VALUE"""),"2012/FTSCY/WS95031 6311700.00 MUJIANTO")</f>
        <v>2012/FTSCY/WS95031 6311700.00 MUJIANTO</v>
      </c>
      <c r="D97" s="2">
        <f>IFERROR(__xludf.DUMMYFUNCTION("""COMPUTED_VALUE"""),6311700.0)</f>
        <v>6311700</v>
      </c>
      <c r="E97" s="2"/>
      <c r="F97" s="2" t="str">
        <f>IFERROR(__xludf.DUMMYFUNCTION("""COMPUTED_VALUE"""),"DB")</f>
        <v>DB</v>
      </c>
      <c r="G97" s="2">
        <f>IFERROR(__xludf.DUMMYFUNCTION("""COMPUTED_VALUE"""),7.228668095000005E7)</f>
        <v>72286680.95</v>
      </c>
      <c r="H97" s="2"/>
      <c r="I97" s="2" t="str">
        <f>IFERROR(__xludf.DUMMYFUNCTION("""COMPUTED_VALUE"""),"PRODUKSI")</f>
        <v>PRODUKSI</v>
      </c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