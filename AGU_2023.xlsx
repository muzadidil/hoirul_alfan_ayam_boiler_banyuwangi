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U_2023" sheetId="1" r:id="rId5"/>
    <sheet state="visible" name="EXSPEDISI" sheetId="2" r:id="rId6"/>
    <sheet state="visible" name="V_SALES" sheetId="3" r:id="rId7"/>
    <sheet state="visible" name="OPERASIONAL" sheetId="4" r:id="rId8"/>
    <sheet state="visible" name="NURUL_AINI" sheetId="5" r:id="rId9"/>
    <sheet state="visible" name="KOSONG" sheetId="6" r:id="rId10"/>
    <sheet state="visible" name="PRIBADI" sheetId="7" r:id="rId11"/>
    <sheet state="visible" name="PRODUKSI" sheetId="8" r:id="rId12"/>
  </sheets>
  <definedNames/>
  <calcPr/>
</workbook>
</file>

<file path=xl/sharedStrings.xml><?xml version="1.0" encoding="utf-8"?>
<sst xmlns="http://schemas.openxmlformats.org/spreadsheetml/2006/main" count="2428" uniqueCount="681">
  <si>
    <t>SALDO AWAL</t>
  </si>
  <si>
    <t>TRSF E-BANKING DB TANGGAL :31/07</t>
  </si>
  <si>
    <t>3107/FTSCY/WS95031 SUNARTO</t>
  </si>
  <si>
    <t>DB</t>
  </si>
  <si>
    <t>KARTU DEBIT TANGGAL :31/07</t>
  </si>
  <si>
    <t>IDM TROJ LANGSEP</t>
  </si>
  <si>
    <t>3107/FTSCY/WS95271 dp LAWU ABADI NUSA PT</t>
  </si>
  <si>
    <t>3107/FTFVA/WS95031 titip - 40190</t>
  </si>
  <si>
    <t>PRODUKSI</t>
  </si>
  <si>
    <t>3107/FTSCY/WS95271 kd imam b lmjg TERNAK SEJATI TABA</t>
  </si>
  <si>
    <t>3107/FTSCY/WS95011 Thu Jul 30 2026 14:00:00 GMT+0700 (Western Indonesia Time) TERNAK SEJATI TABA</t>
  </si>
  <si>
    <t>BANK</t>
  </si>
  <si>
    <t>3107/FTSCY/WS95011 krg 202.5 jt LAJU SATWA WISESA</t>
  </si>
  <si>
    <t>3107/FTSCY/WS95011 Tue Jul 28 2026 14:00:00 GMT+0700 (Western Indonesia Time) ANDALAN YASA MITRA</t>
  </si>
  <si>
    <t>TRSF E-BANKING CR</t>
  </si>
  <si>
    <t>0108/FTSCY/WS95051 50000000.00 BYR AH HAIRUL BIJI JAGUNG PERKAS</t>
  </si>
  <si>
    <t>CR</t>
  </si>
  <si>
    <t>TRSF E-BANKING DB</t>
  </si>
  <si>
    <t>0108/FTSCY/WS95031 20973050.00 pelunasan LAWU ABADI NUSA PT</t>
  </si>
  <si>
    <t>0108/FTSCY/WS95031 29340000.00 NURUL AINI</t>
  </si>
  <si>
    <t>KR OTOMATIS CR</t>
  </si>
  <si>
    <t>RTGS-PT. BANK MAND BMRIIDJA/007391 SUPER FAMOUS CHICK RTGS Fee 20230730224</t>
  </si>
  <si>
    <t>0108/FTSCY/WS95271 52173000.00 Thu Jul 30 2026 14:00:00 GMT+0700 (Western Indonesia Time) BINTANG TAMA SANTO</t>
  </si>
  <si>
    <t>0108/FTSCY/WS95011 111749500.00 Tue Jul 28 2026 14:00:00 GMT+0700 (Western Indonesia Time) BROILER MAKMUR TAN</t>
  </si>
  <si>
    <t>0108/FTSCY/WS95011 202500000.00 pelunasan LAJU SATWA WISESA</t>
  </si>
  <si>
    <t>0108/FTSCY/WS95271 52500000.00 Thu Jul 30 2026 14:00:00 GMT+0700 (Western Indonesia Time) BUDI SURYANTO</t>
  </si>
  <si>
    <t>0108/FTFVA/WS95031 55569/PT PRIMA FAJ pelunasan - 40190</t>
  </si>
  <si>
    <t>KARTU DEBIT</t>
  </si>
  <si>
    <t>ALFAMRT Y207 BRTN 6019009510239343</t>
  </si>
  <si>
    <t>0108/FTSCY/WS95051 72249440.00 AH P. HAIRUL 18/7 PHALOSARI UNGGUL J</t>
  </si>
  <si>
    <t>0108/FTSCY/WS95011 128732050.00 WAHYU MEGA ARSITA</t>
  </si>
  <si>
    <t>0108/FTSCY/WS95031 15000000.00 EKO SETIYAWAN</t>
  </si>
  <si>
    <t>0108/FTSCY/WS95271 115171500.00 Thu Jul 30 2026 14:00:00 GMT+0700 (Western Indonesia Time) GANESHA SATRIA NUS</t>
  </si>
  <si>
    <t>0108/FTSCY/WS95271 39285250.00 pelunasan BINTANG TAMA SANTO</t>
  </si>
  <si>
    <t>0108/FTSCY/WS95031 1800000.00 SUNARTO</t>
  </si>
  <si>
    <t>0108/FTSCY/WS95051 385368130.00 SIDO RAYA UTAMA CV</t>
  </si>
  <si>
    <t>0108/FTSCY/WS95011 54937000.00 pelunasan ANDALAN YASA MITRA</t>
  </si>
  <si>
    <t>0108/FTSCY/WS95011 130583250.00 krg 126.5 jt SUPER UNGGAS JAYA</t>
  </si>
  <si>
    <t>TARIKAN ATM 02/08</t>
  </si>
  <si>
    <t>0208/FTSCY/WS95271 126500000.00 pelunasan SUPER UNGGAS JAYA</t>
  </si>
  <si>
    <t>0208/FTFVA/WS95031 55574/GUNA MITRA S t.agung - 200177</t>
  </si>
  <si>
    <t>0208/FTFVA/WS95031 55569/PT PRIMA FAJ titip - 40190</t>
  </si>
  <si>
    <t>0208/FTSCY/WS95011 38478000.00 PT BJP FAHMI UMAR</t>
  </si>
  <si>
    <t>PRIBADI</t>
  </si>
  <si>
    <t>0208/FTFVA/WS95031 55569/PT PRIMA FAJ pelunasan - 40190</t>
  </si>
  <si>
    <t>0208/FTSCY/WS95031 3689000.00 SURONO</t>
  </si>
  <si>
    <t>0208/FTSCY/WS95011 127930470.00 WAHYU MEGA ARSITA</t>
  </si>
  <si>
    <t>0208/FTSCY/WS95031 4250000.00 SURONO</t>
  </si>
  <si>
    <t>0208/FTSCY/WS95051 473756240.00 SIDO RAYA UTAMA CV</t>
  </si>
  <si>
    <t>0208/FTSCY/WS95031 100000000.00 Fri Jul 31 2026 14:00:00 GMT+0700 (Western Indonesia Time) TABASSAM JAYA FARM</t>
  </si>
  <si>
    <t>0208/FTSCY/WS95271 15829500.00 Fri Jul 31 2026 14:00:00 GMT+0700 (Western Indonesia Time) TABASSAM JAYA FARM</t>
  </si>
  <si>
    <t>0208/FTSCY/WS95271 26550000.00 pelunasan ANDALAN YASA MITRA</t>
  </si>
  <si>
    <t>0208/FTSCY/WS95271 17142780.00 pelunasan BROILER MAKMUR TAN</t>
  </si>
  <si>
    <t>0208/FTSCY/WS95011 64000000.00 Fri Jul 31 2026 14:00:00 GMT+0700 (Western Indonesia Time) ANUGERAH KARTIKA A</t>
  </si>
  <si>
    <t>0208/FTSCY/WS95011 127483400.00 Fri Jul 31 2026 14:00:00 GMT+0700 (Western Indonesia Time) BROILER MAKMUR TAN</t>
  </si>
  <si>
    <t>0208/FTSCY/WS95011 100946000.00 Fri Jul 31 2026 14:00:00 GMT+0700 (Western Indonesia Time) SUPER UNGGAS JAYA</t>
  </si>
  <si>
    <t>0208/FTSCY/WS95011 48121680.00 Fri Jul 31 2026 14:00:00 GMT+0700 (Western Indonesia Time) ANDALAN YASA MITRA</t>
  </si>
  <si>
    <t>0208/FTSCY/WS95011 57120000.00 Fri Jul 31 2026 14:00:00 GMT+0700 (Western Indonesia Time) BUDI SURYANTO</t>
  </si>
  <si>
    <t>0208/FTSCY/WS95271 15000000.00 EKO SETIYAWAN</t>
  </si>
  <si>
    <t>0208/FTSCY/WS95271 3989980.00 FAJAR ANDREANZAH</t>
  </si>
  <si>
    <t>0308/FTSCY/WS95031 2202400.00 SUNARTO</t>
  </si>
  <si>
    <t>0308/FTSCY/WS95031 850000.00 SANDI FAJAR PRASET</t>
  </si>
  <si>
    <t>0308/FTSCY/WS95011 30000000.00 PT BJP FAHMI UMAR</t>
  </si>
  <si>
    <t>0308/FTSCY/WS95031 56811300.00 Sat Aug 01 2026 14:00:00 GMT+0700 (Western Indonesia Time) TERNAK SEJATI TABA</t>
  </si>
  <si>
    <t>0308/FTSCY/WS95051 381617850.00 krmn 2/8 ERICKO HERMAWAN</t>
  </si>
  <si>
    <t>0308/FTSCY/WS95271 58725000.00 28/0 BINTANG TAMA SANTO</t>
  </si>
  <si>
    <t>0308/FTSCY/WS95271 74724660.00 Sat Aug 01 2026 14:00:00 GMT+0700 (Western Indonesia Time) RUKUN MITRA BERSAM</t>
  </si>
  <si>
    <t>0308/FTFVA/WS95031 55569/PT PRIMA FAJ pelunasan - 40190</t>
  </si>
  <si>
    <t>0308/FTSCY/WS95271 122991000.00 Wed Jul 01 2026 14:00:00 GMT+0700 (Western Indonesia Time) ANDALAN YASA MITRA</t>
  </si>
  <si>
    <t>0308/FTSCY/WS95051 142510640.00 AH P HAIRUL 18/7 PHALOSARI UNGGUL J</t>
  </si>
  <si>
    <t>0308/FTSCY/WS95031 735000.00 FAHMI SYAIFUDDIN R</t>
  </si>
  <si>
    <t>0308/FTSCY/WS95051 100000000.00 krmn 3/8 ERICKO HERMAWAN</t>
  </si>
  <si>
    <t>0308/FTSCY/WS95031 8798560.00 lunas HERMAWAN</t>
  </si>
  <si>
    <t>0308/FTSCY/WS95051 498986170.00 SIDO RAYA UTAMA CV</t>
  </si>
  <si>
    <t>0308/FTSCY/WS95031 15000000.00 EKO SETIYAWAN</t>
  </si>
  <si>
    <t>0308/FTSCY/WS95271 22866200.00 pelunasan UNGGAS MANDIRI BER</t>
  </si>
  <si>
    <t>0308/FTSCY/WS95011 59112100.00 Sat Aug 01 2026 14:00:00 GMT+0700 (Western Indonesia Time) BROILER MAKMUR TAN</t>
  </si>
  <si>
    <t>0308/FTSCY/WS95011 120731600.00 Sat Aug 01 2026 14:00:00 GMT+0700 (Western Indonesia Time) ANDALAN YASA MITRA</t>
  </si>
  <si>
    <t>0308/FTSCY/WS95011 111851500.00 Sun Aug 02 2026 14:00:00 GMT+0700 (Western Indonesia Time) BINTANG TAMA SANTO</t>
  </si>
  <si>
    <t>0308/FTSCY/WS95011 145050750.00 Sat Aug 01 2026 14:00:00 GMT+0700 (Western Indonesia Time) ANUGERAH KARTIKA A</t>
  </si>
  <si>
    <t>0308/FTSCY/WS95011 54810000.00 Sat Aug 01 2026 14:00:00 GMT+0700 (Western Indonesia Time) BINTANG TAMA SANTO</t>
  </si>
  <si>
    <t>0308/FTFVA/WS95031 55569/PT PRIMA FAJ titip - 40190</t>
  </si>
  <si>
    <t>TRANSMART SURABAYA 6019009510239343</t>
  </si>
  <si>
    <t>0308/FTFVA/WS95031 55569/PT PRIMA FAJ titip 80 jt - 40190</t>
  </si>
  <si>
    <t>0408/FTSCY/WS95271 70671900.00 Sun Aug 02 2026 14:00:00 GMT+0700 (Western Indonesia Time) SUPER UNGGAS JAYA</t>
  </si>
  <si>
    <t>0408/FTSCY/WS95271 68000000.00 Sun Aug 02 2026 14:00:00 GMT+0700 (Western Indonesia Time) TABASSAM AZ ZUFAR</t>
  </si>
  <si>
    <t>0408/FTSCY/WS95031 35200000.00 LAWU ABADI NUSA PT</t>
  </si>
  <si>
    <t>0408/FTSCY/WS95031 692310.00 lunas LAWU ABADI NUSA PT</t>
  </si>
  <si>
    <t>0408/FTSCY/WS95011 68340000.00 WAHYU MEGA ARSITA</t>
  </si>
  <si>
    <t>0408/FTSCY/WS95051 260273500.00 krmn 3/8 ERICKO HERMAWAN</t>
  </si>
  <si>
    <t>0408/FTSCY/WS95271 155694200.00 PITIK DIGITAL INDO</t>
  </si>
  <si>
    <t>0408/FTSCY/WS95011 80000000.00 PITIK DIGITAL INDO</t>
  </si>
  <si>
    <t>BYR VIA E-BANKING</t>
  </si>
  <si>
    <t>04/08  WSID9503100 1220 TELKOMSEL 82318368518 MUHAMMAD HAIRUL MA</t>
  </si>
  <si>
    <t>0408/FTSCY/WS95011 139200000.00 Sun Aug 02 2026 14:00:00 GMT+0700 (Western Indonesia Time) RUKUN MITRA BERSAM</t>
  </si>
  <si>
    <t>0408/FTSCY/WS95051 139193330.00 AH P HAIRUL 20/7 PHALOSARI UNGGUL J</t>
  </si>
  <si>
    <t>0408/FTFVA/WS95031 55569/PT PRIMA FAJ pelunasan - 40190</t>
  </si>
  <si>
    <t>0408/FTSCY/WS95051 64214362.00 AYAM HAIRUL TGL 4/8/2023 SUCI RAHARJO PT</t>
  </si>
  <si>
    <t>0408/FTSCY/WS95051 100000000.00 krmn 4/8 ERICKO HERMAWAN</t>
  </si>
  <si>
    <t>0408/FTSCY/WS95031 1500000.00 SUNARTO</t>
  </si>
  <si>
    <t>0408/FTSCY/WS95031 15000000.00 EKO SETIYAWAN</t>
  </si>
  <si>
    <t>0408/FTSCY/WS95031 150000.00 JUNDI ASSIDIQI</t>
  </si>
  <si>
    <t>0408/FTSCY/WS95031 9362000.00 MOH JAMALUDIN KHOS</t>
  </si>
  <si>
    <t>0408/FTSCY/WS95011 75778900.00 Mon Aug 03 2026 14:00:00 GMT+0700 (Western Indonesia Time) RUKUN MITRA BERSAM</t>
  </si>
  <si>
    <t>0408/FTSCY/WS95011 52548750.00 Sun Aug 02 2026 14:00:00 GMT+0700 (Western Indonesia Time) BINTANG TAMA SANTO</t>
  </si>
  <si>
    <t>0408/FTFVA/WS95031 55569/PT PRIMA FAJ titip - 40190</t>
  </si>
  <si>
    <t>0408/FTSCY/WS95011 54000000.00 SUGENG RIADI</t>
  </si>
  <si>
    <t>TRSF E-BANKING CR TANGGAL :04/08</t>
  </si>
  <si>
    <t>0408/FTSCY/WS95051 SIDO RAYA UTAMA CV</t>
  </si>
  <si>
    <t>0508/FTSCY/WS95271 133855950.00 Sun Aug 02 2026 14:00:00 GMT+0700 (Western Indonesia Time) ANDALAN YASA MITRA</t>
  </si>
  <si>
    <t>0508/FTSCY/WS95031 50000000.00 SUGENG RIADI</t>
  </si>
  <si>
    <t>0508/FTSCY/WS95051 449785253.00 krmn 4/8 ERICKO HERMAWAN</t>
  </si>
  <si>
    <t>0508/FTSCY/WS95031 467100.00 LAWU ABADI NUSA PT</t>
  </si>
  <si>
    <t>0508/FTSCY/WS95051 146591920.00 UM AYAM HAIRUL TGL 5/8/2023 SUCI RAHARJO PT</t>
  </si>
  <si>
    <t>0508/FTSCY/WS95051 100000000.00 krmn 5/8 ERICKO HERMAWAN</t>
  </si>
  <si>
    <t>0508/FTSCY/WS95031 46316000.00 pelunasan SUGENG RIADI</t>
  </si>
  <si>
    <t>TRSF E-BANKING DB TANGGAL :05/08</t>
  </si>
  <si>
    <t>0508/FTSCY/WS95271 Sun Aug 02 2026 14:00:00 GMT+0700 (Western Indonesia Time) ANUGERAH KARTIKA A</t>
  </si>
  <si>
    <t>0508/FTSCY/WS95011 02 dan 03 ANDALAN YASA MITRA</t>
  </si>
  <si>
    <t>0508/FTSCY/WS95011 Mon Aug 03 2026 14:00:00 GMT+0700 (Western Indonesia Time) BINTANG TAMA SANTO</t>
  </si>
  <si>
    <t>0508/FTSCY/WS95271 pelunasan BINTANG TAMA SANTO</t>
  </si>
  <si>
    <t>0508/FTSCY/WS95271 02 dan 03 BROILER MAKMUR TAN</t>
  </si>
  <si>
    <t>0608/FTSCY/WS95051 403337310.00 SIDO RAYA UTAMA CV</t>
  </si>
  <si>
    <t>0608/FTSCY/WS95031 100000.00 transport FAHMI SYAIFUDDIN R</t>
  </si>
  <si>
    <t>0608/FTSCY/WS95031 5822250.00 FAJAR ANDREANZAH</t>
  </si>
  <si>
    <t>0608/FTSCY/WS95271 100000000.00 BROILER MAKMUR TAN</t>
  </si>
  <si>
    <t>0608/FTSCY/WS95031 15000000.00 EKO SETIYAWAN</t>
  </si>
  <si>
    <t>0608/FTSCY/WS95031 43756050.00 Mon Aug 03 2026 14:00:00 GMT+0700 (Western Indonesia Time) RUKUN MITRA BERSAM</t>
  </si>
  <si>
    <t>0608/FTSCY/WS95031 21662890.00 DWI HERMANSYAH</t>
  </si>
  <si>
    <t>0708/FTSCY/WS95031 66000000.00 kd nurul r jbr LAWU ABADI NUSA PT</t>
  </si>
  <si>
    <t>0708/FTSCY/WS95271 50950000.00 Mon Aug 03 2026 14:00:00 GMT+0700 (Western Indonesia Time) ANDALAN YASA MITRA</t>
  </si>
  <si>
    <t>0708/FTSCY/WS95271 54099800.00 Mon Aug 03 2026 14:00:00 GMT+0700 (Western Indonesia Time) BINTANG TAMA SANTO</t>
  </si>
  <si>
    <t>0708/FTSCY/WS95271 2070000.00 ANDE DOSO ANGGORO</t>
  </si>
  <si>
    <t>0708/FTSCY/WS95271 70409900.00 Tue Aug 04 2026 14:00:00 GMT+0700 (Western Indonesia Time) LAJU SATWA WISESA</t>
  </si>
  <si>
    <t>0708/FTSCY/WS95271 56025000.00 Wed Aug 05 2026 14:00:00 GMT+0700 (Western Indonesia Time) ANUGERAH KARTIKA A</t>
  </si>
  <si>
    <t>0708/FTSCY/WS95051 273928760.00 krmn 5/8 ERICKO HERMAWAN</t>
  </si>
  <si>
    <t>TARIKAN ATM 07/08</t>
  </si>
  <si>
    <t>0708/FTSCY/WS95051 78723000.00 Pembelian ayam TRIJAYA LESTARI FO</t>
  </si>
  <si>
    <t>0708/FTSCY/WS95031 40000.00 ANGGA ANDRI AGASIH</t>
  </si>
  <si>
    <t>0708/FTSCY/WS95271 65654000.00 Tue Aug 04 2026 14:00:00 GMT+0700 (Western Indonesia Time) ANDALAN YASA MITRA</t>
  </si>
  <si>
    <t>0708/FTSCY/WS95051 68937180.00 Blitar 6 Agsts 3706.3kg/Clossing SUGENG MARIONO</t>
  </si>
  <si>
    <t>0708/FTSCY/WS95051 204404420.00 AH P. HAIRUL 21/7 PHALOSARI UNGGUL J</t>
  </si>
  <si>
    <t>0708/FTSCY/WS95011 159940200.00 Wed Aug 05 2026 14:00:00 GMT+0700 (Western Indonesia Time) BINTANG TAMA SANTO</t>
  </si>
  <si>
    <t>0708/FTSCY/WS95051 205773547.00 AYAM HAIRUL TGL 7/8/2023 SUCI RAHARJO PT</t>
  </si>
  <si>
    <t>0708/FTSCY/WS95051 124702624.00 AYAM HAIRUL TGL 5/8/2023 SUCI RAHARJO PT</t>
  </si>
  <si>
    <t>0708/FTSCY/WS95011 73000000.00 pelunasan ANDALAN YASA MITRA</t>
  </si>
  <si>
    <t>0708/FTSCY/WS95011 144690000.00 peluanasan TUMBUH OPTIMAL PRI</t>
  </si>
  <si>
    <t>0708/FTSCY/WS95011 60401250.00 Tue Aug 04 2026 14:00:00 GMT+0700 (Western Indonesia Time) ANUGERAH KARTIKA A</t>
  </si>
  <si>
    <t>0708/FTSCY/WS95031 15000000.00 EKO SETIYAWAN</t>
  </si>
  <si>
    <t>NICO JEMBER TOKO-H 6019009510239343</t>
  </si>
  <si>
    <t>CONATO BAKERY NICO 6019009510239343</t>
  </si>
  <si>
    <t>0808/FTSCY/WS95031 37779200.00 pelunasan SUGENG RIADI</t>
  </si>
  <si>
    <t>0808/FTSCY/WS95271 78304320.00 Tue Aug 04 2026 14:00:00 GMT+0700 (Western Indonesia Time) ANDALAN YASA MITRA</t>
  </si>
  <si>
    <t>0808/FTSCY/WS95031 50000000.00 titip BERLIAN UNGGUL JAY</t>
  </si>
  <si>
    <t>0808/FTSCY/WS95031 10432630.00 MUJIANTO</t>
  </si>
  <si>
    <t>0808/FTSCY/WS95051 48960000.00 BYR AH HAIRUL BIJI JAGUNG PERKAS</t>
  </si>
  <si>
    <t>0808/FTSCY/WS95271 120218000.00 Thu Aug 06 2026 14:00:00 GMT+0700 (Western Indonesia Time) BINTANG TAMA SANTO</t>
  </si>
  <si>
    <t>0808/FTSCY/WS95271 73550000.00 Thu Aug 06 2026 14:00:00 GMT+0700 (Western Indonesia Time) BINTANG TAMA SANTO</t>
  </si>
  <si>
    <t>0808/FTSCY/WS95271 18451440.00 Thu Aug 06 2026 14:00:00 GMT+0700 (Western Indonesia Time) ANUGERAH KARTIKA A</t>
  </si>
  <si>
    <t>0808/FTSCY/WS95051 344567630.00 krmn 7/8 ERICKO HERMAWAN</t>
  </si>
  <si>
    <t>0808/FTSCY/WS95011 80021500.00 pelunasan BERLIAN UNGGUL JAY</t>
  </si>
  <si>
    <t>0808/FTSCY/WS95011 40000000.00 pelunasan ANUGERAH KARTIKA A</t>
  </si>
  <si>
    <t>0808/FTFVA/WS95031 12608/SHOPEE - - 5335263590</t>
  </si>
  <si>
    <t>0808/FTSCY/WS95011 73550000.00 Thu Aug 06 2026 14:00:00 GMT+0700 (Western Indonesia Time) BINTANG TAMA SANTO</t>
  </si>
  <si>
    <t>0808/FTSCY/WS95011 76484100.00 Thu Aug 06 2026 14:00:00 GMT+0700 (Western Indonesia Time) SUPER UNGGAS JAYA</t>
  </si>
  <si>
    <t>0808/FTSCY/WS95011 130991540.00 Thu Aug 06 2026 14:00:00 GMT+0700 (Western Indonesia Time) PITIK DIGITAL INDO</t>
  </si>
  <si>
    <t>0808/FTSCY/WS95031 20000.00 NURUL AINI</t>
  </si>
  <si>
    <t>0808/FTSCY/WS95051 200963100.00 AH P. HAIRUL 22/7 PHALOSARI UNGGUL J</t>
  </si>
  <si>
    <t>0808/FTSCY/WS95051 131062762.00 AYAM HAIRUL TGL 8/8/2023 SUCI RAHARJO PT</t>
  </si>
  <si>
    <t>0808/FTFVA/WS95031 55569/PT PRIMA FAJ pelunasan - 40190</t>
  </si>
  <si>
    <t>BI-FAST DB</t>
  </si>
  <si>
    <t>BIF TRANSFER KE 2 NUR YAHYA MyBCA</t>
  </si>
  <si>
    <t>BIF BIAYA TXN KE 2 NUR YAHYA MyBCA</t>
  </si>
  <si>
    <t>0808/FTSCY/WS95271 2560500.00 DWI HERMANSYAH</t>
  </si>
  <si>
    <t>0808/FTSCY/WS95011 61652800.00 WAHYU MEGA ARSITA</t>
  </si>
  <si>
    <t>0808/FTSCY/WS95271 4500000.00 EKO SETIYAWAN</t>
  </si>
  <si>
    <t>0808/FTFVA/WS95031 55574/GUNA MITRA S titip - 200177</t>
  </si>
  <si>
    <t>0808/FTFVA/WS95031 26689/TIKTOK SHOP - - 7242029371639</t>
  </si>
  <si>
    <t>0908/FTSCY/WS95031 1000000.00 NURHAYATI</t>
  </si>
  <si>
    <t>0908/FTSCY/WS95031 9500000.00 pelunasan BROILER MAKMUR TAN</t>
  </si>
  <si>
    <t>0908/FTSCY/WS95031 1070000.00 pelunasan PITIK DIGITAL INDO</t>
  </si>
  <si>
    <t>0908/FTSCY/WS95031 13587600.00 EKO SETIYAWAN</t>
  </si>
  <si>
    <t>0908/FTSCY/WS95271 195472000.00 pelunasan ANDALAN YASA MITRA</t>
  </si>
  <si>
    <t>0908/FTSCY/WS95031 57713670.00 Fri Aug 07 2026 14:00:00 GMT+0700 (Western Indonesia Time) ANUGERAH KARTIKA A</t>
  </si>
  <si>
    <t>0908/FTSCY/WS95031 10290510.00 HERMAWAN</t>
  </si>
  <si>
    <t>0908/FTSCY/WS95031 3621000.00 DWI HERMANSYAH</t>
  </si>
  <si>
    <t>0908/FTSCY/WS95271 11495550.00 EKO SETIYAWAN</t>
  </si>
  <si>
    <t>0908/FTSCY/WS95031 1475400.00 EKO SETIYAWAN</t>
  </si>
  <si>
    <t>0908/FTSCY/WS95031 374000.00 HERMAWAN</t>
  </si>
  <si>
    <t>0908/FTSCY/WS95051 279356630.00 krmn 8/8 ERICKO HERMAWAN</t>
  </si>
  <si>
    <t>0908/FTSCY/WS95051 1040750.00 sewa 8/8 ERICKO HERMAWAN</t>
  </si>
  <si>
    <t>TARIKAN ATM 09/08</t>
  </si>
  <si>
    <t>0908/FTSCY/WS95271 70483500.00 Sat Aug 08 2026 14:00:00 GMT+0700 (Western Indonesia Time) BERLIAN UNGGUL JAY</t>
  </si>
  <si>
    <t>0908/FTSCY/WS95011 128811800.00 Fri Aug 07 2026 14:00:00 GMT+0700 (Western Indonesia Time) SUPER UNGGAS JAYA</t>
  </si>
  <si>
    <t>0908/FTSCY/WS95011 76438240.00 Fri Aug 07 2026 14:00:00 GMT+0700 (Western Indonesia Time) BINTANG TAMA SANTO</t>
  </si>
  <si>
    <t>0908/FTFVA/WS95031 55574/GUNA MITRA S pelunasan - 200177</t>
  </si>
  <si>
    <t>0908/FTSCY/WS95051 131120080.00 AH P. HAIRUL 26/7 PHALOSARI UNGGUL J</t>
  </si>
  <si>
    <t>0908/FTSCY/WS95051 66600000.00 AH P. HAIRUL 25/7 PHALOSARI UNGGUL J</t>
  </si>
  <si>
    <t>0908/FTSCY/WS95051 213532341.00 AYAM HAIRUL TGL 9/8/2023 SUCI RAHARJO PT</t>
  </si>
  <si>
    <t>0908/FTSCY/WS95051 100000000.00 krmn 9/8 ERICKO HERMAWAN</t>
  </si>
  <si>
    <t>0908/FTSCY/WS95271 2900000.00 BELA PRAMUDITA</t>
  </si>
  <si>
    <t>0908/FTSCY/WS95271 1850000.00 SUNARTO</t>
  </si>
  <si>
    <t>1008/FTSCY/WS95271 132931250.00 Fri Aug 07 2026 14:00:00 GMT+0700 (Western Indonesia Time) ANUGERAH KARTIKA A</t>
  </si>
  <si>
    <t>1008/FTSCY/WS95271 68310000.00 Fri Oct 09 2026 14:00:00 GMT+0700 (Western Indonesia Time) LAWU ABADI NUSA PT</t>
  </si>
  <si>
    <t>1008/FTSCY/WS95271 66030800.00 Sat Aug 08 2026 14:00:00 GMT+0700 (Western Indonesia Time) TABASSAM AL HATTAK</t>
  </si>
  <si>
    <t>1008/FTSCY/WS95271 3005500.00 pelunasan BINTANG TAMA SANTO</t>
  </si>
  <si>
    <t>1008/FTSCY/WS95031 50000000.00 titip UNGGAS MANDIRI BER</t>
  </si>
  <si>
    <t>1008/FTSCY/WS95051 516128160.00 krmn 9/8 ERICKO HERMAWAN</t>
  </si>
  <si>
    <t>10/08  WSID9503100 0865 PLN PREPAID 32104859353 MUHAMMAD HAIRUL MA</t>
  </si>
  <si>
    <t>1008/FTSCY/WS95011 142200000.00 Sat Aug 08 2026 14:00:00 GMT+0700 (Western Indonesia Time) TUMBUH OPTIMAL PRI</t>
  </si>
  <si>
    <t>1008/FTSCY/WS95011 82400000.00 Sat Aug 08 2026 14:00:00 GMT+0700 (Western Indonesia Time) SUPER UNGGAS JAYA</t>
  </si>
  <si>
    <t>1008/FTSCY/WS95011 50960490.00 pelunasan 08/08 SUPER UNGGAS JAYA</t>
  </si>
  <si>
    <t>1008/FTSCY/WS95011 123439520.00 Sat Aug 08 2026 14:00:00 GMT+0700 (Western Indonesia Time) RUKUN MITRA BERSAM</t>
  </si>
  <si>
    <t>1008/FTSCY/WS95011 66454000.00 Sat Aug 08 2026 14:00:00 GMT+0700 (Western Indonesia Time) BINTANG TAMA SANTO</t>
  </si>
  <si>
    <t>1008/FTSCY/WS95051 157649638.00 AYAM HAIRUL TGL 10/8/2023 SUCI RAHARJO PT</t>
  </si>
  <si>
    <t>1008/FTSCY/WS95031 2269500.00 SUNARTO</t>
  </si>
  <si>
    <t>1008/FTSCY/WS95031 30000000.00 SUGENG RIADI</t>
  </si>
  <si>
    <t>1008/FTSCY/WS95271 500000.00 LIA SETIA NINGSIH</t>
  </si>
  <si>
    <t>1008/FTSCY/WS95031 9267150.00 sisa piutang 3 jt FAJAR ANDREANZAH</t>
  </si>
  <si>
    <t>1008/FTSCY/WS95271 16091400.00 pelunasan UNGGAS MANDIRI BER</t>
  </si>
  <si>
    <t>1008/FTFVA/WS95031 55569/PT PRIMA FAJ tot. titip 70 jt - 40190</t>
  </si>
  <si>
    <t>1108/FTSCY/WS95271 170000000.00 pelunasan BINTANG TAMA SANTO</t>
  </si>
  <si>
    <t>1108/FTSCY/WS95031 1800000.00 BELA PRAMUDITA</t>
  </si>
  <si>
    <t>1108/FTSCY/WS95031 6773160.00 lunas HERMAWAN</t>
  </si>
  <si>
    <t>1108/FTSCY/WS95031 8625880.00 DWI HERMANSYAH</t>
  </si>
  <si>
    <t>1108/FTSCY/WS95031 1411250.00 MUJIANTO</t>
  </si>
  <si>
    <t>1108/FTSCY/WS95031 16489300.00 krg 10 jt EKO SETIYAWAN</t>
  </si>
  <si>
    <t>1108/FTSCY/WS95051 201441300.00 krmn 10/8 ERICKO HERMAWAN</t>
  </si>
  <si>
    <t>1108/FTSCY/WS95031 51514740.00 pelunasan SUGENG RIADI</t>
  </si>
  <si>
    <t>1108/FTSCY/WS95271 122449500.00 Sun Aug 09 2026 14:00:00 GMT+0700 (Western Indonesia Time) BINTANG TAMA SANTO</t>
  </si>
  <si>
    <t>1108/FTSCY/WS95051 65790060.00 AH P. HAIRUL 27/7 PHALOSARI UNGGUL J</t>
  </si>
  <si>
    <t>1108/FTSCY/WS95051 69600000.00 AH P. HAIRUL 7/8 PHALOSARI UNGGUL J</t>
  </si>
  <si>
    <t>1108/FTSCY/WS95051 73881813.00 AYAM HAIRUL TGL 11/8/2023 SUCI RAHARJO PT</t>
  </si>
  <si>
    <t>1108/FTSCY/WS95011 30000000.00 pelunasa BINTANG TAMA SANTO</t>
  </si>
  <si>
    <t>1108/FTSCY/WS95011 66657750.00 Fri Oct 09 2026 14:00:00 GMT+0700 (Western Indonesia Time) ANDALAN YASA MITRA</t>
  </si>
  <si>
    <t>1108/FTSCY/WS95011 135978200.00 lunas ANUGERAH KARTIKA A</t>
  </si>
  <si>
    <t>1108/FTSCY/WS95011 82400000.00 Sun Aug 09 2026 14:00:00 GMT+0700 (Western Indonesia Time) SUPER UNGGAS JAYA</t>
  </si>
  <si>
    <t>1108/FTSCY/WS95031 2616850.00 mlg SUNARTO</t>
  </si>
  <si>
    <t>1108/FTSCY/WS95031 10000000.00 pelunasan EKO SETIYAWAN</t>
  </si>
  <si>
    <t>TARIKAN ATM 11/08</t>
  </si>
  <si>
    <t>TRSF E-BANKING CR TANGGAL :11/08</t>
  </si>
  <si>
    <t>1108/FTSCY/WS95271 Titip Byr Ayam RPA SBU ALDINI MARIA GUMIL</t>
  </si>
  <si>
    <t>1208/FTSCY/WS95031 65800000.00 probolinggo BRANTAS ABADI SENT</t>
  </si>
  <si>
    <t>1208/FTSCY/WS95031 10101000.00 pelunasan TERNAK SEJATI TABA</t>
  </si>
  <si>
    <t>1208/FTSCY/WS95031 1800000.00 BELA PRAMUDITA</t>
  </si>
  <si>
    <t>1208/FTSCY/WS95051 522141837.00 krmn 11/8 ERICKO HERMAWAN</t>
  </si>
  <si>
    <t>1208/FTSCY/WS95011 214432900.00 Mon Aug 10 2026 14:00:00 GMT+0700 (Western Indonesia Time) GANESHA SATRIA NUS</t>
  </si>
  <si>
    <t>1208/FTSCY/WS95011 164500000.00 Sat Oct 10 2026 14:00:00 GMT+0700 (Western Indonesia Time) LAJU SATWA WISESA</t>
  </si>
  <si>
    <t>1208/FTSCY/WS95011 120608000.00 Mon Aug 10 2026 14:00:00 GMT+0700 (Western Indonesia Time) LAWU ABADI NUSA PT</t>
  </si>
  <si>
    <t>1208/FTSCY/WS95051 57407400.00 Pembelian ayam TRIJAYA LESTARI FO</t>
  </si>
  <si>
    <t>1208/FTSCY/WS95011 214316830.00 WAHYU MEGA ARSITA</t>
  </si>
  <si>
    <t>1208/FTSCY/WS95031 75000000.00 WAHYUDI</t>
  </si>
  <si>
    <t>1208/FTSCY/WS95031 1083720.00 ANDE DOSO ANGGORO</t>
  </si>
  <si>
    <t>1208/FTSCY/WS95031 4839045.00 DWI HERMANSYAH</t>
  </si>
  <si>
    <t>1208/FTSCY/WS95031 6731605.00 HERMAWAN</t>
  </si>
  <si>
    <t>1208/FTSCY/WS95271 16018700.00 EKO SETIYAWAN</t>
  </si>
  <si>
    <t>1208/FTSCY/WS95031 3205065.00 FAJAR ANDREANZAH</t>
  </si>
  <si>
    <t>1208/FTSCY/WS95031 4283175.00 MUJIANTO</t>
  </si>
  <si>
    <t>1208/FTSCY/WS95271 46000000.00 pelunasan LAJU SATWA WISESA</t>
  </si>
  <si>
    <t>1208/FTSCY/WS95271 71256700.00 Mon Aug 10 2026 14:00:00 GMT+0700 (Western Indonesia Time) BROILER MAKMUR TAN</t>
  </si>
  <si>
    <t>1208/FTSCY/WS95271 135228000.00 Mon Aug 10 2026 14:00:00 GMT+0700 (Western Indonesia Time) ANDALAN YASA MITRA</t>
  </si>
  <si>
    <t>1208/FTSCY/WS95271 1700000.00 SUNARTO</t>
  </si>
  <si>
    <t>1208/FTSCY/WS95271 3103770.00 NURHAYATI</t>
  </si>
  <si>
    <t>1308/FTSCY/WS95051 384958660.00 SIDO RAYA UTAMA CV</t>
  </si>
  <si>
    <t>1308/FTSCY/WS95271 133280250.00 Tue Aug 11 2026 14:00:00 GMT+0700 (Western Indonesia Time) ANUGERAH KARTIKA A</t>
  </si>
  <si>
    <t>1308/FTSCY/WS95271 74781000.00 Mon Aug 10 2026 14:00:00 GMT+0700 (Western Indonesia Time) RUKUN MITRA BERSAM</t>
  </si>
  <si>
    <t>1308/FTSCY/WS95031 5400000.00 NURUL AINI</t>
  </si>
  <si>
    <t>1308/FTSCY/WS95271 85100000.00 Sun Oct 11 2026 14:00:00 GMT+0700 (Western Indonesia Time) LAJU SATWA WISESA</t>
  </si>
  <si>
    <t>1308/FTSCY/WS95031 70000000.00 pelunasan LAJU SATWA WISESA</t>
  </si>
  <si>
    <t>1308/FTSCY/WS95011 77796750.00 Tue Aug 11 2026 14:00:00 GMT+0700 (Western Indonesia Time) ANUGERAH KARTIKA A</t>
  </si>
  <si>
    <t>1308/FTSCY/WS95031 102000.00 DEWA MAHARDHIKA</t>
  </si>
  <si>
    <t>ALFAMRT Y136 AJSJ 6019009510239343</t>
  </si>
  <si>
    <t>1308/FTSCY/WS95031 100000.00 NURUL AINI</t>
  </si>
  <si>
    <t>1308/FTSCY/WS95051 73259150.00 WAHYUDI</t>
  </si>
  <si>
    <t>1308/FTSCY/WS95031 1800000.00 BELA PRAMUDITA</t>
  </si>
  <si>
    <t>14/08  WSID9503101 1220 TELKOMSEL 81326518324 MUHAMMAD HAIRUL MA</t>
  </si>
  <si>
    <t>1408/FTSCY/WS95031 69023000.00 Fri Aug 14 2026 14:00:00 GMT+0700 (Western Indonesia Time) LAWU ABADI NUSA PT</t>
  </si>
  <si>
    <t>1408/FTSCY/WS95031 25000.00 NURUL AINI</t>
  </si>
  <si>
    <t>1408/FTSCY/WS95051 139604557.00 krmn 12/8 TERA MAKMURINDO CV</t>
  </si>
  <si>
    <t>1408/FTSCY/WS95051 442501475.00 krmn 12/8 ERICKO HERMAWAN</t>
  </si>
  <si>
    <t>1408/FTSCY/WS95011 117189680.00 Tue Aug 11 2026 14:00:00 GMT+0700 (Western Indonesia Time) BINTANG TAMA SANTO</t>
  </si>
  <si>
    <t>1408/FTSCY/WS95011 69849000.00 SUGENG RIADI</t>
  </si>
  <si>
    <t>1408/FTSCY/WS95011 160271960.00 Tue Aug 11 2026 14:00:00 GMT+0700 (Western Indonesia Time) ANDALAN YASA MITRA</t>
  </si>
  <si>
    <t>1408/FTSCY/WS95051 132277440.00 AH P. HAIRUL 2/8 PHALOSARI UNGGUL J</t>
  </si>
  <si>
    <t>1408/FTSCY/WS95051 64250080.00 AH P. HAIRUL 7/8 PHALOSARI UNGGUL J</t>
  </si>
  <si>
    <t>1408/FTSCY/WS95051 284194633.00 AYAM HAIRUL TGL 12/8/2023 SUCI RAHARJO PT</t>
  </si>
  <si>
    <t>1408/FTSCY/WS95051 100000000.00 UM AYAM HAIRUL TGL 14/8/2023 SUCI RAHARJO PT</t>
  </si>
  <si>
    <t>1408/FTSCY/WS95011 198761610.00 WAHYU MEGA ARSITA</t>
  </si>
  <si>
    <t>1408/FTSCY/WS95031 1500000.00 smg d lancarkn PHALOSARI UNGGUL J</t>
  </si>
  <si>
    <t>1408/FTSCY/WS95031 1300000.00 SUNARTO</t>
  </si>
  <si>
    <t>1408/FTSCY/WS95031 1350000.00 FAJAR ANDREANZAH</t>
  </si>
  <si>
    <t>1408/FTSCY/WS95031 16420957.00 EKO SETIYAWAN</t>
  </si>
  <si>
    <t>1408/FTSCY/WS95031 1831520.00 HERMAWAN</t>
  </si>
  <si>
    <t>1408/FTSCY/WS95031 3874340.00 DWI HERMANSYAH</t>
  </si>
  <si>
    <t>TRSF E-BANKING DB TANGGAL :14/08</t>
  </si>
  <si>
    <t>1408/FTSCY/WS95271 Tue Aug 11 2026 14:00:00 GMT+0700 (Western Indonesia Time) BINTANG TAMA SANTO</t>
  </si>
  <si>
    <t>1408/FTSCY/WS95271 Wed Aug 12 2026 14:00:00 GMT+0700 (Western Indonesia Time) ANUGERAH KARTIKA A</t>
  </si>
  <si>
    <t>1408/FTSCY/WS95271 Wed Aug 12 2026 14:00:00 GMT+0700 (Western Indonesia Time) BROILER MAKMUR TAN</t>
  </si>
  <si>
    <t>1408/FTSCY/WS95271 ANUGERAH KARTIKA A</t>
  </si>
  <si>
    <t>1408/FTSCY/WS95011 krg 7.5 jt ANUGERAH KARTIKA A</t>
  </si>
  <si>
    <t>TRSF E-BANKING CR TANGGAL :14/08</t>
  </si>
  <si>
    <t>1408/FTSCY/WS95031 NURUL AINI</t>
  </si>
  <si>
    <t>1408/FTSCY/WS95031 BELA PRAMUDITA</t>
  </si>
  <si>
    <t>1508/FTFVA/WS95031 55569/PT PRIMA FAJ lmjg - 40190</t>
  </si>
  <si>
    <t>1508/FTSCY/WS95011 203916660.00 Sat Jun 13 2026 14:00:00 GMT+0700 (Western Indonesia Time) BINTANG TAMA SANTO</t>
  </si>
  <si>
    <t>1508/FTSCY/WS95011 147556500.00 Wed Aug 12 2026 14:00:00 GMT+0700 (Western Indonesia Time) GANESHA SATRIA NUS</t>
  </si>
  <si>
    <t>1508/FTSCY/WS95031 7500000.00 pelunasan ANUGERAH KARTIKA A</t>
  </si>
  <si>
    <t>1508/FTSCY/WS95051 75349800.00 BYR AH HAIRUL BIJI JAGUNG PERKAS</t>
  </si>
  <si>
    <t>1508/FTSCY/WS95031 250000.00 NURUL AINI</t>
  </si>
  <si>
    <t>1508/FTFVA/WS95031 55574/GUNA MITRA S t.galek - 200177</t>
  </si>
  <si>
    <t>1508/FTSCY/WS95051 78833600.00 AH P. HAIRUL 8/8 PHALOSARI UNGGUL J</t>
  </si>
  <si>
    <t>1508/FTSCY/WS95051 76266600.00 AH P. HAIRUL 9/8 PHALOSARI UNGGUL J</t>
  </si>
  <si>
    <t>1508/FTSCY/WS95051 69182400.00 AH P.HAIRUL 5 AGST PHALOSARI UNGGUL J</t>
  </si>
  <si>
    <t>1508/FTSCY/WS95051 131558902.00 AYAM HAIRUL TGL 14/8/2023 SUCI RAHARJO PT</t>
  </si>
  <si>
    <t>1508/FTFVA/WS95031 55569/PT PRIMA FAJ pelunasan - 40190</t>
  </si>
  <si>
    <t>1508/FTSCY/WS95051 401275280.00 SIDO RAYA UTAMA CV</t>
  </si>
  <si>
    <t>1508/FTSCY/WS95031 2972500.00 SUNARTO</t>
  </si>
  <si>
    <t>1508/FTSCY/WS95271 199520750.00 Thu Aug 13 2026 14:00:00 GMT+0700 (Western Indonesia Time) GANESHA SATRIA NUS</t>
  </si>
  <si>
    <t>1508/FTSCY/WS95271 100000000.00 Thu Aug 13 2026 14:00:00 GMT+0700 (Western Indonesia Time) ANDALAN YASA MITRA</t>
  </si>
  <si>
    <t>1508/FTSCY/WS95031 84042000.00 Thu Aug 13 2026 14:00:00 GMT+0700 (Western Indonesia Time) TERNAK SEJATI TABA</t>
  </si>
  <si>
    <t>1508/FTSCY/WS95051 71184150.00 EDDY PURWANTO</t>
  </si>
  <si>
    <t>1508/FTSCY/WS95011 41000000.00 pelunasan ANDALAN YASA MITRA</t>
  </si>
  <si>
    <t>1508/FTSCY/WS95011 72512600.00 Thu Aug 13 2026 14:00:00 GMT+0700 (Western Indonesia Time) TABASSAM AL HATTAK</t>
  </si>
  <si>
    <t>TRSF E-BANKING CR TANGGAL :15/08</t>
  </si>
  <si>
    <t>1508/FTSCY/WS95271 Byr ayam rpa sbu ALDINI MARIA GUMIL</t>
  </si>
  <si>
    <t>1608/FTSCY/WS95031 100000000.00 Mon Aug 10 2026 14:00:00 GMT+0700 (Western Indonesia Time) LAJU SATWA WISESA</t>
  </si>
  <si>
    <t>1608/FTSCY/WS95271 20608000.00 pelunasan LAJU SATWA WISESA</t>
  </si>
  <si>
    <t>1608/FTSCY/WS95271 86981400.00 Fri Aug 14 2026 14:00:00 GMT+0700 (Western Indonesia Time) TABASSAM JAYA FARM</t>
  </si>
  <si>
    <t>1608/FTSCY/WS95271 70830000.00 Thu Aug 13 2026 14:00:00 GMT+0700 (Western Indonesia Time) RUKUN MITRA BERSAM</t>
  </si>
  <si>
    <t>1608/FTSCY/WS95271 76574750.00 Thu Aug 13 2026 14:00:00 GMT+0700 (Western Indonesia Time) BINTANG TAMA SANTO</t>
  </si>
  <si>
    <t>1608/FTSCY/WS95011 78767300.00 Thu Aug 13 2026 14:00:00 GMT+0700 (Western Indonesia Time) PITIK DIGITAL INDO</t>
  </si>
  <si>
    <t>1608/FTSCY/WS95271 1000000.00 HERMAWAN</t>
  </si>
  <si>
    <t>1608/FTSCY/WS95271 1000000.00 DWI HERMANSYAH</t>
  </si>
  <si>
    <t>1608/FTSCY/WS95271 1350000.00 MUJIANTO</t>
  </si>
  <si>
    <t>BIF TRANSFER KE 8 MISWATI M-BCA</t>
  </si>
  <si>
    <t>BIF BIAYA TXN KE 8 MISWATI M-BCA</t>
  </si>
  <si>
    <t>BIF TRANSFER KE 11 ADIRA MUHAMMAD HAI M-BCA</t>
  </si>
  <si>
    <t>BIF BIAYA TXN KE 11 ADIRA MUHAMMAD HAI M-BCA</t>
  </si>
  <si>
    <t>1608/FTSCY/WS95051 76256300.00 BYR AH HAIRUL BIJI JAGUNG PERKAS</t>
  </si>
  <si>
    <t>16/08  WSID9503101 1220 TELKOMSEL 82318368518 MUHAMMAD HAIRUL MA</t>
  </si>
  <si>
    <t>TARIKAN ATM 16/08</t>
  </si>
  <si>
    <t>LLG-MANDIRI SUPER FAMOUS CHICK Pembelian ayam hid up</t>
  </si>
  <si>
    <t>1608/FTSCY/WS95011 146411000.00 Thu Aug 13 2026 14:00:00 GMT+0700 (Western Indonesia Time) SUPER UNGGAS JAYA</t>
  </si>
  <si>
    <t>1608/FTSCY/WS95011 60960000.00 Fri Aug 14 2026 14:00:00 GMT+0700 (Western Indonesia Time) BINTANG TAMA SANTO</t>
  </si>
  <si>
    <t>1608/FTSCY/WS95011 88712500.00 Fri Aug 14 2026 14:00:00 GMT+0700 (Western Indonesia Time) RUKUN MITRA BERSAM</t>
  </si>
  <si>
    <t>1608/FTSCY/WS95011 71346000.00 Fri Aug 14 2026 14:00:00 GMT+0700 (Western Indonesia Time) ANUGERAH KARTIKA A</t>
  </si>
  <si>
    <t>1608/FTSCY/WS95051 71863140.00 AH P HAIRUL 11/8 PHALOSARI UNGGUL J</t>
  </si>
  <si>
    <t>1608/FTSCY/WS95051 71402850.00 AH P HAIRUL 9 AGST PHALOSARI UNGGUL J</t>
  </si>
  <si>
    <t>1608/FTSCY/WS95051 162039270.00 AH P HAIRUL 10/8 PHALOSARI UNGGUL J</t>
  </si>
  <si>
    <t>1608/FTFVA/WS95031 55569/PT PRIMA FAJ blitar - 40190</t>
  </si>
  <si>
    <t>1608/FTSCY/WS95271 38000000.00 Bayar Ayam RPA SBU ALDINI MARIA GUMIL</t>
  </si>
  <si>
    <t>1608/FTSCY/WS95011 151687800.00 WAHYU MEGA ARSITA</t>
  </si>
  <si>
    <t>1608/FTFVA/WS95031 55574/GUNA MITRA S bojonegoro - 200177</t>
  </si>
  <si>
    <t>1608/FTSCY/WS95051 100000000.00 krmn 16/8 ERICKO HERMAWAN</t>
  </si>
  <si>
    <t>1608/FTSCY/WS95051 78024180.00 EDDY PURWANTO</t>
  </si>
  <si>
    <t>1708/FTSCY/WS95031 9620000.00 NURUL AINI</t>
  </si>
  <si>
    <t>1708/FTSCY/WS95031 65691900.00 Fri Aug 14 2026 14:00:00 GMT+0700 (Western Indonesia Time) PITIK DIGITAL INDO</t>
  </si>
  <si>
    <t>1708/FTSCY/WS95271 122000000.00 Fri Aug 14 2026 14:00:00 GMT+0700 (Western Indonesia Time) SUPER UNGGAS JAYA</t>
  </si>
  <si>
    <t>1708/FTSCY/WS95011 151042320.00 TABASSAM AL HATTAK</t>
  </si>
  <si>
    <t>1708/FTSCY/WS95011 77100600.00 Sat Aug 15 2026 14:00:00 GMT+0700 (Western Indonesia Time) RUKUN MITRA BERSAM</t>
  </si>
  <si>
    <t>1708/FTSCY/WS95011 36497550.00 Sat Aug 15 2026 14:00:00 GMT+0700 (Western Indonesia Time) BINTANG TAMA SANTO</t>
  </si>
  <si>
    <t>1708/FTSCY/WS95011 65607500.00 Wed Aug 05 2026 14:00:00 GMT+0700 (Western Indonesia Time) ANUGERAH KARTIKA A</t>
  </si>
  <si>
    <t>1708/FTSCY/WS95031 4140300.00 lunas FAJAR ANDREANZAH</t>
  </si>
  <si>
    <t>1708/FTSCY/WS95031 1500000.00 lunas DWI HERMANSYAH</t>
  </si>
  <si>
    <t>1708/FTSCY/WS95031 4802020.00 lunas MUJIANTO</t>
  </si>
  <si>
    <t>1708/FTSCY/WS95031 1504900.00 HERMAWAN</t>
  </si>
  <si>
    <t>1708/FTSCY/WS95031 18255100.00 krg 15 jt EKO SETIYAWAN</t>
  </si>
  <si>
    <t>BIF TRANSFER KE 2 TURYADI M-BCA</t>
  </si>
  <si>
    <t>BIF BIAYA TXN KE 2 TURYADI M-BCA</t>
  </si>
  <si>
    <t>17/08  WSID9503101 0507 FIF 803001249921 MUHAMMAD HAIRUL MA</t>
  </si>
  <si>
    <t>1708/FTSCY/WS95271 1000000.00 SUNARTO</t>
  </si>
  <si>
    <t>GOLDEN MARKET-HO 6019009510239343</t>
  </si>
  <si>
    <t>1708/FTSCY/WS95271 120000000.00 Byr Ayam RPA SBU ALDINI MARIA GUMIL</t>
  </si>
  <si>
    <t>1808/FTSCY/WS95031 200000.00 ARUL BACHTIAR DWI</t>
  </si>
  <si>
    <t>TARIKAN ATM 18/08</t>
  </si>
  <si>
    <t>1808/FTSCY/WS95051 243066200.00 krmn 16/8 TERA MULIA KORPORI</t>
  </si>
  <si>
    <t>1808/FTSCY/WS95031 74421100.00 PT BJP SRI ASIH ANGGRAENI</t>
  </si>
  <si>
    <t>1808/FTSCY/WS95271 82825800.00 Sat Aug 15 2026 14:00:00 GMT+0700 (Western Indonesia Time) FIDI TEGUH TRIWIBO</t>
  </si>
  <si>
    <t>1808/FTSCY/WS95271 61346500.00 Sun Aug 16 2026 14:00:00 GMT+0700 (Western Indonesia Time) ANUGERAH KARTIKA A</t>
  </si>
  <si>
    <t>1808/FTSCY/WS95271 6400000.00 FINA ARDIANA</t>
  </si>
  <si>
    <t>1808/FTSCY/WS95271 149427500.00 Sun Aug 16 2026 14:00:00 GMT+0700 (Western Indonesia Time) ANUGERAH KARTIKA A</t>
  </si>
  <si>
    <t>1808/FTSCY/WS95031 51809000.00 pelunasan ANUGERAH KARTIKA A</t>
  </si>
  <si>
    <t>1808/FTFVA/WS95031 55569/PT PRIMA FAJ pembyaran - 40190</t>
  </si>
  <si>
    <t>1808/FTSCY/WS95271 71750000.00 ADHITYA WIRATAMA</t>
  </si>
  <si>
    <t>1808/FTSCY/WS95051 100000000.00 krmn 18/8 TERA MULIA KORPORI</t>
  </si>
  <si>
    <t>1808/FTSCY/WS95011 94000000.00 Sat Aug 15 2026 14:00:00 GMT+0700 (Western Indonesia Time) LAJU SATWA WISESA</t>
  </si>
  <si>
    <t>1808/FTSCY/WS95011 97860320.00 Sun Aug 16 2026 14:00:00 GMT+0700 (Western Indonesia Time) ANUGERAH KARTIKA A</t>
  </si>
  <si>
    <t>1808/FTSCY/WS95051 325661000.00 SIDO RAYA UTAMA CV</t>
  </si>
  <si>
    <t>TRANSAKSI DEBIT</t>
  </si>
  <si>
    <t>TGL: 18/08 QR 014 00000.00VAMOS VAPE</t>
  </si>
  <si>
    <t>1808/FTSCY/WS95031 2550000.00 SUNARTO</t>
  </si>
  <si>
    <t>WSS JEMBER 6019009510239343</t>
  </si>
  <si>
    <t>1808/FTSCY/WS95051 77027220.00 EDDY PURWANTO</t>
  </si>
  <si>
    <t>1808/FTSCY/WS95031 1600000.00 BELA PRAMUDITA</t>
  </si>
  <si>
    <t>1808/FTSCY/WS95011 71745590.00 Sun Aug 16 2026 14:00:00 GMT+0700 (Western Indonesia Time) ANDALAN YASA MITRA</t>
  </si>
  <si>
    <t>1808/FTSCY/WS95011 62546000.00 Sun Aug 16 2026 14:00:00 GMT+0700 (Western Indonesia Time) ANUGERAH KARTIKA A</t>
  </si>
  <si>
    <t>1808/FTSCY/WS95011 77636000.00 Sun Aug 16 2026 14:00:00 GMT+0700 (Western Indonesia Time) ANDALAN YASA MITRA</t>
  </si>
  <si>
    <t>1808/FTSCY/WS95011 69053000.00 Tue Aug 18 2026 14:00:00 GMT+0700 (Western Indonesia Time) ANDALAN YASA MITRA</t>
  </si>
  <si>
    <t>BIAYA ADM</t>
  </si>
  <si>
    <t>1908/FTSCY/WS95271 80483900.00 kd aqib e mlg TABASSAM AL HATTAK</t>
  </si>
  <si>
    <t>1908/FTSCY/WS95031 30000000.00 titip BERLIAN UNGGUL JAY</t>
  </si>
  <si>
    <t>1908/FTSCY/WS95031 1600000.00 HERMAWAN</t>
  </si>
  <si>
    <t>1908/FTSCY/WS95031 592695.00 DWI HERMANSYAH</t>
  </si>
  <si>
    <t>1908/FTSCY/WS95031 1138900.00 MUJIANTO</t>
  </si>
  <si>
    <t>1908/FTSCY/WS95031 553240.00 FAJAR ANDREANZAH</t>
  </si>
  <si>
    <t>1908/FTSCY/WS95051 71520000.00 BYR AH HAIRUL BIJI JAGUNG PERKAS</t>
  </si>
  <si>
    <t>1908/FTSCY/WS95051 150995250.00 krmn 18/8 TERA MULIA KORPORI</t>
  </si>
  <si>
    <t>1908/FTSCY/WS95271 100000.00 M ILHAM HIDAYATULL</t>
  </si>
  <si>
    <t>1908/FTSCY/WS95271 109490000.00 Tue Aug 18 2026 14:00:00 GMT+0700 (Western Indonesia Time) BERLIAN UNGGUL JAY</t>
  </si>
  <si>
    <t>1908/FTSCY/WS95271 66814000.00 Mon Aug 17 2026 14:00:00 GMT+0700 (Western Indonesia Time) TABASSAM AZ ZUFAR</t>
  </si>
  <si>
    <t>1908/FTSCY/WS95051 394562100.00 AH P. HAIRUL 29/7 PHALOSARI UNGGUL J</t>
  </si>
  <si>
    <t>1908/FTSCY/WS95051 100000000.00 krmn 19/8 ERICKO HERMAWAN</t>
  </si>
  <si>
    <t>1908/FTSCY/WS95011 351796290.00 WAHYU MEGA ARSITA</t>
  </si>
  <si>
    <t>TGL: 19/08 QR 014 00000.00VAMOS VAPE</t>
  </si>
  <si>
    <t>1908/FTSCY/WS95271 43037600.00 Mon Aug 17 2026 14:00:00 GMT+0700 (Western Indonesia Time) TABASSAM AL HATTAK</t>
  </si>
  <si>
    <t>1908/FTSCY/WS95031 66000000.00 pelunasan LAJU SATWA WISESA</t>
  </si>
  <si>
    <t>1908/FTSCY/WS95011 87000000.00 Pelunasan TABASSAM AL HATTAK</t>
  </si>
  <si>
    <t>1908/FTSCY/WS95011 59618300.00 Tue Aug 18 2026 14:00:00 GMT+0700 (Western Indonesia Time) ANUGERAH KARTIKA A</t>
  </si>
  <si>
    <t>1908/FTSCY/WS95011 66320500.00 Mon Aug 17 2026 14:00:00 GMT+0700 (Western Indonesia Time) ANDALAN YASA MITRA</t>
  </si>
  <si>
    <t>TRSF E-BANKING DB TANGGAL :19/08</t>
  </si>
  <si>
    <t>1908/FTSCY/WS95011 Mon Aug 17 2026 14:00:00 GMT+0700 (Western Indonesia Time) BINTANG TAMA SANTO</t>
  </si>
  <si>
    <t>1908/FTSCY/WS95011 Tue Aug 18 2026 14:00:00 GMT+0700 (Western Indonesia Time) LAJU SATWA WISESA</t>
  </si>
  <si>
    <t>1908/FTSCY/WS95011 Mon Aug 17 2026 14:00:00 GMT+0700 (Western Indonesia Time) ANUGERAH KARTIKA A</t>
  </si>
  <si>
    <t>1908/FTSCY/WS95011 Mon Aug 17 2026 14:00:00 GMT+0700 (Western Indonesia Time) ANDALAN YASA MITRA</t>
  </si>
  <si>
    <t>1908/FTFVA/WS95031 pelunasan - 40190</t>
  </si>
  <si>
    <t>TRSF E-BANKING CR TANGGAL :19/08</t>
  </si>
  <si>
    <t>1908/FTSCY/WS95051 SIDO RAYA UTAMA CV</t>
  </si>
  <si>
    <t>2008/FTSCY/WS95011 132247250.00 Mon Aug 17 2026 14:00:00 GMT+0700 (Western Indonesia Time) ANUGERAH KARTIKA A</t>
  </si>
  <si>
    <t>2008/FTSCY/WS95011 328432500.00 Mon Aug 17 2026 14:00:00 GMT+0700 (Western Indonesia Time) BROILER MAKMUR TAN</t>
  </si>
  <si>
    <t>2008/FTSCY/WS95031 1693640.00 SUNARTO</t>
  </si>
  <si>
    <t>2008/FTSCY/WS95031 1100000.00 FAJAR ANDREANZAH</t>
  </si>
  <si>
    <t>2008/FTSCY/WS95031 1000000.00 DWI HERMANSYAH</t>
  </si>
  <si>
    <t>2008/FTSCY/WS95031 1170420.00 MUJIANTO</t>
  </si>
  <si>
    <t>2008/FTSCY/WS95031 5400000.00 EKO SETIYAWAN</t>
  </si>
  <si>
    <t>2008/FTSCY/WS95031 400000.00 YESI PURNAMASARI</t>
  </si>
  <si>
    <t>20/08 /Z2911/00000 ZAINAL ARIFIN</t>
  </si>
  <si>
    <t>2108/FTSCY/WS95031 72176300.00 pelunasan ANDALAN YASA MITRA</t>
  </si>
  <si>
    <t>2108/FTSCY/WS95051 160906959.00 krmn 19/8 TERA MULIA KORPORI</t>
  </si>
  <si>
    <t>2108/FTSCY/WS95051 100000000.00 krmn 21/8 ERICKO HERMAWAN</t>
  </si>
  <si>
    <t>2108/FTSCY/WS95051 307950690.00 AH P HAIRUL 15/8 PHALOSARI UNGGUL J</t>
  </si>
  <si>
    <t>2108/FTSCY/WS95051 64486260.00 Pembelian ayam TRIJAYA LESTARI FO</t>
  </si>
  <si>
    <t>2108/FTFVA/WS95031 12208/SHOPEEPAY - - 5335263590</t>
  </si>
  <si>
    <t>2108/FTFVA/WS95031 55569/PT PRIMA FAJ lamongan - 40190</t>
  </si>
  <si>
    <t>2108/FTFVA/WS95031 55574/GUNA MITRA S t.agung - 200177</t>
  </si>
  <si>
    <t>2108/FTSCY/WS95011 244555750.00 Pelunasan TABASSAM AL HATTAK</t>
  </si>
  <si>
    <t>2108/FTSCY/WS95271 61097400.00 Tue Aug 18 2026 14:00:00 GMT+0700 (Western Indonesia Time) BROILER MAKMUR TAN</t>
  </si>
  <si>
    <t>2108/FTSCY/WS95011 201494400.00 WAHYU MEGA ARSITA</t>
  </si>
  <si>
    <t>2108/FTSCY/WS95051 287844060.00 SIDO RAYA UTAMA CV</t>
  </si>
  <si>
    <t>2108/FTSCY/WS95031 50000000.00 Titip Bayar Ayam R PA SBU ALDINI MARIA GUMIL</t>
  </si>
  <si>
    <t>2108/FTSCY/WS95031 12951500.00 EKO SETIYAWAN</t>
  </si>
  <si>
    <t>2108/FTSCY/WS95031 2574680.00 SUNARTO</t>
  </si>
  <si>
    <t>2108/FTSCY/WS95271 68262000.00 Tue Aug 18 2026 14:00:00 GMT+0700 (Western Indonesia Time) ANDALAN YASA MITRA</t>
  </si>
  <si>
    <t>2108/FTSCY/WS95011 127798000.00 Tue Aug 18 2026 14:00:00 GMT+0700 (Western Indonesia Time) ANUGERAH KARTIKA A</t>
  </si>
  <si>
    <t>2108/FTSCY/WS95011 127646100.00 Krg 12.926.000 SUPER UNGGAS JAYA</t>
  </si>
  <si>
    <t>2108/FTSCY/WS95271 76649800.00 Tue Aug 18 2026 14:00:00 GMT+0700 (Western Indonesia Time) ANDALAN YASA MITRA</t>
  </si>
  <si>
    <t>2108/FTSCY/WS95271 46652000.00 Tue Aug 18 2026 14:00:00 GMT+0700 (Western Indonesia Time) ANUGERAH KARTIKA A</t>
  </si>
  <si>
    <t>2108/FTSCY/WS95031 1290240.00 MUJIANTO</t>
  </si>
  <si>
    <t>2108/FTSCY/WS95031 1729250.00 FAJAR ANDREANZAH</t>
  </si>
  <si>
    <t>2108/FTSCY/WS95271 47000000.00 titip PRIMA JAYA BERSATU</t>
  </si>
  <si>
    <t>2208/FTSCY/WS95271 89200000.00 tot. 6 ton PRIMA JAYA BERSATU</t>
  </si>
  <si>
    <t>2208/FTSCY/WS95271 26483480.00 Wed Aug 19 2026 14:00:00 GMT+0700 (Western Indonesia Time) ANDALAN YASA MITRA</t>
  </si>
  <si>
    <t>2208/FTSCY/WS95271 65673120.00 Thu Aug 20 2026 14:00:00 GMT+0700 (Western Indonesia Time) BINTANG TAMA SANTO</t>
  </si>
  <si>
    <t>2208/FTSCY/WS95031 1800000.00 BELA PRAMUDITA</t>
  </si>
  <si>
    <t>2208/FTSCY/WS95051 74529000.00 BYR AH HAIRUL BIJI JAGUNG PERKAS</t>
  </si>
  <si>
    <t>2208/FTSCY/WS95051 276080000.00 krmn 21/8 TERA MULIA KORPORI</t>
  </si>
  <si>
    <t>BIF TRANSFER KE 2 SUCIPTO M-BCA</t>
  </si>
  <si>
    <t>BIF BIAYA TXN KE 2 SUCIPTO M-BCA</t>
  </si>
  <si>
    <t>2208/FTSCY/WS95031 12926000.00 pelunasan SUPER UNGGAS JAYA</t>
  </si>
  <si>
    <t>2208/FTSCY/WS95031 350000.00 LIA SETIA NINGSIH</t>
  </si>
  <si>
    <t>2208/FTSCY/WS95051 65825200.00 Pembelian ayam TRIJAYA LESTARI FO</t>
  </si>
  <si>
    <t>2208/FTSCY/WS95051 245370840.00 AH P HAIRUL 16 /8 PHALOSARI UNGGUL J</t>
  </si>
  <si>
    <t>TARIKAN ATM 22/08</t>
  </si>
  <si>
    <t>2208/FTSCY/WS95051 305438980.00 SIDO RAYA UTAMA CV</t>
  </si>
  <si>
    <t>2208/FTSCY/WS95051 100000000.00 krmn 22/8 ERICKO HERMAWAN</t>
  </si>
  <si>
    <t>2208/FTSCY/WS95031 2300000.00 SUNARTO</t>
  </si>
  <si>
    <t>2208/FTSCY/WS95031 2580000.00 DWI HERMANSYAH</t>
  </si>
  <si>
    <t>2208/FTSCY/WS95031 21461640.00 EKO SETIYAWAN</t>
  </si>
  <si>
    <t>2208/FTSCY/WS95031 250000.00 EKO SETIYAWAN</t>
  </si>
  <si>
    <t>2208/FTSCY/WS95011 213181100.00 Thu Aug 20 2026 14:00:00 GMT+0700 (Western Indonesia Time) TUMBUH OPTIMAL PRI</t>
  </si>
  <si>
    <t>2208/FTSCY/WS95011 222193900.00 Thu Aug 20 2026 14:00:00 GMT+0700 (Western Indonesia Time) PITIK DIGITAL INDO</t>
  </si>
  <si>
    <t>2208/FTSCY/WS95011 64625000.00 Thu Aug 20 2026 14:00:00 GMT+0700 (Western Indonesia Time) ANUGERAH KARTIKA A</t>
  </si>
  <si>
    <t>2208/FTSCY/WS95031 776800.00 pelunasan ANUGERAH KARTIKA A</t>
  </si>
  <si>
    <t>2208/FTSCY/WS95271 115914500.00 krg 110jt TABASSAM AL HATTAK</t>
  </si>
  <si>
    <t>2208/FTSCY/WS95031 300000.00 ANDE DOSO ANGGORO</t>
  </si>
  <si>
    <t>2208/FTSCY/WS95031 1250000.00 FAJAR ANDREANZAH</t>
  </si>
  <si>
    <t>2208/FTSCY/WS95031 2932200.00 HERMAWAN</t>
  </si>
  <si>
    <t>2208/FTSCY/WS95031 1875060.00 MUJIANTO</t>
  </si>
  <si>
    <t>2208/FTSCY/WS95031 1855620.00 NURHAYATI</t>
  </si>
  <si>
    <t>2308/FTSCY/WS95271 157614250.00 LAWU ABADI NUSA PT</t>
  </si>
  <si>
    <t>2308/FTSCY/WS95011 198001940.00 Thu Aug 20 2026 14:00:00 GMT+0700 (Western Indonesia Time) BROILER MAKMUR TAN</t>
  </si>
  <si>
    <t>2308/FTSCY/WS95051 579753330.00 krmn 22/8 ERICKO HERMAWAN</t>
  </si>
  <si>
    <t>2308/FTSCY/WS95051 126993200.00 krmn 22/8 TERA MAKMURINDO CV</t>
  </si>
  <si>
    <t>2308/FTSCY/WS95011 75403200.00 Thu Aug 20 2026 14:00:00 GMT+0700 (Western Indonesia Time) ANDALAN YASA MITRA</t>
  </si>
  <si>
    <t>2308/FTSCY/WS95011 19651500.00 Fri Aug 21 2026 14:00:00 GMT+0700 (Western Indonesia Time) LAJU SATWA WISESA</t>
  </si>
  <si>
    <t>2308/FTSCY/WS95011 176863500.00 Pelunasan LAJU SATWA WISESA</t>
  </si>
  <si>
    <t>2308/FTSCY/WS95011 30079800.00 Fri Aug 21 2026 14:00:00 GMT+0700 (Western Indonesia Time) GANESHA SATRIA NUS</t>
  </si>
  <si>
    <t>2308/FTSCY/WS95031 35865000.00 pelunasan GANESHA SATRIA NUS</t>
  </si>
  <si>
    <t>2308/FTSCY/WS95271 70706800.00 Fri Aug 21 2026 14:00:00 GMT+0700 (Western Indonesia Time) LAJU SATWA WISESA</t>
  </si>
  <si>
    <t>2308/FTSCY/WS95271 70000000.00 TABASSAM AL HATTAK</t>
  </si>
  <si>
    <t>2308/FTSCY/WS95031 40000000.00 pelunasan TABASSAM AL HATTAK</t>
  </si>
  <si>
    <t>2308/FTFVA/WS95031 67847/UNGGAS MANDI magetan - 200043</t>
  </si>
  <si>
    <t>23/08  WSID9503102 1220 TELKOMSEL 82131900513 MUHAMMAD HAIRUL MA</t>
  </si>
  <si>
    <t>2308/FTSCY/WS95051 36266750.00 LAN G8 PNGMBLN SLD BKL M. HAIRUL M LAWU ABADI NUSA PT</t>
  </si>
  <si>
    <t>2308/FTSCY/WS95051 132504110.00 AH P HAIRUL 18/8 ANGSUR KE 1 PHALOSARI UNGGUL J</t>
  </si>
  <si>
    <t>TARIKAN ATM 23/08</t>
  </si>
  <si>
    <t>2308/FTSCY/WS95051 100000000.00 krmn 23/8 ERICKO HERMAWAN</t>
  </si>
  <si>
    <t>2308/FTSCY/WS95031 31852000.00 NURUL AINI</t>
  </si>
  <si>
    <t>2408/FTSCY/WS95031 30000000.00 titip RODHIATUS SOLEHA</t>
  </si>
  <si>
    <t>2408/FTSCY/WS95271 119670720.00 Sat Aug 22 2026 14:00:00 GMT+0700 (Western Indonesia Time) RIZKY ANANDA PUTRI</t>
  </si>
  <si>
    <t>2408/FTSCY/WS95271 63000000.00 pacitan 3 ton PRIMA JAYA BERSATU</t>
  </si>
  <si>
    <t>2408/FTSCY/WS95271 85150380.00 kd solihun LAWU ABADI NUSA PT</t>
  </si>
  <si>
    <t>2408/FTSCY/WS95031 67242000.00 Sat Aug 22 2026 14:00:00 GMT+0700 (Western Indonesia Time) BINTANG TAMA SANTO</t>
  </si>
  <si>
    <t>2408/FTSCY/WS95051 128603340.00 krmn 23/8 TERA MAKMURINDO CV</t>
  </si>
  <si>
    <t>2408/FTSCY/WS95051 7982970.00 krmn 23/8 TERA MULIA KORPORI</t>
  </si>
  <si>
    <t>TARIKAN ATM 24/08</t>
  </si>
  <si>
    <t>2408/FTSCY/WS95271 31694080.00 lunas RODHIATUS SOLEHA</t>
  </si>
  <si>
    <t>2408/FTSCY/WS95031 2000000.00 RODHIATUS SOLEHA</t>
  </si>
  <si>
    <t>2408/FTSCY/WS95011 107721350.00 Lunas BERLIAN UNGGUL JAY</t>
  </si>
  <si>
    <t>2408/FTSCY/WS95051 100000000.00 LUNAS AH P HAIRUL 18/8 (BYR 1 TGL 23 PHALOSARI UNGGUL J</t>
  </si>
  <si>
    <t>2408/FTSCY/WS95051 216793380.00 AH P HAIRUL 18/8 PHALOSARI UNGGUL J</t>
  </si>
  <si>
    <t>2408/FTSCY/WS95051 89680000.00 ah 3800x23600 GEMILANG INTI SUKS</t>
  </si>
  <si>
    <t>2408/FTSCY/WS95271 75250080.00 ADHITYA WIRATAMA</t>
  </si>
  <si>
    <t>2408/FTSCY/WS95051 100000000.00 krmn 24/8 ERICKO HERMAWAN</t>
  </si>
  <si>
    <t>2408/FTSCY/WS95011 31100000.00 Krg 20 jt EKO SETIYAWAN</t>
  </si>
  <si>
    <t>2408/FTSCY/WS95011 224386400.00 Sat Aug 22 2026 14:00:00 GMT+0700 (Western Indonesia Time) LAJU SATWA WISESA</t>
  </si>
  <si>
    <t>2408/FTSCY/WS95011 118475500.00 Sat Aug 22 2026 14:00:00 GMT+0700 (Western Indonesia Time) BROILER MAKMUR TAN</t>
  </si>
  <si>
    <t>2408/FTSCY/WS95011 941920.00 Pelunasan LAWU ABADI NUSA PT</t>
  </si>
  <si>
    <t>2408/FTSCY/WS95011 2740000.00 Pelunasan BINTANG TAMA SANTO</t>
  </si>
  <si>
    <t>2408/FTSCY/WS95011 4500000.00 BELA PRAMUDITA</t>
  </si>
  <si>
    <t>2408/FTSCY/WS95011 1300000.00 RIRIN</t>
  </si>
  <si>
    <t>BIF TRANSFER KE 9 AHMAD LUTHFI FADHI M-BCA</t>
  </si>
  <si>
    <t>BIF BIAYA TXN KE 9 AHMAD LUTHFI FADHI M-BCA</t>
  </si>
  <si>
    <t>TRSF E-BANKING CR TANGGAL :24/08</t>
  </si>
  <si>
    <t>2408/FTSCY/WS95051 SIDO RAYA UTAMA CV</t>
  </si>
  <si>
    <t>2508/FTSCY/WS95011 125011260.00 Sat Aug 22 2026 14:00:00 GMT+0700 (Western Indonesia Time) ANDALAN YASA MITRA</t>
  </si>
  <si>
    <t>2508/FTSCY/WS95011 203209250.00 Sat Aug 22 2026 14:00:00 GMT+0700 (Western Indonesia Time) BINTANG TAMA SANTO</t>
  </si>
  <si>
    <t>2508/FTSCY/WS95011 60427900.00 Sun Aug 23 2026 14:00:00 GMT+0700 (Western Indonesia Time) ANUGERAH KARTIKA A</t>
  </si>
  <si>
    <t>2508/FTSCY/WS95011 64521500.00 Sat Aug 22 2026 14:00:00 GMT+0700 (Western Indonesia Time) BROILER MAKMUR TAN</t>
  </si>
  <si>
    <t>2508/FTSCY/WS95011 46829400.00 Sat Aug 22 2026 14:00:00 GMT+0700 (Western Indonesia Time) LAJU SATWA WISESA</t>
  </si>
  <si>
    <t>2508/FTSCY/WS95271 24895000.00 pelunasanny LAJU SATWA WISESA</t>
  </si>
  <si>
    <t>2508/FTSCY/WS95271 5621200.00 ENDAH NOVITA SARI</t>
  </si>
  <si>
    <t>2508/FTSCY/WS95271 131094250.00 kd retnowati nganj uk TABASSAM AL HATTAK</t>
  </si>
  <si>
    <t>2508/FTSCY/WS95031 2400000.00 SUNARTO</t>
  </si>
  <si>
    <t>2508/FTSCY/WS95031 3546300.00 FAJAR ANDREANZAH</t>
  </si>
  <si>
    <t>2508/FTSCY/WS95031 2684280.00 HERMAWAN</t>
  </si>
  <si>
    <t>2508/FTSCY/WS95031 1585850.00 MUJIANTO</t>
  </si>
  <si>
    <t>2508/FTSCY/WS95031 100000.00 ARUL BACHTIAR DWI</t>
  </si>
  <si>
    <t>TARIKAN ATM 25/08</t>
  </si>
  <si>
    <t>2508/FTSCY/WS95271 74000000.00 Bayar Ayam RPA SBU ALDINI MARIA GUMIL</t>
  </si>
  <si>
    <t>2508/FTSCY/WS95051 279953520.00 AH P HAIRUL 22 /8 PHALOSARI UNGGUL J</t>
  </si>
  <si>
    <t>2508/FTSCY/WS95051 90383280.00 ah 3829.8x23600 GEMILANG INTI SUKS</t>
  </si>
  <si>
    <t>2508/FTSCY/WS95031 25000000.00 RODHIATUS SOLEHA</t>
  </si>
  <si>
    <t>2508/FTSCY/WS95271 73845100.00 Sun Aug 23 2026 14:00:00 GMT+0700 (Western Indonesia Time) ANDALAN YASA MITRA</t>
  </si>
  <si>
    <t>2508/FTSCY/WS95271 60076700.00 BROILER MAKMUR TAN</t>
  </si>
  <si>
    <t>2508/FTSCY/WS95031 54599500.00 krg 20 jt SUPER UNGGAS JAYA</t>
  </si>
  <si>
    <t>DB OTOMATIS</t>
  </si>
  <si>
    <t>KOR PAYMENT 3370 A250823</t>
  </si>
  <si>
    <t>2508/FTSCY/WS95031 1573200.00 SUNARTO</t>
  </si>
  <si>
    <t>2508/FTSCY/WS95031 300000.00 BELA PRAMUDITA</t>
  </si>
  <si>
    <t>2508/FTSCY/WS95031 1200000.00 DWI HERMANSYAH</t>
  </si>
  <si>
    <t>2508/FTSCY/WS95031 715560.00 ANDE DOSO ANGGORO</t>
  </si>
  <si>
    <t>2608/FTSCY/WS95271 62427750.00 Sun Aug 23 2026 14:00:00 GMT+0700 (Western Indonesia Time) PITIK DIGITAL INDO</t>
  </si>
  <si>
    <t>2608/FTSCY/WS95271 74901700.00 Sun Aug 23 2026 14:00:00 GMT+0700 (Western Indonesia Time) ANDALAN YASA MITRA</t>
  </si>
  <si>
    <t>2608/FTSCY/WS95271 71375000.00 pelunasan bws TERNAK SEJATI TABA</t>
  </si>
  <si>
    <t>2608/FTSCY/WS95271 50000000.00 titip SUGENG RIADI</t>
  </si>
  <si>
    <t>2608/FTSCY/WS95271 37676810.00 Mon Aug 24 2026 14:00:00 GMT+0700 (Western Indonesia Time) ANDALAN YASA MITRA</t>
  </si>
  <si>
    <t>2608/FTSCY/WS95031 10000000.00 pelunasan ANDALAN YASA MITRA</t>
  </si>
  <si>
    <t>2608/FTSCY/WS95031 1874400.00 NURHAYATI</t>
  </si>
  <si>
    <t>2608/FTSCY/WS95271 500000.00 RIRIN</t>
  </si>
  <si>
    <t>2608/FTSCY/WS95031 5214650.00 krg 150 rb MUJIANTO</t>
  </si>
  <si>
    <t>2608/FTSCY/WS95031 50000.00 MUJIANTO</t>
  </si>
  <si>
    <t>2608/FTSCY/WS95051 125974900.00 krmn 25/8 TERA MAKMURINDO CV</t>
  </si>
  <si>
    <t>2608/FTSCY/WS95051 737406760.00 krmn 25/8 ERICKO HERMAWAN</t>
  </si>
  <si>
    <t>TARIKAN ATM 26/08</t>
  </si>
  <si>
    <t>IDM TROJ LANGSEP 6019009510239343</t>
  </si>
  <si>
    <t>2608/FTSCY/WS95031 33900500.00 pelunasan RODHIATUS SOLEHA</t>
  </si>
  <si>
    <t>2608/FTSCY/WS95271 100000.00 DEWA MAHARDHIKA</t>
  </si>
  <si>
    <t>2608/FTSCY/WS95031 100000000.00 krmn 26 agt ERICKO HERMAWAN</t>
  </si>
  <si>
    <t>2708/FTSCY/WS95011 243947460.00 Mon Aug 24 2026 14:00:00 GMT+0700 (Western Indonesia Time) GANESHA SATRIA NUS</t>
  </si>
  <si>
    <t>2708/FTSCY/WS95011 126233200.00 Mon Aug 24 2026 14:00:00 GMT+0700 (Western Indonesia Time) TERNAK SEJATI TABA</t>
  </si>
  <si>
    <t>2708/FTSCY/WS95011 61500000.00 Mon Aug 24 2026 14:00:00 GMT+0700 (Western Indonesia Time) TABASSAM AZ ZUFAR</t>
  </si>
  <si>
    <t>2708/FTSCY/WS95011 63703750.00 Mon Aug 24 2026 14:00:00 GMT+0700 (Western Indonesia Time) BINTANG TAMA SANTO</t>
  </si>
  <si>
    <t>2708/FTSCY/WS95271 72850000.00 Mon Aug 24 2026 14:00:00 GMT+0700 (Western Indonesia Time) LAJU SATWA WISESA</t>
  </si>
  <si>
    <t>2708/FTSCY/WS95271 72704300.00 Mon Aug 24 2026 14:00:00 GMT+0700 (Western Indonesia Time) LAJU SATWA WISESA</t>
  </si>
  <si>
    <t>2708/FTSCY/WS95271 56623050.00 Mon Aug 24 2026 14:00:00 GMT+0700 (Western Indonesia Time) ANUGERAH KARTIKA A</t>
  </si>
  <si>
    <t>2708/FTSCY/WS95271 69457700.00 Mon Aug 24 2026 14:00:00 GMT+0700 (Western Indonesia Time) SURYA INTI TERNAK</t>
  </si>
  <si>
    <t>2708/FTSCY/WS95271 20122000.00 24/08 mlg SURYA INTI TERNAK</t>
  </si>
  <si>
    <t>2708/FTSCY/WS95031 40000000.00 pelunasan SURYA INTI TERNAK</t>
  </si>
  <si>
    <t>2708/FTSCY/WS95031 8572800.00 SUGENG RIADI</t>
  </si>
  <si>
    <t>2708/FTSCY/WS95031 785340.00 lunas RODHIATUS SOLEHA</t>
  </si>
  <si>
    <t>2708/FTFVA/WS95031 67847/UNGGAS MANDI Tue Aug 25 2026 14:00:00 GMT+0700 (Western Indonesia Time) - 200043</t>
  </si>
  <si>
    <t>TARIKAN ATM 27/08</t>
  </si>
  <si>
    <t>ALFAMRT Y073 SUDI 6019009510239343</t>
  </si>
  <si>
    <t>TRSF E-BANKING DB TANGGAL :27/08</t>
  </si>
  <si>
    <t>2708/FTSCY/WS95031 HERMAWAN</t>
  </si>
  <si>
    <t>2708/FTSCY/WS95031 MUJIANTO</t>
  </si>
  <si>
    <t>2708/FTSCY/WS95031 DWI HERMANSYAH</t>
  </si>
  <si>
    <t>TRSF E-BANKING CR TANGGAL :27/08</t>
  </si>
  <si>
    <t>2708/FTSCY/WS95031 NURUL AINI</t>
  </si>
  <si>
    <t>2708/FTSCY/WS95031 EKO SETIYAWAN</t>
  </si>
  <si>
    <t>2808/FTSCY/WS95031 8050000.00 NURUL AINI</t>
  </si>
  <si>
    <t>2808/FTSCY/WS95051 646666540.00 krmn 26/8 TERA MULIA KORPORI</t>
  </si>
  <si>
    <t>2808/FTSCY/WS95051 128502480.00 krmn 26/8 TERA MAKMURINDO CV</t>
  </si>
  <si>
    <t>2808/FTSCY/WS95031 62912450.00 Tue Aug 25 2026 14:00:00 GMT+0700 (Western Indonesia Time) BINTANG TAMA SANTO</t>
  </si>
  <si>
    <t>2808/FTSCY/WS95271 68854500.00 Tue Aug 25 2026 14:00:00 GMT+0700 (Western Indonesia Time) BINTANG TAMA SANTO</t>
  </si>
  <si>
    <t>2808/FTSCY/WS95271 81227750.00 Tue Aug 25 2026 14:00:00 GMT+0700 (Western Indonesia Time) BINTANG TAMA SANTO</t>
  </si>
  <si>
    <t>2808/FTSCY/WS95271 128660000.00 Tue Aug 25 2026 14:00:00 GMT+0700 (Western Indonesia Time) TERNAK SEJATI TABA</t>
  </si>
  <si>
    <t>2808/FTSCY/WS95271 16500000.00 SUGENG RIADI</t>
  </si>
  <si>
    <t>2808/FTSCY/WS95031 30000000.00 pelunasan SUGENG RIADI</t>
  </si>
  <si>
    <t>2808/FTSCY/WS95011 125439500.00 Tue Aug 25 2026 14:00:00 GMT+0700 (Western Indonesia Time) LAJU SATWA WISESA</t>
  </si>
  <si>
    <t>2808/FTSCY/WS95011 81769400.00 Tue Aug 25 2026 14:00:00 GMT+0700 (Western Indonesia Time) BINTANG TAMA SANTO</t>
  </si>
  <si>
    <t>2808/FTSCY/WS95011 127789200.00 Tue Aug 25 2026 14:00:00 GMT+0700 (Western Indonesia Time) TUMBUH OPTIMAL PRI</t>
  </si>
  <si>
    <t>2808/FTSCY/WS95011 65476000.00 Fri Aug 28 2026 14:00:00 GMT+0700 (Western Indonesia Time) DINA LUKMIANINGRUM</t>
  </si>
  <si>
    <t>2808/FTSCY/WS95051 298773190.00 AH P HAIRUL 24/8 PHALOSARI UNGGUL J</t>
  </si>
  <si>
    <t>2808/FTSCY/WS95051 100000000.00 krmn 28/8 ERICKO HERMAWAN</t>
  </si>
  <si>
    <t>TRSF E-BANKING DB TANGGAL :28/08</t>
  </si>
  <si>
    <t>2808/FTSCY/WS95031 HERMAWAN</t>
  </si>
  <si>
    <t>2808/FTSCY/WS95031 MUJIANTO</t>
  </si>
  <si>
    <t>2808/FTSCY/WS95031 FAJAR ANDREANZAH</t>
  </si>
  <si>
    <t>2808/FTSCY/WS95031 SUNARTO</t>
  </si>
  <si>
    <t>2908/FTSCY/WS95271 63278420.00 nganjuk 3 ton PRIMA JAYA BERSATU</t>
  </si>
  <si>
    <t>2908/FTSCY/WS95011 144450000.00 Pelunasan SUPER UNGGAS JAYA</t>
  </si>
  <si>
    <t>2908/FTSCY/WS95011 196000000.00 Tue Aug 25 2026 14:00:00 GMT+0700 (Western Indonesia Time) BROILER MAKMUR TAN</t>
  </si>
  <si>
    <t>2908/FTSCY/WS95031 600000.00 ANDE DOSO ANGGORO</t>
  </si>
  <si>
    <t>2908/FTSCY/WS95051 76260000.00 BYR AH HAIRUL BIJI JAGUNG PERKAS</t>
  </si>
  <si>
    <t>2908/FTSCY/WS95031 16377030.00 EKO SETIYAWAN</t>
  </si>
  <si>
    <t>2908/FTSCY/WS95031 35780740.00 Thu Aug 27 2026 14:00:00 GMT+0700 (Western Indonesia Time) ANDALAN YASA MITRA</t>
  </si>
  <si>
    <t>2908/FTSCY/WS95051 207436200.00 Pembelian ayam TRIJAYA LESTARI FO</t>
  </si>
  <si>
    <t>2908/FTSCY/WS95011 159550000.00 Tue Aug 25 2026 14:00:00 GMT+0700 (Western Indonesia Time) BROILER MAKMUR TAN</t>
  </si>
  <si>
    <t>2908/FTSCY/WS95271 72000000.00 Tue Aug 25 2026 14:00:00 GMT+0700 (Western Indonesia Time) BROILER MAKMUR TAN</t>
  </si>
  <si>
    <t>2908/FTSCY/WS95051 424898350.00 AH P HAIRUL 14/8 PHALOSARI UNGGUL J</t>
  </si>
  <si>
    <t>2908/FTSCY/WS95011 100000000.00 krmn 29/8 ERICKO HERMAWAN</t>
  </si>
  <si>
    <t>2908/FTSCY/WS95011 95000000.00 Bayar Ayam RPA SBU ALDINI MARIA GUMIL</t>
  </si>
  <si>
    <t>2908/FTSCY/WS95271 60290500.00 Fri Aug 28 2026 14:00:00 GMT+0700 (Western Indonesia Time) PT BERLIAN INDOMIT</t>
  </si>
  <si>
    <t>2908/FTSCY/WS95271 72850000.00 Fri Aug 28 2026 14:00:00 GMT+0700 (Western Indonesia Time) LAJU SATWA WISESA</t>
  </si>
  <si>
    <t>2908/FTSCY/WS95271 10503680.00 Sat Aug 29 2026 14:00:00 GMT+0700 (Western Indonesia Time) EKO SETIYAWAN</t>
  </si>
  <si>
    <t>2908/FTSCY/WS95271 4908520.00 SUNARTO</t>
  </si>
  <si>
    <t>2908/FTSCY/WS95031 46364600.00 krg 175 jt ANDALAN YASA MITRA</t>
  </si>
  <si>
    <t>3008/FTSCY/WS95011 191098510.00 Thu Aug 27 2026 14:00:00 GMT+0700 (Western Indonesia Time) GANESHA SATRIA NUS</t>
  </si>
  <si>
    <t>3008/FTSCY/WS95011 173790440.00 28_08 BROILER MAKMUR TAN</t>
  </si>
  <si>
    <t>3008/FTSCY/WS95031 18896000.00 NURUL AINI</t>
  </si>
  <si>
    <t>3008/FTSCY/WS95031 2040960.00 FAJAR ANDREANZAH</t>
  </si>
  <si>
    <t>3008/FTSCY/WS95031 2200000.00 MUJIANTO</t>
  </si>
  <si>
    <t>3008/FTSCY/WS95051 181073550.00 krmn 29/8 ERICKO HERMAWAN</t>
  </si>
  <si>
    <t>3008/FTSCY/WS95031 68400000.00 TERNAK SEJATI TABA</t>
  </si>
  <si>
    <t>3008/FTSCY/WS95271 78866000.00 Fri Aug 28 2026 14:00:00 GMT+0700 (Western Indonesia Time) BINTANG TAMA SANTO</t>
  </si>
  <si>
    <t>3008/FTSCY/WS95271 40000000.00 PT BERLIAN INDOMIT</t>
  </si>
  <si>
    <t>3008/FTSCY/WS95271 27893750.00 pelunasan PT BERLIAN INDOMIT</t>
  </si>
  <si>
    <t>3008/FTSCY/WS95051 144861510.00 AH P HAIRUL 21/8 PHALOSARI UNGGUL J</t>
  </si>
  <si>
    <t>3008/FTSCY/WS95051 176725820.00 ah 3730.2x23100+ 4007x22600 GEMILANG INTI SUKS</t>
  </si>
  <si>
    <t>3008/FTSCY/WS95051 100000000.00 krmn 30/8 ERICKO HERMAWAN</t>
  </si>
  <si>
    <t>3008/FTSCY/WS95011 65800000.00 WAHYU MEGA ARSITA</t>
  </si>
  <si>
    <t>3008/FTSCY/WS95271 20000000.00 EKO SETIYAWAN</t>
  </si>
  <si>
    <t>3008/FTSCY/WS95031 1550000.00 SUNARTO</t>
  </si>
  <si>
    <t>3008/FTSCY/WS95271 65891250.00 Fri Aug 28 2026 14:00:00 GMT+0700 (Western Indonesia Time) ANDALAN YASA MITRA</t>
  </si>
  <si>
    <t>TARIKAN ATM 30/08</t>
  </si>
  <si>
    <t>3008/FTSCY/WS95271 63373200.00 Fri Aug 28 2026 14:00:00 GMT+0700 (Western Indonesia Time) ANDALAN YASA MITRA</t>
  </si>
  <si>
    <t>3008/FTSCY/WS95031 150000.00 NURUL AINI</t>
  </si>
  <si>
    <t>3108/FTSCY/WS95271 153303600.00 Fri Aug 28 2026 14:00:00 GMT+0700 (Western Indonesia Time) LAJU SATWA WISESA</t>
  </si>
  <si>
    <t>3108/FTSCY/WS95271 82041000.00 Fri Aug 28 2026 14:00:00 GMT+0700 (Western Indonesia Time) ANDALAN YASA MITRA</t>
  </si>
  <si>
    <t>3108/FTSCY/WS95031 3000000.00 NURHAYATI</t>
  </si>
  <si>
    <t>3108/FTSCY/WS95271 61200000.00 Sat Aug 29 2026 14:00:00 GMT+0700 (Western Indonesia Time) LAJU SATWA WISESA</t>
  </si>
  <si>
    <t>3108/FTSCY/WS95031 20000000.00 pelunasan LAJU SATWA WISESA</t>
  </si>
  <si>
    <t>3108/FTSCY/WS95031 2300000.00 DWI HERMANSYAH</t>
  </si>
  <si>
    <t>3108/FTSCY/WS95031 1200000.00 FAJAR ANDREANZAH</t>
  </si>
  <si>
    <t>3108/FTSCY/WS95031 1798640.00 MUJIANTO</t>
  </si>
  <si>
    <t>3108/FTSCY/WS95031 1614360.00 HERMAWAN</t>
  </si>
  <si>
    <t>3108/FTSCY/WS95031 1508750.00 pelunasan PT BERLIAN INDOMIT</t>
  </si>
  <si>
    <t>3108/FTSCY/WS95031 75000000.00 PT BJP SRI ASIH ANGGRAENI</t>
  </si>
  <si>
    <t>3108/FTSCY/WS95011 1899600.00 PT BJP FAHMI UMAR</t>
  </si>
  <si>
    <t>3108/FTSCY/WS95051 127482800.00 krmn 30/8 ERICKO HERMAWAN</t>
  </si>
  <si>
    <t>3108/FTFVA/WS95031 55569/PT PRIMA FAJ mlg - 40190</t>
  </si>
  <si>
    <t>3108/FTSCY/WS95051 243684436.00 krmn 30/8 ERICKO HERMAWAN</t>
  </si>
  <si>
    <t>3108/FTSCY/WS95031 10000000.00 RODHIATUS SOLEHA</t>
  </si>
  <si>
    <t>3108/FTSCY/WS95011 69960680.00 Sat Aug 29 2026 14:00:00 GMT+0700 (Western Indonesia Time) BINTANG TAMA SANTO</t>
  </si>
  <si>
    <t>3108/FTSCY/WS95011 272344300.00 Sat Aug 29 2026 14:00:00 GMT+0700 (Western Indonesia Time) BROILER MAKMUR TAN</t>
  </si>
  <si>
    <t>3108/FTSCY/WS95011 75000000.00 Bayar Ayam RPA SBU ALDINI MARIA GUMIL</t>
  </si>
  <si>
    <t>3108/FTSCY/WS95051 336801360.00 AH P HAIRUL 25/8 PHALOSARI UNGGUL J</t>
  </si>
  <si>
    <t>3108/FTSCY/WS95051 164591050.00 ah 3800x22100+ 4010.5x20100 GEMILANG INTI SUKS</t>
  </si>
  <si>
    <t>3108/FTSCY/WS95011 65105040.00 WAHYU MEGA ARSITA</t>
  </si>
  <si>
    <t>3108/FTSCY/WS95011 157260000.00 Sat Aug 29 2026 14:00:00 GMT+0700 (Western Indonesia Time) BINTANG TAMA SANTO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</si>
</sst>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"/>
    <numFmt numFmtId="165" formatCode="dd&quot;/&quot;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4" xfId="0" applyFont="1" applyNumberFormat="1"/>
    <xf borderId="0" fillId="0" fontId="1" numFmtId="4" xfId="0" applyAlignment="1" applyFont="1" applyNumberFormat="1">
      <alignment readingOrder="0"/>
    </xf>
    <xf borderId="0" fillId="0" fontId="2" numFmtId="2" xfId="0" applyAlignment="1" applyFont="1" applyNumberFormat="1">
      <alignment vertical="bottom"/>
    </xf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89.5"/>
    <col hidden="1" min="6" max="6" width="12.63"/>
  </cols>
  <sheetData>
    <row r="1">
      <c r="A1" s="1"/>
      <c r="B1" s="2"/>
      <c r="D1" s="4"/>
      <c r="E1" s="4"/>
      <c r="F1" s="4"/>
      <c r="G1" s="5"/>
      <c r="H1" s="5"/>
      <c r="I1" s="6"/>
    </row>
    <row r="2">
      <c r="A2" s="1">
        <v>46235.0</v>
      </c>
      <c r="B2" s="2" t="s">
        <v>0</v>
      </c>
      <c r="C2" s="2" t="s">
        <v>0</v>
      </c>
      <c r="D2" s="4"/>
      <c r="E2" s="4">
        <f>SUM(E3:E665) </f>
        <v>25551500679</v>
      </c>
      <c r="F2" s="4"/>
      <c r="G2" s="5">
        <v>6.3839231057E8</v>
      </c>
      <c r="H2" s="5">
        <v>6.3839231057E8</v>
      </c>
      <c r="I2" s="6"/>
    </row>
    <row r="3">
      <c r="A3" s="1">
        <v>46235.0</v>
      </c>
      <c r="B3" s="2" t="s">
        <v>1</v>
      </c>
      <c r="C3" s="2" t="s">
        <v>2</v>
      </c>
      <c r="D3" s="5">
        <v>500000.0</v>
      </c>
      <c r="E3" s="4"/>
      <c r="F3" s="5" t="s">
        <v>3</v>
      </c>
      <c r="G3" s="4">
        <f>G2-D3+E3</f>
        <v>637892310.6</v>
      </c>
      <c r="H3" s="5">
        <v>6.3789231057E8</v>
      </c>
      <c r="I3" s="6"/>
    </row>
    <row r="4">
      <c r="A4" s="1">
        <v>46235.0</v>
      </c>
      <c r="B4" s="2" t="s">
        <v>4</v>
      </c>
      <c r="C4" s="2" t="s">
        <v>5</v>
      </c>
      <c r="D4" s="5">
        <v>47100.0</v>
      </c>
      <c r="E4" s="4"/>
      <c r="F4" s="5"/>
      <c r="G4" s="4">
        <f t="array" ref="G4:G665">SCAN(G3, MAP(D4:D665, E4:E665, LAMBDA(d, c, IF(AND(d="", c=""), "", N(c) - N(d)))), LAMBDA(saldo, mutasi, IF(mutasi="", "", saldo + mutasi)))</f>
        <v>637845210.6</v>
      </c>
      <c r="H4" s="4"/>
      <c r="I4" s="6"/>
    </row>
    <row r="5">
      <c r="A5" s="1">
        <v>46235.0</v>
      </c>
      <c r="B5" s="2" t="s">
        <v>1</v>
      </c>
      <c r="C5" s="2" t="s">
        <v>6</v>
      </c>
      <c r="D5" s="5">
        <v>1.0E8</v>
      </c>
      <c r="E5" s="4"/>
      <c r="F5" s="5" t="s">
        <v>3</v>
      </c>
      <c r="G5" s="4">
        <v>5.3784521057E8</v>
      </c>
      <c r="H5" s="4"/>
      <c r="I5" s="6"/>
    </row>
    <row r="6">
      <c r="A6" s="1">
        <v>46235.0</v>
      </c>
      <c r="B6" s="2" t="s">
        <v>1</v>
      </c>
      <c r="C6" s="2" t="s">
        <v>7</v>
      </c>
      <c r="D6" s="5">
        <v>5.0E7</v>
      </c>
      <c r="E6" s="4"/>
      <c r="F6" s="5" t="s">
        <v>3</v>
      </c>
      <c r="G6" s="4">
        <v>4.8784521057000005E8</v>
      </c>
      <c r="H6" s="4"/>
      <c r="I6" s="6" t="s">
        <v>8</v>
      </c>
    </row>
    <row r="7">
      <c r="A7" s="1">
        <v>46235.0</v>
      </c>
      <c r="B7" s="2" t="s">
        <v>1</v>
      </c>
      <c r="C7" s="2" t="s">
        <v>9</v>
      </c>
      <c r="D7" s="5">
        <v>6.45E7</v>
      </c>
      <c r="E7" s="4"/>
      <c r="F7" s="5" t="s">
        <v>3</v>
      </c>
      <c r="G7" s="4">
        <v>4.2334521057000005E8</v>
      </c>
      <c r="H7" s="4"/>
      <c r="I7" s="6" t="s">
        <v>8</v>
      </c>
    </row>
    <row r="8">
      <c r="A8" s="1">
        <v>46235.0</v>
      </c>
      <c r="B8" s="2" t="s">
        <v>1</v>
      </c>
      <c r="C8" s="2" t="s">
        <v>10</v>
      </c>
      <c r="D8" s="5">
        <v>7.004205E7</v>
      </c>
      <c r="E8" s="4"/>
      <c r="F8" s="5" t="s">
        <v>3</v>
      </c>
      <c r="G8" s="4">
        <v>3.5330316057000005E8</v>
      </c>
      <c r="H8" s="4"/>
      <c r="I8" s="6" t="s">
        <v>11</v>
      </c>
    </row>
    <row r="9">
      <c r="A9" s="1">
        <v>46235.0</v>
      </c>
      <c r="B9" s="2" t="s">
        <v>1</v>
      </c>
      <c r="C9" s="2" t="s">
        <v>12</v>
      </c>
      <c r="D9" s="5">
        <v>2.18007E8</v>
      </c>
      <c r="E9" s="4"/>
      <c r="F9" s="5" t="s">
        <v>3</v>
      </c>
      <c r="G9" s="4">
        <v>1.3529616057000005E8</v>
      </c>
      <c r="H9" s="4"/>
      <c r="I9" s="6" t="s">
        <v>8</v>
      </c>
    </row>
    <row r="10">
      <c r="A10" s="1">
        <v>46235.0</v>
      </c>
      <c r="B10" s="2" t="s">
        <v>1</v>
      </c>
      <c r="C10" s="2" t="s">
        <v>13</v>
      </c>
      <c r="D10" s="5">
        <v>1.3492909E8</v>
      </c>
      <c r="E10" s="4"/>
      <c r="F10" s="5" t="s">
        <v>3</v>
      </c>
      <c r="G10" s="4">
        <v>367070.57000005245</v>
      </c>
      <c r="H10" s="4"/>
      <c r="I10" s="6" t="s">
        <v>8</v>
      </c>
    </row>
    <row r="11">
      <c r="A11" s="1">
        <v>46235.0</v>
      </c>
      <c r="B11" s="2" t="s">
        <v>14</v>
      </c>
      <c r="C11" s="2" t="s">
        <v>15</v>
      </c>
      <c r="D11" s="5"/>
      <c r="E11" s="5">
        <v>5.0E7</v>
      </c>
      <c r="F11" s="5" t="s">
        <v>16</v>
      </c>
      <c r="G11" s="4">
        <v>5.036707057000005E7</v>
      </c>
      <c r="H11" s="4"/>
      <c r="I11" s="6" t="s">
        <v>8</v>
      </c>
    </row>
    <row r="12">
      <c r="A12" s="1">
        <v>46235.0</v>
      </c>
      <c r="B12" s="2" t="s">
        <v>17</v>
      </c>
      <c r="C12" s="2" t="s">
        <v>18</v>
      </c>
      <c r="D12" s="5">
        <v>2.097305E7</v>
      </c>
      <c r="E12" s="4"/>
      <c r="F12" s="5" t="s">
        <v>3</v>
      </c>
      <c r="G12" s="4">
        <v>2.9394020570000052E7</v>
      </c>
      <c r="H12" s="4"/>
      <c r="I12" s="6" t="s">
        <v>8</v>
      </c>
    </row>
    <row r="13">
      <c r="A13" s="1">
        <v>46235.0</v>
      </c>
      <c r="B13" s="2" t="s">
        <v>17</v>
      </c>
      <c r="C13" s="2" t="s">
        <v>19</v>
      </c>
      <c r="D13" s="5">
        <v>2.934E7</v>
      </c>
      <c r="E13" s="4"/>
      <c r="F13" s="5" t="s">
        <v>3</v>
      </c>
      <c r="G13" s="4">
        <v>54020.57000005245</v>
      </c>
      <c r="H13" s="4"/>
      <c r="I13" s="6" t="s">
        <v>8</v>
      </c>
    </row>
    <row r="14">
      <c r="A14" s="1">
        <v>46235.0</v>
      </c>
      <c r="B14" s="2" t="s">
        <v>20</v>
      </c>
      <c r="C14" s="2" t="s">
        <v>21</v>
      </c>
      <c r="D14" s="5"/>
      <c r="E14" s="5">
        <v>4.9625525E8</v>
      </c>
      <c r="F14" s="5" t="s">
        <v>16</v>
      </c>
      <c r="G14" s="4">
        <v>4.9630927057000005E8</v>
      </c>
      <c r="H14" s="4"/>
      <c r="I14" s="6" t="s">
        <v>8</v>
      </c>
    </row>
    <row r="15">
      <c r="A15" s="1">
        <v>46235.0</v>
      </c>
      <c r="B15" s="2" t="s">
        <v>17</v>
      </c>
      <c r="C15" s="2" t="s">
        <v>22</v>
      </c>
      <c r="D15" s="5">
        <v>5.2173E7</v>
      </c>
      <c r="E15" s="4"/>
      <c r="F15" s="5" t="s">
        <v>3</v>
      </c>
      <c r="G15" s="4">
        <v>4.4413627057000005E8</v>
      </c>
      <c r="H15" s="5">
        <v>4.4413627057E8</v>
      </c>
      <c r="I15" s="6" t="s">
        <v>8</v>
      </c>
    </row>
    <row r="16">
      <c r="A16" s="1">
        <v>46235.0</v>
      </c>
      <c r="B16" s="2" t="s">
        <v>17</v>
      </c>
      <c r="C16" s="2" t="s">
        <v>23</v>
      </c>
      <c r="D16" s="5">
        <v>1.117495E8</v>
      </c>
      <c r="E16" s="4"/>
      <c r="F16" s="5" t="s">
        <v>3</v>
      </c>
      <c r="G16" s="4">
        <v>3.3238677057000005E8</v>
      </c>
      <c r="H16" s="5">
        <v>3.3238677057E8</v>
      </c>
      <c r="I16" s="6" t="s">
        <v>8</v>
      </c>
    </row>
    <row r="17">
      <c r="A17" s="1">
        <v>46235.0</v>
      </c>
      <c r="B17" s="2" t="s">
        <v>17</v>
      </c>
      <c r="C17" s="2" t="s">
        <v>24</v>
      </c>
      <c r="D17" s="5">
        <v>2.025E8</v>
      </c>
      <c r="E17" s="4"/>
      <c r="F17" s="5" t="s">
        <v>3</v>
      </c>
      <c r="G17" s="4">
        <v>1.2988677057000005E8</v>
      </c>
      <c r="H17" s="4"/>
      <c r="I17" s="6" t="s">
        <v>8</v>
      </c>
    </row>
    <row r="18">
      <c r="A18" s="1">
        <v>46235.0</v>
      </c>
      <c r="B18" s="2" t="s">
        <v>17</v>
      </c>
      <c r="C18" s="2" t="s">
        <v>25</v>
      </c>
      <c r="D18" s="5">
        <v>5.25E7</v>
      </c>
      <c r="E18" s="4"/>
      <c r="F18" s="5" t="s">
        <v>3</v>
      </c>
      <c r="G18" s="4">
        <v>7.738677057000005E7</v>
      </c>
      <c r="H18" s="4"/>
      <c r="I18" s="6" t="s">
        <v>8</v>
      </c>
    </row>
    <row r="19">
      <c r="A19" s="1">
        <v>46235.0</v>
      </c>
      <c r="B19" s="2" t="s">
        <v>17</v>
      </c>
      <c r="C19" s="2" t="s">
        <v>26</v>
      </c>
      <c r="D19" s="5">
        <v>6.88E7</v>
      </c>
      <c r="E19" s="4"/>
      <c r="F19" s="5" t="s">
        <v>3</v>
      </c>
      <c r="G19" s="4">
        <v>8586770.570000052</v>
      </c>
      <c r="H19" s="4"/>
      <c r="I19" s="6" t="s">
        <v>8</v>
      </c>
    </row>
    <row r="20">
      <c r="A20" s="1">
        <v>46235.0</v>
      </c>
      <c r="B20" s="2" t="s">
        <v>27</v>
      </c>
      <c r="C20" s="2" t="s">
        <v>28</v>
      </c>
      <c r="D20" s="5">
        <v>47100.0</v>
      </c>
      <c r="E20" s="4"/>
      <c r="F20" s="4"/>
      <c r="G20" s="4">
        <v>8539670.570000052</v>
      </c>
      <c r="H20" s="4"/>
      <c r="I20" s="6" t="s">
        <v>8</v>
      </c>
    </row>
    <row r="21">
      <c r="A21" s="1">
        <v>46235.0</v>
      </c>
      <c r="B21" s="2" t="s">
        <v>14</v>
      </c>
      <c r="C21" s="2" t="s">
        <v>29</v>
      </c>
      <c r="D21" s="5"/>
      <c r="E21" s="5">
        <v>7.224944E7</v>
      </c>
      <c r="F21" s="5" t="s">
        <v>16</v>
      </c>
      <c r="G21" s="4">
        <v>8.078911057000005E7</v>
      </c>
      <c r="H21" s="4"/>
      <c r="I21" s="6" t="s">
        <v>8</v>
      </c>
    </row>
    <row r="22">
      <c r="A22" s="1">
        <v>46235.0</v>
      </c>
      <c r="B22" s="2" t="s">
        <v>14</v>
      </c>
      <c r="C22" s="2" t="s">
        <v>30</v>
      </c>
      <c r="D22" s="5"/>
      <c r="E22" s="5">
        <v>1.2873205E8</v>
      </c>
      <c r="F22" s="5" t="s">
        <v>16</v>
      </c>
      <c r="G22" s="4">
        <v>2.0952116057000005E8</v>
      </c>
      <c r="H22" s="4"/>
      <c r="I22" s="6"/>
    </row>
    <row r="23">
      <c r="A23" s="1">
        <v>46235.0</v>
      </c>
      <c r="B23" s="2" t="s">
        <v>17</v>
      </c>
      <c r="C23" s="2" t="s">
        <v>31</v>
      </c>
      <c r="D23" s="5">
        <v>1.5E7</v>
      </c>
      <c r="E23" s="4"/>
      <c r="F23" s="5" t="s">
        <v>3</v>
      </c>
      <c r="G23" s="4">
        <v>1.9452116057000005E8</v>
      </c>
      <c r="H23" s="4"/>
      <c r="I23" s="6"/>
    </row>
    <row r="24">
      <c r="A24" s="1">
        <v>46235.0</v>
      </c>
      <c r="B24" s="2" t="s">
        <v>17</v>
      </c>
      <c r="C24" s="2" t="s">
        <v>32</v>
      </c>
      <c r="D24" s="5">
        <v>1.151715E8</v>
      </c>
      <c r="E24" s="4"/>
      <c r="F24" s="5" t="s">
        <v>3</v>
      </c>
      <c r="G24" s="4">
        <v>7.934966057000005E7</v>
      </c>
      <c r="H24" s="4"/>
      <c r="I24" s="6" t="s">
        <v>8</v>
      </c>
    </row>
    <row r="25">
      <c r="A25" s="1">
        <v>46235.0</v>
      </c>
      <c r="B25" s="2" t="s">
        <v>17</v>
      </c>
      <c r="C25" s="2" t="s">
        <v>33</v>
      </c>
      <c r="D25" s="5">
        <v>3.928525E7</v>
      </c>
      <c r="E25" s="4"/>
      <c r="F25" s="5" t="s">
        <v>3</v>
      </c>
      <c r="G25" s="4">
        <v>4.006441057000005E7</v>
      </c>
      <c r="H25" s="4"/>
      <c r="I25" s="6"/>
    </row>
    <row r="26">
      <c r="A26" s="1">
        <v>46235.0</v>
      </c>
      <c r="B26" s="2" t="s">
        <v>17</v>
      </c>
      <c r="C26" s="2" t="s">
        <v>34</v>
      </c>
      <c r="D26" s="5">
        <v>1800000.0</v>
      </c>
      <c r="E26" s="4"/>
      <c r="F26" s="5" t="s">
        <v>3</v>
      </c>
      <c r="G26" s="4">
        <v>3.826441057000005E7</v>
      </c>
      <c r="H26" s="4"/>
      <c r="I26" s="6"/>
    </row>
    <row r="27">
      <c r="A27" s="1">
        <v>46235.0</v>
      </c>
      <c r="B27" s="2" t="s">
        <v>14</v>
      </c>
      <c r="C27" s="2" t="s">
        <v>35</v>
      </c>
      <c r="D27" s="5"/>
      <c r="E27" s="5">
        <v>3.8536813E8</v>
      </c>
      <c r="F27" s="5" t="s">
        <v>16</v>
      </c>
      <c r="G27" s="4">
        <v>4.2363254057000005E8</v>
      </c>
      <c r="H27" s="4"/>
      <c r="I27" s="6" t="s">
        <v>8</v>
      </c>
    </row>
    <row r="28">
      <c r="A28" s="1">
        <v>46235.0</v>
      </c>
      <c r="B28" s="2" t="s">
        <v>17</v>
      </c>
      <c r="C28" s="2" t="s">
        <v>36</v>
      </c>
      <c r="D28" s="5">
        <v>5.4937E7</v>
      </c>
      <c r="E28" s="4"/>
      <c r="F28" s="5" t="s">
        <v>3</v>
      </c>
      <c r="G28" s="4">
        <v>3.6869554057000005E8</v>
      </c>
      <c r="H28" s="4"/>
      <c r="I28" s="6" t="s">
        <v>8</v>
      </c>
    </row>
    <row r="29">
      <c r="A29" s="1">
        <v>46235.0</v>
      </c>
      <c r="B29" s="2" t="s">
        <v>17</v>
      </c>
      <c r="C29" s="2" t="s">
        <v>37</v>
      </c>
      <c r="D29" s="5">
        <v>1.3058325E8</v>
      </c>
      <c r="E29" s="4"/>
      <c r="F29" s="5" t="s">
        <v>3</v>
      </c>
      <c r="G29" s="4">
        <v>2.3811229057000005E8</v>
      </c>
      <c r="H29" s="5">
        <v>2.3811229057E8</v>
      </c>
      <c r="I29" s="6"/>
    </row>
    <row r="30">
      <c r="A30" s="1">
        <v>46236.0</v>
      </c>
      <c r="B30" s="2" t="s">
        <v>38</v>
      </c>
      <c r="C30" s="2" t="s">
        <v>38</v>
      </c>
      <c r="D30" s="5">
        <v>500000.0</v>
      </c>
      <c r="E30" s="4"/>
      <c r="F30" s="4"/>
      <c r="G30" s="4">
        <v>2.3761229057000005E8</v>
      </c>
      <c r="H30" s="5">
        <v>2.3761229057E8</v>
      </c>
      <c r="I30" s="6" t="s">
        <v>8</v>
      </c>
    </row>
    <row r="31">
      <c r="A31" s="1">
        <v>46236.0</v>
      </c>
      <c r="B31" s="2" t="s">
        <v>17</v>
      </c>
      <c r="C31" s="2" t="s">
        <v>39</v>
      </c>
      <c r="D31" s="5">
        <v>1.265E8</v>
      </c>
      <c r="E31" s="4"/>
      <c r="F31" s="5" t="s">
        <v>3</v>
      </c>
      <c r="G31" s="4">
        <v>1.1111229057000005E8</v>
      </c>
      <c r="H31" s="4"/>
      <c r="I31" s="6" t="s">
        <v>8</v>
      </c>
    </row>
    <row r="32">
      <c r="A32" s="1">
        <v>46236.0</v>
      </c>
      <c r="B32" s="2" t="s">
        <v>17</v>
      </c>
      <c r="C32" s="2" t="s">
        <v>40</v>
      </c>
      <c r="D32" s="5">
        <v>7.7E7</v>
      </c>
      <c r="E32" s="4"/>
      <c r="F32" s="5" t="s">
        <v>3</v>
      </c>
      <c r="G32" s="4">
        <v>3.411229057000005E7</v>
      </c>
      <c r="H32" s="4"/>
      <c r="I32" s="6"/>
    </row>
    <row r="33">
      <c r="A33" s="1">
        <v>46236.0</v>
      </c>
      <c r="B33" s="2" t="s">
        <v>17</v>
      </c>
      <c r="C33" s="2" t="s">
        <v>41</v>
      </c>
      <c r="D33" s="5">
        <v>3.4E7</v>
      </c>
      <c r="E33" s="4"/>
      <c r="F33" s="5" t="s">
        <v>3</v>
      </c>
      <c r="G33" s="4">
        <v>112290.57000005245</v>
      </c>
      <c r="H33" s="4"/>
      <c r="I33" s="6"/>
    </row>
    <row r="34">
      <c r="A34" s="1">
        <v>46236.0</v>
      </c>
      <c r="B34" s="2" t="s">
        <v>14</v>
      </c>
      <c r="C34" s="2" t="s">
        <v>42</v>
      </c>
      <c r="D34" s="5"/>
      <c r="E34" s="5">
        <v>3.8478E7</v>
      </c>
      <c r="F34" s="5" t="s">
        <v>16</v>
      </c>
      <c r="G34" s="4">
        <v>3.859029057000005E7</v>
      </c>
      <c r="H34" s="4"/>
      <c r="I34" s="6" t="s">
        <v>43</v>
      </c>
    </row>
    <row r="35">
      <c r="A35" s="1">
        <v>46236.0</v>
      </c>
      <c r="B35" s="2" t="s">
        <v>17</v>
      </c>
      <c r="C35" s="2" t="s">
        <v>44</v>
      </c>
      <c r="D35" s="5">
        <v>2.816E7</v>
      </c>
      <c r="E35" s="4"/>
      <c r="F35" s="5" t="s">
        <v>3</v>
      </c>
      <c r="G35" s="4">
        <v>1.0430290570000052E7</v>
      </c>
      <c r="H35" s="4"/>
      <c r="I35" s="6" t="s">
        <v>43</v>
      </c>
    </row>
    <row r="36">
      <c r="A36" s="1">
        <v>46236.0</v>
      </c>
      <c r="B36" s="2" t="s">
        <v>14</v>
      </c>
      <c r="C36" s="2" t="s">
        <v>45</v>
      </c>
      <c r="D36" s="5"/>
      <c r="E36" s="5">
        <v>3689000.0</v>
      </c>
      <c r="F36" s="5" t="s">
        <v>16</v>
      </c>
      <c r="G36" s="4">
        <v>1.4119290570000052E7</v>
      </c>
      <c r="H36" s="4"/>
      <c r="I36" s="6" t="s">
        <v>8</v>
      </c>
    </row>
    <row r="37">
      <c r="A37" s="1">
        <v>46236.0</v>
      </c>
      <c r="B37" s="2" t="s">
        <v>14</v>
      </c>
      <c r="C37" s="2" t="s">
        <v>46</v>
      </c>
      <c r="D37" s="5"/>
      <c r="E37" s="5">
        <v>1.2793047E8</v>
      </c>
      <c r="F37" s="5" t="s">
        <v>16</v>
      </c>
      <c r="G37" s="4">
        <v>1.4204976057000005E8</v>
      </c>
      <c r="H37" s="4"/>
      <c r="I37" s="6" t="s">
        <v>8</v>
      </c>
    </row>
    <row r="38">
      <c r="A38" s="1">
        <v>46236.0</v>
      </c>
      <c r="B38" s="2" t="s">
        <v>14</v>
      </c>
      <c r="C38" s="2" t="s">
        <v>47</v>
      </c>
      <c r="D38" s="5"/>
      <c r="E38" s="5">
        <v>4250000.0</v>
      </c>
      <c r="F38" s="5" t="s">
        <v>16</v>
      </c>
      <c r="G38" s="4">
        <v>1.4629976057000005E8</v>
      </c>
      <c r="H38" s="4"/>
      <c r="I38" s="6" t="s">
        <v>43</v>
      </c>
    </row>
    <row r="39">
      <c r="A39" s="1">
        <v>46236.0</v>
      </c>
      <c r="B39" s="2" t="s">
        <v>14</v>
      </c>
      <c r="C39" s="2" t="s">
        <v>48</v>
      </c>
      <c r="D39" s="5"/>
      <c r="E39" s="5">
        <v>4.7375624E8</v>
      </c>
      <c r="F39" s="5" t="s">
        <v>16</v>
      </c>
      <c r="G39" s="4">
        <v>6.2005600057E8</v>
      </c>
      <c r="H39" s="4"/>
      <c r="I39" s="6" t="s">
        <v>8</v>
      </c>
    </row>
    <row r="40">
      <c r="A40" s="1">
        <v>46236.0</v>
      </c>
      <c r="B40" s="2" t="s">
        <v>17</v>
      </c>
      <c r="C40" s="2" t="s">
        <v>49</v>
      </c>
      <c r="D40" s="5">
        <v>1.0E8</v>
      </c>
      <c r="E40" s="4"/>
      <c r="F40" s="5" t="s">
        <v>3</v>
      </c>
      <c r="G40" s="4">
        <v>5.2005600057000005E8</v>
      </c>
      <c r="H40" s="4"/>
      <c r="I40" s="6"/>
    </row>
    <row r="41">
      <c r="A41" s="1">
        <v>46236.0</v>
      </c>
      <c r="B41" s="2" t="s">
        <v>17</v>
      </c>
      <c r="C41" s="2" t="s">
        <v>50</v>
      </c>
      <c r="D41" s="5">
        <v>1.58295E7</v>
      </c>
      <c r="E41" s="4"/>
      <c r="F41" s="5" t="s">
        <v>3</v>
      </c>
      <c r="G41" s="4">
        <v>5.0422650057000005E8</v>
      </c>
      <c r="H41" s="4"/>
      <c r="I41" s="6"/>
    </row>
    <row r="42">
      <c r="A42" s="1">
        <v>46236.0</v>
      </c>
      <c r="B42" s="2" t="s">
        <v>17</v>
      </c>
      <c r="C42" s="2" t="s">
        <v>51</v>
      </c>
      <c r="D42" s="5">
        <v>2.655E7</v>
      </c>
      <c r="E42" s="4"/>
      <c r="F42" s="5" t="s">
        <v>3</v>
      </c>
      <c r="G42" s="4">
        <v>4.7767650057000005E8</v>
      </c>
      <c r="H42" s="5">
        <v>4.7767650057E8</v>
      </c>
      <c r="I42" s="6" t="s">
        <v>8</v>
      </c>
    </row>
    <row r="43">
      <c r="A43" s="1">
        <v>46236.0</v>
      </c>
      <c r="B43" s="2" t="s">
        <v>17</v>
      </c>
      <c r="C43" s="2" t="s">
        <v>52</v>
      </c>
      <c r="D43" s="5">
        <v>1.714278E7</v>
      </c>
      <c r="E43" s="4"/>
      <c r="F43" s="5" t="s">
        <v>3</v>
      </c>
      <c r="G43" s="4">
        <v>4.6053372057000005E8</v>
      </c>
      <c r="H43" s="5">
        <v>4.6053372057E8</v>
      </c>
      <c r="I43" s="6" t="s">
        <v>8</v>
      </c>
    </row>
    <row r="44">
      <c r="A44" s="1">
        <v>46236.0</v>
      </c>
      <c r="B44" s="2" t="s">
        <v>17</v>
      </c>
      <c r="C44" s="2" t="s">
        <v>53</v>
      </c>
      <c r="D44" s="5">
        <v>6.4E7</v>
      </c>
      <c r="E44" s="4"/>
      <c r="F44" s="5" t="s">
        <v>3</v>
      </c>
      <c r="G44" s="4">
        <v>3.9653372057000005E8</v>
      </c>
      <c r="H44" s="4"/>
      <c r="I44" s="6"/>
    </row>
    <row r="45">
      <c r="A45" s="1">
        <v>46236.0</v>
      </c>
      <c r="B45" s="2" t="s">
        <v>17</v>
      </c>
      <c r="C45" s="2" t="s">
        <v>54</v>
      </c>
      <c r="D45" s="5">
        <v>1.274834E8</v>
      </c>
      <c r="E45" s="4"/>
      <c r="F45" s="5" t="s">
        <v>3</v>
      </c>
      <c r="G45" s="4">
        <v>2.6905032057000005E8</v>
      </c>
      <c r="H45" s="4"/>
      <c r="I45" s="6" t="s">
        <v>8</v>
      </c>
    </row>
    <row r="46">
      <c r="A46" s="1">
        <v>46236.0</v>
      </c>
      <c r="B46" s="2" t="s">
        <v>17</v>
      </c>
      <c r="C46" s="2" t="s">
        <v>55</v>
      </c>
      <c r="D46" s="5">
        <v>1.00946E8</v>
      </c>
      <c r="E46" s="4"/>
      <c r="F46" s="5" t="s">
        <v>3</v>
      </c>
      <c r="G46" s="4">
        <v>1.6810432057000005E8</v>
      </c>
      <c r="H46" s="4"/>
      <c r="I46" s="6" t="s">
        <v>8</v>
      </c>
    </row>
    <row r="47">
      <c r="A47" s="1">
        <v>46236.0</v>
      </c>
      <c r="B47" s="2" t="s">
        <v>17</v>
      </c>
      <c r="C47" s="2" t="s">
        <v>56</v>
      </c>
      <c r="D47" s="5">
        <v>4.812168E7</v>
      </c>
      <c r="E47" s="4"/>
      <c r="F47" s="5" t="s">
        <v>3</v>
      </c>
      <c r="G47" s="4">
        <v>1.1998264057000005E8</v>
      </c>
      <c r="H47" s="4"/>
      <c r="I47" s="6" t="s">
        <v>8</v>
      </c>
    </row>
    <row r="48">
      <c r="A48" s="1">
        <v>46236.0</v>
      </c>
      <c r="B48" s="2" t="s">
        <v>17</v>
      </c>
      <c r="C48" s="2" t="s">
        <v>57</v>
      </c>
      <c r="D48" s="5">
        <v>5.712E7</v>
      </c>
      <c r="E48" s="4"/>
      <c r="F48" s="5" t="s">
        <v>3</v>
      </c>
      <c r="G48" s="4">
        <v>6.286264057000005E7</v>
      </c>
      <c r="H48" s="4"/>
      <c r="I48" s="6" t="s">
        <v>8</v>
      </c>
    </row>
    <row r="49">
      <c r="A49" s="1">
        <v>46236.0</v>
      </c>
      <c r="B49" s="2" t="s">
        <v>17</v>
      </c>
      <c r="C49" s="2" t="s">
        <v>58</v>
      </c>
      <c r="D49" s="5">
        <v>1.5E7</v>
      </c>
      <c r="E49" s="4"/>
      <c r="F49" s="5" t="s">
        <v>3</v>
      </c>
      <c r="G49" s="4">
        <v>4.786264057000005E7</v>
      </c>
      <c r="H49" s="4"/>
      <c r="I49" s="6" t="s">
        <v>8</v>
      </c>
    </row>
    <row r="50">
      <c r="A50" s="1">
        <v>46236.0</v>
      </c>
      <c r="B50" s="2" t="s">
        <v>17</v>
      </c>
      <c r="C50" s="2" t="s">
        <v>59</v>
      </c>
      <c r="D50" s="5">
        <v>3989980.0</v>
      </c>
      <c r="E50" s="4"/>
      <c r="F50" s="5" t="s">
        <v>3</v>
      </c>
      <c r="G50" s="4">
        <v>4.387266057000005E7</v>
      </c>
      <c r="H50" s="4"/>
      <c r="I50" s="6"/>
    </row>
    <row r="51">
      <c r="A51" s="1">
        <v>46236.0</v>
      </c>
      <c r="B51" s="2" t="s">
        <v>38</v>
      </c>
      <c r="C51" s="2" t="s">
        <v>38</v>
      </c>
      <c r="D51" s="5">
        <v>300000.0</v>
      </c>
      <c r="E51" s="4"/>
      <c r="F51" s="4"/>
      <c r="G51" s="4">
        <v>4.357266057000005E7</v>
      </c>
      <c r="H51" s="5">
        <v>4.357266057E7</v>
      </c>
      <c r="I51" s="6" t="s">
        <v>8</v>
      </c>
    </row>
    <row r="52">
      <c r="A52" s="1">
        <v>46237.0</v>
      </c>
      <c r="B52" s="2" t="s">
        <v>17</v>
      </c>
      <c r="C52" s="2" t="s">
        <v>60</v>
      </c>
      <c r="D52" s="5">
        <v>2202400.0</v>
      </c>
      <c r="E52" s="4"/>
      <c r="F52" s="5" t="s">
        <v>3</v>
      </c>
      <c r="G52" s="4">
        <v>4.137026057000005E7</v>
      </c>
      <c r="H52" s="4"/>
      <c r="I52" s="6"/>
    </row>
    <row r="53">
      <c r="A53" s="1">
        <v>46237.0</v>
      </c>
      <c r="B53" s="2" t="s">
        <v>17</v>
      </c>
      <c r="C53" s="2" t="s">
        <v>61</v>
      </c>
      <c r="D53" s="5">
        <v>850000.0</v>
      </c>
      <c r="E53" s="4"/>
      <c r="F53" s="5" t="s">
        <v>3</v>
      </c>
      <c r="G53" s="4">
        <v>4.052026057000005E7</v>
      </c>
      <c r="H53" s="4"/>
      <c r="I53" s="6" t="s">
        <v>8</v>
      </c>
    </row>
    <row r="54">
      <c r="A54" s="1">
        <v>46237.0</v>
      </c>
      <c r="B54" s="2" t="s">
        <v>14</v>
      </c>
      <c r="C54" s="2" t="s">
        <v>62</v>
      </c>
      <c r="D54" s="5"/>
      <c r="E54" s="5">
        <v>3.0E7</v>
      </c>
      <c r="F54" s="5" t="s">
        <v>16</v>
      </c>
      <c r="G54" s="4">
        <v>7.052026057000005E7</v>
      </c>
      <c r="H54" s="4"/>
      <c r="I54" s="6" t="s">
        <v>8</v>
      </c>
    </row>
    <row r="55">
      <c r="A55" s="1">
        <v>46237.0</v>
      </c>
      <c r="B55" s="2" t="s">
        <v>17</v>
      </c>
      <c r="C55" s="2" t="s">
        <v>63</v>
      </c>
      <c r="D55" s="5">
        <v>5.68113E7</v>
      </c>
      <c r="E55" s="4"/>
      <c r="F55" s="5" t="s">
        <v>3</v>
      </c>
      <c r="G55" s="4">
        <v>1.3708960570000052E7</v>
      </c>
      <c r="H55" s="4"/>
      <c r="I55" s="6" t="s">
        <v>8</v>
      </c>
    </row>
    <row r="56">
      <c r="A56" s="1">
        <v>46237.0</v>
      </c>
      <c r="B56" s="2" t="s">
        <v>14</v>
      </c>
      <c r="C56" s="2" t="s">
        <v>64</v>
      </c>
      <c r="D56" s="5"/>
      <c r="E56" s="5">
        <v>3.8161785E8</v>
      </c>
      <c r="F56" s="5" t="s">
        <v>16</v>
      </c>
      <c r="G56" s="4">
        <v>3.9532681057000005E8</v>
      </c>
      <c r="H56" s="5">
        <v>3.9532681057E8</v>
      </c>
      <c r="I56" s="6"/>
    </row>
    <row r="57">
      <c r="A57" s="1">
        <v>46237.0</v>
      </c>
      <c r="B57" s="2" t="s">
        <v>17</v>
      </c>
      <c r="C57" s="2" t="s">
        <v>65</v>
      </c>
      <c r="D57" s="5">
        <v>5.8725E7</v>
      </c>
      <c r="E57" s="4"/>
      <c r="F57" s="5" t="s">
        <v>3</v>
      </c>
      <c r="G57" s="4">
        <v>3.3660181057000005E8</v>
      </c>
      <c r="H57" s="5">
        <v>3.3660181057E8</v>
      </c>
      <c r="I57" s="6" t="s">
        <v>8</v>
      </c>
    </row>
    <row r="58">
      <c r="A58" s="1">
        <v>46237.0</v>
      </c>
      <c r="B58" s="2" t="s">
        <v>17</v>
      </c>
      <c r="C58" s="2" t="s">
        <v>66</v>
      </c>
      <c r="D58" s="5">
        <v>7.472466E7</v>
      </c>
      <c r="E58" s="4"/>
      <c r="F58" s="5" t="s">
        <v>3</v>
      </c>
      <c r="G58" s="4">
        <v>2.6187715057000005E8</v>
      </c>
      <c r="H58" s="4"/>
      <c r="I58" s="6" t="s">
        <v>8</v>
      </c>
    </row>
    <row r="59">
      <c r="A59" s="1">
        <v>46237.0</v>
      </c>
      <c r="B59" s="2" t="s">
        <v>17</v>
      </c>
      <c r="C59" s="2" t="s">
        <v>67</v>
      </c>
      <c r="D59" s="5">
        <v>1.863805E7</v>
      </c>
      <c r="E59" s="4"/>
      <c r="F59" s="5" t="s">
        <v>3</v>
      </c>
      <c r="G59" s="4">
        <v>2.4323910057000005E8</v>
      </c>
      <c r="H59" s="4"/>
      <c r="I59" s="6" t="s">
        <v>8</v>
      </c>
    </row>
    <row r="60">
      <c r="A60" s="1">
        <v>46237.0</v>
      </c>
      <c r="B60" s="2" t="s">
        <v>17</v>
      </c>
      <c r="C60" s="2" t="s">
        <v>68</v>
      </c>
      <c r="D60" s="5">
        <v>1.22991E8</v>
      </c>
      <c r="E60" s="4"/>
      <c r="F60" s="5" t="s">
        <v>3</v>
      </c>
      <c r="G60" s="4">
        <v>1.2024810057000005E8</v>
      </c>
      <c r="H60" s="4"/>
      <c r="I60" s="6" t="s">
        <v>8</v>
      </c>
    </row>
    <row r="61">
      <c r="A61" s="1">
        <v>46237.0</v>
      </c>
      <c r="B61" s="2" t="s">
        <v>14</v>
      </c>
      <c r="C61" s="2" t="s">
        <v>69</v>
      </c>
      <c r="D61" s="5"/>
      <c r="E61" s="5">
        <v>1.4251064E8</v>
      </c>
      <c r="F61" s="5" t="s">
        <v>16</v>
      </c>
      <c r="G61" s="4">
        <v>2.6275874057000005E8</v>
      </c>
      <c r="H61" s="4"/>
      <c r="I61" s="6"/>
    </row>
    <row r="62">
      <c r="A62" s="1">
        <v>46237.0</v>
      </c>
      <c r="B62" s="2" t="s">
        <v>17</v>
      </c>
      <c r="C62" s="2" t="s">
        <v>70</v>
      </c>
      <c r="D62" s="5">
        <v>735000.0</v>
      </c>
      <c r="E62" s="4"/>
      <c r="F62" s="5" t="s">
        <v>3</v>
      </c>
      <c r="G62" s="4">
        <v>2.6202374057000005E8</v>
      </c>
      <c r="H62" s="4"/>
      <c r="I62" s="6" t="s">
        <v>8</v>
      </c>
    </row>
    <row r="63">
      <c r="A63" s="1">
        <v>46237.0</v>
      </c>
      <c r="B63" s="2" t="s">
        <v>14</v>
      </c>
      <c r="C63" s="2" t="s">
        <v>71</v>
      </c>
      <c r="D63" s="5"/>
      <c r="E63" s="5">
        <v>1.0E8</v>
      </c>
      <c r="F63" s="5" t="s">
        <v>16</v>
      </c>
      <c r="G63" s="4">
        <v>3.6202374057000005E8</v>
      </c>
      <c r="H63" s="4"/>
      <c r="I63" s="6" t="s">
        <v>8</v>
      </c>
    </row>
    <row r="64">
      <c r="A64" s="1">
        <v>46237.0</v>
      </c>
      <c r="B64" s="2" t="s">
        <v>17</v>
      </c>
      <c r="C64" s="2" t="s">
        <v>72</v>
      </c>
      <c r="D64" s="5">
        <v>8798560.0</v>
      </c>
      <c r="E64" s="4"/>
      <c r="F64" s="5" t="s">
        <v>3</v>
      </c>
      <c r="G64" s="4">
        <v>3.5322518057000005E8</v>
      </c>
      <c r="H64" s="4"/>
      <c r="I64" s="6"/>
    </row>
    <row r="65">
      <c r="A65" s="1">
        <v>46237.0</v>
      </c>
      <c r="B65" s="2" t="s">
        <v>14</v>
      </c>
      <c r="C65" s="2" t="s">
        <v>73</v>
      </c>
      <c r="D65" s="5"/>
      <c r="E65" s="5">
        <v>4.9898617E8</v>
      </c>
      <c r="F65" s="5" t="s">
        <v>16</v>
      </c>
      <c r="G65" s="4">
        <v>8.5221135057E8</v>
      </c>
      <c r="H65" s="4"/>
      <c r="I65" s="6"/>
    </row>
    <row r="66">
      <c r="A66" s="1">
        <v>46237.0</v>
      </c>
      <c r="B66" s="2" t="s">
        <v>17</v>
      </c>
      <c r="C66" s="2" t="s">
        <v>74</v>
      </c>
      <c r="D66" s="5">
        <v>1.5E7</v>
      </c>
      <c r="E66" s="4"/>
      <c r="F66" s="5" t="s">
        <v>3</v>
      </c>
      <c r="G66" s="4">
        <v>8.3721135057E8</v>
      </c>
      <c r="H66" s="4"/>
      <c r="I66" s="6"/>
    </row>
    <row r="67">
      <c r="A67" s="1">
        <v>46237.0</v>
      </c>
      <c r="B67" s="2" t="s">
        <v>17</v>
      </c>
      <c r="C67" s="2" t="s">
        <v>75</v>
      </c>
      <c r="D67" s="5">
        <v>2.28662E7</v>
      </c>
      <c r="E67" s="4"/>
      <c r="F67" s="5" t="s">
        <v>3</v>
      </c>
      <c r="G67" s="4">
        <v>8.1434515057E8</v>
      </c>
      <c r="H67" s="4"/>
      <c r="I67" s="6"/>
    </row>
    <row r="68">
      <c r="A68" s="1">
        <v>46237.0</v>
      </c>
      <c r="B68" s="2" t="s">
        <v>17</v>
      </c>
      <c r="C68" s="2" t="s">
        <v>76</v>
      </c>
      <c r="D68" s="5">
        <v>5.91121E7</v>
      </c>
      <c r="E68" s="4"/>
      <c r="F68" s="5" t="s">
        <v>3</v>
      </c>
      <c r="G68" s="4">
        <v>7.5523305057E8</v>
      </c>
      <c r="H68" s="4"/>
      <c r="I68" s="6"/>
    </row>
    <row r="69">
      <c r="A69" s="1">
        <v>46237.0</v>
      </c>
      <c r="B69" s="2" t="s">
        <v>17</v>
      </c>
      <c r="C69" s="2" t="s">
        <v>77</v>
      </c>
      <c r="D69" s="5">
        <v>1.207316E8</v>
      </c>
      <c r="E69" s="4"/>
      <c r="F69" s="5" t="s">
        <v>3</v>
      </c>
      <c r="G69" s="4">
        <v>6.3450145057E8</v>
      </c>
      <c r="H69" s="5">
        <v>6.3450145057E8</v>
      </c>
      <c r="I69" s="6"/>
    </row>
    <row r="70">
      <c r="A70" s="1">
        <v>46237.0</v>
      </c>
      <c r="B70" s="2" t="s">
        <v>17</v>
      </c>
      <c r="C70" s="2" t="s">
        <v>78</v>
      </c>
      <c r="D70" s="5">
        <v>1.118515E8</v>
      </c>
      <c r="E70" s="4"/>
      <c r="F70" s="5" t="s">
        <v>3</v>
      </c>
      <c r="G70" s="4">
        <v>5.2264995057000005E8</v>
      </c>
      <c r="H70" s="5">
        <v>5.2264995057E8</v>
      </c>
      <c r="I70" s="6"/>
    </row>
    <row r="71">
      <c r="A71" s="1">
        <v>46237.0</v>
      </c>
      <c r="B71" s="2" t="s">
        <v>17</v>
      </c>
      <c r="C71" s="2" t="s">
        <v>79</v>
      </c>
      <c r="D71" s="5">
        <v>1.4505075E8</v>
      </c>
      <c r="E71" s="4"/>
      <c r="F71" s="5" t="s">
        <v>3</v>
      </c>
      <c r="G71" s="4">
        <v>3.7759920057000005E8</v>
      </c>
      <c r="H71" s="4"/>
      <c r="I71" s="6"/>
    </row>
    <row r="72">
      <c r="A72" s="1">
        <v>46237.0</v>
      </c>
      <c r="B72" s="2" t="s">
        <v>17</v>
      </c>
      <c r="C72" s="2" t="s">
        <v>80</v>
      </c>
      <c r="D72" s="5">
        <v>5.481E7</v>
      </c>
      <c r="E72" s="4"/>
      <c r="F72" s="5" t="s">
        <v>3</v>
      </c>
      <c r="G72" s="4">
        <v>3.2278920057000005E8</v>
      </c>
      <c r="H72" s="4"/>
      <c r="I72" s="6"/>
    </row>
    <row r="73">
      <c r="A73" s="1">
        <v>46237.0</v>
      </c>
      <c r="B73" s="2" t="s">
        <v>17</v>
      </c>
      <c r="C73" s="2" t="s">
        <v>81</v>
      </c>
      <c r="D73" s="5">
        <v>5.0E7</v>
      </c>
      <c r="E73" s="4"/>
      <c r="F73" s="5" t="s">
        <v>3</v>
      </c>
      <c r="G73" s="4">
        <v>2.7278920057000005E8</v>
      </c>
      <c r="H73" s="4"/>
      <c r="I73" s="6"/>
    </row>
    <row r="74">
      <c r="A74" s="1">
        <v>46237.0</v>
      </c>
      <c r="B74" s="2" t="s">
        <v>27</v>
      </c>
      <c r="C74" s="2" t="s">
        <v>82</v>
      </c>
      <c r="D74" s="5">
        <v>50433.0</v>
      </c>
      <c r="E74" s="4"/>
      <c r="F74" s="4"/>
      <c r="G74" s="4">
        <v>2.7273876757000005E8</v>
      </c>
      <c r="H74" s="4"/>
      <c r="I74" s="6"/>
    </row>
    <row r="75">
      <c r="A75" s="1">
        <v>46237.0</v>
      </c>
      <c r="B75" s="2" t="s">
        <v>17</v>
      </c>
      <c r="C75" s="2" t="s">
        <v>83</v>
      </c>
      <c r="D75" s="5">
        <v>3.0E7</v>
      </c>
      <c r="E75" s="4"/>
      <c r="F75" s="5" t="s">
        <v>3</v>
      </c>
      <c r="G75" s="4">
        <v>2.4273876757000005E8</v>
      </c>
      <c r="H75" s="5">
        <v>2.4273876757E8</v>
      </c>
      <c r="I75" s="6"/>
    </row>
    <row r="76">
      <c r="A76" s="1">
        <v>46238.0</v>
      </c>
      <c r="B76" s="2" t="s">
        <v>17</v>
      </c>
      <c r="C76" s="2" t="s">
        <v>84</v>
      </c>
      <c r="D76" s="5">
        <v>7.06719E7</v>
      </c>
      <c r="E76" s="4"/>
      <c r="F76" s="5" t="s">
        <v>3</v>
      </c>
      <c r="G76" s="4">
        <v>1.7206686757000005E8</v>
      </c>
      <c r="H76" s="4"/>
      <c r="I76" s="6"/>
    </row>
    <row r="77">
      <c r="A77" s="1">
        <v>46238.0</v>
      </c>
      <c r="B77" s="2" t="s">
        <v>17</v>
      </c>
      <c r="C77" s="2" t="s">
        <v>85</v>
      </c>
      <c r="D77" s="5">
        <v>6.8E7</v>
      </c>
      <c r="E77" s="4"/>
      <c r="F77" s="5" t="s">
        <v>3</v>
      </c>
      <c r="G77" s="4">
        <v>1.0406686757000005E8</v>
      </c>
      <c r="H77" s="4"/>
      <c r="I77" s="6"/>
    </row>
    <row r="78">
      <c r="A78" s="1">
        <v>46238.0</v>
      </c>
      <c r="B78" s="2" t="s">
        <v>17</v>
      </c>
      <c r="C78" s="2" t="s">
        <v>86</v>
      </c>
      <c r="D78" s="5">
        <v>3.52E7</v>
      </c>
      <c r="E78" s="4"/>
      <c r="F78" s="5" t="s">
        <v>3</v>
      </c>
      <c r="G78" s="4">
        <v>6.886686757000005E7</v>
      </c>
      <c r="H78" s="4"/>
      <c r="I78" s="6"/>
    </row>
    <row r="79">
      <c r="A79" s="1">
        <v>46238.0</v>
      </c>
      <c r="B79" s="2" t="s">
        <v>17</v>
      </c>
      <c r="C79" s="2" t="s">
        <v>87</v>
      </c>
      <c r="D79" s="5">
        <v>692310.0</v>
      </c>
      <c r="E79" s="4"/>
      <c r="F79" s="5" t="s">
        <v>3</v>
      </c>
      <c r="G79" s="4">
        <v>6.817455757000005E7</v>
      </c>
      <c r="H79" s="4"/>
      <c r="I79" s="6"/>
    </row>
    <row r="80">
      <c r="A80" s="1">
        <v>46238.0</v>
      </c>
      <c r="B80" s="2" t="s">
        <v>14</v>
      </c>
      <c r="C80" s="2" t="s">
        <v>88</v>
      </c>
      <c r="D80" s="5"/>
      <c r="E80" s="5">
        <v>6.834E7</v>
      </c>
      <c r="F80" s="5" t="s">
        <v>16</v>
      </c>
      <c r="G80" s="4">
        <v>1.3651455757000005E8</v>
      </c>
      <c r="H80" s="4"/>
      <c r="I80" s="6"/>
    </row>
    <row r="81">
      <c r="A81" s="1">
        <v>46238.0</v>
      </c>
      <c r="B81" s="2" t="s">
        <v>14</v>
      </c>
      <c r="C81" s="2" t="s">
        <v>89</v>
      </c>
      <c r="D81" s="5"/>
      <c r="E81" s="5">
        <v>2.602735E8</v>
      </c>
      <c r="F81" s="5" t="s">
        <v>16</v>
      </c>
      <c r="G81" s="4">
        <v>3.9678805757000005E8</v>
      </c>
      <c r="H81" s="4"/>
      <c r="I81" s="6"/>
    </row>
    <row r="82">
      <c r="A82" s="1">
        <v>46238.0</v>
      </c>
      <c r="B82" s="2" t="s">
        <v>17</v>
      </c>
      <c r="C82" s="2" t="s">
        <v>90</v>
      </c>
      <c r="D82" s="5">
        <v>1.556942E8</v>
      </c>
      <c r="E82" s="4"/>
      <c r="F82" s="5" t="s">
        <v>3</v>
      </c>
      <c r="G82" s="4">
        <v>2.4109385757000005E8</v>
      </c>
      <c r="H82" s="5">
        <v>2.4109385757E8</v>
      </c>
      <c r="I82" s="6"/>
    </row>
    <row r="83">
      <c r="A83" s="1">
        <v>46238.0</v>
      </c>
      <c r="B83" s="2" t="s">
        <v>17</v>
      </c>
      <c r="C83" s="2" t="s">
        <v>91</v>
      </c>
      <c r="D83" s="5">
        <v>8.0E7</v>
      </c>
      <c r="E83" s="4"/>
      <c r="F83" s="5" t="s">
        <v>3</v>
      </c>
      <c r="G83" s="4">
        <v>1.6109385757000005E8</v>
      </c>
      <c r="H83" s="5">
        <v>1.6109385757E8</v>
      </c>
      <c r="I83" s="6"/>
    </row>
    <row r="84">
      <c r="A84" s="1">
        <v>46238.0</v>
      </c>
      <c r="B84" s="2" t="s">
        <v>92</v>
      </c>
      <c r="C84" s="2" t="s">
        <v>93</v>
      </c>
      <c r="D84" s="5">
        <v>102000.0</v>
      </c>
      <c r="E84" s="4"/>
      <c r="F84" s="4"/>
      <c r="G84" s="4">
        <v>1.6099185757000005E8</v>
      </c>
      <c r="H84" s="4"/>
      <c r="I84" s="6"/>
    </row>
    <row r="85">
      <c r="A85" s="1">
        <v>46238.0</v>
      </c>
      <c r="B85" s="2" t="s">
        <v>17</v>
      </c>
      <c r="C85" s="2" t="s">
        <v>94</v>
      </c>
      <c r="D85" s="5">
        <v>1.392E8</v>
      </c>
      <c r="E85" s="4"/>
      <c r="F85" s="5" t="s">
        <v>3</v>
      </c>
      <c r="G85" s="4">
        <v>2.1791857570000052E7</v>
      </c>
      <c r="H85" s="4"/>
      <c r="I85" s="6"/>
    </row>
    <row r="86">
      <c r="A86" s="1">
        <v>46238.0</v>
      </c>
      <c r="B86" s="2" t="s">
        <v>14</v>
      </c>
      <c r="C86" s="2" t="s">
        <v>95</v>
      </c>
      <c r="D86" s="5"/>
      <c r="E86" s="5">
        <v>1.3919333E8</v>
      </c>
      <c r="F86" s="5" t="s">
        <v>16</v>
      </c>
      <c r="G86" s="4">
        <v>1.6098518757000005E8</v>
      </c>
      <c r="H86" s="4"/>
      <c r="I86" s="6"/>
    </row>
    <row r="87">
      <c r="A87" s="1">
        <v>46238.0</v>
      </c>
      <c r="B87" s="2" t="s">
        <v>17</v>
      </c>
      <c r="C87" s="2" t="s">
        <v>96</v>
      </c>
      <c r="D87" s="5">
        <v>6.625E7</v>
      </c>
      <c r="E87" s="4"/>
      <c r="F87" s="5" t="s">
        <v>3</v>
      </c>
      <c r="G87" s="4">
        <v>9.473518757000005E7</v>
      </c>
      <c r="H87" s="4"/>
      <c r="I87" s="6"/>
    </row>
    <row r="88">
      <c r="A88" s="1">
        <v>46238.0</v>
      </c>
      <c r="B88" s="2" t="s">
        <v>14</v>
      </c>
      <c r="C88" s="2" t="s">
        <v>97</v>
      </c>
      <c r="D88" s="5"/>
      <c r="E88" s="5">
        <v>6.4214362E7</v>
      </c>
      <c r="F88" s="5" t="s">
        <v>16</v>
      </c>
      <c r="G88" s="4">
        <v>1.5894954957000005E8</v>
      </c>
      <c r="H88" s="4"/>
      <c r="I88" s="6"/>
    </row>
    <row r="89">
      <c r="A89" s="1">
        <v>46238.0</v>
      </c>
      <c r="B89" s="2" t="s">
        <v>14</v>
      </c>
      <c r="C89" s="2" t="s">
        <v>98</v>
      </c>
      <c r="D89" s="5"/>
      <c r="E89" s="5">
        <v>1.0E8</v>
      </c>
      <c r="F89" s="5" t="s">
        <v>16</v>
      </c>
      <c r="G89" s="4">
        <v>2.5894954957000005E8</v>
      </c>
      <c r="H89" s="4"/>
      <c r="I89" s="6"/>
    </row>
    <row r="90">
      <c r="A90" s="1">
        <v>46238.0</v>
      </c>
      <c r="B90" s="2" t="s">
        <v>17</v>
      </c>
      <c r="C90" s="2" t="s">
        <v>99</v>
      </c>
      <c r="D90" s="5">
        <v>1500000.0</v>
      </c>
      <c r="E90" s="4"/>
      <c r="F90" s="5" t="s">
        <v>3</v>
      </c>
      <c r="G90" s="4">
        <v>2.5744954957000005E8</v>
      </c>
      <c r="H90" s="4"/>
      <c r="I90" s="6"/>
    </row>
    <row r="91">
      <c r="A91" s="1">
        <v>46238.0</v>
      </c>
      <c r="B91" s="2" t="s">
        <v>17</v>
      </c>
      <c r="C91" s="2" t="s">
        <v>100</v>
      </c>
      <c r="D91" s="5">
        <v>1.5E7</v>
      </c>
      <c r="E91" s="4"/>
      <c r="F91" s="5" t="s">
        <v>3</v>
      </c>
      <c r="G91" s="4">
        <v>2.4244954957000005E8</v>
      </c>
      <c r="H91" s="4"/>
      <c r="I91" s="6"/>
    </row>
    <row r="92">
      <c r="A92" s="1">
        <v>46238.0</v>
      </c>
      <c r="B92" s="2" t="s">
        <v>17</v>
      </c>
      <c r="C92" s="2" t="s">
        <v>101</v>
      </c>
      <c r="D92" s="5">
        <v>150000.0</v>
      </c>
      <c r="E92" s="4"/>
      <c r="F92" s="5" t="s">
        <v>3</v>
      </c>
      <c r="G92" s="4">
        <v>2.4229954957000005E8</v>
      </c>
      <c r="H92" s="4"/>
      <c r="I92" s="6"/>
    </row>
    <row r="93">
      <c r="A93" s="1">
        <v>46238.0</v>
      </c>
      <c r="B93" s="2" t="s">
        <v>17</v>
      </c>
      <c r="C93" s="2" t="s">
        <v>102</v>
      </c>
      <c r="D93" s="5">
        <v>9362000.0</v>
      </c>
      <c r="E93" s="4"/>
      <c r="F93" s="5" t="s">
        <v>3</v>
      </c>
      <c r="G93" s="4">
        <v>2.3293754957000005E8</v>
      </c>
      <c r="H93" s="4"/>
      <c r="I93" s="6"/>
    </row>
    <row r="94">
      <c r="A94" s="1">
        <v>46238.0</v>
      </c>
      <c r="B94" s="2" t="s">
        <v>17</v>
      </c>
      <c r="C94" s="2" t="s">
        <v>103</v>
      </c>
      <c r="D94" s="5">
        <v>7.57789E7</v>
      </c>
      <c r="E94" s="4"/>
      <c r="F94" s="5" t="s">
        <v>3</v>
      </c>
      <c r="G94" s="4">
        <v>1.5715864957000005E8</v>
      </c>
      <c r="H94" s="4"/>
      <c r="I94" s="6"/>
    </row>
    <row r="95">
      <c r="A95" s="1">
        <v>46238.0</v>
      </c>
      <c r="B95" s="2" t="s">
        <v>17</v>
      </c>
      <c r="C95" s="2" t="s">
        <v>104</v>
      </c>
      <c r="D95" s="5">
        <v>5.254875E7</v>
      </c>
      <c r="E95" s="4"/>
      <c r="F95" s="5" t="s">
        <v>3</v>
      </c>
      <c r="G95" s="4">
        <v>1.0460989957000005E8</v>
      </c>
      <c r="H95" s="5">
        <v>1.0460989957E8</v>
      </c>
      <c r="I95" s="6"/>
    </row>
    <row r="96">
      <c r="A96" s="1">
        <v>46238.0</v>
      </c>
      <c r="B96" s="2" t="s">
        <v>17</v>
      </c>
      <c r="C96" s="2" t="s">
        <v>105</v>
      </c>
      <c r="D96" s="5">
        <v>5.0E7</v>
      </c>
      <c r="E96" s="4"/>
      <c r="F96" s="5" t="s">
        <v>3</v>
      </c>
      <c r="G96" s="4">
        <v>5.460989957000005E7</v>
      </c>
      <c r="H96" s="5">
        <v>5.460989957E7</v>
      </c>
      <c r="I96" s="6"/>
    </row>
    <row r="97">
      <c r="A97" s="1">
        <v>46238.0</v>
      </c>
      <c r="B97" s="2" t="s">
        <v>17</v>
      </c>
      <c r="C97" s="2" t="s">
        <v>106</v>
      </c>
      <c r="D97" s="5">
        <v>5.4E7</v>
      </c>
      <c r="E97" s="4"/>
      <c r="F97" s="5" t="s">
        <v>3</v>
      </c>
      <c r="G97" s="4">
        <v>609899.5700000525</v>
      </c>
      <c r="H97" s="5">
        <v>609899.57</v>
      </c>
      <c r="I97" s="6"/>
    </row>
    <row r="98">
      <c r="A98" s="1">
        <v>46239.0</v>
      </c>
      <c r="B98" s="2" t="s">
        <v>107</v>
      </c>
      <c r="C98" s="2" t="s">
        <v>108</v>
      </c>
      <c r="D98" s="5"/>
      <c r="E98" s="5">
        <v>2.77227E8</v>
      </c>
      <c r="F98" s="5" t="s">
        <v>16</v>
      </c>
      <c r="G98" s="4">
        <v>2.7783689957000005E8</v>
      </c>
      <c r="H98" s="4"/>
      <c r="I98" s="6"/>
    </row>
    <row r="99">
      <c r="A99" s="1">
        <v>46239.0</v>
      </c>
      <c r="B99" s="2" t="s">
        <v>17</v>
      </c>
      <c r="C99" s="2" t="s">
        <v>109</v>
      </c>
      <c r="D99" s="5">
        <v>1.3385595E8</v>
      </c>
      <c r="E99" s="4"/>
      <c r="F99" s="5" t="s">
        <v>3</v>
      </c>
      <c r="G99" s="4">
        <v>1.4398094957000005E8</v>
      </c>
      <c r="H99" s="4"/>
      <c r="I99" s="6"/>
    </row>
    <row r="100">
      <c r="A100" s="1">
        <v>46239.0</v>
      </c>
      <c r="B100" s="2" t="s">
        <v>17</v>
      </c>
      <c r="C100" s="2" t="s">
        <v>110</v>
      </c>
      <c r="D100" s="5">
        <v>5.0E7</v>
      </c>
      <c r="E100" s="4"/>
      <c r="F100" s="5" t="s">
        <v>3</v>
      </c>
      <c r="G100" s="4">
        <v>9.398094957000005E7</v>
      </c>
      <c r="H100" s="4"/>
      <c r="I100" s="6"/>
    </row>
    <row r="101">
      <c r="A101" s="1">
        <v>46239.0</v>
      </c>
      <c r="B101" s="2" t="s">
        <v>14</v>
      </c>
      <c r="C101" s="2" t="s">
        <v>111</v>
      </c>
      <c r="D101" s="5"/>
      <c r="E101" s="5">
        <v>4.49785253E8</v>
      </c>
      <c r="F101" s="5" t="s">
        <v>16</v>
      </c>
      <c r="G101" s="4">
        <v>5.4376620257E8</v>
      </c>
      <c r="H101" s="4"/>
      <c r="I101" s="6"/>
    </row>
    <row r="102">
      <c r="A102" s="1">
        <v>46239.0</v>
      </c>
      <c r="B102" s="2" t="s">
        <v>17</v>
      </c>
      <c r="C102" s="2" t="s">
        <v>112</v>
      </c>
      <c r="D102" s="5">
        <v>467100.0</v>
      </c>
      <c r="E102" s="4"/>
      <c r="F102" s="5" t="s">
        <v>3</v>
      </c>
      <c r="G102" s="4">
        <v>5.4329910257E8</v>
      </c>
      <c r="H102" s="4"/>
      <c r="I102" s="6"/>
    </row>
    <row r="103">
      <c r="A103" s="1">
        <v>46239.0</v>
      </c>
      <c r="B103" s="2" t="s">
        <v>14</v>
      </c>
      <c r="C103" s="2" t="s">
        <v>113</v>
      </c>
      <c r="D103" s="5"/>
      <c r="E103" s="5">
        <v>1.4659192E8</v>
      </c>
      <c r="F103" s="5" t="s">
        <v>16</v>
      </c>
      <c r="G103" s="4">
        <v>6.8989102257E8</v>
      </c>
      <c r="H103" s="4"/>
      <c r="I103" s="6"/>
    </row>
    <row r="104">
      <c r="A104" s="1">
        <v>46239.0</v>
      </c>
      <c r="B104" s="2" t="s">
        <v>14</v>
      </c>
      <c r="C104" s="2" t="s">
        <v>114</v>
      </c>
      <c r="D104" s="5"/>
      <c r="E104" s="5">
        <v>1.0E8</v>
      </c>
      <c r="F104" s="5" t="s">
        <v>16</v>
      </c>
      <c r="G104" s="4">
        <v>7.8989102257E8</v>
      </c>
      <c r="H104" s="4"/>
      <c r="I104" s="6"/>
    </row>
    <row r="105">
      <c r="A105" s="1">
        <v>46239.0</v>
      </c>
      <c r="B105" s="2" t="s">
        <v>17</v>
      </c>
      <c r="C105" s="2" t="s">
        <v>115</v>
      </c>
      <c r="D105" s="5">
        <v>4.6316E7</v>
      </c>
      <c r="E105" s="4"/>
      <c r="F105" s="5" t="s">
        <v>3</v>
      </c>
      <c r="G105" s="4">
        <v>7.4357502257E8</v>
      </c>
      <c r="H105" s="5">
        <v>7.4357502257E8</v>
      </c>
      <c r="I105" s="6"/>
    </row>
    <row r="106">
      <c r="A106" s="1">
        <v>46240.0</v>
      </c>
      <c r="B106" s="2" t="s">
        <v>116</v>
      </c>
      <c r="C106" s="2" t="s">
        <v>117</v>
      </c>
      <c r="D106" s="5">
        <v>6.3954E7</v>
      </c>
      <c r="E106" s="4"/>
      <c r="F106" s="5" t="s">
        <v>3</v>
      </c>
      <c r="G106" s="4">
        <v>6.7962102257E8</v>
      </c>
      <c r="H106" s="4"/>
      <c r="I106" s="6"/>
    </row>
    <row r="107">
      <c r="A107" s="1">
        <v>46240.0</v>
      </c>
      <c r="B107" s="2" t="s">
        <v>116</v>
      </c>
      <c r="C107" s="2" t="s">
        <v>118</v>
      </c>
      <c r="D107" s="5">
        <v>4.4670266E8</v>
      </c>
      <c r="E107" s="4"/>
      <c r="F107" s="5" t="s">
        <v>3</v>
      </c>
      <c r="G107" s="4">
        <v>2.3291836257000005E8</v>
      </c>
      <c r="H107" s="4"/>
      <c r="I107" s="6"/>
    </row>
    <row r="108">
      <c r="A108" s="1">
        <v>46240.0</v>
      </c>
      <c r="B108" s="2" t="s">
        <v>116</v>
      </c>
      <c r="C108" s="2" t="s">
        <v>119</v>
      </c>
      <c r="D108" s="5">
        <v>5.3252E7</v>
      </c>
      <c r="E108" s="4"/>
      <c r="F108" s="5" t="s">
        <v>3</v>
      </c>
      <c r="G108" s="4">
        <v>1.7966636257000005E8</v>
      </c>
      <c r="H108" s="5">
        <v>1.7966636257E8</v>
      </c>
      <c r="I108" s="6"/>
    </row>
    <row r="109">
      <c r="A109" s="1">
        <v>46240.0</v>
      </c>
      <c r="B109" s="2" t="s">
        <v>116</v>
      </c>
      <c r="C109" s="2" t="s">
        <v>120</v>
      </c>
      <c r="D109" s="5">
        <v>6.26E7</v>
      </c>
      <c r="E109" s="4"/>
      <c r="F109" s="5" t="s">
        <v>3</v>
      </c>
      <c r="G109" s="4">
        <v>1.1706636257000005E8</v>
      </c>
      <c r="H109" s="5">
        <v>1.1706636257E8</v>
      </c>
      <c r="I109" s="6"/>
    </row>
    <row r="110">
      <c r="A110" s="1">
        <v>46240.0</v>
      </c>
      <c r="B110" s="2" t="s">
        <v>116</v>
      </c>
      <c r="C110" s="2" t="s">
        <v>121</v>
      </c>
      <c r="D110" s="5">
        <v>2.994365E7</v>
      </c>
      <c r="E110" s="4"/>
      <c r="F110" s="5" t="s">
        <v>3</v>
      </c>
      <c r="G110" s="4">
        <v>8.712271257000005E7</v>
      </c>
      <c r="H110" s="4"/>
      <c r="I110" s="6"/>
    </row>
    <row r="111">
      <c r="A111" s="1">
        <v>46240.0</v>
      </c>
      <c r="B111" s="2" t="s">
        <v>14</v>
      </c>
      <c r="C111" s="2" t="s">
        <v>122</v>
      </c>
      <c r="D111" s="5"/>
      <c r="E111" s="5">
        <v>4.0333731E8</v>
      </c>
      <c r="F111" s="5" t="s">
        <v>16</v>
      </c>
      <c r="G111" s="4">
        <v>4.9046002257000005E8</v>
      </c>
      <c r="H111" s="4"/>
      <c r="I111" s="6"/>
    </row>
    <row r="112">
      <c r="A112" s="1">
        <v>46240.0</v>
      </c>
      <c r="B112" s="2" t="s">
        <v>14</v>
      </c>
      <c r="C112" s="2" t="s">
        <v>123</v>
      </c>
      <c r="D112" s="5"/>
      <c r="E112" s="5">
        <v>100000.0</v>
      </c>
      <c r="F112" s="5" t="s">
        <v>16</v>
      </c>
      <c r="G112" s="4">
        <v>4.9056002257000005E8</v>
      </c>
      <c r="H112" s="4"/>
      <c r="I112" s="6"/>
    </row>
    <row r="113">
      <c r="A113" s="1">
        <v>46240.0</v>
      </c>
      <c r="B113" s="2" t="s">
        <v>17</v>
      </c>
      <c r="C113" s="2" t="s">
        <v>124</v>
      </c>
      <c r="D113" s="5">
        <v>5822250.0</v>
      </c>
      <c r="E113" s="4"/>
      <c r="F113" s="5" t="s">
        <v>3</v>
      </c>
      <c r="G113" s="4">
        <v>4.8473777257000005E8</v>
      </c>
      <c r="H113" s="4"/>
      <c r="I113" s="6"/>
    </row>
    <row r="114">
      <c r="A114" s="1">
        <v>46240.0</v>
      </c>
      <c r="B114" s="2" t="s">
        <v>17</v>
      </c>
      <c r="C114" s="2" t="s">
        <v>125</v>
      </c>
      <c r="D114" s="5">
        <v>1.0E8</v>
      </c>
      <c r="E114" s="4"/>
      <c r="F114" s="5" t="s">
        <v>3</v>
      </c>
      <c r="G114" s="4">
        <v>3.8473777257000005E8</v>
      </c>
      <c r="H114" s="4"/>
      <c r="I114" s="6"/>
    </row>
    <row r="115">
      <c r="A115" s="1">
        <v>46240.0</v>
      </c>
      <c r="B115" s="2" t="s">
        <v>17</v>
      </c>
      <c r="C115" s="2" t="s">
        <v>126</v>
      </c>
      <c r="D115" s="5">
        <v>1.5E7</v>
      </c>
      <c r="E115" s="4"/>
      <c r="F115" s="5" t="s">
        <v>3</v>
      </c>
      <c r="G115" s="4">
        <v>3.6973777257000005E8</v>
      </c>
      <c r="H115" s="4"/>
      <c r="I115" s="6"/>
    </row>
    <row r="116">
      <c r="A116" s="1">
        <v>46240.0</v>
      </c>
      <c r="B116" s="2" t="s">
        <v>17</v>
      </c>
      <c r="C116" s="2" t="s">
        <v>127</v>
      </c>
      <c r="D116" s="5">
        <v>4.375605E7</v>
      </c>
      <c r="E116" s="4"/>
      <c r="F116" s="5" t="s">
        <v>3</v>
      </c>
      <c r="G116" s="4">
        <v>3.2598172257000005E8</v>
      </c>
      <c r="H116" s="4"/>
      <c r="I116" s="6"/>
    </row>
    <row r="117">
      <c r="A117" s="1">
        <v>46240.0</v>
      </c>
      <c r="B117" s="2" t="s">
        <v>17</v>
      </c>
      <c r="C117" s="2" t="s">
        <v>128</v>
      </c>
      <c r="D117" s="5">
        <v>2.166289E7</v>
      </c>
      <c r="E117" s="4"/>
      <c r="F117" s="5" t="s">
        <v>3</v>
      </c>
      <c r="G117" s="4">
        <v>3.0431883257000005E8</v>
      </c>
      <c r="H117" s="5">
        <v>3.0431883257E8</v>
      </c>
      <c r="I117" s="6"/>
    </row>
    <row r="118">
      <c r="A118" s="1">
        <v>46241.0</v>
      </c>
      <c r="B118" s="2" t="s">
        <v>17</v>
      </c>
      <c r="C118" s="2" t="s">
        <v>129</v>
      </c>
      <c r="D118" s="5">
        <v>6.6E7</v>
      </c>
      <c r="E118" s="4"/>
      <c r="F118" s="5" t="s">
        <v>3</v>
      </c>
      <c r="G118" s="4">
        <v>2.3831883257000005E8</v>
      </c>
      <c r="H118" s="4"/>
      <c r="I118" s="6"/>
    </row>
    <row r="119">
      <c r="A119" s="1">
        <v>46241.0</v>
      </c>
      <c r="B119" s="2" t="s">
        <v>17</v>
      </c>
      <c r="C119" s="2" t="s">
        <v>130</v>
      </c>
      <c r="D119" s="5">
        <v>5.095E7</v>
      </c>
      <c r="E119" s="4"/>
      <c r="F119" s="5" t="s">
        <v>3</v>
      </c>
      <c r="G119" s="4">
        <v>1.8736883257000005E8</v>
      </c>
      <c r="H119" s="4"/>
      <c r="I119" s="6"/>
    </row>
    <row r="120">
      <c r="A120" s="1">
        <v>46241.0</v>
      </c>
      <c r="B120" s="2" t="s">
        <v>17</v>
      </c>
      <c r="C120" s="2" t="s">
        <v>131</v>
      </c>
      <c r="D120" s="5">
        <v>5.40998E7</v>
      </c>
      <c r="E120" s="4"/>
      <c r="F120" s="5" t="s">
        <v>3</v>
      </c>
      <c r="G120" s="4">
        <v>1.3326903257000005E8</v>
      </c>
      <c r="H120" s="4"/>
      <c r="I120" s="6"/>
    </row>
    <row r="121">
      <c r="A121" s="1">
        <v>46241.0</v>
      </c>
      <c r="B121" s="2" t="s">
        <v>17</v>
      </c>
      <c r="C121" s="2" t="s">
        <v>132</v>
      </c>
      <c r="D121" s="5">
        <v>2070000.0</v>
      </c>
      <c r="E121" s="4"/>
      <c r="F121" s="5" t="s">
        <v>3</v>
      </c>
      <c r="G121" s="4">
        <v>1.3119903257000005E8</v>
      </c>
      <c r="H121" s="4"/>
      <c r="I121" s="6"/>
    </row>
    <row r="122">
      <c r="A122" s="1">
        <v>46241.0</v>
      </c>
      <c r="B122" s="2" t="s">
        <v>17</v>
      </c>
      <c r="C122" s="2" t="s">
        <v>133</v>
      </c>
      <c r="D122" s="5">
        <v>7.04099E7</v>
      </c>
      <c r="E122" s="4"/>
      <c r="F122" s="5" t="s">
        <v>3</v>
      </c>
      <c r="G122" s="4">
        <v>6.078913257000005E7</v>
      </c>
      <c r="H122" s="5">
        <v>6.078913257E7</v>
      </c>
      <c r="I122" s="6"/>
    </row>
    <row r="123">
      <c r="A123" s="1">
        <v>46241.0</v>
      </c>
      <c r="B123" s="2" t="s">
        <v>17</v>
      </c>
      <c r="C123" s="2" t="s">
        <v>134</v>
      </c>
      <c r="D123" s="5">
        <v>5.6025E7</v>
      </c>
      <c r="E123" s="4"/>
      <c r="F123" s="5" t="s">
        <v>3</v>
      </c>
      <c r="G123" s="4">
        <v>4764132.570000052</v>
      </c>
      <c r="H123" s="5">
        <v>4764132.57</v>
      </c>
      <c r="I123" s="6"/>
    </row>
    <row r="124">
      <c r="A124" s="1">
        <v>46241.0</v>
      </c>
      <c r="B124" s="2" t="s">
        <v>14</v>
      </c>
      <c r="C124" s="2" t="s">
        <v>135</v>
      </c>
      <c r="D124" s="5"/>
      <c r="E124" s="5">
        <v>2.7392876E8</v>
      </c>
      <c r="F124" s="5" t="s">
        <v>16</v>
      </c>
      <c r="G124" s="4">
        <v>2.7869289257000005E8</v>
      </c>
      <c r="H124" s="4"/>
      <c r="I124" s="6"/>
    </row>
    <row r="125">
      <c r="A125" s="1">
        <v>46241.0</v>
      </c>
      <c r="B125" s="2" t="s">
        <v>136</v>
      </c>
      <c r="C125" s="2" t="s">
        <v>136</v>
      </c>
      <c r="D125" s="5">
        <v>300000.0</v>
      </c>
      <c r="E125" s="4"/>
      <c r="F125" s="4"/>
      <c r="G125" s="4">
        <v>2.7839289257000005E8</v>
      </c>
      <c r="H125" s="4"/>
      <c r="I125" s="6"/>
    </row>
    <row r="126">
      <c r="A126" s="1">
        <v>46241.0</v>
      </c>
      <c r="B126" s="2" t="s">
        <v>14</v>
      </c>
      <c r="C126" s="2" t="s">
        <v>137</v>
      </c>
      <c r="D126" s="5"/>
      <c r="E126" s="5">
        <v>7.8723E7</v>
      </c>
      <c r="F126" s="5" t="s">
        <v>16</v>
      </c>
      <c r="G126" s="4">
        <v>3.5711589257000005E8</v>
      </c>
      <c r="H126" s="4"/>
      <c r="I126" s="6"/>
    </row>
    <row r="127">
      <c r="A127" s="1">
        <v>46241.0</v>
      </c>
      <c r="B127" s="2" t="s">
        <v>17</v>
      </c>
      <c r="C127" s="2" t="s">
        <v>138</v>
      </c>
      <c r="D127" s="5">
        <v>40000.0</v>
      </c>
      <c r="E127" s="4"/>
      <c r="F127" s="5" t="s">
        <v>3</v>
      </c>
      <c r="G127" s="4">
        <v>3.5707589257000005E8</v>
      </c>
      <c r="H127" s="4"/>
      <c r="I127" s="6"/>
    </row>
    <row r="128">
      <c r="A128" s="1">
        <v>46241.0</v>
      </c>
      <c r="B128" s="2" t="s">
        <v>17</v>
      </c>
      <c r="C128" s="2" t="s">
        <v>139</v>
      </c>
      <c r="D128" s="5">
        <v>6.5654E7</v>
      </c>
      <c r="E128" s="4"/>
      <c r="F128" s="5" t="s">
        <v>3</v>
      </c>
      <c r="G128" s="4">
        <v>2.9142189257000005E8</v>
      </c>
      <c r="H128" s="4"/>
      <c r="I128" s="6"/>
    </row>
    <row r="129">
      <c r="A129" s="1">
        <v>46241.0</v>
      </c>
      <c r="B129" s="2" t="s">
        <v>14</v>
      </c>
      <c r="C129" s="2" t="s">
        <v>140</v>
      </c>
      <c r="D129" s="5"/>
      <c r="E129" s="5">
        <v>6.893718E7</v>
      </c>
      <c r="F129" s="5" t="s">
        <v>16</v>
      </c>
      <c r="G129" s="4">
        <v>3.6035907257000005E8</v>
      </c>
      <c r="H129" s="4"/>
      <c r="I129" s="6"/>
    </row>
    <row r="130">
      <c r="A130" s="1">
        <v>46241.0</v>
      </c>
      <c r="B130" s="2" t="s">
        <v>14</v>
      </c>
      <c r="C130" s="2" t="s">
        <v>141</v>
      </c>
      <c r="D130" s="5"/>
      <c r="E130" s="5">
        <v>2.0440442E8</v>
      </c>
      <c r="F130" s="5" t="s">
        <v>16</v>
      </c>
      <c r="G130" s="4">
        <v>5.6476349257E8</v>
      </c>
      <c r="H130" s="4"/>
      <c r="I130" s="6"/>
    </row>
    <row r="131">
      <c r="A131" s="1">
        <v>46241.0</v>
      </c>
      <c r="B131" s="2" t="s">
        <v>17</v>
      </c>
      <c r="C131" s="2" t="s">
        <v>142</v>
      </c>
      <c r="D131" s="5">
        <v>1.599402E8</v>
      </c>
      <c r="E131" s="4"/>
      <c r="F131" s="5" t="s">
        <v>3</v>
      </c>
      <c r="G131" s="4">
        <v>4.0482329257000005E8</v>
      </c>
      <c r="H131" s="4"/>
      <c r="I131" s="6"/>
    </row>
    <row r="132">
      <c r="A132" s="1">
        <v>46241.0</v>
      </c>
      <c r="B132" s="2" t="s">
        <v>14</v>
      </c>
      <c r="C132" s="2" t="s">
        <v>143</v>
      </c>
      <c r="D132" s="5"/>
      <c r="E132" s="5">
        <v>2.05773547E8</v>
      </c>
      <c r="F132" s="5" t="s">
        <v>16</v>
      </c>
      <c r="G132" s="4">
        <v>6.1059683957E8</v>
      </c>
      <c r="H132" s="4"/>
      <c r="I132" s="6"/>
    </row>
    <row r="133">
      <c r="A133" s="1">
        <v>46241.0</v>
      </c>
      <c r="B133" s="2" t="s">
        <v>14</v>
      </c>
      <c r="C133" s="2" t="s">
        <v>144</v>
      </c>
      <c r="D133" s="5"/>
      <c r="E133" s="5">
        <v>1.24702624E8</v>
      </c>
      <c r="F133" s="5" t="s">
        <v>16</v>
      </c>
      <c r="G133" s="4">
        <v>7.3529946357E8</v>
      </c>
      <c r="H133" s="4"/>
      <c r="I133" s="6"/>
    </row>
    <row r="134">
      <c r="A134" s="1">
        <v>46241.0</v>
      </c>
      <c r="B134" s="2" t="s">
        <v>17</v>
      </c>
      <c r="C134" s="2" t="s">
        <v>145</v>
      </c>
      <c r="D134" s="5">
        <v>7.3E7</v>
      </c>
      <c r="E134" s="4"/>
      <c r="F134" s="5" t="s">
        <v>3</v>
      </c>
      <c r="G134" s="4">
        <v>6.6229946357E8</v>
      </c>
      <c r="H134" s="4"/>
      <c r="I134" s="6"/>
    </row>
    <row r="135">
      <c r="A135" s="1">
        <v>46241.0</v>
      </c>
      <c r="B135" s="2" t="s">
        <v>17</v>
      </c>
      <c r="C135" s="2" t="s">
        <v>146</v>
      </c>
      <c r="D135" s="5">
        <v>1.4469E8</v>
      </c>
      <c r="E135" s="4"/>
      <c r="F135" s="5" t="s">
        <v>3</v>
      </c>
      <c r="G135" s="4">
        <v>5.1760946357000005E8</v>
      </c>
      <c r="H135" s="5">
        <v>5.1760946357E8</v>
      </c>
      <c r="I135" s="6"/>
    </row>
    <row r="136">
      <c r="A136" s="1">
        <v>46241.0</v>
      </c>
      <c r="B136" s="2" t="s">
        <v>17</v>
      </c>
      <c r="C136" s="2" t="s">
        <v>147</v>
      </c>
      <c r="D136" s="5">
        <v>6.040125E7</v>
      </c>
      <c r="E136" s="4"/>
      <c r="F136" s="5" t="s">
        <v>3</v>
      </c>
      <c r="G136" s="4">
        <v>4.5720821357000005E8</v>
      </c>
      <c r="H136" s="5">
        <v>4.5720821357E8</v>
      </c>
      <c r="I136" s="6"/>
    </row>
    <row r="137">
      <c r="A137" s="1">
        <v>46241.0</v>
      </c>
      <c r="B137" s="2" t="s">
        <v>17</v>
      </c>
      <c r="C137" s="2" t="s">
        <v>148</v>
      </c>
      <c r="D137" s="5">
        <v>1.5E7</v>
      </c>
      <c r="E137" s="4"/>
      <c r="F137" s="5" t="s">
        <v>3</v>
      </c>
      <c r="G137" s="4">
        <v>4.4220821357000005E8</v>
      </c>
      <c r="H137" s="4"/>
      <c r="I137" s="6"/>
    </row>
    <row r="138">
      <c r="A138" s="1">
        <v>46241.0</v>
      </c>
      <c r="B138" s="2" t="s">
        <v>27</v>
      </c>
      <c r="C138" s="2" t="s">
        <v>149</v>
      </c>
      <c r="D138" s="5">
        <v>133500.0</v>
      </c>
      <c r="E138" s="4"/>
      <c r="F138" s="4"/>
      <c r="G138" s="4">
        <v>4.4207471357000005E8</v>
      </c>
      <c r="H138" s="4"/>
      <c r="I138" s="6"/>
    </row>
    <row r="139">
      <c r="A139" s="1">
        <v>46241.0</v>
      </c>
      <c r="B139" s="2" t="s">
        <v>27</v>
      </c>
      <c r="C139" s="2" t="s">
        <v>150</v>
      </c>
      <c r="D139" s="5">
        <v>61000.0</v>
      </c>
      <c r="E139" s="4"/>
      <c r="F139" s="4"/>
      <c r="G139" s="4">
        <v>4.4201371357000005E8</v>
      </c>
      <c r="H139" s="5">
        <v>4.4201371357E8</v>
      </c>
      <c r="I139" s="6"/>
    </row>
    <row r="140">
      <c r="A140" s="1">
        <v>46242.0</v>
      </c>
      <c r="B140" s="2" t="s">
        <v>17</v>
      </c>
      <c r="C140" s="2" t="s">
        <v>151</v>
      </c>
      <c r="D140" s="5">
        <v>3.77792E7</v>
      </c>
      <c r="E140" s="4"/>
      <c r="F140" s="5" t="s">
        <v>3</v>
      </c>
      <c r="G140" s="4">
        <v>4.0423451357000005E8</v>
      </c>
      <c r="H140" s="4"/>
      <c r="I140" s="6"/>
    </row>
    <row r="141">
      <c r="A141" s="1">
        <v>46242.0</v>
      </c>
      <c r="B141" s="2" t="s">
        <v>17</v>
      </c>
      <c r="C141" s="2" t="s">
        <v>152</v>
      </c>
      <c r="D141" s="5">
        <v>7.830432E7</v>
      </c>
      <c r="E141" s="4"/>
      <c r="F141" s="5" t="s">
        <v>3</v>
      </c>
      <c r="G141" s="4">
        <v>3.2593019357000005E8</v>
      </c>
      <c r="H141" s="4"/>
      <c r="I141" s="6"/>
    </row>
    <row r="142">
      <c r="A142" s="1">
        <v>46242.0</v>
      </c>
      <c r="B142" s="2" t="s">
        <v>17</v>
      </c>
      <c r="C142" s="2" t="s">
        <v>153</v>
      </c>
      <c r="D142" s="5">
        <v>5.0E7</v>
      </c>
      <c r="E142" s="4"/>
      <c r="F142" s="5" t="s">
        <v>3</v>
      </c>
      <c r="G142" s="4">
        <v>2.7593019357000005E8</v>
      </c>
      <c r="H142" s="4"/>
      <c r="I142" s="6" t="s">
        <v>43</v>
      </c>
    </row>
    <row r="143">
      <c r="A143" s="1">
        <v>46242.0</v>
      </c>
      <c r="B143" s="2" t="s">
        <v>17</v>
      </c>
      <c r="C143" s="2" t="s">
        <v>154</v>
      </c>
      <c r="D143" s="5">
        <v>1.043263E7</v>
      </c>
      <c r="E143" s="4"/>
      <c r="F143" s="5" t="s">
        <v>3</v>
      </c>
      <c r="G143" s="4">
        <v>2.6549756357000005E8</v>
      </c>
      <c r="H143" s="4"/>
      <c r="I143" s="6" t="s">
        <v>43</v>
      </c>
    </row>
    <row r="144">
      <c r="A144" s="1">
        <v>46242.0</v>
      </c>
      <c r="B144" s="2" t="s">
        <v>14</v>
      </c>
      <c r="C144" s="2" t="s">
        <v>155</v>
      </c>
      <c r="D144" s="5"/>
      <c r="E144" s="5">
        <v>4.896E7</v>
      </c>
      <c r="F144" s="5" t="s">
        <v>16</v>
      </c>
      <c r="G144" s="4">
        <v>3.1445756357000005E8</v>
      </c>
      <c r="H144" s="4"/>
      <c r="I144" s="6"/>
    </row>
    <row r="145">
      <c r="A145" s="1">
        <v>46242.0</v>
      </c>
      <c r="B145" s="2" t="s">
        <v>17</v>
      </c>
      <c r="C145" s="2" t="s">
        <v>156</v>
      </c>
      <c r="D145" s="5">
        <v>1.20218E8</v>
      </c>
      <c r="E145" s="4"/>
      <c r="F145" s="5" t="s">
        <v>3</v>
      </c>
      <c r="G145" s="4">
        <v>1.9423956357000005E8</v>
      </c>
      <c r="H145" s="4"/>
      <c r="I145" s="6"/>
    </row>
    <row r="146">
      <c r="A146" s="1">
        <v>46242.0</v>
      </c>
      <c r="B146" s="2" t="s">
        <v>17</v>
      </c>
      <c r="C146" s="2" t="s">
        <v>157</v>
      </c>
      <c r="D146" s="5">
        <v>7.355E7</v>
      </c>
      <c r="E146" s="4"/>
      <c r="F146" s="5" t="s">
        <v>3</v>
      </c>
      <c r="G146" s="4">
        <v>1.2068956357000005E8</v>
      </c>
      <c r="H146" s="4"/>
      <c r="I146" s="6"/>
    </row>
    <row r="147">
      <c r="A147" s="1">
        <v>46242.0</v>
      </c>
      <c r="B147" s="2" t="s">
        <v>17</v>
      </c>
      <c r="C147" s="2" t="s">
        <v>158</v>
      </c>
      <c r="D147" s="5">
        <v>1.845144E7</v>
      </c>
      <c r="E147" s="4"/>
      <c r="F147" s="5" t="s">
        <v>3</v>
      </c>
      <c r="G147" s="4">
        <v>1.0223812357000005E8</v>
      </c>
      <c r="H147" s="4"/>
      <c r="I147" s="6"/>
    </row>
    <row r="148">
      <c r="A148" s="1">
        <v>46242.0</v>
      </c>
      <c r="B148" s="2" t="s">
        <v>14</v>
      </c>
      <c r="C148" s="2" t="s">
        <v>159</v>
      </c>
      <c r="D148" s="5"/>
      <c r="E148" s="5">
        <v>3.4456763E8</v>
      </c>
      <c r="F148" s="5" t="s">
        <v>16</v>
      </c>
      <c r="G148" s="4">
        <v>4.4680575357000005E8</v>
      </c>
      <c r="H148" s="4"/>
      <c r="I148" s="6"/>
    </row>
    <row r="149">
      <c r="A149" s="1">
        <v>46242.0</v>
      </c>
      <c r="B149" s="2" t="s">
        <v>17</v>
      </c>
      <c r="C149" s="2" t="s">
        <v>160</v>
      </c>
      <c r="D149" s="5">
        <v>8.00215E7</v>
      </c>
      <c r="E149" s="4"/>
      <c r="F149" s="5" t="s">
        <v>3</v>
      </c>
      <c r="G149" s="4">
        <v>3.6678425357000005E8</v>
      </c>
      <c r="H149" s="5">
        <v>3.6678425357E8</v>
      </c>
      <c r="I149" s="6"/>
    </row>
    <row r="150">
      <c r="A150" s="1">
        <v>46242.0</v>
      </c>
      <c r="B150" s="2" t="s">
        <v>17</v>
      </c>
      <c r="C150" s="2" t="s">
        <v>161</v>
      </c>
      <c r="D150" s="5">
        <v>4.0E7</v>
      </c>
      <c r="E150" s="4"/>
      <c r="F150" s="5" t="s">
        <v>3</v>
      </c>
      <c r="G150" s="4">
        <v>3.2678425357000005E8</v>
      </c>
      <c r="H150" s="5">
        <v>3.2678425357E8</v>
      </c>
      <c r="I150" s="6"/>
    </row>
    <row r="151">
      <c r="A151" s="1">
        <v>46242.0</v>
      </c>
      <c r="B151" s="2" t="s">
        <v>17</v>
      </c>
      <c r="C151" s="2" t="s">
        <v>162</v>
      </c>
      <c r="D151" s="5">
        <v>36200.0</v>
      </c>
      <c r="E151" s="4"/>
      <c r="F151" s="5" t="s">
        <v>3</v>
      </c>
      <c r="G151" s="4">
        <v>3.2674805357000005E8</v>
      </c>
      <c r="H151" s="4"/>
      <c r="I151" s="6"/>
    </row>
    <row r="152">
      <c r="A152" s="1">
        <v>46242.0</v>
      </c>
      <c r="B152" s="2" t="s">
        <v>17</v>
      </c>
      <c r="C152" s="2" t="s">
        <v>163</v>
      </c>
      <c r="D152" s="5">
        <v>7.355E7</v>
      </c>
      <c r="E152" s="4"/>
      <c r="F152" s="5" t="s">
        <v>3</v>
      </c>
      <c r="G152" s="4">
        <v>2.5319805357000005E8</v>
      </c>
      <c r="H152" s="4"/>
      <c r="I152" s="6"/>
    </row>
    <row r="153">
      <c r="A153" s="1">
        <v>46242.0</v>
      </c>
      <c r="B153" s="2" t="s">
        <v>17</v>
      </c>
      <c r="C153" s="2" t="s">
        <v>164</v>
      </c>
      <c r="D153" s="5">
        <v>7.64841E7</v>
      </c>
      <c r="E153" s="4"/>
      <c r="F153" s="5" t="s">
        <v>3</v>
      </c>
      <c r="G153" s="4">
        <v>1.7671395357000005E8</v>
      </c>
      <c r="H153" s="4"/>
      <c r="I153" s="6"/>
    </row>
    <row r="154">
      <c r="A154" s="1">
        <v>46242.0</v>
      </c>
      <c r="B154" s="2" t="s">
        <v>17</v>
      </c>
      <c r="C154" s="2" t="s">
        <v>165</v>
      </c>
      <c r="D154" s="5">
        <v>1.3099154E8</v>
      </c>
      <c r="E154" s="4"/>
      <c r="F154" s="5" t="s">
        <v>3</v>
      </c>
      <c r="G154" s="4">
        <v>4.572241357000005E7</v>
      </c>
      <c r="H154" s="4"/>
      <c r="I154" s="6"/>
    </row>
    <row r="155">
      <c r="A155" s="1">
        <v>46242.0</v>
      </c>
      <c r="B155" s="2" t="s">
        <v>17</v>
      </c>
      <c r="C155" s="2" t="s">
        <v>166</v>
      </c>
      <c r="D155" s="5">
        <v>20000.0</v>
      </c>
      <c r="E155" s="4"/>
      <c r="F155" s="5" t="s">
        <v>3</v>
      </c>
      <c r="G155" s="4">
        <v>4.570241357000005E7</v>
      </c>
      <c r="H155" s="4"/>
      <c r="I155" s="6"/>
    </row>
    <row r="156">
      <c r="A156" s="1">
        <v>46242.0</v>
      </c>
      <c r="B156" s="2" t="s">
        <v>14</v>
      </c>
      <c r="C156" s="2" t="s">
        <v>167</v>
      </c>
      <c r="D156" s="5"/>
      <c r="E156" s="5">
        <v>2.009631E8</v>
      </c>
      <c r="F156" s="5" t="s">
        <v>16</v>
      </c>
      <c r="G156" s="4">
        <v>2.4666551357000005E8</v>
      </c>
      <c r="H156" s="4"/>
      <c r="I156" s="6"/>
    </row>
    <row r="157">
      <c r="A157" s="1">
        <v>46242.0</v>
      </c>
      <c r="B157" s="2" t="s">
        <v>27</v>
      </c>
      <c r="C157" s="2" t="s">
        <v>28</v>
      </c>
      <c r="D157" s="5">
        <v>72300.0</v>
      </c>
      <c r="E157" s="4"/>
      <c r="F157" s="4"/>
      <c r="G157" s="4">
        <v>2.4659321357000005E8</v>
      </c>
      <c r="H157" s="4"/>
      <c r="I157" s="6"/>
    </row>
    <row r="158">
      <c r="A158" s="1">
        <v>46242.0</v>
      </c>
      <c r="B158" s="2" t="s">
        <v>14</v>
      </c>
      <c r="C158" s="2" t="s">
        <v>168</v>
      </c>
      <c r="D158" s="5"/>
      <c r="E158" s="5">
        <v>1.31062762E8</v>
      </c>
      <c r="F158" s="5" t="s">
        <v>16</v>
      </c>
      <c r="G158" s="4">
        <v>3.7765597557000005E8</v>
      </c>
      <c r="H158" s="4"/>
      <c r="I158" s="6"/>
    </row>
    <row r="159">
      <c r="A159" s="1">
        <v>46242.0</v>
      </c>
      <c r="B159" s="2" t="s">
        <v>17</v>
      </c>
      <c r="C159" s="2" t="s">
        <v>169</v>
      </c>
      <c r="D159" s="5">
        <v>5.327585E7</v>
      </c>
      <c r="E159" s="4"/>
      <c r="F159" s="5" t="s">
        <v>3</v>
      </c>
      <c r="G159" s="4">
        <v>3.2438012557000005E8</v>
      </c>
      <c r="H159" s="4"/>
      <c r="I159" s="6"/>
    </row>
    <row r="160">
      <c r="A160" s="1">
        <v>46242.0</v>
      </c>
      <c r="B160" s="2" t="s">
        <v>170</v>
      </c>
      <c r="C160" s="2" t="s">
        <v>171</v>
      </c>
      <c r="D160" s="5">
        <v>2039400.0</v>
      </c>
      <c r="E160" s="4"/>
      <c r="F160" s="5" t="s">
        <v>3</v>
      </c>
      <c r="G160" s="4">
        <v>3.2234072557000005E8</v>
      </c>
      <c r="H160" s="4"/>
      <c r="I160" s="6"/>
    </row>
    <row r="161">
      <c r="A161" s="1">
        <v>46242.0</v>
      </c>
      <c r="B161" s="2" t="s">
        <v>170</v>
      </c>
      <c r="C161" s="2" t="s">
        <v>172</v>
      </c>
      <c r="D161" s="5">
        <v>2500.0</v>
      </c>
      <c r="E161" s="4"/>
      <c r="F161" s="5" t="s">
        <v>3</v>
      </c>
      <c r="G161" s="4">
        <v>3.2233822557000005E8</v>
      </c>
      <c r="H161" s="5">
        <v>3.2233822557E8</v>
      </c>
      <c r="I161" s="6"/>
    </row>
    <row r="162">
      <c r="A162" s="1">
        <v>46242.0</v>
      </c>
      <c r="B162" s="2" t="s">
        <v>17</v>
      </c>
      <c r="C162" s="2" t="s">
        <v>173</v>
      </c>
      <c r="D162" s="5">
        <v>2560500.0</v>
      </c>
      <c r="E162" s="4"/>
      <c r="F162" s="5" t="s">
        <v>3</v>
      </c>
      <c r="G162" s="4">
        <v>3.1977772557000005E8</v>
      </c>
      <c r="H162" s="5">
        <v>3.1977772557E8</v>
      </c>
      <c r="I162" s="6"/>
    </row>
    <row r="163">
      <c r="A163" s="1">
        <v>46242.0</v>
      </c>
      <c r="B163" s="2" t="s">
        <v>14</v>
      </c>
      <c r="C163" s="2" t="s">
        <v>174</v>
      </c>
      <c r="D163" s="5"/>
      <c r="E163" s="5">
        <v>6.16528E7</v>
      </c>
      <c r="F163" s="5" t="s">
        <v>16</v>
      </c>
      <c r="G163" s="4">
        <v>3.8143052557000005E8</v>
      </c>
      <c r="H163" s="4"/>
      <c r="I163" s="6"/>
    </row>
    <row r="164">
      <c r="A164" s="1">
        <v>46242.0</v>
      </c>
      <c r="B164" s="2" t="s">
        <v>17</v>
      </c>
      <c r="C164" s="2" t="s">
        <v>175</v>
      </c>
      <c r="D164" s="5">
        <v>4500000.0</v>
      </c>
      <c r="E164" s="4"/>
      <c r="F164" s="5" t="s">
        <v>3</v>
      </c>
      <c r="G164" s="4">
        <v>3.7693052557000005E8</v>
      </c>
      <c r="H164" s="4"/>
      <c r="I164" s="6"/>
    </row>
    <row r="165">
      <c r="A165" s="1">
        <v>46242.0</v>
      </c>
      <c r="B165" s="2" t="s">
        <v>17</v>
      </c>
      <c r="C165" s="2" t="s">
        <v>176</v>
      </c>
      <c r="D165" s="5">
        <v>6.99E7</v>
      </c>
      <c r="E165" s="4"/>
      <c r="F165" s="5" t="s">
        <v>3</v>
      </c>
      <c r="G165" s="4">
        <v>3.0703052557000005E8</v>
      </c>
      <c r="H165" s="4"/>
      <c r="I165" s="6"/>
    </row>
    <row r="166">
      <c r="A166" s="1">
        <v>46242.0</v>
      </c>
      <c r="B166" s="2" t="s">
        <v>17</v>
      </c>
      <c r="C166" s="2" t="s">
        <v>177</v>
      </c>
      <c r="D166" s="5">
        <v>139000.0</v>
      </c>
      <c r="E166" s="4"/>
      <c r="F166" s="5" t="s">
        <v>3</v>
      </c>
      <c r="G166" s="4">
        <v>3.0689152557000005E8</v>
      </c>
      <c r="H166" s="5">
        <v>3.0689152557E8</v>
      </c>
      <c r="I166" s="6"/>
    </row>
    <row r="167">
      <c r="A167" s="1">
        <v>46243.0</v>
      </c>
      <c r="B167" s="2" t="s">
        <v>17</v>
      </c>
      <c r="C167" s="2" t="s">
        <v>178</v>
      </c>
      <c r="D167" s="5">
        <v>1000000.0</v>
      </c>
      <c r="E167" s="4"/>
      <c r="F167" s="5" t="s">
        <v>3</v>
      </c>
      <c r="G167" s="4">
        <v>3.0589152557000005E8</v>
      </c>
      <c r="H167" s="4"/>
      <c r="I167" s="6"/>
    </row>
    <row r="168">
      <c r="A168" s="1">
        <v>46243.0</v>
      </c>
      <c r="B168" s="2" t="s">
        <v>17</v>
      </c>
      <c r="C168" s="2" t="s">
        <v>179</v>
      </c>
      <c r="D168" s="5">
        <v>9500000.0</v>
      </c>
      <c r="E168" s="4"/>
      <c r="F168" s="5" t="s">
        <v>3</v>
      </c>
      <c r="G168" s="4">
        <v>2.9639152557000005E8</v>
      </c>
      <c r="H168" s="4"/>
      <c r="I168" s="6"/>
    </row>
    <row r="169">
      <c r="A169" s="1">
        <v>46243.0</v>
      </c>
      <c r="B169" s="2" t="s">
        <v>17</v>
      </c>
      <c r="C169" s="2" t="s">
        <v>180</v>
      </c>
      <c r="D169" s="5">
        <v>1070000.0</v>
      </c>
      <c r="E169" s="4"/>
      <c r="F169" s="5" t="s">
        <v>3</v>
      </c>
      <c r="G169" s="4">
        <v>2.9532152557000005E8</v>
      </c>
      <c r="H169" s="4"/>
      <c r="I169" s="6"/>
    </row>
    <row r="170">
      <c r="A170" s="1">
        <v>46243.0</v>
      </c>
      <c r="B170" s="2" t="s">
        <v>17</v>
      </c>
      <c r="C170" s="2" t="s">
        <v>181</v>
      </c>
      <c r="D170" s="5">
        <v>1.35876E7</v>
      </c>
      <c r="E170" s="4"/>
      <c r="F170" s="5" t="s">
        <v>3</v>
      </c>
      <c r="G170" s="4">
        <v>2.8173392557000005E8</v>
      </c>
      <c r="H170" s="4"/>
      <c r="I170" s="6"/>
    </row>
    <row r="171">
      <c r="A171" s="1">
        <v>46243.0</v>
      </c>
      <c r="B171" s="2" t="s">
        <v>17</v>
      </c>
      <c r="C171" s="2" t="s">
        <v>182</v>
      </c>
      <c r="D171" s="5">
        <v>1.95472E8</v>
      </c>
      <c r="E171" s="4"/>
      <c r="F171" s="5" t="s">
        <v>3</v>
      </c>
      <c r="G171" s="4">
        <v>8.626192557000005E7</v>
      </c>
      <c r="H171" s="4"/>
      <c r="I171" s="6"/>
    </row>
    <row r="172">
      <c r="A172" s="1">
        <v>46243.0</v>
      </c>
      <c r="B172" s="2" t="s">
        <v>17</v>
      </c>
      <c r="C172" s="2" t="s">
        <v>183</v>
      </c>
      <c r="D172" s="5">
        <v>5.771367E7</v>
      </c>
      <c r="E172" s="4"/>
      <c r="F172" s="5" t="s">
        <v>3</v>
      </c>
      <c r="G172" s="4">
        <v>2.8548255570000052E7</v>
      </c>
      <c r="H172" s="4"/>
      <c r="I172" s="6"/>
    </row>
    <row r="173">
      <c r="A173" s="1">
        <v>46243.0</v>
      </c>
      <c r="B173" s="2" t="s">
        <v>17</v>
      </c>
      <c r="C173" s="2" t="s">
        <v>184</v>
      </c>
      <c r="D173" s="5">
        <v>1.029051E7</v>
      </c>
      <c r="E173" s="4"/>
      <c r="F173" s="5" t="s">
        <v>3</v>
      </c>
      <c r="G173" s="4">
        <v>1.8257745570000052E7</v>
      </c>
      <c r="H173" s="4"/>
      <c r="I173" s="6"/>
    </row>
    <row r="174">
      <c r="A174" s="1">
        <v>46243.0</v>
      </c>
      <c r="B174" s="2" t="s">
        <v>17</v>
      </c>
      <c r="C174" s="2" t="s">
        <v>185</v>
      </c>
      <c r="D174" s="5">
        <v>3621000.0</v>
      </c>
      <c r="E174" s="4"/>
      <c r="F174" s="5" t="s">
        <v>3</v>
      </c>
      <c r="G174" s="4">
        <v>1.4636745570000052E7</v>
      </c>
      <c r="H174" s="4"/>
      <c r="I174" s="6"/>
    </row>
    <row r="175">
      <c r="A175" s="1">
        <v>46243.0</v>
      </c>
      <c r="B175" s="2" t="s">
        <v>17</v>
      </c>
      <c r="C175" s="2" t="s">
        <v>186</v>
      </c>
      <c r="D175" s="5">
        <v>1.149555E7</v>
      </c>
      <c r="E175" s="4"/>
      <c r="F175" s="5" t="s">
        <v>3</v>
      </c>
      <c r="G175" s="4">
        <v>3141195.5700000525</v>
      </c>
      <c r="H175" s="5">
        <v>3141195.57</v>
      </c>
      <c r="I175" s="6"/>
    </row>
    <row r="176">
      <c r="A176" s="1">
        <v>46243.0</v>
      </c>
      <c r="B176" s="2" t="s">
        <v>17</v>
      </c>
      <c r="C176" s="2" t="s">
        <v>187</v>
      </c>
      <c r="D176" s="5">
        <v>1475400.0</v>
      </c>
      <c r="E176" s="4"/>
      <c r="F176" s="5" t="s">
        <v>3</v>
      </c>
      <c r="G176" s="4">
        <v>1665795.5700000525</v>
      </c>
      <c r="H176" s="5">
        <v>1665795.57</v>
      </c>
      <c r="I176" s="6"/>
    </row>
    <row r="177">
      <c r="A177" s="1">
        <v>46243.0</v>
      </c>
      <c r="B177" s="2" t="s">
        <v>17</v>
      </c>
      <c r="C177" s="2" t="s">
        <v>188</v>
      </c>
      <c r="D177" s="5">
        <v>374000.0</v>
      </c>
      <c r="E177" s="4"/>
      <c r="F177" s="5" t="s">
        <v>3</v>
      </c>
      <c r="G177" s="4">
        <v>1291795.5700000525</v>
      </c>
      <c r="H177" s="4"/>
      <c r="I177" s="6" t="s">
        <v>43</v>
      </c>
    </row>
    <row r="178">
      <c r="A178" s="1">
        <v>46243.0</v>
      </c>
      <c r="B178" s="2" t="s">
        <v>14</v>
      </c>
      <c r="C178" s="2" t="s">
        <v>189</v>
      </c>
      <c r="D178" s="5"/>
      <c r="E178" s="5">
        <v>2.7935663E8</v>
      </c>
      <c r="F178" s="5" t="s">
        <v>16</v>
      </c>
      <c r="G178" s="4">
        <v>2.8064842557000005E8</v>
      </c>
      <c r="H178" s="4"/>
      <c r="I178" s="6"/>
    </row>
    <row r="179">
      <c r="A179" s="1">
        <v>46243.0</v>
      </c>
      <c r="B179" s="2" t="s">
        <v>14</v>
      </c>
      <c r="C179" s="2" t="s">
        <v>190</v>
      </c>
      <c r="D179" s="5"/>
      <c r="E179" s="5">
        <v>1040750.0</v>
      </c>
      <c r="F179" s="5" t="s">
        <v>16</v>
      </c>
      <c r="G179" s="4">
        <v>2.8168917557000005E8</v>
      </c>
      <c r="H179" s="4"/>
      <c r="I179" s="6"/>
    </row>
    <row r="180">
      <c r="A180" s="1">
        <v>46243.0</v>
      </c>
      <c r="B180" s="2" t="s">
        <v>191</v>
      </c>
      <c r="C180" s="2" t="s">
        <v>191</v>
      </c>
      <c r="D180" s="5">
        <v>300000.0</v>
      </c>
      <c r="E180" s="4"/>
      <c r="F180" s="4"/>
      <c r="G180" s="4">
        <v>2.8138917557000005E8</v>
      </c>
      <c r="H180" s="4"/>
      <c r="I180" s="6"/>
    </row>
    <row r="181">
      <c r="A181" s="1">
        <v>46243.0</v>
      </c>
      <c r="B181" s="2" t="s">
        <v>17</v>
      </c>
      <c r="C181" s="2" t="s">
        <v>192</v>
      </c>
      <c r="D181" s="5">
        <v>7.04835E7</v>
      </c>
      <c r="E181" s="4"/>
      <c r="F181" s="5" t="s">
        <v>3</v>
      </c>
      <c r="G181" s="4">
        <v>2.1090567557000005E8</v>
      </c>
      <c r="H181" s="4"/>
      <c r="I181" s="6"/>
    </row>
    <row r="182">
      <c r="A182" s="1">
        <v>46243.0</v>
      </c>
      <c r="B182" s="2" t="s">
        <v>17</v>
      </c>
      <c r="C182" s="2" t="s">
        <v>193</v>
      </c>
      <c r="D182" s="5">
        <v>1.288118E8</v>
      </c>
      <c r="E182" s="4"/>
      <c r="F182" s="5" t="s">
        <v>3</v>
      </c>
      <c r="G182" s="4">
        <v>8.209387557000005E7</v>
      </c>
      <c r="H182" s="4"/>
      <c r="I182" s="6"/>
    </row>
    <row r="183">
      <c r="A183" s="1">
        <v>46243.0</v>
      </c>
      <c r="B183" s="2" t="s">
        <v>17</v>
      </c>
      <c r="C183" s="2" t="s">
        <v>194</v>
      </c>
      <c r="D183" s="5">
        <v>7.643824E7</v>
      </c>
      <c r="E183" s="4"/>
      <c r="F183" s="5" t="s">
        <v>3</v>
      </c>
      <c r="G183" s="4">
        <v>5655635.570000052</v>
      </c>
      <c r="H183" s="4"/>
      <c r="I183" s="6"/>
    </row>
    <row r="184">
      <c r="A184" s="1">
        <v>46243.0</v>
      </c>
      <c r="B184" s="2" t="s">
        <v>17</v>
      </c>
      <c r="C184" s="2" t="s">
        <v>195</v>
      </c>
      <c r="D184" s="5">
        <v>5079400.0</v>
      </c>
      <c r="E184" s="4"/>
      <c r="F184" s="5" t="s">
        <v>3</v>
      </c>
      <c r="G184" s="4">
        <v>576235.5700000525</v>
      </c>
      <c r="H184" s="4"/>
      <c r="I184" s="6"/>
    </row>
    <row r="185">
      <c r="A185" s="1">
        <v>46243.0</v>
      </c>
      <c r="B185" s="2" t="s">
        <v>14</v>
      </c>
      <c r="C185" s="2" t="s">
        <v>196</v>
      </c>
      <c r="D185" s="5"/>
      <c r="E185" s="5">
        <v>1.3112008E8</v>
      </c>
      <c r="F185" s="5" t="s">
        <v>16</v>
      </c>
      <c r="G185" s="4">
        <v>1.3169631557000005E8</v>
      </c>
      <c r="H185" s="4"/>
      <c r="I185" s="6"/>
    </row>
    <row r="186">
      <c r="A186" s="1">
        <v>46243.0</v>
      </c>
      <c r="B186" s="2" t="s">
        <v>14</v>
      </c>
      <c r="C186" s="2" t="s">
        <v>197</v>
      </c>
      <c r="D186" s="5"/>
      <c r="E186" s="5">
        <v>6.66E7</v>
      </c>
      <c r="F186" s="5" t="s">
        <v>16</v>
      </c>
      <c r="G186" s="4">
        <v>1.9829631557000005E8</v>
      </c>
      <c r="H186" s="4"/>
      <c r="I186" s="6"/>
    </row>
    <row r="187">
      <c r="A187" s="1">
        <v>46243.0</v>
      </c>
      <c r="B187" s="2" t="s">
        <v>14</v>
      </c>
      <c r="C187" s="2" t="s">
        <v>198</v>
      </c>
      <c r="D187" s="5"/>
      <c r="E187" s="5">
        <v>2.13532341E8</v>
      </c>
      <c r="F187" s="5" t="s">
        <v>16</v>
      </c>
      <c r="G187" s="4">
        <v>4.1182865657000005E8</v>
      </c>
      <c r="H187" s="4"/>
      <c r="I187" s="6"/>
    </row>
    <row r="188">
      <c r="A188" s="1">
        <v>46243.0</v>
      </c>
      <c r="B188" s="2" t="s">
        <v>14</v>
      </c>
      <c r="C188" s="2" t="s">
        <v>199</v>
      </c>
      <c r="D188" s="5"/>
      <c r="E188" s="5">
        <v>1.0E8</v>
      </c>
      <c r="F188" s="5" t="s">
        <v>16</v>
      </c>
      <c r="G188" s="4">
        <v>5.1182865657000005E8</v>
      </c>
      <c r="H188" s="5">
        <v>5.1182865657E8</v>
      </c>
      <c r="I188" s="6"/>
    </row>
    <row r="189">
      <c r="A189" s="1">
        <v>46243.0</v>
      </c>
      <c r="B189" s="2" t="s">
        <v>17</v>
      </c>
      <c r="C189" s="2" t="s">
        <v>200</v>
      </c>
      <c r="D189" s="5">
        <v>2900000.0</v>
      </c>
      <c r="E189" s="4"/>
      <c r="F189" s="5" t="s">
        <v>3</v>
      </c>
      <c r="G189" s="4">
        <v>5.0892865657000005E8</v>
      </c>
      <c r="H189" s="5">
        <v>5.0892865657E8</v>
      </c>
      <c r="I189" s="6"/>
    </row>
    <row r="190">
      <c r="A190" s="1">
        <v>46243.0</v>
      </c>
      <c r="B190" s="2" t="s">
        <v>17</v>
      </c>
      <c r="C190" s="2" t="s">
        <v>201</v>
      </c>
      <c r="D190" s="5">
        <v>1850000.0</v>
      </c>
      <c r="E190" s="4"/>
      <c r="F190" s="5" t="s">
        <v>3</v>
      </c>
      <c r="G190" s="4">
        <v>5.0707865657000005E8</v>
      </c>
      <c r="H190" s="5">
        <v>5.0707865657E8</v>
      </c>
      <c r="I190" s="6"/>
    </row>
    <row r="191">
      <c r="A191" s="1">
        <v>46244.0</v>
      </c>
      <c r="B191" s="2" t="s">
        <v>17</v>
      </c>
      <c r="C191" s="2" t="s">
        <v>202</v>
      </c>
      <c r="D191" s="5">
        <v>1.3293125E8</v>
      </c>
      <c r="E191" s="4"/>
      <c r="F191" s="5" t="s">
        <v>3</v>
      </c>
      <c r="G191" s="4">
        <v>3.7414740657000005E8</v>
      </c>
      <c r="H191" s="4"/>
      <c r="I191" s="6"/>
    </row>
    <row r="192">
      <c r="A192" s="1">
        <v>46244.0</v>
      </c>
      <c r="B192" s="2" t="s">
        <v>17</v>
      </c>
      <c r="C192" s="2" t="s">
        <v>203</v>
      </c>
      <c r="D192" s="5">
        <v>6.831E7</v>
      </c>
      <c r="E192" s="4"/>
      <c r="F192" s="5" t="s">
        <v>3</v>
      </c>
      <c r="G192" s="4">
        <v>3.0583740657000005E8</v>
      </c>
      <c r="H192" s="4"/>
      <c r="I192" s="6"/>
    </row>
    <row r="193">
      <c r="A193" s="1">
        <v>46244.0</v>
      </c>
      <c r="B193" s="2" t="s">
        <v>17</v>
      </c>
      <c r="C193" s="2" t="s">
        <v>204</v>
      </c>
      <c r="D193" s="5">
        <v>6.60308E7</v>
      </c>
      <c r="E193" s="4"/>
      <c r="F193" s="5" t="s">
        <v>3</v>
      </c>
      <c r="G193" s="4">
        <v>2.3980660657000005E8</v>
      </c>
      <c r="H193" s="4"/>
      <c r="I193" s="6"/>
    </row>
    <row r="194">
      <c r="A194" s="1">
        <v>46244.0</v>
      </c>
      <c r="B194" s="2" t="s">
        <v>17</v>
      </c>
      <c r="C194" s="2" t="s">
        <v>205</v>
      </c>
      <c r="D194" s="5">
        <v>3005500.0</v>
      </c>
      <c r="E194" s="4"/>
      <c r="F194" s="5" t="s">
        <v>3</v>
      </c>
      <c r="G194" s="4">
        <v>2.3680110657000005E8</v>
      </c>
      <c r="H194" s="4"/>
      <c r="I194" s="6"/>
    </row>
    <row r="195">
      <c r="A195" s="1">
        <v>46244.0</v>
      </c>
      <c r="B195" s="2" t="s">
        <v>17</v>
      </c>
      <c r="C195" s="2" t="s">
        <v>206</v>
      </c>
      <c r="D195" s="5">
        <v>5.0E7</v>
      </c>
      <c r="E195" s="4"/>
      <c r="F195" s="5" t="s">
        <v>3</v>
      </c>
      <c r="G195" s="4">
        <v>1.8680110657000005E8</v>
      </c>
      <c r="H195" s="4"/>
      <c r="I195" s="6" t="s">
        <v>43</v>
      </c>
    </row>
    <row r="196">
      <c r="A196" s="1">
        <v>46244.0</v>
      </c>
      <c r="B196" s="2" t="s">
        <v>14</v>
      </c>
      <c r="C196" s="2" t="s">
        <v>207</v>
      </c>
      <c r="D196" s="5"/>
      <c r="E196" s="5">
        <v>5.1612816E8</v>
      </c>
      <c r="F196" s="5" t="s">
        <v>16</v>
      </c>
      <c r="G196" s="4">
        <v>7.0292926657E8</v>
      </c>
      <c r="H196" s="4"/>
      <c r="I196" s="6" t="s">
        <v>43</v>
      </c>
    </row>
    <row r="197">
      <c r="A197" s="1">
        <v>46244.0</v>
      </c>
      <c r="B197" s="2" t="s">
        <v>92</v>
      </c>
      <c r="C197" s="2" t="s">
        <v>208</v>
      </c>
      <c r="D197" s="5">
        <v>202500.0</v>
      </c>
      <c r="E197" s="4"/>
      <c r="F197" s="4"/>
      <c r="G197" s="4">
        <v>7.0272676657E8</v>
      </c>
      <c r="H197" s="4"/>
      <c r="I197" s="6" t="s">
        <v>43</v>
      </c>
    </row>
    <row r="198">
      <c r="A198" s="1">
        <v>46244.0</v>
      </c>
      <c r="B198" s="2" t="s">
        <v>27</v>
      </c>
      <c r="C198" s="2" t="s">
        <v>28</v>
      </c>
      <c r="D198" s="5">
        <v>107900.0</v>
      </c>
      <c r="E198" s="4"/>
      <c r="F198" s="4"/>
      <c r="G198" s="4">
        <v>7.0261886657E8</v>
      </c>
      <c r="H198" s="4"/>
      <c r="I198" s="6"/>
    </row>
    <row r="199">
      <c r="A199" s="1">
        <v>46244.0</v>
      </c>
      <c r="B199" s="2" t="s">
        <v>17</v>
      </c>
      <c r="C199" s="2" t="s">
        <v>209</v>
      </c>
      <c r="D199" s="5">
        <v>1.422E8</v>
      </c>
      <c r="E199" s="4"/>
      <c r="F199" s="5" t="s">
        <v>3</v>
      </c>
      <c r="G199" s="4">
        <v>5.6041886657E8</v>
      </c>
      <c r="H199" s="4"/>
      <c r="I199" s="6"/>
    </row>
    <row r="200">
      <c r="A200" s="1">
        <v>46244.0</v>
      </c>
      <c r="B200" s="2" t="s">
        <v>17</v>
      </c>
      <c r="C200" s="2" t="s">
        <v>210</v>
      </c>
      <c r="D200" s="5">
        <v>8.24E7</v>
      </c>
      <c r="E200" s="4"/>
      <c r="F200" s="5" t="s">
        <v>3</v>
      </c>
      <c r="G200" s="4">
        <v>4.7801886657000005E8</v>
      </c>
      <c r="H200" s="4"/>
      <c r="I200" s="6"/>
    </row>
    <row r="201">
      <c r="A201" s="1">
        <v>46244.0</v>
      </c>
      <c r="B201" s="2" t="s">
        <v>17</v>
      </c>
      <c r="C201" s="2" t="s">
        <v>211</v>
      </c>
      <c r="D201" s="5">
        <v>5.096049E7</v>
      </c>
      <c r="E201" s="4"/>
      <c r="F201" s="5" t="s">
        <v>3</v>
      </c>
      <c r="G201" s="4">
        <v>4.2705837657000005E8</v>
      </c>
      <c r="H201" s="5">
        <v>4.2705837657E8</v>
      </c>
      <c r="I201" s="6"/>
    </row>
    <row r="202">
      <c r="A202" s="1">
        <v>46244.0</v>
      </c>
      <c r="B202" s="2" t="s">
        <v>17</v>
      </c>
      <c r="C202" s="2" t="s">
        <v>212</v>
      </c>
      <c r="D202" s="5">
        <v>1.2343952E8</v>
      </c>
      <c r="E202" s="4"/>
      <c r="F202" s="5" t="s">
        <v>3</v>
      </c>
      <c r="G202" s="4">
        <v>3.0361885657000005E8</v>
      </c>
      <c r="H202" s="5">
        <v>3.0361885657E8</v>
      </c>
      <c r="I202" s="6"/>
    </row>
    <row r="203">
      <c r="A203" s="1">
        <v>46244.0</v>
      </c>
      <c r="B203" s="2" t="s">
        <v>17</v>
      </c>
      <c r="C203" s="2" t="s">
        <v>213</v>
      </c>
      <c r="D203" s="5">
        <v>6.6454E7</v>
      </c>
      <c r="E203" s="4"/>
      <c r="F203" s="5" t="s">
        <v>3</v>
      </c>
      <c r="G203" s="4">
        <v>2.3716485657000005E8</v>
      </c>
      <c r="H203" s="4"/>
      <c r="I203" s="6"/>
    </row>
    <row r="204">
      <c r="A204" s="1">
        <v>46244.0</v>
      </c>
      <c r="B204" s="2" t="s">
        <v>14</v>
      </c>
      <c r="C204" s="2" t="s">
        <v>214</v>
      </c>
      <c r="D204" s="5"/>
      <c r="E204" s="5">
        <v>1.57649638E8</v>
      </c>
      <c r="F204" s="5" t="s">
        <v>16</v>
      </c>
      <c r="G204" s="4">
        <v>3.9481449457000005E8</v>
      </c>
      <c r="H204" s="4"/>
      <c r="I204" s="6"/>
    </row>
    <row r="205">
      <c r="A205" s="1">
        <v>46244.0</v>
      </c>
      <c r="B205" s="2" t="s">
        <v>17</v>
      </c>
      <c r="C205" s="2" t="s">
        <v>215</v>
      </c>
      <c r="D205" s="5">
        <v>2269500.0</v>
      </c>
      <c r="E205" s="4"/>
      <c r="F205" s="5" t="s">
        <v>3</v>
      </c>
      <c r="G205" s="4">
        <v>3.9254499457000005E8</v>
      </c>
      <c r="H205" s="4"/>
      <c r="I205" s="6"/>
    </row>
    <row r="206">
      <c r="A206" s="1">
        <v>46244.0</v>
      </c>
      <c r="B206" s="2" t="s">
        <v>17</v>
      </c>
      <c r="C206" s="2" t="s">
        <v>216</v>
      </c>
      <c r="D206" s="5">
        <v>3.0E7</v>
      </c>
      <c r="E206" s="4"/>
      <c r="F206" s="5" t="s">
        <v>3</v>
      </c>
      <c r="G206" s="4">
        <v>3.6254499457000005E8</v>
      </c>
      <c r="H206" s="4"/>
      <c r="I206" s="6"/>
    </row>
    <row r="207">
      <c r="A207" s="1">
        <v>46244.0</v>
      </c>
      <c r="B207" s="2" t="s">
        <v>17</v>
      </c>
      <c r="C207" s="2" t="s">
        <v>217</v>
      </c>
      <c r="D207" s="5">
        <v>500000.0</v>
      </c>
      <c r="E207" s="4"/>
      <c r="F207" s="5" t="s">
        <v>3</v>
      </c>
      <c r="G207" s="4">
        <v>3.6204499457000005E8</v>
      </c>
      <c r="H207" s="4"/>
      <c r="I207" s="6" t="s">
        <v>43</v>
      </c>
    </row>
    <row r="208">
      <c r="A208" s="1">
        <v>46244.0</v>
      </c>
      <c r="B208" s="2" t="s">
        <v>17</v>
      </c>
      <c r="C208" s="2" t="s">
        <v>218</v>
      </c>
      <c r="D208" s="5">
        <v>9267150.0</v>
      </c>
      <c r="E208" s="4"/>
      <c r="F208" s="5" t="s">
        <v>3</v>
      </c>
      <c r="G208" s="4">
        <v>3.5277784457000005E8</v>
      </c>
      <c r="H208" s="4"/>
      <c r="I208" s="6" t="s">
        <v>43</v>
      </c>
    </row>
    <row r="209">
      <c r="A209" s="1">
        <v>46244.0</v>
      </c>
      <c r="B209" s="2" t="s">
        <v>17</v>
      </c>
      <c r="C209" s="2" t="s">
        <v>219</v>
      </c>
      <c r="D209" s="5">
        <v>1.60914E7</v>
      </c>
      <c r="E209" s="4"/>
      <c r="F209" s="5" t="s">
        <v>3</v>
      </c>
      <c r="G209" s="4">
        <v>3.3668644457000005E8</v>
      </c>
      <c r="H209" s="4"/>
      <c r="I209" s="6" t="s">
        <v>43</v>
      </c>
    </row>
    <row r="210">
      <c r="A210" s="1">
        <v>46244.0</v>
      </c>
      <c r="B210" s="2" t="s">
        <v>17</v>
      </c>
      <c r="C210" s="2" t="s">
        <v>220</v>
      </c>
      <c r="D210" s="5">
        <v>4.040945E7</v>
      </c>
      <c r="E210" s="4"/>
      <c r="F210" s="5" t="s">
        <v>3</v>
      </c>
      <c r="G210" s="4">
        <v>2.9627699457000005E8</v>
      </c>
      <c r="H210" s="5">
        <v>2.9627699457E8</v>
      </c>
      <c r="I210" s="6" t="s">
        <v>43</v>
      </c>
    </row>
    <row r="211">
      <c r="A211" s="1">
        <v>46245.0</v>
      </c>
      <c r="B211" s="2" t="s">
        <v>17</v>
      </c>
      <c r="C211" s="2" t="s">
        <v>221</v>
      </c>
      <c r="D211" s="5">
        <v>1.7E8</v>
      </c>
      <c r="E211" s="4"/>
      <c r="F211" s="5" t="s">
        <v>3</v>
      </c>
      <c r="G211" s="4">
        <v>1.2627699457000005E8</v>
      </c>
      <c r="H211" s="4"/>
      <c r="I211" s="6" t="s">
        <v>43</v>
      </c>
    </row>
    <row r="212">
      <c r="A212" s="1">
        <v>46245.0</v>
      </c>
      <c r="B212" s="2" t="s">
        <v>17</v>
      </c>
      <c r="C212" s="2" t="s">
        <v>222</v>
      </c>
      <c r="D212" s="5">
        <v>1800000.0</v>
      </c>
      <c r="E212" s="4"/>
      <c r="F212" s="5" t="s">
        <v>3</v>
      </c>
      <c r="G212" s="4">
        <v>1.2447699457000005E8</v>
      </c>
      <c r="H212" s="4"/>
      <c r="I212" s="6" t="s">
        <v>43</v>
      </c>
    </row>
    <row r="213">
      <c r="A213" s="1">
        <v>46245.0</v>
      </c>
      <c r="B213" s="2" t="s">
        <v>17</v>
      </c>
      <c r="C213" s="2" t="s">
        <v>223</v>
      </c>
      <c r="D213" s="5">
        <v>6773160.0</v>
      </c>
      <c r="E213" s="4"/>
      <c r="F213" s="5" t="s">
        <v>3</v>
      </c>
      <c r="G213" s="4">
        <v>1.1770383457000005E8</v>
      </c>
      <c r="H213" s="4"/>
      <c r="I213" s="6" t="s">
        <v>43</v>
      </c>
    </row>
    <row r="214">
      <c r="A214" s="1">
        <v>46245.0</v>
      </c>
      <c r="B214" s="2" t="s">
        <v>17</v>
      </c>
      <c r="C214" s="2" t="s">
        <v>224</v>
      </c>
      <c r="D214" s="5">
        <v>8625880.0</v>
      </c>
      <c r="E214" s="4"/>
      <c r="F214" s="5" t="s">
        <v>3</v>
      </c>
      <c r="G214" s="4">
        <v>1.0907795457000005E8</v>
      </c>
      <c r="H214" s="5">
        <v>1.0907795457E8</v>
      </c>
      <c r="I214" s="6" t="s">
        <v>43</v>
      </c>
    </row>
    <row r="215">
      <c r="A215" s="1">
        <v>46245.0</v>
      </c>
      <c r="B215" s="2" t="s">
        <v>17</v>
      </c>
      <c r="C215" s="2" t="s">
        <v>225</v>
      </c>
      <c r="D215" s="5">
        <v>1411250.0</v>
      </c>
      <c r="E215" s="4"/>
      <c r="F215" s="5" t="s">
        <v>3</v>
      </c>
      <c r="G215" s="4">
        <v>1.0766670457000005E8</v>
      </c>
      <c r="H215" s="5">
        <v>1.0766670457E8</v>
      </c>
      <c r="I215" s="6"/>
    </row>
    <row r="216">
      <c r="A216" s="1">
        <v>46245.0</v>
      </c>
      <c r="B216" s="2" t="s">
        <v>17</v>
      </c>
      <c r="C216" s="2" t="s">
        <v>226</v>
      </c>
      <c r="D216" s="5">
        <v>1.64893E7</v>
      </c>
      <c r="E216" s="4"/>
      <c r="F216" s="5" t="s">
        <v>3</v>
      </c>
      <c r="G216" s="4">
        <v>9.117740457000005E7</v>
      </c>
      <c r="H216" s="4"/>
      <c r="I216" s="6"/>
    </row>
    <row r="217">
      <c r="A217" s="1">
        <v>46245.0</v>
      </c>
      <c r="B217" s="2" t="s">
        <v>14</v>
      </c>
      <c r="C217" s="2" t="s">
        <v>227</v>
      </c>
      <c r="D217" s="5"/>
      <c r="E217" s="5">
        <v>2.014413E8</v>
      </c>
      <c r="F217" s="5" t="s">
        <v>16</v>
      </c>
      <c r="G217" s="4">
        <v>2.9261870457000005E8</v>
      </c>
      <c r="H217" s="4"/>
      <c r="I217" s="6" t="s">
        <v>43</v>
      </c>
    </row>
    <row r="218">
      <c r="A218" s="1">
        <v>46245.0</v>
      </c>
      <c r="B218" s="2" t="s">
        <v>17</v>
      </c>
      <c r="C218" s="2" t="s">
        <v>228</v>
      </c>
      <c r="D218" s="5">
        <v>5.151474E7</v>
      </c>
      <c r="E218" s="4"/>
      <c r="F218" s="5" t="s">
        <v>3</v>
      </c>
      <c r="G218" s="4">
        <v>2.4110396457000005E8</v>
      </c>
      <c r="H218" s="4"/>
      <c r="I218" s="6" t="s">
        <v>43</v>
      </c>
    </row>
    <row r="219">
      <c r="A219" s="1">
        <v>46245.0</v>
      </c>
      <c r="B219" s="2" t="s">
        <v>17</v>
      </c>
      <c r="C219" s="2" t="s">
        <v>229</v>
      </c>
      <c r="D219" s="5">
        <v>1.224495E8</v>
      </c>
      <c r="E219" s="4"/>
      <c r="F219" s="5" t="s">
        <v>3</v>
      </c>
      <c r="G219" s="4">
        <v>1.1865446457000005E8</v>
      </c>
      <c r="H219" s="4"/>
      <c r="I219" s="6"/>
    </row>
    <row r="220">
      <c r="A220" s="1">
        <v>46245.0</v>
      </c>
      <c r="B220" s="2" t="s">
        <v>14</v>
      </c>
      <c r="C220" s="2" t="s">
        <v>230</v>
      </c>
      <c r="D220" s="5"/>
      <c r="E220" s="5">
        <v>6.579006E7</v>
      </c>
      <c r="F220" s="5" t="s">
        <v>16</v>
      </c>
      <c r="G220" s="4">
        <v>1.8444452457000005E8</v>
      </c>
      <c r="H220" s="4"/>
      <c r="I220" s="6" t="s">
        <v>43</v>
      </c>
    </row>
    <row r="221">
      <c r="A221" s="1">
        <v>46245.0</v>
      </c>
      <c r="B221" s="2" t="s">
        <v>14</v>
      </c>
      <c r="C221" s="2" t="s">
        <v>231</v>
      </c>
      <c r="D221" s="5"/>
      <c r="E221" s="5">
        <v>6.96E7</v>
      </c>
      <c r="F221" s="5" t="s">
        <v>16</v>
      </c>
      <c r="G221" s="4">
        <v>2.5404452457000005E8</v>
      </c>
      <c r="H221" s="4"/>
      <c r="I221" s="6"/>
    </row>
    <row r="222">
      <c r="A222" s="1">
        <v>46245.0</v>
      </c>
      <c r="B222" s="2" t="s">
        <v>14</v>
      </c>
      <c r="C222" s="2" t="s">
        <v>232</v>
      </c>
      <c r="D222" s="5"/>
      <c r="E222" s="5">
        <v>7.3881813E7</v>
      </c>
      <c r="F222" s="5" t="s">
        <v>16</v>
      </c>
      <c r="G222" s="4">
        <v>3.2792633757000005E8</v>
      </c>
      <c r="H222" s="4"/>
      <c r="I222" s="6" t="s">
        <v>43</v>
      </c>
    </row>
    <row r="223">
      <c r="A223" s="1">
        <v>46245.0</v>
      </c>
      <c r="B223" s="2" t="s">
        <v>17</v>
      </c>
      <c r="C223" s="2" t="s">
        <v>233</v>
      </c>
      <c r="D223" s="5">
        <v>3.0E7</v>
      </c>
      <c r="E223" s="4"/>
      <c r="F223" s="5" t="s">
        <v>3</v>
      </c>
      <c r="G223" s="4">
        <v>2.9792633757000005E8</v>
      </c>
      <c r="H223" s="4"/>
      <c r="I223" s="6"/>
    </row>
    <row r="224">
      <c r="A224" s="1">
        <v>46245.0</v>
      </c>
      <c r="B224" s="2" t="s">
        <v>17</v>
      </c>
      <c r="C224" s="2" t="s">
        <v>234</v>
      </c>
      <c r="D224" s="5">
        <v>6.665775E7</v>
      </c>
      <c r="E224" s="4"/>
      <c r="F224" s="5" t="s">
        <v>3</v>
      </c>
      <c r="G224" s="4">
        <v>2.3126858757000005E8</v>
      </c>
      <c r="H224" s="4"/>
      <c r="I224" s="6"/>
    </row>
    <row r="225">
      <c r="A225" s="1">
        <v>46245.0</v>
      </c>
      <c r="B225" s="2" t="s">
        <v>17</v>
      </c>
      <c r="C225" s="2" t="s">
        <v>235</v>
      </c>
      <c r="D225" s="5">
        <v>1.359782E8</v>
      </c>
      <c r="E225" s="4"/>
      <c r="F225" s="5" t="s">
        <v>3</v>
      </c>
      <c r="G225" s="4">
        <v>9.529038757000005E7</v>
      </c>
      <c r="H225" s="4"/>
      <c r="I225" s="6"/>
    </row>
    <row r="226">
      <c r="A226" s="1">
        <v>46245.0</v>
      </c>
      <c r="B226" s="2" t="s">
        <v>17</v>
      </c>
      <c r="C226" s="2" t="s">
        <v>236</v>
      </c>
      <c r="D226" s="5">
        <v>8.24E7</v>
      </c>
      <c r="E226" s="4"/>
      <c r="F226" s="5" t="s">
        <v>3</v>
      </c>
      <c r="G226" s="4">
        <v>1.2890387570000052E7</v>
      </c>
      <c r="H226" s="5">
        <v>1.289038757E7</v>
      </c>
      <c r="I226" s="6"/>
    </row>
    <row r="227">
      <c r="A227" s="1">
        <v>46245.0</v>
      </c>
      <c r="B227" s="2" t="s">
        <v>17</v>
      </c>
      <c r="C227" s="2" t="s">
        <v>237</v>
      </c>
      <c r="D227" s="5">
        <v>2616850.0</v>
      </c>
      <c r="E227" s="4"/>
      <c r="F227" s="5" t="s">
        <v>3</v>
      </c>
      <c r="G227" s="4">
        <v>1.0273537570000052E7</v>
      </c>
      <c r="H227" s="5">
        <v>1.027353757E7</v>
      </c>
      <c r="I227" s="6"/>
    </row>
    <row r="228">
      <c r="A228" s="1">
        <v>46245.0</v>
      </c>
      <c r="B228" s="2" t="s">
        <v>17</v>
      </c>
      <c r="C228" s="2" t="s">
        <v>238</v>
      </c>
      <c r="D228" s="5">
        <v>1.0E7</v>
      </c>
      <c r="E228" s="4"/>
      <c r="F228" s="5" t="s">
        <v>3</v>
      </c>
      <c r="G228" s="4">
        <v>273537.57000005245</v>
      </c>
      <c r="H228" s="4"/>
      <c r="I228" s="6"/>
    </row>
    <row r="229">
      <c r="A229" s="1">
        <v>46245.0</v>
      </c>
      <c r="B229" s="2" t="s">
        <v>239</v>
      </c>
      <c r="C229" s="2" t="s">
        <v>239</v>
      </c>
      <c r="D229" s="5">
        <v>200000.0</v>
      </c>
      <c r="E229" s="4"/>
      <c r="F229" s="4"/>
      <c r="G229" s="4">
        <v>73537.57000005245</v>
      </c>
      <c r="H229" s="5">
        <v>73537.57</v>
      </c>
      <c r="I229" s="6" t="s">
        <v>43</v>
      </c>
    </row>
    <row r="230">
      <c r="A230" s="1">
        <v>46246.0</v>
      </c>
      <c r="B230" s="2" t="s">
        <v>240</v>
      </c>
      <c r="C230" s="2" t="s">
        <v>241</v>
      </c>
      <c r="D230" s="5"/>
      <c r="E230" s="5">
        <v>9.0E7</v>
      </c>
      <c r="F230" s="5" t="s">
        <v>16</v>
      </c>
      <c r="G230" s="4">
        <v>9.007353757000005E7</v>
      </c>
      <c r="H230" s="4"/>
      <c r="I230" s="6" t="s">
        <v>43</v>
      </c>
    </row>
    <row r="231">
      <c r="A231" s="1">
        <v>46246.0</v>
      </c>
      <c r="B231" s="2" t="s">
        <v>17</v>
      </c>
      <c r="C231" s="2" t="s">
        <v>242</v>
      </c>
      <c r="D231" s="5">
        <v>6.58E7</v>
      </c>
      <c r="E231" s="4"/>
      <c r="F231" s="5" t="s">
        <v>3</v>
      </c>
      <c r="G231" s="4">
        <v>2.4273537570000052E7</v>
      </c>
      <c r="H231" s="4"/>
      <c r="I231" s="6" t="s">
        <v>43</v>
      </c>
    </row>
    <row r="232">
      <c r="A232" s="1">
        <v>46246.0</v>
      </c>
      <c r="B232" s="2" t="s">
        <v>17</v>
      </c>
      <c r="C232" s="2" t="s">
        <v>243</v>
      </c>
      <c r="D232" s="5">
        <v>1.0101E7</v>
      </c>
      <c r="E232" s="4"/>
      <c r="F232" s="5" t="s">
        <v>3</v>
      </c>
      <c r="G232" s="4">
        <v>1.4172537570000052E7</v>
      </c>
      <c r="H232" s="4"/>
      <c r="I232" s="6" t="s">
        <v>43</v>
      </c>
    </row>
    <row r="233">
      <c r="A233" s="1">
        <v>46246.0</v>
      </c>
      <c r="B233" s="2" t="s">
        <v>17</v>
      </c>
      <c r="C233" s="2" t="s">
        <v>244</v>
      </c>
      <c r="D233" s="5">
        <v>1800000.0</v>
      </c>
      <c r="E233" s="4"/>
      <c r="F233" s="5" t="s">
        <v>3</v>
      </c>
      <c r="G233" s="4">
        <v>1.2372537570000052E7</v>
      </c>
      <c r="H233" s="4"/>
      <c r="I233" s="6" t="s">
        <v>43</v>
      </c>
    </row>
    <row r="234">
      <c r="A234" s="1">
        <v>46246.0</v>
      </c>
      <c r="B234" s="2" t="s">
        <v>14</v>
      </c>
      <c r="C234" s="2" t="s">
        <v>245</v>
      </c>
      <c r="D234" s="5"/>
      <c r="E234" s="5">
        <v>5.22141837E8</v>
      </c>
      <c r="F234" s="5" t="s">
        <v>16</v>
      </c>
      <c r="G234" s="4">
        <v>5.3451437457000005E8</v>
      </c>
      <c r="H234" s="4"/>
      <c r="I234" s="6" t="s">
        <v>43</v>
      </c>
    </row>
    <row r="235">
      <c r="A235" s="1">
        <v>46246.0</v>
      </c>
      <c r="B235" s="2" t="s">
        <v>17</v>
      </c>
      <c r="C235" s="2" t="s">
        <v>246</v>
      </c>
      <c r="D235" s="5">
        <v>2.144329E8</v>
      </c>
      <c r="E235" s="4"/>
      <c r="F235" s="5" t="s">
        <v>3</v>
      </c>
      <c r="G235" s="4">
        <v>3.2008147457000005E8</v>
      </c>
      <c r="H235" s="4"/>
      <c r="I235" s="6" t="s">
        <v>43</v>
      </c>
    </row>
    <row r="236">
      <c r="A236" s="1">
        <v>46246.0</v>
      </c>
      <c r="B236" s="2" t="s">
        <v>17</v>
      </c>
      <c r="C236" s="2" t="s">
        <v>247</v>
      </c>
      <c r="D236" s="5">
        <v>1.645E8</v>
      </c>
      <c r="E236" s="4"/>
      <c r="F236" s="5" t="s">
        <v>3</v>
      </c>
      <c r="G236" s="4">
        <v>1.5558147457000005E8</v>
      </c>
      <c r="H236" s="4"/>
      <c r="I236" s="6"/>
    </row>
    <row r="237">
      <c r="A237" s="1">
        <v>46246.0</v>
      </c>
      <c r="B237" s="2" t="s">
        <v>17</v>
      </c>
      <c r="C237" s="2" t="s">
        <v>248</v>
      </c>
      <c r="D237" s="5">
        <v>1.20608E8</v>
      </c>
      <c r="E237" s="4"/>
      <c r="F237" s="5" t="s">
        <v>3</v>
      </c>
      <c r="G237" s="4">
        <v>3.497347457000005E7</v>
      </c>
      <c r="H237" s="4"/>
      <c r="I237" s="6"/>
    </row>
    <row r="238">
      <c r="A238" s="1">
        <v>46246.0</v>
      </c>
      <c r="B238" s="2" t="s">
        <v>14</v>
      </c>
      <c r="C238" s="2" t="s">
        <v>249</v>
      </c>
      <c r="D238" s="5"/>
      <c r="E238" s="5">
        <v>5.74074E7</v>
      </c>
      <c r="F238" s="5" t="s">
        <v>16</v>
      </c>
      <c r="G238" s="4">
        <v>9.238087457000005E7</v>
      </c>
      <c r="H238" s="4"/>
      <c r="I238" s="6"/>
    </row>
    <row r="239">
      <c r="A239" s="1">
        <v>46246.0</v>
      </c>
      <c r="B239" s="2" t="s">
        <v>14</v>
      </c>
      <c r="C239" s="2" t="s">
        <v>250</v>
      </c>
      <c r="D239" s="5"/>
      <c r="E239" s="5">
        <v>2.1431683E8</v>
      </c>
      <c r="F239" s="5" t="s">
        <v>16</v>
      </c>
      <c r="G239" s="4">
        <v>3.0669770457000005E8</v>
      </c>
      <c r="H239" s="5">
        <v>3.0669770457E8</v>
      </c>
      <c r="I239" s="6"/>
    </row>
    <row r="240">
      <c r="A240" s="1">
        <v>46246.0</v>
      </c>
      <c r="B240" s="2" t="s">
        <v>14</v>
      </c>
      <c r="C240" s="2" t="s">
        <v>251</v>
      </c>
      <c r="D240" s="5"/>
      <c r="E240" s="5">
        <v>7.5E7</v>
      </c>
      <c r="F240" s="5" t="s">
        <v>16</v>
      </c>
      <c r="G240" s="4">
        <v>3.8169770457000005E8</v>
      </c>
      <c r="H240" s="5">
        <v>3.8169770457E8</v>
      </c>
      <c r="I240" s="6" t="s">
        <v>11</v>
      </c>
    </row>
    <row r="241">
      <c r="A241" s="1">
        <v>46246.0</v>
      </c>
      <c r="B241" s="2" t="s">
        <v>17</v>
      </c>
      <c r="C241" s="2" t="s">
        <v>252</v>
      </c>
      <c r="D241" s="5">
        <v>1083720.0</v>
      </c>
      <c r="E241" s="4"/>
      <c r="F241" s="5" t="s">
        <v>3</v>
      </c>
      <c r="G241" s="4">
        <v>3.8061398457000005E8</v>
      </c>
      <c r="H241" s="4"/>
      <c r="I241" s="6"/>
    </row>
    <row r="242">
      <c r="A242" s="1">
        <v>46246.0</v>
      </c>
      <c r="B242" s="2" t="s">
        <v>17</v>
      </c>
      <c r="C242" s="2" t="s">
        <v>253</v>
      </c>
      <c r="D242" s="5">
        <v>4839045.0</v>
      </c>
      <c r="E242" s="4"/>
      <c r="F242" s="5" t="s">
        <v>3</v>
      </c>
      <c r="G242" s="4">
        <v>3.7577493957000005E8</v>
      </c>
      <c r="H242" s="4"/>
      <c r="I242" s="6"/>
    </row>
    <row r="243">
      <c r="A243" s="1">
        <v>46246.0</v>
      </c>
      <c r="B243" s="2" t="s">
        <v>17</v>
      </c>
      <c r="C243" s="2" t="s">
        <v>254</v>
      </c>
      <c r="D243" s="5">
        <v>6731605.0</v>
      </c>
      <c r="E243" s="4"/>
      <c r="F243" s="5" t="s">
        <v>3</v>
      </c>
      <c r="G243" s="4">
        <v>3.6904333457000005E8</v>
      </c>
      <c r="H243" s="4"/>
      <c r="I243" s="6"/>
    </row>
    <row r="244">
      <c r="A244" s="1">
        <v>46246.0</v>
      </c>
      <c r="B244" s="2" t="s">
        <v>17</v>
      </c>
      <c r="C244" s="2" t="s">
        <v>255</v>
      </c>
      <c r="D244" s="5">
        <v>1.60187E7</v>
      </c>
      <c r="E244" s="4"/>
      <c r="F244" s="5" t="s">
        <v>3</v>
      </c>
      <c r="G244" s="4">
        <v>3.5302463457000005E8</v>
      </c>
      <c r="H244" s="4"/>
      <c r="I244" s="6" t="s">
        <v>43</v>
      </c>
    </row>
    <row r="245">
      <c r="A245" s="1">
        <v>46246.0</v>
      </c>
      <c r="B245" s="2" t="s">
        <v>17</v>
      </c>
      <c r="C245" s="2" t="s">
        <v>256</v>
      </c>
      <c r="D245" s="5">
        <v>3205065.0</v>
      </c>
      <c r="E245" s="4"/>
      <c r="F245" s="5" t="s">
        <v>3</v>
      </c>
      <c r="G245" s="4">
        <v>3.4981956957000005E8</v>
      </c>
      <c r="H245" s="4"/>
      <c r="I245" s="6"/>
    </row>
    <row r="246">
      <c r="A246" s="1">
        <v>46246.0</v>
      </c>
      <c r="B246" s="2" t="s">
        <v>17</v>
      </c>
      <c r="C246" s="2" t="s">
        <v>257</v>
      </c>
      <c r="D246" s="5">
        <v>4283175.0</v>
      </c>
      <c r="E246" s="4"/>
      <c r="F246" s="5" t="s">
        <v>3</v>
      </c>
      <c r="G246" s="4">
        <v>3.4553639457000005E8</v>
      </c>
      <c r="H246" s="4"/>
      <c r="I246" s="6"/>
    </row>
    <row r="247">
      <c r="A247" s="1">
        <v>46246.0</v>
      </c>
      <c r="B247" s="2" t="s">
        <v>17</v>
      </c>
      <c r="C247" s="2" t="s">
        <v>258</v>
      </c>
      <c r="D247" s="5">
        <v>4.6E7</v>
      </c>
      <c r="E247" s="4"/>
      <c r="F247" s="5" t="s">
        <v>3</v>
      </c>
      <c r="G247" s="4">
        <v>2.9953639457000005E8</v>
      </c>
      <c r="H247" s="4"/>
      <c r="I247" s="6"/>
    </row>
    <row r="248">
      <c r="A248" s="1">
        <v>46246.0</v>
      </c>
      <c r="B248" s="2" t="s">
        <v>17</v>
      </c>
      <c r="C248" s="2" t="s">
        <v>259</v>
      </c>
      <c r="D248" s="5">
        <v>7.12567E7</v>
      </c>
      <c r="E248" s="4"/>
      <c r="F248" s="5" t="s">
        <v>3</v>
      </c>
      <c r="G248" s="4">
        <v>2.2827969457000005E8</v>
      </c>
      <c r="H248" s="4"/>
      <c r="I248" s="6"/>
    </row>
    <row r="249">
      <c r="A249" s="1">
        <v>46246.0</v>
      </c>
      <c r="B249" s="2" t="s">
        <v>17</v>
      </c>
      <c r="C249" s="2" t="s">
        <v>260</v>
      </c>
      <c r="D249" s="5">
        <v>1.35228E8</v>
      </c>
      <c r="E249" s="4"/>
      <c r="F249" s="5" t="s">
        <v>3</v>
      </c>
      <c r="G249" s="4">
        <v>9.305169457000005E7</v>
      </c>
      <c r="H249" s="4"/>
      <c r="I249" s="6"/>
    </row>
    <row r="250">
      <c r="A250" s="1">
        <v>46246.0</v>
      </c>
      <c r="B250" s="2" t="s">
        <v>17</v>
      </c>
      <c r="C250" s="2" t="s">
        <v>261</v>
      </c>
      <c r="D250" s="5">
        <v>1700000.0</v>
      </c>
      <c r="E250" s="4"/>
      <c r="F250" s="5" t="s">
        <v>3</v>
      </c>
      <c r="G250" s="4">
        <v>9.135169457000005E7</v>
      </c>
      <c r="H250" s="4"/>
      <c r="I250" s="6"/>
    </row>
    <row r="251">
      <c r="A251" s="1">
        <v>46246.0</v>
      </c>
      <c r="B251" s="2" t="s">
        <v>17</v>
      </c>
      <c r="C251" s="2" t="s">
        <v>262</v>
      </c>
      <c r="D251" s="5">
        <v>3103770.0</v>
      </c>
      <c r="E251" s="4"/>
      <c r="F251" s="5" t="s">
        <v>3</v>
      </c>
      <c r="G251" s="4">
        <v>8.824792457000005E7</v>
      </c>
      <c r="H251" s="5">
        <v>8.824792457E7</v>
      </c>
      <c r="I251" s="6"/>
    </row>
    <row r="252">
      <c r="A252" s="1">
        <v>46247.0</v>
      </c>
      <c r="B252" s="2" t="s">
        <v>14</v>
      </c>
      <c r="C252" s="2" t="s">
        <v>263</v>
      </c>
      <c r="D252" s="5"/>
      <c r="E252" s="5">
        <v>3.8495866E8</v>
      </c>
      <c r="F252" s="5" t="s">
        <v>16</v>
      </c>
      <c r="G252" s="4">
        <v>4.7320658457000005E8</v>
      </c>
      <c r="H252" s="4"/>
      <c r="I252" s="6"/>
    </row>
    <row r="253">
      <c r="A253" s="1">
        <v>46247.0</v>
      </c>
      <c r="B253" s="2" t="s">
        <v>17</v>
      </c>
      <c r="C253" s="2" t="s">
        <v>264</v>
      </c>
      <c r="D253" s="5">
        <v>1.3328025E8</v>
      </c>
      <c r="E253" s="4"/>
      <c r="F253" s="5" t="s">
        <v>3</v>
      </c>
      <c r="G253" s="4">
        <v>3.3992633457000005E8</v>
      </c>
      <c r="H253" s="4"/>
      <c r="I253" s="6"/>
    </row>
    <row r="254">
      <c r="A254" s="1">
        <v>46247.0</v>
      </c>
      <c r="B254" s="2" t="s">
        <v>17</v>
      </c>
      <c r="C254" s="2" t="s">
        <v>265</v>
      </c>
      <c r="D254" s="5">
        <v>7.4781E7</v>
      </c>
      <c r="E254" s="4"/>
      <c r="F254" s="5" t="s">
        <v>3</v>
      </c>
      <c r="G254" s="4">
        <v>2.6514533457000005E8</v>
      </c>
      <c r="H254" s="5">
        <v>2.6514533457E8</v>
      </c>
      <c r="I254" s="6"/>
    </row>
    <row r="255">
      <c r="A255" s="1">
        <v>46247.0</v>
      </c>
      <c r="B255" s="2" t="s">
        <v>17</v>
      </c>
      <c r="C255" s="2" t="s">
        <v>266</v>
      </c>
      <c r="D255" s="5">
        <v>5400000.0</v>
      </c>
      <c r="E255" s="4"/>
      <c r="F255" s="5" t="s">
        <v>3</v>
      </c>
      <c r="G255" s="4">
        <v>2.5974533457000005E8</v>
      </c>
      <c r="H255" s="5">
        <v>2.5974533457E8</v>
      </c>
      <c r="I255" s="6"/>
    </row>
    <row r="256">
      <c r="A256" s="1">
        <v>46247.0</v>
      </c>
      <c r="B256" s="2" t="s">
        <v>17</v>
      </c>
      <c r="C256" s="2" t="s">
        <v>267</v>
      </c>
      <c r="D256" s="5">
        <v>8.51E7</v>
      </c>
      <c r="E256" s="4"/>
      <c r="F256" s="5" t="s">
        <v>3</v>
      </c>
      <c r="G256" s="4">
        <v>1.7464533457000005E8</v>
      </c>
      <c r="H256" s="4"/>
      <c r="I256" s="6"/>
    </row>
    <row r="257">
      <c r="A257" s="1">
        <v>46247.0</v>
      </c>
      <c r="B257" s="2" t="s">
        <v>17</v>
      </c>
      <c r="C257" s="2" t="s">
        <v>268</v>
      </c>
      <c r="D257" s="5">
        <v>7.0E7</v>
      </c>
      <c r="E257" s="4"/>
      <c r="F257" s="5" t="s">
        <v>3</v>
      </c>
      <c r="G257" s="4">
        <v>1.0464533457000005E8</v>
      </c>
      <c r="H257" s="4"/>
      <c r="I257" s="6"/>
    </row>
    <row r="258">
      <c r="A258" s="1">
        <v>46247.0</v>
      </c>
      <c r="B258" s="2" t="s">
        <v>17</v>
      </c>
      <c r="C258" s="2" t="s">
        <v>269</v>
      </c>
      <c r="D258" s="5">
        <v>7.779675E7</v>
      </c>
      <c r="E258" s="4"/>
      <c r="F258" s="5" t="s">
        <v>3</v>
      </c>
      <c r="G258" s="4">
        <v>2.6848584570000052E7</v>
      </c>
      <c r="H258" s="4"/>
      <c r="I258" s="6"/>
    </row>
    <row r="259">
      <c r="A259" s="1">
        <v>46247.0</v>
      </c>
      <c r="B259" s="2" t="s">
        <v>17</v>
      </c>
      <c r="C259" s="2" t="s">
        <v>270</v>
      </c>
      <c r="D259" s="5">
        <v>102000.0</v>
      </c>
      <c r="E259" s="4"/>
      <c r="F259" s="5" t="s">
        <v>3</v>
      </c>
      <c r="G259" s="4">
        <v>2.6746584570000052E7</v>
      </c>
      <c r="H259" s="4"/>
      <c r="I259" s="6"/>
    </row>
    <row r="260">
      <c r="A260" s="1">
        <v>46247.0</v>
      </c>
      <c r="B260" s="2" t="s">
        <v>27</v>
      </c>
      <c r="C260" s="2" t="s">
        <v>271</v>
      </c>
      <c r="D260" s="5">
        <v>276100.0</v>
      </c>
      <c r="E260" s="4"/>
      <c r="F260" s="4"/>
      <c r="G260" s="4">
        <v>2.6470484570000052E7</v>
      </c>
      <c r="H260" s="4"/>
      <c r="I260" s="6"/>
    </row>
    <row r="261">
      <c r="A261" s="1">
        <v>46247.0</v>
      </c>
      <c r="B261" s="2" t="s">
        <v>14</v>
      </c>
      <c r="C261" s="2" t="s">
        <v>272</v>
      </c>
      <c r="D261" s="5"/>
      <c r="E261" s="5">
        <v>100000.0</v>
      </c>
      <c r="F261" s="5" t="s">
        <v>16</v>
      </c>
      <c r="G261" s="4">
        <v>2.6570484570000052E7</v>
      </c>
      <c r="H261" s="4"/>
      <c r="I261" s="6" t="s">
        <v>8</v>
      </c>
    </row>
    <row r="262">
      <c r="A262" s="1">
        <v>46247.0</v>
      </c>
      <c r="B262" s="2" t="s">
        <v>14</v>
      </c>
      <c r="C262" s="2" t="s">
        <v>273</v>
      </c>
      <c r="D262" s="5"/>
      <c r="E262" s="5">
        <v>7.325915E7</v>
      </c>
      <c r="F262" s="5" t="s">
        <v>16</v>
      </c>
      <c r="G262" s="4">
        <v>9.982963457000005E7</v>
      </c>
      <c r="H262" s="4"/>
      <c r="I262" s="6" t="s">
        <v>8</v>
      </c>
    </row>
    <row r="263">
      <c r="A263" s="1">
        <v>46247.0</v>
      </c>
      <c r="B263" s="2" t="s">
        <v>17</v>
      </c>
      <c r="C263" s="2" t="s">
        <v>274</v>
      </c>
      <c r="D263" s="5">
        <v>1800000.0</v>
      </c>
      <c r="E263" s="4"/>
      <c r="F263" s="5" t="s">
        <v>3</v>
      </c>
      <c r="G263" s="4">
        <v>9.802963457000005E7</v>
      </c>
      <c r="H263" s="5">
        <v>9.802963457E7</v>
      </c>
      <c r="I263" s="6" t="s">
        <v>8</v>
      </c>
    </row>
    <row r="264">
      <c r="A264" s="1">
        <v>46248.0</v>
      </c>
      <c r="B264" s="2" t="s">
        <v>92</v>
      </c>
      <c r="C264" s="2" t="s">
        <v>275</v>
      </c>
      <c r="D264" s="5">
        <v>27000.0</v>
      </c>
      <c r="E264" s="4"/>
      <c r="F264" s="4"/>
      <c r="G264" s="4">
        <v>9.800263457000005E7</v>
      </c>
      <c r="H264" s="4"/>
      <c r="I264" s="6" t="s">
        <v>8</v>
      </c>
    </row>
    <row r="265">
      <c r="A265" s="1">
        <v>46248.0</v>
      </c>
      <c r="B265" s="2" t="s">
        <v>17</v>
      </c>
      <c r="C265" s="2" t="s">
        <v>276</v>
      </c>
      <c r="D265" s="5">
        <v>6.9023E7</v>
      </c>
      <c r="E265" s="4"/>
      <c r="F265" s="5" t="s">
        <v>3</v>
      </c>
      <c r="G265" s="4">
        <v>2.8979634570000052E7</v>
      </c>
      <c r="H265" s="4"/>
      <c r="I265" s="6" t="s">
        <v>8</v>
      </c>
    </row>
    <row r="266">
      <c r="A266" s="1">
        <v>46248.0</v>
      </c>
      <c r="B266" s="2" t="s">
        <v>14</v>
      </c>
      <c r="C266" s="2" t="s">
        <v>277</v>
      </c>
      <c r="D266" s="5"/>
      <c r="E266" s="5">
        <v>25000.0</v>
      </c>
      <c r="F266" s="5" t="s">
        <v>16</v>
      </c>
      <c r="G266" s="4">
        <v>2.9004634570000052E7</v>
      </c>
      <c r="H266" s="4"/>
      <c r="I266" s="6" t="s">
        <v>8</v>
      </c>
    </row>
    <row r="267">
      <c r="A267" s="1">
        <v>46248.0</v>
      </c>
      <c r="B267" s="2" t="s">
        <v>14</v>
      </c>
      <c r="C267" s="2" t="s">
        <v>278</v>
      </c>
      <c r="D267" s="5"/>
      <c r="E267" s="5">
        <v>1.39604557E8</v>
      </c>
      <c r="F267" s="5" t="s">
        <v>16</v>
      </c>
      <c r="G267" s="4">
        <v>1.6860919157000005E8</v>
      </c>
      <c r="H267" s="4"/>
      <c r="I267" s="6" t="s">
        <v>11</v>
      </c>
    </row>
    <row r="268">
      <c r="A268" s="1">
        <v>46248.0</v>
      </c>
      <c r="B268" s="2" t="s">
        <v>14</v>
      </c>
      <c r="C268" s="2" t="s">
        <v>279</v>
      </c>
      <c r="D268" s="5"/>
      <c r="E268" s="5">
        <v>4.42501475E8</v>
      </c>
      <c r="F268" s="5" t="s">
        <v>16</v>
      </c>
      <c r="G268" s="4">
        <v>6.1111066657E8</v>
      </c>
      <c r="H268" s="5">
        <v>6.1111066657E8</v>
      </c>
      <c r="I268" s="6" t="s">
        <v>8</v>
      </c>
    </row>
    <row r="269">
      <c r="A269" s="1">
        <v>46248.0</v>
      </c>
      <c r="B269" s="2" t="s">
        <v>17</v>
      </c>
      <c r="C269" s="2" t="s">
        <v>280</v>
      </c>
      <c r="D269" s="5">
        <v>1.1718968E8</v>
      </c>
      <c r="E269" s="4"/>
      <c r="F269" s="5" t="s">
        <v>3</v>
      </c>
      <c r="G269" s="4">
        <v>4.9392098657000005E8</v>
      </c>
      <c r="H269" s="5">
        <v>4.9392098657E8</v>
      </c>
      <c r="I269" s="6" t="s">
        <v>8</v>
      </c>
    </row>
    <row r="270">
      <c r="A270" s="1">
        <v>46248.0</v>
      </c>
      <c r="B270" s="2" t="s">
        <v>17</v>
      </c>
      <c r="C270" s="2" t="s">
        <v>281</v>
      </c>
      <c r="D270" s="5">
        <v>6.9849E7</v>
      </c>
      <c r="E270" s="4"/>
      <c r="F270" s="5" t="s">
        <v>3</v>
      </c>
      <c r="G270" s="4">
        <v>4.2407198657000005E8</v>
      </c>
      <c r="H270" s="4"/>
      <c r="I270" s="6" t="s">
        <v>8</v>
      </c>
    </row>
    <row r="271">
      <c r="A271" s="1">
        <v>46248.0</v>
      </c>
      <c r="B271" s="2" t="s">
        <v>17</v>
      </c>
      <c r="C271" s="2" t="s">
        <v>282</v>
      </c>
      <c r="D271" s="5">
        <v>1.6027196E8</v>
      </c>
      <c r="E271" s="4"/>
      <c r="F271" s="5" t="s">
        <v>3</v>
      </c>
      <c r="G271" s="4">
        <v>2.6380002657000005E8</v>
      </c>
      <c r="H271" s="4"/>
      <c r="I271" s="6" t="s">
        <v>8</v>
      </c>
    </row>
    <row r="272">
      <c r="A272" s="1">
        <v>46248.0</v>
      </c>
      <c r="B272" s="2" t="s">
        <v>14</v>
      </c>
      <c r="C272" s="2" t="s">
        <v>283</v>
      </c>
      <c r="D272" s="5"/>
      <c r="E272" s="5">
        <v>1.3227744E8</v>
      </c>
      <c r="F272" s="5" t="s">
        <v>16</v>
      </c>
      <c r="G272" s="4">
        <v>3.9607746657000005E8</v>
      </c>
      <c r="H272" s="4"/>
      <c r="I272" s="6" t="s">
        <v>8</v>
      </c>
    </row>
    <row r="273">
      <c r="A273" s="1">
        <v>46248.0</v>
      </c>
      <c r="B273" s="2" t="s">
        <v>14</v>
      </c>
      <c r="C273" s="2" t="s">
        <v>284</v>
      </c>
      <c r="D273" s="5"/>
      <c r="E273" s="5">
        <v>6.425008E7</v>
      </c>
      <c r="F273" s="5" t="s">
        <v>16</v>
      </c>
      <c r="G273" s="4">
        <v>4.6032754657000005E8</v>
      </c>
      <c r="H273" s="4"/>
      <c r="I273" s="6" t="s">
        <v>8</v>
      </c>
    </row>
    <row r="274">
      <c r="A274" s="1">
        <v>46248.0</v>
      </c>
      <c r="B274" s="2" t="s">
        <v>14</v>
      </c>
      <c r="C274" s="2" t="s">
        <v>285</v>
      </c>
      <c r="D274" s="5"/>
      <c r="E274" s="5">
        <v>2.84194633E8</v>
      </c>
      <c r="F274" s="5" t="s">
        <v>16</v>
      </c>
      <c r="G274" s="4">
        <v>7.4452217957E8</v>
      </c>
      <c r="H274" s="4"/>
      <c r="I274" s="6" t="s">
        <v>8</v>
      </c>
    </row>
    <row r="275">
      <c r="A275" s="1">
        <v>46248.0</v>
      </c>
      <c r="B275" s="2" t="s">
        <v>14</v>
      </c>
      <c r="C275" s="2" t="s">
        <v>286</v>
      </c>
      <c r="D275" s="5"/>
      <c r="E275" s="5">
        <v>1.0E8</v>
      </c>
      <c r="F275" s="5" t="s">
        <v>16</v>
      </c>
      <c r="G275" s="4">
        <v>8.4452217957E8</v>
      </c>
      <c r="H275" s="4"/>
      <c r="I275" s="6" t="s">
        <v>8</v>
      </c>
    </row>
    <row r="276">
      <c r="A276" s="1">
        <v>46248.0</v>
      </c>
      <c r="B276" s="2" t="s">
        <v>14</v>
      </c>
      <c r="C276" s="2" t="s">
        <v>287</v>
      </c>
      <c r="D276" s="5"/>
      <c r="E276" s="5">
        <v>1.9876161E8</v>
      </c>
      <c r="F276" s="5" t="s">
        <v>16</v>
      </c>
      <c r="G276" s="4">
        <v>1.04328378957E9</v>
      </c>
      <c r="H276" s="4"/>
      <c r="I276" s="6" t="s">
        <v>8</v>
      </c>
    </row>
    <row r="277">
      <c r="A277" s="1">
        <v>46248.0</v>
      </c>
      <c r="B277" s="2" t="s">
        <v>17</v>
      </c>
      <c r="C277" s="2" t="s">
        <v>288</v>
      </c>
      <c r="D277" s="5">
        <v>1500000.0</v>
      </c>
      <c r="E277" s="4"/>
      <c r="F277" s="5" t="s">
        <v>3</v>
      </c>
      <c r="G277" s="4">
        <v>1.04178378957E9</v>
      </c>
      <c r="H277" s="4"/>
      <c r="I277" s="6" t="s">
        <v>8</v>
      </c>
    </row>
    <row r="278">
      <c r="A278" s="1">
        <v>46248.0</v>
      </c>
      <c r="B278" s="2" t="s">
        <v>17</v>
      </c>
      <c r="C278" s="2" t="s">
        <v>289</v>
      </c>
      <c r="D278" s="5">
        <v>1300000.0</v>
      </c>
      <c r="E278" s="4"/>
      <c r="F278" s="5" t="s">
        <v>3</v>
      </c>
      <c r="G278" s="4">
        <v>1.04048378957E9</v>
      </c>
      <c r="H278" s="4"/>
      <c r="I278" s="6" t="s">
        <v>8</v>
      </c>
    </row>
    <row r="279">
      <c r="A279" s="1">
        <v>46248.0</v>
      </c>
      <c r="B279" s="2" t="s">
        <v>17</v>
      </c>
      <c r="C279" s="2" t="s">
        <v>290</v>
      </c>
      <c r="D279" s="5">
        <v>1350000.0</v>
      </c>
      <c r="E279" s="4"/>
      <c r="F279" s="5" t="s">
        <v>3</v>
      </c>
      <c r="G279" s="4">
        <v>1.03913378957E9</v>
      </c>
      <c r="H279" s="4"/>
      <c r="I279" s="6" t="s">
        <v>8</v>
      </c>
    </row>
    <row r="280">
      <c r="A280" s="1">
        <v>46248.0</v>
      </c>
      <c r="B280" s="2" t="s">
        <v>17</v>
      </c>
      <c r="C280" s="2" t="s">
        <v>291</v>
      </c>
      <c r="D280" s="5">
        <v>1.6420957E7</v>
      </c>
      <c r="E280" s="4"/>
      <c r="F280" s="5" t="s">
        <v>3</v>
      </c>
      <c r="G280" s="4">
        <v>1.02271283257E9</v>
      </c>
      <c r="H280" s="4"/>
      <c r="I280" s="6" t="s">
        <v>8</v>
      </c>
    </row>
    <row r="281">
      <c r="A281" s="1">
        <v>46248.0</v>
      </c>
      <c r="B281" s="2" t="s">
        <v>17</v>
      </c>
      <c r="C281" s="2" t="s">
        <v>292</v>
      </c>
      <c r="D281" s="5">
        <v>1831520.0</v>
      </c>
      <c r="E281" s="4"/>
      <c r="F281" s="5" t="s">
        <v>3</v>
      </c>
      <c r="G281" s="4">
        <v>1.02088131257E9</v>
      </c>
      <c r="H281" s="5">
        <v>1.02088131257E9</v>
      </c>
      <c r="I281" s="6" t="s">
        <v>8</v>
      </c>
    </row>
    <row r="282">
      <c r="A282" s="1">
        <v>46248.0</v>
      </c>
      <c r="B282" s="2" t="s">
        <v>17</v>
      </c>
      <c r="C282" s="2" t="s">
        <v>293</v>
      </c>
      <c r="D282" s="5">
        <v>3874340.0</v>
      </c>
      <c r="E282" s="4"/>
      <c r="F282" s="5" t="s">
        <v>3</v>
      </c>
      <c r="G282" s="4">
        <v>1.01700697257E9</v>
      </c>
      <c r="H282" s="5">
        <v>1.01700697257E9</v>
      </c>
      <c r="I282" s="6" t="s">
        <v>8</v>
      </c>
    </row>
    <row r="283">
      <c r="A283" s="1">
        <v>46249.0</v>
      </c>
      <c r="B283" s="2" t="s">
        <v>294</v>
      </c>
      <c r="C283" s="2" t="s">
        <v>295</v>
      </c>
      <c r="D283" s="5">
        <v>6.825175E7</v>
      </c>
      <c r="E283" s="4"/>
      <c r="F283" s="5" t="s">
        <v>3</v>
      </c>
      <c r="G283" s="4">
        <v>9.4875522257E8</v>
      </c>
      <c r="H283" s="4"/>
      <c r="I283" s="6" t="s">
        <v>8</v>
      </c>
    </row>
    <row r="284">
      <c r="A284" s="1">
        <v>46249.0</v>
      </c>
      <c r="B284" s="2" t="s">
        <v>294</v>
      </c>
      <c r="C284" s="2" t="s">
        <v>296</v>
      </c>
      <c r="D284" s="5">
        <v>6.3591E7</v>
      </c>
      <c r="E284" s="4"/>
      <c r="F284" s="5" t="s">
        <v>3</v>
      </c>
      <c r="G284" s="4">
        <v>8.8516422257E8</v>
      </c>
      <c r="H284" s="4"/>
      <c r="I284" s="6" t="s">
        <v>8</v>
      </c>
    </row>
    <row r="285">
      <c r="A285" s="1">
        <v>46249.0</v>
      </c>
      <c r="B285" s="2" t="s">
        <v>294</v>
      </c>
      <c r="C285" s="2" t="s">
        <v>297</v>
      </c>
      <c r="D285" s="5">
        <v>1.478716E8</v>
      </c>
      <c r="E285" s="4"/>
      <c r="F285" s="5" t="s">
        <v>3</v>
      </c>
      <c r="G285" s="4">
        <v>7.3729262257E8</v>
      </c>
      <c r="H285" s="4"/>
      <c r="I285" s="6" t="s">
        <v>8</v>
      </c>
    </row>
    <row r="286">
      <c r="A286" s="1">
        <v>46249.0</v>
      </c>
      <c r="B286" s="2" t="s">
        <v>294</v>
      </c>
      <c r="C286" s="2" t="s">
        <v>298</v>
      </c>
      <c r="D286" s="5">
        <v>1.8868E7</v>
      </c>
      <c r="E286" s="4"/>
      <c r="F286" s="5" t="s">
        <v>3</v>
      </c>
      <c r="G286" s="4">
        <v>7.1842462257E8</v>
      </c>
      <c r="H286" s="4"/>
      <c r="I286" s="6" t="s">
        <v>8</v>
      </c>
    </row>
    <row r="287">
      <c r="A287" s="1">
        <v>46249.0</v>
      </c>
      <c r="B287" s="2" t="s">
        <v>294</v>
      </c>
      <c r="C287" s="2" t="s">
        <v>299</v>
      </c>
      <c r="D287" s="5">
        <v>1.525E8</v>
      </c>
      <c r="E287" s="4"/>
      <c r="F287" s="5" t="s">
        <v>3</v>
      </c>
      <c r="G287" s="4">
        <v>5.6592462257E8</v>
      </c>
      <c r="H287" s="4"/>
      <c r="I287" s="6" t="s">
        <v>8</v>
      </c>
    </row>
    <row r="288">
      <c r="A288" s="1">
        <v>46249.0</v>
      </c>
      <c r="B288" s="2" t="s">
        <v>300</v>
      </c>
      <c r="C288" s="2" t="s">
        <v>301</v>
      </c>
      <c r="D288" s="5"/>
      <c r="E288" s="5">
        <v>1.94E7</v>
      </c>
      <c r="F288" s="5" t="s">
        <v>16</v>
      </c>
      <c r="G288" s="4">
        <v>5.8532462257E8</v>
      </c>
      <c r="H288" s="4"/>
      <c r="I288" s="6" t="s">
        <v>8</v>
      </c>
    </row>
    <row r="289">
      <c r="A289" s="1">
        <v>46249.0</v>
      </c>
      <c r="B289" s="2" t="s">
        <v>294</v>
      </c>
      <c r="C289" s="2" t="s">
        <v>302</v>
      </c>
      <c r="D289" s="5">
        <v>1600000.0</v>
      </c>
      <c r="E289" s="4"/>
      <c r="F289" s="5" t="s">
        <v>3</v>
      </c>
      <c r="G289" s="4">
        <v>5.8372462257E8</v>
      </c>
      <c r="H289" s="4"/>
      <c r="I289" s="6" t="s">
        <v>8</v>
      </c>
    </row>
    <row r="290">
      <c r="A290" s="1">
        <v>46249.0</v>
      </c>
      <c r="B290" s="2" t="s">
        <v>17</v>
      </c>
      <c r="C290" s="2" t="s">
        <v>303</v>
      </c>
      <c r="D290" s="5">
        <v>1.0E8</v>
      </c>
      <c r="E290" s="4"/>
      <c r="F290" s="5" t="s">
        <v>3</v>
      </c>
      <c r="G290" s="4">
        <v>4.8372462257000005E8</v>
      </c>
      <c r="H290" s="4"/>
      <c r="I290" s="6" t="s">
        <v>8</v>
      </c>
    </row>
    <row r="291">
      <c r="A291" s="1">
        <v>46249.0</v>
      </c>
      <c r="B291" s="2" t="s">
        <v>17</v>
      </c>
      <c r="C291" s="2" t="s">
        <v>304</v>
      </c>
      <c r="D291" s="5">
        <v>2.0391666E8</v>
      </c>
      <c r="E291" s="4"/>
      <c r="F291" s="5" t="s">
        <v>3</v>
      </c>
      <c r="G291" s="4">
        <v>2.7980796257000005E8</v>
      </c>
      <c r="H291" s="4"/>
      <c r="I291" s="6" t="s">
        <v>8</v>
      </c>
    </row>
    <row r="292">
      <c r="A292" s="1">
        <v>46249.0</v>
      </c>
      <c r="B292" s="2" t="s">
        <v>17</v>
      </c>
      <c r="C292" s="2" t="s">
        <v>305</v>
      </c>
      <c r="D292" s="5">
        <v>1.475565E8</v>
      </c>
      <c r="E292" s="4"/>
      <c r="F292" s="5" t="s">
        <v>3</v>
      </c>
      <c r="G292" s="4">
        <v>1.3225146257000005E8</v>
      </c>
      <c r="H292" s="4"/>
      <c r="I292" s="6" t="s">
        <v>8</v>
      </c>
    </row>
    <row r="293">
      <c r="A293" s="1">
        <v>46249.0</v>
      </c>
      <c r="B293" s="2" t="s">
        <v>17</v>
      </c>
      <c r="C293" s="2" t="s">
        <v>306</v>
      </c>
      <c r="D293" s="5">
        <v>7500000.0</v>
      </c>
      <c r="E293" s="4"/>
      <c r="F293" s="5" t="s">
        <v>3</v>
      </c>
      <c r="G293" s="4">
        <v>1.2475146257000005E8</v>
      </c>
      <c r="H293" s="4"/>
      <c r="I293" s="6" t="s">
        <v>8</v>
      </c>
    </row>
    <row r="294">
      <c r="A294" s="1">
        <v>46249.0</v>
      </c>
      <c r="B294" s="2" t="s">
        <v>14</v>
      </c>
      <c r="C294" s="2" t="s">
        <v>307</v>
      </c>
      <c r="D294" s="5"/>
      <c r="E294" s="5">
        <v>7.53498E7</v>
      </c>
      <c r="F294" s="5" t="s">
        <v>16</v>
      </c>
      <c r="G294" s="4">
        <v>2.0010126257000005E8</v>
      </c>
      <c r="H294" s="5">
        <v>2.0010126257E8</v>
      </c>
      <c r="I294" s="6" t="s">
        <v>8</v>
      </c>
    </row>
    <row r="295">
      <c r="A295" s="1">
        <v>46249.0</v>
      </c>
      <c r="B295" s="2" t="s">
        <v>14</v>
      </c>
      <c r="C295" s="2" t="s">
        <v>308</v>
      </c>
      <c r="D295" s="5"/>
      <c r="E295" s="5">
        <v>250000.0</v>
      </c>
      <c r="F295" s="5" t="s">
        <v>16</v>
      </c>
      <c r="G295" s="4">
        <v>2.0035126257000005E8</v>
      </c>
      <c r="H295" s="5">
        <v>2.0035126257E8</v>
      </c>
      <c r="I295" s="6" t="s">
        <v>8</v>
      </c>
    </row>
    <row r="296">
      <c r="A296" s="1">
        <v>46249.0</v>
      </c>
      <c r="B296" s="2" t="s">
        <v>17</v>
      </c>
      <c r="C296" s="2" t="s">
        <v>309</v>
      </c>
      <c r="D296" s="5">
        <v>7.162875E7</v>
      </c>
      <c r="E296" s="4"/>
      <c r="F296" s="5" t="s">
        <v>3</v>
      </c>
      <c r="G296" s="4">
        <v>1.2872251257000005E8</v>
      </c>
      <c r="H296" s="4"/>
      <c r="I296" s="6" t="s">
        <v>8</v>
      </c>
    </row>
    <row r="297">
      <c r="A297" s="1">
        <v>46249.0</v>
      </c>
      <c r="B297" s="2" t="s">
        <v>14</v>
      </c>
      <c r="C297" s="2" t="s">
        <v>310</v>
      </c>
      <c r="D297" s="5"/>
      <c r="E297" s="5">
        <v>7.88336E7</v>
      </c>
      <c r="F297" s="5" t="s">
        <v>16</v>
      </c>
      <c r="G297" s="4">
        <v>2.0755611257000005E8</v>
      </c>
      <c r="H297" s="4"/>
      <c r="I297" s="6" t="s">
        <v>8</v>
      </c>
    </row>
    <row r="298">
      <c r="A298" s="1">
        <v>46249.0</v>
      </c>
      <c r="B298" s="2" t="s">
        <v>14</v>
      </c>
      <c r="C298" s="2" t="s">
        <v>311</v>
      </c>
      <c r="D298" s="5"/>
      <c r="E298" s="5">
        <v>7.62666E7</v>
      </c>
      <c r="F298" s="5" t="s">
        <v>16</v>
      </c>
      <c r="G298" s="4">
        <v>2.8382271257000005E8</v>
      </c>
      <c r="H298" s="4"/>
      <c r="I298" s="6" t="s">
        <v>8</v>
      </c>
    </row>
    <row r="299">
      <c r="A299" s="1">
        <v>46249.0</v>
      </c>
      <c r="B299" s="2" t="s">
        <v>14</v>
      </c>
      <c r="C299" s="2" t="s">
        <v>312</v>
      </c>
      <c r="D299" s="5"/>
      <c r="E299" s="5">
        <v>6.91824E7</v>
      </c>
      <c r="F299" s="5" t="s">
        <v>16</v>
      </c>
      <c r="G299" s="4">
        <v>3.5300511257000005E8</v>
      </c>
      <c r="H299" s="4"/>
      <c r="I299" s="6" t="s">
        <v>8</v>
      </c>
    </row>
    <row r="300">
      <c r="A300" s="1">
        <v>46249.0</v>
      </c>
      <c r="B300" s="2" t="s">
        <v>14</v>
      </c>
      <c r="C300" s="2" t="s">
        <v>313</v>
      </c>
      <c r="D300" s="5"/>
      <c r="E300" s="5">
        <v>1.31558902E8</v>
      </c>
      <c r="F300" s="5" t="s">
        <v>16</v>
      </c>
      <c r="G300" s="4">
        <v>4.8456401457000005E8</v>
      </c>
      <c r="H300" s="4"/>
      <c r="I300" s="6" t="s">
        <v>8</v>
      </c>
    </row>
    <row r="301">
      <c r="A301" s="1">
        <v>46249.0</v>
      </c>
      <c r="B301" s="2" t="s">
        <v>17</v>
      </c>
      <c r="C301" s="2" t="s">
        <v>314</v>
      </c>
      <c r="D301" s="5">
        <v>1.140593E8</v>
      </c>
      <c r="E301" s="4"/>
      <c r="F301" s="5" t="s">
        <v>3</v>
      </c>
      <c r="G301" s="4">
        <v>3.7050471457000005E8</v>
      </c>
      <c r="H301" s="4"/>
      <c r="I301" s="6" t="s">
        <v>8</v>
      </c>
    </row>
    <row r="302">
      <c r="A302" s="1">
        <v>46249.0</v>
      </c>
      <c r="B302" s="2" t="s">
        <v>14</v>
      </c>
      <c r="C302" s="2" t="s">
        <v>315</v>
      </c>
      <c r="D302" s="5"/>
      <c r="E302" s="5">
        <v>4.0127528E8</v>
      </c>
      <c r="F302" s="5" t="s">
        <v>16</v>
      </c>
      <c r="G302" s="4">
        <v>7.7177999457E8</v>
      </c>
      <c r="H302" s="4"/>
      <c r="I302" s="6" t="s">
        <v>8</v>
      </c>
    </row>
    <row r="303">
      <c r="A303" s="1">
        <v>46249.0</v>
      </c>
      <c r="B303" s="2" t="s">
        <v>17</v>
      </c>
      <c r="C303" s="2" t="s">
        <v>316</v>
      </c>
      <c r="D303" s="5">
        <v>2972500.0</v>
      </c>
      <c r="E303" s="4"/>
      <c r="F303" s="5" t="s">
        <v>3</v>
      </c>
      <c r="G303" s="4">
        <v>7.6880749457E8</v>
      </c>
      <c r="H303" s="4"/>
      <c r="I303" s="6" t="s">
        <v>8</v>
      </c>
    </row>
    <row r="304">
      <c r="A304" s="1">
        <v>46249.0</v>
      </c>
      <c r="B304" s="2" t="s">
        <v>17</v>
      </c>
      <c r="C304" s="2" t="s">
        <v>317</v>
      </c>
      <c r="D304" s="5">
        <v>1.9952075E8</v>
      </c>
      <c r="E304" s="4"/>
      <c r="F304" s="5" t="s">
        <v>3</v>
      </c>
      <c r="G304" s="4">
        <v>5.6928674457E8</v>
      </c>
      <c r="H304" s="4"/>
      <c r="I304" s="6" t="s">
        <v>8</v>
      </c>
    </row>
    <row r="305">
      <c r="A305" s="1">
        <v>46249.0</v>
      </c>
      <c r="B305" s="2" t="s">
        <v>17</v>
      </c>
      <c r="C305" s="2" t="s">
        <v>318</v>
      </c>
      <c r="D305" s="5">
        <v>1.0E8</v>
      </c>
      <c r="E305" s="4"/>
      <c r="F305" s="5" t="s">
        <v>3</v>
      </c>
      <c r="G305" s="4">
        <v>4.6928674457000005E8</v>
      </c>
      <c r="H305" s="4"/>
      <c r="I305" s="6" t="s">
        <v>8</v>
      </c>
    </row>
    <row r="306">
      <c r="A306" s="1">
        <v>46249.0</v>
      </c>
      <c r="B306" s="2" t="s">
        <v>17</v>
      </c>
      <c r="C306" s="2" t="s">
        <v>319</v>
      </c>
      <c r="D306" s="5">
        <v>8.4042E7</v>
      </c>
      <c r="E306" s="4"/>
      <c r="F306" s="5" t="s">
        <v>3</v>
      </c>
      <c r="G306" s="4">
        <v>3.8524474457000005E8</v>
      </c>
      <c r="H306" s="5">
        <v>3.8524474457E8</v>
      </c>
      <c r="I306" s="6" t="s">
        <v>8</v>
      </c>
    </row>
    <row r="307">
      <c r="A307" s="1">
        <v>46249.0</v>
      </c>
      <c r="B307" s="2" t="s">
        <v>14</v>
      </c>
      <c r="C307" s="2" t="s">
        <v>320</v>
      </c>
      <c r="D307" s="5"/>
      <c r="E307" s="5">
        <v>7.118415E7</v>
      </c>
      <c r="F307" s="5" t="s">
        <v>16</v>
      </c>
      <c r="G307" s="4">
        <v>4.5642889457000005E8</v>
      </c>
      <c r="H307" s="5">
        <v>4.5642889457E8</v>
      </c>
      <c r="I307" s="6" t="s">
        <v>8</v>
      </c>
    </row>
    <row r="308">
      <c r="A308" s="1">
        <v>46249.0</v>
      </c>
      <c r="B308" s="2" t="s">
        <v>17</v>
      </c>
      <c r="C308" s="2" t="s">
        <v>321</v>
      </c>
      <c r="D308" s="5">
        <v>4.1E7</v>
      </c>
      <c r="E308" s="4"/>
      <c r="F308" s="5" t="s">
        <v>3</v>
      </c>
      <c r="G308" s="4">
        <v>4.1542889457000005E8</v>
      </c>
      <c r="H308" s="4"/>
      <c r="I308" s="6" t="s">
        <v>8</v>
      </c>
    </row>
    <row r="309">
      <c r="A309" s="1">
        <v>46249.0</v>
      </c>
      <c r="B309" s="2" t="s">
        <v>17</v>
      </c>
      <c r="C309" s="2" t="s">
        <v>322</v>
      </c>
      <c r="D309" s="5">
        <v>7.25126E7</v>
      </c>
      <c r="E309" s="4"/>
      <c r="F309" s="5" t="s">
        <v>3</v>
      </c>
      <c r="G309" s="4">
        <v>3.4291629457000005E8</v>
      </c>
      <c r="H309" s="5">
        <v>3.4291629457E8</v>
      </c>
      <c r="I309" s="6" t="s">
        <v>8</v>
      </c>
    </row>
    <row r="310">
      <c r="A310" s="1">
        <v>46250.0</v>
      </c>
      <c r="B310" s="2" t="s">
        <v>323</v>
      </c>
      <c r="C310" s="2" t="s">
        <v>324</v>
      </c>
      <c r="D310" s="5"/>
      <c r="E310" s="5">
        <v>1.0E8</v>
      </c>
      <c r="F310" s="5" t="s">
        <v>16</v>
      </c>
      <c r="G310" s="4">
        <v>4.4291629457000005E8</v>
      </c>
      <c r="H310" s="4"/>
      <c r="I310" s="6" t="s">
        <v>8</v>
      </c>
    </row>
    <row r="311">
      <c r="A311" s="1">
        <v>46250.0</v>
      </c>
      <c r="B311" s="2" t="s">
        <v>17</v>
      </c>
      <c r="C311" s="2" t="s">
        <v>325</v>
      </c>
      <c r="D311" s="5">
        <v>1.0E8</v>
      </c>
      <c r="E311" s="4"/>
      <c r="F311" s="5" t="s">
        <v>3</v>
      </c>
      <c r="G311" s="4">
        <v>3.4291629457000005E8</v>
      </c>
      <c r="H311" s="4"/>
      <c r="I311" s="6" t="s">
        <v>8</v>
      </c>
    </row>
    <row r="312">
      <c r="A312" s="1">
        <v>46250.0</v>
      </c>
      <c r="B312" s="2" t="s">
        <v>17</v>
      </c>
      <c r="C312" s="2" t="s">
        <v>326</v>
      </c>
      <c r="D312" s="5">
        <v>2.0608E7</v>
      </c>
      <c r="E312" s="4"/>
      <c r="F312" s="5" t="s">
        <v>3</v>
      </c>
      <c r="G312" s="4">
        <v>3.2230829457000005E8</v>
      </c>
      <c r="H312" s="4"/>
      <c r="I312" s="6" t="s">
        <v>8</v>
      </c>
    </row>
    <row r="313">
      <c r="A313" s="1">
        <v>46250.0</v>
      </c>
      <c r="B313" s="2" t="s">
        <v>17</v>
      </c>
      <c r="C313" s="2" t="s">
        <v>327</v>
      </c>
      <c r="D313" s="5">
        <v>8.69814E7</v>
      </c>
      <c r="E313" s="4"/>
      <c r="F313" s="5" t="s">
        <v>3</v>
      </c>
      <c r="G313" s="4">
        <v>2.3532689457000005E8</v>
      </c>
      <c r="H313" s="4"/>
      <c r="I313" s="6" t="s">
        <v>8</v>
      </c>
    </row>
    <row r="314">
      <c r="A314" s="1">
        <v>46250.0</v>
      </c>
      <c r="B314" s="2" t="s">
        <v>17</v>
      </c>
      <c r="C314" s="2" t="s">
        <v>328</v>
      </c>
      <c r="D314" s="5">
        <v>7.083E7</v>
      </c>
      <c r="E314" s="4"/>
      <c r="F314" s="5" t="s">
        <v>3</v>
      </c>
      <c r="G314" s="4">
        <v>1.6449689457000005E8</v>
      </c>
      <c r="H314" s="4"/>
      <c r="I314" s="6" t="s">
        <v>8</v>
      </c>
    </row>
    <row r="315">
      <c r="A315" s="1">
        <v>46250.0</v>
      </c>
      <c r="B315" s="2" t="s">
        <v>17</v>
      </c>
      <c r="C315" s="2" t="s">
        <v>329</v>
      </c>
      <c r="D315" s="5">
        <v>7.657475E7</v>
      </c>
      <c r="E315" s="4"/>
      <c r="F315" s="5" t="s">
        <v>3</v>
      </c>
      <c r="G315" s="4">
        <v>8.792214457000005E7</v>
      </c>
      <c r="H315" s="4"/>
      <c r="I315" s="6" t="s">
        <v>8</v>
      </c>
    </row>
    <row r="316">
      <c r="A316" s="1">
        <v>46250.0</v>
      </c>
      <c r="B316" s="2" t="s">
        <v>17</v>
      </c>
      <c r="C316" s="2" t="s">
        <v>330</v>
      </c>
      <c r="D316" s="5">
        <v>7.87673E7</v>
      </c>
      <c r="E316" s="4"/>
      <c r="F316" s="5" t="s">
        <v>3</v>
      </c>
      <c r="G316" s="4">
        <v>9154844.570000052</v>
      </c>
      <c r="H316" s="4"/>
      <c r="I316" s="6" t="s">
        <v>8</v>
      </c>
    </row>
    <row r="317">
      <c r="A317" s="1">
        <v>46250.0</v>
      </c>
      <c r="B317" s="2" t="s">
        <v>17</v>
      </c>
      <c r="C317" s="2" t="s">
        <v>331</v>
      </c>
      <c r="D317" s="5">
        <v>1000000.0</v>
      </c>
      <c r="E317" s="4"/>
      <c r="F317" s="5" t="s">
        <v>3</v>
      </c>
      <c r="G317" s="4">
        <v>8154844.570000052</v>
      </c>
      <c r="H317" s="4"/>
      <c r="I317" s="6" t="s">
        <v>8</v>
      </c>
    </row>
    <row r="318">
      <c r="A318" s="1">
        <v>46250.0</v>
      </c>
      <c r="B318" s="2" t="s">
        <v>17</v>
      </c>
      <c r="C318" s="2" t="s">
        <v>332</v>
      </c>
      <c r="D318" s="5">
        <v>1000000.0</v>
      </c>
      <c r="E318" s="4"/>
      <c r="F318" s="5" t="s">
        <v>3</v>
      </c>
      <c r="G318" s="4">
        <v>7154844.570000052</v>
      </c>
      <c r="H318" s="4"/>
      <c r="I318" s="6" t="s">
        <v>8</v>
      </c>
    </row>
    <row r="319">
      <c r="A319" s="1">
        <v>46250.0</v>
      </c>
      <c r="B319" s="2" t="s">
        <v>17</v>
      </c>
      <c r="C319" s="2" t="s">
        <v>333</v>
      </c>
      <c r="D319" s="5">
        <v>1350000.0</v>
      </c>
      <c r="E319" s="4"/>
      <c r="F319" s="5" t="s">
        <v>3</v>
      </c>
      <c r="G319" s="4">
        <v>5804844.570000052</v>
      </c>
      <c r="H319" s="5">
        <v>5804844.57</v>
      </c>
      <c r="I319" s="6" t="s">
        <v>8</v>
      </c>
    </row>
    <row r="320">
      <c r="A320" s="1">
        <v>46250.0</v>
      </c>
      <c r="B320" s="2" t="s">
        <v>170</v>
      </c>
      <c r="C320" s="2" t="s">
        <v>334</v>
      </c>
      <c r="D320" s="5">
        <v>1500000.0</v>
      </c>
      <c r="E320" s="4"/>
      <c r="F320" s="5" t="s">
        <v>3</v>
      </c>
      <c r="G320" s="4">
        <v>4304844.570000052</v>
      </c>
      <c r="H320" s="5">
        <v>4304844.57</v>
      </c>
      <c r="I320" s="6" t="s">
        <v>8</v>
      </c>
    </row>
    <row r="321">
      <c r="A321" s="1">
        <v>46250.0</v>
      </c>
      <c r="B321" s="2" t="s">
        <v>170</v>
      </c>
      <c r="C321" s="2" t="s">
        <v>335</v>
      </c>
      <c r="D321" s="5">
        <v>2500.0</v>
      </c>
      <c r="E321" s="4"/>
      <c r="F321" s="5" t="s">
        <v>3</v>
      </c>
      <c r="G321" s="4">
        <v>4302344.570000052</v>
      </c>
      <c r="I321" s="6" t="s">
        <v>8</v>
      </c>
    </row>
    <row r="322">
      <c r="A322" s="1">
        <v>46250.0</v>
      </c>
      <c r="B322" s="2" t="s">
        <v>170</v>
      </c>
      <c r="C322" s="2" t="s">
        <v>336</v>
      </c>
      <c r="D322" s="5">
        <v>2641000.0</v>
      </c>
      <c r="E322" s="4"/>
      <c r="F322" s="5" t="s">
        <v>3</v>
      </c>
      <c r="G322" s="4">
        <v>1661344.5700000525</v>
      </c>
      <c r="I322" s="6" t="s">
        <v>8</v>
      </c>
    </row>
    <row r="323">
      <c r="A323" s="1">
        <v>46250.0</v>
      </c>
      <c r="B323" s="2" t="s">
        <v>170</v>
      </c>
      <c r="C323" s="2" t="s">
        <v>337</v>
      </c>
      <c r="D323" s="5">
        <v>2500.0</v>
      </c>
      <c r="E323" s="4"/>
      <c r="F323" s="5" t="s">
        <v>3</v>
      </c>
      <c r="G323" s="4">
        <v>1658844.5700000525</v>
      </c>
      <c r="I323" s="6" t="s">
        <v>8</v>
      </c>
    </row>
    <row r="324">
      <c r="A324" s="1">
        <v>46250.0</v>
      </c>
      <c r="B324" s="2" t="s">
        <v>14</v>
      </c>
      <c r="C324" s="2" t="s">
        <v>338</v>
      </c>
      <c r="D324" s="4"/>
      <c r="E324" s="5">
        <v>7.62563E7</v>
      </c>
      <c r="F324" s="5" t="s">
        <v>16</v>
      </c>
      <c r="G324" s="4">
        <v>7.791514457000005E7</v>
      </c>
      <c r="I324" s="6" t="s">
        <v>8</v>
      </c>
    </row>
    <row r="325">
      <c r="A325" s="1">
        <v>46250.0</v>
      </c>
      <c r="B325" s="2" t="s">
        <v>27</v>
      </c>
      <c r="C325" s="2" t="s">
        <v>150</v>
      </c>
      <c r="D325" s="5">
        <v>64000.0</v>
      </c>
      <c r="E325" s="4"/>
      <c r="F325" s="4"/>
      <c r="G325" s="4">
        <v>7.785114457000005E7</v>
      </c>
      <c r="I325" s="6" t="s">
        <v>8</v>
      </c>
    </row>
    <row r="326">
      <c r="A326" s="1">
        <v>46250.0</v>
      </c>
      <c r="B326" s="2" t="s">
        <v>92</v>
      </c>
      <c r="C326" s="2" t="s">
        <v>339</v>
      </c>
      <c r="D326" s="5">
        <v>27000.0</v>
      </c>
      <c r="E326" s="4"/>
      <c r="F326" s="4"/>
      <c r="G326" s="4">
        <v>7.782414457000005E7</v>
      </c>
      <c r="I326" s="6" t="s">
        <v>8</v>
      </c>
    </row>
    <row r="327">
      <c r="A327" s="1">
        <v>46250.0</v>
      </c>
      <c r="B327" s="2" t="s">
        <v>340</v>
      </c>
      <c r="C327" s="2" t="s">
        <v>340</v>
      </c>
      <c r="D327" s="5">
        <v>200000.0</v>
      </c>
      <c r="E327" s="4"/>
      <c r="F327" s="4"/>
      <c r="G327" s="4">
        <v>7.762414457000005E7</v>
      </c>
      <c r="I327" s="6" t="s">
        <v>8</v>
      </c>
    </row>
    <row r="328">
      <c r="A328" s="1">
        <v>46250.0</v>
      </c>
      <c r="B328" s="2" t="s">
        <v>20</v>
      </c>
      <c r="C328" s="2" t="s">
        <v>341</v>
      </c>
      <c r="D328" s="4"/>
      <c r="E328" s="5">
        <v>2.92299E8</v>
      </c>
      <c r="F328" s="5" t="s">
        <v>16</v>
      </c>
      <c r="G328" s="4">
        <v>3.6992314457000005E8</v>
      </c>
      <c r="I328" s="6" t="s">
        <v>8</v>
      </c>
    </row>
    <row r="329">
      <c r="A329" s="1">
        <v>46250.0</v>
      </c>
      <c r="B329" s="2" t="s">
        <v>17</v>
      </c>
      <c r="C329" s="2" t="s">
        <v>342</v>
      </c>
      <c r="D329" s="5">
        <v>1.46411E8</v>
      </c>
      <c r="E329" s="4"/>
      <c r="F329" s="5" t="s">
        <v>3</v>
      </c>
      <c r="G329" s="4">
        <v>2.2351214457000005E8</v>
      </c>
      <c r="I329" s="6" t="s">
        <v>8</v>
      </c>
    </row>
    <row r="330">
      <c r="A330" s="1">
        <v>46250.0</v>
      </c>
      <c r="B330" s="2" t="s">
        <v>17</v>
      </c>
      <c r="C330" s="2" t="s">
        <v>343</v>
      </c>
      <c r="D330" s="5">
        <v>6.096E7</v>
      </c>
      <c r="E330" s="4"/>
      <c r="F330" s="5" t="s">
        <v>3</v>
      </c>
      <c r="G330" s="4">
        <v>1.6255214457000005E8</v>
      </c>
      <c r="I330" s="6" t="s">
        <v>8</v>
      </c>
    </row>
    <row r="331">
      <c r="A331" s="1">
        <v>46250.0</v>
      </c>
      <c r="B331" s="2" t="s">
        <v>17</v>
      </c>
      <c r="C331" s="2" t="s">
        <v>344</v>
      </c>
      <c r="D331" s="5">
        <v>8.87125E7</v>
      </c>
      <c r="E331" s="4"/>
      <c r="F331" s="5" t="s">
        <v>3</v>
      </c>
      <c r="G331" s="4">
        <v>7.383964457000005E7</v>
      </c>
      <c r="I331" s="6" t="s">
        <v>8</v>
      </c>
    </row>
    <row r="332">
      <c r="A332" s="1">
        <v>46250.0</v>
      </c>
      <c r="B332" s="2" t="s">
        <v>17</v>
      </c>
      <c r="C332" s="2" t="s">
        <v>345</v>
      </c>
      <c r="D332" s="5">
        <v>7.1346E7</v>
      </c>
      <c r="E332" s="4"/>
      <c r="F332" s="5" t="s">
        <v>3</v>
      </c>
      <c r="G332" s="4">
        <v>2493644.5700000525</v>
      </c>
      <c r="I332" s="6" t="s">
        <v>8</v>
      </c>
    </row>
    <row r="333">
      <c r="A333" s="1">
        <v>46250.0</v>
      </c>
      <c r="B333" s="2" t="s">
        <v>14</v>
      </c>
      <c r="C333" s="2" t="s">
        <v>346</v>
      </c>
      <c r="D333" s="5"/>
      <c r="E333" s="5">
        <v>7.186314E7</v>
      </c>
      <c r="F333" s="5" t="s">
        <v>16</v>
      </c>
      <c r="G333" s="4">
        <v>7.435678457000005E7</v>
      </c>
      <c r="H333" s="5">
        <v>7.435678457E7</v>
      </c>
      <c r="I333" s="6" t="s">
        <v>8</v>
      </c>
    </row>
    <row r="334">
      <c r="A334" s="1">
        <v>46250.0</v>
      </c>
      <c r="B334" s="2" t="s">
        <v>14</v>
      </c>
      <c r="C334" s="2" t="s">
        <v>347</v>
      </c>
      <c r="D334" s="5"/>
      <c r="E334" s="5">
        <v>7.140285E7</v>
      </c>
      <c r="F334" s="5" t="s">
        <v>16</v>
      </c>
      <c r="G334" s="4">
        <v>1.4575963457000005E8</v>
      </c>
      <c r="H334" s="5">
        <v>1.4575963457E8</v>
      </c>
      <c r="I334" s="6" t="s">
        <v>8</v>
      </c>
    </row>
    <row r="335">
      <c r="A335" s="1">
        <v>46250.0</v>
      </c>
      <c r="B335" s="2" t="s">
        <v>14</v>
      </c>
      <c r="C335" s="2" t="s">
        <v>348</v>
      </c>
      <c r="D335" s="5"/>
      <c r="E335" s="5">
        <v>1.6203927E8</v>
      </c>
      <c r="F335" s="5" t="s">
        <v>16</v>
      </c>
      <c r="G335" s="4">
        <v>3.0779890457000005E8</v>
      </c>
      <c r="H335" s="4"/>
      <c r="I335" s="6" t="s">
        <v>8</v>
      </c>
    </row>
    <row r="336">
      <c r="A336" s="1">
        <v>46250.0</v>
      </c>
      <c r="B336" s="2" t="s">
        <v>17</v>
      </c>
      <c r="C336" s="2" t="s">
        <v>349</v>
      </c>
      <c r="D336" s="5">
        <v>7.863983E7</v>
      </c>
      <c r="E336" s="4"/>
      <c r="F336" s="5" t="s">
        <v>3</v>
      </c>
      <c r="G336" s="4">
        <v>2.2915907457000005E8</v>
      </c>
      <c r="H336" s="4"/>
      <c r="I336" s="6" t="s">
        <v>8</v>
      </c>
    </row>
    <row r="337">
      <c r="A337" s="1">
        <v>46250.0</v>
      </c>
      <c r="B337" s="2" t="s">
        <v>14</v>
      </c>
      <c r="C337" s="2" t="s">
        <v>350</v>
      </c>
      <c r="D337" s="5"/>
      <c r="E337" s="5">
        <v>3.8E7</v>
      </c>
      <c r="F337" s="5" t="s">
        <v>16</v>
      </c>
      <c r="G337" s="4">
        <v>2.6715907457000005E8</v>
      </c>
      <c r="H337" s="4"/>
      <c r="I337" s="6" t="s">
        <v>8</v>
      </c>
    </row>
    <row r="338">
      <c r="A338" s="1">
        <v>46250.0</v>
      </c>
      <c r="B338" s="2" t="s">
        <v>14</v>
      </c>
      <c r="C338" s="2" t="s">
        <v>351</v>
      </c>
      <c r="D338" s="5"/>
      <c r="E338" s="5">
        <v>1.516878E8</v>
      </c>
      <c r="F338" s="5" t="s">
        <v>16</v>
      </c>
      <c r="G338" s="4">
        <v>4.1884687457000005E8</v>
      </c>
      <c r="H338" s="4"/>
      <c r="I338" s="6" t="s">
        <v>8</v>
      </c>
    </row>
    <row r="339">
      <c r="A339" s="1">
        <v>46250.0</v>
      </c>
      <c r="B339" s="2" t="s">
        <v>17</v>
      </c>
      <c r="C339" s="2" t="s">
        <v>352</v>
      </c>
      <c r="D339" s="5">
        <v>4.63289E7</v>
      </c>
      <c r="E339" s="4"/>
      <c r="F339" s="5" t="s">
        <v>3</v>
      </c>
      <c r="G339" s="4">
        <v>3.7251797457000005E8</v>
      </c>
      <c r="H339" s="4"/>
      <c r="I339" s="6" t="s">
        <v>8</v>
      </c>
    </row>
    <row r="340">
      <c r="A340" s="1">
        <v>46250.0</v>
      </c>
      <c r="B340" s="2" t="s">
        <v>14</v>
      </c>
      <c r="C340" s="2" t="s">
        <v>353</v>
      </c>
      <c r="D340" s="5"/>
      <c r="E340" s="5">
        <v>1.0E8</v>
      </c>
      <c r="F340" s="5" t="s">
        <v>16</v>
      </c>
      <c r="G340" s="4">
        <v>4.7251797457000005E8</v>
      </c>
      <c r="H340" s="4"/>
      <c r="I340" s="6" t="s">
        <v>8</v>
      </c>
    </row>
    <row r="341">
      <c r="A341" s="1">
        <v>46250.0</v>
      </c>
      <c r="B341" s="2" t="s">
        <v>14</v>
      </c>
      <c r="C341" s="2" t="s">
        <v>354</v>
      </c>
      <c r="D341" s="5"/>
      <c r="E341" s="5">
        <v>7.802418E7</v>
      </c>
      <c r="F341" s="5" t="s">
        <v>16</v>
      </c>
      <c r="G341" s="4">
        <v>5.5054215457E8</v>
      </c>
      <c r="H341" s="5">
        <v>5.5054215457E8</v>
      </c>
      <c r="I341" s="6" t="s">
        <v>8</v>
      </c>
    </row>
    <row r="342">
      <c r="A342" s="1">
        <v>46251.0</v>
      </c>
      <c r="B342" s="2" t="s">
        <v>14</v>
      </c>
      <c r="C342" s="2" t="s">
        <v>355</v>
      </c>
      <c r="D342" s="5"/>
      <c r="E342" s="5">
        <v>9620000.0</v>
      </c>
      <c r="F342" s="5" t="s">
        <v>16</v>
      </c>
      <c r="G342" s="4">
        <v>5.6016215457E8</v>
      </c>
      <c r="H342" s="4"/>
      <c r="I342" s="6" t="s">
        <v>8</v>
      </c>
    </row>
    <row r="343">
      <c r="A343" s="1">
        <v>46251.0</v>
      </c>
      <c r="B343" s="2" t="s">
        <v>17</v>
      </c>
      <c r="C343" s="2" t="s">
        <v>356</v>
      </c>
      <c r="D343" s="5">
        <v>6.56919E7</v>
      </c>
      <c r="E343" s="4"/>
      <c r="F343" s="5" t="s">
        <v>3</v>
      </c>
      <c r="G343" s="4">
        <v>4.9447025457000005E8</v>
      </c>
      <c r="H343" s="4"/>
      <c r="I343" s="6" t="s">
        <v>8</v>
      </c>
    </row>
    <row r="344">
      <c r="A344" s="1">
        <v>46251.0</v>
      </c>
      <c r="B344" s="2" t="s">
        <v>17</v>
      </c>
      <c r="C344" s="2" t="s">
        <v>357</v>
      </c>
      <c r="D344" s="5">
        <v>1.22E8</v>
      </c>
      <c r="E344" s="4"/>
      <c r="F344" s="5" t="s">
        <v>3</v>
      </c>
      <c r="G344" s="4">
        <v>3.7247025457000005E8</v>
      </c>
      <c r="H344" s="4"/>
      <c r="I344" s="6" t="s">
        <v>8</v>
      </c>
    </row>
    <row r="345">
      <c r="A345" s="1">
        <v>46251.0</v>
      </c>
      <c r="B345" s="2" t="s">
        <v>17</v>
      </c>
      <c r="C345" s="2" t="s">
        <v>358</v>
      </c>
      <c r="D345" s="5">
        <v>1.5104232E8</v>
      </c>
      <c r="E345" s="4"/>
      <c r="F345" s="5" t="s">
        <v>3</v>
      </c>
      <c r="G345" s="4">
        <v>2.2142793457000005E8</v>
      </c>
      <c r="H345" s="4"/>
      <c r="I345" s="6" t="s">
        <v>8</v>
      </c>
    </row>
    <row r="346">
      <c r="A346" s="1">
        <v>46251.0</v>
      </c>
      <c r="B346" s="2" t="s">
        <v>17</v>
      </c>
      <c r="C346" s="2" t="s">
        <v>359</v>
      </c>
      <c r="D346" s="5">
        <v>7.71006E7</v>
      </c>
      <c r="E346" s="4"/>
      <c r="F346" s="5" t="s">
        <v>3</v>
      </c>
      <c r="G346" s="4">
        <v>1.4432733457000005E8</v>
      </c>
      <c r="H346" s="5">
        <v>1.4432733457E8</v>
      </c>
      <c r="I346" s="6" t="s">
        <v>8</v>
      </c>
    </row>
    <row r="347">
      <c r="A347" s="1">
        <v>46251.0</v>
      </c>
      <c r="B347" s="2" t="s">
        <v>17</v>
      </c>
      <c r="C347" s="2" t="s">
        <v>360</v>
      </c>
      <c r="D347" s="5">
        <v>3.649755E7</v>
      </c>
      <c r="E347" s="4"/>
      <c r="F347" s="5" t="s">
        <v>3</v>
      </c>
      <c r="G347" s="4">
        <v>1.0782978457000005E8</v>
      </c>
      <c r="H347" s="5">
        <v>1.0782978457E8</v>
      </c>
      <c r="I347" s="6" t="s">
        <v>8</v>
      </c>
    </row>
    <row r="348">
      <c r="A348" s="1">
        <v>46251.0</v>
      </c>
      <c r="B348" s="2" t="s">
        <v>17</v>
      </c>
      <c r="C348" s="2" t="s">
        <v>361</v>
      </c>
      <c r="D348" s="5">
        <v>6.56075E7</v>
      </c>
      <c r="E348" s="4"/>
      <c r="F348" s="5" t="s">
        <v>3</v>
      </c>
      <c r="G348" s="4">
        <v>4.222228457000005E7</v>
      </c>
      <c r="H348" s="4"/>
      <c r="I348" s="6" t="s">
        <v>8</v>
      </c>
    </row>
    <row r="349">
      <c r="A349" s="1">
        <v>46251.0</v>
      </c>
      <c r="B349" s="2" t="s">
        <v>17</v>
      </c>
      <c r="C349" s="2" t="s">
        <v>362</v>
      </c>
      <c r="D349" s="5">
        <v>4140300.0</v>
      </c>
      <c r="E349" s="4"/>
      <c r="F349" s="5" t="s">
        <v>3</v>
      </c>
      <c r="G349" s="4">
        <v>3.808198457000005E7</v>
      </c>
      <c r="H349" s="4"/>
      <c r="I349" s="6" t="s">
        <v>8</v>
      </c>
    </row>
    <row r="350">
      <c r="A350" s="1">
        <v>46251.0</v>
      </c>
      <c r="B350" s="2" t="s">
        <v>17</v>
      </c>
      <c r="C350" s="2" t="s">
        <v>363</v>
      </c>
      <c r="D350" s="5">
        <v>1500000.0</v>
      </c>
      <c r="E350" s="4"/>
      <c r="F350" s="5" t="s">
        <v>3</v>
      </c>
      <c r="G350" s="4">
        <v>3.658198457000005E7</v>
      </c>
      <c r="H350" s="4"/>
      <c r="I350" s="6" t="s">
        <v>8</v>
      </c>
    </row>
    <row r="351">
      <c r="A351" s="1">
        <v>46251.0</v>
      </c>
      <c r="B351" s="2" t="s">
        <v>17</v>
      </c>
      <c r="C351" s="2" t="s">
        <v>364</v>
      </c>
      <c r="D351" s="5">
        <v>4802020.0</v>
      </c>
      <c r="E351" s="4"/>
      <c r="F351" s="5" t="s">
        <v>3</v>
      </c>
      <c r="G351" s="4">
        <v>3.1779964570000052E7</v>
      </c>
      <c r="H351" s="4"/>
      <c r="I351" s="6" t="s">
        <v>8</v>
      </c>
    </row>
    <row r="352">
      <c r="A352" s="1">
        <v>46251.0</v>
      </c>
      <c r="B352" s="2" t="s">
        <v>17</v>
      </c>
      <c r="C352" s="2" t="s">
        <v>365</v>
      </c>
      <c r="D352" s="5">
        <v>1504900.0</v>
      </c>
      <c r="E352" s="4"/>
      <c r="F352" s="5" t="s">
        <v>3</v>
      </c>
      <c r="G352" s="4">
        <v>3.0275064570000052E7</v>
      </c>
      <c r="H352" s="4"/>
      <c r="I352" s="6" t="s">
        <v>8</v>
      </c>
    </row>
    <row r="353">
      <c r="A353" s="1">
        <v>46251.0</v>
      </c>
      <c r="B353" s="2" t="s">
        <v>17</v>
      </c>
      <c r="C353" s="2" t="s">
        <v>366</v>
      </c>
      <c r="D353" s="5">
        <v>1.82551E7</v>
      </c>
      <c r="E353" s="4"/>
      <c r="F353" s="5" t="s">
        <v>3</v>
      </c>
      <c r="G353" s="4">
        <v>1.2019964570000052E7</v>
      </c>
      <c r="H353" s="4"/>
      <c r="I353" s="6" t="s">
        <v>8</v>
      </c>
    </row>
    <row r="354">
      <c r="A354" s="1">
        <v>46251.0</v>
      </c>
      <c r="B354" s="2" t="s">
        <v>170</v>
      </c>
      <c r="C354" s="2" t="s">
        <v>367</v>
      </c>
      <c r="D354" s="5">
        <v>1525000.0</v>
      </c>
      <c r="E354" s="4"/>
      <c r="F354" s="5" t="s">
        <v>3</v>
      </c>
      <c r="G354" s="4">
        <v>1.0494964570000052E7</v>
      </c>
      <c r="H354" s="4"/>
      <c r="I354" s="6" t="s">
        <v>8</v>
      </c>
    </row>
    <row r="355">
      <c r="A355" s="1">
        <v>46251.0</v>
      </c>
      <c r="B355" s="2" t="s">
        <v>170</v>
      </c>
      <c r="C355" s="2" t="s">
        <v>368</v>
      </c>
      <c r="D355" s="5">
        <v>2500.0</v>
      </c>
      <c r="E355" s="4"/>
      <c r="F355" s="5" t="s">
        <v>3</v>
      </c>
      <c r="G355" s="4">
        <v>1.0492464570000052E7</v>
      </c>
      <c r="H355" s="4"/>
      <c r="I355" s="6" t="s">
        <v>8</v>
      </c>
    </row>
    <row r="356">
      <c r="A356" s="1">
        <v>46251.0</v>
      </c>
      <c r="B356" s="2" t="s">
        <v>92</v>
      </c>
      <c r="C356" s="2" t="s">
        <v>369</v>
      </c>
      <c r="D356" s="5">
        <v>750000.0</v>
      </c>
      <c r="E356" s="4"/>
      <c r="F356" s="4"/>
      <c r="G356" s="4">
        <v>9742464.570000052</v>
      </c>
      <c r="H356" s="4"/>
      <c r="I356" s="6" t="s">
        <v>8</v>
      </c>
    </row>
    <row r="357">
      <c r="A357" s="1">
        <v>46251.0</v>
      </c>
      <c r="B357" s="2" t="s">
        <v>17</v>
      </c>
      <c r="C357" s="2" t="s">
        <v>370</v>
      </c>
      <c r="D357" s="5">
        <v>1000000.0</v>
      </c>
      <c r="E357" s="4"/>
      <c r="F357" s="5" t="s">
        <v>3</v>
      </c>
      <c r="G357" s="4">
        <v>8742464.570000052</v>
      </c>
      <c r="H357" s="4"/>
      <c r="I357" s="6" t="s">
        <v>43</v>
      </c>
    </row>
    <row r="358">
      <c r="A358" s="1">
        <v>46251.0</v>
      </c>
      <c r="B358" s="2" t="s">
        <v>27</v>
      </c>
      <c r="C358" s="2" t="s">
        <v>371</v>
      </c>
      <c r="D358" s="5">
        <v>149760.0</v>
      </c>
      <c r="E358" s="4"/>
      <c r="F358" s="4"/>
      <c r="G358" s="4">
        <v>8592704.570000052</v>
      </c>
      <c r="H358" s="4"/>
      <c r="I358" s="6" t="s">
        <v>43</v>
      </c>
    </row>
    <row r="359">
      <c r="A359" s="1">
        <v>46251.0</v>
      </c>
      <c r="B359" s="2" t="s">
        <v>14</v>
      </c>
      <c r="C359" s="2" t="s">
        <v>372</v>
      </c>
      <c r="D359" s="5"/>
      <c r="E359" s="5">
        <v>1.2E8</v>
      </c>
      <c r="F359" s="5" t="s">
        <v>16</v>
      </c>
      <c r="G359" s="4">
        <v>1.2859270457000005E8</v>
      </c>
      <c r="H359" s="5">
        <v>1.2859270457E8</v>
      </c>
      <c r="I359" s="6" t="s">
        <v>43</v>
      </c>
    </row>
    <row r="360">
      <c r="A360" s="1">
        <v>46252.0</v>
      </c>
      <c r="B360" s="2" t="s">
        <v>14</v>
      </c>
      <c r="C360" s="2" t="s">
        <v>373</v>
      </c>
      <c r="D360" s="5"/>
      <c r="E360" s="5">
        <v>200000.0</v>
      </c>
      <c r="F360" s="5" t="s">
        <v>16</v>
      </c>
      <c r="G360" s="4">
        <v>1.2879270457000005E8</v>
      </c>
      <c r="H360" s="5">
        <v>1.2879270457E8</v>
      </c>
      <c r="I360" s="6" t="s">
        <v>43</v>
      </c>
    </row>
    <row r="361">
      <c r="A361" s="1">
        <v>46252.0</v>
      </c>
      <c r="B361" s="2" t="s">
        <v>374</v>
      </c>
      <c r="C361" s="2" t="s">
        <v>374</v>
      </c>
      <c r="D361" s="5">
        <v>300000.0</v>
      </c>
      <c r="E361" s="4"/>
      <c r="F361" s="4"/>
      <c r="G361" s="4">
        <v>1.2849270457000005E8</v>
      </c>
      <c r="H361" s="4"/>
      <c r="I361" s="6" t="s">
        <v>43</v>
      </c>
    </row>
    <row r="362">
      <c r="A362" s="1">
        <v>46252.0</v>
      </c>
      <c r="B362" s="2" t="s">
        <v>14</v>
      </c>
      <c r="C362" s="2" t="s">
        <v>375</v>
      </c>
      <c r="D362" s="5"/>
      <c r="E362" s="5">
        <v>2.430662E8</v>
      </c>
      <c r="F362" s="5" t="s">
        <v>16</v>
      </c>
      <c r="G362" s="4">
        <v>3.7155890457000005E8</v>
      </c>
      <c r="H362" s="4"/>
      <c r="I362" s="6" t="s">
        <v>43</v>
      </c>
    </row>
    <row r="363">
      <c r="A363" s="1">
        <v>46252.0</v>
      </c>
      <c r="B363" s="2" t="s">
        <v>14</v>
      </c>
      <c r="C363" s="2" t="s">
        <v>376</v>
      </c>
      <c r="D363" s="5"/>
      <c r="E363" s="5">
        <v>7.44211E7</v>
      </c>
      <c r="F363" s="5" t="s">
        <v>16</v>
      </c>
      <c r="G363" s="4">
        <v>4.4598000457000005E8</v>
      </c>
      <c r="H363" s="4"/>
      <c r="I363" s="6" t="s">
        <v>43</v>
      </c>
    </row>
    <row r="364">
      <c r="A364" s="1">
        <v>46252.0</v>
      </c>
      <c r="B364" s="2" t="s">
        <v>17</v>
      </c>
      <c r="C364" s="2" t="s">
        <v>377</v>
      </c>
      <c r="D364" s="5">
        <v>8.28258E7</v>
      </c>
      <c r="E364" s="4"/>
      <c r="F364" s="5" t="s">
        <v>3</v>
      </c>
      <c r="G364" s="4">
        <v>3.6315420457000005E8</v>
      </c>
      <c r="H364" s="4"/>
      <c r="I364" s="6" t="s">
        <v>43</v>
      </c>
    </row>
    <row r="365">
      <c r="A365" s="1">
        <v>46252.0</v>
      </c>
      <c r="B365" s="2" t="s">
        <v>17</v>
      </c>
      <c r="C365" s="2" t="s">
        <v>378</v>
      </c>
      <c r="D365" s="5">
        <v>6.13465E7</v>
      </c>
      <c r="E365" s="4"/>
      <c r="F365" s="5" t="s">
        <v>3</v>
      </c>
      <c r="G365" s="4">
        <v>3.0180770457000005E8</v>
      </c>
      <c r="H365" s="4"/>
      <c r="I365" s="6" t="s">
        <v>43</v>
      </c>
    </row>
    <row r="366">
      <c r="A366" s="1">
        <v>46252.0</v>
      </c>
      <c r="B366" s="2" t="s">
        <v>17</v>
      </c>
      <c r="C366" s="2" t="s">
        <v>379</v>
      </c>
      <c r="D366" s="5">
        <v>6400000.0</v>
      </c>
      <c r="E366" s="4"/>
      <c r="F366" s="5" t="s">
        <v>3</v>
      </c>
      <c r="G366" s="4">
        <v>2.9540770457000005E8</v>
      </c>
      <c r="H366" s="4"/>
      <c r="I366" s="6" t="s">
        <v>8</v>
      </c>
    </row>
    <row r="367">
      <c r="A367" s="1">
        <v>46252.0</v>
      </c>
      <c r="B367" s="2" t="s">
        <v>17</v>
      </c>
      <c r="C367" s="2" t="s">
        <v>380</v>
      </c>
      <c r="D367" s="5">
        <v>1.494275E8</v>
      </c>
      <c r="E367" s="4"/>
      <c r="F367" s="5" t="s">
        <v>3</v>
      </c>
      <c r="G367" s="4">
        <v>1.4598020457000005E8</v>
      </c>
      <c r="H367" s="4"/>
      <c r="I367" s="6" t="s">
        <v>8</v>
      </c>
    </row>
    <row r="368">
      <c r="A368" s="1">
        <v>46252.0</v>
      </c>
      <c r="B368" s="2" t="s">
        <v>17</v>
      </c>
      <c r="C368" s="2" t="s">
        <v>381</v>
      </c>
      <c r="D368" s="5">
        <v>5.1809E7</v>
      </c>
      <c r="E368" s="4"/>
      <c r="F368" s="5" t="s">
        <v>3</v>
      </c>
      <c r="G368" s="4">
        <v>9.417120457000005E7</v>
      </c>
      <c r="H368" s="4"/>
      <c r="I368" s="6" t="s">
        <v>43</v>
      </c>
    </row>
    <row r="369">
      <c r="A369" s="1">
        <v>46252.0</v>
      </c>
      <c r="B369" s="2" t="s">
        <v>17</v>
      </c>
      <c r="C369" s="2" t="s">
        <v>382</v>
      </c>
      <c r="D369" s="5">
        <v>6.780672E7</v>
      </c>
      <c r="E369" s="4"/>
      <c r="F369" s="5" t="s">
        <v>3</v>
      </c>
      <c r="G369" s="4">
        <v>2.6364484570000052E7</v>
      </c>
      <c r="H369" s="4"/>
      <c r="I369" s="6" t="s">
        <v>8</v>
      </c>
    </row>
    <row r="370">
      <c r="A370" s="1">
        <v>46252.0</v>
      </c>
      <c r="B370" s="2" t="s">
        <v>14</v>
      </c>
      <c r="C370" s="2" t="s">
        <v>383</v>
      </c>
      <c r="D370" s="5"/>
      <c r="E370" s="5">
        <v>7.175E7</v>
      </c>
      <c r="F370" s="5" t="s">
        <v>16</v>
      </c>
      <c r="G370" s="4">
        <v>9.811448457000005E7</v>
      </c>
      <c r="H370" s="4"/>
      <c r="I370" s="6" t="s">
        <v>43</v>
      </c>
    </row>
    <row r="371">
      <c r="A371" s="1">
        <v>46252.0</v>
      </c>
      <c r="B371" s="2" t="s">
        <v>14</v>
      </c>
      <c r="C371" s="2" t="s">
        <v>384</v>
      </c>
      <c r="D371" s="5"/>
      <c r="E371" s="5">
        <v>1.0E8</v>
      </c>
      <c r="F371" s="5" t="s">
        <v>16</v>
      </c>
      <c r="G371" s="4">
        <v>1.9811448457000005E8</v>
      </c>
      <c r="H371" s="4"/>
      <c r="I371" s="6" t="s">
        <v>43</v>
      </c>
    </row>
    <row r="372">
      <c r="A372" s="1">
        <v>46252.0</v>
      </c>
      <c r="B372" s="2" t="s">
        <v>17</v>
      </c>
      <c r="C372" s="2" t="s">
        <v>385</v>
      </c>
      <c r="D372" s="5">
        <v>9.4E7</v>
      </c>
      <c r="E372" s="4"/>
      <c r="F372" s="5" t="s">
        <v>3</v>
      </c>
      <c r="G372" s="4">
        <v>1.0411448457000005E8</v>
      </c>
      <c r="H372" s="4"/>
      <c r="I372" s="6" t="s">
        <v>43</v>
      </c>
    </row>
    <row r="373">
      <c r="A373" s="1">
        <v>46252.0</v>
      </c>
      <c r="B373" s="2" t="s">
        <v>17</v>
      </c>
      <c r="C373" s="2" t="s">
        <v>386</v>
      </c>
      <c r="D373" s="5">
        <v>9.786032E7</v>
      </c>
      <c r="E373" s="4"/>
      <c r="F373" s="5" t="s">
        <v>3</v>
      </c>
      <c r="G373" s="4">
        <v>6254164.570000052</v>
      </c>
      <c r="H373" s="5">
        <v>6254164.57</v>
      </c>
      <c r="I373" s="6" t="s">
        <v>43</v>
      </c>
    </row>
    <row r="374">
      <c r="A374" s="1">
        <v>46252.0</v>
      </c>
      <c r="B374" s="2" t="s">
        <v>14</v>
      </c>
      <c r="C374" s="2" t="s">
        <v>387</v>
      </c>
      <c r="D374" s="5"/>
      <c r="E374" s="5">
        <v>3.25661E8</v>
      </c>
      <c r="F374" s="5" t="s">
        <v>16</v>
      </c>
      <c r="G374" s="4">
        <v>3.3191516457000005E8</v>
      </c>
      <c r="H374" s="5">
        <v>3.3191516457E8</v>
      </c>
      <c r="I374" s="6" t="s">
        <v>43</v>
      </c>
    </row>
    <row r="375">
      <c r="A375" s="1">
        <v>46252.0</v>
      </c>
      <c r="B375" s="2" t="s">
        <v>388</v>
      </c>
      <c r="C375" s="2" t="s">
        <v>389</v>
      </c>
      <c r="D375" s="5">
        <v>375000.0</v>
      </c>
      <c r="E375" s="4"/>
      <c r="F375" s="4"/>
      <c r="G375" s="4">
        <v>3.3154016457000005E8</v>
      </c>
      <c r="H375" s="4"/>
      <c r="I375" s="6" t="s">
        <v>43</v>
      </c>
    </row>
    <row r="376">
      <c r="A376" s="1">
        <v>46252.0</v>
      </c>
      <c r="B376" s="2" t="s">
        <v>17</v>
      </c>
      <c r="C376" s="2" t="s">
        <v>390</v>
      </c>
      <c r="D376" s="5">
        <v>2550000.0</v>
      </c>
      <c r="E376" s="4"/>
      <c r="F376" s="5" t="s">
        <v>3</v>
      </c>
      <c r="G376" s="4">
        <v>3.2899016457000005E8</v>
      </c>
      <c r="H376" s="4"/>
      <c r="I376" s="6" t="s">
        <v>43</v>
      </c>
    </row>
    <row r="377">
      <c r="A377" s="1">
        <v>46252.0</v>
      </c>
      <c r="B377" s="2" t="s">
        <v>27</v>
      </c>
      <c r="C377" s="2" t="s">
        <v>391</v>
      </c>
      <c r="D377" s="5">
        <v>206000.0</v>
      </c>
      <c r="E377" s="4"/>
      <c r="F377" s="4"/>
      <c r="G377" s="4">
        <v>3.2878416457000005E8</v>
      </c>
      <c r="H377" s="4"/>
      <c r="I377" s="6" t="s">
        <v>43</v>
      </c>
    </row>
    <row r="378">
      <c r="A378" s="1">
        <v>46252.0</v>
      </c>
      <c r="B378" s="2" t="s">
        <v>14</v>
      </c>
      <c r="C378" s="2" t="s">
        <v>392</v>
      </c>
      <c r="D378" s="5"/>
      <c r="E378" s="5">
        <v>7.702722E7</v>
      </c>
      <c r="F378" s="5" t="s">
        <v>16</v>
      </c>
      <c r="G378" s="4">
        <v>4.0581138457000005E8</v>
      </c>
      <c r="H378" s="4"/>
      <c r="I378" s="6" t="s">
        <v>43</v>
      </c>
    </row>
    <row r="379">
      <c r="A379" s="1">
        <v>46252.0</v>
      </c>
      <c r="B379" s="2" t="s">
        <v>17</v>
      </c>
      <c r="C379" s="2" t="s">
        <v>393</v>
      </c>
      <c r="D379" s="5">
        <v>1600000.0</v>
      </c>
      <c r="E379" s="4"/>
      <c r="F379" s="5" t="s">
        <v>3</v>
      </c>
      <c r="G379" s="4">
        <v>4.0421138457000005E8</v>
      </c>
      <c r="H379" s="4"/>
      <c r="I379" s="6" t="s">
        <v>43</v>
      </c>
    </row>
    <row r="380">
      <c r="A380" s="1">
        <v>46252.0</v>
      </c>
      <c r="B380" s="2" t="s">
        <v>17</v>
      </c>
      <c r="C380" s="2" t="s">
        <v>394</v>
      </c>
      <c r="D380" s="5">
        <v>7.174559E7</v>
      </c>
      <c r="E380" s="4"/>
      <c r="F380" s="5" t="s">
        <v>3</v>
      </c>
      <c r="G380" s="4">
        <v>3.3246579457000005E8</v>
      </c>
      <c r="H380" s="4"/>
      <c r="I380" s="6" t="s">
        <v>43</v>
      </c>
    </row>
    <row r="381">
      <c r="A381" s="1">
        <v>46252.0</v>
      </c>
      <c r="B381" s="2" t="s">
        <v>17</v>
      </c>
      <c r="C381" s="2" t="s">
        <v>395</v>
      </c>
      <c r="D381" s="5">
        <v>6.2546E7</v>
      </c>
      <c r="E381" s="4"/>
      <c r="F381" s="5" t="s">
        <v>3</v>
      </c>
      <c r="G381" s="4">
        <v>2.6991979457000005E8</v>
      </c>
      <c r="H381" s="4"/>
      <c r="I381" s="6" t="s">
        <v>43</v>
      </c>
    </row>
    <row r="382">
      <c r="A382" s="1">
        <v>46252.0</v>
      </c>
      <c r="B382" s="2" t="s">
        <v>17</v>
      </c>
      <c r="C382" s="2" t="s">
        <v>396</v>
      </c>
      <c r="D382" s="5">
        <v>7.7636E7</v>
      </c>
      <c r="E382" s="4"/>
      <c r="F382" s="5" t="s">
        <v>3</v>
      </c>
      <c r="G382" s="4">
        <v>1.9228379457000005E8</v>
      </c>
      <c r="H382" s="4"/>
      <c r="I382" s="6" t="s">
        <v>43</v>
      </c>
    </row>
    <row r="383">
      <c r="A383" s="1">
        <v>46252.0</v>
      </c>
      <c r="B383" s="2" t="s">
        <v>17</v>
      </c>
      <c r="C383" s="2" t="s">
        <v>397</v>
      </c>
      <c r="D383" s="5">
        <v>6.9053E7</v>
      </c>
      <c r="E383" s="4"/>
      <c r="F383" s="5" t="s">
        <v>3</v>
      </c>
      <c r="G383" s="4">
        <v>1.2323079457000005E8</v>
      </c>
      <c r="H383" s="4"/>
      <c r="I383" s="6" t="s">
        <v>43</v>
      </c>
    </row>
    <row r="384">
      <c r="A384" s="1">
        <v>46252.0</v>
      </c>
      <c r="B384" s="2" t="s">
        <v>398</v>
      </c>
      <c r="C384" s="2" t="s">
        <v>398</v>
      </c>
      <c r="D384" s="5">
        <v>19000.0</v>
      </c>
      <c r="E384" s="4"/>
      <c r="F384" s="4"/>
      <c r="G384" s="4">
        <v>1.2321179457000005E8</v>
      </c>
      <c r="H384" s="5">
        <v>1.2321179457E8</v>
      </c>
      <c r="I384" s="6" t="s">
        <v>43</v>
      </c>
    </row>
    <row r="385">
      <c r="A385" s="1">
        <v>46253.0</v>
      </c>
      <c r="B385" s="2" t="s">
        <v>17</v>
      </c>
      <c r="C385" s="2" t="s">
        <v>399</v>
      </c>
      <c r="D385" s="5">
        <v>8.04839E7</v>
      </c>
      <c r="E385" s="4"/>
      <c r="F385" s="5" t="s">
        <v>3</v>
      </c>
      <c r="G385" s="4">
        <v>4.272789457000005E7</v>
      </c>
      <c r="H385" s="4"/>
      <c r="I385" s="6" t="s">
        <v>43</v>
      </c>
    </row>
    <row r="386">
      <c r="A386" s="1">
        <v>46253.0</v>
      </c>
      <c r="B386" s="2" t="s">
        <v>17</v>
      </c>
      <c r="C386" s="2" t="s">
        <v>400</v>
      </c>
      <c r="D386" s="5">
        <v>3.0E7</v>
      </c>
      <c r="E386" s="4"/>
      <c r="F386" s="5" t="s">
        <v>3</v>
      </c>
      <c r="G386" s="4">
        <v>1.2727894570000052E7</v>
      </c>
      <c r="H386" s="4"/>
      <c r="I386" s="6" t="s">
        <v>43</v>
      </c>
    </row>
    <row r="387">
      <c r="A387" s="1">
        <v>46253.0</v>
      </c>
      <c r="B387" s="2" t="s">
        <v>17</v>
      </c>
      <c r="C387" s="2" t="s">
        <v>401</v>
      </c>
      <c r="D387" s="5">
        <v>1600000.0</v>
      </c>
      <c r="E387" s="4"/>
      <c r="F387" s="5" t="s">
        <v>3</v>
      </c>
      <c r="G387" s="4">
        <v>1.1127894570000052E7</v>
      </c>
      <c r="H387" s="4"/>
      <c r="I387" s="6" t="s">
        <v>43</v>
      </c>
    </row>
    <row r="388">
      <c r="A388" s="1">
        <v>46253.0</v>
      </c>
      <c r="B388" s="2" t="s">
        <v>17</v>
      </c>
      <c r="C388" s="2" t="s">
        <v>402</v>
      </c>
      <c r="D388" s="5">
        <v>592695.0</v>
      </c>
      <c r="E388" s="4"/>
      <c r="F388" s="5" t="s">
        <v>3</v>
      </c>
      <c r="G388" s="4">
        <v>1.0535199570000052E7</v>
      </c>
      <c r="H388" s="5">
        <v>1.053519957E7</v>
      </c>
      <c r="I388" s="6" t="s">
        <v>43</v>
      </c>
    </row>
    <row r="389">
      <c r="A389" s="1">
        <v>46253.0</v>
      </c>
      <c r="B389" s="2" t="s">
        <v>17</v>
      </c>
      <c r="C389" s="2" t="s">
        <v>403</v>
      </c>
      <c r="D389" s="5">
        <v>1138900.0</v>
      </c>
      <c r="E389" s="4"/>
      <c r="F389" s="5" t="s">
        <v>3</v>
      </c>
      <c r="G389" s="4">
        <v>9396299.570000052</v>
      </c>
      <c r="H389" s="5">
        <v>9396299.57</v>
      </c>
      <c r="I389" s="6" t="s">
        <v>43</v>
      </c>
    </row>
    <row r="390">
      <c r="A390" s="1">
        <v>46253.0</v>
      </c>
      <c r="B390" s="2" t="s">
        <v>17</v>
      </c>
      <c r="C390" s="2" t="s">
        <v>404</v>
      </c>
      <c r="D390" s="5">
        <v>553240.0</v>
      </c>
      <c r="E390" s="4"/>
      <c r="F390" s="5" t="s">
        <v>3</v>
      </c>
      <c r="G390" s="4">
        <v>8843059.570000052</v>
      </c>
      <c r="H390" s="4"/>
      <c r="I390" s="6" t="s">
        <v>43</v>
      </c>
    </row>
    <row r="391">
      <c r="A391" s="1">
        <v>46253.0</v>
      </c>
      <c r="B391" s="2" t="s">
        <v>14</v>
      </c>
      <c r="C391" s="2" t="s">
        <v>405</v>
      </c>
      <c r="D391" s="5"/>
      <c r="E391" s="5">
        <v>7.152E7</v>
      </c>
      <c r="F391" s="5" t="s">
        <v>16</v>
      </c>
      <c r="G391" s="4">
        <v>8.036305957000005E7</v>
      </c>
      <c r="H391" s="4"/>
      <c r="I391" s="6" t="s">
        <v>43</v>
      </c>
    </row>
    <row r="392">
      <c r="A392" s="1">
        <v>46253.0</v>
      </c>
      <c r="B392" s="2" t="s">
        <v>14</v>
      </c>
      <c r="C392" s="2" t="s">
        <v>406</v>
      </c>
      <c r="D392" s="5"/>
      <c r="E392" s="5">
        <v>1.5099525E8</v>
      </c>
      <c r="F392" s="5" t="s">
        <v>16</v>
      </c>
      <c r="G392" s="4">
        <v>2.3135830957000005E8</v>
      </c>
      <c r="H392" s="4"/>
      <c r="I392" s="6" t="s">
        <v>43</v>
      </c>
    </row>
    <row r="393">
      <c r="A393" s="1">
        <v>46253.0</v>
      </c>
      <c r="B393" s="2" t="s">
        <v>17</v>
      </c>
      <c r="C393" s="2" t="s">
        <v>407</v>
      </c>
      <c r="D393" s="5">
        <v>100000.0</v>
      </c>
      <c r="E393" s="4"/>
      <c r="F393" s="5" t="s">
        <v>3</v>
      </c>
      <c r="G393" s="4">
        <v>2.3125830957000005E8</v>
      </c>
      <c r="H393" s="4"/>
      <c r="I393" s="6" t="s">
        <v>43</v>
      </c>
    </row>
    <row r="394">
      <c r="A394" s="1">
        <v>46253.0</v>
      </c>
      <c r="B394" s="2" t="s">
        <v>17</v>
      </c>
      <c r="C394" s="2" t="s">
        <v>408</v>
      </c>
      <c r="D394" s="5">
        <v>1.0949E8</v>
      </c>
      <c r="E394" s="4"/>
      <c r="F394" s="5" t="s">
        <v>3</v>
      </c>
      <c r="G394" s="4">
        <v>1.2176830957000005E8</v>
      </c>
      <c r="H394" s="4"/>
      <c r="I394" s="6" t="s">
        <v>43</v>
      </c>
    </row>
    <row r="395">
      <c r="A395" s="1">
        <v>46253.0</v>
      </c>
      <c r="B395" s="2" t="s">
        <v>17</v>
      </c>
      <c r="C395" s="2" t="s">
        <v>409</v>
      </c>
      <c r="D395" s="5">
        <v>6.6814E7</v>
      </c>
      <c r="E395" s="4"/>
      <c r="F395" s="5" t="s">
        <v>3</v>
      </c>
      <c r="G395" s="4">
        <v>5.495430957000005E7</v>
      </c>
      <c r="H395" s="4"/>
      <c r="I395" s="6" t="s">
        <v>43</v>
      </c>
    </row>
    <row r="396">
      <c r="A396" s="1">
        <v>46253.0</v>
      </c>
      <c r="B396" s="2" t="s">
        <v>14</v>
      </c>
      <c r="C396" s="2" t="s">
        <v>410</v>
      </c>
      <c r="D396" s="5"/>
      <c r="E396" s="5">
        <v>3.945621E8</v>
      </c>
      <c r="F396" s="5" t="s">
        <v>16</v>
      </c>
      <c r="G396" s="4">
        <v>4.4951640957000005E8</v>
      </c>
      <c r="H396" s="4"/>
      <c r="I396" s="6" t="s">
        <v>43</v>
      </c>
    </row>
    <row r="397">
      <c r="A397" s="1">
        <v>46253.0</v>
      </c>
      <c r="B397" s="2" t="s">
        <v>14</v>
      </c>
      <c r="C397" s="2" t="s">
        <v>411</v>
      </c>
      <c r="D397" s="5"/>
      <c r="E397" s="5">
        <v>1.0E8</v>
      </c>
      <c r="F397" s="5" t="s">
        <v>16</v>
      </c>
      <c r="G397" s="4">
        <v>5.4951640957E8</v>
      </c>
      <c r="H397" s="4"/>
      <c r="I397" s="6" t="s">
        <v>43</v>
      </c>
    </row>
    <row r="398">
      <c r="A398" s="1">
        <v>46253.0</v>
      </c>
      <c r="B398" s="2" t="s">
        <v>14</v>
      </c>
      <c r="C398" s="2" t="s">
        <v>412</v>
      </c>
      <c r="D398" s="5"/>
      <c r="E398" s="5">
        <v>3.5179629E8</v>
      </c>
      <c r="F398" s="5" t="s">
        <v>16</v>
      </c>
      <c r="G398" s="4">
        <v>9.0131269957E8</v>
      </c>
      <c r="H398" s="4"/>
      <c r="I398" s="6" t="s">
        <v>43</v>
      </c>
    </row>
    <row r="399">
      <c r="A399" s="1">
        <v>46253.0</v>
      </c>
      <c r="B399" s="2" t="s">
        <v>388</v>
      </c>
      <c r="C399" s="2" t="s">
        <v>413</v>
      </c>
      <c r="D399" s="5">
        <v>150000.0</v>
      </c>
      <c r="E399" s="4"/>
      <c r="F399" s="4"/>
      <c r="G399" s="4">
        <v>9.0116269957E8</v>
      </c>
      <c r="H399" s="4"/>
      <c r="I399" s="6" t="s">
        <v>43</v>
      </c>
    </row>
    <row r="400">
      <c r="A400" s="1">
        <v>46253.0</v>
      </c>
      <c r="B400" s="2" t="s">
        <v>17</v>
      </c>
      <c r="C400" s="2" t="s">
        <v>414</v>
      </c>
      <c r="D400" s="5">
        <v>4.30376E7</v>
      </c>
      <c r="E400" s="4"/>
      <c r="F400" s="5" t="s">
        <v>3</v>
      </c>
      <c r="G400" s="4">
        <v>8.5812509957E8</v>
      </c>
      <c r="H400" s="4"/>
      <c r="I400" s="6" t="s">
        <v>43</v>
      </c>
    </row>
    <row r="401">
      <c r="A401" s="1">
        <v>46253.0</v>
      </c>
      <c r="B401" s="2" t="s">
        <v>17</v>
      </c>
      <c r="C401" s="2" t="s">
        <v>415</v>
      </c>
      <c r="D401" s="5">
        <v>6.6E7</v>
      </c>
      <c r="E401" s="4"/>
      <c r="F401" s="5" t="s">
        <v>3</v>
      </c>
      <c r="G401" s="4">
        <v>7.9212509957E8</v>
      </c>
      <c r="H401" s="4"/>
      <c r="I401" s="6" t="s">
        <v>43</v>
      </c>
    </row>
    <row r="402">
      <c r="A402" s="1">
        <v>46253.0</v>
      </c>
      <c r="B402" s="2" t="s">
        <v>17</v>
      </c>
      <c r="C402" s="2" t="s">
        <v>416</v>
      </c>
      <c r="D402" s="5">
        <v>8.7E7</v>
      </c>
      <c r="E402" s="4"/>
      <c r="F402" s="5" t="s">
        <v>3</v>
      </c>
      <c r="G402" s="4">
        <v>7.0512509957E8</v>
      </c>
      <c r="H402" s="5">
        <v>7.0512509957E8</v>
      </c>
      <c r="I402" s="6" t="s">
        <v>43</v>
      </c>
    </row>
    <row r="403">
      <c r="A403" s="1">
        <v>46253.0</v>
      </c>
      <c r="B403" s="2" t="s">
        <v>17</v>
      </c>
      <c r="C403" s="2" t="s">
        <v>417</v>
      </c>
      <c r="D403" s="5">
        <v>5.96183E7</v>
      </c>
      <c r="E403" s="4"/>
      <c r="F403" s="5" t="s">
        <v>3</v>
      </c>
      <c r="G403" s="4">
        <v>6.4550679957E8</v>
      </c>
      <c r="H403" s="5">
        <v>6.4550679957E8</v>
      </c>
      <c r="I403" s="6" t="s">
        <v>43</v>
      </c>
    </row>
    <row r="404">
      <c r="A404" s="1">
        <v>46253.0</v>
      </c>
      <c r="B404" s="2" t="s">
        <v>17</v>
      </c>
      <c r="C404" s="2" t="s">
        <v>418</v>
      </c>
      <c r="D404" s="5">
        <v>6.63205E7</v>
      </c>
      <c r="E404" s="4"/>
      <c r="F404" s="5" t="s">
        <v>3</v>
      </c>
      <c r="G404" s="4">
        <v>5.7918629957E8</v>
      </c>
      <c r="H404" s="5">
        <v>5.7918629957E8</v>
      </c>
      <c r="I404" s="6" t="s">
        <v>43</v>
      </c>
    </row>
    <row r="405">
      <c r="A405" s="1">
        <v>46254.0</v>
      </c>
      <c r="B405" s="2" t="s">
        <v>419</v>
      </c>
      <c r="C405" s="2" t="s">
        <v>420</v>
      </c>
      <c r="D405" s="5">
        <v>6.23162E7</v>
      </c>
      <c r="E405" s="4"/>
      <c r="F405" s="5" t="s">
        <v>3</v>
      </c>
      <c r="G405" s="4">
        <v>5.1687009957000005E8</v>
      </c>
      <c r="H405" s="4"/>
      <c r="I405" s="6" t="s">
        <v>43</v>
      </c>
    </row>
    <row r="406">
      <c r="A406" s="1">
        <v>46254.0</v>
      </c>
      <c r="B406" s="2" t="s">
        <v>419</v>
      </c>
      <c r="C406" s="2" t="s">
        <v>421</v>
      </c>
      <c r="D406" s="5">
        <v>7.51496E7</v>
      </c>
      <c r="E406" s="4"/>
      <c r="F406" s="5" t="s">
        <v>3</v>
      </c>
      <c r="G406" s="4">
        <v>4.4172049957000005E8</v>
      </c>
      <c r="H406" s="4"/>
      <c r="I406" s="6" t="s">
        <v>43</v>
      </c>
    </row>
    <row r="407">
      <c r="A407" s="1">
        <v>46254.0</v>
      </c>
      <c r="B407" s="2" t="s">
        <v>419</v>
      </c>
      <c r="C407" s="2" t="s">
        <v>422</v>
      </c>
      <c r="D407" s="5">
        <v>7.6644E7</v>
      </c>
      <c r="E407" s="4"/>
      <c r="F407" s="5" t="s">
        <v>3</v>
      </c>
      <c r="G407" s="4">
        <v>3.6507649957000005E8</v>
      </c>
      <c r="H407" s="4"/>
      <c r="I407" s="6" t="s">
        <v>43</v>
      </c>
    </row>
    <row r="408">
      <c r="A408" s="1">
        <v>46254.0</v>
      </c>
      <c r="B408" s="2" t="s">
        <v>419</v>
      </c>
      <c r="C408" s="2" t="s">
        <v>423</v>
      </c>
      <c r="D408" s="5">
        <v>5.375E7</v>
      </c>
      <c r="E408" s="4"/>
      <c r="F408" s="5" t="s">
        <v>3</v>
      </c>
      <c r="G408" s="4">
        <v>3.1132649957000005E8</v>
      </c>
      <c r="H408" s="4"/>
      <c r="I408" s="6" t="s">
        <v>43</v>
      </c>
    </row>
    <row r="409">
      <c r="A409" s="1">
        <v>46254.0</v>
      </c>
      <c r="B409" s="2" t="s">
        <v>419</v>
      </c>
      <c r="C409" s="2" t="s">
        <v>424</v>
      </c>
      <c r="D409" s="5">
        <v>6.42E7</v>
      </c>
      <c r="E409" s="4"/>
      <c r="F409" s="5" t="s">
        <v>3</v>
      </c>
      <c r="G409" s="4">
        <v>2.4712649957000005E8</v>
      </c>
      <c r="H409" s="4"/>
      <c r="I409" s="6" t="s">
        <v>43</v>
      </c>
    </row>
    <row r="410">
      <c r="A410" s="1">
        <v>46254.0</v>
      </c>
      <c r="B410" s="2" t="s">
        <v>425</v>
      </c>
      <c r="C410" s="2" t="s">
        <v>426</v>
      </c>
      <c r="D410" s="5"/>
      <c r="E410" s="5">
        <v>3.0728161E8</v>
      </c>
      <c r="F410" s="5" t="s">
        <v>16</v>
      </c>
      <c r="G410" s="4">
        <v>5.5440810957E8</v>
      </c>
      <c r="H410" s="4"/>
      <c r="I410" s="6" t="s">
        <v>43</v>
      </c>
    </row>
    <row r="411">
      <c r="A411" s="1">
        <v>46254.0</v>
      </c>
      <c r="B411" s="2" t="s">
        <v>17</v>
      </c>
      <c r="C411" s="2" t="s">
        <v>427</v>
      </c>
      <c r="D411" s="5">
        <v>1.3224725E8</v>
      </c>
      <c r="E411" s="4"/>
      <c r="F411" s="5" t="s">
        <v>3</v>
      </c>
      <c r="G411" s="4">
        <v>4.2216085957000005E8</v>
      </c>
      <c r="H411" s="4"/>
      <c r="I411" s="6" t="s">
        <v>43</v>
      </c>
    </row>
    <row r="412">
      <c r="A412" s="1">
        <v>46254.0</v>
      </c>
      <c r="B412" s="2" t="s">
        <v>17</v>
      </c>
      <c r="C412" s="2" t="s">
        <v>428</v>
      </c>
      <c r="D412" s="5">
        <v>3.284325E8</v>
      </c>
      <c r="E412" s="4"/>
      <c r="F412" s="5" t="s">
        <v>3</v>
      </c>
      <c r="G412" s="4">
        <v>9.372835957000005E7</v>
      </c>
      <c r="H412" s="4"/>
      <c r="I412" s="6" t="s">
        <v>43</v>
      </c>
    </row>
    <row r="413">
      <c r="A413" s="1">
        <v>46254.0</v>
      </c>
      <c r="B413" s="2" t="s">
        <v>17</v>
      </c>
      <c r="C413" s="2" t="s">
        <v>429</v>
      </c>
      <c r="D413" s="5">
        <v>1693640.0</v>
      </c>
      <c r="E413" s="4"/>
      <c r="F413" s="5" t="s">
        <v>3</v>
      </c>
      <c r="G413" s="4">
        <v>9.203471957000005E7</v>
      </c>
      <c r="H413" s="4"/>
      <c r="I413" s="6" t="s">
        <v>43</v>
      </c>
    </row>
    <row r="414">
      <c r="A414" s="1">
        <v>46254.0</v>
      </c>
      <c r="B414" s="2" t="s">
        <v>17</v>
      </c>
      <c r="C414" s="2" t="s">
        <v>430</v>
      </c>
      <c r="D414" s="5">
        <v>1100000.0</v>
      </c>
      <c r="E414" s="4"/>
      <c r="F414" s="5" t="s">
        <v>3</v>
      </c>
      <c r="G414" s="4">
        <v>9.093471957000005E7</v>
      </c>
      <c r="H414" s="4"/>
      <c r="I414" s="6" t="s">
        <v>43</v>
      </c>
    </row>
    <row r="415">
      <c r="A415" s="1">
        <v>46254.0</v>
      </c>
      <c r="B415" s="2" t="s">
        <v>17</v>
      </c>
      <c r="C415" s="2" t="s">
        <v>431</v>
      </c>
      <c r="D415" s="5">
        <v>1000000.0</v>
      </c>
      <c r="E415" s="4"/>
      <c r="F415" s="5" t="s">
        <v>3</v>
      </c>
      <c r="G415" s="4">
        <v>8.993471957000005E7</v>
      </c>
      <c r="H415" s="5">
        <v>8.993471957E7</v>
      </c>
      <c r="I415" s="6" t="s">
        <v>43</v>
      </c>
    </row>
    <row r="416">
      <c r="A416" s="1">
        <v>46254.0</v>
      </c>
      <c r="B416" s="2" t="s">
        <v>17</v>
      </c>
      <c r="C416" s="2" t="s">
        <v>432</v>
      </c>
      <c r="D416" s="5">
        <v>1170420.0</v>
      </c>
      <c r="E416" s="4"/>
      <c r="F416" s="5" t="s">
        <v>3</v>
      </c>
      <c r="G416" s="4">
        <v>8.876429957000005E7</v>
      </c>
      <c r="H416" s="5">
        <v>8.876429957E7</v>
      </c>
      <c r="I416" s="6" t="s">
        <v>43</v>
      </c>
    </row>
    <row r="417">
      <c r="A417" s="1">
        <v>46254.0</v>
      </c>
      <c r="B417" s="2" t="s">
        <v>17</v>
      </c>
      <c r="C417" s="2" t="s">
        <v>433</v>
      </c>
      <c r="D417" s="5">
        <v>5400000.0</v>
      </c>
      <c r="E417" s="4"/>
      <c r="F417" s="5" t="s">
        <v>3</v>
      </c>
      <c r="G417" s="4">
        <v>8.336429957000005E7</v>
      </c>
      <c r="H417" s="4"/>
      <c r="I417" s="6" t="s">
        <v>43</v>
      </c>
    </row>
    <row r="418">
      <c r="A418" s="1">
        <v>46254.0</v>
      </c>
      <c r="B418" s="2" t="s">
        <v>14</v>
      </c>
      <c r="C418" s="2" t="s">
        <v>434</v>
      </c>
      <c r="D418" s="5"/>
      <c r="E418" s="5">
        <v>400000.0</v>
      </c>
      <c r="F418" s="5" t="s">
        <v>16</v>
      </c>
      <c r="G418" s="4">
        <v>8.376429957000005E7</v>
      </c>
      <c r="H418" s="4"/>
      <c r="I418" s="6" t="s">
        <v>43</v>
      </c>
    </row>
    <row r="419">
      <c r="A419" s="1">
        <v>46254.0</v>
      </c>
      <c r="B419" s="2" t="s">
        <v>27</v>
      </c>
      <c r="C419" s="2" t="s">
        <v>28</v>
      </c>
      <c r="D419" s="5">
        <v>154000.0</v>
      </c>
      <c r="E419" s="4"/>
      <c r="F419" s="4"/>
      <c r="G419" s="4">
        <v>8.361029957000005E7</v>
      </c>
      <c r="H419" s="4"/>
      <c r="I419" s="6" t="s">
        <v>43</v>
      </c>
    </row>
    <row r="420">
      <c r="A420" s="1">
        <v>46254.0</v>
      </c>
      <c r="B420" s="2" t="s">
        <v>14</v>
      </c>
      <c r="C420" s="2" t="s">
        <v>435</v>
      </c>
      <c r="D420" s="5"/>
      <c r="E420" s="5">
        <v>2.6721E7</v>
      </c>
      <c r="F420" s="5" t="s">
        <v>16</v>
      </c>
      <c r="G420" s="4">
        <v>1.1033129957000005E8</v>
      </c>
      <c r="H420" s="5">
        <v>1.1033129957E8</v>
      </c>
      <c r="I420" s="6" t="s">
        <v>43</v>
      </c>
    </row>
    <row r="421">
      <c r="A421" s="1">
        <v>46255.0</v>
      </c>
      <c r="B421" s="2" t="s">
        <v>17</v>
      </c>
      <c r="C421" s="2" t="s">
        <v>436</v>
      </c>
      <c r="D421" s="5">
        <v>7.21763E7</v>
      </c>
      <c r="E421" s="4"/>
      <c r="F421" s="5" t="s">
        <v>3</v>
      </c>
      <c r="G421" s="4">
        <v>3.815499957000005E7</v>
      </c>
      <c r="H421" s="4"/>
      <c r="I421" s="6" t="s">
        <v>43</v>
      </c>
    </row>
    <row r="422">
      <c r="A422" s="1">
        <v>46255.0</v>
      </c>
      <c r="B422" s="2" t="s">
        <v>14</v>
      </c>
      <c r="C422" s="2" t="s">
        <v>437</v>
      </c>
      <c r="D422" s="5"/>
      <c r="E422" s="5">
        <v>1.60906959E8</v>
      </c>
      <c r="F422" s="5" t="s">
        <v>16</v>
      </c>
      <c r="G422" s="4">
        <v>1.9906195857000005E8</v>
      </c>
      <c r="H422" s="4"/>
      <c r="I422" s="6" t="s">
        <v>43</v>
      </c>
    </row>
    <row r="423">
      <c r="A423" s="1">
        <v>46255.0</v>
      </c>
      <c r="B423" s="2" t="s">
        <v>27</v>
      </c>
      <c r="C423" s="2" t="s">
        <v>28</v>
      </c>
      <c r="D423" s="5">
        <v>62900.0</v>
      </c>
      <c r="E423" s="4"/>
      <c r="F423" s="4"/>
      <c r="G423" s="4">
        <v>1.9899905857000005E8</v>
      </c>
      <c r="H423" s="4"/>
      <c r="I423" s="6" t="s">
        <v>43</v>
      </c>
    </row>
    <row r="424">
      <c r="A424" s="1">
        <v>46255.0</v>
      </c>
      <c r="B424" s="2" t="s">
        <v>14</v>
      </c>
      <c r="C424" s="2" t="s">
        <v>438</v>
      </c>
      <c r="D424" s="5"/>
      <c r="E424" s="5">
        <v>1.0E8</v>
      </c>
      <c r="F424" s="5" t="s">
        <v>16</v>
      </c>
      <c r="G424" s="4">
        <v>2.9899905857000005E8</v>
      </c>
      <c r="H424" s="4"/>
      <c r="I424" s="6" t="s">
        <v>43</v>
      </c>
    </row>
    <row r="425">
      <c r="A425" s="1">
        <v>46255.0</v>
      </c>
      <c r="B425" s="2" t="s">
        <v>14</v>
      </c>
      <c r="C425" s="2" t="s">
        <v>439</v>
      </c>
      <c r="D425" s="5"/>
      <c r="E425" s="5">
        <v>3.0795069E8</v>
      </c>
      <c r="F425" s="5" t="s">
        <v>16</v>
      </c>
      <c r="G425" s="4">
        <v>6.0694974857E8</v>
      </c>
      <c r="H425" s="4"/>
      <c r="I425" s="6" t="s">
        <v>43</v>
      </c>
    </row>
    <row r="426">
      <c r="A426" s="1">
        <v>46255.0</v>
      </c>
      <c r="B426" s="2" t="s">
        <v>14</v>
      </c>
      <c r="C426" s="2" t="s">
        <v>440</v>
      </c>
      <c r="D426" s="5"/>
      <c r="E426" s="5">
        <v>6.448626E7</v>
      </c>
      <c r="F426" s="5" t="s">
        <v>16</v>
      </c>
      <c r="G426" s="4">
        <v>6.7143600857E8</v>
      </c>
      <c r="H426" s="4"/>
      <c r="I426" s="6" t="s">
        <v>43</v>
      </c>
    </row>
    <row r="427">
      <c r="A427" s="1">
        <v>46255.0</v>
      </c>
      <c r="B427" s="2" t="s">
        <v>17</v>
      </c>
      <c r="C427" s="2" t="s">
        <v>441</v>
      </c>
      <c r="D427" s="5">
        <v>61000.0</v>
      </c>
      <c r="E427" s="4"/>
      <c r="F427" s="5" t="s">
        <v>3</v>
      </c>
      <c r="G427" s="4">
        <v>6.7137500857E8</v>
      </c>
      <c r="H427" s="4"/>
      <c r="I427" s="6" t="s">
        <v>43</v>
      </c>
    </row>
    <row r="428">
      <c r="A428" s="1">
        <v>46255.0</v>
      </c>
      <c r="B428" s="2" t="s">
        <v>17</v>
      </c>
      <c r="C428" s="2" t="s">
        <v>442</v>
      </c>
      <c r="D428" s="5">
        <v>5.950125E7</v>
      </c>
      <c r="E428" s="4"/>
      <c r="F428" s="5" t="s">
        <v>3</v>
      </c>
      <c r="G428" s="4">
        <v>6.1187375857E8</v>
      </c>
      <c r="H428" s="4"/>
      <c r="I428" s="6" t="s">
        <v>43</v>
      </c>
    </row>
    <row r="429">
      <c r="A429" s="1">
        <v>46255.0</v>
      </c>
      <c r="B429" s="2" t="s">
        <v>17</v>
      </c>
      <c r="C429" s="2" t="s">
        <v>443</v>
      </c>
      <c r="D429" s="5">
        <v>1.47407E8</v>
      </c>
      <c r="E429" s="4"/>
      <c r="F429" s="5" t="s">
        <v>3</v>
      </c>
      <c r="G429" s="4">
        <v>4.6446675857000005E8</v>
      </c>
      <c r="H429" s="5">
        <v>4.6446675857E8</v>
      </c>
      <c r="I429" s="6" t="s">
        <v>43</v>
      </c>
    </row>
    <row r="430">
      <c r="A430" s="1">
        <v>46255.0</v>
      </c>
      <c r="B430" s="2" t="s">
        <v>17</v>
      </c>
      <c r="C430" s="2" t="s">
        <v>444</v>
      </c>
      <c r="D430" s="5">
        <v>2.4455575E8</v>
      </c>
      <c r="E430" s="4"/>
      <c r="F430" s="5" t="s">
        <v>3</v>
      </c>
      <c r="G430" s="4">
        <v>2.1991100857000005E8</v>
      </c>
      <c r="H430" s="5">
        <v>2.1991100857E8</v>
      </c>
      <c r="I430" s="6" t="s">
        <v>43</v>
      </c>
    </row>
    <row r="431">
      <c r="A431" s="1">
        <v>46255.0</v>
      </c>
      <c r="B431" s="2" t="s">
        <v>17</v>
      </c>
      <c r="C431" s="2" t="s">
        <v>445</v>
      </c>
      <c r="D431" s="5">
        <v>6.10974E7</v>
      </c>
      <c r="E431" s="4"/>
      <c r="F431" s="5" t="s">
        <v>3</v>
      </c>
      <c r="G431" s="4">
        <v>1.5881360857000005E8</v>
      </c>
      <c r="H431" s="4"/>
      <c r="I431" s="6" t="s">
        <v>43</v>
      </c>
    </row>
    <row r="432">
      <c r="A432" s="1">
        <v>46255.0</v>
      </c>
      <c r="B432" s="2" t="s">
        <v>14</v>
      </c>
      <c r="C432" s="2" t="s">
        <v>446</v>
      </c>
      <c r="D432" s="5"/>
      <c r="E432" s="5">
        <v>2.014944E8</v>
      </c>
      <c r="F432" s="5" t="s">
        <v>16</v>
      </c>
      <c r="G432" s="4">
        <v>3.6030800857000005E8</v>
      </c>
      <c r="H432" s="4"/>
      <c r="I432" s="6" t="s">
        <v>43</v>
      </c>
    </row>
    <row r="433">
      <c r="A433" s="1">
        <v>46255.0</v>
      </c>
      <c r="B433" s="2" t="s">
        <v>14</v>
      </c>
      <c r="C433" s="2" t="s">
        <v>447</v>
      </c>
      <c r="D433" s="5"/>
      <c r="E433" s="5">
        <v>2.8784406E8</v>
      </c>
      <c r="F433" s="5" t="s">
        <v>16</v>
      </c>
      <c r="G433" s="4">
        <v>6.4815206857E8</v>
      </c>
      <c r="H433" s="4"/>
      <c r="I433" s="6" t="s">
        <v>43</v>
      </c>
    </row>
    <row r="434">
      <c r="A434" s="1">
        <v>46255.0</v>
      </c>
      <c r="B434" s="2" t="s">
        <v>14</v>
      </c>
      <c r="C434" s="2" t="s">
        <v>448</v>
      </c>
      <c r="D434" s="5"/>
      <c r="E434" s="5">
        <v>5.0E7</v>
      </c>
      <c r="F434" s="5" t="s">
        <v>16</v>
      </c>
      <c r="G434" s="4">
        <v>6.9815206857E8</v>
      </c>
      <c r="H434" s="4"/>
      <c r="I434" s="6" t="s">
        <v>43</v>
      </c>
    </row>
    <row r="435">
      <c r="A435" s="1">
        <v>46255.0</v>
      </c>
      <c r="B435" s="2" t="s">
        <v>17</v>
      </c>
      <c r="C435" s="2" t="s">
        <v>449</v>
      </c>
      <c r="D435" s="5">
        <v>1.29515E7</v>
      </c>
      <c r="E435" s="4"/>
      <c r="F435" s="5" t="s">
        <v>3</v>
      </c>
      <c r="G435" s="4">
        <v>6.8520056857E8</v>
      </c>
      <c r="H435" s="4"/>
      <c r="I435" s="6" t="s">
        <v>43</v>
      </c>
    </row>
    <row r="436">
      <c r="A436" s="1">
        <v>46255.0</v>
      </c>
      <c r="B436" s="2" t="s">
        <v>17</v>
      </c>
      <c r="C436" s="2" t="s">
        <v>450</v>
      </c>
      <c r="D436" s="5">
        <v>2574680.0</v>
      </c>
      <c r="E436" s="4"/>
      <c r="F436" s="5" t="s">
        <v>3</v>
      </c>
      <c r="G436" s="4">
        <v>6.8262588857E8</v>
      </c>
      <c r="H436" s="4"/>
      <c r="I436" s="6" t="s">
        <v>43</v>
      </c>
    </row>
    <row r="437">
      <c r="A437" s="1">
        <v>46255.0</v>
      </c>
      <c r="B437" s="2" t="s">
        <v>17</v>
      </c>
      <c r="C437" s="2" t="s">
        <v>451</v>
      </c>
      <c r="D437" s="5">
        <v>6.8262E7</v>
      </c>
      <c r="E437" s="4"/>
      <c r="F437" s="5" t="s">
        <v>3</v>
      </c>
      <c r="G437" s="4">
        <v>6.1436388857E8</v>
      </c>
      <c r="H437" s="4"/>
      <c r="I437" s="6" t="s">
        <v>43</v>
      </c>
    </row>
    <row r="438">
      <c r="A438" s="1">
        <v>46255.0</v>
      </c>
      <c r="B438" s="2" t="s">
        <v>17</v>
      </c>
      <c r="C438" s="2" t="s">
        <v>452</v>
      </c>
      <c r="D438" s="5">
        <v>1.27798E8</v>
      </c>
      <c r="E438" s="4"/>
      <c r="F438" s="5" t="s">
        <v>3</v>
      </c>
      <c r="G438" s="4">
        <v>4.8656588857000005E8</v>
      </c>
      <c r="H438" s="4"/>
      <c r="I438" s="6" t="s">
        <v>43</v>
      </c>
    </row>
    <row r="439">
      <c r="A439" s="1">
        <v>46255.0</v>
      </c>
      <c r="B439" s="2" t="s">
        <v>17</v>
      </c>
      <c r="C439" s="2" t="s">
        <v>453</v>
      </c>
      <c r="D439" s="5">
        <v>1.276461E8</v>
      </c>
      <c r="E439" s="4"/>
      <c r="F439" s="5" t="s">
        <v>3</v>
      </c>
      <c r="G439" s="4">
        <v>3.5891978857000005E8</v>
      </c>
      <c r="H439" s="4"/>
      <c r="I439" s="6" t="s">
        <v>43</v>
      </c>
    </row>
    <row r="440">
      <c r="A440" s="1">
        <v>46255.0</v>
      </c>
      <c r="B440" s="2" t="s">
        <v>17</v>
      </c>
      <c r="C440" s="2" t="s">
        <v>454</v>
      </c>
      <c r="D440" s="5">
        <v>7.66498E7</v>
      </c>
      <c r="E440" s="4"/>
      <c r="F440" s="5" t="s">
        <v>3</v>
      </c>
      <c r="G440" s="4">
        <v>2.8226998857000005E8</v>
      </c>
      <c r="H440" s="4"/>
      <c r="I440" s="6" t="s">
        <v>43</v>
      </c>
    </row>
    <row r="441">
      <c r="A441" s="1">
        <v>46255.0</v>
      </c>
      <c r="B441" s="2" t="s">
        <v>17</v>
      </c>
      <c r="C441" s="2" t="s">
        <v>455</v>
      </c>
      <c r="D441" s="5">
        <v>4.6652E7</v>
      </c>
      <c r="E441" s="4"/>
      <c r="F441" s="5" t="s">
        <v>3</v>
      </c>
      <c r="G441" s="4">
        <v>2.3561798857000005E8</v>
      </c>
      <c r="H441" s="4"/>
      <c r="I441" s="6" t="s">
        <v>43</v>
      </c>
    </row>
    <row r="442">
      <c r="A442" s="1">
        <v>46255.0</v>
      </c>
      <c r="B442" s="2" t="s">
        <v>17</v>
      </c>
      <c r="C442" s="2" t="s">
        <v>456</v>
      </c>
      <c r="D442" s="5">
        <v>1290240.0</v>
      </c>
      <c r="E442" s="4"/>
      <c r="F442" s="5" t="s">
        <v>3</v>
      </c>
      <c r="G442" s="4">
        <v>2.3432774857000005E8</v>
      </c>
      <c r="H442" s="5">
        <v>2.3432774857E8</v>
      </c>
      <c r="I442" s="6" t="s">
        <v>43</v>
      </c>
    </row>
    <row r="443">
      <c r="A443" s="1">
        <v>46255.0</v>
      </c>
      <c r="B443" s="2" t="s">
        <v>17</v>
      </c>
      <c r="C443" s="2" t="s">
        <v>457</v>
      </c>
      <c r="D443" s="5">
        <v>1729250.0</v>
      </c>
      <c r="E443" s="4"/>
      <c r="F443" s="5" t="s">
        <v>3</v>
      </c>
      <c r="G443" s="4">
        <v>2.3259849857000005E8</v>
      </c>
      <c r="H443" s="5">
        <v>2.3259849857E8</v>
      </c>
      <c r="I443" s="6" t="s">
        <v>43</v>
      </c>
    </row>
    <row r="444">
      <c r="A444" s="1">
        <v>46255.0</v>
      </c>
      <c r="B444" s="2" t="s">
        <v>17</v>
      </c>
      <c r="C444" s="2" t="s">
        <v>458</v>
      </c>
      <c r="D444" s="5">
        <v>4.7E7</v>
      </c>
      <c r="E444" s="4"/>
      <c r="F444" s="5" t="s">
        <v>3</v>
      </c>
      <c r="G444" s="4">
        <v>1.8559849857000005E8</v>
      </c>
      <c r="H444" s="5">
        <v>1.8559849857E8</v>
      </c>
      <c r="I444" s="6" t="s">
        <v>43</v>
      </c>
    </row>
    <row r="445">
      <c r="A445" s="1">
        <v>46256.0</v>
      </c>
      <c r="B445" s="2" t="s">
        <v>17</v>
      </c>
      <c r="C445" s="2" t="s">
        <v>459</v>
      </c>
      <c r="D445" s="5">
        <v>8.92E7</v>
      </c>
      <c r="E445" s="4"/>
      <c r="F445" s="5" t="s">
        <v>3</v>
      </c>
      <c r="G445" s="4">
        <v>9.639849857000005E7</v>
      </c>
      <c r="H445" s="4"/>
      <c r="I445" s="6" t="s">
        <v>43</v>
      </c>
    </row>
    <row r="446">
      <c r="A446" s="1">
        <v>46256.0</v>
      </c>
      <c r="B446" s="2" t="s">
        <v>17</v>
      </c>
      <c r="C446" s="2" t="s">
        <v>460</v>
      </c>
      <c r="D446" s="5">
        <v>2.648348E7</v>
      </c>
      <c r="E446" s="4"/>
      <c r="F446" s="5" t="s">
        <v>3</v>
      </c>
      <c r="G446" s="4">
        <v>6.991501857000005E7</v>
      </c>
      <c r="H446" s="4"/>
      <c r="I446" s="6" t="s">
        <v>43</v>
      </c>
    </row>
    <row r="447">
      <c r="A447" s="1">
        <v>46256.0</v>
      </c>
      <c r="B447" s="2" t="s">
        <v>17</v>
      </c>
      <c r="C447" s="2" t="s">
        <v>461</v>
      </c>
      <c r="D447" s="5">
        <v>6.567312E7</v>
      </c>
      <c r="E447" s="4"/>
      <c r="F447" s="5" t="s">
        <v>3</v>
      </c>
      <c r="G447" s="4">
        <v>4241898.570000052</v>
      </c>
      <c r="H447" s="4"/>
      <c r="I447" s="6" t="s">
        <v>43</v>
      </c>
    </row>
    <row r="448">
      <c r="A448" s="1">
        <v>46256.0</v>
      </c>
      <c r="B448" s="2" t="s">
        <v>17</v>
      </c>
      <c r="C448" s="2" t="s">
        <v>462</v>
      </c>
      <c r="D448" s="5">
        <v>1800000.0</v>
      </c>
      <c r="E448" s="4"/>
      <c r="F448" s="5" t="s">
        <v>3</v>
      </c>
      <c r="G448" s="4">
        <v>2441898.5700000525</v>
      </c>
      <c r="H448" s="4"/>
      <c r="I448" s="6" t="s">
        <v>43</v>
      </c>
    </row>
    <row r="449">
      <c r="A449" s="1">
        <v>46256.0</v>
      </c>
      <c r="B449" s="2" t="s">
        <v>14</v>
      </c>
      <c r="C449" s="2" t="s">
        <v>463</v>
      </c>
      <c r="D449" s="5"/>
      <c r="E449" s="5">
        <v>7.4529E7</v>
      </c>
      <c r="F449" s="5" t="s">
        <v>16</v>
      </c>
      <c r="G449" s="4">
        <v>7.697089857000005E7</v>
      </c>
      <c r="H449" s="4"/>
      <c r="I449" s="6" t="s">
        <v>43</v>
      </c>
    </row>
    <row r="450">
      <c r="A450" s="1">
        <v>46256.0</v>
      </c>
      <c r="B450" s="2" t="s">
        <v>14</v>
      </c>
      <c r="C450" s="2" t="s">
        <v>464</v>
      </c>
      <c r="D450" s="5"/>
      <c r="E450" s="5">
        <v>2.7608E8</v>
      </c>
      <c r="F450" s="5" t="s">
        <v>16</v>
      </c>
      <c r="G450" s="4">
        <v>3.5305089857000005E8</v>
      </c>
      <c r="H450" s="4"/>
      <c r="I450" s="6" t="s">
        <v>43</v>
      </c>
    </row>
    <row r="451">
      <c r="A451" s="1">
        <v>46256.0</v>
      </c>
      <c r="B451" s="2" t="s">
        <v>170</v>
      </c>
      <c r="C451" s="2" t="s">
        <v>465</v>
      </c>
      <c r="D451" s="5">
        <v>300000.0</v>
      </c>
      <c r="E451" s="4"/>
      <c r="F451" s="5" t="s">
        <v>3</v>
      </c>
      <c r="G451" s="4">
        <v>3.5275089857000005E8</v>
      </c>
      <c r="H451" s="4"/>
      <c r="I451" s="6" t="s">
        <v>43</v>
      </c>
    </row>
    <row r="452">
      <c r="A452" s="1">
        <v>46256.0</v>
      </c>
      <c r="B452" s="2" t="s">
        <v>170</v>
      </c>
      <c r="C452" s="2" t="s">
        <v>466</v>
      </c>
      <c r="D452" s="5">
        <v>2500.0</v>
      </c>
      <c r="E452" s="4"/>
      <c r="F452" s="5" t="s">
        <v>3</v>
      </c>
      <c r="G452" s="4">
        <v>3.5274839857000005E8</v>
      </c>
      <c r="H452" s="4"/>
      <c r="I452" s="6" t="s">
        <v>43</v>
      </c>
    </row>
    <row r="453">
      <c r="A453" s="1">
        <v>46256.0</v>
      </c>
      <c r="B453" s="2" t="s">
        <v>17</v>
      </c>
      <c r="C453" s="2" t="s">
        <v>467</v>
      </c>
      <c r="D453" s="5">
        <v>1.2926E7</v>
      </c>
      <c r="E453" s="4"/>
      <c r="F453" s="5" t="s">
        <v>3</v>
      </c>
      <c r="G453" s="4">
        <v>3.3982239857000005E8</v>
      </c>
      <c r="H453" s="4"/>
      <c r="I453" s="6" t="s">
        <v>43</v>
      </c>
    </row>
    <row r="454">
      <c r="A454" s="1">
        <v>46256.0</v>
      </c>
      <c r="B454" s="2" t="s">
        <v>17</v>
      </c>
      <c r="C454" s="2" t="s">
        <v>468</v>
      </c>
      <c r="D454" s="5">
        <v>350000.0</v>
      </c>
      <c r="E454" s="4"/>
      <c r="F454" s="5" t="s">
        <v>3</v>
      </c>
      <c r="G454" s="4">
        <v>3.3947239857000005E8</v>
      </c>
      <c r="H454" s="4"/>
      <c r="I454" s="6" t="s">
        <v>43</v>
      </c>
    </row>
    <row r="455">
      <c r="A455" s="1">
        <v>46256.0</v>
      </c>
      <c r="B455" s="2" t="s">
        <v>14</v>
      </c>
      <c r="C455" s="2" t="s">
        <v>469</v>
      </c>
      <c r="D455" s="5"/>
      <c r="E455" s="5">
        <v>6.58252E7</v>
      </c>
      <c r="F455" s="5" t="s">
        <v>16</v>
      </c>
      <c r="G455" s="4">
        <v>4.0529759857000005E8</v>
      </c>
      <c r="H455" s="5">
        <v>4.0529759857E8</v>
      </c>
      <c r="I455" s="6" t="s">
        <v>43</v>
      </c>
    </row>
    <row r="456">
      <c r="A456" s="1">
        <v>46256.0</v>
      </c>
      <c r="B456" s="2" t="s">
        <v>14</v>
      </c>
      <c r="C456" s="2" t="s">
        <v>470</v>
      </c>
      <c r="D456" s="5"/>
      <c r="E456" s="5">
        <v>2.4537084E8</v>
      </c>
      <c r="F456" s="5" t="s">
        <v>16</v>
      </c>
      <c r="G456" s="4">
        <v>6.5066843857E8</v>
      </c>
      <c r="H456" s="5">
        <v>6.5066843857E8</v>
      </c>
      <c r="I456" s="6" t="s">
        <v>43</v>
      </c>
    </row>
    <row r="457">
      <c r="A457" s="1">
        <v>46256.0</v>
      </c>
      <c r="B457" s="2" t="s">
        <v>471</v>
      </c>
      <c r="C457" s="2" t="s">
        <v>471</v>
      </c>
      <c r="D457" s="5">
        <v>600000.0</v>
      </c>
      <c r="E457" s="4"/>
      <c r="F457" s="4"/>
      <c r="G457" s="4">
        <v>6.5006843857E8</v>
      </c>
      <c r="H457" s="4"/>
      <c r="I457" s="6" t="s">
        <v>43</v>
      </c>
    </row>
    <row r="458">
      <c r="A458" s="1">
        <v>46256.0</v>
      </c>
      <c r="B458" s="2" t="s">
        <v>14</v>
      </c>
      <c r="C458" s="2" t="s">
        <v>472</v>
      </c>
      <c r="D458" s="5"/>
      <c r="E458" s="5">
        <v>3.0543898E8</v>
      </c>
      <c r="F458" s="5" t="s">
        <v>16</v>
      </c>
      <c r="G458" s="4">
        <v>9.5550741857E8</v>
      </c>
      <c r="H458" s="4"/>
      <c r="I458" s="6" t="s">
        <v>43</v>
      </c>
    </row>
    <row r="459">
      <c r="A459" s="1">
        <v>46256.0</v>
      </c>
      <c r="B459" s="2" t="s">
        <v>14</v>
      </c>
      <c r="C459" s="2" t="s">
        <v>473</v>
      </c>
      <c r="D459" s="5"/>
      <c r="E459" s="5">
        <v>1.0E8</v>
      </c>
      <c r="F459" s="5" t="s">
        <v>16</v>
      </c>
      <c r="G459" s="4">
        <v>1.05550741857E9</v>
      </c>
      <c r="H459" s="4"/>
      <c r="I459" s="6" t="s">
        <v>43</v>
      </c>
    </row>
    <row r="460">
      <c r="A460" s="1">
        <v>46256.0</v>
      </c>
      <c r="B460" s="2" t="s">
        <v>17</v>
      </c>
      <c r="C460" s="2" t="s">
        <v>474</v>
      </c>
      <c r="D460" s="5">
        <v>2300000.0</v>
      </c>
      <c r="E460" s="4"/>
      <c r="F460" s="5" t="s">
        <v>3</v>
      </c>
      <c r="G460" s="4">
        <v>1.05320741857E9</v>
      </c>
      <c r="H460" s="4"/>
      <c r="I460" s="6" t="s">
        <v>43</v>
      </c>
    </row>
    <row r="461">
      <c r="A461" s="1">
        <v>46256.0</v>
      </c>
      <c r="B461" s="2" t="s">
        <v>17</v>
      </c>
      <c r="C461" s="2" t="s">
        <v>475</v>
      </c>
      <c r="D461" s="5">
        <v>2580000.0</v>
      </c>
      <c r="E461" s="4"/>
      <c r="F461" s="5" t="s">
        <v>3</v>
      </c>
      <c r="G461" s="4">
        <v>1.05062741857E9</v>
      </c>
      <c r="H461" s="4"/>
      <c r="I461" s="6" t="s">
        <v>43</v>
      </c>
    </row>
    <row r="462">
      <c r="A462" s="1">
        <v>46256.0</v>
      </c>
      <c r="B462" s="2" t="s">
        <v>17</v>
      </c>
      <c r="C462" s="2" t="s">
        <v>476</v>
      </c>
      <c r="D462" s="5">
        <v>2.146164E7</v>
      </c>
      <c r="E462" s="4"/>
      <c r="F462" s="5" t="s">
        <v>3</v>
      </c>
      <c r="G462" s="4">
        <v>1.02916577857E9</v>
      </c>
      <c r="H462" s="4"/>
      <c r="I462" s="6" t="s">
        <v>43</v>
      </c>
    </row>
    <row r="463">
      <c r="A463" s="1">
        <v>46256.0</v>
      </c>
      <c r="B463" s="2" t="s">
        <v>17</v>
      </c>
      <c r="C463" s="2" t="s">
        <v>477</v>
      </c>
      <c r="D463" s="5">
        <v>250000.0</v>
      </c>
      <c r="E463" s="4"/>
      <c r="F463" s="5" t="s">
        <v>3</v>
      </c>
      <c r="G463" s="4">
        <v>1.02891577857E9</v>
      </c>
      <c r="H463" s="4"/>
      <c r="I463" s="6" t="s">
        <v>43</v>
      </c>
    </row>
    <row r="464">
      <c r="A464" s="1">
        <v>46256.0</v>
      </c>
      <c r="B464" s="2" t="s">
        <v>17</v>
      </c>
      <c r="C464" s="2" t="s">
        <v>478</v>
      </c>
      <c r="D464" s="5">
        <v>2.131811E8</v>
      </c>
      <c r="E464" s="4"/>
      <c r="F464" s="5" t="s">
        <v>3</v>
      </c>
      <c r="G464" s="4">
        <v>8.1573467857E8</v>
      </c>
      <c r="H464" s="4"/>
      <c r="I464" s="6" t="s">
        <v>43</v>
      </c>
    </row>
    <row r="465">
      <c r="A465" s="1">
        <v>46256.0</v>
      </c>
      <c r="B465" s="2" t="s">
        <v>17</v>
      </c>
      <c r="C465" s="2" t="s">
        <v>479</v>
      </c>
      <c r="D465" s="5">
        <v>2.221939E8</v>
      </c>
      <c r="E465" s="4"/>
      <c r="F465" s="5" t="s">
        <v>3</v>
      </c>
      <c r="G465" s="4">
        <v>5.9354077857E8</v>
      </c>
      <c r="H465" s="4"/>
      <c r="I465" s="6" t="s">
        <v>43</v>
      </c>
    </row>
    <row r="466">
      <c r="A466" s="1">
        <v>46256.0</v>
      </c>
      <c r="B466" s="2" t="s">
        <v>17</v>
      </c>
      <c r="C466" s="2" t="s">
        <v>480</v>
      </c>
      <c r="D466" s="5">
        <v>6.4625E7</v>
      </c>
      <c r="E466" s="4"/>
      <c r="F466" s="5" t="s">
        <v>3</v>
      </c>
      <c r="G466" s="4">
        <v>5.2891577857000005E8</v>
      </c>
      <c r="H466" s="4"/>
      <c r="I466" s="6" t="s">
        <v>43</v>
      </c>
    </row>
    <row r="467">
      <c r="A467" s="1">
        <v>46256.0</v>
      </c>
      <c r="B467" s="2" t="s">
        <v>17</v>
      </c>
      <c r="C467" s="2" t="s">
        <v>481</v>
      </c>
      <c r="D467" s="5">
        <v>776800.0</v>
      </c>
      <c r="E467" s="4"/>
      <c r="F467" s="5" t="s">
        <v>3</v>
      </c>
      <c r="G467" s="4">
        <v>5.2813897857000005E8</v>
      </c>
      <c r="H467" s="4"/>
      <c r="I467" s="6" t="s">
        <v>43</v>
      </c>
    </row>
    <row r="468">
      <c r="A468" s="1">
        <v>46256.0</v>
      </c>
      <c r="B468" s="2" t="s">
        <v>17</v>
      </c>
      <c r="C468" s="2" t="s">
        <v>482</v>
      </c>
      <c r="D468" s="5">
        <v>1.159145E8</v>
      </c>
      <c r="E468" s="4"/>
      <c r="F468" s="5" t="s">
        <v>3</v>
      </c>
      <c r="G468" s="4">
        <v>4.1222447857000005E8</v>
      </c>
      <c r="H468" s="4"/>
      <c r="I468" s="6" t="s">
        <v>43</v>
      </c>
    </row>
    <row r="469">
      <c r="A469" s="1">
        <v>46256.0</v>
      </c>
      <c r="B469" s="2" t="s">
        <v>17</v>
      </c>
      <c r="C469" s="2" t="s">
        <v>483</v>
      </c>
      <c r="D469" s="5">
        <v>300000.0</v>
      </c>
      <c r="E469" s="4"/>
      <c r="F469" s="5" t="s">
        <v>3</v>
      </c>
      <c r="G469" s="4">
        <v>4.1192447857000005E8</v>
      </c>
      <c r="H469" s="4"/>
      <c r="I469" s="6" t="s">
        <v>43</v>
      </c>
    </row>
    <row r="470">
      <c r="A470" s="1">
        <v>46256.0</v>
      </c>
      <c r="B470" s="2" t="s">
        <v>17</v>
      </c>
      <c r="C470" s="2" t="s">
        <v>484</v>
      </c>
      <c r="D470" s="5">
        <v>1250000.0</v>
      </c>
      <c r="E470" s="4"/>
      <c r="F470" s="5" t="s">
        <v>3</v>
      </c>
      <c r="G470" s="4">
        <v>4.1067447857000005E8</v>
      </c>
      <c r="H470" s="5">
        <v>4.1067447857E8</v>
      </c>
      <c r="I470" s="6" t="s">
        <v>43</v>
      </c>
    </row>
    <row r="471">
      <c r="A471" s="1">
        <v>46256.0</v>
      </c>
      <c r="B471" s="2" t="s">
        <v>17</v>
      </c>
      <c r="C471" s="2" t="s">
        <v>485</v>
      </c>
      <c r="D471" s="5">
        <v>2932200.0</v>
      </c>
      <c r="E471" s="4"/>
      <c r="F471" s="5" t="s">
        <v>3</v>
      </c>
      <c r="G471" s="4">
        <v>4.0774227857000005E8</v>
      </c>
      <c r="H471" s="5">
        <v>4.0774227857E8</v>
      </c>
      <c r="I471" s="6" t="s">
        <v>43</v>
      </c>
    </row>
    <row r="472">
      <c r="A472" s="1">
        <v>46256.0</v>
      </c>
      <c r="B472" s="2" t="s">
        <v>17</v>
      </c>
      <c r="C472" s="2" t="s">
        <v>486</v>
      </c>
      <c r="D472" s="5">
        <v>1875060.0</v>
      </c>
      <c r="E472" s="4"/>
      <c r="F472" s="5" t="s">
        <v>3</v>
      </c>
      <c r="G472" s="4">
        <v>4.0586721857000005E8</v>
      </c>
      <c r="H472" s="4"/>
      <c r="I472" s="6" t="s">
        <v>43</v>
      </c>
    </row>
    <row r="473">
      <c r="A473" s="1">
        <v>46256.0</v>
      </c>
      <c r="B473" s="2" t="s">
        <v>17</v>
      </c>
      <c r="C473" s="2" t="s">
        <v>487</v>
      </c>
      <c r="D473" s="5">
        <v>1855620.0</v>
      </c>
      <c r="E473" s="4"/>
      <c r="F473" s="5" t="s">
        <v>3</v>
      </c>
      <c r="G473" s="4">
        <v>4.0401159857000005E8</v>
      </c>
      <c r="H473" s="5">
        <v>4.0401159857E8</v>
      </c>
      <c r="I473" s="6" t="s">
        <v>43</v>
      </c>
    </row>
    <row r="474">
      <c r="A474" s="1">
        <v>46257.0</v>
      </c>
      <c r="B474" s="2" t="s">
        <v>17</v>
      </c>
      <c r="C474" s="2" t="s">
        <v>488</v>
      </c>
      <c r="D474" s="5">
        <v>1.5761425E8</v>
      </c>
      <c r="E474" s="4"/>
      <c r="F474" s="5" t="s">
        <v>3</v>
      </c>
      <c r="G474" s="4">
        <v>2.4639734857000005E8</v>
      </c>
      <c r="H474" s="4"/>
      <c r="I474" s="6" t="s">
        <v>43</v>
      </c>
    </row>
    <row r="475">
      <c r="A475" s="1">
        <v>46257.0</v>
      </c>
      <c r="B475" s="2" t="s">
        <v>17</v>
      </c>
      <c r="C475" s="2" t="s">
        <v>489</v>
      </c>
      <c r="D475" s="5">
        <v>1.9800194E8</v>
      </c>
      <c r="E475" s="4"/>
      <c r="F475" s="5" t="s">
        <v>3</v>
      </c>
      <c r="G475" s="4">
        <v>4.839540857000005E7</v>
      </c>
      <c r="H475" s="4"/>
      <c r="I475" s="6" t="s">
        <v>43</v>
      </c>
    </row>
    <row r="476">
      <c r="A476" s="1">
        <v>46257.0</v>
      </c>
      <c r="B476" s="2" t="s">
        <v>14</v>
      </c>
      <c r="C476" s="2" t="s">
        <v>490</v>
      </c>
      <c r="D476" s="5"/>
      <c r="E476" s="5">
        <v>5.7975333E8</v>
      </c>
      <c r="F476" s="5" t="s">
        <v>16</v>
      </c>
      <c r="G476" s="4">
        <v>6.2814873857E8</v>
      </c>
      <c r="H476" s="4"/>
      <c r="I476" s="6" t="s">
        <v>43</v>
      </c>
    </row>
    <row r="477">
      <c r="A477" s="1">
        <v>46257.0</v>
      </c>
      <c r="B477" s="2" t="s">
        <v>14</v>
      </c>
      <c r="C477" s="2" t="s">
        <v>491</v>
      </c>
      <c r="D477" s="5"/>
      <c r="E477" s="5">
        <v>1.269932E8</v>
      </c>
      <c r="F477" s="5" t="s">
        <v>16</v>
      </c>
      <c r="G477" s="4">
        <v>7.5514193857E8</v>
      </c>
      <c r="H477" s="4"/>
      <c r="I477" s="6" t="s">
        <v>43</v>
      </c>
    </row>
    <row r="478">
      <c r="A478" s="1">
        <v>46257.0</v>
      </c>
      <c r="B478" s="2" t="s">
        <v>17</v>
      </c>
      <c r="C478" s="2" t="s">
        <v>492</v>
      </c>
      <c r="D478" s="5">
        <v>7.54032E7</v>
      </c>
      <c r="E478" s="4"/>
      <c r="F478" s="5" t="s">
        <v>3</v>
      </c>
      <c r="G478" s="4">
        <v>6.7973873857E8</v>
      </c>
      <c r="H478" s="4"/>
      <c r="I478" s="6" t="s">
        <v>43</v>
      </c>
    </row>
    <row r="479">
      <c r="A479" s="1">
        <v>46257.0</v>
      </c>
      <c r="B479" s="2" t="s">
        <v>17</v>
      </c>
      <c r="C479" s="2" t="s">
        <v>493</v>
      </c>
      <c r="D479" s="5">
        <v>1.96515E7</v>
      </c>
      <c r="E479" s="4"/>
      <c r="F479" s="5" t="s">
        <v>3</v>
      </c>
      <c r="G479" s="4">
        <v>6.6008723857E8</v>
      </c>
      <c r="H479" s="4"/>
      <c r="I479" s="6" t="s">
        <v>43</v>
      </c>
    </row>
    <row r="480">
      <c r="A480" s="1">
        <v>46257.0</v>
      </c>
      <c r="B480" s="2" t="s">
        <v>17</v>
      </c>
      <c r="C480" s="2" t="s">
        <v>494</v>
      </c>
      <c r="D480" s="5">
        <v>1.768635E8</v>
      </c>
      <c r="E480" s="4"/>
      <c r="F480" s="5" t="s">
        <v>3</v>
      </c>
      <c r="G480" s="4">
        <v>4.8322373857000005E8</v>
      </c>
      <c r="H480" s="4"/>
      <c r="I480" s="6" t="s">
        <v>43</v>
      </c>
    </row>
    <row r="481">
      <c r="A481" s="1">
        <v>46257.0</v>
      </c>
      <c r="B481" s="2" t="s">
        <v>17</v>
      </c>
      <c r="C481" s="2" t="s">
        <v>495</v>
      </c>
      <c r="D481" s="5">
        <v>3.00798E7</v>
      </c>
      <c r="E481" s="4"/>
      <c r="F481" s="5" t="s">
        <v>3</v>
      </c>
      <c r="G481" s="4">
        <v>4.5314393857000005E8</v>
      </c>
      <c r="H481" s="4"/>
      <c r="I481" s="6" t="s">
        <v>43</v>
      </c>
    </row>
    <row r="482">
      <c r="A482" s="1">
        <v>46257.0</v>
      </c>
      <c r="B482" s="2" t="s">
        <v>17</v>
      </c>
      <c r="C482" s="2" t="s">
        <v>496</v>
      </c>
      <c r="D482" s="5">
        <v>3.5865E7</v>
      </c>
      <c r="E482" s="4"/>
      <c r="F482" s="5" t="s">
        <v>3</v>
      </c>
      <c r="G482" s="4">
        <v>4.1727893857000005E8</v>
      </c>
      <c r="H482" s="4"/>
      <c r="I482" s="6" t="s">
        <v>43</v>
      </c>
    </row>
    <row r="483">
      <c r="A483" s="1">
        <v>46257.0</v>
      </c>
      <c r="B483" s="2" t="s">
        <v>17</v>
      </c>
      <c r="C483" s="2" t="s">
        <v>497</v>
      </c>
      <c r="D483" s="5">
        <v>7.07068E7</v>
      </c>
      <c r="E483" s="4"/>
      <c r="F483" s="5" t="s">
        <v>3</v>
      </c>
      <c r="G483" s="4">
        <v>3.4657213857000005E8</v>
      </c>
      <c r="H483" s="5">
        <v>3.4657213857E8</v>
      </c>
      <c r="I483" s="6" t="s">
        <v>43</v>
      </c>
    </row>
    <row r="484">
      <c r="A484" s="1">
        <v>46257.0</v>
      </c>
      <c r="B484" s="2" t="s">
        <v>17</v>
      </c>
      <c r="C484" s="2" t="s">
        <v>498</v>
      </c>
      <c r="D484" s="5">
        <v>7.0E7</v>
      </c>
      <c r="E484" s="4"/>
      <c r="F484" s="5" t="s">
        <v>3</v>
      </c>
      <c r="G484" s="4">
        <v>2.7657213857000005E8</v>
      </c>
      <c r="H484" s="5">
        <v>2.7657213857E8</v>
      </c>
      <c r="I484" s="6" t="s">
        <v>43</v>
      </c>
    </row>
    <row r="485">
      <c r="A485" s="1">
        <v>46257.0</v>
      </c>
      <c r="B485" s="2" t="s">
        <v>17</v>
      </c>
      <c r="C485" s="2" t="s">
        <v>499</v>
      </c>
      <c r="D485" s="5">
        <v>4.0E7</v>
      </c>
      <c r="E485" s="4"/>
      <c r="F485" s="5" t="s">
        <v>3</v>
      </c>
      <c r="G485" s="4">
        <v>2.3657213857000005E8</v>
      </c>
      <c r="H485" s="4"/>
      <c r="I485" s="6" t="s">
        <v>43</v>
      </c>
    </row>
    <row r="486">
      <c r="A486" s="1">
        <v>46257.0</v>
      </c>
      <c r="B486" s="2" t="s">
        <v>17</v>
      </c>
      <c r="C486" s="2" t="s">
        <v>500</v>
      </c>
      <c r="D486" s="5">
        <v>8.232755E7</v>
      </c>
      <c r="E486" s="4"/>
      <c r="F486" s="5" t="s">
        <v>3</v>
      </c>
      <c r="G486" s="4">
        <v>1.5424458857000005E8</v>
      </c>
      <c r="H486" s="4"/>
      <c r="I486" s="6" t="s">
        <v>43</v>
      </c>
    </row>
    <row r="487">
      <c r="A487" s="1">
        <v>46257.0</v>
      </c>
      <c r="B487" s="2" t="s">
        <v>92</v>
      </c>
      <c r="C487" s="2" t="s">
        <v>501</v>
      </c>
      <c r="D487" s="5">
        <v>52000.0</v>
      </c>
      <c r="E487" s="4"/>
      <c r="F487" s="4"/>
      <c r="G487" s="4">
        <v>1.5419258857000005E8</v>
      </c>
      <c r="H487" s="4"/>
      <c r="I487" s="6" t="s">
        <v>43</v>
      </c>
    </row>
    <row r="488">
      <c r="A488" s="1">
        <v>46257.0</v>
      </c>
      <c r="B488" s="2" t="s">
        <v>14</v>
      </c>
      <c r="C488" s="2" t="s">
        <v>502</v>
      </c>
      <c r="D488" s="5"/>
      <c r="E488" s="5">
        <v>3.626675E7</v>
      </c>
      <c r="F488" s="5" t="s">
        <v>16</v>
      </c>
      <c r="G488" s="4">
        <v>1.9045933857000005E8</v>
      </c>
      <c r="H488" s="4"/>
      <c r="I488" s="6" t="s">
        <v>43</v>
      </c>
    </row>
    <row r="489">
      <c r="A489" s="1">
        <v>46257.0</v>
      </c>
      <c r="B489" s="2" t="s">
        <v>14</v>
      </c>
      <c r="C489" s="2" t="s">
        <v>503</v>
      </c>
      <c r="D489" s="5"/>
      <c r="E489" s="5">
        <v>1.3250411E8</v>
      </c>
      <c r="F489" s="5" t="s">
        <v>16</v>
      </c>
      <c r="G489" s="4">
        <v>3.2296344857000005E8</v>
      </c>
      <c r="H489" s="4"/>
      <c r="I489" s="6" t="s">
        <v>43</v>
      </c>
    </row>
    <row r="490">
      <c r="A490" s="1">
        <v>46257.0</v>
      </c>
      <c r="B490" s="2" t="s">
        <v>504</v>
      </c>
      <c r="C490" s="2" t="s">
        <v>504</v>
      </c>
      <c r="D490" s="5">
        <v>1700000.0</v>
      </c>
      <c r="E490" s="4"/>
      <c r="F490" s="4"/>
      <c r="G490" s="4">
        <v>3.2126344857000005E8</v>
      </c>
      <c r="H490" s="4"/>
      <c r="I490" s="6" t="s">
        <v>43</v>
      </c>
    </row>
    <row r="491">
      <c r="A491" s="1">
        <v>46257.0</v>
      </c>
      <c r="B491" s="2" t="s">
        <v>14</v>
      </c>
      <c r="C491" s="2" t="s">
        <v>505</v>
      </c>
      <c r="D491" s="5"/>
      <c r="E491" s="5">
        <v>1.0E8</v>
      </c>
      <c r="F491" s="5" t="s">
        <v>16</v>
      </c>
      <c r="G491" s="4">
        <v>4.2126344857000005E8</v>
      </c>
      <c r="H491" s="4"/>
      <c r="I491" s="6" t="s">
        <v>43</v>
      </c>
    </row>
    <row r="492">
      <c r="A492" s="1">
        <v>46257.0</v>
      </c>
      <c r="B492" s="2" t="s">
        <v>14</v>
      </c>
      <c r="C492" s="2" t="s">
        <v>506</v>
      </c>
      <c r="D492" s="5"/>
      <c r="E492" s="5">
        <v>3.1852E7</v>
      </c>
      <c r="F492" s="5" t="s">
        <v>16</v>
      </c>
      <c r="G492" s="4">
        <v>4.5311544857000005E8</v>
      </c>
      <c r="H492" s="5">
        <v>4.5311544857E8</v>
      </c>
      <c r="I492" s="6" t="s">
        <v>43</v>
      </c>
    </row>
    <row r="493">
      <c r="A493" s="1">
        <v>46258.0</v>
      </c>
      <c r="B493" s="2" t="s">
        <v>17</v>
      </c>
      <c r="C493" s="2" t="s">
        <v>507</v>
      </c>
      <c r="D493" s="5">
        <v>3.0E7</v>
      </c>
      <c r="E493" s="4"/>
      <c r="F493" s="5" t="s">
        <v>3</v>
      </c>
      <c r="G493" s="4">
        <v>4.2311544857000005E8</v>
      </c>
      <c r="H493" s="4"/>
      <c r="I493" s="6" t="s">
        <v>43</v>
      </c>
    </row>
    <row r="494">
      <c r="A494" s="1">
        <v>46258.0</v>
      </c>
      <c r="B494" s="2" t="s">
        <v>17</v>
      </c>
      <c r="C494" s="2" t="s">
        <v>508</v>
      </c>
      <c r="D494" s="5">
        <v>1.1967072E8</v>
      </c>
      <c r="E494" s="4"/>
      <c r="F494" s="5" t="s">
        <v>3</v>
      </c>
      <c r="G494" s="4">
        <v>3.0344472857000005E8</v>
      </c>
      <c r="H494" s="4"/>
      <c r="I494" s="6" t="s">
        <v>43</v>
      </c>
    </row>
    <row r="495">
      <c r="A495" s="1">
        <v>46258.0</v>
      </c>
      <c r="B495" s="2" t="s">
        <v>17</v>
      </c>
      <c r="C495" s="2" t="s">
        <v>509</v>
      </c>
      <c r="D495" s="5">
        <v>6.3E7</v>
      </c>
      <c r="E495" s="4"/>
      <c r="F495" s="5" t="s">
        <v>3</v>
      </c>
      <c r="G495" s="4">
        <v>2.4044472857000005E8</v>
      </c>
      <c r="H495" s="4"/>
      <c r="I495" s="6" t="s">
        <v>43</v>
      </c>
    </row>
    <row r="496">
      <c r="A496" s="1">
        <v>46258.0</v>
      </c>
      <c r="B496" s="2" t="s">
        <v>17</v>
      </c>
      <c r="C496" s="2" t="s">
        <v>510</v>
      </c>
      <c r="D496" s="5">
        <v>8.515038E7</v>
      </c>
      <c r="E496" s="4"/>
      <c r="F496" s="5" t="s">
        <v>3</v>
      </c>
      <c r="G496" s="4">
        <v>1.5529434857000005E8</v>
      </c>
      <c r="H496" s="5">
        <v>1.5529434857E8</v>
      </c>
      <c r="I496" s="6" t="s">
        <v>43</v>
      </c>
    </row>
    <row r="497">
      <c r="A497" s="1">
        <v>46258.0</v>
      </c>
      <c r="B497" s="2" t="s">
        <v>17</v>
      </c>
      <c r="C497" s="2" t="s">
        <v>511</v>
      </c>
      <c r="D497" s="5">
        <v>6.7242E7</v>
      </c>
      <c r="E497" s="4"/>
      <c r="F497" s="5" t="s">
        <v>3</v>
      </c>
      <c r="G497" s="4">
        <v>8.805234857000005E7</v>
      </c>
      <c r="H497" s="5">
        <v>8.805234857E7</v>
      </c>
      <c r="I497" s="6" t="s">
        <v>43</v>
      </c>
    </row>
    <row r="498">
      <c r="A498" s="1">
        <v>46258.0</v>
      </c>
      <c r="B498" s="2" t="s">
        <v>14</v>
      </c>
      <c r="C498" s="2" t="s">
        <v>512</v>
      </c>
      <c r="D498" s="4"/>
      <c r="E498" s="5">
        <v>1.2860334E8</v>
      </c>
      <c r="F498" s="5" t="s">
        <v>16</v>
      </c>
      <c r="G498" s="4">
        <v>2.1665568857000005E8</v>
      </c>
      <c r="I498" s="6" t="s">
        <v>43</v>
      </c>
    </row>
    <row r="499">
      <c r="A499" s="1">
        <v>46258.0</v>
      </c>
      <c r="B499" s="2" t="s">
        <v>14</v>
      </c>
      <c r="C499" s="2" t="s">
        <v>513</v>
      </c>
      <c r="D499" s="4"/>
      <c r="E499" s="5">
        <v>7982970.0</v>
      </c>
      <c r="F499" s="5" t="s">
        <v>16</v>
      </c>
      <c r="G499" s="4">
        <v>2.2463865857000005E8</v>
      </c>
      <c r="I499" s="6" t="s">
        <v>43</v>
      </c>
    </row>
    <row r="500">
      <c r="A500" s="1">
        <v>46258.0</v>
      </c>
      <c r="B500" s="2" t="s">
        <v>514</v>
      </c>
      <c r="C500" s="2" t="s">
        <v>514</v>
      </c>
      <c r="D500" s="5">
        <v>250000.0</v>
      </c>
      <c r="E500" s="4"/>
      <c r="F500" s="4"/>
      <c r="G500" s="4">
        <v>2.2438865857000005E8</v>
      </c>
      <c r="I500" s="6" t="s">
        <v>43</v>
      </c>
    </row>
    <row r="501">
      <c r="A501" s="1">
        <v>46258.0</v>
      </c>
      <c r="B501" s="2" t="s">
        <v>20</v>
      </c>
      <c r="C501" s="2" t="s">
        <v>341</v>
      </c>
      <c r="D501" s="4"/>
      <c r="E501" s="5">
        <v>7.678E7</v>
      </c>
      <c r="F501" s="5" t="s">
        <v>16</v>
      </c>
      <c r="G501" s="4">
        <v>3.0116865857000005E8</v>
      </c>
      <c r="I501" s="6" t="s">
        <v>43</v>
      </c>
    </row>
    <row r="502">
      <c r="A502" s="1">
        <v>46258.0</v>
      </c>
      <c r="B502" s="2" t="s">
        <v>17</v>
      </c>
      <c r="C502" s="2" t="s">
        <v>515</v>
      </c>
      <c r="D502" s="5">
        <v>3.169408E7</v>
      </c>
      <c r="E502" s="4"/>
      <c r="F502" s="5" t="s">
        <v>3</v>
      </c>
      <c r="G502" s="4">
        <v>2.6947457857000005E8</v>
      </c>
      <c r="I502" s="6" t="s">
        <v>43</v>
      </c>
    </row>
    <row r="503">
      <c r="A503" s="1">
        <v>46258.0</v>
      </c>
      <c r="B503" s="2" t="s">
        <v>17</v>
      </c>
      <c r="C503" s="2" t="s">
        <v>516</v>
      </c>
      <c r="D503" s="5">
        <v>2000000.0</v>
      </c>
      <c r="E503" s="4"/>
      <c r="F503" s="5" t="s">
        <v>3</v>
      </c>
      <c r="G503" s="4">
        <v>2.6747457857000005E8</v>
      </c>
      <c r="I503" s="6" t="s">
        <v>43</v>
      </c>
    </row>
    <row r="504">
      <c r="A504" s="1">
        <v>46258.0</v>
      </c>
      <c r="B504" s="2" t="s">
        <v>17</v>
      </c>
      <c r="C504" s="2" t="s">
        <v>517</v>
      </c>
      <c r="D504" s="5">
        <v>1.0772135E8</v>
      </c>
      <c r="E504" s="4"/>
      <c r="F504" s="5" t="s">
        <v>3</v>
      </c>
      <c r="G504" s="4">
        <v>1.5975322857000005E8</v>
      </c>
      <c r="I504" s="6" t="s">
        <v>43</v>
      </c>
    </row>
    <row r="505">
      <c r="A505" s="1">
        <v>46258.0</v>
      </c>
      <c r="B505" s="2" t="s">
        <v>14</v>
      </c>
      <c r="C505" s="2" t="s">
        <v>518</v>
      </c>
      <c r="D505" s="4"/>
      <c r="E505" s="5">
        <v>1.0E8</v>
      </c>
      <c r="F505" s="5" t="s">
        <v>16</v>
      </c>
      <c r="G505" s="4">
        <v>2.5975322857000005E8</v>
      </c>
      <c r="I505" s="6" t="s">
        <v>43</v>
      </c>
    </row>
    <row r="506">
      <c r="A506" s="1">
        <v>46258.0</v>
      </c>
      <c r="B506" s="2" t="s">
        <v>14</v>
      </c>
      <c r="C506" s="2" t="s">
        <v>519</v>
      </c>
      <c r="D506" s="4"/>
      <c r="E506" s="5">
        <v>2.1679338E8</v>
      </c>
      <c r="F506" s="5" t="s">
        <v>16</v>
      </c>
      <c r="G506" s="4">
        <v>4.7654660857000005E8</v>
      </c>
      <c r="I506" s="6" t="s">
        <v>43</v>
      </c>
    </row>
    <row r="507">
      <c r="A507" s="1">
        <v>46258.0</v>
      </c>
      <c r="B507" s="2" t="s">
        <v>14</v>
      </c>
      <c r="C507" s="2" t="s">
        <v>520</v>
      </c>
      <c r="D507" s="4"/>
      <c r="E507" s="5">
        <v>8.968E7</v>
      </c>
      <c r="F507" s="5" t="s">
        <v>16</v>
      </c>
      <c r="G507" s="4">
        <v>5.6622660857E8</v>
      </c>
      <c r="I507" s="6" t="s">
        <v>43</v>
      </c>
    </row>
    <row r="508">
      <c r="A508" s="1">
        <v>46258.0</v>
      </c>
      <c r="B508" s="2" t="s">
        <v>14</v>
      </c>
      <c r="C508" s="2" t="s">
        <v>521</v>
      </c>
      <c r="D508" s="4"/>
      <c r="E508" s="5">
        <v>7.525008E7</v>
      </c>
      <c r="F508" s="5" t="s">
        <v>16</v>
      </c>
      <c r="G508" s="4">
        <v>6.4147668857E8</v>
      </c>
      <c r="I508" s="6" t="s">
        <v>43</v>
      </c>
    </row>
    <row r="509">
      <c r="A509" s="1">
        <v>46258.0</v>
      </c>
      <c r="B509" s="2" t="s">
        <v>14</v>
      </c>
      <c r="C509" s="2" t="s">
        <v>522</v>
      </c>
      <c r="D509" s="5"/>
      <c r="E509" s="5">
        <v>1.0E8</v>
      </c>
      <c r="F509" s="5" t="s">
        <v>16</v>
      </c>
      <c r="G509" s="4">
        <v>7.4147668857E8</v>
      </c>
      <c r="H509" s="5">
        <v>7.4147668857E8</v>
      </c>
      <c r="I509" s="6" t="s">
        <v>43</v>
      </c>
    </row>
    <row r="510">
      <c r="A510" s="1">
        <v>46258.0</v>
      </c>
      <c r="B510" s="2" t="s">
        <v>17</v>
      </c>
      <c r="C510" s="2" t="s">
        <v>523</v>
      </c>
      <c r="D510" s="5">
        <v>3.11E7</v>
      </c>
      <c r="E510" s="4"/>
      <c r="F510" s="5" t="s">
        <v>3</v>
      </c>
      <c r="G510" s="4">
        <v>7.1037668857E8</v>
      </c>
      <c r="H510" s="5">
        <v>7.1037668857E8</v>
      </c>
      <c r="I510" s="6" t="s">
        <v>43</v>
      </c>
    </row>
    <row r="511">
      <c r="A511" s="1">
        <v>46258.0</v>
      </c>
      <c r="B511" s="2" t="s">
        <v>17</v>
      </c>
      <c r="C511" s="2" t="s">
        <v>524</v>
      </c>
      <c r="D511" s="5">
        <v>2.243864E8</v>
      </c>
      <c r="E511" s="4"/>
      <c r="F511" s="5" t="s">
        <v>3</v>
      </c>
      <c r="G511" s="4">
        <v>4.8599028857000005E8</v>
      </c>
      <c r="H511" s="4"/>
      <c r="I511" s="6" t="s">
        <v>43</v>
      </c>
    </row>
    <row r="512">
      <c r="A512" s="1">
        <v>46258.0</v>
      </c>
      <c r="B512" s="2" t="s">
        <v>17</v>
      </c>
      <c r="C512" s="2" t="s">
        <v>525</v>
      </c>
      <c r="D512" s="5">
        <v>1.184755E8</v>
      </c>
      <c r="E512" s="4"/>
      <c r="F512" s="5" t="s">
        <v>3</v>
      </c>
      <c r="G512" s="4">
        <v>3.6751478857000005E8</v>
      </c>
      <c r="H512" s="4"/>
      <c r="I512" s="6" t="s">
        <v>43</v>
      </c>
    </row>
    <row r="513">
      <c r="A513" s="1">
        <v>46258.0</v>
      </c>
      <c r="B513" s="2" t="s">
        <v>17</v>
      </c>
      <c r="C513" s="2" t="s">
        <v>526</v>
      </c>
      <c r="D513" s="5">
        <v>941920.0</v>
      </c>
      <c r="E513" s="4"/>
      <c r="F513" s="5" t="s">
        <v>3</v>
      </c>
      <c r="G513" s="4">
        <v>3.6657286857000005E8</v>
      </c>
      <c r="H513" s="4"/>
      <c r="I513" s="6" t="s">
        <v>43</v>
      </c>
    </row>
    <row r="514">
      <c r="A514" s="1">
        <v>46258.0</v>
      </c>
      <c r="B514" s="2" t="s">
        <v>17</v>
      </c>
      <c r="C514" s="2" t="s">
        <v>527</v>
      </c>
      <c r="D514" s="5">
        <v>2740000.0</v>
      </c>
      <c r="E514" s="4"/>
      <c r="F514" s="5" t="s">
        <v>3</v>
      </c>
      <c r="G514" s="4">
        <v>3.6383286857000005E8</v>
      </c>
      <c r="H514" s="4"/>
      <c r="I514" s="6" t="s">
        <v>43</v>
      </c>
    </row>
    <row r="515">
      <c r="A515" s="1">
        <v>46258.0</v>
      </c>
      <c r="B515" s="2" t="s">
        <v>17</v>
      </c>
      <c r="C515" s="2" t="s">
        <v>528</v>
      </c>
      <c r="D515" s="5">
        <v>4500000.0</v>
      </c>
      <c r="E515" s="4"/>
      <c r="F515" s="5" t="s">
        <v>3</v>
      </c>
      <c r="G515" s="4">
        <v>3.5933286857000005E8</v>
      </c>
      <c r="H515" s="4"/>
      <c r="I515" s="6" t="s">
        <v>43</v>
      </c>
    </row>
    <row r="516">
      <c r="A516" s="1">
        <v>46258.0</v>
      </c>
      <c r="B516" s="2" t="s">
        <v>17</v>
      </c>
      <c r="C516" s="2" t="s">
        <v>529</v>
      </c>
      <c r="D516" s="5">
        <v>1300000.0</v>
      </c>
      <c r="E516" s="4"/>
      <c r="F516" s="5" t="s">
        <v>3</v>
      </c>
      <c r="G516" s="4">
        <v>3.5803286857000005E8</v>
      </c>
      <c r="H516" s="4"/>
      <c r="I516" s="6" t="s">
        <v>43</v>
      </c>
    </row>
    <row r="517">
      <c r="A517" s="1">
        <v>46258.0</v>
      </c>
      <c r="B517" s="2" t="s">
        <v>170</v>
      </c>
      <c r="C517" s="2" t="s">
        <v>530</v>
      </c>
      <c r="D517" s="5">
        <v>45000.0</v>
      </c>
      <c r="E517" s="4"/>
      <c r="F517" s="5" t="s">
        <v>3</v>
      </c>
      <c r="G517" s="4">
        <v>3.5798786857000005E8</v>
      </c>
      <c r="H517" s="4"/>
      <c r="I517" s="6" t="s">
        <v>43</v>
      </c>
    </row>
    <row r="518">
      <c r="A518" s="1">
        <v>46258.0</v>
      </c>
      <c r="B518" s="2" t="s">
        <v>170</v>
      </c>
      <c r="C518" s="2" t="s">
        <v>531</v>
      </c>
      <c r="D518" s="5">
        <v>2500.0</v>
      </c>
      <c r="E518" s="4"/>
      <c r="F518" s="5" t="s">
        <v>3</v>
      </c>
      <c r="G518" s="4">
        <v>3.5798536857000005E8</v>
      </c>
      <c r="H518" s="5">
        <v>3.5798536857E8</v>
      </c>
      <c r="I518" s="6" t="s">
        <v>43</v>
      </c>
    </row>
    <row r="519">
      <c r="A519" s="1">
        <v>46259.0</v>
      </c>
      <c r="B519" s="2" t="s">
        <v>532</v>
      </c>
      <c r="C519" s="2" t="s">
        <v>533</v>
      </c>
      <c r="D519" s="5"/>
      <c r="E519" s="5">
        <v>3.3438692E8</v>
      </c>
      <c r="F519" s="5" t="s">
        <v>16</v>
      </c>
      <c r="G519" s="4">
        <v>6.9237228857E8</v>
      </c>
      <c r="H519" s="4"/>
      <c r="I519" s="6" t="s">
        <v>43</v>
      </c>
    </row>
    <row r="520">
      <c r="A520" s="1">
        <v>46259.0</v>
      </c>
      <c r="B520" s="2" t="s">
        <v>17</v>
      </c>
      <c r="C520" s="2" t="s">
        <v>534</v>
      </c>
      <c r="D520" s="5">
        <v>1.2501126E8</v>
      </c>
      <c r="E520" s="4"/>
      <c r="F520" s="5" t="s">
        <v>3</v>
      </c>
      <c r="G520" s="4">
        <v>5.6736102857E8</v>
      </c>
      <c r="H520" s="4"/>
      <c r="I520" s="6" t="s">
        <v>43</v>
      </c>
    </row>
    <row r="521">
      <c r="A521" s="1">
        <v>46259.0</v>
      </c>
      <c r="B521" s="2" t="s">
        <v>17</v>
      </c>
      <c r="C521" s="2" t="s">
        <v>535</v>
      </c>
      <c r="D521" s="5">
        <v>2.0320925E8</v>
      </c>
      <c r="E521" s="4"/>
      <c r="F521" s="5" t="s">
        <v>3</v>
      </c>
      <c r="G521" s="4">
        <v>3.6415177857000005E8</v>
      </c>
      <c r="H521" s="4"/>
      <c r="I521" s="6" t="s">
        <v>43</v>
      </c>
    </row>
    <row r="522">
      <c r="A522" s="1">
        <v>46259.0</v>
      </c>
      <c r="B522" s="2" t="s">
        <v>17</v>
      </c>
      <c r="C522" s="2" t="s">
        <v>536</v>
      </c>
      <c r="D522" s="5">
        <v>6.04279E7</v>
      </c>
      <c r="E522" s="4"/>
      <c r="F522" s="5" t="s">
        <v>3</v>
      </c>
      <c r="G522" s="4">
        <v>3.0372387857000005E8</v>
      </c>
      <c r="H522" s="5">
        <v>3.0372387857E8</v>
      </c>
      <c r="I522" s="6" t="s">
        <v>43</v>
      </c>
    </row>
    <row r="523">
      <c r="A523" s="1">
        <v>46259.0</v>
      </c>
      <c r="B523" s="2" t="s">
        <v>17</v>
      </c>
      <c r="C523" s="2" t="s">
        <v>537</v>
      </c>
      <c r="D523" s="5">
        <v>6.45215E7</v>
      </c>
      <c r="E523" s="4"/>
      <c r="F523" s="5" t="s">
        <v>3</v>
      </c>
      <c r="G523" s="4">
        <v>2.3920237857000005E8</v>
      </c>
      <c r="H523" s="5">
        <v>2.3920237857E8</v>
      </c>
      <c r="I523" s="6" t="s">
        <v>43</v>
      </c>
    </row>
    <row r="524">
      <c r="A524" s="1">
        <v>46259.0</v>
      </c>
      <c r="B524" s="2" t="s">
        <v>17</v>
      </c>
      <c r="C524" s="2" t="s">
        <v>538</v>
      </c>
      <c r="D524" s="5">
        <v>4.68294E7</v>
      </c>
      <c r="E524" s="4"/>
      <c r="F524" s="5" t="s">
        <v>3</v>
      </c>
      <c r="G524" s="4">
        <v>1.9237297857000005E8</v>
      </c>
      <c r="I524" s="6" t="s">
        <v>43</v>
      </c>
    </row>
    <row r="525">
      <c r="A525" s="1">
        <v>46259.0</v>
      </c>
      <c r="B525" s="2" t="s">
        <v>17</v>
      </c>
      <c r="C525" s="2" t="s">
        <v>539</v>
      </c>
      <c r="D525" s="5">
        <v>2.4895E7</v>
      </c>
      <c r="E525" s="4"/>
      <c r="F525" s="5" t="s">
        <v>3</v>
      </c>
      <c r="G525" s="4">
        <v>1.6747797857000005E8</v>
      </c>
      <c r="I525" s="6" t="s">
        <v>43</v>
      </c>
    </row>
    <row r="526">
      <c r="A526" s="1">
        <v>46259.0</v>
      </c>
      <c r="B526" s="2" t="s">
        <v>17</v>
      </c>
      <c r="C526" s="2" t="s">
        <v>540</v>
      </c>
      <c r="D526" s="5">
        <v>5621200.0</v>
      </c>
      <c r="E526" s="4"/>
      <c r="F526" s="5" t="s">
        <v>3</v>
      </c>
      <c r="G526" s="4">
        <v>1.6185677857000005E8</v>
      </c>
      <c r="I526" s="6" t="s">
        <v>43</v>
      </c>
    </row>
    <row r="527">
      <c r="A527" s="1">
        <v>46259.0</v>
      </c>
      <c r="B527" s="2" t="s">
        <v>17</v>
      </c>
      <c r="C527" s="2" t="s">
        <v>541</v>
      </c>
      <c r="D527" s="5">
        <v>1.3109425E8</v>
      </c>
      <c r="E527" s="4"/>
      <c r="F527" s="5" t="s">
        <v>3</v>
      </c>
      <c r="G527" s="4">
        <v>3.0762528570000052E7</v>
      </c>
      <c r="I527" s="6" t="s">
        <v>43</v>
      </c>
    </row>
    <row r="528">
      <c r="A528" s="1">
        <v>46259.0</v>
      </c>
      <c r="B528" s="2" t="s">
        <v>17</v>
      </c>
      <c r="C528" s="2" t="s">
        <v>542</v>
      </c>
      <c r="D528" s="5">
        <v>2400000.0</v>
      </c>
      <c r="E528" s="4"/>
      <c r="F528" s="5" t="s">
        <v>3</v>
      </c>
      <c r="G528" s="4">
        <v>2.8362528570000052E7</v>
      </c>
      <c r="I528" s="6" t="s">
        <v>43</v>
      </c>
    </row>
    <row r="529">
      <c r="A529" s="1">
        <v>46259.0</v>
      </c>
      <c r="B529" s="2" t="s">
        <v>17</v>
      </c>
      <c r="C529" s="2" t="s">
        <v>543</v>
      </c>
      <c r="D529" s="5">
        <v>3546300.0</v>
      </c>
      <c r="E529" s="4"/>
      <c r="F529" s="5" t="s">
        <v>3</v>
      </c>
      <c r="G529" s="4">
        <v>2.4816228570000052E7</v>
      </c>
      <c r="I529" s="6" t="s">
        <v>43</v>
      </c>
    </row>
    <row r="530">
      <c r="A530" s="1">
        <v>46259.0</v>
      </c>
      <c r="B530" s="2" t="s">
        <v>17</v>
      </c>
      <c r="C530" s="2" t="s">
        <v>544</v>
      </c>
      <c r="D530" s="5">
        <v>2684280.0</v>
      </c>
      <c r="E530" s="4"/>
      <c r="F530" s="5" t="s">
        <v>3</v>
      </c>
      <c r="G530" s="4">
        <v>2.2131948570000052E7</v>
      </c>
      <c r="I530" s="6" t="s">
        <v>43</v>
      </c>
    </row>
    <row r="531">
      <c r="A531" s="1">
        <v>46259.0</v>
      </c>
      <c r="B531" s="2" t="s">
        <v>17</v>
      </c>
      <c r="C531" s="2" t="s">
        <v>545</v>
      </c>
      <c r="D531" s="5">
        <v>1585850.0</v>
      </c>
      <c r="E531" s="4"/>
      <c r="F531" s="5" t="s">
        <v>3</v>
      </c>
      <c r="G531" s="4">
        <v>2.0546098570000052E7</v>
      </c>
      <c r="I531" s="6" t="s">
        <v>43</v>
      </c>
    </row>
    <row r="532">
      <c r="A532" s="1">
        <v>46259.0</v>
      </c>
      <c r="B532" s="2" t="s">
        <v>14</v>
      </c>
      <c r="C532" s="2" t="s">
        <v>546</v>
      </c>
      <c r="D532" s="4"/>
      <c r="E532" s="5">
        <v>100000.0</v>
      </c>
      <c r="F532" s="5" t="s">
        <v>16</v>
      </c>
      <c r="G532" s="4">
        <v>2.0646098570000052E7</v>
      </c>
      <c r="I532" s="6" t="s">
        <v>43</v>
      </c>
    </row>
    <row r="533">
      <c r="A533" s="1">
        <v>46259.0</v>
      </c>
      <c r="B533" s="2" t="s">
        <v>547</v>
      </c>
      <c r="C533" s="2" t="s">
        <v>547</v>
      </c>
      <c r="D533" s="5">
        <v>300000.0</v>
      </c>
      <c r="E533" s="4"/>
      <c r="F533" s="4"/>
      <c r="G533" s="4">
        <v>2.0346098570000052E7</v>
      </c>
      <c r="I533" s="6" t="s">
        <v>43</v>
      </c>
    </row>
    <row r="534">
      <c r="A534" s="1">
        <v>46259.0</v>
      </c>
      <c r="B534" s="2" t="s">
        <v>20</v>
      </c>
      <c r="C534" s="2" t="s">
        <v>341</v>
      </c>
      <c r="D534" s="4"/>
      <c r="E534" s="5">
        <v>6.67516E7</v>
      </c>
      <c r="F534" s="5" t="s">
        <v>16</v>
      </c>
      <c r="G534" s="4">
        <v>8.709769857000005E7</v>
      </c>
      <c r="I534" s="6" t="s">
        <v>43</v>
      </c>
    </row>
    <row r="535">
      <c r="A535" s="1">
        <v>46259.0</v>
      </c>
      <c r="B535" s="2" t="s">
        <v>14</v>
      </c>
      <c r="C535" s="2" t="s">
        <v>548</v>
      </c>
      <c r="D535" s="4"/>
      <c r="E535" s="5">
        <v>7.4E7</v>
      </c>
      <c r="F535" s="5" t="s">
        <v>16</v>
      </c>
      <c r="G535" s="4">
        <v>1.6109769857000005E8</v>
      </c>
      <c r="I535" s="6" t="s">
        <v>43</v>
      </c>
    </row>
    <row r="536">
      <c r="A536" s="1">
        <v>46259.0</v>
      </c>
      <c r="B536" s="2" t="s">
        <v>14</v>
      </c>
      <c r="C536" s="2" t="s">
        <v>549</v>
      </c>
      <c r="D536" s="5"/>
      <c r="E536" s="5">
        <v>2.7995352E8</v>
      </c>
      <c r="F536" s="5" t="s">
        <v>16</v>
      </c>
      <c r="G536" s="4">
        <v>4.4105121857000005E8</v>
      </c>
      <c r="H536" s="5">
        <v>4.4105121857E8</v>
      </c>
      <c r="I536" s="6" t="s">
        <v>43</v>
      </c>
    </row>
    <row r="537">
      <c r="A537" s="1">
        <v>46259.0</v>
      </c>
      <c r="B537" s="2" t="s">
        <v>14</v>
      </c>
      <c r="C537" s="2" t="s">
        <v>550</v>
      </c>
      <c r="D537" s="5"/>
      <c r="E537" s="5">
        <v>9.038328E7</v>
      </c>
      <c r="F537" s="5" t="s">
        <v>16</v>
      </c>
      <c r="G537" s="4">
        <v>5.3143449857000005E8</v>
      </c>
      <c r="H537" s="5">
        <v>5.3143449857E8</v>
      </c>
      <c r="I537" s="6" t="s">
        <v>43</v>
      </c>
    </row>
    <row r="538">
      <c r="A538" s="1">
        <v>46259.0</v>
      </c>
      <c r="B538" s="2" t="s">
        <v>17</v>
      </c>
      <c r="C538" s="2" t="s">
        <v>551</v>
      </c>
      <c r="D538" s="5">
        <v>2.5E7</v>
      </c>
      <c r="E538" s="4"/>
      <c r="F538" s="5" t="s">
        <v>3</v>
      </c>
      <c r="G538" s="4">
        <v>5.0643449857000005E8</v>
      </c>
      <c r="H538" s="4"/>
      <c r="I538" s="6" t="s">
        <v>43</v>
      </c>
    </row>
    <row r="539">
      <c r="A539" s="1">
        <v>46259.0</v>
      </c>
      <c r="B539" s="2" t="s">
        <v>17</v>
      </c>
      <c r="C539" s="2" t="s">
        <v>552</v>
      </c>
      <c r="D539" s="5">
        <v>7.38451E7</v>
      </c>
      <c r="E539" s="4"/>
      <c r="F539" s="5" t="s">
        <v>3</v>
      </c>
      <c r="G539" s="4">
        <v>4.3258939857000005E8</v>
      </c>
      <c r="H539" s="4"/>
      <c r="I539" s="6" t="s">
        <v>43</v>
      </c>
    </row>
    <row r="540">
      <c r="A540" s="1">
        <v>46259.0</v>
      </c>
      <c r="B540" s="2" t="s">
        <v>17</v>
      </c>
      <c r="C540" s="2" t="s">
        <v>553</v>
      </c>
      <c r="D540" s="5">
        <v>6.00767E7</v>
      </c>
      <c r="E540" s="4"/>
      <c r="F540" s="5" t="s">
        <v>3</v>
      </c>
      <c r="G540" s="4">
        <v>3.7251269857000005E8</v>
      </c>
      <c r="H540" s="4"/>
      <c r="I540" s="6" t="s">
        <v>43</v>
      </c>
    </row>
    <row r="541">
      <c r="A541" s="1">
        <v>46259.0</v>
      </c>
      <c r="B541" s="2" t="s">
        <v>17</v>
      </c>
      <c r="C541" s="2" t="s">
        <v>554</v>
      </c>
      <c r="D541" s="5">
        <v>5.45995E7</v>
      </c>
      <c r="E541" s="4"/>
      <c r="F541" s="5" t="s">
        <v>3</v>
      </c>
      <c r="G541" s="4">
        <v>3.1791319857000005E8</v>
      </c>
      <c r="H541" s="4"/>
      <c r="I541" s="6" t="s">
        <v>43</v>
      </c>
    </row>
    <row r="542">
      <c r="A542" s="1">
        <v>46259.0</v>
      </c>
      <c r="B542" s="2" t="s">
        <v>555</v>
      </c>
      <c r="C542" s="2" t="s">
        <v>556</v>
      </c>
      <c r="D542" s="5">
        <v>52000.0</v>
      </c>
      <c r="E542" s="4"/>
      <c r="F542" s="5" t="s">
        <v>3</v>
      </c>
      <c r="G542" s="4">
        <v>3.1786119857000005E8</v>
      </c>
      <c r="H542" s="4"/>
      <c r="I542" s="6" t="s">
        <v>43</v>
      </c>
    </row>
    <row r="543">
      <c r="A543" s="1">
        <v>46259.0</v>
      </c>
      <c r="B543" s="2" t="s">
        <v>17</v>
      </c>
      <c r="C543" s="2" t="s">
        <v>557</v>
      </c>
      <c r="D543" s="5">
        <v>1573200.0</v>
      </c>
      <c r="E543" s="4"/>
      <c r="F543" s="5" t="s">
        <v>3</v>
      </c>
      <c r="G543" s="4">
        <v>3.1628799857000005E8</v>
      </c>
      <c r="H543" s="4"/>
      <c r="I543" s="6" t="s">
        <v>43</v>
      </c>
    </row>
    <row r="544">
      <c r="A544" s="1">
        <v>46259.0</v>
      </c>
      <c r="B544" s="2" t="s">
        <v>17</v>
      </c>
      <c r="C544" s="2" t="s">
        <v>558</v>
      </c>
      <c r="D544" s="5">
        <v>300000.0</v>
      </c>
      <c r="E544" s="4"/>
      <c r="F544" s="5" t="s">
        <v>3</v>
      </c>
      <c r="G544" s="4">
        <v>3.1598799857000005E8</v>
      </c>
      <c r="H544" s="4"/>
      <c r="I544" s="6" t="s">
        <v>43</v>
      </c>
    </row>
    <row r="545">
      <c r="A545" s="1">
        <v>46259.0</v>
      </c>
      <c r="B545" s="2" t="s">
        <v>17</v>
      </c>
      <c r="C545" s="2" t="s">
        <v>559</v>
      </c>
      <c r="D545" s="5">
        <v>1200000.0</v>
      </c>
      <c r="E545" s="4"/>
      <c r="F545" s="5" t="s">
        <v>3</v>
      </c>
      <c r="G545" s="4">
        <v>3.1478799857000005E8</v>
      </c>
      <c r="H545" s="4"/>
      <c r="I545" s="6" t="s">
        <v>43</v>
      </c>
    </row>
    <row r="546">
      <c r="A546" s="1">
        <v>46259.0</v>
      </c>
      <c r="B546" s="2" t="s">
        <v>17</v>
      </c>
      <c r="C546" s="2" t="s">
        <v>560</v>
      </c>
      <c r="D546" s="5">
        <v>715560.0</v>
      </c>
      <c r="E546" s="4"/>
      <c r="F546" s="5" t="s">
        <v>3</v>
      </c>
      <c r="G546" s="4">
        <v>3.1407243857000005E8</v>
      </c>
      <c r="H546" s="5">
        <v>3.1407243857E8</v>
      </c>
      <c r="I546" s="6" t="s">
        <v>43</v>
      </c>
    </row>
    <row r="547">
      <c r="A547" s="1">
        <v>46260.0</v>
      </c>
      <c r="B547" s="2" t="s">
        <v>17</v>
      </c>
      <c r="C547" s="2" t="s">
        <v>561</v>
      </c>
      <c r="D547" s="5">
        <v>6.242775E7</v>
      </c>
      <c r="E547" s="4"/>
      <c r="F547" s="5" t="s">
        <v>3</v>
      </c>
      <c r="G547" s="4">
        <v>2.5164468857000005E8</v>
      </c>
      <c r="H547" s="4"/>
      <c r="I547" s="6" t="s">
        <v>43</v>
      </c>
    </row>
    <row r="548">
      <c r="A548" s="1">
        <v>46260.0</v>
      </c>
      <c r="B548" s="2" t="s">
        <v>17</v>
      </c>
      <c r="C548" s="2" t="s">
        <v>562</v>
      </c>
      <c r="D548" s="5">
        <v>7.49017E7</v>
      </c>
      <c r="E548" s="4"/>
      <c r="F548" s="5" t="s">
        <v>3</v>
      </c>
      <c r="G548" s="4">
        <v>1.7674298857000005E8</v>
      </c>
      <c r="H548" s="4"/>
      <c r="I548" s="6" t="s">
        <v>43</v>
      </c>
    </row>
    <row r="549">
      <c r="A549" s="1">
        <v>46260.0</v>
      </c>
      <c r="B549" s="2" t="s">
        <v>17</v>
      </c>
      <c r="C549" s="2" t="s">
        <v>563</v>
      </c>
      <c r="D549" s="5">
        <v>7.1375E7</v>
      </c>
      <c r="E549" s="4"/>
      <c r="F549" s="5" t="s">
        <v>3</v>
      </c>
      <c r="G549" s="4">
        <v>1.0536798857000005E8</v>
      </c>
      <c r="H549" s="4"/>
      <c r="I549" s="6" t="s">
        <v>43</v>
      </c>
    </row>
    <row r="550">
      <c r="A550" s="1">
        <v>46260.0</v>
      </c>
      <c r="B550" s="2" t="s">
        <v>17</v>
      </c>
      <c r="C550" s="2" t="s">
        <v>564</v>
      </c>
      <c r="D550" s="5">
        <v>5.0E7</v>
      </c>
      <c r="E550" s="4"/>
      <c r="F550" s="5" t="s">
        <v>3</v>
      </c>
      <c r="G550" s="4">
        <v>5.536798857000005E7</v>
      </c>
      <c r="H550" s="5">
        <v>5.536798857E7</v>
      </c>
      <c r="I550" s="6" t="s">
        <v>43</v>
      </c>
    </row>
    <row r="551">
      <c r="A551" s="1">
        <v>46260.0</v>
      </c>
      <c r="B551" s="2" t="s">
        <v>17</v>
      </c>
      <c r="C551" s="2" t="s">
        <v>565</v>
      </c>
      <c r="D551" s="5">
        <v>3.767681E7</v>
      </c>
      <c r="E551" s="4"/>
      <c r="F551" s="5" t="s">
        <v>3</v>
      </c>
      <c r="G551" s="4">
        <v>1.7691178570000052E7</v>
      </c>
      <c r="H551" s="5">
        <v>1.769117857E7</v>
      </c>
      <c r="I551" s="6" t="s">
        <v>43</v>
      </c>
    </row>
    <row r="552">
      <c r="A552" s="1">
        <v>46260.0</v>
      </c>
      <c r="B552" s="2" t="s">
        <v>17</v>
      </c>
      <c r="C552" s="2" t="s">
        <v>566</v>
      </c>
      <c r="D552" s="5">
        <v>1.0E7</v>
      </c>
      <c r="E552" s="4"/>
      <c r="F552" s="5" t="s">
        <v>3</v>
      </c>
      <c r="G552" s="4">
        <v>7691178.570000052</v>
      </c>
      <c r="H552" s="4"/>
      <c r="I552" s="6" t="s">
        <v>43</v>
      </c>
    </row>
    <row r="553">
      <c r="A553" s="1">
        <v>46260.0</v>
      </c>
      <c r="B553" s="2" t="s">
        <v>17</v>
      </c>
      <c r="C553" s="2" t="s">
        <v>567</v>
      </c>
      <c r="D553" s="5">
        <v>1874400.0</v>
      </c>
      <c r="E553" s="4"/>
      <c r="F553" s="5" t="s">
        <v>3</v>
      </c>
      <c r="G553" s="4">
        <v>5816778.570000052</v>
      </c>
      <c r="H553" s="4"/>
      <c r="I553" s="6" t="s">
        <v>43</v>
      </c>
    </row>
    <row r="554">
      <c r="A554" s="1">
        <v>46260.0</v>
      </c>
      <c r="B554" s="2" t="s">
        <v>17</v>
      </c>
      <c r="C554" s="2" t="s">
        <v>568</v>
      </c>
      <c r="D554" s="5">
        <v>500000.0</v>
      </c>
      <c r="E554" s="4"/>
      <c r="F554" s="5" t="s">
        <v>3</v>
      </c>
      <c r="G554" s="4">
        <v>5316778.570000052</v>
      </c>
      <c r="H554" s="4"/>
      <c r="I554" s="6" t="s">
        <v>43</v>
      </c>
    </row>
    <row r="555">
      <c r="A555" s="1">
        <v>46260.0</v>
      </c>
      <c r="B555" s="2" t="s">
        <v>17</v>
      </c>
      <c r="C555" s="2" t="s">
        <v>569</v>
      </c>
      <c r="D555" s="5">
        <v>5214650.0</v>
      </c>
      <c r="E555" s="4"/>
      <c r="F555" s="5" t="s">
        <v>3</v>
      </c>
      <c r="G555" s="4">
        <v>102128.57000005245</v>
      </c>
      <c r="H555" s="4"/>
      <c r="I555" s="6" t="s">
        <v>43</v>
      </c>
    </row>
    <row r="556">
      <c r="A556" s="1">
        <v>46260.0</v>
      </c>
      <c r="B556" s="2" t="s">
        <v>17</v>
      </c>
      <c r="C556" s="2" t="s">
        <v>570</v>
      </c>
      <c r="D556" s="5">
        <v>50000.0</v>
      </c>
      <c r="E556" s="4"/>
      <c r="F556" s="5" t="s">
        <v>3</v>
      </c>
      <c r="G556" s="4">
        <v>52128.57000005245</v>
      </c>
      <c r="H556" s="4"/>
      <c r="I556" s="6" t="s">
        <v>43</v>
      </c>
    </row>
    <row r="557">
      <c r="A557" s="1">
        <v>46260.0</v>
      </c>
      <c r="B557" s="2" t="s">
        <v>14</v>
      </c>
      <c r="C557" s="2" t="s">
        <v>571</v>
      </c>
      <c r="D557" s="5"/>
      <c r="E557" s="5">
        <v>1.259749E8</v>
      </c>
      <c r="F557" s="5" t="s">
        <v>16</v>
      </c>
      <c r="G557" s="4">
        <v>1.2602702857000005E8</v>
      </c>
      <c r="H557" s="4"/>
      <c r="I557" s="6" t="s">
        <v>43</v>
      </c>
    </row>
    <row r="558">
      <c r="A558" s="1">
        <v>46260.0</v>
      </c>
      <c r="B558" s="2" t="s">
        <v>14</v>
      </c>
      <c r="C558" s="2" t="s">
        <v>572</v>
      </c>
      <c r="D558" s="5"/>
      <c r="E558" s="5">
        <v>7.3740676E8</v>
      </c>
      <c r="F558" s="5" t="s">
        <v>16</v>
      </c>
      <c r="G558" s="4">
        <v>8.6343378857E8</v>
      </c>
      <c r="H558" s="4"/>
      <c r="I558" s="6" t="s">
        <v>43</v>
      </c>
    </row>
    <row r="559">
      <c r="A559" s="1">
        <v>46260.0</v>
      </c>
      <c r="B559" s="2" t="s">
        <v>573</v>
      </c>
      <c r="C559" s="2" t="s">
        <v>573</v>
      </c>
      <c r="D559" s="5">
        <v>200000.0</v>
      </c>
      <c r="E559" s="4"/>
      <c r="F559" s="4"/>
      <c r="G559" s="4">
        <v>8.6323378857E8</v>
      </c>
      <c r="H559" s="4"/>
      <c r="I559" s="6" t="s">
        <v>43</v>
      </c>
    </row>
    <row r="560">
      <c r="A560" s="1">
        <v>46260.0</v>
      </c>
      <c r="B560" s="2" t="s">
        <v>27</v>
      </c>
      <c r="C560" s="2" t="s">
        <v>574</v>
      </c>
      <c r="D560" s="5">
        <v>59600.0</v>
      </c>
      <c r="E560" s="4"/>
      <c r="F560" s="4"/>
      <c r="G560" s="4">
        <v>8.6317418857E8</v>
      </c>
      <c r="H560" s="4"/>
      <c r="I560" s="6" t="s">
        <v>43</v>
      </c>
    </row>
    <row r="561">
      <c r="A561" s="1">
        <v>46260.0</v>
      </c>
      <c r="B561" s="2" t="s">
        <v>17</v>
      </c>
      <c r="C561" s="2" t="s">
        <v>575</v>
      </c>
      <c r="D561" s="5">
        <v>3.39005E7</v>
      </c>
      <c r="E561" s="4"/>
      <c r="F561" s="5" t="s">
        <v>3</v>
      </c>
      <c r="G561" s="4">
        <v>8.2927368857E8</v>
      </c>
      <c r="H561" s="4"/>
      <c r="I561" s="6" t="s">
        <v>43</v>
      </c>
    </row>
    <row r="562">
      <c r="A562" s="1">
        <v>46260.0</v>
      </c>
      <c r="B562" s="2" t="s">
        <v>17</v>
      </c>
      <c r="C562" s="2" t="s">
        <v>576</v>
      </c>
      <c r="D562" s="5">
        <v>100000.0</v>
      </c>
      <c r="E562" s="4"/>
      <c r="F562" s="5" t="s">
        <v>3</v>
      </c>
      <c r="G562" s="4">
        <v>8.2917368857E8</v>
      </c>
      <c r="H562" s="4"/>
      <c r="I562" s="6" t="s">
        <v>43</v>
      </c>
    </row>
    <row r="563">
      <c r="A563" s="1">
        <v>46260.0</v>
      </c>
      <c r="B563" s="2" t="s">
        <v>14</v>
      </c>
      <c r="C563" s="2" t="s">
        <v>577</v>
      </c>
      <c r="D563" s="5"/>
      <c r="E563" s="5">
        <v>1.0E8</v>
      </c>
      <c r="F563" s="5" t="s">
        <v>16</v>
      </c>
      <c r="G563" s="4">
        <v>9.2917368857E8</v>
      </c>
      <c r="H563" s="5">
        <v>9.2917368857E8</v>
      </c>
      <c r="I563" s="6" t="s">
        <v>43</v>
      </c>
    </row>
    <row r="564">
      <c r="A564" s="1">
        <v>46261.0</v>
      </c>
      <c r="B564" s="2" t="s">
        <v>17</v>
      </c>
      <c r="C564" s="2" t="s">
        <v>578</v>
      </c>
      <c r="D564" s="5">
        <v>2.4394746E8</v>
      </c>
      <c r="E564" s="4"/>
      <c r="F564" s="5" t="s">
        <v>3</v>
      </c>
      <c r="G564" s="4">
        <v>6.8522622857E8</v>
      </c>
      <c r="H564" s="4"/>
      <c r="I564" s="6" t="s">
        <v>43</v>
      </c>
    </row>
    <row r="565">
      <c r="A565" s="1">
        <v>46261.0</v>
      </c>
      <c r="B565" s="2" t="s">
        <v>17</v>
      </c>
      <c r="C565" s="2" t="s">
        <v>579</v>
      </c>
      <c r="D565" s="5">
        <v>1.262332E8</v>
      </c>
      <c r="E565" s="4"/>
      <c r="F565" s="5" t="s">
        <v>3</v>
      </c>
      <c r="G565" s="4">
        <v>5.5899302857E8</v>
      </c>
      <c r="H565" s="5">
        <v>5.5899302857E8</v>
      </c>
      <c r="I565" s="6" t="s">
        <v>43</v>
      </c>
    </row>
    <row r="566">
      <c r="A566" s="1">
        <v>46261.0</v>
      </c>
      <c r="B566" s="2" t="s">
        <v>17</v>
      </c>
      <c r="C566" s="2" t="s">
        <v>580</v>
      </c>
      <c r="D566" s="5">
        <v>6.15E7</v>
      </c>
      <c r="E566" s="4"/>
      <c r="F566" s="5" t="s">
        <v>3</v>
      </c>
      <c r="G566" s="4">
        <v>4.9749302857000005E8</v>
      </c>
      <c r="H566" s="5">
        <v>4.9749302857E8</v>
      </c>
      <c r="I566" s="6" t="s">
        <v>43</v>
      </c>
    </row>
    <row r="567">
      <c r="A567" s="1">
        <v>46261.0</v>
      </c>
      <c r="B567" s="2" t="s">
        <v>17</v>
      </c>
      <c r="C567" s="2" t="s">
        <v>581</v>
      </c>
      <c r="D567" s="5">
        <v>6.370375E7</v>
      </c>
      <c r="E567" s="4"/>
      <c r="F567" s="5" t="s">
        <v>3</v>
      </c>
      <c r="G567" s="4">
        <v>4.3378927857000005E8</v>
      </c>
      <c r="H567" s="4"/>
      <c r="I567" s="6" t="s">
        <v>43</v>
      </c>
    </row>
    <row r="568">
      <c r="A568" s="1">
        <v>46261.0</v>
      </c>
      <c r="B568" s="2" t="s">
        <v>17</v>
      </c>
      <c r="C568" s="2" t="s">
        <v>582</v>
      </c>
      <c r="D568" s="5">
        <v>7.285E7</v>
      </c>
      <c r="E568" s="4"/>
      <c r="F568" s="5" t="s">
        <v>3</v>
      </c>
      <c r="G568" s="4">
        <v>3.6093927857000005E8</v>
      </c>
      <c r="H568" s="4"/>
      <c r="I568" s="6" t="s">
        <v>43</v>
      </c>
    </row>
    <row r="569">
      <c r="A569" s="1">
        <v>46261.0</v>
      </c>
      <c r="B569" s="2" t="s">
        <v>17</v>
      </c>
      <c r="C569" s="2" t="s">
        <v>583</v>
      </c>
      <c r="D569" s="5">
        <v>7.27043E7</v>
      </c>
      <c r="E569" s="4"/>
      <c r="F569" s="5" t="s">
        <v>3</v>
      </c>
      <c r="G569" s="4">
        <v>2.8823497857000005E8</v>
      </c>
      <c r="H569" s="4"/>
      <c r="I569" s="6" t="s">
        <v>43</v>
      </c>
    </row>
    <row r="570">
      <c r="A570" s="1">
        <v>46261.0</v>
      </c>
      <c r="B570" s="2" t="s">
        <v>17</v>
      </c>
      <c r="C570" s="2" t="s">
        <v>584</v>
      </c>
      <c r="D570" s="5">
        <v>5.662305E7</v>
      </c>
      <c r="E570" s="4"/>
      <c r="F570" s="5" t="s">
        <v>3</v>
      </c>
      <c r="G570" s="4">
        <v>2.3161192857000005E8</v>
      </c>
      <c r="H570" s="4"/>
      <c r="I570" s="6" t="s">
        <v>43</v>
      </c>
    </row>
    <row r="571">
      <c r="A571" s="1">
        <v>46261.0</v>
      </c>
      <c r="B571" s="2" t="s">
        <v>17</v>
      </c>
      <c r="C571" s="2" t="s">
        <v>585</v>
      </c>
      <c r="D571" s="5">
        <v>6.94577E7</v>
      </c>
      <c r="E571" s="4"/>
      <c r="F571" s="5" t="s">
        <v>3</v>
      </c>
      <c r="G571" s="4">
        <v>1.6215422857000005E8</v>
      </c>
      <c r="H571" s="4"/>
      <c r="I571" s="6" t="s">
        <v>43</v>
      </c>
    </row>
    <row r="572">
      <c r="A572" s="1">
        <v>46261.0</v>
      </c>
      <c r="B572" s="2" t="s">
        <v>17</v>
      </c>
      <c r="C572" s="2" t="s">
        <v>586</v>
      </c>
      <c r="D572" s="5">
        <v>2.0122E7</v>
      </c>
      <c r="E572" s="4"/>
      <c r="F572" s="5" t="s">
        <v>3</v>
      </c>
      <c r="G572" s="4">
        <v>1.4203222857000005E8</v>
      </c>
      <c r="H572" s="4"/>
      <c r="I572" s="6" t="s">
        <v>43</v>
      </c>
    </row>
    <row r="573">
      <c r="A573" s="1">
        <v>46261.0</v>
      </c>
      <c r="B573" s="2" t="s">
        <v>17</v>
      </c>
      <c r="C573" s="2" t="s">
        <v>587</v>
      </c>
      <c r="D573" s="5">
        <v>4.0E7</v>
      </c>
      <c r="E573" s="4"/>
      <c r="F573" s="5" t="s">
        <v>3</v>
      </c>
      <c r="G573" s="4">
        <v>1.0203222857000005E8</v>
      </c>
      <c r="H573" s="4"/>
      <c r="I573" s="6" t="s">
        <v>43</v>
      </c>
    </row>
    <row r="574">
      <c r="A574" s="1">
        <v>46261.0</v>
      </c>
      <c r="B574" s="2" t="s">
        <v>17</v>
      </c>
      <c r="C574" s="2" t="s">
        <v>588</v>
      </c>
      <c r="D574" s="5">
        <v>8572800.0</v>
      </c>
      <c r="E574" s="4"/>
      <c r="F574" s="5" t="s">
        <v>3</v>
      </c>
      <c r="G574" s="4">
        <v>9.345942857000005E7</v>
      </c>
      <c r="H574" s="4"/>
      <c r="I574" s="6" t="s">
        <v>43</v>
      </c>
    </row>
    <row r="575">
      <c r="A575" s="1">
        <v>46261.0</v>
      </c>
      <c r="B575" s="2" t="s">
        <v>17</v>
      </c>
      <c r="C575" s="2" t="s">
        <v>589</v>
      </c>
      <c r="D575" s="5">
        <v>785340.0</v>
      </c>
      <c r="E575" s="4"/>
      <c r="F575" s="5" t="s">
        <v>3</v>
      </c>
      <c r="G575" s="4">
        <v>9.267408857000005E7</v>
      </c>
      <c r="H575" s="4"/>
      <c r="I575" s="6" t="s">
        <v>43</v>
      </c>
    </row>
    <row r="576">
      <c r="A576" s="1">
        <v>46261.0</v>
      </c>
      <c r="B576" s="2" t="s">
        <v>17</v>
      </c>
      <c r="C576" s="2" t="s">
        <v>590</v>
      </c>
      <c r="D576" s="5">
        <v>6.362625E7</v>
      </c>
      <c r="E576" s="4"/>
      <c r="F576" s="5" t="s">
        <v>3</v>
      </c>
      <c r="G576" s="4">
        <v>2.9047838570000052E7</v>
      </c>
      <c r="H576" s="4"/>
      <c r="I576" s="6" t="s">
        <v>43</v>
      </c>
    </row>
    <row r="577">
      <c r="A577" s="1">
        <v>46261.0</v>
      </c>
      <c r="B577" s="2" t="s">
        <v>591</v>
      </c>
      <c r="C577" s="2" t="s">
        <v>591</v>
      </c>
      <c r="D577" s="5">
        <v>200000.0</v>
      </c>
      <c r="E577" s="4"/>
      <c r="F577" s="4"/>
      <c r="G577" s="4">
        <v>2.8847838570000052E7</v>
      </c>
      <c r="H577" s="4"/>
      <c r="I577" s="6" t="s">
        <v>43</v>
      </c>
    </row>
    <row r="578">
      <c r="A578" s="1">
        <v>46261.0</v>
      </c>
      <c r="B578" s="2" t="s">
        <v>27</v>
      </c>
      <c r="C578" s="2" t="s">
        <v>592</v>
      </c>
      <c r="D578" s="5">
        <v>150900.0</v>
      </c>
      <c r="E578" s="4"/>
      <c r="F578" s="4"/>
      <c r="G578" s="4">
        <v>2.8696938570000052E7</v>
      </c>
      <c r="H578" s="5">
        <v>2.869693857E7</v>
      </c>
      <c r="I578" s="6" t="s">
        <v>43</v>
      </c>
    </row>
    <row r="579">
      <c r="A579" s="1">
        <v>46262.0</v>
      </c>
      <c r="B579" s="2" t="s">
        <v>593</v>
      </c>
      <c r="C579" s="2" t="s">
        <v>594</v>
      </c>
      <c r="D579" s="5">
        <v>4686500.0</v>
      </c>
      <c r="E579" s="4"/>
      <c r="F579" s="5" t="s">
        <v>3</v>
      </c>
      <c r="G579" s="4">
        <v>2.4010438570000052E7</v>
      </c>
      <c r="H579" s="5">
        <v>2.401043857E7</v>
      </c>
      <c r="I579" s="6" t="s">
        <v>43</v>
      </c>
    </row>
    <row r="580">
      <c r="A580" s="1">
        <v>46262.0</v>
      </c>
      <c r="B580" s="2" t="s">
        <v>593</v>
      </c>
      <c r="C580" s="2" t="s">
        <v>595</v>
      </c>
      <c r="D580" s="5">
        <v>2480510.0</v>
      </c>
      <c r="E580" s="4"/>
      <c r="F580" s="5" t="s">
        <v>3</v>
      </c>
      <c r="G580" s="4">
        <v>2.1529928570000052E7</v>
      </c>
      <c r="H580" s="5">
        <v>2.152992857E7</v>
      </c>
      <c r="I580" s="6" t="s">
        <v>43</v>
      </c>
    </row>
    <row r="581">
      <c r="A581" s="1">
        <v>46262.0</v>
      </c>
      <c r="B581" s="2" t="s">
        <v>593</v>
      </c>
      <c r="C581" s="2" t="s">
        <v>596</v>
      </c>
      <c r="D581" s="5">
        <v>4000000.0</v>
      </c>
      <c r="E581" s="4"/>
      <c r="F581" s="5" t="s">
        <v>3</v>
      </c>
      <c r="G581" s="4">
        <v>1.7529928570000052E7</v>
      </c>
      <c r="H581" s="4"/>
      <c r="I581" s="6" t="s">
        <v>43</v>
      </c>
    </row>
    <row r="582">
      <c r="A582" s="1">
        <v>46262.0</v>
      </c>
      <c r="B582" s="2" t="s">
        <v>597</v>
      </c>
      <c r="C582" s="2" t="s">
        <v>598</v>
      </c>
      <c r="D582" s="5"/>
      <c r="E582" s="5">
        <v>2.0E7</v>
      </c>
      <c r="F582" s="5" t="s">
        <v>16</v>
      </c>
      <c r="G582" s="4">
        <v>3.752992857000005E7</v>
      </c>
      <c r="H582" s="4"/>
      <c r="I582" s="6" t="s">
        <v>43</v>
      </c>
    </row>
    <row r="583">
      <c r="A583" s="1">
        <v>46262.0</v>
      </c>
      <c r="B583" s="2" t="s">
        <v>597</v>
      </c>
      <c r="C583" s="2" t="s">
        <v>598</v>
      </c>
      <c r="D583" s="5"/>
      <c r="E583" s="5">
        <v>5000000.0</v>
      </c>
      <c r="F583" s="5" t="s">
        <v>16</v>
      </c>
      <c r="G583" s="4">
        <v>4.252992857000005E7</v>
      </c>
      <c r="H583" s="4"/>
      <c r="I583" s="6" t="s">
        <v>43</v>
      </c>
    </row>
    <row r="584">
      <c r="A584" s="1">
        <v>46262.0</v>
      </c>
      <c r="B584" s="2" t="s">
        <v>593</v>
      </c>
      <c r="C584" s="2" t="s">
        <v>599</v>
      </c>
      <c r="D584" s="5">
        <v>2.572309E7</v>
      </c>
      <c r="E584" s="4"/>
      <c r="F584" s="5" t="s">
        <v>3</v>
      </c>
      <c r="G584" s="4">
        <v>1.6806838570000052E7</v>
      </c>
      <c r="H584" s="4"/>
      <c r="I584" s="6" t="s">
        <v>43</v>
      </c>
    </row>
    <row r="585">
      <c r="A585" s="1">
        <v>46262.0</v>
      </c>
      <c r="B585" s="2" t="s">
        <v>14</v>
      </c>
      <c r="C585" s="2" t="s">
        <v>600</v>
      </c>
      <c r="D585" s="5"/>
      <c r="E585" s="5">
        <v>8050000.0</v>
      </c>
      <c r="F585" s="5" t="s">
        <v>16</v>
      </c>
      <c r="G585" s="4">
        <v>2.4856838570000052E7</v>
      </c>
      <c r="H585" s="4"/>
      <c r="I585" s="6" t="s">
        <v>43</v>
      </c>
    </row>
    <row r="586">
      <c r="A586" s="1">
        <v>46262.0</v>
      </c>
      <c r="B586" s="2" t="s">
        <v>14</v>
      </c>
      <c r="C586" s="2" t="s">
        <v>601</v>
      </c>
      <c r="D586" s="5"/>
      <c r="E586" s="5">
        <v>6.4666654E8</v>
      </c>
      <c r="F586" s="5" t="s">
        <v>16</v>
      </c>
      <c r="G586" s="4">
        <v>6.7152337857E8</v>
      </c>
      <c r="H586" s="4"/>
      <c r="I586" s="6" t="s">
        <v>43</v>
      </c>
    </row>
    <row r="587">
      <c r="A587" s="1">
        <v>46262.0</v>
      </c>
      <c r="B587" s="2" t="s">
        <v>14</v>
      </c>
      <c r="C587" s="2" t="s">
        <v>602</v>
      </c>
      <c r="D587" s="5"/>
      <c r="E587" s="5">
        <v>1.2850248E8</v>
      </c>
      <c r="F587" s="5" t="s">
        <v>16</v>
      </c>
      <c r="G587" s="4">
        <v>8.0002585857E8</v>
      </c>
      <c r="H587" s="4"/>
      <c r="I587" s="6" t="s">
        <v>43</v>
      </c>
    </row>
    <row r="588">
      <c r="A588" s="1">
        <v>46262.0</v>
      </c>
      <c r="B588" s="2" t="s">
        <v>17</v>
      </c>
      <c r="C588" s="2" t="s">
        <v>603</v>
      </c>
      <c r="D588" s="5">
        <v>6.291245E7</v>
      </c>
      <c r="E588" s="4"/>
      <c r="F588" s="5" t="s">
        <v>3</v>
      </c>
      <c r="G588" s="4">
        <v>7.3711340857E8</v>
      </c>
      <c r="H588" s="4"/>
      <c r="I588" s="6" t="s">
        <v>43</v>
      </c>
    </row>
    <row r="589">
      <c r="A589" s="1">
        <v>46262.0</v>
      </c>
      <c r="B589" s="2" t="s">
        <v>17</v>
      </c>
      <c r="C589" s="2" t="s">
        <v>604</v>
      </c>
      <c r="D589" s="5">
        <v>6.88545E7</v>
      </c>
      <c r="E589" s="4"/>
      <c r="F589" s="5" t="s">
        <v>3</v>
      </c>
      <c r="G589" s="4">
        <v>6.6825890857E8</v>
      </c>
      <c r="H589" s="4"/>
      <c r="I589" s="6" t="s">
        <v>43</v>
      </c>
    </row>
    <row r="590">
      <c r="A590" s="1">
        <v>46262.0</v>
      </c>
      <c r="B590" s="2" t="s">
        <v>17</v>
      </c>
      <c r="C590" s="2" t="s">
        <v>605</v>
      </c>
      <c r="D590" s="5">
        <v>8.122775E7</v>
      </c>
      <c r="E590" s="4"/>
      <c r="F590" s="5" t="s">
        <v>3</v>
      </c>
      <c r="G590" s="4">
        <v>5.8703115857E8</v>
      </c>
      <c r="H590" s="4"/>
      <c r="I590" s="6" t="s">
        <v>43</v>
      </c>
    </row>
    <row r="591">
      <c r="A591" s="1">
        <v>46262.0</v>
      </c>
      <c r="B591" s="2" t="s">
        <v>17</v>
      </c>
      <c r="C591" s="2" t="s">
        <v>606</v>
      </c>
      <c r="D591" s="5">
        <v>1.2866E8</v>
      </c>
      <c r="E591" s="4"/>
      <c r="F591" s="5" t="s">
        <v>3</v>
      </c>
      <c r="G591" s="4">
        <v>4.5837115857000005E8</v>
      </c>
      <c r="H591" s="4"/>
      <c r="I591" s="6" t="s">
        <v>43</v>
      </c>
    </row>
    <row r="592">
      <c r="A592" s="1">
        <v>46262.0</v>
      </c>
      <c r="B592" s="2" t="s">
        <v>17</v>
      </c>
      <c r="C592" s="2" t="s">
        <v>607</v>
      </c>
      <c r="D592" s="5">
        <v>1.65E7</v>
      </c>
      <c r="E592" s="4"/>
      <c r="F592" s="5" t="s">
        <v>3</v>
      </c>
      <c r="G592" s="4">
        <v>4.4187115857000005E8</v>
      </c>
      <c r="H592" s="4"/>
      <c r="I592" s="6" t="s">
        <v>43</v>
      </c>
    </row>
    <row r="593">
      <c r="A593" s="1">
        <v>46262.0</v>
      </c>
      <c r="B593" s="2" t="s">
        <v>17</v>
      </c>
      <c r="C593" s="2" t="s">
        <v>608</v>
      </c>
      <c r="D593" s="5">
        <v>3.0E7</v>
      </c>
      <c r="E593" s="4"/>
      <c r="F593" s="5" t="s">
        <v>3</v>
      </c>
      <c r="G593" s="4">
        <v>4.1187115857000005E8</v>
      </c>
      <c r="H593" s="5">
        <v>4.1187115857E8</v>
      </c>
      <c r="I593" s="6" t="s">
        <v>43</v>
      </c>
    </row>
    <row r="594">
      <c r="A594" s="1">
        <v>46262.0</v>
      </c>
      <c r="B594" s="2" t="s">
        <v>17</v>
      </c>
      <c r="C594" s="2" t="s">
        <v>609</v>
      </c>
      <c r="D594" s="5">
        <v>1.254395E8</v>
      </c>
      <c r="E594" s="4"/>
      <c r="F594" s="5" t="s">
        <v>3</v>
      </c>
      <c r="G594" s="4">
        <v>2.8643165857000005E8</v>
      </c>
      <c r="H594" s="5">
        <v>2.8643165857E8</v>
      </c>
      <c r="I594" s="6" t="s">
        <v>43</v>
      </c>
    </row>
    <row r="595">
      <c r="A595" s="1">
        <v>46262.0</v>
      </c>
      <c r="B595" s="2" t="s">
        <v>17</v>
      </c>
      <c r="C595" s="2" t="s">
        <v>610</v>
      </c>
      <c r="D595" s="5">
        <v>8.17694E7</v>
      </c>
      <c r="E595" s="4"/>
      <c r="F595" s="5" t="s">
        <v>3</v>
      </c>
      <c r="G595" s="4">
        <v>2.0466225857000005E8</v>
      </c>
      <c r="H595" s="4"/>
      <c r="I595" s="6" t="s">
        <v>43</v>
      </c>
    </row>
    <row r="596">
      <c r="A596" s="1">
        <v>46262.0</v>
      </c>
      <c r="B596" s="2" t="s">
        <v>17</v>
      </c>
      <c r="C596" s="2" t="s">
        <v>611</v>
      </c>
      <c r="D596" s="5">
        <v>1.277892E8</v>
      </c>
      <c r="E596" s="4"/>
      <c r="F596" s="5" t="s">
        <v>3</v>
      </c>
      <c r="G596" s="4">
        <v>7.687305857000005E7</v>
      </c>
      <c r="H596" s="4"/>
      <c r="I596" s="6" t="s">
        <v>43</v>
      </c>
    </row>
    <row r="597">
      <c r="A597" s="1">
        <v>46262.0</v>
      </c>
      <c r="B597" s="2" t="s">
        <v>17</v>
      </c>
      <c r="C597" s="2" t="s">
        <v>612</v>
      </c>
      <c r="D597" s="5">
        <v>6.5476E7</v>
      </c>
      <c r="E597" s="4"/>
      <c r="F597" s="5" t="s">
        <v>3</v>
      </c>
      <c r="G597" s="4">
        <v>1.1397058570000052E7</v>
      </c>
      <c r="H597" s="4"/>
      <c r="I597" s="6" t="s">
        <v>43</v>
      </c>
    </row>
    <row r="598">
      <c r="A598" s="1">
        <v>46262.0</v>
      </c>
      <c r="B598" s="2" t="s">
        <v>14</v>
      </c>
      <c r="C598" s="2" t="s">
        <v>613</v>
      </c>
      <c r="D598" s="5"/>
      <c r="E598" s="5">
        <v>2.9877319E8</v>
      </c>
      <c r="F598" s="5" t="s">
        <v>16</v>
      </c>
      <c r="G598" s="4">
        <v>3.1017024857000005E8</v>
      </c>
      <c r="H598" s="4"/>
      <c r="I598" s="6" t="s">
        <v>43</v>
      </c>
    </row>
    <row r="599">
      <c r="A599" s="1">
        <v>46262.0</v>
      </c>
      <c r="B599" s="2" t="s">
        <v>14</v>
      </c>
      <c r="C599" s="2" t="s">
        <v>614</v>
      </c>
      <c r="D599" s="5"/>
      <c r="E599" s="5">
        <v>1.0E8</v>
      </c>
      <c r="F599" s="5" t="s">
        <v>16</v>
      </c>
      <c r="G599" s="4">
        <v>4.1017024857000005E8</v>
      </c>
      <c r="H599" s="5">
        <v>4.1017024857E8</v>
      </c>
      <c r="I599" s="6" t="s">
        <v>43</v>
      </c>
    </row>
    <row r="600">
      <c r="A600" s="1">
        <v>46263.0</v>
      </c>
      <c r="B600" s="2" t="s">
        <v>615</v>
      </c>
      <c r="C600" s="2" t="s">
        <v>616</v>
      </c>
      <c r="D600" s="5">
        <v>1300000.0</v>
      </c>
      <c r="E600" s="4"/>
      <c r="F600" s="5" t="s">
        <v>3</v>
      </c>
      <c r="G600" s="4">
        <v>4.0887024857000005E8</v>
      </c>
      <c r="H600" s="4"/>
      <c r="I600" s="6" t="s">
        <v>43</v>
      </c>
    </row>
    <row r="601">
      <c r="A601" s="1">
        <v>46263.0</v>
      </c>
      <c r="B601" s="2" t="s">
        <v>615</v>
      </c>
      <c r="C601" s="2" t="s">
        <v>617</v>
      </c>
      <c r="D601" s="5">
        <v>2000000.0</v>
      </c>
      <c r="E601" s="4"/>
      <c r="F601" s="5" t="s">
        <v>3</v>
      </c>
      <c r="G601" s="4">
        <v>4.0687024857000005E8</v>
      </c>
      <c r="H601" s="4"/>
      <c r="I601" s="6" t="s">
        <v>43</v>
      </c>
    </row>
    <row r="602">
      <c r="A602" s="1">
        <v>46263.0</v>
      </c>
      <c r="B602" s="2" t="s">
        <v>615</v>
      </c>
      <c r="C602" s="2" t="s">
        <v>618</v>
      </c>
      <c r="D602" s="5">
        <v>1000000.0</v>
      </c>
      <c r="E602" s="4"/>
      <c r="F602" s="5" t="s">
        <v>3</v>
      </c>
      <c r="G602" s="4">
        <v>4.0587024857000005E8</v>
      </c>
      <c r="H602" s="4"/>
      <c r="I602" s="6" t="s">
        <v>43</v>
      </c>
    </row>
    <row r="603">
      <c r="A603" s="1">
        <v>46263.0</v>
      </c>
      <c r="B603" s="2" t="s">
        <v>615</v>
      </c>
      <c r="C603" s="2" t="s">
        <v>619</v>
      </c>
      <c r="D603" s="5">
        <v>1450000.0</v>
      </c>
      <c r="E603" s="4"/>
      <c r="F603" s="5" t="s">
        <v>3</v>
      </c>
      <c r="G603" s="4">
        <v>4.0442024857000005E8</v>
      </c>
      <c r="H603" s="4"/>
      <c r="I603" s="6" t="s">
        <v>43</v>
      </c>
    </row>
    <row r="604">
      <c r="A604" s="1">
        <v>46263.0</v>
      </c>
      <c r="B604" s="2" t="s">
        <v>17</v>
      </c>
      <c r="C604" s="2" t="s">
        <v>620</v>
      </c>
      <c r="D604" s="5">
        <v>6.327842E7</v>
      </c>
      <c r="E604" s="4"/>
      <c r="F604" s="5" t="s">
        <v>3</v>
      </c>
      <c r="G604" s="4">
        <v>3.4114182857000005E8</v>
      </c>
      <c r="H604" s="4"/>
      <c r="I604" s="6" t="s">
        <v>43</v>
      </c>
    </row>
    <row r="605">
      <c r="A605" s="1">
        <v>46263.0</v>
      </c>
      <c r="B605" s="2" t="s">
        <v>17</v>
      </c>
      <c r="C605" s="2" t="s">
        <v>621</v>
      </c>
      <c r="D605" s="5">
        <v>1.4445E8</v>
      </c>
      <c r="E605" s="4"/>
      <c r="F605" s="5" t="s">
        <v>3</v>
      </c>
      <c r="G605" s="4">
        <v>1.9669182857000005E8</v>
      </c>
      <c r="H605" s="4"/>
      <c r="I605" s="6" t="s">
        <v>43</v>
      </c>
    </row>
    <row r="606">
      <c r="A606" s="1">
        <v>46263.0</v>
      </c>
      <c r="B606" s="2" t="s">
        <v>17</v>
      </c>
      <c r="C606" s="2" t="s">
        <v>622</v>
      </c>
      <c r="D606" s="5">
        <v>1.96E8</v>
      </c>
      <c r="E606" s="4"/>
      <c r="F606" s="5" t="s">
        <v>3</v>
      </c>
      <c r="G606" s="4">
        <v>691828.5700000525</v>
      </c>
      <c r="H606" s="5">
        <v>691828.57</v>
      </c>
      <c r="I606" s="6" t="s">
        <v>43</v>
      </c>
    </row>
    <row r="607">
      <c r="A607" s="1">
        <v>46263.0</v>
      </c>
      <c r="B607" s="2" t="s">
        <v>17</v>
      </c>
      <c r="C607" s="2" t="s">
        <v>623</v>
      </c>
      <c r="D607" s="5">
        <v>600000.0</v>
      </c>
      <c r="E607" s="4"/>
      <c r="F607" s="5" t="s">
        <v>3</v>
      </c>
      <c r="G607" s="4">
        <v>91828.57000005245</v>
      </c>
      <c r="H607" s="5">
        <v>91828.57</v>
      </c>
      <c r="I607" s="6" t="s">
        <v>43</v>
      </c>
    </row>
    <row r="608">
      <c r="A608" s="1">
        <v>46263.0</v>
      </c>
      <c r="B608" s="2" t="s">
        <v>14</v>
      </c>
      <c r="C608" s="2" t="s">
        <v>624</v>
      </c>
      <c r="D608" s="5"/>
      <c r="E608" s="5">
        <v>7.626E7</v>
      </c>
      <c r="F608" s="5" t="s">
        <v>16</v>
      </c>
      <c r="G608" s="4">
        <v>7.635182857000005E7</v>
      </c>
      <c r="H608" s="4"/>
      <c r="I608" s="6" t="s">
        <v>43</v>
      </c>
    </row>
    <row r="609">
      <c r="A609" s="1">
        <v>46263.0</v>
      </c>
      <c r="B609" s="2" t="s">
        <v>17</v>
      </c>
      <c r="C609" s="2" t="s">
        <v>625</v>
      </c>
      <c r="D609" s="5">
        <v>1.637703E7</v>
      </c>
      <c r="E609" s="4"/>
      <c r="F609" s="5" t="s">
        <v>3</v>
      </c>
      <c r="G609" s="4">
        <v>5.997479857000005E7</v>
      </c>
      <c r="H609" s="4"/>
      <c r="I609" s="6" t="s">
        <v>43</v>
      </c>
    </row>
    <row r="610">
      <c r="A610" s="1">
        <v>46263.0</v>
      </c>
      <c r="B610" s="2" t="s">
        <v>17</v>
      </c>
      <c r="C610" s="2" t="s">
        <v>626</v>
      </c>
      <c r="D610" s="5">
        <v>3.578074E7</v>
      </c>
      <c r="E610" s="4"/>
      <c r="F610" s="5" t="s">
        <v>3</v>
      </c>
      <c r="G610" s="4">
        <v>2.4194058570000052E7</v>
      </c>
      <c r="H610" s="4"/>
      <c r="I610" s="6" t="s">
        <v>43</v>
      </c>
    </row>
    <row r="611">
      <c r="A611" s="1">
        <v>46263.0</v>
      </c>
      <c r="B611" s="2" t="s">
        <v>14</v>
      </c>
      <c r="C611" s="2" t="s">
        <v>627</v>
      </c>
      <c r="D611" s="5"/>
      <c r="E611" s="5">
        <v>2.074362E8</v>
      </c>
      <c r="F611" s="5" t="s">
        <v>16</v>
      </c>
      <c r="G611" s="4">
        <v>2.3163025857000005E8</v>
      </c>
      <c r="H611" s="4"/>
      <c r="I611" s="6" t="s">
        <v>43</v>
      </c>
    </row>
    <row r="612">
      <c r="A612" s="1">
        <v>46263.0</v>
      </c>
      <c r="B612" s="2" t="s">
        <v>17</v>
      </c>
      <c r="C612" s="2" t="s">
        <v>628</v>
      </c>
      <c r="D612" s="5">
        <v>1.5955E8</v>
      </c>
      <c r="E612" s="4"/>
      <c r="F612" s="5" t="s">
        <v>3</v>
      </c>
      <c r="G612" s="4">
        <v>7.208025857000005E7</v>
      </c>
      <c r="H612" s="4"/>
      <c r="I612" s="6" t="s">
        <v>43</v>
      </c>
    </row>
    <row r="613">
      <c r="A613" s="1">
        <v>46263.0</v>
      </c>
      <c r="B613" s="2" t="s">
        <v>17</v>
      </c>
      <c r="C613" s="2" t="s">
        <v>629</v>
      </c>
      <c r="D613" s="5">
        <v>7.2E7</v>
      </c>
      <c r="E613" s="4"/>
      <c r="F613" s="5" t="s">
        <v>3</v>
      </c>
      <c r="G613" s="4">
        <v>80258.57000005245</v>
      </c>
      <c r="H613" s="4"/>
      <c r="I613" s="6" t="s">
        <v>43</v>
      </c>
    </row>
    <row r="614">
      <c r="A614" s="1">
        <v>46263.0</v>
      </c>
      <c r="B614" s="2" t="s">
        <v>14</v>
      </c>
      <c r="C614" s="2" t="s">
        <v>630</v>
      </c>
      <c r="D614" s="5"/>
      <c r="E614" s="5">
        <v>4.2489835E8</v>
      </c>
      <c r="F614" s="5" t="s">
        <v>16</v>
      </c>
      <c r="G614" s="4">
        <v>4.2497860857000005E8</v>
      </c>
      <c r="H614" s="4"/>
      <c r="I614" s="6" t="s">
        <v>43</v>
      </c>
    </row>
    <row r="615">
      <c r="A615" s="1">
        <v>46263.0</v>
      </c>
      <c r="B615" s="2" t="s">
        <v>14</v>
      </c>
      <c r="C615" s="2" t="s">
        <v>631</v>
      </c>
      <c r="D615" s="5"/>
      <c r="E615" s="5">
        <v>1.0E8</v>
      </c>
      <c r="F615" s="5" t="s">
        <v>16</v>
      </c>
      <c r="G615" s="4">
        <v>5.2497860857000005E8</v>
      </c>
      <c r="H615" s="4"/>
      <c r="I615" s="6" t="s">
        <v>43</v>
      </c>
    </row>
    <row r="616">
      <c r="A616" s="1">
        <v>46263.0</v>
      </c>
      <c r="B616" s="2" t="s">
        <v>14</v>
      </c>
      <c r="C616" s="2" t="s">
        <v>632</v>
      </c>
      <c r="D616" s="5"/>
      <c r="E616" s="5">
        <v>9.5E7</v>
      </c>
      <c r="F616" s="5" t="s">
        <v>16</v>
      </c>
      <c r="G616" s="4">
        <v>6.1997860857E8</v>
      </c>
      <c r="H616" s="4"/>
      <c r="I616" s="6" t="s">
        <v>43</v>
      </c>
    </row>
    <row r="617">
      <c r="A617" s="1">
        <v>46263.0</v>
      </c>
      <c r="B617" s="2" t="s">
        <v>17</v>
      </c>
      <c r="C617" s="2" t="s">
        <v>633</v>
      </c>
      <c r="D617" s="5">
        <v>6.02905E7</v>
      </c>
      <c r="E617" s="4"/>
      <c r="F617" s="5" t="s">
        <v>3</v>
      </c>
      <c r="G617" s="4">
        <v>5.5968810857E8</v>
      </c>
      <c r="H617" s="4"/>
      <c r="I617" s="6" t="s">
        <v>43</v>
      </c>
    </row>
    <row r="618">
      <c r="A618" s="1">
        <v>46263.0</v>
      </c>
      <c r="B618" s="2" t="s">
        <v>17</v>
      </c>
      <c r="C618" s="2" t="s">
        <v>634</v>
      </c>
      <c r="D618" s="5">
        <v>7.285E7</v>
      </c>
      <c r="E618" s="4"/>
      <c r="F618" s="5" t="s">
        <v>3</v>
      </c>
      <c r="G618" s="4">
        <v>4.8683810857000005E8</v>
      </c>
      <c r="H618" s="4"/>
      <c r="I618" s="6" t="s">
        <v>43</v>
      </c>
    </row>
    <row r="619">
      <c r="A619" s="1">
        <v>46263.0</v>
      </c>
      <c r="B619" s="2" t="s">
        <v>17</v>
      </c>
      <c r="C619" s="2" t="s">
        <v>635</v>
      </c>
      <c r="D619" s="5">
        <v>1.050368E7</v>
      </c>
      <c r="E619" s="4"/>
      <c r="F619" s="5" t="s">
        <v>3</v>
      </c>
      <c r="G619" s="4">
        <v>4.7633442857000005E8</v>
      </c>
      <c r="H619" s="5">
        <v>4.7633442857E8</v>
      </c>
      <c r="I619" s="6" t="s">
        <v>43</v>
      </c>
    </row>
    <row r="620">
      <c r="A620" s="1">
        <v>46263.0</v>
      </c>
      <c r="B620" s="2" t="s">
        <v>17</v>
      </c>
      <c r="C620" s="2" t="s">
        <v>636</v>
      </c>
      <c r="D620" s="5">
        <v>4908520.0</v>
      </c>
      <c r="E620" s="4"/>
      <c r="F620" s="5" t="s">
        <v>3</v>
      </c>
      <c r="G620" s="4">
        <v>4.7142590857000005E8</v>
      </c>
      <c r="H620" s="5">
        <v>4.7142590857E8</v>
      </c>
      <c r="I620" s="6" t="s">
        <v>43</v>
      </c>
    </row>
    <row r="621">
      <c r="A621" s="1">
        <v>46263.0</v>
      </c>
      <c r="B621" s="2" t="s">
        <v>17</v>
      </c>
      <c r="C621" s="2" t="s">
        <v>637</v>
      </c>
      <c r="D621" s="5">
        <v>4.63646E7</v>
      </c>
      <c r="E621" s="4"/>
      <c r="F621" s="5" t="s">
        <v>3</v>
      </c>
      <c r="G621" s="4">
        <v>4.2506130857000005E8</v>
      </c>
      <c r="H621" s="5">
        <v>4.2506130857E8</v>
      </c>
      <c r="I621" s="6" t="s">
        <v>43</v>
      </c>
    </row>
    <row r="622">
      <c r="A622" s="1">
        <v>46264.0</v>
      </c>
      <c r="B622" s="2" t="s">
        <v>17</v>
      </c>
      <c r="C622" s="2" t="s">
        <v>638</v>
      </c>
      <c r="D622" s="5">
        <v>1.9109851E8</v>
      </c>
      <c r="E622" s="4"/>
      <c r="F622" s="5" t="s">
        <v>3</v>
      </c>
      <c r="G622" s="4">
        <v>2.3396279857000005E8</v>
      </c>
      <c r="H622" s="4"/>
      <c r="I622" s="6" t="s">
        <v>43</v>
      </c>
    </row>
    <row r="623">
      <c r="A623" s="1">
        <v>46264.0</v>
      </c>
      <c r="B623" s="2" t="s">
        <v>17</v>
      </c>
      <c r="C623" s="2" t="s">
        <v>639</v>
      </c>
      <c r="D623" s="5">
        <v>1.7379044E8</v>
      </c>
      <c r="E623" s="4"/>
      <c r="F623" s="5" t="s">
        <v>3</v>
      </c>
      <c r="G623" s="4">
        <v>6.017235857000005E7</v>
      </c>
      <c r="H623" s="4"/>
      <c r="I623" s="6" t="s">
        <v>43</v>
      </c>
    </row>
    <row r="624">
      <c r="A624" s="1">
        <v>46264.0</v>
      </c>
      <c r="B624" s="2" t="s">
        <v>17</v>
      </c>
      <c r="C624" s="2" t="s">
        <v>640</v>
      </c>
      <c r="D624" s="5">
        <v>1.8896E7</v>
      </c>
      <c r="E624" s="4"/>
      <c r="F624" s="5" t="s">
        <v>3</v>
      </c>
      <c r="G624" s="4">
        <v>4.127635857000005E7</v>
      </c>
      <c r="H624" s="4"/>
      <c r="I624" s="6" t="s">
        <v>43</v>
      </c>
    </row>
    <row r="625">
      <c r="A625" s="1">
        <v>46264.0</v>
      </c>
      <c r="B625" s="2" t="s">
        <v>17</v>
      </c>
      <c r="C625" s="2" t="s">
        <v>641</v>
      </c>
      <c r="D625" s="5">
        <v>2040960.0</v>
      </c>
      <c r="E625" s="4"/>
      <c r="F625" s="5" t="s">
        <v>3</v>
      </c>
      <c r="G625" s="4">
        <v>3.923539857000005E7</v>
      </c>
      <c r="H625" s="4"/>
      <c r="I625" s="6" t="s">
        <v>43</v>
      </c>
    </row>
    <row r="626">
      <c r="A626" s="1">
        <v>46264.0</v>
      </c>
      <c r="B626" s="2" t="s">
        <v>17</v>
      </c>
      <c r="C626" s="2" t="s">
        <v>642</v>
      </c>
      <c r="D626" s="5">
        <v>2200000.0</v>
      </c>
      <c r="E626" s="4"/>
      <c r="F626" s="5" t="s">
        <v>3</v>
      </c>
      <c r="G626" s="4">
        <v>3.703539857000005E7</v>
      </c>
      <c r="H626" s="4"/>
      <c r="I626" s="6" t="s">
        <v>43</v>
      </c>
    </row>
    <row r="627">
      <c r="A627" s="1">
        <v>46264.0</v>
      </c>
      <c r="B627" s="2" t="s">
        <v>14</v>
      </c>
      <c r="C627" s="2" t="s">
        <v>643</v>
      </c>
      <c r="D627" s="5"/>
      <c r="E627" s="5">
        <v>1.8107355E8</v>
      </c>
      <c r="F627" s="5" t="s">
        <v>16</v>
      </c>
      <c r="G627" s="4">
        <v>2.1810894857000005E8</v>
      </c>
      <c r="H627" s="4"/>
      <c r="I627" s="6" t="s">
        <v>43</v>
      </c>
    </row>
    <row r="628">
      <c r="A628" s="1">
        <v>46264.0</v>
      </c>
      <c r="B628" s="2" t="s">
        <v>17</v>
      </c>
      <c r="C628" s="2" t="s">
        <v>644</v>
      </c>
      <c r="D628" s="5">
        <v>6.84E7</v>
      </c>
      <c r="E628" s="4"/>
      <c r="F628" s="5" t="s">
        <v>3</v>
      </c>
      <c r="G628" s="4">
        <v>1.4970894857000005E8</v>
      </c>
      <c r="H628" s="4"/>
      <c r="I628" s="6" t="s">
        <v>43</v>
      </c>
    </row>
    <row r="629">
      <c r="A629" s="1">
        <v>46264.0</v>
      </c>
      <c r="B629" s="2" t="s">
        <v>17</v>
      </c>
      <c r="C629" s="2" t="s">
        <v>645</v>
      </c>
      <c r="D629" s="5">
        <v>7.8866E7</v>
      </c>
      <c r="E629" s="4"/>
      <c r="F629" s="5" t="s">
        <v>3</v>
      </c>
      <c r="G629" s="4">
        <v>7.084294857000005E7</v>
      </c>
      <c r="H629" s="4"/>
      <c r="I629" s="6" t="s">
        <v>43</v>
      </c>
    </row>
    <row r="630">
      <c r="A630" s="1">
        <v>46264.0</v>
      </c>
      <c r="B630" s="2" t="s">
        <v>17</v>
      </c>
      <c r="C630" s="2" t="s">
        <v>646</v>
      </c>
      <c r="D630" s="5">
        <v>4.0E7</v>
      </c>
      <c r="E630" s="4"/>
      <c r="F630" s="5" t="s">
        <v>3</v>
      </c>
      <c r="G630" s="4">
        <v>3.0842948570000052E7</v>
      </c>
      <c r="H630" s="4"/>
      <c r="I630" s="6" t="s">
        <v>43</v>
      </c>
    </row>
    <row r="631">
      <c r="A631" s="1">
        <v>46264.0</v>
      </c>
      <c r="B631" s="2" t="s">
        <v>17</v>
      </c>
      <c r="C631" s="2" t="s">
        <v>647</v>
      </c>
      <c r="D631" s="5">
        <v>2.789375E7</v>
      </c>
      <c r="E631" s="4"/>
      <c r="F631" s="5" t="s">
        <v>3</v>
      </c>
      <c r="G631" s="4">
        <v>2949198.5700000525</v>
      </c>
      <c r="H631" s="4"/>
      <c r="I631" s="6" t="s">
        <v>43</v>
      </c>
    </row>
    <row r="632">
      <c r="A632" s="1">
        <v>46264.0</v>
      </c>
      <c r="B632" s="2" t="s">
        <v>14</v>
      </c>
      <c r="C632" s="2" t="s">
        <v>648</v>
      </c>
      <c r="D632" s="5"/>
      <c r="E632" s="5">
        <v>1.4486151E8</v>
      </c>
      <c r="F632" s="5" t="s">
        <v>16</v>
      </c>
      <c r="G632" s="4">
        <v>1.4781070857000005E8</v>
      </c>
      <c r="H632" s="4"/>
      <c r="I632" s="6" t="s">
        <v>43</v>
      </c>
    </row>
    <row r="633">
      <c r="A633" s="1">
        <v>46264.0</v>
      </c>
      <c r="B633" s="2" t="s">
        <v>14</v>
      </c>
      <c r="C633" s="2" t="s">
        <v>649</v>
      </c>
      <c r="D633" s="5"/>
      <c r="E633" s="5">
        <v>1.7672582E8</v>
      </c>
      <c r="F633" s="5" t="s">
        <v>16</v>
      </c>
      <c r="G633" s="4">
        <v>3.2453652857000005E8</v>
      </c>
      <c r="H633" s="5">
        <v>3.2453652857E8</v>
      </c>
      <c r="I633" s="6" t="s">
        <v>43</v>
      </c>
    </row>
    <row r="634">
      <c r="A634" s="1">
        <v>46264.0</v>
      </c>
      <c r="B634" s="2" t="s">
        <v>14</v>
      </c>
      <c r="C634" s="2" t="s">
        <v>650</v>
      </c>
      <c r="D634" s="5"/>
      <c r="E634" s="5">
        <v>1.0E8</v>
      </c>
      <c r="F634" s="5" t="s">
        <v>16</v>
      </c>
      <c r="G634" s="4">
        <v>4.2453652857000005E8</v>
      </c>
      <c r="H634" s="5">
        <v>4.2453652857E8</v>
      </c>
      <c r="I634" s="6" t="s">
        <v>43</v>
      </c>
    </row>
    <row r="635">
      <c r="A635" s="1">
        <v>46264.0</v>
      </c>
      <c r="B635" s="2" t="s">
        <v>14</v>
      </c>
      <c r="C635" s="2" t="s">
        <v>651</v>
      </c>
      <c r="D635" s="5"/>
      <c r="E635" s="5">
        <v>6.58E7</v>
      </c>
      <c r="F635" s="5" t="s">
        <v>16</v>
      </c>
      <c r="G635" s="4">
        <v>4.9033652857000005E8</v>
      </c>
      <c r="H635" s="4"/>
      <c r="I635" s="6" t="s">
        <v>43</v>
      </c>
    </row>
    <row r="636">
      <c r="A636" s="1">
        <v>46264.0</v>
      </c>
      <c r="B636" s="2" t="s">
        <v>17</v>
      </c>
      <c r="C636" s="2" t="s">
        <v>652</v>
      </c>
      <c r="D636" s="5">
        <v>2.0E7</v>
      </c>
      <c r="E636" s="4"/>
      <c r="F636" s="5" t="s">
        <v>3</v>
      </c>
      <c r="G636" s="4">
        <v>4.7033652857000005E8</v>
      </c>
      <c r="H636" s="4"/>
      <c r="I636" s="6" t="s">
        <v>43</v>
      </c>
    </row>
    <row r="637">
      <c r="A637" s="1">
        <v>46264.0</v>
      </c>
      <c r="B637" s="2" t="s">
        <v>17</v>
      </c>
      <c r="C637" s="2" t="s">
        <v>653</v>
      </c>
      <c r="D637" s="5">
        <v>1550000.0</v>
      </c>
      <c r="E637" s="4"/>
      <c r="F637" s="5" t="s">
        <v>3</v>
      </c>
      <c r="G637" s="4">
        <v>4.6878652857000005E8</v>
      </c>
      <c r="H637" s="4"/>
      <c r="I637" s="6" t="s">
        <v>43</v>
      </c>
    </row>
    <row r="638">
      <c r="A638" s="1">
        <v>46264.0</v>
      </c>
      <c r="B638" s="2" t="s">
        <v>17</v>
      </c>
      <c r="C638" s="2" t="s">
        <v>654</v>
      </c>
      <c r="D638" s="5">
        <v>6.589125E7</v>
      </c>
      <c r="E638" s="4"/>
      <c r="F638" s="5" t="s">
        <v>3</v>
      </c>
      <c r="G638" s="4">
        <v>4.0289527857000005E8</v>
      </c>
      <c r="H638" s="4"/>
      <c r="I638" s="6" t="s">
        <v>43</v>
      </c>
    </row>
    <row r="639">
      <c r="A639" s="1">
        <v>46264.0</v>
      </c>
      <c r="B639" s="2" t="s">
        <v>655</v>
      </c>
      <c r="C639" s="2" t="s">
        <v>655</v>
      </c>
      <c r="D639" s="5">
        <v>200000.0</v>
      </c>
      <c r="E639" s="4"/>
      <c r="F639" s="4"/>
      <c r="G639" s="4">
        <v>4.0269527857000005E8</v>
      </c>
      <c r="H639" s="4"/>
      <c r="I639" s="6" t="s">
        <v>43</v>
      </c>
    </row>
    <row r="640">
      <c r="A640" s="1">
        <v>46264.0</v>
      </c>
      <c r="B640" s="2" t="s">
        <v>17</v>
      </c>
      <c r="C640" s="2" t="s">
        <v>656</v>
      </c>
      <c r="D640" s="5">
        <v>6.33732E7</v>
      </c>
      <c r="E640" s="4"/>
      <c r="F640" s="5" t="s">
        <v>3</v>
      </c>
      <c r="G640" s="4">
        <v>3.3932207857000005E8</v>
      </c>
      <c r="H640" s="4"/>
      <c r="I640" s="6" t="s">
        <v>43</v>
      </c>
    </row>
    <row r="641">
      <c r="A641" s="1">
        <v>46264.0</v>
      </c>
      <c r="B641" s="2" t="s">
        <v>14</v>
      </c>
      <c r="C641" s="2" t="s">
        <v>657</v>
      </c>
      <c r="D641" s="5"/>
      <c r="E641" s="5">
        <v>150000.0</v>
      </c>
      <c r="F641" s="5" t="s">
        <v>16</v>
      </c>
      <c r="G641" s="4">
        <v>3.3947207857000005E8</v>
      </c>
      <c r="H641" s="5">
        <v>3.3947207857E8</v>
      </c>
      <c r="I641" s="6" t="s">
        <v>43</v>
      </c>
    </row>
    <row r="642">
      <c r="A642" s="1">
        <v>46265.0</v>
      </c>
      <c r="B642" s="2" t="s">
        <v>17</v>
      </c>
      <c r="C642" s="2" t="s">
        <v>658</v>
      </c>
      <c r="D642" s="5">
        <v>1.533036E8</v>
      </c>
      <c r="E642" s="4"/>
      <c r="F642" s="5" t="s">
        <v>3</v>
      </c>
      <c r="G642" s="4">
        <v>1.8616847857000005E8</v>
      </c>
      <c r="H642" s="4"/>
      <c r="I642" s="6" t="s">
        <v>43</v>
      </c>
    </row>
    <row r="643">
      <c r="A643" s="1">
        <v>46265.0</v>
      </c>
      <c r="B643" s="2" t="s">
        <v>17</v>
      </c>
      <c r="C643" s="2" t="s">
        <v>659</v>
      </c>
      <c r="D643" s="5">
        <v>8.2041E7</v>
      </c>
      <c r="E643" s="4"/>
      <c r="F643" s="5" t="s">
        <v>3</v>
      </c>
      <c r="G643" s="4">
        <v>1.0412747857000005E8</v>
      </c>
      <c r="H643" s="4"/>
      <c r="I643" s="6" t="s">
        <v>43</v>
      </c>
    </row>
    <row r="644">
      <c r="A644" s="1">
        <v>46265.0</v>
      </c>
      <c r="B644" s="2" t="s">
        <v>17</v>
      </c>
      <c r="C644" s="2" t="s">
        <v>660</v>
      </c>
      <c r="D644" s="5">
        <v>3000000.0</v>
      </c>
      <c r="E644" s="4"/>
      <c r="F644" s="5" t="s">
        <v>3</v>
      </c>
      <c r="G644" s="4">
        <v>1.0112747857000005E8</v>
      </c>
      <c r="H644" s="4"/>
      <c r="I644" s="6" t="s">
        <v>43</v>
      </c>
    </row>
    <row r="645">
      <c r="A645" s="1">
        <v>46265.0</v>
      </c>
      <c r="B645" s="2" t="s">
        <v>17</v>
      </c>
      <c r="C645" s="2" t="s">
        <v>661</v>
      </c>
      <c r="D645" s="5">
        <v>6.12E7</v>
      </c>
      <c r="E645" s="4"/>
      <c r="F645" s="5" t="s">
        <v>3</v>
      </c>
      <c r="G645" s="4">
        <v>3.992747857000005E7</v>
      </c>
      <c r="H645" s="4"/>
      <c r="I645" s="6" t="s">
        <v>43</v>
      </c>
    </row>
    <row r="646">
      <c r="A646" s="1">
        <v>46265.0</v>
      </c>
      <c r="B646" s="2" t="s">
        <v>17</v>
      </c>
      <c r="C646" s="2" t="s">
        <v>662</v>
      </c>
      <c r="D646" s="5">
        <v>2.0E7</v>
      </c>
      <c r="E646" s="4"/>
      <c r="F646" s="5" t="s">
        <v>3</v>
      </c>
      <c r="G646" s="4">
        <v>1.9927478570000052E7</v>
      </c>
      <c r="H646" s="4"/>
      <c r="I646" s="6" t="s">
        <v>43</v>
      </c>
    </row>
    <row r="647">
      <c r="A647" s="1">
        <v>46265.0</v>
      </c>
      <c r="B647" s="2" t="s">
        <v>17</v>
      </c>
      <c r="C647" s="2" t="s">
        <v>663</v>
      </c>
      <c r="D647" s="5">
        <v>2300000.0</v>
      </c>
      <c r="E647" s="4"/>
      <c r="F647" s="5" t="s">
        <v>3</v>
      </c>
      <c r="G647" s="4">
        <v>1.7627478570000052E7</v>
      </c>
      <c r="H647" s="4"/>
      <c r="I647" s="6" t="s">
        <v>43</v>
      </c>
    </row>
    <row r="648">
      <c r="A648" s="1">
        <v>46265.0</v>
      </c>
      <c r="B648" s="2" t="s">
        <v>17</v>
      </c>
      <c r="C648" s="2" t="s">
        <v>664</v>
      </c>
      <c r="D648" s="5">
        <v>1200000.0</v>
      </c>
      <c r="E648" s="4"/>
      <c r="F648" s="5" t="s">
        <v>3</v>
      </c>
      <c r="G648" s="4">
        <v>1.6427478570000052E7</v>
      </c>
      <c r="H648" s="5">
        <v>1.642747857E7</v>
      </c>
      <c r="I648" s="6" t="s">
        <v>43</v>
      </c>
    </row>
    <row r="649">
      <c r="A649" s="1">
        <v>46265.0</v>
      </c>
      <c r="B649" s="2" t="s">
        <v>17</v>
      </c>
      <c r="C649" s="2" t="s">
        <v>665</v>
      </c>
      <c r="D649" s="5">
        <v>1798640.0</v>
      </c>
      <c r="E649" s="4"/>
      <c r="F649" s="5" t="s">
        <v>3</v>
      </c>
      <c r="G649" s="4">
        <v>1.4628838570000052E7</v>
      </c>
      <c r="H649" s="5">
        <v>1.462883857E7</v>
      </c>
      <c r="I649" s="6" t="s">
        <v>43</v>
      </c>
    </row>
    <row r="650">
      <c r="A650" s="1">
        <v>46265.0</v>
      </c>
      <c r="B650" s="2" t="s">
        <v>17</v>
      </c>
      <c r="C650" s="2" t="s">
        <v>666</v>
      </c>
      <c r="D650" s="5">
        <v>1614360.0</v>
      </c>
      <c r="E650" s="4"/>
      <c r="F650" s="5" t="s">
        <v>3</v>
      </c>
      <c r="G650" s="4">
        <v>1.3014478570000052E7</v>
      </c>
      <c r="H650" s="4"/>
      <c r="I650" s="6" t="s">
        <v>43</v>
      </c>
    </row>
    <row r="651">
      <c r="A651" s="1">
        <v>46265.0</v>
      </c>
      <c r="B651" s="2" t="s">
        <v>17</v>
      </c>
      <c r="C651" s="2" t="s">
        <v>667</v>
      </c>
      <c r="D651" s="5">
        <v>1508750.0</v>
      </c>
      <c r="E651" s="4"/>
      <c r="F651" s="5" t="s">
        <v>3</v>
      </c>
      <c r="G651" s="4">
        <v>1.1505728570000052E7</v>
      </c>
      <c r="H651" s="4"/>
      <c r="I651" s="6" t="s">
        <v>43</v>
      </c>
    </row>
    <row r="652">
      <c r="A652" s="1">
        <v>46265.0</v>
      </c>
      <c r="B652" s="2" t="s">
        <v>14</v>
      </c>
      <c r="C652" s="2" t="s">
        <v>668</v>
      </c>
      <c r="D652" s="5"/>
      <c r="E652" s="5">
        <v>7.5E7</v>
      </c>
      <c r="F652" s="5" t="s">
        <v>16</v>
      </c>
      <c r="G652" s="4">
        <v>8.650572857000005E7</v>
      </c>
      <c r="H652" s="4"/>
      <c r="I652" s="6" t="s">
        <v>43</v>
      </c>
    </row>
    <row r="653">
      <c r="A653" s="1">
        <v>46265.0</v>
      </c>
      <c r="B653" s="2" t="s">
        <v>14</v>
      </c>
      <c r="C653" s="2" t="s">
        <v>669</v>
      </c>
      <c r="D653" s="5"/>
      <c r="E653" s="5">
        <v>1899600.0</v>
      </c>
      <c r="F653" s="5" t="s">
        <v>16</v>
      </c>
      <c r="G653" s="4">
        <v>8.840532857000005E7</v>
      </c>
      <c r="H653" s="4"/>
      <c r="I653" s="6" t="s">
        <v>43</v>
      </c>
    </row>
    <row r="654">
      <c r="A654" s="1">
        <v>46265.0</v>
      </c>
      <c r="B654" s="2" t="s">
        <v>14</v>
      </c>
      <c r="C654" s="2" t="s">
        <v>670</v>
      </c>
      <c r="D654" s="5"/>
      <c r="E654" s="5">
        <v>1.274828E8</v>
      </c>
      <c r="F654" s="5" t="s">
        <v>16</v>
      </c>
      <c r="G654" s="4">
        <v>2.1588812857000005E8</v>
      </c>
      <c r="H654" s="4"/>
      <c r="I654" s="6" t="s">
        <v>43</v>
      </c>
    </row>
    <row r="655">
      <c r="A655" s="1">
        <v>46265.0</v>
      </c>
      <c r="B655" s="2" t="s">
        <v>17</v>
      </c>
      <c r="C655" s="2" t="s">
        <v>671</v>
      </c>
      <c r="D655" s="5">
        <v>6.77741E7</v>
      </c>
      <c r="E655" s="4"/>
      <c r="F655" s="5" t="s">
        <v>3</v>
      </c>
      <c r="G655" s="4">
        <v>1.4811402857000005E8</v>
      </c>
      <c r="H655" s="4"/>
      <c r="I655" s="6" t="s">
        <v>43</v>
      </c>
    </row>
    <row r="656">
      <c r="A656" s="1">
        <v>46265.0</v>
      </c>
      <c r="B656" s="2" t="s">
        <v>14</v>
      </c>
      <c r="C656" s="2" t="s">
        <v>672</v>
      </c>
      <c r="D656" s="5"/>
      <c r="E656" s="5">
        <v>2.43684436E8</v>
      </c>
      <c r="F656" s="5" t="s">
        <v>16</v>
      </c>
      <c r="G656" s="4">
        <v>3.9179846457000005E8</v>
      </c>
      <c r="H656" s="4"/>
      <c r="I656" s="6" t="s">
        <v>43</v>
      </c>
    </row>
    <row r="657">
      <c r="A657" s="1">
        <v>46265.0</v>
      </c>
      <c r="B657" s="2" t="s">
        <v>17</v>
      </c>
      <c r="C657" s="2" t="s">
        <v>673</v>
      </c>
      <c r="D657" s="5">
        <v>1.0E7</v>
      </c>
      <c r="E657" s="4"/>
      <c r="F657" s="5" t="s">
        <v>3</v>
      </c>
      <c r="G657" s="4">
        <v>3.8179846457000005E8</v>
      </c>
      <c r="H657" s="4"/>
      <c r="I657" s="6" t="s">
        <v>43</v>
      </c>
    </row>
    <row r="658">
      <c r="A658" s="1">
        <v>46265.0</v>
      </c>
      <c r="B658" s="2" t="s">
        <v>17</v>
      </c>
      <c r="C658" s="2" t="s">
        <v>674</v>
      </c>
      <c r="D658" s="5">
        <v>6.996068E7</v>
      </c>
      <c r="E658" s="4"/>
      <c r="F658" s="5" t="s">
        <v>3</v>
      </c>
      <c r="G658" s="4">
        <v>3.1183778457000005E8</v>
      </c>
      <c r="H658" s="4"/>
      <c r="I658" s="6" t="s">
        <v>43</v>
      </c>
    </row>
    <row r="659">
      <c r="A659" s="1">
        <v>46265.0</v>
      </c>
      <c r="B659" s="2" t="s">
        <v>17</v>
      </c>
      <c r="C659" s="2" t="s">
        <v>675</v>
      </c>
      <c r="D659" s="5">
        <v>2.723443E8</v>
      </c>
      <c r="E659" s="4"/>
      <c r="F659" s="5" t="s">
        <v>3</v>
      </c>
      <c r="G659" s="4">
        <v>3.949348457000005E7</v>
      </c>
      <c r="H659" s="4"/>
      <c r="I659" s="6" t="s">
        <v>43</v>
      </c>
    </row>
    <row r="660">
      <c r="A660" s="1">
        <v>46265.0</v>
      </c>
      <c r="B660" s="2" t="s">
        <v>14</v>
      </c>
      <c r="C660" s="2" t="s">
        <v>676</v>
      </c>
      <c r="D660" s="5"/>
      <c r="E660" s="5">
        <v>7.5E7</v>
      </c>
      <c r="F660" s="5" t="s">
        <v>16</v>
      </c>
      <c r="G660" s="4">
        <v>1.1449348457000005E8</v>
      </c>
      <c r="H660" s="4"/>
      <c r="I660" s="6" t="s">
        <v>43</v>
      </c>
    </row>
    <row r="661">
      <c r="A661" s="1">
        <v>46265.0</v>
      </c>
      <c r="B661" s="2" t="s">
        <v>14</v>
      </c>
      <c r="C661" s="2" t="s">
        <v>677</v>
      </c>
      <c r="D661" s="5"/>
      <c r="E661" s="5">
        <v>3.3680136E8</v>
      </c>
      <c r="F661" s="5" t="s">
        <v>16</v>
      </c>
      <c r="G661" s="4">
        <v>4.5129484457000005E8</v>
      </c>
      <c r="H661" s="5">
        <v>4.5129484457E8</v>
      </c>
      <c r="I661" s="6" t="s">
        <v>43</v>
      </c>
    </row>
    <row r="662">
      <c r="A662" s="1">
        <v>46265.0</v>
      </c>
      <c r="B662" s="2" t="s">
        <v>14</v>
      </c>
      <c r="C662" s="2" t="s">
        <v>678</v>
      </c>
      <c r="D662" s="5"/>
      <c r="E662" s="5">
        <v>1.6459105E8</v>
      </c>
      <c r="F662" s="5" t="s">
        <v>16</v>
      </c>
      <c r="G662" s="4">
        <v>6.1588589457E8</v>
      </c>
      <c r="H662" s="5">
        <v>6.1588589457E8</v>
      </c>
      <c r="I662" s="6" t="s">
        <v>43</v>
      </c>
    </row>
    <row r="663">
      <c r="A663" s="1">
        <v>46265.0</v>
      </c>
      <c r="B663" s="2" t="s">
        <v>14</v>
      </c>
      <c r="C663" s="2" t="s">
        <v>679</v>
      </c>
      <c r="D663" s="4"/>
      <c r="E663" s="5">
        <v>6.510504E7</v>
      </c>
      <c r="F663" s="5" t="s">
        <v>16</v>
      </c>
      <c r="G663" s="4">
        <v>6.8099093457E8</v>
      </c>
      <c r="I663" s="6" t="s">
        <v>43</v>
      </c>
    </row>
    <row r="664">
      <c r="A664" s="1">
        <v>46265.0</v>
      </c>
      <c r="B664" s="2" t="s">
        <v>27</v>
      </c>
      <c r="C664" s="2" t="s">
        <v>150</v>
      </c>
      <c r="D664" s="5">
        <v>60000.0</v>
      </c>
      <c r="E664" s="4"/>
      <c r="F664" s="4"/>
      <c r="G664" s="4">
        <v>6.8093093457E8</v>
      </c>
      <c r="I664" s="6" t="s">
        <v>43</v>
      </c>
    </row>
    <row r="665">
      <c r="A665" s="1">
        <v>46265.0</v>
      </c>
      <c r="B665" s="2" t="s">
        <v>17</v>
      </c>
      <c r="C665" s="2" t="s">
        <v>680</v>
      </c>
      <c r="D665" s="5">
        <v>1.5726E8</v>
      </c>
      <c r="E665" s="4"/>
      <c r="F665" s="5" t="s">
        <v>3</v>
      </c>
      <c r="G665" s="4">
        <v>5.2367093457000005E8</v>
      </c>
      <c r="I665" s="6" t="s">
        <v>43</v>
      </c>
    </row>
  </sheetData>
  <dataValidations>
    <dataValidation type="list" allowBlank="1" showErrorMessage="1" sqref="I1:I665">
      <formula1>"PRIBADI,PRODUKSI,BANK,EXSPEDISI,V_SALES,OPERASIONAL,NURUL_AINI"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tr">
        <f>IFERROR(__xludf.DUMMYFUNCTION("IFERROR(QUERY(AGU_2023!A:I, ""SELECT * WHERE D IS NOT NULL AND UPPER(I) = 'EXSPEDISI'"", 1), ""Data EXSPEDISI belum ditemukan"")"),"Data EXSPEDISI belum ditemukan")</f>
        <v>Data EXSPEDISI belum ditemukan</v>
      </c>
      <c r="J1" s="3">
        <f>SUM(D1:D1000)</f>
        <v>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tr">
        <f>IFERROR(__xludf.DUMMYFUNCTION("IFERROR(QUERY(AGU_2023!A:I, ""SELECT * WHERE D IS NOT NULL AND UPPER(I) = 'V_SALES'"", 1), ""Data V_SALES belum ditemukan"")"),"Data V_SALES belum ditemukan")</f>
        <v>Data V_SALES belum ditemukan</v>
      </c>
      <c r="J1" s="3">
        <f>SUM(D1:D1000)</f>
        <v>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tr">
        <f>IFERROR(__xludf.DUMMYFUNCTION("IFERROR(QUERY(AGU_2023!A:I, ""SELECT * WHERE D IS NOT NULL AND UPPER(I) = 'OPERASIONAL'"", 1), ""Data OPERASIONAL belum ditemukan"")"),"Data OPERASIONAL belum ditemukan")</f>
        <v>Data OPERASIONAL belum ditemukan</v>
      </c>
      <c r="J1" s="3">
        <f>SUM(D1:D1000)</f>
        <v>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tr">
        <f>IFERROR(__xludf.DUMMYFUNCTION("IFERROR(QUERY(AGU_2023!A:I, ""SELECT * WHERE D IS NOT NULL AND UPPER(I) = 'NURUL_AINI'"", 1), ""Data NURUL_AINI belum ditemukan"")"),"Data NURUL_AINI belum ditemukan")</f>
        <v>Data NURUL_AINI belum ditemukan</v>
      </c>
      <c r="J1" s="3">
        <f>SUM(D1:D1000)</f>
        <v>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>
        <f>IFERROR(__xludf.DUMMYFUNCTION("IFERROR(QUERY(AGU_2023!A:I, ""SELECT * WHERE D IS NOT NULL AND UPPER(I) = ''"", 1), ""Data KOSONG belum ditemukan"") "),46235.0)</f>
        <v>46235</v>
      </c>
      <c r="B1" s="3" t="str">
        <f>IFERROR(__xludf.DUMMYFUNCTION("""COMPUTED_VALUE"""),"TRSF E-BANKING DB TANGGAL :31/07")</f>
        <v>TRSF E-BANKING DB TANGGAL :31/07</v>
      </c>
      <c r="C1" s="3" t="str">
        <f>IFERROR(__xludf.DUMMYFUNCTION("""COMPUTED_VALUE"""),"3107/FTSCY/WS95031 SUNARTO")</f>
        <v>3107/FTSCY/WS95031 SUNARTO</v>
      </c>
      <c r="D1" s="3">
        <f>IFERROR(__xludf.DUMMYFUNCTION("""COMPUTED_VALUE"""),500000.0)</f>
        <v>500000</v>
      </c>
      <c r="E1" s="3"/>
      <c r="F1" s="3" t="str">
        <f>IFERROR(__xludf.DUMMYFUNCTION("""COMPUTED_VALUE"""),"DB")</f>
        <v>DB</v>
      </c>
      <c r="G1" s="3">
        <f>IFERROR(__xludf.DUMMYFUNCTION("""COMPUTED_VALUE"""),6.3789231057E8)</f>
        <v>637892310.6</v>
      </c>
      <c r="H1" s="3">
        <f>IFERROR(__xludf.DUMMYFUNCTION("""COMPUTED_VALUE"""),6.3789231057E8)</f>
        <v>637892310.6</v>
      </c>
      <c r="I1" s="3"/>
      <c r="J1" s="3">
        <f>SUM(D1:D1000) </f>
        <v>7667137393</v>
      </c>
    </row>
    <row r="2">
      <c r="A2" s="7">
        <f>IFERROR(__xludf.DUMMYFUNCTION("""COMPUTED_VALUE"""),46235.0)</f>
        <v>46235</v>
      </c>
      <c r="B2" s="3" t="str">
        <f>IFERROR(__xludf.DUMMYFUNCTION("""COMPUTED_VALUE"""),"KARTU DEBIT TANGGAL :31/07")</f>
        <v>KARTU DEBIT TANGGAL :31/07</v>
      </c>
      <c r="C2" s="3" t="str">
        <f>IFERROR(__xludf.DUMMYFUNCTION("""COMPUTED_VALUE"""),"IDM TROJ LANGSEP")</f>
        <v>IDM TROJ LANGSEP</v>
      </c>
      <c r="D2" s="3">
        <f>IFERROR(__xludf.DUMMYFUNCTION("""COMPUTED_VALUE"""),47100.0)</f>
        <v>47100</v>
      </c>
      <c r="E2" s="3"/>
      <c r="F2" s="3"/>
      <c r="G2" s="3">
        <f>IFERROR(__xludf.DUMMYFUNCTION("""COMPUTED_VALUE"""),6.3784521057E8)</f>
        <v>637845210.6</v>
      </c>
      <c r="H2" s="3"/>
      <c r="I2" s="3"/>
    </row>
    <row r="3">
      <c r="A3" s="7">
        <f>IFERROR(__xludf.DUMMYFUNCTION("""COMPUTED_VALUE"""),46235.0)</f>
        <v>46235</v>
      </c>
      <c r="B3" s="3" t="str">
        <f>IFERROR(__xludf.DUMMYFUNCTION("""COMPUTED_VALUE"""),"TRSF E-BANKING DB TANGGAL :31/07")</f>
        <v>TRSF E-BANKING DB TANGGAL :31/07</v>
      </c>
      <c r="C3" s="3" t="str">
        <f>IFERROR(__xludf.DUMMYFUNCTION("""COMPUTED_VALUE"""),"3107/FTSCY/WS95271 dp LAWU ABADI NUSA PT")</f>
        <v>3107/FTSCY/WS95271 dp LAWU ABADI NUSA PT</v>
      </c>
      <c r="D3" s="3">
        <f>IFERROR(__xludf.DUMMYFUNCTION("""COMPUTED_VALUE"""),1.0E8)</f>
        <v>100000000</v>
      </c>
      <c r="E3" s="3"/>
      <c r="F3" s="3" t="str">
        <f>IFERROR(__xludf.DUMMYFUNCTION("""COMPUTED_VALUE"""),"DB")</f>
        <v>DB</v>
      </c>
      <c r="G3" s="3">
        <f>IFERROR(__xludf.DUMMYFUNCTION("""COMPUTED_VALUE"""),5.3784521057E8)</f>
        <v>537845210.6</v>
      </c>
      <c r="H3" s="3"/>
      <c r="I3" s="3"/>
    </row>
    <row r="4">
      <c r="A4" s="7">
        <f>IFERROR(__xludf.DUMMYFUNCTION("""COMPUTED_VALUE"""),46235.0)</f>
        <v>46235</v>
      </c>
      <c r="B4" s="3" t="str">
        <f>IFERROR(__xludf.DUMMYFUNCTION("""COMPUTED_VALUE"""),"TRSF E-BANKING DB")</f>
        <v>TRSF E-BANKING DB</v>
      </c>
      <c r="C4" s="3" t="str">
        <f>IFERROR(__xludf.DUMMYFUNCTION("""COMPUTED_VALUE"""),"0108/FTSCY/WS95031 15000000.00 EKO SETIYAWAN")</f>
        <v>0108/FTSCY/WS95031 15000000.00 EKO SETIYAWAN</v>
      </c>
      <c r="D4" s="3">
        <f>IFERROR(__xludf.DUMMYFUNCTION("""COMPUTED_VALUE"""),1.5E7)</f>
        <v>15000000</v>
      </c>
      <c r="E4" s="3"/>
      <c r="F4" s="3" t="str">
        <f>IFERROR(__xludf.DUMMYFUNCTION("""COMPUTED_VALUE"""),"DB")</f>
        <v>DB</v>
      </c>
      <c r="G4" s="3">
        <f>IFERROR(__xludf.DUMMYFUNCTION("""COMPUTED_VALUE"""),1.9452116057000005E8)</f>
        <v>194521160.6</v>
      </c>
      <c r="H4" s="3"/>
      <c r="I4" s="3"/>
    </row>
    <row r="5">
      <c r="A5" s="7">
        <f>IFERROR(__xludf.DUMMYFUNCTION("""COMPUTED_VALUE"""),46235.0)</f>
        <v>46235</v>
      </c>
      <c r="B5" s="3" t="str">
        <f>IFERROR(__xludf.DUMMYFUNCTION("""COMPUTED_VALUE"""),"TRSF E-BANKING DB")</f>
        <v>TRSF E-BANKING DB</v>
      </c>
      <c r="C5" s="3" t="str">
        <f>IFERROR(__xludf.DUMMYFUNCTION("""COMPUTED_VALUE"""),"0108/FTSCY/WS95271 39285250.00 pelunasan BINTANG TAMA SANTO")</f>
        <v>0108/FTSCY/WS95271 39285250.00 pelunasan BINTANG TAMA SANTO</v>
      </c>
      <c r="D5" s="3">
        <f>IFERROR(__xludf.DUMMYFUNCTION("""COMPUTED_VALUE"""),3.928525E7)</f>
        <v>39285250</v>
      </c>
      <c r="E5" s="3"/>
      <c r="F5" s="3" t="str">
        <f>IFERROR(__xludf.DUMMYFUNCTION("""COMPUTED_VALUE"""),"DB")</f>
        <v>DB</v>
      </c>
      <c r="G5" s="3">
        <f>IFERROR(__xludf.DUMMYFUNCTION("""COMPUTED_VALUE"""),4.006441057000005E7)</f>
        <v>40064410.57</v>
      </c>
      <c r="H5" s="3"/>
      <c r="I5" s="3"/>
    </row>
    <row r="6">
      <c r="A6" s="7">
        <f>IFERROR(__xludf.DUMMYFUNCTION("""COMPUTED_VALUE"""),46235.0)</f>
        <v>46235</v>
      </c>
      <c r="B6" s="3" t="str">
        <f>IFERROR(__xludf.DUMMYFUNCTION("""COMPUTED_VALUE"""),"TRSF E-BANKING DB")</f>
        <v>TRSF E-BANKING DB</v>
      </c>
      <c r="C6" s="3" t="str">
        <f>IFERROR(__xludf.DUMMYFUNCTION("""COMPUTED_VALUE"""),"0108/FTSCY/WS95031 1800000.00 SUNARTO")</f>
        <v>0108/FTSCY/WS95031 1800000.00 SUNARTO</v>
      </c>
      <c r="D6" s="3">
        <f>IFERROR(__xludf.DUMMYFUNCTION("""COMPUTED_VALUE"""),1800000.0)</f>
        <v>1800000</v>
      </c>
      <c r="E6" s="3"/>
      <c r="F6" s="3" t="str">
        <f>IFERROR(__xludf.DUMMYFUNCTION("""COMPUTED_VALUE"""),"DB")</f>
        <v>DB</v>
      </c>
      <c r="G6" s="3">
        <f>IFERROR(__xludf.DUMMYFUNCTION("""COMPUTED_VALUE"""),3.826441057000005E7)</f>
        <v>38264410.57</v>
      </c>
      <c r="H6" s="3"/>
      <c r="I6" s="3"/>
    </row>
    <row r="7">
      <c r="A7" s="7">
        <f>IFERROR(__xludf.DUMMYFUNCTION("""COMPUTED_VALUE"""),46235.0)</f>
        <v>46235</v>
      </c>
      <c r="B7" s="3" t="str">
        <f>IFERROR(__xludf.DUMMYFUNCTION("""COMPUTED_VALUE"""),"TRSF E-BANKING DB")</f>
        <v>TRSF E-BANKING DB</v>
      </c>
      <c r="C7" s="3" t="str">
        <f>IFERROR(__xludf.DUMMYFUNCTION("""COMPUTED_VALUE"""),"0108/FTSCY/WS95011 130583250.00 krg 126.5 jt SUPER UNGGAS JAYA")</f>
        <v>0108/FTSCY/WS95011 130583250.00 krg 126.5 jt SUPER UNGGAS JAYA</v>
      </c>
      <c r="D7" s="3">
        <f>IFERROR(__xludf.DUMMYFUNCTION("""COMPUTED_VALUE"""),1.3058325E8)</f>
        <v>130583250</v>
      </c>
      <c r="E7" s="3"/>
      <c r="F7" s="3" t="str">
        <f>IFERROR(__xludf.DUMMYFUNCTION("""COMPUTED_VALUE"""),"DB")</f>
        <v>DB</v>
      </c>
      <c r="G7" s="3">
        <f>IFERROR(__xludf.DUMMYFUNCTION("""COMPUTED_VALUE"""),2.3811229057000005E8)</f>
        <v>238112290.6</v>
      </c>
      <c r="H7" s="3">
        <f>IFERROR(__xludf.DUMMYFUNCTION("""COMPUTED_VALUE"""),2.3811229057E8)</f>
        <v>238112290.6</v>
      </c>
      <c r="I7" s="3"/>
    </row>
    <row r="8">
      <c r="A8" s="7">
        <f>IFERROR(__xludf.DUMMYFUNCTION("""COMPUTED_VALUE"""),46236.0)</f>
        <v>46236</v>
      </c>
      <c r="B8" s="3" t="str">
        <f>IFERROR(__xludf.DUMMYFUNCTION("""COMPUTED_VALUE"""),"TRSF E-BANKING DB")</f>
        <v>TRSF E-BANKING DB</v>
      </c>
      <c r="C8" s="3" t="str">
        <f>IFERROR(__xludf.DUMMYFUNCTION("""COMPUTED_VALUE"""),"0208/FTFVA/WS95031 55574/GUNA MITRA S t.agung - 200177")</f>
        <v>0208/FTFVA/WS95031 55574/GUNA MITRA S t.agung - 200177</v>
      </c>
      <c r="D8" s="3">
        <f>IFERROR(__xludf.DUMMYFUNCTION("""COMPUTED_VALUE"""),7.7E7)</f>
        <v>77000000</v>
      </c>
      <c r="E8" s="3"/>
      <c r="F8" s="3" t="str">
        <f>IFERROR(__xludf.DUMMYFUNCTION("""COMPUTED_VALUE"""),"DB")</f>
        <v>DB</v>
      </c>
      <c r="G8" s="3">
        <f>IFERROR(__xludf.DUMMYFUNCTION("""COMPUTED_VALUE"""),3.411229057000005E7)</f>
        <v>34112290.57</v>
      </c>
      <c r="H8" s="3"/>
      <c r="I8" s="3"/>
    </row>
    <row r="9">
      <c r="A9" s="7">
        <f>IFERROR(__xludf.DUMMYFUNCTION("""COMPUTED_VALUE"""),46236.0)</f>
        <v>46236</v>
      </c>
      <c r="B9" s="3" t="str">
        <f>IFERROR(__xludf.DUMMYFUNCTION("""COMPUTED_VALUE"""),"TRSF E-BANKING DB")</f>
        <v>TRSF E-BANKING DB</v>
      </c>
      <c r="C9" s="3" t="str">
        <f>IFERROR(__xludf.DUMMYFUNCTION("""COMPUTED_VALUE"""),"0208/FTFVA/WS95031 55569/PT PRIMA FAJ titip - 40190")</f>
        <v>0208/FTFVA/WS95031 55569/PT PRIMA FAJ titip - 40190</v>
      </c>
      <c r="D9" s="3">
        <f>IFERROR(__xludf.DUMMYFUNCTION("""COMPUTED_VALUE"""),3.4E7)</f>
        <v>34000000</v>
      </c>
      <c r="E9" s="3"/>
      <c r="F9" s="3" t="str">
        <f>IFERROR(__xludf.DUMMYFUNCTION("""COMPUTED_VALUE"""),"DB")</f>
        <v>DB</v>
      </c>
      <c r="G9" s="3">
        <f>IFERROR(__xludf.DUMMYFUNCTION("""COMPUTED_VALUE"""),112290.57000005245)</f>
        <v>112290.57</v>
      </c>
      <c r="H9" s="3"/>
      <c r="I9" s="3"/>
    </row>
    <row r="10">
      <c r="A10" s="7">
        <f>IFERROR(__xludf.DUMMYFUNCTION("""COMPUTED_VALUE"""),46236.0)</f>
        <v>46236</v>
      </c>
      <c r="B10" s="3" t="str">
        <f>IFERROR(__xludf.DUMMYFUNCTION("""COMPUTED_VALUE"""),"TRSF E-BANKING DB")</f>
        <v>TRSF E-BANKING DB</v>
      </c>
      <c r="C10" s="3" t="str">
        <f>IFERROR(__xludf.DUMMYFUNCTION("""COMPUTED_VALUE"""),"0208/FTSCY/WS95031 100000000.00 Fri Jul 31 2026 14:00:00 GMT+0700 (Western Indonesia Time) TABASSAM JAYA FARM")</f>
        <v>0208/FTSCY/WS95031 100000000.00 Fri Jul 31 2026 14:00:00 GMT+0700 (Western Indonesia Time) TABASSAM JAYA FARM</v>
      </c>
      <c r="D10" s="3">
        <f>IFERROR(__xludf.DUMMYFUNCTION("""COMPUTED_VALUE"""),1.0E8)</f>
        <v>100000000</v>
      </c>
      <c r="E10" s="3"/>
      <c r="F10" s="3" t="str">
        <f>IFERROR(__xludf.DUMMYFUNCTION("""COMPUTED_VALUE"""),"DB")</f>
        <v>DB</v>
      </c>
      <c r="G10" s="3">
        <f>IFERROR(__xludf.DUMMYFUNCTION("""COMPUTED_VALUE"""),5.2005600057000005E8)</f>
        <v>520056000.6</v>
      </c>
      <c r="H10" s="3"/>
      <c r="I10" s="3"/>
    </row>
    <row r="11">
      <c r="A11" s="7">
        <f>IFERROR(__xludf.DUMMYFUNCTION("""COMPUTED_VALUE"""),46236.0)</f>
        <v>46236</v>
      </c>
      <c r="B11" s="3" t="str">
        <f>IFERROR(__xludf.DUMMYFUNCTION("""COMPUTED_VALUE"""),"TRSF E-BANKING DB")</f>
        <v>TRSF E-BANKING DB</v>
      </c>
      <c r="C11" s="3" t="str">
        <f>IFERROR(__xludf.DUMMYFUNCTION("""COMPUTED_VALUE"""),"0208/FTSCY/WS95271 15829500.00 Fri Jul 31 2026 14:00:00 GMT+0700 (Western Indonesia Time) TABASSAM JAYA FARM")</f>
        <v>0208/FTSCY/WS95271 15829500.00 Fri Jul 31 2026 14:00:00 GMT+0700 (Western Indonesia Time) TABASSAM JAYA FARM</v>
      </c>
      <c r="D11" s="3">
        <f>IFERROR(__xludf.DUMMYFUNCTION("""COMPUTED_VALUE"""),1.58295E7)</f>
        <v>15829500</v>
      </c>
      <c r="E11" s="3"/>
      <c r="F11" s="3" t="str">
        <f>IFERROR(__xludf.DUMMYFUNCTION("""COMPUTED_VALUE"""),"DB")</f>
        <v>DB</v>
      </c>
      <c r="G11" s="3">
        <f>IFERROR(__xludf.DUMMYFUNCTION("""COMPUTED_VALUE"""),5.0422650057000005E8)</f>
        <v>504226500.6</v>
      </c>
      <c r="H11" s="3"/>
      <c r="I11" s="3"/>
    </row>
    <row r="12">
      <c r="A12" s="7">
        <f>IFERROR(__xludf.DUMMYFUNCTION("""COMPUTED_VALUE"""),46236.0)</f>
        <v>46236</v>
      </c>
      <c r="B12" s="3" t="str">
        <f>IFERROR(__xludf.DUMMYFUNCTION("""COMPUTED_VALUE"""),"TRSF E-BANKING DB")</f>
        <v>TRSF E-BANKING DB</v>
      </c>
      <c r="C12" s="3" t="str">
        <f>IFERROR(__xludf.DUMMYFUNCTION("""COMPUTED_VALUE"""),"0208/FTSCY/WS95011 64000000.00 Fri Jul 31 2026 14:00:00 GMT+0700 (Western Indonesia Time) ANUGERAH KARTIKA A")</f>
        <v>0208/FTSCY/WS95011 64000000.00 Fri Jul 31 2026 14:00:00 GMT+0700 (Western Indonesia Time) ANUGERAH KARTIKA A</v>
      </c>
      <c r="D12" s="3">
        <f>IFERROR(__xludf.DUMMYFUNCTION("""COMPUTED_VALUE"""),6.4E7)</f>
        <v>64000000</v>
      </c>
      <c r="E12" s="3"/>
      <c r="F12" s="3" t="str">
        <f>IFERROR(__xludf.DUMMYFUNCTION("""COMPUTED_VALUE"""),"DB")</f>
        <v>DB</v>
      </c>
      <c r="G12" s="3">
        <f>IFERROR(__xludf.DUMMYFUNCTION("""COMPUTED_VALUE"""),3.9653372057000005E8)</f>
        <v>396533720.6</v>
      </c>
      <c r="H12" s="3"/>
      <c r="I12" s="3"/>
    </row>
    <row r="13">
      <c r="A13" s="7">
        <f>IFERROR(__xludf.DUMMYFUNCTION("""COMPUTED_VALUE"""),46236.0)</f>
        <v>46236</v>
      </c>
      <c r="B13" s="3" t="str">
        <f>IFERROR(__xludf.DUMMYFUNCTION("""COMPUTED_VALUE"""),"TRSF E-BANKING DB")</f>
        <v>TRSF E-BANKING DB</v>
      </c>
      <c r="C13" s="3" t="str">
        <f>IFERROR(__xludf.DUMMYFUNCTION("""COMPUTED_VALUE"""),"0208/FTSCY/WS95271 3989980.00 FAJAR ANDREANZAH")</f>
        <v>0208/FTSCY/WS95271 3989980.00 FAJAR ANDREANZAH</v>
      </c>
      <c r="D13" s="3">
        <f>IFERROR(__xludf.DUMMYFUNCTION("""COMPUTED_VALUE"""),3989980.0)</f>
        <v>3989980</v>
      </c>
      <c r="E13" s="3"/>
      <c r="F13" s="3" t="str">
        <f>IFERROR(__xludf.DUMMYFUNCTION("""COMPUTED_VALUE"""),"DB")</f>
        <v>DB</v>
      </c>
      <c r="G13" s="3">
        <f>IFERROR(__xludf.DUMMYFUNCTION("""COMPUTED_VALUE"""),4.387266057000005E7)</f>
        <v>43872660.57</v>
      </c>
      <c r="H13" s="3"/>
      <c r="I13" s="3"/>
    </row>
    <row r="14">
      <c r="A14" s="7">
        <f>IFERROR(__xludf.DUMMYFUNCTION("""COMPUTED_VALUE"""),46237.0)</f>
        <v>46237</v>
      </c>
      <c r="B14" s="3" t="str">
        <f>IFERROR(__xludf.DUMMYFUNCTION("""COMPUTED_VALUE"""),"TRSF E-BANKING DB")</f>
        <v>TRSF E-BANKING DB</v>
      </c>
      <c r="C14" s="3" t="str">
        <f>IFERROR(__xludf.DUMMYFUNCTION("""COMPUTED_VALUE"""),"0308/FTSCY/WS95031 2202400.00 SUNARTO")</f>
        <v>0308/FTSCY/WS95031 2202400.00 SUNARTO</v>
      </c>
      <c r="D14" s="3">
        <f>IFERROR(__xludf.DUMMYFUNCTION("""COMPUTED_VALUE"""),2202400.0)</f>
        <v>2202400</v>
      </c>
      <c r="E14" s="3"/>
      <c r="F14" s="3" t="str">
        <f>IFERROR(__xludf.DUMMYFUNCTION("""COMPUTED_VALUE"""),"DB")</f>
        <v>DB</v>
      </c>
      <c r="G14" s="3">
        <f>IFERROR(__xludf.DUMMYFUNCTION("""COMPUTED_VALUE"""),4.137026057000005E7)</f>
        <v>41370260.57</v>
      </c>
      <c r="H14" s="3"/>
      <c r="I14" s="3"/>
    </row>
    <row r="15">
      <c r="A15" s="7">
        <f>IFERROR(__xludf.DUMMYFUNCTION("""COMPUTED_VALUE"""),46237.0)</f>
        <v>46237</v>
      </c>
      <c r="B15" s="3" t="str">
        <f>IFERROR(__xludf.DUMMYFUNCTION("""COMPUTED_VALUE"""),"TRSF E-BANKING DB")</f>
        <v>TRSF E-BANKING DB</v>
      </c>
      <c r="C15" s="3" t="str">
        <f>IFERROR(__xludf.DUMMYFUNCTION("""COMPUTED_VALUE"""),"0308/FTSCY/WS95031 8798560.00 lunas HERMAWAN")</f>
        <v>0308/FTSCY/WS95031 8798560.00 lunas HERMAWAN</v>
      </c>
      <c r="D15" s="3">
        <f>IFERROR(__xludf.DUMMYFUNCTION("""COMPUTED_VALUE"""),8798560.0)</f>
        <v>8798560</v>
      </c>
      <c r="E15" s="3"/>
      <c r="F15" s="3" t="str">
        <f>IFERROR(__xludf.DUMMYFUNCTION("""COMPUTED_VALUE"""),"DB")</f>
        <v>DB</v>
      </c>
      <c r="G15" s="3">
        <f>IFERROR(__xludf.DUMMYFUNCTION("""COMPUTED_VALUE"""),3.5322518057000005E8)</f>
        <v>353225180.6</v>
      </c>
      <c r="H15" s="3"/>
      <c r="I15" s="3"/>
    </row>
    <row r="16">
      <c r="A16" s="7">
        <f>IFERROR(__xludf.DUMMYFUNCTION("""COMPUTED_VALUE"""),46237.0)</f>
        <v>46237</v>
      </c>
      <c r="B16" s="3" t="str">
        <f>IFERROR(__xludf.DUMMYFUNCTION("""COMPUTED_VALUE"""),"TRSF E-BANKING DB")</f>
        <v>TRSF E-BANKING DB</v>
      </c>
      <c r="C16" s="3" t="str">
        <f>IFERROR(__xludf.DUMMYFUNCTION("""COMPUTED_VALUE"""),"0308/FTSCY/WS95031 15000000.00 EKO SETIYAWAN")</f>
        <v>0308/FTSCY/WS95031 15000000.00 EKO SETIYAWAN</v>
      </c>
      <c r="D16" s="3">
        <f>IFERROR(__xludf.DUMMYFUNCTION("""COMPUTED_VALUE"""),1.5E7)</f>
        <v>15000000</v>
      </c>
      <c r="E16" s="3"/>
      <c r="F16" s="3" t="str">
        <f>IFERROR(__xludf.DUMMYFUNCTION("""COMPUTED_VALUE"""),"DB")</f>
        <v>DB</v>
      </c>
      <c r="G16" s="3">
        <f>IFERROR(__xludf.DUMMYFUNCTION("""COMPUTED_VALUE"""),8.3721135057E8)</f>
        <v>837211350.6</v>
      </c>
      <c r="H16" s="3"/>
      <c r="I16" s="3"/>
    </row>
    <row r="17">
      <c r="A17" s="7">
        <f>IFERROR(__xludf.DUMMYFUNCTION("""COMPUTED_VALUE"""),46237.0)</f>
        <v>46237</v>
      </c>
      <c r="B17" s="3" t="str">
        <f>IFERROR(__xludf.DUMMYFUNCTION("""COMPUTED_VALUE"""),"TRSF E-BANKING DB")</f>
        <v>TRSF E-BANKING DB</v>
      </c>
      <c r="C17" s="3" t="str">
        <f>IFERROR(__xludf.DUMMYFUNCTION("""COMPUTED_VALUE"""),"0308/FTSCY/WS95271 22866200.00 pelunasan UNGGAS MANDIRI BER")</f>
        <v>0308/FTSCY/WS95271 22866200.00 pelunasan UNGGAS MANDIRI BER</v>
      </c>
      <c r="D17" s="3">
        <f>IFERROR(__xludf.DUMMYFUNCTION("""COMPUTED_VALUE"""),2.28662E7)</f>
        <v>22866200</v>
      </c>
      <c r="E17" s="3"/>
      <c r="F17" s="3" t="str">
        <f>IFERROR(__xludf.DUMMYFUNCTION("""COMPUTED_VALUE"""),"DB")</f>
        <v>DB</v>
      </c>
      <c r="G17" s="3">
        <f>IFERROR(__xludf.DUMMYFUNCTION("""COMPUTED_VALUE"""),8.1434515057E8)</f>
        <v>814345150.6</v>
      </c>
      <c r="H17" s="3"/>
      <c r="I17" s="3"/>
    </row>
    <row r="18">
      <c r="A18" s="7">
        <f>IFERROR(__xludf.DUMMYFUNCTION("""COMPUTED_VALUE"""),46237.0)</f>
        <v>46237</v>
      </c>
      <c r="B18" s="3" t="str">
        <f>IFERROR(__xludf.DUMMYFUNCTION("""COMPUTED_VALUE"""),"TRSF E-BANKING DB")</f>
        <v>TRSF E-BANKING DB</v>
      </c>
      <c r="C18" s="3" t="str">
        <f>IFERROR(__xludf.DUMMYFUNCTION("""COMPUTED_VALUE"""),"0308/FTSCY/WS95011 59112100.00 Sat Aug 01 2026 14:00:00 GMT+0700 (Western Indonesia Time) BROILER MAKMUR TAN")</f>
        <v>0308/FTSCY/WS95011 59112100.00 Sat Aug 01 2026 14:00:00 GMT+0700 (Western Indonesia Time) BROILER MAKMUR TAN</v>
      </c>
      <c r="D18" s="3">
        <f>IFERROR(__xludf.DUMMYFUNCTION("""COMPUTED_VALUE"""),5.91121E7)</f>
        <v>59112100</v>
      </c>
      <c r="E18" s="3"/>
      <c r="F18" s="3" t="str">
        <f>IFERROR(__xludf.DUMMYFUNCTION("""COMPUTED_VALUE"""),"DB")</f>
        <v>DB</v>
      </c>
      <c r="G18" s="3">
        <f>IFERROR(__xludf.DUMMYFUNCTION("""COMPUTED_VALUE"""),7.5523305057E8)</f>
        <v>755233050.6</v>
      </c>
      <c r="H18" s="3"/>
      <c r="I18" s="3"/>
    </row>
    <row r="19">
      <c r="A19" s="7">
        <f>IFERROR(__xludf.DUMMYFUNCTION("""COMPUTED_VALUE"""),46237.0)</f>
        <v>46237</v>
      </c>
      <c r="B19" s="3" t="str">
        <f>IFERROR(__xludf.DUMMYFUNCTION("""COMPUTED_VALUE"""),"TRSF E-BANKING DB")</f>
        <v>TRSF E-BANKING DB</v>
      </c>
      <c r="C19" s="3" t="str">
        <f>IFERROR(__xludf.DUMMYFUNCTION("""COMPUTED_VALUE"""),"0308/FTSCY/WS95011 120731600.00 Sat Aug 01 2026 14:00:00 GMT+0700 (Western Indonesia Time) ANDALAN YASA MITRA")</f>
        <v>0308/FTSCY/WS95011 120731600.00 Sat Aug 01 2026 14:00:00 GMT+0700 (Western Indonesia Time) ANDALAN YASA MITRA</v>
      </c>
      <c r="D19" s="3">
        <f>IFERROR(__xludf.DUMMYFUNCTION("""COMPUTED_VALUE"""),1.207316E8)</f>
        <v>120731600</v>
      </c>
      <c r="E19" s="3"/>
      <c r="F19" s="3" t="str">
        <f>IFERROR(__xludf.DUMMYFUNCTION("""COMPUTED_VALUE"""),"DB")</f>
        <v>DB</v>
      </c>
      <c r="G19" s="3">
        <f>IFERROR(__xludf.DUMMYFUNCTION("""COMPUTED_VALUE"""),6.3450145057E8)</f>
        <v>634501450.6</v>
      </c>
      <c r="H19" s="3">
        <f>IFERROR(__xludf.DUMMYFUNCTION("""COMPUTED_VALUE"""),6.3450145057E8)</f>
        <v>634501450.6</v>
      </c>
      <c r="I19" s="3"/>
    </row>
    <row r="20">
      <c r="A20" s="7">
        <f>IFERROR(__xludf.DUMMYFUNCTION("""COMPUTED_VALUE"""),46237.0)</f>
        <v>46237</v>
      </c>
      <c r="B20" s="3" t="str">
        <f>IFERROR(__xludf.DUMMYFUNCTION("""COMPUTED_VALUE"""),"TRSF E-BANKING DB")</f>
        <v>TRSF E-BANKING DB</v>
      </c>
      <c r="C20" s="3" t="str">
        <f>IFERROR(__xludf.DUMMYFUNCTION("""COMPUTED_VALUE"""),"0308/FTSCY/WS95011 111851500.00 Sun Aug 02 2026 14:00:00 GMT+0700 (Western Indonesia Time) BINTANG TAMA SANTO")</f>
        <v>0308/FTSCY/WS95011 111851500.00 Sun Aug 02 2026 14:00:00 GMT+0700 (Western Indonesia Time) BINTANG TAMA SANTO</v>
      </c>
      <c r="D20" s="3">
        <f>IFERROR(__xludf.DUMMYFUNCTION("""COMPUTED_VALUE"""),1.118515E8)</f>
        <v>111851500</v>
      </c>
      <c r="E20" s="3"/>
      <c r="F20" s="3" t="str">
        <f>IFERROR(__xludf.DUMMYFUNCTION("""COMPUTED_VALUE"""),"DB")</f>
        <v>DB</v>
      </c>
      <c r="G20" s="3">
        <f>IFERROR(__xludf.DUMMYFUNCTION("""COMPUTED_VALUE"""),5.2264995057000005E8)</f>
        <v>522649950.6</v>
      </c>
      <c r="H20" s="3">
        <f>IFERROR(__xludf.DUMMYFUNCTION("""COMPUTED_VALUE"""),5.2264995057E8)</f>
        <v>522649950.6</v>
      </c>
      <c r="I20" s="3"/>
    </row>
    <row r="21">
      <c r="A21" s="7">
        <f>IFERROR(__xludf.DUMMYFUNCTION("""COMPUTED_VALUE"""),46237.0)</f>
        <v>46237</v>
      </c>
      <c r="B21" s="3" t="str">
        <f>IFERROR(__xludf.DUMMYFUNCTION("""COMPUTED_VALUE"""),"TRSF E-BANKING DB")</f>
        <v>TRSF E-BANKING DB</v>
      </c>
      <c r="C21" s="3" t="str">
        <f>IFERROR(__xludf.DUMMYFUNCTION("""COMPUTED_VALUE"""),"0308/FTSCY/WS95011 145050750.00 Sat Aug 01 2026 14:00:00 GMT+0700 (Western Indonesia Time) ANUGERAH KARTIKA A")</f>
        <v>0308/FTSCY/WS95011 145050750.00 Sat Aug 01 2026 14:00:00 GMT+0700 (Western Indonesia Time) ANUGERAH KARTIKA A</v>
      </c>
      <c r="D21" s="3">
        <f>IFERROR(__xludf.DUMMYFUNCTION("""COMPUTED_VALUE"""),1.4505075E8)</f>
        <v>145050750</v>
      </c>
      <c r="E21" s="3"/>
      <c r="F21" s="3" t="str">
        <f>IFERROR(__xludf.DUMMYFUNCTION("""COMPUTED_VALUE"""),"DB")</f>
        <v>DB</v>
      </c>
      <c r="G21" s="3">
        <f>IFERROR(__xludf.DUMMYFUNCTION("""COMPUTED_VALUE"""),3.7759920057000005E8)</f>
        <v>377599200.6</v>
      </c>
      <c r="H21" s="3"/>
      <c r="I21" s="3"/>
    </row>
    <row r="22">
      <c r="A22" s="7">
        <f>IFERROR(__xludf.DUMMYFUNCTION("""COMPUTED_VALUE"""),46237.0)</f>
        <v>46237</v>
      </c>
      <c r="B22" s="3" t="str">
        <f>IFERROR(__xludf.DUMMYFUNCTION("""COMPUTED_VALUE"""),"TRSF E-BANKING DB")</f>
        <v>TRSF E-BANKING DB</v>
      </c>
      <c r="C22" s="3" t="str">
        <f>IFERROR(__xludf.DUMMYFUNCTION("""COMPUTED_VALUE"""),"0308/FTSCY/WS95011 54810000.00 Sat Aug 01 2026 14:00:00 GMT+0700 (Western Indonesia Time) BINTANG TAMA SANTO")</f>
        <v>0308/FTSCY/WS95011 54810000.00 Sat Aug 01 2026 14:00:00 GMT+0700 (Western Indonesia Time) BINTANG TAMA SANTO</v>
      </c>
      <c r="D22" s="3">
        <f>IFERROR(__xludf.DUMMYFUNCTION("""COMPUTED_VALUE"""),5.481E7)</f>
        <v>54810000</v>
      </c>
      <c r="E22" s="3"/>
      <c r="F22" s="3" t="str">
        <f>IFERROR(__xludf.DUMMYFUNCTION("""COMPUTED_VALUE"""),"DB")</f>
        <v>DB</v>
      </c>
      <c r="G22" s="3">
        <f>IFERROR(__xludf.DUMMYFUNCTION("""COMPUTED_VALUE"""),3.2278920057000005E8)</f>
        <v>322789200.6</v>
      </c>
      <c r="H22" s="3"/>
      <c r="I22" s="3"/>
    </row>
    <row r="23">
      <c r="A23" s="7">
        <f>IFERROR(__xludf.DUMMYFUNCTION("""COMPUTED_VALUE"""),46237.0)</f>
        <v>46237</v>
      </c>
      <c r="B23" s="3" t="str">
        <f>IFERROR(__xludf.DUMMYFUNCTION("""COMPUTED_VALUE"""),"TRSF E-BANKING DB")</f>
        <v>TRSF E-BANKING DB</v>
      </c>
      <c r="C23" s="3" t="str">
        <f>IFERROR(__xludf.DUMMYFUNCTION("""COMPUTED_VALUE"""),"0308/FTFVA/WS95031 55569/PT PRIMA FAJ titip - 40190")</f>
        <v>0308/FTFVA/WS95031 55569/PT PRIMA FAJ titip - 40190</v>
      </c>
      <c r="D23" s="3">
        <f>IFERROR(__xludf.DUMMYFUNCTION("""COMPUTED_VALUE"""),5.0E7)</f>
        <v>50000000</v>
      </c>
      <c r="E23" s="3"/>
      <c r="F23" s="3" t="str">
        <f>IFERROR(__xludf.DUMMYFUNCTION("""COMPUTED_VALUE"""),"DB")</f>
        <v>DB</v>
      </c>
      <c r="G23" s="3">
        <f>IFERROR(__xludf.DUMMYFUNCTION("""COMPUTED_VALUE"""),2.7278920057000005E8)</f>
        <v>272789200.6</v>
      </c>
      <c r="H23" s="3"/>
      <c r="I23" s="3"/>
    </row>
    <row r="24">
      <c r="A24" s="7">
        <f>IFERROR(__xludf.DUMMYFUNCTION("""COMPUTED_VALUE"""),46237.0)</f>
        <v>46237</v>
      </c>
      <c r="B24" s="3" t="str">
        <f>IFERROR(__xludf.DUMMYFUNCTION("""COMPUTED_VALUE"""),"KARTU DEBIT")</f>
        <v>KARTU DEBIT</v>
      </c>
      <c r="C24" s="3" t="str">
        <f>IFERROR(__xludf.DUMMYFUNCTION("""COMPUTED_VALUE"""),"TRANSMART SURABAYA 6019009510239343")</f>
        <v>TRANSMART SURABAYA 6019009510239343</v>
      </c>
      <c r="D24" s="3">
        <f>IFERROR(__xludf.DUMMYFUNCTION("""COMPUTED_VALUE"""),50433.0)</f>
        <v>50433</v>
      </c>
      <c r="E24" s="3"/>
      <c r="F24" s="3"/>
      <c r="G24" s="3">
        <f>IFERROR(__xludf.DUMMYFUNCTION("""COMPUTED_VALUE"""),2.7273876757000005E8)</f>
        <v>272738767.6</v>
      </c>
      <c r="H24" s="3"/>
      <c r="I24" s="3"/>
    </row>
    <row r="25">
      <c r="A25" s="7">
        <f>IFERROR(__xludf.DUMMYFUNCTION("""COMPUTED_VALUE"""),46237.0)</f>
        <v>46237</v>
      </c>
      <c r="B25" s="3" t="str">
        <f>IFERROR(__xludf.DUMMYFUNCTION("""COMPUTED_VALUE"""),"TRSF E-BANKING DB")</f>
        <v>TRSF E-BANKING DB</v>
      </c>
      <c r="C25" s="3" t="str">
        <f>IFERROR(__xludf.DUMMYFUNCTION("""COMPUTED_VALUE"""),"0308/FTFVA/WS95031 55569/PT PRIMA FAJ titip 80 jt - 40190")</f>
        <v>0308/FTFVA/WS95031 55569/PT PRIMA FAJ titip 80 jt - 40190</v>
      </c>
      <c r="D25" s="3">
        <f>IFERROR(__xludf.DUMMYFUNCTION("""COMPUTED_VALUE"""),3.0E7)</f>
        <v>30000000</v>
      </c>
      <c r="E25" s="3"/>
      <c r="F25" s="3" t="str">
        <f>IFERROR(__xludf.DUMMYFUNCTION("""COMPUTED_VALUE"""),"DB")</f>
        <v>DB</v>
      </c>
      <c r="G25" s="3">
        <f>IFERROR(__xludf.DUMMYFUNCTION("""COMPUTED_VALUE"""),2.4273876757000005E8)</f>
        <v>242738767.6</v>
      </c>
      <c r="H25" s="3">
        <f>IFERROR(__xludf.DUMMYFUNCTION("""COMPUTED_VALUE"""),2.4273876757E8)</f>
        <v>242738767.6</v>
      </c>
      <c r="I25" s="3"/>
    </row>
    <row r="26">
      <c r="A26" s="7">
        <f>IFERROR(__xludf.DUMMYFUNCTION("""COMPUTED_VALUE"""),46238.0)</f>
        <v>46238</v>
      </c>
      <c r="B26" s="3" t="str">
        <f>IFERROR(__xludf.DUMMYFUNCTION("""COMPUTED_VALUE"""),"TRSF E-BANKING DB")</f>
        <v>TRSF E-BANKING DB</v>
      </c>
      <c r="C26" s="3" t="str">
        <f>IFERROR(__xludf.DUMMYFUNCTION("""COMPUTED_VALUE"""),"0408/FTSCY/WS95271 70671900.00 Sun Aug 02 2026 14:00:00 GMT+0700 (Western Indonesia Time) SUPER UNGGAS JAYA")</f>
        <v>0408/FTSCY/WS95271 70671900.00 Sun Aug 02 2026 14:00:00 GMT+0700 (Western Indonesia Time) SUPER UNGGAS JAYA</v>
      </c>
      <c r="D26" s="3">
        <f>IFERROR(__xludf.DUMMYFUNCTION("""COMPUTED_VALUE"""),7.06719E7)</f>
        <v>70671900</v>
      </c>
      <c r="E26" s="3"/>
      <c r="F26" s="3" t="str">
        <f>IFERROR(__xludf.DUMMYFUNCTION("""COMPUTED_VALUE"""),"DB")</f>
        <v>DB</v>
      </c>
      <c r="G26" s="3">
        <f>IFERROR(__xludf.DUMMYFUNCTION("""COMPUTED_VALUE"""),1.7206686757000005E8)</f>
        <v>172066867.6</v>
      </c>
      <c r="H26" s="3"/>
      <c r="I26" s="3"/>
    </row>
    <row r="27">
      <c r="A27" s="7">
        <f>IFERROR(__xludf.DUMMYFUNCTION("""COMPUTED_VALUE"""),46238.0)</f>
        <v>46238</v>
      </c>
      <c r="B27" s="3" t="str">
        <f>IFERROR(__xludf.DUMMYFUNCTION("""COMPUTED_VALUE"""),"TRSF E-BANKING DB")</f>
        <v>TRSF E-BANKING DB</v>
      </c>
      <c r="C27" s="3" t="str">
        <f>IFERROR(__xludf.DUMMYFUNCTION("""COMPUTED_VALUE"""),"0408/FTSCY/WS95271 68000000.00 Sun Aug 02 2026 14:00:00 GMT+0700 (Western Indonesia Time) TABASSAM AZ ZUFAR")</f>
        <v>0408/FTSCY/WS95271 68000000.00 Sun Aug 02 2026 14:00:00 GMT+0700 (Western Indonesia Time) TABASSAM AZ ZUFAR</v>
      </c>
      <c r="D27" s="3">
        <f>IFERROR(__xludf.DUMMYFUNCTION("""COMPUTED_VALUE"""),6.8E7)</f>
        <v>68000000</v>
      </c>
      <c r="E27" s="3"/>
      <c r="F27" s="3" t="str">
        <f>IFERROR(__xludf.DUMMYFUNCTION("""COMPUTED_VALUE"""),"DB")</f>
        <v>DB</v>
      </c>
      <c r="G27" s="3">
        <f>IFERROR(__xludf.DUMMYFUNCTION("""COMPUTED_VALUE"""),1.0406686757000005E8)</f>
        <v>104066867.6</v>
      </c>
      <c r="H27" s="3"/>
      <c r="I27" s="3"/>
    </row>
    <row r="28">
      <c r="A28" s="7">
        <f>IFERROR(__xludf.DUMMYFUNCTION("""COMPUTED_VALUE"""),46238.0)</f>
        <v>46238</v>
      </c>
      <c r="B28" s="3" t="str">
        <f>IFERROR(__xludf.DUMMYFUNCTION("""COMPUTED_VALUE"""),"TRSF E-BANKING DB")</f>
        <v>TRSF E-BANKING DB</v>
      </c>
      <c r="C28" s="3" t="str">
        <f>IFERROR(__xludf.DUMMYFUNCTION("""COMPUTED_VALUE"""),"0408/FTSCY/WS95031 35200000.00 LAWU ABADI NUSA PT")</f>
        <v>0408/FTSCY/WS95031 35200000.00 LAWU ABADI NUSA PT</v>
      </c>
      <c r="D28" s="3">
        <f>IFERROR(__xludf.DUMMYFUNCTION("""COMPUTED_VALUE"""),3.52E7)</f>
        <v>35200000</v>
      </c>
      <c r="E28" s="3"/>
      <c r="F28" s="3" t="str">
        <f>IFERROR(__xludf.DUMMYFUNCTION("""COMPUTED_VALUE"""),"DB")</f>
        <v>DB</v>
      </c>
      <c r="G28" s="3">
        <f>IFERROR(__xludf.DUMMYFUNCTION("""COMPUTED_VALUE"""),6.886686757000005E7)</f>
        <v>68866867.57</v>
      </c>
      <c r="H28" s="3"/>
      <c r="I28" s="3"/>
    </row>
    <row r="29">
      <c r="A29" s="7">
        <f>IFERROR(__xludf.DUMMYFUNCTION("""COMPUTED_VALUE"""),46238.0)</f>
        <v>46238</v>
      </c>
      <c r="B29" s="3" t="str">
        <f>IFERROR(__xludf.DUMMYFUNCTION("""COMPUTED_VALUE"""),"TRSF E-BANKING DB")</f>
        <v>TRSF E-BANKING DB</v>
      </c>
      <c r="C29" s="3" t="str">
        <f>IFERROR(__xludf.DUMMYFUNCTION("""COMPUTED_VALUE"""),"0408/FTSCY/WS95031 692310.00 lunas LAWU ABADI NUSA PT")</f>
        <v>0408/FTSCY/WS95031 692310.00 lunas LAWU ABADI NUSA PT</v>
      </c>
      <c r="D29" s="3">
        <f>IFERROR(__xludf.DUMMYFUNCTION("""COMPUTED_VALUE"""),692310.0)</f>
        <v>692310</v>
      </c>
      <c r="E29" s="3"/>
      <c r="F29" s="3" t="str">
        <f>IFERROR(__xludf.DUMMYFUNCTION("""COMPUTED_VALUE"""),"DB")</f>
        <v>DB</v>
      </c>
      <c r="G29" s="3">
        <f>IFERROR(__xludf.DUMMYFUNCTION("""COMPUTED_VALUE"""),6.817455757000005E7)</f>
        <v>68174557.57</v>
      </c>
      <c r="H29" s="3"/>
      <c r="I29" s="3"/>
    </row>
    <row r="30">
      <c r="A30" s="7">
        <f>IFERROR(__xludf.DUMMYFUNCTION("""COMPUTED_VALUE"""),46238.0)</f>
        <v>46238</v>
      </c>
      <c r="B30" s="3" t="str">
        <f>IFERROR(__xludf.DUMMYFUNCTION("""COMPUTED_VALUE"""),"TRSF E-BANKING DB")</f>
        <v>TRSF E-BANKING DB</v>
      </c>
      <c r="C30" s="3" t="str">
        <f>IFERROR(__xludf.DUMMYFUNCTION("""COMPUTED_VALUE"""),"0408/FTSCY/WS95271 155694200.00 PITIK DIGITAL INDO")</f>
        <v>0408/FTSCY/WS95271 155694200.00 PITIK DIGITAL INDO</v>
      </c>
      <c r="D30" s="3">
        <f>IFERROR(__xludf.DUMMYFUNCTION("""COMPUTED_VALUE"""),1.556942E8)</f>
        <v>155694200</v>
      </c>
      <c r="E30" s="3"/>
      <c r="F30" s="3" t="str">
        <f>IFERROR(__xludf.DUMMYFUNCTION("""COMPUTED_VALUE"""),"DB")</f>
        <v>DB</v>
      </c>
      <c r="G30" s="3">
        <f>IFERROR(__xludf.DUMMYFUNCTION("""COMPUTED_VALUE"""),2.4109385757000005E8)</f>
        <v>241093857.6</v>
      </c>
      <c r="H30" s="3">
        <f>IFERROR(__xludf.DUMMYFUNCTION("""COMPUTED_VALUE"""),2.4109385757E8)</f>
        <v>241093857.6</v>
      </c>
      <c r="I30" s="3"/>
    </row>
    <row r="31">
      <c r="A31" s="7">
        <f>IFERROR(__xludf.DUMMYFUNCTION("""COMPUTED_VALUE"""),46238.0)</f>
        <v>46238</v>
      </c>
      <c r="B31" s="3" t="str">
        <f>IFERROR(__xludf.DUMMYFUNCTION("""COMPUTED_VALUE"""),"TRSF E-BANKING DB")</f>
        <v>TRSF E-BANKING DB</v>
      </c>
      <c r="C31" s="3" t="str">
        <f>IFERROR(__xludf.DUMMYFUNCTION("""COMPUTED_VALUE"""),"0408/FTSCY/WS95011 80000000.00 PITIK DIGITAL INDO")</f>
        <v>0408/FTSCY/WS95011 80000000.00 PITIK DIGITAL INDO</v>
      </c>
      <c r="D31" s="3">
        <f>IFERROR(__xludf.DUMMYFUNCTION("""COMPUTED_VALUE"""),8.0E7)</f>
        <v>80000000</v>
      </c>
      <c r="E31" s="3"/>
      <c r="F31" s="3" t="str">
        <f>IFERROR(__xludf.DUMMYFUNCTION("""COMPUTED_VALUE"""),"DB")</f>
        <v>DB</v>
      </c>
      <c r="G31" s="3">
        <f>IFERROR(__xludf.DUMMYFUNCTION("""COMPUTED_VALUE"""),1.6109385757000005E8)</f>
        <v>161093857.6</v>
      </c>
      <c r="H31" s="3">
        <f>IFERROR(__xludf.DUMMYFUNCTION("""COMPUTED_VALUE"""),1.6109385757E8)</f>
        <v>161093857.6</v>
      </c>
      <c r="I31" s="3"/>
    </row>
    <row r="32">
      <c r="A32" s="7">
        <f>IFERROR(__xludf.DUMMYFUNCTION("""COMPUTED_VALUE"""),46238.0)</f>
        <v>46238</v>
      </c>
      <c r="B32" s="3" t="str">
        <f>IFERROR(__xludf.DUMMYFUNCTION("""COMPUTED_VALUE"""),"BYR VIA E-BANKING")</f>
        <v>BYR VIA E-BANKING</v>
      </c>
      <c r="C32" s="3" t="str">
        <f>IFERROR(__xludf.DUMMYFUNCTION("""COMPUTED_VALUE"""),"04/08  WSID9503100 1220 TELKOMSEL 82318368518 MUHAMMAD HAIRUL MA")</f>
        <v>04/08  WSID9503100 1220 TELKOMSEL 82318368518 MUHAMMAD HAIRUL MA</v>
      </c>
      <c r="D32" s="3">
        <f>IFERROR(__xludf.DUMMYFUNCTION("""COMPUTED_VALUE"""),102000.0)</f>
        <v>102000</v>
      </c>
      <c r="E32" s="3"/>
      <c r="F32" s="3"/>
      <c r="G32" s="3">
        <f>IFERROR(__xludf.DUMMYFUNCTION("""COMPUTED_VALUE"""),1.6099185757000005E8)</f>
        <v>160991857.6</v>
      </c>
      <c r="H32" s="3"/>
      <c r="I32" s="3"/>
    </row>
    <row r="33">
      <c r="A33" s="7">
        <f>IFERROR(__xludf.DUMMYFUNCTION("""COMPUTED_VALUE"""),46238.0)</f>
        <v>46238</v>
      </c>
      <c r="B33" s="3" t="str">
        <f>IFERROR(__xludf.DUMMYFUNCTION("""COMPUTED_VALUE"""),"TRSF E-BANKING DB")</f>
        <v>TRSF E-BANKING DB</v>
      </c>
      <c r="C33" s="3" t="str">
        <f>IFERROR(__xludf.DUMMYFUNCTION("""COMPUTED_VALUE"""),"0408/FTSCY/WS95011 139200000.00 Sun Aug 02 2026 14:00:00 GMT+0700 (Western Indonesia Time) RUKUN MITRA BERSAM")</f>
        <v>0408/FTSCY/WS95011 139200000.00 Sun Aug 02 2026 14:00:00 GMT+0700 (Western Indonesia Time) RUKUN MITRA BERSAM</v>
      </c>
      <c r="D33" s="3">
        <f>IFERROR(__xludf.DUMMYFUNCTION("""COMPUTED_VALUE"""),1.392E8)</f>
        <v>139200000</v>
      </c>
      <c r="E33" s="3"/>
      <c r="F33" s="3" t="str">
        <f>IFERROR(__xludf.DUMMYFUNCTION("""COMPUTED_VALUE"""),"DB")</f>
        <v>DB</v>
      </c>
      <c r="G33" s="3">
        <f>IFERROR(__xludf.DUMMYFUNCTION("""COMPUTED_VALUE"""),2.1791857570000052E7)</f>
        <v>21791857.57</v>
      </c>
      <c r="H33" s="3"/>
      <c r="I33" s="3"/>
    </row>
    <row r="34">
      <c r="A34" s="7">
        <f>IFERROR(__xludf.DUMMYFUNCTION("""COMPUTED_VALUE"""),46238.0)</f>
        <v>46238</v>
      </c>
      <c r="B34" s="3" t="str">
        <f>IFERROR(__xludf.DUMMYFUNCTION("""COMPUTED_VALUE"""),"TRSF E-BANKING DB")</f>
        <v>TRSF E-BANKING DB</v>
      </c>
      <c r="C34" s="3" t="str">
        <f>IFERROR(__xludf.DUMMYFUNCTION("""COMPUTED_VALUE"""),"0408/FTFVA/WS95031 55569/PT PRIMA FAJ pelunasan - 40190")</f>
        <v>0408/FTFVA/WS95031 55569/PT PRIMA FAJ pelunasan - 40190</v>
      </c>
      <c r="D34" s="3">
        <f>IFERROR(__xludf.DUMMYFUNCTION("""COMPUTED_VALUE"""),6.625E7)</f>
        <v>66250000</v>
      </c>
      <c r="E34" s="3"/>
      <c r="F34" s="3" t="str">
        <f>IFERROR(__xludf.DUMMYFUNCTION("""COMPUTED_VALUE"""),"DB")</f>
        <v>DB</v>
      </c>
      <c r="G34" s="3">
        <f>IFERROR(__xludf.DUMMYFUNCTION("""COMPUTED_VALUE"""),9.473518757000005E7)</f>
        <v>94735187.57</v>
      </c>
      <c r="H34" s="3"/>
      <c r="I34" s="3"/>
    </row>
    <row r="35">
      <c r="A35" s="7">
        <f>IFERROR(__xludf.DUMMYFUNCTION("""COMPUTED_VALUE"""),46238.0)</f>
        <v>46238</v>
      </c>
      <c r="B35" s="3" t="str">
        <f>IFERROR(__xludf.DUMMYFUNCTION("""COMPUTED_VALUE"""),"TRSF E-BANKING DB")</f>
        <v>TRSF E-BANKING DB</v>
      </c>
      <c r="C35" s="3" t="str">
        <f>IFERROR(__xludf.DUMMYFUNCTION("""COMPUTED_VALUE"""),"0408/FTSCY/WS95031 1500000.00 SUNARTO")</f>
        <v>0408/FTSCY/WS95031 1500000.00 SUNARTO</v>
      </c>
      <c r="D35" s="3">
        <f>IFERROR(__xludf.DUMMYFUNCTION("""COMPUTED_VALUE"""),1500000.0)</f>
        <v>1500000</v>
      </c>
      <c r="E35" s="3"/>
      <c r="F35" s="3" t="str">
        <f>IFERROR(__xludf.DUMMYFUNCTION("""COMPUTED_VALUE"""),"DB")</f>
        <v>DB</v>
      </c>
      <c r="G35" s="3">
        <f>IFERROR(__xludf.DUMMYFUNCTION("""COMPUTED_VALUE"""),2.5744954957000005E8)</f>
        <v>257449549.6</v>
      </c>
      <c r="H35" s="3"/>
      <c r="I35" s="3"/>
    </row>
    <row r="36">
      <c r="A36" s="7">
        <f>IFERROR(__xludf.DUMMYFUNCTION("""COMPUTED_VALUE"""),46238.0)</f>
        <v>46238</v>
      </c>
      <c r="B36" s="3" t="str">
        <f>IFERROR(__xludf.DUMMYFUNCTION("""COMPUTED_VALUE"""),"TRSF E-BANKING DB")</f>
        <v>TRSF E-BANKING DB</v>
      </c>
      <c r="C36" s="3" t="str">
        <f>IFERROR(__xludf.DUMMYFUNCTION("""COMPUTED_VALUE"""),"0408/FTSCY/WS95031 15000000.00 EKO SETIYAWAN")</f>
        <v>0408/FTSCY/WS95031 15000000.00 EKO SETIYAWAN</v>
      </c>
      <c r="D36" s="3">
        <f>IFERROR(__xludf.DUMMYFUNCTION("""COMPUTED_VALUE"""),1.5E7)</f>
        <v>15000000</v>
      </c>
      <c r="E36" s="3"/>
      <c r="F36" s="3" t="str">
        <f>IFERROR(__xludf.DUMMYFUNCTION("""COMPUTED_VALUE"""),"DB")</f>
        <v>DB</v>
      </c>
      <c r="G36" s="3">
        <f>IFERROR(__xludf.DUMMYFUNCTION("""COMPUTED_VALUE"""),2.4244954957000005E8)</f>
        <v>242449549.6</v>
      </c>
      <c r="H36" s="3"/>
      <c r="I36" s="3"/>
    </row>
    <row r="37">
      <c r="A37" s="7">
        <f>IFERROR(__xludf.DUMMYFUNCTION("""COMPUTED_VALUE"""),46238.0)</f>
        <v>46238</v>
      </c>
      <c r="B37" s="3" t="str">
        <f>IFERROR(__xludf.DUMMYFUNCTION("""COMPUTED_VALUE"""),"TRSF E-BANKING DB")</f>
        <v>TRSF E-BANKING DB</v>
      </c>
      <c r="C37" s="3" t="str">
        <f>IFERROR(__xludf.DUMMYFUNCTION("""COMPUTED_VALUE"""),"0408/FTSCY/WS95031 150000.00 JUNDI ASSIDIQI")</f>
        <v>0408/FTSCY/WS95031 150000.00 JUNDI ASSIDIQI</v>
      </c>
      <c r="D37" s="3">
        <f>IFERROR(__xludf.DUMMYFUNCTION("""COMPUTED_VALUE"""),150000.0)</f>
        <v>150000</v>
      </c>
      <c r="E37" s="3"/>
      <c r="F37" s="3" t="str">
        <f>IFERROR(__xludf.DUMMYFUNCTION("""COMPUTED_VALUE"""),"DB")</f>
        <v>DB</v>
      </c>
      <c r="G37" s="3">
        <f>IFERROR(__xludf.DUMMYFUNCTION("""COMPUTED_VALUE"""),2.4229954957000005E8)</f>
        <v>242299549.6</v>
      </c>
      <c r="H37" s="3"/>
      <c r="I37" s="3"/>
    </row>
    <row r="38">
      <c r="A38" s="7">
        <f>IFERROR(__xludf.DUMMYFUNCTION("""COMPUTED_VALUE"""),46238.0)</f>
        <v>46238</v>
      </c>
      <c r="B38" s="3" t="str">
        <f>IFERROR(__xludf.DUMMYFUNCTION("""COMPUTED_VALUE"""),"TRSF E-BANKING DB")</f>
        <v>TRSF E-BANKING DB</v>
      </c>
      <c r="C38" s="3" t="str">
        <f>IFERROR(__xludf.DUMMYFUNCTION("""COMPUTED_VALUE"""),"0408/FTSCY/WS95031 9362000.00 MOH JAMALUDIN KHOS")</f>
        <v>0408/FTSCY/WS95031 9362000.00 MOH JAMALUDIN KHOS</v>
      </c>
      <c r="D38" s="3">
        <f>IFERROR(__xludf.DUMMYFUNCTION("""COMPUTED_VALUE"""),9362000.0)</f>
        <v>9362000</v>
      </c>
      <c r="E38" s="3"/>
      <c r="F38" s="3" t="str">
        <f>IFERROR(__xludf.DUMMYFUNCTION("""COMPUTED_VALUE"""),"DB")</f>
        <v>DB</v>
      </c>
      <c r="G38" s="3">
        <f>IFERROR(__xludf.DUMMYFUNCTION("""COMPUTED_VALUE"""),2.3293754957000005E8)</f>
        <v>232937549.6</v>
      </c>
      <c r="H38" s="3"/>
      <c r="I38" s="3"/>
    </row>
    <row r="39">
      <c r="A39" s="7">
        <f>IFERROR(__xludf.DUMMYFUNCTION("""COMPUTED_VALUE"""),46238.0)</f>
        <v>46238</v>
      </c>
      <c r="B39" s="3" t="str">
        <f>IFERROR(__xludf.DUMMYFUNCTION("""COMPUTED_VALUE"""),"TRSF E-BANKING DB")</f>
        <v>TRSF E-BANKING DB</v>
      </c>
      <c r="C39" s="3" t="str">
        <f>IFERROR(__xludf.DUMMYFUNCTION("""COMPUTED_VALUE"""),"0408/FTSCY/WS95011 75778900.00 Mon Aug 03 2026 14:00:00 GMT+0700 (Western Indonesia Time) RUKUN MITRA BERSAM")</f>
        <v>0408/FTSCY/WS95011 75778900.00 Mon Aug 03 2026 14:00:00 GMT+0700 (Western Indonesia Time) RUKUN MITRA BERSAM</v>
      </c>
      <c r="D39" s="3">
        <f>IFERROR(__xludf.DUMMYFUNCTION("""COMPUTED_VALUE"""),7.57789E7)</f>
        <v>75778900</v>
      </c>
      <c r="E39" s="3"/>
      <c r="F39" s="3" t="str">
        <f>IFERROR(__xludf.DUMMYFUNCTION("""COMPUTED_VALUE"""),"DB")</f>
        <v>DB</v>
      </c>
      <c r="G39" s="3">
        <f>IFERROR(__xludf.DUMMYFUNCTION("""COMPUTED_VALUE"""),1.5715864957000005E8)</f>
        <v>157158649.6</v>
      </c>
      <c r="H39" s="3"/>
      <c r="I39" s="3"/>
    </row>
    <row r="40">
      <c r="A40" s="7">
        <f>IFERROR(__xludf.DUMMYFUNCTION("""COMPUTED_VALUE"""),46238.0)</f>
        <v>46238</v>
      </c>
      <c r="B40" s="3" t="str">
        <f>IFERROR(__xludf.DUMMYFUNCTION("""COMPUTED_VALUE"""),"TRSF E-BANKING DB")</f>
        <v>TRSF E-BANKING DB</v>
      </c>
      <c r="C40" s="3" t="str">
        <f>IFERROR(__xludf.DUMMYFUNCTION("""COMPUTED_VALUE"""),"0408/FTSCY/WS95011 52548750.00 Sun Aug 02 2026 14:00:00 GMT+0700 (Western Indonesia Time) BINTANG TAMA SANTO")</f>
        <v>0408/FTSCY/WS95011 52548750.00 Sun Aug 02 2026 14:00:00 GMT+0700 (Western Indonesia Time) BINTANG TAMA SANTO</v>
      </c>
      <c r="D40" s="3">
        <f>IFERROR(__xludf.DUMMYFUNCTION("""COMPUTED_VALUE"""),5.254875E7)</f>
        <v>52548750</v>
      </c>
      <c r="E40" s="3"/>
      <c r="F40" s="3" t="str">
        <f>IFERROR(__xludf.DUMMYFUNCTION("""COMPUTED_VALUE"""),"DB")</f>
        <v>DB</v>
      </c>
      <c r="G40" s="3">
        <f>IFERROR(__xludf.DUMMYFUNCTION("""COMPUTED_VALUE"""),1.0460989957000005E8)</f>
        <v>104609899.6</v>
      </c>
      <c r="H40" s="3">
        <f>IFERROR(__xludf.DUMMYFUNCTION("""COMPUTED_VALUE"""),1.0460989957E8)</f>
        <v>104609899.6</v>
      </c>
      <c r="I40" s="3"/>
    </row>
    <row r="41">
      <c r="A41" s="7">
        <f>IFERROR(__xludf.DUMMYFUNCTION("""COMPUTED_VALUE"""),46238.0)</f>
        <v>46238</v>
      </c>
      <c r="B41" s="3" t="str">
        <f>IFERROR(__xludf.DUMMYFUNCTION("""COMPUTED_VALUE"""),"TRSF E-BANKING DB")</f>
        <v>TRSF E-BANKING DB</v>
      </c>
      <c r="C41" s="3" t="str">
        <f>IFERROR(__xludf.DUMMYFUNCTION("""COMPUTED_VALUE"""),"0408/FTFVA/WS95031 55569/PT PRIMA FAJ titip - 40190")</f>
        <v>0408/FTFVA/WS95031 55569/PT PRIMA FAJ titip - 40190</v>
      </c>
      <c r="D41" s="3">
        <f>IFERROR(__xludf.DUMMYFUNCTION("""COMPUTED_VALUE"""),5.0E7)</f>
        <v>50000000</v>
      </c>
      <c r="E41" s="3"/>
      <c r="F41" s="3" t="str">
        <f>IFERROR(__xludf.DUMMYFUNCTION("""COMPUTED_VALUE"""),"DB")</f>
        <v>DB</v>
      </c>
      <c r="G41" s="3">
        <f>IFERROR(__xludf.DUMMYFUNCTION("""COMPUTED_VALUE"""),5.460989957000005E7)</f>
        <v>54609899.57</v>
      </c>
      <c r="H41" s="3">
        <f>IFERROR(__xludf.DUMMYFUNCTION("""COMPUTED_VALUE"""),5.460989957E7)</f>
        <v>54609899.57</v>
      </c>
      <c r="I41" s="3"/>
    </row>
    <row r="42">
      <c r="A42" s="7">
        <f>IFERROR(__xludf.DUMMYFUNCTION("""COMPUTED_VALUE"""),46238.0)</f>
        <v>46238</v>
      </c>
      <c r="B42" s="3" t="str">
        <f>IFERROR(__xludf.DUMMYFUNCTION("""COMPUTED_VALUE"""),"TRSF E-BANKING DB")</f>
        <v>TRSF E-BANKING DB</v>
      </c>
      <c r="C42" s="3" t="str">
        <f>IFERROR(__xludf.DUMMYFUNCTION("""COMPUTED_VALUE"""),"0408/FTSCY/WS95011 54000000.00 SUGENG RIADI")</f>
        <v>0408/FTSCY/WS95011 54000000.00 SUGENG RIADI</v>
      </c>
      <c r="D42" s="3">
        <f>IFERROR(__xludf.DUMMYFUNCTION("""COMPUTED_VALUE"""),5.4E7)</f>
        <v>54000000</v>
      </c>
      <c r="E42" s="3"/>
      <c r="F42" s="3" t="str">
        <f>IFERROR(__xludf.DUMMYFUNCTION("""COMPUTED_VALUE"""),"DB")</f>
        <v>DB</v>
      </c>
      <c r="G42" s="3">
        <f>IFERROR(__xludf.DUMMYFUNCTION("""COMPUTED_VALUE"""),609899.5700000525)</f>
        <v>609899.57</v>
      </c>
      <c r="H42" s="3">
        <f>IFERROR(__xludf.DUMMYFUNCTION("""COMPUTED_VALUE"""),609899.57)</f>
        <v>609899.57</v>
      </c>
      <c r="I42" s="3"/>
    </row>
    <row r="43">
      <c r="A43" s="7">
        <f>IFERROR(__xludf.DUMMYFUNCTION("""COMPUTED_VALUE"""),46239.0)</f>
        <v>46239</v>
      </c>
      <c r="B43" s="3" t="str">
        <f>IFERROR(__xludf.DUMMYFUNCTION("""COMPUTED_VALUE"""),"TRSF E-BANKING DB")</f>
        <v>TRSF E-BANKING DB</v>
      </c>
      <c r="C43" s="3" t="str">
        <f>IFERROR(__xludf.DUMMYFUNCTION("""COMPUTED_VALUE"""),"0508/FTSCY/WS95271 133855950.00 Sun Aug 02 2026 14:00:00 GMT+0700 (Western Indonesia Time) ANDALAN YASA MITRA")</f>
        <v>0508/FTSCY/WS95271 133855950.00 Sun Aug 02 2026 14:00:00 GMT+0700 (Western Indonesia Time) ANDALAN YASA MITRA</v>
      </c>
      <c r="D43" s="3">
        <f>IFERROR(__xludf.DUMMYFUNCTION("""COMPUTED_VALUE"""),1.3385595E8)</f>
        <v>133855950</v>
      </c>
      <c r="E43" s="3"/>
      <c r="F43" s="3" t="str">
        <f>IFERROR(__xludf.DUMMYFUNCTION("""COMPUTED_VALUE"""),"DB")</f>
        <v>DB</v>
      </c>
      <c r="G43" s="3">
        <f>IFERROR(__xludf.DUMMYFUNCTION("""COMPUTED_VALUE"""),1.4398094957000005E8)</f>
        <v>143980949.6</v>
      </c>
      <c r="H43" s="3"/>
      <c r="I43" s="3"/>
    </row>
    <row r="44">
      <c r="A44" s="7">
        <f>IFERROR(__xludf.DUMMYFUNCTION("""COMPUTED_VALUE"""),46239.0)</f>
        <v>46239</v>
      </c>
      <c r="B44" s="3" t="str">
        <f>IFERROR(__xludf.DUMMYFUNCTION("""COMPUTED_VALUE"""),"TRSF E-BANKING DB")</f>
        <v>TRSF E-BANKING DB</v>
      </c>
      <c r="C44" s="3" t="str">
        <f>IFERROR(__xludf.DUMMYFUNCTION("""COMPUTED_VALUE"""),"0508/FTSCY/WS95031 50000000.00 SUGENG RIADI")</f>
        <v>0508/FTSCY/WS95031 50000000.00 SUGENG RIADI</v>
      </c>
      <c r="D44" s="3">
        <f>IFERROR(__xludf.DUMMYFUNCTION("""COMPUTED_VALUE"""),5.0E7)</f>
        <v>50000000</v>
      </c>
      <c r="E44" s="3"/>
      <c r="F44" s="3" t="str">
        <f>IFERROR(__xludf.DUMMYFUNCTION("""COMPUTED_VALUE"""),"DB")</f>
        <v>DB</v>
      </c>
      <c r="G44" s="3">
        <f>IFERROR(__xludf.DUMMYFUNCTION("""COMPUTED_VALUE"""),9.398094957000005E7)</f>
        <v>93980949.57</v>
      </c>
      <c r="H44" s="3"/>
      <c r="I44" s="3"/>
    </row>
    <row r="45">
      <c r="A45" s="7">
        <f>IFERROR(__xludf.DUMMYFUNCTION("""COMPUTED_VALUE"""),46239.0)</f>
        <v>46239</v>
      </c>
      <c r="B45" s="3" t="str">
        <f>IFERROR(__xludf.DUMMYFUNCTION("""COMPUTED_VALUE"""),"TRSF E-BANKING DB")</f>
        <v>TRSF E-BANKING DB</v>
      </c>
      <c r="C45" s="3" t="str">
        <f>IFERROR(__xludf.DUMMYFUNCTION("""COMPUTED_VALUE"""),"0508/FTSCY/WS95031 467100.00 LAWU ABADI NUSA PT")</f>
        <v>0508/FTSCY/WS95031 467100.00 LAWU ABADI NUSA PT</v>
      </c>
      <c r="D45" s="3">
        <f>IFERROR(__xludf.DUMMYFUNCTION("""COMPUTED_VALUE"""),467100.0)</f>
        <v>467100</v>
      </c>
      <c r="E45" s="3"/>
      <c r="F45" s="3" t="str">
        <f>IFERROR(__xludf.DUMMYFUNCTION("""COMPUTED_VALUE"""),"DB")</f>
        <v>DB</v>
      </c>
      <c r="G45" s="3">
        <f>IFERROR(__xludf.DUMMYFUNCTION("""COMPUTED_VALUE"""),5.4329910257E8)</f>
        <v>543299102.6</v>
      </c>
      <c r="H45" s="3"/>
      <c r="I45" s="3"/>
    </row>
    <row r="46">
      <c r="A46" s="7">
        <f>IFERROR(__xludf.DUMMYFUNCTION("""COMPUTED_VALUE"""),46239.0)</f>
        <v>46239</v>
      </c>
      <c r="B46" s="3" t="str">
        <f>IFERROR(__xludf.DUMMYFUNCTION("""COMPUTED_VALUE"""),"TRSF E-BANKING DB")</f>
        <v>TRSF E-BANKING DB</v>
      </c>
      <c r="C46" s="3" t="str">
        <f>IFERROR(__xludf.DUMMYFUNCTION("""COMPUTED_VALUE"""),"0508/FTSCY/WS95031 46316000.00 pelunasan SUGENG RIADI")</f>
        <v>0508/FTSCY/WS95031 46316000.00 pelunasan SUGENG RIADI</v>
      </c>
      <c r="D46" s="3">
        <f>IFERROR(__xludf.DUMMYFUNCTION("""COMPUTED_VALUE"""),4.6316E7)</f>
        <v>46316000</v>
      </c>
      <c r="E46" s="3"/>
      <c r="F46" s="3" t="str">
        <f>IFERROR(__xludf.DUMMYFUNCTION("""COMPUTED_VALUE"""),"DB")</f>
        <v>DB</v>
      </c>
      <c r="G46" s="3">
        <f>IFERROR(__xludf.DUMMYFUNCTION("""COMPUTED_VALUE"""),7.4357502257E8)</f>
        <v>743575022.6</v>
      </c>
      <c r="H46" s="3">
        <f>IFERROR(__xludf.DUMMYFUNCTION("""COMPUTED_VALUE"""),7.4357502257E8)</f>
        <v>743575022.6</v>
      </c>
      <c r="I46" s="3"/>
    </row>
    <row r="47">
      <c r="A47" s="7">
        <f>IFERROR(__xludf.DUMMYFUNCTION("""COMPUTED_VALUE"""),46240.0)</f>
        <v>46240</v>
      </c>
      <c r="B47" s="3" t="str">
        <f>IFERROR(__xludf.DUMMYFUNCTION("""COMPUTED_VALUE"""),"TRSF E-BANKING DB TANGGAL :05/08")</f>
        <v>TRSF E-BANKING DB TANGGAL :05/08</v>
      </c>
      <c r="C47" s="3" t="str">
        <f>IFERROR(__xludf.DUMMYFUNCTION("""COMPUTED_VALUE"""),"0508/FTSCY/WS95271 Sun Aug 02 2026 14:00:00 GMT+0700 (Western Indonesia Time) ANUGERAH KARTIKA A")</f>
        <v>0508/FTSCY/WS95271 Sun Aug 02 2026 14:00:00 GMT+0700 (Western Indonesia Time) ANUGERAH KARTIKA A</v>
      </c>
      <c r="D47" s="3">
        <f>IFERROR(__xludf.DUMMYFUNCTION("""COMPUTED_VALUE"""),6.3954E7)</f>
        <v>63954000</v>
      </c>
      <c r="E47" s="3"/>
      <c r="F47" s="3" t="str">
        <f>IFERROR(__xludf.DUMMYFUNCTION("""COMPUTED_VALUE"""),"DB")</f>
        <v>DB</v>
      </c>
      <c r="G47" s="3">
        <f>IFERROR(__xludf.DUMMYFUNCTION("""COMPUTED_VALUE"""),6.7962102257E8)</f>
        <v>679621022.6</v>
      </c>
      <c r="H47" s="3"/>
      <c r="I47" s="3"/>
    </row>
    <row r="48">
      <c r="A48" s="7">
        <f>IFERROR(__xludf.DUMMYFUNCTION("""COMPUTED_VALUE"""),46240.0)</f>
        <v>46240</v>
      </c>
      <c r="B48" s="3" t="str">
        <f>IFERROR(__xludf.DUMMYFUNCTION("""COMPUTED_VALUE"""),"TRSF E-BANKING DB TANGGAL :05/08")</f>
        <v>TRSF E-BANKING DB TANGGAL :05/08</v>
      </c>
      <c r="C48" s="3" t="str">
        <f>IFERROR(__xludf.DUMMYFUNCTION("""COMPUTED_VALUE"""),"0508/FTSCY/WS95011 02 dan 03 ANDALAN YASA MITRA")</f>
        <v>0508/FTSCY/WS95011 02 dan 03 ANDALAN YASA MITRA</v>
      </c>
      <c r="D48" s="3">
        <f>IFERROR(__xludf.DUMMYFUNCTION("""COMPUTED_VALUE"""),4.4670266E8)</f>
        <v>446702660</v>
      </c>
      <c r="E48" s="3"/>
      <c r="F48" s="3" t="str">
        <f>IFERROR(__xludf.DUMMYFUNCTION("""COMPUTED_VALUE"""),"DB")</f>
        <v>DB</v>
      </c>
      <c r="G48" s="3">
        <f>IFERROR(__xludf.DUMMYFUNCTION("""COMPUTED_VALUE"""),2.3291836257000005E8)</f>
        <v>232918362.6</v>
      </c>
      <c r="H48" s="3"/>
      <c r="I48" s="3"/>
    </row>
    <row r="49">
      <c r="A49" s="7">
        <f>IFERROR(__xludf.DUMMYFUNCTION("""COMPUTED_VALUE"""),46240.0)</f>
        <v>46240</v>
      </c>
      <c r="B49" s="3" t="str">
        <f>IFERROR(__xludf.DUMMYFUNCTION("""COMPUTED_VALUE"""),"TRSF E-BANKING DB TANGGAL :05/08")</f>
        <v>TRSF E-BANKING DB TANGGAL :05/08</v>
      </c>
      <c r="C49" s="3" t="str">
        <f>IFERROR(__xludf.DUMMYFUNCTION("""COMPUTED_VALUE"""),"0508/FTSCY/WS95011 Mon Aug 03 2026 14:00:00 GMT+0700 (Western Indonesia Time) BINTANG TAMA SANTO")</f>
        <v>0508/FTSCY/WS95011 Mon Aug 03 2026 14:00:00 GMT+0700 (Western Indonesia Time) BINTANG TAMA SANTO</v>
      </c>
      <c r="D49" s="3">
        <f>IFERROR(__xludf.DUMMYFUNCTION("""COMPUTED_VALUE"""),5.3252E7)</f>
        <v>53252000</v>
      </c>
      <c r="E49" s="3"/>
      <c r="F49" s="3" t="str">
        <f>IFERROR(__xludf.DUMMYFUNCTION("""COMPUTED_VALUE"""),"DB")</f>
        <v>DB</v>
      </c>
      <c r="G49" s="3">
        <f>IFERROR(__xludf.DUMMYFUNCTION("""COMPUTED_VALUE"""),1.7966636257000005E8)</f>
        <v>179666362.6</v>
      </c>
      <c r="H49" s="3">
        <f>IFERROR(__xludf.DUMMYFUNCTION("""COMPUTED_VALUE"""),1.7966636257E8)</f>
        <v>179666362.6</v>
      </c>
      <c r="I49" s="3"/>
    </row>
    <row r="50">
      <c r="A50" s="7">
        <f>IFERROR(__xludf.DUMMYFUNCTION("""COMPUTED_VALUE"""),46240.0)</f>
        <v>46240</v>
      </c>
      <c r="B50" s="3" t="str">
        <f>IFERROR(__xludf.DUMMYFUNCTION("""COMPUTED_VALUE"""),"TRSF E-BANKING DB TANGGAL :05/08")</f>
        <v>TRSF E-BANKING DB TANGGAL :05/08</v>
      </c>
      <c r="C50" s="3" t="str">
        <f>IFERROR(__xludf.DUMMYFUNCTION("""COMPUTED_VALUE"""),"0508/FTSCY/WS95271 pelunasan BINTANG TAMA SANTO")</f>
        <v>0508/FTSCY/WS95271 pelunasan BINTANG TAMA SANTO</v>
      </c>
      <c r="D50" s="3">
        <f>IFERROR(__xludf.DUMMYFUNCTION("""COMPUTED_VALUE"""),6.26E7)</f>
        <v>62600000</v>
      </c>
      <c r="E50" s="3"/>
      <c r="F50" s="3" t="str">
        <f>IFERROR(__xludf.DUMMYFUNCTION("""COMPUTED_VALUE"""),"DB")</f>
        <v>DB</v>
      </c>
      <c r="G50" s="3">
        <f>IFERROR(__xludf.DUMMYFUNCTION("""COMPUTED_VALUE"""),1.1706636257000005E8)</f>
        <v>117066362.6</v>
      </c>
      <c r="H50" s="3">
        <f>IFERROR(__xludf.DUMMYFUNCTION("""COMPUTED_VALUE"""),1.1706636257E8)</f>
        <v>117066362.6</v>
      </c>
      <c r="I50" s="3"/>
    </row>
    <row r="51">
      <c r="A51" s="7">
        <f>IFERROR(__xludf.DUMMYFUNCTION("""COMPUTED_VALUE"""),46240.0)</f>
        <v>46240</v>
      </c>
      <c r="B51" s="3" t="str">
        <f>IFERROR(__xludf.DUMMYFUNCTION("""COMPUTED_VALUE"""),"TRSF E-BANKING DB TANGGAL :05/08")</f>
        <v>TRSF E-BANKING DB TANGGAL :05/08</v>
      </c>
      <c r="C51" s="3" t="str">
        <f>IFERROR(__xludf.DUMMYFUNCTION("""COMPUTED_VALUE"""),"0508/FTSCY/WS95271 02 dan 03 BROILER MAKMUR TAN")</f>
        <v>0508/FTSCY/WS95271 02 dan 03 BROILER MAKMUR TAN</v>
      </c>
      <c r="D51" s="3">
        <f>IFERROR(__xludf.DUMMYFUNCTION("""COMPUTED_VALUE"""),2.994365E7)</f>
        <v>29943650</v>
      </c>
      <c r="E51" s="3"/>
      <c r="F51" s="3" t="str">
        <f>IFERROR(__xludf.DUMMYFUNCTION("""COMPUTED_VALUE"""),"DB")</f>
        <v>DB</v>
      </c>
      <c r="G51" s="3">
        <f>IFERROR(__xludf.DUMMYFUNCTION("""COMPUTED_VALUE"""),8.712271257000005E7)</f>
        <v>87122712.57</v>
      </c>
      <c r="H51" s="3"/>
      <c r="I51" s="3"/>
    </row>
    <row r="52">
      <c r="A52" s="7">
        <f>IFERROR(__xludf.DUMMYFUNCTION("""COMPUTED_VALUE"""),46240.0)</f>
        <v>46240</v>
      </c>
      <c r="B52" s="3" t="str">
        <f>IFERROR(__xludf.DUMMYFUNCTION("""COMPUTED_VALUE"""),"TRSF E-BANKING DB")</f>
        <v>TRSF E-BANKING DB</v>
      </c>
      <c r="C52" s="3" t="str">
        <f>IFERROR(__xludf.DUMMYFUNCTION("""COMPUTED_VALUE"""),"0608/FTSCY/WS95031 5822250.00 FAJAR ANDREANZAH")</f>
        <v>0608/FTSCY/WS95031 5822250.00 FAJAR ANDREANZAH</v>
      </c>
      <c r="D52" s="3">
        <f>IFERROR(__xludf.DUMMYFUNCTION("""COMPUTED_VALUE"""),5822250.0)</f>
        <v>5822250</v>
      </c>
      <c r="E52" s="3"/>
      <c r="F52" s="3" t="str">
        <f>IFERROR(__xludf.DUMMYFUNCTION("""COMPUTED_VALUE"""),"DB")</f>
        <v>DB</v>
      </c>
      <c r="G52" s="3">
        <f>IFERROR(__xludf.DUMMYFUNCTION("""COMPUTED_VALUE"""),4.8473777257000005E8)</f>
        <v>484737772.6</v>
      </c>
      <c r="H52" s="3"/>
      <c r="I52" s="3"/>
    </row>
    <row r="53">
      <c r="A53" s="7">
        <f>IFERROR(__xludf.DUMMYFUNCTION("""COMPUTED_VALUE"""),46240.0)</f>
        <v>46240</v>
      </c>
      <c r="B53" s="3" t="str">
        <f>IFERROR(__xludf.DUMMYFUNCTION("""COMPUTED_VALUE"""),"TRSF E-BANKING DB")</f>
        <v>TRSF E-BANKING DB</v>
      </c>
      <c r="C53" s="3" t="str">
        <f>IFERROR(__xludf.DUMMYFUNCTION("""COMPUTED_VALUE"""),"0608/FTSCY/WS95271 100000000.00 BROILER MAKMUR TAN")</f>
        <v>0608/FTSCY/WS95271 100000000.00 BROILER MAKMUR TAN</v>
      </c>
      <c r="D53" s="3">
        <f>IFERROR(__xludf.DUMMYFUNCTION("""COMPUTED_VALUE"""),1.0E8)</f>
        <v>100000000</v>
      </c>
      <c r="E53" s="3"/>
      <c r="F53" s="3" t="str">
        <f>IFERROR(__xludf.DUMMYFUNCTION("""COMPUTED_VALUE"""),"DB")</f>
        <v>DB</v>
      </c>
      <c r="G53" s="3">
        <f>IFERROR(__xludf.DUMMYFUNCTION("""COMPUTED_VALUE"""),3.8473777257000005E8)</f>
        <v>384737772.6</v>
      </c>
      <c r="H53" s="3"/>
      <c r="I53" s="3"/>
    </row>
    <row r="54">
      <c r="A54" s="7">
        <f>IFERROR(__xludf.DUMMYFUNCTION("""COMPUTED_VALUE"""),46240.0)</f>
        <v>46240</v>
      </c>
      <c r="B54" s="3" t="str">
        <f>IFERROR(__xludf.DUMMYFUNCTION("""COMPUTED_VALUE"""),"TRSF E-BANKING DB")</f>
        <v>TRSF E-BANKING DB</v>
      </c>
      <c r="C54" s="3" t="str">
        <f>IFERROR(__xludf.DUMMYFUNCTION("""COMPUTED_VALUE"""),"0608/FTSCY/WS95031 15000000.00 EKO SETIYAWAN")</f>
        <v>0608/FTSCY/WS95031 15000000.00 EKO SETIYAWAN</v>
      </c>
      <c r="D54" s="3">
        <f>IFERROR(__xludf.DUMMYFUNCTION("""COMPUTED_VALUE"""),1.5E7)</f>
        <v>15000000</v>
      </c>
      <c r="E54" s="3"/>
      <c r="F54" s="3" t="str">
        <f>IFERROR(__xludf.DUMMYFUNCTION("""COMPUTED_VALUE"""),"DB")</f>
        <v>DB</v>
      </c>
      <c r="G54" s="3">
        <f>IFERROR(__xludf.DUMMYFUNCTION("""COMPUTED_VALUE"""),3.6973777257000005E8)</f>
        <v>369737772.6</v>
      </c>
      <c r="H54" s="3"/>
      <c r="I54" s="3"/>
    </row>
    <row r="55">
      <c r="A55" s="7">
        <f>IFERROR(__xludf.DUMMYFUNCTION("""COMPUTED_VALUE"""),46240.0)</f>
        <v>46240</v>
      </c>
      <c r="B55" s="3" t="str">
        <f>IFERROR(__xludf.DUMMYFUNCTION("""COMPUTED_VALUE"""),"TRSF E-BANKING DB")</f>
        <v>TRSF E-BANKING DB</v>
      </c>
      <c r="C55" s="3" t="str">
        <f>IFERROR(__xludf.DUMMYFUNCTION("""COMPUTED_VALUE"""),"0608/FTSCY/WS95031 43756050.00 Mon Aug 03 2026 14:00:00 GMT+0700 (Western Indonesia Time) RUKUN MITRA BERSAM")</f>
        <v>0608/FTSCY/WS95031 43756050.00 Mon Aug 03 2026 14:00:00 GMT+0700 (Western Indonesia Time) RUKUN MITRA BERSAM</v>
      </c>
      <c r="D55" s="3">
        <f>IFERROR(__xludf.DUMMYFUNCTION("""COMPUTED_VALUE"""),4.375605E7)</f>
        <v>43756050</v>
      </c>
      <c r="E55" s="3"/>
      <c r="F55" s="3" t="str">
        <f>IFERROR(__xludf.DUMMYFUNCTION("""COMPUTED_VALUE"""),"DB")</f>
        <v>DB</v>
      </c>
      <c r="G55" s="3">
        <f>IFERROR(__xludf.DUMMYFUNCTION("""COMPUTED_VALUE"""),3.2598172257000005E8)</f>
        <v>325981722.6</v>
      </c>
      <c r="H55" s="3"/>
      <c r="I55" s="3"/>
    </row>
    <row r="56">
      <c r="A56" s="7">
        <f>IFERROR(__xludf.DUMMYFUNCTION("""COMPUTED_VALUE"""),46240.0)</f>
        <v>46240</v>
      </c>
      <c r="B56" s="3" t="str">
        <f>IFERROR(__xludf.DUMMYFUNCTION("""COMPUTED_VALUE"""),"TRSF E-BANKING DB")</f>
        <v>TRSF E-BANKING DB</v>
      </c>
      <c r="C56" s="3" t="str">
        <f>IFERROR(__xludf.DUMMYFUNCTION("""COMPUTED_VALUE"""),"0608/FTSCY/WS95031 21662890.00 DWI HERMANSYAH")</f>
        <v>0608/FTSCY/WS95031 21662890.00 DWI HERMANSYAH</v>
      </c>
      <c r="D56" s="3">
        <f>IFERROR(__xludf.DUMMYFUNCTION("""COMPUTED_VALUE"""),2.166289E7)</f>
        <v>21662890</v>
      </c>
      <c r="E56" s="3"/>
      <c r="F56" s="3" t="str">
        <f>IFERROR(__xludf.DUMMYFUNCTION("""COMPUTED_VALUE"""),"DB")</f>
        <v>DB</v>
      </c>
      <c r="G56" s="3">
        <f>IFERROR(__xludf.DUMMYFUNCTION("""COMPUTED_VALUE"""),3.0431883257000005E8)</f>
        <v>304318832.6</v>
      </c>
      <c r="H56" s="3">
        <f>IFERROR(__xludf.DUMMYFUNCTION("""COMPUTED_VALUE"""),3.0431883257E8)</f>
        <v>304318832.6</v>
      </c>
      <c r="I56" s="3"/>
    </row>
    <row r="57">
      <c r="A57" s="7">
        <f>IFERROR(__xludf.DUMMYFUNCTION("""COMPUTED_VALUE"""),46241.0)</f>
        <v>46241</v>
      </c>
      <c r="B57" s="3" t="str">
        <f>IFERROR(__xludf.DUMMYFUNCTION("""COMPUTED_VALUE"""),"TRSF E-BANKING DB")</f>
        <v>TRSF E-BANKING DB</v>
      </c>
      <c r="C57" s="3" t="str">
        <f>IFERROR(__xludf.DUMMYFUNCTION("""COMPUTED_VALUE"""),"0708/FTSCY/WS95031 66000000.00 kd nurul r jbr LAWU ABADI NUSA PT")</f>
        <v>0708/FTSCY/WS95031 66000000.00 kd nurul r jbr LAWU ABADI NUSA PT</v>
      </c>
      <c r="D57" s="3">
        <f>IFERROR(__xludf.DUMMYFUNCTION("""COMPUTED_VALUE"""),6.6E7)</f>
        <v>66000000</v>
      </c>
      <c r="E57" s="3"/>
      <c r="F57" s="3" t="str">
        <f>IFERROR(__xludf.DUMMYFUNCTION("""COMPUTED_VALUE"""),"DB")</f>
        <v>DB</v>
      </c>
      <c r="G57" s="3">
        <f>IFERROR(__xludf.DUMMYFUNCTION("""COMPUTED_VALUE"""),2.3831883257000005E8)</f>
        <v>238318832.6</v>
      </c>
      <c r="H57" s="3"/>
      <c r="I57" s="3"/>
    </row>
    <row r="58">
      <c r="A58" s="7">
        <f>IFERROR(__xludf.DUMMYFUNCTION("""COMPUTED_VALUE"""),46241.0)</f>
        <v>46241</v>
      </c>
      <c r="B58" s="3" t="str">
        <f>IFERROR(__xludf.DUMMYFUNCTION("""COMPUTED_VALUE"""),"TRSF E-BANKING DB")</f>
        <v>TRSF E-BANKING DB</v>
      </c>
      <c r="C58" s="3" t="str">
        <f>IFERROR(__xludf.DUMMYFUNCTION("""COMPUTED_VALUE"""),"0708/FTSCY/WS95271 50950000.00 Mon Aug 03 2026 14:00:00 GMT+0700 (Western Indonesia Time) ANDALAN YASA MITRA")</f>
        <v>0708/FTSCY/WS95271 50950000.00 Mon Aug 03 2026 14:00:00 GMT+0700 (Western Indonesia Time) ANDALAN YASA MITRA</v>
      </c>
      <c r="D58" s="3">
        <f>IFERROR(__xludf.DUMMYFUNCTION("""COMPUTED_VALUE"""),5.095E7)</f>
        <v>50950000</v>
      </c>
      <c r="E58" s="3"/>
      <c r="F58" s="3" t="str">
        <f>IFERROR(__xludf.DUMMYFUNCTION("""COMPUTED_VALUE"""),"DB")</f>
        <v>DB</v>
      </c>
      <c r="G58" s="3">
        <f>IFERROR(__xludf.DUMMYFUNCTION("""COMPUTED_VALUE"""),1.8736883257000005E8)</f>
        <v>187368832.6</v>
      </c>
      <c r="H58" s="3"/>
      <c r="I58" s="3"/>
    </row>
    <row r="59">
      <c r="A59" s="7">
        <f>IFERROR(__xludf.DUMMYFUNCTION("""COMPUTED_VALUE"""),46241.0)</f>
        <v>46241</v>
      </c>
      <c r="B59" s="3" t="str">
        <f>IFERROR(__xludf.DUMMYFUNCTION("""COMPUTED_VALUE"""),"TRSF E-BANKING DB")</f>
        <v>TRSF E-BANKING DB</v>
      </c>
      <c r="C59" s="3" t="str">
        <f>IFERROR(__xludf.DUMMYFUNCTION("""COMPUTED_VALUE"""),"0708/FTSCY/WS95271 54099800.00 Mon Aug 03 2026 14:00:00 GMT+0700 (Western Indonesia Time) BINTANG TAMA SANTO")</f>
        <v>0708/FTSCY/WS95271 54099800.00 Mon Aug 03 2026 14:00:00 GMT+0700 (Western Indonesia Time) BINTANG TAMA SANTO</v>
      </c>
      <c r="D59" s="3">
        <f>IFERROR(__xludf.DUMMYFUNCTION("""COMPUTED_VALUE"""),5.40998E7)</f>
        <v>54099800</v>
      </c>
      <c r="E59" s="3"/>
      <c r="F59" s="3" t="str">
        <f>IFERROR(__xludf.DUMMYFUNCTION("""COMPUTED_VALUE"""),"DB")</f>
        <v>DB</v>
      </c>
      <c r="G59" s="3">
        <f>IFERROR(__xludf.DUMMYFUNCTION("""COMPUTED_VALUE"""),1.3326903257000005E8)</f>
        <v>133269032.6</v>
      </c>
      <c r="H59" s="3"/>
      <c r="I59" s="3"/>
    </row>
    <row r="60">
      <c r="A60" s="7">
        <f>IFERROR(__xludf.DUMMYFUNCTION("""COMPUTED_VALUE"""),46241.0)</f>
        <v>46241</v>
      </c>
      <c r="B60" s="3" t="str">
        <f>IFERROR(__xludf.DUMMYFUNCTION("""COMPUTED_VALUE"""),"TRSF E-BANKING DB")</f>
        <v>TRSF E-BANKING DB</v>
      </c>
      <c r="C60" s="3" t="str">
        <f>IFERROR(__xludf.DUMMYFUNCTION("""COMPUTED_VALUE"""),"0708/FTSCY/WS95271 2070000.00 ANDE DOSO ANGGORO")</f>
        <v>0708/FTSCY/WS95271 2070000.00 ANDE DOSO ANGGORO</v>
      </c>
      <c r="D60" s="3">
        <f>IFERROR(__xludf.DUMMYFUNCTION("""COMPUTED_VALUE"""),2070000.0)</f>
        <v>2070000</v>
      </c>
      <c r="E60" s="3"/>
      <c r="F60" s="3" t="str">
        <f>IFERROR(__xludf.DUMMYFUNCTION("""COMPUTED_VALUE"""),"DB")</f>
        <v>DB</v>
      </c>
      <c r="G60" s="3">
        <f>IFERROR(__xludf.DUMMYFUNCTION("""COMPUTED_VALUE"""),1.3119903257000005E8)</f>
        <v>131199032.6</v>
      </c>
      <c r="H60" s="3"/>
      <c r="I60" s="3"/>
    </row>
    <row r="61">
      <c r="A61" s="7">
        <f>IFERROR(__xludf.DUMMYFUNCTION("""COMPUTED_VALUE"""),46241.0)</f>
        <v>46241</v>
      </c>
      <c r="B61" s="3" t="str">
        <f>IFERROR(__xludf.DUMMYFUNCTION("""COMPUTED_VALUE"""),"TRSF E-BANKING DB")</f>
        <v>TRSF E-BANKING DB</v>
      </c>
      <c r="C61" s="3" t="str">
        <f>IFERROR(__xludf.DUMMYFUNCTION("""COMPUTED_VALUE"""),"0708/FTSCY/WS95271 70409900.00 Tue Aug 04 2026 14:00:00 GMT+0700 (Western Indonesia Time) LAJU SATWA WISESA")</f>
        <v>0708/FTSCY/WS95271 70409900.00 Tue Aug 04 2026 14:00:00 GMT+0700 (Western Indonesia Time) LAJU SATWA WISESA</v>
      </c>
      <c r="D61" s="3">
        <f>IFERROR(__xludf.DUMMYFUNCTION("""COMPUTED_VALUE"""),7.04099E7)</f>
        <v>70409900</v>
      </c>
      <c r="E61" s="3"/>
      <c r="F61" s="3" t="str">
        <f>IFERROR(__xludf.DUMMYFUNCTION("""COMPUTED_VALUE"""),"DB")</f>
        <v>DB</v>
      </c>
      <c r="G61" s="3">
        <f>IFERROR(__xludf.DUMMYFUNCTION("""COMPUTED_VALUE"""),6.078913257000005E7)</f>
        <v>60789132.57</v>
      </c>
      <c r="H61" s="3">
        <f>IFERROR(__xludf.DUMMYFUNCTION("""COMPUTED_VALUE"""),6.078913257E7)</f>
        <v>60789132.57</v>
      </c>
      <c r="I61" s="3"/>
    </row>
    <row r="62">
      <c r="A62" s="7">
        <f>IFERROR(__xludf.DUMMYFUNCTION("""COMPUTED_VALUE"""),46241.0)</f>
        <v>46241</v>
      </c>
      <c r="B62" s="3" t="str">
        <f>IFERROR(__xludf.DUMMYFUNCTION("""COMPUTED_VALUE"""),"TRSF E-BANKING DB")</f>
        <v>TRSF E-BANKING DB</v>
      </c>
      <c r="C62" s="3" t="str">
        <f>IFERROR(__xludf.DUMMYFUNCTION("""COMPUTED_VALUE"""),"0708/FTSCY/WS95271 56025000.00 Wed Aug 05 2026 14:00:00 GMT+0700 (Western Indonesia Time) ANUGERAH KARTIKA A")</f>
        <v>0708/FTSCY/WS95271 56025000.00 Wed Aug 05 2026 14:00:00 GMT+0700 (Western Indonesia Time) ANUGERAH KARTIKA A</v>
      </c>
      <c r="D62" s="3">
        <f>IFERROR(__xludf.DUMMYFUNCTION("""COMPUTED_VALUE"""),5.6025E7)</f>
        <v>56025000</v>
      </c>
      <c r="E62" s="3"/>
      <c r="F62" s="3" t="str">
        <f>IFERROR(__xludf.DUMMYFUNCTION("""COMPUTED_VALUE"""),"DB")</f>
        <v>DB</v>
      </c>
      <c r="G62" s="3">
        <f>IFERROR(__xludf.DUMMYFUNCTION("""COMPUTED_VALUE"""),4764132.570000052)</f>
        <v>4764132.57</v>
      </c>
      <c r="H62" s="3">
        <f>IFERROR(__xludf.DUMMYFUNCTION("""COMPUTED_VALUE"""),4764132.57)</f>
        <v>4764132.57</v>
      </c>
      <c r="I62" s="3"/>
    </row>
    <row r="63">
      <c r="A63" s="7">
        <f>IFERROR(__xludf.DUMMYFUNCTION("""COMPUTED_VALUE"""),46241.0)</f>
        <v>46241</v>
      </c>
      <c r="B63" s="3" t="str">
        <f>IFERROR(__xludf.DUMMYFUNCTION("""COMPUTED_VALUE"""),"TARIKAN ATM 07/08")</f>
        <v>TARIKAN ATM 07/08</v>
      </c>
      <c r="C63" s="3" t="str">
        <f>IFERROR(__xludf.DUMMYFUNCTION("""COMPUTED_VALUE"""),"TARIKAN ATM 07/08")</f>
        <v>TARIKAN ATM 07/08</v>
      </c>
      <c r="D63" s="3">
        <f>IFERROR(__xludf.DUMMYFUNCTION("""COMPUTED_VALUE"""),300000.0)</f>
        <v>300000</v>
      </c>
      <c r="E63" s="3"/>
      <c r="F63" s="3"/>
      <c r="G63" s="3">
        <f>IFERROR(__xludf.DUMMYFUNCTION("""COMPUTED_VALUE"""),2.7839289257000005E8)</f>
        <v>278392892.6</v>
      </c>
      <c r="H63" s="3"/>
      <c r="I63" s="3"/>
    </row>
    <row r="64">
      <c r="A64" s="7">
        <f>IFERROR(__xludf.DUMMYFUNCTION("""COMPUTED_VALUE"""),46241.0)</f>
        <v>46241</v>
      </c>
      <c r="B64" s="3" t="str">
        <f>IFERROR(__xludf.DUMMYFUNCTION("""COMPUTED_VALUE"""),"TRSF E-BANKING DB")</f>
        <v>TRSF E-BANKING DB</v>
      </c>
      <c r="C64" s="3" t="str">
        <f>IFERROR(__xludf.DUMMYFUNCTION("""COMPUTED_VALUE"""),"0708/FTSCY/WS95031 40000.00 ANGGA ANDRI AGASIH")</f>
        <v>0708/FTSCY/WS95031 40000.00 ANGGA ANDRI AGASIH</v>
      </c>
      <c r="D64" s="3">
        <f>IFERROR(__xludf.DUMMYFUNCTION("""COMPUTED_VALUE"""),40000.0)</f>
        <v>40000</v>
      </c>
      <c r="E64" s="3"/>
      <c r="F64" s="3" t="str">
        <f>IFERROR(__xludf.DUMMYFUNCTION("""COMPUTED_VALUE"""),"DB")</f>
        <v>DB</v>
      </c>
      <c r="G64" s="3">
        <f>IFERROR(__xludf.DUMMYFUNCTION("""COMPUTED_VALUE"""),3.5707589257000005E8)</f>
        <v>357075892.6</v>
      </c>
      <c r="H64" s="3"/>
      <c r="I64" s="3"/>
    </row>
    <row r="65">
      <c r="A65" s="7">
        <f>IFERROR(__xludf.DUMMYFUNCTION("""COMPUTED_VALUE"""),46241.0)</f>
        <v>46241</v>
      </c>
      <c r="B65" s="3" t="str">
        <f>IFERROR(__xludf.DUMMYFUNCTION("""COMPUTED_VALUE"""),"TRSF E-BANKING DB")</f>
        <v>TRSF E-BANKING DB</v>
      </c>
      <c r="C65" s="3" t="str">
        <f>IFERROR(__xludf.DUMMYFUNCTION("""COMPUTED_VALUE"""),"0708/FTSCY/WS95271 65654000.00 Tue Aug 04 2026 14:00:00 GMT+0700 (Western Indonesia Time) ANDALAN YASA MITRA")</f>
        <v>0708/FTSCY/WS95271 65654000.00 Tue Aug 04 2026 14:00:00 GMT+0700 (Western Indonesia Time) ANDALAN YASA MITRA</v>
      </c>
      <c r="D65" s="3">
        <f>IFERROR(__xludf.DUMMYFUNCTION("""COMPUTED_VALUE"""),6.5654E7)</f>
        <v>65654000</v>
      </c>
      <c r="E65" s="3"/>
      <c r="F65" s="3" t="str">
        <f>IFERROR(__xludf.DUMMYFUNCTION("""COMPUTED_VALUE"""),"DB")</f>
        <v>DB</v>
      </c>
      <c r="G65" s="3">
        <f>IFERROR(__xludf.DUMMYFUNCTION("""COMPUTED_VALUE"""),2.9142189257000005E8)</f>
        <v>291421892.6</v>
      </c>
      <c r="H65" s="3"/>
      <c r="I65" s="3"/>
    </row>
    <row r="66">
      <c r="A66" s="7">
        <f>IFERROR(__xludf.DUMMYFUNCTION("""COMPUTED_VALUE"""),46241.0)</f>
        <v>46241</v>
      </c>
      <c r="B66" s="3" t="str">
        <f>IFERROR(__xludf.DUMMYFUNCTION("""COMPUTED_VALUE"""),"TRSF E-BANKING DB")</f>
        <v>TRSF E-BANKING DB</v>
      </c>
      <c r="C66" s="3" t="str">
        <f>IFERROR(__xludf.DUMMYFUNCTION("""COMPUTED_VALUE"""),"0708/FTSCY/WS95011 159940200.00 Wed Aug 05 2026 14:00:00 GMT+0700 (Western Indonesia Time) BINTANG TAMA SANTO")</f>
        <v>0708/FTSCY/WS95011 159940200.00 Wed Aug 05 2026 14:00:00 GMT+0700 (Western Indonesia Time) BINTANG TAMA SANTO</v>
      </c>
      <c r="D66" s="3">
        <f>IFERROR(__xludf.DUMMYFUNCTION("""COMPUTED_VALUE"""),1.599402E8)</f>
        <v>159940200</v>
      </c>
      <c r="E66" s="3"/>
      <c r="F66" s="3" t="str">
        <f>IFERROR(__xludf.DUMMYFUNCTION("""COMPUTED_VALUE"""),"DB")</f>
        <v>DB</v>
      </c>
      <c r="G66" s="3">
        <f>IFERROR(__xludf.DUMMYFUNCTION("""COMPUTED_VALUE"""),4.0482329257000005E8)</f>
        <v>404823292.6</v>
      </c>
      <c r="H66" s="3"/>
      <c r="I66" s="3"/>
    </row>
    <row r="67">
      <c r="A67" s="7">
        <f>IFERROR(__xludf.DUMMYFUNCTION("""COMPUTED_VALUE"""),46241.0)</f>
        <v>46241</v>
      </c>
      <c r="B67" s="3" t="str">
        <f>IFERROR(__xludf.DUMMYFUNCTION("""COMPUTED_VALUE"""),"TRSF E-BANKING DB")</f>
        <v>TRSF E-BANKING DB</v>
      </c>
      <c r="C67" s="3" t="str">
        <f>IFERROR(__xludf.DUMMYFUNCTION("""COMPUTED_VALUE"""),"0708/FTSCY/WS95011 73000000.00 pelunasan ANDALAN YASA MITRA")</f>
        <v>0708/FTSCY/WS95011 73000000.00 pelunasan ANDALAN YASA MITRA</v>
      </c>
      <c r="D67" s="3">
        <f>IFERROR(__xludf.DUMMYFUNCTION("""COMPUTED_VALUE"""),7.3E7)</f>
        <v>73000000</v>
      </c>
      <c r="E67" s="3"/>
      <c r="F67" s="3" t="str">
        <f>IFERROR(__xludf.DUMMYFUNCTION("""COMPUTED_VALUE"""),"DB")</f>
        <v>DB</v>
      </c>
      <c r="G67" s="3">
        <f>IFERROR(__xludf.DUMMYFUNCTION("""COMPUTED_VALUE"""),6.6229946357E8)</f>
        <v>662299463.6</v>
      </c>
      <c r="H67" s="3"/>
      <c r="I67" s="3"/>
    </row>
    <row r="68">
      <c r="A68" s="7">
        <f>IFERROR(__xludf.DUMMYFUNCTION("""COMPUTED_VALUE"""),46241.0)</f>
        <v>46241</v>
      </c>
      <c r="B68" s="3" t="str">
        <f>IFERROR(__xludf.DUMMYFUNCTION("""COMPUTED_VALUE"""),"TRSF E-BANKING DB")</f>
        <v>TRSF E-BANKING DB</v>
      </c>
      <c r="C68" s="3" t="str">
        <f>IFERROR(__xludf.DUMMYFUNCTION("""COMPUTED_VALUE"""),"0708/FTSCY/WS95011 144690000.00 peluanasan TUMBUH OPTIMAL PRI")</f>
        <v>0708/FTSCY/WS95011 144690000.00 peluanasan TUMBUH OPTIMAL PRI</v>
      </c>
      <c r="D68" s="3">
        <f>IFERROR(__xludf.DUMMYFUNCTION("""COMPUTED_VALUE"""),1.4469E8)</f>
        <v>144690000</v>
      </c>
      <c r="E68" s="3"/>
      <c r="F68" s="3" t="str">
        <f>IFERROR(__xludf.DUMMYFUNCTION("""COMPUTED_VALUE"""),"DB")</f>
        <v>DB</v>
      </c>
      <c r="G68" s="3">
        <f>IFERROR(__xludf.DUMMYFUNCTION("""COMPUTED_VALUE"""),5.1760946357000005E8)</f>
        <v>517609463.6</v>
      </c>
      <c r="H68" s="3">
        <f>IFERROR(__xludf.DUMMYFUNCTION("""COMPUTED_VALUE"""),5.1760946357E8)</f>
        <v>517609463.6</v>
      </c>
      <c r="I68" s="3"/>
    </row>
    <row r="69">
      <c r="A69" s="7">
        <f>IFERROR(__xludf.DUMMYFUNCTION("""COMPUTED_VALUE"""),46241.0)</f>
        <v>46241</v>
      </c>
      <c r="B69" s="3" t="str">
        <f>IFERROR(__xludf.DUMMYFUNCTION("""COMPUTED_VALUE"""),"TRSF E-BANKING DB")</f>
        <v>TRSF E-BANKING DB</v>
      </c>
      <c r="C69" s="3" t="str">
        <f>IFERROR(__xludf.DUMMYFUNCTION("""COMPUTED_VALUE"""),"0708/FTSCY/WS95011 60401250.00 Tue Aug 04 2026 14:00:00 GMT+0700 (Western Indonesia Time) ANUGERAH KARTIKA A")</f>
        <v>0708/FTSCY/WS95011 60401250.00 Tue Aug 04 2026 14:00:00 GMT+0700 (Western Indonesia Time) ANUGERAH KARTIKA A</v>
      </c>
      <c r="D69" s="3">
        <f>IFERROR(__xludf.DUMMYFUNCTION("""COMPUTED_VALUE"""),6.040125E7)</f>
        <v>60401250</v>
      </c>
      <c r="E69" s="3"/>
      <c r="F69" s="3" t="str">
        <f>IFERROR(__xludf.DUMMYFUNCTION("""COMPUTED_VALUE"""),"DB")</f>
        <v>DB</v>
      </c>
      <c r="G69" s="3">
        <f>IFERROR(__xludf.DUMMYFUNCTION("""COMPUTED_VALUE"""),4.5720821357000005E8)</f>
        <v>457208213.6</v>
      </c>
      <c r="H69" s="3">
        <f>IFERROR(__xludf.DUMMYFUNCTION("""COMPUTED_VALUE"""),4.5720821357E8)</f>
        <v>457208213.6</v>
      </c>
      <c r="I69" s="3"/>
    </row>
    <row r="70">
      <c r="A70" s="7">
        <f>IFERROR(__xludf.DUMMYFUNCTION("""COMPUTED_VALUE"""),46241.0)</f>
        <v>46241</v>
      </c>
      <c r="B70" s="3" t="str">
        <f>IFERROR(__xludf.DUMMYFUNCTION("""COMPUTED_VALUE"""),"TRSF E-BANKING DB")</f>
        <v>TRSF E-BANKING DB</v>
      </c>
      <c r="C70" s="3" t="str">
        <f>IFERROR(__xludf.DUMMYFUNCTION("""COMPUTED_VALUE"""),"0708/FTSCY/WS95031 15000000.00 EKO SETIYAWAN")</f>
        <v>0708/FTSCY/WS95031 15000000.00 EKO SETIYAWAN</v>
      </c>
      <c r="D70" s="3">
        <f>IFERROR(__xludf.DUMMYFUNCTION("""COMPUTED_VALUE"""),1.5E7)</f>
        <v>15000000</v>
      </c>
      <c r="E70" s="3"/>
      <c r="F70" s="3" t="str">
        <f>IFERROR(__xludf.DUMMYFUNCTION("""COMPUTED_VALUE"""),"DB")</f>
        <v>DB</v>
      </c>
      <c r="G70" s="3">
        <f>IFERROR(__xludf.DUMMYFUNCTION("""COMPUTED_VALUE"""),4.4220821357000005E8)</f>
        <v>442208213.6</v>
      </c>
      <c r="H70" s="3"/>
      <c r="I70" s="3"/>
    </row>
    <row r="71">
      <c r="A71" s="7">
        <f>IFERROR(__xludf.DUMMYFUNCTION("""COMPUTED_VALUE"""),46241.0)</f>
        <v>46241</v>
      </c>
      <c r="B71" s="3" t="str">
        <f>IFERROR(__xludf.DUMMYFUNCTION("""COMPUTED_VALUE"""),"KARTU DEBIT")</f>
        <v>KARTU DEBIT</v>
      </c>
      <c r="C71" s="3" t="str">
        <f>IFERROR(__xludf.DUMMYFUNCTION("""COMPUTED_VALUE"""),"NICO JEMBER TOKO-H 6019009510239343")</f>
        <v>NICO JEMBER TOKO-H 6019009510239343</v>
      </c>
      <c r="D71" s="3">
        <f>IFERROR(__xludf.DUMMYFUNCTION("""COMPUTED_VALUE"""),133500.0)</f>
        <v>133500</v>
      </c>
      <c r="E71" s="3"/>
      <c r="F71" s="3"/>
      <c r="G71" s="3">
        <f>IFERROR(__xludf.DUMMYFUNCTION("""COMPUTED_VALUE"""),4.4207471357000005E8)</f>
        <v>442074713.6</v>
      </c>
      <c r="H71" s="3"/>
      <c r="I71" s="3"/>
    </row>
    <row r="72">
      <c r="A72" s="7">
        <f>IFERROR(__xludf.DUMMYFUNCTION("""COMPUTED_VALUE"""),46241.0)</f>
        <v>46241</v>
      </c>
      <c r="B72" s="3" t="str">
        <f>IFERROR(__xludf.DUMMYFUNCTION("""COMPUTED_VALUE"""),"KARTU DEBIT")</f>
        <v>KARTU DEBIT</v>
      </c>
      <c r="C72" s="3" t="str">
        <f>IFERROR(__xludf.DUMMYFUNCTION("""COMPUTED_VALUE"""),"CONATO BAKERY NICO 6019009510239343")</f>
        <v>CONATO BAKERY NICO 6019009510239343</v>
      </c>
      <c r="D72" s="3">
        <f>IFERROR(__xludf.DUMMYFUNCTION("""COMPUTED_VALUE"""),61000.0)</f>
        <v>61000</v>
      </c>
      <c r="E72" s="3"/>
      <c r="F72" s="3"/>
      <c r="G72" s="3">
        <f>IFERROR(__xludf.DUMMYFUNCTION("""COMPUTED_VALUE"""),4.4201371357000005E8)</f>
        <v>442013713.6</v>
      </c>
      <c r="H72" s="3">
        <f>IFERROR(__xludf.DUMMYFUNCTION("""COMPUTED_VALUE"""),4.4201371357E8)</f>
        <v>442013713.6</v>
      </c>
      <c r="I72" s="3"/>
    </row>
    <row r="73">
      <c r="A73" s="7">
        <f>IFERROR(__xludf.DUMMYFUNCTION("""COMPUTED_VALUE"""),46242.0)</f>
        <v>46242</v>
      </c>
      <c r="B73" s="3" t="str">
        <f>IFERROR(__xludf.DUMMYFUNCTION("""COMPUTED_VALUE"""),"TRSF E-BANKING DB")</f>
        <v>TRSF E-BANKING DB</v>
      </c>
      <c r="C73" s="3" t="str">
        <f>IFERROR(__xludf.DUMMYFUNCTION("""COMPUTED_VALUE"""),"0808/FTSCY/WS95031 37779200.00 pelunasan SUGENG RIADI")</f>
        <v>0808/FTSCY/WS95031 37779200.00 pelunasan SUGENG RIADI</v>
      </c>
      <c r="D73" s="3">
        <f>IFERROR(__xludf.DUMMYFUNCTION("""COMPUTED_VALUE"""),3.77792E7)</f>
        <v>37779200</v>
      </c>
      <c r="E73" s="3"/>
      <c r="F73" s="3" t="str">
        <f>IFERROR(__xludf.DUMMYFUNCTION("""COMPUTED_VALUE"""),"DB")</f>
        <v>DB</v>
      </c>
      <c r="G73" s="3">
        <f>IFERROR(__xludf.DUMMYFUNCTION("""COMPUTED_VALUE"""),4.0423451357000005E8)</f>
        <v>404234513.6</v>
      </c>
      <c r="H73" s="3"/>
      <c r="I73" s="3"/>
    </row>
    <row r="74">
      <c r="A74" s="7">
        <f>IFERROR(__xludf.DUMMYFUNCTION("""COMPUTED_VALUE"""),46242.0)</f>
        <v>46242</v>
      </c>
      <c r="B74" s="3" t="str">
        <f>IFERROR(__xludf.DUMMYFUNCTION("""COMPUTED_VALUE"""),"TRSF E-BANKING DB")</f>
        <v>TRSF E-BANKING DB</v>
      </c>
      <c r="C74" s="3" t="str">
        <f>IFERROR(__xludf.DUMMYFUNCTION("""COMPUTED_VALUE"""),"0808/FTSCY/WS95271 78304320.00 Tue Aug 04 2026 14:00:00 GMT+0700 (Western Indonesia Time) ANDALAN YASA MITRA")</f>
        <v>0808/FTSCY/WS95271 78304320.00 Tue Aug 04 2026 14:00:00 GMT+0700 (Western Indonesia Time) ANDALAN YASA MITRA</v>
      </c>
      <c r="D74" s="3">
        <f>IFERROR(__xludf.DUMMYFUNCTION("""COMPUTED_VALUE"""),7.830432E7)</f>
        <v>78304320</v>
      </c>
      <c r="E74" s="3"/>
      <c r="F74" s="3" t="str">
        <f>IFERROR(__xludf.DUMMYFUNCTION("""COMPUTED_VALUE"""),"DB")</f>
        <v>DB</v>
      </c>
      <c r="G74" s="3">
        <f>IFERROR(__xludf.DUMMYFUNCTION("""COMPUTED_VALUE"""),3.2593019357000005E8)</f>
        <v>325930193.6</v>
      </c>
      <c r="H74" s="3"/>
      <c r="I74" s="3"/>
    </row>
    <row r="75">
      <c r="A75" s="7">
        <f>IFERROR(__xludf.DUMMYFUNCTION("""COMPUTED_VALUE"""),46242.0)</f>
        <v>46242</v>
      </c>
      <c r="B75" s="3" t="str">
        <f>IFERROR(__xludf.DUMMYFUNCTION("""COMPUTED_VALUE"""),"TRSF E-BANKING DB")</f>
        <v>TRSF E-BANKING DB</v>
      </c>
      <c r="C75" s="3" t="str">
        <f>IFERROR(__xludf.DUMMYFUNCTION("""COMPUTED_VALUE"""),"0808/FTSCY/WS95271 120218000.00 Thu Aug 06 2026 14:00:00 GMT+0700 (Western Indonesia Time) BINTANG TAMA SANTO")</f>
        <v>0808/FTSCY/WS95271 120218000.00 Thu Aug 06 2026 14:00:00 GMT+0700 (Western Indonesia Time) BINTANG TAMA SANTO</v>
      </c>
      <c r="D75" s="3">
        <f>IFERROR(__xludf.DUMMYFUNCTION("""COMPUTED_VALUE"""),1.20218E8)</f>
        <v>120218000</v>
      </c>
      <c r="E75" s="3"/>
      <c r="F75" s="3" t="str">
        <f>IFERROR(__xludf.DUMMYFUNCTION("""COMPUTED_VALUE"""),"DB")</f>
        <v>DB</v>
      </c>
      <c r="G75" s="3">
        <f>IFERROR(__xludf.DUMMYFUNCTION("""COMPUTED_VALUE"""),1.9423956357000005E8)</f>
        <v>194239563.6</v>
      </c>
      <c r="H75" s="3"/>
      <c r="I75" s="3"/>
    </row>
    <row r="76">
      <c r="A76" s="7">
        <f>IFERROR(__xludf.DUMMYFUNCTION("""COMPUTED_VALUE"""),46242.0)</f>
        <v>46242</v>
      </c>
      <c r="B76" s="3" t="str">
        <f>IFERROR(__xludf.DUMMYFUNCTION("""COMPUTED_VALUE"""),"TRSF E-BANKING DB")</f>
        <v>TRSF E-BANKING DB</v>
      </c>
      <c r="C76" s="3" t="str">
        <f>IFERROR(__xludf.DUMMYFUNCTION("""COMPUTED_VALUE"""),"0808/FTSCY/WS95271 73550000.00 Thu Aug 06 2026 14:00:00 GMT+0700 (Western Indonesia Time) BINTANG TAMA SANTO")</f>
        <v>0808/FTSCY/WS95271 73550000.00 Thu Aug 06 2026 14:00:00 GMT+0700 (Western Indonesia Time) BINTANG TAMA SANTO</v>
      </c>
      <c r="D76" s="3">
        <f>IFERROR(__xludf.DUMMYFUNCTION("""COMPUTED_VALUE"""),7.355E7)</f>
        <v>73550000</v>
      </c>
      <c r="E76" s="3"/>
      <c r="F76" s="3" t="str">
        <f>IFERROR(__xludf.DUMMYFUNCTION("""COMPUTED_VALUE"""),"DB")</f>
        <v>DB</v>
      </c>
      <c r="G76" s="3">
        <f>IFERROR(__xludf.DUMMYFUNCTION("""COMPUTED_VALUE"""),1.2068956357000005E8)</f>
        <v>120689563.6</v>
      </c>
      <c r="H76" s="3"/>
      <c r="I76" s="3"/>
    </row>
    <row r="77">
      <c r="A77" s="7">
        <f>IFERROR(__xludf.DUMMYFUNCTION("""COMPUTED_VALUE"""),46242.0)</f>
        <v>46242</v>
      </c>
      <c r="B77" s="3" t="str">
        <f>IFERROR(__xludf.DUMMYFUNCTION("""COMPUTED_VALUE"""),"TRSF E-BANKING DB")</f>
        <v>TRSF E-BANKING DB</v>
      </c>
      <c r="C77" s="3" t="str">
        <f>IFERROR(__xludf.DUMMYFUNCTION("""COMPUTED_VALUE"""),"0808/FTSCY/WS95271 18451440.00 Thu Aug 06 2026 14:00:00 GMT+0700 (Western Indonesia Time) ANUGERAH KARTIKA A")</f>
        <v>0808/FTSCY/WS95271 18451440.00 Thu Aug 06 2026 14:00:00 GMT+0700 (Western Indonesia Time) ANUGERAH KARTIKA A</v>
      </c>
      <c r="D77" s="3">
        <f>IFERROR(__xludf.DUMMYFUNCTION("""COMPUTED_VALUE"""),1.845144E7)</f>
        <v>18451440</v>
      </c>
      <c r="E77" s="3"/>
      <c r="F77" s="3" t="str">
        <f>IFERROR(__xludf.DUMMYFUNCTION("""COMPUTED_VALUE"""),"DB")</f>
        <v>DB</v>
      </c>
      <c r="G77" s="3">
        <f>IFERROR(__xludf.DUMMYFUNCTION("""COMPUTED_VALUE"""),1.0223812357000005E8)</f>
        <v>102238123.6</v>
      </c>
      <c r="H77" s="3"/>
      <c r="I77" s="3"/>
    </row>
    <row r="78">
      <c r="A78" s="7">
        <f>IFERROR(__xludf.DUMMYFUNCTION("""COMPUTED_VALUE"""),46242.0)</f>
        <v>46242</v>
      </c>
      <c r="B78" s="3" t="str">
        <f>IFERROR(__xludf.DUMMYFUNCTION("""COMPUTED_VALUE"""),"TRSF E-BANKING DB")</f>
        <v>TRSF E-BANKING DB</v>
      </c>
      <c r="C78" s="3" t="str">
        <f>IFERROR(__xludf.DUMMYFUNCTION("""COMPUTED_VALUE"""),"0808/FTSCY/WS95011 80021500.00 pelunasan BERLIAN UNGGUL JAY")</f>
        <v>0808/FTSCY/WS95011 80021500.00 pelunasan BERLIAN UNGGUL JAY</v>
      </c>
      <c r="D78" s="3">
        <f>IFERROR(__xludf.DUMMYFUNCTION("""COMPUTED_VALUE"""),8.00215E7)</f>
        <v>80021500</v>
      </c>
      <c r="E78" s="3"/>
      <c r="F78" s="3" t="str">
        <f>IFERROR(__xludf.DUMMYFUNCTION("""COMPUTED_VALUE"""),"DB")</f>
        <v>DB</v>
      </c>
      <c r="G78" s="3">
        <f>IFERROR(__xludf.DUMMYFUNCTION("""COMPUTED_VALUE"""),3.6678425357000005E8)</f>
        <v>366784253.6</v>
      </c>
      <c r="H78" s="3">
        <f>IFERROR(__xludf.DUMMYFUNCTION("""COMPUTED_VALUE"""),3.6678425357E8)</f>
        <v>366784253.6</v>
      </c>
      <c r="I78" s="3"/>
    </row>
    <row r="79">
      <c r="A79" s="7">
        <f>IFERROR(__xludf.DUMMYFUNCTION("""COMPUTED_VALUE"""),46242.0)</f>
        <v>46242</v>
      </c>
      <c r="B79" s="3" t="str">
        <f>IFERROR(__xludf.DUMMYFUNCTION("""COMPUTED_VALUE"""),"TRSF E-BANKING DB")</f>
        <v>TRSF E-BANKING DB</v>
      </c>
      <c r="C79" s="3" t="str">
        <f>IFERROR(__xludf.DUMMYFUNCTION("""COMPUTED_VALUE"""),"0808/FTSCY/WS95011 40000000.00 pelunasan ANUGERAH KARTIKA A")</f>
        <v>0808/FTSCY/WS95011 40000000.00 pelunasan ANUGERAH KARTIKA A</v>
      </c>
      <c r="D79" s="3">
        <f>IFERROR(__xludf.DUMMYFUNCTION("""COMPUTED_VALUE"""),4.0E7)</f>
        <v>40000000</v>
      </c>
      <c r="E79" s="3"/>
      <c r="F79" s="3" t="str">
        <f>IFERROR(__xludf.DUMMYFUNCTION("""COMPUTED_VALUE"""),"DB")</f>
        <v>DB</v>
      </c>
      <c r="G79" s="3">
        <f>IFERROR(__xludf.DUMMYFUNCTION("""COMPUTED_VALUE"""),3.2678425357000005E8)</f>
        <v>326784253.6</v>
      </c>
      <c r="H79" s="3">
        <f>IFERROR(__xludf.DUMMYFUNCTION("""COMPUTED_VALUE"""),3.2678425357E8)</f>
        <v>326784253.6</v>
      </c>
      <c r="I79" s="3"/>
    </row>
    <row r="80">
      <c r="A80" s="7">
        <f>IFERROR(__xludf.DUMMYFUNCTION("""COMPUTED_VALUE"""),46242.0)</f>
        <v>46242</v>
      </c>
      <c r="B80" s="3" t="str">
        <f>IFERROR(__xludf.DUMMYFUNCTION("""COMPUTED_VALUE"""),"TRSF E-BANKING DB")</f>
        <v>TRSF E-BANKING DB</v>
      </c>
      <c r="C80" s="3" t="str">
        <f>IFERROR(__xludf.DUMMYFUNCTION("""COMPUTED_VALUE"""),"0808/FTFVA/WS95031 12608/SHOPEE - - 5335263590")</f>
        <v>0808/FTFVA/WS95031 12608/SHOPEE - - 5335263590</v>
      </c>
      <c r="D80" s="3">
        <f>IFERROR(__xludf.DUMMYFUNCTION("""COMPUTED_VALUE"""),36200.0)</f>
        <v>36200</v>
      </c>
      <c r="E80" s="3"/>
      <c r="F80" s="3" t="str">
        <f>IFERROR(__xludf.DUMMYFUNCTION("""COMPUTED_VALUE"""),"DB")</f>
        <v>DB</v>
      </c>
      <c r="G80" s="3">
        <f>IFERROR(__xludf.DUMMYFUNCTION("""COMPUTED_VALUE"""),3.2674805357000005E8)</f>
        <v>326748053.6</v>
      </c>
      <c r="H80" s="3"/>
      <c r="I80" s="3"/>
    </row>
    <row r="81">
      <c r="A81" s="7">
        <f>IFERROR(__xludf.DUMMYFUNCTION("""COMPUTED_VALUE"""),46242.0)</f>
        <v>46242</v>
      </c>
      <c r="B81" s="3" t="str">
        <f>IFERROR(__xludf.DUMMYFUNCTION("""COMPUTED_VALUE"""),"TRSF E-BANKING DB")</f>
        <v>TRSF E-BANKING DB</v>
      </c>
      <c r="C81" s="3" t="str">
        <f>IFERROR(__xludf.DUMMYFUNCTION("""COMPUTED_VALUE"""),"0808/FTSCY/WS95011 73550000.00 Thu Aug 06 2026 14:00:00 GMT+0700 (Western Indonesia Time) BINTANG TAMA SANTO")</f>
        <v>0808/FTSCY/WS95011 73550000.00 Thu Aug 06 2026 14:00:00 GMT+0700 (Western Indonesia Time) BINTANG TAMA SANTO</v>
      </c>
      <c r="D81" s="3">
        <f>IFERROR(__xludf.DUMMYFUNCTION("""COMPUTED_VALUE"""),7.355E7)</f>
        <v>73550000</v>
      </c>
      <c r="E81" s="3"/>
      <c r="F81" s="3" t="str">
        <f>IFERROR(__xludf.DUMMYFUNCTION("""COMPUTED_VALUE"""),"DB")</f>
        <v>DB</v>
      </c>
      <c r="G81" s="3">
        <f>IFERROR(__xludf.DUMMYFUNCTION("""COMPUTED_VALUE"""),2.5319805357000005E8)</f>
        <v>253198053.6</v>
      </c>
      <c r="H81" s="3"/>
      <c r="I81" s="3"/>
    </row>
    <row r="82">
      <c r="A82" s="7">
        <f>IFERROR(__xludf.DUMMYFUNCTION("""COMPUTED_VALUE"""),46242.0)</f>
        <v>46242</v>
      </c>
      <c r="B82" s="3" t="str">
        <f>IFERROR(__xludf.DUMMYFUNCTION("""COMPUTED_VALUE"""),"TRSF E-BANKING DB")</f>
        <v>TRSF E-BANKING DB</v>
      </c>
      <c r="C82" s="3" t="str">
        <f>IFERROR(__xludf.DUMMYFUNCTION("""COMPUTED_VALUE"""),"0808/FTSCY/WS95011 76484100.00 Thu Aug 06 2026 14:00:00 GMT+0700 (Western Indonesia Time) SUPER UNGGAS JAYA")</f>
        <v>0808/FTSCY/WS95011 76484100.00 Thu Aug 06 2026 14:00:00 GMT+0700 (Western Indonesia Time) SUPER UNGGAS JAYA</v>
      </c>
      <c r="D82" s="3">
        <f>IFERROR(__xludf.DUMMYFUNCTION("""COMPUTED_VALUE"""),7.64841E7)</f>
        <v>76484100</v>
      </c>
      <c r="E82" s="3"/>
      <c r="F82" s="3" t="str">
        <f>IFERROR(__xludf.DUMMYFUNCTION("""COMPUTED_VALUE"""),"DB")</f>
        <v>DB</v>
      </c>
      <c r="G82" s="3">
        <f>IFERROR(__xludf.DUMMYFUNCTION("""COMPUTED_VALUE"""),1.7671395357000005E8)</f>
        <v>176713953.6</v>
      </c>
      <c r="H82" s="3"/>
      <c r="I82" s="3"/>
    </row>
    <row r="83">
      <c r="A83" s="7">
        <f>IFERROR(__xludf.DUMMYFUNCTION("""COMPUTED_VALUE"""),46242.0)</f>
        <v>46242</v>
      </c>
      <c r="B83" s="3" t="str">
        <f>IFERROR(__xludf.DUMMYFUNCTION("""COMPUTED_VALUE"""),"TRSF E-BANKING DB")</f>
        <v>TRSF E-BANKING DB</v>
      </c>
      <c r="C83" s="3" t="str">
        <f>IFERROR(__xludf.DUMMYFUNCTION("""COMPUTED_VALUE"""),"0808/FTSCY/WS95011 130991540.00 Thu Aug 06 2026 14:00:00 GMT+0700 (Western Indonesia Time) PITIK DIGITAL INDO")</f>
        <v>0808/FTSCY/WS95011 130991540.00 Thu Aug 06 2026 14:00:00 GMT+0700 (Western Indonesia Time) PITIK DIGITAL INDO</v>
      </c>
      <c r="D83" s="3">
        <f>IFERROR(__xludf.DUMMYFUNCTION("""COMPUTED_VALUE"""),1.3099154E8)</f>
        <v>130991540</v>
      </c>
      <c r="E83" s="3"/>
      <c r="F83" s="3" t="str">
        <f>IFERROR(__xludf.DUMMYFUNCTION("""COMPUTED_VALUE"""),"DB")</f>
        <v>DB</v>
      </c>
      <c r="G83" s="3">
        <f>IFERROR(__xludf.DUMMYFUNCTION("""COMPUTED_VALUE"""),4.572241357000005E7)</f>
        <v>45722413.57</v>
      </c>
      <c r="H83" s="3"/>
      <c r="I83" s="3"/>
    </row>
    <row r="84">
      <c r="A84" s="7">
        <f>IFERROR(__xludf.DUMMYFUNCTION("""COMPUTED_VALUE"""),46242.0)</f>
        <v>46242</v>
      </c>
      <c r="B84" s="3" t="str">
        <f>IFERROR(__xludf.DUMMYFUNCTION("""COMPUTED_VALUE"""),"TRSF E-BANKING DB")</f>
        <v>TRSF E-BANKING DB</v>
      </c>
      <c r="C84" s="3" t="str">
        <f>IFERROR(__xludf.DUMMYFUNCTION("""COMPUTED_VALUE"""),"0808/FTSCY/WS95031 20000.00 NURUL AINI")</f>
        <v>0808/FTSCY/WS95031 20000.00 NURUL AINI</v>
      </c>
      <c r="D84" s="3">
        <f>IFERROR(__xludf.DUMMYFUNCTION("""COMPUTED_VALUE"""),20000.0)</f>
        <v>20000</v>
      </c>
      <c r="E84" s="3"/>
      <c r="F84" s="3" t="str">
        <f>IFERROR(__xludf.DUMMYFUNCTION("""COMPUTED_VALUE"""),"DB")</f>
        <v>DB</v>
      </c>
      <c r="G84" s="3">
        <f>IFERROR(__xludf.DUMMYFUNCTION("""COMPUTED_VALUE"""),4.570241357000005E7)</f>
        <v>45702413.57</v>
      </c>
      <c r="H84" s="3"/>
      <c r="I84" s="3"/>
    </row>
    <row r="85">
      <c r="A85" s="7">
        <f>IFERROR(__xludf.DUMMYFUNCTION("""COMPUTED_VALUE"""),46242.0)</f>
        <v>46242</v>
      </c>
      <c r="B85" s="3" t="str">
        <f>IFERROR(__xludf.DUMMYFUNCTION("""COMPUTED_VALUE"""),"KARTU DEBIT")</f>
        <v>KARTU DEBIT</v>
      </c>
      <c r="C85" s="3" t="str">
        <f>IFERROR(__xludf.DUMMYFUNCTION("""COMPUTED_VALUE"""),"ALFAMRT Y207 BRTN 6019009510239343")</f>
        <v>ALFAMRT Y207 BRTN 6019009510239343</v>
      </c>
      <c r="D85" s="3">
        <f>IFERROR(__xludf.DUMMYFUNCTION("""COMPUTED_VALUE"""),72300.0)</f>
        <v>72300</v>
      </c>
      <c r="E85" s="3"/>
      <c r="F85" s="3"/>
      <c r="G85" s="3">
        <f>IFERROR(__xludf.DUMMYFUNCTION("""COMPUTED_VALUE"""),2.4659321357000005E8)</f>
        <v>246593213.6</v>
      </c>
      <c r="H85" s="3"/>
      <c r="I85" s="3"/>
    </row>
    <row r="86">
      <c r="A86" s="7">
        <f>IFERROR(__xludf.DUMMYFUNCTION("""COMPUTED_VALUE"""),46242.0)</f>
        <v>46242</v>
      </c>
      <c r="B86" s="3" t="str">
        <f>IFERROR(__xludf.DUMMYFUNCTION("""COMPUTED_VALUE"""),"TRSF E-BANKING DB")</f>
        <v>TRSF E-BANKING DB</v>
      </c>
      <c r="C86" s="3" t="str">
        <f>IFERROR(__xludf.DUMMYFUNCTION("""COMPUTED_VALUE"""),"0808/FTFVA/WS95031 55569/PT PRIMA FAJ pelunasan - 40190")</f>
        <v>0808/FTFVA/WS95031 55569/PT PRIMA FAJ pelunasan - 40190</v>
      </c>
      <c r="D86" s="3">
        <f>IFERROR(__xludf.DUMMYFUNCTION("""COMPUTED_VALUE"""),5.327585E7)</f>
        <v>53275850</v>
      </c>
      <c r="E86" s="3"/>
      <c r="F86" s="3" t="str">
        <f>IFERROR(__xludf.DUMMYFUNCTION("""COMPUTED_VALUE"""),"DB")</f>
        <v>DB</v>
      </c>
      <c r="G86" s="3">
        <f>IFERROR(__xludf.DUMMYFUNCTION("""COMPUTED_VALUE"""),3.2438012557000005E8)</f>
        <v>324380125.6</v>
      </c>
      <c r="H86" s="3"/>
      <c r="I86" s="3"/>
    </row>
    <row r="87">
      <c r="A87" s="7">
        <f>IFERROR(__xludf.DUMMYFUNCTION("""COMPUTED_VALUE"""),46242.0)</f>
        <v>46242</v>
      </c>
      <c r="B87" s="3" t="str">
        <f>IFERROR(__xludf.DUMMYFUNCTION("""COMPUTED_VALUE"""),"BI-FAST DB")</f>
        <v>BI-FAST DB</v>
      </c>
      <c r="C87" s="3" t="str">
        <f>IFERROR(__xludf.DUMMYFUNCTION("""COMPUTED_VALUE"""),"BIF TRANSFER KE 2 NUR YAHYA MyBCA")</f>
        <v>BIF TRANSFER KE 2 NUR YAHYA MyBCA</v>
      </c>
      <c r="D87" s="3">
        <f>IFERROR(__xludf.DUMMYFUNCTION("""COMPUTED_VALUE"""),2039400.0)</f>
        <v>2039400</v>
      </c>
      <c r="E87" s="3"/>
      <c r="F87" s="3" t="str">
        <f>IFERROR(__xludf.DUMMYFUNCTION("""COMPUTED_VALUE"""),"DB")</f>
        <v>DB</v>
      </c>
      <c r="G87" s="3">
        <f>IFERROR(__xludf.DUMMYFUNCTION("""COMPUTED_VALUE"""),3.2234072557000005E8)</f>
        <v>322340725.6</v>
      </c>
      <c r="H87" s="3"/>
      <c r="I87" s="3"/>
    </row>
    <row r="88">
      <c r="A88" s="7">
        <f>IFERROR(__xludf.DUMMYFUNCTION("""COMPUTED_VALUE"""),46242.0)</f>
        <v>46242</v>
      </c>
      <c r="B88" s="3" t="str">
        <f>IFERROR(__xludf.DUMMYFUNCTION("""COMPUTED_VALUE"""),"BI-FAST DB")</f>
        <v>BI-FAST DB</v>
      </c>
      <c r="C88" s="3" t="str">
        <f>IFERROR(__xludf.DUMMYFUNCTION("""COMPUTED_VALUE"""),"BIF BIAYA TXN KE 2 NUR YAHYA MyBCA")</f>
        <v>BIF BIAYA TXN KE 2 NUR YAHYA MyBCA</v>
      </c>
      <c r="D88" s="3">
        <f>IFERROR(__xludf.DUMMYFUNCTION("""COMPUTED_VALUE"""),2500.0)</f>
        <v>2500</v>
      </c>
      <c r="E88" s="3"/>
      <c r="F88" s="3" t="str">
        <f>IFERROR(__xludf.DUMMYFUNCTION("""COMPUTED_VALUE"""),"DB")</f>
        <v>DB</v>
      </c>
      <c r="G88" s="3">
        <f>IFERROR(__xludf.DUMMYFUNCTION("""COMPUTED_VALUE"""),3.2233822557000005E8)</f>
        <v>322338225.6</v>
      </c>
      <c r="H88" s="3">
        <f>IFERROR(__xludf.DUMMYFUNCTION("""COMPUTED_VALUE"""),3.2233822557E8)</f>
        <v>322338225.6</v>
      </c>
      <c r="I88" s="3"/>
    </row>
    <row r="89">
      <c r="A89" s="7">
        <f>IFERROR(__xludf.DUMMYFUNCTION("""COMPUTED_VALUE"""),46242.0)</f>
        <v>46242</v>
      </c>
      <c r="B89" s="3" t="str">
        <f>IFERROR(__xludf.DUMMYFUNCTION("""COMPUTED_VALUE"""),"TRSF E-BANKING DB")</f>
        <v>TRSF E-BANKING DB</v>
      </c>
      <c r="C89" s="3" t="str">
        <f>IFERROR(__xludf.DUMMYFUNCTION("""COMPUTED_VALUE"""),"0808/FTSCY/WS95271 2560500.00 DWI HERMANSYAH")</f>
        <v>0808/FTSCY/WS95271 2560500.00 DWI HERMANSYAH</v>
      </c>
      <c r="D89" s="3">
        <f>IFERROR(__xludf.DUMMYFUNCTION("""COMPUTED_VALUE"""),2560500.0)</f>
        <v>2560500</v>
      </c>
      <c r="E89" s="3"/>
      <c r="F89" s="3" t="str">
        <f>IFERROR(__xludf.DUMMYFUNCTION("""COMPUTED_VALUE"""),"DB")</f>
        <v>DB</v>
      </c>
      <c r="G89" s="3">
        <f>IFERROR(__xludf.DUMMYFUNCTION("""COMPUTED_VALUE"""),3.1977772557000005E8)</f>
        <v>319777725.6</v>
      </c>
      <c r="H89" s="3">
        <f>IFERROR(__xludf.DUMMYFUNCTION("""COMPUTED_VALUE"""),3.1977772557E8)</f>
        <v>319777725.6</v>
      </c>
      <c r="I89" s="3"/>
    </row>
    <row r="90">
      <c r="A90" s="7">
        <f>IFERROR(__xludf.DUMMYFUNCTION("""COMPUTED_VALUE"""),46242.0)</f>
        <v>46242</v>
      </c>
      <c r="B90" s="3" t="str">
        <f>IFERROR(__xludf.DUMMYFUNCTION("""COMPUTED_VALUE"""),"TRSF E-BANKING DB")</f>
        <v>TRSF E-BANKING DB</v>
      </c>
      <c r="C90" s="3" t="str">
        <f>IFERROR(__xludf.DUMMYFUNCTION("""COMPUTED_VALUE"""),"0808/FTSCY/WS95271 4500000.00 EKO SETIYAWAN")</f>
        <v>0808/FTSCY/WS95271 4500000.00 EKO SETIYAWAN</v>
      </c>
      <c r="D90" s="3">
        <f>IFERROR(__xludf.DUMMYFUNCTION("""COMPUTED_VALUE"""),4500000.0)</f>
        <v>4500000</v>
      </c>
      <c r="E90" s="3"/>
      <c r="F90" s="3" t="str">
        <f>IFERROR(__xludf.DUMMYFUNCTION("""COMPUTED_VALUE"""),"DB")</f>
        <v>DB</v>
      </c>
      <c r="G90" s="3">
        <f>IFERROR(__xludf.DUMMYFUNCTION("""COMPUTED_VALUE"""),3.7693052557000005E8)</f>
        <v>376930525.6</v>
      </c>
      <c r="H90" s="3"/>
      <c r="I90" s="3"/>
    </row>
    <row r="91">
      <c r="A91" s="7">
        <f>IFERROR(__xludf.DUMMYFUNCTION("""COMPUTED_VALUE"""),46242.0)</f>
        <v>46242</v>
      </c>
      <c r="B91" s="3" t="str">
        <f>IFERROR(__xludf.DUMMYFUNCTION("""COMPUTED_VALUE"""),"TRSF E-BANKING DB")</f>
        <v>TRSF E-BANKING DB</v>
      </c>
      <c r="C91" s="3" t="str">
        <f>IFERROR(__xludf.DUMMYFUNCTION("""COMPUTED_VALUE"""),"0808/FTFVA/WS95031 55574/GUNA MITRA S titip - 200177")</f>
        <v>0808/FTFVA/WS95031 55574/GUNA MITRA S titip - 200177</v>
      </c>
      <c r="D91" s="3">
        <f>IFERROR(__xludf.DUMMYFUNCTION("""COMPUTED_VALUE"""),6.99E7)</f>
        <v>69900000</v>
      </c>
      <c r="E91" s="3"/>
      <c r="F91" s="3" t="str">
        <f>IFERROR(__xludf.DUMMYFUNCTION("""COMPUTED_VALUE"""),"DB")</f>
        <v>DB</v>
      </c>
      <c r="G91" s="3">
        <f>IFERROR(__xludf.DUMMYFUNCTION("""COMPUTED_VALUE"""),3.0703052557000005E8)</f>
        <v>307030525.6</v>
      </c>
      <c r="H91" s="3"/>
      <c r="I91" s="3"/>
    </row>
    <row r="92">
      <c r="A92" s="7">
        <f>IFERROR(__xludf.DUMMYFUNCTION("""COMPUTED_VALUE"""),46242.0)</f>
        <v>46242</v>
      </c>
      <c r="B92" s="3" t="str">
        <f>IFERROR(__xludf.DUMMYFUNCTION("""COMPUTED_VALUE"""),"TRSF E-BANKING DB")</f>
        <v>TRSF E-BANKING DB</v>
      </c>
      <c r="C92" s="3" t="str">
        <f>IFERROR(__xludf.DUMMYFUNCTION("""COMPUTED_VALUE"""),"0808/FTFVA/WS95031 26689/TIKTOK SHOP - - 7242029371639")</f>
        <v>0808/FTFVA/WS95031 26689/TIKTOK SHOP - - 7242029371639</v>
      </c>
      <c r="D92" s="3">
        <f>IFERROR(__xludf.DUMMYFUNCTION("""COMPUTED_VALUE"""),139000.0)</f>
        <v>139000</v>
      </c>
      <c r="E92" s="3"/>
      <c r="F92" s="3" t="str">
        <f>IFERROR(__xludf.DUMMYFUNCTION("""COMPUTED_VALUE"""),"DB")</f>
        <v>DB</v>
      </c>
      <c r="G92" s="3">
        <f>IFERROR(__xludf.DUMMYFUNCTION("""COMPUTED_VALUE"""),3.0689152557000005E8)</f>
        <v>306891525.6</v>
      </c>
      <c r="H92" s="3">
        <f>IFERROR(__xludf.DUMMYFUNCTION("""COMPUTED_VALUE"""),3.0689152557E8)</f>
        <v>306891525.6</v>
      </c>
      <c r="I92" s="3"/>
    </row>
    <row r="93">
      <c r="A93" s="7">
        <f>IFERROR(__xludf.DUMMYFUNCTION("""COMPUTED_VALUE"""),46243.0)</f>
        <v>46243</v>
      </c>
      <c r="B93" s="3" t="str">
        <f>IFERROR(__xludf.DUMMYFUNCTION("""COMPUTED_VALUE"""),"TRSF E-BANKING DB")</f>
        <v>TRSF E-BANKING DB</v>
      </c>
      <c r="C93" s="3" t="str">
        <f>IFERROR(__xludf.DUMMYFUNCTION("""COMPUTED_VALUE"""),"0908/FTSCY/WS95031 1000000.00 NURHAYATI")</f>
        <v>0908/FTSCY/WS95031 1000000.00 NURHAYATI</v>
      </c>
      <c r="D93" s="3">
        <f>IFERROR(__xludf.DUMMYFUNCTION("""COMPUTED_VALUE"""),1000000.0)</f>
        <v>1000000</v>
      </c>
      <c r="E93" s="3"/>
      <c r="F93" s="3" t="str">
        <f>IFERROR(__xludf.DUMMYFUNCTION("""COMPUTED_VALUE"""),"DB")</f>
        <v>DB</v>
      </c>
      <c r="G93" s="3">
        <f>IFERROR(__xludf.DUMMYFUNCTION("""COMPUTED_VALUE"""),3.0589152557000005E8)</f>
        <v>305891525.6</v>
      </c>
      <c r="H93" s="3"/>
      <c r="I93" s="3"/>
    </row>
    <row r="94">
      <c r="A94" s="7">
        <f>IFERROR(__xludf.DUMMYFUNCTION("""COMPUTED_VALUE"""),46243.0)</f>
        <v>46243</v>
      </c>
      <c r="B94" s="3" t="str">
        <f>IFERROR(__xludf.DUMMYFUNCTION("""COMPUTED_VALUE"""),"TRSF E-BANKING DB")</f>
        <v>TRSF E-BANKING DB</v>
      </c>
      <c r="C94" s="3" t="str">
        <f>IFERROR(__xludf.DUMMYFUNCTION("""COMPUTED_VALUE"""),"0908/FTSCY/WS95031 9500000.00 pelunasan BROILER MAKMUR TAN")</f>
        <v>0908/FTSCY/WS95031 9500000.00 pelunasan BROILER MAKMUR TAN</v>
      </c>
      <c r="D94" s="3">
        <f>IFERROR(__xludf.DUMMYFUNCTION("""COMPUTED_VALUE"""),9500000.0)</f>
        <v>9500000</v>
      </c>
      <c r="E94" s="3"/>
      <c r="F94" s="3" t="str">
        <f>IFERROR(__xludf.DUMMYFUNCTION("""COMPUTED_VALUE"""),"DB")</f>
        <v>DB</v>
      </c>
      <c r="G94" s="3">
        <f>IFERROR(__xludf.DUMMYFUNCTION("""COMPUTED_VALUE"""),2.9639152557000005E8)</f>
        <v>296391525.6</v>
      </c>
      <c r="H94" s="3"/>
      <c r="I94" s="3"/>
    </row>
    <row r="95">
      <c r="A95" s="7">
        <f>IFERROR(__xludf.DUMMYFUNCTION("""COMPUTED_VALUE"""),46243.0)</f>
        <v>46243</v>
      </c>
      <c r="B95" s="3" t="str">
        <f>IFERROR(__xludf.DUMMYFUNCTION("""COMPUTED_VALUE"""),"TRSF E-BANKING DB")</f>
        <v>TRSF E-BANKING DB</v>
      </c>
      <c r="C95" s="3" t="str">
        <f>IFERROR(__xludf.DUMMYFUNCTION("""COMPUTED_VALUE"""),"0908/FTSCY/WS95031 1070000.00 pelunasan PITIK DIGITAL INDO")</f>
        <v>0908/FTSCY/WS95031 1070000.00 pelunasan PITIK DIGITAL INDO</v>
      </c>
      <c r="D95" s="3">
        <f>IFERROR(__xludf.DUMMYFUNCTION("""COMPUTED_VALUE"""),1070000.0)</f>
        <v>1070000</v>
      </c>
      <c r="E95" s="3"/>
      <c r="F95" s="3" t="str">
        <f>IFERROR(__xludf.DUMMYFUNCTION("""COMPUTED_VALUE"""),"DB")</f>
        <v>DB</v>
      </c>
      <c r="G95" s="3">
        <f>IFERROR(__xludf.DUMMYFUNCTION("""COMPUTED_VALUE"""),2.9532152557000005E8)</f>
        <v>295321525.6</v>
      </c>
      <c r="H95" s="3"/>
      <c r="I95" s="3"/>
    </row>
    <row r="96">
      <c r="A96" s="7">
        <f>IFERROR(__xludf.DUMMYFUNCTION("""COMPUTED_VALUE"""),46243.0)</f>
        <v>46243</v>
      </c>
      <c r="B96" s="3" t="str">
        <f>IFERROR(__xludf.DUMMYFUNCTION("""COMPUTED_VALUE"""),"TRSF E-BANKING DB")</f>
        <v>TRSF E-BANKING DB</v>
      </c>
      <c r="C96" s="3" t="str">
        <f>IFERROR(__xludf.DUMMYFUNCTION("""COMPUTED_VALUE"""),"0908/FTSCY/WS95031 13587600.00 EKO SETIYAWAN")</f>
        <v>0908/FTSCY/WS95031 13587600.00 EKO SETIYAWAN</v>
      </c>
      <c r="D96" s="3">
        <f>IFERROR(__xludf.DUMMYFUNCTION("""COMPUTED_VALUE"""),1.35876E7)</f>
        <v>13587600</v>
      </c>
      <c r="E96" s="3"/>
      <c r="F96" s="3" t="str">
        <f>IFERROR(__xludf.DUMMYFUNCTION("""COMPUTED_VALUE"""),"DB")</f>
        <v>DB</v>
      </c>
      <c r="G96" s="3">
        <f>IFERROR(__xludf.DUMMYFUNCTION("""COMPUTED_VALUE"""),2.8173392557000005E8)</f>
        <v>281733925.6</v>
      </c>
      <c r="H96" s="3"/>
      <c r="I96" s="3"/>
    </row>
    <row r="97">
      <c r="A97" s="7">
        <f>IFERROR(__xludf.DUMMYFUNCTION("""COMPUTED_VALUE"""),46243.0)</f>
        <v>46243</v>
      </c>
      <c r="B97" s="3" t="str">
        <f>IFERROR(__xludf.DUMMYFUNCTION("""COMPUTED_VALUE"""),"TRSF E-BANKING DB")</f>
        <v>TRSF E-BANKING DB</v>
      </c>
      <c r="C97" s="3" t="str">
        <f>IFERROR(__xludf.DUMMYFUNCTION("""COMPUTED_VALUE"""),"0908/FTSCY/WS95271 195472000.00 pelunasan ANDALAN YASA MITRA")</f>
        <v>0908/FTSCY/WS95271 195472000.00 pelunasan ANDALAN YASA MITRA</v>
      </c>
      <c r="D97" s="3">
        <f>IFERROR(__xludf.DUMMYFUNCTION("""COMPUTED_VALUE"""),1.95472E8)</f>
        <v>195472000</v>
      </c>
      <c r="E97" s="3"/>
      <c r="F97" s="3" t="str">
        <f>IFERROR(__xludf.DUMMYFUNCTION("""COMPUTED_VALUE"""),"DB")</f>
        <v>DB</v>
      </c>
      <c r="G97" s="3">
        <f>IFERROR(__xludf.DUMMYFUNCTION("""COMPUTED_VALUE"""),8.626192557000005E7)</f>
        <v>86261925.57</v>
      </c>
      <c r="H97" s="3"/>
      <c r="I97" s="3"/>
    </row>
    <row r="98">
      <c r="A98" s="7">
        <f>IFERROR(__xludf.DUMMYFUNCTION("""COMPUTED_VALUE"""),46243.0)</f>
        <v>46243</v>
      </c>
      <c r="B98" s="3" t="str">
        <f>IFERROR(__xludf.DUMMYFUNCTION("""COMPUTED_VALUE"""),"TRSF E-BANKING DB")</f>
        <v>TRSF E-BANKING DB</v>
      </c>
      <c r="C98" s="3" t="str">
        <f>IFERROR(__xludf.DUMMYFUNCTION("""COMPUTED_VALUE"""),"0908/FTSCY/WS95031 57713670.00 Fri Aug 07 2026 14:00:00 GMT+0700 (Western Indonesia Time) ANUGERAH KARTIKA A")</f>
        <v>0908/FTSCY/WS95031 57713670.00 Fri Aug 07 2026 14:00:00 GMT+0700 (Western Indonesia Time) ANUGERAH KARTIKA A</v>
      </c>
      <c r="D98" s="3">
        <f>IFERROR(__xludf.DUMMYFUNCTION("""COMPUTED_VALUE"""),5.771367E7)</f>
        <v>57713670</v>
      </c>
      <c r="E98" s="3"/>
      <c r="F98" s="3" t="str">
        <f>IFERROR(__xludf.DUMMYFUNCTION("""COMPUTED_VALUE"""),"DB")</f>
        <v>DB</v>
      </c>
      <c r="G98" s="3">
        <f>IFERROR(__xludf.DUMMYFUNCTION("""COMPUTED_VALUE"""),2.8548255570000052E7)</f>
        <v>28548255.57</v>
      </c>
      <c r="H98" s="3"/>
      <c r="I98" s="3"/>
    </row>
    <row r="99">
      <c r="A99" s="7">
        <f>IFERROR(__xludf.DUMMYFUNCTION("""COMPUTED_VALUE"""),46243.0)</f>
        <v>46243</v>
      </c>
      <c r="B99" s="3" t="str">
        <f>IFERROR(__xludf.DUMMYFUNCTION("""COMPUTED_VALUE"""),"TRSF E-BANKING DB")</f>
        <v>TRSF E-BANKING DB</v>
      </c>
      <c r="C99" s="3" t="str">
        <f>IFERROR(__xludf.DUMMYFUNCTION("""COMPUTED_VALUE"""),"0908/FTSCY/WS95031 10290510.00 HERMAWAN")</f>
        <v>0908/FTSCY/WS95031 10290510.00 HERMAWAN</v>
      </c>
      <c r="D99" s="3">
        <f>IFERROR(__xludf.DUMMYFUNCTION("""COMPUTED_VALUE"""),1.029051E7)</f>
        <v>10290510</v>
      </c>
      <c r="E99" s="3"/>
      <c r="F99" s="3" t="str">
        <f>IFERROR(__xludf.DUMMYFUNCTION("""COMPUTED_VALUE"""),"DB")</f>
        <v>DB</v>
      </c>
      <c r="G99" s="3">
        <f>IFERROR(__xludf.DUMMYFUNCTION("""COMPUTED_VALUE"""),1.8257745570000052E7)</f>
        <v>18257745.57</v>
      </c>
      <c r="H99" s="3"/>
      <c r="I99" s="3"/>
    </row>
    <row r="100">
      <c r="A100" s="7">
        <f>IFERROR(__xludf.DUMMYFUNCTION("""COMPUTED_VALUE"""),46243.0)</f>
        <v>46243</v>
      </c>
      <c r="B100" s="3" t="str">
        <f>IFERROR(__xludf.DUMMYFUNCTION("""COMPUTED_VALUE"""),"TRSF E-BANKING DB")</f>
        <v>TRSF E-BANKING DB</v>
      </c>
      <c r="C100" s="3" t="str">
        <f>IFERROR(__xludf.DUMMYFUNCTION("""COMPUTED_VALUE"""),"0908/FTSCY/WS95031 3621000.00 DWI HERMANSYAH")</f>
        <v>0908/FTSCY/WS95031 3621000.00 DWI HERMANSYAH</v>
      </c>
      <c r="D100" s="3">
        <f>IFERROR(__xludf.DUMMYFUNCTION("""COMPUTED_VALUE"""),3621000.0)</f>
        <v>3621000</v>
      </c>
      <c r="E100" s="3"/>
      <c r="F100" s="3" t="str">
        <f>IFERROR(__xludf.DUMMYFUNCTION("""COMPUTED_VALUE"""),"DB")</f>
        <v>DB</v>
      </c>
      <c r="G100" s="3">
        <f>IFERROR(__xludf.DUMMYFUNCTION("""COMPUTED_VALUE"""),1.4636745570000052E7)</f>
        <v>14636745.57</v>
      </c>
      <c r="H100" s="3"/>
      <c r="I100" s="3"/>
    </row>
    <row r="101">
      <c r="A101" s="7">
        <f>IFERROR(__xludf.DUMMYFUNCTION("""COMPUTED_VALUE"""),46243.0)</f>
        <v>46243</v>
      </c>
      <c r="B101" s="3" t="str">
        <f>IFERROR(__xludf.DUMMYFUNCTION("""COMPUTED_VALUE"""),"TRSF E-BANKING DB")</f>
        <v>TRSF E-BANKING DB</v>
      </c>
      <c r="C101" s="3" t="str">
        <f>IFERROR(__xludf.DUMMYFUNCTION("""COMPUTED_VALUE"""),"0908/FTSCY/WS95271 11495550.00 EKO SETIYAWAN")</f>
        <v>0908/FTSCY/WS95271 11495550.00 EKO SETIYAWAN</v>
      </c>
      <c r="D101" s="3">
        <f>IFERROR(__xludf.DUMMYFUNCTION("""COMPUTED_VALUE"""),1.149555E7)</f>
        <v>11495550</v>
      </c>
      <c r="E101" s="3"/>
      <c r="F101" s="3" t="str">
        <f>IFERROR(__xludf.DUMMYFUNCTION("""COMPUTED_VALUE"""),"DB")</f>
        <v>DB</v>
      </c>
      <c r="G101" s="3">
        <f>IFERROR(__xludf.DUMMYFUNCTION("""COMPUTED_VALUE"""),3141195.5700000525)</f>
        <v>3141195.57</v>
      </c>
      <c r="H101" s="3">
        <f>IFERROR(__xludf.DUMMYFUNCTION("""COMPUTED_VALUE"""),3141195.57)</f>
        <v>3141195.57</v>
      </c>
      <c r="I101" s="3"/>
    </row>
    <row r="102">
      <c r="A102" s="7">
        <f>IFERROR(__xludf.DUMMYFUNCTION("""COMPUTED_VALUE"""),46243.0)</f>
        <v>46243</v>
      </c>
      <c r="B102" s="3" t="str">
        <f>IFERROR(__xludf.DUMMYFUNCTION("""COMPUTED_VALUE"""),"TRSF E-BANKING DB")</f>
        <v>TRSF E-BANKING DB</v>
      </c>
      <c r="C102" s="3" t="str">
        <f>IFERROR(__xludf.DUMMYFUNCTION("""COMPUTED_VALUE"""),"0908/FTSCY/WS95031 1475400.00 EKO SETIYAWAN")</f>
        <v>0908/FTSCY/WS95031 1475400.00 EKO SETIYAWAN</v>
      </c>
      <c r="D102" s="3">
        <f>IFERROR(__xludf.DUMMYFUNCTION("""COMPUTED_VALUE"""),1475400.0)</f>
        <v>1475400</v>
      </c>
      <c r="E102" s="3"/>
      <c r="F102" s="3" t="str">
        <f>IFERROR(__xludf.DUMMYFUNCTION("""COMPUTED_VALUE"""),"DB")</f>
        <v>DB</v>
      </c>
      <c r="G102" s="3">
        <f>IFERROR(__xludf.DUMMYFUNCTION("""COMPUTED_VALUE"""),1665795.5700000525)</f>
        <v>1665795.57</v>
      </c>
      <c r="H102" s="3">
        <f>IFERROR(__xludf.DUMMYFUNCTION("""COMPUTED_VALUE"""),1665795.57)</f>
        <v>1665795.57</v>
      </c>
      <c r="I102" s="3"/>
    </row>
    <row r="103">
      <c r="A103" s="7">
        <f>IFERROR(__xludf.DUMMYFUNCTION("""COMPUTED_VALUE"""),46243.0)</f>
        <v>46243</v>
      </c>
      <c r="B103" s="3" t="str">
        <f>IFERROR(__xludf.DUMMYFUNCTION("""COMPUTED_VALUE"""),"TARIKAN ATM 09/08")</f>
        <v>TARIKAN ATM 09/08</v>
      </c>
      <c r="C103" s="3" t="str">
        <f>IFERROR(__xludf.DUMMYFUNCTION("""COMPUTED_VALUE"""),"TARIKAN ATM 09/08")</f>
        <v>TARIKAN ATM 09/08</v>
      </c>
      <c r="D103" s="3">
        <f>IFERROR(__xludf.DUMMYFUNCTION("""COMPUTED_VALUE"""),300000.0)</f>
        <v>300000</v>
      </c>
      <c r="E103" s="3"/>
      <c r="F103" s="3"/>
      <c r="G103" s="3">
        <f>IFERROR(__xludf.DUMMYFUNCTION("""COMPUTED_VALUE"""),2.8138917557000005E8)</f>
        <v>281389175.6</v>
      </c>
      <c r="H103" s="3"/>
      <c r="I103" s="3"/>
    </row>
    <row r="104">
      <c r="A104" s="7">
        <f>IFERROR(__xludf.DUMMYFUNCTION("""COMPUTED_VALUE"""),46243.0)</f>
        <v>46243</v>
      </c>
      <c r="B104" s="3" t="str">
        <f>IFERROR(__xludf.DUMMYFUNCTION("""COMPUTED_VALUE"""),"TRSF E-BANKING DB")</f>
        <v>TRSF E-BANKING DB</v>
      </c>
      <c r="C104" s="3" t="str">
        <f>IFERROR(__xludf.DUMMYFUNCTION("""COMPUTED_VALUE"""),"0908/FTSCY/WS95271 70483500.00 Sat Aug 08 2026 14:00:00 GMT+0700 (Western Indonesia Time) BERLIAN UNGGUL JAY")</f>
        <v>0908/FTSCY/WS95271 70483500.00 Sat Aug 08 2026 14:00:00 GMT+0700 (Western Indonesia Time) BERLIAN UNGGUL JAY</v>
      </c>
      <c r="D104" s="3">
        <f>IFERROR(__xludf.DUMMYFUNCTION("""COMPUTED_VALUE"""),7.04835E7)</f>
        <v>70483500</v>
      </c>
      <c r="E104" s="3"/>
      <c r="F104" s="3" t="str">
        <f>IFERROR(__xludf.DUMMYFUNCTION("""COMPUTED_VALUE"""),"DB")</f>
        <v>DB</v>
      </c>
      <c r="G104" s="3">
        <f>IFERROR(__xludf.DUMMYFUNCTION("""COMPUTED_VALUE"""),2.1090567557000005E8)</f>
        <v>210905675.6</v>
      </c>
      <c r="H104" s="3"/>
      <c r="I104" s="3"/>
    </row>
    <row r="105">
      <c r="A105" s="7">
        <f>IFERROR(__xludf.DUMMYFUNCTION("""COMPUTED_VALUE"""),46243.0)</f>
        <v>46243</v>
      </c>
      <c r="B105" s="3" t="str">
        <f>IFERROR(__xludf.DUMMYFUNCTION("""COMPUTED_VALUE"""),"TRSF E-BANKING DB")</f>
        <v>TRSF E-BANKING DB</v>
      </c>
      <c r="C105" s="3" t="str">
        <f>IFERROR(__xludf.DUMMYFUNCTION("""COMPUTED_VALUE"""),"0908/FTSCY/WS95011 128811800.00 Fri Aug 07 2026 14:00:00 GMT+0700 (Western Indonesia Time) SUPER UNGGAS JAYA")</f>
        <v>0908/FTSCY/WS95011 128811800.00 Fri Aug 07 2026 14:00:00 GMT+0700 (Western Indonesia Time) SUPER UNGGAS JAYA</v>
      </c>
      <c r="D105" s="3">
        <f>IFERROR(__xludf.DUMMYFUNCTION("""COMPUTED_VALUE"""),1.288118E8)</f>
        <v>128811800</v>
      </c>
      <c r="E105" s="3"/>
      <c r="F105" s="3" t="str">
        <f>IFERROR(__xludf.DUMMYFUNCTION("""COMPUTED_VALUE"""),"DB")</f>
        <v>DB</v>
      </c>
      <c r="G105" s="3">
        <f>IFERROR(__xludf.DUMMYFUNCTION("""COMPUTED_VALUE"""),8.209387557000005E7)</f>
        <v>82093875.57</v>
      </c>
      <c r="H105" s="3"/>
      <c r="I105" s="3"/>
    </row>
    <row r="106">
      <c r="A106" s="7">
        <f>IFERROR(__xludf.DUMMYFUNCTION("""COMPUTED_VALUE"""),46243.0)</f>
        <v>46243</v>
      </c>
      <c r="B106" s="3" t="str">
        <f>IFERROR(__xludf.DUMMYFUNCTION("""COMPUTED_VALUE"""),"TRSF E-BANKING DB")</f>
        <v>TRSF E-BANKING DB</v>
      </c>
      <c r="C106" s="3" t="str">
        <f>IFERROR(__xludf.DUMMYFUNCTION("""COMPUTED_VALUE"""),"0908/FTSCY/WS95011 76438240.00 Fri Aug 07 2026 14:00:00 GMT+0700 (Western Indonesia Time) BINTANG TAMA SANTO")</f>
        <v>0908/FTSCY/WS95011 76438240.00 Fri Aug 07 2026 14:00:00 GMT+0700 (Western Indonesia Time) BINTANG TAMA SANTO</v>
      </c>
      <c r="D106" s="3">
        <f>IFERROR(__xludf.DUMMYFUNCTION("""COMPUTED_VALUE"""),7.643824E7)</f>
        <v>76438240</v>
      </c>
      <c r="E106" s="3"/>
      <c r="F106" s="3" t="str">
        <f>IFERROR(__xludf.DUMMYFUNCTION("""COMPUTED_VALUE"""),"DB")</f>
        <v>DB</v>
      </c>
      <c r="G106" s="3">
        <f>IFERROR(__xludf.DUMMYFUNCTION("""COMPUTED_VALUE"""),5655635.570000052)</f>
        <v>5655635.57</v>
      </c>
      <c r="H106" s="3"/>
      <c r="I106" s="3"/>
    </row>
    <row r="107">
      <c r="A107" s="7">
        <f>IFERROR(__xludf.DUMMYFUNCTION("""COMPUTED_VALUE"""),46243.0)</f>
        <v>46243</v>
      </c>
      <c r="B107" s="3" t="str">
        <f>IFERROR(__xludf.DUMMYFUNCTION("""COMPUTED_VALUE"""),"TRSF E-BANKING DB")</f>
        <v>TRSF E-BANKING DB</v>
      </c>
      <c r="C107" s="3" t="str">
        <f>IFERROR(__xludf.DUMMYFUNCTION("""COMPUTED_VALUE"""),"0908/FTFVA/WS95031 55574/GUNA MITRA S pelunasan - 200177")</f>
        <v>0908/FTFVA/WS95031 55574/GUNA MITRA S pelunasan - 200177</v>
      </c>
      <c r="D107" s="3">
        <f>IFERROR(__xludf.DUMMYFUNCTION("""COMPUTED_VALUE"""),5079400.0)</f>
        <v>5079400</v>
      </c>
      <c r="E107" s="3"/>
      <c r="F107" s="3" t="str">
        <f>IFERROR(__xludf.DUMMYFUNCTION("""COMPUTED_VALUE"""),"DB")</f>
        <v>DB</v>
      </c>
      <c r="G107" s="3">
        <f>IFERROR(__xludf.DUMMYFUNCTION("""COMPUTED_VALUE"""),576235.5700000525)</f>
        <v>576235.57</v>
      </c>
      <c r="H107" s="3"/>
      <c r="I107" s="3"/>
    </row>
    <row r="108">
      <c r="A108" s="7">
        <f>IFERROR(__xludf.DUMMYFUNCTION("""COMPUTED_VALUE"""),46243.0)</f>
        <v>46243</v>
      </c>
      <c r="B108" s="3" t="str">
        <f>IFERROR(__xludf.DUMMYFUNCTION("""COMPUTED_VALUE"""),"TRSF E-BANKING DB")</f>
        <v>TRSF E-BANKING DB</v>
      </c>
      <c r="C108" s="3" t="str">
        <f>IFERROR(__xludf.DUMMYFUNCTION("""COMPUTED_VALUE"""),"0908/FTSCY/WS95271 2900000.00 BELA PRAMUDITA")</f>
        <v>0908/FTSCY/WS95271 2900000.00 BELA PRAMUDITA</v>
      </c>
      <c r="D108" s="3">
        <f>IFERROR(__xludf.DUMMYFUNCTION("""COMPUTED_VALUE"""),2900000.0)</f>
        <v>2900000</v>
      </c>
      <c r="E108" s="3"/>
      <c r="F108" s="3" t="str">
        <f>IFERROR(__xludf.DUMMYFUNCTION("""COMPUTED_VALUE"""),"DB")</f>
        <v>DB</v>
      </c>
      <c r="G108" s="3">
        <f>IFERROR(__xludf.DUMMYFUNCTION("""COMPUTED_VALUE"""),5.0892865657000005E8)</f>
        <v>508928656.6</v>
      </c>
      <c r="H108" s="3">
        <f>IFERROR(__xludf.DUMMYFUNCTION("""COMPUTED_VALUE"""),5.0892865657E8)</f>
        <v>508928656.6</v>
      </c>
      <c r="I108" s="3"/>
    </row>
    <row r="109">
      <c r="A109" s="7">
        <f>IFERROR(__xludf.DUMMYFUNCTION("""COMPUTED_VALUE"""),46243.0)</f>
        <v>46243</v>
      </c>
      <c r="B109" s="3" t="str">
        <f>IFERROR(__xludf.DUMMYFUNCTION("""COMPUTED_VALUE"""),"TRSF E-BANKING DB")</f>
        <v>TRSF E-BANKING DB</v>
      </c>
      <c r="C109" s="3" t="str">
        <f>IFERROR(__xludf.DUMMYFUNCTION("""COMPUTED_VALUE"""),"0908/FTSCY/WS95271 1850000.00 SUNARTO")</f>
        <v>0908/FTSCY/WS95271 1850000.00 SUNARTO</v>
      </c>
      <c r="D109" s="3">
        <f>IFERROR(__xludf.DUMMYFUNCTION("""COMPUTED_VALUE"""),1850000.0)</f>
        <v>1850000</v>
      </c>
      <c r="E109" s="3"/>
      <c r="F109" s="3" t="str">
        <f>IFERROR(__xludf.DUMMYFUNCTION("""COMPUTED_VALUE"""),"DB")</f>
        <v>DB</v>
      </c>
      <c r="G109" s="3">
        <f>IFERROR(__xludf.DUMMYFUNCTION("""COMPUTED_VALUE"""),5.0707865657000005E8)</f>
        <v>507078656.6</v>
      </c>
      <c r="H109" s="3">
        <f>IFERROR(__xludf.DUMMYFUNCTION("""COMPUTED_VALUE"""),5.0707865657E8)</f>
        <v>507078656.6</v>
      </c>
      <c r="I109" s="3"/>
    </row>
    <row r="110">
      <c r="A110" s="7">
        <f>IFERROR(__xludf.DUMMYFUNCTION("""COMPUTED_VALUE"""),46244.0)</f>
        <v>46244</v>
      </c>
      <c r="B110" s="3" t="str">
        <f>IFERROR(__xludf.DUMMYFUNCTION("""COMPUTED_VALUE"""),"TRSF E-BANKING DB")</f>
        <v>TRSF E-BANKING DB</v>
      </c>
      <c r="C110" s="3" t="str">
        <f>IFERROR(__xludf.DUMMYFUNCTION("""COMPUTED_VALUE"""),"1008/FTSCY/WS95271 132931250.00 Fri Aug 07 2026 14:00:00 GMT+0700 (Western Indonesia Time) ANUGERAH KARTIKA A")</f>
        <v>1008/FTSCY/WS95271 132931250.00 Fri Aug 07 2026 14:00:00 GMT+0700 (Western Indonesia Time) ANUGERAH KARTIKA A</v>
      </c>
      <c r="D110" s="3">
        <f>IFERROR(__xludf.DUMMYFUNCTION("""COMPUTED_VALUE"""),1.3293125E8)</f>
        <v>132931250</v>
      </c>
      <c r="E110" s="3"/>
      <c r="F110" s="3" t="str">
        <f>IFERROR(__xludf.DUMMYFUNCTION("""COMPUTED_VALUE"""),"DB")</f>
        <v>DB</v>
      </c>
      <c r="G110" s="3">
        <f>IFERROR(__xludf.DUMMYFUNCTION("""COMPUTED_VALUE"""),3.7414740657000005E8)</f>
        <v>374147406.6</v>
      </c>
      <c r="H110" s="3"/>
      <c r="I110" s="3"/>
    </row>
    <row r="111">
      <c r="A111" s="7">
        <f>IFERROR(__xludf.DUMMYFUNCTION("""COMPUTED_VALUE"""),46244.0)</f>
        <v>46244</v>
      </c>
      <c r="B111" s="3" t="str">
        <f>IFERROR(__xludf.DUMMYFUNCTION("""COMPUTED_VALUE"""),"TRSF E-BANKING DB")</f>
        <v>TRSF E-BANKING DB</v>
      </c>
      <c r="C111" s="3" t="str">
        <f>IFERROR(__xludf.DUMMYFUNCTION("""COMPUTED_VALUE"""),"1008/FTSCY/WS95271 68310000.00 Fri Oct 09 2026 14:00:00 GMT+0700 (Western Indonesia Time) LAWU ABADI NUSA PT")</f>
        <v>1008/FTSCY/WS95271 68310000.00 Fri Oct 09 2026 14:00:00 GMT+0700 (Western Indonesia Time) LAWU ABADI NUSA PT</v>
      </c>
      <c r="D111" s="3">
        <f>IFERROR(__xludf.DUMMYFUNCTION("""COMPUTED_VALUE"""),6.831E7)</f>
        <v>68310000</v>
      </c>
      <c r="E111" s="3"/>
      <c r="F111" s="3" t="str">
        <f>IFERROR(__xludf.DUMMYFUNCTION("""COMPUTED_VALUE"""),"DB")</f>
        <v>DB</v>
      </c>
      <c r="G111" s="3">
        <f>IFERROR(__xludf.DUMMYFUNCTION("""COMPUTED_VALUE"""),3.0583740657000005E8)</f>
        <v>305837406.6</v>
      </c>
      <c r="H111" s="3"/>
      <c r="I111" s="3"/>
    </row>
    <row r="112">
      <c r="A112" s="7">
        <f>IFERROR(__xludf.DUMMYFUNCTION("""COMPUTED_VALUE"""),46244.0)</f>
        <v>46244</v>
      </c>
      <c r="B112" s="3" t="str">
        <f>IFERROR(__xludf.DUMMYFUNCTION("""COMPUTED_VALUE"""),"TRSF E-BANKING DB")</f>
        <v>TRSF E-BANKING DB</v>
      </c>
      <c r="C112" s="3" t="str">
        <f>IFERROR(__xludf.DUMMYFUNCTION("""COMPUTED_VALUE"""),"1008/FTSCY/WS95271 66030800.00 Sat Aug 08 2026 14:00:00 GMT+0700 (Western Indonesia Time) TABASSAM AL HATTAK")</f>
        <v>1008/FTSCY/WS95271 66030800.00 Sat Aug 08 2026 14:00:00 GMT+0700 (Western Indonesia Time) TABASSAM AL HATTAK</v>
      </c>
      <c r="D112" s="3">
        <f>IFERROR(__xludf.DUMMYFUNCTION("""COMPUTED_VALUE"""),6.60308E7)</f>
        <v>66030800</v>
      </c>
      <c r="E112" s="3"/>
      <c r="F112" s="3" t="str">
        <f>IFERROR(__xludf.DUMMYFUNCTION("""COMPUTED_VALUE"""),"DB")</f>
        <v>DB</v>
      </c>
      <c r="G112" s="3">
        <f>IFERROR(__xludf.DUMMYFUNCTION("""COMPUTED_VALUE"""),2.3980660657000005E8)</f>
        <v>239806606.6</v>
      </c>
      <c r="H112" s="3"/>
      <c r="I112" s="3"/>
    </row>
    <row r="113">
      <c r="A113" s="7">
        <f>IFERROR(__xludf.DUMMYFUNCTION("""COMPUTED_VALUE"""),46244.0)</f>
        <v>46244</v>
      </c>
      <c r="B113" s="3" t="str">
        <f>IFERROR(__xludf.DUMMYFUNCTION("""COMPUTED_VALUE"""),"TRSF E-BANKING DB")</f>
        <v>TRSF E-BANKING DB</v>
      </c>
      <c r="C113" s="3" t="str">
        <f>IFERROR(__xludf.DUMMYFUNCTION("""COMPUTED_VALUE"""),"1008/FTSCY/WS95271 3005500.00 pelunasan BINTANG TAMA SANTO")</f>
        <v>1008/FTSCY/WS95271 3005500.00 pelunasan BINTANG TAMA SANTO</v>
      </c>
      <c r="D113" s="3">
        <f>IFERROR(__xludf.DUMMYFUNCTION("""COMPUTED_VALUE"""),3005500.0)</f>
        <v>3005500</v>
      </c>
      <c r="E113" s="3"/>
      <c r="F113" s="3" t="str">
        <f>IFERROR(__xludf.DUMMYFUNCTION("""COMPUTED_VALUE"""),"DB")</f>
        <v>DB</v>
      </c>
      <c r="G113" s="3">
        <f>IFERROR(__xludf.DUMMYFUNCTION("""COMPUTED_VALUE"""),2.3680110657000005E8)</f>
        <v>236801106.6</v>
      </c>
      <c r="H113" s="3"/>
      <c r="I113" s="3"/>
    </row>
    <row r="114">
      <c r="A114" s="7">
        <f>IFERROR(__xludf.DUMMYFUNCTION("""COMPUTED_VALUE"""),46244.0)</f>
        <v>46244</v>
      </c>
      <c r="B114" s="3" t="str">
        <f>IFERROR(__xludf.DUMMYFUNCTION("""COMPUTED_VALUE"""),"KARTU DEBIT")</f>
        <v>KARTU DEBIT</v>
      </c>
      <c r="C114" s="3" t="str">
        <f>IFERROR(__xludf.DUMMYFUNCTION("""COMPUTED_VALUE"""),"ALFAMRT Y207 BRTN 6019009510239343")</f>
        <v>ALFAMRT Y207 BRTN 6019009510239343</v>
      </c>
      <c r="D114" s="3">
        <f>IFERROR(__xludf.DUMMYFUNCTION("""COMPUTED_VALUE"""),107900.0)</f>
        <v>107900</v>
      </c>
      <c r="E114" s="3"/>
      <c r="F114" s="3"/>
      <c r="G114" s="3">
        <f>IFERROR(__xludf.DUMMYFUNCTION("""COMPUTED_VALUE"""),7.0261886657E8)</f>
        <v>702618866.6</v>
      </c>
      <c r="H114" s="3"/>
      <c r="I114" s="3"/>
    </row>
    <row r="115">
      <c r="A115" s="7">
        <f>IFERROR(__xludf.DUMMYFUNCTION("""COMPUTED_VALUE"""),46244.0)</f>
        <v>46244</v>
      </c>
      <c r="B115" s="3" t="str">
        <f>IFERROR(__xludf.DUMMYFUNCTION("""COMPUTED_VALUE"""),"TRSF E-BANKING DB")</f>
        <v>TRSF E-BANKING DB</v>
      </c>
      <c r="C115" s="3" t="str">
        <f>IFERROR(__xludf.DUMMYFUNCTION("""COMPUTED_VALUE"""),"1008/FTSCY/WS95011 142200000.00 Sat Aug 08 2026 14:00:00 GMT+0700 (Western Indonesia Time) TUMBUH OPTIMAL PRI")</f>
        <v>1008/FTSCY/WS95011 142200000.00 Sat Aug 08 2026 14:00:00 GMT+0700 (Western Indonesia Time) TUMBUH OPTIMAL PRI</v>
      </c>
      <c r="D115" s="3">
        <f>IFERROR(__xludf.DUMMYFUNCTION("""COMPUTED_VALUE"""),1.422E8)</f>
        <v>142200000</v>
      </c>
      <c r="E115" s="3"/>
      <c r="F115" s="3" t="str">
        <f>IFERROR(__xludf.DUMMYFUNCTION("""COMPUTED_VALUE"""),"DB")</f>
        <v>DB</v>
      </c>
      <c r="G115" s="3">
        <f>IFERROR(__xludf.DUMMYFUNCTION("""COMPUTED_VALUE"""),5.6041886657E8)</f>
        <v>560418866.6</v>
      </c>
      <c r="H115" s="3"/>
      <c r="I115" s="3"/>
    </row>
    <row r="116">
      <c r="A116" s="7">
        <f>IFERROR(__xludf.DUMMYFUNCTION("""COMPUTED_VALUE"""),46244.0)</f>
        <v>46244</v>
      </c>
      <c r="B116" s="3" t="str">
        <f>IFERROR(__xludf.DUMMYFUNCTION("""COMPUTED_VALUE"""),"TRSF E-BANKING DB")</f>
        <v>TRSF E-BANKING DB</v>
      </c>
      <c r="C116" s="3" t="str">
        <f>IFERROR(__xludf.DUMMYFUNCTION("""COMPUTED_VALUE"""),"1008/FTSCY/WS95011 82400000.00 Sat Aug 08 2026 14:00:00 GMT+0700 (Western Indonesia Time) SUPER UNGGAS JAYA")</f>
        <v>1008/FTSCY/WS95011 82400000.00 Sat Aug 08 2026 14:00:00 GMT+0700 (Western Indonesia Time) SUPER UNGGAS JAYA</v>
      </c>
      <c r="D116" s="3">
        <f>IFERROR(__xludf.DUMMYFUNCTION("""COMPUTED_VALUE"""),8.24E7)</f>
        <v>82400000</v>
      </c>
      <c r="E116" s="3"/>
      <c r="F116" s="3" t="str">
        <f>IFERROR(__xludf.DUMMYFUNCTION("""COMPUTED_VALUE"""),"DB")</f>
        <v>DB</v>
      </c>
      <c r="G116" s="3">
        <f>IFERROR(__xludf.DUMMYFUNCTION("""COMPUTED_VALUE"""),4.7801886657000005E8)</f>
        <v>478018866.6</v>
      </c>
      <c r="H116" s="3"/>
      <c r="I116" s="3"/>
    </row>
    <row r="117">
      <c r="A117" s="7">
        <f>IFERROR(__xludf.DUMMYFUNCTION("""COMPUTED_VALUE"""),46244.0)</f>
        <v>46244</v>
      </c>
      <c r="B117" s="3" t="str">
        <f>IFERROR(__xludf.DUMMYFUNCTION("""COMPUTED_VALUE"""),"TRSF E-BANKING DB")</f>
        <v>TRSF E-BANKING DB</v>
      </c>
      <c r="C117" s="3" t="str">
        <f>IFERROR(__xludf.DUMMYFUNCTION("""COMPUTED_VALUE"""),"1008/FTSCY/WS95011 50960490.00 pelunasan 08/08 SUPER UNGGAS JAYA")</f>
        <v>1008/FTSCY/WS95011 50960490.00 pelunasan 08/08 SUPER UNGGAS JAYA</v>
      </c>
      <c r="D117" s="3">
        <f>IFERROR(__xludf.DUMMYFUNCTION("""COMPUTED_VALUE"""),5.096049E7)</f>
        <v>50960490</v>
      </c>
      <c r="E117" s="3"/>
      <c r="F117" s="3" t="str">
        <f>IFERROR(__xludf.DUMMYFUNCTION("""COMPUTED_VALUE"""),"DB")</f>
        <v>DB</v>
      </c>
      <c r="G117" s="3">
        <f>IFERROR(__xludf.DUMMYFUNCTION("""COMPUTED_VALUE"""),4.2705837657000005E8)</f>
        <v>427058376.6</v>
      </c>
      <c r="H117" s="3">
        <f>IFERROR(__xludf.DUMMYFUNCTION("""COMPUTED_VALUE"""),4.2705837657E8)</f>
        <v>427058376.6</v>
      </c>
      <c r="I117" s="3"/>
    </row>
    <row r="118">
      <c r="A118" s="7">
        <f>IFERROR(__xludf.DUMMYFUNCTION("""COMPUTED_VALUE"""),46244.0)</f>
        <v>46244</v>
      </c>
      <c r="B118" s="3" t="str">
        <f>IFERROR(__xludf.DUMMYFUNCTION("""COMPUTED_VALUE"""),"TRSF E-BANKING DB")</f>
        <v>TRSF E-BANKING DB</v>
      </c>
      <c r="C118" s="3" t="str">
        <f>IFERROR(__xludf.DUMMYFUNCTION("""COMPUTED_VALUE"""),"1008/FTSCY/WS95011 123439520.00 Sat Aug 08 2026 14:00:00 GMT+0700 (Western Indonesia Time) RUKUN MITRA BERSAM")</f>
        <v>1008/FTSCY/WS95011 123439520.00 Sat Aug 08 2026 14:00:00 GMT+0700 (Western Indonesia Time) RUKUN MITRA BERSAM</v>
      </c>
      <c r="D118" s="3">
        <f>IFERROR(__xludf.DUMMYFUNCTION("""COMPUTED_VALUE"""),1.2343952E8)</f>
        <v>123439520</v>
      </c>
      <c r="E118" s="3"/>
      <c r="F118" s="3" t="str">
        <f>IFERROR(__xludf.DUMMYFUNCTION("""COMPUTED_VALUE"""),"DB")</f>
        <v>DB</v>
      </c>
      <c r="G118" s="3">
        <f>IFERROR(__xludf.DUMMYFUNCTION("""COMPUTED_VALUE"""),3.0361885657000005E8)</f>
        <v>303618856.6</v>
      </c>
      <c r="H118" s="3">
        <f>IFERROR(__xludf.DUMMYFUNCTION("""COMPUTED_VALUE"""),3.0361885657E8)</f>
        <v>303618856.6</v>
      </c>
      <c r="I118" s="3"/>
    </row>
    <row r="119">
      <c r="A119" s="7">
        <f>IFERROR(__xludf.DUMMYFUNCTION("""COMPUTED_VALUE"""),46244.0)</f>
        <v>46244</v>
      </c>
      <c r="B119" s="3" t="str">
        <f>IFERROR(__xludf.DUMMYFUNCTION("""COMPUTED_VALUE"""),"TRSF E-BANKING DB")</f>
        <v>TRSF E-BANKING DB</v>
      </c>
      <c r="C119" s="3" t="str">
        <f>IFERROR(__xludf.DUMMYFUNCTION("""COMPUTED_VALUE"""),"1008/FTSCY/WS95011 66454000.00 Sat Aug 08 2026 14:00:00 GMT+0700 (Western Indonesia Time) BINTANG TAMA SANTO")</f>
        <v>1008/FTSCY/WS95011 66454000.00 Sat Aug 08 2026 14:00:00 GMT+0700 (Western Indonesia Time) BINTANG TAMA SANTO</v>
      </c>
      <c r="D119" s="3">
        <f>IFERROR(__xludf.DUMMYFUNCTION("""COMPUTED_VALUE"""),6.6454E7)</f>
        <v>66454000</v>
      </c>
      <c r="E119" s="3"/>
      <c r="F119" s="3" t="str">
        <f>IFERROR(__xludf.DUMMYFUNCTION("""COMPUTED_VALUE"""),"DB")</f>
        <v>DB</v>
      </c>
      <c r="G119" s="3">
        <f>IFERROR(__xludf.DUMMYFUNCTION("""COMPUTED_VALUE"""),2.3716485657000005E8)</f>
        <v>237164856.6</v>
      </c>
      <c r="H119" s="3"/>
      <c r="I119" s="3"/>
    </row>
    <row r="120">
      <c r="A120" s="7">
        <f>IFERROR(__xludf.DUMMYFUNCTION("""COMPUTED_VALUE"""),46244.0)</f>
        <v>46244</v>
      </c>
      <c r="B120" s="3" t="str">
        <f>IFERROR(__xludf.DUMMYFUNCTION("""COMPUTED_VALUE"""),"TRSF E-BANKING DB")</f>
        <v>TRSF E-BANKING DB</v>
      </c>
      <c r="C120" s="3" t="str">
        <f>IFERROR(__xludf.DUMMYFUNCTION("""COMPUTED_VALUE"""),"1008/FTSCY/WS95031 2269500.00 SUNARTO")</f>
        <v>1008/FTSCY/WS95031 2269500.00 SUNARTO</v>
      </c>
      <c r="D120" s="3">
        <f>IFERROR(__xludf.DUMMYFUNCTION("""COMPUTED_VALUE"""),2269500.0)</f>
        <v>2269500</v>
      </c>
      <c r="E120" s="3"/>
      <c r="F120" s="3" t="str">
        <f>IFERROR(__xludf.DUMMYFUNCTION("""COMPUTED_VALUE"""),"DB")</f>
        <v>DB</v>
      </c>
      <c r="G120" s="3">
        <f>IFERROR(__xludf.DUMMYFUNCTION("""COMPUTED_VALUE"""),3.9254499457000005E8)</f>
        <v>392544994.6</v>
      </c>
      <c r="H120" s="3"/>
      <c r="I120" s="3"/>
    </row>
    <row r="121">
      <c r="A121" s="7">
        <f>IFERROR(__xludf.DUMMYFUNCTION("""COMPUTED_VALUE"""),46244.0)</f>
        <v>46244</v>
      </c>
      <c r="B121" s="3" t="str">
        <f>IFERROR(__xludf.DUMMYFUNCTION("""COMPUTED_VALUE"""),"TRSF E-BANKING DB")</f>
        <v>TRSF E-BANKING DB</v>
      </c>
      <c r="C121" s="3" t="str">
        <f>IFERROR(__xludf.DUMMYFUNCTION("""COMPUTED_VALUE"""),"1008/FTSCY/WS95031 30000000.00 SUGENG RIADI")</f>
        <v>1008/FTSCY/WS95031 30000000.00 SUGENG RIADI</v>
      </c>
      <c r="D121" s="3">
        <f>IFERROR(__xludf.DUMMYFUNCTION("""COMPUTED_VALUE"""),3.0E7)</f>
        <v>30000000</v>
      </c>
      <c r="E121" s="3"/>
      <c r="F121" s="3" t="str">
        <f>IFERROR(__xludf.DUMMYFUNCTION("""COMPUTED_VALUE"""),"DB")</f>
        <v>DB</v>
      </c>
      <c r="G121" s="3">
        <f>IFERROR(__xludf.DUMMYFUNCTION("""COMPUTED_VALUE"""),3.6254499457000005E8)</f>
        <v>362544994.6</v>
      </c>
      <c r="H121" s="3"/>
      <c r="I121" s="3"/>
    </row>
    <row r="122">
      <c r="A122" s="7">
        <f>IFERROR(__xludf.DUMMYFUNCTION("""COMPUTED_VALUE"""),46245.0)</f>
        <v>46245</v>
      </c>
      <c r="B122" s="3" t="str">
        <f>IFERROR(__xludf.DUMMYFUNCTION("""COMPUTED_VALUE"""),"TRSF E-BANKING DB")</f>
        <v>TRSF E-BANKING DB</v>
      </c>
      <c r="C122" s="3" t="str">
        <f>IFERROR(__xludf.DUMMYFUNCTION("""COMPUTED_VALUE"""),"1108/FTSCY/WS95031 1411250.00 MUJIANTO")</f>
        <v>1108/FTSCY/WS95031 1411250.00 MUJIANTO</v>
      </c>
      <c r="D122" s="3">
        <f>IFERROR(__xludf.DUMMYFUNCTION("""COMPUTED_VALUE"""),1411250.0)</f>
        <v>1411250</v>
      </c>
      <c r="E122" s="3"/>
      <c r="F122" s="3" t="str">
        <f>IFERROR(__xludf.DUMMYFUNCTION("""COMPUTED_VALUE"""),"DB")</f>
        <v>DB</v>
      </c>
      <c r="G122" s="3">
        <f>IFERROR(__xludf.DUMMYFUNCTION("""COMPUTED_VALUE"""),1.0766670457000005E8)</f>
        <v>107666704.6</v>
      </c>
      <c r="H122" s="3">
        <f>IFERROR(__xludf.DUMMYFUNCTION("""COMPUTED_VALUE"""),1.0766670457E8)</f>
        <v>107666704.6</v>
      </c>
      <c r="I122" s="3"/>
    </row>
    <row r="123">
      <c r="A123" s="7">
        <f>IFERROR(__xludf.DUMMYFUNCTION("""COMPUTED_VALUE"""),46245.0)</f>
        <v>46245</v>
      </c>
      <c r="B123" s="3" t="str">
        <f>IFERROR(__xludf.DUMMYFUNCTION("""COMPUTED_VALUE"""),"TRSF E-BANKING DB")</f>
        <v>TRSF E-BANKING DB</v>
      </c>
      <c r="C123" s="3" t="str">
        <f>IFERROR(__xludf.DUMMYFUNCTION("""COMPUTED_VALUE"""),"1108/FTSCY/WS95031 16489300.00 krg 10 jt EKO SETIYAWAN")</f>
        <v>1108/FTSCY/WS95031 16489300.00 krg 10 jt EKO SETIYAWAN</v>
      </c>
      <c r="D123" s="3">
        <f>IFERROR(__xludf.DUMMYFUNCTION("""COMPUTED_VALUE"""),1.64893E7)</f>
        <v>16489300</v>
      </c>
      <c r="E123" s="3"/>
      <c r="F123" s="3" t="str">
        <f>IFERROR(__xludf.DUMMYFUNCTION("""COMPUTED_VALUE"""),"DB")</f>
        <v>DB</v>
      </c>
      <c r="G123" s="3">
        <f>IFERROR(__xludf.DUMMYFUNCTION("""COMPUTED_VALUE"""),9.117740457000005E7)</f>
        <v>91177404.57</v>
      </c>
      <c r="H123" s="3"/>
      <c r="I123" s="3"/>
    </row>
    <row r="124">
      <c r="A124" s="7">
        <f>IFERROR(__xludf.DUMMYFUNCTION("""COMPUTED_VALUE"""),46245.0)</f>
        <v>46245</v>
      </c>
      <c r="B124" s="3" t="str">
        <f>IFERROR(__xludf.DUMMYFUNCTION("""COMPUTED_VALUE"""),"TRSF E-BANKING DB")</f>
        <v>TRSF E-BANKING DB</v>
      </c>
      <c r="C124" s="3" t="str">
        <f>IFERROR(__xludf.DUMMYFUNCTION("""COMPUTED_VALUE"""),"1108/FTSCY/WS95271 122449500.00 Sun Aug 09 2026 14:00:00 GMT+0700 (Western Indonesia Time) BINTANG TAMA SANTO")</f>
        <v>1108/FTSCY/WS95271 122449500.00 Sun Aug 09 2026 14:00:00 GMT+0700 (Western Indonesia Time) BINTANG TAMA SANTO</v>
      </c>
      <c r="D124" s="3">
        <f>IFERROR(__xludf.DUMMYFUNCTION("""COMPUTED_VALUE"""),1.224495E8)</f>
        <v>122449500</v>
      </c>
      <c r="E124" s="3"/>
      <c r="F124" s="3" t="str">
        <f>IFERROR(__xludf.DUMMYFUNCTION("""COMPUTED_VALUE"""),"DB")</f>
        <v>DB</v>
      </c>
      <c r="G124" s="3">
        <f>IFERROR(__xludf.DUMMYFUNCTION("""COMPUTED_VALUE"""),1.1865446457000005E8)</f>
        <v>118654464.6</v>
      </c>
      <c r="H124" s="3"/>
      <c r="I124" s="3"/>
    </row>
    <row r="125">
      <c r="A125" s="7">
        <f>IFERROR(__xludf.DUMMYFUNCTION("""COMPUTED_VALUE"""),46245.0)</f>
        <v>46245</v>
      </c>
      <c r="B125" s="3" t="str">
        <f>IFERROR(__xludf.DUMMYFUNCTION("""COMPUTED_VALUE"""),"TRSF E-BANKING DB")</f>
        <v>TRSF E-BANKING DB</v>
      </c>
      <c r="C125" s="3" t="str">
        <f>IFERROR(__xludf.DUMMYFUNCTION("""COMPUTED_VALUE"""),"1108/FTSCY/WS95011 30000000.00 pelunasa BINTANG TAMA SANTO")</f>
        <v>1108/FTSCY/WS95011 30000000.00 pelunasa BINTANG TAMA SANTO</v>
      </c>
      <c r="D125" s="3">
        <f>IFERROR(__xludf.DUMMYFUNCTION("""COMPUTED_VALUE"""),3.0E7)</f>
        <v>30000000</v>
      </c>
      <c r="E125" s="3"/>
      <c r="F125" s="3" t="str">
        <f>IFERROR(__xludf.DUMMYFUNCTION("""COMPUTED_VALUE"""),"DB")</f>
        <v>DB</v>
      </c>
      <c r="G125" s="3">
        <f>IFERROR(__xludf.DUMMYFUNCTION("""COMPUTED_VALUE"""),2.9792633757000005E8)</f>
        <v>297926337.6</v>
      </c>
      <c r="H125" s="3"/>
      <c r="I125" s="3"/>
    </row>
    <row r="126">
      <c r="A126" s="7">
        <f>IFERROR(__xludf.DUMMYFUNCTION("""COMPUTED_VALUE"""),46245.0)</f>
        <v>46245</v>
      </c>
      <c r="B126" s="3" t="str">
        <f>IFERROR(__xludf.DUMMYFUNCTION("""COMPUTED_VALUE"""),"TRSF E-BANKING DB")</f>
        <v>TRSF E-BANKING DB</v>
      </c>
      <c r="C126" s="3" t="str">
        <f>IFERROR(__xludf.DUMMYFUNCTION("""COMPUTED_VALUE"""),"1108/FTSCY/WS95011 66657750.00 Fri Oct 09 2026 14:00:00 GMT+0700 (Western Indonesia Time) ANDALAN YASA MITRA")</f>
        <v>1108/FTSCY/WS95011 66657750.00 Fri Oct 09 2026 14:00:00 GMT+0700 (Western Indonesia Time) ANDALAN YASA MITRA</v>
      </c>
      <c r="D126" s="3">
        <f>IFERROR(__xludf.DUMMYFUNCTION("""COMPUTED_VALUE"""),6.665775E7)</f>
        <v>66657750</v>
      </c>
      <c r="E126" s="3"/>
      <c r="F126" s="3" t="str">
        <f>IFERROR(__xludf.DUMMYFUNCTION("""COMPUTED_VALUE"""),"DB")</f>
        <v>DB</v>
      </c>
      <c r="G126" s="3">
        <f>IFERROR(__xludf.DUMMYFUNCTION("""COMPUTED_VALUE"""),2.3126858757000005E8)</f>
        <v>231268587.6</v>
      </c>
      <c r="H126" s="3"/>
      <c r="I126" s="3"/>
    </row>
    <row r="127">
      <c r="A127" s="7">
        <f>IFERROR(__xludf.DUMMYFUNCTION("""COMPUTED_VALUE"""),46245.0)</f>
        <v>46245</v>
      </c>
      <c r="B127" s="3" t="str">
        <f>IFERROR(__xludf.DUMMYFUNCTION("""COMPUTED_VALUE"""),"TRSF E-BANKING DB")</f>
        <v>TRSF E-BANKING DB</v>
      </c>
      <c r="C127" s="3" t="str">
        <f>IFERROR(__xludf.DUMMYFUNCTION("""COMPUTED_VALUE"""),"1108/FTSCY/WS95011 135978200.00 lunas ANUGERAH KARTIKA A")</f>
        <v>1108/FTSCY/WS95011 135978200.00 lunas ANUGERAH KARTIKA A</v>
      </c>
      <c r="D127" s="3">
        <f>IFERROR(__xludf.DUMMYFUNCTION("""COMPUTED_VALUE"""),1.359782E8)</f>
        <v>135978200</v>
      </c>
      <c r="E127" s="3"/>
      <c r="F127" s="3" t="str">
        <f>IFERROR(__xludf.DUMMYFUNCTION("""COMPUTED_VALUE"""),"DB")</f>
        <v>DB</v>
      </c>
      <c r="G127" s="3">
        <f>IFERROR(__xludf.DUMMYFUNCTION("""COMPUTED_VALUE"""),9.529038757000005E7)</f>
        <v>95290387.57</v>
      </c>
      <c r="H127" s="3"/>
      <c r="I127" s="3"/>
    </row>
    <row r="128">
      <c r="A128" s="7">
        <f>IFERROR(__xludf.DUMMYFUNCTION("""COMPUTED_VALUE"""),46245.0)</f>
        <v>46245</v>
      </c>
      <c r="B128" s="3" t="str">
        <f>IFERROR(__xludf.DUMMYFUNCTION("""COMPUTED_VALUE"""),"TRSF E-BANKING DB")</f>
        <v>TRSF E-BANKING DB</v>
      </c>
      <c r="C128" s="3" t="str">
        <f>IFERROR(__xludf.DUMMYFUNCTION("""COMPUTED_VALUE"""),"1108/FTSCY/WS95011 82400000.00 Sun Aug 09 2026 14:00:00 GMT+0700 (Western Indonesia Time) SUPER UNGGAS JAYA")</f>
        <v>1108/FTSCY/WS95011 82400000.00 Sun Aug 09 2026 14:00:00 GMT+0700 (Western Indonesia Time) SUPER UNGGAS JAYA</v>
      </c>
      <c r="D128" s="3">
        <f>IFERROR(__xludf.DUMMYFUNCTION("""COMPUTED_VALUE"""),8.24E7)</f>
        <v>82400000</v>
      </c>
      <c r="E128" s="3"/>
      <c r="F128" s="3" t="str">
        <f>IFERROR(__xludf.DUMMYFUNCTION("""COMPUTED_VALUE"""),"DB")</f>
        <v>DB</v>
      </c>
      <c r="G128" s="3">
        <f>IFERROR(__xludf.DUMMYFUNCTION("""COMPUTED_VALUE"""),1.2890387570000052E7)</f>
        <v>12890387.57</v>
      </c>
      <c r="H128" s="3">
        <f>IFERROR(__xludf.DUMMYFUNCTION("""COMPUTED_VALUE"""),1.289038757E7)</f>
        <v>12890387.57</v>
      </c>
      <c r="I128" s="3"/>
    </row>
    <row r="129">
      <c r="A129" s="7">
        <f>IFERROR(__xludf.DUMMYFUNCTION("""COMPUTED_VALUE"""),46245.0)</f>
        <v>46245</v>
      </c>
      <c r="B129" s="3" t="str">
        <f>IFERROR(__xludf.DUMMYFUNCTION("""COMPUTED_VALUE"""),"TRSF E-BANKING DB")</f>
        <v>TRSF E-BANKING DB</v>
      </c>
      <c r="C129" s="3" t="str">
        <f>IFERROR(__xludf.DUMMYFUNCTION("""COMPUTED_VALUE"""),"1108/FTSCY/WS95031 2616850.00 mlg SUNARTO")</f>
        <v>1108/FTSCY/WS95031 2616850.00 mlg SUNARTO</v>
      </c>
      <c r="D129" s="3">
        <f>IFERROR(__xludf.DUMMYFUNCTION("""COMPUTED_VALUE"""),2616850.0)</f>
        <v>2616850</v>
      </c>
      <c r="E129" s="3"/>
      <c r="F129" s="3" t="str">
        <f>IFERROR(__xludf.DUMMYFUNCTION("""COMPUTED_VALUE"""),"DB")</f>
        <v>DB</v>
      </c>
      <c r="G129" s="3">
        <f>IFERROR(__xludf.DUMMYFUNCTION("""COMPUTED_VALUE"""),1.0273537570000052E7)</f>
        <v>10273537.57</v>
      </c>
      <c r="H129" s="3">
        <f>IFERROR(__xludf.DUMMYFUNCTION("""COMPUTED_VALUE"""),1.027353757E7)</f>
        <v>10273537.57</v>
      </c>
      <c r="I129" s="3"/>
    </row>
    <row r="130">
      <c r="A130" s="7">
        <f>IFERROR(__xludf.DUMMYFUNCTION("""COMPUTED_VALUE"""),46245.0)</f>
        <v>46245</v>
      </c>
      <c r="B130" s="3" t="str">
        <f>IFERROR(__xludf.DUMMYFUNCTION("""COMPUTED_VALUE"""),"TRSF E-BANKING DB")</f>
        <v>TRSF E-BANKING DB</v>
      </c>
      <c r="C130" s="3" t="str">
        <f>IFERROR(__xludf.DUMMYFUNCTION("""COMPUTED_VALUE"""),"1108/FTSCY/WS95031 10000000.00 pelunasan EKO SETIYAWAN")</f>
        <v>1108/FTSCY/WS95031 10000000.00 pelunasan EKO SETIYAWAN</v>
      </c>
      <c r="D130" s="3">
        <f>IFERROR(__xludf.DUMMYFUNCTION("""COMPUTED_VALUE"""),1.0E7)</f>
        <v>10000000</v>
      </c>
      <c r="E130" s="3"/>
      <c r="F130" s="3" t="str">
        <f>IFERROR(__xludf.DUMMYFUNCTION("""COMPUTED_VALUE"""),"DB")</f>
        <v>DB</v>
      </c>
      <c r="G130" s="3">
        <f>IFERROR(__xludf.DUMMYFUNCTION("""COMPUTED_VALUE"""),273537.57000005245)</f>
        <v>273537.57</v>
      </c>
      <c r="H130" s="3"/>
      <c r="I130" s="3"/>
    </row>
    <row r="131">
      <c r="A131" s="7">
        <f>IFERROR(__xludf.DUMMYFUNCTION("""COMPUTED_VALUE"""),46246.0)</f>
        <v>46246</v>
      </c>
      <c r="B131" s="3" t="str">
        <f>IFERROR(__xludf.DUMMYFUNCTION("""COMPUTED_VALUE"""),"TRSF E-BANKING DB")</f>
        <v>TRSF E-BANKING DB</v>
      </c>
      <c r="C131" s="3" t="str">
        <f>IFERROR(__xludf.DUMMYFUNCTION("""COMPUTED_VALUE"""),"1208/FTSCY/WS95011 164500000.00 Sat Oct 10 2026 14:00:00 GMT+0700 (Western Indonesia Time) LAJU SATWA WISESA")</f>
        <v>1208/FTSCY/WS95011 164500000.00 Sat Oct 10 2026 14:00:00 GMT+0700 (Western Indonesia Time) LAJU SATWA WISESA</v>
      </c>
      <c r="D131" s="3">
        <f>IFERROR(__xludf.DUMMYFUNCTION("""COMPUTED_VALUE"""),1.645E8)</f>
        <v>164500000</v>
      </c>
      <c r="E131" s="3"/>
      <c r="F131" s="3" t="str">
        <f>IFERROR(__xludf.DUMMYFUNCTION("""COMPUTED_VALUE"""),"DB")</f>
        <v>DB</v>
      </c>
      <c r="G131" s="3">
        <f>IFERROR(__xludf.DUMMYFUNCTION("""COMPUTED_VALUE"""),1.5558147457000005E8)</f>
        <v>155581474.6</v>
      </c>
      <c r="H131" s="3"/>
      <c r="I131" s="3"/>
    </row>
    <row r="132">
      <c r="A132" s="7">
        <f>IFERROR(__xludf.DUMMYFUNCTION("""COMPUTED_VALUE"""),46246.0)</f>
        <v>46246</v>
      </c>
      <c r="B132" s="3" t="str">
        <f>IFERROR(__xludf.DUMMYFUNCTION("""COMPUTED_VALUE"""),"TRSF E-BANKING DB")</f>
        <v>TRSF E-BANKING DB</v>
      </c>
      <c r="C132" s="3" t="str">
        <f>IFERROR(__xludf.DUMMYFUNCTION("""COMPUTED_VALUE"""),"1208/FTSCY/WS95011 120608000.00 Mon Aug 10 2026 14:00:00 GMT+0700 (Western Indonesia Time) LAWU ABADI NUSA PT")</f>
        <v>1208/FTSCY/WS95011 120608000.00 Mon Aug 10 2026 14:00:00 GMT+0700 (Western Indonesia Time) LAWU ABADI NUSA PT</v>
      </c>
      <c r="D132" s="3">
        <f>IFERROR(__xludf.DUMMYFUNCTION("""COMPUTED_VALUE"""),1.20608E8)</f>
        <v>120608000</v>
      </c>
      <c r="E132" s="3"/>
      <c r="F132" s="3" t="str">
        <f>IFERROR(__xludf.DUMMYFUNCTION("""COMPUTED_VALUE"""),"DB")</f>
        <v>DB</v>
      </c>
      <c r="G132" s="3">
        <f>IFERROR(__xludf.DUMMYFUNCTION("""COMPUTED_VALUE"""),3.497347457000005E7)</f>
        <v>34973474.57</v>
      </c>
      <c r="H132" s="3"/>
      <c r="I132" s="3"/>
    </row>
    <row r="133">
      <c r="A133" s="7">
        <f>IFERROR(__xludf.DUMMYFUNCTION("""COMPUTED_VALUE"""),46246.0)</f>
        <v>46246</v>
      </c>
      <c r="B133" s="3" t="str">
        <f>IFERROR(__xludf.DUMMYFUNCTION("""COMPUTED_VALUE"""),"TRSF E-BANKING DB")</f>
        <v>TRSF E-BANKING DB</v>
      </c>
      <c r="C133" s="3" t="str">
        <f>IFERROR(__xludf.DUMMYFUNCTION("""COMPUTED_VALUE"""),"1208/FTSCY/WS95031 1083720.00 ANDE DOSO ANGGORO")</f>
        <v>1208/FTSCY/WS95031 1083720.00 ANDE DOSO ANGGORO</v>
      </c>
      <c r="D133" s="3">
        <f>IFERROR(__xludf.DUMMYFUNCTION("""COMPUTED_VALUE"""),1083720.0)</f>
        <v>1083720</v>
      </c>
      <c r="E133" s="3"/>
      <c r="F133" s="3" t="str">
        <f>IFERROR(__xludf.DUMMYFUNCTION("""COMPUTED_VALUE"""),"DB")</f>
        <v>DB</v>
      </c>
      <c r="G133" s="3">
        <f>IFERROR(__xludf.DUMMYFUNCTION("""COMPUTED_VALUE"""),3.8061398457000005E8)</f>
        <v>380613984.6</v>
      </c>
      <c r="H133" s="3"/>
      <c r="I133" s="3"/>
    </row>
    <row r="134">
      <c r="A134" s="7">
        <f>IFERROR(__xludf.DUMMYFUNCTION("""COMPUTED_VALUE"""),46246.0)</f>
        <v>46246</v>
      </c>
      <c r="B134" s="3" t="str">
        <f>IFERROR(__xludf.DUMMYFUNCTION("""COMPUTED_VALUE"""),"TRSF E-BANKING DB")</f>
        <v>TRSF E-BANKING DB</v>
      </c>
      <c r="C134" s="3" t="str">
        <f>IFERROR(__xludf.DUMMYFUNCTION("""COMPUTED_VALUE"""),"1208/FTSCY/WS95031 4839045.00 DWI HERMANSYAH")</f>
        <v>1208/FTSCY/WS95031 4839045.00 DWI HERMANSYAH</v>
      </c>
      <c r="D134" s="3">
        <f>IFERROR(__xludf.DUMMYFUNCTION("""COMPUTED_VALUE"""),4839045.0)</f>
        <v>4839045</v>
      </c>
      <c r="E134" s="3"/>
      <c r="F134" s="3" t="str">
        <f>IFERROR(__xludf.DUMMYFUNCTION("""COMPUTED_VALUE"""),"DB")</f>
        <v>DB</v>
      </c>
      <c r="G134" s="3">
        <f>IFERROR(__xludf.DUMMYFUNCTION("""COMPUTED_VALUE"""),3.7577493957000005E8)</f>
        <v>375774939.6</v>
      </c>
      <c r="H134" s="3"/>
      <c r="I134" s="3"/>
    </row>
    <row r="135">
      <c r="A135" s="7">
        <f>IFERROR(__xludf.DUMMYFUNCTION("""COMPUTED_VALUE"""),46246.0)</f>
        <v>46246</v>
      </c>
      <c r="B135" s="3" t="str">
        <f>IFERROR(__xludf.DUMMYFUNCTION("""COMPUTED_VALUE"""),"TRSF E-BANKING DB")</f>
        <v>TRSF E-BANKING DB</v>
      </c>
      <c r="C135" s="3" t="str">
        <f>IFERROR(__xludf.DUMMYFUNCTION("""COMPUTED_VALUE"""),"1208/FTSCY/WS95031 6731605.00 HERMAWAN")</f>
        <v>1208/FTSCY/WS95031 6731605.00 HERMAWAN</v>
      </c>
      <c r="D135" s="3">
        <f>IFERROR(__xludf.DUMMYFUNCTION("""COMPUTED_VALUE"""),6731605.0)</f>
        <v>6731605</v>
      </c>
      <c r="E135" s="3"/>
      <c r="F135" s="3" t="str">
        <f>IFERROR(__xludf.DUMMYFUNCTION("""COMPUTED_VALUE"""),"DB")</f>
        <v>DB</v>
      </c>
      <c r="G135" s="3">
        <f>IFERROR(__xludf.DUMMYFUNCTION("""COMPUTED_VALUE"""),3.6904333457000005E8)</f>
        <v>369043334.6</v>
      </c>
      <c r="H135" s="3"/>
      <c r="I135" s="3"/>
    </row>
    <row r="136">
      <c r="A136" s="7">
        <f>IFERROR(__xludf.DUMMYFUNCTION("""COMPUTED_VALUE"""),46246.0)</f>
        <v>46246</v>
      </c>
      <c r="B136" s="3" t="str">
        <f>IFERROR(__xludf.DUMMYFUNCTION("""COMPUTED_VALUE"""),"TRSF E-BANKING DB")</f>
        <v>TRSF E-BANKING DB</v>
      </c>
      <c r="C136" s="3" t="str">
        <f>IFERROR(__xludf.DUMMYFUNCTION("""COMPUTED_VALUE"""),"1208/FTSCY/WS95031 3205065.00 FAJAR ANDREANZAH")</f>
        <v>1208/FTSCY/WS95031 3205065.00 FAJAR ANDREANZAH</v>
      </c>
      <c r="D136" s="3">
        <f>IFERROR(__xludf.DUMMYFUNCTION("""COMPUTED_VALUE"""),3205065.0)</f>
        <v>3205065</v>
      </c>
      <c r="E136" s="3"/>
      <c r="F136" s="3" t="str">
        <f>IFERROR(__xludf.DUMMYFUNCTION("""COMPUTED_VALUE"""),"DB")</f>
        <v>DB</v>
      </c>
      <c r="G136" s="3">
        <f>IFERROR(__xludf.DUMMYFUNCTION("""COMPUTED_VALUE"""),3.4981956957000005E8)</f>
        <v>349819569.6</v>
      </c>
      <c r="H136" s="3"/>
      <c r="I136" s="3"/>
    </row>
    <row r="137">
      <c r="A137" s="7">
        <f>IFERROR(__xludf.DUMMYFUNCTION("""COMPUTED_VALUE"""),46246.0)</f>
        <v>46246</v>
      </c>
      <c r="B137" s="3" t="str">
        <f>IFERROR(__xludf.DUMMYFUNCTION("""COMPUTED_VALUE"""),"TRSF E-BANKING DB")</f>
        <v>TRSF E-BANKING DB</v>
      </c>
      <c r="C137" s="3" t="str">
        <f>IFERROR(__xludf.DUMMYFUNCTION("""COMPUTED_VALUE"""),"1208/FTSCY/WS95031 4283175.00 MUJIANTO")</f>
        <v>1208/FTSCY/WS95031 4283175.00 MUJIANTO</v>
      </c>
      <c r="D137" s="3">
        <f>IFERROR(__xludf.DUMMYFUNCTION("""COMPUTED_VALUE"""),4283175.0)</f>
        <v>4283175</v>
      </c>
      <c r="E137" s="3"/>
      <c r="F137" s="3" t="str">
        <f>IFERROR(__xludf.DUMMYFUNCTION("""COMPUTED_VALUE"""),"DB")</f>
        <v>DB</v>
      </c>
      <c r="G137" s="3">
        <f>IFERROR(__xludf.DUMMYFUNCTION("""COMPUTED_VALUE"""),3.4553639457000005E8)</f>
        <v>345536394.6</v>
      </c>
      <c r="H137" s="3"/>
      <c r="I137" s="3"/>
    </row>
    <row r="138">
      <c r="A138" s="7">
        <f>IFERROR(__xludf.DUMMYFUNCTION("""COMPUTED_VALUE"""),46246.0)</f>
        <v>46246</v>
      </c>
      <c r="B138" s="3" t="str">
        <f>IFERROR(__xludf.DUMMYFUNCTION("""COMPUTED_VALUE"""),"TRSF E-BANKING DB")</f>
        <v>TRSF E-BANKING DB</v>
      </c>
      <c r="C138" s="3" t="str">
        <f>IFERROR(__xludf.DUMMYFUNCTION("""COMPUTED_VALUE"""),"1208/FTSCY/WS95271 46000000.00 pelunasan LAJU SATWA WISESA")</f>
        <v>1208/FTSCY/WS95271 46000000.00 pelunasan LAJU SATWA WISESA</v>
      </c>
      <c r="D138" s="3">
        <f>IFERROR(__xludf.DUMMYFUNCTION("""COMPUTED_VALUE"""),4.6E7)</f>
        <v>46000000</v>
      </c>
      <c r="E138" s="3"/>
      <c r="F138" s="3" t="str">
        <f>IFERROR(__xludf.DUMMYFUNCTION("""COMPUTED_VALUE"""),"DB")</f>
        <v>DB</v>
      </c>
      <c r="G138" s="3">
        <f>IFERROR(__xludf.DUMMYFUNCTION("""COMPUTED_VALUE"""),2.9953639457000005E8)</f>
        <v>299536394.6</v>
      </c>
      <c r="H138" s="3"/>
      <c r="I138" s="3"/>
    </row>
    <row r="139">
      <c r="A139" s="7">
        <f>IFERROR(__xludf.DUMMYFUNCTION("""COMPUTED_VALUE"""),46246.0)</f>
        <v>46246</v>
      </c>
      <c r="B139" s="3" t="str">
        <f>IFERROR(__xludf.DUMMYFUNCTION("""COMPUTED_VALUE"""),"TRSF E-BANKING DB")</f>
        <v>TRSF E-BANKING DB</v>
      </c>
      <c r="C139" s="3" t="str">
        <f>IFERROR(__xludf.DUMMYFUNCTION("""COMPUTED_VALUE"""),"1208/FTSCY/WS95271 71256700.00 Mon Aug 10 2026 14:00:00 GMT+0700 (Western Indonesia Time) BROILER MAKMUR TAN")</f>
        <v>1208/FTSCY/WS95271 71256700.00 Mon Aug 10 2026 14:00:00 GMT+0700 (Western Indonesia Time) BROILER MAKMUR TAN</v>
      </c>
      <c r="D139" s="3">
        <f>IFERROR(__xludf.DUMMYFUNCTION("""COMPUTED_VALUE"""),7.12567E7)</f>
        <v>71256700</v>
      </c>
      <c r="E139" s="3"/>
      <c r="F139" s="3" t="str">
        <f>IFERROR(__xludf.DUMMYFUNCTION("""COMPUTED_VALUE"""),"DB")</f>
        <v>DB</v>
      </c>
      <c r="G139" s="3">
        <f>IFERROR(__xludf.DUMMYFUNCTION("""COMPUTED_VALUE"""),2.2827969457000005E8)</f>
        <v>228279694.6</v>
      </c>
      <c r="H139" s="3"/>
      <c r="I139" s="3"/>
    </row>
    <row r="140">
      <c r="A140" s="7">
        <f>IFERROR(__xludf.DUMMYFUNCTION("""COMPUTED_VALUE"""),46246.0)</f>
        <v>46246</v>
      </c>
      <c r="B140" s="3" t="str">
        <f>IFERROR(__xludf.DUMMYFUNCTION("""COMPUTED_VALUE"""),"TRSF E-BANKING DB")</f>
        <v>TRSF E-BANKING DB</v>
      </c>
      <c r="C140" s="3" t="str">
        <f>IFERROR(__xludf.DUMMYFUNCTION("""COMPUTED_VALUE"""),"1208/FTSCY/WS95271 135228000.00 Mon Aug 10 2026 14:00:00 GMT+0700 (Western Indonesia Time) ANDALAN YASA MITRA")</f>
        <v>1208/FTSCY/WS95271 135228000.00 Mon Aug 10 2026 14:00:00 GMT+0700 (Western Indonesia Time) ANDALAN YASA MITRA</v>
      </c>
      <c r="D140" s="3">
        <f>IFERROR(__xludf.DUMMYFUNCTION("""COMPUTED_VALUE"""),1.35228E8)</f>
        <v>135228000</v>
      </c>
      <c r="E140" s="3"/>
      <c r="F140" s="3" t="str">
        <f>IFERROR(__xludf.DUMMYFUNCTION("""COMPUTED_VALUE"""),"DB")</f>
        <v>DB</v>
      </c>
      <c r="G140" s="3">
        <f>IFERROR(__xludf.DUMMYFUNCTION("""COMPUTED_VALUE"""),9.305169457000005E7)</f>
        <v>93051694.57</v>
      </c>
      <c r="H140" s="3"/>
      <c r="I140" s="3"/>
    </row>
    <row r="141">
      <c r="A141" s="7">
        <f>IFERROR(__xludf.DUMMYFUNCTION("""COMPUTED_VALUE"""),46246.0)</f>
        <v>46246</v>
      </c>
      <c r="B141" s="3" t="str">
        <f>IFERROR(__xludf.DUMMYFUNCTION("""COMPUTED_VALUE"""),"TRSF E-BANKING DB")</f>
        <v>TRSF E-BANKING DB</v>
      </c>
      <c r="C141" s="3" t="str">
        <f>IFERROR(__xludf.DUMMYFUNCTION("""COMPUTED_VALUE"""),"1208/FTSCY/WS95271 1700000.00 SUNARTO")</f>
        <v>1208/FTSCY/WS95271 1700000.00 SUNARTO</v>
      </c>
      <c r="D141" s="3">
        <f>IFERROR(__xludf.DUMMYFUNCTION("""COMPUTED_VALUE"""),1700000.0)</f>
        <v>1700000</v>
      </c>
      <c r="E141" s="3"/>
      <c r="F141" s="3" t="str">
        <f>IFERROR(__xludf.DUMMYFUNCTION("""COMPUTED_VALUE"""),"DB")</f>
        <v>DB</v>
      </c>
      <c r="G141" s="3">
        <f>IFERROR(__xludf.DUMMYFUNCTION("""COMPUTED_VALUE"""),9.135169457000005E7)</f>
        <v>91351694.57</v>
      </c>
      <c r="H141" s="3"/>
      <c r="I141" s="3"/>
    </row>
    <row r="142">
      <c r="A142" s="7">
        <f>IFERROR(__xludf.DUMMYFUNCTION("""COMPUTED_VALUE"""),46246.0)</f>
        <v>46246</v>
      </c>
      <c r="B142" s="3" t="str">
        <f>IFERROR(__xludf.DUMMYFUNCTION("""COMPUTED_VALUE"""),"TRSF E-BANKING DB")</f>
        <v>TRSF E-BANKING DB</v>
      </c>
      <c r="C142" s="3" t="str">
        <f>IFERROR(__xludf.DUMMYFUNCTION("""COMPUTED_VALUE"""),"1208/FTSCY/WS95271 3103770.00 NURHAYATI")</f>
        <v>1208/FTSCY/WS95271 3103770.00 NURHAYATI</v>
      </c>
      <c r="D142" s="3">
        <f>IFERROR(__xludf.DUMMYFUNCTION("""COMPUTED_VALUE"""),3103770.0)</f>
        <v>3103770</v>
      </c>
      <c r="E142" s="3"/>
      <c r="F142" s="3" t="str">
        <f>IFERROR(__xludf.DUMMYFUNCTION("""COMPUTED_VALUE"""),"DB")</f>
        <v>DB</v>
      </c>
      <c r="G142" s="3">
        <f>IFERROR(__xludf.DUMMYFUNCTION("""COMPUTED_VALUE"""),8.824792457000005E7)</f>
        <v>88247924.57</v>
      </c>
      <c r="H142" s="3">
        <f>IFERROR(__xludf.DUMMYFUNCTION("""COMPUTED_VALUE"""),8.824792457E7)</f>
        <v>88247924.57</v>
      </c>
      <c r="I142" s="3"/>
    </row>
    <row r="143">
      <c r="A143" s="7">
        <f>IFERROR(__xludf.DUMMYFUNCTION("""COMPUTED_VALUE"""),46247.0)</f>
        <v>46247</v>
      </c>
      <c r="B143" s="3" t="str">
        <f>IFERROR(__xludf.DUMMYFUNCTION("""COMPUTED_VALUE"""),"TRSF E-BANKING DB")</f>
        <v>TRSF E-BANKING DB</v>
      </c>
      <c r="C143" s="3" t="str">
        <f>IFERROR(__xludf.DUMMYFUNCTION("""COMPUTED_VALUE"""),"1308/FTSCY/WS95271 133280250.00 Tue Aug 11 2026 14:00:00 GMT+0700 (Western Indonesia Time) ANUGERAH KARTIKA A")</f>
        <v>1308/FTSCY/WS95271 133280250.00 Tue Aug 11 2026 14:00:00 GMT+0700 (Western Indonesia Time) ANUGERAH KARTIKA A</v>
      </c>
      <c r="D143" s="3">
        <f>IFERROR(__xludf.DUMMYFUNCTION("""COMPUTED_VALUE"""),1.3328025E8)</f>
        <v>133280250</v>
      </c>
      <c r="E143" s="3"/>
      <c r="F143" s="3" t="str">
        <f>IFERROR(__xludf.DUMMYFUNCTION("""COMPUTED_VALUE"""),"DB")</f>
        <v>DB</v>
      </c>
      <c r="G143" s="3">
        <f>IFERROR(__xludf.DUMMYFUNCTION("""COMPUTED_VALUE"""),3.3992633457000005E8)</f>
        <v>339926334.6</v>
      </c>
      <c r="H143" s="3"/>
      <c r="I143" s="3"/>
    </row>
    <row r="144">
      <c r="A144" s="7">
        <f>IFERROR(__xludf.DUMMYFUNCTION("""COMPUTED_VALUE"""),46247.0)</f>
        <v>46247</v>
      </c>
      <c r="B144" s="3" t="str">
        <f>IFERROR(__xludf.DUMMYFUNCTION("""COMPUTED_VALUE"""),"TRSF E-BANKING DB")</f>
        <v>TRSF E-BANKING DB</v>
      </c>
      <c r="C144" s="3" t="str">
        <f>IFERROR(__xludf.DUMMYFUNCTION("""COMPUTED_VALUE"""),"1308/FTSCY/WS95271 74781000.00 Mon Aug 10 2026 14:00:00 GMT+0700 (Western Indonesia Time) RUKUN MITRA BERSAM")</f>
        <v>1308/FTSCY/WS95271 74781000.00 Mon Aug 10 2026 14:00:00 GMT+0700 (Western Indonesia Time) RUKUN MITRA BERSAM</v>
      </c>
      <c r="D144" s="3">
        <f>IFERROR(__xludf.DUMMYFUNCTION("""COMPUTED_VALUE"""),7.4781E7)</f>
        <v>74781000</v>
      </c>
      <c r="E144" s="3"/>
      <c r="F144" s="3" t="str">
        <f>IFERROR(__xludf.DUMMYFUNCTION("""COMPUTED_VALUE"""),"DB")</f>
        <v>DB</v>
      </c>
      <c r="G144" s="3">
        <f>IFERROR(__xludf.DUMMYFUNCTION("""COMPUTED_VALUE"""),2.6514533457000005E8)</f>
        <v>265145334.6</v>
      </c>
      <c r="H144" s="3">
        <f>IFERROR(__xludf.DUMMYFUNCTION("""COMPUTED_VALUE"""),2.6514533457E8)</f>
        <v>265145334.6</v>
      </c>
      <c r="I144" s="3"/>
    </row>
    <row r="145">
      <c r="A145" s="7">
        <f>IFERROR(__xludf.DUMMYFUNCTION("""COMPUTED_VALUE"""),46247.0)</f>
        <v>46247</v>
      </c>
      <c r="B145" s="3" t="str">
        <f>IFERROR(__xludf.DUMMYFUNCTION("""COMPUTED_VALUE"""),"TRSF E-BANKING DB")</f>
        <v>TRSF E-BANKING DB</v>
      </c>
      <c r="C145" s="3" t="str">
        <f>IFERROR(__xludf.DUMMYFUNCTION("""COMPUTED_VALUE"""),"1308/FTSCY/WS95031 5400000.00 NURUL AINI")</f>
        <v>1308/FTSCY/WS95031 5400000.00 NURUL AINI</v>
      </c>
      <c r="D145" s="3">
        <f>IFERROR(__xludf.DUMMYFUNCTION("""COMPUTED_VALUE"""),5400000.0)</f>
        <v>5400000</v>
      </c>
      <c r="E145" s="3"/>
      <c r="F145" s="3" t="str">
        <f>IFERROR(__xludf.DUMMYFUNCTION("""COMPUTED_VALUE"""),"DB")</f>
        <v>DB</v>
      </c>
      <c r="G145" s="3">
        <f>IFERROR(__xludf.DUMMYFUNCTION("""COMPUTED_VALUE"""),2.5974533457000005E8)</f>
        <v>259745334.6</v>
      </c>
      <c r="H145" s="3">
        <f>IFERROR(__xludf.DUMMYFUNCTION("""COMPUTED_VALUE"""),2.5974533457E8)</f>
        <v>259745334.6</v>
      </c>
      <c r="I145" s="3"/>
    </row>
    <row r="146">
      <c r="A146" s="7">
        <f>IFERROR(__xludf.DUMMYFUNCTION("""COMPUTED_VALUE"""),46247.0)</f>
        <v>46247</v>
      </c>
      <c r="B146" s="3" t="str">
        <f>IFERROR(__xludf.DUMMYFUNCTION("""COMPUTED_VALUE"""),"TRSF E-BANKING DB")</f>
        <v>TRSF E-BANKING DB</v>
      </c>
      <c r="C146" s="3" t="str">
        <f>IFERROR(__xludf.DUMMYFUNCTION("""COMPUTED_VALUE"""),"1308/FTSCY/WS95271 85100000.00 Sun Oct 11 2026 14:00:00 GMT+0700 (Western Indonesia Time) LAJU SATWA WISESA")</f>
        <v>1308/FTSCY/WS95271 85100000.00 Sun Oct 11 2026 14:00:00 GMT+0700 (Western Indonesia Time) LAJU SATWA WISESA</v>
      </c>
      <c r="D146" s="3">
        <f>IFERROR(__xludf.DUMMYFUNCTION("""COMPUTED_VALUE"""),8.51E7)</f>
        <v>85100000</v>
      </c>
      <c r="E146" s="3"/>
      <c r="F146" s="3" t="str">
        <f>IFERROR(__xludf.DUMMYFUNCTION("""COMPUTED_VALUE"""),"DB")</f>
        <v>DB</v>
      </c>
      <c r="G146" s="3">
        <f>IFERROR(__xludf.DUMMYFUNCTION("""COMPUTED_VALUE"""),1.7464533457000005E8)</f>
        <v>174645334.6</v>
      </c>
      <c r="H146" s="3"/>
      <c r="I146" s="3"/>
    </row>
    <row r="147">
      <c r="A147" s="7">
        <f>IFERROR(__xludf.DUMMYFUNCTION("""COMPUTED_VALUE"""),46247.0)</f>
        <v>46247</v>
      </c>
      <c r="B147" s="3" t="str">
        <f>IFERROR(__xludf.DUMMYFUNCTION("""COMPUTED_VALUE"""),"TRSF E-BANKING DB")</f>
        <v>TRSF E-BANKING DB</v>
      </c>
      <c r="C147" s="3" t="str">
        <f>IFERROR(__xludf.DUMMYFUNCTION("""COMPUTED_VALUE"""),"1308/FTSCY/WS95031 70000000.00 pelunasan LAJU SATWA WISESA")</f>
        <v>1308/FTSCY/WS95031 70000000.00 pelunasan LAJU SATWA WISESA</v>
      </c>
      <c r="D147" s="3">
        <f>IFERROR(__xludf.DUMMYFUNCTION("""COMPUTED_VALUE"""),7.0E7)</f>
        <v>70000000</v>
      </c>
      <c r="E147" s="3"/>
      <c r="F147" s="3" t="str">
        <f>IFERROR(__xludf.DUMMYFUNCTION("""COMPUTED_VALUE"""),"DB")</f>
        <v>DB</v>
      </c>
      <c r="G147" s="3">
        <f>IFERROR(__xludf.DUMMYFUNCTION("""COMPUTED_VALUE"""),1.0464533457000005E8)</f>
        <v>104645334.6</v>
      </c>
      <c r="H147" s="3"/>
      <c r="I147" s="3"/>
    </row>
    <row r="148">
      <c r="A148" s="7">
        <f>IFERROR(__xludf.DUMMYFUNCTION("""COMPUTED_VALUE"""),46247.0)</f>
        <v>46247</v>
      </c>
      <c r="B148" s="3" t="str">
        <f>IFERROR(__xludf.DUMMYFUNCTION("""COMPUTED_VALUE"""),"TRSF E-BANKING DB")</f>
        <v>TRSF E-BANKING DB</v>
      </c>
      <c r="C148" s="3" t="str">
        <f>IFERROR(__xludf.DUMMYFUNCTION("""COMPUTED_VALUE"""),"1308/FTSCY/WS95011 77796750.00 Tue Aug 11 2026 14:00:00 GMT+0700 (Western Indonesia Time) ANUGERAH KARTIKA A")</f>
        <v>1308/FTSCY/WS95011 77796750.00 Tue Aug 11 2026 14:00:00 GMT+0700 (Western Indonesia Time) ANUGERAH KARTIKA A</v>
      </c>
      <c r="D148" s="3">
        <f>IFERROR(__xludf.DUMMYFUNCTION("""COMPUTED_VALUE"""),7.779675E7)</f>
        <v>77796750</v>
      </c>
      <c r="E148" s="3"/>
      <c r="F148" s="3" t="str">
        <f>IFERROR(__xludf.DUMMYFUNCTION("""COMPUTED_VALUE"""),"DB")</f>
        <v>DB</v>
      </c>
      <c r="G148" s="3">
        <f>IFERROR(__xludf.DUMMYFUNCTION("""COMPUTED_VALUE"""),2.6848584570000052E7)</f>
        <v>26848584.57</v>
      </c>
      <c r="H148" s="3"/>
      <c r="I148" s="3"/>
    </row>
    <row r="149">
      <c r="A149" s="7">
        <f>IFERROR(__xludf.DUMMYFUNCTION("""COMPUTED_VALUE"""),46247.0)</f>
        <v>46247</v>
      </c>
      <c r="B149" s="3" t="str">
        <f>IFERROR(__xludf.DUMMYFUNCTION("""COMPUTED_VALUE"""),"TRSF E-BANKING DB")</f>
        <v>TRSF E-BANKING DB</v>
      </c>
      <c r="C149" s="3" t="str">
        <f>IFERROR(__xludf.DUMMYFUNCTION("""COMPUTED_VALUE"""),"1308/FTSCY/WS95031 102000.00 DEWA MAHARDHIKA")</f>
        <v>1308/FTSCY/WS95031 102000.00 DEWA MAHARDHIKA</v>
      </c>
      <c r="D149" s="3">
        <f>IFERROR(__xludf.DUMMYFUNCTION("""COMPUTED_VALUE"""),102000.0)</f>
        <v>102000</v>
      </c>
      <c r="E149" s="3"/>
      <c r="F149" s="3" t="str">
        <f>IFERROR(__xludf.DUMMYFUNCTION("""COMPUTED_VALUE"""),"DB")</f>
        <v>DB</v>
      </c>
      <c r="G149" s="3">
        <f>IFERROR(__xludf.DUMMYFUNCTION("""COMPUTED_VALUE"""),2.6746584570000052E7)</f>
        <v>26746584.57</v>
      </c>
      <c r="H149" s="3"/>
      <c r="I149" s="3"/>
    </row>
    <row r="150">
      <c r="A150" s="7">
        <f>IFERROR(__xludf.DUMMYFUNCTION("""COMPUTED_VALUE"""),46247.0)</f>
        <v>46247</v>
      </c>
      <c r="B150" s="3" t="str">
        <f>IFERROR(__xludf.DUMMYFUNCTION("""COMPUTED_VALUE"""),"KARTU DEBIT")</f>
        <v>KARTU DEBIT</v>
      </c>
      <c r="C150" s="3" t="str">
        <f>IFERROR(__xludf.DUMMYFUNCTION("""COMPUTED_VALUE"""),"ALFAMRT Y136 AJSJ 6019009510239343")</f>
        <v>ALFAMRT Y136 AJSJ 6019009510239343</v>
      </c>
      <c r="D150" s="3">
        <f>IFERROR(__xludf.DUMMYFUNCTION("""COMPUTED_VALUE"""),276100.0)</f>
        <v>276100</v>
      </c>
      <c r="E150" s="3"/>
      <c r="F150" s="3"/>
      <c r="G150" s="3">
        <f>IFERROR(__xludf.DUMMYFUNCTION("""COMPUTED_VALUE"""),2.6470484570000052E7)</f>
        <v>26470484.57</v>
      </c>
      <c r="H150" s="3"/>
      <c r="I150" s="3"/>
    </row>
    <row r="151">
      <c r="A151" s="7"/>
    </row>
    <row r="152">
      <c r="A152" s="7"/>
    </row>
    <row r="153">
      <c r="A153" s="7"/>
    </row>
    <row r="154">
      <c r="A154" s="7"/>
    </row>
    <row r="155">
      <c r="A155" s="7"/>
    </row>
    <row r="156">
      <c r="A156" s="7"/>
    </row>
    <row r="157">
      <c r="A157" s="7"/>
    </row>
    <row r="158">
      <c r="A158" s="7"/>
    </row>
    <row r="159">
      <c r="A159" s="7"/>
    </row>
    <row r="160">
      <c r="A160" s="7"/>
    </row>
    <row r="161">
      <c r="A161" s="7"/>
    </row>
    <row r="162">
      <c r="A162" s="7"/>
    </row>
    <row r="163">
      <c r="A163" s="7"/>
    </row>
    <row r="164">
      <c r="A164" s="7"/>
    </row>
    <row r="165">
      <c r="A165" s="7"/>
    </row>
    <row r="166">
      <c r="A166" s="7"/>
    </row>
    <row r="167">
      <c r="A167" s="7"/>
    </row>
    <row r="168">
      <c r="A168" s="7"/>
    </row>
    <row r="169">
      <c r="A169" s="7"/>
    </row>
    <row r="170">
      <c r="A170" s="7"/>
    </row>
    <row r="171">
      <c r="A171" s="7"/>
    </row>
    <row r="172">
      <c r="A172" s="7"/>
    </row>
    <row r="173">
      <c r="A173" s="7"/>
    </row>
    <row r="174">
      <c r="A174" s="7"/>
    </row>
    <row r="175">
      <c r="A175" s="7"/>
    </row>
    <row r="176">
      <c r="A176" s="7"/>
    </row>
    <row r="177">
      <c r="A177" s="7"/>
    </row>
    <row r="178">
      <c r="A178" s="7"/>
    </row>
    <row r="179">
      <c r="A179" s="7"/>
    </row>
    <row r="180">
      <c r="A180" s="7"/>
    </row>
    <row r="181">
      <c r="A181" s="7"/>
    </row>
    <row r="182">
      <c r="A182" s="7"/>
    </row>
    <row r="183">
      <c r="A183" s="7"/>
    </row>
    <row r="184">
      <c r="A184" s="7"/>
    </row>
    <row r="185">
      <c r="A185" s="7"/>
    </row>
    <row r="186">
      <c r="A186" s="7"/>
    </row>
    <row r="187">
      <c r="A187" s="7"/>
    </row>
    <row r="188">
      <c r="A188" s="7"/>
    </row>
    <row r="189">
      <c r="A189" s="7"/>
    </row>
    <row r="190">
      <c r="A190" s="7"/>
    </row>
    <row r="191">
      <c r="A191" s="7"/>
    </row>
    <row r="192">
      <c r="A192" s="7"/>
    </row>
    <row r="193">
      <c r="A193" s="7"/>
    </row>
    <row r="194">
      <c r="A194" s="7"/>
    </row>
    <row r="195">
      <c r="A195" s="7"/>
    </row>
    <row r="196">
      <c r="A196" s="7"/>
    </row>
    <row r="197">
      <c r="A197" s="7"/>
    </row>
    <row r="198">
      <c r="A198" s="7"/>
    </row>
    <row r="199">
      <c r="A199" s="7"/>
    </row>
    <row r="200">
      <c r="A200" s="7"/>
    </row>
    <row r="201">
      <c r="A201" s="7"/>
    </row>
    <row r="202">
      <c r="A202" s="7"/>
    </row>
    <row r="203">
      <c r="A203" s="7"/>
    </row>
    <row r="204">
      <c r="A204" s="7"/>
    </row>
    <row r="205">
      <c r="A205" s="7"/>
    </row>
    <row r="206">
      <c r="A206" s="7"/>
    </row>
    <row r="207">
      <c r="A207" s="7"/>
    </row>
    <row r="208">
      <c r="A208" s="7"/>
    </row>
    <row r="209">
      <c r="A209" s="7"/>
    </row>
    <row r="210">
      <c r="A210" s="7"/>
    </row>
    <row r="211">
      <c r="A211" s="7"/>
    </row>
    <row r="212">
      <c r="A212" s="7"/>
    </row>
    <row r="213">
      <c r="A213" s="7"/>
    </row>
    <row r="214">
      <c r="A214" s="7"/>
    </row>
    <row r="215">
      <c r="A215" s="7"/>
    </row>
    <row r="216">
      <c r="A216" s="7"/>
    </row>
    <row r="217">
      <c r="A217" s="7"/>
    </row>
    <row r="218">
      <c r="A218" s="7"/>
    </row>
    <row r="219">
      <c r="A219" s="7"/>
    </row>
    <row r="220">
      <c r="A220" s="7"/>
    </row>
    <row r="221">
      <c r="A221" s="7"/>
    </row>
    <row r="222">
      <c r="A222" s="7"/>
    </row>
    <row r="223">
      <c r="A223" s="7"/>
    </row>
    <row r="224">
      <c r="A224" s="7"/>
    </row>
    <row r="225">
      <c r="A225" s="7"/>
    </row>
    <row r="226">
      <c r="A226" s="7"/>
    </row>
    <row r="227">
      <c r="A227" s="7"/>
    </row>
    <row r="228">
      <c r="A228" s="7"/>
    </row>
    <row r="229">
      <c r="A229" s="7"/>
    </row>
    <row r="230">
      <c r="A230" s="7"/>
    </row>
    <row r="231">
      <c r="A231" s="7"/>
    </row>
    <row r="232">
      <c r="A232" s="7"/>
    </row>
    <row r="233">
      <c r="A233" s="7"/>
    </row>
    <row r="234">
      <c r="A234" s="7"/>
    </row>
    <row r="235">
      <c r="A235" s="7"/>
    </row>
    <row r="236">
      <c r="A236" s="7"/>
    </row>
    <row r="237">
      <c r="A237" s="7"/>
    </row>
    <row r="238">
      <c r="A238" s="7"/>
    </row>
    <row r="239">
      <c r="A239" s="7"/>
    </row>
    <row r="240">
      <c r="A240" s="7"/>
    </row>
    <row r="241">
      <c r="A241" s="7"/>
    </row>
    <row r="242">
      <c r="A242" s="7"/>
    </row>
    <row r="243">
      <c r="A243" s="7"/>
    </row>
    <row r="244">
      <c r="A244" s="7"/>
    </row>
    <row r="245">
      <c r="A245" s="7"/>
    </row>
    <row r="246">
      <c r="A246" s="7"/>
    </row>
    <row r="247">
      <c r="A247" s="7"/>
    </row>
    <row r="248">
      <c r="A248" s="7"/>
    </row>
    <row r="249">
      <c r="A249" s="7"/>
    </row>
    <row r="250">
      <c r="A250" s="7"/>
    </row>
    <row r="251">
      <c r="A251" s="7"/>
    </row>
    <row r="252">
      <c r="A252" s="7"/>
    </row>
    <row r="253">
      <c r="A253" s="7"/>
    </row>
    <row r="254">
      <c r="A254" s="7"/>
    </row>
    <row r="255">
      <c r="A255" s="7"/>
    </row>
    <row r="256">
      <c r="A256" s="7"/>
    </row>
    <row r="257">
      <c r="A257" s="7"/>
    </row>
    <row r="258">
      <c r="A258" s="7"/>
    </row>
    <row r="259">
      <c r="A259" s="7"/>
    </row>
    <row r="260">
      <c r="A260" s="7"/>
    </row>
    <row r="261">
      <c r="A261" s="7"/>
    </row>
    <row r="262">
      <c r="A262" s="7"/>
    </row>
    <row r="263">
      <c r="A263" s="7"/>
    </row>
    <row r="264">
      <c r="A264" s="7"/>
    </row>
    <row r="265">
      <c r="A265" s="7"/>
    </row>
    <row r="266">
      <c r="A266" s="7"/>
    </row>
    <row r="267">
      <c r="A267" s="7"/>
    </row>
    <row r="268">
      <c r="A268" s="7"/>
    </row>
    <row r="269">
      <c r="A269" s="7"/>
    </row>
    <row r="270">
      <c r="A270" s="7"/>
    </row>
    <row r="271">
      <c r="A271" s="7"/>
    </row>
    <row r="272">
      <c r="A272" s="7"/>
    </row>
    <row r="273">
      <c r="A273" s="7"/>
    </row>
    <row r="274">
      <c r="A274" s="7"/>
    </row>
    <row r="275">
      <c r="A275" s="7"/>
    </row>
    <row r="276">
      <c r="A276" s="7"/>
    </row>
    <row r="277">
      <c r="A277" s="7"/>
    </row>
    <row r="278">
      <c r="A278" s="7"/>
    </row>
    <row r="279">
      <c r="A279" s="7"/>
    </row>
    <row r="280">
      <c r="A280" s="7"/>
    </row>
    <row r="281">
      <c r="A281" s="7"/>
    </row>
    <row r="282">
      <c r="A282" s="7"/>
    </row>
    <row r="283">
      <c r="A283" s="7"/>
    </row>
    <row r="284">
      <c r="A284" s="7"/>
    </row>
    <row r="285">
      <c r="A285" s="7"/>
    </row>
    <row r="286">
      <c r="A286" s="7"/>
    </row>
    <row r="287">
      <c r="A287" s="7"/>
    </row>
    <row r="288">
      <c r="A288" s="7"/>
    </row>
    <row r="289">
      <c r="A289" s="7"/>
    </row>
    <row r="290">
      <c r="A290" s="7"/>
    </row>
    <row r="291">
      <c r="A291" s="7"/>
    </row>
    <row r="292">
      <c r="A292" s="7"/>
    </row>
    <row r="293">
      <c r="A293" s="7"/>
    </row>
    <row r="294">
      <c r="A294" s="7"/>
    </row>
    <row r="295">
      <c r="A295" s="7"/>
    </row>
    <row r="296">
      <c r="A296" s="7"/>
    </row>
    <row r="297">
      <c r="A297" s="7"/>
    </row>
    <row r="298">
      <c r="A298" s="7"/>
    </row>
    <row r="299">
      <c r="A299" s="7"/>
    </row>
    <row r="300">
      <c r="A300" s="7"/>
    </row>
    <row r="301">
      <c r="A301" s="7"/>
    </row>
    <row r="302">
      <c r="A302" s="7"/>
    </row>
    <row r="303">
      <c r="A303" s="7"/>
    </row>
    <row r="304">
      <c r="A304" s="7"/>
    </row>
    <row r="305">
      <c r="A305" s="7"/>
    </row>
    <row r="306">
      <c r="A306" s="7"/>
    </row>
    <row r="307">
      <c r="A307" s="7"/>
    </row>
    <row r="308">
      <c r="A308" s="7"/>
    </row>
    <row r="309">
      <c r="A309" s="7"/>
    </row>
    <row r="310">
      <c r="A310" s="7"/>
    </row>
    <row r="311">
      <c r="A311" s="7"/>
    </row>
    <row r="312">
      <c r="A312" s="7"/>
    </row>
    <row r="313">
      <c r="A313" s="7"/>
    </row>
    <row r="314">
      <c r="A314" s="7"/>
    </row>
    <row r="315">
      <c r="A315" s="7"/>
    </row>
    <row r="316">
      <c r="A316" s="7"/>
    </row>
    <row r="317">
      <c r="A317" s="7"/>
    </row>
    <row r="318">
      <c r="A318" s="7"/>
    </row>
    <row r="319">
      <c r="A319" s="7"/>
    </row>
    <row r="320">
      <c r="A320" s="7"/>
    </row>
    <row r="321">
      <c r="A321" s="7"/>
    </row>
    <row r="322">
      <c r="A322" s="7"/>
    </row>
    <row r="323">
      <c r="A323" s="7"/>
    </row>
    <row r="324">
      <c r="A324" s="7"/>
    </row>
    <row r="325">
      <c r="A325" s="7"/>
    </row>
    <row r="326">
      <c r="A326" s="7"/>
    </row>
    <row r="327">
      <c r="A327" s="7"/>
    </row>
    <row r="328">
      <c r="A328" s="7"/>
    </row>
    <row r="329">
      <c r="A329" s="7"/>
    </row>
    <row r="330">
      <c r="A330" s="7"/>
    </row>
    <row r="331">
      <c r="A331" s="7"/>
    </row>
    <row r="332">
      <c r="A332" s="7"/>
    </row>
    <row r="333">
      <c r="A333" s="7"/>
    </row>
    <row r="334">
      <c r="A334" s="7"/>
    </row>
    <row r="335">
      <c r="A335" s="7"/>
    </row>
    <row r="336">
      <c r="A336" s="7"/>
    </row>
    <row r="337">
      <c r="A337" s="7"/>
    </row>
    <row r="338">
      <c r="A338" s="7"/>
    </row>
    <row r="339">
      <c r="A339" s="7"/>
    </row>
    <row r="340">
      <c r="A340" s="7"/>
    </row>
    <row r="341">
      <c r="A341" s="7"/>
    </row>
    <row r="342">
      <c r="A342" s="7"/>
    </row>
    <row r="343">
      <c r="A343" s="7"/>
    </row>
    <row r="344">
      <c r="A344" s="7"/>
    </row>
    <row r="345">
      <c r="A345" s="7"/>
    </row>
    <row r="346">
      <c r="A346" s="7"/>
    </row>
    <row r="347">
      <c r="A347" s="7"/>
    </row>
    <row r="348">
      <c r="A348" s="7"/>
    </row>
    <row r="349">
      <c r="A349" s="7"/>
    </row>
    <row r="350">
      <c r="A350" s="7"/>
    </row>
    <row r="351">
      <c r="A351" s="7"/>
    </row>
    <row r="352">
      <c r="A352" s="7"/>
    </row>
    <row r="353">
      <c r="A353" s="7"/>
    </row>
    <row r="354">
      <c r="A354" s="7"/>
    </row>
    <row r="355">
      <c r="A355" s="7"/>
    </row>
    <row r="356">
      <c r="A356" s="7"/>
    </row>
    <row r="357">
      <c r="A357" s="7"/>
    </row>
    <row r="358">
      <c r="A358" s="7"/>
    </row>
    <row r="359">
      <c r="A359" s="7"/>
    </row>
    <row r="360">
      <c r="A360" s="7"/>
    </row>
    <row r="361">
      <c r="A361" s="7"/>
    </row>
    <row r="362">
      <c r="A362" s="7"/>
    </row>
    <row r="363">
      <c r="A363" s="7"/>
    </row>
    <row r="364">
      <c r="A364" s="7"/>
    </row>
    <row r="365">
      <c r="A365" s="7"/>
    </row>
    <row r="366">
      <c r="A366" s="7"/>
    </row>
    <row r="367">
      <c r="A367" s="7"/>
    </row>
    <row r="368">
      <c r="A368" s="7"/>
    </row>
    <row r="369">
      <c r="A369" s="7"/>
    </row>
    <row r="370">
      <c r="A370" s="7"/>
    </row>
    <row r="371">
      <c r="A371" s="7"/>
    </row>
    <row r="372">
      <c r="A372" s="7"/>
    </row>
    <row r="373">
      <c r="A373" s="7"/>
    </row>
    <row r="374">
      <c r="A374" s="7"/>
    </row>
    <row r="375">
      <c r="A375" s="7"/>
    </row>
    <row r="376">
      <c r="A376" s="7"/>
    </row>
    <row r="377">
      <c r="A377" s="7"/>
    </row>
    <row r="378">
      <c r="A378" s="7"/>
    </row>
    <row r="379">
      <c r="A379" s="7"/>
    </row>
    <row r="380">
      <c r="A380" s="7"/>
    </row>
    <row r="381">
      <c r="A381" s="7"/>
    </row>
    <row r="382">
      <c r="A382" s="7"/>
    </row>
    <row r="383">
      <c r="A383" s="7"/>
    </row>
    <row r="384">
      <c r="A384" s="7"/>
    </row>
    <row r="385">
      <c r="A385" s="7"/>
    </row>
    <row r="386">
      <c r="A386" s="7"/>
    </row>
    <row r="387">
      <c r="A387" s="7"/>
    </row>
    <row r="388">
      <c r="A388" s="7"/>
    </row>
    <row r="389">
      <c r="A389" s="7"/>
    </row>
    <row r="390">
      <c r="A390" s="7"/>
    </row>
    <row r="391">
      <c r="A391" s="7"/>
    </row>
    <row r="392">
      <c r="A392" s="7"/>
    </row>
    <row r="393">
      <c r="A393" s="7"/>
    </row>
    <row r="394">
      <c r="A394" s="7"/>
    </row>
    <row r="395">
      <c r="A395" s="7"/>
    </row>
    <row r="396">
      <c r="A396" s="7"/>
    </row>
    <row r="397">
      <c r="A397" s="7"/>
    </row>
    <row r="398">
      <c r="A398" s="7"/>
    </row>
    <row r="399">
      <c r="A399" s="7"/>
    </row>
    <row r="400">
      <c r="A400" s="7"/>
    </row>
    <row r="401">
      <c r="A401" s="7"/>
    </row>
    <row r="402">
      <c r="A402" s="7"/>
    </row>
    <row r="403">
      <c r="A403" s="7"/>
    </row>
    <row r="404">
      <c r="A404" s="7"/>
    </row>
    <row r="405">
      <c r="A405" s="7"/>
    </row>
    <row r="406">
      <c r="A406" s="7"/>
    </row>
    <row r="407">
      <c r="A407" s="7"/>
    </row>
    <row r="408">
      <c r="A408" s="7"/>
    </row>
    <row r="409">
      <c r="A409" s="7"/>
    </row>
    <row r="410">
      <c r="A410" s="7"/>
    </row>
    <row r="411">
      <c r="A411" s="7"/>
    </row>
    <row r="412">
      <c r="A412" s="7"/>
    </row>
    <row r="413">
      <c r="A413" s="7"/>
    </row>
    <row r="414">
      <c r="A414" s="7"/>
    </row>
    <row r="415">
      <c r="A415" s="7"/>
    </row>
    <row r="416">
      <c r="A416" s="7"/>
    </row>
    <row r="417">
      <c r="A417" s="7"/>
    </row>
    <row r="418">
      <c r="A418" s="7"/>
    </row>
    <row r="419">
      <c r="A419" s="7"/>
    </row>
    <row r="420">
      <c r="A420" s="7"/>
    </row>
    <row r="421">
      <c r="A421" s="7"/>
    </row>
    <row r="422">
      <c r="A422" s="7"/>
    </row>
    <row r="423">
      <c r="A423" s="7"/>
    </row>
    <row r="424">
      <c r="A424" s="7"/>
    </row>
    <row r="425">
      <c r="A425" s="7"/>
    </row>
    <row r="426">
      <c r="A426" s="7"/>
    </row>
    <row r="427">
      <c r="A427" s="7"/>
    </row>
    <row r="428">
      <c r="A428" s="7"/>
    </row>
    <row r="429">
      <c r="A429" s="7"/>
    </row>
    <row r="430">
      <c r="A430" s="7"/>
    </row>
    <row r="431">
      <c r="A431" s="7"/>
    </row>
    <row r="432">
      <c r="A432" s="7"/>
    </row>
    <row r="433">
      <c r="A433" s="7"/>
    </row>
    <row r="434">
      <c r="A434" s="7"/>
    </row>
    <row r="435">
      <c r="A435" s="7"/>
    </row>
    <row r="436">
      <c r="A436" s="7"/>
    </row>
    <row r="437">
      <c r="A437" s="7"/>
    </row>
    <row r="438">
      <c r="A438" s="7"/>
    </row>
    <row r="439">
      <c r="A439" s="7"/>
    </row>
    <row r="440">
      <c r="A440" s="7"/>
    </row>
    <row r="441">
      <c r="A441" s="7"/>
    </row>
    <row r="442">
      <c r="A442" s="7"/>
    </row>
    <row r="443">
      <c r="A443" s="7"/>
    </row>
    <row r="444">
      <c r="A444" s="7"/>
    </row>
    <row r="445">
      <c r="A445" s="7"/>
    </row>
    <row r="446">
      <c r="A446" s="7"/>
    </row>
    <row r="447">
      <c r="A447" s="7"/>
    </row>
    <row r="448">
      <c r="A448" s="7"/>
    </row>
    <row r="449">
      <c r="A449" s="7"/>
    </row>
    <row r="450">
      <c r="A450" s="7"/>
    </row>
    <row r="451">
      <c r="A451" s="7"/>
    </row>
    <row r="452">
      <c r="A452" s="7"/>
    </row>
    <row r="453">
      <c r="A453" s="7"/>
    </row>
    <row r="454">
      <c r="A454" s="7"/>
    </row>
    <row r="455">
      <c r="A455" s="7"/>
    </row>
    <row r="456">
      <c r="A456" s="7"/>
    </row>
    <row r="457">
      <c r="A457" s="7"/>
    </row>
    <row r="458">
      <c r="A458" s="7"/>
    </row>
    <row r="459">
      <c r="A459" s="7"/>
    </row>
    <row r="460">
      <c r="A460" s="7"/>
    </row>
    <row r="461">
      <c r="A461" s="7"/>
    </row>
    <row r="462">
      <c r="A462" s="7"/>
    </row>
    <row r="463">
      <c r="A463" s="7"/>
    </row>
    <row r="464">
      <c r="A464" s="7"/>
    </row>
    <row r="465">
      <c r="A465" s="7"/>
    </row>
    <row r="466">
      <c r="A466" s="7"/>
    </row>
    <row r="467">
      <c r="A467" s="7"/>
    </row>
    <row r="468">
      <c r="A468" s="7"/>
    </row>
    <row r="469">
      <c r="A469" s="7"/>
    </row>
    <row r="470">
      <c r="A470" s="7"/>
    </row>
    <row r="471">
      <c r="A471" s="7"/>
    </row>
    <row r="472">
      <c r="A472" s="7"/>
    </row>
    <row r="473">
      <c r="A473" s="7"/>
    </row>
    <row r="474">
      <c r="A474" s="7"/>
    </row>
    <row r="475">
      <c r="A475" s="7"/>
    </row>
    <row r="476">
      <c r="A476" s="7"/>
    </row>
    <row r="477">
      <c r="A477" s="7"/>
    </row>
    <row r="478">
      <c r="A478" s="7"/>
    </row>
    <row r="479">
      <c r="A479" s="7"/>
    </row>
    <row r="480">
      <c r="A480" s="7"/>
    </row>
    <row r="481">
      <c r="A481" s="7"/>
    </row>
    <row r="482">
      <c r="A482" s="7"/>
    </row>
    <row r="483">
      <c r="A483" s="7"/>
    </row>
    <row r="484">
      <c r="A484" s="7"/>
    </row>
    <row r="485">
      <c r="A485" s="7"/>
    </row>
    <row r="486">
      <c r="A486" s="7"/>
    </row>
    <row r="487">
      <c r="A487" s="7"/>
    </row>
    <row r="488">
      <c r="A488" s="7"/>
    </row>
    <row r="489">
      <c r="A489" s="7"/>
    </row>
    <row r="490">
      <c r="A490" s="7"/>
    </row>
    <row r="491">
      <c r="A491" s="7"/>
    </row>
    <row r="492">
      <c r="A492" s="7"/>
    </row>
    <row r="493">
      <c r="A493" s="7"/>
    </row>
    <row r="494">
      <c r="A494" s="7"/>
    </row>
    <row r="495">
      <c r="A495" s="7"/>
    </row>
    <row r="496">
      <c r="A496" s="7"/>
    </row>
    <row r="497">
      <c r="A497" s="7"/>
    </row>
    <row r="498">
      <c r="A498" s="7"/>
    </row>
    <row r="499">
      <c r="A499" s="7"/>
    </row>
    <row r="500">
      <c r="A500" s="7"/>
    </row>
    <row r="501">
      <c r="A501" s="7"/>
    </row>
    <row r="502">
      <c r="A502" s="7"/>
    </row>
    <row r="503">
      <c r="A503" s="7"/>
    </row>
    <row r="504">
      <c r="A504" s="7"/>
    </row>
    <row r="505">
      <c r="A505" s="7"/>
    </row>
    <row r="506">
      <c r="A506" s="7"/>
    </row>
    <row r="507">
      <c r="A507" s="7"/>
    </row>
    <row r="508">
      <c r="A508" s="7"/>
    </row>
    <row r="509">
      <c r="A509" s="7"/>
    </row>
    <row r="510">
      <c r="A510" s="7"/>
    </row>
    <row r="511">
      <c r="A511" s="7"/>
    </row>
    <row r="512">
      <c r="A512" s="7"/>
    </row>
    <row r="513">
      <c r="A513" s="7"/>
    </row>
    <row r="514">
      <c r="A514" s="7"/>
    </row>
    <row r="515">
      <c r="A515" s="7"/>
    </row>
    <row r="516">
      <c r="A516" s="7"/>
    </row>
    <row r="517">
      <c r="A517" s="7"/>
    </row>
    <row r="518">
      <c r="A518" s="7"/>
    </row>
    <row r="519">
      <c r="A519" s="7"/>
    </row>
    <row r="520">
      <c r="A520" s="7"/>
    </row>
    <row r="521">
      <c r="A521" s="7"/>
    </row>
    <row r="522">
      <c r="A522" s="7"/>
    </row>
    <row r="523">
      <c r="A523" s="7"/>
    </row>
    <row r="524">
      <c r="A524" s="7"/>
    </row>
    <row r="525">
      <c r="A525" s="7"/>
    </row>
    <row r="526">
      <c r="A526" s="7"/>
    </row>
    <row r="527">
      <c r="A527" s="7"/>
    </row>
    <row r="528">
      <c r="A528" s="7"/>
    </row>
    <row r="529">
      <c r="A529" s="7"/>
    </row>
    <row r="530">
      <c r="A530" s="7"/>
    </row>
    <row r="531">
      <c r="A531" s="7"/>
    </row>
    <row r="532">
      <c r="A532" s="7"/>
    </row>
    <row r="533">
      <c r="A533" s="7"/>
    </row>
    <row r="534">
      <c r="A534" s="7"/>
    </row>
    <row r="535">
      <c r="A535" s="7"/>
    </row>
    <row r="536">
      <c r="A536" s="7"/>
    </row>
    <row r="537">
      <c r="A537" s="7"/>
    </row>
    <row r="538">
      <c r="A538" s="7"/>
    </row>
    <row r="539">
      <c r="A539" s="7"/>
    </row>
    <row r="540">
      <c r="A540" s="7"/>
    </row>
    <row r="541">
      <c r="A541" s="7"/>
    </row>
    <row r="542">
      <c r="A542" s="7"/>
    </row>
    <row r="543">
      <c r="A543" s="7"/>
    </row>
    <row r="544">
      <c r="A544" s="7"/>
    </row>
    <row r="545">
      <c r="A545" s="7"/>
    </row>
    <row r="546">
      <c r="A546" s="7"/>
    </row>
    <row r="547">
      <c r="A547" s="7"/>
    </row>
    <row r="548">
      <c r="A548" s="7"/>
    </row>
    <row r="549">
      <c r="A549" s="7"/>
    </row>
    <row r="550">
      <c r="A550" s="7"/>
    </row>
    <row r="551">
      <c r="A551" s="7"/>
    </row>
    <row r="552">
      <c r="A552" s="7"/>
    </row>
    <row r="553">
      <c r="A553" s="7"/>
    </row>
    <row r="554">
      <c r="A554" s="7"/>
    </row>
    <row r="555">
      <c r="A555" s="7"/>
    </row>
    <row r="556">
      <c r="A556" s="7"/>
    </row>
    <row r="557">
      <c r="A557" s="7"/>
    </row>
    <row r="558">
      <c r="A558" s="7"/>
    </row>
    <row r="559">
      <c r="A559" s="7"/>
    </row>
    <row r="560">
      <c r="A560" s="7"/>
    </row>
    <row r="561">
      <c r="A561" s="7"/>
    </row>
    <row r="562">
      <c r="A562" s="7"/>
    </row>
    <row r="563">
      <c r="A563" s="7"/>
    </row>
    <row r="564">
      <c r="A564" s="7"/>
    </row>
    <row r="565">
      <c r="A565" s="7"/>
    </row>
    <row r="566">
      <c r="A566" s="7"/>
    </row>
    <row r="567">
      <c r="A567" s="7"/>
    </row>
    <row r="568">
      <c r="A568" s="7"/>
    </row>
    <row r="569">
      <c r="A569" s="7"/>
    </row>
    <row r="570">
      <c r="A570" s="7"/>
    </row>
    <row r="571">
      <c r="A571" s="7"/>
    </row>
    <row r="572">
      <c r="A572" s="7"/>
    </row>
    <row r="573">
      <c r="A573" s="7"/>
    </row>
    <row r="574">
      <c r="A574" s="7"/>
    </row>
    <row r="575">
      <c r="A575" s="7"/>
    </row>
    <row r="576">
      <c r="A576" s="7"/>
    </row>
    <row r="577">
      <c r="A577" s="7"/>
    </row>
    <row r="578">
      <c r="A578" s="7"/>
    </row>
    <row r="579">
      <c r="A579" s="7"/>
    </row>
    <row r="580">
      <c r="A580" s="7"/>
    </row>
    <row r="581">
      <c r="A581" s="7"/>
    </row>
    <row r="582">
      <c r="A582" s="7"/>
    </row>
    <row r="583">
      <c r="A583" s="7"/>
    </row>
    <row r="584">
      <c r="A584" s="7"/>
    </row>
    <row r="585">
      <c r="A585" s="7"/>
    </row>
    <row r="586">
      <c r="A586" s="7"/>
    </row>
    <row r="587">
      <c r="A587" s="7"/>
    </row>
    <row r="588">
      <c r="A588" s="7"/>
    </row>
    <row r="589">
      <c r="A589" s="7"/>
    </row>
    <row r="590">
      <c r="A590" s="7"/>
    </row>
    <row r="591">
      <c r="A591" s="7"/>
    </row>
    <row r="592">
      <c r="A592" s="7"/>
    </row>
    <row r="593">
      <c r="A593" s="7"/>
    </row>
    <row r="594">
      <c r="A594" s="7"/>
    </row>
    <row r="595">
      <c r="A595" s="7"/>
    </row>
    <row r="596">
      <c r="A596" s="7"/>
    </row>
    <row r="597">
      <c r="A597" s="7"/>
    </row>
    <row r="598">
      <c r="A598" s="7"/>
    </row>
    <row r="599">
      <c r="A599" s="7"/>
    </row>
    <row r="600">
      <c r="A600" s="7"/>
    </row>
    <row r="601">
      <c r="A601" s="7"/>
    </row>
    <row r="602">
      <c r="A602" s="7"/>
    </row>
    <row r="603">
      <c r="A603" s="7"/>
    </row>
    <row r="604">
      <c r="A604" s="7"/>
    </row>
    <row r="605">
      <c r="A605" s="7"/>
    </row>
    <row r="606">
      <c r="A606" s="7"/>
    </row>
    <row r="607">
      <c r="A607" s="7"/>
    </row>
    <row r="608">
      <c r="A608" s="7"/>
    </row>
    <row r="609">
      <c r="A609" s="7"/>
    </row>
    <row r="610">
      <c r="A610" s="7"/>
    </row>
    <row r="611">
      <c r="A611" s="7"/>
    </row>
    <row r="612">
      <c r="A612" s="7"/>
    </row>
    <row r="613">
      <c r="A613" s="7"/>
    </row>
    <row r="614">
      <c r="A614" s="7"/>
    </row>
    <row r="615">
      <c r="A615" s="7"/>
    </row>
    <row r="616">
      <c r="A616" s="7"/>
    </row>
    <row r="617">
      <c r="A617" s="7"/>
    </row>
    <row r="618">
      <c r="A618" s="7"/>
    </row>
    <row r="619">
      <c r="A619" s="7"/>
    </row>
    <row r="620">
      <c r="A620" s="7"/>
    </row>
    <row r="621">
      <c r="A621" s="7"/>
    </row>
    <row r="622">
      <c r="A622" s="7"/>
    </row>
    <row r="623">
      <c r="A623" s="7"/>
    </row>
    <row r="624">
      <c r="A624" s="7"/>
    </row>
    <row r="625">
      <c r="A625" s="7"/>
    </row>
    <row r="626">
      <c r="A626" s="7"/>
    </row>
    <row r="627">
      <c r="A627" s="7"/>
    </row>
    <row r="628">
      <c r="A628" s="7"/>
    </row>
    <row r="629">
      <c r="A629" s="7"/>
    </row>
    <row r="630">
      <c r="A630" s="7"/>
    </row>
    <row r="631">
      <c r="A631" s="7"/>
    </row>
    <row r="632">
      <c r="A632" s="7"/>
    </row>
    <row r="633">
      <c r="A633" s="7"/>
    </row>
    <row r="634">
      <c r="A634" s="7"/>
    </row>
    <row r="635">
      <c r="A635" s="7"/>
    </row>
    <row r="636">
      <c r="A636" s="7"/>
    </row>
    <row r="637">
      <c r="A637" s="7"/>
    </row>
    <row r="638">
      <c r="A638" s="7"/>
    </row>
    <row r="639">
      <c r="A639" s="7"/>
    </row>
    <row r="640">
      <c r="A640" s="7"/>
    </row>
    <row r="641">
      <c r="A641" s="7"/>
    </row>
    <row r="642">
      <c r="A642" s="7"/>
    </row>
    <row r="643">
      <c r="A643" s="7"/>
    </row>
    <row r="644">
      <c r="A644" s="7"/>
    </row>
    <row r="645">
      <c r="A645" s="7"/>
    </row>
    <row r="646">
      <c r="A646" s="7"/>
    </row>
    <row r="647">
      <c r="A647" s="7"/>
    </row>
    <row r="648">
      <c r="A648" s="7"/>
    </row>
    <row r="649">
      <c r="A649" s="7"/>
    </row>
    <row r="650">
      <c r="A650" s="7"/>
    </row>
    <row r="651">
      <c r="A651" s="7"/>
    </row>
    <row r="652">
      <c r="A652" s="7"/>
    </row>
    <row r="653">
      <c r="A653" s="7"/>
    </row>
    <row r="654">
      <c r="A654" s="7"/>
    </row>
    <row r="655">
      <c r="A655" s="7"/>
    </row>
    <row r="656">
      <c r="A656" s="7"/>
    </row>
    <row r="657">
      <c r="A657" s="7"/>
    </row>
    <row r="658">
      <c r="A658" s="7"/>
    </row>
    <row r="659">
      <c r="A659" s="7"/>
    </row>
    <row r="660">
      <c r="A660" s="7"/>
    </row>
    <row r="661">
      <c r="A661" s="7"/>
    </row>
    <row r="662">
      <c r="A662" s="7"/>
    </row>
    <row r="663">
      <c r="A663" s="7"/>
    </row>
    <row r="664">
      <c r="A664" s="7"/>
    </row>
    <row r="665">
      <c r="A665" s="7"/>
    </row>
    <row r="666">
      <c r="A666" s="7"/>
    </row>
    <row r="667">
      <c r="A667" s="7"/>
    </row>
    <row r="668">
      <c r="A668" s="7"/>
    </row>
    <row r="669">
      <c r="A669" s="7"/>
    </row>
    <row r="670">
      <c r="A670" s="7"/>
    </row>
    <row r="671">
      <c r="A671" s="7"/>
    </row>
    <row r="672">
      <c r="A672" s="7"/>
    </row>
    <row r="673">
      <c r="A673" s="7"/>
    </row>
    <row r="674">
      <c r="A674" s="7"/>
    </row>
    <row r="675">
      <c r="A675" s="7"/>
    </row>
    <row r="676">
      <c r="A676" s="7"/>
    </row>
    <row r="677">
      <c r="A677" s="7"/>
    </row>
    <row r="678">
      <c r="A678" s="7"/>
    </row>
    <row r="679">
      <c r="A679" s="7"/>
    </row>
    <row r="680">
      <c r="A680" s="7"/>
    </row>
    <row r="681">
      <c r="A681" s="7"/>
    </row>
    <row r="682">
      <c r="A682" s="7"/>
    </row>
    <row r="683">
      <c r="A683" s="7"/>
    </row>
    <row r="684">
      <c r="A684" s="7"/>
    </row>
    <row r="685">
      <c r="A685" s="7"/>
    </row>
    <row r="686">
      <c r="A686" s="7"/>
    </row>
    <row r="687">
      <c r="A687" s="7"/>
    </row>
    <row r="688">
      <c r="A688" s="7"/>
    </row>
    <row r="689">
      <c r="A689" s="7"/>
    </row>
    <row r="690">
      <c r="A690" s="7"/>
    </row>
    <row r="691">
      <c r="A691" s="7"/>
    </row>
    <row r="692">
      <c r="A692" s="7"/>
    </row>
    <row r="693">
      <c r="A693" s="7"/>
    </row>
    <row r="694">
      <c r="A694" s="7"/>
    </row>
    <row r="695">
      <c r="A695" s="7"/>
    </row>
    <row r="696">
      <c r="A696" s="7"/>
    </row>
    <row r="697">
      <c r="A697" s="7"/>
    </row>
    <row r="698">
      <c r="A698" s="7"/>
    </row>
    <row r="699">
      <c r="A699" s="7"/>
    </row>
    <row r="700">
      <c r="A700" s="7"/>
    </row>
    <row r="701">
      <c r="A701" s="7"/>
    </row>
    <row r="702">
      <c r="A702" s="7"/>
    </row>
    <row r="703">
      <c r="A703" s="7"/>
    </row>
    <row r="704">
      <c r="A704" s="7"/>
    </row>
    <row r="705">
      <c r="A705" s="7"/>
    </row>
    <row r="706">
      <c r="A706" s="7"/>
    </row>
    <row r="707">
      <c r="A707" s="7"/>
    </row>
    <row r="708">
      <c r="A708" s="7"/>
    </row>
    <row r="709">
      <c r="A709" s="7"/>
    </row>
    <row r="710">
      <c r="A710" s="7"/>
    </row>
    <row r="711">
      <c r="A711" s="7"/>
    </row>
    <row r="712">
      <c r="A712" s="7"/>
    </row>
    <row r="713">
      <c r="A713" s="7"/>
    </row>
    <row r="714">
      <c r="A714" s="7"/>
    </row>
    <row r="715">
      <c r="A715" s="7"/>
    </row>
    <row r="716">
      <c r="A716" s="7"/>
    </row>
    <row r="717">
      <c r="A717" s="7"/>
    </row>
    <row r="718">
      <c r="A718" s="7"/>
    </row>
    <row r="719">
      <c r="A719" s="7"/>
    </row>
    <row r="720">
      <c r="A720" s="7"/>
    </row>
    <row r="721">
      <c r="A721" s="7"/>
    </row>
    <row r="722">
      <c r="A722" s="7"/>
    </row>
    <row r="723">
      <c r="A723" s="7"/>
    </row>
    <row r="724">
      <c r="A724" s="7"/>
    </row>
    <row r="725">
      <c r="A725" s="7"/>
    </row>
    <row r="726">
      <c r="A726" s="7"/>
    </row>
    <row r="727">
      <c r="A727" s="7"/>
    </row>
    <row r="728">
      <c r="A728" s="7"/>
    </row>
    <row r="729">
      <c r="A729" s="7"/>
    </row>
    <row r="730">
      <c r="A730" s="7"/>
    </row>
    <row r="731">
      <c r="A731" s="7"/>
    </row>
    <row r="732">
      <c r="A732" s="7"/>
    </row>
    <row r="733">
      <c r="A733" s="7"/>
    </row>
    <row r="734">
      <c r="A734" s="7"/>
    </row>
    <row r="735">
      <c r="A735" s="7"/>
    </row>
    <row r="736">
      <c r="A736" s="7"/>
    </row>
    <row r="737">
      <c r="A737" s="7"/>
    </row>
    <row r="738">
      <c r="A738" s="7"/>
    </row>
    <row r="739">
      <c r="A739" s="7"/>
    </row>
    <row r="740">
      <c r="A740" s="7"/>
    </row>
    <row r="741">
      <c r="A741" s="7"/>
    </row>
    <row r="742">
      <c r="A742" s="7"/>
    </row>
    <row r="743">
      <c r="A743" s="7"/>
    </row>
    <row r="744">
      <c r="A744" s="7"/>
    </row>
    <row r="745">
      <c r="A745" s="7"/>
    </row>
    <row r="746">
      <c r="A746" s="7"/>
    </row>
    <row r="747">
      <c r="A747" s="7"/>
    </row>
    <row r="748">
      <c r="A748" s="7"/>
    </row>
    <row r="749">
      <c r="A749" s="7"/>
    </row>
    <row r="750">
      <c r="A750" s="7"/>
    </row>
    <row r="751">
      <c r="A751" s="7"/>
    </row>
    <row r="752">
      <c r="A752" s="7"/>
    </row>
    <row r="753">
      <c r="A753" s="7"/>
    </row>
    <row r="754">
      <c r="A754" s="7"/>
    </row>
    <row r="755">
      <c r="A755" s="7"/>
    </row>
    <row r="756">
      <c r="A756" s="7"/>
    </row>
    <row r="757">
      <c r="A757" s="7"/>
    </row>
    <row r="758">
      <c r="A758" s="7"/>
    </row>
    <row r="759">
      <c r="A759" s="7"/>
    </row>
    <row r="760">
      <c r="A760" s="7"/>
    </row>
    <row r="761">
      <c r="A761" s="7"/>
    </row>
    <row r="762">
      <c r="A762" s="7"/>
    </row>
    <row r="763">
      <c r="A763" s="7"/>
    </row>
    <row r="764">
      <c r="A764" s="7"/>
    </row>
    <row r="765">
      <c r="A765" s="7"/>
    </row>
    <row r="766">
      <c r="A766" s="7"/>
    </row>
    <row r="767">
      <c r="A767" s="7"/>
    </row>
    <row r="768">
      <c r="A768" s="7"/>
    </row>
    <row r="769">
      <c r="A769" s="7"/>
    </row>
    <row r="770">
      <c r="A770" s="7"/>
    </row>
    <row r="771">
      <c r="A771" s="7"/>
    </row>
    <row r="772">
      <c r="A772" s="7"/>
    </row>
    <row r="773">
      <c r="A773" s="7"/>
    </row>
    <row r="774">
      <c r="A774" s="7"/>
    </row>
    <row r="775">
      <c r="A775" s="7"/>
    </row>
    <row r="776">
      <c r="A776" s="7"/>
    </row>
    <row r="777">
      <c r="A777" s="7"/>
    </row>
    <row r="778">
      <c r="A778" s="7"/>
    </row>
    <row r="779">
      <c r="A779" s="7"/>
    </row>
    <row r="780">
      <c r="A780" s="7"/>
    </row>
    <row r="781">
      <c r="A781" s="7"/>
    </row>
    <row r="782">
      <c r="A782" s="7"/>
    </row>
    <row r="783">
      <c r="A783" s="7"/>
    </row>
    <row r="784">
      <c r="A784" s="7"/>
    </row>
    <row r="785">
      <c r="A785" s="7"/>
    </row>
    <row r="786">
      <c r="A786" s="7"/>
    </row>
    <row r="787">
      <c r="A787" s="7"/>
    </row>
    <row r="788">
      <c r="A788" s="7"/>
    </row>
    <row r="789">
      <c r="A789" s="7"/>
    </row>
    <row r="790">
      <c r="A790" s="7"/>
    </row>
    <row r="791">
      <c r="A791" s="7"/>
    </row>
    <row r="792">
      <c r="A792" s="7"/>
    </row>
    <row r="793">
      <c r="A793" s="7"/>
    </row>
    <row r="794">
      <c r="A794" s="7"/>
    </row>
    <row r="795">
      <c r="A795" s="7"/>
    </row>
    <row r="796">
      <c r="A796" s="7"/>
    </row>
    <row r="797">
      <c r="A797" s="7"/>
    </row>
    <row r="798">
      <c r="A798" s="7"/>
    </row>
    <row r="799">
      <c r="A799" s="7"/>
    </row>
    <row r="800">
      <c r="A800" s="7"/>
    </row>
    <row r="801">
      <c r="A801" s="7"/>
    </row>
    <row r="802">
      <c r="A802" s="7"/>
    </row>
    <row r="803">
      <c r="A803" s="7"/>
    </row>
    <row r="804">
      <c r="A804" s="7"/>
    </row>
    <row r="805">
      <c r="A805" s="7"/>
    </row>
    <row r="806">
      <c r="A806" s="7"/>
    </row>
    <row r="807">
      <c r="A807" s="7"/>
    </row>
    <row r="808">
      <c r="A808" s="7"/>
    </row>
    <row r="809">
      <c r="A809" s="7"/>
    </row>
    <row r="810">
      <c r="A810" s="7"/>
    </row>
    <row r="811">
      <c r="A811" s="7"/>
    </row>
    <row r="812">
      <c r="A812" s="7"/>
    </row>
    <row r="813">
      <c r="A813" s="7"/>
    </row>
    <row r="814">
      <c r="A814" s="7"/>
    </row>
    <row r="815">
      <c r="A815" s="7"/>
    </row>
    <row r="816">
      <c r="A816" s="7"/>
    </row>
    <row r="817">
      <c r="A817" s="7"/>
    </row>
    <row r="818">
      <c r="A818" s="7"/>
    </row>
    <row r="819">
      <c r="A819" s="7"/>
    </row>
    <row r="820">
      <c r="A820" s="7"/>
    </row>
    <row r="821">
      <c r="A821" s="7"/>
    </row>
    <row r="822">
      <c r="A822" s="7"/>
    </row>
    <row r="823">
      <c r="A823" s="7"/>
    </row>
    <row r="824">
      <c r="A824" s="7"/>
    </row>
    <row r="825">
      <c r="A825" s="7"/>
    </row>
    <row r="826">
      <c r="A826" s="7"/>
    </row>
    <row r="827">
      <c r="A827" s="7"/>
    </row>
    <row r="828">
      <c r="A828" s="7"/>
    </row>
    <row r="829">
      <c r="A829" s="7"/>
    </row>
    <row r="830">
      <c r="A830" s="7"/>
    </row>
    <row r="831">
      <c r="A831" s="7"/>
    </row>
    <row r="832">
      <c r="A832" s="7"/>
    </row>
    <row r="833">
      <c r="A833" s="7"/>
    </row>
    <row r="834">
      <c r="A834" s="7"/>
    </row>
    <row r="835">
      <c r="A835" s="7"/>
    </row>
    <row r="836">
      <c r="A836" s="7"/>
    </row>
    <row r="837">
      <c r="A837" s="7"/>
    </row>
    <row r="838">
      <c r="A838" s="7"/>
    </row>
    <row r="839">
      <c r="A839" s="7"/>
    </row>
    <row r="840">
      <c r="A840" s="7"/>
    </row>
    <row r="841">
      <c r="A841" s="7"/>
    </row>
    <row r="842">
      <c r="A842" s="7"/>
    </row>
    <row r="843">
      <c r="A843" s="7"/>
    </row>
    <row r="844">
      <c r="A844" s="7"/>
    </row>
    <row r="845">
      <c r="A845" s="7"/>
    </row>
    <row r="846">
      <c r="A846" s="7"/>
    </row>
    <row r="847">
      <c r="A847" s="7"/>
    </row>
    <row r="848">
      <c r="A848" s="7"/>
    </row>
    <row r="849">
      <c r="A849" s="7"/>
    </row>
    <row r="850">
      <c r="A850" s="7"/>
    </row>
    <row r="851">
      <c r="A851" s="7"/>
    </row>
    <row r="852">
      <c r="A852" s="7"/>
    </row>
    <row r="853">
      <c r="A853" s="7"/>
    </row>
    <row r="854">
      <c r="A854" s="7"/>
    </row>
    <row r="855">
      <c r="A855" s="7"/>
    </row>
    <row r="856">
      <c r="A856" s="7"/>
    </row>
    <row r="857">
      <c r="A857" s="7"/>
    </row>
    <row r="858">
      <c r="A858" s="7"/>
    </row>
    <row r="859">
      <c r="A859" s="7"/>
    </row>
    <row r="860">
      <c r="A860" s="7"/>
    </row>
    <row r="861">
      <c r="A861" s="7"/>
    </row>
    <row r="862">
      <c r="A862" s="7"/>
    </row>
    <row r="863">
      <c r="A863" s="7"/>
    </row>
    <row r="864">
      <c r="A864" s="7"/>
    </row>
    <row r="865">
      <c r="A865" s="7"/>
    </row>
    <row r="866">
      <c r="A866" s="7"/>
    </row>
    <row r="867">
      <c r="A867" s="7"/>
    </row>
    <row r="868">
      <c r="A868" s="7"/>
    </row>
    <row r="869">
      <c r="A869" s="7"/>
    </row>
    <row r="870">
      <c r="A870" s="7"/>
    </row>
    <row r="871">
      <c r="A871" s="7"/>
    </row>
    <row r="872">
      <c r="A872" s="7"/>
    </row>
    <row r="873">
      <c r="A873" s="7"/>
    </row>
    <row r="874">
      <c r="A874" s="7"/>
    </row>
    <row r="875">
      <c r="A875" s="7"/>
    </row>
    <row r="876">
      <c r="A876" s="7"/>
    </row>
    <row r="877">
      <c r="A877" s="7"/>
    </row>
    <row r="878">
      <c r="A878" s="7"/>
    </row>
    <row r="879">
      <c r="A879" s="7"/>
    </row>
    <row r="880">
      <c r="A880" s="7"/>
    </row>
    <row r="881">
      <c r="A881" s="7"/>
    </row>
    <row r="882">
      <c r="A882" s="7"/>
    </row>
    <row r="883">
      <c r="A883" s="7"/>
    </row>
    <row r="884">
      <c r="A884" s="7"/>
    </row>
    <row r="885">
      <c r="A885" s="7"/>
    </row>
    <row r="886">
      <c r="A886" s="7"/>
    </row>
    <row r="887">
      <c r="A887" s="7"/>
    </row>
    <row r="888">
      <c r="A888" s="7"/>
    </row>
    <row r="889">
      <c r="A889" s="7"/>
    </row>
    <row r="890">
      <c r="A890" s="7"/>
    </row>
    <row r="891">
      <c r="A891" s="7"/>
    </row>
    <row r="892">
      <c r="A892" s="7"/>
    </row>
    <row r="893">
      <c r="A893" s="7"/>
    </row>
    <row r="894">
      <c r="A894" s="7"/>
    </row>
    <row r="895">
      <c r="A895" s="7"/>
    </row>
    <row r="896">
      <c r="A896" s="7"/>
    </row>
    <row r="897">
      <c r="A897" s="7"/>
    </row>
    <row r="898">
      <c r="A898" s="7"/>
    </row>
    <row r="899">
      <c r="A899" s="7"/>
    </row>
    <row r="900">
      <c r="A900" s="7"/>
    </row>
    <row r="901">
      <c r="A901" s="7"/>
    </row>
    <row r="902">
      <c r="A902" s="7"/>
    </row>
    <row r="903">
      <c r="A903" s="7"/>
    </row>
    <row r="904">
      <c r="A904" s="7"/>
    </row>
    <row r="905">
      <c r="A905" s="7"/>
    </row>
    <row r="906">
      <c r="A906" s="7"/>
    </row>
    <row r="907">
      <c r="A907" s="7"/>
    </row>
    <row r="908">
      <c r="A908" s="7"/>
    </row>
    <row r="909">
      <c r="A909" s="7"/>
    </row>
    <row r="910">
      <c r="A910" s="7"/>
    </row>
    <row r="911">
      <c r="A911" s="7"/>
    </row>
    <row r="912">
      <c r="A912" s="7"/>
    </row>
    <row r="913">
      <c r="A913" s="7"/>
    </row>
    <row r="914">
      <c r="A914" s="7"/>
    </row>
    <row r="915">
      <c r="A915" s="7"/>
    </row>
    <row r="916">
      <c r="A916" s="7"/>
    </row>
    <row r="917">
      <c r="A917" s="7"/>
    </row>
    <row r="918">
      <c r="A918" s="7"/>
    </row>
    <row r="919">
      <c r="A919" s="7"/>
    </row>
    <row r="920">
      <c r="A920" s="7"/>
    </row>
    <row r="921">
      <c r="A921" s="7"/>
    </row>
    <row r="922">
      <c r="A922" s="7"/>
    </row>
    <row r="923">
      <c r="A923" s="7"/>
    </row>
    <row r="924">
      <c r="A924" s="7"/>
    </row>
    <row r="925">
      <c r="A925" s="7"/>
    </row>
    <row r="926">
      <c r="A926" s="7"/>
    </row>
    <row r="927">
      <c r="A927" s="7"/>
    </row>
    <row r="928">
      <c r="A928" s="7"/>
    </row>
    <row r="929">
      <c r="A929" s="7"/>
    </row>
    <row r="930">
      <c r="A930" s="7"/>
    </row>
    <row r="931">
      <c r="A931" s="7"/>
    </row>
    <row r="932">
      <c r="A932" s="7"/>
    </row>
    <row r="933">
      <c r="A933" s="7"/>
    </row>
    <row r="934">
      <c r="A934" s="7"/>
    </row>
    <row r="935">
      <c r="A935" s="7"/>
    </row>
    <row r="936">
      <c r="A936" s="7"/>
    </row>
    <row r="937">
      <c r="A937" s="7"/>
    </row>
    <row r="938">
      <c r="A938" s="7"/>
    </row>
    <row r="939">
      <c r="A939" s="7"/>
    </row>
    <row r="940">
      <c r="A940" s="7"/>
    </row>
    <row r="941">
      <c r="A941" s="7"/>
    </row>
    <row r="942">
      <c r="A942" s="7"/>
    </row>
    <row r="943">
      <c r="A943" s="7"/>
    </row>
    <row r="944">
      <c r="A944" s="7"/>
    </row>
    <row r="945">
      <c r="A945" s="7"/>
    </row>
    <row r="946">
      <c r="A946" s="7"/>
    </row>
    <row r="947">
      <c r="A947" s="7"/>
    </row>
    <row r="948">
      <c r="A948" s="7"/>
    </row>
    <row r="949">
      <c r="A949" s="7"/>
    </row>
    <row r="950">
      <c r="A950" s="7"/>
    </row>
    <row r="951">
      <c r="A951" s="7"/>
    </row>
    <row r="952">
      <c r="A952" s="7"/>
    </row>
    <row r="953">
      <c r="A953" s="7"/>
    </row>
    <row r="954">
      <c r="A954" s="7"/>
    </row>
    <row r="955">
      <c r="A955" s="7"/>
    </row>
    <row r="956">
      <c r="A956" s="7"/>
    </row>
    <row r="957">
      <c r="A957" s="7"/>
    </row>
    <row r="958">
      <c r="A958" s="7"/>
    </row>
    <row r="959">
      <c r="A959" s="7"/>
    </row>
    <row r="960">
      <c r="A960" s="7"/>
    </row>
    <row r="961">
      <c r="A961" s="7"/>
    </row>
    <row r="962">
      <c r="A962" s="7"/>
    </row>
    <row r="963">
      <c r="A963" s="7"/>
    </row>
    <row r="964">
      <c r="A964" s="7"/>
    </row>
    <row r="965">
      <c r="A965" s="7"/>
    </row>
    <row r="966">
      <c r="A966" s="7"/>
    </row>
    <row r="967">
      <c r="A967" s="7"/>
    </row>
    <row r="968">
      <c r="A968" s="7"/>
    </row>
    <row r="969">
      <c r="A969" s="7"/>
    </row>
    <row r="970">
      <c r="A970" s="7"/>
    </row>
    <row r="971">
      <c r="A971" s="7"/>
    </row>
    <row r="972">
      <c r="A972" s="7"/>
    </row>
    <row r="973">
      <c r="A973" s="7"/>
    </row>
    <row r="974">
      <c r="A974" s="7"/>
    </row>
    <row r="975">
      <c r="A975" s="7"/>
    </row>
    <row r="976">
      <c r="A976" s="7"/>
    </row>
    <row r="977">
      <c r="A977" s="7"/>
    </row>
    <row r="978">
      <c r="A978" s="7"/>
    </row>
    <row r="979">
      <c r="A979" s="7"/>
    </row>
    <row r="980">
      <c r="A980" s="7"/>
    </row>
    <row r="981">
      <c r="A981" s="7"/>
    </row>
    <row r="982">
      <c r="A982" s="7"/>
    </row>
    <row r="983">
      <c r="A983" s="7"/>
    </row>
    <row r="984">
      <c r="A984" s="7"/>
    </row>
    <row r="985">
      <c r="A985" s="7"/>
    </row>
    <row r="986">
      <c r="A986" s="7"/>
    </row>
    <row r="987">
      <c r="A987" s="7"/>
    </row>
    <row r="988">
      <c r="A988" s="7"/>
    </row>
    <row r="989">
      <c r="A989" s="7"/>
    </row>
    <row r="990">
      <c r="A990" s="7"/>
    </row>
    <row r="991">
      <c r="A991" s="7"/>
    </row>
    <row r="992">
      <c r="A992" s="7"/>
    </row>
    <row r="993">
      <c r="A993" s="7"/>
    </row>
    <row r="994">
      <c r="A994" s="7"/>
    </row>
    <row r="995">
      <c r="A995" s="7"/>
    </row>
    <row r="996">
      <c r="A996" s="7"/>
    </row>
    <row r="997">
      <c r="A997" s="7"/>
    </row>
    <row r="998">
      <c r="A998" s="7"/>
    </row>
    <row r="999">
      <c r="A999" s="7"/>
    </row>
    <row r="1000">
      <c r="A1000" s="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>
        <f>IFERROR(__xludf.DUMMYFUNCTION("IFERROR(QUERY(AGU_2023!A:I, ""SELECT * WHERE D IS NOT NULL AND UPPER(I) = 'PRIBADI'"", 1), ""Data PRIBADI belum ditemukan"") "),46236.0)</f>
        <v>46236</v>
      </c>
      <c r="B1" s="3" t="str">
        <f>IFERROR(__xludf.DUMMYFUNCTION("""COMPUTED_VALUE"""),"TRSF E-BANKING DB")</f>
        <v>TRSF E-BANKING DB</v>
      </c>
      <c r="C1" s="3" t="str">
        <f>IFERROR(__xludf.DUMMYFUNCTION("""COMPUTED_VALUE"""),"0208/FTFVA/WS95031 55569/PT PRIMA FAJ pelunasan - 40190")</f>
        <v>0208/FTFVA/WS95031 55569/PT PRIMA FAJ pelunasan - 40190</v>
      </c>
      <c r="D1" s="3">
        <f>IFERROR(__xludf.DUMMYFUNCTION("""COMPUTED_VALUE"""),2.816E7)</f>
        <v>28160000</v>
      </c>
      <c r="E1" s="3"/>
      <c r="F1" s="3" t="str">
        <f>IFERROR(__xludf.DUMMYFUNCTION("""COMPUTED_VALUE"""),"DB")</f>
        <v>DB</v>
      </c>
      <c r="G1" s="3">
        <f>IFERROR(__xludf.DUMMYFUNCTION("""COMPUTED_VALUE"""),1.0430290570000052E7)</f>
        <v>10430290.57</v>
      </c>
      <c r="H1" s="3"/>
      <c r="I1" s="3" t="str">
        <f>IFERROR(__xludf.DUMMYFUNCTION("""COMPUTED_VALUE"""),"PRIBADI")</f>
        <v>PRIBADI</v>
      </c>
      <c r="J1" s="3">
        <f>SUM(D1:D1000) </f>
        <v>12150447045</v>
      </c>
    </row>
    <row r="2">
      <c r="A2" s="7">
        <f>IFERROR(__xludf.DUMMYFUNCTION("""COMPUTED_VALUE"""),46242.0)</f>
        <v>46242</v>
      </c>
      <c r="B2" s="3" t="str">
        <f>IFERROR(__xludf.DUMMYFUNCTION("""COMPUTED_VALUE"""),"TRSF E-BANKING DB")</f>
        <v>TRSF E-BANKING DB</v>
      </c>
      <c r="C2" s="3" t="str">
        <f>IFERROR(__xludf.DUMMYFUNCTION("""COMPUTED_VALUE"""),"0808/FTSCY/WS95031 50000000.00 titip BERLIAN UNGGUL JAY")</f>
        <v>0808/FTSCY/WS95031 50000000.00 titip BERLIAN UNGGUL JAY</v>
      </c>
      <c r="D2" s="3">
        <f>IFERROR(__xludf.DUMMYFUNCTION("""COMPUTED_VALUE"""),5.0E7)</f>
        <v>50000000</v>
      </c>
      <c r="E2" s="3"/>
      <c r="F2" s="3" t="str">
        <f>IFERROR(__xludf.DUMMYFUNCTION("""COMPUTED_VALUE"""),"DB")</f>
        <v>DB</v>
      </c>
      <c r="G2" s="3">
        <f>IFERROR(__xludf.DUMMYFUNCTION("""COMPUTED_VALUE"""),2.7593019357000005E8)</f>
        <v>275930193.6</v>
      </c>
      <c r="H2" s="3"/>
      <c r="I2" s="3" t="str">
        <f>IFERROR(__xludf.DUMMYFUNCTION("""COMPUTED_VALUE"""),"PRIBADI")</f>
        <v>PRIBADI</v>
      </c>
    </row>
    <row r="3">
      <c r="A3" s="7">
        <f>IFERROR(__xludf.DUMMYFUNCTION("""COMPUTED_VALUE"""),46242.0)</f>
        <v>46242</v>
      </c>
      <c r="B3" s="3" t="str">
        <f>IFERROR(__xludf.DUMMYFUNCTION("""COMPUTED_VALUE"""),"TRSF E-BANKING DB")</f>
        <v>TRSF E-BANKING DB</v>
      </c>
      <c r="C3" s="3" t="str">
        <f>IFERROR(__xludf.DUMMYFUNCTION("""COMPUTED_VALUE"""),"0808/FTSCY/WS95031 10432630.00 MUJIANTO")</f>
        <v>0808/FTSCY/WS95031 10432630.00 MUJIANTO</v>
      </c>
      <c r="D3" s="3">
        <f>IFERROR(__xludf.DUMMYFUNCTION("""COMPUTED_VALUE"""),1.043263E7)</f>
        <v>10432630</v>
      </c>
      <c r="E3" s="3"/>
      <c r="F3" s="3" t="str">
        <f>IFERROR(__xludf.DUMMYFUNCTION("""COMPUTED_VALUE"""),"DB")</f>
        <v>DB</v>
      </c>
      <c r="G3" s="3">
        <f>IFERROR(__xludf.DUMMYFUNCTION("""COMPUTED_VALUE"""),2.6549756357000005E8)</f>
        <v>265497563.6</v>
      </c>
      <c r="H3" s="3"/>
      <c r="I3" s="3" t="str">
        <f>IFERROR(__xludf.DUMMYFUNCTION("""COMPUTED_VALUE"""),"PRIBADI")</f>
        <v>PRIBADI</v>
      </c>
    </row>
    <row r="4">
      <c r="A4" s="7">
        <f>IFERROR(__xludf.DUMMYFUNCTION("""COMPUTED_VALUE"""),46243.0)</f>
        <v>46243</v>
      </c>
      <c r="B4" s="3" t="str">
        <f>IFERROR(__xludf.DUMMYFUNCTION("""COMPUTED_VALUE"""),"TRSF E-BANKING DB")</f>
        <v>TRSF E-BANKING DB</v>
      </c>
      <c r="C4" s="3" t="str">
        <f>IFERROR(__xludf.DUMMYFUNCTION("""COMPUTED_VALUE"""),"0908/FTSCY/WS95031 374000.00 HERMAWAN")</f>
        <v>0908/FTSCY/WS95031 374000.00 HERMAWAN</v>
      </c>
      <c r="D4" s="3">
        <f>IFERROR(__xludf.DUMMYFUNCTION("""COMPUTED_VALUE"""),374000.0)</f>
        <v>374000</v>
      </c>
      <c r="E4" s="3"/>
      <c r="F4" s="3" t="str">
        <f>IFERROR(__xludf.DUMMYFUNCTION("""COMPUTED_VALUE"""),"DB")</f>
        <v>DB</v>
      </c>
      <c r="G4" s="3">
        <f>IFERROR(__xludf.DUMMYFUNCTION("""COMPUTED_VALUE"""),1291795.5700000525)</f>
        <v>1291795.57</v>
      </c>
      <c r="H4" s="3"/>
      <c r="I4" s="3" t="str">
        <f>IFERROR(__xludf.DUMMYFUNCTION("""COMPUTED_VALUE"""),"PRIBADI")</f>
        <v>PRIBADI</v>
      </c>
    </row>
    <row r="5">
      <c r="A5" s="7">
        <f>IFERROR(__xludf.DUMMYFUNCTION("""COMPUTED_VALUE"""),46244.0)</f>
        <v>46244</v>
      </c>
      <c r="B5" s="3" t="str">
        <f>IFERROR(__xludf.DUMMYFUNCTION("""COMPUTED_VALUE"""),"TRSF E-BANKING DB")</f>
        <v>TRSF E-BANKING DB</v>
      </c>
      <c r="C5" s="3" t="str">
        <f>IFERROR(__xludf.DUMMYFUNCTION("""COMPUTED_VALUE"""),"1008/FTSCY/WS95031 50000000.00 titip UNGGAS MANDIRI BER")</f>
        <v>1008/FTSCY/WS95031 50000000.00 titip UNGGAS MANDIRI BER</v>
      </c>
      <c r="D5" s="3">
        <f>IFERROR(__xludf.DUMMYFUNCTION("""COMPUTED_VALUE"""),5.0E7)</f>
        <v>50000000</v>
      </c>
      <c r="E5" s="3"/>
      <c r="F5" s="3" t="str">
        <f>IFERROR(__xludf.DUMMYFUNCTION("""COMPUTED_VALUE"""),"DB")</f>
        <v>DB</v>
      </c>
      <c r="G5" s="3">
        <f>IFERROR(__xludf.DUMMYFUNCTION("""COMPUTED_VALUE"""),1.8680110657000005E8)</f>
        <v>186801106.6</v>
      </c>
      <c r="H5" s="3"/>
      <c r="I5" s="3" t="str">
        <f>IFERROR(__xludf.DUMMYFUNCTION("""COMPUTED_VALUE"""),"PRIBADI")</f>
        <v>PRIBADI</v>
      </c>
    </row>
    <row r="6">
      <c r="A6" s="7">
        <f>IFERROR(__xludf.DUMMYFUNCTION("""COMPUTED_VALUE"""),46244.0)</f>
        <v>46244</v>
      </c>
      <c r="B6" s="3" t="str">
        <f>IFERROR(__xludf.DUMMYFUNCTION("""COMPUTED_VALUE"""),"BYR VIA E-BANKING")</f>
        <v>BYR VIA E-BANKING</v>
      </c>
      <c r="C6" s="3" t="str">
        <f>IFERROR(__xludf.DUMMYFUNCTION("""COMPUTED_VALUE"""),"10/08  WSID9503100 0865 PLN PREPAID 32104859353 MUHAMMAD HAIRUL MA")</f>
        <v>10/08  WSID9503100 0865 PLN PREPAID 32104859353 MUHAMMAD HAIRUL MA</v>
      </c>
      <c r="D6" s="3">
        <f>IFERROR(__xludf.DUMMYFUNCTION("""COMPUTED_VALUE"""),202500.0)</f>
        <v>202500</v>
      </c>
      <c r="E6" s="3"/>
      <c r="F6" s="3"/>
      <c r="G6" s="3">
        <f>IFERROR(__xludf.DUMMYFUNCTION("""COMPUTED_VALUE"""),7.0272676657E8)</f>
        <v>702726766.6</v>
      </c>
      <c r="H6" s="3"/>
      <c r="I6" s="3" t="str">
        <f>IFERROR(__xludf.DUMMYFUNCTION("""COMPUTED_VALUE"""),"PRIBADI")</f>
        <v>PRIBADI</v>
      </c>
    </row>
    <row r="7">
      <c r="A7" s="7">
        <f>IFERROR(__xludf.DUMMYFUNCTION("""COMPUTED_VALUE"""),46244.0)</f>
        <v>46244</v>
      </c>
      <c r="B7" s="3" t="str">
        <f>IFERROR(__xludf.DUMMYFUNCTION("""COMPUTED_VALUE"""),"TRSF E-BANKING DB")</f>
        <v>TRSF E-BANKING DB</v>
      </c>
      <c r="C7" s="3" t="str">
        <f>IFERROR(__xludf.DUMMYFUNCTION("""COMPUTED_VALUE"""),"1008/FTSCY/WS95271 500000.00 LIA SETIA NINGSIH")</f>
        <v>1008/FTSCY/WS95271 500000.00 LIA SETIA NINGSIH</v>
      </c>
      <c r="D7" s="3">
        <f>IFERROR(__xludf.DUMMYFUNCTION("""COMPUTED_VALUE"""),500000.0)</f>
        <v>500000</v>
      </c>
      <c r="E7" s="3"/>
      <c r="F7" s="3" t="str">
        <f>IFERROR(__xludf.DUMMYFUNCTION("""COMPUTED_VALUE"""),"DB")</f>
        <v>DB</v>
      </c>
      <c r="G7" s="3">
        <f>IFERROR(__xludf.DUMMYFUNCTION("""COMPUTED_VALUE"""),3.6204499457000005E8)</f>
        <v>362044994.6</v>
      </c>
      <c r="H7" s="3"/>
      <c r="I7" s="3" t="str">
        <f>IFERROR(__xludf.DUMMYFUNCTION("""COMPUTED_VALUE"""),"PRIBADI")</f>
        <v>PRIBADI</v>
      </c>
    </row>
    <row r="8">
      <c r="A8" s="7">
        <f>IFERROR(__xludf.DUMMYFUNCTION("""COMPUTED_VALUE"""),46244.0)</f>
        <v>46244</v>
      </c>
      <c r="B8" s="3" t="str">
        <f>IFERROR(__xludf.DUMMYFUNCTION("""COMPUTED_VALUE"""),"TRSF E-BANKING DB")</f>
        <v>TRSF E-BANKING DB</v>
      </c>
      <c r="C8" s="3" t="str">
        <f>IFERROR(__xludf.DUMMYFUNCTION("""COMPUTED_VALUE"""),"1008/FTSCY/WS95031 9267150.00 sisa piutang 3 jt FAJAR ANDREANZAH")</f>
        <v>1008/FTSCY/WS95031 9267150.00 sisa piutang 3 jt FAJAR ANDREANZAH</v>
      </c>
      <c r="D8" s="3">
        <f>IFERROR(__xludf.DUMMYFUNCTION("""COMPUTED_VALUE"""),9267150.0)</f>
        <v>9267150</v>
      </c>
      <c r="E8" s="3"/>
      <c r="F8" s="3" t="str">
        <f>IFERROR(__xludf.DUMMYFUNCTION("""COMPUTED_VALUE"""),"DB")</f>
        <v>DB</v>
      </c>
      <c r="G8" s="3">
        <f>IFERROR(__xludf.DUMMYFUNCTION("""COMPUTED_VALUE"""),3.5277784457000005E8)</f>
        <v>352777844.6</v>
      </c>
      <c r="H8" s="3"/>
      <c r="I8" s="3" t="str">
        <f>IFERROR(__xludf.DUMMYFUNCTION("""COMPUTED_VALUE"""),"PRIBADI")</f>
        <v>PRIBADI</v>
      </c>
    </row>
    <row r="9">
      <c r="A9" s="7">
        <f>IFERROR(__xludf.DUMMYFUNCTION("""COMPUTED_VALUE"""),46244.0)</f>
        <v>46244</v>
      </c>
      <c r="B9" s="3" t="str">
        <f>IFERROR(__xludf.DUMMYFUNCTION("""COMPUTED_VALUE"""),"TRSF E-BANKING DB")</f>
        <v>TRSF E-BANKING DB</v>
      </c>
      <c r="C9" s="3" t="str">
        <f>IFERROR(__xludf.DUMMYFUNCTION("""COMPUTED_VALUE"""),"1008/FTSCY/WS95271 16091400.00 pelunasan UNGGAS MANDIRI BER")</f>
        <v>1008/FTSCY/WS95271 16091400.00 pelunasan UNGGAS MANDIRI BER</v>
      </c>
      <c r="D9" s="3">
        <f>IFERROR(__xludf.DUMMYFUNCTION("""COMPUTED_VALUE"""),1.60914E7)</f>
        <v>16091400</v>
      </c>
      <c r="E9" s="3"/>
      <c r="F9" s="3" t="str">
        <f>IFERROR(__xludf.DUMMYFUNCTION("""COMPUTED_VALUE"""),"DB")</f>
        <v>DB</v>
      </c>
      <c r="G9" s="3">
        <f>IFERROR(__xludf.DUMMYFUNCTION("""COMPUTED_VALUE"""),3.3668644457000005E8)</f>
        <v>336686444.6</v>
      </c>
      <c r="H9" s="3"/>
      <c r="I9" s="3" t="str">
        <f>IFERROR(__xludf.DUMMYFUNCTION("""COMPUTED_VALUE"""),"PRIBADI")</f>
        <v>PRIBADI</v>
      </c>
    </row>
    <row r="10">
      <c r="A10" s="7">
        <f>IFERROR(__xludf.DUMMYFUNCTION("""COMPUTED_VALUE"""),46244.0)</f>
        <v>46244</v>
      </c>
      <c r="B10" s="3" t="str">
        <f>IFERROR(__xludf.DUMMYFUNCTION("""COMPUTED_VALUE"""),"TRSF E-BANKING DB")</f>
        <v>TRSF E-BANKING DB</v>
      </c>
      <c r="C10" s="3" t="str">
        <f>IFERROR(__xludf.DUMMYFUNCTION("""COMPUTED_VALUE"""),"1008/FTFVA/WS95031 55569/PT PRIMA FAJ tot. titip 70 jt - 40190")</f>
        <v>1008/FTFVA/WS95031 55569/PT PRIMA FAJ tot. titip 70 jt - 40190</v>
      </c>
      <c r="D10" s="3">
        <f>IFERROR(__xludf.DUMMYFUNCTION("""COMPUTED_VALUE"""),4.040945E7)</f>
        <v>40409450</v>
      </c>
      <c r="E10" s="3"/>
      <c r="F10" s="3" t="str">
        <f>IFERROR(__xludf.DUMMYFUNCTION("""COMPUTED_VALUE"""),"DB")</f>
        <v>DB</v>
      </c>
      <c r="G10" s="3">
        <f>IFERROR(__xludf.DUMMYFUNCTION("""COMPUTED_VALUE"""),2.9627699457000005E8)</f>
        <v>296276994.6</v>
      </c>
      <c r="H10" s="3">
        <f>IFERROR(__xludf.DUMMYFUNCTION("""COMPUTED_VALUE"""),2.9627699457E8)</f>
        <v>296276994.6</v>
      </c>
      <c r="I10" s="3" t="str">
        <f>IFERROR(__xludf.DUMMYFUNCTION("""COMPUTED_VALUE"""),"PRIBADI")</f>
        <v>PRIBADI</v>
      </c>
    </row>
    <row r="11">
      <c r="A11" s="7">
        <f>IFERROR(__xludf.DUMMYFUNCTION("""COMPUTED_VALUE"""),46245.0)</f>
        <v>46245</v>
      </c>
      <c r="B11" s="3" t="str">
        <f>IFERROR(__xludf.DUMMYFUNCTION("""COMPUTED_VALUE"""),"TRSF E-BANKING DB")</f>
        <v>TRSF E-BANKING DB</v>
      </c>
      <c r="C11" s="3" t="str">
        <f>IFERROR(__xludf.DUMMYFUNCTION("""COMPUTED_VALUE"""),"1108/FTSCY/WS95271 170000000.00 pelunasan BINTANG TAMA SANTO")</f>
        <v>1108/FTSCY/WS95271 170000000.00 pelunasan BINTANG TAMA SANTO</v>
      </c>
      <c r="D11" s="3">
        <f>IFERROR(__xludf.DUMMYFUNCTION("""COMPUTED_VALUE"""),1.7E8)</f>
        <v>170000000</v>
      </c>
      <c r="E11" s="3"/>
      <c r="F11" s="3" t="str">
        <f>IFERROR(__xludf.DUMMYFUNCTION("""COMPUTED_VALUE"""),"DB")</f>
        <v>DB</v>
      </c>
      <c r="G11" s="3">
        <f>IFERROR(__xludf.DUMMYFUNCTION("""COMPUTED_VALUE"""),1.2627699457000005E8)</f>
        <v>126276994.6</v>
      </c>
      <c r="H11" s="3"/>
      <c r="I11" s="3" t="str">
        <f>IFERROR(__xludf.DUMMYFUNCTION("""COMPUTED_VALUE"""),"PRIBADI")</f>
        <v>PRIBADI</v>
      </c>
    </row>
    <row r="12">
      <c r="A12" s="7">
        <f>IFERROR(__xludf.DUMMYFUNCTION("""COMPUTED_VALUE"""),46245.0)</f>
        <v>46245</v>
      </c>
      <c r="B12" s="3" t="str">
        <f>IFERROR(__xludf.DUMMYFUNCTION("""COMPUTED_VALUE"""),"TRSF E-BANKING DB")</f>
        <v>TRSF E-BANKING DB</v>
      </c>
      <c r="C12" s="3" t="str">
        <f>IFERROR(__xludf.DUMMYFUNCTION("""COMPUTED_VALUE"""),"1108/FTSCY/WS95031 1800000.00 BELA PRAMUDITA")</f>
        <v>1108/FTSCY/WS95031 1800000.00 BELA PRAMUDITA</v>
      </c>
      <c r="D12" s="3">
        <f>IFERROR(__xludf.DUMMYFUNCTION("""COMPUTED_VALUE"""),1800000.0)</f>
        <v>1800000</v>
      </c>
      <c r="E12" s="3"/>
      <c r="F12" s="3" t="str">
        <f>IFERROR(__xludf.DUMMYFUNCTION("""COMPUTED_VALUE"""),"DB")</f>
        <v>DB</v>
      </c>
      <c r="G12" s="3">
        <f>IFERROR(__xludf.DUMMYFUNCTION("""COMPUTED_VALUE"""),1.2447699457000005E8)</f>
        <v>124476994.6</v>
      </c>
      <c r="H12" s="3"/>
      <c r="I12" s="3" t="str">
        <f>IFERROR(__xludf.DUMMYFUNCTION("""COMPUTED_VALUE"""),"PRIBADI")</f>
        <v>PRIBADI</v>
      </c>
    </row>
    <row r="13">
      <c r="A13" s="7">
        <f>IFERROR(__xludf.DUMMYFUNCTION("""COMPUTED_VALUE"""),46245.0)</f>
        <v>46245</v>
      </c>
      <c r="B13" s="3" t="str">
        <f>IFERROR(__xludf.DUMMYFUNCTION("""COMPUTED_VALUE"""),"TRSF E-BANKING DB")</f>
        <v>TRSF E-BANKING DB</v>
      </c>
      <c r="C13" s="3" t="str">
        <f>IFERROR(__xludf.DUMMYFUNCTION("""COMPUTED_VALUE"""),"1108/FTSCY/WS95031 6773160.00 lunas HERMAWAN")</f>
        <v>1108/FTSCY/WS95031 6773160.00 lunas HERMAWAN</v>
      </c>
      <c r="D13" s="3">
        <f>IFERROR(__xludf.DUMMYFUNCTION("""COMPUTED_VALUE"""),6773160.0)</f>
        <v>6773160</v>
      </c>
      <c r="E13" s="3"/>
      <c r="F13" s="3" t="str">
        <f>IFERROR(__xludf.DUMMYFUNCTION("""COMPUTED_VALUE"""),"DB")</f>
        <v>DB</v>
      </c>
      <c r="G13" s="3">
        <f>IFERROR(__xludf.DUMMYFUNCTION("""COMPUTED_VALUE"""),1.1770383457000005E8)</f>
        <v>117703834.6</v>
      </c>
      <c r="H13" s="3"/>
      <c r="I13" s="3" t="str">
        <f>IFERROR(__xludf.DUMMYFUNCTION("""COMPUTED_VALUE"""),"PRIBADI")</f>
        <v>PRIBADI</v>
      </c>
    </row>
    <row r="14">
      <c r="A14" s="7">
        <f>IFERROR(__xludf.DUMMYFUNCTION("""COMPUTED_VALUE"""),46245.0)</f>
        <v>46245</v>
      </c>
      <c r="B14" s="3" t="str">
        <f>IFERROR(__xludf.DUMMYFUNCTION("""COMPUTED_VALUE"""),"TRSF E-BANKING DB")</f>
        <v>TRSF E-BANKING DB</v>
      </c>
      <c r="C14" s="3" t="str">
        <f>IFERROR(__xludf.DUMMYFUNCTION("""COMPUTED_VALUE"""),"1108/FTSCY/WS95031 8625880.00 DWI HERMANSYAH")</f>
        <v>1108/FTSCY/WS95031 8625880.00 DWI HERMANSYAH</v>
      </c>
      <c r="D14" s="3">
        <f>IFERROR(__xludf.DUMMYFUNCTION("""COMPUTED_VALUE"""),8625880.0)</f>
        <v>8625880</v>
      </c>
      <c r="E14" s="3"/>
      <c r="F14" s="3" t="str">
        <f>IFERROR(__xludf.DUMMYFUNCTION("""COMPUTED_VALUE"""),"DB")</f>
        <v>DB</v>
      </c>
      <c r="G14" s="3">
        <f>IFERROR(__xludf.DUMMYFUNCTION("""COMPUTED_VALUE"""),1.0907795457000005E8)</f>
        <v>109077954.6</v>
      </c>
      <c r="H14" s="3">
        <f>IFERROR(__xludf.DUMMYFUNCTION("""COMPUTED_VALUE"""),1.0907795457E8)</f>
        <v>109077954.6</v>
      </c>
      <c r="I14" s="3" t="str">
        <f>IFERROR(__xludf.DUMMYFUNCTION("""COMPUTED_VALUE"""),"PRIBADI")</f>
        <v>PRIBADI</v>
      </c>
    </row>
    <row r="15">
      <c r="A15" s="7">
        <f>IFERROR(__xludf.DUMMYFUNCTION("""COMPUTED_VALUE"""),46245.0)</f>
        <v>46245</v>
      </c>
      <c r="B15" s="3" t="str">
        <f>IFERROR(__xludf.DUMMYFUNCTION("""COMPUTED_VALUE"""),"TRSF E-BANKING DB")</f>
        <v>TRSF E-BANKING DB</v>
      </c>
      <c r="C15" s="3" t="str">
        <f>IFERROR(__xludf.DUMMYFUNCTION("""COMPUTED_VALUE"""),"1108/FTSCY/WS95031 51514740.00 pelunasan SUGENG RIADI")</f>
        <v>1108/FTSCY/WS95031 51514740.00 pelunasan SUGENG RIADI</v>
      </c>
      <c r="D15" s="3">
        <f>IFERROR(__xludf.DUMMYFUNCTION("""COMPUTED_VALUE"""),5.151474E7)</f>
        <v>51514740</v>
      </c>
      <c r="E15" s="3"/>
      <c r="F15" s="3" t="str">
        <f>IFERROR(__xludf.DUMMYFUNCTION("""COMPUTED_VALUE"""),"DB")</f>
        <v>DB</v>
      </c>
      <c r="G15" s="3">
        <f>IFERROR(__xludf.DUMMYFUNCTION("""COMPUTED_VALUE"""),2.4110396457000005E8)</f>
        <v>241103964.6</v>
      </c>
      <c r="H15" s="3"/>
      <c r="I15" s="3" t="str">
        <f>IFERROR(__xludf.DUMMYFUNCTION("""COMPUTED_VALUE"""),"PRIBADI")</f>
        <v>PRIBADI</v>
      </c>
    </row>
    <row r="16">
      <c r="A16" s="7">
        <f>IFERROR(__xludf.DUMMYFUNCTION("""COMPUTED_VALUE"""),46245.0)</f>
        <v>46245</v>
      </c>
      <c r="B16" s="3" t="str">
        <f>IFERROR(__xludf.DUMMYFUNCTION("""COMPUTED_VALUE"""),"TARIKAN ATM 11/08")</f>
        <v>TARIKAN ATM 11/08</v>
      </c>
      <c r="C16" s="3" t="str">
        <f>IFERROR(__xludf.DUMMYFUNCTION("""COMPUTED_VALUE"""),"TARIKAN ATM 11/08")</f>
        <v>TARIKAN ATM 11/08</v>
      </c>
      <c r="D16" s="3">
        <f>IFERROR(__xludf.DUMMYFUNCTION("""COMPUTED_VALUE"""),200000.0)</f>
        <v>200000</v>
      </c>
      <c r="E16" s="3"/>
      <c r="F16" s="3"/>
      <c r="G16" s="3">
        <f>IFERROR(__xludf.DUMMYFUNCTION("""COMPUTED_VALUE"""),73537.57000005245)</f>
        <v>73537.57</v>
      </c>
      <c r="H16" s="3">
        <f>IFERROR(__xludf.DUMMYFUNCTION("""COMPUTED_VALUE"""),73537.57)</f>
        <v>73537.57</v>
      </c>
      <c r="I16" s="3" t="str">
        <f>IFERROR(__xludf.DUMMYFUNCTION("""COMPUTED_VALUE"""),"PRIBADI")</f>
        <v>PRIBADI</v>
      </c>
    </row>
    <row r="17">
      <c r="A17" s="7">
        <f>IFERROR(__xludf.DUMMYFUNCTION("""COMPUTED_VALUE"""),46246.0)</f>
        <v>46246</v>
      </c>
      <c r="B17" s="3" t="str">
        <f>IFERROR(__xludf.DUMMYFUNCTION("""COMPUTED_VALUE"""),"TRSF E-BANKING DB")</f>
        <v>TRSF E-BANKING DB</v>
      </c>
      <c r="C17" s="3" t="str">
        <f>IFERROR(__xludf.DUMMYFUNCTION("""COMPUTED_VALUE"""),"1208/FTSCY/WS95031 65800000.00 probolinggo BRANTAS ABADI SENT")</f>
        <v>1208/FTSCY/WS95031 65800000.00 probolinggo BRANTAS ABADI SENT</v>
      </c>
      <c r="D17" s="3">
        <f>IFERROR(__xludf.DUMMYFUNCTION("""COMPUTED_VALUE"""),6.58E7)</f>
        <v>65800000</v>
      </c>
      <c r="E17" s="3"/>
      <c r="F17" s="3" t="str">
        <f>IFERROR(__xludf.DUMMYFUNCTION("""COMPUTED_VALUE"""),"DB")</f>
        <v>DB</v>
      </c>
      <c r="G17" s="3">
        <f>IFERROR(__xludf.DUMMYFUNCTION("""COMPUTED_VALUE"""),2.4273537570000052E7)</f>
        <v>24273537.57</v>
      </c>
      <c r="H17" s="3"/>
      <c r="I17" s="3" t="str">
        <f>IFERROR(__xludf.DUMMYFUNCTION("""COMPUTED_VALUE"""),"PRIBADI")</f>
        <v>PRIBADI</v>
      </c>
    </row>
    <row r="18">
      <c r="A18" s="7">
        <f>IFERROR(__xludf.DUMMYFUNCTION("""COMPUTED_VALUE"""),46246.0)</f>
        <v>46246</v>
      </c>
      <c r="B18" s="3" t="str">
        <f>IFERROR(__xludf.DUMMYFUNCTION("""COMPUTED_VALUE"""),"TRSF E-BANKING DB")</f>
        <v>TRSF E-BANKING DB</v>
      </c>
      <c r="C18" s="3" t="str">
        <f>IFERROR(__xludf.DUMMYFUNCTION("""COMPUTED_VALUE"""),"1208/FTSCY/WS95031 10101000.00 pelunasan TERNAK SEJATI TABA")</f>
        <v>1208/FTSCY/WS95031 10101000.00 pelunasan TERNAK SEJATI TABA</v>
      </c>
      <c r="D18" s="3">
        <f>IFERROR(__xludf.DUMMYFUNCTION("""COMPUTED_VALUE"""),1.0101E7)</f>
        <v>10101000</v>
      </c>
      <c r="E18" s="3"/>
      <c r="F18" s="3" t="str">
        <f>IFERROR(__xludf.DUMMYFUNCTION("""COMPUTED_VALUE"""),"DB")</f>
        <v>DB</v>
      </c>
      <c r="G18" s="3">
        <f>IFERROR(__xludf.DUMMYFUNCTION("""COMPUTED_VALUE"""),1.4172537570000052E7)</f>
        <v>14172537.57</v>
      </c>
      <c r="H18" s="3"/>
      <c r="I18" s="3" t="str">
        <f>IFERROR(__xludf.DUMMYFUNCTION("""COMPUTED_VALUE"""),"PRIBADI")</f>
        <v>PRIBADI</v>
      </c>
    </row>
    <row r="19">
      <c r="A19" s="7">
        <f>IFERROR(__xludf.DUMMYFUNCTION("""COMPUTED_VALUE"""),46246.0)</f>
        <v>46246</v>
      </c>
      <c r="B19" s="3" t="str">
        <f>IFERROR(__xludf.DUMMYFUNCTION("""COMPUTED_VALUE"""),"TRSF E-BANKING DB")</f>
        <v>TRSF E-BANKING DB</v>
      </c>
      <c r="C19" s="3" t="str">
        <f>IFERROR(__xludf.DUMMYFUNCTION("""COMPUTED_VALUE"""),"1208/FTSCY/WS95031 1800000.00 BELA PRAMUDITA")</f>
        <v>1208/FTSCY/WS95031 1800000.00 BELA PRAMUDITA</v>
      </c>
      <c r="D19" s="3">
        <f>IFERROR(__xludf.DUMMYFUNCTION("""COMPUTED_VALUE"""),1800000.0)</f>
        <v>1800000</v>
      </c>
      <c r="E19" s="3"/>
      <c r="F19" s="3" t="str">
        <f>IFERROR(__xludf.DUMMYFUNCTION("""COMPUTED_VALUE"""),"DB")</f>
        <v>DB</v>
      </c>
      <c r="G19" s="3">
        <f>IFERROR(__xludf.DUMMYFUNCTION("""COMPUTED_VALUE"""),1.2372537570000052E7)</f>
        <v>12372537.57</v>
      </c>
      <c r="H19" s="3"/>
      <c r="I19" s="3" t="str">
        <f>IFERROR(__xludf.DUMMYFUNCTION("""COMPUTED_VALUE"""),"PRIBADI")</f>
        <v>PRIBADI</v>
      </c>
    </row>
    <row r="20">
      <c r="A20" s="7">
        <f>IFERROR(__xludf.DUMMYFUNCTION("""COMPUTED_VALUE"""),46246.0)</f>
        <v>46246</v>
      </c>
      <c r="B20" s="3" t="str">
        <f>IFERROR(__xludf.DUMMYFUNCTION("""COMPUTED_VALUE"""),"TRSF E-BANKING DB")</f>
        <v>TRSF E-BANKING DB</v>
      </c>
      <c r="C20" s="3" t="str">
        <f>IFERROR(__xludf.DUMMYFUNCTION("""COMPUTED_VALUE"""),"1208/FTSCY/WS95011 214432900.00 Mon Aug 10 2026 14:00:00 GMT+0700 (Western Indonesia Time) GANESHA SATRIA NUS")</f>
        <v>1208/FTSCY/WS95011 214432900.00 Mon Aug 10 2026 14:00:00 GMT+0700 (Western Indonesia Time) GANESHA SATRIA NUS</v>
      </c>
      <c r="D20" s="3">
        <f>IFERROR(__xludf.DUMMYFUNCTION("""COMPUTED_VALUE"""),2.144329E8)</f>
        <v>214432900</v>
      </c>
      <c r="E20" s="3"/>
      <c r="F20" s="3" t="str">
        <f>IFERROR(__xludf.DUMMYFUNCTION("""COMPUTED_VALUE"""),"DB")</f>
        <v>DB</v>
      </c>
      <c r="G20" s="3">
        <f>IFERROR(__xludf.DUMMYFUNCTION("""COMPUTED_VALUE"""),3.2008147457000005E8)</f>
        <v>320081474.6</v>
      </c>
      <c r="H20" s="3"/>
      <c r="I20" s="3" t="str">
        <f>IFERROR(__xludf.DUMMYFUNCTION("""COMPUTED_VALUE"""),"PRIBADI")</f>
        <v>PRIBADI</v>
      </c>
    </row>
    <row r="21">
      <c r="A21" s="7">
        <f>IFERROR(__xludf.DUMMYFUNCTION("""COMPUTED_VALUE"""),46246.0)</f>
        <v>46246</v>
      </c>
      <c r="B21" s="3" t="str">
        <f>IFERROR(__xludf.DUMMYFUNCTION("""COMPUTED_VALUE"""),"TRSF E-BANKING DB")</f>
        <v>TRSF E-BANKING DB</v>
      </c>
      <c r="C21" s="3" t="str">
        <f>IFERROR(__xludf.DUMMYFUNCTION("""COMPUTED_VALUE"""),"1208/FTSCY/WS95271 16018700.00 EKO SETIYAWAN")</f>
        <v>1208/FTSCY/WS95271 16018700.00 EKO SETIYAWAN</v>
      </c>
      <c r="D21" s="3">
        <f>IFERROR(__xludf.DUMMYFUNCTION("""COMPUTED_VALUE"""),1.60187E7)</f>
        <v>16018700</v>
      </c>
      <c r="E21" s="3"/>
      <c r="F21" s="3" t="str">
        <f>IFERROR(__xludf.DUMMYFUNCTION("""COMPUTED_VALUE"""),"DB")</f>
        <v>DB</v>
      </c>
      <c r="G21" s="3">
        <f>IFERROR(__xludf.DUMMYFUNCTION("""COMPUTED_VALUE"""),3.5302463457000005E8)</f>
        <v>353024634.6</v>
      </c>
      <c r="H21" s="3"/>
      <c r="I21" s="3" t="str">
        <f>IFERROR(__xludf.DUMMYFUNCTION("""COMPUTED_VALUE"""),"PRIBADI")</f>
        <v>PRIBADI</v>
      </c>
    </row>
    <row r="22">
      <c r="A22" s="7">
        <f>IFERROR(__xludf.DUMMYFUNCTION("""COMPUTED_VALUE"""),46251.0)</f>
        <v>46251</v>
      </c>
      <c r="B22" s="3" t="str">
        <f>IFERROR(__xludf.DUMMYFUNCTION("""COMPUTED_VALUE"""),"TRSF E-BANKING DB")</f>
        <v>TRSF E-BANKING DB</v>
      </c>
      <c r="C22" s="3" t="str">
        <f>IFERROR(__xludf.DUMMYFUNCTION("""COMPUTED_VALUE"""),"1708/FTSCY/WS95271 1000000.00 SUNARTO")</f>
        <v>1708/FTSCY/WS95271 1000000.00 SUNARTO</v>
      </c>
      <c r="D22" s="3">
        <f>IFERROR(__xludf.DUMMYFUNCTION("""COMPUTED_VALUE"""),1000000.0)</f>
        <v>1000000</v>
      </c>
      <c r="E22" s="3"/>
      <c r="F22" s="3" t="str">
        <f>IFERROR(__xludf.DUMMYFUNCTION("""COMPUTED_VALUE"""),"DB")</f>
        <v>DB</v>
      </c>
      <c r="G22" s="3">
        <f>IFERROR(__xludf.DUMMYFUNCTION("""COMPUTED_VALUE"""),8742464.570000052)</f>
        <v>8742464.57</v>
      </c>
      <c r="H22" s="3"/>
      <c r="I22" s="3" t="str">
        <f>IFERROR(__xludf.DUMMYFUNCTION("""COMPUTED_VALUE"""),"PRIBADI")</f>
        <v>PRIBADI</v>
      </c>
    </row>
    <row r="23">
      <c r="A23" s="7">
        <f>IFERROR(__xludf.DUMMYFUNCTION("""COMPUTED_VALUE"""),46251.0)</f>
        <v>46251</v>
      </c>
      <c r="B23" s="3" t="str">
        <f>IFERROR(__xludf.DUMMYFUNCTION("""COMPUTED_VALUE"""),"KARTU DEBIT")</f>
        <v>KARTU DEBIT</v>
      </c>
      <c r="C23" s="3" t="str">
        <f>IFERROR(__xludf.DUMMYFUNCTION("""COMPUTED_VALUE"""),"GOLDEN MARKET-HO 6019009510239343")</f>
        <v>GOLDEN MARKET-HO 6019009510239343</v>
      </c>
      <c r="D23" s="3">
        <f>IFERROR(__xludf.DUMMYFUNCTION("""COMPUTED_VALUE"""),149760.0)</f>
        <v>149760</v>
      </c>
      <c r="E23" s="3"/>
      <c r="F23" s="3"/>
      <c r="G23" s="3">
        <f>IFERROR(__xludf.DUMMYFUNCTION("""COMPUTED_VALUE"""),8592704.570000052)</f>
        <v>8592704.57</v>
      </c>
      <c r="H23" s="3"/>
      <c r="I23" s="3" t="str">
        <f>IFERROR(__xludf.DUMMYFUNCTION("""COMPUTED_VALUE"""),"PRIBADI")</f>
        <v>PRIBADI</v>
      </c>
    </row>
    <row r="24">
      <c r="A24" s="7">
        <f>IFERROR(__xludf.DUMMYFUNCTION("""COMPUTED_VALUE"""),46252.0)</f>
        <v>46252</v>
      </c>
      <c r="B24" s="3" t="str">
        <f>IFERROR(__xludf.DUMMYFUNCTION("""COMPUTED_VALUE"""),"TARIKAN ATM 18/08")</f>
        <v>TARIKAN ATM 18/08</v>
      </c>
      <c r="C24" s="3" t="str">
        <f>IFERROR(__xludf.DUMMYFUNCTION("""COMPUTED_VALUE"""),"TARIKAN ATM 18/08")</f>
        <v>TARIKAN ATM 18/08</v>
      </c>
      <c r="D24" s="3">
        <f>IFERROR(__xludf.DUMMYFUNCTION("""COMPUTED_VALUE"""),300000.0)</f>
        <v>300000</v>
      </c>
      <c r="E24" s="3"/>
      <c r="F24" s="3"/>
      <c r="G24" s="3">
        <f>IFERROR(__xludf.DUMMYFUNCTION("""COMPUTED_VALUE"""),1.2849270457000005E8)</f>
        <v>128492704.6</v>
      </c>
      <c r="H24" s="3"/>
      <c r="I24" s="3" t="str">
        <f>IFERROR(__xludf.DUMMYFUNCTION("""COMPUTED_VALUE"""),"PRIBADI")</f>
        <v>PRIBADI</v>
      </c>
    </row>
    <row r="25">
      <c r="A25" s="7">
        <f>IFERROR(__xludf.DUMMYFUNCTION("""COMPUTED_VALUE"""),46252.0)</f>
        <v>46252</v>
      </c>
      <c r="B25" s="3" t="str">
        <f>IFERROR(__xludf.DUMMYFUNCTION("""COMPUTED_VALUE"""),"TRSF E-BANKING DB")</f>
        <v>TRSF E-BANKING DB</v>
      </c>
      <c r="C25" s="3" t="str">
        <f>IFERROR(__xludf.DUMMYFUNCTION("""COMPUTED_VALUE"""),"1808/FTSCY/WS95271 82825800.00 Sat Aug 15 2026 14:00:00 GMT+0700 (Western Indonesia Time) FIDI TEGUH TRIWIBO")</f>
        <v>1808/FTSCY/WS95271 82825800.00 Sat Aug 15 2026 14:00:00 GMT+0700 (Western Indonesia Time) FIDI TEGUH TRIWIBO</v>
      </c>
      <c r="D25" s="3">
        <f>IFERROR(__xludf.DUMMYFUNCTION("""COMPUTED_VALUE"""),8.28258E7)</f>
        <v>82825800</v>
      </c>
      <c r="E25" s="3"/>
      <c r="F25" s="3" t="str">
        <f>IFERROR(__xludf.DUMMYFUNCTION("""COMPUTED_VALUE"""),"DB")</f>
        <v>DB</v>
      </c>
      <c r="G25" s="3">
        <f>IFERROR(__xludf.DUMMYFUNCTION("""COMPUTED_VALUE"""),3.6315420457000005E8)</f>
        <v>363154204.6</v>
      </c>
      <c r="H25" s="3"/>
      <c r="I25" s="3" t="str">
        <f>IFERROR(__xludf.DUMMYFUNCTION("""COMPUTED_VALUE"""),"PRIBADI")</f>
        <v>PRIBADI</v>
      </c>
    </row>
    <row r="26">
      <c r="A26" s="7">
        <f>IFERROR(__xludf.DUMMYFUNCTION("""COMPUTED_VALUE"""),46252.0)</f>
        <v>46252</v>
      </c>
      <c r="B26" s="3" t="str">
        <f>IFERROR(__xludf.DUMMYFUNCTION("""COMPUTED_VALUE"""),"TRSF E-BANKING DB")</f>
        <v>TRSF E-BANKING DB</v>
      </c>
      <c r="C26" s="3" t="str">
        <f>IFERROR(__xludf.DUMMYFUNCTION("""COMPUTED_VALUE"""),"1808/FTSCY/WS95271 61346500.00 Sun Aug 16 2026 14:00:00 GMT+0700 (Western Indonesia Time) ANUGERAH KARTIKA A")</f>
        <v>1808/FTSCY/WS95271 61346500.00 Sun Aug 16 2026 14:00:00 GMT+0700 (Western Indonesia Time) ANUGERAH KARTIKA A</v>
      </c>
      <c r="D26" s="3">
        <f>IFERROR(__xludf.DUMMYFUNCTION("""COMPUTED_VALUE"""),6.13465E7)</f>
        <v>61346500</v>
      </c>
      <c r="E26" s="3"/>
      <c r="F26" s="3" t="str">
        <f>IFERROR(__xludf.DUMMYFUNCTION("""COMPUTED_VALUE"""),"DB")</f>
        <v>DB</v>
      </c>
      <c r="G26" s="3">
        <f>IFERROR(__xludf.DUMMYFUNCTION("""COMPUTED_VALUE"""),3.0180770457000005E8)</f>
        <v>301807704.6</v>
      </c>
      <c r="H26" s="3"/>
      <c r="I26" s="3" t="str">
        <f>IFERROR(__xludf.DUMMYFUNCTION("""COMPUTED_VALUE"""),"PRIBADI")</f>
        <v>PRIBADI</v>
      </c>
    </row>
    <row r="27">
      <c r="A27" s="7">
        <f>IFERROR(__xludf.DUMMYFUNCTION("""COMPUTED_VALUE"""),46252.0)</f>
        <v>46252</v>
      </c>
      <c r="B27" s="3" t="str">
        <f>IFERROR(__xludf.DUMMYFUNCTION("""COMPUTED_VALUE"""),"TRSF E-BANKING DB")</f>
        <v>TRSF E-BANKING DB</v>
      </c>
      <c r="C27" s="3" t="str">
        <f>IFERROR(__xludf.DUMMYFUNCTION("""COMPUTED_VALUE"""),"1808/FTSCY/WS95031 51809000.00 pelunasan ANUGERAH KARTIKA A")</f>
        <v>1808/FTSCY/WS95031 51809000.00 pelunasan ANUGERAH KARTIKA A</v>
      </c>
      <c r="D27" s="3">
        <f>IFERROR(__xludf.DUMMYFUNCTION("""COMPUTED_VALUE"""),5.1809E7)</f>
        <v>51809000</v>
      </c>
      <c r="E27" s="3"/>
      <c r="F27" s="3" t="str">
        <f>IFERROR(__xludf.DUMMYFUNCTION("""COMPUTED_VALUE"""),"DB")</f>
        <v>DB</v>
      </c>
      <c r="G27" s="3">
        <f>IFERROR(__xludf.DUMMYFUNCTION("""COMPUTED_VALUE"""),9.417120457000005E7)</f>
        <v>94171204.57</v>
      </c>
      <c r="H27" s="3"/>
      <c r="I27" s="3" t="str">
        <f>IFERROR(__xludf.DUMMYFUNCTION("""COMPUTED_VALUE"""),"PRIBADI")</f>
        <v>PRIBADI</v>
      </c>
    </row>
    <row r="28">
      <c r="A28" s="7">
        <f>IFERROR(__xludf.DUMMYFUNCTION("""COMPUTED_VALUE"""),46252.0)</f>
        <v>46252</v>
      </c>
      <c r="B28" s="3" t="str">
        <f>IFERROR(__xludf.DUMMYFUNCTION("""COMPUTED_VALUE"""),"TRSF E-BANKING DB")</f>
        <v>TRSF E-BANKING DB</v>
      </c>
      <c r="C28" s="3" t="str">
        <f>IFERROR(__xludf.DUMMYFUNCTION("""COMPUTED_VALUE"""),"1808/FTSCY/WS95011 94000000.00 Sat Aug 15 2026 14:00:00 GMT+0700 (Western Indonesia Time) LAJU SATWA WISESA")</f>
        <v>1808/FTSCY/WS95011 94000000.00 Sat Aug 15 2026 14:00:00 GMT+0700 (Western Indonesia Time) LAJU SATWA WISESA</v>
      </c>
      <c r="D28" s="3">
        <f>IFERROR(__xludf.DUMMYFUNCTION("""COMPUTED_VALUE"""),9.4E7)</f>
        <v>94000000</v>
      </c>
      <c r="E28" s="3"/>
      <c r="F28" s="3" t="str">
        <f>IFERROR(__xludf.DUMMYFUNCTION("""COMPUTED_VALUE"""),"DB")</f>
        <v>DB</v>
      </c>
      <c r="G28" s="3">
        <f>IFERROR(__xludf.DUMMYFUNCTION("""COMPUTED_VALUE"""),1.0411448457000005E8)</f>
        <v>104114484.6</v>
      </c>
      <c r="H28" s="3"/>
      <c r="I28" s="3" t="str">
        <f>IFERROR(__xludf.DUMMYFUNCTION("""COMPUTED_VALUE"""),"PRIBADI")</f>
        <v>PRIBADI</v>
      </c>
    </row>
    <row r="29">
      <c r="A29" s="7">
        <f>IFERROR(__xludf.DUMMYFUNCTION("""COMPUTED_VALUE"""),46252.0)</f>
        <v>46252</v>
      </c>
      <c r="B29" s="3" t="str">
        <f>IFERROR(__xludf.DUMMYFUNCTION("""COMPUTED_VALUE"""),"TRSF E-BANKING DB")</f>
        <v>TRSF E-BANKING DB</v>
      </c>
      <c r="C29" s="3" t="str">
        <f>IFERROR(__xludf.DUMMYFUNCTION("""COMPUTED_VALUE"""),"1808/FTSCY/WS95011 97860320.00 Sun Aug 16 2026 14:00:00 GMT+0700 (Western Indonesia Time) ANUGERAH KARTIKA A")</f>
        <v>1808/FTSCY/WS95011 97860320.00 Sun Aug 16 2026 14:00:00 GMT+0700 (Western Indonesia Time) ANUGERAH KARTIKA A</v>
      </c>
      <c r="D29" s="3">
        <f>IFERROR(__xludf.DUMMYFUNCTION("""COMPUTED_VALUE"""),9.786032E7)</f>
        <v>97860320</v>
      </c>
      <c r="E29" s="3"/>
      <c r="F29" s="3" t="str">
        <f>IFERROR(__xludf.DUMMYFUNCTION("""COMPUTED_VALUE"""),"DB")</f>
        <v>DB</v>
      </c>
      <c r="G29" s="3">
        <f>IFERROR(__xludf.DUMMYFUNCTION("""COMPUTED_VALUE"""),6254164.570000052)</f>
        <v>6254164.57</v>
      </c>
      <c r="H29" s="3">
        <f>IFERROR(__xludf.DUMMYFUNCTION("""COMPUTED_VALUE"""),6254164.57)</f>
        <v>6254164.57</v>
      </c>
      <c r="I29" s="3" t="str">
        <f>IFERROR(__xludf.DUMMYFUNCTION("""COMPUTED_VALUE"""),"PRIBADI")</f>
        <v>PRIBADI</v>
      </c>
    </row>
    <row r="30">
      <c r="A30" s="7">
        <f>IFERROR(__xludf.DUMMYFUNCTION("""COMPUTED_VALUE"""),46252.0)</f>
        <v>46252</v>
      </c>
      <c r="B30" s="3" t="str">
        <f>IFERROR(__xludf.DUMMYFUNCTION("""COMPUTED_VALUE"""),"TRANSAKSI DEBIT")</f>
        <v>TRANSAKSI DEBIT</v>
      </c>
      <c r="C30" s="3" t="str">
        <f>IFERROR(__xludf.DUMMYFUNCTION("""COMPUTED_VALUE"""),"TGL: 18/08 QR 014 00000.00VAMOS VAPE")</f>
        <v>TGL: 18/08 QR 014 00000.00VAMOS VAPE</v>
      </c>
      <c r="D30" s="3">
        <f>IFERROR(__xludf.DUMMYFUNCTION("""COMPUTED_VALUE"""),375000.0)</f>
        <v>375000</v>
      </c>
      <c r="E30" s="3"/>
      <c r="F30" s="3"/>
      <c r="G30" s="3">
        <f>IFERROR(__xludf.DUMMYFUNCTION("""COMPUTED_VALUE"""),3.3154016457000005E8)</f>
        <v>331540164.6</v>
      </c>
      <c r="H30" s="3"/>
      <c r="I30" s="3" t="str">
        <f>IFERROR(__xludf.DUMMYFUNCTION("""COMPUTED_VALUE"""),"PRIBADI")</f>
        <v>PRIBADI</v>
      </c>
    </row>
    <row r="31">
      <c r="A31" s="7">
        <f>IFERROR(__xludf.DUMMYFUNCTION("""COMPUTED_VALUE"""),46252.0)</f>
        <v>46252</v>
      </c>
      <c r="B31" s="3" t="str">
        <f>IFERROR(__xludf.DUMMYFUNCTION("""COMPUTED_VALUE"""),"TRSF E-BANKING DB")</f>
        <v>TRSF E-BANKING DB</v>
      </c>
      <c r="C31" s="3" t="str">
        <f>IFERROR(__xludf.DUMMYFUNCTION("""COMPUTED_VALUE"""),"1808/FTSCY/WS95031 2550000.00 SUNARTO")</f>
        <v>1808/FTSCY/WS95031 2550000.00 SUNARTO</v>
      </c>
      <c r="D31" s="3">
        <f>IFERROR(__xludf.DUMMYFUNCTION("""COMPUTED_VALUE"""),2550000.0)</f>
        <v>2550000</v>
      </c>
      <c r="E31" s="3"/>
      <c r="F31" s="3" t="str">
        <f>IFERROR(__xludf.DUMMYFUNCTION("""COMPUTED_VALUE"""),"DB")</f>
        <v>DB</v>
      </c>
      <c r="G31" s="3">
        <f>IFERROR(__xludf.DUMMYFUNCTION("""COMPUTED_VALUE"""),3.2899016457000005E8)</f>
        <v>328990164.6</v>
      </c>
      <c r="H31" s="3"/>
      <c r="I31" s="3" t="str">
        <f>IFERROR(__xludf.DUMMYFUNCTION("""COMPUTED_VALUE"""),"PRIBADI")</f>
        <v>PRIBADI</v>
      </c>
    </row>
    <row r="32">
      <c r="A32" s="7">
        <f>IFERROR(__xludf.DUMMYFUNCTION("""COMPUTED_VALUE"""),46252.0)</f>
        <v>46252</v>
      </c>
      <c r="B32" s="3" t="str">
        <f>IFERROR(__xludf.DUMMYFUNCTION("""COMPUTED_VALUE"""),"KARTU DEBIT")</f>
        <v>KARTU DEBIT</v>
      </c>
      <c r="C32" s="3" t="str">
        <f>IFERROR(__xludf.DUMMYFUNCTION("""COMPUTED_VALUE"""),"WSS JEMBER 6019009510239343")</f>
        <v>WSS JEMBER 6019009510239343</v>
      </c>
      <c r="D32" s="3">
        <f>IFERROR(__xludf.DUMMYFUNCTION("""COMPUTED_VALUE"""),206000.0)</f>
        <v>206000</v>
      </c>
      <c r="E32" s="3"/>
      <c r="F32" s="3"/>
      <c r="G32" s="3">
        <f>IFERROR(__xludf.DUMMYFUNCTION("""COMPUTED_VALUE"""),3.2878416457000005E8)</f>
        <v>328784164.6</v>
      </c>
      <c r="H32" s="3"/>
      <c r="I32" s="3" t="str">
        <f>IFERROR(__xludf.DUMMYFUNCTION("""COMPUTED_VALUE"""),"PRIBADI")</f>
        <v>PRIBADI</v>
      </c>
    </row>
    <row r="33">
      <c r="A33" s="7">
        <f>IFERROR(__xludf.DUMMYFUNCTION("""COMPUTED_VALUE"""),46252.0)</f>
        <v>46252</v>
      </c>
      <c r="B33" s="3" t="str">
        <f>IFERROR(__xludf.DUMMYFUNCTION("""COMPUTED_VALUE"""),"TRSF E-BANKING DB")</f>
        <v>TRSF E-BANKING DB</v>
      </c>
      <c r="C33" s="3" t="str">
        <f>IFERROR(__xludf.DUMMYFUNCTION("""COMPUTED_VALUE"""),"1808/FTSCY/WS95031 1600000.00 BELA PRAMUDITA")</f>
        <v>1808/FTSCY/WS95031 1600000.00 BELA PRAMUDITA</v>
      </c>
      <c r="D33" s="3">
        <f>IFERROR(__xludf.DUMMYFUNCTION("""COMPUTED_VALUE"""),1600000.0)</f>
        <v>1600000</v>
      </c>
      <c r="E33" s="3"/>
      <c r="F33" s="3" t="str">
        <f>IFERROR(__xludf.DUMMYFUNCTION("""COMPUTED_VALUE"""),"DB")</f>
        <v>DB</v>
      </c>
      <c r="G33" s="3">
        <f>IFERROR(__xludf.DUMMYFUNCTION("""COMPUTED_VALUE"""),4.0421138457000005E8)</f>
        <v>404211384.6</v>
      </c>
      <c r="H33" s="3"/>
      <c r="I33" s="3" t="str">
        <f>IFERROR(__xludf.DUMMYFUNCTION("""COMPUTED_VALUE"""),"PRIBADI")</f>
        <v>PRIBADI</v>
      </c>
    </row>
    <row r="34">
      <c r="A34" s="7">
        <f>IFERROR(__xludf.DUMMYFUNCTION("""COMPUTED_VALUE"""),46252.0)</f>
        <v>46252</v>
      </c>
      <c r="B34" s="3" t="str">
        <f>IFERROR(__xludf.DUMMYFUNCTION("""COMPUTED_VALUE"""),"TRSF E-BANKING DB")</f>
        <v>TRSF E-BANKING DB</v>
      </c>
      <c r="C34" s="3" t="str">
        <f>IFERROR(__xludf.DUMMYFUNCTION("""COMPUTED_VALUE"""),"1808/FTSCY/WS95011 71745590.00 Sun Aug 16 2026 14:00:00 GMT+0700 (Western Indonesia Time) ANDALAN YASA MITRA")</f>
        <v>1808/FTSCY/WS95011 71745590.00 Sun Aug 16 2026 14:00:00 GMT+0700 (Western Indonesia Time) ANDALAN YASA MITRA</v>
      </c>
      <c r="D34" s="3">
        <f>IFERROR(__xludf.DUMMYFUNCTION("""COMPUTED_VALUE"""),7.174559E7)</f>
        <v>71745590</v>
      </c>
      <c r="E34" s="3"/>
      <c r="F34" s="3" t="str">
        <f>IFERROR(__xludf.DUMMYFUNCTION("""COMPUTED_VALUE"""),"DB")</f>
        <v>DB</v>
      </c>
      <c r="G34" s="3">
        <f>IFERROR(__xludf.DUMMYFUNCTION("""COMPUTED_VALUE"""),3.3246579457000005E8)</f>
        <v>332465794.6</v>
      </c>
      <c r="H34" s="3"/>
      <c r="I34" s="3" t="str">
        <f>IFERROR(__xludf.DUMMYFUNCTION("""COMPUTED_VALUE"""),"PRIBADI")</f>
        <v>PRIBADI</v>
      </c>
    </row>
    <row r="35">
      <c r="A35" s="7">
        <f>IFERROR(__xludf.DUMMYFUNCTION("""COMPUTED_VALUE"""),46252.0)</f>
        <v>46252</v>
      </c>
      <c r="B35" s="3" t="str">
        <f>IFERROR(__xludf.DUMMYFUNCTION("""COMPUTED_VALUE"""),"TRSF E-BANKING DB")</f>
        <v>TRSF E-BANKING DB</v>
      </c>
      <c r="C35" s="3" t="str">
        <f>IFERROR(__xludf.DUMMYFUNCTION("""COMPUTED_VALUE"""),"1808/FTSCY/WS95011 62546000.00 Sun Aug 16 2026 14:00:00 GMT+0700 (Western Indonesia Time) ANUGERAH KARTIKA A")</f>
        <v>1808/FTSCY/WS95011 62546000.00 Sun Aug 16 2026 14:00:00 GMT+0700 (Western Indonesia Time) ANUGERAH KARTIKA A</v>
      </c>
      <c r="D35" s="3">
        <f>IFERROR(__xludf.DUMMYFUNCTION("""COMPUTED_VALUE"""),6.2546E7)</f>
        <v>62546000</v>
      </c>
      <c r="E35" s="3"/>
      <c r="F35" s="3" t="str">
        <f>IFERROR(__xludf.DUMMYFUNCTION("""COMPUTED_VALUE"""),"DB")</f>
        <v>DB</v>
      </c>
      <c r="G35" s="3">
        <f>IFERROR(__xludf.DUMMYFUNCTION("""COMPUTED_VALUE"""),2.6991979457000005E8)</f>
        <v>269919794.6</v>
      </c>
      <c r="H35" s="3"/>
      <c r="I35" s="3" t="str">
        <f>IFERROR(__xludf.DUMMYFUNCTION("""COMPUTED_VALUE"""),"PRIBADI")</f>
        <v>PRIBADI</v>
      </c>
    </row>
    <row r="36">
      <c r="A36" s="7">
        <f>IFERROR(__xludf.DUMMYFUNCTION("""COMPUTED_VALUE"""),46252.0)</f>
        <v>46252</v>
      </c>
      <c r="B36" s="3" t="str">
        <f>IFERROR(__xludf.DUMMYFUNCTION("""COMPUTED_VALUE"""),"TRSF E-BANKING DB")</f>
        <v>TRSF E-BANKING DB</v>
      </c>
      <c r="C36" s="3" t="str">
        <f>IFERROR(__xludf.DUMMYFUNCTION("""COMPUTED_VALUE"""),"1808/FTSCY/WS95011 77636000.00 Sun Aug 16 2026 14:00:00 GMT+0700 (Western Indonesia Time) ANDALAN YASA MITRA")</f>
        <v>1808/FTSCY/WS95011 77636000.00 Sun Aug 16 2026 14:00:00 GMT+0700 (Western Indonesia Time) ANDALAN YASA MITRA</v>
      </c>
      <c r="D36" s="3">
        <f>IFERROR(__xludf.DUMMYFUNCTION("""COMPUTED_VALUE"""),7.7636E7)</f>
        <v>77636000</v>
      </c>
      <c r="E36" s="3"/>
      <c r="F36" s="3" t="str">
        <f>IFERROR(__xludf.DUMMYFUNCTION("""COMPUTED_VALUE"""),"DB")</f>
        <v>DB</v>
      </c>
      <c r="G36" s="3">
        <f>IFERROR(__xludf.DUMMYFUNCTION("""COMPUTED_VALUE"""),1.9228379457000005E8)</f>
        <v>192283794.6</v>
      </c>
      <c r="H36" s="3"/>
      <c r="I36" s="3" t="str">
        <f>IFERROR(__xludf.DUMMYFUNCTION("""COMPUTED_VALUE"""),"PRIBADI")</f>
        <v>PRIBADI</v>
      </c>
    </row>
    <row r="37">
      <c r="A37" s="7">
        <f>IFERROR(__xludf.DUMMYFUNCTION("""COMPUTED_VALUE"""),46252.0)</f>
        <v>46252</v>
      </c>
      <c r="B37" s="3" t="str">
        <f>IFERROR(__xludf.DUMMYFUNCTION("""COMPUTED_VALUE"""),"TRSF E-BANKING DB")</f>
        <v>TRSF E-BANKING DB</v>
      </c>
      <c r="C37" s="3" t="str">
        <f>IFERROR(__xludf.DUMMYFUNCTION("""COMPUTED_VALUE"""),"1808/FTSCY/WS95011 69053000.00 Tue Aug 18 2026 14:00:00 GMT+0700 (Western Indonesia Time) ANDALAN YASA MITRA")</f>
        <v>1808/FTSCY/WS95011 69053000.00 Tue Aug 18 2026 14:00:00 GMT+0700 (Western Indonesia Time) ANDALAN YASA MITRA</v>
      </c>
      <c r="D37" s="3">
        <f>IFERROR(__xludf.DUMMYFUNCTION("""COMPUTED_VALUE"""),6.9053E7)</f>
        <v>69053000</v>
      </c>
      <c r="E37" s="3"/>
      <c r="F37" s="3" t="str">
        <f>IFERROR(__xludf.DUMMYFUNCTION("""COMPUTED_VALUE"""),"DB")</f>
        <v>DB</v>
      </c>
      <c r="G37" s="3">
        <f>IFERROR(__xludf.DUMMYFUNCTION("""COMPUTED_VALUE"""),1.2323079457000005E8)</f>
        <v>123230794.6</v>
      </c>
      <c r="H37" s="3"/>
      <c r="I37" s="3" t="str">
        <f>IFERROR(__xludf.DUMMYFUNCTION("""COMPUTED_VALUE"""),"PRIBADI")</f>
        <v>PRIBADI</v>
      </c>
    </row>
    <row r="38">
      <c r="A38" s="7">
        <f>IFERROR(__xludf.DUMMYFUNCTION("""COMPUTED_VALUE"""),46252.0)</f>
        <v>46252</v>
      </c>
      <c r="B38" s="3" t="str">
        <f>IFERROR(__xludf.DUMMYFUNCTION("""COMPUTED_VALUE"""),"BIAYA ADM")</f>
        <v>BIAYA ADM</v>
      </c>
      <c r="C38" s="3" t="str">
        <f>IFERROR(__xludf.DUMMYFUNCTION("""COMPUTED_VALUE"""),"BIAYA ADM")</f>
        <v>BIAYA ADM</v>
      </c>
      <c r="D38" s="3">
        <f>IFERROR(__xludf.DUMMYFUNCTION("""COMPUTED_VALUE"""),19000.0)</f>
        <v>19000</v>
      </c>
      <c r="E38" s="3"/>
      <c r="F38" s="3"/>
      <c r="G38" s="3">
        <f>IFERROR(__xludf.DUMMYFUNCTION("""COMPUTED_VALUE"""),1.2321179457000005E8)</f>
        <v>123211794.6</v>
      </c>
      <c r="H38" s="3">
        <f>IFERROR(__xludf.DUMMYFUNCTION("""COMPUTED_VALUE"""),1.2321179457E8)</f>
        <v>123211794.6</v>
      </c>
      <c r="I38" s="3" t="str">
        <f>IFERROR(__xludf.DUMMYFUNCTION("""COMPUTED_VALUE"""),"PRIBADI")</f>
        <v>PRIBADI</v>
      </c>
    </row>
    <row r="39">
      <c r="A39" s="7">
        <f>IFERROR(__xludf.DUMMYFUNCTION("""COMPUTED_VALUE"""),46253.0)</f>
        <v>46253</v>
      </c>
      <c r="B39" s="3" t="str">
        <f>IFERROR(__xludf.DUMMYFUNCTION("""COMPUTED_VALUE"""),"TRSF E-BANKING DB")</f>
        <v>TRSF E-BANKING DB</v>
      </c>
      <c r="C39" s="3" t="str">
        <f>IFERROR(__xludf.DUMMYFUNCTION("""COMPUTED_VALUE"""),"1908/FTSCY/WS95271 80483900.00 kd aqib e mlg TABASSAM AL HATTAK")</f>
        <v>1908/FTSCY/WS95271 80483900.00 kd aqib e mlg TABASSAM AL HATTAK</v>
      </c>
      <c r="D39" s="3">
        <f>IFERROR(__xludf.DUMMYFUNCTION("""COMPUTED_VALUE"""),8.04839E7)</f>
        <v>80483900</v>
      </c>
      <c r="E39" s="3"/>
      <c r="F39" s="3" t="str">
        <f>IFERROR(__xludf.DUMMYFUNCTION("""COMPUTED_VALUE"""),"DB")</f>
        <v>DB</v>
      </c>
      <c r="G39" s="3">
        <f>IFERROR(__xludf.DUMMYFUNCTION("""COMPUTED_VALUE"""),4.272789457000005E7)</f>
        <v>42727894.57</v>
      </c>
      <c r="H39" s="3"/>
      <c r="I39" s="3" t="str">
        <f>IFERROR(__xludf.DUMMYFUNCTION("""COMPUTED_VALUE"""),"PRIBADI")</f>
        <v>PRIBADI</v>
      </c>
    </row>
    <row r="40">
      <c r="A40" s="7">
        <f>IFERROR(__xludf.DUMMYFUNCTION("""COMPUTED_VALUE"""),46253.0)</f>
        <v>46253</v>
      </c>
      <c r="B40" s="3" t="str">
        <f>IFERROR(__xludf.DUMMYFUNCTION("""COMPUTED_VALUE"""),"TRSF E-BANKING DB")</f>
        <v>TRSF E-BANKING DB</v>
      </c>
      <c r="C40" s="3" t="str">
        <f>IFERROR(__xludf.DUMMYFUNCTION("""COMPUTED_VALUE"""),"1908/FTSCY/WS95031 30000000.00 titip BERLIAN UNGGUL JAY")</f>
        <v>1908/FTSCY/WS95031 30000000.00 titip BERLIAN UNGGUL JAY</v>
      </c>
      <c r="D40" s="3">
        <f>IFERROR(__xludf.DUMMYFUNCTION("""COMPUTED_VALUE"""),3.0E7)</f>
        <v>30000000</v>
      </c>
      <c r="E40" s="3"/>
      <c r="F40" s="3" t="str">
        <f>IFERROR(__xludf.DUMMYFUNCTION("""COMPUTED_VALUE"""),"DB")</f>
        <v>DB</v>
      </c>
      <c r="G40" s="3">
        <f>IFERROR(__xludf.DUMMYFUNCTION("""COMPUTED_VALUE"""),1.2727894570000052E7)</f>
        <v>12727894.57</v>
      </c>
      <c r="H40" s="3"/>
      <c r="I40" s="3" t="str">
        <f>IFERROR(__xludf.DUMMYFUNCTION("""COMPUTED_VALUE"""),"PRIBADI")</f>
        <v>PRIBADI</v>
      </c>
    </row>
    <row r="41">
      <c r="A41" s="7">
        <f>IFERROR(__xludf.DUMMYFUNCTION("""COMPUTED_VALUE"""),46253.0)</f>
        <v>46253</v>
      </c>
      <c r="B41" s="3" t="str">
        <f>IFERROR(__xludf.DUMMYFUNCTION("""COMPUTED_VALUE"""),"TRSF E-BANKING DB")</f>
        <v>TRSF E-BANKING DB</v>
      </c>
      <c r="C41" s="3" t="str">
        <f>IFERROR(__xludf.DUMMYFUNCTION("""COMPUTED_VALUE"""),"1908/FTSCY/WS95031 1600000.00 HERMAWAN")</f>
        <v>1908/FTSCY/WS95031 1600000.00 HERMAWAN</v>
      </c>
      <c r="D41" s="3">
        <f>IFERROR(__xludf.DUMMYFUNCTION("""COMPUTED_VALUE"""),1600000.0)</f>
        <v>1600000</v>
      </c>
      <c r="E41" s="3"/>
      <c r="F41" s="3" t="str">
        <f>IFERROR(__xludf.DUMMYFUNCTION("""COMPUTED_VALUE"""),"DB")</f>
        <v>DB</v>
      </c>
      <c r="G41" s="3">
        <f>IFERROR(__xludf.DUMMYFUNCTION("""COMPUTED_VALUE"""),1.1127894570000052E7)</f>
        <v>11127894.57</v>
      </c>
      <c r="H41" s="3"/>
      <c r="I41" s="3" t="str">
        <f>IFERROR(__xludf.DUMMYFUNCTION("""COMPUTED_VALUE"""),"PRIBADI")</f>
        <v>PRIBADI</v>
      </c>
    </row>
    <row r="42">
      <c r="A42" s="7">
        <f>IFERROR(__xludf.DUMMYFUNCTION("""COMPUTED_VALUE"""),46253.0)</f>
        <v>46253</v>
      </c>
      <c r="B42" s="3" t="str">
        <f>IFERROR(__xludf.DUMMYFUNCTION("""COMPUTED_VALUE"""),"TRSF E-BANKING DB")</f>
        <v>TRSF E-BANKING DB</v>
      </c>
      <c r="C42" s="3" t="str">
        <f>IFERROR(__xludf.DUMMYFUNCTION("""COMPUTED_VALUE"""),"1908/FTSCY/WS95031 592695.00 DWI HERMANSYAH")</f>
        <v>1908/FTSCY/WS95031 592695.00 DWI HERMANSYAH</v>
      </c>
      <c r="D42" s="3">
        <f>IFERROR(__xludf.DUMMYFUNCTION("""COMPUTED_VALUE"""),592695.0)</f>
        <v>592695</v>
      </c>
      <c r="E42" s="3"/>
      <c r="F42" s="3" t="str">
        <f>IFERROR(__xludf.DUMMYFUNCTION("""COMPUTED_VALUE"""),"DB")</f>
        <v>DB</v>
      </c>
      <c r="G42" s="3">
        <f>IFERROR(__xludf.DUMMYFUNCTION("""COMPUTED_VALUE"""),1.0535199570000052E7)</f>
        <v>10535199.57</v>
      </c>
      <c r="H42" s="3">
        <f>IFERROR(__xludf.DUMMYFUNCTION("""COMPUTED_VALUE"""),1.053519957E7)</f>
        <v>10535199.57</v>
      </c>
      <c r="I42" s="3" t="str">
        <f>IFERROR(__xludf.DUMMYFUNCTION("""COMPUTED_VALUE"""),"PRIBADI")</f>
        <v>PRIBADI</v>
      </c>
    </row>
    <row r="43">
      <c r="A43" s="7">
        <f>IFERROR(__xludf.DUMMYFUNCTION("""COMPUTED_VALUE"""),46253.0)</f>
        <v>46253</v>
      </c>
      <c r="B43" s="3" t="str">
        <f>IFERROR(__xludf.DUMMYFUNCTION("""COMPUTED_VALUE"""),"TRSF E-BANKING DB")</f>
        <v>TRSF E-BANKING DB</v>
      </c>
      <c r="C43" s="3" t="str">
        <f>IFERROR(__xludf.DUMMYFUNCTION("""COMPUTED_VALUE"""),"1908/FTSCY/WS95031 1138900.00 MUJIANTO")</f>
        <v>1908/FTSCY/WS95031 1138900.00 MUJIANTO</v>
      </c>
      <c r="D43" s="3">
        <f>IFERROR(__xludf.DUMMYFUNCTION("""COMPUTED_VALUE"""),1138900.0)</f>
        <v>1138900</v>
      </c>
      <c r="E43" s="3"/>
      <c r="F43" s="3" t="str">
        <f>IFERROR(__xludf.DUMMYFUNCTION("""COMPUTED_VALUE"""),"DB")</f>
        <v>DB</v>
      </c>
      <c r="G43" s="3">
        <f>IFERROR(__xludf.DUMMYFUNCTION("""COMPUTED_VALUE"""),9396299.570000052)</f>
        <v>9396299.57</v>
      </c>
      <c r="H43" s="3">
        <f>IFERROR(__xludf.DUMMYFUNCTION("""COMPUTED_VALUE"""),9396299.57)</f>
        <v>9396299.57</v>
      </c>
      <c r="I43" s="3" t="str">
        <f>IFERROR(__xludf.DUMMYFUNCTION("""COMPUTED_VALUE"""),"PRIBADI")</f>
        <v>PRIBADI</v>
      </c>
    </row>
    <row r="44">
      <c r="A44" s="7">
        <f>IFERROR(__xludf.DUMMYFUNCTION("""COMPUTED_VALUE"""),46253.0)</f>
        <v>46253</v>
      </c>
      <c r="B44" s="3" t="str">
        <f>IFERROR(__xludf.DUMMYFUNCTION("""COMPUTED_VALUE"""),"TRSF E-BANKING DB")</f>
        <v>TRSF E-BANKING DB</v>
      </c>
      <c r="C44" s="3" t="str">
        <f>IFERROR(__xludf.DUMMYFUNCTION("""COMPUTED_VALUE"""),"1908/FTSCY/WS95031 553240.00 FAJAR ANDREANZAH")</f>
        <v>1908/FTSCY/WS95031 553240.00 FAJAR ANDREANZAH</v>
      </c>
      <c r="D44" s="3">
        <f>IFERROR(__xludf.DUMMYFUNCTION("""COMPUTED_VALUE"""),553240.0)</f>
        <v>553240</v>
      </c>
      <c r="E44" s="3"/>
      <c r="F44" s="3" t="str">
        <f>IFERROR(__xludf.DUMMYFUNCTION("""COMPUTED_VALUE"""),"DB")</f>
        <v>DB</v>
      </c>
      <c r="G44" s="3">
        <f>IFERROR(__xludf.DUMMYFUNCTION("""COMPUTED_VALUE"""),8843059.570000052)</f>
        <v>8843059.57</v>
      </c>
      <c r="H44" s="3"/>
      <c r="I44" s="3" t="str">
        <f>IFERROR(__xludf.DUMMYFUNCTION("""COMPUTED_VALUE"""),"PRIBADI")</f>
        <v>PRIBADI</v>
      </c>
    </row>
    <row r="45">
      <c r="A45" s="7">
        <f>IFERROR(__xludf.DUMMYFUNCTION("""COMPUTED_VALUE"""),46253.0)</f>
        <v>46253</v>
      </c>
      <c r="B45" s="3" t="str">
        <f>IFERROR(__xludf.DUMMYFUNCTION("""COMPUTED_VALUE"""),"TRSF E-BANKING DB")</f>
        <v>TRSF E-BANKING DB</v>
      </c>
      <c r="C45" s="3" t="str">
        <f>IFERROR(__xludf.DUMMYFUNCTION("""COMPUTED_VALUE"""),"1908/FTSCY/WS95271 100000.00 M ILHAM HIDAYATULL")</f>
        <v>1908/FTSCY/WS95271 100000.00 M ILHAM HIDAYATULL</v>
      </c>
      <c r="D45" s="3">
        <f>IFERROR(__xludf.DUMMYFUNCTION("""COMPUTED_VALUE"""),100000.0)</f>
        <v>100000</v>
      </c>
      <c r="E45" s="3"/>
      <c r="F45" s="3" t="str">
        <f>IFERROR(__xludf.DUMMYFUNCTION("""COMPUTED_VALUE"""),"DB")</f>
        <v>DB</v>
      </c>
      <c r="G45" s="3">
        <f>IFERROR(__xludf.DUMMYFUNCTION("""COMPUTED_VALUE"""),2.3125830957000005E8)</f>
        <v>231258309.6</v>
      </c>
      <c r="H45" s="3"/>
      <c r="I45" s="3" t="str">
        <f>IFERROR(__xludf.DUMMYFUNCTION("""COMPUTED_VALUE"""),"PRIBADI")</f>
        <v>PRIBADI</v>
      </c>
    </row>
    <row r="46">
      <c r="A46" s="7">
        <f>IFERROR(__xludf.DUMMYFUNCTION("""COMPUTED_VALUE"""),46253.0)</f>
        <v>46253</v>
      </c>
      <c r="B46" s="3" t="str">
        <f>IFERROR(__xludf.DUMMYFUNCTION("""COMPUTED_VALUE"""),"TRSF E-BANKING DB")</f>
        <v>TRSF E-BANKING DB</v>
      </c>
      <c r="C46" s="3" t="str">
        <f>IFERROR(__xludf.DUMMYFUNCTION("""COMPUTED_VALUE"""),"1908/FTSCY/WS95271 109490000.00 Tue Aug 18 2026 14:00:00 GMT+0700 (Western Indonesia Time) BERLIAN UNGGUL JAY")</f>
        <v>1908/FTSCY/WS95271 109490000.00 Tue Aug 18 2026 14:00:00 GMT+0700 (Western Indonesia Time) BERLIAN UNGGUL JAY</v>
      </c>
      <c r="D46" s="3">
        <f>IFERROR(__xludf.DUMMYFUNCTION("""COMPUTED_VALUE"""),1.0949E8)</f>
        <v>109490000</v>
      </c>
      <c r="E46" s="3"/>
      <c r="F46" s="3" t="str">
        <f>IFERROR(__xludf.DUMMYFUNCTION("""COMPUTED_VALUE"""),"DB")</f>
        <v>DB</v>
      </c>
      <c r="G46" s="3">
        <f>IFERROR(__xludf.DUMMYFUNCTION("""COMPUTED_VALUE"""),1.2176830957000005E8)</f>
        <v>121768309.6</v>
      </c>
      <c r="H46" s="3"/>
      <c r="I46" s="3" t="str">
        <f>IFERROR(__xludf.DUMMYFUNCTION("""COMPUTED_VALUE"""),"PRIBADI")</f>
        <v>PRIBADI</v>
      </c>
    </row>
    <row r="47">
      <c r="A47" s="7">
        <f>IFERROR(__xludf.DUMMYFUNCTION("""COMPUTED_VALUE"""),46253.0)</f>
        <v>46253</v>
      </c>
      <c r="B47" s="3" t="str">
        <f>IFERROR(__xludf.DUMMYFUNCTION("""COMPUTED_VALUE"""),"TRSF E-BANKING DB")</f>
        <v>TRSF E-BANKING DB</v>
      </c>
      <c r="C47" s="3" t="str">
        <f>IFERROR(__xludf.DUMMYFUNCTION("""COMPUTED_VALUE"""),"1908/FTSCY/WS95271 66814000.00 Mon Aug 17 2026 14:00:00 GMT+0700 (Western Indonesia Time) TABASSAM AZ ZUFAR")</f>
        <v>1908/FTSCY/WS95271 66814000.00 Mon Aug 17 2026 14:00:00 GMT+0700 (Western Indonesia Time) TABASSAM AZ ZUFAR</v>
      </c>
      <c r="D47" s="3">
        <f>IFERROR(__xludf.DUMMYFUNCTION("""COMPUTED_VALUE"""),6.6814E7)</f>
        <v>66814000</v>
      </c>
      <c r="E47" s="3"/>
      <c r="F47" s="3" t="str">
        <f>IFERROR(__xludf.DUMMYFUNCTION("""COMPUTED_VALUE"""),"DB")</f>
        <v>DB</v>
      </c>
      <c r="G47" s="3">
        <f>IFERROR(__xludf.DUMMYFUNCTION("""COMPUTED_VALUE"""),5.495430957000005E7)</f>
        <v>54954309.57</v>
      </c>
      <c r="H47" s="3"/>
      <c r="I47" s="3" t="str">
        <f>IFERROR(__xludf.DUMMYFUNCTION("""COMPUTED_VALUE"""),"PRIBADI")</f>
        <v>PRIBADI</v>
      </c>
    </row>
    <row r="48">
      <c r="A48" s="7">
        <f>IFERROR(__xludf.DUMMYFUNCTION("""COMPUTED_VALUE"""),46253.0)</f>
        <v>46253</v>
      </c>
      <c r="B48" s="3" t="str">
        <f>IFERROR(__xludf.DUMMYFUNCTION("""COMPUTED_VALUE"""),"TRANSAKSI DEBIT")</f>
        <v>TRANSAKSI DEBIT</v>
      </c>
      <c r="C48" s="3" t="str">
        <f>IFERROR(__xludf.DUMMYFUNCTION("""COMPUTED_VALUE"""),"TGL: 19/08 QR 014 00000.00VAMOS VAPE")</f>
        <v>TGL: 19/08 QR 014 00000.00VAMOS VAPE</v>
      </c>
      <c r="D48" s="3">
        <f>IFERROR(__xludf.DUMMYFUNCTION("""COMPUTED_VALUE"""),150000.0)</f>
        <v>150000</v>
      </c>
      <c r="E48" s="3"/>
      <c r="F48" s="3"/>
      <c r="G48" s="3">
        <f>IFERROR(__xludf.DUMMYFUNCTION("""COMPUTED_VALUE"""),9.0116269957E8)</f>
        <v>901162699.6</v>
      </c>
      <c r="H48" s="3"/>
      <c r="I48" s="3" t="str">
        <f>IFERROR(__xludf.DUMMYFUNCTION("""COMPUTED_VALUE"""),"PRIBADI")</f>
        <v>PRIBADI</v>
      </c>
    </row>
    <row r="49">
      <c r="A49" s="7">
        <f>IFERROR(__xludf.DUMMYFUNCTION("""COMPUTED_VALUE"""),46253.0)</f>
        <v>46253</v>
      </c>
      <c r="B49" s="3" t="str">
        <f>IFERROR(__xludf.DUMMYFUNCTION("""COMPUTED_VALUE"""),"TRSF E-BANKING DB")</f>
        <v>TRSF E-BANKING DB</v>
      </c>
      <c r="C49" s="3" t="str">
        <f>IFERROR(__xludf.DUMMYFUNCTION("""COMPUTED_VALUE"""),"1908/FTSCY/WS95271 43037600.00 Mon Aug 17 2026 14:00:00 GMT+0700 (Western Indonesia Time) TABASSAM AL HATTAK")</f>
        <v>1908/FTSCY/WS95271 43037600.00 Mon Aug 17 2026 14:00:00 GMT+0700 (Western Indonesia Time) TABASSAM AL HATTAK</v>
      </c>
      <c r="D49" s="3">
        <f>IFERROR(__xludf.DUMMYFUNCTION("""COMPUTED_VALUE"""),4.30376E7)</f>
        <v>43037600</v>
      </c>
      <c r="E49" s="3"/>
      <c r="F49" s="3" t="str">
        <f>IFERROR(__xludf.DUMMYFUNCTION("""COMPUTED_VALUE"""),"DB")</f>
        <v>DB</v>
      </c>
      <c r="G49" s="3">
        <f>IFERROR(__xludf.DUMMYFUNCTION("""COMPUTED_VALUE"""),8.5812509957E8)</f>
        <v>858125099.6</v>
      </c>
      <c r="H49" s="3"/>
      <c r="I49" s="3" t="str">
        <f>IFERROR(__xludf.DUMMYFUNCTION("""COMPUTED_VALUE"""),"PRIBADI")</f>
        <v>PRIBADI</v>
      </c>
    </row>
    <row r="50">
      <c r="A50" s="7">
        <f>IFERROR(__xludf.DUMMYFUNCTION("""COMPUTED_VALUE"""),46253.0)</f>
        <v>46253</v>
      </c>
      <c r="B50" s="3" t="str">
        <f>IFERROR(__xludf.DUMMYFUNCTION("""COMPUTED_VALUE"""),"TRSF E-BANKING DB")</f>
        <v>TRSF E-BANKING DB</v>
      </c>
      <c r="C50" s="3" t="str">
        <f>IFERROR(__xludf.DUMMYFUNCTION("""COMPUTED_VALUE"""),"1908/FTSCY/WS95031 66000000.00 pelunasan LAJU SATWA WISESA")</f>
        <v>1908/FTSCY/WS95031 66000000.00 pelunasan LAJU SATWA WISESA</v>
      </c>
      <c r="D50" s="3">
        <f>IFERROR(__xludf.DUMMYFUNCTION("""COMPUTED_VALUE"""),6.6E7)</f>
        <v>66000000</v>
      </c>
      <c r="E50" s="3"/>
      <c r="F50" s="3" t="str">
        <f>IFERROR(__xludf.DUMMYFUNCTION("""COMPUTED_VALUE"""),"DB")</f>
        <v>DB</v>
      </c>
      <c r="G50" s="3">
        <f>IFERROR(__xludf.DUMMYFUNCTION("""COMPUTED_VALUE"""),7.9212509957E8)</f>
        <v>792125099.6</v>
      </c>
      <c r="H50" s="3"/>
      <c r="I50" s="3" t="str">
        <f>IFERROR(__xludf.DUMMYFUNCTION("""COMPUTED_VALUE"""),"PRIBADI")</f>
        <v>PRIBADI</v>
      </c>
    </row>
    <row r="51">
      <c r="A51" s="7">
        <f>IFERROR(__xludf.DUMMYFUNCTION("""COMPUTED_VALUE"""),46253.0)</f>
        <v>46253</v>
      </c>
      <c r="B51" s="3" t="str">
        <f>IFERROR(__xludf.DUMMYFUNCTION("""COMPUTED_VALUE"""),"TRSF E-BANKING DB")</f>
        <v>TRSF E-BANKING DB</v>
      </c>
      <c r="C51" s="3" t="str">
        <f>IFERROR(__xludf.DUMMYFUNCTION("""COMPUTED_VALUE"""),"1908/FTSCY/WS95011 87000000.00 Pelunasan TABASSAM AL HATTAK")</f>
        <v>1908/FTSCY/WS95011 87000000.00 Pelunasan TABASSAM AL HATTAK</v>
      </c>
      <c r="D51" s="3">
        <f>IFERROR(__xludf.DUMMYFUNCTION("""COMPUTED_VALUE"""),8.7E7)</f>
        <v>87000000</v>
      </c>
      <c r="E51" s="3"/>
      <c r="F51" s="3" t="str">
        <f>IFERROR(__xludf.DUMMYFUNCTION("""COMPUTED_VALUE"""),"DB")</f>
        <v>DB</v>
      </c>
      <c r="G51" s="3">
        <f>IFERROR(__xludf.DUMMYFUNCTION("""COMPUTED_VALUE"""),7.0512509957E8)</f>
        <v>705125099.6</v>
      </c>
      <c r="H51" s="3">
        <f>IFERROR(__xludf.DUMMYFUNCTION("""COMPUTED_VALUE"""),7.0512509957E8)</f>
        <v>705125099.6</v>
      </c>
      <c r="I51" s="3" t="str">
        <f>IFERROR(__xludf.DUMMYFUNCTION("""COMPUTED_VALUE"""),"PRIBADI")</f>
        <v>PRIBADI</v>
      </c>
    </row>
    <row r="52">
      <c r="A52" s="7">
        <f>IFERROR(__xludf.DUMMYFUNCTION("""COMPUTED_VALUE"""),46253.0)</f>
        <v>46253</v>
      </c>
      <c r="B52" s="3" t="str">
        <f>IFERROR(__xludf.DUMMYFUNCTION("""COMPUTED_VALUE"""),"TRSF E-BANKING DB")</f>
        <v>TRSF E-BANKING DB</v>
      </c>
      <c r="C52" s="3" t="str">
        <f>IFERROR(__xludf.DUMMYFUNCTION("""COMPUTED_VALUE"""),"1908/FTSCY/WS95011 59618300.00 Tue Aug 18 2026 14:00:00 GMT+0700 (Western Indonesia Time) ANUGERAH KARTIKA A")</f>
        <v>1908/FTSCY/WS95011 59618300.00 Tue Aug 18 2026 14:00:00 GMT+0700 (Western Indonesia Time) ANUGERAH KARTIKA A</v>
      </c>
      <c r="D52" s="3">
        <f>IFERROR(__xludf.DUMMYFUNCTION("""COMPUTED_VALUE"""),5.96183E7)</f>
        <v>59618300</v>
      </c>
      <c r="E52" s="3"/>
      <c r="F52" s="3" t="str">
        <f>IFERROR(__xludf.DUMMYFUNCTION("""COMPUTED_VALUE"""),"DB")</f>
        <v>DB</v>
      </c>
      <c r="G52" s="3">
        <f>IFERROR(__xludf.DUMMYFUNCTION("""COMPUTED_VALUE"""),6.4550679957E8)</f>
        <v>645506799.6</v>
      </c>
      <c r="H52" s="3">
        <f>IFERROR(__xludf.DUMMYFUNCTION("""COMPUTED_VALUE"""),6.4550679957E8)</f>
        <v>645506799.6</v>
      </c>
      <c r="I52" s="3" t="str">
        <f>IFERROR(__xludf.DUMMYFUNCTION("""COMPUTED_VALUE"""),"PRIBADI")</f>
        <v>PRIBADI</v>
      </c>
    </row>
    <row r="53">
      <c r="A53" s="7">
        <f>IFERROR(__xludf.DUMMYFUNCTION("""COMPUTED_VALUE"""),46253.0)</f>
        <v>46253</v>
      </c>
      <c r="B53" s="3" t="str">
        <f>IFERROR(__xludf.DUMMYFUNCTION("""COMPUTED_VALUE"""),"TRSF E-BANKING DB")</f>
        <v>TRSF E-BANKING DB</v>
      </c>
      <c r="C53" s="3" t="str">
        <f>IFERROR(__xludf.DUMMYFUNCTION("""COMPUTED_VALUE"""),"1908/FTSCY/WS95011 66320500.00 Mon Aug 17 2026 14:00:00 GMT+0700 (Western Indonesia Time) ANDALAN YASA MITRA")</f>
        <v>1908/FTSCY/WS95011 66320500.00 Mon Aug 17 2026 14:00:00 GMT+0700 (Western Indonesia Time) ANDALAN YASA MITRA</v>
      </c>
      <c r="D53" s="3">
        <f>IFERROR(__xludf.DUMMYFUNCTION("""COMPUTED_VALUE"""),6.63205E7)</f>
        <v>66320500</v>
      </c>
      <c r="E53" s="3"/>
      <c r="F53" s="3" t="str">
        <f>IFERROR(__xludf.DUMMYFUNCTION("""COMPUTED_VALUE"""),"DB")</f>
        <v>DB</v>
      </c>
      <c r="G53" s="3">
        <f>IFERROR(__xludf.DUMMYFUNCTION("""COMPUTED_VALUE"""),5.7918629957E8)</f>
        <v>579186299.6</v>
      </c>
      <c r="H53" s="3">
        <f>IFERROR(__xludf.DUMMYFUNCTION("""COMPUTED_VALUE"""),5.7918629957E8)</f>
        <v>579186299.6</v>
      </c>
      <c r="I53" s="3" t="str">
        <f>IFERROR(__xludf.DUMMYFUNCTION("""COMPUTED_VALUE"""),"PRIBADI")</f>
        <v>PRIBADI</v>
      </c>
    </row>
    <row r="54">
      <c r="A54" s="7">
        <f>IFERROR(__xludf.DUMMYFUNCTION("""COMPUTED_VALUE"""),46254.0)</f>
        <v>46254</v>
      </c>
      <c r="B54" s="3" t="str">
        <f>IFERROR(__xludf.DUMMYFUNCTION("""COMPUTED_VALUE"""),"TRSF E-BANKING DB TANGGAL :19/08")</f>
        <v>TRSF E-BANKING DB TANGGAL :19/08</v>
      </c>
      <c r="C54" s="3" t="str">
        <f>IFERROR(__xludf.DUMMYFUNCTION("""COMPUTED_VALUE"""),"1908/FTSCY/WS95011 Mon Aug 17 2026 14:00:00 GMT+0700 (Western Indonesia Time) BINTANG TAMA SANTO")</f>
        <v>1908/FTSCY/WS95011 Mon Aug 17 2026 14:00:00 GMT+0700 (Western Indonesia Time) BINTANG TAMA SANTO</v>
      </c>
      <c r="D54" s="3">
        <f>IFERROR(__xludf.DUMMYFUNCTION("""COMPUTED_VALUE"""),6.23162E7)</f>
        <v>62316200</v>
      </c>
      <c r="E54" s="3"/>
      <c r="F54" s="3" t="str">
        <f>IFERROR(__xludf.DUMMYFUNCTION("""COMPUTED_VALUE"""),"DB")</f>
        <v>DB</v>
      </c>
      <c r="G54" s="3">
        <f>IFERROR(__xludf.DUMMYFUNCTION("""COMPUTED_VALUE"""),5.1687009957000005E8)</f>
        <v>516870099.6</v>
      </c>
      <c r="H54" s="3"/>
      <c r="I54" s="3" t="str">
        <f>IFERROR(__xludf.DUMMYFUNCTION("""COMPUTED_VALUE"""),"PRIBADI")</f>
        <v>PRIBADI</v>
      </c>
    </row>
    <row r="55">
      <c r="A55" s="7">
        <f>IFERROR(__xludf.DUMMYFUNCTION("""COMPUTED_VALUE"""),46254.0)</f>
        <v>46254</v>
      </c>
      <c r="B55" s="3" t="str">
        <f>IFERROR(__xludf.DUMMYFUNCTION("""COMPUTED_VALUE"""),"TRSF E-BANKING DB TANGGAL :19/08")</f>
        <v>TRSF E-BANKING DB TANGGAL :19/08</v>
      </c>
      <c r="C55" s="3" t="str">
        <f>IFERROR(__xludf.DUMMYFUNCTION("""COMPUTED_VALUE"""),"1908/FTSCY/WS95011 Tue Aug 18 2026 14:00:00 GMT+0700 (Western Indonesia Time) LAJU SATWA WISESA")</f>
        <v>1908/FTSCY/WS95011 Tue Aug 18 2026 14:00:00 GMT+0700 (Western Indonesia Time) LAJU SATWA WISESA</v>
      </c>
      <c r="D55" s="3">
        <f>IFERROR(__xludf.DUMMYFUNCTION("""COMPUTED_VALUE"""),7.51496E7)</f>
        <v>75149600</v>
      </c>
      <c r="E55" s="3"/>
      <c r="F55" s="3" t="str">
        <f>IFERROR(__xludf.DUMMYFUNCTION("""COMPUTED_VALUE"""),"DB")</f>
        <v>DB</v>
      </c>
      <c r="G55" s="3">
        <f>IFERROR(__xludf.DUMMYFUNCTION("""COMPUTED_VALUE"""),4.4172049957000005E8)</f>
        <v>441720499.6</v>
      </c>
      <c r="H55" s="3"/>
      <c r="I55" s="3" t="str">
        <f>IFERROR(__xludf.DUMMYFUNCTION("""COMPUTED_VALUE"""),"PRIBADI")</f>
        <v>PRIBADI</v>
      </c>
    </row>
    <row r="56">
      <c r="A56" s="7">
        <f>IFERROR(__xludf.DUMMYFUNCTION("""COMPUTED_VALUE"""),46254.0)</f>
        <v>46254</v>
      </c>
      <c r="B56" s="3" t="str">
        <f>IFERROR(__xludf.DUMMYFUNCTION("""COMPUTED_VALUE"""),"TRSF E-BANKING DB TANGGAL :19/08")</f>
        <v>TRSF E-BANKING DB TANGGAL :19/08</v>
      </c>
      <c r="C56" s="3" t="str">
        <f>IFERROR(__xludf.DUMMYFUNCTION("""COMPUTED_VALUE"""),"1908/FTSCY/WS95011 Mon Aug 17 2026 14:00:00 GMT+0700 (Western Indonesia Time) ANUGERAH KARTIKA A")</f>
        <v>1908/FTSCY/WS95011 Mon Aug 17 2026 14:00:00 GMT+0700 (Western Indonesia Time) ANUGERAH KARTIKA A</v>
      </c>
      <c r="D56" s="3">
        <f>IFERROR(__xludf.DUMMYFUNCTION("""COMPUTED_VALUE"""),7.6644E7)</f>
        <v>76644000</v>
      </c>
      <c r="E56" s="3"/>
      <c r="F56" s="3" t="str">
        <f>IFERROR(__xludf.DUMMYFUNCTION("""COMPUTED_VALUE"""),"DB")</f>
        <v>DB</v>
      </c>
      <c r="G56" s="3">
        <f>IFERROR(__xludf.DUMMYFUNCTION("""COMPUTED_VALUE"""),3.6507649957000005E8)</f>
        <v>365076499.6</v>
      </c>
      <c r="H56" s="3"/>
      <c r="I56" s="3" t="str">
        <f>IFERROR(__xludf.DUMMYFUNCTION("""COMPUTED_VALUE"""),"PRIBADI")</f>
        <v>PRIBADI</v>
      </c>
    </row>
    <row r="57">
      <c r="A57" s="7">
        <f>IFERROR(__xludf.DUMMYFUNCTION("""COMPUTED_VALUE"""),46254.0)</f>
        <v>46254</v>
      </c>
      <c r="B57" s="3" t="str">
        <f>IFERROR(__xludf.DUMMYFUNCTION("""COMPUTED_VALUE"""),"TRSF E-BANKING DB TANGGAL :19/08")</f>
        <v>TRSF E-BANKING DB TANGGAL :19/08</v>
      </c>
      <c r="C57" s="3" t="str">
        <f>IFERROR(__xludf.DUMMYFUNCTION("""COMPUTED_VALUE"""),"1908/FTSCY/WS95011 Mon Aug 17 2026 14:00:00 GMT+0700 (Western Indonesia Time) ANDALAN YASA MITRA")</f>
        <v>1908/FTSCY/WS95011 Mon Aug 17 2026 14:00:00 GMT+0700 (Western Indonesia Time) ANDALAN YASA MITRA</v>
      </c>
      <c r="D57" s="3">
        <f>IFERROR(__xludf.DUMMYFUNCTION("""COMPUTED_VALUE"""),5.375E7)</f>
        <v>53750000</v>
      </c>
      <c r="E57" s="3"/>
      <c r="F57" s="3" t="str">
        <f>IFERROR(__xludf.DUMMYFUNCTION("""COMPUTED_VALUE"""),"DB")</f>
        <v>DB</v>
      </c>
      <c r="G57" s="3">
        <f>IFERROR(__xludf.DUMMYFUNCTION("""COMPUTED_VALUE"""),3.1132649957000005E8)</f>
        <v>311326499.6</v>
      </c>
      <c r="H57" s="3"/>
      <c r="I57" s="3" t="str">
        <f>IFERROR(__xludf.DUMMYFUNCTION("""COMPUTED_VALUE"""),"PRIBADI")</f>
        <v>PRIBADI</v>
      </c>
    </row>
    <row r="58">
      <c r="A58" s="7">
        <f>IFERROR(__xludf.DUMMYFUNCTION("""COMPUTED_VALUE"""),46254.0)</f>
        <v>46254</v>
      </c>
      <c r="B58" s="3" t="str">
        <f>IFERROR(__xludf.DUMMYFUNCTION("""COMPUTED_VALUE"""),"TRSF E-BANKING DB TANGGAL :19/08")</f>
        <v>TRSF E-BANKING DB TANGGAL :19/08</v>
      </c>
      <c r="C58" s="3" t="str">
        <f>IFERROR(__xludf.DUMMYFUNCTION("""COMPUTED_VALUE"""),"1908/FTFVA/WS95031 pelunasan - 40190")</f>
        <v>1908/FTFVA/WS95031 pelunasan - 40190</v>
      </c>
      <c r="D58" s="3">
        <f>IFERROR(__xludf.DUMMYFUNCTION("""COMPUTED_VALUE"""),6.42E7)</f>
        <v>64200000</v>
      </c>
      <c r="E58" s="3"/>
      <c r="F58" s="3" t="str">
        <f>IFERROR(__xludf.DUMMYFUNCTION("""COMPUTED_VALUE"""),"DB")</f>
        <v>DB</v>
      </c>
      <c r="G58" s="3">
        <f>IFERROR(__xludf.DUMMYFUNCTION("""COMPUTED_VALUE"""),2.4712649957000005E8)</f>
        <v>247126499.6</v>
      </c>
      <c r="H58" s="3"/>
      <c r="I58" s="3" t="str">
        <f>IFERROR(__xludf.DUMMYFUNCTION("""COMPUTED_VALUE"""),"PRIBADI")</f>
        <v>PRIBADI</v>
      </c>
    </row>
    <row r="59">
      <c r="A59" s="7">
        <f>IFERROR(__xludf.DUMMYFUNCTION("""COMPUTED_VALUE"""),46254.0)</f>
        <v>46254</v>
      </c>
      <c r="B59" s="3" t="str">
        <f>IFERROR(__xludf.DUMMYFUNCTION("""COMPUTED_VALUE"""),"TRSF E-BANKING DB")</f>
        <v>TRSF E-BANKING DB</v>
      </c>
      <c r="C59" s="3" t="str">
        <f>IFERROR(__xludf.DUMMYFUNCTION("""COMPUTED_VALUE"""),"2008/FTSCY/WS95011 132247250.00 Mon Aug 17 2026 14:00:00 GMT+0700 (Western Indonesia Time) ANUGERAH KARTIKA A")</f>
        <v>2008/FTSCY/WS95011 132247250.00 Mon Aug 17 2026 14:00:00 GMT+0700 (Western Indonesia Time) ANUGERAH KARTIKA A</v>
      </c>
      <c r="D59" s="3">
        <f>IFERROR(__xludf.DUMMYFUNCTION("""COMPUTED_VALUE"""),1.3224725E8)</f>
        <v>132247250</v>
      </c>
      <c r="E59" s="3"/>
      <c r="F59" s="3" t="str">
        <f>IFERROR(__xludf.DUMMYFUNCTION("""COMPUTED_VALUE"""),"DB")</f>
        <v>DB</v>
      </c>
      <c r="G59" s="3">
        <f>IFERROR(__xludf.DUMMYFUNCTION("""COMPUTED_VALUE"""),4.2216085957000005E8)</f>
        <v>422160859.6</v>
      </c>
      <c r="H59" s="3"/>
      <c r="I59" s="3" t="str">
        <f>IFERROR(__xludf.DUMMYFUNCTION("""COMPUTED_VALUE"""),"PRIBADI")</f>
        <v>PRIBADI</v>
      </c>
    </row>
    <row r="60">
      <c r="A60" s="7">
        <f>IFERROR(__xludf.DUMMYFUNCTION("""COMPUTED_VALUE"""),46254.0)</f>
        <v>46254</v>
      </c>
      <c r="B60" s="3" t="str">
        <f>IFERROR(__xludf.DUMMYFUNCTION("""COMPUTED_VALUE"""),"TRSF E-BANKING DB")</f>
        <v>TRSF E-BANKING DB</v>
      </c>
      <c r="C60" s="3" t="str">
        <f>IFERROR(__xludf.DUMMYFUNCTION("""COMPUTED_VALUE"""),"2008/FTSCY/WS95011 328432500.00 Mon Aug 17 2026 14:00:00 GMT+0700 (Western Indonesia Time) BROILER MAKMUR TAN")</f>
        <v>2008/FTSCY/WS95011 328432500.00 Mon Aug 17 2026 14:00:00 GMT+0700 (Western Indonesia Time) BROILER MAKMUR TAN</v>
      </c>
      <c r="D60" s="3">
        <f>IFERROR(__xludf.DUMMYFUNCTION("""COMPUTED_VALUE"""),3.284325E8)</f>
        <v>328432500</v>
      </c>
      <c r="E60" s="3"/>
      <c r="F60" s="3" t="str">
        <f>IFERROR(__xludf.DUMMYFUNCTION("""COMPUTED_VALUE"""),"DB")</f>
        <v>DB</v>
      </c>
      <c r="G60" s="3">
        <f>IFERROR(__xludf.DUMMYFUNCTION("""COMPUTED_VALUE"""),9.372835957000005E7)</f>
        <v>93728359.57</v>
      </c>
      <c r="H60" s="3"/>
      <c r="I60" s="3" t="str">
        <f>IFERROR(__xludf.DUMMYFUNCTION("""COMPUTED_VALUE"""),"PRIBADI")</f>
        <v>PRIBADI</v>
      </c>
    </row>
    <row r="61">
      <c r="A61" s="7">
        <f>IFERROR(__xludf.DUMMYFUNCTION("""COMPUTED_VALUE"""),46254.0)</f>
        <v>46254</v>
      </c>
      <c r="B61" s="3" t="str">
        <f>IFERROR(__xludf.DUMMYFUNCTION("""COMPUTED_VALUE"""),"TRSF E-BANKING DB")</f>
        <v>TRSF E-BANKING DB</v>
      </c>
      <c r="C61" s="3" t="str">
        <f>IFERROR(__xludf.DUMMYFUNCTION("""COMPUTED_VALUE"""),"2008/FTSCY/WS95031 1693640.00 SUNARTO")</f>
        <v>2008/FTSCY/WS95031 1693640.00 SUNARTO</v>
      </c>
      <c r="D61" s="3">
        <f>IFERROR(__xludf.DUMMYFUNCTION("""COMPUTED_VALUE"""),1693640.0)</f>
        <v>1693640</v>
      </c>
      <c r="E61" s="3"/>
      <c r="F61" s="3" t="str">
        <f>IFERROR(__xludf.DUMMYFUNCTION("""COMPUTED_VALUE"""),"DB")</f>
        <v>DB</v>
      </c>
      <c r="G61" s="3">
        <f>IFERROR(__xludf.DUMMYFUNCTION("""COMPUTED_VALUE"""),9.203471957000005E7)</f>
        <v>92034719.57</v>
      </c>
      <c r="H61" s="3"/>
      <c r="I61" s="3" t="str">
        <f>IFERROR(__xludf.DUMMYFUNCTION("""COMPUTED_VALUE"""),"PRIBADI")</f>
        <v>PRIBADI</v>
      </c>
    </row>
    <row r="62">
      <c r="A62" s="7">
        <f>IFERROR(__xludf.DUMMYFUNCTION("""COMPUTED_VALUE"""),46254.0)</f>
        <v>46254</v>
      </c>
      <c r="B62" s="3" t="str">
        <f>IFERROR(__xludf.DUMMYFUNCTION("""COMPUTED_VALUE"""),"TRSF E-BANKING DB")</f>
        <v>TRSF E-BANKING DB</v>
      </c>
      <c r="C62" s="3" t="str">
        <f>IFERROR(__xludf.DUMMYFUNCTION("""COMPUTED_VALUE"""),"2008/FTSCY/WS95031 1100000.00 FAJAR ANDREANZAH")</f>
        <v>2008/FTSCY/WS95031 1100000.00 FAJAR ANDREANZAH</v>
      </c>
      <c r="D62" s="3">
        <f>IFERROR(__xludf.DUMMYFUNCTION("""COMPUTED_VALUE"""),1100000.0)</f>
        <v>1100000</v>
      </c>
      <c r="E62" s="3"/>
      <c r="F62" s="3" t="str">
        <f>IFERROR(__xludf.DUMMYFUNCTION("""COMPUTED_VALUE"""),"DB")</f>
        <v>DB</v>
      </c>
      <c r="G62" s="3">
        <f>IFERROR(__xludf.DUMMYFUNCTION("""COMPUTED_VALUE"""),9.093471957000005E7)</f>
        <v>90934719.57</v>
      </c>
      <c r="H62" s="3"/>
      <c r="I62" s="3" t="str">
        <f>IFERROR(__xludf.DUMMYFUNCTION("""COMPUTED_VALUE"""),"PRIBADI")</f>
        <v>PRIBADI</v>
      </c>
    </row>
    <row r="63">
      <c r="A63" s="7">
        <f>IFERROR(__xludf.DUMMYFUNCTION("""COMPUTED_VALUE"""),46254.0)</f>
        <v>46254</v>
      </c>
      <c r="B63" s="3" t="str">
        <f>IFERROR(__xludf.DUMMYFUNCTION("""COMPUTED_VALUE"""),"TRSF E-BANKING DB")</f>
        <v>TRSF E-BANKING DB</v>
      </c>
      <c r="C63" s="3" t="str">
        <f>IFERROR(__xludf.DUMMYFUNCTION("""COMPUTED_VALUE"""),"2008/FTSCY/WS95031 1000000.00 DWI HERMANSYAH")</f>
        <v>2008/FTSCY/WS95031 1000000.00 DWI HERMANSYAH</v>
      </c>
      <c r="D63" s="3">
        <f>IFERROR(__xludf.DUMMYFUNCTION("""COMPUTED_VALUE"""),1000000.0)</f>
        <v>1000000</v>
      </c>
      <c r="E63" s="3"/>
      <c r="F63" s="3" t="str">
        <f>IFERROR(__xludf.DUMMYFUNCTION("""COMPUTED_VALUE"""),"DB")</f>
        <v>DB</v>
      </c>
      <c r="G63" s="3">
        <f>IFERROR(__xludf.DUMMYFUNCTION("""COMPUTED_VALUE"""),8.993471957000005E7)</f>
        <v>89934719.57</v>
      </c>
      <c r="H63" s="3">
        <f>IFERROR(__xludf.DUMMYFUNCTION("""COMPUTED_VALUE"""),8.993471957E7)</f>
        <v>89934719.57</v>
      </c>
      <c r="I63" s="3" t="str">
        <f>IFERROR(__xludf.DUMMYFUNCTION("""COMPUTED_VALUE"""),"PRIBADI")</f>
        <v>PRIBADI</v>
      </c>
    </row>
    <row r="64">
      <c r="A64" s="7">
        <f>IFERROR(__xludf.DUMMYFUNCTION("""COMPUTED_VALUE"""),46254.0)</f>
        <v>46254</v>
      </c>
      <c r="B64" s="3" t="str">
        <f>IFERROR(__xludf.DUMMYFUNCTION("""COMPUTED_VALUE"""),"TRSF E-BANKING DB")</f>
        <v>TRSF E-BANKING DB</v>
      </c>
      <c r="C64" s="3" t="str">
        <f>IFERROR(__xludf.DUMMYFUNCTION("""COMPUTED_VALUE"""),"2008/FTSCY/WS95031 1170420.00 MUJIANTO")</f>
        <v>2008/FTSCY/WS95031 1170420.00 MUJIANTO</v>
      </c>
      <c r="D64" s="3">
        <f>IFERROR(__xludf.DUMMYFUNCTION("""COMPUTED_VALUE"""),1170420.0)</f>
        <v>1170420</v>
      </c>
      <c r="E64" s="3"/>
      <c r="F64" s="3" t="str">
        <f>IFERROR(__xludf.DUMMYFUNCTION("""COMPUTED_VALUE"""),"DB")</f>
        <v>DB</v>
      </c>
      <c r="G64" s="3">
        <f>IFERROR(__xludf.DUMMYFUNCTION("""COMPUTED_VALUE"""),8.876429957000005E7)</f>
        <v>88764299.57</v>
      </c>
      <c r="H64" s="3">
        <f>IFERROR(__xludf.DUMMYFUNCTION("""COMPUTED_VALUE"""),8.876429957E7)</f>
        <v>88764299.57</v>
      </c>
      <c r="I64" s="3" t="str">
        <f>IFERROR(__xludf.DUMMYFUNCTION("""COMPUTED_VALUE"""),"PRIBADI")</f>
        <v>PRIBADI</v>
      </c>
    </row>
    <row r="65">
      <c r="A65" s="7">
        <f>IFERROR(__xludf.DUMMYFUNCTION("""COMPUTED_VALUE"""),46254.0)</f>
        <v>46254</v>
      </c>
      <c r="B65" s="3" t="str">
        <f>IFERROR(__xludf.DUMMYFUNCTION("""COMPUTED_VALUE"""),"TRSF E-BANKING DB")</f>
        <v>TRSF E-BANKING DB</v>
      </c>
      <c r="C65" s="3" t="str">
        <f>IFERROR(__xludf.DUMMYFUNCTION("""COMPUTED_VALUE"""),"2008/FTSCY/WS95031 5400000.00 EKO SETIYAWAN")</f>
        <v>2008/FTSCY/WS95031 5400000.00 EKO SETIYAWAN</v>
      </c>
      <c r="D65" s="3">
        <f>IFERROR(__xludf.DUMMYFUNCTION("""COMPUTED_VALUE"""),5400000.0)</f>
        <v>5400000</v>
      </c>
      <c r="E65" s="3"/>
      <c r="F65" s="3" t="str">
        <f>IFERROR(__xludf.DUMMYFUNCTION("""COMPUTED_VALUE"""),"DB")</f>
        <v>DB</v>
      </c>
      <c r="G65" s="3">
        <f>IFERROR(__xludf.DUMMYFUNCTION("""COMPUTED_VALUE"""),8.336429957000005E7)</f>
        <v>83364299.57</v>
      </c>
      <c r="H65" s="3"/>
      <c r="I65" s="3" t="str">
        <f>IFERROR(__xludf.DUMMYFUNCTION("""COMPUTED_VALUE"""),"PRIBADI")</f>
        <v>PRIBADI</v>
      </c>
    </row>
    <row r="66">
      <c r="A66" s="7">
        <f>IFERROR(__xludf.DUMMYFUNCTION("""COMPUTED_VALUE"""),46254.0)</f>
        <v>46254</v>
      </c>
      <c r="B66" s="3" t="str">
        <f>IFERROR(__xludf.DUMMYFUNCTION("""COMPUTED_VALUE"""),"KARTU DEBIT")</f>
        <v>KARTU DEBIT</v>
      </c>
      <c r="C66" s="3" t="str">
        <f>IFERROR(__xludf.DUMMYFUNCTION("""COMPUTED_VALUE"""),"ALFAMRT Y207 BRTN 6019009510239343")</f>
        <v>ALFAMRT Y207 BRTN 6019009510239343</v>
      </c>
      <c r="D66" s="3">
        <f>IFERROR(__xludf.DUMMYFUNCTION("""COMPUTED_VALUE"""),154000.0)</f>
        <v>154000</v>
      </c>
      <c r="E66" s="3"/>
      <c r="F66" s="3"/>
      <c r="G66" s="3">
        <f>IFERROR(__xludf.DUMMYFUNCTION("""COMPUTED_VALUE"""),8.361029957000005E7)</f>
        <v>83610299.57</v>
      </c>
      <c r="H66" s="3"/>
      <c r="I66" s="3" t="str">
        <f>IFERROR(__xludf.DUMMYFUNCTION("""COMPUTED_VALUE"""),"PRIBADI")</f>
        <v>PRIBADI</v>
      </c>
    </row>
    <row r="67">
      <c r="A67" s="7">
        <f>IFERROR(__xludf.DUMMYFUNCTION("""COMPUTED_VALUE"""),46255.0)</f>
        <v>46255</v>
      </c>
      <c r="B67" s="3" t="str">
        <f>IFERROR(__xludf.DUMMYFUNCTION("""COMPUTED_VALUE"""),"TRSF E-BANKING DB")</f>
        <v>TRSF E-BANKING DB</v>
      </c>
      <c r="C67" s="3" t="str">
        <f>IFERROR(__xludf.DUMMYFUNCTION("""COMPUTED_VALUE"""),"2108/FTSCY/WS95031 72176300.00 pelunasan ANDALAN YASA MITRA")</f>
        <v>2108/FTSCY/WS95031 72176300.00 pelunasan ANDALAN YASA MITRA</v>
      </c>
      <c r="D67" s="3">
        <f>IFERROR(__xludf.DUMMYFUNCTION("""COMPUTED_VALUE"""),7.21763E7)</f>
        <v>72176300</v>
      </c>
      <c r="E67" s="3"/>
      <c r="F67" s="3" t="str">
        <f>IFERROR(__xludf.DUMMYFUNCTION("""COMPUTED_VALUE"""),"DB")</f>
        <v>DB</v>
      </c>
      <c r="G67" s="3">
        <f>IFERROR(__xludf.DUMMYFUNCTION("""COMPUTED_VALUE"""),3.815499957000005E7)</f>
        <v>38154999.57</v>
      </c>
      <c r="H67" s="3"/>
      <c r="I67" s="3" t="str">
        <f>IFERROR(__xludf.DUMMYFUNCTION("""COMPUTED_VALUE"""),"PRIBADI")</f>
        <v>PRIBADI</v>
      </c>
    </row>
    <row r="68">
      <c r="A68" s="7">
        <f>IFERROR(__xludf.DUMMYFUNCTION("""COMPUTED_VALUE"""),46255.0)</f>
        <v>46255</v>
      </c>
      <c r="B68" s="3" t="str">
        <f>IFERROR(__xludf.DUMMYFUNCTION("""COMPUTED_VALUE"""),"KARTU DEBIT")</f>
        <v>KARTU DEBIT</v>
      </c>
      <c r="C68" s="3" t="str">
        <f>IFERROR(__xludf.DUMMYFUNCTION("""COMPUTED_VALUE"""),"ALFAMRT Y207 BRTN 6019009510239343")</f>
        <v>ALFAMRT Y207 BRTN 6019009510239343</v>
      </c>
      <c r="D68" s="3">
        <f>IFERROR(__xludf.DUMMYFUNCTION("""COMPUTED_VALUE"""),62900.0)</f>
        <v>62900</v>
      </c>
      <c r="E68" s="3"/>
      <c r="F68" s="3"/>
      <c r="G68" s="3">
        <f>IFERROR(__xludf.DUMMYFUNCTION("""COMPUTED_VALUE"""),1.9899905857000005E8)</f>
        <v>198999058.6</v>
      </c>
      <c r="H68" s="3"/>
      <c r="I68" s="3" t="str">
        <f>IFERROR(__xludf.DUMMYFUNCTION("""COMPUTED_VALUE"""),"PRIBADI")</f>
        <v>PRIBADI</v>
      </c>
    </row>
    <row r="69">
      <c r="A69" s="7">
        <f>IFERROR(__xludf.DUMMYFUNCTION("""COMPUTED_VALUE"""),46255.0)</f>
        <v>46255</v>
      </c>
      <c r="B69" s="3" t="str">
        <f>IFERROR(__xludf.DUMMYFUNCTION("""COMPUTED_VALUE"""),"TRSF E-BANKING DB")</f>
        <v>TRSF E-BANKING DB</v>
      </c>
      <c r="C69" s="3" t="str">
        <f>IFERROR(__xludf.DUMMYFUNCTION("""COMPUTED_VALUE"""),"2108/FTFVA/WS95031 12208/SHOPEEPAY - - 5335263590")</f>
        <v>2108/FTFVA/WS95031 12208/SHOPEEPAY - - 5335263590</v>
      </c>
      <c r="D69" s="3">
        <f>IFERROR(__xludf.DUMMYFUNCTION("""COMPUTED_VALUE"""),61000.0)</f>
        <v>61000</v>
      </c>
      <c r="E69" s="3"/>
      <c r="F69" s="3" t="str">
        <f>IFERROR(__xludf.DUMMYFUNCTION("""COMPUTED_VALUE"""),"DB")</f>
        <v>DB</v>
      </c>
      <c r="G69" s="3">
        <f>IFERROR(__xludf.DUMMYFUNCTION("""COMPUTED_VALUE"""),6.7137500857E8)</f>
        <v>671375008.6</v>
      </c>
      <c r="H69" s="3"/>
      <c r="I69" s="3" t="str">
        <f>IFERROR(__xludf.DUMMYFUNCTION("""COMPUTED_VALUE"""),"PRIBADI")</f>
        <v>PRIBADI</v>
      </c>
    </row>
    <row r="70">
      <c r="A70" s="7">
        <f>IFERROR(__xludf.DUMMYFUNCTION("""COMPUTED_VALUE"""),46255.0)</f>
        <v>46255</v>
      </c>
      <c r="B70" s="3" t="str">
        <f>IFERROR(__xludf.DUMMYFUNCTION("""COMPUTED_VALUE"""),"TRSF E-BANKING DB")</f>
        <v>TRSF E-BANKING DB</v>
      </c>
      <c r="C70" s="3" t="str">
        <f>IFERROR(__xludf.DUMMYFUNCTION("""COMPUTED_VALUE"""),"2108/FTFVA/WS95031 55569/PT PRIMA FAJ lamongan - 40190")</f>
        <v>2108/FTFVA/WS95031 55569/PT PRIMA FAJ lamongan - 40190</v>
      </c>
      <c r="D70" s="3">
        <f>IFERROR(__xludf.DUMMYFUNCTION("""COMPUTED_VALUE"""),5.950125E7)</f>
        <v>59501250</v>
      </c>
      <c r="E70" s="3"/>
      <c r="F70" s="3" t="str">
        <f>IFERROR(__xludf.DUMMYFUNCTION("""COMPUTED_VALUE"""),"DB")</f>
        <v>DB</v>
      </c>
      <c r="G70" s="3">
        <f>IFERROR(__xludf.DUMMYFUNCTION("""COMPUTED_VALUE"""),6.1187375857E8)</f>
        <v>611873758.6</v>
      </c>
      <c r="H70" s="3"/>
      <c r="I70" s="3" t="str">
        <f>IFERROR(__xludf.DUMMYFUNCTION("""COMPUTED_VALUE"""),"PRIBADI")</f>
        <v>PRIBADI</v>
      </c>
    </row>
    <row r="71">
      <c r="A71" s="7">
        <f>IFERROR(__xludf.DUMMYFUNCTION("""COMPUTED_VALUE"""),46255.0)</f>
        <v>46255</v>
      </c>
      <c r="B71" s="3" t="str">
        <f>IFERROR(__xludf.DUMMYFUNCTION("""COMPUTED_VALUE"""),"TRSF E-BANKING DB")</f>
        <v>TRSF E-BANKING DB</v>
      </c>
      <c r="C71" s="3" t="str">
        <f>IFERROR(__xludf.DUMMYFUNCTION("""COMPUTED_VALUE"""),"2108/FTFVA/WS95031 55574/GUNA MITRA S t.agung - 200177")</f>
        <v>2108/FTFVA/WS95031 55574/GUNA MITRA S t.agung - 200177</v>
      </c>
      <c r="D71" s="3">
        <f>IFERROR(__xludf.DUMMYFUNCTION("""COMPUTED_VALUE"""),1.47407E8)</f>
        <v>147407000</v>
      </c>
      <c r="E71" s="3"/>
      <c r="F71" s="3" t="str">
        <f>IFERROR(__xludf.DUMMYFUNCTION("""COMPUTED_VALUE"""),"DB")</f>
        <v>DB</v>
      </c>
      <c r="G71" s="3">
        <f>IFERROR(__xludf.DUMMYFUNCTION("""COMPUTED_VALUE"""),4.6446675857000005E8)</f>
        <v>464466758.6</v>
      </c>
      <c r="H71" s="3">
        <f>IFERROR(__xludf.DUMMYFUNCTION("""COMPUTED_VALUE"""),4.6446675857E8)</f>
        <v>464466758.6</v>
      </c>
      <c r="I71" s="3" t="str">
        <f>IFERROR(__xludf.DUMMYFUNCTION("""COMPUTED_VALUE"""),"PRIBADI")</f>
        <v>PRIBADI</v>
      </c>
    </row>
    <row r="72">
      <c r="A72" s="7">
        <f>IFERROR(__xludf.DUMMYFUNCTION("""COMPUTED_VALUE"""),46255.0)</f>
        <v>46255</v>
      </c>
      <c r="B72" s="3" t="str">
        <f>IFERROR(__xludf.DUMMYFUNCTION("""COMPUTED_VALUE"""),"TRSF E-BANKING DB")</f>
        <v>TRSF E-BANKING DB</v>
      </c>
      <c r="C72" s="3" t="str">
        <f>IFERROR(__xludf.DUMMYFUNCTION("""COMPUTED_VALUE"""),"2108/FTSCY/WS95011 244555750.00 Pelunasan TABASSAM AL HATTAK")</f>
        <v>2108/FTSCY/WS95011 244555750.00 Pelunasan TABASSAM AL HATTAK</v>
      </c>
      <c r="D72" s="3">
        <f>IFERROR(__xludf.DUMMYFUNCTION("""COMPUTED_VALUE"""),2.4455575E8)</f>
        <v>244555750</v>
      </c>
      <c r="E72" s="3"/>
      <c r="F72" s="3" t="str">
        <f>IFERROR(__xludf.DUMMYFUNCTION("""COMPUTED_VALUE"""),"DB")</f>
        <v>DB</v>
      </c>
      <c r="G72" s="3">
        <f>IFERROR(__xludf.DUMMYFUNCTION("""COMPUTED_VALUE"""),2.1991100857000005E8)</f>
        <v>219911008.6</v>
      </c>
      <c r="H72" s="3">
        <f>IFERROR(__xludf.DUMMYFUNCTION("""COMPUTED_VALUE"""),2.1991100857E8)</f>
        <v>219911008.6</v>
      </c>
      <c r="I72" s="3" t="str">
        <f>IFERROR(__xludf.DUMMYFUNCTION("""COMPUTED_VALUE"""),"PRIBADI")</f>
        <v>PRIBADI</v>
      </c>
    </row>
    <row r="73">
      <c r="A73" s="7">
        <f>IFERROR(__xludf.DUMMYFUNCTION("""COMPUTED_VALUE"""),46255.0)</f>
        <v>46255</v>
      </c>
      <c r="B73" s="3" t="str">
        <f>IFERROR(__xludf.DUMMYFUNCTION("""COMPUTED_VALUE"""),"TRSF E-BANKING DB")</f>
        <v>TRSF E-BANKING DB</v>
      </c>
      <c r="C73" s="3" t="str">
        <f>IFERROR(__xludf.DUMMYFUNCTION("""COMPUTED_VALUE"""),"2108/FTSCY/WS95271 61097400.00 Tue Aug 18 2026 14:00:00 GMT+0700 (Western Indonesia Time) BROILER MAKMUR TAN")</f>
        <v>2108/FTSCY/WS95271 61097400.00 Tue Aug 18 2026 14:00:00 GMT+0700 (Western Indonesia Time) BROILER MAKMUR TAN</v>
      </c>
      <c r="D73" s="3">
        <f>IFERROR(__xludf.DUMMYFUNCTION("""COMPUTED_VALUE"""),6.10974E7)</f>
        <v>61097400</v>
      </c>
      <c r="E73" s="3"/>
      <c r="F73" s="3" t="str">
        <f>IFERROR(__xludf.DUMMYFUNCTION("""COMPUTED_VALUE"""),"DB")</f>
        <v>DB</v>
      </c>
      <c r="G73" s="3">
        <f>IFERROR(__xludf.DUMMYFUNCTION("""COMPUTED_VALUE"""),1.5881360857000005E8)</f>
        <v>158813608.6</v>
      </c>
      <c r="H73" s="3"/>
      <c r="I73" s="3" t="str">
        <f>IFERROR(__xludf.DUMMYFUNCTION("""COMPUTED_VALUE"""),"PRIBADI")</f>
        <v>PRIBADI</v>
      </c>
    </row>
    <row r="74">
      <c r="A74" s="7">
        <f>IFERROR(__xludf.DUMMYFUNCTION("""COMPUTED_VALUE"""),46255.0)</f>
        <v>46255</v>
      </c>
      <c r="B74" s="3" t="str">
        <f>IFERROR(__xludf.DUMMYFUNCTION("""COMPUTED_VALUE"""),"TRSF E-BANKING DB")</f>
        <v>TRSF E-BANKING DB</v>
      </c>
      <c r="C74" s="3" t="str">
        <f>IFERROR(__xludf.DUMMYFUNCTION("""COMPUTED_VALUE"""),"2108/FTSCY/WS95031 12951500.00 EKO SETIYAWAN")</f>
        <v>2108/FTSCY/WS95031 12951500.00 EKO SETIYAWAN</v>
      </c>
      <c r="D74" s="3">
        <f>IFERROR(__xludf.DUMMYFUNCTION("""COMPUTED_VALUE"""),1.29515E7)</f>
        <v>12951500</v>
      </c>
      <c r="E74" s="3"/>
      <c r="F74" s="3" t="str">
        <f>IFERROR(__xludf.DUMMYFUNCTION("""COMPUTED_VALUE"""),"DB")</f>
        <v>DB</v>
      </c>
      <c r="G74" s="3">
        <f>IFERROR(__xludf.DUMMYFUNCTION("""COMPUTED_VALUE"""),6.8520056857E8)</f>
        <v>685200568.6</v>
      </c>
      <c r="H74" s="3"/>
      <c r="I74" s="3" t="str">
        <f>IFERROR(__xludf.DUMMYFUNCTION("""COMPUTED_VALUE"""),"PRIBADI")</f>
        <v>PRIBADI</v>
      </c>
    </row>
    <row r="75">
      <c r="A75" s="7">
        <f>IFERROR(__xludf.DUMMYFUNCTION("""COMPUTED_VALUE"""),46255.0)</f>
        <v>46255</v>
      </c>
      <c r="B75" s="3" t="str">
        <f>IFERROR(__xludf.DUMMYFUNCTION("""COMPUTED_VALUE"""),"TRSF E-BANKING DB")</f>
        <v>TRSF E-BANKING DB</v>
      </c>
      <c r="C75" s="3" t="str">
        <f>IFERROR(__xludf.DUMMYFUNCTION("""COMPUTED_VALUE"""),"2108/FTSCY/WS95031 2574680.00 SUNARTO")</f>
        <v>2108/FTSCY/WS95031 2574680.00 SUNARTO</v>
      </c>
      <c r="D75" s="3">
        <f>IFERROR(__xludf.DUMMYFUNCTION("""COMPUTED_VALUE"""),2574680.0)</f>
        <v>2574680</v>
      </c>
      <c r="E75" s="3"/>
      <c r="F75" s="3" t="str">
        <f>IFERROR(__xludf.DUMMYFUNCTION("""COMPUTED_VALUE"""),"DB")</f>
        <v>DB</v>
      </c>
      <c r="G75" s="3">
        <f>IFERROR(__xludf.DUMMYFUNCTION("""COMPUTED_VALUE"""),6.8262588857E8)</f>
        <v>682625888.6</v>
      </c>
      <c r="H75" s="3"/>
      <c r="I75" s="3" t="str">
        <f>IFERROR(__xludf.DUMMYFUNCTION("""COMPUTED_VALUE"""),"PRIBADI")</f>
        <v>PRIBADI</v>
      </c>
    </row>
    <row r="76">
      <c r="A76" s="7">
        <f>IFERROR(__xludf.DUMMYFUNCTION("""COMPUTED_VALUE"""),46255.0)</f>
        <v>46255</v>
      </c>
      <c r="B76" s="3" t="str">
        <f>IFERROR(__xludf.DUMMYFUNCTION("""COMPUTED_VALUE"""),"TRSF E-BANKING DB")</f>
        <v>TRSF E-BANKING DB</v>
      </c>
      <c r="C76" s="3" t="str">
        <f>IFERROR(__xludf.DUMMYFUNCTION("""COMPUTED_VALUE"""),"2108/FTSCY/WS95271 68262000.00 Tue Aug 18 2026 14:00:00 GMT+0700 (Western Indonesia Time) ANDALAN YASA MITRA")</f>
        <v>2108/FTSCY/WS95271 68262000.00 Tue Aug 18 2026 14:00:00 GMT+0700 (Western Indonesia Time) ANDALAN YASA MITRA</v>
      </c>
      <c r="D76" s="3">
        <f>IFERROR(__xludf.DUMMYFUNCTION("""COMPUTED_VALUE"""),6.8262E7)</f>
        <v>68262000</v>
      </c>
      <c r="E76" s="3"/>
      <c r="F76" s="3" t="str">
        <f>IFERROR(__xludf.DUMMYFUNCTION("""COMPUTED_VALUE"""),"DB")</f>
        <v>DB</v>
      </c>
      <c r="G76" s="3">
        <f>IFERROR(__xludf.DUMMYFUNCTION("""COMPUTED_VALUE"""),6.1436388857E8)</f>
        <v>614363888.6</v>
      </c>
      <c r="H76" s="3"/>
      <c r="I76" s="3" t="str">
        <f>IFERROR(__xludf.DUMMYFUNCTION("""COMPUTED_VALUE"""),"PRIBADI")</f>
        <v>PRIBADI</v>
      </c>
    </row>
    <row r="77">
      <c r="A77" s="7">
        <f>IFERROR(__xludf.DUMMYFUNCTION("""COMPUTED_VALUE"""),46255.0)</f>
        <v>46255</v>
      </c>
      <c r="B77" s="3" t="str">
        <f>IFERROR(__xludf.DUMMYFUNCTION("""COMPUTED_VALUE"""),"TRSF E-BANKING DB")</f>
        <v>TRSF E-BANKING DB</v>
      </c>
      <c r="C77" s="3" t="str">
        <f>IFERROR(__xludf.DUMMYFUNCTION("""COMPUTED_VALUE"""),"2108/FTSCY/WS95011 127798000.00 Tue Aug 18 2026 14:00:00 GMT+0700 (Western Indonesia Time) ANUGERAH KARTIKA A")</f>
        <v>2108/FTSCY/WS95011 127798000.00 Tue Aug 18 2026 14:00:00 GMT+0700 (Western Indonesia Time) ANUGERAH KARTIKA A</v>
      </c>
      <c r="D77" s="3">
        <f>IFERROR(__xludf.DUMMYFUNCTION("""COMPUTED_VALUE"""),1.27798E8)</f>
        <v>127798000</v>
      </c>
      <c r="E77" s="3"/>
      <c r="F77" s="3" t="str">
        <f>IFERROR(__xludf.DUMMYFUNCTION("""COMPUTED_VALUE"""),"DB")</f>
        <v>DB</v>
      </c>
      <c r="G77" s="3">
        <f>IFERROR(__xludf.DUMMYFUNCTION("""COMPUTED_VALUE"""),4.8656588857000005E8)</f>
        <v>486565888.6</v>
      </c>
      <c r="H77" s="3"/>
      <c r="I77" s="3" t="str">
        <f>IFERROR(__xludf.DUMMYFUNCTION("""COMPUTED_VALUE"""),"PRIBADI")</f>
        <v>PRIBADI</v>
      </c>
    </row>
    <row r="78">
      <c r="A78" s="7">
        <f>IFERROR(__xludf.DUMMYFUNCTION("""COMPUTED_VALUE"""),46255.0)</f>
        <v>46255</v>
      </c>
      <c r="B78" s="3" t="str">
        <f>IFERROR(__xludf.DUMMYFUNCTION("""COMPUTED_VALUE"""),"TRSF E-BANKING DB")</f>
        <v>TRSF E-BANKING DB</v>
      </c>
      <c r="C78" s="3" t="str">
        <f>IFERROR(__xludf.DUMMYFUNCTION("""COMPUTED_VALUE"""),"2108/FTSCY/WS95011 127646100.00 Krg 12.926.000 SUPER UNGGAS JAYA")</f>
        <v>2108/FTSCY/WS95011 127646100.00 Krg 12.926.000 SUPER UNGGAS JAYA</v>
      </c>
      <c r="D78" s="3">
        <f>IFERROR(__xludf.DUMMYFUNCTION("""COMPUTED_VALUE"""),1.276461E8)</f>
        <v>127646100</v>
      </c>
      <c r="E78" s="3"/>
      <c r="F78" s="3" t="str">
        <f>IFERROR(__xludf.DUMMYFUNCTION("""COMPUTED_VALUE"""),"DB")</f>
        <v>DB</v>
      </c>
      <c r="G78" s="3">
        <f>IFERROR(__xludf.DUMMYFUNCTION("""COMPUTED_VALUE"""),3.5891978857000005E8)</f>
        <v>358919788.6</v>
      </c>
      <c r="H78" s="3"/>
      <c r="I78" s="3" t="str">
        <f>IFERROR(__xludf.DUMMYFUNCTION("""COMPUTED_VALUE"""),"PRIBADI")</f>
        <v>PRIBADI</v>
      </c>
    </row>
    <row r="79">
      <c r="A79" s="7">
        <f>IFERROR(__xludf.DUMMYFUNCTION("""COMPUTED_VALUE"""),46255.0)</f>
        <v>46255</v>
      </c>
      <c r="B79" s="3" t="str">
        <f>IFERROR(__xludf.DUMMYFUNCTION("""COMPUTED_VALUE"""),"TRSF E-BANKING DB")</f>
        <v>TRSF E-BANKING DB</v>
      </c>
      <c r="C79" s="3" t="str">
        <f>IFERROR(__xludf.DUMMYFUNCTION("""COMPUTED_VALUE"""),"2108/FTSCY/WS95271 76649800.00 Tue Aug 18 2026 14:00:00 GMT+0700 (Western Indonesia Time) ANDALAN YASA MITRA")</f>
        <v>2108/FTSCY/WS95271 76649800.00 Tue Aug 18 2026 14:00:00 GMT+0700 (Western Indonesia Time) ANDALAN YASA MITRA</v>
      </c>
      <c r="D79" s="3">
        <f>IFERROR(__xludf.DUMMYFUNCTION("""COMPUTED_VALUE"""),7.66498E7)</f>
        <v>76649800</v>
      </c>
      <c r="E79" s="3"/>
      <c r="F79" s="3" t="str">
        <f>IFERROR(__xludf.DUMMYFUNCTION("""COMPUTED_VALUE"""),"DB")</f>
        <v>DB</v>
      </c>
      <c r="G79" s="3">
        <f>IFERROR(__xludf.DUMMYFUNCTION("""COMPUTED_VALUE"""),2.8226998857000005E8)</f>
        <v>282269988.6</v>
      </c>
      <c r="H79" s="3"/>
      <c r="I79" s="3" t="str">
        <f>IFERROR(__xludf.DUMMYFUNCTION("""COMPUTED_VALUE"""),"PRIBADI")</f>
        <v>PRIBADI</v>
      </c>
    </row>
    <row r="80">
      <c r="A80" s="7">
        <f>IFERROR(__xludf.DUMMYFUNCTION("""COMPUTED_VALUE"""),46255.0)</f>
        <v>46255</v>
      </c>
      <c r="B80" s="3" t="str">
        <f>IFERROR(__xludf.DUMMYFUNCTION("""COMPUTED_VALUE"""),"TRSF E-BANKING DB")</f>
        <v>TRSF E-BANKING DB</v>
      </c>
      <c r="C80" s="3" t="str">
        <f>IFERROR(__xludf.DUMMYFUNCTION("""COMPUTED_VALUE"""),"2108/FTSCY/WS95271 46652000.00 Tue Aug 18 2026 14:00:00 GMT+0700 (Western Indonesia Time) ANUGERAH KARTIKA A")</f>
        <v>2108/FTSCY/WS95271 46652000.00 Tue Aug 18 2026 14:00:00 GMT+0700 (Western Indonesia Time) ANUGERAH KARTIKA A</v>
      </c>
      <c r="D80" s="3">
        <f>IFERROR(__xludf.DUMMYFUNCTION("""COMPUTED_VALUE"""),4.6652E7)</f>
        <v>46652000</v>
      </c>
      <c r="E80" s="3"/>
      <c r="F80" s="3" t="str">
        <f>IFERROR(__xludf.DUMMYFUNCTION("""COMPUTED_VALUE"""),"DB")</f>
        <v>DB</v>
      </c>
      <c r="G80" s="3">
        <f>IFERROR(__xludf.DUMMYFUNCTION("""COMPUTED_VALUE"""),2.3561798857000005E8)</f>
        <v>235617988.6</v>
      </c>
      <c r="H80" s="3"/>
      <c r="I80" s="3" t="str">
        <f>IFERROR(__xludf.DUMMYFUNCTION("""COMPUTED_VALUE"""),"PRIBADI")</f>
        <v>PRIBADI</v>
      </c>
    </row>
    <row r="81">
      <c r="A81" s="7">
        <f>IFERROR(__xludf.DUMMYFUNCTION("""COMPUTED_VALUE"""),46255.0)</f>
        <v>46255</v>
      </c>
      <c r="B81" s="3" t="str">
        <f>IFERROR(__xludf.DUMMYFUNCTION("""COMPUTED_VALUE"""),"TRSF E-BANKING DB")</f>
        <v>TRSF E-BANKING DB</v>
      </c>
      <c r="C81" s="3" t="str">
        <f>IFERROR(__xludf.DUMMYFUNCTION("""COMPUTED_VALUE"""),"2108/FTSCY/WS95031 1290240.00 MUJIANTO")</f>
        <v>2108/FTSCY/WS95031 1290240.00 MUJIANTO</v>
      </c>
      <c r="D81" s="3">
        <f>IFERROR(__xludf.DUMMYFUNCTION("""COMPUTED_VALUE"""),1290240.0)</f>
        <v>1290240</v>
      </c>
      <c r="E81" s="3"/>
      <c r="F81" s="3" t="str">
        <f>IFERROR(__xludf.DUMMYFUNCTION("""COMPUTED_VALUE"""),"DB")</f>
        <v>DB</v>
      </c>
      <c r="G81" s="3">
        <f>IFERROR(__xludf.DUMMYFUNCTION("""COMPUTED_VALUE"""),2.3432774857000005E8)</f>
        <v>234327748.6</v>
      </c>
      <c r="H81" s="3">
        <f>IFERROR(__xludf.DUMMYFUNCTION("""COMPUTED_VALUE"""),2.3432774857E8)</f>
        <v>234327748.6</v>
      </c>
      <c r="I81" s="3" t="str">
        <f>IFERROR(__xludf.DUMMYFUNCTION("""COMPUTED_VALUE"""),"PRIBADI")</f>
        <v>PRIBADI</v>
      </c>
    </row>
    <row r="82">
      <c r="A82" s="7">
        <f>IFERROR(__xludf.DUMMYFUNCTION("""COMPUTED_VALUE"""),46255.0)</f>
        <v>46255</v>
      </c>
      <c r="B82" s="3" t="str">
        <f>IFERROR(__xludf.DUMMYFUNCTION("""COMPUTED_VALUE"""),"TRSF E-BANKING DB")</f>
        <v>TRSF E-BANKING DB</v>
      </c>
      <c r="C82" s="3" t="str">
        <f>IFERROR(__xludf.DUMMYFUNCTION("""COMPUTED_VALUE"""),"2108/FTSCY/WS95031 1729250.00 FAJAR ANDREANZAH")</f>
        <v>2108/FTSCY/WS95031 1729250.00 FAJAR ANDREANZAH</v>
      </c>
      <c r="D82" s="3">
        <f>IFERROR(__xludf.DUMMYFUNCTION("""COMPUTED_VALUE"""),1729250.0)</f>
        <v>1729250</v>
      </c>
      <c r="E82" s="3"/>
      <c r="F82" s="3" t="str">
        <f>IFERROR(__xludf.DUMMYFUNCTION("""COMPUTED_VALUE"""),"DB")</f>
        <v>DB</v>
      </c>
      <c r="G82" s="3">
        <f>IFERROR(__xludf.DUMMYFUNCTION("""COMPUTED_VALUE"""),2.3259849857000005E8)</f>
        <v>232598498.6</v>
      </c>
      <c r="H82" s="3">
        <f>IFERROR(__xludf.DUMMYFUNCTION("""COMPUTED_VALUE"""),2.3259849857E8)</f>
        <v>232598498.6</v>
      </c>
      <c r="I82" s="3" t="str">
        <f>IFERROR(__xludf.DUMMYFUNCTION("""COMPUTED_VALUE"""),"PRIBADI")</f>
        <v>PRIBADI</v>
      </c>
    </row>
    <row r="83">
      <c r="A83" s="7">
        <f>IFERROR(__xludf.DUMMYFUNCTION("""COMPUTED_VALUE"""),46255.0)</f>
        <v>46255</v>
      </c>
      <c r="B83" s="3" t="str">
        <f>IFERROR(__xludf.DUMMYFUNCTION("""COMPUTED_VALUE"""),"TRSF E-BANKING DB")</f>
        <v>TRSF E-BANKING DB</v>
      </c>
      <c r="C83" s="3" t="str">
        <f>IFERROR(__xludf.DUMMYFUNCTION("""COMPUTED_VALUE"""),"2108/FTSCY/WS95271 47000000.00 titip PRIMA JAYA BERSATU")</f>
        <v>2108/FTSCY/WS95271 47000000.00 titip PRIMA JAYA BERSATU</v>
      </c>
      <c r="D83" s="3">
        <f>IFERROR(__xludf.DUMMYFUNCTION("""COMPUTED_VALUE"""),4.7E7)</f>
        <v>47000000</v>
      </c>
      <c r="E83" s="3"/>
      <c r="F83" s="3" t="str">
        <f>IFERROR(__xludf.DUMMYFUNCTION("""COMPUTED_VALUE"""),"DB")</f>
        <v>DB</v>
      </c>
      <c r="G83" s="3">
        <f>IFERROR(__xludf.DUMMYFUNCTION("""COMPUTED_VALUE"""),1.8559849857000005E8)</f>
        <v>185598498.6</v>
      </c>
      <c r="H83" s="3">
        <f>IFERROR(__xludf.DUMMYFUNCTION("""COMPUTED_VALUE"""),1.8559849857E8)</f>
        <v>185598498.6</v>
      </c>
      <c r="I83" s="3" t="str">
        <f>IFERROR(__xludf.DUMMYFUNCTION("""COMPUTED_VALUE"""),"PRIBADI")</f>
        <v>PRIBADI</v>
      </c>
    </row>
    <row r="84">
      <c r="A84" s="7">
        <f>IFERROR(__xludf.DUMMYFUNCTION("""COMPUTED_VALUE"""),46256.0)</f>
        <v>46256</v>
      </c>
      <c r="B84" s="3" t="str">
        <f>IFERROR(__xludf.DUMMYFUNCTION("""COMPUTED_VALUE"""),"TRSF E-BANKING DB")</f>
        <v>TRSF E-BANKING DB</v>
      </c>
      <c r="C84" s="3" t="str">
        <f>IFERROR(__xludf.DUMMYFUNCTION("""COMPUTED_VALUE"""),"2208/FTSCY/WS95271 89200000.00 tot. 6 ton PRIMA JAYA BERSATU")</f>
        <v>2208/FTSCY/WS95271 89200000.00 tot. 6 ton PRIMA JAYA BERSATU</v>
      </c>
      <c r="D84" s="3">
        <f>IFERROR(__xludf.DUMMYFUNCTION("""COMPUTED_VALUE"""),8.92E7)</f>
        <v>89200000</v>
      </c>
      <c r="E84" s="3"/>
      <c r="F84" s="3" t="str">
        <f>IFERROR(__xludf.DUMMYFUNCTION("""COMPUTED_VALUE"""),"DB")</f>
        <v>DB</v>
      </c>
      <c r="G84" s="3">
        <f>IFERROR(__xludf.DUMMYFUNCTION("""COMPUTED_VALUE"""),9.639849857000005E7)</f>
        <v>96398498.57</v>
      </c>
      <c r="H84" s="3"/>
      <c r="I84" s="3" t="str">
        <f>IFERROR(__xludf.DUMMYFUNCTION("""COMPUTED_VALUE"""),"PRIBADI")</f>
        <v>PRIBADI</v>
      </c>
    </row>
    <row r="85">
      <c r="A85" s="7">
        <f>IFERROR(__xludf.DUMMYFUNCTION("""COMPUTED_VALUE"""),46256.0)</f>
        <v>46256</v>
      </c>
      <c r="B85" s="3" t="str">
        <f>IFERROR(__xludf.DUMMYFUNCTION("""COMPUTED_VALUE"""),"TRSF E-BANKING DB")</f>
        <v>TRSF E-BANKING DB</v>
      </c>
      <c r="C85" s="3" t="str">
        <f>IFERROR(__xludf.DUMMYFUNCTION("""COMPUTED_VALUE"""),"2208/FTSCY/WS95271 26483480.00 Wed Aug 19 2026 14:00:00 GMT+0700 (Western Indonesia Time) ANDALAN YASA MITRA")</f>
        <v>2208/FTSCY/WS95271 26483480.00 Wed Aug 19 2026 14:00:00 GMT+0700 (Western Indonesia Time) ANDALAN YASA MITRA</v>
      </c>
      <c r="D85" s="3">
        <f>IFERROR(__xludf.DUMMYFUNCTION("""COMPUTED_VALUE"""),2.648348E7)</f>
        <v>26483480</v>
      </c>
      <c r="E85" s="3"/>
      <c r="F85" s="3" t="str">
        <f>IFERROR(__xludf.DUMMYFUNCTION("""COMPUTED_VALUE"""),"DB")</f>
        <v>DB</v>
      </c>
      <c r="G85" s="3">
        <f>IFERROR(__xludf.DUMMYFUNCTION("""COMPUTED_VALUE"""),6.991501857000005E7)</f>
        <v>69915018.57</v>
      </c>
      <c r="H85" s="3"/>
      <c r="I85" s="3" t="str">
        <f>IFERROR(__xludf.DUMMYFUNCTION("""COMPUTED_VALUE"""),"PRIBADI")</f>
        <v>PRIBADI</v>
      </c>
    </row>
    <row r="86">
      <c r="A86" s="7">
        <f>IFERROR(__xludf.DUMMYFUNCTION("""COMPUTED_VALUE"""),46256.0)</f>
        <v>46256</v>
      </c>
      <c r="B86" s="3" t="str">
        <f>IFERROR(__xludf.DUMMYFUNCTION("""COMPUTED_VALUE"""),"TRSF E-BANKING DB")</f>
        <v>TRSF E-BANKING DB</v>
      </c>
      <c r="C86" s="3" t="str">
        <f>IFERROR(__xludf.DUMMYFUNCTION("""COMPUTED_VALUE"""),"2208/FTSCY/WS95271 65673120.00 Thu Aug 20 2026 14:00:00 GMT+0700 (Western Indonesia Time) BINTANG TAMA SANTO")</f>
        <v>2208/FTSCY/WS95271 65673120.00 Thu Aug 20 2026 14:00:00 GMT+0700 (Western Indonesia Time) BINTANG TAMA SANTO</v>
      </c>
      <c r="D86" s="3">
        <f>IFERROR(__xludf.DUMMYFUNCTION("""COMPUTED_VALUE"""),6.567312E7)</f>
        <v>65673120</v>
      </c>
      <c r="E86" s="3"/>
      <c r="F86" s="3" t="str">
        <f>IFERROR(__xludf.DUMMYFUNCTION("""COMPUTED_VALUE"""),"DB")</f>
        <v>DB</v>
      </c>
      <c r="G86" s="3">
        <f>IFERROR(__xludf.DUMMYFUNCTION("""COMPUTED_VALUE"""),4241898.570000052)</f>
        <v>4241898.57</v>
      </c>
      <c r="H86" s="3"/>
      <c r="I86" s="3" t="str">
        <f>IFERROR(__xludf.DUMMYFUNCTION("""COMPUTED_VALUE"""),"PRIBADI")</f>
        <v>PRIBADI</v>
      </c>
    </row>
    <row r="87">
      <c r="A87" s="7">
        <f>IFERROR(__xludf.DUMMYFUNCTION("""COMPUTED_VALUE"""),46256.0)</f>
        <v>46256</v>
      </c>
      <c r="B87" s="3" t="str">
        <f>IFERROR(__xludf.DUMMYFUNCTION("""COMPUTED_VALUE"""),"TRSF E-BANKING DB")</f>
        <v>TRSF E-BANKING DB</v>
      </c>
      <c r="C87" s="3" t="str">
        <f>IFERROR(__xludf.DUMMYFUNCTION("""COMPUTED_VALUE"""),"2208/FTSCY/WS95031 1800000.00 BELA PRAMUDITA")</f>
        <v>2208/FTSCY/WS95031 1800000.00 BELA PRAMUDITA</v>
      </c>
      <c r="D87" s="3">
        <f>IFERROR(__xludf.DUMMYFUNCTION("""COMPUTED_VALUE"""),1800000.0)</f>
        <v>1800000</v>
      </c>
      <c r="E87" s="3"/>
      <c r="F87" s="3" t="str">
        <f>IFERROR(__xludf.DUMMYFUNCTION("""COMPUTED_VALUE"""),"DB")</f>
        <v>DB</v>
      </c>
      <c r="G87" s="3">
        <f>IFERROR(__xludf.DUMMYFUNCTION("""COMPUTED_VALUE"""),2441898.5700000525)</f>
        <v>2441898.57</v>
      </c>
      <c r="H87" s="3"/>
      <c r="I87" s="3" t="str">
        <f>IFERROR(__xludf.DUMMYFUNCTION("""COMPUTED_VALUE"""),"PRIBADI")</f>
        <v>PRIBADI</v>
      </c>
    </row>
    <row r="88">
      <c r="A88" s="7">
        <f>IFERROR(__xludf.DUMMYFUNCTION("""COMPUTED_VALUE"""),46256.0)</f>
        <v>46256</v>
      </c>
      <c r="B88" s="3" t="str">
        <f>IFERROR(__xludf.DUMMYFUNCTION("""COMPUTED_VALUE"""),"BI-FAST DB")</f>
        <v>BI-FAST DB</v>
      </c>
      <c r="C88" s="3" t="str">
        <f>IFERROR(__xludf.DUMMYFUNCTION("""COMPUTED_VALUE"""),"BIF TRANSFER KE 2 SUCIPTO M-BCA")</f>
        <v>BIF TRANSFER KE 2 SUCIPTO M-BCA</v>
      </c>
      <c r="D88" s="3">
        <f>IFERROR(__xludf.DUMMYFUNCTION("""COMPUTED_VALUE"""),300000.0)</f>
        <v>300000</v>
      </c>
      <c r="E88" s="3"/>
      <c r="F88" s="3" t="str">
        <f>IFERROR(__xludf.DUMMYFUNCTION("""COMPUTED_VALUE"""),"DB")</f>
        <v>DB</v>
      </c>
      <c r="G88" s="3">
        <f>IFERROR(__xludf.DUMMYFUNCTION("""COMPUTED_VALUE"""),3.5275089857000005E8)</f>
        <v>352750898.6</v>
      </c>
      <c r="H88" s="3"/>
      <c r="I88" s="3" t="str">
        <f>IFERROR(__xludf.DUMMYFUNCTION("""COMPUTED_VALUE"""),"PRIBADI")</f>
        <v>PRIBADI</v>
      </c>
    </row>
    <row r="89">
      <c r="A89" s="7">
        <f>IFERROR(__xludf.DUMMYFUNCTION("""COMPUTED_VALUE"""),46256.0)</f>
        <v>46256</v>
      </c>
      <c r="B89" s="3" t="str">
        <f>IFERROR(__xludf.DUMMYFUNCTION("""COMPUTED_VALUE"""),"BI-FAST DB")</f>
        <v>BI-FAST DB</v>
      </c>
      <c r="C89" s="3" t="str">
        <f>IFERROR(__xludf.DUMMYFUNCTION("""COMPUTED_VALUE"""),"BIF BIAYA TXN KE 2 SUCIPTO M-BCA")</f>
        <v>BIF BIAYA TXN KE 2 SUCIPTO M-BCA</v>
      </c>
      <c r="D89" s="3">
        <f>IFERROR(__xludf.DUMMYFUNCTION("""COMPUTED_VALUE"""),2500.0)</f>
        <v>2500</v>
      </c>
      <c r="E89" s="3"/>
      <c r="F89" s="3" t="str">
        <f>IFERROR(__xludf.DUMMYFUNCTION("""COMPUTED_VALUE"""),"DB")</f>
        <v>DB</v>
      </c>
      <c r="G89" s="3">
        <f>IFERROR(__xludf.DUMMYFUNCTION("""COMPUTED_VALUE"""),3.5274839857000005E8)</f>
        <v>352748398.6</v>
      </c>
      <c r="H89" s="3"/>
      <c r="I89" s="3" t="str">
        <f>IFERROR(__xludf.DUMMYFUNCTION("""COMPUTED_VALUE"""),"PRIBADI")</f>
        <v>PRIBADI</v>
      </c>
    </row>
    <row r="90">
      <c r="A90" s="7">
        <f>IFERROR(__xludf.DUMMYFUNCTION("""COMPUTED_VALUE"""),46256.0)</f>
        <v>46256</v>
      </c>
      <c r="B90" s="3" t="str">
        <f>IFERROR(__xludf.DUMMYFUNCTION("""COMPUTED_VALUE"""),"TRSF E-BANKING DB")</f>
        <v>TRSF E-BANKING DB</v>
      </c>
      <c r="C90" s="3" t="str">
        <f>IFERROR(__xludf.DUMMYFUNCTION("""COMPUTED_VALUE"""),"2208/FTSCY/WS95031 12926000.00 pelunasan SUPER UNGGAS JAYA")</f>
        <v>2208/FTSCY/WS95031 12926000.00 pelunasan SUPER UNGGAS JAYA</v>
      </c>
      <c r="D90" s="3">
        <f>IFERROR(__xludf.DUMMYFUNCTION("""COMPUTED_VALUE"""),1.2926E7)</f>
        <v>12926000</v>
      </c>
      <c r="E90" s="3"/>
      <c r="F90" s="3" t="str">
        <f>IFERROR(__xludf.DUMMYFUNCTION("""COMPUTED_VALUE"""),"DB")</f>
        <v>DB</v>
      </c>
      <c r="G90" s="3">
        <f>IFERROR(__xludf.DUMMYFUNCTION("""COMPUTED_VALUE"""),3.3982239857000005E8)</f>
        <v>339822398.6</v>
      </c>
      <c r="H90" s="3"/>
      <c r="I90" s="3" t="str">
        <f>IFERROR(__xludf.DUMMYFUNCTION("""COMPUTED_VALUE"""),"PRIBADI")</f>
        <v>PRIBADI</v>
      </c>
    </row>
    <row r="91">
      <c r="A91" s="7">
        <f>IFERROR(__xludf.DUMMYFUNCTION("""COMPUTED_VALUE"""),46256.0)</f>
        <v>46256</v>
      </c>
      <c r="B91" s="3" t="str">
        <f>IFERROR(__xludf.DUMMYFUNCTION("""COMPUTED_VALUE"""),"TRSF E-BANKING DB")</f>
        <v>TRSF E-BANKING DB</v>
      </c>
      <c r="C91" s="3" t="str">
        <f>IFERROR(__xludf.DUMMYFUNCTION("""COMPUTED_VALUE"""),"2208/FTSCY/WS95031 350000.00 LIA SETIA NINGSIH")</f>
        <v>2208/FTSCY/WS95031 350000.00 LIA SETIA NINGSIH</v>
      </c>
      <c r="D91" s="3">
        <f>IFERROR(__xludf.DUMMYFUNCTION("""COMPUTED_VALUE"""),350000.0)</f>
        <v>350000</v>
      </c>
      <c r="E91" s="3"/>
      <c r="F91" s="3" t="str">
        <f>IFERROR(__xludf.DUMMYFUNCTION("""COMPUTED_VALUE"""),"DB")</f>
        <v>DB</v>
      </c>
      <c r="G91" s="3">
        <f>IFERROR(__xludf.DUMMYFUNCTION("""COMPUTED_VALUE"""),3.3947239857000005E8)</f>
        <v>339472398.6</v>
      </c>
      <c r="H91" s="3"/>
      <c r="I91" s="3" t="str">
        <f>IFERROR(__xludf.DUMMYFUNCTION("""COMPUTED_VALUE"""),"PRIBADI")</f>
        <v>PRIBADI</v>
      </c>
    </row>
    <row r="92">
      <c r="A92" s="7">
        <f>IFERROR(__xludf.DUMMYFUNCTION("""COMPUTED_VALUE"""),46256.0)</f>
        <v>46256</v>
      </c>
      <c r="B92" s="3" t="str">
        <f>IFERROR(__xludf.DUMMYFUNCTION("""COMPUTED_VALUE"""),"TARIKAN ATM 22/08")</f>
        <v>TARIKAN ATM 22/08</v>
      </c>
      <c r="C92" s="3" t="str">
        <f>IFERROR(__xludf.DUMMYFUNCTION("""COMPUTED_VALUE"""),"TARIKAN ATM 22/08")</f>
        <v>TARIKAN ATM 22/08</v>
      </c>
      <c r="D92" s="3">
        <f>IFERROR(__xludf.DUMMYFUNCTION("""COMPUTED_VALUE"""),600000.0)</f>
        <v>600000</v>
      </c>
      <c r="E92" s="3"/>
      <c r="F92" s="3"/>
      <c r="G92" s="3">
        <f>IFERROR(__xludf.DUMMYFUNCTION("""COMPUTED_VALUE"""),6.5006843857E8)</f>
        <v>650068438.6</v>
      </c>
      <c r="H92" s="3"/>
      <c r="I92" s="3" t="str">
        <f>IFERROR(__xludf.DUMMYFUNCTION("""COMPUTED_VALUE"""),"PRIBADI")</f>
        <v>PRIBADI</v>
      </c>
    </row>
    <row r="93">
      <c r="A93" s="7">
        <f>IFERROR(__xludf.DUMMYFUNCTION("""COMPUTED_VALUE"""),46256.0)</f>
        <v>46256</v>
      </c>
      <c r="B93" s="3" t="str">
        <f>IFERROR(__xludf.DUMMYFUNCTION("""COMPUTED_VALUE"""),"TRSF E-BANKING DB")</f>
        <v>TRSF E-BANKING DB</v>
      </c>
      <c r="C93" s="3" t="str">
        <f>IFERROR(__xludf.DUMMYFUNCTION("""COMPUTED_VALUE"""),"2208/FTSCY/WS95031 2300000.00 SUNARTO")</f>
        <v>2208/FTSCY/WS95031 2300000.00 SUNARTO</v>
      </c>
      <c r="D93" s="3">
        <f>IFERROR(__xludf.DUMMYFUNCTION("""COMPUTED_VALUE"""),2300000.0)</f>
        <v>2300000</v>
      </c>
      <c r="E93" s="3"/>
      <c r="F93" s="3" t="str">
        <f>IFERROR(__xludf.DUMMYFUNCTION("""COMPUTED_VALUE"""),"DB")</f>
        <v>DB</v>
      </c>
      <c r="G93" s="3">
        <f>IFERROR(__xludf.DUMMYFUNCTION("""COMPUTED_VALUE"""),1.05320741857E9)</f>
        <v>1053207419</v>
      </c>
      <c r="H93" s="3"/>
      <c r="I93" s="3" t="str">
        <f>IFERROR(__xludf.DUMMYFUNCTION("""COMPUTED_VALUE"""),"PRIBADI")</f>
        <v>PRIBADI</v>
      </c>
    </row>
    <row r="94">
      <c r="A94" s="7">
        <f>IFERROR(__xludf.DUMMYFUNCTION("""COMPUTED_VALUE"""),46256.0)</f>
        <v>46256</v>
      </c>
      <c r="B94" s="3" t="str">
        <f>IFERROR(__xludf.DUMMYFUNCTION("""COMPUTED_VALUE"""),"TRSF E-BANKING DB")</f>
        <v>TRSF E-BANKING DB</v>
      </c>
      <c r="C94" s="3" t="str">
        <f>IFERROR(__xludf.DUMMYFUNCTION("""COMPUTED_VALUE"""),"2208/FTSCY/WS95031 2580000.00 DWI HERMANSYAH")</f>
        <v>2208/FTSCY/WS95031 2580000.00 DWI HERMANSYAH</v>
      </c>
      <c r="D94" s="3">
        <f>IFERROR(__xludf.DUMMYFUNCTION("""COMPUTED_VALUE"""),2580000.0)</f>
        <v>2580000</v>
      </c>
      <c r="E94" s="3"/>
      <c r="F94" s="3" t="str">
        <f>IFERROR(__xludf.DUMMYFUNCTION("""COMPUTED_VALUE"""),"DB")</f>
        <v>DB</v>
      </c>
      <c r="G94" s="3">
        <f>IFERROR(__xludf.DUMMYFUNCTION("""COMPUTED_VALUE"""),1.05062741857E9)</f>
        <v>1050627419</v>
      </c>
      <c r="H94" s="3"/>
      <c r="I94" s="3" t="str">
        <f>IFERROR(__xludf.DUMMYFUNCTION("""COMPUTED_VALUE"""),"PRIBADI")</f>
        <v>PRIBADI</v>
      </c>
    </row>
    <row r="95">
      <c r="A95" s="7">
        <f>IFERROR(__xludf.DUMMYFUNCTION("""COMPUTED_VALUE"""),46256.0)</f>
        <v>46256</v>
      </c>
      <c r="B95" s="3" t="str">
        <f>IFERROR(__xludf.DUMMYFUNCTION("""COMPUTED_VALUE"""),"TRSF E-BANKING DB")</f>
        <v>TRSF E-BANKING DB</v>
      </c>
      <c r="C95" s="3" t="str">
        <f>IFERROR(__xludf.DUMMYFUNCTION("""COMPUTED_VALUE"""),"2208/FTSCY/WS95031 21461640.00 EKO SETIYAWAN")</f>
        <v>2208/FTSCY/WS95031 21461640.00 EKO SETIYAWAN</v>
      </c>
      <c r="D95" s="3">
        <f>IFERROR(__xludf.DUMMYFUNCTION("""COMPUTED_VALUE"""),2.146164E7)</f>
        <v>21461640</v>
      </c>
      <c r="E95" s="3"/>
      <c r="F95" s="3" t="str">
        <f>IFERROR(__xludf.DUMMYFUNCTION("""COMPUTED_VALUE"""),"DB")</f>
        <v>DB</v>
      </c>
      <c r="G95" s="3">
        <f>IFERROR(__xludf.DUMMYFUNCTION("""COMPUTED_VALUE"""),1.02916577857E9)</f>
        <v>1029165779</v>
      </c>
      <c r="H95" s="3"/>
      <c r="I95" s="3" t="str">
        <f>IFERROR(__xludf.DUMMYFUNCTION("""COMPUTED_VALUE"""),"PRIBADI")</f>
        <v>PRIBADI</v>
      </c>
    </row>
    <row r="96">
      <c r="A96" s="7">
        <f>IFERROR(__xludf.DUMMYFUNCTION("""COMPUTED_VALUE"""),46256.0)</f>
        <v>46256</v>
      </c>
      <c r="B96" s="3" t="str">
        <f>IFERROR(__xludf.DUMMYFUNCTION("""COMPUTED_VALUE"""),"TRSF E-BANKING DB")</f>
        <v>TRSF E-BANKING DB</v>
      </c>
      <c r="C96" s="3" t="str">
        <f>IFERROR(__xludf.DUMMYFUNCTION("""COMPUTED_VALUE"""),"2208/FTSCY/WS95031 250000.00 EKO SETIYAWAN")</f>
        <v>2208/FTSCY/WS95031 250000.00 EKO SETIYAWAN</v>
      </c>
      <c r="D96" s="3">
        <f>IFERROR(__xludf.DUMMYFUNCTION("""COMPUTED_VALUE"""),250000.0)</f>
        <v>250000</v>
      </c>
      <c r="E96" s="3"/>
      <c r="F96" s="3" t="str">
        <f>IFERROR(__xludf.DUMMYFUNCTION("""COMPUTED_VALUE"""),"DB")</f>
        <v>DB</v>
      </c>
      <c r="G96" s="3">
        <f>IFERROR(__xludf.DUMMYFUNCTION("""COMPUTED_VALUE"""),1.02891577857E9)</f>
        <v>1028915779</v>
      </c>
      <c r="H96" s="3"/>
      <c r="I96" s="3" t="str">
        <f>IFERROR(__xludf.DUMMYFUNCTION("""COMPUTED_VALUE"""),"PRIBADI")</f>
        <v>PRIBADI</v>
      </c>
    </row>
    <row r="97">
      <c r="A97" s="7">
        <f>IFERROR(__xludf.DUMMYFUNCTION("""COMPUTED_VALUE"""),46256.0)</f>
        <v>46256</v>
      </c>
      <c r="B97" s="3" t="str">
        <f>IFERROR(__xludf.DUMMYFUNCTION("""COMPUTED_VALUE"""),"TRSF E-BANKING DB")</f>
        <v>TRSF E-BANKING DB</v>
      </c>
      <c r="C97" s="3" t="str">
        <f>IFERROR(__xludf.DUMMYFUNCTION("""COMPUTED_VALUE"""),"2208/FTSCY/WS95011 213181100.00 Thu Aug 20 2026 14:00:00 GMT+0700 (Western Indonesia Time) TUMBUH OPTIMAL PRI")</f>
        <v>2208/FTSCY/WS95011 213181100.00 Thu Aug 20 2026 14:00:00 GMT+0700 (Western Indonesia Time) TUMBUH OPTIMAL PRI</v>
      </c>
      <c r="D97" s="3">
        <f>IFERROR(__xludf.DUMMYFUNCTION("""COMPUTED_VALUE"""),2.131811E8)</f>
        <v>213181100</v>
      </c>
      <c r="E97" s="3"/>
      <c r="F97" s="3" t="str">
        <f>IFERROR(__xludf.DUMMYFUNCTION("""COMPUTED_VALUE"""),"DB")</f>
        <v>DB</v>
      </c>
      <c r="G97" s="3">
        <f>IFERROR(__xludf.DUMMYFUNCTION("""COMPUTED_VALUE"""),8.1573467857E8)</f>
        <v>815734678.6</v>
      </c>
      <c r="H97" s="3"/>
      <c r="I97" s="3" t="str">
        <f>IFERROR(__xludf.DUMMYFUNCTION("""COMPUTED_VALUE"""),"PRIBADI")</f>
        <v>PRIBADI</v>
      </c>
    </row>
    <row r="98">
      <c r="A98" s="7">
        <f>IFERROR(__xludf.DUMMYFUNCTION("""COMPUTED_VALUE"""),46256.0)</f>
        <v>46256</v>
      </c>
      <c r="B98" s="3" t="str">
        <f>IFERROR(__xludf.DUMMYFUNCTION("""COMPUTED_VALUE"""),"TRSF E-BANKING DB")</f>
        <v>TRSF E-BANKING DB</v>
      </c>
      <c r="C98" s="3" t="str">
        <f>IFERROR(__xludf.DUMMYFUNCTION("""COMPUTED_VALUE"""),"2208/FTSCY/WS95011 222193900.00 Thu Aug 20 2026 14:00:00 GMT+0700 (Western Indonesia Time) PITIK DIGITAL INDO")</f>
        <v>2208/FTSCY/WS95011 222193900.00 Thu Aug 20 2026 14:00:00 GMT+0700 (Western Indonesia Time) PITIK DIGITAL INDO</v>
      </c>
      <c r="D98" s="3">
        <f>IFERROR(__xludf.DUMMYFUNCTION("""COMPUTED_VALUE"""),2.221939E8)</f>
        <v>222193900</v>
      </c>
      <c r="E98" s="3"/>
      <c r="F98" s="3" t="str">
        <f>IFERROR(__xludf.DUMMYFUNCTION("""COMPUTED_VALUE"""),"DB")</f>
        <v>DB</v>
      </c>
      <c r="G98" s="3">
        <f>IFERROR(__xludf.DUMMYFUNCTION("""COMPUTED_VALUE"""),5.9354077857E8)</f>
        <v>593540778.6</v>
      </c>
      <c r="H98" s="3"/>
      <c r="I98" s="3" t="str">
        <f>IFERROR(__xludf.DUMMYFUNCTION("""COMPUTED_VALUE"""),"PRIBADI")</f>
        <v>PRIBADI</v>
      </c>
    </row>
    <row r="99">
      <c r="A99" s="7">
        <f>IFERROR(__xludf.DUMMYFUNCTION("""COMPUTED_VALUE"""),46256.0)</f>
        <v>46256</v>
      </c>
      <c r="B99" s="3" t="str">
        <f>IFERROR(__xludf.DUMMYFUNCTION("""COMPUTED_VALUE"""),"TRSF E-BANKING DB")</f>
        <v>TRSF E-BANKING DB</v>
      </c>
      <c r="C99" s="3" t="str">
        <f>IFERROR(__xludf.DUMMYFUNCTION("""COMPUTED_VALUE"""),"2208/FTSCY/WS95011 64625000.00 Thu Aug 20 2026 14:00:00 GMT+0700 (Western Indonesia Time) ANUGERAH KARTIKA A")</f>
        <v>2208/FTSCY/WS95011 64625000.00 Thu Aug 20 2026 14:00:00 GMT+0700 (Western Indonesia Time) ANUGERAH KARTIKA A</v>
      </c>
      <c r="D99" s="3">
        <f>IFERROR(__xludf.DUMMYFUNCTION("""COMPUTED_VALUE"""),6.4625E7)</f>
        <v>64625000</v>
      </c>
      <c r="E99" s="3"/>
      <c r="F99" s="3" t="str">
        <f>IFERROR(__xludf.DUMMYFUNCTION("""COMPUTED_VALUE"""),"DB")</f>
        <v>DB</v>
      </c>
      <c r="G99" s="3">
        <f>IFERROR(__xludf.DUMMYFUNCTION("""COMPUTED_VALUE"""),5.2891577857000005E8)</f>
        <v>528915778.6</v>
      </c>
      <c r="H99" s="3"/>
      <c r="I99" s="3" t="str">
        <f>IFERROR(__xludf.DUMMYFUNCTION("""COMPUTED_VALUE"""),"PRIBADI")</f>
        <v>PRIBADI</v>
      </c>
    </row>
    <row r="100">
      <c r="A100" s="7">
        <f>IFERROR(__xludf.DUMMYFUNCTION("""COMPUTED_VALUE"""),46256.0)</f>
        <v>46256</v>
      </c>
      <c r="B100" s="3" t="str">
        <f>IFERROR(__xludf.DUMMYFUNCTION("""COMPUTED_VALUE"""),"TRSF E-BANKING DB")</f>
        <v>TRSF E-BANKING DB</v>
      </c>
      <c r="C100" s="3" t="str">
        <f>IFERROR(__xludf.DUMMYFUNCTION("""COMPUTED_VALUE"""),"2208/FTSCY/WS95031 776800.00 pelunasan ANUGERAH KARTIKA A")</f>
        <v>2208/FTSCY/WS95031 776800.00 pelunasan ANUGERAH KARTIKA A</v>
      </c>
      <c r="D100" s="3">
        <f>IFERROR(__xludf.DUMMYFUNCTION("""COMPUTED_VALUE"""),776800.0)</f>
        <v>776800</v>
      </c>
      <c r="E100" s="3"/>
      <c r="F100" s="3" t="str">
        <f>IFERROR(__xludf.DUMMYFUNCTION("""COMPUTED_VALUE"""),"DB")</f>
        <v>DB</v>
      </c>
      <c r="G100" s="3">
        <f>IFERROR(__xludf.DUMMYFUNCTION("""COMPUTED_VALUE"""),5.2813897857000005E8)</f>
        <v>528138978.6</v>
      </c>
      <c r="H100" s="3"/>
      <c r="I100" s="3" t="str">
        <f>IFERROR(__xludf.DUMMYFUNCTION("""COMPUTED_VALUE"""),"PRIBADI")</f>
        <v>PRIBADI</v>
      </c>
    </row>
    <row r="101">
      <c r="A101" s="7">
        <f>IFERROR(__xludf.DUMMYFUNCTION("""COMPUTED_VALUE"""),46256.0)</f>
        <v>46256</v>
      </c>
      <c r="B101" s="3" t="str">
        <f>IFERROR(__xludf.DUMMYFUNCTION("""COMPUTED_VALUE"""),"TRSF E-BANKING DB")</f>
        <v>TRSF E-BANKING DB</v>
      </c>
      <c r="C101" s="3" t="str">
        <f>IFERROR(__xludf.DUMMYFUNCTION("""COMPUTED_VALUE"""),"2208/FTSCY/WS95271 115914500.00 krg 110jt TABASSAM AL HATTAK")</f>
        <v>2208/FTSCY/WS95271 115914500.00 krg 110jt TABASSAM AL HATTAK</v>
      </c>
      <c r="D101" s="3">
        <f>IFERROR(__xludf.DUMMYFUNCTION("""COMPUTED_VALUE"""),1.159145E8)</f>
        <v>115914500</v>
      </c>
      <c r="E101" s="3"/>
      <c r="F101" s="3" t="str">
        <f>IFERROR(__xludf.DUMMYFUNCTION("""COMPUTED_VALUE"""),"DB")</f>
        <v>DB</v>
      </c>
      <c r="G101" s="3">
        <f>IFERROR(__xludf.DUMMYFUNCTION("""COMPUTED_VALUE"""),4.1222447857000005E8)</f>
        <v>412224478.6</v>
      </c>
      <c r="H101" s="3"/>
      <c r="I101" s="3" t="str">
        <f>IFERROR(__xludf.DUMMYFUNCTION("""COMPUTED_VALUE"""),"PRIBADI")</f>
        <v>PRIBADI</v>
      </c>
    </row>
    <row r="102">
      <c r="A102" s="7">
        <f>IFERROR(__xludf.DUMMYFUNCTION("""COMPUTED_VALUE"""),46256.0)</f>
        <v>46256</v>
      </c>
      <c r="B102" s="3" t="str">
        <f>IFERROR(__xludf.DUMMYFUNCTION("""COMPUTED_VALUE"""),"TRSF E-BANKING DB")</f>
        <v>TRSF E-BANKING DB</v>
      </c>
      <c r="C102" s="3" t="str">
        <f>IFERROR(__xludf.DUMMYFUNCTION("""COMPUTED_VALUE"""),"2208/FTSCY/WS95031 300000.00 ANDE DOSO ANGGORO")</f>
        <v>2208/FTSCY/WS95031 300000.00 ANDE DOSO ANGGORO</v>
      </c>
      <c r="D102" s="3">
        <f>IFERROR(__xludf.DUMMYFUNCTION("""COMPUTED_VALUE"""),300000.0)</f>
        <v>300000</v>
      </c>
      <c r="E102" s="3"/>
      <c r="F102" s="3" t="str">
        <f>IFERROR(__xludf.DUMMYFUNCTION("""COMPUTED_VALUE"""),"DB")</f>
        <v>DB</v>
      </c>
      <c r="G102" s="3">
        <f>IFERROR(__xludf.DUMMYFUNCTION("""COMPUTED_VALUE"""),4.1192447857000005E8)</f>
        <v>411924478.6</v>
      </c>
      <c r="H102" s="3"/>
      <c r="I102" s="3" t="str">
        <f>IFERROR(__xludf.DUMMYFUNCTION("""COMPUTED_VALUE"""),"PRIBADI")</f>
        <v>PRIBADI</v>
      </c>
    </row>
    <row r="103">
      <c r="A103" s="7">
        <f>IFERROR(__xludf.DUMMYFUNCTION("""COMPUTED_VALUE"""),46256.0)</f>
        <v>46256</v>
      </c>
      <c r="B103" s="3" t="str">
        <f>IFERROR(__xludf.DUMMYFUNCTION("""COMPUTED_VALUE"""),"TRSF E-BANKING DB")</f>
        <v>TRSF E-BANKING DB</v>
      </c>
      <c r="C103" s="3" t="str">
        <f>IFERROR(__xludf.DUMMYFUNCTION("""COMPUTED_VALUE"""),"2208/FTSCY/WS95031 1250000.00 FAJAR ANDREANZAH")</f>
        <v>2208/FTSCY/WS95031 1250000.00 FAJAR ANDREANZAH</v>
      </c>
      <c r="D103" s="3">
        <f>IFERROR(__xludf.DUMMYFUNCTION("""COMPUTED_VALUE"""),1250000.0)</f>
        <v>1250000</v>
      </c>
      <c r="E103" s="3"/>
      <c r="F103" s="3" t="str">
        <f>IFERROR(__xludf.DUMMYFUNCTION("""COMPUTED_VALUE"""),"DB")</f>
        <v>DB</v>
      </c>
      <c r="G103" s="3">
        <f>IFERROR(__xludf.DUMMYFUNCTION("""COMPUTED_VALUE"""),4.1067447857000005E8)</f>
        <v>410674478.6</v>
      </c>
      <c r="H103" s="3">
        <f>IFERROR(__xludf.DUMMYFUNCTION("""COMPUTED_VALUE"""),4.1067447857E8)</f>
        <v>410674478.6</v>
      </c>
      <c r="I103" s="3" t="str">
        <f>IFERROR(__xludf.DUMMYFUNCTION("""COMPUTED_VALUE"""),"PRIBADI")</f>
        <v>PRIBADI</v>
      </c>
    </row>
    <row r="104">
      <c r="A104" s="7">
        <f>IFERROR(__xludf.DUMMYFUNCTION("""COMPUTED_VALUE"""),46256.0)</f>
        <v>46256</v>
      </c>
      <c r="B104" s="3" t="str">
        <f>IFERROR(__xludf.DUMMYFUNCTION("""COMPUTED_VALUE"""),"TRSF E-BANKING DB")</f>
        <v>TRSF E-BANKING DB</v>
      </c>
      <c r="C104" s="3" t="str">
        <f>IFERROR(__xludf.DUMMYFUNCTION("""COMPUTED_VALUE"""),"2208/FTSCY/WS95031 2932200.00 HERMAWAN")</f>
        <v>2208/FTSCY/WS95031 2932200.00 HERMAWAN</v>
      </c>
      <c r="D104" s="3">
        <f>IFERROR(__xludf.DUMMYFUNCTION("""COMPUTED_VALUE"""),2932200.0)</f>
        <v>2932200</v>
      </c>
      <c r="E104" s="3"/>
      <c r="F104" s="3" t="str">
        <f>IFERROR(__xludf.DUMMYFUNCTION("""COMPUTED_VALUE"""),"DB")</f>
        <v>DB</v>
      </c>
      <c r="G104" s="3">
        <f>IFERROR(__xludf.DUMMYFUNCTION("""COMPUTED_VALUE"""),4.0774227857000005E8)</f>
        <v>407742278.6</v>
      </c>
      <c r="H104" s="3">
        <f>IFERROR(__xludf.DUMMYFUNCTION("""COMPUTED_VALUE"""),4.0774227857E8)</f>
        <v>407742278.6</v>
      </c>
      <c r="I104" s="3" t="str">
        <f>IFERROR(__xludf.DUMMYFUNCTION("""COMPUTED_VALUE"""),"PRIBADI")</f>
        <v>PRIBADI</v>
      </c>
    </row>
    <row r="105">
      <c r="A105" s="7">
        <f>IFERROR(__xludf.DUMMYFUNCTION("""COMPUTED_VALUE"""),46256.0)</f>
        <v>46256</v>
      </c>
      <c r="B105" s="3" t="str">
        <f>IFERROR(__xludf.DUMMYFUNCTION("""COMPUTED_VALUE"""),"TRSF E-BANKING DB")</f>
        <v>TRSF E-BANKING DB</v>
      </c>
      <c r="C105" s="3" t="str">
        <f>IFERROR(__xludf.DUMMYFUNCTION("""COMPUTED_VALUE"""),"2208/FTSCY/WS95031 1875060.00 MUJIANTO")</f>
        <v>2208/FTSCY/WS95031 1875060.00 MUJIANTO</v>
      </c>
      <c r="D105" s="3">
        <f>IFERROR(__xludf.DUMMYFUNCTION("""COMPUTED_VALUE"""),1875060.0)</f>
        <v>1875060</v>
      </c>
      <c r="E105" s="3"/>
      <c r="F105" s="3" t="str">
        <f>IFERROR(__xludf.DUMMYFUNCTION("""COMPUTED_VALUE"""),"DB")</f>
        <v>DB</v>
      </c>
      <c r="G105" s="3">
        <f>IFERROR(__xludf.DUMMYFUNCTION("""COMPUTED_VALUE"""),4.0586721857000005E8)</f>
        <v>405867218.6</v>
      </c>
      <c r="H105" s="3"/>
      <c r="I105" s="3" t="str">
        <f>IFERROR(__xludf.DUMMYFUNCTION("""COMPUTED_VALUE"""),"PRIBADI")</f>
        <v>PRIBADI</v>
      </c>
    </row>
    <row r="106">
      <c r="A106" s="7">
        <f>IFERROR(__xludf.DUMMYFUNCTION("""COMPUTED_VALUE"""),46256.0)</f>
        <v>46256</v>
      </c>
      <c r="B106" s="3" t="str">
        <f>IFERROR(__xludf.DUMMYFUNCTION("""COMPUTED_VALUE"""),"TRSF E-BANKING DB")</f>
        <v>TRSF E-BANKING DB</v>
      </c>
      <c r="C106" s="3" t="str">
        <f>IFERROR(__xludf.DUMMYFUNCTION("""COMPUTED_VALUE"""),"2208/FTSCY/WS95031 1855620.00 NURHAYATI")</f>
        <v>2208/FTSCY/WS95031 1855620.00 NURHAYATI</v>
      </c>
      <c r="D106" s="3">
        <f>IFERROR(__xludf.DUMMYFUNCTION("""COMPUTED_VALUE"""),1855620.0)</f>
        <v>1855620</v>
      </c>
      <c r="E106" s="3"/>
      <c r="F106" s="3" t="str">
        <f>IFERROR(__xludf.DUMMYFUNCTION("""COMPUTED_VALUE"""),"DB")</f>
        <v>DB</v>
      </c>
      <c r="G106" s="3">
        <f>IFERROR(__xludf.DUMMYFUNCTION("""COMPUTED_VALUE"""),4.0401159857000005E8)</f>
        <v>404011598.6</v>
      </c>
      <c r="H106" s="3">
        <f>IFERROR(__xludf.DUMMYFUNCTION("""COMPUTED_VALUE"""),4.0401159857E8)</f>
        <v>404011598.6</v>
      </c>
      <c r="I106" s="3" t="str">
        <f>IFERROR(__xludf.DUMMYFUNCTION("""COMPUTED_VALUE"""),"PRIBADI")</f>
        <v>PRIBADI</v>
      </c>
    </row>
    <row r="107">
      <c r="A107" s="7">
        <f>IFERROR(__xludf.DUMMYFUNCTION("""COMPUTED_VALUE"""),46257.0)</f>
        <v>46257</v>
      </c>
      <c r="B107" s="3" t="str">
        <f>IFERROR(__xludf.DUMMYFUNCTION("""COMPUTED_VALUE"""),"TRSF E-BANKING DB")</f>
        <v>TRSF E-BANKING DB</v>
      </c>
      <c r="C107" s="3" t="str">
        <f>IFERROR(__xludf.DUMMYFUNCTION("""COMPUTED_VALUE"""),"2308/FTSCY/WS95271 157614250.00 LAWU ABADI NUSA PT")</f>
        <v>2308/FTSCY/WS95271 157614250.00 LAWU ABADI NUSA PT</v>
      </c>
      <c r="D107" s="3">
        <f>IFERROR(__xludf.DUMMYFUNCTION("""COMPUTED_VALUE"""),1.5761425E8)</f>
        <v>157614250</v>
      </c>
      <c r="E107" s="3"/>
      <c r="F107" s="3" t="str">
        <f>IFERROR(__xludf.DUMMYFUNCTION("""COMPUTED_VALUE"""),"DB")</f>
        <v>DB</v>
      </c>
      <c r="G107" s="3">
        <f>IFERROR(__xludf.DUMMYFUNCTION("""COMPUTED_VALUE"""),2.4639734857000005E8)</f>
        <v>246397348.6</v>
      </c>
      <c r="H107" s="3"/>
      <c r="I107" s="3" t="str">
        <f>IFERROR(__xludf.DUMMYFUNCTION("""COMPUTED_VALUE"""),"PRIBADI")</f>
        <v>PRIBADI</v>
      </c>
    </row>
    <row r="108">
      <c r="A108" s="7">
        <f>IFERROR(__xludf.DUMMYFUNCTION("""COMPUTED_VALUE"""),46257.0)</f>
        <v>46257</v>
      </c>
      <c r="B108" s="3" t="str">
        <f>IFERROR(__xludf.DUMMYFUNCTION("""COMPUTED_VALUE"""),"TRSF E-BANKING DB")</f>
        <v>TRSF E-BANKING DB</v>
      </c>
      <c r="C108" s="3" t="str">
        <f>IFERROR(__xludf.DUMMYFUNCTION("""COMPUTED_VALUE"""),"2308/FTSCY/WS95011 198001940.00 Thu Aug 20 2026 14:00:00 GMT+0700 (Western Indonesia Time) BROILER MAKMUR TAN")</f>
        <v>2308/FTSCY/WS95011 198001940.00 Thu Aug 20 2026 14:00:00 GMT+0700 (Western Indonesia Time) BROILER MAKMUR TAN</v>
      </c>
      <c r="D108" s="3">
        <f>IFERROR(__xludf.DUMMYFUNCTION("""COMPUTED_VALUE"""),1.9800194E8)</f>
        <v>198001940</v>
      </c>
      <c r="E108" s="3"/>
      <c r="F108" s="3" t="str">
        <f>IFERROR(__xludf.DUMMYFUNCTION("""COMPUTED_VALUE"""),"DB")</f>
        <v>DB</v>
      </c>
      <c r="G108" s="3">
        <f>IFERROR(__xludf.DUMMYFUNCTION("""COMPUTED_VALUE"""),4.839540857000005E7)</f>
        <v>48395408.57</v>
      </c>
      <c r="H108" s="3"/>
      <c r="I108" s="3" t="str">
        <f>IFERROR(__xludf.DUMMYFUNCTION("""COMPUTED_VALUE"""),"PRIBADI")</f>
        <v>PRIBADI</v>
      </c>
    </row>
    <row r="109">
      <c r="A109" s="7">
        <f>IFERROR(__xludf.DUMMYFUNCTION("""COMPUTED_VALUE"""),46257.0)</f>
        <v>46257</v>
      </c>
      <c r="B109" s="3" t="str">
        <f>IFERROR(__xludf.DUMMYFUNCTION("""COMPUTED_VALUE"""),"TRSF E-BANKING DB")</f>
        <v>TRSF E-BANKING DB</v>
      </c>
      <c r="C109" s="3" t="str">
        <f>IFERROR(__xludf.DUMMYFUNCTION("""COMPUTED_VALUE"""),"2308/FTSCY/WS95011 75403200.00 Thu Aug 20 2026 14:00:00 GMT+0700 (Western Indonesia Time) ANDALAN YASA MITRA")</f>
        <v>2308/FTSCY/WS95011 75403200.00 Thu Aug 20 2026 14:00:00 GMT+0700 (Western Indonesia Time) ANDALAN YASA MITRA</v>
      </c>
      <c r="D109" s="3">
        <f>IFERROR(__xludf.DUMMYFUNCTION("""COMPUTED_VALUE"""),7.54032E7)</f>
        <v>75403200</v>
      </c>
      <c r="E109" s="3"/>
      <c r="F109" s="3" t="str">
        <f>IFERROR(__xludf.DUMMYFUNCTION("""COMPUTED_VALUE"""),"DB")</f>
        <v>DB</v>
      </c>
      <c r="G109" s="3">
        <f>IFERROR(__xludf.DUMMYFUNCTION("""COMPUTED_VALUE"""),6.7973873857E8)</f>
        <v>679738738.6</v>
      </c>
      <c r="H109" s="3"/>
      <c r="I109" s="3" t="str">
        <f>IFERROR(__xludf.DUMMYFUNCTION("""COMPUTED_VALUE"""),"PRIBADI")</f>
        <v>PRIBADI</v>
      </c>
    </row>
    <row r="110">
      <c r="A110" s="7">
        <f>IFERROR(__xludf.DUMMYFUNCTION("""COMPUTED_VALUE"""),46257.0)</f>
        <v>46257</v>
      </c>
      <c r="B110" s="3" t="str">
        <f>IFERROR(__xludf.DUMMYFUNCTION("""COMPUTED_VALUE"""),"TRSF E-BANKING DB")</f>
        <v>TRSF E-BANKING DB</v>
      </c>
      <c r="C110" s="3" t="str">
        <f>IFERROR(__xludf.DUMMYFUNCTION("""COMPUTED_VALUE"""),"2308/FTSCY/WS95011 19651500.00 Fri Aug 21 2026 14:00:00 GMT+0700 (Western Indonesia Time) LAJU SATWA WISESA")</f>
        <v>2308/FTSCY/WS95011 19651500.00 Fri Aug 21 2026 14:00:00 GMT+0700 (Western Indonesia Time) LAJU SATWA WISESA</v>
      </c>
      <c r="D110" s="3">
        <f>IFERROR(__xludf.DUMMYFUNCTION("""COMPUTED_VALUE"""),1.96515E7)</f>
        <v>19651500</v>
      </c>
      <c r="E110" s="3"/>
      <c r="F110" s="3" t="str">
        <f>IFERROR(__xludf.DUMMYFUNCTION("""COMPUTED_VALUE"""),"DB")</f>
        <v>DB</v>
      </c>
      <c r="G110" s="3">
        <f>IFERROR(__xludf.DUMMYFUNCTION("""COMPUTED_VALUE"""),6.6008723857E8)</f>
        <v>660087238.6</v>
      </c>
      <c r="H110" s="3"/>
      <c r="I110" s="3" t="str">
        <f>IFERROR(__xludf.DUMMYFUNCTION("""COMPUTED_VALUE"""),"PRIBADI")</f>
        <v>PRIBADI</v>
      </c>
    </row>
    <row r="111">
      <c r="A111" s="7">
        <f>IFERROR(__xludf.DUMMYFUNCTION("""COMPUTED_VALUE"""),46257.0)</f>
        <v>46257</v>
      </c>
      <c r="B111" s="3" t="str">
        <f>IFERROR(__xludf.DUMMYFUNCTION("""COMPUTED_VALUE"""),"TRSF E-BANKING DB")</f>
        <v>TRSF E-BANKING DB</v>
      </c>
      <c r="C111" s="3" t="str">
        <f>IFERROR(__xludf.DUMMYFUNCTION("""COMPUTED_VALUE"""),"2308/FTSCY/WS95011 176863500.00 Pelunasan LAJU SATWA WISESA")</f>
        <v>2308/FTSCY/WS95011 176863500.00 Pelunasan LAJU SATWA WISESA</v>
      </c>
      <c r="D111" s="3">
        <f>IFERROR(__xludf.DUMMYFUNCTION("""COMPUTED_VALUE"""),1.768635E8)</f>
        <v>176863500</v>
      </c>
      <c r="E111" s="3"/>
      <c r="F111" s="3" t="str">
        <f>IFERROR(__xludf.DUMMYFUNCTION("""COMPUTED_VALUE"""),"DB")</f>
        <v>DB</v>
      </c>
      <c r="G111" s="3">
        <f>IFERROR(__xludf.DUMMYFUNCTION("""COMPUTED_VALUE"""),4.8322373857000005E8)</f>
        <v>483223738.6</v>
      </c>
      <c r="H111" s="3"/>
      <c r="I111" s="3" t="str">
        <f>IFERROR(__xludf.DUMMYFUNCTION("""COMPUTED_VALUE"""),"PRIBADI")</f>
        <v>PRIBADI</v>
      </c>
    </row>
    <row r="112">
      <c r="A112" s="7">
        <f>IFERROR(__xludf.DUMMYFUNCTION("""COMPUTED_VALUE"""),46257.0)</f>
        <v>46257</v>
      </c>
      <c r="B112" s="3" t="str">
        <f>IFERROR(__xludf.DUMMYFUNCTION("""COMPUTED_VALUE"""),"TRSF E-BANKING DB")</f>
        <v>TRSF E-BANKING DB</v>
      </c>
      <c r="C112" s="3" t="str">
        <f>IFERROR(__xludf.DUMMYFUNCTION("""COMPUTED_VALUE"""),"2308/FTSCY/WS95011 30079800.00 Fri Aug 21 2026 14:00:00 GMT+0700 (Western Indonesia Time) GANESHA SATRIA NUS")</f>
        <v>2308/FTSCY/WS95011 30079800.00 Fri Aug 21 2026 14:00:00 GMT+0700 (Western Indonesia Time) GANESHA SATRIA NUS</v>
      </c>
      <c r="D112" s="3">
        <f>IFERROR(__xludf.DUMMYFUNCTION("""COMPUTED_VALUE"""),3.00798E7)</f>
        <v>30079800</v>
      </c>
      <c r="E112" s="3"/>
      <c r="F112" s="3" t="str">
        <f>IFERROR(__xludf.DUMMYFUNCTION("""COMPUTED_VALUE"""),"DB")</f>
        <v>DB</v>
      </c>
      <c r="G112" s="3">
        <f>IFERROR(__xludf.DUMMYFUNCTION("""COMPUTED_VALUE"""),4.5314393857000005E8)</f>
        <v>453143938.6</v>
      </c>
      <c r="H112" s="3"/>
      <c r="I112" s="3" t="str">
        <f>IFERROR(__xludf.DUMMYFUNCTION("""COMPUTED_VALUE"""),"PRIBADI")</f>
        <v>PRIBADI</v>
      </c>
    </row>
    <row r="113">
      <c r="A113" s="7">
        <f>IFERROR(__xludf.DUMMYFUNCTION("""COMPUTED_VALUE"""),46257.0)</f>
        <v>46257</v>
      </c>
      <c r="B113" s="3" t="str">
        <f>IFERROR(__xludf.DUMMYFUNCTION("""COMPUTED_VALUE"""),"TRSF E-BANKING DB")</f>
        <v>TRSF E-BANKING DB</v>
      </c>
      <c r="C113" s="3" t="str">
        <f>IFERROR(__xludf.DUMMYFUNCTION("""COMPUTED_VALUE"""),"2308/FTSCY/WS95031 35865000.00 pelunasan GANESHA SATRIA NUS")</f>
        <v>2308/FTSCY/WS95031 35865000.00 pelunasan GANESHA SATRIA NUS</v>
      </c>
      <c r="D113" s="3">
        <f>IFERROR(__xludf.DUMMYFUNCTION("""COMPUTED_VALUE"""),3.5865E7)</f>
        <v>35865000</v>
      </c>
      <c r="E113" s="3"/>
      <c r="F113" s="3" t="str">
        <f>IFERROR(__xludf.DUMMYFUNCTION("""COMPUTED_VALUE"""),"DB")</f>
        <v>DB</v>
      </c>
      <c r="G113" s="3">
        <f>IFERROR(__xludf.DUMMYFUNCTION("""COMPUTED_VALUE"""),4.1727893857000005E8)</f>
        <v>417278938.6</v>
      </c>
      <c r="H113" s="3"/>
      <c r="I113" s="3" t="str">
        <f>IFERROR(__xludf.DUMMYFUNCTION("""COMPUTED_VALUE"""),"PRIBADI")</f>
        <v>PRIBADI</v>
      </c>
    </row>
    <row r="114">
      <c r="A114" s="7">
        <f>IFERROR(__xludf.DUMMYFUNCTION("""COMPUTED_VALUE"""),46257.0)</f>
        <v>46257</v>
      </c>
      <c r="B114" s="3" t="str">
        <f>IFERROR(__xludf.DUMMYFUNCTION("""COMPUTED_VALUE"""),"TRSF E-BANKING DB")</f>
        <v>TRSF E-BANKING DB</v>
      </c>
      <c r="C114" s="3" t="str">
        <f>IFERROR(__xludf.DUMMYFUNCTION("""COMPUTED_VALUE"""),"2308/FTSCY/WS95271 70706800.00 Fri Aug 21 2026 14:00:00 GMT+0700 (Western Indonesia Time) LAJU SATWA WISESA")</f>
        <v>2308/FTSCY/WS95271 70706800.00 Fri Aug 21 2026 14:00:00 GMT+0700 (Western Indonesia Time) LAJU SATWA WISESA</v>
      </c>
      <c r="D114" s="3">
        <f>IFERROR(__xludf.DUMMYFUNCTION("""COMPUTED_VALUE"""),7.07068E7)</f>
        <v>70706800</v>
      </c>
      <c r="E114" s="3"/>
      <c r="F114" s="3" t="str">
        <f>IFERROR(__xludf.DUMMYFUNCTION("""COMPUTED_VALUE"""),"DB")</f>
        <v>DB</v>
      </c>
      <c r="G114" s="3">
        <f>IFERROR(__xludf.DUMMYFUNCTION("""COMPUTED_VALUE"""),3.4657213857000005E8)</f>
        <v>346572138.6</v>
      </c>
      <c r="H114" s="3">
        <f>IFERROR(__xludf.DUMMYFUNCTION("""COMPUTED_VALUE"""),3.4657213857E8)</f>
        <v>346572138.6</v>
      </c>
      <c r="I114" s="3" t="str">
        <f>IFERROR(__xludf.DUMMYFUNCTION("""COMPUTED_VALUE"""),"PRIBADI")</f>
        <v>PRIBADI</v>
      </c>
    </row>
    <row r="115">
      <c r="A115" s="7">
        <f>IFERROR(__xludf.DUMMYFUNCTION("""COMPUTED_VALUE"""),46257.0)</f>
        <v>46257</v>
      </c>
      <c r="B115" s="3" t="str">
        <f>IFERROR(__xludf.DUMMYFUNCTION("""COMPUTED_VALUE"""),"TRSF E-BANKING DB")</f>
        <v>TRSF E-BANKING DB</v>
      </c>
      <c r="C115" s="3" t="str">
        <f>IFERROR(__xludf.DUMMYFUNCTION("""COMPUTED_VALUE"""),"2308/FTSCY/WS95271 70000000.00 TABASSAM AL HATTAK")</f>
        <v>2308/FTSCY/WS95271 70000000.00 TABASSAM AL HATTAK</v>
      </c>
      <c r="D115" s="3">
        <f>IFERROR(__xludf.DUMMYFUNCTION("""COMPUTED_VALUE"""),7.0E7)</f>
        <v>70000000</v>
      </c>
      <c r="E115" s="3"/>
      <c r="F115" s="3" t="str">
        <f>IFERROR(__xludf.DUMMYFUNCTION("""COMPUTED_VALUE"""),"DB")</f>
        <v>DB</v>
      </c>
      <c r="G115" s="3">
        <f>IFERROR(__xludf.DUMMYFUNCTION("""COMPUTED_VALUE"""),2.7657213857000005E8)</f>
        <v>276572138.6</v>
      </c>
      <c r="H115" s="3">
        <f>IFERROR(__xludf.DUMMYFUNCTION("""COMPUTED_VALUE"""),2.7657213857E8)</f>
        <v>276572138.6</v>
      </c>
      <c r="I115" s="3" t="str">
        <f>IFERROR(__xludf.DUMMYFUNCTION("""COMPUTED_VALUE"""),"PRIBADI")</f>
        <v>PRIBADI</v>
      </c>
    </row>
    <row r="116">
      <c r="A116" s="7">
        <f>IFERROR(__xludf.DUMMYFUNCTION("""COMPUTED_VALUE"""),46257.0)</f>
        <v>46257</v>
      </c>
      <c r="B116" s="3" t="str">
        <f>IFERROR(__xludf.DUMMYFUNCTION("""COMPUTED_VALUE"""),"TRSF E-BANKING DB")</f>
        <v>TRSF E-BANKING DB</v>
      </c>
      <c r="C116" s="3" t="str">
        <f>IFERROR(__xludf.DUMMYFUNCTION("""COMPUTED_VALUE"""),"2308/FTSCY/WS95031 40000000.00 pelunasan TABASSAM AL HATTAK")</f>
        <v>2308/FTSCY/WS95031 40000000.00 pelunasan TABASSAM AL HATTAK</v>
      </c>
      <c r="D116" s="3">
        <f>IFERROR(__xludf.DUMMYFUNCTION("""COMPUTED_VALUE"""),4.0E7)</f>
        <v>40000000</v>
      </c>
      <c r="E116" s="3"/>
      <c r="F116" s="3" t="str">
        <f>IFERROR(__xludf.DUMMYFUNCTION("""COMPUTED_VALUE"""),"DB")</f>
        <v>DB</v>
      </c>
      <c r="G116" s="3">
        <f>IFERROR(__xludf.DUMMYFUNCTION("""COMPUTED_VALUE"""),2.3657213857000005E8)</f>
        <v>236572138.6</v>
      </c>
      <c r="H116" s="3"/>
      <c r="I116" s="3" t="str">
        <f>IFERROR(__xludf.DUMMYFUNCTION("""COMPUTED_VALUE"""),"PRIBADI")</f>
        <v>PRIBADI</v>
      </c>
    </row>
    <row r="117">
      <c r="A117" s="7">
        <f>IFERROR(__xludf.DUMMYFUNCTION("""COMPUTED_VALUE"""),46257.0)</f>
        <v>46257</v>
      </c>
      <c r="B117" s="3" t="str">
        <f>IFERROR(__xludf.DUMMYFUNCTION("""COMPUTED_VALUE"""),"TRSF E-BANKING DB")</f>
        <v>TRSF E-BANKING DB</v>
      </c>
      <c r="C117" s="3" t="str">
        <f>IFERROR(__xludf.DUMMYFUNCTION("""COMPUTED_VALUE"""),"2308/FTFVA/WS95031 67847/UNGGAS MANDI magetan - 200043")</f>
        <v>2308/FTFVA/WS95031 67847/UNGGAS MANDI magetan - 200043</v>
      </c>
      <c r="D117" s="3">
        <f>IFERROR(__xludf.DUMMYFUNCTION("""COMPUTED_VALUE"""),8.232755E7)</f>
        <v>82327550</v>
      </c>
      <c r="E117" s="3"/>
      <c r="F117" s="3" t="str">
        <f>IFERROR(__xludf.DUMMYFUNCTION("""COMPUTED_VALUE"""),"DB")</f>
        <v>DB</v>
      </c>
      <c r="G117" s="3">
        <f>IFERROR(__xludf.DUMMYFUNCTION("""COMPUTED_VALUE"""),1.5424458857000005E8)</f>
        <v>154244588.6</v>
      </c>
      <c r="H117" s="3"/>
      <c r="I117" s="3" t="str">
        <f>IFERROR(__xludf.DUMMYFUNCTION("""COMPUTED_VALUE"""),"PRIBADI")</f>
        <v>PRIBADI</v>
      </c>
    </row>
    <row r="118">
      <c r="A118" s="7">
        <f>IFERROR(__xludf.DUMMYFUNCTION("""COMPUTED_VALUE"""),46257.0)</f>
        <v>46257</v>
      </c>
      <c r="B118" s="3" t="str">
        <f>IFERROR(__xludf.DUMMYFUNCTION("""COMPUTED_VALUE"""),"BYR VIA E-BANKING")</f>
        <v>BYR VIA E-BANKING</v>
      </c>
      <c r="C118" s="3" t="str">
        <f>IFERROR(__xludf.DUMMYFUNCTION("""COMPUTED_VALUE"""),"23/08  WSID9503102 1220 TELKOMSEL 82131900513 MUHAMMAD HAIRUL MA")</f>
        <v>23/08  WSID9503102 1220 TELKOMSEL 82131900513 MUHAMMAD HAIRUL MA</v>
      </c>
      <c r="D118" s="3">
        <f>IFERROR(__xludf.DUMMYFUNCTION("""COMPUTED_VALUE"""),52000.0)</f>
        <v>52000</v>
      </c>
      <c r="E118" s="3"/>
      <c r="F118" s="3"/>
      <c r="G118" s="3">
        <f>IFERROR(__xludf.DUMMYFUNCTION("""COMPUTED_VALUE"""),1.5419258857000005E8)</f>
        <v>154192588.6</v>
      </c>
      <c r="H118" s="3"/>
      <c r="I118" s="3" t="str">
        <f>IFERROR(__xludf.DUMMYFUNCTION("""COMPUTED_VALUE"""),"PRIBADI")</f>
        <v>PRIBADI</v>
      </c>
    </row>
    <row r="119">
      <c r="A119" s="7">
        <f>IFERROR(__xludf.DUMMYFUNCTION("""COMPUTED_VALUE"""),46257.0)</f>
        <v>46257</v>
      </c>
      <c r="B119" s="3" t="str">
        <f>IFERROR(__xludf.DUMMYFUNCTION("""COMPUTED_VALUE"""),"TARIKAN ATM 23/08")</f>
        <v>TARIKAN ATM 23/08</v>
      </c>
      <c r="C119" s="3" t="str">
        <f>IFERROR(__xludf.DUMMYFUNCTION("""COMPUTED_VALUE"""),"TARIKAN ATM 23/08")</f>
        <v>TARIKAN ATM 23/08</v>
      </c>
      <c r="D119" s="3">
        <f>IFERROR(__xludf.DUMMYFUNCTION("""COMPUTED_VALUE"""),1700000.0)</f>
        <v>1700000</v>
      </c>
      <c r="E119" s="3"/>
      <c r="F119" s="3"/>
      <c r="G119" s="3">
        <f>IFERROR(__xludf.DUMMYFUNCTION("""COMPUTED_VALUE"""),3.2126344857000005E8)</f>
        <v>321263448.6</v>
      </c>
      <c r="H119" s="3"/>
      <c r="I119" s="3" t="str">
        <f>IFERROR(__xludf.DUMMYFUNCTION("""COMPUTED_VALUE"""),"PRIBADI")</f>
        <v>PRIBADI</v>
      </c>
    </row>
    <row r="120">
      <c r="A120" s="7">
        <f>IFERROR(__xludf.DUMMYFUNCTION("""COMPUTED_VALUE"""),46258.0)</f>
        <v>46258</v>
      </c>
      <c r="B120" s="3" t="str">
        <f>IFERROR(__xludf.DUMMYFUNCTION("""COMPUTED_VALUE"""),"TRSF E-BANKING DB")</f>
        <v>TRSF E-BANKING DB</v>
      </c>
      <c r="C120" s="3" t="str">
        <f>IFERROR(__xludf.DUMMYFUNCTION("""COMPUTED_VALUE"""),"2408/FTSCY/WS95031 30000000.00 titip RODHIATUS SOLEHA")</f>
        <v>2408/FTSCY/WS95031 30000000.00 titip RODHIATUS SOLEHA</v>
      </c>
      <c r="D120" s="3">
        <f>IFERROR(__xludf.DUMMYFUNCTION("""COMPUTED_VALUE"""),3.0E7)</f>
        <v>30000000</v>
      </c>
      <c r="E120" s="3"/>
      <c r="F120" s="3" t="str">
        <f>IFERROR(__xludf.DUMMYFUNCTION("""COMPUTED_VALUE"""),"DB")</f>
        <v>DB</v>
      </c>
      <c r="G120" s="3">
        <f>IFERROR(__xludf.DUMMYFUNCTION("""COMPUTED_VALUE"""),4.2311544857000005E8)</f>
        <v>423115448.6</v>
      </c>
      <c r="H120" s="3"/>
      <c r="I120" s="3" t="str">
        <f>IFERROR(__xludf.DUMMYFUNCTION("""COMPUTED_VALUE"""),"PRIBADI")</f>
        <v>PRIBADI</v>
      </c>
    </row>
    <row r="121">
      <c r="A121" s="7">
        <f>IFERROR(__xludf.DUMMYFUNCTION("""COMPUTED_VALUE"""),46258.0)</f>
        <v>46258</v>
      </c>
      <c r="B121" s="3" t="str">
        <f>IFERROR(__xludf.DUMMYFUNCTION("""COMPUTED_VALUE"""),"TRSF E-BANKING DB")</f>
        <v>TRSF E-BANKING DB</v>
      </c>
      <c r="C121" s="3" t="str">
        <f>IFERROR(__xludf.DUMMYFUNCTION("""COMPUTED_VALUE"""),"2408/FTSCY/WS95271 119670720.00 Sat Aug 22 2026 14:00:00 GMT+0700 (Western Indonesia Time) RIZKY ANANDA PUTRI")</f>
        <v>2408/FTSCY/WS95271 119670720.00 Sat Aug 22 2026 14:00:00 GMT+0700 (Western Indonesia Time) RIZKY ANANDA PUTRI</v>
      </c>
      <c r="D121" s="3">
        <f>IFERROR(__xludf.DUMMYFUNCTION("""COMPUTED_VALUE"""),1.1967072E8)</f>
        <v>119670720</v>
      </c>
      <c r="E121" s="3"/>
      <c r="F121" s="3" t="str">
        <f>IFERROR(__xludf.DUMMYFUNCTION("""COMPUTED_VALUE"""),"DB")</f>
        <v>DB</v>
      </c>
      <c r="G121" s="3">
        <f>IFERROR(__xludf.DUMMYFUNCTION("""COMPUTED_VALUE"""),3.0344472857000005E8)</f>
        <v>303444728.6</v>
      </c>
      <c r="H121" s="3"/>
      <c r="I121" s="3" t="str">
        <f>IFERROR(__xludf.DUMMYFUNCTION("""COMPUTED_VALUE"""),"PRIBADI")</f>
        <v>PRIBADI</v>
      </c>
    </row>
    <row r="122">
      <c r="A122" s="7">
        <f>IFERROR(__xludf.DUMMYFUNCTION("""COMPUTED_VALUE"""),46258.0)</f>
        <v>46258</v>
      </c>
      <c r="B122" s="3" t="str">
        <f>IFERROR(__xludf.DUMMYFUNCTION("""COMPUTED_VALUE"""),"TRSF E-BANKING DB")</f>
        <v>TRSF E-BANKING DB</v>
      </c>
      <c r="C122" s="3" t="str">
        <f>IFERROR(__xludf.DUMMYFUNCTION("""COMPUTED_VALUE"""),"2408/FTSCY/WS95271 63000000.00 pacitan 3 ton PRIMA JAYA BERSATU")</f>
        <v>2408/FTSCY/WS95271 63000000.00 pacitan 3 ton PRIMA JAYA BERSATU</v>
      </c>
      <c r="D122" s="3">
        <f>IFERROR(__xludf.DUMMYFUNCTION("""COMPUTED_VALUE"""),6.3E7)</f>
        <v>63000000</v>
      </c>
      <c r="E122" s="3"/>
      <c r="F122" s="3" t="str">
        <f>IFERROR(__xludf.DUMMYFUNCTION("""COMPUTED_VALUE"""),"DB")</f>
        <v>DB</v>
      </c>
      <c r="G122" s="3">
        <f>IFERROR(__xludf.DUMMYFUNCTION("""COMPUTED_VALUE"""),2.4044472857000005E8)</f>
        <v>240444728.6</v>
      </c>
      <c r="H122" s="3"/>
      <c r="I122" s="3" t="str">
        <f>IFERROR(__xludf.DUMMYFUNCTION("""COMPUTED_VALUE"""),"PRIBADI")</f>
        <v>PRIBADI</v>
      </c>
    </row>
    <row r="123">
      <c r="A123" s="7">
        <f>IFERROR(__xludf.DUMMYFUNCTION("""COMPUTED_VALUE"""),46258.0)</f>
        <v>46258</v>
      </c>
      <c r="B123" s="3" t="str">
        <f>IFERROR(__xludf.DUMMYFUNCTION("""COMPUTED_VALUE"""),"TRSF E-BANKING DB")</f>
        <v>TRSF E-BANKING DB</v>
      </c>
      <c r="C123" s="3" t="str">
        <f>IFERROR(__xludf.DUMMYFUNCTION("""COMPUTED_VALUE"""),"2408/FTSCY/WS95271 85150380.00 kd solihun LAWU ABADI NUSA PT")</f>
        <v>2408/FTSCY/WS95271 85150380.00 kd solihun LAWU ABADI NUSA PT</v>
      </c>
      <c r="D123" s="3">
        <f>IFERROR(__xludf.DUMMYFUNCTION("""COMPUTED_VALUE"""),8.515038E7)</f>
        <v>85150380</v>
      </c>
      <c r="E123" s="3"/>
      <c r="F123" s="3" t="str">
        <f>IFERROR(__xludf.DUMMYFUNCTION("""COMPUTED_VALUE"""),"DB")</f>
        <v>DB</v>
      </c>
      <c r="G123" s="3">
        <f>IFERROR(__xludf.DUMMYFUNCTION("""COMPUTED_VALUE"""),1.5529434857000005E8)</f>
        <v>155294348.6</v>
      </c>
      <c r="H123" s="3">
        <f>IFERROR(__xludf.DUMMYFUNCTION("""COMPUTED_VALUE"""),1.5529434857E8)</f>
        <v>155294348.6</v>
      </c>
      <c r="I123" s="3" t="str">
        <f>IFERROR(__xludf.DUMMYFUNCTION("""COMPUTED_VALUE"""),"PRIBADI")</f>
        <v>PRIBADI</v>
      </c>
    </row>
    <row r="124">
      <c r="A124" s="7">
        <f>IFERROR(__xludf.DUMMYFUNCTION("""COMPUTED_VALUE"""),46258.0)</f>
        <v>46258</v>
      </c>
      <c r="B124" s="3" t="str">
        <f>IFERROR(__xludf.DUMMYFUNCTION("""COMPUTED_VALUE"""),"TRSF E-BANKING DB")</f>
        <v>TRSF E-BANKING DB</v>
      </c>
      <c r="C124" s="3" t="str">
        <f>IFERROR(__xludf.DUMMYFUNCTION("""COMPUTED_VALUE"""),"2408/FTSCY/WS95031 67242000.00 Sat Aug 22 2026 14:00:00 GMT+0700 (Western Indonesia Time) BINTANG TAMA SANTO")</f>
        <v>2408/FTSCY/WS95031 67242000.00 Sat Aug 22 2026 14:00:00 GMT+0700 (Western Indonesia Time) BINTANG TAMA SANTO</v>
      </c>
      <c r="D124" s="3">
        <f>IFERROR(__xludf.DUMMYFUNCTION("""COMPUTED_VALUE"""),6.7242E7)</f>
        <v>67242000</v>
      </c>
      <c r="E124" s="3"/>
      <c r="F124" s="3" t="str">
        <f>IFERROR(__xludf.DUMMYFUNCTION("""COMPUTED_VALUE"""),"DB")</f>
        <v>DB</v>
      </c>
      <c r="G124" s="3">
        <f>IFERROR(__xludf.DUMMYFUNCTION("""COMPUTED_VALUE"""),8.805234857000005E7)</f>
        <v>88052348.57</v>
      </c>
      <c r="H124" s="3">
        <f>IFERROR(__xludf.DUMMYFUNCTION("""COMPUTED_VALUE"""),8.805234857E7)</f>
        <v>88052348.57</v>
      </c>
      <c r="I124" s="3" t="str">
        <f>IFERROR(__xludf.DUMMYFUNCTION("""COMPUTED_VALUE"""),"PRIBADI")</f>
        <v>PRIBADI</v>
      </c>
    </row>
    <row r="125">
      <c r="A125" s="7">
        <f>IFERROR(__xludf.DUMMYFUNCTION("""COMPUTED_VALUE"""),46258.0)</f>
        <v>46258</v>
      </c>
      <c r="B125" s="3" t="str">
        <f>IFERROR(__xludf.DUMMYFUNCTION("""COMPUTED_VALUE"""),"TARIKAN ATM 24/08")</f>
        <v>TARIKAN ATM 24/08</v>
      </c>
      <c r="C125" s="3" t="str">
        <f>IFERROR(__xludf.DUMMYFUNCTION("""COMPUTED_VALUE"""),"TARIKAN ATM 24/08")</f>
        <v>TARIKAN ATM 24/08</v>
      </c>
      <c r="D125" s="3">
        <f>IFERROR(__xludf.DUMMYFUNCTION("""COMPUTED_VALUE"""),250000.0)</f>
        <v>250000</v>
      </c>
      <c r="E125" s="3"/>
      <c r="F125" s="3"/>
      <c r="G125" s="3">
        <f>IFERROR(__xludf.DUMMYFUNCTION("""COMPUTED_VALUE"""),2.2438865857000005E8)</f>
        <v>224388658.6</v>
      </c>
      <c r="H125" s="3"/>
      <c r="I125" s="3" t="str">
        <f>IFERROR(__xludf.DUMMYFUNCTION("""COMPUTED_VALUE"""),"PRIBADI")</f>
        <v>PRIBADI</v>
      </c>
    </row>
    <row r="126">
      <c r="A126" s="7">
        <f>IFERROR(__xludf.DUMMYFUNCTION("""COMPUTED_VALUE"""),46258.0)</f>
        <v>46258</v>
      </c>
      <c r="B126" s="3" t="str">
        <f>IFERROR(__xludf.DUMMYFUNCTION("""COMPUTED_VALUE"""),"TRSF E-BANKING DB")</f>
        <v>TRSF E-BANKING DB</v>
      </c>
      <c r="C126" s="3" t="str">
        <f>IFERROR(__xludf.DUMMYFUNCTION("""COMPUTED_VALUE"""),"2408/FTSCY/WS95271 31694080.00 lunas RODHIATUS SOLEHA")</f>
        <v>2408/FTSCY/WS95271 31694080.00 lunas RODHIATUS SOLEHA</v>
      </c>
      <c r="D126" s="3">
        <f>IFERROR(__xludf.DUMMYFUNCTION("""COMPUTED_VALUE"""),3.169408E7)</f>
        <v>31694080</v>
      </c>
      <c r="E126" s="3"/>
      <c r="F126" s="3" t="str">
        <f>IFERROR(__xludf.DUMMYFUNCTION("""COMPUTED_VALUE"""),"DB")</f>
        <v>DB</v>
      </c>
      <c r="G126" s="3">
        <f>IFERROR(__xludf.DUMMYFUNCTION("""COMPUTED_VALUE"""),2.6947457857000005E8)</f>
        <v>269474578.6</v>
      </c>
      <c r="H126" s="3"/>
      <c r="I126" s="3" t="str">
        <f>IFERROR(__xludf.DUMMYFUNCTION("""COMPUTED_VALUE"""),"PRIBADI")</f>
        <v>PRIBADI</v>
      </c>
    </row>
    <row r="127">
      <c r="A127" s="7">
        <f>IFERROR(__xludf.DUMMYFUNCTION("""COMPUTED_VALUE"""),46258.0)</f>
        <v>46258</v>
      </c>
      <c r="B127" s="3" t="str">
        <f>IFERROR(__xludf.DUMMYFUNCTION("""COMPUTED_VALUE"""),"TRSF E-BANKING DB")</f>
        <v>TRSF E-BANKING DB</v>
      </c>
      <c r="C127" s="3" t="str">
        <f>IFERROR(__xludf.DUMMYFUNCTION("""COMPUTED_VALUE"""),"2408/FTSCY/WS95031 2000000.00 RODHIATUS SOLEHA")</f>
        <v>2408/FTSCY/WS95031 2000000.00 RODHIATUS SOLEHA</v>
      </c>
      <c r="D127" s="3">
        <f>IFERROR(__xludf.DUMMYFUNCTION("""COMPUTED_VALUE"""),2000000.0)</f>
        <v>2000000</v>
      </c>
      <c r="E127" s="3"/>
      <c r="F127" s="3" t="str">
        <f>IFERROR(__xludf.DUMMYFUNCTION("""COMPUTED_VALUE"""),"DB")</f>
        <v>DB</v>
      </c>
      <c r="G127" s="3">
        <f>IFERROR(__xludf.DUMMYFUNCTION("""COMPUTED_VALUE"""),2.6747457857000005E8)</f>
        <v>267474578.6</v>
      </c>
      <c r="H127" s="3"/>
      <c r="I127" s="3" t="str">
        <f>IFERROR(__xludf.DUMMYFUNCTION("""COMPUTED_VALUE"""),"PRIBADI")</f>
        <v>PRIBADI</v>
      </c>
    </row>
    <row r="128">
      <c r="A128" s="7">
        <f>IFERROR(__xludf.DUMMYFUNCTION("""COMPUTED_VALUE"""),46258.0)</f>
        <v>46258</v>
      </c>
      <c r="B128" s="3" t="str">
        <f>IFERROR(__xludf.DUMMYFUNCTION("""COMPUTED_VALUE"""),"TRSF E-BANKING DB")</f>
        <v>TRSF E-BANKING DB</v>
      </c>
      <c r="C128" s="3" t="str">
        <f>IFERROR(__xludf.DUMMYFUNCTION("""COMPUTED_VALUE"""),"2408/FTSCY/WS95011 107721350.00 Lunas BERLIAN UNGGUL JAY")</f>
        <v>2408/FTSCY/WS95011 107721350.00 Lunas BERLIAN UNGGUL JAY</v>
      </c>
      <c r="D128" s="3">
        <f>IFERROR(__xludf.DUMMYFUNCTION("""COMPUTED_VALUE"""),1.0772135E8)</f>
        <v>107721350</v>
      </c>
      <c r="E128" s="3"/>
      <c r="F128" s="3" t="str">
        <f>IFERROR(__xludf.DUMMYFUNCTION("""COMPUTED_VALUE"""),"DB")</f>
        <v>DB</v>
      </c>
      <c r="G128" s="3">
        <f>IFERROR(__xludf.DUMMYFUNCTION("""COMPUTED_VALUE"""),1.5975322857000005E8)</f>
        <v>159753228.6</v>
      </c>
      <c r="H128" s="3"/>
      <c r="I128" s="3" t="str">
        <f>IFERROR(__xludf.DUMMYFUNCTION("""COMPUTED_VALUE"""),"PRIBADI")</f>
        <v>PRIBADI</v>
      </c>
    </row>
    <row r="129">
      <c r="A129" s="7">
        <f>IFERROR(__xludf.DUMMYFUNCTION("""COMPUTED_VALUE"""),46258.0)</f>
        <v>46258</v>
      </c>
      <c r="B129" s="3" t="str">
        <f>IFERROR(__xludf.DUMMYFUNCTION("""COMPUTED_VALUE"""),"TRSF E-BANKING DB")</f>
        <v>TRSF E-BANKING DB</v>
      </c>
      <c r="C129" s="3" t="str">
        <f>IFERROR(__xludf.DUMMYFUNCTION("""COMPUTED_VALUE"""),"2408/FTSCY/WS95011 31100000.00 Krg 20 jt EKO SETIYAWAN")</f>
        <v>2408/FTSCY/WS95011 31100000.00 Krg 20 jt EKO SETIYAWAN</v>
      </c>
      <c r="D129" s="3">
        <f>IFERROR(__xludf.DUMMYFUNCTION("""COMPUTED_VALUE"""),3.11E7)</f>
        <v>31100000</v>
      </c>
      <c r="E129" s="3"/>
      <c r="F129" s="3" t="str">
        <f>IFERROR(__xludf.DUMMYFUNCTION("""COMPUTED_VALUE"""),"DB")</f>
        <v>DB</v>
      </c>
      <c r="G129" s="3">
        <f>IFERROR(__xludf.DUMMYFUNCTION("""COMPUTED_VALUE"""),7.1037668857E8)</f>
        <v>710376688.6</v>
      </c>
      <c r="H129" s="3">
        <f>IFERROR(__xludf.DUMMYFUNCTION("""COMPUTED_VALUE"""),7.1037668857E8)</f>
        <v>710376688.6</v>
      </c>
      <c r="I129" s="3" t="str">
        <f>IFERROR(__xludf.DUMMYFUNCTION("""COMPUTED_VALUE"""),"PRIBADI")</f>
        <v>PRIBADI</v>
      </c>
    </row>
    <row r="130">
      <c r="A130" s="7">
        <f>IFERROR(__xludf.DUMMYFUNCTION("""COMPUTED_VALUE"""),46258.0)</f>
        <v>46258</v>
      </c>
      <c r="B130" s="3" t="str">
        <f>IFERROR(__xludf.DUMMYFUNCTION("""COMPUTED_VALUE"""),"TRSF E-BANKING DB")</f>
        <v>TRSF E-BANKING DB</v>
      </c>
      <c r="C130" s="3" t="str">
        <f>IFERROR(__xludf.DUMMYFUNCTION("""COMPUTED_VALUE"""),"2408/FTSCY/WS95011 224386400.00 Sat Aug 22 2026 14:00:00 GMT+0700 (Western Indonesia Time) LAJU SATWA WISESA")</f>
        <v>2408/FTSCY/WS95011 224386400.00 Sat Aug 22 2026 14:00:00 GMT+0700 (Western Indonesia Time) LAJU SATWA WISESA</v>
      </c>
      <c r="D130" s="3">
        <f>IFERROR(__xludf.DUMMYFUNCTION("""COMPUTED_VALUE"""),2.243864E8)</f>
        <v>224386400</v>
      </c>
      <c r="E130" s="3"/>
      <c r="F130" s="3" t="str">
        <f>IFERROR(__xludf.DUMMYFUNCTION("""COMPUTED_VALUE"""),"DB")</f>
        <v>DB</v>
      </c>
      <c r="G130" s="3">
        <f>IFERROR(__xludf.DUMMYFUNCTION("""COMPUTED_VALUE"""),4.8599028857000005E8)</f>
        <v>485990288.6</v>
      </c>
      <c r="H130" s="3"/>
      <c r="I130" s="3" t="str">
        <f>IFERROR(__xludf.DUMMYFUNCTION("""COMPUTED_VALUE"""),"PRIBADI")</f>
        <v>PRIBADI</v>
      </c>
    </row>
    <row r="131">
      <c r="A131" s="7">
        <f>IFERROR(__xludf.DUMMYFUNCTION("""COMPUTED_VALUE"""),46258.0)</f>
        <v>46258</v>
      </c>
      <c r="B131" s="3" t="str">
        <f>IFERROR(__xludf.DUMMYFUNCTION("""COMPUTED_VALUE"""),"TRSF E-BANKING DB")</f>
        <v>TRSF E-BANKING DB</v>
      </c>
      <c r="C131" s="3" t="str">
        <f>IFERROR(__xludf.DUMMYFUNCTION("""COMPUTED_VALUE"""),"2408/FTSCY/WS95011 118475500.00 Sat Aug 22 2026 14:00:00 GMT+0700 (Western Indonesia Time) BROILER MAKMUR TAN")</f>
        <v>2408/FTSCY/WS95011 118475500.00 Sat Aug 22 2026 14:00:00 GMT+0700 (Western Indonesia Time) BROILER MAKMUR TAN</v>
      </c>
      <c r="D131" s="3">
        <f>IFERROR(__xludf.DUMMYFUNCTION("""COMPUTED_VALUE"""),1.184755E8)</f>
        <v>118475500</v>
      </c>
      <c r="E131" s="3"/>
      <c r="F131" s="3" t="str">
        <f>IFERROR(__xludf.DUMMYFUNCTION("""COMPUTED_VALUE"""),"DB")</f>
        <v>DB</v>
      </c>
      <c r="G131" s="3">
        <f>IFERROR(__xludf.DUMMYFUNCTION("""COMPUTED_VALUE"""),3.6751478857000005E8)</f>
        <v>367514788.6</v>
      </c>
      <c r="H131" s="3"/>
      <c r="I131" s="3" t="str">
        <f>IFERROR(__xludf.DUMMYFUNCTION("""COMPUTED_VALUE"""),"PRIBADI")</f>
        <v>PRIBADI</v>
      </c>
    </row>
    <row r="132">
      <c r="A132" s="7">
        <f>IFERROR(__xludf.DUMMYFUNCTION("""COMPUTED_VALUE"""),46258.0)</f>
        <v>46258</v>
      </c>
      <c r="B132" s="3" t="str">
        <f>IFERROR(__xludf.DUMMYFUNCTION("""COMPUTED_VALUE"""),"TRSF E-BANKING DB")</f>
        <v>TRSF E-BANKING DB</v>
      </c>
      <c r="C132" s="3" t="str">
        <f>IFERROR(__xludf.DUMMYFUNCTION("""COMPUTED_VALUE"""),"2408/FTSCY/WS95011 941920.00 Pelunasan LAWU ABADI NUSA PT")</f>
        <v>2408/FTSCY/WS95011 941920.00 Pelunasan LAWU ABADI NUSA PT</v>
      </c>
      <c r="D132" s="3">
        <f>IFERROR(__xludf.DUMMYFUNCTION("""COMPUTED_VALUE"""),941920.0)</f>
        <v>941920</v>
      </c>
      <c r="E132" s="3"/>
      <c r="F132" s="3" t="str">
        <f>IFERROR(__xludf.DUMMYFUNCTION("""COMPUTED_VALUE"""),"DB")</f>
        <v>DB</v>
      </c>
      <c r="G132" s="3">
        <f>IFERROR(__xludf.DUMMYFUNCTION("""COMPUTED_VALUE"""),3.6657286857000005E8)</f>
        <v>366572868.6</v>
      </c>
      <c r="H132" s="3"/>
      <c r="I132" s="3" t="str">
        <f>IFERROR(__xludf.DUMMYFUNCTION("""COMPUTED_VALUE"""),"PRIBADI")</f>
        <v>PRIBADI</v>
      </c>
    </row>
    <row r="133">
      <c r="A133" s="7">
        <f>IFERROR(__xludf.DUMMYFUNCTION("""COMPUTED_VALUE"""),46258.0)</f>
        <v>46258</v>
      </c>
      <c r="B133" s="3" t="str">
        <f>IFERROR(__xludf.DUMMYFUNCTION("""COMPUTED_VALUE"""),"TRSF E-BANKING DB")</f>
        <v>TRSF E-BANKING DB</v>
      </c>
      <c r="C133" s="3" t="str">
        <f>IFERROR(__xludf.DUMMYFUNCTION("""COMPUTED_VALUE"""),"2408/FTSCY/WS95011 2740000.00 Pelunasan BINTANG TAMA SANTO")</f>
        <v>2408/FTSCY/WS95011 2740000.00 Pelunasan BINTANG TAMA SANTO</v>
      </c>
      <c r="D133" s="3">
        <f>IFERROR(__xludf.DUMMYFUNCTION("""COMPUTED_VALUE"""),2740000.0)</f>
        <v>2740000</v>
      </c>
      <c r="E133" s="3"/>
      <c r="F133" s="3" t="str">
        <f>IFERROR(__xludf.DUMMYFUNCTION("""COMPUTED_VALUE"""),"DB")</f>
        <v>DB</v>
      </c>
      <c r="G133" s="3">
        <f>IFERROR(__xludf.DUMMYFUNCTION("""COMPUTED_VALUE"""),3.6383286857000005E8)</f>
        <v>363832868.6</v>
      </c>
      <c r="H133" s="3"/>
      <c r="I133" s="3" t="str">
        <f>IFERROR(__xludf.DUMMYFUNCTION("""COMPUTED_VALUE"""),"PRIBADI")</f>
        <v>PRIBADI</v>
      </c>
    </row>
    <row r="134">
      <c r="A134" s="7">
        <f>IFERROR(__xludf.DUMMYFUNCTION("""COMPUTED_VALUE"""),46258.0)</f>
        <v>46258</v>
      </c>
      <c r="B134" s="3" t="str">
        <f>IFERROR(__xludf.DUMMYFUNCTION("""COMPUTED_VALUE"""),"TRSF E-BANKING DB")</f>
        <v>TRSF E-BANKING DB</v>
      </c>
      <c r="C134" s="3" t="str">
        <f>IFERROR(__xludf.DUMMYFUNCTION("""COMPUTED_VALUE"""),"2408/FTSCY/WS95011 4500000.00 BELA PRAMUDITA")</f>
        <v>2408/FTSCY/WS95011 4500000.00 BELA PRAMUDITA</v>
      </c>
      <c r="D134" s="3">
        <f>IFERROR(__xludf.DUMMYFUNCTION("""COMPUTED_VALUE"""),4500000.0)</f>
        <v>4500000</v>
      </c>
      <c r="E134" s="3"/>
      <c r="F134" s="3" t="str">
        <f>IFERROR(__xludf.DUMMYFUNCTION("""COMPUTED_VALUE"""),"DB")</f>
        <v>DB</v>
      </c>
      <c r="G134" s="3">
        <f>IFERROR(__xludf.DUMMYFUNCTION("""COMPUTED_VALUE"""),3.5933286857000005E8)</f>
        <v>359332868.6</v>
      </c>
      <c r="H134" s="3"/>
      <c r="I134" s="3" t="str">
        <f>IFERROR(__xludf.DUMMYFUNCTION("""COMPUTED_VALUE"""),"PRIBADI")</f>
        <v>PRIBADI</v>
      </c>
    </row>
    <row r="135">
      <c r="A135" s="7">
        <f>IFERROR(__xludf.DUMMYFUNCTION("""COMPUTED_VALUE"""),46258.0)</f>
        <v>46258</v>
      </c>
      <c r="B135" s="3" t="str">
        <f>IFERROR(__xludf.DUMMYFUNCTION("""COMPUTED_VALUE"""),"TRSF E-BANKING DB")</f>
        <v>TRSF E-BANKING DB</v>
      </c>
      <c r="C135" s="3" t="str">
        <f>IFERROR(__xludf.DUMMYFUNCTION("""COMPUTED_VALUE"""),"2408/FTSCY/WS95011 1300000.00 RIRIN")</f>
        <v>2408/FTSCY/WS95011 1300000.00 RIRIN</v>
      </c>
      <c r="D135" s="3">
        <f>IFERROR(__xludf.DUMMYFUNCTION("""COMPUTED_VALUE"""),1300000.0)</f>
        <v>1300000</v>
      </c>
      <c r="E135" s="3"/>
      <c r="F135" s="3" t="str">
        <f>IFERROR(__xludf.DUMMYFUNCTION("""COMPUTED_VALUE"""),"DB")</f>
        <v>DB</v>
      </c>
      <c r="G135" s="3">
        <f>IFERROR(__xludf.DUMMYFUNCTION("""COMPUTED_VALUE"""),3.5803286857000005E8)</f>
        <v>358032868.6</v>
      </c>
      <c r="H135" s="3"/>
      <c r="I135" s="3" t="str">
        <f>IFERROR(__xludf.DUMMYFUNCTION("""COMPUTED_VALUE"""),"PRIBADI")</f>
        <v>PRIBADI</v>
      </c>
    </row>
    <row r="136">
      <c r="A136" s="7">
        <f>IFERROR(__xludf.DUMMYFUNCTION("""COMPUTED_VALUE"""),46258.0)</f>
        <v>46258</v>
      </c>
      <c r="B136" s="3" t="str">
        <f>IFERROR(__xludf.DUMMYFUNCTION("""COMPUTED_VALUE"""),"BI-FAST DB")</f>
        <v>BI-FAST DB</v>
      </c>
      <c r="C136" s="3" t="str">
        <f>IFERROR(__xludf.DUMMYFUNCTION("""COMPUTED_VALUE"""),"BIF TRANSFER KE 9 AHMAD LUTHFI FADHI M-BCA")</f>
        <v>BIF TRANSFER KE 9 AHMAD LUTHFI FADHI M-BCA</v>
      </c>
      <c r="D136" s="3">
        <f>IFERROR(__xludf.DUMMYFUNCTION("""COMPUTED_VALUE"""),45000.0)</f>
        <v>45000</v>
      </c>
      <c r="E136" s="3"/>
      <c r="F136" s="3" t="str">
        <f>IFERROR(__xludf.DUMMYFUNCTION("""COMPUTED_VALUE"""),"DB")</f>
        <v>DB</v>
      </c>
      <c r="G136" s="3">
        <f>IFERROR(__xludf.DUMMYFUNCTION("""COMPUTED_VALUE"""),3.5798786857000005E8)</f>
        <v>357987868.6</v>
      </c>
      <c r="H136" s="3"/>
      <c r="I136" s="3" t="str">
        <f>IFERROR(__xludf.DUMMYFUNCTION("""COMPUTED_VALUE"""),"PRIBADI")</f>
        <v>PRIBADI</v>
      </c>
    </row>
    <row r="137">
      <c r="A137" s="7">
        <f>IFERROR(__xludf.DUMMYFUNCTION("""COMPUTED_VALUE"""),46258.0)</f>
        <v>46258</v>
      </c>
      <c r="B137" s="3" t="str">
        <f>IFERROR(__xludf.DUMMYFUNCTION("""COMPUTED_VALUE"""),"BI-FAST DB")</f>
        <v>BI-FAST DB</v>
      </c>
      <c r="C137" s="3" t="str">
        <f>IFERROR(__xludf.DUMMYFUNCTION("""COMPUTED_VALUE"""),"BIF BIAYA TXN KE 9 AHMAD LUTHFI FADHI M-BCA")</f>
        <v>BIF BIAYA TXN KE 9 AHMAD LUTHFI FADHI M-BCA</v>
      </c>
      <c r="D137" s="3">
        <f>IFERROR(__xludf.DUMMYFUNCTION("""COMPUTED_VALUE"""),2500.0)</f>
        <v>2500</v>
      </c>
      <c r="E137" s="3"/>
      <c r="F137" s="3" t="str">
        <f>IFERROR(__xludf.DUMMYFUNCTION("""COMPUTED_VALUE"""),"DB")</f>
        <v>DB</v>
      </c>
      <c r="G137" s="3">
        <f>IFERROR(__xludf.DUMMYFUNCTION("""COMPUTED_VALUE"""),3.5798536857000005E8)</f>
        <v>357985368.6</v>
      </c>
      <c r="H137" s="3">
        <f>IFERROR(__xludf.DUMMYFUNCTION("""COMPUTED_VALUE"""),3.5798536857E8)</f>
        <v>357985368.6</v>
      </c>
      <c r="I137" s="3" t="str">
        <f>IFERROR(__xludf.DUMMYFUNCTION("""COMPUTED_VALUE"""),"PRIBADI")</f>
        <v>PRIBADI</v>
      </c>
    </row>
    <row r="138">
      <c r="A138" s="7">
        <f>IFERROR(__xludf.DUMMYFUNCTION("""COMPUTED_VALUE"""),46259.0)</f>
        <v>46259</v>
      </c>
      <c r="B138" s="3" t="str">
        <f>IFERROR(__xludf.DUMMYFUNCTION("""COMPUTED_VALUE"""),"TRSF E-BANKING DB")</f>
        <v>TRSF E-BANKING DB</v>
      </c>
      <c r="C138" s="3" t="str">
        <f>IFERROR(__xludf.DUMMYFUNCTION("""COMPUTED_VALUE"""),"2508/FTSCY/WS95011 125011260.00 Sat Aug 22 2026 14:00:00 GMT+0700 (Western Indonesia Time) ANDALAN YASA MITRA")</f>
        <v>2508/FTSCY/WS95011 125011260.00 Sat Aug 22 2026 14:00:00 GMT+0700 (Western Indonesia Time) ANDALAN YASA MITRA</v>
      </c>
      <c r="D138" s="3">
        <f>IFERROR(__xludf.DUMMYFUNCTION("""COMPUTED_VALUE"""),1.2501126E8)</f>
        <v>125011260</v>
      </c>
      <c r="E138" s="3"/>
      <c r="F138" s="3" t="str">
        <f>IFERROR(__xludf.DUMMYFUNCTION("""COMPUTED_VALUE"""),"DB")</f>
        <v>DB</v>
      </c>
      <c r="G138" s="3">
        <f>IFERROR(__xludf.DUMMYFUNCTION("""COMPUTED_VALUE"""),5.6736102857E8)</f>
        <v>567361028.6</v>
      </c>
      <c r="H138" s="3"/>
      <c r="I138" s="3" t="str">
        <f>IFERROR(__xludf.DUMMYFUNCTION("""COMPUTED_VALUE"""),"PRIBADI")</f>
        <v>PRIBADI</v>
      </c>
    </row>
    <row r="139">
      <c r="A139" s="7">
        <f>IFERROR(__xludf.DUMMYFUNCTION("""COMPUTED_VALUE"""),46259.0)</f>
        <v>46259</v>
      </c>
      <c r="B139" s="3" t="str">
        <f>IFERROR(__xludf.DUMMYFUNCTION("""COMPUTED_VALUE"""),"TRSF E-BANKING DB")</f>
        <v>TRSF E-BANKING DB</v>
      </c>
      <c r="C139" s="3" t="str">
        <f>IFERROR(__xludf.DUMMYFUNCTION("""COMPUTED_VALUE"""),"2508/FTSCY/WS95011 203209250.00 Sat Aug 22 2026 14:00:00 GMT+0700 (Western Indonesia Time) BINTANG TAMA SANTO")</f>
        <v>2508/FTSCY/WS95011 203209250.00 Sat Aug 22 2026 14:00:00 GMT+0700 (Western Indonesia Time) BINTANG TAMA SANTO</v>
      </c>
      <c r="D139" s="3">
        <f>IFERROR(__xludf.DUMMYFUNCTION("""COMPUTED_VALUE"""),2.0320925E8)</f>
        <v>203209250</v>
      </c>
      <c r="E139" s="3"/>
      <c r="F139" s="3" t="str">
        <f>IFERROR(__xludf.DUMMYFUNCTION("""COMPUTED_VALUE"""),"DB")</f>
        <v>DB</v>
      </c>
      <c r="G139" s="3">
        <f>IFERROR(__xludf.DUMMYFUNCTION("""COMPUTED_VALUE"""),3.6415177857000005E8)</f>
        <v>364151778.6</v>
      </c>
      <c r="H139" s="3"/>
      <c r="I139" s="3" t="str">
        <f>IFERROR(__xludf.DUMMYFUNCTION("""COMPUTED_VALUE"""),"PRIBADI")</f>
        <v>PRIBADI</v>
      </c>
    </row>
    <row r="140">
      <c r="A140" s="7">
        <f>IFERROR(__xludf.DUMMYFUNCTION("""COMPUTED_VALUE"""),46259.0)</f>
        <v>46259</v>
      </c>
      <c r="B140" s="3" t="str">
        <f>IFERROR(__xludf.DUMMYFUNCTION("""COMPUTED_VALUE"""),"TRSF E-BANKING DB")</f>
        <v>TRSF E-BANKING DB</v>
      </c>
      <c r="C140" s="3" t="str">
        <f>IFERROR(__xludf.DUMMYFUNCTION("""COMPUTED_VALUE"""),"2508/FTSCY/WS95011 60427900.00 Sun Aug 23 2026 14:00:00 GMT+0700 (Western Indonesia Time) ANUGERAH KARTIKA A")</f>
        <v>2508/FTSCY/WS95011 60427900.00 Sun Aug 23 2026 14:00:00 GMT+0700 (Western Indonesia Time) ANUGERAH KARTIKA A</v>
      </c>
      <c r="D140" s="3">
        <f>IFERROR(__xludf.DUMMYFUNCTION("""COMPUTED_VALUE"""),6.04279E7)</f>
        <v>60427900</v>
      </c>
      <c r="E140" s="3"/>
      <c r="F140" s="3" t="str">
        <f>IFERROR(__xludf.DUMMYFUNCTION("""COMPUTED_VALUE"""),"DB")</f>
        <v>DB</v>
      </c>
      <c r="G140" s="3">
        <f>IFERROR(__xludf.DUMMYFUNCTION("""COMPUTED_VALUE"""),3.0372387857000005E8)</f>
        <v>303723878.6</v>
      </c>
      <c r="H140" s="3">
        <f>IFERROR(__xludf.DUMMYFUNCTION("""COMPUTED_VALUE"""),3.0372387857E8)</f>
        <v>303723878.6</v>
      </c>
      <c r="I140" s="3" t="str">
        <f>IFERROR(__xludf.DUMMYFUNCTION("""COMPUTED_VALUE"""),"PRIBADI")</f>
        <v>PRIBADI</v>
      </c>
    </row>
    <row r="141">
      <c r="A141" s="7">
        <f>IFERROR(__xludf.DUMMYFUNCTION("""COMPUTED_VALUE"""),46259.0)</f>
        <v>46259</v>
      </c>
      <c r="B141" s="3" t="str">
        <f>IFERROR(__xludf.DUMMYFUNCTION("""COMPUTED_VALUE"""),"TRSF E-BANKING DB")</f>
        <v>TRSF E-BANKING DB</v>
      </c>
      <c r="C141" s="3" t="str">
        <f>IFERROR(__xludf.DUMMYFUNCTION("""COMPUTED_VALUE"""),"2508/FTSCY/WS95011 64521500.00 Sat Aug 22 2026 14:00:00 GMT+0700 (Western Indonesia Time) BROILER MAKMUR TAN")</f>
        <v>2508/FTSCY/WS95011 64521500.00 Sat Aug 22 2026 14:00:00 GMT+0700 (Western Indonesia Time) BROILER MAKMUR TAN</v>
      </c>
      <c r="D141" s="3">
        <f>IFERROR(__xludf.DUMMYFUNCTION("""COMPUTED_VALUE"""),6.45215E7)</f>
        <v>64521500</v>
      </c>
      <c r="E141" s="3"/>
      <c r="F141" s="3" t="str">
        <f>IFERROR(__xludf.DUMMYFUNCTION("""COMPUTED_VALUE"""),"DB")</f>
        <v>DB</v>
      </c>
      <c r="G141" s="3">
        <f>IFERROR(__xludf.DUMMYFUNCTION("""COMPUTED_VALUE"""),2.3920237857000005E8)</f>
        <v>239202378.6</v>
      </c>
      <c r="H141" s="3">
        <f>IFERROR(__xludf.DUMMYFUNCTION("""COMPUTED_VALUE"""),2.3920237857E8)</f>
        <v>239202378.6</v>
      </c>
      <c r="I141" s="3" t="str">
        <f>IFERROR(__xludf.DUMMYFUNCTION("""COMPUTED_VALUE"""),"PRIBADI")</f>
        <v>PRIBADI</v>
      </c>
    </row>
    <row r="142">
      <c r="A142" s="7">
        <f>IFERROR(__xludf.DUMMYFUNCTION("""COMPUTED_VALUE"""),46259.0)</f>
        <v>46259</v>
      </c>
      <c r="B142" s="3" t="str">
        <f>IFERROR(__xludf.DUMMYFUNCTION("""COMPUTED_VALUE"""),"TRSF E-BANKING DB")</f>
        <v>TRSF E-BANKING DB</v>
      </c>
      <c r="C142" s="3" t="str">
        <f>IFERROR(__xludf.DUMMYFUNCTION("""COMPUTED_VALUE"""),"2508/FTSCY/WS95011 46829400.00 Sat Aug 22 2026 14:00:00 GMT+0700 (Western Indonesia Time) LAJU SATWA WISESA")</f>
        <v>2508/FTSCY/WS95011 46829400.00 Sat Aug 22 2026 14:00:00 GMT+0700 (Western Indonesia Time) LAJU SATWA WISESA</v>
      </c>
      <c r="D142" s="3">
        <f>IFERROR(__xludf.DUMMYFUNCTION("""COMPUTED_VALUE"""),4.68294E7)</f>
        <v>46829400</v>
      </c>
      <c r="E142" s="3"/>
      <c r="F142" s="3" t="str">
        <f>IFERROR(__xludf.DUMMYFUNCTION("""COMPUTED_VALUE"""),"DB")</f>
        <v>DB</v>
      </c>
      <c r="G142" s="3">
        <f>IFERROR(__xludf.DUMMYFUNCTION("""COMPUTED_VALUE"""),1.9237297857000005E8)</f>
        <v>192372978.6</v>
      </c>
      <c r="H142" s="3"/>
      <c r="I142" s="3" t="str">
        <f>IFERROR(__xludf.DUMMYFUNCTION("""COMPUTED_VALUE"""),"PRIBADI")</f>
        <v>PRIBADI</v>
      </c>
    </row>
    <row r="143">
      <c r="A143" s="7">
        <f>IFERROR(__xludf.DUMMYFUNCTION("""COMPUTED_VALUE"""),46259.0)</f>
        <v>46259</v>
      </c>
      <c r="B143" s="3" t="str">
        <f>IFERROR(__xludf.DUMMYFUNCTION("""COMPUTED_VALUE"""),"TRSF E-BANKING DB")</f>
        <v>TRSF E-BANKING DB</v>
      </c>
      <c r="C143" s="3" t="str">
        <f>IFERROR(__xludf.DUMMYFUNCTION("""COMPUTED_VALUE"""),"2508/FTSCY/WS95271 24895000.00 pelunasanny LAJU SATWA WISESA")</f>
        <v>2508/FTSCY/WS95271 24895000.00 pelunasanny LAJU SATWA WISESA</v>
      </c>
      <c r="D143" s="3">
        <f>IFERROR(__xludf.DUMMYFUNCTION("""COMPUTED_VALUE"""),2.4895E7)</f>
        <v>24895000</v>
      </c>
      <c r="E143" s="3"/>
      <c r="F143" s="3" t="str">
        <f>IFERROR(__xludf.DUMMYFUNCTION("""COMPUTED_VALUE"""),"DB")</f>
        <v>DB</v>
      </c>
      <c r="G143" s="3">
        <f>IFERROR(__xludf.DUMMYFUNCTION("""COMPUTED_VALUE"""),1.6747797857000005E8)</f>
        <v>167477978.6</v>
      </c>
      <c r="H143" s="3"/>
      <c r="I143" s="3" t="str">
        <f>IFERROR(__xludf.DUMMYFUNCTION("""COMPUTED_VALUE"""),"PRIBADI")</f>
        <v>PRIBADI</v>
      </c>
    </row>
    <row r="144">
      <c r="A144" s="7">
        <f>IFERROR(__xludf.DUMMYFUNCTION("""COMPUTED_VALUE"""),46259.0)</f>
        <v>46259</v>
      </c>
      <c r="B144" s="3" t="str">
        <f>IFERROR(__xludf.DUMMYFUNCTION("""COMPUTED_VALUE"""),"TRSF E-BANKING DB")</f>
        <v>TRSF E-BANKING DB</v>
      </c>
      <c r="C144" s="3" t="str">
        <f>IFERROR(__xludf.DUMMYFUNCTION("""COMPUTED_VALUE"""),"2508/FTSCY/WS95271 5621200.00 ENDAH NOVITA SARI")</f>
        <v>2508/FTSCY/WS95271 5621200.00 ENDAH NOVITA SARI</v>
      </c>
      <c r="D144" s="3">
        <f>IFERROR(__xludf.DUMMYFUNCTION("""COMPUTED_VALUE"""),5621200.0)</f>
        <v>5621200</v>
      </c>
      <c r="E144" s="3"/>
      <c r="F144" s="3" t="str">
        <f>IFERROR(__xludf.DUMMYFUNCTION("""COMPUTED_VALUE"""),"DB")</f>
        <v>DB</v>
      </c>
      <c r="G144" s="3">
        <f>IFERROR(__xludf.DUMMYFUNCTION("""COMPUTED_VALUE"""),1.6185677857000005E8)</f>
        <v>161856778.6</v>
      </c>
      <c r="H144" s="3"/>
      <c r="I144" s="3" t="str">
        <f>IFERROR(__xludf.DUMMYFUNCTION("""COMPUTED_VALUE"""),"PRIBADI")</f>
        <v>PRIBADI</v>
      </c>
    </row>
    <row r="145">
      <c r="A145" s="7">
        <f>IFERROR(__xludf.DUMMYFUNCTION("""COMPUTED_VALUE"""),46259.0)</f>
        <v>46259</v>
      </c>
      <c r="B145" s="3" t="str">
        <f>IFERROR(__xludf.DUMMYFUNCTION("""COMPUTED_VALUE"""),"TRSF E-BANKING DB")</f>
        <v>TRSF E-BANKING DB</v>
      </c>
      <c r="C145" s="3" t="str">
        <f>IFERROR(__xludf.DUMMYFUNCTION("""COMPUTED_VALUE"""),"2508/FTSCY/WS95271 131094250.00 kd retnowati nganj uk TABASSAM AL HATTAK")</f>
        <v>2508/FTSCY/WS95271 131094250.00 kd retnowati nganj uk TABASSAM AL HATTAK</v>
      </c>
      <c r="D145" s="3">
        <f>IFERROR(__xludf.DUMMYFUNCTION("""COMPUTED_VALUE"""),1.3109425E8)</f>
        <v>131094250</v>
      </c>
      <c r="E145" s="3"/>
      <c r="F145" s="3" t="str">
        <f>IFERROR(__xludf.DUMMYFUNCTION("""COMPUTED_VALUE"""),"DB")</f>
        <v>DB</v>
      </c>
      <c r="G145" s="3">
        <f>IFERROR(__xludf.DUMMYFUNCTION("""COMPUTED_VALUE"""),3.0762528570000052E7)</f>
        <v>30762528.57</v>
      </c>
      <c r="H145" s="3"/>
      <c r="I145" s="3" t="str">
        <f>IFERROR(__xludf.DUMMYFUNCTION("""COMPUTED_VALUE"""),"PRIBADI")</f>
        <v>PRIBADI</v>
      </c>
    </row>
    <row r="146">
      <c r="A146" s="7">
        <f>IFERROR(__xludf.DUMMYFUNCTION("""COMPUTED_VALUE"""),46259.0)</f>
        <v>46259</v>
      </c>
      <c r="B146" s="3" t="str">
        <f>IFERROR(__xludf.DUMMYFUNCTION("""COMPUTED_VALUE"""),"TRSF E-BANKING DB")</f>
        <v>TRSF E-BANKING DB</v>
      </c>
      <c r="C146" s="3" t="str">
        <f>IFERROR(__xludf.DUMMYFUNCTION("""COMPUTED_VALUE"""),"2508/FTSCY/WS95031 2400000.00 SUNARTO")</f>
        <v>2508/FTSCY/WS95031 2400000.00 SUNARTO</v>
      </c>
      <c r="D146" s="3">
        <f>IFERROR(__xludf.DUMMYFUNCTION("""COMPUTED_VALUE"""),2400000.0)</f>
        <v>2400000</v>
      </c>
      <c r="E146" s="3"/>
      <c r="F146" s="3" t="str">
        <f>IFERROR(__xludf.DUMMYFUNCTION("""COMPUTED_VALUE"""),"DB")</f>
        <v>DB</v>
      </c>
      <c r="G146" s="3">
        <f>IFERROR(__xludf.DUMMYFUNCTION("""COMPUTED_VALUE"""),2.8362528570000052E7)</f>
        <v>28362528.57</v>
      </c>
      <c r="H146" s="3"/>
      <c r="I146" s="3" t="str">
        <f>IFERROR(__xludf.DUMMYFUNCTION("""COMPUTED_VALUE"""),"PRIBADI")</f>
        <v>PRIBADI</v>
      </c>
    </row>
    <row r="147">
      <c r="A147" s="7">
        <f>IFERROR(__xludf.DUMMYFUNCTION("""COMPUTED_VALUE"""),46259.0)</f>
        <v>46259</v>
      </c>
      <c r="B147" s="3" t="str">
        <f>IFERROR(__xludf.DUMMYFUNCTION("""COMPUTED_VALUE"""),"TRSF E-BANKING DB")</f>
        <v>TRSF E-BANKING DB</v>
      </c>
      <c r="C147" s="3" t="str">
        <f>IFERROR(__xludf.DUMMYFUNCTION("""COMPUTED_VALUE"""),"2508/FTSCY/WS95031 3546300.00 FAJAR ANDREANZAH")</f>
        <v>2508/FTSCY/WS95031 3546300.00 FAJAR ANDREANZAH</v>
      </c>
      <c r="D147" s="3">
        <f>IFERROR(__xludf.DUMMYFUNCTION("""COMPUTED_VALUE"""),3546300.0)</f>
        <v>3546300</v>
      </c>
      <c r="E147" s="3"/>
      <c r="F147" s="3" t="str">
        <f>IFERROR(__xludf.DUMMYFUNCTION("""COMPUTED_VALUE"""),"DB")</f>
        <v>DB</v>
      </c>
      <c r="G147" s="3">
        <f>IFERROR(__xludf.DUMMYFUNCTION("""COMPUTED_VALUE"""),2.4816228570000052E7)</f>
        <v>24816228.57</v>
      </c>
      <c r="H147" s="3"/>
      <c r="I147" s="3" t="str">
        <f>IFERROR(__xludf.DUMMYFUNCTION("""COMPUTED_VALUE"""),"PRIBADI")</f>
        <v>PRIBADI</v>
      </c>
    </row>
    <row r="148">
      <c r="A148" s="7">
        <f>IFERROR(__xludf.DUMMYFUNCTION("""COMPUTED_VALUE"""),46259.0)</f>
        <v>46259</v>
      </c>
      <c r="B148" s="3" t="str">
        <f>IFERROR(__xludf.DUMMYFUNCTION("""COMPUTED_VALUE"""),"TRSF E-BANKING DB")</f>
        <v>TRSF E-BANKING DB</v>
      </c>
      <c r="C148" s="3" t="str">
        <f>IFERROR(__xludf.DUMMYFUNCTION("""COMPUTED_VALUE"""),"2508/FTSCY/WS95031 2684280.00 HERMAWAN")</f>
        <v>2508/FTSCY/WS95031 2684280.00 HERMAWAN</v>
      </c>
      <c r="D148" s="3">
        <f>IFERROR(__xludf.DUMMYFUNCTION("""COMPUTED_VALUE"""),2684280.0)</f>
        <v>2684280</v>
      </c>
      <c r="E148" s="3"/>
      <c r="F148" s="3" t="str">
        <f>IFERROR(__xludf.DUMMYFUNCTION("""COMPUTED_VALUE"""),"DB")</f>
        <v>DB</v>
      </c>
      <c r="G148" s="3">
        <f>IFERROR(__xludf.DUMMYFUNCTION("""COMPUTED_VALUE"""),2.2131948570000052E7)</f>
        <v>22131948.57</v>
      </c>
      <c r="H148" s="3"/>
      <c r="I148" s="3" t="str">
        <f>IFERROR(__xludf.DUMMYFUNCTION("""COMPUTED_VALUE"""),"PRIBADI")</f>
        <v>PRIBADI</v>
      </c>
    </row>
    <row r="149">
      <c r="A149" s="7">
        <f>IFERROR(__xludf.DUMMYFUNCTION("""COMPUTED_VALUE"""),46259.0)</f>
        <v>46259</v>
      </c>
      <c r="B149" s="3" t="str">
        <f>IFERROR(__xludf.DUMMYFUNCTION("""COMPUTED_VALUE"""),"TRSF E-BANKING DB")</f>
        <v>TRSF E-BANKING DB</v>
      </c>
      <c r="C149" s="3" t="str">
        <f>IFERROR(__xludf.DUMMYFUNCTION("""COMPUTED_VALUE"""),"2508/FTSCY/WS95031 1585850.00 MUJIANTO")</f>
        <v>2508/FTSCY/WS95031 1585850.00 MUJIANTO</v>
      </c>
      <c r="D149" s="3">
        <f>IFERROR(__xludf.DUMMYFUNCTION("""COMPUTED_VALUE"""),1585850.0)</f>
        <v>1585850</v>
      </c>
      <c r="E149" s="3"/>
      <c r="F149" s="3" t="str">
        <f>IFERROR(__xludf.DUMMYFUNCTION("""COMPUTED_VALUE"""),"DB")</f>
        <v>DB</v>
      </c>
      <c r="G149" s="3">
        <f>IFERROR(__xludf.DUMMYFUNCTION("""COMPUTED_VALUE"""),2.0546098570000052E7)</f>
        <v>20546098.57</v>
      </c>
      <c r="H149" s="3"/>
      <c r="I149" s="3" t="str">
        <f>IFERROR(__xludf.DUMMYFUNCTION("""COMPUTED_VALUE"""),"PRIBADI")</f>
        <v>PRIBADI</v>
      </c>
    </row>
    <row r="150">
      <c r="A150" s="7">
        <f>IFERROR(__xludf.DUMMYFUNCTION("""COMPUTED_VALUE"""),46259.0)</f>
        <v>46259</v>
      </c>
      <c r="B150" s="3" t="str">
        <f>IFERROR(__xludf.DUMMYFUNCTION("""COMPUTED_VALUE"""),"TARIKAN ATM 25/08")</f>
        <v>TARIKAN ATM 25/08</v>
      </c>
      <c r="C150" s="3" t="str">
        <f>IFERROR(__xludf.DUMMYFUNCTION("""COMPUTED_VALUE"""),"TARIKAN ATM 25/08")</f>
        <v>TARIKAN ATM 25/08</v>
      </c>
      <c r="D150" s="3">
        <f>IFERROR(__xludf.DUMMYFUNCTION("""COMPUTED_VALUE"""),300000.0)</f>
        <v>300000</v>
      </c>
      <c r="E150" s="3"/>
      <c r="F150" s="3"/>
      <c r="G150" s="3">
        <f>IFERROR(__xludf.DUMMYFUNCTION("""COMPUTED_VALUE"""),2.0346098570000052E7)</f>
        <v>20346098.57</v>
      </c>
      <c r="H150" s="3"/>
      <c r="I150" s="3" t="str">
        <f>IFERROR(__xludf.DUMMYFUNCTION("""COMPUTED_VALUE"""),"PRIBADI")</f>
        <v>PRIBADI</v>
      </c>
    </row>
    <row r="151">
      <c r="A151" s="7">
        <f>IFERROR(__xludf.DUMMYFUNCTION("""COMPUTED_VALUE"""),46259.0)</f>
        <v>46259</v>
      </c>
      <c r="B151" s="3" t="str">
        <f>IFERROR(__xludf.DUMMYFUNCTION("""COMPUTED_VALUE"""),"TRSF E-BANKING DB")</f>
        <v>TRSF E-BANKING DB</v>
      </c>
      <c r="C151" s="3" t="str">
        <f>IFERROR(__xludf.DUMMYFUNCTION("""COMPUTED_VALUE"""),"2508/FTSCY/WS95031 25000000.00 RODHIATUS SOLEHA")</f>
        <v>2508/FTSCY/WS95031 25000000.00 RODHIATUS SOLEHA</v>
      </c>
      <c r="D151" s="3">
        <f>IFERROR(__xludf.DUMMYFUNCTION("""COMPUTED_VALUE"""),2.5E7)</f>
        <v>25000000</v>
      </c>
      <c r="E151" s="3"/>
      <c r="F151" s="3" t="str">
        <f>IFERROR(__xludf.DUMMYFUNCTION("""COMPUTED_VALUE"""),"DB")</f>
        <v>DB</v>
      </c>
      <c r="G151" s="3">
        <f>IFERROR(__xludf.DUMMYFUNCTION("""COMPUTED_VALUE"""),5.0643449857000005E8)</f>
        <v>506434498.6</v>
      </c>
      <c r="H151" s="3"/>
      <c r="I151" s="3" t="str">
        <f>IFERROR(__xludf.DUMMYFUNCTION("""COMPUTED_VALUE"""),"PRIBADI")</f>
        <v>PRIBADI</v>
      </c>
    </row>
    <row r="152">
      <c r="A152" s="7">
        <f>IFERROR(__xludf.DUMMYFUNCTION("""COMPUTED_VALUE"""),46259.0)</f>
        <v>46259</v>
      </c>
      <c r="B152" s="3" t="str">
        <f>IFERROR(__xludf.DUMMYFUNCTION("""COMPUTED_VALUE"""),"TRSF E-BANKING DB")</f>
        <v>TRSF E-BANKING DB</v>
      </c>
      <c r="C152" s="3" t="str">
        <f>IFERROR(__xludf.DUMMYFUNCTION("""COMPUTED_VALUE"""),"2508/FTSCY/WS95271 73845100.00 Sun Aug 23 2026 14:00:00 GMT+0700 (Western Indonesia Time) ANDALAN YASA MITRA")</f>
        <v>2508/FTSCY/WS95271 73845100.00 Sun Aug 23 2026 14:00:00 GMT+0700 (Western Indonesia Time) ANDALAN YASA MITRA</v>
      </c>
      <c r="D152" s="3">
        <f>IFERROR(__xludf.DUMMYFUNCTION("""COMPUTED_VALUE"""),7.38451E7)</f>
        <v>73845100</v>
      </c>
      <c r="E152" s="3"/>
      <c r="F152" s="3" t="str">
        <f>IFERROR(__xludf.DUMMYFUNCTION("""COMPUTED_VALUE"""),"DB")</f>
        <v>DB</v>
      </c>
      <c r="G152" s="3">
        <f>IFERROR(__xludf.DUMMYFUNCTION("""COMPUTED_VALUE"""),4.3258939857000005E8)</f>
        <v>432589398.6</v>
      </c>
      <c r="H152" s="3"/>
      <c r="I152" s="3" t="str">
        <f>IFERROR(__xludf.DUMMYFUNCTION("""COMPUTED_VALUE"""),"PRIBADI")</f>
        <v>PRIBADI</v>
      </c>
    </row>
    <row r="153">
      <c r="A153" s="7">
        <f>IFERROR(__xludf.DUMMYFUNCTION("""COMPUTED_VALUE"""),46259.0)</f>
        <v>46259</v>
      </c>
      <c r="B153" s="3" t="str">
        <f>IFERROR(__xludf.DUMMYFUNCTION("""COMPUTED_VALUE"""),"TRSF E-BANKING DB")</f>
        <v>TRSF E-BANKING DB</v>
      </c>
      <c r="C153" s="3" t="str">
        <f>IFERROR(__xludf.DUMMYFUNCTION("""COMPUTED_VALUE"""),"2508/FTSCY/WS95271 60076700.00 BROILER MAKMUR TAN")</f>
        <v>2508/FTSCY/WS95271 60076700.00 BROILER MAKMUR TAN</v>
      </c>
      <c r="D153" s="3">
        <f>IFERROR(__xludf.DUMMYFUNCTION("""COMPUTED_VALUE"""),6.00767E7)</f>
        <v>60076700</v>
      </c>
      <c r="E153" s="3"/>
      <c r="F153" s="3" t="str">
        <f>IFERROR(__xludf.DUMMYFUNCTION("""COMPUTED_VALUE"""),"DB")</f>
        <v>DB</v>
      </c>
      <c r="G153" s="3">
        <f>IFERROR(__xludf.DUMMYFUNCTION("""COMPUTED_VALUE"""),3.7251269857000005E8)</f>
        <v>372512698.6</v>
      </c>
      <c r="H153" s="3"/>
      <c r="I153" s="3" t="str">
        <f>IFERROR(__xludf.DUMMYFUNCTION("""COMPUTED_VALUE"""),"PRIBADI")</f>
        <v>PRIBADI</v>
      </c>
    </row>
    <row r="154">
      <c r="A154" s="7">
        <f>IFERROR(__xludf.DUMMYFUNCTION("""COMPUTED_VALUE"""),46259.0)</f>
        <v>46259</v>
      </c>
      <c r="B154" s="3" t="str">
        <f>IFERROR(__xludf.DUMMYFUNCTION("""COMPUTED_VALUE"""),"TRSF E-BANKING DB")</f>
        <v>TRSF E-BANKING DB</v>
      </c>
      <c r="C154" s="3" t="str">
        <f>IFERROR(__xludf.DUMMYFUNCTION("""COMPUTED_VALUE"""),"2508/FTSCY/WS95031 54599500.00 krg 20 jt SUPER UNGGAS JAYA")</f>
        <v>2508/FTSCY/WS95031 54599500.00 krg 20 jt SUPER UNGGAS JAYA</v>
      </c>
      <c r="D154" s="3">
        <f>IFERROR(__xludf.DUMMYFUNCTION("""COMPUTED_VALUE"""),5.45995E7)</f>
        <v>54599500</v>
      </c>
      <c r="E154" s="3"/>
      <c r="F154" s="3" t="str">
        <f>IFERROR(__xludf.DUMMYFUNCTION("""COMPUTED_VALUE"""),"DB")</f>
        <v>DB</v>
      </c>
      <c r="G154" s="3">
        <f>IFERROR(__xludf.DUMMYFUNCTION("""COMPUTED_VALUE"""),3.1791319857000005E8)</f>
        <v>317913198.6</v>
      </c>
      <c r="H154" s="3"/>
      <c r="I154" s="3" t="str">
        <f>IFERROR(__xludf.DUMMYFUNCTION("""COMPUTED_VALUE"""),"PRIBADI")</f>
        <v>PRIBADI</v>
      </c>
    </row>
    <row r="155">
      <c r="A155" s="7">
        <f>IFERROR(__xludf.DUMMYFUNCTION("""COMPUTED_VALUE"""),46259.0)</f>
        <v>46259</v>
      </c>
      <c r="B155" s="3" t="str">
        <f>IFERROR(__xludf.DUMMYFUNCTION("""COMPUTED_VALUE"""),"DB OTOMATIS")</f>
        <v>DB OTOMATIS</v>
      </c>
      <c r="C155" s="3" t="str">
        <f>IFERROR(__xludf.DUMMYFUNCTION("""COMPUTED_VALUE"""),"KOR PAYMENT 3370 A250823")</f>
        <v>KOR PAYMENT 3370 A250823</v>
      </c>
      <c r="D155" s="3">
        <f>IFERROR(__xludf.DUMMYFUNCTION("""COMPUTED_VALUE"""),52000.0)</f>
        <v>52000</v>
      </c>
      <c r="E155" s="3"/>
      <c r="F155" s="3" t="str">
        <f>IFERROR(__xludf.DUMMYFUNCTION("""COMPUTED_VALUE"""),"DB")</f>
        <v>DB</v>
      </c>
      <c r="G155" s="3">
        <f>IFERROR(__xludf.DUMMYFUNCTION("""COMPUTED_VALUE"""),3.1786119857000005E8)</f>
        <v>317861198.6</v>
      </c>
      <c r="H155" s="3"/>
      <c r="I155" s="3" t="str">
        <f>IFERROR(__xludf.DUMMYFUNCTION("""COMPUTED_VALUE"""),"PRIBADI")</f>
        <v>PRIBADI</v>
      </c>
    </row>
    <row r="156">
      <c r="A156" s="7">
        <f>IFERROR(__xludf.DUMMYFUNCTION("""COMPUTED_VALUE"""),46259.0)</f>
        <v>46259</v>
      </c>
      <c r="B156" s="3" t="str">
        <f>IFERROR(__xludf.DUMMYFUNCTION("""COMPUTED_VALUE"""),"TRSF E-BANKING DB")</f>
        <v>TRSF E-BANKING DB</v>
      </c>
      <c r="C156" s="3" t="str">
        <f>IFERROR(__xludf.DUMMYFUNCTION("""COMPUTED_VALUE"""),"2508/FTSCY/WS95031 1573200.00 SUNARTO")</f>
        <v>2508/FTSCY/WS95031 1573200.00 SUNARTO</v>
      </c>
      <c r="D156" s="3">
        <f>IFERROR(__xludf.DUMMYFUNCTION("""COMPUTED_VALUE"""),1573200.0)</f>
        <v>1573200</v>
      </c>
      <c r="E156" s="3"/>
      <c r="F156" s="3" t="str">
        <f>IFERROR(__xludf.DUMMYFUNCTION("""COMPUTED_VALUE"""),"DB")</f>
        <v>DB</v>
      </c>
      <c r="G156" s="3">
        <f>IFERROR(__xludf.DUMMYFUNCTION("""COMPUTED_VALUE"""),3.1628799857000005E8)</f>
        <v>316287998.6</v>
      </c>
      <c r="H156" s="3"/>
      <c r="I156" s="3" t="str">
        <f>IFERROR(__xludf.DUMMYFUNCTION("""COMPUTED_VALUE"""),"PRIBADI")</f>
        <v>PRIBADI</v>
      </c>
    </row>
    <row r="157">
      <c r="A157" s="7">
        <f>IFERROR(__xludf.DUMMYFUNCTION("""COMPUTED_VALUE"""),46259.0)</f>
        <v>46259</v>
      </c>
      <c r="B157" s="3" t="str">
        <f>IFERROR(__xludf.DUMMYFUNCTION("""COMPUTED_VALUE"""),"TRSF E-BANKING DB")</f>
        <v>TRSF E-BANKING DB</v>
      </c>
      <c r="C157" s="3" t="str">
        <f>IFERROR(__xludf.DUMMYFUNCTION("""COMPUTED_VALUE"""),"2508/FTSCY/WS95031 300000.00 BELA PRAMUDITA")</f>
        <v>2508/FTSCY/WS95031 300000.00 BELA PRAMUDITA</v>
      </c>
      <c r="D157" s="3">
        <f>IFERROR(__xludf.DUMMYFUNCTION("""COMPUTED_VALUE"""),300000.0)</f>
        <v>300000</v>
      </c>
      <c r="E157" s="3"/>
      <c r="F157" s="3" t="str">
        <f>IFERROR(__xludf.DUMMYFUNCTION("""COMPUTED_VALUE"""),"DB")</f>
        <v>DB</v>
      </c>
      <c r="G157" s="3">
        <f>IFERROR(__xludf.DUMMYFUNCTION("""COMPUTED_VALUE"""),3.1598799857000005E8)</f>
        <v>315987998.6</v>
      </c>
      <c r="H157" s="3"/>
      <c r="I157" s="3" t="str">
        <f>IFERROR(__xludf.DUMMYFUNCTION("""COMPUTED_VALUE"""),"PRIBADI")</f>
        <v>PRIBADI</v>
      </c>
    </row>
    <row r="158">
      <c r="A158" s="7">
        <f>IFERROR(__xludf.DUMMYFUNCTION("""COMPUTED_VALUE"""),46259.0)</f>
        <v>46259</v>
      </c>
      <c r="B158" s="3" t="str">
        <f>IFERROR(__xludf.DUMMYFUNCTION("""COMPUTED_VALUE"""),"TRSF E-BANKING DB")</f>
        <v>TRSF E-BANKING DB</v>
      </c>
      <c r="C158" s="3" t="str">
        <f>IFERROR(__xludf.DUMMYFUNCTION("""COMPUTED_VALUE"""),"2508/FTSCY/WS95031 1200000.00 DWI HERMANSYAH")</f>
        <v>2508/FTSCY/WS95031 1200000.00 DWI HERMANSYAH</v>
      </c>
      <c r="D158" s="3">
        <f>IFERROR(__xludf.DUMMYFUNCTION("""COMPUTED_VALUE"""),1200000.0)</f>
        <v>1200000</v>
      </c>
      <c r="E158" s="3"/>
      <c r="F158" s="3" t="str">
        <f>IFERROR(__xludf.DUMMYFUNCTION("""COMPUTED_VALUE"""),"DB")</f>
        <v>DB</v>
      </c>
      <c r="G158" s="3">
        <f>IFERROR(__xludf.DUMMYFUNCTION("""COMPUTED_VALUE"""),3.1478799857000005E8)</f>
        <v>314787998.6</v>
      </c>
      <c r="H158" s="3"/>
      <c r="I158" s="3" t="str">
        <f>IFERROR(__xludf.DUMMYFUNCTION("""COMPUTED_VALUE"""),"PRIBADI")</f>
        <v>PRIBADI</v>
      </c>
    </row>
    <row r="159">
      <c r="A159" s="7">
        <f>IFERROR(__xludf.DUMMYFUNCTION("""COMPUTED_VALUE"""),46259.0)</f>
        <v>46259</v>
      </c>
      <c r="B159" s="3" t="str">
        <f>IFERROR(__xludf.DUMMYFUNCTION("""COMPUTED_VALUE"""),"TRSF E-BANKING DB")</f>
        <v>TRSF E-BANKING DB</v>
      </c>
      <c r="C159" s="3" t="str">
        <f>IFERROR(__xludf.DUMMYFUNCTION("""COMPUTED_VALUE"""),"2508/FTSCY/WS95031 715560.00 ANDE DOSO ANGGORO")</f>
        <v>2508/FTSCY/WS95031 715560.00 ANDE DOSO ANGGORO</v>
      </c>
      <c r="D159" s="3">
        <f>IFERROR(__xludf.DUMMYFUNCTION("""COMPUTED_VALUE"""),715560.0)</f>
        <v>715560</v>
      </c>
      <c r="E159" s="3"/>
      <c r="F159" s="3" t="str">
        <f>IFERROR(__xludf.DUMMYFUNCTION("""COMPUTED_VALUE"""),"DB")</f>
        <v>DB</v>
      </c>
      <c r="G159" s="3">
        <f>IFERROR(__xludf.DUMMYFUNCTION("""COMPUTED_VALUE"""),3.1407243857000005E8)</f>
        <v>314072438.6</v>
      </c>
      <c r="H159" s="3">
        <f>IFERROR(__xludf.DUMMYFUNCTION("""COMPUTED_VALUE"""),3.1407243857E8)</f>
        <v>314072438.6</v>
      </c>
      <c r="I159" s="3" t="str">
        <f>IFERROR(__xludf.DUMMYFUNCTION("""COMPUTED_VALUE"""),"PRIBADI")</f>
        <v>PRIBADI</v>
      </c>
    </row>
    <row r="160">
      <c r="A160" s="7">
        <f>IFERROR(__xludf.DUMMYFUNCTION("""COMPUTED_VALUE"""),46260.0)</f>
        <v>46260</v>
      </c>
      <c r="B160" s="3" t="str">
        <f>IFERROR(__xludf.DUMMYFUNCTION("""COMPUTED_VALUE"""),"TRSF E-BANKING DB")</f>
        <v>TRSF E-BANKING DB</v>
      </c>
      <c r="C160" s="3" t="str">
        <f>IFERROR(__xludf.DUMMYFUNCTION("""COMPUTED_VALUE"""),"2608/FTSCY/WS95271 62427750.00 Sun Aug 23 2026 14:00:00 GMT+0700 (Western Indonesia Time) PITIK DIGITAL INDO")</f>
        <v>2608/FTSCY/WS95271 62427750.00 Sun Aug 23 2026 14:00:00 GMT+0700 (Western Indonesia Time) PITIK DIGITAL INDO</v>
      </c>
      <c r="D160" s="3">
        <f>IFERROR(__xludf.DUMMYFUNCTION("""COMPUTED_VALUE"""),6.242775E7)</f>
        <v>62427750</v>
      </c>
      <c r="E160" s="3"/>
      <c r="F160" s="3" t="str">
        <f>IFERROR(__xludf.DUMMYFUNCTION("""COMPUTED_VALUE"""),"DB")</f>
        <v>DB</v>
      </c>
      <c r="G160" s="3">
        <f>IFERROR(__xludf.DUMMYFUNCTION("""COMPUTED_VALUE"""),2.5164468857000005E8)</f>
        <v>251644688.6</v>
      </c>
      <c r="H160" s="3"/>
      <c r="I160" s="3" t="str">
        <f>IFERROR(__xludf.DUMMYFUNCTION("""COMPUTED_VALUE"""),"PRIBADI")</f>
        <v>PRIBADI</v>
      </c>
    </row>
    <row r="161">
      <c r="A161" s="7">
        <f>IFERROR(__xludf.DUMMYFUNCTION("""COMPUTED_VALUE"""),46260.0)</f>
        <v>46260</v>
      </c>
      <c r="B161" s="3" t="str">
        <f>IFERROR(__xludf.DUMMYFUNCTION("""COMPUTED_VALUE"""),"TRSF E-BANKING DB")</f>
        <v>TRSF E-BANKING DB</v>
      </c>
      <c r="C161" s="3" t="str">
        <f>IFERROR(__xludf.DUMMYFUNCTION("""COMPUTED_VALUE"""),"2608/FTSCY/WS95271 74901700.00 Sun Aug 23 2026 14:00:00 GMT+0700 (Western Indonesia Time) ANDALAN YASA MITRA")</f>
        <v>2608/FTSCY/WS95271 74901700.00 Sun Aug 23 2026 14:00:00 GMT+0700 (Western Indonesia Time) ANDALAN YASA MITRA</v>
      </c>
      <c r="D161" s="3">
        <f>IFERROR(__xludf.DUMMYFUNCTION("""COMPUTED_VALUE"""),7.49017E7)</f>
        <v>74901700</v>
      </c>
      <c r="E161" s="3"/>
      <c r="F161" s="3" t="str">
        <f>IFERROR(__xludf.DUMMYFUNCTION("""COMPUTED_VALUE"""),"DB")</f>
        <v>DB</v>
      </c>
      <c r="G161" s="3">
        <f>IFERROR(__xludf.DUMMYFUNCTION("""COMPUTED_VALUE"""),1.7674298857000005E8)</f>
        <v>176742988.6</v>
      </c>
      <c r="H161" s="3"/>
      <c r="I161" s="3" t="str">
        <f>IFERROR(__xludf.DUMMYFUNCTION("""COMPUTED_VALUE"""),"PRIBADI")</f>
        <v>PRIBADI</v>
      </c>
    </row>
    <row r="162">
      <c r="A162" s="7">
        <f>IFERROR(__xludf.DUMMYFUNCTION("""COMPUTED_VALUE"""),46260.0)</f>
        <v>46260</v>
      </c>
      <c r="B162" s="3" t="str">
        <f>IFERROR(__xludf.DUMMYFUNCTION("""COMPUTED_VALUE"""),"TRSF E-BANKING DB")</f>
        <v>TRSF E-BANKING DB</v>
      </c>
      <c r="C162" s="3" t="str">
        <f>IFERROR(__xludf.DUMMYFUNCTION("""COMPUTED_VALUE"""),"2608/FTSCY/WS95271 71375000.00 pelunasan bws TERNAK SEJATI TABA")</f>
        <v>2608/FTSCY/WS95271 71375000.00 pelunasan bws TERNAK SEJATI TABA</v>
      </c>
      <c r="D162" s="3">
        <f>IFERROR(__xludf.DUMMYFUNCTION("""COMPUTED_VALUE"""),7.1375E7)</f>
        <v>71375000</v>
      </c>
      <c r="E162" s="3"/>
      <c r="F162" s="3" t="str">
        <f>IFERROR(__xludf.DUMMYFUNCTION("""COMPUTED_VALUE"""),"DB")</f>
        <v>DB</v>
      </c>
      <c r="G162" s="3">
        <f>IFERROR(__xludf.DUMMYFUNCTION("""COMPUTED_VALUE"""),1.0536798857000005E8)</f>
        <v>105367988.6</v>
      </c>
      <c r="H162" s="3"/>
      <c r="I162" s="3" t="str">
        <f>IFERROR(__xludf.DUMMYFUNCTION("""COMPUTED_VALUE"""),"PRIBADI")</f>
        <v>PRIBADI</v>
      </c>
    </row>
    <row r="163">
      <c r="A163" s="7">
        <f>IFERROR(__xludf.DUMMYFUNCTION("""COMPUTED_VALUE"""),46260.0)</f>
        <v>46260</v>
      </c>
      <c r="B163" s="3" t="str">
        <f>IFERROR(__xludf.DUMMYFUNCTION("""COMPUTED_VALUE"""),"TRSF E-BANKING DB")</f>
        <v>TRSF E-BANKING DB</v>
      </c>
      <c r="C163" s="3" t="str">
        <f>IFERROR(__xludf.DUMMYFUNCTION("""COMPUTED_VALUE"""),"2608/FTSCY/WS95271 50000000.00 titip SUGENG RIADI")</f>
        <v>2608/FTSCY/WS95271 50000000.00 titip SUGENG RIADI</v>
      </c>
      <c r="D163" s="3">
        <f>IFERROR(__xludf.DUMMYFUNCTION("""COMPUTED_VALUE"""),5.0E7)</f>
        <v>50000000</v>
      </c>
      <c r="E163" s="3"/>
      <c r="F163" s="3" t="str">
        <f>IFERROR(__xludf.DUMMYFUNCTION("""COMPUTED_VALUE"""),"DB")</f>
        <v>DB</v>
      </c>
      <c r="G163" s="3">
        <f>IFERROR(__xludf.DUMMYFUNCTION("""COMPUTED_VALUE"""),5.536798857000005E7)</f>
        <v>55367988.57</v>
      </c>
      <c r="H163" s="3">
        <f>IFERROR(__xludf.DUMMYFUNCTION("""COMPUTED_VALUE"""),5.536798857E7)</f>
        <v>55367988.57</v>
      </c>
      <c r="I163" s="3" t="str">
        <f>IFERROR(__xludf.DUMMYFUNCTION("""COMPUTED_VALUE"""),"PRIBADI")</f>
        <v>PRIBADI</v>
      </c>
    </row>
    <row r="164">
      <c r="A164" s="7">
        <f>IFERROR(__xludf.DUMMYFUNCTION("""COMPUTED_VALUE"""),46260.0)</f>
        <v>46260</v>
      </c>
      <c r="B164" s="3" t="str">
        <f>IFERROR(__xludf.DUMMYFUNCTION("""COMPUTED_VALUE"""),"TRSF E-BANKING DB")</f>
        <v>TRSF E-BANKING DB</v>
      </c>
      <c r="C164" s="3" t="str">
        <f>IFERROR(__xludf.DUMMYFUNCTION("""COMPUTED_VALUE"""),"2608/FTSCY/WS95271 37676810.00 Mon Aug 24 2026 14:00:00 GMT+0700 (Western Indonesia Time) ANDALAN YASA MITRA")</f>
        <v>2608/FTSCY/WS95271 37676810.00 Mon Aug 24 2026 14:00:00 GMT+0700 (Western Indonesia Time) ANDALAN YASA MITRA</v>
      </c>
      <c r="D164" s="3">
        <f>IFERROR(__xludf.DUMMYFUNCTION("""COMPUTED_VALUE"""),3.767681E7)</f>
        <v>37676810</v>
      </c>
      <c r="E164" s="3"/>
      <c r="F164" s="3" t="str">
        <f>IFERROR(__xludf.DUMMYFUNCTION("""COMPUTED_VALUE"""),"DB")</f>
        <v>DB</v>
      </c>
      <c r="G164" s="3">
        <f>IFERROR(__xludf.DUMMYFUNCTION("""COMPUTED_VALUE"""),1.7691178570000052E7)</f>
        <v>17691178.57</v>
      </c>
      <c r="H164" s="3">
        <f>IFERROR(__xludf.DUMMYFUNCTION("""COMPUTED_VALUE"""),1.769117857E7)</f>
        <v>17691178.57</v>
      </c>
      <c r="I164" s="3" t="str">
        <f>IFERROR(__xludf.DUMMYFUNCTION("""COMPUTED_VALUE"""),"PRIBADI")</f>
        <v>PRIBADI</v>
      </c>
    </row>
    <row r="165">
      <c r="A165" s="7">
        <f>IFERROR(__xludf.DUMMYFUNCTION("""COMPUTED_VALUE"""),46260.0)</f>
        <v>46260</v>
      </c>
      <c r="B165" s="3" t="str">
        <f>IFERROR(__xludf.DUMMYFUNCTION("""COMPUTED_VALUE"""),"TRSF E-BANKING DB")</f>
        <v>TRSF E-BANKING DB</v>
      </c>
      <c r="C165" s="3" t="str">
        <f>IFERROR(__xludf.DUMMYFUNCTION("""COMPUTED_VALUE"""),"2608/FTSCY/WS95031 10000000.00 pelunasan ANDALAN YASA MITRA")</f>
        <v>2608/FTSCY/WS95031 10000000.00 pelunasan ANDALAN YASA MITRA</v>
      </c>
      <c r="D165" s="3">
        <f>IFERROR(__xludf.DUMMYFUNCTION("""COMPUTED_VALUE"""),1.0E7)</f>
        <v>10000000</v>
      </c>
      <c r="E165" s="3"/>
      <c r="F165" s="3" t="str">
        <f>IFERROR(__xludf.DUMMYFUNCTION("""COMPUTED_VALUE"""),"DB")</f>
        <v>DB</v>
      </c>
      <c r="G165" s="3">
        <f>IFERROR(__xludf.DUMMYFUNCTION("""COMPUTED_VALUE"""),7691178.570000052)</f>
        <v>7691178.57</v>
      </c>
      <c r="H165" s="3"/>
      <c r="I165" s="3" t="str">
        <f>IFERROR(__xludf.DUMMYFUNCTION("""COMPUTED_VALUE"""),"PRIBADI")</f>
        <v>PRIBADI</v>
      </c>
    </row>
    <row r="166">
      <c r="A166" s="7">
        <f>IFERROR(__xludf.DUMMYFUNCTION("""COMPUTED_VALUE"""),46260.0)</f>
        <v>46260</v>
      </c>
      <c r="B166" s="3" t="str">
        <f>IFERROR(__xludf.DUMMYFUNCTION("""COMPUTED_VALUE"""),"TRSF E-BANKING DB")</f>
        <v>TRSF E-BANKING DB</v>
      </c>
      <c r="C166" s="3" t="str">
        <f>IFERROR(__xludf.DUMMYFUNCTION("""COMPUTED_VALUE"""),"2608/FTSCY/WS95031 1874400.00 NURHAYATI")</f>
        <v>2608/FTSCY/WS95031 1874400.00 NURHAYATI</v>
      </c>
      <c r="D166" s="3">
        <f>IFERROR(__xludf.DUMMYFUNCTION("""COMPUTED_VALUE"""),1874400.0)</f>
        <v>1874400</v>
      </c>
      <c r="E166" s="3"/>
      <c r="F166" s="3" t="str">
        <f>IFERROR(__xludf.DUMMYFUNCTION("""COMPUTED_VALUE"""),"DB")</f>
        <v>DB</v>
      </c>
      <c r="G166" s="3">
        <f>IFERROR(__xludf.DUMMYFUNCTION("""COMPUTED_VALUE"""),5816778.570000052)</f>
        <v>5816778.57</v>
      </c>
      <c r="H166" s="3"/>
      <c r="I166" s="3" t="str">
        <f>IFERROR(__xludf.DUMMYFUNCTION("""COMPUTED_VALUE"""),"PRIBADI")</f>
        <v>PRIBADI</v>
      </c>
    </row>
    <row r="167">
      <c r="A167" s="7">
        <f>IFERROR(__xludf.DUMMYFUNCTION("""COMPUTED_VALUE"""),46260.0)</f>
        <v>46260</v>
      </c>
      <c r="B167" s="3" t="str">
        <f>IFERROR(__xludf.DUMMYFUNCTION("""COMPUTED_VALUE"""),"TRSF E-BANKING DB")</f>
        <v>TRSF E-BANKING DB</v>
      </c>
      <c r="C167" s="3" t="str">
        <f>IFERROR(__xludf.DUMMYFUNCTION("""COMPUTED_VALUE"""),"2608/FTSCY/WS95271 500000.00 RIRIN")</f>
        <v>2608/FTSCY/WS95271 500000.00 RIRIN</v>
      </c>
      <c r="D167" s="3">
        <f>IFERROR(__xludf.DUMMYFUNCTION("""COMPUTED_VALUE"""),500000.0)</f>
        <v>500000</v>
      </c>
      <c r="E167" s="3"/>
      <c r="F167" s="3" t="str">
        <f>IFERROR(__xludf.DUMMYFUNCTION("""COMPUTED_VALUE"""),"DB")</f>
        <v>DB</v>
      </c>
      <c r="G167" s="3">
        <f>IFERROR(__xludf.DUMMYFUNCTION("""COMPUTED_VALUE"""),5316778.570000052)</f>
        <v>5316778.57</v>
      </c>
      <c r="H167" s="3"/>
      <c r="I167" s="3" t="str">
        <f>IFERROR(__xludf.DUMMYFUNCTION("""COMPUTED_VALUE"""),"PRIBADI")</f>
        <v>PRIBADI</v>
      </c>
    </row>
    <row r="168">
      <c r="A168" s="7">
        <f>IFERROR(__xludf.DUMMYFUNCTION("""COMPUTED_VALUE"""),46260.0)</f>
        <v>46260</v>
      </c>
      <c r="B168" s="3" t="str">
        <f>IFERROR(__xludf.DUMMYFUNCTION("""COMPUTED_VALUE"""),"TRSF E-BANKING DB")</f>
        <v>TRSF E-BANKING DB</v>
      </c>
      <c r="C168" s="3" t="str">
        <f>IFERROR(__xludf.DUMMYFUNCTION("""COMPUTED_VALUE"""),"2608/FTSCY/WS95031 5214650.00 krg 150 rb MUJIANTO")</f>
        <v>2608/FTSCY/WS95031 5214650.00 krg 150 rb MUJIANTO</v>
      </c>
      <c r="D168" s="3">
        <f>IFERROR(__xludf.DUMMYFUNCTION("""COMPUTED_VALUE"""),5214650.0)</f>
        <v>5214650</v>
      </c>
      <c r="E168" s="3"/>
      <c r="F168" s="3" t="str">
        <f>IFERROR(__xludf.DUMMYFUNCTION("""COMPUTED_VALUE"""),"DB")</f>
        <v>DB</v>
      </c>
      <c r="G168" s="3">
        <f>IFERROR(__xludf.DUMMYFUNCTION("""COMPUTED_VALUE"""),102128.57000005245)</f>
        <v>102128.57</v>
      </c>
      <c r="H168" s="3"/>
      <c r="I168" s="3" t="str">
        <f>IFERROR(__xludf.DUMMYFUNCTION("""COMPUTED_VALUE"""),"PRIBADI")</f>
        <v>PRIBADI</v>
      </c>
    </row>
    <row r="169">
      <c r="A169" s="7">
        <f>IFERROR(__xludf.DUMMYFUNCTION("""COMPUTED_VALUE"""),46260.0)</f>
        <v>46260</v>
      </c>
      <c r="B169" s="3" t="str">
        <f>IFERROR(__xludf.DUMMYFUNCTION("""COMPUTED_VALUE"""),"TRSF E-BANKING DB")</f>
        <v>TRSF E-BANKING DB</v>
      </c>
      <c r="C169" s="3" t="str">
        <f>IFERROR(__xludf.DUMMYFUNCTION("""COMPUTED_VALUE"""),"2608/FTSCY/WS95031 50000.00 MUJIANTO")</f>
        <v>2608/FTSCY/WS95031 50000.00 MUJIANTO</v>
      </c>
      <c r="D169" s="3">
        <f>IFERROR(__xludf.DUMMYFUNCTION("""COMPUTED_VALUE"""),50000.0)</f>
        <v>50000</v>
      </c>
      <c r="E169" s="3"/>
      <c r="F169" s="3" t="str">
        <f>IFERROR(__xludf.DUMMYFUNCTION("""COMPUTED_VALUE"""),"DB")</f>
        <v>DB</v>
      </c>
      <c r="G169" s="3">
        <f>IFERROR(__xludf.DUMMYFUNCTION("""COMPUTED_VALUE"""),52128.57000005245)</f>
        <v>52128.57</v>
      </c>
      <c r="H169" s="3"/>
      <c r="I169" s="3" t="str">
        <f>IFERROR(__xludf.DUMMYFUNCTION("""COMPUTED_VALUE"""),"PRIBADI")</f>
        <v>PRIBADI</v>
      </c>
    </row>
    <row r="170">
      <c r="A170" s="7">
        <f>IFERROR(__xludf.DUMMYFUNCTION("""COMPUTED_VALUE"""),46260.0)</f>
        <v>46260</v>
      </c>
      <c r="B170" s="3" t="str">
        <f>IFERROR(__xludf.DUMMYFUNCTION("""COMPUTED_VALUE"""),"TARIKAN ATM 26/08")</f>
        <v>TARIKAN ATM 26/08</v>
      </c>
      <c r="C170" s="3" t="str">
        <f>IFERROR(__xludf.DUMMYFUNCTION("""COMPUTED_VALUE"""),"TARIKAN ATM 26/08")</f>
        <v>TARIKAN ATM 26/08</v>
      </c>
      <c r="D170" s="3">
        <f>IFERROR(__xludf.DUMMYFUNCTION("""COMPUTED_VALUE"""),200000.0)</f>
        <v>200000</v>
      </c>
      <c r="E170" s="3"/>
      <c r="F170" s="3"/>
      <c r="G170" s="3">
        <f>IFERROR(__xludf.DUMMYFUNCTION("""COMPUTED_VALUE"""),8.6323378857E8)</f>
        <v>863233788.6</v>
      </c>
      <c r="H170" s="3"/>
      <c r="I170" s="3" t="str">
        <f>IFERROR(__xludf.DUMMYFUNCTION("""COMPUTED_VALUE"""),"PRIBADI")</f>
        <v>PRIBADI</v>
      </c>
    </row>
    <row r="171">
      <c r="A171" s="7">
        <f>IFERROR(__xludf.DUMMYFUNCTION("""COMPUTED_VALUE"""),46260.0)</f>
        <v>46260</v>
      </c>
      <c r="B171" s="3" t="str">
        <f>IFERROR(__xludf.DUMMYFUNCTION("""COMPUTED_VALUE"""),"KARTU DEBIT")</f>
        <v>KARTU DEBIT</v>
      </c>
      <c r="C171" s="3" t="str">
        <f>IFERROR(__xludf.DUMMYFUNCTION("""COMPUTED_VALUE"""),"IDM TROJ LANGSEP 6019009510239343")</f>
        <v>IDM TROJ LANGSEP 6019009510239343</v>
      </c>
      <c r="D171" s="3">
        <f>IFERROR(__xludf.DUMMYFUNCTION("""COMPUTED_VALUE"""),59600.0)</f>
        <v>59600</v>
      </c>
      <c r="E171" s="3"/>
      <c r="F171" s="3"/>
      <c r="G171" s="3">
        <f>IFERROR(__xludf.DUMMYFUNCTION("""COMPUTED_VALUE"""),8.6317418857E8)</f>
        <v>863174188.6</v>
      </c>
      <c r="H171" s="3"/>
      <c r="I171" s="3" t="str">
        <f>IFERROR(__xludf.DUMMYFUNCTION("""COMPUTED_VALUE"""),"PRIBADI")</f>
        <v>PRIBADI</v>
      </c>
    </row>
    <row r="172">
      <c r="A172" s="7">
        <f>IFERROR(__xludf.DUMMYFUNCTION("""COMPUTED_VALUE"""),46260.0)</f>
        <v>46260</v>
      </c>
      <c r="B172" s="3" t="str">
        <f>IFERROR(__xludf.DUMMYFUNCTION("""COMPUTED_VALUE"""),"TRSF E-BANKING DB")</f>
        <v>TRSF E-BANKING DB</v>
      </c>
      <c r="C172" s="3" t="str">
        <f>IFERROR(__xludf.DUMMYFUNCTION("""COMPUTED_VALUE"""),"2608/FTSCY/WS95031 33900500.00 pelunasan RODHIATUS SOLEHA")</f>
        <v>2608/FTSCY/WS95031 33900500.00 pelunasan RODHIATUS SOLEHA</v>
      </c>
      <c r="D172" s="3">
        <f>IFERROR(__xludf.DUMMYFUNCTION("""COMPUTED_VALUE"""),3.39005E7)</f>
        <v>33900500</v>
      </c>
      <c r="E172" s="3"/>
      <c r="F172" s="3" t="str">
        <f>IFERROR(__xludf.DUMMYFUNCTION("""COMPUTED_VALUE"""),"DB")</f>
        <v>DB</v>
      </c>
      <c r="G172" s="3">
        <f>IFERROR(__xludf.DUMMYFUNCTION("""COMPUTED_VALUE"""),8.2927368857E8)</f>
        <v>829273688.6</v>
      </c>
      <c r="H172" s="3"/>
      <c r="I172" s="3" t="str">
        <f>IFERROR(__xludf.DUMMYFUNCTION("""COMPUTED_VALUE"""),"PRIBADI")</f>
        <v>PRIBADI</v>
      </c>
    </row>
    <row r="173">
      <c r="A173" s="7">
        <f>IFERROR(__xludf.DUMMYFUNCTION("""COMPUTED_VALUE"""),46260.0)</f>
        <v>46260</v>
      </c>
      <c r="B173" s="3" t="str">
        <f>IFERROR(__xludf.DUMMYFUNCTION("""COMPUTED_VALUE"""),"TRSF E-BANKING DB")</f>
        <v>TRSF E-BANKING DB</v>
      </c>
      <c r="C173" s="3" t="str">
        <f>IFERROR(__xludf.DUMMYFUNCTION("""COMPUTED_VALUE"""),"2608/FTSCY/WS95271 100000.00 DEWA MAHARDHIKA")</f>
        <v>2608/FTSCY/WS95271 100000.00 DEWA MAHARDHIKA</v>
      </c>
      <c r="D173" s="3">
        <f>IFERROR(__xludf.DUMMYFUNCTION("""COMPUTED_VALUE"""),100000.0)</f>
        <v>100000</v>
      </c>
      <c r="E173" s="3"/>
      <c r="F173" s="3" t="str">
        <f>IFERROR(__xludf.DUMMYFUNCTION("""COMPUTED_VALUE"""),"DB")</f>
        <v>DB</v>
      </c>
      <c r="G173" s="3">
        <f>IFERROR(__xludf.DUMMYFUNCTION("""COMPUTED_VALUE"""),8.2917368857E8)</f>
        <v>829173688.6</v>
      </c>
      <c r="H173" s="3"/>
      <c r="I173" s="3" t="str">
        <f>IFERROR(__xludf.DUMMYFUNCTION("""COMPUTED_VALUE"""),"PRIBADI")</f>
        <v>PRIBADI</v>
      </c>
    </row>
    <row r="174">
      <c r="A174" s="7">
        <f>IFERROR(__xludf.DUMMYFUNCTION("""COMPUTED_VALUE"""),46261.0)</f>
        <v>46261</v>
      </c>
      <c r="B174" s="3" t="str">
        <f>IFERROR(__xludf.DUMMYFUNCTION("""COMPUTED_VALUE"""),"TRSF E-BANKING DB")</f>
        <v>TRSF E-BANKING DB</v>
      </c>
      <c r="C174" s="3" t="str">
        <f>IFERROR(__xludf.DUMMYFUNCTION("""COMPUTED_VALUE"""),"2708/FTSCY/WS95011 243947460.00 Mon Aug 24 2026 14:00:00 GMT+0700 (Western Indonesia Time) GANESHA SATRIA NUS")</f>
        <v>2708/FTSCY/WS95011 243947460.00 Mon Aug 24 2026 14:00:00 GMT+0700 (Western Indonesia Time) GANESHA SATRIA NUS</v>
      </c>
      <c r="D174" s="3">
        <f>IFERROR(__xludf.DUMMYFUNCTION("""COMPUTED_VALUE"""),2.4394746E8)</f>
        <v>243947460</v>
      </c>
      <c r="E174" s="3"/>
      <c r="F174" s="3" t="str">
        <f>IFERROR(__xludf.DUMMYFUNCTION("""COMPUTED_VALUE"""),"DB")</f>
        <v>DB</v>
      </c>
      <c r="G174" s="3">
        <f>IFERROR(__xludf.DUMMYFUNCTION("""COMPUTED_VALUE"""),6.8522622857E8)</f>
        <v>685226228.6</v>
      </c>
      <c r="H174" s="3"/>
      <c r="I174" s="3" t="str">
        <f>IFERROR(__xludf.DUMMYFUNCTION("""COMPUTED_VALUE"""),"PRIBADI")</f>
        <v>PRIBADI</v>
      </c>
    </row>
    <row r="175">
      <c r="A175" s="7">
        <f>IFERROR(__xludf.DUMMYFUNCTION("""COMPUTED_VALUE"""),46261.0)</f>
        <v>46261</v>
      </c>
      <c r="B175" s="3" t="str">
        <f>IFERROR(__xludf.DUMMYFUNCTION("""COMPUTED_VALUE"""),"TRSF E-BANKING DB")</f>
        <v>TRSF E-BANKING DB</v>
      </c>
      <c r="C175" s="3" t="str">
        <f>IFERROR(__xludf.DUMMYFUNCTION("""COMPUTED_VALUE"""),"2708/FTSCY/WS95011 126233200.00 Mon Aug 24 2026 14:00:00 GMT+0700 (Western Indonesia Time) TERNAK SEJATI TABA")</f>
        <v>2708/FTSCY/WS95011 126233200.00 Mon Aug 24 2026 14:00:00 GMT+0700 (Western Indonesia Time) TERNAK SEJATI TABA</v>
      </c>
      <c r="D175" s="3">
        <f>IFERROR(__xludf.DUMMYFUNCTION("""COMPUTED_VALUE"""),1.262332E8)</f>
        <v>126233200</v>
      </c>
      <c r="E175" s="3"/>
      <c r="F175" s="3" t="str">
        <f>IFERROR(__xludf.DUMMYFUNCTION("""COMPUTED_VALUE"""),"DB")</f>
        <v>DB</v>
      </c>
      <c r="G175" s="3">
        <f>IFERROR(__xludf.DUMMYFUNCTION("""COMPUTED_VALUE"""),5.5899302857E8)</f>
        <v>558993028.6</v>
      </c>
      <c r="H175" s="3">
        <f>IFERROR(__xludf.DUMMYFUNCTION("""COMPUTED_VALUE"""),5.5899302857E8)</f>
        <v>558993028.6</v>
      </c>
      <c r="I175" s="3" t="str">
        <f>IFERROR(__xludf.DUMMYFUNCTION("""COMPUTED_VALUE"""),"PRIBADI")</f>
        <v>PRIBADI</v>
      </c>
    </row>
    <row r="176">
      <c r="A176" s="7">
        <f>IFERROR(__xludf.DUMMYFUNCTION("""COMPUTED_VALUE"""),46261.0)</f>
        <v>46261</v>
      </c>
      <c r="B176" s="3" t="str">
        <f>IFERROR(__xludf.DUMMYFUNCTION("""COMPUTED_VALUE"""),"TRSF E-BANKING DB")</f>
        <v>TRSF E-BANKING DB</v>
      </c>
      <c r="C176" s="3" t="str">
        <f>IFERROR(__xludf.DUMMYFUNCTION("""COMPUTED_VALUE"""),"2708/FTSCY/WS95011 61500000.00 Mon Aug 24 2026 14:00:00 GMT+0700 (Western Indonesia Time) TABASSAM AZ ZUFAR")</f>
        <v>2708/FTSCY/WS95011 61500000.00 Mon Aug 24 2026 14:00:00 GMT+0700 (Western Indonesia Time) TABASSAM AZ ZUFAR</v>
      </c>
      <c r="D176" s="3">
        <f>IFERROR(__xludf.DUMMYFUNCTION("""COMPUTED_VALUE"""),6.15E7)</f>
        <v>61500000</v>
      </c>
      <c r="E176" s="3"/>
      <c r="F176" s="3" t="str">
        <f>IFERROR(__xludf.DUMMYFUNCTION("""COMPUTED_VALUE"""),"DB")</f>
        <v>DB</v>
      </c>
      <c r="G176" s="3">
        <f>IFERROR(__xludf.DUMMYFUNCTION("""COMPUTED_VALUE"""),4.9749302857000005E8)</f>
        <v>497493028.6</v>
      </c>
      <c r="H176" s="3">
        <f>IFERROR(__xludf.DUMMYFUNCTION("""COMPUTED_VALUE"""),4.9749302857E8)</f>
        <v>497493028.6</v>
      </c>
      <c r="I176" s="3" t="str">
        <f>IFERROR(__xludf.DUMMYFUNCTION("""COMPUTED_VALUE"""),"PRIBADI")</f>
        <v>PRIBADI</v>
      </c>
    </row>
    <row r="177">
      <c r="A177" s="7">
        <f>IFERROR(__xludf.DUMMYFUNCTION("""COMPUTED_VALUE"""),46261.0)</f>
        <v>46261</v>
      </c>
      <c r="B177" s="3" t="str">
        <f>IFERROR(__xludf.DUMMYFUNCTION("""COMPUTED_VALUE"""),"TRSF E-BANKING DB")</f>
        <v>TRSF E-BANKING DB</v>
      </c>
      <c r="C177" s="3" t="str">
        <f>IFERROR(__xludf.DUMMYFUNCTION("""COMPUTED_VALUE"""),"2708/FTSCY/WS95011 63703750.00 Mon Aug 24 2026 14:00:00 GMT+0700 (Western Indonesia Time) BINTANG TAMA SANTO")</f>
        <v>2708/FTSCY/WS95011 63703750.00 Mon Aug 24 2026 14:00:00 GMT+0700 (Western Indonesia Time) BINTANG TAMA SANTO</v>
      </c>
      <c r="D177" s="3">
        <f>IFERROR(__xludf.DUMMYFUNCTION("""COMPUTED_VALUE"""),6.370375E7)</f>
        <v>63703750</v>
      </c>
      <c r="E177" s="3"/>
      <c r="F177" s="3" t="str">
        <f>IFERROR(__xludf.DUMMYFUNCTION("""COMPUTED_VALUE"""),"DB")</f>
        <v>DB</v>
      </c>
      <c r="G177" s="3">
        <f>IFERROR(__xludf.DUMMYFUNCTION("""COMPUTED_VALUE"""),4.3378927857000005E8)</f>
        <v>433789278.6</v>
      </c>
      <c r="H177" s="3"/>
      <c r="I177" s="3" t="str">
        <f>IFERROR(__xludf.DUMMYFUNCTION("""COMPUTED_VALUE"""),"PRIBADI")</f>
        <v>PRIBADI</v>
      </c>
    </row>
    <row r="178">
      <c r="A178" s="7">
        <f>IFERROR(__xludf.DUMMYFUNCTION("""COMPUTED_VALUE"""),46261.0)</f>
        <v>46261</v>
      </c>
      <c r="B178" s="3" t="str">
        <f>IFERROR(__xludf.DUMMYFUNCTION("""COMPUTED_VALUE"""),"TRSF E-BANKING DB")</f>
        <v>TRSF E-BANKING DB</v>
      </c>
      <c r="C178" s="3" t="str">
        <f>IFERROR(__xludf.DUMMYFUNCTION("""COMPUTED_VALUE"""),"2708/FTSCY/WS95271 72850000.00 Mon Aug 24 2026 14:00:00 GMT+0700 (Western Indonesia Time) LAJU SATWA WISESA")</f>
        <v>2708/FTSCY/WS95271 72850000.00 Mon Aug 24 2026 14:00:00 GMT+0700 (Western Indonesia Time) LAJU SATWA WISESA</v>
      </c>
      <c r="D178" s="3">
        <f>IFERROR(__xludf.DUMMYFUNCTION("""COMPUTED_VALUE"""),7.285E7)</f>
        <v>72850000</v>
      </c>
      <c r="E178" s="3"/>
      <c r="F178" s="3" t="str">
        <f>IFERROR(__xludf.DUMMYFUNCTION("""COMPUTED_VALUE"""),"DB")</f>
        <v>DB</v>
      </c>
      <c r="G178" s="3">
        <f>IFERROR(__xludf.DUMMYFUNCTION("""COMPUTED_VALUE"""),3.6093927857000005E8)</f>
        <v>360939278.6</v>
      </c>
      <c r="H178" s="3"/>
      <c r="I178" s="3" t="str">
        <f>IFERROR(__xludf.DUMMYFUNCTION("""COMPUTED_VALUE"""),"PRIBADI")</f>
        <v>PRIBADI</v>
      </c>
    </row>
    <row r="179">
      <c r="A179" s="7">
        <f>IFERROR(__xludf.DUMMYFUNCTION("""COMPUTED_VALUE"""),46261.0)</f>
        <v>46261</v>
      </c>
      <c r="B179" s="3" t="str">
        <f>IFERROR(__xludf.DUMMYFUNCTION("""COMPUTED_VALUE"""),"TRSF E-BANKING DB")</f>
        <v>TRSF E-BANKING DB</v>
      </c>
      <c r="C179" s="3" t="str">
        <f>IFERROR(__xludf.DUMMYFUNCTION("""COMPUTED_VALUE"""),"2708/FTSCY/WS95271 72704300.00 Mon Aug 24 2026 14:00:00 GMT+0700 (Western Indonesia Time) LAJU SATWA WISESA")</f>
        <v>2708/FTSCY/WS95271 72704300.00 Mon Aug 24 2026 14:00:00 GMT+0700 (Western Indonesia Time) LAJU SATWA WISESA</v>
      </c>
      <c r="D179" s="3">
        <f>IFERROR(__xludf.DUMMYFUNCTION("""COMPUTED_VALUE"""),7.27043E7)</f>
        <v>72704300</v>
      </c>
      <c r="E179" s="3"/>
      <c r="F179" s="3" t="str">
        <f>IFERROR(__xludf.DUMMYFUNCTION("""COMPUTED_VALUE"""),"DB")</f>
        <v>DB</v>
      </c>
      <c r="G179" s="3">
        <f>IFERROR(__xludf.DUMMYFUNCTION("""COMPUTED_VALUE"""),2.8823497857000005E8)</f>
        <v>288234978.6</v>
      </c>
      <c r="H179" s="3"/>
      <c r="I179" s="3" t="str">
        <f>IFERROR(__xludf.DUMMYFUNCTION("""COMPUTED_VALUE"""),"PRIBADI")</f>
        <v>PRIBADI</v>
      </c>
    </row>
    <row r="180">
      <c r="A180" s="7">
        <f>IFERROR(__xludf.DUMMYFUNCTION("""COMPUTED_VALUE"""),46261.0)</f>
        <v>46261</v>
      </c>
      <c r="B180" s="3" t="str">
        <f>IFERROR(__xludf.DUMMYFUNCTION("""COMPUTED_VALUE"""),"TRSF E-BANKING DB")</f>
        <v>TRSF E-BANKING DB</v>
      </c>
      <c r="C180" s="3" t="str">
        <f>IFERROR(__xludf.DUMMYFUNCTION("""COMPUTED_VALUE"""),"2708/FTSCY/WS95271 56623050.00 Mon Aug 24 2026 14:00:00 GMT+0700 (Western Indonesia Time) ANUGERAH KARTIKA A")</f>
        <v>2708/FTSCY/WS95271 56623050.00 Mon Aug 24 2026 14:00:00 GMT+0700 (Western Indonesia Time) ANUGERAH KARTIKA A</v>
      </c>
      <c r="D180" s="3">
        <f>IFERROR(__xludf.DUMMYFUNCTION("""COMPUTED_VALUE"""),5.662305E7)</f>
        <v>56623050</v>
      </c>
      <c r="E180" s="3"/>
      <c r="F180" s="3" t="str">
        <f>IFERROR(__xludf.DUMMYFUNCTION("""COMPUTED_VALUE"""),"DB")</f>
        <v>DB</v>
      </c>
      <c r="G180" s="3">
        <f>IFERROR(__xludf.DUMMYFUNCTION("""COMPUTED_VALUE"""),2.3161192857000005E8)</f>
        <v>231611928.6</v>
      </c>
      <c r="H180" s="3"/>
      <c r="I180" s="3" t="str">
        <f>IFERROR(__xludf.DUMMYFUNCTION("""COMPUTED_VALUE"""),"PRIBADI")</f>
        <v>PRIBADI</v>
      </c>
    </row>
    <row r="181">
      <c r="A181" s="7">
        <f>IFERROR(__xludf.DUMMYFUNCTION("""COMPUTED_VALUE"""),46261.0)</f>
        <v>46261</v>
      </c>
      <c r="B181" s="3" t="str">
        <f>IFERROR(__xludf.DUMMYFUNCTION("""COMPUTED_VALUE"""),"TRSF E-BANKING DB")</f>
        <v>TRSF E-BANKING DB</v>
      </c>
      <c r="C181" s="3" t="str">
        <f>IFERROR(__xludf.DUMMYFUNCTION("""COMPUTED_VALUE"""),"2708/FTSCY/WS95271 69457700.00 Mon Aug 24 2026 14:00:00 GMT+0700 (Western Indonesia Time) SURYA INTI TERNAK")</f>
        <v>2708/FTSCY/WS95271 69457700.00 Mon Aug 24 2026 14:00:00 GMT+0700 (Western Indonesia Time) SURYA INTI TERNAK</v>
      </c>
      <c r="D181" s="3">
        <f>IFERROR(__xludf.DUMMYFUNCTION("""COMPUTED_VALUE"""),6.94577E7)</f>
        <v>69457700</v>
      </c>
      <c r="E181" s="3"/>
      <c r="F181" s="3" t="str">
        <f>IFERROR(__xludf.DUMMYFUNCTION("""COMPUTED_VALUE"""),"DB")</f>
        <v>DB</v>
      </c>
      <c r="G181" s="3">
        <f>IFERROR(__xludf.DUMMYFUNCTION("""COMPUTED_VALUE"""),1.6215422857000005E8)</f>
        <v>162154228.6</v>
      </c>
      <c r="H181" s="3"/>
      <c r="I181" s="3" t="str">
        <f>IFERROR(__xludf.DUMMYFUNCTION("""COMPUTED_VALUE"""),"PRIBADI")</f>
        <v>PRIBADI</v>
      </c>
    </row>
    <row r="182">
      <c r="A182" s="7">
        <f>IFERROR(__xludf.DUMMYFUNCTION("""COMPUTED_VALUE"""),46261.0)</f>
        <v>46261</v>
      </c>
      <c r="B182" s="3" t="str">
        <f>IFERROR(__xludf.DUMMYFUNCTION("""COMPUTED_VALUE"""),"TRSF E-BANKING DB")</f>
        <v>TRSF E-BANKING DB</v>
      </c>
      <c r="C182" s="3" t="str">
        <f>IFERROR(__xludf.DUMMYFUNCTION("""COMPUTED_VALUE"""),"2708/FTSCY/WS95271 20122000.00 24/08 mlg SURYA INTI TERNAK")</f>
        <v>2708/FTSCY/WS95271 20122000.00 24/08 mlg SURYA INTI TERNAK</v>
      </c>
      <c r="D182" s="3">
        <f>IFERROR(__xludf.DUMMYFUNCTION("""COMPUTED_VALUE"""),2.0122E7)</f>
        <v>20122000</v>
      </c>
      <c r="E182" s="3"/>
      <c r="F182" s="3" t="str">
        <f>IFERROR(__xludf.DUMMYFUNCTION("""COMPUTED_VALUE"""),"DB")</f>
        <v>DB</v>
      </c>
      <c r="G182" s="3">
        <f>IFERROR(__xludf.DUMMYFUNCTION("""COMPUTED_VALUE"""),1.4203222857000005E8)</f>
        <v>142032228.6</v>
      </c>
      <c r="H182" s="3"/>
      <c r="I182" s="3" t="str">
        <f>IFERROR(__xludf.DUMMYFUNCTION("""COMPUTED_VALUE"""),"PRIBADI")</f>
        <v>PRIBADI</v>
      </c>
    </row>
    <row r="183">
      <c r="A183" s="7">
        <f>IFERROR(__xludf.DUMMYFUNCTION("""COMPUTED_VALUE"""),46261.0)</f>
        <v>46261</v>
      </c>
      <c r="B183" s="3" t="str">
        <f>IFERROR(__xludf.DUMMYFUNCTION("""COMPUTED_VALUE"""),"TRSF E-BANKING DB")</f>
        <v>TRSF E-BANKING DB</v>
      </c>
      <c r="C183" s="3" t="str">
        <f>IFERROR(__xludf.DUMMYFUNCTION("""COMPUTED_VALUE"""),"2708/FTSCY/WS95031 40000000.00 pelunasan SURYA INTI TERNAK")</f>
        <v>2708/FTSCY/WS95031 40000000.00 pelunasan SURYA INTI TERNAK</v>
      </c>
      <c r="D183" s="3">
        <f>IFERROR(__xludf.DUMMYFUNCTION("""COMPUTED_VALUE"""),4.0E7)</f>
        <v>40000000</v>
      </c>
      <c r="E183" s="3"/>
      <c r="F183" s="3" t="str">
        <f>IFERROR(__xludf.DUMMYFUNCTION("""COMPUTED_VALUE"""),"DB")</f>
        <v>DB</v>
      </c>
      <c r="G183" s="3">
        <f>IFERROR(__xludf.DUMMYFUNCTION("""COMPUTED_VALUE"""),1.0203222857000005E8)</f>
        <v>102032228.6</v>
      </c>
      <c r="H183" s="3"/>
      <c r="I183" s="3" t="str">
        <f>IFERROR(__xludf.DUMMYFUNCTION("""COMPUTED_VALUE"""),"PRIBADI")</f>
        <v>PRIBADI</v>
      </c>
    </row>
    <row r="184">
      <c r="A184" s="7">
        <f>IFERROR(__xludf.DUMMYFUNCTION("""COMPUTED_VALUE"""),46261.0)</f>
        <v>46261</v>
      </c>
      <c r="B184" s="3" t="str">
        <f>IFERROR(__xludf.DUMMYFUNCTION("""COMPUTED_VALUE"""),"TRSF E-BANKING DB")</f>
        <v>TRSF E-BANKING DB</v>
      </c>
      <c r="C184" s="3" t="str">
        <f>IFERROR(__xludf.DUMMYFUNCTION("""COMPUTED_VALUE"""),"2708/FTSCY/WS95031 8572800.00 SUGENG RIADI")</f>
        <v>2708/FTSCY/WS95031 8572800.00 SUGENG RIADI</v>
      </c>
      <c r="D184" s="3">
        <f>IFERROR(__xludf.DUMMYFUNCTION("""COMPUTED_VALUE"""),8572800.0)</f>
        <v>8572800</v>
      </c>
      <c r="E184" s="3"/>
      <c r="F184" s="3" t="str">
        <f>IFERROR(__xludf.DUMMYFUNCTION("""COMPUTED_VALUE"""),"DB")</f>
        <v>DB</v>
      </c>
      <c r="G184" s="3">
        <f>IFERROR(__xludf.DUMMYFUNCTION("""COMPUTED_VALUE"""),9.345942857000005E7)</f>
        <v>93459428.57</v>
      </c>
      <c r="H184" s="3"/>
      <c r="I184" s="3" t="str">
        <f>IFERROR(__xludf.DUMMYFUNCTION("""COMPUTED_VALUE"""),"PRIBADI")</f>
        <v>PRIBADI</v>
      </c>
    </row>
    <row r="185">
      <c r="A185" s="7">
        <f>IFERROR(__xludf.DUMMYFUNCTION("""COMPUTED_VALUE"""),46261.0)</f>
        <v>46261</v>
      </c>
      <c r="B185" s="3" t="str">
        <f>IFERROR(__xludf.DUMMYFUNCTION("""COMPUTED_VALUE"""),"TRSF E-BANKING DB")</f>
        <v>TRSF E-BANKING DB</v>
      </c>
      <c r="C185" s="3" t="str">
        <f>IFERROR(__xludf.DUMMYFUNCTION("""COMPUTED_VALUE"""),"2708/FTSCY/WS95031 785340.00 lunas RODHIATUS SOLEHA")</f>
        <v>2708/FTSCY/WS95031 785340.00 lunas RODHIATUS SOLEHA</v>
      </c>
      <c r="D185" s="3">
        <f>IFERROR(__xludf.DUMMYFUNCTION("""COMPUTED_VALUE"""),785340.0)</f>
        <v>785340</v>
      </c>
      <c r="E185" s="3"/>
      <c r="F185" s="3" t="str">
        <f>IFERROR(__xludf.DUMMYFUNCTION("""COMPUTED_VALUE"""),"DB")</f>
        <v>DB</v>
      </c>
      <c r="G185" s="3">
        <f>IFERROR(__xludf.DUMMYFUNCTION("""COMPUTED_VALUE"""),9.267408857000005E7)</f>
        <v>92674088.57</v>
      </c>
      <c r="H185" s="3"/>
      <c r="I185" s="3" t="str">
        <f>IFERROR(__xludf.DUMMYFUNCTION("""COMPUTED_VALUE"""),"PRIBADI")</f>
        <v>PRIBADI</v>
      </c>
    </row>
    <row r="186">
      <c r="A186" s="7">
        <f>IFERROR(__xludf.DUMMYFUNCTION("""COMPUTED_VALUE"""),46261.0)</f>
        <v>46261</v>
      </c>
      <c r="B186" s="3" t="str">
        <f>IFERROR(__xludf.DUMMYFUNCTION("""COMPUTED_VALUE"""),"TRSF E-BANKING DB")</f>
        <v>TRSF E-BANKING DB</v>
      </c>
      <c r="C186" s="3" t="str">
        <f>IFERROR(__xludf.DUMMYFUNCTION("""COMPUTED_VALUE"""),"2708/FTFVA/WS95031 67847/UNGGAS MANDI Tue Aug 25 2026 14:00:00 GMT+0700 (Western Indonesia Time) - 200043")</f>
        <v>2708/FTFVA/WS95031 67847/UNGGAS MANDI Tue Aug 25 2026 14:00:00 GMT+0700 (Western Indonesia Time) - 200043</v>
      </c>
      <c r="D186" s="3">
        <f>IFERROR(__xludf.DUMMYFUNCTION("""COMPUTED_VALUE"""),6.362625E7)</f>
        <v>63626250</v>
      </c>
      <c r="E186" s="3"/>
      <c r="F186" s="3" t="str">
        <f>IFERROR(__xludf.DUMMYFUNCTION("""COMPUTED_VALUE"""),"DB")</f>
        <v>DB</v>
      </c>
      <c r="G186" s="3">
        <f>IFERROR(__xludf.DUMMYFUNCTION("""COMPUTED_VALUE"""),2.9047838570000052E7)</f>
        <v>29047838.57</v>
      </c>
      <c r="H186" s="3"/>
      <c r="I186" s="3" t="str">
        <f>IFERROR(__xludf.DUMMYFUNCTION("""COMPUTED_VALUE"""),"PRIBADI")</f>
        <v>PRIBADI</v>
      </c>
    </row>
    <row r="187">
      <c r="A187" s="7">
        <f>IFERROR(__xludf.DUMMYFUNCTION("""COMPUTED_VALUE"""),46261.0)</f>
        <v>46261</v>
      </c>
      <c r="B187" s="3" t="str">
        <f>IFERROR(__xludf.DUMMYFUNCTION("""COMPUTED_VALUE"""),"TARIKAN ATM 27/08")</f>
        <v>TARIKAN ATM 27/08</v>
      </c>
      <c r="C187" s="3" t="str">
        <f>IFERROR(__xludf.DUMMYFUNCTION("""COMPUTED_VALUE"""),"TARIKAN ATM 27/08")</f>
        <v>TARIKAN ATM 27/08</v>
      </c>
      <c r="D187" s="3">
        <f>IFERROR(__xludf.DUMMYFUNCTION("""COMPUTED_VALUE"""),200000.0)</f>
        <v>200000</v>
      </c>
      <c r="E187" s="3"/>
      <c r="F187" s="3"/>
      <c r="G187" s="3">
        <f>IFERROR(__xludf.DUMMYFUNCTION("""COMPUTED_VALUE"""),2.8847838570000052E7)</f>
        <v>28847838.57</v>
      </c>
      <c r="H187" s="3"/>
      <c r="I187" s="3" t="str">
        <f>IFERROR(__xludf.DUMMYFUNCTION("""COMPUTED_VALUE"""),"PRIBADI")</f>
        <v>PRIBADI</v>
      </c>
    </row>
    <row r="188">
      <c r="A188" s="7">
        <f>IFERROR(__xludf.DUMMYFUNCTION("""COMPUTED_VALUE"""),46261.0)</f>
        <v>46261</v>
      </c>
      <c r="B188" s="3" t="str">
        <f>IFERROR(__xludf.DUMMYFUNCTION("""COMPUTED_VALUE"""),"KARTU DEBIT")</f>
        <v>KARTU DEBIT</v>
      </c>
      <c r="C188" s="3" t="str">
        <f>IFERROR(__xludf.DUMMYFUNCTION("""COMPUTED_VALUE"""),"ALFAMRT Y073 SUDI 6019009510239343")</f>
        <v>ALFAMRT Y073 SUDI 6019009510239343</v>
      </c>
      <c r="D188" s="3">
        <f>IFERROR(__xludf.DUMMYFUNCTION("""COMPUTED_VALUE"""),150900.0)</f>
        <v>150900</v>
      </c>
      <c r="E188" s="3"/>
      <c r="F188" s="3"/>
      <c r="G188" s="3">
        <f>IFERROR(__xludf.DUMMYFUNCTION("""COMPUTED_VALUE"""),2.8696938570000052E7)</f>
        <v>28696938.57</v>
      </c>
      <c r="H188" s="3">
        <f>IFERROR(__xludf.DUMMYFUNCTION("""COMPUTED_VALUE"""),2.869693857E7)</f>
        <v>28696938.57</v>
      </c>
      <c r="I188" s="3" t="str">
        <f>IFERROR(__xludf.DUMMYFUNCTION("""COMPUTED_VALUE"""),"PRIBADI")</f>
        <v>PRIBADI</v>
      </c>
    </row>
    <row r="189">
      <c r="A189" s="7">
        <f>IFERROR(__xludf.DUMMYFUNCTION("""COMPUTED_VALUE"""),46262.0)</f>
        <v>46262</v>
      </c>
      <c r="B189" s="3" t="str">
        <f>IFERROR(__xludf.DUMMYFUNCTION("""COMPUTED_VALUE"""),"TRSF E-BANKING DB TANGGAL :27/08")</f>
        <v>TRSF E-BANKING DB TANGGAL :27/08</v>
      </c>
      <c r="C189" s="3" t="str">
        <f>IFERROR(__xludf.DUMMYFUNCTION("""COMPUTED_VALUE"""),"2708/FTSCY/WS95031 HERMAWAN")</f>
        <v>2708/FTSCY/WS95031 HERMAWAN</v>
      </c>
      <c r="D189" s="3">
        <f>IFERROR(__xludf.DUMMYFUNCTION("""COMPUTED_VALUE"""),4686500.0)</f>
        <v>4686500</v>
      </c>
      <c r="E189" s="3"/>
      <c r="F189" s="3" t="str">
        <f>IFERROR(__xludf.DUMMYFUNCTION("""COMPUTED_VALUE"""),"DB")</f>
        <v>DB</v>
      </c>
      <c r="G189" s="3">
        <f>IFERROR(__xludf.DUMMYFUNCTION("""COMPUTED_VALUE"""),2.4010438570000052E7)</f>
        <v>24010438.57</v>
      </c>
      <c r="H189" s="3">
        <f>IFERROR(__xludf.DUMMYFUNCTION("""COMPUTED_VALUE"""),2.401043857E7)</f>
        <v>24010438.57</v>
      </c>
      <c r="I189" s="3" t="str">
        <f>IFERROR(__xludf.DUMMYFUNCTION("""COMPUTED_VALUE"""),"PRIBADI")</f>
        <v>PRIBADI</v>
      </c>
    </row>
    <row r="190">
      <c r="A190" s="7">
        <f>IFERROR(__xludf.DUMMYFUNCTION("""COMPUTED_VALUE"""),46262.0)</f>
        <v>46262</v>
      </c>
      <c r="B190" s="3" t="str">
        <f>IFERROR(__xludf.DUMMYFUNCTION("""COMPUTED_VALUE"""),"TRSF E-BANKING DB TANGGAL :27/08")</f>
        <v>TRSF E-BANKING DB TANGGAL :27/08</v>
      </c>
      <c r="C190" s="3" t="str">
        <f>IFERROR(__xludf.DUMMYFUNCTION("""COMPUTED_VALUE"""),"2708/FTSCY/WS95031 MUJIANTO")</f>
        <v>2708/FTSCY/WS95031 MUJIANTO</v>
      </c>
      <c r="D190" s="3">
        <f>IFERROR(__xludf.DUMMYFUNCTION("""COMPUTED_VALUE"""),2480510.0)</f>
        <v>2480510</v>
      </c>
      <c r="E190" s="3"/>
      <c r="F190" s="3" t="str">
        <f>IFERROR(__xludf.DUMMYFUNCTION("""COMPUTED_VALUE"""),"DB")</f>
        <v>DB</v>
      </c>
      <c r="G190" s="3">
        <f>IFERROR(__xludf.DUMMYFUNCTION("""COMPUTED_VALUE"""),2.1529928570000052E7)</f>
        <v>21529928.57</v>
      </c>
      <c r="H190" s="3">
        <f>IFERROR(__xludf.DUMMYFUNCTION("""COMPUTED_VALUE"""),2.152992857E7)</f>
        <v>21529928.57</v>
      </c>
      <c r="I190" s="3" t="str">
        <f>IFERROR(__xludf.DUMMYFUNCTION("""COMPUTED_VALUE"""),"PRIBADI")</f>
        <v>PRIBADI</v>
      </c>
    </row>
    <row r="191">
      <c r="A191" s="7">
        <f>IFERROR(__xludf.DUMMYFUNCTION("""COMPUTED_VALUE"""),46262.0)</f>
        <v>46262</v>
      </c>
      <c r="B191" s="3" t="str">
        <f>IFERROR(__xludf.DUMMYFUNCTION("""COMPUTED_VALUE"""),"TRSF E-BANKING DB TANGGAL :27/08")</f>
        <v>TRSF E-BANKING DB TANGGAL :27/08</v>
      </c>
      <c r="C191" s="3" t="str">
        <f>IFERROR(__xludf.DUMMYFUNCTION("""COMPUTED_VALUE"""),"2708/FTSCY/WS95031 DWI HERMANSYAH")</f>
        <v>2708/FTSCY/WS95031 DWI HERMANSYAH</v>
      </c>
      <c r="D191" s="3">
        <f>IFERROR(__xludf.DUMMYFUNCTION("""COMPUTED_VALUE"""),4000000.0)</f>
        <v>4000000</v>
      </c>
      <c r="E191" s="3"/>
      <c r="F191" s="3" t="str">
        <f>IFERROR(__xludf.DUMMYFUNCTION("""COMPUTED_VALUE"""),"DB")</f>
        <v>DB</v>
      </c>
      <c r="G191" s="3">
        <f>IFERROR(__xludf.DUMMYFUNCTION("""COMPUTED_VALUE"""),1.7529928570000052E7)</f>
        <v>17529928.57</v>
      </c>
      <c r="H191" s="3"/>
      <c r="I191" s="3" t="str">
        <f>IFERROR(__xludf.DUMMYFUNCTION("""COMPUTED_VALUE"""),"PRIBADI")</f>
        <v>PRIBADI</v>
      </c>
    </row>
    <row r="192">
      <c r="A192" s="7">
        <f>IFERROR(__xludf.DUMMYFUNCTION("""COMPUTED_VALUE"""),46262.0)</f>
        <v>46262</v>
      </c>
      <c r="B192" s="3" t="str">
        <f>IFERROR(__xludf.DUMMYFUNCTION("""COMPUTED_VALUE"""),"TRSF E-BANKING DB TANGGAL :27/08")</f>
        <v>TRSF E-BANKING DB TANGGAL :27/08</v>
      </c>
      <c r="C192" s="3" t="str">
        <f>IFERROR(__xludf.DUMMYFUNCTION("""COMPUTED_VALUE"""),"2708/FTSCY/WS95031 EKO SETIYAWAN")</f>
        <v>2708/FTSCY/WS95031 EKO SETIYAWAN</v>
      </c>
      <c r="D192" s="3">
        <f>IFERROR(__xludf.DUMMYFUNCTION("""COMPUTED_VALUE"""),2.572309E7)</f>
        <v>25723090</v>
      </c>
      <c r="E192" s="3"/>
      <c r="F192" s="3" t="str">
        <f>IFERROR(__xludf.DUMMYFUNCTION("""COMPUTED_VALUE"""),"DB")</f>
        <v>DB</v>
      </c>
      <c r="G192" s="3">
        <f>IFERROR(__xludf.DUMMYFUNCTION("""COMPUTED_VALUE"""),1.6806838570000052E7)</f>
        <v>16806838.57</v>
      </c>
      <c r="H192" s="3"/>
      <c r="I192" s="3" t="str">
        <f>IFERROR(__xludf.DUMMYFUNCTION("""COMPUTED_VALUE"""),"PRIBADI")</f>
        <v>PRIBADI</v>
      </c>
    </row>
    <row r="193">
      <c r="A193" s="7">
        <f>IFERROR(__xludf.DUMMYFUNCTION("""COMPUTED_VALUE"""),46262.0)</f>
        <v>46262</v>
      </c>
      <c r="B193" s="3" t="str">
        <f>IFERROR(__xludf.DUMMYFUNCTION("""COMPUTED_VALUE"""),"TRSF E-BANKING DB")</f>
        <v>TRSF E-BANKING DB</v>
      </c>
      <c r="C193" s="3" t="str">
        <f>IFERROR(__xludf.DUMMYFUNCTION("""COMPUTED_VALUE"""),"2808/FTSCY/WS95031 62912450.00 Tue Aug 25 2026 14:00:00 GMT+0700 (Western Indonesia Time) BINTANG TAMA SANTO")</f>
        <v>2808/FTSCY/WS95031 62912450.00 Tue Aug 25 2026 14:00:00 GMT+0700 (Western Indonesia Time) BINTANG TAMA SANTO</v>
      </c>
      <c r="D193" s="3">
        <f>IFERROR(__xludf.DUMMYFUNCTION("""COMPUTED_VALUE"""),6.291245E7)</f>
        <v>62912450</v>
      </c>
      <c r="E193" s="3"/>
      <c r="F193" s="3" t="str">
        <f>IFERROR(__xludf.DUMMYFUNCTION("""COMPUTED_VALUE"""),"DB")</f>
        <v>DB</v>
      </c>
      <c r="G193" s="3">
        <f>IFERROR(__xludf.DUMMYFUNCTION("""COMPUTED_VALUE"""),7.3711340857E8)</f>
        <v>737113408.6</v>
      </c>
      <c r="H193" s="3"/>
      <c r="I193" s="3" t="str">
        <f>IFERROR(__xludf.DUMMYFUNCTION("""COMPUTED_VALUE"""),"PRIBADI")</f>
        <v>PRIBADI</v>
      </c>
    </row>
    <row r="194">
      <c r="A194" s="7">
        <f>IFERROR(__xludf.DUMMYFUNCTION("""COMPUTED_VALUE"""),46262.0)</f>
        <v>46262</v>
      </c>
      <c r="B194" s="3" t="str">
        <f>IFERROR(__xludf.DUMMYFUNCTION("""COMPUTED_VALUE"""),"TRSF E-BANKING DB")</f>
        <v>TRSF E-BANKING DB</v>
      </c>
      <c r="C194" s="3" t="str">
        <f>IFERROR(__xludf.DUMMYFUNCTION("""COMPUTED_VALUE"""),"2808/FTSCY/WS95271 68854500.00 Tue Aug 25 2026 14:00:00 GMT+0700 (Western Indonesia Time) BINTANG TAMA SANTO")</f>
        <v>2808/FTSCY/WS95271 68854500.00 Tue Aug 25 2026 14:00:00 GMT+0700 (Western Indonesia Time) BINTANG TAMA SANTO</v>
      </c>
      <c r="D194" s="3">
        <f>IFERROR(__xludf.DUMMYFUNCTION("""COMPUTED_VALUE"""),6.88545E7)</f>
        <v>68854500</v>
      </c>
      <c r="E194" s="3"/>
      <c r="F194" s="3" t="str">
        <f>IFERROR(__xludf.DUMMYFUNCTION("""COMPUTED_VALUE"""),"DB")</f>
        <v>DB</v>
      </c>
      <c r="G194" s="3">
        <f>IFERROR(__xludf.DUMMYFUNCTION("""COMPUTED_VALUE"""),6.6825890857E8)</f>
        <v>668258908.6</v>
      </c>
      <c r="H194" s="3"/>
      <c r="I194" s="3" t="str">
        <f>IFERROR(__xludf.DUMMYFUNCTION("""COMPUTED_VALUE"""),"PRIBADI")</f>
        <v>PRIBADI</v>
      </c>
    </row>
    <row r="195">
      <c r="A195" s="7">
        <f>IFERROR(__xludf.DUMMYFUNCTION("""COMPUTED_VALUE"""),46262.0)</f>
        <v>46262</v>
      </c>
      <c r="B195" s="3" t="str">
        <f>IFERROR(__xludf.DUMMYFUNCTION("""COMPUTED_VALUE"""),"TRSF E-BANKING DB")</f>
        <v>TRSF E-BANKING DB</v>
      </c>
      <c r="C195" s="3" t="str">
        <f>IFERROR(__xludf.DUMMYFUNCTION("""COMPUTED_VALUE"""),"2808/FTSCY/WS95271 81227750.00 Tue Aug 25 2026 14:00:00 GMT+0700 (Western Indonesia Time) BINTANG TAMA SANTO")</f>
        <v>2808/FTSCY/WS95271 81227750.00 Tue Aug 25 2026 14:00:00 GMT+0700 (Western Indonesia Time) BINTANG TAMA SANTO</v>
      </c>
      <c r="D195" s="3">
        <f>IFERROR(__xludf.DUMMYFUNCTION("""COMPUTED_VALUE"""),8.122775E7)</f>
        <v>81227750</v>
      </c>
      <c r="E195" s="3"/>
      <c r="F195" s="3" t="str">
        <f>IFERROR(__xludf.DUMMYFUNCTION("""COMPUTED_VALUE"""),"DB")</f>
        <v>DB</v>
      </c>
      <c r="G195" s="3">
        <f>IFERROR(__xludf.DUMMYFUNCTION("""COMPUTED_VALUE"""),5.8703115857E8)</f>
        <v>587031158.6</v>
      </c>
      <c r="H195" s="3"/>
      <c r="I195" s="3" t="str">
        <f>IFERROR(__xludf.DUMMYFUNCTION("""COMPUTED_VALUE"""),"PRIBADI")</f>
        <v>PRIBADI</v>
      </c>
    </row>
    <row r="196">
      <c r="A196" s="7">
        <f>IFERROR(__xludf.DUMMYFUNCTION("""COMPUTED_VALUE"""),46262.0)</f>
        <v>46262</v>
      </c>
      <c r="B196" s="3" t="str">
        <f>IFERROR(__xludf.DUMMYFUNCTION("""COMPUTED_VALUE"""),"TRSF E-BANKING DB")</f>
        <v>TRSF E-BANKING DB</v>
      </c>
      <c r="C196" s="3" t="str">
        <f>IFERROR(__xludf.DUMMYFUNCTION("""COMPUTED_VALUE"""),"2808/FTSCY/WS95271 128660000.00 Tue Aug 25 2026 14:00:00 GMT+0700 (Western Indonesia Time) TERNAK SEJATI TABA")</f>
        <v>2808/FTSCY/WS95271 128660000.00 Tue Aug 25 2026 14:00:00 GMT+0700 (Western Indonesia Time) TERNAK SEJATI TABA</v>
      </c>
      <c r="D196" s="3">
        <f>IFERROR(__xludf.DUMMYFUNCTION("""COMPUTED_VALUE"""),1.2866E8)</f>
        <v>128660000</v>
      </c>
      <c r="E196" s="3"/>
      <c r="F196" s="3" t="str">
        <f>IFERROR(__xludf.DUMMYFUNCTION("""COMPUTED_VALUE"""),"DB")</f>
        <v>DB</v>
      </c>
      <c r="G196" s="3">
        <f>IFERROR(__xludf.DUMMYFUNCTION("""COMPUTED_VALUE"""),4.5837115857000005E8)</f>
        <v>458371158.6</v>
      </c>
      <c r="H196" s="3"/>
      <c r="I196" s="3" t="str">
        <f>IFERROR(__xludf.DUMMYFUNCTION("""COMPUTED_VALUE"""),"PRIBADI")</f>
        <v>PRIBADI</v>
      </c>
    </row>
    <row r="197">
      <c r="A197" s="7">
        <f>IFERROR(__xludf.DUMMYFUNCTION("""COMPUTED_VALUE"""),46262.0)</f>
        <v>46262</v>
      </c>
      <c r="B197" s="3" t="str">
        <f>IFERROR(__xludf.DUMMYFUNCTION("""COMPUTED_VALUE"""),"TRSF E-BANKING DB")</f>
        <v>TRSF E-BANKING DB</v>
      </c>
      <c r="C197" s="3" t="str">
        <f>IFERROR(__xludf.DUMMYFUNCTION("""COMPUTED_VALUE"""),"2808/FTSCY/WS95271 16500000.00 SUGENG RIADI")</f>
        <v>2808/FTSCY/WS95271 16500000.00 SUGENG RIADI</v>
      </c>
      <c r="D197" s="3">
        <f>IFERROR(__xludf.DUMMYFUNCTION("""COMPUTED_VALUE"""),1.65E7)</f>
        <v>16500000</v>
      </c>
      <c r="E197" s="3"/>
      <c r="F197" s="3" t="str">
        <f>IFERROR(__xludf.DUMMYFUNCTION("""COMPUTED_VALUE"""),"DB")</f>
        <v>DB</v>
      </c>
      <c r="G197" s="3">
        <f>IFERROR(__xludf.DUMMYFUNCTION("""COMPUTED_VALUE"""),4.4187115857000005E8)</f>
        <v>441871158.6</v>
      </c>
      <c r="H197" s="3"/>
      <c r="I197" s="3" t="str">
        <f>IFERROR(__xludf.DUMMYFUNCTION("""COMPUTED_VALUE"""),"PRIBADI")</f>
        <v>PRIBADI</v>
      </c>
    </row>
    <row r="198">
      <c r="A198" s="7">
        <f>IFERROR(__xludf.DUMMYFUNCTION("""COMPUTED_VALUE"""),46262.0)</f>
        <v>46262</v>
      </c>
      <c r="B198" s="3" t="str">
        <f>IFERROR(__xludf.DUMMYFUNCTION("""COMPUTED_VALUE"""),"TRSF E-BANKING DB")</f>
        <v>TRSF E-BANKING DB</v>
      </c>
      <c r="C198" s="3" t="str">
        <f>IFERROR(__xludf.DUMMYFUNCTION("""COMPUTED_VALUE"""),"2808/FTSCY/WS95031 30000000.00 pelunasan SUGENG RIADI")</f>
        <v>2808/FTSCY/WS95031 30000000.00 pelunasan SUGENG RIADI</v>
      </c>
      <c r="D198" s="3">
        <f>IFERROR(__xludf.DUMMYFUNCTION("""COMPUTED_VALUE"""),3.0E7)</f>
        <v>30000000</v>
      </c>
      <c r="E198" s="3"/>
      <c r="F198" s="3" t="str">
        <f>IFERROR(__xludf.DUMMYFUNCTION("""COMPUTED_VALUE"""),"DB")</f>
        <v>DB</v>
      </c>
      <c r="G198" s="3">
        <f>IFERROR(__xludf.DUMMYFUNCTION("""COMPUTED_VALUE"""),4.1187115857000005E8)</f>
        <v>411871158.6</v>
      </c>
      <c r="H198" s="3">
        <f>IFERROR(__xludf.DUMMYFUNCTION("""COMPUTED_VALUE"""),4.1187115857E8)</f>
        <v>411871158.6</v>
      </c>
      <c r="I198" s="3" t="str">
        <f>IFERROR(__xludf.DUMMYFUNCTION("""COMPUTED_VALUE"""),"PRIBADI")</f>
        <v>PRIBADI</v>
      </c>
    </row>
    <row r="199">
      <c r="A199" s="7">
        <f>IFERROR(__xludf.DUMMYFUNCTION("""COMPUTED_VALUE"""),46262.0)</f>
        <v>46262</v>
      </c>
      <c r="B199" s="3" t="str">
        <f>IFERROR(__xludf.DUMMYFUNCTION("""COMPUTED_VALUE"""),"TRSF E-BANKING DB")</f>
        <v>TRSF E-BANKING DB</v>
      </c>
      <c r="C199" s="3" t="str">
        <f>IFERROR(__xludf.DUMMYFUNCTION("""COMPUTED_VALUE"""),"2808/FTSCY/WS95011 125439500.00 Tue Aug 25 2026 14:00:00 GMT+0700 (Western Indonesia Time) LAJU SATWA WISESA")</f>
        <v>2808/FTSCY/WS95011 125439500.00 Tue Aug 25 2026 14:00:00 GMT+0700 (Western Indonesia Time) LAJU SATWA WISESA</v>
      </c>
      <c r="D199" s="3">
        <f>IFERROR(__xludf.DUMMYFUNCTION("""COMPUTED_VALUE"""),1.254395E8)</f>
        <v>125439500</v>
      </c>
      <c r="E199" s="3"/>
      <c r="F199" s="3" t="str">
        <f>IFERROR(__xludf.DUMMYFUNCTION("""COMPUTED_VALUE"""),"DB")</f>
        <v>DB</v>
      </c>
      <c r="G199" s="3">
        <f>IFERROR(__xludf.DUMMYFUNCTION("""COMPUTED_VALUE"""),2.8643165857000005E8)</f>
        <v>286431658.6</v>
      </c>
      <c r="H199" s="3">
        <f>IFERROR(__xludf.DUMMYFUNCTION("""COMPUTED_VALUE"""),2.8643165857E8)</f>
        <v>286431658.6</v>
      </c>
      <c r="I199" s="3" t="str">
        <f>IFERROR(__xludf.DUMMYFUNCTION("""COMPUTED_VALUE"""),"PRIBADI")</f>
        <v>PRIBADI</v>
      </c>
    </row>
    <row r="200">
      <c r="A200" s="7">
        <f>IFERROR(__xludf.DUMMYFUNCTION("""COMPUTED_VALUE"""),46262.0)</f>
        <v>46262</v>
      </c>
      <c r="B200" s="3" t="str">
        <f>IFERROR(__xludf.DUMMYFUNCTION("""COMPUTED_VALUE"""),"TRSF E-BANKING DB")</f>
        <v>TRSF E-BANKING DB</v>
      </c>
      <c r="C200" s="3" t="str">
        <f>IFERROR(__xludf.DUMMYFUNCTION("""COMPUTED_VALUE"""),"2808/FTSCY/WS95011 81769400.00 Tue Aug 25 2026 14:00:00 GMT+0700 (Western Indonesia Time) BINTANG TAMA SANTO")</f>
        <v>2808/FTSCY/WS95011 81769400.00 Tue Aug 25 2026 14:00:00 GMT+0700 (Western Indonesia Time) BINTANG TAMA SANTO</v>
      </c>
      <c r="D200" s="3">
        <f>IFERROR(__xludf.DUMMYFUNCTION("""COMPUTED_VALUE"""),8.17694E7)</f>
        <v>81769400</v>
      </c>
      <c r="E200" s="3"/>
      <c r="F200" s="3" t="str">
        <f>IFERROR(__xludf.DUMMYFUNCTION("""COMPUTED_VALUE"""),"DB")</f>
        <v>DB</v>
      </c>
      <c r="G200" s="3">
        <f>IFERROR(__xludf.DUMMYFUNCTION("""COMPUTED_VALUE"""),2.0466225857000005E8)</f>
        <v>204662258.6</v>
      </c>
      <c r="H200" s="3"/>
      <c r="I200" s="3" t="str">
        <f>IFERROR(__xludf.DUMMYFUNCTION("""COMPUTED_VALUE"""),"PRIBADI")</f>
        <v>PRIBADI</v>
      </c>
    </row>
    <row r="201">
      <c r="A201" s="7">
        <f>IFERROR(__xludf.DUMMYFUNCTION("""COMPUTED_VALUE"""),46262.0)</f>
        <v>46262</v>
      </c>
      <c r="B201" s="3" t="str">
        <f>IFERROR(__xludf.DUMMYFUNCTION("""COMPUTED_VALUE"""),"TRSF E-BANKING DB")</f>
        <v>TRSF E-BANKING DB</v>
      </c>
      <c r="C201" s="3" t="str">
        <f>IFERROR(__xludf.DUMMYFUNCTION("""COMPUTED_VALUE"""),"2808/FTSCY/WS95011 127789200.00 Tue Aug 25 2026 14:00:00 GMT+0700 (Western Indonesia Time) TUMBUH OPTIMAL PRI")</f>
        <v>2808/FTSCY/WS95011 127789200.00 Tue Aug 25 2026 14:00:00 GMT+0700 (Western Indonesia Time) TUMBUH OPTIMAL PRI</v>
      </c>
      <c r="D201" s="3">
        <f>IFERROR(__xludf.DUMMYFUNCTION("""COMPUTED_VALUE"""),1.277892E8)</f>
        <v>127789200</v>
      </c>
      <c r="E201" s="3"/>
      <c r="F201" s="3" t="str">
        <f>IFERROR(__xludf.DUMMYFUNCTION("""COMPUTED_VALUE"""),"DB")</f>
        <v>DB</v>
      </c>
      <c r="G201" s="3">
        <f>IFERROR(__xludf.DUMMYFUNCTION("""COMPUTED_VALUE"""),7.687305857000005E7)</f>
        <v>76873058.57</v>
      </c>
      <c r="H201" s="3"/>
      <c r="I201" s="3" t="str">
        <f>IFERROR(__xludf.DUMMYFUNCTION("""COMPUTED_VALUE"""),"PRIBADI")</f>
        <v>PRIBADI</v>
      </c>
    </row>
    <row r="202">
      <c r="A202" s="7">
        <f>IFERROR(__xludf.DUMMYFUNCTION("""COMPUTED_VALUE"""),46262.0)</f>
        <v>46262</v>
      </c>
      <c r="B202" s="3" t="str">
        <f>IFERROR(__xludf.DUMMYFUNCTION("""COMPUTED_VALUE"""),"TRSF E-BANKING DB")</f>
        <v>TRSF E-BANKING DB</v>
      </c>
      <c r="C202" s="3" t="str">
        <f>IFERROR(__xludf.DUMMYFUNCTION("""COMPUTED_VALUE"""),"2808/FTSCY/WS95011 65476000.00 Fri Aug 28 2026 14:00:00 GMT+0700 (Western Indonesia Time) DINA LUKMIANINGRUM")</f>
        <v>2808/FTSCY/WS95011 65476000.00 Fri Aug 28 2026 14:00:00 GMT+0700 (Western Indonesia Time) DINA LUKMIANINGRUM</v>
      </c>
      <c r="D202" s="3">
        <f>IFERROR(__xludf.DUMMYFUNCTION("""COMPUTED_VALUE"""),6.5476E7)</f>
        <v>65476000</v>
      </c>
      <c r="E202" s="3"/>
      <c r="F202" s="3" t="str">
        <f>IFERROR(__xludf.DUMMYFUNCTION("""COMPUTED_VALUE"""),"DB")</f>
        <v>DB</v>
      </c>
      <c r="G202" s="3">
        <f>IFERROR(__xludf.DUMMYFUNCTION("""COMPUTED_VALUE"""),1.1397058570000052E7)</f>
        <v>11397058.57</v>
      </c>
      <c r="H202" s="3"/>
      <c r="I202" s="3" t="str">
        <f>IFERROR(__xludf.DUMMYFUNCTION("""COMPUTED_VALUE"""),"PRIBADI")</f>
        <v>PRIBADI</v>
      </c>
    </row>
    <row r="203">
      <c r="A203" s="7">
        <f>IFERROR(__xludf.DUMMYFUNCTION("""COMPUTED_VALUE"""),46263.0)</f>
        <v>46263</v>
      </c>
      <c r="B203" s="3" t="str">
        <f>IFERROR(__xludf.DUMMYFUNCTION("""COMPUTED_VALUE"""),"TRSF E-BANKING DB TANGGAL :28/08")</f>
        <v>TRSF E-BANKING DB TANGGAL :28/08</v>
      </c>
      <c r="C203" s="3" t="str">
        <f>IFERROR(__xludf.DUMMYFUNCTION("""COMPUTED_VALUE"""),"2808/FTSCY/WS95031 HERMAWAN")</f>
        <v>2808/FTSCY/WS95031 HERMAWAN</v>
      </c>
      <c r="D203" s="3">
        <f>IFERROR(__xludf.DUMMYFUNCTION("""COMPUTED_VALUE"""),1300000.0)</f>
        <v>1300000</v>
      </c>
      <c r="E203" s="3"/>
      <c r="F203" s="3" t="str">
        <f>IFERROR(__xludf.DUMMYFUNCTION("""COMPUTED_VALUE"""),"DB")</f>
        <v>DB</v>
      </c>
      <c r="G203" s="3">
        <f>IFERROR(__xludf.DUMMYFUNCTION("""COMPUTED_VALUE"""),4.0887024857000005E8)</f>
        <v>408870248.6</v>
      </c>
      <c r="H203" s="3"/>
      <c r="I203" s="3" t="str">
        <f>IFERROR(__xludf.DUMMYFUNCTION("""COMPUTED_VALUE"""),"PRIBADI")</f>
        <v>PRIBADI</v>
      </c>
    </row>
    <row r="204">
      <c r="A204" s="7">
        <f>IFERROR(__xludf.DUMMYFUNCTION("""COMPUTED_VALUE"""),46263.0)</f>
        <v>46263</v>
      </c>
      <c r="B204" s="3" t="str">
        <f>IFERROR(__xludf.DUMMYFUNCTION("""COMPUTED_VALUE"""),"TRSF E-BANKING DB TANGGAL :28/08")</f>
        <v>TRSF E-BANKING DB TANGGAL :28/08</v>
      </c>
      <c r="C204" s="3" t="str">
        <f>IFERROR(__xludf.DUMMYFUNCTION("""COMPUTED_VALUE"""),"2808/FTSCY/WS95031 MUJIANTO")</f>
        <v>2808/FTSCY/WS95031 MUJIANTO</v>
      </c>
      <c r="D204" s="3">
        <f>IFERROR(__xludf.DUMMYFUNCTION("""COMPUTED_VALUE"""),2000000.0)</f>
        <v>2000000</v>
      </c>
      <c r="E204" s="3"/>
      <c r="F204" s="3" t="str">
        <f>IFERROR(__xludf.DUMMYFUNCTION("""COMPUTED_VALUE"""),"DB")</f>
        <v>DB</v>
      </c>
      <c r="G204" s="3">
        <f>IFERROR(__xludf.DUMMYFUNCTION("""COMPUTED_VALUE"""),4.0687024857000005E8)</f>
        <v>406870248.6</v>
      </c>
      <c r="H204" s="3"/>
      <c r="I204" s="3" t="str">
        <f>IFERROR(__xludf.DUMMYFUNCTION("""COMPUTED_VALUE"""),"PRIBADI")</f>
        <v>PRIBADI</v>
      </c>
    </row>
    <row r="205">
      <c r="A205" s="7">
        <f>IFERROR(__xludf.DUMMYFUNCTION("""COMPUTED_VALUE"""),46263.0)</f>
        <v>46263</v>
      </c>
      <c r="B205" s="3" t="str">
        <f>IFERROR(__xludf.DUMMYFUNCTION("""COMPUTED_VALUE"""),"TRSF E-BANKING DB TANGGAL :28/08")</f>
        <v>TRSF E-BANKING DB TANGGAL :28/08</v>
      </c>
      <c r="C205" s="3" t="str">
        <f>IFERROR(__xludf.DUMMYFUNCTION("""COMPUTED_VALUE"""),"2808/FTSCY/WS95031 FAJAR ANDREANZAH")</f>
        <v>2808/FTSCY/WS95031 FAJAR ANDREANZAH</v>
      </c>
      <c r="D205" s="3">
        <f>IFERROR(__xludf.DUMMYFUNCTION("""COMPUTED_VALUE"""),1000000.0)</f>
        <v>1000000</v>
      </c>
      <c r="E205" s="3"/>
      <c r="F205" s="3" t="str">
        <f>IFERROR(__xludf.DUMMYFUNCTION("""COMPUTED_VALUE"""),"DB")</f>
        <v>DB</v>
      </c>
      <c r="G205" s="3">
        <f>IFERROR(__xludf.DUMMYFUNCTION("""COMPUTED_VALUE"""),4.0587024857000005E8)</f>
        <v>405870248.6</v>
      </c>
      <c r="H205" s="3"/>
      <c r="I205" s="3" t="str">
        <f>IFERROR(__xludf.DUMMYFUNCTION("""COMPUTED_VALUE"""),"PRIBADI")</f>
        <v>PRIBADI</v>
      </c>
    </row>
    <row r="206">
      <c r="A206" s="7">
        <f>IFERROR(__xludf.DUMMYFUNCTION("""COMPUTED_VALUE"""),46263.0)</f>
        <v>46263</v>
      </c>
      <c r="B206" s="3" t="str">
        <f>IFERROR(__xludf.DUMMYFUNCTION("""COMPUTED_VALUE"""),"TRSF E-BANKING DB TANGGAL :28/08")</f>
        <v>TRSF E-BANKING DB TANGGAL :28/08</v>
      </c>
      <c r="C206" s="3" t="str">
        <f>IFERROR(__xludf.DUMMYFUNCTION("""COMPUTED_VALUE"""),"2808/FTSCY/WS95031 SUNARTO")</f>
        <v>2808/FTSCY/WS95031 SUNARTO</v>
      </c>
      <c r="D206" s="3">
        <f>IFERROR(__xludf.DUMMYFUNCTION("""COMPUTED_VALUE"""),1450000.0)</f>
        <v>1450000</v>
      </c>
      <c r="E206" s="3"/>
      <c r="F206" s="3" t="str">
        <f>IFERROR(__xludf.DUMMYFUNCTION("""COMPUTED_VALUE"""),"DB")</f>
        <v>DB</v>
      </c>
      <c r="G206" s="3">
        <f>IFERROR(__xludf.DUMMYFUNCTION("""COMPUTED_VALUE"""),4.0442024857000005E8)</f>
        <v>404420248.6</v>
      </c>
      <c r="H206" s="3"/>
      <c r="I206" s="3" t="str">
        <f>IFERROR(__xludf.DUMMYFUNCTION("""COMPUTED_VALUE"""),"PRIBADI")</f>
        <v>PRIBADI</v>
      </c>
    </row>
    <row r="207">
      <c r="A207" s="7">
        <f>IFERROR(__xludf.DUMMYFUNCTION("""COMPUTED_VALUE"""),46263.0)</f>
        <v>46263</v>
      </c>
      <c r="B207" s="3" t="str">
        <f>IFERROR(__xludf.DUMMYFUNCTION("""COMPUTED_VALUE"""),"TRSF E-BANKING DB")</f>
        <v>TRSF E-BANKING DB</v>
      </c>
      <c r="C207" s="3" t="str">
        <f>IFERROR(__xludf.DUMMYFUNCTION("""COMPUTED_VALUE"""),"2908/FTSCY/WS95271 63278420.00 nganjuk 3 ton PRIMA JAYA BERSATU")</f>
        <v>2908/FTSCY/WS95271 63278420.00 nganjuk 3 ton PRIMA JAYA BERSATU</v>
      </c>
      <c r="D207" s="3">
        <f>IFERROR(__xludf.DUMMYFUNCTION("""COMPUTED_VALUE"""),6.327842E7)</f>
        <v>63278420</v>
      </c>
      <c r="E207" s="3"/>
      <c r="F207" s="3" t="str">
        <f>IFERROR(__xludf.DUMMYFUNCTION("""COMPUTED_VALUE"""),"DB")</f>
        <v>DB</v>
      </c>
      <c r="G207" s="3">
        <f>IFERROR(__xludf.DUMMYFUNCTION("""COMPUTED_VALUE"""),3.4114182857000005E8)</f>
        <v>341141828.6</v>
      </c>
      <c r="H207" s="3"/>
      <c r="I207" s="3" t="str">
        <f>IFERROR(__xludf.DUMMYFUNCTION("""COMPUTED_VALUE"""),"PRIBADI")</f>
        <v>PRIBADI</v>
      </c>
    </row>
    <row r="208">
      <c r="A208" s="7">
        <f>IFERROR(__xludf.DUMMYFUNCTION("""COMPUTED_VALUE"""),46263.0)</f>
        <v>46263</v>
      </c>
      <c r="B208" s="3" t="str">
        <f>IFERROR(__xludf.DUMMYFUNCTION("""COMPUTED_VALUE"""),"TRSF E-BANKING DB")</f>
        <v>TRSF E-BANKING DB</v>
      </c>
      <c r="C208" s="3" t="str">
        <f>IFERROR(__xludf.DUMMYFUNCTION("""COMPUTED_VALUE"""),"2908/FTSCY/WS95011 144450000.00 Pelunasan SUPER UNGGAS JAYA")</f>
        <v>2908/FTSCY/WS95011 144450000.00 Pelunasan SUPER UNGGAS JAYA</v>
      </c>
      <c r="D208" s="3">
        <f>IFERROR(__xludf.DUMMYFUNCTION("""COMPUTED_VALUE"""),1.4445E8)</f>
        <v>144450000</v>
      </c>
      <c r="E208" s="3"/>
      <c r="F208" s="3" t="str">
        <f>IFERROR(__xludf.DUMMYFUNCTION("""COMPUTED_VALUE"""),"DB")</f>
        <v>DB</v>
      </c>
      <c r="G208" s="3">
        <f>IFERROR(__xludf.DUMMYFUNCTION("""COMPUTED_VALUE"""),1.9669182857000005E8)</f>
        <v>196691828.6</v>
      </c>
      <c r="H208" s="3"/>
      <c r="I208" s="3" t="str">
        <f>IFERROR(__xludf.DUMMYFUNCTION("""COMPUTED_VALUE"""),"PRIBADI")</f>
        <v>PRIBADI</v>
      </c>
    </row>
    <row r="209">
      <c r="A209" s="7">
        <f>IFERROR(__xludf.DUMMYFUNCTION("""COMPUTED_VALUE"""),46263.0)</f>
        <v>46263</v>
      </c>
      <c r="B209" s="3" t="str">
        <f>IFERROR(__xludf.DUMMYFUNCTION("""COMPUTED_VALUE"""),"TRSF E-BANKING DB")</f>
        <v>TRSF E-BANKING DB</v>
      </c>
      <c r="C209" s="3" t="str">
        <f>IFERROR(__xludf.DUMMYFUNCTION("""COMPUTED_VALUE"""),"2908/FTSCY/WS95011 196000000.00 Tue Aug 25 2026 14:00:00 GMT+0700 (Western Indonesia Time) BROILER MAKMUR TAN")</f>
        <v>2908/FTSCY/WS95011 196000000.00 Tue Aug 25 2026 14:00:00 GMT+0700 (Western Indonesia Time) BROILER MAKMUR TAN</v>
      </c>
      <c r="D209" s="3">
        <f>IFERROR(__xludf.DUMMYFUNCTION("""COMPUTED_VALUE"""),1.96E8)</f>
        <v>196000000</v>
      </c>
      <c r="E209" s="3"/>
      <c r="F209" s="3" t="str">
        <f>IFERROR(__xludf.DUMMYFUNCTION("""COMPUTED_VALUE"""),"DB")</f>
        <v>DB</v>
      </c>
      <c r="G209" s="3">
        <f>IFERROR(__xludf.DUMMYFUNCTION("""COMPUTED_VALUE"""),691828.5700000525)</f>
        <v>691828.57</v>
      </c>
      <c r="H209" s="3">
        <f>IFERROR(__xludf.DUMMYFUNCTION("""COMPUTED_VALUE"""),691828.57)</f>
        <v>691828.57</v>
      </c>
      <c r="I209" s="3" t="str">
        <f>IFERROR(__xludf.DUMMYFUNCTION("""COMPUTED_VALUE"""),"PRIBADI")</f>
        <v>PRIBADI</v>
      </c>
    </row>
    <row r="210">
      <c r="A210" s="7">
        <f>IFERROR(__xludf.DUMMYFUNCTION("""COMPUTED_VALUE"""),46263.0)</f>
        <v>46263</v>
      </c>
      <c r="B210" s="3" t="str">
        <f>IFERROR(__xludf.DUMMYFUNCTION("""COMPUTED_VALUE"""),"TRSF E-BANKING DB")</f>
        <v>TRSF E-BANKING DB</v>
      </c>
      <c r="C210" s="3" t="str">
        <f>IFERROR(__xludf.DUMMYFUNCTION("""COMPUTED_VALUE"""),"2908/FTSCY/WS95031 600000.00 ANDE DOSO ANGGORO")</f>
        <v>2908/FTSCY/WS95031 600000.00 ANDE DOSO ANGGORO</v>
      </c>
      <c r="D210" s="3">
        <f>IFERROR(__xludf.DUMMYFUNCTION("""COMPUTED_VALUE"""),600000.0)</f>
        <v>600000</v>
      </c>
      <c r="E210" s="3"/>
      <c r="F210" s="3" t="str">
        <f>IFERROR(__xludf.DUMMYFUNCTION("""COMPUTED_VALUE"""),"DB")</f>
        <v>DB</v>
      </c>
      <c r="G210" s="3">
        <f>IFERROR(__xludf.DUMMYFUNCTION("""COMPUTED_VALUE"""),91828.57000005245)</f>
        <v>91828.57</v>
      </c>
      <c r="H210" s="3">
        <f>IFERROR(__xludf.DUMMYFUNCTION("""COMPUTED_VALUE"""),91828.57)</f>
        <v>91828.57</v>
      </c>
      <c r="I210" s="3" t="str">
        <f>IFERROR(__xludf.DUMMYFUNCTION("""COMPUTED_VALUE"""),"PRIBADI")</f>
        <v>PRIBADI</v>
      </c>
    </row>
    <row r="211">
      <c r="A211" s="7">
        <f>IFERROR(__xludf.DUMMYFUNCTION("""COMPUTED_VALUE"""),46263.0)</f>
        <v>46263</v>
      </c>
      <c r="B211" s="3" t="str">
        <f>IFERROR(__xludf.DUMMYFUNCTION("""COMPUTED_VALUE"""),"TRSF E-BANKING DB")</f>
        <v>TRSF E-BANKING DB</v>
      </c>
      <c r="C211" s="3" t="str">
        <f>IFERROR(__xludf.DUMMYFUNCTION("""COMPUTED_VALUE"""),"2908/FTSCY/WS95031 16377030.00 EKO SETIYAWAN")</f>
        <v>2908/FTSCY/WS95031 16377030.00 EKO SETIYAWAN</v>
      </c>
      <c r="D211" s="3">
        <f>IFERROR(__xludf.DUMMYFUNCTION("""COMPUTED_VALUE"""),1.637703E7)</f>
        <v>16377030</v>
      </c>
      <c r="E211" s="3"/>
      <c r="F211" s="3" t="str">
        <f>IFERROR(__xludf.DUMMYFUNCTION("""COMPUTED_VALUE"""),"DB")</f>
        <v>DB</v>
      </c>
      <c r="G211" s="3">
        <f>IFERROR(__xludf.DUMMYFUNCTION("""COMPUTED_VALUE"""),5.997479857000005E7)</f>
        <v>59974798.57</v>
      </c>
      <c r="H211" s="3"/>
      <c r="I211" s="3" t="str">
        <f>IFERROR(__xludf.DUMMYFUNCTION("""COMPUTED_VALUE"""),"PRIBADI")</f>
        <v>PRIBADI</v>
      </c>
    </row>
    <row r="212">
      <c r="A212" s="7">
        <f>IFERROR(__xludf.DUMMYFUNCTION("""COMPUTED_VALUE"""),46263.0)</f>
        <v>46263</v>
      </c>
      <c r="B212" s="3" t="str">
        <f>IFERROR(__xludf.DUMMYFUNCTION("""COMPUTED_VALUE"""),"TRSF E-BANKING DB")</f>
        <v>TRSF E-BANKING DB</v>
      </c>
      <c r="C212" s="3" t="str">
        <f>IFERROR(__xludf.DUMMYFUNCTION("""COMPUTED_VALUE"""),"2908/FTSCY/WS95031 35780740.00 Thu Aug 27 2026 14:00:00 GMT+0700 (Western Indonesia Time) ANDALAN YASA MITRA")</f>
        <v>2908/FTSCY/WS95031 35780740.00 Thu Aug 27 2026 14:00:00 GMT+0700 (Western Indonesia Time) ANDALAN YASA MITRA</v>
      </c>
      <c r="D212" s="3">
        <f>IFERROR(__xludf.DUMMYFUNCTION("""COMPUTED_VALUE"""),3.578074E7)</f>
        <v>35780740</v>
      </c>
      <c r="E212" s="3"/>
      <c r="F212" s="3" t="str">
        <f>IFERROR(__xludf.DUMMYFUNCTION("""COMPUTED_VALUE"""),"DB")</f>
        <v>DB</v>
      </c>
      <c r="G212" s="3">
        <f>IFERROR(__xludf.DUMMYFUNCTION("""COMPUTED_VALUE"""),2.4194058570000052E7)</f>
        <v>24194058.57</v>
      </c>
      <c r="H212" s="3"/>
      <c r="I212" s="3" t="str">
        <f>IFERROR(__xludf.DUMMYFUNCTION("""COMPUTED_VALUE"""),"PRIBADI")</f>
        <v>PRIBADI</v>
      </c>
    </row>
    <row r="213">
      <c r="A213" s="7">
        <f>IFERROR(__xludf.DUMMYFUNCTION("""COMPUTED_VALUE"""),46263.0)</f>
        <v>46263</v>
      </c>
      <c r="B213" s="3" t="str">
        <f>IFERROR(__xludf.DUMMYFUNCTION("""COMPUTED_VALUE"""),"TRSF E-BANKING DB")</f>
        <v>TRSF E-BANKING DB</v>
      </c>
      <c r="C213" s="3" t="str">
        <f>IFERROR(__xludf.DUMMYFUNCTION("""COMPUTED_VALUE"""),"2908/FTSCY/WS95011 159550000.00 Tue Aug 25 2026 14:00:00 GMT+0700 (Western Indonesia Time) BROILER MAKMUR TAN")</f>
        <v>2908/FTSCY/WS95011 159550000.00 Tue Aug 25 2026 14:00:00 GMT+0700 (Western Indonesia Time) BROILER MAKMUR TAN</v>
      </c>
      <c r="D213" s="3">
        <f>IFERROR(__xludf.DUMMYFUNCTION("""COMPUTED_VALUE"""),1.5955E8)</f>
        <v>159550000</v>
      </c>
      <c r="E213" s="3"/>
      <c r="F213" s="3" t="str">
        <f>IFERROR(__xludf.DUMMYFUNCTION("""COMPUTED_VALUE"""),"DB")</f>
        <v>DB</v>
      </c>
      <c r="G213" s="3">
        <f>IFERROR(__xludf.DUMMYFUNCTION("""COMPUTED_VALUE"""),7.208025857000005E7)</f>
        <v>72080258.57</v>
      </c>
      <c r="H213" s="3"/>
      <c r="I213" s="3" t="str">
        <f>IFERROR(__xludf.DUMMYFUNCTION("""COMPUTED_VALUE"""),"PRIBADI")</f>
        <v>PRIBADI</v>
      </c>
    </row>
    <row r="214">
      <c r="A214" s="7">
        <f>IFERROR(__xludf.DUMMYFUNCTION("""COMPUTED_VALUE"""),46263.0)</f>
        <v>46263</v>
      </c>
      <c r="B214" s="3" t="str">
        <f>IFERROR(__xludf.DUMMYFUNCTION("""COMPUTED_VALUE"""),"TRSF E-BANKING DB")</f>
        <v>TRSF E-BANKING DB</v>
      </c>
      <c r="C214" s="3" t="str">
        <f>IFERROR(__xludf.DUMMYFUNCTION("""COMPUTED_VALUE"""),"2908/FTSCY/WS95271 72000000.00 Tue Aug 25 2026 14:00:00 GMT+0700 (Western Indonesia Time) BROILER MAKMUR TAN")</f>
        <v>2908/FTSCY/WS95271 72000000.00 Tue Aug 25 2026 14:00:00 GMT+0700 (Western Indonesia Time) BROILER MAKMUR TAN</v>
      </c>
      <c r="D214" s="3">
        <f>IFERROR(__xludf.DUMMYFUNCTION("""COMPUTED_VALUE"""),7.2E7)</f>
        <v>72000000</v>
      </c>
      <c r="E214" s="3"/>
      <c r="F214" s="3" t="str">
        <f>IFERROR(__xludf.DUMMYFUNCTION("""COMPUTED_VALUE"""),"DB")</f>
        <v>DB</v>
      </c>
      <c r="G214" s="3">
        <f>IFERROR(__xludf.DUMMYFUNCTION("""COMPUTED_VALUE"""),80258.57000005245)</f>
        <v>80258.57</v>
      </c>
      <c r="H214" s="3"/>
      <c r="I214" s="3" t="str">
        <f>IFERROR(__xludf.DUMMYFUNCTION("""COMPUTED_VALUE"""),"PRIBADI")</f>
        <v>PRIBADI</v>
      </c>
    </row>
    <row r="215">
      <c r="A215" s="7">
        <f>IFERROR(__xludf.DUMMYFUNCTION("""COMPUTED_VALUE"""),46263.0)</f>
        <v>46263</v>
      </c>
      <c r="B215" s="3" t="str">
        <f>IFERROR(__xludf.DUMMYFUNCTION("""COMPUTED_VALUE"""),"TRSF E-BANKING DB")</f>
        <v>TRSF E-BANKING DB</v>
      </c>
      <c r="C215" s="3" t="str">
        <f>IFERROR(__xludf.DUMMYFUNCTION("""COMPUTED_VALUE"""),"2908/FTSCY/WS95271 60290500.00 Fri Aug 28 2026 14:00:00 GMT+0700 (Western Indonesia Time) PT BERLIAN INDOMIT")</f>
        <v>2908/FTSCY/WS95271 60290500.00 Fri Aug 28 2026 14:00:00 GMT+0700 (Western Indonesia Time) PT BERLIAN INDOMIT</v>
      </c>
      <c r="D215" s="3">
        <f>IFERROR(__xludf.DUMMYFUNCTION("""COMPUTED_VALUE"""),6.02905E7)</f>
        <v>60290500</v>
      </c>
      <c r="E215" s="3"/>
      <c r="F215" s="3" t="str">
        <f>IFERROR(__xludf.DUMMYFUNCTION("""COMPUTED_VALUE"""),"DB")</f>
        <v>DB</v>
      </c>
      <c r="G215" s="3">
        <f>IFERROR(__xludf.DUMMYFUNCTION("""COMPUTED_VALUE"""),5.5968810857E8)</f>
        <v>559688108.6</v>
      </c>
      <c r="H215" s="3"/>
      <c r="I215" s="3" t="str">
        <f>IFERROR(__xludf.DUMMYFUNCTION("""COMPUTED_VALUE"""),"PRIBADI")</f>
        <v>PRIBADI</v>
      </c>
    </row>
    <row r="216">
      <c r="A216" s="7">
        <f>IFERROR(__xludf.DUMMYFUNCTION("""COMPUTED_VALUE"""),46263.0)</f>
        <v>46263</v>
      </c>
      <c r="B216" s="3" t="str">
        <f>IFERROR(__xludf.DUMMYFUNCTION("""COMPUTED_VALUE"""),"TRSF E-BANKING DB")</f>
        <v>TRSF E-BANKING DB</v>
      </c>
      <c r="C216" s="3" t="str">
        <f>IFERROR(__xludf.DUMMYFUNCTION("""COMPUTED_VALUE"""),"2908/FTSCY/WS95271 72850000.00 Fri Aug 28 2026 14:00:00 GMT+0700 (Western Indonesia Time) LAJU SATWA WISESA")</f>
        <v>2908/FTSCY/WS95271 72850000.00 Fri Aug 28 2026 14:00:00 GMT+0700 (Western Indonesia Time) LAJU SATWA WISESA</v>
      </c>
      <c r="D216" s="3">
        <f>IFERROR(__xludf.DUMMYFUNCTION("""COMPUTED_VALUE"""),7.285E7)</f>
        <v>72850000</v>
      </c>
      <c r="E216" s="3"/>
      <c r="F216" s="3" t="str">
        <f>IFERROR(__xludf.DUMMYFUNCTION("""COMPUTED_VALUE"""),"DB")</f>
        <v>DB</v>
      </c>
      <c r="G216" s="3">
        <f>IFERROR(__xludf.DUMMYFUNCTION("""COMPUTED_VALUE"""),4.8683810857000005E8)</f>
        <v>486838108.6</v>
      </c>
      <c r="H216" s="3"/>
      <c r="I216" s="3" t="str">
        <f>IFERROR(__xludf.DUMMYFUNCTION("""COMPUTED_VALUE"""),"PRIBADI")</f>
        <v>PRIBADI</v>
      </c>
    </row>
    <row r="217">
      <c r="A217" s="7">
        <f>IFERROR(__xludf.DUMMYFUNCTION("""COMPUTED_VALUE"""),46263.0)</f>
        <v>46263</v>
      </c>
      <c r="B217" s="3" t="str">
        <f>IFERROR(__xludf.DUMMYFUNCTION("""COMPUTED_VALUE"""),"TRSF E-BANKING DB")</f>
        <v>TRSF E-BANKING DB</v>
      </c>
      <c r="C217" s="3" t="str">
        <f>IFERROR(__xludf.DUMMYFUNCTION("""COMPUTED_VALUE"""),"2908/FTSCY/WS95271 10503680.00 Sat Aug 29 2026 14:00:00 GMT+0700 (Western Indonesia Time) EKO SETIYAWAN")</f>
        <v>2908/FTSCY/WS95271 10503680.00 Sat Aug 29 2026 14:00:00 GMT+0700 (Western Indonesia Time) EKO SETIYAWAN</v>
      </c>
      <c r="D217" s="3">
        <f>IFERROR(__xludf.DUMMYFUNCTION("""COMPUTED_VALUE"""),1.050368E7)</f>
        <v>10503680</v>
      </c>
      <c r="E217" s="3"/>
      <c r="F217" s="3" t="str">
        <f>IFERROR(__xludf.DUMMYFUNCTION("""COMPUTED_VALUE"""),"DB")</f>
        <v>DB</v>
      </c>
      <c r="G217" s="3">
        <f>IFERROR(__xludf.DUMMYFUNCTION("""COMPUTED_VALUE"""),4.7633442857000005E8)</f>
        <v>476334428.6</v>
      </c>
      <c r="H217" s="3">
        <f>IFERROR(__xludf.DUMMYFUNCTION("""COMPUTED_VALUE"""),4.7633442857E8)</f>
        <v>476334428.6</v>
      </c>
      <c r="I217" s="3" t="str">
        <f>IFERROR(__xludf.DUMMYFUNCTION("""COMPUTED_VALUE"""),"PRIBADI")</f>
        <v>PRIBADI</v>
      </c>
    </row>
    <row r="218">
      <c r="A218" s="7">
        <f>IFERROR(__xludf.DUMMYFUNCTION("""COMPUTED_VALUE"""),46263.0)</f>
        <v>46263</v>
      </c>
      <c r="B218" s="3" t="str">
        <f>IFERROR(__xludf.DUMMYFUNCTION("""COMPUTED_VALUE"""),"TRSF E-BANKING DB")</f>
        <v>TRSF E-BANKING DB</v>
      </c>
      <c r="C218" s="3" t="str">
        <f>IFERROR(__xludf.DUMMYFUNCTION("""COMPUTED_VALUE"""),"2908/FTSCY/WS95271 4908520.00 SUNARTO")</f>
        <v>2908/FTSCY/WS95271 4908520.00 SUNARTO</v>
      </c>
      <c r="D218" s="3">
        <f>IFERROR(__xludf.DUMMYFUNCTION("""COMPUTED_VALUE"""),4908520.0)</f>
        <v>4908520</v>
      </c>
      <c r="E218" s="3"/>
      <c r="F218" s="3" t="str">
        <f>IFERROR(__xludf.DUMMYFUNCTION("""COMPUTED_VALUE"""),"DB")</f>
        <v>DB</v>
      </c>
      <c r="G218" s="3">
        <f>IFERROR(__xludf.DUMMYFUNCTION("""COMPUTED_VALUE"""),4.7142590857000005E8)</f>
        <v>471425908.6</v>
      </c>
      <c r="H218" s="3">
        <f>IFERROR(__xludf.DUMMYFUNCTION("""COMPUTED_VALUE"""),4.7142590857E8)</f>
        <v>471425908.6</v>
      </c>
      <c r="I218" s="3" t="str">
        <f>IFERROR(__xludf.DUMMYFUNCTION("""COMPUTED_VALUE"""),"PRIBADI")</f>
        <v>PRIBADI</v>
      </c>
    </row>
    <row r="219">
      <c r="A219" s="7">
        <f>IFERROR(__xludf.DUMMYFUNCTION("""COMPUTED_VALUE"""),46263.0)</f>
        <v>46263</v>
      </c>
      <c r="B219" s="3" t="str">
        <f>IFERROR(__xludf.DUMMYFUNCTION("""COMPUTED_VALUE"""),"TRSF E-BANKING DB")</f>
        <v>TRSF E-BANKING DB</v>
      </c>
      <c r="C219" s="3" t="str">
        <f>IFERROR(__xludf.DUMMYFUNCTION("""COMPUTED_VALUE"""),"2908/FTSCY/WS95031 46364600.00 krg 175 jt ANDALAN YASA MITRA")</f>
        <v>2908/FTSCY/WS95031 46364600.00 krg 175 jt ANDALAN YASA MITRA</v>
      </c>
      <c r="D219" s="3">
        <f>IFERROR(__xludf.DUMMYFUNCTION("""COMPUTED_VALUE"""),4.63646E7)</f>
        <v>46364600</v>
      </c>
      <c r="E219" s="3"/>
      <c r="F219" s="3" t="str">
        <f>IFERROR(__xludf.DUMMYFUNCTION("""COMPUTED_VALUE"""),"DB")</f>
        <v>DB</v>
      </c>
      <c r="G219" s="3">
        <f>IFERROR(__xludf.DUMMYFUNCTION("""COMPUTED_VALUE"""),4.2506130857000005E8)</f>
        <v>425061308.6</v>
      </c>
      <c r="H219" s="3">
        <f>IFERROR(__xludf.DUMMYFUNCTION("""COMPUTED_VALUE"""),4.2506130857E8)</f>
        <v>425061308.6</v>
      </c>
      <c r="I219" s="3" t="str">
        <f>IFERROR(__xludf.DUMMYFUNCTION("""COMPUTED_VALUE"""),"PRIBADI")</f>
        <v>PRIBADI</v>
      </c>
    </row>
    <row r="220">
      <c r="A220" s="7">
        <f>IFERROR(__xludf.DUMMYFUNCTION("""COMPUTED_VALUE"""),46264.0)</f>
        <v>46264</v>
      </c>
      <c r="B220" s="3" t="str">
        <f>IFERROR(__xludf.DUMMYFUNCTION("""COMPUTED_VALUE"""),"TRSF E-BANKING DB")</f>
        <v>TRSF E-BANKING DB</v>
      </c>
      <c r="C220" s="3" t="str">
        <f>IFERROR(__xludf.DUMMYFUNCTION("""COMPUTED_VALUE"""),"3008/FTSCY/WS95011 191098510.00 Thu Aug 27 2026 14:00:00 GMT+0700 (Western Indonesia Time) GANESHA SATRIA NUS")</f>
        <v>3008/FTSCY/WS95011 191098510.00 Thu Aug 27 2026 14:00:00 GMT+0700 (Western Indonesia Time) GANESHA SATRIA NUS</v>
      </c>
      <c r="D220" s="3">
        <f>IFERROR(__xludf.DUMMYFUNCTION("""COMPUTED_VALUE"""),1.9109851E8)</f>
        <v>191098510</v>
      </c>
      <c r="E220" s="3"/>
      <c r="F220" s="3" t="str">
        <f>IFERROR(__xludf.DUMMYFUNCTION("""COMPUTED_VALUE"""),"DB")</f>
        <v>DB</v>
      </c>
      <c r="G220" s="3">
        <f>IFERROR(__xludf.DUMMYFUNCTION("""COMPUTED_VALUE"""),2.3396279857000005E8)</f>
        <v>233962798.6</v>
      </c>
      <c r="H220" s="3"/>
      <c r="I220" s="3" t="str">
        <f>IFERROR(__xludf.DUMMYFUNCTION("""COMPUTED_VALUE"""),"PRIBADI")</f>
        <v>PRIBADI</v>
      </c>
    </row>
    <row r="221">
      <c r="A221" s="7">
        <f>IFERROR(__xludf.DUMMYFUNCTION("""COMPUTED_VALUE"""),46264.0)</f>
        <v>46264</v>
      </c>
      <c r="B221" s="3" t="str">
        <f>IFERROR(__xludf.DUMMYFUNCTION("""COMPUTED_VALUE"""),"TRSF E-BANKING DB")</f>
        <v>TRSF E-BANKING DB</v>
      </c>
      <c r="C221" s="3" t="str">
        <f>IFERROR(__xludf.DUMMYFUNCTION("""COMPUTED_VALUE"""),"3008/FTSCY/WS95011 173790440.00 28_08 BROILER MAKMUR TAN")</f>
        <v>3008/FTSCY/WS95011 173790440.00 28_08 BROILER MAKMUR TAN</v>
      </c>
      <c r="D221" s="3">
        <f>IFERROR(__xludf.DUMMYFUNCTION("""COMPUTED_VALUE"""),1.7379044E8)</f>
        <v>173790440</v>
      </c>
      <c r="E221" s="3"/>
      <c r="F221" s="3" t="str">
        <f>IFERROR(__xludf.DUMMYFUNCTION("""COMPUTED_VALUE"""),"DB")</f>
        <v>DB</v>
      </c>
      <c r="G221" s="3">
        <f>IFERROR(__xludf.DUMMYFUNCTION("""COMPUTED_VALUE"""),6.017235857000005E7)</f>
        <v>60172358.57</v>
      </c>
      <c r="H221" s="3"/>
      <c r="I221" s="3" t="str">
        <f>IFERROR(__xludf.DUMMYFUNCTION("""COMPUTED_VALUE"""),"PRIBADI")</f>
        <v>PRIBADI</v>
      </c>
    </row>
    <row r="222">
      <c r="A222" s="7">
        <f>IFERROR(__xludf.DUMMYFUNCTION("""COMPUTED_VALUE"""),46264.0)</f>
        <v>46264</v>
      </c>
      <c r="B222" s="3" t="str">
        <f>IFERROR(__xludf.DUMMYFUNCTION("""COMPUTED_VALUE"""),"TRSF E-BANKING DB")</f>
        <v>TRSF E-BANKING DB</v>
      </c>
      <c r="C222" s="3" t="str">
        <f>IFERROR(__xludf.DUMMYFUNCTION("""COMPUTED_VALUE"""),"3008/FTSCY/WS95031 18896000.00 NURUL AINI")</f>
        <v>3008/FTSCY/WS95031 18896000.00 NURUL AINI</v>
      </c>
      <c r="D222" s="3">
        <f>IFERROR(__xludf.DUMMYFUNCTION("""COMPUTED_VALUE"""),1.8896E7)</f>
        <v>18896000</v>
      </c>
      <c r="E222" s="3"/>
      <c r="F222" s="3" t="str">
        <f>IFERROR(__xludf.DUMMYFUNCTION("""COMPUTED_VALUE"""),"DB")</f>
        <v>DB</v>
      </c>
      <c r="G222" s="3">
        <f>IFERROR(__xludf.DUMMYFUNCTION("""COMPUTED_VALUE"""),4.127635857000005E7)</f>
        <v>41276358.57</v>
      </c>
      <c r="H222" s="3"/>
      <c r="I222" s="3" t="str">
        <f>IFERROR(__xludf.DUMMYFUNCTION("""COMPUTED_VALUE"""),"PRIBADI")</f>
        <v>PRIBADI</v>
      </c>
    </row>
    <row r="223">
      <c r="A223" s="7">
        <f>IFERROR(__xludf.DUMMYFUNCTION("""COMPUTED_VALUE"""),46264.0)</f>
        <v>46264</v>
      </c>
      <c r="B223" s="3" t="str">
        <f>IFERROR(__xludf.DUMMYFUNCTION("""COMPUTED_VALUE"""),"TRSF E-BANKING DB")</f>
        <v>TRSF E-BANKING DB</v>
      </c>
      <c r="C223" s="3" t="str">
        <f>IFERROR(__xludf.DUMMYFUNCTION("""COMPUTED_VALUE"""),"3008/FTSCY/WS95031 2040960.00 FAJAR ANDREANZAH")</f>
        <v>3008/FTSCY/WS95031 2040960.00 FAJAR ANDREANZAH</v>
      </c>
      <c r="D223" s="3">
        <f>IFERROR(__xludf.DUMMYFUNCTION("""COMPUTED_VALUE"""),2040960.0)</f>
        <v>2040960</v>
      </c>
      <c r="E223" s="3"/>
      <c r="F223" s="3" t="str">
        <f>IFERROR(__xludf.DUMMYFUNCTION("""COMPUTED_VALUE"""),"DB")</f>
        <v>DB</v>
      </c>
      <c r="G223" s="3">
        <f>IFERROR(__xludf.DUMMYFUNCTION("""COMPUTED_VALUE"""),3.923539857000005E7)</f>
        <v>39235398.57</v>
      </c>
      <c r="H223" s="3"/>
      <c r="I223" s="3" t="str">
        <f>IFERROR(__xludf.DUMMYFUNCTION("""COMPUTED_VALUE"""),"PRIBADI")</f>
        <v>PRIBADI</v>
      </c>
    </row>
    <row r="224">
      <c r="A224" s="7">
        <f>IFERROR(__xludf.DUMMYFUNCTION("""COMPUTED_VALUE"""),46264.0)</f>
        <v>46264</v>
      </c>
      <c r="B224" s="3" t="str">
        <f>IFERROR(__xludf.DUMMYFUNCTION("""COMPUTED_VALUE"""),"TRSF E-BANKING DB")</f>
        <v>TRSF E-BANKING DB</v>
      </c>
      <c r="C224" s="3" t="str">
        <f>IFERROR(__xludf.DUMMYFUNCTION("""COMPUTED_VALUE"""),"3008/FTSCY/WS95031 2200000.00 MUJIANTO")</f>
        <v>3008/FTSCY/WS95031 2200000.00 MUJIANTO</v>
      </c>
      <c r="D224" s="3">
        <f>IFERROR(__xludf.DUMMYFUNCTION("""COMPUTED_VALUE"""),2200000.0)</f>
        <v>2200000</v>
      </c>
      <c r="E224" s="3"/>
      <c r="F224" s="3" t="str">
        <f>IFERROR(__xludf.DUMMYFUNCTION("""COMPUTED_VALUE"""),"DB")</f>
        <v>DB</v>
      </c>
      <c r="G224" s="3">
        <f>IFERROR(__xludf.DUMMYFUNCTION("""COMPUTED_VALUE"""),3.703539857000005E7)</f>
        <v>37035398.57</v>
      </c>
      <c r="H224" s="3"/>
      <c r="I224" s="3" t="str">
        <f>IFERROR(__xludf.DUMMYFUNCTION("""COMPUTED_VALUE"""),"PRIBADI")</f>
        <v>PRIBADI</v>
      </c>
    </row>
    <row r="225">
      <c r="A225" s="7">
        <f>IFERROR(__xludf.DUMMYFUNCTION("""COMPUTED_VALUE"""),46264.0)</f>
        <v>46264</v>
      </c>
      <c r="B225" s="3" t="str">
        <f>IFERROR(__xludf.DUMMYFUNCTION("""COMPUTED_VALUE"""),"TRSF E-BANKING DB")</f>
        <v>TRSF E-BANKING DB</v>
      </c>
      <c r="C225" s="3" t="str">
        <f>IFERROR(__xludf.DUMMYFUNCTION("""COMPUTED_VALUE"""),"3008/FTSCY/WS95031 68400000.00 TERNAK SEJATI TABA")</f>
        <v>3008/FTSCY/WS95031 68400000.00 TERNAK SEJATI TABA</v>
      </c>
      <c r="D225" s="3">
        <f>IFERROR(__xludf.DUMMYFUNCTION("""COMPUTED_VALUE"""),6.84E7)</f>
        <v>68400000</v>
      </c>
      <c r="E225" s="3"/>
      <c r="F225" s="3" t="str">
        <f>IFERROR(__xludf.DUMMYFUNCTION("""COMPUTED_VALUE"""),"DB")</f>
        <v>DB</v>
      </c>
      <c r="G225" s="3">
        <f>IFERROR(__xludf.DUMMYFUNCTION("""COMPUTED_VALUE"""),1.4970894857000005E8)</f>
        <v>149708948.6</v>
      </c>
      <c r="H225" s="3"/>
      <c r="I225" s="3" t="str">
        <f>IFERROR(__xludf.DUMMYFUNCTION("""COMPUTED_VALUE"""),"PRIBADI")</f>
        <v>PRIBADI</v>
      </c>
    </row>
    <row r="226">
      <c r="A226" s="7">
        <f>IFERROR(__xludf.DUMMYFUNCTION("""COMPUTED_VALUE"""),46264.0)</f>
        <v>46264</v>
      </c>
      <c r="B226" s="3" t="str">
        <f>IFERROR(__xludf.DUMMYFUNCTION("""COMPUTED_VALUE"""),"TRSF E-BANKING DB")</f>
        <v>TRSF E-BANKING DB</v>
      </c>
      <c r="C226" s="3" t="str">
        <f>IFERROR(__xludf.DUMMYFUNCTION("""COMPUTED_VALUE"""),"3008/FTSCY/WS95271 78866000.00 Fri Aug 28 2026 14:00:00 GMT+0700 (Western Indonesia Time) BINTANG TAMA SANTO")</f>
        <v>3008/FTSCY/WS95271 78866000.00 Fri Aug 28 2026 14:00:00 GMT+0700 (Western Indonesia Time) BINTANG TAMA SANTO</v>
      </c>
      <c r="D226" s="3">
        <f>IFERROR(__xludf.DUMMYFUNCTION("""COMPUTED_VALUE"""),7.8866E7)</f>
        <v>78866000</v>
      </c>
      <c r="E226" s="3"/>
      <c r="F226" s="3" t="str">
        <f>IFERROR(__xludf.DUMMYFUNCTION("""COMPUTED_VALUE"""),"DB")</f>
        <v>DB</v>
      </c>
      <c r="G226" s="3">
        <f>IFERROR(__xludf.DUMMYFUNCTION("""COMPUTED_VALUE"""),7.084294857000005E7)</f>
        <v>70842948.57</v>
      </c>
      <c r="H226" s="3"/>
      <c r="I226" s="3" t="str">
        <f>IFERROR(__xludf.DUMMYFUNCTION("""COMPUTED_VALUE"""),"PRIBADI")</f>
        <v>PRIBADI</v>
      </c>
    </row>
    <row r="227">
      <c r="A227" s="7">
        <f>IFERROR(__xludf.DUMMYFUNCTION("""COMPUTED_VALUE"""),46264.0)</f>
        <v>46264</v>
      </c>
      <c r="B227" s="3" t="str">
        <f>IFERROR(__xludf.DUMMYFUNCTION("""COMPUTED_VALUE"""),"TRSF E-BANKING DB")</f>
        <v>TRSF E-BANKING DB</v>
      </c>
      <c r="C227" s="3" t="str">
        <f>IFERROR(__xludf.DUMMYFUNCTION("""COMPUTED_VALUE"""),"3008/FTSCY/WS95271 40000000.00 PT BERLIAN INDOMIT")</f>
        <v>3008/FTSCY/WS95271 40000000.00 PT BERLIAN INDOMIT</v>
      </c>
      <c r="D227" s="3">
        <f>IFERROR(__xludf.DUMMYFUNCTION("""COMPUTED_VALUE"""),4.0E7)</f>
        <v>40000000</v>
      </c>
      <c r="E227" s="3"/>
      <c r="F227" s="3" t="str">
        <f>IFERROR(__xludf.DUMMYFUNCTION("""COMPUTED_VALUE"""),"DB")</f>
        <v>DB</v>
      </c>
      <c r="G227" s="3">
        <f>IFERROR(__xludf.DUMMYFUNCTION("""COMPUTED_VALUE"""),3.0842948570000052E7)</f>
        <v>30842948.57</v>
      </c>
      <c r="H227" s="3"/>
      <c r="I227" s="3" t="str">
        <f>IFERROR(__xludf.DUMMYFUNCTION("""COMPUTED_VALUE"""),"PRIBADI")</f>
        <v>PRIBADI</v>
      </c>
    </row>
    <row r="228">
      <c r="A228" s="7">
        <f>IFERROR(__xludf.DUMMYFUNCTION("""COMPUTED_VALUE"""),46264.0)</f>
        <v>46264</v>
      </c>
      <c r="B228" s="3" t="str">
        <f>IFERROR(__xludf.DUMMYFUNCTION("""COMPUTED_VALUE"""),"TRSF E-BANKING DB")</f>
        <v>TRSF E-BANKING DB</v>
      </c>
      <c r="C228" s="3" t="str">
        <f>IFERROR(__xludf.DUMMYFUNCTION("""COMPUTED_VALUE"""),"3008/FTSCY/WS95271 27893750.00 pelunasan PT BERLIAN INDOMIT")</f>
        <v>3008/FTSCY/WS95271 27893750.00 pelunasan PT BERLIAN INDOMIT</v>
      </c>
      <c r="D228" s="3">
        <f>IFERROR(__xludf.DUMMYFUNCTION("""COMPUTED_VALUE"""),2.789375E7)</f>
        <v>27893750</v>
      </c>
      <c r="E228" s="3"/>
      <c r="F228" s="3" t="str">
        <f>IFERROR(__xludf.DUMMYFUNCTION("""COMPUTED_VALUE"""),"DB")</f>
        <v>DB</v>
      </c>
      <c r="G228" s="3">
        <f>IFERROR(__xludf.DUMMYFUNCTION("""COMPUTED_VALUE"""),2949198.5700000525)</f>
        <v>2949198.57</v>
      </c>
      <c r="H228" s="3"/>
      <c r="I228" s="3" t="str">
        <f>IFERROR(__xludf.DUMMYFUNCTION("""COMPUTED_VALUE"""),"PRIBADI")</f>
        <v>PRIBADI</v>
      </c>
    </row>
    <row r="229">
      <c r="A229" s="7">
        <f>IFERROR(__xludf.DUMMYFUNCTION("""COMPUTED_VALUE"""),46264.0)</f>
        <v>46264</v>
      </c>
      <c r="B229" s="3" t="str">
        <f>IFERROR(__xludf.DUMMYFUNCTION("""COMPUTED_VALUE"""),"TRSF E-BANKING DB")</f>
        <v>TRSF E-BANKING DB</v>
      </c>
      <c r="C229" s="3" t="str">
        <f>IFERROR(__xludf.DUMMYFUNCTION("""COMPUTED_VALUE"""),"3008/FTSCY/WS95271 20000000.00 EKO SETIYAWAN")</f>
        <v>3008/FTSCY/WS95271 20000000.00 EKO SETIYAWAN</v>
      </c>
      <c r="D229" s="3">
        <f>IFERROR(__xludf.DUMMYFUNCTION("""COMPUTED_VALUE"""),2.0E7)</f>
        <v>20000000</v>
      </c>
      <c r="E229" s="3"/>
      <c r="F229" s="3" t="str">
        <f>IFERROR(__xludf.DUMMYFUNCTION("""COMPUTED_VALUE"""),"DB")</f>
        <v>DB</v>
      </c>
      <c r="G229" s="3">
        <f>IFERROR(__xludf.DUMMYFUNCTION("""COMPUTED_VALUE"""),4.7033652857000005E8)</f>
        <v>470336528.6</v>
      </c>
      <c r="H229" s="3"/>
      <c r="I229" s="3" t="str">
        <f>IFERROR(__xludf.DUMMYFUNCTION("""COMPUTED_VALUE"""),"PRIBADI")</f>
        <v>PRIBADI</v>
      </c>
    </row>
    <row r="230">
      <c r="A230" s="7">
        <f>IFERROR(__xludf.DUMMYFUNCTION("""COMPUTED_VALUE"""),46264.0)</f>
        <v>46264</v>
      </c>
      <c r="B230" s="3" t="str">
        <f>IFERROR(__xludf.DUMMYFUNCTION("""COMPUTED_VALUE"""),"TRSF E-BANKING DB")</f>
        <v>TRSF E-BANKING DB</v>
      </c>
      <c r="C230" s="3" t="str">
        <f>IFERROR(__xludf.DUMMYFUNCTION("""COMPUTED_VALUE"""),"3008/FTSCY/WS95031 1550000.00 SUNARTO")</f>
        <v>3008/FTSCY/WS95031 1550000.00 SUNARTO</v>
      </c>
      <c r="D230" s="3">
        <f>IFERROR(__xludf.DUMMYFUNCTION("""COMPUTED_VALUE"""),1550000.0)</f>
        <v>1550000</v>
      </c>
      <c r="E230" s="3"/>
      <c r="F230" s="3" t="str">
        <f>IFERROR(__xludf.DUMMYFUNCTION("""COMPUTED_VALUE"""),"DB")</f>
        <v>DB</v>
      </c>
      <c r="G230" s="3">
        <f>IFERROR(__xludf.DUMMYFUNCTION("""COMPUTED_VALUE"""),4.6878652857000005E8)</f>
        <v>468786528.6</v>
      </c>
      <c r="H230" s="3"/>
      <c r="I230" s="3" t="str">
        <f>IFERROR(__xludf.DUMMYFUNCTION("""COMPUTED_VALUE"""),"PRIBADI")</f>
        <v>PRIBADI</v>
      </c>
    </row>
    <row r="231">
      <c r="A231" s="7">
        <f>IFERROR(__xludf.DUMMYFUNCTION("""COMPUTED_VALUE"""),46264.0)</f>
        <v>46264</v>
      </c>
      <c r="B231" s="3" t="str">
        <f>IFERROR(__xludf.DUMMYFUNCTION("""COMPUTED_VALUE"""),"TRSF E-BANKING DB")</f>
        <v>TRSF E-BANKING DB</v>
      </c>
      <c r="C231" s="3" t="str">
        <f>IFERROR(__xludf.DUMMYFUNCTION("""COMPUTED_VALUE"""),"3008/FTSCY/WS95271 65891250.00 Fri Aug 28 2026 14:00:00 GMT+0700 (Western Indonesia Time) ANDALAN YASA MITRA")</f>
        <v>3008/FTSCY/WS95271 65891250.00 Fri Aug 28 2026 14:00:00 GMT+0700 (Western Indonesia Time) ANDALAN YASA MITRA</v>
      </c>
      <c r="D231" s="3">
        <f>IFERROR(__xludf.DUMMYFUNCTION("""COMPUTED_VALUE"""),6.589125E7)</f>
        <v>65891250</v>
      </c>
      <c r="E231" s="3"/>
      <c r="F231" s="3" t="str">
        <f>IFERROR(__xludf.DUMMYFUNCTION("""COMPUTED_VALUE"""),"DB")</f>
        <v>DB</v>
      </c>
      <c r="G231" s="3">
        <f>IFERROR(__xludf.DUMMYFUNCTION("""COMPUTED_VALUE"""),4.0289527857000005E8)</f>
        <v>402895278.6</v>
      </c>
      <c r="H231" s="3"/>
      <c r="I231" s="3" t="str">
        <f>IFERROR(__xludf.DUMMYFUNCTION("""COMPUTED_VALUE"""),"PRIBADI")</f>
        <v>PRIBADI</v>
      </c>
    </row>
    <row r="232">
      <c r="A232" s="7">
        <f>IFERROR(__xludf.DUMMYFUNCTION("""COMPUTED_VALUE"""),46264.0)</f>
        <v>46264</v>
      </c>
      <c r="B232" s="3" t="str">
        <f>IFERROR(__xludf.DUMMYFUNCTION("""COMPUTED_VALUE"""),"TARIKAN ATM 30/08")</f>
        <v>TARIKAN ATM 30/08</v>
      </c>
      <c r="C232" s="3" t="str">
        <f>IFERROR(__xludf.DUMMYFUNCTION("""COMPUTED_VALUE"""),"TARIKAN ATM 30/08")</f>
        <v>TARIKAN ATM 30/08</v>
      </c>
      <c r="D232" s="3">
        <f>IFERROR(__xludf.DUMMYFUNCTION("""COMPUTED_VALUE"""),200000.0)</f>
        <v>200000</v>
      </c>
      <c r="E232" s="3"/>
      <c r="F232" s="3"/>
      <c r="G232" s="3">
        <f>IFERROR(__xludf.DUMMYFUNCTION("""COMPUTED_VALUE"""),4.0269527857000005E8)</f>
        <v>402695278.6</v>
      </c>
      <c r="H232" s="3"/>
      <c r="I232" s="3" t="str">
        <f>IFERROR(__xludf.DUMMYFUNCTION("""COMPUTED_VALUE"""),"PRIBADI")</f>
        <v>PRIBADI</v>
      </c>
    </row>
    <row r="233">
      <c r="A233" s="7">
        <f>IFERROR(__xludf.DUMMYFUNCTION("""COMPUTED_VALUE"""),46264.0)</f>
        <v>46264</v>
      </c>
      <c r="B233" s="3" t="str">
        <f>IFERROR(__xludf.DUMMYFUNCTION("""COMPUTED_VALUE"""),"TRSF E-BANKING DB")</f>
        <v>TRSF E-BANKING DB</v>
      </c>
      <c r="C233" s="3" t="str">
        <f>IFERROR(__xludf.DUMMYFUNCTION("""COMPUTED_VALUE"""),"3008/FTSCY/WS95271 63373200.00 Fri Aug 28 2026 14:00:00 GMT+0700 (Western Indonesia Time) ANDALAN YASA MITRA")</f>
        <v>3008/FTSCY/WS95271 63373200.00 Fri Aug 28 2026 14:00:00 GMT+0700 (Western Indonesia Time) ANDALAN YASA MITRA</v>
      </c>
      <c r="D233" s="3">
        <f>IFERROR(__xludf.DUMMYFUNCTION("""COMPUTED_VALUE"""),6.33732E7)</f>
        <v>63373200</v>
      </c>
      <c r="E233" s="3"/>
      <c r="F233" s="3" t="str">
        <f>IFERROR(__xludf.DUMMYFUNCTION("""COMPUTED_VALUE"""),"DB")</f>
        <v>DB</v>
      </c>
      <c r="G233" s="3">
        <f>IFERROR(__xludf.DUMMYFUNCTION("""COMPUTED_VALUE"""),3.3932207857000005E8)</f>
        <v>339322078.6</v>
      </c>
      <c r="H233" s="3"/>
      <c r="I233" s="3" t="str">
        <f>IFERROR(__xludf.DUMMYFUNCTION("""COMPUTED_VALUE"""),"PRIBADI")</f>
        <v>PRIBADI</v>
      </c>
    </row>
    <row r="234">
      <c r="A234" s="7">
        <f>IFERROR(__xludf.DUMMYFUNCTION("""COMPUTED_VALUE"""),46265.0)</f>
        <v>46265</v>
      </c>
      <c r="B234" s="3" t="str">
        <f>IFERROR(__xludf.DUMMYFUNCTION("""COMPUTED_VALUE"""),"TRSF E-BANKING DB")</f>
        <v>TRSF E-BANKING DB</v>
      </c>
      <c r="C234" s="3" t="str">
        <f>IFERROR(__xludf.DUMMYFUNCTION("""COMPUTED_VALUE"""),"3108/FTSCY/WS95271 153303600.00 Fri Aug 28 2026 14:00:00 GMT+0700 (Western Indonesia Time) LAJU SATWA WISESA")</f>
        <v>3108/FTSCY/WS95271 153303600.00 Fri Aug 28 2026 14:00:00 GMT+0700 (Western Indonesia Time) LAJU SATWA WISESA</v>
      </c>
      <c r="D234" s="3">
        <f>IFERROR(__xludf.DUMMYFUNCTION("""COMPUTED_VALUE"""),1.533036E8)</f>
        <v>153303600</v>
      </c>
      <c r="E234" s="3"/>
      <c r="F234" s="3" t="str">
        <f>IFERROR(__xludf.DUMMYFUNCTION("""COMPUTED_VALUE"""),"DB")</f>
        <v>DB</v>
      </c>
      <c r="G234" s="3">
        <f>IFERROR(__xludf.DUMMYFUNCTION("""COMPUTED_VALUE"""),1.8616847857000005E8)</f>
        <v>186168478.6</v>
      </c>
      <c r="H234" s="3"/>
      <c r="I234" s="3" t="str">
        <f>IFERROR(__xludf.DUMMYFUNCTION("""COMPUTED_VALUE"""),"PRIBADI")</f>
        <v>PRIBADI</v>
      </c>
    </row>
    <row r="235">
      <c r="A235" s="7">
        <f>IFERROR(__xludf.DUMMYFUNCTION("""COMPUTED_VALUE"""),46265.0)</f>
        <v>46265</v>
      </c>
      <c r="B235" s="3" t="str">
        <f>IFERROR(__xludf.DUMMYFUNCTION("""COMPUTED_VALUE"""),"TRSF E-BANKING DB")</f>
        <v>TRSF E-BANKING DB</v>
      </c>
      <c r="C235" s="3" t="str">
        <f>IFERROR(__xludf.DUMMYFUNCTION("""COMPUTED_VALUE"""),"3108/FTSCY/WS95271 82041000.00 Fri Aug 28 2026 14:00:00 GMT+0700 (Western Indonesia Time) ANDALAN YASA MITRA")</f>
        <v>3108/FTSCY/WS95271 82041000.00 Fri Aug 28 2026 14:00:00 GMT+0700 (Western Indonesia Time) ANDALAN YASA MITRA</v>
      </c>
      <c r="D235" s="3">
        <f>IFERROR(__xludf.DUMMYFUNCTION("""COMPUTED_VALUE"""),8.2041E7)</f>
        <v>82041000</v>
      </c>
      <c r="E235" s="3"/>
      <c r="F235" s="3" t="str">
        <f>IFERROR(__xludf.DUMMYFUNCTION("""COMPUTED_VALUE"""),"DB")</f>
        <v>DB</v>
      </c>
      <c r="G235" s="3">
        <f>IFERROR(__xludf.DUMMYFUNCTION("""COMPUTED_VALUE"""),1.0412747857000005E8)</f>
        <v>104127478.6</v>
      </c>
      <c r="H235" s="3"/>
      <c r="I235" s="3" t="str">
        <f>IFERROR(__xludf.DUMMYFUNCTION("""COMPUTED_VALUE"""),"PRIBADI")</f>
        <v>PRIBADI</v>
      </c>
    </row>
    <row r="236">
      <c r="A236" s="7">
        <f>IFERROR(__xludf.DUMMYFUNCTION("""COMPUTED_VALUE"""),46265.0)</f>
        <v>46265</v>
      </c>
      <c r="B236" s="3" t="str">
        <f>IFERROR(__xludf.DUMMYFUNCTION("""COMPUTED_VALUE"""),"TRSF E-BANKING DB")</f>
        <v>TRSF E-BANKING DB</v>
      </c>
      <c r="C236" s="3" t="str">
        <f>IFERROR(__xludf.DUMMYFUNCTION("""COMPUTED_VALUE"""),"3108/FTSCY/WS95031 3000000.00 NURHAYATI")</f>
        <v>3108/FTSCY/WS95031 3000000.00 NURHAYATI</v>
      </c>
      <c r="D236" s="3">
        <f>IFERROR(__xludf.DUMMYFUNCTION("""COMPUTED_VALUE"""),3000000.0)</f>
        <v>3000000</v>
      </c>
      <c r="E236" s="3"/>
      <c r="F236" s="3" t="str">
        <f>IFERROR(__xludf.DUMMYFUNCTION("""COMPUTED_VALUE"""),"DB")</f>
        <v>DB</v>
      </c>
      <c r="G236" s="3">
        <f>IFERROR(__xludf.DUMMYFUNCTION("""COMPUTED_VALUE"""),1.0112747857000005E8)</f>
        <v>101127478.6</v>
      </c>
      <c r="H236" s="3"/>
      <c r="I236" s="3" t="str">
        <f>IFERROR(__xludf.DUMMYFUNCTION("""COMPUTED_VALUE"""),"PRIBADI")</f>
        <v>PRIBADI</v>
      </c>
    </row>
    <row r="237">
      <c r="A237" s="7">
        <f>IFERROR(__xludf.DUMMYFUNCTION("""COMPUTED_VALUE"""),46265.0)</f>
        <v>46265</v>
      </c>
      <c r="B237" s="3" t="str">
        <f>IFERROR(__xludf.DUMMYFUNCTION("""COMPUTED_VALUE"""),"TRSF E-BANKING DB")</f>
        <v>TRSF E-BANKING DB</v>
      </c>
      <c r="C237" s="3" t="str">
        <f>IFERROR(__xludf.DUMMYFUNCTION("""COMPUTED_VALUE"""),"3108/FTSCY/WS95271 61200000.00 Sat Aug 29 2026 14:00:00 GMT+0700 (Western Indonesia Time) LAJU SATWA WISESA")</f>
        <v>3108/FTSCY/WS95271 61200000.00 Sat Aug 29 2026 14:00:00 GMT+0700 (Western Indonesia Time) LAJU SATWA WISESA</v>
      </c>
      <c r="D237" s="3">
        <f>IFERROR(__xludf.DUMMYFUNCTION("""COMPUTED_VALUE"""),6.12E7)</f>
        <v>61200000</v>
      </c>
      <c r="E237" s="3"/>
      <c r="F237" s="3" t="str">
        <f>IFERROR(__xludf.DUMMYFUNCTION("""COMPUTED_VALUE"""),"DB")</f>
        <v>DB</v>
      </c>
      <c r="G237" s="3">
        <f>IFERROR(__xludf.DUMMYFUNCTION("""COMPUTED_VALUE"""),3.992747857000005E7)</f>
        <v>39927478.57</v>
      </c>
      <c r="H237" s="3"/>
      <c r="I237" s="3" t="str">
        <f>IFERROR(__xludf.DUMMYFUNCTION("""COMPUTED_VALUE"""),"PRIBADI")</f>
        <v>PRIBADI</v>
      </c>
    </row>
    <row r="238">
      <c r="A238" s="7">
        <f>IFERROR(__xludf.DUMMYFUNCTION("""COMPUTED_VALUE"""),46265.0)</f>
        <v>46265</v>
      </c>
      <c r="B238" s="3" t="str">
        <f>IFERROR(__xludf.DUMMYFUNCTION("""COMPUTED_VALUE"""),"TRSF E-BANKING DB")</f>
        <v>TRSF E-BANKING DB</v>
      </c>
      <c r="C238" s="3" t="str">
        <f>IFERROR(__xludf.DUMMYFUNCTION("""COMPUTED_VALUE"""),"3108/FTSCY/WS95031 20000000.00 pelunasan LAJU SATWA WISESA")</f>
        <v>3108/FTSCY/WS95031 20000000.00 pelunasan LAJU SATWA WISESA</v>
      </c>
      <c r="D238" s="3">
        <f>IFERROR(__xludf.DUMMYFUNCTION("""COMPUTED_VALUE"""),2.0E7)</f>
        <v>20000000</v>
      </c>
      <c r="E238" s="3"/>
      <c r="F238" s="3" t="str">
        <f>IFERROR(__xludf.DUMMYFUNCTION("""COMPUTED_VALUE"""),"DB")</f>
        <v>DB</v>
      </c>
      <c r="G238" s="3">
        <f>IFERROR(__xludf.DUMMYFUNCTION("""COMPUTED_VALUE"""),1.9927478570000052E7)</f>
        <v>19927478.57</v>
      </c>
      <c r="H238" s="3"/>
      <c r="I238" s="3" t="str">
        <f>IFERROR(__xludf.DUMMYFUNCTION("""COMPUTED_VALUE"""),"PRIBADI")</f>
        <v>PRIBADI</v>
      </c>
    </row>
    <row r="239">
      <c r="A239" s="7">
        <f>IFERROR(__xludf.DUMMYFUNCTION("""COMPUTED_VALUE"""),46265.0)</f>
        <v>46265</v>
      </c>
      <c r="B239" s="3" t="str">
        <f>IFERROR(__xludf.DUMMYFUNCTION("""COMPUTED_VALUE"""),"TRSF E-BANKING DB")</f>
        <v>TRSF E-BANKING DB</v>
      </c>
      <c r="C239" s="3" t="str">
        <f>IFERROR(__xludf.DUMMYFUNCTION("""COMPUTED_VALUE"""),"3108/FTSCY/WS95031 2300000.00 DWI HERMANSYAH")</f>
        <v>3108/FTSCY/WS95031 2300000.00 DWI HERMANSYAH</v>
      </c>
      <c r="D239" s="3">
        <f>IFERROR(__xludf.DUMMYFUNCTION("""COMPUTED_VALUE"""),2300000.0)</f>
        <v>2300000</v>
      </c>
      <c r="E239" s="3"/>
      <c r="F239" s="3" t="str">
        <f>IFERROR(__xludf.DUMMYFUNCTION("""COMPUTED_VALUE"""),"DB")</f>
        <v>DB</v>
      </c>
      <c r="G239" s="3">
        <f>IFERROR(__xludf.DUMMYFUNCTION("""COMPUTED_VALUE"""),1.7627478570000052E7)</f>
        <v>17627478.57</v>
      </c>
      <c r="H239" s="3"/>
      <c r="I239" s="3" t="str">
        <f>IFERROR(__xludf.DUMMYFUNCTION("""COMPUTED_VALUE"""),"PRIBADI")</f>
        <v>PRIBADI</v>
      </c>
    </row>
    <row r="240">
      <c r="A240" s="7">
        <f>IFERROR(__xludf.DUMMYFUNCTION("""COMPUTED_VALUE"""),46265.0)</f>
        <v>46265</v>
      </c>
      <c r="B240" s="3" t="str">
        <f>IFERROR(__xludf.DUMMYFUNCTION("""COMPUTED_VALUE"""),"TRSF E-BANKING DB")</f>
        <v>TRSF E-BANKING DB</v>
      </c>
      <c r="C240" s="3" t="str">
        <f>IFERROR(__xludf.DUMMYFUNCTION("""COMPUTED_VALUE"""),"3108/FTSCY/WS95031 1200000.00 FAJAR ANDREANZAH")</f>
        <v>3108/FTSCY/WS95031 1200000.00 FAJAR ANDREANZAH</v>
      </c>
      <c r="D240" s="3">
        <f>IFERROR(__xludf.DUMMYFUNCTION("""COMPUTED_VALUE"""),1200000.0)</f>
        <v>1200000</v>
      </c>
      <c r="E240" s="3"/>
      <c r="F240" s="3" t="str">
        <f>IFERROR(__xludf.DUMMYFUNCTION("""COMPUTED_VALUE"""),"DB")</f>
        <v>DB</v>
      </c>
      <c r="G240" s="3">
        <f>IFERROR(__xludf.DUMMYFUNCTION("""COMPUTED_VALUE"""),1.6427478570000052E7)</f>
        <v>16427478.57</v>
      </c>
      <c r="H240" s="3">
        <f>IFERROR(__xludf.DUMMYFUNCTION("""COMPUTED_VALUE"""),1.642747857E7)</f>
        <v>16427478.57</v>
      </c>
      <c r="I240" s="3" t="str">
        <f>IFERROR(__xludf.DUMMYFUNCTION("""COMPUTED_VALUE"""),"PRIBADI")</f>
        <v>PRIBADI</v>
      </c>
    </row>
    <row r="241">
      <c r="A241" s="7">
        <f>IFERROR(__xludf.DUMMYFUNCTION("""COMPUTED_VALUE"""),46265.0)</f>
        <v>46265</v>
      </c>
      <c r="B241" s="3" t="str">
        <f>IFERROR(__xludf.DUMMYFUNCTION("""COMPUTED_VALUE"""),"TRSF E-BANKING DB")</f>
        <v>TRSF E-BANKING DB</v>
      </c>
      <c r="C241" s="3" t="str">
        <f>IFERROR(__xludf.DUMMYFUNCTION("""COMPUTED_VALUE"""),"3108/FTSCY/WS95031 1798640.00 MUJIANTO")</f>
        <v>3108/FTSCY/WS95031 1798640.00 MUJIANTO</v>
      </c>
      <c r="D241" s="3">
        <f>IFERROR(__xludf.DUMMYFUNCTION("""COMPUTED_VALUE"""),1798640.0)</f>
        <v>1798640</v>
      </c>
      <c r="E241" s="3"/>
      <c r="F241" s="3" t="str">
        <f>IFERROR(__xludf.DUMMYFUNCTION("""COMPUTED_VALUE"""),"DB")</f>
        <v>DB</v>
      </c>
      <c r="G241" s="3">
        <f>IFERROR(__xludf.DUMMYFUNCTION("""COMPUTED_VALUE"""),1.4628838570000052E7)</f>
        <v>14628838.57</v>
      </c>
      <c r="H241" s="3">
        <f>IFERROR(__xludf.DUMMYFUNCTION("""COMPUTED_VALUE"""),1.462883857E7)</f>
        <v>14628838.57</v>
      </c>
      <c r="I241" s="3" t="str">
        <f>IFERROR(__xludf.DUMMYFUNCTION("""COMPUTED_VALUE"""),"PRIBADI")</f>
        <v>PRIBADI</v>
      </c>
    </row>
    <row r="242">
      <c r="A242" s="7">
        <f>IFERROR(__xludf.DUMMYFUNCTION("""COMPUTED_VALUE"""),46265.0)</f>
        <v>46265</v>
      </c>
      <c r="B242" s="3" t="str">
        <f>IFERROR(__xludf.DUMMYFUNCTION("""COMPUTED_VALUE"""),"TRSF E-BANKING DB")</f>
        <v>TRSF E-BANKING DB</v>
      </c>
      <c r="C242" s="3" t="str">
        <f>IFERROR(__xludf.DUMMYFUNCTION("""COMPUTED_VALUE"""),"3108/FTSCY/WS95031 1614360.00 HERMAWAN")</f>
        <v>3108/FTSCY/WS95031 1614360.00 HERMAWAN</v>
      </c>
      <c r="D242" s="3">
        <f>IFERROR(__xludf.DUMMYFUNCTION("""COMPUTED_VALUE"""),1614360.0)</f>
        <v>1614360</v>
      </c>
      <c r="E242" s="3"/>
      <c r="F242" s="3" t="str">
        <f>IFERROR(__xludf.DUMMYFUNCTION("""COMPUTED_VALUE"""),"DB")</f>
        <v>DB</v>
      </c>
      <c r="G242" s="3">
        <f>IFERROR(__xludf.DUMMYFUNCTION("""COMPUTED_VALUE"""),1.3014478570000052E7)</f>
        <v>13014478.57</v>
      </c>
      <c r="H242" s="3"/>
      <c r="I242" s="3" t="str">
        <f>IFERROR(__xludf.DUMMYFUNCTION("""COMPUTED_VALUE"""),"PRIBADI")</f>
        <v>PRIBADI</v>
      </c>
    </row>
    <row r="243">
      <c r="A243" s="7">
        <f>IFERROR(__xludf.DUMMYFUNCTION("""COMPUTED_VALUE"""),46265.0)</f>
        <v>46265</v>
      </c>
      <c r="B243" s="3" t="str">
        <f>IFERROR(__xludf.DUMMYFUNCTION("""COMPUTED_VALUE"""),"TRSF E-BANKING DB")</f>
        <v>TRSF E-BANKING DB</v>
      </c>
      <c r="C243" s="3" t="str">
        <f>IFERROR(__xludf.DUMMYFUNCTION("""COMPUTED_VALUE"""),"3108/FTSCY/WS95031 1508750.00 pelunasan PT BERLIAN INDOMIT")</f>
        <v>3108/FTSCY/WS95031 1508750.00 pelunasan PT BERLIAN INDOMIT</v>
      </c>
      <c r="D243" s="3">
        <f>IFERROR(__xludf.DUMMYFUNCTION("""COMPUTED_VALUE"""),1508750.0)</f>
        <v>1508750</v>
      </c>
      <c r="E243" s="3"/>
      <c r="F243" s="3" t="str">
        <f>IFERROR(__xludf.DUMMYFUNCTION("""COMPUTED_VALUE"""),"DB")</f>
        <v>DB</v>
      </c>
      <c r="G243" s="3">
        <f>IFERROR(__xludf.DUMMYFUNCTION("""COMPUTED_VALUE"""),1.1505728570000052E7)</f>
        <v>11505728.57</v>
      </c>
      <c r="H243" s="3"/>
      <c r="I243" s="3" t="str">
        <f>IFERROR(__xludf.DUMMYFUNCTION("""COMPUTED_VALUE"""),"PRIBADI")</f>
        <v>PRIBADI</v>
      </c>
    </row>
    <row r="244">
      <c r="A244" s="7">
        <f>IFERROR(__xludf.DUMMYFUNCTION("""COMPUTED_VALUE"""),46265.0)</f>
        <v>46265</v>
      </c>
      <c r="B244" s="3" t="str">
        <f>IFERROR(__xludf.DUMMYFUNCTION("""COMPUTED_VALUE"""),"TRSF E-BANKING DB")</f>
        <v>TRSF E-BANKING DB</v>
      </c>
      <c r="C244" s="3" t="str">
        <f>IFERROR(__xludf.DUMMYFUNCTION("""COMPUTED_VALUE"""),"3108/FTFVA/WS95031 55569/PT PRIMA FAJ mlg - 40190")</f>
        <v>3108/FTFVA/WS95031 55569/PT PRIMA FAJ mlg - 40190</v>
      </c>
      <c r="D244" s="3">
        <f>IFERROR(__xludf.DUMMYFUNCTION("""COMPUTED_VALUE"""),6.77741E7)</f>
        <v>67774100</v>
      </c>
      <c r="E244" s="3"/>
      <c r="F244" s="3" t="str">
        <f>IFERROR(__xludf.DUMMYFUNCTION("""COMPUTED_VALUE"""),"DB")</f>
        <v>DB</v>
      </c>
      <c r="G244" s="3">
        <f>IFERROR(__xludf.DUMMYFUNCTION("""COMPUTED_VALUE"""),1.4811402857000005E8)</f>
        <v>148114028.6</v>
      </c>
      <c r="H244" s="3"/>
      <c r="I244" s="3" t="str">
        <f>IFERROR(__xludf.DUMMYFUNCTION("""COMPUTED_VALUE"""),"PRIBADI")</f>
        <v>PRIBADI</v>
      </c>
    </row>
    <row r="245">
      <c r="A245" s="7">
        <f>IFERROR(__xludf.DUMMYFUNCTION("""COMPUTED_VALUE"""),46265.0)</f>
        <v>46265</v>
      </c>
      <c r="B245" s="3" t="str">
        <f>IFERROR(__xludf.DUMMYFUNCTION("""COMPUTED_VALUE"""),"TRSF E-BANKING DB")</f>
        <v>TRSF E-BANKING DB</v>
      </c>
      <c r="C245" s="3" t="str">
        <f>IFERROR(__xludf.DUMMYFUNCTION("""COMPUTED_VALUE"""),"3108/FTSCY/WS95031 10000000.00 RODHIATUS SOLEHA")</f>
        <v>3108/FTSCY/WS95031 10000000.00 RODHIATUS SOLEHA</v>
      </c>
      <c r="D245" s="3">
        <f>IFERROR(__xludf.DUMMYFUNCTION("""COMPUTED_VALUE"""),1.0E7)</f>
        <v>10000000</v>
      </c>
      <c r="E245" s="3"/>
      <c r="F245" s="3" t="str">
        <f>IFERROR(__xludf.DUMMYFUNCTION("""COMPUTED_VALUE"""),"DB")</f>
        <v>DB</v>
      </c>
      <c r="G245" s="3">
        <f>IFERROR(__xludf.DUMMYFUNCTION("""COMPUTED_VALUE"""),3.8179846457000005E8)</f>
        <v>381798464.6</v>
      </c>
      <c r="H245" s="3"/>
      <c r="I245" s="3" t="str">
        <f>IFERROR(__xludf.DUMMYFUNCTION("""COMPUTED_VALUE"""),"PRIBADI")</f>
        <v>PRIBADI</v>
      </c>
    </row>
    <row r="246">
      <c r="A246" s="7">
        <f>IFERROR(__xludf.DUMMYFUNCTION("""COMPUTED_VALUE"""),46265.0)</f>
        <v>46265</v>
      </c>
      <c r="B246" s="3" t="str">
        <f>IFERROR(__xludf.DUMMYFUNCTION("""COMPUTED_VALUE"""),"TRSF E-BANKING DB")</f>
        <v>TRSF E-BANKING DB</v>
      </c>
      <c r="C246" s="3" t="str">
        <f>IFERROR(__xludf.DUMMYFUNCTION("""COMPUTED_VALUE"""),"3108/FTSCY/WS95011 69960680.00 Sat Aug 29 2026 14:00:00 GMT+0700 (Western Indonesia Time) BINTANG TAMA SANTO")</f>
        <v>3108/FTSCY/WS95011 69960680.00 Sat Aug 29 2026 14:00:00 GMT+0700 (Western Indonesia Time) BINTANG TAMA SANTO</v>
      </c>
      <c r="D246" s="3">
        <f>IFERROR(__xludf.DUMMYFUNCTION("""COMPUTED_VALUE"""),6.996068E7)</f>
        <v>69960680</v>
      </c>
      <c r="E246" s="3"/>
      <c r="F246" s="3" t="str">
        <f>IFERROR(__xludf.DUMMYFUNCTION("""COMPUTED_VALUE"""),"DB")</f>
        <v>DB</v>
      </c>
      <c r="G246" s="3">
        <f>IFERROR(__xludf.DUMMYFUNCTION("""COMPUTED_VALUE"""),3.1183778457000005E8)</f>
        <v>311837784.6</v>
      </c>
      <c r="H246" s="3"/>
      <c r="I246" s="3" t="str">
        <f>IFERROR(__xludf.DUMMYFUNCTION("""COMPUTED_VALUE"""),"PRIBADI")</f>
        <v>PRIBADI</v>
      </c>
    </row>
    <row r="247">
      <c r="A247" s="7">
        <f>IFERROR(__xludf.DUMMYFUNCTION("""COMPUTED_VALUE"""),46265.0)</f>
        <v>46265</v>
      </c>
      <c r="B247" s="3" t="str">
        <f>IFERROR(__xludf.DUMMYFUNCTION("""COMPUTED_VALUE"""),"TRSF E-BANKING DB")</f>
        <v>TRSF E-BANKING DB</v>
      </c>
      <c r="C247" s="3" t="str">
        <f>IFERROR(__xludf.DUMMYFUNCTION("""COMPUTED_VALUE"""),"3108/FTSCY/WS95011 272344300.00 Sat Aug 29 2026 14:00:00 GMT+0700 (Western Indonesia Time) BROILER MAKMUR TAN")</f>
        <v>3108/FTSCY/WS95011 272344300.00 Sat Aug 29 2026 14:00:00 GMT+0700 (Western Indonesia Time) BROILER MAKMUR TAN</v>
      </c>
      <c r="D247" s="3">
        <f>IFERROR(__xludf.DUMMYFUNCTION("""COMPUTED_VALUE"""),2.723443E8)</f>
        <v>272344300</v>
      </c>
      <c r="E247" s="3"/>
      <c r="F247" s="3" t="str">
        <f>IFERROR(__xludf.DUMMYFUNCTION("""COMPUTED_VALUE"""),"DB")</f>
        <v>DB</v>
      </c>
      <c r="G247" s="3">
        <f>IFERROR(__xludf.DUMMYFUNCTION("""COMPUTED_VALUE"""),3.949348457000005E7)</f>
        <v>39493484.57</v>
      </c>
      <c r="H247" s="3"/>
      <c r="I247" s="3" t="str">
        <f>IFERROR(__xludf.DUMMYFUNCTION("""COMPUTED_VALUE"""),"PRIBADI")</f>
        <v>PRIBADI</v>
      </c>
    </row>
    <row r="248">
      <c r="A248" s="7">
        <f>IFERROR(__xludf.DUMMYFUNCTION("""COMPUTED_VALUE"""),46265.0)</f>
        <v>46265</v>
      </c>
      <c r="B248" s="3" t="str">
        <f>IFERROR(__xludf.DUMMYFUNCTION("""COMPUTED_VALUE"""),"KARTU DEBIT")</f>
        <v>KARTU DEBIT</v>
      </c>
      <c r="C248" s="3" t="str">
        <f>IFERROR(__xludf.DUMMYFUNCTION("""COMPUTED_VALUE"""),"CONATO BAKERY NICO 6019009510239343")</f>
        <v>CONATO BAKERY NICO 6019009510239343</v>
      </c>
      <c r="D248" s="3">
        <f>IFERROR(__xludf.DUMMYFUNCTION("""COMPUTED_VALUE"""),60000.0)</f>
        <v>60000</v>
      </c>
      <c r="E248" s="3"/>
      <c r="F248" s="3"/>
      <c r="G248" s="3">
        <f>IFERROR(__xludf.DUMMYFUNCTION("""COMPUTED_VALUE"""),6.8093093457E8)</f>
        <v>680930934.6</v>
      </c>
      <c r="H248" s="3"/>
      <c r="I248" s="3" t="str">
        <f>IFERROR(__xludf.DUMMYFUNCTION("""COMPUTED_VALUE"""),"PRIBADI")</f>
        <v>PRIBADI</v>
      </c>
    </row>
    <row r="249">
      <c r="A249" s="7">
        <f>IFERROR(__xludf.DUMMYFUNCTION("""COMPUTED_VALUE"""),46265.0)</f>
        <v>46265</v>
      </c>
      <c r="B249" s="3" t="str">
        <f>IFERROR(__xludf.DUMMYFUNCTION("""COMPUTED_VALUE"""),"TRSF E-BANKING DB")</f>
        <v>TRSF E-BANKING DB</v>
      </c>
      <c r="C249" s="3" t="str">
        <f>IFERROR(__xludf.DUMMYFUNCTION("""COMPUTED_VALUE"""),"3108/FTSCY/WS95011 157260000.00 Sat Aug 29 2026 14:00:00 GMT+0700 (Western Indonesia Time) BINTANG TAMA SANTO")</f>
        <v>3108/FTSCY/WS95011 157260000.00 Sat Aug 29 2026 14:00:00 GMT+0700 (Western Indonesia Time) BINTANG TAMA SANTO</v>
      </c>
      <c r="D249" s="3">
        <f>IFERROR(__xludf.DUMMYFUNCTION("""COMPUTED_VALUE"""),1.5726E8)</f>
        <v>157260000</v>
      </c>
      <c r="E249" s="3"/>
      <c r="F249" s="3" t="str">
        <f>IFERROR(__xludf.DUMMYFUNCTION("""COMPUTED_VALUE"""),"DB")</f>
        <v>DB</v>
      </c>
      <c r="G249" s="3">
        <f>IFERROR(__xludf.DUMMYFUNCTION("""COMPUTED_VALUE"""),5.2367093457000005E8)</f>
        <v>523670934.6</v>
      </c>
      <c r="H249" s="3"/>
      <c r="I249" s="3" t="str">
        <f>IFERROR(__xludf.DUMMYFUNCTION("""COMPUTED_VALUE"""),"PRIBADI")</f>
        <v>PRIBADI</v>
      </c>
    </row>
    <row r="250">
      <c r="A250" s="7"/>
    </row>
    <row r="251">
      <c r="A251" s="7"/>
    </row>
    <row r="252">
      <c r="A252" s="7"/>
    </row>
    <row r="253">
      <c r="A253" s="7"/>
    </row>
    <row r="254">
      <c r="A254" s="7"/>
    </row>
    <row r="255">
      <c r="A255" s="7"/>
    </row>
    <row r="256">
      <c r="A256" s="7"/>
    </row>
    <row r="257">
      <c r="A257" s="7"/>
    </row>
    <row r="258">
      <c r="A258" s="7"/>
    </row>
    <row r="259">
      <c r="A259" s="7"/>
    </row>
    <row r="260">
      <c r="A260" s="7"/>
    </row>
    <row r="261">
      <c r="A261" s="7"/>
    </row>
    <row r="262">
      <c r="A262" s="7"/>
    </row>
    <row r="263">
      <c r="A263" s="7"/>
    </row>
    <row r="264">
      <c r="A264" s="7"/>
    </row>
    <row r="265">
      <c r="A265" s="7"/>
    </row>
    <row r="266">
      <c r="A266" s="7"/>
    </row>
    <row r="267">
      <c r="A267" s="7"/>
    </row>
    <row r="268">
      <c r="A268" s="7"/>
    </row>
    <row r="269">
      <c r="A269" s="7"/>
    </row>
    <row r="270">
      <c r="A270" s="7"/>
    </row>
    <row r="271">
      <c r="A271" s="7"/>
    </row>
    <row r="272">
      <c r="A272" s="7"/>
    </row>
    <row r="273">
      <c r="A273" s="7"/>
    </row>
    <row r="274">
      <c r="A274" s="7"/>
    </row>
    <row r="275">
      <c r="A275" s="7"/>
    </row>
    <row r="276">
      <c r="A276" s="7"/>
    </row>
    <row r="277">
      <c r="A277" s="7"/>
    </row>
    <row r="278">
      <c r="A278" s="7"/>
    </row>
    <row r="279">
      <c r="A279" s="7"/>
    </row>
    <row r="280">
      <c r="A280" s="7"/>
    </row>
    <row r="281">
      <c r="A281" s="7"/>
    </row>
    <row r="282">
      <c r="A282" s="7"/>
    </row>
    <row r="283">
      <c r="A283" s="7"/>
    </row>
    <row r="284">
      <c r="A284" s="7"/>
    </row>
    <row r="285">
      <c r="A285" s="7"/>
    </row>
    <row r="286">
      <c r="A286" s="7"/>
    </row>
    <row r="287">
      <c r="A287" s="7"/>
    </row>
    <row r="288">
      <c r="A288" s="7"/>
    </row>
    <row r="289">
      <c r="A289" s="7"/>
    </row>
    <row r="290">
      <c r="A290" s="7"/>
    </row>
    <row r="291">
      <c r="A291" s="7"/>
    </row>
    <row r="292">
      <c r="A292" s="7"/>
    </row>
    <row r="293">
      <c r="A293" s="7"/>
    </row>
    <row r="294">
      <c r="A294" s="7"/>
    </row>
    <row r="295">
      <c r="A295" s="7"/>
    </row>
    <row r="296">
      <c r="A296" s="7"/>
    </row>
    <row r="297">
      <c r="A297" s="7"/>
    </row>
    <row r="298">
      <c r="A298" s="7"/>
    </row>
    <row r="299">
      <c r="A299" s="7"/>
    </row>
    <row r="300">
      <c r="A300" s="7"/>
    </row>
    <row r="301">
      <c r="A301" s="7"/>
    </row>
    <row r="302">
      <c r="A302" s="7"/>
    </row>
    <row r="303">
      <c r="A303" s="7"/>
    </row>
    <row r="304">
      <c r="A304" s="7"/>
    </row>
    <row r="305">
      <c r="A305" s="7"/>
    </row>
    <row r="306">
      <c r="A306" s="7"/>
    </row>
    <row r="307">
      <c r="A307" s="7"/>
    </row>
    <row r="308">
      <c r="A308" s="7"/>
    </row>
    <row r="309">
      <c r="A309" s="7"/>
    </row>
    <row r="310">
      <c r="A310" s="7"/>
    </row>
    <row r="311">
      <c r="A311" s="7"/>
    </row>
    <row r="312">
      <c r="A312" s="7"/>
    </row>
    <row r="313">
      <c r="A313" s="7"/>
    </row>
    <row r="314">
      <c r="A314" s="7"/>
    </row>
    <row r="315">
      <c r="A315" s="7"/>
    </row>
    <row r="316">
      <c r="A316" s="7"/>
    </row>
    <row r="317">
      <c r="A317" s="7"/>
    </row>
    <row r="318">
      <c r="A318" s="7"/>
    </row>
    <row r="319">
      <c r="A319" s="7"/>
    </row>
    <row r="320">
      <c r="A320" s="7"/>
    </row>
    <row r="321">
      <c r="A321" s="7"/>
    </row>
    <row r="322">
      <c r="A322" s="7"/>
    </row>
    <row r="323">
      <c r="A323" s="7"/>
    </row>
    <row r="324">
      <c r="A324" s="7"/>
    </row>
    <row r="325">
      <c r="A325" s="7"/>
    </row>
    <row r="326">
      <c r="A326" s="7"/>
    </row>
    <row r="327">
      <c r="A327" s="7"/>
    </row>
    <row r="328">
      <c r="A328" s="7"/>
    </row>
    <row r="329">
      <c r="A329" s="7"/>
    </row>
    <row r="330">
      <c r="A330" s="7"/>
    </row>
    <row r="331">
      <c r="A331" s="7"/>
    </row>
    <row r="332">
      <c r="A332" s="7"/>
    </row>
    <row r="333">
      <c r="A333" s="7"/>
    </row>
    <row r="334">
      <c r="A334" s="7"/>
    </row>
    <row r="335">
      <c r="A335" s="7"/>
    </row>
    <row r="336">
      <c r="A336" s="7"/>
    </row>
    <row r="337">
      <c r="A337" s="7"/>
    </row>
    <row r="338">
      <c r="A338" s="7"/>
    </row>
    <row r="339">
      <c r="A339" s="7"/>
    </row>
    <row r="340">
      <c r="A340" s="7"/>
    </row>
    <row r="341">
      <c r="A341" s="7"/>
    </row>
    <row r="342">
      <c r="A342" s="7"/>
    </row>
    <row r="343">
      <c r="A343" s="7"/>
    </row>
    <row r="344">
      <c r="A344" s="7"/>
    </row>
    <row r="345">
      <c r="A345" s="7"/>
    </row>
    <row r="346">
      <c r="A346" s="7"/>
    </row>
    <row r="347">
      <c r="A347" s="7"/>
    </row>
    <row r="348">
      <c r="A348" s="7"/>
    </row>
    <row r="349">
      <c r="A349" s="7"/>
    </row>
    <row r="350">
      <c r="A350" s="7"/>
    </row>
    <row r="351">
      <c r="A351" s="7"/>
    </row>
    <row r="352">
      <c r="A352" s="7"/>
    </row>
    <row r="353">
      <c r="A353" s="7"/>
    </row>
    <row r="354">
      <c r="A354" s="7"/>
    </row>
    <row r="355">
      <c r="A355" s="7"/>
    </row>
    <row r="356">
      <c r="A356" s="7"/>
    </row>
    <row r="357">
      <c r="A357" s="7"/>
    </row>
    <row r="358">
      <c r="A358" s="7"/>
    </row>
    <row r="359">
      <c r="A359" s="7"/>
    </row>
    <row r="360">
      <c r="A360" s="7"/>
    </row>
    <row r="361">
      <c r="A361" s="7"/>
    </row>
    <row r="362">
      <c r="A362" s="7"/>
    </row>
    <row r="363">
      <c r="A363" s="7"/>
    </row>
    <row r="364">
      <c r="A364" s="7"/>
    </row>
    <row r="365">
      <c r="A365" s="7"/>
    </row>
    <row r="366">
      <c r="A366" s="7"/>
    </row>
    <row r="367">
      <c r="A367" s="7"/>
    </row>
    <row r="368">
      <c r="A368" s="7"/>
    </row>
    <row r="369">
      <c r="A369" s="7"/>
    </row>
    <row r="370">
      <c r="A370" s="7"/>
    </row>
    <row r="371">
      <c r="A371" s="7"/>
    </row>
    <row r="372">
      <c r="A372" s="7"/>
    </row>
    <row r="373">
      <c r="A373" s="7"/>
    </row>
    <row r="374">
      <c r="A374" s="7"/>
    </row>
    <row r="375">
      <c r="A375" s="7"/>
    </row>
    <row r="376">
      <c r="A376" s="7"/>
    </row>
    <row r="377">
      <c r="A377" s="7"/>
    </row>
    <row r="378">
      <c r="A378" s="7"/>
    </row>
    <row r="379">
      <c r="A379" s="7"/>
    </row>
    <row r="380">
      <c r="A380" s="7"/>
    </row>
    <row r="381">
      <c r="A381" s="7"/>
    </row>
    <row r="382">
      <c r="A382" s="7"/>
    </row>
    <row r="383">
      <c r="A383" s="7"/>
    </row>
    <row r="384">
      <c r="A384" s="7"/>
    </row>
    <row r="385">
      <c r="A385" s="7"/>
    </row>
    <row r="386">
      <c r="A386" s="7"/>
    </row>
    <row r="387">
      <c r="A387" s="7"/>
    </row>
    <row r="388">
      <c r="A388" s="7"/>
    </row>
    <row r="389">
      <c r="A389" s="7"/>
    </row>
    <row r="390">
      <c r="A390" s="7"/>
    </row>
    <row r="391">
      <c r="A391" s="7"/>
    </row>
    <row r="392">
      <c r="A392" s="7"/>
    </row>
    <row r="393">
      <c r="A393" s="7"/>
    </row>
    <row r="394">
      <c r="A394" s="7"/>
    </row>
    <row r="395">
      <c r="A395" s="7"/>
    </row>
    <row r="396">
      <c r="A396" s="7"/>
    </row>
    <row r="397">
      <c r="A397" s="7"/>
    </row>
    <row r="398">
      <c r="A398" s="7"/>
    </row>
    <row r="399">
      <c r="A399" s="7"/>
    </row>
    <row r="400">
      <c r="A400" s="7"/>
    </row>
    <row r="401">
      <c r="A401" s="7"/>
    </row>
    <row r="402">
      <c r="A402" s="7"/>
    </row>
    <row r="403">
      <c r="A403" s="7"/>
    </row>
    <row r="404">
      <c r="A404" s="7"/>
    </row>
    <row r="405">
      <c r="A405" s="7"/>
    </row>
    <row r="406">
      <c r="A406" s="7"/>
    </row>
    <row r="407">
      <c r="A407" s="7"/>
    </row>
    <row r="408">
      <c r="A408" s="7"/>
    </row>
    <row r="409">
      <c r="A409" s="7"/>
    </row>
    <row r="410">
      <c r="A410" s="7"/>
    </row>
    <row r="411">
      <c r="A411" s="7"/>
    </row>
    <row r="412">
      <c r="A412" s="7"/>
    </row>
    <row r="413">
      <c r="A413" s="7"/>
    </row>
    <row r="414">
      <c r="A414" s="7"/>
    </row>
    <row r="415">
      <c r="A415" s="7"/>
    </row>
    <row r="416">
      <c r="A416" s="7"/>
    </row>
    <row r="417">
      <c r="A417" s="7"/>
    </row>
    <row r="418">
      <c r="A418" s="7"/>
    </row>
    <row r="419">
      <c r="A419" s="7"/>
    </row>
    <row r="420">
      <c r="A420" s="7"/>
    </row>
    <row r="421">
      <c r="A421" s="7"/>
    </row>
    <row r="422">
      <c r="A422" s="7"/>
    </row>
    <row r="423">
      <c r="A423" s="7"/>
    </row>
    <row r="424">
      <c r="A424" s="7"/>
    </row>
    <row r="425">
      <c r="A425" s="7"/>
    </row>
    <row r="426">
      <c r="A426" s="7"/>
    </row>
    <row r="427">
      <c r="A427" s="7"/>
    </row>
    <row r="428">
      <c r="A428" s="7"/>
    </row>
    <row r="429">
      <c r="A429" s="7"/>
    </row>
    <row r="430">
      <c r="A430" s="7"/>
    </row>
    <row r="431">
      <c r="A431" s="7"/>
    </row>
    <row r="432">
      <c r="A432" s="7"/>
    </row>
    <row r="433">
      <c r="A433" s="7"/>
    </row>
    <row r="434">
      <c r="A434" s="7"/>
    </row>
    <row r="435">
      <c r="A435" s="7"/>
    </row>
    <row r="436">
      <c r="A436" s="7"/>
    </row>
    <row r="437">
      <c r="A437" s="7"/>
    </row>
    <row r="438">
      <c r="A438" s="7"/>
    </row>
    <row r="439">
      <c r="A439" s="7"/>
    </row>
    <row r="440">
      <c r="A440" s="7"/>
    </row>
    <row r="441">
      <c r="A441" s="7"/>
    </row>
    <row r="442">
      <c r="A442" s="7"/>
    </row>
    <row r="443">
      <c r="A443" s="7"/>
    </row>
    <row r="444">
      <c r="A444" s="7"/>
    </row>
    <row r="445">
      <c r="A445" s="7"/>
    </row>
    <row r="446">
      <c r="A446" s="7"/>
    </row>
    <row r="447">
      <c r="A447" s="7"/>
    </row>
    <row r="448">
      <c r="A448" s="7"/>
    </row>
    <row r="449">
      <c r="A449" s="7"/>
    </row>
    <row r="450">
      <c r="A450" s="7"/>
    </row>
    <row r="451">
      <c r="A451" s="7"/>
    </row>
    <row r="452">
      <c r="A452" s="7"/>
    </row>
    <row r="453">
      <c r="A453" s="7"/>
    </row>
    <row r="454">
      <c r="A454" s="7"/>
    </row>
    <row r="455">
      <c r="A455" s="7"/>
    </row>
    <row r="456">
      <c r="A456" s="7"/>
    </row>
    <row r="457">
      <c r="A457" s="7"/>
    </row>
    <row r="458">
      <c r="A458" s="7"/>
    </row>
    <row r="459">
      <c r="A459" s="7"/>
    </row>
    <row r="460">
      <c r="A460" s="7"/>
    </row>
    <row r="461">
      <c r="A461" s="7"/>
    </row>
    <row r="462">
      <c r="A462" s="7"/>
    </row>
    <row r="463">
      <c r="A463" s="7"/>
    </row>
    <row r="464">
      <c r="A464" s="7"/>
    </row>
    <row r="465">
      <c r="A465" s="7"/>
    </row>
    <row r="466">
      <c r="A466" s="7"/>
    </row>
    <row r="467">
      <c r="A467" s="7"/>
    </row>
    <row r="468">
      <c r="A468" s="7"/>
    </row>
    <row r="469">
      <c r="A469" s="7"/>
    </row>
    <row r="470">
      <c r="A470" s="7"/>
    </row>
    <row r="471">
      <c r="A471" s="7"/>
    </row>
    <row r="472">
      <c r="A472" s="7"/>
    </row>
    <row r="473">
      <c r="A473" s="7"/>
    </row>
    <row r="474">
      <c r="A474" s="7"/>
    </row>
    <row r="475">
      <c r="A475" s="7"/>
    </row>
    <row r="476">
      <c r="A476" s="7"/>
    </row>
    <row r="477">
      <c r="A477" s="7"/>
    </row>
    <row r="478">
      <c r="A478" s="7"/>
    </row>
    <row r="479">
      <c r="A479" s="7"/>
    </row>
    <row r="480">
      <c r="A480" s="7"/>
    </row>
    <row r="481">
      <c r="A481" s="7"/>
    </row>
    <row r="482">
      <c r="A482" s="7"/>
    </row>
    <row r="483">
      <c r="A483" s="7"/>
    </row>
    <row r="484">
      <c r="A484" s="7"/>
    </row>
    <row r="485">
      <c r="A485" s="7"/>
    </row>
    <row r="486">
      <c r="A486" s="7"/>
    </row>
    <row r="487">
      <c r="A487" s="7"/>
    </row>
    <row r="488">
      <c r="A488" s="7"/>
    </row>
    <row r="489">
      <c r="A489" s="7"/>
    </row>
    <row r="490">
      <c r="A490" s="7"/>
    </row>
    <row r="491">
      <c r="A491" s="7"/>
    </row>
    <row r="492">
      <c r="A492" s="7"/>
    </row>
    <row r="493">
      <c r="A493" s="7"/>
    </row>
    <row r="494">
      <c r="A494" s="7"/>
    </row>
    <row r="495">
      <c r="A495" s="7"/>
    </row>
    <row r="496">
      <c r="A496" s="7"/>
    </row>
    <row r="497">
      <c r="A497" s="7"/>
    </row>
    <row r="498">
      <c r="A498" s="7"/>
    </row>
    <row r="499">
      <c r="A499" s="7"/>
    </row>
    <row r="500">
      <c r="A500" s="7"/>
    </row>
    <row r="501">
      <c r="A501" s="7"/>
    </row>
    <row r="502">
      <c r="A502" s="7"/>
    </row>
    <row r="503">
      <c r="A503" s="7"/>
    </row>
    <row r="504">
      <c r="A504" s="7"/>
    </row>
    <row r="505">
      <c r="A505" s="7"/>
    </row>
    <row r="506">
      <c r="A506" s="7"/>
    </row>
    <row r="507">
      <c r="A507" s="7"/>
    </row>
    <row r="508">
      <c r="A508" s="7"/>
    </row>
    <row r="509">
      <c r="A509" s="7"/>
    </row>
    <row r="510">
      <c r="A510" s="7"/>
    </row>
    <row r="511">
      <c r="A511" s="7"/>
    </row>
    <row r="512">
      <c r="A512" s="7"/>
    </row>
    <row r="513">
      <c r="A513" s="7"/>
    </row>
    <row r="514">
      <c r="A514" s="7"/>
    </row>
    <row r="515">
      <c r="A515" s="7"/>
    </row>
    <row r="516">
      <c r="A516" s="7"/>
    </row>
    <row r="517">
      <c r="A517" s="7"/>
    </row>
    <row r="518">
      <c r="A518" s="7"/>
    </row>
    <row r="519">
      <c r="A519" s="7"/>
    </row>
    <row r="520">
      <c r="A520" s="7"/>
    </row>
    <row r="521">
      <c r="A521" s="7"/>
    </row>
    <row r="522">
      <c r="A522" s="7"/>
    </row>
    <row r="523">
      <c r="A523" s="7"/>
    </row>
    <row r="524">
      <c r="A524" s="7"/>
    </row>
    <row r="525">
      <c r="A525" s="7"/>
    </row>
    <row r="526">
      <c r="A526" s="7"/>
    </row>
    <row r="527">
      <c r="A527" s="7"/>
    </row>
    <row r="528">
      <c r="A528" s="7"/>
    </row>
    <row r="529">
      <c r="A529" s="7"/>
    </row>
    <row r="530">
      <c r="A530" s="7"/>
    </row>
    <row r="531">
      <c r="A531" s="7"/>
    </row>
    <row r="532">
      <c r="A532" s="7"/>
    </row>
    <row r="533">
      <c r="A533" s="7"/>
    </row>
    <row r="534">
      <c r="A534" s="7"/>
    </row>
    <row r="535">
      <c r="A535" s="7"/>
    </row>
    <row r="536">
      <c r="A536" s="7"/>
    </row>
    <row r="537">
      <c r="A537" s="7"/>
    </row>
    <row r="538">
      <c r="A538" s="7"/>
    </row>
    <row r="539">
      <c r="A539" s="7"/>
    </row>
    <row r="540">
      <c r="A540" s="7"/>
    </row>
    <row r="541">
      <c r="A541" s="7"/>
    </row>
    <row r="542">
      <c r="A542" s="7"/>
    </row>
    <row r="543">
      <c r="A543" s="7"/>
    </row>
    <row r="544">
      <c r="A544" s="7"/>
    </row>
    <row r="545">
      <c r="A545" s="7"/>
    </row>
    <row r="546">
      <c r="A546" s="7"/>
    </row>
    <row r="547">
      <c r="A547" s="7"/>
    </row>
    <row r="548">
      <c r="A548" s="7"/>
    </row>
    <row r="549">
      <c r="A549" s="7"/>
    </row>
    <row r="550">
      <c r="A550" s="7"/>
    </row>
    <row r="551">
      <c r="A551" s="7"/>
    </row>
    <row r="552">
      <c r="A552" s="7"/>
    </row>
    <row r="553">
      <c r="A553" s="7"/>
    </row>
    <row r="554">
      <c r="A554" s="7"/>
    </row>
    <row r="555">
      <c r="A555" s="7"/>
    </row>
    <row r="556">
      <c r="A556" s="7"/>
    </row>
    <row r="557">
      <c r="A557" s="7"/>
    </row>
    <row r="558">
      <c r="A558" s="7"/>
    </row>
    <row r="559">
      <c r="A559" s="7"/>
    </row>
    <row r="560">
      <c r="A560" s="7"/>
    </row>
    <row r="561">
      <c r="A561" s="7"/>
    </row>
    <row r="562">
      <c r="A562" s="7"/>
    </row>
    <row r="563">
      <c r="A563" s="7"/>
    </row>
    <row r="564">
      <c r="A564" s="7"/>
    </row>
    <row r="565">
      <c r="A565" s="7"/>
    </row>
    <row r="566">
      <c r="A566" s="7"/>
    </row>
    <row r="567">
      <c r="A567" s="7"/>
    </row>
    <row r="568">
      <c r="A568" s="7"/>
    </row>
    <row r="569">
      <c r="A569" s="7"/>
    </row>
    <row r="570">
      <c r="A570" s="7"/>
    </row>
    <row r="571">
      <c r="A571" s="7"/>
    </row>
    <row r="572">
      <c r="A572" s="7"/>
    </row>
    <row r="573">
      <c r="A573" s="7"/>
    </row>
    <row r="574">
      <c r="A574" s="7"/>
    </row>
    <row r="575">
      <c r="A575" s="7"/>
    </row>
    <row r="576">
      <c r="A576" s="7"/>
    </row>
    <row r="577">
      <c r="A577" s="7"/>
    </row>
    <row r="578">
      <c r="A578" s="7"/>
    </row>
    <row r="579">
      <c r="A579" s="7"/>
    </row>
    <row r="580">
      <c r="A580" s="7"/>
    </row>
    <row r="581">
      <c r="A581" s="7"/>
    </row>
    <row r="582">
      <c r="A582" s="7"/>
    </row>
    <row r="583">
      <c r="A583" s="7"/>
    </row>
    <row r="584">
      <c r="A584" s="7"/>
    </row>
    <row r="585">
      <c r="A585" s="7"/>
    </row>
    <row r="586">
      <c r="A586" s="7"/>
    </row>
    <row r="587">
      <c r="A587" s="7"/>
    </row>
    <row r="588">
      <c r="A588" s="7"/>
    </row>
    <row r="589">
      <c r="A589" s="7"/>
    </row>
    <row r="590">
      <c r="A590" s="7"/>
    </row>
    <row r="591">
      <c r="A591" s="7"/>
    </row>
    <row r="592">
      <c r="A592" s="7"/>
    </row>
    <row r="593">
      <c r="A593" s="7"/>
    </row>
    <row r="594">
      <c r="A594" s="7"/>
    </row>
    <row r="595">
      <c r="A595" s="7"/>
    </row>
    <row r="596">
      <c r="A596" s="7"/>
    </row>
    <row r="597">
      <c r="A597" s="7"/>
    </row>
    <row r="598">
      <c r="A598" s="7"/>
    </row>
    <row r="599">
      <c r="A599" s="7"/>
    </row>
    <row r="600">
      <c r="A600" s="7"/>
    </row>
    <row r="601">
      <c r="A601" s="7"/>
    </row>
    <row r="602">
      <c r="A602" s="7"/>
    </row>
    <row r="603">
      <c r="A603" s="7"/>
    </row>
    <row r="604">
      <c r="A604" s="7"/>
    </row>
    <row r="605">
      <c r="A605" s="7"/>
    </row>
    <row r="606">
      <c r="A606" s="7"/>
    </row>
    <row r="607">
      <c r="A607" s="7"/>
    </row>
    <row r="608">
      <c r="A608" s="7"/>
    </row>
    <row r="609">
      <c r="A609" s="7"/>
    </row>
    <row r="610">
      <c r="A610" s="7"/>
    </row>
    <row r="611">
      <c r="A611" s="7"/>
    </row>
    <row r="612">
      <c r="A612" s="7"/>
    </row>
    <row r="613">
      <c r="A613" s="7"/>
    </row>
    <row r="614">
      <c r="A614" s="7"/>
    </row>
    <row r="615">
      <c r="A615" s="7"/>
    </row>
    <row r="616">
      <c r="A616" s="7"/>
    </row>
    <row r="617">
      <c r="A617" s="7"/>
    </row>
    <row r="618">
      <c r="A618" s="7"/>
    </row>
    <row r="619">
      <c r="A619" s="7"/>
    </row>
    <row r="620">
      <c r="A620" s="7"/>
    </row>
    <row r="621">
      <c r="A621" s="7"/>
    </row>
    <row r="622">
      <c r="A622" s="7"/>
    </row>
    <row r="623">
      <c r="A623" s="7"/>
    </row>
    <row r="624">
      <c r="A624" s="7"/>
    </row>
    <row r="625">
      <c r="A625" s="7"/>
    </row>
    <row r="626">
      <c r="A626" s="7"/>
    </row>
    <row r="627">
      <c r="A627" s="7"/>
    </row>
    <row r="628">
      <c r="A628" s="7"/>
    </row>
    <row r="629">
      <c r="A629" s="7"/>
    </row>
    <row r="630">
      <c r="A630" s="7"/>
    </row>
    <row r="631">
      <c r="A631" s="7"/>
    </row>
    <row r="632">
      <c r="A632" s="7"/>
    </row>
    <row r="633">
      <c r="A633" s="7"/>
    </row>
    <row r="634">
      <c r="A634" s="7"/>
    </row>
    <row r="635">
      <c r="A635" s="7"/>
    </row>
    <row r="636">
      <c r="A636" s="7"/>
    </row>
    <row r="637">
      <c r="A637" s="7"/>
    </row>
    <row r="638">
      <c r="A638" s="7"/>
    </row>
    <row r="639">
      <c r="A639" s="7"/>
    </row>
    <row r="640">
      <c r="A640" s="7"/>
    </row>
    <row r="641">
      <c r="A641" s="7"/>
    </row>
    <row r="642">
      <c r="A642" s="7"/>
    </row>
    <row r="643">
      <c r="A643" s="7"/>
    </row>
    <row r="644">
      <c r="A644" s="7"/>
    </row>
    <row r="645">
      <c r="A645" s="7"/>
    </row>
    <row r="646">
      <c r="A646" s="7"/>
    </row>
    <row r="647">
      <c r="A647" s="7"/>
    </row>
    <row r="648">
      <c r="A648" s="7"/>
    </row>
    <row r="649">
      <c r="A649" s="7"/>
    </row>
    <row r="650">
      <c r="A650" s="7"/>
    </row>
    <row r="651">
      <c r="A651" s="7"/>
    </row>
    <row r="652">
      <c r="A652" s="7"/>
    </row>
    <row r="653">
      <c r="A653" s="7"/>
    </row>
    <row r="654">
      <c r="A654" s="7"/>
    </row>
    <row r="655">
      <c r="A655" s="7"/>
    </row>
    <row r="656">
      <c r="A656" s="7"/>
    </row>
    <row r="657">
      <c r="A657" s="7"/>
    </row>
    <row r="658">
      <c r="A658" s="7"/>
    </row>
    <row r="659">
      <c r="A659" s="7"/>
    </row>
    <row r="660">
      <c r="A660" s="7"/>
    </row>
    <row r="661">
      <c r="A661" s="7"/>
    </row>
    <row r="662">
      <c r="A662" s="7"/>
    </row>
    <row r="663">
      <c r="A663" s="7"/>
    </row>
    <row r="664">
      <c r="A664" s="7"/>
    </row>
    <row r="665">
      <c r="A665" s="7"/>
    </row>
    <row r="666">
      <c r="A666" s="7"/>
    </row>
    <row r="667">
      <c r="A667" s="7"/>
    </row>
    <row r="668">
      <c r="A668" s="7"/>
    </row>
    <row r="669">
      <c r="A669" s="7"/>
    </row>
    <row r="670">
      <c r="A670" s="7"/>
    </row>
    <row r="671">
      <c r="A671" s="7"/>
    </row>
    <row r="672">
      <c r="A672" s="7"/>
    </row>
    <row r="673">
      <c r="A673" s="7"/>
    </row>
    <row r="674">
      <c r="A674" s="7"/>
    </row>
    <row r="675">
      <c r="A675" s="7"/>
    </row>
    <row r="676">
      <c r="A676" s="7"/>
    </row>
    <row r="677">
      <c r="A677" s="7"/>
    </row>
    <row r="678">
      <c r="A678" s="7"/>
    </row>
    <row r="679">
      <c r="A679" s="7"/>
    </row>
    <row r="680">
      <c r="A680" s="7"/>
    </row>
    <row r="681">
      <c r="A681" s="7"/>
    </row>
    <row r="682">
      <c r="A682" s="7"/>
    </row>
    <row r="683">
      <c r="A683" s="7"/>
    </row>
    <row r="684">
      <c r="A684" s="7"/>
    </row>
    <row r="685">
      <c r="A685" s="7"/>
    </row>
    <row r="686">
      <c r="A686" s="7"/>
    </row>
    <row r="687">
      <c r="A687" s="7"/>
    </row>
    <row r="688">
      <c r="A688" s="7"/>
    </row>
    <row r="689">
      <c r="A689" s="7"/>
    </row>
    <row r="690">
      <c r="A690" s="7"/>
    </row>
    <row r="691">
      <c r="A691" s="7"/>
    </row>
    <row r="692">
      <c r="A692" s="7"/>
    </row>
    <row r="693">
      <c r="A693" s="7"/>
    </row>
    <row r="694">
      <c r="A694" s="7"/>
    </row>
    <row r="695">
      <c r="A695" s="7"/>
    </row>
    <row r="696">
      <c r="A696" s="7"/>
    </row>
    <row r="697">
      <c r="A697" s="7"/>
    </row>
    <row r="698">
      <c r="A698" s="7"/>
    </row>
    <row r="699">
      <c r="A699" s="7"/>
    </row>
    <row r="700">
      <c r="A700" s="7"/>
    </row>
    <row r="701">
      <c r="A701" s="7"/>
    </row>
    <row r="702">
      <c r="A702" s="7"/>
    </row>
    <row r="703">
      <c r="A703" s="7"/>
    </row>
    <row r="704">
      <c r="A704" s="7"/>
    </row>
    <row r="705">
      <c r="A705" s="7"/>
    </row>
    <row r="706">
      <c r="A706" s="7"/>
    </row>
    <row r="707">
      <c r="A707" s="7"/>
    </row>
    <row r="708">
      <c r="A708" s="7"/>
    </row>
    <row r="709">
      <c r="A709" s="7"/>
    </row>
    <row r="710">
      <c r="A710" s="7"/>
    </row>
    <row r="711">
      <c r="A711" s="7"/>
    </row>
    <row r="712">
      <c r="A712" s="7"/>
    </row>
    <row r="713">
      <c r="A713" s="7"/>
    </row>
    <row r="714">
      <c r="A714" s="7"/>
    </row>
    <row r="715">
      <c r="A715" s="7"/>
    </row>
    <row r="716">
      <c r="A716" s="7"/>
    </row>
    <row r="717">
      <c r="A717" s="7"/>
    </row>
    <row r="718">
      <c r="A718" s="7"/>
    </row>
    <row r="719">
      <c r="A719" s="7"/>
    </row>
    <row r="720">
      <c r="A720" s="7"/>
    </row>
    <row r="721">
      <c r="A721" s="7"/>
    </row>
    <row r="722">
      <c r="A722" s="7"/>
    </row>
    <row r="723">
      <c r="A723" s="7"/>
    </row>
    <row r="724">
      <c r="A724" s="7"/>
    </row>
    <row r="725">
      <c r="A725" s="7"/>
    </row>
    <row r="726">
      <c r="A726" s="7"/>
    </row>
    <row r="727">
      <c r="A727" s="7"/>
    </row>
    <row r="728">
      <c r="A728" s="7"/>
    </row>
    <row r="729">
      <c r="A729" s="7"/>
    </row>
    <row r="730">
      <c r="A730" s="7"/>
    </row>
    <row r="731">
      <c r="A731" s="7"/>
    </row>
    <row r="732">
      <c r="A732" s="7"/>
    </row>
    <row r="733">
      <c r="A733" s="7"/>
    </row>
    <row r="734">
      <c r="A734" s="7"/>
    </row>
    <row r="735">
      <c r="A735" s="7"/>
    </row>
    <row r="736">
      <c r="A736" s="7"/>
    </row>
    <row r="737">
      <c r="A737" s="7"/>
    </row>
    <row r="738">
      <c r="A738" s="7"/>
    </row>
    <row r="739">
      <c r="A739" s="7"/>
    </row>
    <row r="740">
      <c r="A740" s="7"/>
    </row>
    <row r="741">
      <c r="A741" s="7"/>
    </row>
    <row r="742">
      <c r="A742" s="7"/>
    </row>
    <row r="743">
      <c r="A743" s="7"/>
    </row>
    <row r="744">
      <c r="A744" s="7"/>
    </row>
    <row r="745">
      <c r="A745" s="7"/>
    </row>
    <row r="746">
      <c r="A746" s="7"/>
    </row>
    <row r="747">
      <c r="A747" s="7"/>
    </row>
    <row r="748">
      <c r="A748" s="7"/>
    </row>
    <row r="749">
      <c r="A749" s="7"/>
    </row>
    <row r="750">
      <c r="A750" s="7"/>
    </row>
    <row r="751">
      <c r="A751" s="7"/>
    </row>
    <row r="752">
      <c r="A752" s="7"/>
    </row>
    <row r="753">
      <c r="A753" s="7"/>
    </row>
    <row r="754">
      <c r="A754" s="7"/>
    </row>
    <row r="755">
      <c r="A755" s="7"/>
    </row>
    <row r="756">
      <c r="A756" s="7"/>
    </row>
    <row r="757">
      <c r="A757" s="7"/>
    </row>
    <row r="758">
      <c r="A758" s="7"/>
    </row>
    <row r="759">
      <c r="A759" s="7"/>
    </row>
    <row r="760">
      <c r="A760" s="7"/>
    </row>
    <row r="761">
      <c r="A761" s="7"/>
    </row>
    <row r="762">
      <c r="A762" s="7"/>
    </row>
    <row r="763">
      <c r="A763" s="7"/>
    </row>
    <row r="764">
      <c r="A764" s="7"/>
    </row>
    <row r="765">
      <c r="A765" s="7"/>
    </row>
    <row r="766">
      <c r="A766" s="7"/>
    </row>
    <row r="767">
      <c r="A767" s="7"/>
    </row>
    <row r="768">
      <c r="A768" s="7"/>
    </row>
    <row r="769">
      <c r="A769" s="7"/>
    </row>
    <row r="770">
      <c r="A770" s="7"/>
    </row>
    <row r="771">
      <c r="A771" s="7"/>
    </row>
    <row r="772">
      <c r="A772" s="7"/>
    </row>
    <row r="773">
      <c r="A773" s="7"/>
    </row>
    <row r="774">
      <c r="A774" s="7"/>
    </row>
    <row r="775">
      <c r="A775" s="7"/>
    </row>
    <row r="776">
      <c r="A776" s="7"/>
    </row>
    <row r="777">
      <c r="A777" s="7"/>
    </row>
    <row r="778">
      <c r="A778" s="7"/>
    </row>
    <row r="779">
      <c r="A779" s="7"/>
    </row>
    <row r="780">
      <c r="A780" s="7"/>
    </row>
    <row r="781">
      <c r="A781" s="7"/>
    </row>
    <row r="782">
      <c r="A782" s="7"/>
    </row>
    <row r="783">
      <c r="A783" s="7"/>
    </row>
    <row r="784">
      <c r="A784" s="7"/>
    </row>
    <row r="785">
      <c r="A785" s="7"/>
    </row>
    <row r="786">
      <c r="A786" s="7"/>
    </row>
    <row r="787">
      <c r="A787" s="7"/>
    </row>
    <row r="788">
      <c r="A788" s="7"/>
    </row>
    <row r="789">
      <c r="A789" s="7"/>
    </row>
    <row r="790">
      <c r="A790" s="7"/>
    </row>
    <row r="791">
      <c r="A791" s="7"/>
    </row>
    <row r="792">
      <c r="A792" s="7"/>
    </row>
    <row r="793">
      <c r="A793" s="7"/>
    </row>
    <row r="794">
      <c r="A794" s="7"/>
    </row>
    <row r="795">
      <c r="A795" s="7"/>
    </row>
    <row r="796">
      <c r="A796" s="7"/>
    </row>
    <row r="797">
      <c r="A797" s="7"/>
    </row>
    <row r="798">
      <c r="A798" s="7"/>
    </row>
    <row r="799">
      <c r="A799" s="7"/>
    </row>
    <row r="800">
      <c r="A800" s="7"/>
    </row>
    <row r="801">
      <c r="A801" s="7"/>
    </row>
    <row r="802">
      <c r="A802" s="7"/>
    </row>
    <row r="803">
      <c r="A803" s="7"/>
    </row>
    <row r="804">
      <c r="A804" s="7"/>
    </row>
    <row r="805">
      <c r="A805" s="7"/>
    </row>
    <row r="806">
      <c r="A806" s="7"/>
    </row>
    <row r="807">
      <c r="A807" s="7"/>
    </row>
    <row r="808">
      <c r="A808" s="7"/>
    </row>
    <row r="809">
      <c r="A809" s="7"/>
    </row>
    <row r="810">
      <c r="A810" s="7"/>
    </row>
    <row r="811">
      <c r="A811" s="7"/>
    </row>
    <row r="812">
      <c r="A812" s="7"/>
    </row>
    <row r="813">
      <c r="A813" s="7"/>
    </row>
    <row r="814">
      <c r="A814" s="7"/>
    </row>
    <row r="815">
      <c r="A815" s="7"/>
    </row>
    <row r="816">
      <c r="A816" s="7"/>
    </row>
    <row r="817">
      <c r="A817" s="7"/>
    </row>
    <row r="818">
      <c r="A818" s="7"/>
    </row>
    <row r="819">
      <c r="A819" s="7"/>
    </row>
    <row r="820">
      <c r="A820" s="7"/>
    </row>
    <row r="821">
      <c r="A821" s="7"/>
    </row>
    <row r="822">
      <c r="A822" s="7"/>
    </row>
    <row r="823">
      <c r="A823" s="7"/>
    </row>
    <row r="824">
      <c r="A824" s="7"/>
    </row>
    <row r="825">
      <c r="A825" s="7"/>
    </row>
    <row r="826">
      <c r="A826" s="7"/>
    </row>
    <row r="827">
      <c r="A827" s="7"/>
    </row>
    <row r="828">
      <c r="A828" s="7"/>
    </row>
    <row r="829">
      <c r="A829" s="7"/>
    </row>
    <row r="830">
      <c r="A830" s="7"/>
    </row>
    <row r="831">
      <c r="A831" s="7"/>
    </row>
    <row r="832">
      <c r="A832" s="7"/>
    </row>
    <row r="833">
      <c r="A833" s="7"/>
    </row>
    <row r="834">
      <c r="A834" s="7"/>
    </row>
    <row r="835">
      <c r="A835" s="7"/>
    </row>
    <row r="836">
      <c r="A836" s="7"/>
    </row>
    <row r="837">
      <c r="A837" s="7"/>
    </row>
    <row r="838">
      <c r="A838" s="7"/>
    </row>
    <row r="839">
      <c r="A839" s="7"/>
    </row>
    <row r="840">
      <c r="A840" s="7"/>
    </row>
    <row r="841">
      <c r="A841" s="7"/>
    </row>
    <row r="842">
      <c r="A842" s="7"/>
    </row>
    <row r="843">
      <c r="A843" s="7"/>
    </row>
    <row r="844">
      <c r="A844" s="7"/>
    </row>
    <row r="845">
      <c r="A845" s="7"/>
    </row>
    <row r="846">
      <c r="A846" s="7"/>
    </row>
    <row r="847">
      <c r="A847" s="7"/>
    </row>
    <row r="848">
      <c r="A848" s="7"/>
    </row>
    <row r="849">
      <c r="A849" s="7"/>
    </row>
    <row r="850">
      <c r="A850" s="7"/>
    </row>
    <row r="851">
      <c r="A851" s="7"/>
    </row>
    <row r="852">
      <c r="A852" s="7"/>
    </row>
    <row r="853">
      <c r="A853" s="7"/>
    </row>
    <row r="854">
      <c r="A854" s="7"/>
    </row>
    <row r="855">
      <c r="A855" s="7"/>
    </row>
    <row r="856">
      <c r="A856" s="7"/>
    </row>
    <row r="857">
      <c r="A857" s="7"/>
    </row>
    <row r="858">
      <c r="A858" s="7"/>
    </row>
    <row r="859">
      <c r="A859" s="7"/>
    </row>
    <row r="860">
      <c r="A860" s="7"/>
    </row>
    <row r="861">
      <c r="A861" s="7"/>
    </row>
    <row r="862">
      <c r="A862" s="7"/>
    </row>
    <row r="863">
      <c r="A863" s="7"/>
    </row>
    <row r="864">
      <c r="A864" s="7"/>
    </row>
    <row r="865">
      <c r="A865" s="7"/>
    </row>
    <row r="866">
      <c r="A866" s="7"/>
    </row>
    <row r="867">
      <c r="A867" s="7"/>
    </row>
    <row r="868">
      <c r="A868" s="7"/>
    </row>
    <row r="869">
      <c r="A869" s="7"/>
    </row>
    <row r="870">
      <c r="A870" s="7"/>
    </row>
    <row r="871">
      <c r="A871" s="7"/>
    </row>
    <row r="872">
      <c r="A872" s="7"/>
    </row>
    <row r="873">
      <c r="A873" s="7"/>
    </row>
    <row r="874">
      <c r="A874" s="7"/>
    </row>
    <row r="875">
      <c r="A875" s="7"/>
    </row>
    <row r="876">
      <c r="A876" s="7"/>
    </row>
    <row r="877">
      <c r="A877" s="7"/>
    </row>
    <row r="878">
      <c r="A878" s="7"/>
    </row>
    <row r="879">
      <c r="A879" s="7"/>
    </row>
    <row r="880">
      <c r="A880" s="7"/>
    </row>
    <row r="881">
      <c r="A881" s="7"/>
    </row>
    <row r="882">
      <c r="A882" s="7"/>
    </row>
    <row r="883">
      <c r="A883" s="7"/>
    </row>
    <row r="884">
      <c r="A884" s="7"/>
    </row>
    <row r="885">
      <c r="A885" s="7"/>
    </row>
    <row r="886">
      <c r="A886" s="7"/>
    </row>
    <row r="887">
      <c r="A887" s="7"/>
    </row>
    <row r="888">
      <c r="A888" s="7"/>
    </row>
    <row r="889">
      <c r="A889" s="7"/>
    </row>
    <row r="890">
      <c r="A890" s="7"/>
    </row>
    <row r="891">
      <c r="A891" s="7"/>
    </row>
    <row r="892">
      <c r="A892" s="7"/>
    </row>
    <row r="893">
      <c r="A893" s="7"/>
    </row>
    <row r="894">
      <c r="A894" s="7"/>
    </row>
    <row r="895">
      <c r="A895" s="7"/>
    </row>
    <row r="896">
      <c r="A896" s="7"/>
    </row>
    <row r="897">
      <c r="A897" s="7"/>
    </row>
    <row r="898">
      <c r="A898" s="7"/>
    </row>
    <row r="899">
      <c r="A899" s="7"/>
    </row>
    <row r="900">
      <c r="A900" s="7"/>
    </row>
    <row r="901">
      <c r="A901" s="7"/>
    </row>
    <row r="902">
      <c r="A902" s="7"/>
    </row>
    <row r="903">
      <c r="A903" s="7"/>
    </row>
    <row r="904">
      <c r="A904" s="7"/>
    </row>
    <row r="905">
      <c r="A905" s="7"/>
    </row>
    <row r="906">
      <c r="A906" s="7"/>
    </row>
    <row r="907">
      <c r="A907" s="7"/>
    </row>
    <row r="908">
      <c r="A908" s="7"/>
    </row>
    <row r="909">
      <c r="A909" s="7"/>
    </row>
    <row r="910">
      <c r="A910" s="7"/>
    </row>
    <row r="911">
      <c r="A911" s="7"/>
    </row>
    <row r="912">
      <c r="A912" s="7"/>
    </row>
    <row r="913">
      <c r="A913" s="7"/>
    </row>
    <row r="914">
      <c r="A914" s="7"/>
    </row>
    <row r="915">
      <c r="A915" s="7"/>
    </row>
    <row r="916">
      <c r="A916" s="7"/>
    </row>
    <row r="917">
      <c r="A917" s="7"/>
    </row>
    <row r="918">
      <c r="A918" s="7"/>
    </row>
    <row r="919">
      <c r="A919" s="7"/>
    </row>
    <row r="920">
      <c r="A920" s="7"/>
    </row>
    <row r="921">
      <c r="A921" s="7"/>
    </row>
    <row r="922">
      <c r="A922" s="7"/>
    </row>
    <row r="923">
      <c r="A923" s="7"/>
    </row>
    <row r="924">
      <c r="A924" s="7"/>
    </row>
    <row r="925">
      <c r="A925" s="7"/>
    </row>
    <row r="926">
      <c r="A926" s="7"/>
    </row>
    <row r="927">
      <c r="A927" s="7"/>
    </row>
    <row r="928">
      <c r="A928" s="7"/>
    </row>
    <row r="929">
      <c r="A929" s="7"/>
    </row>
    <row r="930">
      <c r="A930" s="7"/>
    </row>
    <row r="931">
      <c r="A931" s="7"/>
    </row>
    <row r="932">
      <c r="A932" s="7"/>
    </row>
    <row r="933">
      <c r="A933" s="7"/>
    </row>
    <row r="934">
      <c r="A934" s="7"/>
    </row>
    <row r="935">
      <c r="A935" s="7"/>
    </row>
    <row r="936">
      <c r="A936" s="7"/>
    </row>
    <row r="937">
      <c r="A937" s="7"/>
    </row>
    <row r="938">
      <c r="A938" s="7"/>
    </row>
    <row r="939">
      <c r="A939" s="7"/>
    </row>
    <row r="940">
      <c r="A940" s="7"/>
    </row>
    <row r="941">
      <c r="A941" s="7"/>
    </row>
    <row r="942">
      <c r="A942" s="7"/>
    </row>
    <row r="943">
      <c r="A943" s="7"/>
    </row>
    <row r="944">
      <c r="A944" s="7"/>
    </row>
    <row r="945">
      <c r="A945" s="7"/>
    </row>
    <row r="946">
      <c r="A946" s="7"/>
    </row>
    <row r="947">
      <c r="A947" s="7"/>
    </row>
    <row r="948">
      <c r="A948" s="7"/>
    </row>
    <row r="949">
      <c r="A949" s="7"/>
    </row>
    <row r="950">
      <c r="A950" s="7"/>
    </row>
    <row r="951">
      <c r="A951" s="7"/>
    </row>
    <row r="952">
      <c r="A952" s="7"/>
    </row>
    <row r="953">
      <c r="A953" s="7"/>
    </row>
    <row r="954">
      <c r="A954" s="7"/>
    </row>
    <row r="955">
      <c r="A955" s="7"/>
    </row>
    <row r="956">
      <c r="A956" s="7"/>
    </row>
    <row r="957">
      <c r="A957" s="7"/>
    </row>
    <row r="958">
      <c r="A958" s="7"/>
    </row>
    <row r="959">
      <c r="A959" s="7"/>
    </row>
    <row r="960">
      <c r="A960" s="7"/>
    </row>
    <row r="961">
      <c r="A961" s="7"/>
    </row>
    <row r="962">
      <c r="A962" s="7"/>
    </row>
    <row r="963">
      <c r="A963" s="7"/>
    </row>
    <row r="964">
      <c r="A964" s="7"/>
    </row>
    <row r="965">
      <c r="A965" s="7"/>
    </row>
    <row r="966">
      <c r="A966" s="7"/>
    </row>
    <row r="967">
      <c r="A967" s="7"/>
    </row>
    <row r="968">
      <c r="A968" s="7"/>
    </row>
    <row r="969">
      <c r="A969" s="7"/>
    </row>
    <row r="970">
      <c r="A970" s="7"/>
    </row>
    <row r="971">
      <c r="A971" s="7"/>
    </row>
    <row r="972">
      <c r="A972" s="7"/>
    </row>
    <row r="973">
      <c r="A973" s="7"/>
    </row>
    <row r="974">
      <c r="A974" s="7"/>
    </row>
    <row r="975">
      <c r="A975" s="7"/>
    </row>
    <row r="976">
      <c r="A976" s="7"/>
    </row>
    <row r="977">
      <c r="A977" s="7"/>
    </row>
    <row r="978">
      <c r="A978" s="7"/>
    </row>
    <row r="979">
      <c r="A979" s="7"/>
    </row>
    <row r="980">
      <c r="A980" s="7"/>
    </row>
    <row r="981">
      <c r="A981" s="7"/>
    </row>
    <row r="982">
      <c r="A982" s="7"/>
    </row>
    <row r="983">
      <c r="A983" s="7"/>
    </row>
    <row r="984">
      <c r="A984" s="7"/>
    </row>
    <row r="985">
      <c r="A985" s="7"/>
    </row>
    <row r="986">
      <c r="A986" s="7"/>
    </row>
    <row r="987">
      <c r="A987" s="7"/>
    </row>
    <row r="988">
      <c r="A988" s="7"/>
    </row>
    <row r="989">
      <c r="A989" s="7"/>
    </row>
    <row r="990">
      <c r="A990" s="7"/>
    </row>
    <row r="991">
      <c r="A991" s="7"/>
    </row>
    <row r="992">
      <c r="A992" s="7"/>
    </row>
    <row r="993">
      <c r="A993" s="7"/>
    </row>
    <row r="994">
      <c r="A994" s="7"/>
    </row>
    <row r="995">
      <c r="A995" s="7"/>
    </row>
    <row r="996">
      <c r="A996" s="7"/>
    </row>
    <row r="997">
      <c r="A997" s="7"/>
    </row>
    <row r="998">
      <c r="A998" s="7"/>
    </row>
    <row r="999">
      <c r="A999" s="7"/>
    </row>
    <row r="1000">
      <c r="A1000" s="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>
        <f>IFERROR(__xludf.DUMMYFUNCTION("IFERROR(QUERY(AGU_2023!A:I, ""SELECT * WHERE D IS NOT NULL AND UPPER(I) = 'PRODUKSI'"", 1), ""Data PRODUKSI belum ditemukan"") "),46235.0)</f>
        <v>46235</v>
      </c>
      <c r="B1" s="3" t="str">
        <f>IFERROR(__xludf.DUMMYFUNCTION("""COMPUTED_VALUE"""),"TRSF E-BANKING DB TANGGAL :31/07")</f>
        <v>TRSF E-BANKING DB TANGGAL :31/07</v>
      </c>
      <c r="C1" s="3" t="str">
        <f>IFERROR(__xludf.DUMMYFUNCTION("""COMPUTED_VALUE"""),"3107/FTFVA/WS95031 titip - 40190")</f>
        <v>3107/FTFVA/WS95031 titip - 40190</v>
      </c>
      <c r="D1" s="3">
        <f>IFERROR(__xludf.DUMMYFUNCTION("""COMPUTED_VALUE"""),5.0E7)</f>
        <v>50000000</v>
      </c>
      <c r="E1" s="3"/>
      <c r="F1" s="3" t="str">
        <f>IFERROR(__xludf.DUMMYFUNCTION("""COMPUTED_VALUE"""),"DB")</f>
        <v>DB</v>
      </c>
      <c r="G1" s="3">
        <f>IFERROR(__xludf.DUMMYFUNCTION("""COMPUTED_VALUE"""),4.8784521057000005E8)</f>
        <v>487845210.6</v>
      </c>
      <c r="H1" s="3"/>
      <c r="I1" s="3" t="str">
        <f>IFERROR(__xludf.DUMMYFUNCTION("""COMPUTED_VALUE"""),"PRODUKSI")</f>
        <v>PRODUKSI</v>
      </c>
      <c r="J1" s="3">
        <f>SUM(D1:D1000)</f>
        <v>5778595567</v>
      </c>
    </row>
    <row r="2">
      <c r="A2" s="7">
        <f>IFERROR(__xludf.DUMMYFUNCTION("""COMPUTED_VALUE"""),46235.0)</f>
        <v>46235</v>
      </c>
      <c r="B2" s="3" t="str">
        <f>IFERROR(__xludf.DUMMYFUNCTION("""COMPUTED_VALUE"""),"TRSF E-BANKING DB TANGGAL :31/07")</f>
        <v>TRSF E-BANKING DB TANGGAL :31/07</v>
      </c>
      <c r="C2" s="3" t="str">
        <f>IFERROR(__xludf.DUMMYFUNCTION("""COMPUTED_VALUE"""),"3107/FTSCY/WS95271 kd imam b lmjg TERNAK SEJATI TABA")</f>
        <v>3107/FTSCY/WS95271 kd imam b lmjg TERNAK SEJATI TABA</v>
      </c>
      <c r="D2" s="3">
        <f>IFERROR(__xludf.DUMMYFUNCTION("""COMPUTED_VALUE"""),6.45E7)</f>
        <v>64500000</v>
      </c>
      <c r="E2" s="3"/>
      <c r="F2" s="3" t="str">
        <f>IFERROR(__xludf.DUMMYFUNCTION("""COMPUTED_VALUE"""),"DB")</f>
        <v>DB</v>
      </c>
      <c r="G2" s="3">
        <f>IFERROR(__xludf.DUMMYFUNCTION("""COMPUTED_VALUE"""),4.2334521057000005E8)</f>
        <v>423345210.6</v>
      </c>
      <c r="H2" s="3"/>
      <c r="I2" s="3" t="str">
        <f>IFERROR(__xludf.DUMMYFUNCTION("""COMPUTED_VALUE"""),"PRODUKSI")</f>
        <v>PRODUKSI</v>
      </c>
    </row>
    <row r="3">
      <c r="A3" s="7">
        <f>IFERROR(__xludf.DUMMYFUNCTION("""COMPUTED_VALUE"""),46235.0)</f>
        <v>46235</v>
      </c>
      <c r="B3" s="3" t="str">
        <f>IFERROR(__xludf.DUMMYFUNCTION("""COMPUTED_VALUE"""),"TRSF E-BANKING DB TANGGAL :31/07")</f>
        <v>TRSF E-BANKING DB TANGGAL :31/07</v>
      </c>
      <c r="C3" s="3" t="str">
        <f>IFERROR(__xludf.DUMMYFUNCTION("""COMPUTED_VALUE"""),"3107/FTSCY/WS95011 krg 202.5 jt LAJU SATWA WISESA")</f>
        <v>3107/FTSCY/WS95011 krg 202.5 jt LAJU SATWA WISESA</v>
      </c>
      <c r="D3" s="3">
        <f>IFERROR(__xludf.DUMMYFUNCTION("""COMPUTED_VALUE"""),2.18007E8)</f>
        <v>218007000</v>
      </c>
      <c r="E3" s="3"/>
      <c r="F3" s="3" t="str">
        <f>IFERROR(__xludf.DUMMYFUNCTION("""COMPUTED_VALUE"""),"DB")</f>
        <v>DB</v>
      </c>
      <c r="G3" s="3">
        <f>IFERROR(__xludf.DUMMYFUNCTION("""COMPUTED_VALUE"""),1.3529616057000005E8)</f>
        <v>135296160.6</v>
      </c>
      <c r="H3" s="3"/>
      <c r="I3" s="3" t="str">
        <f>IFERROR(__xludf.DUMMYFUNCTION("""COMPUTED_VALUE"""),"PRODUKSI")</f>
        <v>PRODUKSI</v>
      </c>
    </row>
    <row r="4">
      <c r="A4" s="7">
        <f>IFERROR(__xludf.DUMMYFUNCTION("""COMPUTED_VALUE"""),46235.0)</f>
        <v>46235</v>
      </c>
      <c r="B4" s="3" t="str">
        <f>IFERROR(__xludf.DUMMYFUNCTION("""COMPUTED_VALUE"""),"TRSF E-BANKING DB TANGGAL :31/07")</f>
        <v>TRSF E-BANKING DB TANGGAL :31/07</v>
      </c>
      <c r="C4" s="3" t="str">
        <f>IFERROR(__xludf.DUMMYFUNCTION("""COMPUTED_VALUE"""),"3107/FTSCY/WS95011 Tue Jul 28 2026 14:00:00 GMT+0700 (Western Indonesia Time) ANDALAN YASA MITRA")</f>
        <v>3107/FTSCY/WS95011 Tue Jul 28 2026 14:00:00 GMT+0700 (Western Indonesia Time) ANDALAN YASA MITRA</v>
      </c>
      <c r="D4" s="3">
        <f>IFERROR(__xludf.DUMMYFUNCTION("""COMPUTED_VALUE"""),1.3492909E8)</f>
        <v>134929090</v>
      </c>
      <c r="E4" s="3"/>
      <c r="F4" s="3" t="str">
        <f>IFERROR(__xludf.DUMMYFUNCTION("""COMPUTED_VALUE"""),"DB")</f>
        <v>DB</v>
      </c>
      <c r="G4" s="3">
        <f>IFERROR(__xludf.DUMMYFUNCTION("""COMPUTED_VALUE"""),367070.57000005245)</f>
        <v>367070.57</v>
      </c>
      <c r="H4" s="3"/>
      <c r="I4" s="3" t="str">
        <f>IFERROR(__xludf.DUMMYFUNCTION("""COMPUTED_VALUE"""),"PRODUKSI")</f>
        <v>PRODUKSI</v>
      </c>
    </row>
    <row r="5">
      <c r="A5" s="7">
        <f>IFERROR(__xludf.DUMMYFUNCTION("""COMPUTED_VALUE"""),46235.0)</f>
        <v>46235</v>
      </c>
      <c r="B5" s="3" t="str">
        <f>IFERROR(__xludf.DUMMYFUNCTION("""COMPUTED_VALUE"""),"TRSF E-BANKING DB")</f>
        <v>TRSF E-BANKING DB</v>
      </c>
      <c r="C5" s="3" t="str">
        <f>IFERROR(__xludf.DUMMYFUNCTION("""COMPUTED_VALUE"""),"0108/FTSCY/WS95031 20973050.00 pelunasan LAWU ABADI NUSA PT")</f>
        <v>0108/FTSCY/WS95031 20973050.00 pelunasan LAWU ABADI NUSA PT</v>
      </c>
      <c r="D5" s="3">
        <f>IFERROR(__xludf.DUMMYFUNCTION("""COMPUTED_VALUE"""),2.097305E7)</f>
        <v>20973050</v>
      </c>
      <c r="E5" s="3"/>
      <c r="F5" s="3" t="str">
        <f>IFERROR(__xludf.DUMMYFUNCTION("""COMPUTED_VALUE"""),"DB")</f>
        <v>DB</v>
      </c>
      <c r="G5" s="3">
        <f>IFERROR(__xludf.DUMMYFUNCTION("""COMPUTED_VALUE"""),2.9394020570000052E7)</f>
        <v>29394020.57</v>
      </c>
      <c r="H5" s="3"/>
      <c r="I5" s="3" t="str">
        <f>IFERROR(__xludf.DUMMYFUNCTION("""COMPUTED_VALUE"""),"PRODUKSI")</f>
        <v>PRODUKSI</v>
      </c>
    </row>
    <row r="6">
      <c r="A6" s="7">
        <f>IFERROR(__xludf.DUMMYFUNCTION("""COMPUTED_VALUE"""),46235.0)</f>
        <v>46235</v>
      </c>
      <c r="B6" s="3" t="str">
        <f>IFERROR(__xludf.DUMMYFUNCTION("""COMPUTED_VALUE"""),"TRSF E-BANKING DB")</f>
        <v>TRSF E-BANKING DB</v>
      </c>
      <c r="C6" s="3" t="str">
        <f>IFERROR(__xludf.DUMMYFUNCTION("""COMPUTED_VALUE"""),"0108/FTSCY/WS95031 29340000.00 NURUL AINI")</f>
        <v>0108/FTSCY/WS95031 29340000.00 NURUL AINI</v>
      </c>
      <c r="D6" s="3">
        <f>IFERROR(__xludf.DUMMYFUNCTION("""COMPUTED_VALUE"""),2.934E7)</f>
        <v>29340000</v>
      </c>
      <c r="E6" s="3"/>
      <c r="F6" s="3" t="str">
        <f>IFERROR(__xludf.DUMMYFUNCTION("""COMPUTED_VALUE"""),"DB")</f>
        <v>DB</v>
      </c>
      <c r="G6" s="3">
        <f>IFERROR(__xludf.DUMMYFUNCTION("""COMPUTED_VALUE"""),54020.57000005245)</f>
        <v>54020.57</v>
      </c>
      <c r="H6" s="3"/>
      <c r="I6" s="3" t="str">
        <f>IFERROR(__xludf.DUMMYFUNCTION("""COMPUTED_VALUE"""),"PRODUKSI")</f>
        <v>PRODUKSI</v>
      </c>
    </row>
    <row r="7">
      <c r="A7" s="7">
        <f>IFERROR(__xludf.DUMMYFUNCTION("""COMPUTED_VALUE"""),46235.0)</f>
        <v>46235</v>
      </c>
      <c r="B7" s="3" t="str">
        <f>IFERROR(__xludf.DUMMYFUNCTION("""COMPUTED_VALUE"""),"TRSF E-BANKING DB")</f>
        <v>TRSF E-BANKING DB</v>
      </c>
      <c r="C7" s="3" t="str">
        <f>IFERROR(__xludf.DUMMYFUNCTION("""COMPUTED_VALUE"""),"0108/FTSCY/WS95271 52173000.00 Thu Jul 30 2026 14:00:00 GMT+0700 (Western Indonesia Time) BINTANG TAMA SANTO")</f>
        <v>0108/FTSCY/WS95271 52173000.00 Thu Jul 30 2026 14:00:00 GMT+0700 (Western Indonesia Time) BINTANG TAMA SANTO</v>
      </c>
      <c r="D7" s="3">
        <f>IFERROR(__xludf.DUMMYFUNCTION("""COMPUTED_VALUE"""),5.2173E7)</f>
        <v>52173000</v>
      </c>
      <c r="E7" s="3"/>
      <c r="F7" s="3" t="str">
        <f>IFERROR(__xludf.DUMMYFUNCTION("""COMPUTED_VALUE"""),"DB")</f>
        <v>DB</v>
      </c>
      <c r="G7" s="3">
        <f>IFERROR(__xludf.DUMMYFUNCTION("""COMPUTED_VALUE"""),4.4413627057000005E8)</f>
        <v>444136270.6</v>
      </c>
      <c r="H7" s="3">
        <f>IFERROR(__xludf.DUMMYFUNCTION("""COMPUTED_VALUE"""),4.4413627057E8)</f>
        <v>444136270.6</v>
      </c>
      <c r="I7" s="3" t="str">
        <f>IFERROR(__xludf.DUMMYFUNCTION("""COMPUTED_VALUE"""),"PRODUKSI")</f>
        <v>PRODUKSI</v>
      </c>
    </row>
    <row r="8">
      <c r="A8" s="7">
        <f>IFERROR(__xludf.DUMMYFUNCTION("""COMPUTED_VALUE"""),46235.0)</f>
        <v>46235</v>
      </c>
      <c r="B8" s="3" t="str">
        <f>IFERROR(__xludf.DUMMYFUNCTION("""COMPUTED_VALUE"""),"TRSF E-BANKING DB")</f>
        <v>TRSF E-BANKING DB</v>
      </c>
      <c r="C8" s="3" t="str">
        <f>IFERROR(__xludf.DUMMYFUNCTION("""COMPUTED_VALUE"""),"0108/FTSCY/WS95011 111749500.00 Tue Jul 28 2026 14:00:00 GMT+0700 (Western Indonesia Time) BROILER MAKMUR TAN")</f>
        <v>0108/FTSCY/WS95011 111749500.00 Tue Jul 28 2026 14:00:00 GMT+0700 (Western Indonesia Time) BROILER MAKMUR TAN</v>
      </c>
      <c r="D8" s="3">
        <f>IFERROR(__xludf.DUMMYFUNCTION("""COMPUTED_VALUE"""),1.117495E8)</f>
        <v>111749500</v>
      </c>
      <c r="E8" s="3"/>
      <c r="F8" s="3" t="str">
        <f>IFERROR(__xludf.DUMMYFUNCTION("""COMPUTED_VALUE"""),"DB")</f>
        <v>DB</v>
      </c>
      <c r="G8" s="3">
        <f>IFERROR(__xludf.DUMMYFUNCTION("""COMPUTED_VALUE"""),3.3238677057000005E8)</f>
        <v>332386770.6</v>
      </c>
      <c r="H8" s="3">
        <f>IFERROR(__xludf.DUMMYFUNCTION("""COMPUTED_VALUE"""),3.3238677057E8)</f>
        <v>332386770.6</v>
      </c>
      <c r="I8" s="3" t="str">
        <f>IFERROR(__xludf.DUMMYFUNCTION("""COMPUTED_VALUE"""),"PRODUKSI")</f>
        <v>PRODUKSI</v>
      </c>
    </row>
    <row r="9">
      <c r="A9" s="7">
        <f>IFERROR(__xludf.DUMMYFUNCTION("""COMPUTED_VALUE"""),46235.0)</f>
        <v>46235</v>
      </c>
      <c r="B9" s="3" t="str">
        <f>IFERROR(__xludf.DUMMYFUNCTION("""COMPUTED_VALUE"""),"TRSF E-BANKING DB")</f>
        <v>TRSF E-BANKING DB</v>
      </c>
      <c r="C9" s="3" t="str">
        <f>IFERROR(__xludf.DUMMYFUNCTION("""COMPUTED_VALUE"""),"0108/FTSCY/WS95011 202500000.00 pelunasan LAJU SATWA WISESA")</f>
        <v>0108/FTSCY/WS95011 202500000.00 pelunasan LAJU SATWA WISESA</v>
      </c>
      <c r="D9" s="3">
        <f>IFERROR(__xludf.DUMMYFUNCTION("""COMPUTED_VALUE"""),2.025E8)</f>
        <v>202500000</v>
      </c>
      <c r="E9" s="3"/>
      <c r="F9" s="3" t="str">
        <f>IFERROR(__xludf.DUMMYFUNCTION("""COMPUTED_VALUE"""),"DB")</f>
        <v>DB</v>
      </c>
      <c r="G9" s="3">
        <f>IFERROR(__xludf.DUMMYFUNCTION("""COMPUTED_VALUE"""),1.2988677057000005E8)</f>
        <v>129886770.6</v>
      </c>
      <c r="H9" s="3"/>
      <c r="I9" s="3" t="str">
        <f>IFERROR(__xludf.DUMMYFUNCTION("""COMPUTED_VALUE"""),"PRODUKSI")</f>
        <v>PRODUKSI</v>
      </c>
    </row>
    <row r="10">
      <c r="A10" s="7">
        <f>IFERROR(__xludf.DUMMYFUNCTION("""COMPUTED_VALUE"""),46235.0)</f>
        <v>46235</v>
      </c>
      <c r="B10" s="3" t="str">
        <f>IFERROR(__xludf.DUMMYFUNCTION("""COMPUTED_VALUE"""),"TRSF E-BANKING DB")</f>
        <v>TRSF E-BANKING DB</v>
      </c>
      <c r="C10" s="3" t="str">
        <f>IFERROR(__xludf.DUMMYFUNCTION("""COMPUTED_VALUE"""),"0108/FTSCY/WS95271 52500000.00 Thu Jul 30 2026 14:00:00 GMT+0700 (Western Indonesia Time) BUDI SURYANTO")</f>
        <v>0108/FTSCY/WS95271 52500000.00 Thu Jul 30 2026 14:00:00 GMT+0700 (Western Indonesia Time) BUDI SURYANTO</v>
      </c>
      <c r="D10" s="3">
        <f>IFERROR(__xludf.DUMMYFUNCTION("""COMPUTED_VALUE"""),5.25E7)</f>
        <v>52500000</v>
      </c>
      <c r="E10" s="3"/>
      <c r="F10" s="3" t="str">
        <f>IFERROR(__xludf.DUMMYFUNCTION("""COMPUTED_VALUE"""),"DB")</f>
        <v>DB</v>
      </c>
      <c r="G10" s="3">
        <f>IFERROR(__xludf.DUMMYFUNCTION("""COMPUTED_VALUE"""),7.738677057000005E7)</f>
        <v>77386770.57</v>
      </c>
      <c r="H10" s="3"/>
      <c r="I10" s="3" t="str">
        <f>IFERROR(__xludf.DUMMYFUNCTION("""COMPUTED_VALUE"""),"PRODUKSI")</f>
        <v>PRODUKSI</v>
      </c>
    </row>
    <row r="11">
      <c r="A11" s="7">
        <f>IFERROR(__xludf.DUMMYFUNCTION("""COMPUTED_VALUE"""),46235.0)</f>
        <v>46235</v>
      </c>
      <c r="B11" s="3" t="str">
        <f>IFERROR(__xludf.DUMMYFUNCTION("""COMPUTED_VALUE"""),"TRSF E-BANKING DB")</f>
        <v>TRSF E-BANKING DB</v>
      </c>
      <c r="C11" s="3" t="str">
        <f>IFERROR(__xludf.DUMMYFUNCTION("""COMPUTED_VALUE"""),"0108/FTFVA/WS95031 55569/PT PRIMA FAJ pelunasan - 40190")</f>
        <v>0108/FTFVA/WS95031 55569/PT PRIMA FAJ pelunasan - 40190</v>
      </c>
      <c r="D11" s="3">
        <f>IFERROR(__xludf.DUMMYFUNCTION("""COMPUTED_VALUE"""),6.88E7)</f>
        <v>68800000</v>
      </c>
      <c r="E11" s="3"/>
      <c r="F11" s="3" t="str">
        <f>IFERROR(__xludf.DUMMYFUNCTION("""COMPUTED_VALUE"""),"DB")</f>
        <v>DB</v>
      </c>
      <c r="G11" s="3">
        <f>IFERROR(__xludf.DUMMYFUNCTION("""COMPUTED_VALUE"""),8586770.570000052)</f>
        <v>8586770.57</v>
      </c>
      <c r="H11" s="3"/>
      <c r="I11" s="3" t="str">
        <f>IFERROR(__xludf.DUMMYFUNCTION("""COMPUTED_VALUE"""),"PRODUKSI")</f>
        <v>PRODUKSI</v>
      </c>
    </row>
    <row r="12">
      <c r="A12" s="7">
        <f>IFERROR(__xludf.DUMMYFUNCTION("""COMPUTED_VALUE"""),46235.0)</f>
        <v>46235</v>
      </c>
      <c r="B12" s="3" t="str">
        <f>IFERROR(__xludf.DUMMYFUNCTION("""COMPUTED_VALUE"""),"KARTU DEBIT")</f>
        <v>KARTU DEBIT</v>
      </c>
      <c r="C12" s="3" t="str">
        <f>IFERROR(__xludf.DUMMYFUNCTION("""COMPUTED_VALUE"""),"ALFAMRT Y207 BRTN 6019009510239343")</f>
        <v>ALFAMRT Y207 BRTN 6019009510239343</v>
      </c>
      <c r="D12" s="3">
        <f>IFERROR(__xludf.DUMMYFUNCTION("""COMPUTED_VALUE"""),47100.0)</f>
        <v>47100</v>
      </c>
      <c r="E12" s="3"/>
      <c r="F12" s="3"/>
      <c r="G12" s="3">
        <f>IFERROR(__xludf.DUMMYFUNCTION("""COMPUTED_VALUE"""),8539670.570000052)</f>
        <v>8539670.57</v>
      </c>
      <c r="H12" s="3"/>
      <c r="I12" s="3" t="str">
        <f>IFERROR(__xludf.DUMMYFUNCTION("""COMPUTED_VALUE"""),"PRODUKSI")</f>
        <v>PRODUKSI</v>
      </c>
    </row>
    <row r="13">
      <c r="A13" s="7">
        <f>IFERROR(__xludf.DUMMYFUNCTION("""COMPUTED_VALUE"""),46235.0)</f>
        <v>46235</v>
      </c>
      <c r="B13" s="3" t="str">
        <f>IFERROR(__xludf.DUMMYFUNCTION("""COMPUTED_VALUE"""),"TRSF E-BANKING DB")</f>
        <v>TRSF E-BANKING DB</v>
      </c>
      <c r="C13" s="3" t="str">
        <f>IFERROR(__xludf.DUMMYFUNCTION("""COMPUTED_VALUE"""),"0108/FTSCY/WS95271 115171500.00 Thu Jul 30 2026 14:00:00 GMT+0700 (Western Indonesia Time) GANESHA SATRIA NUS")</f>
        <v>0108/FTSCY/WS95271 115171500.00 Thu Jul 30 2026 14:00:00 GMT+0700 (Western Indonesia Time) GANESHA SATRIA NUS</v>
      </c>
      <c r="D13" s="3">
        <f>IFERROR(__xludf.DUMMYFUNCTION("""COMPUTED_VALUE"""),1.151715E8)</f>
        <v>115171500</v>
      </c>
      <c r="E13" s="3"/>
      <c r="F13" s="3" t="str">
        <f>IFERROR(__xludf.DUMMYFUNCTION("""COMPUTED_VALUE"""),"DB")</f>
        <v>DB</v>
      </c>
      <c r="G13" s="3">
        <f>IFERROR(__xludf.DUMMYFUNCTION("""COMPUTED_VALUE"""),7.934966057000005E7)</f>
        <v>79349660.57</v>
      </c>
      <c r="H13" s="3"/>
      <c r="I13" s="3" t="str">
        <f>IFERROR(__xludf.DUMMYFUNCTION("""COMPUTED_VALUE"""),"PRODUKSI")</f>
        <v>PRODUKSI</v>
      </c>
    </row>
    <row r="14">
      <c r="A14" s="7">
        <f>IFERROR(__xludf.DUMMYFUNCTION("""COMPUTED_VALUE"""),46235.0)</f>
        <v>46235</v>
      </c>
      <c r="B14" s="3" t="str">
        <f>IFERROR(__xludf.DUMMYFUNCTION("""COMPUTED_VALUE"""),"TRSF E-BANKING DB")</f>
        <v>TRSF E-BANKING DB</v>
      </c>
      <c r="C14" s="3" t="str">
        <f>IFERROR(__xludf.DUMMYFUNCTION("""COMPUTED_VALUE"""),"0108/FTSCY/WS95011 54937000.00 pelunasan ANDALAN YASA MITRA")</f>
        <v>0108/FTSCY/WS95011 54937000.00 pelunasan ANDALAN YASA MITRA</v>
      </c>
      <c r="D14" s="3">
        <f>IFERROR(__xludf.DUMMYFUNCTION("""COMPUTED_VALUE"""),5.4937E7)</f>
        <v>54937000</v>
      </c>
      <c r="E14" s="3"/>
      <c r="F14" s="3" t="str">
        <f>IFERROR(__xludf.DUMMYFUNCTION("""COMPUTED_VALUE"""),"DB")</f>
        <v>DB</v>
      </c>
      <c r="G14" s="3">
        <f>IFERROR(__xludf.DUMMYFUNCTION("""COMPUTED_VALUE"""),3.6869554057000005E8)</f>
        <v>368695540.6</v>
      </c>
      <c r="H14" s="3"/>
      <c r="I14" s="3" t="str">
        <f>IFERROR(__xludf.DUMMYFUNCTION("""COMPUTED_VALUE"""),"PRODUKSI")</f>
        <v>PRODUKSI</v>
      </c>
    </row>
    <row r="15">
      <c r="A15" s="7">
        <f>IFERROR(__xludf.DUMMYFUNCTION("""COMPUTED_VALUE"""),46236.0)</f>
        <v>46236</v>
      </c>
      <c r="B15" s="3" t="str">
        <f>IFERROR(__xludf.DUMMYFUNCTION("""COMPUTED_VALUE"""),"TARIKAN ATM 02/08")</f>
        <v>TARIKAN ATM 02/08</v>
      </c>
      <c r="C15" s="3" t="str">
        <f>IFERROR(__xludf.DUMMYFUNCTION("""COMPUTED_VALUE"""),"TARIKAN ATM 02/08")</f>
        <v>TARIKAN ATM 02/08</v>
      </c>
      <c r="D15" s="3">
        <f>IFERROR(__xludf.DUMMYFUNCTION("""COMPUTED_VALUE"""),500000.0)</f>
        <v>500000</v>
      </c>
      <c r="E15" s="3"/>
      <c r="F15" s="3"/>
      <c r="G15" s="3">
        <f>IFERROR(__xludf.DUMMYFUNCTION("""COMPUTED_VALUE"""),2.3761229057000005E8)</f>
        <v>237612290.6</v>
      </c>
      <c r="H15" s="3">
        <f>IFERROR(__xludf.DUMMYFUNCTION("""COMPUTED_VALUE"""),2.3761229057E8)</f>
        <v>237612290.6</v>
      </c>
      <c r="I15" s="3" t="str">
        <f>IFERROR(__xludf.DUMMYFUNCTION("""COMPUTED_VALUE"""),"PRODUKSI")</f>
        <v>PRODUKSI</v>
      </c>
    </row>
    <row r="16">
      <c r="A16" s="7">
        <f>IFERROR(__xludf.DUMMYFUNCTION("""COMPUTED_VALUE"""),46236.0)</f>
        <v>46236</v>
      </c>
      <c r="B16" s="3" t="str">
        <f>IFERROR(__xludf.DUMMYFUNCTION("""COMPUTED_VALUE"""),"TRSF E-BANKING DB")</f>
        <v>TRSF E-BANKING DB</v>
      </c>
      <c r="C16" s="3" t="str">
        <f>IFERROR(__xludf.DUMMYFUNCTION("""COMPUTED_VALUE"""),"0208/FTSCY/WS95271 126500000.00 pelunasan SUPER UNGGAS JAYA")</f>
        <v>0208/FTSCY/WS95271 126500000.00 pelunasan SUPER UNGGAS JAYA</v>
      </c>
      <c r="D16" s="3">
        <f>IFERROR(__xludf.DUMMYFUNCTION("""COMPUTED_VALUE"""),1.265E8)</f>
        <v>126500000</v>
      </c>
      <c r="E16" s="3"/>
      <c r="F16" s="3" t="str">
        <f>IFERROR(__xludf.DUMMYFUNCTION("""COMPUTED_VALUE"""),"DB")</f>
        <v>DB</v>
      </c>
      <c r="G16" s="3">
        <f>IFERROR(__xludf.DUMMYFUNCTION("""COMPUTED_VALUE"""),1.1111229057000005E8)</f>
        <v>111112290.6</v>
      </c>
      <c r="H16" s="3"/>
      <c r="I16" s="3" t="str">
        <f>IFERROR(__xludf.DUMMYFUNCTION("""COMPUTED_VALUE"""),"PRODUKSI")</f>
        <v>PRODUKSI</v>
      </c>
    </row>
    <row r="17">
      <c r="A17" s="7">
        <f>IFERROR(__xludf.DUMMYFUNCTION("""COMPUTED_VALUE"""),46236.0)</f>
        <v>46236</v>
      </c>
      <c r="B17" s="3" t="str">
        <f>IFERROR(__xludf.DUMMYFUNCTION("""COMPUTED_VALUE"""),"TRSF E-BANKING DB")</f>
        <v>TRSF E-BANKING DB</v>
      </c>
      <c r="C17" s="3" t="str">
        <f>IFERROR(__xludf.DUMMYFUNCTION("""COMPUTED_VALUE"""),"0208/FTSCY/WS95271 26550000.00 pelunasan ANDALAN YASA MITRA")</f>
        <v>0208/FTSCY/WS95271 26550000.00 pelunasan ANDALAN YASA MITRA</v>
      </c>
      <c r="D17" s="3">
        <f>IFERROR(__xludf.DUMMYFUNCTION("""COMPUTED_VALUE"""),2.655E7)</f>
        <v>26550000</v>
      </c>
      <c r="E17" s="3"/>
      <c r="F17" s="3" t="str">
        <f>IFERROR(__xludf.DUMMYFUNCTION("""COMPUTED_VALUE"""),"DB")</f>
        <v>DB</v>
      </c>
      <c r="G17" s="3">
        <f>IFERROR(__xludf.DUMMYFUNCTION("""COMPUTED_VALUE"""),4.7767650057000005E8)</f>
        <v>477676500.6</v>
      </c>
      <c r="H17" s="3">
        <f>IFERROR(__xludf.DUMMYFUNCTION("""COMPUTED_VALUE"""),4.7767650057E8)</f>
        <v>477676500.6</v>
      </c>
      <c r="I17" s="3" t="str">
        <f>IFERROR(__xludf.DUMMYFUNCTION("""COMPUTED_VALUE"""),"PRODUKSI")</f>
        <v>PRODUKSI</v>
      </c>
    </row>
    <row r="18">
      <c r="A18" s="7">
        <f>IFERROR(__xludf.DUMMYFUNCTION("""COMPUTED_VALUE"""),46236.0)</f>
        <v>46236</v>
      </c>
      <c r="B18" s="3" t="str">
        <f>IFERROR(__xludf.DUMMYFUNCTION("""COMPUTED_VALUE"""),"TRSF E-BANKING DB")</f>
        <v>TRSF E-BANKING DB</v>
      </c>
      <c r="C18" s="3" t="str">
        <f>IFERROR(__xludf.DUMMYFUNCTION("""COMPUTED_VALUE"""),"0208/FTSCY/WS95271 17142780.00 pelunasan BROILER MAKMUR TAN")</f>
        <v>0208/FTSCY/WS95271 17142780.00 pelunasan BROILER MAKMUR TAN</v>
      </c>
      <c r="D18" s="3">
        <f>IFERROR(__xludf.DUMMYFUNCTION("""COMPUTED_VALUE"""),1.714278E7)</f>
        <v>17142780</v>
      </c>
      <c r="E18" s="3"/>
      <c r="F18" s="3" t="str">
        <f>IFERROR(__xludf.DUMMYFUNCTION("""COMPUTED_VALUE"""),"DB")</f>
        <v>DB</v>
      </c>
      <c r="G18" s="3">
        <f>IFERROR(__xludf.DUMMYFUNCTION("""COMPUTED_VALUE"""),4.6053372057000005E8)</f>
        <v>460533720.6</v>
      </c>
      <c r="H18" s="3">
        <f>IFERROR(__xludf.DUMMYFUNCTION("""COMPUTED_VALUE"""),4.6053372057E8)</f>
        <v>460533720.6</v>
      </c>
      <c r="I18" s="3" t="str">
        <f>IFERROR(__xludf.DUMMYFUNCTION("""COMPUTED_VALUE"""),"PRODUKSI")</f>
        <v>PRODUKSI</v>
      </c>
    </row>
    <row r="19">
      <c r="A19" s="7">
        <f>IFERROR(__xludf.DUMMYFUNCTION("""COMPUTED_VALUE"""),46236.0)</f>
        <v>46236</v>
      </c>
      <c r="B19" s="3" t="str">
        <f>IFERROR(__xludf.DUMMYFUNCTION("""COMPUTED_VALUE"""),"TRSF E-BANKING DB")</f>
        <v>TRSF E-BANKING DB</v>
      </c>
      <c r="C19" s="3" t="str">
        <f>IFERROR(__xludf.DUMMYFUNCTION("""COMPUTED_VALUE"""),"0208/FTSCY/WS95011 127483400.00 Fri Jul 31 2026 14:00:00 GMT+0700 (Western Indonesia Time) BROILER MAKMUR TAN")</f>
        <v>0208/FTSCY/WS95011 127483400.00 Fri Jul 31 2026 14:00:00 GMT+0700 (Western Indonesia Time) BROILER MAKMUR TAN</v>
      </c>
      <c r="D19" s="3">
        <f>IFERROR(__xludf.DUMMYFUNCTION("""COMPUTED_VALUE"""),1.274834E8)</f>
        <v>127483400</v>
      </c>
      <c r="E19" s="3"/>
      <c r="F19" s="3" t="str">
        <f>IFERROR(__xludf.DUMMYFUNCTION("""COMPUTED_VALUE"""),"DB")</f>
        <v>DB</v>
      </c>
      <c r="G19" s="3">
        <f>IFERROR(__xludf.DUMMYFUNCTION("""COMPUTED_VALUE"""),2.6905032057000005E8)</f>
        <v>269050320.6</v>
      </c>
      <c r="H19" s="3"/>
      <c r="I19" s="3" t="str">
        <f>IFERROR(__xludf.DUMMYFUNCTION("""COMPUTED_VALUE"""),"PRODUKSI")</f>
        <v>PRODUKSI</v>
      </c>
    </row>
    <row r="20">
      <c r="A20" s="7">
        <f>IFERROR(__xludf.DUMMYFUNCTION("""COMPUTED_VALUE"""),46236.0)</f>
        <v>46236</v>
      </c>
      <c r="B20" s="3" t="str">
        <f>IFERROR(__xludf.DUMMYFUNCTION("""COMPUTED_VALUE"""),"TRSF E-BANKING DB")</f>
        <v>TRSF E-BANKING DB</v>
      </c>
      <c r="C20" s="3" t="str">
        <f>IFERROR(__xludf.DUMMYFUNCTION("""COMPUTED_VALUE"""),"0208/FTSCY/WS95011 100946000.00 Fri Jul 31 2026 14:00:00 GMT+0700 (Western Indonesia Time) SUPER UNGGAS JAYA")</f>
        <v>0208/FTSCY/WS95011 100946000.00 Fri Jul 31 2026 14:00:00 GMT+0700 (Western Indonesia Time) SUPER UNGGAS JAYA</v>
      </c>
      <c r="D20" s="3">
        <f>IFERROR(__xludf.DUMMYFUNCTION("""COMPUTED_VALUE"""),1.00946E8)</f>
        <v>100946000</v>
      </c>
      <c r="E20" s="3"/>
      <c r="F20" s="3" t="str">
        <f>IFERROR(__xludf.DUMMYFUNCTION("""COMPUTED_VALUE"""),"DB")</f>
        <v>DB</v>
      </c>
      <c r="G20" s="3">
        <f>IFERROR(__xludf.DUMMYFUNCTION("""COMPUTED_VALUE"""),1.6810432057000005E8)</f>
        <v>168104320.6</v>
      </c>
      <c r="H20" s="3"/>
      <c r="I20" s="3" t="str">
        <f>IFERROR(__xludf.DUMMYFUNCTION("""COMPUTED_VALUE"""),"PRODUKSI")</f>
        <v>PRODUKSI</v>
      </c>
    </row>
    <row r="21">
      <c r="A21" s="7">
        <f>IFERROR(__xludf.DUMMYFUNCTION("""COMPUTED_VALUE"""),46236.0)</f>
        <v>46236</v>
      </c>
      <c r="B21" s="3" t="str">
        <f>IFERROR(__xludf.DUMMYFUNCTION("""COMPUTED_VALUE"""),"TRSF E-BANKING DB")</f>
        <v>TRSF E-BANKING DB</v>
      </c>
      <c r="C21" s="3" t="str">
        <f>IFERROR(__xludf.DUMMYFUNCTION("""COMPUTED_VALUE"""),"0208/FTSCY/WS95011 48121680.00 Fri Jul 31 2026 14:00:00 GMT+0700 (Western Indonesia Time) ANDALAN YASA MITRA")</f>
        <v>0208/FTSCY/WS95011 48121680.00 Fri Jul 31 2026 14:00:00 GMT+0700 (Western Indonesia Time) ANDALAN YASA MITRA</v>
      </c>
      <c r="D21" s="3">
        <f>IFERROR(__xludf.DUMMYFUNCTION("""COMPUTED_VALUE"""),4.812168E7)</f>
        <v>48121680</v>
      </c>
      <c r="E21" s="3"/>
      <c r="F21" s="3" t="str">
        <f>IFERROR(__xludf.DUMMYFUNCTION("""COMPUTED_VALUE"""),"DB")</f>
        <v>DB</v>
      </c>
      <c r="G21" s="3">
        <f>IFERROR(__xludf.DUMMYFUNCTION("""COMPUTED_VALUE"""),1.1998264057000005E8)</f>
        <v>119982640.6</v>
      </c>
      <c r="H21" s="3"/>
      <c r="I21" s="3" t="str">
        <f>IFERROR(__xludf.DUMMYFUNCTION("""COMPUTED_VALUE"""),"PRODUKSI")</f>
        <v>PRODUKSI</v>
      </c>
    </row>
    <row r="22">
      <c r="A22" s="7">
        <f>IFERROR(__xludf.DUMMYFUNCTION("""COMPUTED_VALUE"""),46236.0)</f>
        <v>46236</v>
      </c>
      <c r="B22" s="3" t="str">
        <f>IFERROR(__xludf.DUMMYFUNCTION("""COMPUTED_VALUE"""),"TRSF E-BANKING DB")</f>
        <v>TRSF E-BANKING DB</v>
      </c>
      <c r="C22" s="3" t="str">
        <f>IFERROR(__xludf.DUMMYFUNCTION("""COMPUTED_VALUE"""),"0208/FTSCY/WS95011 57120000.00 Fri Jul 31 2026 14:00:00 GMT+0700 (Western Indonesia Time) BUDI SURYANTO")</f>
        <v>0208/FTSCY/WS95011 57120000.00 Fri Jul 31 2026 14:00:00 GMT+0700 (Western Indonesia Time) BUDI SURYANTO</v>
      </c>
      <c r="D22" s="3">
        <f>IFERROR(__xludf.DUMMYFUNCTION("""COMPUTED_VALUE"""),5.712E7)</f>
        <v>57120000</v>
      </c>
      <c r="E22" s="3"/>
      <c r="F22" s="3" t="str">
        <f>IFERROR(__xludf.DUMMYFUNCTION("""COMPUTED_VALUE"""),"DB")</f>
        <v>DB</v>
      </c>
      <c r="G22" s="3">
        <f>IFERROR(__xludf.DUMMYFUNCTION("""COMPUTED_VALUE"""),6.286264057000005E7)</f>
        <v>62862640.57</v>
      </c>
      <c r="H22" s="3"/>
      <c r="I22" s="3" t="str">
        <f>IFERROR(__xludf.DUMMYFUNCTION("""COMPUTED_VALUE"""),"PRODUKSI")</f>
        <v>PRODUKSI</v>
      </c>
    </row>
    <row r="23">
      <c r="A23" s="7">
        <f>IFERROR(__xludf.DUMMYFUNCTION("""COMPUTED_VALUE"""),46236.0)</f>
        <v>46236</v>
      </c>
      <c r="B23" s="3" t="str">
        <f>IFERROR(__xludf.DUMMYFUNCTION("""COMPUTED_VALUE"""),"TRSF E-BANKING DB")</f>
        <v>TRSF E-BANKING DB</v>
      </c>
      <c r="C23" s="3" t="str">
        <f>IFERROR(__xludf.DUMMYFUNCTION("""COMPUTED_VALUE"""),"0208/FTSCY/WS95271 15000000.00 EKO SETIYAWAN")</f>
        <v>0208/FTSCY/WS95271 15000000.00 EKO SETIYAWAN</v>
      </c>
      <c r="D23" s="3">
        <f>IFERROR(__xludf.DUMMYFUNCTION("""COMPUTED_VALUE"""),1.5E7)</f>
        <v>15000000</v>
      </c>
      <c r="E23" s="3"/>
      <c r="F23" s="3" t="str">
        <f>IFERROR(__xludf.DUMMYFUNCTION("""COMPUTED_VALUE"""),"DB")</f>
        <v>DB</v>
      </c>
      <c r="G23" s="3">
        <f>IFERROR(__xludf.DUMMYFUNCTION("""COMPUTED_VALUE"""),4.786264057000005E7)</f>
        <v>47862640.57</v>
      </c>
      <c r="H23" s="3"/>
      <c r="I23" s="3" t="str">
        <f>IFERROR(__xludf.DUMMYFUNCTION("""COMPUTED_VALUE"""),"PRODUKSI")</f>
        <v>PRODUKSI</v>
      </c>
    </row>
    <row r="24">
      <c r="A24" s="7">
        <f>IFERROR(__xludf.DUMMYFUNCTION("""COMPUTED_VALUE"""),46236.0)</f>
        <v>46236</v>
      </c>
      <c r="B24" s="3" t="str">
        <f>IFERROR(__xludf.DUMMYFUNCTION("""COMPUTED_VALUE"""),"TARIKAN ATM 02/08")</f>
        <v>TARIKAN ATM 02/08</v>
      </c>
      <c r="C24" s="3" t="str">
        <f>IFERROR(__xludf.DUMMYFUNCTION("""COMPUTED_VALUE"""),"TARIKAN ATM 02/08")</f>
        <v>TARIKAN ATM 02/08</v>
      </c>
      <c r="D24" s="3">
        <f>IFERROR(__xludf.DUMMYFUNCTION("""COMPUTED_VALUE"""),300000.0)</f>
        <v>300000</v>
      </c>
      <c r="E24" s="3"/>
      <c r="F24" s="3"/>
      <c r="G24" s="3">
        <f>IFERROR(__xludf.DUMMYFUNCTION("""COMPUTED_VALUE"""),4.357266057000005E7)</f>
        <v>43572660.57</v>
      </c>
      <c r="H24" s="3">
        <f>IFERROR(__xludf.DUMMYFUNCTION("""COMPUTED_VALUE"""),4.357266057E7)</f>
        <v>43572660.57</v>
      </c>
      <c r="I24" s="3" t="str">
        <f>IFERROR(__xludf.DUMMYFUNCTION("""COMPUTED_VALUE"""),"PRODUKSI")</f>
        <v>PRODUKSI</v>
      </c>
    </row>
    <row r="25">
      <c r="A25" s="7">
        <f>IFERROR(__xludf.DUMMYFUNCTION("""COMPUTED_VALUE"""),46237.0)</f>
        <v>46237</v>
      </c>
      <c r="B25" s="3" t="str">
        <f>IFERROR(__xludf.DUMMYFUNCTION("""COMPUTED_VALUE"""),"TRSF E-BANKING DB")</f>
        <v>TRSF E-BANKING DB</v>
      </c>
      <c r="C25" s="3" t="str">
        <f>IFERROR(__xludf.DUMMYFUNCTION("""COMPUTED_VALUE"""),"0308/FTSCY/WS95031 850000.00 SANDI FAJAR PRASET")</f>
        <v>0308/FTSCY/WS95031 850000.00 SANDI FAJAR PRASET</v>
      </c>
      <c r="D25" s="3">
        <f>IFERROR(__xludf.DUMMYFUNCTION("""COMPUTED_VALUE"""),850000.0)</f>
        <v>850000</v>
      </c>
      <c r="E25" s="3"/>
      <c r="F25" s="3" t="str">
        <f>IFERROR(__xludf.DUMMYFUNCTION("""COMPUTED_VALUE"""),"DB")</f>
        <v>DB</v>
      </c>
      <c r="G25" s="3">
        <f>IFERROR(__xludf.DUMMYFUNCTION("""COMPUTED_VALUE"""),4.052026057000005E7)</f>
        <v>40520260.57</v>
      </c>
      <c r="H25" s="3"/>
      <c r="I25" s="3" t="str">
        <f>IFERROR(__xludf.DUMMYFUNCTION("""COMPUTED_VALUE"""),"PRODUKSI")</f>
        <v>PRODUKSI</v>
      </c>
    </row>
    <row r="26">
      <c r="A26" s="7">
        <f>IFERROR(__xludf.DUMMYFUNCTION("""COMPUTED_VALUE"""),46237.0)</f>
        <v>46237</v>
      </c>
      <c r="B26" s="3" t="str">
        <f>IFERROR(__xludf.DUMMYFUNCTION("""COMPUTED_VALUE"""),"TRSF E-BANKING DB")</f>
        <v>TRSF E-BANKING DB</v>
      </c>
      <c r="C26" s="3" t="str">
        <f>IFERROR(__xludf.DUMMYFUNCTION("""COMPUTED_VALUE"""),"0308/FTSCY/WS95031 56811300.00 Sat Aug 01 2026 14:00:00 GMT+0700 (Western Indonesia Time) TERNAK SEJATI TABA")</f>
        <v>0308/FTSCY/WS95031 56811300.00 Sat Aug 01 2026 14:00:00 GMT+0700 (Western Indonesia Time) TERNAK SEJATI TABA</v>
      </c>
      <c r="D26" s="3">
        <f>IFERROR(__xludf.DUMMYFUNCTION("""COMPUTED_VALUE"""),5.68113E7)</f>
        <v>56811300</v>
      </c>
      <c r="E26" s="3"/>
      <c r="F26" s="3" t="str">
        <f>IFERROR(__xludf.DUMMYFUNCTION("""COMPUTED_VALUE"""),"DB")</f>
        <v>DB</v>
      </c>
      <c r="G26" s="3">
        <f>IFERROR(__xludf.DUMMYFUNCTION("""COMPUTED_VALUE"""),1.3708960570000052E7)</f>
        <v>13708960.57</v>
      </c>
      <c r="H26" s="3"/>
      <c r="I26" s="3" t="str">
        <f>IFERROR(__xludf.DUMMYFUNCTION("""COMPUTED_VALUE"""),"PRODUKSI")</f>
        <v>PRODUKSI</v>
      </c>
    </row>
    <row r="27">
      <c r="A27" s="7">
        <f>IFERROR(__xludf.DUMMYFUNCTION("""COMPUTED_VALUE"""),46237.0)</f>
        <v>46237</v>
      </c>
      <c r="B27" s="3" t="str">
        <f>IFERROR(__xludf.DUMMYFUNCTION("""COMPUTED_VALUE"""),"TRSF E-BANKING DB")</f>
        <v>TRSF E-BANKING DB</v>
      </c>
      <c r="C27" s="3" t="str">
        <f>IFERROR(__xludf.DUMMYFUNCTION("""COMPUTED_VALUE"""),"0308/FTSCY/WS95271 58725000.00 28/0 BINTANG TAMA SANTO")</f>
        <v>0308/FTSCY/WS95271 58725000.00 28/0 BINTANG TAMA SANTO</v>
      </c>
      <c r="D27" s="3">
        <f>IFERROR(__xludf.DUMMYFUNCTION("""COMPUTED_VALUE"""),5.8725E7)</f>
        <v>58725000</v>
      </c>
      <c r="E27" s="3"/>
      <c r="F27" s="3" t="str">
        <f>IFERROR(__xludf.DUMMYFUNCTION("""COMPUTED_VALUE"""),"DB")</f>
        <v>DB</v>
      </c>
      <c r="G27" s="3">
        <f>IFERROR(__xludf.DUMMYFUNCTION("""COMPUTED_VALUE"""),3.3660181057000005E8)</f>
        <v>336601810.6</v>
      </c>
      <c r="H27" s="3">
        <f>IFERROR(__xludf.DUMMYFUNCTION("""COMPUTED_VALUE"""),3.3660181057E8)</f>
        <v>336601810.6</v>
      </c>
      <c r="I27" s="3" t="str">
        <f>IFERROR(__xludf.DUMMYFUNCTION("""COMPUTED_VALUE"""),"PRODUKSI")</f>
        <v>PRODUKSI</v>
      </c>
    </row>
    <row r="28">
      <c r="A28" s="7">
        <f>IFERROR(__xludf.DUMMYFUNCTION("""COMPUTED_VALUE"""),46237.0)</f>
        <v>46237</v>
      </c>
      <c r="B28" s="3" t="str">
        <f>IFERROR(__xludf.DUMMYFUNCTION("""COMPUTED_VALUE"""),"TRSF E-BANKING DB")</f>
        <v>TRSF E-BANKING DB</v>
      </c>
      <c r="C28" s="3" t="str">
        <f>IFERROR(__xludf.DUMMYFUNCTION("""COMPUTED_VALUE"""),"0308/FTSCY/WS95271 74724660.00 Sat Aug 01 2026 14:00:00 GMT+0700 (Western Indonesia Time) RUKUN MITRA BERSAM")</f>
        <v>0308/FTSCY/WS95271 74724660.00 Sat Aug 01 2026 14:00:00 GMT+0700 (Western Indonesia Time) RUKUN MITRA BERSAM</v>
      </c>
      <c r="D28" s="3">
        <f>IFERROR(__xludf.DUMMYFUNCTION("""COMPUTED_VALUE"""),7.472466E7)</f>
        <v>74724660</v>
      </c>
      <c r="E28" s="3"/>
      <c r="F28" s="3" t="str">
        <f>IFERROR(__xludf.DUMMYFUNCTION("""COMPUTED_VALUE"""),"DB")</f>
        <v>DB</v>
      </c>
      <c r="G28" s="3">
        <f>IFERROR(__xludf.DUMMYFUNCTION("""COMPUTED_VALUE"""),2.6187715057000005E8)</f>
        <v>261877150.6</v>
      </c>
      <c r="H28" s="3"/>
      <c r="I28" s="3" t="str">
        <f>IFERROR(__xludf.DUMMYFUNCTION("""COMPUTED_VALUE"""),"PRODUKSI")</f>
        <v>PRODUKSI</v>
      </c>
    </row>
    <row r="29">
      <c r="A29" s="7">
        <f>IFERROR(__xludf.DUMMYFUNCTION("""COMPUTED_VALUE"""),46237.0)</f>
        <v>46237</v>
      </c>
      <c r="B29" s="3" t="str">
        <f>IFERROR(__xludf.DUMMYFUNCTION("""COMPUTED_VALUE"""),"TRSF E-BANKING DB")</f>
        <v>TRSF E-BANKING DB</v>
      </c>
      <c r="C29" s="3" t="str">
        <f>IFERROR(__xludf.DUMMYFUNCTION("""COMPUTED_VALUE"""),"0308/FTFVA/WS95031 55569/PT PRIMA FAJ pelunasan - 40190")</f>
        <v>0308/FTFVA/WS95031 55569/PT PRIMA FAJ pelunasan - 40190</v>
      </c>
      <c r="D29" s="3">
        <f>IFERROR(__xludf.DUMMYFUNCTION("""COMPUTED_VALUE"""),1.863805E7)</f>
        <v>18638050</v>
      </c>
      <c r="E29" s="3"/>
      <c r="F29" s="3" t="str">
        <f>IFERROR(__xludf.DUMMYFUNCTION("""COMPUTED_VALUE"""),"DB")</f>
        <v>DB</v>
      </c>
      <c r="G29" s="3">
        <f>IFERROR(__xludf.DUMMYFUNCTION("""COMPUTED_VALUE"""),2.4323910057000005E8)</f>
        <v>243239100.6</v>
      </c>
      <c r="H29" s="3"/>
      <c r="I29" s="3" t="str">
        <f>IFERROR(__xludf.DUMMYFUNCTION("""COMPUTED_VALUE"""),"PRODUKSI")</f>
        <v>PRODUKSI</v>
      </c>
    </row>
    <row r="30">
      <c r="A30" s="7">
        <f>IFERROR(__xludf.DUMMYFUNCTION("""COMPUTED_VALUE"""),46237.0)</f>
        <v>46237</v>
      </c>
      <c r="B30" s="3" t="str">
        <f>IFERROR(__xludf.DUMMYFUNCTION("""COMPUTED_VALUE"""),"TRSF E-BANKING DB")</f>
        <v>TRSF E-BANKING DB</v>
      </c>
      <c r="C30" s="3" t="str">
        <f>IFERROR(__xludf.DUMMYFUNCTION("""COMPUTED_VALUE"""),"0308/FTSCY/WS95271 122991000.00 Wed Jul 01 2026 14:00:00 GMT+0700 (Western Indonesia Time) ANDALAN YASA MITRA")</f>
        <v>0308/FTSCY/WS95271 122991000.00 Wed Jul 01 2026 14:00:00 GMT+0700 (Western Indonesia Time) ANDALAN YASA MITRA</v>
      </c>
      <c r="D30" s="3">
        <f>IFERROR(__xludf.DUMMYFUNCTION("""COMPUTED_VALUE"""),1.22991E8)</f>
        <v>122991000</v>
      </c>
      <c r="E30" s="3"/>
      <c r="F30" s="3" t="str">
        <f>IFERROR(__xludf.DUMMYFUNCTION("""COMPUTED_VALUE"""),"DB")</f>
        <v>DB</v>
      </c>
      <c r="G30" s="3">
        <f>IFERROR(__xludf.DUMMYFUNCTION("""COMPUTED_VALUE"""),1.2024810057000005E8)</f>
        <v>120248100.6</v>
      </c>
      <c r="H30" s="3"/>
      <c r="I30" s="3" t="str">
        <f>IFERROR(__xludf.DUMMYFUNCTION("""COMPUTED_VALUE"""),"PRODUKSI")</f>
        <v>PRODUKSI</v>
      </c>
    </row>
    <row r="31">
      <c r="A31" s="7">
        <f>IFERROR(__xludf.DUMMYFUNCTION("""COMPUTED_VALUE"""),46237.0)</f>
        <v>46237</v>
      </c>
      <c r="B31" s="3" t="str">
        <f>IFERROR(__xludf.DUMMYFUNCTION("""COMPUTED_VALUE"""),"TRSF E-BANKING DB")</f>
        <v>TRSF E-BANKING DB</v>
      </c>
      <c r="C31" s="3" t="str">
        <f>IFERROR(__xludf.DUMMYFUNCTION("""COMPUTED_VALUE"""),"0308/FTSCY/WS95031 735000.00 FAHMI SYAIFUDDIN R")</f>
        <v>0308/FTSCY/WS95031 735000.00 FAHMI SYAIFUDDIN R</v>
      </c>
      <c r="D31" s="3">
        <f>IFERROR(__xludf.DUMMYFUNCTION("""COMPUTED_VALUE"""),735000.0)</f>
        <v>735000</v>
      </c>
      <c r="E31" s="3"/>
      <c r="F31" s="3" t="str">
        <f>IFERROR(__xludf.DUMMYFUNCTION("""COMPUTED_VALUE"""),"DB")</f>
        <v>DB</v>
      </c>
      <c r="G31" s="3">
        <f>IFERROR(__xludf.DUMMYFUNCTION("""COMPUTED_VALUE"""),2.6202374057000005E8)</f>
        <v>262023740.6</v>
      </c>
      <c r="H31" s="3"/>
      <c r="I31" s="3" t="str">
        <f>IFERROR(__xludf.DUMMYFUNCTION("""COMPUTED_VALUE"""),"PRODUKSI")</f>
        <v>PRODUKSI</v>
      </c>
    </row>
    <row r="32">
      <c r="A32" s="7">
        <f>IFERROR(__xludf.DUMMYFUNCTION("""COMPUTED_VALUE"""),46247.0)</f>
        <v>46247</v>
      </c>
      <c r="B32" s="3" t="str">
        <f>IFERROR(__xludf.DUMMYFUNCTION("""COMPUTED_VALUE"""),"TRSF E-BANKING DB")</f>
        <v>TRSF E-BANKING DB</v>
      </c>
      <c r="C32" s="3" t="str">
        <f>IFERROR(__xludf.DUMMYFUNCTION("""COMPUTED_VALUE"""),"1308/FTSCY/WS95031 1800000.00 BELA PRAMUDITA")</f>
        <v>1308/FTSCY/WS95031 1800000.00 BELA PRAMUDITA</v>
      </c>
      <c r="D32" s="3">
        <f>IFERROR(__xludf.DUMMYFUNCTION("""COMPUTED_VALUE"""),1800000.0)</f>
        <v>1800000</v>
      </c>
      <c r="E32" s="3"/>
      <c r="F32" s="3" t="str">
        <f>IFERROR(__xludf.DUMMYFUNCTION("""COMPUTED_VALUE"""),"DB")</f>
        <v>DB</v>
      </c>
      <c r="G32" s="3">
        <f>IFERROR(__xludf.DUMMYFUNCTION("""COMPUTED_VALUE"""),9.802963457000005E7)</f>
        <v>98029634.57</v>
      </c>
      <c r="H32" s="3">
        <f>IFERROR(__xludf.DUMMYFUNCTION("""COMPUTED_VALUE"""),9.802963457E7)</f>
        <v>98029634.57</v>
      </c>
      <c r="I32" s="3" t="str">
        <f>IFERROR(__xludf.DUMMYFUNCTION("""COMPUTED_VALUE"""),"PRODUKSI")</f>
        <v>PRODUKSI</v>
      </c>
    </row>
    <row r="33">
      <c r="A33" s="7">
        <f>IFERROR(__xludf.DUMMYFUNCTION("""COMPUTED_VALUE"""),46248.0)</f>
        <v>46248</v>
      </c>
      <c r="B33" s="3" t="str">
        <f>IFERROR(__xludf.DUMMYFUNCTION("""COMPUTED_VALUE"""),"BYR VIA E-BANKING")</f>
        <v>BYR VIA E-BANKING</v>
      </c>
      <c r="C33" s="3" t="str">
        <f>IFERROR(__xludf.DUMMYFUNCTION("""COMPUTED_VALUE"""),"14/08  WSID9503101 1220 TELKOMSEL 81326518324 MUHAMMAD HAIRUL MA")</f>
        <v>14/08  WSID9503101 1220 TELKOMSEL 81326518324 MUHAMMAD HAIRUL MA</v>
      </c>
      <c r="D33" s="3">
        <f>IFERROR(__xludf.DUMMYFUNCTION("""COMPUTED_VALUE"""),27000.0)</f>
        <v>27000</v>
      </c>
      <c r="E33" s="3"/>
      <c r="F33" s="3"/>
      <c r="G33" s="3">
        <f>IFERROR(__xludf.DUMMYFUNCTION("""COMPUTED_VALUE"""),9.800263457000005E7)</f>
        <v>98002634.57</v>
      </c>
      <c r="H33" s="3"/>
      <c r="I33" s="3" t="str">
        <f>IFERROR(__xludf.DUMMYFUNCTION("""COMPUTED_VALUE"""),"PRODUKSI")</f>
        <v>PRODUKSI</v>
      </c>
    </row>
    <row r="34">
      <c r="A34" s="7">
        <f>IFERROR(__xludf.DUMMYFUNCTION("""COMPUTED_VALUE"""),46248.0)</f>
        <v>46248</v>
      </c>
      <c r="B34" s="3" t="str">
        <f>IFERROR(__xludf.DUMMYFUNCTION("""COMPUTED_VALUE"""),"TRSF E-BANKING DB")</f>
        <v>TRSF E-BANKING DB</v>
      </c>
      <c r="C34" s="3" t="str">
        <f>IFERROR(__xludf.DUMMYFUNCTION("""COMPUTED_VALUE"""),"1408/FTSCY/WS95031 69023000.00 Fri Aug 14 2026 14:00:00 GMT+0700 (Western Indonesia Time) LAWU ABADI NUSA PT")</f>
        <v>1408/FTSCY/WS95031 69023000.00 Fri Aug 14 2026 14:00:00 GMT+0700 (Western Indonesia Time) LAWU ABADI NUSA PT</v>
      </c>
      <c r="D34" s="3">
        <f>IFERROR(__xludf.DUMMYFUNCTION("""COMPUTED_VALUE"""),6.9023E7)</f>
        <v>69023000</v>
      </c>
      <c r="E34" s="3"/>
      <c r="F34" s="3" t="str">
        <f>IFERROR(__xludf.DUMMYFUNCTION("""COMPUTED_VALUE"""),"DB")</f>
        <v>DB</v>
      </c>
      <c r="G34" s="3">
        <f>IFERROR(__xludf.DUMMYFUNCTION("""COMPUTED_VALUE"""),2.8979634570000052E7)</f>
        <v>28979634.57</v>
      </c>
      <c r="H34" s="3"/>
      <c r="I34" s="3" t="str">
        <f>IFERROR(__xludf.DUMMYFUNCTION("""COMPUTED_VALUE"""),"PRODUKSI")</f>
        <v>PRODUKSI</v>
      </c>
    </row>
    <row r="35">
      <c r="A35" s="7">
        <f>IFERROR(__xludf.DUMMYFUNCTION("""COMPUTED_VALUE"""),46248.0)</f>
        <v>46248</v>
      </c>
      <c r="B35" s="3" t="str">
        <f>IFERROR(__xludf.DUMMYFUNCTION("""COMPUTED_VALUE"""),"TRSF E-BANKING DB")</f>
        <v>TRSF E-BANKING DB</v>
      </c>
      <c r="C35" s="3" t="str">
        <f>IFERROR(__xludf.DUMMYFUNCTION("""COMPUTED_VALUE"""),"1408/FTSCY/WS95011 117189680.00 Tue Aug 11 2026 14:00:00 GMT+0700 (Western Indonesia Time) BINTANG TAMA SANTO")</f>
        <v>1408/FTSCY/WS95011 117189680.00 Tue Aug 11 2026 14:00:00 GMT+0700 (Western Indonesia Time) BINTANG TAMA SANTO</v>
      </c>
      <c r="D35" s="3">
        <f>IFERROR(__xludf.DUMMYFUNCTION("""COMPUTED_VALUE"""),1.1718968E8)</f>
        <v>117189680</v>
      </c>
      <c r="E35" s="3"/>
      <c r="F35" s="3" t="str">
        <f>IFERROR(__xludf.DUMMYFUNCTION("""COMPUTED_VALUE"""),"DB")</f>
        <v>DB</v>
      </c>
      <c r="G35" s="3">
        <f>IFERROR(__xludf.DUMMYFUNCTION("""COMPUTED_VALUE"""),4.9392098657000005E8)</f>
        <v>493920986.6</v>
      </c>
      <c r="H35" s="3">
        <f>IFERROR(__xludf.DUMMYFUNCTION("""COMPUTED_VALUE"""),4.9392098657E8)</f>
        <v>493920986.6</v>
      </c>
      <c r="I35" s="3" t="str">
        <f>IFERROR(__xludf.DUMMYFUNCTION("""COMPUTED_VALUE"""),"PRODUKSI")</f>
        <v>PRODUKSI</v>
      </c>
    </row>
    <row r="36">
      <c r="A36" s="7">
        <f>IFERROR(__xludf.DUMMYFUNCTION("""COMPUTED_VALUE"""),46248.0)</f>
        <v>46248</v>
      </c>
      <c r="B36" s="3" t="str">
        <f>IFERROR(__xludf.DUMMYFUNCTION("""COMPUTED_VALUE"""),"TRSF E-BANKING DB")</f>
        <v>TRSF E-BANKING DB</v>
      </c>
      <c r="C36" s="3" t="str">
        <f>IFERROR(__xludf.DUMMYFUNCTION("""COMPUTED_VALUE"""),"1408/FTSCY/WS95011 69849000.00 SUGENG RIADI")</f>
        <v>1408/FTSCY/WS95011 69849000.00 SUGENG RIADI</v>
      </c>
      <c r="D36" s="3">
        <f>IFERROR(__xludf.DUMMYFUNCTION("""COMPUTED_VALUE"""),6.9849E7)</f>
        <v>69849000</v>
      </c>
      <c r="E36" s="3"/>
      <c r="F36" s="3" t="str">
        <f>IFERROR(__xludf.DUMMYFUNCTION("""COMPUTED_VALUE"""),"DB")</f>
        <v>DB</v>
      </c>
      <c r="G36" s="3">
        <f>IFERROR(__xludf.DUMMYFUNCTION("""COMPUTED_VALUE"""),4.2407198657000005E8)</f>
        <v>424071986.6</v>
      </c>
      <c r="H36" s="3"/>
      <c r="I36" s="3" t="str">
        <f>IFERROR(__xludf.DUMMYFUNCTION("""COMPUTED_VALUE"""),"PRODUKSI")</f>
        <v>PRODUKSI</v>
      </c>
    </row>
    <row r="37">
      <c r="A37" s="7">
        <f>IFERROR(__xludf.DUMMYFUNCTION("""COMPUTED_VALUE"""),46248.0)</f>
        <v>46248</v>
      </c>
      <c r="B37" s="3" t="str">
        <f>IFERROR(__xludf.DUMMYFUNCTION("""COMPUTED_VALUE"""),"TRSF E-BANKING DB")</f>
        <v>TRSF E-BANKING DB</v>
      </c>
      <c r="C37" s="3" t="str">
        <f>IFERROR(__xludf.DUMMYFUNCTION("""COMPUTED_VALUE"""),"1408/FTSCY/WS95011 160271960.00 Tue Aug 11 2026 14:00:00 GMT+0700 (Western Indonesia Time) ANDALAN YASA MITRA")</f>
        <v>1408/FTSCY/WS95011 160271960.00 Tue Aug 11 2026 14:00:00 GMT+0700 (Western Indonesia Time) ANDALAN YASA MITRA</v>
      </c>
      <c r="D37" s="3">
        <f>IFERROR(__xludf.DUMMYFUNCTION("""COMPUTED_VALUE"""),1.6027196E8)</f>
        <v>160271960</v>
      </c>
      <c r="E37" s="3"/>
      <c r="F37" s="3" t="str">
        <f>IFERROR(__xludf.DUMMYFUNCTION("""COMPUTED_VALUE"""),"DB")</f>
        <v>DB</v>
      </c>
      <c r="G37" s="3">
        <f>IFERROR(__xludf.DUMMYFUNCTION("""COMPUTED_VALUE"""),2.6380002657000005E8)</f>
        <v>263800026.6</v>
      </c>
      <c r="H37" s="3"/>
      <c r="I37" s="3" t="str">
        <f>IFERROR(__xludf.DUMMYFUNCTION("""COMPUTED_VALUE"""),"PRODUKSI")</f>
        <v>PRODUKSI</v>
      </c>
    </row>
    <row r="38">
      <c r="A38" s="7">
        <f>IFERROR(__xludf.DUMMYFUNCTION("""COMPUTED_VALUE"""),46248.0)</f>
        <v>46248</v>
      </c>
      <c r="B38" s="3" t="str">
        <f>IFERROR(__xludf.DUMMYFUNCTION("""COMPUTED_VALUE"""),"TRSF E-BANKING DB")</f>
        <v>TRSF E-BANKING DB</v>
      </c>
      <c r="C38" s="3" t="str">
        <f>IFERROR(__xludf.DUMMYFUNCTION("""COMPUTED_VALUE"""),"1408/FTSCY/WS95031 1500000.00 smg d lancarkn PHALOSARI UNGGUL J")</f>
        <v>1408/FTSCY/WS95031 1500000.00 smg d lancarkn PHALOSARI UNGGUL J</v>
      </c>
      <c r="D38" s="3">
        <f>IFERROR(__xludf.DUMMYFUNCTION("""COMPUTED_VALUE"""),1500000.0)</f>
        <v>1500000</v>
      </c>
      <c r="E38" s="3"/>
      <c r="F38" s="3" t="str">
        <f>IFERROR(__xludf.DUMMYFUNCTION("""COMPUTED_VALUE"""),"DB")</f>
        <v>DB</v>
      </c>
      <c r="G38" s="3">
        <f>IFERROR(__xludf.DUMMYFUNCTION("""COMPUTED_VALUE"""),1.04178378957E9)</f>
        <v>1041783790</v>
      </c>
      <c r="H38" s="3"/>
      <c r="I38" s="3" t="str">
        <f>IFERROR(__xludf.DUMMYFUNCTION("""COMPUTED_VALUE"""),"PRODUKSI")</f>
        <v>PRODUKSI</v>
      </c>
    </row>
    <row r="39">
      <c r="A39" s="7">
        <f>IFERROR(__xludf.DUMMYFUNCTION("""COMPUTED_VALUE"""),46248.0)</f>
        <v>46248</v>
      </c>
      <c r="B39" s="3" t="str">
        <f>IFERROR(__xludf.DUMMYFUNCTION("""COMPUTED_VALUE"""),"TRSF E-BANKING DB")</f>
        <v>TRSF E-BANKING DB</v>
      </c>
      <c r="C39" s="3" t="str">
        <f>IFERROR(__xludf.DUMMYFUNCTION("""COMPUTED_VALUE"""),"1408/FTSCY/WS95031 1300000.00 SUNARTO")</f>
        <v>1408/FTSCY/WS95031 1300000.00 SUNARTO</v>
      </c>
      <c r="D39" s="3">
        <f>IFERROR(__xludf.DUMMYFUNCTION("""COMPUTED_VALUE"""),1300000.0)</f>
        <v>1300000</v>
      </c>
      <c r="E39" s="3"/>
      <c r="F39" s="3" t="str">
        <f>IFERROR(__xludf.DUMMYFUNCTION("""COMPUTED_VALUE"""),"DB")</f>
        <v>DB</v>
      </c>
      <c r="G39" s="3">
        <f>IFERROR(__xludf.DUMMYFUNCTION("""COMPUTED_VALUE"""),1.04048378957E9)</f>
        <v>1040483790</v>
      </c>
      <c r="H39" s="3"/>
      <c r="I39" s="3" t="str">
        <f>IFERROR(__xludf.DUMMYFUNCTION("""COMPUTED_VALUE"""),"PRODUKSI")</f>
        <v>PRODUKSI</v>
      </c>
    </row>
    <row r="40">
      <c r="A40" s="7">
        <f>IFERROR(__xludf.DUMMYFUNCTION("""COMPUTED_VALUE"""),46248.0)</f>
        <v>46248</v>
      </c>
      <c r="B40" s="3" t="str">
        <f>IFERROR(__xludf.DUMMYFUNCTION("""COMPUTED_VALUE"""),"TRSF E-BANKING DB")</f>
        <v>TRSF E-BANKING DB</v>
      </c>
      <c r="C40" s="3" t="str">
        <f>IFERROR(__xludf.DUMMYFUNCTION("""COMPUTED_VALUE"""),"1408/FTSCY/WS95031 1350000.00 FAJAR ANDREANZAH")</f>
        <v>1408/FTSCY/WS95031 1350000.00 FAJAR ANDREANZAH</v>
      </c>
      <c r="D40" s="3">
        <f>IFERROR(__xludf.DUMMYFUNCTION("""COMPUTED_VALUE"""),1350000.0)</f>
        <v>1350000</v>
      </c>
      <c r="E40" s="3"/>
      <c r="F40" s="3" t="str">
        <f>IFERROR(__xludf.DUMMYFUNCTION("""COMPUTED_VALUE"""),"DB")</f>
        <v>DB</v>
      </c>
      <c r="G40" s="3">
        <f>IFERROR(__xludf.DUMMYFUNCTION("""COMPUTED_VALUE"""),1.03913378957E9)</f>
        <v>1039133790</v>
      </c>
      <c r="H40" s="3"/>
      <c r="I40" s="3" t="str">
        <f>IFERROR(__xludf.DUMMYFUNCTION("""COMPUTED_VALUE"""),"PRODUKSI")</f>
        <v>PRODUKSI</v>
      </c>
    </row>
    <row r="41">
      <c r="A41" s="7">
        <f>IFERROR(__xludf.DUMMYFUNCTION("""COMPUTED_VALUE"""),46248.0)</f>
        <v>46248</v>
      </c>
      <c r="B41" s="3" t="str">
        <f>IFERROR(__xludf.DUMMYFUNCTION("""COMPUTED_VALUE"""),"TRSF E-BANKING DB")</f>
        <v>TRSF E-BANKING DB</v>
      </c>
      <c r="C41" s="3" t="str">
        <f>IFERROR(__xludf.DUMMYFUNCTION("""COMPUTED_VALUE"""),"1408/FTSCY/WS95031 16420957.00 EKO SETIYAWAN")</f>
        <v>1408/FTSCY/WS95031 16420957.00 EKO SETIYAWAN</v>
      </c>
      <c r="D41" s="3">
        <f>IFERROR(__xludf.DUMMYFUNCTION("""COMPUTED_VALUE"""),1.6420957E7)</f>
        <v>16420957</v>
      </c>
      <c r="E41" s="3"/>
      <c r="F41" s="3" t="str">
        <f>IFERROR(__xludf.DUMMYFUNCTION("""COMPUTED_VALUE"""),"DB")</f>
        <v>DB</v>
      </c>
      <c r="G41" s="3">
        <f>IFERROR(__xludf.DUMMYFUNCTION("""COMPUTED_VALUE"""),1.02271283257E9)</f>
        <v>1022712833</v>
      </c>
      <c r="H41" s="3"/>
      <c r="I41" s="3" t="str">
        <f>IFERROR(__xludf.DUMMYFUNCTION("""COMPUTED_VALUE"""),"PRODUKSI")</f>
        <v>PRODUKSI</v>
      </c>
    </row>
    <row r="42">
      <c r="A42" s="7">
        <f>IFERROR(__xludf.DUMMYFUNCTION("""COMPUTED_VALUE"""),46248.0)</f>
        <v>46248</v>
      </c>
      <c r="B42" s="3" t="str">
        <f>IFERROR(__xludf.DUMMYFUNCTION("""COMPUTED_VALUE"""),"TRSF E-BANKING DB")</f>
        <v>TRSF E-BANKING DB</v>
      </c>
      <c r="C42" s="3" t="str">
        <f>IFERROR(__xludf.DUMMYFUNCTION("""COMPUTED_VALUE"""),"1408/FTSCY/WS95031 1831520.00 HERMAWAN")</f>
        <v>1408/FTSCY/WS95031 1831520.00 HERMAWAN</v>
      </c>
      <c r="D42" s="3">
        <f>IFERROR(__xludf.DUMMYFUNCTION("""COMPUTED_VALUE"""),1831520.0)</f>
        <v>1831520</v>
      </c>
      <c r="E42" s="3"/>
      <c r="F42" s="3" t="str">
        <f>IFERROR(__xludf.DUMMYFUNCTION("""COMPUTED_VALUE"""),"DB")</f>
        <v>DB</v>
      </c>
      <c r="G42" s="3">
        <f>IFERROR(__xludf.DUMMYFUNCTION("""COMPUTED_VALUE"""),1.02088131257E9)</f>
        <v>1020881313</v>
      </c>
      <c r="H42" s="3">
        <f>IFERROR(__xludf.DUMMYFUNCTION("""COMPUTED_VALUE"""),1.02088131257E9)</f>
        <v>1020881313</v>
      </c>
      <c r="I42" s="3" t="str">
        <f>IFERROR(__xludf.DUMMYFUNCTION("""COMPUTED_VALUE"""),"PRODUKSI")</f>
        <v>PRODUKSI</v>
      </c>
    </row>
    <row r="43">
      <c r="A43" s="7">
        <f>IFERROR(__xludf.DUMMYFUNCTION("""COMPUTED_VALUE"""),46248.0)</f>
        <v>46248</v>
      </c>
      <c r="B43" s="3" t="str">
        <f>IFERROR(__xludf.DUMMYFUNCTION("""COMPUTED_VALUE"""),"TRSF E-BANKING DB")</f>
        <v>TRSF E-BANKING DB</v>
      </c>
      <c r="C43" s="3" t="str">
        <f>IFERROR(__xludf.DUMMYFUNCTION("""COMPUTED_VALUE"""),"1408/FTSCY/WS95031 3874340.00 DWI HERMANSYAH")</f>
        <v>1408/FTSCY/WS95031 3874340.00 DWI HERMANSYAH</v>
      </c>
      <c r="D43" s="3">
        <f>IFERROR(__xludf.DUMMYFUNCTION("""COMPUTED_VALUE"""),3874340.0)</f>
        <v>3874340</v>
      </c>
      <c r="E43" s="3"/>
      <c r="F43" s="3" t="str">
        <f>IFERROR(__xludf.DUMMYFUNCTION("""COMPUTED_VALUE"""),"DB")</f>
        <v>DB</v>
      </c>
      <c r="G43" s="3">
        <f>IFERROR(__xludf.DUMMYFUNCTION("""COMPUTED_VALUE"""),1.01700697257E9)</f>
        <v>1017006973</v>
      </c>
      <c r="H43" s="3">
        <f>IFERROR(__xludf.DUMMYFUNCTION("""COMPUTED_VALUE"""),1.01700697257E9)</f>
        <v>1017006973</v>
      </c>
      <c r="I43" s="3" t="str">
        <f>IFERROR(__xludf.DUMMYFUNCTION("""COMPUTED_VALUE"""),"PRODUKSI")</f>
        <v>PRODUKSI</v>
      </c>
    </row>
    <row r="44">
      <c r="A44" s="7">
        <f>IFERROR(__xludf.DUMMYFUNCTION("""COMPUTED_VALUE"""),46249.0)</f>
        <v>46249</v>
      </c>
      <c r="B44" s="3" t="str">
        <f>IFERROR(__xludf.DUMMYFUNCTION("""COMPUTED_VALUE"""),"TRSF E-BANKING DB TANGGAL :14/08")</f>
        <v>TRSF E-BANKING DB TANGGAL :14/08</v>
      </c>
      <c r="C44" s="3" t="str">
        <f>IFERROR(__xludf.DUMMYFUNCTION("""COMPUTED_VALUE"""),"1408/FTSCY/WS95271 Tue Aug 11 2026 14:00:00 GMT+0700 (Western Indonesia Time) BINTANG TAMA SANTO")</f>
        <v>1408/FTSCY/WS95271 Tue Aug 11 2026 14:00:00 GMT+0700 (Western Indonesia Time) BINTANG TAMA SANTO</v>
      </c>
      <c r="D44" s="3">
        <f>IFERROR(__xludf.DUMMYFUNCTION("""COMPUTED_VALUE"""),6.825175E7)</f>
        <v>68251750</v>
      </c>
      <c r="E44" s="3"/>
      <c r="F44" s="3" t="str">
        <f>IFERROR(__xludf.DUMMYFUNCTION("""COMPUTED_VALUE"""),"DB")</f>
        <v>DB</v>
      </c>
      <c r="G44" s="3">
        <f>IFERROR(__xludf.DUMMYFUNCTION("""COMPUTED_VALUE"""),9.4875522257E8)</f>
        <v>948755222.6</v>
      </c>
      <c r="H44" s="3"/>
      <c r="I44" s="3" t="str">
        <f>IFERROR(__xludf.DUMMYFUNCTION("""COMPUTED_VALUE"""),"PRODUKSI")</f>
        <v>PRODUKSI</v>
      </c>
    </row>
    <row r="45">
      <c r="A45" s="7">
        <f>IFERROR(__xludf.DUMMYFUNCTION("""COMPUTED_VALUE"""),46249.0)</f>
        <v>46249</v>
      </c>
      <c r="B45" s="3" t="str">
        <f>IFERROR(__xludf.DUMMYFUNCTION("""COMPUTED_VALUE"""),"TRSF E-BANKING DB TANGGAL :14/08")</f>
        <v>TRSF E-BANKING DB TANGGAL :14/08</v>
      </c>
      <c r="C45" s="3" t="str">
        <f>IFERROR(__xludf.DUMMYFUNCTION("""COMPUTED_VALUE"""),"1408/FTSCY/WS95271 Wed Aug 12 2026 14:00:00 GMT+0700 (Western Indonesia Time) ANUGERAH KARTIKA A")</f>
        <v>1408/FTSCY/WS95271 Wed Aug 12 2026 14:00:00 GMT+0700 (Western Indonesia Time) ANUGERAH KARTIKA A</v>
      </c>
      <c r="D45" s="3">
        <f>IFERROR(__xludf.DUMMYFUNCTION("""COMPUTED_VALUE"""),6.3591E7)</f>
        <v>63591000</v>
      </c>
      <c r="E45" s="3"/>
      <c r="F45" s="3" t="str">
        <f>IFERROR(__xludf.DUMMYFUNCTION("""COMPUTED_VALUE"""),"DB")</f>
        <v>DB</v>
      </c>
      <c r="G45" s="3">
        <f>IFERROR(__xludf.DUMMYFUNCTION("""COMPUTED_VALUE"""),8.8516422257E8)</f>
        <v>885164222.6</v>
      </c>
      <c r="H45" s="3"/>
      <c r="I45" s="3" t="str">
        <f>IFERROR(__xludf.DUMMYFUNCTION("""COMPUTED_VALUE"""),"PRODUKSI")</f>
        <v>PRODUKSI</v>
      </c>
    </row>
    <row r="46">
      <c r="A46" s="7">
        <f>IFERROR(__xludf.DUMMYFUNCTION("""COMPUTED_VALUE"""),46249.0)</f>
        <v>46249</v>
      </c>
      <c r="B46" s="3" t="str">
        <f>IFERROR(__xludf.DUMMYFUNCTION("""COMPUTED_VALUE"""),"TRSF E-BANKING DB TANGGAL :14/08")</f>
        <v>TRSF E-BANKING DB TANGGAL :14/08</v>
      </c>
      <c r="C46" s="3" t="str">
        <f>IFERROR(__xludf.DUMMYFUNCTION("""COMPUTED_VALUE"""),"1408/FTSCY/WS95271 Wed Aug 12 2026 14:00:00 GMT+0700 (Western Indonesia Time) BROILER MAKMUR TAN")</f>
        <v>1408/FTSCY/WS95271 Wed Aug 12 2026 14:00:00 GMT+0700 (Western Indonesia Time) BROILER MAKMUR TAN</v>
      </c>
      <c r="D46" s="3">
        <f>IFERROR(__xludf.DUMMYFUNCTION("""COMPUTED_VALUE"""),1.478716E8)</f>
        <v>147871600</v>
      </c>
      <c r="E46" s="3"/>
      <c r="F46" s="3" t="str">
        <f>IFERROR(__xludf.DUMMYFUNCTION("""COMPUTED_VALUE"""),"DB")</f>
        <v>DB</v>
      </c>
      <c r="G46" s="3">
        <f>IFERROR(__xludf.DUMMYFUNCTION("""COMPUTED_VALUE"""),7.3729262257E8)</f>
        <v>737292622.6</v>
      </c>
      <c r="H46" s="3"/>
      <c r="I46" s="3" t="str">
        <f>IFERROR(__xludf.DUMMYFUNCTION("""COMPUTED_VALUE"""),"PRODUKSI")</f>
        <v>PRODUKSI</v>
      </c>
    </row>
    <row r="47">
      <c r="A47" s="7">
        <f>IFERROR(__xludf.DUMMYFUNCTION("""COMPUTED_VALUE"""),46249.0)</f>
        <v>46249</v>
      </c>
      <c r="B47" s="3" t="str">
        <f>IFERROR(__xludf.DUMMYFUNCTION("""COMPUTED_VALUE"""),"TRSF E-BANKING DB TANGGAL :14/08")</f>
        <v>TRSF E-BANKING DB TANGGAL :14/08</v>
      </c>
      <c r="C47" s="3" t="str">
        <f>IFERROR(__xludf.DUMMYFUNCTION("""COMPUTED_VALUE"""),"1408/FTSCY/WS95271 ANUGERAH KARTIKA A")</f>
        <v>1408/FTSCY/WS95271 ANUGERAH KARTIKA A</v>
      </c>
      <c r="D47" s="3">
        <f>IFERROR(__xludf.DUMMYFUNCTION("""COMPUTED_VALUE"""),1.8868E7)</f>
        <v>18868000</v>
      </c>
      <c r="E47" s="3"/>
      <c r="F47" s="3" t="str">
        <f>IFERROR(__xludf.DUMMYFUNCTION("""COMPUTED_VALUE"""),"DB")</f>
        <v>DB</v>
      </c>
      <c r="G47" s="3">
        <f>IFERROR(__xludf.DUMMYFUNCTION("""COMPUTED_VALUE"""),7.1842462257E8)</f>
        <v>718424622.6</v>
      </c>
      <c r="H47" s="3"/>
      <c r="I47" s="3" t="str">
        <f>IFERROR(__xludf.DUMMYFUNCTION("""COMPUTED_VALUE"""),"PRODUKSI")</f>
        <v>PRODUKSI</v>
      </c>
    </row>
    <row r="48">
      <c r="A48" s="7">
        <f>IFERROR(__xludf.DUMMYFUNCTION("""COMPUTED_VALUE"""),46249.0)</f>
        <v>46249</v>
      </c>
      <c r="B48" s="3" t="str">
        <f>IFERROR(__xludf.DUMMYFUNCTION("""COMPUTED_VALUE"""),"TRSF E-BANKING DB TANGGAL :14/08")</f>
        <v>TRSF E-BANKING DB TANGGAL :14/08</v>
      </c>
      <c r="C48" s="3" t="str">
        <f>IFERROR(__xludf.DUMMYFUNCTION("""COMPUTED_VALUE"""),"1408/FTSCY/WS95011 krg 7.5 jt ANUGERAH KARTIKA A")</f>
        <v>1408/FTSCY/WS95011 krg 7.5 jt ANUGERAH KARTIKA A</v>
      </c>
      <c r="D48" s="3">
        <f>IFERROR(__xludf.DUMMYFUNCTION("""COMPUTED_VALUE"""),1.525E8)</f>
        <v>152500000</v>
      </c>
      <c r="E48" s="3"/>
      <c r="F48" s="3" t="str">
        <f>IFERROR(__xludf.DUMMYFUNCTION("""COMPUTED_VALUE"""),"DB")</f>
        <v>DB</v>
      </c>
      <c r="G48" s="3">
        <f>IFERROR(__xludf.DUMMYFUNCTION("""COMPUTED_VALUE"""),5.6592462257E8)</f>
        <v>565924622.6</v>
      </c>
      <c r="H48" s="3"/>
      <c r="I48" s="3" t="str">
        <f>IFERROR(__xludf.DUMMYFUNCTION("""COMPUTED_VALUE"""),"PRODUKSI")</f>
        <v>PRODUKSI</v>
      </c>
    </row>
    <row r="49">
      <c r="A49" s="7">
        <f>IFERROR(__xludf.DUMMYFUNCTION("""COMPUTED_VALUE"""),46249.0)</f>
        <v>46249</v>
      </c>
      <c r="B49" s="3" t="str">
        <f>IFERROR(__xludf.DUMMYFUNCTION("""COMPUTED_VALUE"""),"TRSF E-BANKING DB TANGGAL :14/08")</f>
        <v>TRSF E-BANKING DB TANGGAL :14/08</v>
      </c>
      <c r="C49" s="3" t="str">
        <f>IFERROR(__xludf.DUMMYFUNCTION("""COMPUTED_VALUE"""),"1408/FTSCY/WS95031 BELA PRAMUDITA")</f>
        <v>1408/FTSCY/WS95031 BELA PRAMUDITA</v>
      </c>
      <c r="D49" s="3">
        <f>IFERROR(__xludf.DUMMYFUNCTION("""COMPUTED_VALUE"""),1600000.0)</f>
        <v>1600000</v>
      </c>
      <c r="E49" s="3"/>
      <c r="F49" s="3" t="str">
        <f>IFERROR(__xludf.DUMMYFUNCTION("""COMPUTED_VALUE"""),"DB")</f>
        <v>DB</v>
      </c>
      <c r="G49" s="3">
        <f>IFERROR(__xludf.DUMMYFUNCTION("""COMPUTED_VALUE"""),5.8372462257E8)</f>
        <v>583724622.6</v>
      </c>
      <c r="H49" s="3"/>
      <c r="I49" s="3" t="str">
        <f>IFERROR(__xludf.DUMMYFUNCTION("""COMPUTED_VALUE"""),"PRODUKSI")</f>
        <v>PRODUKSI</v>
      </c>
    </row>
    <row r="50">
      <c r="A50" s="7">
        <f>IFERROR(__xludf.DUMMYFUNCTION("""COMPUTED_VALUE"""),46249.0)</f>
        <v>46249</v>
      </c>
      <c r="B50" s="3" t="str">
        <f>IFERROR(__xludf.DUMMYFUNCTION("""COMPUTED_VALUE"""),"TRSF E-BANKING DB")</f>
        <v>TRSF E-BANKING DB</v>
      </c>
      <c r="C50" s="3" t="str">
        <f>IFERROR(__xludf.DUMMYFUNCTION("""COMPUTED_VALUE"""),"1508/FTFVA/WS95031 55569/PT PRIMA FAJ lmjg - 40190")</f>
        <v>1508/FTFVA/WS95031 55569/PT PRIMA FAJ lmjg - 40190</v>
      </c>
      <c r="D50" s="3">
        <f>IFERROR(__xludf.DUMMYFUNCTION("""COMPUTED_VALUE"""),1.0E8)</f>
        <v>100000000</v>
      </c>
      <c r="E50" s="3"/>
      <c r="F50" s="3" t="str">
        <f>IFERROR(__xludf.DUMMYFUNCTION("""COMPUTED_VALUE"""),"DB")</f>
        <v>DB</v>
      </c>
      <c r="G50" s="3">
        <f>IFERROR(__xludf.DUMMYFUNCTION("""COMPUTED_VALUE"""),4.8372462257000005E8)</f>
        <v>483724622.6</v>
      </c>
      <c r="H50" s="3"/>
      <c r="I50" s="3" t="str">
        <f>IFERROR(__xludf.DUMMYFUNCTION("""COMPUTED_VALUE"""),"PRODUKSI")</f>
        <v>PRODUKSI</v>
      </c>
    </row>
    <row r="51">
      <c r="A51" s="7">
        <f>IFERROR(__xludf.DUMMYFUNCTION("""COMPUTED_VALUE"""),46249.0)</f>
        <v>46249</v>
      </c>
      <c r="B51" s="3" t="str">
        <f>IFERROR(__xludf.DUMMYFUNCTION("""COMPUTED_VALUE"""),"TRSF E-BANKING DB")</f>
        <v>TRSF E-BANKING DB</v>
      </c>
      <c r="C51" s="3" t="str">
        <f>IFERROR(__xludf.DUMMYFUNCTION("""COMPUTED_VALUE"""),"1508/FTSCY/WS95011 203916660.00 Sat Jun 13 2026 14:00:00 GMT+0700 (Western Indonesia Time) BINTANG TAMA SANTO")</f>
        <v>1508/FTSCY/WS95011 203916660.00 Sat Jun 13 2026 14:00:00 GMT+0700 (Western Indonesia Time) BINTANG TAMA SANTO</v>
      </c>
      <c r="D51" s="3">
        <f>IFERROR(__xludf.DUMMYFUNCTION("""COMPUTED_VALUE"""),2.0391666E8)</f>
        <v>203916660</v>
      </c>
      <c r="E51" s="3"/>
      <c r="F51" s="3" t="str">
        <f>IFERROR(__xludf.DUMMYFUNCTION("""COMPUTED_VALUE"""),"DB")</f>
        <v>DB</v>
      </c>
      <c r="G51" s="3">
        <f>IFERROR(__xludf.DUMMYFUNCTION("""COMPUTED_VALUE"""),2.7980796257000005E8)</f>
        <v>279807962.6</v>
      </c>
      <c r="H51" s="3"/>
      <c r="I51" s="3" t="str">
        <f>IFERROR(__xludf.DUMMYFUNCTION("""COMPUTED_VALUE"""),"PRODUKSI")</f>
        <v>PRODUKSI</v>
      </c>
    </row>
    <row r="52">
      <c r="A52" s="7">
        <f>IFERROR(__xludf.DUMMYFUNCTION("""COMPUTED_VALUE"""),46249.0)</f>
        <v>46249</v>
      </c>
      <c r="B52" s="3" t="str">
        <f>IFERROR(__xludf.DUMMYFUNCTION("""COMPUTED_VALUE"""),"TRSF E-BANKING DB")</f>
        <v>TRSF E-BANKING DB</v>
      </c>
      <c r="C52" s="3" t="str">
        <f>IFERROR(__xludf.DUMMYFUNCTION("""COMPUTED_VALUE"""),"1508/FTSCY/WS95011 147556500.00 Wed Aug 12 2026 14:00:00 GMT+0700 (Western Indonesia Time) GANESHA SATRIA NUS")</f>
        <v>1508/FTSCY/WS95011 147556500.00 Wed Aug 12 2026 14:00:00 GMT+0700 (Western Indonesia Time) GANESHA SATRIA NUS</v>
      </c>
      <c r="D52" s="3">
        <f>IFERROR(__xludf.DUMMYFUNCTION("""COMPUTED_VALUE"""),1.475565E8)</f>
        <v>147556500</v>
      </c>
      <c r="E52" s="3"/>
      <c r="F52" s="3" t="str">
        <f>IFERROR(__xludf.DUMMYFUNCTION("""COMPUTED_VALUE"""),"DB")</f>
        <v>DB</v>
      </c>
      <c r="G52" s="3">
        <f>IFERROR(__xludf.DUMMYFUNCTION("""COMPUTED_VALUE"""),1.3225146257000005E8)</f>
        <v>132251462.6</v>
      </c>
      <c r="H52" s="3"/>
      <c r="I52" s="3" t="str">
        <f>IFERROR(__xludf.DUMMYFUNCTION("""COMPUTED_VALUE"""),"PRODUKSI")</f>
        <v>PRODUKSI</v>
      </c>
    </row>
    <row r="53">
      <c r="A53" s="7">
        <f>IFERROR(__xludf.DUMMYFUNCTION("""COMPUTED_VALUE"""),46249.0)</f>
        <v>46249</v>
      </c>
      <c r="B53" s="3" t="str">
        <f>IFERROR(__xludf.DUMMYFUNCTION("""COMPUTED_VALUE"""),"TRSF E-BANKING DB")</f>
        <v>TRSF E-BANKING DB</v>
      </c>
      <c r="C53" s="3" t="str">
        <f>IFERROR(__xludf.DUMMYFUNCTION("""COMPUTED_VALUE"""),"1508/FTSCY/WS95031 7500000.00 pelunasan ANUGERAH KARTIKA A")</f>
        <v>1508/FTSCY/WS95031 7500000.00 pelunasan ANUGERAH KARTIKA A</v>
      </c>
      <c r="D53" s="3">
        <f>IFERROR(__xludf.DUMMYFUNCTION("""COMPUTED_VALUE"""),7500000.0)</f>
        <v>7500000</v>
      </c>
      <c r="E53" s="3"/>
      <c r="F53" s="3" t="str">
        <f>IFERROR(__xludf.DUMMYFUNCTION("""COMPUTED_VALUE"""),"DB")</f>
        <v>DB</v>
      </c>
      <c r="G53" s="3">
        <f>IFERROR(__xludf.DUMMYFUNCTION("""COMPUTED_VALUE"""),1.2475146257000005E8)</f>
        <v>124751462.6</v>
      </c>
      <c r="H53" s="3"/>
      <c r="I53" s="3" t="str">
        <f>IFERROR(__xludf.DUMMYFUNCTION("""COMPUTED_VALUE"""),"PRODUKSI")</f>
        <v>PRODUKSI</v>
      </c>
    </row>
    <row r="54">
      <c r="A54" s="7">
        <f>IFERROR(__xludf.DUMMYFUNCTION("""COMPUTED_VALUE"""),46249.0)</f>
        <v>46249</v>
      </c>
      <c r="B54" s="3" t="str">
        <f>IFERROR(__xludf.DUMMYFUNCTION("""COMPUTED_VALUE"""),"TRSF E-BANKING DB")</f>
        <v>TRSF E-BANKING DB</v>
      </c>
      <c r="C54" s="3" t="str">
        <f>IFERROR(__xludf.DUMMYFUNCTION("""COMPUTED_VALUE"""),"1508/FTFVA/WS95031 55574/GUNA MITRA S t.galek - 200177")</f>
        <v>1508/FTFVA/WS95031 55574/GUNA MITRA S t.galek - 200177</v>
      </c>
      <c r="D54" s="3">
        <f>IFERROR(__xludf.DUMMYFUNCTION("""COMPUTED_VALUE"""),7.162875E7)</f>
        <v>71628750</v>
      </c>
      <c r="E54" s="3"/>
      <c r="F54" s="3" t="str">
        <f>IFERROR(__xludf.DUMMYFUNCTION("""COMPUTED_VALUE"""),"DB")</f>
        <v>DB</v>
      </c>
      <c r="G54" s="3">
        <f>IFERROR(__xludf.DUMMYFUNCTION("""COMPUTED_VALUE"""),1.2872251257000005E8)</f>
        <v>128722512.6</v>
      </c>
      <c r="H54" s="3"/>
      <c r="I54" s="3" t="str">
        <f>IFERROR(__xludf.DUMMYFUNCTION("""COMPUTED_VALUE"""),"PRODUKSI")</f>
        <v>PRODUKSI</v>
      </c>
    </row>
    <row r="55">
      <c r="A55" s="7">
        <f>IFERROR(__xludf.DUMMYFUNCTION("""COMPUTED_VALUE"""),46249.0)</f>
        <v>46249</v>
      </c>
      <c r="B55" s="3" t="str">
        <f>IFERROR(__xludf.DUMMYFUNCTION("""COMPUTED_VALUE"""),"TRSF E-BANKING DB")</f>
        <v>TRSF E-BANKING DB</v>
      </c>
      <c r="C55" s="3" t="str">
        <f>IFERROR(__xludf.DUMMYFUNCTION("""COMPUTED_VALUE"""),"1508/FTFVA/WS95031 55569/PT PRIMA FAJ pelunasan - 40190")</f>
        <v>1508/FTFVA/WS95031 55569/PT PRIMA FAJ pelunasan - 40190</v>
      </c>
      <c r="D55" s="3">
        <f>IFERROR(__xludf.DUMMYFUNCTION("""COMPUTED_VALUE"""),1.140593E8)</f>
        <v>114059300</v>
      </c>
      <c r="E55" s="3"/>
      <c r="F55" s="3" t="str">
        <f>IFERROR(__xludf.DUMMYFUNCTION("""COMPUTED_VALUE"""),"DB")</f>
        <v>DB</v>
      </c>
      <c r="G55" s="3">
        <f>IFERROR(__xludf.DUMMYFUNCTION("""COMPUTED_VALUE"""),3.7050471457000005E8)</f>
        <v>370504714.6</v>
      </c>
      <c r="H55" s="3"/>
      <c r="I55" s="3" t="str">
        <f>IFERROR(__xludf.DUMMYFUNCTION("""COMPUTED_VALUE"""),"PRODUKSI")</f>
        <v>PRODUKSI</v>
      </c>
    </row>
    <row r="56">
      <c r="A56" s="7">
        <f>IFERROR(__xludf.DUMMYFUNCTION("""COMPUTED_VALUE"""),46249.0)</f>
        <v>46249</v>
      </c>
      <c r="B56" s="3" t="str">
        <f>IFERROR(__xludf.DUMMYFUNCTION("""COMPUTED_VALUE"""),"TRSF E-BANKING DB")</f>
        <v>TRSF E-BANKING DB</v>
      </c>
      <c r="C56" s="3" t="str">
        <f>IFERROR(__xludf.DUMMYFUNCTION("""COMPUTED_VALUE"""),"1508/FTSCY/WS95031 2972500.00 SUNARTO")</f>
        <v>1508/FTSCY/WS95031 2972500.00 SUNARTO</v>
      </c>
      <c r="D56" s="3">
        <f>IFERROR(__xludf.DUMMYFUNCTION("""COMPUTED_VALUE"""),2972500.0)</f>
        <v>2972500</v>
      </c>
      <c r="E56" s="3"/>
      <c r="F56" s="3" t="str">
        <f>IFERROR(__xludf.DUMMYFUNCTION("""COMPUTED_VALUE"""),"DB")</f>
        <v>DB</v>
      </c>
      <c r="G56" s="3">
        <f>IFERROR(__xludf.DUMMYFUNCTION("""COMPUTED_VALUE"""),7.6880749457E8)</f>
        <v>768807494.6</v>
      </c>
      <c r="H56" s="3"/>
      <c r="I56" s="3" t="str">
        <f>IFERROR(__xludf.DUMMYFUNCTION("""COMPUTED_VALUE"""),"PRODUKSI")</f>
        <v>PRODUKSI</v>
      </c>
    </row>
    <row r="57">
      <c r="A57" s="7">
        <f>IFERROR(__xludf.DUMMYFUNCTION("""COMPUTED_VALUE"""),46249.0)</f>
        <v>46249</v>
      </c>
      <c r="B57" s="3" t="str">
        <f>IFERROR(__xludf.DUMMYFUNCTION("""COMPUTED_VALUE"""),"TRSF E-BANKING DB")</f>
        <v>TRSF E-BANKING DB</v>
      </c>
      <c r="C57" s="3" t="str">
        <f>IFERROR(__xludf.DUMMYFUNCTION("""COMPUTED_VALUE"""),"1508/FTSCY/WS95271 199520750.00 Thu Aug 13 2026 14:00:00 GMT+0700 (Western Indonesia Time) GANESHA SATRIA NUS")</f>
        <v>1508/FTSCY/WS95271 199520750.00 Thu Aug 13 2026 14:00:00 GMT+0700 (Western Indonesia Time) GANESHA SATRIA NUS</v>
      </c>
      <c r="D57" s="3">
        <f>IFERROR(__xludf.DUMMYFUNCTION("""COMPUTED_VALUE"""),1.9952075E8)</f>
        <v>199520750</v>
      </c>
      <c r="E57" s="3"/>
      <c r="F57" s="3" t="str">
        <f>IFERROR(__xludf.DUMMYFUNCTION("""COMPUTED_VALUE"""),"DB")</f>
        <v>DB</v>
      </c>
      <c r="G57" s="3">
        <f>IFERROR(__xludf.DUMMYFUNCTION("""COMPUTED_VALUE"""),5.6928674457E8)</f>
        <v>569286744.6</v>
      </c>
      <c r="H57" s="3"/>
      <c r="I57" s="3" t="str">
        <f>IFERROR(__xludf.DUMMYFUNCTION("""COMPUTED_VALUE"""),"PRODUKSI")</f>
        <v>PRODUKSI</v>
      </c>
    </row>
    <row r="58">
      <c r="A58" s="7">
        <f>IFERROR(__xludf.DUMMYFUNCTION("""COMPUTED_VALUE"""),46249.0)</f>
        <v>46249</v>
      </c>
      <c r="B58" s="3" t="str">
        <f>IFERROR(__xludf.DUMMYFUNCTION("""COMPUTED_VALUE"""),"TRSF E-BANKING DB")</f>
        <v>TRSF E-BANKING DB</v>
      </c>
      <c r="C58" s="3" t="str">
        <f>IFERROR(__xludf.DUMMYFUNCTION("""COMPUTED_VALUE"""),"1508/FTSCY/WS95271 100000000.00 Thu Aug 13 2026 14:00:00 GMT+0700 (Western Indonesia Time) ANDALAN YASA MITRA")</f>
        <v>1508/FTSCY/WS95271 100000000.00 Thu Aug 13 2026 14:00:00 GMT+0700 (Western Indonesia Time) ANDALAN YASA MITRA</v>
      </c>
      <c r="D58" s="3">
        <f>IFERROR(__xludf.DUMMYFUNCTION("""COMPUTED_VALUE"""),1.0E8)</f>
        <v>100000000</v>
      </c>
      <c r="E58" s="3"/>
      <c r="F58" s="3" t="str">
        <f>IFERROR(__xludf.DUMMYFUNCTION("""COMPUTED_VALUE"""),"DB")</f>
        <v>DB</v>
      </c>
      <c r="G58" s="3">
        <f>IFERROR(__xludf.DUMMYFUNCTION("""COMPUTED_VALUE"""),4.6928674457000005E8)</f>
        <v>469286744.6</v>
      </c>
      <c r="H58" s="3"/>
      <c r="I58" s="3" t="str">
        <f>IFERROR(__xludf.DUMMYFUNCTION("""COMPUTED_VALUE"""),"PRODUKSI")</f>
        <v>PRODUKSI</v>
      </c>
    </row>
    <row r="59">
      <c r="A59" s="7">
        <f>IFERROR(__xludf.DUMMYFUNCTION("""COMPUTED_VALUE"""),46249.0)</f>
        <v>46249</v>
      </c>
      <c r="B59" s="3" t="str">
        <f>IFERROR(__xludf.DUMMYFUNCTION("""COMPUTED_VALUE"""),"TRSF E-BANKING DB")</f>
        <v>TRSF E-BANKING DB</v>
      </c>
      <c r="C59" s="3" t="str">
        <f>IFERROR(__xludf.DUMMYFUNCTION("""COMPUTED_VALUE"""),"1508/FTSCY/WS95031 84042000.00 Thu Aug 13 2026 14:00:00 GMT+0700 (Western Indonesia Time) TERNAK SEJATI TABA")</f>
        <v>1508/FTSCY/WS95031 84042000.00 Thu Aug 13 2026 14:00:00 GMT+0700 (Western Indonesia Time) TERNAK SEJATI TABA</v>
      </c>
      <c r="D59" s="3">
        <f>IFERROR(__xludf.DUMMYFUNCTION("""COMPUTED_VALUE"""),8.4042E7)</f>
        <v>84042000</v>
      </c>
      <c r="E59" s="3"/>
      <c r="F59" s="3" t="str">
        <f>IFERROR(__xludf.DUMMYFUNCTION("""COMPUTED_VALUE"""),"DB")</f>
        <v>DB</v>
      </c>
      <c r="G59" s="3">
        <f>IFERROR(__xludf.DUMMYFUNCTION("""COMPUTED_VALUE"""),3.8524474457000005E8)</f>
        <v>385244744.6</v>
      </c>
      <c r="H59" s="3">
        <f>IFERROR(__xludf.DUMMYFUNCTION("""COMPUTED_VALUE"""),3.8524474457E8)</f>
        <v>385244744.6</v>
      </c>
      <c r="I59" s="3" t="str">
        <f>IFERROR(__xludf.DUMMYFUNCTION("""COMPUTED_VALUE"""),"PRODUKSI")</f>
        <v>PRODUKSI</v>
      </c>
    </row>
    <row r="60">
      <c r="A60" s="7">
        <f>IFERROR(__xludf.DUMMYFUNCTION("""COMPUTED_VALUE"""),46249.0)</f>
        <v>46249</v>
      </c>
      <c r="B60" s="3" t="str">
        <f>IFERROR(__xludf.DUMMYFUNCTION("""COMPUTED_VALUE"""),"TRSF E-BANKING DB")</f>
        <v>TRSF E-BANKING DB</v>
      </c>
      <c r="C60" s="3" t="str">
        <f>IFERROR(__xludf.DUMMYFUNCTION("""COMPUTED_VALUE"""),"1508/FTSCY/WS95011 41000000.00 pelunasan ANDALAN YASA MITRA")</f>
        <v>1508/FTSCY/WS95011 41000000.00 pelunasan ANDALAN YASA MITRA</v>
      </c>
      <c r="D60" s="3">
        <f>IFERROR(__xludf.DUMMYFUNCTION("""COMPUTED_VALUE"""),4.1E7)</f>
        <v>41000000</v>
      </c>
      <c r="E60" s="3"/>
      <c r="F60" s="3" t="str">
        <f>IFERROR(__xludf.DUMMYFUNCTION("""COMPUTED_VALUE"""),"DB")</f>
        <v>DB</v>
      </c>
      <c r="G60" s="3">
        <f>IFERROR(__xludf.DUMMYFUNCTION("""COMPUTED_VALUE"""),4.1542889457000005E8)</f>
        <v>415428894.6</v>
      </c>
      <c r="H60" s="3"/>
      <c r="I60" s="3" t="str">
        <f>IFERROR(__xludf.DUMMYFUNCTION("""COMPUTED_VALUE"""),"PRODUKSI")</f>
        <v>PRODUKSI</v>
      </c>
    </row>
    <row r="61">
      <c r="A61" s="7">
        <f>IFERROR(__xludf.DUMMYFUNCTION("""COMPUTED_VALUE"""),46249.0)</f>
        <v>46249</v>
      </c>
      <c r="B61" s="3" t="str">
        <f>IFERROR(__xludf.DUMMYFUNCTION("""COMPUTED_VALUE"""),"TRSF E-BANKING DB")</f>
        <v>TRSF E-BANKING DB</v>
      </c>
      <c r="C61" s="3" t="str">
        <f>IFERROR(__xludf.DUMMYFUNCTION("""COMPUTED_VALUE"""),"1508/FTSCY/WS95011 72512600.00 Thu Aug 13 2026 14:00:00 GMT+0700 (Western Indonesia Time) TABASSAM AL HATTAK")</f>
        <v>1508/FTSCY/WS95011 72512600.00 Thu Aug 13 2026 14:00:00 GMT+0700 (Western Indonesia Time) TABASSAM AL HATTAK</v>
      </c>
      <c r="D61" s="3">
        <f>IFERROR(__xludf.DUMMYFUNCTION("""COMPUTED_VALUE"""),7.25126E7)</f>
        <v>72512600</v>
      </c>
      <c r="E61" s="3"/>
      <c r="F61" s="3" t="str">
        <f>IFERROR(__xludf.DUMMYFUNCTION("""COMPUTED_VALUE"""),"DB")</f>
        <v>DB</v>
      </c>
      <c r="G61" s="3">
        <f>IFERROR(__xludf.DUMMYFUNCTION("""COMPUTED_VALUE"""),3.4291629457000005E8)</f>
        <v>342916294.6</v>
      </c>
      <c r="H61" s="3">
        <f>IFERROR(__xludf.DUMMYFUNCTION("""COMPUTED_VALUE"""),3.4291629457E8)</f>
        <v>342916294.6</v>
      </c>
      <c r="I61" s="3" t="str">
        <f>IFERROR(__xludf.DUMMYFUNCTION("""COMPUTED_VALUE"""),"PRODUKSI")</f>
        <v>PRODUKSI</v>
      </c>
    </row>
    <row r="62">
      <c r="A62" s="7">
        <f>IFERROR(__xludf.DUMMYFUNCTION("""COMPUTED_VALUE"""),46250.0)</f>
        <v>46250</v>
      </c>
      <c r="B62" s="3" t="str">
        <f>IFERROR(__xludf.DUMMYFUNCTION("""COMPUTED_VALUE"""),"TRSF E-BANKING DB")</f>
        <v>TRSF E-BANKING DB</v>
      </c>
      <c r="C62" s="3" t="str">
        <f>IFERROR(__xludf.DUMMYFUNCTION("""COMPUTED_VALUE"""),"1608/FTSCY/WS95031 100000000.00 Mon Aug 10 2026 14:00:00 GMT+0700 (Western Indonesia Time) LAJU SATWA WISESA")</f>
        <v>1608/FTSCY/WS95031 100000000.00 Mon Aug 10 2026 14:00:00 GMT+0700 (Western Indonesia Time) LAJU SATWA WISESA</v>
      </c>
      <c r="D62" s="3">
        <f>IFERROR(__xludf.DUMMYFUNCTION("""COMPUTED_VALUE"""),1.0E8)</f>
        <v>100000000</v>
      </c>
      <c r="E62" s="3"/>
      <c r="F62" s="3" t="str">
        <f>IFERROR(__xludf.DUMMYFUNCTION("""COMPUTED_VALUE"""),"DB")</f>
        <v>DB</v>
      </c>
      <c r="G62" s="3">
        <f>IFERROR(__xludf.DUMMYFUNCTION("""COMPUTED_VALUE"""),3.4291629457000005E8)</f>
        <v>342916294.6</v>
      </c>
      <c r="H62" s="3"/>
      <c r="I62" s="3" t="str">
        <f>IFERROR(__xludf.DUMMYFUNCTION("""COMPUTED_VALUE"""),"PRODUKSI")</f>
        <v>PRODUKSI</v>
      </c>
    </row>
    <row r="63">
      <c r="A63" s="7">
        <f>IFERROR(__xludf.DUMMYFUNCTION("""COMPUTED_VALUE"""),46250.0)</f>
        <v>46250</v>
      </c>
      <c r="B63" s="3" t="str">
        <f>IFERROR(__xludf.DUMMYFUNCTION("""COMPUTED_VALUE"""),"TRSF E-BANKING DB")</f>
        <v>TRSF E-BANKING DB</v>
      </c>
      <c r="C63" s="3" t="str">
        <f>IFERROR(__xludf.DUMMYFUNCTION("""COMPUTED_VALUE"""),"1608/FTSCY/WS95271 20608000.00 pelunasan LAJU SATWA WISESA")</f>
        <v>1608/FTSCY/WS95271 20608000.00 pelunasan LAJU SATWA WISESA</v>
      </c>
      <c r="D63" s="3">
        <f>IFERROR(__xludf.DUMMYFUNCTION("""COMPUTED_VALUE"""),2.0608E7)</f>
        <v>20608000</v>
      </c>
      <c r="E63" s="3"/>
      <c r="F63" s="3" t="str">
        <f>IFERROR(__xludf.DUMMYFUNCTION("""COMPUTED_VALUE"""),"DB")</f>
        <v>DB</v>
      </c>
      <c r="G63" s="3">
        <f>IFERROR(__xludf.DUMMYFUNCTION("""COMPUTED_VALUE"""),3.2230829457000005E8)</f>
        <v>322308294.6</v>
      </c>
      <c r="H63" s="3"/>
      <c r="I63" s="3" t="str">
        <f>IFERROR(__xludf.DUMMYFUNCTION("""COMPUTED_VALUE"""),"PRODUKSI")</f>
        <v>PRODUKSI</v>
      </c>
    </row>
    <row r="64">
      <c r="A64" s="7">
        <f>IFERROR(__xludf.DUMMYFUNCTION("""COMPUTED_VALUE"""),46250.0)</f>
        <v>46250</v>
      </c>
      <c r="B64" s="3" t="str">
        <f>IFERROR(__xludf.DUMMYFUNCTION("""COMPUTED_VALUE"""),"TRSF E-BANKING DB")</f>
        <v>TRSF E-BANKING DB</v>
      </c>
      <c r="C64" s="3" t="str">
        <f>IFERROR(__xludf.DUMMYFUNCTION("""COMPUTED_VALUE"""),"1608/FTSCY/WS95271 86981400.00 Fri Aug 14 2026 14:00:00 GMT+0700 (Western Indonesia Time) TABASSAM JAYA FARM")</f>
        <v>1608/FTSCY/WS95271 86981400.00 Fri Aug 14 2026 14:00:00 GMT+0700 (Western Indonesia Time) TABASSAM JAYA FARM</v>
      </c>
      <c r="D64" s="3">
        <f>IFERROR(__xludf.DUMMYFUNCTION("""COMPUTED_VALUE"""),8.69814E7)</f>
        <v>86981400</v>
      </c>
      <c r="E64" s="3"/>
      <c r="F64" s="3" t="str">
        <f>IFERROR(__xludf.DUMMYFUNCTION("""COMPUTED_VALUE"""),"DB")</f>
        <v>DB</v>
      </c>
      <c r="G64" s="3">
        <f>IFERROR(__xludf.DUMMYFUNCTION("""COMPUTED_VALUE"""),2.3532689457000005E8)</f>
        <v>235326894.6</v>
      </c>
      <c r="H64" s="3"/>
      <c r="I64" s="3" t="str">
        <f>IFERROR(__xludf.DUMMYFUNCTION("""COMPUTED_VALUE"""),"PRODUKSI")</f>
        <v>PRODUKSI</v>
      </c>
    </row>
    <row r="65">
      <c r="A65" s="7">
        <f>IFERROR(__xludf.DUMMYFUNCTION("""COMPUTED_VALUE"""),46250.0)</f>
        <v>46250</v>
      </c>
      <c r="B65" s="3" t="str">
        <f>IFERROR(__xludf.DUMMYFUNCTION("""COMPUTED_VALUE"""),"TRSF E-BANKING DB")</f>
        <v>TRSF E-BANKING DB</v>
      </c>
      <c r="C65" s="3" t="str">
        <f>IFERROR(__xludf.DUMMYFUNCTION("""COMPUTED_VALUE"""),"1608/FTSCY/WS95271 70830000.00 Thu Aug 13 2026 14:00:00 GMT+0700 (Western Indonesia Time) RUKUN MITRA BERSAM")</f>
        <v>1608/FTSCY/WS95271 70830000.00 Thu Aug 13 2026 14:00:00 GMT+0700 (Western Indonesia Time) RUKUN MITRA BERSAM</v>
      </c>
      <c r="D65" s="3">
        <f>IFERROR(__xludf.DUMMYFUNCTION("""COMPUTED_VALUE"""),7.083E7)</f>
        <v>70830000</v>
      </c>
      <c r="E65" s="3"/>
      <c r="F65" s="3" t="str">
        <f>IFERROR(__xludf.DUMMYFUNCTION("""COMPUTED_VALUE"""),"DB")</f>
        <v>DB</v>
      </c>
      <c r="G65" s="3">
        <f>IFERROR(__xludf.DUMMYFUNCTION("""COMPUTED_VALUE"""),1.6449689457000005E8)</f>
        <v>164496894.6</v>
      </c>
      <c r="H65" s="3"/>
      <c r="I65" s="3" t="str">
        <f>IFERROR(__xludf.DUMMYFUNCTION("""COMPUTED_VALUE"""),"PRODUKSI")</f>
        <v>PRODUKSI</v>
      </c>
    </row>
    <row r="66">
      <c r="A66" s="7">
        <f>IFERROR(__xludf.DUMMYFUNCTION("""COMPUTED_VALUE"""),46250.0)</f>
        <v>46250</v>
      </c>
      <c r="B66" s="3" t="str">
        <f>IFERROR(__xludf.DUMMYFUNCTION("""COMPUTED_VALUE"""),"TRSF E-BANKING DB")</f>
        <v>TRSF E-BANKING DB</v>
      </c>
      <c r="C66" s="3" t="str">
        <f>IFERROR(__xludf.DUMMYFUNCTION("""COMPUTED_VALUE"""),"1608/FTSCY/WS95271 76574750.00 Thu Aug 13 2026 14:00:00 GMT+0700 (Western Indonesia Time) BINTANG TAMA SANTO")</f>
        <v>1608/FTSCY/WS95271 76574750.00 Thu Aug 13 2026 14:00:00 GMT+0700 (Western Indonesia Time) BINTANG TAMA SANTO</v>
      </c>
      <c r="D66" s="3">
        <f>IFERROR(__xludf.DUMMYFUNCTION("""COMPUTED_VALUE"""),7.657475E7)</f>
        <v>76574750</v>
      </c>
      <c r="E66" s="3"/>
      <c r="F66" s="3" t="str">
        <f>IFERROR(__xludf.DUMMYFUNCTION("""COMPUTED_VALUE"""),"DB")</f>
        <v>DB</v>
      </c>
      <c r="G66" s="3">
        <f>IFERROR(__xludf.DUMMYFUNCTION("""COMPUTED_VALUE"""),8.792214457000005E7)</f>
        <v>87922144.57</v>
      </c>
      <c r="H66" s="3"/>
      <c r="I66" s="3" t="str">
        <f>IFERROR(__xludf.DUMMYFUNCTION("""COMPUTED_VALUE"""),"PRODUKSI")</f>
        <v>PRODUKSI</v>
      </c>
    </row>
    <row r="67">
      <c r="A67" s="7">
        <f>IFERROR(__xludf.DUMMYFUNCTION("""COMPUTED_VALUE"""),46250.0)</f>
        <v>46250</v>
      </c>
      <c r="B67" s="3" t="str">
        <f>IFERROR(__xludf.DUMMYFUNCTION("""COMPUTED_VALUE"""),"TRSF E-BANKING DB")</f>
        <v>TRSF E-BANKING DB</v>
      </c>
      <c r="C67" s="3" t="str">
        <f>IFERROR(__xludf.DUMMYFUNCTION("""COMPUTED_VALUE"""),"1608/FTSCY/WS95011 78767300.00 Thu Aug 13 2026 14:00:00 GMT+0700 (Western Indonesia Time) PITIK DIGITAL INDO")</f>
        <v>1608/FTSCY/WS95011 78767300.00 Thu Aug 13 2026 14:00:00 GMT+0700 (Western Indonesia Time) PITIK DIGITAL INDO</v>
      </c>
      <c r="D67" s="3">
        <f>IFERROR(__xludf.DUMMYFUNCTION("""COMPUTED_VALUE"""),7.87673E7)</f>
        <v>78767300</v>
      </c>
      <c r="E67" s="3"/>
      <c r="F67" s="3" t="str">
        <f>IFERROR(__xludf.DUMMYFUNCTION("""COMPUTED_VALUE"""),"DB")</f>
        <v>DB</v>
      </c>
      <c r="G67" s="3">
        <f>IFERROR(__xludf.DUMMYFUNCTION("""COMPUTED_VALUE"""),9154844.570000052)</f>
        <v>9154844.57</v>
      </c>
      <c r="H67" s="3"/>
      <c r="I67" s="3" t="str">
        <f>IFERROR(__xludf.DUMMYFUNCTION("""COMPUTED_VALUE"""),"PRODUKSI")</f>
        <v>PRODUKSI</v>
      </c>
    </row>
    <row r="68">
      <c r="A68" s="7">
        <f>IFERROR(__xludf.DUMMYFUNCTION("""COMPUTED_VALUE"""),46250.0)</f>
        <v>46250</v>
      </c>
      <c r="B68" s="3" t="str">
        <f>IFERROR(__xludf.DUMMYFUNCTION("""COMPUTED_VALUE"""),"TRSF E-BANKING DB")</f>
        <v>TRSF E-BANKING DB</v>
      </c>
      <c r="C68" s="3" t="str">
        <f>IFERROR(__xludf.DUMMYFUNCTION("""COMPUTED_VALUE"""),"1608/FTSCY/WS95271 1000000.00 HERMAWAN")</f>
        <v>1608/FTSCY/WS95271 1000000.00 HERMAWAN</v>
      </c>
      <c r="D68" s="3">
        <f>IFERROR(__xludf.DUMMYFUNCTION("""COMPUTED_VALUE"""),1000000.0)</f>
        <v>1000000</v>
      </c>
      <c r="E68" s="3"/>
      <c r="F68" s="3" t="str">
        <f>IFERROR(__xludf.DUMMYFUNCTION("""COMPUTED_VALUE"""),"DB")</f>
        <v>DB</v>
      </c>
      <c r="G68" s="3">
        <f>IFERROR(__xludf.DUMMYFUNCTION("""COMPUTED_VALUE"""),8154844.570000052)</f>
        <v>8154844.57</v>
      </c>
      <c r="H68" s="3"/>
      <c r="I68" s="3" t="str">
        <f>IFERROR(__xludf.DUMMYFUNCTION("""COMPUTED_VALUE"""),"PRODUKSI")</f>
        <v>PRODUKSI</v>
      </c>
    </row>
    <row r="69">
      <c r="A69" s="7">
        <f>IFERROR(__xludf.DUMMYFUNCTION("""COMPUTED_VALUE"""),46250.0)</f>
        <v>46250</v>
      </c>
      <c r="B69" s="3" t="str">
        <f>IFERROR(__xludf.DUMMYFUNCTION("""COMPUTED_VALUE"""),"TRSF E-BANKING DB")</f>
        <v>TRSF E-BANKING DB</v>
      </c>
      <c r="C69" s="3" t="str">
        <f>IFERROR(__xludf.DUMMYFUNCTION("""COMPUTED_VALUE"""),"1608/FTSCY/WS95271 1000000.00 DWI HERMANSYAH")</f>
        <v>1608/FTSCY/WS95271 1000000.00 DWI HERMANSYAH</v>
      </c>
      <c r="D69" s="3">
        <f>IFERROR(__xludf.DUMMYFUNCTION("""COMPUTED_VALUE"""),1000000.0)</f>
        <v>1000000</v>
      </c>
      <c r="E69" s="3"/>
      <c r="F69" s="3" t="str">
        <f>IFERROR(__xludf.DUMMYFUNCTION("""COMPUTED_VALUE"""),"DB")</f>
        <v>DB</v>
      </c>
      <c r="G69" s="3">
        <f>IFERROR(__xludf.DUMMYFUNCTION("""COMPUTED_VALUE"""),7154844.570000052)</f>
        <v>7154844.57</v>
      </c>
      <c r="H69" s="3"/>
      <c r="I69" s="3" t="str">
        <f>IFERROR(__xludf.DUMMYFUNCTION("""COMPUTED_VALUE"""),"PRODUKSI")</f>
        <v>PRODUKSI</v>
      </c>
    </row>
    <row r="70">
      <c r="A70" s="7">
        <f>IFERROR(__xludf.DUMMYFUNCTION("""COMPUTED_VALUE"""),46250.0)</f>
        <v>46250</v>
      </c>
      <c r="B70" s="3" t="str">
        <f>IFERROR(__xludf.DUMMYFUNCTION("""COMPUTED_VALUE"""),"TRSF E-BANKING DB")</f>
        <v>TRSF E-BANKING DB</v>
      </c>
      <c r="C70" s="3" t="str">
        <f>IFERROR(__xludf.DUMMYFUNCTION("""COMPUTED_VALUE"""),"1608/FTSCY/WS95271 1350000.00 MUJIANTO")</f>
        <v>1608/FTSCY/WS95271 1350000.00 MUJIANTO</v>
      </c>
      <c r="D70" s="3">
        <f>IFERROR(__xludf.DUMMYFUNCTION("""COMPUTED_VALUE"""),1350000.0)</f>
        <v>1350000</v>
      </c>
      <c r="E70" s="3"/>
      <c r="F70" s="3" t="str">
        <f>IFERROR(__xludf.DUMMYFUNCTION("""COMPUTED_VALUE"""),"DB")</f>
        <v>DB</v>
      </c>
      <c r="G70" s="3">
        <f>IFERROR(__xludf.DUMMYFUNCTION("""COMPUTED_VALUE"""),5804844.570000052)</f>
        <v>5804844.57</v>
      </c>
      <c r="H70" s="3">
        <f>IFERROR(__xludf.DUMMYFUNCTION("""COMPUTED_VALUE"""),5804844.57)</f>
        <v>5804844.57</v>
      </c>
      <c r="I70" s="3" t="str">
        <f>IFERROR(__xludf.DUMMYFUNCTION("""COMPUTED_VALUE"""),"PRODUKSI")</f>
        <v>PRODUKSI</v>
      </c>
    </row>
    <row r="71">
      <c r="A71" s="7">
        <f>IFERROR(__xludf.DUMMYFUNCTION("""COMPUTED_VALUE"""),46250.0)</f>
        <v>46250</v>
      </c>
      <c r="B71" s="3" t="str">
        <f>IFERROR(__xludf.DUMMYFUNCTION("""COMPUTED_VALUE"""),"BI-FAST DB")</f>
        <v>BI-FAST DB</v>
      </c>
      <c r="C71" s="3" t="str">
        <f>IFERROR(__xludf.DUMMYFUNCTION("""COMPUTED_VALUE"""),"BIF TRANSFER KE 8 MISWATI M-BCA")</f>
        <v>BIF TRANSFER KE 8 MISWATI M-BCA</v>
      </c>
      <c r="D71" s="3">
        <f>IFERROR(__xludf.DUMMYFUNCTION("""COMPUTED_VALUE"""),1500000.0)</f>
        <v>1500000</v>
      </c>
      <c r="E71" s="3"/>
      <c r="F71" s="3" t="str">
        <f>IFERROR(__xludf.DUMMYFUNCTION("""COMPUTED_VALUE"""),"DB")</f>
        <v>DB</v>
      </c>
      <c r="G71" s="3">
        <f>IFERROR(__xludf.DUMMYFUNCTION("""COMPUTED_VALUE"""),4304844.570000052)</f>
        <v>4304844.57</v>
      </c>
      <c r="H71" s="3">
        <f>IFERROR(__xludf.DUMMYFUNCTION("""COMPUTED_VALUE"""),4304844.57)</f>
        <v>4304844.57</v>
      </c>
      <c r="I71" s="3" t="str">
        <f>IFERROR(__xludf.DUMMYFUNCTION("""COMPUTED_VALUE"""),"PRODUKSI")</f>
        <v>PRODUKSI</v>
      </c>
    </row>
    <row r="72">
      <c r="A72" s="7">
        <f>IFERROR(__xludf.DUMMYFUNCTION("""COMPUTED_VALUE"""),46250.0)</f>
        <v>46250</v>
      </c>
      <c r="B72" s="3" t="str">
        <f>IFERROR(__xludf.DUMMYFUNCTION("""COMPUTED_VALUE"""),"BI-FAST DB")</f>
        <v>BI-FAST DB</v>
      </c>
      <c r="C72" s="3" t="str">
        <f>IFERROR(__xludf.DUMMYFUNCTION("""COMPUTED_VALUE"""),"BIF BIAYA TXN KE 8 MISWATI M-BCA")</f>
        <v>BIF BIAYA TXN KE 8 MISWATI M-BCA</v>
      </c>
      <c r="D72" s="3">
        <f>IFERROR(__xludf.DUMMYFUNCTION("""COMPUTED_VALUE"""),2500.0)</f>
        <v>2500</v>
      </c>
      <c r="E72" s="3"/>
      <c r="F72" s="3" t="str">
        <f>IFERROR(__xludf.DUMMYFUNCTION("""COMPUTED_VALUE"""),"DB")</f>
        <v>DB</v>
      </c>
      <c r="G72" s="3">
        <f>IFERROR(__xludf.DUMMYFUNCTION("""COMPUTED_VALUE"""),4302344.570000052)</f>
        <v>4302344.57</v>
      </c>
      <c r="H72" s="3"/>
      <c r="I72" s="3" t="str">
        <f>IFERROR(__xludf.DUMMYFUNCTION("""COMPUTED_VALUE"""),"PRODUKSI")</f>
        <v>PRODUKSI</v>
      </c>
    </row>
    <row r="73">
      <c r="A73" s="7">
        <f>IFERROR(__xludf.DUMMYFUNCTION("""COMPUTED_VALUE"""),46250.0)</f>
        <v>46250</v>
      </c>
      <c r="B73" s="3" t="str">
        <f>IFERROR(__xludf.DUMMYFUNCTION("""COMPUTED_VALUE"""),"BI-FAST DB")</f>
        <v>BI-FAST DB</v>
      </c>
      <c r="C73" s="3" t="str">
        <f>IFERROR(__xludf.DUMMYFUNCTION("""COMPUTED_VALUE"""),"BIF TRANSFER KE 11 ADIRA MUHAMMAD HAI M-BCA")</f>
        <v>BIF TRANSFER KE 11 ADIRA MUHAMMAD HAI M-BCA</v>
      </c>
      <c r="D73" s="3">
        <f>IFERROR(__xludf.DUMMYFUNCTION("""COMPUTED_VALUE"""),2641000.0)</f>
        <v>2641000</v>
      </c>
      <c r="E73" s="3"/>
      <c r="F73" s="3" t="str">
        <f>IFERROR(__xludf.DUMMYFUNCTION("""COMPUTED_VALUE"""),"DB")</f>
        <v>DB</v>
      </c>
      <c r="G73" s="3">
        <f>IFERROR(__xludf.DUMMYFUNCTION("""COMPUTED_VALUE"""),1661344.5700000525)</f>
        <v>1661344.57</v>
      </c>
      <c r="H73" s="3"/>
      <c r="I73" s="3" t="str">
        <f>IFERROR(__xludf.DUMMYFUNCTION("""COMPUTED_VALUE"""),"PRODUKSI")</f>
        <v>PRODUKSI</v>
      </c>
    </row>
    <row r="74">
      <c r="A74" s="7">
        <f>IFERROR(__xludf.DUMMYFUNCTION("""COMPUTED_VALUE"""),46250.0)</f>
        <v>46250</v>
      </c>
      <c r="B74" s="3" t="str">
        <f>IFERROR(__xludf.DUMMYFUNCTION("""COMPUTED_VALUE"""),"BI-FAST DB")</f>
        <v>BI-FAST DB</v>
      </c>
      <c r="C74" s="3" t="str">
        <f>IFERROR(__xludf.DUMMYFUNCTION("""COMPUTED_VALUE"""),"BIF BIAYA TXN KE 11 ADIRA MUHAMMAD HAI M-BCA")</f>
        <v>BIF BIAYA TXN KE 11 ADIRA MUHAMMAD HAI M-BCA</v>
      </c>
      <c r="D74" s="3">
        <f>IFERROR(__xludf.DUMMYFUNCTION("""COMPUTED_VALUE"""),2500.0)</f>
        <v>2500</v>
      </c>
      <c r="E74" s="3"/>
      <c r="F74" s="3" t="str">
        <f>IFERROR(__xludf.DUMMYFUNCTION("""COMPUTED_VALUE"""),"DB")</f>
        <v>DB</v>
      </c>
      <c r="G74" s="3">
        <f>IFERROR(__xludf.DUMMYFUNCTION("""COMPUTED_VALUE"""),1658844.5700000525)</f>
        <v>1658844.57</v>
      </c>
      <c r="H74" s="3"/>
      <c r="I74" s="3" t="str">
        <f>IFERROR(__xludf.DUMMYFUNCTION("""COMPUTED_VALUE"""),"PRODUKSI")</f>
        <v>PRODUKSI</v>
      </c>
    </row>
    <row r="75">
      <c r="A75" s="7">
        <f>IFERROR(__xludf.DUMMYFUNCTION("""COMPUTED_VALUE"""),46250.0)</f>
        <v>46250</v>
      </c>
      <c r="B75" s="3" t="str">
        <f>IFERROR(__xludf.DUMMYFUNCTION("""COMPUTED_VALUE"""),"KARTU DEBIT")</f>
        <v>KARTU DEBIT</v>
      </c>
      <c r="C75" s="3" t="str">
        <f>IFERROR(__xludf.DUMMYFUNCTION("""COMPUTED_VALUE"""),"CONATO BAKERY NICO 6019009510239343")</f>
        <v>CONATO BAKERY NICO 6019009510239343</v>
      </c>
      <c r="D75" s="3">
        <f>IFERROR(__xludf.DUMMYFUNCTION("""COMPUTED_VALUE"""),64000.0)</f>
        <v>64000</v>
      </c>
      <c r="E75" s="3"/>
      <c r="F75" s="3"/>
      <c r="G75" s="3">
        <f>IFERROR(__xludf.DUMMYFUNCTION("""COMPUTED_VALUE"""),7.785114457000005E7)</f>
        <v>77851144.57</v>
      </c>
      <c r="H75" s="3"/>
      <c r="I75" s="3" t="str">
        <f>IFERROR(__xludf.DUMMYFUNCTION("""COMPUTED_VALUE"""),"PRODUKSI")</f>
        <v>PRODUKSI</v>
      </c>
    </row>
    <row r="76">
      <c r="A76" s="7">
        <f>IFERROR(__xludf.DUMMYFUNCTION("""COMPUTED_VALUE"""),46250.0)</f>
        <v>46250</v>
      </c>
      <c r="B76" s="3" t="str">
        <f>IFERROR(__xludf.DUMMYFUNCTION("""COMPUTED_VALUE"""),"BYR VIA E-BANKING")</f>
        <v>BYR VIA E-BANKING</v>
      </c>
      <c r="C76" s="3" t="str">
        <f>IFERROR(__xludf.DUMMYFUNCTION("""COMPUTED_VALUE"""),"16/08  WSID9503101 1220 TELKOMSEL 82318368518 MUHAMMAD HAIRUL MA")</f>
        <v>16/08  WSID9503101 1220 TELKOMSEL 82318368518 MUHAMMAD HAIRUL MA</v>
      </c>
      <c r="D76" s="3">
        <f>IFERROR(__xludf.DUMMYFUNCTION("""COMPUTED_VALUE"""),27000.0)</f>
        <v>27000</v>
      </c>
      <c r="E76" s="3"/>
      <c r="F76" s="3"/>
      <c r="G76" s="3">
        <f>IFERROR(__xludf.DUMMYFUNCTION("""COMPUTED_VALUE"""),7.782414457000005E7)</f>
        <v>77824144.57</v>
      </c>
      <c r="H76" s="3"/>
      <c r="I76" s="3" t="str">
        <f>IFERROR(__xludf.DUMMYFUNCTION("""COMPUTED_VALUE"""),"PRODUKSI")</f>
        <v>PRODUKSI</v>
      </c>
    </row>
    <row r="77">
      <c r="A77" s="7">
        <f>IFERROR(__xludf.DUMMYFUNCTION("""COMPUTED_VALUE"""),46250.0)</f>
        <v>46250</v>
      </c>
      <c r="B77" s="3" t="str">
        <f>IFERROR(__xludf.DUMMYFUNCTION("""COMPUTED_VALUE"""),"TARIKAN ATM 16/08")</f>
        <v>TARIKAN ATM 16/08</v>
      </c>
      <c r="C77" s="3" t="str">
        <f>IFERROR(__xludf.DUMMYFUNCTION("""COMPUTED_VALUE"""),"TARIKAN ATM 16/08")</f>
        <v>TARIKAN ATM 16/08</v>
      </c>
      <c r="D77" s="3">
        <f>IFERROR(__xludf.DUMMYFUNCTION("""COMPUTED_VALUE"""),200000.0)</f>
        <v>200000</v>
      </c>
      <c r="E77" s="3"/>
      <c r="F77" s="3"/>
      <c r="G77" s="3">
        <f>IFERROR(__xludf.DUMMYFUNCTION("""COMPUTED_VALUE"""),7.762414457000005E7)</f>
        <v>77624144.57</v>
      </c>
      <c r="H77" s="3"/>
      <c r="I77" s="3" t="str">
        <f>IFERROR(__xludf.DUMMYFUNCTION("""COMPUTED_VALUE"""),"PRODUKSI")</f>
        <v>PRODUKSI</v>
      </c>
    </row>
    <row r="78">
      <c r="A78" s="7">
        <f>IFERROR(__xludf.DUMMYFUNCTION("""COMPUTED_VALUE"""),46250.0)</f>
        <v>46250</v>
      </c>
      <c r="B78" s="3" t="str">
        <f>IFERROR(__xludf.DUMMYFUNCTION("""COMPUTED_VALUE"""),"TRSF E-BANKING DB")</f>
        <v>TRSF E-BANKING DB</v>
      </c>
      <c r="C78" s="3" t="str">
        <f>IFERROR(__xludf.DUMMYFUNCTION("""COMPUTED_VALUE"""),"1608/FTSCY/WS95011 146411000.00 Thu Aug 13 2026 14:00:00 GMT+0700 (Western Indonesia Time) SUPER UNGGAS JAYA")</f>
        <v>1608/FTSCY/WS95011 146411000.00 Thu Aug 13 2026 14:00:00 GMT+0700 (Western Indonesia Time) SUPER UNGGAS JAYA</v>
      </c>
      <c r="D78" s="3">
        <f>IFERROR(__xludf.DUMMYFUNCTION("""COMPUTED_VALUE"""),1.46411E8)</f>
        <v>146411000</v>
      </c>
      <c r="E78" s="3"/>
      <c r="F78" s="3" t="str">
        <f>IFERROR(__xludf.DUMMYFUNCTION("""COMPUTED_VALUE"""),"DB")</f>
        <v>DB</v>
      </c>
      <c r="G78" s="3">
        <f>IFERROR(__xludf.DUMMYFUNCTION("""COMPUTED_VALUE"""),2.2351214457000005E8)</f>
        <v>223512144.6</v>
      </c>
      <c r="H78" s="3"/>
      <c r="I78" s="3" t="str">
        <f>IFERROR(__xludf.DUMMYFUNCTION("""COMPUTED_VALUE"""),"PRODUKSI")</f>
        <v>PRODUKSI</v>
      </c>
    </row>
    <row r="79">
      <c r="A79" s="7">
        <f>IFERROR(__xludf.DUMMYFUNCTION("""COMPUTED_VALUE"""),46250.0)</f>
        <v>46250</v>
      </c>
      <c r="B79" s="3" t="str">
        <f>IFERROR(__xludf.DUMMYFUNCTION("""COMPUTED_VALUE"""),"TRSF E-BANKING DB")</f>
        <v>TRSF E-BANKING DB</v>
      </c>
      <c r="C79" s="3" t="str">
        <f>IFERROR(__xludf.DUMMYFUNCTION("""COMPUTED_VALUE"""),"1608/FTSCY/WS95011 60960000.00 Fri Aug 14 2026 14:00:00 GMT+0700 (Western Indonesia Time) BINTANG TAMA SANTO")</f>
        <v>1608/FTSCY/WS95011 60960000.00 Fri Aug 14 2026 14:00:00 GMT+0700 (Western Indonesia Time) BINTANG TAMA SANTO</v>
      </c>
      <c r="D79" s="3">
        <f>IFERROR(__xludf.DUMMYFUNCTION("""COMPUTED_VALUE"""),6.096E7)</f>
        <v>60960000</v>
      </c>
      <c r="E79" s="3"/>
      <c r="F79" s="3" t="str">
        <f>IFERROR(__xludf.DUMMYFUNCTION("""COMPUTED_VALUE"""),"DB")</f>
        <v>DB</v>
      </c>
      <c r="G79" s="3">
        <f>IFERROR(__xludf.DUMMYFUNCTION("""COMPUTED_VALUE"""),1.6255214457000005E8)</f>
        <v>162552144.6</v>
      </c>
      <c r="H79" s="3"/>
      <c r="I79" s="3" t="str">
        <f>IFERROR(__xludf.DUMMYFUNCTION("""COMPUTED_VALUE"""),"PRODUKSI")</f>
        <v>PRODUKSI</v>
      </c>
    </row>
    <row r="80">
      <c r="A80" s="7">
        <f>IFERROR(__xludf.DUMMYFUNCTION("""COMPUTED_VALUE"""),46250.0)</f>
        <v>46250</v>
      </c>
      <c r="B80" s="3" t="str">
        <f>IFERROR(__xludf.DUMMYFUNCTION("""COMPUTED_VALUE"""),"TRSF E-BANKING DB")</f>
        <v>TRSF E-BANKING DB</v>
      </c>
      <c r="C80" s="3" t="str">
        <f>IFERROR(__xludf.DUMMYFUNCTION("""COMPUTED_VALUE"""),"1608/FTSCY/WS95011 88712500.00 Fri Aug 14 2026 14:00:00 GMT+0700 (Western Indonesia Time) RUKUN MITRA BERSAM")</f>
        <v>1608/FTSCY/WS95011 88712500.00 Fri Aug 14 2026 14:00:00 GMT+0700 (Western Indonesia Time) RUKUN MITRA BERSAM</v>
      </c>
      <c r="D80" s="3">
        <f>IFERROR(__xludf.DUMMYFUNCTION("""COMPUTED_VALUE"""),8.87125E7)</f>
        <v>88712500</v>
      </c>
      <c r="E80" s="3"/>
      <c r="F80" s="3" t="str">
        <f>IFERROR(__xludf.DUMMYFUNCTION("""COMPUTED_VALUE"""),"DB")</f>
        <v>DB</v>
      </c>
      <c r="G80" s="3">
        <f>IFERROR(__xludf.DUMMYFUNCTION("""COMPUTED_VALUE"""),7.383964457000005E7)</f>
        <v>73839644.57</v>
      </c>
      <c r="H80" s="3"/>
      <c r="I80" s="3" t="str">
        <f>IFERROR(__xludf.DUMMYFUNCTION("""COMPUTED_VALUE"""),"PRODUKSI")</f>
        <v>PRODUKSI</v>
      </c>
    </row>
    <row r="81">
      <c r="A81" s="7">
        <f>IFERROR(__xludf.DUMMYFUNCTION("""COMPUTED_VALUE"""),46250.0)</f>
        <v>46250</v>
      </c>
      <c r="B81" s="3" t="str">
        <f>IFERROR(__xludf.DUMMYFUNCTION("""COMPUTED_VALUE"""),"TRSF E-BANKING DB")</f>
        <v>TRSF E-BANKING DB</v>
      </c>
      <c r="C81" s="3" t="str">
        <f>IFERROR(__xludf.DUMMYFUNCTION("""COMPUTED_VALUE"""),"1608/FTSCY/WS95011 71346000.00 Fri Aug 14 2026 14:00:00 GMT+0700 (Western Indonesia Time) ANUGERAH KARTIKA A")</f>
        <v>1608/FTSCY/WS95011 71346000.00 Fri Aug 14 2026 14:00:00 GMT+0700 (Western Indonesia Time) ANUGERAH KARTIKA A</v>
      </c>
      <c r="D81" s="3">
        <f>IFERROR(__xludf.DUMMYFUNCTION("""COMPUTED_VALUE"""),7.1346E7)</f>
        <v>71346000</v>
      </c>
      <c r="E81" s="3"/>
      <c r="F81" s="3" t="str">
        <f>IFERROR(__xludf.DUMMYFUNCTION("""COMPUTED_VALUE"""),"DB")</f>
        <v>DB</v>
      </c>
      <c r="G81" s="3">
        <f>IFERROR(__xludf.DUMMYFUNCTION("""COMPUTED_VALUE"""),2493644.5700000525)</f>
        <v>2493644.57</v>
      </c>
      <c r="H81" s="3"/>
      <c r="I81" s="3" t="str">
        <f>IFERROR(__xludf.DUMMYFUNCTION("""COMPUTED_VALUE"""),"PRODUKSI")</f>
        <v>PRODUKSI</v>
      </c>
    </row>
    <row r="82">
      <c r="A82" s="7">
        <f>IFERROR(__xludf.DUMMYFUNCTION("""COMPUTED_VALUE"""),46250.0)</f>
        <v>46250</v>
      </c>
      <c r="B82" s="3" t="str">
        <f>IFERROR(__xludf.DUMMYFUNCTION("""COMPUTED_VALUE"""),"TRSF E-BANKING DB")</f>
        <v>TRSF E-BANKING DB</v>
      </c>
      <c r="C82" s="3" t="str">
        <f>IFERROR(__xludf.DUMMYFUNCTION("""COMPUTED_VALUE"""),"1608/FTFVA/WS95031 55569/PT PRIMA FAJ blitar - 40190")</f>
        <v>1608/FTFVA/WS95031 55569/PT PRIMA FAJ blitar - 40190</v>
      </c>
      <c r="D82" s="3">
        <f>IFERROR(__xludf.DUMMYFUNCTION("""COMPUTED_VALUE"""),7.863983E7)</f>
        <v>78639830</v>
      </c>
      <c r="E82" s="3"/>
      <c r="F82" s="3" t="str">
        <f>IFERROR(__xludf.DUMMYFUNCTION("""COMPUTED_VALUE"""),"DB")</f>
        <v>DB</v>
      </c>
      <c r="G82" s="3">
        <f>IFERROR(__xludf.DUMMYFUNCTION("""COMPUTED_VALUE"""),2.2915907457000005E8)</f>
        <v>229159074.6</v>
      </c>
      <c r="H82" s="3"/>
      <c r="I82" s="3" t="str">
        <f>IFERROR(__xludf.DUMMYFUNCTION("""COMPUTED_VALUE"""),"PRODUKSI")</f>
        <v>PRODUKSI</v>
      </c>
    </row>
    <row r="83">
      <c r="A83" s="7">
        <f>IFERROR(__xludf.DUMMYFUNCTION("""COMPUTED_VALUE"""),46250.0)</f>
        <v>46250</v>
      </c>
      <c r="B83" s="3" t="str">
        <f>IFERROR(__xludf.DUMMYFUNCTION("""COMPUTED_VALUE"""),"TRSF E-BANKING DB")</f>
        <v>TRSF E-BANKING DB</v>
      </c>
      <c r="C83" s="3" t="str">
        <f>IFERROR(__xludf.DUMMYFUNCTION("""COMPUTED_VALUE"""),"1608/FTFVA/WS95031 55574/GUNA MITRA S bojonegoro - 200177")</f>
        <v>1608/FTFVA/WS95031 55574/GUNA MITRA S bojonegoro - 200177</v>
      </c>
      <c r="D83" s="3">
        <f>IFERROR(__xludf.DUMMYFUNCTION("""COMPUTED_VALUE"""),4.63289E7)</f>
        <v>46328900</v>
      </c>
      <c r="E83" s="3"/>
      <c r="F83" s="3" t="str">
        <f>IFERROR(__xludf.DUMMYFUNCTION("""COMPUTED_VALUE"""),"DB")</f>
        <v>DB</v>
      </c>
      <c r="G83" s="3">
        <f>IFERROR(__xludf.DUMMYFUNCTION("""COMPUTED_VALUE"""),3.7251797457000005E8)</f>
        <v>372517974.6</v>
      </c>
      <c r="H83" s="3"/>
      <c r="I83" s="3" t="str">
        <f>IFERROR(__xludf.DUMMYFUNCTION("""COMPUTED_VALUE"""),"PRODUKSI")</f>
        <v>PRODUKSI</v>
      </c>
    </row>
    <row r="84">
      <c r="A84" s="7">
        <f>IFERROR(__xludf.DUMMYFUNCTION("""COMPUTED_VALUE"""),46251.0)</f>
        <v>46251</v>
      </c>
      <c r="B84" s="3" t="str">
        <f>IFERROR(__xludf.DUMMYFUNCTION("""COMPUTED_VALUE"""),"TRSF E-BANKING DB")</f>
        <v>TRSF E-BANKING DB</v>
      </c>
      <c r="C84" s="3" t="str">
        <f>IFERROR(__xludf.DUMMYFUNCTION("""COMPUTED_VALUE"""),"1708/FTSCY/WS95031 65691900.00 Fri Aug 14 2026 14:00:00 GMT+0700 (Western Indonesia Time) PITIK DIGITAL INDO")</f>
        <v>1708/FTSCY/WS95031 65691900.00 Fri Aug 14 2026 14:00:00 GMT+0700 (Western Indonesia Time) PITIK DIGITAL INDO</v>
      </c>
      <c r="D84" s="3">
        <f>IFERROR(__xludf.DUMMYFUNCTION("""COMPUTED_VALUE"""),6.56919E7)</f>
        <v>65691900</v>
      </c>
      <c r="E84" s="3"/>
      <c r="F84" s="3" t="str">
        <f>IFERROR(__xludf.DUMMYFUNCTION("""COMPUTED_VALUE"""),"DB")</f>
        <v>DB</v>
      </c>
      <c r="G84" s="3">
        <f>IFERROR(__xludf.DUMMYFUNCTION("""COMPUTED_VALUE"""),4.9447025457000005E8)</f>
        <v>494470254.6</v>
      </c>
      <c r="H84" s="3"/>
      <c r="I84" s="3" t="str">
        <f>IFERROR(__xludf.DUMMYFUNCTION("""COMPUTED_VALUE"""),"PRODUKSI")</f>
        <v>PRODUKSI</v>
      </c>
    </row>
    <row r="85">
      <c r="A85" s="7">
        <f>IFERROR(__xludf.DUMMYFUNCTION("""COMPUTED_VALUE"""),46251.0)</f>
        <v>46251</v>
      </c>
      <c r="B85" s="3" t="str">
        <f>IFERROR(__xludf.DUMMYFUNCTION("""COMPUTED_VALUE"""),"TRSF E-BANKING DB")</f>
        <v>TRSF E-BANKING DB</v>
      </c>
      <c r="C85" s="3" t="str">
        <f>IFERROR(__xludf.DUMMYFUNCTION("""COMPUTED_VALUE"""),"1708/FTSCY/WS95271 122000000.00 Fri Aug 14 2026 14:00:00 GMT+0700 (Western Indonesia Time) SUPER UNGGAS JAYA")</f>
        <v>1708/FTSCY/WS95271 122000000.00 Fri Aug 14 2026 14:00:00 GMT+0700 (Western Indonesia Time) SUPER UNGGAS JAYA</v>
      </c>
      <c r="D85" s="3">
        <f>IFERROR(__xludf.DUMMYFUNCTION("""COMPUTED_VALUE"""),1.22E8)</f>
        <v>122000000</v>
      </c>
      <c r="E85" s="3"/>
      <c r="F85" s="3" t="str">
        <f>IFERROR(__xludf.DUMMYFUNCTION("""COMPUTED_VALUE"""),"DB")</f>
        <v>DB</v>
      </c>
      <c r="G85" s="3">
        <f>IFERROR(__xludf.DUMMYFUNCTION("""COMPUTED_VALUE"""),3.7247025457000005E8)</f>
        <v>372470254.6</v>
      </c>
      <c r="H85" s="3"/>
      <c r="I85" s="3" t="str">
        <f>IFERROR(__xludf.DUMMYFUNCTION("""COMPUTED_VALUE"""),"PRODUKSI")</f>
        <v>PRODUKSI</v>
      </c>
    </row>
    <row r="86">
      <c r="A86" s="7">
        <f>IFERROR(__xludf.DUMMYFUNCTION("""COMPUTED_VALUE"""),46251.0)</f>
        <v>46251</v>
      </c>
      <c r="B86" s="3" t="str">
        <f>IFERROR(__xludf.DUMMYFUNCTION("""COMPUTED_VALUE"""),"TRSF E-BANKING DB")</f>
        <v>TRSF E-BANKING DB</v>
      </c>
      <c r="C86" s="3" t="str">
        <f>IFERROR(__xludf.DUMMYFUNCTION("""COMPUTED_VALUE"""),"1708/FTSCY/WS95011 151042320.00 TABASSAM AL HATTAK")</f>
        <v>1708/FTSCY/WS95011 151042320.00 TABASSAM AL HATTAK</v>
      </c>
      <c r="D86" s="3">
        <f>IFERROR(__xludf.DUMMYFUNCTION("""COMPUTED_VALUE"""),1.5104232E8)</f>
        <v>151042320</v>
      </c>
      <c r="E86" s="3"/>
      <c r="F86" s="3" t="str">
        <f>IFERROR(__xludf.DUMMYFUNCTION("""COMPUTED_VALUE"""),"DB")</f>
        <v>DB</v>
      </c>
      <c r="G86" s="3">
        <f>IFERROR(__xludf.DUMMYFUNCTION("""COMPUTED_VALUE"""),2.2142793457000005E8)</f>
        <v>221427934.6</v>
      </c>
      <c r="H86" s="3"/>
      <c r="I86" s="3" t="str">
        <f>IFERROR(__xludf.DUMMYFUNCTION("""COMPUTED_VALUE"""),"PRODUKSI")</f>
        <v>PRODUKSI</v>
      </c>
    </row>
    <row r="87">
      <c r="A87" s="7">
        <f>IFERROR(__xludf.DUMMYFUNCTION("""COMPUTED_VALUE"""),46251.0)</f>
        <v>46251</v>
      </c>
      <c r="B87" s="3" t="str">
        <f>IFERROR(__xludf.DUMMYFUNCTION("""COMPUTED_VALUE"""),"TRSF E-BANKING DB")</f>
        <v>TRSF E-BANKING DB</v>
      </c>
      <c r="C87" s="3" t="str">
        <f>IFERROR(__xludf.DUMMYFUNCTION("""COMPUTED_VALUE"""),"1708/FTSCY/WS95011 77100600.00 Sat Aug 15 2026 14:00:00 GMT+0700 (Western Indonesia Time) RUKUN MITRA BERSAM")</f>
        <v>1708/FTSCY/WS95011 77100600.00 Sat Aug 15 2026 14:00:00 GMT+0700 (Western Indonesia Time) RUKUN MITRA BERSAM</v>
      </c>
      <c r="D87" s="3">
        <f>IFERROR(__xludf.DUMMYFUNCTION("""COMPUTED_VALUE"""),7.71006E7)</f>
        <v>77100600</v>
      </c>
      <c r="E87" s="3"/>
      <c r="F87" s="3" t="str">
        <f>IFERROR(__xludf.DUMMYFUNCTION("""COMPUTED_VALUE"""),"DB")</f>
        <v>DB</v>
      </c>
      <c r="G87" s="3">
        <f>IFERROR(__xludf.DUMMYFUNCTION("""COMPUTED_VALUE"""),1.4432733457000005E8)</f>
        <v>144327334.6</v>
      </c>
      <c r="H87" s="3">
        <f>IFERROR(__xludf.DUMMYFUNCTION("""COMPUTED_VALUE"""),1.4432733457E8)</f>
        <v>144327334.6</v>
      </c>
      <c r="I87" s="3" t="str">
        <f>IFERROR(__xludf.DUMMYFUNCTION("""COMPUTED_VALUE"""),"PRODUKSI")</f>
        <v>PRODUKSI</v>
      </c>
    </row>
    <row r="88">
      <c r="A88" s="7">
        <f>IFERROR(__xludf.DUMMYFUNCTION("""COMPUTED_VALUE"""),46251.0)</f>
        <v>46251</v>
      </c>
      <c r="B88" s="3" t="str">
        <f>IFERROR(__xludf.DUMMYFUNCTION("""COMPUTED_VALUE"""),"TRSF E-BANKING DB")</f>
        <v>TRSF E-BANKING DB</v>
      </c>
      <c r="C88" s="3" t="str">
        <f>IFERROR(__xludf.DUMMYFUNCTION("""COMPUTED_VALUE"""),"1708/FTSCY/WS95011 36497550.00 Sat Aug 15 2026 14:00:00 GMT+0700 (Western Indonesia Time) BINTANG TAMA SANTO")</f>
        <v>1708/FTSCY/WS95011 36497550.00 Sat Aug 15 2026 14:00:00 GMT+0700 (Western Indonesia Time) BINTANG TAMA SANTO</v>
      </c>
      <c r="D88" s="3">
        <f>IFERROR(__xludf.DUMMYFUNCTION("""COMPUTED_VALUE"""),3.649755E7)</f>
        <v>36497550</v>
      </c>
      <c r="E88" s="3"/>
      <c r="F88" s="3" t="str">
        <f>IFERROR(__xludf.DUMMYFUNCTION("""COMPUTED_VALUE"""),"DB")</f>
        <v>DB</v>
      </c>
      <c r="G88" s="3">
        <f>IFERROR(__xludf.DUMMYFUNCTION("""COMPUTED_VALUE"""),1.0782978457000005E8)</f>
        <v>107829784.6</v>
      </c>
      <c r="H88" s="3">
        <f>IFERROR(__xludf.DUMMYFUNCTION("""COMPUTED_VALUE"""),1.0782978457E8)</f>
        <v>107829784.6</v>
      </c>
      <c r="I88" s="3" t="str">
        <f>IFERROR(__xludf.DUMMYFUNCTION("""COMPUTED_VALUE"""),"PRODUKSI")</f>
        <v>PRODUKSI</v>
      </c>
    </row>
    <row r="89">
      <c r="A89" s="7">
        <f>IFERROR(__xludf.DUMMYFUNCTION("""COMPUTED_VALUE"""),46251.0)</f>
        <v>46251</v>
      </c>
      <c r="B89" s="3" t="str">
        <f>IFERROR(__xludf.DUMMYFUNCTION("""COMPUTED_VALUE"""),"TRSF E-BANKING DB")</f>
        <v>TRSF E-BANKING DB</v>
      </c>
      <c r="C89" s="3" t="str">
        <f>IFERROR(__xludf.DUMMYFUNCTION("""COMPUTED_VALUE"""),"1708/FTSCY/WS95011 65607500.00 Wed Aug 05 2026 14:00:00 GMT+0700 (Western Indonesia Time) ANUGERAH KARTIKA A")</f>
        <v>1708/FTSCY/WS95011 65607500.00 Wed Aug 05 2026 14:00:00 GMT+0700 (Western Indonesia Time) ANUGERAH KARTIKA A</v>
      </c>
      <c r="D89" s="3">
        <f>IFERROR(__xludf.DUMMYFUNCTION("""COMPUTED_VALUE"""),6.56075E7)</f>
        <v>65607500</v>
      </c>
      <c r="E89" s="3"/>
      <c r="F89" s="3" t="str">
        <f>IFERROR(__xludf.DUMMYFUNCTION("""COMPUTED_VALUE"""),"DB")</f>
        <v>DB</v>
      </c>
      <c r="G89" s="3">
        <f>IFERROR(__xludf.DUMMYFUNCTION("""COMPUTED_VALUE"""),4.222228457000005E7)</f>
        <v>42222284.57</v>
      </c>
      <c r="H89" s="3"/>
      <c r="I89" s="3" t="str">
        <f>IFERROR(__xludf.DUMMYFUNCTION("""COMPUTED_VALUE"""),"PRODUKSI")</f>
        <v>PRODUKSI</v>
      </c>
    </row>
    <row r="90">
      <c r="A90" s="7">
        <f>IFERROR(__xludf.DUMMYFUNCTION("""COMPUTED_VALUE"""),46251.0)</f>
        <v>46251</v>
      </c>
      <c r="B90" s="3" t="str">
        <f>IFERROR(__xludf.DUMMYFUNCTION("""COMPUTED_VALUE"""),"TRSF E-BANKING DB")</f>
        <v>TRSF E-BANKING DB</v>
      </c>
      <c r="C90" s="3" t="str">
        <f>IFERROR(__xludf.DUMMYFUNCTION("""COMPUTED_VALUE"""),"1708/FTSCY/WS95031 4140300.00 lunas FAJAR ANDREANZAH")</f>
        <v>1708/FTSCY/WS95031 4140300.00 lunas FAJAR ANDREANZAH</v>
      </c>
      <c r="D90" s="3">
        <f>IFERROR(__xludf.DUMMYFUNCTION("""COMPUTED_VALUE"""),4140300.0)</f>
        <v>4140300</v>
      </c>
      <c r="E90" s="3"/>
      <c r="F90" s="3" t="str">
        <f>IFERROR(__xludf.DUMMYFUNCTION("""COMPUTED_VALUE"""),"DB")</f>
        <v>DB</v>
      </c>
      <c r="G90" s="3">
        <f>IFERROR(__xludf.DUMMYFUNCTION("""COMPUTED_VALUE"""),3.808198457000005E7)</f>
        <v>38081984.57</v>
      </c>
      <c r="H90" s="3"/>
      <c r="I90" s="3" t="str">
        <f>IFERROR(__xludf.DUMMYFUNCTION("""COMPUTED_VALUE"""),"PRODUKSI")</f>
        <v>PRODUKSI</v>
      </c>
    </row>
    <row r="91">
      <c r="A91" s="7">
        <f>IFERROR(__xludf.DUMMYFUNCTION("""COMPUTED_VALUE"""),46251.0)</f>
        <v>46251</v>
      </c>
      <c r="B91" s="3" t="str">
        <f>IFERROR(__xludf.DUMMYFUNCTION("""COMPUTED_VALUE"""),"TRSF E-BANKING DB")</f>
        <v>TRSF E-BANKING DB</v>
      </c>
      <c r="C91" s="3" t="str">
        <f>IFERROR(__xludf.DUMMYFUNCTION("""COMPUTED_VALUE"""),"1708/FTSCY/WS95031 1500000.00 lunas DWI HERMANSYAH")</f>
        <v>1708/FTSCY/WS95031 1500000.00 lunas DWI HERMANSYAH</v>
      </c>
      <c r="D91" s="3">
        <f>IFERROR(__xludf.DUMMYFUNCTION("""COMPUTED_VALUE"""),1500000.0)</f>
        <v>1500000</v>
      </c>
      <c r="E91" s="3"/>
      <c r="F91" s="3" t="str">
        <f>IFERROR(__xludf.DUMMYFUNCTION("""COMPUTED_VALUE"""),"DB")</f>
        <v>DB</v>
      </c>
      <c r="G91" s="3">
        <f>IFERROR(__xludf.DUMMYFUNCTION("""COMPUTED_VALUE"""),3.658198457000005E7)</f>
        <v>36581984.57</v>
      </c>
      <c r="H91" s="3"/>
      <c r="I91" s="3" t="str">
        <f>IFERROR(__xludf.DUMMYFUNCTION("""COMPUTED_VALUE"""),"PRODUKSI")</f>
        <v>PRODUKSI</v>
      </c>
    </row>
    <row r="92">
      <c r="A92" s="7">
        <f>IFERROR(__xludf.DUMMYFUNCTION("""COMPUTED_VALUE"""),46251.0)</f>
        <v>46251</v>
      </c>
      <c r="B92" s="3" t="str">
        <f>IFERROR(__xludf.DUMMYFUNCTION("""COMPUTED_VALUE"""),"TRSF E-BANKING DB")</f>
        <v>TRSF E-BANKING DB</v>
      </c>
      <c r="C92" s="3" t="str">
        <f>IFERROR(__xludf.DUMMYFUNCTION("""COMPUTED_VALUE"""),"1708/FTSCY/WS95031 4802020.00 lunas MUJIANTO")</f>
        <v>1708/FTSCY/WS95031 4802020.00 lunas MUJIANTO</v>
      </c>
      <c r="D92" s="3">
        <f>IFERROR(__xludf.DUMMYFUNCTION("""COMPUTED_VALUE"""),4802020.0)</f>
        <v>4802020</v>
      </c>
      <c r="E92" s="3"/>
      <c r="F92" s="3" t="str">
        <f>IFERROR(__xludf.DUMMYFUNCTION("""COMPUTED_VALUE"""),"DB")</f>
        <v>DB</v>
      </c>
      <c r="G92" s="3">
        <f>IFERROR(__xludf.DUMMYFUNCTION("""COMPUTED_VALUE"""),3.1779964570000052E7)</f>
        <v>31779964.57</v>
      </c>
      <c r="H92" s="3"/>
      <c r="I92" s="3" t="str">
        <f>IFERROR(__xludf.DUMMYFUNCTION("""COMPUTED_VALUE"""),"PRODUKSI")</f>
        <v>PRODUKSI</v>
      </c>
    </row>
    <row r="93">
      <c r="A93" s="7">
        <f>IFERROR(__xludf.DUMMYFUNCTION("""COMPUTED_VALUE"""),46251.0)</f>
        <v>46251</v>
      </c>
      <c r="B93" s="3" t="str">
        <f>IFERROR(__xludf.DUMMYFUNCTION("""COMPUTED_VALUE"""),"TRSF E-BANKING DB")</f>
        <v>TRSF E-BANKING DB</v>
      </c>
      <c r="C93" s="3" t="str">
        <f>IFERROR(__xludf.DUMMYFUNCTION("""COMPUTED_VALUE"""),"1708/FTSCY/WS95031 1504900.00 HERMAWAN")</f>
        <v>1708/FTSCY/WS95031 1504900.00 HERMAWAN</v>
      </c>
      <c r="D93" s="3">
        <f>IFERROR(__xludf.DUMMYFUNCTION("""COMPUTED_VALUE"""),1504900.0)</f>
        <v>1504900</v>
      </c>
      <c r="E93" s="3"/>
      <c r="F93" s="3" t="str">
        <f>IFERROR(__xludf.DUMMYFUNCTION("""COMPUTED_VALUE"""),"DB")</f>
        <v>DB</v>
      </c>
      <c r="G93" s="3">
        <f>IFERROR(__xludf.DUMMYFUNCTION("""COMPUTED_VALUE"""),3.0275064570000052E7)</f>
        <v>30275064.57</v>
      </c>
      <c r="H93" s="3"/>
      <c r="I93" s="3" t="str">
        <f>IFERROR(__xludf.DUMMYFUNCTION("""COMPUTED_VALUE"""),"PRODUKSI")</f>
        <v>PRODUKSI</v>
      </c>
    </row>
    <row r="94">
      <c r="A94" s="7">
        <f>IFERROR(__xludf.DUMMYFUNCTION("""COMPUTED_VALUE"""),46251.0)</f>
        <v>46251</v>
      </c>
      <c r="B94" s="3" t="str">
        <f>IFERROR(__xludf.DUMMYFUNCTION("""COMPUTED_VALUE"""),"TRSF E-BANKING DB")</f>
        <v>TRSF E-BANKING DB</v>
      </c>
      <c r="C94" s="3" t="str">
        <f>IFERROR(__xludf.DUMMYFUNCTION("""COMPUTED_VALUE"""),"1708/FTSCY/WS95031 18255100.00 krg 15 jt EKO SETIYAWAN")</f>
        <v>1708/FTSCY/WS95031 18255100.00 krg 15 jt EKO SETIYAWAN</v>
      </c>
      <c r="D94" s="3">
        <f>IFERROR(__xludf.DUMMYFUNCTION("""COMPUTED_VALUE"""),1.82551E7)</f>
        <v>18255100</v>
      </c>
      <c r="E94" s="3"/>
      <c r="F94" s="3" t="str">
        <f>IFERROR(__xludf.DUMMYFUNCTION("""COMPUTED_VALUE"""),"DB")</f>
        <v>DB</v>
      </c>
      <c r="G94" s="3">
        <f>IFERROR(__xludf.DUMMYFUNCTION("""COMPUTED_VALUE"""),1.2019964570000052E7)</f>
        <v>12019964.57</v>
      </c>
      <c r="H94" s="3"/>
      <c r="I94" s="3" t="str">
        <f>IFERROR(__xludf.DUMMYFUNCTION("""COMPUTED_VALUE"""),"PRODUKSI")</f>
        <v>PRODUKSI</v>
      </c>
    </row>
    <row r="95">
      <c r="A95" s="7">
        <f>IFERROR(__xludf.DUMMYFUNCTION("""COMPUTED_VALUE"""),46251.0)</f>
        <v>46251</v>
      </c>
      <c r="B95" s="3" t="str">
        <f>IFERROR(__xludf.DUMMYFUNCTION("""COMPUTED_VALUE"""),"BI-FAST DB")</f>
        <v>BI-FAST DB</v>
      </c>
      <c r="C95" s="3" t="str">
        <f>IFERROR(__xludf.DUMMYFUNCTION("""COMPUTED_VALUE"""),"BIF TRANSFER KE 2 TURYADI M-BCA")</f>
        <v>BIF TRANSFER KE 2 TURYADI M-BCA</v>
      </c>
      <c r="D95" s="3">
        <f>IFERROR(__xludf.DUMMYFUNCTION("""COMPUTED_VALUE"""),1525000.0)</f>
        <v>1525000</v>
      </c>
      <c r="E95" s="3"/>
      <c r="F95" s="3" t="str">
        <f>IFERROR(__xludf.DUMMYFUNCTION("""COMPUTED_VALUE"""),"DB")</f>
        <v>DB</v>
      </c>
      <c r="G95" s="3">
        <f>IFERROR(__xludf.DUMMYFUNCTION("""COMPUTED_VALUE"""),1.0494964570000052E7)</f>
        <v>10494964.57</v>
      </c>
      <c r="H95" s="3"/>
      <c r="I95" s="3" t="str">
        <f>IFERROR(__xludf.DUMMYFUNCTION("""COMPUTED_VALUE"""),"PRODUKSI")</f>
        <v>PRODUKSI</v>
      </c>
    </row>
    <row r="96">
      <c r="A96" s="7">
        <f>IFERROR(__xludf.DUMMYFUNCTION("""COMPUTED_VALUE"""),46251.0)</f>
        <v>46251</v>
      </c>
      <c r="B96" s="3" t="str">
        <f>IFERROR(__xludf.DUMMYFUNCTION("""COMPUTED_VALUE"""),"BI-FAST DB")</f>
        <v>BI-FAST DB</v>
      </c>
      <c r="C96" s="3" t="str">
        <f>IFERROR(__xludf.DUMMYFUNCTION("""COMPUTED_VALUE"""),"BIF BIAYA TXN KE 2 TURYADI M-BCA")</f>
        <v>BIF BIAYA TXN KE 2 TURYADI M-BCA</v>
      </c>
      <c r="D96" s="3">
        <f>IFERROR(__xludf.DUMMYFUNCTION("""COMPUTED_VALUE"""),2500.0)</f>
        <v>2500</v>
      </c>
      <c r="E96" s="3"/>
      <c r="F96" s="3" t="str">
        <f>IFERROR(__xludf.DUMMYFUNCTION("""COMPUTED_VALUE"""),"DB")</f>
        <v>DB</v>
      </c>
      <c r="G96" s="3">
        <f>IFERROR(__xludf.DUMMYFUNCTION("""COMPUTED_VALUE"""),1.0492464570000052E7)</f>
        <v>10492464.57</v>
      </c>
      <c r="H96" s="3"/>
      <c r="I96" s="3" t="str">
        <f>IFERROR(__xludf.DUMMYFUNCTION("""COMPUTED_VALUE"""),"PRODUKSI")</f>
        <v>PRODUKSI</v>
      </c>
    </row>
    <row r="97">
      <c r="A97" s="7">
        <f>IFERROR(__xludf.DUMMYFUNCTION("""COMPUTED_VALUE"""),46251.0)</f>
        <v>46251</v>
      </c>
      <c r="B97" s="3" t="str">
        <f>IFERROR(__xludf.DUMMYFUNCTION("""COMPUTED_VALUE"""),"BYR VIA E-BANKING")</f>
        <v>BYR VIA E-BANKING</v>
      </c>
      <c r="C97" s="3" t="str">
        <f>IFERROR(__xludf.DUMMYFUNCTION("""COMPUTED_VALUE"""),"17/08  WSID9503101 0507 FIF 803001249921 MUHAMMAD HAIRUL MA")</f>
        <v>17/08  WSID9503101 0507 FIF 803001249921 MUHAMMAD HAIRUL MA</v>
      </c>
      <c r="D97" s="3">
        <f>IFERROR(__xludf.DUMMYFUNCTION("""COMPUTED_VALUE"""),750000.0)</f>
        <v>750000</v>
      </c>
      <c r="E97" s="3"/>
      <c r="F97" s="3"/>
      <c r="G97" s="3">
        <f>IFERROR(__xludf.DUMMYFUNCTION("""COMPUTED_VALUE"""),9742464.570000052)</f>
        <v>9742464.57</v>
      </c>
      <c r="H97" s="3"/>
      <c r="I97" s="3" t="str">
        <f>IFERROR(__xludf.DUMMYFUNCTION("""COMPUTED_VALUE"""),"PRODUKSI")</f>
        <v>PRODUKSI</v>
      </c>
    </row>
    <row r="98">
      <c r="A98" s="7">
        <f>IFERROR(__xludf.DUMMYFUNCTION("""COMPUTED_VALUE"""),46252.0)</f>
        <v>46252</v>
      </c>
      <c r="B98" s="3" t="str">
        <f>IFERROR(__xludf.DUMMYFUNCTION("""COMPUTED_VALUE"""),"TRSF E-BANKING DB")</f>
        <v>TRSF E-BANKING DB</v>
      </c>
      <c r="C98" s="3" t="str">
        <f>IFERROR(__xludf.DUMMYFUNCTION("""COMPUTED_VALUE"""),"1808/FTSCY/WS95271 6400000.00 FINA ARDIANA")</f>
        <v>1808/FTSCY/WS95271 6400000.00 FINA ARDIANA</v>
      </c>
      <c r="D98" s="3">
        <f>IFERROR(__xludf.DUMMYFUNCTION("""COMPUTED_VALUE"""),6400000.0)</f>
        <v>6400000</v>
      </c>
      <c r="E98" s="3"/>
      <c r="F98" s="3" t="str">
        <f>IFERROR(__xludf.DUMMYFUNCTION("""COMPUTED_VALUE"""),"DB")</f>
        <v>DB</v>
      </c>
      <c r="G98" s="3">
        <f>IFERROR(__xludf.DUMMYFUNCTION("""COMPUTED_VALUE"""),2.9540770457000005E8)</f>
        <v>295407704.6</v>
      </c>
      <c r="H98" s="3"/>
      <c r="I98" s="3" t="str">
        <f>IFERROR(__xludf.DUMMYFUNCTION("""COMPUTED_VALUE"""),"PRODUKSI")</f>
        <v>PRODUKSI</v>
      </c>
    </row>
    <row r="99">
      <c r="A99" s="7">
        <f>IFERROR(__xludf.DUMMYFUNCTION("""COMPUTED_VALUE"""),46252.0)</f>
        <v>46252</v>
      </c>
      <c r="B99" s="3" t="str">
        <f>IFERROR(__xludf.DUMMYFUNCTION("""COMPUTED_VALUE"""),"TRSF E-BANKING DB")</f>
        <v>TRSF E-BANKING DB</v>
      </c>
      <c r="C99" s="3" t="str">
        <f>IFERROR(__xludf.DUMMYFUNCTION("""COMPUTED_VALUE"""),"1808/FTSCY/WS95271 149427500.00 Sun Aug 16 2026 14:00:00 GMT+0700 (Western Indonesia Time) ANUGERAH KARTIKA A")</f>
        <v>1808/FTSCY/WS95271 149427500.00 Sun Aug 16 2026 14:00:00 GMT+0700 (Western Indonesia Time) ANUGERAH KARTIKA A</v>
      </c>
      <c r="D99" s="3">
        <f>IFERROR(__xludf.DUMMYFUNCTION("""COMPUTED_VALUE"""),1.494275E8)</f>
        <v>149427500</v>
      </c>
      <c r="E99" s="3"/>
      <c r="F99" s="3" t="str">
        <f>IFERROR(__xludf.DUMMYFUNCTION("""COMPUTED_VALUE"""),"DB")</f>
        <v>DB</v>
      </c>
      <c r="G99" s="3">
        <f>IFERROR(__xludf.DUMMYFUNCTION("""COMPUTED_VALUE"""),1.4598020457000005E8)</f>
        <v>145980204.6</v>
      </c>
      <c r="H99" s="3"/>
      <c r="I99" s="3" t="str">
        <f>IFERROR(__xludf.DUMMYFUNCTION("""COMPUTED_VALUE"""),"PRODUKSI")</f>
        <v>PRODUKSI</v>
      </c>
    </row>
    <row r="100">
      <c r="A100" s="7">
        <f>IFERROR(__xludf.DUMMYFUNCTION("""COMPUTED_VALUE"""),46252.0)</f>
        <v>46252</v>
      </c>
      <c r="B100" s="3" t="str">
        <f>IFERROR(__xludf.DUMMYFUNCTION("""COMPUTED_VALUE"""),"TRSF E-BANKING DB")</f>
        <v>TRSF E-BANKING DB</v>
      </c>
      <c r="C100" s="3" t="str">
        <f>IFERROR(__xludf.DUMMYFUNCTION("""COMPUTED_VALUE"""),"1808/FTFVA/WS95031 55569/PT PRIMA FAJ pembyaran - 40190")</f>
        <v>1808/FTFVA/WS95031 55569/PT PRIMA FAJ pembyaran - 40190</v>
      </c>
      <c r="D100" s="3">
        <f>IFERROR(__xludf.DUMMYFUNCTION("""COMPUTED_VALUE"""),6.780672E7)</f>
        <v>67806720</v>
      </c>
      <c r="E100" s="3"/>
      <c r="F100" s="3" t="str">
        <f>IFERROR(__xludf.DUMMYFUNCTION("""COMPUTED_VALUE"""),"DB")</f>
        <v>DB</v>
      </c>
      <c r="G100" s="3">
        <f>IFERROR(__xludf.DUMMYFUNCTION("""COMPUTED_VALUE"""),2.6364484570000052E7)</f>
        <v>26364484.57</v>
      </c>
      <c r="H100" s="3"/>
      <c r="I100" s="3" t="str">
        <f>IFERROR(__xludf.DUMMYFUNCTION("""COMPUTED_VALUE"""),"PRODUKSI")</f>
        <v>PRODUKSI</v>
      </c>
    </row>
    <row r="101">
      <c r="A101" s="7"/>
    </row>
    <row r="102">
      <c r="A102" s="7"/>
    </row>
    <row r="103">
      <c r="A103" s="7"/>
    </row>
    <row r="104">
      <c r="A104" s="7"/>
    </row>
    <row r="105">
      <c r="A105" s="7"/>
    </row>
    <row r="106">
      <c r="A106" s="7"/>
    </row>
    <row r="107">
      <c r="A107" s="7"/>
    </row>
    <row r="108">
      <c r="A108" s="7"/>
    </row>
    <row r="109">
      <c r="A109" s="7"/>
    </row>
    <row r="110">
      <c r="A110" s="7"/>
    </row>
    <row r="111">
      <c r="A111" s="7"/>
    </row>
    <row r="112">
      <c r="A112" s="7"/>
    </row>
    <row r="113">
      <c r="A113" s="7"/>
    </row>
    <row r="114">
      <c r="A114" s="7"/>
    </row>
    <row r="115">
      <c r="A115" s="7"/>
    </row>
    <row r="116">
      <c r="A116" s="7"/>
    </row>
    <row r="117">
      <c r="A117" s="7"/>
    </row>
    <row r="118">
      <c r="A118" s="7"/>
    </row>
    <row r="119">
      <c r="A119" s="7"/>
    </row>
    <row r="120">
      <c r="A120" s="7"/>
    </row>
    <row r="121">
      <c r="A121" s="7"/>
    </row>
    <row r="122">
      <c r="A122" s="7"/>
    </row>
    <row r="123">
      <c r="A123" s="7"/>
    </row>
    <row r="124">
      <c r="A124" s="7"/>
    </row>
    <row r="125">
      <c r="A125" s="7"/>
    </row>
    <row r="126">
      <c r="A126" s="7"/>
    </row>
    <row r="127">
      <c r="A127" s="7"/>
    </row>
    <row r="128">
      <c r="A128" s="7"/>
    </row>
    <row r="129">
      <c r="A129" s="7"/>
    </row>
    <row r="130">
      <c r="A130" s="7"/>
    </row>
    <row r="131">
      <c r="A131" s="7"/>
    </row>
    <row r="132">
      <c r="A132" s="7"/>
    </row>
    <row r="133">
      <c r="A133" s="7"/>
    </row>
    <row r="134">
      <c r="A134" s="7"/>
    </row>
    <row r="135">
      <c r="A135" s="7"/>
    </row>
    <row r="136">
      <c r="A136" s="7"/>
    </row>
    <row r="137">
      <c r="A137" s="7"/>
    </row>
    <row r="138">
      <c r="A138" s="7"/>
    </row>
    <row r="139">
      <c r="A139" s="7"/>
    </row>
    <row r="140">
      <c r="A140" s="7"/>
    </row>
    <row r="141">
      <c r="A141" s="7"/>
    </row>
    <row r="142">
      <c r="A142" s="7"/>
    </row>
    <row r="143">
      <c r="A143" s="7"/>
    </row>
    <row r="144">
      <c r="A144" s="7"/>
    </row>
    <row r="145">
      <c r="A145" s="7"/>
    </row>
    <row r="146">
      <c r="A146" s="7"/>
    </row>
    <row r="147">
      <c r="A147" s="7"/>
    </row>
    <row r="148">
      <c r="A148" s="7"/>
    </row>
    <row r="149">
      <c r="A149" s="7"/>
    </row>
    <row r="150">
      <c r="A150" s="7"/>
    </row>
    <row r="151">
      <c r="A151" s="7"/>
    </row>
    <row r="152">
      <c r="A152" s="7"/>
    </row>
    <row r="153">
      <c r="A153" s="7"/>
    </row>
    <row r="154">
      <c r="A154" s="7"/>
    </row>
    <row r="155">
      <c r="A155" s="7"/>
    </row>
    <row r="156">
      <c r="A156" s="7"/>
    </row>
    <row r="157">
      <c r="A157" s="7"/>
    </row>
    <row r="158">
      <c r="A158" s="7"/>
    </row>
    <row r="159">
      <c r="A159" s="7"/>
    </row>
    <row r="160">
      <c r="A160" s="7"/>
    </row>
    <row r="161">
      <c r="A161" s="7"/>
    </row>
    <row r="162">
      <c r="A162" s="7"/>
    </row>
    <row r="163">
      <c r="A163" s="7"/>
    </row>
    <row r="164">
      <c r="A164" s="7"/>
    </row>
    <row r="165">
      <c r="A165" s="7"/>
    </row>
    <row r="166">
      <c r="A166" s="7"/>
    </row>
    <row r="167">
      <c r="A167" s="7"/>
    </row>
    <row r="168">
      <c r="A168" s="7"/>
    </row>
    <row r="169">
      <c r="A169" s="7"/>
    </row>
    <row r="170">
      <c r="A170" s="7"/>
    </row>
    <row r="171">
      <c r="A171" s="7"/>
    </row>
    <row r="172">
      <c r="A172" s="7"/>
    </row>
    <row r="173">
      <c r="A173" s="7"/>
    </row>
    <row r="174">
      <c r="A174" s="7"/>
    </row>
    <row r="175">
      <c r="A175" s="7"/>
    </row>
    <row r="176">
      <c r="A176" s="7"/>
    </row>
    <row r="177">
      <c r="A177" s="7"/>
    </row>
    <row r="178">
      <c r="A178" s="7"/>
    </row>
    <row r="179">
      <c r="A179" s="7"/>
    </row>
    <row r="180">
      <c r="A180" s="7"/>
    </row>
    <row r="181">
      <c r="A181" s="7"/>
    </row>
    <row r="182">
      <c r="A182" s="7"/>
    </row>
    <row r="183">
      <c r="A183" s="7"/>
    </row>
    <row r="184">
      <c r="A184" s="7"/>
    </row>
    <row r="185">
      <c r="A185" s="7"/>
    </row>
    <row r="186">
      <c r="A186" s="7"/>
    </row>
    <row r="187">
      <c r="A187" s="7"/>
    </row>
    <row r="188">
      <c r="A188" s="7"/>
    </row>
    <row r="189">
      <c r="A189" s="7"/>
    </row>
    <row r="190">
      <c r="A190" s="7"/>
    </row>
    <row r="191">
      <c r="A191" s="7"/>
    </row>
    <row r="192">
      <c r="A192" s="7"/>
    </row>
    <row r="193">
      <c r="A193" s="7"/>
    </row>
    <row r="194">
      <c r="A194" s="7"/>
    </row>
    <row r="195">
      <c r="A195" s="7"/>
    </row>
    <row r="196">
      <c r="A196" s="7"/>
    </row>
    <row r="197">
      <c r="A197" s="7"/>
    </row>
    <row r="198">
      <c r="A198" s="7"/>
    </row>
    <row r="199">
      <c r="A199" s="7"/>
    </row>
    <row r="200">
      <c r="A200" s="7"/>
    </row>
    <row r="201">
      <c r="A201" s="7"/>
    </row>
    <row r="202">
      <c r="A202" s="7"/>
    </row>
    <row r="203">
      <c r="A203" s="7"/>
    </row>
    <row r="204">
      <c r="A204" s="7"/>
    </row>
    <row r="205">
      <c r="A205" s="7"/>
    </row>
    <row r="206">
      <c r="A206" s="7"/>
    </row>
    <row r="207">
      <c r="A207" s="7"/>
    </row>
    <row r="208">
      <c r="A208" s="7"/>
    </row>
    <row r="209">
      <c r="A209" s="7"/>
    </row>
    <row r="210">
      <c r="A210" s="7"/>
    </row>
    <row r="211">
      <c r="A211" s="7"/>
    </row>
    <row r="212">
      <c r="A212" s="7"/>
    </row>
    <row r="213">
      <c r="A213" s="7"/>
    </row>
    <row r="214">
      <c r="A214" s="7"/>
    </row>
    <row r="215">
      <c r="A215" s="7"/>
    </row>
    <row r="216">
      <c r="A216" s="7"/>
    </row>
    <row r="217">
      <c r="A217" s="7"/>
    </row>
    <row r="218">
      <c r="A218" s="7"/>
    </row>
    <row r="219">
      <c r="A219" s="7"/>
    </row>
    <row r="220">
      <c r="A220" s="7"/>
    </row>
    <row r="221">
      <c r="A221" s="7"/>
    </row>
    <row r="222">
      <c r="A222" s="7"/>
    </row>
    <row r="223">
      <c r="A223" s="7"/>
    </row>
    <row r="224">
      <c r="A224" s="7"/>
    </row>
    <row r="225">
      <c r="A225" s="7"/>
    </row>
    <row r="226">
      <c r="A226" s="7"/>
    </row>
    <row r="227">
      <c r="A227" s="7"/>
    </row>
    <row r="228">
      <c r="A228" s="7"/>
    </row>
    <row r="229">
      <c r="A229" s="7"/>
    </row>
    <row r="230">
      <c r="A230" s="7"/>
    </row>
    <row r="231">
      <c r="A231" s="7"/>
    </row>
    <row r="232">
      <c r="A232" s="7"/>
    </row>
    <row r="233">
      <c r="A233" s="7"/>
    </row>
    <row r="234">
      <c r="A234" s="7"/>
    </row>
    <row r="235">
      <c r="A235" s="7"/>
    </row>
    <row r="236">
      <c r="A236" s="7"/>
    </row>
    <row r="237">
      <c r="A237" s="7"/>
    </row>
    <row r="238">
      <c r="A238" s="7"/>
    </row>
    <row r="239">
      <c r="A239" s="7"/>
    </row>
    <row r="240">
      <c r="A240" s="7"/>
    </row>
    <row r="241">
      <c r="A241" s="7"/>
    </row>
    <row r="242">
      <c r="A242" s="7"/>
    </row>
    <row r="243">
      <c r="A243" s="7"/>
    </row>
    <row r="244">
      <c r="A244" s="7"/>
    </row>
    <row r="245">
      <c r="A245" s="7"/>
    </row>
    <row r="246">
      <c r="A246" s="7"/>
    </row>
    <row r="247">
      <c r="A247" s="7"/>
    </row>
    <row r="248">
      <c r="A248" s="7"/>
    </row>
    <row r="249">
      <c r="A249" s="7"/>
    </row>
    <row r="250">
      <c r="A250" s="7"/>
    </row>
    <row r="251">
      <c r="A251" s="7"/>
    </row>
    <row r="252">
      <c r="A252" s="7"/>
    </row>
    <row r="253">
      <c r="A253" s="7"/>
    </row>
    <row r="254">
      <c r="A254" s="7"/>
    </row>
    <row r="255">
      <c r="A255" s="7"/>
    </row>
    <row r="256">
      <c r="A256" s="7"/>
    </row>
    <row r="257">
      <c r="A257" s="7"/>
    </row>
    <row r="258">
      <c r="A258" s="7"/>
    </row>
    <row r="259">
      <c r="A259" s="7"/>
    </row>
    <row r="260">
      <c r="A260" s="7"/>
    </row>
    <row r="261">
      <c r="A261" s="7"/>
    </row>
    <row r="262">
      <c r="A262" s="7"/>
    </row>
    <row r="263">
      <c r="A263" s="7"/>
    </row>
    <row r="264">
      <c r="A264" s="7"/>
    </row>
    <row r="265">
      <c r="A265" s="7"/>
    </row>
    <row r="266">
      <c r="A266" s="7"/>
    </row>
    <row r="267">
      <c r="A267" s="7"/>
    </row>
    <row r="268">
      <c r="A268" s="7"/>
    </row>
    <row r="269">
      <c r="A269" s="7"/>
    </row>
    <row r="270">
      <c r="A270" s="7"/>
    </row>
    <row r="271">
      <c r="A271" s="7"/>
    </row>
    <row r="272">
      <c r="A272" s="7"/>
    </row>
    <row r="273">
      <c r="A273" s="7"/>
    </row>
    <row r="274">
      <c r="A274" s="7"/>
    </row>
    <row r="275">
      <c r="A275" s="7"/>
    </row>
    <row r="276">
      <c r="A276" s="7"/>
    </row>
    <row r="277">
      <c r="A277" s="7"/>
    </row>
    <row r="278">
      <c r="A278" s="7"/>
    </row>
    <row r="279">
      <c r="A279" s="7"/>
    </row>
    <row r="280">
      <c r="A280" s="7"/>
    </row>
    <row r="281">
      <c r="A281" s="7"/>
    </row>
    <row r="282">
      <c r="A282" s="7"/>
    </row>
    <row r="283">
      <c r="A283" s="7"/>
    </row>
    <row r="284">
      <c r="A284" s="7"/>
    </row>
    <row r="285">
      <c r="A285" s="7"/>
    </row>
    <row r="286">
      <c r="A286" s="7"/>
    </row>
    <row r="287">
      <c r="A287" s="7"/>
    </row>
    <row r="288">
      <c r="A288" s="7"/>
    </row>
    <row r="289">
      <c r="A289" s="7"/>
    </row>
    <row r="290">
      <c r="A290" s="7"/>
    </row>
    <row r="291">
      <c r="A291" s="7"/>
    </row>
    <row r="292">
      <c r="A292" s="7"/>
    </row>
    <row r="293">
      <c r="A293" s="7"/>
    </row>
    <row r="294">
      <c r="A294" s="7"/>
    </row>
    <row r="295">
      <c r="A295" s="7"/>
    </row>
    <row r="296">
      <c r="A296" s="7"/>
    </row>
    <row r="297">
      <c r="A297" s="7"/>
    </row>
    <row r="298">
      <c r="A298" s="7"/>
    </row>
    <row r="299">
      <c r="A299" s="7"/>
    </row>
    <row r="300">
      <c r="A300" s="7"/>
    </row>
    <row r="301">
      <c r="A301" s="7"/>
    </row>
    <row r="302">
      <c r="A302" s="7"/>
    </row>
    <row r="303">
      <c r="A303" s="7"/>
    </row>
    <row r="304">
      <c r="A304" s="7"/>
    </row>
    <row r="305">
      <c r="A305" s="7"/>
    </row>
    <row r="306">
      <c r="A306" s="7"/>
    </row>
    <row r="307">
      <c r="A307" s="7"/>
    </row>
    <row r="308">
      <c r="A308" s="7"/>
    </row>
    <row r="309">
      <c r="A309" s="7"/>
    </row>
    <row r="310">
      <c r="A310" s="7"/>
    </row>
    <row r="311">
      <c r="A311" s="7"/>
    </row>
    <row r="312">
      <c r="A312" s="7"/>
    </row>
    <row r="313">
      <c r="A313" s="7"/>
    </row>
    <row r="314">
      <c r="A314" s="7"/>
    </row>
    <row r="315">
      <c r="A315" s="7"/>
    </row>
    <row r="316">
      <c r="A316" s="7"/>
    </row>
    <row r="317">
      <c r="A317" s="7"/>
    </row>
    <row r="318">
      <c r="A318" s="7"/>
    </row>
    <row r="319">
      <c r="A319" s="7"/>
    </row>
    <row r="320">
      <c r="A320" s="7"/>
    </row>
    <row r="321">
      <c r="A321" s="7"/>
    </row>
    <row r="322">
      <c r="A322" s="7"/>
    </row>
    <row r="323">
      <c r="A323" s="7"/>
    </row>
    <row r="324">
      <c r="A324" s="7"/>
    </row>
    <row r="325">
      <c r="A325" s="7"/>
    </row>
    <row r="326">
      <c r="A326" s="7"/>
    </row>
    <row r="327">
      <c r="A327" s="7"/>
    </row>
    <row r="328">
      <c r="A328" s="7"/>
    </row>
    <row r="329">
      <c r="A329" s="7"/>
    </row>
    <row r="330">
      <c r="A330" s="7"/>
    </row>
    <row r="331">
      <c r="A331" s="7"/>
    </row>
    <row r="332">
      <c r="A332" s="7"/>
    </row>
    <row r="333">
      <c r="A333" s="7"/>
    </row>
    <row r="334">
      <c r="A334" s="7"/>
    </row>
    <row r="335">
      <c r="A335" s="7"/>
    </row>
    <row r="336">
      <c r="A336" s="7"/>
    </row>
    <row r="337">
      <c r="A337" s="7"/>
    </row>
    <row r="338">
      <c r="A338" s="7"/>
    </row>
    <row r="339">
      <c r="A339" s="7"/>
    </row>
    <row r="340">
      <c r="A340" s="7"/>
    </row>
    <row r="341">
      <c r="A341" s="7"/>
    </row>
    <row r="342">
      <c r="A342" s="7"/>
    </row>
    <row r="343">
      <c r="A343" s="7"/>
    </row>
    <row r="344">
      <c r="A344" s="7"/>
    </row>
    <row r="345">
      <c r="A345" s="7"/>
    </row>
    <row r="346">
      <c r="A346" s="7"/>
    </row>
    <row r="347">
      <c r="A347" s="7"/>
    </row>
    <row r="348">
      <c r="A348" s="7"/>
    </row>
    <row r="349">
      <c r="A349" s="7"/>
    </row>
    <row r="350">
      <c r="A350" s="7"/>
    </row>
    <row r="351">
      <c r="A351" s="7"/>
    </row>
    <row r="352">
      <c r="A352" s="7"/>
    </row>
    <row r="353">
      <c r="A353" s="7"/>
    </row>
    <row r="354">
      <c r="A354" s="7"/>
    </row>
    <row r="355">
      <c r="A355" s="7"/>
    </row>
    <row r="356">
      <c r="A356" s="7"/>
    </row>
    <row r="357">
      <c r="A357" s="7"/>
    </row>
    <row r="358">
      <c r="A358" s="7"/>
    </row>
    <row r="359">
      <c r="A359" s="7"/>
    </row>
    <row r="360">
      <c r="A360" s="7"/>
    </row>
    <row r="361">
      <c r="A361" s="7"/>
    </row>
    <row r="362">
      <c r="A362" s="7"/>
    </row>
    <row r="363">
      <c r="A363" s="7"/>
    </row>
    <row r="364">
      <c r="A364" s="7"/>
    </row>
    <row r="365">
      <c r="A365" s="7"/>
    </row>
    <row r="366">
      <c r="A366" s="7"/>
    </row>
    <row r="367">
      <c r="A367" s="7"/>
    </row>
    <row r="368">
      <c r="A368" s="7"/>
    </row>
    <row r="369">
      <c r="A369" s="7"/>
    </row>
    <row r="370">
      <c r="A370" s="7"/>
    </row>
    <row r="371">
      <c r="A371" s="7"/>
    </row>
    <row r="372">
      <c r="A372" s="7"/>
    </row>
    <row r="373">
      <c r="A373" s="7"/>
    </row>
    <row r="374">
      <c r="A374" s="7"/>
    </row>
    <row r="375">
      <c r="A375" s="7"/>
    </row>
    <row r="376">
      <c r="A376" s="7"/>
    </row>
    <row r="377">
      <c r="A377" s="7"/>
    </row>
    <row r="378">
      <c r="A378" s="7"/>
    </row>
    <row r="379">
      <c r="A379" s="7"/>
    </row>
    <row r="380">
      <c r="A380" s="7"/>
    </row>
    <row r="381">
      <c r="A381" s="7"/>
    </row>
    <row r="382">
      <c r="A382" s="7"/>
    </row>
    <row r="383">
      <c r="A383" s="7"/>
    </row>
    <row r="384">
      <c r="A384" s="7"/>
    </row>
    <row r="385">
      <c r="A385" s="7"/>
    </row>
    <row r="386">
      <c r="A386" s="7"/>
    </row>
    <row r="387">
      <c r="A387" s="7"/>
    </row>
    <row r="388">
      <c r="A388" s="7"/>
    </row>
    <row r="389">
      <c r="A389" s="7"/>
    </row>
    <row r="390">
      <c r="A390" s="7"/>
    </row>
    <row r="391">
      <c r="A391" s="7"/>
    </row>
    <row r="392">
      <c r="A392" s="7"/>
    </row>
    <row r="393">
      <c r="A393" s="7"/>
    </row>
    <row r="394">
      <c r="A394" s="7"/>
    </row>
    <row r="395">
      <c r="A395" s="7"/>
    </row>
    <row r="396">
      <c r="A396" s="7"/>
    </row>
    <row r="397">
      <c r="A397" s="7"/>
    </row>
    <row r="398">
      <c r="A398" s="7"/>
    </row>
    <row r="399">
      <c r="A399" s="7"/>
    </row>
    <row r="400">
      <c r="A400" s="7"/>
    </row>
    <row r="401">
      <c r="A401" s="7"/>
    </row>
    <row r="402">
      <c r="A402" s="7"/>
    </row>
    <row r="403">
      <c r="A403" s="7"/>
    </row>
    <row r="404">
      <c r="A404" s="7"/>
    </row>
    <row r="405">
      <c r="A405" s="7"/>
    </row>
    <row r="406">
      <c r="A406" s="7"/>
    </row>
    <row r="407">
      <c r="A407" s="7"/>
    </row>
    <row r="408">
      <c r="A408" s="7"/>
    </row>
    <row r="409">
      <c r="A409" s="7"/>
    </row>
    <row r="410">
      <c r="A410" s="7"/>
    </row>
    <row r="411">
      <c r="A411" s="7"/>
    </row>
    <row r="412">
      <c r="A412" s="7"/>
    </row>
    <row r="413">
      <c r="A413" s="7"/>
    </row>
    <row r="414">
      <c r="A414" s="7"/>
    </row>
    <row r="415">
      <c r="A415" s="7"/>
    </row>
    <row r="416">
      <c r="A416" s="7"/>
    </row>
    <row r="417">
      <c r="A417" s="7"/>
    </row>
    <row r="418">
      <c r="A418" s="7"/>
    </row>
    <row r="419">
      <c r="A419" s="7"/>
    </row>
    <row r="420">
      <c r="A420" s="7"/>
    </row>
    <row r="421">
      <c r="A421" s="7"/>
    </row>
    <row r="422">
      <c r="A422" s="7"/>
    </row>
    <row r="423">
      <c r="A423" s="7"/>
    </row>
    <row r="424">
      <c r="A424" s="7"/>
    </row>
    <row r="425">
      <c r="A425" s="7"/>
    </row>
    <row r="426">
      <c r="A426" s="7"/>
    </row>
    <row r="427">
      <c r="A427" s="7"/>
    </row>
    <row r="428">
      <c r="A428" s="7"/>
    </row>
    <row r="429">
      <c r="A429" s="7"/>
    </row>
    <row r="430">
      <c r="A430" s="7"/>
    </row>
    <row r="431">
      <c r="A431" s="7"/>
    </row>
    <row r="432">
      <c r="A432" s="7"/>
    </row>
    <row r="433">
      <c r="A433" s="7"/>
    </row>
    <row r="434">
      <c r="A434" s="7"/>
    </row>
    <row r="435">
      <c r="A435" s="7"/>
    </row>
    <row r="436">
      <c r="A436" s="7"/>
    </row>
    <row r="437">
      <c r="A437" s="7"/>
    </row>
    <row r="438">
      <c r="A438" s="7"/>
    </row>
    <row r="439">
      <c r="A439" s="7"/>
    </row>
    <row r="440">
      <c r="A440" s="7"/>
    </row>
    <row r="441">
      <c r="A441" s="7"/>
    </row>
    <row r="442">
      <c r="A442" s="7"/>
    </row>
    <row r="443">
      <c r="A443" s="7"/>
    </row>
    <row r="444">
      <c r="A444" s="7"/>
    </row>
    <row r="445">
      <c r="A445" s="7"/>
    </row>
    <row r="446">
      <c r="A446" s="7"/>
    </row>
    <row r="447">
      <c r="A447" s="7"/>
    </row>
    <row r="448">
      <c r="A448" s="7"/>
    </row>
    <row r="449">
      <c r="A449" s="7"/>
    </row>
    <row r="450">
      <c r="A450" s="7"/>
    </row>
    <row r="451">
      <c r="A451" s="7"/>
    </row>
    <row r="452">
      <c r="A452" s="7"/>
    </row>
    <row r="453">
      <c r="A453" s="7"/>
    </row>
    <row r="454">
      <c r="A454" s="7"/>
    </row>
    <row r="455">
      <c r="A455" s="7"/>
    </row>
    <row r="456">
      <c r="A456" s="7"/>
    </row>
    <row r="457">
      <c r="A457" s="7"/>
    </row>
    <row r="458">
      <c r="A458" s="7"/>
    </row>
    <row r="459">
      <c r="A459" s="7"/>
    </row>
    <row r="460">
      <c r="A460" s="7"/>
    </row>
    <row r="461">
      <c r="A461" s="7"/>
    </row>
    <row r="462">
      <c r="A462" s="7"/>
    </row>
    <row r="463">
      <c r="A463" s="7"/>
    </row>
    <row r="464">
      <c r="A464" s="7"/>
    </row>
    <row r="465">
      <c r="A465" s="7"/>
    </row>
    <row r="466">
      <c r="A466" s="7"/>
    </row>
    <row r="467">
      <c r="A467" s="7"/>
    </row>
    <row r="468">
      <c r="A468" s="7"/>
    </row>
    <row r="469">
      <c r="A469" s="7"/>
    </row>
    <row r="470">
      <c r="A470" s="7"/>
    </row>
    <row r="471">
      <c r="A471" s="7"/>
    </row>
    <row r="472">
      <c r="A472" s="7"/>
    </row>
    <row r="473">
      <c r="A473" s="7"/>
    </row>
    <row r="474">
      <c r="A474" s="7"/>
    </row>
    <row r="475">
      <c r="A475" s="7"/>
    </row>
    <row r="476">
      <c r="A476" s="7"/>
    </row>
    <row r="477">
      <c r="A477" s="7"/>
    </row>
    <row r="478">
      <c r="A478" s="7"/>
    </row>
    <row r="479">
      <c r="A479" s="7"/>
    </row>
    <row r="480">
      <c r="A480" s="7"/>
    </row>
    <row r="481">
      <c r="A481" s="7"/>
    </row>
    <row r="482">
      <c r="A482" s="7"/>
    </row>
    <row r="483">
      <c r="A483" s="7"/>
    </row>
    <row r="484">
      <c r="A484" s="7"/>
    </row>
    <row r="485">
      <c r="A485" s="7"/>
    </row>
    <row r="486">
      <c r="A486" s="7"/>
    </row>
    <row r="487">
      <c r="A487" s="7"/>
    </row>
    <row r="488">
      <c r="A488" s="7"/>
    </row>
    <row r="489">
      <c r="A489" s="7"/>
    </row>
    <row r="490">
      <c r="A490" s="7"/>
    </row>
    <row r="491">
      <c r="A491" s="7"/>
    </row>
    <row r="492">
      <c r="A492" s="7"/>
    </row>
    <row r="493">
      <c r="A493" s="7"/>
    </row>
    <row r="494">
      <c r="A494" s="7"/>
    </row>
    <row r="495">
      <c r="A495" s="7"/>
    </row>
    <row r="496">
      <c r="A496" s="7"/>
    </row>
    <row r="497">
      <c r="A497" s="7"/>
    </row>
    <row r="498">
      <c r="A498" s="7"/>
    </row>
    <row r="499">
      <c r="A499" s="7"/>
    </row>
    <row r="500">
      <c r="A500" s="7"/>
    </row>
    <row r="501">
      <c r="A501" s="7"/>
    </row>
    <row r="502">
      <c r="A502" s="7"/>
    </row>
    <row r="503">
      <c r="A503" s="7"/>
    </row>
    <row r="504">
      <c r="A504" s="7"/>
    </row>
    <row r="505">
      <c r="A505" s="7"/>
    </row>
    <row r="506">
      <c r="A506" s="7"/>
    </row>
    <row r="507">
      <c r="A507" s="7"/>
    </row>
    <row r="508">
      <c r="A508" s="7"/>
    </row>
    <row r="509">
      <c r="A509" s="7"/>
    </row>
    <row r="510">
      <c r="A510" s="7"/>
    </row>
    <row r="511">
      <c r="A511" s="7"/>
    </row>
    <row r="512">
      <c r="A512" s="7"/>
    </row>
    <row r="513">
      <c r="A513" s="7"/>
    </row>
    <row r="514">
      <c r="A514" s="7"/>
    </row>
    <row r="515">
      <c r="A515" s="7"/>
    </row>
    <row r="516">
      <c r="A516" s="7"/>
    </row>
    <row r="517">
      <c r="A517" s="7"/>
    </row>
    <row r="518">
      <c r="A518" s="7"/>
    </row>
    <row r="519">
      <c r="A519" s="7"/>
    </row>
    <row r="520">
      <c r="A520" s="7"/>
    </row>
    <row r="521">
      <c r="A521" s="7"/>
    </row>
    <row r="522">
      <c r="A522" s="7"/>
    </row>
    <row r="523">
      <c r="A523" s="7"/>
    </row>
    <row r="524">
      <c r="A524" s="7"/>
    </row>
    <row r="525">
      <c r="A525" s="7"/>
    </row>
    <row r="526">
      <c r="A526" s="7"/>
    </row>
    <row r="527">
      <c r="A527" s="7"/>
    </row>
    <row r="528">
      <c r="A528" s="7"/>
    </row>
    <row r="529">
      <c r="A529" s="7"/>
    </row>
    <row r="530">
      <c r="A530" s="7"/>
    </row>
    <row r="531">
      <c r="A531" s="7"/>
    </row>
    <row r="532">
      <c r="A532" s="7"/>
    </row>
    <row r="533">
      <c r="A533" s="7"/>
    </row>
    <row r="534">
      <c r="A534" s="7"/>
    </row>
    <row r="535">
      <c r="A535" s="7"/>
    </row>
    <row r="536">
      <c r="A536" s="7"/>
    </row>
    <row r="537">
      <c r="A537" s="7"/>
    </row>
    <row r="538">
      <c r="A538" s="7"/>
    </row>
    <row r="539">
      <c r="A539" s="7"/>
    </row>
    <row r="540">
      <c r="A540" s="7"/>
    </row>
    <row r="541">
      <c r="A541" s="7"/>
    </row>
    <row r="542">
      <c r="A542" s="7"/>
    </row>
    <row r="543">
      <c r="A543" s="7"/>
    </row>
    <row r="544">
      <c r="A544" s="7"/>
    </row>
    <row r="545">
      <c r="A545" s="7"/>
    </row>
    <row r="546">
      <c r="A546" s="7"/>
    </row>
    <row r="547">
      <c r="A547" s="7"/>
    </row>
    <row r="548">
      <c r="A548" s="7"/>
    </row>
    <row r="549">
      <c r="A549" s="7"/>
    </row>
    <row r="550">
      <c r="A550" s="7"/>
    </row>
    <row r="551">
      <c r="A551" s="7"/>
    </row>
    <row r="552">
      <c r="A552" s="7"/>
    </row>
    <row r="553">
      <c r="A553" s="7"/>
    </row>
    <row r="554">
      <c r="A554" s="7"/>
    </row>
    <row r="555">
      <c r="A555" s="7"/>
    </row>
    <row r="556">
      <c r="A556" s="7"/>
    </row>
    <row r="557">
      <c r="A557" s="7"/>
    </row>
    <row r="558">
      <c r="A558" s="7"/>
    </row>
    <row r="559">
      <c r="A559" s="7"/>
    </row>
    <row r="560">
      <c r="A560" s="7"/>
    </row>
    <row r="561">
      <c r="A561" s="7"/>
    </row>
    <row r="562">
      <c r="A562" s="7"/>
    </row>
    <row r="563">
      <c r="A563" s="7"/>
    </row>
    <row r="564">
      <c r="A564" s="7"/>
    </row>
    <row r="565">
      <c r="A565" s="7"/>
    </row>
    <row r="566">
      <c r="A566" s="7"/>
    </row>
    <row r="567">
      <c r="A567" s="7"/>
    </row>
    <row r="568">
      <c r="A568" s="7"/>
    </row>
    <row r="569">
      <c r="A569" s="7"/>
    </row>
    <row r="570">
      <c r="A570" s="7"/>
    </row>
    <row r="571">
      <c r="A571" s="7"/>
    </row>
    <row r="572">
      <c r="A572" s="7"/>
    </row>
    <row r="573">
      <c r="A573" s="7"/>
    </row>
    <row r="574">
      <c r="A574" s="7"/>
    </row>
    <row r="575">
      <c r="A575" s="7"/>
    </row>
    <row r="576">
      <c r="A576" s="7"/>
    </row>
    <row r="577">
      <c r="A577" s="7"/>
    </row>
    <row r="578">
      <c r="A578" s="7"/>
    </row>
    <row r="579">
      <c r="A579" s="7"/>
    </row>
    <row r="580">
      <c r="A580" s="7"/>
    </row>
    <row r="581">
      <c r="A581" s="7"/>
    </row>
    <row r="582">
      <c r="A582" s="7"/>
    </row>
    <row r="583">
      <c r="A583" s="7"/>
    </row>
    <row r="584">
      <c r="A584" s="7"/>
    </row>
    <row r="585">
      <c r="A585" s="7"/>
    </row>
    <row r="586">
      <c r="A586" s="7"/>
    </row>
    <row r="587">
      <c r="A587" s="7"/>
    </row>
    <row r="588">
      <c r="A588" s="7"/>
    </row>
    <row r="589">
      <c r="A589" s="7"/>
    </row>
    <row r="590">
      <c r="A590" s="7"/>
    </row>
    <row r="591">
      <c r="A591" s="7"/>
    </row>
    <row r="592">
      <c r="A592" s="7"/>
    </row>
    <row r="593">
      <c r="A593" s="7"/>
    </row>
    <row r="594">
      <c r="A594" s="7"/>
    </row>
    <row r="595">
      <c r="A595" s="7"/>
    </row>
    <row r="596">
      <c r="A596" s="7"/>
    </row>
    <row r="597">
      <c r="A597" s="7"/>
    </row>
    <row r="598">
      <c r="A598" s="7"/>
    </row>
    <row r="599">
      <c r="A599" s="7"/>
    </row>
    <row r="600">
      <c r="A600" s="7"/>
    </row>
    <row r="601">
      <c r="A601" s="7"/>
    </row>
    <row r="602">
      <c r="A602" s="7"/>
    </row>
    <row r="603">
      <c r="A603" s="7"/>
    </row>
    <row r="604">
      <c r="A604" s="7"/>
    </row>
    <row r="605">
      <c r="A605" s="7"/>
    </row>
    <row r="606">
      <c r="A606" s="7"/>
    </row>
    <row r="607">
      <c r="A607" s="7"/>
    </row>
    <row r="608">
      <c r="A608" s="7"/>
    </row>
    <row r="609">
      <c r="A609" s="7"/>
    </row>
    <row r="610">
      <c r="A610" s="7"/>
    </row>
    <row r="611">
      <c r="A611" s="7"/>
    </row>
    <row r="612">
      <c r="A612" s="7"/>
    </row>
    <row r="613">
      <c r="A613" s="7"/>
    </row>
    <row r="614">
      <c r="A614" s="7"/>
    </row>
    <row r="615">
      <c r="A615" s="7"/>
    </row>
    <row r="616">
      <c r="A616" s="7"/>
    </row>
    <row r="617">
      <c r="A617" s="7"/>
    </row>
    <row r="618">
      <c r="A618" s="7"/>
    </row>
    <row r="619">
      <c r="A619" s="7"/>
    </row>
    <row r="620">
      <c r="A620" s="7"/>
    </row>
    <row r="621">
      <c r="A621" s="7"/>
    </row>
    <row r="622">
      <c r="A622" s="7"/>
    </row>
    <row r="623">
      <c r="A623" s="7"/>
    </row>
    <row r="624">
      <c r="A624" s="7"/>
    </row>
    <row r="625">
      <c r="A625" s="7"/>
    </row>
    <row r="626">
      <c r="A626" s="7"/>
    </row>
    <row r="627">
      <c r="A627" s="7"/>
    </row>
    <row r="628">
      <c r="A628" s="7"/>
    </row>
    <row r="629">
      <c r="A629" s="7"/>
    </row>
    <row r="630">
      <c r="A630" s="7"/>
    </row>
    <row r="631">
      <c r="A631" s="7"/>
    </row>
    <row r="632">
      <c r="A632" s="7"/>
    </row>
    <row r="633">
      <c r="A633" s="7"/>
    </row>
    <row r="634">
      <c r="A634" s="7"/>
    </row>
    <row r="635">
      <c r="A635" s="7"/>
    </row>
    <row r="636">
      <c r="A636" s="7"/>
    </row>
    <row r="637">
      <c r="A637" s="7"/>
    </row>
    <row r="638">
      <c r="A638" s="7"/>
    </row>
    <row r="639">
      <c r="A639" s="7"/>
    </row>
    <row r="640">
      <c r="A640" s="7"/>
    </row>
    <row r="641">
      <c r="A641" s="7"/>
    </row>
    <row r="642">
      <c r="A642" s="7"/>
    </row>
    <row r="643">
      <c r="A643" s="7"/>
    </row>
    <row r="644">
      <c r="A644" s="7"/>
    </row>
    <row r="645">
      <c r="A645" s="7"/>
    </row>
    <row r="646">
      <c r="A646" s="7"/>
    </row>
    <row r="647">
      <c r="A647" s="7"/>
    </row>
    <row r="648">
      <c r="A648" s="7"/>
    </row>
    <row r="649">
      <c r="A649" s="7"/>
    </row>
    <row r="650">
      <c r="A650" s="7"/>
    </row>
    <row r="651">
      <c r="A651" s="7"/>
    </row>
    <row r="652">
      <c r="A652" s="7"/>
    </row>
    <row r="653">
      <c r="A653" s="7"/>
    </row>
    <row r="654">
      <c r="A654" s="7"/>
    </row>
    <row r="655">
      <c r="A655" s="7"/>
    </row>
    <row r="656">
      <c r="A656" s="7"/>
    </row>
    <row r="657">
      <c r="A657" s="7"/>
    </row>
    <row r="658">
      <c r="A658" s="7"/>
    </row>
    <row r="659">
      <c r="A659" s="7"/>
    </row>
    <row r="660">
      <c r="A660" s="7"/>
    </row>
    <row r="661">
      <c r="A661" s="7"/>
    </row>
    <row r="662">
      <c r="A662" s="7"/>
    </row>
    <row r="663">
      <c r="A663" s="7"/>
    </row>
    <row r="664">
      <c r="A664" s="7"/>
    </row>
    <row r="665">
      <c r="A665" s="7"/>
    </row>
    <row r="666">
      <c r="A666" s="7"/>
    </row>
    <row r="667">
      <c r="A667" s="7"/>
    </row>
    <row r="668">
      <c r="A668" s="7"/>
    </row>
    <row r="669">
      <c r="A669" s="7"/>
    </row>
    <row r="670">
      <c r="A670" s="7"/>
    </row>
    <row r="671">
      <c r="A671" s="7"/>
    </row>
    <row r="672">
      <c r="A672" s="7"/>
    </row>
    <row r="673">
      <c r="A673" s="7"/>
    </row>
    <row r="674">
      <c r="A674" s="7"/>
    </row>
    <row r="675">
      <c r="A675" s="7"/>
    </row>
    <row r="676">
      <c r="A676" s="7"/>
    </row>
    <row r="677">
      <c r="A677" s="7"/>
    </row>
    <row r="678">
      <c r="A678" s="7"/>
    </row>
    <row r="679">
      <c r="A679" s="7"/>
    </row>
    <row r="680">
      <c r="A680" s="7"/>
    </row>
    <row r="681">
      <c r="A681" s="7"/>
    </row>
    <row r="682">
      <c r="A682" s="7"/>
    </row>
    <row r="683">
      <c r="A683" s="7"/>
    </row>
    <row r="684">
      <c r="A684" s="7"/>
    </row>
    <row r="685">
      <c r="A685" s="7"/>
    </row>
    <row r="686">
      <c r="A686" s="7"/>
    </row>
    <row r="687">
      <c r="A687" s="7"/>
    </row>
    <row r="688">
      <c r="A688" s="7"/>
    </row>
    <row r="689">
      <c r="A689" s="7"/>
    </row>
    <row r="690">
      <c r="A690" s="7"/>
    </row>
    <row r="691">
      <c r="A691" s="7"/>
    </row>
    <row r="692">
      <c r="A692" s="7"/>
    </row>
    <row r="693">
      <c r="A693" s="7"/>
    </row>
    <row r="694">
      <c r="A694" s="7"/>
    </row>
    <row r="695">
      <c r="A695" s="7"/>
    </row>
    <row r="696">
      <c r="A696" s="7"/>
    </row>
    <row r="697">
      <c r="A697" s="7"/>
    </row>
    <row r="698">
      <c r="A698" s="7"/>
    </row>
    <row r="699">
      <c r="A699" s="7"/>
    </row>
    <row r="700">
      <c r="A700" s="7"/>
    </row>
    <row r="701">
      <c r="A701" s="7"/>
    </row>
    <row r="702">
      <c r="A702" s="7"/>
    </row>
    <row r="703">
      <c r="A703" s="7"/>
    </row>
    <row r="704">
      <c r="A704" s="7"/>
    </row>
    <row r="705">
      <c r="A705" s="7"/>
    </row>
    <row r="706">
      <c r="A706" s="7"/>
    </row>
    <row r="707">
      <c r="A707" s="7"/>
    </row>
    <row r="708">
      <c r="A708" s="7"/>
    </row>
    <row r="709">
      <c r="A709" s="7"/>
    </row>
    <row r="710">
      <c r="A710" s="7"/>
    </row>
    <row r="711">
      <c r="A711" s="7"/>
    </row>
    <row r="712">
      <c r="A712" s="7"/>
    </row>
    <row r="713">
      <c r="A713" s="7"/>
    </row>
    <row r="714">
      <c r="A714" s="7"/>
    </row>
    <row r="715">
      <c r="A715" s="7"/>
    </row>
    <row r="716">
      <c r="A716" s="7"/>
    </row>
    <row r="717">
      <c r="A717" s="7"/>
    </row>
    <row r="718">
      <c r="A718" s="7"/>
    </row>
    <row r="719">
      <c r="A719" s="7"/>
    </row>
    <row r="720">
      <c r="A720" s="7"/>
    </row>
    <row r="721">
      <c r="A721" s="7"/>
    </row>
    <row r="722">
      <c r="A722" s="7"/>
    </row>
    <row r="723">
      <c r="A723" s="7"/>
    </row>
    <row r="724">
      <c r="A724" s="7"/>
    </row>
    <row r="725">
      <c r="A725" s="7"/>
    </row>
    <row r="726">
      <c r="A726" s="7"/>
    </row>
    <row r="727">
      <c r="A727" s="7"/>
    </row>
    <row r="728">
      <c r="A728" s="7"/>
    </row>
    <row r="729">
      <c r="A729" s="7"/>
    </row>
    <row r="730">
      <c r="A730" s="7"/>
    </row>
    <row r="731">
      <c r="A731" s="7"/>
    </row>
    <row r="732">
      <c r="A732" s="7"/>
    </row>
    <row r="733">
      <c r="A733" s="7"/>
    </row>
    <row r="734">
      <c r="A734" s="7"/>
    </row>
    <row r="735">
      <c r="A735" s="7"/>
    </row>
    <row r="736">
      <c r="A736" s="7"/>
    </row>
    <row r="737">
      <c r="A737" s="7"/>
    </row>
    <row r="738">
      <c r="A738" s="7"/>
    </row>
    <row r="739">
      <c r="A739" s="7"/>
    </row>
    <row r="740">
      <c r="A740" s="7"/>
    </row>
    <row r="741">
      <c r="A741" s="7"/>
    </row>
    <row r="742">
      <c r="A742" s="7"/>
    </row>
    <row r="743">
      <c r="A743" s="7"/>
    </row>
    <row r="744">
      <c r="A744" s="7"/>
    </row>
    <row r="745">
      <c r="A745" s="7"/>
    </row>
    <row r="746">
      <c r="A746" s="7"/>
    </row>
    <row r="747">
      <c r="A747" s="7"/>
    </row>
    <row r="748">
      <c r="A748" s="7"/>
    </row>
    <row r="749">
      <c r="A749" s="7"/>
    </row>
    <row r="750">
      <c r="A750" s="7"/>
    </row>
    <row r="751">
      <c r="A751" s="7"/>
    </row>
    <row r="752">
      <c r="A752" s="7"/>
    </row>
    <row r="753">
      <c r="A753" s="7"/>
    </row>
    <row r="754">
      <c r="A754" s="7"/>
    </row>
    <row r="755">
      <c r="A755" s="7"/>
    </row>
    <row r="756">
      <c r="A756" s="7"/>
    </row>
    <row r="757">
      <c r="A757" s="7"/>
    </row>
    <row r="758">
      <c r="A758" s="7"/>
    </row>
    <row r="759">
      <c r="A759" s="7"/>
    </row>
    <row r="760">
      <c r="A760" s="7"/>
    </row>
    <row r="761">
      <c r="A761" s="7"/>
    </row>
    <row r="762">
      <c r="A762" s="7"/>
    </row>
    <row r="763">
      <c r="A763" s="7"/>
    </row>
    <row r="764">
      <c r="A764" s="7"/>
    </row>
    <row r="765">
      <c r="A765" s="7"/>
    </row>
    <row r="766">
      <c r="A766" s="7"/>
    </row>
    <row r="767">
      <c r="A767" s="7"/>
    </row>
    <row r="768">
      <c r="A768" s="7"/>
    </row>
    <row r="769">
      <c r="A769" s="7"/>
    </row>
    <row r="770">
      <c r="A770" s="7"/>
    </row>
    <row r="771">
      <c r="A771" s="7"/>
    </row>
    <row r="772">
      <c r="A772" s="7"/>
    </row>
    <row r="773">
      <c r="A773" s="7"/>
    </row>
    <row r="774">
      <c r="A774" s="7"/>
    </row>
    <row r="775">
      <c r="A775" s="7"/>
    </row>
    <row r="776">
      <c r="A776" s="7"/>
    </row>
    <row r="777">
      <c r="A777" s="7"/>
    </row>
    <row r="778">
      <c r="A778" s="7"/>
    </row>
    <row r="779">
      <c r="A779" s="7"/>
    </row>
    <row r="780">
      <c r="A780" s="7"/>
    </row>
    <row r="781">
      <c r="A781" s="7"/>
    </row>
    <row r="782">
      <c r="A782" s="7"/>
    </row>
    <row r="783">
      <c r="A783" s="7"/>
    </row>
    <row r="784">
      <c r="A784" s="7"/>
    </row>
    <row r="785">
      <c r="A785" s="7"/>
    </row>
    <row r="786">
      <c r="A786" s="7"/>
    </row>
    <row r="787">
      <c r="A787" s="7"/>
    </row>
    <row r="788">
      <c r="A788" s="7"/>
    </row>
    <row r="789">
      <c r="A789" s="7"/>
    </row>
    <row r="790">
      <c r="A790" s="7"/>
    </row>
    <row r="791">
      <c r="A791" s="7"/>
    </row>
    <row r="792">
      <c r="A792" s="7"/>
    </row>
    <row r="793">
      <c r="A793" s="7"/>
    </row>
    <row r="794">
      <c r="A794" s="7"/>
    </row>
    <row r="795">
      <c r="A795" s="7"/>
    </row>
    <row r="796">
      <c r="A796" s="7"/>
    </row>
    <row r="797">
      <c r="A797" s="7"/>
    </row>
    <row r="798">
      <c r="A798" s="7"/>
    </row>
    <row r="799">
      <c r="A799" s="7"/>
    </row>
    <row r="800">
      <c r="A800" s="7"/>
    </row>
    <row r="801">
      <c r="A801" s="7"/>
    </row>
    <row r="802">
      <c r="A802" s="7"/>
    </row>
    <row r="803">
      <c r="A803" s="7"/>
    </row>
    <row r="804">
      <c r="A804" s="7"/>
    </row>
    <row r="805">
      <c r="A805" s="7"/>
    </row>
    <row r="806">
      <c r="A806" s="7"/>
    </row>
    <row r="807">
      <c r="A807" s="7"/>
    </row>
    <row r="808">
      <c r="A808" s="7"/>
    </row>
    <row r="809">
      <c r="A809" s="7"/>
    </row>
    <row r="810">
      <c r="A810" s="7"/>
    </row>
    <row r="811">
      <c r="A811" s="7"/>
    </row>
    <row r="812">
      <c r="A812" s="7"/>
    </row>
    <row r="813">
      <c r="A813" s="7"/>
    </row>
    <row r="814">
      <c r="A814" s="7"/>
    </row>
    <row r="815">
      <c r="A815" s="7"/>
    </row>
    <row r="816">
      <c r="A816" s="7"/>
    </row>
    <row r="817">
      <c r="A817" s="7"/>
    </row>
    <row r="818">
      <c r="A818" s="7"/>
    </row>
    <row r="819">
      <c r="A819" s="7"/>
    </row>
    <row r="820">
      <c r="A820" s="7"/>
    </row>
    <row r="821">
      <c r="A821" s="7"/>
    </row>
    <row r="822">
      <c r="A822" s="7"/>
    </row>
    <row r="823">
      <c r="A823" s="7"/>
    </row>
    <row r="824">
      <c r="A824" s="7"/>
    </row>
    <row r="825">
      <c r="A825" s="7"/>
    </row>
    <row r="826">
      <c r="A826" s="7"/>
    </row>
    <row r="827">
      <c r="A827" s="7"/>
    </row>
    <row r="828">
      <c r="A828" s="7"/>
    </row>
    <row r="829">
      <c r="A829" s="7"/>
    </row>
    <row r="830">
      <c r="A830" s="7"/>
    </row>
    <row r="831">
      <c r="A831" s="7"/>
    </row>
    <row r="832">
      <c r="A832" s="7"/>
    </row>
    <row r="833">
      <c r="A833" s="7"/>
    </row>
    <row r="834">
      <c r="A834" s="7"/>
    </row>
    <row r="835">
      <c r="A835" s="7"/>
    </row>
    <row r="836">
      <c r="A836" s="7"/>
    </row>
    <row r="837">
      <c r="A837" s="7"/>
    </row>
    <row r="838">
      <c r="A838" s="7"/>
    </row>
    <row r="839">
      <c r="A839" s="7"/>
    </row>
    <row r="840">
      <c r="A840" s="7"/>
    </row>
    <row r="841">
      <c r="A841" s="7"/>
    </row>
    <row r="842">
      <c r="A842" s="7"/>
    </row>
    <row r="843">
      <c r="A843" s="7"/>
    </row>
    <row r="844">
      <c r="A844" s="7"/>
    </row>
    <row r="845">
      <c r="A845" s="7"/>
    </row>
    <row r="846">
      <c r="A846" s="7"/>
    </row>
    <row r="847">
      <c r="A847" s="7"/>
    </row>
    <row r="848">
      <c r="A848" s="7"/>
    </row>
    <row r="849">
      <c r="A849" s="7"/>
    </row>
    <row r="850">
      <c r="A850" s="7"/>
    </row>
    <row r="851">
      <c r="A851" s="7"/>
    </row>
    <row r="852">
      <c r="A852" s="7"/>
    </row>
    <row r="853">
      <c r="A853" s="7"/>
    </row>
    <row r="854">
      <c r="A854" s="7"/>
    </row>
    <row r="855">
      <c r="A855" s="7"/>
    </row>
    <row r="856">
      <c r="A856" s="7"/>
    </row>
    <row r="857">
      <c r="A857" s="7"/>
    </row>
    <row r="858">
      <c r="A858" s="7"/>
    </row>
    <row r="859">
      <c r="A859" s="7"/>
    </row>
    <row r="860">
      <c r="A860" s="7"/>
    </row>
    <row r="861">
      <c r="A861" s="7"/>
    </row>
    <row r="862">
      <c r="A862" s="7"/>
    </row>
    <row r="863">
      <c r="A863" s="7"/>
    </row>
    <row r="864">
      <c r="A864" s="7"/>
    </row>
    <row r="865">
      <c r="A865" s="7"/>
    </row>
    <row r="866">
      <c r="A866" s="7"/>
    </row>
    <row r="867">
      <c r="A867" s="7"/>
    </row>
    <row r="868">
      <c r="A868" s="7"/>
    </row>
    <row r="869">
      <c r="A869" s="7"/>
    </row>
    <row r="870">
      <c r="A870" s="7"/>
    </row>
    <row r="871">
      <c r="A871" s="7"/>
    </row>
    <row r="872">
      <c r="A872" s="7"/>
    </row>
    <row r="873">
      <c r="A873" s="7"/>
    </row>
    <row r="874">
      <c r="A874" s="7"/>
    </row>
    <row r="875">
      <c r="A875" s="7"/>
    </row>
    <row r="876">
      <c r="A876" s="7"/>
    </row>
    <row r="877">
      <c r="A877" s="7"/>
    </row>
    <row r="878">
      <c r="A878" s="7"/>
    </row>
    <row r="879">
      <c r="A879" s="7"/>
    </row>
    <row r="880">
      <c r="A880" s="7"/>
    </row>
    <row r="881">
      <c r="A881" s="7"/>
    </row>
    <row r="882">
      <c r="A882" s="7"/>
    </row>
    <row r="883">
      <c r="A883" s="7"/>
    </row>
    <row r="884">
      <c r="A884" s="7"/>
    </row>
    <row r="885">
      <c r="A885" s="7"/>
    </row>
    <row r="886">
      <c r="A886" s="7"/>
    </row>
    <row r="887">
      <c r="A887" s="7"/>
    </row>
    <row r="888">
      <c r="A888" s="7"/>
    </row>
    <row r="889">
      <c r="A889" s="7"/>
    </row>
    <row r="890">
      <c r="A890" s="7"/>
    </row>
    <row r="891">
      <c r="A891" s="7"/>
    </row>
    <row r="892">
      <c r="A892" s="7"/>
    </row>
    <row r="893">
      <c r="A893" s="7"/>
    </row>
    <row r="894">
      <c r="A894" s="7"/>
    </row>
    <row r="895">
      <c r="A895" s="7"/>
    </row>
    <row r="896">
      <c r="A896" s="7"/>
    </row>
    <row r="897">
      <c r="A897" s="7"/>
    </row>
    <row r="898">
      <c r="A898" s="7"/>
    </row>
    <row r="899">
      <c r="A899" s="7"/>
    </row>
    <row r="900">
      <c r="A900" s="7"/>
    </row>
    <row r="901">
      <c r="A901" s="7"/>
    </row>
    <row r="902">
      <c r="A902" s="7"/>
    </row>
    <row r="903">
      <c r="A903" s="7"/>
    </row>
    <row r="904">
      <c r="A904" s="7"/>
    </row>
    <row r="905">
      <c r="A905" s="7"/>
    </row>
    <row r="906">
      <c r="A906" s="7"/>
    </row>
    <row r="907">
      <c r="A907" s="7"/>
    </row>
    <row r="908">
      <c r="A908" s="7"/>
    </row>
    <row r="909">
      <c r="A909" s="7"/>
    </row>
    <row r="910">
      <c r="A910" s="7"/>
    </row>
    <row r="911">
      <c r="A911" s="7"/>
    </row>
    <row r="912">
      <c r="A912" s="7"/>
    </row>
    <row r="913">
      <c r="A913" s="7"/>
    </row>
    <row r="914">
      <c r="A914" s="7"/>
    </row>
    <row r="915">
      <c r="A915" s="7"/>
    </row>
    <row r="916">
      <c r="A916" s="7"/>
    </row>
    <row r="917">
      <c r="A917" s="7"/>
    </row>
    <row r="918">
      <c r="A918" s="7"/>
    </row>
    <row r="919">
      <c r="A919" s="7"/>
    </row>
    <row r="920">
      <c r="A920" s="7"/>
    </row>
    <row r="921">
      <c r="A921" s="7"/>
    </row>
    <row r="922">
      <c r="A922" s="7"/>
    </row>
    <row r="923">
      <c r="A923" s="7"/>
    </row>
    <row r="924">
      <c r="A924" s="7"/>
    </row>
    <row r="925">
      <c r="A925" s="7"/>
    </row>
    <row r="926">
      <c r="A926" s="7"/>
    </row>
    <row r="927">
      <c r="A927" s="7"/>
    </row>
    <row r="928">
      <c r="A928" s="7"/>
    </row>
    <row r="929">
      <c r="A929" s="7"/>
    </row>
    <row r="930">
      <c r="A930" s="7"/>
    </row>
    <row r="931">
      <c r="A931" s="7"/>
    </row>
    <row r="932">
      <c r="A932" s="7"/>
    </row>
    <row r="933">
      <c r="A933" s="7"/>
    </row>
    <row r="934">
      <c r="A934" s="7"/>
    </row>
    <row r="935">
      <c r="A935" s="7"/>
    </row>
    <row r="936">
      <c r="A936" s="7"/>
    </row>
    <row r="937">
      <c r="A937" s="7"/>
    </row>
    <row r="938">
      <c r="A938" s="7"/>
    </row>
    <row r="939">
      <c r="A939" s="7"/>
    </row>
    <row r="940">
      <c r="A940" s="7"/>
    </row>
    <row r="941">
      <c r="A941" s="7"/>
    </row>
    <row r="942">
      <c r="A942" s="7"/>
    </row>
    <row r="943">
      <c r="A943" s="7"/>
    </row>
    <row r="944">
      <c r="A944" s="7"/>
    </row>
    <row r="945">
      <c r="A945" s="7"/>
    </row>
    <row r="946">
      <c r="A946" s="7"/>
    </row>
    <row r="947">
      <c r="A947" s="7"/>
    </row>
    <row r="948">
      <c r="A948" s="7"/>
    </row>
    <row r="949">
      <c r="A949" s="7"/>
    </row>
    <row r="950">
      <c r="A950" s="7"/>
    </row>
    <row r="951">
      <c r="A951" s="7"/>
    </row>
    <row r="952">
      <c r="A952" s="7"/>
    </row>
    <row r="953">
      <c r="A953" s="7"/>
    </row>
    <row r="954">
      <c r="A954" s="7"/>
    </row>
    <row r="955">
      <c r="A955" s="7"/>
    </row>
    <row r="956">
      <c r="A956" s="7"/>
    </row>
    <row r="957">
      <c r="A957" s="7"/>
    </row>
    <row r="958">
      <c r="A958" s="7"/>
    </row>
    <row r="959">
      <c r="A959" s="7"/>
    </row>
    <row r="960">
      <c r="A960" s="7"/>
    </row>
    <row r="961">
      <c r="A961" s="7"/>
    </row>
    <row r="962">
      <c r="A962" s="7"/>
    </row>
    <row r="963">
      <c r="A963" s="7"/>
    </row>
    <row r="964">
      <c r="A964" s="7"/>
    </row>
    <row r="965">
      <c r="A965" s="7"/>
    </row>
    <row r="966">
      <c r="A966" s="7"/>
    </row>
    <row r="967">
      <c r="A967" s="7"/>
    </row>
    <row r="968">
      <c r="A968" s="7"/>
    </row>
    <row r="969">
      <c r="A969" s="7"/>
    </row>
    <row r="970">
      <c r="A970" s="7"/>
    </row>
    <row r="971">
      <c r="A971" s="7"/>
    </row>
    <row r="972">
      <c r="A972" s="7"/>
    </row>
    <row r="973">
      <c r="A973" s="7"/>
    </row>
    <row r="974">
      <c r="A974" s="7"/>
    </row>
    <row r="975">
      <c r="A975" s="7"/>
    </row>
    <row r="976">
      <c r="A976" s="7"/>
    </row>
    <row r="977">
      <c r="A977" s="7"/>
    </row>
    <row r="978">
      <c r="A978" s="7"/>
    </row>
    <row r="979">
      <c r="A979" s="7"/>
    </row>
    <row r="980">
      <c r="A980" s="7"/>
    </row>
    <row r="981">
      <c r="A981" s="7"/>
    </row>
    <row r="982">
      <c r="A982" s="7"/>
    </row>
    <row r="983">
      <c r="A983" s="7"/>
    </row>
    <row r="984">
      <c r="A984" s="7"/>
    </row>
    <row r="985">
      <c r="A985" s="7"/>
    </row>
    <row r="986">
      <c r="A986" s="7"/>
    </row>
    <row r="987">
      <c r="A987" s="7"/>
    </row>
    <row r="988">
      <c r="A988" s="7"/>
    </row>
    <row r="989">
      <c r="A989" s="7"/>
    </row>
    <row r="990">
      <c r="A990" s="7"/>
    </row>
    <row r="991">
      <c r="A991" s="7"/>
    </row>
    <row r="992">
      <c r="A992" s="7"/>
    </row>
    <row r="993">
      <c r="A993" s="7"/>
    </row>
    <row r="994">
      <c r="A994" s="7"/>
    </row>
    <row r="995">
      <c r="A995" s="7"/>
    </row>
    <row r="996">
      <c r="A996" s="7"/>
    </row>
    <row r="997">
      <c r="A997" s="7"/>
    </row>
    <row r="998">
      <c r="A998" s="7"/>
    </row>
    <row r="999">
      <c r="A999" s="7"/>
    </row>
    <row r="1000">
      <c r="A1000" s="7"/>
    </row>
  </sheetData>
  <drawing r:id="rId1"/>
</worksheet>
</file>