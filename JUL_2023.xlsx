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<sst xmlns="http://schemas.openxmlformats.org/spreadsheetml/2006/main" count="2237" uniqueCount="609">
  <si>
    <t>SALDO AWAL</t>
  </si>
  <si>
    <t>TRSF E-BANKING DB</t>
  </si>
  <si>
    <t>0107/FTSCY/WS95031 1500000.00 HERMAWAN</t>
  </si>
  <si>
    <t>DB</t>
  </si>
  <si>
    <t>0107/FTSCY/WS95031 2500000.00 MUJIANTO</t>
  </si>
  <si>
    <t>0107/FTSCY/WS95031 100000.00 pelunasan BROILER MAKMUR TAN</t>
  </si>
  <si>
    <t>BI-FAST DB</t>
  </si>
  <si>
    <t>BIF TRANSFER KE 9 AHMAD LUTHFI FADHI M-BCA</t>
  </si>
  <si>
    <t>PRODUKSI</t>
  </si>
  <si>
    <t>BIF BIAYA TXN KE 9 AHMAD LUTHFI FADHI M-BCA</t>
  </si>
  <si>
    <t>0107/FTSCY/WS95031 80500000.00 Tue Jun 30 2026 14:00:00 GMT+0700 (Western Indonesia Time) ANUGERAH KARTIKA A</t>
  </si>
  <si>
    <t>BANK</t>
  </si>
  <si>
    <t>0107/FTSCY/WS95031 5035300.00 EKO SETIYAWAN</t>
  </si>
  <si>
    <t>0107/FTSCY/WS95271 19000.00 pelunasan LAJU SATWA WISESA</t>
  </si>
  <si>
    <t>TRSF E-BANKING CR</t>
  </si>
  <si>
    <t>0107/FTSCY/WS95031 2000000.00 NURUL AINI</t>
  </si>
  <si>
    <t>CR</t>
  </si>
  <si>
    <t>0107/FTSCY/WS95031 700000.00 NURUL AINI</t>
  </si>
  <si>
    <t>0107/FTSCY/WS95031 2700000.00 SANDI FAJAR PRASET</t>
  </si>
  <si>
    <t>0107/FTSCY/WS95051 100000000.00 krmn 1/7 TERA MULIA KORPORI</t>
  </si>
  <si>
    <t>0107/FTSCY/WS95031 1400000.00 SUPRIYADI</t>
  </si>
  <si>
    <t>TRSF E-BANKING CR TANGGAL :01/07</t>
  </si>
  <si>
    <t>0107/FTSCY/WS95051 SIDO RAYA UTAMA CV</t>
  </si>
  <si>
    <t>0207/FTSCY/WS95031 3067070.00 MUJIANTO</t>
  </si>
  <si>
    <t>0207/FTSCY/WS95031 1600600.00 HERMAWAN</t>
  </si>
  <si>
    <t>BIF TRANSFER KE 2 FAJAR ANDREANZAH M-BCA</t>
  </si>
  <si>
    <t>BIF BIAYA TXN KE 2 FAJAR ANDREANZAH M-BCA</t>
  </si>
  <si>
    <t>0207/FTSCY/WS95271 84295000.00 Wed Jul 01 2026 14:00:00 GMT+0700 (Western Indonesia Time) ANUGERAH KARTIKA A</t>
  </si>
  <si>
    <t>0207/FTSCY/WS95271 89745600.00 Tue Jun 30 2026 14:00:00 GMT+0700 (Western Indonesia Time) BINTANG TAMA SANTO</t>
  </si>
  <si>
    <t>0207/FTSCY/WS95031 1200000.00 Bon DIANA NOVITA</t>
  </si>
  <si>
    <t>0207/FTSCY/WS95031 50000000.00 titip blitar TABASSAM AL HATTAK</t>
  </si>
  <si>
    <t>0207/FTFVA/WS95031 55569/PT PRIMA FAJ pasuruan - 40190</t>
  </si>
  <si>
    <t>0307/FTSCY/WS95271 36692880.00 Pelunasan Ayam JT 30.06 RPA SBU ALDINI MARIA GUMIL</t>
  </si>
  <si>
    <t>0307/FTSCY/WS95051 161514580.00 krmn 1/7 TERA MAKMURINDO CV</t>
  </si>
  <si>
    <t>0307/FTSCY/WS95031 10294500.00 pelunasan TABASSAM AL HATTAK</t>
  </si>
  <si>
    <t>0307/FTFVA/WS95031 55569/PT PRIMA FAJ pelunasan pasuruan - 40190</t>
  </si>
  <si>
    <t>0307/FTSCY/WS95271 60000000.00 Titip Byr Ayam JT0 3.07 RPA SBU ALDINI MARIA GUMIL</t>
  </si>
  <si>
    <t>0307/FTSCY/WS95051 100000000.00 krmn 3/7 TERA MAKMURINDO CV</t>
  </si>
  <si>
    <t>0307/FTSCY/WS95051 251777560.00 ah 11140.6x22600 GEMILANG INTI SUKS</t>
  </si>
  <si>
    <t>0307/FTSCY/WS95051 236541880.00 SIDO RAYA UTAMA CV</t>
  </si>
  <si>
    <t>0307/FTSCY/WS95031 1000000.00 pasuruan SUPRIYADI</t>
  </si>
  <si>
    <t>PRIBADI</t>
  </si>
  <si>
    <t>0307/FTSCY/WS95031 3315060.00 sisa bon 1 jt DIANA NOVITA</t>
  </si>
  <si>
    <t>0307/FTSCY/WS95031 10000000.00 EKO SETIYAWAN</t>
  </si>
  <si>
    <t>0307/FTSCY/WS95011 318965420.00 Tue Jun 30 2026 14:00:00 GMT+0700 (Western Indonesia Time) BROILER MAKMUR TAN</t>
  </si>
  <si>
    <t>0307/FTSCY/WS95011 130000000.00 jember titip TERNAK SEJATI TABA</t>
  </si>
  <si>
    <t>0307/FTFVA/WS95031 55569/PT PRIMA FAJ pasuruan 5.6 ton - 40190</t>
  </si>
  <si>
    <t>0307/FTSCY/WS95271 165161250.00 Thu Jul 02 2026 14:00:00 GMT+0700 (Western Indonesia Time) PT BERLIAN INDOMIT</t>
  </si>
  <si>
    <t>0307/FTSCY/WS95271 49517600.00 krg 20 jt HERMANTO</t>
  </si>
  <si>
    <t>0407/FTSCY/WS95031 31807450.00 pelunasan TERNAK SEJATI TABA</t>
  </si>
  <si>
    <t>0407/FTSCY/WS95031 1500000.00 blora HERMAWAN</t>
  </si>
  <si>
    <t>0407/FTSCY/WS95051 152464000.00 BYR AH HAIRUL BIJI JAGUNG PERKAS</t>
  </si>
  <si>
    <t>0407/FTSCY/WS95051 703709760.00 krmn 3/7 TERA MULIA KORPORI</t>
  </si>
  <si>
    <t>0407/FTSCY/WS95011 132843400.00 Mon Mar 02 2026 15:00:00 GMT+0700 (Western Indonesia Time) ANDALAN YASA MITRA</t>
  </si>
  <si>
    <t>0407/FTSCY/WS95011 77000000.00 Fri Jul 03 2026 14:00:00 GMT+0700 (Western Indonesia Time) TUMBUH OPTIMAL PRI</t>
  </si>
  <si>
    <t>0407/FTSCY/WS95011 226775370.00 Thu Jul 02 2026 14:00:00 GMT+0700 (Western Indonesia Time) BINTANG TAMA SANTO</t>
  </si>
  <si>
    <t>0407/FTSCY/WS95011 62046200.00 Thu Jul 02 2026 14:00:00 GMT+0700 (Western Indonesia Time) BROILER MAKMUR TAN</t>
  </si>
  <si>
    <t>0407/FTSCY/WS95271 85000000.00 pelunasan 02/07 BROILER MAKMUR TAN</t>
  </si>
  <si>
    <t>0407/FTSCY/WS95271 214253600.00 02/07 krg 100jt ANDALAN YASA MITRA</t>
  </si>
  <si>
    <t>0407/FTSCY/WS95031 20000000.00 pelunasan HERMANTO</t>
  </si>
  <si>
    <t>0407/FTSCY/WS95031 1750000.00 ANDE DOSO ANGGORO</t>
  </si>
  <si>
    <t>0407/FTSCY/WS95031 2000000.00 MUJIANTO</t>
  </si>
  <si>
    <t>TARIKAN ATM 04/07</t>
  </si>
  <si>
    <t>0407/FTSCY/WS95051 100000000.00 krmn 4/7 TERA MULIA KORPORI</t>
  </si>
  <si>
    <t>0407/FTSCY/WS95031 5069000.00 EKO SETIYAWAN</t>
  </si>
  <si>
    <t>0407/FTSCY/WS95031 500000.00 DIANA NOVITA</t>
  </si>
  <si>
    <t>0407/FTSCY/WS95031 1843740.00 SUPRIYADI</t>
  </si>
  <si>
    <t>0407/FTSCY/WS95051 364884700.00 SIDO RAYA UTAMA CV</t>
  </si>
  <si>
    <t>0407/FTSCY/WS95271 100000000.00 Titip Byr Ayam RPA SBU ALDINI MARIA GUMIL</t>
  </si>
  <si>
    <t>0407/FTFVA/WS95031 55569/PT PRIMA FAJ titip - 40190</t>
  </si>
  <si>
    <t>0507/FTSCY/WS95031 2500000.00 MUJIANTO</t>
  </si>
  <si>
    <t>0507/FTSCY/WS95271 117904900.00 Sat Jul 04 2026 14:00:00 GMT+0700 (Western Indonesia Time) ANUGERAH KARTIKA A</t>
  </si>
  <si>
    <t>0507/FTSCY/WS95051 204329040.00 krmn 4/7 TERA MULIA KORPORI</t>
  </si>
  <si>
    <t>0507/FTSCY/WS95271 180000000.00 Sat Jul 04 2026 14:00:00 GMT+0700 (Western Indonesia Time) GANESHA SATRIA NUS</t>
  </si>
  <si>
    <t>BYR VIA E-BANKING</t>
  </si>
  <si>
    <t>05/07  WSID9503100 0865 PLN PREPAID 32104859353 MUHAMMAD HAIRUL MA</t>
  </si>
  <si>
    <t>0507/FTSCY/WS95051 91018200.00 Pembelian ayam TRIJAYA LESTARI FO</t>
  </si>
  <si>
    <t>0507/FTSCY/WS95051 179360000.00 ah 7600x23600 GEMILANG INTI SUKS</t>
  </si>
  <si>
    <t>0507/FTFVA/WS95031 55569/PT PRIMA FAJ pelunasan - 40190</t>
  </si>
  <si>
    <t>0507/FTSCY/WS95051 69600000.00 AH FM P. HAIRUL Fri Jun 26 2026 14:00:00 GMT+0700 (Western Indonesia Time) PHALOSARI UNGGUL J</t>
  </si>
  <si>
    <t>TARIKAN ATM 05/07</t>
  </si>
  <si>
    <t>0507/FTSCY/WS95051 150000000.00 krmn 5/7 TERA MULIA KORPORI</t>
  </si>
  <si>
    <t>0507/FTSCY/WS95031 10000000.00 EKO SETIYAWAN</t>
  </si>
  <si>
    <t>0507/FTSCY/WS95011 122240820.00 pelunasan GANESHA SATRIA NUS</t>
  </si>
  <si>
    <t>0507/FTSCY/WS95031 63000.00 NURUL AINI</t>
  </si>
  <si>
    <t>05/07  WSID9503100 1220 TELKOMSEL 82318368518 MUHAMMAD HAIRUL MA</t>
  </si>
  <si>
    <t>0507/FTSCY/WS95051 134110200.00 SIDO RAYA UTAMA CV</t>
  </si>
  <si>
    <t>0507/FTSCY/WS95031 1894320.00 jember DIANA NOVITA</t>
  </si>
  <si>
    <t>0507/FTFVA/WS95031 55574/GUNA MITRA S rembang - 200177</t>
  </si>
  <si>
    <t>0507/FTFVA/WS95031 55569/PT PRIMA FAJ titip - 40190</t>
  </si>
  <si>
    <t>0507/FTSCY/WS95011 200000000.00 kdr dan magetan TABASSAM AL HATTAK</t>
  </si>
  <si>
    <t>0507/FTSCY/WS95031 1000000.00 MUJIANTO</t>
  </si>
  <si>
    <t>0607/FTSCY/WS95031 26097400.00 plunasan TABASSAM AL HATTAK</t>
  </si>
  <si>
    <t>0607/FTSCY/WS95031 2040180.00 pelunasan TABASSAM AL HATTAK</t>
  </si>
  <si>
    <t>0607/FTSCY/WS95051 429099245.00 krmn 5/7 TERA MULIA KORPORI</t>
  </si>
  <si>
    <t>0607/FTSCY/WS95271 90621520.00 Fri Jul 03 2026 14:00:00 GMT+0700 (Western Indonesia Time) BINTANG TAMA SANTO</t>
  </si>
  <si>
    <t>0607/FTSCY/WS95011 133957050.00 Sat Jul 04 2026 14:00:00 GMT+0700 (Western Indonesia Time) BINTANG TAMA SANTO</t>
  </si>
  <si>
    <t>0607/FTSCY/WS95011 100000000.00 pelunasan ANDALAN YASA MITRA</t>
  </si>
  <si>
    <t>0607/FTSCY/WS95271 68149400.00 Wed Jun 03 2026 14:00:00 GMT+0700 (Western Indonesia Time) BROILER MAKMUR TAN</t>
  </si>
  <si>
    <t>0607/FTSCY/WS95271 71134500.00 Thu Jun 04 2026 14:00:00 GMT+0700 (Western Indonesia Time) ANUGERAH KARTIKA A</t>
  </si>
  <si>
    <t>KARTU DEBIT</t>
  </si>
  <si>
    <t>PODO MORO - HO 6019009510239343</t>
  </si>
  <si>
    <t>0607/FTSCY/WS95051 100000000.00 krmn 6/7 TERA MULIA KORPORI</t>
  </si>
  <si>
    <t>0607/FTSCY/WS95051 138318200.00 Pembelian ayam TRIJAYA LESTARI FO</t>
  </si>
  <si>
    <t>0607/FTSCY/WS95031 15000000.00 EKO SETIYAWAN</t>
  </si>
  <si>
    <t>TARIKAN ATM 06/07</t>
  </si>
  <si>
    <t>0607/FTSCY/WS95271 69020000.00 jombang 2.9 ton TABASSAM AZ ZUFAR</t>
  </si>
  <si>
    <t>0607/FTFVA/WS95031 55569/PT PRIMA FAJ pelunasan - 40190</t>
  </si>
  <si>
    <t>0607/FTSCY/WS95051 372157400.00 SIDO RAYA UTAMA CV</t>
  </si>
  <si>
    <t>0607/FTSCY/WS95051 79840035.00 SIDO RAYA UTAMA CV</t>
  </si>
  <si>
    <t>0607/FTFVA/WS95031 55574/GUNA MITRA S pelunasan rembang - 200177</t>
  </si>
  <si>
    <t>0607/FTSCY/WS95011 178600000.00 Sat Jul 04 2026 14:00:00 GMT+0700 (Western Indonesia Time) ANDALAN YASA MITRA</t>
  </si>
  <si>
    <t>0607/FTSCY/WS95011 86125100.00 Sat Jul 04 2026 14:00:00 GMT+0700 (Western Indonesia Time) ANDALAN YASA MITRA</t>
  </si>
  <si>
    <t>0607/FTSCY/WS95031 54500000.00 pelunasan ANDALAN YASA MITRA</t>
  </si>
  <si>
    <t>0707/FTSCY/WS95271 20000000.00 pelunasan ANDALAN YASA MITRA</t>
  </si>
  <si>
    <t>0707/FTSCY/WS95271 135759500.00 Sun Jul 05 2026 14:00:00 GMT+0700 (Western Indonesia Time) ANDALAN YASA MITRA</t>
  </si>
  <si>
    <t>0707/FTSCY/WS95031 2108240.00 HERMAWAN</t>
  </si>
  <si>
    <t>0707/FTSCY/WS95031 1500000.00 MUJIANTO</t>
  </si>
  <si>
    <t>0707/FTSCY/WS95031 1000000.00 DIANA NOVITA</t>
  </si>
  <si>
    <t>0707/FTSCY/WS95011 76956000.00 PT BJP FAHMI UMAR</t>
  </si>
  <si>
    <t>0707/FTSCY/WS95271 89302580.00 YAMAN DIDIK HARIYA</t>
  </si>
  <si>
    <t>0707/FTSCY/WS95051 593344180.00 krmn 6/7 TERA MULIA KORPORI</t>
  </si>
  <si>
    <t>0707/FTSCY/WS95271 66670470.00 Sun Jul 05 2026 14:00:00 GMT+0700 (Western Indonesia Time) ANDALAN YASA MITRA</t>
  </si>
  <si>
    <t>0707/FTSCY/WS95011 135850650.00 Sun Jul 05 2026 14:00:00 GMT+0700 (Western Indonesia Time) SUPER UNGGAS JAYA</t>
  </si>
  <si>
    <t>0707/FTSCY/WS95011 137735850.00 Sun Jul 05 2026 14:00:00 GMT+0700 (Western Indonesia Time) BINTANG TAMA SANTO</t>
  </si>
  <si>
    <t>0707/FTSCY/WS95011 152126320.00 Sun Jul 05 2026 14:00:00 GMT+0700 (Western Indonesia Time) BROILER MAKMUR TAN</t>
  </si>
  <si>
    <t>0707/FTSCY/WS95031 92034500.00 Sun Jul 05 2026 14:00:00 GMT+0700 (Western Indonesia Time) ANDALAN YASA MITRA</t>
  </si>
  <si>
    <t>0707/FTSCY/WS95271 61423000.00 kd zaini mlg SUGENG RIADI</t>
  </si>
  <si>
    <t>0707/FTSCY/WS95011 73902120.00 kd samhaji jbr LAWU ABADI NUSA PT</t>
  </si>
  <si>
    <t>0707/FTSCY/WS95271 15000000.00 MUHAMMAD HAIRUL MA</t>
  </si>
  <si>
    <t>0707/FTSCY/WS95031 1000000.00 pengembalian DIANA NOVITA</t>
  </si>
  <si>
    <t>IDM TWUN-JELBUK 6019009510239343</t>
  </si>
  <si>
    <t>0707/FTFVA/WS95031 55569/PT PRIMA FAJ kd wahyudi - 40190</t>
  </si>
  <si>
    <t>0707/FTSCY/WS95051 281380600.00 SIDO RAYA UTAMA CV</t>
  </si>
  <si>
    <t>TARIKAN ATM 07/07</t>
  </si>
  <si>
    <t>0707/FTFVA/WS95031 55574/GUNA MITRA S trenggalek 3.3 ton - 200177</t>
  </si>
  <si>
    <t>TRSF E-BANKING CR TANGGAL :07/07</t>
  </si>
  <si>
    <t>0707/FTSCY/WS95011 BAYAR AYAM RPA SBU ALDINI MARIA GUMIL</t>
  </si>
  <si>
    <t>0807/FTSCY/WS95031 75000000.00 PT BJP DIENDA CATUR MUSTI</t>
  </si>
  <si>
    <t>0807/FTSCY/WS95031 1680000.00 PT BJP SRI ASIH ANGGRAENI</t>
  </si>
  <si>
    <t>0807/FTSCY/WS95011 168975000.00 Mon Jul 06 2026 14:00:00 GMT+0700 (Western Indonesia Time) GANESHA SATRIA NUS</t>
  </si>
  <si>
    <t>0807/FTSCY/WS95011 130864450.00 Mon Jul 06 2026 14:00:00 GMT+0700 (Western Indonesia Time) ANUGERAH KARTIKA A</t>
  </si>
  <si>
    <t>0807/FTSCY/WS95051 531740960.00 krmn 7/7 TERA MULIA KORPORI</t>
  </si>
  <si>
    <t>0807/FTSCY/WS95271 68404190.00 Mon Jul 06 2026 14:00:00 GMT+0700 (Western Indonesia Time) ANDALAN YASA MITRA</t>
  </si>
  <si>
    <t>0807/FTSCY/WS95031 5500000.00 NURHAYATI</t>
  </si>
  <si>
    <t>0807/FTSCY/WS95011 145743830.00 Mon Jul 06 2026 14:00:00 GMT+0700 (Western Indonesia Time) SUPER UNGGAS JAYA</t>
  </si>
  <si>
    <t>0807/FTSCY/WS95271 78576050.00 Mon Jul 06 2026 14:00:00 GMT+0700 (Western Indonesia Time) BROILER MAKMUR TAN</t>
  </si>
  <si>
    <t>0807/FTSCY/WS95271 64800000.00 Thu Aug 06 2026 14:00:00 GMT+0700 (Western Indonesia Time) ANDALAN YASA MITRA</t>
  </si>
  <si>
    <t>0807/FTSCY/WS95271 88004300.00 Mon Jul 06 2026 14:00:00 GMT+0700 (Western Indonesia Time) ANDALAN YASA MITRA</t>
  </si>
  <si>
    <t>0807/FTSCY/WS95031 51500000.00 pelunasan ANDALAN YASA MITRA</t>
  </si>
  <si>
    <t>0807/FTSCY/WS95031 26674000.00 EKO SETIYAWAN</t>
  </si>
  <si>
    <t>0807/FTSCY/WS95051 275332400.00 ah 7684x23600+ 3900x24100 GEMILANG INTI SUKS</t>
  </si>
  <si>
    <t>0807/FTSCY/WS95051 141498950.00 Pembelian ayam TRIJAYA LESTARI FO</t>
  </si>
  <si>
    <t>0807/FTSCY/WS95051 305985190.00 SIDO RAYA UTAMA CV</t>
  </si>
  <si>
    <t>0807/FTSCY/WS95031 300000.00 YESI PURNAMASARI</t>
  </si>
  <si>
    <t>0807/FTSCY/WS95031 4000000.00 ARJI HARIANTO</t>
  </si>
  <si>
    <t>0807/FTFVA/WS95031 55569/PT PRIMA FAJ kd wahyudi pasurua n 40190</t>
  </si>
  <si>
    <t>0907/FTSCY/WS95011 141000000.00 Fri Aug 07 2026 14:00:00 GMT+0700 (Western Indonesia Time) ANDALAN YASA MITRA</t>
  </si>
  <si>
    <t>0907/FTSCY/WS95011 92820000.00 Tue Jul 07 2026 14:00:00 GMT+0700 (Western Indonesia Time) ANUGERAH KARTIKA A</t>
  </si>
  <si>
    <t>0907/FTSCY/WS95011 77845800.00 Tue Jul 07 2026 14:00:00 GMT+0700 (Western Indonesia Time) TUMBUH OPTIMAL PRI</t>
  </si>
  <si>
    <t>0907/FTSCY/WS95011 83248800.00 Tue Jul 07 2026 14:00:00 GMT+0700 (Western Indonesia Time) LAJU SATWA WISESA</t>
  </si>
  <si>
    <t>0907/FTSCY/WS95011 69602300.00 Tue Jul 07 2026 14:00:00 GMT+0700 (Western Indonesia Time) ANDALAN YASA MITRA</t>
  </si>
  <si>
    <t>0907/FTSCY/WS95271 80615550.00 Tue Jul 07 2026 14:00:00 GMT+0700 (Western Indonesia Time) FINA ARDIANA</t>
  </si>
  <si>
    <t>0907/FTSCY/WS95271 180574000.00 Tue Jul 07 2026 14:00:00 GMT+0700 (Western Indonesia Time) ANDALAN YASA MITRA</t>
  </si>
  <si>
    <t>0907/FTSCY/WS95031 350000.00 ANDE DOSO ANGGORO</t>
  </si>
  <si>
    <t>0907/FTSCY/WS95031 250000.00 ANTON IMRONI</t>
  </si>
  <si>
    <t>IDM TFUW-PC PB SUD 6019009510239343</t>
  </si>
  <si>
    <t>1007/FTSCY/WS95271 400000.00 MUHAMMAD HAIRUL MA</t>
  </si>
  <si>
    <t>1007/FTSCY/WS95271 60000000.00 titip BRANTAS ABADI SENT</t>
  </si>
  <si>
    <t>1007/FTSCY/WS95051 79776500.00 Pembelian ayam TRIJAYA LESTARI FO</t>
  </si>
  <si>
    <t>1007/FTSCY/WS95031 12000000.00 pelunasan BRANTAS ABADI SENT</t>
  </si>
  <si>
    <t>INDOKARTA-HO 6019009510239343</t>
  </si>
  <si>
    <t>1007/FTSCY/WS95031 15000000.00 EKO SETIYAWAN</t>
  </si>
  <si>
    <t>TARIKAN ATM 10/07</t>
  </si>
  <si>
    <t>TRSF E-BANKING CR TANGGAL :10/07</t>
  </si>
  <si>
    <t>1007/FTSCY/WS95051 SIDO RAYA UTAMA CV</t>
  </si>
  <si>
    <t>1107/FTFVA/WS95031 55569/PT PRIMA FAJ titip - 40190</t>
  </si>
  <si>
    <t>1107/FTSCY/WS95051 79363900.00 BYR AH HAIRUL BIJI JAGUNG PERKAS</t>
  </si>
  <si>
    <t>1107/FTSCY/WS95031 75000000.00 PT BJP DIENDA CATUR MUSTI</t>
  </si>
  <si>
    <t>1107/FTSCY/WS95011 2948200.00 PT BJP FAHMI UMAR</t>
  </si>
  <si>
    <t>1107/FTSCY/WS95271 87581250.00 Thu Jul 09 2026 14:00:00 GMT+0700 (Western Indonesia Time) GANESHA SATRIA NUS</t>
  </si>
  <si>
    <t>1107/FTSCY/WS95051 142069500.00 Pembelian ayam TRIJAYA LESTARI FO</t>
  </si>
  <si>
    <t>1107/FTSCY/WS95031 52736040.00 pasuruan TABASSAM AL HATTAK</t>
  </si>
  <si>
    <t>1107/FTSCY/WS95271 151200000.00 Wed Jul 08 2026 14:00:00 GMT+0700 (Western Indonesia Time) LAJU SATWA WISESA</t>
  </si>
  <si>
    <t>1107/FTSCY/WS95051 87970500.00 EDDY PURWANTO</t>
  </si>
  <si>
    <t>TARIKAN ATM 11/07</t>
  </si>
  <si>
    <t>1107/FTSCY/WS95031 300000.00 RISKA DEBI</t>
  </si>
  <si>
    <t>1107/FTSCY/WS95031 10000000.00 EKO SETIYAWAN</t>
  </si>
  <si>
    <t>1107/FTSCY/WS95031 100000000.00 krmn 11 jul 23 ERICKO HERMAWAN</t>
  </si>
  <si>
    <t>1107/FTSCY/WS95051 412473880.00 SIDO RAYA UTAMA CV</t>
  </si>
  <si>
    <t>1107/FTFVA/WS95031 55569/PT PRIMA FAJ pelunasan - 40190</t>
  </si>
  <si>
    <t>1107/FTSCY/WS95011 69842000.00 Thu Jul 09 2026 14:00:00 GMT+0700 (Western Indonesia Time) ANUGERAH KARTIKA A</t>
  </si>
  <si>
    <t>1107/FTSCY/WS95011 143348590.00 Thu Jul 09 2026 14:00:00 GMT+0700 (Western Indonesia Time) SUPER UNGGAS JAYA</t>
  </si>
  <si>
    <t>1107/FTSCY/WS95011 67220310.00 Mon Sep 07 2026 14:00:00 GMT+0700 (Western Indonesia Time) BROILER MAKMUR TAN</t>
  </si>
  <si>
    <t>1107/FTSCY/WS95011 158619500.00 Fri Jul 10 2026 14:00:00 GMT+0700 (Western Indonesia Time) BINTANG TAMA SANTO</t>
  </si>
  <si>
    <t>1107/FTSCY/WS95031 1858180.00 NURHAYATI</t>
  </si>
  <si>
    <t>1107/FTSCY/WS95031 1502820.00 pasuruan FAJAR ANDREANZAH</t>
  </si>
  <si>
    <t>1107/FTSCY/WS95031 2101130.00 DWI HERMANSYAH</t>
  </si>
  <si>
    <t>TRSF E-BANKING DB TANGGAL :11/07</t>
  </si>
  <si>
    <t>1107/FTSCY/WS95011 titip TABASSAM AL HATTAK</t>
  </si>
  <si>
    <t>1107/FTSCY/WS95031 titip 70 jt TABASSAM AL HATTAK</t>
  </si>
  <si>
    <t>1207/FTSCY/WS95031 9800000.00 pelunasan magetan TABASSAM AL HATTAK</t>
  </si>
  <si>
    <t>1207/FTSCY/WS95031 5000000.00 bon FAJAR ANDREANZAH</t>
  </si>
  <si>
    <t>1207/FTSCY/WS95051 605919030.00 krmn 11/7 HENDY BENEDICT LEO</t>
  </si>
  <si>
    <t>1207/FTSCY/WS95011 144375600.00 Fri Jul 10 2026 14:00:00 GMT+0700 (Western Indonesia Time) SUPER UNGGAS JAYA</t>
  </si>
  <si>
    <t>1207/FTSCY/WS95011 175629600.00 Fri Jul 10 2026 14:00:00 GMT+0700 (Western Indonesia Time) BINTANG TAMA SANTO</t>
  </si>
  <si>
    <t>1207/FTSCY/WS95011 66249700.00 Fri Jul 10 2026 14:00:00 GMT+0700 (Western Indonesia Time) ANUGERAH KARTIKA A</t>
  </si>
  <si>
    <t>1207/FTSCY/WS95011 74899500.00 Fri Jul 10 2026 14:00:00 GMT+0700 (Western Indonesia Time) BINTANG TAMA SANTO</t>
  </si>
  <si>
    <t>1207/FTSCY/WS95031 7982490.00 lunas HERMAWAN</t>
  </si>
  <si>
    <t>1207/FTSCY/WS95031 7408500.00 lunas MUJIANTO</t>
  </si>
  <si>
    <t>1207/FTFVA/WS95031 55569/PT PRIMA FAJ titip - 40190</t>
  </si>
  <si>
    <t>TARIKAN ATM 12/07</t>
  </si>
  <si>
    <t>1207/FTSCY/WS95051 669898930.00 SIDO RAYA UTAMA CV</t>
  </si>
  <si>
    <t>1207/FTSCY/WS95031 15000000.00 EKO SETIYAWAN</t>
  </si>
  <si>
    <t>1207/FTFVA/WS95031 55569/PT PRIMA FAJ titip 200jt - 40190</t>
  </si>
  <si>
    <t>1207/FTSCY/WS95271 77178300.00 madiun UNGGAS MANDIRI BER</t>
  </si>
  <si>
    <t>1207/FTSCY/WS95271 205155650.00 krg 77.5 jt GANESHA SATRIA NUS</t>
  </si>
  <si>
    <t>1207/FTSCY/WS95031 37500000.00 Sat Jul 11 2026 14:00:00 GMT+0700 (Western Indonesia Time) GANESHA SATRIA NUS</t>
  </si>
  <si>
    <t>1307/FTSCY/WS95031 100000000.00 titip TABASSAM AZ ZUFAR</t>
  </si>
  <si>
    <t>1307/FTSCY/WS95271 3708540.00 pasuruan DWI HERMANSYAH</t>
  </si>
  <si>
    <t>1307/FTSCY/WS95271 3786000.00 HERMAWAN</t>
  </si>
  <si>
    <t>1307/FTSCY/WS95271 5802850.00 MUJIANTO</t>
  </si>
  <si>
    <t>1307/FTSCY/WS95271 1917550.00 FAJAR ANDREANZAH</t>
  </si>
  <si>
    <t>1307/FTSCY/WS95271 47979050.00 pelunasan GANESHA SATRIA NUS</t>
  </si>
  <si>
    <t>1307/FTSCY/WS95271 852735.00 NURHAYATI</t>
  </si>
  <si>
    <t>1307/FTSCY/WS95011 75842700.00 PT BJP FAHMI UMAR</t>
  </si>
  <si>
    <t>1307/FTSCY/WS95271 92085100.00 Sat Jul 11 2026 14:00:00 GMT+0700 (Western Indonesia Time) BINTANG TAMA SANTO</t>
  </si>
  <si>
    <t>1307/FTSCY/WS95271 17867630.00 pelunasan TABASSAM AZ ZUFAR</t>
  </si>
  <si>
    <t>1307/FTSCY/WS95051 116952160.00 krmn 12/7 TERA MAKMURINDO CV</t>
  </si>
  <si>
    <t>1307/FTSCY/WS95051 650880720.00 krmn 12/7 TERA MULIA KORPORI</t>
  </si>
  <si>
    <t>ALFAMRT Y207 BRTN 6019009510239343</t>
  </si>
  <si>
    <t>1307/FTFVA/WS95031 55569/PT PRIMA FAJ pelunasan - 40190</t>
  </si>
  <si>
    <t>1307/FTSCY/WS95271 4800000.00 pelunasan UNGGAS MANDIRI BER</t>
  </si>
  <si>
    <t>1307/FTSCY/WS95011 396558300.00 Sat Jul 11 2026 14:00:00 GMT+0700 (Western Indonesia Time) LAJU SATWA WISESA</t>
  </si>
  <si>
    <t>1307/FTSCY/WS95011 102949600.00 Sat Jul 11 2026 14:00:00 GMT+0700 (Western Indonesia Time) LAJU SATWA WISESA</t>
  </si>
  <si>
    <t>1307/FTSCY/WS95051 90089500.00 Pembelian ayam TRIJAYA LESTARI FO</t>
  </si>
  <si>
    <t>1307/FTSCY/WS95271 20000000.00 EKO SETIYAWAN</t>
  </si>
  <si>
    <t>ALFAMRT Y078 SLR2 6019009510239343</t>
  </si>
  <si>
    <t>1307/FTSCY/WS95271 1500000.00 BELA PRAMUDITA</t>
  </si>
  <si>
    <t>1307/FTFVA/WS95031 55569/PT PRIMA FAJ titip blitar - 40190</t>
  </si>
  <si>
    <t>TRSF E-BANKING DB TANGGAL :13/07</t>
  </si>
  <si>
    <t>1307/FTSCY/WS95271 MUJIANTO</t>
  </si>
  <si>
    <t>1307/FTSCY/WS95271 FAJAR ANDREANZAH</t>
  </si>
  <si>
    <t>1307/FTSCY/WS95271 HERMAWAN</t>
  </si>
  <si>
    <t>1307/FTSCY/WS95271 Sat Jul 11 2026 14:00:00 GMT+0700 (Western Indonesia Time) ANDALAN YASA MITRA</t>
  </si>
  <si>
    <t>TRSF E-BANKING CR TANGGAL :13/07</t>
  </si>
  <si>
    <t>1307/FTSCY/WS95051 SIDO RAYA UTAMA CV</t>
  </si>
  <si>
    <t>1407/FTSCY/WS95011 145961080.00 Sun Jul 12 2026 14:00:00 GMT+0700 (Western Indonesia Time) GANESHA SATRIA NUS</t>
  </si>
  <si>
    <t>1407/FTSCY/WS95011 80000000.00 pelunasan LAJU SATWA WISESA</t>
  </si>
  <si>
    <t>1407/FTSCY/WS95011 213742120.00 tgl 11 san 12 /07 SUPER UNGGAS JAYA</t>
  </si>
  <si>
    <t>1407/FTSCY/WS95011 59797600.00 krg 93.5 jt ANDALAN YASA MITRA</t>
  </si>
  <si>
    <t>1407/FTSCY/WS95031 93500000.00 pelunasan ANDALAN YASA MITRA</t>
  </si>
  <si>
    <t>1407/FTSCY/WS95031 1665800.00 DWI HERMANSYAH</t>
  </si>
  <si>
    <t>1407/FTSCY/WS95031 200000.00 DWI HERMANSYAH</t>
  </si>
  <si>
    <t>1407/FTSCY/WS95271 114759200.00 pasuruan TABASSAM AL HATTAK</t>
  </si>
  <si>
    <t>1407/FTSCY/WS95051 636882527.00 krmn 13/7 HENDY BENEDICT LEO</t>
  </si>
  <si>
    <t>1407/FTSCY/WS95051 149783800.00 krmnn 13/7 TERA MAKMURINDO CV</t>
  </si>
  <si>
    <t>KR OTOMATIS</t>
  </si>
  <si>
    <t>LLG-MANDIRI SUPER FAMOUS CHICK Pembelian ayam hid up</t>
  </si>
  <si>
    <t>1407/FTSCY/WS95051 294589560.00 AH FM P. HAIRUL Fri Jun 09 2023 14:00:00 GMT+0700 (Western Indonesia Time) PHALOSARI UNGGUL J</t>
  </si>
  <si>
    <t>1407/FTSCY/WS95271 50000000.00 Titip Byr Ayam RPA SBU ALDINI MARIA GUMIL</t>
  </si>
  <si>
    <t>1407/FTSCY/WS95271 15000000.00 EKO SETIYAWAN</t>
  </si>
  <si>
    <t>1407/FTSCY/WS95271 67429050.00 Sun Jul 12 2026 14:00:00 GMT+0700 (Western Indonesia Time) BINTANG TAMA SANTO</t>
  </si>
  <si>
    <t>1407/FTSCY/WS95271 2484260.00 HERMAWAN</t>
  </si>
  <si>
    <t>1407/FTSCY/WS95271 4073700.00 MUJIANTO</t>
  </si>
  <si>
    <t>1407/FTSCY/WS95051 549862410.00 SIDO RAYA UTAMA CV</t>
  </si>
  <si>
    <t>1407/FTSCY/WS95031 2200000.00 BELA PRAMUDITA</t>
  </si>
  <si>
    <t>1407/FTSCY/WS95031 1736500.00 FAJAR ANDREANZAH</t>
  </si>
  <si>
    <t>TRSF E-BANKING DB TANGGAL :14/07</t>
  </si>
  <si>
    <t>1407/FTFVA/WS95031 pelunasan - 40190</t>
  </si>
  <si>
    <t>1507/FTSCY/WS95011 300000000.00 titip TABASSAM AL HATTAK</t>
  </si>
  <si>
    <t>1507/FTSCY/WS95011 159456150.00 Mon Jul 13 2026 14:00:00 GMT+0700 (Western Indonesia Time) PT BERLIAN INDOMIT</t>
  </si>
  <si>
    <t>1507/FTSCY/WS95011 40500000.00 Tue Apr 07 2026 14:00:00 GMT+0700 (Western Indonesia Time) SURYA INTI TERNAK</t>
  </si>
  <si>
    <t>1507/FTSCY/WS95271 30000000.00 MUHAMMAD HAIRUL MA</t>
  </si>
  <si>
    <t>1507/FTSCY/WS95271 131867900.00 MUHAMMAD HAIRUL MA</t>
  </si>
  <si>
    <t>1507/FTSCY/WS95271 137667650.00 krg 41 jt MUHAMMAD HAIRUL MA</t>
  </si>
  <si>
    <t>1507/FTSCY/WS95271 41000000.00 MUHAMMAD HAIRUL MA</t>
  </si>
  <si>
    <t>1507/FTSCY/WS95051 87780000.00 EDDY PURWANTO</t>
  </si>
  <si>
    <t>TARIKAN ATM 15/07</t>
  </si>
  <si>
    <t>1507/FTSCY/WS95031 100000000.00 titip 400 jt TABASSAM AL HATTAK</t>
  </si>
  <si>
    <t>TRSF E-BANKING CR TANGGAL :15/07</t>
  </si>
  <si>
    <t>1507/FTSCY/WS95051 SIDO RAYA UTAMA CV</t>
  </si>
  <si>
    <t>1607/FTSCY/WS95011 313228600.00 pelunasan LAJU SATWA WISESA</t>
  </si>
  <si>
    <t>1607/FTSCY/WS95011 186771370.00 Mon Jul 13 2026 14:00:00 GMT+0700 (Western Indonesia Time) krg 99.872.000 SUPER UNGGAS JAYA</t>
  </si>
  <si>
    <t>1607/FTSCY/WS95031 99872000.00 pelunasan 13.07 SUPER UNGGAS JAYA</t>
  </si>
  <si>
    <t>1607/FTSCY/WS95271 36938430.00 pelunasan TABASSAM AL HATTAK</t>
  </si>
  <si>
    <t>1607/FTSCY/WS95271 41000000.00 pelunasan ANDALAN YASA MITRA</t>
  </si>
  <si>
    <t>1607/FTSCY/WS95271 3652020.00 NURHAYATI</t>
  </si>
  <si>
    <t>1607/FTSCY/WS95271 4012960.00 MUJIANTO</t>
  </si>
  <si>
    <t>1607/FTSCY/WS95271 4545690.00 lunas DWI HERMANSYAH</t>
  </si>
  <si>
    <t>1607/FTSCY/WS95271 1700000.00 mlg bangil BONDAN PUTRA PRATA</t>
  </si>
  <si>
    <t>1607/FTSCY/WS95271 193518180.00 pelunasan ANDALAN YASA MITRA</t>
  </si>
  <si>
    <t>1607/FTSCY/WS95271 2500000.00 NURUL AINI</t>
  </si>
  <si>
    <t>1607/FTSCY/WS95271 12000000.00 EKO SETIYAWAN</t>
  </si>
  <si>
    <t>1607/FTSCY/WS95031 100000.00 SAIFUL BAHRI</t>
  </si>
  <si>
    <t>1607/FTFVA/WS95031 55569/PT PRIMA FAJ titip blitar - 40190</t>
  </si>
  <si>
    <t>1707/FTSCY/WS95031 100000000.00 titip TABASSAM AL HATTAK</t>
  </si>
  <si>
    <t>1707/FTSCY/WS95271 155458240.00 Tue Jul 14 2026 14:00:00 GMT+0700 (Western Indonesia Time) GANESHA SATRIA NUS</t>
  </si>
  <si>
    <t>1707/FTSCY/WS95271 84244800.00 pemb. farm bayu aj i ponorogo UNGGAS MANDIRI BER</t>
  </si>
  <si>
    <t>1707/FTFVA/WS95031 55569/PT PRIMA FAJ pelunasan kd misdi antoro blitar 40190</t>
  </si>
  <si>
    <t>1707/FTSCY/WS95011 69612000.00 Tue Jul 14 2026 14:00:00 GMT+0700 (Western Indonesia Time) ANDALAN YASA MITRA</t>
  </si>
  <si>
    <t>1707/FTSCY/WS95011 74716800.00 Tue Jul 14 2026 14:00:00 GMT+0700 (Western Indonesia Time) BINTANG TAMA SANTO</t>
  </si>
  <si>
    <t>1707/FTSCY/WS95011 134532000.00 Tue Jul 14 2026 14:00:00 GMT+0700 (Western Indonesia Time) ANUGERAH KARTIKA A</t>
  </si>
  <si>
    <t>1707/FTSCY/WS95011 61920000.00 Tue Jul 14 2026 14:00:00 GMT+0700 (Western Indonesia Time) ANUGERAH KARTIKA A</t>
  </si>
  <si>
    <t>1707/FTSCY/WS95011 60300000.00 pelunasan TABASSAM AL HATTAK</t>
  </si>
  <si>
    <t>1707/FTSCY/WS95051 90038400.00 EDDY PURWANTO</t>
  </si>
  <si>
    <t>1707/FTSCY/WS95051 74279850.00 Pembelian ayam TRIJAYA LESTARI FO</t>
  </si>
  <si>
    <t>1707/FTSCY/WS95051 50000000.00 Fri Jul 17 2026 14:00:00 GMT+0700 (Western Indonesia Time) Titip dana 4000kg SUGENG MARIONO</t>
  </si>
  <si>
    <t>1707/FTSCY/WS95271 15000000.00 EKO SETIYAWAN</t>
  </si>
  <si>
    <t>1707/FTSCY/WS95271 1000000.00 tot. bon 2.5 jt SUNARTO</t>
  </si>
  <si>
    <t>TARIKAN ATM 17/07</t>
  </si>
  <si>
    <t>GOLDEN MARKET-HO 6019009510239343</t>
  </si>
  <si>
    <t>1707/FTSCY/WS95031 11023290.00 Pelunasan Ayam JT 07.07 RPA SBU ALDINI MARIA GUMIL</t>
  </si>
  <si>
    <t>1707/FTSCY/WS95051 804282610.00 SIDO RAYA UTAMA CV</t>
  </si>
  <si>
    <t>TRSF E-BANKING DB TANGGAL :17/07</t>
  </si>
  <si>
    <t>1707/FTFVA/WS95031 blitar - 40190</t>
  </si>
  <si>
    <t>1807/FTSCY/WS95271 75570000.00 pemb. kd tukiman b litar TABASSAM AL HATTAK</t>
  </si>
  <si>
    <t>1807/FTSCY/WS95271 112500000.00 titip lmg TERNAK SEJATI TABA</t>
  </si>
  <si>
    <t>1807/FTSCY/WS95031 100000000.00 Wed Jul 15 2026 14:00:00 GMT+0700 (Western Indonesia Time) GANESHA SATRIA NUS</t>
  </si>
  <si>
    <t>1807/FTSCY/WS95011 278378580.00 Tue Jul 14 2026 14:00:00 GMT+0700 (Western Indonesia Time) SUPER UNGGAS JAYA</t>
  </si>
  <si>
    <t>1807/FTSCY/WS95011 147656640.00 pelunasan GANESHA SATRIA NUS</t>
  </si>
  <si>
    <t>1807/FTSCY/WS95011 73950000.00 titip LAWU ABADI NUSA PT</t>
  </si>
  <si>
    <t>1807/FTSCY/WS95271 82445330.00 mlg TABASSAM AL HATTAK</t>
  </si>
  <si>
    <t>1807/FTSCY/WS95271 450000.00 YAMAN DIDIK HARIYA</t>
  </si>
  <si>
    <t>1807/FTSCY/WS95051 79331000.00 BYR AH HAIRUL BIJI JAGUNG PERKAS</t>
  </si>
  <si>
    <t>1807/FTSCY/WS95011 82325000.00 PT BJP FAHMI UMAR</t>
  </si>
  <si>
    <t>1807/FTSCY/WS95051 38050820.00 Kekurangan 17 Juli 3984.2/Clossing SUGENG MARIONO</t>
  </si>
  <si>
    <t>ARDJUNA TOKO MAS-H 6019009510239343</t>
  </si>
  <si>
    <t>1807/FTSCY/WS95031 600000.00 NURUL AINI</t>
  </si>
  <si>
    <t>1807/FTSCY/WS95271 600000.00 NURUL AINI</t>
  </si>
  <si>
    <t>1807/FTSCY/WS95051 76039425.00 AYAM HAIRUL TGL 18/7/2023 SUCI RAHARJO PT</t>
  </si>
  <si>
    <t>1807/FTSCY/WS95271 350000.00 MUHAMMAD HAIRUL MA</t>
  </si>
  <si>
    <t>BIF TRANSFER KE 9 ALFIN HARDIANSYAH MyBCA</t>
  </si>
  <si>
    <t>BIF BIAYA TXN KE 9 ALFIN HARDIANSYAH MyBCA</t>
  </si>
  <si>
    <t>1807/FTSCY/WS95271 10000000.00 EKO SETIYAWAN</t>
  </si>
  <si>
    <t>1807/FTSCY/WS95271 2000000.00 MUHAMMAD HAIRUL MA</t>
  </si>
  <si>
    <t>TRSF E-BANKING CR TANGGAL :18/07</t>
  </si>
  <si>
    <t>1807/FTSCY/WS95051 SIDO RAYA UTAMA CV</t>
  </si>
  <si>
    <t>1907/FTSCY/WS95011 231249470.00 pelunasan BROILER MAKMUR TAN</t>
  </si>
  <si>
    <t>1907/FTSCY/WS95011 202752000.00 Thu Jul 16 2026 14:00:00 GMT+0700 (Western Indonesia Time) ANDALAN YASA MITRA</t>
  </si>
  <si>
    <t>1907/FTSCY/WS95011 65979400.00 Thu Jul 16 2026 14:00:00 GMT+0700 (Western Indonesia Time) TUMBUH OPTIMAL PRI</t>
  </si>
  <si>
    <t>1907/FTSCY/WS95271 74500000.00 pelunasan TUMBUH OPTIMAL PRI</t>
  </si>
  <si>
    <t>1907/FTSCY/WS95271 84000000.00 Fri Jul 17 2026 14:00:00 GMT+0700 (Western Indonesia Time) RUKUN MITRA BERSAM</t>
  </si>
  <si>
    <t>1907/FTSCY/WS95271 16309040.00 pelunasan TERNAK SEJATI TABA</t>
  </si>
  <si>
    <t>1907/FTSCY/WS95271 72016800.00 Fri Jul 17 2026 14:00:00 GMT+0700 (Western Indonesia Time) TABASSAM AZ ZUFAR</t>
  </si>
  <si>
    <t>1907/FTSCY/WS95271 43805560.00 krg 40 jt LAWU ABADI NUSA PT</t>
  </si>
  <si>
    <t>1907/FTSCY/WS95031 40000000.00 pelunasan LAWU ABADI NUSA PT</t>
  </si>
  <si>
    <t>1907/FTSCY/WS95031 4163040.00 DWI HERMANSYAH</t>
  </si>
  <si>
    <t>1907/FTSCY/WS95031 916170.00 ANDE DOSO ANGGORO</t>
  </si>
  <si>
    <t>TARIKAN ATM 19/07</t>
  </si>
  <si>
    <t>1907/FTSCY/WS95031 3000000.00 EKO SETIYAWAN</t>
  </si>
  <si>
    <t>1907/FTSCY/WS95031 48500000.00 titip TABASSAM AL HATTAK</t>
  </si>
  <si>
    <t>TRSF E-BANKING CR TANGGAL :19/07</t>
  </si>
  <si>
    <t>1907/FTSCY/WS95271 Byr ayam rpa sbu ALDINI MARIA GUMIL</t>
  </si>
  <si>
    <t>2007/FTFVA/WS95031 55569/PT PRIMA FAJ titip - 40190</t>
  </si>
  <si>
    <t>2007/FTSCY/WS95031 9500000.00 tot. 58.000.000 TABASSAM AL HATTAK</t>
  </si>
  <si>
    <t>2007/FTSCY/WS95051 39000000.00 BYR AH HAIRUL BIJI JAGUNG PERKAS</t>
  </si>
  <si>
    <t>2007/FTSCY/WS95051 529660100.00 krmn 18/7 TERA MULIA KORPORI</t>
  </si>
  <si>
    <t>2007/FTSCY/WS95011 139099500.00 Fri Jul 17 2026 14:00:00 GMT+0700 (Western Indonesia Time) SUPER UNGGAS JAYA</t>
  </si>
  <si>
    <t>2007/FTSCY/WS95011 248160300.00 07/20 LAJU SATWA WISESA</t>
  </si>
  <si>
    <t>2007/FTSCY/WS95011 55008400.00 Fri Jul 17 2026 14:00:00 GMT+0700 (Western Indonesia Time) BINTANG TAMA SANTO</t>
  </si>
  <si>
    <t>2007/FTSCY/WS95271 91109020.00 Sun Jul 19 2026 14:00:00 GMT+0700 (Western Indonesia Time) TABASSAM AL HATTAK</t>
  </si>
  <si>
    <t>2007/FTFVA/WS95031 55569/PT PRIMA FAJ pelunasan - 40190</t>
  </si>
  <si>
    <t>2007/FTSCY/WS95051 326407686.00 AYAM HAIRUL TGL 20/7/2023 SUCI RAHARJO PT</t>
  </si>
  <si>
    <t>2007/FTSCY/WS95051 181612200.00 ah 3868x23100-5775 00 +4019x23100 GEMILANG INTI SUKS</t>
  </si>
  <si>
    <t>2007/FTSCY/WS95031 90000000.00 Fri Jul 17 2026 14:00:00 GMT+0700 (Western Indonesia Time) ANDALAN YASA MITRA</t>
  </si>
  <si>
    <t>2007/FTSCY/WS95271 69273600.00 pelunasan kd kamil a ANDALAN YASA MITRA</t>
  </si>
  <si>
    <t>2007/FTSCY/WS95271 60000000.00 Fri Jul 17 2026 14:00:00 GMT+0700 (Western Indonesia Time) ANUGERAH KARTIKA A</t>
  </si>
  <si>
    <t>2007/FTSCY/WS95011 57669400.00 Fri Jul 17 2026 14:00:00 GMT+0700 (Western Indonesia Time) ANDALAN YASA MITRA</t>
  </si>
  <si>
    <t>2007/FTSCY/WS95271 37500000.00 pelunasan ANDALAN YASA MITRA</t>
  </si>
  <si>
    <t>2007/FTSCY/WS95271 6886640.00 lunas FAJAR ANDREANZAH</t>
  </si>
  <si>
    <t>2007/FTSCY/WS95271 15000000.00 EKO SETIYAWAN</t>
  </si>
  <si>
    <t>2007/FTSCY/WS95051 292749590.00 SIDO RAYA UTAMA CV</t>
  </si>
  <si>
    <t>2007/FTSCY/WS95271 4950000.00 lunas HERMAWAN</t>
  </si>
  <si>
    <t>2007/FTSCY/WS95271 12258900.00 lunas MUJIANTO</t>
  </si>
  <si>
    <t>2007/FTFVA/WS95031 55574/GUNA MITRA S titip - 200177</t>
  </si>
  <si>
    <t>2007/FTSCY/WS95031 5490000.00 SULISWANTO</t>
  </si>
  <si>
    <t>TRSF E-BANKING CR TANGGAL :20/07</t>
  </si>
  <si>
    <t>2007/FTSCY/WS95031 Byr ayam rpa sbu ALDINI MARIA GUMIL</t>
  </si>
  <si>
    <t>2107/FTSCY/WS95271 50000000.00 titip TABASSAM AL HATTAK</t>
  </si>
  <si>
    <t>BIF TRANSFER KE 11 ADIRA MUHAMMAD HAI M-BCA</t>
  </si>
  <si>
    <t>BIF BIAYA TXN KE 11 ADIRA MUHAMMAD HAI M-BCA</t>
  </si>
  <si>
    <t>BIF TRANSFER KE 2 TURYADI M-BCA</t>
  </si>
  <si>
    <t>BIF BIAYA TXN KE 2 TURYADI M-BCA</t>
  </si>
  <si>
    <t>21/07  WSID9503102 0507 FIF 803001249921 MUHAMMAD HAIRUL MA</t>
  </si>
  <si>
    <t>2107/FTSCY/WS95271 89623700.00 Sun Jul 19 2026 14:00:00 GMT+0700 (Western Indonesia Time) BINTANG TAMA SANTO</t>
  </si>
  <si>
    <t>2107/FTSCY/WS95271 65613600.00 Sun Jul 19 2026 14:00:00 GMT+0700 (Western Indonesia Time) ANDALAN YASA MITRA</t>
  </si>
  <si>
    <t>2107/FTSCY/WS95271 70990000.00 Sun Jul 19 2026 14:00:00 GMT+0700 (Western Indonesia Time) ANDALAN YASA MITRA</t>
  </si>
  <si>
    <t>2107/FTSCY/WS95051 143243250.00 BYR AH HAIRUL BIJI JAGUNG PERKAS</t>
  </si>
  <si>
    <t>LLG-MANDIRI SUPER FAMOUS CHICK</t>
  </si>
  <si>
    <t>2107/FTSCY/WS95031 65488500.00 ponorogo UNGGAS MANDIRI BER</t>
  </si>
  <si>
    <t>2107/FTSCY/WS95051 146255120.00 AH P. Hairul 14/7 PHALOSARI UNGGUL J</t>
  </si>
  <si>
    <t>2107/FTSCY/WS95051 237953250.00 Pembelian ayam TRIJAYA LESTARI FO</t>
  </si>
  <si>
    <t>2107/FTSCY/WS95011 246707700.00 Sat Jul 18 2026 14:00:00 GMT+0700 (Western Indonesia Time) LAJU SATWA WISESA</t>
  </si>
  <si>
    <t>2107/FTSCY/WS95011 209534820.00 Sun Jul 19 2026 14:00:00 GMT+0700 (Western Indonesia Time) PT BERLIAN INDOMIT</t>
  </si>
  <si>
    <t>2107/FTSCY/WS95031 20000000.00 EKO SETIYAWAN</t>
  </si>
  <si>
    <t>2107/FTSCY/WS95051 509991500.00 SIDO RAYA UTAMA CV</t>
  </si>
  <si>
    <t>BIAYA ADM</t>
  </si>
  <si>
    <t>TRSF E-BANKING CR TANGGAL :21/07</t>
  </si>
  <si>
    <t>2107/FTSCY/WS95011 BAYAR AYAM CBD RPA SBU ALDINI MARIA GUMIL</t>
  </si>
  <si>
    <t>TRSF E-BANKING DB TANGGAL :21/07</t>
  </si>
  <si>
    <t>2107/FTSCY/WS95031 TABASSAM AL HATTAK</t>
  </si>
  <si>
    <t>2107/FTSCY/WS95271 pelunasan TABASSAM AL HATTAK</t>
  </si>
  <si>
    <t>2207/FTSCY/WS95011 311050880.00 Sun Jul 19 2026 14:00:00 GMT+0700 (Western Indonesia Time) ANDALAN YASA MITRA</t>
  </si>
  <si>
    <t>2207/FTSCY/WS95011 141691500.00 Sun Jul 19 2026 14:00:00 GMT+0700 (Western Indonesia Time) BROILER MAKMUR TAN</t>
  </si>
  <si>
    <t>2207/FTSCY/WS95011 46257400.00 Sun Jul 19 2026 14:00:00 GMT+0700 (Western Indonesia Time) ANDALAN YASA MITRA</t>
  </si>
  <si>
    <t>2207/FTSCY/WS95271 14500000.00 pelunasan ANDALAN YASA MITRA</t>
  </si>
  <si>
    <t>2207/FTSCY/WS95271 4241040.00 NURHAYATI</t>
  </si>
  <si>
    <t>2207/FTSCY/WS95271 71001280.00 Sun Jul 19 2026 14:00:00 GMT+0700 (Western Indonesia Time) ANDALAN YASA MITRA</t>
  </si>
  <si>
    <t>2207/FTSCY/WS95271 210257680.00 Sun Jul 19 2026 14:00:00 GMT+0700 (Western Indonesia Time) ANDALAN YASA MITRA</t>
  </si>
  <si>
    <t>2207/FTSCY/WS95271 600000.00 MUHAMMAD HAIRUL MA</t>
  </si>
  <si>
    <t>TARIKAN ATM 22/07</t>
  </si>
  <si>
    <t>2207/FTFVA/WS95031 55574/GUNA MITRA S pelunasan - 200177</t>
  </si>
  <si>
    <t>2207/FTSCY/WS95051 244022300.00 Pembelian ayam TRIJAYA LESTARI FO</t>
  </si>
  <si>
    <t>2207/FTSCY/WS95011 77419350.00 WAHYU MEGA ARSITA</t>
  </si>
  <si>
    <t>2207/FTSCY/WS95051 450853720.00 SIDO RAYA UTAMA CV</t>
  </si>
  <si>
    <t>TRSF E-BANKING DB TANGGAL :22/07</t>
  </si>
  <si>
    <t>2207/FTSCY/WS95031 HERMAWAN</t>
  </si>
  <si>
    <t>2207/FTSCY/WS95031 MUJIANTO</t>
  </si>
  <si>
    <t>2207/FTSCY/WS95031 DWI HERMANSYAH</t>
  </si>
  <si>
    <t>2207/FTSCY/WS95031 FAJAR ANDREANZAH</t>
  </si>
  <si>
    <t>2207/FTSCY/WS95031 EKO SETIYAWAN</t>
  </si>
  <si>
    <t>2207/FTSCY/WS95031 NURUL AINI</t>
  </si>
  <si>
    <t>2207/FTSCY/WS95031 SUNARTO</t>
  </si>
  <si>
    <t>2307/FTSCY/WS95271 91200000.00 Mon Jul 20 2026 14:00:00 GMT+0700 (Western Indonesia Time) RUKUN MITRA BERSAM</t>
  </si>
  <si>
    <t>2307/FTSCY/WS95271 66000000.00 Mon Jul 20 2026 14:00:00 GMT+0700 (Western Indonesia Time) LAJU SATWA WISESA</t>
  </si>
  <si>
    <t>2307/FTSCY/WS95271 77403800.00 Mon Jul 20 2026 14:00:00 GMT+0700 (Western Indonesia Time) ANUGERAH KARTIKA A</t>
  </si>
  <si>
    <t>2307/FTSCY/WS95271 65364350.00 Tue Jul 21 2026 14:00:00 GMT+0700 (Western Indonesia Time) TABASSAM AL HATTAK</t>
  </si>
  <si>
    <t>2307/FTSCY/WS95011 145801600.00 Mon Jul 20 2026 14:00:00 GMT+0700 (Western Indonesia Time) ANDALAN YASA MITRA</t>
  </si>
  <si>
    <t>2307/FTSCY/WS95011 141097000.00 Mon Jul 20 2026 14:00:00 GMT+0700 (Western Indonesia Time) ANDALAN YASA MITRA</t>
  </si>
  <si>
    <t>2307/FTSCY/WS95011 15753520.00 pelunasan ANDALAN YASA MITRA</t>
  </si>
  <si>
    <t>2307/FTSCY/WS95011 169675820.00 Mon Jul 20 2026 14:00:00 GMT+0700 (Western Indonesia Time) krg 113 jt BROILER MAKMUR TAN</t>
  </si>
  <si>
    <t>2307/FTSCY/WS95031 50000000.00 titip penngambilan Thu Jul 23 2026 14:00:00 GMT+0700 (Western Indonesia Time) BERLIAN UNGGUL JAY</t>
  </si>
  <si>
    <t>2307/FTSCY/WS95031 25000000.00 WAHYUDI</t>
  </si>
  <si>
    <t>2307/FTFVA/WS95031 55569/PT PRIMA FAJ titip besuki - 40190</t>
  </si>
  <si>
    <t>2407/FTSCY/WS95051 683544300.00 krmn 22/7 TERA MULIA KORPORI</t>
  </si>
  <si>
    <t>2407/FTSCY/WS95031 100000000.00 BERLIAN UNGGUL JAY</t>
  </si>
  <si>
    <t>2407/FTSCY/WS95271 72459300.00 Tue Jul 21 2026 14:00:00 GMT+0700 (Western Indonesia Time) GANESHA SATRIA NUS</t>
  </si>
  <si>
    <t>2407/FTSCY/WS95271 10500000.00 pelunasan TABASSAM AL HATTAK</t>
  </si>
  <si>
    <t>2407/FTSCY/WS95051 115523000.00 krmn 22/7 TERA MAKMURINDO CV</t>
  </si>
  <si>
    <t>2407/FTSCY/WS95271 132358760.00 pelunasan SUGENG RIADI</t>
  </si>
  <si>
    <t>2407/FTSCY/WS95271 67800000.00 Tue Jul 21 2026 14:00:00 GMT+0700 (Western Indonesia Time) ANDALAN YASA MITRA</t>
  </si>
  <si>
    <t>2407/FTSCY/WS95271 16000000.00 Mon Jul 20 2026 14:00:00 GMT+0700 (Western Indonesia Time) ANDALAN YASA MITRA</t>
  </si>
  <si>
    <t>2407/FTSCY/WS95271 3000000.00 SANDI FAJAR PRASET</t>
  </si>
  <si>
    <t>2407/FTSCY/WS95011 97062620.00 pelunasan BERLIAN UNGGUL JAY</t>
  </si>
  <si>
    <t>2407/FTSCY/WS95011 50000000.00 pelunasan ANDALAN YASA MITRA</t>
  </si>
  <si>
    <t>2407/FTSCY/WS95011 113000000.00 pelunasan BROILER MAKMUR TAN</t>
  </si>
  <si>
    <t>2407/FTSCY/WS95011 86334450.00 Tue Jul 21 2026 14:00:00 GMT+0700 (Western Indonesia Time) BINTANG TAMA SANTO</t>
  </si>
  <si>
    <t>LLG-MANDIRI SUPER FAMOUS CHICK -391324696 Clearing622689</t>
  </si>
  <si>
    <t>2407/FTFVA/WS95031 55569/PT PRIMA FAJ pelunasan besuki - 40190</t>
  </si>
  <si>
    <t>2407/FTSCY/WS95011 63096600.00 Mon Jul 20 2026 14:00:00 GMT+0700 (Western Indonesia Time) SUPER UNGGAS JAYA</t>
  </si>
  <si>
    <t>2407/FTSCY/WS95011 10615120.00 NURHAYATI</t>
  </si>
  <si>
    <t>2407/FTSCY/WS95011 55695750.00 Wed Jul 22 2026 14:00:00 GMT+0700 (Western Indonesia Time) ANUGERAH KARTIKA A</t>
  </si>
  <si>
    <t>2407/FTSCY/WS95051 69865400.00 AH FM P. HAIRUL Sat Jul 15 2023 14:00:00 GMT+0700 (Western Indonesia Time) PHALOSARI UNGGUL J</t>
  </si>
  <si>
    <t>2407/FTSCY/WS95011 208428500.00 WAHYU MEGA ARSITA</t>
  </si>
  <si>
    <t>2407/FTSCY/WS95051 277249888.00 AYAM HAIRUL TGL 24/7/2023 SUCI RAHARJO PT</t>
  </si>
  <si>
    <t>2407/FTSCY/WS95031 45048800.00 WAHYUDI</t>
  </si>
  <si>
    <t>2407/FTFVA/WS95031 80777/TOKOPEDIA - - 82318368518</t>
  </si>
  <si>
    <t>2407/FTSCY/WS95011 20000000.00 EKO SETIYAWAN</t>
  </si>
  <si>
    <t>2507/FTSCY/WS95031 100000000.00 Tue Jul 21 2026 14:00:00 GMT+0700 (Western Indonesia Time) BINTANG TAMA SANTO</t>
  </si>
  <si>
    <t>2507/FTSCY/WS95011 107000000.00 pelunasan BINTANG TAMA SANTO</t>
  </si>
  <si>
    <t>2507/FTSCY/WS95011 129322500.00 Tue Jul 21 2026 14:00:00 GMT+0700 (Western Indonesia Time) ANUGERAH KARTIKA A</t>
  </si>
  <si>
    <t>2507/FTSCY/WS95011 171419750.00 Wed Jan 21 2026 15:00:00 GMT+0700 (Western Indonesia Time) ANDALAN YASA MITRA</t>
  </si>
  <si>
    <t>2507/FTSCY/WS95011 92250000.00 titip BRANTAS ABADI SENT</t>
  </si>
  <si>
    <t>2507/FTSCY/WS95271 62250450.00 Tue Jul 21 2026 14:00:00 GMT+0700 (Western Indonesia Time) BINTANG TAMA SANTO</t>
  </si>
  <si>
    <t>2507/FTSCY/WS95271 174801250.00 Tue Jul 21 2026 14:00:00 GMT+0700 (Western Indonesia Time) ANUGERAH KARTIKA A</t>
  </si>
  <si>
    <t>2507/FTSCY/WS95271 650000.00 SITI RAHMA IFTITAH</t>
  </si>
  <si>
    <t>2507/FTSCY/WS95271 1000000.00 MUJIANTO</t>
  </si>
  <si>
    <t>2507/FTSCY/WS95271 2500000.00 HERMAWAN</t>
  </si>
  <si>
    <t>2507/FTSCY/WS95271 1932100.00 SUNARTO</t>
  </si>
  <si>
    <t>2507/FTFVA/WS95031 55569/PT PRIMA FAJ besuki - 40190</t>
  </si>
  <si>
    <t>2507/FTSCY/WS95051 59976000.00 BYR AH HAIRUL BIJI JAGUNG PERKAS</t>
  </si>
  <si>
    <t>2507/FTSCY/WS95051 499474250.00 krmn 24/7 TERA MULIA KORPORI</t>
  </si>
  <si>
    <t>2507/FTSCY/WS95271 22916250.00 pelunasan BRANTAS ABADI SENT</t>
  </si>
  <si>
    <t>TARIKAN ATM 25/07</t>
  </si>
  <si>
    <t>2507/FTSCY/WS95051 135332500.00 Pembelian ayam TRIJAYA LESTARI FO</t>
  </si>
  <si>
    <t>2507/FTSCY/WS95271 29153000.00 Thu Jul 23 2026 14:00:00 GMT+0700 (Western Indonesia Time) PT BERLIAN INDOMIT</t>
  </si>
  <si>
    <t>2607/FTSCY/WS95031 50000000.00 titip TABASSAM AL HATTAK</t>
  </si>
  <si>
    <t>2607/FTSCY/WS95011 302000000.00 pelunasan GANESHA SATRIA NUS</t>
  </si>
  <si>
    <t>2607/FTSCY/WS95011 198000000.00 Thu Jul 23 2026 14:00:00 GMT+0700 (Western Indonesia Time) ANDALAN YASA MITRA</t>
  </si>
  <si>
    <t>2607/FTSCY/WS95271 1622250.00 pelunasan ANDALAN YASA MITRA</t>
  </si>
  <si>
    <t>2607/FTSCY/WS95271 10000000.00 pelunasan PT BERLIAN INDOMIT</t>
  </si>
  <si>
    <t>2607/FTSCY/WS95031 4045800.00 sisa bon 4 jt FAJAR ANDREANZAH</t>
  </si>
  <si>
    <t>2607/FTSCY/WS95031 2493560.00 HERMAWAN</t>
  </si>
  <si>
    <t>2607/FTSCY/WS95031 800000.00 MUJIANTO</t>
  </si>
  <si>
    <t>2607/FTSCY/WS95031 7346500.00 EKO SETIYAWAN</t>
  </si>
  <si>
    <t>2607/FTSCY/WS95031 2212020.00 DWI HERMANSYAH</t>
  </si>
  <si>
    <t>2607/FTSCY/WS95031 4039000.00 DWI HERMANSYAH</t>
  </si>
  <si>
    <t>2607/FTSCY/WS95271 40753250.00 BRANTAS ABADI SENT</t>
  </si>
  <si>
    <t>2607/FTSCY/WS95031 350000.00 ANDE DOSO ANGGORO</t>
  </si>
  <si>
    <t>2607/FTSCY/WS95051 69576000.00 BYR AH HAIRUL BIJI JAGUNG PERKAS</t>
  </si>
  <si>
    <t>2607/FTSCY/WS95031 73584000.00 PT BJP SRI ASIH ANGGRAENI</t>
  </si>
  <si>
    <t>TARIKAN ATM 26/07</t>
  </si>
  <si>
    <t>2607/FTSCY/WS95051 162241640.00 AH P. HAIRUL 17/7 PHALOSARI UNGGUL J</t>
  </si>
  <si>
    <t>2607/FTSCY/WS95271 10000000.00 EKO SETIYAWAN</t>
  </si>
  <si>
    <t>2607/FTSCY/WS95271 99762500.00 pelunasan ANUGERAH KARTIKA A</t>
  </si>
  <si>
    <t>2607/FTSCY/WS95271 72100000.00 Fri Jul 24 2026 14:00:00 GMT+0700 (Western Indonesia Time) BINTANG TAMA SANTO</t>
  </si>
  <si>
    <t>2607/FTSCY/WS95271 24039610.00 pelunasan 24/07 BROILER MAKMUR TAN</t>
  </si>
  <si>
    <t>2607/FTSCY/WS95271 41525600.00 Sat Jul 25 2026 14:00:00 GMT+0700 (Western Indonesia Time) ANUGERAH KARTIKA A</t>
  </si>
  <si>
    <t>2607/FTFVA/WS95031 55569/PT PRIMA FAJ titip - 40190</t>
  </si>
  <si>
    <t>2607/FTFVA/WS95031 55574/GUNA MITRA S titip rembang - 200177</t>
  </si>
  <si>
    <t>2707/FTSCY/WS95031 84248000.00 pelunasan TABASSAM AL HATTAK</t>
  </si>
  <si>
    <t>2707/FTSCY/WS95031 3000000.00 lunas DWI HERMANSYAH</t>
  </si>
  <si>
    <t>2707/FTSCY/WS95051 570054060.00 krmn 26/7 HENDY BENEDICT LEO</t>
  </si>
  <si>
    <t>2707/FTSCY/WS95051 72020200.00 krmn 26/7 HENDY BENEDICT LEO</t>
  </si>
  <si>
    <t>2707/FTSCY/WS95051 23080000.00 BYR AH HAIRUL BIJI JAGUNG PERKAS</t>
  </si>
  <si>
    <t>2707/FTSCY/WS95271 141435000.00 Fri Jul 24 2026 14:00:00 GMT+0700 (Western Indonesia Time) BINTANG TAMA SANTO</t>
  </si>
  <si>
    <t>2707/FTSCY/WS95271 61500750.00 Sun Jul 26 2026 14:00:00 GMT+0700 (Western Indonesia Time) ANUGERAH KARTIKA A</t>
  </si>
  <si>
    <t>2707/FTSCY/WS95011 208814920.00 Sat Jul 25 2026 14:00:00 GMT+0700 (Western Indonesia Time) ANUGERAH KARTIKA A</t>
  </si>
  <si>
    <t>2707/FTSCY/WS95051 164420100.00 Pembelian ayam TRIJAYA LESTARI FO</t>
  </si>
  <si>
    <t>2707/FTSCY/WS95011 132577000.00 Sun Jul 26 2026 14:00:00 GMT+0700 (Western Indonesia Time) SURYA INTI TERNAK</t>
  </si>
  <si>
    <t>2707/FTSCY/WS95011 54672300.00 Sat Jul 25 2026 14:00:00 GMT+0700 (Western Indonesia Time) LAJU SATWA WISESA</t>
  </si>
  <si>
    <t>2707/FTSCY/WS95011 92742750.00 Sat Jul 25 2026 14:00:00 GMT+0700 (Western Indonesia Time) BINTANG TAMA SANTO</t>
  </si>
  <si>
    <t>2707/FTSCY/WS95271 61354650.00 Sat Jul 25 2026 14:00:00 GMT+0700 (Western Indonesia Time) BINTANG TAMA SANTO</t>
  </si>
  <si>
    <t>2707/FTFVA/WS95031 55574/GUNA MITRA S pelunasan - 200177</t>
  </si>
  <si>
    <t>2707/FTSCY/WS95051 67533750.00 Tulungagun 26 Juli 3001.5kg/Clossing SUGENG MARIONO</t>
  </si>
  <si>
    <t>2707/FTSCY/WS95271 35590500.00 Sat Jul 25 2026 14:00:00 GMT+0700 (Western Indonesia Time) ANUGERAH KARTIKA A</t>
  </si>
  <si>
    <t>2707/FTSCY/WS95031 6100000.00 pelunasan LAWU ABADI NUSA PT</t>
  </si>
  <si>
    <t>2707/FTSCY/WS95031 824380.00 SITI RAHMA IFTITAH</t>
  </si>
  <si>
    <t>2707/FTSCY/WS95051 65914062.00 AYAM HAIRUL TGL 27/7/2023 SUCI RAHARJO PT</t>
  </si>
  <si>
    <t>2707/FTFVA/WS95031 55569/PT PRIMA FAJ pelunasan besuki - 40190</t>
  </si>
  <si>
    <t>TARIKAN ATM 27/07</t>
  </si>
  <si>
    <t>2707/FTFVA/WS95031 55569/PT PRIMA FAJ titip - 40190</t>
  </si>
  <si>
    <t>2707/FTSCY/WS95051 580944420.00 SIDO RAYA UTAMA CV</t>
  </si>
  <si>
    <t>2707/FTFVA/WS95031 55574/GUNA MITRA S titip - 200177</t>
  </si>
  <si>
    <t>2807/FTSCY/WS95031 3300610.00 FAJAR ANDREANZAH</t>
  </si>
  <si>
    <t>2807/FTSCY/WS95031 8947000.00 MUJIANTO</t>
  </si>
  <si>
    <t>2807/FTSCY/WS95031 22500000.00 pelunasan ANUGERAH KARTIKA A</t>
  </si>
  <si>
    <t>2807/FTSCY/WS95271 71550900.00 Sat Jul 25 2026 14:00:00 GMT+0700 (Western Indonesia Time) BROILER MAKMUR TAN</t>
  </si>
  <si>
    <t>2807/FTSCY/WS95271 90000000.00 Sun Jul 26 2026 14:00:00 GMT+0700 (Western Indonesia Time) RUKUN MITRA BERSAM</t>
  </si>
  <si>
    <t>2807/FTSCY/WS95271 63000000.00 Mon Jul 27 2026 14:00:00 GMT+0700 (Western Indonesia Time) TABASSAM AZ ZUFAR</t>
  </si>
  <si>
    <t>2807/FTSCY/WS95271 67000000.00 Mon Jul 27 2026 14:00:00 GMT+0700 (Western Indonesia Time) TUMBUH OPTIMAL PRI</t>
  </si>
  <si>
    <t>2807/FTSCY/WS95031 10000000.00 pelunasan TUMBUH OPTIMAL PRI</t>
  </si>
  <si>
    <t>2807/FTSCY/WS95011 64750000.00 Sun Jul 26 2026 14:00:00 GMT+0700 (Western Indonesia Time) GANESHA SATRIA NUS</t>
  </si>
  <si>
    <t>2807/FTSCY/WS95011 73500000.00 Sun Jul 26 2026 14:00:00 GMT+0700 (Western Indonesia Time) LAJU SATWA WISESA</t>
  </si>
  <si>
    <t>2807/FTSCY/WS95031 2556000.00 pasuruan DWI HERMANSYAH</t>
  </si>
  <si>
    <t>2807/FTSCY/WS95031 1638500.00 EKO SETIYAWAN</t>
  </si>
  <si>
    <t>2807/FTSCY/WS95031 1107000.00 pelunasan EKO SETIYAWAN</t>
  </si>
  <si>
    <t>2807/FTSCY/WS95011 71760250.00 Tue Jul 28 2026 14:00:00 GMT+0700 (Western Indonesia Time) LAWU ABADI NUSA PT</t>
  </si>
  <si>
    <t>2807/FTSCY/WS95031 2013900.00 NURHAYATI</t>
  </si>
  <si>
    <t>2807/FTSCY/WS95031 34000000.00 NURUL AINI</t>
  </si>
  <si>
    <t>2807/FTSCY/WS95031 2500000.00 HERMAWAN</t>
  </si>
  <si>
    <t>2807/FTSCY/WS95031 1236600.00 EKO SETIYAWAN</t>
  </si>
  <si>
    <t>2807/FTSCY/WS95031 1510650.00 HERMAWAN</t>
  </si>
  <si>
    <t>2807/FTSCY/WS95011 50760000.00 malang BRANTAS ABADI SENT</t>
  </si>
  <si>
    <t>2807/FTSCY/WS95011 72447900.00 Mon Jul 27 2026 14:00:00 GMT+0700 (Western Indonesia Time) ANUGERAH KARTIKA A</t>
  </si>
  <si>
    <t>2807/FTSCY/WS95051 132148030.00 Titip Byr Ayam JT 22.07 RPA SBU ALDINI MARIA GUMIL</t>
  </si>
  <si>
    <t>TARIKAN ATM 28/07</t>
  </si>
  <si>
    <t>2807/FTSCY/WS95051 57708571.00 krmn 27/7 HENDY BENEDICT LEO</t>
  </si>
  <si>
    <t>2807/FTSCY/WS95051 92995760.00 AH P. HAIRUL 17/7 PHALOSARI UNGGUL J</t>
  </si>
  <si>
    <t>2807/FTSCY/WS95011 40000000.00 titip SUGENG RIADI</t>
  </si>
  <si>
    <t>2807/FTSCY/WS95011 58944900.00 Mon Jul 27 2026 14:00:00 GMT+0700 (Western Indonesia Time) ANUGERAH KARTIKA A</t>
  </si>
  <si>
    <t>2807/FTSCY/WS95051 148399661.00 AYAM HAIRUL TGL 28/7/2023 SUCI RAHARJO PT</t>
  </si>
  <si>
    <t>2807/FTFVA/WS95031 55569/PT PRIMA FAJ 24880000 - 40190</t>
  </si>
  <si>
    <t>2807/FTSCY/WS95051 682862280.00 SIDO RAYA UTAMA CV</t>
  </si>
  <si>
    <t>2807/FTSCY/WS95031 20000000.00 EKO SETIYAWAN</t>
  </si>
  <si>
    <t>2807/FTSCY/WS95031 1350000.00 SUNARTO</t>
  </si>
  <si>
    <t>2807/FTFVA/WS95031 55569/PT PRIMA FAJ titip - 40190</t>
  </si>
  <si>
    <t>2907/FTSCY/WS95011 475775500.00 Sun Jul 26 2026 14:00:00 GMT+0700 (Western Indonesia Time) BROILER MAKMUR TAN</t>
  </si>
  <si>
    <t>2907/FTSCY/WS95271 123461100.00 Sun Jul 26 2026 14:00:00 GMT+0700 (Western Indonesia Time) SUPER UNGGAS JAYA</t>
  </si>
  <si>
    <t>2907/FTSCY/WS95271 60247100.00 Sun Jul 26 2026 14:00:00 GMT+0700 (Western Indonesia Time) ANDALAN YASA MITRA</t>
  </si>
  <si>
    <t>2907/FTSCY/WS95271 66682300.00 Sun Jul 26 2026 14:00:00 GMT+0700 (Western Indonesia Time) ANUGERAH KARTIKA A</t>
  </si>
  <si>
    <t>2907/FTSCY/WS95271 33000000.00 Thu Aug 27 2026 14:00:00 GMT+0700 (Western Indonesia Time) BRANTAS ABADI SENT</t>
  </si>
  <si>
    <t>2907/FTSCY/WS95031 30000000.00 pelunasan BRANTAS ABADI SENT</t>
  </si>
  <si>
    <t>2907/FTSCY/WS95031 54360960.00 Mon Jul 27 2026 14:00:00 GMT+0700 (Western Indonesia Time) GANESHA SATRIA NUS</t>
  </si>
  <si>
    <t>BIF TRANSFER KE 2 RAHMAN YAFI KURNIA M-BCA</t>
  </si>
  <si>
    <t>BIF BIAYA TXN KE 2 RAHMAN YAFI KURNIA M-BCA</t>
  </si>
  <si>
    <t>2907/FTSCY/WS95031 3788700.00 DWI HERMANSYAH</t>
  </si>
  <si>
    <t>2907/FTSCY/WS95031 3985640.00 MUJIANTO</t>
  </si>
  <si>
    <t>2907/FTSCY/WS95271 41200000.00 Byr Ayam JT 10.07 RPA SBU ALDINI MARIA GUMIL</t>
  </si>
  <si>
    <t>2907/FTSCY/WS95271 2000000.00 Pelunasan Ayam JT2 2.07 RPA SBU ALDINI MARIA GUMIL</t>
  </si>
  <si>
    <t>2907/FTSCY/WS95051 100000000.00 krmn 29/7 HENDY BENEDICT LEO</t>
  </si>
  <si>
    <t>2907/FTSCY/WS95031 1500000.00 SUNARTO</t>
  </si>
  <si>
    <t>2907/FTSCY/WS95271 11900000.00 NURUL AINI</t>
  </si>
  <si>
    <t>2907/FTFVA/WS95031 12208/SHOPEEPAY - - 5335263590</t>
  </si>
  <si>
    <t>2907/FTSCY/WS95031 1500000.00 HERMAWAN</t>
  </si>
  <si>
    <t>2907/FTSCY/WS95031 2412000.00 MUJIANTO</t>
  </si>
  <si>
    <t>2907/FTSCY/WS95271 4314750.00 lunas FAJAR ANDREANZAH</t>
  </si>
  <si>
    <t>3007/FTSCY/WS95051 460120200.00 SIDO RAYA UTAMA CV</t>
  </si>
  <si>
    <t>3007/FTSCY/WS95271 70851200.00 Mon Jul 27 2026 14:00:00 GMT+0700 (Western Indonesia Time) BINTANG TAMA SANTO</t>
  </si>
  <si>
    <t>3007/FTSCY/WS95271 53289000.00 Mon Jul 27 2026 14:00:00 GMT+0700 (Western Indonesia Time) PT BERLIAN INDOMIT</t>
  </si>
  <si>
    <t>3007/FTSCY/WS95271 60673650.00 Mon Jul 27 2026 14:00:00 GMT+0700 (Western Indonesia Time) SUPER UNGGAS JAYA</t>
  </si>
  <si>
    <t>3007/FTSCY/WS95011 193246200.00 Mon Jul 27 2026 14:00:00 GMT+0700 (Western Indonesia Time) BROILER MAKMUR TAN</t>
  </si>
  <si>
    <t>3007/FTSCY/WS95271 64354120.00 Tue Jul 28 2026 14:00:00 GMT+0700 (Western Indonesia Time) TABASSAM JAYA FARM</t>
  </si>
  <si>
    <t>3007/FTSCY/WS95031 7320200.00 NURHAYATI</t>
  </si>
  <si>
    <t>3007/FTSCY/WS95031 3366700.00 SUNARTO</t>
  </si>
  <si>
    <t>3007/FTSCY/WS95031 3366700.00 DWI HERMANSYAH</t>
  </si>
  <si>
    <t>TARIKAN ATM 30/07</t>
  </si>
  <si>
    <t>3007/FTSCY/WS95031 300000.00 NURUL AINI</t>
  </si>
  <si>
    <t>3007/FTSCY/WS95031 15000000.00 EKO SETIYAWAN</t>
  </si>
  <si>
    <t>3007/FTFVA/WS95031 55569/PT PRIMA FAJ titip - 40190</t>
  </si>
  <si>
    <t>3007/FTFVA/WS95031 55574/GUNA MITRA S titip - 200177</t>
  </si>
  <si>
    <t>3007/FTSCY/WS95051 45000000.00 WAHYUDI</t>
  </si>
  <si>
    <t>3007/FTSCY/WS95031 5021000.00 krg 15 jt EKO SETIYAWAN</t>
  </si>
  <si>
    <t>3007/FTSCY/WS95031 1900000.00 SUNARTO</t>
  </si>
  <si>
    <t>GRAND CELLULAR-HO 6019009510239343</t>
  </si>
  <si>
    <t>TRSF E-BANKING DB TANGGAL :30/07</t>
  </si>
  <si>
    <t>3007/FTSCY/WS95031 byr baju SLAMET RAHARJO</t>
  </si>
  <si>
    <t>3107/FTSCY/WS95031 63168430.00 lunas LAWU ABADI NUSA PT</t>
  </si>
  <si>
    <t>TARIKAN ATM 31/07</t>
  </si>
  <si>
    <t>3107/FTSCY/WS95051 83560575.00 AYAM HAIRUL TGL 31/7/2023 SUCI RAHARJO PT</t>
  </si>
  <si>
    <t>3107/FTSCY/WS95031 11436700.00 WAHYUDI</t>
  </si>
  <si>
    <t>3107/FTSCY/WS95051 100000000.00 krmn 31/7 HENDY BENEDICT LEO</t>
  </si>
  <si>
    <t>3107/FTSCY/WS95031 5000000.00 EKO SETIYAWAN</t>
  </si>
  <si>
    <t>3107/FTSCY/WS95271 121200000.00 pelunasan LAJU SATWA WISESA</t>
  </si>
  <si>
    <t>3107/FTSCY/WS95051 566535530.00 SIDO RAYA UTAMA CV</t>
  </si>
  <si>
    <t>BUNGA</t>
  </si>
  <si>
    <t>PAJAK BUNGA</t>
  </si>
  <si>
    <t xml:space="preserve"> SALDO AWAL : MUTASI CR : MUTASI DB : SALDO AKHIR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</si>
</sst>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&quot;/&quot;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0" fontId="1" numFmtId="165" xfId="0" applyFont="1" applyNumberFormat="1"/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4.88"/>
  </cols>
  <sheetData>
    <row r="1">
      <c r="A1" s="1"/>
      <c r="B1" s="3"/>
      <c r="D1" s="4"/>
      <c r="E1" s="4"/>
      <c r="F1" s="4"/>
      <c r="G1" s="5"/>
      <c r="H1" s="5"/>
      <c r="I1" s="6"/>
    </row>
    <row r="2">
      <c r="A2" s="1">
        <v>46204.0</v>
      </c>
      <c r="B2" s="3" t="s">
        <v>0</v>
      </c>
      <c r="C2" s="3" t="s">
        <v>0</v>
      </c>
      <c r="D2" s="4"/>
      <c r="E2" s="4">
        <f>SUM(E3:E622) </f>
        <v>26686527878</v>
      </c>
      <c r="F2" s="4"/>
      <c r="G2" s="5">
        <v>2.2501345031E8</v>
      </c>
      <c r="H2" s="5">
        <v>2.2501345031E8</v>
      </c>
      <c r="I2" s="6"/>
    </row>
    <row r="3">
      <c r="A3" s="1">
        <v>46204.0</v>
      </c>
      <c r="B3" s="3" t="s">
        <v>1</v>
      </c>
      <c r="C3" s="3" t="s">
        <v>2</v>
      </c>
      <c r="D3" s="5">
        <v>1500000.0</v>
      </c>
      <c r="E3" s="5"/>
      <c r="F3" s="5" t="s">
        <v>3</v>
      </c>
      <c r="G3" s="4">
        <f>G2-D3+E3</f>
        <v>223513450.3</v>
      </c>
      <c r="H3" s="5">
        <v>2.2351345031E8</v>
      </c>
      <c r="I3" s="6"/>
    </row>
    <row r="4">
      <c r="A4" s="1">
        <v>46204.0</v>
      </c>
      <c r="B4" s="3" t="s">
        <v>1</v>
      </c>
      <c r="C4" s="3" t="s">
        <v>4</v>
      </c>
      <c r="D4" s="5">
        <v>2500000.0</v>
      </c>
      <c r="E4" s="5"/>
      <c r="F4" s="5" t="s">
        <v>3</v>
      </c>
      <c r="G4" s="4">
        <f t="array" ref="G4:G622">SCAN(G3, MAP(D4:D622, E4:E622, LAMBDA(d, c, IF(AND(d="", c=""), "", N(c) - N(d)))), LAMBDA(saldo, mutasi, IF(mutasi="", "", saldo + mutasi)))</f>
        <v>221013450.3</v>
      </c>
      <c r="H4" s="4"/>
      <c r="I4" s="6"/>
    </row>
    <row r="5">
      <c r="A5" s="1">
        <v>46204.0</v>
      </c>
      <c r="B5" s="3" t="s">
        <v>1</v>
      </c>
      <c r="C5" s="3" t="s">
        <v>5</v>
      </c>
      <c r="D5" s="5">
        <v>100000.0</v>
      </c>
      <c r="E5" s="5"/>
      <c r="F5" s="5" t="s">
        <v>3</v>
      </c>
      <c r="G5" s="4">
        <v>2.2091345031E8</v>
      </c>
      <c r="H5" s="4"/>
      <c r="I5" s="6"/>
    </row>
    <row r="6">
      <c r="A6" s="1">
        <v>46204.0</v>
      </c>
      <c r="B6" s="3" t="s">
        <v>6</v>
      </c>
      <c r="C6" s="3" t="s">
        <v>7</v>
      </c>
      <c r="D6" s="5">
        <v>115000.0</v>
      </c>
      <c r="E6" s="5"/>
      <c r="F6" s="5" t="s">
        <v>3</v>
      </c>
      <c r="G6" s="4">
        <v>2.2079845031E8</v>
      </c>
      <c r="H6" s="4"/>
      <c r="I6" s="6" t="s">
        <v>8</v>
      </c>
    </row>
    <row r="7">
      <c r="A7" s="1">
        <v>46204.0</v>
      </c>
      <c r="B7" s="3" t="s">
        <v>6</v>
      </c>
      <c r="C7" s="3" t="s">
        <v>9</v>
      </c>
      <c r="D7" s="5">
        <v>2500.0</v>
      </c>
      <c r="E7" s="5"/>
      <c r="F7" s="5" t="s">
        <v>3</v>
      </c>
      <c r="G7" s="4">
        <v>2.2079595031E8</v>
      </c>
      <c r="H7" s="4"/>
      <c r="I7" s="6" t="s">
        <v>8</v>
      </c>
    </row>
    <row r="8">
      <c r="A8" s="1">
        <v>46204.0</v>
      </c>
      <c r="B8" s="3" t="s">
        <v>1</v>
      </c>
      <c r="C8" s="3" t="s">
        <v>10</v>
      </c>
      <c r="D8" s="5">
        <v>8.05E7</v>
      </c>
      <c r="E8" s="5"/>
      <c r="F8" s="5" t="s">
        <v>3</v>
      </c>
      <c r="G8" s="4">
        <v>1.4029595031E8</v>
      </c>
      <c r="H8" s="4"/>
      <c r="I8" s="6" t="s">
        <v>11</v>
      </c>
    </row>
    <row r="9">
      <c r="A9" s="1">
        <v>46204.0</v>
      </c>
      <c r="B9" s="3" t="s">
        <v>1</v>
      </c>
      <c r="C9" s="3" t="s">
        <v>12</v>
      </c>
      <c r="D9" s="5">
        <v>5035300.0</v>
      </c>
      <c r="E9" s="5"/>
      <c r="F9" s="5" t="s">
        <v>3</v>
      </c>
      <c r="G9" s="4">
        <v>1.3526065031E8</v>
      </c>
      <c r="H9" s="4"/>
      <c r="I9" s="6" t="s">
        <v>8</v>
      </c>
    </row>
    <row r="10">
      <c r="A10" s="1">
        <v>46204.0</v>
      </c>
      <c r="B10" s="3" t="s">
        <v>1</v>
      </c>
      <c r="C10" s="3" t="s">
        <v>13</v>
      </c>
      <c r="D10" s="5">
        <v>19000.0</v>
      </c>
      <c r="E10" s="5"/>
      <c r="F10" s="5" t="s">
        <v>3</v>
      </c>
      <c r="G10" s="4">
        <v>1.3524165031E8</v>
      </c>
      <c r="H10" s="4"/>
      <c r="I10" s="6" t="s">
        <v>8</v>
      </c>
    </row>
    <row r="11">
      <c r="A11" s="1">
        <v>46204.0</v>
      </c>
      <c r="B11" s="3" t="s">
        <v>14</v>
      </c>
      <c r="C11" s="3" t="s">
        <v>15</v>
      </c>
      <c r="D11" s="5"/>
      <c r="E11" s="5">
        <v>2000000.0</v>
      </c>
      <c r="F11" s="5" t="s">
        <v>16</v>
      </c>
      <c r="G11" s="4">
        <v>1.3724165031E8</v>
      </c>
      <c r="H11" s="4"/>
      <c r="I11" s="6" t="s">
        <v>8</v>
      </c>
    </row>
    <row r="12">
      <c r="A12" s="1">
        <v>46204.0</v>
      </c>
      <c r="B12" s="3" t="s">
        <v>14</v>
      </c>
      <c r="C12" s="3" t="s">
        <v>17</v>
      </c>
      <c r="D12" s="5"/>
      <c r="E12" s="5">
        <v>700000.0</v>
      </c>
      <c r="F12" s="5" t="s">
        <v>16</v>
      </c>
      <c r="G12" s="4">
        <v>1.3794165031E8</v>
      </c>
      <c r="H12" s="4"/>
      <c r="I12" s="6" t="s">
        <v>8</v>
      </c>
    </row>
    <row r="13">
      <c r="A13" s="1">
        <v>46204.0</v>
      </c>
      <c r="B13" s="3" t="s">
        <v>1</v>
      </c>
      <c r="C13" s="3" t="s">
        <v>18</v>
      </c>
      <c r="D13" s="5">
        <v>2700000.0</v>
      </c>
      <c r="E13" s="5"/>
      <c r="F13" s="5" t="s">
        <v>3</v>
      </c>
      <c r="G13" s="4">
        <v>1.3524165031E8</v>
      </c>
      <c r="H13" s="4"/>
      <c r="I13" s="6" t="s">
        <v>8</v>
      </c>
    </row>
    <row r="14">
      <c r="A14" s="1">
        <v>46204.0</v>
      </c>
      <c r="B14" s="3" t="s">
        <v>14</v>
      </c>
      <c r="C14" s="3" t="s">
        <v>19</v>
      </c>
      <c r="D14" s="5"/>
      <c r="E14" s="5">
        <v>1.0E8</v>
      </c>
      <c r="F14" s="5" t="s">
        <v>16</v>
      </c>
      <c r="G14" s="4">
        <v>2.3524165031E8</v>
      </c>
      <c r="H14" s="4"/>
      <c r="I14" s="6" t="s">
        <v>8</v>
      </c>
    </row>
    <row r="15">
      <c r="A15" s="1">
        <v>46204.0</v>
      </c>
      <c r="B15" s="3" t="s">
        <v>1</v>
      </c>
      <c r="C15" s="3" t="s">
        <v>20</v>
      </c>
      <c r="D15" s="5">
        <v>1400000.0</v>
      </c>
      <c r="E15" s="5"/>
      <c r="F15" s="5" t="s">
        <v>3</v>
      </c>
      <c r="G15" s="4">
        <v>2.3384165031E8</v>
      </c>
      <c r="H15" s="5">
        <v>2.3384165031E8</v>
      </c>
      <c r="I15" s="6" t="s">
        <v>8</v>
      </c>
    </row>
    <row r="16">
      <c r="A16" s="1">
        <v>46205.0</v>
      </c>
      <c r="B16" s="3" t="s">
        <v>21</v>
      </c>
      <c r="C16" s="3" t="s">
        <v>22</v>
      </c>
      <c r="D16" s="5"/>
      <c r="E16" s="5">
        <v>1.645191E8</v>
      </c>
      <c r="F16" s="5" t="s">
        <v>16</v>
      </c>
      <c r="G16" s="4">
        <v>3.9836075031E8</v>
      </c>
      <c r="H16" s="5">
        <v>3.9836075031E8</v>
      </c>
      <c r="I16" s="6" t="s">
        <v>8</v>
      </c>
    </row>
    <row r="17">
      <c r="A17" s="1">
        <v>46205.0</v>
      </c>
      <c r="B17" s="3" t="s">
        <v>1</v>
      </c>
      <c r="C17" s="3" t="s">
        <v>23</v>
      </c>
      <c r="D17" s="5">
        <v>3067070.0</v>
      </c>
      <c r="E17" s="4"/>
      <c r="F17" s="5" t="s">
        <v>3</v>
      </c>
      <c r="G17" s="4">
        <v>3.9529368031E8</v>
      </c>
      <c r="H17" s="5">
        <v>3.9529368031E8</v>
      </c>
      <c r="I17" s="6" t="s">
        <v>8</v>
      </c>
    </row>
    <row r="18">
      <c r="A18" s="1">
        <v>46205.0</v>
      </c>
      <c r="B18" s="3" t="s">
        <v>1</v>
      </c>
      <c r="C18" s="3" t="s">
        <v>24</v>
      </c>
      <c r="D18" s="5">
        <v>1600600.0</v>
      </c>
      <c r="E18" s="4"/>
      <c r="F18" s="5" t="s">
        <v>3</v>
      </c>
      <c r="G18" s="4">
        <v>3.9369308031E8</v>
      </c>
      <c r="H18" s="4"/>
      <c r="I18" s="6" t="s">
        <v>8</v>
      </c>
    </row>
    <row r="19">
      <c r="A19" s="1">
        <v>46205.0</v>
      </c>
      <c r="B19" s="3" t="s">
        <v>6</v>
      </c>
      <c r="C19" s="3" t="s">
        <v>25</v>
      </c>
      <c r="D19" s="5">
        <v>1927340.0</v>
      </c>
      <c r="E19" s="4"/>
      <c r="F19" s="5" t="s">
        <v>3</v>
      </c>
      <c r="G19" s="4">
        <v>3.9176574031E8</v>
      </c>
      <c r="H19" s="4"/>
      <c r="I19" s="6" t="s">
        <v>8</v>
      </c>
    </row>
    <row r="20">
      <c r="A20" s="1">
        <v>46205.0</v>
      </c>
      <c r="B20" s="3" t="s">
        <v>6</v>
      </c>
      <c r="C20" s="3" t="s">
        <v>26</v>
      </c>
      <c r="D20" s="5">
        <v>2500.0</v>
      </c>
      <c r="E20" s="4"/>
      <c r="F20" s="5" t="s">
        <v>3</v>
      </c>
      <c r="G20" s="4">
        <v>3.9176324031E8</v>
      </c>
      <c r="H20" s="4"/>
      <c r="I20" s="6" t="s">
        <v>8</v>
      </c>
    </row>
    <row r="21">
      <c r="A21" s="1">
        <v>46205.0</v>
      </c>
      <c r="B21" s="3" t="s">
        <v>1</v>
      </c>
      <c r="C21" s="3" t="s">
        <v>27</v>
      </c>
      <c r="D21" s="5">
        <v>8.4295E7</v>
      </c>
      <c r="E21" s="4"/>
      <c r="F21" s="5" t="s">
        <v>3</v>
      </c>
      <c r="G21" s="4">
        <v>3.0746824031E8</v>
      </c>
      <c r="H21" s="4"/>
      <c r="I21" s="6" t="s">
        <v>8</v>
      </c>
    </row>
    <row r="22">
      <c r="A22" s="1">
        <v>46205.0</v>
      </c>
      <c r="B22" s="3" t="s">
        <v>1</v>
      </c>
      <c r="C22" s="3" t="s">
        <v>28</v>
      </c>
      <c r="D22" s="5">
        <v>8.97456E7</v>
      </c>
      <c r="E22" s="4"/>
      <c r="F22" s="5" t="s">
        <v>3</v>
      </c>
      <c r="G22" s="4">
        <v>2.1772264031E8</v>
      </c>
      <c r="H22" s="4"/>
      <c r="I22" s="6"/>
    </row>
    <row r="23">
      <c r="A23" s="1">
        <v>46205.0</v>
      </c>
      <c r="B23" s="3" t="s">
        <v>1</v>
      </c>
      <c r="C23" s="3" t="s">
        <v>29</v>
      </c>
      <c r="D23" s="5">
        <v>1200000.0</v>
      </c>
      <c r="E23" s="4"/>
      <c r="F23" s="5" t="s">
        <v>3</v>
      </c>
      <c r="G23" s="4">
        <v>2.1652264031E8</v>
      </c>
      <c r="H23" s="4"/>
      <c r="I23" s="6"/>
    </row>
    <row r="24">
      <c r="A24" s="1">
        <v>46205.0</v>
      </c>
      <c r="B24" s="3" t="s">
        <v>1</v>
      </c>
      <c r="C24" s="3" t="s">
        <v>30</v>
      </c>
      <c r="D24" s="5">
        <v>5.0E7</v>
      </c>
      <c r="E24" s="4"/>
      <c r="F24" s="5" t="s">
        <v>3</v>
      </c>
      <c r="G24" s="4">
        <v>1.6652264031E8</v>
      </c>
      <c r="H24" s="4"/>
      <c r="I24" s="6" t="s">
        <v>8</v>
      </c>
    </row>
    <row r="25">
      <c r="A25" s="1">
        <v>46205.0</v>
      </c>
      <c r="B25" s="3" t="s">
        <v>1</v>
      </c>
      <c r="C25" s="3" t="s">
        <v>31</v>
      </c>
      <c r="D25" s="5">
        <v>1.518E8</v>
      </c>
      <c r="E25" s="4"/>
      <c r="F25" s="5" t="s">
        <v>3</v>
      </c>
      <c r="G25" s="4">
        <v>1.4722640310000002E7</v>
      </c>
      <c r="H25" s="5">
        <v>1.472264031E7</v>
      </c>
      <c r="I25" s="6"/>
    </row>
    <row r="26">
      <c r="A26" s="1">
        <v>46206.0</v>
      </c>
      <c r="B26" s="3" t="s">
        <v>14</v>
      </c>
      <c r="C26" s="3" t="s">
        <v>32</v>
      </c>
      <c r="D26" s="5"/>
      <c r="E26" s="5">
        <v>3.669288E7</v>
      </c>
      <c r="F26" s="5" t="s">
        <v>16</v>
      </c>
      <c r="G26" s="4">
        <v>5.141552031E7</v>
      </c>
      <c r="H26" s="4"/>
      <c r="I26" s="6"/>
    </row>
    <row r="27">
      <c r="A27" s="1">
        <v>46206.0</v>
      </c>
      <c r="B27" s="3" t="s">
        <v>14</v>
      </c>
      <c r="C27" s="3" t="s">
        <v>33</v>
      </c>
      <c r="D27" s="5"/>
      <c r="E27" s="5">
        <v>1.6151458E8</v>
      </c>
      <c r="F27" s="5" t="s">
        <v>16</v>
      </c>
      <c r="G27" s="4">
        <v>2.1293010031E8</v>
      </c>
      <c r="H27" s="4"/>
      <c r="I27" s="6" t="s">
        <v>8</v>
      </c>
    </row>
    <row r="28">
      <c r="A28" s="1">
        <v>46206.0</v>
      </c>
      <c r="B28" s="3" t="s">
        <v>1</v>
      </c>
      <c r="C28" s="3" t="s">
        <v>34</v>
      </c>
      <c r="D28" s="5">
        <v>1.02945E7</v>
      </c>
      <c r="E28" s="4"/>
      <c r="F28" s="5" t="s">
        <v>3</v>
      </c>
      <c r="G28" s="4">
        <v>2.0263560031E8</v>
      </c>
      <c r="H28" s="5">
        <v>2.0263560031E8</v>
      </c>
      <c r="I28" s="6" t="s">
        <v>8</v>
      </c>
    </row>
    <row r="29">
      <c r="A29" s="1">
        <v>46206.0</v>
      </c>
      <c r="B29" s="3" t="s">
        <v>1</v>
      </c>
      <c r="C29" s="3" t="s">
        <v>35</v>
      </c>
      <c r="D29" s="5">
        <v>9200000.0</v>
      </c>
      <c r="E29" s="4"/>
      <c r="F29" s="5" t="s">
        <v>3</v>
      </c>
      <c r="G29" s="4">
        <v>1.9343560031E8</v>
      </c>
      <c r="H29" s="5">
        <v>1.9343560031E8</v>
      </c>
      <c r="I29" s="6"/>
    </row>
    <row r="30">
      <c r="A30" s="1">
        <v>46206.0</v>
      </c>
      <c r="B30" s="3" t="s">
        <v>14</v>
      </c>
      <c r="C30" s="3" t="s">
        <v>36</v>
      </c>
      <c r="D30" s="5"/>
      <c r="E30" s="5">
        <v>6.0E7</v>
      </c>
      <c r="F30" s="5" t="s">
        <v>16</v>
      </c>
      <c r="G30" s="4">
        <v>2.5343560031E8</v>
      </c>
      <c r="H30" s="4"/>
      <c r="I30" s="6" t="s">
        <v>8</v>
      </c>
    </row>
    <row r="31">
      <c r="A31" s="1">
        <v>46206.0</v>
      </c>
      <c r="B31" s="3" t="s">
        <v>14</v>
      </c>
      <c r="C31" s="3" t="s">
        <v>37</v>
      </c>
      <c r="D31" s="5"/>
      <c r="E31" s="5">
        <v>1.0E8</v>
      </c>
      <c r="F31" s="5" t="s">
        <v>16</v>
      </c>
      <c r="G31" s="4">
        <v>3.5343560031E8</v>
      </c>
      <c r="H31" s="4"/>
      <c r="I31" s="6" t="s">
        <v>8</v>
      </c>
    </row>
    <row r="32">
      <c r="A32" s="1">
        <v>46206.0</v>
      </c>
      <c r="B32" s="3" t="s">
        <v>14</v>
      </c>
      <c r="C32" s="3" t="s">
        <v>38</v>
      </c>
      <c r="D32" s="5"/>
      <c r="E32" s="5">
        <v>2.5177756E8</v>
      </c>
      <c r="F32" s="5" t="s">
        <v>16</v>
      </c>
      <c r="G32" s="4">
        <v>6.0521316031E8</v>
      </c>
      <c r="H32" s="4"/>
      <c r="I32" s="6"/>
    </row>
    <row r="33">
      <c r="A33" s="1">
        <v>46206.0</v>
      </c>
      <c r="B33" s="3" t="s">
        <v>14</v>
      </c>
      <c r="C33" s="3" t="s">
        <v>39</v>
      </c>
      <c r="D33" s="5"/>
      <c r="E33" s="5">
        <v>2.3654188E8</v>
      </c>
      <c r="F33" s="5" t="s">
        <v>16</v>
      </c>
      <c r="G33" s="4">
        <v>8.4175504031E8</v>
      </c>
      <c r="H33" s="4"/>
      <c r="I33" s="6"/>
    </row>
    <row r="34">
      <c r="A34" s="1">
        <v>46206.0</v>
      </c>
      <c r="B34" s="3" t="s">
        <v>1</v>
      </c>
      <c r="C34" s="3" t="s">
        <v>40</v>
      </c>
      <c r="D34" s="5">
        <v>1000000.0</v>
      </c>
      <c r="E34" s="4"/>
      <c r="F34" s="5" t="s">
        <v>3</v>
      </c>
      <c r="G34" s="4">
        <v>8.4075504031E8</v>
      </c>
      <c r="H34" s="4"/>
      <c r="I34" s="6" t="s">
        <v>41</v>
      </c>
    </row>
    <row r="35">
      <c r="A35" s="1">
        <v>46206.0</v>
      </c>
      <c r="B35" s="3" t="s">
        <v>1</v>
      </c>
      <c r="C35" s="3" t="s">
        <v>42</v>
      </c>
      <c r="D35" s="5">
        <v>3315060.0</v>
      </c>
      <c r="E35" s="4"/>
      <c r="F35" s="5" t="s">
        <v>3</v>
      </c>
      <c r="G35" s="4">
        <v>8.3743998031E8</v>
      </c>
      <c r="H35" s="4"/>
      <c r="I35" s="6" t="s">
        <v>41</v>
      </c>
    </row>
    <row r="36">
      <c r="A36" s="1">
        <v>46206.0</v>
      </c>
      <c r="B36" s="3" t="s">
        <v>1</v>
      </c>
      <c r="C36" s="3" t="s">
        <v>43</v>
      </c>
      <c r="D36" s="5">
        <v>1.0E7</v>
      </c>
      <c r="E36" s="4"/>
      <c r="F36" s="5" t="s">
        <v>3</v>
      </c>
      <c r="G36" s="4">
        <v>8.2743998031E8</v>
      </c>
      <c r="H36" s="4"/>
      <c r="I36" s="6" t="s">
        <v>8</v>
      </c>
    </row>
    <row r="37">
      <c r="A37" s="1">
        <v>46206.0</v>
      </c>
      <c r="B37" s="3" t="s">
        <v>1</v>
      </c>
      <c r="C37" s="3" t="s">
        <v>44</v>
      </c>
      <c r="D37" s="5">
        <v>3.1896542E8</v>
      </c>
      <c r="E37" s="4"/>
      <c r="F37" s="5" t="s">
        <v>3</v>
      </c>
      <c r="G37" s="4">
        <v>5.0847456030999994E8</v>
      </c>
      <c r="H37" s="4"/>
      <c r="I37" s="6" t="s">
        <v>8</v>
      </c>
    </row>
    <row r="38">
      <c r="A38" s="1">
        <v>46206.0</v>
      </c>
      <c r="B38" s="3" t="s">
        <v>1</v>
      </c>
      <c r="C38" s="3" t="s">
        <v>45</v>
      </c>
      <c r="D38" s="5">
        <v>1.3E8</v>
      </c>
      <c r="E38" s="4"/>
      <c r="F38" s="5" t="s">
        <v>3</v>
      </c>
      <c r="G38" s="4">
        <v>3.7847456030999994E8</v>
      </c>
      <c r="H38" s="4"/>
      <c r="I38" s="6" t="s">
        <v>41</v>
      </c>
    </row>
    <row r="39">
      <c r="A39" s="1">
        <v>46206.0</v>
      </c>
      <c r="B39" s="3" t="s">
        <v>1</v>
      </c>
      <c r="C39" s="3" t="s">
        <v>46</v>
      </c>
      <c r="D39" s="5">
        <v>1.2964E8</v>
      </c>
      <c r="E39" s="4"/>
      <c r="F39" s="5" t="s">
        <v>3</v>
      </c>
      <c r="G39" s="4">
        <v>2.4883456030999994E8</v>
      </c>
      <c r="H39" s="4"/>
      <c r="I39" s="6" t="s">
        <v>8</v>
      </c>
    </row>
    <row r="40">
      <c r="A40" s="1">
        <v>46206.0</v>
      </c>
      <c r="B40" s="3" t="s">
        <v>1</v>
      </c>
      <c r="C40" s="3" t="s">
        <v>47</v>
      </c>
      <c r="D40" s="5">
        <v>1.6516125E8</v>
      </c>
      <c r="E40" s="4"/>
      <c r="F40" s="5" t="s">
        <v>3</v>
      </c>
      <c r="G40" s="4">
        <v>8.367331030999994E7</v>
      </c>
      <c r="H40" s="5">
        <v>8.367331031E7</v>
      </c>
      <c r="I40" s="6"/>
    </row>
    <row r="41">
      <c r="A41" s="1">
        <v>46206.0</v>
      </c>
      <c r="B41" s="3" t="s">
        <v>1</v>
      </c>
      <c r="C41" s="3" t="s">
        <v>48</v>
      </c>
      <c r="D41" s="5">
        <v>4.95176E7</v>
      </c>
      <c r="E41" s="4"/>
      <c r="F41" s="5" t="s">
        <v>3</v>
      </c>
      <c r="G41" s="4">
        <v>3.415571030999994E7</v>
      </c>
      <c r="H41" s="5">
        <v>3.415571031E7</v>
      </c>
      <c r="I41" s="6"/>
    </row>
    <row r="42">
      <c r="A42" s="1">
        <v>46207.0</v>
      </c>
      <c r="B42" s="3" t="s">
        <v>1</v>
      </c>
      <c r="C42" s="3" t="s">
        <v>49</v>
      </c>
      <c r="D42" s="5">
        <v>3.180745E7</v>
      </c>
      <c r="E42" s="4"/>
      <c r="F42" s="5" t="s">
        <v>3</v>
      </c>
      <c r="G42" s="4">
        <v>2348260.309999943</v>
      </c>
      <c r="H42" s="4"/>
      <c r="I42" s="6" t="s">
        <v>8</v>
      </c>
    </row>
    <row r="43">
      <c r="A43" s="1">
        <v>46207.0</v>
      </c>
      <c r="B43" s="3" t="s">
        <v>1</v>
      </c>
      <c r="C43" s="3" t="s">
        <v>50</v>
      </c>
      <c r="D43" s="5">
        <v>1500000.0</v>
      </c>
      <c r="E43" s="4"/>
      <c r="F43" s="5" t="s">
        <v>3</v>
      </c>
      <c r="G43" s="4">
        <v>848260.3099999428</v>
      </c>
      <c r="H43" s="4"/>
      <c r="I43" s="6" t="s">
        <v>8</v>
      </c>
    </row>
    <row r="44">
      <c r="A44" s="1">
        <v>46207.0</v>
      </c>
      <c r="B44" s="3" t="s">
        <v>14</v>
      </c>
      <c r="C44" s="3" t="s">
        <v>51</v>
      </c>
      <c r="D44" s="5"/>
      <c r="E44" s="5">
        <v>1.52464E8</v>
      </c>
      <c r="F44" s="5" t="s">
        <v>16</v>
      </c>
      <c r="G44" s="4">
        <v>1.5331226030999994E8</v>
      </c>
      <c r="H44" s="4"/>
      <c r="I44" s="6"/>
    </row>
    <row r="45">
      <c r="A45" s="1">
        <v>46207.0</v>
      </c>
      <c r="B45" s="3" t="s">
        <v>14</v>
      </c>
      <c r="C45" s="3" t="s">
        <v>52</v>
      </c>
      <c r="D45" s="5"/>
      <c r="E45" s="5">
        <v>7.0370976E8</v>
      </c>
      <c r="F45" s="5" t="s">
        <v>16</v>
      </c>
      <c r="G45" s="4">
        <v>8.5702202031E8</v>
      </c>
      <c r="H45" s="4"/>
      <c r="I45" s="6" t="s">
        <v>8</v>
      </c>
    </row>
    <row r="46">
      <c r="A46" s="1">
        <v>46207.0</v>
      </c>
      <c r="B46" s="3" t="s">
        <v>1</v>
      </c>
      <c r="C46" s="3" t="s">
        <v>53</v>
      </c>
      <c r="D46" s="5">
        <v>1.328434E8</v>
      </c>
      <c r="E46" s="4"/>
      <c r="F46" s="5" t="s">
        <v>3</v>
      </c>
      <c r="G46" s="4">
        <v>7.2417862031E8</v>
      </c>
      <c r="H46" s="4"/>
      <c r="I46" s="6" t="s">
        <v>8</v>
      </c>
    </row>
    <row r="47">
      <c r="A47" s="1">
        <v>46207.0</v>
      </c>
      <c r="B47" s="3" t="s">
        <v>1</v>
      </c>
      <c r="C47" s="3" t="s">
        <v>54</v>
      </c>
      <c r="D47" s="5">
        <v>7.7E7</v>
      </c>
      <c r="E47" s="4"/>
      <c r="F47" s="5" t="s">
        <v>3</v>
      </c>
      <c r="G47" s="4">
        <v>6.4717862031E8</v>
      </c>
      <c r="H47" s="4"/>
      <c r="I47" s="6" t="s">
        <v>8</v>
      </c>
    </row>
    <row r="48">
      <c r="A48" s="1">
        <v>46207.0</v>
      </c>
      <c r="B48" s="3" t="s">
        <v>1</v>
      </c>
      <c r="C48" s="3" t="s">
        <v>55</v>
      </c>
      <c r="D48" s="5">
        <v>2.2677537E8</v>
      </c>
      <c r="E48" s="4"/>
      <c r="F48" s="5" t="s">
        <v>3</v>
      </c>
      <c r="G48" s="4">
        <v>4.2040325030999994E8</v>
      </c>
      <c r="H48" s="4"/>
      <c r="I48" s="6" t="s">
        <v>8</v>
      </c>
    </row>
    <row r="49">
      <c r="A49" s="1">
        <v>46207.0</v>
      </c>
      <c r="B49" s="3" t="s">
        <v>1</v>
      </c>
      <c r="C49" s="3" t="s">
        <v>56</v>
      </c>
      <c r="D49" s="5">
        <v>6.20462E7</v>
      </c>
      <c r="E49" s="4"/>
      <c r="F49" s="5" t="s">
        <v>3</v>
      </c>
      <c r="G49" s="4">
        <v>3.5835705030999994E8</v>
      </c>
      <c r="H49" s="4"/>
      <c r="I49" s="6" t="s">
        <v>8</v>
      </c>
    </row>
    <row r="50">
      <c r="A50" s="1">
        <v>46207.0</v>
      </c>
      <c r="B50" s="3" t="s">
        <v>1</v>
      </c>
      <c r="C50" s="3" t="s">
        <v>57</v>
      </c>
      <c r="D50" s="5">
        <v>8.5E7</v>
      </c>
      <c r="E50" s="4"/>
      <c r="F50" s="5" t="s">
        <v>3</v>
      </c>
      <c r="G50" s="4">
        <v>2.7335705030999994E8</v>
      </c>
      <c r="H50" s="4"/>
      <c r="I50" s="6"/>
    </row>
    <row r="51">
      <c r="A51" s="1">
        <v>46207.0</v>
      </c>
      <c r="B51" s="3" t="s">
        <v>1</v>
      </c>
      <c r="C51" s="3" t="s">
        <v>58</v>
      </c>
      <c r="D51" s="5">
        <v>2.142536E8</v>
      </c>
      <c r="E51" s="4"/>
      <c r="F51" s="5" t="s">
        <v>3</v>
      </c>
      <c r="G51" s="4">
        <v>5.910345030999994E7</v>
      </c>
      <c r="H51" s="4"/>
      <c r="I51" s="6" t="s">
        <v>8</v>
      </c>
    </row>
    <row r="52">
      <c r="A52" s="1">
        <v>46207.0</v>
      </c>
      <c r="B52" s="3" t="s">
        <v>1</v>
      </c>
      <c r="C52" s="3" t="s">
        <v>59</v>
      </c>
      <c r="D52" s="5">
        <v>2.0E7</v>
      </c>
      <c r="E52" s="4"/>
      <c r="F52" s="5" t="s">
        <v>3</v>
      </c>
      <c r="G52" s="4">
        <v>3.910345030999994E7</v>
      </c>
      <c r="H52" s="5">
        <v>3.910345031E7</v>
      </c>
      <c r="I52" s="6"/>
    </row>
    <row r="53">
      <c r="A53" s="1">
        <v>46207.0</v>
      </c>
      <c r="B53" s="3" t="s">
        <v>1</v>
      </c>
      <c r="C53" s="3" t="s">
        <v>60</v>
      </c>
      <c r="D53" s="5">
        <v>1750000.0</v>
      </c>
      <c r="E53" s="4"/>
      <c r="F53" s="5" t="s">
        <v>3</v>
      </c>
      <c r="G53" s="4">
        <v>3.735345030999994E7</v>
      </c>
      <c r="H53" s="5">
        <v>3.735345031E7</v>
      </c>
      <c r="I53" s="6" t="s">
        <v>8</v>
      </c>
    </row>
    <row r="54">
      <c r="A54" s="1">
        <v>46207.0</v>
      </c>
      <c r="B54" s="3" t="s">
        <v>6</v>
      </c>
      <c r="C54" s="3" t="s">
        <v>25</v>
      </c>
      <c r="D54" s="5">
        <v>1000000.0</v>
      </c>
      <c r="E54" s="4"/>
      <c r="F54" s="5" t="s">
        <v>3</v>
      </c>
      <c r="G54" s="4">
        <v>3.635345030999994E7</v>
      </c>
      <c r="H54" s="4"/>
      <c r="I54" s="6" t="s">
        <v>8</v>
      </c>
    </row>
    <row r="55">
      <c r="A55" s="1">
        <v>46207.0</v>
      </c>
      <c r="B55" s="3" t="s">
        <v>6</v>
      </c>
      <c r="C55" s="3" t="s">
        <v>26</v>
      </c>
      <c r="D55" s="5">
        <v>2500.0</v>
      </c>
      <c r="E55" s="4"/>
      <c r="F55" s="5" t="s">
        <v>3</v>
      </c>
      <c r="G55" s="4">
        <v>3.635095030999994E7</v>
      </c>
      <c r="H55" s="4"/>
      <c r="I55" s="6" t="s">
        <v>8</v>
      </c>
    </row>
    <row r="56">
      <c r="A56" s="1">
        <v>46207.0</v>
      </c>
      <c r="B56" s="3" t="s">
        <v>1</v>
      </c>
      <c r="C56" s="3" t="s">
        <v>61</v>
      </c>
      <c r="D56" s="5">
        <v>2000000.0</v>
      </c>
      <c r="E56" s="4"/>
      <c r="F56" s="5" t="s">
        <v>3</v>
      </c>
      <c r="G56" s="4">
        <v>3.435095030999994E7</v>
      </c>
      <c r="H56" s="4"/>
      <c r="I56" s="6"/>
    </row>
    <row r="57">
      <c r="A57" s="1">
        <v>46207.0</v>
      </c>
      <c r="B57" s="3" t="s">
        <v>62</v>
      </c>
      <c r="C57" s="3" t="s">
        <v>62</v>
      </c>
      <c r="D57" s="5">
        <v>500000.0</v>
      </c>
      <c r="E57" s="4"/>
      <c r="F57" s="4"/>
      <c r="G57" s="4">
        <v>3.385095030999994E7</v>
      </c>
      <c r="H57" s="4"/>
      <c r="I57" s="6" t="s">
        <v>8</v>
      </c>
    </row>
    <row r="58">
      <c r="A58" s="1">
        <v>46207.0</v>
      </c>
      <c r="B58" s="3" t="s">
        <v>14</v>
      </c>
      <c r="C58" s="3" t="s">
        <v>63</v>
      </c>
      <c r="D58" s="5"/>
      <c r="E58" s="5">
        <v>1.0E8</v>
      </c>
      <c r="F58" s="5" t="s">
        <v>16</v>
      </c>
      <c r="G58" s="4">
        <v>1.3385095030999994E8</v>
      </c>
      <c r="H58" s="4"/>
      <c r="I58" s="6" t="s">
        <v>8</v>
      </c>
    </row>
    <row r="59">
      <c r="A59" s="1">
        <v>46207.0</v>
      </c>
      <c r="B59" s="3" t="s">
        <v>1</v>
      </c>
      <c r="C59" s="3" t="s">
        <v>64</v>
      </c>
      <c r="D59" s="5">
        <v>5069000.0</v>
      </c>
      <c r="E59" s="4"/>
      <c r="F59" s="5" t="s">
        <v>3</v>
      </c>
      <c r="G59" s="4">
        <v>1.2878195030999994E8</v>
      </c>
      <c r="H59" s="4"/>
      <c r="I59" s="6" t="s">
        <v>8</v>
      </c>
    </row>
    <row r="60">
      <c r="A60" s="1">
        <v>46207.0</v>
      </c>
      <c r="B60" s="3" t="s">
        <v>1</v>
      </c>
      <c r="C60" s="3" t="s">
        <v>65</v>
      </c>
      <c r="D60" s="5">
        <v>500000.0</v>
      </c>
      <c r="E60" s="4"/>
      <c r="F60" s="5" t="s">
        <v>3</v>
      </c>
      <c r="G60" s="4">
        <v>1.2828195030999994E8</v>
      </c>
      <c r="H60" s="4"/>
      <c r="I60" s="6" t="s">
        <v>8</v>
      </c>
    </row>
    <row r="61">
      <c r="A61" s="1">
        <v>46207.0</v>
      </c>
      <c r="B61" s="3" t="s">
        <v>1</v>
      </c>
      <c r="C61" s="3" t="s">
        <v>66</v>
      </c>
      <c r="D61" s="5">
        <v>1843740.0</v>
      </c>
      <c r="E61" s="4"/>
      <c r="F61" s="5" t="s">
        <v>3</v>
      </c>
      <c r="G61" s="4">
        <v>1.2643821030999994E8</v>
      </c>
      <c r="H61" s="4"/>
      <c r="I61" s="6"/>
    </row>
    <row r="62">
      <c r="A62" s="1">
        <v>46207.0</v>
      </c>
      <c r="B62" s="3" t="s">
        <v>14</v>
      </c>
      <c r="C62" s="3" t="s">
        <v>67</v>
      </c>
      <c r="D62" s="5"/>
      <c r="E62" s="5">
        <v>3.648847E8</v>
      </c>
      <c r="F62" s="5" t="s">
        <v>16</v>
      </c>
      <c r="G62" s="4">
        <v>4.9132291030999994E8</v>
      </c>
      <c r="H62" s="4"/>
      <c r="I62" s="6" t="s">
        <v>8</v>
      </c>
    </row>
    <row r="63">
      <c r="A63" s="1">
        <v>46207.0</v>
      </c>
      <c r="B63" s="3" t="s">
        <v>14</v>
      </c>
      <c r="C63" s="3" t="s">
        <v>68</v>
      </c>
      <c r="D63" s="5"/>
      <c r="E63" s="5">
        <v>1.0E8</v>
      </c>
      <c r="F63" s="5" t="s">
        <v>16</v>
      </c>
      <c r="G63" s="4">
        <v>5.9132291031E8</v>
      </c>
      <c r="H63" s="4"/>
      <c r="I63" s="6" t="s">
        <v>8</v>
      </c>
    </row>
    <row r="64">
      <c r="A64" s="1">
        <v>46207.0</v>
      </c>
      <c r="B64" s="3" t="s">
        <v>1</v>
      </c>
      <c r="C64" s="3" t="s">
        <v>69</v>
      </c>
      <c r="D64" s="5">
        <v>4.2E8</v>
      </c>
      <c r="E64" s="4"/>
      <c r="F64" s="5" t="s">
        <v>3</v>
      </c>
      <c r="G64" s="4">
        <v>1.7132291030999994E8</v>
      </c>
      <c r="H64" s="5">
        <v>1.7132291031E8</v>
      </c>
      <c r="I64" s="6"/>
    </row>
    <row r="65">
      <c r="A65" s="1">
        <v>46208.0</v>
      </c>
      <c r="B65" s="3" t="s">
        <v>1</v>
      </c>
      <c r="C65" s="3" t="s">
        <v>70</v>
      </c>
      <c r="D65" s="5">
        <v>2500000.0</v>
      </c>
      <c r="E65" s="4"/>
      <c r="F65" s="5" t="s">
        <v>3</v>
      </c>
      <c r="G65" s="4">
        <v>1.6882291030999994E8</v>
      </c>
      <c r="H65" s="4"/>
      <c r="I65" s="6"/>
    </row>
    <row r="66">
      <c r="A66" s="1">
        <v>46208.0</v>
      </c>
      <c r="B66" s="3" t="s">
        <v>6</v>
      </c>
      <c r="C66" s="3" t="s">
        <v>25</v>
      </c>
      <c r="D66" s="5">
        <v>1500000.0</v>
      </c>
      <c r="E66" s="4"/>
      <c r="F66" s="5" t="s">
        <v>3</v>
      </c>
      <c r="G66" s="4">
        <v>1.6732291030999994E8</v>
      </c>
      <c r="H66" s="5">
        <v>1.6732291031E8</v>
      </c>
      <c r="I66" s="6"/>
    </row>
    <row r="67">
      <c r="A67" s="1">
        <v>46208.0</v>
      </c>
      <c r="B67" s="3" t="s">
        <v>6</v>
      </c>
      <c r="C67" s="3" t="s">
        <v>26</v>
      </c>
      <c r="D67" s="5">
        <v>2500.0</v>
      </c>
      <c r="E67" s="4"/>
      <c r="F67" s="5" t="s">
        <v>3</v>
      </c>
      <c r="G67" s="4">
        <v>1.6732041030999994E8</v>
      </c>
      <c r="H67" s="5">
        <v>1.6732041031E8</v>
      </c>
      <c r="I67" s="6"/>
    </row>
    <row r="68">
      <c r="A68" s="1">
        <v>46208.0</v>
      </c>
      <c r="B68" s="3" t="s">
        <v>1</v>
      </c>
      <c r="C68" s="3" t="s">
        <v>71</v>
      </c>
      <c r="D68" s="5">
        <v>1.179049E8</v>
      </c>
      <c r="E68" s="4"/>
      <c r="F68" s="5" t="s">
        <v>3</v>
      </c>
      <c r="G68" s="4">
        <v>4.941551030999994E7</v>
      </c>
      <c r="H68" s="4"/>
      <c r="I68" s="6"/>
    </row>
    <row r="69">
      <c r="A69" s="1">
        <v>46208.0</v>
      </c>
      <c r="B69" s="3" t="s">
        <v>14</v>
      </c>
      <c r="C69" s="3" t="s">
        <v>72</v>
      </c>
      <c r="D69" s="5"/>
      <c r="E69" s="5">
        <v>2.0432904E8</v>
      </c>
      <c r="F69" s="5" t="s">
        <v>16</v>
      </c>
      <c r="G69" s="4">
        <v>2.5374455030999994E8</v>
      </c>
      <c r="H69" s="4"/>
      <c r="I69" s="6"/>
    </row>
    <row r="70">
      <c r="A70" s="1">
        <v>46208.0</v>
      </c>
      <c r="B70" s="3" t="s">
        <v>1</v>
      </c>
      <c r="C70" s="3" t="s">
        <v>73</v>
      </c>
      <c r="D70" s="5">
        <v>1.8E8</v>
      </c>
      <c r="E70" s="4"/>
      <c r="F70" s="5" t="s">
        <v>3</v>
      </c>
      <c r="G70" s="4">
        <v>7.374455030999994E7</v>
      </c>
      <c r="H70" s="4"/>
      <c r="I70" s="6"/>
    </row>
    <row r="71">
      <c r="A71" s="1">
        <v>46208.0</v>
      </c>
      <c r="B71" s="3" t="s">
        <v>74</v>
      </c>
      <c r="C71" s="3" t="s">
        <v>75</v>
      </c>
      <c r="D71" s="5">
        <v>202500.0</v>
      </c>
      <c r="E71" s="4"/>
      <c r="F71" s="4"/>
      <c r="G71" s="4">
        <v>7.354205030999994E7</v>
      </c>
      <c r="H71" s="4"/>
      <c r="I71" s="6"/>
    </row>
    <row r="72">
      <c r="A72" s="1">
        <v>46208.0</v>
      </c>
      <c r="B72" s="3" t="s">
        <v>14</v>
      </c>
      <c r="C72" s="3" t="s">
        <v>76</v>
      </c>
      <c r="D72" s="5"/>
      <c r="E72" s="5">
        <v>9.10182E7</v>
      </c>
      <c r="F72" s="5" t="s">
        <v>16</v>
      </c>
      <c r="G72" s="4">
        <v>1.6456025030999994E8</v>
      </c>
      <c r="H72" s="4"/>
      <c r="I72" s="6"/>
    </row>
    <row r="73">
      <c r="A73" s="1">
        <v>46208.0</v>
      </c>
      <c r="B73" s="3" t="s">
        <v>14</v>
      </c>
      <c r="C73" s="3" t="s">
        <v>77</v>
      </c>
      <c r="D73" s="5"/>
      <c r="E73" s="5">
        <v>1.7936E8</v>
      </c>
      <c r="F73" s="5" t="s">
        <v>16</v>
      </c>
      <c r="G73" s="4">
        <v>3.4392025030999994E8</v>
      </c>
      <c r="H73" s="4"/>
      <c r="I73" s="6"/>
    </row>
    <row r="74">
      <c r="A74" s="1">
        <v>46208.0</v>
      </c>
      <c r="B74" s="3" t="s">
        <v>1</v>
      </c>
      <c r="C74" s="3" t="s">
        <v>78</v>
      </c>
      <c r="D74" s="5">
        <v>6.323895E7</v>
      </c>
      <c r="E74" s="4"/>
      <c r="F74" s="5" t="s">
        <v>3</v>
      </c>
      <c r="G74" s="4">
        <v>2.8068130030999994E8</v>
      </c>
      <c r="H74" s="4"/>
      <c r="I74" s="6"/>
    </row>
    <row r="75">
      <c r="A75" s="1">
        <v>46208.0</v>
      </c>
      <c r="B75" s="3" t="s">
        <v>14</v>
      </c>
      <c r="C75" s="3" t="s">
        <v>79</v>
      </c>
      <c r="D75" s="5"/>
      <c r="E75" s="5">
        <v>6.96E7</v>
      </c>
      <c r="F75" s="5" t="s">
        <v>16</v>
      </c>
      <c r="G75" s="4">
        <v>3.5028130030999994E8</v>
      </c>
      <c r="H75" s="4"/>
      <c r="I75" s="6"/>
    </row>
    <row r="76">
      <c r="A76" s="1">
        <v>46208.0</v>
      </c>
      <c r="B76" s="3" t="s">
        <v>80</v>
      </c>
      <c r="C76" s="3" t="s">
        <v>80</v>
      </c>
      <c r="D76" s="5">
        <v>2500000.0</v>
      </c>
      <c r="E76" s="4"/>
      <c r="F76" s="4"/>
      <c r="G76" s="4">
        <v>3.4778130030999994E8</v>
      </c>
      <c r="H76" s="4"/>
      <c r="I76" s="6"/>
    </row>
    <row r="77">
      <c r="A77" s="1">
        <v>46208.0</v>
      </c>
      <c r="B77" s="3" t="s">
        <v>80</v>
      </c>
      <c r="C77" s="3" t="s">
        <v>80</v>
      </c>
      <c r="D77" s="5">
        <v>1700000.0</v>
      </c>
      <c r="E77" s="4"/>
      <c r="F77" s="4"/>
      <c r="G77" s="4">
        <v>3.4608130030999994E8</v>
      </c>
      <c r="H77" s="4"/>
      <c r="I77" s="6"/>
    </row>
    <row r="78">
      <c r="A78" s="1">
        <v>46208.0</v>
      </c>
      <c r="B78" s="3" t="s">
        <v>14</v>
      </c>
      <c r="C78" s="3" t="s">
        <v>81</v>
      </c>
      <c r="D78" s="5"/>
      <c r="E78" s="5">
        <v>1.5E8</v>
      </c>
      <c r="F78" s="5" t="s">
        <v>16</v>
      </c>
      <c r="G78" s="4">
        <v>4.9608130030999994E8</v>
      </c>
      <c r="H78" s="4"/>
      <c r="I78" s="6"/>
    </row>
    <row r="79">
      <c r="A79" s="1">
        <v>46208.0</v>
      </c>
      <c r="B79" s="3" t="s">
        <v>1</v>
      </c>
      <c r="C79" s="3" t="s">
        <v>82</v>
      </c>
      <c r="D79" s="5">
        <v>1.0E7</v>
      </c>
      <c r="E79" s="4"/>
      <c r="F79" s="5" t="s">
        <v>3</v>
      </c>
      <c r="G79" s="4">
        <v>4.8608130030999994E8</v>
      </c>
      <c r="H79" s="4"/>
      <c r="I79" s="6"/>
    </row>
    <row r="80">
      <c r="A80" s="1">
        <v>46208.0</v>
      </c>
      <c r="B80" s="3" t="s">
        <v>1</v>
      </c>
      <c r="C80" s="3" t="s">
        <v>83</v>
      </c>
      <c r="D80" s="5">
        <v>1.2224082E8</v>
      </c>
      <c r="E80" s="4"/>
      <c r="F80" s="5" t="s">
        <v>3</v>
      </c>
      <c r="G80" s="4">
        <v>3.6384048030999994E8</v>
      </c>
      <c r="H80" s="5">
        <v>3.6384048031E8</v>
      </c>
      <c r="I80" s="6"/>
    </row>
    <row r="81">
      <c r="A81" s="1">
        <v>46208.0</v>
      </c>
      <c r="B81" s="3" t="s">
        <v>1</v>
      </c>
      <c r="C81" s="3" t="s">
        <v>84</v>
      </c>
      <c r="D81" s="5">
        <v>63000.0</v>
      </c>
      <c r="E81" s="4"/>
      <c r="F81" s="5" t="s">
        <v>3</v>
      </c>
      <c r="G81" s="4">
        <v>3.6377748030999994E8</v>
      </c>
      <c r="H81" s="5">
        <v>3.6377748031E8</v>
      </c>
      <c r="I81" s="6"/>
    </row>
    <row r="82">
      <c r="A82" s="1">
        <v>46208.0</v>
      </c>
      <c r="B82" s="3" t="s">
        <v>74</v>
      </c>
      <c r="C82" s="3" t="s">
        <v>85</v>
      </c>
      <c r="D82" s="5">
        <v>102000.0</v>
      </c>
      <c r="E82" s="4"/>
      <c r="F82" s="4"/>
      <c r="G82" s="4">
        <v>3.6367548030999994E8</v>
      </c>
      <c r="H82" s="4"/>
      <c r="I82" s="6"/>
    </row>
    <row r="83">
      <c r="A83" s="1">
        <v>46208.0</v>
      </c>
      <c r="B83" s="3" t="s">
        <v>14</v>
      </c>
      <c r="C83" s="3" t="s">
        <v>86</v>
      </c>
      <c r="D83" s="5"/>
      <c r="E83" s="5">
        <v>1.341102E8</v>
      </c>
      <c r="F83" s="5" t="s">
        <v>16</v>
      </c>
      <c r="G83" s="4">
        <v>4.9778568030999994E8</v>
      </c>
      <c r="H83" s="4"/>
      <c r="I83" s="6"/>
    </row>
    <row r="84">
      <c r="A84" s="1">
        <v>46208.0</v>
      </c>
      <c r="B84" s="3" t="s">
        <v>1</v>
      </c>
      <c r="C84" s="3" t="s">
        <v>87</v>
      </c>
      <c r="D84" s="5">
        <v>1894320.0</v>
      </c>
      <c r="E84" s="4"/>
      <c r="F84" s="5" t="s">
        <v>3</v>
      </c>
      <c r="G84" s="4">
        <v>4.9589136030999994E8</v>
      </c>
      <c r="H84" s="4"/>
      <c r="I84" s="6"/>
    </row>
    <row r="85">
      <c r="A85" s="1">
        <v>46208.0</v>
      </c>
      <c r="B85" s="3" t="s">
        <v>1</v>
      </c>
      <c r="C85" s="3" t="s">
        <v>88</v>
      </c>
      <c r="D85" s="5">
        <v>7.82E7</v>
      </c>
      <c r="E85" s="4"/>
      <c r="F85" s="5" t="s">
        <v>3</v>
      </c>
      <c r="G85" s="4">
        <v>4.1769136030999994E8</v>
      </c>
      <c r="H85" s="4"/>
      <c r="I85" s="6"/>
    </row>
    <row r="86">
      <c r="A86" s="1">
        <v>46208.0</v>
      </c>
      <c r="B86" s="3" t="s">
        <v>1</v>
      </c>
      <c r="C86" s="3" t="s">
        <v>89</v>
      </c>
      <c r="D86" s="5">
        <v>1.5E8</v>
      </c>
      <c r="E86" s="4"/>
      <c r="F86" s="5" t="s">
        <v>3</v>
      </c>
      <c r="G86" s="4">
        <v>2.6769136030999994E8</v>
      </c>
      <c r="H86" s="4"/>
      <c r="I86" s="6"/>
    </row>
    <row r="87">
      <c r="A87" s="1">
        <v>46208.0</v>
      </c>
      <c r="B87" s="3" t="s">
        <v>1</v>
      </c>
      <c r="C87" s="3" t="s">
        <v>90</v>
      </c>
      <c r="D87" s="5">
        <v>2.0E8</v>
      </c>
      <c r="E87" s="4"/>
      <c r="F87" s="5" t="s">
        <v>3</v>
      </c>
      <c r="G87" s="4">
        <v>6.769136030999994E7</v>
      </c>
      <c r="H87" s="4"/>
      <c r="I87" s="6"/>
    </row>
    <row r="88">
      <c r="A88" s="1">
        <v>46208.0</v>
      </c>
      <c r="B88" s="3" t="s">
        <v>1</v>
      </c>
      <c r="C88" s="3" t="s">
        <v>91</v>
      </c>
      <c r="D88" s="5">
        <v>1000000.0</v>
      </c>
      <c r="E88" s="4"/>
      <c r="F88" s="5" t="s">
        <v>3</v>
      </c>
      <c r="G88" s="4">
        <v>6.669136030999994E7</v>
      </c>
      <c r="H88" s="5">
        <v>6.669136031E7</v>
      </c>
      <c r="I88" s="6"/>
    </row>
    <row r="89">
      <c r="A89" s="1">
        <v>46209.0</v>
      </c>
      <c r="B89" s="3" t="s">
        <v>1</v>
      </c>
      <c r="C89" s="3" t="s">
        <v>92</v>
      </c>
      <c r="D89" s="5">
        <v>2.60974E7</v>
      </c>
      <c r="E89" s="4"/>
      <c r="F89" s="5" t="s">
        <v>3</v>
      </c>
      <c r="G89" s="4">
        <v>4.059396030999994E7</v>
      </c>
      <c r="H89" s="4"/>
      <c r="I89" s="6"/>
    </row>
    <row r="90">
      <c r="A90" s="1">
        <v>46209.0</v>
      </c>
      <c r="B90" s="3" t="s">
        <v>1</v>
      </c>
      <c r="C90" s="3" t="s">
        <v>93</v>
      </c>
      <c r="D90" s="5">
        <v>2040180.0</v>
      </c>
      <c r="E90" s="4"/>
      <c r="F90" s="5" t="s">
        <v>3</v>
      </c>
      <c r="G90" s="4">
        <v>3.855378030999994E7</v>
      </c>
      <c r="H90" s="4"/>
      <c r="I90" s="6"/>
    </row>
    <row r="91">
      <c r="A91" s="1">
        <v>46209.0</v>
      </c>
      <c r="B91" s="3" t="s">
        <v>14</v>
      </c>
      <c r="C91" s="3" t="s">
        <v>94</v>
      </c>
      <c r="D91" s="5"/>
      <c r="E91" s="5">
        <v>4.29099245E8</v>
      </c>
      <c r="F91" s="5" t="s">
        <v>16</v>
      </c>
      <c r="G91" s="4">
        <v>4.6765302530999994E8</v>
      </c>
      <c r="H91" s="4"/>
      <c r="I91" s="6"/>
    </row>
    <row r="92">
      <c r="A92" s="1">
        <v>46209.0</v>
      </c>
      <c r="B92" s="3" t="s">
        <v>1</v>
      </c>
      <c r="C92" s="3" t="s">
        <v>95</v>
      </c>
      <c r="D92" s="5">
        <v>9.062152E7</v>
      </c>
      <c r="E92" s="4"/>
      <c r="F92" s="5" t="s">
        <v>3</v>
      </c>
      <c r="G92" s="4">
        <v>3.7703150530999994E8</v>
      </c>
      <c r="H92" s="4"/>
      <c r="I92" s="6"/>
    </row>
    <row r="93">
      <c r="A93" s="1">
        <v>46209.0</v>
      </c>
      <c r="B93" s="3" t="s">
        <v>1</v>
      </c>
      <c r="C93" s="3" t="s">
        <v>96</v>
      </c>
      <c r="D93" s="5">
        <v>1.3395705E8</v>
      </c>
      <c r="E93" s="4"/>
      <c r="F93" s="5" t="s">
        <v>3</v>
      </c>
      <c r="G93" s="4">
        <v>2.4307445530999994E8</v>
      </c>
      <c r="H93" s="5">
        <v>2.4307445531E8</v>
      </c>
      <c r="I93" s="6"/>
    </row>
    <row r="94">
      <c r="A94" s="1">
        <v>46209.0</v>
      </c>
      <c r="B94" s="3" t="s">
        <v>1</v>
      </c>
      <c r="C94" s="3" t="s">
        <v>97</v>
      </c>
      <c r="D94" s="5">
        <v>1.0E8</v>
      </c>
      <c r="E94" s="4"/>
      <c r="F94" s="5" t="s">
        <v>3</v>
      </c>
      <c r="G94" s="4">
        <v>1.4307445530999994E8</v>
      </c>
      <c r="H94" s="5">
        <v>1.4307445531E8</v>
      </c>
      <c r="I94" s="6"/>
    </row>
    <row r="95">
      <c r="A95" s="1">
        <v>46209.0</v>
      </c>
      <c r="B95" s="3" t="s">
        <v>1</v>
      </c>
      <c r="C95" s="3" t="s">
        <v>98</v>
      </c>
      <c r="D95" s="5">
        <v>6.81494E7</v>
      </c>
      <c r="E95" s="4"/>
      <c r="F95" s="5" t="s">
        <v>3</v>
      </c>
      <c r="G95" s="4">
        <v>7.492505530999994E7</v>
      </c>
      <c r="H95" s="4"/>
      <c r="I95" s="6"/>
    </row>
    <row r="96">
      <c r="A96" s="1">
        <v>46209.0</v>
      </c>
      <c r="B96" s="3" t="s">
        <v>1</v>
      </c>
      <c r="C96" s="3" t="s">
        <v>99</v>
      </c>
      <c r="D96" s="5">
        <v>7.11345E7</v>
      </c>
      <c r="E96" s="4"/>
      <c r="F96" s="5" t="s">
        <v>3</v>
      </c>
      <c r="G96" s="4">
        <v>3790555.309999943</v>
      </c>
      <c r="H96" s="4"/>
      <c r="I96" s="6"/>
    </row>
    <row r="97">
      <c r="A97" s="1">
        <v>46209.0</v>
      </c>
      <c r="B97" s="3" t="s">
        <v>100</v>
      </c>
      <c r="C97" s="3" t="s">
        <v>101</v>
      </c>
      <c r="D97" s="5">
        <v>337000.0</v>
      </c>
      <c r="E97" s="4"/>
      <c r="F97" s="4"/>
      <c r="G97" s="4">
        <v>3453555.309999943</v>
      </c>
      <c r="H97" s="4"/>
      <c r="I97" s="6"/>
    </row>
    <row r="98">
      <c r="A98" s="1">
        <v>46209.0</v>
      </c>
      <c r="B98" s="3" t="s">
        <v>14</v>
      </c>
      <c r="C98" s="3" t="s">
        <v>102</v>
      </c>
      <c r="D98" s="5"/>
      <c r="E98" s="5">
        <v>1.0E8</v>
      </c>
      <c r="F98" s="5" t="s">
        <v>16</v>
      </c>
      <c r="G98" s="4">
        <v>1.0345355530999994E8</v>
      </c>
      <c r="H98" s="4"/>
      <c r="I98" s="6"/>
    </row>
    <row r="99">
      <c r="A99" s="1">
        <v>46209.0</v>
      </c>
      <c r="B99" s="3" t="s">
        <v>14</v>
      </c>
      <c r="C99" s="3" t="s">
        <v>103</v>
      </c>
      <c r="D99" s="5"/>
      <c r="E99" s="5">
        <v>1.383182E8</v>
      </c>
      <c r="F99" s="5" t="s">
        <v>16</v>
      </c>
      <c r="G99" s="4">
        <v>2.4177175530999994E8</v>
      </c>
      <c r="H99" s="4"/>
      <c r="I99" s="6"/>
    </row>
    <row r="100">
      <c r="A100" s="1">
        <v>46209.0</v>
      </c>
      <c r="B100" s="3" t="s">
        <v>1</v>
      </c>
      <c r="C100" s="3" t="s">
        <v>104</v>
      </c>
      <c r="D100" s="5">
        <v>1.5E7</v>
      </c>
      <c r="E100" s="4"/>
      <c r="F100" s="5" t="s">
        <v>3</v>
      </c>
      <c r="G100" s="4">
        <v>2.2677175530999994E8</v>
      </c>
      <c r="H100" s="4"/>
      <c r="I100" s="6"/>
    </row>
    <row r="101">
      <c r="A101" s="1">
        <v>46209.0</v>
      </c>
      <c r="B101" s="3" t="s">
        <v>105</v>
      </c>
      <c r="C101" s="3" t="s">
        <v>105</v>
      </c>
      <c r="D101" s="5">
        <v>150000.0</v>
      </c>
      <c r="E101" s="4"/>
      <c r="F101" s="4"/>
      <c r="G101" s="4">
        <v>2.2662175530999994E8</v>
      </c>
      <c r="H101" s="4"/>
      <c r="I101" s="6"/>
    </row>
    <row r="102">
      <c r="A102" s="1">
        <v>46209.0</v>
      </c>
      <c r="B102" s="3" t="s">
        <v>1</v>
      </c>
      <c r="C102" s="3" t="s">
        <v>106</v>
      </c>
      <c r="D102" s="5">
        <v>6.902E7</v>
      </c>
      <c r="E102" s="4"/>
      <c r="F102" s="5" t="s">
        <v>3</v>
      </c>
      <c r="G102" s="4">
        <v>1.5760175530999994E8</v>
      </c>
      <c r="H102" s="4"/>
      <c r="I102" s="6"/>
    </row>
    <row r="103">
      <c r="A103" s="1">
        <v>46209.0</v>
      </c>
      <c r="B103" s="3" t="s">
        <v>1</v>
      </c>
      <c r="C103" s="3" t="s">
        <v>107</v>
      </c>
      <c r="D103" s="5">
        <v>7.941405E7</v>
      </c>
      <c r="E103" s="4"/>
      <c r="F103" s="5" t="s">
        <v>3</v>
      </c>
      <c r="G103" s="4">
        <v>7.818770530999994E7</v>
      </c>
      <c r="H103" s="4"/>
      <c r="I103" s="6"/>
    </row>
    <row r="104">
      <c r="A104" s="1">
        <v>46209.0</v>
      </c>
      <c r="B104" s="3" t="s">
        <v>14</v>
      </c>
      <c r="C104" s="3" t="s">
        <v>108</v>
      </c>
      <c r="D104" s="5"/>
      <c r="E104" s="5">
        <v>3.721574E8</v>
      </c>
      <c r="F104" s="5" t="s">
        <v>16</v>
      </c>
      <c r="G104" s="4">
        <v>4.5034510530999994E8</v>
      </c>
      <c r="H104" s="4"/>
      <c r="I104" s="6"/>
    </row>
    <row r="105">
      <c r="A105" s="1">
        <v>46209.0</v>
      </c>
      <c r="B105" s="3" t="s">
        <v>14</v>
      </c>
      <c r="C105" s="3" t="s">
        <v>109</v>
      </c>
      <c r="D105" s="5"/>
      <c r="E105" s="5">
        <v>7.9840035E7</v>
      </c>
      <c r="F105" s="5" t="s">
        <v>16</v>
      </c>
      <c r="G105" s="4">
        <v>5.3018514030999994E8</v>
      </c>
      <c r="H105" s="4"/>
      <c r="I105" s="6"/>
    </row>
    <row r="106">
      <c r="A106" s="1">
        <v>46209.0</v>
      </c>
      <c r="B106" s="3" t="s">
        <v>1</v>
      </c>
      <c r="C106" s="3" t="s">
        <v>110</v>
      </c>
      <c r="D106" s="5">
        <v>588800.0</v>
      </c>
      <c r="E106" s="4"/>
      <c r="F106" s="5" t="s">
        <v>3</v>
      </c>
      <c r="G106" s="4">
        <v>5.2959634030999994E8</v>
      </c>
      <c r="H106" s="4"/>
      <c r="I106" s="6"/>
    </row>
    <row r="107">
      <c r="A107" s="1">
        <v>46209.0</v>
      </c>
      <c r="B107" s="3" t="s">
        <v>1</v>
      </c>
      <c r="C107" s="3" t="s">
        <v>111</v>
      </c>
      <c r="D107" s="5">
        <v>1.786E8</v>
      </c>
      <c r="E107" s="4"/>
      <c r="F107" s="5" t="s">
        <v>3</v>
      </c>
      <c r="G107" s="4">
        <v>3.5099634030999994E8</v>
      </c>
      <c r="H107" s="5">
        <v>3.5099634031E8</v>
      </c>
      <c r="I107" s="6"/>
    </row>
    <row r="108">
      <c r="A108" s="1">
        <v>46209.0</v>
      </c>
      <c r="B108" s="3" t="s">
        <v>1</v>
      </c>
      <c r="C108" s="3" t="s">
        <v>112</v>
      </c>
      <c r="D108" s="5">
        <v>8.61251E7</v>
      </c>
      <c r="E108" s="4"/>
      <c r="F108" s="5" t="s">
        <v>3</v>
      </c>
      <c r="G108" s="4">
        <v>2.6487124030999994E8</v>
      </c>
      <c r="H108" s="5">
        <v>2.6487124031E8</v>
      </c>
      <c r="I108" s="6"/>
    </row>
    <row r="109">
      <c r="A109" s="1">
        <v>46209.0</v>
      </c>
      <c r="B109" s="3" t="s">
        <v>1</v>
      </c>
      <c r="C109" s="3" t="s">
        <v>113</v>
      </c>
      <c r="D109" s="5">
        <v>5.45E7</v>
      </c>
      <c r="E109" s="4"/>
      <c r="F109" s="5" t="s">
        <v>3</v>
      </c>
      <c r="G109" s="4">
        <v>2.1037124030999994E8</v>
      </c>
      <c r="H109" s="5">
        <v>2.1037124031E8</v>
      </c>
      <c r="I109" s="6"/>
    </row>
    <row r="110">
      <c r="A110" s="1">
        <v>46210.0</v>
      </c>
      <c r="B110" s="3" t="s">
        <v>1</v>
      </c>
      <c r="C110" s="3" t="s">
        <v>114</v>
      </c>
      <c r="D110" s="5">
        <v>2.0E7</v>
      </c>
      <c r="E110" s="4"/>
      <c r="F110" s="5" t="s">
        <v>3</v>
      </c>
      <c r="G110" s="4">
        <v>1.9037124030999994E8</v>
      </c>
      <c r="H110" s="4"/>
      <c r="I110" s="6"/>
    </row>
    <row r="111">
      <c r="A111" s="1">
        <v>46210.0</v>
      </c>
      <c r="B111" s="3" t="s">
        <v>1</v>
      </c>
      <c r="C111" s="3" t="s">
        <v>115</v>
      </c>
      <c r="D111" s="5">
        <v>1.357595E8</v>
      </c>
      <c r="E111" s="4"/>
      <c r="F111" s="5" t="s">
        <v>3</v>
      </c>
      <c r="G111" s="4">
        <v>5.461174030999994E7</v>
      </c>
      <c r="H111" s="4"/>
      <c r="I111" s="6"/>
    </row>
    <row r="112">
      <c r="A112" s="1">
        <v>46210.0</v>
      </c>
      <c r="B112" s="3" t="s">
        <v>1</v>
      </c>
      <c r="C112" s="3" t="s">
        <v>116</v>
      </c>
      <c r="D112" s="5">
        <v>2108240.0</v>
      </c>
      <c r="E112" s="4"/>
      <c r="F112" s="5" t="s">
        <v>3</v>
      </c>
      <c r="G112" s="4">
        <v>5.250350030999994E7</v>
      </c>
      <c r="H112" s="4"/>
      <c r="I112" s="6"/>
    </row>
    <row r="113">
      <c r="A113" s="1">
        <v>46210.0</v>
      </c>
      <c r="B113" s="3" t="s">
        <v>1</v>
      </c>
      <c r="C113" s="3" t="s">
        <v>117</v>
      </c>
      <c r="D113" s="5">
        <v>1500000.0</v>
      </c>
      <c r="E113" s="4"/>
      <c r="F113" s="5" t="s">
        <v>3</v>
      </c>
      <c r="G113" s="4">
        <v>5.100350030999994E7</v>
      </c>
      <c r="H113" s="4"/>
      <c r="I113" s="6"/>
    </row>
    <row r="114">
      <c r="A114" s="1">
        <v>46210.0</v>
      </c>
      <c r="B114" s="3" t="s">
        <v>1</v>
      </c>
      <c r="C114" s="3" t="s">
        <v>118</v>
      </c>
      <c r="D114" s="5">
        <v>1000000.0</v>
      </c>
      <c r="E114" s="4"/>
      <c r="F114" s="5" t="s">
        <v>3</v>
      </c>
      <c r="G114" s="4">
        <v>5.000350030999994E7</v>
      </c>
      <c r="H114" s="4"/>
      <c r="I114" s="6"/>
    </row>
    <row r="115">
      <c r="A115" s="1">
        <v>46210.0</v>
      </c>
      <c r="B115" s="3" t="s">
        <v>14</v>
      </c>
      <c r="C115" s="3" t="s">
        <v>119</v>
      </c>
      <c r="D115" s="5"/>
      <c r="E115" s="5">
        <v>7.6956E7</v>
      </c>
      <c r="F115" s="5" t="s">
        <v>16</v>
      </c>
      <c r="G115" s="4">
        <v>1.2695950030999994E8</v>
      </c>
      <c r="H115" s="4"/>
      <c r="I115" s="6"/>
    </row>
    <row r="116">
      <c r="A116" s="1">
        <v>46210.0</v>
      </c>
      <c r="B116" s="3" t="s">
        <v>14</v>
      </c>
      <c r="C116" s="3" t="s">
        <v>120</v>
      </c>
      <c r="D116" s="5"/>
      <c r="E116" s="5">
        <v>8.930258E7</v>
      </c>
      <c r="F116" s="5" t="s">
        <v>16</v>
      </c>
      <c r="G116" s="4">
        <v>2.1626208030999994E8</v>
      </c>
      <c r="H116" s="4"/>
      <c r="I116" s="6"/>
    </row>
    <row r="117">
      <c r="A117" s="1">
        <v>46210.0</v>
      </c>
      <c r="B117" s="3" t="s">
        <v>14</v>
      </c>
      <c r="C117" s="3" t="s">
        <v>121</v>
      </c>
      <c r="D117" s="5"/>
      <c r="E117" s="5">
        <v>5.9334418E8</v>
      </c>
      <c r="F117" s="5" t="s">
        <v>16</v>
      </c>
      <c r="G117" s="4">
        <v>8.0960626031E8</v>
      </c>
      <c r="H117" s="4"/>
      <c r="I117" s="6"/>
    </row>
    <row r="118">
      <c r="A118" s="1">
        <v>46210.0</v>
      </c>
      <c r="B118" s="3" t="s">
        <v>1</v>
      </c>
      <c r="C118" s="3" t="s">
        <v>122</v>
      </c>
      <c r="D118" s="5">
        <v>6.667047E7</v>
      </c>
      <c r="E118" s="4"/>
      <c r="F118" s="5" t="s">
        <v>3</v>
      </c>
      <c r="G118" s="4">
        <v>7.4293579031E8</v>
      </c>
      <c r="H118" s="4"/>
      <c r="I118" s="6"/>
    </row>
    <row r="119">
      <c r="A119" s="1">
        <v>46210.0</v>
      </c>
      <c r="B119" s="3" t="s">
        <v>1</v>
      </c>
      <c r="C119" s="3" t="s">
        <v>123</v>
      </c>
      <c r="D119" s="5">
        <v>1.3585065E8</v>
      </c>
      <c r="E119" s="4"/>
      <c r="F119" s="5" t="s">
        <v>3</v>
      </c>
      <c r="G119" s="4">
        <v>6.0708514031E8</v>
      </c>
      <c r="H119" s="4"/>
      <c r="I119" s="6"/>
    </row>
    <row r="120">
      <c r="A120" s="1">
        <v>46210.0</v>
      </c>
      <c r="B120" s="3" t="s">
        <v>1</v>
      </c>
      <c r="C120" s="3" t="s">
        <v>124</v>
      </c>
      <c r="D120" s="5">
        <v>1.3773585E8</v>
      </c>
      <c r="E120" s="4"/>
      <c r="F120" s="5" t="s">
        <v>3</v>
      </c>
      <c r="G120" s="4">
        <v>4.6934929030999994E8</v>
      </c>
      <c r="H120" s="5">
        <v>4.6934929031E8</v>
      </c>
      <c r="I120" s="6"/>
    </row>
    <row r="121">
      <c r="A121" s="1">
        <v>46210.0</v>
      </c>
      <c r="B121" s="3" t="s">
        <v>1</v>
      </c>
      <c r="C121" s="3" t="s">
        <v>125</v>
      </c>
      <c r="D121" s="5">
        <v>1.5212632E8</v>
      </c>
      <c r="E121" s="4"/>
      <c r="F121" s="5" t="s">
        <v>3</v>
      </c>
      <c r="G121" s="4">
        <v>3.1722297030999994E8</v>
      </c>
      <c r="H121" s="5">
        <v>3.1722297031E8</v>
      </c>
      <c r="I121" s="6"/>
    </row>
    <row r="122">
      <c r="A122" s="1">
        <v>46210.0</v>
      </c>
      <c r="B122" s="3" t="s">
        <v>1</v>
      </c>
      <c r="C122" s="3" t="s">
        <v>126</v>
      </c>
      <c r="D122" s="5">
        <v>9.20345E7</v>
      </c>
      <c r="E122" s="4"/>
      <c r="F122" s="5" t="s">
        <v>3</v>
      </c>
      <c r="G122" s="4">
        <v>2.2518847030999994E8</v>
      </c>
      <c r="H122" s="4"/>
      <c r="I122" s="6"/>
    </row>
    <row r="123">
      <c r="A123" s="1">
        <v>46210.0</v>
      </c>
      <c r="B123" s="3" t="s">
        <v>1</v>
      </c>
      <c r="C123" s="3" t="s">
        <v>127</v>
      </c>
      <c r="D123" s="5">
        <v>6.1423E7</v>
      </c>
      <c r="E123" s="4"/>
      <c r="F123" s="5" t="s">
        <v>3</v>
      </c>
      <c r="G123" s="4">
        <v>1.6376547030999994E8</v>
      </c>
      <c r="H123" s="4"/>
      <c r="I123" s="6"/>
    </row>
    <row r="124">
      <c r="A124" s="1">
        <v>46210.0</v>
      </c>
      <c r="B124" s="3" t="s">
        <v>1</v>
      </c>
      <c r="C124" s="3" t="s">
        <v>128</v>
      </c>
      <c r="D124" s="5">
        <v>7.390212E7</v>
      </c>
      <c r="E124" s="4"/>
      <c r="F124" s="5" t="s">
        <v>3</v>
      </c>
      <c r="G124" s="4">
        <v>8.986335030999994E7</v>
      </c>
      <c r="H124" s="4"/>
      <c r="I124" s="6"/>
    </row>
    <row r="125">
      <c r="A125" s="1">
        <v>46210.0</v>
      </c>
      <c r="B125" s="3" t="s">
        <v>1</v>
      </c>
      <c r="C125" s="3" t="s">
        <v>129</v>
      </c>
      <c r="D125" s="5">
        <v>1.5E7</v>
      </c>
      <c r="E125" s="4"/>
      <c r="F125" s="5" t="s">
        <v>3</v>
      </c>
      <c r="G125" s="4">
        <v>7.486335030999994E7</v>
      </c>
      <c r="H125" s="4"/>
      <c r="I125" s="6"/>
    </row>
    <row r="126">
      <c r="A126" s="1">
        <v>46210.0</v>
      </c>
      <c r="B126" s="3" t="s">
        <v>14</v>
      </c>
      <c r="C126" s="3" t="s">
        <v>130</v>
      </c>
      <c r="D126" s="5"/>
      <c r="E126" s="5">
        <v>1000000.0</v>
      </c>
      <c r="F126" s="5" t="s">
        <v>16</v>
      </c>
      <c r="G126" s="4">
        <v>7.586335030999994E7</v>
      </c>
      <c r="H126" s="4"/>
      <c r="I126" s="6"/>
    </row>
    <row r="127">
      <c r="A127" s="1">
        <v>46210.0</v>
      </c>
      <c r="B127" s="3" t="s">
        <v>100</v>
      </c>
      <c r="C127" s="3" t="s">
        <v>131</v>
      </c>
      <c r="D127" s="5">
        <v>88000.0</v>
      </c>
      <c r="E127" s="4"/>
      <c r="F127" s="4"/>
      <c r="G127" s="4">
        <v>7.577535030999994E7</v>
      </c>
      <c r="H127" s="4"/>
      <c r="I127" s="6"/>
    </row>
    <row r="128">
      <c r="A128" s="1">
        <v>46210.0</v>
      </c>
      <c r="B128" s="3" t="s">
        <v>1</v>
      </c>
      <c r="C128" s="3" t="s">
        <v>132</v>
      </c>
      <c r="D128" s="5">
        <v>7.254912E7</v>
      </c>
      <c r="E128" s="4"/>
      <c r="F128" s="5" t="s">
        <v>3</v>
      </c>
      <c r="G128" s="4">
        <v>3226230.309999943</v>
      </c>
      <c r="H128" s="4"/>
      <c r="I128" s="6"/>
    </row>
    <row r="129">
      <c r="A129" s="1">
        <v>46210.0</v>
      </c>
      <c r="B129" s="3" t="s">
        <v>14</v>
      </c>
      <c r="C129" s="3" t="s">
        <v>133</v>
      </c>
      <c r="D129" s="5"/>
      <c r="E129" s="5">
        <v>2.813806E8</v>
      </c>
      <c r="F129" s="5" t="s">
        <v>16</v>
      </c>
      <c r="G129" s="4">
        <v>2.8460683030999994E8</v>
      </c>
      <c r="H129" s="4"/>
      <c r="I129" s="6"/>
    </row>
    <row r="130">
      <c r="A130" s="1">
        <v>46210.0</v>
      </c>
      <c r="B130" s="3" t="s">
        <v>134</v>
      </c>
      <c r="C130" s="3" t="s">
        <v>134</v>
      </c>
      <c r="D130" s="5">
        <v>300000.0</v>
      </c>
      <c r="E130" s="4"/>
      <c r="F130" s="4"/>
      <c r="G130" s="4">
        <v>2.8430683030999994E8</v>
      </c>
      <c r="H130" s="4"/>
      <c r="I130" s="6"/>
    </row>
    <row r="131">
      <c r="A131" s="1">
        <v>46210.0</v>
      </c>
      <c r="B131" s="3" t="s">
        <v>1</v>
      </c>
      <c r="C131" s="3" t="s">
        <v>135</v>
      </c>
      <c r="D131" s="5">
        <v>7.854E7</v>
      </c>
      <c r="E131" s="4"/>
      <c r="F131" s="5" t="s">
        <v>3</v>
      </c>
      <c r="G131" s="4">
        <v>2.0576683030999994E8</v>
      </c>
      <c r="H131" s="5">
        <v>2.0576683031E8</v>
      </c>
      <c r="I131" s="6"/>
    </row>
    <row r="132">
      <c r="A132" s="1">
        <v>46211.0</v>
      </c>
      <c r="B132" s="3" t="s">
        <v>136</v>
      </c>
      <c r="C132" s="3" t="s">
        <v>137</v>
      </c>
      <c r="D132" s="5"/>
      <c r="E132" s="5">
        <v>1.5E8</v>
      </c>
      <c r="F132" s="5" t="s">
        <v>16</v>
      </c>
      <c r="G132" s="4">
        <v>3.5576683030999994E8</v>
      </c>
      <c r="H132" s="4"/>
      <c r="I132" s="6"/>
    </row>
    <row r="133">
      <c r="A133" s="1">
        <v>46211.0</v>
      </c>
      <c r="B133" s="3" t="s">
        <v>14</v>
      </c>
      <c r="C133" s="3" t="s">
        <v>138</v>
      </c>
      <c r="D133" s="5"/>
      <c r="E133" s="5">
        <v>7.5E7</v>
      </c>
      <c r="F133" s="5" t="s">
        <v>16</v>
      </c>
      <c r="G133" s="4">
        <v>4.3076683030999994E8</v>
      </c>
      <c r="H133" s="5">
        <v>4.3076683031E8</v>
      </c>
      <c r="I133" s="6"/>
    </row>
    <row r="134">
      <c r="A134" s="1">
        <v>46211.0</v>
      </c>
      <c r="B134" s="3" t="s">
        <v>14</v>
      </c>
      <c r="C134" s="3" t="s">
        <v>139</v>
      </c>
      <c r="D134" s="5"/>
      <c r="E134" s="5">
        <v>1680000.0</v>
      </c>
      <c r="F134" s="5" t="s">
        <v>16</v>
      </c>
      <c r="G134" s="4">
        <v>4.3244683030999994E8</v>
      </c>
      <c r="H134" s="5">
        <v>4.3244683031E8</v>
      </c>
      <c r="I134" s="6"/>
    </row>
    <row r="135">
      <c r="A135" s="1">
        <v>46211.0</v>
      </c>
      <c r="B135" s="3" t="s">
        <v>1</v>
      </c>
      <c r="C135" s="3" t="s">
        <v>140</v>
      </c>
      <c r="D135" s="5">
        <v>1.68975E8</v>
      </c>
      <c r="E135" s="4"/>
      <c r="F135" s="5" t="s">
        <v>3</v>
      </c>
      <c r="G135" s="4">
        <v>2.6347183030999994E8</v>
      </c>
      <c r="H135" s="4"/>
      <c r="I135" s="6"/>
    </row>
    <row r="136">
      <c r="A136" s="1">
        <v>46211.0</v>
      </c>
      <c r="B136" s="3" t="s">
        <v>1</v>
      </c>
      <c r="C136" s="3" t="s">
        <v>141</v>
      </c>
      <c r="D136" s="5">
        <v>1.3086445E8</v>
      </c>
      <c r="E136" s="4"/>
      <c r="F136" s="5" t="s">
        <v>3</v>
      </c>
      <c r="G136" s="4">
        <v>1.3260738030999994E8</v>
      </c>
      <c r="H136" s="4"/>
      <c r="I136" s="6"/>
    </row>
    <row r="137">
      <c r="A137" s="1">
        <v>46211.0</v>
      </c>
      <c r="B137" s="3" t="s">
        <v>14</v>
      </c>
      <c r="C137" s="3" t="s">
        <v>142</v>
      </c>
      <c r="D137" s="5"/>
      <c r="E137" s="5">
        <v>5.3174096E8</v>
      </c>
      <c r="F137" s="5" t="s">
        <v>16</v>
      </c>
      <c r="G137" s="4">
        <v>6.6434834031E8</v>
      </c>
      <c r="H137" s="4"/>
      <c r="I137" s="6"/>
    </row>
    <row r="138">
      <c r="A138" s="1">
        <v>46211.0</v>
      </c>
      <c r="B138" s="3" t="s">
        <v>1</v>
      </c>
      <c r="C138" s="3" t="s">
        <v>143</v>
      </c>
      <c r="D138" s="5">
        <v>6.840419E7</v>
      </c>
      <c r="E138" s="4"/>
      <c r="F138" s="5" t="s">
        <v>3</v>
      </c>
      <c r="G138" s="4">
        <v>5.9594415031E8</v>
      </c>
      <c r="H138" s="4"/>
      <c r="I138" s="6"/>
    </row>
    <row r="139">
      <c r="A139" s="1">
        <v>46211.0</v>
      </c>
      <c r="B139" s="3" t="s">
        <v>1</v>
      </c>
      <c r="C139" s="3" t="s">
        <v>144</v>
      </c>
      <c r="D139" s="5">
        <v>5500000.0</v>
      </c>
      <c r="E139" s="4"/>
      <c r="F139" s="5" t="s">
        <v>3</v>
      </c>
      <c r="G139" s="4">
        <v>5.9044415031E8</v>
      </c>
      <c r="H139" s="4"/>
      <c r="I139" s="6"/>
    </row>
    <row r="140">
      <c r="A140" s="1">
        <v>46211.0</v>
      </c>
      <c r="B140" s="3" t="s">
        <v>1</v>
      </c>
      <c r="C140" s="3" t="s">
        <v>145</v>
      </c>
      <c r="D140" s="5">
        <v>1.4574383E8</v>
      </c>
      <c r="E140" s="4"/>
      <c r="F140" s="5" t="s">
        <v>3</v>
      </c>
      <c r="G140" s="4">
        <v>4.4470032030999994E8</v>
      </c>
      <c r="H140" s="4"/>
      <c r="I140" s="6"/>
    </row>
    <row r="141">
      <c r="A141" s="1">
        <v>46211.0</v>
      </c>
      <c r="B141" s="3" t="s">
        <v>1</v>
      </c>
      <c r="C141" s="3" t="s">
        <v>146</v>
      </c>
      <c r="D141" s="5">
        <v>7.857605E7</v>
      </c>
      <c r="E141" s="4"/>
      <c r="F141" s="5" t="s">
        <v>3</v>
      </c>
      <c r="G141" s="4">
        <v>3.6612427030999994E8</v>
      </c>
      <c r="H141" s="4"/>
      <c r="I141" s="6"/>
    </row>
    <row r="142">
      <c r="A142" s="1">
        <v>46211.0</v>
      </c>
      <c r="B142" s="3" t="s">
        <v>1</v>
      </c>
      <c r="C142" s="3" t="s">
        <v>147</v>
      </c>
      <c r="D142" s="5">
        <v>6.48E7</v>
      </c>
      <c r="E142" s="4"/>
      <c r="F142" s="5" t="s">
        <v>3</v>
      </c>
      <c r="G142" s="4">
        <v>3.0132427030999994E8</v>
      </c>
      <c r="H142" s="4"/>
      <c r="I142" s="6" t="s">
        <v>41</v>
      </c>
    </row>
    <row r="143">
      <c r="A143" s="1">
        <v>46211.0</v>
      </c>
      <c r="B143" s="3" t="s">
        <v>1</v>
      </c>
      <c r="C143" s="3" t="s">
        <v>148</v>
      </c>
      <c r="D143" s="5">
        <v>8.80043E7</v>
      </c>
      <c r="E143" s="4"/>
      <c r="F143" s="5" t="s">
        <v>3</v>
      </c>
      <c r="G143" s="4">
        <v>2.1331997030999994E8</v>
      </c>
      <c r="H143" s="4"/>
      <c r="I143" s="6" t="s">
        <v>41</v>
      </c>
    </row>
    <row r="144">
      <c r="A144" s="1">
        <v>46211.0</v>
      </c>
      <c r="B144" s="3" t="s">
        <v>1</v>
      </c>
      <c r="C144" s="3" t="s">
        <v>149</v>
      </c>
      <c r="D144" s="5">
        <v>5.15E7</v>
      </c>
      <c r="E144" s="4"/>
      <c r="F144" s="5" t="s">
        <v>3</v>
      </c>
      <c r="G144" s="4">
        <v>1.6181997030999994E8</v>
      </c>
      <c r="H144" s="4"/>
      <c r="I144" s="6"/>
    </row>
    <row r="145">
      <c r="A145" s="1">
        <v>46211.0</v>
      </c>
      <c r="B145" s="3" t="s">
        <v>1</v>
      </c>
      <c r="C145" s="3" t="s">
        <v>150</v>
      </c>
      <c r="D145" s="5">
        <v>2.6674E7</v>
      </c>
      <c r="E145" s="4"/>
      <c r="F145" s="5" t="s">
        <v>3</v>
      </c>
      <c r="G145" s="4">
        <v>1.3514597030999994E8</v>
      </c>
      <c r="H145" s="4"/>
      <c r="I145" s="6"/>
    </row>
    <row r="146">
      <c r="A146" s="1">
        <v>46211.0</v>
      </c>
      <c r="B146" s="3" t="s">
        <v>6</v>
      </c>
      <c r="C146" s="3" t="s">
        <v>25</v>
      </c>
      <c r="D146" s="5">
        <v>5028140.0</v>
      </c>
      <c r="E146" s="4"/>
      <c r="F146" s="5" t="s">
        <v>3</v>
      </c>
      <c r="G146" s="4">
        <v>1.3011783030999994E8</v>
      </c>
      <c r="H146" s="5">
        <v>1.3011783031E8</v>
      </c>
      <c r="I146" s="6"/>
    </row>
    <row r="147">
      <c r="A147" s="1">
        <v>46211.0</v>
      </c>
      <c r="B147" s="3" t="s">
        <v>6</v>
      </c>
      <c r="C147" s="3" t="s">
        <v>26</v>
      </c>
      <c r="D147" s="5">
        <v>2500.0</v>
      </c>
      <c r="E147" s="4"/>
      <c r="F147" s="5" t="s">
        <v>3</v>
      </c>
      <c r="G147" s="4">
        <v>1.3011533030999994E8</v>
      </c>
      <c r="H147" s="5">
        <v>1.3011533031E8</v>
      </c>
      <c r="I147" s="6"/>
    </row>
    <row r="148">
      <c r="A148" s="1">
        <v>46211.0</v>
      </c>
      <c r="B148" s="3" t="s">
        <v>6</v>
      </c>
      <c r="C148" s="3" t="s">
        <v>25</v>
      </c>
      <c r="D148" s="5">
        <v>1522310.0</v>
      </c>
      <c r="E148" s="4"/>
      <c r="F148" s="5" t="s">
        <v>3</v>
      </c>
      <c r="G148" s="4">
        <v>1.2859302030999994E8</v>
      </c>
      <c r="H148" s="4"/>
      <c r="I148" s="6"/>
    </row>
    <row r="149">
      <c r="A149" s="1">
        <v>46211.0</v>
      </c>
      <c r="B149" s="3" t="s">
        <v>6</v>
      </c>
      <c r="C149" s="3" t="s">
        <v>26</v>
      </c>
      <c r="D149" s="5">
        <v>2500.0</v>
      </c>
      <c r="E149" s="4"/>
      <c r="F149" s="5" t="s">
        <v>3</v>
      </c>
      <c r="G149" s="4">
        <v>1.2859052030999994E8</v>
      </c>
      <c r="H149" s="4"/>
      <c r="I149" s="6"/>
    </row>
    <row r="150">
      <c r="A150" s="1">
        <v>46211.0</v>
      </c>
      <c r="B150" s="3" t="s">
        <v>14</v>
      </c>
      <c r="C150" s="3" t="s">
        <v>151</v>
      </c>
      <c r="D150" s="5"/>
      <c r="E150" s="5">
        <v>2.753324E8</v>
      </c>
      <c r="F150" s="5" t="s">
        <v>16</v>
      </c>
      <c r="G150" s="4">
        <v>4.0392292030999994E8</v>
      </c>
      <c r="H150" s="4"/>
      <c r="I150" s="6"/>
    </row>
    <row r="151">
      <c r="A151" s="1">
        <v>46211.0</v>
      </c>
      <c r="B151" s="3" t="s">
        <v>14</v>
      </c>
      <c r="C151" s="3" t="s">
        <v>152</v>
      </c>
      <c r="D151" s="5"/>
      <c r="E151" s="5">
        <v>1.4149895E8</v>
      </c>
      <c r="F151" s="5" t="s">
        <v>16</v>
      </c>
      <c r="G151" s="4">
        <v>5.4542187031E8</v>
      </c>
      <c r="H151" s="4"/>
      <c r="I151" s="6"/>
    </row>
    <row r="152">
      <c r="A152" s="1">
        <v>46211.0</v>
      </c>
      <c r="B152" s="3" t="s">
        <v>14</v>
      </c>
      <c r="C152" s="3" t="s">
        <v>153</v>
      </c>
      <c r="D152" s="5"/>
      <c r="E152" s="5">
        <v>3.0598519E8</v>
      </c>
      <c r="F152" s="5" t="s">
        <v>16</v>
      </c>
      <c r="G152" s="4">
        <v>8.5140706031E8</v>
      </c>
      <c r="H152" s="4"/>
      <c r="I152" s="6"/>
    </row>
    <row r="153">
      <c r="A153" s="1">
        <v>46211.0</v>
      </c>
      <c r="B153" s="3" t="s">
        <v>14</v>
      </c>
      <c r="C153" s="3" t="s">
        <v>154</v>
      </c>
      <c r="D153" s="5"/>
      <c r="E153" s="5">
        <v>300000.0</v>
      </c>
      <c r="F153" s="5" t="s">
        <v>16</v>
      </c>
      <c r="G153" s="4">
        <v>8.5170706031E8</v>
      </c>
      <c r="H153" s="4"/>
      <c r="I153" s="6"/>
    </row>
    <row r="154">
      <c r="A154" s="1">
        <v>46211.0</v>
      </c>
      <c r="B154" s="3" t="s">
        <v>14</v>
      </c>
      <c r="C154" s="3" t="s">
        <v>155</v>
      </c>
      <c r="D154" s="5"/>
      <c r="E154" s="5">
        <v>4000000.0</v>
      </c>
      <c r="F154" s="5" t="s">
        <v>16</v>
      </c>
      <c r="G154" s="4">
        <v>8.5570706031E8</v>
      </c>
      <c r="H154" s="4"/>
      <c r="I154" s="6"/>
    </row>
    <row r="155">
      <c r="A155" s="1">
        <v>46211.0</v>
      </c>
      <c r="B155" s="3" t="s">
        <v>1</v>
      </c>
      <c r="C155" s="3" t="s">
        <v>156</v>
      </c>
      <c r="D155" s="5">
        <v>6.952694E7</v>
      </c>
      <c r="E155" s="4"/>
      <c r="F155" s="5" t="s">
        <v>3</v>
      </c>
      <c r="G155" s="4">
        <v>7.8618012031E8</v>
      </c>
      <c r="H155" s="5">
        <v>7.8618012031E8</v>
      </c>
      <c r="I155" s="6"/>
    </row>
    <row r="156">
      <c r="A156" s="1">
        <v>46212.0</v>
      </c>
      <c r="B156" s="3" t="s">
        <v>1</v>
      </c>
      <c r="C156" s="3" t="s">
        <v>157</v>
      </c>
      <c r="D156" s="5">
        <v>1.41E8</v>
      </c>
      <c r="E156" s="4"/>
      <c r="F156" s="5" t="s">
        <v>3</v>
      </c>
      <c r="G156" s="4">
        <v>6.4518012031E8</v>
      </c>
      <c r="H156" s="4"/>
      <c r="I156" s="6"/>
    </row>
    <row r="157">
      <c r="A157" s="1">
        <v>46212.0</v>
      </c>
      <c r="B157" s="3" t="s">
        <v>1</v>
      </c>
      <c r="C157" s="3" t="s">
        <v>158</v>
      </c>
      <c r="D157" s="5">
        <v>9.282E7</v>
      </c>
      <c r="E157" s="4"/>
      <c r="F157" s="5" t="s">
        <v>3</v>
      </c>
      <c r="G157" s="4">
        <v>5.5236012031E8</v>
      </c>
      <c r="H157" s="4"/>
      <c r="I157" s="6"/>
    </row>
    <row r="158">
      <c r="A158" s="1">
        <v>46212.0</v>
      </c>
      <c r="B158" s="3" t="s">
        <v>1</v>
      </c>
      <c r="C158" s="3" t="s">
        <v>159</v>
      </c>
      <c r="D158" s="5">
        <v>7.78458E7</v>
      </c>
      <c r="E158" s="4"/>
      <c r="F158" s="5" t="s">
        <v>3</v>
      </c>
      <c r="G158" s="4">
        <v>4.7451432030999994E8</v>
      </c>
      <c r="H158" s="4"/>
      <c r="I158" s="6"/>
    </row>
    <row r="159">
      <c r="A159" s="1">
        <v>46212.0</v>
      </c>
      <c r="B159" s="3" t="s">
        <v>1</v>
      </c>
      <c r="C159" s="3" t="s">
        <v>160</v>
      </c>
      <c r="D159" s="5">
        <v>8.32488E7</v>
      </c>
      <c r="E159" s="4"/>
      <c r="F159" s="5" t="s">
        <v>3</v>
      </c>
      <c r="G159" s="4">
        <v>3.9126552030999994E8</v>
      </c>
      <c r="H159" s="5">
        <v>3.9126552031E8</v>
      </c>
      <c r="I159" s="6"/>
    </row>
    <row r="160">
      <c r="A160" s="1">
        <v>46212.0</v>
      </c>
      <c r="B160" s="3" t="s">
        <v>1</v>
      </c>
      <c r="C160" s="3" t="s">
        <v>161</v>
      </c>
      <c r="D160" s="5">
        <v>6.96023E7</v>
      </c>
      <c r="E160" s="4"/>
      <c r="F160" s="5" t="s">
        <v>3</v>
      </c>
      <c r="G160" s="4">
        <v>3.2166322030999994E8</v>
      </c>
      <c r="H160" s="5">
        <v>3.2166322031E8</v>
      </c>
      <c r="I160" s="6"/>
    </row>
    <row r="161">
      <c r="A161" s="1">
        <v>46212.0</v>
      </c>
      <c r="B161" s="3" t="s">
        <v>1</v>
      </c>
      <c r="C161" s="3" t="s">
        <v>162</v>
      </c>
      <c r="D161" s="5">
        <v>8.061555E7</v>
      </c>
      <c r="E161" s="4"/>
      <c r="F161" s="5" t="s">
        <v>3</v>
      </c>
      <c r="G161" s="4">
        <v>2.4104767030999994E8</v>
      </c>
      <c r="H161" s="4"/>
      <c r="I161" s="6"/>
    </row>
    <row r="162">
      <c r="A162" s="1">
        <v>46212.0</v>
      </c>
      <c r="B162" s="3" t="s">
        <v>1</v>
      </c>
      <c r="C162" s="3" t="s">
        <v>163</v>
      </c>
      <c r="D162" s="5">
        <v>1.80574E8</v>
      </c>
      <c r="E162" s="4"/>
      <c r="F162" s="5" t="s">
        <v>3</v>
      </c>
      <c r="G162" s="4">
        <v>6.047367030999994E7</v>
      </c>
      <c r="H162" s="4"/>
      <c r="I162" s="6"/>
    </row>
    <row r="163">
      <c r="A163" s="1">
        <v>46212.0</v>
      </c>
      <c r="B163" s="3" t="s">
        <v>1</v>
      </c>
      <c r="C163" s="3" t="s">
        <v>164</v>
      </c>
      <c r="D163" s="5">
        <v>350000.0</v>
      </c>
      <c r="E163" s="4"/>
      <c r="F163" s="5" t="s">
        <v>3</v>
      </c>
      <c r="G163" s="4">
        <v>6.012367030999994E7</v>
      </c>
      <c r="H163" s="4"/>
      <c r="I163" s="6"/>
    </row>
    <row r="164">
      <c r="A164" s="1">
        <v>46212.0</v>
      </c>
      <c r="B164" s="3" t="s">
        <v>1</v>
      </c>
      <c r="C164" s="3" t="s">
        <v>165</v>
      </c>
      <c r="D164" s="5">
        <v>250000.0</v>
      </c>
      <c r="E164" s="4"/>
      <c r="F164" s="5" t="s">
        <v>3</v>
      </c>
      <c r="G164" s="4">
        <v>5.987367030999994E7</v>
      </c>
      <c r="H164" s="4"/>
      <c r="I164" s="6"/>
    </row>
    <row r="165">
      <c r="A165" s="1">
        <v>46212.0</v>
      </c>
      <c r="B165" s="3" t="s">
        <v>100</v>
      </c>
      <c r="C165" s="3" t="s">
        <v>166</v>
      </c>
      <c r="D165" s="5">
        <v>222700.0</v>
      </c>
      <c r="E165" s="4"/>
      <c r="F165" s="4"/>
      <c r="G165" s="4">
        <v>5.965097030999994E7</v>
      </c>
      <c r="H165" s="5">
        <v>5.965097031E7</v>
      </c>
      <c r="I165" s="6"/>
    </row>
    <row r="166">
      <c r="A166" s="1">
        <v>46213.0</v>
      </c>
      <c r="B166" s="3" t="s">
        <v>14</v>
      </c>
      <c r="C166" s="3" t="s">
        <v>167</v>
      </c>
      <c r="D166" s="5"/>
      <c r="E166" s="5">
        <v>400000.0</v>
      </c>
      <c r="F166" s="5" t="s">
        <v>16</v>
      </c>
      <c r="G166" s="4">
        <v>6.005097030999994E7</v>
      </c>
      <c r="H166" s="4"/>
      <c r="I166" s="6"/>
    </row>
    <row r="167">
      <c r="A167" s="1">
        <v>46213.0</v>
      </c>
      <c r="B167" s="3" t="s">
        <v>1</v>
      </c>
      <c r="C167" s="3" t="s">
        <v>168</v>
      </c>
      <c r="D167" s="5">
        <v>6.0E7</v>
      </c>
      <c r="E167" s="4"/>
      <c r="F167" s="5" t="s">
        <v>3</v>
      </c>
      <c r="G167" s="4">
        <v>50970.30999994278</v>
      </c>
      <c r="H167" s="4"/>
      <c r="I167" s="6"/>
    </row>
    <row r="168">
      <c r="A168" s="1">
        <v>46213.0</v>
      </c>
      <c r="B168" s="3" t="s">
        <v>14</v>
      </c>
      <c r="C168" s="3" t="s">
        <v>169</v>
      </c>
      <c r="D168" s="5"/>
      <c r="E168" s="5">
        <v>7.97765E7</v>
      </c>
      <c r="F168" s="5" t="s">
        <v>16</v>
      </c>
      <c r="G168" s="4">
        <v>7.982747030999994E7</v>
      </c>
      <c r="H168" s="4"/>
      <c r="I168" s="6"/>
    </row>
    <row r="169">
      <c r="A169" s="1">
        <v>46213.0</v>
      </c>
      <c r="B169" s="3" t="s">
        <v>1</v>
      </c>
      <c r="C169" s="3" t="s">
        <v>170</v>
      </c>
      <c r="D169" s="5">
        <v>1.2E7</v>
      </c>
      <c r="E169" s="4"/>
      <c r="F169" s="5" t="s">
        <v>3</v>
      </c>
      <c r="G169" s="4">
        <v>6.782747030999994E7</v>
      </c>
      <c r="H169" s="4"/>
      <c r="I169" s="6"/>
    </row>
    <row r="170">
      <c r="A170" s="1">
        <v>46213.0</v>
      </c>
      <c r="B170" s="3" t="s">
        <v>100</v>
      </c>
      <c r="C170" s="3" t="s">
        <v>171</v>
      </c>
      <c r="D170" s="5">
        <v>195000.0</v>
      </c>
      <c r="E170" s="4"/>
      <c r="F170" s="4"/>
      <c r="G170" s="4">
        <v>6.763247030999994E7</v>
      </c>
      <c r="H170" s="4"/>
      <c r="I170" s="6"/>
    </row>
    <row r="171">
      <c r="A171" s="1">
        <v>46213.0</v>
      </c>
      <c r="B171" s="3" t="s">
        <v>1</v>
      </c>
      <c r="C171" s="3" t="s">
        <v>172</v>
      </c>
      <c r="D171" s="5">
        <v>1.5E7</v>
      </c>
      <c r="E171" s="4"/>
      <c r="F171" s="5" t="s">
        <v>3</v>
      </c>
      <c r="G171" s="4">
        <v>5.263247030999994E7</v>
      </c>
      <c r="H171" s="4"/>
      <c r="I171" s="6"/>
    </row>
    <row r="172">
      <c r="A172" s="1">
        <v>46213.0</v>
      </c>
      <c r="B172" s="3" t="s">
        <v>173</v>
      </c>
      <c r="C172" s="3" t="s">
        <v>173</v>
      </c>
      <c r="D172" s="5">
        <v>150000.0</v>
      </c>
      <c r="E172" s="4"/>
      <c r="F172" s="4"/>
      <c r="G172" s="4">
        <v>5.248247030999994E7</v>
      </c>
      <c r="H172" s="4"/>
      <c r="I172" s="6"/>
    </row>
    <row r="173">
      <c r="A173" s="1">
        <v>46213.0</v>
      </c>
      <c r="B173" s="3" t="s">
        <v>173</v>
      </c>
      <c r="C173" s="3" t="s">
        <v>173</v>
      </c>
      <c r="D173" s="5">
        <v>2500000.0</v>
      </c>
      <c r="E173" s="4"/>
      <c r="F173" s="4"/>
      <c r="G173" s="4">
        <v>4.998247030999994E7</v>
      </c>
      <c r="H173" s="4"/>
      <c r="I173" s="6"/>
    </row>
    <row r="174">
      <c r="A174" s="1">
        <v>46213.0</v>
      </c>
      <c r="B174" s="3" t="s">
        <v>173</v>
      </c>
      <c r="C174" s="3" t="s">
        <v>173</v>
      </c>
      <c r="D174" s="5">
        <v>1800000.0</v>
      </c>
      <c r="E174" s="4"/>
      <c r="F174" s="4"/>
      <c r="G174" s="4">
        <v>4.818247030999994E7</v>
      </c>
      <c r="H174" s="5">
        <v>4.818247031E7</v>
      </c>
      <c r="I174" s="6"/>
    </row>
    <row r="175">
      <c r="A175" s="1">
        <v>46214.0</v>
      </c>
      <c r="B175" s="3" t="s">
        <v>174</v>
      </c>
      <c r="C175" s="3" t="s">
        <v>175</v>
      </c>
      <c r="D175" s="5"/>
      <c r="E175" s="5">
        <v>3.7534088E8</v>
      </c>
      <c r="F175" s="5" t="s">
        <v>16</v>
      </c>
      <c r="G175" s="4">
        <v>4.2352335030999994E8</v>
      </c>
      <c r="H175" s="4"/>
      <c r="I175" s="6"/>
    </row>
    <row r="176">
      <c r="A176" s="1">
        <v>46214.0</v>
      </c>
      <c r="B176" s="3" t="s">
        <v>1</v>
      </c>
      <c r="C176" s="3" t="s">
        <v>176</v>
      </c>
      <c r="D176" s="5">
        <v>3.5E8</v>
      </c>
      <c r="E176" s="4"/>
      <c r="F176" s="5" t="s">
        <v>3</v>
      </c>
      <c r="G176" s="4">
        <v>7.352335030999994E7</v>
      </c>
      <c r="H176" s="5">
        <v>7.352335031E7</v>
      </c>
      <c r="I176" s="6"/>
    </row>
    <row r="177">
      <c r="A177" s="1">
        <v>46214.0</v>
      </c>
      <c r="B177" s="3" t="s">
        <v>14</v>
      </c>
      <c r="C177" s="3" t="s">
        <v>177</v>
      </c>
      <c r="D177" s="5"/>
      <c r="E177" s="5">
        <v>7.93639E7</v>
      </c>
      <c r="F177" s="5" t="s">
        <v>16</v>
      </c>
      <c r="G177" s="4">
        <v>1.5288725030999994E8</v>
      </c>
      <c r="H177" s="5">
        <v>1.5288725031E8</v>
      </c>
      <c r="I177" s="6" t="s">
        <v>41</v>
      </c>
    </row>
    <row r="178">
      <c r="A178" s="1">
        <v>46214.0</v>
      </c>
      <c r="B178" s="3" t="s">
        <v>14</v>
      </c>
      <c r="C178" s="3" t="s">
        <v>178</v>
      </c>
      <c r="D178" s="5"/>
      <c r="E178" s="5">
        <v>7.5E7</v>
      </c>
      <c r="F178" s="5" t="s">
        <v>16</v>
      </c>
      <c r="G178" s="4">
        <v>2.2788725030999994E8</v>
      </c>
      <c r="H178" s="4"/>
      <c r="I178" s="6"/>
    </row>
    <row r="179">
      <c r="A179" s="1">
        <v>46214.0</v>
      </c>
      <c r="B179" s="3" t="s">
        <v>14</v>
      </c>
      <c r="C179" s="3" t="s">
        <v>179</v>
      </c>
      <c r="D179" s="5"/>
      <c r="E179" s="5">
        <v>2948200.0</v>
      </c>
      <c r="F179" s="5" t="s">
        <v>16</v>
      </c>
      <c r="G179" s="4">
        <v>2.3083545030999994E8</v>
      </c>
      <c r="H179" s="4"/>
      <c r="I179" s="6"/>
    </row>
    <row r="180">
      <c r="A180" s="1">
        <v>46214.0</v>
      </c>
      <c r="B180" s="3" t="s">
        <v>1</v>
      </c>
      <c r="C180" s="3" t="s">
        <v>180</v>
      </c>
      <c r="D180" s="5">
        <v>8.758125E7</v>
      </c>
      <c r="E180" s="4"/>
      <c r="F180" s="5" t="s">
        <v>3</v>
      </c>
      <c r="G180" s="4">
        <v>1.4325420030999994E8</v>
      </c>
      <c r="H180" s="4"/>
      <c r="I180" s="6"/>
    </row>
    <row r="181">
      <c r="A181" s="1">
        <v>46214.0</v>
      </c>
      <c r="B181" s="3" t="s">
        <v>14</v>
      </c>
      <c r="C181" s="3" t="s">
        <v>181</v>
      </c>
      <c r="D181" s="5"/>
      <c r="E181" s="5">
        <v>1.420695E8</v>
      </c>
      <c r="F181" s="5" t="s">
        <v>16</v>
      </c>
      <c r="G181" s="4">
        <v>2.8532370030999994E8</v>
      </c>
      <c r="H181" s="4"/>
      <c r="I181" s="6"/>
    </row>
    <row r="182">
      <c r="A182" s="1">
        <v>46214.0</v>
      </c>
      <c r="B182" s="3" t="s">
        <v>1</v>
      </c>
      <c r="C182" s="3" t="s">
        <v>182</v>
      </c>
      <c r="D182" s="5">
        <v>5.273604E7</v>
      </c>
      <c r="E182" s="4"/>
      <c r="F182" s="5" t="s">
        <v>3</v>
      </c>
      <c r="G182" s="4">
        <v>2.3258766030999994E8</v>
      </c>
      <c r="H182" s="4"/>
      <c r="I182" s="6"/>
    </row>
    <row r="183">
      <c r="A183" s="1">
        <v>46214.0</v>
      </c>
      <c r="B183" s="3" t="s">
        <v>1</v>
      </c>
      <c r="C183" s="3" t="s">
        <v>183</v>
      </c>
      <c r="D183" s="5">
        <v>1.512E8</v>
      </c>
      <c r="E183" s="4"/>
      <c r="F183" s="5" t="s">
        <v>3</v>
      </c>
      <c r="G183" s="4">
        <v>8.138766030999994E7</v>
      </c>
      <c r="H183" s="4"/>
      <c r="I183" s="6"/>
    </row>
    <row r="184">
      <c r="A184" s="1">
        <v>46214.0</v>
      </c>
      <c r="B184" s="3" t="s">
        <v>14</v>
      </c>
      <c r="C184" s="3" t="s">
        <v>184</v>
      </c>
      <c r="D184" s="5"/>
      <c r="E184" s="5">
        <v>8.79705E7</v>
      </c>
      <c r="F184" s="5" t="s">
        <v>16</v>
      </c>
      <c r="G184" s="4">
        <v>1.6935816030999994E8</v>
      </c>
      <c r="H184" s="4"/>
      <c r="I184" s="6"/>
    </row>
    <row r="185">
      <c r="A185" s="1">
        <v>46214.0</v>
      </c>
      <c r="B185" s="3" t="s">
        <v>185</v>
      </c>
      <c r="C185" s="3" t="s">
        <v>185</v>
      </c>
      <c r="D185" s="5">
        <v>250000.0</v>
      </c>
      <c r="E185" s="4"/>
      <c r="F185" s="4"/>
      <c r="G185" s="4">
        <v>1.6910816030999994E8</v>
      </c>
      <c r="H185" s="4"/>
      <c r="I185" s="6"/>
    </row>
    <row r="186">
      <c r="A186" s="1">
        <v>46214.0</v>
      </c>
      <c r="B186" s="3" t="s">
        <v>1</v>
      </c>
      <c r="C186" s="3" t="s">
        <v>186</v>
      </c>
      <c r="D186" s="5">
        <v>300000.0</v>
      </c>
      <c r="E186" s="4"/>
      <c r="F186" s="5" t="s">
        <v>3</v>
      </c>
      <c r="G186" s="4">
        <v>1.6880816030999994E8</v>
      </c>
      <c r="H186" s="4"/>
      <c r="I186" s="6"/>
    </row>
    <row r="187">
      <c r="A187" s="1">
        <v>46214.0</v>
      </c>
      <c r="B187" s="3" t="s">
        <v>1</v>
      </c>
      <c r="C187" s="3" t="s">
        <v>187</v>
      </c>
      <c r="D187" s="5">
        <v>1.0E7</v>
      </c>
      <c r="E187" s="4"/>
      <c r="F187" s="5" t="s">
        <v>3</v>
      </c>
      <c r="G187" s="4">
        <v>1.5880816030999994E8</v>
      </c>
      <c r="H187" s="4"/>
      <c r="I187" s="6"/>
    </row>
    <row r="188">
      <c r="A188" s="1">
        <v>46214.0</v>
      </c>
      <c r="B188" s="3" t="s">
        <v>14</v>
      </c>
      <c r="C188" s="3" t="s">
        <v>188</v>
      </c>
      <c r="D188" s="5"/>
      <c r="E188" s="5">
        <v>1.0E8</v>
      </c>
      <c r="F188" s="5" t="s">
        <v>16</v>
      </c>
      <c r="G188" s="4">
        <v>2.5880816030999994E8</v>
      </c>
      <c r="H188" s="4"/>
      <c r="I188" s="6"/>
    </row>
    <row r="189">
      <c r="A189" s="1">
        <v>46214.0</v>
      </c>
      <c r="B189" s="3" t="s">
        <v>14</v>
      </c>
      <c r="C189" s="3" t="s">
        <v>189</v>
      </c>
      <c r="D189" s="5"/>
      <c r="E189" s="5">
        <v>4.1247388E8</v>
      </c>
      <c r="F189" s="5" t="s">
        <v>16</v>
      </c>
      <c r="G189" s="4">
        <v>6.7128204031E8</v>
      </c>
      <c r="H189" s="4"/>
      <c r="I189" s="6"/>
    </row>
    <row r="190">
      <c r="A190" s="1">
        <v>46214.0</v>
      </c>
      <c r="B190" s="3" t="s">
        <v>1</v>
      </c>
      <c r="C190" s="3" t="s">
        <v>190</v>
      </c>
      <c r="D190" s="5">
        <v>1.4041719E8</v>
      </c>
      <c r="E190" s="4"/>
      <c r="F190" s="5" t="s">
        <v>3</v>
      </c>
      <c r="G190" s="4">
        <v>5.3086485030999994E8</v>
      </c>
      <c r="H190" s="5">
        <v>5.3086485031E8</v>
      </c>
      <c r="I190" s="6"/>
    </row>
    <row r="191">
      <c r="A191" s="1">
        <v>46214.0</v>
      </c>
      <c r="B191" s="3" t="s">
        <v>1</v>
      </c>
      <c r="C191" s="3" t="s">
        <v>191</v>
      </c>
      <c r="D191" s="5">
        <v>6.9842E7</v>
      </c>
      <c r="E191" s="4"/>
      <c r="F191" s="5" t="s">
        <v>3</v>
      </c>
      <c r="G191" s="4">
        <v>4.6102285030999994E8</v>
      </c>
      <c r="H191" s="5">
        <v>4.6102285031E8</v>
      </c>
      <c r="I191" s="6"/>
    </row>
    <row r="192">
      <c r="A192" s="1">
        <v>46214.0</v>
      </c>
      <c r="B192" s="3" t="s">
        <v>1</v>
      </c>
      <c r="C192" s="3" t="s">
        <v>192</v>
      </c>
      <c r="D192" s="5">
        <v>1.4334859E8</v>
      </c>
      <c r="E192" s="4"/>
      <c r="F192" s="5" t="s">
        <v>3</v>
      </c>
      <c r="G192" s="4">
        <v>3.1767426030999994E8</v>
      </c>
      <c r="H192" s="4"/>
      <c r="I192" s="6"/>
    </row>
    <row r="193">
      <c r="A193" s="1">
        <v>46214.0</v>
      </c>
      <c r="B193" s="3" t="s">
        <v>1</v>
      </c>
      <c r="C193" s="3" t="s">
        <v>193</v>
      </c>
      <c r="D193" s="5">
        <v>6.722031E7</v>
      </c>
      <c r="E193" s="4"/>
      <c r="F193" s="5" t="s">
        <v>3</v>
      </c>
      <c r="G193" s="4">
        <v>2.5045395030999994E8</v>
      </c>
      <c r="H193" s="4"/>
      <c r="I193" s="6"/>
    </row>
    <row r="194">
      <c r="A194" s="1">
        <v>46214.0</v>
      </c>
      <c r="B194" s="3" t="s">
        <v>1</v>
      </c>
      <c r="C194" s="3" t="s">
        <v>194</v>
      </c>
      <c r="D194" s="5">
        <v>1.586195E8</v>
      </c>
      <c r="E194" s="4"/>
      <c r="F194" s="5" t="s">
        <v>3</v>
      </c>
      <c r="G194" s="4">
        <v>9.183445030999994E7</v>
      </c>
      <c r="H194" s="4"/>
      <c r="I194" s="6"/>
    </row>
    <row r="195">
      <c r="A195" s="1">
        <v>46214.0</v>
      </c>
      <c r="B195" s="3" t="s">
        <v>1</v>
      </c>
      <c r="C195" s="3" t="s">
        <v>195</v>
      </c>
      <c r="D195" s="5">
        <v>1858180.0</v>
      </c>
      <c r="E195" s="4"/>
      <c r="F195" s="5" t="s">
        <v>3</v>
      </c>
      <c r="G195" s="4">
        <v>8.997627030999994E7</v>
      </c>
      <c r="H195" s="4"/>
      <c r="I195" s="6" t="s">
        <v>41</v>
      </c>
    </row>
    <row r="196">
      <c r="A196" s="1">
        <v>46214.0</v>
      </c>
      <c r="B196" s="3" t="s">
        <v>1</v>
      </c>
      <c r="C196" s="3" t="s">
        <v>196</v>
      </c>
      <c r="D196" s="5">
        <v>1502820.0</v>
      </c>
      <c r="E196" s="4"/>
      <c r="F196" s="5" t="s">
        <v>3</v>
      </c>
      <c r="G196" s="4">
        <v>8.847345030999994E7</v>
      </c>
      <c r="H196" s="4"/>
      <c r="I196" s="6" t="s">
        <v>41</v>
      </c>
    </row>
    <row r="197">
      <c r="A197" s="1">
        <v>46214.0</v>
      </c>
      <c r="B197" s="3" t="s">
        <v>1</v>
      </c>
      <c r="C197" s="3" t="s">
        <v>197</v>
      </c>
      <c r="D197" s="5">
        <v>2101130.0</v>
      </c>
      <c r="E197" s="4"/>
      <c r="F197" s="5" t="s">
        <v>3</v>
      </c>
      <c r="G197" s="4">
        <v>8.637232030999994E7</v>
      </c>
      <c r="H197" s="5">
        <v>8.637232031E7</v>
      </c>
      <c r="I197" s="6" t="s">
        <v>41</v>
      </c>
    </row>
    <row r="198">
      <c r="A198" s="1">
        <v>46215.0</v>
      </c>
      <c r="B198" s="3" t="s">
        <v>198</v>
      </c>
      <c r="C198" s="3" t="s">
        <v>199</v>
      </c>
      <c r="D198" s="5">
        <v>6.0E7</v>
      </c>
      <c r="E198" s="4"/>
      <c r="F198" s="5" t="s">
        <v>3</v>
      </c>
      <c r="G198" s="4">
        <v>2.6372320309999943E7</v>
      </c>
      <c r="H198" s="4"/>
      <c r="I198" s="6"/>
    </row>
    <row r="199">
      <c r="A199" s="1">
        <v>46215.0</v>
      </c>
      <c r="B199" s="3" t="s">
        <v>198</v>
      </c>
      <c r="C199" s="3" t="s">
        <v>200</v>
      </c>
      <c r="D199" s="5">
        <v>1.0E7</v>
      </c>
      <c r="E199" s="4"/>
      <c r="F199" s="5" t="s">
        <v>3</v>
      </c>
      <c r="G199" s="4">
        <v>1.6372320309999943E7</v>
      </c>
      <c r="H199" s="4"/>
      <c r="I199" s="6"/>
    </row>
    <row r="200">
      <c r="A200" s="1">
        <v>46215.0</v>
      </c>
      <c r="B200" s="3" t="s">
        <v>1</v>
      </c>
      <c r="C200" s="3" t="s">
        <v>201</v>
      </c>
      <c r="D200" s="5">
        <v>9800000.0</v>
      </c>
      <c r="E200" s="4"/>
      <c r="F200" s="5" t="s">
        <v>3</v>
      </c>
      <c r="G200" s="4">
        <v>6572320.309999943</v>
      </c>
      <c r="H200" s="4"/>
      <c r="I200" s="6"/>
    </row>
    <row r="201">
      <c r="A201" s="1">
        <v>46215.0</v>
      </c>
      <c r="B201" s="3" t="s">
        <v>1</v>
      </c>
      <c r="C201" s="3" t="s">
        <v>202</v>
      </c>
      <c r="D201" s="5">
        <v>5000000.0</v>
      </c>
      <c r="E201" s="4"/>
      <c r="F201" s="5" t="s">
        <v>3</v>
      </c>
      <c r="G201" s="4">
        <v>1572320.3099999428</v>
      </c>
      <c r="H201" s="4"/>
      <c r="I201" s="6"/>
    </row>
    <row r="202">
      <c r="A202" s="1">
        <v>46215.0</v>
      </c>
      <c r="B202" s="3" t="s">
        <v>14</v>
      </c>
      <c r="C202" s="3" t="s">
        <v>203</v>
      </c>
      <c r="D202" s="5"/>
      <c r="E202" s="5">
        <v>6.0591903E8</v>
      </c>
      <c r="F202" s="5" t="s">
        <v>16</v>
      </c>
      <c r="G202" s="4">
        <v>6.0749135031E8</v>
      </c>
      <c r="H202" s="4"/>
      <c r="I202" s="6"/>
    </row>
    <row r="203">
      <c r="A203" s="1">
        <v>46215.0</v>
      </c>
      <c r="B203" s="3" t="s">
        <v>1</v>
      </c>
      <c r="C203" s="3" t="s">
        <v>204</v>
      </c>
      <c r="D203" s="5">
        <v>1.443756E8</v>
      </c>
      <c r="E203" s="4"/>
      <c r="F203" s="5" t="s">
        <v>3</v>
      </c>
      <c r="G203" s="4">
        <v>4.6311575030999994E8</v>
      </c>
      <c r="H203" s="5">
        <v>4.6311575031E8</v>
      </c>
      <c r="I203" s="6"/>
    </row>
    <row r="204">
      <c r="A204" s="1">
        <v>46215.0</v>
      </c>
      <c r="B204" s="3" t="s">
        <v>1</v>
      </c>
      <c r="C204" s="3" t="s">
        <v>205</v>
      </c>
      <c r="D204" s="5">
        <v>1.756296E8</v>
      </c>
      <c r="E204" s="4"/>
      <c r="F204" s="5" t="s">
        <v>3</v>
      </c>
      <c r="G204" s="4">
        <v>2.8748615030999994E8</v>
      </c>
      <c r="H204" s="5">
        <v>2.8748615031E8</v>
      </c>
      <c r="I204" s="6"/>
    </row>
    <row r="205">
      <c r="A205" s="1">
        <v>46215.0</v>
      </c>
      <c r="B205" s="3" t="s">
        <v>1</v>
      </c>
      <c r="C205" s="3" t="s">
        <v>206</v>
      </c>
      <c r="D205" s="5">
        <v>6.62497E7</v>
      </c>
      <c r="E205" s="4"/>
      <c r="F205" s="5" t="s">
        <v>3</v>
      </c>
      <c r="G205" s="4">
        <v>2.2123645030999994E8</v>
      </c>
      <c r="H205" s="4"/>
      <c r="I205" s="6"/>
    </row>
    <row r="206">
      <c r="A206" s="1">
        <v>46215.0</v>
      </c>
      <c r="B206" s="3" t="s">
        <v>1</v>
      </c>
      <c r="C206" s="3" t="s">
        <v>207</v>
      </c>
      <c r="D206" s="5">
        <v>7.48995E7</v>
      </c>
      <c r="E206" s="4"/>
      <c r="F206" s="5" t="s">
        <v>3</v>
      </c>
      <c r="G206" s="4">
        <v>1.4633695030999994E8</v>
      </c>
      <c r="H206" s="4"/>
      <c r="I206" s="6"/>
    </row>
    <row r="207">
      <c r="A207" s="1">
        <v>46215.0</v>
      </c>
      <c r="B207" s="3" t="s">
        <v>1</v>
      </c>
      <c r="C207" s="3" t="s">
        <v>208</v>
      </c>
      <c r="D207" s="5">
        <v>7982490.0</v>
      </c>
      <c r="E207" s="4"/>
      <c r="F207" s="5" t="s">
        <v>3</v>
      </c>
      <c r="G207" s="4">
        <v>1.3835446030999994E8</v>
      </c>
      <c r="H207" s="4"/>
      <c r="I207" s="6" t="s">
        <v>41</v>
      </c>
    </row>
    <row r="208">
      <c r="A208" s="1">
        <v>46215.0</v>
      </c>
      <c r="B208" s="3" t="s">
        <v>1</v>
      </c>
      <c r="C208" s="3" t="s">
        <v>209</v>
      </c>
      <c r="D208" s="5">
        <v>7408500.0</v>
      </c>
      <c r="E208" s="4"/>
      <c r="F208" s="5" t="s">
        <v>3</v>
      </c>
      <c r="G208" s="4">
        <v>1.3094596030999994E8</v>
      </c>
      <c r="H208" s="4"/>
      <c r="I208" s="6" t="s">
        <v>41</v>
      </c>
    </row>
    <row r="209">
      <c r="A209" s="1">
        <v>46215.0</v>
      </c>
      <c r="B209" s="3" t="s">
        <v>1</v>
      </c>
      <c r="C209" s="3" t="s">
        <v>210</v>
      </c>
      <c r="D209" s="5">
        <v>1.0E8</v>
      </c>
      <c r="E209" s="4"/>
      <c r="F209" s="5" t="s">
        <v>3</v>
      </c>
      <c r="G209" s="4">
        <v>3.0945960309999943E7</v>
      </c>
      <c r="H209" s="4"/>
      <c r="I209" s="6" t="s">
        <v>41</v>
      </c>
    </row>
    <row r="210">
      <c r="A210" s="1">
        <v>46215.0</v>
      </c>
      <c r="B210" s="3" t="s">
        <v>211</v>
      </c>
      <c r="C210" s="3" t="s">
        <v>211</v>
      </c>
      <c r="D210" s="5">
        <v>100000.0</v>
      </c>
      <c r="E210" s="4"/>
      <c r="F210" s="4"/>
      <c r="G210" s="4">
        <v>3.0845960309999943E7</v>
      </c>
      <c r="H210" s="4"/>
      <c r="I210" s="6" t="s">
        <v>41</v>
      </c>
    </row>
    <row r="211">
      <c r="A211" s="1">
        <v>46215.0</v>
      </c>
      <c r="B211" s="3" t="s">
        <v>14</v>
      </c>
      <c r="C211" s="3" t="s">
        <v>212</v>
      </c>
      <c r="D211" s="5"/>
      <c r="E211" s="5">
        <v>6.6989893E8</v>
      </c>
      <c r="F211" s="5" t="s">
        <v>16</v>
      </c>
      <c r="G211" s="4">
        <v>7.0074489031E8</v>
      </c>
      <c r="H211" s="4"/>
      <c r="I211" s="6" t="s">
        <v>41</v>
      </c>
    </row>
    <row r="212">
      <c r="A212" s="1">
        <v>46215.0</v>
      </c>
      <c r="B212" s="3" t="s">
        <v>1</v>
      </c>
      <c r="C212" s="3" t="s">
        <v>213</v>
      </c>
      <c r="D212" s="5">
        <v>1.5E7</v>
      </c>
      <c r="E212" s="4"/>
      <c r="F212" s="5" t="s">
        <v>3</v>
      </c>
      <c r="G212" s="4">
        <v>6.8574489031E8</v>
      </c>
      <c r="H212" s="4"/>
      <c r="I212" s="6" t="s">
        <v>41</v>
      </c>
    </row>
    <row r="213">
      <c r="A213" s="1">
        <v>46215.0</v>
      </c>
      <c r="B213" s="3" t="s">
        <v>1</v>
      </c>
      <c r="C213" s="3" t="s">
        <v>214</v>
      </c>
      <c r="D213" s="5">
        <v>1.0E8</v>
      </c>
      <c r="E213" s="4"/>
      <c r="F213" s="5" t="s">
        <v>3</v>
      </c>
      <c r="G213" s="4">
        <v>5.8574489031E8</v>
      </c>
      <c r="H213" s="4"/>
      <c r="I213" s="6" t="s">
        <v>41</v>
      </c>
    </row>
    <row r="214">
      <c r="A214" s="1">
        <v>46215.0</v>
      </c>
      <c r="B214" s="3" t="s">
        <v>1</v>
      </c>
      <c r="C214" s="3" t="s">
        <v>215</v>
      </c>
      <c r="D214" s="5">
        <v>7.71783E7</v>
      </c>
      <c r="E214" s="4"/>
      <c r="F214" s="5" t="s">
        <v>3</v>
      </c>
      <c r="G214" s="4">
        <v>5.0856659030999994E8</v>
      </c>
      <c r="H214" s="4"/>
      <c r="I214" s="6" t="s">
        <v>41</v>
      </c>
    </row>
    <row r="215">
      <c r="A215" s="1">
        <v>46215.0</v>
      </c>
      <c r="B215" s="3" t="s">
        <v>1</v>
      </c>
      <c r="C215" s="3" t="s">
        <v>216</v>
      </c>
      <c r="D215" s="5">
        <v>2.0515565E8</v>
      </c>
      <c r="E215" s="4"/>
      <c r="F215" s="5" t="s">
        <v>3</v>
      </c>
      <c r="G215" s="4">
        <v>3.0341094030999994E8</v>
      </c>
      <c r="H215" s="4"/>
      <c r="I215" s="6"/>
    </row>
    <row r="216">
      <c r="A216" s="1">
        <v>46215.0</v>
      </c>
      <c r="B216" s="3" t="s">
        <v>1</v>
      </c>
      <c r="C216" s="3" t="s">
        <v>217</v>
      </c>
      <c r="D216" s="5">
        <v>3.75E7</v>
      </c>
      <c r="E216" s="4"/>
      <c r="F216" s="5" t="s">
        <v>3</v>
      </c>
      <c r="G216" s="4">
        <v>2.6591094030999994E8</v>
      </c>
      <c r="H216" s="5">
        <v>2.6591094031E8</v>
      </c>
      <c r="I216" s="6"/>
    </row>
    <row r="217">
      <c r="A217" s="1">
        <v>46216.0</v>
      </c>
      <c r="B217" s="3" t="s">
        <v>1</v>
      </c>
      <c r="C217" s="3" t="s">
        <v>218</v>
      </c>
      <c r="D217" s="5">
        <v>1.0E8</v>
      </c>
      <c r="E217" s="4"/>
      <c r="F217" s="5" t="s">
        <v>3</v>
      </c>
      <c r="G217" s="4">
        <v>1.6591094030999994E8</v>
      </c>
      <c r="H217" s="5">
        <v>1.6591094031E8</v>
      </c>
      <c r="I217" s="6" t="s">
        <v>41</v>
      </c>
    </row>
    <row r="218">
      <c r="A218" s="1">
        <v>46216.0</v>
      </c>
      <c r="B218" s="3" t="s">
        <v>1</v>
      </c>
      <c r="C218" s="3" t="s">
        <v>219</v>
      </c>
      <c r="D218" s="5">
        <v>3708540.0</v>
      </c>
      <c r="E218" s="4"/>
      <c r="F218" s="5" t="s">
        <v>3</v>
      </c>
      <c r="G218" s="4">
        <v>1.6220240030999994E8</v>
      </c>
      <c r="H218" s="4"/>
      <c r="I218" s="6" t="s">
        <v>41</v>
      </c>
    </row>
    <row r="219">
      <c r="A219" s="1">
        <v>46216.0</v>
      </c>
      <c r="B219" s="3" t="s">
        <v>1</v>
      </c>
      <c r="C219" s="3" t="s">
        <v>220</v>
      </c>
      <c r="D219" s="5">
        <v>3786000.0</v>
      </c>
      <c r="E219" s="4"/>
      <c r="F219" s="5" t="s">
        <v>3</v>
      </c>
      <c r="G219" s="4">
        <v>1.5841640030999994E8</v>
      </c>
      <c r="H219" s="4"/>
      <c r="I219" s="6"/>
    </row>
    <row r="220">
      <c r="A220" s="1">
        <v>46216.0</v>
      </c>
      <c r="B220" s="3" t="s">
        <v>1</v>
      </c>
      <c r="C220" s="3" t="s">
        <v>221</v>
      </c>
      <c r="D220" s="5">
        <v>5802850.0</v>
      </c>
      <c r="E220" s="4"/>
      <c r="F220" s="5" t="s">
        <v>3</v>
      </c>
      <c r="G220" s="4">
        <v>1.5261355030999994E8</v>
      </c>
      <c r="H220" s="4"/>
      <c r="I220" s="6" t="s">
        <v>41</v>
      </c>
    </row>
    <row r="221">
      <c r="A221" s="1">
        <v>46216.0</v>
      </c>
      <c r="B221" s="3" t="s">
        <v>1</v>
      </c>
      <c r="C221" s="3" t="s">
        <v>222</v>
      </c>
      <c r="D221" s="5">
        <v>1917550.0</v>
      </c>
      <c r="E221" s="4"/>
      <c r="F221" s="5" t="s">
        <v>3</v>
      </c>
      <c r="G221" s="4">
        <v>1.5069600030999994E8</v>
      </c>
      <c r="H221" s="4"/>
      <c r="I221" s="6"/>
    </row>
    <row r="222">
      <c r="A222" s="1">
        <v>46216.0</v>
      </c>
      <c r="B222" s="3" t="s">
        <v>1</v>
      </c>
      <c r="C222" s="3" t="s">
        <v>223</v>
      </c>
      <c r="D222" s="5">
        <v>4.797905E7</v>
      </c>
      <c r="E222" s="4"/>
      <c r="F222" s="5" t="s">
        <v>3</v>
      </c>
      <c r="G222" s="4">
        <v>1.0271695030999994E8</v>
      </c>
      <c r="H222" s="4"/>
      <c r="I222" s="6" t="s">
        <v>41</v>
      </c>
    </row>
    <row r="223">
      <c r="A223" s="1">
        <v>46216.0</v>
      </c>
      <c r="B223" s="3" t="s">
        <v>1</v>
      </c>
      <c r="C223" s="3" t="s">
        <v>224</v>
      </c>
      <c r="D223" s="5">
        <v>852735.0</v>
      </c>
      <c r="E223" s="4"/>
      <c r="F223" s="5" t="s">
        <v>3</v>
      </c>
      <c r="G223" s="4">
        <v>1.0186421530999994E8</v>
      </c>
      <c r="H223" s="4"/>
      <c r="I223" s="6"/>
    </row>
    <row r="224">
      <c r="A224" s="1">
        <v>46216.0</v>
      </c>
      <c r="B224" s="3" t="s">
        <v>6</v>
      </c>
      <c r="C224" s="3" t="s">
        <v>7</v>
      </c>
      <c r="D224" s="5">
        <v>70000.0</v>
      </c>
      <c r="E224" s="4"/>
      <c r="F224" s="5" t="s">
        <v>3</v>
      </c>
      <c r="G224" s="4">
        <v>1.0179421530999994E8</v>
      </c>
      <c r="H224" s="4"/>
      <c r="I224" s="6"/>
    </row>
    <row r="225">
      <c r="A225" s="1">
        <v>46216.0</v>
      </c>
      <c r="B225" s="3" t="s">
        <v>6</v>
      </c>
      <c r="C225" s="3" t="s">
        <v>9</v>
      </c>
      <c r="D225" s="5">
        <v>2500.0</v>
      </c>
      <c r="E225" s="4"/>
      <c r="F225" s="5" t="s">
        <v>3</v>
      </c>
      <c r="G225" s="4">
        <v>1.0179171530999994E8</v>
      </c>
      <c r="H225" s="4"/>
      <c r="I225" s="6"/>
    </row>
    <row r="226">
      <c r="A226" s="1">
        <v>46216.0</v>
      </c>
      <c r="B226" s="3" t="s">
        <v>14</v>
      </c>
      <c r="C226" s="3" t="s">
        <v>225</v>
      </c>
      <c r="D226" s="5"/>
      <c r="E226" s="5">
        <v>7.58427E7</v>
      </c>
      <c r="F226" s="5" t="s">
        <v>16</v>
      </c>
      <c r="G226" s="4">
        <v>1.7763441530999994E8</v>
      </c>
      <c r="H226" s="4"/>
      <c r="I226" s="6"/>
    </row>
    <row r="227">
      <c r="A227" s="1">
        <v>46216.0</v>
      </c>
      <c r="B227" s="3" t="s">
        <v>1</v>
      </c>
      <c r="C227" s="3" t="s">
        <v>226</v>
      </c>
      <c r="D227" s="5">
        <v>9.20851E7</v>
      </c>
      <c r="E227" s="4"/>
      <c r="F227" s="5" t="s">
        <v>3</v>
      </c>
      <c r="G227" s="4">
        <v>8.554931530999994E7</v>
      </c>
      <c r="H227" s="4"/>
      <c r="I227" s="6"/>
    </row>
    <row r="228">
      <c r="A228" s="1">
        <v>46216.0</v>
      </c>
      <c r="B228" s="3" t="s">
        <v>1</v>
      </c>
      <c r="C228" s="3" t="s">
        <v>227</v>
      </c>
      <c r="D228" s="5">
        <v>1.786763E7</v>
      </c>
      <c r="E228" s="4"/>
      <c r="F228" s="5" t="s">
        <v>3</v>
      </c>
      <c r="G228" s="4">
        <v>6.768168530999994E7</v>
      </c>
      <c r="H228" s="4"/>
      <c r="I228" s="6"/>
    </row>
    <row r="229">
      <c r="A229" s="1">
        <v>46216.0</v>
      </c>
      <c r="B229" s="3" t="s">
        <v>14</v>
      </c>
      <c r="C229" s="3" t="s">
        <v>228</v>
      </c>
      <c r="D229" s="5"/>
      <c r="E229" s="5">
        <v>1.1695216E8</v>
      </c>
      <c r="F229" s="5" t="s">
        <v>16</v>
      </c>
      <c r="G229" s="4">
        <v>1.8463384530999994E8</v>
      </c>
      <c r="H229" s="5">
        <v>1.8463384531E8</v>
      </c>
      <c r="I229" s="6" t="s">
        <v>41</v>
      </c>
    </row>
    <row r="230">
      <c r="A230" s="1">
        <v>46216.0</v>
      </c>
      <c r="B230" s="3" t="s">
        <v>14</v>
      </c>
      <c r="C230" s="3" t="s">
        <v>229</v>
      </c>
      <c r="D230" s="5"/>
      <c r="E230" s="5">
        <v>6.5088072E8</v>
      </c>
      <c r="F230" s="5" t="s">
        <v>16</v>
      </c>
      <c r="G230" s="4">
        <v>8.3551456531E8</v>
      </c>
      <c r="H230" s="5">
        <v>8.3551456531E8</v>
      </c>
      <c r="I230" s="6" t="s">
        <v>41</v>
      </c>
    </row>
    <row r="231">
      <c r="A231" s="1">
        <v>46216.0</v>
      </c>
      <c r="B231" s="3" t="s">
        <v>100</v>
      </c>
      <c r="C231" s="3" t="s">
        <v>230</v>
      </c>
      <c r="D231" s="5">
        <v>86900.0</v>
      </c>
      <c r="E231" s="4"/>
      <c r="F231" s="4"/>
      <c r="G231" s="4">
        <v>8.3542766531E8</v>
      </c>
      <c r="H231" s="4"/>
      <c r="I231" s="6" t="s">
        <v>41</v>
      </c>
    </row>
    <row r="232">
      <c r="A232" s="1">
        <v>46216.0</v>
      </c>
      <c r="B232" s="3" t="s">
        <v>1</v>
      </c>
      <c r="C232" s="3" t="s">
        <v>231</v>
      </c>
      <c r="D232" s="5">
        <v>3.16E7</v>
      </c>
      <c r="E232" s="4"/>
      <c r="F232" s="5" t="s">
        <v>3</v>
      </c>
      <c r="G232" s="4">
        <v>8.0382766531E8</v>
      </c>
      <c r="H232" s="4"/>
      <c r="I232" s="6" t="s">
        <v>41</v>
      </c>
    </row>
    <row r="233">
      <c r="A233" s="1">
        <v>46216.0</v>
      </c>
      <c r="B233" s="3" t="s">
        <v>1</v>
      </c>
      <c r="C233" s="3" t="s">
        <v>232</v>
      </c>
      <c r="D233" s="5">
        <v>4800000.0</v>
      </c>
      <c r="E233" s="4"/>
      <c r="F233" s="5" t="s">
        <v>3</v>
      </c>
      <c r="G233" s="4">
        <v>7.9902766531E8</v>
      </c>
      <c r="H233" s="4"/>
      <c r="I233" s="6" t="s">
        <v>41</v>
      </c>
    </row>
    <row r="234">
      <c r="A234" s="1">
        <v>46216.0</v>
      </c>
      <c r="B234" s="3" t="s">
        <v>1</v>
      </c>
      <c r="C234" s="3" t="s">
        <v>233</v>
      </c>
      <c r="D234" s="5">
        <v>3.965583E8</v>
      </c>
      <c r="E234" s="4"/>
      <c r="F234" s="5" t="s">
        <v>3</v>
      </c>
      <c r="G234" s="4">
        <v>4.0246936530999994E8</v>
      </c>
      <c r="H234" s="4"/>
      <c r="I234" s="6" t="s">
        <v>41</v>
      </c>
    </row>
    <row r="235">
      <c r="A235" s="1">
        <v>46216.0</v>
      </c>
      <c r="B235" s="3" t="s">
        <v>1</v>
      </c>
      <c r="C235" s="3" t="s">
        <v>234</v>
      </c>
      <c r="D235" s="5">
        <v>1.029496E8</v>
      </c>
      <c r="E235" s="4"/>
      <c r="F235" s="5" t="s">
        <v>3</v>
      </c>
      <c r="G235" s="4">
        <v>2.9951976530999994E8</v>
      </c>
      <c r="H235" s="4"/>
      <c r="I235" s="6" t="s">
        <v>41</v>
      </c>
    </row>
    <row r="236">
      <c r="A236" s="1">
        <v>46216.0</v>
      </c>
      <c r="B236" s="3" t="s">
        <v>100</v>
      </c>
      <c r="C236" s="3" t="s">
        <v>230</v>
      </c>
      <c r="D236" s="5">
        <v>104500.0</v>
      </c>
      <c r="E236" s="4"/>
      <c r="F236" s="4"/>
      <c r="G236" s="4">
        <v>2.9941526530999994E8</v>
      </c>
      <c r="H236" s="4"/>
      <c r="I236" s="6"/>
    </row>
    <row r="237">
      <c r="A237" s="1">
        <v>46216.0</v>
      </c>
      <c r="B237" s="3" t="s">
        <v>14</v>
      </c>
      <c r="C237" s="3" t="s">
        <v>235</v>
      </c>
      <c r="D237" s="5"/>
      <c r="E237" s="5">
        <v>9.00895E7</v>
      </c>
      <c r="F237" s="5" t="s">
        <v>16</v>
      </c>
      <c r="G237" s="4">
        <v>3.8950476530999994E8</v>
      </c>
      <c r="H237" s="4"/>
      <c r="I237" s="6"/>
    </row>
    <row r="238">
      <c r="A238" s="1">
        <v>46216.0</v>
      </c>
      <c r="B238" s="3" t="s">
        <v>1</v>
      </c>
      <c r="C238" s="3" t="s">
        <v>236</v>
      </c>
      <c r="D238" s="5">
        <v>2.0E7</v>
      </c>
      <c r="E238" s="4"/>
      <c r="F238" s="5" t="s">
        <v>3</v>
      </c>
      <c r="G238" s="4">
        <v>3.6950476530999994E8</v>
      </c>
      <c r="H238" s="4"/>
      <c r="I238" s="6"/>
    </row>
    <row r="239">
      <c r="A239" s="1">
        <v>46216.0</v>
      </c>
      <c r="B239" s="3" t="s">
        <v>100</v>
      </c>
      <c r="C239" s="3" t="s">
        <v>237</v>
      </c>
      <c r="D239" s="5">
        <v>131000.0</v>
      </c>
      <c r="E239" s="4"/>
      <c r="F239" s="4"/>
      <c r="G239" s="4">
        <v>3.6937376530999994E8</v>
      </c>
      <c r="H239" s="4"/>
      <c r="I239" s="6"/>
    </row>
    <row r="240">
      <c r="A240" s="1">
        <v>46216.0</v>
      </c>
      <c r="B240" s="3" t="s">
        <v>1</v>
      </c>
      <c r="C240" s="3" t="s">
        <v>238</v>
      </c>
      <c r="D240" s="5">
        <v>1500000.0</v>
      </c>
      <c r="E240" s="4"/>
      <c r="F240" s="5" t="s">
        <v>3</v>
      </c>
      <c r="G240" s="4">
        <v>3.6787376530999994E8</v>
      </c>
      <c r="H240" s="4"/>
      <c r="I240" s="6" t="s">
        <v>11</v>
      </c>
    </row>
    <row r="241">
      <c r="A241" s="1">
        <v>46216.0</v>
      </c>
      <c r="B241" s="3" t="s">
        <v>1</v>
      </c>
      <c r="C241" s="3" t="s">
        <v>239</v>
      </c>
      <c r="D241" s="5">
        <v>6.72E7</v>
      </c>
      <c r="E241" s="4"/>
      <c r="F241" s="5" t="s">
        <v>3</v>
      </c>
      <c r="G241" s="4">
        <v>3.0067376530999994E8</v>
      </c>
      <c r="H241" s="5">
        <v>3.0067376531E8</v>
      </c>
      <c r="I241" s="6"/>
    </row>
    <row r="242">
      <c r="A242" s="1">
        <v>46217.0</v>
      </c>
      <c r="B242" s="3" t="s">
        <v>240</v>
      </c>
      <c r="C242" s="3" t="s">
        <v>241</v>
      </c>
      <c r="D242" s="5">
        <v>1900000.0</v>
      </c>
      <c r="E242" s="4"/>
      <c r="F242" s="5" t="s">
        <v>3</v>
      </c>
      <c r="G242" s="4">
        <v>2.9877376530999994E8</v>
      </c>
      <c r="H242" s="4"/>
      <c r="I242" s="6"/>
    </row>
    <row r="243">
      <c r="A243" s="1">
        <v>46217.0</v>
      </c>
      <c r="B243" s="3" t="s">
        <v>240</v>
      </c>
      <c r="C243" s="3" t="s">
        <v>242</v>
      </c>
      <c r="D243" s="5">
        <v>500000.0</v>
      </c>
      <c r="E243" s="4"/>
      <c r="F243" s="5" t="s">
        <v>3</v>
      </c>
      <c r="G243" s="4">
        <v>2.9827376530999994E8</v>
      </c>
      <c r="H243" s="5">
        <v>2.9827376531E8</v>
      </c>
      <c r="I243" s="6"/>
    </row>
    <row r="244">
      <c r="A244" s="1">
        <v>46217.0</v>
      </c>
      <c r="B244" s="3" t="s">
        <v>240</v>
      </c>
      <c r="C244" s="3" t="s">
        <v>243</v>
      </c>
      <c r="D244" s="5">
        <v>2078740.0</v>
      </c>
      <c r="E244" s="4"/>
      <c r="F244" s="5" t="s">
        <v>3</v>
      </c>
      <c r="G244" s="4">
        <v>2.9619502530999994E8</v>
      </c>
      <c r="H244" s="5">
        <v>2.9619502531E8</v>
      </c>
      <c r="I244" s="6" t="s">
        <v>41</v>
      </c>
    </row>
    <row r="245">
      <c r="A245" s="1">
        <v>46217.0</v>
      </c>
      <c r="B245" s="3" t="s">
        <v>240</v>
      </c>
      <c r="C245" s="3" t="s">
        <v>244</v>
      </c>
      <c r="D245" s="5">
        <v>6.52536E7</v>
      </c>
      <c r="E245" s="4"/>
      <c r="F245" s="5" t="s">
        <v>3</v>
      </c>
      <c r="G245" s="4">
        <v>2.3094142530999994E8</v>
      </c>
      <c r="H245" s="4"/>
      <c r="I245" s="6"/>
    </row>
    <row r="246">
      <c r="A246" s="1">
        <v>46217.0</v>
      </c>
      <c r="B246" s="3" t="s">
        <v>245</v>
      </c>
      <c r="C246" s="3" t="s">
        <v>246</v>
      </c>
      <c r="D246" s="5"/>
      <c r="E246" s="5">
        <v>5.0143522E8</v>
      </c>
      <c r="F246" s="5" t="s">
        <v>16</v>
      </c>
      <c r="G246" s="4">
        <v>7.3237664531E8</v>
      </c>
      <c r="H246" s="4"/>
      <c r="I246" s="6"/>
    </row>
    <row r="247">
      <c r="A247" s="1">
        <v>46217.0</v>
      </c>
      <c r="B247" s="3" t="s">
        <v>1</v>
      </c>
      <c r="C247" s="3" t="s">
        <v>247</v>
      </c>
      <c r="D247" s="5">
        <v>1.4596108E8</v>
      </c>
      <c r="E247" s="4"/>
      <c r="F247" s="5" t="s">
        <v>3</v>
      </c>
      <c r="G247" s="4">
        <v>5.8641556531E8</v>
      </c>
      <c r="H247" s="4"/>
      <c r="I247" s="6"/>
    </row>
    <row r="248">
      <c r="A248" s="1">
        <v>46217.0</v>
      </c>
      <c r="B248" s="3" t="s">
        <v>1</v>
      </c>
      <c r="C248" s="3" t="s">
        <v>248</v>
      </c>
      <c r="D248" s="5">
        <v>8.0E7</v>
      </c>
      <c r="E248" s="4"/>
      <c r="F248" s="5" t="s">
        <v>3</v>
      </c>
      <c r="G248" s="4">
        <v>5.0641556530999994E8</v>
      </c>
      <c r="H248" s="4"/>
      <c r="I248" s="6"/>
    </row>
    <row r="249">
      <c r="A249" s="1">
        <v>46217.0</v>
      </c>
      <c r="B249" s="3" t="s">
        <v>1</v>
      </c>
      <c r="C249" s="3" t="s">
        <v>249</v>
      </c>
      <c r="D249" s="5">
        <v>2.1374212E8</v>
      </c>
      <c r="E249" s="4"/>
      <c r="F249" s="5" t="s">
        <v>3</v>
      </c>
      <c r="G249" s="4">
        <v>2.9267344530999994E8</v>
      </c>
      <c r="H249" s="4"/>
      <c r="I249" s="6"/>
    </row>
    <row r="250">
      <c r="A250" s="1">
        <v>46217.0</v>
      </c>
      <c r="B250" s="3" t="s">
        <v>1</v>
      </c>
      <c r="C250" s="3" t="s">
        <v>250</v>
      </c>
      <c r="D250" s="5">
        <v>5.97976E7</v>
      </c>
      <c r="E250" s="4"/>
      <c r="F250" s="5" t="s">
        <v>3</v>
      </c>
      <c r="G250" s="4">
        <v>2.3287584530999994E8</v>
      </c>
      <c r="H250" s="4"/>
      <c r="I250" s="6"/>
    </row>
    <row r="251">
      <c r="A251" s="1">
        <v>46217.0</v>
      </c>
      <c r="B251" s="3" t="s">
        <v>1</v>
      </c>
      <c r="C251" s="3" t="s">
        <v>251</v>
      </c>
      <c r="D251" s="5">
        <v>9.35E7</v>
      </c>
      <c r="E251" s="4"/>
      <c r="F251" s="5" t="s">
        <v>3</v>
      </c>
      <c r="G251" s="4">
        <v>1.3937584530999994E8</v>
      </c>
      <c r="H251" s="4"/>
      <c r="I251" s="6"/>
    </row>
    <row r="252">
      <c r="A252" s="1">
        <v>46217.0</v>
      </c>
      <c r="B252" s="3" t="s">
        <v>1</v>
      </c>
      <c r="C252" s="3" t="s">
        <v>252</v>
      </c>
      <c r="D252" s="5">
        <v>1665800.0</v>
      </c>
      <c r="E252" s="4"/>
      <c r="F252" s="5" t="s">
        <v>3</v>
      </c>
      <c r="G252" s="4">
        <v>1.3771004530999994E8</v>
      </c>
      <c r="H252" s="4"/>
      <c r="I252" s="6"/>
    </row>
    <row r="253">
      <c r="A253" s="1">
        <v>46217.0</v>
      </c>
      <c r="B253" s="3" t="s">
        <v>1</v>
      </c>
      <c r="C253" s="3" t="s">
        <v>253</v>
      </c>
      <c r="D253" s="5">
        <v>200000.0</v>
      </c>
      <c r="E253" s="4"/>
      <c r="F253" s="5" t="s">
        <v>3</v>
      </c>
      <c r="G253" s="4">
        <v>1.3751004530999994E8</v>
      </c>
      <c r="H253" s="4"/>
      <c r="I253" s="6"/>
    </row>
    <row r="254">
      <c r="A254" s="1">
        <v>46217.0</v>
      </c>
      <c r="B254" s="3" t="s">
        <v>1</v>
      </c>
      <c r="C254" s="3" t="s">
        <v>254</v>
      </c>
      <c r="D254" s="5">
        <v>1.147592E8</v>
      </c>
      <c r="E254" s="4"/>
      <c r="F254" s="5" t="s">
        <v>3</v>
      </c>
      <c r="G254" s="4">
        <v>2.2750845309999943E7</v>
      </c>
      <c r="H254" s="4"/>
      <c r="I254" s="6"/>
    </row>
    <row r="255">
      <c r="A255" s="1">
        <v>46217.0</v>
      </c>
      <c r="B255" s="3" t="s">
        <v>14</v>
      </c>
      <c r="C255" s="3" t="s">
        <v>255</v>
      </c>
      <c r="D255" s="5"/>
      <c r="E255" s="5">
        <v>6.36882527E8</v>
      </c>
      <c r="F255" s="5" t="s">
        <v>16</v>
      </c>
      <c r="G255" s="4">
        <v>6.5963337231E8</v>
      </c>
      <c r="H255" s="4"/>
      <c r="I255" s="6"/>
    </row>
    <row r="256">
      <c r="A256" s="8">
        <v>46217.0</v>
      </c>
      <c r="B256" s="9" t="s">
        <v>14</v>
      </c>
      <c r="C256" s="9" t="s">
        <v>256</v>
      </c>
      <c r="D256" s="10"/>
      <c r="E256" s="10">
        <v>1.497838E8</v>
      </c>
      <c r="F256" s="10" t="s">
        <v>16</v>
      </c>
      <c r="G256" s="11">
        <v>8.0941717231E8</v>
      </c>
      <c r="H256" s="10">
        <v>8.0941717231E8</v>
      </c>
      <c r="I256" s="6"/>
    </row>
    <row r="257">
      <c r="A257" s="1">
        <v>46217.0</v>
      </c>
      <c r="B257" s="3" t="s">
        <v>257</v>
      </c>
      <c r="C257" s="3" t="s">
        <v>258</v>
      </c>
      <c r="D257" s="5"/>
      <c r="E257" s="5">
        <v>6.18E7</v>
      </c>
      <c r="F257" s="4"/>
      <c r="G257" s="4">
        <v>8.7121717231E8</v>
      </c>
      <c r="H257" s="5">
        <v>8.7121717231E8</v>
      </c>
      <c r="I257" s="6"/>
    </row>
    <row r="258">
      <c r="A258" s="1">
        <v>46217.0</v>
      </c>
      <c r="B258" s="3" t="s">
        <v>14</v>
      </c>
      <c r="C258" s="3" t="s">
        <v>259</v>
      </c>
      <c r="D258" s="5"/>
      <c r="E258" s="5">
        <v>2.9458956E8</v>
      </c>
      <c r="F258" s="5" t="s">
        <v>16</v>
      </c>
      <c r="G258" s="4">
        <v>1.16580673231E9</v>
      </c>
      <c r="H258" s="4"/>
      <c r="I258" s="6"/>
    </row>
    <row r="259">
      <c r="A259" s="1">
        <v>46217.0</v>
      </c>
      <c r="B259" s="3" t="s">
        <v>14</v>
      </c>
      <c r="C259" s="3" t="s">
        <v>260</v>
      </c>
      <c r="D259" s="5"/>
      <c r="E259" s="5">
        <v>5.0E7</v>
      </c>
      <c r="F259" s="5" t="s">
        <v>16</v>
      </c>
      <c r="G259" s="4">
        <v>1.21580673231E9</v>
      </c>
      <c r="H259" s="4"/>
      <c r="I259" s="6"/>
    </row>
    <row r="260">
      <c r="A260" s="1">
        <v>46217.0</v>
      </c>
      <c r="B260" s="3" t="s">
        <v>100</v>
      </c>
      <c r="C260" s="3" t="s">
        <v>230</v>
      </c>
      <c r="D260" s="5">
        <v>205800.0</v>
      </c>
      <c r="E260" s="4"/>
      <c r="F260" s="4"/>
      <c r="G260" s="4">
        <v>1.21560093231E9</v>
      </c>
      <c r="H260" s="4"/>
      <c r="I260" s="6"/>
    </row>
    <row r="261">
      <c r="A261" s="1">
        <v>46217.0</v>
      </c>
      <c r="B261" s="3" t="s">
        <v>1</v>
      </c>
      <c r="C261" s="3" t="s">
        <v>261</v>
      </c>
      <c r="D261" s="5">
        <v>1.5E7</v>
      </c>
      <c r="E261" s="4"/>
      <c r="F261" s="5" t="s">
        <v>3</v>
      </c>
      <c r="G261" s="4">
        <v>1.20060093231E9</v>
      </c>
      <c r="H261" s="4"/>
      <c r="I261" s="6" t="s">
        <v>8</v>
      </c>
    </row>
    <row r="262">
      <c r="A262" s="1">
        <v>46217.0</v>
      </c>
      <c r="B262" s="3" t="s">
        <v>1</v>
      </c>
      <c r="C262" s="3" t="s">
        <v>262</v>
      </c>
      <c r="D262" s="5">
        <v>6.742905E7</v>
      </c>
      <c r="E262" s="4"/>
      <c r="F262" s="5" t="s">
        <v>3</v>
      </c>
      <c r="G262" s="4">
        <v>1.13317188231E9</v>
      </c>
      <c r="H262" s="4"/>
      <c r="I262" s="6" t="s">
        <v>8</v>
      </c>
    </row>
    <row r="263">
      <c r="A263" s="1">
        <v>46217.0</v>
      </c>
      <c r="B263" s="3" t="s">
        <v>1</v>
      </c>
      <c r="C263" s="3" t="s">
        <v>263</v>
      </c>
      <c r="D263" s="5">
        <v>2484260.0</v>
      </c>
      <c r="E263" s="4"/>
      <c r="F263" s="5" t="s">
        <v>3</v>
      </c>
      <c r="G263" s="4">
        <v>1.13068762231E9</v>
      </c>
      <c r="H263" s="4"/>
      <c r="I263" s="6" t="s">
        <v>8</v>
      </c>
    </row>
    <row r="264">
      <c r="A264" s="1">
        <v>46217.0</v>
      </c>
      <c r="B264" s="3" t="s">
        <v>1</v>
      </c>
      <c r="C264" s="3" t="s">
        <v>264</v>
      </c>
      <c r="D264" s="5">
        <v>4073700.0</v>
      </c>
      <c r="E264" s="4"/>
      <c r="F264" s="5" t="s">
        <v>3</v>
      </c>
      <c r="G264" s="4">
        <v>1.12661392231E9</v>
      </c>
      <c r="H264" s="4"/>
      <c r="I264" s="6" t="s">
        <v>8</v>
      </c>
    </row>
    <row r="265">
      <c r="A265" s="1">
        <v>46217.0</v>
      </c>
      <c r="B265" s="3" t="s">
        <v>14</v>
      </c>
      <c r="C265" s="3" t="s">
        <v>265</v>
      </c>
      <c r="D265" s="5"/>
      <c r="E265" s="5">
        <v>5.4986241E8</v>
      </c>
      <c r="F265" s="5" t="s">
        <v>16</v>
      </c>
      <c r="G265" s="4">
        <v>1.67647633231E9</v>
      </c>
      <c r="H265" s="4"/>
      <c r="I265" s="6" t="s">
        <v>8</v>
      </c>
    </row>
    <row r="266">
      <c r="A266" s="1">
        <v>46217.0</v>
      </c>
      <c r="B266" s="3" t="s">
        <v>1</v>
      </c>
      <c r="C266" s="3" t="s">
        <v>266</v>
      </c>
      <c r="D266" s="5">
        <v>2200000.0</v>
      </c>
      <c r="E266" s="4"/>
      <c r="F266" s="5" t="s">
        <v>3</v>
      </c>
      <c r="G266" s="4">
        <v>1.67427633231E9</v>
      </c>
      <c r="H266" s="4"/>
      <c r="I266" s="6" t="s">
        <v>8</v>
      </c>
    </row>
    <row r="267">
      <c r="A267" s="1">
        <v>46217.0</v>
      </c>
      <c r="B267" s="3" t="s">
        <v>1</v>
      </c>
      <c r="C267" s="3" t="s">
        <v>267</v>
      </c>
      <c r="D267" s="5">
        <v>1736500.0</v>
      </c>
      <c r="E267" s="4"/>
      <c r="F267" s="5" t="s">
        <v>3</v>
      </c>
      <c r="G267" s="4">
        <v>1.67253983231E9</v>
      </c>
      <c r="H267" s="5">
        <v>1.67253983231E9</v>
      </c>
      <c r="I267" s="6" t="s">
        <v>11</v>
      </c>
    </row>
    <row r="268">
      <c r="A268" s="1">
        <v>46218.0</v>
      </c>
      <c r="B268" s="3" t="s">
        <v>268</v>
      </c>
      <c r="C268" s="3" t="s">
        <v>269</v>
      </c>
      <c r="D268" s="5">
        <v>5080800.0</v>
      </c>
      <c r="E268" s="4"/>
      <c r="F268" s="5" t="s">
        <v>3</v>
      </c>
      <c r="G268" s="4">
        <v>1.66745903231E9</v>
      </c>
      <c r="H268" s="4"/>
      <c r="I268" s="6" t="s">
        <v>8</v>
      </c>
    </row>
    <row r="269">
      <c r="A269" s="1">
        <v>46218.0</v>
      </c>
      <c r="B269" s="3" t="s">
        <v>1</v>
      </c>
      <c r="C269" s="3" t="s">
        <v>270</v>
      </c>
      <c r="D269" s="5">
        <v>3.0E8</v>
      </c>
      <c r="E269" s="4"/>
      <c r="F269" s="5" t="s">
        <v>3</v>
      </c>
      <c r="G269" s="4">
        <v>1.36745903231E9</v>
      </c>
      <c r="H269" s="4"/>
      <c r="I269" s="6" t="s">
        <v>8</v>
      </c>
    </row>
    <row r="270">
      <c r="A270" s="1">
        <v>46218.0</v>
      </c>
      <c r="B270" s="3" t="s">
        <v>1</v>
      </c>
      <c r="C270" s="3" t="s">
        <v>271</v>
      </c>
      <c r="D270" s="5">
        <v>1.5945615E8</v>
      </c>
      <c r="E270" s="4"/>
      <c r="F270" s="5" t="s">
        <v>3</v>
      </c>
      <c r="G270" s="4">
        <v>1.20800288231E9</v>
      </c>
      <c r="H270" s="5">
        <v>1.20800288231E9</v>
      </c>
      <c r="I270" s="6" t="s">
        <v>8</v>
      </c>
    </row>
    <row r="271">
      <c r="A271" s="1">
        <v>46218.0</v>
      </c>
      <c r="B271" s="3" t="s">
        <v>1</v>
      </c>
      <c r="C271" s="3" t="s">
        <v>272</v>
      </c>
      <c r="D271" s="5">
        <v>4.05E7</v>
      </c>
      <c r="E271" s="4"/>
      <c r="F271" s="5" t="s">
        <v>3</v>
      </c>
      <c r="G271" s="4">
        <v>1.16750288231E9</v>
      </c>
      <c r="H271" s="5">
        <v>1.16750288231E9</v>
      </c>
      <c r="I271" s="6" t="s">
        <v>8</v>
      </c>
    </row>
    <row r="272">
      <c r="A272" s="1">
        <v>46218.0</v>
      </c>
      <c r="B272" s="3" t="s">
        <v>1</v>
      </c>
      <c r="C272" s="3" t="s">
        <v>273</v>
      </c>
      <c r="D272" s="5">
        <v>3.0E7</v>
      </c>
      <c r="E272" s="4"/>
      <c r="F272" s="5" t="s">
        <v>3</v>
      </c>
      <c r="G272" s="4">
        <v>1.13750288231E9</v>
      </c>
      <c r="H272" s="4"/>
      <c r="I272" s="6" t="s">
        <v>8</v>
      </c>
    </row>
    <row r="273">
      <c r="A273" s="1">
        <v>46218.0</v>
      </c>
      <c r="B273" s="3" t="s">
        <v>1</v>
      </c>
      <c r="C273" s="3" t="s">
        <v>274</v>
      </c>
      <c r="D273" s="5">
        <v>1.318679E8</v>
      </c>
      <c r="E273" s="4"/>
      <c r="F273" s="5" t="s">
        <v>3</v>
      </c>
      <c r="G273" s="4">
        <v>1.00563498231E9</v>
      </c>
      <c r="H273" s="4"/>
      <c r="I273" s="6" t="s">
        <v>8</v>
      </c>
    </row>
    <row r="274">
      <c r="A274" s="1">
        <v>46218.0</v>
      </c>
      <c r="B274" s="3" t="s">
        <v>1</v>
      </c>
      <c r="C274" s="3" t="s">
        <v>275</v>
      </c>
      <c r="D274" s="5">
        <v>1.3766765E8</v>
      </c>
      <c r="E274" s="4"/>
      <c r="F274" s="5" t="s">
        <v>3</v>
      </c>
      <c r="G274" s="4">
        <v>8.6796733231E8</v>
      </c>
      <c r="H274" s="4"/>
      <c r="I274" s="6" t="s">
        <v>8</v>
      </c>
    </row>
    <row r="275">
      <c r="A275" s="1">
        <v>46218.0</v>
      </c>
      <c r="B275" s="3" t="s">
        <v>1</v>
      </c>
      <c r="C275" s="3" t="s">
        <v>276</v>
      </c>
      <c r="D275" s="5">
        <v>4.1E7</v>
      </c>
      <c r="E275" s="4"/>
      <c r="F275" s="5" t="s">
        <v>3</v>
      </c>
      <c r="G275" s="4">
        <v>8.2696733231E8</v>
      </c>
      <c r="H275" s="4"/>
      <c r="I275" s="6" t="s">
        <v>8</v>
      </c>
    </row>
    <row r="276">
      <c r="A276" s="1">
        <v>46218.0</v>
      </c>
      <c r="B276" s="3" t="s">
        <v>14</v>
      </c>
      <c r="C276" s="3" t="s">
        <v>276</v>
      </c>
      <c r="D276" s="5"/>
      <c r="E276" s="5">
        <v>4.1E7</v>
      </c>
      <c r="F276" s="5" t="s">
        <v>16</v>
      </c>
      <c r="G276" s="4">
        <v>8.6796733231E8</v>
      </c>
      <c r="H276" s="4"/>
      <c r="I276" s="6" t="s">
        <v>8</v>
      </c>
    </row>
    <row r="277">
      <c r="A277" s="1">
        <v>46218.0</v>
      </c>
      <c r="B277" s="3" t="s">
        <v>14</v>
      </c>
      <c r="C277" s="3" t="s">
        <v>277</v>
      </c>
      <c r="D277" s="5"/>
      <c r="E277" s="5">
        <v>8.778E7</v>
      </c>
      <c r="F277" s="5" t="s">
        <v>16</v>
      </c>
      <c r="G277" s="4">
        <v>9.5574733231E8</v>
      </c>
      <c r="H277" s="4"/>
      <c r="I277" s="6" t="s">
        <v>8</v>
      </c>
    </row>
    <row r="278">
      <c r="A278" s="1">
        <v>46218.0</v>
      </c>
      <c r="B278" s="3" t="s">
        <v>278</v>
      </c>
      <c r="C278" s="3" t="s">
        <v>278</v>
      </c>
      <c r="D278" s="5">
        <v>1250000.0</v>
      </c>
      <c r="E278" s="4"/>
      <c r="F278" s="4"/>
      <c r="G278" s="4">
        <v>9.5449733231E8</v>
      </c>
      <c r="H278" s="4"/>
      <c r="I278" s="6" t="s">
        <v>8</v>
      </c>
    </row>
    <row r="279">
      <c r="A279" s="1">
        <v>46218.0</v>
      </c>
      <c r="B279" s="3" t="s">
        <v>278</v>
      </c>
      <c r="C279" s="3" t="s">
        <v>278</v>
      </c>
      <c r="D279" s="5">
        <v>1250000.0</v>
      </c>
      <c r="E279" s="4"/>
      <c r="F279" s="4"/>
      <c r="G279" s="4">
        <v>9.5324733231E8</v>
      </c>
      <c r="H279" s="4"/>
      <c r="I279" s="6" t="s">
        <v>8</v>
      </c>
    </row>
    <row r="280">
      <c r="A280" s="1">
        <v>46218.0</v>
      </c>
      <c r="B280" s="3" t="s">
        <v>278</v>
      </c>
      <c r="C280" s="3" t="s">
        <v>278</v>
      </c>
      <c r="D280" s="5">
        <v>1250000.0</v>
      </c>
      <c r="E280" s="4"/>
      <c r="F280" s="4"/>
      <c r="G280" s="4">
        <v>9.5199733231E8</v>
      </c>
      <c r="H280" s="4"/>
      <c r="I280" s="6" t="s">
        <v>8</v>
      </c>
    </row>
    <row r="281">
      <c r="A281" s="1">
        <v>46218.0</v>
      </c>
      <c r="B281" s="3" t="s">
        <v>278</v>
      </c>
      <c r="C281" s="3" t="s">
        <v>278</v>
      </c>
      <c r="D281" s="5">
        <v>1250000.0</v>
      </c>
      <c r="E281" s="4"/>
      <c r="F281" s="4"/>
      <c r="G281" s="4">
        <v>9.5074733231E8</v>
      </c>
      <c r="H281" s="4"/>
      <c r="I281" s="6" t="s">
        <v>8</v>
      </c>
    </row>
    <row r="282">
      <c r="A282" s="1">
        <v>46218.0</v>
      </c>
      <c r="B282" s="3" t="s">
        <v>278</v>
      </c>
      <c r="C282" s="3" t="s">
        <v>278</v>
      </c>
      <c r="D282" s="5">
        <v>1250000.0</v>
      </c>
      <c r="E282" s="4"/>
      <c r="F282" s="4"/>
      <c r="G282" s="4">
        <v>9.4949733231E8</v>
      </c>
      <c r="H282" s="4"/>
      <c r="I282" s="6" t="s">
        <v>8</v>
      </c>
    </row>
    <row r="283">
      <c r="A283" s="1">
        <v>46218.0</v>
      </c>
      <c r="B283" s="3" t="s">
        <v>278</v>
      </c>
      <c r="C283" s="3" t="s">
        <v>278</v>
      </c>
      <c r="D283" s="5">
        <v>1250000.0</v>
      </c>
      <c r="E283" s="4"/>
      <c r="F283" s="4"/>
      <c r="G283" s="4">
        <v>9.4824733231E8</v>
      </c>
      <c r="H283" s="4"/>
      <c r="I283" s="6" t="s">
        <v>8</v>
      </c>
    </row>
    <row r="284">
      <c r="A284" s="1">
        <v>46218.0</v>
      </c>
      <c r="B284" s="3" t="s">
        <v>278</v>
      </c>
      <c r="C284" s="3" t="s">
        <v>278</v>
      </c>
      <c r="D284" s="5">
        <v>1250000.0</v>
      </c>
      <c r="E284" s="4"/>
      <c r="F284" s="4"/>
      <c r="G284" s="4">
        <v>9.4699733231E8</v>
      </c>
      <c r="H284" s="4"/>
      <c r="I284" s="6" t="s">
        <v>8</v>
      </c>
    </row>
    <row r="285">
      <c r="A285" s="1">
        <v>46218.0</v>
      </c>
      <c r="B285" s="3" t="s">
        <v>278</v>
      </c>
      <c r="C285" s="3" t="s">
        <v>278</v>
      </c>
      <c r="D285" s="5">
        <v>1250000.0</v>
      </c>
      <c r="E285" s="4"/>
      <c r="F285" s="4"/>
      <c r="G285" s="4">
        <v>9.4574733231E8</v>
      </c>
      <c r="H285" s="4"/>
      <c r="I285" s="6" t="s">
        <v>8</v>
      </c>
    </row>
    <row r="286">
      <c r="A286" s="1">
        <v>46218.0</v>
      </c>
      <c r="B286" s="3" t="s">
        <v>1</v>
      </c>
      <c r="C286" s="3" t="s">
        <v>279</v>
      </c>
      <c r="D286" s="5">
        <v>1.0E8</v>
      </c>
      <c r="E286" s="4"/>
      <c r="F286" s="5" t="s">
        <v>3</v>
      </c>
      <c r="G286" s="4">
        <v>8.4574733231E8</v>
      </c>
      <c r="H286" s="5">
        <v>8.4574733231E8</v>
      </c>
      <c r="I286" s="6" t="s">
        <v>8</v>
      </c>
    </row>
    <row r="287">
      <c r="A287" s="1">
        <v>46219.0</v>
      </c>
      <c r="B287" s="3" t="s">
        <v>280</v>
      </c>
      <c r="C287" s="3" t="s">
        <v>281</v>
      </c>
      <c r="D287" s="5"/>
      <c r="E287" s="5">
        <v>9.4447767E8</v>
      </c>
      <c r="F287" s="5" t="s">
        <v>16</v>
      </c>
      <c r="G287" s="4">
        <v>1.79022500231E9</v>
      </c>
      <c r="H287" s="4"/>
      <c r="I287" s="6" t="s">
        <v>8</v>
      </c>
    </row>
    <row r="288">
      <c r="A288" s="1">
        <v>46219.0</v>
      </c>
      <c r="B288" s="3" t="s">
        <v>1</v>
      </c>
      <c r="C288" s="3" t="s">
        <v>282</v>
      </c>
      <c r="D288" s="5">
        <v>3.132286E8</v>
      </c>
      <c r="E288" s="4"/>
      <c r="F288" s="5" t="s">
        <v>3</v>
      </c>
      <c r="G288" s="4">
        <v>1.47699640231E9</v>
      </c>
      <c r="H288" s="4"/>
      <c r="I288" s="6" t="s">
        <v>8</v>
      </c>
    </row>
    <row r="289">
      <c r="A289" s="1">
        <v>46219.0</v>
      </c>
      <c r="B289" s="3" t="s">
        <v>1</v>
      </c>
      <c r="C289" s="3" t="s">
        <v>283</v>
      </c>
      <c r="D289" s="5">
        <v>1.8677137E8</v>
      </c>
      <c r="E289" s="4"/>
      <c r="F289" s="5" t="s">
        <v>3</v>
      </c>
      <c r="G289" s="4">
        <v>1.29022503231E9</v>
      </c>
      <c r="H289" s="4"/>
      <c r="I289" s="6" t="s">
        <v>8</v>
      </c>
    </row>
    <row r="290">
      <c r="A290" s="1">
        <v>46219.0</v>
      </c>
      <c r="B290" s="3" t="s">
        <v>1</v>
      </c>
      <c r="C290" s="3" t="s">
        <v>284</v>
      </c>
      <c r="D290" s="5">
        <v>9.9872E7</v>
      </c>
      <c r="E290" s="4"/>
      <c r="F290" s="5" t="s">
        <v>3</v>
      </c>
      <c r="G290" s="4">
        <v>1.19035303231E9</v>
      </c>
      <c r="H290" s="5">
        <v>1.19035303231E9</v>
      </c>
      <c r="I290" s="6" t="s">
        <v>8</v>
      </c>
    </row>
    <row r="291">
      <c r="A291" s="1">
        <v>46219.0</v>
      </c>
      <c r="B291" s="3" t="s">
        <v>1</v>
      </c>
      <c r="C291" s="3" t="s">
        <v>285</v>
      </c>
      <c r="D291" s="5">
        <v>3.693843E7</v>
      </c>
      <c r="E291" s="4"/>
      <c r="F291" s="5" t="s">
        <v>3</v>
      </c>
      <c r="G291" s="4">
        <v>1.15341460231E9</v>
      </c>
      <c r="H291" s="5">
        <v>1.15341460231E9</v>
      </c>
      <c r="I291" s="6" t="s">
        <v>8</v>
      </c>
    </row>
    <row r="292">
      <c r="A292" s="1">
        <v>46219.0</v>
      </c>
      <c r="B292" s="3" t="s">
        <v>1</v>
      </c>
      <c r="C292" s="3" t="s">
        <v>286</v>
      </c>
      <c r="D292" s="5">
        <v>4.1E7</v>
      </c>
      <c r="E292" s="4"/>
      <c r="F292" s="5" t="s">
        <v>3</v>
      </c>
      <c r="G292" s="4">
        <v>1.11241460231E9</v>
      </c>
      <c r="H292" s="4"/>
      <c r="I292" s="6" t="s">
        <v>8</v>
      </c>
    </row>
    <row r="293">
      <c r="A293" s="1">
        <v>46219.0</v>
      </c>
      <c r="B293" s="3" t="s">
        <v>1</v>
      </c>
      <c r="C293" s="3" t="s">
        <v>287</v>
      </c>
      <c r="D293" s="5">
        <v>3652020.0</v>
      </c>
      <c r="E293" s="4"/>
      <c r="F293" s="5" t="s">
        <v>3</v>
      </c>
      <c r="G293" s="4">
        <v>1.10876258231E9</v>
      </c>
      <c r="H293" s="4"/>
      <c r="I293" s="6" t="s">
        <v>8</v>
      </c>
    </row>
    <row r="294">
      <c r="A294" s="1">
        <v>46219.0</v>
      </c>
      <c r="B294" s="3" t="s">
        <v>1</v>
      </c>
      <c r="C294" s="3" t="s">
        <v>288</v>
      </c>
      <c r="D294" s="5">
        <v>4012960.0</v>
      </c>
      <c r="E294" s="4"/>
      <c r="F294" s="5" t="s">
        <v>3</v>
      </c>
      <c r="G294" s="4">
        <v>1.10474962231E9</v>
      </c>
      <c r="H294" s="4"/>
      <c r="I294" s="6" t="s">
        <v>8</v>
      </c>
    </row>
    <row r="295">
      <c r="A295" s="1">
        <v>46219.0</v>
      </c>
      <c r="B295" s="3" t="s">
        <v>1</v>
      </c>
      <c r="C295" s="3" t="s">
        <v>289</v>
      </c>
      <c r="D295" s="5">
        <v>4545690.0</v>
      </c>
      <c r="E295" s="4"/>
      <c r="F295" s="5" t="s">
        <v>3</v>
      </c>
      <c r="G295" s="4">
        <v>1.10020393231E9</v>
      </c>
      <c r="H295" s="4"/>
      <c r="I295" s="6" t="s">
        <v>8</v>
      </c>
    </row>
    <row r="296">
      <c r="A296" s="1">
        <v>46219.0</v>
      </c>
      <c r="B296" s="3" t="s">
        <v>1</v>
      </c>
      <c r="C296" s="3" t="s">
        <v>290</v>
      </c>
      <c r="D296" s="5">
        <v>1700000.0</v>
      </c>
      <c r="E296" s="4"/>
      <c r="F296" s="5" t="s">
        <v>3</v>
      </c>
      <c r="G296" s="4">
        <v>1.09850393231E9</v>
      </c>
      <c r="H296" s="4"/>
      <c r="I296" s="6" t="s">
        <v>8</v>
      </c>
    </row>
    <row r="297">
      <c r="A297" s="1">
        <v>46219.0</v>
      </c>
      <c r="B297" s="3" t="s">
        <v>1</v>
      </c>
      <c r="C297" s="3" t="s">
        <v>291</v>
      </c>
      <c r="D297" s="5">
        <v>1.9351818E8</v>
      </c>
      <c r="E297" s="4"/>
      <c r="F297" s="5" t="s">
        <v>3</v>
      </c>
      <c r="G297" s="4">
        <v>9.0498575231E8</v>
      </c>
      <c r="H297" s="4"/>
      <c r="I297" s="6" t="s">
        <v>8</v>
      </c>
    </row>
    <row r="298">
      <c r="A298" s="1">
        <v>46219.0</v>
      </c>
      <c r="B298" s="3" t="s">
        <v>1</v>
      </c>
      <c r="C298" s="3" t="s">
        <v>292</v>
      </c>
      <c r="D298" s="5">
        <v>2500000.0</v>
      </c>
      <c r="E298" s="4"/>
      <c r="F298" s="5" t="s">
        <v>3</v>
      </c>
      <c r="G298" s="4">
        <v>9.0248575231E8</v>
      </c>
      <c r="H298" s="4"/>
      <c r="I298" s="6" t="s">
        <v>8</v>
      </c>
    </row>
    <row r="299">
      <c r="A299" s="1">
        <v>46219.0</v>
      </c>
      <c r="B299" s="3" t="s">
        <v>1</v>
      </c>
      <c r="C299" s="3" t="s">
        <v>293</v>
      </c>
      <c r="D299" s="5">
        <v>1.2E7</v>
      </c>
      <c r="E299" s="4"/>
      <c r="F299" s="5" t="s">
        <v>3</v>
      </c>
      <c r="G299" s="4">
        <v>8.9048575231E8</v>
      </c>
      <c r="H299" s="4"/>
      <c r="I299" s="6" t="s">
        <v>8</v>
      </c>
    </row>
    <row r="300">
      <c r="A300" s="1">
        <v>46219.0</v>
      </c>
      <c r="B300" s="3" t="s">
        <v>1</v>
      </c>
      <c r="C300" s="3" t="s">
        <v>294</v>
      </c>
      <c r="D300" s="5">
        <v>100000.0</v>
      </c>
      <c r="E300" s="4"/>
      <c r="F300" s="5" t="s">
        <v>3</v>
      </c>
      <c r="G300" s="4">
        <v>8.9038575231E8</v>
      </c>
      <c r="H300" s="4"/>
      <c r="I300" s="6" t="s">
        <v>8</v>
      </c>
    </row>
    <row r="301">
      <c r="A301" s="1">
        <v>46219.0</v>
      </c>
      <c r="B301" s="3" t="s">
        <v>1</v>
      </c>
      <c r="C301" s="3" t="s">
        <v>295</v>
      </c>
      <c r="D301" s="5">
        <v>6.9E7</v>
      </c>
      <c r="E301" s="4"/>
      <c r="F301" s="5" t="s">
        <v>3</v>
      </c>
      <c r="G301" s="4">
        <v>8.2138575231E8</v>
      </c>
      <c r="H301" s="5">
        <v>8.2138575231E8</v>
      </c>
      <c r="I301" s="6" t="s">
        <v>8</v>
      </c>
    </row>
    <row r="302">
      <c r="A302" s="1">
        <v>46220.0</v>
      </c>
      <c r="B302" s="3" t="s">
        <v>1</v>
      </c>
      <c r="C302" s="3" t="s">
        <v>296</v>
      </c>
      <c r="D302" s="5">
        <v>1.0E8</v>
      </c>
      <c r="E302" s="4"/>
      <c r="F302" s="5" t="s">
        <v>3</v>
      </c>
      <c r="G302" s="4">
        <v>7.2138575231E8</v>
      </c>
      <c r="H302" s="4"/>
      <c r="I302" s="6" t="s">
        <v>8</v>
      </c>
    </row>
    <row r="303">
      <c r="A303" s="1">
        <v>46220.0</v>
      </c>
      <c r="B303" s="3" t="s">
        <v>1</v>
      </c>
      <c r="C303" s="3" t="s">
        <v>297</v>
      </c>
      <c r="D303" s="5">
        <v>1.5545824E8</v>
      </c>
      <c r="E303" s="4"/>
      <c r="F303" s="5" t="s">
        <v>3</v>
      </c>
      <c r="G303" s="4">
        <v>5.6592751231E8</v>
      </c>
      <c r="H303" s="5">
        <v>5.6592751231E8</v>
      </c>
      <c r="I303" s="6" t="s">
        <v>8</v>
      </c>
    </row>
    <row r="304">
      <c r="A304" s="1">
        <v>46220.0</v>
      </c>
      <c r="B304" s="3" t="s">
        <v>1</v>
      </c>
      <c r="C304" s="3" t="s">
        <v>298</v>
      </c>
      <c r="D304" s="5">
        <v>8.42448E7</v>
      </c>
      <c r="E304" s="4"/>
      <c r="F304" s="5" t="s">
        <v>3</v>
      </c>
      <c r="G304" s="4">
        <v>4.8168271230999994E8</v>
      </c>
      <c r="H304" s="5">
        <v>4.8168271231E8</v>
      </c>
      <c r="I304" s="6" t="s">
        <v>8</v>
      </c>
    </row>
    <row r="305">
      <c r="A305" s="1">
        <v>46220.0</v>
      </c>
      <c r="B305" s="3" t="s">
        <v>1</v>
      </c>
      <c r="C305" s="3" t="s">
        <v>299</v>
      </c>
      <c r="D305" s="5">
        <v>4462000.0</v>
      </c>
      <c r="E305" s="4"/>
      <c r="F305" s="5" t="s">
        <v>3</v>
      </c>
      <c r="G305" s="4">
        <v>4.7722071230999994E8</v>
      </c>
      <c r="H305" s="4"/>
      <c r="I305" s="6" t="s">
        <v>8</v>
      </c>
    </row>
    <row r="306">
      <c r="A306" s="1">
        <v>46220.0</v>
      </c>
      <c r="B306" s="3" t="s">
        <v>1</v>
      </c>
      <c r="C306" s="3" t="s">
        <v>300</v>
      </c>
      <c r="D306" s="5">
        <v>6.9612E7</v>
      </c>
      <c r="E306" s="4"/>
      <c r="F306" s="5" t="s">
        <v>3</v>
      </c>
      <c r="G306" s="4">
        <v>4.0760871230999994E8</v>
      </c>
      <c r="H306" s="4"/>
      <c r="I306" s="6" t="s">
        <v>8</v>
      </c>
    </row>
    <row r="307">
      <c r="A307" s="1">
        <v>46220.0</v>
      </c>
      <c r="B307" s="3" t="s">
        <v>1</v>
      </c>
      <c r="C307" s="3" t="s">
        <v>301</v>
      </c>
      <c r="D307" s="5">
        <v>7.47168E7</v>
      </c>
      <c r="E307" s="4"/>
      <c r="F307" s="5" t="s">
        <v>3</v>
      </c>
      <c r="G307" s="4">
        <v>3.3289191230999994E8</v>
      </c>
      <c r="H307" s="4"/>
      <c r="I307" s="6" t="s">
        <v>8</v>
      </c>
    </row>
    <row r="308">
      <c r="A308" s="1">
        <v>46220.0</v>
      </c>
      <c r="B308" s="3" t="s">
        <v>1</v>
      </c>
      <c r="C308" s="3" t="s">
        <v>302</v>
      </c>
      <c r="D308" s="5">
        <v>1.34532E8</v>
      </c>
      <c r="E308" s="4"/>
      <c r="F308" s="5" t="s">
        <v>3</v>
      </c>
      <c r="G308" s="4">
        <v>1.9835991230999994E8</v>
      </c>
      <c r="H308" s="4"/>
      <c r="I308" s="6" t="s">
        <v>8</v>
      </c>
    </row>
    <row r="309">
      <c r="A309" s="1">
        <v>46220.0</v>
      </c>
      <c r="B309" s="3" t="s">
        <v>1</v>
      </c>
      <c r="C309" s="3" t="s">
        <v>303</v>
      </c>
      <c r="D309" s="5">
        <v>6.192E7</v>
      </c>
      <c r="E309" s="4"/>
      <c r="F309" s="5" t="s">
        <v>3</v>
      </c>
      <c r="G309" s="4">
        <v>1.3643991230999994E8</v>
      </c>
      <c r="H309" s="4"/>
      <c r="I309" s="6" t="s">
        <v>8</v>
      </c>
    </row>
    <row r="310">
      <c r="A310" s="1">
        <v>46220.0</v>
      </c>
      <c r="B310" s="3" t="s">
        <v>1</v>
      </c>
      <c r="C310" s="3" t="s">
        <v>304</v>
      </c>
      <c r="D310" s="5">
        <v>6.03E7</v>
      </c>
      <c r="E310" s="4"/>
      <c r="F310" s="5" t="s">
        <v>3</v>
      </c>
      <c r="G310" s="4">
        <v>7.613991230999994E7</v>
      </c>
      <c r="H310" s="4"/>
      <c r="I310" s="6" t="s">
        <v>8</v>
      </c>
    </row>
    <row r="311">
      <c r="A311" s="1">
        <v>46220.0</v>
      </c>
      <c r="B311" s="3" t="s">
        <v>14</v>
      </c>
      <c r="C311" s="3" t="s">
        <v>305</v>
      </c>
      <c r="D311" s="5"/>
      <c r="E311" s="5">
        <v>9.00384E7</v>
      </c>
      <c r="F311" s="5" t="s">
        <v>16</v>
      </c>
      <c r="G311" s="4">
        <v>1.6617831230999994E8</v>
      </c>
      <c r="H311" s="4"/>
      <c r="I311" s="6" t="s">
        <v>8</v>
      </c>
    </row>
    <row r="312">
      <c r="A312" s="1">
        <v>46220.0</v>
      </c>
      <c r="B312" s="3" t="s">
        <v>257</v>
      </c>
      <c r="C312" s="3" t="s">
        <v>258</v>
      </c>
      <c r="E312" s="5">
        <v>8.002925E7</v>
      </c>
      <c r="F312" s="4"/>
      <c r="G312" s="4">
        <v>2.4620756230999994E8</v>
      </c>
      <c r="H312" s="4"/>
      <c r="I312" s="6" t="s">
        <v>8</v>
      </c>
    </row>
    <row r="313">
      <c r="A313" s="1">
        <v>46220.0</v>
      </c>
      <c r="B313" s="3" t="s">
        <v>14</v>
      </c>
      <c r="C313" s="3" t="s">
        <v>306</v>
      </c>
      <c r="D313" s="5"/>
      <c r="E313" s="5">
        <v>7.427985E7</v>
      </c>
      <c r="F313" s="5" t="s">
        <v>16</v>
      </c>
      <c r="G313" s="4">
        <v>3.2048741230999994E8</v>
      </c>
      <c r="H313" s="4"/>
      <c r="I313" s="6" t="s">
        <v>8</v>
      </c>
    </row>
    <row r="314">
      <c r="A314" s="1">
        <v>46220.0</v>
      </c>
      <c r="B314" s="3" t="s">
        <v>14</v>
      </c>
      <c r="C314" s="3" t="s">
        <v>307</v>
      </c>
      <c r="D314" s="5"/>
      <c r="E314" s="5">
        <v>5.0E7</v>
      </c>
      <c r="F314" s="5" t="s">
        <v>16</v>
      </c>
      <c r="G314" s="4">
        <v>3.7048741230999994E8</v>
      </c>
      <c r="H314" s="4"/>
      <c r="I314" s="6" t="s">
        <v>8</v>
      </c>
    </row>
    <row r="315">
      <c r="A315" s="1">
        <v>46220.0</v>
      </c>
      <c r="B315" s="3" t="s">
        <v>1</v>
      </c>
      <c r="C315" s="3" t="s">
        <v>308</v>
      </c>
      <c r="D315" s="5">
        <v>1.5E7</v>
      </c>
      <c r="E315" s="4"/>
      <c r="F315" s="5" t="s">
        <v>3</v>
      </c>
      <c r="G315" s="4">
        <v>3.5548741230999994E8</v>
      </c>
      <c r="H315" s="5">
        <v>3.5548741231E8</v>
      </c>
      <c r="I315" s="6" t="s">
        <v>8</v>
      </c>
    </row>
    <row r="316">
      <c r="A316" s="1">
        <v>46220.0</v>
      </c>
      <c r="B316" s="3" t="s">
        <v>1</v>
      </c>
      <c r="C316" s="3" t="s">
        <v>309</v>
      </c>
      <c r="D316" s="5">
        <v>1000000.0</v>
      </c>
      <c r="E316" s="4"/>
      <c r="F316" s="5" t="s">
        <v>3</v>
      </c>
      <c r="G316" s="4">
        <v>3.5448741230999994E8</v>
      </c>
      <c r="H316" s="5">
        <v>3.5448741231E8</v>
      </c>
      <c r="I316" s="6" t="s">
        <v>8</v>
      </c>
    </row>
    <row r="317">
      <c r="A317" s="1">
        <v>46220.0</v>
      </c>
      <c r="B317" s="3" t="s">
        <v>310</v>
      </c>
      <c r="C317" s="3" t="s">
        <v>310</v>
      </c>
      <c r="D317" s="5">
        <v>300000.0</v>
      </c>
      <c r="E317" s="4"/>
      <c r="F317" s="4"/>
      <c r="G317" s="4">
        <v>3.5418741230999994E8</v>
      </c>
      <c r="H317" s="4"/>
      <c r="I317" s="6" t="s">
        <v>8</v>
      </c>
    </row>
    <row r="318">
      <c r="A318" s="1">
        <v>46220.0</v>
      </c>
      <c r="B318" s="3" t="s">
        <v>100</v>
      </c>
      <c r="C318" s="3" t="s">
        <v>311</v>
      </c>
      <c r="D318" s="5">
        <v>352400.0</v>
      </c>
      <c r="E318" s="4"/>
      <c r="F318" s="4"/>
      <c r="G318" s="4">
        <v>3.5383501230999994E8</v>
      </c>
      <c r="H318" s="4"/>
      <c r="I318" s="6" t="s">
        <v>8</v>
      </c>
    </row>
    <row r="319">
      <c r="A319" s="1">
        <v>46220.0</v>
      </c>
      <c r="B319" s="3" t="s">
        <v>14</v>
      </c>
      <c r="C319" s="3" t="s">
        <v>312</v>
      </c>
      <c r="D319" s="5"/>
      <c r="E319" s="5">
        <v>1.102329E7</v>
      </c>
      <c r="F319" s="5" t="s">
        <v>16</v>
      </c>
      <c r="G319" s="4">
        <v>3.6485830230999994E8</v>
      </c>
      <c r="H319" s="4"/>
      <c r="I319" s="6" t="s">
        <v>8</v>
      </c>
    </row>
    <row r="320">
      <c r="A320" s="1">
        <v>46220.0</v>
      </c>
      <c r="B320" s="3" t="s">
        <v>14</v>
      </c>
      <c r="C320" s="3" t="s">
        <v>313</v>
      </c>
      <c r="D320" s="5"/>
      <c r="E320" s="5">
        <v>8.0428261E8</v>
      </c>
      <c r="F320" s="5" t="s">
        <v>16</v>
      </c>
      <c r="G320" s="4">
        <v>1.16914091231E9</v>
      </c>
      <c r="H320" s="5">
        <v>1.16914091231E9</v>
      </c>
      <c r="I320" s="6" t="s">
        <v>8</v>
      </c>
    </row>
    <row r="321">
      <c r="A321" s="1">
        <v>46221.0</v>
      </c>
      <c r="B321" s="3" t="s">
        <v>314</v>
      </c>
      <c r="C321" s="3" t="s">
        <v>315</v>
      </c>
      <c r="D321" s="5">
        <v>7.786E7</v>
      </c>
      <c r="E321" s="4"/>
      <c r="F321" s="5" t="s">
        <v>3</v>
      </c>
      <c r="G321" s="4">
        <v>1.09128091231E9</v>
      </c>
      <c r="H321" s="4"/>
      <c r="I321" s="6" t="s">
        <v>8</v>
      </c>
    </row>
    <row r="322">
      <c r="A322" s="1">
        <v>46221.0</v>
      </c>
      <c r="B322" s="3" t="s">
        <v>1</v>
      </c>
      <c r="C322" s="3" t="s">
        <v>316</v>
      </c>
      <c r="D322" s="5">
        <v>7.557E7</v>
      </c>
      <c r="E322" s="4"/>
      <c r="F322" s="5" t="s">
        <v>3</v>
      </c>
      <c r="G322" s="4">
        <v>1.01571091231E9</v>
      </c>
      <c r="H322" s="4"/>
      <c r="I322" s="6" t="s">
        <v>8</v>
      </c>
    </row>
    <row r="323">
      <c r="A323" s="1">
        <v>46221.0</v>
      </c>
      <c r="B323" s="3" t="s">
        <v>1</v>
      </c>
      <c r="C323" s="3" t="s">
        <v>317</v>
      </c>
      <c r="D323" s="5">
        <v>1.125E8</v>
      </c>
      <c r="E323" s="4"/>
      <c r="F323" s="5" t="s">
        <v>3</v>
      </c>
      <c r="G323" s="4">
        <v>9.0321091231E8</v>
      </c>
      <c r="H323" s="4"/>
      <c r="I323" s="6" t="s">
        <v>8</v>
      </c>
    </row>
    <row r="324">
      <c r="A324" s="1">
        <v>46221.0</v>
      </c>
      <c r="B324" s="3" t="s">
        <v>1</v>
      </c>
      <c r="C324" s="3" t="s">
        <v>318</v>
      </c>
      <c r="D324" s="5">
        <v>1.0E8</v>
      </c>
      <c r="E324" s="4"/>
      <c r="F324" s="5" t="s">
        <v>3</v>
      </c>
      <c r="G324" s="4">
        <v>8.0321091231E8</v>
      </c>
      <c r="H324" s="4"/>
      <c r="I324" s="6" t="s">
        <v>8</v>
      </c>
    </row>
    <row r="325">
      <c r="A325" s="1">
        <v>46221.0</v>
      </c>
      <c r="B325" s="3" t="s">
        <v>1</v>
      </c>
      <c r="C325" s="3" t="s">
        <v>319</v>
      </c>
      <c r="D325" s="5">
        <v>2.7837858E8</v>
      </c>
      <c r="E325" s="4"/>
      <c r="F325" s="5" t="s">
        <v>3</v>
      </c>
      <c r="G325" s="4">
        <v>5.2483233230999994E8</v>
      </c>
      <c r="H325" s="4"/>
      <c r="I325" s="6" t="s">
        <v>8</v>
      </c>
    </row>
    <row r="326">
      <c r="A326" s="1">
        <v>46221.0</v>
      </c>
      <c r="B326" s="3" t="s">
        <v>1</v>
      </c>
      <c r="C326" s="3" t="s">
        <v>320</v>
      </c>
      <c r="D326" s="5">
        <v>1.4765664E8</v>
      </c>
      <c r="E326" s="4"/>
      <c r="F326" s="5" t="s">
        <v>3</v>
      </c>
      <c r="G326" s="4">
        <v>3.7717569230999994E8</v>
      </c>
      <c r="H326" s="4"/>
      <c r="I326" s="6" t="s">
        <v>8</v>
      </c>
    </row>
    <row r="327">
      <c r="A327" s="1">
        <v>46221.0</v>
      </c>
      <c r="B327" s="3" t="s">
        <v>1</v>
      </c>
      <c r="C327" s="3" t="s">
        <v>321</v>
      </c>
      <c r="D327" s="5">
        <v>7.395E7</v>
      </c>
      <c r="E327" s="4"/>
      <c r="F327" s="5" t="s">
        <v>3</v>
      </c>
      <c r="G327" s="4">
        <v>3.0322569230999994E8</v>
      </c>
      <c r="H327" s="4"/>
      <c r="I327" s="6" t="s">
        <v>8</v>
      </c>
    </row>
    <row r="328">
      <c r="A328" s="1">
        <v>46221.0</v>
      </c>
      <c r="B328" s="3" t="s">
        <v>1</v>
      </c>
      <c r="C328" s="3" t="s">
        <v>322</v>
      </c>
      <c r="D328" s="5">
        <v>8.244533E7</v>
      </c>
      <c r="E328" s="4"/>
      <c r="F328" s="5" t="s">
        <v>3</v>
      </c>
      <c r="G328" s="4">
        <v>2.2078036230999994E8</v>
      </c>
      <c r="H328" s="5">
        <v>2.2078036231E8</v>
      </c>
      <c r="I328" s="6" t="s">
        <v>8</v>
      </c>
    </row>
    <row r="329">
      <c r="A329" s="1">
        <v>46221.0</v>
      </c>
      <c r="B329" s="3" t="s">
        <v>14</v>
      </c>
      <c r="C329" s="3" t="s">
        <v>323</v>
      </c>
      <c r="D329" s="5"/>
      <c r="E329" s="5">
        <v>450000.0</v>
      </c>
      <c r="F329" s="5" t="s">
        <v>16</v>
      </c>
      <c r="G329" s="4">
        <v>2.2123036230999994E8</v>
      </c>
      <c r="H329" s="5">
        <v>2.2123036231E8</v>
      </c>
      <c r="I329" s="6" t="s">
        <v>8</v>
      </c>
    </row>
    <row r="330">
      <c r="A330" s="1">
        <v>46221.0</v>
      </c>
      <c r="B330" s="3" t="s">
        <v>14</v>
      </c>
      <c r="C330" s="3" t="s">
        <v>324</v>
      </c>
      <c r="D330" s="5"/>
      <c r="E330" s="5">
        <v>7.9331E7</v>
      </c>
      <c r="F330" s="5" t="s">
        <v>16</v>
      </c>
      <c r="G330" s="4">
        <v>3.0056136230999994E8</v>
      </c>
      <c r="H330" s="4"/>
      <c r="I330" s="6" t="s">
        <v>8</v>
      </c>
    </row>
    <row r="331">
      <c r="A331" s="1">
        <v>46221.0</v>
      </c>
      <c r="B331" s="3" t="s">
        <v>14</v>
      </c>
      <c r="C331" s="3" t="s">
        <v>325</v>
      </c>
      <c r="D331" s="5"/>
      <c r="E331" s="5">
        <v>8.2325E7</v>
      </c>
      <c r="F331" s="5" t="s">
        <v>16</v>
      </c>
      <c r="G331" s="4">
        <v>3.8288636230999994E8</v>
      </c>
      <c r="H331" s="4"/>
      <c r="I331" s="6" t="s">
        <v>8</v>
      </c>
    </row>
    <row r="332">
      <c r="A332" s="1">
        <v>46221.0</v>
      </c>
      <c r="B332" s="3" t="s">
        <v>14</v>
      </c>
      <c r="C332" s="3" t="s">
        <v>326</v>
      </c>
      <c r="D332" s="5"/>
      <c r="E332" s="5">
        <v>3.805082E7</v>
      </c>
      <c r="F332" s="5" t="s">
        <v>16</v>
      </c>
      <c r="G332" s="4">
        <v>4.2093718230999994E8</v>
      </c>
      <c r="H332" s="4"/>
      <c r="I332" s="6" t="s">
        <v>8</v>
      </c>
    </row>
    <row r="333">
      <c r="A333" s="1">
        <v>46221.0</v>
      </c>
      <c r="B333" s="3" t="s">
        <v>100</v>
      </c>
      <c r="C333" s="3" t="s">
        <v>327</v>
      </c>
      <c r="D333" s="5">
        <v>1140000.0</v>
      </c>
      <c r="E333" s="4"/>
      <c r="F333" s="4"/>
      <c r="G333" s="4">
        <v>4.1979718230999994E8</v>
      </c>
      <c r="H333" s="4"/>
      <c r="I333" s="6" t="s">
        <v>8</v>
      </c>
    </row>
    <row r="334">
      <c r="A334" s="1">
        <v>46221.0</v>
      </c>
      <c r="B334" s="3" t="s">
        <v>14</v>
      </c>
      <c r="C334" s="3" t="s">
        <v>328</v>
      </c>
      <c r="D334" s="5"/>
      <c r="E334" s="5">
        <v>600000.0</v>
      </c>
      <c r="F334" s="5" t="s">
        <v>16</v>
      </c>
      <c r="G334" s="4">
        <v>4.2039718230999994E8</v>
      </c>
      <c r="H334" s="4"/>
      <c r="I334" s="6" t="s">
        <v>8</v>
      </c>
    </row>
    <row r="335">
      <c r="A335" s="1">
        <v>46221.0</v>
      </c>
      <c r="B335" s="3" t="s">
        <v>1</v>
      </c>
      <c r="C335" s="3" t="s">
        <v>329</v>
      </c>
      <c r="D335" s="5">
        <v>600000.0</v>
      </c>
      <c r="E335" s="4"/>
      <c r="F335" s="5" t="s">
        <v>3</v>
      </c>
      <c r="G335" s="4">
        <v>4.1979718230999994E8</v>
      </c>
      <c r="H335" s="4"/>
      <c r="I335" s="6" t="s">
        <v>8</v>
      </c>
    </row>
    <row r="336">
      <c r="A336" s="1">
        <v>46221.0</v>
      </c>
      <c r="B336" s="3" t="s">
        <v>14</v>
      </c>
      <c r="C336" s="3" t="s">
        <v>330</v>
      </c>
      <c r="D336" s="5"/>
      <c r="E336" s="5">
        <v>7.6039425E7</v>
      </c>
      <c r="F336" s="5" t="s">
        <v>16</v>
      </c>
      <c r="G336" s="4">
        <v>4.9583660730999994E8</v>
      </c>
      <c r="H336" s="4"/>
      <c r="I336" s="6" t="s">
        <v>8</v>
      </c>
    </row>
    <row r="337">
      <c r="A337" s="1">
        <v>46221.0</v>
      </c>
      <c r="B337" s="3" t="s">
        <v>1</v>
      </c>
      <c r="C337" s="3" t="s">
        <v>331</v>
      </c>
      <c r="D337" s="5">
        <v>350000.0</v>
      </c>
      <c r="E337" s="4"/>
      <c r="F337" s="5" t="s">
        <v>3</v>
      </c>
      <c r="G337" s="4">
        <v>4.9548660730999994E8</v>
      </c>
      <c r="H337" s="4"/>
      <c r="I337" s="6" t="s">
        <v>8</v>
      </c>
    </row>
    <row r="338">
      <c r="A338" s="1">
        <v>46221.0</v>
      </c>
      <c r="B338" s="3" t="s">
        <v>6</v>
      </c>
      <c r="C338" s="3" t="s">
        <v>332</v>
      </c>
      <c r="D338" s="5">
        <v>2000000.0</v>
      </c>
      <c r="E338" s="4"/>
      <c r="F338" s="5" t="s">
        <v>3</v>
      </c>
      <c r="G338" s="4">
        <v>4.9348660730999994E8</v>
      </c>
      <c r="H338" s="4"/>
      <c r="I338" s="6" t="s">
        <v>8</v>
      </c>
    </row>
    <row r="339">
      <c r="A339" s="1">
        <v>46221.0</v>
      </c>
      <c r="B339" s="3" t="s">
        <v>6</v>
      </c>
      <c r="C339" s="3" t="s">
        <v>333</v>
      </c>
      <c r="D339" s="5">
        <v>2500.0</v>
      </c>
      <c r="E339" s="4"/>
      <c r="F339" s="5" t="s">
        <v>3</v>
      </c>
      <c r="G339" s="4">
        <v>4.9348410730999994E8</v>
      </c>
      <c r="H339" s="4"/>
      <c r="I339" s="6" t="s">
        <v>8</v>
      </c>
    </row>
    <row r="340">
      <c r="A340" s="1">
        <v>46221.0</v>
      </c>
      <c r="B340" s="3" t="s">
        <v>1</v>
      </c>
      <c r="C340" s="3" t="s">
        <v>334</v>
      </c>
      <c r="D340" s="5">
        <v>1.0E7</v>
      </c>
      <c r="E340" s="4"/>
      <c r="F340" s="5" t="s">
        <v>3</v>
      </c>
      <c r="G340" s="4">
        <v>4.8348410730999994E8</v>
      </c>
      <c r="H340" s="4"/>
      <c r="I340" s="6" t="s">
        <v>8</v>
      </c>
    </row>
    <row r="341">
      <c r="A341" s="1">
        <v>46221.0</v>
      </c>
      <c r="B341" s="3" t="s">
        <v>14</v>
      </c>
      <c r="C341" s="3" t="s">
        <v>335</v>
      </c>
      <c r="D341" s="5"/>
      <c r="E341" s="5">
        <v>2000000.0</v>
      </c>
      <c r="F341" s="5" t="s">
        <v>16</v>
      </c>
      <c r="G341" s="4">
        <v>4.8548410730999994E8</v>
      </c>
      <c r="H341" s="5">
        <v>4.8548410731E8</v>
      </c>
      <c r="I341" s="6" t="s">
        <v>8</v>
      </c>
    </row>
    <row r="342">
      <c r="A342" s="1">
        <v>46222.0</v>
      </c>
      <c r="B342" s="3" t="s">
        <v>336</v>
      </c>
      <c r="C342" s="3" t="s">
        <v>337</v>
      </c>
      <c r="D342" s="5"/>
      <c r="E342" s="5">
        <v>4.022682E8</v>
      </c>
      <c r="F342" s="5" t="s">
        <v>16</v>
      </c>
      <c r="G342" s="4">
        <v>8.8775230731E8</v>
      </c>
      <c r="H342" s="5">
        <v>8.8775230731E8</v>
      </c>
      <c r="I342" s="6" t="s">
        <v>8</v>
      </c>
    </row>
    <row r="343">
      <c r="A343" s="1">
        <v>46222.0</v>
      </c>
      <c r="B343" s="3" t="s">
        <v>1</v>
      </c>
      <c r="C343" s="3" t="s">
        <v>338</v>
      </c>
      <c r="D343" s="5">
        <v>2.3124947E8</v>
      </c>
      <c r="E343" s="4"/>
      <c r="F343" s="5" t="s">
        <v>3</v>
      </c>
      <c r="G343" s="4">
        <v>6.5650283731E8</v>
      </c>
      <c r="H343" s="5">
        <v>6.5650283731E8</v>
      </c>
      <c r="I343" s="6" t="s">
        <v>8</v>
      </c>
    </row>
    <row r="344">
      <c r="A344" s="1">
        <v>46222.0</v>
      </c>
      <c r="B344" s="3" t="s">
        <v>1</v>
      </c>
      <c r="C344" s="3" t="s">
        <v>339</v>
      </c>
      <c r="D344" s="5">
        <v>2.02752E8</v>
      </c>
      <c r="E344" s="4"/>
      <c r="F344" s="5" t="s">
        <v>3</v>
      </c>
      <c r="G344" s="4">
        <v>4.5375083730999994E8</v>
      </c>
      <c r="H344" s="4"/>
      <c r="I344" s="6" t="s">
        <v>8</v>
      </c>
    </row>
    <row r="345">
      <c r="A345" s="1">
        <v>46222.0</v>
      </c>
      <c r="B345" s="3" t="s">
        <v>1</v>
      </c>
      <c r="C345" s="3" t="s">
        <v>340</v>
      </c>
      <c r="D345" s="5">
        <v>6.59794E7</v>
      </c>
      <c r="E345" s="4"/>
      <c r="F345" s="5" t="s">
        <v>3</v>
      </c>
      <c r="G345" s="4">
        <v>3.8777143730999994E8</v>
      </c>
      <c r="H345" s="4"/>
      <c r="I345" s="6" t="s">
        <v>8</v>
      </c>
    </row>
    <row r="346">
      <c r="A346" s="1">
        <v>46222.0</v>
      </c>
      <c r="B346" s="3" t="s">
        <v>1</v>
      </c>
      <c r="C346" s="3" t="s">
        <v>341</v>
      </c>
      <c r="D346" s="5">
        <v>7.45E7</v>
      </c>
      <c r="E346" s="4"/>
      <c r="F346" s="5" t="s">
        <v>3</v>
      </c>
      <c r="G346" s="4">
        <v>3.1327143730999994E8</v>
      </c>
      <c r="H346" s="4"/>
      <c r="I346" s="6" t="s">
        <v>8</v>
      </c>
    </row>
    <row r="347">
      <c r="A347" s="1">
        <v>46222.0</v>
      </c>
      <c r="B347" s="3" t="s">
        <v>1</v>
      </c>
      <c r="C347" s="3" t="s">
        <v>342</v>
      </c>
      <c r="D347" s="5">
        <v>8.4E7</v>
      </c>
      <c r="E347" s="4"/>
      <c r="F347" s="5" t="s">
        <v>3</v>
      </c>
      <c r="G347" s="4">
        <v>2.2927143730999994E8</v>
      </c>
      <c r="H347" s="4"/>
      <c r="I347" s="6" t="s">
        <v>8</v>
      </c>
    </row>
    <row r="348">
      <c r="A348" s="1">
        <v>46222.0</v>
      </c>
      <c r="B348" s="3" t="s">
        <v>1</v>
      </c>
      <c r="C348" s="3" t="s">
        <v>343</v>
      </c>
      <c r="D348" s="5">
        <v>1.630904E7</v>
      </c>
      <c r="E348" s="4"/>
      <c r="F348" s="5" t="s">
        <v>3</v>
      </c>
      <c r="G348" s="4">
        <v>2.1296239730999994E8</v>
      </c>
      <c r="H348" s="4"/>
      <c r="I348" s="6" t="s">
        <v>8</v>
      </c>
    </row>
    <row r="349">
      <c r="A349" s="1">
        <v>46222.0</v>
      </c>
      <c r="B349" s="3" t="s">
        <v>1</v>
      </c>
      <c r="C349" s="3" t="s">
        <v>344</v>
      </c>
      <c r="D349" s="5">
        <v>7.20168E7</v>
      </c>
      <c r="E349" s="4"/>
      <c r="F349" s="5" t="s">
        <v>3</v>
      </c>
      <c r="G349" s="4">
        <v>1.4094559730999994E8</v>
      </c>
      <c r="H349" s="4"/>
      <c r="I349" s="6" t="s">
        <v>8</v>
      </c>
    </row>
    <row r="350">
      <c r="A350" s="1">
        <v>46222.0</v>
      </c>
      <c r="B350" s="3" t="s">
        <v>1</v>
      </c>
      <c r="C350" s="3" t="s">
        <v>345</v>
      </c>
      <c r="D350" s="5">
        <v>4.380556E7</v>
      </c>
      <c r="E350" s="4"/>
      <c r="F350" s="5" t="s">
        <v>3</v>
      </c>
      <c r="G350" s="4">
        <v>9.714003730999994E7</v>
      </c>
      <c r="H350" s="4"/>
      <c r="I350" s="6" t="s">
        <v>8</v>
      </c>
    </row>
    <row r="351">
      <c r="A351" s="1">
        <v>46222.0</v>
      </c>
      <c r="B351" s="3" t="s">
        <v>1</v>
      </c>
      <c r="C351" s="3" t="s">
        <v>346</v>
      </c>
      <c r="D351" s="5">
        <v>4.0E7</v>
      </c>
      <c r="E351" s="4"/>
      <c r="F351" s="5" t="s">
        <v>3</v>
      </c>
      <c r="G351" s="4">
        <v>5.714003730999994E7</v>
      </c>
      <c r="H351" s="4"/>
      <c r="I351" s="6" t="s">
        <v>8</v>
      </c>
    </row>
    <row r="352">
      <c r="A352" s="1">
        <v>46222.0</v>
      </c>
      <c r="B352" s="3" t="s">
        <v>1</v>
      </c>
      <c r="C352" s="3" t="s">
        <v>347</v>
      </c>
      <c r="D352" s="5">
        <v>4163040.0</v>
      </c>
      <c r="E352" s="4"/>
      <c r="F352" s="5" t="s">
        <v>3</v>
      </c>
      <c r="G352" s="4">
        <v>5.297699730999994E7</v>
      </c>
      <c r="H352" s="4"/>
      <c r="I352" s="6" t="s">
        <v>8</v>
      </c>
    </row>
    <row r="353">
      <c r="A353" s="1">
        <v>46222.0</v>
      </c>
      <c r="B353" s="3" t="s">
        <v>1</v>
      </c>
      <c r="C353" s="3" t="s">
        <v>348</v>
      </c>
      <c r="D353" s="5">
        <v>916170.0</v>
      </c>
      <c r="E353" s="4"/>
      <c r="F353" s="5" t="s">
        <v>3</v>
      </c>
      <c r="G353" s="4">
        <v>5.206082730999994E7</v>
      </c>
      <c r="H353" s="4"/>
      <c r="I353" s="6" t="s">
        <v>8</v>
      </c>
    </row>
    <row r="354">
      <c r="A354" s="1">
        <v>46222.0</v>
      </c>
      <c r="B354" s="3" t="s">
        <v>349</v>
      </c>
      <c r="C354" s="3" t="s">
        <v>349</v>
      </c>
      <c r="D354" s="5">
        <v>150000.0</v>
      </c>
      <c r="E354" s="4"/>
      <c r="F354" s="4"/>
      <c r="G354" s="4">
        <v>5.191082730999994E7</v>
      </c>
      <c r="H354" s="4"/>
      <c r="I354" s="6" t="s">
        <v>8</v>
      </c>
    </row>
    <row r="355">
      <c r="A355" s="1">
        <v>46222.0</v>
      </c>
      <c r="B355" s="3" t="s">
        <v>1</v>
      </c>
      <c r="C355" s="3" t="s">
        <v>350</v>
      </c>
      <c r="D355" s="5">
        <v>3000000.0</v>
      </c>
      <c r="E355" s="4"/>
      <c r="F355" s="5" t="s">
        <v>3</v>
      </c>
      <c r="G355" s="4">
        <v>4.891082730999994E7</v>
      </c>
      <c r="H355" s="4"/>
      <c r="I355" s="6" t="s">
        <v>8</v>
      </c>
    </row>
    <row r="356">
      <c r="A356" s="1">
        <v>46222.0</v>
      </c>
      <c r="B356" s="3" t="s">
        <v>349</v>
      </c>
      <c r="C356" s="3" t="s">
        <v>349</v>
      </c>
      <c r="D356" s="5">
        <v>300000.0</v>
      </c>
      <c r="E356" s="4"/>
      <c r="F356" s="4"/>
      <c r="G356" s="4">
        <v>4.861082730999994E7</v>
      </c>
      <c r="H356" s="4"/>
      <c r="I356" s="6" t="s">
        <v>8</v>
      </c>
    </row>
    <row r="357">
      <c r="A357" s="1">
        <v>46222.0</v>
      </c>
      <c r="B357" s="3" t="s">
        <v>1</v>
      </c>
      <c r="C357" s="3" t="s">
        <v>351</v>
      </c>
      <c r="D357" s="5">
        <v>4.85E7</v>
      </c>
      <c r="E357" s="4"/>
      <c r="F357" s="5" t="s">
        <v>3</v>
      </c>
      <c r="G357" s="4">
        <v>110827.30999994278</v>
      </c>
      <c r="H357" s="5">
        <v>110827.31</v>
      </c>
      <c r="I357" s="6" t="s">
        <v>41</v>
      </c>
    </row>
    <row r="358">
      <c r="A358" s="1">
        <v>46223.0</v>
      </c>
      <c r="B358" s="3" t="s">
        <v>352</v>
      </c>
      <c r="C358" s="3" t="s">
        <v>353</v>
      </c>
      <c r="D358" s="5"/>
      <c r="E358" s="5">
        <v>8.1E7</v>
      </c>
      <c r="F358" s="5" t="s">
        <v>16</v>
      </c>
      <c r="G358" s="4">
        <v>8.111082730999994E7</v>
      </c>
      <c r="H358" s="5">
        <v>8.111082731E7</v>
      </c>
      <c r="I358" s="6" t="s">
        <v>41</v>
      </c>
    </row>
    <row r="359">
      <c r="A359" s="1">
        <v>46223.0</v>
      </c>
      <c r="B359" s="3" t="s">
        <v>1</v>
      </c>
      <c r="C359" s="3" t="s">
        <v>354</v>
      </c>
      <c r="D359" s="5">
        <v>7.0E7</v>
      </c>
      <c r="E359" s="4"/>
      <c r="F359" s="5" t="s">
        <v>3</v>
      </c>
      <c r="G359" s="4">
        <v>1.1110827309999943E7</v>
      </c>
      <c r="H359" s="4"/>
      <c r="I359" s="6" t="s">
        <v>41</v>
      </c>
    </row>
    <row r="360">
      <c r="A360" s="1">
        <v>46223.0</v>
      </c>
      <c r="B360" s="3" t="s">
        <v>1</v>
      </c>
      <c r="C360" s="3" t="s">
        <v>355</v>
      </c>
      <c r="D360" s="5">
        <v>9500000.0</v>
      </c>
      <c r="E360" s="4"/>
      <c r="F360" s="5" t="s">
        <v>3</v>
      </c>
      <c r="G360" s="4">
        <v>1610827.3099999428</v>
      </c>
      <c r="H360" s="4"/>
      <c r="I360" s="6" t="s">
        <v>41</v>
      </c>
    </row>
    <row r="361">
      <c r="A361" s="1">
        <v>46223.0</v>
      </c>
      <c r="B361" s="3" t="s">
        <v>14</v>
      </c>
      <c r="C361" s="3" t="s">
        <v>356</v>
      </c>
      <c r="D361" s="5"/>
      <c r="E361" s="5">
        <v>3.9E7</v>
      </c>
      <c r="F361" s="5" t="s">
        <v>16</v>
      </c>
      <c r="G361" s="4">
        <v>4.061082730999994E7</v>
      </c>
      <c r="H361" s="4"/>
      <c r="I361" s="6" t="s">
        <v>41</v>
      </c>
    </row>
    <row r="362">
      <c r="A362" s="1">
        <v>46223.0</v>
      </c>
      <c r="B362" s="3" t="s">
        <v>14</v>
      </c>
      <c r="C362" s="3" t="s">
        <v>357</v>
      </c>
      <c r="D362" s="5"/>
      <c r="E362" s="5">
        <v>5.296601E8</v>
      </c>
      <c r="F362" s="5" t="s">
        <v>16</v>
      </c>
      <c r="G362" s="4">
        <v>5.7027092731E8</v>
      </c>
      <c r="H362" s="4"/>
      <c r="I362" s="6" t="s">
        <v>41</v>
      </c>
    </row>
    <row r="363">
      <c r="A363" s="1">
        <v>46223.0</v>
      </c>
      <c r="B363" s="3" t="s">
        <v>257</v>
      </c>
      <c r="C363" s="3" t="s">
        <v>258</v>
      </c>
      <c r="E363" s="5">
        <v>8.538725E7</v>
      </c>
      <c r="F363" s="4"/>
      <c r="G363" s="4">
        <v>6.5565817731E8</v>
      </c>
      <c r="H363" s="4"/>
      <c r="I363" s="6" t="s">
        <v>41</v>
      </c>
    </row>
    <row r="364">
      <c r="A364" s="1">
        <v>46223.0</v>
      </c>
      <c r="B364" s="3" t="s">
        <v>1</v>
      </c>
      <c r="C364" s="3" t="s">
        <v>358</v>
      </c>
      <c r="D364" s="5">
        <v>1.390995E8</v>
      </c>
      <c r="E364" s="4"/>
      <c r="F364" s="5" t="s">
        <v>3</v>
      </c>
      <c r="G364" s="4">
        <v>5.1655867730999994E8</v>
      </c>
      <c r="H364" s="4"/>
      <c r="I364" s="6" t="s">
        <v>41</v>
      </c>
    </row>
    <row r="365">
      <c r="A365" s="1">
        <v>46223.0</v>
      </c>
      <c r="B365" s="3" t="s">
        <v>1</v>
      </c>
      <c r="C365" s="3" t="s">
        <v>359</v>
      </c>
      <c r="D365" s="5">
        <v>2.481603E8</v>
      </c>
      <c r="E365" s="4"/>
      <c r="F365" s="5" t="s">
        <v>3</v>
      </c>
      <c r="G365" s="4">
        <v>2.6839837730999994E8</v>
      </c>
      <c r="H365" s="4"/>
      <c r="I365" s="6" t="s">
        <v>41</v>
      </c>
    </row>
    <row r="366">
      <c r="A366" s="1">
        <v>46223.0</v>
      </c>
      <c r="B366" s="3" t="s">
        <v>1</v>
      </c>
      <c r="C366" s="3" t="s">
        <v>360</v>
      </c>
      <c r="D366" s="5">
        <v>5.50084E7</v>
      </c>
      <c r="E366" s="4"/>
      <c r="F366" s="5" t="s">
        <v>3</v>
      </c>
      <c r="G366" s="4">
        <v>2.1338997730999994E8</v>
      </c>
      <c r="H366" s="4"/>
      <c r="I366" s="6" t="s">
        <v>8</v>
      </c>
    </row>
    <row r="367">
      <c r="A367" s="1">
        <v>46223.0</v>
      </c>
      <c r="B367" s="3" t="s">
        <v>1</v>
      </c>
      <c r="C367" s="3" t="s">
        <v>361</v>
      </c>
      <c r="D367" s="5">
        <v>9.110902E7</v>
      </c>
      <c r="E367" s="4"/>
      <c r="F367" s="5" t="s">
        <v>3</v>
      </c>
      <c r="G367" s="4">
        <v>1.2228095730999994E8</v>
      </c>
      <c r="H367" s="4"/>
      <c r="I367" s="6" t="s">
        <v>8</v>
      </c>
    </row>
    <row r="368">
      <c r="A368" s="1">
        <v>46223.0</v>
      </c>
      <c r="B368" s="3" t="s">
        <v>1</v>
      </c>
      <c r="C368" s="3" t="s">
        <v>362</v>
      </c>
      <c r="D368" s="5">
        <v>5.666042E7</v>
      </c>
      <c r="E368" s="4"/>
      <c r="F368" s="5" t="s">
        <v>3</v>
      </c>
      <c r="G368" s="4">
        <v>6.562053730999994E7</v>
      </c>
      <c r="H368" s="4"/>
      <c r="I368" s="6" t="s">
        <v>41</v>
      </c>
    </row>
    <row r="369">
      <c r="A369" s="1">
        <v>46223.0</v>
      </c>
      <c r="B369" s="3" t="s">
        <v>14</v>
      </c>
      <c r="C369" s="3" t="s">
        <v>363</v>
      </c>
      <c r="D369" s="5"/>
      <c r="E369" s="5">
        <v>3.26407686E8</v>
      </c>
      <c r="F369" s="5" t="s">
        <v>16</v>
      </c>
      <c r="G369" s="4">
        <v>3.9202822330999994E8</v>
      </c>
      <c r="H369" s="5">
        <v>3.9202822331E8</v>
      </c>
      <c r="I369" s="6" t="s">
        <v>8</v>
      </c>
    </row>
    <row r="370">
      <c r="A370" s="1">
        <v>46223.0</v>
      </c>
      <c r="B370" s="3" t="s">
        <v>14</v>
      </c>
      <c r="C370" s="3" t="s">
        <v>364</v>
      </c>
      <c r="D370" s="5"/>
      <c r="E370" s="5">
        <v>1.816122E8</v>
      </c>
      <c r="F370" s="5" t="s">
        <v>16</v>
      </c>
      <c r="G370" s="4">
        <v>5.7364042331E8</v>
      </c>
      <c r="H370" s="5">
        <v>5.7364042331E8</v>
      </c>
      <c r="I370" s="6" t="s">
        <v>41</v>
      </c>
    </row>
    <row r="371">
      <c r="A371" s="1">
        <v>46223.0</v>
      </c>
      <c r="B371" s="3" t="s">
        <v>1</v>
      </c>
      <c r="C371" s="3" t="s">
        <v>365</v>
      </c>
      <c r="D371" s="5">
        <v>9.0E7</v>
      </c>
      <c r="E371" s="4"/>
      <c r="F371" s="5" t="s">
        <v>3</v>
      </c>
      <c r="G371" s="4">
        <v>4.8364042330999994E8</v>
      </c>
      <c r="H371" s="4"/>
      <c r="I371" s="6" t="s">
        <v>41</v>
      </c>
    </row>
    <row r="372">
      <c r="A372" s="1">
        <v>46223.0</v>
      </c>
      <c r="B372" s="3" t="s">
        <v>1</v>
      </c>
      <c r="C372" s="3" t="s">
        <v>366</v>
      </c>
      <c r="D372" s="5">
        <v>6.92736E7</v>
      </c>
      <c r="E372" s="4"/>
      <c r="F372" s="5" t="s">
        <v>3</v>
      </c>
      <c r="G372" s="4">
        <v>4.1436682330999994E8</v>
      </c>
      <c r="H372" s="4"/>
      <c r="I372" s="6" t="s">
        <v>41</v>
      </c>
    </row>
    <row r="373">
      <c r="A373" s="1">
        <v>46223.0</v>
      </c>
      <c r="B373" s="3" t="s">
        <v>1</v>
      </c>
      <c r="C373" s="3" t="s">
        <v>367</v>
      </c>
      <c r="D373" s="5">
        <v>6.0E7</v>
      </c>
      <c r="E373" s="4"/>
      <c r="F373" s="5" t="s">
        <v>3</v>
      </c>
      <c r="G373" s="4">
        <v>3.5436682330999994E8</v>
      </c>
      <c r="H373" s="4"/>
      <c r="I373" s="6" t="s">
        <v>41</v>
      </c>
    </row>
    <row r="374">
      <c r="A374" s="1">
        <v>46223.0</v>
      </c>
      <c r="B374" s="3" t="s">
        <v>1</v>
      </c>
      <c r="C374" s="3" t="s">
        <v>368</v>
      </c>
      <c r="D374" s="5">
        <v>5.76694E7</v>
      </c>
      <c r="E374" s="4"/>
      <c r="F374" s="5" t="s">
        <v>3</v>
      </c>
      <c r="G374" s="4">
        <v>2.9669742330999994E8</v>
      </c>
      <c r="H374" s="4"/>
      <c r="I374" s="6" t="s">
        <v>41</v>
      </c>
    </row>
    <row r="375">
      <c r="A375" s="1">
        <v>46223.0</v>
      </c>
      <c r="B375" s="3" t="s">
        <v>1</v>
      </c>
      <c r="C375" s="3" t="s">
        <v>369</v>
      </c>
      <c r="D375" s="5">
        <v>3.75E7</v>
      </c>
      <c r="E375" s="4"/>
      <c r="F375" s="5" t="s">
        <v>3</v>
      </c>
      <c r="G375" s="4">
        <v>2.5919742330999994E8</v>
      </c>
      <c r="H375" s="4"/>
      <c r="I375" s="6" t="s">
        <v>41</v>
      </c>
    </row>
    <row r="376">
      <c r="A376" s="1">
        <v>46223.0</v>
      </c>
      <c r="B376" s="3" t="s">
        <v>1</v>
      </c>
      <c r="C376" s="3" t="s">
        <v>370</v>
      </c>
      <c r="D376" s="5">
        <v>6886640.0</v>
      </c>
      <c r="E376" s="4"/>
      <c r="F376" s="5" t="s">
        <v>3</v>
      </c>
      <c r="G376" s="4">
        <v>2.5231078330999994E8</v>
      </c>
      <c r="H376" s="4"/>
      <c r="I376" s="6" t="s">
        <v>41</v>
      </c>
    </row>
    <row r="377">
      <c r="A377" s="1">
        <v>46223.0</v>
      </c>
      <c r="B377" s="3" t="s">
        <v>1</v>
      </c>
      <c r="C377" s="3" t="s">
        <v>371</v>
      </c>
      <c r="D377" s="5">
        <v>1.5E7</v>
      </c>
      <c r="E377" s="4"/>
      <c r="F377" s="5" t="s">
        <v>3</v>
      </c>
      <c r="G377" s="4">
        <v>2.3731078330999994E8</v>
      </c>
      <c r="H377" s="4"/>
      <c r="I377" s="6" t="s">
        <v>41</v>
      </c>
    </row>
    <row r="378">
      <c r="A378" s="1">
        <v>46223.0</v>
      </c>
      <c r="B378" s="3" t="s">
        <v>14</v>
      </c>
      <c r="C378" s="3" t="s">
        <v>372</v>
      </c>
      <c r="D378" s="5"/>
      <c r="E378" s="5">
        <v>2.9274959E8</v>
      </c>
      <c r="F378" s="5" t="s">
        <v>16</v>
      </c>
      <c r="G378" s="4">
        <v>5.3006037330999994E8</v>
      </c>
      <c r="H378" s="4"/>
      <c r="I378" s="6" t="s">
        <v>41</v>
      </c>
    </row>
    <row r="379">
      <c r="A379" s="1">
        <v>46223.0</v>
      </c>
      <c r="B379" s="3" t="s">
        <v>1</v>
      </c>
      <c r="C379" s="3" t="s">
        <v>373</v>
      </c>
      <c r="D379" s="5">
        <v>4950000.0</v>
      </c>
      <c r="E379" s="4"/>
      <c r="F379" s="5" t="s">
        <v>3</v>
      </c>
      <c r="G379" s="4">
        <v>5.2511037330999994E8</v>
      </c>
      <c r="H379" s="4"/>
      <c r="I379" s="6" t="s">
        <v>41</v>
      </c>
    </row>
    <row r="380">
      <c r="A380" s="1">
        <v>46223.0</v>
      </c>
      <c r="B380" s="3" t="s">
        <v>1</v>
      </c>
      <c r="C380" s="3" t="s">
        <v>374</v>
      </c>
      <c r="D380" s="5">
        <v>1.22589E7</v>
      </c>
      <c r="E380" s="4"/>
      <c r="F380" s="5" t="s">
        <v>3</v>
      </c>
      <c r="G380" s="4">
        <v>5.1285147330999994E8</v>
      </c>
      <c r="H380" s="4"/>
      <c r="I380" s="6" t="s">
        <v>41</v>
      </c>
    </row>
    <row r="381">
      <c r="A381" s="1">
        <v>46223.0</v>
      </c>
      <c r="B381" s="3" t="s">
        <v>1</v>
      </c>
      <c r="C381" s="3" t="s">
        <v>375</v>
      </c>
      <c r="D381" s="5">
        <v>1.2E8</v>
      </c>
      <c r="E381" s="4"/>
      <c r="F381" s="5" t="s">
        <v>3</v>
      </c>
      <c r="G381" s="4">
        <v>3.9285147330999994E8</v>
      </c>
      <c r="H381" s="5">
        <v>3.9285147331E8</v>
      </c>
      <c r="I381" s="6" t="s">
        <v>41</v>
      </c>
    </row>
    <row r="382">
      <c r="A382" s="1">
        <v>46223.0</v>
      </c>
      <c r="B382" s="3" t="s">
        <v>14</v>
      </c>
      <c r="C382" s="3" t="s">
        <v>376</v>
      </c>
      <c r="D382" s="5"/>
      <c r="E382" s="5">
        <v>5490000.0</v>
      </c>
      <c r="F382" s="5" t="s">
        <v>16</v>
      </c>
      <c r="G382" s="4">
        <v>3.9834147330999994E8</v>
      </c>
      <c r="H382" s="5">
        <v>3.9834147331E8</v>
      </c>
      <c r="I382" s="6" t="s">
        <v>41</v>
      </c>
    </row>
    <row r="383">
      <c r="A383" s="1">
        <v>46224.0</v>
      </c>
      <c r="B383" s="3" t="s">
        <v>377</v>
      </c>
      <c r="C383" s="3" t="s">
        <v>378</v>
      </c>
      <c r="D383" s="5"/>
      <c r="E383" s="5">
        <v>2.0E7</v>
      </c>
      <c r="F383" s="5" t="s">
        <v>16</v>
      </c>
      <c r="G383" s="4">
        <v>4.1834147330999994E8</v>
      </c>
      <c r="H383" s="4"/>
      <c r="I383" s="6" t="s">
        <v>41</v>
      </c>
    </row>
    <row r="384">
      <c r="A384" s="1">
        <v>46224.0</v>
      </c>
      <c r="B384" s="3" t="s">
        <v>1</v>
      </c>
      <c r="C384" s="3" t="s">
        <v>379</v>
      </c>
      <c r="D384" s="5">
        <v>5.0E7</v>
      </c>
      <c r="E384" s="4"/>
      <c r="F384" s="5" t="s">
        <v>3</v>
      </c>
      <c r="G384" s="4">
        <v>3.6834147330999994E8</v>
      </c>
      <c r="H384" s="4"/>
      <c r="I384" s="6" t="s">
        <v>41</v>
      </c>
    </row>
    <row r="385">
      <c r="A385" s="1">
        <v>46224.0</v>
      </c>
      <c r="B385" s="3" t="s">
        <v>6</v>
      </c>
      <c r="C385" s="3" t="s">
        <v>380</v>
      </c>
      <c r="D385" s="5">
        <v>2650000.0</v>
      </c>
      <c r="E385" s="4"/>
      <c r="F385" s="5" t="s">
        <v>3</v>
      </c>
      <c r="G385" s="4">
        <v>3.6569147330999994E8</v>
      </c>
      <c r="H385" s="4"/>
      <c r="I385" s="6" t="s">
        <v>41</v>
      </c>
    </row>
    <row r="386">
      <c r="A386" s="1">
        <v>46224.0</v>
      </c>
      <c r="B386" s="3" t="s">
        <v>6</v>
      </c>
      <c r="C386" s="3" t="s">
        <v>381</v>
      </c>
      <c r="D386" s="5">
        <v>2500.0</v>
      </c>
      <c r="E386" s="4"/>
      <c r="F386" s="5" t="s">
        <v>3</v>
      </c>
      <c r="G386" s="4">
        <v>3.6568897330999994E8</v>
      </c>
      <c r="H386" s="4"/>
      <c r="I386" s="6" t="s">
        <v>41</v>
      </c>
    </row>
    <row r="387">
      <c r="A387" s="1">
        <v>46224.0</v>
      </c>
      <c r="B387" s="3" t="s">
        <v>6</v>
      </c>
      <c r="C387" s="3" t="s">
        <v>382</v>
      </c>
      <c r="D387" s="5">
        <v>1525000.0</v>
      </c>
      <c r="E387" s="4"/>
      <c r="F387" s="5" t="s">
        <v>3</v>
      </c>
      <c r="G387" s="4">
        <v>3.6416397330999994E8</v>
      </c>
      <c r="H387" s="4"/>
      <c r="I387" s="6" t="s">
        <v>41</v>
      </c>
    </row>
    <row r="388">
      <c r="A388" s="1">
        <v>46224.0</v>
      </c>
      <c r="B388" s="3" t="s">
        <v>6</v>
      </c>
      <c r="C388" s="3" t="s">
        <v>383</v>
      </c>
      <c r="D388" s="5">
        <v>2500.0</v>
      </c>
      <c r="E388" s="4"/>
      <c r="F388" s="5" t="s">
        <v>3</v>
      </c>
      <c r="G388" s="4">
        <v>3.6416147330999994E8</v>
      </c>
      <c r="H388" s="4"/>
      <c r="I388" s="6" t="s">
        <v>41</v>
      </c>
    </row>
    <row r="389">
      <c r="A389" s="1">
        <v>46224.0</v>
      </c>
      <c r="B389" s="3" t="s">
        <v>74</v>
      </c>
      <c r="C389" s="3" t="s">
        <v>384</v>
      </c>
      <c r="D389" s="5">
        <v>750000.0</v>
      </c>
      <c r="E389" s="4"/>
      <c r="F389" s="4"/>
      <c r="G389" s="4">
        <v>3.6341147330999994E8</v>
      </c>
      <c r="H389" s="4"/>
      <c r="I389" s="6" t="s">
        <v>41</v>
      </c>
    </row>
    <row r="390">
      <c r="A390" s="1">
        <v>46224.0</v>
      </c>
      <c r="B390" s="3" t="s">
        <v>1</v>
      </c>
      <c r="C390" s="3" t="s">
        <v>385</v>
      </c>
      <c r="D390" s="5">
        <v>8.96237E7</v>
      </c>
      <c r="E390" s="4"/>
      <c r="F390" s="5" t="s">
        <v>3</v>
      </c>
      <c r="G390" s="4">
        <v>2.7378777330999994E8</v>
      </c>
      <c r="H390" s="4"/>
      <c r="I390" s="6" t="s">
        <v>41</v>
      </c>
    </row>
    <row r="391">
      <c r="A391" s="1">
        <v>46224.0</v>
      </c>
      <c r="B391" s="3" t="s">
        <v>1</v>
      </c>
      <c r="C391" s="3" t="s">
        <v>386</v>
      </c>
      <c r="D391" s="5">
        <v>6.56136E7</v>
      </c>
      <c r="E391" s="4"/>
      <c r="F391" s="5" t="s">
        <v>3</v>
      </c>
      <c r="G391" s="4">
        <v>2.0817417330999994E8</v>
      </c>
      <c r="H391" s="4"/>
      <c r="I391" s="6" t="s">
        <v>41</v>
      </c>
    </row>
    <row r="392">
      <c r="A392" s="1">
        <v>46224.0</v>
      </c>
      <c r="B392" s="3" t="s">
        <v>1</v>
      </c>
      <c r="C392" s="3" t="s">
        <v>387</v>
      </c>
      <c r="D392" s="5">
        <v>7.099E7</v>
      </c>
      <c r="E392" s="4"/>
      <c r="F392" s="5" t="s">
        <v>3</v>
      </c>
      <c r="G392" s="4">
        <v>1.3718417330999994E8</v>
      </c>
      <c r="H392" s="4"/>
      <c r="I392" s="6" t="s">
        <v>41</v>
      </c>
    </row>
    <row r="393">
      <c r="A393" s="1">
        <v>46224.0</v>
      </c>
      <c r="B393" s="3" t="s">
        <v>14</v>
      </c>
      <c r="C393" s="3" t="s">
        <v>388</v>
      </c>
      <c r="D393" s="5"/>
      <c r="E393" s="5">
        <v>1.4324325E8</v>
      </c>
      <c r="F393" s="5" t="s">
        <v>16</v>
      </c>
      <c r="G393" s="4">
        <v>2.8042742330999994E8</v>
      </c>
      <c r="H393" s="4"/>
      <c r="I393" s="6" t="s">
        <v>41</v>
      </c>
    </row>
    <row r="394">
      <c r="A394" s="8">
        <v>46224.0</v>
      </c>
      <c r="B394" s="9" t="s">
        <v>257</v>
      </c>
      <c r="C394" s="9" t="s">
        <v>389</v>
      </c>
      <c r="D394" s="12"/>
      <c r="E394" s="10">
        <v>3.69495E8</v>
      </c>
      <c r="F394" s="11"/>
      <c r="G394" s="11">
        <v>6.4992242331E8</v>
      </c>
      <c r="H394" s="10">
        <v>6.4992242331E8</v>
      </c>
      <c r="I394" s="6" t="s">
        <v>41</v>
      </c>
    </row>
    <row r="395">
      <c r="A395" s="1">
        <v>46224.0</v>
      </c>
      <c r="B395" s="3" t="s">
        <v>1</v>
      </c>
      <c r="C395" s="3" t="s">
        <v>390</v>
      </c>
      <c r="D395" s="5">
        <v>6.54885E7</v>
      </c>
      <c r="E395" s="4"/>
      <c r="F395" s="5" t="s">
        <v>3</v>
      </c>
      <c r="G395" s="4">
        <v>5.8443392331E8</v>
      </c>
      <c r="H395" s="5">
        <v>5.8443392331E8</v>
      </c>
      <c r="I395" s="6" t="s">
        <v>41</v>
      </c>
    </row>
    <row r="396">
      <c r="A396" s="1">
        <v>46224.0</v>
      </c>
      <c r="B396" s="3" t="s">
        <v>14</v>
      </c>
      <c r="C396" s="3" t="s">
        <v>391</v>
      </c>
      <c r="D396" s="5"/>
      <c r="E396" s="5">
        <v>1.4625512E8</v>
      </c>
      <c r="F396" s="5" t="s">
        <v>16</v>
      </c>
      <c r="G396" s="4">
        <v>7.3068904331E8</v>
      </c>
      <c r="H396" s="4"/>
      <c r="I396" s="6" t="s">
        <v>41</v>
      </c>
    </row>
    <row r="397">
      <c r="A397" s="1">
        <v>46224.0</v>
      </c>
      <c r="B397" s="3" t="s">
        <v>14</v>
      </c>
      <c r="C397" s="3" t="s">
        <v>392</v>
      </c>
      <c r="D397" s="5"/>
      <c r="E397" s="5">
        <v>2.3795325E8</v>
      </c>
      <c r="F397" s="5" t="s">
        <v>16</v>
      </c>
      <c r="G397" s="4">
        <v>9.6864229331E8</v>
      </c>
      <c r="H397" s="4"/>
      <c r="I397" s="6" t="s">
        <v>41</v>
      </c>
    </row>
    <row r="398">
      <c r="A398" s="1">
        <v>46224.0</v>
      </c>
      <c r="B398" s="3" t="s">
        <v>1</v>
      </c>
      <c r="C398" s="3" t="s">
        <v>393</v>
      </c>
      <c r="D398" s="5">
        <v>2.467077E8</v>
      </c>
      <c r="E398" s="4"/>
      <c r="F398" s="5" t="s">
        <v>3</v>
      </c>
      <c r="G398" s="4">
        <v>7.2193459331E8</v>
      </c>
      <c r="H398" s="4"/>
      <c r="I398" s="6" t="s">
        <v>41</v>
      </c>
    </row>
    <row r="399">
      <c r="A399" s="1">
        <v>46224.0</v>
      </c>
      <c r="B399" s="3" t="s">
        <v>1</v>
      </c>
      <c r="C399" s="3" t="s">
        <v>394</v>
      </c>
      <c r="D399" s="5">
        <v>2.0953482E8</v>
      </c>
      <c r="E399" s="4"/>
      <c r="F399" s="5" t="s">
        <v>3</v>
      </c>
      <c r="G399" s="4">
        <v>5.1239977330999994E8</v>
      </c>
      <c r="H399" s="4"/>
      <c r="I399" s="6" t="s">
        <v>41</v>
      </c>
    </row>
    <row r="400">
      <c r="A400" s="1">
        <v>46224.0</v>
      </c>
      <c r="B400" s="3" t="s">
        <v>1</v>
      </c>
      <c r="C400" s="3" t="s">
        <v>395</v>
      </c>
      <c r="D400" s="5">
        <v>2.0E7</v>
      </c>
      <c r="E400" s="4"/>
      <c r="F400" s="5" t="s">
        <v>3</v>
      </c>
      <c r="G400" s="4">
        <v>4.9239977330999994E8</v>
      </c>
      <c r="H400" s="4"/>
      <c r="I400" s="6" t="s">
        <v>41</v>
      </c>
    </row>
    <row r="401">
      <c r="A401" s="1">
        <v>46224.0</v>
      </c>
      <c r="B401" s="3" t="s">
        <v>14</v>
      </c>
      <c r="C401" s="3" t="s">
        <v>396</v>
      </c>
      <c r="D401" s="5"/>
      <c r="E401" s="5">
        <v>5.099915E8</v>
      </c>
      <c r="F401" s="5" t="s">
        <v>16</v>
      </c>
      <c r="G401" s="4">
        <v>1.00239127331E9</v>
      </c>
      <c r="H401" s="4"/>
      <c r="I401" s="6" t="s">
        <v>41</v>
      </c>
    </row>
    <row r="402">
      <c r="A402" s="1">
        <v>46224.0</v>
      </c>
      <c r="B402" s="3" t="s">
        <v>397</v>
      </c>
      <c r="C402" s="3" t="s">
        <v>397</v>
      </c>
      <c r="D402" s="5">
        <v>19000.0</v>
      </c>
      <c r="E402" s="4"/>
      <c r="F402" s="4"/>
      <c r="G402" s="4">
        <v>1.00237227331E9</v>
      </c>
      <c r="H402" s="5">
        <v>1.00237227331E9</v>
      </c>
      <c r="I402" s="6" t="s">
        <v>41</v>
      </c>
    </row>
    <row r="403">
      <c r="A403" s="1">
        <v>46225.0</v>
      </c>
      <c r="B403" s="3" t="s">
        <v>398</v>
      </c>
      <c r="C403" s="3" t="s">
        <v>399</v>
      </c>
      <c r="D403" s="5"/>
      <c r="E403" s="5">
        <v>6.78E7</v>
      </c>
      <c r="F403" s="5" t="s">
        <v>16</v>
      </c>
      <c r="G403" s="4">
        <v>1.07017227331E9</v>
      </c>
      <c r="H403" s="4"/>
      <c r="I403" s="6" t="s">
        <v>41</v>
      </c>
    </row>
    <row r="404">
      <c r="A404" s="1">
        <v>46225.0</v>
      </c>
      <c r="B404" s="3" t="s">
        <v>400</v>
      </c>
      <c r="C404" s="3" t="s">
        <v>401</v>
      </c>
      <c r="D404" s="5">
        <v>5.0E7</v>
      </c>
      <c r="E404" s="4"/>
      <c r="F404" s="5" t="s">
        <v>3</v>
      </c>
      <c r="G404" s="4">
        <v>1.02017227331E9</v>
      </c>
      <c r="H404" s="4"/>
      <c r="I404" s="6" t="s">
        <v>41</v>
      </c>
    </row>
    <row r="405">
      <c r="A405" s="1">
        <v>46225.0</v>
      </c>
      <c r="B405" s="3" t="s">
        <v>400</v>
      </c>
      <c r="C405" s="3" t="s">
        <v>401</v>
      </c>
      <c r="D405" s="5">
        <v>5.0E7</v>
      </c>
      <c r="E405" s="4"/>
      <c r="F405" s="5" t="s">
        <v>3</v>
      </c>
      <c r="G405" s="4">
        <v>9.7017227331E8</v>
      </c>
      <c r="H405" s="4"/>
      <c r="I405" s="6" t="s">
        <v>41</v>
      </c>
    </row>
    <row r="406">
      <c r="A406" s="1">
        <v>46225.0</v>
      </c>
      <c r="B406" s="3" t="s">
        <v>400</v>
      </c>
      <c r="C406" s="3" t="s">
        <v>402</v>
      </c>
      <c r="D406" s="5">
        <v>7326830.0</v>
      </c>
      <c r="E406" s="4"/>
      <c r="F406" s="5" t="s">
        <v>3</v>
      </c>
      <c r="G406" s="4">
        <v>9.6284544331E8</v>
      </c>
      <c r="H406" s="4"/>
      <c r="I406" s="6" t="s">
        <v>41</v>
      </c>
    </row>
    <row r="407">
      <c r="A407" s="1">
        <v>46225.0</v>
      </c>
      <c r="B407" s="3" t="s">
        <v>1</v>
      </c>
      <c r="C407" s="3" t="s">
        <v>403</v>
      </c>
      <c r="D407" s="5">
        <v>3.1105088E8</v>
      </c>
      <c r="E407" s="4"/>
      <c r="F407" s="5" t="s">
        <v>3</v>
      </c>
      <c r="G407" s="4">
        <v>6.5179456331E8</v>
      </c>
      <c r="H407" s="4"/>
      <c r="I407" s="6" t="s">
        <v>41</v>
      </c>
    </row>
    <row r="408">
      <c r="A408" s="1">
        <v>46225.0</v>
      </c>
      <c r="B408" s="3" t="s">
        <v>1</v>
      </c>
      <c r="C408" s="3" t="s">
        <v>404</v>
      </c>
      <c r="D408" s="5">
        <v>1.416915E8</v>
      </c>
      <c r="E408" s="4"/>
      <c r="F408" s="5" t="s">
        <v>3</v>
      </c>
      <c r="G408" s="4">
        <v>5.1010306330999994E8</v>
      </c>
      <c r="H408" s="5">
        <v>5.1010306331E8</v>
      </c>
      <c r="I408" s="6" t="s">
        <v>41</v>
      </c>
    </row>
    <row r="409">
      <c r="A409" s="1">
        <v>46225.0</v>
      </c>
      <c r="B409" s="3" t="s">
        <v>1</v>
      </c>
      <c r="C409" s="3" t="s">
        <v>405</v>
      </c>
      <c r="D409" s="5">
        <v>4.62574E7</v>
      </c>
      <c r="E409" s="4"/>
      <c r="F409" s="5" t="s">
        <v>3</v>
      </c>
      <c r="G409" s="4">
        <v>4.6384566330999994E8</v>
      </c>
      <c r="H409" s="5">
        <v>4.6384566331E8</v>
      </c>
      <c r="I409" s="6" t="s">
        <v>41</v>
      </c>
    </row>
    <row r="410">
      <c r="A410" s="1">
        <v>46225.0</v>
      </c>
      <c r="B410" s="3" t="s">
        <v>1</v>
      </c>
      <c r="C410" s="3" t="s">
        <v>406</v>
      </c>
      <c r="D410" s="5">
        <v>1.45E7</v>
      </c>
      <c r="E410" s="4"/>
      <c r="F410" s="5" t="s">
        <v>3</v>
      </c>
      <c r="G410" s="4">
        <v>4.4934566330999994E8</v>
      </c>
      <c r="H410" s="4"/>
      <c r="I410" s="6" t="s">
        <v>41</v>
      </c>
    </row>
    <row r="411">
      <c r="A411" s="1">
        <v>46225.0</v>
      </c>
      <c r="B411" s="3" t="s">
        <v>1</v>
      </c>
      <c r="C411" s="3" t="s">
        <v>407</v>
      </c>
      <c r="D411" s="5">
        <v>4241040.0</v>
      </c>
      <c r="E411" s="4"/>
      <c r="F411" s="5" t="s">
        <v>3</v>
      </c>
      <c r="G411" s="4">
        <v>4.4510462330999994E8</v>
      </c>
      <c r="H411" s="4"/>
      <c r="I411" s="6" t="s">
        <v>41</v>
      </c>
    </row>
    <row r="412">
      <c r="A412" s="1">
        <v>46225.0</v>
      </c>
      <c r="B412" s="3" t="s">
        <v>1</v>
      </c>
      <c r="C412" s="3" t="s">
        <v>408</v>
      </c>
      <c r="D412" s="5">
        <v>7.100128E7</v>
      </c>
      <c r="E412" s="4"/>
      <c r="F412" s="5" t="s">
        <v>3</v>
      </c>
      <c r="G412" s="4">
        <v>3.7410334330999994E8</v>
      </c>
      <c r="H412" s="4"/>
      <c r="I412" s="6" t="s">
        <v>41</v>
      </c>
    </row>
    <row r="413">
      <c r="A413" s="1">
        <v>46225.0</v>
      </c>
      <c r="B413" s="3" t="s">
        <v>1</v>
      </c>
      <c r="C413" s="3" t="s">
        <v>409</v>
      </c>
      <c r="D413" s="5">
        <v>2.1025768E8</v>
      </c>
      <c r="E413" s="4"/>
      <c r="F413" s="5" t="s">
        <v>3</v>
      </c>
      <c r="G413" s="4">
        <v>1.6384566330999994E8</v>
      </c>
      <c r="H413" s="4"/>
      <c r="I413" s="6" t="s">
        <v>41</v>
      </c>
    </row>
    <row r="414">
      <c r="A414" s="1">
        <v>46225.0</v>
      </c>
      <c r="B414" s="3" t="s">
        <v>1</v>
      </c>
      <c r="C414" s="3" t="s">
        <v>410</v>
      </c>
      <c r="D414" s="5">
        <v>600000.0</v>
      </c>
      <c r="E414" s="4"/>
      <c r="F414" s="5" t="s">
        <v>3</v>
      </c>
      <c r="G414" s="4">
        <v>1.6324566330999994E8</v>
      </c>
      <c r="H414" s="4"/>
      <c r="I414" s="6" t="s">
        <v>41</v>
      </c>
    </row>
    <row r="415">
      <c r="A415" s="1">
        <v>46225.0</v>
      </c>
      <c r="B415" s="3" t="s">
        <v>14</v>
      </c>
      <c r="C415" s="3" t="s">
        <v>410</v>
      </c>
      <c r="D415" s="5"/>
      <c r="E415" s="5">
        <v>600000.0</v>
      </c>
      <c r="F415" s="5" t="s">
        <v>16</v>
      </c>
      <c r="G415" s="4">
        <v>1.6384566330999994E8</v>
      </c>
      <c r="H415" s="4"/>
      <c r="I415" s="6" t="s">
        <v>41</v>
      </c>
    </row>
    <row r="416">
      <c r="A416" s="1">
        <v>46225.0</v>
      </c>
      <c r="B416" s="3" t="s">
        <v>411</v>
      </c>
      <c r="C416" s="3" t="s">
        <v>411</v>
      </c>
      <c r="D416" s="5">
        <v>1000000.0</v>
      </c>
      <c r="E416" s="4"/>
      <c r="F416" s="4"/>
      <c r="G416" s="4">
        <v>1.6284566330999994E8</v>
      </c>
      <c r="H416" s="4"/>
      <c r="I416" s="6" t="s">
        <v>41</v>
      </c>
    </row>
    <row r="417">
      <c r="A417" s="1">
        <v>46225.0</v>
      </c>
      <c r="B417" s="3" t="s">
        <v>411</v>
      </c>
      <c r="C417" s="3" t="s">
        <v>411</v>
      </c>
      <c r="D417" s="5">
        <v>1000000.0</v>
      </c>
      <c r="E417" s="4"/>
      <c r="F417" s="4"/>
      <c r="G417" s="4">
        <v>1.6184566330999994E8</v>
      </c>
      <c r="H417" s="4"/>
      <c r="I417" s="6" t="s">
        <v>41</v>
      </c>
    </row>
    <row r="418">
      <c r="A418" s="1">
        <v>46225.0</v>
      </c>
      <c r="B418" s="3" t="s">
        <v>1</v>
      </c>
      <c r="C418" s="3" t="s">
        <v>412</v>
      </c>
      <c r="D418" s="5">
        <v>1.51802E7</v>
      </c>
      <c r="E418" s="4"/>
      <c r="F418" s="5" t="s">
        <v>3</v>
      </c>
      <c r="G418" s="4">
        <v>1.4666546330999994E8</v>
      </c>
      <c r="H418" s="4"/>
      <c r="I418" s="6" t="s">
        <v>41</v>
      </c>
    </row>
    <row r="419">
      <c r="A419" s="1">
        <v>46225.0</v>
      </c>
      <c r="B419" s="3" t="s">
        <v>14</v>
      </c>
      <c r="C419" s="3" t="s">
        <v>413</v>
      </c>
      <c r="D419" s="5"/>
      <c r="E419" s="5">
        <v>2.440223E8</v>
      </c>
      <c r="F419" s="5" t="s">
        <v>16</v>
      </c>
      <c r="G419" s="4">
        <v>3.9068776330999994E8</v>
      </c>
      <c r="H419" s="4"/>
      <c r="I419" s="6" t="s">
        <v>41</v>
      </c>
    </row>
    <row r="420">
      <c r="A420" s="1">
        <v>46225.0</v>
      </c>
      <c r="B420" s="3" t="s">
        <v>14</v>
      </c>
      <c r="C420" s="3" t="s">
        <v>414</v>
      </c>
      <c r="D420" s="5"/>
      <c r="E420" s="5">
        <v>7.741935E7</v>
      </c>
      <c r="F420" s="5" t="s">
        <v>16</v>
      </c>
      <c r="G420" s="4">
        <v>4.6810711330999994E8</v>
      </c>
      <c r="H420" s="4"/>
      <c r="I420" s="6" t="s">
        <v>41</v>
      </c>
    </row>
    <row r="421">
      <c r="A421" s="1">
        <v>46225.0</v>
      </c>
      <c r="B421" s="3" t="s">
        <v>14</v>
      </c>
      <c r="C421" s="3" t="s">
        <v>415</v>
      </c>
      <c r="D421" s="5"/>
      <c r="E421" s="5">
        <v>4.5085372E8</v>
      </c>
      <c r="F421" s="5" t="s">
        <v>16</v>
      </c>
      <c r="G421" s="4">
        <v>9.1896083331E8</v>
      </c>
      <c r="H421" s="5">
        <v>9.1896083331E8</v>
      </c>
      <c r="I421" s="6" t="s">
        <v>41</v>
      </c>
    </row>
    <row r="422">
      <c r="A422" s="1">
        <v>46226.0</v>
      </c>
      <c r="B422" s="3" t="s">
        <v>416</v>
      </c>
      <c r="C422" s="3" t="s">
        <v>417</v>
      </c>
      <c r="D422" s="5">
        <v>4941000.0</v>
      </c>
      <c r="E422" s="4"/>
      <c r="F422" s="5" t="s">
        <v>3</v>
      </c>
      <c r="G422" s="4">
        <v>9.1401983331E8</v>
      </c>
      <c r="H422" s="4"/>
      <c r="I422" s="6" t="s">
        <v>41</v>
      </c>
    </row>
    <row r="423">
      <c r="A423" s="1">
        <v>46226.0</v>
      </c>
      <c r="B423" s="3" t="s">
        <v>416</v>
      </c>
      <c r="C423" s="3" t="s">
        <v>418</v>
      </c>
      <c r="D423" s="5">
        <v>6344380.0</v>
      </c>
      <c r="E423" s="4"/>
      <c r="F423" s="5" t="s">
        <v>3</v>
      </c>
      <c r="G423" s="4">
        <v>9.0767545331E8</v>
      </c>
      <c r="H423" s="5">
        <v>9.0767545331E8</v>
      </c>
      <c r="I423" s="6" t="s">
        <v>41</v>
      </c>
    </row>
    <row r="424">
      <c r="A424" s="1">
        <v>46226.0</v>
      </c>
      <c r="B424" s="3" t="s">
        <v>416</v>
      </c>
      <c r="C424" s="3" t="s">
        <v>419</v>
      </c>
      <c r="D424" s="5">
        <v>5239900.0</v>
      </c>
      <c r="E424" s="4"/>
      <c r="F424" s="5" t="s">
        <v>3</v>
      </c>
      <c r="G424" s="4">
        <v>9.0243555331E8</v>
      </c>
      <c r="H424" s="5">
        <v>9.0243555331E8</v>
      </c>
      <c r="I424" s="6" t="s">
        <v>41</v>
      </c>
    </row>
    <row r="425">
      <c r="A425" s="1">
        <v>46226.0</v>
      </c>
      <c r="B425" s="3" t="s">
        <v>416</v>
      </c>
      <c r="C425" s="3" t="s">
        <v>420</v>
      </c>
      <c r="D425" s="5">
        <v>2080000.0</v>
      </c>
      <c r="E425" s="4"/>
      <c r="F425" s="5" t="s">
        <v>3</v>
      </c>
      <c r="G425" s="4">
        <v>9.0035555331E8</v>
      </c>
      <c r="H425" s="4"/>
      <c r="I425" s="6" t="s">
        <v>41</v>
      </c>
    </row>
    <row r="426">
      <c r="A426" s="1">
        <v>46226.0</v>
      </c>
      <c r="B426" s="3" t="s">
        <v>416</v>
      </c>
      <c r="C426" s="3" t="s">
        <v>421</v>
      </c>
      <c r="D426" s="5">
        <v>2.18886E7</v>
      </c>
      <c r="E426" s="4"/>
      <c r="F426" s="5" t="s">
        <v>3</v>
      </c>
      <c r="G426" s="4">
        <v>8.7846695331E8</v>
      </c>
      <c r="H426" s="4"/>
      <c r="I426" s="6" t="s">
        <v>41</v>
      </c>
    </row>
    <row r="427">
      <c r="A427" s="1">
        <v>46226.0</v>
      </c>
      <c r="B427" s="3" t="s">
        <v>416</v>
      </c>
      <c r="C427" s="3" t="s">
        <v>422</v>
      </c>
      <c r="D427" s="5">
        <v>700000.0</v>
      </c>
      <c r="E427" s="4"/>
      <c r="F427" s="5" t="s">
        <v>3</v>
      </c>
      <c r="G427" s="4">
        <v>8.7776695331E8</v>
      </c>
      <c r="H427" s="4"/>
      <c r="I427" s="6" t="s">
        <v>41</v>
      </c>
    </row>
    <row r="428">
      <c r="A428" s="1">
        <v>46226.0</v>
      </c>
      <c r="B428" s="3" t="s">
        <v>416</v>
      </c>
      <c r="C428" s="3" t="s">
        <v>423</v>
      </c>
      <c r="D428" s="5">
        <v>900000.0</v>
      </c>
      <c r="E428" s="4"/>
      <c r="F428" s="5" t="s">
        <v>3</v>
      </c>
      <c r="G428" s="4">
        <v>8.7686695331E8</v>
      </c>
      <c r="H428" s="4"/>
      <c r="I428" s="6" t="s">
        <v>41</v>
      </c>
    </row>
    <row r="429">
      <c r="A429" s="1">
        <v>46226.0</v>
      </c>
      <c r="B429" s="3" t="s">
        <v>416</v>
      </c>
      <c r="C429" s="3" t="s">
        <v>419</v>
      </c>
      <c r="D429" s="5">
        <v>4031550.0</v>
      </c>
      <c r="E429" s="4"/>
      <c r="F429" s="5" t="s">
        <v>3</v>
      </c>
      <c r="G429" s="4">
        <v>8.7283540331E8</v>
      </c>
      <c r="H429" s="4"/>
      <c r="I429" s="6" t="s">
        <v>41</v>
      </c>
    </row>
    <row r="430">
      <c r="A430" s="1">
        <v>46226.0</v>
      </c>
      <c r="B430" s="3" t="s">
        <v>1</v>
      </c>
      <c r="C430" s="3" t="s">
        <v>424</v>
      </c>
      <c r="D430" s="5">
        <v>9.12E7</v>
      </c>
      <c r="E430" s="4"/>
      <c r="F430" s="5" t="s">
        <v>3</v>
      </c>
      <c r="G430" s="4">
        <v>7.8163540331E8</v>
      </c>
      <c r="H430" s="4"/>
      <c r="I430" s="6" t="s">
        <v>41</v>
      </c>
    </row>
    <row r="431">
      <c r="A431" s="1">
        <v>46226.0</v>
      </c>
      <c r="B431" s="3" t="s">
        <v>1</v>
      </c>
      <c r="C431" s="3" t="s">
        <v>425</v>
      </c>
      <c r="D431" s="5">
        <v>6.6E7</v>
      </c>
      <c r="E431" s="4"/>
      <c r="F431" s="5" t="s">
        <v>3</v>
      </c>
      <c r="G431" s="4">
        <v>7.1563540331E8</v>
      </c>
      <c r="H431" s="4"/>
      <c r="I431" s="6" t="s">
        <v>41</v>
      </c>
    </row>
    <row r="432">
      <c r="A432" s="1">
        <v>46226.0</v>
      </c>
      <c r="B432" s="3" t="s">
        <v>1</v>
      </c>
      <c r="C432" s="3" t="s">
        <v>426</v>
      </c>
      <c r="D432" s="5">
        <v>7.74038E7</v>
      </c>
      <c r="E432" s="4"/>
      <c r="F432" s="5" t="s">
        <v>3</v>
      </c>
      <c r="G432" s="4">
        <v>6.3823160331E8</v>
      </c>
      <c r="H432" s="4"/>
      <c r="I432" s="6" t="s">
        <v>41</v>
      </c>
    </row>
    <row r="433">
      <c r="A433" s="1">
        <v>46226.0</v>
      </c>
      <c r="B433" s="3" t="s">
        <v>1</v>
      </c>
      <c r="C433" s="3" t="s">
        <v>427</v>
      </c>
      <c r="D433" s="5">
        <v>6.536435E7</v>
      </c>
      <c r="E433" s="4"/>
      <c r="F433" s="5" t="s">
        <v>3</v>
      </c>
      <c r="G433" s="4">
        <v>5.7286725331E8</v>
      </c>
      <c r="H433" s="4"/>
      <c r="I433" s="6" t="s">
        <v>41</v>
      </c>
    </row>
    <row r="434">
      <c r="A434" s="1">
        <v>46226.0</v>
      </c>
      <c r="B434" s="3" t="s">
        <v>1</v>
      </c>
      <c r="C434" s="3" t="s">
        <v>428</v>
      </c>
      <c r="D434" s="5">
        <v>1.458016E8</v>
      </c>
      <c r="E434" s="4"/>
      <c r="F434" s="5" t="s">
        <v>3</v>
      </c>
      <c r="G434" s="4">
        <v>4.2706565330999994E8</v>
      </c>
      <c r="H434" s="4"/>
      <c r="I434" s="6" t="s">
        <v>41</v>
      </c>
    </row>
    <row r="435">
      <c r="A435" s="1">
        <v>46226.0</v>
      </c>
      <c r="B435" s="3" t="s">
        <v>1</v>
      </c>
      <c r="C435" s="3" t="s">
        <v>429</v>
      </c>
      <c r="D435" s="5">
        <v>1.41097E8</v>
      </c>
      <c r="E435" s="4"/>
      <c r="F435" s="5" t="s">
        <v>3</v>
      </c>
      <c r="G435" s="4">
        <v>2.8596865330999994E8</v>
      </c>
      <c r="H435" s="4"/>
      <c r="I435" s="6" t="s">
        <v>41</v>
      </c>
    </row>
    <row r="436">
      <c r="A436" s="1">
        <v>46226.0</v>
      </c>
      <c r="B436" s="3" t="s">
        <v>1</v>
      </c>
      <c r="C436" s="3" t="s">
        <v>430</v>
      </c>
      <c r="D436" s="5">
        <v>1.575352E7</v>
      </c>
      <c r="E436" s="4"/>
      <c r="F436" s="5" t="s">
        <v>3</v>
      </c>
      <c r="G436" s="4">
        <v>2.7021513330999994E8</v>
      </c>
      <c r="H436" s="4"/>
      <c r="I436" s="6" t="s">
        <v>41</v>
      </c>
    </row>
    <row r="437">
      <c r="A437" s="1">
        <v>46226.0</v>
      </c>
      <c r="B437" s="3" t="s">
        <v>1</v>
      </c>
      <c r="C437" s="3" t="s">
        <v>431</v>
      </c>
      <c r="D437" s="5">
        <v>1.6967582E8</v>
      </c>
      <c r="E437" s="4"/>
      <c r="F437" s="5" t="s">
        <v>3</v>
      </c>
      <c r="G437" s="4">
        <v>1.0053931330999994E8</v>
      </c>
      <c r="H437" s="5">
        <v>1.0053931331E8</v>
      </c>
      <c r="I437" s="6" t="s">
        <v>41</v>
      </c>
    </row>
    <row r="438">
      <c r="A438" s="1">
        <v>46226.0</v>
      </c>
      <c r="B438" s="3" t="s">
        <v>1</v>
      </c>
      <c r="C438" s="3" t="s">
        <v>432</v>
      </c>
      <c r="D438" s="5">
        <v>5.0E7</v>
      </c>
      <c r="E438" s="4"/>
      <c r="F438" s="5" t="s">
        <v>3</v>
      </c>
      <c r="G438" s="4">
        <v>5.053931330999994E7</v>
      </c>
      <c r="H438" s="5">
        <v>5.053931331E7</v>
      </c>
      <c r="I438" s="6" t="s">
        <v>41</v>
      </c>
    </row>
    <row r="439">
      <c r="A439" s="1">
        <v>46226.0</v>
      </c>
      <c r="B439" s="3" t="s">
        <v>100</v>
      </c>
      <c r="C439" s="3" t="s">
        <v>230</v>
      </c>
      <c r="D439" s="5">
        <v>202200.0</v>
      </c>
      <c r="E439" s="4"/>
      <c r="F439" s="4"/>
      <c r="G439" s="4">
        <v>5.033711330999994E7</v>
      </c>
      <c r="H439" s="4"/>
      <c r="I439" s="6" t="s">
        <v>41</v>
      </c>
    </row>
    <row r="440">
      <c r="A440" s="1">
        <v>46226.0</v>
      </c>
      <c r="B440" s="3" t="s">
        <v>14</v>
      </c>
      <c r="C440" s="3" t="s">
        <v>433</v>
      </c>
      <c r="D440" s="5"/>
      <c r="E440" s="5">
        <v>2.5E7</v>
      </c>
      <c r="F440" s="5" t="s">
        <v>16</v>
      </c>
      <c r="G440" s="4">
        <v>7.533711330999994E7</v>
      </c>
      <c r="H440" s="4"/>
      <c r="I440" s="6" t="s">
        <v>41</v>
      </c>
    </row>
    <row r="441">
      <c r="A441" s="1">
        <v>46226.0</v>
      </c>
      <c r="B441" s="3" t="s">
        <v>1</v>
      </c>
      <c r="C441" s="3" t="s">
        <v>434</v>
      </c>
      <c r="D441" s="5">
        <v>7.5E7</v>
      </c>
      <c r="E441" s="4"/>
      <c r="F441" s="5" t="s">
        <v>3</v>
      </c>
      <c r="G441" s="4">
        <v>337113.3099999428</v>
      </c>
      <c r="H441" s="5">
        <v>337113.31</v>
      </c>
      <c r="I441" s="6" t="s">
        <v>41</v>
      </c>
    </row>
    <row r="442">
      <c r="A442" s="1">
        <v>46227.0</v>
      </c>
      <c r="B442" s="3" t="s">
        <v>14</v>
      </c>
      <c r="C442" s="3" t="s">
        <v>435</v>
      </c>
      <c r="D442" s="5"/>
      <c r="E442" s="5">
        <v>6.835443E8</v>
      </c>
      <c r="F442" s="5" t="s">
        <v>16</v>
      </c>
      <c r="G442" s="4">
        <v>6.8388141331E8</v>
      </c>
      <c r="H442" s="4"/>
      <c r="I442" s="6" t="s">
        <v>41</v>
      </c>
    </row>
    <row r="443">
      <c r="A443" s="1">
        <v>46227.0</v>
      </c>
      <c r="B443" s="3" t="s">
        <v>1</v>
      </c>
      <c r="C443" s="3" t="s">
        <v>436</v>
      </c>
      <c r="D443" s="5">
        <v>1.0E8</v>
      </c>
      <c r="E443" s="4"/>
      <c r="F443" s="5" t="s">
        <v>3</v>
      </c>
      <c r="G443" s="4">
        <v>5.8388141331E8</v>
      </c>
      <c r="H443" s="4"/>
      <c r="I443" s="6" t="s">
        <v>41</v>
      </c>
    </row>
    <row r="444">
      <c r="A444" s="1">
        <v>46227.0</v>
      </c>
      <c r="B444" s="3" t="s">
        <v>1</v>
      </c>
      <c r="C444" s="3" t="s">
        <v>437</v>
      </c>
      <c r="D444" s="5">
        <v>7.24593E7</v>
      </c>
      <c r="E444" s="4"/>
      <c r="F444" s="5" t="s">
        <v>3</v>
      </c>
      <c r="G444" s="4">
        <v>5.1142211330999994E8</v>
      </c>
      <c r="H444" s="4"/>
      <c r="I444" s="6" t="s">
        <v>41</v>
      </c>
    </row>
    <row r="445">
      <c r="A445" s="1">
        <v>46227.0</v>
      </c>
      <c r="B445" s="3" t="s">
        <v>1</v>
      </c>
      <c r="C445" s="3" t="s">
        <v>438</v>
      </c>
      <c r="D445" s="5">
        <v>1.05E7</v>
      </c>
      <c r="E445" s="4"/>
      <c r="F445" s="5" t="s">
        <v>3</v>
      </c>
      <c r="G445" s="4">
        <v>5.0092211330999994E8</v>
      </c>
      <c r="H445" s="4"/>
      <c r="I445" s="6" t="s">
        <v>41</v>
      </c>
    </row>
    <row r="446">
      <c r="A446" s="1">
        <v>46227.0</v>
      </c>
      <c r="B446" s="3" t="s">
        <v>14</v>
      </c>
      <c r="C446" s="3" t="s">
        <v>439</v>
      </c>
      <c r="D446" s="5"/>
      <c r="E446" s="5">
        <v>1.15523E8</v>
      </c>
      <c r="F446" s="5" t="s">
        <v>16</v>
      </c>
      <c r="G446" s="4">
        <v>6.1644511331E8</v>
      </c>
      <c r="H446" s="4"/>
      <c r="I446" s="6" t="s">
        <v>41</v>
      </c>
    </row>
    <row r="447">
      <c r="A447" s="1">
        <v>46227.0</v>
      </c>
      <c r="B447" s="3" t="s">
        <v>1</v>
      </c>
      <c r="C447" s="3" t="s">
        <v>440</v>
      </c>
      <c r="D447" s="5">
        <v>1.3235876E8</v>
      </c>
      <c r="E447" s="4"/>
      <c r="F447" s="5" t="s">
        <v>3</v>
      </c>
      <c r="G447" s="4">
        <v>4.8408635330999994E8</v>
      </c>
      <c r="H447" s="4"/>
      <c r="I447" s="6" t="s">
        <v>41</v>
      </c>
    </row>
    <row r="448">
      <c r="A448" s="1">
        <v>46227.0</v>
      </c>
      <c r="B448" s="3" t="s">
        <v>1</v>
      </c>
      <c r="C448" s="3" t="s">
        <v>441</v>
      </c>
      <c r="D448" s="5">
        <v>6.78E7</v>
      </c>
      <c r="E448" s="4"/>
      <c r="F448" s="5" t="s">
        <v>3</v>
      </c>
      <c r="G448" s="4">
        <v>4.1628635330999994E8</v>
      </c>
      <c r="H448" s="4"/>
      <c r="I448" s="6" t="s">
        <v>41</v>
      </c>
    </row>
    <row r="449">
      <c r="A449" s="1">
        <v>46227.0</v>
      </c>
      <c r="B449" s="3" t="s">
        <v>1</v>
      </c>
      <c r="C449" s="3" t="s">
        <v>442</v>
      </c>
      <c r="D449" s="5">
        <v>1.6E7</v>
      </c>
      <c r="E449" s="4"/>
      <c r="F449" s="5" t="s">
        <v>3</v>
      </c>
      <c r="G449" s="4">
        <v>4.0028635330999994E8</v>
      </c>
      <c r="H449" s="4"/>
      <c r="I449" s="6" t="s">
        <v>41</v>
      </c>
    </row>
    <row r="450">
      <c r="A450" s="1">
        <v>46227.0</v>
      </c>
      <c r="B450" s="3" t="s">
        <v>14</v>
      </c>
      <c r="C450" s="3" t="s">
        <v>443</v>
      </c>
      <c r="D450" s="5"/>
      <c r="E450" s="5">
        <v>3000000.0</v>
      </c>
      <c r="F450" s="5" t="s">
        <v>16</v>
      </c>
      <c r="G450" s="4">
        <v>4.0328635330999994E8</v>
      </c>
      <c r="H450" s="5">
        <v>4.0328635331E8</v>
      </c>
      <c r="I450" s="6" t="s">
        <v>41</v>
      </c>
    </row>
    <row r="451">
      <c r="A451" s="1">
        <v>46227.0</v>
      </c>
      <c r="B451" s="3" t="s">
        <v>1</v>
      </c>
      <c r="C451" s="3" t="s">
        <v>444</v>
      </c>
      <c r="D451" s="5">
        <v>9.706262E7</v>
      </c>
      <c r="E451" s="4"/>
      <c r="F451" s="5" t="s">
        <v>3</v>
      </c>
      <c r="G451" s="4">
        <v>3.0622373330999994E8</v>
      </c>
      <c r="H451" s="5">
        <v>3.0622373331E8</v>
      </c>
      <c r="I451" s="6" t="s">
        <v>41</v>
      </c>
    </row>
    <row r="452">
      <c r="A452" s="1">
        <v>46227.0</v>
      </c>
      <c r="B452" s="3" t="s">
        <v>1</v>
      </c>
      <c r="C452" s="3" t="s">
        <v>445</v>
      </c>
      <c r="D452" s="5">
        <v>5.0E7</v>
      </c>
      <c r="E452" s="4"/>
      <c r="F452" s="5" t="s">
        <v>3</v>
      </c>
      <c r="G452" s="4">
        <v>2.5622373330999994E8</v>
      </c>
      <c r="H452" s="4"/>
      <c r="I452" s="6" t="s">
        <v>41</v>
      </c>
    </row>
    <row r="453">
      <c r="A453" s="1">
        <v>46227.0</v>
      </c>
      <c r="B453" s="3" t="s">
        <v>1</v>
      </c>
      <c r="C453" s="3" t="s">
        <v>446</v>
      </c>
      <c r="D453" s="5">
        <v>1.13E8</v>
      </c>
      <c r="E453" s="4"/>
      <c r="F453" s="5" t="s">
        <v>3</v>
      </c>
      <c r="G453" s="4">
        <v>1.4322373330999994E8</v>
      </c>
      <c r="H453" s="4"/>
      <c r="I453" s="6" t="s">
        <v>41</v>
      </c>
    </row>
    <row r="454">
      <c r="A454" s="1">
        <v>46227.0</v>
      </c>
      <c r="B454" s="3" t="s">
        <v>1</v>
      </c>
      <c r="C454" s="3" t="s">
        <v>447</v>
      </c>
      <c r="D454" s="5">
        <v>8.633445E7</v>
      </c>
      <c r="E454" s="4"/>
      <c r="F454" s="5" t="s">
        <v>3</v>
      </c>
      <c r="G454" s="4">
        <v>5.688928330999994E7</v>
      </c>
      <c r="H454" s="4"/>
      <c r="I454" s="6" t="s">
        <v>41</v>
      </c>
    </row>
    <row r="455">
      <c r="A455" s="1">
        <v>46227.0</v>
      </c>
      <c r="B455" s="3" t="s">
        <v>257</v>
      </c>
      <c r="C455" s="3" t="s">
        <v>389</v>
      </c>
      <c r="E455" s="5">
        <v>2.8759185E8</v>
      </c>
      <c r="F455" s="4"/>
      <c r="G455" s="4">
        <v>3.4448113330999994E8</v>
      </c>
      <c r="H455" s="4"/>
      <c r="I455" s="6" t="s">
        <v>41</v>
      </c>
    </row>
    <row r="456">
      <c r="A456" s="1">
        <v>46227.0</v>
      </c>
      <c r="B456" s="3" t="s">
        <v>257</v>
      </c>
      <c r="C456" s="3" t="s">
        <v>448</v>
      </c>
      <c r="E456" s="5">
        <v>2.9856375E8</v>
      </c>
      <c r="F456" s="4"/>
      <c r="G456" s="4">
        <v>6.4304488331E8</v>
      </c>
      <c r="H456" s="4"/>
      <c r="I456" s="6" t="s">
        <v>41</v>
      </c>
    </row>
    <row r="457">
      <c r="A457" s="1">
        <v>46227.0</v>
      </c>
      <c r="B457" s="3" t="s">
        <v>1</v>
      </c>
      <c r="C457" s="3" t="s">
        <v>449</v>
      </c>
      <c r="D457" s="5">
        <v>6.8E7</v>
      </c>
      <c r="E457" s="4"/>
      <c r="F457" s="5" t="s">
        <v>3</v>
      </c>
      <c r="G457" s="4">
        <v>5.7504488331E8</v>
      </c>
      <c r="H457" s="4"/>
      <c r="I457" s="6" t="s">
        <v>41</v>
      </c>
    </row>
    <row r="458">
      <c r="A458" s="1">
        <v>46227.0</v>
      </c>
      <c r="B458" s="3" t="s">
        <v>1</v>
      </c>
      <c r="C458" s="3" t="s">
        <v>450</v>
      </c>
      <c r="D458" s="5">
        <v>6.30966E7</v>
      </c>
      <c r="E458" s="4"/>
      <c r="F458" s="5" t="s">
        <v>3</v>
      </c>
      <c r="G458" s="4">
        <v>5.1194828330999994E8</v>
      </c>
      <c r="H458" s="4"/>
      <c r="I458" s="6" t="s">
        <v>41</v>
      </c>
    </row>
    <row r="459">
      <c r="A459" s="1">
        <v>46227.0</v>
      </c>
      <c r="B459" s="3" t="s">
        <v>1</v>
      </c>
      <c r="C459" s="3" t="s">
        <v>451</v>
      </c>
      <c r="D459" s="5">
        <v>1.061512E7</v>
      </c>
      <c r="E459" s="4"/>
      <c r="F459" s="5" t="s">
        <v>3</v>
      </c>
      <c r="G459" s="4">
        <v>5.0133316330999994E8</v>
      </c>
      <c r="H459" s="4"/>
      <c r="I459" s="6" t="s">
        <v>41</v>
      </c>
    </row>
    <row r="460">
      <c r="A460" s="1">
        <v>46227.0</v>
      </c>
      <c r="B460" s="3" t="s">
        <v>1</v>
      </c>
      <c r="C460" s="3" t="s">
        <v>452</v>
      </c>
      <c r="D460" s="5">
        <v>5.569575E7</v>
      </c>
      <c r="E460" s="4"/>
      <c r="F460" s="5" t="s">
        <v>3</v>
      </c>
      <c r="G460" s="4">
        <v>4.4563741330999994E8</v>
      </c>
      <c r="H460" s="4"/>
      <c r="I460" s="6" t="s">
        <v>41</v>
      </c>
    </row>
    <row r="461">
      <c r="A461" s="1">
        <v>46227.0</v>
      </c>
      <c r="B461" s="3" t="s">
        <v>14</v>
      </c>
      <c r="C461" s="3" t="s">
        <v>453</v>
      </c>
      <c r="D461" s="5"/>
      <c r="E461" s="5">
        <v>6.98654E7</v>
      </c>
      <c r="F461" s="5" t="s">
        <v>16</v>
      </c>
      <c r="G461" s="4">
        <v>5.1550281330999994E8</v>
      </c>
      <c r="H461" s="4"/>
      <c r="I461" s="6" t="s">
        <v>41</v>
      </c>
    </row>
    <row r="462">
      <c r="A462" s="1">
        <v>46227.0</v>
      </c>
      <c r="B462" s="3" t="s">
        <v>14</v>
      </c>
      <c r="C462" s="3" t="s">
        <v>454</v>
      </c>
      <c r="D462" s="5"/>
      <c r="E462" s="5">
        <v>2.084285E8</v>
      </c>
      <c r="F462" s="5" t="s">
        <v>16</v>
      </c>
      <c r="G462" s="4">
        <v>7.2393131331E8</v>
      </c>
      <c r="H462" s="4"/>
      <c r="I462" s="6" t="s">
        <v>41</v>
      </c>
    </row>
    <row r="463">
      <c r="A463" s="1">
        <v>46227.0</v>
      </c>
      <c r="B463" s="3" t="s">
        <v>14</v>
      </c>
      <c r="C463" s="3" t="s">
        <v>455</v>
      </c>
      <c r="D463" s="5"/>
      <c r="E463" s="5">
        <v>2.77249888E8</v>
      </c>
      <c r="F463" s="5" t="s">
        <v>16</v>
      </c>
      <c r="G463" s="4">
        <v>1.00118120131E9</v>
      </c>
      <c r="H463" s="5">
        <v>1.00118120131E9</v>
      </c>
      <c r="I463" s="6" t="s">
        <v>41</v>
      </c>
    </row>
    <row r="464">
      <c r="A464" s="1">
        <v>46227.0</v>
      </c>
      <c r="B464" s="3" t="s">
        <v>14</v>
      </c>
      <c r="C464" s="3" t="s">
        <v>456</v>
      </c>
      <c r="D464" s="5"/>
      <c r="E464" s="5">
        <v>4.50488E7</v>
      </c>
      <c r="F464" s="5" t="s">
        <v>16</v>
      </c>
      <c r="G464" s="4">
        <v>1.04623000131E9</v>
      </c>
      <c r="H464" s="5">
        <v>1.04623000131E9</v>
      </c>
      <c r="I464" s="6" t="s">
        <v>41</v>
      </c>
    </row>
    <row r="465">
      <c r="A465" s="1">
        <v>46227.0</v>
      </c>
      <c r="B465" s="3" t="s">
        <v>1</v>
      </c>
      <c r="C465" s="3" t="s">
        <v>457</v>
      </c>
      <c r="D465" s="5">
        <v>497200.0</v>
      </c>
      <c r="E465" s="4"/>
      <c r="F465" s="5" t="s">
        <v>3</v>
      </c>
      <c r="G465" s="4">
        <v>1.04573280131E9</v>
      </c>
      <c r="H465" s="4"/>
      <c r="I465" s="6" t="s">
        <v>41</v>
      </c>
    </row>
    <row r="466">
      <c r="A466" s="1">
        <v>46227.0</v>
      </c>
      <c r="B466" s="3" t="s">
        <v>1</v>
      </c>
      <c r="C466" s="3" t="s">
        <v>458</v>
      </c>
      <c r="D466" s="5">
        <v>2.0E7</v>
      </c>
      <c r="E466" s="4"/>
      <c r="F466" s="5" t="s">
        <v>3</v>
      </c>
      <c r="G466" s="4">
        <v>1.02573280131E9</v>
      </c>
      <c r="H466" s="5">
        <v>1.02573280131E9</v>
      </c>
      <c r="I466" s="6" t="s">
        <v>41</v>
      </c>
    </row>
    <row r="467">
      <c r="A467" s="1">
        <v>46228.0</v>
      </c>
      <c r="B467" s="3" t="s">
        <v>1</v>
      </c>
      <c r="C467" s="3" t="s">
        <v>459</v>
      </c>
      <c r="D467" s="5">
        <v>1.0E8</v>
      </c>
      <c r="E467" s="4"/>
      <c r="F467" s="5" t="s">
        <v>3</v>
      </c>
      <c r="G467" s="4">
        <v>9.2573280131E8</v>
      </c>
      <c r="H467" s="4"/>
      <c r="I467" s="6" t="s">
        <v>41</v>
      </c>
    </row>
    <row r="468">
      <c r="A468" s="1">
        <v>46228.0</v>
      </c>
      <c r="B468" s="3" t="s">
        <v>1</v>
      </c>
      <c r="C468" s="3" t="s">
        <v>460</v>
      </c>
      <c r="D468" s="5">
        <v>1.07E8</v>
      </c>
      <c r="E468" s="4"/>
      <c r="F468" s="5" t="s">
        <v>3</v>
      </c>
      <c r="G468" s="4">
        <v>8.1873280131E8</v>
      </c>
      <c r="H468" s="4"/>
      <c r="I468" s="6" t="s">
        <v>41</v>
      </c>
    </row>
    <row r="469">
      <c r="A469" s="1">
        <v>46228.0</v>
      </c>
      <c r="B469" s="3" t="s">
        <v>1</v>
      </c>
      <c r="C469" s="3" t="s">
        <v>461</v>
      </c>
      <c r="D469" s="5">
        <v>1.293225E8</v>
      </c>
      <c r="E469" s="4"/>
      <c r="F469" s="5" t="s">
        <v>3</v>
      </c>
      <c r="G469" s="4">
        <v>6.8941030131E8</v>
      </c>
      <c r="H469" s="4"/>
      <c r="I469" s="6" t="s">
        <v>41</v>
      </c>
    </row>
    <row r="470">
      <c r="A470" s="1">
        <v>46228.0</v>
      </c>
      <c r="B470" s="3" t="s">
        <v>1</v>
      </c>
      <c r="C470" s="3" t="s">
        <v>462</v>
      </c>
      <c r="D470" s="5">
        <v>1.7141975E8</v>
      </c>
      <c r="E470" s="4"/>
      <c r="F470" s="5" t="s">
        <v>3</v>
      </c>
      <c r="G470" s="4">
        <v>5.1799055130999994E8</v>
      </c>
      <c r="H470" s="4"/>
      <c r="I470" s="6" t="s">
        <v>41</v>
      </c>
    </row>
    <row r="471">
      <c r="A471" s="1">
        <v>46228.0</v>
      </c>
      <c r="B471" s="3" t="s">
        <v>1</v>
      </c>
      <c r="C471" s="3" t="s">
        <v>463</v>
      </c>
      <c r="D471" s="5">
        <v>9.225E7</v>
      </c>
      <c r="E471" s="4"/>
      <c r="F471" s="5" t="s">
        <v>3</v>
      </c>
      <c r="G471" s="4">
        <v>4.2574055130999994E8</v>
      </c>
      <c r="H471" s="4"/>
      <c r="I471" s="6" t="s">
        <v>41</v>
      </c>
    </row>
    <row r="472">
      <c r="A472" s="1">
        <v>46228.0</v>
      </c>
      <c r="B472" s="3" t="s">
        <v>1</v>
      </c>
      <c r="C472" s="3" t="s">
        <v>464</v>
      </c>
      <c r="D472" s="5">
        <v>6.225045E7</v>
      </c>
      <c r="E472" s="4"/>
      <c r="F472" s="5" t="s">
        <v>3</v>
      </c>
      <c r="G472" s="4">
        <v>3.6349010130999994E8</v>
      </c>
      <c r="H472" s="4"/>
      <c r="I472" s="6" t="s">
        <v>41</v>
      </c>
    </row>
    <row r="473">
      <c r="A473" s="1">
        <v>46228.0</v>
      </c>
      <c r="B473" s="3" t="s">
        <v>1</v>
      </c>
      <c r="C473" s="3" t="s">
        <v>465</v>
      </c>
      <c r="D473" s="5">
        <v>1.7480125E8</v>
      </c>
      <c r="E473" s="4"/>
      <c r="F473" s="5" t="s">
        <v>3</v>
      </c>
      <c r="G473" s="4">
        <v>1.8868885130999994E8</v>
      </c>
      <c r="H473" s="4"/>
      <c r="I473" s="6" t="s">
        <v>41</v>
      </c>
    </row>
    <row r="474">
      <c r="A474" s="1">
        <v>46228.0</v>
      </c>
      <c r="B474" s="3" t="s">
        <v>1</v>
      </c>
      <c r="C474" s="3" t="s">
        <v>466</v>
      </c>
      <c r="D474" s="5">
        <v>650000.0</v>
      </c>
      <c r="E474" s="4"/>
      <c r="F474" s="5" t="s">
        <v>3</v>
      </c>
      <c r="G474" s="4">
        <v>1.8803885130999994E8</v>
      </c>
      <c r="H474" s="4"/>
      <c r="I474" s="6" t="s">
        <v>41</v>
      </c>
    </row>
    <row r="475">
      <c r="A475" s="1">
        <v>46228.0</v>
      </c>
      <c r="B475" s="3" t="s">
        <v>1</v>
      </c>
      <c r="C475" s="3" t="s">
        <v>467</v>
      </c>
      <c r="D475" s="5">
        <v>1000000.0</v>
      </c>
      <c r="E475" s="4"/>
      <c r="F475" s="5" t="s">
        <v>3</v>
      </c>
      <c r="G475" s="4">
        <v>1.8703885130999994E8</v>
      </c>
      <c r="H475" s="4"/>
      <c r="I475" s="6" t="s">
        <v>41</v>
      </c>
    </row>
    <row r="476">
      <c r="A476" s="1">
        <v>46228.0</v>
      </c>
      <c r="B476" s="3" t="s">
        <v>1</v>
      </c>
      <c r="C476" s="3" t="s">
        <v>468</v>
      </c>
      <c r="D476" s="5">
        <v>2500000.0</v>
      </c>
      <c r="E476" s="4"/>
      <c r="F476" s="5" t="s">
        <v>3</v>
      </c>
      <c r="G476" s="4">
        <v>1.8453885130999994E8</v>
      </c>
      <c r="H476" s="5">
        <v>1.8453885131E8</v>
      </c>
      <c r="I476" s="6" t="s">
        <v>41</v>
      </c>
    </row>
    <row r="477">
      <c r="A477" s="1">
        <v>46228.0</v>
      </c>
      <c r="B477" s="3" t="s">
        <v>1</v>
      </c>
      <c r="C477" s="3" t="s">
        <v>469</v>
      </c>
      <c r="D477" s="5">
        <v>1932100.0</v>
      </c>
      <c r="E477" s="4"/>
      <c r="F477" s="5" t="s">
        <v>3</v>
      </c>
      <c r="G477" s="4">
        <v>1.8260675130999994E8</v>
      </c>
      <c r="H477" s="5">
        <v>1.8260675131E8</v>
      </c>
      <c r="I477" s="6" t="s">
        <v>41</v>
      </c>
    </row>
    <row r="478">
      <c r="A478" s="1">
        <v>46228.0</v>
      </c>
      <c r="B478" s="3" t="s">
        <v>1</v>
      </c>
      <c r="C478" s="3" t="s">
        <v>470</v>
      </c>
      <c r="D478" s="5">
        <v>6.09E7</v>
      </c>
      <c r="E478" s="4"/>
      <c r="F478" s="5" t="s">
        <v>3</v>
      </c>
      <c r="G478" s="4">
        <v>1.2170675130999994E8</v>
      </c>
      <c r="H478" s="4"/>
      <c r="I478" s="6" t="s">
        <v>41</v>
      </c>
    </row>
    <row r="479">
      <c r="A479" s="1">
        <v>46228.0</v>
      </c>
      <c r="B479" s="3" t="s">
        <v>14</v>
      </c>
      <c r="C479" s="3" t="s">
        <v>471</v>
      </c>
      <c r="D479" s="5"/>
      <c r="E479" s="5">
        <v>5.9976E7</v>
      </c>
      <c r="F479" s="5" t="s">
        <v>16</v>
      </c>
      <c r="G479" s="4">
        <v>1.8168275130999994E8</v>
      </c>
      <c r="H479" s="4"/>
      <c r="I479" s="6" t="s">
        <v>41</v>
      </c>
    </row>
    <row r="480">
      <c r="A480" s="1">
        <v>46228.0</v>
      </c>
      <c r="B480" s="3" t="s">
        <v>14</v>
      </c>
      <c r="C480" s="3" t="s">
        <v>472</v>
      </c>
      <c r="D480" s="5"/>
      <c r="E480" s="5">
        <v>4.9947425E8</v>
      </c>
      <c r="F480" s="5" t="s">
        <v>16</v>
      </c>
      <c r="G480" s="4">
        <v>6.8115700131E8</v>
      </c>
      <c r="H480" s="4"/>
      <c r="I480" s="6" t="s">
        <v>41</v>
      </c>
    </row>
    <row r="481">
      <c r="A481" s="1">
        <v>46228.0</v>
      </c>
      <c r="B481" s="3" t="s">
        <v>1</v>
      </c>
      <c r="C481" s="3" t="s">
        <v>473</v>
      </c>
      <c r="D481" s="5">
        <v>2.291625E7</v>
      </c>
      <c r="E481" s="4"/>
      <c r="F481" s="5" t="s">
        <v>3</v>
      </c>
      <c r="G481" s="4">
        <v>6.5824075131E8</v>
      </c>
      <c r="H481" s="4"/>
      <c r="I481" s="6" t="s">
        <v>41</v>
      </c>
    </row>
    <row r="482">
      <c r="A482" s="1">
        <v>46228.0</v>
      </c>
      <c r="B482" s="3" t="s">
        <v>474</v>
      </c>
      <c r="C482" s="3" t="s">
        <v>474</v>
      </c>
      <c r="D482" s="5">
        <v>300000.0</v>
      </c>
      <c r="E482" s="4"/>
      <c r="F482" s="4"/>
      <c r="G482" s="4">
        <v>6.5794075131E8</v>
      </c>
      <c r="H482" s="4"/>
      <c r="I482" s="6" t="s">
        <v>41</v>
      </c>
    </row>
    <row r="483">
      <c r="A483" s="1">
        <v>46228.0</v>
      </c>
      <c r="B483" s="3" t="s">
        <v>14</v>
      </c>
      <c r="C483" s="3" t="s">
        <v>475</v>
      </c>
      <c r="D483" s="5"/>
      <c r="E483" s="5">
        <v>1.353325E8</v>
      </c>
      <c r="F483" s="5" t="s">
        <v>16</v>
      </c>
      <c r="G483" s="4">
        <v>7.9327325131E8</v>
      </c>
      <c r="H483" s="4"/>
      <c r="I483" s="6" t="s">
        <v>41</v>
      </c>
    </row>
    <row r="484">
      <c r="A484" s="1">
        <v>46228.0</v>
      </c>
      <c r="B484" s="3" t="s">
        <v>1</v>
      </c>
      <c r="C484" s="3" t="s">
        <v>476</v>
      </c>
      <c r="D484" s="5">
        <v>2.9153E7</v>
      </c>
      <c r="E484" s="4"/>
      <c r="F484" s="5" t="s">
        <v>3</v>
      </c>
      <c r="G484" s="4">
        <v>7.6412025131E8</v>
      </c>
      <c r="H484" s="5">
        <v>7.6412025131E8</v>
      </c>
      <c r="I484" s="6" t="s">
        <v>41</v>
      </c>
    </row>
    <row r="485">
      <c r="A485" s="1">
        <v>46229.0</v>
      </c>
      <c r="B485" s="3" t="s">
        <v>1</v>
      </c>
      <c r="C485" s="3" t="s">
        <v>477</v>
      </c>
      <c r="D485" s="5">
        <v>5.0E7</v>
      </c>
      <c r="E485" s="4"/>
      <c r="F485" s="5" t="s">
        <v>3</v>
      </c>
      <c r="G485" s="4">
        <v>7.1412025131E8</v>
      </c>
      <c r="H485" s="4"/>
      <c r="I485" s="6" t="s">
        <v>41</v>
      </c>
    </row>
    <row r="486">
      <c r="A486" s="1">
        <v>46229.0</v>
      </c>
      <c r="B486" s="3" t="s">
        <v>1</v>
      </c>
      <c r="C486" s="3" t="s">
        <v>478</v>
      </c>
      <c r="D486" s="5">
        <v>3.02E8</v>
      </c>
      <c r="E486" s="4"/>
      <c r="F486" s="5" t="s">
        <v>3</v>
      </c>
      <c r="G486" s="4">
        <v>4.1212025130999994E8</v>
      </c>
      <c r="H486" s="4"/>
      <c r="I486" s="6" t="s">
        <v>41</v>
      </c>
    </row>
    <row r="487">
      <c r="A487" s="1">
        <v>46229.0</v>
      </c>
      <c r="B487" s="3" t="s">
        <v>1</v>
      </c>
      <c r="C487" s="3" t="s">
        <v>479</v>
      </c>
      <c r="D487" s="5">
        <v>1.98E8</v>
      </c>
      <c r="E487" s="4"/>
      <c r="F487" s="5" t="s">
        <v>3</v>
      </c>
      <c r="G487" s="4">
        <v>2.1412025130999994E8</v>
      </c>
      <c r="H487" s="4"/>
      <c r="I487" s="6" t="s">
        <v>41</v>
      </c>
    </row>
    <row r="488">
      <c r="A488" s="1">
        <v>46229.0</v>
      </c>
      <c r="B488" s="3" t="s">
        <v>1</v>
      </c>
      <c r="C488" s="3" t="s">
        <v>480</v>
      </c>
      <c r="D488" s="5">
        <v>1622250.0</v>
      </c>
      <c r="E488" s="4"/>
      <c r="F488" s="5" t="s">
        <v>3</v>
      </c>
      <c r="G488" s="4">
        <v>2.1249800130999994E8</v>
      </c>
      <c r="H488" s="4"/>
      <c r="I488" s="6" t="s">
        <v>41</v>
      </c>
    </row>
    <row r="489">
      <c r="A489" s="1">
        <v>46229.0</v>
      </c>
      <c r="B489" s="3" t="s">
        <v>1</v>
      </c>
      <c r="C489" s="3" t="s">
        <v>481</v>
      </c>
      <c r="D489" s="5">
        <v>1.0E7</v>
      </c>
      <c r="E489" s="4"/>
      <c r="F489" s="5" t="s">
        <v>3</v>
      </c>
      <c r="G489" s="4">
        <v>2.0249800130999994E8</v>
      </c>
      <c r="H489" s="5">
        <v>2.0249800131E8</v>
      </c>
      <c r="I489" s="6" t="s">
        <v>41</v>
      </c>
    </row>
    <row r="490">
      <c r="A490" s="1">
        <v>46229.0</v>
      </c>
      <c r="B490" s="3" t="s">
        <v>1</v>
      </c>
      <c r="C490" s="3" t="s">
        <v>482</v>
      </c>
      <c r="D490" s="5">
        <v>4045800.0</v>
      </c>
      <c r="E490" s="4"/>
      <c r="F490" s="5" t="s">
        <v>3</v>
      </c>
      <c r="G490" s="4">
        <v>1.9845220130999994E8</v>
      </c>
      <c r="H490" s="5">
        <v>1.9845220131E8</v>
      </c>
      <c r="I490" s="6" t="s">
        <v>41</v>
      </c>
    </row>
    <row r="491">
      <c r="A491" s="1">
        <v>46229.0</v>
      </c>
      <c r="B491" s="3" t="s">
        <v>1</v>
      </c>
      <c r="C491" s="3" t="s">
        <v>483</v>
      </c>
      <c r="D491" s="5">
        <v>2493560.0</v>
      </c>
      <c r="E491" s="4"/>
      <c r="F491" s="5" t="s">
        <v>3</v>
      </c>
      <c r="G491" s="4">
        <v>1.9595864130999994E8</v>
      </c>
      <c r="H491" s="4"/>
      <c r="I491" s="6" t="s">
        <v>41</v>
      </c>
    </row>
    <row r="492">
      <c r="A492" s="1">
        <v>46229.0</v>
      </c>
      <c r="B492" s="3" t="s">
        <v>1</v>
      </c>
      <c r="C492" s="3" t="s">
        <v>484</v>
      </c>
      <c r="D492" s="5">
        <v>800000.0</v>
      </c>
      <c r="E492" s="4"/>
      <c r="F492" s="5" t="s">
        <v>3</v>
      </c>
      <c r="G492" s="4">
        <v>1.9515864130999994E8</v>
      </c>
      <c r="H492" s="4"/>
      <c r="I492" s="6" t="s">
        <v>41</v>
      </c>
    </row>
    <row r="493">
      <c r="A493" s="1">
        <v>46229.0</v>
      </c>
      <c r="B493" s="3" t="s">
        <v>1</v>
      </c>
      <c r="C493" s="3" t="s">
        <v>485</v>
      </c>
      <c r="D493" s="5">
        <v>7346500.0</v>
      </c>
      <c r="E493" s="4"/>
      <c r="F493" s="5" t="s">
        <v>3</v>
      </c>
      <c r="G493" s="4">
        <v>1.8781214130999994E8</v>
      </c>
      <c r="H493" s="4"/>
      <c r="I493" s="6" t="s">
        <v>41</v>
      </c>
    </row>
    <row r="494">
      <c r="A494" s="1">
        <v>46229.0</v>
      </c>
      <c r="B494" s="3" t="s">
        <v>1</v>
      </c>
      <c r="C494" s="3" t="s">
        <v>486</v>
      </c>
      <c r="D494" s="5">
        <v>2212020.0</v>
      </c>
      <c r="E494" s="4"/>
      <c r="F494" s="5" t="s">
        <v>3</v>
      </c>
      <c r="G494" s="4">
        <v>1.8560012130999994E8</v>
      </c>
      <c r="H494" s="4"/>
      <c r="I494" s="6" t="s">
        <v>41</v>
      </c>
    </row>
    <row r="495">
      <c r="A495" s="1">
        <v>46229.0</v>
      </c>
      <c r="B495" s="3" t="s">
        <v>1</v>
      </c>
      <c r="C495" s="3" t="s">
        <v>487</v>
      </c>
      <c r="D495" s="5">
        <v>4039000.0</v>
      </c>
      <c r="E495" s="4"/>
      <c r="F495" s="5" t="s">
        <v>3</v>
      </c>
      <c r="G495" s="4">
        <v>1.8156112130999994E8</v>
      </c>
      <c r="H495" s="4"/>
      <c r="I495" s="6" t="s">
        <v>41</v>
      </c>
    </row>
    <row r="496">
      <c r="A496" s="1">
        <v>46229.0</v>
      </c>
      <c r="B496" s="3" t="s">
        <v>1</v>
      </c>
      <c r="C496" s="3" t="s">
        <v>488</v>
      </c>
      <c r="D496" s="5">
        <v>4.075325E7</v>
      </c>
      <c r="E496" s="4"/>
      <c r="F496" s="5" t="s">
        <v>3</v>
      </c>
      <c r="G496" s="4">
        <v>1.4080787130999994E8</v>
      </c>
      <c r="H496" s="4"/>
      <c r="I496" s="6" t="s">
        <v>41</v>
      </c>
    </row>
    <row r="497">
      <c r="A497" s="1">
        <v>46229.0</v>
      </c>
      <c r="B497" s="3" t="s">
        <v>1</v>
      </c>
      <c r="C497" s="3" t="s">
        <v>489</v>
      </c>
      <c r="D497" s="5">
        <v>350000.0</v>
      </c>
      <c r="E497" s="4"/>
      <c r="F497" s="5" t="s">
        <v>3</v>
      </c>
      <c r="G497" s="4">
        <v>1.4045787130999994E8</v>
      </c>
      <c r="H497" s="4"/>
      <c r="I497" s="6" t="s">
        <v>41</v>
      </c>
    </row>
    <row r="498">
      <c r="A498" s="1">
        <v>46229.0</v>
      </c>
      <c r="B498" s="3" t="s">
        <v>14</v>
      </c>
      <c r="C498" s="3" t="s">
        <v>490</v>
      </c>
      <c r="D498" s="5"/>
      <c r="E498" s="5">
        <v>6.9576E7</v>
      </c>
      <c r="F498" s="5" t="s">
        <v>16</v>
      </c>
      <c r="G498" s="4">
        <v>2.1003387130999994E8</v>
      </c>
      <c r="H498" s="4"/>
      <c r="I498" s="6" t="s">
        <v>41</v>
      </c>
    </row>
    <row r="499">
      <c r="A499" s="1">
        <v>46229.0</v>
      </c>
      <c r="B499" s="3" t="s">
        <v>14</v>
      </c>
      <c r="C499" s="3" t="s">
        <v>491</v>
      </c>
      <c r="D499" s="5"/>
      <c r="E499" s="5">
        <v>7.3584E7</v>
      </c>
      <c r="F499" s="5" t="s">
        <v>16</v>
      </c>
      <c r="G499" s="4">
        <v>2.8361787130999994E8</v>
      </c>
      <c r="H499" s="4"/>
      <c r="I499" s="6" t="s">
        <v>41</v>
      </c>
    </row>
    <row r="500">
      <c r="A500" s="1">
        <v>46229.0</v>
      </c>
      <c r="B500" s="3" t="s">
        <v>257</v>
      </c>
      <c r="C500" s="3" t="s">
        <v>389</v>
      </c>
      <c r="E500" s="5">
        <v>7.4865E7</v>
      </c>
      <c r="F500" s="4"/>
      <c r="G500" s="4">
        <v>3.5848287130999994E8</v>
      </c>
      <c r="H500" s="4"/>
      <c r="I500" s="6" t="s">
        <v>41</v>
      </c>
    </row>
    <row r="501">
      <c r="A501" s="1">
        <v>46229.0</v>
      </c>
      <c r="B501" s="3" t="s">
        <v>492</v>
      </c>
      <c r="C501" s="3" t="s">
        <v>492</v>
      </c>
      <c r="D501" s="5">
        <v>200000.0</v>
      </c>
      <c r="E501" s="4"/>
      <c r="F501" s="4"/>
      <c r="G501" s="4">
        <v>3.5828287130999994E8</v>
      </c>
      <c r="H501" s="4"/>
      <c r="I501" s="6" t="s">
        <v>41</v>
      </c>
    </row>
    <row r="502">
      <c r="A502" s="1">
        <v>46229.0</v>
      </c>
      <c r="B502" s="3" t="s">
        <v>14</v>
      </c>
      <c r="C502" s="3" t="s">
        <v>493</v>
      </c>
      <c r="D502" s="5"/>
      <c r="E502" s="5">
        <v>1.6224164E8</v>
      </c>
      <c r="F502" s="5" t="s">
        <v>16</v>
      </c>
      <c r="G502" s="4">
        <v>5.2052451130999994E8</v>
      </c>
      <c r="H502" s="4"/>
      <c r="I502" s="6" t="s">
        <v>41</v>
      </c>
    </row>
    <row r="503">
      <c r="A503" s="1">
        <v>46229.0</v>
      </c>
      <c r="B503" s="3" t="s">
        <v>1</v>
      </c>
      <c r="C503" s="3" t="s">
        <v>494</v>
      </c>
      <c r="D503" s="5">
        <v>1.0E7</v>
      </c>
      <c r="E503" s="4"/>
      <c r="F503" s="5" t="s">
        <v>3</v>
      </c>
      <c r="G503" s="4">
        <v>5.1052451130999994E8</v>
      </c>
      <c r="H503" s="4"/>
      <c r="I503" s="6" t="s">
        <v>41</v>
      </c>
    </row>
    <row r="504">
      <c r="A504" s="1">
        <v>46229.0</v>
      </c>
      <c r="B504" s="3" t="s">
        <v>1</v>
      </c>
      <c r="C504" s="3" t="s">
        <v>495</v>
      </c>
      <c r="D504" s="5">
        <v>9.97625E7</v>
      </c>
      <c r="E504" s="4"/>
      <c r="F504" s="5" t="s">
        <v>3</v>
      </c>
      <c r="G504" s="4">
        <v>4.1076201130999994E8</v>
      </c>
      <c r="H504" s="4"/>
      <c r="I504" s="6" t="s">
        <v>41</v>
      </c>
    </row>
    <row r="505">
      <c r="A505" s="1">
        <v>46229.0</v>
      </c>
      <c r="B505" s="3" t="s">
        <v>1</v>
      </c>
      <c r="C505" s="3" t="s">
        <v>496</v>
      </c>
      <c r="D505" s="5">
        <v>7.21E7</v>
      </c>
      <c r="E505" s="4"/>
      <c r="F505" s="5" t="s">
        <v>3</v>
      </c>
      <c r="G505" s="4">
        <v>3.3866201130999994E8</v>
      </c>
      <c r="H505" s="5">
        <v>3.3866201131E8</v>
      </c>
      <c r="I505" s="6" t="s">
        <v>41</v>
      </c>
    </row>
    <row r="506">
      <c r="A506" s="1">
        <v>46229.0</v>
      </c>
      <c r="B506" s="3" t="s">
        <v>1</v>
      </c>
      <c r="C506" s="3" t="s">
        <v>497</v>
      </c>
      <c r="D506" s="5">
        <v>2.403961E7</v>
      </c>
      <c r="E506" s="4"/>
      <c r="F506" s="5" t="s">
        <v>3</v>
      </c>
      <c r="G506" s="4">
        <v>3.1462240130999994E8</v>
      </c>
      <c r="H506" s="5">
        <v>3.1462240131E8</v>
      </c>
      <c r="I506" s="6" t="s">
        <v>41</v>
      </c>
    </row>
    <row r="507">
      <c r="A507" s="1">
        <v>46229.0</v>
      </c>
      <c r="B507" s="3" t="s">
        <v>1</v>
      </c>
      <c r="C507" s="3" t="s">
        <v>498</v>
      </c>
      <c r="D507" s="5">
        <v>4.15256E7</v>
      </c>
      <c r="E507" s="4"/>
      <c r="F507" s="5" t="s">
        <v>3</v>
      </c>
      <c r="G507" s="4">
        <v>2.7309680130999994E8</v>
      </c>
      <c r="H507" s="4"/>
      <c r="I507" s="6" t="s">
        <v>41</v>
      </c>
    </row>
    <row r="508">
      <c r="A508" s="1">
        <v>46229.0</v>
      </c>
      <c r="B508" s="3" t="s">
        <v>1</v>
      </c>
      <c r="C508" s="3" t="s">
        <v>499</v>
      </c>
      <c r="D508" s="5">
        <v>6.0E7</v>
      </c>
      <c r="E508" s="4"/>
      <c r="F508" s="5" t="s">
        <v>3</v>
      </c>
      <c r="G508" s="4">
        <v>2.1309680130999994E8</v>
      </c>
      <c r="H508" s="4"/>
      <c r="I508" s="6" t="s">
        <v>41</v>
      </c>
    </row>
    <row r="509">
      <c r="A509" s="1">
        <v>46229.0</v>
      </c>
      <c r="B509" s="3" t="s">
        <v>1</v>
      </c>
      <c r="C509" s="3" t="s">
        <v>500</v>
      </c>
      <c r="D509" s="5">
        <v>6.0E7</v>
      </c>
      <c r="E509" s="4"/>
      <c r="F509" s="5" t="s">
        <v>3</v>
      </c>
      <c r="G509" s="4">
        <v>1.5309680130999994E8</v>
      </c>
      <c r="H509" s="5">
        <v>1.5309680131E8</v>
      </c>
      <c r="I509" s="6" t="s">
        <v>41</v>
      </c>
    </row>
    <row r="510">
      <c r="A510" s="1">
        <v>46230.0</v>
      </c>
      <c r="B510" s="3" t="s">
        <v>1</v>
      </c>
      <c r="C510" s="3" t="s">
        <v>501</v>
      </c>
      <c r="D510" s="5">
        <v>8.4248E7</v>
      </c>
      <c r="E510" s="4"/>
      <c r="F510" s="5" t="s">
        <v>3</v>
      </c>
      <c r="G510" s="4">
        <v>6.884880130999994E7</v>
      </c>
      <c r="H510" s="4"/>
      <c r="I510" s="6" t="s">
        <v>41</v>
      </c>
    </row>
    <row r="511">
      <c r="A511" s="1">
        <v>46230.0</v>
      </c>
      <c r="B511" s="3" t="s">
        <v>1</v>
      </c>
      <c r="C511" s="3" t="s">
        <v>502</v>
      </c>
      <c r="D511" s="5">
        <v>3000000.0</v>
      </c>
      <c r="E511" s="4"/>
      <c r="F511" s="5" t="s">
        <v>3</v>
      </c>
      <c r="G511" s="4">
        <v>6.584880130999994E7</v>
      </c>
      <c r="H511" s="4"/>
      <c r="I511" s="6" t="s">
        <v>41</v>
      </c>
    </row>
    <row r="512">
      <c r="A512" s="1">
        <v>46230.0</v>
      </c>
      <c r="B512" s="3" t="s">
        <v>14</v>
      </c>
      <c r="C512" s="3" t="s">
        <v>503</v>
      </c>
      <c r="D512" s="5"/>
      <c r="E512" s="5">
        <v>5.7005406E8</v>
      </c>
      <c r="F512" s="5" t="s">
        <v>16</v>
      </c>
      <c r="G512" s="4">
        <v>6.3590286131E8</v>
      </c>
      <c r="H512" s="4"/>
      <c r="I512" s="6" t="s">
        <v>41</v>
      </c>
    </row>
    <row r="513">
      <c r="A513" s="1">
        <v>46230.0</v>
      </c>
      <c r="B513" s="3" t="s">
        <v>14</v>
      </c>
      <c r="C513" s="3" t="s">
        <v>504</v>
      </c>
      <c r="D513" s="5"/>
      <c r="E513" s="5">
        <v>7.20202E7</v>
      </c>
      <c r="F513" s="5" t="s">
        <v>16</v>
      </c>
      <c r="G513" s="4">
        <v>7.0792306131E8</v>
      </c>
      <c r="H513" s="4"/>
      <c r="I513" s="6" t="s">
        <v>41</v>
      </c>
    </row>
    <row r="514">
      <c r="A514" s="1">
        <v>46230.0</v>
      </c>
      <c r="B514" s="3" t="s">
        <v>14</v>
      </c>
      <c r="C514" s="3" t="s">
        <v>505</v>
      </c>
      <c r="D514" s="5"/>
      <c r="E514" s="5">
        <v>2.308E7</v>
      </c>
      <c r="F514" s="5" t="s">
        <v>16</v>
      </c>
      <c r="G514" s="4">
        <v>7.3100306131E8</v>
      </c>
      <c r="H514" s="4"/>
      <c r="I514" s="6" t="s">
        <v>41</v>
      </c>
    </row>
    <row r="515">
      <c r="A515" s="1">
        <v>46230.0</v>
      </c>
      <c r="B515" s="3" t="s">
        <v>1</v>
      </c>
      <c r="C515" s="3" t="s">
        <v>506</v>
      </c>
      <c r="D515" s="5">
        <v>1.41435E8</v>
      </c>
      <c r="E515" s="4"/>
      <c r="F515" s="5" t="s">
        <v>3</v>
      </c>
      <c r="G515" s="4">
        <v>5.8956806131E8</v>
      </c>
      <c r="H515" s="4"/>
      <c r="I515" s="6" t="s">
        <v>41</v>
      </c>
    </row>
    <row r="516">
      <c r="A516" s="1">
        <v>46230.0</v>
      </c>
      <c r="B516" s="3" t="s">
        <v>1</v>
      </c>
      <c r="C516" s="3" t="s">
        <v>507</v>
      </c>
      <c r="D516" s="5">
        <v>6.150075E7</v>
      </c>
      <c r="E516" s="4"/>
      <c r="F516" s="5" t="s">
        <v>3</v>
      </c>
      <c r="G516" s="4">
        <v>5.2806731130999994E8</v>
      </c>
      <c r="H516" s="4"/>
      <c r="I516" s="6" t="s">
        <v>41</v>
      </c>
    </row>
    <row r="517">
      <c r="A517" s="1">
        <v>46230.0</v>
      </c>
      <c r="B517" s="3" t="s">
        <v>1</v>
      </c>
      <c r="C517" s="3" t="s">
        <v>508</v>
      </c>
      <c r="D517" s="5">
        <v>2.0881492E8</v>
      </c>
      <c r="E517" s="4"/>
      <c r="F517" s="5" t="s">
        <v>3</v>
      </c>
      <c r="G517" s="4">
        <v>3.1925239130999994E8</v>
      </c>
      <c r="H517" s="5">
        <v>3.1925239131E8</v>
      </c>
      <c r="I517" s="6" t="s">
        <v>41</v>
      </c>
    </row>
    <row r="518">
      <c r="A518" s="1">
        <v>46230.0</v>
      </c>
      <c r="B518" s="3" t="s">
        <v>14</v>
      </c>
      <c r="C518" s="3" t="s">
        <v>509</v>
      </c>
      <c r="D518" s="5"/>
      <c r="E518" s="5">
        <v>1.644201E8</v>
      </c>
      <c r="F518" s="5" t="s">
        <v>16</v>
      </c>
      <c r="G518" s="4">
        <v>4.8367249130999994E8</v>
      </c>
      <c r="H518" s="5">
        <v>4.8367249131E8</v>
      </c>
      <c r="I518" s="6" t="s">
        <v>41</v>
      </c>
    </row>
    <row r="519">
      <c r="A519" s="1">
        <v>46230.0</v>
      </c>
      <c r="B519" s="3" t="s">
        <v>1</v>
      </c>
      <c r="C519" s="3" t="s">
        <v>510</v>
      </c>
      <c r="D519" s="5">
        <v>1.32577E8</v>
      </c>
      <c r="E519" s="4"/>
      <c r="F519" s="5" t="s">
        <v>3</v>
      </c>
      <c r="G519" s="4">
        <v>3.5109549130999994E8</v>
      </c>
      <c r="H519" s="4"/>
      <c r="I519" s="6" t="s">
        <v>41</v>
      </c>
    </row>
    <row r="520">
      <c r="A520" s="1">
        <v>46230.0</v>
      </c>
      <c r="B520" s="3" t="s">
        <v>1</v>
      </c>
      <c r="C520" s="3" t="s">
        <v>511</v>
      </c>
      <c r="D520" s="5">
        <v>5.46723E7</v>
      </c>
      <c r="E520" s="4"/>
      <c r="F520" s="5" t="s">
        <v>3</v>
      </c>
      <c r="G520" s="4">
        <v>2.9642319130999994E8</v>
      </c>
      <c r="H520" s="4"/>
      <c r="I520" s="6" t="s">
        <v>41</v>
      </c>
    </row>
    <row r="521">
      <c r="A521" s="1">
        <v>46230.0</v>
      </c>
      <c r="B521" s="3" t="s">
        <v>1</v>
      </c>
      <c r="C521" s="3" t="s">
        <v>512</v>
      </c>
      <c r="D521" s="5">
        <v>9.274275E7</v>
      </c>
      <c r="E521" s="4"/>
      <c r="F521" s="5" t="s">
        <v>3</v>
      </c>
      <c r="G521" s="4">
        <v>2.0368044130999994E8</v>
      </c>
      <c r="H521" s="4"/>
      <c r="I521" s="6" t="s">
        <v>41</v>
      </c>
    </row>
    <row r="522">
      <c r="A522" s="1">
        <v>46230.0</v>
      </c>
      <c r="B522" s="3" t="s">
        <v>1</v>
      </c>
      <c r="C522" s="3" t="s">
        <v>513</v>
      </c>
      <c r="D522" s="5">
        <v>6.135465E7</v>
      </c>
      <c r="E522" s="4"/>
      <c r="F522" s="5" t="s">
        <v>3</v>
      </c>
      <c r="G522" s="4">
        <v>1.4232579130999994E8</v>
      </c>
      <c r="H522" s="4"/>
      <c r="I522" s="6" t="s">
        <v>41</v>
      </c>
    </row>
    <row r="523">
      <c r="A523" s="1">
        <v>46230.0</v>
      </c>
      <c r="B523" s="3" t="s">
        <v>1</v>
      </c>
      <c r="C523" s="3" t="s">
        <v>514</v>
      </c>
      <c r="D523" s="5">
        <v>1500000.0</v>
      </c>
      <c r="E523" s="4"/>
      <c r="F523" s="5" t="s">
        <v>3</v>
      </c>
      <c r="G523" s="4">
        <v>1.4082579130999994E8</v>
      </c>
      <c r="H523" s="4"/>
      <c r="I523" s="6" t="s">
        <v>41</v>
      </c>
    </row>
    <row r="524">
      <c r="A524" s="1">
        <v>46230.0</v>
      </c>
      <c r="B524" s="3" t="s">
        <v>14</v>
      </c>
      <c r="C524" s="3" t="s">
        <v>515</v>
      </c>
      <c r="D524" s="5"/>
      <c r="E524" s="5">
        <v>6.753375E7</v>
      </c>
      <c r="F524" s="5" t="s">
        <v>16</v>
      </c>
      <c r="G524" s="4">
        <v>2.0835954130999994E8</v>
      </c>
      <c r="H524" s="4"/>
      <c r="I524" s="6" t="s">
        <v>41</v>
      </c>
    </row>
    <row r="525">
      <c r="A525" s="1">
        <v>46230.0</v>
      </c>
      <c r="B525" s="3" t="s">
        <v>1</v>
      </c>
      <c r="C525" s="3" t="s">
        <v>516</v>
      </c>
      <c r="D525" s="5">
        <v>3.55905E7</v>
      </c>
      <c r="E525" s="4"/>
      <c r="F525" s="5" t="s">
        <v>3</v>
      </c>
      <c r="G525" s="4">
        <v>1.7276904130999994E8</v>
      </c>
      <c r="H525" s="4"/>
      <c r="I525" s="6" t="s">
        <v>41</v>
      </c>
    </row>
    <row r="526">
      <c r="A526" s="1">
        <v>46230.0</v>
      </c>
      <c r="B526" s="3" t="s">
        <v>1</v>
      </c>
      <c r="C526" s="3" t="s">
        <v>517</v>
      </c>
      <c r="D526" s="5">
        <v>6100000.0</v>
      </c>
      <c r="E526" s="4"/>
      <c r="F526" s="5" t="s">
        <v>3</v>
      </c>
      <c r="G526" s="4">
        <v>1.6666904130999994E8</v>
      </c>
      <c r="H526" s="4"/>
      <c r="I526" s="6" t="s">
        <v>41</v>
      </c>
    </row>
    <row r="527">
      <c r="A527" s="1">
        <v>46230.0</v>
      </c>
      <c r="B527" s="3" t="s">
        <v>1</v>
      </c>
      <c r="C527" s="3" t="s">
        <v>518</v>
      </c>
      <c r="D527" s="5">
        <v>824380.0</v>
      </c>
      <c r="E527" s="4"/>
      <c r="F527" s="5" t="s">
        <v>3</v>
      </c>
      <c r="G527" s="4">
        <v>1.6584466130999994E8</v>
      </c>
      <c r="H527" s="4"/>
      <c r="I527" s="6" t="s">
        <v>41</v>
      </c>
    </row>
    <row r="528">
      <c r="A528" s="1">
        <v>46230.0</v>
      </c>
      <c r="B528" s="3" t="s">
        <v>14</v>
      </c>
      <c r="C528" s="3" t="s">
        <v>519</v>
      </c>
      <c r="D528" s="5"/>
      <c r="E528" s="5">
        <v>6.5914062E7</v>
      </c>
      <c r="F528" s="5" t="s">
        <v>16</v>
      </c>
      <c r="G528" s="4">
        <v>2.3175872330999994E8</v>
      </c>
      <c r="H528" s="4"/>
      <c r="I528" s="6" t="s">
        <v>41</v>
      </c>
    </row>
    <row r="529">
      <c r="A529" s="1">
        <v>46230.0</v>
      </c>
      <c r="B529" s="3" t="s">
        <v>1</v>
      </c>
      <c r="C529" s="3" t="s">
        <v>520</v>
      </c>
      <c r="D529" s="5">
        <v>8450000.0</v>
      </c>
      <c r="E529" s="4"/>
      <c r="F529" s="5" t="s">
        <v>3</v>
      </c>
      <c r="G529" s="4">
        <v>2.2330872330999994E8</v>
      </c>
      <c r="H529" s="5">
        <v>2.2330872331E8</v>
      </c>
      <c r="I529" s="6" t="s">
        <v>41</v>
      </c>
    </row>
    <row r="530">
      <c r="A530" s="1">
        <v>46230.0</v>
      </c>
      <c r="B530" s="3" t="s">
        <v>521</v>
      </c>
      <c r="C530" s="3" t="s">
        <v>521</v>
      </c>
      <c r="D530" s="5">
        <v>700000.0</v>
      </c>
      <c r="E530" s="4"/>
      <c r="F530" s="4"/>
      <c r="G530" s="4">
        <v>2.2260872330999994E8</v>
      </c>
      <c r="H530" s="5">
        <v>2.2260872331E8</v>
      </c>
      <c r="I530" s="6" t="s">
        <v>41</v>
      </c>
    </row>
    <row r="531">
      <c r="A531" s="1">
        <v>46230.0</v>
      </c>
      <c r="B531" s="3" t="s">
        <v>1</v>
      </c>
      <c r="C531" s="3" t="s">
        <v>522</v>
      </c>
      <c r="D531" s="5">
        <v>1.0E8</v>
      </c>
      <c r="E531" s="4"/>
      <c r="F531" s="5" t="s">
        <v>3</v>
      </c>
      <c r="G531" s="4">
        <v>1.2260872330999994E8</v>
      </c>
      <c r="H531" s="4"/>
      <c r="I531" s="6" t="s">
        <v>41</v>
      </c>
    </row>
    <row r="532">
      <c r="A532" s="1">
        <v>46230.0</v>
      </c>
      <c r="B532" s="3" t="s">
        <v>14</v>
      </c>
      <c r="C532" s="3" t="s">
        <v>523</v>
      </c>
      <c r="D532" s="5"/>
      <c r="E532" s="5">
        <v>5.8094442E8</v>
      </c>
      <c r="F532" s="5" t="s">
        <v>16</v>
      </c>
      <c r="G532" s="4">
        <v>7.0355314331E8</v>
      </c>
      <c r="H532" s="4"/>
      <c r="I532" s="6" t="s">
        <v>41</v>
      </c>
    </row>
    <row r="533">
      <c r="A533" s="1">
        <v>46230.0</v>
      </c>
      <c r="B533" s="3" t="s">
        <v>100</v>
      </c>
      <c r="C533" s="3" t="s">
        <v>230</v>
      </c>
      <c r="D533" s="5">
        <v>114200.0</v>
      </c>
      <c r="E533" s="4"/>
      <c r="F533" s="4"/>
      <c r="G533" s="4">
        <v>7.0343894331E8</v>
      </c>
      <c r="H533" s="4"/>
      <c r="I533" s="6" t="s">
        <v>41</v>
      </c>
    </row>
    <row r="534">
      <c r="A534" s="1">
        <v>46230.0</v>
      </c>
      <c r="B534" s="3" t="s">
        <v>1</v>
      </c>
      <c r="C534" s="3" t="s">
        <v>524</v>
      </c>
      <c r="D534" s="5">
        <v>5.0E7</v>
      </c>
      <c r="E534" s="4"/>
      <c r="F534" s="5" t="s">
        <v>3</v>
      </c>
      <c r="G534" s="4">
        <v>6.5343894331E8</v>
      </c>
      <c r="H534" s="5">
        <v>6.5343894331E8</v>
      </c>
      <c r="I534" s="6" t="s">
        <v>41</v>
      </c>
    </row>
    <row r="535">
      <c r="A535" s="1">
        <v>46231.0</v>
      </c>
      <c r="B535" s="3" t="s">
        <v>1</v>
      </c>
      <c r="C535" s="3" t="s">
        <v>525</v>
      </c>
      <c r="D535" s="5">
        <v>3300610.0</v>
      </c>
      <c r="E535" s="4"/>
      <c r="F535" s="5" t="s">
        <v>3</v>
      </c>
      <c r="G535" s="4">
        <v>6.5013833331E8</v>
      </c>
      <c r="H535" s="4"/>
      <c r="I535" s="6" t="s">
        <v>41</v>
      </c>
    </row>
    <row r="536">
      <c r="A536" s="1">
        <v>46231.0</v>
      </c>
      <c r="B536" s="3" t="s">
        <v>1</v>
      </c>
      <c r="C536" s="3" t="s">
        <v>526</v>
      </c>
      <c r="D536" s="5">
        <v>8947000.0</v>
      </c>
      <c r="E536" s="4"/>
      <c r="F536" s="5" t="s">
        <v>3</v>
      </c>
      <c r="G536" s="4">
        <v>6.4119133331E8</v>
      </c>
      <c r="H536" s="4"/>
      <c r="I536" s="6" t="s">
        <v>41</v>
      </c>
    </row>
    <row r="537">
      <c r="A537" s="1">
        <v>46231.0</v>
      </c>
      <c r="B537" s="3" t="s">
        <v>1</v>
      </c>
      <c r="C537" s="3" t="s">
        <v>527</v>
      </c>
      <c r="D537" s="5">
        <v>2.25E7</v>
      </c>
      <c r="E537" s="4"/>
      <c r="F537" s="5" t="s">
        <v>3</v>
      </c>
      <c r="G537" s="4">
        <v>6.1869133331E8</v>
      </c>
      <c r="H537" s="4"/>
      <c r="I537" s="6" t="s">
        <v>41</v>
      </c>
    </row>
    <row r="538">
      <c r="A538" s="1">
        <v>46231.0</v>
      </c>
      <c r="B538" s="3" t="s">
        <v>1</v>
      </c>
      <c r="C538" s="3" t="s">
        <v>528</v>
      </c>
      <c r="D538" s="5">
        <v>7.15509E7</v>
      </c>
      <c r="E538" s="4"/>
      <c r="F538" s="5" t="s">
        <v>3</v>
      </c>
      <c r="G538" s="4">
        <v>5.4714043331E8</v>
      </c>
      <c r="H538" s="4"/>
      <c r="I538" s="6" t="s">
        <v>41</v>
      </c>
    </row>
    <row r="539">
      <c r="A539" s="1">
        <v>46231.0</v>
      </c>
      <c r="B539" s="3" t="s">
        <v>1</v>
      </c>
      <c r="C539" s="3" t="s">
        <v>529</v>
      </c>
      <c r="D539" s="5">
        <v>9.0E7</v>
      </c>
      <c r="E539" s="4"/>
      <c r="F539" s="5" t="s">
        <v>3</v>
      </c>
      <c r="G539" s="4">
        <v>4.5714043330999994E8</v>
      </c>
      <c r="H539" s="4"/>
      <c r="I539" s="6" t="s">
        <v>41</v>
      </c>
    </row>
    <row r="540">
      <c r="A540" s="1">
        <v>46231.0</v>
      </c>
      <c r="B540" s="3" t="s">
        <v>1</v>
      </c>
      <c r="C540" s="3" t="s">
        <v>530</v>
      </c>
      <c r="D540" s="5">
        <v>6.3E7</v>
      </c>
      <c r="E540" s="4"/>
      <c r="F540" s="5" t="s">
        <v>3</v>
      </c>
      <c r="G540" s="4">
        <v>3.9414043330999994E8</v>
      </c>
      <c r="H540" s="4"/>
      <c r="I540" s="6" t="s">
        <v>41</v>
      </c>
    </row>
    <row r="541">
      <c r="A541" s="1">
        <v>46231.0</v>
      </c>
      <c r="B541" s="3" t="s">
        <v>1</v>
      </c>
      <c r="C541" s="3" t="s">
        <v>531</v>
      </c>
      <c r="D541" s="5">
        <v>6.7E7</v>
      </c>
      <c r="E541" s="4"/>
      <c r="F541" s="5" t="s">
        <v>3</v>
      </c>
      <c r="G541" s="4">
        <v>3.2714043330999994E8</v>
      </c>
      <c r="H541" s="4"/>
      <c r="I541" s="6" t="s">
        <v>41</v>
      </c>
    </row>
    <row r="542">
      <c r="A542" s="1">
        <v>46231.0</v>
      </c>
      <c r="B542" s="3" t="s">
        <v>1</v>
      </c>
      <c r="C542" s="3" t="s">
        <v>532</v>
      </c>
      <c r="D542" s="5">
        <v>1.0E7</v>
      </c>
      <c r="E542" s="4"/>
      <c r="F542" s="5" t="s">
        <v>3</v>
      </c>
      <c r="G542" s="4">
        <v>3.1714043330999994E8</v>
      </c>
      <c r="H542" s="4"/>
      <c r="I542" s="6" t="s">
        <v>41</v>
      </c>
    </row>
    <row r="543">
      <c r="A543" s="1">
        <v>46231.0</v>
      </c>
      <c r="B543" s="3" t="s">
        <v>1</v>
      </c>
      <c r="C543" s="3" t="s">
        <v>533</v>
      </c>
      <c r="D543" s="5">
        <v>6.475E7</v>
      </c>
      <c r="E543" s="4"/>
      <c r="F543" s="5" t="s">
        <v>3</v>
      </c>
      <c r="G543" s="4">
        <v>2.5239043330999994E8</v>
      </c>
      <c r="H543" s="5">
        <v>2.5239043331E8</v>
      </c>
      <c r="I543" s="6" t="s">
        <v>41</v>
      </c>
    </row>
    <row r="544">
      <c r="A544" s="1">
        <v>46231.0</v>
      </c>
      <c r="B544" s="3" t="s">
        <v>1</v>
      </c>
      <c r="C544" s="3" t="s">
        <v>534</v>
      </c>
      <c r="D544" s="5">
        <v>7.35E7</v>
      </c>
      <c r="E544" s="4"/>
      <c r="F544" s="5" t="s">
        <v>3</v>
      </c>
      <c r="G544" s="4">
        <v>1.7889043330999994E8</v>
      </c>
      <c r="H544" s="5">
        <v>1.7889043331E8</v>
      </c>
      <c r="I544" s="6" t="s">
        <v>41</v>
      </c>
    </row>
    <row r="545">
      <c r="A545" s="1">
        <v>46231.0</v>
      </c>
      <c r="B545" s="3" t="s">
        <v>1</v>
      </c>
      <c r="C545" s="3" t="s">
        <v>535</v>
      </c>
      <c r="D545" s="5">
        <v>2556000.0</v>
      </c>
      <c r="E545" s="4"/>
      <c r="F545" s="5" t="s">
        <v>3</v>
      </c>
      <c r="G545" s="4">
        <v>1.7633443330999994E8</v>
      </c>
      <c r="H545" s="4"/>
      <c r="I545" s="6" t="s">
        <v>41</v>
      </c>
    </row>
    <row r="546">
      <c r="A546" s="1">
        <v>46231.0</v>
      </c>
      <c r="B546" s="3" t="s">
        <v>1</v>
      </c>
      <c r="C546" s="3" t="s">
        <v>536</v>
      </c>
      <c r="D546" s="5">
        <v>1638500.0</v>
      </c>
      <c r="E546" s="4"/>
      <c r="F546" s="5" t="s">
        <v>3</v>
      </c>
      <c r="G546" s="4">
        <v>1.7469593330999994E8</v>
      </c>
      <c r="H546" s="4"/>
      <c r="I546" s="6" t="s">
        <v>41</v>
      </c>
    </row>
    <row r="547">
      <c r="A547" s="1">
        <v>46231.0</v>
      </c>
      <c r="B547" s="3" t="s">
        <v>1</v>
      </c>
      <c r="C547" s="3" t="s">
        <v>537</v>
      </c>
      <c r="D547" s="5">
        <v>1107000.0</v>
      </c>
      <c r="E547" s="4"/>
      <c r="F547" s="5" t="s">
        <v>3</v>
      </c>
      <c r="G547" s="4">
        <v>1.7358893330999994E8</v>
      </c>
      <c r="H547" s="4"/>
      <c r="I547" s="6" t="s">
        <v>41</v>
      </c>
    </row>
    <row r="548">
      <c r="A548" s="1">
        <v>46231.0</v>
      </c>
      <c r="B548" s="3" t="s">
        <v>1</v>
      </c>
      <c r="C548" s="3" t="s">
        <v>538</v>
      </c>
      <c r="D548" s="5">
        <v>7.176025E7</v>
      </c>
      <c r="E548" s="4"/>
      <c r="F548" s="5" t="s">
        <v>3</v>
      </c>
      <c r="G548" s="4">
        <v>1.0182868330999994E8</v>
      </c>
      <c r="H548" s="4"/>
      <c r="I548" s="6" t="s">
        <v>41</v>
      </c>
    </row>
    <row r="549">
      <c r="A549" s="1">
        <v>46231.0</v>
      </c>
      <c r="B549" s="3" t="s">
        <v>1</v>
      </c>
      <c r="C549" s="3" t="s">
        <v>539</v>
      </c>
      <c r="D549" s="5">
        <v>2013900.0</v>
      </c>
      <c r="E549" s="4"/>
      <c r="F549" s="5" t="s">
        <v>3</v>
      </c>
      <c r="G549" s="4">
        <v>9.981478330999994E7</v>
      </c>
      <c r="H549" s="4"/>
      <c r="I549" s="6" t="s">
        <v>41</v>
      </c>
    </row>
    <row r="550">
      <c r="A550" s="1">
        <v>46231.0</v>
      </c>
      <c r="B550" s="3" t="s">
        <v>14</v>
      </c>
      <c r="C550" s="3" t="s">
        <v>540</v>
      </c>
      <c r="D550" s="5"/>
      <c r="E550" s="5">
        <v>3.4E7</v>
      </c>
      <c r="F550" s="5" t="s">
        <v>16</v>
      </c>
      <c r="G550" s="4">
        <v>1.3381478330999994E8</v>
      </c>
      <c r="H550" s="4"/>
      <c r="I550" s="6" t="s">
        <v>41</v>
      </c>
    </row>
    <row r="551">
      <c r="A551" s="1">
        <v>46231.0</v>
      </c>
      <c r="B551" s="3" t="s">
        <v>1</v>
      </c>
      <c r="C551" s="3" t="s">
        <v>541</v>
      </c>
      <c r="D551" s="5">
        <v>2500000.0</v>
      </c>
      <c r="E551" s="4"/>
      <c r="F551" s="5" t="s">
        <v>3</v>
      </c>
      <c r="G551" s="4">
        <v>1.3131478330999994E8</v>
      </c>
      <c r="H551" s="4"/>
      <c r="I551" s="6" t="s">
        <v>41</v>
      </c>
    </row>
    <row r="552">
      <c r="A552" s="1">
        <v>46231.0</v>
      </c>
      <c r="B552" s="3" t="s">
        <v>1</v>
      </c>
      <c r="C552" s="3" t="s">
        <v>542</v>
      </c>
      <c r="D552" s="5">
        <v>1236600.0</v>
      </c>
      <c r="E552" s="4"/>
      <c r="F552" s="5" t="s">
        <v>3</v>
      </c>
      <c r="G552" s="4">
        <v>1.3007818330999994E8</v>
      </c>
      <c r="H552" s="4"/>
      <c r="I552" s="6" t="s">
        <v>41</v>
      </c>
    </row>
    <row r="553">
      <c r="A553" s="1">
        <v>46231.0</v>
      </c>
      <c r="B553" s="3" t="s">
        <v>1</v>
      </c>
      <c r="C553" s="3" t="s">
        <v>543</v>
      </c>
      <c r="D553" s="5">
        <v>1510650.0</v>
      </c>
      <c r="E553" s="4"/>
      <c r="F553" s="5" t="s">
        <v>3</v>
      </c>
      <c r="G553" s="4">
        <v>1.2856753330999994E8</v>
      </c>
      <c r="H553" s="4"/>
      <c r="I553" s="6" t="s">
        <v>41</v>
      </c>
    </row>
    <row r="554">
      <c r="A554" s="1">
        <v>46231.0</v>
      </c>
      <c r="B554" s="3" t="s">
        <v>1</v>
      </c>
      <c r="C554" s="3" t="s">
        <v>544</v>
      </c>
      <c r="D554" s="5">
        <v>5.076E7</v>
      </c>
      <c r="E554" s="4"/>
      <c r="F554" s="5" t="s">
        <v>3</v>
      </c>
      <c r="G554" s="4">
        <v>7.780753330999994E7</v>
      </c>
      <c r="H554" s="4"/>
      <c r="I554" s="6" t="s">
        <v>41</v>
      </c>
    </row>
    <row r="555">
      <c r="A555" s="1">
        <v>46231.0</v>
      </c>
      <c r="B555" s="3" t="s">
        <v>1</v>
      </c>
      <c r="C555" s="3" t="s">
        <v>545</v>
      </c>
      <c r="D555" s="5">
        <v>7.24479E7</v>
      </c>
      <c r="E555" s="4"/>
      <c r="F555" s="5" t="s">
        <v>3</v>
      </c>
      <c r="G555" s="4">
        <v>5359633.309999943</v>
      </c>
      <c r="H555" s="4"/>
      <c r="I555" s="6" t="s">
        <v>41</v>
      </c>
    </row>
    <row r="556">
      <c r="A556" s="1">
        <v>46231.0</v>
      </c>
      <c r="B556" s="3" t="s">
        <v>14</v>
      </c>
      <c r="C556" s="3" t="s">
        <v>546</v>
      </c>
      <c r="D556" s="5"/>
      <c r="E556" s="5">
        <v>1.3214803E8</v>
      </c>
      <c r="F556" s="5" t="s">
        <v>16</v>
      </c>
      <c r="G556" s="4">
        <v>1.3750766330999994E8</v>
      </c>
      <c r="H556" s="4"/>
      <c r="I556" s="6" t="s">
        <v>41</v>
      </c>
    </row>
    <row r="557">
      <c r="A557" s="1">
        <v>46231.0</v>
      </c>
      <c r="B557" s="3" t="s">
        <v>547</v>
      </c>
      <c r="C557" s="3" t="s">
        <v>547</v>
      </c>
      <c r="D557" s="5">
        <v>100000.0</v>
      </c>
      <c r="E557" s="4"/>
      <c r="F557" s="4"/>
      <c r="G557" s="4">
        <v>1.3740766330999994E8</v>
      </c>
      <c r="H557" s="5">
        <v>1.3740766331E8</v>
      </c>
      <c r="I557" s="6" t="s">
        <v>41</v>
      </c>
    </row>
    <row r="558">
      <c r="A558" s="1">
        <v>46231.0</v>
      </c>
      <c r="B558" s="3" t="s">
        <v>14</v>
      </c>
      <c r="C558" s="3" t="s">
        <v>548</v>
      </c>
      <c r="D558" s="5"/>
      <c r="E558" s="5">
        <v>5.7708571E7</v>
      </c>
      <c r="F558" s="5" t="s">
        <v>16</v>
      </c>
      <c r="G558" s="4">
        <v>1.9511623430999994E8</v>
      </c>
      <c r="H558" s="5">
        <v>1.9511623431E8</v>
      </c>
      <c r="I558" s="6" t="s">
        <v>41</v>
      </c>
    </row>
    <row r="559">
      <c r="A559" s="1">
        <v>46231.0</v>
      </c>
      <c r="B559" s="3" t="s">
        <v>14</v>
      </c>
      <c r="C559" s="3" t="s">
        <v>549</v>
      </c>
      <c r="D559" s="5"/>
      <c r="E559" s="5">
        <v>9.299576E7</v>
      </c>
      <c r="F559" s="5" t="s">
        <v>16</v>
      </c>
      <c r="G559" s="4">
        <v>2.8811199430999994E8</v>
      </c>
      <c r="H559" s="4"/>
      <c r="I559" s="6" t="s">
        <v>41</v>
      </c>
    </row>
    <row r="560">
      <c r="A560" s="1">
        <v>46231.0</v>
      </c>
      <c r="B560" s="3" t="s">
        <v>1</v>
      </c>
      <c r="C560" s="3" t="s">
        <v>550</v>
      </c>
      <c r="D560" s="5">
        <v>4.0E7</v>
      </c>
      <c r="E560" s="4"/>
      <c r="F560" s="5" t="s">
        <v>3</v>
      </c>
      <c r="G560" s="4">
        <v>2.4811199430999994E8</v>
      </c>
      <c r="H560" s="4"/>
      <c r="I560" s="6" t="s">
        <v>41</v>
      </c>
    </row>
    <row r="561">
      <c r="A561" s="1">
        <v>46231.0</v>
      </c>
      <c r="B561" s="3" t="s">
        <v>1</v>
      </c>
      <c r="C561" s="3" t="s">
        <v>551</v>
      </c>
      <c r="D561" s="5">
        <v>5.89449E7</v>
      </c>
      <c r="E561" s="4"/>
      <c r="F561" s="5" t="s">
        <v>3</v>
      </c>
      <c r="G561" s="4">
        <v>1.8916709430999994E8</v>
      </c>
      <c r="H561" s="4"/>
      <c r="I561" s="6" t="s">
        <v>41</v>
      </c>
    </row>
    <row r="562">
      <c r="A562" s="1">
        <v>46231.0</v>
      </c>
      <c r="B562" s="3" t="s">
        <v>14</v>
      </c>
      <c r="C562" s="3" t="s">
        <v>552</v>
      </c>
      <c r="D562" s="5"/>
      <c r="E562" s="5">
        <v>1.48399661E8</v>
      </c>
      <c r="F562" s="5" t="s">
        <v>16</v>
      </c>
      <c r="G562" s="4">
        <v>3.3756675530999994E8</v>
      </c>
      <c r="H562" s="4"/>
      <c r="I562" s="6" t="s">
        <v>41</v>
      </c>
    </row>
    <row r="563">
      <c r="A563" s="1">
        <v>46231.0</v>
      </c>
      <c r="B563" s="3" t="s">
        <v>1</v>
      </c>
      <c r="C563" s="3" t="s">
        <v>553</v>
      </c>
      <c r="D563" s="5">
        <v>2.488E7</v>
      </c>
      <c r="E563" s="4"/>
      <c r="F563" s="5" t="s">
        <v>3</v>
      </c>
      <c r="G563" s="4">
        <v>3.1268675530999994E8</v>
      </c>
      <c r="H563" s="4"/>
      <c r="I563" s="6" t="s">
        <v>41</v>
      </c>
    </row>
    <row r="564">
      <c r="A564" s="1">
        <v>46231.0</v>
      </c>
      <c r="B564" s="3" t="s">
        <v>14</v>
      </c>
      <c r="C564" s="3" t="s">
        <v>554</v>
      </c>
      <c r="D564" s="5"/>
      <c r="E564" s="5">
        <v>6.8286228E8</v>
      </c>
      <c r="F564" s="5" t="s">
        <v>16</v>
      </c>
      <c r="G564" s="4">
        <v>9.9554903531E8</v>
      </c>
      <c r="H564" s="4"/>
      <c r="I564" s="6" t="s">
        <v>41</v>
      </c>
    </row>
    <row r="565">
      <c r="A565" s="1">
        <v>46231.0</v>
      </c>
      <c r="B565" s="3" t="s">
        <v>1</v>
      </c>
      <c r="C565" s="3" t="s">
        <v>555</v>
      </c>
      <c r="D565" s="5">
        <v>2.0E7</v>
      </c>
      <c r="E565" s="4"/>
      <c r="F565" s="5" t="s">
        <v>3</v>
      </c>
      <c r="G565" s="4">
        <v>9.7554903531E8</v>
      </c>
      <c r="H565" s="4"/>
      <c r="I565" s="6" t="s">
        <v>41</v>
      </c>
    </row>
    <row r="566">
      <c r="A566" s="1">
        <v>46231.0</v>
      </c>
      <c r="B566" s="3" t="s">
        <v>1</v>
      </c>
      <c r="C566" s="3" t="s">
        <v>556</v>
      </c>
      <c r="D566" s="5">
        <v>1350000.0</v>
      </c>
      <c r="E566" s="4"/>
      <c r="F566" s="5" t="s">
        <v>3</v>
      </c>
      <c r="G566" s="4">
        <v>9.7419903531E8</v>
      </c>
      <c r="H566" s="4"/>
      <c r="I566" s="6" t="s">
        <v>41</v>
      </c>
    </row>
    <row r="567">
      <c r="A567" s="1">
        <v>46231.0</v>
      </c>
      <c r="B567" s="3" t="s">
        <v>1</v>
      </c>
      <c r="C567" s="3" t="s">
        <v>557</v>
      </c>
      <c r="D567" s="5">
        <v>1.0E8</v>
      </c>
      <c r="E567" s="4"/>
      <c r="F567" s="5" t="s">
        <v>3</v>
      </c>
      <c r="G567" s="4">
        <v>8.7419903531E8</v>
      </c>
      <c r="H567" s="5">
        <v>8.7419903531E8</v>
      </c>
      <c r="I567" s="6" t="s">
        <v>41</v>
      </c>
    </row>
    <row r="568">
      <c r="A568" s="1">
        <v>46232.0</v>
      </c>
      <c r="B568" s="3" t="s">
        <v>1</v>
      </c>
      <c r="C568" s="3" t="s">
        <v>558</v>
      </c>
      <c r="D568" s="5">
        <v>4.757755E8</v>
      </c>
      <c r="E568" s="4"/>
      <c r="F568" s="5" t="s">
        <v>3</v>
      </c>
      <c r="G568" s="4">
        <v>3.9842353530999994E8</v>
      </c>
      <c r="H568" s="4"/>
      <c r="I568" s="6" t="s">
        <v>41</v>
      </c>
    </row>
    <row r="569">
      <c r="A569" s="1">
        <v>46232.0</v>
      </c>
      <c r="B569" s="3" t="s">
        <v>1</v>
      </c>
      <c r="C569" s="3" t="s">
        <v>559</v>
      </c>
      <c r="D569" s="5">
        <v>1.234611E8</v>
      </c>
      <c r="E569" s="4"/>
      <c r="F569" s="5" t="s">
        <v>3</v>
      </c>
      <c r="G569" s="4">
        <v>2.7496243530999994E8</v>
      </c>
      <c r="H569" s="5">
        <v>2.7496243531E8</v>
      </c>
      <c r="I569" s="6" t="s">
        <v>41</v>
      </c>
    </row>
    <row r="570">
      <c r="A570" s="1">
        <v>46232.0</v>
      </c>
      <c r="B570" s="3" t="s">
        <v>1</v>
      </c>
      <c r="C570" s="3" t="s">
        <v>560</v>
      </c>
      <c r="D570" s="5">
        <v>6.02471E7</v>
      </c>
      <c r="E570" s="4"/>
      <c r="F570" s="5" t="s">
        <v>3</v>
      </c>
      <c r="G570" s="4">
        <v>2.1471533530999994E8</v>
      </c>
      <c r="H570" s="5">
        <v>2.1471533531E8</v>
      </c>
      <c r="I570" s="6" t="s">
        <v>41</v>
      </c>
    </row>
    <row r="571">
      <c r="A571" s="1">
        <v>46232.0</v>
      </c>
      <c r="B571" s="3" t="s">
        <v>1</v>
      </c>
      <c r="C571" s="3" t="s">
        <v>561</v>
      </c>
      <c r="D571" s="5">
        <v>6.66823E7</v>
      </c>
      <c r="E571" s="4"/>
      <c r="F571" s="5" t="s">
        <v>3</v>
      </c>
      <c r="G571" s="4">
        <v>1.4803303530999994E8</v>
      </c>
      <c r="H571" s="4"/>
      <c r="I571" s="6" t="s">
        <v>41</v>
      </c>
    </row>
    <row r="572">
      <c r="A572" s="1">
        <v>46232.0</v>
      </c>
      <c r="B572" s="3" t="s">
        <v>1</v>
      </c>
      <c r="C572" s="3" t="s">
        <v>562</v>
      </c>
      <c r="D572" s="5">
        <v>3.3E7</v>
      </c>
      <c r="E572" s="4"/>
      <c r="F572" s="5" t="s">
        <v>3</v>
      </c>
      <c r="G572" s="4">
        <v>1.1503303530999994E8</v>
      </c>
      <c r="H572" s="4"/>
      <c r="I572" s="6" t="s">
        <v>41</v>
      </c>
    </row>
    <row r="573">
      <c r="A573" s="1">
        <v>46232.0</v>
      </c>
      <c r="B573" s="3" t="s">
        <v>1</v>
      </c>
      <c r="C573" s="3" t="s">
        <v>563</v>
      </c>
      <c r="D573" s="5">
        <v>3.0E7</v>
      </c>
      <c r="E573" s="4"/>
      <c r="F573" s="5" t="s">
        <v>3</v>
      </c>
      <c r="G573" s="4">
        <v>8.503303530999994E7</v>
      </c>
      <c r="H573" s="4"/>
      <c r="I573" s="6" t="s">
        <v>41</v>
      </c>
    </row>
    <row r="574">
      <c r="A574" s="1">
        <v>46232.0</v>
      </c>
      <c r="B574" s="3" t="s">
        <v>1</v>
      </c>
      <c r="C574" s="3" t="s">
        <v>564</v>
      </c>
      <c r="D574" s="5">
        <v>5.436096E7</v>
      </c>
      <c r="E574" s="4"/>
      <c r="F574" s="5" t="s">
        <v>3</v>
      </c>
      <c r="G574" s="4">
        <v>3.0672075309999943E7</v>
      </c>
      <c r="H574" s="4"/>
      <c r="I574" s="6" t="s">
        <v>41</v>
      </c>
    </row>
    <row r="575">
      <c r="A575" s="1">
        <v>46232.0</v>
      </c>
      <c r="B575" s="3" t="s">
        <v>6</v>
      </c>
      <c r="C575" s="3" t="s">
        <v>565</v>
      </c>
      <c r="D575" s="5">
        <v>70000.0</v>
      </c>
      <c r="E575" s="4"/>
      <c r="F575" s="5" t="s">
        <v>3</v>
      </c>
      <c r="G575" s="4">
        <v>3.0602075309999943E7</v>
      </c>
      <c r="H575" s="4"/>
      <c r="I575" s="6" t="s">
        <v>41</v>
      </c>
    </row>
    <row r="576">
      <c r="A576" s="1">
        <v>46232.0</v>
      </c>
      <c r="B576" s="3" t="s">
        <v>6</v>
      </c>
      <c r="C576" s="3" t="s">
        <v>566</v>
      </c>
      <c r="D576" s="5">
        <v>2500.0</v>
      </c>
      <c r="E576" s="4"/>
      <c r="F576" s="5" t="s">
        <v>3</v>
      </c>
      <c r="G576" s="4">
        <v>3.0599575309999943E7</v>
      </c>
      <c r="H576" s="4"/>
      <c r="I576" s="6" t="s">
        <v>41</v>
      </c>
    </row>
    <row r="577">
      <c r="A577" s="1">
        <v>46232.0</v>
      </c>
      <c r="B577" s="3" t="s">
        <v>1</v>
      </c>
      <c r="C577" s="3" t="s">
        <v>567</v>
      </c>
      <c r="D577" s="5">
        <v>3788700.0</v>
      </c>
      <c r="E577" s="4"/>
      <c r="F577" s="5" t="s">
        <v>3</v>
      </c>
      <c r="G577" s="4">
        <v>2.6810875309999943E7</v>
      </c>
      <c r="H577" s="4"/>
      <c r="I577" s="6" t="s">
        <v>41</v>
      </c>
    </row>
    <row r="578">
      <c r="A578" s="1">
        <v>46232.0</v>
      </c>
      <c r="B578" s="3" t="s">
        <v>1</v>
      </c>
      <c r="C578" s="3" t="s">
        <v>568</v>
      </c>
      <c r="D578" s="5">
        <v>3985640.0</v>
      </c>
      <c r="E578" s="4"/>
      <c r="F578" s="5" t="s">
        <v>3</v>
      </c>
      <c r="G578" s="4">
        <v>2.2825235309999943E7</v>
      </c>
      <c r="H578" s="4"/>
      <c r="I578" s="6" t="s">
        <v>41</v>
      </c>
    </row>
    <row r="579">
      <c r="A579" s="1">
        <v>46232.0</v>
      </c>
      <c r="B579" s="3" t="s">
        <v>14</v>
      </c>
      <c r="C579" s="3" t="s">
        <v>569</v>
      </c>
      <c r="D579" s="5"/>
      <c r="E579" s="5">
        <v>4.12E7</v>
      </c>
      <c r="F579" s="5" t="s">
        <v>16</v>
      </c>
      <c r="G579" s="4">
        <v>6.402523530999994E7</v>
      </c>
      <c r="H579" s="4"/>
      <c r="I579" s="6" t="s">
        <v>41</v>
      </c>
    </row>
    <row r="580">
      <c r="A580" s="1">
        <v>46232.0</v>
      </c>
      <c r="B580" s="3" t="s">
        <v>14</v>
      </c>
      <c r="C580" s="3" t="s">
        <v>570</v>
      </c>
      <c r="D580" s="5"/>
      <c r="E580" s="5">
        <v>2000000.0</v>
      </c>
      <c r="F580" s="5" t="s">
        <v>16</v>
      </c>
      <c r="G580" s="4">
        <v>6.602523530999994E7</v>
      </c>
      <c r="H580" s="4"/>
      <c r="I580" s="6" t="s">
        <v>41</v>
      </c>
    </row>
    <row r="581">
      <c r="A581" s="1">
        <v>46232.0</v>
      </c>
      <c r="B581" s="3" t="s">
        <v>14</v>
      </c>
      <c r="C581" s="3" t="s">
        <v>571</v>
      </c>
      <c r="D581" s="5"/>
      <c r="E581" s="5">
        <v>1.0E8</v>
      </c>
      <c r="F581" s="5" t="s">
        <v>16</v>
      </c>
      <c r="G581" s="4">
        <v>1.6602523530999994E8</v>
      </c>
      <c r="H581" s="5">
        <v>1.6602523531E8</v>
      </c>
      <c r="I581" s="6" t="s">
        <v>41</v>
      </c>
    </row>
    <row r="582">
      <c r="A582" s="1">
        <v>46232.0</v>
      </c>
      <c r="B582" s="3" t="s">
        <v>1</v>
      </c>
      <c r="C582" s="3" t="s">
        <v>572</v>
      </c>
      <c r="D582" s="5">
        <v>1500000.0</v>
      </c>
      <c r="E582" s="4"/>
      <c r="F582" s="5" t="s">
        <v>3</v>
      </c>
      <c r="G582" s="4">
        <v>1.6452523530999994E8</v>
      </c>
      <c r="H582" s="5">
        <v>1.6452523531E8</v>
      </c>
      <c r="I582" s="6" t="s">
        <v>41</v>
      </c>
    </row>
    <row r="583">
      <c r="A583" s="1">
        <v>46232.0</v>
      </c>
      <c r="B583" s="3" t="s">
        <v>1</v>
      </c>
      <c r="C583" s="3" t="s">
        <v>573</v>
      </c>
      <c r="D583" s="5">
        <v>1.19E7</v>
      </c>
      <c r="E583" s="4"/>
      <c r="F583" s="5" t="s">
        <v>3</v>
      </c>
      <c r="G583" s="4">
        <v>1.5262523530999994E8</v>
      </c>
      <c r="H583" s="4"/>
      <c r="I583" s="6" t="s">
        <v>41</v>
      </c>
    </row>
    <row r="584">
      <c r="A584" s="1">
        <v>46232.0</v>
      </c>
      <c r="B584" s="3" t="s">
        <v>1</v>
      </c>
      <c r="C584" s="3" t="s">
        <v>574</v>
      </c>
      <c r="D584" s="5">
        <v>41000.0</v>
      </c>
      <c r="E584" s="4"/>
      <c r="F584" s="5" t="s">
        <v>3</v>
      </c>
      <c r="G584" s="4">
        <v>1.5258423530999994E8</v>
      </c>
      <c r="H584" s="4"/>
      <c r="I584" s="6" t="s">
        <v>41</v>
      </c>
    </row>
    <row r="585">
      <c r="A585" s="1">
        <v>46232.0</v>
      </c>
      <c r="B585" s="3" t="s">
        <v>1</v>
      </c>
      <c r="C585" s="3" t="s">
        <v>575</v>
      </c>
      <c r="D585" s="5">
        <v>1500000.0</v>
      </c>
      <c r="E585" s="4"/>
      <c r="F585" s="5" t="s">
        <v>3</v>
      </c>
      <c r="G585" s="4">
        <v>1.5108423530999994E8</v>
      </c>
      <c r="H585" s="4"/>
      <c r="I585" s="6" t="s">
        <v>41</v>
      </c>
    </row>
    <row r="586">
      <c r="A586" s="1">
        <v>46232.0</v>
      </c>
      <c r="B586" s="3" t="s">
        <v>1</v>
      </c>
      <c r="C586" s="3" t="s">
        <v>576</v>
      </c>
      <c r="D586" s="5">
        <v>2412000.0</v>
      </c>
      <c r="E586" s="4"/>
      <c r="F586" s="5" t="s">
        <v>3</v>
      </c>
      <c r="G586" s="4">
        <v>1.4867223530999994E8</v>
      </c>
      <c r="H586" s="4"/>
      <c r="I586" s="6" t="s">
        <v>41</v>
      </c>
    </row>
    <row r="587">
      <c r="A587" s="1">
        <v>46232.0</v>
      </c>
      <c r="B587" s="3" t="s">
        <v>1</v>
      </c>
      <c r="C587" s="3" t="s">
        <v>577</v>
      </c>
      <c r="D587" s="5">
        <v>4314750.0</v>
      </c>
      <c r="E587" s="4"/>
      <c r="F587" s="5" t="s">
        <v>3</v>
      </c>
      <c r="G587" s="4">
        <v>1.4435748530999994E8</v>
      </c>
      <c r="H587" s="5">
        <v>1.4435748531E8</v>
      </c>
      <c r="I587" s="6" t="s">
        <v>41</v>
      </c>
    </row>
    <row r="588">
      <c r="A588" s="1">
        <v>46233.0</v>
      </c>
      <c r="B588" s="3" t="s">
        <v>14</v>
      </c>
      <c r="C588" s="3" t="s">
        <v>578</v>
      </c>
      <c r="D588" s="5"/>
      <c r="E588" s="5">
        <v>4.601202E8</v>
      </c>
      <c r="F588" s="5" t="s">
        <v>16</v>
      </c>
      <c r="G588" s="4">
        <v>6.0447768531E8</v>
      </c>
      <c r="H588" s="4"/>
      <c r="I588" s="6" t="s">
        <v>41</v>
      </c>
    </row>
    <row r="589">
      <c r="A589" s="1">
        <v>46233.0</v>
      </c>
      <c r="B589" s="3" t="s">
        <v>1</v>
      </c>
      <c r="C589" s="3" t="s">
        <v>579</v>
      </c>
      <c r="D589" s="5">
        <v>7.08512E7</v>
      </c>
      <c r="E589" s="4"/>
      <c r="F589" s="5" t="s">
        <v>3</v>
      </c>
      <c r="G589" s="4">
        <v>5.3362648530999994E8</v>
      </c>
      <c r="H589" s="4"/>
      <c r="I589" s="6" t="s">
        <v>41</v>
      </c>
    </row>
    <row r="590">
      <c r="A590" s="1">
        <v>46233.0</v>
      </c>
      <c r="B590" s="3" t="s">
        <v>1</v>
      </c>
      <c r="C590" s="3" t="s">
        <v>580</v>
      </c>
      <c r="D590" s="5">
        <v>5.3289E7</v>
      </c>
      <c r="E590" s="4"/>
      <c r="F590" s="5" t="s">
        <v>3</v>
      </c>
      <c r="G590" s="4">
        <v>4.8033748530999994E8</v>
      </c>
      <c r="H590" s="4"/>
      <c r="I590" s="6" t="s">
        <v>41</v>
      </c>
    </row>
    <row r="591">
      <c r="A591" s="1">
        <v>46233.0</v>
      </c>
      <c r="B591" s="3" t="s">
        <v>1</v>
      </c>
      <c r="C591" s="3" t="s">
        <v>581</v>
      </c>
      <c r="D591" s="5">
        <v>6.067365E7</v>
      </c>
      <c r="E591" s="4"/>
      <c r="F591" s="5" t="s">
        <v>3</v>
      </c>
      <c r="G591" s="4">
        <v>4.1966383530999994E8</v>
      </c>
      <c r="H591" s="4"/>
      <c r="I591" s="6" t="s">
        <v>41</v>
      </c>
    </row>
    <row r="592">
      <c r="A592" s="1">
        <v>46233.0</v>
      </c>
      <c r="B592" s="3" t="s">
        <v>1</v>
      </c>
      <c r="C592" s="3" t="s">
        <v>582</v>
      </c>
      <c r="D592" s="5">
        <v>1.932462E8</v>
      </c>
      <c r="E592" s="4"/>
      <c r="F592" s="5" t="s">
        <v>3</v>
      </c>
      <c r="G592" s="4">
        <v>2.2641763530999994E8</v>
      </c>
      <c r="H592" s="4"/>
      <c r="I592" s="6" t="s">
        <v>41</v>
      </c>
    </row>
    <row r="593">
      <c r="A593" s="1">
        <v>46233.0</v>
      </c>
      <c r="B593" s="3" t="s">
        <v>1</v>
      </c>
      <c r="C593" s="3" t="s">
        <v>583</v>
      </c>
      <c r="D593" s="5">
        <v>6.435412E7</v>
      </c>
      <c r="E593" s="4"/>
      <c r="F593" s="5" t="s">
        <v>3</v>
      </c>
      <c r="G593" s="4">
        <v>1.6206351530999994E8</v>
      </c>
      <c r="H593" s="4"/>
      <c r="I593" s="6" t="s">
        <v>41</v>
      </c>
    </row>
    <row r="594">
      <c r="A594" s="1">
        <v>46233.0</v>
      </c>
      <c r="B594" s="3" t="s">
        <v>1</v>
      </c>
      <c r="C594" s="3" t="s">
        <v>584</v>
      </c>
      <c r="D594" s="5">
        <v>7320200.0</v>
      </c>
      <c r="E594" s="4"/>
      <c r="F594" s="5" t="s">
        <v>3</v>
      </c>
      <c r="G594" s="4">
        <v>1.5474331530999994E8</v>
      </c>
      <c r="H594" s="4"/>
      <c r="I594" s="6" t="s">
        <v>41</v>
      </c>
    </row>
    <row r="595">
      <c r="A595" s="1">
        <v>46233.0</v>
      </c>
      <c r="B595" s="3" t="s">
        <v>1</v>
      </c>
      <c r="C595" s="3" t="s">
        <v>585</v>
      </c>
      <c r="D595" s="5">
        <v>3366700.0</v>
      </c>
      <c r="E595" s="4"/>
      <c r="F595" s="5" t="s">
        <v>3</v>
      </c>
      <c r="G595" s="4">
        <v>1.5137661530999994E8</v>
      </c>
      <c r="H595" s="5">
        <v>1.5137661531E8</v>
      </c>
      <c r="I595" s="6" t="s">
        <v>41</v>
      </c>
    </row>
    <row r="596">
      <c r="A596" s="1">
        <v>46233.0</v>
      </c>
      <c r="B596" s="3" t="s">
        <v>1</v>
      </c>
      <c r="C596" s="3" t="s">
        <v>586</v>
      </c>
      <c r="D596" s="5">
        <v>3366700.0</v>
      </c>
      <c r="E596" s="4"/>
      <c r="F596" s="5" t="s">
        <v>3</v>
      </c>
      <c r="G596" s="4">
        <v>1.4800991530999994E8</v>
      </c>
      <c r="H596" s="5">
        <v>1.4800991531E8</v>
      </c>
      <c r="I596" s="6" t="s">
        <v>41</v>
      </c>
    </row>
    <row r="597">
      <c r="A597" s="1">
        <v>46233.0</v>
      </c>
      <c r="B597" s="3" t="s">
        <v>14</v>
      </c>
      <c r="C597" s="3" t="s">
        <v>585</v>
      </c>
      <c r="D597" s="5"/>
      <c r="E597" s="5">
        <v>3366700.0</v>
      </c>
      <c r="F597" s="5" t="s">
        <v>16</v>
      </c>
      <c r="G597" s="4">
        <v>1.5137661530999994E8</v>
      </c>
      <c r="H597" s="4"/>
      <c r="I597" s="6" t="s">
        <v>41</v>
      </c>
    </row>
    <row r="598">
      <c r="A598" s="1">
        <v>46233.0</v>
      </c>
      <c r="B598" s="3" t="s">
        <v>587</v>
      </c>
      <c r="C598" s="3" t="s">
        <v>587</v>
      </c>
      <c r="D598" s="5">
        <v>400000.0</v>
      </c>
      <c r="E598" s="4"/>
      <c r="F598" s="4"/>
      <c r="G598" s="4">
        <v>1.5097661530999994E8</v>
      </c>
      <c r="H598" s="4"/>
      <c r="I598" s="6" t="s">
        <v>41</v>
      </c>
    </row>
    <row r="599">
      <c r="A599" s="1">
        <v>46233.0</v>
      </c>
      <c r="B599" s="3" t="s">
        <v>1</v>
      </c>
      <c r="C599" s="3" t="s">
        <v>588</v>
      </c>
      <c r="D599" s="5">
        <v>300000.0</v>
      </c>
      <c r="E599" s="4"/>
      <c r="F599" s="5" t="s">
        <v>3</v>
      </c>
      <c r="G599" s="4">
        <v>1.5067661530999994E8</v>
      </c>
      <c r="H599" s="4"/>
      <c r="I599" s="6" t="s">
        <v>41</v>
      </c>
    </row>
    <row r="600">
      <c r="A600" s="1">
        <v>46233.0</v>
      </c>
      <c r="B600" s="3" t="s">
        <v>1</v>
      </c>
      <c r="C600" s="3" t="s">
        <v>589</v>
      </c>
      <c r="D600" s="5">
        <v>1.5E7</v>
      </c>
      <c r="E600" s="4"/>
      <c r="F600" s="5" t="s">
        <v>3</v>
      </c>
      <c r="G600" s="4">
        <v>1.3567661530999994E8</v>
      </c>
      <c r="H600" s="4"/>
      <c r="I600" s="6" t="s">
        <v>41</v>
      </c>
    </row>
    <row r="601">
      <c r="A601" s="1">
        <v>46233.0</v>
      </c>
      <c r="B601" s="3" t="s">
        <v>1</v>
      </c>
      <c r="C601" s="3" t="s">
        <v>590</v>
      </c>
      <c r="D601" s="5">
        <v>5.0E7</v>
      </c>
      <c r="E601" s="4"/>
      <c r="F601" s="5" t="s">
        <v>3</v>
      </c>
      <c r="G601" s="4">
        <v>8.567661530999994E7</v>
      </c>
      <c r="H601" s="4"/>
      <c r="I601" s="6" t="s">
        <v>41</v>
      </c>
    </row>
    <row r="602">
      <c r="A602" s="1">
        <v>46233.0</v>
      </c>
      <c r="B602" s="3" t="s">
        <v>1</v>
      </c>
      <c r="C602" s="3" t="s">
        <v>591</v>
      </c>
      <c r="D602" s="5">
        <v>5.0E7</v>
      </c>
      <c r="E602" s="4"/>
      <c r="F602" s="5" t="s">
        <v>3</v>
      </c>
      <c r="G602" s="4">
        <v>3.567661530999994E7</v>
      </c>
      <c r="H602" s="4"/>
      <c r="I602" s="6" t="s">
        <v>41</v>
      </c>
    </row>
    <row r="603">
      <c r="A603" s="1">
        <v>46233.0</v>
      </c>
      <c r="B603" s="3" t="s">
        <v>14</v>
      </c>
      <c r="C603" s="3" t="s">
        <v>592</v>
      </c>
      <c r="D603" s="5"/>
      <c r="E603" s="5">
        <v>4.5E7</v>
      </c>
      <c r="F603" s="5" t="s">
        <v>16</v>
      </c>
      <c r="G603" s="4">
        <v>8.067661530999994E7</v>
      </c>
      <c r="H603" s="4"/>
      <c r="I603" s="6" t="s">
        <v>41</v>
      </c>
    </row>
    <row r="604">
      <c r="A604" s="1">
        <v>46233.0</v>
      </c>
      <c r="B604" s="3" t="s">
        <v>1</v>
      </c>
      <c r="C604" s="3" t="s">
        <v>593</v>
      </c>
      <c r="D604" s="5">
        <v>5021000.0</v>
      </c>
      <c r="E604" s="4"/>
      <c r="F604" s="5" t="s">
        <v>3</v>
      </c>
      <c r="G604" s="4">
        <v>7.565561530999994E7</v>
      </c>
      <c r="H604" s="4"/>
      <c r="I604" s="6" t="s">
        <v>41</v>
      </c>
    </row>
    <row r="605">
      <c r="A605" s="1">
        <v>46233.0</v>
      </c>
      <c r="B605" s="3" t="s">
        <v>1</v>
      </c>
      <c r="C605" s="3" t="s">
        <v>594</v>
      </c>
      <c r="D605" s="5">
        <v>1900000.0</v>
      </c>
      <c r="E605" s="4"/>
      <c r="F605" s="5" t="s">
        <v>3</v>
      </c>
      <c r="G605" s="4">
        <v>7.375561530999994E7</v>
      </c>
      <c r="H605" s="4"/>
      <c r="I605" s="6" t="s">
        <v>41</v>
      </c>
    </row>
    <row r="606">
      <c r="A606" s="1">
        <v>46233.0</v>
      </c>
      <c r="B606" s="3" t="s">
        <v>100</v>
      </c>
      <c r="C606" s="3" t="s">
        <v>595</v>
      </c>
      <c r="D606" s="5">
        <v>6250000.0</v>
      </c>
      <c r="E606" s="4"/>
      <c r="F606" s="4"/>
      <c r="G606" s="4">
        <v>6.750561530999994E7</v>
      </c>
      <c r="H606" s="5">
        <v>6.750561531E7</v>
      </c>
      <c r="I606" s="6" t="s">
        <v>41</v>
      </c>
    </row>
    <row r="607">
      <c r="A607" s="1">
        <v>46234.0</v>
      </c>
      <c r="B607" s="3" t="s">
        <v>596</v>
      </c>
      <c r="C607" s="3" t="s">
        <v>597</v>
      </c>
      <c r="D607" s="5">
        <v>75000.0</v>
      </c>
      <c r="E607" s="4"/>
      <c r="F607" s="5" t="s">
        <v>3</v>
      </c>
      <c r="G607" s="4">
        <v>6.743061530999994E7</v>
      </c>
      <c r="H607" s="4"/>
      <c r="I607" s="6" t="s">
        <v>41</v>
      </c>
    </row>
    <row r="608">
      <c r="A608" s="1">
        <v>46234.0</v>
      </c>
      <c r="B608" s="3" t="s">
        <v>1</v>
      </c>
      <c r="C608" s="3" t="s">
        <v>598</v>
      </c>
      <c r="D608" s="5">
        <v>6.316843E7</v>
      </c>
      <c r="E608" s="4"/>
      <c r="F608" s="5" t="s">
        <v>3</v>
      </c>
      <c r="G608" s="4">
        <v>4262185.309999943</v>
      </c>
      <c r="H608" s="4"/>
      <c r="I608" s="6" t="s">
        <v>41</v>
      </c>
    </row>
    <row r="609">
      <c r="A609" s="1">
        <v>46234.0</v>
      </c>
      <c r="B609" s="3" t="s">
        <v>599</v>
      </c>
      <c r="C609" s="3" t="s">
        <v>599</v>
      </c>
      <c r="D609" s="5">
        <v>100000.0</v>
      </c>
      <c r="E609" s="4"/>
      <c r="F609" s="4"/>
      <c r="G609" s="4">
        <v>4162185.309999943</v>
      </c>
      <c r="H609" s="4"/>
      <c r="I609" s="6" t="s">
        <v>41</v>
      </c>
    </row>
    <row r="610">
      <c r="A610" s="1">
        <v>46234.0</v>
      </c>
      <c r="B610" s="3" t="s">
        <v>6</v>
      </c>
      <c r="C610" s="3" t="s">
        <v>565</v>
      </c>
      <c r="D610" s="5">
        <v>110000.0</v>
      </c>
      <c r="E610" s="4"/>
      <c r="F610" s="5" t="s">
        <v>3</v>
      </c>
      <c r="G610" s="4">
        <v>4052185.309999943</v>
      </c>
      <c r="H610" s="5">
        <v>4052185.31</v>
      </c>
      <c r="I610" s="6" t="s">
        <v>41</v>
      </c>
    </row>
    <row r="611">
      <c r="A611" s="1">
        <v>46234.0</v>
      </c>
      <c r="B611" s="3" t="s">
        <v>6</v>
      </c>
      <c r="C611" s="3" t="s">
        <v>566</v>
      </c>
      <c r="D611" s="5">
        <v>2500.0</v>
      </c>
      <c r="E611" s="4"/>
      <c r="F611" s="5" t="s">
        <v>3</v>
      </c>
      <c r="G611" s="4">
        <v>4049685.309999943</v>
      </c>
      <c r="H611" s="5">
        <v>4049685.31</v>
      </c>
      <c r="I611" s="6" t="s">
        <v>41</v>
      </c>
    </row>
    <row r="612">
      <c r="A612" s="1">
        <v>46234.0</v>
      </c>
      <c r="B612" s="3" t="s">
        <v>14</v>
      </c>
      <c r="C612" s="3" t="s">
        <v>600</v>
      </c>
      <c r="D612" s="5"/>
      <c r="E612" s="5">
        <v>8.3560575E7</v>
      </c>
      <c r="F612" s="5" t="s">
        <v>16</v>
      </c>
      <c r="G612" s="4">
        <v>8.761026030999994E7</v>
      </c>
      <c r="H612" s="4"/>
      <c r="I612" s="6" t="s">
        <v>41</v>
      </c>
    </row>
    <row r="613">
      <c r="A613" s="1">
        <v>46234.0</v>
      </c>
      <c r="B613" s="3" t="s">
        <v>14</v>
      </c>
      <c r="C613" s="3" t="s">
        <v>601</v>
      </c>
      <c r="D613" s="5"/>
      <c r="E613" s="5">
        <v>1.14367E7</v>
      </c>
      <c r="F613" s="5" t="s">
        <v>16</v>
      </c>
      <c r="G613" s="4">
        <v>9.904696030999994E7</v>
      </c>
      <c r="H613" s="4"/>
      <c r="I613" s="6" t="s">
        <v>41</v>
      </c>
    </row>
    <row r="614">
      <c r="A614" s="1">
        <v>46234.0</v>
      </c>
      <c r="B614" s="3" t="s">
        <v>14</v>
      </c>
      <c r="C614" s="3" t="s">
        <v>602</v>
      </c>
      <c r="D614" s="5"/>
      <c r="E614" s="5">
        <v>1.0E8</v>
      </c>
      <c r="F614" s="5" t="s">
        <v>16</v>
      </c>
      <c r="G614" s="4">
        <v>1.9904696030999994E8</v>
      </c>
      <c r="H614" s="4"/>
      <c r="I614" s="6" t="s">
        <v>41</v>
      </c>
    </row>
    <row r="615">
      <c r="A615" s="1">
        <v>46234.0</v>
      </c>
      <c r="B615" s="3" t="s">
        <v>1</v>
      </c>
      <c r="C615" s="3" t="s">
        <v>603</v>
      </c>
      <c r="D615" s="5">
        <v>5000000.0</v>
      </c>
      <c r="E615" s="4"/>
      <c r="F615" s="5" t="s">
        <v>3</v>
      </c>
      <c r="G615" s="4">
        <v>1.9404696030999994E8</v>
      </c>
      <c r="H615" s="5"/>
      <c r="I615" s="6" t="s">
        <v>41</v>
      </c>
    </row>
    <row r="616">
      <c r="A616" s="1">
        <v>46234.0</v>
      </c>
      <c r="B616" s="3" t="s">
        <v>1</v>
      </c>
      <c r="C616" s="3" t="s">
        <v>604</v>
      </c>
      <c r="D616" s="5">
        <v>1.212E8</v>
      </c>
      <c r="E616" s="4"/>
      <c r="F616" s="5" t="s">
        <v>3</v>
      </c>
      <c r="G616" s="4">
        <v>7.284696030999994E7</v>
      </c>
      <c r="H616" s="5"/>
      <c r="I616" s="6" t="s">
        <v>41</v>
      </c>
    </row>
    <row r="617">
      <c r="A617" s="1">
        <v>46234.0</v>
      </c>
      <c r="B617" s="3" t="s">
        <v>100</v>
      </c>
      <c r="C617" s="3" t="s">
        <v>311</v>
      </c>
      <c r="D617" s="5">
        <v>256280.0</v>
      </c>
      <c r="E617" s="4"/>
      <c r="F617" s="4"/>
      <c r="G617" s="4">
        <v>7.259068030999994E7</v>
      </c>
      <c r="H617" s="5"/>
      <c r="I617" s="6" t="s">
        <v>41</v>
      </c>
    </row>
    <row r="618">
      <c r="A618" s="1">
        <v>46234.0</v>
      </c>
      <c r="B618" s="3" t="s">
        <v>100</v>
      </c>
      <c r="C618" s="3" t="s">
        <v>311</v>
      </c>
      <c r="D618" s="5">
        <v>91610.0</v>
      </c>
      <c r="E618" s="4"/>
      <c r="F618" s="4"/>
      <c r="G618" s="4">
        <v>7.249907030999994E7</v>
      </c>
      <c r="H618" s="5"/>
      <c r="I618" s="6" t="s">
        <v>41</v>
      </c>
    </row>
    <row r="619">
      <c r="A619" s="1">
        <v>46234.0</v>
      </c>
      <c r="B619" s="3" t="s">
        <v>100</v>
      </c>
      <c r="C619" s="3" t="s">
        <v>311</v>
      </c>
      <c r="D619" s="5">
        <v>649500.0</v>
      </c>
      <c r="E619" s="4"/>
      <c r="F619" s="4"/>
      <c r="G619" s="4">
        <v>7.184957030999994E7</v>
      </c>
      <c r="H619" s="5"/>
      <c r="I619" s="6" t="s">
        <v>41</v>
      </c>
    </row>
    <row r="620">
      <c r="A620" s="1">
        <v>46234.0</v>
      </c>
      <c r="B620" s="3" t="s">
        <v>14</v>
      </c>
      <c r="C620" s="3" t="s">
        <v>605</v>
      </c>
      <c r="D620" s="5"/>
      <c r="E620" s="5">
        <v>5.6653553E8</v>
      </c>
      <c r="F620" s="5" t="s">
        <v>16</v>
      </c>
      <c r="G620" s="4">
        <v>6.3838510031E8</v>
      </c>
      <c r="H620" s="4"/>
      <c r="I620" s="6" t="s">
        <v>41</v>
      </c>
    </row>
    <row r="621">
      <c r="A621" s="1">
        <v>46234.0</v>
      </c>
      <c r="B621" s="3" t="s">
        <v>606</v>
      </c>
      <c r="C621" s="3" t="s">
        <v>606</v>
      </c>
      <c r="E621" s="5">
        <v>9012.83</v>
      </c>
      <c r="F621" s="4"/>
      <c r="G621" s="4">
        <v>6.3839411314E8</v>
      </c>
      <c r="H621" s="4"/>
      <c r="I621" s="6" t="s">
        <v>41</v>
      </c>
    </row>
    <row r="622">
      <c r="A622" s="1">
        <v>46234.0</v>
      </c>
      <c r="B622" s="3" t="s">
        <v>607</v>
      </c>
      <c r="C622" s="3" t="s">
        <v>608</v>
      </c>
      <c r="D622" s="5">
        <v>1802.57</v>
      </c>
      <c r="E622" s="4"/>
      <c r="F622" s="4"/>
      <c r="G622" s="4">
        <v>6.383923105699999E8</v>
      </c>
      <c r="H622" s="5">
        <v>6.3839231057E8</v>
      </c>
      <c r="I622" s="6" t="s">
        <v>41</v>
      </c>
    </row>
  </sheetData>
  <dataValidations>
    <dataValidation type="list" allowBlank="1" showErrorMessage="1" sqref="I1:I622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IFERROR(__xludf.DUMMYFUNCTION("IFERROR(QUERY(JUL_2023!A:I, ""SELECT * WHERE D IS NOT NULL AND UPPER(I) = 'EXSPEDISI'"", 1), ""Data EXSPEDISI belum ditemukan"")"),"Data EXSPEDISI belum ditemukan")</f>
        <v>Data EXSPEDISI belum ditemukan</v>
      </c>
      <c r="J1" s="2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IFERROR(__xludf.DUMMYFUNCTION("IFERROR(QUERY(JUL_2023!A:I, ""SELECT * WHERE D IS NOT NULL AND UPPER(I) = 'V_SALES'"", 1), ""Data V_SALES belum ditemukan"")"),"Data V_SALES belum ditemukan")</f>
        <v>Data V_SALES belum ditemukan</v>
      </c>
      <c r="J1" s="2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IFERROR(__xludf.DUMMYFUNCTION("IFERROR(QUERY(JUL_2023!A:I, ""SELECT * WHERE D IS NOT NULL AND UPPER(I) = 'OPERASIONAL'"", 1), ""Data OPERASIONAL belum ditemukan"")"),"Data OPERASIONAL belum ditemukan")</f>
        <v>Data OPERASIONAL belum ditemukan</v>
      </c>
      <c r="J1" s="2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IFERROR(__xludf.DUMMYFUNCTION("IFERROR(QUERY(JUL_2023!A:I, ""SELECT * WHERE D IS NOT NULL AND UPPER(I) = 'NURUL_AINI'"", 1), ""Data NURUL_AINI belum ditemukan"")"),"Data NURUL_AINI belum ditemukan")</f>
        <v>Data NURUL_AINI belum ditemukan</v>
      </c>
      <c r="J1" s="2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IFERROR(__xludf.DUMMYFUNCTION("IFERROR(QUERY(JUL_2023!A:I, ""SELECT * WHERE D IS NOT NULL AND UPPER(I) = ''"", 1), ""Data KOSONG belum ditemukan"")"),46204.0)</f>
        <v>46204</v>
      </c>
      <c r="B1" s="2" t="str">
        <f>IFERROR(__xludf.DUMMYFUNCTION("""COMPUTED_VALUE"""),"TRSF E-BANKING DB")</f>
        <v>TRSF E-BANKING DB</v>
      </c>
      <c r="C1" s="2" t="str">
        <f>IFERROR(__xludf.DUMMYFUNCTION("""COMPUTED_VALUE"""),"0107/FTSCY/WS95031 1500000.00 HERMAWAN")</f>
        <v>0107/FTSCY/WS95031 1500000.00 HERMAWAN</v>
      </c>
      <c r="D1" s="2">
        <f>IFERROR(__xludf.DUMMYFUNCTION("""COMPUTED_VALUE"""),1500000.0)</f>
        <v>1500000</v>
      </c>
      <c r="E1" s="2"/>
      <c r="F1" s="2" t="str">
        <f>IFERROR(__xludf.DUMMYFUNCTION("""COMPUTED_VALUE"""),"DB")</f>
        <v>DB</v>
      </c>
      <c r="G1" s="2">
        <f>IFERROR(__xludf.DUMMYFUNCTION("""COMPUTED_VALUE"""),2.2351345031E8)</f>
        <v>223513450.3</v>
      </c>
      <c r="H1" s="2">
        <f>IFERROR(__xludf.DUMMYFUNCTION("""COMPUTED_VALUE"""),2.2351345031E8)</f>
        <v>223513450.3</v>
      </c>
      <c r="I1" s="2"/>
      <c r="J1" s="2">
        <f>SUM(D1:D1000)</f>
        <v>8527061155</v>
      </c>
    </row>
    <row r="2">
      <c r="A2" s="7">
        <f>IFERROR(__xludf.DUMMYFUNCTION("""COMPUTED_VALUE"""),46204.0)</f>
        <v>46204</v>
      </c>
      <c r="B2" s="2" t="str">
        <f>IFERROR(__xludf.DUMMYFUNCTION("""COMPUTED_VALUE"""),"TRSF E-BANKING DB")</f>
        <v>TRSF E-BANKING DB</v>
      </c>
      <c r="C2" s="2" t="str">
        <f>IFERROR(__xludf.DUMMYFUNCTION("""COMPUTED_VALUE"""),"0107/FTSCY/WS95031 2500000.00 MUJIANTO")</f>
        <v>0107/FTSCY/WS95031 2500000.00 MUJIANTO</v>
      </c>
      <c r="D2" s="2">
        <f>IFERROR(__xludf.DUMMYFUNCTION("""COMPUTED_VALUE"""),2500000.0)</f>
        <v>2500000</v>
      </c>
      <c r="E2" s="2"/>
      <c r="F2" s="2" t="str">
        <f>IFERROR(__xludf.DUMMYFUNCTION("""COMPUTED_VALUE"""),"DB")</f>
        <v>DB</v>
      </c>
      <c r="G2" s="2">
        <f>IFERROR(__xludf.DUMMYFUNCTION("""COMPUTED_VALUE"""),2.2101345031E8)</f>
        <v>221013450.3</v>
      </c>
      <c r="H2" s="2"/>
      <c r="I2" s="2"/>
    </row>
    <row r="3">
      <c r="A3" s="7">
        <f>IFERROR(__xludf.DUMMYFUNCTION("""COMPUTED_VALUE"""),46204.0)</f>
        <v>46204</v>
      </c>
      <c r="B3" s="2" t="str">
        <f>IFERROR(__xludf.DUMMYFUNCTION("""COMPUTED_VALUE"""),"TRSF E-BANKING DB")</f>
        <v>TRSF E-BANKING DB</v>
      </c>
      <c r="C3" s="2" t="str">
        <f>IFERROR(__xludf.DUMMYFUNCTION("""COMPUTED_VALUE"""),"0107/FTSCY/WS95031 100000.00 pelunasan BROILER MAKMUR TAN")</f>
        <v>0107/FTSCY/WS95031 100000.00 pelunasan BROILER MAKMUR TAN</v>
      </c>
      <c r="D3" s="2">
        <f>IFERROR(__xludf.DUMMYFUNCTION("""COMPUTED_VALUE"""),100000.0)</f>
        <v>100000</v>
      </c>
      <c r="E3" s="2"/>
      <c r="F3" s="2" t="str">
        <f>IFERROR(__xludf.DUMMYFUNCTION("""COMPUTED_VALUE"""),"DB")</f>
        <v>DB</v>
      </c>
      <c r="G3" s="2">
        <f>IFERROR(__xludf.DUMMYFUNCTION("""COMPUTED_VALUE"""),2.2091345031E8)</f>
        <v>220913450.3</v>
      </c>
      <c r="H3" s="2"/>
      <c r="I3" s="2"/>
    </row>
    <row r="4">
      <c r="A4" s="7">
        <f>IFERROR(__xludf.DUMMYFUNCTION("""COMPUTED_VALUE"""),46205.0)</f>
        <v>46205</v>
      </c>
      <c r="B4" s="2" t="str">
        <f>IFERROR(__xludf.DUMMYFUNCTION("""COMPUTED_VALUE"""),"TRSF E-BANKING DB")</f>
        <v>TRSF E-BANKING DB</v>
      </c>
      <c r="C4" s="2" t="str">
        <f>IFERROR(__xludf.DUMMYFUNCTION("""COMPUTED_VALUE"""),"0207/FTSCY/WS95271 89745600.00 Tue Jun 30 2026 14:00:00 GMT+0700 (Western Indonesia Time) BINTANG TAMA SANTO")</f>
        <v>0207/FTSCY/WS95271 89745600.00 Tue Jun 30 2026 14:00:00 GMT+0700 (Western Indonesia Time) BINTANG TAMA SANTO</v>
      </c>
      <c r="D4" s="2">
        <f>IFERROR(__xludf.DUMMYFUNCTION("""COMPUTED_VALUE"""),8.97456E7)</f>
        <v>89745600</v>
      </c>
      <c r="E4" s="2"/>
      <c r="F4" s="2" t="str">
        <f>IFERROR(__xludf.DUMMYFUNCTION("""COMPUTED_VALUE"""),"DB")</f>
        <v>DB</v>
      </c>
      <c r="G4" s="2">
        <f>IFERROR(__xludf.DUMMYFUNCTION("""COMPUTED_VALUE"""),2.1772264031E8)</f>
        <v>217722640.3</v>
      </c>
      <c r="H4" s="2"/>
      <c r="I4" s="2"/>
    </row>
    <row r="5">
      <c r="A5" s="7">
        <f>IFERROR(__xludf.DUMMYFUNCTION("""COMPUTED_VALUE"""),46205.0)</f>
        <v>46205</v>
      </c>
      <c r="B5" s="2" t="str">
        <f>IFERROR(__xludf.DUMMYFUNCTION("""COMPUTED_VALUE"""),"TRSF E-BANKING DB")</f>
        <v>TRSF E-BANKING DB</v>
      </c>
      <c r="C5" s="2" t="str">
        <f>IFERROR(__xludf.DUMMYFUNCTION("""COMPUTED_VALUE"""),"0207/FTSCY/WS95031 1200000.00 Bon DIANA NOVITA")</f>
        <v>0207/FTSCY/WS95031 1200000.00 Bon DIANA NOVITA</v>
      </c>
      <c r="D5" s="2">
        <f>IFERROR(__xludf.DUMMYFUNCTION("""COMPUTED_VALUE"""),1200000.0)</f>
        <v>1200000</v>
      </c>
      <c r="E5" s="2"/>
      <c r="F5" s="2" t="str">
        <f>IFERROR(__xludf.DUMMYFUNCTION("""COMPUTED_VALUE"""),"DB")</f>
        <v>DB</v>
      </c>
      <c r="G5" s="2">
        <f>IFERROR(__xludf.DUMMYFUNCTION("""COMPUTED_VALUE"""),2.1652264031E8)</f>
        <v>216522640.3</v>
      </c>
      <c r="H5" s="2"/>
      <c r="I5" s="2"/>
    </row>
    <row r="6">
      <c r="A6" s="7">
        <f>IFERROR(__xludf.DUMMYFUNCTION("""COMPUTED_VALUE"""),46205.0)</f>
        <v>46205</v>
      </c>
      <c r="B6" s="2" t="str">
        <f>IFERROR(__xludf.DUMMYFUNCTION("""COMPUTED_VALUE"""),"TRSF E-BANKING DB")</f>
        <v>TRSF E-BANKING DB</v>
      </c>
      <c r="C6" s="2" t="str">
        <f>IFERROR(__xludf.DUMMYFUNCTION("""COMPUTED_VALUE"""),"0207/FTFVA/WS95031 55569/PT PRIMA FAJ pasuruan - 40190")</f>
        <v>0207/FTFVA/WS95031 55569/PT PRIMA FAJ pasuruan - 40190</v>
      </c>
      <c r="D6" s="2">
        <f>IFERROR(__xludf.DUMMYFUNCTION("""COMPUTED_VALUE"""),1.518E8)</f>
        <v>151800000</v>
      </c>
      <c r="E6" s="2"/>
      <c r="F6" s="2" t="str">
        <f>IFERROR(__xludf.DUMMYFUNCTION("""COMPUTED_VALUE"""),"DB")</f>
        <v>DB</v>
      </c>
      <c r="G6" s="2">
        <f>IFERROR(__xludf.DUMMYFUNCTION("""COMPUTED_VALUE"""),1.4722640310000002E7)</f>
        <v>14722640.31</v>
      </c>
      <c r="H6" s="2">
        <f>IFERROR(__xludf.DUMMYFUNCTION("""COMPUTED_VALUE"""),1.472264031E7)</f>
        <v>14722640.31</v>
      </c>
      <c r="I6" s="2"/>
    </row>
    <row r="7">
      <c r="A7" s="7">
        <f>IFERROR(__xludf.DUMMYFUNCTION("""COMPUTED_VALUE"""),46206.0)</f>
        <v>46206</v>
      </c>
      <c r="B7" s="2" t="str">
        <f>IFERROR(__xludf.DUMMYFUNCTION("""COMPUTED_VALUE"""),"TRSF E-BANKING DB")</f>
        <v>TRSF E-BANKING DB</v>
      </c>
      <c r="C7" s="2" t="str">
        <f>IFERROR(__xludf.DUMMYFUNCTION("""COMPUTED_VALUE"""),"0307/FTFVA/WS95031 55569/PT PRIMA FAJ pelunasan pasuruan - 40190")</f>
        <v>0307/FTFVA/WS95031 55569/PT PRIMA FAJ pelunasan pasuruan - 40190</v>
      </c>
      <c r="D7" s="2">
        <f>IFERROR(__xludf.DUMMYFUNCTION("""COMPUTED_VALUE"""),9200000.0)</f>
        <v>9200000</v>
      </c>
      <c r="E7" s="2"/>
      <c r="F7" s="2" t="str">
        <f>IFERROR(__xludf.DUMMYFUNCTION("""COMPUTED_VALUE"""),"DB")</f>
        <v>DB</v>
      </c>
      <c r="G7" s="2">
        <f>IFERROR(__xludf.DUMMYFUNCTION("""COMPUTED_VALUE"""),1.9343560031E8)</f>
        <v>193435600.3</v>
      </c>
      <c r="H7" s="2">
        <f>IFERROR(__xludf.DUMMYFUNCTION("""COMPUTED_VALUE"""),1.9343560031E8)</f>
        <v>193435600.3</v>
      </c>
      <c r="I7" s="2"/>
    </row>
    <row r="8">
      <c r="A8" s="7">
        <f>IFERROR(__xludf.DUMMYFUNCTION("""COMPUTED_VALUE"""),46206.0)</f>
        <v>46206</v>
      </c>
      <c r="B8" s="2" t="str">
        <f>IFERROR(__xludf.DUMMYFUNCTION("""COMPUTED_VALUE"""),"TRSF E-BANKING DB")</f>
        <v>TRSF E-BANKING DB</v>
      </c>
      <c r="C8" s="2" t="str">
        <f>IFERROR(__xludf.DUMMYFUNCTION("""COMPUTED_VALUE"""),"0307/FTSCY/WS95271 165161250.00 Thu Jul 02 2026 14:00:00 GMT+0700 (Western Indonesia Time) PT BERLIAN INDOMIT")</f>
        <v>0307/FTSCY/WS95271 165161250.00 Thu Jul 02 2026 14:00:00 GMT+0700 (Western Indonesia Time) PT BERLIAN INDOMIT</v>
      </c>
      <c r="D8" s="2">
        <f>IFERROR(__xludf.DUMMYFUNCTION("""COMPUTED_VALUE"""),1.6516125E8)</f>
        <v>165161250</v>
      </c>
      <c r="E8" s="2"/>
      <c r="F8" s="2" t="str">
        <f>IFERROR(__xludf.DUMMYFUNCTION("""COMPUTED_VALUE"""),"DB")</f>
        <v>DB</v>
      </c>
      <c r="G8" s="2">
        <f>IFERROR(__xludf.DUMMYFUNCTION("""COMPUTED_VALUE"""),8.367331030999994E7)</f>
        <v>83673310.31</v>
      </c>
      <c r="H8" s="2">
        <f>IFERROR(__xludf.DUMMYFUNCTION("""COMPUTED_VALUE"""),8.367331031E7)</f>
        <v>83673310.31</v>
      </c>
      <c r="I8" s="2"/>
    </row>
    <row r="9">
      <c r="A9" s="7">
        <f>IFERROR(__xludf.DUMMYFUNCTION("""COMPUTED_VALUE"""),46206.0)</f>
        <v>46206</v>
      </c>
      <c r="B9" s="2" t="str">
        <f>IFERROR(__xludf.DUMMYFUNCTION("""COMPUTED_VALUE"""),"TRSF E-BANKING DB")</f>
        <v>TRSF E-BANKING DB</v>
      </c>
      <c r="C9" s="2" t="str">
        <f>IFERROR(__xludf.DUMMYFUNCTION("""COMPUTED_VALUE"""),"0307/FTSCY/WS95271 49517600.00 krg 20 jt HERMANTO")</f>
        <v>0307/FTSCY/WS95271 49517600.00 krg 20 jt HERMANTO</v>
      </c>
      <c r="D9" s="2">
        <f>IFERROR(__xludf.DUMMYFUNCTION("""COMPUTED_VALUE"""),4.95176E7)</f>
        <v>49517600</v>
      </c>
      <c r="E9" s="2"/>
      <c r="F9" s="2" t="str">
        <f>IFERROR(__xludf.DUMMYFUNCTION("""COMPUTED_VALUE"""),"DB")</f>
        <v>DB</v>
      </c>
      <c r="G9" s="2">
        <f>IFERROR(__xludf.DUMMYFUNCTION("""COMPUTED_VALUE"""),3.415571030999994E7)</f>
        <v>34155710.31</v>
      </c>
      <c r="H9" s="2">
        <f>IFERROR(__xludf.DUMMYFUNCTION("""COMPUTED_VALUE"""),3.415571031E7)</f>
        <v>34155710.31</v>
      </c>
      <c r="I9" s="2"/>
    </row>
    <row r="10">
      <c r="A10" s="7">
        <f>IFERROR(__xludf.DUMMYFUNCTION("""COMPUTED_VALUE"""),46207.0)</f>
        <v>46207</v>
      </c>
      <c r="B10" s="2" t="str">
        <f>IFERROR(__xludf.DUMMYFUNCTION("""COMPUTED_VALUE"""),"TRSF E-BANKING DB")</f>
        <v>TRSF E-BANKING DB</v>
      </c>
      <c r="C10" s="2" t="str">
        <f>IFERROR(__xludf.DUMMYFUNCTION("""COMPUTED_VALUE"""),"0407/FTSCY/WS95271 85000000.00 pelunasan 02/07 BROILER MAKMUR TAN")</f>
        <v>0407/FTSCY/WS95271 85000000.00 pelunasan 02/07 BROILER MAKMUR TAN</v>
      </c>
      <c r="D10" s="2">
        <f>IFERROR(__xludf.DUMMYFUNCTION("""COMPUTED_VALUE"""),8.5E7)</f>
        <v>85000000</v>
      </c>
      <c r="E10" s="2"/>
      <c r="F10" s="2" t="str">
        <f>IFERROR(__xludf.DUMMYFUNCTION("""COMPUTED_VALUE"""),"DB")</f>
        <v>DB</v>
      </c>
      <c r="G10" s="2">
        <f>IFERROR(__xludf.DUMMYFUNCTION("""COMPUTED_VALUE"""),2.7335705030999994E8)</f>
        <v>273357050.3</v>
      </c>
      <c r="H10" s="2"/>
      <c r="I10" s="2"/>
    </row>
    <row r="11">
      <c r="A11" s="7">
        <f>IFERROR(__xludf.DUMMYFUNCTION("""COMPUTED_VALUE"""),46207.0)</f>
        <v>46207</v>
      </c>
      <c r="B11" s="2" t="str">
        <f>IFERROR(__xludf.DUMMYFUNCTION("""COMPUTED_VALUE"""),"TRSF E-BANKING DB")</f>
        <v>TRSF E-BANKING DB</v>
      </c>
      <c r="C11" s="2" t="str">
        <f>IFERROR(__xludf.DUMMYFUNCTION("""COMPUTED_VALUE"""),"0407/FTSCY/WS95031 20000000.00 pelunasan HERMANTO")</f>
        <v>0407/FTSCY/WS95031 20000000.00 pelunasan HERMANTO</v>
      </c>
      <c r="D11" s="2">
        <f>IFERROR(__xludf.DUMMYFUNCTION("""COMPUTED_VALUE"""),2.0E7)</f>
        <v>20000000</v>
      </c>
      <c r="E11" s="2"/>
      <c r="F11" s="2" t="str">
        <f>IFERROR(__xludf.DUMMYFUNCTION("""COMPUTED_VALUE"""),"DB")</f>
        <v>DB</v>
      </c>
      <c r="G11" s="2">
        <f>IFERROR(__xludf.DUMMYFUNCTION("""COMPUTED_VALUE"""),3.910345030999994E7)</f>
        <v>39103450.31</v>
      </c>
      <c r="H11" s="2">
        <f>IFERROR(__xludf.DUMMYFUNCTION("""COMPUTED_VALUE"""),3.910345031E7)</f>
        <v>39103450.31</v>
      </c>
      <c r="I11" s="2"/>
    </row>
    <row r="12">
      <c r="A12" s="7">
        <f>IFERROR(__xludf.DUMMYFUNCTION("""COMPUTED_VALUE"""),46207.0)</f>
        <v>46207</v>
      </c>
      <c r="B12" s="2" t="str">
        <f>IFERROR(__xludf.DUMMYFUNCTION("""COMPUTED_VALUE"""),"TRSF E-BANKING DB")</f>
        <v>TRSF E-BANKING DB</v>
      </c>
      <c r="C12" s="2" t="str">
        <f>IFERROR(__xludf.DUMMYFUNCTION("""COMPUTED_VALUE"""),"0407/FTSCY/WS95031 2000000.00 MUJIANTO")</f>
        <v>0407/FTSCY/WS95031 2000000.00 MUJIANTO</v>
      </c>
      <c r="D12" s="2">
        <f>IFERROR(__xludf.DUMMYFUNCTION("""COMPUTED_VALUE"""),2000000.0)</f>
        <v>2000000</v>
      </c>
      <c r="E12" s="2"/>
      <c r="F12" s="2" t="str">
        <f>IFERROR(__xludf.DUMMYFUNCTION("""COMPUTED_VALUE"""),"DB")</f>
        <v>DB</v>
      </c>
      <c r="G12" s="2">
        <f>IFERROR(__xludf.DUMMYFUNCTION("""COMPUTED_VALUE"""),3.435095030999994E7)</f>
        <v>34350950.31</v>
      </c>
      <c r="H12" s="2"/>
      <c r="I12" s="2"/>
    </row>
    <row r="13">
      <c r="A13" s="7">
        <f>IFERROR(__xludf.DUMMYFUNCTION("""COMPUTED_VALUE"""),46207.0)</f>
        <v>46207</v>
      </c>
      <c r="B13" s="2" t="str">
        <f>IFERROR(__xludf.DUMMYFUNCTION("""COMPUTED_VALUE"""),"TRSF E-BANKING DB")</f>
        <v>TRSF E-BANKING DB</v>
      </c>
      <c r="C13" s="2" t="str">
        <f>IFERROR(__xludf.DUMMYFUNCTION("""COMPUTED_VALUE"""),"0407/FTSCY/WS95031 1843740.00 SUPRIYADI")</f>
        <v>0407/FTSCY/WS95031 1843740.00 SUPRIYADI</v>
      </c>
      <c r="D13" s="2">
        <f>IFERROR(__xludf.DUMMYFUNCTION("""COMPUTED_VALUE"""),1843740.0)</f>
        <v>1843740</v>
      </c>
      <c r="E13" s="2"/>
      <c r="F13" s="2" t="str">
        <f>IFERROR(__xludf.DUMMYFUNCTION("""COMPUTED_VALUE"""),"DB")</f>
        <v>DB</v>
      </c>
      <c r="G13" s="2">
        <f>IFERROR(__xludf.DUMMYFUNCTION("""COMPUTED_VALUE"""),1.2643821030999994E8)</f>
        <v>126438210.3</v>
      </c>
      <c r="H13" s="2"/>
      <c r="I13" s="2"/>
    </row>
    <row r="14">
      <c r="A14" s="7">
        <f>IFERROR(__xludf.DUMMYFUNCTION("""COMPUTED_VALUE"""),46207.0)</f>
        <v>46207</v>
      </c>
      <c r="B14" s="2" t="str">
        <f>IFERROR(__xludf.DUMMYFUNCTION("""COMPUTED_VALUE"""),"TRSF E-BANKING DB")</f>
        <v>TRSF E-BANKING DB</v>
      </c>
      <c r="C14" s="2" t="str">
        <f>IFERROR(__xludf.DUMMYFUNCTION("""COMPUTED_VALUE"""),"0407/FTFVA/WS95031 55569/PT PRIMA FAJ titip - 40190")</f>
        <v>0407/FTFVA/WS95031 55569/PT PRIMA FAJ titip - 40190</v>
      </c>
      <c r="D14" s="2">
        <f>IFERROR(__xludf.DUMMYFUNCTION("""COMPUTED_VALUE"""),4.2E8)</f>
        <v>420000000</v>
      </c>
      <c r="E14" s="2"/>
      <c r="F14" s="2" t="str">
        <f>IFERROR(__xludf.DUMMYFUNCTION("""COMPUTED_VALUE"""),"DB")</f>
        <v>DB</v>
      </c>
      <c r="G14" s="2">
        <f>IFERROR(__xludf.DUMMYFUNCTION("""COMPUTED_VALUE"""),1.7132291030999994E8)</f>
        <v>171322910.3</v>
      </c>
      <c r="H14" s="2">
        <f>IFERROR(__xludf.DUMMYFUNCTION("""COMPUTED_VALUE"""),1.7132291031E8)</f>
        <v>171322910.3</v>
      </c>
      <c r="I14" s="2"/>
    </row>
    <row r="15">
      <c r="A15" s="7">
        <f>IFERROR(__xludf.DUMMYFUNCTION("""COMPUTED_VALUE"""),46208.0)</f>
        <v>46208</v>
      </c>
      <c r="B15" s="2" t="str">
        <f>IFERROR(__xludf.DUMMYFUNCTION("""COMPUTED_VALUE"""),"TRSF E-BANKING DB")</f>
        <v>TRSF E-BANKING DB</v>
      </c>
      <c r="C15" s="2" t="str">
        <f>IFERROR(__xludf.DUMMYFUNCTION("""COMPUTED_VALUE"""),"0507/FTSCY/WS95031 2500000.00 MUJIANTO")</f>
        <v>0507/FTSCY/WS95031 2500000.00 MUJIANTO</v>
      </c>
      <c r="D15" s="2">
        <f>IFERROR(__xludf.DUMMYFUNCTION("""COMPUTED_VALUE"""),2500000.0)</f>
        <v>2500000</v>
      </c>
      <c r="E15" s="2"/>
      <c r="F15" s="2" t="str">
        <f>IFERROR(__xludf.DUMMYFUNCTION("""COMPUTED_VALUE"""),"DB")</f>
        <v>DB</v>
      </c>
      <c r="G15" s="2">
        <f>IFERROR(__xludf.DUMMYFUNCTION("""COMPUTED_VALUE"""),1.6882291030999994E8)</f>
        <v>168822910.3</v>
      </c>
      <c r="H15" s="2"/>
      <c r="I15" s="2"/>
    </row>
    <row r="16">
      <c r="A16" s="7">
        <f>IFERROR(__xludf.DUMMYFUNCTION("""COMPUTED_VALUE"""),46208.0)</f>
        <v>46208</v>
      </c>
      <c r="B16" s="2" t="str">
        <f>IFERROR(__xludf.DUMMYFUNCTION("""COMPUTED_VALUE"""),"BI-FAST DB")</f>
        <v>BI-FAST DB</v>
      </c>
      <c r="C16" s="2" t="str">
        <f>IFERROR(__xludf.DUMMYFUNCTION("""COMPUTED_VALUE"""),"BIF TRANSFER KE 2 FAJAR ANDREANZAH M-BCA")</f>
        <v>BIF TRANSFER KE 2 FAJAR ANDREANZAH M-BCA</v>
      </c>
      <c r="D16" s="2">
        <f>IFERROR(__xludf.DUMMYFUNCTION("""COMPUTED_VALUE"""),1500000.0)</f>
        <v>1500000</v>
      </c>
      <c r="E16" s="2"/>
      <c r="F16" s="2" t="str">
        <f>IFERROR(__xludf.DUMMYFUNCTION("""COMPUTED_VALUE"""),"DB")</f>
        <v>DB</v>
      </c>
      <c r="G16" s="2">
        <f>IFERROR(__xludf.DUMMYFUNCTION("""COMPUTED_VALUE"""),1.6732291030999994E8)</f>
        <v>167322910.3</v>
      </c>
      <c r="H16" s="2">
        <f>IFERROR(__xludf.DUMMYFUNCTION("""COMPUTED_VALUE"""),1.6732291031E8)</f>
        <v>167322910.3</v>
      </c>
      <c r="I16" s="2"/>
    </row>
    <row r="17">
      <c r="A17" s="7">
        <f>IFERROR(__xludf.DUMMYFUNCTION("""COMPUTED_VALUE"""),46208.0)</f>
        <v>46208</v>
      </c>
      <c r="B17" s="2" t="str">
        <f>IFERROR(__xludf.DUMMYFUNCTION("""COMPUTED_VALUE"""),"BI-FAST DB")</f>
        <v>BI-FAST DB</v>
      </c>
      <c r="C17" s="2" t="str">
        <f>IFERROR(__xludf.DUMMYFUNCTION("""COMPUTED_VALUE"""),"BIF BIAYA TXN KE 2 FAJAR ANDREANZAH M-BCA")</f>
        <v>BIF BIAYA TXN KE 2 FAJAR ANDREANZAH M-BCA</v>
      </c>
      <c r="D17" s="2">
        <f>IFERROR(__xludf.DUMMYFUNCTION("""COMPUTED_VALUE"""),2500.0)</f>
        <v>2500</v>
      </c>
      <c r="E17" s="2"/>
      <c r="F17" s="2" t="str">
        <f>IFERROR(__xludf.DUMMYFUNCTION("""COMPUTED_VALUE"""),"DB")</f>
        <v>DB</v>
      </c>
      <c r="G17" s="2">
        <f>IFERROR(__xludf.DUMMYFUNCTION("""COMPUTED_VALUE"""),1.6732041030999994E8)</f>
        <v>167320410.3</v>
      </c>
      <c r="H17" s="2">
        <f>IFERROR(__xludf.DUMMYFUNCTION("""COMPUTED_VALUE"""),1.6732041031E8)</f>
        <v>167320410.3</v>
      </c>
      <c r="I17" s="2"/>
    </row>
    <row r="18">
      <c r="A18" s="7">
        <f>IFERROR(__xludf.DUMMYFUNCTION("""COMPUTED_VALUE"""),46208.0)</f>
        <v>46208</v>
      </c>
      <c r="B18" s="2" t="str">
        <f>IFERROR(__xludf.DUMMYFUNCTION("""COMPUTED_VALUE"""),"TRSF E-BANKING DB")</f>
        <v>TRSF E-BANKING DB</v>
      </c>
      <c r="C18" s="2" t="str">
        <f>IFERROR(__xludf.DUMMYFUNCTION("""COMPUTED_VALUE"""),"0507/FTSCY/WS95271 117904900.00 Sat Jul 04 2026 14:00:00 GMT+0700 (Western Indonesia Time) ANUGERAH KARTIKA A")</f>
        <v>0507/FTSCY/WS95271 117904900.00 Sat Jul 04 2026 14:00:00 GMT+0700 (Western Indonesia Time) ANUGERAH KARTIKA A</v>
      </c>
      <c r="D18" s="2">
        <f>IFERROR(__xludf.DUMMYFUNCTION("""COMPUTED_VALUE"""),1.179049E8)</f>
        <v>117904900</v>
      </c>
      <c r="E18" s="2"/>
      <c r="F18" s="2" t="str">
        <f>IFERROR(__xludf.DUMMYFUNCTION("""COMPUTED_VALUE"""),"DB")</f>
        <v>DB</v>
      </c>
      <c r="G18" s="2">
        <f>IFERROR(__xludf.DUMMYFUNCTION("""COMPUTED_VALUE"""),4.941551030999994E7)</f>
        <v>49415510.31</v>
      </c>
      <c r="H18" s="2"/>
      <c r="I18" s="2"/>
    </row>
    <row r="19">
      <c r="A19" s="7">
        <f>IFERROR(__xludf.DUMMYFUNCTION("""COMPUTED_VALUE"""),46208.0)</f>
        <v>46208</v>
      </c>
      <c r="B19" s="2" t="str">
        <f>IFERROR(__xludf.DUMMYFUNCTION("""COMPUTED_VALUE"""),"TRSF E-BANKING DB")</f>
        <v>TRSF E-BANKING DB</v>
      </c>
      <c r="C19" s="2" t="str">
        <f>IFERROR(__xludf.DUMMYFUNCTION("""COMPUTED_VALUE"""),"0507/FTSCY/WS95271 180000000.00 Sat Jul 04 2026 14:00:00 GMT+0700 (Western Indonesia Time) GANESHA SATRIA NUS")</f>
        <v>0507/FTSCY/WS95271 180000000.00 Sat Jul 04 2026 14:00:00 GMT+0700 (Western Indonesia Time) GANESHA SATRIA NUS</v>
      </c>
      <c r="D19" s="2">
        <f>IFERROR(__xludf.DUMMYFUNCTION("""COMPUTED_VALUE"""),1.8E8)</f>
        <v>180000000</v>
      </c>
      <c r="E19" s="2"/>
      <c r="F19" s="2" t="str">
        <f>IFERROR(__xludf.DUMMYFUNCTION("""COMPUTED_VALUE"""),"DB")</f>
        <v>DB</v>
      </c>
      <c r="G19" s="2">
        <f>IFERROR(__xludf.DUMMYFUNCTION("""COMPUTED_VALUE"""),7.374455030999994E7)</f>
        <v>73744550.31</v>
      </c>
      <c r="H19" s="2"/>
      <c r="I19" s="2"/>
    </row>
    <row r="20">
      <c r="A20" s="7">
        <f>IFERROR(__xludf.DUMMYFUNCTION("""COMPUTED_VALUE"""),46208.0)</f>
        <v>46208</v>
      </c>
      <c r="B20" s="2" t="str">
        <f>IFERROR(__xludf.DUMMYFUNCTION("""COMPUTED_VALUE"""),"BYR VIA E-BANKING")</f>
        <v>BYR VIA E-BANKING</v>
      </c>
      <c r="C20" s="2" t="str">
        <f>IFERROR(__xludf.DUMMYFUNCTION("""COMPUTED_VALUE"""),"05/07  WSID9503100 0865 PLN PREPAID 32104859353 MUHAMMAD HAIRUL MA")</f>
        <v>05/07  WSID9503100 0865 PLN PREPAID 32104859353 MUHAMMAD HAIRUL MA</v>
      </c>
      <c r="D20" s="2">
        <f>IFERROR(__xludf.DUMMYFUNCTION("""COMPUTED_VALUE"""),202500.0)</f>
        <v>202500</v>
      </c>
      <c r="E20" s="2"/>
      <c r="F20" s="2"/>
      <c r="G20" s="2">
        <f>IFERROR(__xludf.DUMMYFUNCTION("""COMPUTED_VALUE"""),7.354205030999994E7)</f>
        <v>73542050.31</v>
      </c>
      <c r="H20" s="2"/>
      <c r="I20" s="2"/>
    </row>
    <row r="21">
      <c r="A21" s="7">
        <f>IFERROR(__xludf.DUMMYFUNCTION("""COMPUTED_VALUE"""),46208.0)</f>
        <v>46208</v>
      </c>
      <c r="B21" s="2" t="str">
        <f>IFERROR(__xludf.DUMMYFUNCTION("""COMPUTED_VALUE"""),"TRSF E-BANKING DB")</f>
        <v>TRSF E-BANKING DB</v>
      </c>
      <c r="C21" s="2" t="str">
        <f>IFERROR(__xludf.DUMMYFUNCTION("""COMPUTED_VALUE"""),"0507/FTFVA/WS95031 55569/PT PRIMA FAJ pelunasan - 40190")</f>
        <v>0507/FTFVA/WS95031 55569/PT PRIMA FAJ pelunasan - 40190</v>
      </c>
      <c r="D21" s="2">
        <f>IFERROR(__xludf.DUMMYFUNCTION("""COMPUTED_VALUE"""),6.323895E7)</f>
        <v>63238950</v>
      </c>
      <c r="E21" s="2"/>
      <c r="F21" s="2" t="str">
        <f>IFERROR(__xludf.DUMMYFUNCTION("""COMPUTED_VALUE"""),"DB")</f>
        <v>DB</v>
      </c>
      <c r="G21" s="2">
        <f>IFERROR(__xludf.DUMMYFUNCTION("""COMPUTED_VALUE"""),2.8068130030999994E8)</f>
        <v>280681300.3</v>
      </c>
      <c r="H21" s="2"/>
      <c r="I21" s="2"/>
    </row>
    <row r="22">
      <c r="A22" s="7">
        <f>IFERROR(__xludf.DUMMYFUNCTION("""COMPUTED_VALUE"""),46208.0)</f>
        <v>46208</v>
      </c>
      <c r="B22" s="2" t="str">
        <f>IFERROR(__xludf.DUMMYFUNCTION("""COMPUTED_VALUE"""),"TARIKAN ATM 05/07")</f>
        <v>TARIKAN ATM 05/07</v>
      </c>
      <c r="C22" s="2" t="str">
        <f>IFERROR(__xludf.DUMMYFUNCTION("""COMPUTED_VALUE"""),"TARIKAN ATM 05/07")</f>
        <v>TARIKAN ATM 05/07</v>
      </c>
      <c r="D22" s="2">
        <f>IFERROR(__xludf.DUMMYFUNCTION("""COMPUTED_VALUE"""),2500000.0)</f>
        <v>2500000</v>
      </c>
      <c r="E22" s="2"/>
      <c r="F22" s="2"/>
      <c r="G22" s="2">
        <f>IFERROR(__xludf.DUMMYFUNCTION("""COMPUTED_VALUE"""),3.4778130030999994E8)</f>
        <v>347781300.3</v>
      </c>
      <c r="H22" s="2"/>
      <c r="I22" s="2"/>
    </row>
    <row r="23">
      <c r="A23" s="7">
        <f>IFERROR(__xludf.DUMMYFUNCTION("""COMPUTED_VALUE"""),46208.0)</f>
        <v>46208</v>
      </c>
      <c r="B23" s="2" t="str">
        <f>IFERROR(__xludf.DUMMYFUNCTION("""COMPUTED_VALUE"""),"TARIKAN ATM 05/07")</f>
        <v>TARIKAN ATM 05/07</v>
      </c>
      <c r="C23" s="2" t="str">
        <f>IFERROR(__xludf.DUMMYFUNCTION("""COMPUTED_VALUE"""),"TARIKAN ATM 05/07")</f>
        <v>TARIKAN ATM 05/07</v>
      </c>
      <c r="D23" s="2">
        <f>IFERROR(__xludf.DUMMYFUNCTION("""COMPUTED_VALUE"""),1700000.0)</f>
        <v>1700000</v>
      </c>
      <c r="E23" s="2"/>
      <c r="F23" s="2"/>
      <c r="G23" s="2">
        <f>IFERROR(__xludf.DUMMYFUNCTION("""COMPUTED_VALUE"""),3.4608130030999994E8)</f>
        <v>346081300.3</v>
      </c>
      <c r="H23" s="2"/>
      <c r="I23" s="2"/>
    </row>
    <row r="24">
      <c r="A24" s="7">
        <f>IFERROR(__xludf.DUMMYFUNCTION("""COMPUTED_VALUE"""),46208.0)</f>
        <v>46208</v>
      </c>
      <c r="B24" s="2" t="str">
        <f>IFERROR(__xludf.DUMMYFUNCTION("""COMPUTED_VALUE"""),"TRSF E-BANKING DB")</f>
        <v>TRSF E-BANKING DB</v>
      </c>
      <c r="C24" s="2" t="str">
        <f>IFERROR(__xludf.DUMMYFUNCTION("""COMPUTED_VALUE"""),"0507/FTSCY/WS95031 10000000.00 EKO SETIYAWAN")</f>
        <v>0507/FTSCY/WS95031 10000000.00 EKO SETIYAWAN</v>
      </c>
      <c r="D24" s="2">
        <f>IFERROR(__xludf.DUMMYFUNCTION("""COMPUTED_VALUE"""),1.0E7)</f>
        <v>10000000</v>
      </c>
      <c r="E24" s="2"/>
      <c r="F24" s="2" t="str">
        <f>IFERROR(__xludf.DUMMYFUNCTION("""COMPUTED_VALUE"""),"DB")</f>
        <v>DB</v>
      </c>
      <c r="G24" s="2">
        <f>IFERROR(__xludf.DUMMYFUNCTION("""COMPUTED_VALUE"""),4.8608130030999994E8)</f>
        <v>486081300.3</v>
      </c>
      <c r="H24" s="2"/>
      <c r="I24" s="2"/>
    </row>
    <row r="25">
      <c r="A25" s="7">
        <f>IFERROR(__xludf.DUMMYFUNCTION("""COMPUTED_VALUE"""),46208.0)</f>
        <v>46208</v>
      </c>
      <c r="B25" s="2" t="str">
        <f>IFERROR(__xludf.DUMMYFUNCTION("""COMPUTED_VALUE"""),"TRSF E-BANKING DB")</f>
        <v>TRSF E-BANKING DB</v>
      </c>
      <c r="C25" s="2" t="str">
        <f>IFERROR(__xludf.DUMMYFUNCTION("""COMPUTED_VALUE"""),"0507/FTSCY/WS95011 122240820.00 pelunasan GANESHA SATRIA NUS")</f>
        <v>0507/FTSCY/WS95011 122240820.00 pelunasan GANESHA SATRIA NUS</v>
      </c>
      <c r="D25" s="2">
        <f>IFERROR(__xludf.DUMMYFUNCTION("""COMPUTED_VALUE"""),1.2224082E8)</f>
        <v>122240820</v>
      </c>
      <c r="E25" s="2"/>
      <c r="F25" s="2" t="str">
        <f>IFERROR(__xludf.DUMMYFUNCTION("""COMPUTED_VALUE"""),"DB")</f>
        <v>DB</v>
      </c>
      <c r="G25" s="2">
        <f>IFERROR(__xludf.DUMMYFUNCTION("""COMPUTED_VALUE"""),3.6384048030999994E8)</f>
        <v>363840480.3</v>
      </c>
      <c r="H25" s="2">
        <f>IFERROR(__xludf.DUMMYFUNCTION("""COMPUTED_VALUE"""),3.6384048031E8)</f>
        <v>363840480.3</v>
      </c>
      <c r="I25" s="2"/>
    </row>
    <row r="26">
      <c r="A26" s="7">
        <f>IFERROR(__xludf.DUMMYFUNCTION("""COMPUTED_VALUE"""),46208.0)</f>
        <v>46208</v>
      </c>
      <c r="B26" s="2" t="str">
        <f>IFERROR(__xludf.DUMMYFUNCTION("""COMPUTED_VALUE"""),"TRSF E-BANKING DB")</f>
        <v>TRSF E-BANKING DB</v>
      </c>
      <c r="C26" s="2" t="str">
        <f>IFERROR(__xludf.DUMMYFUNCTION("""COMPUTED_VALUE"""),"0507/FTSCY/WS95031 63000.00 NURUL AINI")</f>
        <v>0507/FTSCY/WS95031 63000.00 NURUL AINI</v>
      </c>
      <c r="D26" s="2">
        <f>IFERROR(__xludf.DUMMYFUNCTION("""COMPUTED_VALUE"""),63000.0)</f>
        <v>63000</v>
      </c>
      <c r="E26" s="2"/>
      <c r="F26" s="2" t="str">
        <f>IFERROR(__xludf.DUMMYFUNCTION("""COMPUTED_VALUE"""),"DB")</f>
        <v>DB</v>
      </c>
      <c r="G26" s="2">
        <f>IFERROR(__xludf.DUMMYFUNCTION("""COMPUTED_VALUE"""),3.6377748030999994E8)</f>
        <v>363777480.3</v>
      </c>
      <c r="H26" s="2">
        <f>IFERROR(__xludf.DUMMYFUNCTION("""COMPUTED_VALUE"""),3.6377748031E8)</f>
        <v>363777480.3</v>
      </c>
      <c r="I26" s="2"/>
    </row>
    <row r="27">
      <c r="A27" s="7">
        <f>IFERROR(__xludf.DUMMYFUNCTION("""COMPUTED_VALUE"""),46208.0)</f>
        <v>46208</v>
      </c>
      <c r="B27" s="2" t="str">
        <f>IFERROR(__xludf.DUMMYFUNCTION("""COMPUTED_VALUE"""),"BYR VIA E-BANKING")</f>
        <v>BYR VIA E-BANKING</v>
      </c>
      <c r="C27" s="2" t="str">
        <f>IFERROR(__xludf.DUMMYFUNCTION("""COMPUTED_VALUE"""),"05/07  WSID9503100 1220 TELKOMSEL 82318368518 MUHAMMAD HAIRUL MA")</f>
        <v>05/07  WSID9503100 1220 TELKOMSEL 82318368518 MUHAMMAD HAIRUL MA</v>
      </c>
      <c r="D27" s="2">
        <f>IFERROR(__xludf.DUMMYFUNCTION("""COMPUTED_VALUE"""),102000.0)</f>
        <v>102000</v>
      </c>
      <c r="E27" s="2"/>
      <c r="F27" s="2"/>
      <c r="G27" s="2">
        <f>IFERROR(__xludf.DUMMYFUNCTION("""COMPUTED_VALUE"""),3.6367548030999994E8)</f>
        <v>363675480.3</v>
      </c>
      <c r="H27" s="2"/>
      <c r="I27" s="2"/>
    </row>
    <row r="28">
      <c r="A28" s="7">
        <f>IFERROR(__xludf.DUMMYFUNCTION("""COMPUTED_VALUE"""),46208.0)</f>
        <v>46208</v>
      </c>
      <c r="B28" s="2" t="str">
        <f>IFERROR(__xludf.DUMMYFUNCTION("""COMPUTED_VALUE"""),"TRSF E-BANKING DB")</f>
        <v>TRSF E-BANKING DB</v>
      </c>
      <c r="C28" s="2" t="str">
        <f>IFERROR(__xludf.DUMMYFUNCTION("""COMPUTED_VALUE"""),"0507/FTSCY/WS95031 1894320.00 jember DIANA NOVITA")</f>
        <v>0507/FTSCY/WS95031 1894320.00 jember DIANA NOVITA</v>
      </c>
      <c r="D28" s="2">
        <f>IFERROR(__xludf.DUMMYFUNCTION("""COMPUTED_VALUE"""),1894320.0)</f>
        <v>1894320</v>
      </c>
      <c r="E28" s="2"/>
      <c r="F28" s="2" t="str">
        <f>IFERROR(__xludf.DUMMYFUNCTION("""COMPUTED_VALUE"""),"DB")</f>
        <v>DB</v>
      </c>
      <c r="G28" s="2">
        <f>IFERROR(__xludf.DUMMYFUNCTION("""COMPUTED_VALUE"""),4.9589136030999994E8)</f>
        <v>495891360.3</v>
      </c>
      <c r="H28" s="2"/>
      <c r="I28" s="2"/>
    </row>
    <row r="29">
      <c r="A29" s="7">
        <f>IFERROR(__xludf.DUMMYFUNCTION("""COMPUTED_VALUE"""),46208.0)</f>
        <v>46208</v>
      </c>
      <c r="B29" s="2" t="str">
        <f>IFERROR(__xludf.DUMMYFUNCTION("""COMPUTED_VALUE"""),"TRSF E-BANKING DB")</f>
        <v>TRSF E-BANKING DB</v>
      </c>
      <c r="C29" s="2" t="str">
        <f>IFERROR(__xludf.DUMMYFUNCTION("""COMPUTED_VALUE"""),"0507/FTFVA/WS95031 55574/GUNA MITRA S rembang - 200177")</f>
        <v>0507/FTFVA/WS95031 55574/GUNA MITRA S rembang - 200177</v>
      </c>
      <c r="D29" s="2">
        <f>IFERROR(__xludf.DUMMYFUNCTION("""COMPUTED_VALUE"""),7.82E7)</f>
        <v>78200000</v>
      </c>
      <c r="E29" s="2"/>
      <c r="F29" s="2" t="str">
        <f>IFERROR(__xludf.DUMMYFUNCTION("""COMPUTED_VALUE"""),"DB")</f>
        <v>DB</v>
      </c>
      <c r="G29" s="2">
        <f>IFERROR(__xludf.DUMMYFUNCTION("""COMPUTED_VALUE"""),4.1769136030999994E8)</f>
        <v>417691360.3</v>
      </c>
      <c r="H29" s="2"/>
      <c r="I29" s="2"/>
    </row>
    <row r="30">
      <c r="A30" s="7">
        <f>IFERROR(__xludf.DUMMYFUNCTION("""COMPUTED_VALUE"""),46208.0)</f>
        <v>46208</v>
      </c>
      <c r="B30" s="2" t="str">
        <f>IFERROR(__xludf.DUMMYFUNCTION("""COMPUTED_VALUE"""),"TRSF E-BANKING DB")</f>
        <v>TRSF E-BANKING DB</v>
      </c>
      <c r="C30" s="2" t="str">
        <f>IFERROR(__xludf.DUMMYFUNCTION("""COMPUTED_VALUE"""),"0507/FTFVA/WS95031 55569/PT PRIMA FAJ titip - 40190")</f>
        <v>0507/FTFVA/WS95031 55569/PT PRIMA FAJ titip - 40190</v>
      </c>
      <c r="D30" s="2">
        <f>IFERROR(__xludf.DUMMYFUNCTION("""COMPUTED_VALUE"""),1.5E8)</f>
        <v>150000000</v>
      </c>
      <c r="E30" s="2"/>
      <c r="F30" s="2" t="str">
        <f>IFERROR(__xludf.DUMMYFUNCTION("""COMPUTED_VALUE"""),"DB")</f>
        <v>DB</v>
      </c>
      <c r="G30" s="2">
        <f>IFERROR(__xludf.DUMMYFUNCTION("""COMPUTED_VALUE"""),2.6769136030999994E8)</f>
        <v>267691360.3</v>
      </c>
      <c r="H30" s="2"/>
      <c r="I30" s="2"/>
    </row>
    <row r="31">
      <c r="A31" s="7">
        <f>IFERROR(__xludf.DUMMYFUNCTION("""COMPUTED_VALUE"""),46208.0)</f>
        <v>46208</v>
      </c>
      <c r="B31" s="2" t="str">
        <f>IFERROR(__xludf.DUMMYFUNCTION("""COMPUTED_VALUE"""),"TRSF E-BANKING DB")</f>
        <v>TRSF E-BANKING DB</v>
      </c>
      <c r="C31" s="2" t="str">
        <f>IFERROR(__xludf.DUMMYFUNCTION("""COMPUTED_VALUE"""),"0507/FTSCY/WS95011 200000000.00 kdr dan magetan TABASSAM AL HATTAK")</f>
        <v>0507/FTSCY/WS95011 200000000.00 kdr dan magetan TABASSAM AL HATTAK</v>
      </c>
      <c r="D31" s="2">
        <f>IFERROR(__xludf.DUMMYFUNCTION("""COMPUTED_VALUE"""),2.0E8)</f>
        <v>200000000</v>
      </c>
      <c r="E31" s="2"/>
      <c r="F31" s="2" t="str">
        <f>IFERROR(__xludf.DUMMYFUNCTION("""COMPUTED_VALUE"""),"DB")</f>
        <v>DB</v>
      </c>
      <c r="G31" s="2">
        <f>IFERROR(__xludf.DUMMYFUNCTION("""COMPUTED_VALUE"""),6.769136030999994E7)</f>
        <v>67691360.31</v>
      </c>
      <c r="H31" s="2"/>
      <c r="I31" s="2"/>
    </row>
    <row r="32">
      <c r="A32" s="7">
        <f>IFERROR(__xludf.DUMMYFUNCTION("""COMPUTED_VALUE"""),46208.0)</f>
        <v>46208</v>
      </c>
      <c r="B32" s="2" t="str">
        <f>IFERROR(__xludf.DUMMYFUNCTION("""COMPUTED_VALUE"""),"TRSF E-BANKING DB")</f>
        <v>TRSF E-BANKING DB</v>
      </c>
      <c r="C32" s="2" t="str">
        <f>IFERROR(__xludf.DUMMYFUNCTION("""COMPUTED_VALUE"""),"0507/FTSCY/WS95031 1000000.00 MUJIANTO")</f>
        <v>0507/FTSCY/WS95031 1000000.00 MUJIANTO</v>
      </c>
      <c r="D32" s="2">
        <f>IFERROR(__xludf.DUMMYFUNCTION("""COMPUTED_VALUE"""),1000000.0)</f>
        <v>1000000</v>
      </c>
      <c r="E32" s="2"/>
      <c r="F32" s="2" t="str">
        <f>IFERROR(__xludf.DUMMYFUNCTION("""COMPUTED_VALUE"""),"DB")</f>
        <v>DB</v>
      </c>
      <c r="G32" s="2">
        <f>IFERROR(__xludf.DUMMYFUNCTION("""COMPUTED_VALUE"""),6.669136030999994E7)</f>
        <v>66691360.31</v>
      </c>
      <c r="H32" s="2">
        <f>IFERROR(__xludf.DUMMYFUNCTION("""COMPUTED_VALUE"""),6.669136031E7)</f>
        <v>66691360.31</v>
      </c>
      <c r="I32" s="2"/>
    </row>
    <row r="33">
      <c r="A33" s="7">
        <f>IFERROR(__xludf.DUMMYFUNCTION("""COMPUTED_VALUE"""),46209.0)</f>
        <v>46209</v>
      </c>
      <c r="B33" s="2" t="str">
        <f>IFERROR(__xludf.DUMMYFUNCTION("""COMPUTED_VALUE"""),"TRSF E-BANKING DB")</f>
        <v>TRSF E-BANKING DB</v>
      </c>
      <c r="C33" s="2" t="str">
        <f>IFERROR(__xludf.DUMMYFUNCTION("""COMPUTED_VALUE"""),"0607/FTSCY/WS95031 26097400.00 plunasan TABASSAM AL HATTAK")</f>
        <v>0607/FTSCY/WS95031 26097400.00 plunasan TABASSAM AL HATTAK</v>
      </c>
      <c r="D33" s="2">
        <f>IFERROR(__xludf.DUMMYFUNCTION("""COMPUTED_VALUE"""),2.60974E7)</f>
        <v>26097400</v>
      </c>
      <c r="E33" s="2"/>
      <c r="F33" s="2" t="str">
        <f>IFERROR(__xludf.DUMMYFUNCTION("""COMPUTED_VALUE"""),"DB")</f>
        <v>DB</v>
      </c>
      <c r="G33" s="2">
        <f>IFERROR(__xludf.DUMMYFUNCTION("""COMPUTED_VALUE"""),4.059396030999994E7)</f>
        <v>40593960.31</v>
      </c>
      <c r="H33" s="2"/>
      <c r="I33" s="2"/>
    </row>
    <row r="34">
      <c r="A34" s="7">
        <f>IFERROR(__xludf.DUMMYFUNCTION("""COMPUTED_VALUE"""),46209.0)</f>
        <v>46209</v>
      </c>
      <c r="B34" s="2" t="str">
        <f>IFERROR(__xludf.DUMMYFUNCTION("""COMPUTED_VALUE"""),"TRSF E-BANKING DB")</f>
        <v>TRSF E-BANKING DB</v>
      </c>
      <c r="C34" s="2" t="str">
        <f>IFERROR(__xludf.DUMMYFUNCTION("""COMPUTED_VALUE"""),"0607/FTSCY/WS95031 2040180.00 pelunasan TABASSAM AL HATTAK")</f>
        <v>0607/FTSCY/WS95031 2040180.00 pelunasan TABASSAM AL HATTAK</v>
      </c>
      <c r="D34" s="2">
        <f>IFERROR(__xludf.DUMMYFUNCTION("""COMPUTED_VALUE"""),2040180.0)</f>
        <v>2040180</v>
      </c>
      <c r="E34" s="2"/>
      <c r="F34" s="2" t="str">
        <f>IFERROR(__xludf.DUMMYFUNCTION("""COMPUTED_VALUE"""),"DB")</f>
        <v>DB</v>
      </c>
      <c r="G34" s="2">
        <f>IFERROR(__xludf.DUMMYFUNCTION("""COMPUTED_VALUE"""),3.855378030999994E7)</f>
        <v>38553780.31</v>
      </c>
      <c r="H34" s="2"/>
      <c r="I34" s="2"/>
    </row>
    <row r="35">
      <c r="A35" s="7">
        <f>IFERROR(__xludf.DUMMYFUNCTION("""COMPUTED_VALUE"""),46209.0)</f>
        <v>46209</v>
      </c>
      <c r="B35" s="2" t="str">
        <f>IFERROR(__xludf.DUMMYFUNCTION("""COMPUTED_VALUE"""),"TRSF E-BANKING DB")</f>
        <v>TRSF E-BANKING DB</v>
      </c>
      <c r="C35" s="2" t="str">
        <f>IFERROR(__xludf.DUMMYFUNCTION("""COMPUTED_VALUE"""),"0607/FTSCY/WS95271 90621520.00 Fri Jul 03 2026 14:00:00 GMT+0700 (Western Indonesia Time) BINTANG TAMA SANTO")</f>
        <v>0607/FTSCY/WS95271 90621520.00 Fri Jul 03 2026 14:00:00 GMT+0700 (Western Indonesia Time) BINTANG TAMA SANTO</v>
      </c>
      <c r="D35" s="2">
        <f>IFERROR(__xludf.DUMMYFUNCTION("""COMPUTED_VALUE"""),9.062152E7)</f>
        <v>90621520</v>
      </c>
      <c r="E35" s="2"/>
      <c r="F35" s="2" t="str">
        <f>IFERROR(__xludf.DUMMYFUNCTION("""COMPUTED_VALUE"""),"DB")</f>
        <v>DB</v>
      </c>
      <c r="G35" s="2">
        <f>IFERROR(__xludf.DUMMYFUNCTION("""COMPUTED_VALUE"""),3.7703150530999994E8)</f>
        <v>377031505.3</v>
      </c>
      <c r="H35" s="2"/>
      <c r="I35" s="2"/>
    </row>
    <row r="36">
      <c r="A36" s="7">
        <f>IFERROR(__xludf.DUMMYFUNCTION("""COMPUTED_VALUE"""),46209.0)</f>
        <v>46209</v>
      </c>
      <c r="B36" s="2" t="str">
        <f>IFERROR(__xludf.DUMMYFUNCTION("""COMPUTED_VALUE"""),"TRSF E-BANKING DB")</f>
        <v>TRSF E-BANKING DB</v>
      </c>
      <c r="C36" s="2" t="str">
        <f>IFERROR(__xludf.DUMMYFUNCTION("""COMPUTED_VALUE"""),"0607/FTSCY/WS95011 133957050.00 Sat Jul 04 2026 14:00:00 GMT+0700 (Western Indonesia Time) BINTANG TAMA SANTO")</f>
        <v>0607/FTSCY/WS95011 133957050.00 Sat Jul 04 2026 14:00:00 GMT+0700 (Western Indonesia Time) BINTANG TAMA SANTO</v>
      </c>
      <c r="D36" s="2">
        <f>IFERROR(__xludf.DUMMYFUNCTION("""COMPUTED_VALUE"""),1.3395705E8)</f>
        <v>133957050</v>
      </c>
      <c r="E36" s="2"/>
      <c r="F36" s="2" t="str">
        <f>IFERROR(__xludf.DUMMYFUNCTION("""COMPUTED_VALUE"""),"DB")</f>
        <v>DB</v>
      </c>
      <c r="G36" s="2">
        <f>IFERROR(__xludf.DUMMYFUNCTION("""COMPUTED_VALUE"""),2.4307445530999994E8)</f>
        <v>243074455.3</v>
      </c>
      <c r="H36" s="2">
        <f>IFERROR(__xludf.DUMMYFUNCTION("""COMPUTED_VALUE"""),2.4307445531E8)</f>
        <v>243074455.3</v>
      </c>
      <c r="I36" s="2"/>
    </row>
    <row r="37">
      <c r="A37" s="7">
        <f>IFERROR(__xludf.DUMMYFUNCTION("""COMPUTED_VALUE"""),46209.0)</f>
        <v>46209</v>
      </c>
      <c r="B37" s="2" t="str">
        <f>IFERROR(__xludf.DUMMYFUNCTION("""COMPUTED_VALUE"""),"TRSF E-BANKING DB")</f>
        <v>TRSF E-BANKING DB</v>
      </c>
      <c r="C37" s="2" t="str">
        <f>IFERROR(__xludf.DUMMYFUNCTION("""COMPUTED_VALUE"""),"0607/FTSCY/WS95011 100000000.00 pelunasan ANDALAN YASA MITRA")</f>
        <v>0607/FTSCY/WS95011 100000000.00 pelunasan ANDALAN YASA MITRA</v>
      </c>
      <c r="D37" s="2">
        <f>IFERROR(__xludf.DUMMYFUNCTION("""COMPUTED_VALUE"""),1.0E8)</f>
        <v>100000000</v>
      </c>
      <c r="E37" s="2"/>
      <c r="F37" s="2" t="str">
        <f>IFERROR(__xludf.DUMMYFUNCTION("""COMPUTED_VALUE"""),"DB")</f>
        <v>DB</v>
      </c>
      <c r="G37" s="2">
        <f>IFERROR(__xludf.DUMMYFUNCTION("""COMPUTED_VALUE"""),1.4307445530999994E8)</f>
        <v>143074455.3</v>
      </c>
      <c r="H37" s="2">
        <f>IFERROR(__xludf.DUMMYFUNCTION("""COMPUTED_VALUE"""),1.4307445531E8)</f>
        <v>143074455.3</v>
      </c>
      <c r="I37" s="2"/>
    </row>
    <row r="38">
      <c r="A38" s="7">
        <f>IFERROR(__xludf.DUMMYFUNCTION("""COMPUTED_VALUE"""),46209.0)</f>
        <v>46209</v>
      </c>
      <c r="B38" s="2" t="str">
        <f>IFERROR(__xludf.DUMMYFUNCTION("""COMPUTED_VALUE"""),"TRSF E-BANKING DB")</f>
        <v>TRSF E-BANKING DB</v>
      </c>
      <c r="C38" s="2" t="str">
        <f>IFERROR(__xludf.DUMMYFUNCTION("""COMPUTED_VALUE"""),"0607/FTSCY/WS95271 68149400.00 Wed Jun 03 2026 14:00:00 GMT+0700 (Western Indonesia Time) BROILER MAKMUR TAN")</f>
        <v>0607/FTSCY/WS95271 68149400.00 Wed Jun 03 2026 14:00:00 GMT+0700 (Western Indonesia Time) BROILER MAKMUR TAN</v>
      </c>
      <c r="D38" s="2">
        <f>IFERROR(__xludf.DUMMYFUNCTION("""COMPUTED_VALUE"""),6.81494E7)</f>
        <v>68149400</v>
      </c>
      <c r="E38" s="2"/>
      <c r="F38" s="2" t="str">
        <f>IFERROR(__xludf.DUMMYFUNCTION("""COMPUTED_VALUE"""),"DB")</f>
        <v>DB</v>
      </c>
      <c r="G38" s="2">
        <f>IFERROR(__xludf.DUMMYFUNCTION("""COMPUTED_VALUE"""),7.492505530999994E7)</f>
        <v>74925055.31</v>
      </c>
      <c r="H38" s="2"/>
      <c r="I38" s="2"/>
    </row>
    <row r="39">
      <c r="A39" s="7">
        <f>IFERROR(__xludf.DUMMYFUNCTION("""COMPUTED_VALUE"""),46209.0)</f>
        <v>46209</v>
      </c>
      <c r="B39" s="2" t="str">
        <f>IFERROR(__xludf.DUMMYFUNCTION("""COMPUTED_VALUE"""),"TRSF E-BANKING DB")</f>
        <v>TRSF E-BANKING DB</v>
      </c>
      <c r="C39" s="2" t="str">
        <f>IFERROR(__xludf.DUMMYFUNCTION("""COMPUTED_VALUE"""),"0607/FTSCY/WS95271 71134500.00 Thu Jun 04 2026 14:00:00 GMT+0700 (Western Indonesia Time) ANUGERAH KARTIKA A")</f>
        <v>0607/FTSCY/WS95271 71134500.00 Thu Jun 04 2026 14:00:00 GMT+0700 (Western Indonesia Time) ANUGERAH KARTIKA A</v>
      </c>
      <c r="D39" s="2">
        <f>IFERROR(__xludf.DUMMYFUNCTION("""COMPUTED_VALUE"""),7.11345E7)</f>
        <v>71134500</v>
      </c>
      <c r="E39" s="2"/>
      <c r="F39" s="2" t="str">
        <f>IFERROR(__xludf.DUMMYFUNCTION("""COMPUTED_VALUE"""),"DB")</f>
        <v>DB</v>
      </c>
      <c r="G39" s="2">
        <f>IFERROR(__xludf.DUMMYFUNCTION("""COMPUTED_VALUE"""),3790555.309999943)</f>
        <v>3790555.31</v>
      </c>
      <c r="H39" s="2"/>
      <c r="I39" s="2"/>
    </row>
    <row r="40">
      <c r="A40" s="7">
        <f>IFERROR(__xludf.DUMMYFUNCTION("""COMPUTED_VALUE"""),46209.0)</f>
        <v>46209</v>
      </c>
      <c r="B40" s="2" t="str">
        <f>IFERROR(__xludf.DUMMYFUNCTION("""COMPUTED_VALUE"""),"KARTU DEBIT")</f>
        <v>KARTU DEBIT</v>
      </c>
      <c r="C40" s="2" t="str">
        <f>IFERROR(__xludf.DUMMYFUNCTION("""COMPUTED_VALUE"""),"PODO MORO - HO 6019009510239343")</f>
        <v>PODO MORO - HO 6019009510239343</v>
      </c>
      <c r="D40" s="2">
        <f>IFERROR(__xludf.DUMMYFUNCTION("""COMPUTED_VALUE"""),337000.0)</f>
        <v>337000</v>
      </c>
      <c r="E40" s="2"/>
      <c r="F40" s="2"/>
      <c r="G40" s="2">
        <f>IFERROR(__xludf.DUMMYFUNCTION("""COMPUTED_VALUE"""),3453555.309999943)</f>
        <v>3453555.31</v>
      </c>
      <c r="H40" s="2"/>
      <c r="I40" s="2"/>
    </row>
    <row r="41">
      <c r="A41" s="7">
        <f>IFERROR(__xludf.DUMMYFUNCTION("""COMPUTED_VALUE"""),46209.0)</f>
        <v>46209</v>
      </c>
      <c r="B41" s="2" t="str">
        <f>IFERROR(__xludf.DUMMYFUNCTION("""COMPUTED_VALUE"""),"TRSF E-BANKING DB")</f>
        <v>TRSF E-BANKING DB</v>
      </c>
      <c r="C41" s="2" t="str">
        <f>IFERROR(__xludf.DUMMYFUNCTION("""COMPUTED_VALUE"""),"0607/FTSCY/WS95031 15000000.00 EKO SETIYAWAN")</f>
        <v>0607/FTSCY/WS95031 15000000.00 EKO SETIYAWAN</v>
      </c>
      <c r="D41" s="2">
        <f>IFERROR(__xludf.DUMMYFUNCTION("""COMPUTED_VALUE"""),1.5E7)</f>
        <v>15000000</v>
      </c>
      <c r="E41" s="2"/>
      <c r="F41" s="2" t="str">
        <f>IFERROR(__xludf.DUMMYFUNCTION("""COMPUTED_VALUE"""),"DB")</f>
        <v>DB</v>
      </c>
      <c r="G41" s="2">
        <f>IFERROR(__xludf.DUMMYFUNCTION("""COMPUTED_VALUE"""),2.2677175530999994E8)</f>
        <v>226771755.3</v>
      </c>
      <c r="H41" s="2"/>
      <c r="I41" s="2"/>
    </row>
    <row r="42">
      <c r="A42" s="7">
        <f>IFERROR(__xludf.DUMMYFUNCTION("""COMPUTED_VALUE"""),46209.0)</f>
        <v>46209</v>
      </c>
      <c r="B42" s="2" t="str">
        <f>IFERROR(__xludf.DUMMYFUNCTION("""COMPUTED_VALUE"""),"TARIKAN ATM 06/07")</f>
        <v>TARIKAN ATM 06/07</v>
      </c>
      <c r="C42" s="2" t="str">
        <f>IFERROR(__xludf.DUMMYFUNCTION("""COMPUTED_VALUE"""),"TARIKAN ATM 06/07")</f>
        <v>TARIKAN ATM 06/07</v>
      </c>
      <c r="D42" s="2">
        <f>IFERROR(__xludf.DUMMYFUNCTION("""COMPUTED_VALUE"""),150000.0)</f>
        <v>150000</v>
      </c>
      <c r="E42" s="2"/>
      <c r="F42" s="2"/>
      <c r="G42" s="2">
        <f>IFERROR(__xludf.DUMMYFUNCTION("""COMPUTED_VALUE"""),2.2662175530999994E8)</f>
        <v>226621755.3</v>
      </c>
      <c r="H42" s="2"/>
      <c r="I42" s="2"/>
    </row>
    <row r="43">
      <c r="A43" s="7">
        <f>IFERROR(__xludf.DUMMYFUNCTION("""COMPUTED_VALUE"""),46209.0)</f>
        <v>46209</v>
      </c>
      <c r="B43" s="2" t="str">
        <f>IFERROR(__xludf.DUMMYFUNCTION("""COMPUTED_VALUE"""),"TRSF E-BANKING DB")</f>
        <v>TRSF E-BANKING DB</v>
      </c>
      <c r="C43" s="2" t="str">
        <f>IFERROR(__xludf.DUMMYFUNCTION("""COMPUTED_VALUE"""),"0607/FTSCY/WS95271 69020000.00 jombang 2.9 ton TABASSAM AZ ZUFAR")</f>
        <v>0607/FTSCY/WS95271 69020000.00 jombang 2.9 ton TABASSAM AZ ZUFAR</v>
      </c>
      <c r="D43" s="2">
        <f>IFERROR(__xludf.DUMMYFUNCTION("""COMPUTED_VALUE"""),6.902E7)</f>
        <v>69020000</v>
      </c>
      <c r="E43" s="2"/>
      <c r="F43" s="2" t="str">
        <f>IFERROR(__xludf.DUMMYFUNCTION("""COMPUTED_VALUE"""),"DB")</f>
        <v>DB</v>
      </c>
      <c r="G43" s="2">
        <f>IFERROR(__xludf.DUMMYFUNCTION("""COMPUTED_VALUE"""),1.5760175530999994E8)</f>
        <v>157601755.3</v>
      </c>
      <c r="H43" s="2"/>
      <c r="I43" s="2"/>
    </row>
    <row r="44">
      <c r="A44" s="7">
        <f>IFERROR(__xludf.DUMMYFUNCTION("""COMPUTED_VALUE"""),46209.0)</f>
        <v>46209</v>
      </c>
      <c r="B44" s="2" t="str">
        <f>IFERROR(__xludf.DUMMYFUNCTION("""COMPUTED_VALUE"""),"TRSF E-BANKING DB")</f>
        <v>TRSF E-BANKING DB</v>
      </c>
      <c r="C44" s="2" t="str">
        <f>IFERROR(__xludf.DUMMYFUNCTION("""COMPUTED_VALUE"""),"0607/FTFVA/WS95031 55569/PT PRIMA FAJ pelunasan - 40190")</f>
        <v>0607/FTFVA/WS95031 55569/PT PRIMA FAJ pelunasan - 40190</v>
      </c>
      <c r="D44" s="2">
        <f>IFERROR(__xludf.DUMMYFUNCTION("""COMPUTED_VALUE"""),7.941405E7)</f>
        <v>79414050</v>
      </c>
      <c r="E44" s="2"/>
      <c r="F44" s="2" t="str">
        <f>IFERROR(__xludf.DUMMYFUNCTION("""COMPUTED_VALUE"""),"DB")</f>
        <v>DB</v>
      </c>
      <c r="G44" s="2">
        <f>IFERROR(__xludf.DUMMYFUNCTION("""COMPUTED_VALUE"""),7.818770530999994E7)</f>
        <v>78187705.31</v>
      </c>
      <c r="H44" s="2"/>
      <c r="I44" s="2"/>
    </row>
    <row r="45">
      <c r="A45" s="7">
        <f>IFERROR(__xludf.DUMMYFUNCTION("""COMPUTED_VALUE"""),46209.0)</f>
        <v>46209</v>
      </c>
      <c r="B45" s="2" t="str">
        <f>IFERROR(__xludf.DUMMYFUNCTION("""COMPUTED_VALUE"""),"TRSF E-BANKING DB")</f>
        <v>TRSF E-BANKING DB</v>
      </c>
      <c r="C45" s="2" t="str">
        <f>IFERROR(__xludf.DUMMYFUNCTION("""COMPUTED_VALUE"""),"0607/FTFVA/WS95031 55574/GUNA MITRA S pelunasan rembang - 200177")</f>
        <v>0607/FTFVA/WS95031 55574/GUNA MITRA S pelunasan rembang - 200177</v>
      </c>
      <c r="D45" s="2">
        <f>IFERROR(__xludf.DUMMYFUNCTION("""COMPUTED_VALUE"""),588800.0)</f>
        <v>588800</v>
      </c>
      <c r="E45" s="2"/>
      <c r="F45" s="2" t="str">
        <f>IFERROR(__xludf.DUMMYFUNCTION("""COMPUTED_VALUE"""),"DB")</f>
        <v>DB</v>
      </c>
      <c r="G45" s="2">
        <f>IFERROR(__xludf.DUMMYFUNCTION("""COMPUTED_VALUE"""),5.2959634030999994E8)</f>
        <v>529596340.3</v>
      </c>
      <c r="H45" s="2"/>
      <c r="I45" s="2"/>
    </row>
    <row r="46">
      <c r="A46" s="7">
        <f>IFERROR(__xludf.DUMMYFUNCTION("""COMPUTED_VALUE"""),46209.0)</f>
        <v>46209</v>
      </c>
      <c r="B46" s="2" t="str">
        <f>IFERROR(__xludf.DUMMYFUNCTION("""COMPUTED_VALUE"""),"TRSF E-BANKING DB")</f>
        <v>TRSF E-BANKING DB</v>
      </c>
      <c r="C46" s="2" t="str">
        <f>IFERROR(__xludf.DUMMYFUNCTION("""COMPUTED_VALUE"""),"0607/FTSCY/WS95011 178600000.00 Sat Jul 04 2026 14:00:00 GMT+0700 (Western Indonesia Time) ANDALAN YASA MITRA")</f>
        <v>0607/FTSCY/WS95011 178600000.00 Sat Jul 04 2026 14:00:00 GMT+0700 (Western Indonesia Time) ANDALAN YASA MITRA</v>
      </c>
      <c r="D46" s="2">
        <f>IFERROR(__xludf.DUMMYFUNCTION("""COMPUTED_VALUE"""),1.786E8)</f>
        <v>178600000</v>
      </c>
      <c r="E46" s="2"/>
      <c r="F46" s="2" t="str">
        <f>IFERROR(__xludf.DUMMYFUNCTION("""COMPUTED_VALUE"""),"DB")</f>
        <v>DB</v>
      </c>
      <c r="G46" s="2">
        <f>IFERROR(__xludf.DUMMYFUNCTION("""COMPUTED_VALUE"""),3.5099634030999994E8)</f>
        <v>350996340.3</v>
      </c>
      <c r="H46" s="2">
        <f>IFERROR(__xludf.DUMMYFUNCTION("""COMPUTED_VALUE"""),3.5099634031E8)</f>
        <v>350996340.3</v>
      </c>
      <c r="I46" s="2"/>
    </row>
    <row r="47">
      <c r="A47" s="7">
        <f>IFERROR(__xludf.DUMMYFUNCTION("""COMPUTED_VALUE"""),46209.0)</f>
        <v>46209</v>
      </c>
      <c r="B47" s="2" t="str">
        <f>IFERROR(__xludf.DUMMYFUNCTION("""COMPUTED_VALUE"""),"TRSF E-BANKING DB")</f>
        <v>TRSF E-BANKING DB</v>
      </c>
      <c r="C47" s="2" t="str">
        <f>IFERROR(__xludf.DUMMYFUNCTION("""COMPUTED_VALUE"""),"0607/FTSCY/WS95011 86125100.00 Sat Jul 04 2026 14:00:00 GMT+0700 (Western Indonesia Time) ANDALAN YASA MITRA")</f>
        <v>0607/FTSCY/WS95011 86125100.00 Sat Jul 04 2026 14:00:00 GMT+0700 (Western Indonesia Time) ANDALAN YASA MITRA</v>
      </c>
      <c r="D47" s="2">
        <f>IFERROR(__xludf.DUMMYFUNCTION("""COMPUTED_VALUE"""),8.61251E7)</f>
        <v>86125100</v>
      </c>
      <c r="E47" s="2"/>
      <c r="F47" s="2" t="str">
        <f>IFERROR(__xludf.DUMMYFUNCTION("""COMPUTED_VALUE"""),"DB")</f>
        <v>DB</v>
      </c>
      <c r="G47" s="2">
        <f>IFERROR(__xludf.DUMMYFUNCTION("""COMPUTED_VALUE"""),2.6487124030999994E8)</f>
        <v>264871240.3</v>
      </c>
      <c r="H47" s="2">
        <f>IFERROR(__xludf.DUMMYFUNCTION("""COMPUTED_VALUE"""),2.6487124031E8)</f>
        <v>264871240.3</v>
      </c>
      <c r="I47" s="2"/>
    </row>
    <row r="48">
      <c r="A48" s="7">
        <f>IFERROR(__xludf.DUMMYFUNCTION("""COMPUTED_VALUE"""),46209.0)</f>
        <v>46209</v>
      </c>
      <c r="B48" s="2" t="str">
        <f>IFERROR(__xludf.DUMMYFUNCTION("""COMPUTED_VALUE"""),"TRSF E-BANKING DB")</f>
        <v>TRSF E-BANKING DB</v>
      </c>
      <c r="C48" s="2" t="str">
        <f>IFERROR(__xludf.DUMMYFUNCTION("""COMPUTED_VALUE"""),"0607/FTSCY/WS95031 54500000.00 pelunasan ANDALAN YASA MITRA")</f>
        <v>0607/FTSCY/WS95031 54500000.00 pelunasan ANDALAN YASA MITRA</v>
      </c>
      <c r="D48" s="2">
        <f>IFERROR(__xludf.DUMMYFUNCTION("""COMPUTED_VALUE"""),5.45E7)</f>
        <v>54500000</v>
      </c>
      <c r="E48" s="2"/>
      <c r="F48" s="2" t="str">
        <f>IFERROR(__xludf.DUMMYFUNCTION("""COMPUTED_VALUE"""),"DB")</f>
        <v>DB</v>
      </c>
      <c r="G48" s="2">
        <f>IFERROR(__xludf.DUMMYFUNCTION("""COMPUTED_VALUE"""),2.1037124030999994E8)</f>
        <v>210371240.3</v>
      </c>
      <c r="H48" s="2">
        <f>IFERROR(__xludf.DUMMYFUNCTION("""COMPUTED_VALUE"""),2.1037124031E8)</f>
        <v>210371240.3</v>
      </c>
      <c r="I48" s="2"/>
    </row>
    <row r="49">
      <c r="A49" s="7">
        <f>IFERROR(__xludf.DUMMYFUNCTION("""COMPUTED_VALUE"""),46210.0)</f>
        <v>46210</v>
      </c>
      <c r="B49" s="2" t="str">
        <f>IFERROR(__xludf.DUMMYFUNCTION("""COMPUTED_VALUE"""),"TRSF E-BANKING DB")</f>
        <v>TRSF E-BANKING DB</v>
      </c>
      <c r="C49" s="2" t="str">
        <f>IFERROR(__xludf.DUMMYFUNCTION("""COMPUTED_VALUE"""),"0707/FTSCY/WS95271 20000000.00 pelunasan ANDALAN YASA MITRA")</f>
        <v>0707/FTSCY/WS95271 20000000.00 pelunasan ANDALAN YASA MITRA</v>
      </c>
      <c r="D49" s="2">
        <f>IFERROR(__xludf.DUMMYFUNCTION("""COMPUTED_VALUE"""),2.0E7)</f>
        <v>20000000</v>
      </c>
      <c r="E49" s="2"/>
      <c r="F49" s="2" t="str">
        <f>IFERROR(__xludf.DUMMYFUNCTION("""COMPUTED_VALUE"""),"DB")</f>
        <v>DB</v>
      </c>
      <c r="G49" s="2">
        <f>IFERROR(__xludf.DUMMYFUNCTION("""COMPUTED_VALUE"""),1.9037124030999994E8)</f>
        <v>190371240.3</v>
      </c>
      <c r="H49" s="2"/>
      <c r="I49" s="2"/>
    </row>
    <row r="50">
      <c r="A50" s="7">
        <f>IFERROR(__xludf.DUMMYFUNCTION("""COMPUTED_VALUE"""),46210.0)</f>
        <v>46210</v>
      </c>
      <c r="B50" s="2" t="str">
        <f>IFERROR(__xludf.DUMMYFUNCTION("""COMPUTED_VALUE"""),"TRSF E-BANKING DB")</f>
        <v>TRSF E-BANKING DB</v>
      </c>
      <c r="C50" s="2" t="str">
        <f>IFERROR(__xludf.DUMMYFUNCTION("""COMPUTED_VALUE"""),"0707/FTSCY/WS95271 135759500.00 Sun Jul 05 2026 14:00:00 GMT+0700 (Western Indonesia Time) ANDALAN YASA MITRA")</f>
        <v>0707/FTSCY/WS95271 135759500.00 Sun Jul 05 2026 14:00:00 GMT+0700 (Western Indonesia Time) ANDALAN YASA MITRA</v>
      </c>
      <c r="D50" s="2">
        <f>IFERROR(__xludf.DUMMYFUNCTION("""COMPUTED_VALUE"""),1.357595E8)</f>
        <v>135759500</v>
      </c>
      <c r="E50" s="2"/>
      <c r="F50" s="2" t="str">
        <f>IFERROR(__xludf.DUMMYFUNCTION("""COMPUTED_VALUE"""),"DB")</f>
        <v>DB</v>
      </c>
      <c r="G50" s="2">
        <f>IFERROR(__xludf.DUMMYFUNCTION("""COMPUTED_VALUE"""),5.461174030999994E7)</f>
        <v>54611740.31</v>
      </c>
      <c r="H50" s="2"/>
      <c r="I50" s="2"/>
    </row>
    <row r="51">
      <c r="A51" s="7">
        <f>IFERROR(__xludf.DUMMYFUNCTION("""COMPUTED_VALUE"""),46210.0)</f>
        <v>46210</v>
      </c>
      <c r="B51" s="2" t="str">
        <f>IFERROR(__xludf.DUMMYFUNCTION("""COMPUTED_VALUE"""),"TRSF E-BANKING DB")</f>
        <v>TRSF E-BANKING DB</v>
      </c>
      <c r="C51" s="2" t="str">
        <f>IFERROR(__xludf.DUMMYFUNCTION("""COMPUTED_VALUE"""),"0707/FTSCY/WS95031 2108240.00 HERMAWAN")</f>
        <v>0707/FTSCY/WS95031 2108240.00 HERMAWAN</v>
      </c>
      <c r="D51" s="2">
        <f>IFERROR(__xludf.DUMMYFUNCTION("""COMPUTED_VALUE"""),2108240.0)</f>
        <v>2108240</v>
      </c>
      <c r="E51" s="2"/>
      <c r="F51" s="2" t="str">
        <f>IFERROR(__xludf.DUMMYFUNCTION("""COMPUTED_VALUE"""),"DB")</f>
        <v>DB</v>
      </c>
      <c r="G51" s="2">
        <f>IFERROR(__xludf.DUMMYFUNCTION("""COMPUTED_VALUE"""),5.250350030999994E7)</f>
        <v>52503500.31</v>
      </c>
      <c r="H51" s="2"/>
      <c r="I51" s="2"/>
    </row>
    <row r="52">
      <c r="A52" s="7">
        <f>IFERROR(__xludf.DUMMYFUNCTION("""COMPUTED_VALUE"""),46210.0)</f>
        <v>46210</v>
      </c>
      <c r="B52" s="2" t="str">
        <f>IFERROR(__xludf.DUMMYFUNCTION("""COMPUTED_VALUE"""),"TRSF E-BANKING DB")</f>
        <v>TRSF E-BANKING DB</v>
      </c>
      <c r="C52" s="2" t="str">
        <f>IFERROR(__xludf.DUMMYFUNCTION("""COMPUTED_VALUE"""),"0707/FTSCY/WS95031 1500000.00 MUJIANTO")</f>
        <v>0707/FTSCY/WS95031 1500000.00 MUJIANTO</v>
      </c>
      <c r="D52" s="2">
        <f>IFERROR(__xludf.DUMMYFUNCTION("""COMPUTED_VALUE"""),1500000.0)</f>
        <v>1500000</v>
      </c>
      <c r="E52" s="2"/>
      <c r="F52" s="2" t="str">
        <f>IFERROR(__xludf.DUMMYFUNCTION("""COMPUTED_VALUE"""),"DB")</f>
        <v>DB</v>
      </c>
      <c r="G52" s="2">
        <f>IFERROR(__xludf.DUMMYFUNCTION("""COMPUTED_VALUE"""),5.100350030999994E7)</f>
        <v>51003500.31</v>
      </c>
      <c r="H52" s="2"/>
      <c r="I52" s="2"/>
    </row>
    <row r="53">
      <c r="A53" s="7">
        <f>IFERROR(__xludf.DUMMYFUNCTION("""COMPUTED_VALUE"""),46210.0)</f>
        <v>46210</v>
      </c>
      <c r="B53" s="2" t="str">
        <f>IFERROR(__xludf.DUMMYFUNCTION("""COMPUTED_VALUE"""),"TRSF E-BANKING DB")</f>
        <v>TRSF E-BANKING DB</v>
      </c>
      <c r="C53" s="2" t="str">
        <f>IFERROR(__xludf.DUMMYFUNCTION("""COMPUTED_VALUE"""),"0707/FTSCY/WS95031 1000000.00 DIANA NOVITA")</f>
        <v>0707/FTSCY/WS95031 1000000.00 DIANA NOVITA</v>
      </c>
      <c r="D53" s="2">
        <f>IFERROR(__xludf.DUMMYFUNCTION("""COMPUTED_VALUE"""),1000000.0)</f>
        <v>1000000</v>
      </c>
      <c r="E53" s="2"/>
      <c r="F53" s="2" t="str">
        <f>IFERROR(__xludf.DUMMYFUNCTION("""COMPUTED_VALUE"""),"DB")</f>
        <v>DB</v>
      </c>
      <c r="G53" s="2">
        <f>IFERROR(__xludf.DUMMYFUNCTION("""COMPUTED_VALUE"""),5.000350030999994E7)</f>
        <v>50003500.31</v>
      </c>
      <c r="H53" s="2"/>
      <c r="I53" s="2"/>
    </row>
    <row r="54">
      <c r="A54" s="7">
        <f>IFERROR(__xludf.DUMMYFUNCTION("""COMPUTED_VALUE"""),46210.0)</f>
        <v>46210</v>
      </c>
      <c r="B54" s="2" t="str">
        <f>IFERROR(__xludf.DUMMYFUNCTION("""COMPUTED_VALUE"""),"TRSF E-BANKING DB")</f>
        <v>TRSF E-BANKING DB</v>
      </c>
      <c r="C54" s="2" t="str">
        <f>IFERROR(__xludf.DUMMYFUNCTION("""COMPUTED_VALUE"""),"0707/FTSCY/WS95271 66670470.00 Sun Jul 05 2026 14:00:00 GMT+0700 (Western Indonesia Time) ANDALAN YASA MITRA")</f>
        <v>0707/FTSCY/WS95271 66670470.00 Sun Jul 05 2026 14:00:00 GMT+0700 (Western Indonesia Time) ANDALAN YASA MITRA</v>
      </c>
      <c r="D54" s="2">
        <f>IFERROR(__xludf.DUMMYFUNCTION("""COMPUTED_VALUE"""),6.667047E7)</f>
        <v>66670470</v>
      </c>
      <c r="E54" s="2"/>
      <c r="F54" s="2" t="str">
        <f>IFERROR(__xludf.DUMMYFUNCTION("""COMPUTED_VALUE"""),"DB")</f>
        <v>DB</v>
      </c>
      <c r="G54" s="2">
        <f>IFERROR(__xludf.DUMMYFUNCTION("""COMPUTED_VALUE"""),7.4293579031E8)</f>
        <v>742935790.3</v>
      </c>
      <c r="H54" s="2"/>
      <c r="I54" s="2"/>
    </row>
    <row r="55">
      <c r="A55" s="7">
        <f>IFERROR(__xludf.DUMMYFUNCTION("""COMPUTED_VALUE"""),46210.0)</f>
        <v>46210</v>
      </c>
      <c r="B55" s="2" t="str">
        <f>IFERROR(__xludf.DUMMYFUNCTION("""COMPUTED_VALUE"""),"TRSF E-BANKING DB")</f>
        <v>TRSF E-BANKING DB</v>
      </c>
      <c r="C55" s="2" t="str">
        <f>IFERROR(__xludf.DUMMYFUNCTION("""COMPUTED_VALUE"""),"0707/FTSCY/WS95011 135850650.00 Sun Jul 05 2026 14:00:00 GMT+0700 (Western Indonesia Time) SUPER UNGGAS JAYA")</f>
        <v>0707/FTSCY/WS95011 135850650.00 Sun Jul 05 2026 14:00:00 GMT+0700 (Western Indonesia Time) SUPER UNGGAS JAYA</v>
      </c>
      <c r="D55" s="2">
        <f>IFERROR(__xludf.DUMMYFUNCTION("""COMPUTED_VALUE"""),1.3585065E8)</f>
        <v>135850650</v>
      </c>
      <c r="E55" s="2"/>
      <c r="F55" s="2" t="str">
        <f>IFERROR(__xludf.DUMMYFUNCTION("""COMPUTED_VALUE"""),"DB")</f>
        <v>DB</v>
      </c>
      <c r="G55" s="2">
        <f>IFERROR(__xludf.DUMMYFUNCTION("""COMPUTED_VALUE"""),6.0708514031E8)</f>
        <v>607085140.3</v>
      </c>
      <c r="H55" s="2"/>
      <c r="I55" s="2"/>
    </row>
    <row r="56">
      <c r="A56" s="7">
        <f>IFERROR(__xludf.DUMMYFUNCTION("""COMPUTED_VALUE"""),46210.0)</f>
        <v>46210</v>
      </c>
      <c r="B56" s="2" t="str">
        <f>IFERROR(__xludf.DUMMYFUNCTION("""COMPUTED_VALUE"""),"TRSF E-BANKING DB")</f>
        <v>TRSF E-BANKING DB</v>
      </c>
      <c r="C56" s="2" t="str">
        <f>IFERROR(__xludf.DUMMYFUNCTION("""COMPUTED_VALUE"""),"0707/FTSCY/WS95011 137735850.00 Sun Jul 05 2026 14:00:00 GMT+0700 (Western Indonesia Time) BINTANG TAMA SANTO")</f>
        <v>0707/FTSCY/WS95011 137735850.00 Sun Jul 05 2026 14:00:00 GMT+0700 (Western Indonesia Time) BINTANG TAMA SANTO</v>
      </c>
      <c r="D56" s="2">
        <f>IFERROR(__xludf.DUMMYFUNCTION("""COMPUTED_VALUE"""),1.3773585E8)</f>
        <v>137735850</v>
      </c>
      <c r="E56" s="2"/>
      <c r="F56" s="2" t="str">
        <f>IFERROR(__xludf.DUMMYFUNCTION("""COMPUTED_VALUE"""),"DB")</f>
        <v>DB</v>
      </c>
      <c r="G56" s="2">
        <f>IFERROR(__xludf.DUMMYFUNCTION("""COMPUTED_VALUE"""),4.6934929030999994E8)</f>
        <v>469349290.3</v>
      </c>
      <c r="H56" s="2">
        <f>IFERROR(__xludf.DUMMYFUNCTION("""COMPUTED_VALUE"""),4.6934929031E8)</f>
        <v>469349290.3</v>
      </c>
      <c r="I56" s="2"/>
    </row>
    <row r="57">
      <c r="A57" s="7">
        <f>IFERROR(__xludf.DUMMYFUNCTION("""COMPUTED_VALUE"""),46210.0)</f>
        <v>46210</v>
      </c>
      <c r="B57" s="2" t="str">
        <f>IFERROR(__xludf.DUMMYFUNCTION("""COMPUTED_VALUE"""),"TRSF E-BANKING DB")</f>
        <v>TRSF E-BANKING DB</v>
      </c>
      <c r="C57" s="2" t="str">
        <f>IFERROR(__xludf.DUMMYFUNCTION("""COMPUTED_VALUE"""),"0707/FTSCY/WS95011 152126320.00 Sun Jul 05 2026 14:00:00 GMT+0700 (Western Indonesia Time) BROILER MAKMUR TAN")</f>
        <v>0707/FTSCY/WS95011 152126320.00 Sun Jul 05 2026 14:00:00 GMT+0700 (Western Indonesia Time) BROILER MAKMUR TAN</v>
      </c>
      <c r="D57" s="2">
        <f>IFERROR(__xludf.DUMMYFUNCTION("""COMPUTED_VALUE"""),1.5212632E8)</f>
        <v>152126320</v>
      </c>
      <c r="E57" s="2"/>
      <c r="F57" s="2" t="str">
        <f>IFERROR(__xludf.DUMMYFUNCTION("""COMPUTED_VALUE"""),"DB")</f>
        <v>DB</v>
      </c>
      <c r="G57" s="2">
        <f>IFERROR(__xludf.DUMMYFUNCTION("""COMPUTED_VALUE"""),3.1722297030999994E8)</f>
        <v>317222970.3</v>
      </c>
      <c r="H57" s="2">
        <f>IFERROR(__xludf.DUMMYFUNCTION("""COMPUTED_VALUE"""),3.1722297031E8)</f>
        <v>317222970.3</v>
      </c>
      <c r="I57" s="2"/>
    </row>
    <row r="58">
      <c r="A58" s="7">
        <f>IFERROR(__xludf.DUMMYFUNCTION("""COMPUTED_VALUE"""),46210.0)</f>
        <v>46210</v>
      </c>
      <c r="B58" s="2" t="str">
        <f>IFERROR(__xludf.DUMMYFUNCTION("""COMPUTED_VALUE"""),"TRSF E-BANKING DB")</f>
        <v>TRSF E-BANKING DB</v>
      </c>
      <c r="C58" s="2" t="str">
        <f>IFERROR(__xludf.DUMMYFUNCTION("""COMPUTED_VALUE"""),"0707/FTSCY/WS95031 92034500.00 Sun Jul 05 2026 14:00:00 GMT+0700 (Western Indonesia Time) ANDALAN YASA MITRA")</f>
        <v>0707/FTSCY/WS95031 92034500.00 Sun Jul 05 2026 14:00:00 GMT+0700 (Western Indonesia Time) ANDALAN YASA MITRA</v>
      </c>
      <c r="D58" s="2">
        <f>IFERROR(__xludf.DUMMYFUNCTION("""COMPUTED_VALUE"""),9.20345E7)</f>
        <v>92034500</v>
      </c>
      <c r="E58" s="2"/>
      <c r="F58" s="2" t="str">
        <f>IFERROR(__xludf.DUMMYFUNCTION("""COMPUTED_VALUE"""),"DB")</f>
        <v>DB</v>
      </c>
      <c r="G58" s="2">
        <f>IFERROR(__xludf.DUMMYFUNCTION("""COMPUTED_VALUE"""),2.2518847030999994E8)</f>
        <v>225188470.3</v>
      </c>
      <c r="H58" s="2"/>
      <c r="I58" s="2"/>
    </row>
    <row r="59">
      <c r="A59" s="7">
        <f>IFERROR(__xludf.DUMMYFUNCTION("""COMPUTED_VALUE"""),46210.0)</f>
        <v>46210</v>
      </c>
      <c r="B59" s="2" t="str">
        <f>IFERROR(__xludf.DUMMYFUNCTION("""COMPUTED_VALUE"""),"TRSF E-BANKING DB")</f>
        <v>TRSF E-BANKING DB</v>
      </c>
      <c r="C59" s="2" t="str">
        <f>IFERROR(__xludf.DUMMYFUNCTION("""COMPUTED_VALUE"""),"0707/FTSCY/WS95271 61423000.00 kd zaini mlg SUGENG RIADI")</f>
        <v>0707/FTSCY/WS95271 61423000.00 kd zaini mlg SUGENG RIADI</v>
      </c>
      <c r="D59" s="2">
        <f>IFERROR(__xludf.DUMMYFUNCTION("""COMPUTED_VALUE"""),6.1423E7)</f>
        <v>61423000</v>
      </c>
      <c r="E59" s="2"/>
      <c r="F59" s="2" t="str">
        <f>IFERROR(__xludf.DUMMYFUNCTION("""COMPUTED_VALUE"""),"DB")</f>
        <v>DB</v>
      </c>
      <c r="G59" s="2">
        <f>IFERROR(__xludf.DUMMYFUNCTION("""COMPUTED_VALUE"""),1.6376547030999994E8)</f>
        <v>163765470.3</v>
      </c>
      <c r="H59" s="2"/>
      <c r="I59" s="2"/>
    </row>
    <row r="60">
      <c r="A60" s="7">
        <f>IFERROR(__xludf.DUMMYFUNCTION("""COMPUTED_VALUE"""),46210.0)</f>
        <v>46210</v>
      </c>
      <c r="B60" s="2" t="str">
        <f>IFERROR(__xludf.DUMMYFUNCTION("""COMPUTED_VALUE"""),"TRSF E-BANKING DB")</f>
        <v>TRSF E-BANKING DB</v>
      </c>
      <c r="C60" s="2" t="str">
        <f>IFERROR(__xludf.DUMMYFUNCTION("""COMPUTED_VALUE"""),"0707/FTSCY/WS95011 73902120.00 kd samhaji jbr LAWU ABADI NUSA PT")</f>
        <v>0707/FTSCY/WS95011 73902120.00 kd samhaji jbr LAWU ABADI NUSA PT</v>
      </c>
      <c r="D60" s="2">
        <f>IFERROR(__xludf.DUMMYFUNCTION("""COMPUTED_VALUE"""),7.390212E7)</f>
        <v>73902120</v>
      </c>
      <c r="E60" s="2"/>
      <c r="F60" s="2" t="str">
        <f>IFERROR(__xludf.DUMMYFUNCTION("""COMPUTED_VALUE"""),"DB")</f>
        <v>DB</v>
      </c>
      <c r="G60" s="2">
        <f>IFERROR(__xludf.DUMMYFUNCTION("""COMPUTED_VALUE"""),8.986335030999994E7)</f>
        <v>89863350.31</v>
      </c>
      <c r="H60" s="2"/>
      <c r="I60" s="2"/>
    </row>
    <row r="61">
      <c r="A61" s="7">
        <f>IFERROR(__xludf.DUMMYFUNCTION("""COMPUTED_VALUE"""),46210.0)</f>
        <v>46210</v>
      </c>
      <c r="B61" s="2" t="str">
        <f>IFERROR(__xludf.DUMMYFUNCTION("""COMPUTED_VALUE"""),"TRSF E-BANKING DB")</f>
        <v>TRSF E-BANKING DB</v>
      </c>
      <c r="C61" s="2" t="str">
        <f>IFERROR(__xludf.DUMMYFUNCTION("""COMPUTED_VALUE"""),"0707/FTSCY/WS95271 15000000.00 MUHAMMAD HAIRUL MA")</f>
        <v>0707/FTSCY/WS95271 15000000.00 MUHAMMAD HAIRUL MA</v>
      </c>
      <c r="D61" s="2">
        <f>IFERROR(__xludf.DUMMYFUNCTION("""COMPUTED_VALUE"""),1.5E7)</f>
        <v>15000000</v>
      </c>
      <c r="E61" s="2"/>
      <c r="F61" s="2" t="str">
        <f>IFERROR(__xludf.DUMMYFUNCTION("""COMPUTED_VALUE"""),"DB")</f>
        <v>DB</v>
      </c>
      <c r="G61" s="2">
        <f>IFERROR(__xludf.DUMMYFUNCTION("""COMPUTED_VALUE"""),7.486335030999994E7)</f>
        <v>74863350.31</v>
      </c>
      <c r="H61" s="2"/>
      <c r="I61" s="2"/>
    </row>
    <row r="62">
      <c r="A62" s="7">
        <f>IFERROR(__xludf.DUMMYFUNCTION("""COMPUTED_VALUE"""),46210.0)</f>
        <v>46210</v>
      </c>
      <c r="B62" s="2" t="str">
        <f>IFERROR(__xludf.DUMMYFUNCTION("""COMPUTED_VALUE"""),"KARTU DEBIT")</f>
        <v>KARTU DEBIT</v>
      </c>
      <c r="C62" s="2" t="str">
        <f>IFERROR(__xludf.DUMMYFUNCTION("""COMPUTED_VALUE"""),"IDM TWUN-JELBUK 6019009510239343")</f>
        <v>IDM TWUN-JELBUK 6019009510239343</v>
      </c>
      <c r="D62" s="2">
        <f>IFERROR(__xludf.DUMMYFUNCTION("""COMPUTED_VALUE"""),88000.0)</f>
        <v>88000</v>
      </c>
      <c r="E62" s="2"/>
      <c r="F62" s="2"/>
      <c r="G62" s="2">
        <f>IFERROR(__xludf.DUMMYFUNCTION("""COMPUTED_VALUE"""),7.577535030999994E7)</f>
        <v>75775350.31</v>
      </c>
      <c r="H62" s="2"/>
      <c r="I62" s="2"/>
    </row>
    <row r="63">
      <c r="A63" s="7">
        <f>IFERROR(__xludf.DUMMYFUNCTION("""COMPUTED_VALUE"""),46210.0)</f>
        <v>46210</v>
      </c>
      <c r="B63" s="2" t="str">
        <f>IFERROR(__xludf.DUMMYFUNCTION("""COMPUTED_VALUE"""),"TRSF E-BANKING DB")</f>
        <v>TRSF E-BANKING DB</v>
      </c>
      <c r="C63" s="2" t="str">
        <f>IFERROR(__xludf.DUMMYFUNCTION("""COMPUTED_VALUE"""),"0707/FTFVA/WS95031 55569/PT PRIMA FAJ kd wahyudi - 40190")</f>
        <v>0707/FTFVA/WS95031 55569/PT PRIMA FAJ kd wahyudi - 40190</v>
      </c>
      <c r="D63" s="2">
        <f>IFERROR(__xludf.DUMMYFUNCTION("""COMPUTED_VALUE"""),7.254912E7)</f>
        <v>72549120</v>
      </c>
      <c r="E63" s="2"/>
      <c r="F63" s="2" t="str">
        <f>IFERROR(__xludf.DUMMYFUNCTION("""COMPUTED_VALUE"""),"DB")</f>
        <v>DB</v>
      </c>
      <c r="G63" s="2">
        <f>IFERROR(__xludf.DUMMYFUNCTION("""COMPUTED_VALUE"""),3226230.309999943)</f>
        <v>3226230.31</v>
      </c>
      <c r="H63" s="2"/>
      <c r="I63" s="2"/>
    </row>
    <row r="64">
      <c r="A64" s="7">
        <f>IFERROR(__xludf.DUMMYFUNCTION("""COMPUTED_VALUE"""),46210.0)</f>
        <v>46210</v>
      </c>
      <c r="B64" s="2" t="str">
        <f>IFERROR(__xludf.DUMMYFUNCTION("""COMPUTED_VALUE"""),"TARIKAN ATM 07/07")</f>
        <v>TARIKAN ATM 07/07</v>
      </c>
      <c r="C64" s="2" t="str">
        <f>IFERROR(__xludf.DUMMYFUNCTION("""COMPUTED_VALUE"""),"TARIKAN ATM 07/07")</f>
        <v>TARIKAN ATM 07/07</v>
      </c>
      <c r="D64" s="2">
        <f>IFERROR(__xludf.DUMMYFUNCTION("""COMPUTED_VALUE"""),300000.0)</f>
        <v>300000</v>
      </c>
      <c r="E64" s="2"/>
      <c r="F64" s="2"/>
      <c r="G64" s="2">
        <f>IFERROR(__xludf.DUMMYFUNCTION("""COMPUTED_VALUE"""),2.8430683030999994E8)</f>
        <v>284306830.3</v>
      </c>
      <c r="H64" s="2"/>
      <c r="I64" s="2"/>
    </row>
    <row r="65">
      <c r="A65" s="7">
        <f>IFERROR(__xludf.DUMMYFUNCTION("""COMPUTED_VALUE"""),46210.0)</f>
        <v>46210</v>
      </c>
      <c r="B65" s="2" t="str">
        <f>IFERROR(__xludf.DUMMYFUNCTION("""COMPUTED_VALUE"""),"TRSF E-BANKING DB")</f>
        <v>TRSF E-BANKING DB</v>
      </c>
      <c r="C65" s="2" t="str">
        <f>IFERROR(__xludf.DUMMYFUNCTION("""COMPUTED_VALUE"""),"0707/FTFVA/WS95031 55574/GUNA MITRA S trenggalek 3.3 ton - 200177")</f>
        <v>0707/FTFVA/WS95031 55574/GUNA MITRA S trenggalek 3.3 ton - 200177</v>
      </c>
      <c r="D65" s="2">
        <f>IFERROR(__xludf.DUMMYFUNCTION("""COMPUTED_VALUE"""),7.854E7)</f>
        <v>78540000</v>
      </c>
      <c r="E65" s="2"/>
      <c r="F65" s="2" t="str">
        <f>IFERROR(__xludf.DUMMYFUNCTION("""COMPUTED_VALUE"""),"DB")</f>
        <v>DB</v>
      </c>
      <c r="G65" s="2">
        <f>IFERROR(__xludf.DUMMYFUNCTION("""COMPUTED_VALUE"""),2.0576683030999994E8)</f>
        <v>205766830.3</v>
      </c>
      <c r="H65" s="2">
        <f>IFERROR(__xludf.DUMMYFUNCTION("""COMPUTED_VALUE"""),2.0576683031E8)</f>
        <v>205766830.3</v>
      </c>
      <c r="I65" s="2"/>
    </row>
    <row r="66">
      <c r="A66" s="7">
        <f>IFERROR(__xludf.DUMMYFUNCTION("""COMPUTED_VALUE"""),46211.0)</f>
        <v>46211</v>
      </c>
      <c r="B66" s="2" t="str">
        <f>IFERROR(__xludf.DUMMYFUNCTION("""COMPUTED_VALUE"""),"TRSF E-BANKING DB")</f>
        <v>TRSF E-BANKING DB</v>
      </c>
      <c r="C66" s="2" t="str">
        <f>IFERROR(__xludf.DUMMYFUNCTION("""COMPUTED_VALUE"""),"0807/FTSCY/WS95011 168975000.00 Mon Jul 06 2026 14:00:00 GMT+0700 (Western Indonesia Time) GANESHA SATRIA NUS")</f>
        <v>0807/FTSCY/WS95011 168975000.00 Mon Jul 06 2026 14:00:00 GMT+0700 (Western Indonesia Time) GANESHA SATRIA NUS</v>
      </c>
      <c r="D66" s="2">
        <f>IFERROR(__xludf.DUMMYFUNCTION("""COMPUTED_VALUE"""),1.68975E8)</f>
        <v>168975000</v>
      </c>
      <c r="E66" s="2"/>
      <c r="F66" s="2" t="str">
        <f>IFERROR(__xludf.DUMMYFUNCTION("""COMPUTED_VALUE"""),"DB")</f>
        <v>DB</v>
      </c>
      <c r="G66" s="2">
        <f>IFERROR(__xludf.DUMMYFUNCTION("""COMPUTED_VALUE"""),2.6347183030999994E8)</f>
        <v>263471830.3</v>
      </c>
      <c r="H66" s="2"/>
      <c r="I66" s="2"/>
    </row>
    <row r="67">
      <c r="A67" s="7">
        <f>IFERROR(__xludf.DUMMYFUNCTION("""COMPUTED_VALUE"""),46211.0)</f>
        <v>46211</v>
      </c>
      <c r="B67" s="2" t="str">
        <f>IFERROR(__xludf.DUMMYFUNCTION("""COMPUTED_VALUE"""),"TRSF E-BANKING DB")</f>
        <v>TRSF E-BANKING DB</v>
      </c>
      <c r="C67" s="2" t="str">
        <f>IFERROR(__xludf.DUMMYFUNCTION("""COMPUTED_VALUE"""),"0807/FTSCY/WS95011 130864450.00 Mon Jul 06 2026 14:00:00 GMT+0700 (Western Indonesia Time) ANUGERAH KARTIKA A")</f>
        <v>0807/FTSCY/WS95011 130864450.00 Mon Jul 06 2026 14:00:00 GMT+0700 (Western Indonesia Time) ANUGERAH KARTIKA A</v>
      </c>
      <c r="D67" s="2">
        <f>IFERROR(__xludf.DUMMYFUNCTION("""COMPUTED_VALUE"""),1.3086445E8)</f>
        <v>130864450</v>
      </c>
      <c r="E67" s="2"/>
      <c r="F67" s="2" t="str">
        <f>IFERROR(__xludf.DUMMYFUNCTION("""COMPUTED_VALUE"""),"DB")</f>
        <v>DB</v>
      </c>
      <c r="G67" s="2">
        <f>IFERROR(__xludf.DUMMYFUNCTION("""COMPUTED_VALUE"""),1.3260738030999994E8)</f>
        <v>132607380.3</v>
      </c>
      <c r="H67" s="2"/>
      <c r="I67" s="2"/>
    </row>
    <row r="68">
      <c r="A68" s="7">
        <f>IFERROR(__xludf.DUMMYFUNCTION("""COMPUTED_VALUE"""),46211.0)</f>
        <v>46211</v>
      </c>
      <c r="B68" s="2" t="str">
        <f>IFERROR(__xludf.DUMMYFUNCTION("""COMPUTED_VALUE"""),"TRSF E-BANKING DB")</f>
        <v>TRSF E-BANKING DB</v>
      </c>
      <c r="C68" s="2" t="str">
        <f>IFERROR(__xludf.DUMMYFUNCTION("""COMPUTED_VALUE"""),"0807/FTSCY/WS95271 68404190.00 Mon Jul 06 2026 14:00:00 GMT+0700 (Western Indonesia Time) ANDALAN YASA MITRA")</f>
        <v>0807/FTSCY/WS95271 68404190.00 Mon Jul 06 2026 14:00:00 GMT+0700 (Western Indonesia Time) ANDALAN YASA MITRA</v>
      </c>
      <c r="D68" s="2">
        <f>IFERROR(__xludf.DUMMYFUNCTION("""COMPUTED_VALUE"""),6.840419E7)</f>
        <v>68404190</v>
      </c>
      <c r="E68" s="2"/>
      <c r="F68" s="2" t="str">
        <f>IFERROR(__xludf.DUMMYFUNCTION("""COMPUTED_VALUE"""),"DB")</f>
        <v>DB</v>
      </c>
      <c r="G68" s="2">
        <f>IFERROR(__xludf.DUMMYFUNCTION("""COMPUTED_VALUE"""),5.9594415031E8)</f>
        <v>595944150.3</v>
      </c>
      <c r="H68" s="2"/>
      <c r="I68" s="2"/>
    </row>
    <row r="69">
      <c r="A69" s="7">
        <f>IFERROR(__xludf.DUMMYFUNCTION("""COMPUTED_VALUE"""),46211.0)</f>
        <v>46211</v>
      </c>
      <c r="B69" s="2" t="str">
        <f>IFERROR(__xludf.DUMMYFUNCTION("""COMPUTED_VALUE"""),"TRSF E-BANKING DB")</f>
        <v>TRSF E-BANKING DB</v>
      </c>
      <c r="C69" s="2" t="str">
        <f>IFERROR(__xludf.DUMMYFUNCTION("""COMPUTED_VALUE"""),"0807/FTSCY/WS95031 5500000.00 NURHAYATI")</f>
        <v>0807/FTSCY/WS95031 5500000.00 NURHAYATI</v>
      </c>
      <c r="D69" s="2">
        <f>IFERROR(__xludf.DUMMYFUNCTION("""COMPUTED_VALUE"""),5500000.0)</f>
        <v>5500000</v>
      </c>
      <c r="E69" s="2"/>
      <c r="F69" s="2" t="str">
        <f>IFERROR(__xludf.DUMMYFUNCTION("""COMPUTED_VALUE"""),"DB")</f>
        <v>DB</v>
      </c>
      <c r="G69" s="2">
        <f>IFERROR(__xludf.DUMMYFUNCTION("""COMPUTED_VALUE"""),5.9044415031E8)</f>
        <v>590444150.3</v>
      </c>
      <c r="H69" s="2"/>
      <c r="I69" s="2"/>
    </row>
    <row r="70">
      <c r="A70" s="7">
        <f>IFERROR(__xludf.DUMMYFUNCTION("""COMPUTED_VALUE"""),46211.0)</f>
        <v>46211</v>
      </c>
      <c r="B70" s="2" t="str">
        <f>IFERROR(__xludf.DUMMYFUNCTION("""COMPUTED_VALUE"""),"TRSF E-BANKING DB")</f>
        <v>TRSF E-BANKING DB</v>
      </c>
      <c r="C70" s="2" t="str">
        <f>IFERROR(__xludf.DUMMYFUNCTION("""COMPUTED_VALUE"""),"0807/FTSCY/WS95011 145743830.00 Mon Jul 06 2026 14:00:00 GMT+0700 (Western Indonesia Time) SUPER UNGGAS JAYA")</f>
        <v>0807/FTSCY/WS95011 145743830.00 Mon Jul 06 2026 14:00:00 GMT+0700 (Western Indonesia Time) SUPER UNGGAS JAYA</v>
      </c>
      <c r="D70" s="2">
        <f>IFERROR(__xludf.DUMMYFUNCTION("""COMPUTED_VALUE"""),1.4574383E8)</f>
        <v>145743830</v>
      </c>
      <c r="E70" s="2"/>
      <c r="F70" s="2" t="str">
        <f>IFERROR(__xludf.DUMMYFUNCTION("""COMPUTED_VALUE"""),"DB")</f>
        <v>DB</v>
      </c>
      <c r="G70" s="2">
        <f>IFERROR(__xludf.DUMMYFUNCTION("""COMPUTED_VALUE"""),4.4470032030999994E8)</f>
        <v>444700320.3</v>
      </c>
      <c r="H70" s="2"/>
      <c r="I70" s="2"/>
    </row>
    <row r="71">
      <c r="A71" s="7">
        <f>IFERROR(__xludf.DUMMYFUNCTION("""COMPUTED_VALUE"""),46211.0)</f>
        <v>46211</v>
      </c>
      <c r="B71" s="2" t="str">
        <f>IFERROR(__xludf.DUMMYFUNCTION("""COMPUTED_VALUE"""),"TRSF E-BANKING DB")</f>
        <v>TRSF E-BANKING DB</v>
      </c>
      <c r="C71" s="2" t="str">
        <f>IFERROR(__xludf.DUMMYFUNCTION("""COMPUTED_VALUE"""),"0807/FTSCY/WS95271 78576050.00 Mon Jul 06 2026 14:00:00 GMT+0700 (Western Indonesia Time) BROILER MAKMUR TAN")</f>
        <v>0807/FTSCY/WS95271 78576050.00 Mon Jul 06 2026 14:00:00 GMT+0700 (Western Indonesia Time) BROILER MAKMUR TAN</v>
      </c>
      <c r="D71" s="2">
        <f>IFERROR(__xludf.DUMMYFUNCTION("""COMPUTED_VALUE"""),7.857605E7)</f>
        <v>78576050</v>
      </c>
      <c r="E71" s="2"/>
      <c r="F71" s="2" t="str">
        <f>IFERROR(__xludf.DUMMYFUNCTION("""COMPUTED_VALUE"""),"DB")</f>
        <v>DB</v>
      </c>
      <c r="G71" s="2">
        <f>IFERROR(__xludf.DUMMYFUNCTION("""COMPUTED_VALUE"""),3.6612427030999994E8)</f>
        <v>366124270.3</v>
      </c>
      <c r="H71" s="2"/>
      <c r="I71" s="2"/>
    </row>
    <row r="72">
      <c r="A72" s="7">
        <f>IFERROR(__xludf.DUMMYFUNCTION("""COMPUTED_VALUE"""),46211.0)</f>
        <v>46211</v>
      </c>
      <c r="B72" s="2" t="str">
        <f>IFERROR(__xludf.DUMMYFUNCTION("""COMPUTED_VALUE"""),"TRSF E-BANKING DB")</f>
        <v>TRSF E-BANKING DB</v>
      </c>
      <c r="C72" s="2" t="str">
        <f>IFERROR(__xludf.DUMMYFUNCTION("""COMPUTED_VALUE"""),"0807/FTSCY/WS95031 51500000.00 pelunasan ANDALAN YASA MITRA")</f>
        <v>0807/FTSCY/WS95031 51500000.00 pelunasan ANDALAN YASA MITRA</v>
      </c>
      <c r="D72" s="2">
        <f>IFERROR(__xludf.DUMMYFUNCTION("""COMPUTED_VALUE"""),5.15E7)</f>
        <v>51500000</v>
      </c>
      <c r="E72" s="2"/>
      <c r="F72" s="2" t="str">
        <f>IFERROR(__xludf.DUMMYFUNCTION("""COMPUTED_VALUE"""),"DB")</f>
        <v>DB</v>
      </c>
      <c r="G72" s="2">
        <f>IFERROR(__xludf.DUMMYFUNCTION("""COMPUTED_VALUE"""),1.6181997030999994E8)</f>
        <v>161819970.3</v>
      </c>
      <c r="H72" s="2"/>
      <c r="I72" s="2"/>
    </row>
    <row r="73">
      <c r="A73" s="7">
        <f>IFERROR(__xludf.DUMMYFUNCTION("""COMPUTED_VALUE"""),46211.0)</f>
        <v>46211</v>
      </c>
      <c r="B73" s="2" t="str">
        <f>IFERROR(__xludf.DUMMYFUNCTION("""COMPUTED_VALUE"""),"TRSF E-BANKING DB")</f>
        <v>TRSF E-BANKING DB</v>
      </c>
      <c r="C73" s="2" t="str">
        <f>IFERROR(__xludf.DUMMYFUNCTION("""COMPUTED_VALUE"""),"0807/FTSCY/WS95031 26674000.00 EKO SETIYAWAN")</f>
        <v>0807/FTSCY/WS95031 26674000.00 EKO SETIYAWAN</v>
      </c>
      <c r="D73" s="2">
        <f>IFERROR(__xludf.DUMMYFUNCTION("""COMPUTED_VALUE"""),2.6674E7)</f>
        <v>26674000</v>
      </c>
      <c r="E73" s="2"/>
      <c r="F73" s="2" t="str">
        <f>IFERROR(__xludf.DUMMYFUNCTION("""COMPUTED_VALUE"""),"DB")</f>
        <v>DB</v>
      </c>
      <c r="G73" s="2">
        <f>IFERROR(__xludf.DUMMYFUNCTION("""COMPUTED_VALUE"""),1.3514597030999994E8)</f>
        <v>135145970.3</v>
      </c>
      <c r="H73" s="2"/>
      <c r="I73" s="2"/>
    </row>
    <row r="74">
      <c r="A74" s="7">
        <f>IFERROR(__xludf.DUMMYFUNCTION("""COMPUTED_VALUE"""),46211.0)</f>
        <v>46211</v>
      </c>
      <c r="B74" s="2" t="str">
        <f>IFERROR(__xludf.DUMMYFUNCTION("""COMPUTED_VALUE"""),"BI-FAST DB")</f>
        <v>BI-FAST DB</v>
      </c>
      <c r="C74" s="2" t="str">
        <f>IFERROR(__xludf.DUMMYFUNCTION("""COMPUTED_VALUE"""),"BIF TRANSFER KE 2 FAJAR ANDREANZAH M-BCA")</f>
        <v>BIF TRANSFER KE 2 FAJAR ANDREANZAH M-BCA</v>
      </c>
      <c r="D74" s="2">
        <f>IFERROR(__xludf.DUMMYFUNCTION("""COMPUTED_VALUE"""),5028140.0)</f>
        <v>5028140</v>
      </c>
      <c r="E74" s="2"/>
      <c r="F74" s="2" t="str">
        <f>IFERROR(__xludf.DUMMYFUNCTION("""COMPUTED_VALUE"""),"DB")</f>
        <v>DB</v>
      </c>
      <c r="G74" s="2">
        <f>IFERROR(__xludf.DUMMYFUNCTION("""COMPUTED_VALUE"""),1.3011783030999994E8)</f>
        <v>130117830.3</v>
      </c>
      <c r="H74" s="2">
        <f>IFERROR(__xludf.DUMMYFUNCTION("""COMPUTED_VALUE"""),1.3011783031E8)</f>
        <v>130117830.3</v>
      </c>
      <c r="I74" s="2"/>
    </row>
    <row r="75">
      <c r="A75" s="7">
        <f>IFERROR(__xludf.DUMMYFUNCTION("""COMPUTED_VALUE"""),46211.0)</f>
        <v>46211</v>
      </c>
      <c r="B75" s="2" t="str">
        <f>IFERROR(__xludf.DUMMYFUNCTION("""COMPUTED_VALUE"""),"BI-FAST DB")</f>
        <v>BI-FAST DB</v>
      </c>
      <c r="C75" s="2" t="str">
        <f>IFERROR(__xludf.DUMMYFUNCTION("""COMPUTED_VALUE"""),"BIF BIAYA TXN KE 2 FAJAR ANDREANZAH M-BCA")</f>
        <v>BIF BIAYA TXN KE 2 FAJAR ANDREANZAH M-BCA</v>
      </c>
      <c r="D75" s="2">
        <f>IFERROR(__xludf.DUMMYFUNCTION("""COMPUTED_VALUE"""),2500.0)</f>
        <v>2500</v>
      </c>
      <c r="E75" s="2"/>
      <c r="F75" s="2" t="str">
        <f>IFERROR(__xludf.DUMMYFUNCTION("""COMPUTED_VALUE"""),"DB")</f>
        <v>DB</v>
      </c>
      <c r="G75" s="2">
        <f>IFERROR(__xludf.DUMMYFUNCTION("""COMPUTED_VALUE"""),1.3011533030999994E8)</f>
        <v>130115330.3</v>
      </c>
      <c r="H75" s="2">
        <f>IFERROR(__xludf.DUMMYFUNCTION("""COMPUTED_VALUE"""),1.3011533031E8)</f>
        <v>130115330.3</v>
      </c>
      <c r="I75" s="2"/>
    </row>
    <row r="76">
      <c r="A76" s="7">
        <f>IFERROR(__xludf.DUMMYFUNCTION("""COMPUTED_VALUE"""),46211.0)</f>
        <v>46211</v>
      </c>
      <c r="B76" s="2" t="str">
        <f>IFERROR(__xludf.DUMMYFUNCTION("""COMPUTED_VALUE"""),"BI-FAST DB")</f>
        <v>BI-FAST DB</v>
      </c>
      <c r="C76" s="2" t="str">
        <f>IFERROR(__xludf.DUMMYFUNCTION("""COMPUTED_VALUE"""),"BIF TRANSFER KE 2 FAJAR ANDREANZAH M-BCA")</f>
        <v>BIF TRANSFER KE 2 FAJAR ANDREANZAH M-BCA</v>
      </c>
      <c r="D76" s="2">
        <f>IFERROR(__xludf.DUMMYFUNCTION("""COMPUTED_VALUE"""),1522310.0)</f>
        <v>1522310</v>
      </c>
      <c r="E76" s="2"/>
      <c r="F76" s="2" t="str">
        <f>IFERROR(__xludf.DUMMYFUNCTION("""COMPUTED_VALUE"""),"DB")</f>
        <v>DB</v>
      </c>
      <c r="G76" s="2">
        <f>IFERROR(__xludf.DUMMYFUNCTION("""COMPUTED_VALUE"""),1.2859302030999994E8)</f>
        <v>128593020.3</v>
      </c>
      <c r="H76" s="2"/>
      <c r="I76" s="2"/>
    </row>
    <row r="77">
      <c r="A77" s="7">
        <f>IFERROR(__xludf.DUMMYFUNCTION("""COMPUTED_VALUE"""),46211.0)</f>
        <v>46211</v>
      </c>
      <c r="B77" s="2" t="str">
        <f>IFERROR(__xludf.DUMMYFUNCTION("""COMPUTED_VALUE"""),"BI-FAST DB")</f>
        <v>BI-FAST DB</v>
      </c>
      <c r="C77" s="2" t="str">
        <f>IFERROR(__xludf.DUMMYFUNCTION("""COMPUTED_VALUE"""),"BIF BIAYA TXN KE 2 FAJAR ANDREANZAH M-BCA")</f>
        <v>BIF BIAYA TXN KE 2 FAJAR ANDREANZAH M-BCA</v>
      </c>
      <c r="D77" s="2">
        <f>IFERROR(__xludf.DUMMYFUNCTION("""COMPUTED_VALUE"""),2500.0)</f>
        <v>2500</v>
      </c>
      <c r="E77" s="2"/>
      <c r="F77" s="2" t="str">
        <f>IFERROR(__xludf.DUMMYFUNCTION("""COMPUTED_VALUE"""),"DB")</f>
        <v>DB</v>
      </c>
      <c r="G77" s="2">
        <f>IFERROR(__xludf.DUMMYFUNCTION("""COMPUTED_VALUE"""),1.2859052030999994E8)</f>
        <v>128590520.3</v>
      </c>
      <c r="H77" s="2"/>
      <c r="I77" s="2"/>
    </row>
    <row r="78">
      <c r="A78" s="7">
        <f>IFERROR(__xludf.DUMMYFUNCTION("""COMPUTED_VALUE"""),46211.0)</f>
        <v>46211</v>
      </c>
      <c r="B78" s="2" t="str">
        <f>IFERROR(__xludf.DUMMYFUNCTION("""COMPUTED_VALUE"""),"TRSF E-BANKING DB")</f>
        <v>TRSF E-BANKING DB</v>
      </c>
      <c r="C78" s="2" t="str">
        <f>IFERROR(__xludf.DUMMYFUNCTION("""COMPUTED_VALUE"""),"0807/FTFVA/WS95031 55569/PT PRIMA FAJ kd wahyudi pasurua n 40190")</f>
        <v>0807/FTFVA/WS95031 55569/PT PRIMA FAJ kd wahyudi pasurua n 40190</v>
      </c>
      <c r="D78" s="2">
        <f>IFERROR(__xludf.DUMMYFUNCTION("""COMPUTED_VALUE"""),6.952694E7)</f>
        <v>69526940</v>
      </c>
      <c r="E78" s="2"/>
      <c r="F78" s="2" t="str">
        <f>IFERROR(__xludf.DUMMYFUNCTION("""COMPUTED_VALUE"""),"DB")</f>
        <v>DB</v>
      </c>
      <c r="G78" s="2">
        <f>IFERROR(__xludf.DUMMYFUNCTION("""COMPUTED_VALUE"""),7.8618012031E8)</f>
        <v>786180120.3</v>
      </c>
      <c r="H78" s="2">
        <f>IFERROR(__xludf.DUMMYFUNCTION("""COMPUTED_VALUE"""),7.8618012031E8)</f>
        <v>786180120.3</v>
      </c>
      <c r="I78" s="2"/>
    </row>
    <row r="79">
      <c r="A79" s="7">
        <f>IFERROR(__xludf.DUMMYFUNCTION("""COMPUTED_VALUE"""),46212.0)</f>
        <v>46212</v>
      </c>
      <c r="B79" s="2" t="str">
        <f>IFERROR(__xludf.DUMMYFUNCTION("""COMPUTED_VALUE"""),"TRSF E-BANKING DB")</f>
        <v>TRSF E-BANKING DB</v>
      </c>
      <c r="C79" s="2" t="str">
        <f>IFERROR(__xludf.DUMMYFUNCTION("""COMPUTED_VALUE"""),"0907/FTSCY/WS95011 141000000.00 Fri Aug 07 2026 14:00:00 GMT+0700 (Western Indonesia Time) ANDALAN YASA MITRA")</f>
        <v>0907/FTSCY/WS95011 141000000.00 Fri Aug 07 2026 14:00:00 GMT+0700 (Western Indonesia Time) ANDALAN YASA MITRA</v>
      </c>
      <c r="D79" s="2">
        <f>IFERROR(__xludf.DUMMYFUNCTION("""COMPUTED_VALUE"""),1.41E8)</f>
        <v>141000000</v>
      </c>
      <c r="E79" s="2"/>
      <c r="F79" s="2" t="str">
        <f>IFERROR(__xludf.DUMMYFUNCTION("""COMPUTED_VALUE"""),"DB")</f>
        <v>DB</v>
      </c>
      <c r="G79" s="2">
        <f>IFERROR(__xludf.DUMMYFUNCTION("""COMPUTED_VALUE"""),6.4518012031E8)</f>
        <v>645180120.3</v>
      </c>
      <c r="H79" s="2"/>
      <c r="I79" s="2"/>
    </row>
    <row r="80">
      <c r="A80" s="7">
        <f>IFERROR(__xludf.DUMMYFUNCTION("""COMPUTED_VALUE"""),46212.0)</f>
        <v>46212</v>
      </c>
      <c r="B80" s="2" t="str">
        <f>IFERROR(__xludf.DUMMYFUNCTION("""COMPUTED_VALUE"""),"TRSF E-BANKING DB")</f>
        <v>TRSF E-BANKING DB</v>
      </c>
      <c r="C80" s="2" t="str">
        <f>IFERROR(__xludf.DUMMYFUNCTION("""COMPUTED_VALUE"""),"0907/FTSCY/WS95011 92820000.00 Tue Jul 07 2026 14:00:00 GMT+0700 (Western Indonesia Time) ANUGERAH KARTIKA A")</f>
        <v>0907/FTSCY/WS95011 92820000.00 Tue Jul 07 2026 14:00:00 GMT+0700 (Western Indonesia Time) ANUGERAH KARTIKA A</v>
      </c>
      <c r="D80" s="2">
        <f>IFERROR(__xludf.DUMMYFUNCTION("""COMPUTED_VALUE"""),9.282E7)</f>
        <v>92820000</v>
      </c>
      <c r="E80" s="2"/>
      <c r="F80" s="2" t="str">
        <f>IFERROR(__xludf.DUMMYFUNCTION("""COMPUTED_VALUE"""),"DB")</f>
        <v>DB</v>
      </c>
      <c r="G80" s="2">
        <f>IFERROR(__xludf.DUMMYFUNCTION("""COMPUTED_VALUE"""),5.5236012031E8)</f>
        <v>552360120.3</v>
      </c>
      <c r="H80" s="2"/>
      <c r="I80" s="2"/>
    </row>
    <row r="81">
      <c r="A81" s="7">
        <f>IFERROR(__xludf.DUMMYFUNCTION("""COMPUTED_VALUE"""),46212.0)</f>
        <v>46212</v>
      </c>
      <c r="B81" s="2" t="str">
        <f>IFERROR(__xludf.DUMMYFUNCTION("""COMPUTED_VALUE"""),"TRSF E-BANKING DB")</f>
        <v>TRSF E-BANKING DB</v>
      </c>
      <c r="C81" s="2" t="str">
        <f>IFERROR(__xludf.DUMMYFUNCTION("""COMPUTED_VALUE"""),"0907/FTSCY/WS95011 77845800.00 Tue Jul 07 2026 14:00:00 GMT+0700 (Western Indonesia Time) TUMBUH OPTIMAL PRI")</f>
        <v>0907/FTSCY/WS95011 77845800.00 Tue Jul 07 2026 14:00:00 GMT+0700 (Western Indonesia Time) TUMBUH OPTIMAL PRI</v>
      </c>
      <c r="D81" s="2">
        <f>IFERROR(__xludf.DUMMYFUNCTION("""COMPUTED_VALUE"""),7.78458E7)</f>
        <v>77845800</v>
      </c>
      <c r="E81" s="2"/>
      <c r="F81" s="2" t="str">
        <f>IFERROR(__xludf.DUMMYFUNCTION("""COMPUTED_VALUE"""),"DB")</f>
        <v>DB</v>
      </c>
      <c r="G81" s="2">
        <f>IFERROR(__xludf.DUMMYFUNCTION("""COMPUTED_VALUE"""),4.7451432030999994E8)</f>
        <v>474514320.3</v>
      </c>
      <c r="H81" s="2"/>
      <c r="I81" s="2"/>
    </row>
    <row r="82">
      <c r="A82" s="7">
        <f>IFERROR(__xludf.DUMMYFUNCTION("""COMPUTED_VALUE"""),46212.0)</f>
        <v>46212</v>
      </c>
      <c r="B82" s="2" t="str">
        <f>IFERROR(__xludf.DUMMYFUNCTION("""COMPUTED_VALUE"""),"TRSF E-BANKING DB")</f>
        <v>TRSF E-BANKING DB</v>
      </c>
      <c r="C82" s="2" t="str">
        <f>IFERROR(__xludf.DUMMYFUNCTION("""COMPUTED_VALUE"""),"0907/FTSCY/WS95011 83248800.00 Tue Jul 07 2026 14:00:00 GMT+0700 (Western Indonesia Time) LAJU SATWA WISESA")</f>
        <v>0907/FTSCY/WS95011 83248800.00 Tue Jul 07 2026 14:00:00 GMT+0700 (Western Indonesia Time) LAJU SATWA WISESA</v>
      </c>
      <c r="D82" s="2">
        <f>IFERROR(__xludf.DUMMYFUNCTION("""COMPUTED_VALUE"""),8.32488E7)</f>
        <v>83248800</v>
      </c>
      <c r="E82" s="2"/>
      <c r="F82" s="2" t="str">
        <f>IFERROR(__xludf.DUMMYFUNCTION("""COMPUTED_VALUE"""),"DB")</f>
        <v>DB</v>
      </c>
      <c r="G82" s="2">
        <f>IFERROR(__xludf.DUMMYFUNCTION("""COMPUTED_VALUE"""),3.9126552030999994E8)</f>
        <v>391265520.3</v>
      </c>
      <c r="H82" s="2">
        <f>IFERROR(__xludf.DUMMYFUNCTION("""COMPUTED_VALUE"""),3.9126552031E8)</f>
        <v>391265520.3</v>
      </c>
      <c r="I82" s="2"/>
    </row>
    <row r="83">
      <c r="A83" s="7">
        <f>IFERROR(__xludf.DUMMYFUNCTION("""COMPUTED_VALUE"""),46212.0)</f>
        <v>46212</v>
      </c>
      <c r="B83" s="2" t="str">
        <f>IFERROR(__xludf.DUMMYFUNCTION("""COMPUTED_VALUE"""),"TRSF E-BANKING DB")</f>
        <v>TRSF E-BANKING DB</v>
      </c>
      <c r="C83" s="2" t="str">
        <f>IFERROR(__xludf.DUMMYFUNCTION("""COMPUTED_VALUE"""),"0907/FTSCY/WS95011 69602300.00 Tue Jul 07 2026 14:00:00 GMT+0700 (Western Indonesia Time) ANDALAN YASA MITRA")</f>
        <v>0907/FTSCY/WS95011 69602300.00 Tue Jul 07 2026 14:00:00 GMT+0700 (Western Indonesia Time) ANDALAN YASA MITRA</v>
      </c>
      <c r="D83" s="2">
        <f>IFERROR(__xludf.DUMMYFUNCTION("""COMPUTED_VALUE"""),6.96023E7)</f>
        <v>69602300</v>
      </c>
      <c r="E83" s="2"/>
      <c r="F83" s="2" t="str">
        <f>IFERROR(__xludf.DUMMYFUNCTION("""COMPUTED_VALUE"""),"DB")</f>
        <v>DB</v>
      </c>
      <c r="G83" s="2">
        <f>IFERROR(__xludf.DUMMYFUNCTION("""COMPUTED_VALUE"""),3.2166322030999994E8)</f>
        <v>321663220.3</v>
      </c>
      <c r="H83" s="2">
        <f>IFERROR(__xludf.DUMMYFUNCTION("""COMPUTED_VALUE"""),3.2166322031E8)</f>
        <v>321663220.3</v>
      </c>
      <c r="I83" s="2"/>
    </row>
    <row r="84">
      <c r="A84" s="7">
        <f>IFERROR(__xludf.DUMMYFUNCTION("""COMPUTED_VALUE"""),46212.0)</f>
        <v>46212</v>
      </c>
      <c r="B84" s="2" t="str">
        <f>IFERROR(__xludf.DUMMYFUNCTION("""COMPUTED_VALUE"""),"TRSF E-BANKING DB")</f>
        <v>TRSF E-BANKING DB</v>
      </c>
      <c r="C84" s="2" t="str">
        <f>IFERROR(__xludf.DUMMYFUNCTION("""COMPUTED_VALUE"""),"0907/FTSCY/WS95271 80615550.00 Tue Jul 07 2026 14:00:00 GMT+0700 (Western Indonesia Time) FINA ARDIANA")</f>
        <v>0907/FTSCY/WS95271 80615550.00 Tue Jul 07 2026 14:00:00 GMT+0700 (Western Indonesia Time) FINA ARDIANA</v>
      </c>
      <c r="D84" s="2">
        <f>IFERROR(__xludf.DUMMYFUNCTION("""COMPUTED_VALUE"""),8.061555E7)</f>
        <v>80615550</v>
      </c>
      <c r="E84" s="2"/>
      <c r="F84" s="2" t="str">
        <f>IFERROR(__xludf.DUMMYFUNCTION("""COMPUTED_VALUE"""),"DB")</f>
        <v>DB</v>
      </c>
      <c r="G84" s="2">
        <f>IFERROR(__xludf.DUMMYFUNCTION("""COMPUTED_VALUE"""),2.4104767030999994E8)</f>
        <v>241047670.3</v>
      </c>
      <c r="H84" s="2"/>
      <c r="I84" s="2"/>
    </row>
    <row r="85">
      <c r="A85" s="7">
        <f>IFERROR(__xludf.DUMMYFUNCTION("""COMPUTED_VALUE"""),46212.0)</f>
        <v>46212</v>
      </c>
      <c r="B85" s="2" t="str">
        <f>IFERROR(__xludf.DUMMYFUNCTION("""COMPUTED_VALUE"""),"TRSF E-BANKING DB")</f>
        <v>TRSF E-BANKING DB</v>
      </c>
      <c r="C85" s="2" t="str">
        <f>IFERROR(__xludf.DUMMYFUNCTION("""COMPUTED_VALUE"""),"0907/FTSCY/WS95271 180574000.00 Tue Jul 07 2026 14:00:00 GMT+0700 (Western Indonesia Time) ANDALAN YASA MITRA")</f>
        <v>0907/FTSCY/WS95271 180574000.00 Tue Jul 07 2026 14:00:00 GMT+0700 (Western Indonesia Time) ANDALAN YASA MITRA</v>
      </c>
      <c r="D85" s="2">
        <f>IFERROR(__xludf.DUMMYFUNCTION("""COMPUTED_VALUE"""),1.80574E8)</f>
        <v>180574000</v>
      </c>
      <c r="E85" s="2"/>
      <c r="F85" s="2" t="str">
        <f>IFERROR(__xludf.DUMMYFUNCTION("""COMPUTED_VALUE"""),"DB")</f>
        <v>DB</v>
      </c>
      <c r="G85" s="2">
        <f>IFERROR(__xludf.DUMMYFUNCTION("""COMPUTED_VALUE"""),6.047367030999994E7)</f>
        <v>60473670.31</v>
      </c>
      <c r="H85" s="2"/>
      <c r="I85" s="2"/>
    </row>
    <row r="86">
      <c r="A86" s="7">
        <f>IFERROR(__xludf.DUMMYFUNCTION("""COMPUTED_VALUE"""),46212.0)</f>
        <v>46212</v>
      </c>
      <c r="B86" s="2" t="str">
        <f>IFERROR(__xludf.DUMMYFUNCTION("""COMPUTED_VALUE"""),"TRSF E-BANKING DB")</f>
        <v>TRSF E-BANKING DB</v>
      </c>
      <c r="C86" s="2" t="str">
        <f>IFERROR(__xludf.DUMMYFUNCTION("""COMPUTED_VALUE"""),"0907/FTSCY/WS95031 350000.00 ANDE DOSO ANGGORO")</f>
        <v>0907/FTSCY/WS95031 350000.00 ANDE DOSO ANGGORO</v>
      </c>
      <c r="D86" s="2">
        <f>IFERROR(__xludf.DUMMYFUNCTION("""COMPUTED_VALUE"""),350000.0)</f>
        <v>350000</v>
      </c>
      <c r="E86" s="2"/>
      <c r="F86" s="2" t="str">
        <f>IFERROR(__xludf.DUMMYFUNCTION("""COMPUTED_VALUE"""),"DB")</f>
        <v>DB</v>
      </c>
      <c r="G86" s="2">
        <f>IFERROR(__xludf.DUMMYFUNCTION("""COMPUTED_VALUE"""),6.012367030999994E7)</f>
        <v>60123670.31</v>
      </c>
      <c r="H86" s="2"/>
      <c r="I86" s="2"/>
    </row>
    <row r="87">
      <c r="A87" s="7">
        <f>IFERROR(__xludf.DUMMYFUNCTION("""COMPUTED_VALUE"""),46212.0)</f>
        <v>46212</v>
      </c>
      <c r="B87" s="2" t="str">
        <f>IFERROR(__xludf.DUMMYFUNCTION("""COMPUTED_VALUE"""),"TRSF E-BANKING DB")</f>
        <v>TRSF E-BANKING DB</v>
      </c>
      <c r="C87" s="2" t="str">
        <f>IFERROR(__xludf.DUMMYFUNCTION("""COMPUTED_VALUE"""),"0907/FTSCY/WS95031 250000.00 ANTON IMRONI")</f>
        <v>0907/FTSCY/WS95031 250000.00 ANTON IMRONI</v>
      </c>
      <c r="D87" s="2">
        <f>IFERROR(__xludf.DUMMYFUNCTION("""COMPUTED_VALUE"""),250000.0)</f>
        <v>250000</v>
      </c>
      <c r="E87" s="2"/>
      <c r="F87" s="2" t="str">
        <f>IFERROR(__xludf.DUMMYFUNCTION("""COMPUTED_VALUE"""),"DB")</f>
        <v>DB</v>
      </c>
      <c r="G87" s="2">
        <f>IFERROR(__xludf.DUMMYFUNCTION("""COMPUTED_VALUE"""),5.987367030999994E7)</f>
        <v>59873670.31</v>
      </c>
      <c r="H87" s="2"/>
      <c r="I87" s="2"/>
    </row>
    <row r="88">
      <c r="A88" s="7">
        <f>IFERROR(__xludf.DUMMYFUNCTION("""COMPUTED_VALUE"""),46212.0)</f>
        <v>46212</v>
      </c>
      <c r="B88" s="2" t="str">
        <f>IFERROR(__xludf.DUMMYFUNCTION("""COMPUTED_VALUE"""),"KARTU DEBIT")</f>
        <v>KARTU DEBIT</v>
      </c>
      <c r="C88" s="2" t="str">
        <f>IFERROR(__xludf.DUMMYFUNCTION("""COMPUTED_VALUE"""),"IDM TFUW-PC PB SUD 6019009510239343")</f>
        <v>IDM TFUW-PC PB SUD 6019009510239343</v>
      </c>
      <c r="D88" s="2">
        <f>IFERROR(__xludf.DUMMYFUNCTION("""COMPUTED_VALUE"""),222700.0)</f>
        <v>222700</v>
      </c>
      <c r="E88" s="2"/>
      <c r="F88" s="2"/>
      <c r="G88" s="2">
        <f>IFERROR(__xludf.DUMMYFUNCTION("""COMPUTED_VALUE"""),5.965097030999994E7)</f>
        <v>59650970.31</v>
      </c>
      <c r="H88" s="2">
        <f>IFERROR(__xludf.DUMMYFUNCTION("""COMPUTED_VALUE"""),5.965097031E7)</f>
        <v>59650970.31</v>
      </c>
      <c r="I88" s="2"/>
    </row>
    <row r="89">
      <c r="A89" s="7">
        <f>IFERROR(__xludf.DUMMYFUNCTION("""COMPUTED_VALUE"""),46213.0)</f>
        <v>46213</v>
      </c>
      <c r="B89" s="2" t="str">
        <f>IFERROR(__xludf.DUMMYFUNCTION("""COMPUTED_VALUE"""),"TRSF E-BANKING DB")</f>
        <v>TRSF E-BANKING DB</v>
      </c>
      <c r="C89" s="2" t="str">
        <f>IFERROR(__xludf.DUMMYFUNCTION("""COMPUTED_VALUE"""),"1007/FTSCY/WS95271 60000000.00 titip BRANTAS ABADI SENT")</f>
        <v>1007/FTSCY/WS95271 60000000.00 titip BRANTAS ABADI SENT</v>
      </c>
      <c r="D89" s="2">
        <f>IFERROR(__xludf.DUMMYFUNCTION("""COMPUTED_VALUE"""),6.0E7)</f>
        <v>60000000</v>
      </c>
      <c r="E89" s="2"/>
      <c r="F89" s="2" t="str">
        <f>IFERROR(__xludf.DUMMYFUNCTION("""COMPUTED_VALUE"""),"DB")</f>
        <v>DB</v>
      </c>
      <c r="G89" s="2">
        <f>IFERROR(__xludf.DUMMYFUNCTION("""COMPUTED_VALUE"""),50970.30999994278)</f>
        <v>50970.31</v>
      </c>
      <c r="H89" s="2"/>
      <c r="I89" s="2"/>
    </row>
    <row r="90">
      <c r="A90" s="7">
        <f>IFERROR(__xludf.DUMMYFUNCTION("""COMPUTED_VALUE"""),46213.0)</f>
        <v>46213</v>
      </c>
      <c r="B90" s="2" t="str">
        <f>IFERROR(__xludf.DUMMYFUNCTION("""COMPUTED_VALUE"""),"TRSF E-BANKING DB")</f>
        <v>TRSF E-BANKING DB</v>
      </c>
      <c r="C90" s="2" t="str">
        <f>IFERROR(__xludf.DUMMYFUNCTION("""COMPUTED_VALUE"""),"1007/FTSCY/WS95031 12000000.00 pelunasan BRANTAS ABADI SENT")</f>
        <v>1007/FTSCY/WS95031 12000000.00 pelunasan BRANTAS ABADI SENT</v>
      </c>
      <c r="D90" s="2">
        <f>IFERROR(__xludf.DUMMYFUNCTION("""COMPUTED_VALUE"""),1.2E7)</f>
        <v>12000000</v>
      </c>
      <c r="E90" s="2"/>
      <c r="F90" s="2" t="str">
        <f>IFERROR(__xludf.DUMMYFUNCTION("""COMPUTED_VALUE"""),"DB")</f>
        <v>DB</v>
      </c>
      <c r="G90" s="2">
        <f>IFERROR(__xludf.DUMMYFUNCTION("""COMPUTED_VALUE"""),6.782747030999994E7)</f>
        <v>67827470.31</v>
      </c>
      <c r="H90" s="2"/>
      <c r="I90" s="2"/>
    </row>
    <row r="91">
      <c r="A91" s="7">
        <f>IFERROR(__xludf.DUMMYFUNCTION("""COMPUTED_VALUE"""),46213.0)</f>
        <v>46213</v>
      </c>
      <c r="B91" s="2" t="str">
        <f>IFERROR(__xludf.DUMMYFUNCTION("""COMPUTED_VALUE"""),"KARTU DEBIT")</f>
        <v>KARTU DEBIT</v>
      </c>
      <c r="C91" s="2" t="str">
        <f>IFERROR(__xludf.DUMMYFUNCTION("""COMPUTED_VALUE"""),"INDOKARTA-HO 6019009510239343")</f>
        <v>INDOKARTA-HO 6019009510239343</v>
      </c>
      <c r="D91" s="2">
        <f>IFERROR(__xludf.DUMMYFUNCTION("""COMPUTED_VALUE"""),195000.0)</f>
        <v>195000</v>
      </c>
      <c r="E91" s="2"/>
      <c r="F91" s="2"/>
      <c r="G91" s="2">
        <f>IFERROR(__xludf.DUMMYFUNCTION("""COMPUTED_VALUE"""),6.763247030999994E7)</f>
        <v>67632470.31</v>
      </c>
      <c r="H91" s="2"/>
      <c r="I91" s="2"/>
    </row>
    <row r="92">
      <c r="A92" s="7">
        <f>IFERROR(__xludf.DUMMYFUNCTION("""COMPUTED_VALUE"""),46213.0)</f>
        <v>46213</v>
      </c>
      <c r="B92" s="2" t="str">
        <f>IFERROR(__xludf.DUMMYFUNCTION("""COMPUTED_VALUE"""),"TRSF E-BANKING DB")</f>
        <v>TRSF E-BANKING DB</v>
      </c>
      <c r="C92" s="2" t="str">
        <f>IFERROR(__xludf.DUMMYFUNCTION("""COMPUTED_VALUE"""),"1007/FTSCY/WS95031 15000000.00 EKO SETIYAWAN")</f>
        <v>1007/FTSCY/WS95031 15000000.00 EKO SETIYAWAN</v>
      </c>
      <c r="D92" s="2">
        <f>IFERROR(__xludf.DUMMYFUNCTION("""COMPUTED_VALUE"""),1.5E7)</f>
        <v>15000000</v>
      </c>
      <c r="E92" s="2"/>
      <c r="F92" s="2" t="str">
        <f>IFERROR(__xludf.DUMMYFUNCTION("""COMPUTED_VALUE"""),"DB")</f>
        <v>DB</v>
      </c>
      <c r="G92" s="2">
        <f>IFERROR(__xludf.DUMMYFUNCTION("""COMPUTED_VALUE"""),5.263247030999994E7)</f>
        <v>52632470.31</v>
      </c>
      <c r="H92" s="2"/>
      <c r="I92" s="2"/>
    </row>
    <row r="93">
      <c r="A93" s="7">
        <f>IFERROR(__xludf.DUMMYFUNCTION("""COMPUTED_VALUE"""),46213.0)</f>
        <v>46213</v>
      </c>
      <c r="B93" s="2" t="str">
        <f>IFERROR(__xludf.DUMMYFUNCTION("""COMPUTED_VALUE"""),"TARIKAN ATM 10/07")</f>
        <v>TARIKAN ATM 10/07</v>
      </c>
      <c r="C93" s="2" t="str">
        <f>IFERROR(__xludf.DUMMYFUNCTION("""COMPUTED_VALUE"""),"TARIKAN ATM 10/07")</f>
        <v>TARIKAN ATM 10/07</v>
      </c>
      <c r="D93" s="2">
        <f>IFERROR(__xludf.DUMMYFUNCTION("""COMPUTED_VALUE"""),150000.0)</f>
        <v>150000</v>
      </c>
      <c r="E93" s="2"/>
      <c r="F93" s="2"/>
      <c r="G93" s="2">
        <f>IFERROR(__xludf.DUMMYFUNCTION("""COMPUTED_VALUE"""),5.248247030999994E7)</f>
        <v>52482470.31</v>
      </c>
      <c r="H93" s="2"/>
      <c r="I93" s="2"/>
    </row>
    <row r="94">
      <c r="A94" s="7">
        <f>IFERROR(__xludf.DUMMYFUNCTION("""COMPUTED_VALUE"""),46213.0)</f>
        <v>46213</v>
      </c>
      <c r="B94" s="2" t="str">
        <f>IFERROR(__xludf.DUMMYFUNCTION("""COMPUTED_VALUE"""),"TARIKAN ATM 10/07")</f>
        <v>TARIKAN ATM 10/07</v>
      </c>
      <c r="C94" s="2" t="str">
        <f>IFERROR(__xludf.DUMMYFUNCTION("""COMPUTED_VALUE"""),"TARIKAN ATM 10/07")</f>
        <v>TARIKAN ATM 10/07</v>
      </c>
      <c r="D94" s="2">
        <f>IFERROR(__xludf.DUMMYFUNCTION("""COMPUTED_VALUE"""),2500000.0)</f>
        <v>2500000</v>
      </c>
      <c r="E94" s="2"/>
      <c r="F94" s="2"/>
      <c r="G94" s="2">
        <f>IFERROR(__xludf.DUMMYFUNCTION("""COMPUTED_VALUE"""),4.998247030999994E7)</f>
        <v>49982470.31</v>
      </c>
      <c r="H94" s="2"/>
      <c r="I94" s="2"/>
    </row>
    <row r="95">
      <c r="A95" s="7">
        <f>IFERROR(__xludf.DUMMYFUNCTION("""COMPUTED_VALUE"""),46213.0)</f>
        <v>46213</v>
      </c>
      <c r="B95" s="2" t="str">
        <f>IFERROR(__xludf.DUMMYFUNCTION("""COMPUTED_VALUE"""),"TARIKAN ATM 10/07")</f>
        <v>TARIKAN ATM 10/07</v>
      </c>
      <c r="C95" s="2" t="str">
        <f>IFERROR(__xludf.DUMMYFUNCTION("""COMPUTED_VALUE"""),"TARIKAN ATM 10/07")</f>
        <v>TARIKAN ATM 10/07</v>
      </c>
      <c r="D95" s="2">
        <f>IFERROR(__xludf.DUMMYFUNCTION("""COMPUTED_VALUE"""),1800000.0)</f>
        <v>1800000</v>
      </c>
      <c r="E95" s="2"/>
      <c r="F95" s="2"/>
      <c r="G95" s="2">
        <f>IFERROR(__xludf.DUMMYFUNCTION("""COMPUTED_VALUE"""),4.818247030999994E7)</f>
        <v>48182470.31</v>
      </c>
      <c r="H95" s="2">
        <f>IFERROR(__xludf.DUMMYFUNCTION("""COMPUTED_VALUE"""),4.818247031E7)</f>
        <v>48182470.31</v>
      </c>
      <c r="I95" s="2"/>
    </row>
    <row r="96">
      <c r="A96" s="7">
        <f>IFERROR(__xludf.DUMMYFUNCTION("""COMPUTED_VALUE"""),46214.0)</f>
        <v>46214</v>
      </c>
      <c r="B96" s="2" t="str">
        <f>IFERROR(__xludf.DUMMYFUNCTION("""COMPUTED_VALUE"""),"TRSF E-BANKING DB")</f>
        <v>TRSF E-BANKING DB</v>
      </c>
      <c r="C96" s="2" t="str">
        <f>IFERROR(__xludf.DUMMYFUNCTION("""COMPUTED_VALUE"""),"1107/FTFVA/WS95031 55569/PT PRIMA FAJ titip - 40190")</f>
        <v>1107/FTFVA/WS95031 55569/PT PRIMA FAJ titip - 40190</v>
      </c>
      <c r="D96" s="2">
        <f>IFERROR(__xludf.DUMMYFUNCTION("""COMPUTED_VALUE"""),3.5E8)</f>
        <v>350000000</v>
      </c>
      <c r="E96" s="2"/>
      <c r="F96" s="2" t="str">
        <f>IFERROR(__xludf.DUMMYFUNCTION("""COMPUTED_VALUE"""),"DB")</f>
        <v>DB</v>
      </c>
      <c r="G96" s="2">
        <f>IFERROR(__xludf.DUMMYFUNCTION("""COMPUTED_VALUE"""),7.352335030999994E7)</f>
        <v>73523350.31</v>
      </c>
      <c r="H96" s="2">
        <f>IFERROR(__xludf.DUMMYFUNCTION("""COMPUTED_VALUE"""),7.352335031E7)</f>
        <v>73523350.31</v>
      </c>
      <c r="I96" s="2"/>
    </row>
    <row r="97">
      <c r="A97" s="7">
        <f>IFERROR(__xludf.DUMMYFUNCTION("""COMPUTED_VALUE"""),46214.0)</f>
        <v>46214</v>
      </c>
      <c r="B97" s="2" t="str">
        <f>IFERROR(__xludf.DUMMYFUNCTION("""COMPUTED_VALUE"""),"TRSF E-BANKING DB")</f>
        <v>TRSF E-BANKING DB</v>
      </c>
      <c r="C97" s="2" t="str">
        <f>IFERROR(__xludf.DUMMYFUNCTION("""COMPUTED_VALUE"""),"1107/FTSCY/WS95271 87581250.00 Thu Jul 09 2026 14:00:00 GMT+0700 (Western Indonesia Time) GANESHA SATRIA NUS")</f>
        <v>1107/FTSCY/WS95271 87581250.00 Thu Jul 09 2026 14:00:00 GMT+0700 (Western Indonesia Time) GANESHA SATRIA NUS</v>
      </c>
      <c r="D97" s="2">
        <f>IFERROR(__xludf.DUMMYFUNCTION("""COMPUTED_VALUE"""),8.758125E7)</f>
        <v>87581250</v>
      </c>
      <c r="E97" s="2"/>
      <c r="F97" s="2" t="str">
        <f>IFERROR(__xludf.DUMMYFUNCTION("""COMPUTED_VALUE"""),"DB")</f>
        <v>DB</v>
      </c>
      <c r="G97" s="2">
        <f>IFERROR(__xludf.DUMMYFUNCTION("""COMPUTED_VALUE"""),1.4325420030999994E8)</f>
        <v>143254200.3</v>
      </c>
      <c r="H97" s="2"/>
      <c r="I97" s="2"/>
    </row>
    <row r="98">
      <c r="A98" s="7">
        <f>IFERROR(__xludf.DUMMYFUNCTION("""COMPUTED_VALUE"""),46214.0)</f>
        <v>46214</v>
      </c>
      <c r="B98" s="2" t="str">
        <f>IFERROR(__xludf.DUMMYFUNCTION("""COMPUTED_VALUE"""),"TRSF E-BANKING DB")</f>
        <v>TRSF E-BANKING DB</v>
      </c>
      <c r="C98" s="2" t="str">
        <f>IFERROR(__xludf.DUMMYFUNCTION("""COMPUTED_VALUE"""),"1107/FTSCY/WS95031 52736040.00 pasuruan TABASSAM AL HATTAK")</f>
        <v>1107/FTSCY/WS95031 52736040.00 pasuruan TABASSAM AL HATTAK</v>
      </c>
      <c r="D98" s="2">
        <f>IFERROR(__xludf.DUMMYFUNCTION("""COMPUTED_VALUE"""),5.273604E7)</f>
        <v>52736040</v>
      </c>
      <c r="E98" s="2"/>
      <c r="F98" s="2" t="str">
        <f>IFERROR(__xludf.DUMMYFUNCTION("""COMPUTED_VALUE"""),"DB")</f>
        <v>DB</v>
      </c>
      <c r="G98" s="2">
        <f>IFERROR(__xludf.DUMMYFUNCTION("""COMPUTED_VALUE"""),2.3258766030999994E8)</f>
        <v>232587660.3</v>
      </c>
      <c r="H98" s="2"/>
      <c r="I98" s="2"/>
    </row>
    <row r="99">
      <c r="A99" s="7">
        <f>IFERROR(__xludf.DUMMYFUNCTION("""COMPUTED_VALUE"""),46214.0)</f>
        <v>46214</v>
      </c>
      <c r="B99" s="2" t="str">
        <f>IFERROR(__xludf.DUMMYFUNCTION("""COMPUTED_VALUE"""),"TRSF E-BANKING DB")</f>
        <v>TRSF E-BANKING DB</v>
      </c>
      <c r="C99" s="2" t="str">
        <f>IFERROR(__xludf.DUMMYFUNCTION("""COMPUTED_VALUE"""),"1107/FTSCY/WS95271 151200000.00 Wed Jul 08 2026 14:00:00 GMT+0700 (Western Indonesia Time) LAJU SATWA WISESA")</f>
        <v>1107/FTSCY/WS95271 151200000.00 Wed Jul 08 2026 14:00:00 GMT+0700 (Western Indonesia Time) LAJU SATWA WISESA</v>
      </c>
      <c r="D99" s="2">
        <f>IFERROR(__xludf.DUMMYFUNCTION("""COMPUTED_VALUE"""),1.512E8)</f>
        <v>151200000</v>
      </c>
      <c r="E99" s="2"/>
      <c r="F99" s="2" t="str">
        <f>IFERROR(__xludf.DUMMYFUNCTION("""COMPUTED_VALUE"""),"DB")</f>
        <v>DB</v>
      </c>
      <c r="G99" s="2">
        <f>IFERROR(__xludf.DUMMYFUNCTION("""COMPUTED_VALUE"""),8.138766030999994E7)</f>
        <v>81387660.31</v>
      </c>
      <c r="H99" s="2"/>
      <c r="I99" s="2"/>
    </row>
    <row r="100">
      <c r="A100" s="7">
        <f>IFERROR(__xludf.DUMMYFUNCTION("""COMPUTED_VALUE"""),46214.0)</f>
        <v>46214</v>
      </c>
      <c r="B100" s="2" t="str">
        <f>IFERROR(__xludf.DUMMYFUNCTION("""COMPUTED_VALUE"""),"TARIKAN ATM 11/07")</f>
        <v>TARIKAN ATM 11/07</v>
      </c>
      <c r="C100" s="2" t="str">
        <f>IFERROR(__xludf.DUMMYFUNCTION("""COMPUTED_VALUE"""),"TARIKAN ATM 11/07")</f>
        <v>TARIKAN ATM 11/07</v>
      </c>
      <c r="D100" s="2">
        <f>IFERROR(__xludf.DUMMYFUNCTION("""COMPUTED_VALUE"""),250000.0)</f>
        <v>250000</v>
      </c>
      <c r="E100" s="2"/>
      <c r="F100" s="2"/>
      <c r="G100" s="2">
        <f>IFERROR(__xludf.DUMMYFUNCTION("""COMPUTED_VALUE"""),1.6910816030999994E8)</f>
        <v>169108160.3</v>
      </c>
      <c r="H100" s="2"/>
      <c r="I100" s="2"/>
    </row>
    <row r="101">
      <c r="A101" s="7">
        <f>IFERROR(__xludf.DUMMYFUNCTION("""COMPUTED_VALUE"""),46214.0)</f>
        <v>46214</v>
      </c>
      <c r="B101" s="2" t="str">
        <f>IFERROR(__xludf.DUMMYFUNCTION("""COMPUTED_VALUE"""),"TRSF E-BANKING DB")</f>
        <v>TRSF E-BANKING DB</v>
      </c>
      <c r="C101" s="2" t="str">
        <f>IFERROR(__xludf.DUMMYFUNCTION("""COMPUTED_VALUE"""),"1107/FTSCY/WS95031 300000.00 RISKA DEBI")</f>
        <v>1107/FTSCY/WS95031 300000.00 RISKA DEBI</v>
      </c>
      <c r="D101" s="2">
        <f>IFERROR(__xludf.DUMMYFUNCTION("""COMPUTED_VALUE"""),300000.0)</f>
        <v>300000</v>
      </c>
      <c r="E101" s="2"/>
      <c r="F101" s="2" t="str">
        <f>IFERROR(__xludf.DUMMYFUNCTION("""COMPUTED_VALUE"""),"DB")</f>
        <v>DB</v>
      </c>
      <c r="G101" s="2">
        <f>IFERROR(__xludf.DUMMYFUNCTION("""COMPUTED_VALUE"""),1.6880816030999994E8)</f>
        <v>168808160.3</v>
      </c>
      <c r="H101" s="2"/>
      <c r="I101" s="2"/>
    </row>
    <row r="102">
      <c r="A102" s="7">
        <f>IFERROR(__xludf.DUMMYFUNCTION("""COMPUTED_VALUE"""),46214.0)</f>
        <v>46214</v>
      </c>
      <c r="B102" s="2" t="str">
        <f>IFERROR(__xludf.DUMMYFUNCTION("""COMPUTED_VALUE"""),"TRSF E-BANKING DB")</f>
        <v>TRSF E-BANKING DB</v>
      </c>
      <c r="C102" s="2" t="str">
        <f>IFERROR(__xludf.DUMMYFUNCTION("""COMPUTED_VALUE"""),"1107/FTSCY/WS95031 10000000.00 EKO SETIYAWAN")</f>
        <v>1107/FTSCY/WS95031 10000000.00 EKO SETIYAWAN</v>
      </c>
      <c r="D102" s="2">
        <f>IFERROR(__xludf.DUMMYFUNCTION("""COMPUTED_VALUE"""),1.0E7)</f>
        <v>10000000</v>
      </c>
      <c r="E102" s="2"/>
      <c r="F102" s="2" t="str">
        <f>IFERROR(__xludf.DUMMYFUNCTION("""COMPUTED_VALUE"""),"DB")</f>
        <v>DB</v>
      </c>
      <c r="G102" s="2">
        <f>IFERROR(__xludf.DUMMYFUNCTION("""COMPUTED_VALUE"""),1.5880816030999994E8)</f>
        <v>158808160.3</v>
      </c>
      <c r="H102" s="2"/>
      <c r="I102" s="2"/>
    </row>
    <row r="103">
      <c r="A103" s="7">
        <f>IFERROR(__xludf.DUMMYFUNCTION("""COMPUTED_VALUE"""),46214.0)</f>
        <v>46214</v>
      </c>
      <c r="B103" s="2" t="str">
        <f>IFERROR(__xludf.DUMMYFUNCTION("""COMPUTED_VALUE"""),"TRSF E-BANKING DB")</f>
        <v>TRSF E-BANKING DB</v>
      </c>
      <c r="C103" s="2" t="str">
        <f>IFERROR(__xludf.DUMMYFUNCTION("""COMPUTED_VALUE"""),"1107/FTFVA/WS95031 55569/PT PRIMA FAJ pelunasan - 40190")</f>
        <v>1107/FTFVA/WS95031 55569/PT PRIMA FAJ pelunasan - 40190</v>
      </c>
      <c r="D103" s="2">
        <f>IFERROR(__xludf.DUMMYFUNCTION("""COMPUTED_VALUE"""),1.4041719E8)</f>
        <v>140417190</v>
      </c>
      <c r="E103" s="2"/>
      <c r="F103" s="2" t="str">
        <f>IFERROR(__xludf.DUMMYFUNCTION("""COMPUTED_VALUE"""),"DB")</f>
        <v>DB</v>
      </c>
      <c r="G103" s="2">
        <f>IFERROR(__xludf.DUMMYFUNCTION("""COMPUTED_VALUE"""),5.3086485030999994E8)</f>
        <v>530864850.3</v>
      </c>
      <c r="H103" s="2">
        <f>IFERROR(__xludf.DUMMYFUNCTION("""COMPUTED_VALUE"""),5.3086485031E8)</f>
        <v>530864850.3</v>
      </c>
      <c r="I103" s="2"/>
    </row>
    <row r="104">
      <c r="A104" s="7">
        <f>IFERROR(__xludf.DUMMYFUNCTION("""COMPUTED_VALUE"""),46214.0)</f>
        <v>46214</v>
      </c>
      <c r="B104" s="2" t="str">
        <f>IFERROR(__xludf.DUMMYFUNCTION("""COMPUTED_VALUE"""),"TRSF E-BANKING DB")</f>
        <v>TRSF E-BANKING DB</v>
      </c>
      <c r="C104" s="2" t="str">
        <f>IFERROR(__xludf.DUMMYFUNCTION("""COMPUTED_VALUE"""),"1107/FTSCY/WS95011 69842000.00 Thu Jul 09 2026 14:00:00 GMT+0700 (Western Indonesia Time) ANUGERAH KARTIKA A")</f>
        <v>1107/FTSCY/WS95011 69842000.00 Thu Jul 09 2026 14:00:00 GMT+0700 (Western Indonesia Time) ANUGERAH KARTIKA A</v>
      </c>
      <c r="D104" s="2">
        <f>IFERROR(__xludf.DUMMYFUNCTION("""COMPUTED_VALUE"""),6.9842E7)</f>
        <v>69842000</v>
      </c>
      <c r="E104" s="2"/>
      <c r="F104" s="2" t="str">
        <f>IFERROR(__xludf.DUMMYFUNCTION("""COMPUTED_VALUE"""),"DB")</f>
        <v>DB</v>
      </c>
      <c r="G104" s="2">
        <f>IFERROR(__xludf.DUMMYFUNCTION("""COMPUTED_VALUE"""),4.6102285030999994E8)</f>
        <v>461022850.3</v>
      </c>
      <c r="H104" s="2">
        <f>IFERROR(__xludf.DUMMYFUNCTION("""COMPUTED_VALUE"""),4.6102285031E8)</f>
        <v>461022850.3</v>
      </c>
      <c r="I104" s="2"/>
    </row>
    <row r="105">
      <c r="A105" s="7">
        <f>IFERROR(__xludf.DUMMYFUNCTION("""COMPUTED_VALUE"""),46214.0)</f>
        <v>46214</v>
      </c>
      <c r="B105" s="2" t="str">
        <f>IFERROR(__xludf.DUMMYFUNCTION("""COMPUTED_VALUE"""),"TRSF E-BANKING DB")</f>
        <v>TRSF E-BANKING DB</v>
      </c>
      <c r="C105" s="2" t="str">
        <f>IFERROR(__xludf.DUMMYFUNCTION("""COMPUTED_VALUE"""),"1107/FTSCY/WS95011 143348590.00 Thu Jul 09 2026 14:00:00 GMT+0700 (Western Indonesia Time) SUPER UNGGAS JAYA")</f>
        <v>1107/FTSCY/WS95011 143348590.00 Thu Jul 09 2026 14:00:00 GMT+0700 (Western Indonesia Time) SUPER UNGGAS JAYA</v>
      </c>
      <c r="D105" s="2">
        <f>IFERROR(__xludf.DUMMYFUNCTION("""COMPUTED_VALUE"""),1.4334859E8)</f>
        <v>143348590</v>
      </c>
      <c r="E105" s="2"/>
      <c r="F105" s="2" t="str">
        <f>IFERROR(__xludf.DUMMYFUNCTION("""COMPUTED_VALUE"""),"DB")</f>
        <v>DB</v>
      </c>
      <c r="G105" s="2">
        <f>IFERROR(__xludf.DUMMYFUNCTION("""COMPUTED_VALUE"""),3.1767426030999994E8)</f>
        <v>317674260.3</v>
      </c>
      <c r="H105" s="2"/>
      <c r="I105" s="2"/>
    </row>
    <row r="106">
      <c r="A106" s="7">
        <f>IFERROR(__xludf.DUMMYFUNCTION("""COMPUTED_VALUE"""),46214.0)</f>
        <v>46214</v>
      </c>
      <c r="B106" s="2" t="str">
        <f>IFERROR(__xludf.DUMMYFUNCTION("""COMPUTED_VALUE"""),"TRSF E-BANKING DB")</f>
        <v>TRSF E-BANKING DB</v>
      </c>
      <c r="C106" s="2" t="str">
        <f>IFERROR(__xludf.DUMMYFUNCTION("""COMPUTED_VALUE"""),"1107/FTSCY/WS95011 67220310.00 Mon Sep 07 2026 14:00:00 GMT+0700 (Western Indonesia Time) BROILER MAKMUR TAN")</f>
        <v>1107/FTSCY/WS95011 67220310.00 Mon Sep 07 2026 14:00:00 GMT+0700 (Western Indonesia Time) BROILER MAKMUR TAN</v>
      </c>
      <c r="D106" s="2">
        <f>IFERROR(__xludf.DUMMYFUNCTION("""COMPUTED_VALUE"""),6.722031E7)</f>
        <v>67220310</v>
      </c>
      <c r="E106" s="2"/>
      <c r="F106" s="2" t="str">
        <f>IFERROR(__xludf.DUMMYFUNCTION("""COMPUTED_VALUE"""),"DB")</f>
        <v>DB</v>
      </c>
      <c r="G106" s="2">
        <f>IFERROR(__xludf.DUMMYFUNCTION("""COMPUTED_VALUE"""),2.5045395030999994E8)</f>
        <v>250453950.3</v>
      </c>
      <c r="H106" s="2"/>
      <c r="I106" s="2"/>
    </row>
    <row r="107">
      <c r="A107" s="7">
        <f>IFERROR(__xludf.DUMMYFUNCTION("""COMPUTED_VALUE"""),46214.0)</f>
        <v>46214</v>
      </c>
      <c r="B107" s="2" t="str">
        <f>IFERROR(__xludf.DUMMYFUNCTION("""COMPUTED_VALUE"""),"TRSF E-BANKING DB")</f>
        <v>TRSF E-BANKING DB</v>
      </c>
      <c r="C107" s="2" t="str">
        <f>IFERROR(__xludf.DUMMYFUNCTION("""COMPUTED_VALUE"""),"1107/FTSCY/WS95011 158619500.00 Fri Jul 10 2026 14:00:00 GMT+0700 (Western Indonesia Time) BINTANG TAMA SANTO")</f>
        <v>1107/FTSCY/WS95011 158619500.00 Fri Jul 10 2026 14:00:00 GMT+0700 (Western Indonesia Time) BINTANG TAMA SANTO</v>
      </c>
      <c r="D107" s="2">
        <f>IFERROR(__xludf.DUMMYFUNCTION("""COMPUTED_VALUE"""),1.586195E8)</f>
        <v>158619500</v>
      </c>
      <c r="E107" s="2"/>
      <c r="F107" s="2" t="str">
        <f>IFERROR(__xludf.DUMMYFUNCTION("""COMPUTED_VALUE"""),"DB")</f>
        <v>DB</v>
      </c>
      <c r="G107" s="2">
        <f>IFERROR(__xludf.DUMMYFUNCTION("""COMPUTED_VALUE"""),9.183445030999994E7)</f>
        <v>91834450.31</v>
      </c>
      <c r="H107" s="2"/>
      <c r="I107" s="2"/>
    </row>
    <row r="108">
      <c r="A108" s="7">
        <f>IFERROR(__xludf.DUMMYFUNCTION("""COMPUTED_VALUE"""),46215.0)</f>
        <v>46215</v>
      </c>
      <c r="B108" s="2" t="str">
        <f>IFERROR(__xludf.DUMMYFUNCTION("""COMPUTED_VALUE"""),"TRSF E-BANKING DB TANGGAL :11/07")</f>
        <v>TRSF E-BANKING DB TANGGAL :11/07</v>
      </c>
      <c r="C108" s="2" t="str">
        <f>IFERROR(__xludf.DUMMYFUNCTION("""COMPUTED_VALUE"""),"1107/FTSCY/WS95011 titip TABASSAM AL HATTAK")</f>
        <v>1107/FTSCY/WS95011 titip TABASSAM AL HATTAK</v>
      </c>
      <c r="D108" s="2">
        <f>IFERROR(__xludf.DUMMYFUNCTION("""COMPUTED_VALUE"""),6.0E7)</f>
        <v>60000000</v>
      </c>
      <c r="E108" s="2"/>
      <c r="F108" s="2" t="str">
        <f>IFERROR(__xludf.DUMMYFUNCTION("""COMPUTED_VALUE"""),"DB")</f>
        <v>DB</v>
      </c>
      <c r="G108" s="2">
        <f>IFERROR(__xludf.DUMMYFUNCTION("""COMPUTED_VALUE"""),2.6372320309999943E7)</f>
        <v>26372320.31</v>
      </c>
      <c r="H108" s="2"/>
      <c r="I108" s="2"/>
    </row>
    <row r="109">
      <c r="A109" s="7">
        <f>IFERROR(__xludf.DUMMYFUNCTION("""COMPUTED_VALUE"""),46215.0)</f>
        <v>46215</v>
      </c>
      <c r="B109" s="2" t="str">
        <f>IFERROR(__xludf.DUMMYFUNCTION("""COMPUTED_VALUE"""),"TRSF E-BANKING DB TANGGAL :11/07")</f>
        <v>TRSF E-BANKING DB TANGGAL :11/07</v>
      </c>
      <c r="C109" s="2" t="str">
        <f>IFERROR(__xludf.DUMMYFUNCTION("""COMPUTED_VALUE"""),"1107/FTSCY/WS95031 titip 70 jt TABASSAM AL HATTAK")</f>
        <v>1107/FTSCY/WS95031 titip 70 jt TABASSAM AL HATTAK</v>
      </c>
      <c r="D109" s="2">
        <f>IFERROR(__xludf.DUMMYFUNCTION("""COMPUTED_VALUE"""),1.0E7)</f>
        <v>10000000</v>
      </c>
      <c r="E109" s="2"/>
      <c r="F109" s="2" t="str">
        <f>IFERROR(__xludf.DUMMYFUNCTION("""COMPUTED_VALUE"""),"DB")</f>
        <v>DB</v>
      </c>
      <c r="G109" s="2">
        <f>IFERROR(__xludf.DUMMYFUNCTION("""COMPUTED_VALUE"""),1.6372320309999943E7)</f>
        <v>16372320.31</v>
      </c>
      <c r="H109" s="2"/>
      <c r="I109" s="2"/>
    </row>
    <row r="110">
      <c r="A110" s="7">
        <f>IFERROR(__xludf.DUMMYFUNCTION("""COMPUTED_VALUE"""),46215.0)</f>
        <v>46215</v>
      </c>
      <c r="B110" s="2" t="str">
        <f>IFERROR(__xludf.DUMMYFUNCTION("""COMPUTED_VALUE"""),"TRSF E-BANKING DB")</f>
        <v>TRSF E-BANKING DB</v>
      </c>
      <c r="C110" s="2" t="str">
        <f>IFERROR(__xludf.DUMMYFUNCTION("""COMPUTED_VALUE"""),"1207/FTSCY/WS95031 9800000.00 pelunasan magetan TABASSAM AL HATTAK")</f>
        <v>1207/FTSCY/WS95031 9800000.00 pelunasan magetan TABASSAM AL HATTAK</v>
      </c>
      <c r="D110" s="2">
        <f>IFERROR(__xludf.DUMMYFUNCTION("""COMPUTED_VALUE"""),9800000.0)</f>
        <v>9800000</v>
      </c>
      <c r="E110" s="2"/>
      <c r="F110" s="2" t="str">
        <f>IFERROR(__xludf.DUMMYFUNCTION("""COMPUTED_VALUE"""),"DB")</f>
        <v>DB</v>
      </c>
      <c r="G110" s="2">
        <f>IFERROR(__xludf.DUMMYFUNCTION("""COMPUTED_VALUE"""),6572320.309999943)</f>
        <v>6572320.31</v>
      </c>
      <c r="H110" s="2"/>
      <c r="I110" s="2"/>
    </row>
    <row r="111">
      <c r="A111" s="7">
        <f>IFERROR(__xludf.DUMMYFUNCTION("""COMPUTED_VALUE"""),46215.0)</f>
        <v>46215</v>
      </c>
      <c r="B111" s="2" t="str">
        <f>IFERROR(__xludf.DUMMYFUNCTION("""COMPUTED_VALUE"""),"TRSF E-BANKING DB")</f>
        <v>TRSF E-BANKING DB</v>
      </c>
      <c r="C111" s="2" t="str">
        <f>IFERROR(__xludf.DUMMYFUNCTION("""COMPUTED_VALUE"""),"1207/FTSCY/WS95031 5000000.00 bon FAJAR ANDREANZAH")</f>
        <v>1207/FTSCY/WS95031 5000000.00 bon FAJAR ANDREANZAH</v>
      </c>
      <c r="D111" s="2">
        <f>IFERROR(__xludf.DUMMYFUNCTION("""COMPUTED_VALUE"""),5000000.0)</f>
        <v>5000000</v>
      </c>
      <c r="E111" s="2"/>
      <c r="F111" s="2" t="str">
        <f>IFERROR(__xludf.DUMMYFUNCTION("""COMPUTED_VALUE"""),"DB")</f>
        <v>DB</v>
      </c>
      <c r="G111" s="2">
        <f>IFERROR(__xludf.DUMMYFUNCTION("""COMPUTED_VALUE"""),1572320.3099999428)</f>
        <v>1572320.31</v>
      </c>
      <c r="H111" s="2"/>
      <c r="I111" s="2"/>
    </row>
    <row r="112">
      <c r="A112" s="7">
        <f>IFERROR(__xludf.DUMMYFUNCTION("""COMPUTED_VALUE"""),46215.0)</f>
        <v>46215</v>
      </c>
      <c r="B112" s="2" t="str">
        <f>IFERROR(__xludf.DUMMYFUNCTION("""COMPUTED_VALUE"""),"TRSF E-BANKING DB")</f>
        <v>TRSF E-BANKING DB</v>
      </c>
      <c r="C112" s="2" t="str">
        <f>IFERROR(__xludf.DUMMYFUNCTION("""COMPUTED_VALUE"""),"1207/FTSCY/WS95011 144375600.00 Fri Jul 10 2026 14:00:00 GMT+0700 (Western Indonesia Time) SUPER UNGGAS JAYA")</f>
        <v>1207/FTSCY/WS95011 144375600.00 Fri Jul 10 2026 14:00:00 GMT+0700 (Western Indonesia Time) SUPER UNGGAS JAYA</v>
      </c>
      <c r="D112" s="2">
        <f>IFERROR(__xludf.DUMMYFUNCTION("""COMPUTED_VALUE"""),1.443756E8)</f>
        <v>144375600</v>
      </c>
      <c r="E112" s="2"/>
      <c r="F112" s="2" t="str">
        <f>IFERROR(__xludf.DUMMYFUNCTION("""COMPUTED_VALUE"""),"DB")</f>
        <v>DB</v>
      </c>
      <c r="G112" s="2">
        <f>IFERROR(__xludf.DUMMYFUNCTION("""COMPUTED_VALUE"""),4.6311575030999994E8)</f>
        <v>463115750.3</v>
      </c>
      <c r="H112" s="2">
        <f>IFERROR(__xludf.DUMMYFUNCTION("""COMPUTED_VALUE"""),4.6311575031E8)</f>
        <v>463115750.3</v>
      </c>
      <c r="I112" s="2"/>
    </row>
    <row r="113">
      <c r="A113" s="7">
        <f>IFERROR(__xludf.DUMMYFUNCTION("""COMPUTED_VALUE"""),46215.0)</f>
        <v>46215</v>
      </c>
      <c r="B113" s="2" t="str">
        <f>IFERROR(__xludf.DUMMYFUNCTION("""COMPUTED_VALUE"""),"TRSF E-BANKING DB")</f>
        <v>TRSF E-BANKING DB</v>
      </c>
      <c r="C113" s="2" t="str">
        <f>IFERROR(__xludf.DUMMYFUNCTION("""COMPUTED_VALUE"""),"1207/FTSCY/WS95011 175629600.00 Fri Jul 10 2026 14:00:00 GMT+0700 (Western Indonesia Time) BINTANG TAMA SANTO")</f>
        <v>1207/FTSCY/WS95011 175629600.00 Fri Jul 10 2026 14:00:00 GMT+0700 (Western Indonesia Time) BINTANG TAMA SANTO</v>
      </c>
      <c r="D113" s="2">
        <f>IFERROR(__xludf.DUMMYFUNCTION("""COMPUTED_VALUE"""),1.756296E8)</f>
        <v>175629600</v>
      </c>
      <c r="E113" s="2"/>
      <c r="F113" s="2" t="str">
        <f>IFERROR(__xludf.DUMMYFUNCTION("""COMPUTED_VALUE"""),"DB")</f>
        <v>DB</v>
      </c>
      <c r="G113" s="2">
        <f>IFERROR(__xludf.DUMMYFUNCTION("""COMPUTED_VALUE"""),2.8748615030999994E8)</f>
        <v>287486150.3</v>
      </c>
      <c r="H113" s="2">
        <f>IFERROR(__xludf.DUMMYFUNCTION("""COMPUTED_VALUE"""),2.8748615031E8)</f>
        <v>287486150.3</v>
      </c>
      <c r="I113" s="2"/>
    </row>
    <row r="114">
      <c r="A114" s="7">
        <f>IFERROR(__xludf.DUMMYFUNCTION("""COMPUTED_VALUE"""),46215.0)</f>
        <v>46215</v>
      </c>
      <c r="B114" s="2" t="str">
        <f>IFERROR(__xludf.DUMMYFUNCTION("""COMPUTED_VALUE"""),"TRSF E-BANKING DB")</f>
        <v>TRSF E-BANKING DB</v>
      </c>
      <c r="C114" s="2" t="str">
        <f>IFERROR(__xludf.DUMMYFUNCTION("""COMPUTED_VALUE"""),"1207/FTSCY/WS95011 66249700.00 Fri Jul 10 2026 14:00:00 GMT+0700 (Western Indonesia Time) ANUGERAH KARTIKA A")</f>
        <v>1207/FTSCY/WS95011 66249700.00 Fri Jul 10 2026 14:00:00 GMT+0700 (Western Indonesia Time) ANUGERAH KARTIKA A</v>
      </c>
      <c r="D114" s="2">
        <f>IFERROR(__xludf.DUMMYFUNCTION("""COMPUTED_VALUE"""),6.62497E7)</f>
        <v>66249700</v>
      </c>
      <c r="E114" s="2"/>
      <c r="F114" s="2" t="str">
        <f>IFERROR(__xludf.DUMMYFUNCTION("""COMPUTED_VALUE"""),"DB")</f>
        <v>DB</v>
      </c>
      <c r="G114" s="2">
        <f>IFERROR(__xludf.DUMMYFUNCTION("""COMPUTED_VALUE"""),2.2123645030999994E8)</f>
        <v>221236450.3</v>
      </c>
      <c r="H114" s="2"/>
      <c r="I114" s="2"/>
    </row>
    <row r="115">
      <c r="A115" s="7">
        <f>IFERROR(__xludf.DUMMYFUNCTION("""COMPUTED_VALUE"""),46215.0)</f>
        <v>46215</v>
      </c>
      <c r="B115" s="2" t="str">
        <f>IFERROR(__xludf.DUMMYFUNCTION("""COMPUTED_VALUE"""),"TRSF E-BANKING DB")</f>
        <v>TRSF E-BANKING DB</v>
      </c>
      <c r="C115" s="2" t="str">
        <f>IFERROR(__xludf.DUMMYFUNCTION("""COMPUTED_VALUE"""),"1207/FTSCY/WS95011 74899500.00 Fri Jul 10 2026 14:00:00 GMT+0700 (Western Indonesia Time) BINTANG TAMA SANTO")</f>
        <v>1207/FTSCY/WS95011 74899500.00 Fri Jul 10 2026 14:00:00 GMT+0700 (Western Indonesia Time) BINTANG TAMA SANTO</v>
      </c>
      <c r="D115" s="2">
        <f>IFERROR(__xludf.DUMMYFUNCTION("""COMPUTED_VALUE"""),7.48995E7)</f>
        <v>74899500</v>
      </c>
      <c r="E115" s="2"/>
      <c r="F115" s="2" t="str">
        <f>IFERROR(__xludf.DUMMYFUNCTION("""COMPUTED_VALUE"""),"DB")</f>
        <v>DB</v>
      </c>
      <c r="G115" s="2">
        <f>IFERROR(__xludf.DUMMYFUNCTION("""COMPUTED_VALUE"""),1.4633695030999994E8)</f>
        <v>146336950.3</v>
      </c>
      <c r="H115" s="2"/>
      <c r="I115" s="2"/>
    </row>
    <row r="116">
      <c r="A116" s="7">
        <f>IFERROR(__xludf.DUMMYFUNCTION("""COMPUTED_VALUE"""),46215.0)</f>
        <v>46215</v>
      </c>
      <c r="B116" s="2" t="str">
        <f>IFERROR(__xludf.DUMMYFUNCTION("""COMPUTED_VALUE"""),"TRSF E-BANKING DB")</f>
        <v>TRSF E-BANKING DB</v>
      </c>
      <c r="C116" s="2" t="str">
        <f>IFERROR(__xludf.DUMMYFUNCTION("""COMPUTED_VALUE"""),"1207/FTSCY/WS95271 205155650.00 krg 77.5 jt GANESHA SATRIA NUS")</f>
        <v>1207/FTSCY/WS95271 205155650.00 krg 77.5 jt GANESHA SATRIA NUS</v>
      </c>
      <c r="D116" s="2">
        <f>IFERROR(__xludf.DUMMYFUNCTION("""COMPUTED_VALUE"""),2.0515565E8)</f>
        <v>205155650</v>
      </c>
      <c r="E116" s="2"/>
      <c r="F116" s="2" t="str">
        <f>IFERROR(__xludf.DUMMYFUNCTION("""COMPUTED_VALUE"""),"DB")</f>
        <v>DB</v>
      </c>
      <c r="G116" s="2">
        <f>IFERROR(__xludf.DUMMYFUNCTION("""COMPUTED_VALUE"""),3.0341094030999994E8)</f>
        <v>303410940.3</v>
      </c>
      <c r="H116" s="2"/>
      <c r="I116" s="2"/>
    </row>
    <row r="117">
      <c r="A117" s="7">
        <f>IFERROR(__xludf.DUMMYFUNCTION("""COMPUTED_VALUE"""),46215.0)</f>
        <v>46215</v>
      </c>
      <c r="B117" s="2" t="str">
        <f>IFERROR(__xludf.DUMMYFUNCTION("""COMPUTED_VALUE"""),"TRSF E-BANKING DB")</f>
        <v>TRSF E-BANKING DB</v>
      </c>
      <c r="C117" s="2" t="str">
        <f>IFERROR(__xludf.DUMMYFUNCTION("""COMPUTED_VALUE"""),"1207/FTSCY/WS95031 37500000.00 Sat Jul 11 2026 14:00:00 GMT+0700 (Western Indonesia Time) GANESHA SATRIA NUS")</f>
        <v>1207/FTSCY/WS95031 37500000.00 Sat Jul 11 2026 14:00:00 GMT+0700 (Western Indonesia Time) GANESHA SATRIA NUS</v>
      </c>
      <c r="D117" s="2">
        <f>IFERROR(__xludf.DUMMYFUNCTION("""COMPUTED_VALUE"""),3.75E7)</f>
        <v>37500000</v>
      </c>
      <c r="E117" s="2"/>
      <c r="F117" s="2" t="str">
        <f>IFERROR(__xludf.DUMMYFUNCTION("""COMPUTED_VALUE"""),"DB")</f>
        <v>DB</v>
      </c>
      <c r="G117" s="2">
        <f>IFERROR(__xludf.DUMMYFUNCTION("""COMPUTED_VALUE"""),2.6591094030999994E8)</f>
        <v>265910940.3</v>
      </c>
      <c r="H117" s="2">
        <f>IFERROR(__xludf.DUMMYFUNCTION("""COMPUTED_VALUE"""),2.6591094031E8)</f>
        <v>265910940.3</v>
      </c>
      <c r="I117" s="2"/>
    </row>
    <row r="118">
      <c r="A118" s="7">
        <f>IFERROR(__xludf.DUMMYFUNCTION("""COMPUTED_VALUE"""),46216.0)</f>
        <v>46216</v>
      </c>
      <c r="B118" s="2" t="str">
        <f>IFERROR(__xludf.DUMMYFUNCTION("""COMPUTED_VALUE"""),"TRSF E-BANKING DB")</f>
        <v>TRSF E-BANKING DB</v>
      </c>
      <c r="C118" s="2" t="str">
        <f>IFERROR(__xludf.DUMMYFUNCTION("""COMPUTED_VALUE"""),"1307/FTSCY/WS95271 3786000.00 HERMAWAN")</f>
        <v>1307/FTSCY/WS95271 3786000.00 HERMAWAN</v>
      </c>
      <c r="D118" s="2">
        <f>IFERROR(__xludf.DUMMYFUNCTION("""COMPUTED_VALUE"""),3786000.0)</f>
        <v>3786000</v>
      </c>
      <c r="E118" s="2"/>
      <c r="F118" s="2" t="str">
        <f>IFERROR(__xludf.DUMMYFUNCTION("""COMPUTED_VALUE"""),"DB")</f>
        <v>DB</v>
      </c>
      <c r="G118" s="2">
        <f>IFERROR(__xludf.DUMMYFUNCTION("""COMPUTED_VALUE"""),1.5841640030999994E8)</f>
        <v>158416400.3</v>
      </c>
      <c r="H118" s="2"/>
      <c r="I118" s="2"/>
    </row>
    <row r="119">
      <c r="A119" s="7">
        <f>IFERROR(__xludf.DUMMYFUNCTION("""COMPUTED_VALUE"""),46216.0)</f>
        <v>46216</v>
      </c>
      <c r="B119" s="2" t="str">
        <f>IFERROR(__xludf.DUMMYFUNCTION("""COMPUTED_VALUE"""),"TRSF E-BANKING DB")</f>
        <v>TRSF E-BANKING DB</v>
      </c>
      <c r="C119" s="2" t="str">
        <f>IFERROR(__xludf.DUMMYFUNCTION("""COMPUTED_VALUE"""),"1307/FTSCY/WS95271 1917550.00 FAJAR ANDREANZAH")</f>
        <v>1307/FTSCY/WS95271 1917550.00 FAJAR ANDREANZAH</v>
      </c>
      <c r="D119" s="2">
        <f>IFERROR(__xludf.DUMMYFUNCTION("""COMPUTED_VALUE"""),1917550.0)</f>
        <v>1917550</v>
      </c>
      <c r="E119" s="2"/>
      <c r="F119" s="2" t="str">
        <f>IFERROR(__xludf.DUMMYFUNCTION("""COMPUTED_VALUE"""),"DB")</f>
        <v>DB</v>
      </c>
      <c r="G119" s="2">
        <f>IFERROR(__xludf.DUMMYFUNCTION("""COMPUTED_VALUE"""),1.5069600030999994E8)</f>
        <v>150696000.3</v>
      </c>
      <c r="H119" s="2"/>
      <c r="I119" s="2"/>
    </row>
    <row r="120">
      <c r="A120" s="7">
        <f>IFERROR(__xludf.DUMMYFUNCTION("""COMPUTED_VALUE"""),46216.0)</f>
        <v>46216</v>
      </c>
      <c r="B120" s="2" t="str">
        <f>IFERROR(__xludf.DUMMYFUNCTION("""COMPUTED_VALUE"""),"TRSF E-BANKING DB")</f>
        <v>TRSF E-BANKING DB</v>
      </c>
      <c r="C120" s="2" t="str">
        <f>IFERROR(__xludf.DUMMYFUNCTION("""COMPUTED_VALUE"""),"1307/FTSCY/WS95271 852735.00 NURHAYATI")</f>
        <v>1307/FTSCY/WS95271 852735.00 NURHAYATI</v>
      </c>
      <c r="D120" s="2">
        <f>IFERROR(__xludf.DUMMYFUNCTION("""COMPUTED_VALUE"""),852735.0)</f>
        <v>852735</v>
      </c>
      <c r="E120" s="2"/>
      <c r="F120" s="2" t="str">
        <f>IFERROR(__xludf.DUMMYFUNCTION("""COMPUTED_VALUE"""),"DB")</f>
        <v>DB</v>
      </c>
      <c r="G120" s="2">
        <f>IFERROR(__xludf.DUMMYFUNCTION("""COMPUTED_VALUE"""),1.0186421530999994E8)</f>
        <v>101864215.3</v>
      </c>
      <c r="H120" s="2"/>
      <c r="I120" s="2"/>
    </row>
    <row r="121">
      <c r="A121" s="7">
        <f>IFERROR(__xludf.DUMMYFUNCTION("""COMPUTED_VALUE"""),46216.0)</f>
        <v>46216</v>
      </c>
      <c r="B121" s="2" t="str">
        <f>IFERROR(__xludf.DUMMYFUNCTION("""COMPUTED_VALUE"""),"BI-FAST DB")</f>
        <v>BI-FAST DB</v>
      </c>
      <c r="C121" s="2" t="str">
        <f>IFERROR(__xludf.DUMMYFUNCTION("""COMPUTED_VALUE"""),"BIF TRANSFER KE 9 AHMAD LUTHFI FADHI M-BCA")</f>
        <v>BIF TRANSFER KE 9 AHMAD LUTHFI FADHI M-BCA</v>
      </c>
      <c r="D121" s="2">
        <f>IFERROR(__xludf.DUMMYFUNCTION("""COMPUTED_VALUE"""),70000.0)</f>
        <v>70000</v>
      </c>
      <c r="E121" s="2"/>
      <c r="F121" s="2" t="str">
        <f>IFERROR(__xludf.DUMMYFUNCTION("""COMPUTED_VALUE"""),"DB")</f>
        <v>DB</v>
      </c>
      <c r="G121" s="2">
        <f>IFERROR(__xludf.DUMMYFUNCTION("""COMPUTED_VALUE"""),1.0179421530999994E8)</f>
        <v>101794215.3</v>
      </c>
      <c r="H121" s="2"/>
      <c r="I121" s="2"/>
    </row>
    <row r="122">
      <c r="A122" s="7">
        <f>IFERROR(__xludf.DUMMYFUNCTION("""COMPUTED_VALUE"""),46216.0)</f>
        <v>46216</v>
      </c>
      <c r="B122" s="2" t="str">
        <f>IFERROR(__xludf.DUMMYFUNCTION("""COMPUTED_VALUE"""),"BI-FAST DB")</f>
        <v>BI-FAST DB</v>
      </c>
      <c r="C122" s="2" t="str">
        <f>IFERROR(__xludf.DUMMYFUNCTION("""COMPUTED_VALUE"""),"BIF BIAYA TXN KE 9 AHMAD LUTHFI FADHI M-BCA")</f>
        <v>BIF BIAYA TXN KE 9 AHMAD LUTHFI FADHI M-BCA</v>
      </c>
      <c r="D122" s="2">
        <f>IFERROR(__xludf.DUMMYFUNCTION("""COMPUTED_VALUE"""),2500.0)</f>
        <v>2500</v>
      </c>
      <c r="E122" s="2"/>
      <c r="F122" s="2" t="str">
        <f>IFERROR(__xludf.DUMMYFUNCTION("""COMPUTED_VALUE"""),"DB")</f>
        <v>DB</v>
      </c>
      <c r="G122" s="2">
        <f>IFERROR(__xludf.DUMMYFUNCTION("""COMPUTED_VALUE"""),1.0179171530999994E8)</f>
        <v>101791715.3</v>
      </c>
      <c r="H122" s="2"/>
      <c r="I122" s="2"/>
    </row>
    <row r="123">
      <c r="A123" s="7">
        <f>IFERROR(__xludf.DUMMYFUNCTION("""COMPUTED_VALUE"""),46216.0)</f>
        <v>46216</v>
      </c>
      <c r="B123" s="2" t="str">
        <f>IFERROR(__xludf.DUMMYFUNCTION("""COMPUTED_VALUE"""),"TRSF E-BANKING DB")</f>
        <v>TRSF E-BANKING DB</v>
      </c>
      <c r="C123" s="2" t="str">
        <f>IFERROR(__xludf.DUMMYFUNCTION("""COMPUTED_VALUE"""),"1307/FTSCY/WS95271 92085100.00 Sat Jul 11 2026 14:00:00 GMT+0700 (Western Indonesia Time) BINTANG TAMA SANTO")</f>
        <v>1307/FTSCY/WS95271 92085100.00 Sat Jul 11 2026 14:00:00 GMT+0700 (Western Indonesia Time) BINTANG TAMA SANTO</v>
      </c>
      <c r="D123" s="2">
        <f>IFERROR(__xludf.DUMMYFUNCTION("""COMPUTED_VALUE"""),9.20851E7)</f>
        <v>92085100</v>
      </c>
      <c r="E123" s="2"/>
      <c r="F123" s="2" t="str">
        <f>IFERROR(__xludf.DUMMYFUNCTION("""COMPUTED_VALUE"""),"DB")</f>
        <v>DB</v>
      </c>
      <c r="G123" s="2">
        <f>IFERROR(__xludf.DUMMYFUNCTION("""COMPUTED_VALUE"""),8.554931530999994E7)</f>
        <v>85549315.31</v>
      </c>
      <c r="H123" s="2"/>
      <c r="I123" s="2"/>
    </row>
    <row r="124">
      <c r="A124" s="7">
        <f>IFERROR(__xludf.DUMMYFUNCTION("""COMPUTED_VALUE"""),46216.0)</f>
        <v>46216</v>
      </c>
      <c r="B124" s="2" t="str">
        <f>IFERROR(__xludf.DUMMYFUNCTION("""COMPUTED_VALUE"""),"TRSF E-BANKING DB")</f>
        <v>TRSF E-BANKING DB</v>
      </c>
      <c r="C124" s="2" t="str">
        <f>IFERROR(__xludf.DUMMYFUNCTION("""COMPUTED_VALUE"""),"1307/FTSCY/WS95271 17867630.00 pelunasan TABASSAM AZ ZUFAR")</f>
        <v>1307/FTSCY/WS95271 17867630.00 pelunasan TABASSAM AZ ZUFAR</v>
      </c>
      <c r="D124" s="2">
        <f>IFERROR(__xludf.DUMMYFUNCTION("""COMPUTED_VALUE"""),1.786763E7)</f>
        <v>17867630</v>
      </c>
      <c r="E124" s="2"/>
      <c r="F124" s="2" t="str">
        <f>IFERROR(__xludf.DUMMYFUNCTION("""COMPUTED_VALUE"""),"DB")</f>
        <v>DB</v>
      </c>
      <c r="G124" s="2">
        <f>IFERROR(__xludf.DUMMYFUNCTION("""COMPUTED_VALUE"""),6.768168530999994E7)</f>
        <v>67681685.31</v>
      </c>
      <c r="H124" s="2"/>
      <c r="I124" s="2"/>
    </row>
    <row r="125">
      <c r="A125" s="7">
        <f>IFERROR(__xludf.DUMMYFUNCTION("""COMPUTED_VALUE"""),46216.0)</f>
        <v>46216</v>
      </c>
      <c r="B125" s="2" t="str">
        <f>IFERROR(__xludf.DUMMYFUNCTION("""COMPUTED_VALUE"""),"KARTU DEBIT")</f>
        <v>KARTU DEBIT</v>
      </c>
      <c r="C125" s="2" t="str">
        <f>IFERROR(__xludf.DUMMYFUNCTION("""COMPUTED_VALUE"""),"ALFAMRT Y207 BRTN 6019009510239343")</f>
        <v>ALFAMRT Y207 BRTN 6019009510239343</v>
      </c>
      <c r="D125" s="2">
        <f>IFERROR(__xludf.DUMMYFUNCTION("""COMPUTED_VALUE"""),104500.0)</f>
        <v>104500</v>
      </c>
      <c r="E125" s="2"/>
      <c r="F125" s="2"/>
      <c r="G125" s="2">
        <f>IFERROR(__xludf.DUMMYFUNCTION("""COMPUTED_VALUE"""),2.9941526530999994E8)</f>
        <v>299415265.3</v>
      </c>
      <c r="H125" s="2"/>
      <c r="I125" s="2"/>
    </row>
    <row r="126">
      <c r="A126" s="7">
        <f>IFERROR(__xludf.DUMMYFUNCTION("""COMPUTED_VALUE"""),46216.0)</f>
        <v>46216</v>
      </c>
      <c r="B126" s="2" t="str">
        <f>IFERROR(__xludf.DUMMYFUNCTION("""COMPUTED_VALUE"""),"TRSF E-BANKING DB")</f>
        <v>TRSF E-BANKING DB</v>
      </c>
      <c r="C126" s="2" t="str">
        <f>IFERROR(__xludf.DUMMYFUNCTION("""COMPUTED_VALUE"""),"1307/FTSCY/WS95271 20000000.00 EKO SETIYAWAN")</f>
        <v>1307/FTSCY/WS95271 20000000.00 EKO SETIYAWAN</v>
      </c>
      <c r="D126" s="2">
        <f>IFERROR(__xludf.DUMMYFUNCTION("""COMPUTED_VALUE"""),2.0E7)</f>
        <v>20000000</v>
      </c>
      <c r="E126" s="2"/>
      <c r="F126" s="2" t="str">
        <f>IFERROR(__xludf.DUMMYFUNCTION("""COMPUTED_VALUE"""),"DB")</f>
        <v>DB</v>
      </c>
      <c r="G126" s="2">
        <f>IFERROR(__xludf.DUMMYFUNCTION("""COMPUTED_VALUE"""),3.6950476530999994E8)</f>
        <v>369504765.3</v>
      </c>
      <c r="H126" s="2"/>
      <c r="I126" s="2"/>
    </row>
    <row r="127">
      <c r="A127" s="7">
        <f>IFERROR(__xludf.DUMMYFUNCTION("""COMPUTED_VALUE"""),46216.0)</f>
        <v>46216</v>
      </c>
      <c r="B127" s="2" t="str">
        <f>IFERROR(__xludf.DUMMYFUNCTION("""COMPUTED_VALUE"""),"KARTU DEBIT")</f>
        <v>KARTU DEBIT</v>
      </c>
      <c r="C127" s="2" t="str">
        <f>IFERROR(__xludf.DUMMYFUNCTION("""COMPUTED_VALUE"""),"ALFAMRT Y078 SLR2 6019009510239343")</f>
        <v>ALFAMRT Y078 SLR2 6019009510239343</v>
      </c>
      <c r="D127" s="2">
        <f>IFERROR(__xludf.DUMMYFUNCTION("""COMPUTED_VALUE"""),131000.0)</f>
        <v>131000</v>
      </c>
      <c r="E127" s="2"/>
      <c r="F127" s="2"/>
      <c r="G127" s="2">
        <f>IFERROR(__xludf.DUMMYFUNCTION("""COMPUTED_VALUE"""),3.6937376530999994E8)</f>
        <v>369373765.3</v>
      </c>
      <c r="H127" s="2"/>
      <c r="I127" s="2"/>
    </row>
    <row r="128">
      <c r="A128" s="7">
        <f>IFERROR(__xludf.DUMMYFUNCTION("""COMPUTED_VALUE"""),46216.0)</f>
        <v>46216</v>
      </c>
      <c r="B128" s="2" t="str">
        <f>IFERROR(__xludf.DUMMYFUNCTION("""COMPUTED_VALUE"""),"TRSF E-BANKING DB")</f>
        <v>TRSF E-BANKING DB</v>
      </c>
      <c r="C128" s="2" t="str">
        <f>IFERROR(__xludf.DUMMYFUNCTION("""COMPUTED_VALUE"""),"1307/FTFVA/WS95031 55569/PT PRIMA FAJ titip blitar - 40190")</f>
        <v>1307/FTFVA/WS95031 55569/PT PRIMA FAJ titip blitar - 40190</v>
      </c>
      <c r="D128" s="2">
        <f>IFERROR(__xludf.DUMMYFUNCTION("""COMPUTED_VALUE"""),6.72E7)</f>
        <v>67200000</v>
      </c>
      <c r="E128" s="2"/>
      <c r="F128" s="2" t="str">
        <f>IFERROR(__xludf.DUMMYFUNCTION("""COMPUTED_VALUE"""),"DB")</f>
        <v>DB</v>
      </c>
      <c r="G128" s="2">
        <f>IFERROR(__xludf.DUMMYFUNCTION("""COMPUTED_VALUE"""),3.0067376530999994E8)</f>
        <v>300673765.3</v>
      </c>
      <c r="H128" s="2">
        <f>IFERROR(__xludf.DUMMYFUNCTION("""COMPUTED_VALUE"""),3.0067376531E8)</f>
        <v>300673765.3</v>
      </c>
      <c r="I128" s="2"/>
    </row>
    <row r="129">
      <c r="A129" s="7">
        <f>IFERROR(__xludf.DUMMYFUNCTION("""COMPUTED_VALUE"""),46217.0)</f>
        <v>46217</v>
      </c>
      <c r="B129" s="2" t="str">
        <f>IFERROR(__xludf.DUMMYFUNCTION("""COMPUTED_VALUE"""),"TRSF E-BANKING DB TANGGAL :13/07")</f>
        <v>TRSF E-BANKING DB TANGGAL :13/07</v>
      </c>
      <c r="C129" s="2" t="str">
        <f>IFERROR(__xludf.DUMMYFUNCTION("""COMPUTED_VALUE"""),"1307/FTSCY/WS95271 MUJIANTO")</f>
        <v>1307/FTSCY/WS95271 MUJIANTO</v>
      </c>
      <c r="D129" s="2">
        <f>IFERROR(__xludf.DUMMYFUNCTION("""COMPUTED_VALUE"""),1900000.0)</f>
        <v>1900000</v>
      </c>
      <c r="E129" s="2"/>
      <c r="F129" s="2" t="str">
        <f>IFERROR(__xludf.DUMMYFUNCTION("""COMPUTED_VALUE"""),"DB")</f>
        <v>DB</v>
      </c>
      <c r="G129" s="2">
        <f>IFERROR(__xludf.DUMMYFUNCTION("""COMPUTED_VALUE"""),2.9877376530999994E8)</f>
        <v>298773765.3</v>
      </c>
      <c r="H129" s="2"/>
      <c r="I129" s="2"/>
    </row>
    <row r="130">
      <c r="A130" s="7">
        <f>IFERROR(__xludf.DUMMYFUNCTION("""COMPUTED_VALUE"""),46217.0)</f>
        <v>46217</v>
      </c>
      <c r="B130" s="2" t="str">
        <f>IFERROR(__xludf.DUMMYFUNCTION("""COMPUTED_VALUE"""),"TRSF E-BANKING DB TANGGAL :13/07")</f>
        <v>TRSF E-BANKING DB TANGGAL :13/07</v>
      </c>
      <c r="C130" s="2" t="str">
        <f>IFERROR(__xludf.DUMMYFUNCTION("""COMPUTED_VALUE"""),"1307/FTSCY/WS95271 FAJAR ANDREANZAH")</f>
        <v>1307/FTSCY/WS95271 FAJAR ANDREANZAH</v>
      </c>
      <c r="D130" s="2">
        <f>IFERROR(__xludf.DUMMYFUNCTION("""COMPUTED_VALUE"""),500000.0)</f>
        <v>500000</v>
      </c>
      <c r="E130" s="2"/>
      <c r="F130" s="2" t="str">
        <f>IFERROR(__xludf.DUMMYFUNCTION("""COMPUTED_VALUE"""),"DB")</f>
        <v>DB</v>
      </c>
      <c r="G130" s="2">
        <f>IFERROR(__xludf.DUMMYFUNCTION("""COMPUTED_VALUE"""),2.9827376530999994E8)</f>
        <v>298273765.3</v>
      </c>
      <c r="H130" s="2">
        <f>IFERROR(__xludf.DUMMYFUNCTION("""COMPUTED_VALUE"""),2.9827376531E8)</f>
        <v>298273765.3</v>
      </c>
      <c r="I130" s="2"/>
    </row>
    <row r="131">
      <c r="A131" s="7">
        <f>IFERROR(__xludf.DUMMYFUNCTION("""COMPUTED_VALUE"""),46217.0)</f>
        <v>46217</v>
      </c>
      <c r="B131" s="2" t="str">
        <f>IFERROR(__xludf.DUMMYFUNCTION("""COMPUTED_VALUE"""),"TRSF E-BANKING DB TANGGAL :13/07")</f>
        <v>TRSF E-BANKING DB TANGGAL :13/07</v>
      </c>
      <c r="C131" s="2" t="str">
        <f>IFERROR(__xludf.DUMMYFUNCTION("""COMPUTED_VALUE"""),"1307/FTSCY/WS95271 Sat Jul 11 2026 14:00:00 GMT+0700 (Western Indonesia Time) ANDALAN YASA MITRA")</f>
        <v>1307/FTSCY/WS95271 Sat Jul 11 2026 14:00:00 GMT+0700 (Western Indonesia Time) ANDALAN YASA MITRA</v>
      </c>
      <c r="D131" s="2">
        <f>IFERROR(__xludf.DUMMYFUNCTION("""COMPUTED_VALUE"""),6.52536E7)</f>
        <v>65253600</v>
      </c>
      <c r="E131" s="2"/>
      <c r="F131" s="2" t="str">
        <f>IFERROR(__xludf.DUMMYFUNCTION("""COMPUTED_VALUE"""),"DB")</f>
        <v>DB</v>
      </c>
      <c r="G131" s="2">
        <f>IFERROR(__xludf.DUMMYFUNCTION("""COMPUTED_VALUE"""),2.3094142530999994E8)</f>
        <v>230941425.3</v>
      </c>
      <c r="H131" s="2"/>
      <c r="I131" s="2"/>
    </row>
    <row r="132">
      <c r="A132" s="7">
        <f>IFERROR(__xludf.DUMMYFUNCTION("""COMPUTED_VALUE"""),46217.0)</f>
        <v>46217</v>
      </c>
      <c r="B132" s="2" t="str">
        <f>IFERROR(__xludf.DUMMYFUNCTION("""COMPUTED_VALUE"""),"TRSF E-BANKING DB")</f>
        <v>TRSF E-BANKING DB</v>
      </c>
      <c r="C132" s="2" t="str">
        <f>IFERROR(__xludf.DUMMYFUNCTION("""COMPUTED_VALUE"""),"1407/FTSCY/WS95011 145961080.00 Sun Jul 12 2026 14:00:00 GMT+0700 (Western Indonesia Time) GANESHA SATRIA NUS")</f>
        <v>1407/FTSCY/WS95011 145961080.00 Sun Jul 12 2026 14:00:00 GMT+0700 (Western Indonesia Time) GANESHA SATRIA NUS</v>
      </c>
      <c r="D132" s="2">
        <f>IFERROR(__xludf.DUMMYFUNCTION("""COMPUTED_VALUE"""),1.4596108E8)</f>
        <v>145961080</v>
      </c>
      <c r="E132" s="2"/>
      <c r="F132" s="2" t="str">
        <f>IFERROR(__xludf.DUMMYFUNCTION("""COMPUTED_VALUE"""),"DB")</f>
        <v>DB</v>
      </c>
      <c r="G132" s="2">
        <f>IFERROR(__xludf.DUMMYFUNCTION("""COMPUTED_VALUE"""),5.8641556531E8)</f>
        <v>586415565.3</v>
      </c>
      <c r="H132" s="2"/>
      <c r="I132" s="2"/>
    </row>
    <row r="133">
      <c r="A133" s="7">
        <f>IFERROR(__xludf.DUMMYFUNCTION("""COMPUTED_VALUE"""),46217.0)</f>
        <v>46217</v>
      </c>
      <c r="B133" s="2" t="str">
        <f>IFERROR(__xludf.DUMMYFUNCTION("""COMPUTED_VALUE"""),"TRSF E-BANKING DB")</f>
        <v>TRSF E-BANKING DB</v>
      </c>
      <c r="C133" s="2" t="str">
        <f>IFERROR(__xludf.DUMMYFUNCTION("""COMPUTED_VALUE"""),"1407/FTSCY/WS95011 80000000.00 pelunasan LAJU SATWA WISESA")</f>
        <v>1407/FTSCY/WS95011 80000000.00 pelunasan LAJU SATWA WISESA</v>
      </c>
      <c r="D133" s="2">
        <f>IFERROR(__xludf.DUMMYFUNCTION("""COMPUTED_VALUE"""),8.0E7)</f>
        <v>80000000</v>
      </c>
      <c r="E133" s="2"/>
      <c r="F133" s="2" t="str">
        <f>IFERROR(__xludf.DUMMYFUNCTION("""COMPUTED_VALUE"""),"DB")</f>
        <v>DB</v>
      </c>
      <c r="G133" s="2">
        <f>IFERROR(__xludf.DUMMYFUNCTION("""COMPUTED_VALUE"""),5.0641556530999994E8)</f>
        <v>506415565.3</v>
      </c>
      <c r="H133" s="2"/>
      <c r="I133" s="2"/>
    </row>
    <row r="134">
      <c r="A134" s="7">
        <f>IFERROR(__xludf.DUMMYFUNCTION("""COMPUTED_VALUE"""),46217.0)</f>
        <v>46217</v>
      </c>
      <c r="B134" s="2" t="str">
        <f>IFERROR(__xludf.DUMMYFUNCTION("""COMPUTED_VALUE"""),"TRSF E-BANKING DB")</f>
        <v>TRSF E-BANKING DB</v>
      </c>
      <c r="C134" s="2" t="str">
        <f>IFERROR(__xludf.DUMMYFUNCTION("""COMPUTED_VALUE"""),"1407/FTSCY/WS95011 213742120.00 tgl 11 san 12 /07 SUPER UNGGAS JAYA")</f>
        <v>1407/FTSCY/WS95011 213742120.00 tgl 11 san 12 /07 SUPER UNGGAS JAYA</v>
      </c>
      <c r="D134" s="2">
        <f>IFERROR(__xludf.DUMMYFUNCTION("""COMPUTED_VALUE"""),2.1374212E8)</f>
        <v>213742120</v>
      </c>
      <c r="E134" s="2"/>
      <c r="F134" s="2" t="str">
        <f>IFERROR(__xludf.DUMMYFUNCTION("""COMPUTED_VALUE"""),"DB")</f>
        <v>DB</v>
      </c>
      <c r="G134" s="2">
        <f>IFERROR(__xludf.DUMMYFUNCTION("""COMPUTED_VALUE"""),2.9267344530999994E8)</f>
        <v>292673445.3</v>
      </c>
      <c r="H134" s="2"/>
      <c r="I134" s="2"/>
    </row>
    <row r="135">
      <c r="A135" s="7">
        <f>IFERROR(__xludf.DUMMYFUNCTION("""COMPUTED_VALUE"""),46217.0)</f>
        <v>46217</v>
      </c>
      <c r="B135" s="2" t="str">
        <f>IFERROR(__xludf.DUMMYFUNCTION("""COMPUTED_VALUE"""),"TRSF E-BANKING DB")</f>
        <v>TRSF E-BANKING DB</v>
      </c>
      <c r="C135" s="2" t="str">
        <f>IFERROR(__xludf.DUMMYFUNCTION("""COMPUTED_VALUE"""),"1407/FTSCY/WS95011 59797600.00 krg 93.5 jt ANDALAN YASA MITRA")</f>
        <v>1407/FTSCY/WS95011 59797600.00 krg 93.5 jt ANDALAN YASA MITRA</v>
      </c>
      <c r="D135" s="2">
        <f>IFERROR(__xludf.DUMMYFUNCTION("""COMPUTED_VALUE"""),5.97976E7)</f>
        <v>59797600</v>
      </c>
      <c r="E135" s="2"/>
      <c r="F135" s="2" t="str">
        <f>IFERROR(__xludf.DUMMYFUNCTION("""COMPUTED_VALUE"""),"DB")</f>
        <v>DB</v>
      </c>
      <c r="G135" s="2">
        <f>IFERROR(__xludf.DUMMYFUNCTION("""COMPUTED_VALUE"""),2.3287584530999994E8)</f>
        <v>232875845.3</v>
      </c>
      <c r="H135" s="2"/>
      <c r="I135" s="2"/>
    </row>
    <row r="136">
      <c r="A136" s="7">
        <f>IFERROR(__xludf.DUMMYFUNCTION("""COMPUTED_VALUE"""),46217.0)</f>
        <v>46217</v>
      </c>
      <c r="B136" s="2" t="str">
        <f>IFERROR(__xludf.DUMMYFUNCTION("""COMPUTED_VALUE"""),"TRSF E-BANKING DB")</f>
        <v>TRSF E-BANKING DB</v>
      </c>
      <c r="C136" s="2" t="str">
        <f>IFERROR(__xludf.DUMMYFUNCTION("""COMPUTED_VALUE"""),"1407/FTSCY/WS95031 93500000.00 pelunasan ANDALAN YASA MITRA")</f>
        <v>1407/FTSCY/WS95031 93500000.00 pelunasan ANDALAN YASA MITRA</v>
      </c>
      <c r="D136" s="2">
        <f>IFERROR(__xludf.DUMMYFUNCTION("""COMPUTED_VALUE"""),9.35E7)</f>
        <v>93500000</v>
      </c>
      <c r="E136" s="2"/>
      <c r="F136" s="2" t="str">
        <f>IFERROR(__xludf.DUMMYFUNCTION("""COMPUTED_VALUE"""),"DB")</f>
        <v>DB</v>
      </c>
      <c r="G136" s="2">
        <f>IFERROR(__xludf.DUMMYFUNCTION("""COMPUTED_VALUE"""),1.3937584530999994E8)</f>
        <v>139375845.3</v>
      </c>
      <c r="H136" s="2"/>
      <c r="I136" s="2"/>
    </row>
    <row r="137">
      <c r="A137" s="7">
        <f>IFERROR(__xludf.DUMMYFUNCTION("""COMPUTED_VALUE"""),46217.0)</f>
        <v>46217</v>
      </c>
      <c r="B137" s="2" t="str">
        <f>IFERROR(__xludf.DUMMYFUNCTION("""COMPUTED_VALUE"""),"TRSF E-BANKING DB")</f>
        <v>TRSF E-BANKING DB</v>
      </c>
      <c r="C137" s="2" t="str">
        <f>IFERROR(__xludf.DUMMYFUNCTION("""COMPUTED_VALUE"""),"1407/FTSCY/WS95031 1665800.00 DWI HERMANSYAH")</f>
        <v>1407/FTSCY/WS95031 1665800.00 DWI HERMANSYAH</v>
      </c>
      <c r="D137" s="2">
        <f>IFERROR(__xludf.DUMMYFUNCTION("""COMPUTED_VALUE"""),1665800.0)</f>
        <v>1665800</v>
      </c>
      <c r="E137" s="2"/>
      <c r="F137" s="2" t="str">
        <f>IFERROR(__xludf.DUMMYFUNCTION("""COMPUTED_VALUE"""),"DB")</f>
        <v>DB</v>
      </c>
      <c r="G137" s="2">
        <f>IFERROR(__xludf.DUMMYFUNCTION("""COMPUTED_VALUE"""),1.3771004530999994E8)</f>
        <v>137710045.3</v>
      </c>
      <c r="H137" s="2"/>
      <c r="I137" s="2"/>
    </row>
    <row r="138">
      <c r="A138" s="7">
        <f>IFERROR(__xludf.DUMMYFUNCTION("""COMPUTED_VALUE"""),46217.0)</f>
        <v>46217</v>
      </c>
      <c r="B138" s="2" t="str">
        <f>IFERROR(__xludf.DUMMYFUNCTION("""COMPUTED_VALUE"""),"TRSF E-BANKING DB")</f>
        <v>TRSF E-BANKING DB</v>
      </c>
      <c r="C138" s="2" t="str">
        <f>IFERROR(__xludf.DUMMYFUNCTION("""COMPUTED_VALUE"""),"1407/FTSCY/WS95031 200000.00 DWI HERMANSYAH")</f>
        <v>1407/FTSCY/WS95031 200000.00 DWI HERMANSYAH</v>
      </c>
      <c r="D138" s="2">
        <f>IFERROR(__xludf.DUMMYFUNCTION("""COMPUTED_VALUE"""),200000.0)</f>
        <v>200000</v>
      </c>
      <c r="E138" s="2"/>
      <c r="F138" s="2" t="str">
        <f>IFERROR(__xludf.DUMMYFUNCTION("""COMPUTED_VALUE"""),"DB")</f>
        <v>DB</v>
      </c>
      <c r="G138" s="2">
        <f>IFERROR(__xludf.DUMMYFUNCTION("""COMPUTED_VALUE"""),1.3751004530999994E8)</f>
        <v>137510045.3</v>
      </c>
      <c r="H138" s="2"/>
      <c r="I138" s="2"/>
    </row>
    <row r="139">
      <c r="A139" s="7">
        <f>IFERROR(__xludf.DUMMYFUNCTION("""COMPUTED_VALUE"""),46217.0)</f>
        <v>46217</v>
      </c>
      <c r="B139" s="2" t="str">
        <f>IFERROR(__xludf.DUMMYFUNCTION("""COMPUTED_VALUE"""),"TRSF E-BANKING DB")</f>
        <v>TRSF E-BANKING DB</v>
      </c>
      <c r="C139" s="2" t="str">
        <f>IFERROR(__xludf.DUMMYFUNCTION("""COMPUTED_VALUE"""),"1407/FTSCY/WS95271 114759200.00 pasuruan TABASSAM AL HATTAK")</f>
        <v>1407/FTSCY/WS95271 114759200.00 pasuruan TABASSAM AL HATTAK</v>
      </c>
      <c r="D139" s="2">
        <f>IFERROR(__xludf.DUMMYFUNCTION("""COMPUTED_VALUE"""),1.147592E8)</f>
        <v>114759200</v>
      </c>
      <c r="E139" s="2"/>
      <c r="F139" s="2" t="str">
        <f>IFERROR(__xludf.DUMMYFUNCTION("""COMPUTED_VALUE"""),"DB")</f>
        <v>DB</v>
      </c>
      <c r="G139" s="2">
        <f>IFERROR(__xludf.DUMMYFUNCTION("""COMPUTED_VALUE"""),2.2750845309999943E7)</f>
        <v>22750845.31</v>
      </c>
      <c r="H139" s="2"/>
      <c r="I139" s="2"/>
    </row>
    <row r="140">
      <c r="A140" s="7">
        <f>IFERROR(__xludf.DUMMYFUNCTION("""COMPUTED_VALUE"""),46217.0)</f>
        <v>46217</v>
      </c>
      <c r="B140" s="2" t="str">
        <f>IFERROR(__xludf.DUMMYFUNCTION("""COMPUTED_VALUE"""),"KARTU DEBIT")</f>
        <v>KARTU DEBIT</v>
      </c>
      <c r="C140" s="2" t="str">
        <f>IFERROR(__xludf.DUMMYFUNCTION("""COMPUTED_VALUE"""),"ALFAMRT Y207 BRTN 6019009510239343")</f>
        <v>ALFAMRT Y207 BRTN 6019009510239343</v>
      </c>
      <c r="D140" s="2">
        <f>IFERROR(__xludf.DUMMYFUNCTION("""COMPUTED_VALUE"""),205800.0)</f>
        <v>205800</v>
      </c>
      <c r="E140" s="2"/>
      <c r="F140" s="2"/>
      <c r="G140" s="2">
        <f>IFERROR(__xludf.DUMMYFUNCTION("""COMPUTED_VALUE"""),1.21560093231E9)</f>
        <v>1215600932</v>
      </c>
      <c r="H140" s="2"/>
      <c r="I140" s="2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IFERROR(__xludf.DUMMYFUNCTION("IFERROR(QUERY(JUL_2023!A:I, ""SELECT * WHERE D IS NOT NULL AND UPPER(I) = 'PRIBADI'"", 1), ""Data PRIBADI belum ditemukan"") "),46206.0)</f>
        <v>46206</v>
      </c>
      <c r="B1" s="2" t="str">
        <f>IFERROR(__xludf.DUMMYFUNCTION("""COMPUTED_VALUE"""),"TRSF E-BANKING DB")</f>
        <v>TRSF E-BANKING DB</v>
      </c>
      <c r="C1" s="2" t="str">
        <f>IFERROR(__xludf.DUMMYFUNCTION("""COMPUTED_VALUE"""),"0307/FTSCY/WS95031 1000000.00 pasuruan SUPRIYADI")</f>
        <v>0307/FTSCY/WS95031 1000000.00 pasuruan SUPRIYADI</v>
      </c>
      <c r="D1" s="2">
        <f>IFERROR(__xludf.DUMMYFUNCTION("""COMPUTED_VALUE"""),1000000.0)</f>
        <v>1000000</v>
      </c>
      <c r="E1" s="2"/>
      <c r="F1" s="2" t="str">
        <f>IFERROR(__xludf.DUMMYFUNCTION("""COMPUTED_VALUE"""),"DB")</f>
        <v>DB</v>
      </c>
      <c r="G1" s="2">
        <f>IFERROR(__xludf.DUMMYFUNCTION("""COMPUTED_VALUE"""),8.4075504031E8)</f>
        <v>840755040.3</v>
      </c>
      <c r="H1" s="2"/>
      <c r="I1" s="2" t="str">
        <f>IFERROR(__xludf.DUMMYFUNCTION("""COMPUTED_VALUE"""),"PRIBADI")</f>
        <v>PRIBADI</v>
      </c>
      <c r="J1" s="2">
        <f>SUM(D1:D1000)</f>
        <v>11563030663</v>
      </c>
    </row>
    <row r="2">
      <c r="A2" s="7">
        <f>IFERROR(__xludf.DUMMYFUNCTION("""COMPUTED_VALUE"""),46206.0)</f>
        <v>46206</v>
      </c>
      <c r="B2" s="2" t="str">
        <f>IFERROR(__xludf.DUMMYFUNCTION("""COMPUTED_VALUE"""),"TRSF E-BANKING DB")</f>
        <v>TRSF E-BANKING DB</v>
      </c>
      <c r="C2" s="2" t="str">
        <f>IFERROR(__xludf.DUMMYFUNCTION("""COMPUTED_VALUE"""),"0307/FTSCY/WS95031 3315060.00 sisa bon 1 jt DIANA NOVITA")</f>
        <v>0307/FTSCY/WS95031 3315060.00 sisa bon 1 jt DIANA NOVITA</v>
      </c>
      <c r="D2" s="2">
        <f>IFERROR(__xludf.DUMMYFUNCTION("""COMPUTED_VALUE"""),3315060.0)</f>
        <v>3315060</v>
      </c>
      <c r="E2" s="2"/>
      <c r="F2" s="2" t="str">
        <f>IFERROR(__xludf.DUMMYFUNCTION("""COMPUTED_VALUE"""),"DB")</f>
        <v>DB</v>
      </c>
      <c r="G2" s="2">
        <f>IFERROR(__xludf.DUMMYFUNCTION("""COMPUTED_VALUE"""),8.3743998031E8)</f>
        <v>837439980.3</v>
      </c>
      <c r="H2" s="2"/>
      <c r="I2" s="2" t="str">
        <f>IFERROR(__xludf.DUMMYFUNCTION("""COMPUTED_VALUE"""),"PRIBADI")</f>
        <v>PRIBADI</v>
      </c>
    </row>
    <row r="3">
      <c r="A3" s="7">
        <f>IFERROR(__xludf.DUMMYFUNCTION("""COMPUTED_VALUE"""),46206.0)</f>
        <v>46206</v>
      </c>
      <c r="B3" s="2" t="str">
        <f>IFERROR(__xludf.DUMMYFUNCTION("""COMPUTED_VALUE"""),"TRSF E-BANKING DB")</f>
        <v>TRSF E-BANKING DB</v>
      </c>
      <c r="C3" s="2" t="str">
        <f>IFERROR(__xludf.DUMMYFUNCTION("""COMPUTED_VALUE"""),"0307/FTSCY/WS95011 130000000.00 jember titip TERNAK SEJATI TABA")</f>
        <v>0307/FTSCY/WS95011 130000000.00 jember titip TERNAK SEJATI TABA</v>
      </c>
      <c r="D3" s="2">
        <f>IFERROR(__xludf.DUMMYFUNCTION("""COMPUTED_VALUE"""),1.3E8)</f>
        <v>130000000</v>
      </c>
      <c r="E3" s="2"/>
      <c r="F3" s="2" t="str">
        <f>IFERROR(__xludf.DUMMYFUNCTION("""COMPUTED_VALUE"""),"DB")</f>
        <v>DB</v>
      </c>
      <c r="G3" s="2">
        <f>IFERROR(__xludf.DUMMYFUNCTION("""COMPUTED_VALUE"""),3.7847456030999994E8)</f>
        <v>378474560.3</v>
      </c>
      <c r="H3" s="2"/>
      <c r="I3" s="2" t="str">
        <f>IFERROR(__xludf.DUMMYFUNCTION("""COMPUTED_VALUE"""),"PRIBADI")</f>
        <v>PRIBADI</v>
      </c>
    </row>
    <row r="4">
      <c r="A4" s="7">
        <f>IFERROR(__xludf.DUMMYFUNCTION("""COMPUTED_VALUE"""),46211.0)</f>
        <v>46211</v>
      </c>
      <c r="B4" s="2" t="str">
        <f>IFERROR(__xludf.DUMMYFUNCTION("""COMPUTED_VALUE"""),"TRSF E-BANKING DB")</f>
        <v>TRSF E-BANKING DB</v>
      </c>
      <c r="C4" s="2" t="str">
        <f>IFERROR(__xludf.DUMMYFUNCTION("""COMPUTED_VALUE"""),"0807/FTSCY/WS95271 64800000.00 Thu Aug 06 2026 14:00:00 GMT+0700 (Western Indonesia Time) ANDALAN YASA MITRA")</f>
        <v>0807/FTSCY/WS95271 64800000.00 Thu Aug 06 2026 14:00:00 GMT+0700 (Western Indonesia Time) ANDALAN YASA MITRA</v>
      </c>
      <c r="D4" s="2">
        <f>IFERROR(__xludf.DUMMYFUNCTION("""COMPUTED_VALUE"""),6.48E7)</f>
        <v>64800000</v>
      </c>
      <c r="E4" s="2"/>
      <c r="F4" s="2" t="str">
        <f>IFERROR(__xludf.DUMMYFUNCTION("""COMPUTED_VALUE"""),"DB")</f>
        <v>DB</v>
      </c>
      <c r="G4" s="2">
        <f>IFERROR(__xludf.DUMMYFUNCTION("""COMPUTED_VALUE"""),3.0132427030999994E8)</f>
        <v>301324270.3</v>
      </c>
      <c r="H4" s="2"/>
      <c r="I4" s="2" t="str">
        <f>IFERROR(__xludf.DUMMYFUNCTION("""COMPUTED_VALUE"""),"PRIBADI")</f>
        <v>PRIBADI</v>
      </c>
    </row>
    <row r="5">
      <c r="A5" s="7">
        <f>IFERROR(__xludf.DUMMYFUNCTION("""COMPUTED_VALUE"""),46211.0)</f>
        <v>46211</v>
      </c>
      <c r="B5" s="2" t="str">
        <f>IFERROR(__xludf.DUMMYFUNCTION("""COMPUTED_VALUE"""),"TRSF E-BANKING DB")</f>
        <v>TRSF E-BANKING DB</v>
      </c>
      <c r="C5" s="2" t="str">
        <f>IFERROR(__xludf.DUMMYFUNCTION("""COMPUTED_VALUE"""),"0807/FTSCY/WS95271 88004300.00 Mon Jul 06 2026 14:00:00 GMT+0700 (Western Indonesia Time) ANDALAN YASA MITRA")</f>
        <v>0807/FTSCY/WS95271 88004300.00 Mon Jul 06 2026 14:00:00 GMT+0700 (Western Indonesia Time) ANDALAN YASA MITRA</v>
      </c>
      <c r="D5" s="2">
        <f>IFERROR(__xludf.DUMMYFUNCTION("""COMPUTED_VALUE"""),8.80043E7)</f>
        <v>88004300</v>
      </c>
      <c r="E5" s="2"/>
      <c r="F5" s="2" t="str">
        <f>IFERROR(__xludf.DUMMYFUNCTION("""COMPUTED_VALUE"""),"DB")</f>
        <v>DB</v>
      </c>
      <c r="G5" s="2">
        <f>IFERROR(__xludf.DUMMYFUNCTION("""COMPUTED_VALUE"""),2.1331997030999994E8)</f>
        <v>213319970.3</v>
      </c>
      <c r="H5" s="2"/>
      <c r="I5" s="2" t="str">
        <f>IFERROR(__xludf.DUMMYFUNCTION("""COMPUTED_VALUE"""),"PRIBADI")</f>
        <v>PRIBADI</v>
      </c>
    </row>
    <row r="6">
      <c r="A6" s="7">
        <f>IFERROR(__xludf.DUMMYFUNCTION("""COMPUTED_VALUE"""),46214.0)</f>
        <v>46214</v>
      </c>
      <c r="B6" s="2" t="str">
        <f>IFERROR(__xludf.DUMMYFUNCTION("""COMPUTED_VALUE"""),"TRSF E-BANKING DB")</f>
        <v>TRSF E-BANKING DB</v>
      </c>
      <c r="C6" s="2" t="str">
        <f>IFERROR(__xludf.DUMMYFUNCTION("""COMPUTED_VALUE"""),"1107/FTSCY/WS95031 1858180.00 NURHAYATI")</f>
        <v>1107/FTSCY/WS95031 1858180.00 NURHAYATI</v>
      </c>
      <c r="D6" s="2">
        <f>IFERROR(__xludf.DUMMYFUNCTION("""COMPUTED_VALUE"""),1858180.0)</f>
        <v>1858180</v>
      </c>
      <c r="E6" s="2"/>
      <c r="F6" s="2" t="str">
        <f>IFERROR(__xludf.DUMMYFUNCTION("""COMPUTED_VALUE"""),"DB")</f>
        <v>DB</v>
      </c>
      <c r="G6" s="2">
        <f>IFERROR(__xludf.DUMMYFUNCTION("""COMPUTED_VALUE"""),8.997627030999994E7)</f>
        <v>89976270.31</v>
      </c>
      <c r="H6" s="2"/>
      <c r="I6" s="2" t="str">
        <f>IFERROR(__xludf.DUMMYFUNCTION("""COMPUTED_VALUE"""),"PRIBADI")</f>
        <v>PRIBADI</v>
      </c>
    </row>
    <row r="7">
      <c r="A7" s="7">
        <f>IFERROR(__xludf.DUMMYFUNCTION("""COMPUTED_VALUE"""),46214.0)</f>
        <v>46214</v>
      </c>
      <c r="B7" s="2" t="str">
        <f>IFERROR(__xludf.DUMMYFUNCTION("""COMPUTED_VALUE"""),"TRSF E-BANKING DB")</f>
        <v>TRSF E-BANKING DB</v>
      </c>
      <c r="C7" s="2" t="str">
        <f>IFERROR(__xludf.DUMMYFUNCTION("""COMPUTED_VALUE"""),"1107/FTSCY/WS95031 1502820.00 pasuruan FAJAR ANDREANZAH")</f>
        <v>1107/FTSCY/WS95031 1502820.00 pasuruan FAJAR ANDREANZAH</v>
      </c>
      <c r="D7" s="2">
        <f>IFERROR(__xludf.DUMMYFUNCTION("""COMPUTED_VALUE"""),1502820.0)</f>
        <v>1502820</v>
      </c>
      <c r="E7" s="2"/>
      <c r="F7" s="2" t="str">
        <f>IFERROR(__xludf.DUMMYFUNCTION("""COMPUTED_VALUE"""),"DB")</f>
        <v>DB</v>
      </c>
      <c r="G7" s="2">
        <f>IFERROR(__xludf.DUMMYFUNCTION("""COMPUTED_VALUE"""),8.847345030999994E7)</f>
        <v>88473450.31</v>
      </c>
      <c r="H7" s="2"/>
      <c r="I7" s="2" t="str">
        <f>IFERROR(__xludf.DUMMYFUNCTION("""COMPUTED_VALUE"""),"PRIBADI")</f>
        <v>PRIBADI</v>
      </c>
    </row>
    <row r="8">
      <c r="A8" s="7">
        <f>IFERROR(__xludf.DUMMYFUNCTION("""COMPUTED_VALUE"""),46214.0)</f>
        <v>46214</v>
      </c>
      <c r="B8" s="2" t="str">
        <f>IFERROR(__xludf.DUMMYFUNCTION("""COMPUTED_VALUE"""),"TRSF E-BANKING DB")</f>
        <v>TRSF E-BANKING DB</v>
      </c>
      <c r="C8" s="2" t="str">
        <f>IFERROR(__xludf.DUMMYFUNCTION("""COMPUTED_VALUE"""),"1107/FTSCY/WS95031 2101130.00 DWI HERMANSYAH")</f>
        <v>1107/FTSCY/WS95031 2101130.00 DWI HERMANSYAH</v>
      </c>
      <c r="D8" s="2">
        <f>IFERROR(__xludf.DUMMYFUNCTION("""COMPUTED_VALUE"""),2101130.0)</f>
        <v>2101130</v>
      </c>
      <c r="E8" s="2"/>
      <c r="F8" s="2" t="str">
        <f>IFERROR(__xludf.DUMMYFUNCTION("""COMPUTED_VALUE"""),"DB")</f>
        <v>DB</v>
      </c>
      <c r="G8" s="2">
        <f>IFERROR(__xludf.DUMMYFUNCTION("""COMPUTED_VALUE"""),8.637232030999994E7)</f>
        <v>86372320.31</v>
      </c>
      <c r="H8" s="2">
        <f>IFERROR(__xludf.DUMMYFUNCTION("""COMPUTED_VALUE"""),8.637232031E7)</f>
        <v>86372320.31</v>
      </c>
      <c r="I8" s="2" t="str">
        <f>IFERROR(__xludf.DUMMYFUNCTION("""COMPUTED_VALUE"""),"PRIBADI")</f>
        <v>PRIBADI</v>
      </c>
    </row>
    <row r="9">
      <c r="A9" s="7">
        <f>IFERROR(__xludf.DUMMYFUNCTION("""COMPUTED_VALUE"""),46215.0)</f>
        <v>46215</v>
      </c>
      <c r="B9" s="2" t="str">
        <f>IFERROR(__xludf.DUMMYFUNCTION("""COMPUTED_VALUE"""),"TRSF E-BANKING DB")</f>
        <v>TRSF E-BANKING DB</v>
      </c>
      <c r="C9" s="2" t="str">
        <f>IFERROR(__xludf.DUMMYFUNCTION("""COMPUTED_VALUE"""),"1207/FTSCY/WS95031 7982490.00 lunas HERMAWAN")</f>
        <v>1207/FTSCY/WS95031 7982490.00 lunas HERMAWAN</v>
      </c>
      <c r="D9" s="2">
        <f>IFERROR(__xludf.DUMMYFUNCTION("""COMPUTED_VALUE"""),7982490.0)</f>
        <v>7982490</v>
      </c>
      <c r="E9" s="2"/>
      <c r="F9" s="2" t="str">
        <f>IFERROR(__xludf.DUMMYFUNCTION("""COMPUTED_VALUE"""),"DB")</f>
        <v>DB</v>
      </c>
      <c r="G9" s="2">
        <f>IFERROR(__xludf.DUMMYFUNCTION("""COMPUTED_VALUE"""),1.3835446030999994E8)</f>
        <v>138354460.3</v>
      </c>
      <c r="H9" s="2"/>
      <c r="I9" s="2" t="str">
        <f>IFERROR(__xludf.DUMMYFUNCTION("""COMPUTED_VALUE"""),"PRIBADI")</f>
        <v>PRIBADI</v>
      </c>
    </row>
    <row r="10">
      <c r="A10" s="7">
        <f>IFERROR(__xludf.DUMMYFUNCTION("""COMPUTED_VALUE"""),46215.0)</f>
        <v>46215</v>
      </c>
      <c r="B10" s="2" t="str">
        <f>IFERROR(__xludf.DUMMYFUNCTION("""COMPUTED_VALUE"""),"TRSF E-BANKING DB")</f>
        <v>TRSF E-BANKING DB</v>
      </c>
      <c r="C10" s="2" t="str">
        <f>IFERROR(__xludf.DUMMYFUNCTION("""COMPUTED_VALUE"""),"1207/FTSCY/WS95031 7408500.00 lunas MUJIANTO")</f>
        <v>1207/FTSCY/WS95031 7408500.00 lunas MUJIANTO</v>
      </c>
      <c r="D10" s="2">
        <f>IFERROR(__xludf.DUMMYFUNCTION("""COMPUTED_VALUE"""),7408500.0)</f>
        <v>7408500</v>
      </c>
      <c r="E10" s="2"/>
      <c r="F10" s="2" t="str">
        <f>IFERROR(__xludf.DUMMYFUNCTION("""COMPUTED_VALUE"""),"DB")</f>
        <v>DB</v>
      </c>
      <c r="G10" s="2">
        <f>IFERROR(__xludf.DUMMYFUNCTION("""COMPUTED_VALUE"""),1.3094596030999994E8)</f>
        <v>130945960.3</v>
      </c>
      <c r="H10" s="2"/>
      <c r="I10" s="2" t="str">
        <f>IFERROR(__xludf.DUMMYFUNCTION("""COMPUTED_VALUE"""),"PRIBADI")</f>
        <v>PRIBADI</v>
      </c>
    </row>
    <row r="11">
      <c r="A11" s="7">
        <f>IFERROR(__xludf.DUMMYFUNCTION("""COMPUTED_VALUE"""),46215.0)</f>
        <v>46215</v>
      </c>
      <c r="B11" s="2" t="str">
        <f>IFERROR(__xludf.DUMMYFUNCTION("""COMPUTED_VALUE"""),"TRSF E-BANKING DB")</f>
        <v>TRSF E-BANKING DB</v>
      </c>
      <c r="C11" s="2" t="str">
        <f>IFERROR(__xludf.DUMMYFUNCTION("""COMPUTED_VALUE"""),"1207/FTFVA/WS95031 55569/PT PRIMA FAJ titip - 40190")</f>
        <v>1207/FTFVA/WS95031 55569/PT PRIMA FAJ titip - 40190</v>
      </c>
      <c r="D11" s="2">
        <f>IFERROR(__xludf.DUMMYFUNCTION("""COMPUTED_VALUE"""),1.0E8)</f>
        <v>100000000</v>
      </c>
      <c r="E11" s="2"/>
      <c r="F11" s="2" t="str">
        <f>IFERROR(__xludf.DUMMYFUNCTION("""COMPUTED_VALUE"""),"DB")</f>
        <v>DB</v>
      </c>
      <c r="G11" s="2">
        <f>IFERROR(__xludf.DUMMYFUNCTION("""COMPUTED_VALUE"""),3.0945960309999943E7)</f>
        <v>30945960.31</v>
      </c>
      <c r="H11" s="2"/>
      <c r="I11" s="2" t="str">
        <f>IFERROR(__xludf.DUMMYFUNCTION("""COMPUTED_VALUE"""),"PRIBADI")</f>
        <v>PRIBADI</v>
      </c>
    </row>
    <row r="12">
      <c r="A12" s="7">
        <f>IFERROR(__xludf.DUMMYFUNCTION("""COMPUTED_VALUE"""),46215.0)</f>
        <v>46215</v>
      </c>
      <c r="B12" s="2" t="str">
        <f>IFERROR(__xludf.DUMMYFUNCTION("""COMPUTED_VALUE"""),"TARIKAN ATM 12/07")</f>
        <v>TARIKAN ATM 12/07</v>
      </c>
      <c r="C12" s="2" t="str">
        <f>IFERROR(__xludf.DUMMYFUNCTION("""COMPUTED_VALUE"""),"TARIKAN ATM 12/07")</f>
        <v>TARIKAN ATM 12/07</v>
      </c>
      <c r="D12" s="2">
        <f>IFERROR(__xludf.DUMMYFUNCTION("""COMPUTED_VALUE"""),100000.0)</f>
        <v>100000</v>
      </c>
      <c r="E12" s="2"/>
      <c r="F12" s="2"/>
      <c r="G12" s="2">
        <f>IFERROR(__xludf.DUMMYFUNCTION("""COMPUTED_VALUE"""),3.0845960309999943E7)</f>
        <v>30845960.31</v>
      </c>
      <c r="H12" s="2"/>
      <c r="I12" s="2" t="str">
        <f>IFERROR(__xludf.DUMMYFUNCTION("""COMPUTED_VALUE"""),"PRIBADI")</f>
        <v>PRIBADI</v>
      </c>
    </row>
    <row r="13">
      <c r="A13" s="7">
        <f>IFERROR(__xludf.DUMMYFUNCTION("""COMPUTED_VALUE"""),46215.0)</f>
        <v>46215</v>
      </c>
      <c r="B13" s="2" t="str">
        <f>IFERROR(__xludf.DUMMYFUNCTION("""COMPUTED_VALUE"""),"TRSF E-BANKING DB")</f>
        <v>TRSF E-BANKING DB</v>
      </c>
      <c r="C13" s="2" t="str">
        <f>IFERROR(__xludf.DUMMYFUNCTION("""COMPUTED_VALUE"""),"1207/FTSCY/WS95031 15000000.00 EKO SETIYAWAN")</f>
        <v>1207/FTSCY/WS95031 15000000.00 EKO SETIYAWAN</v>
      </c>
      <c r="D13" s="2">
        <f>IFERROR(__xludf.DUMMYFUNCTION("""COMPUTED_VALUE"""),1.5E7)</f>
        <v>15000000</v>
      </c>
      <c r="E13" s="2"/>
      <c r="F13" s="2" t="str">
        <f>IFERROR(__xludf.DUMMYFUNCTION("""COMPUTED_VALUE"""),"DB")</f>
        <v>DB</v>
      </c>
      <c r="G13" s="2">
        <f>IFERROR(__xludf.DUMMYFUNCTION("""COMPUTED_VALUE"""),6.8574489031E8)</f>
        <v>685744890.3</v>
      </c>
      <c r="H13" s="2"/>
      <c r="I13" s="2" t="str">
        <f>IFERROR(__xludf.DUMMYFUNCTION("""COMPUTED_VALUE"""),"PRIBADI")</f>
        <v>PRIBADI</v>
      </c>
    </row>
    <row r="14">
      <c r="A14" s="7">
        <f>IFERROR(__xludf.DUMMYFUNCTION("""COMPUTED_VALUE"""),46215.0)</f>
        <v>46215</v>
      </c>
      <c r="B14" s="2" t="str">
        <f>IFERROR(__xludf.DUMMYFUNCTION("""COMPUTED_VALUE"""),"TRSF E-BANKING DB")</f>
        <v>TRSF E-BANKING DB</v>
      </c>
      <c r="C14" s="2" t="str">
        <f>IFERROR(__xludf.DUMMYFUNCTION("""COMPUTED_VALUE"""),"1207/FTFVA/WS95031 55569/PT PRIMA FAJ titip 200jt - 40190")</f>
        <v>1207/FTFVA/WS95031 55569/PT PRIMA FAJ titip 200jt - 40190</v>
      </c>
      <c r="D14" s="2">
        <f>IFERROR(__xludf.DUMMYFUNCTION("""COMPUTED_VALUE"""),1.0E8)</f>
        <v>100000000</v>
      </c>
      <c r="E14" s="2"/>
      <c r="F14" s="2" t="str">
        <f>IFERROR(__xludf.DUMMYFUNCTION("""COMPUTED_VALUE"""),"DB")</f>
        <v>DB</v>
      </c>
      <c r="G14" s="2">
        <f>IFERROR(__xludf.DUMMYFUNCTION("""COMPUTED_VALUE"""),5.8574489031E8)</f>
        <v>585744890.3</v>
      </c>
      <c r="H14" s="2"/>
      <c r="I14" s="2" t="str">
        <f>IFERROR(__xludf.DUMMYFUNCTION("""COMPUTED_VALUE"""),"PRIBADI")</f>
        <v>PRIBADI</v>
      </c>
    </row>
    <row r="15">
      <c r="A15" s="7">
        <f>IFERROR(__xludf.DUMMYFUNCTION("""COMPUTED_VALUE"""),46215.0)</f>
        <v>46215</v>
      </c>
      <c r="B15" s="2" t="str">
        <f>IFERROR(__xludf.DUMMYFUNCTION("""COMPUTED_VALUE"""),"TRSF E-BANKING DB")</f>
        <v>TRSF E-BANKING DB</v>
      </c>
      <c r="C15" s="2" t="str">
        <f>IFERROR(__xludf.DUMMYFUNCTION("""COMPUTED_VALUE"""),"1207/FTSCY/WS95271 77178300.00 madiun UNGGAS MANDIRI BER")</f>
        <v>1207/FTSCY/WS95271 77178300.00 madiun UNGGAS MANDIRI BER</v>
      </c>
      <c r="D15" s="2">
        <f>IFERROR(__xludf.DUMMYFUNCTION("""COMPUTED_VALUE"""),7.71783E7)</f>
        <v>77178300</v>
      </c>
      <c r="E15" s="2"/>
      <c r="F15" s="2" t="str">
        <f>IFERROR(__xludf.DUMMYFUNCTION("""COMPUTED_VALUE"""),"DB")</f>
        <v>DB</v>
      </c>
      <c r="G15" s="2">
        <f>IFERROR(__xludf.DUMMYFUNCTION("""COMPUTED_VALUE"""),5.0856659030999994E8)</f>
        <v>508566590.3</v>
      </c>
      <c r="H15" s="2"/>
      <c r="I15" s="2" t="str">
        <f>IFERROR(__xludf.DUMMYFUNCTION("""COMPUTED_VALUE"""),"PRIBADI")</f>
        <v>PRIBADI</v>
      </c>
    </row>
    <row r="16">
      <c r="A16" s="7">
        <f>IFERROR(__xludf.DUMMYFUNCTION("""COMPUTED_VALUE"""),46216.0)</f>
        <v>46216</v>
      </c>
      <c r="B16" s="2" t="str">
        <f>IFERROR(__xludf.DUMMYFUNCTION("""COMPUTED_VALUE"""),"TRSF E-BANKING DB")</f>
        <v>TRSF E-BANKING DB</v>
      </c>
      <c r="C16" s="2" t="str">
        <f>IFERROR(__xludf.DUMMYFUNCTION("""COMPUTED_VALUE"""),"1307/FTSCY/WS95031 100000000.00 titip TABASSAM AZ ZUFAR")</f>
        <v>1307/FTSCY/WS95031 100000000.00 titip TABASSAM AZ ZUFAR</v>
      </c>
      <c r="D16" s="2">
        <f>IFERROR(__xludf.DUMMYFUNCTION("""COMPUTED_VALUE"""),1.0E8)</f>
        <v>100000000</v>
      </c>
      <c r="E16" s="2"/>
      <c r="F16" s="2" t="str">
        <f>IFERROR(__xludf.DUMMYFUNCTION("""COMPUTED_VALUE"""),"DB")</f>
        <v>DB</v>
      </c>
      <c r="G16" s="2">
        <f>IFERROR(__xludf.DUMMYFUNCTION("""COMPUTED_VALUE"""),1.6591094030999994E8)</f>
        <v>165910940.3</v>
      </c>
      <c r="H16" s="2">
        <f>IFERROR(__xludf.DUMMYFUNCTION("""COMPUTED_VALUE"""),1.6591094031E8)</f>
        <v>165910940.3</v>
      </c>
      <c r="I16" s="2" t="str">
        <f>IFERROR(__xludf.DUMMYFUNCTION("""COMPUTED_VALUE"""),"PRIBADI")</f>
        <v>PRIBADI</v>
      </c>
    </row>
    <row r="17">
      <c r="A17" s="7">
        <f>IFERROR(__xludf.DUMMYFUNCTION("""COMPUTED_VALUE"""),46216.0)</f>
        <v>46216</v>
      </c>
      <c r="B17" s="2" t="str">
        <f>IFERROR(__xludf.DUMMYFUNCTION("""COMPUTED_VALUE"""),"TRSF E-BANKING DB")</f>
        <v>TRSF E-BANKING DB</v>
      </c>
      <c r="C17" s="2" t="str">
        <f>IFERROR(__xludf.DUMMYFUNCTION("""COMPUTED_VALUE"""),"1307/FTSCY/WS95271 3708540.00 pasuruan DWI HERMANSYAH")</f>
        <v>1307/FTSCY/WS95271 3708540.00 pasuruan DWI HERMANSYAH</v>
      </c>
      <c r="D17" s="2">
        <f>IFERROR(__xludf.DUMMYFUNCTION("""COMPUTED_VALUE"""),3708540.0)</f>
        <v>3708540</v>
      </c>
      <c r="E17" s="2"/>
      <c r="F17" s="2" t="str">
        <f>IFERROR(__xludf.DUMMYFUNCTION("""COMPUTED_VALUE"""),"DB")</f>
        <v>DB</v>
      </c>
      <c r="G17" s="2">
        <f>IFERROR(__xludf.DUMMYFUNCTION("""COMPUTED_VALUE"""),1.6220240030999994E8)</f>
        <v>162202400.3</v>
      </c>
      <c r="H17" s="2"/>
      <c r="I17" s="2" t="str">
        <f>IFERROR(__xludf.DUMMYFUNCTION("""COMPUTED_VALUE"""),"PRIBADI")</f>
        <v>PRIBADI</v>
      </c>
    </row>
    <row r="18">
      <c r="A18" s="7">
        <f>IFERROR(__xludf.DUMMYFUNCTION("""COMPUTED_VALUE"""),46216.0)</f>
        <v>46216</v>
      </c>
      <c r="B18" s="2" t="str">
        <f>IFERROR(__xludf.DUMMYFUNCTION("""COMPUTED_VALUE"""),"TRSF E-BANKING DB")</f>
        <v>TRSF E-BANKING DB</v>
      </c>
      <c r="C18" s="2" t="str">
        <f>IFERROR(__xludf.DUMMYFUNCTION("""COMPUTED_VALUE"""),"1307/FTSCY/WS95271 5802850.00 MUJIANTO")</f>
        <v>1307/FTSCY/WS95271 5802850.00 MUJIANTO</v>
      </c>
      <c r="D18" s="2">
        <f>IFERROR(__xludf.DUMMYFUNCTION("""COMPUTED_VALUE"""),5802850.0)</f>
        <v>5802850</v>
      </c>
      <c r="E18" s="2"/>
      <c r="F18" s="2" t="str">
        <f>IFERROR(__xludf.DUMMYFUNCTION("""COMPUTED_VALUE"""),"DB")</f>
        <v>DB</v>
      </c>
      <c r="G18" s="2">
        <f>IFERROR(__xludf.DUMMYFUNCTION("""COMPUTED_VALUE"""),1.5261355030999994E8)</f>
        <v>152613550.3</v>
      </c>
      <c r="H18" s="2"/>
      <c r="I18" s="2" t="str">
        <f>IFERROR(__xludf.DUMMYFUNCTION("""COMPUTED_VALUE"""),"PRIBADI")</f>
        <v>PRIBADI</v>
      </c>
    </row>
    <row r="19">
      <c r="A19" s="7">
        <f>IFERROR(__xludf.DUMMYFUNCTION("""COMPUTED_VALUE"""),46216.0)</f>
        <v>46216</v>
      </c>
      <c r="B19" s="2" t="str">
        <f>IFERROR(__xludf.DUMMYFUNCTION("""COMPUTED_VALUE"""),"TRSF E-BANKING DB")</f>
        <v>TRSF E-BANKING DB</v>
      </c>
      <c r="C19" s="2" t="str">
        <f>IFERROR(__xludf.DUMMYFUNCTION("""COMPUTED_VALUE"""),"1307/FTSCY/WS95271 47979050.00 pelunasan GANESHA SATRIA NUS")</f>
        <v>1307/FTSCY/WS95271 47979050.00 pelunasan GANESHA SATRIA NUS</v>
      </c>
      <c r="D19" s="2">
        <f>IFERROR(__xludf.DUMMYFUNCTION("""COMPUTED_VALUE"""),4.797905E7)</f>
        <v>47979050</v>
      </c>
      <c r="E19" s="2"/>
      <c r="F19" s="2" t="str">
        <f>IFERROR(__xludf.DUMMYFUNCTION("""COMPUTED_VALUE"""),"DB")</f>
        <v>DB</v>
      </c>
      <c r="G19" s="2">
        <f>IFERROR(__xludf.DUMMYFUNCTION("""COMPUTED_VALUE"""),1.0271695030999994E8)</f>
        <v>102716950.3</v>
      </c>
      <c r="H19" s="2"/>
      <c r="I19" s="2" t="str">
        <f>IFERROR(__xludf.DUMMYFUNCTION("""COMPUTED_VALUE"""),"PRIBADI")</f>
        <v>PRIBADI</v>
      </c>
    </row>
    <row r="20">
      <c r="A20" s="7">
        <f>IFERROR(__xludf.DUMMYFUNCTION("""COMPUTED_VALUE"""),46216.0)</f>
        <v>46216</v>
      </c>
      <c r="B20" s="2" t="str">
        <f>IFERROR(__xludf.DUMMYFUNCTION("""COMPUTED_VALUE"""),"KARTU DEBIT")</f>
        <v>KARTU DEBIT</v>
      </c>
      <c r="C20" s="2" t="str">
        <f>IFERROR(__xludf.DUMMYFUNCTION("""COMPUTED_VALUE"""),"ALFAMRT Y207 BRTN 6019009510239343")</f>
        <v>ALFAMRT Y207 BRTN 6019009510239343</v>
      </c>
      <c r="D20" s="2">
        <f>IFERROR(__xludf.DUMMYFUNCTION("""COMPUTED_VALUE"""),86900.0)</f>
        <v>86900</v>
      </c>
      <c r="E20" s="2"/>
      <c r="F20" s="2"/>
      <c r="G20" s="2">
        <f>IFERROR(__xludf.DUMMYFUNCTION("""COMPUTED_VALUE"""),8.3542766531E8)</f>
        <v>835427665.3</v>
      </c>
      <c r="H20" s="2"/>
      <c r="I20" s="2" t="str">
        <f>IFERROR(__xludf.DUMMYFUNCTION("""COMPUTED_VALUE"""),"PRIBADI")</f>
        <v>PRIBADI</v>
      </c>
    </row>
    <row r="21">
      <c r="A21" s="7">
        <f>IFERROR(__xludf.DUMMYFUNCTION("""COMPUTED_VALUE"""),46216.0)</f>
        <v>46216</v>
      </c>
      <c r="B21" s="2" t="str">
        <f>IFERROR(__xludf.DUMMYFUNCTION("""COMPUTED_VALUE"""),"TRSF E-BANKING DB")</f>
        <v>TRSF E-BANKING DB</v>
      </c>
      <c r="C21" s="2" t="str">
        <f>IFERROR(__xludf.DUMMYFUNCTION("""COMPUTED_VALUE"""),"1307/FTFVA/WS95031 55569/PT PRIMA FAJ pelunasan - 40190")</f>
        <v>1307/FTFVA/WS95031 55569/PT PRIMA FAJ pelunasan - 40190</v>
      </c>
      <c r="D21" s="2">
        <f>IFERROR(__xludf.DUMMYFUNCTION("""COMPUTED_VALUE"""),3.16E7)</f>
        <v>31600000</v>
      </c>
      <c r="E21" s="2"/>
      <c r="F21" s="2" t="str">
        <f>IFERROR(__xludf.DUMMYFUNCTION("""COMPUTED_VALUE"""),"DB")</f>
        <v>DB</v>
      </c>
      <c r="G21" s="2">
        <f>IFERROR(__xludf.DUMMYFUNCTION("""COMPUTED_VALUE"""),8.0382766531E8)</f>
        <v>803827665.3</v>
      </c>
      <c r="H21" s="2"/>
      <c r="I21" s="2" t="str">
        <f>IFERROR(__xludf.DUMMYFUNCTION("""COMPUTED_VALUE"""),"PRIBADI")</f>
        <v>PRIBADI</v>
      </c>
    </row>
    <row r="22">
      <c r="A22" s="7">
        <f>IFERROR(__xludf.DUMMYFUNCTION("""COMPUTED_VALUE"""),46216.0)</f>
        <v>46216</v>
      </c>
      <c r="B22" s="2" t="str">
        <f>IFERROR(__xludf.DUMMYFUNCTION("""COMPUTED_VALUE"""),"TRSF E-BANKING DB")</f>
        <v>TRSF E-BANKING DB</v>
      </c>
      <c r="C22" s="2" t="str">
        <f>IFERROR(__xludf.DUMMYFUNCTION("""COMPUTED_VALUE"""),"1307/FTSCY/WS95271 4800000.00 pelunasan UNGGAS MANDIRI BER")</f>
        <v>1307/FTSCY/WS95271 4800000.00 pelunasan UNGGAS MANDIRI BER</v>
      </c>
      <c r="D22" s="2">
        <f>IFERROR(__xludf.DUMMYFUNCTION("""COMPUTED_VALUE"""),4800000.0)</f>
        <v>4800000</v>
      </c>
      <c r="E22" s="2"/>
      <c r="F22" s="2" t="str">
        <f>IFERROR(__xludf.DUMMYFUNCTION("""COMPUTED_VALUE"""),"DB")</f>
        <v>DB</v>
      </c>
      <c r="G22" s="2">
        <f>IFERROR(__xludf.DUMMYFUNCTION("""COMPUTED_VALUE"""),7.9902766531E8)</f>
        <v>799027665.3</v>
      </c>
      <c r="H22" s="2"/>
      <c r="I22" s="2" t="str">
        <f>IFERROR(__xludf.DUMMYFUNCTION("""COMPUTED_VALUE"""),"PRIBADI")</f>
        <v>PRIBADI</v>
      </c>
    </row>
    <row r="23">
      <c r="A23" s="7">
        <f>IFERROR(__xludf.DUMMYFUNCTION("""COMPUTED_VALUE"""),46216.0)</f>
        <v>46216</v>
      </c>
      <c r="B23" s="2" t="str">
        <f>IFERROR(__xludf.DUMMYFUNCTION("""COMPUTED_VALUE"""),"TRSF E-BANKING DB")</f>
        <v>TRSF E-BANKING DB</v>
      </c>
      <c r="C23" s="2" t="str">
        <f>IFERROR(__xludf.DUMMYFUNCTION("""COMPUTED_VALUE"""),"1307/FTSCY/WS95011 396558300.00 Sat Jul 11 2026 14:00:00 GMT+0700 (Western Indonesia Time) LAJU SATWA WISESA")</f>
        <v>1307/FTSCY/WS95011 396558300.00 Sat Jul 11 2026 14:00:00 GMT+0700 (Western Indonesia Time) LAJU SATWA WISESA</v>
      </c>
      <c r="D23" s="2">
        <f>IFERROR(__xludf.DUMMYFUNCTION("""COMPUTED_VALUE"""),3.965583E8)</f>
        <v>396558300</v>
      </c>
      <c r="E23" s="2"/>
      <c r="F23" s="2" t="str">
        <f>IFERROR(__xludf.DUMMYFUNCTION("""COMPUTED_VALUE"""),"DB")</f>
        <v>DB</v>
      </c>
      <c r="G23" s="2">
        <f>IFERROR(__xludf.DUMMYFUNCTION("""COMPUTED_VALUE"""),4.0246936530999994E8)</f>
        <v>402469365.3</v>
      </c>
      <c r="H23" s="2"/>
      <c r="I23" s="2" t="str">
        <f>IFERROR(__xludf.DUMMYFUNCTION("""COMPUTED_VALUE"""),"PRIBADI")</f>
        <v>PRIBADI</v>
      </c>
    </row>
    <row r="24">
      <c r="A24" s="7">
        <f>IFERROR(__xludf.DUMMYFUNCTION("""COMPUTED_VALUE"""),46216.0)</f>
        <v>46216</v>
      </c>
      <c r="B24" s="2" t="str">
        <f>IFERROR(__xludf.DUMMYFUNCTION("""COMPUTED_VALUE"""),"TRSF E-BANKING DB")</f>
        <v>TRSF E-BANKING DB</v>
      </c>
      <c r="C24" s="2" t="str">
        <f>IFERROR(__xludf.DUMMYFUNCTION("""COMPUTED_VALUE"""),"1307/FTSCY/WS95011 102949600.00 Sat Jul 11 2026 14:00:00 GMT+0700 (Western Indonesia Time) LAJU SATWA WISESA")</f>
        <v>1307/FTSCY/WS95011 102949600.00 Sat Jul 11 2026 14:00:00 GMT+0700 (Western Indonesia Time) LAJU SATWA WISESA</v>
      </c>
      <c r="D24" s="2">
        <f>IFERROR(__xludf.DUMMYFUNCTION("""COMPUTED_VALUE"""),1.029496E8)</f>
        <v>102949600</v>
      </c>
      <c r="E24" s="2"/>
      <c r="F24" s="2" t="str">
        <f>IFERROR(__xludf.DUMMYFUNCTION("""COMPUTED_VALUE"""),"DB")</f>
        <v>DB</v>
      </c>
      <c r="G24" s="2">
        <f>IFERROR(__xludf.DUMMYFUNCTION("""COMPUTED_VALUE"""),2.9951976530999994E8)</f>
        <v>299519765.3</v>
      </c>
      <c r="H24" s="2"/>
      <c r="I24" s="2" t="str">
        <f>IFERROR(__xludf.DUMMYFUNCTION("""COMPUTED_VALUE"""),"PRIBADI")</f>
        <v>PRIBADI</v>
      </c>
    </row>
    <row r="25">
      <c r="A25" s="7">
        <f>IFERROR(__xludf.DUMMYFUNCTION("""COMPUTED_VALUE"""),46217.0)</f>
        <v>46217</v>
      </c>
      <c r="B25" s="2" t="str">
        <f>IFERROR(__xludf.DUMMYFUNCTION("""COMPUTED_VALUE"""),"TRSF E-BANKING DB TANGGAL :13/07")</f>
        <v>TRSF E-BANKING DB TANGGAL :13/07</v>
      </c>
      <c r="C25" s="2" t="str">
        <f>IFERROR(__xludf.DUMMYFUNCTION("""COMPUTED_VALUE"""),"1307/FTSCY/WS95271 HERMAWAN")</f>
        <v>1307/FTSCY/WS95271 HERMAWAN</v>
      </c>
      <c r="D25" s="2">
        <f>IFERROR(__xludf.DUMMYFUNCTION("""COMPUTED_VALUE"""),2078740.0)</f>
        <v>2078740</v>
      </c>
      <c r="E25" s="2"/>
      <c r="F25" s="2" t="str">
        <f>IFERROR(__xludf.DUMMYFUNCTION("""COMPUTED_VALUE"""),"DB")</f>
        <v>DB</v>
      </c>
      <c r="G25" s="2">
        <f>IFERROR(__xludf.DUMMYFUNCTION("""COMPUTED_VALUE"""),2.9619502530999994E8)</f>
        <v>296195025.3</v>
      </c>
      <c r="H25" s="2">
        <f>IFERROR(__xludf.DUMMYFUNCTION("""COMPUTED_VALUE"""),2.9619502531E8)</f>
        <v>296195025.3</v>
      </c>
      <c r="I25" s="2" t="str">
        <f>IFERROR(__xludf.DUMMYFUNCTION("""COMPUTED_VALUE"""),"PRIBADI")</f>
        <v>PRIBADI</v>
      </c>
    </row>
    <row r="26">
      <c r="A26" s="7">
        <f>IFERROR(__xludf.DUMMYFUNCTION("""COMPUTED_VALUE"""),46222.0)</f>
        <v>46222</v>
      </c>
      <c r="B26" s="2" t="str">
        <f>IFERROR(__xludf.DUMMYFUNCTION("""COMPUTED_VALUE"""),"TRSF E-BANKING DB")</f>
        <v>TRSF E-BANKING DB</v>
      </c>
      <c r="C26" s="2" t="str">
        <f>IFERROR(__xludf.DUMMYFUNCTION("""COMPUTED_VALUE"""),"1907/FTSCY/WS95031 48500000.00 titip TABASSAM AL HATTAK")</f>
        <v>1907/FTSCY/WS95031 48500000.00 titip TABASSAM AL HATTAK</v>
      </c>
      <c r="D26" s="2">
        <f>IFERROR(__xludf.DUMMYFUNCTION("""COMPUTED_VALUE"""),4.85E7)</f>
        <v>48500000</v>
      </c>
      <c r="E26" s="2"/>
      <c r="F26" s="2" t="str">
        <f>IFERROR(__xludf.DUMMYFUNCTION("""COMPUTED_VALUE"""),"DB")</f>
        <v>DB</v>
      </c>
      <c r="G26" s="2">
        <f>IFERROR(__xludf.DUMMYFUNCTION("""COMPUTED_VALUE"""),110827.30999994278)</f>
        <v>110827.31</v>
      </c>
      <c r="H26" s="2">
        <f>IFERROR(__xludf.DUMMYFUNCTION("""COMPUTED_VALUE"""),110827.31)</f>
        <v>110827.31</v>
      </c>
      <c r="I26" s="2" t="str">
        <f>IFERROR(__xludf.DUMMYFUNCTION("""COMPUTED_VALUE"""),"PRIBADI")</f>
        <v>PRIBADI</v>
      </c>
    </row>
    <row r="27">
      <c r="A27" s="7">
        <f>IFERROR(__xludf.DUMMYFUNCTION("""COMPUTED_VALUE"""),46223.0)</f>
        <v>46223</v>
      </c>
      <c r="B27" s="2" t="str">
        <f>IFERROR(__xludf.DUMMYFUNCTION("""COMPUTED_VALUE"""),"TRSF E-BANKING DB")</f>
        <v>TRSF E-BANKING DB</v>
      </c>
      <c r="C27" s="2" t="str">
        <f>IFERROR(__xludf.DUMMYFUNCTION("""COMPUTED_VALUE"""),"2007/FTFVA/WS95031 55569/PT PRIMA FAJ titip - 40190")</f>
        <v>2007/FTFVA/WS95031 55569/PT PRIMA FAJ titip - 40190</v>
      </c>
      <c r="D27" s="2">
        <f>IFERROR(__xludf.DUMMYFUNCTION("""COMPUTED_VALUE"""),7.0E7)</f>
        <v>70000000</v>
      </c>
      <c r="E27" s="2"/>
      <c r="F27" s="2" t="str">
        <f>IFERROR(__xludf.DUMMYFUNCTION("""COMPUTED_VALUE"""),"DB")</f>
        <v>DB</v>
      </c>
      <c r="G27" s="2">
        <f>IFERROR(__xludf.DUMMYFUNCTION("""COMPUTED_VALUE"""),1.1110827309999943E7)</f>
        <v>11110827.31</v>
      </c>
      <c r="H27" s="2"/>
      <c r="I27" s="2" t="str">
        <f>IFERROR(__xludf.DUMMYFUNCTION("""COMPUTED_VALUE"""),"PRIBADI")</f>
        <v>PRIBADI</v>
      </c>
    </row>
    <row r="28">
      <c r="A28" s="7">
        <f>IFERROR(__xludf.DUMMYFUNCTION("""COMPUTED_VALUE"""),46223.0)</f>
        <v>46223</v>
      </c>
      <c r="B28" s="2" t="str">
        <f>IFERROR(__xludf.DUMMYFUNCTION("""COMPUTED_VALUE"""),"TRSF E-BANKING DB")</f>
        <v>TRSF E-BANKING DB</v>
      </c>
      <c r="C28" s="2" t="str">
        <f>IFERROR(__xludf.DUMMYFUNCTION("""COMPUTED_VALUE"""),"2007/FTSCY/WS95031 9500000.00 tot. 58.000.000 TABASSAM AL HATTAK")</f>
        <v>2007/FTSCY/WS95031 9500000.00 tot. 58.000.000 TABASSAM AL HATTAK</v>
      </c>
      <c r="D28" s="2">
        <f>IFERROR(__xludf.DUMMYFUNCTION("""COMPUTED_VALUE"""),9500000.0)</f>
        <v>9500000</v>
      </c>
      <c r="E28" s="2"/>
      <c r="F28" s="2" t="str">
        <f>IFERROR(__xludf.DUMMYFUNCTION("""COMPUTED_VALUE"""),"DB")</f>
        <v>DB</v>
      </c>
      <c r="G28" s="2">
        <f>IFERROR(__xludf.DUMMYFUNCTION("""COMPUTED_VALUE"""),1610827.3099999428)</f>
        <v>1610827.31</v>
      </c>
      <c r="H28" s="2"/>
      <c r="I28" s="2" t="str">
        <f>IFERROR(__xludf.DUMMYFUNCTION("""COMPUTED_VALUE"""),"PRIBADI")</f>
        <v>PRIBADI</v>
      </c>
    </row>
    <row r="29">
      <c r="A29" s="7">
        <f>IFERROR(__xludf.DUMMYFUNCTION("""COMPUTED_VALUE"""),46223.0)</f>
        <v>46223</v>
      </c>
      <c r="B29" s="2" t="str">
        <f>IFERROR(__xludf.DUMMYFUNCTION("""COMPUTED_VALUE"""),"TRSF E-BANKING DB")</f>
        <v>TRSF E-BANKING DB</v>
      </c>
      <c r="C29" s="2" t="str">
        <f>IFERROR(__xludf.DUMMYFUNCTION("""COMPUTED_VALUE"""),"2007/FTSCY/WS95011 139099500.00 Fri Jul 17 2026 14:00:00 GMT+0700 (Western Indonesia Time) SUPER UNGGAS JAYA")</f>
        <v>2007/FTSCY/WS95011 139099500.00 Fri Jul 17 2026 14:00:00 GMT+0700 (Western Indonesia Time) SUPER UNGGAS JAYA</v>
      </c>
      <c r="D29" s="2">
        <f>IFERROR(__xludf.DUMMYFUNCTION("""COMPUTED_VALUE"""),1.390995E8)</f>
        <v>139099500</v>
      </c>
      <c r="E29" s="2"/>
      <c r="F29" s="2" t="str">
        <f>IFERROR(__xludf.DUMMYFUNCTION("""COMPUTED_VALUE"""),"DB")</f>
        <v>DB</v>
      </c>
      <c r="G29" s="2">
        <f>IFERROR(__xludf.DUMMYFUNCTION("""COMPUTED_VALUE"""),5.1655867730999994E8)</f>
        <v>516558677.3</v>
      </c>
      <c r="H29" s="2"/>
      <c r="I29" s="2" t="str">
        <f>IFERROR(__xludf.DUMMYFUNCTION("""COMPUTED_VALUE"""),"PRIBADI")</f>
        <v>PRIBADI</v>
      </c>
    </row>
    <row r="30">
      <c r="A30" s="7">
        <f>IFERROR(__xludf.DUMMYFUNCTION("""COMPUTED_VALUE"""),46223.0)</f>
        <v>46223</v>
      </c>
      <c r="B30" s="2" t="str">
        <f>IFERROR(__xludf.DUMMYFUNCTION("""COMPUTED_VALUE"""),"TRSF E-BANKING DB")</f>
        <v>TRSF E-BANKING DB</v>
      </c>
      <c r="C30" s="2" t="str">
        <f>IFERROR(__xludf.DUMMYFUNCTION("""COMPUTED_VALUE"""),"2007/FTSCY/WS95011 248160300.00 07/20 LAJU SATWA WISESA")</f>
        <v>2007/FTSCY/WS95011 248160300.00 07/20 LAJU SATWA WISESA</v>
      </c>
      <c r="D30" s="2">
        <f>IFERROR(__xludf.DUMMYFUNCTION("""COMPUTED_VALUE"""),2.481603E8)</f>
        <v>248160300</v>
      </c>
      <c r="E30" s="2"/>
      <c r="F30" s="2" t="str">
        <f>IFERROR(__xludf.DUMMYFUNCTION("""COMPUTED_VALUE"""),"DB")</f>
        <v>DB</v>
      </c>
      <c r="G30" s="2">
        <f>IFERROR(__xludf.DUMMYFUNCTION("""COMPUTED_VALUE"""),2.6839837730999994E8)</f>
        <v>268398377.3</v>
      </c>
      <c r="H30" s="2"/>
      <c r="I30" s="2" t="str">
        <f>IFERROR(__xludf.DUMMYFUNCTION("""COMPUTED_VALUE"""),"PRIBADI")</f>
        <v>PRIBADI</v>
      </c>
    </row>
    <row r="31">
      <c r="A31" s="7">
        <f>IFERROR(__xludf.DUMMYFUNCTION("""COMPUTED_VALUE"""),46223.0)</f>
        <v>46223</v>
      </c>
      <c r="B31" s="2" t="str">
        <f>IFERROR(__xludf.DUMMYFUNCTION("""COMPUTED_VALUE"""),"TRSF E-BANKING DB")</f>
        <v>TRSF E-BANKING DB</v>
      </c>
      <c r="C31" s="2" t="str">
        <f>IFERROR(__xludf.DUMMYFUNCTION("""COMPUTED_VALUE"""),"2007/FTFVA/WS95031 55569/PT PRIMA FAJ pelunasan - 40190")</f>
        <v>2007/FTFVA/WS95031 55569/PT PRIMA FAJ pelunasan - 40190</v>
      </c>
      <c r="D31" s="2">
        <f>IFERROR(__xludf.DUMMYFUNCTION("""COMPUTED_VALUE"""),5.666042E7)</f>
        <v>56660420</v>
      </c>
      <c r="E31" s="2"/>
      <c r="F31" s="2" t="str">
        <f>IFERROR(__xludf.DUMMYFUNCTION("""COMPUTED_VALUE"""),"DB")</f>
        <v>DB</v>
      </c>
      <c r="G31" s="2">
        <f>IFERROR(__xludf.DUMMYFUNCTION("""COMPUTED_VALUE"""),6.562053730999994E7)</f>
        <v>65620537.31</v>
      </c>
      <c r="H31" s="2"/>
      <c r="I31" s="2" t="str">
        <f>IFERROR(__xludf.DUMMYFUNCTION("""COMPUTED_VALUE"""),"PRIBADI")</f>
        <v>PRIBADI</v>
      </c>
    </row>
    <row r="32">
      <c r="A32" s="7">
        <f>IFERROR(__xludf.DUMMYFUNCTION("""COMPUTED_VALUE"""),46223.0)</f>
        <v>46223</v>
      </c>
      <c r="B32" s="2" t="str">
        <f>IFERROR(__xludf.DUMMYFUNCTION("""COMPUTED_VALUE"""),"TRSF E-BANKING DB")</f>
        <v>TRSF E-BANKING DB</v>
      </c>
      <c r="C32" s="2" t="str">
        <f>IFERROR(__xludf.DUMMYFUNCTION("""COMPUTED_VALUE"""),"2007/FTSCY/WS95031 90000000.00 Fri Jul 17 2026 14:00:00 GMT+0700 (Western Indonesia Time) ANDALAN YASA MITRA")</f>
        <v>2007/FTSCY/WS95031 90000000.00 Fri Jul 17 2026 14:00:00 GMT+0700 (Western Indonesia Time) ANDALAN YASA MITRA</v>
      </c>
      <c r="D32" s="2">
        <f>IFERROR(__xludf.DUMMYFUNCTION("""COMPUTED_VALUE"""),9.0E7)</f>
        <v>90000000</v>
      </c>
      <c r="E32" s="2"/>
      <c r="F32" s="2" t="str">
        <f>IFERROR(__xludf.DUMMYFUNCTION("""COMPUTED_VALUE"""),"DB")</f>
        <v>DB</v>
      </c>
      <c r="G32" s="2">
        <f>IFERROR(__xludf.DUMMYFUNCTION("""COMPUTED_VALUE"""),4.8364042330999994E8)</f>
        <v>483640423.3</v>
      </c>
      <c r="H32" s="2"/>
      <c r="I32" s="2" t="str">
        <f>IFERROR(__xludf.DUMMYFUNCTION("""COMPUTED_VALUE"""),"PRIBADI")</f>
        <v>PRIBADI</v>
      </c>
    </row>
    <row r="33">
      <c r="A33" s="7">
        <f>IFERROR(__xludf.DUMMYFUNCTION("""COMPUTED_VALUE"""),46223.0)</f>
        <v>46223</v>
      </c>
      <c r="B33" s="2" t="str">
        <f>IFERROR(__xludf.DUMMYFUNCTION("""COMPUTED_VALUE"""),"TRSF E-BANKING DB")</f>
        <v>TRSF E-BANKING DB</v>
      </c>
      <c r="C33" s="2" t="str">
        <f>IFERROR(__xludf.DUMMYFUNCTION("""COMPUTED_VALUE"""),"2007/FTSCY/WS95271 69273600.00 pelunasan kd kamil a ANDALAN YASA MITRA")</f>
        <v>2007/FTSCY/WS95271 69273600.00 pelunasan kd kamil a ANDALAN YASA MITRA</v>
      </c>
      <c r="D33" s="2">
        <f>IFERROR(__xludf.DUMMYFUNCTION("""COMPUTED_VALUE"""),6.92736E7)</f>
        <v>69273600</v>
      </c>
      <c r="E33" s="2"/>
      <c r="F33" s="2" t="str">
        <f>IFERROR(__xludf.DUMMYFUNCTION("""COMPUTED_VALUE"""),"DB")</f>
        <v>DB</v>
      </c>
      <c r="G33" s="2">
        <f>IFERROR(__xludf.DUMMYFUNCTION("""COMPUTED_VALUE"""),4.1436682330999994E8)</f>
        <v>414366823.3</v>
      </c>
      <c r="H33" s="2"/>
      <c r="I33" s="2" t="str">
        <f>IFERROR(__xludf.DUMMYFUNCTION("""COMPUTED_VALUE"""),"PRIBADI")</f>
        <v>PRIBADI</v>
      </c>
    </row>
    <row r="34">
      <c r="A34" s="7">
        <f>IFERROR(__xludf.DUMMYFUNCTION("""COMPUTED_VALUE"""),46223.0)</f>
        <v>46223</v>
      </c>
      <c r="B34" s="2" t="str">
        <f>IFERROR(__xludf.DUMMYFUNCTION("""COMPUTED_VALUE"""),"TRSF E-BANKING DB")</f>
        <v>TRSF E-BANKING DB</v>
      </c>
      <c r="C34" s="2" t="str">
        <f>IFERROR(__xludf.DUMMYFUNCTION("""COMPUTED_VALUE"""),"2007/FTSCY/WS95271 60000000.00 Fri Jul 17 2026 14:00:00 GMT+0700 (Western Indonesia Time) ANUGERAH KARTIKA A")</f>
        <v>2007/FTSCY/WS95271 60000000.00 Fri Jul 17 2026 14:00:00 GMT+0700 (Western Indonesia Time) ANUGERAH KARTIKA A</v>
      </c>
      <c r="D34" s="2">
        <f>IFERROR(__xludf.DUMMYFUNCTION("""COMPUTED_VALUE"""),6.0E7)</f>
        <v>60000000</v>
      </c>
      <c r="E34" s="2"/>
      <c r="F34" s="2" t="str">
        <f>IFERROR(__xludf.DUMMYFUNCTION("""COMPUTED_VALUE"""),"DB")</f>
        <v>DB</v>
      </c>
      <c r="G34" s="2">
        <f>IFERROR(__xludf.DUMMYFUNCTION("""COMPUTED_VALUE"""),3.5436682330999994E8)</f>
        <v>354366823.3</v>
      </c>
      <c r="H34" s="2"/>
      <c r="I34" s="2" t="str">
        <f>IFERROR(__xludf.DUMMYFUNCTION("""COMPUTED_VALUE"""),"PRIBADI")</f>
        <v>PRIBADI</v>
      </c>
    </row>
    <row r="35">
      <c r="A35" s="7">
        <f>IFERROR(__xludf.DUMMYFUNCTION("""COMPUTED_VALUE"""),46223.0)</f>
        <v>46223</v>
      </c>
      <c r="B35" s="2" t="str">
        <f>IFERROR(__xludf.DUMMYFUNCTION("""COMPUTED_VALUE"""),"TRSF E-BANKING DB")</f>
        <v>TRSF E-BANKING DB</v>
      </c>
      <c r="C35" s="2" t="str">
        <f>IFERROR(__xludf.DUMMYFUNCTION("""COMPUTED_VALUE"""),"2007/FTSCY/WS95011 57669400.00 Fri Jul 17 2026 14:00:00 GMT+0700 (Western Indonesia Time) ANDALAN YASA MITRA")</f>
        <v>2007/FTSCY/WS95011 57669400.00 Fri Jul 17 2026 14:00:00 GMT+0700 (Western Indonesia Time) ANDALAN YASA MITRA</v>
      </c>
      <c r="D35" s="2">
        <f>IFERROR(__xludf.DUMMYFUNCTION("""COMPUTED_VALUE"""),5.76694E7)</f>
        <v>57669400</v>
      </c>
      <c r="E35" s="2"/>
      <c r="F35" s="2" t="str">
        <f>IFERROR(__xludf.DUMMYFUNCTION("""COMPUTED_VALUE"""),"DB")</f>
        <v>DB</v>
      </c>
      <c r="G35" s="2">
        <f>IFERROR(__xludf.DUMMYFUNCTION("""COMPUTED_VALUE"""),2.9669742330999994E8)</f>
        <v>296697423.3</v>
      </c>
      <c r="H35" s="2"/>
      <c r="I35" s="2" t="str">
        <f>IFERROR(__xludf.DUMMYFUNCTION("""COMPUTED_VALUE"""),"PRIBADI")</f>
        <v>PRIBADI</v>
      </c>
    </row>
    <row r="36">
      <c r="A36" s="7">
        <f>IFERROR(__xludf.DUMMYFUNCTION("""COMPUTED_VALUE"""),46223.0)</f>
        <v>46223</v>
      </c>
      <c r="B36" s="2" t="str">
        <f>IFERROR(__xludf.DUMMYFUNCTION("""COMPUTED_VALUE"""),"TRSF E-BANKING DB")</f>
        <v>TRSF E-BANKING DB</v>
      </c>
      <c r="C36" s="2" t="str">
        <f>IFERROR(__xludf.DUMMYFUNCTION("""COMPUTED_VALUE"""),"2007/FTSCY/WS95271 37500000.00 pelunasan ANDALAN YASA MITRA")</f>
        <v>2007/FTSCY/WS95271 37500000.00 pelunasan ANDALAN YASA MITRA</v>
      </c>
      <c r="D36" s="2">
        <f>IFERROR(__xludf.DUMMYFUNCTION("""COMPUTED_VALUE"""),3.75E7)</f>
        <v>37500000</v>
      </c>
      <c r="E36" s="2"/>
      <c r="F36" s="2" t="str">
        <f>IFERROR(__xludf.DUMMYFUNCTION("""COMPUTED_VALUE"""),"DB")</f>
        <v>DB</v>
      </c>
      <c r="G36" s="2">
        <f>IFERROR(__xludf.DUMMYFUNCTION("""COMPUTED_VALUE"""),2.5919742330999994E8)</f>
        <v>259197423.3</v>
      </c>
      <c r="H36" s="2"/>
      <c r="I36" s="2" t="str">
        <f>IFERROR(__xludf.DUMMYFUNCTION("""COMPUTED_VALUE"""),"PRIBADI")</f>
        <v>PRIBADI</v>
      </c>
    </row>
    <row r="37">
      <c r="A37" s="7">
        <f>IFERROR(__xludf.DUMMYFUNCTION("""COMPUTED_VALUE"""),46223.0)</f>
        <v>46223</v>
      </c>
      <c r="B37" s="2" t="str">
        <f>IFERROR(__xludf.DUMMYFUNCTION("""COMPUTED_VALUE"""),"TRSF E-BANKING DB")</f>
        <v>TRSF E-BANKING DB</v>
      </c>
      <c r="C37" s="2" t="str">
        <f>IFERROR(__xludf.DUMMYFUNCTION("""COMPUTED_VALUE"""),"2007/FTSCY/WS95271 6886640.00 lunas FAJAR ANDREANZAH")</f>
        <v>2007/FTSCY/WS95271 6886640.00 lunas FAJAR ANDREANZAH</v>
      </c>
      <c r="D37" s="2">
        <f>IFERROR(__xludf.DUMMYFUNCTION("""COMPUTED_VALUE"""),6886640.0)</f>
        <v>6886640</v>
      </c>
      <c r="E37" s="2"/>
      <c r="F37" s="2" t="str">
        <f>IFERROR(__xludf.DUMMYFUNCTION("""COMPUTED_VALUE"""),"DB")</f>
        <v>DB</v>
      </c>
      <c r="G37" s="2">
        <f>IFERROR(__xludf.DUMMYFUNCTION("""COMPUTED_VALUE"""),2.5231078330999994E8)</f>
        <v>252310783.3</v>
      </c>
      <c r="H37" s="2"/>
      <c r="I37" s="2" t="str">
        <f>IFERROR(__xludf.DUMMYFUNCTION("""COMPUTED_VALUE"""),"PRIBADI")</f>
        <v>PRIBADI</v>
      </c>
    </row>
    <row r="38">
      <c r="A38" s="7">
        <f>IFERROR(__xludf.DUMMYFUNCTION("""COMPUTED_VALUE"""),46223.0)</f>
        <v>46223</v>
      </c>
      <c r="B38" s="2" t="str">
        <f>IFERROR(__xludf.DUMMYFUNCTION("""COMPUTED_VALUE"""),"TRSF E-BANKING DB")</f>
        <v>TRSF E-BANKING DB</v>
      </c>
      <c r="C38" s="2" t="str">
        <f>IFERROR(__xludf.DUMMYFUNCTION("""COMPUTED_VALUE"""),"2007/FTSCY/WS95271 15000000.00 EKO SETIYAWAN")</f>
        <v>2007/FTSCY/WS95271 15000000.00 EKO SETIYAWAN</v>
      </c>
      <c r="D38" s="2">
        <f>IFERROR(__xludf.DUMMYFUNCTION("""COMPUTED_VALUE"""),1.5E7)</f>
        <v>15000000</v>
      </c>
      <c r="E38" s="2"/>
      <c r="F38" s="2" t="str">
        <f>IFERROR(__xludf.DUMMYFUNCTION("""COMPUTED_VALUE"""),"DB")</f>
        <v>DB</v>
      </c>
      <c r="G38" s="2">
        <f>IFERROR(__xludf.DUMMYFUNCTION("""COMPUTED_VALUE"""),2.3731078330999994E8)</f>
        <v>237310783.3</v>
      </c>
      <c r="H38" s="2"/>
      <c r="I38" s="2" t="str">
        <f>IFERROR(__xludf.DUMMYFUNCTION("""COMPUTED_VALUE"""),"PRIBADI")</f>
        <v>PRIBADI</v>
      </c>
    </row>
    <row r="39">
      <c r="A39" s="7">
        <f>IFERROR(__xludf.DUMMYFUNCTION("""COMPUTED_VALUE"""),46223.0)</f>
        <v>46223</v>
      </c>
      <c r="B39" s="2" t="str">
        <f>IFERROR(__xludf.DUMMYFUNCTION("""COMPUTED_VALUE"""),"TRSF E-BANKING DB")</f>
        <v>TRSF E-BANKING DB</v>
      </c>
      <c r="C39" s="2" t="str">
        <f>IFERROR(__xludf.DUMMYFUNCTION("""COMPUTED_VALUE"""),"2007/FTSCY/WS95271 4950000.00 lunas HERMAWAN")</f>
        <v>2007/FTSCY/WS95271 4950000.00 lunas HERMAWAN</v>
      </c>
      <c r="D39" s="2">
        <f>IFERROR(__xludf.DUMMYFUNCTION("""COMPUTED_VALUE"""),4950000.0)</f>
        <v>4950000</v>
      </c>
      <c r="E39" s="2"/>
      <c r="F39" s="2" t="str">
        <f>IFERROR(__xludf.DUMMYFUNCTION("""COMPUTED_VALUE"""),"DB")</f>
        <v>DB</v>
      </c>
      <c r="G39" s="2">
        <f>IFERROR(__xludf.DUMMYFUNCTION("""COMPUTED_VALUE"""),5.2511037330999994E8)</f>
        <v>525110373.3</v>
      </c>
      <c r="H39" s="2"/>
      <c r="I39" s="2" t="str">
        <f>IFERROR(__xludf.DUMMYFUNCTION("""COMPUTED_VALUE"""),"PRIBADI")</f>
        <v>PRIBADI</v>
      </c>
    </row>
    <row r="40">
      <c r="A40" s="7">
        <f>IFERROR(__xludf.DUMMYFUNCTION("""COMPUTED_VALUE"""),46223.0)</f>
        <v>46223</v>
      </c>
      <c r="B40" s="2" t="str">
        <f>IFERROR(__xludf.DUMMYFUNCTION("""COMPUTED_VALUE"""),"TRSF E-BANKING DB")</f>
        <v>TRSF E-BANKING DB</v>
      </c>
      <c r="C40" s="2" t="str">
        <f>IFERROR(__xludf.DUMMYFUNCTION("""COMPUTED_VALUE"""),"2007/FTSCY/WS95271 12258900.00 lunas MUJIANTO")</f>
        <v>2007/FTSCY/WS95271 12258900.00 lunas MUJIANTO</v>
      </c>
      <c r="D40" s="2">
        <f>IFERROR(__xludf.DUMMYFUNCTION("""COMPUTED_VALUE"""),1.22589E7)</f>
        <v>12258900</v>
      </c>
      <c r="E40" s="2"/>
      <c r="F40" s="2" t="str">
        <f>IFERROR(__xludf.DUMMYFUNCTION("""COMPUTED_VALUE"""),"DB")</f>
        <v>DB</v>
      </c>
      <c r="G40" s="2">
        <f>IFERROR(__xludf.DUMMYFUNCTION("""COMPUTED_VALUE"""),5.1285147330999994E8)</f>
        <v>512851473.3</v>
      </c>
      <c r="H40" s="2"/>
      <c r="I40" s="2" t="str">
        <f>IFERROR(__xludf.DUMMYFUNCTION("""COMPUTED_VALUE"""),"PRIBADI")</f>
        <v>PRIBADI</v>
      </c>
    </row>
    <row r="41">
      <c r="A41" s="7">
        <f>IFERROR(__xludf.DUMMYFUNCTION("""COMPUTED_VALUE"""),46223.0)</f>
        <v>46223</v>
      </c>
      <c r="B41" s="2" t="str">
        <f>IFERROR(__xludf.DUMMYFUNCTION("""COMPUTED_VALUE"""),"TRSF E-BANKING DB")</f>
        <v>TRSF E-BANKING DB</v>
      </c>
      <c r="C41" s="2" t="str">
        <f>IFERROR(__xludf.DUMMYFUNCTION("""COMPUTED_VALUE"""),"2007/FTFVA/WS95031 55574/GUNA MITRA S titip - 200177")</f>
        <v>2007/FTFVA/WS95031 55574/GUNA MITRA S titip - 200177</v>
      </c>
      <c r="D41" s="2">
        <f>IFERROR(__xludf.DUMMYFUNCTION("""COMPUTED_VALUE"""),1.2E8)</f>
        <v>120000000</v>
      </c>
      <c r="E41" s="2"/>
      <c r="F41" s="2" t="str">
        <f>IFERROR(__xludf.DUMMYFUNCTION("""COMPUTED_VALUE"""),"DB")</f>
        <v>DB</v>
      </c>
      <c r="G41" s="2">
        <f>IFERROR(__xludf.DUMMYFUNCTION("""COMPUTED_VALUE"""),3.9285147330999994E8)</f>
        <v>392851473.3</v>
      </c>
      <c r="H41" s="2">
        <f>IFERROR(__xludf.DUMMYFUNCTION("""COMPUTED_VALUE"""),3.9285147331E8)</f>
        <v>392851473.3</v>
      </c>
      <c r="I41" s="2" t="str">
        <f>IFERROR(__xludf.DUMMYFUNCTION("""COMPUTED_VALUE"""),"PRIBADI")</f>
        <v>PRIBADI</v>
      </c>
    </row>
    <row r="42">
      <c r="A42" s="7">
        <f>IFERROR(__xludf.DUMMYFUNCTION("""COMPUTED_VALUE"""),46224.0)</f>
        <v>46224</v>
      </c>
      <c r="B42" s="2" t="str">
        <f>IFERROR(__xludf.DUMMYFUNCTION("""COMPUTED_VALUE"""),"TRSF E-BANKING DB")</f>
        <v>TRSF E-BANKING DB</v>
      </c>
      <c r="C42" s="2" t="str">
        <f>IFERROR(__xludf.DUMMYFUNCTION("""COMPUTED_VALUE"""),"2107/FTSCY/WS95271 50000000.00 titip TABASSAM AL HATTAK")</f>
        <v>2107/FTSCY/WS95271 50000000.00 titip TABASSAM AL HATTAK</v>
      </c>
      <c r="D42" s="2">
        <f>IFERROR(__xludf.DUMMYFUNCTION("""COMPUTED_VALUE"""),5.0E7)</f>
        <v>50000000</v>
      </c>
      <c r="E42" s="2"/>
      <c r="F42" s="2" t="str">
        <f>IFERROR(__xludf.DUMMYFUNCTION("""COMPUTED_VALUE"""),"DB")</f>
        <v>DB</v>
      </c>
      <c r="G42" s="2">
        <f>IFERROR(__xludf.DUMMYFUNCTION("""COMPUTED_VALUE"""),3.6834147330999994E8)</f>
        <v>368341473.3</v>
      </c>
      <c r="H42" s="2"/>
      <c r="I42" s="2" t="str">
        <f>IFERROR(__xludf.DUMMYFUNCTION("""COMPUTED_VALUE"""),"PRIBADI")</f>
        <v>PRIBADI</v>
      </c>
    </row>
    <row r="43">
      <c r="A43" s="7">
        <f>IFERROR(__xludf.DUMMYFUNCTION("""COMPUTED_VALUE"""),46224.0)</f>
        <v>46224</v>
      </c>
      <c r="B43" s="2" t="str">
        <f>IFERROR(__xludf.DUMMYFUNCTION("""COMPUTED_VALUE"""),"BI-FAST DB")</f>
        <v>BI-FAST DB</v>
      </c>
      <c r="C43" s="2" t="str">
        <f>IFERROR(__xludf.DUMMYFUNCTION("""COMPUTED_VALUE"""),"BIF TRANSFER KE 11 ADIRA MUHAMMAD HAI M-BCA")</f>
        <v>BIF TRANSFER KE 11 ADIRA MUHAMMAD HAI M-BCA</v>
      </c>
      <c r="D43" s="2">
        <f>IFERROR(__xludf.DUMMYFUNCTION("""COMPUTED_VALUE"""),2650000.0)</f>
        <v>2650000</v>
      </c>
      <c r="E43" s="2"/>
      <c r="F43" s="2" t="str">
        <f>IFERROR(__xludf.DUMMYFUNCTION("""COMPUTED_VALUE"""),"DB")</f>
        <v>DB</v>
      </c>
      <c r="G43" s="2">
        <f>IFERROR(__xludf.DUMMYFUNCTION("""COMPUTED_VALUE"""),3.6569147330999994E8)</f>
        <v>365691473.3</v>
      </c>
      <c r="H43" s="2"/>
      <c r="I43" s="2" t="str">
        <f>IFERROR(__xludf.DUMMYFUNCTION("""COMPUTED_VALUE"""),"PRIBADI")</f>
        <v>PRIBADI</v>
      </c>
    </row>
    <row r="44">
      <c r="A44" s="7">
        <f>IFERROR(__xludf.DUMMYFUNCTION("""COMPUTED_VALUE"""),46224.0)</f>
        <v>46224</v>
      </c>
      <c r="B44" s="2" t="str">
        <f>IFERROR(__xludf.DUMMYFUNCTION("""COMPUTED_VALUE"""),"BI-FAST DB")</f>
        <v>BI-FAST DB</v>
      </c>
      <c r="C44" s="2" t="str">
        <f>IFERROR(__xludf.DUMMYFUNCTION("""COMPUTED_VALUE"""),"BIF BIAYA TXN KE 11 ADIRA MUHAMMAD HAI M-BCA")</f>
        <v>BIF BIAYA TXN KE 11 ADIRA MUHAMMAD HAI M-BCA</v>
      </c>
      <c r="D44" s="2">
        <f>IFERROR(__xludf.DUMMYFUNCTION("""COMPUTED_VALUE"""),2500.0)</f>
        <v>2500</v>
      </c>
      <c r="E44" s="2"/>
      <c r="F44" s="2" t="str">
        <f>IFERROR(__xludf.DUMMYFUNCTION("""COMPUTED_VALUE"""),"DB")</f>
        <v>DB</v>
      </c>
      <c r="G44" s="2">
        <f>IFERROR(__xludf.DUMMYFUNCTION("""COMPUTED_VALUE"""),3.6568897330999994E8)</f>
        <v>365688973.3</v>
      </c>
      <c r="H44" s="2"/>
      <c r="I44" s="2" t="str">
        <f>IFERROR(__xludf.DUMMYFUNCTION("""COMPUTED_VALUE"""),"PRIBADI")</f>
        <v>PRIBADI</v>
      </c>
    </row>
    <row r="45">
      <c r="A45" s="7">
        <f>IFERROR(__xludf.DUMMYFUNCTION("""COMPUTED_VALUE"""),46224.0)</f>
        <v>46224</v>
      </c>
      <c r="B45" s="2" t="str">
        <f>IFERROR(__xludf.DUMMYFUNCTION("""COMPUTED_VALUE"""),"BI-FAST DB")</f>
        <v>BI-FAST DB</v>
      </c>
      <c r="C45" s="2" t="str">
        <f>IFERROR(__xludf.DUMMYFUNCTION("""COMPUTED_VALUE"""),"BIF TRANSFER KE 2 TURYADI M-BCA")</f>
        <v>BIF TRANSFER KE 2 TURYADI M-BCA</v>
      </c>
      <c r="D45" s="2">
        <f>IFERROR(__xludf.DUMMYFUNCTION("""COMPUTED_VALUE"""),1525000.0)</f>
        <v>1525000</v>
      </c>
      <c r="E45" s="2"/>
      <c r="F45" s="2" t="str">
        <f>IFERROR(__xludf.DUMMYFUNCTION("""COMPUTED_VALUE"""),"DB")</f>
        <v>DB</v>
      </c>
      <c r="G45" s="2">
        <f>IFERROR(__xludf.DUMMYFUNCTION("""COMPUTED_VALUE"""),3.6416397330999994E8)</f>
        <v>364163973.3</v>
      </c>
      <c r="H45" s="2"/>
      <c r="I45" s="2" t="str">
        <f>IFERROR(__xludf.DUMMYFUNCTION("""COMPUTED_VALUE"""),"PRIBADI")</f>
        <v>PRIBADI</v>
      </c>
    </row>
    <row r="46">
      <c r="A46" s="7">
        <f>IFERROR(__xludf.DUMMYFUNCTION("""COMPUTED_VALUE"""),46224.0)</f>
        <v>46224</v>
      </c>
      <c r="B46" s="2" t="str">
        <f>IFERROR(__xludf.DUMMYFUNCTION("""COMPUTED_VALUE"""),"BI-FAST DB")</f>
        <v>BI-FAST DB</v>
      </c>
      <c r="C46" s="2" t="str">
        <f>IFERROR(__xludf.DUMMYFUNCTION("""COMPUTED_VALUE"""),"BIF BIAYA TXN KE 2 TURYADI M-BCA")</f>
        <v>BIF BIAYA TXN KE 2 TURYADI M-BCA</v>
      </c>
      <c r="D46" s="2">
        <f>IFERROR(__xludf.DUMMYFUNCTION("""COMPUTED_VALUE"""),2500.0)</f>
        <v>2500</v>
      </c>
      <c r="E46" s="2"/>
      <c r="F46" s="2" t="str">
        <f>IFERROR(__xludf.DUMMYFUNCTION("""COMPUTED_VALUE"""),"DB")</f>
        <v>DB</v>
      </c>
      <c r="G46" s="2">
        <f>IFERROR(__xludf.DUMMYFUNCTION("""COMPUTED_VALUE"""),3.6416147330999994E8)</f>
        <v>364161473.3</v>
      </c>
      <c r="H46" s="2"/>
      <c r="I46" s="2" t="str">
        <f>IFERROR(__xludf.DUMMYFUNCTION("""COMPUTED_VALUE"""),"PRIBADI")</f>
        <v>PRIBADI</v>
      </c>
    </row>
    <row r="47">
      <c r="A47" s="7">
        <f>IFERROR(__xludf.DUMMYFUNCTION("""COMPUTED_VALUE"""),46224.0)</f>
        <v>46224</v>
      </c>
      <c r="B47" s="2" t="str">
        <f>IFERROR(__xludf.DUMMYFUNCTION("""COMPUTED_VALUE"""),"BYR VIA E-BANKING")</f>
        <v>BYR VIA E-BANKING</v>
      </c>
      <c r="C47" s="2" t="str">
        <f>IFERROR(__xludf.DUMMYFUNCTION("""COMPUTED_VALUE"""),"21/07  WSID9503102 0507 FIF 803001249921 MUHAMMAD HAIRUL MA")</f>
        <v>21/07  WSID9503102 0507 FIF 803001249921 MUHAMMAD HAIRUL MA</v>
      </c>
      <c r="D47" s="2">
        <f>IFERROR(__xludf.DUMMYFUNCTION("""COMPUTED_VALUE"""),750000.0)</f>
        <v>750000</v>
      </c>
      <c r="E47" s="2"/>
      <c r="F47" s="2"/>
      <c r="G47" s="2">
        <f>IFERROR(__xludf.DUMMYFUNCTION("""COMPUTED_VALUE"""),3.6341147330999994E8)</f>
        <v>363411473.3</v>
      </c>
      <c r="H47" s="2"/>
      <c r="I47" s="2" t="str">
        <f>IFERROR(__xludf.DUMMYFUNCTION("""COMPUTED_VALUE"""),"PRIBADI")</f>
        <v>PRIBADI</v>
      </c>
    </row>
    <row r="48">
      <c r="A48" s="7">
        <f>IFERROR(__xludf.DUMMYFUNCTION("""COMPUTED_VALUE"""),46224.0)</f>
        <v>46224</v>
      </c>
      <c r="B48" s="2" t="str">
        <f>IFERROR(__xludf.DUMMYFUNCTION("""COMPUTED_VALUE"""),"TRSF E-BANKING DB")</f>
        <v>TRSF E-BANKING DB</v>
      </c>
      <c r="C48" s="2" t="str">
        <f>IFERROR(__xludf.DUMMYFUNCTION("""COMPUTED_VALUE"""),"2107/FTSCY/WS95271 89623700.00 Sun Jul 19 2026 14:00:00 GMT+0700 (Western Indonesia Time) BINTANG TAMA SANTO")</f>
        <v>2107/FTSCY/WS95271 89623700.00 Sun Jul 19 2026 14:00:00 GMT+0700 (Western Indonesia Time) BINTANG TAMA SANTO</v>
      </c>
      <c r="D48" s="2">
        <f>IFERROR(__xludf.DUMMYFUNCTION("""COMPUTED_VALUE"""),8.96237E7)</f>
        <v>89623700</v>
      </c>
      <c r="E48" s="2"/>
      <c r="F48" s="2" t="str">
        <f>IFERROR(__xludf.DUMMYFUNCTION("""COMPUTED_VALUE"""),"DB")</f>
        <v>DB</v>
      </c>
      <c r="G48" s="2">
        <f>IFERROR(__xludf.DUMMYFUNCTION("""COMPUTED_VALUE"""),2.7378777330999994E8)</f>
        <v>273787773.3</v>
      </c>
      <c r="H48" s="2"/>
      <c r="I48" s="2" t="str">
        <f>IFERROR(__xludf.DUMMYFUNCTION("""COMPUTED_VALUE"""),"PRIBADI")</f>
        <v>PRIBADI</v>
      </c>
    </row>
    <row r="49">
      <c r="A49" s="7">
        <f>IFERROR(__xludf.DUMMYFUNCTION("""COMPUTED_VALUE"""),46224.0)</f>
        <v>46224</v>
      </c>
      <c r="B49" s="2" t="str">
        <f>IFERROR(__xludf.DUMMYFUNCTION("""COMPUTED_VALUE"""),"TRSF E-BANKING DB")</f>
        <v>TRSF E-BANKING DB</v>
      </c>
      <c r="C49" s="2" t="str">
        <f>IFERROR(__xludf.DUMMYFUNCTION("""COMPUTED_VALUE"""),"2107/FTSCY/WS95271 65613600.00 Sun Jul 19 2026 14:00:00 GMT+0700 (Western Indonesia Time) ANDALAN YASA MITRA")</f>
        <v>2107/FTSCY/WS95271 65613600.00 Sun Jul 19 2026 14:00:00 GMT+0700 (Western Indonesia Time) ANDALAN YASA MITRA</v>
      </c>
      <c r="D49" s="2">
        <f>IFERROR(__xludf.DUMMYFUNCTION("""COMPUTED_VALUE"""),6.56136E7)</f>
        <v>65613600</v>
      </c>
      <c r="E49" s="2"/>
      <c r="F49" s="2" t="str">
        <f>IFERROR(__xludf.DUMMYFUNCTION("""COMPUTED_VALUE"""),"DB")</f>
        <v>DB</v>
      </c>
      <c r="G49" s="2">
        <f>IFERROR(__xludf.DUMMYFUNCTION("""COMPUTED_VALUE"""),2.0817417330999994E8)</f>
        <v>208174173.3</v>
      </c>
      <c r="H49" s="2"/>
      <c r="I49" s="2" t="str">
        <f>IFERROR(__xludf.DUMMYFUNCTION("""COMPUTED_VALUE"""),"PRIBADI")</f>
        <v>PRIBADI</v>
      </c>
    </row>
    <row r="50">
      <c r="A50" s="7">
        <f>IFERROR(__xludf.DUMMYFUNCTION("""COMPUTED_VALUE"""),46224.0)</f>
        <v>46224</v>
      </c>
      <c r="B50" s="2" t="str">
        <f>IFERROR(__xludf.DUMMYFUNCTION("""COMPUTED_VALUE"""),"TRSF E-BANKING DB")</f>
        <v>TRSF E-BANKING DB</v>
      </c>
      <c r="C50" s="2" t="str">
        <f>IFERROR(__xludf.DUMMYFUNCTION("""COMPUTED_VALUE"""),"2107/FTSCY/WS95271 70990000.00 Sun Jul 19 2026 14:00:00 GMT+0700 (Western Indonesia Time) ANDALAN YASA MITRA")</f>
        <v>2107/FTSCY/WS95271 70990000.00 Sun Jul 19 2026 14:00:00 GMT+0700 (Western Indonesia Time) ANDALAN YASA MITRA</v>
      </c>
      <c r="D50" s="2">
        <f>IFERROR(__xludf.DUMMYFUNCTION("""COMPUTED_VALUE"""),7.099E7)</f>
        <v>70990000</v>
      </c>
      <c r="E50" s="2"/>
      <c r="F50" s="2" t="str">
        <f>IFERROR(__xludf.DUMMYFUNCTION("""COMPUTED_VALUE"""),"DB")</f>
        <v>DB</v>
      </c>
      <c r="G50" s="2">
        <f>IFERROR(__xludf.DUMMYFUNCTION("""COMPUTED_VALUE"""),1.3718417330999994E8)</f>
        <v>137184173.3</v>
      </c>
      <c r="H50" s="2"/>
      <c r="I50" s="2" t="str">
        <f>IFERROR(__xludf.DUMMYFUNCTION("""COMPUTED_VALUE"""),"PRIBADI")</f>
        <v>PRIBADI</v>
      </c>
    </row>
    <row r="51">
      <c r="A51" s="7">
        <f>IFERROR(__xludf.DUMMYFUNCTION("""COMPUTED_VALUE"""),46224.0)</f>
        <v>46224</v>
      </c>
      <c r="B51" s="2" t="str">
        <f>IFERROR(__xludf.DUMMYFUNCTION("""COMPUTED_VALUE"""),"TRSF E-BANKING DB")</f>
        <v>TRSF E-BANKING DB</v>
      </c>
      <c r="C51" s="2" t="str">
        <f>IFERROR(__xludf.DUMMYFUNCTION("""COMPUTED_VALUE"""),"2107/FTSCY/WS95031 65488500.00 ponorogo UNGGAS MANDIRI BER")</f>
        <v>2107/FTSCY/WS95031 65488500.00 ponorogo UNGGAS MANDIRI BER</v>
      </c>
      <c r="D51" s="2">
        <f>IFERROR(__xludf.DUMMYFUNCTION("""COMPUTED_VALUE"""),6.54885E7)</f>
        <v>65488500</v>
      </c>
      <c r="E51" s="2"/>
      <c r="F51" s="2" t="str">
        <f>IFERROR(__xludf.DUMMYFUNCTION("""COMPUTED_VALUE"""),"DB")</f>
        <v>DB</v>
      </c>
      <c r="G51" s="2">
        <f>IFERROR(__xludf.DUMMYFUNCTION("""COMPUTED_VALUE"""),5.8443392331E8)</f>
        <v>584433923.3</v>
      </c>
      <c r="H51" s="2">
        <f>IFERROR(__xludf.DUMMYFUNCTION("""COMPUTED_VALUE"""),5.8443392331E8)</f>
        <v>584433923.3</v>
      </c>
      <c r="I51" s="2" t="str">
        <f>IFERROR(__xludf.DUMMYFUNCTION("""COMPUTED_VALUE"""),"PRIBADI")</f>
        <v>PRIBADI</v>
      </c>
    </row>
    <row r="52">
      <c r="A52" s="7">
        <f>IFERROR(__xludf.DUMMYFUNCTION("""COMPUTED_VALUE"""),46224.0)</f>
        <v>46224</v>
      </c>
      <c r="B52" s="2" t="str">
        <f>IFERROR(__xludf.DUMMYFUNCTION("""COMPUTED_VALUE"""),"TRSF E-BANKING DB")</f>
        <v>TRSF E-BANKING DB</v>
      </c>
      <c r="C52" s="2" t="str">
        <f>IFERROR(__xludf.DUMMYFUNCTION("""COMPUTED_VALUE"""),"2107/FTSCY/WS95011 246707700.00 Sat Jul 18 2026 14:00:00 GMT+0700 (Western Indonesia Time) LAJU SATWA WISESA")</f>
        <v>2107/FTSCY/WS95011 246707700.00 Sat Jul 18 2026 14:00:00 GMT+0700 (Western Indonesia Time) LAJU SATWA WISESA</v>
      </c>
      <c r="D52" s="2">
        <f>IFERROR(__xludf.DUMMYFUNCTION("""COMPUTED_VALUE"""),2.467077E8)</f>
        <v>246707700</v>
      </c>
      <c r="E52" s="2"/>
      <c r="F52" s="2" t="str">
        <f>IFERROR(__xludf.DUMMYFUNCTION("""COMPUTED_VALUE"""),"DB")</f>
        <v>DB</v>
      </c>
      <c r="G52" s="2">
        <f>IFERROR(__xludf.DUMMYFUNCTION("""COMPUTED_VALUE"""),7.2193459331E8)</f>
        <v>721934593.3</v>
      </c>
      <c r="H52" s="2"/>
      <c r="I52" s="2" t="str">
        <f>IFERROR(__xludf.DUMMYFUNCTION("""COMPUTED_VALUE"""),"PRIBADI")</f>
        <v>PRIBADI</v>
      </c>
    </row>
    <row r="53">
      <c r="A53" s="7">
        <f>IFERROR(__xludf.DUMMYFUNCTION("""COMPUTED_VALUE"""),46224.0)</f>
        <v>46224</v>
      </c>
      <c r="B53" s="2" t="str">
        <f>IFERROR(__xludf.DUMMYFUNCTION("""COMPUTED_VALUE"""),"TRSF E-BANKING DB")</f>
        <v>TRSF E-BANKING DB</v>
      </c>
      <c r="C53" s="2" t="str">
        <f>IFERROR(__xludf.DUMMYFUNCTION("""COMPUTED_VALUE"""),"2107/FTSCY/WS95011 209534820.00 Sun Jul 19 2026 14:00:00 GMT+0700 (Western Indonesia Time) PT BERLIAN INDOMIT")</f>
        <v>2107/FTSCY/WS95011 209534820.00 Sun Jul 19 2026 14:00:00 GMT+0700 (Western Indonesia Time) PT BERLIAN INDOMIT</v>
      </c>
      <c r="D53" s="2">
        <f>IFERROR(__xludf.DUMMYFUNCTION("""COMPUTED_VALUE"""),2.0953482E8)</f>
        <v>209534820</v>
      </c>
      <c r="E53" s="2"/>
      <c r="F53" s="2" t="str">
        <f>IFERROR(__xludf.DUMMYFUNCTION("""COMPUTED_VALUE"""),"DB")</f>
        <v>DB</v>
      </c>
      <c r="G53" s="2">
        <f>IFERROR(__xludf.DUMMYFUNCTION("""COMPUTED_VALUE"""),5.1239977330999994E8)</f>
        <v>512399773.3</v>
      </c>
      <c r="H53" s="2"/>
      <c r="I53" s="2" t="str">
        <f>IFERROR(__xludf.DUMMYFUNCTION("""COMPUTED_VALUE"""),"PRIBADI")</f>
        <v>PRIBADI</v>
      </c>
    </row>
    <row r="54">
      <c r="A54" s="7">
        <f>IFERROR(__xludf.DUMMYFUNCTION("""COMPUTED_VALUE"""),46224.0)</f>
        <v>46224</v>
      </c>
      <c r="B54" s="2" t="str">
        <f>IFERROR(__xludf.DUMMYFUNCTION("""COMPUTED_VALUE"""),"TRSF E-BANKING DB")</f>
        <v>TRSF E-BANKING DB</v>
      </c>
      <c r="C54" s="2" t="str">
        <f>IFERROR(__xludf.DUMMYFUNCTION("""COMPUTED_VALUE"""),"2107/FTSCY/WS95031 20000000.00 EKO SETIYAWAN")</f>
        <v>2107/FTSCY/WS95031 20000000.00 EKO SETIYAWAN</v>
      </c>
      <c r="D54" s="2">
        <f>IFERROR(__xludf.DUMMYFUNCTION("""COMPUTED_VALUE"""),2.0E7)</f>
        <v>20000000</v>
      </c>
      <c r="E54" s="2"/>
      <c r="F54" s="2" t="str">
        <f>IFERROR(__xludf.DUMMYFUNCTION("""COMPUTED_VALUE"""),"DB")</f>
        <v>DB</v>
      </c>
      <c r="G54" s="2">
        <f>IFERROR(__xludf.DUMMYFUNCTION("""COMPUTED_VALUE"""),4.9239977330999994E8)</f>
        <v>492399773.3</v>
      </c>
      <c r="H54" s="2"/>
      <c r="I54" s="2" t="str">
        <f>IFERROR(__xludf.DUMMYFUNCTION("""COMPUTED_VALUE"""),"PRIBADI")</f>
        <v>PRIBADI</v>
      </c>
    </row>
    <row r="55">
      <c r="A55" s="7">
        <f>IFERROR(__xludf.DUMMYFUNCTION("""COMPUTED_VALUE"""),46224.0)</f>
        <v>46224</v>
      </c>
      <c r="B55" s="2" t="str">
        <f>IFERROR(__xludf.DUMMYFUNCTION("""COMPUTED_VALUE"""),"BIAYA ADM")</f>
        <v>BIAYA ADM</v>
      </c>
      <c r="C55" s="2" t="str">
        <f>IFERROR(__xludf.DUMMYFUNCTION("""COMPUTED_VALUE"""),"BIAYA ADM")</f>
        <v>BIAYA ADM</v>
      </c>
      <c r="D55" s="2">
        <f>IFERROR(__xludf.DUMMYFUNCTION("""COMPUTED_VALUE"""),19000.0)</f>
        <v>19000</v>
      </c>
      <c r="E55" s="2"/>
      <c r="F55" s="2"/>
      <c r="G55" s="2">
        <f>IFERROR(__xludf.DUMMYFUNCTION("""COMPUTED_VALUE"""),1.00237227331E9)</f>
        <v>1002372273</v>
      </c>
      <c r="H55" s="2">
        <f>IFERROR(__xludf.DUMMYFUNCTION("""COMPUTED_VALUE"""),1.00237227331E9)</f>
        <v>1002372273</v>
      </c>
      <c r="I55" s="2" t="str">
        <f>IFERROR(__xludf.DUMMYFUNCTION("""COMPUTED_VALUE"""),"PRIBADI")</f>
        <v>PRIBADI</v>
      </c>
    </row>
    <row r="56">
      <c r="A56" s="7">
        <f>IFERROR(__xludf.DUMMYFUNCTION("""COMPUTED_VALUE"""),46225.0)</f>
        <v>46225</v>
      </c>
      <c r="B56" s="2" t="str">
        <f>IFERROR(__xludf.DUMMYFUNCTION("""COMPUTED_VALUE"""),"TRSF E-BANKING DB TANGGAL :21/07")</f>
        <v>TRSF E-BANKING DB TANGGAL :21/07</v>
      </c>
      <c r="C56" s="2" t="str">
        <f>IFERROR(__xludf.DUMMYFUNCTION("""COMPUTED_VALUE"""),"2107/FTSCY/WS95031 TABASSAM AL HATTAK")</f>
        <v>2107/FTSCY/WS95031 TABASSAM AL HATTAK</v>
      </c>
      <c r="D56" s="2">
        <f>IFERROR(__xludf.DUMMYFUNCTION("""COMPUTED_VALUE"""),5.0E7)</f>
        <v>50000000</v>
      </c>
      <c r="E56" s="2"/>
      <c r="F56" s="2" t="str">
        <f>IFERROR(__xludf.DUMMYFUNCTION("""COMPUTED_VALUE"""),"DB")</f>
        <v>DB</v>
      </c>
      <c r="G56" s="2">
        <f>IFERROR(__xludf.DUMMYFUNCTION("""COMPUTED_VALUE"""),1.02017227331E9)</f>
        <v>1020172273</v>
      </c>
      <c r="H56" s="2"/>
      <c r="I56" s="2" t="str">
        <f>IFERROR(__xludf.DUMMYFUNCTION("""COMPUTED_VALUE"""),"PRIBADI")</f>
        <v>PRIBADI</v>
      </c>
    </row>
    <row r="57">
      <c r="A57" s="7">
        <f>IFERROR(__xludf.DUMMYFUNCTION("""COMPUTED_VALUE"""),46225.0)</f>
        <v>46225</v>
      </c>
      <c r="B57" s="2" t="str">
        <f>IFERROR(__xludf.DUMMYFUNCTION("""COMPUTED_VALUE"""),"TRSF E-BANKING DB TANGGAL :21/07")</f>
        <v>TRSF E-BANKING DB TANGGAL :21/07</v>
      </c>
      <c r="C57" s="2" t="str">
        <f>IFERROR(__xludf.DUMMYFUNCTION("""COMPUTED_VALUE"""),"2107/FTSCY/WS95031 TABASSAM AL HATTAK")</f>
        <v>2107/FTSCY/WS95031 TABASSAM AL HATTAK</v>
      </c>
      <c r="D57" s="2">
        <f>IFERROR(__xludf.DUMMYFUNCTION("""COMPUTED_VALUE"""),5.0E7)</f>
        <v>50000000</v>
      </c>
      <c r="E57" s="2"/>
      <c r="F57" s="2" t="str">
        <f>IFERROR(__xludf.DUMMYFUNCTION("""COMPUTED_VALUE"""),"DB")</f>
        <v>DB</v>
      </c>
      <c r="G57" s="2">
        <f>IFERROR(__xludf.DUMMYFUNCTION("""COMPUTED_VALUE"""),9.7017227331E8)</f>
        <v>970172273.3</v>
      </c>
      <c r="H57" s="2"/>
      <c r="I57" s="2" t="str">
        <f>IFERROR(__xludf.DUMMYFUNCTION("""COMPUTED_VALUE"""),"PRIBADI")</f>
        <v>PRIBADI</v>
      </c>
    </row>
    <row r="58">
      <c r="A58" s="7">
        <f>IFERROR(__xludf.DUMMYFUNCTION("""COMPUTED_VALUE"""),46225.0)</f>
        <v>46225</v>
      </c>
      <c r="B58" s="2" t="str">
        <f>IFERROR(__xludf.DUMMYFUNCTION("""COMPUTED_VALUE"""),"TRSF E-BANKING DB TANGGAL :21/07")</f>
        <v>TRSF E-BANKING DB TANGGAL :21/07</v>
      </c>
      <c r="C58" s="2" t="str">
        <f>IFERROR(__xludf.DUMMYFUNCTION("""COMPUTED_VALUE"""),"2107/FTSCY/WS95271 pelunasan TABASSAM AL HATTAK")</f>
        <v>2107/FTSCY/WS95271 pelunasan TABASSAM AL HATTAK</v>
      </c>
      <c r="D58" s="2">
        <f>IFERROR(__xludf.DUMMYFUNCTION("""COMPUTED_VALUE"""),7326830.0)</f>
        <v>7326830</v>
      </c>
      <c r="E58" s="2"/>
      <c r="F58" s="2" t="str">
        <f>IFERROR(__xludf.DUMMYFUNCTION("""COMPUTED_VALUE"""),"DB")</f>
        <v>DB</v>
      </c>
      <c r="G58" s="2">
        <f>IFERROR(__xludf.DUMMYFUNCTION("""COMPUTED_VALUE"""),9.6284544331E8)</f>
        <v>962845443.3</v>
      </c>
      <c r="H58" s="2"/>
      <c r="I58" s="2" t="str">
        <f>IFERROR(__xludf.DUMMYFUNCTION("""COMPUTED_VALUE"""),"PRIBADI")</f>
        <v>PRIBADI</v>
      </c>
    </row>
    <row r="59">
      <c r="A59" s="7">
        <f>IFERROR(__xludf.DUMMYFUNCTION("""COMPUTED_VALUE"""),46225.0)</f>
        <v>46225</v>
      </c>
      <c r="B59" s="2" t="str">
        <f>IFERROR(__xludf.DUMMYFUNCTION("""COMPUTED_VALUE"""),"TRSF E-BANKING DB")</f>
        <v>TRSF E-BANKING DB</v>
      </c>
      <c r="C59" s="2" t="str">
        <f>IFERROR(__xludf.DUMMYFUNCTION("""COMPUTED_VALUE"""),"2207/FTSCY/WS95011 311050880.00 Sun Jul 19 2026 14:00:00 GMT+0700 (Western Indonesia Time) ANDALAN YASA MITRA")</f>
        <v>2207/FTSCY/WS95011 311050880.00 Sun Jul 19 2026 14:00:00 GMT+0700 (Western Indonesia Time) ANDALAN YASA MITRA</v>
      </c>
      <c r="D59" s="2">
        <f>IFERROR(__xludf.DUMMYFUNCTION("""COMPUTED_VALUE"""),3.1105088E8)</f>
        <v>311050880</v>
      </c>
      <c r="E59" s="2"/>
      <c r="F59" s="2" t="str">
        <f>IFERROR(__xludf.DUMMYFUNCTION("""COMPUTED_VALUE"""),"DB")</f>
        <v>DB</v>
      </c>
      <c r="G59" s="2">
        <f>IFERROR(__xludf.DUMMYFUNCTION("""COMPUTED_VALUE"""),6.5179456331E8)</f>
        <v>651794563.3</v>
      </c>
      <c r="H59" s="2"/>
      <c r="I59" s="2" t="str">
        <f>IFERROR(__xludf.DUMMYFUNCTION("""COMPUTED_VALUE"""),"PRIBADI")</f>
        <v>PRIBADI</v>
      </c>
    </row>
    <row r="60">
      <c r="A60" s="7">
        <f>IFERROR(__xludf.DUMMYFUNCTION("""COMPUTED_VALUE"""),46225.0)</f>
        <v>46225</v>
      </c>
      <c r="B60" s="2" t="str">
        <f>IFERROR(__xludf.DUMMYFUNCTION("""COMPUTED_VALUE"""),"TRSF E-BANKING DB")</f>
        <v>TRSF E-BANKING DB</v>
      </c>
      <c r="C60" s="2" t="str">
        <f>IFERROR(__xludf.DUMMYFUNCTION("""COMPUTED_VALUE"""),"2207/FTSCY/WS95011 141691500.00 Sun Jul 19 2026 14:00:00 GMT+0700 (Western Indonesia Time) BROILER MAKMUR TAN")</f>
        <v>2207/FTSCY/WS95011 141691500.00 Sun Jul 19 2026 14:00:00 GMT+0700 (Western Indonesia Time) BROILER MAKMUR TAN</v>
      </c>
      <c r="D60" s="2">
        <f>IFERROR(__xludf.DUMMYFUNCTION("""COMPUTED_VALUE"""),1.416915E8)</f>
        <v>141691500</v>
      </c>
      <c r="E60" s="2"/>
      <c r="F60" s="2" t="str">
        <f>IFERROR(__xludf.DUMMYFUNCTION("""COMPUTED_VALUE"""),"DB")</f>
        <v>DB</v>
      </c>
      <c r="G60" s="2">
        <f>IFERROR(__xludf.DUMMYFUNCTION("""COMPUTED_VALUE"""),5.1010306330999994E8)</f>
        <v>510103063.3</v>
      </c>
      <c r="H60" s="2">
        <f>IFERROR(__xludf.DUMMYFUNCTION("""COMPUTED_VALUE"""),5.1010306331E8)</f>
        <v>510103063.3</v>
      </c>
      <c r="I60" s="2" t="str">
        <f>IFERROR(__xludf.DUMMYFUNCTION("""COMPUTED_VALUE"""),"PRIBADI")</f>
        <v>PRIBADI</v>
      </c>
    </row>
    <row r="61">
      <c r="A61" s="7">
        <f>IFERROR(__xludf.DUMMYFUNCTION("""COMPUTED_VALUE"""),46225.0)</f>
        <v>46225</v>
      </c>
      <c r="B61" s="2" t="str">
        <f>IFERROR(__xludf.DUMMYFUNCTION("""COMPUTED_VALUE"""),"TRSF E-BANKING DB")</f>
        <v>TRSF E-BANKING DB</v>
      </c>
      <c r="C61" s="2" t="str">
        <f>IFERROR(__xludf.DUMMYFUNCTION("""COMPUTED_VALUE"""),"2207/FTSCY/WS95011 46257400.00 Sun Jul 19 2026 14:00:00 GMT+0700 (Western Indonesia Time) ANDALAN YASA MITRA")</f>
        <v>2207/FTSCY/WS95011 46257400.00 Sun Jul 19 2026 14:00:00 GMT+0700 (Western Indonesia Time) ANDALAN YASA MITRA</v>
      </c>
      <c r="D61" s="2">
        <f>IFERROR(__xludf.DUMMYFUNCTION("""COMPUTED_VALUE"""),4.62574E7)</f>
        <v>46257400</v>
      </c>
      <c r="E61" s="2"/>
      <c r="F61" s="2" t="str">
        <f>IFERROR(__xludf.DUMMYFUNCTION("""COMPUTED_VALUE"""),"DB")</f>
        <v>DB</v>
      </c>
      <c r="G61" s="2">
        <f>IFERROR(__xludf.DUMMYFUNCTION("""COMPUTED_VALUE"""),4.6384566330999994E8)</f>
        <v>463845663.3</v>
      </c>
      <c r="H61" s="2">
        <f>IFERROR(__xludf.DUMMYFUNCTION("""COMPUTED_VALUE"""),4.6384566331E8)</f>
        <v>463845663.3</v>
      </c>
      <c r="I61" s="2" t="str">
        <f>IFERROR(__xludf.DUMMYFUNCTION("""COMPUTED_VALUE"""),"PRIBADI")</f>
        <v>PRIBADI</v>
      </c>
    </row>
    <row r="62">
      <c r="A62" s="7">
        <f>IFERROR(__xludf.DUMMYFUNCTION("""COMPUTED_VALUE"""),46225.0)</f>
        <v>46225</v>
      </c>
      <c r="B62" s="2" t="str">
        <f>IFERROR(__xludf.DUMMYFUNCTION("""COMPUTED_VALUE"""),"TRSF E-BANKING DB")</f>
        <v>TRSF E-BANKING DB</v>
      </c>
      <c r="C62" s="2" t="str">
        <f>IFERROR(__xludf.DUMMYFUNCTION("""COMPUTED_VALUE"""),"2207/FTSCY/WS95271 14500000.00 pelunasan ANDALAN YASA MITRA")</f>
        <v>2207/FTSCY/WS95271 14500000.00 pelunasan ANDALAN YASA MITRA</v>
      </c>
      <c r="D62" s="2">
        <f>IFERROR(__xludf.DUMMYFUNCTION("""COMPUTED_VALUE"""),1.45E7)</f>
        <v>14500000</v>
      </c>
      <c r="E62" s="2"/>
      <c r="F62" s="2" t="str">
        <f>IFERROR(__xludf.DUMMYFUNCTION("""COMPUTED_VALUE"""),"DB")</f>
        <v>DB</v>
      </c>
      <c r="G62" s="2">
        <f>IFERROR(__xludf.DUMMYFUNCTION("""COMPUTED_VALUE"""),4.4934566330999994E8)</f>
        <v>449345663.3</v>
      </c>
      <c r="H62" s="2"/>
      <c r="I62" s="2" t="str">
        <f>IFERROR(__xludf.DUMMYFUNCTION("""COMPUTED_VALUE"""),"PRIBADI")</f>
        <v>PRIBADI</v>
      </c>
    </row>
    <row r="63">
      <c r="A63" s="7">
        <f>IFERROR(__xludf.DUMMYFUNCTION("""COMPUTED_VALUE"""),46225.0)</f>
        <v>46225</v>
      </c>
      <c r="B63" s="2" t="str">
        <f>IFERROR(__xludf.DUMMYFUNCTION("""COMPUTED_VALUE"""),"TRSF E-BANKING DB")</f>
        <v>TRSF E-BANKING DB</v>
      </c>
      <c r="C63" s="2" t="str">
        <f>IFERROR(__xludf.DUMMYFUNCTION("""COMPUTED_VALUE"""),"2207/FTSCY/WS95271 4241040.00 NURHAYATI")</f>
        <v>2207/FTSCY/WS95271 4241040.00 NURHAYATI</v>
      </c>
      <c r="D63" s="2">
        <f>IFERROR(__xludf.DUMMYFUNCTION("""COMPUTED_VALUE"""),4241040.0)</f>
        <v>4241040</v>
      </c>
      <c r="E63" s="2"/>
      <c r="F63" s="2" t="str">
        <f>IFERROR(__xludf.DUMMYFUNCTION("""COMPUTED_VALUE"""),"DB")</f>
        <v>DB</v>
      </c>
      <c r="G63" s="2">
        <f>IFERROR(__xludf.DUMMYFUNCTION("""COMPUTED_VALUE"""),4.4510462330999994E8)</f>
        <v>445104623.3</v>
      </c>
      <c r="H63" s="2"/>
      <c r="I63" s="2" t="str">
        <f>IFERROR(__xludf.DUMMYFUNCTION("""COMPUTED_VALUE"""),"PRIBADI")</f>
        <v>PRIBADI</v>
      </c>
    </row>
    <row r="64">
      <c r="A64" s="7">
        <f>IFERROR(__xludf.DUMMYFUNCTION("""COMPUTED_VALUE"""),46225.0)</f>
        <v>46225</v>
      </c>
      <c r="B64" s="2" t="str">
        <f>IFERROR(__xludf.DUMMYFUNCTION("""COMPUTED_VALUE"""),"TRSF E-BANKING DB")</f>
        <v>TRSF E-BANKING DB</v>
      </c>
      <c r="C64" s="2" t="str">
        <f>IFERROR(__xludf.DUMMYFUNCTION("""COMPUTED_VALUE"""),"2207/FTSCY/WS95271 71001280.00 Sun Jul 19 2026 14:00:00 GMT+0700 (Western Indonesia Time) ANDALAN YASA MITRA")</f>
        <v>2207/FTSCY/WS95271 71001280.00 Sun Jul 19 2026 14:00:00 GMT+0700 (Western Indonesia Time) ANDALAN YASA MITRA</v>
      </c>
      <c r="D64" s="2">
        <f>IFERROR(__xludf.DUMMYFUNCTION("""COMPUTED_VALUE"""),7.100128E7)</f>
        <v>71001280</v>
      </c>
      <c r="E64" s="2"/>
      <c r="F64" s="2" t="str">
        <f>IFERROR(__xludf.DUMMYFUNCTION("""COMPUTED_VALUE"""),"DB")</f>
        <v>DB</v>
      </c>
      <c r="G64" s="2">
        <f>IFERROR(__xludf.DUMMYFUNCTION("""COMPUTED_VALUE"""),3.7410334330999994E8)</f>
        <v>374103343.3</v>
      </c>
      <c r="H64" s="2"/>
      <c r="I64" s="2" t="str">
        <f>IFERROR(__xludf.DUMMYFUNCTION("""COMPUTED_VALUE"""),"PRIBADI")</f>
        <v>PRIBADI</v>
      </c>
    </row>
    <row r="65">
      <c r="A65" s="7">
        <f>IFERROR(__xludf.DUMMYFUNCTION("""COMPUTED_VALUE"""),46225.0)</f>
        <v>46225</v>
      </c>
      <c r="B65" s="2" t="str">
        <f>IFERROR(__xludf.DUMMYFUNCTION("""COMPUTED_VALUE"""),"TRSF E-BANKING DB")</f>
        <v>TRSF E-BANKING DB</v>
      </c>
      <c r="C65" s="2" t="str">
        <f>IFERROR(__xludf.DUMMYFUNCTION("""COMPUTED_VALUE"""),"2207/FTSCY/WS95271 210257680.00 Sun Jul 19 2026 14:00:00 GMT+0700 (Western Indonesia Time) ANDALAN YASA MITRA")</f>
        <v>2207/FTSCY/WS95271 210257680.00 Sun Jul 19 2026 14:00:00 GMT+0700 (Western Indonesia Time) ANDALAN YASA MITRA</v>
      </c>
      <c r="D65" s="2">
        <f>IFERROR(__xludf.DUMMYFUNCTION("""COMPUTED_VALUE"""),2.1025768E8)</f>
        <v>210257680</v>
      </c>
      <c r="E65" s="2"/>
      <c r="F65" s="2" t="str">
        <f>IFERROR(__xludf.DUMMYFUNCTION("""COMPUTED_VALUE"""),"DB")</f>
        <v>DB</v>
      </c>
      <c r="G65" s="2">
        <f>IFERROR(__xludf.DUMMYFUNCTION("""COMPUTED_VALUE"""),1.6384566330999994E8)</f>
        <v>163845663.3</v>
      </c>
      <c r="H65" s="2"/>
      <c r="I65" s="2" t="str">
        <f>IFERROR(__xludf.DUMMYFUNCTION("""COMPUTED_VALUE"""),"PRIBADI")</f>
        <v>PRIBADI</v>
      </c>
    </row>
    <row r="66">
      <c r="A66" s="7">
        <f>IFERROR(__xludf.DUMMYFUNCTION("""COMPUTED_VALUE"""),46225.0)</f>
        <v>46225</v>
      </c>
      <c r="B66" s="2" t="str">
        <f>IFERROR(__xludf.DUMMYFUNCTION("""COMPUTED_VALUE"""),"TRSF E-BANKING DB")</f>
        <v>TRSF E-BANKING DB</v>
      </c>
      <c r="C66" s="2" t="str">
        <f>IFERROR(__xludf.DUMMYFUNCTION("""COMPUTED_VALUE"""),"2207/FTSCY/WS95271 600000.00 MUHAMMAD HAIRUL MA")</f>
        <v>2207/FTSCY/WS95271 600000.00 MUHAMMAD HAIRUL MA</v>
      </c>
      <c r="D66" s="2">
        <f>IFERROR(__xludf.DUMMYFUNCTION("""COMPUTED_VALUE"""),600000.0)</f>
        <v>600000</v>
      </c>
      <c r="E66" s="2"/>
      <c r="F66" s="2" t="str">
        <f>IFERROR(__xludf.DUMMYFUNCTION("""COMPUTED_VALUE"""),"DB")</f>
        <v>DB</v>
      </c>
      <c r="G66" s="2">
        <f>IFERROR(__xludf.DUMMYFUNCTION("""COMPUTED_VALUE"""),1.6324566330999994E8)</f>
        <v>163245663.3</v>
      </c>
      <c r="H66" s="2"/>
      <c r="I66" s="2" t="str">
        <f>IFERROR(__xludf.DUMMYFUNCTION("""COMPUTED_VALUE"""),"PRIBADI")</f>
        <v>PRIBADI</v>
      </c>
    </row>
    <row r="67">
      <c r="A67" s="7">
        <f>IFERROR(__xludf.DUMMYFUNCTION("""COMPUTED_VALUE"""),46225.0)</f>
        <v>46225</v>
      </c>
      <c r="B67" s="2" t="str">
        <f>IFERROR(__xludf.DUMMYFUNCTION("""COMPUTED_VALUE"""),"TARIKAN ATM 22/07")</f>
        <v>TARIKAN ATM 22/07</v>
      </c>
      <c r="C67" s="2" t="str">
        <f>IFERROR(__xludf.DUMMYFUNCTION("""COMPUTED_VALUE"""),"TARIKAN ATM 22/07")</f>
        <v>TARIKAN ATM 22/07</v>
      </c>
      <c r="D67" s="2">
        <f>IFERROR(__xludf.DUMMYFUNCTION("""COMPUTED_VALUE"""),1000000.0)</f>
        <v>1000000</v>
      </c>
      <c r="E67" s="2"/>
      <c r="F67" s="2"/>
      <c r="G67" s="2">
        <f>IFERROR(__xludf.DUMMYFUNCTION("""COMPUTED_VALUE"""),1.6284566330999994E8)</f>
        <v>162845663.3</v>
      </c>
      <c r="H67" s="2"/>
      <c r="I67" s="2" t="str">
        <f>IFERROR(__xludf.DUMMYFUNCTION("""COMPUTED_VALUE"""),"PRIBADI")</f>
        <v>PRIBADI</v>
      </c>
    </row>
    <row r="68">
      <c r="A68" s="7">
        <f>IFERROR(__xludf.DUMMYFUNCTION("""COMPUTED_VALUE"""),46225.0)</f>
        <v>46225</v>
      </c>
      <c r="B68" s="2" t="str">
        <f>IFERROR(__xludf.DUMMYFUNCTION("""COMPUTED_VALUE"""),"TARIKAN ATM 22/07")</f>
        <v>TARIKAN ATM 22/07</v>
      </c>
      <c r="C68" s="2" t="str">
        <f>IFERROR(__xludf.DUMMYFUNCTION("""COMPUTED_VALUE"""),"TARIKAN ATM 22/07")</f>
        <v>TARIKAN ATM 22/07</v>
      </c>
      <c r="D68" s="2">
        <f>IFERROR(__xludf.DUMMYFUNCTION("""COMPUTED_VALUE"""),1000000.0)</f>
        <v>1000000</v>
      </c>
      <c r="E68" s="2"/>
      <c r="F68" s="2"/>
      <c r="G68" s="2">
        <f>IFERROR(__xludf.DUMMYFUNCTION("""COMPUTED_VALUE"""),1.6184566330999994E8)</f>
        <v>161845663.3</v>
      </c>
      <c r="H68" s="2"/>
      <c r="I68" s="2" t="str">
        <f>IFERROR(__xludf.DUMMYFUNCTION("""COMPUTED_VALUE"""),"PRIBADI")</f>
        <v>PRIBADI</v>
      </c>
    </row>
    <row r="69">
      <c r="A69" s="7">
        <f>IFERROR(__xludf.DUMMYFUNCTION("""COMPUTED_VALUE"""),46225.0)</f>
        <v>46225</v>
      </c>
      <c r="B69" s="2" t="str">
        <f>IFERROR(__xludf.DUMMYFUNCTION("""COMPUTED_VALUE"""),"TRSF E-BANKING DB")</f>
        <v>TRSF E-BANKING DB</v>
      </c>
      <c r="C69" s="2" t="str">
        <f>IFERROR(__xludf.DUMMYFUNCTION("""COMPUTED_VALUE"""),"2207/FTFVA/WS95031 55574/GUNA MITRA S pelunasan - 200177")</f>
        <v>2207/FTFVA/WS95031 55574/GUNA MITRA S pelunasan - 200177</v>
      </c>
      <c r="D69" s="2">
        <f>IFERROR(__xludf.DUMMYFUNCTION("""COMPUTED_VALUE"""),1.51802E7)</f>
        <v>15180200</v>
      </c>
      <c r="E69" s="2"/>
      <c r="F69" s="2" t="str">
        <f>IFERROR(__xludf.DUMMYFUNCTION("""COMPUTED_VALUE"""),"DB")</f>
        <v>DB</v>
      </c>
      <c r="G69" s="2">
        <f>IFERROR(__xludf.DUMMYFUNCTION("""COMPUTED_VALUE"""),1.4666546330999994E8)</f>
        <v>146665463.3</v>
      </c>
      <c r="H69" s="2"/>
      <c r="I69" s="2" t="str">
        <f>IFERROR(__xludf.DUMMYFUNCTION("""COMPUTED_VALUE"""),"PRIBADI")</f>
        <v>PRIBADI</v>
      </c>
    </row>
    <row r="70">
      <c r="A70" s="7">
        <f>IFERROR(__xludf.DUMMYFUNCTION("""COMPUTED_VALUE"""),46226.0)</f>
        <v>46226</v>
      </c>
      <c r="B70" s="2" t="str">
        <f>IFERROR(__xludf.DUMMYFUNCTION("""COMPUTED_VALUE"""),"TRSF E-BANKING DB TANGGAL :22/07")</f>
        <v>TRSF E-BANKING DB TANGGAL :22/07</v>
      </c>
      <c r="C70" s="2" t="str">
        <f>IFERROR(__xludf.DUMMYFUNCTION("""COMPUTED_VALUE"""),"2207/FTSCY/WS95031 HERMAWAN")</f>
        <v>2207/FTSCY/WS95031 HERMAWAN</v>
      </c>
      <c r="D70" s="2">
        <f>IFERROR(__xludf.DUMMYFUNCTION("""COMPUTED_VALUE"""),4941000.0)</f>
        <v>4941000</v>
      </c>
      <c r="E70" s="2"/>
      <c r="F70" s="2" t="str">
        <f>IFERROR(__xludf.DUMMYFUNCTION("""COMPUTED_VALUE"""),"DB")</f>
        <v>DB</v>
      </c>
      <c r="G70" s="2">
        <f>IFERROR(__xludf.DUMMYFUNCTION("""COMPUTED_VALUE"""),9.1401983331E8)</f>
        <v>914019833.3</v>
      </c>
      <c r="H70" s="2"/>
      <c r="I70" s="2" t="str">
        <f>IFERROR(__xludf.DUMMYFUNCTION("""COMPUTED_VALUE"""),"PRIBADI")</f>
        <v>PRIBADI</v>
      </c>
    </row>
    <row r="71">
      <c r="A71" s="7">
        <f>IFERROR(__xludf.DUMMYFUNCTION("""COMPUTED_VALUE"""),46226.0)</f>
        <v>46226</v>
      </c>
      <c r="B71" s="2" t="str">
        <f>IFERROR(__xludf.DUMMYFUNCTION("""COMPUTED_VALUE"""),"TRSF E-BANKING DB TANGGAL :22/07")</f>
        <v>TRSF E-BANKING DB TANGGAL :22/07</v>
      </c>
      <c r="C71" s="2" t="str">
        <f>IFERROR(__xludf.DUMMYFUNCTION("""COMPUTED_VALUE"""),"2207/FTSCY/WS95031 MUJIANTO")</f>
        <v>2207/FTSCY/WS95031 MUJIANTO</v>
      </c>
      <c r="D71" s="2">
        <f>IFERROR(__xludf.DUMMYFUNCTION("""COMPUTED_VALUE"""),6344380.0)</f>
        <v>6344380</v>
      </c>
      <c r="E71" s="2"/>
      <c r="F71" s="2" t="str">
        <f>IFERROR(__xludf.DUMMYFUNCTION("""COMPUTED_VALUE"""),"DB")</f>
        <v>DB</v>
      </c>
      <c r="G71" s="2">
        <f>IFERROR(__xludf.DUMMYFUNCTION("""COMPUTED_VALUE"""),9.0767545331E8)</f>
        <v>907675453.3</v>
      </c>
      <c r="H71" s="2">
        <f>IFERROR(__xludf.DUMMYFUNCTION("""COMPUTED_VALUE"""),9.0767545331E8)</f>
        <v>907675453.3</v>
      </c>
      <c r="I71" s="2" t="str">
        <f>IFERROR(__xludf.DUMMYFUNCTION("""COMPUTED_VALUE"""),"PRIBADI")</f>
        <v>PRIBADI</v>
      </c>
    </row>
    <row r="72">
      <c r="A72" s="7">
        <f>IFERROR(__xludf.DUMMYFUNCTION("""COMPUTED_VALUE"""),46226.0)</f>
        <v>46226</v>
      </c>
      <c r="B72" s="2" t="str">
        <f>IFERROR(__xludf.DUMMYFUNCTION("""COMPUTED_VALUE"""),"TRSF E-BANKING DB TANGGAL :22/07")</f>
        <v>TRSF E-BANKING DB TANGGAL :22/07</v>
      </c>
      <c r="C72" s="2" t="str">
        <f>IFERROR(__xludf.DUMMYFUNCTION("""COMPUTED_VALUE"""),"2207/FTSCY/WS95031 DWI HERMANSYAH")</f>
        <v>2207/FTSCY/WS95031 DWI HERMANSYAH</v>
      </c>
      <c r="D72" s="2">
        <f>IFERROR(__xludf.DUMMYFUNCTION("""COMPUTED_VALUE"""),5239900.0)</f>
        <v>5239900</v>
      </c>
      <c r="E72" s="2"/>
      <c r="F72" s="2" t="str">
        <f>IFERROR(__xludf.DUMMYFUNCTION("""COMPUTED_VALUE"""),"DB")</f>
        <v>DB</v>
      </c>
      <c r="G72" s="2">
        <f>IFERROR(__xludf.DUMMYFUNCTION("""COMPUTED_VALUE"""),9.0243555331E8)</f>
        <v>902435553.3</v>
      </c>
      <c r="H72" s="2">
        <f>IFERROR(__xludf.DUMMYFUNCTION("""COMPUTED_VALUE"""),9.0243555331E8)</f>
        <v>902435553.3</v>
      </c>
      <c r="I72" s="2" t="str">
        <f>IFERROR(__xludf.DUMMYFUNCTION("""COMPUTED_VALUE"""),"PRIBADI")</f>
        <v>PRIBADI</v>
      </c>
    </row>
    <row r="73">
      <c r="A73" s="7">
        <f>IFERROR(__xludf.DUMMYFUNCTION("""COMPUTED_VALUE"""),46226.0)</f>
        <v>46226</v>
      </c>
      <c r="B73" s="2" t="str">
        <f>IFERROR(__xludf.DUMMYFUNCTION("""COMPUTED_VALUE"""),"TRSF E-BANKING DB TANGGAL :22/07")</f>
        <v>TRSF E-BANKING DB TANGGAL :22/07</v>
      </c>
      <c r="C73" s="2" t="str">
        <f>IFERROR(__xludf.DUMMYFUNCTION("""COMPUTED_VALUE"""),"2207/FTSCY/WS95031 FAJAR ANDREANZAH")</f>
        <v>2207/FTSCY/WS95031 FAJAR ANDREANZAH</v>
      </c>
      <c r="D73" s="2">
        <f>IFERROR(__xludf.DUMMYFUNCTION("""COMPUTED_VALUE"""),2080000.0)</f>
        <v>2080000</v>
      </c>
      <c r="E73" s="2"/>
      <c r="F73" s="2" t="str">
        <f>IFERROR(__xludf.DUMMYFUNCTION("""COMPUTED_VALUE"""),"DB")</f>
        <v>DB</v>
      </c>
      <c r="G73" s="2">
        <f>IFERROR(__xludf.DUMMYFUNCTION("""COMPUTED_VALUE"""),9.0035555331E8)</f>
        <v>900355553.3</v>
      </c>
      <c r="H73" s="2"/>
      <c r="I73" s="2" t="str">
        <f>IFERROR(__xludf.DUMMYFUNCTION("""COMPUTED_VALUE"""),"PRIBADI")</f>
        <v>PRIBADI</v>
      </c>
    </row>
    <row r="74">
      <c r="A74" s="7">
        <f>IFERROR(__xludf.DUMMYFUNCTION("""COMPUTED_VALUE"""),46226.0)</f>
        <v>46226</v>
      </c>
      <c r="B74" s="2" t="str">
        <f>IFERROR(__xludf.DUMMYFUNCTION("""COMPUTED_VALUE"""),"TRSF E-BANKING DB TANGGAL :22/07")</f>
        <v>TRSF E-BANKING DB TANGGAL :22/07</v>
      </c>
      <c r="C74" s="2" t="str">
        <f>IFERROR(__xludf.DUMMYFUNCTION("""COMPUTED_VALUE"""),"2207/FTSCY/WS95031 EKO SETIYAWAN")</f>
        <v>2207/FTSCY/WS95031 EKO SETIYAWAN</v>
      </c>
      <c r="D74" s="2">
        <f>IFERROR(__xludf.DUMMYFUNCTION("""COMPUTED_VALUE"""),2.18886E7)</f>
        <v>21888600</v>
      </c>
      <c r="E74" s="2"/>
      <c r="F74" s="2" t="str">
        <f>IFERROR(__xludf.DUMMYFUNCTION("""COMPUTED_VALUE"""),"DB")</f>
        <v>DB</v>
      </c>
      <c r="G74" s="2">
        <f>IFERROR(__xludf.DUMMYFUNCTION("""COMPUTED_VALUE"""),8.7846695331E8)</f>
        <v>878466953.3</v>
      </c>
      <c r="H74" s="2"/>
      <c r="I74" s="2" t="str">
        <f>IFERROR(__xludf.DUMMYFUNCTION("""COMPUTED_VALUE"""),"PRIBADI")</f>
        <v>PRIBADI</v>
      </c>
    </row>
    <row r="75">
      <c r="A75" s="7">
        <f>IFERROR(__xludf.DUMMYFUNCTION("""COMPUTED_VALUE"""),46226.0)</f>
        <v>46226</v>
      </c>
      <c r="B75" s="2" t="str">
        <f>IFERROR(__xludf.DUMMYFUNCTION("""COMPUTED_VALUE"""),"TRSF E-BANKING DB TANGGAL :22/07")</f>
        <v>TRSF E-BANKING DB TANGGAL :22/07</v>
      </c>
      <c r="C75" s="2" t="str">
        <f>IFERROR(__xludf.DUMMYFUNCTION("""COMPUTED_VALUE"""),"2207/FTSCY/WS95031 NURUL AINI")</f>
        <v>2207/FTSCY/WS95031 NURUL AINI</v>
      </c>
      <c r="D75" s="2">
        <f>IFERROR(__xludf.DUMMYFUNCTION("""COMPUTED_VALUE"""),700000.0)</f>
        <v>700000</v>
      </c>
      <c r="E75" s="2"/>
      <c r="F75" s="2" t="str">
        <f>IFERROR(__xludf.DUMMYFUNCTION("""COMPUTED_VALUE"""),"DB")</f>
        <v>DB</v>
      </c>
      <c r="G75" s="2">
        <f>IFERROR(__xludf.DUMMYFUNCTION("""COMPUTED_VALUE"""),8.7776695331E8)</f>
        <v>877766953.3</v>
      </c>
      <c r="H75" s="2"/>
      <c r="I75" s="2" t="str">
        <f>IFERROR(__xludf.DUMMYFUNCTION("""COMPUTED_VALUE"""),"PRIBADI")</f>
        <v>PRIBADI</v>
      </c>
    </row>
    <row r="76">
      <c r="A76" s="7">
        <f>IFERROR(__xludf.DUMMYFUNCTION("""COMPUTED_VALUE"""),46226.0)</f>
        <v>46226</v>
      </c>
      <c r="B76" s="2" t="str">
        <f>IFERROR(__xludf.DUMMYFUNCTION("""COMPUTED_VALUE"""),"TRSF E-BANKING DB TANGGAL :22/07")</f>
        <v>TRSF E-BANKING DB TANGGAL :22/07</v>
      </c>
      <c r="C76" s="2" t="str">
        <f>IFERROR(__xludf.DUMMYFUNCTION("""COMPUTED_VALUE"""),"2207/FTSCY/WS95031 SUNARTO")</f>
        <v>2207/FTSCY/WS95031 SUNARTO</v>
      </c>
      <c r="D76" s="2">
        <f>IFERROR(__xludf.DUMMYFUNCTION("""COMPUTED_VALUE"""),900000.0)</f>
        <v>900000</v>
      </c>
      <c r="E76" s="2"/>
      <c r="F76" s="2" t="str">
        <f>IFERROR(__xludf.DUMMYFUNCTION("""COMPUTED_VALUE"""),"DB")</f>
        <v>DB</v>
      </c>
      <c r="G76" s="2">
        <f>IFERROR(__xludf.DUMMYFUNCTION("""COMPUTED_VALUE"""),8.7686695331E8)</f>
        <v>876866953.3</v>
      </c>
      <c r="H76" s="2"/>
      <c r="I76" s="2" t="str">
        <f>IFERROR(__xludf.DUMMYFUNCTION("""COMPUTED_VALUE"""),"PRIBADI")</f>
        <v>PRIBADI</v>
      </c>
    </row>
    <row r="77">
      <c r="A77" s="7">
        <f>IFERROR(__xludf.DUMMYFUNCTION("""COMPUTED_VALUE"""),46226.0)</f>
        <v>46226</v>
      </c>
      <c r="B77" s="2" t="str">
        <f>IFERROR(__xludf.DUMMYFUNCTION("""COMPUTED_VALUE"""),"TRSF E-BANKING DB TANGGAL :22/07")</f>
        <v>TRSF E-BANKING DB TANGGAL :22/07</v>
      </c>
      <c r="C77" s="2" t="str">
        <f>IFERROR(__xludf.DUMMYFUNCTION("""COMPUTED_VALUE"""),"2207/FTSCY/WS95031 DWI HERMANSYAH")</f>
        <v>2207/FTSCY/WS95031 DWI HERMANSYAH</v>
      </c>
      <c r="D77" s="2">
        <f>IFERROR(__xludf.DUMMYFUNCTION("""COMPUTED_VALUE"""),4031550.0)</f>
        <v>4031550</v>
      </c>
      <c r="E77" s="2"/>
      <c r="F77" s="2" t="str">
        <f>IFERROR(__xludf.DUMMYFUNCTION("""COMPUTED_VALUE"""),"DB")</f>
        <v>DB</v>
      </c>
      <c r="G77" s="2">
        <f>IFERROR(__xludf.DUMMYFUNCTION("""COMPUTED_VALUE"""),8.7283540331E8)</f>
        <v>872835403.3</v>
      </c>
      <c r="H77" s="2"/>
      <c r="I77" s="2" t="str">
        <f>IFERROR(__xludf.DUMMYFUNCTION("""COMPUTED_VALUE"""),"PRIBADI")</f>
        <v>PRIBADI</v>
      </c>
    </row>
    <row r="78">
      <c r="A78" s="7">
        <f>IFERROR(__xludf.DUMMYFUNCTION("""COMPUTED_VALUE"""),46226.0)</f>
        <v>46226</v>
      </c>
      <c r="B78" s="2" t="str">
        <f>IFERROR(__xludf.DUMMYFUNCTION("""COMPUTED_VALUE"""),"TRSF E-BANKING DB")</f>
        <v>TRSF E-BANKING DB</v>
      </c>
      <c r="C78" s="2" t="str">
        <f>IFERROR(__xludf.DUMMYFUNCTION("""COMPUTED_VALUE"""),"2307/FTSCY/WS95271 91200000.00 Mon Jul 20 2026 14:00:00 GMT+0700 (Western Indonesia Time) RUKUN MITRA BERSAM")</f>
        <v>2307/FTSCY/WS95271 91200000.00 Mon Jul 20 2026 14:00:00 GMT+0700 (Western Indonesia Time) RUKUN MITRA BERSAM</v>
      </c>
      <c r="D78" s="2">
        <f>IFERROR(__xludf.DUMMYFUNCTION("""COMPUTED_VALUE"""),9.12E7)</f>
        <v>91200000</v>
      </c>
      <c r="E78" s="2"/>
      <c r="F78" s="2" t="str">
        <f>IFERROR(__xludf.DUMMYFUNCTION("""COMPUTED_VALUE"""),"DB")</f>
        <v>DB</v>
      </c>
      <c r="G78" s="2">
        <f>IFERROR(__xludf.DUMMYFUNCTION("""COMPUTED_VALUE"""),7.8163540331E8)</f>
        <v>781635403.3</v>
      </c>
      <c r="H78" s="2"/>
      <c r="I78" s="2" t="str">
        <f>IFERROR(__xludf.DUMMYFUNCTION("""COMPUTED_VALUE"""),"PRIBADI")</f>
        <v>PRIBADI</v>
      </c>
    </row>
    <row r="79">
      <c r="A79" s="7">
        <f>IFERROR(__xludf.DUMMYFUNCTION("""COMPUTED_VALUE"""),46226.0)</f>
        <v>46226</v>
      </c>
      <c r="B79" s="2" t="str">
        <f>IFERROR(__xludf.DUMMYFUNCTION("""COMPUTED_VALUE"""),"TRSF E-BANKING DB")</f>
        <v>TRSF E-BANKING DB</v>
      </c>
      <c r="C79" s="2" t="str">
        <f>IFERROR(__xludf.DUMMYFUNCTION("""COMPUTED_VALUE"""),"2307/FTSCY/WS95271 66000000.00 Mon Jul 20 2026 14:00:00 GMT+0700 (Western Indonesia Time) LAJU SATWA WISESA")</f>
        <v>2307/FTSCY/WS95271 66000000.00 Mon Jul 20 2026 14:00:00 GMT+0700 (Western Indonesia Time) LAJU SATWA WISESA</v>
      </c>
      <c r="D79" s="2">
        <f>IFERROR(__xludf.DUMMYFUNCTION("""COMPUTED_VALUE"""),6.6E7)</f>
        <v>66000000</v>
      </c>
      <c r="E79" s="2"/>
      <c r="F79" s="2" t="str">
        <f>IFERROR(__xludf.DUMMYFUNCTION("""COMPUTED_VALUE"""),"DB")</f>
        <v>DB</v>
      </c>
      <c r="G79" s="2">
        <f>IFERROR(__xludf.DUMMYFUNCTION("""COMPUTED_VALUE"""),7.1563540331E8)</f>
        <v>715635403.3</v>
      </c>
      <c r="H79" s="2"/>
      <c r="I79" s="2" t="str">
        <f>IFERROR(__xludf.DUMMYFUNCTION("""COMPUTED_VALUE"""),"PRIBADI")</f>
        <v>PRIBADI</v>
      </c>
    </row>
    <row r="80">
      <c r="A80" s="7">
        <f>IFERROR(__xludf.DUMMYFUNCTION("""COMPUTED_VALUE"""),46226.0)</f>
        <v>46226</v>
      </c>
      <c r="B80" s="2" t="str">
        <f>IFERROR(__xludf.DUMMYFUNCTION("""COMPUTED_VALUE"""),"TRSF E-BANKING DB")</f>
        <v>TRSF E-BANKING DB</v>
      </c>
      <c r="C80" s="2" t="str">
        <f>IFERROR(__xludf.DUMMYFUNCTION("""COMPUTED_VALUE"""),"2307/FTSCY/WS95271 77403800.00 Mon Jul 20 2026 14:00:00 GMT+0700 (Western Indonesia Time) ANUGERAH KARTIKA A")</f>
        <v>2307/FTSCY/WS95271 77403800.00 Mon Jul 20 2026 14:00:00 GMT+0700 (Western Indonesia Time) ANUGERAH KARTIKA A</v>
      </c>
      <c r="D80" s="2">
        <f>IFERROR(__xludf.DUMMYFUNCTION("""COMPUTED_VALUE"""),7.74038E7)</f>
        <v>77403800</v>
      </c>
      <c r="E80" s="2"/>
      <c r="F80" s="2" t="str">
        <f>IFERROR(__xludf.DUMMYFUNCTION("""COMPUTED_VALUE"""),"DB")</f>
        <v>DB</v>
      </c>
      <c r="G80" s="2">
        <f>IFERROR(__xludf.DUMMYFUNCTION("""COMPUTED_VALUE"""),6.3823160331E8)</f>
        <v>638231603.3</v>
      </c>
      <c r="H80" s="2"/>
      <c r="I80" s="2" t="str">
        <f>IFERROR(__xludf.DUMMYFUNCTION("""COMPUTED_VALUE"""),"PRIBADI")</f>
        <v>PRIBADI</v>
      </c>
    </row>
    <row r="81">
      <c r="A81" s="7">
        <f>IFERROR(__xludf.DUMMYFUNCTION("""COMPUTED_VALUE"""),46226.0)</f>
        <v>46226</v>
      </c>
      <c r="B81" s="2" t="str">
        <f>IFERROR(__xludf.DUMMYFUNCTION("""COMPUTED_VALUE"""),"TRSF E-BANKING DB")</f>
        <v>TRSF E-BANKING DB</v>
      </c>
      <c r="C81" s="2" t="str">
        <f>IFERROR(__xludf.DUMMYFUNCTION("""COMPUTED_VALUE"""),"2307/FTSCY/WS95271 65364350.00 Tue Jul 21 2026 14:00:00 GMT+0700 (Western Indonesia Time) TABASSAM AL HATTAK")</f>
        <v>2307/FTSCY/WS95271 65364350.00 Tue Jul 21 2026 14:00:00 GMT+0700 (Western Indonesia Time) TABASSAM AL HATTAK</v>
      </c>
      <c r="D81" s="2">
        <f>IFERROR(__xludf.DUMMYFUNCTION("""COMPUTED_VALUE"""),6.536435E7)</f>
        <v>65364350</v>
      </c>
      <c r="E81" s="2"/>
      <c r="F81" s="2" t="str">
        <f>IFERROR(__xludf.DUMMYFUNCTION("""COMPUTED_VALUE"""),"DB")</f>
        <v>DB</v>
      </c>
      <c r="G81" s="2">
        <f>IFERROR(__xludf.DUMMYFUNCTION("""COMPUTED_VALUE"""),5.7286725331E8)</f>
        <v>572867253.3</v>
      </c>
      <c r="H81" s="2"/>
      <c r="I81" s="2" t="str">
        <f>IFERROR(__xludf.DUMMYFUNCTION("""COMPUTED_VALUE"""),"PRIBADI")</f>
        <v>PRIBADI</v>
      </c>
    </row>
    <row r="82">
      <c r="A82" s="7">
        <f>IFERROR(__xludf.DUMMYFUNCTION("""COMPUTED_VALUE"""),46226.0)</f>
        <v>46226</v>
      </c>
      <c r="B82" s="2" t="str">
        <f>IFERROR(__xludf.DUMMYFUNCTION("""COMPUTED_VALUE"""),"TRSF E-BANKING DB")</f>
        <v>TRSF E-BANKING DB</v>
      </c>
      <c r="C82" s="2" t="str">
        <f>IFERROR(__xludf.DUMMYFUNCTION("""COMPUTED_VALUE"""),"2307/FTSCY/WS95011 145801600.00 Mon Jul 20 2026 14:00:00 GMT+0700 (Western Indonesia Time) ANDALAN YASA MITRA")</f>
        <v>2307/FTSCY/WS95011 145801600.00 Mon Jul 20 2026 14:00:00 GMT+0700 (Western Indonesia Time) ANDALAN YASA MITRA</v>
      </c>
      <c r="D82" s="2">
        <f>IFERROR(__xludf.DUMMYFUNCTION("""COMPUTED_VALUE"""),1.458016E8)</f>
        <v>145801600</v>
      </c>
      <c r="E82" s="2"/>
      <c r="F82" s="2" t="str">
        <f>IFERROR(__xludf.DUMMYFUNCTION("""COMPUTED_VALUE"""),"DB")</f>
        <v>DB</v>
      </c>
      <c r="G82" s="2">
        <f>IFERROR(__xludf.DUMMYFUNCTION("""COMPUTED_VALUE"""),4.2706565330999994E8)</f>
        <v>427065653.3</v>
      </c>
      <c r="H82" s="2"/>
      <c r="I82" s="2" t="str">
        <f>IFERROR(__xludf.DUMMYFUNCTION("""COMPUTED_VALUE"""),"PRIBADI")</f>
        <v>PRIBADI</v>
      </c>
    </row>
    <row r="83">
      <c r="A83" s="7">
        <f>IFERROR(__xludf.DUMMYFUNCTION("""COMPUTED_VALUE"""),46226.0)</f>
        <v>46226</v>
      </c>
      <c r="B83" s="2" t="str">
        <f>IFERROR(__xludf.DUMMYFUNCTION("""COMPUTED_VALUE"""),"TRSF E-BANKING DB")</f>
        <v>TRSF E-BANKING DB</v>
      </c>
      <c r="C83" s="2" t="str">
        <f>IFERROR(__xludf.DUMMYFUNCTION("""COMPUTED_VALUE"""),"2307/FTSCY/WS95011 141097000.00 Mon Jul 20 2026 14:00:00 GMT+0700 (Western Indonesia Time) ANDALAN YASA MITRA")</f>
        <v>2307/FTSCY/WS95011 141097000.00 Mon Jul 20 2026 14:00:00 GMT+0700 (Western Indonesia Time) ANDALAN YASA MITRA</v>
      </c>
      <c r="D83" s="2">
        <f>IFERROR(__xludf.DUMMYFUNCTION("""COMPUTED_VALUE"""),1.41097E8)</f>
        <v>141097000</v>
      </c>
      <c r="E83" s="2"/>
      <c r="F83" s="2" t="str">
        <f>IFERROR(__xludf.DUMMYFUNCTION("""COMPUTED_VALUE"""),"DB")</f>
        <v>DB</v>
      </c>
      <c r="G83" s="2">
        <f>IFERROR(__xludf.DUMMYFUNCTION("""COMPUTED_VALUE"""),2.8596865330999994E8)</f>
        <v>285968653.3</v>
      </c>
      <c r="H83" s="2"/>
      <c r="I83" s="2" t="str">
        <f>IFERROR(__xludf.DUMMYFUNCTION("""COMPUTED_VALUE"""),"PRIBADI")</f>
        <v>PRIBADI</v>
      </c>
    </row>
    <row r="84">
      <c r="A84" s="7">
        <f>IFERROR(__xludf.DUMMYFUNCTION("""COMPUTED_VALUE"""),46226.0)</f>
        <v>46226</v>
      </c>
      <c r="B84" s="2" t="str">
        <f>IFERROR(__xludf.DUMMYFUNCTION("""COMPUTED_VALUE"""),"TRSF E-BANKING DB")</f>
        <v>TRSF E-BANKING DB</v>
      </c>
      <c r="C84" s="2" t="str">
        <f>IFERROR(__xludf.DUMMYFUNCTION("""COMPUTED_VALUE"""),"2307/FTSCY/WS95011 15753520.00 pelunasan ANDALAN YASA MITRA")</f>
        <v>2307/FTSCY/WS95011 15753520.00 pelunasan ANDALAN YASA MITRA</v>
      </c>
      <c r="D84" s="2">
        <f>IFERROR(__xludf.DUMMYFUNCTION("""COMPUTED_VALUE"""),1.575352E7)</f>
        <v>15753520</v>
      </c>
      <c r="E84" s="2"/>
      <c r="F84" s="2" t="str">
        <f>IFERROR(__xludf.DUMMYFUNCTION("""COMPUTED_VALUE"""),"DB")</f>
        <v>DB</v>
      </c>
      <c r="G84" s="2">
        <f>IFERROR(__xludf.DUMMYFUNCTION("""COMPUTED_VALUE"""),2.7021513330999994E8)</f>
        <v>270215133.3</v>
      </c>
      <c r="H84" s="2"/>
      <c r="I84" s="2" t="str">
        <f>IFERROR(__xludf.DUMMYFUNCTION("""COMPUTED_VALUE"""),"PRIBADI")</f>
        <v>PRIBADI</v>
      </c>
    </row>
    <row r="85">
      <c r="A85" s="7">
        <f>IFERROR(__xludf.DUMMYFUNCTION("""COMPUTED_VALUE"""),46226.0)</f>
        <v>46226</v>
      </c>
      <c r="B85" s="2" t="str">
        <f>IFERROR(__xludf.DUMMYFUNCTION("""COMPUTED_VALUE"""),"TRSF E-BANKING DB")</f>
        <v>TRSF E-BANKING DB</v>
      </c>
      <c r="C85" s="2" t="str">
        <f>IFERROR(__xludf.DUMMYFUNCTION("""COMPUTED_VALUE"""),"2307/FTSCY/WS95011 169675820.00 Mon Jul 20 2026 14:00:00 GMT+0700 (Western Indonesia Time) krg 113 jt BROILER MAKMUR TAN")</f>
        <v>2307/FTSCY/WS95011 169675820.00 Mon Jul 20 2026 14:00:00 GMT+0700 (Western Indonesia Time) krg 113 jt BROILER MAKMUR TAN</v>
      </c>
      <c r="D85" s="2">
        <f>IFERROR(__xludf.DUMMYFUNCTION("""COMPUTED_VALUE"""),1.6967582E8)</f>
        <v>169675820</v>
      </c>
      <c r="E85" s="2"/>
      <c r="F85" s="2" t="str">
        <f>IFERROR(__xludf.DUMMYFUNCTION("""COMPUTED_VALUE"""),"DB")</f>
        <v>DB</v>
      </c>
      <c r="G85" s="2">
        <f>IFERROR(__xludf.DUMMYFUNCTION("""COMPUTED_VALUE"""),1.0053931330999994E8)</f>
        <v>100539313.3</v>
      </c>
      <c r="H85" s="2">
        <f>IFERROR(__xludf.DUMMYFUNCTION("""COMPUTED_VALUE"""),1.0053931331E8)</f>
        <v>100539313.3</v>
      </c>
      <c r="I85" s="2" t="str">
        <f>IFERROR(__xludf.DUMMYFUNCTION("""COMPUTED_VALUE"""),"PRIBADI")</f>
        <v>PRIBADI</v>
      </c>
    </row>
    <row r="86">
      <c r="A86" s="7">
        <f>IFERROR(__xludf.DUMMYFUNCTION("""COMPUTED_VALUE"""),46226.0)</f>
        <v>46226</v>
      </c>
      <c r="B86" s="2" t="str">
        <f>IFERROR(__xludf.DUMMYFUNCTION("""COMPUTED_VALUE"""),"TRSF E-BANKING DB")</f>
        <v>TRSF E-BANKING DB</v>
      </c>
      <c r="C86" s="2" t="str">
        <f>IFERROR(__xludf.DUMMYFUNCTION("""COMPUTED_VALUE"""),"2307/FTSCY/WS95031 50000000.00 titip penngambilan Thu Jul 23 2026 14:00:00 GMT+0700 (Western Indonesia Time) BERLIAN UNGGUL JAY")</f>
        <v>2307/FTSCY/WS95031 50000000.00 titip penngambilan Thu Jul 23 2026 14:00:00 GMT+0700 (Western Indonesia Time) BERLIAN UNGGUL JAY</v>
      </c>
      <c r="D86" s="2">
        <f>IFERROR(__xludf.DUMMYFUNCTION("""COMPUTED_VALUE"""),5.0E7)</f>
        <v>50000000</v>
      </c>
      <c r="E86" s="2"/>
      <c r="F86" s="2" t="str">
        <f>IFERROR(__xludf.DUMMYFUNCTION("""COMPUTED_VALUE"""),"DB")</f>
        <v>DB</v>
      </c>
      <c r="G86" s="2">
        <f>IFERROR(__xludf.DUMMYFUNCTION("""COMPUTED_VALUE"""),5.053931330999994E7)</f>
        <v>50539313.31</v>
      </c>
      <c r="H86" s="2">
        <f>IFERROR(__xludf.DUMMYFUNCTION("""COMPUTED_VALUE"""),5.053931331E7)</f>
        <v>50539313.31</v>
      </c>
      <c r="I86" s="2" t="str">
        <f>IFERROR(__xludf.DUMMYFUNCTION("""COMPUTED_VALUE"""),"PRIBADI")</f>
        <v>PRIBADI</v>
      </c>
    </row>
    <row r="87">
      <c r="A87" s="7">
        <f>IFERROR(__xludf.DUMMYFUNCTION("""COMPUTED_VALUE"""),46226.0)</f>
        <v>46226</v>
      </c>
      <c r="B87" s="2" t="str">
        <f>IFERROR(__xludf.DUMMYFUNCTION("""COMPUTED_VALUE"""),"KARTU DEBIT")</f>
        <v>KARTU DEBIT</v>
      </c>
      <c r="C87" s="2" t="str">
        <f>IFERROR(__xludf.DUMMYFUNCTION("""COMPUTED_VALUE"""),"ALFAMRT Y207 BRTN 6019009510239343")</f>
        <v>ALFAMRT Y207 BRTN 6019009510239343</v>
      </c>
      <c r="D87" s="2">
        <f>IFERROR(__xludf.DUMMYFUNCTION("""COMPUTED_VALUE"""),202200.0)</f>
        <v>202200</v>
      </c>
      <c r="E87" s="2"/>
      <c r="F87" s="2"/>
      <c r="G87" s="2">
        <f>IFERROR(__xludf.DUMMYFUNCTION("""COMPUTED_VALUE"""),5.033711330999994E7)</f>
        <v>50337113.31</v>
      </c>
      <c r="H87" s="2"/>
      <c r="I87" s="2" t="str">
        <f>IFERROR(__xludf.DUMMYFUNCTION("""COMPUTED_VALUE"""),"PRIBADI")</f>
        <v>PRIBADI</v>
      </c>
    </row>
    <row r="88">
      <c r="A88" s="7">
        <f>IFERROR(__xludf.DUMMYFUNCTION("""COMPUTED_VALUE"""),46226.0)</f>
        <v>46226</v>
      </c>
      <c r="B88" s="2" t="str">
        <f>IFERROR(__xludf.DUMMYFUNCTION("""COMPUTED_VALUE"""),"TRSF E-BANKING DB")</f>
        <v>TRSF E-BANKING DB</v>
      </c>
      <c r="C88" s="2" t="str">
        <f>IFERROR(__xludf.DUMMYFUNCTION("""COMPUTED_VALUE"""),"2307/FTFVA/WS95031 55569/PT PRIMA FAJ titip besuki - 40190")</f>
        <v>2307/FTFVA/WS95031 55569/PT PRIMA FAJ titip besuki - 40190</v>
      </c>
      <c r="D88" s="2">
        <f>IFERROR(__xludf.DUMMYFUNCTION("""COMPUTED_VALUE"""),7.5E7)</f>
        <v>75000000</v>
      </c>
      <c r="E88" s="2"/>
      <c r="F88" s="2" t="str">
        <f>IFERROR(__xludf.DUMMYFUNCTION("""COMPUTED_VALUE"""),"DB")</f>
        <v>DB</v>
      </c>
      <c r="G88" s="2">
        <f>IFERROR(__xludf.DUMMYFUNCTION("""COMPUTED_VALUE"""),337113.3099999428)</f>
        <v>337113.31</v>
      </c>
      <c r="H88" s="2">
        <f>IFERROR(__xludf.DUMMYFUNCTION("""COMPUTED_VALUE"""),337113.31)</f>
        <v>337113.31</v>
      </c>
      <c r="I88" s="2" t="str">
        <f>IFERROR(__xludf.DUMMYFUNCTION("""COMPUTED_VALUE"""),"PRIBADI")</f>
        <v>PRIBADI</v>
      </c>
    </row>
    <row r="89">
      <c r="A89" s="7">
        <f>IFERROR(__xludf.DUMMYFUNCTION("""COMPUTED_VALUE"""),46227.0)</f>
        <v>46227</v>
      </c>
      <c r="B89" s="2" t="str">
        <f>IFERROR(__xludf.DUMMYFUNCTION("""COMPUTED_VALUE"""),"TRSF E-BANKING DB")</f>
        <v>TRSF E-BANKING DB</v>
      </c>
      <c r="C89" s="2" t="str">
        <f>IFERROR(__xludf.DUMMYFUNCTION("""COMPUTED_VALUE"""),"2407/FTSCY/WS95031 100000000.00 BERLIAN UNGGUL JAY")</f>
        <v>2407/FTSCY/WS95031 100000000.00 BERLIAN UNGGUL JAY</v>
      </c>
      <c r="D89" s="2">
        <f>IFERROR(__xludf.DUMMYFUNCTION("""COMPUTED_VALUE"""),1.0E8)</f>
        <v>100000000</v>
      </c>
      <c r="E89" s="2"/>
      <c r="F89" s="2" t="str">
        <f>IFERROR(__xludf.DUMMYFUNCTION("""COMPUTED_VALUE"""),"DB")</f>
        <v>DB</v>
      </c>
      <c r="G89" s="2">
        <f>IFERROR(__xludf.DUMMYFUNCTION("""COMPUTED_VALUE"""),5.8388141331E8)</f>
        <v>583881413.3</v>
      </c>
      <c r="H89" s="2"/>
      <c r="I89" s="2" t="str">
        <f>IFERROR(__xludf.DUMMYFUNCTION("""COMPUTED_VALUE"""),"PRIBADI")</f>
        <v>PRIBADI</v>
      </c>
    </row>
    <row r="90">
      <c r="A90" s="7">
        <f>IFERROR(__xludf.DUMMYFUNCTION("""COMPUTED_VALUE"""),46227.0)</f>
        <v>46227</v>
      </c>
      <c r="B90" s="2" t="str">
        <f>IFERROR(__xludf.DUMMYFUNCTION("""COMPUTED_VALUE"""),"TRSF E-BANKING DB")</f>
        <v>TRSF E-BANKING DB</v>
      </c>
      <c r="C90" s="2" t="str">
        <f>IFERROR(__xludf.DUMMYFUNCTION("""COMPUTED_VALUE"""),"2407/FTSCY/WS95271 72459300.00 Tue Jul 21 2026 14:00:00 GMT+0700 (Western Indonesia Time) GANESHA SATRIA NUS")</f>
        <v>2407/FTSCY/WS95271 72459300.00 Tue Jul 21 2026 14:00:00 GMT+0700 (Western Indonesia Time) GANESHA SATRIA NUS</v>
      </c>
      <c r="D90" s="2">
        <f>IFERROR(__xludf.DUMMYFUNCTION("""COMPUTED_VALUE"""),7.24593E7)</f>
        <v>72459300</v>
      </c>
      <c r="E90" s="2"/>
      <c r="F90" s="2" t="str">
        <f>IFERROR(__xludf.DUMMYFUNCTION("""COMPUTED_VALUE"""),"DB")</f>
        <v>DB</v>
      </c>
      <c r="G90" s="2">
        <f>IFERROR(__xludf.DUMMYFUNCTION("""COMPUTED_VALUE"""),5.1142211330999994E8)</f>
        <v>511422113.3</v>
      </c>
      <c r="H90" s="2"/>
      <c r="I90" s="2" t="str">
        <f>IFERROR(__xludf.DUMMYFUNCTION("""COMPUTED_VALUE"""),"PRIBADI")</f>
        <v>PRIBADI</v>
      </c>
    </row>
    <row r="91">
      <c r="A91" s="7">
        <f>IFERROR(__xludf.DUMMYFUNCTION("""COMPUTED_VALUE"""),46227.0)</f>
        <v>46227</v>
      </c>
      <c r="B91" s="2" t="str">
        <f>IFERROR(__xludf.DUMMYFUNCTION("""COMPUTED_VALUE"""),"TRSF E-BANKING DB")</f>
        <v>TRSF E-BANKING DB</v>
      </c>
      <c r="C91" s="2" t="str">
        <f>IFERROR(__xludf.DUMMYFUNCTION("""COMPUTED_VALUE"""),"2407/FTSCY/WS95271 10500000.00 pelunasan TABASSAM AL HATTAK")</f>
        <v>2407/FTSCY/WS95271 10500000.00 pelunasan TABASSAM AL HATTAK</v>
      </c>
      <c r="D91" s="2">
        <f>IFERROR(__xludf.DUMMYFUNCTION("""COMPUTED_VALUE"""),1.05E7)</f>
        <v>10500000</v>
      </c>
      <c r="E91" s="2"/>
      <c r="F91" s="2" t="str">
        <f>IFERROR(__xludf.DUMMYFUNCTION("""COMPUTED_VALUE"""),"DB")</f>
        <v>DB</v>
      </c>
      <c r="G91" s="2">
        <f>IFERROR(__xludf.DUMMYFUNCTION("""COMPUTED_VALUE"""),5.0092211330999994E8)</f>
        <v>500922113.3</v>
      </c>
      <c r="H91" s="2"/>
      <c r="I91" s="2" t="str">
        <f>IFERROR(__xludf.DUMMYFUNCTION("""COMPUTED_VALUE"""),"PRIBADI")</f>
        <v>PRIBADI</v>
      </c>
    </row>
    <row r="92">
      <c r="A92" s="7">
        <f>IFERROR(__xludf.DUMMYFUNCTION("""COMPUTED_VALUE"""),46227.0)</f>
        <v>46227</v>
      </c>
      <c r="B92" s="2" t="str">
        <f>IFERROR(__xludf.DUMMYFUNCTION("""COMPUTED_VALUE"""),"TRSF E-BANKING DB")</f>
        <v>TRSF E-BANKING DB</v>
      </c>
      <c r="C92" s="2" t="str">
        <f>IFERROR(__xludf.DUMMYFUNCTION("""COMPUTED_VALUE"""),"2407/FTSCY/WS95271 132358760.00 pelunasan SUGENG RIADI")</f>
        <v>2407/FTSCY/WS95271 132358760.00 pelunasan SUGENG RIADI</v>
      </c>
      <c r="D92" s="2">
        <f>IFERROR(__xludf.DUMMYFUNCTION("""COMPUTED_VALUE"""),1.3235876E8)</f>
        <v>132358760</v>
      </c>
      <c r="E92" s="2"/>
      <c r="F92" s="2" t="str">
        <f>IFERROR(__xludf.DUMMYFUNCTION("""COMPUTED_VALUE"""),"DB")</f>
        <v>DB</v>
      </c>
      <c r="G92" s="2">
        <f>IFERROR(__xludf.DUMMYFUNCTION("""COMPUTED_VALUE"""),4.8408635330999994E8)</f>
        <v>484086353.3</v>
      </c>
      <c r="H92" s="2"/>
      <c r="I92" s="2" t="str">
        <f>IFERROR(__xludf.DUMMYFUNCTION("""COMPUTED_VALUE"""),"PRIBADI")</f>
        <v>PRIBADI</v>
      </c>
    </row>
    <row r="93">
      <c r="A93" s="7">
        <f>IFERROR(__xludf.DUMMYFUNCTION("""COMPUTED_VALUE"""),46227.0)</f>
        <v>46227</v>
      </c>
      <c r="B93" s="2" t="str">
        <f>IFERROR(__xludf.DUMMYFUNCTION("""COMPUTED_VALUE"""),"TRSF E-BANKING DB")</f>
        <v>TRSF E-BANKING DB</v>
      </c>
      <c r="C93" s="2" t="str">
        <f>IFERROR(__xludf.DUMMYFUNCTION("""COMPUTED_VALUE"""),"2407/FTSCY/WS95271 67800000.00 Tue Jul 21 2026 14:00:00 GMT+0700 (Western Indonesia Time) ANDALAN YASA MITRA")</f>
        <v>2407/FTSCY/WS95271 67800000.00 Tue Jul 21 2026 14:00:00 GMT+0700 (Western Indonesia Time) ANDALAN YASA MITRA</v>
      </c>
      <c r="D93" s="2">
        <f>IFERROR(__xludf.DUMMYFUNCTION("""COMPUTED_VALUE"""),6.78E7)</f>
        <v>67800000</v>
      </c>
      <c r="E93" s="2"/>
      <c r="F93" s="2" t="str">
        <f>IFERROR(__xludf.DUMMYFUNCTION("""COMPUTED_VALUE"""),"DB")</f>
        <v>DB</v>
      </c>
      <c r="G93" s="2">
        <f>IFERROR(__xludf.DUMMYFUNCTION("""COMPUTED_VALUE"""),4.1628635330999994E8)</f>
        <v>416286353.3</v>
      </c>
      <c r="H93" s="2"/>
      <c r="I93" s="2" t="str">
        <f>IFERROR(__xludf.DUMMYFUNCTION("""COMPUTED_VALUE"""),"PRIBADI")</f>
        <v>PRIBADI</v>
      </c>
    </row>
    <row r="94">
      <c r="A94" s="7">
        <f>IFERROR(__xludf.DUMMYFUNCTION("""COMPUTED_VALUE"""),46227.0)</f>
        <v>46227</v>
      </c>
      <c r="B94" s="2" t="str">
        <f>IFERROR(__xludf.DUMMYFUNCTION("""COMPUTED_VALUE"""),"TRSF E-BANKING DB")</f>
        <v>TRSF E-BANKING DB</v>
      </c>
      <c r="C94" s="2" t="str">
        <f>IFERROR(__xludf.DUMMYFUNCTION("""COMPUTED_VALUE"""),"2407/FTSCY/WS95271 16000000.00 Mon Jul 20 2026 14:00:00 GMT+0700 (Western Indonesia Time) ANDALAN YASA MITRA")</f>
        <v>2407/FTSCY/WS95271 16000000.00 Mon Jul 20 2026 14:00:00 GMT+0700 (Western Indonesia Time) ANDALAN YASA MITRA</v>
      </c>
      <c r="D94" s="2">
        <f>IFERROR(__xludf.DUMMYFUNCTION("""COMPUTED_VALUE"""),1.6E7)</f>
        <v>16000000</v>
      </c>
      <c r="E94" s="2"/>
      <c r="F94" s="2" t="str">
        <f>IFERROR(__xludf.DUMMYFUNCTION("""COMPUTED_VALUE"""),"DB")</f>
        <v>DB</v>
      </c>
      <c r="G94" s="2">
        <f>IFERROR(__xludf.DUMMYFUNCTION("""COMPUTED_VALUE"""),4.0028635330999994E8)</f>
        <v>400286353.3</v>
      </c>
      <c r="H94" s="2"/>
      <c r="I94" s="2" t="str">
        <f>IFERROR(__xludf.DUMMYFUNCTION("""COMPUTED_VALUE"""),"PRIBADI")</f>
        <v>PRIBADI</v>
      </c>
    </row>
    <row r="95">
      <c r="A95" s="7">
        <f>IFERROR(__xludf.DUMMYFUNCTION("""COMPUTED_VALUE"""),46227.0)</f>
        <v>46227</v>
      </c>
      <c r="B95" s="2" t="str">
        <f>IFERROR(__xludf.DUMMYFUNCTION("""COMPUTED_VALUE"""),"TRSF E-BANKING DB")</f>
        <v>TRSF E-BANKING DB</v>
      </c>
      <c r="C95" s="2" t="str">
        <f>IFERROR(__xludf.DUMMYFUNCTION("""COMPUTED_VALUE"""),"2407/FTSCY/WS95011 97062620.00 pelunasan BERLIAN UNGGUL JAY")</f>
        <v>2407/FTSCY/WS95011 97062620.00 pelunasan BERLIAN UNGGUL JAY</v>
      </c>
      <c r="D95" s="2">
        <f>IFERROR(__xludf.DUMMYFUNCTION("""COMPUTED_VALUE"""),9.706262E7)</f>
        <v>97062620</v>
      </c>
      <c r="E95" s="2"/>
      <c r="F95" s="2" t="str">
        <f>IFERROR(__xludf.DUMMYFUNCTION("""COMPUTED_VALUE"""),"DB")</f>
        <v>DB</v>
      </c>
      <c r="G95" s="2">
        <f>IFERROR(__xludf.DUMMYFUNCTION("""COMPUTED_VALUE"""),3.0622373330999994E8)</f>
        <v>306223733.3</v>
      </c>
      <c r="H95" s="2">
        <f>IFERROR(__xludf.DUMMYFUNCTION("""COMPUTED_VALUE"""),3.0622373331E8)</f>
        <v>306223733.3</v>
      </c>
      <c r="I95" s="2" t="str">
        <f>IFERROR(__xludf.DUMMYFUNCTION("""COMPUTED_VALUE"""),"PRIBADI")</f>
        <v>PRIBADI</v>
      </c>
    </row>
    <row r="96">
      <c r="A96" s="7">
        <f>IFERROR(__xludf.DUMMYFUNCTION("""COMPUTED_VALUE"""),46227.0)</f>
        <v>46227</v>
      </c>
      <c r="B96" s="2" t="str">
        <f>IFERROR(__xludf.DUMMYFUNCTION("""COMPUTED_VALUE"""),"TRSF E-BANKING DB")</f>
        <v>TRSF E-BANKING DB</v>
      </c>
      <c r="C96" s="2" t="str">
        <f>IFERROR(__xludf.DUMMYFUNCTION("""COMPUTED_VALUE"""),"2407/FTSCY/WS95011 50000000.00 pelunasan ANDALAN YASA MITRA")</f>
        <v>2407/FTSCY/WS95011 50000000.00 pelunasan ANDALAN YASA MITRA</v>
      </c>
      <c r="D96" s="2">
        <f>IFERROR(__xludf.DUMMYFUNCTION("""COMPUTED_VALUE"""),5.0E7)</f>
        <v>50000000</v>
      </c>
      <c r="E96" s="2"/>
      <c r="F96" s="2" t="str">
        <f>IFERROR(__xludf.DUMMYFUNCTION("""COMPUTED_VALUE"""),"DB")</f>
        <v>DB</v>
      </c>
      <c r="G96" s="2">
        <f>IFERROR(__xludf.DUMMYFUNCTION("""COMPUTED_VALUE"""),2.5622373330999994E8)</f>
        <v>256223733.3</v>
      </c>
      <c r="H96" s="2"/>
      <c r="I96" s="2" t="str">
        <f>IFERROR(__xludf.DUMMYFUNCTION("""COMPUTED_VALUE"""),"PRIBADI")</f>
        <v>PRIBADI</v>
      </c>
    </row>
    <row r="97">
      <c r="A97" s="7">
        <f>IFERROR(__xludf.DUMMYFUNCTION("""COMPUTED_VALUE"""),46227.0)</f>
        <v>46227</v>
      </c>
      <c r="B97" s="2" t="str">
        <f>IFERROR(__xludf.DUMMYFUNCTION("""COMPUTED_VALUE"""),"TRSF E-BANKING DB")</f>
        <v>TRSF E-BANKING DB</v>
      </c>
      <c r="C97" s="2" t="str">
        <f>IFERROR(__xludf.DUMMYFUNCTION("""COMPUTED_VALUE"""),"2407/FTSCY/WS95011 113000000.00 pelunasan BROILER MAKMUR TAN")</f>
        <v>2407/FTSCY/WS95011 113000000.00 pelunasan BROILER MAKMUR TAN</v>
      </c>
      <c r="D97" s="2">
        <f>IFERROR(__xludf.DUMMYFUNCTION("""COMPUTED_VALUE"""),1.13E8)</f>
        <v>113000000</v>
      </c>
      <c r="E97" s="2"/>
      <c r="F97" s="2" t="str">
        <f>IFERROR(__xludf.DUMMYFUNCTION("""COMPUTED_VALUE"""),"DB")</f>
        <v>DB</v>
      </c>
      <c r="G97" s="2">
        <f>IFERROR(__xludf.DUMMYFUNCTION("""COMPUTED_VALUE"""),1.4322373330999994E8)</f>
        <v>143223733.3</v>
      </c>
      <c r="H97" s="2"/>
      <c r="I97" s="2" t="str">
        <f>IFERROR(__xludf.DUMMYFUNCTION("""COMPUTED_VALUE"""),"PRIBADI")</f>
        <v>PRIBADI</v>
      </c>
    </row>
    <row r="98">
      <c r="A98" s="7">
        <f>IFERROR(__xludf.DUMMYFUNCTION("""COMPUTED_VALUE"""),46227.0)</f>
        <v>46227</v>
      </c>
      <c r="B98" s="2" t="str">
        <f>IFERROR(__xludf.DUMMYFUNCTION("""COMPUTED_VALUE"""),"TRSF E-BANKING DB")</f>
        <v>TRSF E-BANKING DB</v>
      </c>
      <c r="C98" s="2" t="str">
        <f>IFERROR(__xludf.DUMMYFUNCTION("""COMPUTED_VALUE"""),"2407/FTSCY/WS95011 86334450.00 Tue Jul 21 2026 14:00:00 GMT+0700 (Western Indonesia Time) BINTANG TAMA SANTO")</f>
        <v>2407/FTSCY/WS95011 86334450.00 Tue Jul 21 2026 14:00:00 GMT+0700 (Western Indonesia Time) BINTANG TAMA SANTO</v>
      </c>
      <c r="D98" s="2">
        <f>IFERROR(__xludf.DUMMYFUNCTION("""COMPUTED_VALUE"""),8.633445E7)</f>
        <v>86334450</v>
      </c>
      <c r="E98" s="2"/>
      <c r="F98" s="2" t="str">
        <f>IFERROR(__xludf.DUMMYFUNCTION("""COMPUTED_VALUE"""),"DB")</f>
        <v>DB</v>
      </c>
      <c r="G98" s="2">
        <f>IFERROR(__xludf.DUMMYFUNCTION("""COMPUTED_VALUE"""),5.688928330999994E7)</f>
        <v>56889283.31</v>
      </c>
      <c r="H98" s="2"/>
      <c r="I98" s="2" t="str">
        <f>IFERROR(__xludf.DUMMYFUNCTION("""COMPUTED_VALUE"""),"PRIBADI")</f>
        <v>PRIBADI</v>
      </c>
    </row>
    <row r="99">
      <c r="A99" s="7">
        <f>IFERROR(__xludf.DUMMYFUNCTION("""COMPUTED_VALUE"""),46227.0)</f>
        <v>46227</v>
      </c>
      <c r="B99" s="2" t="str">
        <f>IFERROR(__xludf.DUMMYFUNCTION("""COMPUTED_VALUE"""),"TRSF E-BANKING DB")</f>
        <v>TRSF E-BANKING DB</v>
      </c>
      <c r="C99" s="2" t="str">
        <f>IFERROR(__xludf.DUMMYFUNCTION("""COMPUTED_VALUE"""),"2407/FTFVA/WS95031 55569/PT PRIMA FAJ pelunasan besuki - 40190")</f>
        <v>2407/FTFVA/WS95031 55569/PT PRIMA FAJ pelunasan besuki - 40190</v>
      </c>
      <c r="D99" s="2">
        <f>IFERROR(__xludf.DUMMYFUNCTION("""COMPUTED_VALUE"""),6.8E7)</f>
        <v>68000000</v>
      </c>
      <c r="E99" s="2"/>
      <c r="F99" s="2" t="str">
        <f>IFERROR(__xludf.DUMMYFUNCTION("""COMPUTED_VALUE"""),"DB")</f>
        <v>DB</v>
      </c>
      <c r="G99" s="2">
        <f>IFERROR(__xludf.DUMMYFUNCTION("""COMPUTED_VALUE"""),5.7504488331E8)</f>
        <v>575044883.3</v>
      </c>
      <c r="H99" s="2"/>
      <c r="I99" s="2" t="str">
        <f>IFERROR(__xludf.DUMMYFUNCTION("""COMPUTED_VALUE"""),"PRIBADI")</f>
        <v>PRIBADI</v>
      </c>
    </row>
    <row r="100">
      <c r="A100" s="7">
        <f>IFERROR(__xludf.DUMMYFUNCTION("""COMPUTED_VALUE"""),46227.0)</f>
        <v>46227</v>
      </c>
      <c r="B100" s="2" t="str">
        <f>IFERROR(__xludf.DUMMYFUNCTION("""COMPUTED_VALUE"""),"TRSF E-BANKING DB")</f>
        <v>TRSF E-BANKING DB</v>
      </c>
      <c r="C100" s="2" t="str">
        <f>IFERROR(__xludf.DUMMYFUNCTION("""COMPUTED_VALUE"""),"2407/FTSCY/WS95011 63096600.00 Mon Jul 20 2026 14:00:00 GMT+0700 (Western Indonesia Time) SUPER UNGGAS JAYA")</f>
        <v>2407/FTSCY/WS95011 63096600.00 Mon Jul 20 2026 14:00:00 GMT+0700 (Western Indonesia Time) SUPER UNGGAS JAYA</v>
      </c>
      <c r="D100" s="2">
        <f>IFERROR(__xludf.DUMMYFUNCTION("""COMPUTED_VALUE"""),6.30966E7)</f>
        <v>63096600</v>
      </c>
      <c r="E100" s="2"/>
      <c r="F100" s="2" t="str">
        <f>IFERROR(__xludf.DUMMYFUNCTION("""COMPUTED_VALUE"""),"DB")</f>
        <v>DB</v>
      </c>
      <c r="G100" s="2">
        <f>IFERROR(__xludf.DUMMYFUNCTION("""COMPUTED_VALUE"""),5.1194828330999994E8)</f>
        <v>511948283.3</v>
      </c>
      <c r="H100" s="2"/>
      <c r="I100" s="2" t="str">
        <f>IFERROR(__xludf.DUMMYFUNCTION("""COMPUTED_VALUE"""),"PRIBADI")</f>
        <v>PRIBADI</v>
      </c>
    </row>
    <row r="101">
      <c r="A101" s="7">
        <f>IFERROR(__xludf.DUMMYFUNCTION("""COMPUTED_VALUE"""),46227.0)</f>
        <v>46227</v>
      </c>
      <c r="B101" s="2" t="str">
        <f>IFERROR(__xludf.DUMMYFUNCTION("""COMPUTED_VALUE"""),"TRSF E-BANKING DB")</f>
        <v>TRSF E-BANKING DB</v>
      </c>
      <c r="C101" s="2" t="str">
        <f>IFERROR(__xludf.DUMMYFUNCTION("""COMPUTED_VALUE"""),"2407/FTSCY/WS95011 10615120.00 NURHAYATI")</f>
        <v>2407/FTSCY/WS95011 10615120.00 NURHAYATI</v>
      </c>
      <c r="D101" s="2">
        <f>IFERROR(__xludf.DUMMYFUNCTION("""COMPUTED_VALUE"""),1.061512E7)</f>
        <v>10615120</v>
      </c>
      <c r="E101" s="2"/>
      <c r="F101" s="2" t="str">
        <f>IFERROR(__xludf.DUMMYFUNCTION("""COMPUTED_VALUE"""),"DB")</f>
        <v>DB</v>
      </c>
      <c r="G101" s="2">
        <f>IFERROR(__xludf.DUMMYFUNCTION("""COMPUTED_VALUE"""),5.0133316330999994E8)</f>
        <v>501333163.3</v>
      </c>
      <c r="H101" s="2"/>
      <c r="I101" s="2" t="str">
        <f>IFERROR(__xludf.DUMMYFUNCTION("""COMPUTED_VALUE"""),"PRIBADI")</f>
        <v>PRIBADI</v>
      </c>
    </row>
    <row r="102">
      <c r="A102" s="7">
        <f>IFERROR(__xludf.DUMMYFUNCTION("""COMPUTED_VALUE"""),46227.0)</f>
        <v>46227</v>
      </c>
      <c r="B102" s="2" t="str">
        <f>IFERROR(__xludf.DUMMYFUNCTION("""COMPUTED_VALUE"""),"TRSF E-BANKING DB")</f>
        <v>TRSF E-BANKING DB</v>
      </c>
      <c r="C102" s="2" t="str">
        <f>IFERROR(__xludf.DUMMYFUNCTION("""COMPUTED_VALUE"""),"2407/FTSCY/WS95011 55695750.00 Wed Jul 22 2026 14:00:00 GMT+0700 (Western Indonesia Time) ANUGERAH KARTIKA A")</f>
        <v>2407/FTSCY/WS95011 55695750.00 Wed Jul 22 2026 14:00:00 GMT+0700 (Western Indonesia Time) ANUGERAH KARTIKA A</v>
      </c>
      <c r="D102" s="2">
        <f>IFERROR(__xludf.DUMMYFUNCTION("""COMPUTED_VALUE"""),5.569575E7)</f>
        <v>55695750</v>
      </c>
      <c r="E102" s="2"/>
      <c r="F102" s="2" t="str">
        <f>IFERROR(__xludf.DUMMYFUNCTION("""COMPUTED_VALUE"""),"DB")</f>
        <v>DB</v>
      </c>
      <c r="G102" s="2">
        <f>IFERROR(__xludf.DUMMYFUNCTION("""COMPUTED_VALUE"""),4.4563741330999994E8)</f>
        <v>445637413.3</v>
      </c>
      <c r="H102" s="2"/>
      <c r="I102" s="2" t="str">
        <f>IFERROR(__xludf.DUMMYFUNCTION("""COMPUTED_VALUE"""),"PRIBADI")</f>
        <v>PRIBADI</v>
      </c>
    </row>
    <row r="103">
      <c r="A103" s="7">
        <f>IFERROR(__xludf.DUMMYFUNCTION("""COMPUTED_VALUE"""),46227.0)</f>
        <v>46227</v>
      </c>
      <c r="B103" s="2" t="str">
        <f>IFERROR(__xludf.DUMMYFUNCTION("""COMPUTED_VALUE"""),"TRSF E-BANKING DB")</f>
        <v>TRSF E-BANKING DB</v>
      </c>
      <c r="C103" s="2" t="str">
        <f>IFERROR(__xludf.DUMMYFUNCTION("""COMPUTED_VALUE"""),"2407/FTFVA/WS95031 80777/TOKOPEDIA - - 82318368518")</f>
        <v>2407/FTFVA/WS95031 80777/TOKOPEDIA - - 82318368518</v>
      </c>
      <c r="D103" s="2">
        <f>IFERROR(__xludf.DUMMYFUNCTION("""COMPUTED_VALUE"""),497200.0)</f>
        <v>497200</v>
      </c>
      <c r="E103" s="2"/>
      <c r="F103" s="2" t="str">
        <f>IFERROR(__xludf.DUMMYFUNCTION("""COMPUTED_VALUE"""),"DB")</f>
        <v>DB</v>
      </c>
      <c r="G103" s="2">
        <f>IFERROR(__xludf.DUMMYFUNCTION("""COMPUTED_VALUE"""),1.04573280131E9)</f>
        <v>1045732801</v>
      </c>
      <c r="H103" s="2"/>
      <c r="I103" s="2" t="str">
        <f>IFERROR(__xludf.DUMMYFUNCTION("""COMPUTED_VALUE"""),"PRIBADI")</f>
        <v>PRIBADI</v>
      </c>
    </row>
    <row r="104">
      <c r="A104" s="7">
        <f>IFERROR(__xludf.DUMMYFUNCTION("""COMPUTED_VALUE"""),46227.0)</f>
        <v>46227</v>
      </c>
      <c r="B104" s="2" t="str">
        <f>IFERROR(__xludf.DUMMYFUNCTION("""COMPUTED_VALUE"""),"TRSF E-BANKING DB")</f>
        <v>TRSF E-BANKING DB</v>
      </c>
      <c r="C104" s="2" t="str">
        <f>IFERROR(__xludf.DUMMYFUNCTION("""COMPUTED_VALUE"""),"2407/FTSCY/WS95011 20000000.00 EKO SETIYAWAN")</f>
        <v>2407/FTSCY/WS95011 20000000.00 EKO SETIYAWAN</v>
      </c>
      <c r="D104" s="2">
        <f>IFERROR(__xludf.DUMMYFUNCTION("""COMPUTED_VALUE"""),2.0E7)</f>
        <v>20000000</v>
      </c>
      <c r="E104" s="2"/>
      <c r="F104" s="2" t="str">
        <f>IFERROR(__xludf.DUMMYFUNCTION("""COMPUTED_VALUE"""),"DB")</f>
        <v>DB</v>
      </c>
      <c r="G104" s="2">
        <f>IFERROR(__xludf.DUMMYFUNCTION("""COMPUTED_VALUE"""),1.02573280131E9)</f>
        <v>1025732801</v>
      </c>
      <c r="H104" s="2">
        <f>IFERROR(__xludf.DUMMYFUNCTION("""COMPUTED_VALUE"""),1.02573280131E9)</f>
        <v>1025732801</v>
      </c>
      <c r="I104" s="2" t="str">
        <f>IFERROR(__xludf.DUMMYFUNCTION("""COMPUTED_VALUE"""),"PRIBADI")</f>
        <v>PRIBADI</v>
      </c>
    </row>
    <row r="105">
      <c r="A105" s="7">
        <f>IFERROR(__xludf.DUMMYFUNCTION("""COMPUTED_VALUE"""),46228.0)</f>
        <v>46228</v>
      </c>
      <c r="B105" s="2" t="str">
        <f>IFERROR(__xludf.DUMMYFUNCTION("""COMPUTED_VALUE"""),"TRSF E-BANKING DB")</f>
        <v>TRSF E-BANKING DB</v>
      </c>
      <c r="C105" s="2" t="str">
        <f>IFERROR(__xludf.DUMMYFUNCTION("""COMPUTED_VALUE"""),"2507/FTSCY/WS95031 100000000.00 Tue Jul 21 2026 14:00:00 GMT+0700 (Western Indonesia Time) BINTANG TAMA SANTO")</f>
        <v>2507/FTSCY/WS95031 100000000.00 Tue Jul 21 2026 14:00:00 GMT+0700 (Western Indonesia Time) BINTANG TAMA SANTO</v>
      </c>
      <c r="D105" s="2">
        <f>IFERROR(__xludf.DUMMYFUNCTION("""COMPUTED_VALUE"""),1.0E8)</f>
        <v>100000000</v>
      </c>
      <c r="E105" s="2"/>
      <c r="F105" s="2" t="str">
        <f>IFERROR(__xludf.DUMMYFUNCTION("""COMPUTED_VALUE"""),"DB")</f>
        <v>DB</v>
      </c>
      <c r="G105" s="2">
        <f>IFERROR(__xludf.DUMMYFUNCTION("""COMPUTED_VALUE"""),9.2573280131E8)</f>
        <v>925732801.3</v>
      </c>
      <c r="H105" s="2"/>
      <c r="I105" s="2" t="str">
        <f>IFERROR(__xludf.DUMMYFUNCTION("""COMPUTED_VALUE"""),"PRIBADI")</f>
        <v>PRIBADI</v>
      </c>
    </row>
    <row r="106">
      <c r="A106" s="7">
        <f>IFERROR(__xludf.DUMMYFUNCTION("""COMPUTED_VALUE"""),46228.0)</f>
        <v>46228</v>
      </c>
      <c r="B106" s="2" t="str">
        <f>IFERROR(__xludf.DUMMYFUNCTION("""COMPUTED_VALUE"""),"TRSF E-BANKING DB")</f>
        <v>TRSF E-BANKING DB</v>
      </c>
      <c r="C106" s="2" t="str">
        <f>IFERROR(__xludf.DUMMYFUNCTION("""COMPUTED_VALUE"""),"2507/FTSCY/WS95011 107000000.00 pelunasan BINTANG TAMA SANTO")</f>
        <v>2507/FTSCY/WS95011 107000000.00 pelunasan BINTANG TAMA SANTO</v>
      </c>
      <c r="D106" s="2">
        <f>IFERROR(__xludf.DUMMYFUNCTION("""COMPUTED_VALUE"""),1.07E8)</f>
        <v>107000000</v>
      </c>
      <c r="E106" s="2"/>
      <c r="F106" s="2" t="str">
        <f>IFERROR(__xludf.DUMMYFUNCTION("""COMPUTED_VALUE"""),"DB")</f>
        <v>DB</v>
      </c>
      <c r="G106" s="2">
        <f>IFERROR(__xludf.DUMMYFUNCTION("""COMPUTED_VALUE"""),8.1873280131E8)</f>
        <v>818732801.3</v>
      </c>
      <c r="H106" s="2"/>
      <c r="I106" s="2" t="str">
        <f>IFERROR(__xludf.DUMMYFUNCTION("""COMPUTED_VALUE"""),"PRIBADI")</f>
        <v>PRIBADI</v>
      </c>
    </row>
    <row r="107">
      <c r="A107" s="7">
        <f>IFERROR(__xludf.DUMMYFUNCTION("""COMPUTED_VALUE"""),46228.0)</f>
        <v>46228</v>
      </c>
      <c r="B107" s="2" t="str">
        <f>IFERROR(__xludf.DUMMYFUNCTION("""COMPUTED_VALUE"""),"TRSF E-BANKING DB")</f>
        <v>TRSF E-BANKING DB</v>
      </c>
      <c r="C107" s="2" t="str">
        <f>IFERROR(__xludf.DUMMYFUNCTION("""COMPUTED_VALUE"""),"2507/FTSCY/WS95011 129322500.00 Tue Jul 21 2026 14:00:00 GMT+0700 (Western Indonesia Time) ANUGERAH KARTIKA A")</f>
        <v>2507/FTSCY/WS95011 129322500.00 Tue Jul 21 2026 14:00:00 GMT+0700 (Western Indonesia Time) ANUGERAH KARTIKA A</v>
      </c>
      <c r="D107" s="2">
        <f>IFERROR(__xludf.DUMMYFUNCTION("""COMPUTED_VALUE"""),1.293225E8)</f>
        <v>129322500</v>
      </c>
      <c r="E107" s="2"/>
      <c r="F107" s="2" t="str">
        <f>IFERROR(__xludf.DUMMYFUNCTION("""COMPUTED_VALUE"""),"DB")</f>
        <v>DB</v>
      </c>
      <c r="G107" s="2">
        <f>IFERROR(__xludf.DUMMYFUNCTION("""COMPUTED_VALUE"""),6.8941030131E8)</f>
        <v>689410301.3</v>
      </c>
      <c r="H107" s="2"/>
      <c r="I107" s="2" t="str">
        <f>IFERROR(__xludf.DUMMYFUNCTION("""COMPUTED_VALUE"""),"PRIBADI")</f>
        <v>PRIBADI</v>
      </c>
    </row>
    <row r="108">
      <c r="A108" s="7">
        <f>IFERROR(__xludf.DUMMYFUNCTION("""COMPUTED_VALUE"""),46228.0)</f>
        <v>46228</v>
      </c>
      <c r="B108" s="2" t="str">
        <f>IFERROR(__xludf.DUMMYFUNCTION("""COMPUTED_VALUE"""),"TRSF E-BANKING DB")</f>
        <v>TRSF E-BANKING DB</v>
      </c>
      <c r="C108" s="2" t="str">
        <f>IFERROR(__xludf.DUMMYFUNCTION("""COMPUTED_VALUE"""),"2507/FTSCY/WS95011 171419750.00 Wed Jan 21 2026 15:00:00 GMT+0700 (Western Indonesia Time) ANDALAN YASA MITRA")</f>
        <v>2507/FTSCY/WS95011 171419750.00 Wed Jan 21 2026 15:00:00 GMT+0700 (Western Indonesia Time) ANDALAN YASA MITRA</v>
      </c>
      <c r="D108" s="2">
        <f>IFERROR(__xludf.DUMMYFUNCTION("""COMPUTED_VALUE"""),1.7141975E8)</f>
        <v>171419750</v>
      </c>
      <c r="E108" s="2"/>
      <c r="F108" s="2" t="str">
        <f>IFERROR(__xludf.DUMMYFUNCTION("""COMPUTED_VALUE"""),"DB")</f>
        <v>DB</v>
      </c>
      <c r="G108" s="2">
        <f>IFERROR(__xludf.DUMMYFUNCTION("""COMPUTED_VALUE"""),5.1799055130999994E8)</f>
        <v>517990551.3</v>
      </c>
      <c r="H108" s="2"/>
      <c r="I108" s="2" t="str">
        <f>IFERROR(__xludf.DUMMYFUNCTION("""COMPUTED_VALUE"""),"PRIBADI")</f>
        <v>PRIBADI</v>
      </c>
    </row>
    <row r="109">
      <c r="A109" s="7">
        <f>IFERROR(__xludf.DUMMYFUNCTION("""COMPUTED_VALUE"""),46228.0)</f>
        <v>46228</v>
      </c>
      <c r="B109" s="2" t="str">
        <f>IFERROR(__xludf.DUMMYFUNCTION("""COMPUTED_VALUE"""),"TRSF E-BANKING DB")</f>
        <v>TRSF E-BANKING DB</v>
      </c>
      <c r="C109" s="2" t="str">
        <f>IFERROR(__xludf.DUMMYFUNCTION("""COMPUTED_VALUE"""),"2507/FTSCY/WS95011 92250000.00 titip BRANTAS ABADI SENT")</f>
        <v>2507/FTSCY/WS95011 92250000.00 titip BRANTAS ABADI SENT</v>
      </c>
      <c r="D109" s="2">
        <f>IFERROR(__xludf.DUMMYFUNCTION("""COMPUTED_VALUE"""),9.225E7)</f>
        <v>92250000</v>
      </c>
      <c r="E109" s="2"/>
      <c r="F109" s="2" t="str">
        <f>IFERROR(__xludf.DUMMYFUNCTION("""COMPUTED_VALUE"""),"DB")</f>
        <v>DB</v>
      </c>
      <c r="G109" s="2">
        <f>IFERROR(__xludf.DUMMYFUNCTION("""COMPUTED_VALUE"""),4.2574055130999994E8)</f>
        <v>425740551.3</v>
      </c>
      <c r="H109" s="2"/>
      <c r="I109" s="2" t="str">
        <f>IFERROR(__xludf.DUMMYFUNCTION("""COMPUTED_VALUE"""),"PRIBADI")</f>
        <v>PRIBADI</v>
      </c>
    </row>
    <row r="110">
      <c r="A110" s="7">
        <f>IFERROR(__xludf.DUMMYFUNCTION("""COMPUTED_VALUE"""),46228.0)</f>
        <v>46228</v>
      </c>
      <c r="B110" s="2" t="str">
        <f>IFERROR(__xludf.DUMMYFUNCTION("""COMPUTED_VALUE"""),"TRSF E-BANKING DB")</f>
        <v>TRSF E-BANKING DB</v>
      </c>
      <c r="C110" s="2" t="str">
        <f>IFERROR(__xludf.DUMMYFUNCTION("""COMPUTED_VALUE"""),"2507/FTSCY/WS95271 62250450.00 Tue Jul 21 2026 14:00:00 GMT+0700 (Western Indonesia Time) BINTANG TAMA SANTO")</f>
        <v>2507/FTSCY/WS95271 62250450.00 Tue Jul 21 2026 14:00:00 GMT+0700 (Western Indonesia Time) BINTANG TAMA SANTO</v>
      </c>
      <c r="D110" s="2">
        <f>IFERROR(__xludf.DUMMYFUNCTION("""COMPUTED_VALUE"""),6.225045E7)</f>
        <v>62250450</v>
      </c>
      <c r="E110" s="2"/>
      <c r="F110" s="2" t="str">
        <f>IFERROR(__xludf.DUMMYFUNCTION("""COMPUTED_VALUE"""),"DB")</f>
        <v>DB</v>
      </c>
      <c r="G110" s="2">
        <f>IFERROR(__xludf.DUMMYFUNCTION("""COMPUTED_VALUE"""),3.6349010130999994E8)</f>
        <v>363490101.3</v>
      </c>
      <c r="H110" s="2"/>
      <c r="I110" s="2" t="str">
        <f>IFERROR(__xludf.DUMMYFUNCTION("""COMPUTED_VALUE"""),"PRIBADI")</f>
        <v>PRIBADI</v>
      </c>
    </row>
    <row r="111">
      <c r="A111" s="7">
        <f>IFERROR(__xludf.DUMMYFUNCTION("""COMPUTED_VALUE"""),46228.0)</f>
        <v>46228</v>
      </c>
      <c r="B111" s="2" t="str">
        <f>IFERROR(__xludf.DUMMYFUNCTION("""COMPUTED_VALUE"""),"TRSF E-BANKING DB")</f>
        <v>TRSF E-BANKING DB</v>
      </c>
      <c r="C111" s="2" t="str">
        <f>IFERROR(__xludf.DUMMYFUNCTION("""COMPUTED_VALUE"""),"2507/FTSCY/WS95271 174801250.00 Tue Jul 21 2026 14:00:00 GMT+0700 (Western Indonesia Time) ANUGERAH KARTIKA A")</f>
        <v>2507/FTSCY/WS95271 174801250.00 Tue Jul 21 2026 14:00:00 GMT+0700 (Western Indonesia Time) ANUGERAH KARTIKA A</v>
      </c>
      <c r="D111" s="2">
        <f>IFERROR(__xludf.DUMMYFUNCTION("""COMPUTED_VALUE"""),1.7480125E8)</f>
        <v>174801250</v>
      </c>
      <c r="E111" s="2"/>
      <c r="F111" s="2" t="str">
        <f>IFERROR(__xludf.DUMMYFUNCTION("""COMPUTED_VALUE"""),"DB")</f>
        <v>DB</v>
      </c>
      <c r="G111" s="2">
        <f>IFERROR(__xludf.DUMMYFUNCTION("""COMPUTED_VALUE"""),1.8868885130999994E8)</f>
        <v>188688851.3</v>
      </c>
      <c r="H111" s="2"/>
      <c r="I111" s="2" t="str">
        <f>IFERROR(__xludf.DUMMYFUNCTION("""COMPUTED_VALUE"""),"PRIBADI")</f>
        <v>PRIBADI</v>
      </c>
    </row>
    <row r="112">
      <c r="A112" s="7">
        <f>IFERROR(__xludf.DUMMYFUNCTION("""COMPUTED_VALUE"""),46228.0)</f>
        <v>46228</v>
      </c>
      <c r="B112" s="2" t="str">
        <f>IFERROR(__xludf.DUMMYFUNCTION("""COMPUTED_VALUE"""),"TRSF E-BANKING DB")</f>
        <v>TRSF E-BANKING DB</v>
      </c>
      <c r="C112" s="2" t="str">
        <f>IFERROR(__xludf.DUMMYFUNCTION("""COMPUTED_VALUE"""),"2507/FTSCY/WS95271 650000.00 SITI RAHMA IFTITAH")</f>
        <v>2507/FTSCY/WS95271 650000.00 SITI RAHMA IFTITAH</v>
      </c>
      <c r="D112" s="2">
        <f>IFERROR(__xludf.DUMMYFUNCTION("""COMPUTED_VALUE"""),650000.0)</f>
        <v>650000</v>
      </c>
      <c r="E112" s="2"/>
      <c r="F112" s="2" t="str">
        <f>IFERROR(__xludf.DUMMYFUNCTION("""COMPUTED_VALUE"""),"DB")</f>
        <v>DB</v>
      </c>
      <c r="G112" s="2">
        <f>IFERROR(__xludf.DUMMYFUNCTION("""COMPUTED_VALUE"""),1.8803885130999994E8)</f>
        <v>188038851.3</v>
      </c>
      <c r="H112" s="2"/>
      <c r="I112" s="2" t="str">
        <f>IFERROR(__xludf.DUMMYFUNCTION("""COMPUTED_VALUE"""),"PRIBADI")</f>
        <v>PRIBADI</v>
      </c>
    </row>
    <row r="113">
      <c r="A113" s="7">
        <f>IFERROR(__xludf.DUMMYFUNCTION("""COMPUTED_VALUE"""),46228.0)</f>
        <v>46228</v>
      </c>
      <c r="B113" s="2" t="str">
        <f>IFERROR(__xludf.DUMMYFUNCTION("""COMPUTED_VALUE"""),"TRSF E-BANKING DB")</f>
        <v>TRSF E-BANKING DB</v>
      </c>
      <c r="C113" s="2" t="str">
        <f>IFERROR(__xludf.DUMMYFUNCTION("""COMPUTED_VALUE"""),"2507/FTSCY/WS95271 1000000.00 MUJIANTO")</f>
        <v>2507/FTSCY/WS95271 1000000.00 MUJIANTO</v>
      </c>
      <c r="D113" s="2">
        <f>IFERROR(__xludf.DUMMYFUNCTION("""COMPUTED_VALUE"""),1000000.0)</f>
        <v>1000000</v>
      </c>
      <c r="E113" s="2"/>
      <c r="F113" s="2" t="str">
        <f>IFERROR(__xludf.DUMMYFUNCTION("""COMPUTED_VALUE"""),"DB")</f>
        <v>DB</v>
      </c>
      <c r="G113" s="2">
        <f>IFERROR(__xludf.DUMMYFUNCTION("""COMPUTED_VALUE"""),1.8703885130999994E8)</f>
        <v>187038851.3</v>
      </c>
      <c r="H113" s="2"/>
      <c r="I113" s="2" t="str">
        <f>IFERROR(__xludf.DUMMYFUNCTION("""COMPUTED_VALUE"""),"PRIBADI")</f>
        <v>PRIBADI</v>
      </c>
    </row>
    <row r="114">
      <c r="A114" s="7">
        <f>IFERROR(__xludf.DUMMYFUNCTION("""COMPUTED_VALUE"""),46228.0)</f>
        <v>46228</v>
      </c>
      <c r="B114" s="2" t="str">
        <f>IFERROR(__xludf.DUMMYFUNCTION("""COMPUTED_VALUE"""),"TRSF E-BANKING DB")</f>
        <v>TRSF E-BANKING DB</v>
      </c>
      <c r="C114" s="2" t="str">
        <f>IFERROR(__xludf.DUMMYFUNCTION("""COMPUTED_VALUE"""),"2507/FTSCY/WS95271 2500000.00 HERMAWAN")</f>
        <v>2507/FTSCY/WS95271 2500000.00 HERMAWAN</v>
      </c>
      <c r="D114" s="2">
        <f>IFERROR(__xludf.DUMMYFUNCTION("""COMPUTED_VALUE"""),2500000.0)</f>
        <v>2500000</v>
      </c>
      <c r="E114" s="2"/>
      <c r="F114" s="2" t="str">
        <f>IFERROR(__xludf.DUMMYFUNCTION("""COMPUTED_VALUE"""),"DB")</f>
        <v>DB</v>
      </c>
      <c r="G114" s="2">
        <f>IFERROR(__xludf.DUMMYFUNCTION("""COMPUTED_VALUE"""),1.8453885130999994E8)</f>
        <v>184538851.3</v>
      </c>
      <c r="H114" s="2">
        <f>IFERROR(__xludf.DUMMYFUNCTION("""COMPUTED_VALUE"""),1.8453885131E8)</f>
        <v>184538851.3</v>
      </c>
      <c r="I114" s="2" t="str">
        <f>IFERROR(__xludf.DUMMYFUNCTION("""COMPUTED_VALUE"""),"PRIBADI")</f>
        <v>PRIBADI</v>
      </c>
    </row>
    <row r="115">
      <c r="A115" s="7">
        <f>IFERROR(__xludf.DUMMYFUNCTION("""COMPUTED_VALUE"""),46228.0)</f>
        <v>46228</v>
      </c>
      <c r="B115" s="2" t="str">
        <f>IFERROR(__xludf.DUMMYFUNCTION("""COMPUTED_VALUE"""),"TRSF E-BANKING DB")</f>
        <v>TRSF E-BANKING DB</v>
      </c>
      <c r="C115" s="2" t="str">
        <f>IFERROR(__xludf.DUMMYFUNCTION("""COMPUTED_VALUE"""),"2507/FTSCY/WS95271 1932100.00 SUNARTO")</f>
        <v>2507/FTSCY/WS95271 1932100.00 SUNARTO</v>
      </c>
      <c r="D115" s="2">
        <f>IFERROR(__xludf.DUMMYFUNCTION("""COMPUTED_VALUE"""),1932100.0)</f>
        <v>1932100</v>
      </c>
      <c r="E115" s="2"/>
      <c r="F115" s="2" t="str">
        <f>IFERROR(__xludf.DUMMYFUNCTION("""COMPUTED_VALUE"""),"DB")</f>
        <v>DB</v>
      </c>
      <c r="G115" s="2">
        <f>IFERROR(__xludf.DUMMYFUNCTION("""COMPUTED_VALUE"""),1.8260675130999994E8)</f>
        <v>182606751.3</v>
      </c>
      <c r="H115" s="2">
        <f>IFERROR(__xludf.DUMMYFUNCTION("""COMPUTED_VALUE"""),1.8260675131E8)</f>
        <v>182606751.3</v>
      </c>
      <c r="I115" s="2" t="str">
        <f>IFERROR(__xludf.DUMMYFUNCTION("""COMPUTED_VALUE"""),"PRIBADI")</f>
        <v>PRIBADI</v>
      </c>
    </row>
    <row r="116">
      <c r="A116" s="7">
        <f>IFERROR(__xludf.DUMMYFUNCTION("""COMPUTED_VALUE"""),46228.0)</f>
        <v>46228</v>
      </c>
      <c r="B116" s="2" t="str">
        <f>IFERROR(__xludf.DUMMYFUNCTION("""COMPUTED_VALUE"""),"TRSF E-BANKING DB")</f>
        <v>TRSF E-BANKING DB</v>
      </c>
      <c r="C116" s="2" t="str">
        <f>IFERROR(__xludf.DUMMYFUNCTION("""COMPUTED_VALUE"""),"2507/FTFVA/WS95031 55569/PT PRIMA FAJ besuki - 40190")</f>
        <v>2507/FTFVA/WS95031 55569/PT PRIMA FAJ besuki - 40190</v>
      </c>
      <c r="D116" s="2">
        <f>IFERROR(__xludf.DUMMYFUNCTION("""COMPUTED_VALUE"""),6.09E7)</f>
        <v>60900000</v>
      </c>
      <c r="E116" s="2"/>
      <c r="F116" s="2" t="str">
        <f>IFERROR(__xludf.DUMMYFUNCTION("""COMPUTED_VALUE"""),"DB")</f>
        <v>DB</v>
      </c>
      <c r="G116" s="2">
        <f>IFERROR(__xludf.DUMMYFUNCTION("""COMPUTED_VALUE"""),1.2170675130999994E8)</f>
        <v>121706751.3</v>
      </c>
      <c r="H116" s="2"/>
      <c r="I116" s="2" t="str">
        <f>IFERROR(__xludf.DUMMYFUNCTION("""COMPUTED_VALUE"""),"PRIBADI")</f>
        <v>PRIBADI</v>
      </c>
    </row>
    <row r="117">
      <c r="A117" s="7">
        <f>IFERROR(__xludf.DUMMYFUNCTION("""COMPUTED_VALUE"""),46228.0)</f>
        <v>46228</v>
      </c>
      <c r="B117" s="2" t="str">
        <f>IFERROR(__xludf.DUMMYFUNCTION("""COMPUTED_VALUE"""),"TRSF E-BANKING DB")</f>
        <v>TRSF E-BANKING DB</v>
      </c>
      <c r="C117" s="2" t="str">
        <f>IFERROR(__xludf.DUMMYFUNCTION("""COMPUTED_VALUE"""),"2507/FTSCY/WS95271 22916250.00 pelunasan BRANTAS ABADI SENT")</f>
        <v>2507/FTSCY/WS95271 22916250.00 pelunasan BRANTAS ABADI SENT</v>
      </c>
      <c r="D117" s="2">
        <f>IFERROR(__xludf.DUMMYFUNCTION("""COMPUTED_VALUE"""),2.291625E7)</f>
        <v>22916250</v>
      </c>
      <c r="E117" s="2"/>
      <c r="F117" s="2" t="str">
        <f>IFERROR(__xludf.DUMMYFUNCTION("""COMPUTED_VALUE"""),"DB")</f>
        <v>DB</v>
      </c>
      <c r="G117" s="2">
        <f>IFERROR(__xludf.DUMMYFUNCTION("""COMPUTED_VALUE"""),6.5824075131E8)</f>
        <v>658240751.3</v>
      </c>
      <c r="H117" s="2"/>
      <c r="I117" s="2" t="str">
        <f>IFERROR(__xludf.DUMMYFUNCTION("""COMPUTED_VALUE"""),"PRIBADI")</f>
        <v>PRIBADI</v>
      </c>
    </row>
    <row r="118">
      <c r="A118" s="7">
        <f>IFERROR(__xludf.DUMMYFUNCTION("""COMPUTED_VALUE"""),46228.0)</f>
        <v>46228</v>
      </c>
      <c r="B118" s="2" t="str">
        <f>IFERROR(__xludf.DUMMYFUNCTION("""COMPUTED_VALUE"""),"TARIKAN ATM 25/07")</f>
        <v>TARIKAN ATM 25/07</v>
      </c>
      <c r="C118" s="2" t="str">
        <f>IFERROR(__xludf.DUMMYFUNCTION("""COMPUTED_VALUE"""),"TARIKAN ATM 25/07")</f>
        <v>TARIKAN ATM 25/07</v>
      </c>
      <c r="D118" s="2">
        <f>IFERROR(__xludf.DUMMYFUNCTION("""COMPUTED_VALUE"""),300000.0)</f>
        <v>300000</v>
      </c>
      <c r="E118" s="2"/>
      <c r="F118" s="2"/>
      <c r="G118" s="2">
        <f>IFERROR(__xludf.DUMMYFUNCTION("""COMPUTED_VALUE"""),6.5794075131E8)</f>
        <v>657940751.3</v>
      </c>
      <c r="H118" s="2"/>
      <c r="I118" s="2" t="str">
        <f>IFERROR(__xludf.DUMMYFUNCTION("""COMPUTED_VALUE"""),"PRIBADI")</f>
        <v>PRIBADI</v>
      </c>
    </row>
    <row r="119">
      <c r="A119" s="7">
        <f>IFERROR(__xludf.DUMMYFUNCTION("""COMPUTED_VALUE"""),46228.0)</f>
        <v>46228</v>
      </c>
      <c r="B119" s="2" t="str">
        <f>IFERROR(__xludf.DUMMYFUNCTION("""COMPUTED_VALUE"""),"TRSF E-BANKING DB")</f>
        <v>TRSF E-BANKING DB</v>
      </c>
      <c r="C119" s="2" t="str">
        <f>IFERROR(__xludf.DUMMYFUNCTION("""COMPUTED_VALUE"""),"2507/FTSCY/WS95271 29153000.00 Thu Jul 23 2026 14:00:00 GMT+0700 (Western Indonesia Time) PT BERLIAN INDOMIT")</f>
        <v>2507/FTSCY/WS95271 29153000.00 Thu Jul 23 2026 14:00:00 GMT+0700 (Western Indonesia Time) PT BERLIAN INDOMIT</v>
      </c>
      <c r="D119" s="2">
        <f>IFERROR(__xludf.DUMMYFUNCTION("""COMPUTED_VALUE"""),2.9153E7)</f>
        <v>29153000</v>
      </c>
      <c r="E119" s="2"/>
      <c r="F119" s="2" t="str">
        <f>IFERROR(__xludf.DUMMYFUNCTION("""COMPUTED_VALUE"""),"DB")</f>
        <v>DB</v>
      </c>
      <c r="G119" s="2">
        <f>IFERROR(__xludf.DUMMYFUNCTION("""COMPUTED_VALUE"""),7.6412025131E8)</f>
        <v>764120251.3</v>
      </c>
      <c r="H119" s="2">
        <f>IFERROR(__xludf.DUMMYFUNCTION("""COMPUTED_VALUE"""),7.6412025131E8)</f>
        <v>764120251.3</v>
      </c>
      <c r="I119" s="2" t="str">
        <f>IFERROR(__xludf.DUMMYFUNCTION("""COMPUTED_VALUE"""),"PRIBADI")</f>
        <v>PRIBADI</v>
      </c>
    </row>
    <row r="120">
      <c r="A120" s="7">
        <f>IFERROR(__xludf.DUMMYFUNCTION("""COMPUTED_VALUE"""),46229.0)</f>
        <v>46229</v>
      </c>
      <c r="B120" s="2" t="str">
        <f>IFERROR(__xludf.DUMMYFUNCTION("""COMPUTED_VALUE"""),"TRSF E-BANKING DB")</f>
        <v>TRSF E-BANKING DB</v>
      </c>
      <c r="C120" s="2" t="str">
        <f>IFERROR(__xludf.DUMMYFUNCTION("""COMPUTED_VALUE"""),"2607/FTSCY/WS95031 50000000.00 titip TABASSAM AL HATTAK")</f>
        <v>2607/FTSCY/WS95031 50000000.00 titip TABASSAM AL HATTAK</v>
      </c>
      <c r="D120" s="2">
        <f>IFERROR(__xludf.DUMMYFUNCTION("""COMPUTED_VALUE"""),5.0E7)</f>
        <v>50000000</v>
      </c>
      <c r="E120" s="2"/>
      <c r="F120" s="2" t="str">
        <f>IFERROR(__xludf.DUMMYFUNCTION("""COMPUTED_VALUE"""),"DB")</f>
        <v>DB</v>
      </c>
      <c r="G120" s="2">
        <f>IFERROR(__xludf.DUMMYFUNCTION("""COMPUTED_VALUE"""),7.1412025131E8)</f>
        <v>714120251.3</v>
      </c>
      <c r="H120" s="2"/>
      <c r="I120" s="2" t="str">
        <f>IFERROR(__xludf.DUMMYFUNCTION("""COMPUTED_VALUE"""),"PRIBADI")</f>
        <v>PRIBADI</v>
      </c>
    </row>
    <row r="121">
      <c r="A121" s="7">
        <f>IFERROR(__xludf.DUMMYFUNCTION("""COMPUTED_VALUE"""),46229.0)</f>
        <v>46229</v>
      </c>
      <c r="B121" s="2" t="str">
        <f>IFERROR(__xludf.DUMMYFUNCTION("""COMPUTED_VALUE"""),"TRSF E-BANKING DB")</f>
        <v>TRSF E-BANKING DB</v>
      </c>
      <c r="C121" s="2" t="str">
        <f>IFERROR(__xludf.DUMMYFUNCTION("""COMPUTED_VALUE"""),"2607/FTSCY/WS95011 302000000.00 pelunasan GANESHA SATRIA NUS")</f>
        <v>2607/FTSCY/WS95011 302000000.00 pelunasan GANESHA SATRIA NUS</v>
      </c>
      <c r="D121" s="2">
        <f>IFERROR(__xludf.DUMMYFUNCTION("""COMPUTED_VALUE"""),3.02E8)</f>
        <v>302000000</v>
      </c>
      <c r="E121" s="2"/>
      <c r="F121" s="2" t="str">
        <f>IFERROR(__xludf.DUMMYFUNCTION("""COMPUTED_VALUE"""),"DB")</f>
        <v>DB</v>
      </c>
      <c r="G121" s="2">
        <f>IFERROR(__xludf.DUMMYFUNCTION("""COMPUTED_VALUE"""),4.1212025130999994E8)</f>
        <v>412120251.3</v>
      </c>
      <c r="H121" s="2"/>
      <c r="I121" s="2" t="str">
        <f>IFERROR(__xludf.DUMMYFUNCTION("""COMPUTED_VALUE"""),"PRIBADI")</f>
        <v>PRIBADI</v>
      </c>
    </row>
    <row r="122">
      <c r="A122" s="7">
        <f>IFERROR(__xludf.DUMMYFUNCTION("""COMPUTED_VALUE"""),46229.0)</f>
        <v>46229</v>
      </c>
      <c r="B122" s="2" t="str">
        <f>IFERROR(__xludf.DUMMYFUNCTION("""COMPUTED_VALUE"""),"TRSF E-BANKING DB")</f>
        <v>TRSF E-BANKING DB</v>
      </c>
      <c r="C122" s="2" t="str">
        <f>IFERROR(__xludf.DUMMYFUNCTION("""COMPUTED_VALUE"""),"2607/FTSCY/WS95011 198000000.00 Thu Jul 23 2026 14:00:00 GMT+0700 (Western Indonesia Time) ANDALAN YASA MITRA")</f>
        <v>2607/FTSCY/WS95011 198000000.00 Thu Jul 23 2026 14:00:00 GMT+0700 (Western Indonesia Time) ANDALAN YASA MITRA</v>
      </c>
      <c r="D122" s="2">
        <f>IFERROR(__xludf.DUMMYFUNCTION("""COMPUTED_VALUE"""),1.98E8)</f>
        <v>198000000</v>
      </c>
      <c r="E122" s="2"/>
      <c r="F122" s="2" t="str">
        <f>IFERROR(__xludf.DUMMYFUNCTION("""COMPUTED_VALUE"""),"DB")</f>
        <v>DB</v>
      </c>
      <c r="G122" s="2">
        <f>IFERROR(__xludf.DUMMYFUNCTION("""COMPUTED_VALUE"""),2.1412025130999994E8)</f>
        <v>214120251.3</v>
      </c>
      <c r="H122" s="2"/>
      <c r="I122" s="2" t="str">
        <f>IFERROR(__xludf.DUMMYFUNCTION("""COMPUTED_VALUE"""),"PRIBADI")</f>
        <v>PRIBADI</v>
      </c>
    </row>
    <row r="123">
      <c r="A123" s="7">
        <f>IFERROR(__xludf.DUMMYFUNCTION("""COMPUTED_VALUE"""),46229.0)</f>
        <v>46229</v>
      </c>
      <c r="B123" s="2" t="str">
        <f>IFERROR(__xludf.DUMMYFUNCTION("""COMPUTED_VALUE"""),"TRSF E-BANKING DB")</f>
        <v>TRSF E-BANKING DB</v>
      </c>
      <c r="C123" s="2" t="str">
        <f>IFERROR(__xludf.DUMMYFUNCTION("""COMPUTED_VALUE"""),"2607/FTSCY/WS95271 1622250.00 pelunasan ANDALAN YASA MITRA")</f>
        <v>2607/FTSCY/WS95271 1622250.00 pelunasan ANDALAN YASA MITRA</v>
      </c>
      <c r="D123" s="2">
        <f>IFERROR(__xludf.DUMMYFUNCTION("""COMPUTED_VALUE"""),1622250.0)</f>
        <v>1622250</v>
      </c>
      <c r="E123" s="2"/>
      <c r="F123" s="2" t="str">
        <f>IFERROR(__xludf.DUMMYFUNCTION("""COMPUTED_VALUE"""),"DB")</f>
        <v>DB</v>
      </c>
      <c r="G123" s="2">
        <f>IFERROR(__xludf.DUMMYFUNCTION("""COMPUTED_VALUE"""),2.1249800130999994E8)</f>
        <v>212498001.3</v>
      </c>
      <c r="H123" s="2"/>
      <c r="I123" s="2" t="str">
        <f>IFERROR(__xludf.DUMMYFUNCTION("""COMPUTED_VALUE"""),"PRIBADI")</f>
        <v>PRIBADI</v>
      </c>
    </row>
    <row r="124">
      <c r="A124" s="7">
        <f>IFERROR(__xludf.DUMMYFUNCTION("""COMPUTED_VALUE"""),46229.0)</f>
        <v>46229</v>
      </c>
      <c r="B124" s="2" t="str">
        <f>IFERROR(__xludf.DUMMYFUNCTION("""COMPUTED_VALUE"""),"TRSF E-BANKING DB")</f>
        <v>TRSF E-BANKING DB</v>
      </c>
      <c r="C124" s="2" t="str">
        <f>IFERROR(__xludf.DUMMYFUNCTION("""COMPUTED_VALUE"""),"2607/FTSCY/WS95271 10000000.00 pelunasan PT BERLIAN INDOMIT")</f>
        <v>2607/FTSCY/WS95271 10000000.00 pelunasan PT BERLIAN INDOMIT</v>
      </c>
      <c r="D124" s="2">
        <f>IFERROR(__xludf.DUMMYFUNCTION("""COMPUTED_VALUE"""),1.0E7)</f>
        <v>10000000</v>
      </c>
      <c r="E124" s="2"/>
      <c r="F124" s="2" t="str">
        <f>IFERROR(__xludf.DUMMYFUNCTION("""COMPUTED_VALUE"""),"DB")</f>
        <v>DB</v>
      </c>
      <c r="G124" s="2">
        <f>IFERROR(__xludf.DUMMYFUNCTION("""COMPUTED_VALUE"""),2.0249800130999994E8)</f>
        <v>202498001.3</v>
      </c>
      <c r="H124" s="2">
        <f>IFERROR(__xludf.DUMMYFUNCTION("""COMPUTED_VALUE"""),2.0249800131E8)</f>
        <v>202498001.3</v>
      </c>
      <c r="I124" s="2" t="str">
        <f>IFERROR(__xludf.DUMMYFUNCTION("""COMPUTED_VALUE"""),"PRIBADI")</f>
        <v>PRIBADI</v>
      </c>
    </row>
    <row r="125">
      <c r="A125" s="7">
        <f>IFERROR(__xludf.DUMMYFUNCTION("""COMPUTED_VALUE"""),46229.0)</f>
        <v>46229</v>
      </c>
      <c r="B125" s="2" t="str">
        <f>IFERROR(__xludf.DUMMYFUNCTION("""COMPUTED_VALUE"""),"TRSF E-BANKING DB")</f>
        <v>TRSF E-BANKING DB</v>
      </c>
      <c r="C125" s="2" t="str">
        <f>IFERROR(__xludf.DUMMYFUNCTION("""COMPUTED_VALUE"""),"2607/FTSCY/WS95031 4045800.00 sisa bon 4 jt FAJAR ANDREANZAH")</f>
        <v>2607/FTSCY/WS95031 4045800.00 sisa bon 4 jt FAJAR ANDREANZAH</v>
      </c>
      <c r="D125" s="2">
        <f>IFERROR(__xludf.DUMMYFUNCTION("""COMPUTED_VALUE"""),4045800.0)</f>
        <v>4045800</v>
      </c>
      <c r="E125" s="2"/>
      <c r="F125" s="2" t="str">
        <f>IFERROR(__xludf.DUMMYFUNCTION("""COMPUTED_VALUE"""),"DB")</f>
        <v>DB</v>
      </c>
      <c r="G125" s="2">
        <f>IFERROR(__xludf.DUMMYFUNCTION("""COMPUTED_VALUE"""),1.9845220130999994E8)</f>
        <v>198452201.3</v>
      </c>
      <c r="H125" s="2">
        <f>IFERROR(__xludf.DUMMYFUNCTION("""COMPUTED_VALUE"""),1.9845220131E8)</f>
        <v>198452201.3</v>
      </c>
      <c r="I125" s="2" t="str">
        <f>IFERROR(__xludf.DUMMYFUNCTION("""COMPUTED_VALUE"""),"PRIBADI")</f>
        <v>PRIBADI</v>
      </c>
    </row>
    <row r="126">
      <c r="A126" s="7">
        <f>IFERROR(__xludf.DUMMYFUNCTION("""COMPUTED_VALUE"""),46229.0)</f>
        <v>46229</v>
      </c>
      <c r="B126" s="2" t="str">
        <f>IFERROR(__xludf.DUMMYFUNCTION("""COMPUTED_VALUE"""),"TRSF E-BANKING DB")</f>
        <v>TRSF E-BANKING DB</v>
      </c>
      <c r="C126" s="2" t="str">
        <f>IFERROR(__xludf.DUMMYFUNCTION("""COMPUTED_VALUE"""),"2607/FTSCY/WS95031 2493560.00 HERMAWAN")</f>
        <v>2607/FTSCY/WS95031 2493560.00 HERMAWAN</v>
      </c>
      <c r="D126" s="2">
        <f>IFERROR(__xludf.DUMMYFUNCTION("""COMPUTED_VALUE"""),2493560.0)</f>
        <v>2493560</v>
      </c>
      <c r="E126" s="2"/>
      <c r="F126" s="2" t="str">
        <f>IFERROR(__xludf.DUMMYFUNCTION("""COMPUTED_VALUE"""),"DB")</f>
        <v>DB</v>
      </c>
      <c r="G126" s="2">
        <f>IFERROR(__xludf.DUMMYFUNCTION("""COMPUTED_VALUE"""),1.9595864130999994E8)</f>
        <v>195958641.3</v>
      </c>
      <c r="H126" s="2"/>
      <c r="I126" s="2" t="str">
        <f>IFERROR(__xludf.DUMMYFUNCTION("""COMPUTED_VALUE"""),"PRIBADI")</f>
        <v>PRIBADI</v>
      </c>
    </row>
    <row r="127">
      <c r="A127" s="7">
        <f>IFERROR(__xludf.DUMMYFUNCTION("""COMPUTED_VALUE"""),46229.0)</f>
        <v>46229</v>
      </c>
      <c r="B127" s="2" t="str">
        <f>IFERROR(__xludf.DUMMYFUNCTION("""COMPUTED_VALUE"""),"TRSF E-BANKING DB")</f>
        <v>TRSF E-BANKING DB</v>
      </c>
      <c r="C127" s="2" t="str">
        <f>IFERROR(__xludf.DUMMYFUNCTION("""COMPUTED_VALUE"""),"2607/FTSCY/WS95031 800000.00 MUJIANTO")</f>
        <v>2607/FTSCY/WS95031 800000.00 MUJIANTO</v>
      </c>
      <c r="D127" s="2">
        <f>IFERROR(__xludf.DUMMYFUNCTION("""COMPUTED_VALUE"""),800000.0)</f>
        <v>800000</v>
      </c>
      <c r="E127" s="2"/>
      <c r="F127" s="2" t="str">
        <f>IFERROR(__xludf.DUMMYFUNCTION("""COMPUTED_VALUE"""),"DB")</f>
        <v>DB</v>
      </c>
      <c r="G127" s="2">
        <f>IFERROR(__xludf.DUMMYFUNCTION("""COMPUTED_VALUE"""),1.9515864130999994E8)</f>
        <v>195158641.3</v>
      </c>
      <c r="H127" s="2"/>
      <c r="I127" s="2" t="str">
        <f>IFERROR(__xludf.DUMMYFUNCTION("""COMPUTED_VALUE"""),"PRIBADI")</f>
        <v>PRIBADI</v>
      </c>
    </row>
    <row r="128">
      <c r="A128" s="7">
        <f>IFERROR(__xludf.DUMMYFUNCTION("""COMPUTED_VALUE"""),46229.0)</f>
        <v>46229</v>
      </c>
      <c r="B128" s="2" t="str">
        <f>IFERROR(__xludf.DUMMYFUNCTION("""COMPUTED_VALUE"""),"TRSF E-BANKING DB")</f>
        <v>TRSF E-BANKING DB</v>
      </c>
      <c r="C128" s="2" t="str">
        <f>IFERROR(__xludf.DUMMYFUNCTION("""COMPUTED_VALUE"""),"2607/FTSCY/WS95031 7346500.00 EKO SETIYAWAN")</f>
        <v>2607/FTSCY/WS95031 7346500.00 EKO SETIYAWAN</v>
      </c>
      <c r="D128" s="2">
        <f>IFERROR(__xludf.DUMMYFUNCTION("""COMPUTED_VALUE"""),7346500.0)</f>
        <v>7346500</v>
      </c>
      <c r="E128" s="2"/>
      <c r="F128" s="2" t="str">
        <f>IFERROR(__xludf.DUMMYFUNCTION("""COMPUTED_VALUE"""),"DB")</f>
        <v>DB</v>
      </c>
      <c r="G128" s="2">
        <f>IFERROR(__xludf.DUMMYFUNCTION("""COMPUTED_VALUE"""),1.8781214130999994E8)</f>
        <v>187812141.3</v>
      </c>
      <c r="H128" s="2"/>
      <c r="I128" s="2" t="str">
        <f>IFERROR(__xludf.DUMMYFUNCTION("""COMPUTED_VALUE"""),"PRIBADI")</f>
        <v>PRIBADI</v>
      </c>
    </row>
    <row r="129">
      <c r="A129" s="7">
        <f>IFERROR(__xludf.DUMMYFUNCTION("""COMPUTED_VALUE"""),46229.0)</f>
        <v>46229</v>
      </c>
      <c r="B129" s="2" t="str">
        <f>IFERROR(__xludf.DUMMYFUNCTION("""COMPUTED_VALUE"""),"TRSF E-BANKING DB")</f>
        <v>TRSF E-BANKING DB</v>
      </c>
      <c r="C129" s="2" t="str">
        <f>IFERROR(__xludf.DUMMYFUNCTION("""COMPUTED_VALUE"""),"2607/FTSCY/WS95031 2212020.00 DWI HERMANSYAH")</f>
        <v>2607/FTSCY/WS95031 2212020.00 DWI HERMANSYAH</v>
      </c>
      <c r="D129" s="2">
        <f>IFERROR(__xludf.DUMMYFUNCTION("""COMPUTED_VALUE"""),2212020.0)</f>
        <v>2212020</v>
      </c>
      <c r="E129" s="2"/>
      <c r="F129" s="2" t="str">
        <f>IFERROR(__xludf.DUMMYFUNCTION("""COMPUTED_VALUE"""),"DB")</f>
        <v>DB</v>
      </c>
      <c r="G129" s="2">
        <f>IFERROR(__xludf.DUMMYFUNCTION("""COMPUTED_VALUE"""),1.8560012130999994E8)</f>
        <v>185600121.3</v>
      </c>
      <c r="H129" s="2"/>
      <c r="I129" s="2" t="str">
        <f>IFERROR(__xludf.DUMMYFUNCTION("""COMPUTED_VALUE"""),"PRIBADI")</f>
        <v>PRIBADI</v>
      </c>
    </row>
    <row r="130">
      <c r="A130" s="7">
        <f>IFERROR(__xludf.DUMMYFUNCTION("""COMPUTED_VALUE"""),46229.0)</f>
        <v>46229</v>
      </c>
      <c r="B130" s="2" t="str">
        <f>IFERROR(__xludf.DUMMYFUNCTION("""COMPUTED_VALUE"""),"TRSF E-BANKING DB")</f>
        <v>TRSF E-BANKING DB</v>
      </c>
      <c r="C130" s="2" t="str">
        <f>IFERROR(__xludf.DUMMYFUNCTION("""COMPUTED_VALUE"""),"2607/FTSCY/WS95031 4039000.00 DWI HERMANSYAH")</f>
        <v>2607/FTSCY/WS95031 4039000.00 DWI HERMANSYAH</v>
      </c>
      <c r="D130" s="2">
        <f>IFERROR(__xludf.DUMMYFUNCTION("""COMPUTED_VALUE"""),4039000.0)</f>
        <v>4039000</v>
      </c>
      <c r="E130" s="2"/>
      <c r="F130" s="2" t="str">
        <f>IFERROR(__xludf.DUMMYFUNCTION("""COMPUTED_VALUE"""),"DB")</f>
        <v>DB</v>
      </c>
      <c r="G130" s="2">
        <f>IFERROR(__xludf.DUMMYFUNCTION("""COMPUTED_VALUE"""),1.8156112130999994E8)</f>
        <v>181561121.3</v>
      </c>
      <c r="H130" s="2"/>
      <c r="I130" s="2" t="str">
        <f>IFERROR(__xludf.DUMMYFUNCTION("""COMPUTED_VALUE"""),"PRIBADI")</f>
        <v>PRIBADI</v>
      </c>
    </row>
    <row r="131">
      <c r="A131" s="7">
        <f>IFERROR(__xludf.DUMMYFUNCTION("""COMPUTED_VALUE"""),46229.0)</f>
        <v>46229</v>
      </c>
      <c r="B131" s="2" t="str">
        <f>IFERROR(__xludf.DUMMYFUNCTION("""COMPUTED_VALUE"""),"TRSF E-BANKING DB")</f>
        <v>TRSF E-BANKING DB</v>
      </c>
      <c r="C131" s="2" t="str">
        <f>IFERROR(__xludf.DUMMYFUNCTION("""COMPUTED_VALUE"""),"2607/FTSCY/WS95271 40753250.00 BRANTAS ABADI SENT")</f>
        <v>2607/FTSCY/WS95271 40753250.00 BRANTAS ABADI SENT</v>
      </c>
      <c r="D131" s="2">
        <f>IFERROR(__xludf.DUMMYFUNCTION("""COMPUTED_VALUE"""),4.075325E7)</f>
        <v>40753250</v>
      </c>
      <c r="E131" s="2"/>
      <c r="F131" s="2" t="str">
        <f>IFERROR(__xludf.DUMMYFUNCTION("""COMPUTED_VALUE"""),"DB")</f>
        <v>DB</v>
      </c>
      <c r="G131" s="2">
        <f>IFERROR(__xludf.DUMMYFUNCTION("""COMPUTED_VALUE"""),1.4080787130999994E8)</f>
        <v>140807871.3</v>
      </c>
      <c r="H131" s="2"/>
      <c r="I131" s="2" t="str">
        <f>IFERROR(__xludf.DUMMYFUNCTION("""COMPUTED_VALUE"""),"PRIBADI")</f>
        <v>PRIBADI</v>
      </c>
    </row>
    <row r="132">
      <c r="A132" s="7">
        <f>IFERROR(__xludf.DUMMYFUNCTION("""COMPUTED_VALUE"""),46229.0)</f>
        <v>46229</v>
      </c>
      <c r="B132" s="2" t="str">
        <f>IFERROR(__xludf.DUMMYFUNCTION("""COMPUTED_VALUE"""),"TRSF E-BANKING DB")</f>
        <v>TRSF E-BANKING DB</v>
      </c>
      <c r="C132" s="2" t="str">
        <f>IFERROR(__xludf.DUMMYFUNCTION("""COMPUTED_VALUE"""),"2607/FTSCY/WS95031 350000.00 ANDE DOSO ANGGORO")</f>
        <v>2607/FTSCY/WS95031 350000.00 ANDE DOSO ANGGORO</v>
      </c>
      <c r="D132" s="2">
        <f>IFERROR(__xludf.DUMMYFUNCTION("""COMPUTED_VALUE"""),350000.0)</f>
        <v>350000</v>
      </c>
      <c r="E132" s="2"/>
      <c r="F132" s="2" t="str">
        <f>IFERROR(__xludf.DUMMYFUNCTION("""COMPUTED_VALUE"""),"DB")</f>
        <v>DB</v>
      </c>
      <c r="G132" s="2">
        <f>IFERROR(__xludf.DUMMYFUNCTION("""COMPUTED_VALUE"""),1.4045787130999994E8)</f>
        <v>140457871.3</v>
      </c>
      <c r="H132" s="2"/>
      <c r="I132" s="2" t="str">
        <f>IFERROR(__xludf.DUMMYFUNCTION("""COMPUTED_VALUE"""),"PRIBADI")</f>
        <v>PRIBADI</v>
      </c>
    </row>
    <row r="133">
      <c r="A133" s="7">
        <f>IFERROR(__xludf.DUMMYFUNCTION("""COMPUTED_VALUE"""),46229.0)</f>
        <v>46229</v>
      </c>
      <c r="B133" s="2" t="str">
        <f>IFERROR(__xludf.DUMMYFUNCTION("""COMPUTED_VALUE"""),"TARIKAN ATM 26/07")</f>
        <v>TARIKAN ATM 26/07</v>
      </c>
      <c r="C133" s="2" t="str">
        <f>IFERROR(__xludf.DUMMYFUNCTION("""COMPUTED_VALUE"""),"TARIKAN ATM 26/07")</f>
        <v>TARIKAN ATM 26/07</v>
      </c>
      <c r="D133" s="2">
        <f>IFERROR(__xludf.DUMMYFUNCTION("""COMPUTED_VALUE"""),200000.0)</f>
        <v>200000</v>
      </c>
      <c r="E133" s="2"/>
      <c r="F133" s="2"/>
      <c r="G133" s="2">
        <f>IFERROR(__xludf.DUMMYFUNCTION("""COMPUTED_VALUE"""),3.5828287130999994E8)</f>
        <v>358282871.3</v>
      </c>
      <c r="H133" s="2"/>
      <c r="I133" s="2" t="str">
        <f>IFERROR(__xludf.DUMMYFUNCTION("""COMPUTED_VALUE"""),"PRIBADI")</f>
        <v>PRIBADI</v>
      </c>
    </row>
    <row r="134">
      <c r="A134" s="7">
        <f>IFERROR(__xludf.DUMMYFUNCTION("""COMPUTED_VALUE"""),46229.0)</f>
        <v>46229</v>
      </c>
      <c r="B134" s="2" t="str">
        <f>IFERROR(__xludf.DUMMYFUNCTION("""COMPUTED_VALUE"""),"TRSF E-BANKING DB")</f>
        <v>TRSF E-BANKING DB</v>
      </c>
      <c r="C134" s="2" t="str">
        <f>IFERROR(__xludf.DUMMYFUNCTION("""COMPUTED_VALUE"""),"2607/FTSCY/WS95271 10000000.00 EKO SETIYAWAN")</f>
        <v>2607/FTSCY/WS95271 10000000.00 EKO SETIYAWAN</v>
      </c>
      <c r="D134" s="2">
        <f>IFERROR(__xludf.DUMMYFUNCTION("""COMPUTED_VALUE"""),1.0E7)</f>
        <v>10000000</v>
      </c>
      <c r="E134" s="2"/>
      <c r="F134" s="2" t="str">
        <f>IFERROR(__xludf.DUMMYFUNCTION("""COMPUTED_VALUE"""),"DB")</f>
        <v>DB</v>
      </c>
      <c r="G134" s="2">
        <f>IFERROR(__xludf.DUMMYFUNCTION("""COMPUTED_VALUE"""),5.1052451130999994E8)</f>
        <v>510524511.3</v>
      </c>
      <c r="H134" s="2"/>
      <c r="I134" s="2" t="str">
        <f>IFERROR(__xludf.DUMMYFUNCTION("""COMPUTED_VALUE"""),"PRIBADI")</f>
        <v>PRIBADI</v>
      </c>
    </row>
    <row r="135">
      <c r="A135" s="7">
        <f>IFERROR(__xludf.DUMMYFUNCTION("""COMPUTED_VALUE"""),46229.0)</f>
        <v>46229</v>
      </c>
      <c r="B135" s="2" t="str">
        <f>IFERROR(__xludf.DUMMYFUNCTION("""COMPUTED_VALUE"""),"TRSF E-BANKING DB")</f>
        <v>TRSF E-BANKING DB</v>
      </c>
      <c r="C135" s="2" t="str">
        <f>IFERROR(__xludf.DUMMYFUNCTION("""COMPUTED_VALUE"""),"2607/FTSCY/WS95271 99762500.00 pelunasan ANUGERAH KARTIKA A")</f>
        <v>2607/FTSCY/WS95271 99762500.00 pelunasan ANUGERAH KARTIKA A</v>
      </c>
      <c r="D135" s="2">
        <f>IFERROR(__xludf.DUMMYFUNCTION("""COMPUTED_VALUE"""),9.97625E7)</f>
        <v>99762500</v>
      </c>
      <c r="E135" s="2"/>
      <c r="F135" s="2" t="str">
        <f>IFERROR(__xludf.DUMMYFUNCTION("""COMPUTED_VALUE"""),"DB")</f>
        <v>DB</v>
      </c>
      <c r="G135" s="2">
        <f>IFERROR(__xludf.DUMMYFUNCTION("""COMPUTED_VALUE"""),4.1076201130999994E8)</f>
        <v>410762011.3</v>
      </c>
      <c r="H135" s="2"/>
      <c r="I135" s="2" t="str">
        <f>IFERROR(__xludf.DUMMYFUNCTION("""COMPUTED_VALUE"""),"PRIBADI")</f>
        <v>PRIBADI</v>
      </c>
    </row>
    <row r="136">
      <c r="A136" s="7">
        <f>IFERROR(__xludf.DUMMYFUNCTION("""COMPUTED_VALUE"""),46229.0)</f>
        <v>46229</v>
      </c>
      <c r="B136" s="2" t="str">
        <f>IFERROR(__xludf.DUMMYFUNCTION("""COMPUTED_VALUE"""),"TRSF E-BANKING DB")</f>
        <v>TRSF E-BANKING DB</v>
      </c>
      <c r="C136" s="2" t="str">
        <f>IFERROR(__xludf.DUMMYFUNCTION("""COMPUTED_VALUE"""),"2607/FTSCY/WS95271 72100000.00 Fri Jul 24 2026 14:00:00 GMT+0700 (Western Indonesia Time) BINTANG TAMA SANTO")</f>
        <v>2607/FTSCY/WS95271 72100000.00 Fri Jul 24 2026 14:00:00 GMT+0700 (Western Indonesia Time) BINTANG TAMA SANTO</v>
      </c>
      <c r="D136" s="2">
        <f>IFERROR(__xludf.DUMMYFUNCTION("""COMPUTED_VALUE"""),7.21E7)</f>
        <v>72100000</v>
      </c>
      <c r="E136" s="2"/>
      <c r="F136" s="2" t="str">
        <f>IFERROR(__xludf.DUMMYFUNCTION("""COMPUTED_VALUE"""),"DB")</f>
        <v>DB</v>
      </c>
      <c r="G136" s="2">
        <f>IFERROR(__xludf.DUMMYFUNCTION("""COMPUTED_VALUE"""),3.3866201130999994E8)</f>
        <v>338662011.3</v>
      </c>
      <c r="H136" s="2">
        <f>IFERROR(__xludf.DUMMYFUNCTION("""COMPUTED_VALUE"""),3.3866201131E8)</f>
        <v>338662011.3</v>
      </c>
      <c r="I136" s="2" t="str">
        <f>IFERROR(__xludf.DUMMYFUNCTION("""COMPUTED_VALUE"""),"PRIBADI")</f>
        <v>PRIBADI</v>
      </c>
    </row>
    <row r="137">
      <c r="A137" s="7">
        <f>IFERROR(__xludf.DUMMYFUNCTION("""COMPUTED_VALUE"""),46229.0)</f>
        <v>46229</v>
      </c>
      <c r="B137" s="2" t="str">
        <f>IFERROR(__xludf.DUMMYFUNCTION("""COMPUTED_VALUE"""),"TRSF E-BANKING DB")</f>
        <v>TRSF E-BANKING DB</v>
      </c>
      <c r="C137" s="2" t="str">
        <f>IFERROR(__xludf.DUMMYFUNCTION("""COMPUTED_VALUE"""),"2607/FTSCY/WS95271 24039610.00 pelunasan 24/07 BROILER MAKMUR TAN")</f>
        <v>2607/FTSCY/WS95271 24039610.00 pelunasan 24/07 BROILER MAKMUR TAN</v>
      </c>
      <c r="D137" s="2">
        <f>IFERROR(__xludf.DUMMYFUNCTION("""COMPUTED_VALUE"""),2.403961E7)</f>
        <v>24039610</v>
      </c>
      <c r="E137" s="2"/>
      <c r="F137" s="2" t="str">
        <f>IFERROR(__xludf.DUMMYFUNCTION("""COMPUTED_VALUE"""),"DB")</f>
        <v>DB</v>
      </c>
      <c r="G137" s="2">
        <f>IFERROR(__xludf.DUMMYFUNCTION("""COMPUTED_VALUE"""),3.1462240130999994E8)</f>
        <v>314622401.3</v>
      </c>
      <c r="H137" s="2">
        <f>IFERROR(__xludf.DUMMYFUNCTION("""COMPUTED_VALUE"""),3.1462240131E8)</f>
        <v>314622401.3</v>
      </c>
      <c r="I137" s="2" t="str">
        <f>IFERROR(__xludf.DUMMYFUNCTION("""COMPUTED_VALUE"""),"PRIBADI")</f>
        <v>PRIBADI</v>
      </c>
    </row>
    <row r="138">
      <c r="A138" s="7">
        <f>IFERROR(__xludf.DUMMYFUNCTION("""COMPUTED_VALUE"""),46229.0)</f>
        <v>46229</v>
      </c>
      <c r="B138" s="2" t="str">
        <f>IFERROR(__xludf.DUMMYFUNCTION("""COMPUTED_VALUE"""),"TRSF E-BANKING DB")</f>
        <v>TRSF E-BANKING DB</v>
      </c>
      <c r="C138" s="2" t="str">
        <f>IFERROR(__xludf.DUMMYFUNCTION("""COMPUTED_VALUE"""),"2607/FTSCY/WS95271 41525600.00 Sat Jul 25 2026 14:00:00 GMT+0700 (Western Indonesia Time) ANUGERAH KARTIKA A")</f>
        <v>2607/FTSCY/WS95271 41525600.00 Sat Jul 25 2026 14:00:00 GMT+0700 (Western Indonesia Time) ANUGERAH KARTIKA A</v>
      </c>
      <c r="D138" s="2">
        <f>IFERROR(__xludf.DUMMYFUNCTION("""COMPUTED_VALUE"""),4.15256E7)</f>
        <v>41525600</v>
      </c>
      <c r="E138" s="2"/>
      <c r="F138" s="2" t="str">
        <f>IFERROR(__xludf.DUMMYFUNCTION("""COMPUTED_VALUE"""),"DB")</f>
        <v>DB</v>
      </c>
      <c r="G138" s="2">
        <f>IFERROR(__xludf.DUMMYFUNCTION("""COMPUTED_VALUE"""),2.7309680130999994E8)</f>
        <v>273096801.3</v>
      </c>
      <c r="H138" s="2"/>
      <c r="I138" s="2" t="str">
        <f>IFERROR(__xludf.DUMMYFUNCTION("""COMPUTED_VALUE"""),"PRIBADI")</f>
        <v>PRIBADI</v>
      </c>
    </row>
    <row r="139">
      <c r="A139" s="7">
        <f>IFERROR(__xludf.DUMMYFUNCTION("""COMPUTED_VALUE"""),46229.0)</f>
        <v>46229</v>
      </c>
      <c r="B139" s="2" t="str">
        <f>IFERROR(__xludf.DUMMYFUNCTION("""COMPUTED_VALUE"""),"TRSF E-BANKING DB")</f>
        <v>TRSF E-BANKING DB</v>
      </c>
      <c r="C139" s="2" t="str">
        <f>IFERROR(__xludf.DUMMYFUNCTION("""COMPUTED_VALUE"""),"2607/FTFVA/WS95031 55569/PT PRIMA FAJ titip - 40190")</f>
        <v>2607/FTFVA/WS95031 55569/PT PRIMA FAJ titip - 40190</v>
      </c>
      <c r="D139" s="2">
        <f>IFERROR(__xludf.DUMMYFUNCTION("""COMPUTED_VALUE"""),6.0E7)</f>
        <v>60000000</v>
      </c>
      <c r="E139" s="2"/>
      <c r="F139" s="2" t="str">
        <f>IFERROR(__xludf.DUMMYFUNCTION("""COMPUTED_VALUE"""),"DB")</f>
        <v>DB</v>
      </c>
      <c r="G139" s="2">
        <f>IFERROR(__xludf.DUMMYFUNCTION("""COMPUTED_VALUE"""),2.1309680130999994E8)</f>
        <v>213096801.3</v>
      </c>
      <c r="H139" s="2"/>
      <c r="I139" s="2" t="str">
        <f>IFERROR(__xludf.DUMMYFUNCTION("""COMPUTED_VALUE"""),"PRIBADI")</f>
        <v>PRIBADI</v>
      </c>
    </row>
    <row r="140">
      <c r="A140" s="7">
        <f>IFERROR(__xludf.DUMMYFUNCTION("""COMPUTED_VALUE"""),46229.0)</f>
        <v>46229</v>
      </c>
      <c r="B140" s="2" t="str">
        <f>IFERROR(__xludf.DUMMYFUNCTION("""COMPUTED_VALUE"""),"TRSF E-BANKING DB")</f>
        <v>TRSF E-BANKING DB</v>
      </c>
      <c r="C140" s="2" t="str">
        <f>IFERROR(__xludf.DUMMYFUNCTION("""COMPUTED_VALUE"""),"2607/FTFVA/WS95031 55574/GUNA MITRA S titip rembang - 200177")</f>
        <v>2607/FTFVA/WS95031 55574/GUNA MITRA S titip rembang - 200177</v>
      </c>
      <c r="D140" s="2">
        <f>IFERROR(__xludf.DUMMYFUNCTION("""COMPUTED_VALUE"""),6.0E7)</f>
        <v>60000000</v>
      </c>
      <c r="E140" s="2"/>
      <c r="F140" s="2" t="str">
        <f>IFERROR(__xludf.DUMMYFUNCTION("""COMPUTED_VALUE"""),"DB")</f>
        <v>DB</v>
      </c>
      <c r="G140" s="2">
        <f>IFERROR(__xludf.DUMMYFUNCTION("""COMPUTED_VALUE"""),1.5309680130999994E8)</f>
        <v>153096801.3</v>
      </c>
      <c r="H140" s="2">
        <f>IFERROR(__xludf.DUMMYFUNCTION("""COMPUTED_VALUE"""),1.5309680131E8)</f>
        <v>153096801.3</v>
      </c>
      <c r="I140" s="2" t="str">
        <f>IFERROR(__xludf.DUMMYFUNCTION("""COMPUTED_VALUE"""),"PRIBADI")</f>
        <v>PRIBADI</v>
      </c>
    </row>
    <row r="141">
      <c r="A141" s="7">
        <f>IFERROR(__xludf.DUMMYFUNCTION("""COMPUTED_VALUE"""),46230.0)</f>
        <v>46230</v>
      </c>
      <c r="B141" s="2" t="str">
        <f>IFERROR(__xludf.DUMMYFUNCTION("""COMPUTED_VALUE"""),"TRSF E-BANKING DB")</f>
        <v>TRSF E-BANKING DB</v>
      </c>
      <c r="C141" s="2" t="str">
        <f>IFERROR(__xludf.DUMMYFUNCTION("""COMPUTED_VALUE"""),"2707/FTSCY/WS95031 84248000.00 pelunasan TABASSAM AL HATTAK")</f>
        <v>2707/FTSCY/WS95031 84248000.00 pelunasan TABASSAM AL HATTAK</v>
      </c>
      <c r="D141" s="2">
        <f>IFERROR(__xludf.DUMMYFUNCTION("""COMPUTED_VALUE"""),8.4248E7)</f>
        <v>84248000</v>
      </c>
      <c r="E141" s="2"/>
      <c r="F141" s="2" t="str">
        <f>IFERROR(__xludf.DUMMYFUNCTION("""COMPUTED_VALUE"""),"DB")</f>
        <v>DB</v>
      </c>
      <c r="G141" s="2">
        <f>IFERROR(__xludf.DUMMYFUNCTION("""COMPUTED_VALUE"""),6.884880130999994E7)</f>
        <v>68848801.31</v>
      </c>
      <c r="H141" s="2"/>
      <c r="I141" s="2" t="str">
        <f>IFERROR(__xludf.DUMMYFUNCTION("""COMPUTED_VALUE"""),"PRIBADI")</f>
        <v>PRIBADI</v>
      </c>
    </row>
    <row r="142">
      <c r="A142" s="7">
        <f>IFERROR(__xludf.DUMMYFUNCTION("""COMPUTED_VALUE"""),46230.0)</f>
        <v>46230</v>
      </c>
      <c r="B142" s="2" t="str">
        <f>IFERROR(__xludf.DUMMYFUNCTION("""COMPUTED_VALUE"""),"TRSF E-BANKING DB")</f>
        <v>TRSF E-BANKING DB</v>
      </c>
      <c r="C142" s="2" t="str">
        <f>IFERROR(__xludf.DUMMYFUNCTION("""COMPUTED_VALUE"""),"2707/FTSCY/WS95031 3000000.00 lunas DWI HERMANSYAH")</f>
        <v>2707/FTSCY/WS95031 3000000.00 lunas DWI HERMANSYAH</v>
      </c>
      <c r="D142" s="2">
        <f>IFERROR(__xludf.DUMMYFUNCTION("""COMPUTED_VALUE"""),3000000.0)</f>
        <v>3000000</v>
      </c>
      <c r="E142" s="2"/>
      <c r="F142" s="2" t="str">
        <f>IFERROR(__xludf.DUMMYFUNCTION("""COMPUTED_VALUE"""),"DB")</f>
        <v>DB</v>
      </c>
      <c r="G142" s="2">
        <f>IFERROR(__xludf.DUMMYFUNCTION("""COMPUTED_VALUE"""),6.584880130999994E7)</f>
        <v>65848801.31</v>
      </c>
      <c r="H142" s="2"/>
      <c r="I142" s="2" t="str">
        <f>IFERROR(__xludf.DUMMYFUNCTION("""COMPUTED_VALUE"""),"PRIBADI")</f>
        <v>PRIBADI</v>
      </c>
    </row>
    <row r="143">
      <c r="A143" s="7">
        <f>IFERROR(__xludf.DUMMYFUNCTION("""COMPUTED_VALUE"""),46230.0)</f>
        <v>46230</v>
      </c>
      <c r="B143" s="2" t="str">
        <f>IFERROR(__xludf.DUMMYFUNCTION("""COMPUTED_VALUE"""),"TRSF E-BANKING DB")</f>
        <v>TRSF E-BANKING DB</v>
      </c>
      <c r="C143" s="2" t="str">
        <f>IFERROR(__xludf.DUMMYFUNCTION("""COMPUTED_VALUE"""),"2707/FTSCY/WS95271 141435000.00 Fri Jul 24 2026 14:00:00 GMT+0700 (Western Indonesia Time) BINTANG TAMA SANTO")</f>
        <v>2707/FTSCY/WS95271 141435000.00 Fri Jul 24 2026 14:00:00 GMT+0700 (Western Indonesia Time) BINTANG TAMA SANTO</v>
      </c>
      <c r="D143" s="2">
        <f>IFERROR(__xludf.DUMMYFUNCTION("""COMPUTED_VALUE"""),1.41435E8)</f>
        <v>141435000</v>
      </c>
      <c r="E143" s="2"/>
      <c r="F143" s="2" t="str">
        <f>IFERROR(__xludf.DUMMYFUNCTION("""COMPUTED_VALUE"""),"DB")</f>
        <v>DB</v>
      </c>
      <c r="G143" s="2">
        <f>IFERROR(__xludf.DUMMYFUNCTION("""COMPUTED_VALUE"""),5.8956806131E8)</f>
        <v>589568061.3</v>
      </c>
      <c r="H143" s="2"/>
      <c r="I143" s="2" t="str">
        <f>IFERROR(__xludf.DUMMYFUNCTION("""COMPUTED_VALUE"""),"PRIBADI")</f>
        <v>PRIBADI</v>
      </c>
    </row>
    <row r="144">
      <c r="A144" s="7">
        <f>IFERROR(__xludf.DUMMYFUNCTION("""COMPUTED_VALUE"""),46230.0)</f>
        <v>46230</v>
      </c>
      <c r="B144" s="2" t="str">
        <f>IFERROR(__xludf.DUMMYFUNCTION("""COMPUTED_VALUE"""),"TRSF E-BANKING DB")</f>
        <v>TRSF E-BANKING DB</v>
      </c>
      <c r="C144" s="2" t="str">
        <f>IFERROR(__xludf.DUMMYFUNCTION("""COMPUTED_VALUE"""),"2707/FTSCY/WS95271 61500750.00 Sun Jul 26 2026 14:00:00 GMT+0700 (Western Indonesia Time) ANUGERAH KARTIKA A")</f>
        <v>2707/FTSCY/WS95271 61500750.00 Sun Jul 26 2026 14:00:00 GMT+0700 (Western Indonesia Time) ANUGERAH KARTIKA A</v>
      </c>
      <c r="D144" s="2">
        <f>IFERROR(__xludf.DUMMYFUNCTION("""COMPUTED_VALUE"""),6.150075E7)</f>
        <v>61500750</v>
      </c>
      <c r="E144" s="2"/>
      <c r="F144" s="2" t="str">
        <f>IFERROR(__xludf.DUMMYFUNCTION("""COMPUTED_VALUE"""),"DB")</f>
        <v>DB</v>
      </c>
      <c r="G144" s="2">
        <f>IFERROR(__xludf.DUMMYFUNCTION("""COMPUTED_VALUE"""),5.2806731130999994E8)</f>
        <v>528067311.3</v>
      </c>
      <c r="H144" s="2"/>
      <c r="I144" s="2" t="str">
        <f>IFERROR(__xludf.DUMMYFUNCTION("""COMPUTED_VALUE"""),"PRIBADI")</f>
        <v>PRIBADI</v>
      </c>
    </row>
    <row r="145">
      <c r="A145" s="7">
        <f>IFERROR(__xludf.DUMMYFUNCTION("""COMPUTED_VALUE"""),46230.0)</f>
        <v>46230</v>
      </c>
      <c r="B145" s="2" t="str">
        <f>IFERROR(__xludf.DUMMYFUNCTION("""COMPUTED_VALUE"""),"TRSF E-BANKING DB")</f>
        <v>TRSF E-BANKING DB</v>
      </c>
      <c r="C145" s="2" t="str">
        <f>IFERROR(__xludf.DUMMYFUNCTION("""COMPUTED_VALUE"""),"2707/FTSCY/WS95011 208814920.00 Sat Jul 25 2026 14:00:00 GMT+0700 (Western Indonesia Time) ANUGERAH KARTIKA A")</f>
        <v>2707/FTSCY/WS95011 208814920.00 Sat Jul 25 2026 14:00:00 GMT+0700 (Western Indonesia Time) ANUGERAH KARTIKA A</v>
      </c>
      <c r="D145" s="2">
        <f>IFERROR(__xludf.DUMMYFUNCTION("""COMPUTED_VALUE"""),2.0881492E8)</f>
        <v>208814920</v>
      </c>
      <c r="E145" s="2"/>
      <c r="F145" s="2" t="str">
        <f>IFERROR(__xludf.DUMMYFUNCTION("""COMPUTED_VALUE"""),"DB")</f>
        <v>DB</v>
      </c>
      <c r="G145" s="2">
        <f>IFERROR(__xludf.DUMMYFUNCTION("""COMPUTED_VALUE"""),3.1925239130999994E8)</f>
        <v>319252391.3</v>
      </c>
      <c r="H145" s="2">
        <f>IFERROR(__xludf.DUMMYFUNCTION("""COMPUTED_VALUE"""),3.1925239131E8)</f>
        <v>319252391.3</v>
      </c>
      <c r="I145" s="2" t="str">
        <f>IFERROR(__xludf.DUMMYFUNCTION("""COMPUTED_VALUE"""),"PRIBADI")</f>
        <v>PRIBADI</v>
      </c>
    </row>
    <row r="146">
      <c r="A146" s="7">
        <f>IFERROR(__xludf.DUMMYFUNCTION("""COMPUTED_VALUE"""),46230.0)</f>
        <v>46230</v>
      </c>
      <c r="B146" s="2" t="str">
        <f>IFERROR(__xludf.DUMMYFUNCTION("""COMPUTED_VALUE"""),"TRSF E-BANKING DB")</f>
        <v>TRSF E-BANKING DB</v>
      </c>
      <c r="C146" s="2" t="str">
        <f>IFERROR(__xludf.DUMMYFUNCTION("""COMPUTED_VALUE"""),"2707/FTSCY/WS95011 132577000.00 Sun Jul 26 2026 14:00:00 GMT+0700 (Western Indonesia Time) SURYA INTI TERNAK")</f>
        <v>2707/FTSCY/WS95011 132577000.00 Sun Jul 26 2026 14:00:00 GMT+0700 (Western Indonesia Time) SURYA INTI TERNAK</v>
      </c>
      <c r="D146" s="2">
        <f>IFERROR(__xludf.DUMMYFUNCTION("""COMPUTED_VALUE"""),1.32577E8)</f>
        <v>132577000</v>
      </c>
      <c r="E146" s="2"/>
      <c r="F146" s="2" t="str">
        <f>IFERROR(__xludf.DUMMYFUNCTION("""COMPUTED_VALUE"""),"DB")</f>
        <v>DB</v>
      </c>
      <c r="G146" s="2">
        <f>IFERROR(__xludf.DUMMYFUNCTION("""COMPUTED_VALUE"""),3.5109549130999994E8)</f>
        <v>351095491.3</v>
      </c>
      <c r="H146" s="2"/>
      <c r="I146" s="2" t="str">
        <f>IFERROR(__xludf.DUMMYFUNCTION("""COMPUTED_VALUE"""),"PRIBADI")</f>
        <v>PRIBADI</v>
      </c>
    </row>
    <row r="147">
      <c r="A147" s="7">
        <f>IFERROR(__xludf.DUMMYFUNCTION("""COMPUTED_VALUE"""),46230.0)</f>
        <v>46230</v>
      </c>
      <c r="B147" s="2" t="str">
        <f>IFERROR(__xludf.DUMMYFUNCTION("""COMPUTED_VALUE"""),"TRSF E-BANKING DB")</f>
        <v>TRSF E-BANKING DB</v>
      </c>
      <c r="C147" s="2" t="str">
        <f>IFERROR(__xludf.DUMMYFUNCTION("""COMPUTED_VALUE"""),"2707/FTSCY/WS95011 54672300.00 Sat Jul 25 2026 14:00:00 GMT+0700 (Western Indonesia Time) LAJU SATWA WISESA")</f>
        <v>2707/FTSCY/WS95011 54672300.00 Sat Jul 25 2026 14:00:00 GMT+0700 (Western Indonesia Time) LAJU SATWA WISESA</v>
      </c>
      <c r="D147" s="2">
        <f>IFERROR(__xludf.DUMMYFUNCTION("""COMPUTED_VALUE"""),5.46723E7)</f>
        <v>54672300</v>
      </c>
      <c r="E147" s="2"/>
      <c r="F147" s="2" t="str">
        <f>IFERROR(__xludf.DUMMYFUNCTION("""COMPUTED_VALUE"""),"DB")</f>
        <v>DB</v>
      </c>
      <c r="G147" s="2">
        <f>IFERROR(__xludf.DUMMYFUNCTION("""COMPUTED_VALUE"""),2.9642319130999994E8)</f>
        <v>296423191.3</v>
      </c>
      <c r="H147" s="2"/>
      <c r="I147" s="2" t="str">
        <f>IFERROR(__xludf.DUMMYFUNCTION("""COMPUTED_VALUE"""),"PRIBADI")</f>
        <v>PRIBADI</v>
      </c>
    </row>
    <row r="148">
      <c r="A148" s="7">
        <f>IFERROR(__xludf.DUMMYFUNCTION("""COMPUTED_VALUE"""),46230.0)</f>
        <v>46230</v>
      </c>
      <c r="B148" s="2" t="str">
        <f>IFERROR(__xludf.DUMMYFUNCTION("""COMPUTED_VALUE"""),"TRSF E-BANKING DB")</f>
        <v>TRSF E-BANKING DB</v>
      </c>
      <c r="C148" s="2" t="str">
        <f>IFERROR(__xludf.DUMMYFUNCTION("""COMPUTED_VALUE"""),"2707/FTSCY/WS95011 92742750.00 Sat Jul 25 2026 14:00:00 GMT+0700 (Western Indonesia Time) BINTANG TAMA SANTO")</f>
        <v>2707/FTSCY/WS95011 92742750.00 Sat Jul 25 2026 14:00:00 GMT+0700 (Western Indonesia Time) BINTANG TAMA SANTO</v>
      </c>
      <c r="D148" s="2">
        <f>IFERROR(__xludf.DUMMYFUNCTION("""COMPUTED_VALUE"""),9.274275E7)</f>
        <v>92742750</v>
      </c>
      <c r="E148" s="2"/>
      <c r="F148" s="2" t="str">
        <f>IFERROR(__xludf.DUMMYFUNCTION("""COMPUTED_VALUE"""),"DB")</f>
        <v>DB</v>
      </c>
      <c r="G148" s="2">
        <f>IFERROR(__xludf.DUMMYFUNCTION("""COMPUTED_VALUE"""),2.0368044130999994E8)</f>
        <v>203680441.3</v>
      </c>
      <c r="H148" s="2"/>
      <c r="I148" s="2" t="str">
        <f>IFERROR(__xludf.DUMMYFUNCTION("""COMPUTED_VALUE"""),"PRIBADI")</f>
        <v>PRIBADI</v>
      </c>
    </row>
    <row r="149">
      <c r="A149" s="7">
        <f>IFERROR(__xludf.DUMMYFUNCTION("""COMPUTED_VALUE"""),46230.0)</f>
        <v>46230</v>
      </c>
      <c r="B149" s="2" t="str">
        <f>IFERROR(__xludf.DUMMYFUNCTION("""COMPUTED_VALUE"""),"TRSF E-BANKING DB")</f>
        <v>TRSF E-BANKING DB</v>
      </c>
      <c r="C149" s="2" t="str">
        <f>IFERROR(__xludf.DUMMYFUNCTION("""COMPUTED_VALUE"""),"2707/FTSCY/WS95271 61354650.00 Sat Jul 25 2026 14:00:00 GMT+0700 (Western Indonesia Time) BINTANG TAMA SANTO")</f>
        <v>2707/FTSCY/WS95271 61354650.00 Sat Jul 25 2026 14:00:00 GMT+0700 (Western Indonesia Time) BINTANG TAMA SANTO</v>
      </c>
      <c r="D149" s="2">
        <f>IFERROR(__xludf.DUMMYFUNCTION("""COMPUTED_VALUE"""),6.135465E7)</f>
        <v>61354650</v>
      </c>
      <c r="E149" s="2"/>
      <c r="F149" s="2" t="str">
        <f>IFERROR(__xludf.DUMMYFUNCTION("""COMPUTED_VALUE"""),"DB")</f>
        <v>DB</v>
      </c>
      <c r="G149" s="2">
        <f>IFERROR(__xludf.DUMMYFUNCTION("""COMPUTED_VALUE"""),1.4232579130999994E8)</f>
        <v>142325791.3</v>
      </c>
      <c r="H149" s="2"/>
      <c r="I149" s="2" t="str">
        <f>IFERROR(__xludf.DUMMYFUNCTION("""COMPUTED_VALUE"""),"PRIBADI")</f>
        <v>PRIBADI</v>
      </c>
    </row>
    <row r="150">
      <c r="A150" s="7">
        <f>IFERROR(__xludf.DUMMYFUNCTION("""COMPUTED_VALUE"""),46230.0)</f>
        <v>46230</v>
      </c>
      <c r="B150" s="2" t="str">
        <f>IFERROR(__xludf.DUMMYFUNCTION("""COMPUTED_VALUE"""),"TRSF E-BANKING DB")</f>
        <v>TRSF E-BANKING DB</v>
      </c>
      <c r="C150" s="2" t="str">
        <f>IFERROR(__xludf.DUMMYFUNCTION("""COMPUTED_VALUE"""),"2707/FTFVA/WS95031 55574/GUNA MITRA S pelunasan - 200177")</f>
        <v>2707/FTFVA/WS95031 55574/GUNA MITRA S pelunasan - 200177</v>
      </c>
      <c r="D150" s="2">
        <f>IFERROR(__xludf.DUMMYFUNCTION("""COMPUTED_VALUE"""),1500000.0)</f>
        <v>1500000</v>
      </c>
      <c r="E150" s="2"/>
      <c r="F150" s="2" t="str">
        <f>IFERROR(__xludf.DUMMYFUNCTION("""COMPUTED_VALUE"""),"DB")</f>
        <v>DB</v>
      </c>
      <c r="G150" s="2">
        <f>IFERROR(__xludf.DUMMYFUNCTION("""COMPUTED_VALUE"""),1.4082579130999994E8)</f>
        <v>140825791.3</v>
      </c>
      <c r="H150" s="2"/>
      <c r="I150" s="2" t="str">
        <f>IFERROR(__xludf.DUMMYFUNCTION("""COMPUTED_VALUE"""),"PRIBADI")</f>
        <v>PRIBADI</v>
      </c>
    </row>
    <row r="151">
      <c r="A151" s="7">
        <f>IFERROR(__xludf.DUMMYFUNCTION("""COMPUTED_VALUE"""),46230.0)</f>
        <v>46230</v>
      </c>
      <c r="B151" s="2" t="str">
        <f>IFERROR(__xludf.DUMMYFUNCTION("""COMPUTED_VALUE"""),"TRSF E-BANKING DB")</f>
        <v>TRSF E-BANKING DB</v>
      </c>
      <c r="C151" s="2" t="str">
        <f>IFERROR(__xludf.DUMMYFUNCTION("""COMPUTED_VALUE"""),"2707/FTSCY/WS95271 35590500.00 Sat Jul 25 2026 14:00:00 GMT+0700 (Western Indonesia Time) ANUGERAH KARTIKA A")</f>
        <v>2707/FTSCY/WS95271 35590500.00 Sat Jul 25 2026 14:00:00 GMT+0700 (Western Indonesia Time) ANUGERAH KARTIKA A</v>
      </c>
      <c r="D151" s="2">
        <f>IFERROR(__xludf.DUMMYFUNCTION("""COMPUTED_VALUE"""),3.55905E7)</f>
        <v>35590500</v>
      </c>
      <c r="E151" s="2"/>
      <c r="F151" s="2" t="str">
        <f>IFERROR(__xludf.DUMMYFUNCTION("""COMPUTED_VALUE"""),"DB")</f>
        <v>DB</v>
      </c>
      <c r="G151" s="2">
        <f>IFERROR(__xludf.DUMMYFUNCTION("""COMPUTED_VALUE"""),1.7276904130999994E8)</f>
        <v>172769041.3</v>
      </c>
      <c r="H151" s="2"/>
      <c r="I151" s="2" t="str">
        <f>IFERROR(__xludf.DUMMYFUNCTION("""COMPUTED_VALUE"""),"PRIBADI")</f>
        <v>PRIBADI</v>
      </c>
    </row>
    <row r="152">
      <c r="A152" s="7">
        <f>IFERROR(__xludf.DUMMYFUNCTION("""COMPUTED_VALUE"""),46230.0)</f>
        <v>46230</v>
      </c>
      <c r="B152" s="2" t="str">
        <f>IFERROR(__xludf.DUMMYFUNCTION("""COMPUTED_VALUE"""),"TRSF E-BANKING DB")</f>
        <v>TRSF E-BANKING DB</v>
      </c>
      <c r="C152" s="2" t="str">
        <f>IFERROR(__xludf.DUMMYFUNCTION("""COMPUTED_VALUE"""),"2707/FTSCY/WS95031 6100000.00 pelunasan LAWU ABADI NUSA PT")</f>
        <v>2707/FTSCY/WS95031 6100000.00 pelunasan LAWU ABADI NUSA PT</v>
      </c>
      <c r="D152" s="2">
        <f>IFERROR(__xludf.DUMMYFUNCTION("""COMPUTED_VALUE"""),6100000.0)</f>
        <v>6100000</v>
      </c>
      <c r="E152" s="2"/>
      <c r="F152" s="2" t="str">
        <f>IFERROR(__xludf.DUMMYFUNCTION("""COMPUTED_VALUE"""),"DB")</f>
        <v>DB</v>
      </c>
      <c r="G152" s="2">
        <f>IFERROR(__xludf.DUMMYFUNCTION("""COMPUTED_VALUE"""),1.6666904130999994E8)</f>
        <v>166669041.3</v>
      </c>
      <c r="H152" s="2"/>
      <c r="I152" s="2" t="str">
        <f>IFERROR(__xludf.DUMMYFUNCTION("""COMPUTED_VALUE"""),"PRIBADI")</f>
        <v>PRIBADI</v>
      </c>
    </row>
    <row r="153">
      <c r="A153" s="7">
        <f>IFERROR(__xludf.DUMMYFUNCTION("""COMPUTED_VALUE"""),46230.0)</f>
        <v>46230</v>
      </c>
      <c r="B153" s="2" t="str">
        <f>IFERROR(__xludf.DUMMYFUNCTION("""COMPUTED_VALUE"""),"TRSF E-BANKING DB")</f>
        <v>TRSF E-BANKING DB</v>
      </c>
      <c r="C153" s="2" t="str">
        <f>IFERROR(__xludf.DUMMYFUNCTION("""COMPUTED_VALUE"""),"2707/FTSCY/WS95031 824380.00 SITI RAHMA IFTITAH")</f>
        <v>2707/FTSCY/WS95031 824380.00 SITI RAHMA IFTITAH</v>
      </c>
      <c r="D153" s="2">
        <f>IFERROR(__xludf.DUMMYFUNCTION("""COMPUTED_VALUE"""),824380.0)</f>
        <v>824380</v>
      </c>
      <c r="E153" s="2"/>
      <c r="F153" s="2" t="str">
        <f>IFERROR(__xludf.DUMMYFUNCTION("""COMPUTED_VALUE"""),"DB")</f>
        <v>DB</v>
      </c>
      <c r="G153" s="2">
        <f>IFERROR(__xludf.DUMMYFUNCTION("""COMPUTED_VALUE"""),1.6584466130999994E8)</f>
        <v>165844661.3</v>
      </c>
      <c r="H153" s="2"/>
      <c r="I153" s="2" t="str">
        <f>IFERROR(__xludf.DUMMYFUNCTION("""COMPUTED_VALUE"""),"PRIBADI")</f>
        <v>PRIBADI</v>
      </c>
    </row>
    <row r="154">
      <c r="A154" s="7">
        <f>IFERROR(__xludf.DUMMYFUNCTION("""COMPUTED_VALUE"""),46230.0)</f>
        <v>46230</v>
      </c>
      <c r="B154" s="2" t="str">
        <f>IFERROR(__xludf.DUMMYFUNCTION("""COMPUTED_VALUE"""),"TRSF E-BANKING DB")</f>
        <v>TRSF E-BANKING DB</v>
      </c>
      <c r="C154" s="2" t="str">
        <f>IFERROR(__xludf.DUMMYFUNCTION("""COMPUTED_VALUE"""),"2707/FTFVA/WS95031 55569/PT PRIMA FAJ pelunasan besuki - 40190")</f>
        <v>2707/FTFVA/WS95031 55569/PT PRIMA FAJ pelunasan besuki - 40190</v>
      </c>
      <c r="D154" s="2">
        <f>IFERROR(__xludf.DUMMYFUNCTION("""COMPUTED_VALUE"""),8450000.0)</f>
        <v>8450000</v>
      </c>
      <c r="E154" s="2"/>
      <c r="F154" s="2" t="str">
        <f>IFERROR(__xludf.DUMMYFUNCTION("""COMPUTED_VALUE"""),"DB")</f>
        <v>DB</v>
      </c>
      <c r="G154" s="2">
        <f>IFERROR(__xludf.DUMMYFUNCTION("""COMPUTED_VALUE"""),2.2330872330999994E8)</f>
        <v>223308723.3</v>
      </c>
      <c r="H154" s="2">
        <f>IFERROR(__xludf.DUMMYFUNCTION("""COMPUTED_VALUE"""),2.2330872331E8)</f>
        <v>223308723.3</v>
      </c>
      <c r="I154" s="2" t="str">
        <f>IFERROR(__xludf.DUMMYFUNCTION("""COMPUTED_VALUE"""),"PRIBADI")</f>
        <v>PRIBADI</v>
      </c>
    </row>
    <row r="155">
      <c r="A155" s="7">
        <f>IFERROR(__xludf.DUMMYFUNCTION("""COMPUTED_VALUE"""),46230.0)</f>
        <v>46230</v>
      </c>
      <c r="B155" s="2" t="str">
        <f>IFERROR(__xludf.DUMMYFUNCTION("""COMPUTED_VALUE"""),"TARIKAN ATM 27/07")</f>
        <v>TARIKAN ATM 27/07</v>
      </c>
      <c r="C155" s="2" t="str">
        <f>IFERROR(__xludf.DUMMYFUNCTION("""COMPUTED_VALUE"""),"TARIKAN ATM 27/07")</f>
        <v>TARIKAN ATM 27/07</v>
      </c>
      <c r="D155" s="2">
        <f>IFERROR(__xludf.DUMMYFUNCTION("""COMPUTED_VALUE"""),700000.0)</f>
        <v>700000</v>
      </c>
      <c r="E155" s="2"/>
      <c r="F155" s="2"/>
      <c r="G155" s="2">
        <f>IFERROR(__xludf.DUMMYFUNCTION("""COMPUTED_VALUE"""),2.2260872330999994E8)</f>
        <v>222608723.3</v>
      </c>
      <c r="H155" s="2">
        <f>IFERROR(__xludf.DUMMYFUNCTION("""COMPUTED_VALUE"""),2.2260872331E8)</f>
        <v>222608723.3</v>
      </c>
      <c r="I155" s="2" t="str">
        <f>IFERROR(__xludf.DUMMYFUNCTION("""COMPUTED_VALUE"""),"PRIBADI")</f>
        <v>PRIBADI</v>
      </c>
    </row>
    <row r="156">
      <c r="A156" s="7">
        <f>IFERROR(__xludf.DUMMYFUNCTION("""COMPUTED_VALUE"""),46230.0)</f>
        <v>46230</v>
      </c>
      <c r="B156" s="2" t="str">
        <f>IFERROR(__xludf.DUMMYFUNCTION("""COMPUTED_VALUE"""),"TRSF E-BANKING DB")</f>
        <v>TRSF E-BANKING DB</v>
      </c>
      <c r="C156" s="2" t="str">
        <f>IFERROR(__xludf.DUMMYFUNCTION("""COMPUTED_VALUE"""),"2707/FTFVA/WS95031 55569/PT PRIMA FAJ titip - 40190")</f>
        <v>2707/FTFVA/WS95031 55569/PT PRIMA FAJ titip - 40190</v>
      </c>
      <c r="D156" s="2">
        <f>IFERROR(__xludf.DUMMYFUNCTION("""COMPUTED_VALUE"""),1.0E8)</f>
        <v>100000000</v>
      </c>
      <c r="E156" s="2"/>
      <c r="F156" s="2" t="str">
        <f>IFERROR(__xludf.DUMMYFUNCTION("""COMPUTED_VALUE"""),"DB")</f>
        <v>DB</v>
      </c>
      <c r="G156" s="2">
        <f>IFERROR(__xludf.DUMMYFUNCTION("""COMPUTED_VALUE"""),1.2260872330999994E8)</f>
        <v>122608723.3</v>
      </c>
      <c r="H156" s="2"/>
      <c r="I156" s="2" t="str">
        <f>IFERROR(__xludf.DUMMYFUNCTION("""COMPUTED_VALUE"""),"PRIBADI")</f>
        <v>PRIBADI</v>
      </c>
    </row>
    <row r="157">
      <c r="A157" s="7">
        <f>IFERROR(__xludf.DUMMYFUNCTION("""COMPUTED_VALUE"""),46230.0)</f>
        <v>46230</v>
      </c>
      <c r="B157" s="2" t="str">
        <f>IFERROR(__xludf.DUMMYFUNCTION("""COMPUTED_VALUE"""),"KARTU DEBIT")</f>
        <v>KARTU DEBIT</v>
      </c>
      <c r="C157" s="2" t="str">
        <f>IFERROR(__xludf.DUMMYFUNCTION("""COMPUTED_VALUE"""),"ALFAMRT Y207 BRTN 6019009510239343")</f>
        <v>ALFAMRT Y207 BRTN 6019009510239343</v>
      </c>
      <c r="D157" s="2">
        <f>IFERROR(__xludf.DUMMYFUNCTION("""COMPUTED_VALUE"""),114200.0)</f>
        <v>114200</v>
      </c>
      <c r="E157" s="2"/>
      <c r="F157" s="2"/>
      <c r="G157" s="2">
        <f>IFERROR(__xludf.DUMMYFUNCTION("""COMPUTED_VALUE"""),7.0343894331E8)</f>
        <v>703438943.3</v>
      </c>
      <c r="H157" s="2"/>
      <c r="I157" s="2" t="str">
        <f>IFERROR(__xludf.DUMMYFUNCTION("""COMPUTED_VALUE"""),"PRIBADI")</f>
        <v>PRIBADI</v>
      </c>
    </row>
    <row r="158">
      <c r="A158" s="7">
        <f>IFERROR(__xludf.DUMMYFUNCTION("""COMPUTED_VALUE"""),46230.0)</f>
        <v>46230</v>
      </c>
      <c r="B158" s="2" t="str">
        <f>IFERROR(__xludf.DUMMYFUNCTION("""COMPUTED_VALUE"""),"TRSF E-BANKING DB")</f>
        <v>TRSF E-BANKING DB</v>
      </c>
      <c r="C158" s="2" t="str">
        <f>IFERROR(__xludf.DUMMYFUNCTION("""COMPUTED_VALUE"""),"2707/FTFVA/WS95031 55574/GUNA MITRA S titip - 200177")</f>
        <v>2707/FTFVA/WS95031 55574/GUNA MITRA S titip - 200177</v>
      </c>
      <c r="D158" s="2">
        <f>IFERROR(__xludf.DUMMYFUNCTION("""COMPUTED_VALUE"""),5.0E7)</f>
        <v>50000000</v>
      </c>
      <c r="E158" s="2"/>
      <c r="F158" s="2" t="str">
        <f>IFERROR(__xludf.DUMMYFUNCTION("""COMPUTED_VALUE"""),"DB")</f>
        <v>DB</v>
      </c>
      <c r="G158" s="2">
        <f>IFERROR(__xludf.DUMMYFUNCTION("""COMPUTED_VALUE"""),6.5343894331E8)</f>
        <v>653438943.3</v>
      </c>
      <c r="H158" s="2">
        <f>IFERROR(__xludf.DUMMYFUNCTION("""COMPUTED_VALUE"""),6.5343894331E8)</f>
        <v>653438943.3</v>
      </c>
      <c r="I158" s="2" t="str">
        <f>IFERROR(__xludf.DUMMYFUNCTION("""COMPUTED_VALUE"""),"PRIBADI")</f>
        <v>PRIBADI</v>
      </c>
    </row>
    <row r="159">
      <c r="A159" s="7">
        <f>IFERROR(__xludf.DUMMYFUNCTION("""COMPUTED_VALUE"""),46231.0)</f>
        <v>46231</v>
      </c>
      <c r="B159" s="2" t="str">
        <f>IFERROR(__xludf.DUMMYFUNCTION("""COMPUTED_VALUE"""),"TRSF E-BANKING DB")</f>
        <v>TRSF E-BANKING DB</v>
      </c>
      <c r="C159" s="2" t="str">
        <f>IFERROR(__xludf.DUMMYFUNCTION("""COMPUTED_VALUE"""),"2807/FTSCY/WS95031 3300610.00 FAJAR ANDREANZAH")</f>
        <v>2807/FTSCY/WS95031 3300610.00 FAJAR ANDREANZAH</v>
      </c>
      <c r="D159" s="2">
        <f>IFERROR(__xludf.DUMMYFUNCTION("""COMPUTED_VALUE"""),3300610.0)</f>
        <v>3300610</v>
      </c>
      <c r="E159" s="2"/>
      <c r="F159" s="2" t="str">
        <f>IFERROR(__xludf.DUMMYFUNCTION("""COMPUTED_VALUE"""),"DB")</f>
        <v>DB</v>
      </c>
      <c r="G159" s="2">
        <f>IFERROR(__xludf.DUMMYFUNCTION("""COMPUTED_VALUE"""),6.5013833331E8)</f>
        <v>650138333.3</v>
      </c>
      <c r="H159" s="2"/>
      <c r="I159" s="2" t="str">
        <f>IFERROR(__xludf.DUMMYFUNCTION("""COMPUTED_VALUE"""),"PRIBADI")</f>
        <v>PRIBADI</v>
      </c>
    </row>
    <row r="160">
      <c r="A160" s="7">
        <f>IFERROR(__xludf.DUMMYFUNCTION("""COMPUTED_VALUE"""),46231.0)</f>
        <v>46231</v>
      </c>
      <c r="B160" s="2" t="str">
        <f>IFERROR(__xludf.DUMMYFUNCTION("""COMPUTED_VALUE"""),"TRSF E-BANKING DB")</f>
        <v>TRSF E-BANKING DB</v>
      </c>
      <c r="C160" s="2" t="str">
        <f>IFERROR(__xludf.DUMMYFUNCTION("""COMPUTED_VALUE"""),"2807/FTSCY/WS95031 8947000.00 MUJIANTO")</f>
        <v>2807/FTSCY/WS95031 8947000.00 MUJIANTO</v>
      </c>
      <c r="D160" s="2">
        <f>IFERROR(__xludf.DUMMYFUNCTION("""COMPUTED_VALUE"""),8947000.0)</f>
        <v>8947000</v>
      </c>
      <c r="E160" s="2"/>
      <c r="F160" s="2" t="str">
        <f>IFERROR(__xludf.DUMMYFUNCTION("""COMPUTED_VALUE"""),"DB")</f>
        <v>DB</v>
      </c>
      <c r="G160" s="2">
        <f>IFERROR(__xludf.DUMMYFUNCTION("""COMPUTED_VALUE"""),6.4119133331E8)</f>
        <v>641191333.3</v>
      </c>
      <c r="H160" s="2"/>
      <c r="I160" s="2" t="str">
        <f>IFERROR(__xludf.DUMMYFUNCTION("""COMPUTED_VALUE"""),"PRIBADI")</f>
        <v>PRIBADI</v>
      </c>
    </row>
    <row r="161">
      <c r="A161" s="7">
        <f>IFERROR(__xludf.DUMMYFUNCTION("""COMPUTED_VALUE"""),46231.0)</f>
        <v>46231</v>
      </c>
      <c r="B161" s="2" t="str">
        <f>IFERROR(__xludf.DUMMYFUNCTION("""COMPUTED_VALUE"""),"TRSF E-BANKING DB")</f>
        <v>TRSF E-BANKING DB</v>
      </c>
      <c r="C161" s="2" t="str">
        <f>IFERROR(__xludf.DUMMYFUNCTION("""COMPUTED_VALUE"""),"2807/FTSCY/WS95031 22500000.00 pelunasan ANUGERAH KARTIKA A")</f>
        <v>2807/FTSCY/WS95031 22500000.00 pelunasan ANUGERAH KARTIKA A</v>
      </c>
      <c r="D161" s="2">
        <f>IFERROR(__xludf.DUMMYFUNCTION("""COMPUTED_VALUE"""),2.25E7)</f>
        <v>22500000</v>
      </c>
      <c r="E161" s="2"/>
      <c r="F161" s="2" t="str">
        <f>IFERROR(__xludf.DUMMYFUNCTION("""COMPUTED_VALUE"""),"DB")</f>
        <v>DB</v>
      </c>
      <c r="G161" s="2">
        <f>IFERROR(__xludf.DUMMYFUNCTION("""COMPUTED_VALUE"""),6.1869133331E8)</f>
        <v>618691333.3</v>
      </c>
      <c r="H161" s="2"/>
      <c r="I161" s="2" t="str">
        <f>IFERROR(__xludf.DUMMYFUNCTION("""COMPUTED_VALUE"""),"PRIBADI")</f>
        <v>PRIBADI</v>
      </c>
    </row>
    <row r="162">
      <c r="A162" s="7">
        <f>IFERROR(__xludf.DUMMYFUNCTION("""COMPUTED_VALUE"""),46231.0)</f>
        <v>46231</v>
      </c>
      <c r="B162" s="2" t="str">
        <f>IFERROR(__xludf.DUMMYFUNCTION("""COMPUTED_VALUE"""),"TRSF E-BANKING DB")</f>
        <v>TRSF E-BANKING DB</v>
      </c>
      <c r="C162" s="2" t="str">
        <f>IFERROR(__xludf.DUMMYFUNCTION("""COMPUTED_VALUE"""),"2807/FTSCY/WS95271 71550900.00 Sat Jul 25 2026 14:00:00 GMT+0700 (Western Indonesia Time) BROILER MAKMUR TAN")</f>
        <v>2807/FTSCY/WS95271 71550900.00 Sat Jul 25 2026 14:00:00 GMT+0700 (Western Indonesia Time) BROILER MAKMUR TAN</v>
      </c>
      <c r="D162" s="2">
        <f>IFERROR(__xludf.DUMMYFUNCTION("""COMPUTED_VALUE"""),7.15509E7)</f>
        <v>71550900</v>
      </c>
      <c r="E162" s="2"/>
      <c r="F162" s="2" t="str">
        <f>IFERROR(__xludf.DUMMYFUNCTION("""COMPUTED_VALUE"""),"DB")</f>
        <v>DB</v>
      </c>
      <c r="G162" s="2">
        <f>IFERROR(__xludf.DUMMYFUNCTION("""COMPUTED_VALUE"""),5.4714043331E8)</f>
        <v>547140433.3</v>
      </c>
      <c r="H162" s="2"/>
      <c r="I162" s="2" t="str">
        <f>IFERROR(__xludf.DUMMYFUNCTION("""COMPUTED_VALUE"""),"PRIBADI")</f>
        <v>PRIBADI</v>
      </c>
    </row>
    <row r="163">
      <c r="A163" s="7">
        <f>IFERROR(__xludf.DUMMYFUNCTION("""COMPUTED_VALUE"""),46231.0)</f>
        <v>46231</v>
      </c>
      <c r="B163" s="2" t="str">
        <f>IFERROR(__xludf.DUMMYFUNCTION("""COMPUTED_VALUE"""),"TRSF E-BANKING DB")</f>
        <v>TRSF E-BANKING DB</v>
      </c>
      <c r="C163" s="2" t="str">
        <f>IFERROR(__xludf.DUMMYFUNCTION("""COMPUTED_VALUE"""),"2807/FTSCY/WS95271 90000000.00 Sun Jul 26 2026 14:00:00 GMT+0700 (Western Indonesia Time) RUKUN MITRA BERSAM")</f>
        <v>2807/FTSCY/WS95271 90000000.00 Sun Jul 26 2026 14:00:00 GMT+0700 (Western Indonesia Time) RUKUN MITRA BERSAM</v>
      </c>
      <c r="D163" s="2">
        <f>IFERROR(__xludf.DUMMYFUNCTION("""COMPUTED_VALUE"""),9.0E7)</f>
        <v>90000000</v>
      </c>
      <c r="E163" s="2"/>
      <c r="F163" s="2" t="str">
        <f>IFERROR(__xludf.DUMMYFUNCTION("""COMPUTED_VALUE"""),"DB")</f>
        <v>DB</v>
      </c>
      <c r="G163" s="2">
        <f>IFERROR(__xludf.DUMMYFUNCTION("""COMPUTED_VALUE"""),4.5714043330999994E8)</f>
        <v>457140433.3</v>
      </c>
      <c r="H163" s="2"/>
      <c r="I163" s="2" t="str">
        <f>IFERROR(__xludf.DUMMYFUNCTION("""COMPUTED_VALUE"""),"PRIBADI")</f>
        <v>PRIBADI</v>
      </c>
    </row>
    <row r="164">
      <c r="A164" s="7">
        <f>IFERROR(__xludf.DUMMYFUNCTION("""COMPUTED_VALUE"""),46231.0)</f>
        <v>46231</v>
      </c>
      <c r="B164" s="2" t="str">
        <f>IFERROR(__xludf.DUMMYFUNCTION("""COMPUTED_VALUE"""),"TRSF E-BANKING DB")</f>
        <v>TRSF E-BANKING DB</v>
      </c>
      <c r="C164" s="2" t="str">
        <f>IFERROR(__xludf.DUMMYFUNCTION("""COMPUTED_VALUE"""),"2807/FTSCY/WS95271 63000000.00 Mon Jul 27 2026 14:00:00 GMT+0700 (Western Indonesia Time) TABASSAM AZ ZUFAR")</f>
        <v>2807/FTSCY/WS95271 63000000.00 Mon Jul 27 2026 14:00:00 GMT+0700 (Western Indonesia Time) TABASSAM AZ ZUFAR</v>
      </c>
      <c r="D164" s="2">
        <f>IFERROR(__xludf.DUMMYFUNCTION("""COMPUTED_VALUE"""),6.3E7)</f>
        <v>63000000</v>
      </c>
      <c r="E164" s="2"/>
      <c r="F164" s="2" t="str">
        <f>IFERROR(__xludf.DUMMYFUNCTION("""COMPUTED_VALUE"""),"DB")</f>
        <v>DB</v>
      </c>
      <c r="G164" s="2">
        <f>IFERROR(__xludf.DUMMYFUNCTION("""COMPUTED_VALUE"""),3.9414043330999994E8)</f>
        <v>394140433.3</v>
      </c>
      <c r="H164" s="2"/>
      <c r="I164" s="2" t="str">
        <f>IFERROR(__xludf.DUMMYFUNCTION("""COMPUTED_VALUE"""),"PRIBADI")</f>
        <v>PRIBADI</v>
      </c>
    </row>
    <row r="165">
      <c r="A165" s="7">
        <f>IFERROR(__xludf.DUMMYFUNCTION("""COMPUTED_VALUE"""),46231.0)</f>
        <v>46231</v>
      </c>
      <c r="B165" s="2" t="str">
        <f>IFERROR(__xludf.DUMMYFUNCTION("""COMPUTED_VALUE"""),"TRSF E-BANKING DB")</f>
        <v>TRSF E-BANKING DB</v>
      </c>
      <c r="C165" s="2" t="str">
        <f>IFERROR(__xludf.DUMMYFUNCTION("""COMPUTED_VALUE"""),"2807/FTSCY/WS95271 67000000.00 Mon Jul 27 2026 14:00:00 GMT+0700 (Western Indonesia Time) TUMBUH OPTIMAL PRI")</f>
        <v>2807/FTSCY/WS95271 67000000.00 Mon Jul 27 2026 14:00:00 GMT+0700 (Western Indonesia Time) TUMBUH OPTIMAL PRI</v>
      </c>
      <c r="D165" s="2">
        <f>IFERROR(__xludf.DUMMYFUNCTION("""COMPUTED_VALUE"""),6.7E7)</f>
        <v>67000000</v>
      </c>
      <c r="E165" s="2"/>
      <c r="F165" s="2" t="str">
        <f>IFERROR(__xludf.DUMMYFUNCTION("""COMPUTED_VALUE"""),"DB")</f>
        <v>DB</v>
      </c>
      <c r="G165" s="2">
        <f>IFERROR(__xludf.DUMMYFUNCTION("""COMPUTED_VALUE"""),3.2714043330999994E8)</f>
        <v>327140433.3</v>
      </c>
      <c r="H165" s="2"/>
      <c r="I165" s="2" t="str">
        <f>IFERROR(__xludf.DUMMYFUNCTION("""COMPUTED_VALUE"""),"PRIBADI")</f>
        <v>PRIBADI</v>
      </c>
    </row>
    <row r="166">
      <c r="A166" s="7">
        <f>IFERROR(__xludf.DUMMYFUNCTION("""COMPUTED_VALUE"""),46231.0)</f>
        <v>46231</v>
      </c>
      <c r="B166" s="2" t="str">
        <f>IFERROR(__xludf.DUMMYFUNCTION("""COMPUTED_VALUE"""),"TRSF E-BANKING DB")</f>
        <v>TRSF E-BANKING DB</v>
      </c>
      <c r="C166" s="2" t="str">
        <f>IFERROR(__xludf.DUMMYFUNCTION("""COMPUTED_VALUE"""),"2807/FTSCY/WS95031 10000000.00 pelunasan TUMBUH OPTIMAL PRI")</f>
        <v>2807/FTSCY/WS95031 10000000.00 pelunasan TUMBUH OPTIMAL PRI</v>
      </c>
      <c r="D166" s="2">
        <f>IFERROR(__xludf.DUMMYFUNCTION("""COMPUTED_VALUE"""),1.0E7)</f>
        <v>10000000</v>
      </c>
      <c r="E166" s="2"/>
      <c r="F166" s="2" t="str">
        <f>IFERROR(__xludf.DUMMYFUNCTION("""COMPUTED_VALUE"""),"DB")</f>
        <v>DB</v>
      </c>
      <c r="G166" s="2">
        <f>IFERROR(__xludf.DUMMYFUNCTION("""COMPUTED_VALUE"""),3.1714043330999994E8)</f>
        <v>317140433.3</v>
      </c>
      <c r="H166" s="2"/>
      <c r="I166" s="2" t="str">
        <f>IFERROR(__xludf.DUMMYFUNCTION("""COMPUTED_VALUE"""),"PRIBADI")</f>
        <v>PRIBADI</v>
      </c>
    </row>
    <row r="167">
      <c r="A167" s="7">
        <f>IFERROR(__xludf.DUMMYFUNCTION("""COMPUTED_VALUE"""),46231.0)</f>
        <v>46231</v>
      </c>
      <c r="B167" s="2" t="str">
        <f>IFERROR(__xludf.DUMMYFUNCTION("""COMPUTED_VALUE"""),"TRSF E-BANKING DB")</f>
        <v>TRSF E-BANKING DB</v>
      </c>
      <c r="C167" s="2" t="str">
        <f>IFERROR(__xludf.DUMMYFUNCTION("""COMPUTED_VALUE"""),"2807/FTSCY/WS95011 64750000.00 Sun Jul 26 2026 14:00:00 GMT+0700 (Western Indonesia Time) GANESHA SATRIA NUS")</f>
        <v>2807/FTSCY/WS95011 64750000.00 Sun Jul 26 2026 14:00:00 GMT+0700 (Western Indonesia Time) GANESHA SATRIA NUS</v>
      </c>
      <c r="D167" s="2">
        <f>IFERROR(__xludf.DUMMYFUNCTION("""COMPUTED_VALUE"""),6.475E7)</f>
        <v>64750000</v>
      </c>
      <c r="E167" s="2"/>
      <c r="F167" s="2" t="str">
        <f>IFERROR(__xludf.DUMMYFUNCTION("""COMPUTED_VALUE"""),"DB")</f>
        <v>DB</v>
      </c>
      <c r="G167" s="2">
        <f>IFERROR(__xludf.DUMMYFUNCTION("""COMPUTED_VALUE"""),2.5239043330999994E8)</f>
        <v>252390433.3</v>
      </c>
      <c r="H167" s="2">
        <f>IFERROR(__xludf.DUMMYFUNCTION("""COMPUTED_VALUE"""),2.5239043331E8)</f>
        <v>252390433.3</v>
      </c>
      <c r="I167" s="2" t="str">
        <f>IFERROR(__xludf.DUMMYFUNCTION("""COMPUTED_VALUE"""),"PRIBADI")</f>
        <v>PRIBADI</v>
      </c>
    </row>
    <row r="168">
      <c r="A168" s="7">
        <f>IFERROR(__xludf.DUMMYFUNCTION("""COMPUTED_VALUE"""),46231.0)</f>
        <v>46231</v>
      </c>
      <c r="B168" s="2" t="str">
        <f>IFERROR(__xludf.DUMMYFUNCTION("""COMPUTED_VALUE"""),"TRSF E-BANKING DB")</f>
        <v>TRSF E-BANKING DB</v>
      </c>
      <c r="C168" s="2" t="str">
        <f>IFERROR(__xludf.DUMMYFUNCTION("""COMPUTED_VALUE"""),"2807/FTSCY/WS95011 73500000.00 Sun Jul 26 2026 14:00:00 GMT+0700 (Western Indonesia Time) LAJU SATWA WISESA")</f>
        <v>2807/FTSCY/WS95011 73500000.00 Sun Jul 26 2026 14:00:00 GMT+0700 (Western Indonesia Time) LAJU SATWA WISESA</v>
      </c>
      <c r="D168" s="2">
        <f>IFERROR(__xludf.DUMMYFUNCTION("""COMPUTED_VALUE"""),7.35E7)</f>
        <v>73500000</v>
      </c>
      <c r="E168" s="2"/>
      <c r="F168" s="2" t="str">
        <f>IFERROR(__xludf.DUMMYFUNCTION("""COMPUTED_VALUE"""),"DB")</f>
        <v>DB</v>
      </c>
      <c r="G168" s="2">
        <f>IFERROR(__xludf.DUMMYFUNCTION("""COMPUTED_VALUE"""),1.7889043330999994E8)</f>
        <v>178890433.3</v>
      </c>
      <c r="H168" s="2">
        <f>IFERROR(__xludf.DUMMYFUNCTION("""COMPUTED_VALUE"""),1.7889043331E8)</f>
        <v>178890433.3</v>
      </c>
      <c r="I168" s="2" t="str">
        <f>IFERROR(__xludf.DUMMYFUNCTION("""COMPUTED_VALUE"""),"PRIBADI")</f>
        <v>PRIBADI</v>
      </c>
    </row>
    <row r="169">
      <c r="A169" s="7">
        <f>IFERROR(__xludf.DUMMYFUNCTION("""COMPUTED_VALUE"""),46231.0)</f>
        <v>46231</v>
      </c>
      <c r="B169" s="2" t="str">
        <f>IFERROR(__xludf.DUMMYFUNCTION("""COMPUTED_VALUE"""),"TRSF E-BANKING DB")</f>
        <v>TRSF E-BANKING DB</v>
      </c>
      <c r="C169" s="2" t="str">
        <f>IFERROR(__xludf.DUMMYFUNCTION("""COMPUTED_VALUE"""),"2807/FTSCY/WS95031 2556000.00 pasuruan DWI HERMANSYAH")</f>
        <v>2807/FTSCY/WS95031 2556000.00 pasuruan DWI HERMANSYAH</v>
      </c>
      <c r="D169" s="2">
        <f>IFERROR(__xludf.DUMMYFUNCTION("""COMPUTED_VALUE"""),2556000.0)</f>
        <v>2556000</v>
      </c>
      <c r="E169" s="2"/>
      <c r="F169" s="2" t="str">
        <f>IFERROR(__xludf.DUMMYFUNCTION("""COMPUTED_VALUE"""),"DB")</f>
        <v>DB</v>
      </c>
      <c r="G169" s="2">
        <f>IFERROR(__xludf.DUMMYFUNCTION("""COMPUTED_VALUE"""),1.7633443330999994E8)</f>
        <v>176334433.3</v>
      </c>
      <c r="H169" s="2"/>
      <c r="I169" s="2" t="str">
        <f>IFERROR(__xludf.DUMMYFUNCTION("""COMPUTED_VALUE"""),"PRIBADI")</f>
        <v>PRIBADI</v>
      </c>
    </row>
    <row r="170">
      <c r="A170" s="7">
        <f>IFERROR(__xludf.DUMMYFUNCTION("""COMPUTED_VALUE"""),46231.0)</f>
        <v>46231</v>
      </c>
      <c r="B170" s="2" t="str">
        <f>IFERROR(__xludf.DUMMYFUNCTION("""COMPUTED_VALUE"""),"TRSF E-BANKING DB")</f>
        <v>TRSF E-BANKING DB</v>
      </c>
      <c r="C170" s="2" t="str">
        <f>IFERROR(__xludf.DUMMYFUNCTION("""COMPUTED_VALUE"""),"2807/FTSCY/WS95031 1638500.00 EKO SETIYAWAN")</f>
        <v>2807/FTSCY/WS95031 1638500.00 EKO SETIYAWAN</v>
      </c>
      <c r="D170" s="2">
        <f>IFERROR(__xludf.DUMMYFUNCTION("""COMPUTED_VALUE"""),1638500.0)</f>
        <v>1638500</v>
      </c>
      <c r="E170" s="2"/>
      <c r="F170" s="2" t="str">
        <f>IFERROR(__xludf.DUMMYFUNCTION("""COMPUTED_VALUE"""),"DB")</f>
        <v>DB</v>
      </c>
      <c r="G170" s="2">
        <f>IFERROR(__xludf.DUMMYFUNCTION("""COMPUTED_VALUE"""),1.7469593330999994E8)</f>
        <v>174695933.3</v>
      </c>
      <c r="H170" s="2"/>
      <c r="I170" s="2" t="str">
        <f>IFERROR(__xludf.DUMMYFUNCTION("""COMPUTED_VALUE"""),"PRIBADI")</f>
        <v>PRIBADI</v>
      </c>
    </row>
    <row r="171">
      <c r="A171" s="7">
        <f>IFERROR(__xludf.DUMMYFUNCTION("""COMPUTED_VALUE"""),46231.0)</f>
        <v>46231</v>
      </c>
      <c r="B171" s="2" t="str">
        <f>IFERROR(__xludf.DUMMYFUNCTION("""COMPUTED_VALUE"""),"TRSF E-BANKING DB")</f>
        <v>TRSF E-BANKING DB</v>
      </c>
      <c r="C171" s="2" t="str">
        <f>IFERROR(__xludf.DUMMYFUNCTION("""COMPUTED_VALUE"""),"2807/FTSCY/WS95031 1107000.00 pelunasan EKO SETIYAWAN")</f>
        <v>2807/FTSCY/WS95031 1107000.00 pelunasan EKO SETIYAWAN</v>
      </c>
      <c r="D171" s="2">
        <f>IFERROR(__xludf.DUMMYFUNCTION("""COMPUTED_VALUE"""),1107000.0)</f>
        <v>1107000</v>
      </c>
      <c r="E171" s="2"/>
      <c r="F171" s="2" t="str">
        <f>IFERROR(__xludf.DUMMYFUNCTION("""COMPUTED_VALUE"""),"DB")</f>
        <v>DB</v>
      </c>
      <c r="G171" s="2">
        <f>IFERROR(__xludf.DUMMYFUNCTION("""COMPUTED_VALUE"""),1.7358893330999994E8)</f>
        <v>173588933.3</v>
      </c>
      <c r="H171" s="2"/>
      <c r="I171" s="2" t="str">
        <f>IFERROR(__xludf.DUMMYFUNCTION("""COMPUTED_VALUE"""),"PRIBADI")</f>
        <v>PRIBADI</v>
      </c>
    </row>
    <row r="172">
      <c r="A172" s="7">
        <f>IFERROR(__xludf.DUMMYFUNCTION("""COMPUTED_VALUE"""),46231.0)</f>
        <v>46231</v>
      </c>
      <c r="B172" s="2" t="str">
        <f>IFERROR(__xludf.DUMMYFUNCTION("""COMPUTED_VALUE"""),"TRSF E-BANKING DB")</f>
        <v>TRSF E-BANKING DB</v>
      </c>
      <c r="C172" s="2" t="str">
        <f>IFERROR(__xludf.DUMMYFUNCTION("""COMPUTED_VALUE"""),"2807/FTSCY/WS95011 71760250.00 Tue Jul 28 2026 14:00:00 GMT+0700 (Western Indonesia Time) LAWU ABADI NUSA PT")</f>
        <v>2807/FTSCY/WS95011 71760250.00 Tue Jul 28 2026 14:00:00 GMT+0700 (Western Indonesia Time) LAWU ABADI NUSA PT</v>
      </c>
      <c r="D172" s="2">
        <f>IFERROR(__xludf.DUMMYFUNCTION("""COMPUTED_VALUE"""),7.176025E7)</f>
        <v>71760250</v>
      </c>
      <c r="E172" s="2"/>
      <c r="F172" s="2" t="str">
        <f>IFERROR(__xludf.DUMMYFUNCTION("""COMPUTED_VALUE"""),"DB")</f>
        <v>DB</v>
      </c>
      <c r="G172" s="2">
        <f>IFERROR(__xludf.DUMMYFUNCTION("""COMPUTED_VALUE"""),1.0182868330999994E8)</f>
        <v>101828683.3</v>
      </c>
      <c r="H172" s="2"/>
      <c r="I172" s="2" t="str">
        <f>IFERROR(__xludf.DUMMYFUNCTION("""COMPUTED_VALUE"""),"PRIBADI")</f>
        <v>PRIBADI</v>
      </c>
    </row>
    <row r="173">
      <c r="A173" s="7">
        <f>IFERROR(__xludf.DUMMYFUNCTION("""COMPUTED_VALUE"""),46231.0)</f>
        <v>46231</v>
      </c>
      <c r="B173" s="2" t="str">
        <f>IFERROR(__xludf.DUMMYFUNCTION("""COMPUTED_VALUE"""),"TRSF E-BANKING DB")</f>
        <v>TRSF E-BANKING DB</v>
      </c>
      <c r="C173" s="2" t="str">
        <f>IFERROR(__xludf.DUMMYFUNCTION("""COMPUTED_VALUE"""),"2807/FTSCY/WS95031 2013900.00 NURHAYATI")</f>
        <v>2807/FTSCY/WS95031 2013900.00 NURHAYATI</v>
      </c>
      <c r="D173" s="2">
        <f>IFERROR(__xludf.DUMMYFUNCTION("""COMPUTED_VALUE"""),2013900.0)</f>
        <v>2013900</v>
      </c>
      <c r="E173" s="2"/>
      <c r="F173" s="2" t="str">
        <f>IFERROR(__xludf.DUMMYFUNCTION("""COMPUTED_VALUE"""),"DB")</f>
        <v>DB</v>
      </c>
      <c r="G173" s="2">
        <f>IFERROR(__xludf.DUMMYFUNCTION("""COMPUTED_VALUE"""),9.981478330999994E7)</f>
        <v>99814783.31</v>
      </c>
      <c r="H173" s="2"/>
      <c r="I173" s="2" t="str">
        <f>IFERROR(__xludf.DUMMYFUNCTION("""COMPUTED_VALUE"""),"PRIBADI")</f>
        <v>PRIBADI</v>
      </c>
    </row>
    <row r="174">
      <c r="A174" s="7">
        <f>IFERROR(__xludf.DUMMYFUNCTION("""COMPUTED_VALUE"""),46231.0)</f>
        <v>46231</v>
      </c>
      <c r="B174" s="2" t="str">
        <f>IFERROR(__xludf.DUMMYFUNCTION("""COMPUTED_VALUE"""),"TRSF E-BANKING DB")</f>
        <v>TRSF E-BANKING DB</v>
      </c>
      <c r="C174" s="2" t="str">
        <f>IFERROR(__xludf.DUMMYFUNCTION("""COMPUTED_VALUE"""),"2807/FTSCY/WS95031 2500000.00 HERMAWAN")</f>
        <v>2807/FTSCY/WS95031 2500000.00 HERMAWAN</v>
      </c>
      <c r="D174" s="2">
        <f>IFERROR(__xludf.DUMMYFUNCTION("""COMPUTED_VALUE"""),2500000.0)</f>
        <v>2500000</v>
      </c>
      <c r="E174" s="2"/>
      <c r="F174" s="2" t="str">
        <f>IFERROR(__xludf.DUMMYFUNCTION("""COMPUTED_VALUE"""),"DB")</f>
        <v>DB</v>
      </c>
      <c r="G174" s="2">
        <f>IFERROR(__xludf.DUMMYFUNCTION("""COMPUTED_VALUE"""),1.3131478330999994E8)</f>
        <v>131314783.3</v>
      </c>
      <c r="H174" s="2"/>
      <c r="I174" s="2" t="str">
        <f>IFERROR(__xludf.DUMMYFUNCTION("""COMPUTED_VALUE"""),"PRIBADI")</f>
        <v>PRIBADI</v>
      </c>
    </row>
    <row r="175">
      <c r="A175" s="7">
        <f>IFERROR(__xludf.DUMMYFUNCTION("""COMPUTED_VALUE"""),46231.0)</f>
        <v>46231</v>
      </c>
      <c r="B175" s="2" t="str">
        <f>IFERROR(__xludf.DUMMYFUNCTION("""COMPUTED_VALUE"""),"TRSF E-BANKING DB")</f>
        <v>TRSF E-BANKING DB</v>
      </c>
      <c r="C175" s="2" t="str">
        <f>IFERROR(__xludf.DUMMYFUNCTION("""COMPUTED_VALUE"""),"2807/FTSCY/WS95031 1236600.00 EKO SETIYAWAN")</f>
        <v>2807/FTSCY/WS95031 1236600.00 EKO SETIYAWAN</v>
      </c>
      <c r="D175" s="2">
        <f>IFERROR(__xludf.DUMMYFUNCTION("""COMPUTED_VALUE"""),1236600.0)</f>
        <v>1236600</v>
      </c>
      <c r="E175" s="2"/>
      <c r="F175" s="2" t="str">
        <f>IFERROR(__xludf.DUMMYFUNCTION("""COMPUTED_VALUE"""),"DB")</f>
        <v>DB</v>
      </c>
      <c r="G175" s="2">
        <f>IFERROR(__xludf.DUMMYFUNCTION("""COMPUTED_VALUE"""),1.3007818330999994E8)</f>
        <v>130078183.3</v>
      </c>
      <c r="H175" s="2"/>
      <c r="I175" s="2" t="str">
        <f>IFERROR(__xludf.DUMMYFUNCTION("""COMPUTED_VALUE"""),"PRIBADI")</f>
        <v>PRIBADI</v>
      </c>
    </row>
    <row r="176">
      <c r="A176" s="7">
        <f>IFERROR(__xludf.DUMMYFUNCTION("""COMPUTED_VALUE"""),46231.0)</f>
        <v>46231</v>
      </c>
      <c r="B176" s="2" t="str">
        <f>IFERROR(__xludf.DUMMYFUNCTION("""COMPUTED_VALUE"""),"TRSF E-BANKING DB")</f>
        <v>TRSF E-BANKING DB</v>
      </c>
      <c r="C176" s="2" t="str">
        <f>IFERROR(__xludf.DUMMYFUNCTION("""COMPUTED_VALUE"""),"2807/FTSCY/WS95031 1510650.00 HERMAWAN")</f>
        <v>2807/FTSCY/WS95031 1510650.00 HERMAWAN</v>
      </c>
      <c r="D176" s="2">
        <f>IFERROR(__xludf.DUMMYFUNCTION("""COMPUTED_VALUE"""),1510650.0)</f>
        <v>1510650</v>
      </c>
      <c r="E176" s="2"/>
      <c r="F176" s="2" t="str">
        <f>IFERROR(__xludf.DUMMYFUNCTION("""COMPUTED_VALUE"""),"DB")</f>
        <v>DB</v>
      </c>
      <c r="G176" s="2">
        <f>IFERROR(__xludf.DUMMYFUNCTION("""COMPUTED_VALUE"""),1.2856753330999994E8)</f>
        <v>128567533.3</v>
      </c>
      <c r="H176" s="2"/>
      <c r="I176" s="2" t="str">
        <f>IFERROR(__xludf.DUMMYFUNCTION("""COMPUTED_VALUE"""),"PRIBADI")</f>
        <v>PRIBADI</v>
      </c>
    </row>
    <row r="177">
      <c r="A177" s="7">
        <f>IFERROR(__xludf.DUMMYFUNCTION("""COMPUTED_VALUE"""),46231.0)</f>
        <v>46231</v>
      </c>
      <c r="B177" s="2" t="str">
        <f>IFERROR(__xludf.DUMMYFUNCTION("""COMPUTED_VALUE"""),"TRSF E-BANKING DB")</f>
        <v>TRSF E-BANKING DB</v>
      </c>
      <c r="C177" s="2" t="str">
        <f>IFERROR(__xludf.DUMMYFUNCTION("""COMPUTED_VALUE"""),"2807/FTSCY/WS95011 50760000.00 malang BRANTAS ABADI SENT")</f>
        <v>2807/FTSCY/WS95011 50760000.00 malang BRANTAS ABADI SENT</v>
      </c>
      <c r="D177" s="2">
        <f>IFERROR(__xludf.DUMMYFUNCTION("""COMPUTED_VALUE"""),5.076E7)</f>
        <v>50760000</v>
      </c>
      <c r="E177" s="2"/>
      <c r="F177" s="2" t="str">
        <f>IFERROR(__xludf.DUMMYFUNCTION("""COMPUTED_VALUE"""),"DB")</f>
        <v>DB</v>
      </c>
      <c r="G177" s="2">
        <f>IFERROR(__xludf.DUMMYFUNCTION("""COMPUTED_VALUE"""),7.780753330999994E7)</f>
        <v>77807533.31</v>
      </c>
      <c r="H177" s="2"/>
      <c r="I177" s="2" t="str">
        <f>IFERROR(__xludf.DUMMYFUNCTION("""COMPUTED_VALUE"""),"PRIBADI")</f>
        <v>PRIBADI</v>
      </c>
    </row>
    <row r="178">
      <c r="A178" s="7">
        <f>IFERROR(__xludf.DUMMYFUNCTION("""COMPUTED_VALUE"""),46231.0)</f>
        <v>46231</v>
      </c>
      <c r="B178" s="2" t="str">
        <f>IFERROR(__xludf.DUMMYFUNCTION("""COMPUTED_VALUE"""),"TRSF E-BANKING DB")</f>
        <v>TRSF E-BANKING DB</v>
      </c>
      <c r="C178" s="2" t="str">
        <f>IFERROR(__xludf.DUMMYFUNCTION("""COMPUTED_VALUE"""),"2807/FTSCY/WS95011 72447900.00 Mon Jul 27 2026 14:00:00 GMT+0700 (Western Indonesia Time) ANUGERAH KARTIKA A")</f>
        <v>2807/FTSCY/WS95011 72447900.00 Mon Jul 27 2026 14:00:00 GMT+0700 (Western Indonesia Time) ANUGERAH KARTIKA A</v>
      </c>
      <c r="D178" s="2">
        <f>IFERROR(__xludf.DUMMYFUNCTION("""COMPUTED_VALUE"""),7.24479E7)</f>
        <v>72447900</v>
      </c>
      <c r="E178" s="2"/>
      <c r="F178" s="2" t="str">
        <f>IFERROR(__xludf.DUMMYFUNCTION("""COMPUTED_VALUE"""),"DB")</f>
        <v>DB</v>
      </c>
      <c r="G178" s="2">
        <f>IFERROR(__xludf.DUMMYFUNCTION("""COMPUTED_VALUE"""),5359633.309999943)</f>
        <v>5359633.31</v>
      </c>
      <c r="H178" s="2"/>
      <c r="I178" s="2" t="str">
        <f>IFERROR(__xludf.DUMMYFUNCTION("""COMPUTED_VALUE"""),"PRIBADI")</f>
        <v>PRIBADI</v>
      </c>
    </row>
    <row r="179">
      <c r="A179" s="7">
        <f>IFERROR(__xludf.DUMMYFUNCTION("""COMPUTED_VALUE"""),46231.0)</f>
        <v>46231</v>
      </c>
      <c r="B179" s="2" t="str">
        <f>IFERROR(__xludf.DUMMYFUNCTION("""COMPUTED_VALUE"""),"TARIKAN ATM 28/07")</f>
        <v>TARIKAN ATM 28/07</v>
      </c>
      <c r="C179" s="2" t="str">
        <f>IFERROR(__xludf.DUMMYFUNCTION("""COMPUTED_VALUE"""),"TARIKAN ATM 28/07")</f>
        <v>TARIKAN ATM 28/07</v>
      </c>
      <c r="D179" s="2">
        <f>IFERROR(__xludf.DUMMYFUNCTION("""COMPUTED_VALUE"""),100000.0)</f>
        <v>100000</v>
      </c>
      <c r="E179" s="2"/>
      <c r="F179" s="2"/>
      <c r="G179" s="2">
        <f>IFERROR(__xludf.DUMMYFUNCTION("""COMPUTED_VALUE"""),1.3740766330999994E8)</f>
        <v>137407663.3</v>
      </c>
      <c r="H179" s="2">
        <f>IFERROR(__xludf.DUMMYFUNCTION("""COMPUTED_VALUE"""),1.3740766331E8)</f>
        <v>137407663.3</v>
      </c>
      <c r="I179" s="2" t="str">
        <f>IFERROR(__xludf.DUMMYFUNCTION("""COMPUTED_VALUE"""),"PRIBADI")</f>
        <v>PRIBADI</v>
      </c>
    </row>
    <row r="180">
      <c r="A180" s="7">
        <f>IFERROR(__xludf.DUMMYFUNCTION("""COMPUTED_VALUE"""),46231.0)</f>
        <v>46231</v>
      </c>
      <c r="B180" s="2" t="str">
        <f>IFERROR(__xludf.DUMMYFUNCTION("""COMPUTED_VALUE"""),"TRSF E-BANKING DB")</f>
        <v>TRSF E-BANKING DB</v>
      </c>
      <c r="C180" s="2" t="str">
        <f>IFERROR(__xludf.DUMMYFUNCTION("""COMPUTED_VALUE"""),"2807/FTSCY/WS95011 40000000.00 titip SUGENG RIADI")</f>
        <v>2807/FTSCY/WS95011 40000000.00 titip SUGENG RIADI</v>
      </c>
      <c r="D180" s="2">
        <f>IFERROR(__xludf.DUMMYFUNCTION("""COMPUTED_VALUE"""),4.0E7)</f>
        <v>40000000</v>
      </c>
      <c r="E180" s="2"/>
      <c r="F180" s="2" t="str">
        <f>IFERROR(__xludf.DUMMYFUNCTION("""COMPUTED_VALUE"""),"DB")</f>
        <v>DB</v>
      </c>
      <c r="G180" s="2">
        <f>IFERROR(__xludf.DUMMYFUNCTION("""COMPUTED_VALUE"""),2.4811199430999994E8)</f>
        <v>248111994.3</v>
      </c>
      <c r="H180" s="2"/>
      <c r="I180" s="2" t="str">
        <f>IFERROR(__xludf.DUMMYFUNCTION("""COMPUTED_VALUE"""),"PRIBADI")</f>
        <v>PRIBADI</v>
      </c>
    </row>
    <row r="181">
      <c r="A181" s="7">
        <f>IFERROR(__xludf.DUMMYFUNCTION("""COMPUTED_VALUE"""),46231.0)</f>
        <v>46231</v>
      </c>
      <c r="B181" s="2" t="str">
        <f>IFERROR(__xludf.DUMMYFUNCTION("""COMPUTED_VALUE"""),"TRSF E-BANKING DB")</f>
        <v>TRSF E-BANKING DB</v>
      </c>
      <c r="C181" s="2" t="str">
        <f>IFERROR(__xludf.DUMMYFUNCTION("""COMPUTED_VALUE"""),"2807/FTSCY/WS95011 58944900.00 Mon Jul 27 2026 14:00:00 GMT+0700 (Western Indonesia Time) ANUGERAH KARTIKA A")</f>
        <v>2807/FTSCY/WS95011 58944900.00 Mon Jul 27 2026 14:00:00 GMT+0700 (Western Indonesia Time) ANUGERAH KARTIKA A</v>
      </c>
      <c r="D181" s="2">
        <f>IFERROR(__xludf.DUMMYFUNCTION("""COMPUTED_VALUE"""),5.89449E7)</f>
        <v>58944900</v>
      </c>
      <c r="E181" s="2"/>
      <c r="F181" s="2" t="str">
        <f>IFERROR(__xludf.DUMMYFUNCTION("""COMPUTED_VALUE"""),"DB")</f>
        <v>DB</v>
      </c>
      <c r="G181" s="2">
        <f>IFERROR(__xludf.DUMMYFUNCTION("""COMPUTED_VALUE"""),1.8916709430999994E8)</f>
        <v>189167094.3</v>
      </c>
      <c r="H181" s="2"/>
      <c r="I181" s="2" t="str">
        <f>IFERROR(__xludf.DUMMYFUNCTION("""COMPUTED_VALUE"""),"PRIBADI")</f>
        <v>PRIBADI</v>
      </c>
    </row>
    <row r="182">
      <c r="A182" s="7">
        <f>IFERROR(__xludf.DUMMYFUNCTION("""COMPUTED_VALUE"""),46231.0)</f>
        <v>46231</v>
      </c>
      <c r="B182" s="2" t="str">
        <f>IFERROR(__xludf.DUMMYFUNCTION("""COMPUTED_VALUE"""),"TRSF E-BANKING DB")</f>
        <v>TRSF E-BANKING DB</v>
      </c>
      <c r="C182" s="2" t="str">
        <f>IFERROR(__xludf.DUMMYFUNCTION("""COMPUTED_VALUE"""),"2807/FTFVA/WS95031 55569/PT PRIMA FAJ 24880000 - 40190")</f>
        <v>2807/FTFVA/WS95031 55569/PT PRIMA FAJ 24880000 - 40190</v>
      </c>
      <c r="D182" s="2">
        <f>IFERROR(__xludf.DUMMYFUNCTION("""COMPUTED_VALUE"""),2.488E7)</f>
        <v>24880000</v>
      </c>
      <c r="E182" s="2"/>
      <c r="F182" s="2" t="str">
        <f>IFERROR(__xludf.DUMMYFUNCTION("""COMPUTED_VALUE"""),"DB")</f>
        <v>DB</v>
      </c>
      <c r="G182" s="2">
        <f>IFERROR(__xludf.DUMMYFUNCTION("""COMPUTED_VALUE"""),3.1268675530999994E8)</f>
        <v>312686755.3</v>
      </c>
      <c r="H182" s="2"/>
      <c r="I182" s="2" t="str">
        <f>IFERROR(__xludf.DUMMYFUNCTION("""COMPUTED_VALUE"""),"PRIBADI")</f>
        <v>PRIBADI</v>
      </c>
    </row>
    <row r="183">
      <c r="A183" s="7">
        <f>IFERROR(__xludf.DUMMYFUNCTION("""COMPUTED_VALUE"""),46231.0)</f>
        <v>46231</v>
      </c>
      <c r="B183" s="2" t="str">
        <f>IFERROR(__xludf.DUMMYFUNCTION("""COMPUTED_VALUE"""),"TRSF E-BANKING DB")</f>
        <v>TRSF E-BANKING DB</v>
      </c>
      <c r="C183" s="2" t="str">
        <f>IFERROR(__xludf.DUMMYFUNCTION("""COMPUTED_VALUE"""),"2807/FTSCY/WS95031 20000000.00 EKO SETIYAWAN")</f>
        <v>2807/FTSCY/WS95031 20000000.00 EKO SETIYAWAN</v>
      </c>
      <c r="D183" s="2">
        <f>IFERROR(__xludf.DUMMYFUNCTION("""COMPUTED_VALUE"""),2.0E7)</f>
        <v>20000000</v>
      </c>
      <c r="E183" s="2"/>
      <c r="F183" s="2" t="str">
        <f>IFERROR(__xludf.DUMMYFUNCTION("""COMPUTED_VALUE"""),"DB")</f>
        <v>DB</v>
      </c>
      <c r="G183" s="2">
        <f>IFERROR(__xludf.DUMMYFUNCTION("""COMPUTED_VALUE"""),9.7554903531E8)</f>
        <v>975549035.3</v>
      </c>
      <c r="H183" s="2"/>
      <c r="I183" s="2" t="str">
        <f>IFERROR(__xludf.DUMMYFUNCTION("""COMPUTED_VALUE"""),"PRIBADI")</f>
        <v>PRIBADI</v>
      </c>
    </row>
    <row r="184">
      <c r="A184" s="7">
        <f>IFERROR(__xludf.DUMMYFUNCTION("""COMPUTED_VALUE"""),46231.0)</f>
        <v>46231</v>
      </c>
      <c r="B184" s="2" t="str">
        <f>IFERROR(__xludf.DUMMYFUNCTION("""COMPUTED_VALUE"""),"TRSF E-BANKING DB")</f>
        <v>TRSF E-BANKING DB</v>
      </c>
      <c r="C184" s="2" t="str">
        <f>IFERROR(__xludf.DUMMYFUNCTION("""COMPUTED_VALUE"""),"2807/FTSCY/WS95031 1350000.00 SUNARTO")</f>
        <v>2807/FTSCY/WS95031 1350000.00 SUNARTO</v>
      </c>
      <c r="D184" s="2">
        <f>IFERROR(__xludf.DUMMYFUNCTION("""COMPUTED_VALUE"""),1350000.0)</f>
        <v>1350000</v>
      </c>
      <c r="E184" s="2"/>
      <c r="F184" s="2" t="str">
        <f>IFERROR(__xludf.DUMMYFUNCTION("""COMPUTED_VALUE"""),"DB")</f>
        <v>DB</v>
      </c>
      <c r="G184" s="2">
        <f>IFERROR(__xludf.DUMMYFUNCTION("""COMPUTED_VALUE"""),9.7419903531E8)</f>
        <v>974199035.3</v>
      </c>
      <c r="H184" s="2"/>
      <c r="I184" s="2" t="str">
        <f>IFERROR(__xludf.DUMMYFUNCTION("""COMPUTED_VALUE"""),"PRIBADI")</f>
        <v>PRIBADI</v>
      </c>
    </row>
    <row r="185">
      <c r="A185" s="7">
        <f>IFERROR(__xludf.DUMMYFUNCTION("""COMPUTED_VALUE"""),46231.0)</f>
        <v>46231</v>
      </c>
      <c r="B185" s="2" t="str">
        <f>IFERROR(__xludf.DUMMYFUNCTION("""COMPUTED_VALUE"""),"TRSF E-BANKING DB")</f>
        <v>TRSF E-BANKING DB</v>
      </c>
      <c r="C185" s="2" t="str">
        <f>IFERROR(__xludf.DUMMYFUNCTION("""COMPUTED_VALUE"""),"2807/FTFVA/WS95031 55569/PT PRIMA FAJ titip - 40190")</f>
        <v>2807/FTFVA/WS95031 55569/PT PRIMA FAJ titip - 40190</v>
      </c>
      <c r="D185" s="2">
        <f>IFERROR(__xludf.DUMMYFUNCTION("""COMPUTED_VALUE"""),1.0E8)</f>
        <v>100000000</v>
      </c>
      <c r="E185" s="2"/>
      <c r="F185" s="2" t="str">
        <f>IFERROR(__xludf.DUMMYFUNCTION("""COMPUTED_VALUE"""),"DB")</f>
        <v>DB</v>
      </c>
      <c r="G185" s="2">
        <f>IFERROR(__xludf.DUMMYFUNCTION("""COMPUTED_VALUE"""),8.7419903531E8)</f>
        <v>874199035.3</v>
      </c>
      <c r="H185" s="2">
        <f>IFERROR(__xludf.DUMMYFUNCTION("""COMPUTED_VALUE"""),8.7419903531E8)</f>
        <v>874199035.3</v>
      </c>
      <c r="I185" s="2" t="str">
        <f>IFERROR(__xludf.DUMMYFUNCTION("""COMPUTED_VALUE"""),"PRIBADI")</f>
        <v>PRIBADI</v>
      </c>
    </row>
    <row r="186">
      <c r="A186" s="7">
        <f>IFERROR(__xludf.DUMMYFUNCTION("""COMPUTED_VALUE"""),46232.0)</f>
        <v>46232</v>
      </c>
      <c r="B186" s="2" t="str">
        <f>IFERROR(__xludf.DUMMYFUNCTION("""COMPUTED_VALUE"""),"TRSF E-BANKING DB")</f>
        <v>TRSF E-BANKING DB</v>
      </c>
      <c r="C186" s="2" t="str">
        <f>IFERROR(__xludf.DUMMYFUNCTION("""COMPUTED_VALUE"""),"2907/FTSCY/WS95011 475775500.00 Sun Jul 26 2026 14:00:00 GMT+0700 (Western Indonesia Time) BROILER MAKMUR TAN")</f>
        <v>2907/FTSCY/WS95011 475775500.00 Sun Jul 26 2026 14:00:00 GMT+0700 (Western Indonesia Time) BROILER MAKMUR TAN</v>
      </c>
      <c r="D186" s="2">
        <f>IFERROR(__xludf.DUMMYFUNCTION("""COMPUTED_VALUE"""),4.757755E8)</f>
        <v>475775500</v>
      </c>
      <c r="E186" s="2"/>
      <c r="F186" s="2" t="str">
        <f>IFERROR(__xludf.DUMMYFUNCTION("""COMPUTED_VALUE"""),"DB")</f>
        <v>DB</v>
      </c>
      <c r="G186" s="2">
        <f>IFERROR(__xludf.DUMMYFUNCTION("""COMPUTED_VALUE"""),3.9842353530999994E8)</f>
        <v>398423535.3</v>
      </c>
      <c r="H186" s="2"/>
      <c r="I186" s="2" t="str">
        <f>IFERROR(__xludf.DUMMYFUNCTION("""COMPUTED_VALUE"""),"PRIBADI")</f>
        <v>PRIBADI</v>
      </c>
    </row>
    <row r="187">
      <c r="A187" s="7">
        <f>IFERROR(__xludf.DUMMYFUNCTION("""COMPUTED_VALUE"""),46232.0)</f>
        <v>46232</v>
      </c>
      <c r="B187" s="2" t="str">
        <f>IFERROR(__xludf.DUMMYFUNCTION("""COMPUTED_VALUE"""),"TRSF E-BANKING DB")</f>
        <v>TRSF E-BANKING DB</v>
      </c>
      <c r="C187" s="2" t="str">
        <f>IFERROR(__xludf.DUMMYFUNCTION("""COMPUTED_VALUE"""),"2907/FTSCY/WS95271 123461100.00 Sun Jul 26 2026 14:00:00 GMT+0700 (Western Indonesia Time) SUPER UNGGAS JAYA")</f>
        <v>2907/FTSCY/WS95271 123461100.00 Sun Jul 26 2026 14:00:00 GMT+0700 (Western Indonesia Time) SUPER UNGGAS JAYA</v>
      </c>
      <c r="D187" s="2">
        <f>IFERROR(__xludf.DUMMYFUNCTION("""COMPUTED_VALUE"""),1.234611E8)</f>
        <v>123461100</v>
      </c>
      <c r="E187" s="2"/>
      <c r="F187" s="2" t="str">
        <f>IFERROR(__xludf.DUMMYFUNCTION("""COMPUTED_VALUE"""),"DB")</f>
        <v>DB</v>
      </c>
      <c r="G187" s="2">
        <f>IFERROR(__xludf.DUMMYFUNCTION("""COMPUTED_VALUE"""),2.7496243530999994E8)</f>
        <v>274962435.3</v>
      </c>
      <c r="H187" s="2">
        <f>IFERROR(__xludf.DUMMYFUNCTION("""COMPUTED_VALUE"""),2.7496243531E8)</f>
        <v>274962435.3</v>
      </c>
      <c r="I187" s="2" t="str">
        <f>IFERROR(__xludf.DUMMYFUNCTION("""COMPUTED_VALUE"""),"PRIBADI")</f>
        <v>PRIBADI</v>
      </c>
    </row>
    <row r="188">
      <c r="A188" s="7">
        <f>IFERROR(__xludf.DUMMYFUNCTION("""COMPUTED_VALUE"""),46232.0)</f>
        <v>46232</v>
      </c>
      <c r="B188" s="2" t="str">
        <f>IFERROR(__xludf.DUMMYFUNCTION("""COMPUTED_VALUE"""),"TRSF E-BANKING DB")</f>
        <v>TRSF E-BANKING DB</v>
      </c>
      <c r="C188" s="2" t="str">
        <f>IFERROR(__xludf.DUMMYFUNCTION("""COMPUTED_VALUE"""),"2907/FTSCY/WS95271 60247100.00 Sun Jul 26 2026 14:00:00 GMT+0700 (Western Indonesia Time) ANDALAN YASA MITRA")</f>
        <v>2907/FTSCY/WS95271 60247100.00 Sun Jul 26 2026 14:00:00 GMT+0700 (Western Indonesia Time) ANDALAN YASA MITRA</v>
      </c>
      <c r="D188" s="2">
        <f>IFERROR(__xludf.DUMMYFUNCTION("""COMPUTED_VALUE"""),6.02471E7)</f>
        <v>60247100</v>
      </c>
      <c r="E188" s="2"/>
      <c r="F188" s="2" t="str">
        <f>IFERROR(__xludf.DUMMYFUNCTION("""COMPUTED_VALUE"""),"DB")</f>
        <v>DB</v>
      </c>
      <c r="G188" s="2">
        <f>IFERROR(__xludf.DUMMYFUNCTION("""COMPUTED_VALUE"""),2.1471533530999994E8)</f>
        <v>214715335.3</v>
      </c>
      <c r="H188" s="2">
        <f>IFERROR(__xludf.DUMMYFUNCTION("""COMPUTED_VALUE"""),2.1471533531E8)</f>
        <v>214715335.3</v>
      </c>
      <c r="I188" s="2" t="str">
        <f>IFERROR(__xludf.DUMMYFUNCTION("""COMPUTED_VALUE"""),"PRIBADI")</f>
        <v>PRIBADI</v>
      </c>
    </row>
    <row r="189">
      <c r="A189" s="7">
        <f>IFERROR(__xludf.DUMMYFUNCTION("""COMPUTED_VALUE"""),46232.0)</f>
        <v>46232</v>
      </c>
      <c r="B189" s="2" t="str">
        <f>IFERROR(__xludf.DUMMYFUNCTION("""COMPUTED_VALUE"""),"TRSF E-BANKING DB")</f>
        <v>TRSF E-BANKING DB</v>
      </c>
      <c r="C189" s="2" t="str">
        <f>IFERROR(__xludf.DUMMYFUNCTION("""COMPUTED_VALUE"""),"2907/FTSCY/WS95271 66682300.00 Sun Jul 26 2026 14:00:00 GMT+0700 (Western Indonesia Time) ANUGERAH KARTIKA A")</f>
        <v>2907/FTSCY/WS95271 66682300.00 Sun Jul 26 2026 14:00:00 GMT+0700 (Western Indonesia Time) ANUGERAH KARTIKA A</v>
      </c>
      <c r="D189" s="2">
        <f>IFERROR(__xludf.DUMMYFUNCTION("""COMPUTED_VALUE"""),6.66823E7)</f>
        <v>66682300</v>
      </c>
      <c r="E189" s="2"/>
      <c r="F189" s="2" t="str">
        <f>IFERROR(__xludf.DUMMYFUNCTION("""COMPUTED_VALUE"""),"DB")</f>
        <v>DB</v>
      </c>
      <c r="G189" s="2">
        <f>IFERROR(__xludf.DUMMYFUNCTION("""COMPUTED_VALUE"""),1.4803303530999994E8)</f>
        <v>148033035.3</v>
      </c>
      <c r="H189" s="2"/>
      <c r="I189" s="2" t="str">
        <f>IFERROR(__xludf.DUMMYFUNCTION("""COMPUTED_VALUE"""),"PRIBADI")</f>
        <v>PRIBADI</v>
      </c>
    </row>
    <row r="190">
      <c r="A190" s="7">
        <f>IFERROR(__xludf.DUMMYFUNCTION("""COMPUTED_VALUE"""),46232.0)</f>
        <v>46232</v>
      </c>
      <c r="B190" s="2" t="str">
        <f>IFERROR(__xludf.DUMMYFUNCTION("""COMPUTED_VALUE"""),"TRSF E-BANKING DB")</f>
        <v>TRSF E-BANKING DB</v>
      </c>
      <c r="C190" s="2" t="str">
        <f>IFERROR(__xludf.DUMMYFUNCTION("""COMPUTED_VALUE"""),"2907/FTSCY/WS95271 33000000.00 Thu Aug 27 2026 14:00:00 GMT+0700 (Western Indonesia Time) BRANTAS ABADI SENT")</f>
        <v>2907/FTSCY/WS95271 33000000.00 Thu Aug 27 2026 14:00:00 GMT+0700 (Western Indonesia Time) BRANTAS ABADI SENT</v>
      </c>
      <c r="D190" s="2">
        <f>IFERROR(__xludf.DUMMYFUNCTION("""COMPUTED_VALUE"""),3.3E7)</f>
        <v>33000000</v>
      </c>
      <c r="E190" s="2"/>
      <c r="F190" s="2" t="str">
        <f>IFERROR(__xludf.DUMMYFUNCTION("""COMPUTED_VALUE"""),"DB")</f>
        <v>DB</v>
      </c>
      <c r="G190" s="2">
        <f>IFERROR(__xludf.DUMMYFUNCTION("""COMPUTED_VALUE"""),1.1503303530999994E8)</f>
        <v>115033035.3</v>
      </c>
      <c r="H190" s="2"/>
      <c r="I190" s="2" t="str">
        <f>IFERROR(__xludf.DUMMYFUNCTION("""COMPUTED_VALUE"""),"PRIBADI")</f>
        <v>PRIBADI</v>
      </c>
    </row>
    <row r="191">
      <c r="A191" s="7">
        <f>IFERROR(__xludf.DUMMYFUNCTION("""COMPUTED_VALUE"""),46232.0)</f>
        <v>46232</v>
      </c>
      <c r="B191" s="2" t="str">
        <f>IFERROR(__xludf.DUMMYFUNCTION("""COMPUTED_VALUE"""),"TRSF E-BANKING DB")</f>
        <v>TRSF E-BANKING DB</v>
      </c>
      <c r="C191" s="2" t="str">
        <f>IFERROR(__xludf.DUMMYFUNCTION("""COMPUTED_VALUE"""),"2907/FTSCY/WS95031 30000000.00 pelunasan BRANTAS ABADI SENT")</f>
        <v>2907/FTSCY/WS95031 30000000.00 pelunasan BRANTAS ABADI SENT</v>
      </c>
      <c r="D191" s="2">
        <f>IFERROR(__xludf.DUMMYFUNCTION("""COMPUTED_VALUE"""),3.0E7)</f>
        <v>30000000</v>
      </c>
      <c r="E191" s="2"/>
      <c r="F191" s="2" t="str">
        <f>IFERROR(__xludf.DUMMYFUNCTION("""COMPUTED_VALUE"""),"DB")</f>
        <v>DB</v>
      </c>
      <c r="G191" s="2">
        <f>IFERROR(__xludf.DUMMYFUNCTION("""COMPUTED_VALUE"""),8.503303530999994E7)</f>
        <v>85033035.31</v>
      </c>
      <c r="H191" s="2"/>
      <c r="I191" s="2" t="str">
        <f>IFERROR(__xludf.DUMMYFUNCTION("""COMPUTED_VALUE"""),"PRIBADI")</f>
        <v>PRIBADI</v>
      </c>
    </row>
    <row r="192">
      <c r="A192" s="7">
        <f>IFERROR(__xludf.DUMMYFUNCTION("""COMPUTED_VALUE"""),46232.0)</f>
        <v>46232</v>
      </c>
      <c r="B192" s="2" t="str">
        <f>IFERROR(__xludf.DUMMYFUNCTION("""COMPUTED_VALUE"""),"TRSF E-BANKING DB")</f>
        <v>TRSF E-BANKING DB</v>
      </c>
      <c r="C192" s="2" t="str">
        <f>IFERROR(__xludf.DUMMYFUNCTION("""COMPUTED_VALUE"""),"2907/FTSCY/WS95031 54360960.00 Mon Jul 27 2026 14:00:00 GMT+0700 (Western Indonesia Time) GANESHA SATRIA NUS")</f>
        <v>2907/FTSCY/WS95031 54360960.00 Mon Jul 27 2026 14:00:00 GMT+0700 (Western Indonesia Time) GANESHA SATRIA NUS</v>
      </c>
      <c r="D192" s="2">
        <f>IFERROR(__xludf.DUMMYFUNCTION("""COMPUTED_VALUE"""),5.436096E7)</f>
        <v>54360960</v>
      </c>
      <c r="E192" s="2"/>
      <c r="F192" s="2" t="str">
        <f>IFERROR(__xludf.DUMMYFUNCTION("""COMPUTED_VALUE"""),"DB")</f>
        <v>DB</v>
      </c>
      <c r="G192" s="2">
        <f>IFERROR(__xludf.DUMMYFUNCTION("""COMPUTED_VALUE"""),3.0672075309999943E7)</f>
        <v>30672075.31</v>
      </c>
      <c r="H192" s="2"/>
      <c r="I192" s="2" t="str">
        <f>IFERROR(__xludf.DUMMYFUNCTION("""COMPUTED_VALUE"""),"PRIBADI")</f>
        <v>PRIBADI</v>
      </c>
    </row>
    <row r="193">
      <c r="A193" s="7">
        <f>IFERROR(__xludf.DUMMYFUNCTION("""COMPUTED_VALUE"""),46232.0)</f>
        <v>46232</v>
      </c>
      <c r="B193" s="2" t="str">
        <f>IFERROR(__xludf.DUMMYFUNCTION("""COMPUTED_VALUE"""),"BI-FAST DB")</f>
        <v>BI-FAST DB</v>
      </c>
      <c r="C193" s="2" t="str">
        <f>IFERROR(__xludf.DUMMYFUNCTION("""COMPUTED_VALUE"""),"BIF TRANSFER KE 2 RAHMAN YAFI KURNIA M-BCA")</f>
        <v>BIF TRANSFER KE 2 RAHMAN YAFI KURNIA M-BCA</v>
      </c>
      <c r="D193" s="2">
        <f>IFERROR(__xludf.DUMMYFUNCTION("""COMPUTED_VALUE"""),70000.0)</f>
        <v>70000</v>
      </c>
      <c r="E193" s="2"/>
      <c r="F193" s="2" t="str">
        <f>IFERROR(__xludf.DUMMYFUNCTION("""COMPUTED_VALUE"""),"DB")</f>
        <v>DB</v>
      </c>
      <c r="G193" s="2">
        <f>IFERROR(__xludf.DUMMYFUNCTION("""COMPUTED_VALUE"""),3.0602075309999943E7)</f>
        <v>30602075.31</v>
      </c>
      <c r="H193" s="2"/>
      <c r="I193" s="2" t="str">
        <f>IFERROR(__xludf.DUMMYFUNCTION("""COMPUTED_VALUE"""),"PRIBADI")</f>
        <v>PRIBADI</v>
      </c>
    </row>
    <row r="194">
      <c r="A194" s="7">
        <f>IFERROR(__xludf.DUMMYFUNCTION("""COMPUTED_VALUE"""),46232.0)</f>
        <v>46232</v>
      </c>
      <c r="B194" s="2" t="str">
        <f>IFERROR(__xludf.DUMMYFUNCTION("""COMPUTED_VALUE"""),"BI-FAST DB")</f>
        <v>BI-FAST DB</v>
      </c>
      <c r="C194" s="2" t="str">
        <f>IFERROR(__xludf.DUMMYFUNCTION("""COMPUTED_VALUE"""),"BIF BIAYA TXN KE 2 RAHMAN YAFI KURNIA M-BCA")</f>
        <v>BIF BIAYA TXN KE 2 RAHMAN YAFI KURNIA M-BCA</v>
      </c>
      <c r="D194" s="2">
        <f>IFERROR(__xludf.DUMMYFUNCTION("""COMPUTED_VALUE"""),2500.0)</f>
        <v>2500</v>
      </c>
      <c r="E194" s="2"/>
      <c r="F194" s="2" t="str">
        <f>IFERROR(__xludf.DUMMYFUNCTION("""COMPUTED_VALUE"""),"DB")</f>
        <v>DB</v>
      </c>
      <c r="G194" s="2">
        <f>IFERROR(__xludf.DUMMYFUNCTION("""COMPUTED_VALUE"""),3.0599575309999943E7)</f>
        <v>30599575.31</v>
      </c>
      <c r="H194" s="2"/>
      <c r="I194" s="2" t="str">
        <f>IFERROR(__xludf.DUMMYFUNCTION("""COMPUTED_VALUE"""),"PRIBADI")</f>
        <v>PRIBADI</v>
      </c>
    </row>
    <row r="195">
      <c r="A195" s="7">
        <f>IFERROR(__xludf.DUMMYFUNCTION("""COMPUTED_VALUE"""),46232.0)</f>
        <v>46232</v>
      </c>
      <c r="B195" s="2" t="str">
        <f>IFERROR(__xludf.DUMMYFUNCTION("""COMPUTED_VALUE"""),"TRSF E-BANKING DB")</f>
        <v>TRSF E-BANKING DB</v>
      </c>
      <c r="C195" s="2" t="str">
        <f>IFERROR(__xludf.DUMMYFUNCTION("""COMPUTED_VALUE"""),"2907/FTSCY/WS95031 3788700.00 DWI HERMANSYAH")</f>
        <v>2907/FTSCY/WS95031 3788700.00 DWI HERMANSYAH</v>
      </c>
      <c r="D195" s="2">
        <f>IFERROR(__xludf.DUMMYFUNCTION("""COMPUTED_VALUE"""),3788700.0)</f>
        <v>3788700</v>
      </c>
      <c r="E195" s="2"/>
      <c r="F195" s="2" t="str">
        <f>IFERROR(__xludf.DUMMYFUNCTION("""COMPUTED_VALUE"""),"DB")</f>
        <v>DB</v>
      </c>
      <c r="G195" s="2">
        <f>IFERROR(__xludf.DUMMYFUNCTION("""COMPUTED_VALUE"""),2.6810875309999943E7)</f>
        <v>26810875.31</v>
      </c>
      <c r="H195" s="2"/>
      <c r="I195" s="2" t="str">
        <f>IFERROR(__xludf.DUMMYFUNCTION("""COMPUTED_VALUE"""),"PRIBADI")</f>
        <v>PRIBADI</v>
      </c>
    </row>
    <row r="196">
      <c r="A196" s="7">
        <f>IFERROR(__xludf.DUMMYFUNCTION("""COMPUTED_VALUE"""),46232.0)</f>
        <v>46232</v>
      </c>
      <c r="B196" s="2" t="str">
        <f>IFERROR(__xludf.DUMMYFUNCTION("""COMPUTED_VALUE"""),"TRSF E-BANKING DB")</f>
        <v>TRSF E-BANKING DB</v>
      </c>
      <c r="C196" s="2" t="str">
        <f>IFERROR(__xludf.DUMMYFUNCTION("""COMPUTED_VALUE"""),"2907/FTSCY/WS95031 3985640.00 MUJIANTO")</f>
        <v>2907/FTSCY/WS95031 3985640.00 MUJIANTO</v>
      </c>
      <c r="D196" s="2">
        <f>IFERROR(__xludf.DUMMYFUNCTION("""COMPUTED_VALUE"""),3985640.0)</f>
        <v>3985640</v>
      </c>
      <c r="E196" s="2"/>
      <c r="F196" s="2" t="str">
        <f>IFERROR(__xludf.DUMMYFUNCTION("""COMPUTED_VALUE"""),"DB")</f>
        <v>DB</v>
      </c>
      <c r="G196" s="2">
        <f>IFERROR(__xludf.DUMMYFUNCTION("""COMPUTED_VALUE"""),2.2825235309999943E7)</f>
        <v>22825235.31</v>
      </c>
      <c r="H196" s="2"/>
      <c r="I196" s="2" t="str">
        <f>IFERROR(__xludf.DUMMYFUNCTION("""COMPUTED_VALUE"""),"PRIBADI")</f>
        <v>PRIBADI</v>
      </c>
    </row>
    <row r="197">
      <c r="A197" s="7">
        <f>IFERROR(__xludf.DUMMYFUNCTION("""COMPUTED_VALUE"""),46232.0)</f>
        <v>46232</v>
      </c>
      <c r="B197" s="2" t="str">
        <f>IFERROR(__xludf.DUMMYFUNCTION("""COMPUTED_VALUE"""),"TRSF E-BANKING DB")</f>
        <v>TRSF E-BANKING DB</v>
      </c>
      <c r="C197" s="2" t="str">
        <f>IFERROR(__xludf.DUMMYFUNCTION("""COMPUTED_VALUE"""),"2907/FTSCY/WS95031 1500000.00 SUNARTO")</f>
        <v>2907/FTSCY/WS95031 1500000.00 SUNARTO</v>
      </c>
      <c r="D197" s="2">
        <f>IFERROR(__xludf.DUMMYFUNCTION("""COMPUTED_VALUE"""),1500000.0)</f>
        <v>1500000</v>
      </c>
      <c r="E197" s="2"/>
      <c r="F197" s="2" t="str">
        <f>IFERROR(__xludf.DUMMYFUNCTION("""COMPUTED_VALUE"""),"DB")</f>
        <v>DB</v>
      </c>
      <c r="G197" s="2">
        <f>IFERROR(__xludf.DUMMYFUNCTION("""COMPUTED_VALUE"""),1.6452523530999994E8)</f>
        <v>164525235.3</v>
      </c>
      <c r="H197" s="2">
        <f>IFERROR(__xludf.DUMMYFUNCTION("""COMPUTED_VALUE"""),1.6452523531E8)</f>
        <v>164525235.3</v>
      </c>
      <c r="I197" s="2" t="str">
        <f>IFERROR(__xludf.DUMMYFUNCTION("""COMPUTED_VALUE"""),"PRIBADI")</f>
        <v>PRIBADI</v>
      </c>
    </row>
    <row r="198">
      <c r="A198" s="7">
        <f>IFERROR(__xludf.DUMMYFUNCTION("""COMPUTED_VALUE"""),46232.0)</f>
        <v>46232</v>
      </c>
      <c r="B198" s="2" t="str">
        <f>IFERROR(__xludf.DUMMYFUNCTION("""COMPUTED_VALUE"""),"TRSF E-BANKING DB")</f>
        <v>TRSF E-BANKING DB</v>
      </c>
      <c r="C198" s="2" t="str">
        <f>IFERROR(__xludf.DUMMYFUNCTION("""COMPUTED_VALUE"""),"2907/FTSCY/WS95271 11900000.00 NURUL AINI")</f>
        <v>2907/FTSCY/WS95271 11900000.00 NURUL AINI</v>
      </c>
      <c r="D198" s="2">
        <f>IFERROR(__xludf.DUMMYFUNCTION("""COMPUTED_VALUE"""),1.19E7)</f>
        <v>11900000</v>
      </c>
      <c r="E198" s="2"/>
      <c r="F198" s="2" t="str">
        <f>IFERROR(__xludf.DUMMYFUNCTION("""COMPUTED_VALUE"""),"DB")</f>
        <v>DB</v>
      </c>
      <c r="G198" s="2">
        <f>IFERROR(__xludf.DUMMYFUNCTION("""COMPUTED_VALUE"""),1.5262523530999994E8)</f>
        <v>152625235.3</v>
      </c>
      <c r="H198" s="2"/>
      <c r="I198" s="2" t="str">
        <f>IFERROR(__xludf.DUMMYFUNCTION("""COMPUTED_VALUE"""),"PRIBADI")</f>
        <v>PRIBADI</v>
      </c>
    </row>
    <row r="199">
      <c r="A199" s="7">
        <f>IFERROR(__xludf.DUMMYFUNCTION("""COMPUTED_VALUE"""),46232.0)</f>
        <v>46232</v>
      </c>
      <c r="B199" s="2" t="str">
        <f>IFERROR(__xludf.DUMMYFUNCTION("""COMPUTED_VALUE"""),"TRSF E-BANKING DB")</f>
        <v>TRSF E-BANKING DB</v>
      </c>
      <c r="C199" s="2" t="str">
        <f>IFERROR(__xludf.DUMMYFUNCTION("""COMPUTED_VALUE"""),"2907/FTFVA/WS95031 12208/SHOPEEPAY - - 5335263590")</f>
        <v>2907/FTFVA/WS95031 12208/SHOPEEPAY - - 5335263590</v>
      </c>
      <c r="D199" s="2">
        <f>IFERROR(__xludf.DUMMYFUNCTION("""COMPUTED_VALUE"""),41000.0)</f>
        <v>41000</v>
      </c>
      <c r="E199" s="2"/>
      <c r="F199" s="2" t="str">
        <f>IFERROR(__xludf.DUMMYFUNCTION("""COMPUTED_VALUE"""),"DB")</f>
        <v>DB</v>
      </c>
      <c r="G199" s="2">
        <f>IFERROR(__xludf.DUMMYFUNCTION("""COMPUTED_VALUE"""),1.5258423530999994E8)</f>
        <v>152584235.3</v>
      </c>
      <c r="H199" s="2"/>
      <c r="I199" s="2" t="str">
        <f>IFERROR(__xludf.DUMMYFUNCTION("""COMPUTED_VALUE"""),"PRIBADI")</f>
        <v>PRIBADI</v>
      </c>
    </row>
    <row r="200">
      <c r="A200" s="7">
        <f>IFERROR(__xludf.DUMMYFUNCTION("""COMPUTED_VALUE"""),46232.0)</f>
        <v>46232</v>
      </c>
      <c r="B200" s="2" t="str">
        <f>IFERROR(__xludf.DUMMYFUNCTION("""COMPUTED_VALUE"""),"TRSF E-BANKING DB")</f>
        <v>TRSF E-BANKING DB</v>
      </c>
      <c r="C200" s="2" t="str">
        <f>IFERROR(__xludf.DUMMYFUNCTION("""COMPUTED_VALUE"""),"2907/FTSCY/WS95031 1500000.00 HERMAWAN")</f>
        <v>2907/FTSCY/WS95031 1500000.00 HERMAWAN</v>
      </c>
      <c r="D200" s="2">
        <f>IFERROR(__xludf.DUMMYFUNCTION("""COMPUTED_VALUE"""),1500000.0)</f>
        <v>1500000</v>
      </c>
      <c r="E200" s="2"/>
      <c r="F200" s="2" t="str">
        <f>IFERROR(__xludf.DUMMYFUNCTION("""COMPUTED_VALUE"""),"DB")</f>
        <v>DB</v>
      </c>
      <c r="G200" s="2">
        <f>IFERROR(__xludf.DUMMYFUNCTION("""COMPUTED_VALUE"""),1.5108423530999994E8)</f>
        <v>151084235.3</v>
      </c>
      <c r="H200" s="2"/>
      <c r="I200" s="2" t="str">
        <f>IFERROR(__xludf.DUMMYFUNCTION("""COMPUTED_VALUE"""),"PRIBADI")</f>
        <v>PRIBADI</v>
      </c>
    </row>
    <row r="201">
      <c r="A201" s="7">
        <f>IFERROR(__xludf.DUMMYFUNCTION("""COMPUTED_VALUE"""),46232.0)</f>
        <v>46232</v>
      </c>
      <c r="B201" s="2" t="str">
        <f>IFERROR(__xludf.DUMMYFUNCTION("""COMPUTED_VALUE"""),"TRSF E-BANKING DB")</f>
        <v>TRSF E-BANKING DB</v>
      </c>
      <c r="C201" s="2" t="str">
        <f>IFERROR(__xludf.DUMMYFUNCTION("""COMPUTED_VALUE"""),"2907/FTSCY/WS95031 2412000.00 MUJIANTO")</f>
        <v>2907/FTSCY/WS95031 2412000.00 MUJIANTO</v>
      </c>
      <c r="D201" s="2">
        <f>IFERROR(__xludf.DUMMYFUNCTION("""COMPUTED_VALUE"""),2412000.0)</f>
        <v>2412000</v>
      </c>
      <c r="E201" s="2"/>
      <c r="F201" s="2" t="str">
        <f>IFERROR(__xludf.DUMMYFUNCTION("""COMPUTED_VALUE"""),"DB")</f>
        <v>DB</v>
      </c>
      <c r="G201" s="2">
        <f>IFERROR(__xludf.DUMMYFUNCTION("""COMPUTED_VALUE"""),1.4867223530999994E8)</f>
        <v>148672235.3</v>
      </c>
      <c r="H201" s="2"/>
      <c r="I201" s="2" t="str">
        <f>IFERROR(__xludf.DUMMYFUNCTION("""COMPUTED_VALUE"""),"PRIBADI")</f>
        <v>PRIBADI</v>
      </c>
    </row>
    <row r="202">
      <c r="A202" s="7">
        <f>IFERROR(__xludf.DUMMYFUNCTION("""COMPUTED_VALUE"""),46232.0)</f>
        <v>46232</v>
      </c>
      <c r="B202" s="2" t="str">
        <f>IFERROR(__xludf.DUMMYFUNCTION("""COMPUTED_VALUE"""),"TRSF E-BANKING DB")</f>
        <v>TRSF E-BANKING DB</v>
      </c>
      <c r="C202" s="2" t="str">
        <f>IFERROR(__xludf.DUMMYFUNCTION("""COMPUTED_VALUE"""),"2907/FTSCY/WS95271 4314750.00 lunas FAJAR ANDREANZAH")</f>
        <v>2907/FTSCY/WS95271 4314750.00 lunas FAJAR ANDREANZAH</v>
      </c>
      <c r="D202" s="2">
        <f>IFERROR(__xludf.DUMMYFUNCTION("""COMPUTED_VALUE"""),4314750.0)</f>
        <v>4314750</v>
      </c>
      <c r="E202" s="2"/>
      <c r="F202" s="2" t="str">
        <f>IFERROR(__xludf.DUMMYFUNCTION("""COMPUTED_VALUE"""),"DB")</f>
        <v>DB</v>
      </c>
      <c r="G202" s="2">
        <f>IFERROR(__xludf.DUMMYFUNCTION("""COMPUTED_VALUE"""),1.4435748530999994E8)</f>
        <v>144357485.3</v>
      </c>
      <c r="H202" s="2">
        <f>IFERROR(__xludf.DUMMYFUNCTION("""COMPUTED_VALUE"""),1.4435748531E8)</f>
        <v>144357485.3</v>
      </c>
      <c r="I202" s="2" t="str">
        <f>IFERROR(__xludf.DUMMYFUNCTION("""COMPUTED_VALUE"""),"PRIBADI")</f>
        <v>PRIBADI</v>
      </c>
    </row>
    <row r="203">
      <c r="A203" s="7">
        <f>IFERROR(__xludf.DUMMYFUNCTION("""COMPUTED_VALUE"""),46233.0)</f>
        <v>46233</v>
      </c>
      <c r="B203" s="2" t="str">
        <f>IFERROR(__xludf.DUMMYFUNCTION("""COMPUTED_VALUE"""),"TRSF E-BANKING DB")</f>
        <v>TRSF E-BANKING DB</v>
      </c>
      <c r="C203" s="2" t="str">
        <f>IFERROR(__xludf.DUMMYFUNCTION("""COMPUTED_VALUE"""),"3007/FTSCY/WS95271 70851200.00 Mon Jul 27 2026 14:00:00 GMT+0700 (Western Indonesia Time) BINTANG TAMA SANTO")</f>
        <v>3007/FTSCY/WS95271 70851200.00 Mon Jul 27 2026 14:00:00 GMT+0700 (Western Indonesia Time) BINTANG TAMA SANTO</v>
      </c>
      <c r="D203" s="2">
        <f>IFERROR(__xludf.DUMMYFUNCTION("""COMPUTED_VALUE"""),7.08512E7)</f>
        <v>70851200</v>
      </c>
      <c r="E203" s="2"/>
      <c r="F203" s="2" t="str">
        <f>IFERROR(__xludf.DUMMYFUNCTION("""COMPUTED_VALUE"""),"DB")</f>
        <v>DB</v>
      </c>
      <c r="G203" s="2">
        <f>IFERROR(__xludf.DUMMYFUNCTION("""COMPUTED_VALUE"""),5.3362648530999994E8)</f>
        <v>533626485.3</v>
      </c>
      <c r="H203" s="2"/>
      <c r="I203" s="2" t="str">
        <f>IFERROR(__xludf.DUMMYFUNCTION("""COMPUTED_VALUE"""),"PRIBADI")</f>
        <v>PRIBADI</v>
      </c>
    </row>
    <row r="204">
      <c r="A204" s="7">
        <f>IFERROR(__xludf.DUMMYFUNCTION("""COMPUTED_VALUE"""),46233.0)</f>
        <v>46233</v>
      </c>
      <c r="B204" s="2" t="str">
        <f>IFERROR(__xludf.DUMMYFUNCTION("""COMPUTED_VALUE"""),"TRSF E-BANKING DB")</f>
        <v>TRSF E-BANKING DB</v>
      </c>
      <c r="C204" s="2" t="str">
        <f>IFERROR(__xludf.DUMMYFUNCTION("""COMPUTED_VALUE"""),"3007/FTSCY/WS95271 53289000.00 Mon Jul 27 2026 14:00:00 GMT+0700 (Western Indonesia Time) PT BERLIAN INDOMIT")</f>
        <v>3007/FTSCY/WS95271 53289000.00 Mon Jul 27 2026 14:00:00 GMT+0700 (Western Indonesia Time) PT BERLIAN INDOMIT</v>
      </c>
      <c r="D204" s="2">
        <f>IFERROR(__xludf.DUMMYFUNCTION("""COMPUTED_VALUE"""),5.3289E7)</f>
        <v>53289000</v>
      </c>
      <c r="E204" s="2"/>
      <c r="F204" s="2" t="str">
        <f>IFERROR(__xludf.DUMMYFUNCTION("""COMPUTED_VALUE"""),"DB")</f>
        <v>DB</v>
      </c>
      <c r="G204" s="2">
        <f>IFERROR(__xludf.DUMMYFUNCTION("""COMPUTED_VALUE"""),4.8033748530999994E8)</f>
        <v>480337485.3</v>
      </c>
      <c r="H204" s="2"/>
      <c r="I204" s="2" t="str">
        <f>IFERROR(__xludf.DUMMYFUNCTION("""COMPUTED_VALUE"""),"PRIBADI")</f>
        <v>PRIBADI</v>
      </c>
    </row>
    <row r="205">
      <c r="A205" s="7">
        <f>IFERROR(__xludf.DUMMYFUNCTION("""COMPUTED_VALUE"""),46233.0)</f>
        <v>46233</v>
      </c>
      <c r="B205" s="2" t="str">
        <f>IFERROR(__xludf.DUMMYFUNCTION("""COMPUTED_VALUE"""),"TRSF E-BANKING DB")</f>
        <v>TRSF E-BANKING DB</v>
      </c>
      <c r="C205" s="2" t="str">
        <f>IFERROR(__xludf.DUMMYFUNCTION("""COMPUTED_VALUE"""),"3007/FTSCY/WS95271 60673650.00 Mon Jul 27 2026 14:00:00 GMT+0700 (Western Indonesia Time) SUPER UNGGAS JAYA")</f>
        <v>3007/FTSCY/WS95271 60673650.00 Mon Jul 27 2026 14:00:00 GMT+0700 (Western Indonesia Time) SUPER UNGGAS JAYA</v>
      </c>
      <c r="D205" s="2">
        <f>IFERROR(__xludf.DUMMYFUNCTION("""COMPUTED_VALUE"""),6.067365E7)</f>
        <v>60673650</v>
      </c>
      <c r="E205" s="2"/>
      <c r="F205" s="2" t="str">
        <f>IFERROR(__xludf.DUMMYFUNCTION("""COMPUTED_VALUE"""),"DB")</f>
        <v>DB</v>
      </c>
      <c r="G205" s="2">
        <f>IFERROR(__xludf.DUMMYFUNCTION("""COMPUTED_VALUE"""),4.1966383530999994E8)</f>
        <v>419663835.3</v>
      </c>
      <c r="H205" s="2"/>
      <c r="I205" s="2" t="str">
        <f>IFERROR(__xludf.DUMMYFUNCTION("""COMPUTED_VALUE"""),"PRIBADI")</f>
        <v>PRIBADI</v>
      </c>
    </row>
    <row r="206">
      <c r="A206" s="7">
        <f>IFERROR(__xludf.DUMMYFUNCTION("""COMPUTED_VALUE"""),46233.0)</f>
        <v>46233</v>
      </c>
      <c r="B206" s="2" t="str">
        <f>IFERROR(__xludf.DUMMYFUNCTION("""COMPUTED_VALUE"""),"TRSF E-BANKING DB")</f>
        <v>TRSF E-BANKING DB</v>
      </c>
      <c r="C206" s="2" t="str">
        <f>IFERROR(__xludf.DUMMYFUNCTION("""COMPUTED_VALUE"""),"3007/FTSCY/WS95011 193246200.00 Mon Jul 27 2026 14:00:00 GMT+0700 (Western Indonesia Time) BROILER MAKMUR TAN")</f>
        <v>3007/FTSCY/WS95011 193246200.00 Mon Jul 27 2026 14:00:00 GMT+0700 (Western Indonesia Time) BROILER MAKMUR TAN</v>
      </c>
      <c r="D206" s="2">
        <f>IFERROR(__xludf.DUMMYFUNCTION("""COMPUTED_VALUE"""),1.932462E8)</f>
        <v>193246200</v>
      </c>
      <c r="E206" s="2"/>
      <c r="F206" s="2" t="str">
        <f>IFERROR(__xludf.DUMMYFUNCTION("""COMPUTED_VALUE"""),"DB")</f>
        <v>DB</v>
      </c>
      <c r="G206" s="2">
        <f>IFERROR(__xludf.DUMMYFUNCTION("""COMPUTED_VALUE"""),2.2641763530999994E8)</f>
        <v>226417635.3</v>
      </c>
      <c r="H206" s="2"/>
      <c r="I206" s="2" t="str">
        <f>IFERROR(__xludf.DUMMYFUNCTION("""COMPUTED_VALUE"""),"PRIBADI")</f>
        <v>PRIBADI</v>
      </c>
    </row>
    <row r="207">
      <c r="A207" s="7">
        <f>IFERROR(__xludf.DUMMYFUNCTION("""COMPUTED_VALUE"""),46233.0)</f>
        <v>46233</v>
      </c>
      <c r="B207" s="2" t="str">
        <f>IFERROR(__xludf.DUMMYFUNCTION("""COMPUTED_VALUE"""),"TRSF E-BANKING DB")</f>
        <v>TRSF E-BANKING DB</v>
      </c>
      <c r="C207" s="2" t="str">
        <f>IFERROR(__xludf.DUMMYFUNCTION("""COMPUTED_VALUE"""),"3007/FTSCY/WS95271 64354120.00 Tue Jul 28 2026 14:00:00 GMT+0700 (Western Indonesia Time) TABASSAM JAYA FARM")</f>
        <v>3007/FTSCY/WS95271 64354120.00 Tue Jul 28 2026 14:00:00 GMT+0700 (Western Indonesia Time) TABASSAM JAYA FARM</v>
      </c>
      <c r="D207" s="2">
        <f>IFERROR(__xludf.DUMMYFUNCTION("""COMPUTED_VALUE"""),6.435412E7)</f>
        <v>64354120</v>
      </c>
      <c r="E207" s="2"/>
      <c r="F207" s="2" t="str">
        <f>IFERROR(__xludf.DUMMYFUNCTION("""COMPUTED_VALUE"""),"DB")</f>
        <v>DB</v>
      </c>
      <c r="G207" s="2">
        <f>IFERROR(__xludf.DUMMYFUNCTION("""COMPUTED_VALUE"""),1.6206351530999994E8)</f>
        <v>162063515.3</v>
      </c>
      <c r="H207" s="2"/>
      <c r="I207" s="2" t="str">
        <f>IFERROR(__xludf.DUMMYFUNCTION("""COMPUTED_VALUE"""),"PRIBADI")</f>
        <v>PRIBADI</v>
      </c>
    </row>
    <row r="208">
      <c r="A208" s="7">
        <f>IFERROR(__xludf.DUMMYFUNCTION("""COMPUTED_VALUE"""),46233.0)</f>
        <v>46233</v>
      </c>
      <c r="B208" s="2" t="str">
        <f>IFERROR(__xludf.DUMMYFUNCTION("""COMPUTED_VALUE"""),"TRSF E-BANKING DB")</f>
        <v>TRSF E-BANKING DB</v>
      </c>
      <c r="C208" s="2" t="str">
        <f>IFERROR(__xludf.DUMMYFUNCTION("""COMPUTED_VALUE"""),"3007/FTSCY/WS95031 7320200.00 NURHAYATI")</f>
        <v>3007/FTSCY/WS95031 7320200.00 NURHAYATI</v>
      </c>
      <c r="D208" s="2">
        <f>IFERROR(__xludf.DUMMYFUNCTION("""COMPUTED_VALUE"""),7320200.0)</f>
        <v>7320200</v>
      </c>
      <c r="E208" s="2"/>
      <c r="F208" s="2" t="str">
        <f>IFERROR(__xludf.DUMMYFUNCTION("""COMPUTED_VALUE"""),"DB")</f>
        <v>DB</v>
      </c>
      <c r="G208" s="2">
        <f>IFERROR(__xludf.DUMMYFUNCTION("""COMPUTED_VALUE"""),1.5474331530999994E8)</f>
        <v>154743315.3</v>
      </c>
      <c r="H208" s="2"/>
      <c r="I208" s="2" t="str">
        <f>IFERROR(__xludf.DUMMYFUNCTION("""COMPUTED_VALUE"""),"PRIBADI")</f>
        <v>PRIBADI</v>
      </c>
    </row>
    <row r="209">
      <c r="A209" s="7">
        <f>IFERROR(__xludf.DUMMYFUNCTION("""COMPUTED_VALUE"""),46233.0)</f>
        <v>46233</v>
      </c>
      <c r="B209" s="2" t="str">
        <f>IFERROR(__xludf.DUMMYFUNCTION("""COMPUTED_VALUE"""),"TRSF E-BANKING DB")</f>
        <v>TRSF E-BANKING DB</v>
      </c>
      <c r="C209" s="2" t="str">
        <f>IFERROR(__xludf.DUMMYFUNCTION("""COMPUTED_VALUE"""),"3007/FTSCY/WS95031 3366700.00 SUNARTO")</f>
        <v>3007/FTSCY/WS95031 3366700.00 SUNARTO</v>
      </c>
      <c r="D209" s="2">
        <f>IFERROR(__xludf.DUMMYFUNCTION("""COMPUTED_VALUE"""),3366700.0)</f>
        <v>3366700</v>
      </c>
      <c r="E209" s="2"/>
      <c r="F209" s="2" t="str">
        <f>IFERROR(__xludf.DUMMYFUNCTION("""COMPUTED_VALUE"""),"DB")</f>
        <v>DB</v>
      </c>
      <c r="G209" s="2">
        <f>IFERROR(__xludf.DUMMYFUNCTION("""COMPUTED_VALUE"""),1.5137661530999994E8)</f>
        <v>151376615.3</v>
      </c>
      <c r="H209" s="2">
        <f>IFERROR(__xludf.DUMMYFUNCTION("""COMPUTED_VALUE"""),1.5137661531E8)</f>
        <v>151376615.3</v>
      </c>
      <c r="I209" s="2" t="str">
        <f>IFERROR(__xludf.DUMMYFUNCTION("""COMPUTED_VALUE"""),"PRIBADI")</f>
        <v>PRIBADI</v>
      </c>
    </row>
    <row r="210">
      <c r="A210" s="7">
        <f>IFERROR(__xludf.DUMMYFUNCTION("""COMPUTED_VALUE"""),46233.0)</f>
        <v>46233</v>
      </c>
      <c r="B210" s="2" t="str">
        <f>IFERROR(__xludf.DUMMYFUNCTION("""COMPUTED_VALUE"""),"TRSF E-BANKING DB")</f>
        <v>TRSF E-BANKING DB</v>
      </c>
      <c r="C210" s="2" t="str">
        <f>IFERROR(__xludf.DUMMYFUNCTION("""COMPUTED_VALUE"""),"3007/FTSCY/WS95031 3366700.00 DWI HERMANSYAH")</f>
        <v>3007/FTSCY/WS95031 3366700.00 DWI HERMANSYAH</v>
      </c>
      <c r="D210" s="2">
        <f>IFERROR(__xludf.DUMMYFUNCTION("""COMPUTED_VALUE"""),3366700.0)</f>
        <v>3366700</v>
      </c>
      <c r="E210" s="2"/>
      <c r="F210" s="2" t="str">
        <f>IFERROR(__xludf.DUMMYFUNCTION("""COMPUTED_VALUE"""),"DB")</f>
        <v>DB</v>
      </c>
      <c r="G210" s="2">
        <f>IFERROR(__xludf.DUMMYFUNCTION("""COMPUTED_VALUE"""),1.4800991530999994E8)</f>
        <v>148009915.3</v>
      </c>
      <c r="H210" s="2">
        <f>IFERROR(__xludf.DUMMYFUNCTION("""COMPUTED_VALUE"""),1.4800991531E8)</f>
        <v>148009915.3</v>
      </c>
      <c r="I210" s="2" t="str">
        <f>IFERROR(__xludf.DUMMYFUNCTION("""COMPUTED_VALUE"""),"PRIBADI")</f>
        <v>PRIBADI</v>
      </c>
    </row>
    <row r="211">
      <c r="A211" s="7">
        <f>IFERROR(__xludf.DUMMYFUNCTION("""COMPUTED_VALUE"""),46233.0)</f>
        <v>46233</v>
      </c>
      <c r="B211" s="2" t="str">
        <f>IFERROR(__xludf.DUMMYFUNCTION("""COMPUTED_VALUE"""),"TARIKAN ATM 30/07")</f>
        <v>TARIKAN ATM 30/07</v>
      </c>
      <c r="C211" s="2" t="str">
        <f>IFERROR(__xludf.DUMMYFUNCTION("""COMPUTED_VALUE"""),"TARIKAN ATM 30/07")</f>
        <v>TARIKAN ATM 30/07</v>
      </c>
      <c r="D211" s="2">
        <f>IFERROR(__xludf.DUMMYFUNCTION("""COMPUTED_VALUE"""),400000.0)</f>
        <v>400000</v>
      </c>
      <c r="E211" s="2"/>
      <c r="F211" s="2"/>
      <c r="G211" s="2">
        <f>IFERROR(__xludf.DUMMYFUNCTION("""COMPUTED_VALUE"""),1.5097661530999994E8)</f>
        <v>150976615.3</v>
      </c>
      <c r="H211" s="2"/>
      <c r="I211" s="2" t="str">
        <f>IFERROR(__xludf.DUMMYFUNCTION("""COMPUTED_VALUE"""),"PRIBADI")</f>
        <v>PRIBADI</v>
      </c>
    </row>
    <row r="212">
      <c r="A212" s="7">
        <f>IFERROR(__xludf.DUMMYFUNCTION("""COMPUTED_VALUE"""),46233.0)</f>
        <v>46233</v>
      </c>
      <c r="B212" s="2" t="str">
        <f>IFERROR(__xludf.DUMMYFUNCTION("""COMPUTED_VALUE"""),"TRSF E-BANKING DB")</f>
        <v>TRSF E-BANKING DB</v>
      </c>
      <c r="C212" s="2" t="str">
        <f>IFERROR(__xludf.DUMMYFUNCTION("""COMPUTED_VALUE"""),"3007/FTSCY/WS95031 300000.00 NURUL AINI")</f>
        <v>3007/FTSCY/WS95031 300000.00 NURUL AINI</v>
      </c>
      <c r="D212" s="2">
        <f>IFERROR(__xludf.DUMMYFUNCTION("""COMPUTED_VALUE"""),300000.0)</f>
        <v>300000</v>
      </c>
      <c r="E212" s="2"/>
      <c r="F212" s="2" t="str">
        <f>IFERROR(__xludf.DUMMYFUNCTION("""COMPUTED_VALUE"""),"DB")</f>
        <v>DB</v>
      </c>
      <c r="G212" s="2">
        <f>IFERROR(__xludf.DUMMYFUNCTION("""COMPUTED_VALUE"""),1.5067661530999994E8)</f>
        <v>150676615.3</v>
      </c>
      <c r="H212" s="2"/>
      <c r="I212" s="2" t="str">
        <f>IFERROR(__xludf.DUMMYFUNCTION("""COMPUTED_VALUE"""),"PRIBADI")</f>
        <v>PRIBADI</v>
      </c>
    </row>
    <row r="213">
      <c r="A213" s="7">
        <f>IFERROR(__xludf.DUMMYFUNCTION("""COMPUTED_VALUE"""),46233.0)</f>
        <v>46233</v>
      </c>
      <c r="B213" s="2" t="str">
        <f>IFERROR(__xludf.DUMMYFUNCTION("""COMPUTED_VALUE"""),"TRSF E-BANKING DB")</f>
        <v>TRSF E-BANKING DB</v>
      </c>
      <c r="C213" s="2" t="str">
        <f>IFERROR(__xludf.DUMMYFUNCTION("""COMPUTED_VALUE"""),"3007/FTSCY/WS95031 15000000.00 EKO SETIYAWAN")</f>
        <v>3007/FTSCY/WS95031 15000000.00 EKO SETIYAWAN</v>
      </c>
      <c r="D213" s="2">
        <f>IFERROR(__xludf.DUMMYFUNCTION("""COMPUTED_VALUE"""),1.5E7)</f>
        <v>15000000</v>
      </c>
      <c r="E213" s="2"/>
      <c r="F213" s="2" t="str">
        <f>IFERROR(__xludf.DUMMYFUNCTION("""COMPUTED_VALUE"""),"DB")</f>
        <v>DB</v>
      </c>
      <c r="G213" s="2">
        <f>IFERROR(__xludf.DUMMYFUNCTION("""COMPUTED_VALUE"""),1.3567661530999994E8)</f>
        <v>135676615.3</v>
      </c>
      <c r="H213" s="2"/>
      <c r="I213" s="2" t="str">
        <f>IFERROR(__xludf.DUMMYFUNCTION("""COMPUTED_VALUE"""),"PRIBADI")</f>
        <v>PRIBADI</v>
      </c>
    </row>
    <row r="214">
      <c r="A214" s="7">
        <f>IFERROR(__xludf.DUMMYFUNCTION("""COMPUTED_VALUE"""),46233.0)</f>
        <v>46233</v>
      </c>
      <c r="B214" s="2" t="str">
        <f>IFERROR(__xludf.DUMMYFUNCTION("""COMPUTED_VALUE"""),"TRSF E-BANKING DB")</f>
        <v>TRSF E-BANKING DB</v>
      </c>
      <c r="C214" s="2" t="str">
        <f>IFERROR(__xludf.DUMMYFUNCTION("""COMPUTED_VALUE"""),"3007/FTFVA/WS95031 55569/PT PRIMA FAJ titip - 40190")</f>
        <v>3007/FTFVA/WS95031 55569/PT PRIMA FAJ titip - 40190</v>
      </c>
      <c r="D214" s="2">
        <f>IFERROR(__xludf.DUMMYFUNCTION("""COMPUTED_VALUE"""),5.0E7)</f>
        <v>50000000</v>
      </c>
      <c r="E214" s="2"/>
      <c r="F214" s="2" t="str">
        <f>IFERROR(__xludf.DUMMYFUNCTION("""COMPUTED_VALUE"""),"DB")</f>
        <v>DB</v>
      </c>
      <c r="G214" s="2">
        <f>IFERROR(__xludf.DUMMYFUNCTION("""COMPUTED_VALUE"""),8.567661530999994E7)</f>
        <v>85676615.31</v>
      </c>
      <c r="H214" s="2"/>
      <c r="I214" s="2" t="str">
        <f>IFERROR(__xludf.DUMMYFUNCTION("""COMPUTED_VALUE"""),"PRIBADI")</f>
        <v>PRIBADI</v>
      </c>
    </row>
    <row r="215">
      <c r="A215" s="7">
        <f>IFERROR(__xludf.DUMMYFUNCTION("""COMPUTED_VALUE"""),46233.0)</f>
        <v>46233</v>
      </c>
      <c r="B215" s="2" t="str">
        <f>IFERROR(__xludf.DUMMYFUNCTION("""COMPUTED_VALUE"""),"TRSF E-BANKING DB")</f>
        <v>TRSF E-BANKING DB</v>
      </c>
      <c r="C215" s="2" t="str">
        <f>IFERROR(__xludf.DUMMYFUNCTION("""COMPUTED_VALUE"""),"3007/FTFVA/WS95031 55574/GUNA MITRA S titip - 200177")</f>
        <v>3007/FTFVA/WS95031 55574/GUNA MITRA S titip - 200177</v>
      </c>
      <c r="D215" s="2">
        <f>IFERROR(__xludf.DUMMYFUNCTION("""COMPUTED_VALUE"""),5.0E7)</f>
        <v>50000000</v>
      </c>
      <c r="E215" s="2"/>
      <c r="F215" s="2" t="str">
        <f>IFERROR(__xludf.DUMMYFUNCTION("""COMPUTED_VALUE"""),"DB")</f>
        <v>DB</v>
      </c>
      <c r="G215" s="2">
        <f>IFERROR(__xludf.DUMMYFUNCTION("""COMPUTED_VALUE"""),3.567661530999994E7)</f>
        <v>35676615.31</v>
      </c>
      <c r="H215" s="2"/>
      <c r="I215" s="2" t="str">
        <f>IFERROR(__xludf.DUMMYFUNCTION("""COMPUTED_VALUE"""),"PRIBADI")</f>
        <v>PRIBADI</v>
      </c>
    </row>
    <row r="216">
      <c r="A216" s="7">
        <f>IFERROR(__xludf.DUMMYFUNCTION("""COMPUTED_VALUE"""),46233.0)</f>
        <v>46233</v>
      </c>
      <c r="B216" s="2" t="str">
        <f>IFERROR(__xludf.DUMMYFUNCTION("""COMPUTED_VALUE"""),"TRSF E-BANKING DB")</f>
        <v>TRSF E-BANKING DB</v>
      </c>
      <c r="C216" s="2" t="str">
        <f>IFERROR(__xludf.DUMMYFUNCTION("""COMPUTED_VALUE"""),"3007/FTSCY/WS95031 5021000.00 krg 15 jt EKO SETIYAWAN")</f>
        <v>3007/FTSCY/WS95031 5021000.00 krg 15 jt EKO SETIYAWAN</v>
      </c>
      <c r="D216" s="2">
        <f>IFERROR(__xludf.DUMMYFUNCTION("""COMPUTED_VALUE"""),5021000.0)</f>
        <v>5021000</v>
      </c>
      <c r="E216" s="2"/>
      <c r="F216" s="2" t="str">
        <f>IFERROR(__xludf.DUMMYFUNCTION("""COMPUTED_VALUE"""),"DB")</f>
        <v>DB</v>
      </c>
      <c r="G216" s="2">
        <f>IFERROR(__xludf.DUMMYFUNCTION("""COMPUTED_VALUE"""),7.565561530999994E7)</f>
        <v>75655615.31</v>
      </c>
      <c r="H216" s="2"/>
      <c r="I216" s="2" t="str">
        <f>IFERROR(__xludf.DUMMYFUNCTION("""COMPUTED_VALUE"""),"PRIBADI")</f>
        <v>PRIBADI</v>
      </c>
    </row>
    <row r="217">
      <c r="A217" s="7">
        <f>IFERROR(__xludf.DUMMYFUNCTION("""COMPUTED_VALUE"""),46233.0)</f>
        <v>46233</v>
      </c>
      <c r="B217" s="2" t="str">
        <f>IFERROR(__xludf.DUMMYFUNCTION("""COMPUTED_VALUE"""),"TRSF E-BANKING DB")</f>
        <v>TRSF E-BANKING DB</v>
      </c>
      <c r="C217" s="2" t="str">
        <f>IFERROR(__xludf.DUMMYFUNCTION("""COMPUTED_VALUE"""),"3007/FTSCY/WS95031 1900000.00 SUNARTO")</f>
        <v>3007/FTSCY/WS95031 1900000.00 SUNARTO</v>
      </c>
      <c r="D217" s="2">
        <f>IFERROR(__xludf.DUMMYFUNCTION("""COMPUTED_VALUE"""),1900000.0)</f>
        <v>1900000</v>
      </c>
      <c r="E217" s="2"/>
      <c r="F217" s="2" t="str">
        <f>IFERROR(__xludf.DUMMYFUNCTION("""COMPUTED_VALUE"""),"DB")</f>
        <v>DB</v>
      </c>
      <c r="G217" s="2">
        <f>IFERROR(__xludf.DUMMYFUNCTION("""COMPUTED_VALUE"""),7.375561530999994E7)</f>
        <v>73755615.31</v>
      </c>
      <c r="H217" s="2"/>
      <c r="I217" s="2" t="str">
        <f>IFERROR(__xludf.DUMMYFUNCTION("""COMPUTED_VALUE"""),"PRIBADI")</f>
        <v>PRIBADI</v>
      </c>
    </row>
    <row r="218">
      <c r="A218" s="7">
        <f>IFERROR(__xludf.DUMMYFUNCTION("""COMPUTED_VALUE"""),46233.0)</f>
        <v>46233</v>
      </c>
      <c r="B218" s="2" t="str">
        <f>IFERROR(__xludf.DUMMYFUNCTION("""COMPUTED_VALUE"""),"KARTU DEBIT")</f>
        <v>KARTU DEBIT</v>
      </c>
      <c r="C218" s="2" t="str">
        <f>IFERROR(__xludf.DUMMYFUNCTION("""COMPUTED_VALUE"""),"GRAND CELLULAR-HO 6019009510239343")</f>
        <v>GRAND CELLULAR-HO 6019009510239343</v>
      </c>
      <c r="D218" s="2">
        <f>IFERROR(__xludf.DUMMYFUNCTION("""COMPUTED_VALUE"""),6250000.0)</f>
        <v>6250000</v>
      </c>
      <c r="E218" s="2"/>
      <c r="F218" s="2"/>
      <c r="G218" s="2">
        <f>IFERROR(__xludf.DUMMYFUNCTION("""COMPUTED_VALUE"""),6.750561530999994E7)</f>
        <v>67505615.31</v>
      </c>
      <c r="H218" s="2">
        <f>IFERROR(__xludf.DUMMYFUNCTION("""COMPUTED_VALUE"""),6.750561531E7)</f>
        <v>67505615.31</v>
      </c>
      <c r="I218" s="2" t="str">
        <f>IFERROR(__xludf.DUMMYFUNCTION("""COMPUTED_VALUE"""),"PRIBADI")</f>
        <v>PRIBADI</v>
      </c>
    </row>
    <row r="219">
      <c r="A219" s="7">
        <f>IFERROR(__xludf.DUMMYFUNCTION("""COMPUTED_VALUE"""),46234.0)</f>
        <v>46234</v>
      </c>
      <c r="B219" s="2" t="str">
        <f>IFERROR(__xludf.DUMMYFUNCTION("""COMPUTED_VALUE"""),"TRSF E-BANKING DB TANGGAL :30/07")</f>
        <v>TRSF E-BANKING DB TANGGAL :30/07</v>
      </c>
      <c r="C219" s="2" t="str">
        <f>IFERROR(__xludf.DUMMYFUNCTION("""COMPUTED_VALUE"""),"3007/FTSCY/WS95031 byr baju SLAMET RAHARJO")</f>
        <v>3007/FTSCY/WS95031 byr baju SLAMET RAHARJO</v>
      </c>
      <c r="D219" s="2">
        <f>IFERROR(__xludf.DUMMYFUNCTION("""COMPUTED_VALUE"""),75000.0)</f>
        <v>75000</v>
      </c>
      <c r="E219" s="2"/>
      <c r="F219" s="2" t="str">
        <f>IFERROR(__xludf.DUMMYFUNCTION("""COMPUTED_VALUE"""),"DB")</f>
        <v>DB</v>
      </c>
      <c r="G219" s="2">
        <f>IFERROR(__xludf.DUMMYFUNCTION("""COMPUTED_VALUE"""),6.743061530999994E7)</f>
        <v>67430615.31</v>
      </c>
      <c r="H219" s="2"/>
      <c r="I219" s="2" t="str">
        <f>IFERROR(__xludf.DUMMYFUNCTION("""COMPUTED_VALUE"""),"PRIBADI")</f>
        <v>PRIBADI</v>
      </c>
    </row>
    <row r="220">
      <c r="A220" s="7">
        <f>IFERROR(__xludf.DUMMYFUNCTION("""COMPUTED_VALUE"""),46234.0)</f>
        <v>46234</v>
      </c>
      <c r="B220" s="2" t="str">
        <f>IFERROR(__xludf.DUMMYFUNCTION("""COMPUTED_VALUE"""),"TRSF E-BANKING DB")</f>
        <v>TRSF E-BANKING DB</v>
      </c>
      <c r="C220" s="2" t="str">
        <f>IFERROR(__xludf.DUMMYFUNCTION("""COMPUTED_VALUE"""),"3107/FTSCY/WS95031 63168430.00 lunas LAWU ABADI NUSA PT")</f>
        <v>3107/FTSCY/WS95031 63168430.00 lunas LAWU ABADI NUSA PT</v>
      </c>
      <c r="D220" s="2">
        <f>IFERROR(__xludf.DUMMYFUNCTION("""COMPUTED_VALUE"""),6.316843E7)</f>
        <v>63168430</v>
      </c>
      <c r="E220" s="2"/>
      <c r="F220" s="2" t="str">
        <f>IFERROR(__xludf.DUMMYFUNCTION("""COMPUTED_VALUE"""),"DB")</f>
        <v>DB</v>
      </c>
      <c r="G220" s="2">
        <f>IFERROR(__xludf.DUMMYFUNCTION("""COMPUTED_VALUE"""),4262185.309999943)</f>
        <v>4262185.31</v>
      </c>
      <c r="H220" s="2"/>
      <c r="I220" s="2" t="str">
        <f>IFERROR(__xludf.DUMMYFUNCTION("""COMPUTED_VALUE"""),"PRIBADI")</f>
        <v>PRIBADI</v>
      </c>
    </row>
    <row r="221">
      <c r="A221" s="7">
        <f>IFERROR(__xludf.DUMMYFUNCTION("""COMPUTED_VALUE"""),46234.0)</f>
        <v>46234</v>
      </c>
      <c r="B221" s="2" t="str">
        <f>IFERROR(__xludf.DUMMYFUNCTION("""COMPUTED_VALUE"""),"TARIKAN ATM 31/07")</f>
        <v>TARIKAN ATM 31/07</v>
      </c>
      <c r="C221" s="2" t="str">
        <f>IFERROR(__xludf.DUMMYFUNCTION("""COMPUTED_VALUE"""),"TARIKAN ATM 31/07")</f>
        <v>TARIKAN ATM 31/07</v>
      </c>
      <c r="D221" s="2">
        <f>IFERROR(__xludf.DUMMYFUNCTION("""COMPUTED_VALUE"""),100000.0)</f>
        <v>100000</v>
      </c>
      <c r="E221" s="2"/>
      <c r="F221" s="2"/>
      <c r="G221" s="2">
        <f>IFERROR(__xludf.DUMMYFUNCTION("""COMPUTED_VALUE"""),4162185.309999943)</f>
        <v>4162185.31</v>
      </c>
      <c r="H221" s="2"/>
      <c r="I221" s="2" t="str">
        <f>IFERROR(__xludf.DUMMYFUNCTION("""COMPUTED_VALUE"""),"PRIBADI")</f>
        <v>PRIBADI</v>
      </c>
    </row>
    <row r="222">
      <c r="A222" s="7">
        <f>IFERROR(__xludf.DUMMYFUNCTION("""COMPUTED_VALUE"""),46234.0)</f>
        <v>46234</v>
      </c>
      <c r="B222" s="2" t="str">
        <f>IFERROR(__xludf.DUMMYFUNCTION("""COMPUTED_VALUE"""),"BI-FAST DB")</f>
        <v>BI-FAST DB</v>
      </c>
      <c r="C222" s="2" t="str">
        <f>IFERROR(__xludf.DUMMYFUNCTION("""COMPUTED_VALUE"""),"BIF TRANSFER KE 2 RAHMAN YAFI KURNIA M-BCA")</f>
        <v>BIF TRANSFER KE 2 RAHMAN YAFI KURNIA M-BCA</v>
      </c>
      <c r="D222" s="2">
        <f>IFERROR(__xludf.DUMMYFUNCTION("""COMPUTED_VALUE"""),110000.0)</f>
        <v>110000</v>
      </c>
      <c r="E222" s="2"/>
      <c r="F222" s="2" t="str">
        <f>IFERROR(__xludf.DUMMYFUNCTION("""COMPUTED_VALUE"""),"DB")</f>
        <v>DB</v>
      </c>
      <c r="G222" s="2">
        <f>IFERROR(__xludf.DUMMYFUNCTION("""COMPUTED_VALUE"""),4052185.309999943)</f>
        <v>4052185.31</v>
      </c>
      <c r="H222" s="2">
        <f>IFERROR(__xludf.DUMMYFUNCTION("""COMPUTED_VALUE"""),4052185.31)</f>
        <v>4052185.31</v>
      </c>
      <c r="I222" s="2" t="str">
        <f>IFERROR(__xludf.DUMMYFUNCTION("""COMPUTED_VALUE"""),"PRIBADI")</f>
        <v>PRIBADI</v>
      </c>
    </row>
    <row r="223">
      <c r="A223" s="7">
        <f>IFERROR(__xludf.DUMMYFUNCTION("""COMPUTED_VALUE"""),46234.0)</f>
        <v>46234</v>
      </c>
      <c r="B223" s="2" t="str">
        <f>IFERROR(__xludf.DUMMYFUNCTION("""COMPUTED_VALUE"""),"BI-FAST DB")</f>
        <v>BI-FAST DB</v>
      </c>
      <c r="C223" s="2" t="str">
        <f>IFERROR(__xludf.DUMMYFUNCTION("""COMPUTED_VALUE"""),"BIF BIAYA TXN KE 2 RAHMAN YAFI KURNIA M-BCA")</f>
        <v>BIF BIAYA TXN KE 2 RAHMAN YAFI KURNIA M-BCA</v>
      </c>
      <c r="D223" s="2">
        <f>IFERROR(__xludf.DUMMYFUNCTION("""COMPUTED_VALUE"""),2500.0)</f>
        <v>2500</v>
      </c>
      <c r="E223" s="2"/>
      <c r="F223" s="2" t="str">
        <f>IFERROR(__xludf.DUMMYFUNCTION("""COMPUTED_VALUE"""),"DB")</f>
        <v>DB</v>
      </c>
      <c r="G223" s="2">
        <f>IFERROR(__xludf.DUMMYFUNCTION("""COMPUTED_VALUE"""),4049685.309999943)</f>
        <v>4049685.31</v>
      </c>
      <c r="H223" s="2">
        <f>IFERROR(__xludf.DUMMYFUNCTION("""COMPUTED_VALUE"""),4049685.31)</f>
        <v>4049685.31</v>
      </c>
      <c r="I223" s="2" t="str">
        <f>IFERROR(__xludf.DUMMYFUNCTION("""COMPUTED_VALUE"""),"PRIBADI")</f>
        <v>PRIBADI</v>
      </c>
    </row>
    <row r="224">
      <c r="A224" s="7">
        <f>IFERROR(__xludf.DUMMYFUNCTION("""COMPUTED_VALUE"""),46234.0)</f>
        <v>46234</v>
      </c>
      <c r="B224" s="2" t="str">
        <f>IFERROR(__xludf.DUMMYFUNCTION("""COMPUTED_VALUE"""),"TRSF E-BANKING DB")</f>
        <v>TRSF E-BANKING DB</v>
      </c>
      <c r="C224" s="2" t="str">
        <f>IFERROR(__xludf.DUMMYFUNCTION("""COMPUTED_VALUE"""),"3107/FTSCY/WS95031 5000000.00 EKO SETIYAWAN")</f>
        <v>3107/FTSCY/WS95031 5000000.00 EKO SETIYAWAN</v>
      </c>
      <c r="D224" s="2">
        <f>IFERROR(__xludf.DUMMYFUNCTION("""COMPUTED_VALUE"""),5000000.0)</f>
        <v>5000000</v>
      </c>
      <c r="E224" s="2"/>
      <c r="F224" s="2" t="str">
        <f>IFERROR(__xludf.DUMMYFUNCTION("""COMPUTED_VALUE"""),"DB")</f>
        <v>DB</v>
      </c>
      <c r="G224" s="2">
        <f>IFERROR(__xludf.DUMMYFUNCTION("""COMPUTED_VALUE"""),1.9404696030999994E8)</f>
        <v>194046960.3</v>
      </c>
      <c r="H224" s="2"/>
      <c r="I224" s="2" t="str">
        <f>IFERROR(__xludf.DUMMYFUNCTION("""COMPUTED_VALUE"""),"PRIBADI")</f>
        <v>PRIBADI</v>
      </c>
    </row>
    <row r="225">
      <c r="A225" s="7">
        <f>IFERROR(__xludf.DUMMYFUNCTION("""COMPUTED_VALUE"""),46234.0)</f>
        <v>46234</v>
      </c>
      <c r="B225" s="2" t="str">
        <f>IFERROR(__xludf.DUMMYFUNCTION("""COMPUTED_VALUE"""),"TRSF E-BANKING DB")</f>
        <v>TRSF E-BANKING DB</v>
      </c>
      <c r="C225" s="2" t="str">
        <f>IFERROR(__xludf.DUMMYFUNCTION("""COMPUTED_VALUE"""),"3107/FTSCY/WS95271 121200000.00 pelunasan LAJU SATWA WISESA")</f>
        <v>3107/FTSCY/WS95271 121200000.00 pelunasan LAJU SATWA WISESA</v>
      </c>
      <c r="D225" s="2">
        <f>IFERROR(__xludf.DUMMYFUNCTION("""COMPUTED_VALUE"""),1.212E8)</f>
        <v>121200000</v>
      </c>
      <c r="E225" s="2"/>
      <c r="F225" s="2" t="str">
        <f>IFERROR(__xludf.DUMMYFUNCTION("""COMPUTED_VALUE"""),"DB")</f>
        <v>DB</v>
      </c>
      <c r="G225" s="2">
        <f>IFERROR(__xludf.DUMMYFUNCTION("""COMPUTED_VALUE"""),7.284696030999994E7)</f>
        <v>72846960.31</v>
      </c>
      <c r="H225" s="2"/>
      <c r="I225" s="2" t="str">
        <f>IFERROR(__xludf.DUMMYFUNCTION("""COMPUTED_VALUE"""),"PRIBADI")</f>
        <v>PRIBADI</v>
      </c>
    </row>
    <row r="226">
      <c r="A226" s="7">
        <f>IFERROR(__xludf.DUMMYFUNCTION("""COMPUTED_VALUE"""),46234.0)</f>
        <v>46234</v>
      </c>
      <c r="B226" s="2" t="str">
        <f>IFERROR(__xludf.DUMMYFUNCTION("""COMPUTED_VALUE"""),"KARTU DEBIT")</f>
        <v>KARTU DEBIT</v>
      </c>
      <c r="C226" s="2" t="str">
        <f>IFERROR(__xludf.DUMMYFUNCTION("""COMPUTED_VALUE"""),"GOLDEN MARKET-HO 6019009510239343")</f>
        <v>GOLDEN MARKET-HO 6019009510239343</v>
      </c>
      <c r="D226" s="2">
        <f>IFERROR(__xludf.DUMMYFUNCTION("""COMPUTED_VALUE"""),256280.0)</f>
        <v>256280</v>
      </c>
      <c r="E226" s="2"/>
      <c r="F226" s="2"/>
      <c r="G226" s="2">
        <f>IFERROR(__xludf.DUMMYFUNCTION("""COMPUTED_VALUE"""),7.259068030999994E7)</f>
        <v>72590680.31</v>
      </c>
      <c r="H226" s="2"/>
      <c r="I226" s="2" t="str">
        <f>IFERROR(__xludf.DUMMYFUNCTION("""COMPUTED_VALUE"""),"PRIBADI")</f>
        <v>PRIBADI</v>
      </c>
    </row>
    <row r="227">
      <c r="A227" s="7">
        <f>IFERROR(__xludf.DUMMYFUNCTION("""COMPUTED_VALUE"""),46234.0)</f>
        <v>46234</v>
      </c>
      <c r="B227" s="2" t="str">
        <f>IFERROR(__xludf.DUMMYFUNCTION("""COMPUTED_VALUE"""),"KARTU DEBIT")</f>
        <v>KARTU DEBIT</v>
      </c>
      <c r="C227" s="2" t="str">
        <f>IFERROR(__xludf.DUMMYFUNCTION("""COMPUTED_VALUE"""),"GOLDEN MARKET-HO 6019009510239343")</f>
        <v>GOLDEN MARKET-HO 6019009510239343</v>
      </c>
      <c r="D227" s="2">
        <f>IFERROR(__xludf.DUMMYFUNCTION("""COMPUTED_VALUE"""),91610.0)</f>
        <v>91610</v>
      </c>
      <c r="E227" s="2"/>
      <c r="F227" s="2"/>
      <c r="G227" s="2">
        <f>IFERROR(__xludf.DUMMYFUNCTION("""COMPUTED_VALUE"""),7.249907030999994E7)</f>
        <v>72499070.31</v>
      </c>
      <c r="H227" s="2"/>
      <c r="I227" s="2" t="str">
        <f>IFERROR(__xludf.DUMMYFUNCTION("""COMPUTED_VALUE"""),"PRIBADI")</f>
        <v>PRIBADI</v>
      </c>
    </row>
    <row r="228">
      <c r="A228" s="7">
        <f>IFERROR(__xludf.DUMMYFUNCTION("""COMPUTED_VALUE"""),46234.0)</f>
        <v>46234</v>
      </c>
      <c r="B228" s="2" t="str">
        <f>IFERROR(__xludf.DUMMYFUNCTION("""COMPUTED_VALUE"""),"KARTU DEBIT")</f>
        <v>KARTU DEBIT</v>
      </c>
      <c r="C228" s="2" t="str">
        <f>IFERROR(__xludf.DUMMYFUNCTION("""COMPUTED_VALUE"""),"GOLDEN MARKET-HO 6019009510239343")</f>
        <v>GOLDEN MARKET-HO 6019009510239343</v>
      </c>
      <c r="D228" s="2">
        <f>IFERROR(__xludf.DUMMYFUNCTION("""COMPUTED_VALUE"""),649500.0)</f>
        <v>649500</v>
      </c>
      <c r="E228" s="2"/>
      <c r="F228" s="2"/>
      <c r="G228" s="2">
        <f>IFERROR(__xludf.DUMMYFUNCTION("""COMPUTED_VALUE"""),7.184957030999994E7)</f>
        <v>71849570.31</v>
      </c>
      <c r="H228" s="2"/>
      <c r="I228" s="2" t="str">
        <f>IFERROR(__xludf.DUMMYFUNCTION("""COMPUTED_VALUE"""),"PRIBADI")</f>
        <v>PRIBADI</v>
      </c>
    </row>
    <row r="229">
      <c r="A229" s="7">
        <f>IFERROR(__xludf.DUMMYFUNCTION("""COMPUTED_VALUE"""),46234.0)</f>
        <v>46234</v>
      </c>
      <c r="B229" s="2" t="str">
        <f>IFERROR(__xludf.DUMMYFUNCTION("""COMPUTED_VALUE"""),"PAJAK BUNGA")</f>
        <v>PAJAK BUNGA</v>
      </c>
      <c r="C229" s="2" t="str">
        <f>IFERROR(__xludf.DUMMYFUNCTION("""COMPUTED_VALUE""")," SALDO AWAL : MUTASI CR : MUTASI DB : SALDO AKHIR :")</f>
        <v> SALDO AWAL : MUTASI CR : MUTASI DB : SALDO AKHIR :</v>
      </c>
      <c r="D229" s="2">
        <f>IFERROR(__xludf.DUMMYFUNCTION("""COMPUTED_VALUE"""),1802.57)</f>
        <v>1802.57</v>
      </c>
      <c r="E229" s="2"/>
      <c r="F229" s="2"/>
      <c r="G229" s="2">
        <f>IFERROR(__xludf.DUMMYFUNCTION("""COMPUTED_VALUE"""),6.383923105699999E8)</f>
        <v>638392310.6</v>
      </c>
      <c r="H229" s="2">
        <f>IFERROR(__xludf.DUMMYFUNCTION("""COMPUTED_VALUE"""),6.3839231057E8)</f>
        <v>638392310.6</v>
      </c>
      <c r="I229" s="2" t="str">
        <f>IFERROR(__xludf.DUMMYFUNCTION("""COMPUTED_VALUE"""),"PRIBADI")</f>
        <v>PRIBADI</v>
      </c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IFERROR(__xludf.DUMMYFUNCTION("IFERROR(QUERY(JUL_2023!A:I, ""SELECT * WHERE D IS NOT NULL AND UPPER(I) = 'PRODUKSI'"", 1), ""Data PRODUKSI belum ditemukan"") "),46204.0)</f>
        <v>46204</v>
      </c>
      <c r="B1" s="2" t="str">
        <f>IFERROR(__xludf.DUMMYFUNCTION("""COMPUTED_VALUE"""),"BI-FAST DB")</f>
        <v>BI-FAST DB</v>
      </c>
      <c r="C1" s="2" t="str">
        <f>IFERROR(__xludf.DUMMYFUNCTION("""COMPUTED_VALUE"""),"BIF TRANSFER KE 9 AHMAD LUTHFI FADHI M-BCA")</f>
        <v>BIF TRANSFER KE 9 AHMAD LUTHFI FADHI M-BCA</v>
      </c>
      <c r="D1" s="2">
        <f>IFERROR(__xludf.DUMMYFUNCTION("""COMPUTED_VALUE"""),115000.0)</f>
        <v>115000</v>
      </c>
      <c r="E1" s="2"/>
      <c r="F1" s="2" t="str">
        <f>IFERROR(__xludf.DUMMYFUNCTION("""COMPUTED_VALUE"""),"DB")</f>
        <v>DB</v>
      </c>
      <c r="G1" s="2">
        <f>IFERROR(__xludf.DUMMYFUNCTION("""COMPUTED_VALUE"""),2.2079845031E8)</f>
        <v>220798450.3</v>
      </c>
      <c r="H1" s="2"/>
      <c r="I1" s="2" t="str">
        <f>IFERROR(__xludf.DUMMYFUNCTION("""COMPUTED_VALUE"""),"PRODUKSI")</f>
        <v>PRODUKSI</v>
      </c>
      <c r="J1" s="2">
        <f>SUM(D1:D1000)</f>
        <v>6099320700</v>
      </c>
    </row>
    <row r="2">
      <c r="A2" s="7">
        <f>IFERROR(__xludf.DUMMYFUNCTION("""COMPUTED_VALUE"""),46204.0)</f>
        <v>46204</v>
      </c>
      <c r="B2" s="2" t="str">
        <f>IFERROR(__xludf.DUMMYFUNCTION("""COMPUTED_VALUE"""),"BI-FAST DB")</f>
        <v>BI-FAST DB</v>
      </c>
      <c r="C2" s="2" t="str">
        <f>IFERROR(__xludf.DUMMYFUNCTION("""COMPUTED_VALUE"""),"BIF BIAYA TXN KE 9 AHMAD LUTHFI FADHI M-BCA")</f>
        <v>BIF BIAYA TXN KE 9 AHMAD LUTHFI FADHI M-BCA</v>
      </c>
      <c r="D2" s="2">
        <f>IFERROR(__xludf.DUMMYFUNCTION("""COMPUTED_VALUE"""),2500.0)</f>
        <v>2500</v>
      </c>
      <c r="E2" s="2"/>
      <c r="F2" s="2" t="str">
        <f>IFERROR(__xludf.DUMMYFUNCTION("""COMPUTED_VALUE"""),"DB")</f>
        <v>DB</v>
      </c>
      <c r="G2" s="2">
        <f>IFERROR(__xludf.DUMMYFUNCTION("""COMPUTED_VALUE"""),2.2079595031E8)</f>
        <v>220795950.3</v>
      </c>
      <c r="H2" s="2"/>
      <c r="I2" s="2" t="str">
        <f>IFERROR(__xludf.DUMMYFUNCTION("""COMPUTED_VALUE"""),"PRODUKSI")</f>
        <v>PRODUKSI</v>
      </c>
    </row>
    <row r="3">
      <c r="A3" s="7">
        <f>IFERROR(__xludf.DUMMYFUNCTION("""COMPUTED_VALUE"""),46204.0)</f>
        <v>46204</v>
      </c>
      <c r="B3" s="2" t="str">
        <f>IFERROR(__xludf.DUMMYFUNCTION("""COMPUTED_VALUE"""),"TRSF E-BANKING DB")</f>
        <v>TRSF E-BANKING DB</v>
      </c>
      <c r="C3" s="2" t="str">
        <f>IFERROR(__xludf.DUMMYFUNCTION("""COMPUTED_VALUE"""),"0107/FTSCY/WS95031 5035300.00 EKO SETIYAWAN")</f>
        <v>0107/FTSCY/WS95031 5035300.00 EKO SETIYAWAN</v>
      </c>
      <c r="D3" s="2">
        <f>IFERROR(__xludf.DUMMYFUNCTION("""COMPUTED_VALUE"""),5035300.0)</f>
        <v>5035300</v>
      </c>
      <c r="E3" s="2"/>
      <c r="F3" s="2" t="str">
        <f>IFERROR(__xludf.DUMMYFUNCTION("""COMPUTED_VALUE"""),"DB")</f>
        <v>DB</v>
      </c>
      <c r="G3" s="2">
        <f>IFERROR(__xludf.DUMMYFUNCTION("""COMPUTED_VALUE"""),1.3526065031E8)</f>
        <v>135260650.3</v>
      </c>
      <c r="H3" s="2"/>
      <c r="I3" s="2" t="str">
        <f>IFERROR(__xludf.DUMMYFUNCTION("""COMPUTED_VALUE"""),"PRODUKSI")</f>
        <v>PRODUKSI</v>
      </c>
    </row>
    <row r="4">
      <c r="A4" s="7">
        <f>IFERROR(__xludf.DUMMYFUNCTION("""COMPUTED_VALUE"""),46204.0)</f>
        <v>46204</v>
      </c>
      <c r="B4" s="2" t="str">
        <f>IFERROR(__xludf.DUMMYFUNCTION("""COMPUTED_VALUE"""),"TRSF E-BANKING DB")</f>
        <v>TRSF E-BANKING DB</v>
      </c>
      <c r="C4" s="2" t="str">
        <f>IFERROR(__xludf.DUMMYFUNCTION("""COMPUTED_VALUE"""),"0107/FTSCY/WS95271 19000.00 pelunasan LAJU SATWA WISESA")</f>
        <v>0107/FTSCY/WS95271 19000.00 pelunasan LAJU SATWA WISESA</v>
      </c>
      <c r="D4" s="2">
        <f>IFERROR(__xludf.DUMMYFUNCTION("""COMPUTED_VALUE"""),19000.0)</f>
        <v>19000</v>
      </c>
      <c r="E4" s="2"/>
      <c r="F4" s="2" t="str">
        <f>IFERROR(__xludf.DUMMYFUNCTION("""COMPUTED_VALUE"""),"DB")</f>
        <v>DB</v>
      </c>
      <c r="G4" s="2">
        <f>IFERROR(__xludf.DUMMYFUNCTION("""COMPUTED_VALUE"""),1.3524165031E8)</f>
        <v>135241650.3</v>
      </c>
      <c r="H4" s="2"/>
      <c r="I4" s="2" t="str">
        <f>IFERROR(__xludf.DUMMYFUNCTION("""COMPUTED_VALUE"""),"PRODUKSI")</f>
        <v>PRODUKSI</v>
      </c>
    </row>
    <row r="5">
      <c r="A5" s="7">
        <f>IFERROR(__xludf.DUMMYFUNCTION("""COMPUTED_VALUE"""),46204.0)</f>
        <v>46204</v>
      </c>
      <c r="B5" s="2" t="str">
        <f>IFERROR(__xludf.DUMMYFUNCTION("""COMPUTED_VALUE"""),"TRSF E-BANKING DB")</f>
        <v>TRSF E-BANKING DB</v>
      </c>
      <c r="C5" s="2" t="str">
        <f>IFERROR(__xludf.DUMMYFUNCTION("""COMPUTED_VALUE"""),"0107/FTSCY/WS95031 2700000.00 SANDI FAJAR PRASET")</f>
        <v>0107/FTSCY/WS95031 2700000.00 SANDI FAJAR PRASET</v>
      </c>
      <c r="D5" s="2">
        <f>IFERROR(__xludf.DUMMYFUNCTION("""COMPUTED_VALUE"""),2700000.0)</f>
        <v>2700000</v>
      </c>
      <c r="E5" s="2"/>
      <c r="F5" s="2" t="str">
        <f>IFERROR(__xludf.DUMMYFUNCTION("""COMPUTED_VALUE"""),"DB")</f>
        <v>DB</v>
      </c>
      <c r="G5" s="2">
        <f>IFERROR(__xludf.DUMMYFUNCTION("""COMPUTED_VALUE"""),1.3524165031E8)</f>
        <v>135241650.3</v>
      </c>
      <c r="H5" s="2"/>
      <c r="I5" s="2" t="str">
        <f>IFERROR(__xludf.DUMMYFUNCTION("""COMPUTED_VALUE"""),"PRODUKSI")</f>
        <v>PRODUKSI</v>
      </c>
    </row>
    <row r="6">
      <c r="A6" s="7">
        <f>IFERROR(__xludf.DUMMYFUNCTION("""COMPUTED_VALUE"""),46204.0)</f>
        <v>46204</v>
      </c>
      <c r="B6" s="2" t="str">
        <f>IFERROR(__xludf.DUMMYFUNCTION("""COMPUTED_VALUE"""),"TRSF E-BANKING DB")</f>
        <v>TRSF E-BANKING DB</v>
      </c>
      <c r="C6" s="2" t="str">
        <f>IFERROR(__xludf.DUMMYFUNCTION("""COMPUTED_VALUE"""),"0107/FTSCY/WS95031 1400000.00 SUPRIYADI")</f>
        <v>0107/FTSCY/WS95031 1400000.00 SUPRIYADI</v>
      </c>
      <c r="D6" s="2">
        <f>IFERROR(__xludf.DUMMYFUNCTION("""COMPUTED_VALUE"""),1400000.0)</f>
        <v>1400000</v>
      </c>
      <c r="E6" s="2"/>
      <c r="F6" s="2" t="str">
        <f>IFERROR(__xludf.DUMMYFUNCTION("""COMPUTED_VALUE"""),"DB")</f>
        <v>DB</v>
      </c>
      <c r="G6" s="2">
        <f>IFERROR(__xludf.DUMMYFUNCTION("""COMPUTED_VALUE"""),2.3384165031E8)</f>
        <v>233841650.3</v>
      </c>
      <c r="H6" s="2">
        <f>IFERROR(__xludf.DUMMYFUNCTION("""COMPUTED_VALUE"""),2.3384165031E8)</f>
        <v>233841650.3</v>
      </c>
      <c r="I6" s="2" t="str">
        <f>IFERROR(__xludf.DUMMYFUNCTION("""COMPUTED_VALUE"""),"PRODUKSI")</f>
        <v>PRODUKSI</v>
      </c>
    </row>
    <row r="7">
      <c r="A7" s="7">
        <f>IFERROR(__xludf.DUMMYFUNCTION("""COMPUTED_VALUE"""),46205.0)</f>
        <v>46205</v>
      </c>
      <c r="B7" s="2" t="str">
        <f>IFERROR(__xludf.DUMMYFUNCTION("""COMPUTED_VALUE"""),"TRSF E-BANKING DB")</f>
        <v>TRSF E-BANKING DB</v>
      </c>
      <c r="C7" s="2" t="str">
        <f>IFERROR(__xludf.DUMMYFUNCTION("""COMPUTED_VALUE"""),"0207/FTSCY/WS95031 3067070.00 MUJIANTO")</f>
        <v>0207/FTSCY/WS95031 3067070.00 MUJIANTO</v>
      </c>
      <c r="D7" s="2">
        <f>IFERROR(__xludf.DUMMYFUNCTION("""COMPUTED_VALUE"""),3067070.0)</f>
        <v>3067070</v>
      </c>
      <c r="E7" s="2"/>
      <c r="F7" s="2" t="str">
        <f>IFERROR(__xludf.DUMMYFUNCTION("""COMPUTED_VALUE"""),"DB")</f>
        <v>DB</v>
      </c>
      <c r="G7" s="2">
        <f>IFERROR(__xludf.DUMMYFUNCTION("""COMPUTED_VALUE"""),3.9529368031E8)</f>
        <v>395293680.3</v>
      </c>
      <c r="H7" s="2">
        <f>IFERROR(__xludf.DUMMYFUNCTION("""COMPUTED_VALUE"""),3.9529368031E8)</f>
        <v>395293680.3</v>
      </c>
      <c r="I7" s="2" t="str">
        <f>IFERROR(__xludf.DUMMYFUNCTION("""COMPUTED_VALUE"""),"PRODUKSI")</f>
        <v>PRODUKSI</v>
      </c>
    </row>
    <row r="8">
      <c r="A8" s="7">
        <f>IFERROR(__xludf.DUMMYFUNCTION("""COMPUTED_VALUE"""),46205.0)</f>
        <v>46205</v>
      </c>
      <c r="B8" s="2" t="str">
        <f>IFERROR(__xludf.DUMMYFUNCTION("""COMPUTED_VALUE"""),"TRSF E-BANKING DB")</f>
        <v>TRSF E-BANKING DB</v>
      </c>
      <c r="C8" s="2" t="str">
        <f>IFERROR(__xludf.DUMMYFUNCTION("""COMPUTED_VALUE"""),"0207/FTSCY/WS95031 1600600.00 HERMAWAN")</f>
        <v>0207/FTSCY/WS95031 1600600.00 HERMAWAN</v>
      </c>
      <c r="D8" s="2">
        <f>IFERROR(__xludf.DUMMYFUNCTION("""COMPUTED_VALUE"""),1600600.0)</f>
        <v>1600600</v>
      </c>
      <c r="E8" s="2"/>
      <c r="F8" s="2" t="str">
        <f>IFERROR(__xludf.DUMMYFUNCTION("""COMPUTED_VALUE"""),"DB")</f>
        <v>DB</v>
      </c>
      <c r="G8" s="2">
        <f>IFERROR(__xludf.DUMMYFUNCTION("""COMPUTED_VALUE"""),3.9369308031E8)</f>
        <v>393693080.3</v>
      </c>
      <c r="H8" s="2"/>
      <c r="I8" s="2" t="str">
        <f>IFERROR(__xludf.DUMMYFUNCTION("""COMPUTED_VALUE"""),"PRODUKSI")</f>
        <v>PRODUKSI</v>
      </c>
    </row>
    <row r="9">
      <c r="A9" s="7">
        <f>IFERROR(__xludf.DUMMYFUNCTION("""COMPUTED_VALUE"""),46205.0)</f>
        <v>46205</v>
      </c>
      <c r="B9" s="2" t="str">
        <f>IFERROR(__xludf.DUMMYFUNCTION("""COMPUTED_VALUE"""),"BI-FAST DB")</f>
        <v>BI-FAST DB</v>
      </c>
      <c r="C9" s="2" t="str">
        <f>IFERROR(__xludf.DUMMYFUNCTION("""COMPUTED_VALUE"""),"BIF TRANSFER KE 2 FAJAR ANDREANZAH M-BCA")</f>
        <v>BIF TRANSFER KE 2 FAJAR ANDREANZAH M-BCA</v>
      </c>
      <c r="D9" s="2">
        <f>IFERROR(__xludf.DUMMYFUNCTION("""COMPUTED_VALUE"""),1927340.0)</f>
        <v>1927340</v>
      </c>
      <c r="E9" s="2"/>
      <c r="F9" s="2" t="str">
        <f>IFERROR(__xludf.DUMMYFUNCTION("""COMPUTED_VALUE"""),"DB")</f>
        <v>DB</v>
      </c>
      <c r="G9" s="2">
        <f>IFERROR(__xludf.DUMMYFUNCTION("""COMPUTED_VALUE"""),3.9176574031E8)</f>
        <v>391765740.3</v>
      </c>
      <c r="H9" s="2"/>
      <c r="I9" s="2" t="str">
        <f>IFERROR(__xludf.DUMMYFUNCTION("""COMPUTED_VALUE"""),"PRODUKSI")</f>
        <v>PRODUKSI</v>
      </c>
    </row>
    <row r="10">
      <c r="A10" s="7">
        <f>IFERROR(__xludf.DUMMYFUNCTION("""COMPUTED_VALUE"""),46205.0)</f>
        <v>46205</v>
      </c>
      <c r="B10" s="2" t="str">
        <f>IFERROR(__xludf.DUMMYFUNCTION("""COMPUTED_VALUE"""),"BI-FAST DB")</f>
        <v>BI-FAST DB</v>
      </c>
      <c r="C10" s="2" t="str">
        <f>IFERROR(__xludf.DUMMYFUNCTION("""COMPUTED_VALUE"""),"BIF BIAYA TXN KE 2 FAJAR ANDREANZAH M-BCA")</f>
        <v>BIF BIAYA TXN KE 2 FAJAR ANDREANZAH M-BCA</v>
      </c>
      <c r="D10" s="2">
        <f>IFERROR(__xludf.DUMMYFUNCTION("""COMPUTED_VALUE"""),2500.0)</f>
        <v>2500</v>
      </c>
      <c r="E10" s="2"/>
      <c r="F10" s="2" t="str">
        <f>IFERROR(__xludf.DUMMYFUNCTION("""COMPUTED_VALUE"""),"DB")</f>
        <v>DB</v>
      </c>
      <c r="G10" s="2">
        <f>IFERROR(__xludf.DUMMYFUNCTION("""COMPUTED_VALUE"""),3.9176324031E8)</f>
        <v>391763240.3</v>
      </c>
      <c r="H10" s="2"/>
      <c r="I10" s="2" t="str">
        <f>IFERROR(__xludf.DUMMYFUNCTION("""COMPUTED_VALUE"""),"PRODUKSI")</f>
        <v>PRODUKSI</v>
      </c>
    </row>
    <row r="11">
      <c r="A11" s="7">
        <f>IFERROR(__xludf.DUMMYFUNCTION("""COMPUTED_VALUE"""),46205.0)</f>
        <v>46205</v>
      </c>
      <c r="B11" s="2" t="str">
        <f>IFERROR(__xludf.DUMMYFUNCTION("""COMPUTED_VALUE"""),"TRSF E-BANKING DB")</f>
        <v>TRSF E-BANKING DB</v>
      </c>
      <c r="C11" s="2" t="str">
        <f>IFERROR(__xludf.DUMMYFUNCTION("""COMPUTED_VALUE"""),"0207/FTSCY/WS95271 84295000.00 Wed Jul 01 2026 14:00:00 GMT+0700 (Western Indonesia Time) ANUGERAH KARTIKA A")</f>
        <v>0207/FTSCY/WS95271 84295000.00 Wed Jul 01 2026 14:00:00 GMT+0700 (Western Indonesia Time) ANUGERAH KARTIKA A</v>
      </c>
      <c r="D11" s="2">
        <f>IFERROR(__xludf.DUMMYFUNCTION("""COMPUTED_VALUE"""),8.4295E7)</f>
        <v>84295000</v>
      </c>
      <c r="E11" s="2"/>
      <c r="F11" s="2" t="str">
        <f>IFERROR(__xludf.DUMMYFUNCTION("""COMPUTED_VALUE"""),"DB")</f>
        <v>DB</v>
      </c>
      <c r="G11" s="2">
        <f>IFERROR(__xludf.DUMMYFUNCTION("""COMPUTED_VALUE"""),3.0746824031E8)</f>
        <v>307468240.3</v>
      </c>
      <c r="H11" s="2"/>
      <c r="I11" s="2" t="str">
        <f>IFERROR(__xludf.DUMMYFUNCTION("""COMPUTED_VALUE"""),"PRODUKSI")</f>
        <v>PRODUKSI</v>
      </c>
    </row>
    <row r="12">
      <c r="A12" s="7">
        <f>IFERROR(__xludf.DUMMYFUNCTION("""COMPUTED_VALUE"""),46205.0)</f>
        <v>46205</v>
      </c>
      <c r="B12" s="2" t="str">
        <f>IFERROR(__xludf.DUMMYFUNCTION("""COMPUTED_VALUE"""),"TRSF E-BANKING DB")</f>
        <v>TRSF E-BANKING DB</v>
      </c>
      <c r="C12" s="2" t="str">
        <f>IFERROR(__xludf.DUMMYFUNCTION("""COMPUTED_VALUE"""),"0207/FTSCY/WS95031 50000000.00 titip blitar TABASSAM AL HATTAK")</f>
        <v>0207/FTSCY/WS95031 50000000.00 titip blitar TABASSAM AL HATTAK</v>
      </c>
      <c r="D12" s="2">
        <f>IFERROR(__xludf.DUMMYFUNCTION("""COMPUTED_VALUE"""),5.0E7)</f>
        <v>50000000</v>
      </c>
      <c r="E12" s="2"/>
      <c r="F12" s="2" t="str">
        <f>IFERROR(__xludf.DUMMYFUNCTION("""COMPUTED_VALUE"""),"DB")</f>
        <v>DB</v>
      </c>
      <c r="G12" s="2">
        <f>IFERROR(__xludf.DUMMYFUNCTION("""COMPUTED_VALUE"""),1.6652264031E8)</f>
        <v>166522640.3</v>
      </c>
      <c r="H12" s="2"/>
      <c r="I12" s="2" t="str">
        <f>IFERROR(__xludf.DUMMYFUNCTION("""COMPUTED_VALUE"""),"PRODUKSI")</f>
        <v>PRODUKSI</v>
      </c>
    </row>
    <row r="13">
      <c r="A13" s="7">
        <f>IFERROR(__xludf.DUMMYFUNCTION("""COMPUTED_VALUE"""),46206.0)</f>
        <v>46206</v>
      </c>
      <c r="B13" s="2" t="str">
        <f>IFERROR(__xludf.DUMMYFUNCTION("""COMPUTED_VALUE"""),"TRSF E-BANKING DB")</f>
        <v>TRSF E-BANKING DB</v>
      </c>
      <c r="C13" s="2" t="str">
        <f>IFERROR(__xludf.DUMMYFUNCTION("""COMPUTED_VALUE"""),"0307/FTSCY/WS95031 10294500.00 pelunasan TABASSAM AL HATTAK")</f>
        <v>0307/FTSCY/WS95031 10294500.00 pelunasan TABASSAM AL HATTAK</v>
      </c>
      <c r="D13" s="2">
        <f>IFERROR(__xludf.DUMMYFUNCTION("""COMPUTED_VALUE"""),1.02945E7)</f>
        <v>10294500</v>
      </c>
      <c r="E13" s="2"/>
      <c r="F13" s="2" t="str">
        <f>IFERROR(__xludf.DUMMYFUNCTION("""COMPUTED_VALUE"""),"DB")</f>
        <v>DB</v>
      </c>
      <c r="G13" s="2">
        <f>IFERROR(__xludf.DUMMYFUNCTION("""COMPUTED_VALUE"""),2.0263560031E8)</f>
        <v>202635600.3</v>
      </c>
      <c r="H13" s="2">
        <f>IFERROR(__xludf.DUMMYFUNCTION("""COMPUTED_VALUE"""),2.0263560031E8)</f>
        <v>202635600.3</v>
      </c>
      <c r="I13" s="2" t="str">
        <f>IFERROR(__xludf.DUMMYFUNCTION("""COMPUTED_VALUE"""),"PRODUKSI")</f>
        <v>PRODUKSI</v>
      </c>
    </row>
    <row r="14">
      <c r="A14" s="7">
        <f>IFERROR(__xludf.DUMMYFUNCTION("""COMPUTED_VALUE"""),46206.0)</f>
        <v>46206</v>
      </c>
      <c r="B14" s="2" t="str">
        <f>IFERROR(__xludf.DUMMYFUNCTION("""COMPUTED_VALUE"""),"TRSF E-BANKING DB")</f>
        <v>TRSF E-BANKING DB</v>
      </c>
      <c r="C14" s="2" t="str">
        <f>IFERROR(__xludf.DUMMYFUNCTION("""COMPUTED_VALUE"""),"0307/FTSCY/WS95031 10000000.00 EKO SETIYAWAN")</f>
        <v>0307/FTSCY/WS95031 10000000.00 EKO SETIYAWAN</v>
      </c>
      <c r="D14" s="2">
        <f>IFERROR(__xludf.DUMMYFUNCTION("""COMPUTED_VALUE"""),1.0E7)</f>
        <v>10000000</v>
      </c>
      <c r="E14" s="2"/>
      <c r="F14" s="2" t="str">
        <f>IFERROR(__xludf.DUMMYFUNCTION("""COMPUTED_VALUE"""),"DB")</f>
        <v>DB</v>
      </c>
      <c r="G14" s="2">
        <f>IFERROR(__xludf.DUMMYFUNCTION("""COMPUTED_VALUE"""),8.2743998031E8)</f>
        <v>827439980.3</v>
      </c>
      <c r="H14" s="2"/>
      <c r="I14" s="2" t="str">
        <f>IFERROR(__xludf.DUMMYFUNCTION("""COMPUTED_VALUE"""),"PRODUKSI")</f>
        <v>PRODUKSI</v>
      </c>
    </row>
    <row r="15">
      <c r="A15" s="7">
        <f>IFERROR(__xludf.DUMMYFUNCTION("""COMPUTED_VALUE"""),46206.0)</f>
        <v>46206</v>
      </c>
      <c r="B15" s="2" t="str">
        <f>IFERROR(__xludf.DUMMYFUNCTION("""COMPUTED_VALUE"""),"TRSF E-BANKING DB")</f>
        <v>TRSF E-BANKING DB</v>
      </c>
      <c r="C15" s="2" t="str">
        <f>IFERROR(__xludf.DUMMYFUNCTION("""COMPUTED_VALUE"""),"0307/FTSCY/WS95011 318965420.00 Tue Jun 30 2026 14:00:00 GMT+0700 (Western Indonesia Time) BROILER MAKMUR TAN")</f>
        <v>0307/FTSCY/WS95011 318965420.00 Tue Jun 30 2026 14:00:00 GMT+0700 (Western Indonesia Time) BROILER MAKMUR TAN</v>
      </c>
      <c r="D15" s="2">
        <f>IFERROR(__xludf.DUMMYFUNCTION("""COMPUTED_VALUE"""),3.1896542E8)</f>
        <v>318965420</v>
      </c>
      <c r="E15" s="2"/>
      <c r="F15" s="2" t="str">
        <f>IFERROR(__xludf.DUMMYFUNCTION("""COMPUTED_VALUE"""),"DB")</f>
        <v>DB</v>
      </c>
      <c r="G15" s="2">
        <f>IFERROR(__xludf.DUMMYFUNCTION("""COMPUTED_VALUE"""),5.0847456030999994E8)</f>
        <v>508474560.3</v>
      </c>
      <c r="H15" s="2"/>
      <c r="I15" s="2" t="str">
        <f>IFERROR(__xludf.DUMMYFUNCTION("""COMPUTED_VALUE"""),"PRODUKSI")</f>
        <v>PRODUKSI</v>
      </c>
    </row>
    <row r="16">
      <c r="A16" s="7">
        <f>IFERROR(__xludf.DUMMYFUNCTION("""COMPUTED_VALUE"""),46206.0)</f>
        <v>46206</v>
      </c>
      <c r="B16" s="2" t="str">
        <f>IFERROR(__xludf.DUMMYFUNCTION("""COMPUTED_VALUE"""),"TRSF E-BANKING DB")</f>
        <v>TRSF E-BANKING DB</v>
      </c>
      <c r="C16" s="2" t="str">
        <f>IFERROR(__xludf.DUMMYFUNCTION("""COMPUTED_VALUE"""),"0307/FTFVA/WS95031 55569/PT PRIMA FAJ pasuruan 5.6 ton - 40190")</f>
        <v>0307/FTFVA/WS95031 55569/PT PRIMA FAJ pasuruan 5.6 ton - 40190</v>
      </c>
      <c r="D16" s="2">
        <f>IFERROR(__xludf.DUMMYFUNCTION("""COMPUTED_VALUE"""),1.2964E8)</f>
        <v>129640000</v>
      </c>
      <c r="E16" s="2"/>
      <c r="F16" s="2" t="str">
        <f>IFERROR(__xludf.DUMMYFUNCTION("""COMPUTED_VALUE"""),"DB")</f>
        <v>DB</v>
      </c>
      <c r="G16" s="2">
        <f>IFERROR(__xludf.DUMMYFUNCTION("""COMPUTED_VALUE"""),2.4883456030999994E8)</f>
        <v>248834560.3</v>
      </c>
      <c r="H16" s="2"/>
      <c r="I16" s="2" t="str">
        <f>IFERROR(__xludf.DUMMYFUNCTION("""COMPUTED_VALUE"""),"PRODUKSI")</f>
        <v>PRODUKSI</v>
      </c>
    </row>
    <row r="17">
      <c r="A17" s="7">
        <f>IFERROR(__xludf.DUMMYFUNCTION("""COMPUTED_VALUE"""),46207.0)</f>
        <v>46207</v>
      </c>
      <c r="B17" s="2" t="str">
        <f>IFERROR(__xludf.DUMMYFUNCTION("""COMPUTED_VALUE"""),"TRSF E-BANKING DB")</f>
        <v>TRSF E-BANKING DB</v>
      </c>
      <c r="C17" s="2" t="str">
        <f>IFERROR(__xludf.DUMMYFUNCTION("""COMPUTED_VALUE"""),"0407/FTSCY/WS95031 31807450.00 pelunasan TERNAK SEJATI TABA")</f>
        <v>0407/FTSCY/WS95031 31807450.00 pelunasan TERNAK SEJATI TABA</v>
      </c>
      <c r="D17" s="2">
        <f>IFERROR(__xludf.DUMMYFUNCTION("""COMPUTED_VALUE"""),3.180745E7)</f>
        <v>31807450</v>
      </c>
      <c r="E17" s="2"/>
      <c r="F17" s="2" t="str">
        <f>IFERROR(__xludf.DUMMYFUNCTION("""COMPUTED_VALUE"""),"DB")</f>
        <v>DB</v>
      </c>
      <c r="G17" s="2">
        <f>IFERROR(__xludf.DUMMYFUNCTION("""COMPUTED_VALUE"""),2348260.309999943)</f>
        <v>2348260.31</v>
      </c>
      <c r="H17" s="2"/>
      <c r="I17" s="2" t="str">
        <f>IFERROR(__xludf.DUMMYFUNCTION("""COMPUTED_VALUE"""),"PRODUKSI")</f>
        <v>PRODUKSI</v>
      </c>
    </row>
    <row r="18">
      <c r="A18" s="7">
        <f>IFERROR(__xludf.DUMMYFUNCTION("""COMPUTED_VALUE"""),46207.0)</f>
        <v>46207</v>
      </c>
      <c r="B18" s="2" t="str">
        <f>IFERROR(__xludf.DUMMYFUNCTION("""COMPUTED_VALUE"""),"TRSF E-BANKING DB")</f>
        <v>TRSF E-BANKING DB</v>
      </c>
      <c r="C18" s="2" t="str">
        <f>IFERROR(__xludf.DUMMYFUNCTION("""COMPUTED_VALUE"""),"0407/FTSCY/WS95031 1500000.00 blora HERMAWAN")</f>
        <v>0407/FTSCY/WS95031 1500000.00 blora HERMAWAN</v>
      </c>
      <c r="D18" s="2">
        <f>IFERROR(__xludf.DUMMYFUNCTION("""COMPUTED_VALUE"""),1500000.0)</f>
        <v>1500000</v>
      </c>
      <c r="E18" s="2"/>
      <c r="F18" s="2" t="str">
        <f>IFERROR(__xludf.DUMMYFUNCTION("""COMPUTED_VALUE"""),"DB")</f>
        <v>DB</v>
      </c>
      <c r="G18" s="2">
        <f>IFERROR(__xludf.DUMMYFUNCTION("""COMPUTED_VALUE"""),848260.3099999428)</f>
        <v>848260.31</v>
      </c>
      <c r="H18" s="2"/>
      <c r="I18" s="2" t="str">
        <f>IFERROR(__xludf.DUMMYFUNCTION("""COMPUTED_VALUE"""),"PRODUKSI")</f>
        <v>PRODUKSI</v>
      </c>
    </row>
    <row r="19">
      <c r="A19" s="7">
        <f>IFERROR(__xludf.DUMMYFUNCTION("""COMPUTED_VALUE"""),46207.0)</f>
        <v>46207</v>
      </c>
      <c r="B19" s="2" t="str">
        <f>IFERROR(__xludf.DUMMYFUNCTION("""COMPUTED_VALUE"""),"TRSF E-BANKING DB")</f>
        <v>TRSF E-BANKING DB</v>
      </c>
      <c r="C19" s="2" t="str">
        <f>IFERROR(__xludf.DUMMYFUNCTION("""COMPUTED_VALUE"""),"0407/FTSCY/WS95011 132843400.00 Mon Mar 02 2026 15:00:00 GMT+0700 (Western Indonesia Time) ANDALAN YASA MITRA")</f>
        <v>0407/FTSCY/WS95011 132843400.00 Mon Mar 02 2026 15:00:00 GMT+0700 (Western Indonesia Time) ANDALAN YASA MITRA</v>
      </c>
      <c r="D19" s="2">
        <f>IFERROR(__xludf.DUMMYFUNCTION("""COMPUTED_VALUE"""),1.328434E8)</f>
        <v>132843400</v>
      </c>
      <c r="E19" s="2"/>
      <c r="F19" s="2" t="str">
        <f>IFERROR(__xludf.DUMMYFUNCTION("""COMPUTED_VALUE"""),"DB")</f>
        <v>DB</v>
      </c>
      <c r="G19" s="2">
        <f>IFERROR(__xludf.DUMMYFUNCTION("""COMPUTED_VALUE"""),7.2417862031E8)</f>
        <v>724178620.3</v>
      </c>
      <c r="H19" s="2"/>
      <c r="I19" s="2" t="str">
        <f>IFERROR(__xludf.DUMMYFUNCTION("""COMPUTED_VALUE"""),"PRODUKSI")</f>
        <v>PRODUKSI</v>
      </c>
    </row>
    <row r="20">
      <c r="A20" s="7">
        <f>IFERROR(__xludf.DUMMYFUNCTION("""COMPUTED_VALUE"""),46207.0)</f>
        <v>46207</v>
      </c>
      <c r="B20" s="2" t="str">
        <f>IFERROR(__xludf.DUMMYFUNCTION("""COMPUTED_VALUE"""),"TRSF E-BANKING DB")</f>
        <v>TRSF E-BANKING DB</v>
      </c>
      <c r="C20" s="2" t="str">
        <f>IFERROR(__xludf.DUMMYFUNCTION("""COMPUTED_VALUE"""),"0407/FTSCY/WS95011 77000000.00 Fri Jul 03 2026 14:00:00 GMT+0700 (Western Indonesia Time) TUMBUH OPTIMAL PRI")</f>
        <v>0407/FTSCY/WS95011 77000000.00 Fri Jul 03 2026 14:00:00 GMT+0700 (Western Indonesia Time) TUMBUH OPTIMAL PRI</v>
      </c>
      <c r="D20" s="2">
        <f>IFERROR(__xludf.DUMMYFUNCTION("""COMPUTED_VALUE"""),7.7E7)</f>
        <v>77000000</v>
      </c>
      <c r="E20" s="2"/>
      <c r="F20" s="2" t="str">
        <f>IFERROR(__xludf.DUMMYFUNCTION("""COMPUTED_VALUE"""),"DB")</f>
        <v>DB</v>
      </c>
      <c r="G20" s="2">
        <f>IFERROR(__xludf.DUMMYFUNCTION("""COMPUTED_VALUE"""),6.4717862031E8)</f>
        <v>647178620.3</v>
      </c>
      <c r="H20" s="2"/>
      <c r="I20" s="2" t="str">
        <f>IFERROR(__xludf.DUMMYFUNCTION("""COMPUTED_VALUE"""),"PRODUKSI")</f>
        <v>PRODUKSI</v>
      </c>
    </row>
    <row r="21">
      <c r="A21" s="7">
        <f>IFERROR(__xludf.DUMMYFUNCTION("""COMPUTED_VALUE"""),46207.0)</f>
        <v>46207</v>
      </c>
      <c r="B21" s="2" t="str">
        <f>IFERROR(__xludf.DUMMYFUNCTION("""COMPUTED_VALUE"""),"TRSF E-BANKING DB")</f>
        <v>TRSF E-BANKING DB</v>
      </c>
      <c r="C21" s="2" t="str">
        <f>IFERROR(__xludf.DUMMYFUNCTION("""COMPUTED_VALUE"""),"0407/FTSCY/WS95011 226775370.00 Thu Jul 02 2026 14:00:00 GMT+0700 (Western Indonesia Time) BINTANG TAMA SANTO")</f>
        <v>0407/FTSCY/WS95011 226775370.00 Thu Jul 02 2026 14:00:00 GMT+0700 (Western Indonesia Time) BINTANG TAMA SANTO</v>
      </c>
      <c r="D21" s="2">
        <f>IFERROR(__xludf.DUMMYFUNCTION("""COMPUTED_VALUE"""),2.2677537E8)</f>
        <v>226775370</v>
      </c>
      <c r="E21" s="2"/>
      <c r="F21" s="2" t="str">
        <f>IFERROR(__xludf.DUMMYFUNCTION("""COMPUTED_VALUE"""),"DB")</f>
        <v>DB</v>
      </c>
      <c r="G21" s="2">
        <f>IFERROR(__xludf.DUMMYFUNCTION("""COMPUTED_VALUE"""),4.2040325030999994E8)</f>
        <v>420403250.3</v>
      </c>
      <c r="H21" s="2"/>
      <c r="I21" s="2" t="str">
        <f>IFERROR(__xludf.DUMMYFUNCTION("""COMPUTED_VALUE"""),"PRODUKSI")</f>
        <v>PRODUKSI</v>
      </c>
    </row>
    <row r="22">
      <c r="A22" s="7">
        <f>IFERROR(__xludf.DUMMYFUNCTION("""COMPUTED_VALUE"""),46207.0)</f>
        <v>46207</v>
      </c>
      <c r="B22" s="2" t="str">
        <f>IFERROR(__xludf.DUMMYFUNCTION("""COMPUTED_VALUE"""),"TRSF E-BANKING DB")</f>
        <v>TRSF E-BANKING DB</v>
      </c>
      <c r="C22" s="2" t="str">
        <f>IFERROR(__xludf.DUMMYFUNCTION("""COMPUTED_VALUE"""),"0407/FTSCY/WS95011 62046200.00 Thu Jul 02 2026 14:00:00 GMT+0700 (Western Indonesia Time) BROILER MAKMUR TAN")</f>
        <v>0407/FTSCY/WS95011 62046200.00 Thu Jul 02 2026 14:00:00 GMT+0700 (Western Indonesia Time) BROILER MAKMUR TAN</v>
      </c>
      <c r="D22" s="2">
        <f>IFERROR(__xludf.DUMMYFUNCTION("""COMPUTED_VALUE"""),6.20462E7)</f>
        <v>62046200</v>
      </c>
      <c r="E22" s="2"/>
      <c r="F22" s="2" t="str">
        <f>IFERROR(__xludf.DUMMYFUNCTION("""COMPUTED_VALUE"""),"DB")</f>
        <v>DB</v>
      </c>
      <c r="G22" s="2">
        <f>IFERROR(__xludf.DUMMYFUNCTION("""COMPUTED_VALUE"""),3.5835705030999994E8)</f>
        <v>358357050.3</v>
      </c>
      <c r="H22" s="2"/>
      <c r="I22" s="2" t="str">
        <f>IFERROR(__xludf.DUMMYFUNCTION("""COMPUTED_VALUE"""),"PRODUKSI")</f>
        <v>PRODUKSI</v>
      </c>
    </row>
    <row r="23">
      <c r="A23" s="7">
        <f>IFERROR(__xludf.DUMMYFUNCTION("""COMPUTED_VALUE"""),46207.0)</f>
        <v>46207</v>
      </c>
      <c r="B23" s="2" t="str">
        <f>IFERROR(__xludf.DUMMYFUNCTION("""COMPUTED_VALUE"""),"TRSF E-BANKING DB")</f>
        <v>TRSF E-BANKING DB</v>
      </c>
      <c r="C23" s="2" t="str">
        <f>IFERROR(__xludf.DUMMYFUNCTION("""COMPUTED_VALUE"""),"0407/FTSCY/WS95271 214253600.00 02/07 krg 100jt ANDALAN YASA MITRA")</f>
        <v>0407/FTSCY/WS95271 214253600.00 02/07 krg 100jt ANDALAN YASA MITRA</v>
      </c>
      <c r="D23" s="2">
        <f>IFERROR(__xludf.DUMMYFUNCTION("""COMPUTED_VALUE"""),2.142536E8)</f>
        <v>214253600</v>
      </c>
      <c r="E23" s="2"/>
      <c r="F23" s="2" t="str">
        <f>IFERROR(__xludf.DUMMYFUNCTION("""COMPUTED_VALUE"""),"DB")</f>
        <v>DB</v>
      </c>
      <c r="G23" s="2">
        <f>IFERROR(__xludf.DUMMYFUNCTION("""COMPUTED_VALUE"""),5.910345030999994E7)</f>
        <v>59103450.31</v>
      </c>
      <c r="H23" s="2"/>
      <c r="I23" s="2" t="str">
        <f>IFERROR(__xludf.DUMMYFUNCTION("""COMPUTED_VALUE"""),"PRODUKSI")</f>
        <v>PRODUKSI</v>
      </c>
    </row>
    <row r="24">
      <c r="A24" s="7">
        <f>IFERROR(__xludf.DUMMYFUNCTION("""COMPUTED_VALUE"""),46207.0)</f>
        <v>46207</v>
      </c>
      <c r="B24" s="2" t="str">
        <f>IFERROR(__xludf.DUMMYFUNCTION("""COMPUTED_VALUE"""),"TRSF E-BANKING DB")</f>
        <v>TRSF E-BANKING DB</v>
      </c>
      <c r="C24" s="2" t="str">
        <f>IFERROR(__xludf.DUMMYFUNCTION("""COMPUTED_VALUE"""),"0407/FTSCY/WS95031 1750000.00 ANDE DOSO ANGGORO")</f>
        <v>0407/FTSCY/WS95031 1750000.00 ANDE DOSO ANGGORO</v>
      </c>
      <c r="D24" s="2">
        <f>IFERROR(__xludf.DUMMYFUNCTION("""COMPUTED_VALUE"""),1750000.0)</f>
        <v>1750000</v>
      </c>
      <c r="E24" s="2"/>
      <c r="F24" s="2" t="str">
        <f>IFERROR(__xludf.DUMMYFUNCTION("""COMPUTED_VALUE"""),"DB")</f>
        <v>DB</v>
      </c>
      <c r="G24" s="2">
        <f>IFERROR(__xludf.DUMMYFUNCTION("""COMPUTED_VALUE"""),3.735345030999994E7)</f>
        <v>37353450.31</v>
      </c>
      <c r="H24" s="2">
        <f>IFERROR(__xludf.DUMMYFUNCTION("""COMPUTED_VALUE"""),3.735345031E7)</f>
        <v>37353450.31</v>
      </c>
      <c r="I24" s="2" t="str">
        <f>IFERROR(__xludf.DUMMYFUNCTION("""COMPUTED_VALUE"""),"PRODUKSI")</f>
        <v>PRODUKSI</v>
      </c>
    </row>
    <row r="25">
      <c r="A25" s="7">
        <f>IFERROR(__xludf.DUMMYFUNCTION("""COMPUTED_VALUE"""),46207.0)</f>
        <v>46207</v>
      </c>
      <c r="B25" s="2" t="str">
        <f>IFERROR(__xludf.DUMMYFUNCTION("""COMPUTED_VALUE"""),"BI-FAST DB")</f>
        <v>BI-FAST DB</v>
      </c>
      <c r="C25" s="2" t="str">
        <f>IFERROR(__xludf.DUMMYFUNCTION("""COMPUTED_VALUE"""),"BIF TRANSFER KE 2 FAJAR ANDREANZAH M-BCA")</f>
        <v>BIF TRANSFER KE 2 FAJAR ANDREANZAH M-BCA</v>
      </c>
      <c r="D25" s="2">
        <f>IFERROR(__xludf.DUMMYFUNCTION("""COMPUTED_VALUE"""),1000000.0)</f>
        <v>1000000</v>
      </c>
      <c r="E25" s="2"/>
      <c r="F25" s="2" t="str">
        <f>IFERROR(__xludf.DUMMYFUNCTION("""COMPUTED_VALUE"""),"DB")</f>
        <v>DB</v>
      </c>
      <c r="G25" s="2">
        <f>IFERROR(__xludf.DUMMYFUNCTION("""COMPUTED_VALUE"""),3.635345030999994E7)</f>
        <v>36353450.31</v>
      </c>
      <c r="H25" s="2"/>
      <c r="I25" s="2" t="str">
        <f>IFERROR(__xludf.DUMMYFUNCTION("""COMPUTED_VALUE"""),"PRODUKSI")</f>
        <v>PRODUKSI</v>
      </c>
    </row>
    <row r="26">
      <c r="A26" s="7">
        <f>IFERROR(__xludf.DUMMYFUNCTION("""COMPUTED_VALUE"""),46207.0)</f>
        <v>46207</v>
      </c>
      <c r="B26" s="2" t="str">
        <f>IFERROR(__xludf.DUMMYFUNCTION("""COMPUTED_VALUE"""),"BI-FAST DB")</f>
        <v>BI-FAST DB</v>
      </c>
      <c r="C26" s="2" t="str">
        <f>IFERROR(__xludf.DUMMYFUNCTION("""COMPUTED_VALUE"""),"BIF BIAYA TXN KE 2 FAJAR ANDREANZAH M-BCA")</f>
        <v>BIF BIAYA TXN KE 2 FAJAR ANDREANZAH M-BCA</v>
      </c>
      <c r="D26" s="2">
        <f>IFERROR(__xludf.DUMMYFUNCTION("""COMPUTED_VALUE"""),2500.0)</f>
        <v>2500</v>
      </c>
      <c r="E26" s="2"/>
      <c r="F26" s="2" t="str">
        <f>IFERROR(__xludf.DUMMYFUNCTION("""COMPUTED_VALUE"""),"DB")</f>
        <v>DB</v>
      </c>
      <c r="G26" s="2">
        <f>IFERROR(__xludf.DUMMYFUNCTION("""COMPUTED_VALUE"""),3.635095030999994E7)</f>
        <v>36350950.31</v>
      </c>
      <c r="H26" s="2"/>
      <c r="I26" s="2" t="str">
        <f>IFERROR(__xludf.DUMMYFUNCTION("""COMPUTED_VALUE"""),"PRODUKSI")</f>
        <v>PRODUKSI</v>
      </c>
    </row>
    <row r="27">
      <c r="A27" s="7">
        <f>IFERROR(__xludf.DUMMYFUNCTION("""COMPUTED_VALUE"""),46207.0)</f>
        <v>46207</v>
      </c>
      <c r="B27" s="2" t="str">
        <f>IFERROR(__xludf.DUMMYFUNCTION("""COMPUTED_VALUE"""),"TARIKAN ATM 04/07")</f>
        <v>TARIKAN ATM 04/07</v>
      </c>
      <c r="C27" s="2" t="str">
        <f>IFERROR(__xludf.DUMMYFUNCTION("""COMPUTED_VALUE"""),"TARIKAN ATM 04/07")</f>
        <v>TARIKAN ATM 04/07</v>
      </c>
      <c r="D27" s="2">
        <f>IFERROR(__xludf.DUMMYFUNCTION("""COMPUTED_VALUE"""),500000.0)</f>
        <v>500000</v>
      </c>
      <c r="E27" s="2"/>
      <c r="F27" s="2"/>
      <c r="G27" s="2">
        <f>IFERROR(__xludf.DUMMYFUNCTION("""COMPUTED_VALUE"""),3.385095030999994E7)</f>
        <v>33850950.31</v>
      </c>
      <c r="H27" s="2"/>
      <c r="I27" s="2" t="str">
        <f>IFERROR(__xludf.DUMMYFUNCTION("""COMPUTED_VALUE"""),"PRODUKSI")</f>
        <v>PRODUKSI</v>
      </c>
    </row>
    <row r="28">
      <c r="A28" s="7">
        <f>IFERROR(__xludf.DUMMYFUNCTION("""COMPUTED_VALUE"""),46207.0)</f>
        <v>46207</v>
      </c>
      <c r="B28" s="2" t="str">
        <f>IFERROR(__xludf.DUMMYFUNCTION("""COMPUTED_VALUE"""),"TRSF E-BANKING DB")</f>
        <v>TRSF E-BANKING DB</v>
      </c>
      <c r="C28" s="2" t="str">
        <f>IFERROR(__xludf.DUMMYFUNCTION("""COMPUTED_VALUE"""),"0407/FTSCY/WS95031 5069000.00 EKO SETIYAWAN")</f>
        <v>0407/FTSCY/WS95031 5069000.00 EKO SETIYAWAN</v>
      </c>
      <c r="D28" s="2">
        <f>IFERROR(__xludf.DUMMYFUNCTION("""COMPUTED_VALUE"""),5069000.0)</f>
        <v>5069000</v>
      </c>
      <c r="E28" s="2"/>
      <c r="F28" s="2" t="str">
        <f>IFERROR(__xludf.DUMMYFUNCTION("""COMPUTED_VALUE"""),"DB")</f>
        <v>DB</v>
      </c>
      <c r="G28" s="2">
        <f>IFERROR(__xludf.DUMMYFUNCTION("""COMPUTED_VALUE"""),1.2878195030999994E8)</f>
        <v>128781950.3</v>
      </c>
      <c r="H28" s="2"/>
      <c r="I28" s="2" t="str">
        <f>IFERROR(__xludf.DUMMYFUNCTION("""COMPUTED_VALUE"""),"PRODUKSI")</f>
        <v>PRODUKSI</v>
      </c>
    </row>
    <row r="29">
      <c r="A29" s="7">
        <f>IFERROR(__xludf.DUMMYFUNCTION("""COMPUTED_VALUE"""),46207.0)</f>
        <v>46207</v>
      </c>
      <c r="B29" s="2" t="str">
        <f>IFERROR(__xludf.DUMMYFUNCTION("""COMPUTED_VALUE"""),"TRSF E-BANKING DB")</f>
        <v>TRSF E-BANKING DB</v>
      </c>
      <c r="C29" s="2" t="str">
        <f>IFERROR(__xludf.DUMMYFUNCTION("""COMPUTED_VALUE"""),"0407/FTSCY/WS95031 500000.00 DIANA NOVITA")</f>
        <v>0407/FTSCY/WS95031 500000.00 DIANA NOVITA</v>
      </c>
      <c r="D29" s="2">
        <f>IFERROR(__xludf.DUMMYFUNCTION("""COMPUTED_VALUE"""),500000.0)</f>
        <v>500000</v>
      </c>
      <c r="E29" s="2"/>
      <c r="F29" s="2" t="str">
        <f>IFERROR(__xludf.DUMMYFUNCTION("""COMPUTED_VALUE"""),"DB")</f>
        <v>DB</v>
      </c>
      <c r="G29" s="2">
        <f>IFERROR(__xludf.DUMMYFUNCTION("""COMPUTED_VALUE"""),1.2828195030999994E8)</f>
        <v>128281950.3</v>
      </c>
      <c r="H29" s="2"/>
      <c r="I29" s="2" t="str">
        <f>IFERROR(__xludf.DUMMYFUNCTION("""COMPUTED_VALUE"""),"PRODUKSI")</f>
        <v>PRODUKSI</v>
      </c>
    </row>
    <row r="30">
      <c r="A30" s="7">
        <f>IFERROR(__xludf.DUMMYFUNCTION("""COMPUTED_VALUE"""),46217.0)</f>
        <v>46217</v>
      </c>
      <c r="B30" s="2" t="str">
        <f>IFERROR(__xludf.DUMMYFUNCTION("""COMPUTED_VALUE"""),"TRSF E-BANKING DB")</f>
        <v>TRSF E-BANKING DB</v>
      </c>
      <c r="C30" s="2" t="str">
        <f>IFERROR(__xludf.DUMMYFUNCTION("""COMPUTED_VALUE"""),"1407/FTSCY/WS95271 15000000.00 EKO SETIYAWAN")</f>
        <v>1407/FTSCY/WS95271 15000000.00 EKO SETIYAWAN</v>
      </c>
      <c r="D30" s="2">
        <f>IFERROR(__xludf.DUMMYFUNCTION("""COMPUTED_VALUE"""),1.5E7)</f>
        <v>15000000</v>
      </c>
      <c r="E30" s="2"/>
      <c r="F30" s="2" t="str">
        <f>IFERROR(__xludf.DUMMYFUNCTION("""COMPUTED_VALUE"""),"DB")</f>
        <v>DB</v>
      </c>
      <c r="G30" s="2">
        <f>IFERROR(__xludf.DUMMYFUNCTION("""COMPUTED_VALUE"""),1.20060093231E9)</f>
        <v>1200600932</v>
      </c>
      <c r="H30" s="2"/>
      <c r="I30" s="2" t="str">
        <f>IFERROR(__xludf.DUMMYFUNCTION("""COMPUTED_VALUE"""),"PRODUKSI")</f>
        <v>PRODUKSI</v>
      </c>
    </row>
    <row r="31">
      <c r="A31" s="7">
        <f>IFERROR(__xludf.DUMMYFUNCTION("""COMPUTED_VALUE"""),46217.0)</f>
        <v>46217</v>
      </c>
      <c r="B31" s="2" t="str">
        <f>IFERROR(__xludf.DUMMYFUNCTION("""COMPUTED_VALUE"""),"TRSF E-BANKING DB")</f>
        <v>TRSF E-BANKING DB</v>
      </c>
      <c r="C31" s="2" t="str">
        <f>IFERROR(__xludf.DUMMYFUNCTION("""COMPUTED_VALUE"""),"1407/FTSCY/WS95271 67429050.00 Sun Jul 12 2026 14:00:00 GMT+0700 (Western Indonesia Time) BINTANG TAMA SANTO")</f>
        <v>1407/FTSCY/WS95271 67429050.00 Sun Jul 12 2026 14:00:00 GMT+0700 (Western Indonesia Time) BINTANG TAMA SANTO</v>
      </c>
      <c r="D31" s="2">
        <f>IFERROR(__xludf.DUMMYFUNCTION("""COMPUTED_VALUE"""),6.742905E7)</f>
        <v>67429050</v>
      </c>
      <c r="E31" s="2"/>
      <c r="F31" s="2" t="str">
        <f>IFERROR(__xludf.DUMMYFUNCTION("""COMPUTED_VALUE"""),"DB")</f>
        <v>DB</v>
      </c>
      <c r="G31" s="2">
        <f>IFERROR(__xludf.DUMMYFUNCTION("""COMPUTED_VALUE"""),1.13317188231E9)</f>
        <v>1133171882</v>
      </c>
      <c r="H31" s="2"/>
      <c r="I31" s="2" t="str">
        <f>IFERROR(__xludf.DUMMYFUNCTION("""COMPUTED_VALUE"""),"PRODUKSI")</f>
        <v>PRODUKSI</v>
      </c>
    </row>
    <row r="32">
      <c r="A32" s="7">
        <f>IFERROR(__xludf.DUMMYFUNCTION("""COMPUTED_VALUE"""),46217.0)</f>
        <v>46217</v>
      </c>
      <c r="B32" s="2" t="str">
        <f>IFERROR(__xludf.DUMMYFUNCTION("""COMPUTED_VALUE"""),"TRSF E-BANKING DB")</f>
        <v>TRSF E-BANKING DB</v>
      </c>
      <c r="C32" s="2" t="str">
        <f>IFERROR(__xludf.DUMMYFUNCTION("""COMPUTED_VALUE"""),"1407/FTSCY/WS95271 2484260.00 HERMAWAN")</f>
        <v>1407/FTSCY/WS95271 2484260.00 HERMAWAN</v>
      </c>
      <c r="D32" s="2">
        <f>IFERROR(__xludf.DUMMYFUNCTION("""COMPUTED_VALUE"""),2484260.0)</f>
        <v>2484260</v>
      </c>
      <c r="E32" s="2"/>
      <c r="F32" s="2" t="str">
        <f>IFERROR(__xludf.DUMMYFUNCTION("""COMPUTED_VALUE"""),"DB")</f>
        <v>DB</v>
      </c>
      <c r="G32" s="2">
        <f>IFERROR(__xludf.DUMMYFUNCTION("""COMPUTED_VALUE"""),1.13068762231E9)</f>
        <v>1130687622</v>
      </c>
      <c r="H32" s="2"/>
      <c r="I32" s="2" t="str">
        <f>IFERROR(__xludf.DUMMYFUNCTION("""COMPUTED_VALUE"""),"PRODUKSI")</f>
        <v>PRODUKSI</v>
      </c>
    </row>
    <row r="33">
      <c r="A33" s="7">
        <f>IFERROR(__xludf.DUMMYFUNCTION("""COMPUTED_VALUE"""),46217.0)</f>
        <v>46217</v>
      </c>
      <c r="B33" s="2" t="str">
        <f>IFERROR(__xludf.DUMMYFUNCTION("""COMPUTED_VALUE"""),"TRSF E-BANKING DB")</f>
        <v>TRSF E-BANKING DB</v>
      </c>
      <c r="C33" s="2" t="str">
        <f>IFERROR(__xludf.DUMMYFUNCTION("""COMPUTED_VALUE"""),"1407/FTSCY/WS95271 4073700.00 MUJIANTO")</f>
        <v>1407/FTSCY/WS95271 4073700.00 MUJIANTO</v>
      </c>
      <c r="D33" s="2">
        <f>IFERROR(__xludf.DUMMYFUNCTION("""COMPUTED_VALUE"""),4073700.0)</f>
        <v>4073700</v>
      </c>
      <c r="E33" s="2"/>
      <c r="F33" s="2" t="str">
        <f>IFERROR(__xludf.DUMMYFUNCTION("""COMPUTED_VALUE"""),"DB")</f>
        <v>DB</v>
      </c>
      <c r="G33" s="2">
        <f>IFERROR(__xludf.DUMMYFUNCTION("""COMPUTED_VALUE"""),1.12661392231E9)</f>
        <v>1126613922</v>
      </c>
      <c r="H33" s="2"/>
      <c r="I33" s="2" t="str">
        <f>IFERROR(__xludf.DUMMYFUNCTION("""COMPUTED_VALUE"""),"PRODUKSI")</f>
        <v>PRODUKSI</v>
      </c>
    </row>
    <row r="34">
      <c r="A34" s="7">
        <f>IFERROR(__xludf.DUMMYFUNCTION("""COMPUTED_VALUE"""),46217.0)</f>
        <v>46217</v>
      </c>
      <c r="B34" s="2" t="str">
        <f>IFERROR(__xludf.DUMMYFUNCTION("""COMPUTED_VALUE"""),"TRSF E-BANKING DB")</f>
        <v>TRSF E-BANKING DB</v>
      </c>
      <c r="C34" s="2" t="str">
        <f>IFERROR(__xludf.DUMMYFUNCTION("""COMPUTED_VALUE"""),"1407/FTSCY/WS95031 2200000.00 BELA PRAMUDITA")</f>
        <v>1407/FTSCY/WS95031 2200000.00 BELA PRAMUDITA</v>
      </c>
      <c r="D34" s="2">
        <f>IFERROR(__xludf.DUMMYFUNCTION("""COMPUTED_VALUE"""),2200000.0)</f>
        <v>2200000</v>
      </c>
      <c r="E34" s="2"/>
      <c r="F34" s="2" t="str">
        <f>IFERROR(__xludf.DUMMYFUNCTION("""COMPUTED_VALUE"""),"DB")</f>
        <v>DB</v>
      </c>
      <c r="G34" s="2">
        <f>IFERROR(__xludf.DUMMYFUNCTION("""COMPUTED_VALUE"""),1.67427633231E9)</f>
        <v>1674276332</v>
      </c>
      <c r="H34" s="2"/>
      <c r="I34" s="2" t="str">
        <f>IFERROR(__xludf.DUMMYFUNCTION("""COMPUTED_VALUE"""),"PRODUKSI")</f>
        <v>PRODUKSI</v>
      </c>
    </row>
    <row r="35">
      <c r="A35" s="7">
        <f>IFERROR(__xludf.DUMMYFUNCTION("""COMPUTED_VALUE"""),46218.0)</f>
        <v>46218</v>
      </c>
      <c r="B35" s="2" t="str">
        <f>IFERROR(__xludf.DUMMYFUNCTION("""COMPUTED_VALUE"""),"TRSF E-BANKING DB TANGGAL :14/07")</f>
        <v>TRSF E-BANKING DB TANGGAL :14/07</v>
      </c>
      <c r="C35" s="2" t="str">
        <f>IFERROR(__xludf.DUMMYFUNCTION("""COMPUTED_VALUE"""),"1407/FTFVA/WS95031 pelunasan - 40190")</f>
        <v>1407/FTFVA/WS95031 pelunasan - 40190</v>
      </c>
      <c r="D35" s="2">
        <f>IFERROR(__xludf.DUMMYFUNCTION("""COMPUTED_VALUE"""),5080800.0)</f>
        <v>5080800</v>
      </c>
      <c r="E35" s="2"/>
      <c r="F35" s="2" t="str">
        <f>IFERROR(__xludf.DUMMYFUNCTION("""COMPUTED_VALUE"""),"DB")</f>
        <v>DB</v>
      </c>
      <c r="G35" s="2">
        <f>IFERROR(__xludf.DUMMYFUNCTION("""COMPUTED_VALUE"""),1.66745903231E9)</f>
        <v>1667459032</v>
      </c>
      <c r="H35" s="2"/>
      <c r="I35" s="2" t="str">
        <f>IFERROR(__xludf.DUMMYFUNCTION("""COMPUTED_VALUE"""),"PRODUKSI")</f>
        <v>PRODUKSI</v>
      </c>
    </row>
    <row r="36">
      <c r="A36" s="7">
        <f>IFERROR(__xludf.DUMMYFUNCTION("""COMPUTED_VALUE"""),46218.0)</f>
        <v>46218</v>
      </c>
      <c r="B36" s="2" t="str">
        <f>IFERROR(__xludf.DUMMYFUNCTION("""COMPUTED_VALUE"""),"TRSF E-BANKING DB")</f>
        <v>TRSF E-BANKING DB</v>
      </c>
      <c r="C36" s="2" t="str">
        <f>IFERROR(__xludf.DUMMYFUNCTION("""COMPUTED_VALUE"""),"1507/FTSCY/WS95011 300000000.00 titip TABASSAM AL HATTAK")</f>
        <v>1507/FTSCY/WS95011 300000000.00 titip TABASSAM AL HATTAK</v>
      </c>
      <c r="D36" s="2">
        <f>IFERROR(__xludf.DUMMYFUNCTION("""COMPUTED_VALUE"""),3.0E8)</f>
        <v>300000000</v>
      </c>
      <c r="E36" s="2"/>
      <c r="F36" s="2" t="str">
        <f>IFERROR(__xludf.DUMMYFUNCTION("""COMPUTED_VALUE"""),"DB")</f>
        <v>DB</v>
      </c>
      <c r="G36" s="2">
        <f>IFERROR(__xludf.DUMMYFUNCTION("""COMPUTED_VALUE"""),1.36745903231E9)</f>
        <v>1367459032</v>
      </c>
      <c r="H36" s="2"/>
      <c r="I36" s="2" t="str">
        <f>IFERROR(__xludf.DUMMYFUNCTION("""COMPUTED_VALUE"""),"PRODUKSI")</f>
        <v>PRODUKSI</v>
      </c>
    </row>
    <row r="37">
      <c r="A37" s="7">
        <f>IFERROR(__xludf.DUMMYFUNCTION("""COMPUTED_VALUE"""),46218.0)</f>
        <v>46218</v>
      </c>
      <c r="B37" s="2" t="str">
        <f>IFERROR(__xludf.DUMMYFUNCTION("""COMPUTED_VALUE"""),"TRSF E-BANKING DB")</f>
        <v>TRSF E-BANKING DB</v>
      </c>
      <c r="C37" s="2" t="str">
        <f>IFERROR(__xludf.DUMMYFUNCTION("""COMPUTED_VALUE"""),"1507/FTSCY/WS95011 159456150.00 Mon Jul 13 2026 14:00:00 GMT+0700 (Western Indonesia Time) PT BERLIAN INDOMIT")</f>
        <v>1507/FTSCY/WS95011 159456150.00 Mon Jul 13 2026 14:00:00 GMT+0700 (Western Indonesia Time) PT BERLIAN INDOMIT</v>
      </c>
      <c r="D37" s="2">
        <f>IFERROR(__xludf.DUMMYFUNCTION("""COMPUTED_VALUE"""),1.5945615E8)</f>
        <v>159456150</v>
      </c>
      <c r="E37" s="2"/>
      <c r="F37" s="2" t="str">
        <f>IFERROR(__xludf.DUMMYFUNCTION("""COMPUTED_VALUE"""),"DB")</f>
        <v>DB</v>
      </c>
      <c r="G37" s="2">
        <f>IFERROR(__xludf.DUMMYFUNCTION("""COMPUTED_VALUE"""),1.20800288231E9)</f>
        <v>1208002882</v>
      </c>
      <c r="H37" s="2">
        <f>IFERROR(__xludf.DUMMYFUNCTION("""COMPUTED_VALUE"""),1.20800288231E9)</f>
        <v>1208002882</v>
      </c>
      <c r="I37" s="2" t="str">
        <f>IFERROR(__xludf.DUMMYFUNCTION("""COMPUTED_VALUE"""),"PRODUKSI")</f>
        <v>PRODUKSI</v>
      </c>
    </row>
    <row r="38">
      <c r="A38" s="7">
        <f>IFERROR(__xludf.DUMMYFUNCTION("""COMPUTED_VALUE"""),46218.0)</f>
        <v>46218</v>
      </c>
      <c r="B38" s="2" t="str">
        <f>IFERROR(__xludf.DUMMYFUNCTION("""COMPUTED_VALUE"""),"TRSF E-BANKING DB")</f>
        <v>TRSF E-BANKING DB</v>
      </c>
      <c r="C38" s="2" t="str">
        <f>IFERROR(__xludf.DUMMYFUNCTION("""COMPUTED_VALUE"""),"1507/FTSCY/WS95011 40500000.00 Tue Apr 07 2026 14:00:00 GMT+0700 (Western Indonesia Time) SURYA INTI TERNAK")</f>
        <v>1507/FTSCY/WS95011 40500000.00 Tue Apr 07 2026 14:00:00 GMT+0700 (Western Indonesia Time) SURYA INTI TERNAK</v>
      </c>
      <c r="D38" s="2">
        <f>IFERROR(__xludf.DUMMYFUNCTION("""COMPUTED_VALUE"""),4.05E7)</f>
        <v>40500000</v>
      </c>
      <c r="E38" s="2"/>
      <c r="F38" s="2" t="str">
        <f>IFERROR(__xludf.DUMMYFUNCTION("""COMPUTED_VALUE"""),"DB")</f>
        <v>DB</v>
      </c>
      <c r="G38" s="2">
        <f>IFERROR(__xludf.DUMMYFUNCTION("""COMPUTED_VALUE"""),1.16750288231E9)</f>
        <v>1167502882</v>
      </c>
      <c r="H38" s="2">
        <f>IFERROR(__xludf.DUMMYFUNCTION("""COMPUTED_VALUE"""),1.16750288231E9)</f>
        <v>1167502882</v>
      </c>
      <c r="I38" s="2" t="str">
        <f>IFERROR(__xludf.DUMMYFUNCTION("""COMPUTED_VALUE"""),"PRODUKSI")</f>
        <v>PRODUKSI</v>
      </c>
    </row>
    <row r="39">
      <c r="A39" s="7">
        <f>IFERROR(__xludf.DUMMYFUNCTION("""COMPUTED_VALUE"""),46218.0)</f>
        <v>46218</v>
      </c>
      <c r="B39" s="2" t="str">
        <f>IFERROR(__xludf.DUMMYFUNCTION("""COMPUTED_VALUE"""),"TRSF E-BANKING DB")</f>
        <v>TRSF E-BANKING DB</v>
      </c>
      <c r="C39" s="2" t="str">
        <f>IFERROR(__xludf.DUMMYFUNCTION("""COMPUTED_VALUE"""),"1507/FTSCY/WS95271 30000000.00 MUHAMMAD HAIRUL MA")</f>
        <v>1507/FTSCY/WS95271 30000000.00 MUHAMMAD HAIRUL MA</v>
      </c>
      <c r="D39" s="2">
        <f>IFERROR(__xludf.DUMMYFUNCTION("""COMPUTED_VALUE"""),3.0E7)</f>
        <v>30000000</v>
      </c>
      <c r="E39" s="2"/>
      <c r="F39" s="2" t="str">
        <f>IFERROR(__xludf.DUMMYFUNCTION("""COMPUTED_VALUE"""),"DB")</f>
        <v>DB</v>
      </c>
      <c r="G39" s="2">
        <f>IFERROR(__xludf.DUMMYFUNCTION("""COMPUTED_VALUE"""),1.13750288231E9)</f>
        <v>1137502882</v>
      </c>
      <c r="H39" s="2"/>
      <c r="I39" s="2" t="str">
        <f>IFERROR(__xludf.DUMMYFUNCTION("""COMPUTED_VALUE"""),"PRODUKSI")</f>
        <v>PRODUKSI</v>
      </c>
    </row>
    <row r="40">
      <c r="A40" s="7">
        <f>IFERROR(__xludf.DUMMYFUNCTION("""COMPUTED_VALUE"""),46218.0)</f>
        <v>46218</v>
      </c>
      <c r="B40" s="2" t="str">
        <f>IFERROR(__xludf.DUMMYFUNCTION("""COMPUTED_VALUE"""),"TRSF E-BANKING DB")</f>
        <v>TRSF E-BANKING DB</v>
      </c>
      <c r="C40" s="2" t="str">
        <f>IFERROR(__xludf.DUMMYFUNCTION("""COMPUTED_VALUE"""),"1507/FTSCY/WS95271 131867900.00 MUHAMMAD HAIRUL MA")</f>
        <v>1507/FTSCY/WS95271 131867900.00 MUHAMMAD HAIRUL MA</v>
      </c>
      <c r="D40" s="2">
        <f>IFERROR(__xludf.DUMMYFUNCTION("""COMPUTED_VALUE"""),1.318679E8)</f>
        <v>131867900</v>
      </c>
      <c r="E40" s="2"/>
      <c r="F40" s="2" t="str">
        <f>IFERROR(__xludf.DUMMYFUNCTION("""COMPUTED_VALUE"""),"DB")</f>
        <v>DB</v>
      </c>
      <c r="G40" s="2">
        <f>IFERROR(__xludf.DUMMYFUNCTION("""COMPUTED_VALUE"""),1.00563498231E9)</f>
        <v>1005634982</v>
      </c>
      <c r="H40" s="2"/>
      <c r="I40" s="2" t="str">
        <f>IFERROR(__xludf.DUMMYFUNCTION("""COMPUTED_VALUE"""),"PRODUKSI")</f>
        <v>PRODUKSI</v>
      </c>
    </row>
    <row r="41">
      <c r="A41" s="7">
        <f>IFERROR(__xludf.DUMMYFUNCTION("""COMPUTED_VALUE"""),46218.0)</f>
        <v>46218</v>
      </c>
      <c r="B41" s="2" t="str">
        <f>IFERROR(__xludf.DUMMYFUNCTION("""COMPUTED_VALUE"""),"TRSF E-BANKING DB")</f>
        <v>TRSF E-BANKING DB</v>
      </c>
      <c r="C41" s="2" t="str">
        <f>IFERROR(__xludf.DUMMYFUNCTION("""COMPUTED_VALUE"""),"1507/FTSCY/WS95271 137667650.00 krg 41 jt MUHAMMAD HAIRUL MA")</f>
        <v>1507/FTSCY/WS95271 137667650.00 krg 41 jt MUHAMMAD HAIRUL MA</v>
      </c>
      <c r="D41" s="2">
        <f>IFERROR(__xludf.DUMMYFUNCTION("""COMPUTED_VALUE"""),1.3766765E8)</f>
        <v>137667650</v>
      </c>
      <c r="E41" s="2"/>
      <c r="F41" s="2" t="str">
        <f>IFERROR(__xludf.DUMMYFUNCTION("""COMPUTED_VALUE"""),"DB")</f>
        <v>DB</v>
      </c>
      <c r="G41" s="2">
        <f>IFERROR(__xludf.DUMMYFUNCTION("""COMPUTED_VALUE"""),8.6796733231E8)</f>
        <v>867967332.3</v>
      </c>
      <c r="H41" s="2"/>
      <c r="I41" s="2" t="str">
        <f>IFERROR(__xludf.DUMMYFUNCTION("""COMPUTED_VALUE"""),"PRODUKSI")</f>
        <v>PRODUKSI</v>
      </c>
    </row>
    <row r="42">
      <c r="A42" s="7">
        <f>IFERROR(__xludf.DUMMYFUNCTION("""COMPUTED_VALUE"""),46218.0)</f>
        <v>46218</v>
      </c>
      <c r="B42" s="2" t="str">
        <f>IFERROR(__xludf.DUMMYFUNCTION("""COMPUTED_VALUE"""),"TRSF E-BANKING DB")</f>
        <v>TRSF E-BANKING DB</v>
      </c>
      <c r="C42" s="2" t="str">
        <f>IFERROR(__xludf.DUMMYFUNCTION("""COMPUTED_VALUE"""),"1507/FTSCY/WS95271 41000000.00 MUHAMMAD HAIRUL MA")</f>
        <v>1507/FTSCY/WS95271 41000000.00 MUHAMMAD HAIRUL MA</v>
      </c>
      <c r="D42" s="2">
        <f>IFERROR(__xludf.DUMMYFUNCTION("""COMPUTED_VALUE"""),4.1E7)</f>
        <v>41000000</v>
      </c>
      <c r="E42" s="2"/>
      <c r="F42" s="2" t="str">
        <f>IFERROR(__xludf.DUMMYFUNCTION("""COMPUTED_VALUE"""),"DB")</f>
        <v>DB</v>
      </c>
      <c r="G42" s="2">
        <f>IFERROR(__xludf.DUMMYFUNCTION("""COMPUTED_VALUE"""),8.2696733231E8)</f>
        <v>826967332.3</v>
      </c>
      <c r="H42" s="2"/>
      <c r="I42" s="2" t="str">
        <f>IFERROR(__xludf.DUMMYFUNCTION("""COMPUTED_VALUE"""),"PRODUKSI")</f>
        <v>PRODUKSI</v>
      </c>
    </row>
    <row r="43">
      <c r="A43" s="7">
        <f>IFERROR(__xludf.DUMMYFUNCTION("""COMPUTED_VALUE"""),46218.0)</f>
        <v>46218</v>
      </c>
      <c r="B43" s="2" t="str">
        <f>IFERROR(__xludf.DUMMYFUNCTION("""COMPUTED_VALUE"""),"TARIKAN ATM 15/07")</f>
        <v>TARIKAN ATM 15/07</v>
      </c>
      <c r="C43" s="2" t="str">
        <f>IFERROR(__xludf.DUMMYFUNCTION("""COMPUTED_VALUE"""),"TARIKAN ATM 15/07")</f>
        <v>TARIKAN ATM 15/07</v>
      </c>
      <c r="D43" s="2">
        <f>IFERROR(__xludf.DUMMYFUNCTION("""COMPUTED_VALUE"""),1250000.0)</f>
        <v>1250000</v>
      </c>
      <c r="E43" s="2"/>
      <c r="F43" s="2"/>
      <c r="G43" s="2">
        <f>IFERROR(__xludf.DUMMYFUNCTION("""COMPUTED_VALUE"""),9.5449733231E8)</f>
        <v>954497332.3</v>
      </c>
      <c r="H43" s="2"/>
      <c r="I43" s="2" t="str">
        <f>IFERROR(__xludf.DUMMYFUNCTION("""COMPUTED_VALUE"""),"PRODUKSI")</f>
        <v>PRODUKSI</v>
      </c>
    </row>
    <row r="44">
      <c r="A44" s="7">
        <f>IFERROR(__xludf.DUMMYFUNCTION("""COMPUTED_VALUE"""),46218.0)</f>
        <v>46218</v>
      </c>
      <c r="B44" s="2" t="str">
        <f>IFERROR(__xludf.DUMMYFUNCTION("""COMPUTED_VALUE"""),"TARIKAN ATM 15/07")</f>
        <v>TARIKAN ATM 15/07</v>
      </c>
      <c r="C44" s="2" t="str">
        <f>IFERROR(__xludf.DUMMYFUNCTION("""COMPUTED_VALUE"""),"TARIKAN ATM 15/07")</f>
        <v>TARIKAN ATM 15/07</v>
      </c>
      <c r="D44" s="2">
        <f>IFERROR(__xludf.DUMMYFUNCTION("""COMPUTED_VALUE"""),1250000.0)</f>
        <v>1250000</v>
      </c>
      <c r="E44" s="2"/>
      <c r="F44" s="2"/>
      <c r="G44" s="2">
        <f>IFERROR(__xludf.DUMMYFUNCTION("""COMPUTED_VALUE"""),9.5324733231E8)</f>
        <v>953247332.3</v>
      </c>
      <c r="H44" s="2"/>
      <c r="I44" s="2" t="str">
        <f>IFERROR(__xludf.DUMMYFUNCTION("""COMPUTED_VALUE"""),"PRODUKSI")</f>
        <v>PRODUKSI</v>
      </c>
    </row>
    <row r="45">
      <c r="A45" s="7">
        <f>IFERROR(__xludf.DUMMYFUNCTION("""COMPUTED_VALUE"""),46218.0)</f>
        <v>46218</v>
      </c>
      <c r="B45" s="2" t="str">
        <f>IFERROR(__xludf.DUMMYFUNCTION("""COMPUTED_VALUE"""),"TARIKAN ATM 15/07")</f>
        <v>TARIKAN ATM 15/07</v>
      </c>
      <c r="C45" s="2" t="str">
        <f>IFERROR(__xludf.DUMMYFUNCTION("""COMPUTED_VALUE"""),"TARIKAN ATM 15/07")</f>
        <v>TARIKAN ATM 15/07</v>
      </c>
      <c r="D45" s="2">
        <f>IFERROR(__xludf.DUMMYFUNCTION("""COMPUTED_VALUE"""),1250000.0)</f>
        <v>1250000</v>
      </c>
      <c r="E45" s="2"/>
      <c r="F45" s="2"/>
      <c r="G45" s="2">
        <f>IFERROR(__xludf.DUMMYFUNCTION("""COMPUTED_VALUE"""),9.5199733231E8)</f>
        <v>951997332.3</v>
      </c>
      <c r="H45" s="2"/>
      <c r="I45" s="2" t="str">
        <f>IFERROR(__xludf.DUMMYFUNCTION("""COMPUTED_VALUE"""),"PRODUKSI")</f>
        <v>PRODUKSI</v>
      </c>
    </row>
    <row r="46">
      <c r="A46" s="7">
        <f>IFERROR(__xludf.DUMMYFUNCTION("""COMPUTED_VALUE"""),46218.0)</f>
        <v>46218</v>
      </c>
      <c r="B46" s="2" t="str">
        <f>IFERROR(__xludf.DUMMYFUNCTION("""COMPUTED_VALUE"""),"TARIKAN ATM 15/07")</f>
        <v>TARIKAN ATM 15/07</v>
      </c>
      <c r="C46" s="2" t="str">
        <f>IFERROR(__xludf.DUMMYFUNCTION("""COMPUTED_VALUE"""),"TARIKAN ATM 15/07")</f>
        <v>TARIKAN ATM 15/07</v>
      </c>
      <c r="D46" s="2">
        <f>IFERROR(__xludf.DUMMYFUNCTION("""COMPUTED_VALUE"""),1250000.0)</f>
        <v>1250000</v>
      </c>
      <c r="E46" s="2"/>
      <c r="F46" s="2"/>
      <c r="G46" s="2">
        <f>IFERROR(__xludf.DUMMYFUNCTION("""COMPUTED_VALUE"""),9.5074733231E8)</f>
        <v>950747332.3</v>
      </c>
      <c r="H46" s="2"/>
      <c r="I46" s="2" t="str">
        <f>IFERROR(__xludf.DUMMYFUNCTION("""COMPUTED_VALUE"""),"PRODUKSI")</f>
        <v>PRODUKSI</v>
      </c>
    </row>
    <row r="47">
      <c r="A47" s="7">
        <f>IFERROR(__xludf.DUMMYFUNCTION("""COMPUTED_VALUE"""),46218.0)</f>
        <v>46218</v>
      </c>
      <c r="B47" s="2" t="str">
        <f>IFERROR(__xludf.DUMMYFUNCTION("""COMPUTED_VALUE"""),"TARIKAN ATM 15/07")</f>
        <v>TARIKAN ATM 15/07</v>
      </c>
      <c r="C47" s="2" t="str">
        <f>IFERROR(__xludf.DUMMYFUNCTION("""COMPUTED_VALUE"""),"TARIKAN ATM 15/07")</f>
        <v>TARIKAN ATM 15/07</v>
      </c>
      <c r="D47" s="2">
        <f>IFERROR(__xludf.DUMMYFUNCTION("""COMPUTED_VALUE"""),1250000.0)</f>
        <v>1250000</v>
      </c>
      <c r="E47" s="2"/>
      <c r="F47" s="2"/>
      <c r="G47" s="2">
        <f>IFERROR(__xludf.DUMMYFUNCTION("""COMPUTED_VALUE"""),9.4949733231E8)</f>
        <v>949497332.3</v>
      </c>
      <c r="H47" s="2"/>
      <c r="I47" s="2" t="str">
        <f>IFERROR(__xludf.DUMMYFUNCTION("""COMPUTED_VALUE"""),"PRODUKSI")</f>
        <v>PRODUKSI</v>
      </c>
    </row>
    <row r="48">
      <c r="A48" s="7">
        <f>IFERROR(__xludf.DUMMYFUNCTION("""COMPUTED_VALUE"""),46218.0)</f>
        <v>46218</v>
      </c>
      <c r="B48" s="2" t="str">
        <f>IFERROR(__xludf.DUMMYFUNCTION("""COMPUTED_VALUE"""),"TARIKAN ATM 15/07")</f>
        <v>TARIKAN ATM 15/07</v>
      </c>
      <c r="C48" s="2" t="str">
        <f>IFERROR(__xludf.DUMMYFUNCTION("""COMPUTED_VALUE"""),"TARIKAN ATM 15/07")</f>
        <v>TARIKAN ATM 15/07</v>
      </c>
      <c r="D48" s="2">
        <f>IFERROR(__xludf.DUMMYFUNCTION("""COMPUTED_VALUE"""),1250000.0)</f>
        <v>1250000</v>
      </c>
      <c r="E48" s="2"/>
      <c r="F48" s="2"/>
      <c r="G48" s="2">
        <f>IFERROR(__xludf.DUMMYFUNCTION("""COMPUTED_VALUE"""),9.4824733231E8)</f>
        <v>948247332.3</v>
      </c>
      <c r="H48" s="2"/>
      <c r="I48" s="2" t="str">
        <f>IFERROR(__xludf.DUMMYFUNCTION("""COMPUTED_VALUE"""),"PRODUKSI")</f>
        <v>PRODUKSI</v>
      </c>
    </row>
    <row r="49">
      <c r="A49" s="7">
        <f>IFERROR(__xludf.DUMMYFUNCTION("""COMPUTED_VALUE"""),46218.0)</f>
        <v>46218</v>
      </c>
      <c r="B49" s="2" t="str">
        <f>IFERROR(__xludf.DUMMYFUNCTION("""COMPUTED_VALUE"""),"TARIKAN ATM 15/07")</f>
        <v>TARIKAN ATM 15/07</v>
      </c>
      <c r="C49" s="2" t="str">
        <f>IFERROR(__xludf.DUMMYFUNCTION("""COMPUTED_VALUE"""),"TARIKAN ATM 15/07")</f>
        <v>TARIKAN ATM 15/07</v>
      </c>
      <c r="D49" s="2">
        <f>IFERROR(__xludf.DUMMYFUNCTION("""COMPUTED_VALUE"""),1250000.0)</f>
        <v>1250000</v>
      </c>
      <c r="E49" s="2"/>
      <c r="F49" s="2"/>
      <c r="G49" s="2">
        <f>IFERROR(__xludf.DUMMYFUNCTION("""COMPUTED_VALUE"""),9.4699733231E8)</f>
        <v>946997332.3</v>
      </c>
      <c r="H49" s="2"/>
      <c r="I49" s="2" t="str">
        <f>IFERROR(__xludf.DUMMYFUNCTION("""COMPUTED_VALUE"""),"PRODUKSI")</f>
        <v>PRODUKSI</v>
      </c>
    </row>
    <row r="50">
      <c r="A50" s="7">
        <f>IFERROR(__xludf.DUMMYFUNCTION("""COMPUTED_VALUE"""),46218.0)</f>
        <v>46218</v>
      </c>
      <c r="B50" s="2" t="str">
        <f>IFERROR(__xludf.DUMMYFUNCTION("""COMPUTED_VALUE"""),"TARIKAN ATM 15/07")</f>
        <v>TARIKAN ATM 15/07</v>
      </c>
      <c r="C50" s="2" t="str">
        <f>IFERROR(__xludf.DUMMYFUNCTION("""COMPUTED_VALUE"""),"TARIKAN ATM 15/07")</f>
        <v>TARIKAN ATM 15/07</v>
      </c>
      <c r="D50" s="2">
        <f>IFERROR(__xludf.DUMMYFUNCTION("""COMPUTED_VALUE"""),1250000.0)</f>
        <v>1250000</v>
      </c>
      <c r="E50" s="2"/>
      <c r="F50" s="2"/>
      <c r="G50" s="2">
        <f>IFERROR(__xludf.DUMMYFUNCTION("""COMPUTED_VALUE"""),9.4574733231E8)</f>
        <v>945747332.3</v>
      </c>
      <c r="H50" s="2"/>
      <c r="I50" s="2" t="str">
        <f>IFERROR(__xludf.DUMMYFUNCTION("""COMPUTED_VALUE"""),"PRODUKSI")</f>
        <v>PRODUKSI</v>
      </c>
    </row>
    <row r="51">
      <c r="A51" s="7">
        <f>IFERROR(__xludf.DUMMYFUNCTION("""COMPUTED_VALUE"""),46218.0)</f>
        <v>46218</v>
      </c>
      <c r="B51" s="2" t="str">
        <f>IFERROR(__xludf.DUMMYFUNCTION("""COMPUTED_VALUE"""),"TRSF E-BANKING DB")</f>
        <v>TRSF E-BANKING DB</v>
      </c>
      <c r="C51" s="2" t="str">
        <f>IFERROR(__xludf.DUMMYFUNCTION("""COMPUTED_VALUE"""),"1507/FTSCY/WS95031 100000000.00 titip 400 jt TABASSAM AL HATTAK")</f>
        <v>1507/FTSCY/WS95031 100000000.00 titip 400 jt TABASSAM AL HATTAK</v>
      </c>
      <c r="D51" s="2">
        <f>IFERROR(__xludf.DUMMYFUNCTION("""COMPUTED_VALUE"""),1.0E8)</f>
        <v>100000000</v>
      </c>
      <c r="E51" s="2"/>
      <c r="F51" s="2" t="str">
        <f>IFERROR(__xludf.DUMMYFUNCTION("""COMPUTED_VALUE"""),"DB")</f>
        <v>DB</v>
      </c>
      <c r="G51" s="2">
        <f>IFERROR(__xludf.DUMMYFUNCTION("""COMPUTED_VALUE"""),8.4574733231E8)</f>
        <v>845747332.3</v>
      </c>
      <c r="H51" s="2">
        <f>IFERROR(__xludf.DUMMYFUNCTION("""COMPUTED_VALUE"""),8.4574733231E8)</f>
        <v>845747332.3</v>
      </c>
      <c r="I51" s="2" t="str">
        <f>IFERROR(__xludf.DUMMYFUNCTION("""COMPUTED_VALUE"""),"PRODUKSI")</f>
        <v>PRODUKSI</v>
      </c>
    </row>
    <row r="52">
      <c r="A52" s="7">
        <f>IFERROR(__xludf.DUMMYFUNCTION("""COMPUTED_VALUE"""),46219.0)</f>
        <v>46219</v>
      </c>
      <c r="B52" s="2" t="str">
        <f>IFERROR(__xludf.DUMMYFUNCTION("""COMPUTED_VALUE"""),"TRSF E-BANKING DB")</f>
        <v>TRSF E-BANKING DB</v>
      </c>
      <c r="C52" s="2" t="str">
        <f>IFERROR(__xludf.DUMMYFUNCTION("""COMPUTED_VALUE"""),"1607/FTSCY/WS95011 313228600.00 pelunasan LAJU SATWA WISESA")</f>
        <v>1607/FTSCY/WS95011 313228600.00 pelunasan LAJU SATWA WISESA</v>
      </c>
      <c r="D52" s="2">
        <f>IFERROR(__xludf.DUMMYFUNCTION("""COMPUTED_VALUE"""),3.132286E8)</f>
        <v>313228600</v>
      </c>
      <c r="E52" s="2"/>
      <c r="F52" s="2" t="str">
        <f>IFERROR(__xludf.DUMMYFUNCTION("""COMPUTED_VALUE"""),"DB")</f>
        <v>DB</v>
      </c>
      <c r="G52" s="2">
        <f>IFERROR(__xludf.DUMMYFUNCTION("""COMPUTED_VALUE"""),1.47699640231E9)</f>
        <v>1476996402</v>
      </c>
      <c r="H52" s="2"/>
      <c r="I52" s="2" t="str">
        <f>IFERROR(__xludf.DUMMYFUNCTION("""COMPUTED_VALUE"""),"PRODUKSI")</f>
        <v>PRODUKSI</v>
      </c>
    </row>
    <row r="53">
      <c r="A53" s="7">
        <f>IFERROR(__xludf.DUMMYFUNCTION("""COMPUTED_VALUE"""),46219.0)</f>
        <v>46219</v>
      </c>
      <c r="B53" s="2" t="str">
        <f>IFERROR(__xludf.DUMMYFUNCTION("""COMPUTED_VALUE"""),"TRSF E-BANKING DB")</f>
        <v>TRSF E-BANKING DB</v>
      </c>
      <c r="C53" s="2" t="str">
        <f>IFERROR(__xludf.DUMMYFUNCTION("""COMPUTED_VALUE"""),"1607/FTSCY/WS95011 186771370.00 Mon Jul 13 2026 14:00:00 GMT+0700 (Western Indonesia Time) krg 99.872.000 SUPER UNGGAS JAYA")</f>
        <v>1607/FTSCY/WS95011 186771370.00 Mon Jul 13 2026 14:00:00 GMT+0700 (Western Indonesia Time) krg 99.872.000 SUPER UNGGAS JAYA</v>
      </c>
      <c r="D53" s="2">
        <f>IFERROR(__xludf.DUMMYFUNCTION("""COMPUTED_VALUE"""),1.8677137E8)</f>
        <v>186771370</v>
      </c>
      <c r="E53" s="2"/>
      <c r="F53" s="2" t="str">
        <f>IFERROR(__xludf.DUMMYFUNCTION("""COMPUTED_VALUE"""),"DB")</f>
        <v>DB</v>
      </c>
      <c r="G53" s="2">
        <f>IFERROR(__xludf.DUMMYFUNCTION("""COMPUTED_VALUE"""),1.29022503231E9)</f>
        <v>1290225032</v>
      </c>
      <c r="H53" s="2"/>
      <c r="I53" s="2" t="str">
        <f>IFERROR(__xludf.DUMMYFUNCTION("""COMPUTED_VALUE"""),"PRODUKSI")</f>
        <v>PRODUKSI</v>
      </c>
    </row>
    <row r="54">
      <c r="A54" s="7">
        <f>IFERROR(__xludf.DUMMYFUNCTION("""COMPUTED_VALUE"""),46219.0)</f>
        <v>46219</v>
      </c>
      <c r="B54" s="2" t="str">
        <f>IFERROR(__xludf.DUMMYFUNCTION("""COMPUTED_VALUE"""),"TRSF E-BANKING DB")</f>
        <v>TRSF E-BANKING DB</v>
      </c>
      <c r="C54" s="2" t="str">
        <f>IFERROR(__xludf.DUMMYFUNCTION("""COMPUTED_VALUE"""),"1607/FTSCY/WS95031 99872000.00 pelunasan 13.07 SUPER UNGGAS JAYA")</f>
        <v>1607/FTSCY/WS95031 99872000.00 pelunasan 13.07 SUPER UNGGAS JAYA</v>
      </c>
      <c r="D54" s="2">
        <f>IFERROR(__xludf.DUMMYFUNCTION("""COMPUTED_VALUE"""),9.9872E7)</f>
        <v>99872000</v>
      </c>
      <c r="E54" s="2"/>
      <c r="F54" s="2" t="str">
        <f>IFERROR(__xludf.DUMMYFUNCTION("""COMPUTED_VALUE"""),"DB")</f>
        <v>DB</v>
      </c>
      <c r="G54" s="2">
        <f>IFERROR(__xludf.DUMMYFUNCTION("""COMPUTED_VALUE"""),1.19035303231E9)</f>
        <v>1190353032</v>
      </c>
      <c r="H54" s="2">
        <f>IFERROR(__xludf.DUMMYFUNCTION("""COMPUTED_VALUE"""),1.19035303231E9)</f>
        <v>1190353032</v>
      </c>
      <c r="I54" s="2" t="str">
        <f>IFERROR(__xludf.DUMMYFUNCTION("""COMPUTED_VALUE"""),"PRODUKSI")</f>
        <v>PRODUKSI</v>
      </c>
    </row>
    <row r="55">
      <c r="A55" s="7">
        <f>IFERROR(__xludf.DUMMYFUNCTION("""COMPUTED_VALUE"""),46219.0)</f>
        <v>46219</v>
      </c>
      <c r="B55" s="2" t="str">
        <f>IFERROR(__xludf.DUMMYFUNCTION("""COMPUTED_VALUE"""),"TRSF E-BANKING DB")</f>
        <v>TRSF E-BANKING DB</v>
      </c>
      <c r="C55" s="2" t="str">
        <f>IFERROR(__xludf.DUMMYFUNCTION("""COMPUTED_VALUE"""),"1607/FTSCY/WS95271 36938430.00 pelunasan TABASSAM AL HATTAK")</f>
        <v>1607/FTSCY/WS95271 36938430.00 pelunasan TABASSAM AL HATTAK</v>
      </c>
      <c r="D55" s="2">
        <f>IFERROR(__xludf.DUMMYFUNCTION("""COMPUTED_VALUE"""),3.693843E7)</f>
        <v>36938430</v>
      </c>
      <c r="E55" s="2"/>
      <c r="F55" s="2" t="str">
        <f>IFERROR(__xludf.DUMMYFUNCTION("""COMPUTED_VALUE"""),"DB")</f>
        <v>DB</v>
      </c>
      <c r="G55" s="2">
        <f>IFERROR(__xludf.DUMMYFUNCTION("""COMPUTED_VALUE"""),1.15341460231E9)</f>
        <v>1153414602</v>
      </c>
      <c r="H55" s="2">
        <f>IFERROR(__xludf.DUMMYFUNCTION("""COMPUTED_VALUE"""),1.15341460231E9)</f>
        <v>1153414602</v>
      </c>
      <c r="I55" s="2" t="str">
        <f>IFERROR(__xludf.DUMMYFUNCTION("""COMPUTED_VALUE"""),"PRODUKSI")</f>
        <v>PRODUKSI</v>
      </c>
    </row>
    <row r="56">
      <c r="A56" s="7">
        <f>IFERROR(__xludf.DUMMYFUNCTION("""COMPUTED_VALUE"""),46219.0)</f>
        <v>46219</v>
      </c>
      <c r="B56" s="2" t="str">
        <f>IFERROR(__xludf.DUMMYFUNCTION("""COMPUTED_VALUE"""),"TRSF E-BANKING DB")</f>
        <v>TRSF E-BANKING DB</v>
      </c>
      <c r="C56" s="2" t="str">
        <f>IFERROR(__xludf.DUMMYFUNCTION("""COMPUTED_VALUE"""),"1607/FTSCY/WS95271 41000000.00 pelunasan ANDALAN YASA MITRA")</f>
        <v>1607/FTSCY/WS95271 41000000.00 pelunasan ANDALAN YASA MITRA</v>
      </c>
      <c r="D56" s="2">
        <f>IFERROR(__xludf.DUMMYFUNCTION("""COMPUTED_VALUE"""),4.1E7)</f>
        <v>41000000</v>
      </c>
      <c r="E56" s="2"/>
      <c r="F56" s="2" t="str">
        <f>IFERROR(__xludf.DUMMYFUNCTION("""COMPUTED_VALUE"""),"DB")</f>
        <v>DB</v>
      </c>
      <c r="G56" s="2">
        <f>IFERROR(__xludf.DUMMYFUNCTION("""COMPUTED_VALUE"""),1.11241460231E9)</f>
        <v>1112414602</v>
      </c>
      <c r="H56" s="2"/>
      <c r="I56" s="2" t="str">
        <f>IFERROR(__xludf.DUMMYFUNCTION("""COMPUTED_VALUE"""),"PRODUKSI")</f>
        <v>PRODUKSI</v>
      </c>
    </row>
    <row r="57">
      <c r="A57" s="7">
        <f>IFERROR(__xludf.DUMMYFUNCTION("""COMPUTED_VALUE"""),46219.0)</f>
        <v>46219</v>
      </c>
      <c r="B57" s="2" t="str">
        <f>IFERROR(__xludf.DUMMYFUNCTION("""COMPUTED_VALUE"""),"TRSF E-BANKING DB")</f>
        <v>TRSF E-BANKING DB</v>
      </c>
      <c r="C57" s="2" t="str">
        <f>IFERROR(__xludf.DUMMYFUNCTION("""COMPUTED_VALUE"""),"1607/FTSCY/WS95271 3652020.00 NURHAYATI")</f>
        <v>1607/FTSCY/WS95271 3652020.00 NURHAYATI</v>
      </c>
      <c r="D57" s="2">
        <f>IFERROR(__xludf.DUMMYFUNCTION("""COMPUTED_VALUE"""),3652020.0)</f>
        <v>3652020</v>
      </c>
      <c r="E57" s="2"/>
      <c r="F57" s="2" t="str">
        <f>IFERROR(__xludf.DUMMYFUNCTION("""COMPUTED_VALUE"""),"DB")</f>
        <v>DB</v>
      </c>
      <c r="G57" s="2">
        <f>IFERROR(__xludf.DUMMYFUNCTION("""COMPUTED_VALUE"""),1.10876258231E9)</f>
        <v>1108762582</v>
      </c>
      <c r="H57" s="2"/>
      <c r="I57" s="2" t="str">
        <f>IFERROR(__xludf.DUMMYFUNCTION("""COMPUTED_VALUE"""),"PRODUKSI")</f>
        <v>PRODUKSI</v>
      </c>
    </row>
    <row r="58">
      <c r="A58" s="7">
        <f>IFERROR(__xludf.DUMMYFUNCTION("""COMPUTED_VALUE"""),46219.0)</f>
        <v>46219</v>
      </c>
      <c r="B58" s="2" t="str">
        <f>IFERROR(__xludf.DUMMYFUNCTION("""COMPUTED_VALUE"""),"TRSF E-BANKING DB")</f>
        <v>TRSF E-BANKING DB</v>
      </c>
      <c r="C58" s="2" t="str">
        <f>IFERROR(__xludf.DUMMYFUNCTION("""COMPUTED_VALUE"""),"1607/FTSCY/WS95271 4012960.00 MUJIANTO")</f>
        <v>1607/FTSCY/WS95271 4012960.00 MUJIANTO</v>
      </c>
      <c r="D58" s="2">
        <f>IFERROR(__xludf.DUMMYFUNCTION("""COMPUTED_VALUE"""),4012960.0)</f>
        <v>4012960</v>
      </c>
      <c r="E58" s="2"/>
      <c r="F58" s="2" t="str">
        <f>IFERROR(__xludf.DUMMYFUNCTION("""COMPUTED_VALUE"""),"DB")</f>
        <v>DB</v>
      </c>
      <c r="G58" s="2">
        <f>IFERROR(__xludf.DUMMYFUNCTION("""COMPUTED_VALUE"""),1.10474962231E9)</f>
        <v>1104749622</v>
      </c>
      <c r="H58" s="2"/>
      <c r="I58" s="2" t="str">
        <f>IFERROR(__xludf.DUMMYFUNCTION("""COMPUTED_VALUE"""),"PRODUKSI")</f>
        <v>PRODUKSI</v>
      </c>
    </row>
    <row r="59">
      <c r="A59" s="7">
        <f>IFERROR(__xludf.DUMMYFUNCTION("""COMPUTED_VALUE"""),46219.0)</f>
        <v>46219</v>
      </c>
      <c r="B59" s="2" t="str">
        <f>IFERROR(__xludf.DUMMYFUNCTION("""COMPUTED_VALUE"""),"TRSF E-BANKING DB")</f>
        <v>TRSF E-BANKING DB</v>
      </c>
      <c r="C59" s="2" t="str">
        <f>IFERROR(__xludf.DUMMYFUNCTION("""COMPUTED_VALUE"""),"1607/FTSCY/WS95271 4545690.00 lunas DWI HERMANSYAH")</f>
        <v>1607/FTSCY/WS95271 4545690.00 lunas DWI HERMANSYAH</v>
      </c>
      <c r="D59" s="2">
        <f>IFERROR(__xludf.DUMMYFUNCTION("""COMPUTED_VALUE"""),4545690.0)</f>
        <v>4545690</v>
      </c>
      <c r="E59" s="2"/>
      <c r="F59" s="2" t="str">
        <f>IFERROR(__xludf.DUMMYFUNCTION("""COMPUTED_VALUE"""),"DB")</f>
        <v>DB</v>
      </c>
      <c r="G59" s="2">
        <f>IFERROR(__xludf.DUMMYFUNCTION("""COMPUTED_VALUE"""),1.10020393231E9)</f>
        <v>1100203932</v>
      </c>
      <c r="H59" s="2"/>
      <c r="I59" s="2" t="str">
        <f>IFERROR(__xludf.DUMMYFUNCTION("""COMPUTED_VALUE"""),"PRODUKSI")</f>
        <v>PRODUKSI</v>
      </c>
    </row>
    <row r="60">
      <c r="A60" s="7">
        <f>IFERROR(__xludf.DUMMYFUNCTION("""COMPUTED_VALUE"""),46219.0)</f>
        <v>46219</v>
      </c>
      <c r="B60" s="2" t="str">
        <f>IFERROR(__xludf.DUMMYFUNCTION("""COMPUTED_VALUE"""),"TRSF E-BANKING DB")</f>
        <v>TRSF E-BANKING DB</v>
      </c>
      <c r="C60" s="2" t="str">
        <f>IFERROR(__xludf.DUMMYFUNCTION("""COMPUTED_VALUE"""),"1607/FTSCY/WS95271 1700000.00 mlg bangil BONDAN PUTRA PRATA")</f>
        <v>1607/FTSCY/WS95271 1700000.00 mlg bangil BONDAN PUTRA PRATA</v>
      </c>
      <c r="D60" s="2">
        <f>IFERROR(__xludf.DUMMYFUNCTION("""COMPUTED_VALUE"""),1700000.0)</f>
        <v>1700000</v>
      </c>
      <c r="E60" s="2"/>
      <c r="F60" s="2" t="str">
        <f>IFERROR(__xludf.DUMMYFUNCTION("""COMPUTED_VALUE"""),"DB")</f>
        <v>DB</v>
      </c>
      <c r="G60" s="2">
        <f>IFERROR(__xludf.DUMMYFUNCTION("""COMPUTED_VALUE"""),1.09850393231E9)</f>
        <v>1098503932</v>
      </c>
      <c r="H60" s="2"/>
      <c r="I60" s="2" t="str">
        <f>IFERROR(__xludf.DUMMYFUNCTION("""COMPUTED_VALUE"""),"PRODUKSI")</f>
        <v>PRODUKSI</v>
      </c>
    </row>
    <row r="61">
      <c r="A61" s="7">
        <f>IFERROR(__xludf.DUMMYFUNCTION("""COMPUTED_VALUE"""),46219.0)</f>
        <v>46219</v>
      </c>
      <c r="B61" s="2" t="str">
        <f>IFERROR(__xludf.DUMMYFUNCTION("""COMPUTED_VALUE"""),"TRSF E-BANKING DB")</f>
        <v>TRSF E-BANKING DB</v>
      </c>
      <c r="C61" s="2" t="str">
        <f>IFERROR(__xludf.DUMMYFUNCTION("""COMPUTED_VALUE"""),"1607/FTSCY/WS95271 193518180.00 pelunasan ANDALAN YASA MITRA")</f>
        <v>1607/FTSCY/WS95271 193518180.00 pelunasan ANDALAN YASA MITRA</v>
      </c>
      <c r="D61" s="2">
        <f>IFERROR(__xludf.DUMMYFUNCTION("""COMPUTED_VALUE"""),1.9351818E8)</f>
        <v>193518180</v>
      </c>
      <c r="E61" s="2"/>
      <c r="F61" s="2" t="str">
        <f>IFERROR(__xludf.DUMMYFUNCTION("""COMPUTED_VALUE"""),"DB")</f>
        <v>DB</v>
      </c>
      <c r="G61" s="2">
        <f>IFERROR(__xludf.DUMMYFUNCTION("""COMPUTED_VALUE"""),9.0498575231E8)</f>
        <v>904985752.3</v>
      </c>
      <c r="H61" s="2"/>
      <c r="I61" s="2" t="str">
        <f>IFERROR(__xludf.DUMMYFUNCTION("""COMPUTED_VALUE"""),"PRODUKSI")</f>
        <v>PRODUKSI</v>
      </c>
    </row>
    <row r="62">
      <c r="A62" s="7">
        <f>IFERROR(__xludf.DUMMYFUNCTION("""COMPUTED_VALUE"""),46219.0)</f>
        <v>46219</v>
      </c>
      <c r="B62" s="2" t="str">
        <f>IFERROR(__xludf.DUMMYFUNCTION("""COMPUTED_VALUE"""),"TRSF E-BANKING DB")</f>
        <v>TRSF E-BANKING DB</v>
      </c>
      <c r="C62" s="2" t="str">
        <f>IFERROR(__xludf.DUMMYFUNCTION("""COMPUTED_VALUE"""),"1607/FTSCY/WS95271 2500000.00 NURUL AINI")</f>
        <v>1607/FTSCY/WS95271 2500000.00 NURUL AINI</v>
      </c>
      <c r="D62" s="2">
        <f>IFERROR(__xludf.DUMMYFUNCTION("""COMPUTED_VALUE"""),2500000.0)</f>
        <v>2500000</v>
      </c>
      <c r="E62" s="2"/>
      <c r="F62" s="2" t="str">
        <f>IFERROR(__xludf.DUMMYFUNCTION("""COMPUTED_VALUE"""),"DB")</f>
        <v>DB</v>
      </c>
      <c r="G62" s="2">
        <f>IFERROR(__xludf.DUMMYFUNCTION("""COMPUTED_VALUE"""),9.0248575231E8)</f>
        <v>902485752.3</v>
      </c>
      <c r="H62" s="2"/>
      <c r="I62" s="2" t="str">
        <f>IFERROR(__xludf.DUMMYFUNCTION("""COMPUTED_VALUE"""),"PRODUKSI")</f>
        <v>PRODUKSI</v>
      </c>
    </row>
    <row r="63">
      <c r="A63" s="7">
        <f>IFERROR(__xludf.DUMMYFUNCTION("""COMPUTED_VALUE"""),46219.0)</f>
        <v>46219</v>
      </c>
      <c r="B63" s="2" t="str">
        <f>IFERROR(__xludf.DUMMYFUNCTION("""COMPUTED_VALUE"""),"TRSF E-BANKING DB")</f>
        <v>TRSF E-BANKING DB</v>
      </c>
      <c r="C63" s="2" t="str">
        <f>IFERROR(__xludf.DUMMYFUNCTION("""COMPUTED_VALUE"""),"1607/FTSCY/WS95271 12000000.00 EKO SETIYAWAN")</f>
        <v>1607/FTSCY/WS95271 12000000.00 EKO SETIYAWAN</v>
      </c>
      <c r="D63" s="2">
        <f>IFERROR(__xludf.DUMMYFUNCTION("""COMPUTED_VALUE"""),1.2E7)</f>
        <v>12000000</v>
      </c>
      <c r="E63" s="2"/>
      <c r="F63" s="2" t="str">
        <f>IFERROR(__xludf.DUMMYFUNCTION("""COMPUTED_VALUE"""),"DB")</f>
        <v>DB</v>
      </c>
      <c r="G63" s="2">
        <f>IFERROR(__xludf.DUMMYFUNCTION("""COMPUTED_VALUE"""),8.9048575231E8)</f>
        <v>890485752.3</v>
      </c>
      <c r="H63" s="2"/>
      <c r="I63" s="2" t="str">
        <f>IFERROR(__xludf.DUMMYFUNCTION("""COMPUTED_VALUE"""),"PRODUKSI")</f>
        <v>PRODUKSI</v>
      </c>
    </row>
    <row r="64">
      <c r="A64" s="7">
        <f>IFERROR(__xludf.DUMMYFUNCTION("""COMPUTED_VALUE"""),46219.0)</f>
        <v>46219</v>
      </c>
      <c r="B64" s="2" t="str">
        <f>IFERROR(__xludf.DUMMYFUNCTION("""COMPUTED_VALUE"""),"TRSF E-BANKING DB")</f>
        <v>TRSF E-BANKING DB</v>
      </c>
      <c r="C64" s="2" t="str">
        <f>IFERROR(__xludf.DUMMYFUNCTION("""COMPUTED_VALUE"""),"1607/FTSCY/WS95031 100000.00 SAIFUL BAHRI")</f>
        <v>1607/FTSCY/WS95031 100000.00 SAIFUL BAHRI</v>
      </c>
      <c r="D64" s="2">
        <f>IFERROR(__xludf.DUMMYFUNCTION("""COMPUTED_VALUE"""),100000.0)</f>
        <v>100000</v>
      </c>
      <c r="E64" s="2"/>
      <c r="F64" s="2" t="str">
        <f>IFERROR(__xludf.DUMMYFUNCTION("""COMPUTED_VALUE"""),"DB")</f>
        <v>DB</v>
      </c>
      <c r="G64" s="2">
        <f>IFERROR(__xludf.DUMMYFUNCTION("""COMPUTED_VALUE"""),8.9038575231E8)</f>
        <v>890385752.3</v>
      </c>
      <c r="H64" s="2"/>
      <c r="I64" s="2" t="str">
        <f>IFERROR(__xludf.DUMMYFUNCTION("""COMPUTED_VALUE"""),"PRODUKSI")</f>
        <v>PRODUKSI</v>
      </c>
    </row>
    <row r="65">
      <c r="A65" s="7">
        <f>IFERROR(__xludf.DUMMYFUNCTION("""COMPUTED_VALUE"""),46219.0)</f>
        <v>46219</v>
      </c>
      <c r="B65" s="2" t="str">
        <f>IFERROR(__xludf.DUMMYFUNCTION("""COMPUTED_VALUE"""),"TRSF E-BANKING DB")</f>
        <v>TRSF E-BANKING DB</v>
      </c>
      <c r="C65" s="2" t="str">
        <f>IFERROR(__xludf.DUMMYFUNCTION("""COMPUTED_VALUE"""),"1607/FTFVA/WS95031 55569/PT PRIMA FAJ titip blitar - 40190")</f>
        <v>1607/FTFVA/WS95031 55569/PT PRIMA FAJ titip blitar - 40190</v>
      </c>
      <c r="D65" s="2">
        <f>IFERROR(__xludf.DUMMYFUNCTION("""COMPUTED_VALUE"""),6.9E7)</f>
        <v>69000000</v>
      </c>
      <c r="E65" s="2"/>
      <c r="F65" s="2" t="str">
        <f>IFERROR(__xludf.DUMMYFUNCTION("""COMPUTED_VALUE"""),"DB")</f>
        <v>DB</v>
      </c>
      <c r="G65" s="2">
        <f>IFERROR(__xludf.DUMMYFUNCTION("""COMPUTED_VALUE"""),8.2138575231E8)</f>
        <v>821385752.3</v>
      </c>
      <c r="H65" s="2">
        <f>IFERROR(__xludf.DUMMYFUNCTION("""COMPUTED_VALUE"""),8.2138575231E8)</f>
        <v>821385752.3</v>
      </c>
      <c r="I65" s="2" t="str">
        <f>IFERROR(__xludf.DUMMYFUNCTION("""COMPUTED_VALUE"""),"PRODUKSI")</f>
        <v>PRODUKSI</v>
      </c>
    </row>
    <row r="66">
      <c r="A66" s="7">
        <f>IFERROR(__xludf.DUMMYFUNCTION("""COMPUTED_VALUE"""),46220.0)</f>
        <v>46220</v>
      </c>
      <c r="B66" s="2" t="str">
        <f>IFERROR(__xludf.DUMMYFUNCTION("""COMPUTED_VALUE"""),"TRSF E-BANKING DB")</f>
        <v>TRSF E-BANKING DB</v>
      </c>
      <c r="C66" s="2" t="str">
        <f>IFERROR(__xludf.DUMMYFUNCTION("""COMPUTED_VALUE"""),"1707/FTSCY/WS95031 100000000.00 titip TABASSAM AL HATTAK")</f>
        <v>1707/FTSCY/WS95031 100000000.00 titip TABASSAM AL HATTAK</v>
      </c>
      <c r="D66" s="2">
        <f>IFERROR(__xludf.DUMMYFUNCTION("""COMPUTED_VALUE"""),1.0E8)</f>
        <v>100000000</v>
      </c>
      <c r="E66" s="2"/>
      <c r="F66" s="2" t="str">
        <f>IFERROR(__xludf.DUMMYFUNCTION("""COMPUTED_VALUE"""),"DB")</f>
        <v>DB</v>
      </c>
      <c r="G66" s="2">
        <f>IFERROR(__xludf.DUMMYFUNCTION("""COMPUTED_VALUE"""),7.2138575231E8)</f>
        <v>721385752.3</v>
      </c>
      <c r="H66" s="2"/>
      <c r="I66" s="2" t="str">
        <f>IFERROR(__xludf.DUMMYFUNCTION("""COMPUTED_VALUE"""),"PRODUKSI")</f>
        <v>PRODUKSI</v>
      </c>
    </row>
    <row r="67">
      <c r="A67" s="7">
        <f>IFERROR(__xludf.DUMMYFUNCTION("""COMPUTED_VALUE"""),46220.0)</f>
        <v>46220</v>
      </c>
      <c r="B67" s="2" t="str">
        <f>IFERROR(__xludf.DUMMYFUNCTION("""COMPUTED_VALUE"""),"TRSF E-BANKING DB")</f>
        <v>TRSF E-BANKING DB</v>
      </c>
      <c r="C67" s="2" t="str">
        <f>IFERROR(__xludf.DUMMYFUNCTION("""COMPUTED_VALUE"""),"1707/FTSCY/WS95271 155458240.00 Tue Jul 14 2026 14:00:00 GMT+0700 (Western Indonesia Time) GANESHA SATRIA NUS")</f>
        <v>1707/FTSCY/WS95271 155458240.00 Tue Jul 14 2026 14:00:00 GMT+0700 (Western Indonesia Time) GANESHA SATRIA NUS</v>
      </c>
      <c r="D67" s="2">
        <f>IFERROR(__xludf.DUMMYFUNCTION("""COMPUTED_VALUE"""),1.5545824E8)</f>
        <v>155458240</v>
      </c>
      <c r="E67" s="2"/>
      <c r="F67" s="2" t="str">
        <f>IFERROR(__xludf.DUMMYFUNCTION("""COMPUTED_VALUE"""),"DB")</f>
        <v>DB</v>
      </c>
      <c r="G67" s="2">
        <f>IFERROR(__xludf.DUMMYFUNCTION("""COMPUTED_VALUE"""),5.6592751231E8)</f>
        <v>565927512.3</v>
      </c>
      <c r="H67" s="2">
        <f>IFERROR(__xludf.DUMMYFUNCTION("""COMPUTED_VALUE"""),5.6592751231E8)</f>
        <v>565927512.3</v>
      </c>
      <c r="I67" s="2" t="str">
        <f>IFERROR(__xludf.DUMMYFUNCTION("""COMPUTED_VALUE"""),"PRODUKSI")</f>
        <v>PRODUKSI</v>
      </c>
    </row>
    <row r="68">
      <c r="A68" s="7">
        <f>IFERROR(__xludf.DUMMYFUNCTION("""COMPUTED_VALUE"""),46220.0)</f>
        <v>46220</v>
      </c>
      <c r="B68" s="2" t="str">
        <f>IFERROR(__xludf.DUMMYFUNCTION("""COMPUTED_VALUE"""),"TRSF E-BANKING DB")</f>
        <v>TRSF E-BANKING DB</v>
      </c>
      <c r="C68" s="2" t="str">
        <f>IFERROR(__xludf.DUMMYFUNCTION("""COMPUTED_VALUE"""),"1707/FTSCY/WS95271 84244800.00 pemb. farm bayu aj i ponorogo UNGGAS MANDIRI BER")</f>
        <v>1707/FTSCY/WS95271 84244800.00 pemb. farm bayu aj i ponorogo UNGGAS MANDIRI BER</v>
      </c>
      <c r="D68" s="2">
        <f>IFERROR(__xludf.DUMMYFUNCTION("""COMPUTED_VALUE"""),8.42448E7)</f>
        <v>84244800</v>
      </c>
      <c r="E68" s="2"/>
      <c r="F68" s="2" t="str">
        <f>IFERROR(__xludf.DUMMYFUNCTION("""COMPUTED_VALUE"""),"DB")</f>
        <v>DB</v>
      </c>
      <c r="G68" s="2">
        <f>IFERROR(__xludf.DUMMYFUNCTION("""COMPUTED_VALUE"""),4.8168271230999994E8)</f>
        <v>481682712.3</v>
      </c>
      <c r="H68" s="2">
        <f>IFERROR(__xludf.DUMMYFUNCTION("""COMPUTED_VALUE"""),4.8168271231E8)</f>
        <v>481682712.3</v>
      </c>
      <c r="I68" s="2" t="str">
        <f>IFERROR(__xludf.DUMMYFUNCTION("""COMPUTED_VALUE"""),"PRODUKSI")</f>
        <v>PRODUKSI</v>
      </c>
    </row>
    <row r="69">
      <c r="A69" s="7">
        <f>IFERROR(__xludf.DUMMYFUNCTION("""COMPUTED_VALUE"""),46220.0)</f>
        <v>46220</v>
      </c>
      <c r="B69" s="2" t="str">
        <f>IFERROR(__xludf.DUMMYFUNCTION("""COMPUTED_VALUE"""),"TRSF E-BANKING DB")</f>
        <v>TRSF E-BANKING DB</v>
      </c>
      <c r="C69" s="2" t="str">
        <f>IFERROR(__xludf.DUMMYFUNCTION("""COMPUTED_VALUE"""),"1707/FTFVA/WS95031 55569/PT PRIMA FAJ pelunasan kd misdi antoro blitar 40190")</f>
        <v>1707/FTFVA/WS95031 55569/PT PRIMA FAJ pelunasan kd misdi antoro blitar 40190</v>
      </c>
      <c r="D69" s="2">
        <f>IFERROR(__xludf.DUMMYFUNCTION("""COMPUTED_VALUE"""),4462000.0)</f>
        <v>4462000</v>
      </c>
      <c r="E69" s="2"/>
      <c r="F69" s="2" t="str">
        <f>IFERROR(__xludf.DUMMYFUNCTION("""COMPUTED_VALUE"""),"DB")</f>
        <v>DB</v>
      </c>
      <c r="G69" s="2">
        <f>IFERROR(__xludf.DUMMYFUNCTION("""COMPUTED_VALUE"""),4.7722071230999994E8)</f>
        <v>477220712.3</v>
      </c>
      <c r="H69" s="2"/>
      <c r="I69" s="2" t="str">
        <f>IFERROR(__xludf.DUMMYFUNCTION("""COMPUTED_VALUE"""),"PRODUKSI")</f>
        <v>PRODUKSI</v>
      </c>
    </row>
    <row r="70">
      <c r="A70" s="7">
        <f>IFERROR(__xludf.DUMMYFUNCTION("""COMPUTED_VALUE"""),46220.0)</f>
        <v>46220</v>
      </c>
      <c r="B70" s="2" t="str">
        <f>IFERROR(__xludf.DUMMYFUNCTION("""COMPUTED_VALUE"""),"TRSF E-BANKING DB")</f>
        <v>TRSF E-BANKING DB</v>
      </c>
      <c r="C70" s="2" t="str">
        <f>IFERROR(__xludf.DUMMYFUNCTION("""COMPUTED_VALUE"""),"1707/FTSCY/WS95011 69612000.00 Tue Jul 14 2026 14:00:00 GMT+0700 (Western Indonesia Time) ANDALAN YASA MITRA")</f>
        <v>1707/FTSCY/WS95011 69612000.00 Tue Jul 14 2026 14:00:00 GMT+0700 (Western Indonesia Time) ANDALAN YASA MITRA</v>
      </c>
      <c r="D70" s="2">
        <f>IFERROR(__xludf.DUMMYFUNCTION("""COMPUTED_VALUE"""),6.9612E7)</f>
        <v>69612000</v>
      </c>
      <c r="E70" s="2"/>
      <c r="F70" s="2" t="str">
        <f>IFERROR(__xludf.DUMMYFUNCTION("""COMPUTED_VALUE"""),"DB")</f>
        <v>DB</v>
      </c>
      <c r="G70" s="2">
        <f>IFERROR(__xludf.DUMMYFUNCTION("""COMPUTED_VALUE"""),4.0760871230999994E8)</f>
        <v>407608712.3</v>
      </c>
      <c r="H70" s="2"/>
      <c r="I70" s="2" t="str">
        <f>IFERROR(__xludf.DUMMYFUNCTION("""COMPUTED_VALUE"""),"PRODUKSI")</f>
        <v>PRODUKSI</v>
      </c>
    </row>
    <row r="71">
      <c r="A71" s="7">
        <f>IFERROR(__xludf.DUMMYFUNCTION("""COMPUTED_VALUE"""),46220.0)</f>
        <v>46220</v>
      </c>
      <c r="B71" s="2" t="str">
        <f>IFERROR(__xludf.DUMMYFUNCTION("""COMPUTED_VALUE"""),"TRSF E-BANKING DB")</f>
        <v>TRSF E-BANKING DB</v>
      </c>
      <c r="C71" s="2" t="str">
        <f>IFERROR(__xludf.DUMMYFUNCTION("""COMPUTED_VALUE"""),"1707/FTSCY/WS95011 74716800.00 Tue Jul 14 2026 14:00:00 GMT+0700 (Western Indonesia Time) BINTANG TAMA SANTO")</f>
        <v>1707/FTSCY/WS95011 74716800.00 Tue Jul 14 2026 14:00:00 GMT+0700 (Western Indonesia Time) BINTANG TAMA SANTO</v>
      </c>
      <c r="D71" s="2">
        <f>IFERROR(__xludf.DUMMYFUNCTION("""COMPUTED_VALUE"""),7.47168E7)</f>
        <v>74716800</v>
      </c>
      <c r="E71" s="2"/>
      <c r="F71" s="2" t="str">
        <f>IFERROR(__xludf.DUMMYFUNCTION("""COMPUTED_VALUE"""),"DB")</f>
        <v>DB</v>
      </c>
      <c r="G71" s="2">
        <f>IFERROR(__xludf.DUMMYFUNCTION("""COMPUTED_VALUE"""),3.3289191230999994E8)</f>
        <v>332891912.3</v>
      </c>
      <c r="H71" s="2"/>
      <c r="I71" s="2" t="str">
        <f>IFERROR(__xludf.DUMMYFUNCTION("""COMPUTED_VALUE"""),"PRODUKSI")</f>
        <v>PRODUKSI</v>
      </c>
    </row>
    <row r="72">
      <c r="A72" s="7">
        <f>IFERROR(__xludf.DUMMYFUNCTION("""COMPUTED_VALUE"""),46220.0)</f>
        <v>46220</v>
      </c>
      <c r="B72" s="2" t="str">
        <f>IFERROR(__xludf.DUMMYFUNCTION("""COMPUTED_VALUE"""),"TRSF E-BANKING DB")</f>
        <v>TRSF E-BANKING DB</v>
      </c>
      <c r="C72" s="2" t="str">
        <f>IFERROR(__xludf.DUMMYFUNCTION("""COMPUTED_VALUE"""),"1707/FTSCY/WS95011 134532000.00 Tue Jul 14 2026 14:00:00 GMT+0700 (Western Indonesia Time) ANUGERAH KARTIKA A")</f>
        <v>1707/FTSCY/WS95011 134532000.00 Tue Jul 14 2026 14:00:00 GMT+0700 (Western Indonesia Time) ANUGERAH KARTIKA A</v>
      </c>
      <c r="D72" s="2">
        <f>IFERROR(__xludf.DUMMYFUNCTION("""COMPUTED_VALUE"""),1.34532E8)</f>
        <v>134532000</v>
      </c>
      <c r="E72" s="2"/>
      <c r="F72" s="2" t="str">
        <f>IFERROR(__xludf.DUMMYFUNCTION("""COMPUTED_VALUE"""),"DB")</f>
        <v>DB</v>
      </c>
      <c r="G72" s="2">
        <f>IFERROR(__xludf.DUMMYFUNCTION("""COMPUTED_VALUE"""),1.9835991230999994E8)</f>
        <v>198359912.3</v>
      </c>
      <c r="H72" s="2"/>
      <c r="I72" s="2" t="str">
        <f>IFERROR(__xludf.DUMMYFUNCTION("""COMPUTED_VALUE"""),"PRODUKSI")</f>
        <v>PRODUKSI</v>
      </c>
    </row>
    <row r="73">
      <c r="A73" s="7">
        <f>IFERROR(__xludf.DUMMYFUNCTION("""COMPUTED_VALUE"""),46220.0)</f>
        <v>46220</v>
      </c>
      <c r="B73" s="2" t="str">
        <f>IFERROR(__xludf.DUMMYFUNCTION("""COMPUTED_VALUE"""),"TRSF E-BANKING DB")</f>
        <v>TRSF E-BANKING DB</v>
      </c>
      <c r="C73" s="2" t="str">
        <f>IFERROR(__xludf.DUMMYFUNCTION("""COMPUTED_VALUE"""),"1707/FTSCY/WS95011 61920000.00 Tue Jul 14 2026 14:00:00 GMT+0700 (Western Indonesia Time) ANUGERAH KARTIKA A")</f>
        <v>1707/FTSCY/WS95011 61920000.00 Tue Jul 14 2026 14:00:00 GMT+0700 (Western Indonesia Time) ANUGERAH KARTIKA A</v>
      </c>
      <c r="D73" s="2">
        <f>IFERROR(__xludf.DUMMYFUNCTION("""COMPUTED_VALUE"""),6.192E7)</f>
        <v>61920000</v>
      </c>
      <c r="E73" s="2"/>
      <c r="F73" s="2" t="str">
        <f>IFERROR(__xludf.DUMMYFUNCTION("""COMPUTED_VALUE"""),"DB")</f>
        <v>DB</v>
      </c>
      <c r="G73" s="2">
        <f>IFERROR(__xludf.DUMMYFUNCTION("""COMPUTED_VALUE"""),1.3643991230999994E8)</f>
        <v>136439912.3</v>
      </c>
      <c r="H73" s="2"/>
      <c r="I73" s="2" t="str">
        <f>IFERROR(__xludf.DUMMYFUNCTION("""COMPUTED_VALUE"""),"PRODUKSI")</f>
        <v>PRODUKSI</v>
      </c>
    </row>
    <row r="74">
      <c r="A74" s="7">
        <f>IFERROR(__xludf.DUMMYFUNCTION("""COMPUTED_VALUE"""),46220.0)</f>
        <v>46220</v>
      </c>
      <c r="B74" s="2" t="str">
        <f>IFERROR(__xludf.DUMMYFUNCTION("""COMPUTED_VALUE"""),"TRSF E-BANKING DB")</f>
        <v>TRSF E-BANKING DB</v>
      </c>
      <c r="C74" s="2" t="str">
        <f>IFERROR(__xludf.DUMMYFUNCTION("""COMPUTED_VALUE"""),"1707/FTSCY/WS95011 60300000.00 pelunasan TABASSAM AL HATTAK")</f>
        <v>1707/FTSCY/WS95011 60300000.00 pelunasan TABASSAM AL HATTAK</v>
      </c>
      <c r="D74" s="2">
        <f>IFERROR(__xludf.DUMMYFUNCTION("""COMPUTED_VALUE"""),6.03E7)</f>
        <v>60300000</v>
      </c>
      <c r="E74" s="2"/>
      <c r="F74" s="2" t="str">
        <f>IFERROR(__xludf.DUMMYFUNCTION("""COMPUTED_VALUE"""),"DB")</f>
        <v>DB</v>
      </c>
      <c r="G74" s="2">
        <f>IFERROR(__xludf.DUMMYFUNCTION("""COMPUTED_VALUE"""),7.613991230999994E7)</f>
        <v>76139912.31</v>
      </c>
      <c r="H74" s="2"/>
      <c r="I74" s="2" t="str">
        <f>IFERROR(__xludf.DUMMYFUNCTION("""COMPUTED_VALUE"""),"PRODUKSI")</f>
        <v>PRODUKSI</v>
      </c>
    </row>
    <row r="75">
      <c r="A75" s="7">
        <f>IFERROR(__xludf.DUMMYFUNCTION("""COMPUTED_VALUE"""),46220.0)</f>
        <v>46220</v>
      </c>
      <c r="B75" s="2" t="str">
        <f>IFERROR(__xludf.DUMMYFUNCTION("""COMPUTED_VALUE"""),"TRSF E-BANKING DB")</f>
        <v>TRSF E-BANKING DB</v>
      </c>
      <c r="C75" s="2" t="str">
        <f>IFERROR(__xludf.DUMMYFUNCTION("""COMPUTED_VALUE"""),"1707/FTSCY/WS95271 15000000.00 EKO SETIYAWAN")</f>
        <v>1707/FTSCY/WS95271 15000000.00 EKO SETIYAWAN</v>
      </c>
      <c r="D75" s="2">
        <f>IFERROR(__xludf.DUMMYFUNCTION("""COMPUTED_VALUE"""),1.5E7)</f>
        <v>15000000</v>
      </c>
      <c r="E75" s="2"/>
      <c r="F75" s="2" t="str">
        <f>IFERROR(__xludf.DUMMYFUNCTION("""COMPUTED_VALUE"""),"DB")</f>
        <v>DB</v>
      </c>
      <c r="G75" s="2">
        <f>IFERROR(__xludf.DUMMYFUNCTION("""COMPUTED_VALUE"""),3.5548741230999994E8)</f>
        <v>355487412.3</v>
      </c>
      <c r="H75" s="2">
        <f>IFERROR(__xludf.DUMMYFUNCTION("""COMPUTED_VALUE"""),3.5548741231E8)</f>
        <v>355487412.3</v>
      </c>
      <c r="I75" s="2" t="str">
        <f>IFERROR(__xludf.DUMMYFUNCTION("""COMPUTED_VALUE"""),"PRODUKSI")</f>
        <v>PRODUKSI</v>
      </c>
    </row>
    <row r="76">
      <c r="A76" s="7">
        <f>IFERROR(__xludf.DUMMYFUNCTION("""COMPUTED_VALUE"""),46220.0)</f>
        <v>46220</v>
      </c>
      <c r="B76" s="2" t="str">
        <f>IFERROR(__xludf.DUMMYFUNCTION("""COMPUTED_VALUE"""),"TRSF E-BANKING DB")</f>
        <v>TRSF E-BANKING DB</v>
      </c>
      <c r="C76" s="2" t="str">
        <f>IFERROR(__xludf.DUMMYFUNCTION("""COMPUTED_VALUE"""),"1707/FTSCY/WS95271 1000000.00 tot. bon 2.5 jt SUNARTO")</f>
        <v>1707/FTSCY/WS95271 1000000.00 tot. bon 2.5 jt SUNARTO</v>
      </c>
      <c r="D76" s="2">
        <f>IFERROR(__xludf.DUMMYFUNCTION("""COMPUTED_VALUE"""),1000000.0)</f>
        <v>1000000</v>
      </c>
      <c r="E76" s="2"/>
      <c r="F76" s="2" t="str">
        <f>IFERROR(__xludf.DUMMYFUNCTION("""COMPUTED_VALUE"""),"DB")</f>
        <v>DB</v>
      </c>
      <c r="G76" s="2">
        <f>IFERROR(__xludf.DUMMYFUNCTION("""COMPUTED_VALUE"""),3.5448741230999994E8)</f>
        <v>354487412.3</v>
      </c>
      <c r="H76" s="2">
        <f>IFERROR(__xludf.DUMMYFUNCTION("""COMPUTED_VALUE"""),3.5448741231E8)</f>
        <v>354487412.3</v>
      </c>
      <c r="I76" s="2" t="str">
        <f>IFERROR(__xludf.DUMMYFUNCTION("""COMPUTED_VALUE"""),"PRODUKSI")</f>
        <v>PRODUKSI</v>
      </c>
    </row>
    <row r="77">
      <c r="A77" s="7">
        <f>IFERROR(__xludf.DUMMYFUNCTION("""COMPUTED_VALUE"""),46220.0)</f>
        <v>46220</v>
      </c>
      <c r="B77" s="2" t="str">
        <f>IFERROR(__xludf.DUMMYFUNCTION("""COMPUTED_VALUE"""),"TARIKAN ATM 17/07")</f>
        <v>TARIKAN ATM 17/07</v>
      </c>
      <c r="C77" s="2" t="str">
        <f>IFERROR(__xludf.DUMMYFUNCTION("""COMPUTED_VALUE"""),"TARIKAN ATM 17/07")</f>
        <v>TARIKAN ATM 17/07</v>
      </c>
      <c r="D77" s="2">
        <f>IFERROR(__xludf.DUMMYFUNCTION("""COMPUTED_VALUE"""),300000.0)</f>
        <v>300000</v>
      </c>
      <c r="E77" s="2"/>
      <c r="F77" s="2"/>
      <c r="G77" s="2">
        <f>IFERROR(__xludf.DUMMYFUNCTION("""COMPUTED_VALUE"""),3.5418741230999994E8)</f>
        <v>354187412.3</v>
      </c>
      <c r="H77" s="2"/>
      <c r="I77" s="2" t="str">
        <f>IFERROR(__xludf.DUMMYFUNCTION("""COMPUTED_VALUE"""),"PRODUKSI")</f>
        <v>PRODUKSI</v>
      </c>
    </row>
    <row r="78">
      <c r="A78" s="7">
        <f>IFERROR(__xludf.DUMMYFUNCTION("""COMPUTED_VALUE"""),46220.0)</f>
        <v>46220</v>
      </c>
      <c r="B78" s="2" t="str">
        <f>IFERROR(__xludf.DUMMYFUNCTION("""COMPUTED_VALUE"""),"KARTU DEBIT")</f>
        <v>KARTU DEBIT</v>
      </c>
      <c r="C78" s="2" t="str">
        <f>IFERROR(__xludf.DUMMYFUNCTION("""COMPUTED_VALUE"""),"GOLDEN MARKET-HO 6019009510239343")</f>
        <v>GOLDEN MARKET-HO 6019009510239343</v>
      </c>
      <c r="D78" s="2">
        <f>IFERROR(__xludf.DUMMYFUNCTION("""COMPUTED_VALUE"""),352400.0)</f>
        <v>352400</v>
      </c>
      <c r="E78" s="2"/>
      <c r="F78" s="2"/>
      <c r="G78" s="2">
        <f>IFERROR(__xludf.DUMMYFUNCTION("""COMPUTED_VALUE"""),3.5383501230999994E8)</f>
        <v>353835012.3</v>
      </c>
      <c r="H78" s="2"/>
      <c r="I78" s="2" t="str">
        <f>IFERROR(__xludf.DUMMYFUNCTION("""COMPUTED_VALUE"""),"PRODUKSI")</f>
        <v>PRODUKSI</v>
      </c>
    </row>
    <row r="79">
      <c r="A79" s="7">
        <f>IFERROR(__xludf.DUMMYFUNCTION("""COMPUTED_VALUE"""),46221.0)</f>
        <v>46221</v>
      </c>
      <c r="B79" s="2" t="str">
        <f>IFERROR(__xludf.DUMMYFUNCTION("""COMPUTED_VALUE"""),"TRSF E-BANKING DB TANGGAL :17/07")</f>
        <v>TRSF E-BANKING DB TANGGAL :17/07</v>
      </c>
      <c r="C79" s="2" t="str">
        <f>IFERROR(__xludf.DUMMYFUNCTION("""COMPUTED_VALUE"""),"1707/FTFVA/WS95031 blitar - 40190")</f>
        <v>1707/FTFVA/WS95031 blitar - 40190</v>
      </c>
      <c r="D79" s="2">
        <f>IFERROR(__xludf.DUMMYFUNCTION("""COMPUTED_VALUE"""),7.786E7)</f>
        <v>77860000</v>
      </c>
      <c r="E79" s="2"/>
      <c r="F79" s="2" t="str">
        <f>IFERROR(__xludf.DUMMYFUNCTION("""COMPUTED_VALUE"""),"DB")</f>
        <v>DB</v>
      </c>
      <c r="G79" s="2">
        <f>IFERROR(__xludf.DUMMYFUNCTION("""COMPUTED_VALUE"""),1.09128091231E9)</f>
        <v>1091280912</v>
      </c>
      <c r="H79" s="2"/>
      <c r="I79" s="2" t="str">
        <f>IFERROR(__xludf.DUMMYFUNCTION("""COMPUTED_VALUE"""),"PRODUKSI")</f>
        <v>PRODUKSI</v>
      </c>
    </row>
    <row r="80">
      <c r="A80" s="7">
        <f>IFERROR(__xludf.DUMMYFUNCTION("""COMPUTED_VALUE"""),46221.0)</f>
        <v>46221</v>
      </c>
      <c r="B80" s="2" t="str">
        <f>IFERROR(__xludf.DUMMYFUNCTION("""COMPUTED_VALUE"""),"TRSF E-BANKING DB")</f>
        <v>TRSF E-BANKING DB</v>
      </c>
      <c r="C80" s="2" t="str">
        <f>IFERROR(__xludf.DUMMYFUNCTION("""COMPUTED_VALUE"""),"1807/FTSCY/WS95271 75570000.00 pemb. kd tukiman b litar TABASSAM AL HATTAK")</f>
        <v>1807/FTSCY/WS95271 75570000.00 pemb. kd tukiman b litar TABASSAM AL HATTAK</v>
      </c>
      <c r="D80" s="2">
        <f>IFERROR(__xludf.DUMMYFUNCTION("""COMPUTED_VALUE"""),7.557E7)</f>
        <v>75570000</v>
      </c>
      <c r="E80" s="2"/>
      <c r="F80" s="2" t="str">
        <f>IFERROR(__xludf.DUMMYFUNCTION("""COMPUTED_VALUE"""),"DB")</f>
        <v>DB</v>
      </c>
      <c r="G80" s="2">
        <f>IFERROR(__xludf.DUMMYFUNCTION("""COMPUTED_VALUE"""),1.01571091231E9)</f>
        <v>1015710912</v>
      </c>
      <c r="H80" s="2"/>
      <c r="I80" s="2" t="str">
        <f>IFERROR(__xludf.DUMMYFUNCTION("""COMPUTED_VALUE"""),"PRODUKSI")</f>
        <v>PRODUKSI</v>
      </c>
    </row>
    <row r="81">
      <c r="A81" s="7">
        <f>IFERROR(__xludf.DUMMYFUNCTION("""COMPUTED_VALUE"""),46221.0)</f>
        <v>46221</v>
      </c>
      <c r="B81" s="2" t="str">
        <f>IFERROR(__xludf.DUMMYFUNCTION("""COMPUTED_VALUE"""),"TRSF E-BANKING DB")</f>
        <v>TRSF E-BANKING DB</v>
      </c>
      <c r="C81" s="2" t="str">
        <f>IFERROR(__xludf.DUMMYFUNCTION("""COMPUTED_VALUE"""),"1807/FTSCY/WS95271 112500000.00 titip lmg TERNAK SEJATI TABA")</f>
        <v>1807/FTSCY/WS95271 112500000.00 titip lmg TERNAK SEJATI TABA</v>
      </c>
      <c r="D81" s="2">
        <f>IFERROR(__xludf.DUMMYFUNCTION("""COMPUTED_VALUE"""),1.125E8)</f>
        <v>112500000</v>
      </c>
      <c r="E81" s="2"/>
      <c r="F81" s="2" t="str">
        <f>IFERROR(__xludf.DUMMYFUNCTION("""COMPUTED_VALUE"""),"DB")</f>
        <v>DB</v>
      </c>
      <c r="G81" s="2">
        <f>IFERROR(__xludf.DUMMYFUNCTION("""COMPUTED_VALUE"""),9.0321091231E8)</f>
        <v>903210912.3</v>
      </c>
      <c r="H81" s="2"/>
      <c r="I81" s="2" t="str">
        <f>IFERROR(__xludf.DUMMYFUNCTION("""COMPUTED_VALUE"""),"PRODUKSI")</f>
        <v>PRODUKSI</v>
      </c>
    </row>
    <row r="82">
      <c r="A82" s="7">
        <f>IFERROR(__xludf.DUMMYFUNCTION("""COMPUTED_VALUE"""),46221.0)</f>
        <v>46221</v>
      </c>
      <c r="B82" s="2" t="str">
        <f>IFERROR(__xludf.DUMMYFUNCTION("""COMPUTED_VALUE"""),"TRSF E-BANKING DB")</f>
        <v>TRSF E-BANKING DB</v>
      </c>
      <c r="C82" s="2" t="str">
        <f>IFERROR(__xludf.DUMMYFUNCTION("""COMPUTED_VALUE"""),"1807/FTSCY/WS95031 100000000.00 Wed Jul 15 2026 14:00:00 GMT+0700 (Western Indonesia Time) GANESHA SATRIA NUS")</f>
        <v>1807/FTSCY/WS95031 100000000.00 Wed Jul 15 2026 14:00:00 GMT+0700 (Western Indonesia Time) GANESHA SATRIA NUS</v>
      </c>
      <c r="D82" s="2">
        <f>IFERROR(__xludf.DUMMYFUNCTION("""COMPUTED_VALUE"""),1.0E8)</f>
        <v>100000000</v>
      </c>
      <c r="E82" s="2"/>
      <c r="F82" s="2" t="str">
        <f>IFERROR(__xludf.DUMMYFUNCTION("""COMPUTED_VALUE"""),"DB")</f>
        <v>DB</v>
      </c>
      <c r="G82" s="2">
        <f>IFERROR(__xludf.DUMMYFUNCTION("""COMPUTED_VALUE"""),8.0321091231E8)</f>
        <v>803210912.3</v>
      </c>
      <c r="H82" s="2"/>
      <c r="I82" s="2" t="str">
        <f>IFERROR(__xludf.DUMMYFUNCTION("""COMPUTED_VALUE"""),"PRODUKSI")</f>
        <v>PRODUKSI</v>
      </c>
    </row>
    <row r="83">
      <c r="A83" s="7">
        <f>IFERROR(__xludf.DUMMYFUNCTION("""COMPUTED_VALUE"""),46221.0)</f>
        <v>46221</v>
      </c>
      <c r="B83" s="2" t="str">
        <f>IFERROR(__xludf.DUMMYFUNCTION("""COMPUTED_VALUE"""),"TRSF E-BANKING DB")</f>
        <v>TRSF E-BANKING DB</v>
      </c>
      <c r="C83" s="2" t="str">
        <f>IFERROR(__xludf.DUMMYFUNCTION("""COMPUTED_VALUE"""),"1807/FTSCY/WS95011 278378580.00 Tue Jul 14 2026 14:00:00 GMT+0700 (Western Indonesia Time) SUPER UNGGAS JAYA")</f>
        <v>1807/FTSCY/WS95011 278378580.00 Tue Jul 14 2026 14:00:00 GMT+0700 (Western Indonesia Time) SUPER UNGGAS JAYA</v>
      </c>
      <c r="D83" s="2">
        <f>IFERROR(__xludf.DUMMYFUNCTION("""COMPUTED_VALUE"""),2.7837858E8)</f>
        <v>278378580</v>
      </c>
      <c r="E83" s="2"/>
      <c r="F83" s="2" t="str">
        <f>IFERROR(__xludf.DUMMYFUNCTION("""COMPUTED_VALUE"""),"DB")</f>
        <v>DB</v>
      </c>
      <c r="G83" s="2">
        <f>IFERROR(__xludf.DUMMYFUNCTION("""COMPUTED_VALUE"""),5.2483233230999994E8)</f>
        <v>524832332.3</v>
      </c>
      <c r="H83" s="2"/>
      <c r="I83" s="2" t="str">
        <f>IFERROR(__xludf.DUMMYFUNCTION("""COMPUTED_VALUE"""),"PRODUKSI")</f>
        <v>PRODUKSI</v>
      </c>
    </row>
    <row r="84">
      <c r="A84" s="7">
        <f>IFERROR(__xludf.DUMMYFUNCTION("""COMPUTED_VALUE"""),46221.0)</f>
        <v>46221</v>
      </c>
      <c r="B84" s="2" t="str">
        <f>IFERROR(__xludf.DUMMYFUNCTION("""COMPUTED_VALUE"""),"TRSF E-BANKING DB")</f>
        <v>TRSF E-BANKING DB</v>
      </c>
      <c r="C84" s="2" t="str">
        <f>IFERROR(__xludf.DUMMYFUNCTION("""COMPUTED_VALUE"""),"1807/FTSCY/WS95011 147656640.00 pelunasan GANESHA SATRIA NUS")</f>
        <v>1807/FTSCY/WS95011 147656640.00 pelunasan GANESHA SATRIA NUS</v>
      </c>
      <c r="D84" s="2">
        <f>IFERROR(__xludf.DUMMYFUNCTION("""COMPUTED_VALUE"""),1.4765664E8)</f>
        <v>147656640</v>
      </c>
      <c r="E84" s="2"/>
      <c r="F84" s="2" t="str">
        <f>IFERROR(__xludf.DUMMYFUNCTION("""COMPUTED_VALUE"""),"DB")</f>
        <v>DB</v>
      </c>
      <c r="G84" s="2">
        <f>IFERROR(__xludf.DUMMYFUNCTION("""COMPUTED_VALUE"""),3.7717569230999994E8)</f>
        <v>377175692.3</v>
      </c>
      <c r="H84" s="2"/>
      <c r="I84" s="2" t="str">
        <f>IFERROR(__xludf.DUMMYFUNCTION("""COMPUTED_VALUE"""),"PRODUKSI")</f>
        <v>PRODUKSI</v>
      </c>
    </row>
    <row r="85">
      <c r="A85" s="7">
        <f>IFERROR(__xludf.DUMMYFUNCTION("""COMPUTED_VALUE"""),46221.0)</f>
        <v>46221</v>
      </c>
      <c r="B85" s="2" t="str">
        <f>IFERROR(__xludf.DUMMYFUNCTION("""COMPUTED_VALUE"""),"TRSF E-BANKING DB")</f>
        <v>TRSF E-BANKING DB</v>
      </c>
      <c r="C85" s="2" t="str">
        <f>IFERROR(__xludf.DUMMYFUNCTION("""COMPUTED_VALUE"""),"1807/FTSCY/WS95011 73950000.00 titip LAWU ABADI NUSA PT")</f>
        <v>1807/FTSCY/WS95011 73950000.00 titip LAWU ABADI NUSA PT</v>
      </c>
      <c r="D85" s="2">
        <f>IFERROR(__xludf.DUMMYFUNCTION("""COMPUTED_VALUE"""),7.395E7)</f>
        <v>73950000</v>
      </c>
      <c r="E85" s="2"/>
      <c r="F85" s="2" t="str">
        <f>IFERROR(__xludf.DUMMYFUNCTION("""COMPUTED_VALUE"""),"DB")</f>
        <v>DB</v>
      </c>
      <c r="G85" s="2">
        <f>IFERROR(__xludf.DUMMYFUNCTION("""COMPUTED_VALUE"""),3.0322569230999994E8)</f>
        <v>303225692.3</v>
      </c>
      <c r="H85" s="2"/>
      <c r="I85" s="2" t="str">
        <f>IFERROR(__xludf.DUMMYFUNCTION("""COMPUTED_VALUE"""),"PRODUKSI")</f>
        <v>PRODUKSI</v>
      </c>
    </row>
    <row r="86">
      <c r="A86" s="7">
        <f>IFERROR(__xludf.DUMMYFUNCTION("""COMPUTED_VALUE"""),46221.0)</f>
        <v>46221</v>
      </c>
      <c r="B86" s="2" t="str">
        <f>IFERROR(__xludf.DUMMYFUNCTION("""COMPUTED_VALUE"""),"TRSF E-BANKING DB")</f>
        <v>TRSF E-BANKING DB</v>
      </c>
      <c r="C86" s="2" t="str">
        <f>IFERROR(__xludf.DUMMYFUNCTION("""COMPUTED_VALUE"""),"1807/FTSCY/WS95271 82445330.00 mlg TABASSAM AL HATTAK")</f>
        <v>1807/FTSCY/WS95271 82445330.00 mlg TABASSAM AL HATTAK</v>
      </c>
      <c r="D86" s="2">
        <f>IFERROR(__xludf.DUMMYFUNCTION("""COMPUTED_VALUE"""),8.244533E7)</f>
        <v>82445330</v>
      </c>
      <c r="E86" s="2"/>
      <c r="F86" s="2" t="str">
        <f>IFERROR(__xludf.DUMMYFUNCTION("""COMPUTED_VALUE"""),"DB")</f>
        <v>DB</v>
      </c>
      <c r="G86" s="2">
        <f>IFERROR(__xludf.DUMMYFUNCTION("""COMPUTED_VALUE"""),2.2078036230999994E8)</f>
        <v>220780362.3</v>
      </c>
      <c r="H86" s="2">
        <f>IFERROR(__xludf.DUMMYFUNCTION("""COMPUTED_VALUE"""),2.2078036231E8)</f>
        <v>220780362.3</v>
      </c>
      <c r="I86" s="2" t="str">
        <f>IFERROR(__xludf.DUMMYFUNCTION("""COMPUTED_VALUE"""),"PRODUKSI")</f>
        <v>PRODUKSI</v>
      </c>
    </row>
    <row r="87">
      <c r="A87" s="7">
        <f>IFERROR(__xludf.DUMMYFUNCTION("""COMPUTED_VALUE"""),46221.0)</f>
        <v>46221</v>
      </c>
      <c r="B87" s="2" t="str">
        <f>IFERROR(__xludf.DUMMYFUNCTION("""COMPUTED_VALUE"""),"KARTU DEBIT")</f>
        <v>KARTU DEBIT</v>
      </c>
      <c r="C87" s="2" t="str">
        <f>IFERROR(__xludf.DUMMYFUNCTION("""COMPUTED_VALUE"""),"ARDJUNA TOKO MAS-H 6019009510239343")</f>
        <v>ARDJUNA TOKO MAS-H 6019009510239343</v>
      </c>
      <c r="D87" s="2">
        <f>IFERROR(__xludf.DUMMYFUNCTION("""COMPUTED_VALUE"""),1140000.0)</f>
        <v>1140000</v>
      </c>
      <c r="E87" s="2"/>
      <c r="F87" s="2"/>
      <c r="G87" s="2">
        <f>IFERROR(__xludf.DUMMYFUNCTION("""COMPUTED_VALUE"""),4.1979718230999994E8)</f>
        <v>419797182.3</v>
      </c>
      <c r="H87" s="2"/>
      <c r="I87" s="2" t="str">
        <f>IFERROR(__xludf.DUMMYFUNCTION("""COMPUTED_VALUE"""),"PRODUKSI")</f>
        <v>PRODUKSI</v>
      </c>
    </row>
    <row r="88">
      <c r="A88" s="7">
        <f>IFERROR(__xludf.DUMMYFUNCTION("""COMPUTED_VALUE"""),46221.0)</f>
        <v>46221</v>
      </c>
      <c r="B88" s="2" t="str">
        <f>IFERROR(__xludf.DUMMYFUNCTION("""COMPUTED_VALUE"""),"TRSF E-BANKING DB")</f>
        <v>TRSF E-BANKING DB</v>
      </c>
      <c r="C88" s="2" t="str">
        <f>IFERROR(__xludf.DUMMYFUNCTION("""COMPUTED_VALUE"""),"1807/FTSCY/WS95271 600000.00 NURUL AINI")</f>
        <v>1807/FTSCY/WS95271 600000.00 NURUL AINI</v>
      </c>
      <c r="D88" s="2">
        <f>IFERROR(__xludf.DUMMYFUNCTION("""COMPUTED_VALUE"""),600000.0)</f>
        <v>600000</v>
      </c>
      <c r="E88" s="2"/>
      <c r="F88" s="2" t="str">
        <f>IFERROR(__xludf.DUMMYFUNCTION("""COMPUTED_VALUE"""),"DB")</f>
        <v>DB</v>
      </c>
      <c r="G88" s="2">
        <f>IFERROR(__xludf.DUMMYFUNCTION("""COMPUTED_VALUE"""),4.1979718230999994E8)</f>
        <v>419797182.3</v>
      </c>
      <c r="H88" s="2"/>
      <c r="I88" s="2" t="str">
        <f>IFERROR(__xludf.DUMMYFUNCTION("""COMPUTED_VALUE"""),"PRODUKSI")</f>
        <v>PRODUKSI</v>
      </c>
    </row>
    <row r="89">
      <c r="A89" s="7">
        <f>IFERROR(__xludf.DUMMYFUNCTION("""COMPUTED_VALUE"""),46221.0)</f>
        <v>46221</v>
      </c>
      <c r="B89" s="2" t="str">
        <f>IFERROR(__xludf.DUMMYFUNCTION("""COMPUTED_VALUE"""),"TRSF E-BANKING DB")</f>
        <v>TRSF E-BANKING DB</v>
      </c>
      <c r="C89" s="2" t="str">
        <f>IFERROR(__xludf.DUMMYFUNCTION("""COMPUTED_VALUE"""),"1807/FTSCY/WS95271 350000.00 MUHAMMAD HAIRUL MA")</f>
        <v>1807/FTSCY/WS95271 350000.00 MUHAMMAD HAIRUL MA</v>
      </c>
      <c r="D89" s="2">
        <f>IFERROR(__xludf.DUMMYFUNCTION("""COMPUTED_VALUE"""),350000.0)</f>
        <v>350000</v>
      </c>
      <c r="E89" s="2"/>
      <c r="F89" s="2" t="str">
        <f>IFERROR(__xludf.DUMMYFUNCTION("""COMPUTED_VALUE"""),"DB")</f>
        <v>DB</v>
      </c>
      <c r="G89" s="2">
        <f>IFERROR(__xludf.DUMMYFUNCTION("""COMPUTED_VALUE"""),4.9548660730999994E8)</f>
        <v>495486607.3</v>
      </c>
      <c r="H89" s="2"/>
      <c r="I89" s="2" t="str">
        <f>IFERROR(__xludf.DUMMYFUNCTION("""COMPUTED_VALUE"""),"PRODUKSI")</f>
        <v>PRODUKSI</v>
      </c>
    </row>
    <row r="90">
      <c r="A90" s="7">
        <f>IFERROR(__xludf.DUMMYFUNCTION("""COMPUTED_VALUE"""),46221.0)</f>
        <v>46221</v>
      </c>
      <c r="B90" s="2" t="str">
        <f>IFERROR(__xludf.DUMMYFUNCTION("""COMPUTED_VALUE"""),"BI-FAST DB")</f>
        <v>BI-FAST DB</v>
      </c>
      <c r="C90" s="2" t="str">
        <f>IFERROR(__xludf.DUMMYFUNCTION("""COMPUTED_VALUE"""),"BIF TRANSFER KE 9 ALFIN HARDIANSYAH MyBCA")</f>
        <v>BIF TRANSFER KE 9 ALFIN HARDIANSYAH MyBCA</v>
      </c>
      <c r="D90" s="2">
        <f>IFERROR(__xludf.DUMMYFUNCTION("""COMPUTED_VALUE"""),2000000.0)</f>
        <v>2000000</v>
      </c>
      <c r="E90" s="2"/>
      <c r="F90" s="2" t="str">
        <f>IFERROR(__xludf.DUMMYFUNCTION("""COMPUTED_VALUE"""),"DB")</f>
        <v>DB</v>
      </c>
      <c r="G90" s="2">
        <f>IFERROR(__xludf.DUMMYFUNCTION("""COMPUTED_VALUE"""),4.9348660730999994E8)</f>
        <v>493486607.3</v>
      </c>
      <c r="H90" s="2"/>
      <c r="I90" s="2" t="str">
        <f>IFERROR(__xludf.DUMMYFUNCTION("""COMPUTED_VALUE"""),"PRODUKSI")</f>
        <v>PRODUKSI</v>
      </c>
    </row>
    <row r="91">
      <c r="A91" s="7">
        <f>IFERROR(__xludf.DUMMYFUNCTION("""COMPUTED_VALUE"""),46221.0)</f>
        <v>46221</v>
      </c>
      <c r="B91" s="2" t="str">
        <f>IFERROR(__xludf.DUMMYFUNCTION("""COMPUTED_VALUE"""),"BI-FAST DB")</f>
        <v>BI-FAST DB</v>
      </c>
      <c r="C91" s="2" t="str">
        <f>IFERROR(__xludf.DUMMYFUNCTION("""COMPUTED_VALUE"""),"BIF BIAYA TXN KE 9 ALFIN HARDIANSYAH MyBCA")</f>
        <v>BIF BIAYA TXN KE 9 ALFIN HARDIANSYAH MyBCA</v>
      </c>
      <c r="D91" s="2">
        <f>IFERROR(__xludf.DUMMYFUNCTION("""COMPUTED_VALUE"""),2500.0)</f>
        <v>2500</v>
      </c>
      <c r="E91" s="2"/>
      <c r="F91" s="2" t="str">
        <f>IFERROR(__xludf.DUMMYFUNCTION("""COMPUTED_VALUE"""),"DB")</f>
        <v>DB</v>
      </c>
      <c r="G91" s="2">
        <f>IFERROR(__xludf.DUMMYFUNCTION("""COMPUTED_VALUE"""),4.9348410730999994E8)</f>
        <v>493484107.3</v>
      </c>
      <c r="H91" s="2"/>
      <c r="I91" s="2" t="str">
        <f>IFERROR(__xludf.DUMMYFUNCTION("""COMPUTED_VALUE"""),"PRODUKSI")</f>
        <v>PRODUKSI</v>
      </c>
    </row>
    <row r="92">
      <c r="A92" s="7">
        <f>IFERROR(__xludf.DUMMYFUNCTION("""COMPUTED_VALUE"""),46221.0)</f>
        <v>46221</v>
      </c>
      <c r="B92" s="2" t="str">
        <f>IFERROR(__xludf.DUMMYFUNCTION("""COMPUTED_VALUE"""),"TRSF E-BANKING DB")</f>
        <v>TRSF E-BANKING DB</v>
      </c>
      <c r="C92" s="2" t="str">
        <f>IFERROR(__xludf.DUMMYFUNCTION("""COMPUTED_VALUE"""),"1807/FTSCY/WS95271 10000000.00 EKO SETIYAWAN")</f>
        <v>1807/FTSCY/WS95271 10000000.00 EKO SETIYAWAN</v>
      </c>
      <c r="D92" s="2">
        <f>IFERROR(__xludf.DUMMYFUNCTION("""COMPUTED_VALUE"""),1.0E7)</f>
        <v>10000000</v>
      </c>
      <c r="E92" s="2"/>
      <c r="F92" s="2" t="str">
        <f>IFERROR(__xludf.DUMMYFUNCTION("""COMPUTED_VALUE"""),"DB")</f>
        <v>DB</v>
      </c>
      <c r="G92" s="2">
        <f>IFERROR(__xludf.DUMMYFUNCTION("""COMPUTED_VALUE"""),4.8348410730999994E8)</f>
        <v>483484107.3</v>
      </c>
      <c r="H92" s="2"/>
      <c r="I92" s="2" t="str">
        <f>IFERROR(__xludf.DUMMYFUNCTION("""COMPUTED_VALUE"""),"PRODUKSI")</f>
        <v>PRODUKSI</v>
      </c>
    </row>
    <row r="93">
      <c r="A93" s="7">
        <f>IFERROR(__xludf.DUMMYFUNCTION("""COMPUTED_VALUE"""),46222.0)</f>
        <v>46222</v>
      </c>
      <c r="B93" s="2" t="str">
        <f>IFERROR(__xludf.DUMMYFUNCTION("""COMPUTED_VALUE"""),"TRSF E-BANKING DB")</f>
        <v>TRSF E-BANKING DB</v>
      </c>
      <c r="C93" s="2" t="str">
        <f>IFERROR(__xludf.DUMMYFUNCTION("""COMPUTED_VALUE"""),"1907/FTSCY/WS95011 231249470.00 pelunasan BROILER MAKMUR TAN")</f>
        <v>1907/FTSCY/WS95011 231249470.00 pelunasan BROILER MAKMUR TAN</v>
      </c>
      <c r="D93" s="2">
        <f>IFERROR(__xludf.DUMMYFUNCTION("""COMPUTED_VALUE"""),2.3124947E8)</f>
        <v>231249470</v>
      </c>
      <c r="E93" s="2"/>
      <c r="F93" s="2" t="str">
        <f>IFERROR(__xludf.DUMMYFUNCTION("""COMPUTED_VALUE"""),"DB")</f>
        <v>DB</v>
      </c>
      <c r="G93" s="2">
        <f>IFERROR(__xludf.DUMMYFUNCTION("""COMPUTED_VALUE"""),6.5650283731E8)</f>
        <v>656502837.3</v>
      </c>
      <c r="H93" s="2">
        <f>IFERROR(__xludf.DUMMYFUNCTION("""COMPUTED_VALUE"""),6.5650283731E8)</f>
        <v>656502837.3</v>
      </c>
      <c r="I93" s="2" t="str">
        <f>IFERROR(__xludf.DUMMYFUNCTION("""COMPUTED_VALUE"""),"PRODUKSI")</f>
        <v>PRODUKSI</v>
      </c>
    </row>
    <row r="94">
      <c r="A94" s="7">
        <f>IFERROR(__xludf.DUMMYFUNCTION("""COMPUTED_VALUE"""),46222.0)</f>
        <v>46222</v>
      </c>
      <c r="B94" s="2" t="str">
        <f>IFERROR(__xludf.DUMMYFUNCTION("""COMPUTED_VALUE"""),"TRSF E-BANKING DB")</f>
        <v>TRSF E-BANKING DB</v>
      </c>
      <c r="C94" s="2" t="str">
        <f>IFERROR(__xludf.DUMMYFUNCTION("""COMPUTED_VALUE"""),"1907/FTSCY/WS95011 202752000.00 Thu Jul 16 2026 14:00:00 GMT+0700 (Western Indonesia Time) ANDALAN YASA MITRA")</f>
        <v>1907/FTSCY/WS95011 202752000.00 Thu Jul 16 2026 14:00:00 GMT+0700 (Western Indonesia Time) ANDALAN YASA MITRA</v>
      </c>
      <c r="D94" s="2">
        <f>IFERROR(__xludf.DUMMYFUNCTION("""COMPUTED_VALUE"""),2.02752E8)</f>
        <v>202752000</v>
      </c>
      <c r="E94" s="2"/>
      <c r="F94" s="2" t="str">
        <f>IFERROR(__xludf.DUMMYFUNCTION("""COMPUTED_VALUE"""),"DB")</f>
        <v>DB</v>
      </c>
      <c r="G94" s="2">
        <f>IFERROR(__xludf.DUMMYFUNCTION("""COMPUTED_VALUE"""),4.5375083730999994E8)</f>
        <v>453750837.3</v>
      </c>
      <c r="H94" s="2"/>
      <c r="I94" s="2" t="str">
        <f>IFERROR(__xludf.DUMMYFUNCTION("""COMPUTED_VALUE"""),"PRODUKSI")</f>
        <v>PRODUKSI</v>
      </c>
    </row>
    <row r="95">
      <c r="A95" s="7">
        <f>IFERROR(__xludf.DUMMYFUNCTION("""COMPUTED_VALUE"""),46222.0)</f>
        <v>46222</v>
      </c>
      <c r="B95" s="2" t="str">
        <f>IFERROR(__xludf.DUMMYFUNCTION("""COMPUTED_VALUE"""),"TRSF E-BANKING DB")</f>
        <v>TRSF E-BANKING DB</v>
      </c>
      <c r="C95" s="2" t="str">
        <f>IFERROR(__xludf.DUMMYFUNCTION("""COMPUTED_VALUE"""),"1907/FTSCY/WS95011 65979400.00 Thu Jul 16 2026 14:00:00 GMT+0700 (Western Indonesia Time) TUMBUH OPTIMAL PRI")</f>
        <v>1907/FTSCY/WS95011 65979400.00 Thu Jul 16 2026 14:00:00 GMT+0700 (Western Indonesia Time) TUMBUH OPTIMAL PRI</v>
      </c>
      <c r="D95" s="2">
        <f>IFERROR(__xludf.DUMMYFUNCTION("""COMPUTED_VALUE"""),6.59794E7)</f>
        <v>65979400</v>
      </c>
      <c r="E95" s="2"/>
      <c r="F95" s="2" t="str">
        <f>IFERROR(__xludf.DUMMYFUNCTION("""COMPUTED_VALUE"""),"DB")</f>
        <v>DB</v>
      </c>
      <c r="G95" s="2">
        <f>IFERROR(__xludf.DUMMYFUNCTION("""COMPUTED_VALUE"""),3.8777143730999994E8)</f>
        <v>387771437.3</v>
      </c>
      <c r="H95" s="2"/>
      <c r="I95" s="2" t="str">
        <f>IFERROR(__xludf.DUMMYFUNCTION("""COMPUTED_VALUE"""),"PRODUKSI")</f>
        <v>PRODUKSI</v>
      </c>
    </row>
    <row r="96">
      <c r="A96" s="7">
        <f>IFERROR(__xludf.DUMMYFUNCTION("""COMPUTED_VALUE"""),46222.0)</f>
        <v>46222</v>
      </c>
      <c r="B96" s="2" t="str">
        <f>IFERROR(__xludf.DUMMYFUNCTION("""COMPUTED_VALUE"""),"TRSF E-BANKING DB")</f>
        <v>TRSF E-BANKING DB</v>
      </c>
      <c r="C96" s="2" t="str">
        <f>IFERROR(__xludf.DUMMYFUNCTION("""COMPUTED_VALUE"""),"1907/FTSCY/WS95271 74500000.00 pelunasan TUMBUH OPTIMAL PRI")</f>
        <v>1907/FTSCY/WS95271 74500000.00 pelunasan TUMBUH OPTIMAL PRI</v>
      </c>
      <c r="D96" s="2">
        <f>IFERROR(__xludf.DUMMYFUNCTION("""COMPUTED_VALUE"""),7.45E7)</f>
        <v>74500000</v>
      </c>
      <c r="E96" s="2"/>
      <c r="F96" s="2" t="str">
        <f>IFERROR(__xludf.DUMMYFUNCTION("""COMPUTED_VALUE"""),"DB")</f>
        <v>DB</v>
      </c>
      <c r="G96" s="2">
        <f>IFERROR(__xludf.DUMMYFUNCTION("""COMPUTED_VALUE"""),3.1327143730999994E8)</f>
        <v>313271437.3</v>
      </c>
      <c r="H96" s="2"/>
      <c r="I96" s="2" t="str">
        <f>IFERROR(__xludf.DUMMYFUNCTION("""COMPUTED_VALUE"""),"PRODUKSI")</f>
        <v>PRODUKSI</v>
      </c>
    </row>
    <row r="97">
      <c r="A97" s="7">
        <f>IFERROR(__xludf.DUMMYFUNCTION("""COMPUTED_VALUE"""),46222.0)</f>
        <v>46222</v>
      </c>
      <c r="B97" s="2" t="str">
        <f>IFERROR(__xludf.DUMMYFUNCTION("""COMPUTED_VALUE"""),"TRSF E-BANKING DB")</f>
        <v>TRSF E-BANKING DB</v>
      </c>
      <c r="C97" s="2" t="str">
        <f>IFERROR(__xludf.DUMMYFUNCTION("""COMPUTED_VALUE"""),"1907/FTSCY/WS95271 84000000.00 Fri Jul 17 2026 14:00:00 GMT+0700 (Western Indonesia Time) RUKUN MITRA BERSAM")</f>
        <v>1907/FTSCY/WS95271 84000000.00 Fri Jul 17 2026 14:00:00 GMT+0700 (Western Indonesia Time) RUKUN MITRA BERSAM</v>
      </c>
      <c r="D97" s="2">
        <f>IFERROR(__xludf.DUMMYFUNCTION("""COMPUTED_VALUE"""),8.4E7)</f>
        <v>84000000</v>
      </c>
      <c r="E97" s="2"/>
      <c r="F97" s="2" t="str">
        <f>IFERROR(__xludf.DUMMYFUNCTION("""COMPUTED_VALUE"""),"DB")</f>
        <v>DB</v>
      </c>
      <c r="G97" s="2">
        <f>IFERROR(__xludf.DUMMYFUNCTION("""COMPUTED_VALUE"""),2.2927143730999994E8)</f>
        <v>229271437.3</v>
      </c>
      <c r="H97" s="2"/>
      <c r="I97" s="2" t="str">
        <f>IFERROR(__xludf.DUMMYFUNCTION("""COMPUTED_VALUE"""),"PRODUKSI")</f>
        <v>PRODUKSI</v>
      </c>
    </row>
    <row r="98">
      <c r="A98" s="7">
        <f>IFERROR(__xludf.DUMMYFUNCTION("""COMPUTED_VALUE"""),46222.0)</f>
        <v>46222</v>
      </c>
      <c r="B98" s="2" t="str">
        <f>IFERROR(__xludf.DUMMYFUNCTION("""COMPUTED_VALUE"""),"TRSF E-BANKING DB")</f>
        <v>TRSF E-BANKING DB</v>
      </c>
      <c r="C98" s="2" t="str">
        <f>IFERROR(__xludf.DUMMYFUNCTION("""COMPUTED_VALUE"""),"1907/FTSCY/WS95271 16309040.00 pelunasan TERNAK SEJATI TABA")</f>
        <v>1907/FTSCY/WS95271 16309040.00 pelunasan TERNAK SEJATI TABA</v>
      </c>
      <c r="D98" s="2">
        <f>IFERROR(__xludf.DUMMYFUNCTION("""COMPUTED_VALUE"""),1.630904E7)</f>
        <v>16309040</v>
      </c>
      <c r="E98" s="2"/>
      <c r="F98" s="2" t="str">
        <f>IFERROR(__xludf.DUMMYFUNCTION("""COMPUTED_VALUE"""),"DB")</f>
        <v>DB</v>
      </c>
      <c r="G98" s="2">
        <f>IFERROR(__xludf.DUMMYFUNCTION("""COMPUTED_VALUE"""),2.1296239730999994E8)</f>
        <v>212962397.3</v>
      </c>
      <c r="H98" s="2"/>
      <c r="I98" s="2" t="str">
        <f>IFERROR(__xludf.DUMMYFUNCTION("""COMPUTED_VALUE"""),"PRODUKSI")</f>
        <v>PRODUKSI</v>
      </c>
    </row>
    <row r="99">
      <c r="A99" s="7">
        <f>IFERROR(__xludf.DUMMYFUNCTION("""COMPUTED_VALUE"""),46222.0)</f>
        <v>46222</v>
      </c>
      <c r="B99" s="2" t="str">
        <f>IFERROR(__xludf.DUMMYFUNCTION("""COMPUTED_VALUE"""),"TRSF E-BANKING DB")</f>
        <v>TRSF E-BANKING DB</v>
      </c>
      <c r="C99" s="2" t="str">
        <f>IFERROR(__xludf.DUMMYFUNCTION("""COMPUTED_VALUE"""),"1907/FTSCY/WS95271 72016800.00 Fri Jul 17 2026 14:00:00 GMT+0700 (Western Indonesia Time) TABASSAM AZ ZUFAR")</f>
        <v>1907/FTSCY/WS95271 72016800.00 Fri Jul 17 2026 14:00:00 GMT+0700 (Western Indonesia Time) TABASSAM AZ ZUFAR</v>
      </c>
      <c r="D99" s="2">
        <f>IFERROR(__xludf.DUMMYFUNCTION("""COMPUTED_VALUE"""),7.20168E7)</f>
        <v>72016800</v>
      </c>
      <c r="E99" s="2"/>
      <c r="F99" s="2" t="str">
        <f>IFERROR(__xludf.DUMMYFUNCTION("""COMPUTED_VALUE"""),"DB")</f>
        <v>DB</v>
      </c>
      <c r="G99" s="2">
        <f>IFERROR(__xludf.DUMMYFUNCTION("""COMPUTED_VALUE"""),1.4094559730999994E8)</f>
        <v>140945597.3</v>
      </c>
      <c r="H99" s="2"/>
      <c r="I99" s="2" t="str">
        <f>IFERROR(__xludf.DUMMYFUNCTION("""COMPUTED_VALUE"""),"PRODUKSI")</f>
        <v>PRODUKSI</v>
      </c>
    </row>
    <row r="100">
      <c r="A100" s="7">
        <f>IFERROR(__xludf.DUMMYFUNCTION("""COMPUTED_VALUE"""),46222.0)</f>
        <v>46222</v>
      </c>
      <c r="B100" s="2" t="str">
        <f>IFERROR(__xludf.DUMMYFUNCTION("""COMPUTED_VALUE"""),"TRSF E-BANKING DB")</f>
        <v>TRSF E-BANKING DB</v>
      </c>
      <c r="C100" s="2" t="str">
        <f>IFERROR(__xludf.DUMMYFUNCTION("""COMPUTED_VALUE"""),"1907/FTSCY/WS95271 43805560.00 krg 40 jt LAWU ABADI NUSA PT")</f>
        <v>1907/FTSCY/WS95271 43805560.00 krg 40 jt LAWU ABADI NUSA PT</v>
      </c>
      <c r="D100" s="2">
        <f>IFERROR(__xludf.DUMMYFUNCTION("""COMPUTED_VALUE"""),4.380556E7)</f>
        <v>43805560</v>
      </c>
      <c r="E100" s="2"/>
      <c r="F100" s="2" t="str">
        <f>IFERROR(__xludf.DUMMYFUNCTION("""COMPUTED_VALUE"""),"DB")</f>
        <v>DB</v>
      </c>
      <c r="G100" s="2">
        <f>IFERROR(__xludf.DUMMYFUNCTION("""COMPUTED_VALUE"""),9.714003730999994E7)</f>
        <v>97140037.31</v>
      </c>
      <c r="H100" s="2"/>
      <c r="I100" s="2" t="str">
        <f>IFERROR(__xludf.DUMMYFUNCTION("""COMPUTED_VALUE"""),"PRODUKSI")</f>
        <v>PRODUKSI</v>
      </c>
    </row>
    <row r="101">
      <c r="A101" s="7">
        <f>IFERROR(__xludf.DUMMYFUNCTION("""COMPUTED_VALUE"""),46222.0)</f>
        <v>46222</v>
      </c>
      <c r="B101" s="2" t="str">
        <f>IFERROR(__xludf.DUMMYFUNCTION("""COMPUTED_VALUE"""),"TRSF E-BANKING DB")</f>
        <v>TRSF E-BANKING DB</v>
      </c>
      <c r="C101" s="2" t="str">
        <f>IFERROR(__xludf.DUMMYFUNCTION("""COMPUTED_VALUE"""),"1907/FTSCY/WS95031 40000000.00 pelunasan LAWU ABADI NUSA PT")</f>
        <v>1907/FTSCY/WS95031 40000000.00 pelunasan LAWU ABADI NUSA PT</v>
      </c>
      <c r="D101" s="2">
        <f>IFERROR(__xludf.DUMMYFUNCTION("""COMPUTED_VALUE"""),4.0E7)</f>
        <v>40000000</v>
      </c>
      <c r="E101" s="2"/>
      <c r="F101" s="2" t="str">
        <f>IFERROR(__xludf.DUMMYFUNCTION("""COMPUTED_VALUE"""),"DB")</f>
        <v>DB</v>
      </c>
      <c r="G101" s="2">
        <f>IFERROR(__xludf.DUMMYFUNCTION("""COMPUTED_VALUE"""),5.714003730999994E7)</f>
        <v>57140037.31</v>
      </c>
      <c r="H101" s="2"/>
      <c r="I101" s="2" t="str">
        <f>IFERROR(__xludf.DUMMYFUNCTION("""COMPUTED_VALUE"""),"PRODUKSI")</f>
        <v>PRODUKSI</v>
      </c>
    </row>
    <row r="102">
      <c r="A102" s="7">
        <f>IFERROR(__xludf.DUMMYFUNCTION("""COMPUTED_VALUE"""),46222.0)</f>
        <v>46222</v>
      </c>
      <c r="B102" s="2" t="str">
        <f>IFERROR(__xludf.DUMMYFUNCTION("""COMPUTED_VALUE"""),"TRSF E-BANKING DB")</f>
        <v>TRSF E-BANKING DB</v>
      </c>
      <c r="C102" s="2" t="str">
        <f>IFERROR(__xludf.DUMMYFUNCTION("""COMPUTED_VALUE"""),"1907/FTSCY/WS95031 4163040.00 DWI HERMANSYAH")</f>
        <v>1907/FTSCY/WS95031 4163040.00 DWI HERMANSYAH</v>
      </c>
      <c r="D102" s="2">
        <f>IFERROR(__xludf.DUMMYFUNCTION("""COMPUTED_VALUE"""),4163040.0)</f>
        <v>4163040</v>
      </c>
      <c r="E102" s="2"/>
      <c r="F102" s="2" t="str">
        <f>IFERROR(__xludf.DUMMYFUNCTION("""COMPUTED_VALUE"""),"DB")</f>
        <v>DB</v>
      </c>
      <c r="G102" s="2">
        <f>IFERROR(__xludf.DUMMYFUNCTION("""COMPUTED_VALUE"""),5.297699730999994E7)</f>
        <v>52976997.31</v>
      </c>
      <c r="H102" s="2"/>
      <c r="I102" s="2" t="str">
        <f>IFERROR(__xludf.DUMMYFUNCTION("""COMPUTED_VALUE"""),"PRODUKSI")</f>
        <v>PRODUKSI</v>
      </c>
    </row>
    <row r="103">
      <c r="A103" s="7">
        <f>IFERROR(__xludf.DUMMYFUNCTION("""COMPUTED_VALUE"""),46222.0)</f>
        <v>46222</v>
      </c>
      <c r="B103" s="2" t="str">
        <f>IFERROR(__xludf.DUMMYFUNCTION("""COMPUTED_VALUE"""),"TRSF E-BANKING DB")</f>
        <v>TRSF E-BANKING DB</v>
      </c>
      <c r="C103" s="2" t="str">
        <f>IFERROR(__xludf.DUMMYFUNCTION("""COMPUTED_VALUE"""),"1907/FTSCY/WS95031 916170.00 ANDE DOSO ANGGORO")</f>
        <v>1907/FTSCY/WS95031 916170.00 ANDE DOSO ANGGORO</v>
      </c>
      <c r="D103" s="2">
        <f>IFERROR(__xludf.DUMMYFUNCTION("""COMPUTED_VALUE"""),916170.0)</f>
        <v>916170</v>
      </c>
      <c r="E103" s="2"/>
      <c r="F103" s="2" t="str">
        <f>IFERROR(__xludf.DUMMYFUNCTION("""COMPUTED_VALUE"""),"DB")</f>
        <v>DB</v>
      </c>
      <c r="G103" s="2">
        <f>IFERROR(__xludf.DUMMYFUNCTION("""COMPUTED_VALUE"""),5.206082730999994E7)</f>
        <v>52060827.31</v>
      </c>
      <c r="H103" s="2"/>
      <c r="I103" s="2" t="str">
        <f>IFERROR(__xludf.DUMMYFUNCTION("""COMPUTED_VALUE"""),"PRODUKSI")</f>
        <v>PRODUKSI</v>
      </c>
    </row>
    <row r="104">
      <c r="A104" s="7">
        <f>IFERROR(__xludf.DUMMYFUNCTION("""COMPUTED_VALUE"""),46222.0)</f>
        <v>46222</v>
      </c>
      <c r="B104" s="2" t="str">
        <f>IFERROR(__xludf.DUMMYFUNCTION("""COMPUTED_VALUE"""),"TARIKAN ATM 19/07")</f>
        <v>TARIKAN ATM 19/07</v>
      </c>
      <c r="C104" s="2" t="str">
        <f>IFERROR(__xludf.DUMMYFUNCTION("""COMPUTED_VALUE"""),"TARIKAN ATM 19/07")</f>
        <v>TARIKAN ATM 19/07</v>
      </c>
      <c r="D104" s="2">
        <f>IFERROR(__xludf.DUMMYFUNCTION("""COMPUTED_VALUE"""),150000.0)</f>
        <v>150000</v>
      </c>
      <c r="E104" s="2"/>
      <c r="F104" s="2"/>
      <c r="G104" s="2">
        <f>IFERROR(__xludf.DUMMYFUNCTION("""COMPUTED_VALUE"""),5.191082730999994E7)</f>
        <v>51910827.31</v>
      </c>
      <c r="H104" s="2"/>
      <c r="I104" s="2" t="str">
        <f>IFERROR(__xludf.DUMMYFUNCTION("""COMPUTED_VALUE"""),"PRODUKSI")</f>
        <v>PRODUKSI</v>
      </c>
    </row>
    <row r="105">
      <c r="A105" s="7">
        <f>IFERROR(__xludf.DUMMYFUNCTION("""COMPUTED_VALUE"""),46222.0)</f>
        <v>46222</v>
      </c>
      <c r="B105" s="2" t="str">
        <f>IFERROR(__xludf.DUMMYFUNCTION("""COMPUTED_VALUE"""),"TRSF E-BANKING DB")</f>
        <v>TRSF E-BANKING DB</v>
      </c>
      <c r="C105" s="2" t="str">
        <f>IFERROR(__xludf.DUMMYFUNCTION("""COMPUTED_VALUE"""),"1907/FTSCY/WS95031 3000000.00 EKO SETIYAWAN")</f>
        <v>1907/FTSCY/WS95031 3000000.00 EKO SETIYAWAN</v>
      </c>
      <c r="D105" s="2">
        <f>IFERROR(__xludf.DUMMYFUNCTION("""COMPUTED_VALUE"""),3000000.0)</f>
        <v>3000000</v>
      </c>
      <c r="E105" s="2"/>
      <c r="F105" s="2" t="str">
        <f>IFERROR(__xludf.DUMMYFUNCTION("""COMPUTED_VALUE"""),"DB")</f>
        <v>DB</v>
      </c>
      <c r="G105" s="2">
        <f>IFERROR(__xludf.DUMMYFUNCTION("""COMPUTED_VALUE"""),4.891082730999994E7)</f>
        <v>48910827.31</v>
      </c>
      <c r="H105" s="2"/>
      <c r="I105" s="2" t="str">
        <f>IFERROR(__xludf.DUMMYFUNCTION("""COMPUTED_VALUE"""),"PRODUKSI")</f>
        <v>PRODUKSI</v>
      </c>
    </row>
    <row r="106">
      <c r="A106" s="7">
        <f>IFERROR(__xludf.DUMMYFUNCTION("""COMPUTED_VALUE"""),46222.0)</f>
        <v>46222</v>
      </c>
      <c r="B106" s="2" t="str">
        <f>IFERROR(__xludf.DUMMYFUNCTION("""COMPUTED_VALUE"""),"TARIKAN ATM 19/07")</f>
        <v>TARIKAN ATM 19/07</v>
      </c>
      <c r="C106" s="2" t="str">
        <f>IFERROR(__xludf.DUMMYFUNCTION("""COMPUTED_VALUE"""),"TARIKAN ATM 19/07")</f>
        <v>TARIKAN ATM 19/07</v>
      </c>
      <c r="D106" s="2">
        <f>IFERROR(__xludf.DUMMYFUNCTION("""COMPUTED_VALUE"""),300000.0)</f>
        <v>300000</v>
      </c>
      <c r="E106" s="2"/>
      <c r="F106" s="2"/>
      <c r="G106" s="2">
        <f>IFERROR(__xludf.DUMMYFUNCTION("""COMPUTED_VALUE"""),4.861082730999994E7)</f>
        <v>48610827.31</v>
      </c>
      <c r="H106" s="2"/>
      <c r="I106" s="2" t="str">
        <f>IFERROR(__xludf.DUMMYFUNCTION("""COMPUTED_VALUE"""),"PRODUKSI")</f>
        <v>PRODUKSI</v>
      </c>
    </row>
    <row r="107">
      <c r="A107" s="7">
        <f>IFERROR(__xludf.DUMMYFUNCTION("""COMPUTED_VALUE"""),46223.0)</f>
        <v>46223</v>
      </c>
      <c r="B107" s="2" t="str">
        <f>IFERROR(__xludf.DUMMYFUNCTION("""COMPUTED_VALUE"""),"TRSF E-BANKING DB")</f>
        <v>TRSF E-BANKING DB</v>
      </c>
      <c r="C107" s="2" t="str">
        <f>IFERROR(__xludf.DUMMYFUNCTION("""COMPUTED_VALUE"""),"2007/FTSCY/WS95011 55008400.00 Fri Jul 17 2026 14:00:00 GMT+0700 (Western Indonesia Time) BINTANG TAMA SANTO")</f>
        <v>2007/FTSCY/WS95011 55008400.00 Fri Jul 17 2026 14:00:00 GMT+0700 (Western Indonesia Time) BINTANG TAMA SANTO</v>
      </c>
      <c r="D107" s="2">
        <f>IFERROR(__xludf.DUMMYFUNCTION("""COMPUTED_VALUE"""),5.50084E7)</f>
        <v>55008400</v>
      </c>
      <c r="E107" s="2"/>
      <c r="F107" s="2" t="str">
        <f>IFERROR(__xludf.DUMMYFUNCTION("""COMPUTED_VALUE"""),"DB")</f>
        <v>DB</v>
      </c>
      <c r="G107" s="2">
        <f>IFERROR(__xludf.DUMMYFUNCTION("""COMPUTED_VALUE"""),2.1338997730999994E8)</f>
        <v>213389977.3</v>
      </c>
      <c r="H107" s="2"/>
      <c r="I107" s="2" t="str">
        <f>IFERROR(__xludf.DUMMYFUNCTION("""COMPUTED_VALUE"""),"PRODUKSI")</f>
        <v>PRODUKSI</v>
      </c>
    </row>
    <row r="108">
      <c r="A108" s="7">
        <f>IFERROR(__xludf.DUMMYFUNCTION("""COMPUTED_VALUE"""),46223.0)</f>
        <v>46223</v>
      </c>
      <c r="B108" s="2" t="str">
        <f>IFERROR(__xludf.DUMMYFUNCTION("""COMPUTED_VALUE"""),"TRSF E-BANKING DB")</f>
        <v>TRSF E-BANKING DB</v>
      </c>
      <c r="C108" s="2" t="str">
        <f>IFERROR(__xludf.DUMMYFUNCTION("""COMPUTED_VALUE"""),"2007/FTSCY/WS95271 91109020.00 Sun Jul 19 2026 14:00:00 GMT+0700 (Western Indonesia Time) TABASSAM AL HATTAK")</f>
        <v>2007/FTSCY/WS95271 91109020.00 Sun Jul 19 2026 14:00:00 GMT+0700 (Western Indonesia Time) TABASSAM AL HATTAK</v>
      </c>
      <c r="D108" s="2">
        <f>IFERROR(__xludf.DUMMYFUNCTION("""COMPUTED_VALUE"""),9.110902E7)</f>
        <v>91109020</v>
      </c>
      <c r="E108" s="2"/>
      <c r="F108" s="2" t="str">
        <f>IFERROR(__xludf.DUMMYFUNCTION("""COMPUTED_VALUE"""),"DB")</f>
        <v>DB</v>
      </c>
      <c r="G108" s="2">
        <f>IFERROR(__xludf.DUMMYFUNCTION("""COMPUTED_VALUE"""),1.2228095730999994E8)</f>
        <v>122280957.3</v>
      </c>
      <c r="H108" s="2"/>
      <c r="I108" s="2" t="str">
        <f>IFERROR(__xludf.DUMMYFUNCTION("""COMPUTED_VALUE"""),"PRODUKSI")</f>
        <v>PRODUKSI</v>
      </c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